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6c7fbc7e140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470340dcd04ec7"/>
    <x:sheet xmlns:r="http://schemas.openxmlformats.org/officeDocument/2006/relationships" name="Assumptions" sheetId="2" r:id="R36faab5fc2ad43dd"/>
    <x:sheet xmlns:r="http://schemas.openxmlformats.org/officeDocument/2006/relationships" name="Lifecycle" sheetId="3" r:id="Rdfcdafa7d8db4774"/>
    <x:sheet xmlns:r="http://schemas.openxmlformats.org/officeDocument/2006/relationships" name="Office Network" sheetId="4" r:id="Rcdc3795e59354ce6"/>
    <x:sheet xmlns:r="http://schemas.openxmlformats.org/officeDocument/2006/relationships" name="Program Register" sheetId="5" r:id="Rbff0d578f2cb4688"/>
    <x:sheet xmlns:r="http://schemas.openxmlformats.org/officeDocument/2006/relationships" name="Authority Matrix" sheetId="6" r:id="R919a939e66e64392"/>
    <x:sheet xmlns:r="http://schemas.openxmlformats.org/officeDocument/2006/relationships" name="Artifact Ledger" sheetId="7" r:id="R7303f55b64254977"/>
    <x:sheet xmlns:r="http://schemas.openxmlformats.org/officeDocument/2006/relationships" name="Technical Data Map" sheetId="8" r:id="R0dff5ff976f94230"/>
    <x:sheet xmlns:r="http://schemas.openxmlformats.org/officeDocument/2006/relationships" name="Root Data" sheetId="9" r:id="R39f4274363c24eb3"/>
    <x:sheet xmlns:r="http://schemas.openxmlformats.org/officeDocument/2006/relationships" name="Baseline Register" sheetId="10" r:id="R82bd5fede8f84e82"/>
    <x:sheet xmlns:r="http://schemas.openxmlformats.org/officeDocument/2006/relationships" name="Change Control" sheetId="11" r:id="R689bf43840fa4ba0"/>
    <x:sheet xmlns:r="http://schemas.openxmlformats.org/officeDocument/2006/relationships" name="Financial Control" sheetId="12" r:id="R798ef4ce5de94653"/>
    <x:sheet xmlns:r="http://schemas.openxmlformats.org/officeDocument/2006/relationships" name="Program Phasing" sheetId="13" r:id="R22b5c38e10c74209"/>
    <x:sheet xmlns:r="http://schemas.openxmlformats.org/officeDocument/2006/relationships" name="Replacement Logic" sheetId="14" r:id="Reeb8eb0d380c43e6"/>
    <x:sheet xmlns:r="http://schemas.openxmlformats.org/officeDocument/2006/relationships" name="Decision Gates" sheetId="15" r:id="R451734e6047d49e0"/>
    <x:sheet xmlns:r="http://schemas.openxmlformats.org/officeDocument/2006/relationships" name="Audit" sheetId="16" r:id="R587b36c3fa6f4093"/>
    <x:sheet xmlns:r="http://schemas.openxmlformats.org/officeDocument/2006/relationships" name="ReadMe" sheetId="17" r:id="R5959ac866c5e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%"/>
    <x:numFmt numFmtId="202" formatCode="0.00000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4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1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1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1F293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6ac5fc2834dd3" /><Relationship Type="http://schemas.openxmlformats.org/officeDocument/2006/relationships/theme" Target="/xl/theme/theme1.xml" Id="R37480189adb2419e" /><Relationship Type="http://schemas.openxmlformats.org/officeDocument/2006/relationships/sharedStrings" Target="/xl/sharedStrings.xml" Id="Rd493e429670e4be0" /><Relationship Type="http://schemas.openxmlformats.org/officeDocument/2006/relationships/worksheet" Target="/xl/worksheets/sheet1.xml" Id="R91470340dcd04ec7" /><Relationship Type="http://schemas.openxmlformats.org/officeDocument/2006/relationships/worksheet" Target="/xl/worksheets/sheet2.xml" Id="R36faab5fc2ad43dd" /><Relationship Type="http://schemas.openxmlformats.org/officeDocument/2006/relationships/worksheet" Target="/xl/worksheets/sheet3.xml" Id="Rdfcdafa7d8db4774" /><Relationship Type="http://schemas.openxmlformats.org/officeDocument/2006/relationships/worksheet" Target="/xl/worksheets/sheet4.xml" Id="Rcdc3795e59354ce6" /><Relationship Type="http://schemas.openxmlformats.org/officeDocument/2006/relationships/worksheet" Target="/xl/worksheets/sheet5.xml" Id="Rbff0d578f2cb4688" /><Relationship Type="http://schemas.openxmlformats.org/officeDocument/2006/relationships/worksheet" Target="/xl/worksheets/sheet6.xml" Id="R919a939e66e64392" /><Relationship Type="http://schemas.openxmlformats.org/officeDocument/2006/relationships/worksheet" Target="/xl/worksheets/sheet7.xml" Id="R7303f55b64254977" /><Relationship Type="http://schemas.openxmlformats.org/officeDocument/2006/relationships/worksheet" Target="/xl/worksheets/sheet8.xml" Id="R0dff5ff976f94230" /><Relationship Type="http://schemas.openxmlformats.org/officeDocument/2006/relationships/worksheet" Target="/xl/worksheets/sheet9.xml" Id="R39f4274363c24eb3" /><Relationship Type="http://schemas.openxmlformats.org/officeDocument/2006/relationships/worksheet" Target="/xl/worksheets/sheet10.xml" Id="R82bd5fede8f84e82" /><Relationship Type="http://schemas.openxmlformats.org/officeDocument/2006/relationships/worksheet" Target="/xl/worksheets/sheet11.xml" Id="R689bf43840fa4ba0" /><Relationship Type="http://schemas.openxmlformats.org/officeDocument/2006/relationships/worksheet" Target="/xl/worksheets/sheet12.xml" Id="R798ef4ce5de94653" /><Relationship Type="http://schemas.openxmlformats.org/officeDocument/2006/relationships/worksheet" Target="/xl/worksheets/sheet13.xml" Id="R22b5c38e10c74209" /><Relationship Type="http://schemas.openxmlformats.org/officeDocument/2006/relationships/worksheet" Target="/xl/worksheets/sheet14.xml" Id="Reeb8eb0d380c43e6" /><Relationship Type="http://schemas.openxmlformats.org/officeDocument/2006/relationships/worksheet" Target="/xl/worksheets/sheet15.xml" Id="R451734e6047d49e0" /><Relationship Type="http://schemas.openxmlformats.org/officeDocument/2006/relationships/worksheet" Target="/xl/worksheets/sheet16.xml" Id="R587b36c3fa6f4093" /><Relationship Type="http://schemas.openxmlformats.org/officeDocument/2006/relationships/worksheet" Target="/xl/worksheets/sheet17.xml" Id="R5959ac866c5e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105" hidden="0" customWidth="1"/>
    <x:col min="4" max="4" width="28" hidden="0" customWidth="1"/>
    <x:col min="5" max="5" width="24" hidden="0" customWidth="1"/>
    <x:col min="6" max="6" width="2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2">
      <x:c r="B2" s="3" t="str">
        <x:v>AIMC common program-office operating system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A constitutional machine converts civil effects into evidence-bearing configurations and releases capital only against accepted physical learning.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29" t="str">
        <x:v>Executive answer</x:v>
      </x:c>
      <x:c r="C6" s="30" t="str">
        <x:v>Executive answer</x:v>
      </x:c>
      <x:c r="D6" s="30" t="str">
        <x:v>Executive answer</x:v>
      </x:c>
      <x:c r="E6" s="30" t="str">
        <x:v>Executive answer</x:v>
      </x:c>
      <x:c r="F6" s="30" t="str">
        <x:v>Executive answer</x:v>
      </x:c>
      <x:c r="G6" s="30" t="str">
        <x:v>Executive answer</x:v>
      </x:c>
      <x:c r="H6" s="30" t="str">
        <x:v>Executive answer</x:v>
      </x:c>
      <x:c r="I6" s="30" t="str">
        <x:v>Executive answer</x:v>
      </x:c>
      <x:c r="J6" s="30" t="str">
        <x:v>Executive answer</x:v>
      </x:c>
      <x:c r="K6" s="30" t="str">
        <x:v>Executive answer</x:v>
      </x:c>
      <x:c r="L6" s="30" t="str">
        <x:v>Executive answer</x:v>
      </x:c>
      <x:c r="M6" s="30" t="str">
        <x:v>Executive answer</x:v>
      </x:c>
      <x:c r="N6" s="30" t="str">
        <x:v>Executive answer</x:v>
      </x:c>
      <x:c r="O6" s="30" t="str">
        <x:v>Executive answer</x:v>
      </x:c>
      <x:c r="P6" s="30" t="str">
        <x:v>Executive answer</x:v>
      </x:c>
      <x:c r="Q6" s="30" t="str">
        <x:v>Executive answer</x:v>
      </x:c>
      <x:c r="R6" s="31" t="str">
        <x:v>Executive answer</x:v>
      </x:c>
    </x:row>
    <x:row r="7">
      <x:c r="B7" s="14" t="str">
        <x:v>Question</x:v>
      </x:c>
      <x:c r="C7" s="15" t="str">
        <x:v>Operating answer</x:v>
      </x:c>
      <x:c r="D7" s="15" t="str">
        <x:v>Scale</x:v>
      </x:c>
      <x:c r="E7" s="15" t="str">
        <x:v>State</x:v>
      </x:c>
      <x:c r="F7" s="16" t="str">
        <x:v>Next authority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9" customHeight="1">
      <x:c r="B8" s="32" t="str">
        <x:v>What is the control unit?</x:v>
      </x:c>
      <x:c r="C8" s="32" t="str">
        <x:v>an authority-bearing artifact attached to a serial configuration</x:v>
      </x:c>
      <x:c r="D8" s="32" t="str">
        <x:v>1,920 artifact records</x:v>
      </x:c>
      <x:c r="E8" s="32" t="str">
        <x:v>HOLD</x:v>
      </x:c>
      <x:c r="F8" s="32" t="str">
        <x:v>physical acceptance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9" customHeight="1">
      <x:c r="B9" s="32" t="str">
        <x:v>What replaces milestone reviews?</x:v>
      </x:c>
      <x:c r="C9" s="32" t="str">
        <x:v>ten sequential physical artifacts with data and authority thresholds</x:v>
      </x:c>
      <x:c r="D9" s="32" t="str">
        <x:v>10 per program</x:v>
      </x:c>
      <x:c r="E9" s="32" t="str">
        <x:v>HOLD</x:v>
      </x:c>
      <x:c r="F9" s="32" t="str">
        <x:v>named release authority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9" customHeight="1">
      <x:c r="B10" s="32" t="str">
        <x:v>How is data made complete?</x:v>
      </x:c>
      <x:c r="C10" s="32" t="str">
        <x:v>28-class CTDP on every technical root</x:v>
      </x:c>
      <x:c r="D10" s="32" t="str">
        <x:v>16,128 obligations</x:v>
      </x:c>
      <x:c r="E10" s="32" t="str">
        <x:v>OPEN</x:v>
      </x:c>
      <x:c r="F10" s="32" t="str">
        <x:v>independent acceptance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9" customHeight="1">
      <x:c r="B11" s="32" t="str">
        <x:v>How is configuration preserved?</x:v>
      </x:c>
      <x:c r="C11" s="32" t="str">
        <x:v>seven baselines from public effect through mobilization</x:v>
      </x:c>
      <x:c r="D11" s="32" t="str">
        <x:v>1,344 records</x:v>
      </x:c>
      <x:c r="E11" s="32" t="str">
        <x:v>OPEN</x:v>
      </x:c>
      <x:c r="F11" s="32" t="str">
        <x:v>baseline findings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9" customHeight="1">
      <x:c r="B12" s="32" t="str">
        <x:v>How are offices composed?</x:v>
      </x:c>
      <x:c r="C12" s="32" t="str">
        <x:v>48 family delivery offices plus 16 integration offices</x:v>
      </x:c>
      <x:c r="D12" s="32" t="str">
        <x:v>64 offices / 128,000 people</x:v>
      </x:c>
      <x:c r="E12" s="32" t="str">
        <x:v>PLANNING</x:v>
      </x:c>
      <x:c r="F12" s="32" t="str">
        <x:v>workforce evidence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9" customHeight="1">
      <x:c r="B13" s="32" t="str">
        <x:v>How is capital controlled?</x:v>
      </x:c>
      <x:c r="C13" s="32" t="str">
        <x:v>full force envelope allocated across artifacts with zero calendar credit</x:v>
      </x:c>
      <x:c r="D13" s="32" t="str">
        <x:v>USD 15.179T</x:v>
      </x:c>
      <x:c r="E13" s="32" t="str">
        <x:v>HOLD</x:v>
      </x:c>
      <x:c r="F13" s="32" t="str">
        <x:v>artifact transactions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9" customHeight="1">
      <x:c r="B14" s="32" t="str">
        <x:v>How does failure behave?</x:v>
      </x:c>
      <x:c r="C14" s="32" t="str">
        <x:v>twelve automatic stop replacement and memory-preservation paths</x:v>
      </x:c>
      <x:c r="D14" s="32" t="str">
        <x:v>12 triggers</x:v>
      </x:c>
      <x:c r="E14" s="32" t="str">
        <x:v>HOLD</x:v>
      </x:c>
      <x:c r="F14" s="32" t="str">
        <x:v>cause-specific adjudicator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9" customHeight="1">
      <x:c r="B15" s="32" t="str">
        <x:v>Can programs innovate?</x:v>
      </x:c>
      <x:c r="C15" s="32" t="str">
        <x:v>yes: technical freedom exists inside fixed civil burdens and inspectable roots</x:v>
      </x:c>
      <x:c r="D15" s="32" t="str">
        <x:v>576 roots</x:v>
      </x:c>
      <x:c r="E15" s="32" t="str">
        <x:v>OPEN</x:v>
      </x:c>
      <x:c r="F15" s="32" t="str">
        <x:v>independent trials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9" customHeight="1">
      <x:c r="B16" s="32" t="str">
        <x:v>Can the builder self-certify?</x:v>
      </x:c>
      <x:c r="C16" s="32" t="str">
        <x:v>no: seven authorities divide effect build evidence receipt cost and release</x:v>
      </x:c>
      <x:c r="D16" s="32" t="str">
        <x:v>7 authorities</x:v>
      </x:c>
      <x:c r="E16" s="32" t="str">
        <x:v>HOLD</x:v>
      </x:c>
      <x:c r="F16" s="32" t="str">
        <x:v>constitutional charter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9" customHeight="1">
      <x:c r="B17" s="32" t="str">
        <x:v>May vehicle form be rendered?</x:v>
      </x:c>
      <x:c r="C17" s="32" t="str">
        <x:v>no: measured sections and coupled evidence do not yet exist</x:v>
      </x:c>
      <x:c r="D17" s="32" t="str">
        <x:v>zero authority</x:v>
      </x:c>
      <x:c r="E17" s="32" t="str">
        <x:v>BLOCKED</x:v>
      </x:c>
      <x:c r="F17" s="32" t="str">
        <x:v>physical evidence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>
      <x:c r="B21" s="29" t="str">
        <x:v>Derived scale and invariants</x:v>
      </x:c>
      <x:c r="C21" s="30" t="str">
        <x:v>Derived scale and invariants</x:v>
      </x:c>
      <x:c r="D21" s="30" t="str">
        <x:v>Derived scale and invariants</x:v>
      </x:c>
      <x:c r="E21" s="30" t="str">
        <x:v>Derived scale and invariants</x:v>
      </x:c>
      <x:c r="F21" s="30" t="str">
        <x:v>Derived scale and invariants</x:v>
      </x:c>
      <x:c r="G21" s="30" t="str">
        <x:v>Derived scale and invariants</x:v>
      </x:c>
      <x:c r="H21" s="30" t="str">
        <x:v>Derived scale and invariants</x:v>
      </x:c>
      <x:c r="I21" s="30" t="str">
        <x:v>Derived scale and invariants</x:v>
      </x:c>
      <x:c r="J21" s="30" t="str">
        <x:v>Derived scale and invariants</x:v>
      </x:c>
      <x:c r="K21" s="30" t="str">
        <x:v>Derived scale and invariants</x:v>
      </x:c>
      <x:c r="L21" s="30" t="str">
        <x:v>Derived scale and invariants</x:v>
      </x:c>
      <x:c r="M21" s="30" t="str">
        <x:v>Derived scale and invariants</x:v>
      </x:c>
      <x:c r="N21" s="30" t="str">
        <x:v>Derived scale and invariants</x:v>
      </x:c>
      <x:c r="O21" s="30" t="str">
        <x:v>Derived scale and invariants</x:v>
      </x:c>
      <x:c r="P21" s="30" t="str">
        <x:v>Derived scale and invariants</x:v>
      </x:c>
      <x:c r="Q21" s="30" t="str">
        <x:v>Derived scale and invariants</x:v>
      </x:c>
      <x:c r="R21" s="31" t="str">
        <x:v>Derived scale and invariants</x:v>
      </x:c>
    </x:row>
    <x:row r="22">
      <x:c r="B22" s="14" t="str">
        <x:v>Measure</x:v>
      </x:c>
      <x:c r="C22" s="15" t="str">
        <x:v>Observed</x:v>
      </x:c>
      <x:c r="D22" s="15" t="str">
        <x:v>Unit</x:v>
      </x:c>
      <x:c r="E22" s="15" t="str">
        <x:v>Required</x:v>
      </x:c>
      <x:c r="F22" s="16" t="str">
        <x:v>Result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>
      <x:c r="B23" s="2" t="str">
        <x:v>Force families</x:v>
      </x:c>
      <x:c r="C23" s="48" t="n">
        <x:f>Assumptions!C7</x:f>
        <x:v>48</x:v>
      </x:c>
      <x:c r="D23" s="48" t="str">
        <x:v>families</x:v>
      </x:c>
      <x:c r="E23" s="48" t="n">
        <x:v>48</x:v>
      </x:c>
      <x:c r="F23" s="2" t="str">
        <x:f>IF(ABS(C23-E23)&lt;0.000001,"PASS","FAIL")</x:f>
        <x:v>PASS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>
      <x:c r="B24" s="2" t="str">
        <x:v>Concurrent programs</x:v>
      </x:c>
      <x:c r="C24" s="48" t="n">
        <x:f>COUNTA('Program Register'!B7:B198)</x:f>
        <x:v>192</x:v>
      </x:c>
      <x:c r="D24" s="48" t="str">
        <x:v>programs</x:v>
      </x:c>
      <x:c r="E24" s="48" t="n">
        <x:v>192</x:v>
      </x:c>
      <x:c r="F24" s="2" t="str">
        <x:f>IF(ABS(C24-E24)&lt;0.000001,"PASS","FAIL")</x:f>
        <x:v>PASS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>
      <x:c r="B25" s="2" t="str">
        <x:v>Technical roots</x:v>
      </x:c>
      <x:c r="C25" s="48" t="n">
        <x:f>COUNTA('Root Data'!B7:B582)</x:f>
        <x:v>576</x:v>
      </x:c>
      <x:c r="D25" s="48" t="str">
        <x:v>roots</x:v>
      </x:c>
      <x:c r="E25" s="48" t="n">
        <x:v>576</x:v>
      </x:c>
      <x:c r="F25" s="2" t="str">
        <x:f>IF(ABS(C25-E25)&lt;0.000001,"PASS","FAIL")</x:f>
        <x:v>PASS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>
      <x:c r="B26" s="2" t="str">
        <x:v>Artifact transactions</x:v>
      </x:c>
      <x:c r="C26" s="48" t="n">
        <x:f>COUNTA('Artifact Ledger'!B7:B1926)</x:f>
        <x:v>1920</x:v>
      </x:c>
      <x:c r="D26" s="48" t="str">
        <x:v>records</x:v>
      </x:c>
      <x:c r="E26" s="48" t="n">
        <x:v>1920</x:v>
      </x:c>
      <x:c r="F26" s="2" t="str">
        <x:f>IF(ABS(C26-E26)&lt;0.000001,"PASS","FAIL")</x:f>
        <x:v>PASS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>
      <x:c r="B27" s="2" t="str">
        <x:v>CTDP logical obligations</x:v>
      </x:c>
      <x:c r="C27" s="48" t="n">
        <x:f>SUM('Technical Data Map'!G7:G34)</x:f>
        <x:v>16128</x:v>
      </x:c>
      <x:c r="D27" s="48" t="str">
        <x:v>root-class obligations</x:v>
      </x:c>
      <x:c r="E27" s="48" t="n">
        <x:v>16128</x:v>
      </x:c>
      <x:c r="F27" s="2" t="str">
        <x:f>IF(ABS(C27-E27)&lt;0.000001,"PASS","FAIL")</x:f>
        <x:v>PASS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>
      <x:c r="B28" s="2" t="str">
        <x:v>Configuration baselines</x:v>
      </x:c>
      <x:c r="C28" s="48" t="n">
        <x:f>COUNTA('Baseline Register'!B7:B1350)</x:f>
        <x:v>1344</x:v>
      </x:c>
      <x:c r="D28" s="48" t="str">
        <x:v>records</x:v>
      </x:c>
      <x:c r="E28" s="48" t="n">
        <x:v>1344</x:v>
      </x:c>
      <x:c r="F28" s="2" t="str">
        <x:f>IF(ABS(C28-E28)&lt;0.000001,"PASS","FAIL")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B29" s="2" t="str">
        <x:v>Program offices</x:v>
      </x:c>
      <x:c r="C29" s="48" t="n">
        <x:f>COUNTA('Office Network'!B7:B70)</x:f>
        <x:v>64</x:v>
      </x:c>
      <x:c r="D29" s="48" t="str">
        <x:v>offices</x:v>
      </x:c>
      <x:c r="E29" s="48" t="n">
        <x:v>64</x:v>
      </x:c>
      <x:c r="F29" s="2" t="str">
        <x:f>IF(ABS(C29-E29)&lt;0.000001,"PASS","FAIL")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B30" s="2" t="str">
        <x:v>Program-office workforce</x:v>
      </x:c>
      <x:c r="C30" s="48" t="n">
        <x:f>SUM('Office Network'!F7:F70)</x:f>
        <x:v>128000</x:v>
      </x:c>
      <x:c r="D30" s="48" t="str">
        <x:v>people</x:v>
      </x:c>
      <x:c r="E30" s="48" t="n">
        <x:v>128000</x:v>
      </x:c>
      <x:c r="F30" s="2" t="str">
        <x:f>IF(ABS(C30-E30)&lt;0.000001,"PASS","FAIL")</x:f>
        <x:v>PASS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B31" s="2" t="str">
        <x:v>Force capital controlled</x:v>
      </x:c>
      <x:c r="C31" s="48" t="n">
        <x:f>SUM('Financial Control'!D7:D16)</x:f>
        <x:v>15.178999999999998</x:v>
      </x:c>
      <x:c r="D31" s="48" t="str">
        <x:v>constant USD T</x:v>
      </x:c>
      <x:c r="E31" s="48" t="n">
        <x:v>15.179</x:v>
      </x:c>
      <x:c r="F31" s="2" t="str">
        <x:f>IF(ABS(C31-E31)&lt;0.000001,"PASS","FAIL")</x:f>
        <x:v>PASS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B32" s="2" t="str">
        <x:v>Eligible capital at baseline</x:v>
      </x:c>
      <x:c r="C32" s="48" t="n">
        <x:f>SUM('Artifact Ledger'!P7:P1926)</x:f>
        <x:v>0</x:v>
      </x:c>
      <x:c r="D32" s="48" t="str">
        <x:v>constant USD T</x:v>
      </x:c>
      <x:c r="E32" s="48" t="n">
        <x:v>0</x:v>
      </x:c>
      <x:c r="F32" s="2" t="str">
        <x:f>IF(ABS(C32-E32)&lt;0.000001,"PASS","FAIL")</x:f>
        <x:v>PASS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B33" s="2" t="str">
        <x:v>Calendar-earned capital</x:v>
      </x:c>
      <x:c r="C33" s="48" t="n">
        <x:f>SUM('Financial Control'!I7:I16)</x:f>
        <x:v>0</x:v>
      </x:c>
      <x:c r="D33" s="48" t="str">
        <x:v>constant USD T</x:v>
      </x:c>
      <x:c r="E33" s="48" t="n">
        <x:v>0</x:v>
      </x:c>
      <x:c r="F33" s="2" t="str">
        <x:f>IF(ABS(C33-E33)&lt;0.000001,"PASS","FAIL")</x:f>
        <x:v>PASS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B34" s="2" t="str">
        <x:v>Separated authorities</x:v>
      </x:c>
      <x:c r="C34" s="48" t="n">
        <x:f>COUNTA('Authority Matrix'!B7:B13)</x:f>
        <x:v>7</x:v>
      </x:c>
      <x:c r="D34" s="48" t="str">
        <x:v>institutions</x:v>
      </x:c>
      <x:c r="E34" s="48" t="n">
        <x:v>7</x:v>
      </x:c>
      <x:c r="F34" s="2" t="str">
        <x:f>IF(ABS(C34-E34)&lt;0.000001,"PASS","FAIL")</x:f>
        <x:v>PASS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B35" s="2" t="str">
        <x:v>Decision gates</x:v>
      </x:c>
      <x:c r="C35" s="48" t="n">
        <x:f>COUNTA('Decision Gates'!B7:B30)</x:f>
        <x:v>24</x:v>
      </x:c>
      <x:c r="D35" s="48" t="str">
        <x:v>gates</x:v>
      </x:c>
      <x:c r="E35" s="48" t="n">
        <x:v>24</x:v>
      </x:c>
      <x:c r="F35" s="2" t="str">
        <x:f>IF(ABS(C35-E35)&lt;0.000001,"PASS","FAIL")</x:f>
        <x:v>PASS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B36" s="2" t="str">
        <x:v>Rendering authority</x:v>
      </x:c>
      <x:c r="C36" s="48" t="n">
        <x:f>Assumptions!C19</x:f>
        <x:v>0</x:v>
      </x:c>
      <x:c r="D36" s="48" t="str">
        <x:v>binary</x:v>
      </x:c>
      <x:c r="E36" s="48" t="n">
        <x:v>0</x:v>
      </x:c>
      <x:c r="F36" s="2" t="str">
        <x:f>IF(ABS(C36-E36)&lt;0.000001,"PASS","FAIL")</x:f>
        <x:v>PASS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B39" s="29" t="str">
        <x:v>Constitutional doctrine</x:v>
      </x:c>
      <x:c r="C39" s="30" t="str">
        <x:v>Constitutional doctrine</x:v>
      </x:c>
      <x:c r="D39" s="30" t="str">
        <x:v>Constitutional doctrine</x:v>
      </x:c>
      <x:c r="E39" s="30" t="str">
        <x:v>Constitutional doctrine</x:v>
      </x:c>
      <x:c r="F39" s="30" t="str">
        <x:v>Constitutional doctrine</x:v>
      </x:c>
      <x:c r="G39" s="30" t="str">
        <x:v>Constitutional doctrine</x:v>
      </x:c>
      <x:c r="H39" s="30" t="str">
        <x:v>Constitutional doctrine</x:v>
      </x:c>
      <x:c r="I39" s="30" t="str">
        <x:v>Constitutional doctrine</x:v>
      </x:c>
      <x:c r="J39" s="30" t="str">
        <x:v>Constitutional doctrine</x:v>
      </x:c>
      <x:c r="K39" s="30" t="str">
        <x:v>Constitutional doctrine</x:v>
      </x:c>
      <x:c r="L39" s="30" t="str">
        <x:v>Constitutional doctrine</x:v>
      </x:c>
      <x:c r="M39" s="30" t="str">
        <x:v>Constitutional doctrine</x:v>
      </x:c>
      <x:c r="N39" s="30" t="str">
        <x:v>Constitutional doctrine</x:v>
      </x:c>
      <x:c r="O39" s="30" t="str">
        <x:v>Constitutional doctrine</x:v>
      </x:c>
      <x:c r="P39" s="30" t="str">
        <x:v>Constitutional doctrine</x:v>
      </x:c>
      <x:c r="Q39" s="30" t="str">
        <x:v>Constitutional doctrine</x:v>
      </x:c>
      <x:c r="R39" s="31" t="str">
        <x:v>Constitutional doctrine</x:v>
      </x:c>
    </x:row>
    <x:row r="40">
      <x:c r="B40" s="2" t="str">
        <x:v>The program office is not an administrative headquarters. It is a transaction engine that binds mission, configuration, evidence, rights, cost, custody, and authority to one inspectable state.</x:v>
      </x:c>
      <x:c r="C40" s="2" t="str"/>
      <x:c r="D40" s="2" t="str"/>
      <x:c r="E40" s="2" t="str"/>
      <x:c r="F40" s="2" t="str"/>
      <x:c r="G40" s="2" t="str"/>
      <x:c r="H40" s="2" t="str"/>
      <x:c r="I40" s="2" t="str"/>
      <x:c r="J40" s="2" t="str"/>
      <x:c r="K40" s="2" t="str"/>
      <x:c r="L40" s="2" t="str"/>
      <x:c r="M40" s="2" t="str"/>
      <x:c r="N40" s="2" t="str"/>
      <x:c r="O40" s="2" t="str"/>
      <x:c r="P40" s="2" t="str"/>
      <x:c r="Q40" s="2" t="str"/>
      <x:c r="R40" s="2" t="str"/>
    </x:row>
    <x:row r="41">
      <x:c r="B41" s="2" t="str">
        <x:v>Calendar progress has planning value but no truth value. It can forecast cash and workforce; it cannot create physical earned value.</x:v>
      </x:c>
      <x:c r="C41" s="2" t="str"/>
      <x:c r="D41" s="2" t="str"/>
      <x:c r="E41" s="2" t="str"/>
      <x:c r="F41" s="2" t="str"/>
      <x:c r="G41" s="2" t="str"/>
      <x:c r="H41" s="2" t="str"/>
      <x:c r="I41" s="2" t="str"/>
      <x:c r="J41" s="2" t="str"/>
      <x:c r="K41" s="2" t="str"/>
      <x:c r="L41" s="2" t="str"/>
      <x:c r="M41" s="2" t="str"/>
      <x:c r="N41" s="2" t="str"/>
      <x:c r="O41" s="2" t="str"/>
      <x:c r="P41" s="2" t="str"/>
      <x:c r="Q41" s="2" t="str"/>
      <x:c r="R41" s="2" t="str"/>
    </x:row>
    <x:row r="42">
      <x:c r="B42" s="2" t="str">
        <x:v>AIMC may pursue nuclear mobile utilities, autonomous construction, atmospheric access, distributed biomanufacturing, and other discontinuous capabilities because the evidence constitution contains the risk.</x:v>
      </x:c>
      <x:c r="C42" s="2" t="str"/>
      <x:c r="D42" s="2" t="str"/>
      <x:c r="E42" s="2" t="str"/>
      <x:c r="F42" s="2" t="str"/>
      <x:c r="G42" s="2" t="str"/>
      <x:c r="H42" s="2" t="str"/>
      <x:c r="I42" s="2" t="str"/>
      <x:c r="J42" s="2" t="str"/>
      <x:c r="K42" s="2" t="str"/>
      <x:c r="L42" s="2" t="str"/>
      <x:c r="M42" s="2" t="str"/>
      <x:c r="N42" s="2" t="str"/>
      <x:c r="O42" s="2" t="str"/>
      <x:c r="P42" s="2" t="str"/>
      <x:c r="Q42" s="2" t="str"/>
      <x:c r="R42" s="2" t="str"/>
    </x:row>
    <x:row r="43">
      <x:c r="B43" s="2" t="str">
        <x:v>The CTDP is not an archive delivered at program end. It is the continuously accepted product definition required to inspect, reproduce, repair, substitute, mobilize, and govern the force.</x:v>
      </x:c>
      <x:c r="C43" s="2" t="str"/>
      <x:c r="D43" s="2" t="str"/>
      <x:c r="E43" s="2" t="str"/>
      <x:c r="F43" s="2" t="str"/>
      <x:c r="G43" s="2" t="str"/>
      <x:c r="H43" s="2" t="str"/>
      <x:c r="I43" s="2" t="str"/>
      <x:c r="J43" s="2" t="str"/>
      <x:c r="K43" s="2" t="str"/>
      <x:c r="L43" s="2" t="str"/>
      <x:c r="M43" s="2" t="str"/>
      <x:c r="N43" s="2" t="str"/>
      <x:c r="O43" s="2" t="str"/>
      <x:c r="P43" s="2" t="str"/>
      <x:c r="Q43" s="2" t="str"/>
      <x:c r="R43" s="2" t="str"/>
    </x:row>
    <x:row r="44">
      <x:c r="B44" s="2" t="str">
        <x:v>Every change carries causal reach: the affected baseline, article, finding, supplier, receiver, and released capital remain linked.</x:v>
      </x:c>
      <x:c r="C44" s="2" t="str"/>
      <x:c r="D44" s="2" t="str"/>
      <x:c r="E44" s="2" t="str"/>
      <x:c r="F44" s="2" t="str"/>
      <x:c r="G44" s="2" t="str"/>
      <x:c r="H44" s="2" t="str"/>
      <x:c r="I44" s="2" t="str"/>
      <x:c r="J44" s="2" t="str"/>
      <x:c r="K44" s="2" t="str"/>
      <x:c r="L44" s="2" t="str"/>
      <x:c r="M44" s="2" t="str"/>
      <x:c r="N44" s="2" t="str"/>
      <x:c r="O44" s="2" t="str"/>
      <x:c r="P44" s="2" t="str"/>
      <x:c r="Q44" s="2" t="str"/>
      <x:c r="R44" s="2" t="str"/>
    </x:row>
    <x:row r="45">
      <x:c r="B45" s="2" t="str">
        <x:v>Failure removes entitlement, not memory. Public custody of articles, data, and evidence turns failed roots into national learning rather than private loss.</x:v>
      </x:c>
      <x:c r="C45" s="2" t="str"/>
      <x:c r="D45" s="2" t="str"/>
      <x:c r="E45" s="2" t="str"/>
      <x:c r="F45" s="2" t="str"/>
      <x:c r="G45" s="2" t="str"/>
      <x:c r="H45" s="2" t="str"/>
      <x:c r="I45" s="2" t="str"/>
      <x:c r="J45" s="2" t="str"/>
      <x:c r="K45" s="2" t="str"/>
      <x:c r="L45" s="2" t="str"/>
      <x:c r="M45" s="2" t="str"/>
      <x:c r="N45" s="2" t="str"/>
      <x:c r="O45" s="2" t="str"/>
      <x:c r="P45" s="2" t="str"/>
      <x:c r="Q45" s="2" t="str"/>
      <x:c r="R45" s="2" t="str"/>
    </x:row>
    <x:row r="46">
      <x:c r="B46" s="2" t="str">
        <x:v>The previous 64-office abstraction is refined: 48 family offices own program delivery while 16 technical integration offices police interfaces across 12 programs each.</x:v>
      </x:c>
      <x:c r="C46" s="2" t="str"/>
      <x:c r="D46" s="2" t="str"/>
      <x:c r="E46" s="2" t="str"/>
      <x:c r="F46" s="2" t="str"/>
      <x:c r="G46" s="2" t="str"/>
      <x:c r="H46" s="2" t="str"/>
      <x:c r="I46" s="2" t="str"/>
      <x:c r="J46" s="2" t="str"/>
      <x:c r="K46" s="2" t="str"/>
      <x:c r="L46" s="2" t="str"/>
      <x:c r="M46" s="2" t="str"/>
      <x:c r="N46" s="2" t="str"/>
      <x:c r="O46" s="2" t="str"/>
      <x:c r="P46" s="2" t="str"/>
      <x:c r="Q46" s="2" t="str"/>
      <x:c r="R46" s="2" t="str"/>
    </x:row>
    <x:row r="47">
      <x:c r="B47" s="2" t="str">
        <x:v>This pass closes the program transaction constitution at planning level and opens the design of a national industrial-mobilization exercise constitution.</x:v>
      </x:c>
      <x:c r="C47" s="2" t="str"/>
      <x:c r="D47" s="2" t="str"/>
      <x:c r="E47" s="2" t="str"/>
      <x:c r="F47" s="2" t="str"/>
      <x:c r="G47" s="2" t="str"/>
      <x:c r="H47" s="2" t="str"/>
      <x:c r="I47" s="2" t="str"/>
      <x:c r="J47" s="2" t="str"/>
      <x:c r="K47" s="2" t="str"/>
      <x:c r="L47" s="2" t="str"/>
      <x:c r="M47" s="2" t="str"/>
      <x:c r="N47" s="2" t="str"/>
      <x:c r="O47" s="2" t="str"/>
      <x:c r="P47" s="2" t="str"/>
      <x:c r="Q47" s="2" t="str"/>
      <x:c r="R47" s="2" t="str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mergeCells>
    <x:mergeCell ref="B3:R3"/>
    <x:mergeCell ref="B6:R6"/>
    <x:mergeCell ref="B21:R21"/>
    <x:mergeCell ref="B39:R39"/>
  </x:mergeCells>
  <x:conditionalFormatting sqref="E8:E18">
    <x:cfRule type="containsText" dxfId="50" priority="1" operator="containsText" text="OPEN"/>
    <x:cfRule type="containsText" dxfId="51" priority="2" operator="containsText" text="HOLD"/>
    <x:cfRule type="containsText" dxfId="52" priority="3" operator="containsText" text="BLOCKED"/>
    <x:cfRule type="containsText" dxfId="53" priority="4" operator="containsText" text="FAIL"/>
    <x:cfRule type="containsText" dxfId="54" priority="5" operator="containsText" text="PASS"/>
  </x:conditionalFormatting>
  <x:conditionalFormatting sqref="F23:F36">
    <x:cfRule type="containsText" dxfId="55" priority="6" operator="containsText" text="OPEN"/>
    <x:cfRule type="containsText" dxfId="56" priority="7" operator="containsText" text="HOLD"/>
    <x:cfRule type="containsText" dxfId="57" priority="8" operator="containsText" text="BLOCKED"/>
    <x:cfRule type="containsText" dxfId="58" priority="9" operator="containsText" text="FAIL"/>
    <x:cfRule type="containsText" dxfId="59" priority="10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8" hidden="0" customWidth="1"/>
    <x:col min="3" max="3" width="18" hidden="0" customWidth="1"/>
    <x:col min="4" max="4" width="22" hidden="0" customWidth="1"/>
    <x:col min="5" max="5" width="16" hidden="0" customWidth="1"/>
    <x:col min="6" max="6" width="36" hidden="0" customWidth="1"/>
  </x:cols>
  <x:sheetData>
    <x:row r="2">
      <x:c r="B2" s="3" t="str">
        <x:v>Declared operating-constitution assumptions</x:v>
      </x:c>
      <x:c r="C2" s="2"/>
      <x:c r="D2" s="2"/>
      <x:c r="E2" s="2"/>
      <x:c r="F2" s="2"/>
    </x:row>
    <x:row r="3">
      <x:c r="B3" s="4" t="str">
        <x:v>Blue-font values are editable planning inputs. They express a mature first-principles institution, not current readiness, appropriation, feasibility, or physical evidence.</x:v>
      </x:c>
      <x:c r="C3" s="2"/>
      <x:c r="D3" s="2"/>
      <x:c r="E3" s="2"/>
      <x:c r="F3" s="2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19" t="str">
        <x:v>Input</x:v>
      </x:c>
      <x:c r="C6" s="20" t="str">
        <x:v>Value</x:v>
      </x:c>
      <x:c r="D6" s="20" t="str">
        <x:v>Unit</x:v>
      </x:c>
      <x:c r="E6" s="20" t="str">
        <x:v>State</x:v>
      </x:c>
      <x:c r="F6" s="20" t="str">
        <x:v>Reopen trigger</x:v>
      </x:c>
    </x:row>
    <x:row r="7">
      <x:c r="B7" s="21" t="str">
        <x:v>Force families</x:v>
      </x:c>
      <x:c r="C7" s="22" t="n">
        <x:v>48</x:v>
      </x:c>
      <x:c r="D7" s="21" t="str">
        <x:v>families</x:v>
      </x:c>
      <x:c r="E7" s="21" t="str">
        <x:v>FROZEN</x:v>
      </x:c>
      <x:c r="F7" s="23" t="str">
        <x:v>force architecture change</x:v>
      </x:c>
    </x:row>
    <x:row r="8">
      <x:c r="B8" s="21" t="str">
        <x:v>Concurrent increments per family</x:v>
      </x:c>
      <x:c r="C8" s="22" t="n">
        <x:v>4</x:v>
      </x:c>
      <x:c r="D8" s="21" t="str">
        <x:v>programs</x:v>
      </x:c>
      <x:c r="E8" s="21" t="str">
        <x:v>FROZEN</x:v>
      </x:c>
      <x:c r="F8" s="23" t="str">
        <x:v>program strategy change</x:v>
      </x:c>
    </x:row>
    <x:row r="9">
      <x:c r="B9" s="21" t="str">
        <x:v>Technical roots per program</x:v>
      </x:c>
      <x:c r="C9" s="22" t="n">
        <x:v>3</x:v>
      </x:c>
      <x:c r="D9" s="21" t="str">
        <x:v>roots</x:v>
      </x:c>
      <x:c r="E9" s="21" t="str">
        <x:v>FROZEN</x:v>
      </x:c>
      <x:c r="F9" s="23" t="str">
        <x:v>competition doctrine change</x:v>
      </x:c>
    </x:row>
    <x:row r="10">
      <x:c r="B10" s="21" t="str">
        <x:v>CTDP classes per root</x:v>
      </x:c>
      <x:c r="C10" s="22" t="n">
        <x:v>28</x:v>
      </x:c>
      <x:c r="D10" s="21" t="str">
        <x:v>classes</x:v>
      </x:c>
      <x:c r="E10" s="21" t="str">
        <x:v>FROZEN</x:v>
      </x:c>
      <x:c r="F10" s="23" t="str">
        <x:v>data constitution change</x:v>
      </x:c>
    </x:row>
    <x:row r="11">
      <x:c r="B11" s="21" t="str">
        <x:v>Earned physical artifacts per program</x:v>
      </x:c>
      <x:c r="C11" s="22" t="n">
        <x:v>10</x:v>
      </x:c>
      <x:c r="D11" s="21" t="str">
        <x:v>artifacts</x:v>
      </x:c>
      <x:c r="E11" s="21" t="str">
        <x:v>FROZEN</x:v>
      </x:c>
      <x:c r="F11" s="23" t="str">
        <x:v>capital-release constitution change</x:v>
      </x:c>
    </x:row>
    <x:row r="12">
      <x:c r="B12" s="21" t="str">
        <x:v>Configuration baselines per program</x:v>
      </x:c>
      <x:c r="C12" s="22" t="n">
        <x:v>7</x:v>
      </x:c>
      <x:c r="D12" s="21" t="str">
        <x:v>baselines</x:v>
      </x:c>
      <x:c r="E12" s="21" t="str">
        <x:v>FROZEN</x:v>
      </x:c>
      <x:c r="F12" s="23" t="str">
        <x:v>configuration doctrine change</x:v>
      </x:c>
    </x:row>
    <x:row r="13">
      <x:c r="B13" s="21" t="str">
        <x:v>Family program offices</x:v>
      </x:c>
      <x:c r="C13" s="22" t="n">
        <x:v>48</x:v>
      </x:c>
      <x:c r="D13" s="21" t="str">
        <x:v>offices</x:v>
      </x:c>
      <x:c r="E13" s="21" t="str">
        <x:v>FROZEN</x:v>
      </x:c>
      <x:c r="F13" s="23" t="str">
        <x:v>office topology change</x:v>
      </x:c>
    </x:row>
    <x:row r="14">
      <x:c r="B14" s="21" t="str">
        <x:v>Technical integration offices</x:v>
      </x:c>
      <x:c r="C14" s="22" t="n">
        <x:v>16</x:v>
      </x:c>
      <x:c r="D14" s="21" t="str">
        <x:v>offices</x:v>
      </x:c>
      <x:c r="E14" s="21" t="str">
        <x:v>FROZEN</x:v>
      </x:c>
      <x:c r="F14" s="23" t="str">
        <x:v>integration topology change</x:v>
      </x:c>
    </x:row>
    <x:row r="15">
      <x:c r="B15" s="21" t="str">
        <x:v>Personnel per office</x:v>
      </x:c>
      <x:c r="C15" s="22" t="n">
        <x:v>2000</x:v>
      </x:c>
      <x:c r="D15" s="21" t="str">
        <x:v>people</x:v>
      </x:c>
      <x:c r="E15" s="21" t="str">
        <x:v>FROZEN</x:v>
      </x:c>
      <x:c r="F15" s="23" t="str">
        <x:v>workforce design change</x:v>
      </x:c>
    </x:row>
    <x:row r="16">
      <x:c r="B16" s="21" t="str">
        <x:v>Program lifecycle</x:v>
      </x:c>
      <x:c r="C16" s="22" t="n">
        <x:v>12</x:v>
      </x:c>
      <x:c r="D16" s="21" t="str">
        <x:v>years</x:v>
      </x:c>
      <x:c r="E16" s="21" t="str">
        <x:v>FROZEN</x:v>
      </x:c>
      <x:c r="F16" s="23" t="str">
        <x:v>evidence cadence change</x:v>
      </x:c>
    </x:row>
    <x:row r="17">
      <x:c r="B17" s="21" t="str">
        <x:v>Force capital boundary</x:v>
      </x:c>
      <x:c r="C17" s="22" t="n">
        <x:v>15.179</x:v>
      </x:c>
      <x:c r="D17" s="21" t="str">
        <x:v>constant USD T</x:v>
      </x:c>
      <x:c r="E17" s="21" t="str">
        <x:v>FROZEN</x:v>
      </x:c>
      <x:c r="F17" s="23" t="str">
        <x:v>canonical force model change</x:v>
      </x:c>
    </x:row>
    <x:row r="18">
      <x:c r="B18" s="21" t="str">
        <x:v>Technical rights required per root</x:v>
      </x:c>
      <x:c r="C18" s="22" t="n">
        <x:v>8</x:v>
      </x:c>
      <x:c r="D18" s="21" t="str">
        <x:v>rights</x:v>
      </x:c>
      <x:c r="E18" s="21" t="str">
        <x:v>FROZEN</x:v>
      </x:c>
      <x:c r="F18" s="23" t="str">
        <x:v>rights constitution change</x:v>
      </x:c>
    </x:row>
    <x:row r="19">
      <x:c r="B19" s="24" t="str">
        <x:v>Rendering authority</x:v>
      </x:c>
      <x:c r="C19" s="25" t="n">
        <x:v>0</x:v>
      </x:c>
      <x:c r="D19" s="24" t="str">
        <x:v>binary</x:v>
      </x:c>
      <x:c r="E19" s="24" t="str">
        <x:v>FROZEN</x:v>
      </x:c>
      <x:c r="F19" s="26" t="str">
        <x:v>measured-form authority</x:v>
      </x:c>
    </x:row>
    <x:row r="20">
      <x:c r="B20" s="2"/>
      <x:c r="C20" s="2"/>
      <x:c r="D20" s="2"/>
      <x:c r="E20" s="2"/>
      <x:c r="F20" s="2"/>
    </x:row>
    <x:row r="21">
      <x:c r="B21" s="2"/>
      <x:c r="C21" s="2"/>
      <x:c r="D21" s="2"/>
      <x:c r="E21" s="2"/>
      <x:c r="F21" s="2"/>
    </x:row>
    <x:row r="22">
      <x:c r="B22" s="29" t="str">
        <x:v>Non-negotiable boundary</x:v>
      </x:c>
      <x:c r="C22" s="30" t="str">
        <x:v>Non-negotiable boundary</x:v>
      </x:c>
      <x:c r="D22" s="30" t="str">
        <x:v>Non-negotiable boundary</x:v>
      </x:c>
      <x:c r="E22" s="30" t="str">
        <x:v>Non-negotiable boundary</x:v>
      </x:c>
      <x:c r="F22" s="31" t="str">
        <x:v>Non-negotiable boundary</x:v>
      </x:c>
    </x:row>
    <x:row r="23">
      <x:c r="B23" s="2" t="str">
        <x:v>The unit of program control is an authority-bearing physical artifact attached to a configuration, not a review or date.</x:v>
      </x:c>
      <x:c r="C23" s="2" t="str"/>
      <x:c r="D23" s="2" t="str"/>
      <x:c r="E23" s="2" t="str"/>
      <x:c r="F23" s="2" t="str"/>
    </x:row>
    <x:row r="24">
      <x:c r="B24" s="2" t="str">
        <x:v>A decision is valid only when mission, configuration, evidence, rights, cost, custody, and release authority meet at the same serial state.</x:v>
      </x:c>
      <x:c r="C24" s="2" t="str"/>
      <x:c r="D24" s="2" t="str"/>
      <x:c r="E24" s="2" t="str"/>
      <x:c r="F24" s="2" t="str"/>
    </x:row>
    <x:row r="25">
      <x:c r="B25" s="2" t="str">
        <x:v>Program budgets contain traceable draws on shared public facilities; no capital may be counted twice.</x:v>
      </x:c>
      <x:c r="C25" s="2" t="str"/>
      <x:c r="D25" s="2" t="str"/>
      <x:c r="E25" s="2" t="str"/>
      <x:c r="F25" s="2" t="str"/>
    </x:row>
    <x:row r="26">
      <x:c r="B26" s="2" t="str">
        <x:v>Every technical root must be independently inspectable and reproducible from the public data package.</x:v>
      </x:c>
      <x:c r="C26" s="2" t="str"/>
      <x:c r="D26" s="2" t="str"/>
      <x:c r="E26" s="2" t="str"/>
      <x:c r="F26" s="2" t="str"/>
    </x:row>
    <x:row r="27">
      <x:c r="B27" s="2" t="str">
        <x:v>The model may express audacious technology but cannot convert aspiration into evidence credit.</x:v>
      </x:c>
      <x:c r="C27" s="2" t="str"/>
      <x:c r="D27" s="2" t="str"/>
      <x:c r="E27" s="2" t="str"/>
      <x:c r="F27" s="2" t="str"/>
    </x:row>
    <x:row r="28">
      <x:c r="B28" s="2" t="str">
        <x:v>A failed root is replaceable; its evidence, articles, deviations, and causal history are not erasable.</x:v>
      </x:c>
      <x:c r="C28" s="2" t="str"/>
      <x:c r="D28" s="2" t="str"/>
      <x:c r="E28" s="2" t="str"/>
      <x:c r="F28" s="2" t="str"/>
    </x:row>
    <x:row r="29">
      <x:c r="B29" s="2" t="str">
        <x:v>No emergency urgency permits a builder to certify itself or the release board to manufacture missing evidence.</x:v>
      </x:c>
      <x:c r="C29" s="2" t="str"/>
      <x:c r="D29" s="2" t="str"/>
      <x:c r="E29" s="2" t="str"/>
      <x:c r="F29" s="2" t="str"/>
    </x:row>
    <x:row r="30">
      <x:c r="B30" s="2" t="str">
        <x:v>Vehicle form and rendering remain blocked pending measured internal sections and accepted coupled-performance evidence.</x:v>
      </x:c>
      <x:c r="C30" s="2" t="str"/>
      <x:c r="D30" s="2" t="str"/>
      <x:c r="E30" s="2" t="str"/>
      <x:c r="F30" s="2" t="str"/>
    </x:row>
    <x:row r="31">
      <x:c r="B31" s="2"/>
      <x:c r="C31" s="2"/>
      <x:c r="D31" s="2"/>
      <x:c r="E31" s="2"/>
      <x:c r="F31" s="2"/>
    </x:row>
    <x:row r="32">
      <x:c r="B32" s="2"/>
      <x:c r="C32" s="2"/>
      <x:c r="D32" s="2"/>
      <x:c r="E32" s="2"/>
      <x:c r="F32" s="2"/>
    </x:row>
    <x:row r="33">
      <x:c r="B33" s="2"/>
      <x:c r="C33" s="2"/>
      <x:c r="D33" s="2"/>
      <x:c r="E33" s="2"/>
      <x:c r="F33" s="2"/>
    </x:row>
    <x:row r="34">
      <x:c r="B34" s="2"/>
      <x:c r="C34" s="2"/>
      <x:c r="D34" s="2"/>
      <x:c r="E34" s="2"/>
      <x:c r="F34" s="2"/>
    </x:row>
    <x:row r="35">
      <x:c r="B35" s="2"/>
      <x:c r="C35" s="2"/>
      <x:c r="D35" s="2"/>
      <x:c r="E35" s="2"/>
      <x:c r="F35" s="2"/>
    </x:row>
    <x:row r="36">
      <x:c r="B36" s="2"/>
      <x:c r="C36" s="2"/>
      <x:c r="D36" s="2"/>
      <x:c r="E36" s="2"/>
      <x:c r="F36" s="2"/>
    </x:row>
    <x:row r="37">
      <x:c r="B37" s="2"/>
      <x:c r="C37" s="2"/>
      <x:c r="D37" s="2"/>
      <x:c r="E37" s="2"/>
      <x:c r="F37" s="2"/>
    </x:row>
    <x:row r="38">
      <x:c r="B38" s="2"/>
      <x:c r="C38" s="2"/>
      <x:c r="D38" s="2"/>
      <x:c r="E38" s="2"/>
      <x:c r="F38" s="2"/>
    </x:row>
  </x:sheetData>
  <x:mergeCells>
    <x:mergeCell ref="B3:F3"/>
    <x:mergeCell ref="B22:F22"/>
  </x:mergeCells>
  <x:conditionalFormatting sqref="E7:E19">
    <x:cfRule type="containsText" dxfId="0" priority="1" operator="containsText" text="OPEN"/>
    <x:cfRule type="containsText" dxfId="1" priority="2" operator="containsText" text="HOLD"/>
    <x:cfRule type="containsText" dxfId="2" priority="3" operator="containsText" text="BLOCKED"/>
    <x:cfRule type="containsText" dxfId="3" priority="4" operator="containsText" text="FAIL"/>
    <x:cfRule type="containsText" dxfId="4" priority="5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0" hidden="0" customWidth="1"/>
    <x:col min="4" max="4" width="18" hidden="0" customWidth="1"/>
    <x:col min="5" max="5" width="35" hidden="0" customWidth="1"/>
    <x:col min="6" max="6" width="20" hidden="0" customWidth="1"/>
    <x:col min="7" max="7" width="13" hidden="0" customWidth="1"/>
    <x:col min="8" max="8" width="58" hidden="0" customWidth="1"/>
  </x:cols>
  <x:sheetData>
    <x:row r="2">
      <x:c r="B2" s="3" t="str">
        <x:v>Ten earned physical artifacts</x:v>
      </x:c>
      <x:c r="C2" s="2"/>
      <x:c r="D2" s="2"/>
      <x:c r="E2" s="2"/>
      <x:c r="F2" s="2"/>
      <x:c r="G2" s="2"/>
      <x:c r="H2" s="2"/>
    </x:row>
    <x:row r="3">
      <x:c r="B3" s="4" t="str">
        <x:v>Each artifact closes a different uncertainty. A nominal milestone earns no capital unless the artifact, data threshold, prior chain, and independent release signature all close.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Sequence</x:v>
      </x:c>
      <x:c r="C6" s="20" t="str">
        <x:v>Artifact</x:v>
      </x:c>
      <x:c r="D6" s="20" t="str">
        <x:v>Minimum CTDP classes</x:v>
      </x:c>
      <x:c r="E6" s="20" t="str">
        <x:v>Release authority</x:v>
      </x:c>
      <x:c r="F6" s="20" t="str">
        <x:v>Portfolio allocation USD T</x:v>
      </x:c>
      <x:c r="G6" s="20" t="str">
        <x:v>Share</x:v>
      </x:c>
      <x:c r="H6" s="20" t="str">
        <x:v>Closure question</x:v>
      </x:c>
    </x:row>
    <x:row r="7" ht="32" customHeight="1">
      <x:c r="B7" s="35" t="n">
        <x:v>1</x:v>
      </x:c>
      <x:c r="C7" s="35" t="str">
        <x:v>Civil effect charter</x:v>
      </x:c>
      <x:c r="D7" s="35" t="n">
        <x:v>0</x:v>
      </x:c>
      <x:c r="E7" s="35" t="str">
        <x:v>Civil Guarantee Authority</x:v>
      </x:c>
      <x:c r="F7" s="36" t="n">
        <x:v>0.75</x:v>
      </x:c>
      <x:c r="G7" s="37" t="n">
        <x:f>F7/SUM($F$7:$F$16)</x:f>
        <x:v>0.04941036958956453</x:v>
      </x:c>
      <x:c r="H7" s="38" t="str">
        <x:v>the public condition to be guaranteed and the unacceptable residual state</x:v>
      </x:c>
    </x:row>
    <x:row r="8" ht="32" customHeight="1">
      <x:c r="B8" s="35" t="n">
        <x:v>2</x:v>
      </x:c>
      <x:c r="C8" s="35" t="str">
        <x:v>Requirement and root-independence package</x:v>
      </x:c>
      <x:c r="D8" s="35" t="n">
        <x:v>8</x:v>
      </x:c>
      <x:c r="E8" s="35" t="str">
        <x:v>Resilience Staff</x:v>
      </x:c>
      <x:c r="F8" s="36" t="n">
        <x:v>1.55</x:v>
      </x:c>
      <x:c r="G8" s="37" t="n">
        <x:f>F8/SUM($F$7:$F$16)</x:f>
        <x:v>0.10211476381843337</x:v>
      </x:c>
      <x:c r="H8" s="38" t="str">
        <x:v>falsifiable burden limits and materially unlike paths</x:v>
      </x:c>
    </x:row>
    <x:row r="9" ht="32" customHeight="1">
      <x:c r="B9" s="35" t="n">
        <x:v>3</x:v>
      </x:c>
      <x:c r="C9" s="35" t="str">
        <x:v>Architecture and burden closure</x:v>
      </x:c>
      <x:c r="D9" s="35" t="n">
        <x:v>14</x:v>
      </x:c>
      <x:c r="E9" s="35" t="str">
        <x:v>Independent Evidence and Data Authority</x:v>
      </x:c>
      <x:c r="F9" s="36" t="n">
        <x:v>1.3</x:v>
      </x:c>
      <x:c r="G9" s="37" t="n">
        <x:f>F9/SUM($F$7:$F$16)</x:f>
        <x:v>0.08564464062191186</x:v>
      </x:c>
      <x:c r="H9" s="38" t="str">
        <x:v>interfaces and coupled resource budgets close</x:v>
      </x:c>
    </x:row>
    <x:row r="10" ht="32" customHeight="1">
      <x:c r="B10" s="35" t="n">
        <x:v>4</x:v>
      </x:c>
      <x:c r="C10" s="35" t="str">
        <x:v>Engineering article acceptance</x:v>
      </x:c>
      <x:c r="D10" s="35" t="n">
        <x:v>18</x:v>
      </x:c>
      <x:c r="E10" s="35" t="str">
        <x:v>Independent Evidence and Data Authority</x:v>
      </x:c>
      <x:c r="F10" s="36" t="n">
        <x:v>0.9</x:v>
      </x:c>
      <x:c r="G10" s="37" t="n">
        <x:f>F10/SUM($F$7:$F$16)</x:f>
        <x:v>0.05929244350747744</x:v>
      </x:c>
      <x:c r="H10" s="38" t="str">
        <x:v>serialized articles match the declared build baseline</x:v>
      </x:c>
    </x:row>
    <x:row r="11" ht="32" customHeight="1">
      <x:c r="B11" s="35" t="n">
        <x:v>5</x:v>
      </x:c>
      <x:c r="C11" s="35" t="str">
        <x:v>Qualification and destructive evidence</x:v>
      </x:c>
      <x:c r="D11" s="35" t="n">
        <x:v>21</x:v>
      </x:c>
      <x:c r="E11" s="35" t="str">
        <x:v>Independent Evidence and Data Authority</x:v>
      </x:c>
      <x:c r="F11" s="36" t="n">
        <x:v>2.3</x:v>
      </x:c>
      <x:c r="G11" s="37" t="n">
        <x:f>F11/SUM($F$7:$F$16)</x:f>
        <x:v>0.1515251334079979</x:v>
      </x:c>
      <x:c r="H11" s="38" t="str">
        <x:v>limits and failure states are physically exposed</x:v>
      </x:c>
    </x:row>
    <x:row r="12" ht="32" customHeight="1">
      <x:c r="B12" s="35" t="n">
        <x:v>6</x:v>
      </x:c>
      <x:c r="C12" s="35" t="str">
        <x:v>Representative mission result</x:v>
      </x:c>
      <x:c r="D12" s="35" t="n">
        <x:v>23</x:v>
      </x:c>
      <x:c r="E12" s="35" t="str">
        <x:v>Receiving Service Authority</x:v>
      </x:c>
      <x:c r="F12" s="36" t="n">
        <x:v>3.8</x:v>
      </x:c>
      <x:c r="G12" s="37" t="n">
        <x:f>F12/SUM($F$7:$F$16)</x:f>
        <x:v>0.250345872587127</x:v>
      </x:c>
      <x:c r="H12" s="38" t="str">
        <x:v>the effect survives representative damage and receiving conditions</x:v>
      </x:c>
    </x:row>
    <x:row r="13" ht="32" customHeight="1">
      <x:c r="B13" s="35" t="n">
        <x:v>7</x:v>
      </x:c>
      <x:c r="C13" s="35" t="str">
        <x:v>Independent reproduction</x:v>
      </x:c>
      <x:c r="D13" s="35" t="n">
        <x:v>28</x:v>
      </x:c>
      <x:c r="E13" s="35" t="str">
        <x:v>Independent Evidence and Data Authority</x:v>
      </x:c>
      <x:c r="F13" s="36" t="n">
        <x:v>3.3</x:v>
      </x:c>
      <x:c r="G13" s="37" t="n">
        <x:f>F13/SUM($F$7:$F$16)</x:f>
        <x:v>0.21740562619408393</x:v>
      </x:c>
      <x:c r="H13" s="38" t="str">
        <x:v>a second team reproduces the result from public data</x:v>
      </x:c>
    </x:row>
    <x:row r="14" ht="32" customHeight="1">
      <x:c r="B14" s="35" t="n">
        <x:v>8</x:v>
      </x:c>
      <x:c r="C14" s="35" t="str">
        <x:v>Pilot-process qualification</x:v>
      </x:c>
      <x:c r="D14" s="35" t="n">
        <x:v>28</x:v>
      </x:c>
      <x:c r="E14" s="35" t="str">
        <x:v>AIMC Industrial Mobilization Authority</x:v>
      </x:c>
      <x:c r="F14" s="36" t="n">
        <x:v>0.6</x:v>
      </x:c>
      <x:c r="G14" s="37" t="n">
        <x:f>F14/SUM($F$7:$F$16)</x:f>
        <x:v>0.03952829567165163</x:v>
      </x:c>
      <x:c r="H14" s="38" t="str">
        <x:v>repeatable yield and acceptance emerge from a bounded line</x:v>
      </x:c>
    </x:row>
    <x:row r="15" ht="32" customHeight="1">
      <x:c r="B15" s="35" t="n">
        <x:v>9</x:v>
      </x:c>
      <x:c r="C15" s="35" t="str">
        <x:v>Production release package</x:v>
      </x:c>
      <x:c r="D15" s="35" t="n">
        <x:v>28</x:v>
      </x:c>
      <x:c r="E15" s="35" t="str">
        <x:v>Production Release Board</x:v>
      </x:c>
      <x:c r="F15" s="36" t="n">
        <x:v>0.25</x:v>
      </x:c>
      <x:c r="G15" s="37" t="n">
        <x:f>F15/SUM($F$7:$F$16)</x:f>
        <x:v>0.01647012319652151</x:v>
      </x:c>
      <x:c r="H15" s="38" t="str">
        <x:v>configuration cost evidence and custody converge for serial release</x:v>
      </x:c>
    </x:row>
    <x:row r="16" ht="32" customHeight="1">
      <x:c r="B16" s="39" t="n">
        <x:v>10</x:v>
      </x:c>
      <x:c r="C16" s="39" t="str">
        <x:v>Mobilization activation</x:v>
      </x:c>
      <x:c r="D16" s="39" t="n">
        <x:v>28</x:v>
      </x:c>
      <x:c r="E16" s="39" t="str">
        <x:v>Production Release Board</x:v>
      </x:c>
      <x:c r="F16" s="40" t="n">
        <x:v>0.429</x:v>
      </x:c>
      <x:c r="G16" s="41" t="n">
        <x:f>F16/SUM($F$7:$F$16)</x:f>
        <x:v>0.028262731405230914</x:v>
      </x:c>
      <x:c r="H16" s="42" t="str">
        <x:v>no-notice output reaches receivers as conforming service</x:v>
      </x:c>
    </x:row>
    <x:row r="17">
      <x:c r="B17" s="2"/>
      <x:c r="C17" s="2"/>
      <x:c r="D17" s="2"/>
      <x:c r="E17" s="2"/>
      <x:c r="F17" s="2"/>
      <x:c r="G17" s="2"/>
      <x:c r="H17" s="2"/>
    </x:row>
    <x:row r="18">
      <x:c r="B18" s="2"/>
      <x:c r="C18" s="2"/>
      <x:c r="D18" s="2"/>
      <x:c r="E18" s="2"/>
      <x:c r="F18" s="2"/>
      <x:c r="G18" s="2"/>
      <x:c r="H18" s="2"/>
    </x:row>
    <x:row r="19">
      <x:c r="B19" s="29" t="str">
        <x:v>Consequence</x:v>
      </x:c>
      <x:c r="C19" s="30" t="str">
        <x:v>Consequence</x:v>
      </x:c>
      <x:c r="D19" s="30" t="str">
        <x:v>Consequence</x:v>
      </x:c>
      <x:c r="E19" s="30" t="str">
        <x:v>Consequence</x:v>
      </x:c>
      <x:c r="F19" s="30" t="str">
        <x:v>Consequence</x:v>
      </x:c>
      <x:c r="G19" s="30" t="str">
        <x:v>Consequence</x:v>
      </x:c>
      <x:c r="H19" s="31" t="str">
        <x:v>Consequence</x:v>
      </x:c>
    </x:row>
    <x:row r="20">
      <x:c r="B20" s="2" t="str">
        <x:v>Artifacts are not paperwork proxies: each names a physical state, traceable configuration, custodian, and authority-bearing finding.</x:v>
      </x:c>
      <x:c r="C20" s="2" t="str"/>
      <x:c r="D20" s="2" t="str"/>
      <x:c r="E20" s="2" t="str"/>
      <x:c r="F20" s="2" t="str"/>
      <x:c r="G20" s="2" t="str"/>
      <x:c r="H20" s="2" t="str"/>
    </x:row>
    <x:row r="21">
      <x:c r="B21" s="2" t="str">
        <x:v>The capital allocation is the entire USD 15.179T force envelope distributed across the ten artifact classes; it is not an additive AIMC budget.</x:v>
      </x:c>
      <x:c r="C21" s="2" t="str"/>
      <x:c r="D21" s="2" t="str"/>
      <x:c r="E21" s="2" t="str"/>
      <x:c r="F21" s="2" t="str"/>
      <x:c r="G21" s="2" t="str"/>
      <x:c r="H21" s="2" t="str"/>
    </x:row>
    <x:row r="22">
      <x:c r="B22" s="2" t="str">
        <x:v>Every program carries the same allocation shares while absolute tranches scale to its family capital.</x:v>
      </x:c>
      <x:c r="C22" s="2" t="str"/>
      <x:c r="D22" s="2" t="str"/>
      <x:c r="E22" s="2" t="str"/>
      <x:c r="F22" s="2" t="str"/>
      <x:c r="G22" s="2" t="str"/>
      <x:c r="H22" s="2" t="str"/>
    </x:row>
    <x:row r="23">
      <x:c r="B23" s="2"/>
      <x:c r="C23" s="2"/>
      <x:c r="D23" s="2"/>
      <x:c r="E23" s="2"/>
      <x:c r="F23" s="2"/>
      <x:c r="G23" s="2"/>
      <x:c r="H23" s="2"/>
    </x:row>
    <x:row r="24">
      <x:c r="B24" s="2"/>
      <x:c r="C24" s="2"/>
      <x:c r="D24" s="2"/>
      <x:c r="E24" s="2"/>
      <x:c r="F24" s="2"/>
      <x:c r="G24" s="2"/>
      <x:c r="H24" s="2"/>
    </x:row>
  </x:sheetData>
  <x:mergeCells>
    <x:mergeCell ref="B3:H3"/>
    <x:mergeCell ref="B19:H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25" hidden="0" customWidth="1"/>
    <x:col min="4" max="4" width="42" hidden="0" customWidth="1"/>
    <x:col min="5" max="5" width="14" hidden="0" customWidth="1"/>
    <x:col min="6" max="6" width="14" hidden="0" customWidth="1"/>
    <x:col min="7" max="7" width="18" hidden="0" customWidth="1"/>
    <x:col min="8" max="8" width="26" hidden="0" customWidth="1"/>
    <x:col min="9" max="9" width="29" hidden="0" customWidth="1"/>
    <x:col min="10" max="10" width="29" hidden="0" customWidth="1"/>
    <x:col min="11" max="11" width="48" hidden="0" customWidth="1"/>
  </x:cols>
  <x:sheetData>
    <x:row r="2">
      <x:c r="B2" s="3" t="str">
        <x:v>Common program-office network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Pass 97 refines the previous generic 64-office placeholder into 48 family program offices and 16 cross-portfolio technical integration offices while preserving the 128,000-person boundary.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Office</x:v>
      </x:c>
      <x:c r="C6" s="20" t="str">
        <x:v>Type</x:v>
      </x:c>
      <x:c r="D6" s="20" t="str">
        <x:v>Mission object</x:v>
      </x:c>
      <x:c r="E6" s="20" t="str">
        <x:v>Programs served</x:v>
      </x:c>
      <x:c r="F6" s="20" t="str">
        <x:v>Personnel</x:v>
      </x:c>
      <x:c r="G6" s="20" t="str">
        <x:v>Executive and legal</x:v>
      </x:c>
      <x:c r="H6" s="20" t="str">
        <x:v>Systems and mission engineering</x:v>
      </x:c>
      <x:c r="I6" s="20" t="str">
        <x:v>Evidence data and configuration</x:v>
      </x:c>
      <x:c r="J6" s="20" t="str">
        <x:v>Industry cost and field integration</x:v>
      </x:c>
      <x:c r="K6" s="20" t="str">
        <x:v>Authority boundary</x:v>
      </x:c>
    </x:row>
    <x:row r="7" ht="29" customHeight="1">
      <x:c r="B7" s="35" t="str">
        <x:v>FPO-01</x:v>
      </x:c>
      <x:c r="C7" s="35" t="str">
        <x:v>Family program office</x:v>
      </x:c>
      <x:c r="D7" s="35" t="str">
        <x:v>Civil coordination node</x:v>
      </x:c>
      <x:c r="E7" s="35" t="n">
        <x:v>4</x:v>
      </x:c>
      <x:c r="F7" s="35" t="n">
        <x:v>2000</x:v>
      </x:c>
      <x:c r="G7" s="35" t="n">
        <x:v>120</x:v>
      </x:c>
      <x:c r="H7" s="35" t="n">
        <x:v>760</x:v>
      </x:c>
      <x:c r="I7" s="35" t="n">
        <x:v>440</x:v>
      </x:c>
      <x:c r="J7" s="35" t="n">
        <x:v>680</x:v>
      </x:c>
      <x:c r="K7" s="38" t="str">
        <x:v>owns delivery; cannot grade evidence or release serial production</x:v>
      </x:c>
    </x:row>
    <x:row r="8" ht="29" customHeight="1">
      <x:c r="B8" s="35" t="str">
        <x:v>FPO-02</x:v>
      </x:c>
      <x:c r="C8" s="35" t="str">
        <x:v>Family program office</x:v>
      </x:c>
      <x:c r="D8" s="35" t="str">
        <x:v>Common operating-picture mesh</x:v>
      </x:c>
      <x:c r="E8" s="35" t="n">
        <x:v>4</x:v>
      </x:c>
      <x:c r="F8" s="35" t="n">
        <x:v>2000</x:v>
      </x:c>
      <x:c r="G8" s="35" t="n">
        <x:v>120</x:v>
      </x:c>
      <x:c r="H8" s="35" t="n">
        <x:v>760</x:v>
      </x:c>
      <x:c r="I8" s="35" t="n">
        <x:v>440</x:v>
      </x:c>
      <x:c r="J8" s="35" t="n">
        <x:v>680</x:v>
      </x:c>
      <x:c r="K8" s="38" t="str">
        <x:v>owns delivery; cannot grade evidence or release serial production</x:v>
      </x:c>
    </x:row>
    <x:row r="9" ht="29" customHeight="1">
      <x:c r="B9" s="35" t="str">
        <x:v>FPO-03</x:v>
      </x:c>
      <x:c r="C9" s="35" t="str">
        <x:v>Family program office</x:v>
      </x:c>
      <x:c r="D9" s="35" t="str">
        <x:v>Public warning and translation network</x:v>
      </x:c>
      <x:c r="E9" s="35" t="n">
        <x:v>4</x:v>
      </x:c>
      <x:c r="F9" s="35" t="n">
        <x:v>2000</x:v>
      </x:c>
      <x:c r="G9" s="35" t="n">
        <x:v>120</x:v>
      </x:c>
      <x:c r="H9" s="35" t="n">
        <x:v>760</x:v>
      </x:c>
      <x:c r="I9" s="35" t="n">
        <x:v>440</x:v>
      </x:c>
      <x:c r="J9" s="35" t="n">
        <x:v>680</x:v>
      </x:c>
      <x:c r="K9" s="38" t="str">
        <x:v>owns delivery; cannot grade evidence or release serial production</x:v>
      </x:c>
    </x:row>
    <x:row r="10" ht="29" customHeight="1">
      <x:c r="B10" s="35" t="str">
        <x:v>FPO-04</x:v>
      </x:c>
      <x:c r="C10" s="35" t="str">
        <x:v>Family program office</x:v>
      </x:c>
      <x:c r="D10" s="35" t="str">
        <x:v>Evidence and identity continuity system</x:v>
      </x:c>
      <x:c r="E10" s="35" t="n">
        <x:v>4</x:v>
      </x:c>
      <x:c r="F10" s="35" t="n">
        <x:v>2000</x:v>
      </x:c>
      <x:c r="G10" s="35" t="n">
        <x:v>120</x:v>
      </x:c>
      <x:c r="H10" s="35" t="n">
        <x:v>760</x:v>
      </x:c>
      <x:c r="I10" s="35" t="n">
        <x:v>440</x:v>
      </x:c>
      <x:c r="J10" s="35" t="n">
        <x:v>680</x:v>
      </x:c>
      <x:c r="K10" s="38" t="str">
        <x:v>owns delivery; cannot grade evidence or release serial production</x:v>
      </x:c>
    </x:row>
    <x:row r="11" ht="29" customHeight="1">
      <x:c r="B11" s="35" t="str">
        <x:v>FPO-05</x:v>
      </x:c>
      <x:c r="C11" s="35" t="str">
        <x:v>Family program office</x:v>
      </x:c>
      <x:c r="D11" s="35" t="str">
        <x:v>Rapid nutrition production cell</x:v>
      </x:c>
      <x:c r="E11" s="35" t="n">
        <x:v>4</x:v>
      </x:c>
      <x:c r="F11" s="35" t="n">
        <x:v>2000</x:v>
      </x:c>
      <x:c r="G11" s="35" t="n">
        <x:v>120</x:v>
      </x:c>
      <x:c r="H11" s="35" t="n">
        <x:v>760</x:v>
      </x:c>
      <x:c r="I11" s="35" t="n">
        <x:v>440</x:v>
      </x:c>
      <x:c r="J11" s="35" t="n">
        <x:v>680</x:v>
      </x:c>
      <x:c r="K11" s="38" t="str">
        <x:v>owns delivery; cannot grade evidence or release serial production</x:v>
      </x:c>
    </x:row>
    <x:row r="12" ht="29" customHeight="1">
      <x:c r="B12" s="35" t="str">
        <x:v>FPO-06</x:v>
      </x:c>
      <x:c r="C12" s="35" t="str">
        <x:v>Family program office</x:v>
      </x:c>
      <x:c r="D12" s="35" t="str">
        <x:v>Cold-chain preservation lattice</x:v>
      </x:c>
      <x:c r="E12" s="35" t="n">
        <x:v>4</x:v>
      </x:c>
      <x:c r="F12" s="35" t="n">
        <x:v>2000</x:v>
      </x:c>
      <x:c r="G12" s="35" t="n">
        <x:v>120</x:v>
      </x:c>
      <x:c r="H12" s="35" t="n">
        <x:v>760</x:v>
      </x:c>
      <x:c r="I12" s="35" t="n">
        <x:v>440</x:v>
      </x:c>
      <x:c r="J12" s="35" t="n">
        <x:v>680</x:v>
      </x:c>
      <x:c r="K12" s="38" t="str">
        <x:v>owns delivery; cannot grade evidence or release serial production</x:v>
      </x:c>
    </x:row>
    <x:row r="13" ht="29" customHeight="1">
      <x:c r="B13" s="35" t="str">
        <x:v>FPO-07</x:v>
      </x:c>
      <x:c r="C13" s="35" t="str">
        <x:v>Family program office</x:v>
      </x:c>
      <x:c r="D13" s="35" t="str">
        <x:v>Shelter manufacturing line</x:v>
      </x:c>
      <x:c r="E13" s="35" t="n">
        <x:v>4</x:v>
      </x:c>
      <x:c r="F13" s="35" t="n">
        <x:v>2000</x:v>
      </x:c>
      <x:c r="G13" s="35" t="n">
        <x:v>120</x:v>
      </x:c>
      <x:c r="H13" s="35" t="n">
        <x:v>760</x:v>
      </x:c>
      <x:c r="I13" s="35" t="n">
        <x:v>440</x:v>
      </x:c>
      <x:c r="J13" s="35" t="n">
        <x:v>680</x:v>
      </x:c>
      <x:c r="K13" s="38" t="str">
        <x:v>owns delivery; cannot grade evidence or release serial production</x:v>
      </x:c>
    </x:row>
    <x:row r="14" ht="29" customHeight="1">
      <x:c r="B14" s="35" t="str">
        <x:v>FPO-08</x:v>
      </x:c>
      <x:c r="C14" s="35" t="str">
        <x:v>Family program office</x:v>
      </x:c>
      <x:c r="D14" s="35" t="str">
        <x:v>Essential-goods fabrication cell</x:v>
      </x:c>
      <x:c r="E14" s="35" t="n">
        <x:v>4</x:v>
      </x:c>
      <x:c r="F14" s="35" t="n">
        <x:v>2000</x:v>
      </x:c>
      <x:c r="G14" s="35" t="n">
        <x:v>120</x:v>
      </x:c>
      <x:c r="H14" s="35" t="n">
        <x:v>760</x:v>
      </x:c>
      <x:c r="I14" s="35" t="n">
        <x:v>440</x:v>
      </x:c>
      <x:c r="J14" s="35" t="n">
        <x:v>680</x:v>
      </x:c>
      <x:c r="K14" s="38" t="str">
        <x:v>owns delivery; cannot grade evidence or release serial production</x:v>
      </x:c>
    </x:row>
    <x:row r="15" ht="29" customHeight="1">
      <x:c r="B15" s="35" t="str">
        <x:v>FPO-09</x:v>
      </x:c>
      <x:c r="C15" s="35" t="str">
        <x:v>Family program office</x:v>
      </x:c>
      <x:c r="D15" s="35" t="str">
        <x:v>Mass-care distribution hub</x:v>
      </x:c>
      <x:c r="E15" s="35" t="n">
        <x:v>4</x:v>
      </x:c>
      <x:c r="F15" s="35" t="n">
        <x:v>2000</x:v>
      </x:c>
      <x:c r="G15" s="35" t="n">
        <x:v>120</x:v>
      </x:c>
      <x:c r="H15" s="35" t="n">
        <x:v>760</x:v>
      </x:c>
      <x:c r="I15" s="35" t="n">
        <x:v>440</x:v>
      </x:c>
      <x:c r="J15" s="35" t="n">
        <x:v>680</x:v>
      </x:c>
      <x:c r="K15" s="38" t="str">
        <x:v>owns delivery; cannot grade evidence or release serial production</x:v>
      </x:c>
    </x:row>
    <x:row r="16" ht="29" customHeight="1">
      <x:c r="B16" s="35" t="str">
        <x:v>FPO-10</x:v>
      </x:c>
      <x:c r="C16" s="35" t="str">
        <x:v>Family program office</x:v>
      </x:c>
      <x:c r="D16" s="35" t="str">
        <x:v>Field acute-care hospital family</x:v>
      </x:c>
      <x:c r="E16" s="35" t="n">
        <x:v>4</x:v>
      </x:c>
      <x:c r="F16" s="35" t="n">
        <x:v>2000</x:v>
      </x:c>
      <x:c r="G16" s="35" t="n">
        <x:v>120</x:v>
      </x:c>
      <x:c r="H16" s="35" t="n">
        <x:v>760</x:v>
      </x:c>
      <x:c r="I16" s="35" t="n">
        <x:v>440</x:v>
      </x:c>
      <x:c r="J16" s="35" t="n">
        <x:v>680</x:v>
      </x:c>
      <x:c r="K16" s="38" t="str">
        <x:v>owns delivery; cannot grade evidence or release serial production</x:v>
      </x:c>
    </x:row>
    <x:row r="17" ht="29" customHeight="1">
      <x:c r="B17" s="35" t="str">
        <x:v>FPO-11</x:v>
      </x:c>
      <x:c r="C17" s="35" t="str">
        <x:v>Family program office</x:v>
      </x:c>
      <x:c r="D17" s="35" t="str">
        <x:v>Surgical and critical-care carrier</x:v>
      </x:c>
      <x:c r="E17" s="35" t="n">
        <x:v>4</x:v>
      </x:c>
      <x:c r="F17" s="35" t="n">
        <x:v>2000</x:v>
      </x:c>
      <x:c r="G17" s="35" t="n">
        <x:v>120</x:v>
      </x:c>
      <x:c r="H17" s="35" t="n">
        <x:v>760</x:v>
      </x:c>
      <x:c r="I17" s="35" t="n">
        <x:v>440</x:v>
      </x:c>
      <x:c r="J17" s="35" t="n">
        <x:v>680</x:v>
      </x:c>
      <x:c r="K17" s="38" t="str">
        <x:v>owns delivery; cannot grade evidence or release serial production</x:v>
      </x:c>
    </x:row>
    <x:row r="18" ht="29" customHeight="1">
      <x:c r="B18" s="35" t="str">
        <x:v>FPO-12</x:v>
      </x:c>
      <x:c r="C18" s="35" t="str">
        <x:v>Family program office</x:v>
      </x:c>
      <x:c r="D18" s="35" t="str">
        <x:v>Mobile diagnostic and laboratory network</x:v>
      </x:c>
      <x:c r="E18" s="35" t="n">
        <x:v>4</x:v>
      </x:c>
      <x:c r="F18" s="35" t="n">
        <x:v>2000</x:v>
      </x:c>
      <x:c r="G18" s="35" t="n">
        <x:v>120</x:v>
      </x:c>
      <x:c r="H18" s="35" t="n">
        <x:v>760</x:v>
      </x:c>
      <x:c r="I18" s="35" t="n">
        <x:v>440</x:v>
      </x:c>
      <x:c r="J18" s="35" t="n">
        <x:v>680</x:v>
      </x:c>
      <x:c r="K18" s="38" t="str">
        <x:v>owns delivery; cannot grade evidence or release serial production</x:v>
      </x:c>
    </x:row>
    <x:row r="19" ht="29" customHeight="1">
      <x:c r="B19" s="35" t="str">
        <x:v>FPO-13</x:v>
      </x:c>
      <x:c r="C19" s="35" t="str">
        <x:v>Family program office</x:v>
      </x:c>
      <x:c r="D19" s="35" t="str">
        <x:v>Pharmaceutical and biologic microfactory</x:v>
      </x:c>
      <x:c r="E19" s="35" t="n">
        <x:v>4</x:v>
      </x:c>
      <x:c r="F19" s="35" t="n">
        <x:v>2000</x:v>
      </x:c>
      <x:c r="G19" s="35" t="n">
        <x:v>120</x:v>
      </x:c>
      <x:c r="H19" s="35" t="n">
        <x:v>760</x:v>
      </x:c>
      <x:c r="I19" s="35" t="n">
        <x:v>440</x:v>
      </x:c>
      <x:c r="J19" s="35" t="n">
        <x:v>680</x:v>
      </x:c>
      <x:c r="K19" s="38" t="str">
        <x:v>owns delivery; cannot grade evidence or release serial production</x:v>
      </x:c>
    </x:row>
    <x:row r="20" ht="29" customHeight="1">
      <x:c r="B20" s="35" t="str">
        <x:v>FPO-14</x:v>
      </x:c>
      <x:c r="C20" s="35" t="str">
        <x:v>Family program office</x:v>
      </x:c>
      <x:c r="D20" s="35" t="str">
        <x:v>Patient evacuation and isolation fleet</x:v>
      </x:c>
      <x:c r="E20" s="35" t="n">
        <x:v>4</x:v>
      </x:c>
      <x:c r="F20" s="35" t="n">
        <x:v>2000</x:v>
      </x:c>
      <x:c r="G20" s="35" t="n">
        <x:v>120</x:v>
      </x:c>
      <x:c r="H20" s="35" t="n">
        <x:v>760</x:v>
      </x:c>
      <x:c r="I20" s="35" t="n">
        <x:v>440</x:v>
      </x:c>
      <x:c r="J20" s="35" t="n">
        <x:v>680</x:v>
      </x:c>
      <x:c r="K20" s="38" t="str">
        <x:v>owns delivery; cannot grade evidence or release serial production</x:v>
      </x:c>
    </x:row>
    <x:row r="21" ht="29" customHeight="1">
      <x:c r="B21" s="35" t="str">
        <x:v>FPO-15</x:v>
      </x:c>
      <x:c r="C21" s="35" t="str">
        <x:v>Family program office</x:v>
      </x:c>
      <x:c r="D21" s="35" t="str">
        <x:v>Public-health surveillance grid</x:v>
      </x:c>
      <x:c r="E21" s="35" t="n">
        <x:v>4</x:v>
      </x:c>
      <x:c r="F21" s="35" t="n">
        <x:v>2000</x:v>
      </x:c>
      <x:c r="G21" s="35" t="n">
        <x:v>120</x:v>
      </x:c>
      <x:c r="H21" s="35" t="n">
        <x:v>760</x:v>
      </x:c>
      <x:c r="I21" s="35" t="n">
        <x:v>440</x:v>
      </x:c>
      <x:c r="J21" s="35" t="n">
        <x:v>680</x:v>
      </x:c>
      <x:c r="K21" s="38" t="str">
        <x:v>owns delivery; cannot grade evidence or release serial production</x:v>
      </x:c>
    </x:row>
    <x:row r="22" ht="29" customHeight="1">
      <x:c r="B22" s="35" t="str">
        <x:v>FPO-16</x:v>
      </x:c>
      <x:c r="C22" s="35" t="str">
        <x:v>Family program office</x:v>
      </x:c>
      <x:c r="D22" s="35" t="str">
        <x:v>Deployable grid-forming power station</x:v>
      </x:c>
      <x:c r="E22" s="35" t="n">
        <x:v>4</x:v>
      </x:c>
      <x:c r="F22" s="35" t="n">
        <x:v>2000</x:v>
      </x:c>
      <x:c r="G22" s="35" t="n">
        <x:v>120</x:v>
      </x:c>
      <x:c r="H22" s="35" t="n">
        <x:v>760</x:v>
      </x:c>
      <x:c r="I22" s="35" t="n">
        <x:v>440</x:v>
      </x:c>
      <x:c r="J22" s="35" t="n">
        <x:v>680</x:v>
      </x:c>
      <x:c r="K22" s="38" t="str">
        <x:v>owns delivery; cannot grade evidence or release serial production</x:v>
      </x:c>
    </x:row>
    <x:row r="23" ht="29" customHeight="1">
      <x:c r="B23" s="35" t="str">
        <x:v>FPO-17</x:v>
      </x:c>
      <x:c r="C23" s="35" t="str">
        <x:v>Family program office</x:v>
      </x:c>
      <x:c r="D23" s="35" t="str">
        <x:v>Mobile nuclear energy station</x:v>
      </x:c>
      <x:c r="E23" s="35" t="n">
        <x:v>4</x:v>
      </x:c>
      <x:c r="F23" s="35" t="n">
        <x:v>2000</x:v>
      </x:c>
      <x:c r="G23" s="35" t="n">
        <x:v>120</x:v>
      </x:c>
      <x:c r="H23" s="35" t="n">
        <x:v>760</x:v>
      </x:c>
      <x:c r="I23" s="35" t="n">
        <x:v>440</x:v>
      </x:c>
      <x:c r="J23" s="35" t="n">
        <x:v>680</x:v>
      </x:c>
      <x:c r="K23" s="38" t="str">
        <x:v>owns delivery; cannot grade evidence or release serial production</x:v>
      </x:c>
    </x:row>
    <x:row r="24" ht="29" customHeight="1">
      <x:c r="B24" s="35" t="str">
        <x:v>FPO-18</x:v>
      </x:c>
      <x:c r="C24" s="35" t="str">
        <x:v>Family program office</x:v>
      </x:c>
      <x:c r="D24" s="35" t="str">
        <x:v>Long-duration storage module</x:v>
      </x:c>
      <x:c r="E24" s="35" t="n">
        <x:v>4</x:v>
      </x:c>
      <x:c r="F24" s="35" t="n">
        <x:v>2000</x:v>
      </x:c>
      <x:c r="G24" s="35" t="n">
        <x:v>120</x:v>
      </x:c>
      <x:c r="H24" s="35" t="n">
        <x:v>760</x:v>
      </x:c>
      <x:c r="I24" s="35" t="n">
        <x:v>440</x:v>
      </x:c>
      <x:c r="J24" s="35" t="n">
        <x:v>680</x:v>
      </x:c>
      <x:c r="K24" s="38" t="str">
        <x:v>owns delivery; cannot grade evidence or release serial production</x:v>
      </x:c>
    </x:row>
    <x:row r="25" ht="29" customHeight="1">
      <x:c r="B25" s="35" t="str">
        <x:v>FPO-19</x:v>
      </x:c>
      <x:c r="C25" s="35" t="str">
        <x:v>Family program office</x:v>
      </x:c>
      <x:c r="D25" s="35" t="str">
        <x:v>District thermal utility</x:v>
      </x:c>
      <x:c r="E25" s="35" t="n">
        <x:v>4</x:v>
      </x:c>
      <x:c r="F25" s="35" t="n">
        <x:v>2000</x:v>
      </x:c>
      <x:c r="G25" s="35" t="n">
        <x:v>120</x:v>
      </x:c>
      <x:c r="H25" s="35" t="n">
        <x:v>760</x:v>
      </x:c>
      <x:c r="I25" s="35" t="n">
        <x:v>440</x:v>
      </x:c>
      <x:c r="J25" s="35" t="n">
        <x:v>680</x:v>
      </x:c>
      <x:c r="K25" s="38" t="str">
        <x:v>owns delivery; cannot grade evidence or release serial production</x:v>
      </x:c>
    </x:row>
    <x:row r="26" ht="29" customHeight="1">
      <x:c r="B26" s="35" t="str">
        <x:v>FPO-20</x:v>
      </x:c>
      <x:c r="C26" s="35" t="str">
        <x:v>Family program office</x:v>
      </x:c>
      <x:c r="D26" s="35" t="str">
        <x:v>Fuel synthesis and distribution train</x:v>
      </x:c>
      <x:c r="E26" s="35" t="n">
        <x:v>4</x:v>
      </x:c>
      <x:c r="F26" s="35" t="n">
        <x:v>2000</x:v>
      </x:c>
      <x:c r="G26" s="35" t="n">
        <x:v>120</x:v>
      </x:c>
      <x:c r="H26" s="35" t="n">
        <x:v>760</x:v>
      </x:c>
      <x:c r="I26" s="35" t="n">
        <x:v>440</x:v>
      </x:c>
      <x:c r="J26" s="35" t="n">
        <x:v>680</x:v>
      </x:c>
      <x:c r="K26" s="38" t="str">
        <x:v>owns delivery; cannot grade evidence or release serial production</x:v>
      </x:c>
    </x:row>
    <x:row r="27" ht="29" customHeight="1">
      <x:c r="B27" s="35" t="str">
        <x:v>FPO-21</x:v>
      </x:c>
      <x:c r="C27" s="35" t="str">
        <x:v>Family program office</x:v>
      </x:c>
      <x:c r="D27" s="35" t="str">
        <x:v>Grid restoration and line-deployment system</x:v>
      </x:c>
      <x:c r="E27" s="35" t="n">
        <x:v>4</x:v>
      </x:c>
      <x:c r="F27" s="35" t="n">
        <x:v>2000</x:v>
      </x:c>
      <x:c r="G27" s="35" t="n">
        <x:v>120</x:v>
      </x:c>
      <x:c r="H27" s="35" t="n">
        <x:v>760</x:v>
      </x:c>
      <x:c r="I27" s="35" t="n">
        <x:v>440</x:v>
      </x:c>
      <x:c r="J27" s="35" t="n">
        <x:v>680</x:v>
      </x:c>
      <x:c r="K27" s="38" t="str">
        <x:v>owns delivery; cannot grade evidence or release serial production</x:v>
      </x:c>
    </x:row>
    <x:row r="28" ht="29" customHeight="1">
      <x:c r="B28" s="35" t="str">
        <x:v>FPO-22</x:v>
      </x:c>
      <x:c r="C28" s="35" t="str">
        <x:v>Family program office</x:v>
      </x:c>
      <x:c r="D28" s="35" t="str">
        <x:v>Stratospheric communications platform</x:v>
      </x:c>
      <x:c r="E28" s="35" t="n">
        <x:v>4</x:v>
      </x:c>
      <x:c r="F28" s="35" t="n">
        <x:v>2000</x:v>
      </x:c>
      <x:c r="G28" s="35" t="n">
        <x:v>120</x:v>
      </x:c>
      <x:c r="H28" s="35" t="n">
        <x:v>760</x:v>
      </x:c>
      <x:c r="I28" s="35" t="n">
        <x:v>440</x:v>
      </x:c>
      <x:c r="J28" s="35" t="n">
        <x:v>680</x:v>
      </x:c>
      <x:c r="K28" s="38" t="str">
        <x:v>owns delivery; cannot grade evidence or release serial production</x:v>
      </x:c>
    </x:row>
    <x:row r="29" ht="29" customHeight="1">
      <x:c r="B29" s="35" t="str">
        <x:v>FPO-23</x:v>
      </x:c>
      <x:c r="C29" s="35" t="str">
        <x:v>Family program office</x:v>
      </x:c>
      <x:c r="D29" s="35" t="str">
        <x:v>Terrestrial recovery mesh</x:v>
      </x:c>
      <x:c r="E29" s="35" t="n">
        <x:v>4</x:v>
      </x:c>
      <x:c r="F29" s="35" t="n">
        <x:v>2000</x:v>
      </x:c>
      <x:c r="G29" s="35" t="n">
        <x:v>120</x:v>
      </x:c>
      <x:c r="H29" s="35" t="n">
        <x:v>760</x:v>
      </x:c>
      <x:c r="I29" s="35" t="n">
        <x:v>440</x:v>
      </x:c>
      <x:c r="J29" s="35" t="n">
        <x:v>680</x:v>
      </x:c>
      <x:c r="K29" s="38" t="str">
        <x:v>owns delivery; cannot grade evidence or release serial production</x:v>
      </x:c>
    </x:row>
    <x:row r="30" ht="29" customHeight="1">
      <x:c r="B30" s="35" t="str">
        <x:v>FPO-24</x:v>
      </x:c>
      <x:c r="C30" s="35" t="str">
        <x:v>Family program office</x:v>
      </x:c>
      <x:c r="D30" s="35" t="str">
        <x:v>Civil compute and data-continuity cloudlet</x:v>
      </x:c>
      <x:c r="E30" s="35" t="n">
        <x:v>4</x:v>
      </x:c>
      <x:c r="F30" s="35" t="n">
        <x:v>2000</x:v>
      </x:c>
      <x:c r="G30" s="35" t="n">
        <x:v>120</x:v>
      </x:c>
      <x:c r="H30" s="35" t="n">
        <x:v>760</x:v>
      </x:c>
      <x:c r="I30" s="35" t="n">
        <x:v>440</x:v>
      </x:c>
      <x:c r="J30" s="35" t="n">
        <x:v>680</x:v>
      </x:c>
      <x:c r="K30" s="38" t="str">
        <x:v>owns delivery; cannot grade evidence or release serial production</x:v>
      </x:c>
    </x:row>
    <x:row r="31" ht="29" customHeight="1">
      <x:c r="B31" s="35" t="str">
        <x:v>FPO-25</x:v>
      </x:c>
      <x:c r="C31" s="35" t="str">
        <x:v>Family program office</x:v>
      </x:c>
      <x:c r="D31" s="35" t="str">
        <x:v>Spectrum recovery and public-access node</x:v>
      </x:c>
      <x:c r="E31" s="35" t="n">
        <x:v>4</x:v>
      </x:c>
      <x:c r="F31" s="35" t="n">
        <x:v>2000</x:v>
      </x:c>
      <x:c r="G31" s="35" t="n">
        <x:v>120</x:v>
      </x:c>
      <x:c r="H31" s="35" t="n">
        <x:v>760</x:v>
      </x:c>
      <x:c r="I31" s="35" t="n">
        <x:v>440</x:v>
      </x:c>
      <x:c r="J31" s="35" t="n">
        <x:v>680</x:v>
      </x:c>
      <x:c r="K31" s="38" t="str">
        <x:v>owns delivery; cannot grade evidence or release serial production</x:v>
      </x:c>
    </x:row>
    <x:row r="32" ht="29" customHeight="1">
      <x:c r="B32" s="35" t="str">
        <x:v>FPO-26</x:v>
      </x:c>
      <x:c r="C32" s="35" t="str">
        <x:v>Family program office</x:v>
      </x:c>
      <x:c r="D32" s="35" t="str">
        <x:v>Position navigation and time restoration lattice</x:v>
      </x:c>
      <x:c r="E32" s="35" t="n">
        <x:v>4</x:v>
      </x:c>
      <x:c r="F32" s="35" t="n">
        <x:v>2000</x:v>
      </x:c>
      <x:c r="G32" s="35" t="n">
        <x:v>120</x:v>
      </x:c>
      <x:c r="H32" s="35" t="n">
        <x:v>760</x:v>
      </x:c>
      <x:c r="I32" s="35" t="n">
        <x:v>440</x:v>
      </x:c>
      <x:c r="J32" s="35" t="n">
        <x:v>680</x:v>
      </x:c>
      <x:c r="K32" s="38" t="str">
        <x:v>owns delivery; cannot grade evidence or release serial production</x:v>
      </x:c>
    </x:row>
    <x:row r="33" ht="29" customHeight="1">
      <x:c r="B33" s="35" t="str">
        <x:v>FPO-27</x:v>
      </x:c>
      <x:c r="C33" s="35" t="str">
        <x:v>Family program office</x:v>
      </x:c>
      <x:c r="D33" s="35" t="str">
        <x:v>Heavy airlift relief carrier</x:v>
      </x:c>
      <x:c r="E33" s="35" t="n">
        <x:v>4</x:v>
      </x:c>
      <x:c r="F33" s="35" t="n">
        <x:v>2000</x:v>
      </x:c>
      <x:c r="G33" s="35" t="n">
        <x:v>120</x:v>
      </x:c>
      <x:c r="H33" s="35" t="n">
        <x:v>760</x:v>
      </x:c>
      <x:c r="I33" s="35" t="n">
        <x:v>440</x:v>
      </x:c>
      <x:c r="J33" s="35" t="n">
        <x:v>680</x:v>
      </x:c>
      <x:c r="K33" s="38" t="str">
        <x:v>owns delivery; cannot grade evidence or release serial production</x:v>
      </x:c>
    </x:row>
    <x:row r="34" ht="29" customHeight="1">
      <x:c r="B34" s="35" t="str">
        <x:v>FPO-28</x:v>
      </x:c>
      <x:c r="C34" s="35" t="str">
        <x:v>Family program office</x:v>
      </x:c>
      <x:c r="D34" s="35" t="str">
        <x:v>Vertical-access and evacuation aircraft</x:v>
      </x:c>
      <x:c r="E34" s="35" t="n">
        <x:v>4</x:v>
      </x:c>
      <x:c r="F34" s="35" t="n">
        <x:v>2000</x:v>
      </x:c>
      <x:c r="G34" s="35" t="n">
        <x:v>120</x:v>
      </x:c>
      <x:c r="H34" s="35" t="n">
        <x:v>760</x:v>
      </x:c>
      <x:c r="I34" s="35" t="n">
        <x:v>440</x:v>
      </x:c>
      <x:c r="J34" s="35" t="n">
        <x:v>680</x:v>
      </x:c>
      <x:c r="K34" s="38" t="str">
        <x:v>owns delivery; cannot grade evidence or release serial production</x:v>
      </x:c>
    </x:row>
    <x:row r="35" ht="29" customHeight="1">
      <x:c r="B35" s="35" t="str">
        <x:v>FPO-29</x:v>
      </x:c>
      <x:c r="C35" s="35" t="str">
        <x:v>Family program office</x:v>
      </x:c>
      <x:c r="D35" s="35" t="str">
        <x:v>Littoral response carrier</x:v>
      </x:c>
      <x:c r="E35" s="35" t="n">
        <x:v>4</x:v>
      </x:c>
      <x:c r="F35" s="35" t="n">
        <x:v>2000</x:v>
      </x:c>
      <x:c r="G35" s="35" t="n">
        <x:v>120</x:v>
      </x:c>
      <x:c r="H35" s="35" t="n">
        <x:v>760</x:v>
      </x:c>
      <x:c r="I35" s="35" t="n">
        <x:v>440</x:v>
      </x:c>
      <x:c r="J35" s="35" t="n">
        <x:v>680</x:v>
      </x:c>
      <x:c r="K35" s="38" t="str">
        <x:v>owns delivery; cannot grade evidence or release serial production</x:v>
      </x:c>
    </x:row>
    <x:row r="36" ht="29" customHeight="1">
      <x:c r="B36" s="35" t="str">
        <x:v>FPO-30</x:v>
      </x:c>
      <x:c r="C36" s="35" t="str">
        <x:v>Family program office</x:v>
      </x:c>
      <x:c r="D36" s="35" t="str">
        <x:v>Riverine access train</x:v>
      </x:c>
      <x:c r="E36" s="35" t="n">
        <x:v>4</x:v>
      </x:c>
      <x:c r="F36" s="35" t="n">
        <x:v>2000</x:v>
      </x:c>
      <x:c r="G36" s="35" t="n">
        <x:v>120</x:v>
      </x:c>
      <x:c r="H36" s="35" t="n">
        <x:v>760</x:v>
      </x:c>
      <x:c r="I36" s="35" t="n">
        <x:v>440</x:v>
      </x:c>
      <x:c r="J36" s="35" t="n">
        <x:v>680</x:v>
      </x:c>
      <x:c r="K36" s="38" t="str">
        <x:v>owns delivery; cannot grade evidence or release serial production</x:v>
      </x:c>
    </x:row>
    <x:row r="37" ht="29" customHeight="1">
      <x:c r="B37" s="35" t="str">
        <x:v>FPO-31</x:v>
      </x:c>
      <x:c r="C37" s="35" t="str">
        <x:v>Family program office</x:v>
      </x:c>
      <x:c r="D37" s="35" t="str">
        <x:v>Autonomous ground-logistics convoy</x:v>
      </x:c>
      <x:c r="E37" s="35" t="n">
        <x:v>4</x:v>
      </x:c>
      <x:c r="F37" s="35" t="n">
        <x:v>2000</x:v>
      </x:c>
      <x:c r="G37" s="35" t="n">
        <x:v>120</x:v>
      </x:c>
      <x:c r="H37" s="35" t="n">
        <x:v>760</x:v>
      </x:c>
      <x:c r="I37" s="35" t="n">
        <x:v>440</x:v>
      </x:c>
      <x:c r="J37" s="35" t="n">
        <x:v>680</x:v>
      </x:c>
      <x:c r="K37" s="38" t="str">
        <x:v>owns delivery; cannot grade evidence or release serial production</x:v>
      </x:c>
    </x:row>
    <x:row r="38" ht="29" customHeight="1">
      <x:c r="B38" s="35" t="str">
        <x:v>FPO-32</x:v>
      </x:c>
      <x:c r="C38" s="35" t="str">
        <x:v>Family program office</x:v>
      </x:c>
      <x:c r="D38" s="35" t="str">
        <x:v>Rapid bridge and causeway system</x:v>
      </x:c>
      <x:c r="E38" s="35" t="n">
        <x:v>4</x:v>
      </x:c>
      <x:c r="F38" s="35" t="n">
        <x:v>2000</x:v>
      </x:c>
      <x:c r="G38" s="35" t="n">
        <x:v>120</x:v>
      </x:c>
      <x:c r="H38" s="35" t="n">
        <x:v>760</x:v>
      </x:c>
      <x:c r="I38" s="35" t="n">
        <x:v>440</x:v>
      </x:c>
      <x:c r="J38" s="35" t="n">
        <x:v>680</x:v>
      </x:c>
      <x:c r="K38" s="38" t="str">
        <x:v>owns delivery; cannot grade evidence or release serial production</x:v>
      </x:c>
    </x:row>
    <x:row r="39" ht="29" customHeight="1">
      <x:c r="B39" s="35" t="str">
        <x:v>FPO-33</x:v>
      </x:c>
      <x:c r="C39" s="35" t="str">
        <x:v>Family program office</x:v>
      </x:c>
      <x:c r="D39" s="35" t="str">
        <x:v>Port rail and airfield restoration complex</x:v>
      </x:c>
      <x:c r="E39" s="35" t="n">
        <x:v>4</x:v>
      </x:c>
      <x:c r="F39" s="35" t="n">
        <x:v>2000</x:v>
      </x:c>
      <x:c r="G39" s="35" t="n">
        <x:v>120</x:v>
      </x:c>
      <x:c r="H39" s="35" t="n">
        <x:v>760</x:v>
      </x:c>
      <x:c r="I39" s="35" t="n">
        <x:v>440</x:v>
      </x:c>
      <x:c r="J39" s="35" t="n">
        <x:v>680</x:v>
      </x:c>
      <x:c r="K39" s="38" t="str">
        <x:v>owns delivery; cannot grade evidence or release serial production</x:v>
      </x:c>
    </x:row>
    <x:row r="40" ht="29" customHeight="1">
      <x:c r="B40" s="35" t="str">
        <x:v>FPO-34</x:v>
      </x:c>
      <x:c r="C40" s="35" t="str">
        <x:v>Family program office</x:v>
      </x:c>
      <x:c r="D40" s="35" t="str">
        <x:v>Floating nuclear desalination utility</x:v>
      </x:c>
      <x:c r="E40" s="35" t="n">
        <x:v>4</x:v>
      </x:c>
      <x:c r="F40" s="35" t="n">
        <x:v>2000</x:v>
      </x:c>
      <x:c r="G40" s="35" t="n">
        <x:v>120</x:v>
      </x:c>
      <x:c r="H40" s="35" t="n">
        <x:v>760</x:v>
      </x:c>
      <x:c r="I40" s="35" t="n">
        <x:v>440</x:v>
      </x:c>
      <x:c r="J40" s="35" t="n">
        <x:v>680</x:v>
      </x:c>
      <x:c r="K40" s="38" t="str">
        <x:v>owns delivery; cannot grade evidence or release serial production</x:v>
      </x:c>
    </x:row>
    <x:row r="41" ht="29" customHeight="1">
      <x:c r="B41" s="35" t="str">
        <x:v>FPO-35</x:v>
      </x:c>
      <x:c r="C41" s="35" t="str">
        <x:v>Family program office</x:v>
      </x:c>
      <x:c r="D41" s="35" t="str">
        <x:v>Inland brackish-water treatment train</x:v>
      </x:c>
      <x:c r="E41" s="35" t="n">
        <x:v>4</x:v>
      </x:c>
      <x:c r="F41" s="35" t="n">
        <x:v>2000</x:v>
      </x:c>
      <x:c r="G41" s="35" t="n">
        <x:v>120</x:v>
      </x:c>
      <x:c r="H41" s="35" t="n">
        <x:v>760</x:v>
      </x:c>
      <x:c r="I41" s="35" t="n">
        <x:v>440</x:v>
      </x:c>
      <x:c r="J41" s="35" t="n">
        <x:v>680</x:v>
      </x:c>
      <x:c r="K41" s="38" t="str">
        <x:v>owns delivery; cannot grade evidence or release serial production</x:v>
      </x:c>
    </x:row>
    <x:row r="42" ht="29" customHeight="1">
      <x:c r="B42" s="35" t="str">
        <x:v>FPO-36</x:v>
      </x:c>
      <x:c r="C42" s="35" t="str">
        <x:v>Family program office</x:v>
      </x:c>
      <x:c r="D42" s="35" t="str">
        <x:v>Rapid water trunkline system</x:v>
      </x:c>
      <x:c r="E42" s="35" t="n">
        <x:v>4</x:v>
      </x:c>
      <x:c r="F42" s="35" t="n">
        <x:v>2000</x:v>
      </x:c>
      <x:c r="G42" s="35" t="n">
        <x:v>120</x:v>
      </x:c>
      <x:c r="H42" s="35" t="n">
        <x:v>760</x:v>
      </x:c>
      <x:c r="I42" s="35" t="n">
        <x:v>440</x:v>
      </x:c>
      <x:c r="J42" s="35" t="n">
        <x:v>680</x:v>
      </x:c>
      <x:c r="K42" s="38" t="str">
        <x:v>owns delivery; cannot grade evidence or release serial production</x:v>
      </x:c>
    </x:row>
    <x:row r="43" ht="29" customHeight="1">
      <x:c r="B43" s="35" t="str">
        <x:v>FPO-37</x:v>
      </x:c>
      <x:c r="C43" s="35" t="str">
        <x:v>Family program office</x:v>
      </x:c>
      <x:c r="D43" s="35" t="str">
        <x:v>Wastewater and sanitation restoration plant</x:v>
      </x:c>
      <x:c r="E43" s="35" t="n">
        <x:v>4</x:v>
      </x:c>
      <x:c r="F43" s="35" t="n">
        <x:v>2000</x:v>
      </x:c>
      <x:c r="G43" s="35" t="n">
        <x:v>120</x:v>
      </x:c>
      <x:c r="H43" s="35" t="n">
        <x:v>760</x:v>
      </x:c>
      <x:c r="I43" s="35" t="n">
        <x:v>440</x:v>
      </x:c>
      <x:c r="J43" s="35" t="n">
        <x:v>680</x:v>
      </x:c>
      <x:c r="K43" s="38" t="str">
        <x:v>owns delivery; cannot grade evidence or release serial production</x:v>
      </x:c>
    </x:row>
    <x:row r="44" ht="29" customHeight="1">
      <x:c r="B44" s="35" t="str">
        <x:v>FPO-38</x:v>
      </x:c>
      <x:c r="C44" s="35" t="str">
        <x:v>Family program office</x:v>
      </x:c>
      <x:c r="D44" s="35" t="str">
        <x:v>Potable storage and distribution lattice</x:v>
      </x:c>
      <x:c r="E44" s="35" t="n">
        <x:v>4</x:v>
      </x:c>
      <x:c r="F44" s="35" t="n">
        <x:v>2000</x:v>
      </x:c>
      <x:c r="G44" s="35" t="n">
        <x:v>120</x:v>
      </x:c>
      <x:c r="H44" s="35" t="n">
        <x:v>760</x:v>
      </x:c>
      <x:c r="I44" s="35" t="n">
        <x:v>440</x:v>
      </x:c>
      <x:c r="J44" s="35" t="n">
        <x:v>680</x:v>
      </x:c>
      <x:c r="K44" s="38" t="str">
        <x:v>owns delivery; cannot grade evidence or release serial production</x:v>
      </x:c>
    </x:row>
    <x:row r="45" ht="29" customHeight="1">
      <x:c r="B45" s="35" t="str">
        <x:v>FPO-39</x:v>
      </x:c>
      <x:c r="C45" s="35" t="str">
        <x:v>Family program office</x:v>
      </x:c>
      <x:c r="D45" s="35" t="str">
        <x:v>Heavy wildfire-suppression aircraft</x:v>
      </x:c>
      <x:c r="E45" s="35" t="n">
        <x:v>4</x:v>
      </x:c>
      <x:c r="F45" s="35" t="n">
        <x:v>2000</x:v>
      </x:c>
      <x:c r="G45" s="35" t="n">
        <x:v>120</x:v>
      </x:c>
      <x:c r="H45" s="35" t="n">
        <x:v>760</x:v>
      </x:c>
      <x:c r="I45" s="35" t="n">
        <x:v>440</x:v>
      </x:c>
      <x:c r="J45" s="35" t="n">
        <x:v>680</x:v>
      </x:c>
      <x:c r="K45" s="38" t="str">
        <x:v>owns delivery; cannot grade evidence or release serial production</x:v>
      </x:c>
    </x:row>
    <x:row r="46" ht="29" customHeight="1">
      <x:c r="B46" s="35" t="str">
        <x:v>FPO-40</x:v>
      </x:c>
      <x:c r="C46" s="35" t="str">
        <x:v>Family program office</x:v>
      </x:c>
      <x:c r="D46" s="35" t="str">
        <x:v>Autonomous fireline and terrain fleet</x:v>
      </x:c>
      <x:c r="E46" s="35" t="n">
        <x:v>4</x:v>
      </x:c>
      <x:c r="F46" s="35" t="n">
        <x:v>2000</x:v>
      </x:c>
      <x:c r="G46" s="35" t="n">
        <x:v>120</x:v>
      </x:c>
      <x:c r="H46" s="35" t="n">
        <x:v>760</x:v>
      </x:c>
      <x:c r="I46" s="35" t="n">
        <x:v>440</x:v>
      </x:c>
      <x:c r="J46" s="35" t="n">
        <x:v>680</x:v>
      </x:c>
      <x:c r="K46" s="38" t="str">
        <x:v>owns delivery; cannot grade evidence or release serial production</x:v>
      </x:c>
    </x:row>
    <x:row r="47" ht="29" customHeight="1">
      <x:c r="B47" s="35" t="str">
        <x:v>FPO-41</x:v>
      </x:c>
      <x:c r="C47" s="35" t="str">
        <x:v>Family program office</x:v>
      </x:c>
      <x:c r="D47" s="35" t="str">
        <x:v>Flood diversion and pumping complex</x:v>
      </x:c>
      <x:c r="E47" s="35" t="n">
        <x:v>4</x:v>
      </x:c>
      <x:c r="F47" s="35" t="n">
        <x:v>2000</x:v>
      </x:c>
      <x:c r="G47" s="35" t="n">
        <x:v>120</x:v>
      </x:c>
      <x:c r="H47" s="35" t="n">
        <x:v>760</x:v>
      </x:c>
      <x:c r="I47" s="35" t="n">
        <x:v>440</x:v>
      </x:c>
      <x:c r="J47" s="35" t="n">
        <x:v>680</x:v>
      </x:c>
      <x:c r="K47" s="38" t="str">
        <x:v>owns delivery; cannot grade evidence or release serial production</x:v>
      </x:c>
    </x:row>
    <x:row r="48" ht="29" customHeight="1">
      <x:c r="B48" s="35" t="str">
        <x:v>FPO-42</x:v>
      </x:c>
      <x:c r="C48" s="35" t="str">
        <x:v>Family program office</x:v>
      </x:c>
      <x:c r="D48" s="35" t="str">
        <x:v>Atmospheric and chemical hazard-control system</x:v>
      </x:c>
      <x:c r="E48" s="35" t="n">
        <x:v>4</x:v>
      </x:c>
      <x:c r="F48" s="35" t="n">
        <x:v>2000</x:v>
      </x:c>
      <x:c r="G48" s="35" t="n">
        <x:v>120</x:v>
      </x:c>
      <x:c r="H48" s="35" t="n">
        <x:v>760</x:v>
      </x:c>
      <x:c r="I48" s="35" t="n">
        <x:v>440</x:v>
      </x:c>
      <x:c r="J48" s="35" t="n">
        <x:v>680</x:v>
      </x:c>
      <x:c r="K48" s="38" t="str">
        <x:v>owns delivery; cannot grade evidence or release serial production</x:v>
      </x:c>
    </x:row>
    <x:row r="49" ht="29" customHeight="1">
      <x:c r="B49" s="35" t="str">
        <x:v>FPO-43</x:v>
      </x:c>
      <x:c r="C49" s="35" t="str">
        <x:v>Family program office</x:v>
      </x:c>
      <x:c r="D49" s="35" t="str">
        <x:v>Earthquake search and stabilization swarm</x:v>
      </x:c>
      <x:c r="E49" s="35" t="n">
        <x:v>4</x:v>
      </x:c>
      <x:c r="F49" s="35" t="n">
        <x:v>2000</x:v>
      </x:c>
      <x:c r="G49" s="35" t="n">
        <x:v>120</x:v>
      </x:c>
      <x:c r="H49" s="35" t="n">
        <x:v>760</x:v>
      </x:c>
      <x:c r="I49" s="35" t="n">
        <x:v>440</x:v>
      </x:c>
      <x:c r="J49" s="35" t="n">
        <x:v>680</x:v>
      </x:c>
      <x:c r="K49" s="38" t="str">
        <x:v>owns delivery; cannot grade evidence or release serial production</x:v>
      </x:c>
    </x:row>
    <x:row r="50" ht="29" customHeight="1">
      <x:c r="B50" s="35" t="str">
        <x:v>FPO-44</x:v>
      </x:c>
      <x:c r="C50" s="35" t="str">
        <x:v>Family program office</x:v>
      </x:c>
      <x:c r="D50" s="35" t="str">
        <x:v>Rapid structural-stabilization system</x:v>
      </x:c>
      <x:c r="E50" s="35" t="n">
        <x:v>4</x:v>
      </x:c>
      <x:c r="F50" s="35" t="n">
        <x:v>2000</x:v>
      </x:c>
      <x:c r="G50" s="35" t="n">
        <x:v>120</x:v>
      </x:c>
      <x:c r="H50" s="35" t="n">
        <x:v>760</x:v>
      </x:c>
      <x:c r="I50" s="35" t="n">
        <x:v>440</x:v>
      </x:c>
      <x:c r="J50" s="35" t="n">
        <x:v>680</x:v>
      </x:c>
      <x:c r="K50" s="38" t="str">
        <x:v>owns delivery; cannot grade evidence or release serial production</x:v>
      </x:c>
    </x:row>
    <x:row r="51" ht="29" customHeight="1">
      <x:c r="B51" s="35" t="str">
        <x:v>FPO-45</x:v>
      </x:c>
      <x:c r="C51" s="35" t="str">
        <x:v>Family program office</x:v>
      </x:c>
      <x:c r="D51" s="35" t="str">
        <x:v>Modular housing production complex</x:v>
      </x:c>
      <x:c r="E51" s="35" t="n">
        <x:v>4</x:v>
      </x:c>
      <x:c r="F51" s="35" t="n">
        <x:v>2000</x:v>
      </x:c>
      <x:c r="G51" s="35" t="n">
        <x:v>120</x:v>
      </x:c>
      <x:c r="H51" s="35" t="n">
        <x:v>760</x:v>
      </x:c>
      <x:c r="I51" s="35" t="n">
        <x:v>440</x:v>
      </x:c>
      <x:c r="J51" s="35" t="n">
        <x:v>680</x:v>
      </x:c>
      <x:c r="K51" s="38" t="str">
        <x:v>owns delivery; cannot grade evidence or release serial production</x:v>
      </x:c>
    </x:row>
    <x:row r="52" ht="29" customHeight="1">
      <x:c r="B52" s="35" t="str">
        <x:v>FPO-46</x:v>
      </x:c>
      <x:c r="C52" s="35" t="str">
        <x:v>Family program office</x:v>
      </x:c>
      <x:c r="D52" s="35" t="str">
        <x:v>Debris separation and material-recovery fleet</x:v>
      </x:c>
      <x:c r="E52" s="35" t="n">
        <x:v>4</x:v>
      </x:c>
      <x:c r="F52" s="35" t="n">
        <x:v>2000</x:v>
      </x:c>
      <x:c r="G52" s="35" t="n">
        <x:v>120</x:v>
      </x:c>
      <x:c r="H52" s="35" t="n">
        <x:v>760</x:v>
      </x:c>
      <x:c r="I52" s="35" t="n">
        <x:v>440</x:v>
      </x:c>
      <x:c r="J52" s="35" t="n">
        <x:v>680</x:v>
      </x:c>
      <x:c r="K52" s="38" t="str">
        <x:v>owns delivery; cannot grade evidence or release serial production</x:v>
      </x:c>
    </x:row>
    <x:row r="53" ht="29" customHeight="1">
      <x:c r="B53" s="35" t="str">
        <x:v>FPO-47</x:v>
      </x:c>
      <x:c r="C53" s="35" t="str">
        <x:v>Family program office</x:v>
      </x:c>
      <x:c r="D53" s="35" t="str">
        <x:v>Municipal service-restoration block</x:v>
      </x:c>
      <x:c r="E53" s="35" t="n">
        <x:v>4</x:v>
      </x:c>
      <x:c r="F53" s="35" t="n">
        <x:v>2000</x:v>
      </x:c>
      <x:c r="G53" s="35" t="n">
        <x:v>120</x:v>
      </x:c>
      <x:c r="H53" s="35" t="n">
        <x:v>760</x:v>
      </x:c>
      <x:c r="I53" s="35" t="n">
        <x:v>440</x:v>
      </x:c>
      <x:c r="J53" s="35" t="n">
        <x:v>680</x:v>
      </x:c>
      <x:c r="K53" s="38" t="str">
        <x:v>owns delivery; cannot grade evidence or release serial production</x:v>
      </x:c>
    </x:row>
    <x:row r="54" ht="29" customHeight="1">
      <x:c r="B54" s="35" t="str">
        <x:v>FPO-48</x:v>
      </x:c>
      <x:c r="C54" s="35" t="str">
        <x:v>Family program office</x:v>
      </x:c>
      <x:c r="D54" s="35" t="str">
        <x:v>Economic-continuity logistics and finance cell</x:v>
      </x:c>
      <x:c r="E54" s="35" t="n">
        <x:v>4</x:v>
      </x:c>
      <x:c r="F54" s="35" t="n">
        <x:v>2000</x:v>
      </x:c>
      <x:c r="G54" s="35" t="n">
        <x:v>120</x:v>
      </x:c>
      <x:c r="H54" s="35" t="n">
        <x:v>760</x:v>
      </x:c>
      <x:c r="I54" s="35" t="n">
        <x:v>440</x:v>
      </x:c>
      <x:c r="J54" s="35" t="n">
        <x:v>680</x:v>
      </x:c>
      <x:c r="K54" s="38" t="str">
        <x:v>owns delivery; cannot grade evidence or release serial production</x:v>
      </x:c>
    </x:row>
    <x:row r="55" ht="29" customHeight="1">
      <x:c r="B55" s="35" t="str">
        <x:v>TIO-01</x:v>
      </x:c>
      <x:c r="C55" s="35" t="str">
        <x:v>Technical integration office</x:v>
      </x:c>
      <x:c r="D55" s="35" t="str">
        <x:v>cross-family interfaces cohort 1</x:v>
      </x:c>
      <x:c r="E55" s="35" t="n">
        <x:v>12</x:v>
      </x:c>
      <x:c r="F55" s="35" t="n">
        <x:v>2000</x:v>
      </x:c>
      <x:c r="G55" s="35" t="n">
        <x:v>120</x:v>
      </x:c>
      <x:c r="H55" s="35" t="n">
        <x:v>760</x:v>
      </x:c>
      <x:c r="I55" s="35" t="n">
        <x:v>440</x:v>
      </x:c>
      <x:c r="J55" s="35" t="n">
        <x:v>680</x:v>
      </x:c>
      <x:c r="K55" s="38" t="str">
        <x:v>owns interface integration; cannot rewrite family effects</x:v>
      </x:c>
    </x:row>
    <x:row r="56" ht="29" customHeight="1">
      <x:c r="B56" s="35" t="str">
        <x:v>TIO-02</x:v>
      </x:c>
      <x:c r="C56" s="35" t="str">
        <x:v>Technical integration office</x:v>
      </x:c>
      <x:c r="D56" s="35" t="str">
        <x:v>cross-family interfaces cohort 2</x:v>
      </x:c>
      <x:c r="E56" s="35" t="n">
        <x:v>12</x:v>
      </x:c>
      <x:c r="F56" s="35" t="n">
        <x:v>2000</x:v>
      </x:c>
      <x:c r="G56" s="35" t="n">
        <x:v>120</x:v>
      </x:c>
      <x:c r="H56" s="35" t="n">
        <x:v>760</x:v>
      </x:c>
      <x:c r="I56" s="35" t="n">
        <x:v>440</x:v>
      </x:c>
      <x:c r="J56" s="35" t="n">
        <x:v>680</x:v>
      </x:c>
      <x:c r="K56" s="38" t="str">
        <x:v>owns interface integration; cannot rewrite family effects</x:v>
      </x:c>
    </x:row>
    <x:row r="57" ht="29" customHeight="1">
      <x:c r="B57" s="35" t="str">
        <x:v>TIO-03</x:v>
      </x:c>
      <x:c r="C57" s="35" t="str">
        <x:v>Technical integration office</x:v>
      </x:c>
      <x:c r="D57" s="35" t="str">
        <x:v>cross-family interfaces cohort 3</x:v>
      </x:c>
      <x:c r="E57" s="35" t="n">
        <x:v>12</x:v>
      </x:c>
      <x:c r="F57" s="35" t="n">
        <x:v>2000</x:v>
      </x:c>
      <x:c r="G57" s="35" t="n">
        <x:v>120</x:v>
      </x:c>
      <x:c r="H57" s="35" t="n">
        <x:v>760</x:v>
      </x:c>
      <x:c r="I57" s="35" t="n">
        <x:v>440</x:v>
      </x:c>
      <x:c r="J57" s="35" t="n">
        <x:v>680</x:v>
      </x:c>
      <x:c r="K57" s="38" t="str">
        <x:v>owns interface integration; cannot rewrite family effects</x:v>
      </x:c>
    </x:row>
    <x:row r="58" ht="29" customHeight="1">
      <x:c r="B58" s="35" t="str">
        <x:v>TIO-04</x:v>
      </x:c>
      <x:c r="C58" s="35" t="str">
        <x:v>Technical integration office</x:v>
      </x:c>
      <x:c r="D58" s="35" t="str">
        <x:v>cross-family interfaces cohort 4</x:v>
      </x:c>
      <x:c r="E58" s="35" t="n">
        <x:v>12</x:v>
      </x:c>
      <x:c r="F58" s="35" t="n">
        <x:v>2000</x:v>
      </x:c>
      <x:c r="G58" s="35" t="n">
        <x:v>120</x:v>
      </x:c>
      <x:c r="H58" s="35" t="n">
        <x:v>760</x:v>
      </x:c>
      <x:c r="I58" s="35" t="n">
        <x:v>440</x:v>
      </x:c>
      <x:c r="J58" s="35" t="n">
        <x:v>680</x:v>
      </x:c>
      <x:c r="K58" s="38" t="str">
        <x:v>owns interface integration; cannot rewrite family effects</x:v>
      </x:c>
    </x:row>
    <x:row r="59" ht="29" customHeight="1">
      <x:c r="B59" s="35" t="str">
        <x:v>TIO-05</x:v>
      </x:c>
      <x:c r="C59" s="35" t="str">
        <x:v>Technical integration office</x:v>
      </x:c>
      <x:c r="D59" s="35" t="str">
        <x:v>cross-family interfaces cohort 5</x:v>
      </x:c>
      <x:c r="E59" s="35" t="n">
        <x:v>12</x:v>
      </x:c>
      <x:c r="F59" s="35" t="n">
        <x:v>2000</x:v>
      </x:c>
      <x:c r="G59" s="35" t="n">
        <x:v>120</x:v>
      </x:c>
      <x:c r="H59" s="35" t="n">
        <x:v>760</x:v>
      </x:c>
      <x:c r="I59" s="35" t="n">
        <x:v>440</x:v>
      </x:c>
      <x:c r="J59" s="35" t="n">
        <x:v>680</x:v>
      </x:c>
      <x:c r="K59" s="38" t="str">
        <x:v>owns interface integration; cannot rewrite family effects</x:v>
      </x:c>
    </x:row>
    <x:row r="60" ht="29" customHeight="1">
      <x:c r="B60" s="35" t="str">
        <x:v>TIO-06</x:v>
      </x:c>
      <x:c r="C60" s="35" t="str">
        <x:v>Technical integration office</x:v>
      </x:c>
      <x:c r="D60" s="35" t="str">
        <x:v>cross-family interfaces cohort 6</x:v>
      </x:c>
      <x:c r="E60" s="35" t="n">
        <x:v>12</x:v>
      </x:c>
      <x:c r="F60" s="35" t="n">
        <x:v>2000</x:v>
      </x:c>
      <x:c r="G60" s="35" t="n">
        <x:v>120</x:v>
      </x:c>
      <x:c r="H60" s="35" t="n">
        <x:v>760</x:v>
      </x:c>
      <x:c r="I60" s="35" t="n">
        <x:v>440</x:v>
      </x:c>
      <x:c r="J60" s="35" t="n">
        <x:v>680</x:v>
      </x:c>
      <x:c r="K60" s="38" t="str">
        <x:v>owns interface integration; cannot rewrite family effects</x:v>
      </x:c>
    </x:row>
    <x:row r="61" ht="29" customHeight="1">
      <x:c r="B61" s="35" t="str">
        <x:v>TIO-07</x:v>
      </x:c>
      <x:c r="C61" s="35" t="str">
        <x:v>Technical integration office</x:v>
      </x:c>
      <x:c r="D61" s="35" t="str">
        <x:v>cross-family interfaces cohort 7</x:v>
      </x:c>
      <x:c r="E61" s="35" t="n">
        <x:v>12</x:v>
      </x:c>
      <x:c r="F61" s="35" t="n">
        <x:v>2000</x:v>
      </x:c>
      <x:c r="G61" s="35" t="n">
        <x:v>120</x:v>
      </x:c>
      <x:c r="H61" s="35" t="n">
        <x:v>760</x:v>
      </x:c>
      <x:c r="I61" s="35" t="n">
        <x:v>440</x:v>
      </x:c>
      <x:c r="J61" s="35" t="n">
        <x:v>680</x:v>
      </x:c>
      <x:c r="K61" s="38" t="str">
        <x:v>owns interface integration; cannot rewrite family effects</x:v>
      </x:c>
    </x:row>
    <x:row r="62" ht="29" customHeight="1">
      <x:c r="B62" s="35" t="str">
        <x:v>TIO-08</x:v>
      </x:c>
      <x:c r="C62" s="35" t="str">
        <x:v>Technical integration office</x:v>
      </x:c>
      <x:c r="D62" s="35" t="str">
        <x:v>cross-family interfaces cohort 8</x:v>
      </x:c>
      <x:c r="E62" s="35" t="n">
        <x:v>12</x:v>
      </x:c>
      <x:c r="F62" s="35" t="n">
        <x:v>2000</x:v>
      </x:c>
      <x:c r="G62" s="35" t="n">
        <x:v>120</x:v>
      </x:c>
      <x:c r="H62" s="35" t="n">
        <x:v>760</x:v>
      </x:c>
      <x:c r="I62" s="35" t="n">
        <x:v>440</x:v>
      </x:c>
      <x:c r="J62" s="35" t="n">
        <x:v>680</x:v>
      </x:c>
      <x:c r="K62" s="38" t="str">
        <x:v>owns interface integration; cannot rewrite family effects</x:v>
      </x:c>
    </x:row>
    <x:row r="63" ht="29" customHeight="1">
      <x:c r="B63" s="35" t="str">
        <x:v>TIO-09</x:v>
      </x:c>
      <x:c r="C63" s="35" t="str">
        <x:v>Technical integration office</x:v>
      </x:c>
      <x:c r="D63" s="35" t="str">
        <x:v>cross-family interfaces cohort 9</x:v>
      </x:c>
      <x:c r="E63" s="35" t="n">
        <x:v>12</x:v>
      </x:c>
      <x:c r="F63" s="35" t="n">
        <x:v>2000</x:v>
      </x:c>
      <x:c r="G63" s="35" t="n">
        <x:v>120</x:v>
      </x:c>
      <x:c r="H63" s="35" t="n">
        <x:v>760</x:v>
      </x:c>
      <x:c r="I63" s="35" t="n">
        <x:v>440</x:v>
      </x:c>
      <x:c r="J63" s="35" t="n">
        <x:v>680</x:v>
      </x:c>
      <x:c r="K63" s="38" t="str">
        <x:v>owns interface integration; cannot rewrite family effects</x:v>
      </x:c>
    </x:row>
    <x:row r="64" ht="29" customHeight="1">
      <x:c r="B64" s="35" t="str">
        <x:v>TIO-10</x:v>
      </x:c>
      <x:c r="C64" s="35" t="str">
        <x:v>Technical integration office</x:v>
      </x:c>
      <x:c r="D64" s="35" t="str">
        <x:v>cross-family interfaces cohort 10</x:v>
      </x:c>
      <x:c r="E64" s="35" t="n">
        <x:v>12</x:v>
      </x:c>
      <x:c r="F64" s="35" t="n">
        <x:v>2000</x:v>
      </x:c>
      <x:c r="G64" s="35" t="n">
        <x:v>120</x:v>
      </x:c>
      <x:c r="H64" s="35" t="n">
        <x:v>760</x:v>
      </x:c>
      <x:c r="I64" s="35" t="n">
        <x:v>440</x:v>
      </x:c>
      <x:c r="J64" s="35" t="n">
        <x:v>680</x:v>
      </x:c>
      <x:c r="K64" s="38" t="str">
        <x:v>owns interface integration; cannot rewrite family effects</x:v>
      </x:c>
    </x:row>
    <x:row r="65" ht="29" customHeight="1">
      <x:c r="B65" s="35" t="str">
        <x:v>TIO-11</x:v>
      </x:c>
      <x:c r="C65" s="35" t="str">
        <x:v>Technical integration office</x:v>
      </x:c>
      <x:c r="D65" s="35" t="str">
        <x:v>cross-family interfaces cohort 11</x:v>
      </x:c>
      <x:c r="E65" s="35" t="n">
        <x:v>12</x:v>
      </x:c>
      <x:c r="F65" s="35" t="n">
        <x:v>2000</x:v>
      </x:c>
      <x:c r="G65" s="35" t="n">
        <x:v>120</x:v>
      </x:c>
      <x:c r="H65" s="35" t="n">
        <x:v>760</x:v>
      </x:c>
      <x:c r="I65" s="35" t="n">
        <x:v>440</x:v>
      </x:c>
      <x:c r="J65" s="35" t="n">
        <x:v>680</x:v>
      </x:c>
      <x:c r="K65" s="38" t="str">
        <x:v>owns interface integration; cannot rewrite family effects</x:v>
      </x:c>
    </x:row>
    <x:row r="66" ht="29" customHeight="1">
      <x:c r="B66" s="35" t="str">
        <x:v>TIO-12</x:v>
      </x:c>
      <x:c r="C66" s="35" t="str">
        <x:v>Technical integration office</x:v>
      </x:c>
      <x:c r="D66" s="35" t="str">
        <x:v>cross-family interfaces cohort 12</x:v>
      </x:c>
      <x:c r="E66" s="35" t="n">
        <x:v>12</x:v>
      </x:c>
      <x:c r="F66" s="35" t="n">
        <x:v>2000</x:v>
      </x:c>
      <x:c r="G66" s="35" t="n">
        <x:v>120</x:v>
      </x:c>
      <x:c r="H66" s="35" t="n">
        <x:v>760</x:v>
      </x:c>
      <x:c r="I66" s="35" t="n">
        <x:v>440</x:v>
      </x:c>
      <x:c r="J66" s="35" t="n">
        <x:v>680</x:v>
      </x:c>
      <x:c r="K66" s="38" t="str">
        <x:v>owns interface integration; cannot rewrite family effects</x:v>
      </x:c>
    </x:row>
    <x:row r="67" ht="29" customHeight="1">
      <x:c r="B67" s="35" t="str">
        <x:v>TIO-13</x:v>
      </x:c>
      <x:c r="C67" s="35" t="str">
        <x:v>Technical integration office</x:v>
      </x:c>
      <x:c r="D67" s="35" t="str">
        <x:v>cross-family interfaces cohort 13</x:v>
      </x:c>
      <x:c r="E67" s="35" t="n">
        <x:v>12</x:v>
      </x:c>
      <x:c r="F67" s="35" t="n">
        <x:v>2000</x:v>
      </x:c>
      <x:c r="G67" s="35" t="n">
        <x:v>120</x:v>
      </x:c>
      <x:c r="H67" s="35" t="n">
        <x:v>760</x:v>
      </x:c>
      <x:c r="I67" s="35" t="n">
        <x:v>440</x:v>
      </x:c>
      <x:c r="J67" s="35" t="n">
        <x:v>680</x:v>
      </x:c>
      <x:c r="K67" s="38" t="str">
        <x:v>owns interface integration; cannot rewrite family effects</x:v>
      </x:c>
    </x:row>
    <x:row r="68" ht="29" customHeight="1">
      <x:c r="B68" s="35" t="str">
        <x:v>TIO-14</x:v>
      </x:c>
      <x:c r="C68" s="35" t="str">
        <x:v>Technical integration office</x:v>
      </x:c>
      <x:c r="D68" s="35" t="str">
        <x:v>cross-family interfaces cohort 14</x:v>
      </x:c>
      <x:c r="E68" s="35" t="n">
        <x:v>12</x:v>
      </x:c>
      <x:c r="F68" s="35" t="n">
        <x:v>2000</x:v>
      </x:c>
      <x:c r="G68" s="35" t="n">
        <x:v>120</x:v>
      </x:c>
      <x:c r="H68" s="35" t="n">
        <x:v>760</x:v>
      </x:c>
      <x:c r="I68" s="35" t="n">
        <x:v>440</x:v>
      </x:c>
      <x:c r="J68" s="35" t="n">
        <x:v>680</x:v>
      </x:c>
      <x:c r="K68" s="38" t="str">
        <x:v>owns interface integration; cannot rewrite family effects</x:v>
      </x:c>
    </x:row>
    <x:row r="69" ht="29" customHeight="1">
      <x:c r="B69" s="35" t="str">
        <x:v>TIO-15</x:v>
      </x:c>
      <x:c r="C69" s="35" t="str">
        <x:v>Technical integration office</x:v>
      </x:c>
      <x:c r="D69" s="35" t="str">
        <x:v>cross-family interfaces cohort 15</x:v>
      </x:c>
      <x:c r="E69" s="35" t="n">
        <x:v>12</x:v>
      </x:c>
      <x:c r="F69" s="35" t="n">
        <x:v>2000</x:v>
      </x:c>
      <x:c r="G69" s="35" t="n">
        <x:v>120</x:v>
      </x:c>
      <x:c r="H69" s="35" t="n">
        <x:v>760</x:v>
      </x:c>
      <x:c r="I69" s="35" t="n">
        <x:v>440</x:v>
      </x:c>
      <x:c r="J69" s="35" t="n">
        <x:v>680</x:v>
      </x:c>
      <x:c r="K69" s="38" t="str">
        <x:v>owns interface integration; cannot rewrite family effects</x:v>
      </x:c>
    </x:row>
    <x:row r="70" ht="29" customHeight="1">
      <x:c r="B70" s="39" t="str">
        <x:v>TIO-16</x:v>
      </x:c>
      <x:c r="C70" s="39" t="str">
        <x:v>Technical integration office</x:v>
      </x:c>
      <x:c r="D70" s="39" t="str">
        <x:v>cross-family interfaces cohort 16</x:v>
      </x:c>
      <x:c r="E70" s="39" t="n">
        <x:v>12</x:v>
      </x:c>
      <x:c r="F70" s="39" t="n">
        <x:v>2000</x:v>
      </x:c>
      <x:c r="G70" s="39" t="n">
        <x:v>120</x:v>
      </x:c>
      <x:c r="H70" s="39" t="n">
        <x:v>760</x:v>
      </x:c>
      <x:c r="I70" s="39" t="n">
        <x:v>440</x:v>
      </x:c>
      <x:c r="J70" s="39" t="n">
        <x:v>680</x:v>
      </x:c>
      <x:c r="K70" s="42" t="str">
        <x:v>owns interface integration; cannot rewrite family effects</x:v>
      </x:c>
    </x:row>
    <x:row r="71"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</x:sheetData>
  <x:mergeCells>
    <x:mergeCell ref="B3:K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0" hidden="0" customWidth="1"/>
    <x:col min="4" max="4" width="11" hidden="0" customWidth="1"/>
    <x:col min="5" max="5" width="45" hidden="0" customWidth="1"/>
    <x:col min="6" max="6" width="11" hidden="0" customWidth="1"/>
    <x:col min="7" max="7" width="15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2">
      <x:c r="B2" s="3" t="str">
        <x:v>Program register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Forty-eight capability families each sustain four overlapping increments. Family offices own delivery; integration offices force cross-family interfaces to converge.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Program</x:v>
      </x:c>
      <x:c r="C6" s="20" t="str">
        <x:v>Family</x:v>
      </x:c>
      <x:c r="D6" s="20" t="str">
        <x:v>Portfolio</x:v>
      </x:c>
      <x:c r="E6" s="20" t="str">
        <x:v>Program</x:v>
      </x:c>
      <x:c r="F6" s="20" t="str">
        <x:v>Increment</x:v>
      </x:c>
      <x:c r="G6" s="20" t="str">
        <x:v>Cohort</x:v>
      </x:c>
      <x:c r="H6" s="20" t="str">
        <x:v>Lifecycle years</x:v>
      </x:c>
      <x:c r="I6" s="20" t="str">
        <x:v>FPO</x:v>
      </x:c>
      <x:c r="J6" s="20" t="str">
        <x:v>TIO</x:v>
      </x:c>
      <x:c r="K6" s="20" t="str">
        <x:v>Program capital USD T</x:v>
      </x:c>
      <x:c r="L6" s="20" t="str">
        <x:v>Roots</x:v>
      </x:c>
      <x:c r="M6" s="20" t="str">
        <x:v>Artifacts</x:v>
      </x:c>
      <x:c r="N6" s="20" t="str">
        <x:v>State</x:v>
      </x:c>
    </x:row>
    <x:row r="7">
      <x:c r="B7" s="21" t="str">
        <x:v>F01-I1</x:v>
      </x:c>
      <x:c r="C7" s="21" t="str">
        <x:v>F01</x:v>
      </x:c>
      <x:c r="D7" s="21" t="str">
        <x:v>P01</x:v>
      </x:c>
      <x:c r="E7" s="21" t="str">
        <x:v>Civil coordination node increment 1</x:v>
      </x:c>
      <x:c r="F7" s="21" t="n">
        <x:v>1</x:v>
      </x:c>
      <x:c r="G7" s="21" t="n">
        <x:v>1</x:v>
      </x:c>
      <x:c r="H7" s="21" t="n">
        <x:v>12</x:v>
      </x:c>
      <x:c r="I7" s="21" t="str">
        <x:v>FPO-01</x:v>
      </x:c>
      <x:c r="J7" s="21" t="str">
        <x:v>TIO-01</x:v>
      </x:c>
      <x:c r="K7" s="44" t="n">
        <x:v>0.0625</x:v>
      </x:c>
      <x:c r="L7" s="21" t="n">
        <x:v>3</x:v>
      </x:c>
      <x:c r="M7" s="21" t="n">
        <x:v>10</x:v>
      </x:c>
      <x:c r="N7" s="23" t="str">
        <x:v>HOLD</x:v>
      </x:c>
    </x:row>
    <x:row r="8">
      <x:c r="B8" s="21" t="str">
        <x:v>F01-I2</x:v>
      </x:c>
      <x:c r="C8" s="21" t="str">
        <x:v>F01</x:v>
      </x:c>
      <x:c r="D8" s="21" t="str">
        <x:v>P01</x:v>
      </x:c>
      <x:c r="E8" s="21" t="str">
        <x:v>Civil coordination node increment 2</x:v>
      </x:c>
      <x:c r="F8" s="21" t="n">
        <x:v>2</x:v>
      </x:c>
      <x:c r="G8" s="21" t="n">
        <x:v>2</x:v>
      </x:c>
      <x:c r="H8" s="21" t="n">
        <x:v>12</x:v>
      </x:c>
      <x:c r="I8" s="21" t="str">
        <x:v>FPO-01</x:v>
      </x:c>
      <x:c r="J8" s="21" t="str">
        <x:v>TIO-02</x:v>
      </x:c>
      <x:c r="K8" s="44" t="n">
        <x:v>0.0625</x:v>
      </x:c>
      <x:c r="L8" s="21" t="n">
        <x:v>3</x:v>
      </x:c>
      <x:c r="M8" s="21" t="n">
        <x:v>10</x:v>
      </x:c>
      <x:c r="N8" s="23" t="str">
        <x:v>HOLD</x:v>
      </x:c>
    </x:row>
    <x:row r="9">
      <x:c r="B9" s="21" t="str">
        <x:v>F01-I3</x:v>
      </x:c>
      <x:c r="C9" s="21" t="str">
        <x:v>F01</x:v>
      </x:c>
      <x:c r="D9" s="21" t="str">
        <x:v>P01</x:v>
      </x:c>
      <x:c r="E9" s="21" t="str">
        <x:v>Civil coordination node increment 3</x:v>
      </x:c>
      <x:c r="F9" s="21" t="n">
        <x:v>3</x:v>
      </x:c>
      <x:c r="G9" s="21" t="n">
        <x:v>3</x:v>
      </x:c>
      <x:c r="H9" s="21" t="n">
        <x:v>12</x:v>
      </x:c>
      <x:c r="I9" s="21" t="str">
        <x:v>FPO-01</x:v>
      </x:c>
      <x:c r="J9" s="21" t="str">
        <x:v>TIO-03</x:v>
      </x:c>
      <x:c r="K9" s="44" t="n">
        <x:v>0.0625</x:v>
      </x:c>
      <x:c r="L9" s="21" t="n">
        <x:v>3</x:v>
      </x:c>
      <x:c r="M9" s="21" t="n">
        <x:v>10</x:v>
      </x:c>
      <x:c r="N9" s="23" t="str">
        <x:v>HOLD</x:v>
      </x:c>
    </x:row>
    <x:row r="10">
      <x:c r="B10" s="21" t="str">
        <x:v>F01-I4</x:v>
      </x:c>
      <x:c r="C10" s="21" t="str">
        <x:v>F01</x:v>
      </x:c>
      <x:c r="D10" s="21" t="str">
        <x:v>P01</x:v>
      </x:c>
      <x:c r="E10" s="21" t="str">
        <x:v>Civil coordination node increment 4</x:v>
      </x:c>
      <x:c r="F10" s="21" t="n">
        <x:v>4</x:v>
      </x:c>
      <x:c r="G10" s="21" t="n">
        <x:v>4</x:v>
      </x:c>
      <x:c r="H10" s="21" t="n">
        <x:v>12</x:v>
      </x:c>
      <x:c r="I10" s="21" t="str">
        <x:v>FPO-01</x:v>
      </x:c>
      <x:c r="J10" s="21" t="str">
        <x:v>TIO-04</x:v>
      </x:c>
      <x:c r="K10" s="44" t="n">
        <x:v>0.0625</x:v>
      </x:c>
      <x:c r="L10" s="21" t="n">
        <x:v>3</x:v>
      </x:c>
      <x:c r="M10" s="21" t="n">
        <x:v>10</x:v>
      </x:c>
      <x:c r="N10" s="23" t="str">
        <x:v>HOLD</x:v>
      </x:c>
    </x:row>
    <x:row r="11">
      <x:c r="B11" s="21" t="str">
        <x:v>F02-I1</x:v>
      </x:c>
      <x:c r="C11" s="21" t="str">
        <x:v>F02</x:v>
      </x:c>
      <x:c r="D11" s="21" t="str">
        <x:v>P01</x:v>
      </x:c>
      <x:c r="E11" s="21" t="str">
        <x:v>Common operating-picture mesh increment 1</x:v>
      </x:c>
      <x:c r="F11" s="21" t="n">
        <x:v>1</x:v>
      </x:c>
      <x:c r="G11" s="21" t="n">
        <x:v>5</x:v>
      </x:c>
      <x:c r="H11" s="21" t="n">
        <x:v>12</x:v>
      </x:c>
      <x:c r="I11" s="21" t="str">
        <x:v>FPO-02</x:v>
      </x:c>
      <x:c r="J11" s="21" t="str">
        <x:v>TIO-05</x:v>
      </x:c>
      <x:c r="K11" s="44" t="n">
        <x:v>0.0625</x:v>
      </x:c>
      <x:c r="L11" s="21" t="n">
        <x:v>3</x:v>
      </x:c>
      <x:c r="M11" s="21" t="n">
        <x:v>10</x:v>
      </x:c>
      <x:c r="N11" s="23" t="str">
        <x:v>HOLD</x:v>
      </x:c>
    </x:row>
    <x:row r="12">
      <x:c r="B12" s="21" t="str">
        <x:v>F02-I2</x:v>
      </x:c>
      <x:c r="C12" s="21" t="str">
        <x:v>F02</x:v>
      </x:c>
      <x:c r="D12" s="21" t="str">
        <x:v>P01</x:v>
      </x:c>
      <x:c r="E12" s="21" t="str">
        <x:v>Common operating-picture mesh increment 2</x:v>
      </x:c>
      <x:c r="F12" s="21" t="n">
        <x:v>2</x:v>
      </x:c>
      <x:c r="G12" s="21" t="n">
        <x:v>6</x:v>
      </x:c>
      <x:c r="H12" s="21" t="n">
        <x:v>12</x:v>
      </x:c>
      <x:c r="I12" s="21" t="str">
        <x:v>FPO-02</x:v>
      </x:c>
      <x:c r="J12" s="21" t="str">
        <x:v>TIO-06</x:v>
      </x:c>
      <x:c r="K12" s="44" t="n">
        <x:v>0.0625</x:v>
      </x:c>
      <x:c r="L12" s="21" t="n">
        <x:v>3</x:v>
      </x:c>
      <x:c r="M12" s="21" t="n">
        <x:v>10</x:v>
      </x:c>
      <x:c r="N12" s="23" t="str">
        <x:v>HOLD</x:v>
      </x:c>
    </x:row>
    <x:row r="13">
      <x:c r="B13" s="21" t="str">
        <x:v>F02-I3</x:v>
      </x:c>
      <x:c r="C13" s="21" t="str">
        <x:v>F02</x:v>
      </x:c>
      <x:c r="D13" s="21" t="str">
        <x:v>P01</x:v>
      </x:c>
      <x:c r="E13" s="21" t="str">
        <x:v>Common operating-picture mesh increment 3</x:v>
      </x:c>
      <x:c r="F13" s="21" t="n">
        <x:v>3</x:v>
      </x:c>
      <x:c r="G13" s="21" t="n">
        <x:v>7</x:v>
      </x:c>
      <x:c r="H13" s="21" t="n">
        <x:v>12</x:v>
      </x:c>
      <x:c r="I13" s="21" t="str">
        <x:v>FPO-02</x:v>
      </x:c>
      <x:c r="J13" s="21" t="str">
        <x:v>TIO-07</x:v>
      </x:c>
      <x:c r="K13" s="44" t="n">
        <x:v>0.0625</x:v>
      </x:c>
      <x:c r="L13" s="21" t="n">
        <x:v>3</x:v>
      </x:c>
      <x:c r="M13" s="21" t="n">
        <x:v>10</x:v>
      </x:c>
      <x:c r="N13" s="23" t="str">
        <x:v>HOLD</x:v>
      </x:c>
    </x:row>
    <x:row r="14">
      <x:c r="B14" s="21" t="str">
        <x:v>F02-I4</x:v>
      </x:c>
      <x:c r="C14" s="21" t="str">
        <x:v>F02</x:v>
      </x:c>
      <x:c r="D14" s="21" t="str">
        <x:v>P01</x:v>
      </x:c>
      <x:c r="E14" s="21" t="str">
        <x:v>Common operating-picture mesh increment 4</x:v>
      </x:c>
      <x:c r="F14" s="21" t="n">
        <x:v>4</x:v>
      </x:c>
      <x:c r="G14" s="21" t="n">
        <x:v>8</x:v>
      </x:c>
      <x:c r="H14" s="21" t="n">
        <x:v>12</x:v>
      </x:c>
      <x:c r="I14" s="21" t="str">
        <x:v>FPO-02</x:v>
      </x:c>
      <x:c r="J14" s="21" t="str">
        <x:v>TIO-08</x:v>
      </x:c>
      <x:c r="K14" s="44" t="n">
        <x:v>0.0625</x:v>
      </x:c>
      <x:c r="L14" s="21" t="n">
        <x:v>3</x:v>
      </x:c>
      <x:c r="M14" s="21" t="n">
        <x:v>10</x:v>
      </x:c>
      <x:c r="N14" s="23" t="str">
        <x:v>HOLD</x:v>
      </x:c>
    </x:row>
    <x:row r="15">
      <x:c r="B15" s="21" t="str">
        <x:v>F03-I1</x:v>
      </x:c>
      <x:c r="C15" s="21" t="str">
        <x:v>F03</x:v>
      </x:c>
      <x:c r="D15" s="21" t="str">
        <x:v>P01</x:v>
      </x:c>
      <x:c r="E15" s="21" t="str">
        <x:v>Public warning and translation network increment 1</x:v>
      </x:c>
      <x:c r="F15" s="21" t="n">
        <x:v>1</x:v>
      </x:c>
      <x:c r="G15" s="21" t="n">
        <x:v>9</x:v>
      </x:c>
      <x:c r="H15" s="21" t="n">
        <x:v>12</x:v>
      </x:c>
      <x:c r="I15" s="21" t="str">
        <x:v>FPO-03</x:v>
      </x:c>
      <x:c r="J15" s="21" t="str">
        <x:v>TIO-09</x:v>
      </x:c>
      <x:c r="K15" s="44" t="n">
        <x:v>0.0625</x:v>
      </x:c>
      <x:c r="L15" s="21" t="n">
        <x:v>3</x:v>
      </x:c>
      <x:c r="M15" s="21" t="n">
        <x:v>10</x:v>
      </x:c>
      <x:c r="N15" s="23" t="str">
        <x:v>HOLD</x:v>
      </x:c>
    </x:row>
    <x:row r="16">
      <x:c r="B16" s="21" t="str">
        <x:v>F03-I2</x:v>
      </x:c>
      <x:c r="C16" s="21" t="str">
        <x:v>F03</x:v>
      </x:c>
      <x:c r="D16" s="21" t="str">
        <x:v>P01</x:v>
      </x:c>
      <x:c r="E16" s="21" t="str">
        <x:v>Public warning and translation network increment 2</x:v>
      </x:c>
      <x:c r="F16" s="21" t="n">
        <x:v>2</x:v>
      </x:c>
      <x:c r="G16" s="21" t="n">
        <x:v>10</x:v>
      </x:c>
      <x:c r="H16" s="21" t="n">
        <x:v>12</x:v>
      </x:c>
      <x:c r="I16" s="21" t="str">
        <x:v>FPO-03</x:v>
      </x:c>
      <x:c r="J16" s="21" t="str">
        <x:v>TIO-10</x:v>
      </x:c>
      <x:c r="K16" s="44" t="n">
        <x:v>0.0625</x:v>
      </x:c>
      <x:c r="L16" s="21" t="n">
        <x:v>3</x:v>
      </x:c>
      <x:c r="M16" s="21" t="n">
        <x:v>10</x:v>
      </x:c>
      <x:c r="N16" s="23" t="str">
        <x:v>HOLD</x:v>
      </x:c>
    </x:row>
    <x:row r="17">
      <x:c r="B17" s="21" t="str">
        <x:v>F03-I3</x:v>
      </x:c>
      <x:c r="C17" s="21" t="str">
        <x:v>F03</x:v>
      </x:c>
      <x:c r="D17" s="21" t="str">
        <x:v>P01</x:v>
      </x:c>
      <x:c r="E17" s="21" t="str">
        <x:v>Public warning and translation network increment 3</x:v>
      </x:c>
      <x:c r="F17" s="21" t="n">
        <x:v>3</x:v>
      </x:c>
      <x:c r="G17" s="21" t="n">
        <x:v>11</x:v>
      </x:c>
      <x:c r="H17" s="21" t="n">
        <x:v>12</x:v>
      </x:c>
      <x:c r="I17" s="21" t="str">
        <x:v>FPO-03</x:v>
      </x:c>
      <x:c r="J17" s="21" t="str">
        <x:v>TIO-11</x:v>
      </x:c>
      <x:c r="K17" s="44" t="n">
        <x:v>0.0625</x:v>
      </x:c>
      <x:c r="L17" s="21" t="n">
        <x:v>3</x:v>
      </x:c>
      <x:c r="M17" s="21" t="n">
        <x:v>10</x:v>
      </x:c>
      <x:c r="N17" s="23" t="str">
        <x:v>HOLD</x:v>
      </x:c>
    </x:row>
    <x:row r="18">
      <x:c r="B18" s="21" t="str">
        <x:v>F03-I4</x:v>
      </x:c>
      <x:c r="C18" s="21" t="str">
        <x:v>F03</x:v>
      </x:c>
      <x:c r="D18" s="21" t="str">
        <x:v>P01</x:v>
      </x:c>
      <x:c r="E18" s="21" t="str">
        <x:v>Public warning and translation network increment 4</x:v>
      </x:c>
      <x:c r="F18" s="21" t="n">
        <x:v>4</x:v>
      </x:c>
      <x:c r="G18" s="21" t="n">
        <x:v>12</x:v>
      </x:c>
      <x:c r="H18" s="21" t="n">
        <x:v>12</x:v>
      </x:c>
      <x:c r="I18" s="21" t="str">
        <x:v>FPO-03</x:v>
      </x:c>
      <x:c r="J18" s="21" t="str">
        <x:v>TIO-12</x:v>
      </x:c>
      <x:c r="K18" s="44" t="n">
        <x:v>0.0625</x:v>
      </x:c>
      <x:c r="L18" s="21" t="n">
        <x:v>3</x:v>
      </x:c>
      <x:c r="M18" s="21" t="n">
        <x:v>10</x:v>
      </x:c>
      <x:c r="N18" s="23" t="str">
        <x:v>HOLD</x:v>
      </x:c>
    </x:row>
    <x:row r="19">
      <x:c r="B19" s="21" t="str">
        <x:v>F04-I1</x:v>
      </x:c>
      <x:c r="C19" s="21" t="str">
        <x:v>F04</x:v>
      </x:c>
      <x:c r="D19" s="21" t="str">
        <x:v>P01</x:v>
      </x:c>
      <x:c r="E19" s="21" t="str">
        <x:v>Evidence and identity continuity system increment 1</x:v>
      </x:c>
      <x:c r="F19" s="21" t="n">
        <x:v>1</x:v>
      </x:c>
      <x:c r="G19" s="21" t="n">
        <x:v>13</x:v>
      </x:c>
      <x:c r="H19" s="21" t="n">
        <x:v>12</x:v>
      </x:c>
      <x:c r="I19" s="21" t="str">
        <x:v>FPO-04</x:v>
      </x:c>
      <x:c r="J19" s="21" t="str">
        <x:v>TIO-13</x:v>
      </x:c>
      <x:c r="K19" s="44" t="n">
        <x:v>0.0625</x:v>
      </x:c>
      <x:c r="L19" s="21" t="n">
        <x:v>3</x:v>
      </x:c>
      <x:c r="M19" s="21" t="n">
        <x:v>10</x:v>
      </x:c>
      <x:c r="N19" s="23" t="str">
        <x:v>HOLD</x:v>
      </x:c>
    </x:row>
    <x:row r="20">
      <x:c r="B20" s="21" t="str">
        <x:v>F04-I2</x:v>
      </x:c>
      <x:c r="C20" s="21" t="str">
        <x:v>F04</x:v>
      </x:c>
      <x:c r="D20" s="21" t="str">
        <x:v>P01</x:v>
      </x:c>
      <x:c r="E20" s="21" t="str">
        <x:v>Evidence and identity continuity system increment 2</x:v>
      </x:c>
      <x:c r="F20" s="21" t="n">
        <x:v>2</x:v>
      </x:c>
      <x:c r="G20" s="21" t="n">
        <x:v>14</x:v>
      </x:c>
      <x:c r="H20" s="21" t="n">
        <x:v>12</x:v>
      </x:c>
      <x:c r="I20" s="21" t="str">
        <x:v>FPO-04</x:v>
      </x:c>
      <x:c r="J20" s="21" t="str">
        <x:v>TIO-14</x:v>
      </x:c>
      <x:c r="K20" s="44" t="n">
        <x:v>0.0625</x:v>
      </x:c>
      <x:c r="L20" s="21" t="n">
        <x:v>3</x:v>
      </x:c>
      <x:c r="M20" s="21" t="n">
        <x:v>10</x:v>
      </x:c>
      <x:c r="N20" s="23" t="str">
        <x:v>HOLD</x:v>
      </x:c>
    </x:row>
    <x:row r="21">
      <x:c r="B21" s="21" t="str">
        <x:v>F04-I3</x:v>
      </x:c>
      <x:c r="C21" s="21" t="str">
        <x:v>F04</x:v>
      </x:c>
      <x:c r="D21" s="21" t="str">
        <x:v>P01</x:v>
      </x:c>
      <x:c r="E21" s="21" t="str">
        <x:v>Evidence and identity continuity system increment 3</x:v>
      </x:c>
      <x:c r="F21" s="21" t="n">
        <x:v>3</x:v>
      </x:c>
      <x:c r="G21" s="21" t="n">
        <x:v>15</x:v>
      </x:c>
      <x:c r="H21" s="21" t="n">
        <x:v>12</x:v>
      </x:c>
      <x:c r="I21" s="21" t="str">
        <x:v>FPO-04</x:v>
      </x:c>
      <x:c r="J21" s="21" t="str">
        <x:v>TIO-15</x:v>
      </x:c>
      <x:c r="K21" s="44" t="n">
        <x:v>0.0625</x:v>
      </x:c>
      <x:c r="L21" s="21" t="n">
        <x:v>3</x:v>
      </x:c>
      <x:c r="M21" s="21" t="n">
        <x:v>10</x:v>
      </x:c>
      <x:c r="N21" s="23" t="str">
        <x:v>HOLD</x:v>
      </x:c>
    </x:row>
    <x:row r="22">
      <x:c r="B22" s="21" t="str">
        <x:v>F04-I4</x:v>
      </x:c>
      <x:c r="C22" s="21" t="str">
        <x:v>F04</x:v>
      </x:c>
      <x:c r="D22" s="21" t="str">
        <x:v>P01</x:v>
      </x:c>
      <x:c r="E22" s="21" t="str">
        <x:v>Evidence and identity continuity system increment 4</x:v>
      </x:c>
      <x:c r="F22" s="21" t="n">
        <x:v>4</x:v>
      </x:c>
      <x:c r="G22" s="21" t="n">
        <x:v>16</x:v>
      </x:c>
      <x:c r="H22" s="21" t="n">
        <x:v>12</x:v>
      </x:c>
      <x:c r="I22" s="21" t="str">
        <x:v>FPO-04</x:v>
      </x:c>
      <x:c r="J22" s="21" t="str">
        <x:v>TIO-16</x:v>
      </x:c>
      <x:c r="K22" s="44" t="n">
        <x:v>0.0625</x:v>
      </x:c>
      <x:c r="L22" s="21" t="n">
        <x:v>3</x:v>
      </x:c>
      <x:c r="M22" s="21" t="n">
        <x:v>10</x:v>
      </x:c>
      <x:c r="N22" s="23" t="str">
        <x:v>HOLD</x:v>
      </x:c>
    </x:row>
    <x:row r="23">
      <x:c r="B23" s="21" t="str">
        <x:v>F05-I1</x:v>
      </x:c>
      <x:c r="C23" s="21" t="str">
        <x:v>F05</x:v>
      </x:c>
      <x:c r="D23" s="21" t="str">
        <x:v>P02</x:v>
      </x:c>
      <x:c r="E23" s="21" t="str">
        <x:v>Rapid nutrition production cell increment 1</x:v>
      </x:c>
      <x:c r="F23" s="21" t="n">
        <x:v>1</x:v>
      </x:c>
      <x:c r="G23" s="21" t="n">
        <x:v>1</x:v>
      </x:c>
      <x:c r="H23" s="21" t="n">
        <x:v>12</x:v>
      </x:c>
      <x:c r="I23" s="21" t="str">
        <x:v>FPO-05</x:v>
      </x:c>
      <x:c r="J23" s="21" t="str">
        <x:v>TIO-01</x:v>
      </x:c>
      <x:c r="K23" s="44" t="n">
        <x:v>0.06999999999999999</x:v>
      </x:c>
      <x:c r="L23" s="21" t="n">
        <x:v>3</x:v>
      </x:c>
      <x:c r="M23" s="21" t="n">
        <x:v>10</x:v>
      </x:c>
      <x:c r="N23" s="23" t="str">
        <x:v>HOLD</x:v>
      </x:c>
    </x:row>
    <x:row r="24">
      <x:c r="B24" s="21" t="str">
        <x:v>F05-I2</x:v>
      </x:c>
      <x:c r="C24" s="21" t="str">
        <x:v>F05</x:v>
      </x:c>
      <x:c r="D24" s="21" t="str">
        <x:v>P02</x:v>
      </x:c>
      <x:c r="E24" s="21" t="str">
        <x:v>Rapid nutrition production cell increment 2</x:v>
      </x:c>
      <x:c r="F24" s="21" t="n">
        <x:v>2</x:v>
      </x:c>
      <x:c r="G24" s="21" t="n">
        <x:v>2</x:v>
      </x:c>
      <x:c r="H24" s="21" t="n">
        <x:v>12</x:v>
      </x:c>
      <x:c r="I24" s="21" t="str">
        <x:v>FPO-05</x:v>
      </x:c>
      <x:c r="J24" s="21" t="str">
        <x:v>TIO-02</x:v>
      </x:c>
      <x:c r="K24" s="44" t="n">
        <x:v>0.06999999999999999</x:v>
      </x:c>
      <x:c r="L24" s="21" t="n">
        <x:v>3</x:v>
      </x:c>
      <x:c r="M24" s="21" t="n">
        <x:v>10</x:v>
      </x:c>
      <x:c r="N24" s="23" t="str">
        <x:v>HOLD</x:v>
      </x:c>
    </x:row>
    <x:row r="25">
      <x:c r="B25" s="21" t="str">
        <x:v>F05-I3</x:v>
      </x:c>
      <x:c r="C25" s="21" t="str">
        <x:v>F05</x:v>
      </x:c>
      <x:c r="D25" s="21" t="str">
        <x:v>P02</x:v>
      </x:c>
      <x:c r="E25" s="21" t="str">
        <x:v>Rapid nutrition production cell increment 3</x:v>
      </x:c>
      <x:c r="F25" s="21" t="n">
        <x:v>3</x:v>
      </x:c>
      <x:c r="G25" s="21" t="n">
        <x:v>3</x:v>
      </x:c>
      <x:c r="H25" s="21" t="n">
        <x:v>12</x:v>
      </x:c>
      <x:c r="I25" s="21" t="str">
        <x:v>FPO-05</x:v>
      </x:c>
      <x:c r="J25" s="21" t="str">
        <x:v>TIO-03</x:v>
      </x:c>
      <x:c r="K25" s="44" t="n">
        <x:v>0.06999999999999999</x:v>
      </x:c>
      <x:c r="L25" s="21" t="n">
        <x:v>3</x:v>
      </x:c>
      <x:c r="M25" s="21" t="n">
        <x:v>10</x:v>
      </x:c>
      <x:c r="N25" s="23" t="str">
        <x:v>HOLD</x:v>
      </x:c>
    </x:row>
    <x:row r="26">
      <x:c r="B26" s="21" t="str">
        <x:v>F05-I4</x:v>
      </x:c>
      <x:c r="C26" s="21" t="str">
        <x:v>F05</x:v>
      </x:c>
      <x:c r="D26" s="21" t="str">
        <x:v>P02</x:v>
      </x:c>
      <x:c r="E26" s="21" t="str">
        <x:v>Rapid nutrition production cell increment 4</x:v>
      </x:c>
      <x:c r="F26" s="21" t="n">
        <x:v>4</x:v>
      </x:c>
      <x:c r="G26" s="21" t="n">
        <x:v>4</x:v>
      </x:c>
      <x:c r="H26" s="21" t="n">
        <x:v>12</x:v>
      </x:c>
      <x:c r="I26" s="21" t="str">
        <x:v>FPO-05</x:v>
      </x:c>
      <x:c r="J26" s="21" t="str">
        <x:v>TIO-04</x:v>
      </x:c>
      <x:c r="K26" s="44" t="n">
        <x:v>0.06999999999999999</x:v>
      </x:c>
      <x:c r="L26" s="21" t="n">
        <x:v>3</x:v>
      </x:c>
      <x:c r="M26" s="21" t="n">
        <x:v>10</x:v>
      </x:c>
      <x:c r="N26" s="23" t="str">
        <x:v>HOLD</x:v>
      </x:c>
    </x:row>
    <x:row r="27">
      <x:c r="B27" s="21" t="str">
        <x:v>F06-I1</x:v>
      </x:c>
      <x:c r="C27" s="21" t="str">
        <x:v>F06</x:v>
      </x:c>
      <x:c r="D27" s="21" t="str">
        <x:v>P02</x:v>
      </x:c>
      <x:c r="E27" s="21" t="str">
        <x:v>Cold-chain preservation lattice increment 1</x:v>
      </x:c>
      <x:c r="F27" s="21" t="n">
        <x:v>1</x:v>
      </x:c>
      <x:c r="G27" s="21" t="n">
        <x:v>5</x:v>
      </x:c>
      <x:c r="H27" s="21" t="n">
        <x:v>12</x:v>
      </x:c>
      <x:c r="I27" s="21" t="str">
        <x:v>FPO-06</x:v>
      </x:c>
      <x:c r="J27" s="21" t="str">
        <x:v>TIO-05</x:v>
      </x:c>
      <x:c r="K27" s="44" t="n">
        <x:v>0.06999999999999999</x:v>
      </x:c>
      <x:c r="L27" s="21" t="n">
        <x:v>3</x:v>
      </x:c>
      <x:c r="M27" s="21" t="n">
        <x:v>10</x:v>
      </x:c>
      <x:c r="N27" s="23" t="str">
        <x:v>HOLD</x:v>
      </x:c>
    </x:row>
    <x:row r="28">
      <x:c r="B28" s="21" t="str">
        <x:v>F06-I2</x:v>
      </x:c>
      <x:c r="C28" s="21" t="str">
        <x:v>F06</x:v>
      </x:c>
      <x:c r="D28" s="21" t="str">
        <x:v>P02</x:v>
      </x:c>
      <x:c r="E28" s="21" t="str">
        <x:v>Cold-chain preservation lattice increment 2</x:v>
      </x:c>
      <x:c r="F28" s="21" t="n">
        <x:v>2</x:v>
      </x:c>
      <x:c r="G28" s="21" t="n">
        <x:v>6</x:v>
      </x:c>
      <x:c r="H28" s="21" t="n">
        <x:v>12</x:v>
      </x:c>
      <x:c r="I28" s="21" t="str">
        <x:v>FPO-06</x:v>
      </x:c>
      <x:c r="J28" s="21" t="str">
        <x:v>TIO-06</x:v>
      </x:c>
      <x:c r="K28" s="44" t="n">
        <x:v>0.06999999999999999</x:v>
      </x:c>
      <x:c r="L28" s="21" t="n">
        <x:v>3</x:v>
      </x:c>
      <x:c r="M28" s="21" t="n">
        <x:v>10</x:v>
      </x:c>
      <x:c r="N28" s="23" t="str">
        <x:v>HOLD</x:v>
      </x:c>
    </x:row>
    <x:row r="29">
      <x:c r="B29" s="21" t="str">
        <x:v>F06-I3</x:v>
      </x:c>
      <x:c r="C29" s="21" t="str">
        <x:v>F06</x:v>
      </x:c>
      <x:c r="D29" s="21" t="str">
        <x:v>P02</x:v>
      </x:c>
      <x:c r="E29" s="21" t="str">
        <x:v>Cold-chain preservation lattice increment 3</x:v>
      </x:c>
      <x:c r="F29" s="21" t="n">
        <x:v>3</x:v>
      </x:c>
      <x:c r="G29" s="21" t="n">
        <x:v>7</x:v>
      </x:c>
      <x:c r="H29" s="21" t="n">
        <x:v>12</x:v>
      </x:c>
      <x:c r="I29" s="21" t="str">
        <x:v>FPO-06</x:v>
      </x:c>
      <x:c r="J29" s="21" t="str">
        <x:v>TIO-07</x:v>
      </x:c>
      <x:c r="K29" s="44" t="n">
        <x:v>0.06999999999999999</x:v>
      </x:c>
      <x:c r="L29" s="21" t="n">
        <x:v>3</x:v>
      </x:c>
      <x:c r="M29" s="21" t="n">
        <x:v>10</x:v>
      </x:c>
      <x:c r="N29" s="23" t="str">
        <x:v>HOLD</x:v>
      </x:c>
    </x:row>
    <x:row r="30">
      <x:c r="B30" s="21" t="str">
        <x:v>F06-I4</x:v>
      </x:c>
      <x:c r="C30" s="21" t="str">
        <x:v>F06</x:v>
      </x:c>
      <x:c r="D30" s="21" t="str">
        <x:v>P02</x:v>
      </x:c>
      <x:c r="E30" s="21" t="str">
        <x:v>Cold-chain preservation lattice increment 4</x:v>
      </x:c>
      <x:c r="F30" s="21" t="n">
        <x:v>4</x:v>
      </x:c>
      <x:c r="G30" s="21" t="n">
        <x:v>8</x:v>
      </x:c>
      <x:c r="H30" s="21" t="n">
        <x:v>12</x:v>
      </x:c>
      <x:c r="I30" s="21" t="str">
        <x:v>FPO-06</x:v>
      </x:c>
      <x:c r="J30" s="21" t="str">
        <x:v>TIO-08</x:v>
      </x:c>
      <x:c r="K30" s="44" t="n">
        <x:v>0.06999999999999999</x:v>
      </x:c>
      <x:c r="L30" s="21" t="n">
        <x:v>3</x:v>
      </x:c>
      <x:c r="M30" s="21" t="n">
        <x:v>10</x:v>
      </x:c>
      <x:c r="N30" s="23" t="str">
        <x:v>HOLD</x:v>
      </x:c>
    </x:row>
    <x:row r="31">
      <x:c r="B31" s="21" t="str">
        <x:v>F07-I1</x:v>
      </x:c>
      <x:c r="C31" s="21" t="str">
        <x:v>F07</x:v>
      </x:c>
      <x:c r="D31" s="21" t="str">
        <x:v>P02</x:v>
      </x:c>
      <x:c r="E31" s="21" t="str">
        <x:v>Shelter manufacturing line increment 1</x:v>
      </x:c>
      <x:c r="F31" s="21" t="n">
        <x:v>1</x:v>
      </x:c>
      <x:c r="G31" s="21" t="n">
        <x:v>9</x:v>
      </x:c>
      <x:c r="H31" s="21" t="n">
        <x:v>12</x:v>
      </x:c>
      <x:c r="I31" s="21" t="str">
        <x:v>FPO-07</x:v>
      </x:c>
      <x:c r="J31" s="21" t="str">
        <x:v>TIO-09</x:v>
      </x:c>
      <x:c r="K31" s="44" t="n">
        <x:v>0.06999999999999999</x:v>
      </x:c>
      <x:c r="L31" s="21" t="n">
        <x:v>3</x:v>
      </x:c>
      <x:c r="M31" s="21" t="n">
        <x:v>10</x:v>
      </x:c>
      <x:c r="N31" s="23" t="str">
        <x:v>HOLD</x:v>
      </x:c>
    </x:row>
    <x:row r="32">
      <x:c r="B32" s="21" t="str">
        <x:v>F07-I2</x:v>
      </x:c>
      <x:c r="C32" s="21" t="str">
        <x:v>F07</x:v>
      </x:c>
      <x:c r="D32" s="21" t="str">
        <x:v>P02</x:v>
      </x:c>
      <x:c r="E32" s="21" t="str">
        <x:v>Shelter manufacturing line increment 2</x:v>
      </x:c>
      <x:c r="F32" s="21" t="n">
        <x:v>2</x:v>
      </x:c>
      <x:c r="G32" s="21" t="n">
        <x:v>10</x:v>
      </x:c>
      <x:c r="H32" s="21" t="n">
        <x:v>12</x:v>
      </x:c>
      <x:c r="I32" s="21" t="str">
        <x:v>FPO-07</x:v>
      </x:c>
      <x:c r="J32" s="21" t="str">
        <x:v>TIO-10</x:v>
      </x:c>
      <x:c r="K32" s="44" t="n">
        <x:v>0.06999999999999999</x:v>
      </x:c>
      <x:c r="L32" s="21" t="n">
        <x:v>3</x:v>
      </x:c>
      <x:c r="M32" s="21" t="n">
        <x:v>10</x:v>
      </x:c>
      <x:c r="N32" s="23" t="str">
        <x:v>HOLD</x:v>
      </x:c>
    </x:row>
    <x:row r="33">
      <x:c r="B33" s="21" t="str">
        <x:v>F07-I3</x:v>
      </x:c>
      <x:c r="C33" s="21" t="str">
        <x:v>F07</x:v>
      </x:c>
      <x:c r="D33" s="21" t="str">
        <x:v>P02</x:v>
      </x:c>
      <x:c r="E33" s="21" t="str">
        <x:v>Shelter manufacturing line increment 3</x:v>
      </x:c>
      <x:c r="F33" s="21" t="n">
        <x:v>3</x:v>
      </x:c>
      <x:c r="G33" s="21" t="n">
        <x:v>11</x:v>
      </x:c>
      <x:c r="H33" s="21" t="n">
        <x:v>12</x:v>
      </x:c>
      <x:c r="I33" s="21" t="str">
        <x:v>FPO-07</x:v>
      </x:c>
      <x:c r="J33" s="21" t="str">
        <x:v>TIO-11</x:v>
      </x:c>
      <x:c r="K33" s="44" t="n">
        <x:v>0.06999999999999999</x:v>
      </x:c>
      <x:c r="L33" s="21" t="n">
        <x:v>3</x:v>
      </x:c>
      <x:c r="M33" s="21" t="n">
        <x:v>10</x:v>
      </x:c>
      <x:c r="N33" s="23" t="str">
        <x:v>HOLD</x:v>
      </x:c>
    </x:row>
    <x:row r="34">
      <x:c r="B34" s="21" t="str">
        <x:v>F07-I4</x:v>
      </x:c>
      <x:c r="C34" s="21" t="str">
        <x:v>F07</x:v>
      </x:c>
      <x:c r="D34" s="21" t="str">
        <x:v>P02</x:v>
      </x:c>
      <x:c r="E34" s="21" t="str">
        <x:v>Shelter manufacturing line increment 4</x:v>
      </x:c>
      <x:c r="F34" s="21" t="n">
        <x:v>4</x:v>
      </x:c>
      <x:c r="G34" s="21" t="n">
        <x:v>12</x:v>
      </x:c>
      <x:c r="H34" s="21" t="n">
        <x:v>12</x:v>
      </x:c>
      <x:c r="I34" s="21" t="str">
        <x:v>FPO-07</x:v>
      </x:c>
      <x:c r="J34" s="21" t="str">
        <x:v>TIO-12</x:v>
      </x:c>
      <x:c r="K34" s="44" t="n">
        <x:v>0.06999999999999999</x:v>
      </x:c>
      <x:c r="L34" s="21" t="n">
        <x:v>3</x:v>
      </x:c>
      <x:c r="M34" s="21" t="n">
        <x:v>10</x:v>
      </x:c>
      <x:c r="N34" s="23" t="str">
        <x:v>HOLD</x:v>
      </x:c>
    </x:row>
    <x:row r="35">
      <x:c r="B35" s="21" t="str">
        <x:v>F08-I1</x:v>
      </x:c>
      <x:c r="C35" s="21" t="str">
        <x:v>F08</x:v>
      </x:c>
      <x:c r="D35" s="21" t="str">
        <x:v>P02</x:v>
      </x:c>
      <x:c r="E35" s="21" t="str">
        <x:v>Essential-goods fabrication cell increment 1</x:v>
      </x:c>
      <x:c r="F35" s="21" t="n">
        <x:v>1</x:v>
      </x:c>
      <x:c r="G35" s="21" t="n">
        <x:v>13</x:v>
      </x:c>
      <x:c r="H35" s="21" t="n">
        <x:v>12</x:v>
      </x:c>
      <x:c r="I35" s="21" t="str">
        <x:v>FPO-08</x:v>
      </x:c>
      <x:c r="J35" s="21" t="str">
        <x:v>TIO-13</x:v>
      </x:c>
      <x:c r="K35" s="44" t="n">
        <x:v>0.06999999999999999</x:v>
      </x:c>
      <x:c r="L35" s="21" t="n">
        <x:v>3</x:v>
      </x:c>
      <x:c r="M35" s="21" t="n">
        <x:v>10</x:v>
      </x:c>
      <x:c r="N35" s="23" t="str">
        <x:v>HOLD</x:v>
      </x:c>
    </x:row>
    <x:row r="36">
      <x:c r="B36" s="21" t="str">
        <x:v>F08-I2</x:v>
      </x:c>
      <x:c r="C36" s="21" t="str">
        <x:v>F08</x:v>
      </x:c>
      <x:c r="D36" s="21" t="str">
        <x:v>P02</x:v>
      </x:c>
      <x:c r="E36" s="21" t="str">
        <x:v>Essential-goods fabrication cell increment 2</x:v>
      </x:c>
      <x:c r="F36" s="21" t="n">
        <x:v>2</x:v>
      </x:c>
      <x:c r="G36" s="21" t="n">
        <x:v>14</x:v>
      </x:c>
      <x:c r="H36" s="21" t="n">
        <x:v>12</x:v>
      </x:c>
      <x:c r="I36" s="21" t="str">
        <x:v>FPO-08</x:v>
      </x:c>
      <x:c r="J36" s="21" t="str">
        <x:v>TIO-14</x:v>
      </x:c>
      <x:c r="K36" s="44" t="n">
        <x:v>0.06999999999999999</x:v>
      </x:c>
      <x:c r="L36" s="21" t="n">
        <x:v>3</x:v>
      </x:c>
      <x:c r="M36" s="21" t="n">
        <x:v>10</x:v>
      </x:c>
      <x:c r="N36" s="23" t="str">
        <x:v>HOLD</x:v>
      </x:c>
    </x:row>
    <x:row r="37">
      <x:c r="B37" s="21" t="str">
        <x:v>F08-I3</x:v>
      </x:c>
      <x:c r="C37" s="21" t="str">
        <x:v>F08</x:v>
      </x:c>
      <x:c r="D37" s="21" t="str">
        <x:v>P02</x:v>
      </x:c>
      <x:c r="E37" s="21" t="str">
        <x:v>Essential-goods fabrication cell increment 3</x:v>
      </x:c>
      <x:c r="F37" s="21" t="n">
        <x:v>3</x:v>
      </x:c>
      <x:c r="G37" s="21" t="n">
        <x:v>15</x:v>
      </x:c>
      <x:c r="H37" s="21" t="n">
        <x:v>12</x:v>
      </x:c>
      <x:c r="I37" s="21" t="str">
        <x:v>FPO-08</x:v>
      </x:c>
      <x:c r="J37" s="21" t="str">
        <x:v>TIO-15</x:v>
      </x:c>
      <x:c r="K37" s="44" t="n">
        <x:v>0.06999999999999999</x:v>
      </x:c>
      <x:c r="L37" s="21" t="n">
        <x:v>3</x:v>
      </x:c>
      <x:c r="M37" s="21" t="n">
        <x:v>10</x:v>
      </x:c>
      <x:c r="N37" s="23" t="str">
        <x:v>HOLD</x:v>
      </x:c>
    </x:row>
    <x:row r="38">
      <x:c r="B38" s="21" t="str">
        <x:v>F08-I4</x:v>
      </x:c>
      <x:c r="C38" s="21" t="str">
        <x:v>F08</x:v>
      </x:c>
      <x:c r="D38" s="21" t="str">
        <x:v>P02</x:v>
      </x:c>
      <x:c r="E38" s="21" t="str">
        <x:v>Essential-goods fabrication cell increment 4</x:v>
      </x:c>
      <x:c r="F38" s="21" t="n">
        <x:v>4</x:v>
      </x:c>
      <x:c r="G38" s="21" t="n">
        <x:v>16</x:v>
      </x:c>
      <x:c r="H38" s="21" t="n">
        <x:v>12</x:v>
      </x:c>
      <x:c r="I38" s="21" t="str">
        <x:v>FPO-08</x:v>
      </x:c>
      <x:c r="J38" s="21" t="str">
        <x:v>TIO-16</x:v>
      </x:c>
      <x:c r="K38" s="44" t="n">
        <x:v>0.06999999999999999</x:v>
      </x:c>
      <x:c r="L38" s="21" t="n">
        <x:v>3</x:v>
      </x:c>
      <x:c r="M38" s="21" t="n">
        <x:v>10</x:v>
      </x:c>
      <x:c r="N38" s="23" t="str">
        <x:v>HOLD</x:v>
      </x:c>
    </x:row>
    <x:row r="39">
      <x:c r="B39" s="21" t="str">
        <x:v>F09-I1</x:v>
      </x:c>
      <x:c r="C39" s="21" t="str">
        <x:v>F09</x:v>
      </x:c>
      <x:c r="D39" s="21" t="str">
        <x:v>P02</x:v>
      </x:c>
      <x:c r="E39" s="21" t="str">
        <x:v>Mass-care distribution hub increment 1</x:v>
      </x:c>
      <x:c r="F39" s="21" t="n">
        <x:v>1</x:v>
      </x:c>
      <x:c r="G39" s="21" t="n">
        <x:v>1</x:v>
      </x:c>
      <x:c r="H39" s="21" t="n">
        <x:v>12</x:v>
      </x:c>
      <x:c r="I39" s="21" t="str">
        <x:v>FPO-09</x:v>
      </x:c>
      <x:c r="J39" s="21" t="str">
        <x:v>TIO-01</x:v>
      </x:c>
      <x:c r="K39" s="44" t="n">
        <x:v>0.06999999999999999</x:v>
      </x:c>
      <x:c r="L39" s="21" t="n">
        <x:v>3</x:v>
      </x:c>
      <x:c r="M39" s="21" t="n">
        <x:v>10</x:v>
      </x:c>
      <x:c r="N39" s="23" t="str">
        <x:v>HOLD</x:v>
      </x:c>
    </x:row>
    <x:row r="40">
      <x:c r="B40" s="21" t="str">
        <x:v>F09-I2</x:v>
      </x:c>
      <x:c r="C40" s="21" t="str">
        <x:v>F09</x:v>
      </x:c>
      <x:c r="D40" s="21" t="str">
        <x:v>P02</x:v>
      </x:c>
      <x:c r="E40" s="21" t="str">
        <x:v>Mass-care distribution hub increment 2</x:v>
      </x:c>
      <x:c r="F40" s="21" t="n">
        <x:v>2</x:v>
      </x:c>
      <x:c r="G40" s="21" t="n">
        <x:v>2</x:v>
      </x:c>
      <x:c r="H40" s="21" t="n">
        <x:v>12</x:v>
      </x:c>
      <x:c r="I40" s="21" t="str">
        <x:v>FPO-09</x:v>
      </x:c>
      <x:c r="J40" s="21" t="str">
        <x:v>TIO-02</x:v>
      </x:c>
      <x:c r="K40" s="44" t="n">
        <x:v>0.06999999999999999</x:v>
      </x:c>
      <x:c r="L40" s="21" t="n">
        <x:v>3</x:v>
      </x:c>
      <x:c r="M40" s="21" t="n">
        <x:v>10</x:v>
      </x:c>
      <x:c r="N40" s="23" t="str">
        <x:v>HOLD</x:v>
      </x:c>
    </x:row>
    <x:row r="41">
      <x:c r="B41" s="21" t="str">
        <x:v>F09-I3</x:v>
      </x:c>
      <x:c r="C41" s="21" t="str">
        <x:v>F09</x:v>
      </x:c>
      <x:c r="D41" s="21" t="str">
        <x:v>P02</x:v>
      </x:c>
      <x:c r="E41" s="21" t="str">
        <x:v>Mass-care distribution hub increment 3</x:v>
      </x:c>
      <x:c r="F41" s="21" t="n">
        <x:v>3</x:v>
      </x:c>
      <x:c r="G41" s="21" t="n">
        <x:v>3</x:v>
      </x:c>
      <x:c r="H41" s="21" t="n">
        <x:v>12</x:v>
      </x:c>
      <x:c r="I41" s="21" t="str">
        <x:v>FPO-09</x:v>
      </x:c>
      <x:c r="J41" s="21" t="str">
        <x:v>TIO-03</x:v>
      </x:c>
      <x:c r="K41" s="44" t="n">
        <x:v>0.06999999999999999</x:v>
      </x:c>
      <x:c r="L41" s="21" t="n">
        <x:v>3</x:v>
      </x:c>
      <x:c r="M41" s="21" t="n">
        <x:v>10</x:v>
      </x:c>
      <x:c r="N41" s="23" t="str">
        <x:v>HOLD</x:v>
      </x:c>
    </x:row>
    <x:row r="42">
      <x:c r="B42" s="21" t="str">
        <x:v>F09-I4</x:v>
      </x:c>
      <x:c r="C42" s="21" t="str">
        <x:v>F09</x:v>
      </x:c>
      <x:c r="D42" s="21" t="str">
        <x:v>P02</x:v>
      </x:c>
      <x:c r="E42" s="21" t="str">
        <x:v>Mass-care distribution hub increment 4</x:v>
      </x:c>
      <x:c r="F42" s="21" t="n">
        <x:v>4</x:v>
      </x:c>
      <x:c r="G42" s="21" t="n">
        <x:v>4</x:v>
      </x:c>
      <x:c r="H42" s="21" t="n">
        <x:v>12</x:v>
      </x:c>
      <x:c r="I42" s="21" t="str">
        <x:v>FPO-09</x:v>
      </x:c>
      <x:c r="J42" s="21" t="str">
        <x:v>TIO-04</x:v>
      </x:c>
      <x:c r="K42" s="44" t="n">
        <x:v>0.06999999999999999</x:v>
      </x:c>
      <x:c r="L42" s="21" t="n">
        <x:v>3</x:v>
      </x:c>
      <x:c r="M42" s="21" t="n">
        <x:v>10</x:v>
      </x:c>
      <x:c r="N42" s="23" t="str">
        <x:v>HOLD</x:v>
      </x:c>
    </x:row>
    <x:row r="43">
      <x:c r="B43" s="21" t="str">
        <x:v>F10-I1</x:v>
      </x:c>
      <x:c r="C43" s="21" t="str">
        <x:v>F10</x:v>
      </x:c>
      <x:c r="D43" s="21" t="str">
        <x:v>P03</x:v>
      </x:c>
      <x:c r="E43" s="21" t="str">
        <x:v>Field acute-care hospital family increment 1</x:v>
      </x:c>
      <x:c r="F43" s="21" t="n">
        <x:v>1</x:v>
      </x:c>
      <x:c r="G43" s="21" t="n">
        <x:v>5</x:v>
      </x:c>
      <x:c r="H43" s="21" t="n">
        <x:v>12</x:v>
      </x:c>
      <x:c r="I43" s="21" t="str">
        <x:v>FPO-10</x:v>
      </x:c>
      <x:c r="J43" s="21" t="str">
        <x:v>TIO-05</x:v>
      </x:c>
      <x:c r="K43" s="44" t="n">
        <x:v>0.075</x:v>
      </x:c>
      <x:c r="L43" s="21" t="n">
        <x:v>3</x:v>
      </x:c>
      <x:c r="M43" s="21" t="n">
        <x:v>10</x:v>
      </x:c>
      <x:c r="N43" s="23" t="str">
        <x:v>HOLD</x:v>
      </x:c>
    </x:row>
    <x:row r="44">
      <x:c r="B44" s="21" t="str">
        <x:v>F10-I2</x:v>
      </x:c>
      <x:c r="C44" s="21" t="str">
        <x:v>F10</x:v>
      </x:c>
      <x:c r="D44" s="21" t="str">
        <x:v>P03</x:v>
      </x:c>
      <x:c r="E44" s="21" t="str">
        <x:v>Field acute-care hospital family increment 2</x:v>
      </x:c>
      <x:c r="F44" s="21" t="n">
        <x:v>2</x:v>
      </x:c>
      <x:c r="G44" s="21" t="n">
        <x:v>6</x:v>
      </x:c>
      <x:c r="H44" s="21" t="n">
        <x:v>12</x:v>
      </x:c>
      <x:c r="I44" s="21" t="str">
        <x:v>FPO-10</x:v>
      </x:c>
      <x:c r="J44" s="21" t="str">
        <x:v>TIO-06</x:v>
      </x:c>
      <x:c r="K44" s="44" t="n">
        <x:v>0.075</x:v>
      </x:c>
      <x:c r="L44" s="21" t="n">
        <x:v>3</x:v>
      </x:c>
      <x:c r="M44" s="21" t="n">
        <x:v>10</x:v>
      </x:c>
      <x:c r="N44" s="23" t="str">
        <x:v>HOLD</x:v>
      </x:c>
    </x:row>
    <x:row r="45">
      <x:c r="B45" s="21" t="str">
        <x:v>F10-I3</x:v>
      </x:c>
      <x:c r="C45" s="21" t="str">
        <x:v>F10</x:v>
      </x:c>
      <x:c r="D45" s="21" t="str">
        <x:v>P03</x:v>
      </x:c>
      <x:c r="E45" s="21" t="str">
        <x:v>Field acute-care hospital family increment 3</x:v>
      </x:c>
      <x:c r="F45" s="21" t="n">
        <x:v>3</x:v>
      </x:c>
      <x:c r="G45" s="21" t="n">
        <x:v>7</x:v>
      </x:c>
      <x:c r="H45" s="21" t="n">
        <x:v>12</x:v>
      </x:c>
      <x:c r="I45" s="21" t="str">
        <x:v>FPO-10</x:v>
      </x:c>
      <x:c r="J45" s="21" t="str">
        <x:v>TIO-07</x:v>
      </x:c>
      <x:c r="K45" s="44" t="n">
        <x:v>0.075</x:v>
      </x:c>
      <x:c r="L45" s="21" t="n">
        <x:v>3</x:v>
      </x:c>
      <x:c r="M45" s="21" t="n">
        <x:v>10</x:v>
      </x:c>
      <x:c r="N45" s="23" t="str">
        <x:v>HOLD</x:v>
      </x:c>
    </x:row>
    <x:row r="46">
      <x:c r="B46" s="21" t="str">
        <x:v>F10-I4</x:v>
      </x:c>
      <x:c r="C46" s="21" t="str">
        <x:v>F10</x:v>
      </x:c>
      <x:c r="D46" s="21" t="str">
        <x:v>P03</x:v>
      </x:c>
      <x:c r="E46" s="21" t="str">
        <x:v>Field acute-care hospital family increment 4</x:v>
      </x:c>
      <x:c r="F46" s="21" t="n">
        <x:v>4</x:v>
      </x:c>
      <x:c r="G46" s="21" t="n">
        <x:v>8</x:v>
      </x:c>
      <x:c r="H46" s="21" t="n">
        <x:v>12</x:v>
      </x:c>
      <x:c r="I46" s="21" t="str">
        <x:v>FPO-10</x:v>
      </x:c>
      <x:c r="J46" s="21" t="str">
        <x:v>TIO-08</x:v>
      </x:c>
      <x:c r="K46" s="44" t="n">
        <x:v>0.075</x:v>
      </x:c>
      <x:c r="L46" s="21" t="n">
        <x:v>3</x:v>
      </x:c>
      <x:c r="M46" s="21" t="n">
        <x:v>10</x:v>
      </x:c>
      <x:c r="N46" s="23" t="str">
        <x:v>HOLD</x:v>
      </x:c>
    </x:row>
    <x:row r="47">
      <x:c r="B47" s="21" t="str">
        <x:v>F11-I1</x:v>
      </x:c>
      <x:c r="C47" s="21" t="str">
        <x:v>F11</x:v>
      </x:c>
      <x:c r="D47" s="21" t="str">
        <x:v>P03</x:v>
      </x:c>
      <x:c r="E47" s="21" t="str">
        <x:v>Surgical and critical-care carrier increment 1</x:v>
      </x:c>
      <x:c r="F47" s="21" t="n">
        <x:v>1</x:v>
      </x:c>
      <x:c r="G47" s="21" t="n">
        <x:v>9</x:v>
      </x:c>
      <x:c r="H47" s="21" t="n">
        <x:v>12</x:v>
      </x:c>
      <x:c r="I47" s="21" t="str">
        <x:v>FPO-11</x:v>
      </x:c>
      <x:c r="J47" s="21" t="str">
        <x:v>TIO-09</x:v>
      </x:c>
      <x:c r="K47" s="44" t="n">
        <x:v>0.075</x:v>
      </x:c>
      <x:c r="L47" s="21" t="n">
        <x:v>3</x:v>
      </x:c>
      <x:c r="M47" s="21" t="n">
        <x:v>10</x:v>
      </x:c>
      <x:c r="N47" s="23" t="str">
        <x:v>HOLD</x:v>
      </x:c>
    </x:row>
    <x:row r="48">
      <x:c r="B48" s="21" t="str">
        <x:v>F11-I2</x:v>
      </x:c>
      <x:c r="C48" s="21" t="str">
        <x:v>F11</x:v>
      </x:c>
      <x:c r="D48" s="21" t="str">
        <x:v>P03</x:v>
      </x:c>
      <x:c r="E48" s="21" t="str">
        <x:v>Surgical and critical-care carrier increment 2</x:v>
      </x:c>
      <x:c r="F48" s="21" t="n">
        <x:v>2</x:v>
      </x:c>
      <x:c r="G48" s="21" t="n">
        <x:v>10</x:v>
      </x:c>
      <x:c r="H48" s="21" t="n">
        <x:v>12</x:v>
      </x:c>
      <x:c r="I48" s="21" t="str">
        <x:v>FPO-11</x:v>
      </x:c>
      <x:c r="J48" s="21" t="str">
        <x:v>TIO-10</x:v>
      </x:c>
      <x:c r="K48" s="44" t="n">
        <x:v>0.075</x:v>
      </x:c>
      <x:c r="L48" s="21" t="n">
        <x:v>3</x:v>
      </x:c>
      <x:c r="M48" s="21" t="n">
        <x:v>10</x:v>
      </x:c>
      <x:c r="N48" s="23" t="str">
        <x:v>HOLD</x:v>
      </x:c>
    </x:row>
    <x:row r="49">
      <x:c r="B49" s="21" t="str">
        <x:v>F11-I3</x:v>
      </x:c>
      <x:c r="C49" s="21" t="str">
        <x:v>F11</x:v>
      </x:c>
      <x:c r="D49" s="21" t="str">
        <x:v>P03</x:v>
      </x:c>
      <x:c r="E49" s="21" t="str">
        <x:v>Surgical and critical-care carrier increment 3</x:v>
      </x:c>
      <x:c r="F49" s="21" t="n">
        <x:v>3</x:v>
      </x:c>
      <x:c r="G49" s="21" t="n">
        <x:v>11</x:v>
      </x:c>
      <x:c r="H49" s="21" t="n">
        <x:v>12</x:v>
      </x:c>
      <x:c r="I49" s="21" t="str">
        <x:v>FPO-11</x:v>
      </x:c>
      <x:c r="J49" s="21" t="str">
        <x:v>TIO-11</x:v>
      </x:c>
      <x:c r="K49" s="44" t="n">
        <x:v>0.075</x:v>
      </x:c>
      <x:c r="L49" s="21" t="n">
        <x:v>3</x:v>
      </x:c>
      <x:c r="M49" s="21" t="n">
        <x:v>10</x:v>
      </x:c>
      <x:c r="N49" s="23" t="str">
        <x:v>HOLD</x:v>
      </x:c>
    </x:row>
    <x:row r="50">
      <x:c r="B50" s="21" t="str">
        <x:v>F11-I4</x:v>
      </x:c>
      <x:c r="C50" s="21" t="str">
        <x:v>F11</x:v>
      </x:c>
      <x:c r="D50" s="21" t="str">
        <x:v>P03</x:v>
      </x:c>
      <x:c r="E50" s="21" t="str">
        <x:v>Surgical and critical-care carrier increment 4</x:v>
      </x:c>
      <x:c r="F50" s="21" t="n">
        <x:v>4</x:v>
      </x:c>
      <x:c r="G50" s="21" t="n">
        <x:v>12</x:v>
      </x:c>
      <x:c r="H50" s="21" t="n">
        <x:v>12</x:v>
      </x:c>
      <x:c r="I50" s="21" t="str">
        <x:v>FPO-11</x:v>
      </x:c>
      <x:c r="J50" s="21" t="str">
        <x:v>TIO-12</x:v>
      </x:c>
      <x:c r="K50" s="44" t="n">
        <x:v>0.075</x:v>
      </x:c>
      <x:c r="L50" s="21" t="n">
        <x:v>3</x:v>
      </x:c>
      <x:c r="M50" s="21" t="n">
        <x:v>10</x:v>
      </x:c>
      <x:c r="N50" s="23" t="str">
        <x:v>HOLD</x:v>
      </x:c>
    </x:row>
    <x:row r="51">
      <x:c r="B51" s="21" t="str">
        <x:v>F12-I1</x:v>
      </x:c>
      <x:c r="C51" s="21" t="str">
        <x:v>F12</x:v>
      </x:c>
      <x:c r="D51" s="21" t="str">
        <x:v>P03</x:v>
      </x:c>
      <x:c r="E51" s="21" t="str">
        <x:v>Mobile diagnostic and laboratory network increment 1</x:v>
      </x:c>
      <x:c r="F51" s="21" t="n">
        <x:v>1</x:v>
      </x:c>
      <x:c r="G51" s="21" t="n">
        <x:v>13</x:v>
      </x:c>
      <x:c r="H51" s="21" t="n">
        <x:v>12</x:v>
      </x:c>
      <x:c r="I51" s="21" t="str">
        <x:v>FPO-12</x:v>
      </x:c>
      <x:c r="J51" s="21" t="str">
        <x:v>TIO-13</x:v>
      </x:c>
      <x:c r="K51" s="44" t="n">
        <x:v>0.075</x:v>
      </x:c>
      <x:c r="L51" s="21" t="n">
        <x:v>3</x:v>
      </x:c>
      <x:c r="M51" s="21" t="n">
        <x:v>10</x:v>
      </x:c>
      <x:c r="N51" s="23" t="str">
        <x:v>HOLD</x:v>
      </x:c>
    </x:row>
    <x:row r="52">
      <x:c r="B52" s="21" t="str">
        <x:v>F12-I2</x:v>
      </x:c>
      <x:c r="C52" s="21" t="str">
        <x:v>F12</x:v>
      </x:c>
      <x:c r="D52" s="21" t="str">
        <x:v>P03</x:v>
      </x:c>
      <x:c r="E52" s="21" t="str">
        <x:v>Mobile diagnostic and laboratory network increment 2</x:v>
      </x:c>
      <x:c r="F52" s="21" t="n">
        <x:v>2</x:v>
      </x:c>
      <x:c r="G52" s="21" t="n">
        <x:v>14</x:v>
      </x:c>
      <x:c r="H52" s="21" t="n">
        <x:v>12</x:v>
      </x:c>
      <x:c r="I52" s="21" t="str">
        <x:v>FPO-12</x:v>
      </x:c>
      <x:c r="J52" s="21" t="str">
        <x:v>TIO-14</x:v>
      </x:c>
      <x:c r="K52" s="44" t="n">
        <x:v>0.075</x:v>
      </x:c>
      <x:c r="L52" s="21" t="n">
        <x:v>3</x:v>
      </x:c>
      <x:c r="M52" s="21" t="n">
        <x:v>10</x:v>
      </x:c>
      <x:c r="N52" s="23" t="str">
        <x:v>HOLD</x:v>
      </x:c>
    </x:row>
    <x:row r="53">
      <x:c r="B53" s="21" t="str">
        <x:v>F12-I3</x:v>
      </x:c>
      <x:c r="C53" s="21" t="str">
        <x:v>F12</x:v>
      </x:c>
      <x:c r="D53" s="21" t="str">
        <x:v>P03</x:v>
      </x:c>
      <x:c r="E53" s="21" t="str">
        <x:v>Mobile diagnostic and laboratory network increment 3</x:v>
      </x:c>
      <x:c r="F53" s="21" t="n">
        <x:v>3</x:v>
      </x:c>
      <x:c r="G53" s="21" t="n">
        <x:v>15</x:v>
      </x:c>
      <x:c r="H53" s="21" t="n">
        <x:v>12</x:v>
      </x:c>
      <x:c r="I53" s="21" t="str">
        <x:v>FPO-12</x:v>
      </x:c>
      <x:c r="J53" s="21" t="str">
        <x:v>TIO-15</x:v>
      </x:c>
      <x:c r="K53" s="44" t="n">
        <x:v>0.075</x:v>
      </x:c>
      <x:c r="L53" s="21" t="n">
        <x:v>3</x:v>
      </x:c>
      <x:c r="M53" s="21" t="n">
        <x:v>10</x:v>
      </x:c>
      <x:c r="N53" s="23" t="str">
        <x:v>HOLD</x:v>
      </x:c>
    </x:row>
    <x:row r="54">
      <x:c r="B54" s="21" t="str">
        <x:v>F12-I4</x:v>
      </x:c>
      <x:c r="C54" s="21" t="str">
        <x:v>F12</x:v>
      </x:c>
      <x:c r="D54" s="21" t="str">
        <x:v>P03</x:v>
      </x:c>
      <x:c r="E54" s="21" t="str">
        <x:v>Mobile diagnostic and laboratory network increment 4</x:v>
      </x:c>
      <x:c r="F54" s="21" t="n">
        <x:v>4</x:v>
      </x:c>
      <x:c r="G54" s="21" t="n">
        <x:v>16</x:v>
      </x:c>
      <x:c r="H54" s="21" t="n">
        <x:v>12</x:v>
      </x:c>
      <x:c r="I54" s="21" t="str">
        <x:v>FPO-12</x:v>
      </x:c>
      <x:c r="J54" s="21" t="str">
        <x:v>TIO-16</x:v>
      </x:c>
      <x:c r="K54" s="44" t="n">
        <x:v>0.075</x:v>
      </x:c>
      <x:c r="L54" s="21" t="n">
        <x:v>3</x:v>
      </x:c>
      <x:c r="M54" s="21" t="n">
        <x:v>10</x:v>
      </x:c>
      <x:c r="N54" s="23" t="str">
        <x:v>HOLD</x:v>
      </x:c>
    </x:row>
    <x:row r="55">
      <x:c r="B55" s="21" t="str">
        <x:v>F13-I1</x:v>
      </x:c>
      <x:c r="C55" s="21" t="str">
        <x:v>F13</x:v>
      </x:c>
      <x:c r="D55" s="21" t="str">
        <x:v>P03</x:v>
      </x:c>
      <x:c r="E55" s="21" t="str">
        <x:v>Pharmaceutical and biologic microfactory increment 1</x:v>
      </x:c>
      <x:c r="F55" s="21" t="n">
        <x:v>1</x:v>
      </x:c>
      <x:c r="G55" s="21" t="n">
        <x:v>1</x:v>
      </x:c>
      <x:c r="H55" s="21" t="n">
        <x:v>12</x:v>
      </x:c>
      <x:c r="I55" s="21" t="str">
        <x:v>FPO-13</x:v>
      </x:c>
      <x:c r="J55" s="21" t="str">
        <x:v>TIO-01</x:v>
      </x:c>
      <x:c r="K55" s="44" t="n">
        <x:v>0.075</x:v>
      </x:c>
      <x:c r="L55" s="21" t="n">
        <x:v>3</x:v>
      </x:c>
      <x:c r="M55" s="21" t="n">
        <x:v>10</x:v>
      </x:c>
      <x:c r="N55" s="23" t="str">
        <x:v>HOLD</x:v>
      </x:c>
    </x:row>
    <x:row r="56">
      <x:c r="B56" s="21" t="str">
        <x:v>F13-I2</x:v>
      </x:c>
      <x:c r="C56" s="21" t="str">
        <x:v>F13</x:v>
      </x:c>
      <x:c r="D56" s="21" t="str">
        <x:v>P03</x:v>
      </x:c>
      <x:c r="E56" s="21" t="str">
        <x:v>Pharmaceutical and biologic microfactory increment 2</x:v>
      </x:c>
      <x:c r="F56" s="21" t="n">
        <x:v>2</x:v>
      </x:c>
      <x:c r="G56" s="21" t="n">
        <x:v>2</x:v>
      </x:c>
      <x:c r="H56" s="21" t="n">
        <x:v>12</x:v>
      </x:c>
      <x:c r="I56" s="21" t="str">
        <x:v>FPO-13</x:v>
      </x:c>
      <x:c r="J56" s="21" t="str">
        <x:v>TIO-02</x:v>
      </x:c>
      <x:c r="K56" s="44" t="n">
        <x:v>0.075</x:v>
      </x:c>
      <x:c r="L56" s="21" t="n">
        <x:v>3</x:v>
      </x:c>
      <x:c r="M56" s="21" t="n">
        <x:v>10</x:v>
      </x:c>
      <x:c r="N56" s="23" t="str">
        <x:v>HOLD</x:v>
      </x:c>
    </x:row>
    <x:row r="57">
      <x:c r="B57" s="21" t="str">
        <x:v>F13-I3</x:v>
      </x:c>
      <x:c r="C57" s="21" t="str">
        <x:v>F13</x:v>
      </x:c>
      <x:c r="D57" s="21" t="str">
        <x:v>P03</x:v>
      </x:c>
      <x:c r="E57" s="21" t="str">
        <x:v>Pharmaceutical and biologic microfactory increment 3</x:v>
      </x:c>
      <x:c r="F57" s="21" t="n">
        <x:v>3</x:v>
      </x:c>
      <x:c r="G57" s="21" t="n">
        <x:v>3</x:v>
      </x:c>
      <x:c r="H57" s="21" t="n">
        <x:v>12</x:v>
      </x:c>
      <x:c r="I57" s="21" t="str">
        <x:v>FPO-13</x:v>
      </x:c>
      <x:c r="J57" s="21" t="str">
        <x:v>TIO-03</x:v>
      </x:c>
      <x:c r="K57" s="44" t="n">
        <x:v>0.075</x:v>
      </x:c>
      <x:c r="L57" s="21" t="n">
        <x:v>3</x:v>
      </x:c>
      <x:c r="M57" s="21" t="n">
        <x:v>10</x:v>
      </x:c>
      <x:c r="N57" s="23" t="str">
        <x:v>HOLD</x:v>
      </x:c>
    </x:row>
    <x:row r="58">
      <x:c r="B58" s="21" t="str">
        <x:v>F13-I4</x:v>
      </x:c>
      <x:c r="C58" s="21" t="str">
        <x:v>F13</x:v>
      </x:c>
      <x:c r="D58" s="21" t="str">
        <x:v>P03</x:v>
      </x:c>
      <x:c r="E58" s="21" t="str">
        <x:v>Pharmaceutical and biologic microfactory increment 4</x:v>
      </x:c>
      <x:c r="F58" s="21" t="n">
        <x:v>4</x:v>
      </x:c>
      <x:c r="G58" s="21" t="n">
        <x:v>4</x:v>
      </x:c>
      <x:c r="H58" s="21" t="n">
        <x:v>12</x:v>
      </x:c>
      <x:c r="I58" s="21" t="str">
        <x:v>FPO-13</x:v>
      </x:c>
      <x:c r="J58" s="21" t="str">
        <x:v>TIO-04</x:v>
      </x:c>
      <x:c r="K58" s="44" t="n">
        <x:v>0.075</x:v>
      </x:c>
      <x:c r="L58" s="21" t="n">
        <x:v>3</x:v>
      </x:c>
      <x:c r="M58" s="21" t="n">
        <x:v>10</x:v>
      </x:c>
      <x:c r="N58" s="23" t="str">
        <x:v>HOLD</x:v>
      </x:c>
    </x:row>
    <x:row r="59">
      <x:c r="B59" s="21" t="str">
        <x:v>F14-I1</x:v>
      </x:c>
      <x:c r="C59" s="21" t="str">
        <x:v>F14</x:v>
      </x:c>
      <x:c r="D59" s="21" t="str">
        <x:v>P03</x:v>
      </x:c>
      <x:c r="E59" s="21" t="str">
        <x:v>Patient evacuation and isolation fleet increment 1</x:v>
      </x:c>
      <x:c r="F59" s="21" t="n">
        <x:v>1</x:v>
      </x:c>
      <x:c r="G59" s="21" t="n">
        <x:v>5</x:v>
      </x:c>
      <x:c r="H59" s="21" t="n">
        <x:v>12</x:v>
      </x:c>
      <x:c r="I59" s="21" t="str">
        <x:v>FPO-14</x:v>
      </x:c>
      <x:c r="J59" s="21" t="str">
        <x:v>TIO-05</x:v>
      </x:c>
      <x:c r="K59" s="44" t="n">
        <x:v>0.075</x:v>
      </x:c>
      <x:c r="L59" s="21" t="n">
        <x:v>3</x:v>
      </x:c>
      <x:c r="M59" s="21" t="n">
        <x:v>10</x:v>
      </x:c>
      <x:c r="N59" s="23" t="str">
        <x:v>HOLD</x:v>
      </x:c>
    </x:row>
    <x:row r="60">
      <x:c r="B60" s="21" t="str">
        <x:v>F14-I2</x:v>
      </x:c>
      <x:c r="C60" s="21" t="str">
        <x:v>F14</x:v>
      </x:c>
      <x:c r="D60" s="21" t="str">
        <x:v>P03</x:v>
      </x:c>
      <x:c r="E60" s="21" t="str">
        <x:v>Patient evacuation and isolation fleet increment 2</x:v>
      </x:c>
      <x:c r="F60" s="21" t="n">
        <x:v>2</x:v>
      </x:c>
      <x:c r="G60" s="21" t="n">
        <x:v>6</x:v>
      </x:c>
      <x:c r="H60" s="21" t="n">
        <x:v>12</x:v>
      </x:c>
      <x:c r="I60" s="21" t="str">
        <x:v>FPO-14</x:v>
      </x:c>
      <x:c r="J60" s="21" t="str">
        <x:v>TIO-06</x:v>
      </x:c>
      <x:c r="K60" s="44" t="n">
        <x:v>0.075</x:v>
      </x:c>
      <x:c r="L60" s="21" t="n">
        <x:v>3</x:v>
      </x:c>
      <x:c r="M60" s="21" t="n">
        <x:v>10</x:v>
      </x:c>
      <x:c r="N60" s="23" t="str">
        <x:v>HOLD</x:v>
      </x:c>
    </x:row>
    <x:row r="61">
      <x:c r="B61" s="21" t="str">
        <x:v>F14-I3</x:v>
      </x:c>
      <x:c r="C61" s="21" t="str">
        <x:v>F14</x:v>
      </x:c>
      <x:c r="D61" s="21" t="str">
        <x:v>P03</x:v>
      </x:c>
      <x:c r="E61" s="21" t="str">
        <x:v>Patient evacuation and isolation fleet increment 3</x:v>
      </x:c>
      <x:c r="F61" s="21" t="n">
        <x:v>3</x:v>
      </x:c>
      <x:c r="G61" s="21" t="n">
        <x:v>7</x:v>
      </x:c>
      <x:c r="H61" s="21" t="n">
        <x:v>12</x:v>
      </x:c>
      <x:c r="I61" s="21" t="str">
        <x:v>FPO-14</x:v>
      </x:c>
      <x:c r="J61" s="21" t="str">
        <x:v>TIO-07</x:v>
      </x:c>
      <x:c r="K61" s="44" t="n">
        <x:v>0.075</x:v>
      </x:c>
      <x:c r="L61" s="21" t="n">
        <x:v>3</x:v>
      </x:c>
      <x:c r="M61" s="21" t="n">
        <x:v>10</x:v>
      </x:c>
      <x:c r="N61" s="23" t="str">
        <x:v>HOLD</x:v>
      </x:c>
    </x:row>
    <x:row r="62">
      <x:c r="B62" s="21" t="str">
        <x:v>F14-I4</x:v>
      </x:c>
      <x:c r="C62" s="21" t="str">
        <x:v>F14</x:v>
      </x:c>
      <x:c r="D62" s="21" t="str">
        <x:v>P03</x:v>
      </x:c>
      <x:c r="E62" s="21" t="str">
        <x:v>Patient evacuation and isolation fleet increment 4</x:v>
      </x:c>
      <x:c r="F62" s="21" t="n">
        <x:v>4</x:v>
      </x:c>
      <x:c r="G62" s="21" t="n">
        <x:v>8</x:v>
      </x:c>
      <x:c r="H62" s="21" t="n">
        <x:v>12</x:v>
      </x:c>
      <x:c r="I62" s="21" t="str">
        <x:v>FPO-14</x:v>
      </x:c>
      <x:c r="J62" s="21" t="str">
        <x:v>TIO-08</x:v>
      </x:c>
      <x:c r="K62" s="44" t="n">
        <x:v>0.075</x:v>
      </x:c>
      <x:c r="L62" s="21" t="n">
        <x:v>3</x:v>
      </x:c>
      <x:c r="M62" s="21" t="n">
        <x:v>10</x:v>
      </x:c>
      <x:c r="N62" s="23" t="str">
        <x:v>HOLD</x:v>
      </x:c>
    </x:row>
    <x:row r="63">
      <x:c r="B63" s="21" t="str">
        <x:v>F15-I1</x:v>
      </x:c>
      <x:c r="C63" s="21" t="str">
        <x:v>F15</x:v>
      </x:c>
      <x:c r="D63" s="21" t="str">
        <x:v>P03</x:v>
      </x:c>
      <x:c r="E63" s="21" t="str">
        <x:v>Public-health surveillance grid increment 1</x:v>
      </x:c>
      <x:c r="F63" s="21" t="n">
        <x:v>1</x:v>
      </x:c>
      <x:c r="G63" s="21" t="n">
        <x:v>9</x:v>
      </x:c>
      <x:c r="H63" s="21" t="n">
        <x:v>12</x:v>
      </x:c>
      <x:c r="I63" s="21" t="str">
        <x:v>FPO-15</x:v>
      </x:c>
      <x:c r="J63" s="21" t="str">
        <x:v>TIO-09</x:v>
      </x:c>
      <x:c r="K63" s="44" t="n">
        <x:v>0.075</x:v>
      </x:c>
      <x:c r="L63" s="21" t="n">
        <x:v>3</x:v>
      </x:c>
      <x:c r="M63" s="21" t="n">
        <x:v>10</x:v>
      </x:c>
      <x:c r="N63" s="23" t="str">
        <x:v>HOLD</x:v>
      </x:c>
    </x:row>
    <x:row r="64">
      <x:c r="B64" s="21" t="str">
        <x:v>F15-I2</x:v>
      </x:c>
      <x:c r="C64" s="21" t="str">
        <x:v>F15</x:v>
      </x:c>
      <x:c r="D64" s="21" t="str">
        <x:v>P03</x:v>
      </x:c>
      <x:c r="E64" s="21" t="str">
        <x:v>Public-health surveillance grid increment 2</x:v>
      </x:c>
      <x:c r="F64" s="21" t="n">
        <x:v>2</x:v>
      </x:c>
      <x:c r="G64" s="21" t="n">
        <x:v>10</x:v>
      </x:c>
      <x:c r="H64" s="21" t="n">
        <x:v>12</x:v>
      </x:c>
      <x:c r="I64" s="21" t="str">
        <x:v>FPO-15</x:v>
      </x:c>
      <x:c r="J64" s="21" t="str">
        <x:v>TIO-10</x:v>
      </x:c>
      <x:c r="K64" s="44" t="n">
        <x:v>0.075</x:v>
      </x:c>
      <x:c r="L64" s="21" t="n">
        <x:v>3</x:v>
      </x:c>
      <x:c r="M64" s="21" t="n">
        <x:v>10</x:v>
      </x:c>
      <x:c r="N64" s="23" t="str">
        <x:v>HOLD</x:v>
      </x:c>
    </x:row>
    <x:row r="65">
      <x:c r="B65" s="21" t="str">
        <x:v>F15-I3</x:v>
      </x:c>
      <x:c r="C65" s="21" t="str">
        <x:v>F15</x:v>
      </x:c>
      <x:c r="D65" s="21" t="str">
        <x:v>P03</x:v>
      </x:c>
      <x:c r="E65" s="21" t="str">
        <x:v>Public-health surveillance grid increment 3</x:v>
      </x:c>
      <x:c r="F65" s="21" t="n">
        <x:v>3</x:v>
      </x:c>
      <x:c r="G65" s="21" t="n">
        <x:v>11</x:v>
      </x:c>
      <x:c r="H65" s="21" t="n">
        <x:v>12</x:v>
      </x:c>
      <x:c r="I65" s="21" t="str">
        <x:v>FPO-15</x:v>
      </x:c>
      <x:c r="J65" s="21" t="str">
        <x:v>TIO-11</x:v>
      </x:c>
      <x:c r="K65" s="44" t="n">
        <x:v>0.075</x:v>
      </x:c>
      <x:c r="L65" s="21" t="n">
        <x:v>3</x:v>
      </x:c>
      <x:c r="M65" s="21" t="n">
        <x:v>10</x:v>
      </x:c>
      <x:c r="N65" s="23" t="str">
        <x:v>HOLD</x:v>
      </x:c>
    </x:row>
    <x:row r="66">
      <x:c r="B66" s="21" t="str">
        <x:v>F15-I4</x:v>
      </x:c>
      <x:c r="C66" s="21" t="str">
        <x:v>F15</x:v>
      </x:c>
      <x:c r="D66" s="21" t="str">
        <x:v>P03</x:v>
      </x:c>
      <x:c r="E66" s="21" t="str">
        <x:v>Public-health surveillance grid increment 4</x:v>
      </x:c>
      <x:c r="F66" s="21" t="n">
        <x:v>4</x:v>
      </x:c>
      <x:c r="G66" s="21" t="n">
        <x:v>12</x:v>
      </x:c>
      <x:c r="H66" s="21" t="n">
        <x:v>12</x:v>
      </x:c>
      <x:c r="I66" s="21" t="str">
        <x:v>FPO-15</x:v>
      </x:c>
      <x:c r="J66" s="21" t="str">
        <x:v>TIO-12</x:v>
      </x:c>
      <x:c r="K66" s="44" t="n">
        <x:v>0.075</x:v>
      </x:c>
      <x:c r="L66" s="21" t="n">
        <x:v>3</x:v>
      </x:c>
      <x:c r="M66" s="21" t="n">
        <x:v>10</x:v>
      </x:c>
      <x:c r="N66" s="23" t="str">
        <x:v>HOLD</x:v>
      </x:c>
    </x:row>
    <x:row r="67">
      <x:c r="B67" s="21" t="str">
        <x:v>F16-I1</x:v>
      </x:c>
      <x:c r="C67" s="21" t="str">
        <x:v>F16</x:v>
      </x:c>
      <x:c r="D67" s="21" t="str">
        <x:v>P04</x:v>
      </x:c>
      <x:c r="E67" s="21" t="str">
        <x:v>Deployable grid-forming power station increment 1</x:v>
      </x:c>
      <x:c r="F67" s="21" t="n">
        <x:v>1</x:v>
      </x:c>
      <x:c r="G67" s="21" t="n">
        <x:v>13</x:v>
      </x:c>
      <x:c r="H67" s="21" t="n">
        <x:v>12</x:v>
      </x:c>
      <x:c r="I67" s="21" t="str">
        <x:v>FPO-16</x:v>
      </x:c>
      <x:c r="J67" s="21" t="str">
        <x:v>TIO-13</x:v>
      </x:c>
      <x:c r="K67" s="44" t="n">
        <x:v>0.10416666666666667</x:v>
      </x:c>
      <x:c r="L67" s="21" t="n">
        <x:v>3</x:v>
      </x:c>
      <x:c r="M67" s="21" t="n">
        <x:v>10</x:v>
      </x:c>
      <x:c r="N67" s="23" t="str">
        <x:v>HOLD</x:v>
      </x:c>
    </x:row>
    <x:row r="68">
      <x:c r="B68" s="21" t="str">
        <x:v>F16-I2</x:v>
      </x:c>
      <x:c r="C68" s="21" t="str">
        <x:v>F16</x:v>
      </x:c>
      <x:c r="D68" s="21" t="str">
        <x:v>P04</x:v>
      </x:c>
      <x:c r="E68" s="21" t="str">
        <x:v>Deployable grid-forming power station increment 2</x:v>
      </x:c>
      <x:c r="F68" s="21" t="n">
        <x:v>2</x:v>
      </x:c>
      <x:c r="G68" s="21" t="n">
        <x:v>14</x:v>
      </x:c>
      <x:c r="H68" s="21" t="n">
        <x:v>12</x:v>
      </x:c>
      <x:c r="I68" s="21" t="str">
        <x:v>FPO-16</x:v>
      </x:c>
      <x:c r="J68" s="21" t="str">
        <x:v>TIO-14</x:v>
      </x:c>
      <x:c r="K68" s="44" t="n">
        <x:v>0.10416666666666667</x:v>
      </x:c>
      <x:c r="L68" s="21" t="n">
        <x:v>3</x:v>
      </x:c>
      <x:c r="M68" s="21" t="n">
        <x:v>10</x:v>
      </x:c>
      <x:c r="N68" s="23" t="str">
        <x:v>HOLD</x:v>
      </x:c>
    </x:row>
    <x:row r="69">
      <x:c r="B69" s="21" t="str">
        <x:v>F16-I3</x:v>
      </x:c>
      <x:c r="C69" s="21" t="str">
        <x:v>F16</x:v>
      </x:c>
      <x:c r="D69" s="21" t="str">
        <x:v>P04</x:v>
      </x:c>
      <x:c r="E69" s="21" t="str">
        <x:v>Deployable grid-forming power station increment 3</x:v>
      </x:c>
      <x:c r="F69" s="21" t="n">
        <x:v>3</x:v>
      </x:c>
      <x:c r="G69" s="21" t="n">
        <x:v>15</x:v>
      </x:c>
      <x:c r="H69" s="21" t="n">
        <x:v>12</x:v>
      </x:c>
      <x:c r="I69" s="21" t="str">
        <x:v>FPO-16</x:v>
      </x:c>
      <x:c r="J69" s="21" t="str">
        <x:v>TIO-15</x:v>
      </x:c>
      <x:c r="K69" s="44" t="n">
        <x:v>0.10416666666666667</x:v>
      </x:c>
      <x:c r="L69" s="21" t="n">
        <x:v>3</x:v>
      </x:c>
      <x:c r="M69" s="21" t="n">
        <x:v>10</x:v>
      </x:c>
      <x:c r="N69" s="23" t="str">
        <x:v>HOLD</x:v>
      </x:c>
    </x:row>
    <x:row r="70">
      <x:c r="B70" s="21" t="str">
        <x:v>F16-I4</x:v>
      </x:c>
      <x:c r="C70" s="21" t="str">
        <x:v>F16</x:v>
      </x:c>
      <x:c r="D70" s="21" t="str">
        <x:v>P04</x:v>
      </x:c>
      <x:c r="E70" s="21" t="str">
        <x:v>Deployable grid-forming power station increment 4</x:v>
      </x:c>
      <x:c r="F70" s="21" t="n">
        <x:v>4</x:v>
      </x:c>
      <x:c r="G70" s="21" t="n">
        <x:v>16</x:v>
      </x:c>
      <x:c r="H70" s="21" t="n">
        <x:v>12</x:v>
      </x:c>
      <x:c r="I70" s="21" t="str">
        <x:v>FPO-16</x:v>
      </x:c>
      <x:c r="J70" s="21" t="str">
        <x:v>TIO-16</x:v>
      </x:c>
      <x:c r="K70" s="44" t="n">
        <x:v>0.10416666666666667</x:v>
      </x:c>
      <x:c r="L70" s="21" t="n">
        <x:v>3</x:v>
      </x:c>
      <x:c r="M70" s="21" t="n">
        <x:v>10</x:v>
      </x:c>
      <x:c r="N70" s="23" t="str">
        <x:v>HOLD</x:v>
      </x:c>
    </x:row>
    <x:row r="71">
      <x:c r="B71" s="21" t="str">
        <x:v>F17-I1</x:v>
      </x:c>
      <x:c r="C71" s="21" t="str">
        <x:v>F17</x:v>
      </x:c>
      <x:c r="D71" s="21" t="str">
        <x:v>P04</x:v>
      </x:c>
      <x:c r="E71" s="21" t="str">
        <x:v>Mobile nuclear energy station increment 1</x:v>
      </x:c>
      <x:c r="F71" s="21" t="n">
        <x:v>1</x:v>
      </x:c>
      <x:c r="G71" s="21" t="n">
        <x:v>1</x:v>
      </x:c>
      <x:c r="H71" s="21" t="n">
        <x:v>12</x:v>
      </x:c>
      <x:c r="I71" s="21" t="str">
        <x:v>FPO-17</x:v>
      </x:c>
      <x:c r="J71" s="21" t="str">
        <x:v>TIO-01</x:v>
      </x:c>
      <x:c r="K71" s="44" t="n">
        <x:v>0.10416666666666667</x:v>
      </x:c>
      <x:c r="L71" s="21" t="n">
        <x:v>3</x:v>
      </x:c>
      <x:c r="M71" s="21" t="n">
        <x:v>10</x:v>
      </x:c>
      <x:c r="N71" s="23" t="str">
        <x:v>HOLD</x:v>
      </x:c>
    </x:row>
    <x:row r="72">
      <x:c r="B72" s="21" t="str">
        <x:v>F17-I2</x:v>
      </x:c>
      <x:c r="C72" s="21" t="str">
        <x:v>F17</x:v>
      </x:c>
      <x:c r="D72" s="21" t="str">
        <x:v>P04</x:v>
      </x:c>
      <x:c r="E72" s="21" t="str">
        <x:v>Mobile nuclear energy station increment 2</x:v>
      </x:c>
      <x:c r="F72" s="21" t="n">
        <x:v>2</x:v>
      </x:c>
      <x:c r="G72" s="21" t="n">
        <x:v>2</x:v>
      </x:c>
      <x:c r="H72" s="21" t="n">
        <x:v>12</x:v>
      </x:c>
      <x:c r="I72" s="21" t="str">
        <x:v>FPO-17</x:v>
      </x:c>
      <x:c r="J72" s="21" t="str">
        <x:v>TIO-02</x:v>
      </x:c>
      <x:c r="K72" s="44" t="n">
        <x:v>0.10416666666666667</x:v>
      </x:c>
      <x:c r="L72" s="21" t="n">
        <x:v>3</x:v>
      </x:c>
      <x:c r="M72" s="21" t="n">
        <x:v>10</x:v>
      </x:c>
      <x:c r="N72" s="23" t="str">
        <x:v>HOLD</x:v>
      </x:c>
    </x:row>
    <x:row r="73">
      <x:c r="B73" s="21" t="str">
        <x:v>F17-I3</x:v>
      </x:c>
      <x:c r="C73" s="21" t="str">
        <x:v>F17</x:v>
      </x:c>
      <x:c r="D73" s="21" t="str">
        <x:v>P04</x:v>
      </x:c>
      <x:c r="E73" s="21" t="str">
        <x:v>Mobile nuclear energy station increment 3</x:v>
      </x:c>
      <x:c r="F73" s="21" t="n">
        <x:v>3</x:v>
      </x:c>
      <x:c r="G73" s="21" t="n">
        <x:v>3</x:v>
      </x:c>
      <x:c r="H73" s="21" t="n">
        <x:v>12</x:v>
      </x:c>
      <x:c r="I73" s="21" t="str">
        <x:v>FPO-17</x:v>
      </x:c>
      <x:c r="J73" s="21" t="str">
        <x:v>TIO-03</x:v>
      </x:c>
      <x:c r="K73" s="44" t="n">
        <x:v>0.10416666666666667</x:v>
      </x:c>
      <x:c r="L73" s="21" t="n">
        <x:v>3</x:v>
      </x:c>
      <x:c r="M73" s="21" t="n">
        <x:v>10</x:v>
      </x:c>
      <x:c r="N73" s="23" t="str">
        <x:v>HOLD</x:v>
      </x:c>
    </x:row>
    <x:row r="74">
      <x:c r="B74" s="21" t="str">
        <x:v>F17-I4</x:v>
      </x:c>
      <x:c r="C74" s="21" t="str">
        <x:v>F17</x:v>
      </x:c>
      <x:c r="D74" s="21" t="str">
        <x:v>P04</x:v>
      </x:c>
      <x:c r="E74" s="21" t="str">
        <x:v>Mobile nuclear energy station increment 4</x:v>
      </x:c>
      <x:c r="F74" s="21" t="n">
        <x:v>4</x:v>
      </x:c>
      <x:c r="G74" s="21" t="n">
        <x:v>4</x:v>
      </x:c>
      <x:c r="H74" s="21" t="n">
        <x:v>12</x:v>
      </x:c>
      <x:c r="I74" s="21" t="str">
        <x:v>FPO-17</x:v>
      </x:c>
      <x:c r="J74" s="21" t="str">
        <x:v>TIO-04</x:v>
      </x:c>
      <x:c r="K74" s="44" t="n">
        <x:v>0.10416666666666667</x:v>
      </x:c>
      <x:c r="L74" s="21" t="n">
        <x:v>3</x:v>
      </x:c>
      <x:c r="M74" s="21" t="n">
        <x:v>10</x:v>
      </x:c>
      <x:c r="N74" s="23" t="str">
        <x:v>HOLD</x:v>
      </x:c>
    </x:row>
    <x:row r="75">
      <x:c r="B75" s="21" t="str">
        <x:v>F18-I1</x:v>
      </x:c>
      <x:c r="C75" s="21" t="str">
        <x:v>F18</x:v>
      </x:c>
      <x:c r="D75" s="21" t="str">
        <x:v>P04</x:v>
      </x:c>
      <x:c r="E75" s="21" t="str">
        <x:v>Long-duration storage module increment 1</x:v>
      </x:c>
      <x:c r="F75" s="21" t="n">
        <x:v>1</x:v>
      </x:c>
      <x:c r="G75" s="21" t="n">
        <x:v>5</x:v>
      </x:c>
      <x:c r="H75" s="21" t="n">
        <x:v>12</x:v>
      </x:c>
      <x:c r="I75" s="21" t="str">
        <x:v>FPO-18</x:v>
      </x:c>
      <x:c r="J75" s="21" t="str">
        <x:v>TIO-05</x:v>
      </x:c>
      <x:c r="K75" s="44" t="n">
        <x:v>0.10416666666666667</x:v>
      </x:c>
      <x:c r="L75" s="21" t="n">
        <x:v>3</x:v>
      </x:c>
      <x:c r="M75" s="21" t="n">
        <x:v>10</x:v>
      </x:c>
      <x:c r="N75" s="23" t="str">
        <x:v>HOLD</x:v>
      </x:c>
    </x:row>
    <x:row r="76">
      <x:c r="B76" s="21" t="str">
        <x:v>F18-I2</x:v>
      </x:c>
      <x:c r="C76" s="21" t="str">
        <x:v>F18</x:v>
      </x:c>
      <x:c r="D76" s="21" t="str">
        <x:v>P04</x:v>
      </x:c>
      <x:c r="E76" s="21" t="str">
        <x:v>Long-duration storage module increment 2</x:v>
      </x:c>
      <x:c r="F76" s="21" t="n">
        <x:v>2</x:v>
      </x:c>
      <x:c r="G76" s="21" t="n">
        <x:v>6</x:v>
      </x:c>
      <x:c r="H76" s="21" t="n">
        <x:v>12</x:v>
      </x:c>
      <x:c r="I76" s="21" t="str">
        <x:v>FPO-18</x:v>
      </x:c>
      <x:c r="J76" s="21" t="str">
        <x:v>TIO-06</x:v>
      </x:c>
      <x:c r="K76" s="44" t="n">
        <x:v>0.10416666666666667</x:v>
      </x:c>
      <x:c r="L76" s="21" t="n">
        <x:v>3</x:v>
      </x:c>
      <x:c r="M76" s="21" t="n">
        <x:v>10</x:v>
      </x:c>
      <x:c r="N76" s="23" t="str">
        <x:v>HOLD</x:v>
      </x:c>
    </x:row>
    <x:row r="77">
      <x:c r="B77" s="21" t="str">
        <x:v>F18-I3</x:v>
      </x:c>
      <x:c r="C77" s="21" t="str">
        <x:v>F18</x:v>
      </x:c>
      <x:c r="D77" s="21" t="str">
        <x:v>P04</x:v>
      </x:c>
      <x:c r="E77" s="21" t="str">
        <x:v>Long-duration storage module increment 3</x:v>
      </x:c>
      <x:c r="F77" s="21" t="n">
        <x:v>3</x:v>
      </x:c>
      <x:c r="G77" s="21" t="n">
        <x:v>7</x:v>
      </x:c>
      <x:c r="H77" s="21" t="n">
        <x:v>12</x:v>
      </x:c>
      <x:c r="I77" s="21" t="str">
        <x:v>FPO-18</x:v>
      </x:c>
      <x:c r="J77" s="21" t="str">
        <x:v>TIO-07</x:v>
      </x:c>
      <x:c r="K77" s="44" t="n">
        <x:v>0.10416666666666667</x:v>
      </x:c>
      <x:c r="L77" s="21" t="n">
        <x:v>3</x:v>
      </x:c>
      <x:c r="M77" s="21" t="n">
        <x:v>10</x:v>
      </x:c>
      <x:c r="N77" s="23" t="str">
        <x:v>HOLD</x:v>
      </x:c>
    </x:row>
    <x:row r="78">
      <x:c r="B78" s="21" t="str">
        <x:v>F18-I4</x:v>
      </x:c>
      <x:c r="C78" s="21" t="str">
        <x:v>F18</x:v>
      </x:c>
      <x:c r="D78" s="21" t="str">
        <x:v>P04</x:v>
      </x:c>
      <x:c r="E78" s="21" t="str">
        <x:v>Long-duration storage module increment 4</x:v>
      </x:c>
      <x:c r="F78" s="21" t="n">
        <x:v>4</x:v>
      </x:c>
      <x:c r="G78" s="21" t="n">
        <x:v>8</x:v>
      </x:c>
      <x:c r="H78" s="21" t="n">
        <x:v>12</x:v>
      </x:c>
      <x:c r="I78" s="21" t="str">
        <x:v>FPO-18</x:v>
      </x:c>
      <x:c r="J78" s="21" t="str">
        <x:v>TIO-08</x:v>
      </x:c>
      <x:c r="K78" s="44" t="n">
        <x:v>0.10416666666666667</x:v>
      </x:c>
      <x:c r="L78" s="21" t="n">
        <x:v>3</x:v>
      </x:c>
      <x:c r="M78" s="21" t="n">
        <x:v>10</x:v>
      </x:c>
      <x:c r="N78" s="23" t="str">
        <x:v>HOLD</x:v>
      </x:c>
    </x:row>
    <x:row r="79">
      <x:c r="B79" s="21" t="str">
        <x:v>F19-I1</x:v>
      </x:c>
      <x:c r="C79" s="21" t="str">
        <x:v>F19</x:v>
      </x:c>
      <x:c r="D79" s="21" t="str">
        <x:v>P04</x:v>
      </x:c>
      <x:c r="E79" s="21" t="str">
        <x:v>District thermal utility increment 1</x:v>
      </x:c>
      <x:c r="F79" s="21" t="n">
        <x:v>1</x:v>
      </x:c>
      <x:c r="G79" s="21" t="n">
        <x:v>9</x:v>
      </x:c>
      <x:c r="H79" s="21" t="n">
        <x:v>12</x:v>
      </x:c>
      <x:c r="I79" s="21" t="str">
        <x:v>FPO-19</x:v>
      </x:c>
      <x:c r="J79" s="21" t="str">
        <x:v>TIO-09</x:v>
      </x:c>
      <x:c r="K79" s="44" t="n">
        <x:v>0.10416666666666667</x:v>
      </x:c>
      <x:c r="L79" s="21" t="n">
        <x:v>3</x:v>
      </x:c>
      <x:c r="M79" s="21" t="n">
        <x:v>10</x:v>
      </x:c>
      <x:c r="N79" s="23" t="str">
        <x:v>HOLD</x:v>
      </x:c>
    </x:row>
    <x:row r="80">
      <x:c r="B80" s="21" t="str">
        <x:v>F19-I2</x:v>
      </x:c>
      <x:c r="C80" s="21" t="str">
        <x:v>F19</x:v>
      </x:c>
      <x:c r="D80" s="21" t="str">
        <x:v>P04</x:v>
      </x:c>
      <x:c r="E80" s="21" t="str">
        <x:v>District thermal utility increment 2</x:v>
      </x:c>
      <x:c r="F80" s="21" t="n">
        <x:v>2</x:v>
      </x:c>
      <x:c r="G80" s="21" t="n">
        <x:v>10</x:v>
      </x:c>
      <x:c r="H80" s="21" t="n">
        <x:v>12</x:v>
      </x:c>
      <x:c r="I80" s="21" t="str">
        <x:v>FPO-19</x:v>
      </x:c>
      <x:c r="J80" s="21" t="str">
        <x:v>TIO-10</x:v>
      </x:c>
      <x:c r="K80" s="44" t="n">
        <x:v>0.10416666666666667</x:v>
      </x:c>
      <x:c r="L80" s="21" t="n">
        <x:v>3</x:v>
      </x:c>
      <x:c r="M80" s="21" t="n">
        <x:v>10</x:v>
      </x:c>
      <x:c r="N80" s="23" t="str">
        <x:v>HOLD</x:v>
      </x:c>
    </x:row>
    <x:row r="81">
      <x:c r="B81" s="21" t="str">
        <x:v>F19-I3</x:v>
      </x:c>
      <x:c r="C81" s="21" t="str">
        <x:v>F19</x:v>
      </x:c>
      <x:c r="D81" s="21" t="str">
        <x:v>P04</x:v>
      </x:c>
      <x:c r="E81" s="21" t="str">
        <x:v>District thermal utility increment 3</x:v>
      </x:c>
      <x:c r="F81" s="21" t="n">
        <x:v>3</x:v>
      </x:c>
      <x:c r="G81" s="21" t="n">
        <x:v>11</x:v>
      </x:c>
      <x:c r="H81" s="21" t="n">
        <x:v>12</x:v>
      </x:c>
      <x:c r="I81" s="21" t="str">
        <x:v>FPO-19</x:v>
      </x:c>
      <x:c r="J81" s="21" t="str">
        <x:v>TIO-11</x:v>
      </x:c>
      <x:c r="K81" s="44" t="n">
        <x:v>0.10416666666666667</x:v>
      </x:c>
      <x:c r="L81" s="21" t="n">
        <x:v>3</x:v>
      </x:c>
      <x:c r="M81" s="21" t="n">
        <x:v>10</x:v>
      </x:c>
      <x:c r="N81" s="23" t="str">
        <x:v>HOLD</x:v>
      </x:c>
    </x:row>
    <x:row r="82">
      <x:c r="B82" s="21" t="str">
        <x:v>F19-I4</x:v>
      </x:c>
      <x:c r="C82" s="21" t="str">
        <x:v>F19</x:v>
      </x:c>
      <x:c r="D82" s="21" t="str">
        <x:v>P04</x:v>
      </x:c>
      <x:c r="E82" s="21" t="str">
        <x:v>District thermal utility increment 4</x:v>
      </x:c>
      <x:c r="F82" s="21" t="n">
        <x:v>4</x:v>
      </x:c>
      <x:c r="G82" s="21" t="n">
        <x:v>12</x:v>
      </x:c>
      <x:c r="H82" s="21" t="n">
        <x:v>12</x:v>
      </x:c>
      <x:c r="I82" s="21" t="str">
        <x:v>FPO-19</x:v>
      </x:c>
      <x:c r="J82" s="21" t="str">
        <x:v>TIO-12</x:v>
      </x:c>
      <x:c r="K82" s="44" t="n">
        <x:v>0.10416666666666667</x:v>
      </x:c>
      <x:c r="L82" s="21" t="n">
        <x:v>3</x:v>
      </x:c>
      <x:c r="M82" s="21" t="n">
        <x:v>10</x:v>
      </x:c>
      <x:c r="N82" s="23" t="str">
        <x:v>HOLD</x:v>
      </x:c>
    </x:row>
    <x:row r="83">
      <x:c r="B83" s="21" t="str">
        <x:v>F20-I1</x:v>
      </x:c>
      <x:c r="C83" s="21" t="str">
        <x:v>F20</x:v>
      </x:c>
      <x:c r="D83" s="21" t="str">
        <x:v>P04</x:v>
      </x:c>
      <x:c r="E83" s="21" t="str">
        <x:v>Fuel synthesis and distribution train increment 1</x:v>
      </x:c>
      <x:c r="F83" s="21" t="n">
        <x:v>1</x:v>
      </x:c>
      <x:c r="G83" s="21" t="n">
        <x:v>13</x:v>
      </x:c>
      <x:c r="H83" s="21" t="n">
        <x:v>12</x:v>
      </x:c>
      <x:c r="I83" s="21" t="str">
        <x:v>FPO-20</x:v>
      </x:c>
      <x:c r="J83" s="21" t="str">
        <x:v>TIO-13</x:v>
      </x:c>
      <x:c r="K83" s="44" t="n">
        <x:v>0.10416666666666667</x:v>
      </x:c>
      <x:c r="L83" s="21" t="n">
        <x:v>3</x:v>
      </x:c>
      <x:c r="M83" s="21" t="n">
        <x:v>10</x:v>
      </x:c>
      <x:c r="N83" s="23" t="str">
        <x:v>HOLD</x:v>
      </x:c>
    </x:row>
    <x:row r="84">
      <x:c r="B84" s="21" t="str">
        <x:v>F20-I2</x:v>
      </x:c>
      <x:c r="C84" s="21" t="str">
        <x:v>F20</x:v>
      </x:c>
      <x:c r="D84" s="21" t="str">
        <x:v>P04</x:v>
      </x:c>
      <x:c r="E84" s="21" t="str">
        <x:v>Fuel synthesis and distribution train increment 2</x:v>
      </x:c>
      <x:c r="F84" s="21" t="n">
        <x:v>2</x:v>
      </x:c>
      <x:c r="G84" s="21" t="n">
        <x:v>14</x:v>
      </x:c>
      <x:c r="H84" s="21" t="n">
        <x:v>12</x:v>
      </x:c>
      <x:c r="I84" s="21" t="str">
        <x:v>FPO-20</x:v>
      </x:c>
      <x:c r="J84" s="21" t="str">
        <x:v>TIO-14</x:v>
      </x:c>
      <x:c r="K84" s="44" t="n">
        <x:v>0.10416666666666667</x:v>
      </x:c>
      <x:c r="L84" s="21" t="n">
        <x:v>3</x:v>
      </x:c>
      <x:c r="M84" s="21" t="n">
        <x:v>10</x:v>
      </x:c>
      <x:c r="N84" s="23" t="str">
        <x:v>HOLD</x:v>
      </x:c>
    </x:row>
    <x:row r="85">
      <x:c r="B85" s="21" t="str">
        <x:v>F20-I3</x:v>
      </x:c>
      <x:c r="C85" s="21" t="str">
        <x:v>F20</x:v>
      </x:c>
      <x:c r="D85" s="21" t="str">
        <x:v>P04</x:v>
      </x:c>
      <x:c r="E85" s="21" t="str">
        <x:v>Fuel synthesis and distribution train increment 3</x:v>
      </x:c>
      <x:c r="F85" s="21" t="n">
        <x:v>3</x:v>
      </x:c>
      <x:c r="G85" s="21" t="n">
        <x:v>15</x:v>
      </x:c>
      <x:c r="H85" s="21" t="n">
        <x:v>12</x:v>
      </x:c>
      <x:c r="I85" s="21" t="str">
        <x:v>FPO-20</x:v>
      </x:c>
      <x:c r="J85" s="21" t="str">
        <x:v>TIO-15</x:v>
      </x:c>
      <x:c r="K85" s="44" t="n">
        <x:v>0.10416666666666667</x:v>
      </x:c>
      <x:c r="L85" s="21" t="n">
        <x:v>3</x:v>
      </x:c>
      <x:c r="M85" s="21" t="n">
        <x:v>10</x:v>
      </x:c>
      <x:c r="N85" s="23" t="str">
        <x:v>HOLD</x:v>
      </x:c>
    </x:row>
    <x:row r="86">
      <x:c r="B86" s="21" t="str">
        <x:v>F20-I4</x:v>
      </x:c>
      <x:c r="C86" s="21" t="str">
        <x:v>F20</x:v>
      </x:c>
      <x:c r="D86" s="21" t="str">
        <x:v>P04</x:v>
      </x:c>
      <x:c r="E86" s="21" t="str">
        <x:v>Fuel synthesis and distribution train increment 4</x:v>
      </x:c>
      <x:c r="F86" s="21" t="n">
        <x:v>4</x:v>
      </x:c>
      <x:c r="G86" s="21" t="n">
        <x:v>16</x:v>
      </x:c>
      <x:c r="H86" s="21" t="n">
        <x:v>12</x:v>
      </x:c>
      <x:c r="I86" s="21" t="str">
        <x:v>FPO-20</x:v>
      </x:c>
      <x:c r="J86" s="21" t="str">
        <x:v>TIO-16</x:v>
      </x:c>
      <x:c r="K86" s="44" t="n">
        <x:v>0.10416666666666667</x:v>
      </x:c>
      <x:c r="L86" s="21" t="n">
        <x:v>3</x:v>
      </x:c>
      <x:c r="M86" s="21" t="n">
        <x:v>10</x:v>
      </x:c>
      <x:c r="N86" s="23" t="str">
        <x:v>HOLD</x:v>
      </x:c>
    </x:row>
    <x:row r="87">
      <x:c r="B87" s="21" t="str">
        <x:v>F21-I1</x:v>
      </x:c>
      <x:c r="C87" s="21" t="str">
        <x:v>F21</x:v>
      </x:c>
      <x:c r="D87" s="21" t="str">
        <x:v>P04</x:v>
      </x:c>
      <x:c r="E87" s="21" t="str">
        <x:v>Grid restoration and line-deployment system increment 1</x:v>
      </x:c>
      <x:c r="F87" s="21" t="n">
        <x:v>1</x:v>
      </x:c>
      <x:c r="G87" s="21" t="n">
        <x:v>1</x:v>
      </x:c>
      <x:c r="H87" s="21" t="n">
        <x:v>12</x:v>
      </x:c>
      <x:c r="I87" s="21" t="str">
        <x:v>FPO-21</x:v>
      </x:c>
      <x:c r="J87" s="21" t="str">
        <x:v>TIO-01</x:v>
      </x:c>
      <x:c r="K87" s="44" t="n">
        <x:v>0.10416666666666667</x:v>
      </x:c>
      <x:c r="L87" s="21" t="n">
        <x:v>3</x:v>
      </x:c>
      <x:c r="M87" s="21" t="n">
        <x:v>10</x:v>
      </x:c>
      <x:c r="N87" s="23" t="str">
        <x:v>HOLD</x:v>
      </x:c>
    </x:row>
    <x:row r="88">
      <x:c r="B88" s="21" t="str">
        <x:v>F21-I2</x:v>
      </x:c>
      <x:c r="C88" s="21" t="str">
        <x:v>F21</x:v>
      </x:c>
      <x:c r="D88" s="21" t="str">
        <x:v>P04</x:v>
      </x:c>
      <x:c r="E88" s="21" t="str">
        <x:v>Grid restoration and line-deployment system increment 2</x:v>
      </x:c>
      <x:c r="F88" s="21" t="n">
        <x:v>2</x:v>
      </x:c>
      <x:c r="G88" s="21" t="n">
        <x:v>2</x:v>
      </x:c>
      <x:c r="H88" s="21" t="n">
        <x:v>12</x:v>
      </x:c>
      <x:c r="I88" s="21" t="str">
        <x:v>FPO-21</x:v>
      </x:c>
      <x:c r="J88" s="21" t="str">
        <x:v>TIO-02</x:v>
      </x:c>
      <x:c r="K88" s="44" t="n">
        <x:v>0.10416666666666667</x:v>
      </x:c>
      <x:c r="L88" s="21" t="n">
        <x:v>3</x:v>
      </x:c>
      <x:c r="M88" s="21" t="n">
        <x:v>10</x:v>
      </x:c>
      <x:c r="N88" s="23" t="str">
        <x:v>HOLD</x:v>
      </x:c>
    </x:row>
    <x:row r="89">
      <x:c r="B89" s="21" t="str">
        <x:v>F21-I3</x:v>
      </x:c>
      <x:c r="C89" s="21" t="str">
        <x:v>F21</x:v>
      </x:c>
      <x:c r="D89" s="21" t="str">
        <x:v>P04</x:v>
      </x:c>
      <x:c r="E89" s="21" t="str">
        <x:v>Grid restoration and line-deployment system increment 3</x:v>
      </x:c>
      <x:c r="F89" s="21" t="n">
        <x:v>3</x:v>
      </x:c>
      <x:c r="G89" s="21" t="n">
        <x:v>3</x:v>
      </x:c>
      <x:c r="H89" s="21" t="n">
        <x:v>12</x:v>
      </x:c>
      <x:c r="I89" s="21" t="str">
        <x:v>FPO-21</x:v>
      </x:c>
      <x:c r="J89" s="21" t="str">
        <x:v>TIO-03</x:v>
      </x:c>
      <x:c r="K89" s="44" t="n">
        <x:v>0.10416666666666667</x:v>
      </x:c>
      <x:c r="L89" s="21" t="n">
        <x:v>3</x:v>
      </x:c>
      <x:c r="M89" s="21" t="n">
        <x:v>10</x:v>
      </x:c>
      <x:c r="N89" s="23" t="str">
        <x:v>HOLD</x:v>
      </x:c>
    </x:row>
    <x:row r="90">
      <x:c r="B90" s="21" t="str">
        <x:v>F21-I4</x:v>
      </x:c>
      <x:c r="C90" s="21" t="str">
        <x:v>F21</x:v>
      </x:c>
      <x:c r="D90" s="21" t="str">
        <x:v>P04</x:v>
      </x:c>
      <x:c r="E90" s="21" t="str">
        <x:v>Grid restoration and line-deployment system increment 4</x:v>
      </x:c>
      <x:c r="F90" s="21" t="n">
        <x:v>4</x:v>
      </x:c>
      <x:c r="G90" s="21" t="n">
        <x:v>4</x:v>
      </x:c>
      <x:c r="H90" s="21" t="n">
        <x:v>12</x:v>
      </x:c>
      <x:c r="I90" s="21" t="str">
        <x:v>FPO-21</x:v>
      </x:c>
      <x:c r="J90" s="21" t="str">
        <x:v>TIO-04</x:v>
      </x:c>
      <x:c r="K90" s="44" t="n">
        <x:v>0.10416666666666667</x:v>
      </x:c>
      <x:c r="L90" s="21" t="n">
        <x:v>3</x:v>
      </x:c>
      <x:c r="M90" s="21" t="n">
        <x:v>10</x:v>
      </x:c>
      <x:c r="N90" s="23" t="str">
        <x:v>HOLD</x:v>
      </x:c>
    </x:row>
    <x:row r="91">
      <x:c r="B91" s="21" t="str">
        <x:v>F22-I1</x:v>
      </x:c>
      <x:c r="C91" s="21" t="str">
        <x:v>F22</x:v>
      </x:c>
      <x:c r="D91" s="21" t="str">
        <x:v>P05</x:v>
      </x:c>
      <x:c r="E91" s="21" t="str">
        <x:v>Stratospheric communications platform increment 1</x:v>
      </x:c>
      <x:c r="F91" s="21" t="n">
        <x:v>1</x:v>
      </x:c>
      <x:c r="G91" s="21" t="n">
        <x:v>5</x:v>
      </x:c>
      <x:c r="H91" s="21" t="n">
        <x:v>12</x:v>
      </x:c>
      <x:c r="I91" s="21" t="str">
        <x:v>FPO-22</x:v>
      </x:c>
      <x:c r="J91" s="21" t="str">
        <x:v>TIO-05</x:v>
      </x:c>
      <x:c r="K91" s="44" t="n">
        <x:v>0.065</x:v>
      </x:c>
      <x:c r="L91" s="21" t="n">
        <x:v>3</x:v>
      </x:c>
      <x:c r="M91" s="21" t="n">
        <x:v>10</x:v>
      </x:c>
      <x:c r="N91" s="23" t="str">
        <x:v>HOLD</x:v>
      </x:c>
    </x:row>
    <x:row r="92">
      <x:c r="B92" s="21" t="str">
        <x:v>F22-I2</x:v>
      </x:c>
      <x:c r="C92" s="21" t="str">
        <x:v>F22</x:v>
      </x:c>
      <x:c r="D92" s="21" t="str">
        <x:v>P05</x:v>
      </x:c>
      <x:c r="E92" s="21" t="str">
        <x:v>Stratospheric communications platform increment 2</x:v>
      </x:c>
      <x:c r="F92" s="21" t="n">
        <x:v>2</x:v>
      </x:c>
      <x:c r="G92" s="21" t="n">
        <x:v>6</x:v>
      </x:c>
      <x:c r="H92" s="21" t="n">
        <x:v>12</x:v>
      </x:c>
      <x:c r="I92" s="21" t="str">
        <x:v>FPO-22</x:v>
      </x:c>
      <x:c r="J92" s="21" t="str">
        <x:v>TIO-06</x:v>
      </x:c>
      <x:c r="K92" s="44" t="n">
        <x:v>0.065</x:v>
      </x:c>
      <x:c r="L92" s="21" t="n">
        <x:v>3</x:v>
      </x:c>
      <x:c r="M92" s="21" t="n">
        <x:v>10</x:v>
      </x:c>
      <x:c r="N92" s="23" t="str">
        <x:v>HOLD</x:v>
      </x:c>
    </x:row>
    <x:row r="93">
      <x:c r="B93" s="21" t="str">
        <x:v>F22-I3</x:v>
      </x:c>
      <x:c r="C93" s="21" t="str">
        <x:v>F22</x:v>
      </x:c>
      <x:c r="D93" s="21" t="str">
        <x:v>P05</x:v>
      </x:c>
      <x:c r="E93" s="21" t="str">
        <x:v>Stratospheric communications platform increment 3</x:v>
      </x:c>
      <x:c r="F93" s="21" t="n">
        <x:v>3</x:v>
      </x:c>
      <x:c r="G93" s="21" t="n">
        <x:v>7</x:v>
      </x:c>
      <x:c r="H93" s="21" t="n">
        <x:v>12</x:v>
      </x:c>
      <x:c r="I93" s="21" t="str">
        <x:v>FPO-22</x:v>
      </x:c>
      <x:c r="J93" s="21" t="str">
        <x:v>TIO-07</x:v>
      </x:c>
      <x:c r="K93" s="44" t="n">
        <x:v>0.065</x:v>
      </x:c>
      <x:c r="L93" s="21" t="n">
        <x:v>3</x:v>
      </x:c>
      <x:c r="M93" s="21" t="n">
        <x:v>10</x:v>
      </x:c>
      <x:c r="N93" s="23" t="str">
        <x:v>HOLD</x:v>
      </x:c>
    </x:row>
    <x:row r="94">
      <x:c r="B94" s="21" t="str">
        <x:v>F22-I4</x:v>
      </x:c>
      <x:c r="C94" s="21" t="str">
        <x:v>F22</x:v>
      </x:c>
      <x:c r="D94" s="21" t="str">
        <x:v>P05</x:v>
      </x:c>
      <x:c r="E94" s="21" t="str">
        <x:v>Stratospheric communications platform increment 4</x:v>
      </x:c>
      <x:c r="F94" s="21" t="n">
        <x:v>4</x:v>
      </x:c>
      <x:c r="G94" s="21" t="n">
        <x:v>8</x:v>
      </x:c>
      <x:c r="H94" s="21" t="n">
        <x:v>12</x:v>
      </x:c>
      <x:c r="I94" s="21" t="str">
        <x:v>FPO-22</x:v>
      </x:c>
      <x:c r="J94" s="21" t="str">
        <x:v>TIO-08</x:v>
      </x:c>
      <x:c r="K94" s="44" t="n">
        <x:v>0.065</x:v>
      </x:c>
      <x:c r="L94" s="21" t="n">
        <x:v>3</x:v>
      </x:c>
      <x:c r="M94" s="21" t="n">
        <x:v>10</x:v>
      </x:c>
      <x:c r="N94" s="23" t="str">
        <x:v>HOLD</x:v>
      </x:c>
    </x:row>
    <x:row r="95">
      <x:c r="B95" s="21" t="str">
        <x:v>F23-I1</x:v>
      </x:c>
      <x:c r="C95" s="21" t="str">
        <x:v>F23</x:v>
      </x:c>
      <x:c r="D95" s="21" t="str">
        <x:v>P05</x:v>
      </x:c>
      <x:c r="E95" s="21" t="str">
        <x:v>Terrestrial recovery mesh increment 1</x:v>
      </x:c>
      <x:c r="F95" s="21" t="n">
        <x:v>1</x:v>
      </x:c>
      <x:c r="G95" s="21" t="n">
        <x:v>9</x:v>
      </x:c>
      <x:c r="H95" s="21" t="n">
        <x:v>12</x:v>
      </x:c>
      <x:c r="I95" s="21" t="str">
        <x:v>FPO-23</x:v>
      </x:c>
      <x:c r="J95" s="21" t="str">
        <x:v>TIO-09</x:v>
      </x:c>
      <x:c r="K95" s="44" t="n">
        <x:v>0.065</x:v>
      </x:c>
      <x:c r="L95" s="21" t="n">
        <x:v>3</x:v>
      </x:c>
      <x:c r="M95" s="21" t="n">
        <x:v>10</x:v>
      </x:c>
      <x:c r="N95" s="23" t="str">
        <x:v>HOLD</x:v>
      </x:c>
    </x:row>
    <x:row r="96">
      <x:c r="B96" s="21" t="str">
        <x:v>F23-I2</x:v>
      </x:c>
      <x:c r="C96" s="21" t="str">
        <x:v>F23</x:v>
      </x:c>
      <x:c r="D96" s="21" t="str">
        <x:v>P05</x:v>
      </x:c>
      <x:c r="E96" s="21" t="str">
        <x:v>Terrestrial recovery mesh increment 2</x:v>
      </x:c>
      <x:c r="F96" s="21" t="n">
        <x:v>2</x:v>
      </x:c>
      <x:c r="G96" s="21" t="n">
        <x:v>10</x:v>
      </x:c>
      <x:c r="H96" s="21" t="n">
        <x:v>12</x:v>
      </x:c>
      <x:c r="I96" s="21" t="str">
        <x:v>FPO-23</x:v>
      </x:c>
      <x:c r="J96" s="21" t="str">
        <x:v>TIO-10</x:v>
      </x:c>
      <x:c r="K96" s="44" t="n">
        <x:v>0.065</x:v>
      </x:c>
      <x:c r="L96" s="21" t="n">
        <x:v>3</x:v>
      </x:c>
      <x:c r="M96" s="21" t="n">
        <x:v>10</x:v>
      </x:c>
      <x:c r="N96" s="23" t="str">
        <x:v>HOLD</x:v>
      </x:c>
    </x:row>
    <x:row r="97">
      <x:c r="B97" s="21" t="str">
        <x:v>F23-I3</x:v>
      </x:c>
      <x:c r="C97" s="21" t="str">
        <x:v>F23</x:v>
      </x:c>
      <x:c r="D97" s="21" t="str">
        <x:v>P05</x:v>
      </x:c>
      <x:c r="E97" s="21" t="str">
        <x:v>Terrestrial recovery mesh increment 3</x:v>
      </x:c>
      <x:c r="F97" s="21" t="n">
        <x:v>3</x:v>
      </x:c>
      <x:c r="G97" s="21" t="n">
        <x:v>11</x:v>
      </x:c>
      <x:c r="H97" s="21" t="n">
        <x:v>12</x:v>
      </x:c>
      <x:c r="I97" s="21" t="str">
        <x:v>FPO-23</x:v>
      </x:c>
      <x:c r="J97" s="21" t="str">
        <x:v>TIO-11</x:v>
      </x:c>
      <x:c r="K97" s="44" t="n">
        <x:v>0.065</x:v>
      </x:c>
      <x:c r="L97" s="21" t="n">
        <x:v>3</x:v>
      </x:c>
      <x:c r="M97" s="21" t="n">
        <x:v>10</x:v>
      </x:c>
      <x:c r="N97" s="23" t="str">
        <x:v>HOLD</x:v>
      </x:c>
    </x:row>
    <x:row r="98">
      <x:c r="B98" s="21" t="str">
        <x:v>F23-I4</x:v>
      </x:c>
      <x:c r="C98" s="21" t="str">
        <x:v>F23</x:v>
      </x:c>
      <x:c r="D98" s="21" t="str">
        <x:v>P05</x:v>
      </x:c>
      <x:c r="E98" s="21" t="str">
        <x:v>Terrestrial recovery mesh increment 4</x:v>
      </x:c>
      <x:c r="F98" s="21" t="n">
        <x:v>4</x:v>
      </x:c>
      <x:c r="G98" s="21" t="n">
        <x:v>12</x:v>
      </x:c>
      <x:c r="H98" s="21" t="n">
        <x:v>12</x:v>
      </x:c>
      <x:c r="I98" s="21" t="str">
        <x:v>FPO-23</x:v>
      </x:c>
      <x:c r="J98" s="21" t="str">
        <x:v>TIO-12</x:v>
      </x:c>
      <x:c r="K98" s="44" t="n">
        <x:v>0.065</x:v>
      </x:c>
      <x:c r="L98" s="21" t="n">
        <x:v>3</x:v>
      </x:c>
      <x:c r="M98" s="21" t="n">
        <x:v>10</x:v>
      </x:c>
      <x:c r="N98" s="23" t="str">
        <x:v>HOLD</x:v>
      </x:c>
    </x:row>
    <x:row r="99">
      <x:c r="B99" s="21" t="str">
        <x:v>F24-I1</x:v>
      </x:c>
      <x:c r="C99" s="21" t="str">
        <x:v>F24</x:v>
      </x:c>
      <x:c r="D99" s="21" t="str">
        <x:v>P05</x:v>
      </x:c>
      <x:c r="E99" s="21" t="str">
        <x:v>Civil compute and data-continuity cloudlet increment 1</x:v>
      </x:c>
      <x:c r="F99" s="21" t="n">
        <x:v>1</x:v>
      </x:c>
      <x:c r="G99" s="21" t="n">
        <x:v>13</x:v>
      </x:c>
      <x:c r="H99" s="21" t="n">
        <x:v>12</x:v>
      </x:c>
      <x:c r="I99" s="21" t="str">
        <x:v>FPO-24</x:v>
      </x:c>
      <x:c r="J99" s="21" t="str">
        <x:v>TIO-13</x:v>
      </x:c>
      <x:c r="K99" s="44" t="n">
        <x:v>0.065</x:v>
      </x:c>
      <x:c r="L99" s="21" t="n">
        <x:v>3</x:v>
      </x:c>
      <x:c r="M99" s="21" t="n">
        <x:v>10</x:v>
      </x:c>
      <x:c r="N99" s="23" t="str">
        <x:v>HOLD</x:v>
      </x:c>
    </x:row>
    <x:row r="100">
      <x:c r="B100" s="21" t="str">
        <x:v>F24-I2</x:v>
      </x:c>
      <x:c r="C100" s="21" t="str">
        <x:v>F24</x:v>
      </x:c>
      <x:c r="D100" s="21" t="str">
        <x:v>P05</x:v>
      </x:c>
      <x:c r="E100" s="21" t="str">
        <x:v>Civil compute and data-continuity cloudlet increment 2</x:v>
      </x:c>
      <x:c r="F100" s="21" t="n">
        <x:v>2</x:v>
      </x:c>
      <x:c r="G100" s="21" t="n">
        <x:v>14</x:v>
      </x:c>
      <x:c r="H100" s="21" t="n">
        <x:v>12</x:v>
      </x:c>
      <x:c r="I100" s="21" t="str">
        <x:v>FPO-24</x:v>
      </x:c>
      <x:c r="J100" s="21" t="str">
        <x:v>TIO-14</x:v>
      </x:c>
      <x:c r="K100" s="44" t="n">
        <x:v>0.065</x:v>
      </x:c>
      <x:c r="L100" s="21" t="n">
        <x:v>3</x:v>
      </x:c>
      <x:c r="M100" s="21" t="n">
        <x:v>10</x:v>
      </x:c>
      <x:c r="N100" s="23" t="str">
        <x:v>HOLD</x:v>
      </x:c>
    </x:row>
    <x:row r="101">
      <x:c r="B101" s="21" t="str">
        <x:v>F24-I3</x:v>
      </x:c>
      <x:c r="C101" s="21" t="str">
        <x:v>F24</x:v>
      </x:c>
      <x:c r="D101" s="21" t="str">
        <x:v>P05</x:v>
      </x:c>
      <x:c r="E101" s="21" t="str">
        <x:v>Civil compute and data-continuity cloudlet increment 3</x:v>
      </x:c>
      <x:c r="F101" s="21" t="n">
        <x:v>3</x:v>
      </x:c>
      <x:c r="G101" s="21" t="n">
        <x:v>15</x:v>
      </x:c>
      <x:c r="H101" s="21" t="n">
        <x:v>12</x:v>
      </x:c>
      <x:c r="I101" s="21" t="str">
        <x:v>FPO-24</x:v>
      </x:c>
      <x:c r="J101" s="21" t="str">
        <x:v>TIO-15</x:v>
      </x:c>
      <x:c r="K101" s="44" t="n">
        <x:v>0.065</x:v>
      </x:c>
      <x:c r="L101" s="21" t="n">
        <x:v>3</x:v>
      </x:c>
      <x:c r="M101" s="21" t="n">
        <x:v>10</x:v>
      </x:c>
      <x:c r="N101" s="23" t="str">
        <x:v>HOLD</x:v>
      </x:c>
    </x:row>
    <x:row r="102">
      <x:c r="B102" s="21" t="str">
        <x:v>F24-I4</x:v>
      </x:c>
      <x:c r="C102" s="21" t="str">
        <x:v>F24</x:v>
      </x:c>
      <x:c r="D102" s="21" t="str">
        <x:v>P05</x:v>
      </x:c>
      <x:c r="E102" s="21" t="str">
        <x:v>Civil compute and data-continuity cloudlet increment 4</x:v>
      </x:c>
      <x:c r="F102" s="21" t="n">
        <x:v>4</x:v>
      </x:c>
      <x:c r="G102" s="21" t="n">
        <x:v>16</x:v>
      </x:c>
      <x:c r="H102" s="21" t="n">
        <x:v>12</x:v>
      </x:c>
      <x:c r="I102" s="21" t="str">
        <x:v>FPO-24</x:v>
      </x:c>
      <x:c r="J102" s="21" t="str">
        <x:v>TIO-16</x:v>
      </x:c>
      <x:c r="K102" s="44" t="n">
        <x:v>0.065</x:v>
      </x:c>
      <x:c r="L102" s="21" t="n">
        <x:v>3</x:v>
      </x:c>
      <x:c r="M102" s="21" t="n">
        <x:v>10</x:v>
      </x:c>
      <x:c r="N102" s="23" t="str">
        <x:v>HOLD</x:v>
      </x:c>
    </x:row>
    <x:row r="103">
      <x:c r="B103" s="21" t="str">
        <x:v>F25-I1</x:v>
      </x:c>
      <x:c r="C103" s="21" t="str">
        <x:v>F25</x:v>
      </x:c>
      <x:c r="D103" s="21" t="str">
        <x:v>P05</x:v>
      </x:c>
      <x:c r="E103" s="21" t="str">
        <x:v>Spectrum recovery and public-access node increment 1</x:v>
      </x:c>
      <x:c r="F103" s="21" t="n">
        <x:v>1</x:v>
      </x:c>
      <x:c r="G103" s="21" t="n">
        <x:v>1</x:v>
      </x:c>
      <x:c r="H103" s="21" t="n">
        <x:v>12</x:v>
      </x:c>
      <x:c r="I103" s="21" t="str">
        <x:v>FPO-25</x:v>
      </x:c>
      <x:c r="J103" s="21" t="str">
        <x:v>TIO-01</x:v>
      </x:c>
      <x:c r="K103" s="44" t="n">
        <x:v>0.065</x:v>
      </x:c>
      <x:c r="L103" s="21" t="n">
        <x:v>3</x:v>
      </x:c>
      <x:c r="M103" s="21" t="n">
        <x:v>10</x:v>
      </x:c>
      <x:c r="N103" s="23" t="str">
        <x:v>HOLD</x:v>
      </x:c>
    </x:row>
    <x:row r="104">
      <x:c r="B104" s="21" t="str">
        <x:v>F25-I2</x:v>
      </x:c>
      <x:c r="C104" s="21" t="str">
        <x:v>F25</x:v>
      </x:c>
      <x:c r="D104" s="21" t="str">
        <x:v>P05</x:v>
      </x:c>
      <x:c r="E104" s="21" t="str">
        <x:v>Spectrum recovery and public-access node increment 2</x:v>
      </x:c>
      <x:c r="F104" s="21" t="n">
        <x:v>2</x:v>
      </x:c>
      <x:c r="G104" s="21" t="n">
        <x:v>2</x:v>
      </x:c>
      <x:c r="H104" s="21" t="n">
        <x:v>12</x:v>
      </x:c>
      <x:c r="I104" s="21" t="str">
        <x:v>FPO-25</x:v>
      </x:c>
      <x:c r="J104" s="21" t="str">
        <x:v>TIO-02</x:v>
      </x:c>
      <x:c r="K104" s="44" t="n">
        <x:v>0.065</x:v>
      </x:c>
      <x:c r="L104" s="21" t="n">
        <x:v>3</x:v>
      </x:c>
      <x:c r="M104" s="21" t="n">
        <x:v>10</x:v>
      </x:c>
      <x:c r="N104" s="23" t="str">
        <x:v>HOLD</x:v>
      </x:c>
    </x:row>
    <x:row r="105">
      <x:c r="B105" s="21" t="str">
        <x:v>F25-I3</x:v>
      </x:c>
      <x:c r="C105" s="21" t="str">
        <x:v>F25</x:v>
      </x:c>
      <x:c r="D105" s="21" t="str">
        <x:v>P05</x:v>
      </x:c>
      <x:c r="E105" s="21" t="str">
        <x:v>Spectrum recovery and public-access node increment 3</x:v>
      </x:c>
      <x:c r="F105" s="21" t="n">
        <x:v>3</x:v>
      </x:c>
      <x:c r="G105" s="21" t="n">
        <x:v>3</x:v>
      </x:c>
      <x:c r="H105" s="21" t="n">
        <x:v>12</x:v>
      </x:c>
      <x:c r="I105" s="21" t="str">
        <x:v>FPO-25</x:v>
      </x:c>
      <x:c r="J105" s="21" t="str">
        <x:v>TIO-03</x:v>
      </x:c>
      <x:c r="K105" s="44" t="n">
        <x:v>0.065</x:v>
      </x:c>
      <x:c r="L105" s="21" t="n">
        <x:v>3</x:v>
      </x:c>
      <x:c r="M105" s="21" t="n">
        <x:v>10</x:v>
      </x:c>
      <x:c r="N105" s="23" t="str">
        <x:v>HOLD</x:v>
      </x:c>
    </x:row>
    <x:row r="106">
      <x:c r="B106" s="21" t="str">
        <x:v>F25-I4</x:v>
      </x:c>
      <x:c r="C106" s="21" t="str">
        <x:v>F25</x:v>
      </x:c>
      <x:c r="D106" s="21" t="str">
        <x:v>P05</x:v>
      </x:c>
      <x:c r="E106" s="21" t="str">
        <x:v>Spectrum recovery and public-access node increment 4</x:v>
      </x:c>
      <x:c r="F106" s="21" t="n">
        <x:v>4</x:v>
      </x:c>
      <x:c r="G106" s="21" t="n">
        <x:v>4</x:v>
      </x:c>
      <x:c r="H106" s="21" t="n">
        <x:v>12</x:v>
      </x:c>
      <x:c r="I106" s="21" t="str">
        <x:v>FPO-25</x:v>
      </x:c>
      <x:c r="J106" s="21" t="str">
        <x:v>TIO-04</x:v>
      </x:c>
      <x:c r="K106" s="44" t="n">
        <x:v>0.065</x:v>
      </x:c>
      <x:c r="L106" s="21" t="n">
        <x:v>3</x:v>
      </x:c>
      <x:c r="M106" s="21" t="n">
        <x:v>10</x:v>
      </x:c>
      <x:c r="N106" s="23" t="str">
        <x:v>HOLD</x:v>
      </x:c>
    </x:row>
    <x:row r="107">
      <x:c r="B107" s="21" t="str">
        <x:v>F26-I1</x:v>
      </x:c>
      <x:c r="C107" s="21" t="str">
        <x:v>F26</x:v>
      </x:c>
      <x:c r="D107" s="21" t="str">
        <x:v>P05</x:v>
      </x:c>
      <x:c r="E107" s="21" t="str">
        <x:v>Position navigation and time restoration lattice increment 1</x:v>
      </x:c>
      <x:c r="F107" s="21" t="n">
        <x:v>1</x:v>
      </x:c>
      <x:c r="G107" s="21" t="n">
        <x:v>5</x:v>
      </x:c>
      <x:c r="H107" s="21" t="n">
        <x:v>12</x:v>
      </x:c>
      <x:c r="I107" s="21" t="str">
        <x:v>FPO-26</x:v>
      </x:c>
      <x:c r="J107" s="21" t="str">
        <x:v>TIO-05</x:v>
      </x:c>
      <x:c r="K107" s="44" t="n">
        <x:v>0.065</x:v>
      </x:c>
      <x:c r="L107" s="21" t="n">
        <x:v>3</x:v>
      </x:c>
      <x:c r="M107" s="21" t="n">
        <x:v>10</x:v>
      </x:c>
      <x:c r="N107" s="23" t="str">
        <x:v>HOLD</x:v>
      </x:c>
    </x:row>
    <x:row r="108">
      <x:c r="B108" s="21" t="str">
        <x:v>F26-I2</x:v>
      </x:c>
      <x:c r="C108" s="21" t="str">
        <x:v>F26</x:v>
      </x:c>
      <x:c r="D108" s="21" t="str">
        <x:v>P05</x:v>
      </x:c>
      <x:c r="E108" s="21" t="str">
        <x:v>Position navigation and time restoration lattice increment 2</x:v>
      </x:c>
      <x:c r="F108" s="21" t="n">
        <x:v>2</x:v>
      </x:c>
      <x:c r="G108" s="21" t="n">
        <x:v>6</x:v>
      </x:c>
      <x:c r="H108" s="21" t="n">
        <x:v>12</x:v>
      </x:c>
      <x:c r="I108" s="21" t="str">
        <x:v>FPO-26</x:v>
      </x:c>
      <x:c r="J108" s="21" t="str">
        <x:v>TIO-06</x:v>
      </x:c>
      <x:c r="K108" s="44" t="n">
        <x:v>0.065</x:v>
      </x:c>
      <x:c r="L108" s="21" t="n">
        <x:v>3</x:v>
      </x:c>
      <x:c r="M108" s="21" t="n">
        <x:v>10</x:v>
      </x:c>
      <x:c r="N108" s="23" t="str">
        <x:v>HOLD</x:v>
      </x:c>
    </x:row>
    <x:row r="109">
      <x:c r="B109" s="21" t="str">
        <x:v>F26-I3</x:v>
      </x:c>
      <x:c r="C109" s="21" t="str">
        <x:v>F26</x:v>
      </x:c>
      <x:c r="D109" s="21" t="str">
        <x:v>P05</x:v>
      </x:c>
      <x:c r="E109" s="21" t="str">
        <x:v>Position navigation and time restoration lattice increment 3</x:v>
      </x:c>
      <x:c r="F109" s="21" t="n">
        <x:v>3</x:v>
      </x:c>
      <x:c r="G109" s="21" t="n">
        <x:v>7</x:v>
      </x:c>
      <x:c r="H109" s="21" t="n">
        <x:v>12</x:v>
      </x:c>
      <x:c r="I109" s="21" t="str">
        <x:v>FPO-26</x:v>
      </x:c>
      <x:c r="J109" s="21" t="str">
        <x:v>TIO-07</x:v>
      </x:c>
      <x:c r="K109" s="44" t="n">
        <x:v>0.065</x:v>
      </x:c>
      <x:c r="L109" s="21" t="n">
        <x:v>3</x:v>
      </x:c>
      <x:c r="M109" s="21" t="n">
        <x:v>10</x:v>
      </x:c>
      <x:c r="N109" s="23" t="str">
        <x:v>HOLD</x:v>
      </x:c>
    </x:row>
    <x:row r="110">
      <x:c r="B110" s="21" t="str">
        <x:v>F26-I4</x:v>
      </x:c>
      <x:c r="C110" s="21" t="str">
        <x:v>F26</x:v>
      </x:c>
      <x:c r="D110" s="21" t="str">
        <x:v>P05</x:v>
      </x:c>
      <x:c r="E110" s="21" t="str">
        <x:v>Position navigation and time restoration lattice increment 4</x:v>
      </x:c>
      <x:c r="F110" s="21" t="n">
        <x:v>4</x:v>
      </x:c>
      <x:c r="G110" s="21" t="n">
        <x:v>8</x:v>
      </x:c>
      <x:c r="H110" s="21" t="n">
        <x:v>12</x:v>
      </x:c>
      <x:c r="I110" s="21" t="str">
        <x:v>FPO-26</x:v>
      </x:c>
      <x:c r="J110" s="21" t="str">
        <x:v>TIO-08</x:v>
      </x:c>
      <x:c r="K110" s="44" t="n">
        <x:v>0.065</x:v>
      </x:c>
      <x:c r="L110" s="21" t="n">
        <x:v>3</x:v>
      </x:c>
      <x:c r="M110" s="21" t="n">
        <x:v>10</x:v>
      </x:c>
      <x:c r="N110" s="23" t="str">
        <x:v>HOLD</x:v>
      </x:c>
    </x:row>
    <x:row r="111">
      <x:c r="B111" s="21" t="str">
        <x:v>F27-I1</x:v>
      </x:c>
      <x:c r="C111" s="21" t="str">
        <x:v>F27</x:v>
      </x:c>
      <x:c r="D111" s="21" t="str">
        <x:v>P06</x:v>
      </x:c>
      <x:c r="E111" s="21" t="str">
        <x:v>Heavy airlift relief carrier increment 1</x:v>
      </x:c>
      <x:c r="F111" s="21" t="n">
        <x:v>1</x:v>
      </x:c>
      <x:c r="G111" s="21" t="n">
        <x:v>9</x:v>
      </x:c>
      <x:c r="H111" s="21" t="n">
        <x:v>12</x:v>
      </x:c>
      <x:c r="I111" s="21" t="str">
        <x:v>FPO-27</x:v>
      </x:c>
      <x:c r="J111" s="21" t="str">
        <x:v>TIO-09</x:v>
      </x:c>
      <x:c r="K111" s="44" t="n">
        <x:v>0.08928571428571429</x:v>
      </x:c>
      <x:c r="L111" s="21" t="n">
        <x:v>3</x:v>
      </x:c>
      <x:c r="M111" s="21" t="n">
        <x:v>10</x:v>
      </x:c>
      <x:c r="N111" s="23" t="str">
        <x:v>HOLD</x:v>
      </x:c>
    </x:row>
    <x:row r="112">
      <x:c r="B112" s="21" t="str">
        <x:v>F27-I2</x:v>
      </x:c>
      <x:c r="C112" s="21" t="str">
        <x:v>F27</x:v>
      </x:c>
      <x:c r="D112" s="21" t="str">
        <x:v>P06</x:v>
      </x:c>
      <x:c r="E112" s="21" t="str">
        <x:v>Heavy airlift relief carrier increment 2</x:v>
      </x:c>
      <x:c r="F112" s="21" t="n">
        <x:v>2</x:v>
      </x:c>
      <x:c r="G112" s="21" t="n">
        <x:v>10</x:v>
      </x:c>
      <x:c r="H112" s="21" t="n">
        <x:v>12</x:v>
      </x:c>
      <x:c r="I112" s="21" t="str">
        <x:v>FPO-27</x:v>
      </x:c>
      <x:c r="J112" s="21" t="str">
        <x:v>TIO-10</x:v>
      </x:c>
      <x:c r="K112" s="44" t="n">
        <x:v>0.08928571428571429</x:v>
      </x:c>
      <x:c r="L112" s="21" t="n">
        <x:v>3</x:v>
      </x:c>
      <x:c r="M112" s="21" t="n">
        <x:v>10</x:v>
      </x:c>
      <x:c r="N112" s="23" t="str">
        <x:v>HOLD</x:v>
      </x:c>
    </x:row>
    <x:row r="113">
      <x:c r="B113" s="21" t="str">
        <x:v>F27-I3</x:v>
      </x:c>
      <x:c r="C113" s="21" t="str">
        <x:v>F27</x:v>
      </x:c>
      <x:c r="D113" s="21" t="str">
        <x:v>P06</x:v>
      </x:c>
      <x:c r="E113" s="21" t="str">
        <x:v>Heavy airlift relief carrier increment 3</x:v>
      </x:c>
      <x:c r="F113" s="21" t="n">
        <x:v>3</x:v>
      </x:c>
      <x:c r="G113" s="21" t="n">
        <x:v>11</x:v>
      </x:c>
      <x:c r="H113" s="21" t="n">
        <x:v>12</x:v>
      </x:c>
      <x:c r="I113" s="21" t="str">
        <x:v>FPO-27</x:v>
      </x:c>
      <x:c r="J113" s="21" t="str">
        <x:v>TIO-11</x:v>
      </x:c>
      <x:c r="K113" s="44" t="n">
        <x:v>0.08928571428571429</x:v>
      </x:c>
      <x:c r="L113" s="21" t="n">
        <x:v>3</x:v>
      </x:c>
      <x:c r="M113" s="21" t="n">
        <x:v>10</x:v>
      </x:c>
      <x:c r="N113" s="23" t="str">
        <x:v>HOLD</x:v>
      </x:c>
    </x:row>
    <x:row r="114">
      <x:c r="B114" s="21" t="str">
        <x:v>F27-I4</x:v>
      </x:c>
      <x:c r="C114" s="21" t="str">
        <x:v>F27</x:v>
      </x:c>
      <x:c r="D114" s="21" t="str">
        <x:v>P06</x:v>
      </x:c>
      <x:c r="E114" s="21" t="str">
        <x:v>Heavy airlift relief carrier increment 4</x:v>
      </x:c>
      <x:c r="F114" s="21" t="n">
        <x:v>4</x:v>
      </x:c>
      <x:c r="G114" s="21" t="n">
        <x:v>12</x:v>
      </x:c>
      <x:c r="H114" s="21" t="n">
        <x:v>12</x:v>
      </x:c>
      <x:c r="I114" s="21" t="str">
        <x:v>FPO-27</x:v>
      </x:c>
      <x:c r="J114" s="21" t="str">
        <x:v>TIO-12</x:v>
      </x:c>
      <x:c r="K114" s="44" t="n">
        <x:v>0.08928571428571429</x:v>
      </x:c>
      <x:c r="L114" s="21" t="n">
        <x:v>3</x:v>
      </x:c>
      <x:c r="M114" s="21" t="n">
        <x:v>10</x:v>
      </x:c>
      <x:c r="N114" s="23" t="str">
        <x:v>HOLD</x:v>
      </x:c>
    </x:row>
    <x:row r="115">
      <x:c r="B115" s="21" t="str">
        <x:v>F28-I1</x:v>
      </x:c>
      <x:c r="C115" s="21" t="str">
        <x:v>F28</x:v>
      </x:c>
      <x:c r="D115" s="21" t="str">
        <x:v>P06</x:v>
      </x:c>
      <x:c r="E115" s="21" t="str">
        <x:v>Vertical-access and evacuation aircraft increment 1</x:v>
      </x:c>
      <x:c r="F115" s="21" t="n">
        <x:v>1</x:v>
      </x:c>
      <x:c r="G115" s="21" t="n">
        <x:v>13</x:v>
      </x:c>
      <x:c r="H115" s="21" t="n">
        <x:v>12</x:v>
      </x:c>
      <x:c r="I115" s="21" t="str">
        <x:v>FPO-28</x:v>
      </x:c>
      <x:c r="J115" s="21" t="str">
        <x:v>TIO-13</x:v>
      </x:c>
      <x:c r="K115" s="44" t="n">
        <x:v>0.08928571428571429</x:v>
      </x:c>
      <x:c r="L115" s="21" t="n">
        <x:v>3</x:v>
      </x:c>
      <x:c r="M115" s="21" t="n">
        <x:v>10</x:v>
      </x:c>
      <x:c r="N115" s="23" t="str">
        <x:v>HOLD</x:v>
      </x:c>
    </x:row>
    <x:row r="116">
      <x:c r="B116" s="21" t="str">
        <x:v>F28-I2</x:v>
      </x:c>
      <x:c r="C116" s="21" t="str">
        <x:v>F28</x:v>
      </x:c>
      <x:c r="D116" s="21" t="str">
        <x:v>P06</x:v>
      </x:c>
      <x:c r="E116" s="21" t="str">
        <x:v>Vertical-access and evacuation aircraft increment 2</x:v>
      </x:c>
      <x:c r="F116" s="21" t="n">
        <x:v>2</x:v>
      </x:c>
      <x:c r="G116" s="21" t="n">
        <x:v>14</x:v>
      </x:c>
      <x:c r="H116" s="21" t="n">
        <x:v>12</x:v>
      </x:c>
      <x:c r="I116" s="21" t="str">
        <x:v>FPO-28</x:v>
      </x:c>
      <x:c r="J116" s="21" t="str">
        <x:v>TIO-14</x:v>
      </x:c>
      <x:c r="K116" s="44" t="n">
        <x:v>0.08928571428571429</x:v>
      </x:c>
      <x:c r="L116" s="21" t="n">
        <x:v>3</x:v>
      </x:c>
      <x:c r="M116" s="21" t="n">
        <x:v>10</x:v>
      </x:c>
      <x:c r="N116" s="23" t="str">
        <x:v>HOLD</x:v>
      </x:c>
    </x:row>
    <x:row r="117">
      <x:c r="B117" s="21" t="str">
        <x:v>F28-I3</x:v>
      </x:c>
      <x:c r="C117" s="21" t="str">
        <x:v>F28</x:v>
      </x:c>
      <x:c r="D117" s="21" t="str">
        <x:v>P06</x:v>
      </x:c>
      <x:c r="E117" s="21" t="str">
        <x:v>Vertical-access and evacuation aircraft increment 3</x:v>
      </x:c>
      <x:c r="F117" s="21" t="n">
        <x:v>3</x:v>
      </x:c>
      <x:c r="G117" s="21" t="n">
        <x:v>15</x:v>
      </x:c>
      <x:c r="H117" s="21" t="n">
        <x:v>12</x:v>
      </x:c>
      <x:c r="I117" s="21" t="str">
        <x:v>FPO-28</x:v>
      </x:c>
      <x:c r="J117" s="21" t="str">
        <x:v>TIO-15</x:v>
      </x:c>
      <x:c r="K117" s="44" t="n">
        <x:v>0.08928571428571429</x:v>
      </x:c>
      <x:c r="L117" s="21" t="n">
        <x:v>3</x:v>
      </x:c>
      <x:c r="M117" s="21" t="n">
        <x:v>10</x:v>
      </x:c>
      <x:c r="N117" s="23" t="str">
        <x:v>HOLD</x:v>
      </x:c>
    </x:row>
    <x:row r="118">
      <x:c r="B118" s="21" t="str">
        <x:v>F28-I4</x:v>
      </x:c>
      <x:c r="C118" s="21" t="str">
        <x:v>F28</x:v>
      </x:c>
      <x:c r="D118" s="21" t="str">
        <x:v>P06</x:v>
      </x:c>
      <x:c r="E118" s="21" t="str">
        <x:v>Vertical-access and evacuation aircraft increment 4</x:v>
      </x:c>
      <x:c r="F118" s="21" t="n">
        <x:v>4</x:v>
      </x:c>
      <x:c r="G118" s="21" t="n">
        <x:v>16</x:v>
      </x:c>
      <x:c r="H118" s="21" t="n">
        <x:v>12</x:v>
      </x:c>
      <x:c r="I118" s="21" t="str">
        <x:v>FPO-28</x:v>
      </x:c>
      <x:c r="J118" s="21" t="str">
        <x:v>TIO-16</x:v>
      </x:c>
      <x:c r="K118" s="44" t="n">
        <x:v>0.08928571428571429</x:v>
      </x:c>
      <x:c r="L118" s="21" t="n">
        <x:v>3</x:v>
      </x:c>
      <x:c r="M118" s="21" t="n">
        <x:v>10</x:v>
      </x:c>
      <x:c r="N118" s="23" t="str">
        <x:v>HOLD</x:v>
      </x:c>
    </x:row>
    <x:row r="119">
      <x:c r="B119" s="21" t="str">
        <x:v>F29-I1</x:v>
      </x:c>
      <x:c r="C119" s="21" t="str">
        <x:v>F29</x:v>
      </x:c>
      <x:c r="D119" s="21" t="str">
        <x:v>P06</x:v>
      </x:c>
      <x:c r="E119" s="21" t="str">
        <x:v>Littoral response carrier increment 1</x:v>
      </x:c>
      <x:c r="F119" s="21" t="n">
        <x:v>1</x:v>
      </x:c>
      <x:c r="G119" s="21" t="n">
        <x:v>1</x:v>
      </x:c>
      <x:c r="H119" s="21" t="n">
        <x:v>12</x:v>
      </x:c>
      <x:c r="I119" s="21" t="str">
        <x:v>FPO-29</x:v>
      </x:c>
      <x:c r="J119" s="21" t="str">
        <x:v>TIO-01</x:v>
      </x:c>
      <x:c r="K119" s="44" t="n">
        <x:v>0.08928571428571429</x:v>
      </x:c>
      <x:c r="L119" s="21" t="n">
        <x:v>3</x:v>
      </x:c>
      <x:c r="M119" s="21" t="n">
        <x:v>10</x:v>
      </x:c>
      <x:c r="N119" s="23" t="str">
        <x:v>HOLD</x:v>
      </x:c>
    </x:row>
    <x:row r="120">
      <x:c r="B120" s="21" t="str">
        <x:v>F29-I2</x:v>
      </x:c>
      <x:c r="C120" s="21" t="str">
        <x:v>F29</x:v>
      </x:c>
      <x:c r="D120" s="21" t="str">
        <x:v>P06</x:v>
      </x:c>
      <x:c r="E120" s="21" t="str">
        <x:v>Littoral response carrier increment 2</x:v>
      </x:c>
      <x:c r="F120" s="21" t="n">
        <x:v>2</x:v>
      </x:c>
      <x:c r="G120" s="21" t="n">
        <x:v>2</x:v>
      </x:c>
      <x:c r="H120" s="21" t="n">
        <x:v>12</x:v>
      </x:c>
      <x:c r="I120" s="21" t="str">
        <x:v>FPO-29</x:v>
      </x:c>
      <x:c r="J120" s="21" t="str">
        <x:v>TIO-02</x:v>
      </x:c>
      <x:c r="K120" s="44" t="n">
        <x:v>0.08928571428571429</x:v>
      </x:c>
      <x:c r="L120" s="21" t="n">
        <x:v>3</x:v>
      </x:c>
      <x:c r="M120" s="21" t="n">
        <x:v>10</x:v>
      </x:c>
      <x:c r="N120" s="23" t="str">
        <x:v>HOLD</x:v>
      </x:c>
    </x:row>
    <x:row r="121">
      <x:c r="B121" s="21" t="str">
        <x:v>F29-I3</x:v>
      </x:c>
      <x:c r="C121" s="21" t="str">
        <x:v>F29</x:v>
      </x:c>
      <x:c r="D121" s="21" t="str">
        <x:v>P06</x:v>
      </x:c>
      <x:c r="E121" s="21" t="str">
        <x:v>Littoral response carrier increment 3</x:v>
      </x:c>
      <x:c r="F121" s="21" t="n">
        <x:v>3</x:v>
      </x:c>
      <x:c r="G121" s="21" t="n">
        <x:v>3</x:v>
      </x:c>
      <x:c r="H121" s="21" t="n">
        <x:v>12</x:v>
      </x:c>
      <x:c r="I121" s="21" t="str">
        <x:v>FPO-29</x:v>
      </x:c>
      <x:c r="J121" s="21" t="str">
        <x:v>TIO-03</x:v>
      </x:c>
      <x:c r="K121" s="44" t="n">
        <x:v>0.08928571428571429</x:v>
      </x:c>
      <x:c r="L121" s="21" t="n">
        <x:v>3</x:v>
      </x:c>
      <x:c r="M121" s="21" t="n">
        <x:v>10</x:v>
      </x:c>
      <x:c r="N121" s="23" t="str">
        <x:v>HOLD</x:v>
      </x:c>
    </x:row>
    <x:row r="122">
      <x:c r="B122" s="21" t="str">
        <x:v>F29-I4</x:v>
      </x:c>
      <x:c r="C122" s="21" t="str">
        <x:v>F29</x:v>
      </x:c>
      <x:c r="D122" s="21" t="str">
        <x:v>P06</x:v>
      </x:c>
      <x:c r="E122" s="21" t="str">
        <x:v>Littoral response carrier increment 4</x:v>
      </x:c>
      <x:c r="F122" s="21" t="n">
        <x:v>4</x:v>
      </x:c>
      <x:c r="G122" s="21" t="n">
        <x:v>4</x:v>
      </x:c>
      <x:c r="H122" s="21" t="n">
        <x:v>12</x:v>
      </x:c>
      <x:c r="I122" s="21" t="str">
        <x:v>FPO-29</x:v>
      </x:c>
      <x:c r="J122" s="21" t="str">
        <x:v>TIO-04</x:v>
      </x:c>
      <x:c r="K122" s="44" t="n">
        <x:v>0.08928571428571429</x:v>
      </x:c>
      <x:c r="L122" s="21" t="n">
        <x:v>3</x:v>
      </x:c>
      <x:c r="M122" s="21" t="n">
        <x:v>10</x:v>
      </x:c>
      <x:c r="N122" s="23" t="str">
        <x:v>HOLD</x:v>
      </x:c>
    </x:row>
    <x:row r="123">
      <x:c r="B123" s="21" t="str">
        <x:v>F30-I1</x:v>
      </x:c>
      <x:c r="C123" s="21" t="str">
        <x:v>F30</x:v>
      </x:c>
      <x:c r="D123" s="21" t="str">
        <x:v>P06</x:v>
      </x:c>
      <x:c r="E123" s="21" t="str">
        <x:v>Riverine access train increment 1</x:v>
      </x:c>
      <x:c r="F123" s="21" t="n">
        <x:v>1</x:v>
      </x:c>
      <x:c r="G123" s="21" t="n">
        <x:v>5</x:v>
      </x:c>
      <x:c r="H123" s="21" t="n">
        <x:v>12</x:v>
      </x:c>
      <x:c r="I123" s="21" t="str">
        <x:v>FPO-30</x:v>
      </x:c>
      <x:c r="J123" s="21" t="str">
        <x:v>TIO-05</x:v>
      </x:c>
      <x:c r="K123" s="44" t="n">
        <x:v>0.08928571428571429</x:v>
      </x:c>
      <x:c r="L123" s="21" t="n">
        <x:v>3</x:v>
      </x:c>
      <x:c r="M123" s="21" t="n">
        <x:v>10</x:v>
      </x:c>
      <x:c r="N123" s="23" t="str">
        <x:v>HOLD</x:v>
      </x:c>
    </x:row>
    <x:row r="124">
      <x:c r="B124" s="21" t="str">
        <x:v>F30-I2</x:v>
      </x:c>
      <x:c r="C124" s="21" t="str">
        <x:v>F30</x:v>
      </x:c>
      <x:c r="D124" s="21" t="str">
        <x:v>P06</x:v>
      </x:c>
      <x:c r="E124" s="21" t="str">
        <x:v>Riverine access train increment 2</x:v>
      </x:c>
      <x:c r="F124" s="21" t="n">
        <x:v>2</x:v>
      </x:c>
      <x:c r="G124" s="21" t="n">
        <x:v>6</x:v>
      </x:c>
      <x:c r="H124" s="21" t="n">
        <x:v>12</x:v>
      </x:c>
      <x:c r="I124" s="21" t="str">
        <x:v>FPO-30</x:v>
      </x:c>
      <x:c r="J124" s="21" t="str">
        <x:v>TIO-06</x:v>
      </x:c>
      <x:c r="K124" s="44" t="n">
        <x:v>0.08928571428571429</x:v>
      </x:c>
      <x:c r="L124" s="21" t="n">
        <x:v>3</x:v>
      </x:c>
      <x:c r="M124" s="21" t="n">
        <x:v>10</x:v>
      </x:c>
      <x:c r="N124" s="23" t="str">
        <x:v>HOLD</x:v>
      </x:c>
    </x:row>
    <x:row r="125">
      <x:c r="B125" s="21" t="str">
        <x:v>F30-I3</x:v>
      </x:c>
      <x:c r="C125" s="21" t="str">
        <x:v>F30</x:v>
      </x:c>
      <x:c r="D125" s="21" t="str">
        <x:v>P06</x:v>
      </x:c>
      <x:c r="E125" s="21" t="str">
        <x:v>Riverine access train increment 3</x:v>
      </x:c>
      <x:c r="F125" s="21" t="n">
        <x:v>3</x:v>
      </x:c>
      <x:c r="G125" s="21" t="n">
        <x:v>7</x:v>
      </x:c>
      <x:c r="H125" s="21" t="n">
        <x:v>12</x:v>
      </x:c>
      <x:c r="I125" s="21" t="str">
        <x:v>FPO-30</x:v>
      </x:c>
      <x:c r="J125" s="21" t="str">
        <x:v>TIO-07</x:v>
      </x:c>
      <x:c r="K125" s="44" t="n">
        <x:v>0.08928571428571429</x:v>
      </x:c>
      <x:c r="L125" s="21" t="n">
        <x:v>3</x:v>
      </x:c>
      <x:c r="M125" s="21" t="n">
        <x:v>10</x:v>
      </x:c>
      <x:c r="N125" s="23" t="str">
        <x:v>HOLD</x:v>
      </x:c>
    </x:row>
    <x:row r="126">
      <x:c r="B126" s="21" t="str">
        <x:v>F30-I4</x:v>
      </x:c>
      <x:c r="C126" s="21" t="str">
        <x:v>F30</x:v>
      </x:c>
      <x:c r="D126" s="21" t="str">
        <x:v>P06</x:v>
      </x:c>
      <x:c r="E126" s="21" t="str">
        <x:v>Riverine access train increment 4</x:v>
      </x:c>
      <x:c r="F126" s="21" t="n">
        <x:v>4</x:v>
      </x:c>
      <x:c r="G126" s="21" t="n">
        <x:v>8</x:v>
      </x:c>
      <x:c r="H126" s="21" t="n">
        <x:v>12</x:v>
      </x:c>
      <x:c r="I126" s="21" t="str">
        <x:v>FPO-30</x:v>
      </x:c>
      <x:c r="J126" s="21" t="str">
        <x:v>TIO-08</x:v>
      </x:c>
      <x:c r="K126" s="44" t="n">
        <x:v>0.08928571428571429</x:v>
      </x:c>
      <x:c r="L126" s="21" t="n">
        <x:v>3</x:v>
      </x:c>
      <x:c r="M126" s="21" t="n">
        <x:v>10</x:v>
      </x:c>
      <x:c r="N126" s="23" t="str">
        <x:v>HOLD</x:v>
      </x:c>
    </x:row>
    <x:row r="127">
      <x:c r="B127" s="21" t="str">
        <x:v>F31-I1</x:v>
      </x:c>
      <x:c r="C127" s="21" t="str">
        <x:v>F31</x:v>
      </x:c>
      <x:c r="D127" s="21" t="str">
        <x:v>P06</x:v>
      </x:c>
      <x:c r="E127" s="21" t="str">
        <x:v>Autonomous ground-logistics convoy increment 1</x:v>
      </x:c>
      <x:c r="F127" s="21" t="n">
        <x:v>1</x:v>
      </x:c>
      <x:c r="G127" s="21" t="n">
        <x:v>9</x:v>
      </x:c>
      <x:c r="H127" s="21" t="n">
        <x:v>12</x:v>
      </x:c>
      <x:c r="I127" s="21" t="str">
        <x:v>FPO-31</x:v>
      </x:c>
      <x:c r="J127" s="21" t="str">
        <x:v>TIO-09</x:v>
      </x:c>
      <x:c r="K127" s="44" t="n">
        <x:v>0.08928571428571429</x:v>
      </x:c>
      <x:c r="L127" s="21" t="n">
        <x:v>3</x:v>
      </x:c>
      <x:c r="M127" s="21" t="n">
        <x:v>10</x:v>
      </x:c>
      <x:c r="N127" s="23" t="str">
        <x:v>HOLD</x:v>
      </x:c>
    </x:row>
    <x:row r="128">
      <x:c r="B128" s="21" t="str">
        <x:v>F31-I2</x:v>
      </x:c>
      <x:c r="C128" s="21" t="str">
        <x:v>F31</x:v>
      </x:c>
      <x:c r="D128" s="21" t="str">
        <x:v>P06</x:v>
      </x:c>
      <x:c r="E128" s="21" t="str">
        <x:v>Autonomous ground-logistics convoy increment 2</x:v>
      </x:c>
      <x:c r="F128" s="21" t="n">
        <x:v>2</x:v>
      </x:c>
      <x:c r="G128" s="21" t="n">
        <x:v>10</x:v>
      </x:c>
      <x:c r="H128" s="21" t="n">
        <x:v>12</x:v>
      </x:c>
      <x:c r="I128" s="21" t="str">
        <x:v>FPO-31</x:v>
      </x:c>
      <x:c r="J128" s="21" t="str">
        <x:v>TIO-10</x:v>
      </x:c>
      <x:c r="K128" s="44" t="n">
        <x:v>0.08928571428571429</x:v>
      </x:c>
      <x:c r="L128" s="21" t="n">
        <x:v>3</x:v>
      </x:c>
      <x:c r="M128" s="21" t="n">
        <x:v>10</x:v>
      </x:c>
      <x:c r="N128" s="23" t="str">
        <x:v>HOLD</x:v>
      </x:c>
    </x:row>
    <x:row r="129">
      <x:c r="B129" s="21" t="str">
        <x:v>F31-I3</x:v>
      </x:c>
      <x:c r="C129" s="21" t="str">
        <x:v>F31</x:v>
      </x:c>
      <x:c r="D129" s="21" t="str">
        <x:v>P06</x:v>
      </x:c>
      <x:c r="E129" s="21" t="str">
        <x:v>Autonomous ground-logistics convoy increment 3</x:v>
      </x:c>
      <x:c r="F129" s="21" t="n">
        <x:v>3</x:v>
      </x:c>
      <x:c r="G129" s="21" t="n">
        <x:v>11</x:v>
      </x:c>
      <x:c r="H129" s="21" t="n">
        <x:v>12</x:v>
      </x:c>
      <x:c r="I129" s="21" t="str">
        <x:v>FPO-31</x:v>
      </x:c>
      <x:c r="J129" s="21" t="str">
        <x:v>TIO-11</x:v>
      </x:c>
      <x:c r="K129" s="44" t="n">
        <x:v>0.08928571428571429</x:v>
      </x:c>
      <x:c r="L129" s="21" t="n">
        <x:v>3</x:v>
      </x:c>
      <x:c r="M129" s="21" t="n">
        <x:v>10</x:v>
      </x:c>
      <x:c r="N129" s="23" t="str">
        <x:v>HOLD</x:v>
      </x:c>
    </x:row>
    <x:row r="130">
      <x:c r="B130" s="21" t="str">
        <x:v>F31-I4</x:v>
      </x:c>
      <x:c r="C130" s="21" t="str">
        <x:v>F31</x:v>
      </x:c>
      <x:c r="D130" s="21" t="str">
        <x:v>P06</x:v>
      </x:c>
      <x:c r="E130" s="21" t="str">
        <x:v>Autonomous ground-logistics convoy increment 4</x:v>
      </x:c>
      <x:c r="F130" s="21" t="n">
        <x:v>4</x:v>
      </x:c>
      <x:c r="G130" s="21" t="n">
        <x:v>12</x:v>
      </x:c>
      <x:c r="H130" s="21" t="n">
        <x:v>12</x:v>
      </x:c>
      <x:c r="I130" s="21" t="str">
        <x:v>FPO-31</x:v>
      </x:c>
      <x:c r="J130" s="21" t="str">
        <x:v>TIO-12</x:v>
      </x:c>
      <x:c r="K130" s="44" t="n">
        <x:v>0.08928571428571429</x:v>
      </x:c>
      <x:c r="L130" s="21" t="n">
        <x:v>3</x:v>
      </x:c>
      <x:c r="M130" s="21" t="n">
        <x:v>10</x:v>
      </x:c>
      <x:c r="N130" s="23" t="str">
        <x:v>HOLD</x:v>
      </x:c>
    </x:row>
    <x:row r="131">
      <x:c r="B131" s="21" t="str">
        <x:v>F32-I1</x:v>
      </x:c>
      <x:c r="C131" s="21" t="str">
        <x:v>F32</x:v>
      </x:c>
      <x:c r="D131" s="21" t="str">
        <x:v>P06</x:v>
      </x:c>
      <x:c r="E131" s="21" t="str">
        <x:v>Rapid bridge and causeway system increment 1</x:v>
      </x:c>
      <x:c r="F131" s="21" t="n">
        <x:v>1</x:v>
      </x:c>
      <x:c r="G131" s="21" t="n">
        <x:v>13</x:v>
      </x:c>
      <x:c r="H131" s="21" t="n">
        <x:v>12</x:v>
      </x:c>
      <x:c r="I131" s="21" t="str">
        <x:v>FPO-32</x:v>
      </x:c>
      <x:c r="J131" s="21" t="str">
        <x:v>TIO-13</x:v>
      </x:c>
      <x:c r="K131" s="44" t="n">
        <x:v>0.08928571428571429</x:v>
      </x:c>
      <x:c r="L131" s="21" t="n">
        <x:v>3</x:v>
      </x:c>
      <x:c r="M131" s="21" t="n">
        <x:v>10</x:v>
      </x:c>
      <x:c r="N131" s="23" t="str">
        <x:v>HOLD</x:v>
      </x:c>
    </x:row>
    <x:row r="132">
      <x:c r="B132" s="21" t="str">
        <x:v>F32-I2</x:v>
      </x:c>
      <x:c r="C132" s="21" t="str">
        <x:v>F32</x:v>
      </x:c>
      <x:c r="D132" s="21" t="str">
        <x:v>P06</x:v>
      </x:c>
      <x:c r="E132" s="21" t="str">
        <x:v>Rapid bridge and causeway system increment 2</x:v>
      </x:c>
      <x:c r="F132" s="21" t="n">
        <x:v>2</x:v>
      </x:c>
      <x:c r="G132" s="21" t="n">
        <x:v>14</x:v>
      </x:c>
      <x:c r="H132" s="21" t="n">
        <x:v>12</x:v>
      </x:c>
      <x:c r="I132" s="21" t="str">
        <x:v>FPO-32</x:v>
      </x:c>
      <x:c r="J132" s="21" t="str">
        <x:v>TIO-14</x:v>
      </x:c>
      <x:c r="K132" s="44" t="n">
        <x:v>0.08928571428571429</x:v>
      </x:c>
      <x:c r="L132" s="21" t="n">
        <x:v>3</x:v>
      </x:c>
      <x:c r="M132" s="21" t="n">
        <x:v>10</x:v>
      </x:c>
      <x:c r="N132" s="23" t="str">
        <x:v>HOLD</x:v>
      </x:c>
    </x:row>
    <x:row r="133">
      <x:c r="B133" s="21" t="str">
        <x:v>F32-I3</x:v>
      </x:c>
      <x:c r="C133" s="21" t="str">
        <x:v>F32</x:v>
      </x:c>
      <x:c r="D133" s="21" t="str">
        <x:v>P06</x:v>
      </x:c>
      <x:c r="E133" s="21" t="str">
        <x:v>Rapid bridge and causeway system increment 3</x:v>
      </x:c>
      <x:c r="F133" s="21" t="n">
        <x:v>3</x:v>
      </x:c>
      <x:c r="G133" s="21" t="n">
        <x:v>15</x:v>
      </x:c>
      <x:c r="H133" s="21" t="n">
        <x:v>12</x:v>
      </x:c>
      <x:c r="I133" s="21" t="str">
        <x:v>FPO-32</x:v>
      </x:c>
      <x:c r="J133" s="21" t="str">
        <x:v>TIO-15</x:v>
      </x:c>
      <x:c r="K133" s="44" t="n">
        <x:v>0.08928571428571429</x:v>
      </x:c>
      <x:c r="L133" s="21" t="n">
        <x:v>3</x:v>
      </x:c>
      <x:c r="M133" s="21" t="n">
        <x:v>10</x:v>
      </x:c>
      <x:c r="N133" s="23" t="str">
        <x:v>HOLD</x:v>
      </x:c>
    </x:row>
    <x:row r="134">
      <x:c r="B134" s="21" t="str">
        <x:v>F32-I4</x:v>
      </x:c>
      <x:c r="C134" s="21" t="str">
        <x:v>F32</x:v>
      </x:c>
      <x:c r="D134" s="21" t="str">
        <x:v>P06</x:v>
      </x:c>
      <x:c r="E134" s="21" t="str">
        <x:v>Rapid bridge and causeway system increment 4</x:v>
      </x:c>
      <x:c r="F134" s="21" t="n">
        <x:v>4</x:v>
      </x:c>
      <x:c r="G134" s="21" t="n">
        <x:v>16</x:v>
      </x:c>
      <x:c r="H134" s="21" t="n">
        <x:v>12</x:v>
      </x:c>
      <x:c r="I134" s="21" t="str">
        <x:v>FPO-32</x:v>
      </x:c>
      <x:c r="J134" s="21" t="str">
        <x:v>TIO-16</x:v>
      </x:c>
      <x:c r="K134" s="44" t="n">
        <x:v>0.08928571428571429</x:v>
      </x:c>
      <x:c r="L134" s="21" t="n">
        <x:v>3</x:v>
      </x:c>
      <x:c r="M134" s="21" t="n">
        <x:v>10</x:v>
      </x:c>
      <x:c r="N134" s="23" t="str">
        <x:v>HOLD</x:v>
      </x:c>
    </x:row>
    <x:row r="135">
      <x:c r="B135" s="21" t="str">
        <x:v>F33-I1</x:v>
      </x:c>
      <x:c r="C135" s="21" t="str">
        <x:v>F33</x:v>
      </x:c>
      <x:c r="D135" s="21" t="str">
        <x:v>P06</x:v>
      </x:c>
      <x:c r="E135" s="21" t="str">
        <x:v>Port rail and airfield restoration complex increment 1</x:v>
      </x:c>
      <x:c r="F135" s="21" t="n">
        <x:v>1</x:v>
      </x:c>
      <x:c r="G135" s="21" t="n">
        <x:v>1</x:v>
      </x:c>
      <x:c r="H135" s="21" t="n">
        <x:v>12</x:v>
      </x:c>
      <x:c r="I135" s="21" t="str">
        <x:v>FPO-33</x:v>
      </x:c>
      <x:c r="J135" s="21" t="str">
        <x:v>TIO-01</x:v>
      </x:c>
      <x:c r="K135" s="44" t="n">
        <x:v>0.08928571428571429</x:v>
      </x:c>
      <x:c r="L135" s="21" t="n">
        <x:v>3</x:v>
      </x:c>
      <x:c r="M135" s="21" t="n">
        <x:v>10</x:v>
      </x:c>
      <x:c r="N135" s="23" t="str">
        <x:v>HOLD</x:v>
      </x:c>
    </x:row>
    <x:row r="136">
      <x:c r="B136" s="21" t="str">
        <x:v>F33-I2</x:v>
      </x:c>
      <x:c r="C136" s="21" t="str">
        <x:v>F33</x:v>
      </x:c>
      <x:c r="D136" s="21" t="str">
        <x:v>P06</x:v>
      </x:c>
      <x:c r="E136" s="21" t="str">
        <x:v>Port rail and airfield restoration complex increment 2</x:v>
      </x:c>
      <x:c r="F136" s="21" t="n">
        <x:v>2</x:v>
      </x:c>
      <x:c r="G136" s="21" t="n">
        <x:v>2</x:v>
      </x:c>
      <x:c r="H136" s="21" t="n">
        <x:v>12</x:v>
      </x:c>
      <x:c r="I136" s="21" t="str">
        <x:v>FPO-33</x:v>
      </x:c>
      <x:c r="J136" s="21" t="str">
        <x:v>TIO-02</x:v>
      </x:c>
      <x:c r="K136" s="44" t="n">
        <x:v>0.08928571428571429</x:v>
      </x:c>
      <x:c r="L136" s="21" t="n">
        <x:v>3</x:v>
      </x:c>
      <x:c r="M136" s="21" t="n">
        <x:v>10</x:v>
      </x:c>
      <x:c r="N136" s="23" t="str">
        <x:v>HOLD</x:v>
      </x:c>
    </x:row>
    <x:row r="137">
      <x:c r="B137" s="21" t="str">
        <x:v>F33-I3</x:v>
      </x:c>
      <x:c r="C137" s="21" t="str">
        <x:v>F33</x:v>
      </x:c>
      <x:c r="D137" s="21" t="str">
        <x:v>P06</x:v>
      </x:c>
      <x:c r="E137" s="21" t="str">
        <x:v>Port rail and airfield restoration complex increment 3</x:v>
      </x:c>
      <x:c r="F137" s="21" t="n">
        <x:v>3</x:v>
      </x:c>
      <x:c r="G137" s="21" t="n">
        <x:v>3</x:v>
      </x:c>
      <x:c r="H137" s="21" t="n">
        <x:v>12</x:v>
      </x:c>
      <x:c r="I137" s="21" t="str">
        <x:v>FPO-33</x:v>
      </x:c>
      <x:c r="J137" s="21" t="str">
        <x:v>TIO-03</x:v>
      </x:c>
      <x:c r="K137" s="44" t="n">
        <x:v>0.08928571428571429</x:v>
      </x:c>
      <x:c r="L137" s="21" t="n">
        <x:v>3</x:v>
      </x:c>
      <x:c r="M137" s="21" t="n">
        <x:v>10</x:v>
      </x:c>
      <x:c r="N137" s="23" t="str">
        <x:v>HOLD</x:v>
      </x:c>
    </x:row>
    <x:row r="138">
      <x:c r="B138" s="21" t="str">
        <x:v>F33-I4</x:v>
      </x:c>
      <x:c r="C138" s="21" t="str">
        <x:v>F33</x:v>
      </x:c>
      <x:c r="D138" s="21" t="str">
        <x:v>P06</x:v>
      </x:c>
      <x:c r="E138" s="21" t="str">
        <x:v>Port rail and airfield restoration complex increment 4</x:v>
      </x:c>
      <x:c r="F138" s="21" t="n">
        <x:v>4</x:v>
      </x:c>
      <x:c r="G138" s="21" t="n">
        <x:v>4</x:v>
      </x:c>
      <x:c r="H138" s="21" t="n">
        <x:v>12</x:v>
      </x:c>
      <x:c r="I138" s="21" t="str">
        <x:v>FPO-33</x:v>
      </x:c>
      <x:c r="J138" s="21" t="str">
        <x:v>TIO-04</x:v>
      </x:c>
      <x:c r="K138" s="44" t="n">
        <x:v>0.08928571428571429</x:v>
      </x:c>
      <x:c r="L138" s="21" t="n">
        <x:v>3</x:v>
      </x:c>
      <x:c r="M138" s="21" t="n">
        <x:v>10</x:v>
      </x:c>
      <x:c r="N138" s="23" t="str">
        <x:v>HOLD</x:v>
      </x:c>
    </x:row>
    <x:row r="139">
      <x:c r="B139" s="21" t="str">
        <x:v>F34-I1</x:v>
      </x:c>
      <x:c r="C139" s="21" t="str">
        <x:v>F34</x:v>
      </x:c>
      <x:c r="D139" s="21" t="str">
        <x:v>P07</x:v>
      </x:c>
      <x:c r="E139" s="21" t="str">
        <x:v>Floating nuclear desalination utility increment 1</x:v>
      </x:c>
      <x:c r="F139" s="21" t="n">
        <x:v>1</x:v>
      </x:c>
      <x:c r="G139" s="21" t="n">
        <x:v>5</x:v>
      </x:c>
      <x:c r="H139" s="21" t="n">
        <x:v>12</x:v>
      </x:c>
      <x:c r="I139" s="21" t="str">
        <x:v>FPO-34</x:v>
      </x:c>
      <x:c r="J139" s="21" t="str">
        <x:v>TIO-05</x:v>
      </x:c>
      <x:c r="K139" s="44" t="n">
        <x:v>0.08499999999999999</x:v>
      </x:c>
      <x:c r="L139" s="21" t="n">
        <x:v>3</x:v>
      </x:c>
      <x:c r="M139" s="21" t="n">
        <x:v>10</x:v>
      </x:c>
      <x:c r="N139" s="23" t="str">
        <x:v>HOLD</x:v>
      </x:c>
    </x:row>
    <x:row r="140">
      <x:c r="B140" s="21" t="str">
        <x:v>F34-I2</x:v>
      </x:c>
      <x:c r="C140" s="21" t="str">
        <x:v>F34</x:v>
      </x:c>
      <x:c r="D140" s="21" t="str">
        <x:v>P07</x:v>
      </x:c>
      <x:c r="E140" s="21" t="str">
        <x:v>Floating nuclear desalination utility increment 2</x:v>
      </x:c>
      <x:c r="F140" s="21" t="n">
        <x:v>2</x:v>
      </x:c>
      <x:c r="G140" s="21" t="n">
        <x:v>6</x:v>
      </x:c>
      <x:c r="H140" s="21" t="n">
        <x:v>12</x:v>
      </x:c>
      <x:c r="I140" s="21" t="str">
        <x:v>FPO-34</x:v>
      </x:c>
      <x:c r="J140" s="21" t="str">
        <x:v>TIO-06</x:v>
      </x:c>
      <x:c r="K140" s="44" t="n">
        <x:v>0.08499999999999999</x:v>
      </x:c>
      <x:c r="L140" s="21" t="n">
        <x:v>3</x:v>
      </x:c>
      <x:c r="M140" s="21" t="n">
        <x:v>10</x:v>
      </x:c>
      <x:c r="N140" s="23" t="str">
        <x:v>HOLD</x:v>
      </x:c>
    </x:row>
    <x:row r="141">
      <x:c r="B141" s="21" t="str">
        <x:v>F34-I3</x:v>
      </x:c>
      <x:c r="C141" s="21" t="str">
        <x:v>F34</x:v>
      </x:c>
      <x:c r="D141" s="21" t="str">
        <x:v>P07</x:v>
      </x:c>
      <x:c r="E141" s="21" t="str">
        <x:v>Floating nuclear desalination utility increment 3</x:v>
      </x:c>
      <x:c r="F141" s="21" t="n">
        <x:v>3</x:v>
      </x:c>
      <x:c r="G141" s="21" t="n">
        <x:v>7</x:v>
      </x:c>
      <x:c r="H141" s="21" t="n">
        <x:v>12</x:v>
      </x:c>
      <x:c r="I141" s="21" t="str">
        <x:v>FPO-34</x:v>
      </x:c>
      <x:c r="J141" s="21" t="str">
        <x:v>TIO-07</x:v>
      </x:c>
      <x:c r="K141" s="44" t="n">
        <x:v>0.08499999999999999</x:v>
      </x:c>
      <x:c r="L141" s="21" t="n">
        <x:v>3</x:v>
      </x:c>
      <x:c r="M141" s="21" t="n">
        <x:v>10</x:v>
      </x:c>
      <x:c r="N141" s="23" t="str">
        <x:v>HOLD</x:v>
      </x:c>
    </x:row>
    <x:row r="142">
      <x:c r="B142" s="21" t="str">
        <x:v>F34-I4</x:v>
      </x:c>
      <x:c r="C142" s="21" t="str">
        <x:v>F34</x:v>
      </x:c>
      <x:c r="D142" s="21" t="str">
        <x:v>P07</x:v>
      </x:c>
      <x:c r="E142" s="21" t="str">
        <x:v>Floating nuclear desalination utility increment 4</x:v>
      </x:c>
      <x:c r="F142" s="21" t="n">
        <x:v>4</x:v>
      </x:c>
      <x:c r="G142" s="21" t="n">
        <x:v>8</x:v>
      </x:c>
      <x:c r="H142" s="21" t="n">
        <x:v>12</x:v>
      </x:c>
      <x:c r="I142" s="21" t="str">
        <x:v>FPO-34</x:v>
      </x:c>
      <x:c r="J142" s="21" t="str">
        <x:v>TIO-08</x:v>
      </x:c>
      <x:c r="K142" s="44" t="n">
        <x:v>0.08499999999999999</x:v>
      </x:c>
      <x:c r="L142" s="21" t="n">
        <x:v>3</x:v>
      </x:c>
      <x:c r="M142" s="21" t="n">
        <x:v>10</x:v>
      </x:c>
      <x:c r="N142" s="23" t="str">
        <x:v>HOLD</x:v>
      </x:c>
    </x:row>
    <x:row r="143">
      <x:c r="B143" s="21" t="str">
        <x:v>F35-I1</x:v>
      </x:c>
      <x:c r="C143" s="21" t="str">
        <x:v>F35</x:v>
      </x:c>
      <x:c r="D143" s="21" t="str">
        <x:v>P07</x:v>
      </x:c>
      <x:c r="E143" s="21" t="str">
        <x:v>Inland brackish-water treatment train increment 1</x:v>
      </x:c>
      <x:c r="F143" s="21" t="n">
        <x:v>1</x:v>
      </x:c>
      <x:c r="G143" s="21" t="n">
        <x:v>9</x:v>
      </x:c>
      <x:c r="H143" s="21" t="n">
        <x:v>12</x:v>
      </x:c>
      <x:c r="I143" s="21" t="str">
        <x:v>FPO-35</x:v>
      </x:c>
      <x:c r="J143" s="21" t="str">
        <x:v>TIO-09</x:v>
      </x:c>
      <x:c r="K143" s="44" t="n">
        <x:v>0.08499999999999999</x:v>
      </x:c>
      <x:c r="L143" s="21" t="n">
        <x:v>3</x:v>
      </x:c>
      <x:c r="M143" s="21" t="n">
        <x:v>10</x:v>
      </x:c>
      <x:c r="N143" s="23" t="str">
        <x:v>HOLD</x:v>
      </x:c>
    </x:row>
    <x:row r="144">
      <x:c r="B144" s="21" t="str">
        <x:v>F35-I2</x:v>
      </x:c>
      <x:c r="C144" s="21" t="str">
        <x:v>F35</x:v>
      </x:c>
      <x:c r="D144" s="21" t="str">
        <x:v>P07</x:v>
      </x:c>
      <x:c r="E144" s="21" t="str">
        <x:v>Inland brackish-water treatment train increment 2</x:v>
      </x:c>
      <x:c r="F144" s="21" t="n">
        <x:v>2</x:v>
      </x:c>
      <x:c r="G144" s="21" t="n">
        <x:v>10</x:v>
      </x:c>
      <x:c r="H144" s="21" t="n">
        <x:v>12</x:v>
      </x:c>
      <x:c r="I144" s="21" t="str">
        <x:v>FPO-35</x:v>
      </x:c>
      <x:c r="J144" s="21" t="str">
        <x:v>TIO-10</x:v>
      </x:c>
      <x:c r="K144" s="44" t="n">
        <x:v>0.08499999999999999</x:v>
      </x:c>
      <x:c r="L144" s="21" t="n">
        <x:v>3</x:v>
      </x:c>
      <x:c r="M144" s="21" t="n">
        <x:v>10</x:v>
      </x:c>
      <x:c r="N144" s="23" t="str">
        <x:v>HOLD</x:v>
      </x:c>
    </x:row>
    <x:row r="145">
      <x:c r="B145" s="21" t="str">
        <x:v>F35-I3</x:v>
      </x:c>
      <x:c r="C145" s="21" t="str">
        <x:v>F35</x:v>
      </x:c>
      <x:c r="D145" s="21" t="str">
        <x:v>P07</x:v>
      </x:c>
      <x:c r="E145" s="21" t="str">
        <x:v>Inland brackish-water treatment train increment 3</x:v>
      </x:c>
      <x:c r="F145" s="21" t="n">
        <x:v>3</x:v>
      </x:c>
      <x:c r="G145" s="21" t="n">
        <x:v>11</x:v>
      </x:c>
      <x:c r="H145" s="21" t="n">
        <x:v>12</x:v>
      </x:c>
      <x:c r="I145" s="21" t="str">
        <x:v>FPO-35</x:v>
      </x:c>
      <x:c r="J145" s="21" t="str">
        <x:v>TIO-11</x:v>
      </x:c>
      <x:c r="K145" s="44" t="n">
        <x:v>0.08499999999999999</x:v>
      </x:c>
      <x:c r="L145" s="21" t="n">
        <x:v>3</x:v>
      </x:c>
      <x:c r="M145" s="21" t="n">
        <x:v>10</x:v>
      </x:c>
      <x:c r="N145" s="23" t="str">
        <x:v>HOLD</x:v>
      </x:c>
    </x:row>
    <x:row r="146">
      <x:c r="B146" s="21" t="str">
        <x:v>F35-I4</x:v>
      </x:c>
      <x:c r="C146" s="21" t="str">
        <x:v>F35</x:v>
      </x:c>
      <x:c r="D146" s="21" t="str">
        <x:v>P07</x:v>
      </x:c>
      <x:c r="E146" s="21" t="str">
        <x:v>Inland brackish-water treatment train increment 4</x:v>
      </x:c>
      <x:c r="F146" s="21" t="n">
        <x:v>4</x:v>
      </x:c>
      <x:c r="G146" s="21" t="n">
        <x:v>12</x:v>
      </x:c>
      <x:c r="H146" s="21" t="n">
        <x:v>12</x:v>
      </x:c>
      <x:c r="I146" s="21" t="str">
        <x:v>FPO-35</x:v>
      </x:c>
      <x:c r="J146" s="21" t="str">
        <x:v>TIO-12</x:v>
      </x:c>
      <x:c r="K146" s="44" t="n">
        <x:v>0.08499999999999999</x:v>
      </x:c>
      <x:c r="L146" s="21" t="n">
        <x:v>3</x:v>
      </x:c>
      <x:c r="M146" s="21" t="n">
        <x:v>10</x:v>
      </x:c>
      <x:c r="N146" s="23" t="str">
        <x:v>HOLD</x:v>
      </x:c>
    </x:row>
    <x:row r="147">
      <x:c r="B147" s="21" t="str">
        <x:v>F36-I1</x:v>
      </x:c>
      <x:c r="C147" s="21" t="str">
        <x:v>F36</x:v>
      </x:c>
      <x:c r="D147" s="21" t="str">
        <x:v>P07</x:v>
      </x:c>
      <x:c r="E147" s="21" t="str">
        <x:v>Rapid water trunkline system increment 1</x:v>
      </x:c>
      <x:c r="F147" s="21" t="n">
        <x:v>1</x:v>
      </x:c>
      <x:c r="G147" s="21" t="n">
        <x:v>13</x:v>
      </x:c>
      <x:c r="H147" s="21" t="n">
        <x:v>12</x:v>
      </x:c>
      <x:c r="I147" s="21" t="str">
        <x:v>FPO-36</x:v>
      </x:c>
      <x:c r="J147" s="21" t="str">
        <x:v>TIO-13</x:v>
      </x:c>
      <x:c r="K147" s="44" t="n">
        <x:v>0.08499999999999999</x:v>
      </x:c>
      <x:c r="L147" s="21" t="n">
        <x:v>3</x:v>
      </x:c>
      <x:c r="M147" s="21" t="n">
        <x:v>10</x:v>
      </x:c>
      <x:c r="N147" s="23" t="str">
        <x:v>HOLD</x:v>
      </x:c>
    </x:row>
    <x:row r="148">
      <x:c r="B148" s="21" t="str">
        <x:v>F36-I2</x:v>
      </x:c>
      <x:c r="C148" s="21" t="str">
        <x:v>F36</x:v>
      </x:c>
      <x:c r="D148" s="21" t="str">
        <x:v>P07</x:v>
      </x:c>
      <x:c r="E148" s="21" t="str">
        <x:v>Rapid water trunkline system increment 2</x:v>
      </x:c>
      <x:c r="F148" s="21" t="n">
        <x:v>2</x:v>
      </x:c>
      <x:c r="G148" s="21" t="n">
        <x:v>14</x:v>
      </x:c>
      <x:c r="H148" s="21" t="n">
        <x:v>12</x:v>
      </x:c>
      <x:c r="I148" s="21" t="str">
        <x:v>FPO-36</x:v>
      </x:c>
      <x:c r="J148" s="21" t="str">
        <x:v>TIO-14</x:v>
      </x:c>
      <x:c r="K148" s="44" t="n">
        <x:v>0.08499999999999999</x:v>
      </x:c>
      <x:c r="L148" s="21" t="n">
        <x:v>3</x:v>
      </x:c>
      <x:c r="M148" s="21" t="n">
        <x:v>10</x:v>
      </x:c>
      <x:c r="N148" s="23" t="str">
        <x:v>HOLD</x:v>
      </x:c>
    </x:row>
    <x:row r="149">
      <x:c r="B149" s="21" t="str">
        <x:v>F36-I3</x:v>
      </x:c>
      <x:c r="C149" s="21" t="str">
        <x:v>F36</x:v>
      </x:c>
      <x:c r="D149" s="21" t="str">
        <x:v>P07</x:v>
      </x:c>
      <x:c r="E149" s="21" t="str">
        <x:v>Rapid water trunkline system increment 3</x:v>
      </x:c>
      <x:c r="F149" s="21" t="n">
        <x:v>3</x:v>
      </x:c>
      <x:c r="G149" s="21" t="n">
        <x:v>15</x:v>
      </x:c>
      <x:c r="H149" s="21" t="n">
        <x:v>12</x:v>
      </x:c>
      <x:c r="I149" s="21" t="str">
        <x:v>FPO-36</x:v>
      </x:c>
      <x:c r="J149" s="21" t="str">
        <x:v>TIO-15</x:v>
      </x:c>
      <x:c r="K149" s="44" t="n">
        <x:v>0.08499999999999999</x:v>
      </x:c>
      <x:c r="L149" s="21" t="n">
        <x:v>3</x:v>
      </x:c>
      <x:c r="M149" s="21" t="n">
        <x:v>10</x:v>
      </x:c>
      <x:c r="N149" s="23" t="str">
        <x:v>HOLD</x:v>
      </x:c>
    </x:row>
    <x:row r="150">
      <x:c r="B150" s="21" t="str">
        <x:v>F36-I4</x:v>
      </x:c>
      <x:c r="C150" s="21" t="str">
        <x:v>F36</x:v>
      </x:c>
      <x:c r="D150" s="21" t="str">
        <x:v>P07</x:v>
      </x:c>
      <x:c r="E150" s="21" t="str">
        <x:v>Rapid water trunkline system increment 4</x:v>
      </x:c>
      <x:c r="F150" s="21" t="n">
        <x:v>4</x:v>
      </x:c>
      <x:c r="G150" s="21" t="n">
        <x:v>16</x:v>
      </x:c>
      <x:c r="H150" s="21" t="n">
        <x:v>12</x:v>
      </x:c>
      <x:c r="I150" s="21" t="str">
        <x:v>FPO-36</x:v>
      </x:c>
      <x:c r="J150" s="21" t="str">
        <x:v>TIO-16</x:v>
      </x:c>
      <x:c r="K150" s="44" t="n">
        <x:v>0.08499999999999999</x:v>
      </x:c>
      <x:c r="L150" s="21" t="n">
        <x:v>3</x:v>
      </x:c>
      <x:c r="M150" s="21" t="n">
        <x:v>10</x:v>
      </x:c>
      <x:c r="N150" s="23" t="str">
        <x:v>HOLD</x:v>
      </x:c>
    </x:row>
    <x:row r="151">
      <x:c r="B151" s="21" t="str">
        <x:v>F37-I1</x:v>
      </x:c>
      <x:c r="C151" s="21" t="str">
        <x:v>F37</x:v>
      </x:c>
      <x:c r="D151" s="21" t="str">
        <x:v>P07</x:v>
      </x:c>
      <x:c r="E151" s="21" t="str">
        <x:v>Wastewater and sanitation restoration plant increment 1</x:v>
      </x:c>
      <x:c r="F151" s="21" t="n">
        <x:v>1</x:v>
      </x:c>
      <x:c r="G151" s="21" t="n">
        <x:v>1</x:v>
      </x:c>
      <x:c r="H151" s="21" t="n">
        <x:v>12</x:v>
      </x:c>
      <x:c r="I151" s="21" t="str">
        <x:v>FPO-37</x:v>
      </x:c>
      <x:c r="J151" s="21" t="str">
        <x:v>TIO-01</x:v>
      </x:c>
      <x:c r="K151" s="44" t="n">
        <x:v>0.08499999999999999</x:v>
      </x:c>
      <x:c r="L151" s="21" t="n">
        <x:v>3</x:v>
      </x:c>
      <x:c r="M151" s="21" t="n">
        <x:v>10</x:v>
      </x:c>
      <x:c r="N151" s="23" t="str">
        <x:v>HOLD</x:v>
      </x:c>
    </x:row>
    <x:row r="152">
      <x:c r="B152" s="21" t="str">
        <x:v>F37-I2</x:v>
      </x:c>
      <x:c r="C152" s="21" t="str">
        <x:v>F37</x:v>
      </x:c>
      <x:c r="D152" s="21" t="str">
        <x:v>P07</x:v>
      </x:c>
      <x:c r="E152" s="21" t="str">
        <x:v>Wastewater and sanitation restoration plant increment 2</x:v>
      </x:c>
      <x:c r="F152" s="21" t="n">
        <x:v>2</x:v>
      </x:c>
      <x:c r="G152" s="21" t="n">
        <x:v>2</x:v>
      </x:c>
      <x:c r="H152" s="21" t="n">
        <x:v>12</x:v>
      </x:c>
      <x:c r="I152" s="21" t="str">
        <x:v>FPO-37</x:v>
      </x:c>
      <x:c r="J152" s="21" t="str">
        <x:v>TIO-02</x:v>
      </x:c>
      <x:c r="K152" s="44" t="n">
        <x:v>0.08499999999999999</x:v>
      </x:c>
      <x:c r="L152" s="21" t="n">
        <x:v>3</x:v>
      </x:c>
      <x:c r="M152" s="21" t="n">
        <x:v>10</x:v>
      </x:c>
      <x:c r="N152" s="23" t="str">
        <x:v>HOLD</x:v>
      </x:c>
    </x:row>
    <x:row r="153">
      <x:c r="B153" s="21" t="str">
        <x:v>F37-I3</x:v>
      </x:c>
      <x:c r="C153" s="21" t="str">
        <x:v>F37</x:v>
      </x:c>
      <x:c r="D153" s="21" t="str">
        <x:v>P07</x:v>
      </x:c>
      <x:c r="E153" s="21" t="str">
        <x:v>Wastewater and sanitation restoration plant increment 3</x:v>
      </x:c>
      <x:c r="F153" s="21" t="n">
        <x:v>3</x:v>
      </x:c>
      <x:c r="G153" s="21" t="n">
        <x:v>3</x:v>
      </x:c>
      <x:c r="H153" s="21" t="n">
        <x:v>12</x:v>
      </x:c>
      <x:c r="I153" s="21" t="str">
        <x:v>FPO-37</x:v>
      </x:c>
      <x:c r="J153" s="21" t="str">
        <x:v>TIO-03</x:v>
      </x:c>
      <x:c r="K153" s="44" t="n">
        <x:v>0.08499999999999999</x:v>
      </x:c>
      <x:c r="L153" s="21" t="n">
        <x:v>3</x:v>
      </x:c>
      <x:c r="M153" s="21" t="n">
        <x:v>10</x:v>
      </x:c>
      <x:c r="N153" s="23" t="str">
        <x:v>HOLD</x:v>
      </x:c>
    </x:row>
    <x:row r="154">
      <x:c r="B154" s="21" t="str">
        <x:v>F37-I4</x:v>
      </x:c>
      <x:c r="C154" s="21" t="str">
        <x:v>F37</x:v>
      </x:c>
      <x:c r="D154" s="21" t="str">
        <x:v>P07</x:v>
      </x:c>
      <x:c r="E154" s="21" t="str">
        <x:v>Wastewater and sanitation restoration plant increment 4</x:v>
      </x:c>
      <x:c r="F154" s="21" t="n">
        <x:v>4</x:v>
      </x:c>
      <x:c r="G154" s="21" t="n">
        <x:v>4</x:v>
      </x:c>
      <x:c r="H154" s="21" t="n">
        <x:v>12</x:v>
      </x:c>
      <x:c r="I154" s="21" t="str">
        <x:v>FPO-37</x:v>
      </x:c>
      <x:c r="J154" s="21" t="str">
        <x:v>TIO-04</x:v>
      </x:c>
      <x:c r="K154" s="44" t="n">
        <x:v>0.08499999999999999</x:v>
      </x:c>
      <x:c r="L154" s="21" t="n">
        <x:v>3</x:v>
      </x:c>
      <x:c r="M154" s="21" t="n">
        <x:v>10</x:v>
      </x:c>
      <x:c r="N154" s="23" t="str">
        <x:v>HOLD</x:v>
      </x:c>
    </x:row>
    <x:row r="155">
      <x:c r="B155" s="21" t="str">
        <x:v>F38-I1</x:v>
      </x:c>
      <x:c r="C155" s="21" t="str">
        <x:v>F38</x:v>
      </x:c>
      <x:c r="D155" s="21" t="str">
        <x:v>P07</x:v>
      </x:c>
      <x:c r="E155" s="21" t="str">
        <x:v>Potable storage and distribution lattice increment 1</x:v>
      </x:c>
      <x:c r="F155" s="21" t="n">
        <x:v>1</x:v>
      </x:c>
      <x:c r="G155" s="21" t="n">
        <x:v>5</x:v>
      </x:c>
      <x:c r="H155" s="21" t="n">
        <x:v>12</x:v>
      </x:c>
      <x:c r="I155" s="21" t="str">
        <x:v>FPO-38</x:v>
      </x:c>
      <x:c r="J155" s="21" t="str">
        <x:v>TIO-05</x:v>
      </x:c>
      <x:c r="K155" s="44" t="n">
        <x:v>0.08499999999999999</x:v>
      </x:c>
      <x:c r="L155" s="21" t="n">
        <x:v>3</x:v>
      </x:c>
      <x:c r="M155" s="21" t="n">
        <x:v>10</x:v>
      </x:c>
      <x:c r="N155" s="23" t="str">
        <x:v>HOLD</x:v>
      </x:c>
    </x:row>
    <x:row r="156">
      <x:c r="B156" s="21" t="str">
        <x:v>F38-I2</x:v>
      </x:c>
      <x:c r="C156" s="21" t="str">
        <x:v>F38</x:v>
      </x:c>
      <x:c r="D156" s="21" t="str">
        <x:v>P07</x:v>
      </x:c>
      <x:c r="E156" s="21" t="str">
        <x:v>Potable storage and distribution lattice increment 2</x:v>
      </x:c>
      <x:c r="F156" s="21" t="n">
        <x:v>2</x:v>
      </x:c>
      <x:c r="G156" s="21" t="n">
        <x:v>6</x:v>
      </x:c>
      <x:c r="H156" s="21" t="n">
        <x:v>12</x:v>
      </x:c>
      <x:c r="I156" s="21" t="str">
        <x:v>FPO-38</x:v>
      </x:c>
      <x:c r="J156" s="21" t="str">
        <x:v>TIO-06</x:v>
      </x:c>
      <x:c r="K156" s="44" t="n">
        <x:v>0.08499999999999999</x:v>
      </x:c>
      <x:c r="L156" s="21" t="n">
        <x:v>3</x:v>
      </x:c>
      <x:c r="M156" s="21" t="n">
        <x:v>10</x:v>
      </x:c>
      <x:c r="N156" s="23" t="str">
        <x:v>HOLD</x:v>
      </x:c>
    </x:row>
    <x:row r="157">
      <x:c r="B157" s="21" t="str">
        <x:v>F38-I3</x:v>
      </x:c>
      <x:c r="C157" s="21" t="str">
        <x:v>F38</x:v>
      </x:c>
      <x:c r="D157" s="21" t="str">
        <x:v>P07</x:v>
      </x:c>
      <x:c r="E157" s="21" t="str">
        <x:v>Potable storage and distribution lattice increment 3</x:v>
      </x:c>
      <x:c r="F157" s="21" t="n">
        <x:v>3</x:v>
      </x:c>
      <x:c r="G157" s="21" t="n">
        <x:v>7</x:v>
      </x:c>
      <x:c r="H157" s="21" t="n">
        <x:v>12</x:v>
      </x:c>
      <x:c r="I157" s="21" t="str">
        <x:v>FPO-38</x:v>
      </x:c>
      <x:c r="J157" s="21" t="str">
        <x:v>TIO-07</x:v>
      </x:c>
      <x:c r="K157" s="44" t="n">
        <x:v>0.08499999999999999</x:v>
      </x:c>
      <x:c r="L157" s="21" t="n">
        <x:v>3</x:v>
      </x:c>
      <x:c r="M157" s="21" t="n">
        <x:v>10</x:v>
      </x:c>
      <x:c r="N157" s="23" t="str">
        <x:v>HOLD</x:v>
      </x:c>
    </x:row>
    <x:row r="158">
      <x:c r="B158" s="21" t="str">
        <x:v>F38-I4</x:v>
      </x:c>
      <x:c r="C158" s="21" t="str">
        <x:v>F38</x:v>
      </x:c>
      <x:c r="D158" s="21" t="str">
        <x:v>P07</x:v>
      </x:c>
      <x:c r="E158" s="21" t="str">
        <x:v>Potable storage and distribution lattice increment 4</x:v>
      </x:c>
      <x:c r="F158" s="21" t="n">
        <x:v>4</x:v>
      </x:c>
      <x:c r="G158" s="21" t="n">
        <x:v>8</x:v>
      </x:c>
      <x:c r="H158" s="21" t="n">
        <x:v>12</x:v>
      </x:c>
      <x:c r="I158" s="21" t="str">
        <x:v>FPO-38</x:v>
      </x:c>
      <x:c r="J158" s="21" t="str">
        <x:v>TIO-08</x:v>
      </x:c>
      <x:c r="K158" s="44" t="n">
        <x:v>0.08499999999999999</x:v>
      </x:c>
      <x:c r="L158" s="21" t="n">
        <x:v>3</x:v>
      </x:c>
      <x:c r="M158" s="21" t="n">
        <x:v>10</x:v>
      </x:c>
      <x:c r="N158" s="23" t="str">
        <x:v>HOLD</x:v>
      </x:c>
    </x:row>
    <x:row r="159">
      <x:c r="B159" s="21" t="str">
        <x:v>F39-I1</x:v>
      </x:c>
      <x:c r="C159" s="21" t="str">
        <x:v>F39</x:v>
      </x:c>
      <x:c r="D159" s="21" t="str">
        <x:v>P08</x:v>
      </x:c>
      <x:c r="E159" s="21" t="str">
        <x:v>Heavy wildfire-suppression aircraft increment 1</x:v>
      </x:c>
      <x:c r="F159" s="21" t="n">
        <x:v>1</x:v>
      </x:c>
      <x:c r="G159" s="21" t="n">
        <x:v>9</x:v>
      </x:c>
      <x:c r="H159" s="21" t="n">
        <x:v>12</x:v>
      </x:c>
      <x:c r="I159" s="21" t="str">
        <x:v>FPO-39</x:v>
      </x:c>
      <x:c r="J159" s="21" t="str">
        <x:v>TIO-09</x:v>
      </x:c>
      <x:c r="K159" s="44" t="n">
        <x:v>0.08</x:v>
      </x:c>
      <x:c r="L159" s="21" t="n">
        <x:v>3</x:v>
      </x:c>
      <x:c r="M159" s="21" t="n">
        <x:v>10</x:v>
      </x:c>
      <x:c r="N159" s="23" t="str">
        <x:v>HOLD</x:v>
      </x:c>
    </x:row>
    <x:row r="160">
      <x:c r="B160" s="21" t="str">
        <x:v>F39-I2</x:v>
      </x:c>
      <x:c r="C160" s="21" t="str">
        <x:v>F39</x:v>
      </x:c>
      <x:c r="D160" s="21" t="str">
        <x:v>P08</x:v>
      </x:c>
      <x:c r="E160" s="21" t="str">
        <x:v>Heavy wildfire-suppression aircraft increment 2</x:v>
      </x:c>
      <x:c r="F160" s="21" t="n">
        <x:v>2</x:v>
      </x:c>
      <x:c r="G160" s="21" t="n">
        <x:v>10</x:v>
      </x:c>
      <x:c r="H160" s="21" t="n">
        <x:v>12</x:v>
      </x:c>
      <x:c r="I160" s="21" t="str">
        <x:v>FPO-39</x:v>
      </x:c>
      <x:c r="J160" s="21" t="str">
        <x:v>TIO-10</x:v>
      </x:c>
      <x:c r="K160" s="44" t="n">
        <x:v>0.08</x:v>
      </x:c>
      <x:c r="L160" s="21" t="n">
        <x:v>3</x:v>
      </x:c>
      <x:c r="M160" s="21" t="n">
        <x:v>10</x:v>
      </x:c>
      <x:c r="N160" s="23" t="str">
        <x:v>HOLD</x:v>
      </x:c>
    </x:row>
    <x:row r="161">
      <x:c r="B161" s="21" t="str">
        <x:v>F39-I3</x:v>
      </x:c>
      <x:c r="C161" s="21" t="str">
        <x:v>F39</x:v>
      </x:c>
      <x:c r="D161" s="21" t="str">
        <x:v>P08</x:v>
      </x:c>
      <x:c r="E161" s="21" t="str">
        <x:v>Heavy wildfire-suppression aircraft increment 3</x:v>
      </x:c>
      <x:c r="F161" s="21" t="n">
        <x:v>3</x:v>
      </x:c>
      <x:c r="G161" s="21" t="n">
        <x:v>11</x:v>
      </x:c>
      <x:c r="H161" s="21" t="n">
        <x:v>12</x:v>
      </x:c>
      <x:c r="I161" s="21" t="str">
        <x:v>FPO-39</x:v>
      </x:c>
      <x:c r="J161" s="21" t="str">
        <x:v>TIO-11</x:v>
      </x:c>
      <x:c r="K161" s="44" t="n">
        <x:v>0.08</x:v>
      </x:c>
      <x:c r="L161" s="21" t="n">
        <x:v>3</x:v>
      </x:c>
      <x:c r="M161" s="21" t="n">
        <x:v>10</x:v>
      </x:c>
      <x:c r="N161" s="23" t="str">
        <x:v>HOLD</x:v>
      </x:c>
    </x:row>
    <x:row r="162">
      <x:c r="B162" s="21" t="str">
        <x:v>F39-I4</x:v>
      </x:c>
      <x:c r="C162" s="21" t="str">
        <x:v>F39</x:v>
      </x:c>
      <x:c r="D162" s="21" t="str">
        <x:v>P08</x:v>
      </x:c>
      <x:c r="E162" s="21" t="str">
        <x:v>Heavy wildfire-suppression aircraft increment 4</x:v>
      </x:c>
      <x:c r="F162" s="21" t="n">
        <x:v>4</x:v>
      </x:c>
      <x:c r="G162" s="21" t="n">
        <x:v>12</x:v>
      </x:c>
      <x:c r="H162" s="21" t="n">
        <x:v>12</x:v>
      </x:c>
      <x:c r="I162" s="21" t="str">
        <x:v>FPO-39</x:v>
      </x:c>
      <x:c r="J162" s="21" t="str">
        <x:v>TIO-12</x:v>
      </x:c>
      <x:c r="K162" s="44" t="n">
        <x:v>0.08</x:v>
      </x:c>
      <x:c r="L162" s="21" t="n">
        <x:v>3</x:v>
      </x:c>
      <x:c r="M162" s="21" t="n">
        <x:v>10</x:v>
      </x:c>
      <x:c r="N162" s="23" t="str">
        <x:v>HOLD</x:v>
      </x:c>
    </x:row>
    <x:row r="163">
      <x:c r="B163" s="21" t="str">
        <x:v>F40-I1</x:v>
      </x:c>
      <x:c r="C163" s="21" t="str">
        <x:v>F40</x:v>
      </x:c>
      <x:c r="D163" s="21" t="str">
        <x:v>P08</x:v>
      </x:c>
      <x:c r="E163" s="21" t="str">
        <x:v>Autonomous fireline and terrain fleet increment 1</x:v>
      </x:c>
      <x:c r="F163" s="21" t="n">
        <x:v>1</x:v>
      </x:c>
      <x:c r="G163" s="21" t="n">
        <x:v>13</x:v>
      </x:c>
      <x:c r="H163" s="21" t="n">
        <x:v>12</x:v>
      </x:c>
      <x:c r="I163" s="21" t="str">
        <x:v>FPO-40</x:v>
      </x:c>
      <x:c r="J163" s="21" t="str">
        <x:v>TIO-13</x:v>
      </x:c>
      <x:c r="K163" s="44" t="n">
        <x:v>0.08</x:v>
      </x:c>
      <x:c r="L163" s="21" t="n">
        <x:v>3</x:v>
      </x:c>
      <x:c r="M163" s="21" t="n">
        <x:v>10</x:v>
      </x:c>
      <x:c r="N163" s="23" t="str">
        <x:v>HOLD</x:v>
      </x:c>
    </x:row>
    <x:row r="164">
      <x:c r="B164" s="21" t="str">
        <x:v>F40-I2</x:v>
      </x:c>
      <x:c r="C164" s="21" t="str">
        <x:v>F40</x:v>
      </x:c>
      <x:c r="D164" s="21" t="str">
        <x:v>P08</x:v>
      </x:c>
      <x:c r="E164" s="21" t="str">
        <x:v>Autonomous fireline and terrain fleet increment 2</x:v>
      </x:c>
      <x:c r="F164" s="21" t="n">
        <x:v>2</x:v>
      </x:c>
      <x:c r="G164" s="21" t="n">
        <x:v>14</x:v>
      </x:c>
      <x:c r="H164" s="21" t="n">
        <x:v>12</x:v>
      </x:c>
      <x:c r="I164" s="21" t="str">
        <x:v>FPO-40</x:v>
      </x:c>
      <x:c r="J164" s="21" t="str">
        <x:v>TIO-14</x:v>
      </x:c>
      <x:c r="K164" s="44" t="n">
        <x:v>0.08</x:v>
      </x:c>
      <x:c r="L164" s="21" t="n">
        <x:v>3</x:v>
      </x:c>
      <x:c r="M164" s="21" t="n">
        <x:v>10</x:v>
      </x:c>
      <x:c r="N164" s="23" t="str">
        <x:v>HOLD</x:v>
      </x:c>
    </x:row>
    <x:row r="165">
      <x:c r="B165" s="21" t="str">
        <x:v>F40-I3</x:v>
      </x:c>
      <x:c r="C165" s="21" t="str">
        <x:v>F40</x:v>
      </x:c>
      <x:c r="D165" s="21" t="str">
        <x:v>P08</x:v>
      </x:c>
      <x:c r="E165" s="21" t="str">
        <x:v>Autonomous fireline and terrain fleet increment 3</x:v>
      </x:c>
      <x:c r="F165" s="21" t="n">
        <x:v>3</x:v>
      </x:c>
      <x:c r="G165" s="21" t="n">
        <x:v>15</x:v>
      </x:c>
      <x:c r="H165" s="21" t="n">
        <x:v>12</x:v>
      </x:c>
      <x:c r="I165" s="21" t="str">
        <x:v>FPO-40</x:v>
      </x:c>
      <x:c r="J165" s="21" t="str">
        <x:v>TIO-15</x:v>
      </x:c>
      <x:c r="K165" s="44" t="n">
        <x:v>0.08</x:v>
      </x:c>
      <x:c r="L165" s="21" t="n">
        <x:v>3</x:v>
      </x:c>
      <x:c r="M165" s="21" t="n">
        <x:v>10</x:v>
      </x:c>
      <x:c r="N165" s="23" t="str">
        <x:v>HOLD</x:v>
      </x:c>
    </x:row>
    <x:row r="166">
      <x:c r="B166" s="21" t="str">
        <x:v>F40-I4</x:v>
      </x:c>
      <x:c r="C166" s="21" t="str">
        <x:v>F40</x:v>
      </x:c>
      <x:c r="D166" s="21" t="str">
        <x:v>P08</x:v>
      </x:c>
      <x:c r="E166" s="21" t="str">
        <x:v>Autonomous fireline and terrain fleet increment 4</x:v>
      </x:c>
      <x:c r="F166" s="21" t="n">
        <x:v>4</x:v>
      </x:c>
      <x:c r="G166" s="21" t="n">
        <x:v>16</x:v>
      </x:c>
      <x:c r="H166" s="21" t="n">
        <x:v>12</x:v>
      </x:c>
      <x:c r="I166" s="21" t="str">
        <x:v>FPO-40</x:v>
      </x:c>
      <x:c r="J166" s="21" t="str">
        <x:v>TIO-16</x:v>
      </x:c>
      <x:c r="K166" s="44" t="n">
        <x:v>0.08</x:v>
      </x:c>
      <x:c r="L166" s="21" t="n">
        <x:v>3</x:v>
      </x:c>
      <x:c r="M166" s="21" t="n">
        <x:v>10</x:v>
      </x:c>
      <x:c r="N166" s="23" t="str">
        <x:v>HOLD</x:v>
      </x:c>
    </x:row>
    <x:row r="167">
      <x:c r="B167" s="21" t="str">
        <x:v>F41-I1</x:v>
      </x:c>
      <x:c r="C167" s="21" t="str">
        <x:v>F41</x:v>
      </x:c>
      <x:c r="D167" s="21" t="str">
        <x:v>P08</x:v>
      </x:c>
      <x:c r="E167" s="21" t="str">
        <x:v>Flood diversion and pumping complex increment 1</x:v>
      </x:c>
      <x:c r="F167" s="21" t="n">
        <x:v>1</x:v>
      </x:c>
      <x:c r="G167" s="21" t="n">
        <x:v>1</x:v>
      </x:c>
      <x:c r="H167" s="21" t="n">
        <x:v>12</x:v>
      </x:c>
      <x:c r="I167" s="21" t="str">
        <x:v>FPO-41</x:v>
      </x:c>
      <x:c r="J167" s="21" t="str">
        <x:v>TIO-01</x:v>
      </x:c>
      <x:c r="K167" s="44" t="n">
        <x:v>0.08</x:v>
      </x:c>
      <x:c r="L167" s="21" t="n">
        <x:v>3</x:v>
      </x:c>
      <x:c r="M167" s="21" t="n">
        <x:v>10</x:v>
      </x:c>
      <x:c r="N167" s="23" t="str">
        <x:v>HOLD</x:v>
      </x:c>
    </x:row>
    <x:row r="168">
      <x:c r="B168" s="21" t="str">
        <x:v>F41-I2</x:v>
      </x:c>
      <x:c r="C168" s="21" t="str">
        <x:v>F41</x:v>
      </x:c>
      <x:c r="D168" s="21" t="str">
        <x:v>P08</x:v>
      </x:c>
      <x:c r="E168" s="21" t="str">
        <x:v>Flood diversion and pumping complex increment 2</x:v>
      </x:c>
      <x:c r="F168" s="21" t="n">
        <x:v>2</x:v>
      </x:c>
      <x:c r="G168" s="21" t="n">
        <x:v>2</x:v>
      </x:c>
      <x:c r="H168" s="21" t="n">
        <x:v>12</x:v>
      </x:c>
      <x:c r="I168" s="21" t="str">
        <x:v>FPO-41</x:v>
      </x:c>
      <x:c r="J168" s="21" t="str">
        <x:v>TIO-02</x:v>
      </x:c>
      <x:c r="K168" s="44" t="n">
        <x:v>0.08</x:v>
      </x:c>
      <x:c r="L168" s="21" t="n">
        <x:v>3</x:v>
      </x:c>
      <x:c r="M168" s="21" t="n">
        <x:v>10</x:v>
      </x:c>
      <x:c r="N168" s="23" t="str">
        <x:v>HOLD</x:v>
      </x:c>
    </x:row>
    <x:row r="169">
      <x:c r="B169" s="21" t="str">
        <x:v>F41-I3</x:v>
      </x:c>
      <x:c r="C169" s="21" t="str">
        <x:v>F41</x:v>
      </x:c>
      <x:c r="D169" s="21" t="str">
        <x:v>P08</x:v>
      </x:c>
      <x:c r="E169" s="21" t="str">
        <x:v>Flood diversion and pumping complex increment 3</x:v>
      </x:c>
      <x:c r="F169" s="21" t="n">
        <x:v>3</x:v>
      </x:c>
      <x:c r="G169" s="21" t="n">
        <x:v>3</x:v>
      </x:c>
      <x:c r="H169" s="21" t="n">
        <x:v>12</x:v>
      </x:c>
      <x:c r="I169" s="21" t="str">
        <x:v>FPO-41</x:v>
      </x:c>
      <x:c r="J169" s="21" t="str">
        <x:v>TIO-03</x:v>
      </x:c>
      <x:c r="K169" s="44" t="n">
        <x:v>0.08</x:v>
      </x:c>
      <x:c r="L169" s="21" t="n">
        <x:v>3</x:v>
      </x:c>
      <x:c r="M169" s="21" t="n">
        <x:v>10</x:v>
      </x:c>
      <x:c r="N169" s="23" t="str">
        <x:v>HOLD</x:v>
      </x:c>
    </x:row>
    <x:row r="170">
      <x:c r="B170" s="21" t="str">
        <x:v>F41-I4</x:v>
      </x:c>
      <x:c r="C170" s="21" t="str">
        <x:v>F41</x:v>
      </x:c>
      <x:c r="D170" s="21" t="str">
        <x:v>P08</x:v>
      </x:c>
      <x:c r="E170" s="21" t="str">
        <x:v>Flood diversion and pumping complex increment 4</x:v>
      </x:c>
      <x:c r="F170" s="21" t="n">
        <x:v>4</x:v>
      </x:c>
      <x:c r="G170" s="21" t="n">
        <x:v>4</x:v>
      </x:c>
      <x:c r="H170" s="21" t="n">
        <x:v>12</x:v>
      </x:c>
      <x:c r="I170" s="21" t="str">
        <x:v>FPO-41</x:v>
      </x:c>
      <x:c r="J170" s="21" t="str">
        <x:v>TIO-04</x:v>
      </x:c>
      <x:c r="K170" s="44" t="n">
        <x:v>0.08</x:v>
      </x:c>
      <x:c r="L170" s="21" t="n">
        <x:v>3</x:v>
      </x:c>
      <x:c r="M170" s="21" t="n">
        <x:v>10</x:v>
      </x:c>
      <x:c r="N170" s="23" t="str">
        <x:v>HOLD</x:v>
      </x:c>
    </x:row>
    <x:row r="171">
      <x:c r="B171" s="21" t="str">
        <x:v>F42-I1</x:v>
      </x:c>
      <x:c r="C171" s="21" t="str">
        <x:v>F42</x:v>
      </x:c>
      <x:c r="D171" s="21" t="str">
        <x:v>P08</x:v>
      </x:c>
      <x:c r="E171" s="21" t="str">
        <x:v>Atmospheric and chemical hazard-control system increment 1</x:v>
      </x:c>
      <x:c r="F171" s="21" t="n">
        <x:v>1</x:v>
      </x:c>
      <x:c r="G171" s="21" t="n">
        <x:v>5</x:v>
      </x:c>
      <x:c r="H171" s="21" t="n">
        <x:v>12</x:v>
      </x:c>
      <x:c r="I171" s="21" t="str">
        <x:v>FPO-42</x:v>
      </x:c>
      <x:c r="J171" s="21" t="str">
        <x:v>TIO-05</x:v>
      </x:c>
      <x:c r="K171" s="44" t="n">
        <x:v>0.08</x:v>
      </x:c>
      <x:c r="L171" s="21" t="n">
        <x:v>3</x:v>
      </x:c>
      <x:c r="M171" s="21" t="n">
        <x:v>10</x:v>
      </x:c>
      <x:c r="N171" s="23" t="str">
        <x:v>HOLD</x:v>
      </x:c>
    </x:row>
    <x:row r="172">
      <x:c r="B172" s="21" t="str">
        <x:v>F42-I2</x:v>
      </x:c>
      <x:c r="C172" s="21" t="str">
        <x:v>F42</x:v>
      </x:c>
      <x:c r="D172" s="21" t="str">
        <x:v>P08</x:v>
      </x:c>
      <x:c r="E172" s="21" t="str">
        <x:v>Atmospheric and chemical hazard-control system increment 2</x:v>
      </x:c>
      <x:c r="F172" s="21" t="n">
        <x:v>2</x:v>
      </x:c>
      <x:c r="G172" s="21" t="n">
        <x:v>6</x:v>
      </x:c>
      <x:c r="H172" s="21" t="n">
        <x:v>12</x:v>
      </x:c>
      <x:c r="I172" s="21" t="str">
        <x:v>FPO-42</x:v>
      </x:c>
      <x:c r="J172" s="21" t="str">
        <x:v>TIO-06</x:v>
      </x:c>
      <x:c r="K172" s="44" t="n">
        <x:v>0.08</x:v>
      </x:c>
      <x:c r="L172" s="21" t="n">
        <x:v>3</x:v>
      </x:c>
      <x:c r="M172" s="21" t="n">
        <x:v>10</x:v>
      </x:c>
      <x:c r="N172" s="23" t="str">
        <x:v>HOLD</x:v>
      </x:c>
    </x:row>
    <x:row r="173">
      <x:c r="B173" s="21" t="str">
        <x:v>F42-I3</x:v>
      </x:c>
      <x:c r="C173" s="21" t="str">
        <x:v>F42</x:v>
      </x:c>
      <x:c r="D173" s="21" t="str">
        <x:v>P08</x:v>
      </x:c>
      <x:c r="E173" s="21" t="str">
        <x:v>Atmospheric and chemical hazard-control system increment 3</x:v>
      </x:c>
      <x:c r="F173" s="21" t="n">
        <x:v>3</x:v>
      </x:c>
      <x:c r="G173" s="21" t="n">
        <x:v>7</x:v>
      </x:c>
      <x:c r="H173" s="21" t="n">
        <x:v>12</x:v>
      </x:c>
      <x:c r="I173" s="21" t="str">
        <x:v>FPO-42</x:v>
      </x:c>
      <x:c r="J173" s="21" t="str">
        <x:v>TIO-07</x:v>
      </x:c>
      <x:c r="K173" s="44" t="n">
        <x:v>0.08</x:v>
      </x:c>
      <x:c r="L173" s="21" t="n">
        <x:v>3</x:v>
      </x:c>
      <x:c r="M173" s="21" t="n">
        <x:v>10</x:v>
      </x:c>
      <x:c r="N173" s="23" t="str">
        <x:v>HOLD</x:v>
      </x:c>
    </x:row>
    <x:row r="174">
      <x:c r="B174" s="21" t="str">
        <x:v>F42-I4</x:v>
      </x:c>
      <x:c r="C174" s="21" t="str">
        <x:v>F42</x:v>
      </x:c>
      <x:c r="D174" s="21" t="str">
        <x:v>P08</x:v>
      </x:c>
      <x:c r="E174" s="21" t="str">
        <x:v>Atmospheric and chemical hazard-control system increment 4</x:v>
      </x:c>
      <x:c r="F174" s="21" t="n">
        <x:v>4</x:v>
      </x:c>
      <x:c r="G174" s="21" t="n">
        <x:v>8</x:v>
      </x:c>
      <x:c r="H174" s="21" t="n">
        <x:v>12</x:v>
      </x:c>
      <x:c r="I174" s="21" t="str">
        <x:v>FPO-42</x:v>
      </x:c>
      <x:c r="J174" s="21" t="str">
        <x:v>TIO-08</x:v>
      </x:c>
      <x:c r="K174" s="44" t="n">
        <x:v>0.08</x:v>
      </x:c>
      <x:c r="L174" s="21" t="n">
        <x:v>3</x:v>
      </x:c>
      <x:c r="M174" s="21" t="n">
        <x:v>10</x:v>
      </x:c>
      <x:c r="N174" s="23" t="str">
        <x:v>HOLD</x:v>
      </x:c>
    </x:row>
    <x:row r="175">
      <x:c r="B175" s="21" t="str">
        <x:v>F43-I1</x:v>
      </x:c>
      <x:c r="C175" s="21" t="str">
        <x:v>F43</x:v>
      </x:c>
      <x:c r="D175" s="21" t="str">
        <x:v>P08</x:v>
      </x:c>
      <x:c r="E175" s="21" t="str">
        <x:v>Earthquake search and stabilization swarm increment 1</x:v>
      </x:c>
      <x:c r="F175" s="21" t="n">
        <x:v>1</x:v>
      </x:c>
      <x:c r="G175" s="21" t="n">
        <x:v>9</x:v>
      </x:c>
      <x:c r="H175" s="21" t="n">
        <x:v>12</x:v>
      </x:c>
      <x:c r="I175" s="21" t="str">
        <x:v>FPO-43</x:v>
      </x:c>
      <x:c r="J175" s="21" t="str">
        <x:v>TIO-09</x:v>
      </x:c>
      <x:c r="K175" s="44" t="n">
        <x:v>0.08</x:v>
      </x:c>
      <x:c r="L175" s="21" t="n">
        <x:v>3</x:v>
      </x:c>
      <x:c r="M175" s="21" t="n">
        <x:v>10</x:v>
      </x:c>
      <x:c r="N175" s="23" t="str">
        <x:v>HOLD</x:v>
      </x:c>
    </x:row>
    <x:row r="176">
      <x:c r="B176" s="21" t="str">
        <x:v>F43-I2</x:v>
      </x:c>
      <x:c r="C176" s="21" t="str">
        <x:v>F43</x:v>
      </x:c>
      <x:c r="D176" s="21" t="str">
        <x:v>P08</x:v>
      </x:c>
      <x:c r="E176" s="21" t="str">
        <x:v>Earthquake search and stabilization swarm increment 2</x:v>
      </x:c>
      <x:c r="F176" s="21" t="n">
        <x:v>2</x:v>
      </x:c>
      <x:c r="G176" s="21" t="n">
        <x:v>10</x:v>
      </x:c>
      <x:c r="H176" s="21" t="n">
        <x:v>12</x:v>
      </x:c>
      <x:c r="I176" s="21" t="str">
        <x:v>FPO-43</x:v>
      </x:c>
      <x:c r="J176" s="21" t="str">
        <x:v>TIO-10</x:v>
      </x:c>
      <x:c r="K176" s="44" t="n">
        <x:v>0.08</x:v>
      </x:c>
      <x:c r="L176" s="21" t="n">
        <x:v>3</x:v>
      </x:c>
      <x:c r="M176" s="21" t="n">
        <x:v>10</x:v>
      </x:c>
      <x:c r="N176" s="23" t="str">
        <x:v>HOLD</x:v>
      </x:c>
    </x:row>
    <x:row r="177">
      <x:c r="B177" s="21" t="str">
        <x:v>F43-I3</x:v>
      </x:c>
      <x:c r="C177" s="21" t="str">
        <x:v>F43</x:v>
      </x:c>
      <x:c r="D177" s="21" t="str">
        <x:v>P08</x:v>
      </x:c>
      <x:c r="E177" s="21" t="str">
        <x:v>Earthquake search and stabilization swarm increment 3</x:v>
      </x:c>
      <x:c r="F177" s="21" t="n">
        <x:v>3</x:v>
      </x:c>
      <x:c r="G177" s="21" t="n">
        <x:v>11</x:v>
      </x:c>
      <x:c r="H177" s="21" t="n">
        <x:v>12</x:v>
      </x:c>
      <x:c r="I177" s="21" t="str">
        <x:v>FPO-43</x:v>
      </x:c>
      <x:c r="J177" s="21" t="str">
        <x:v>TIO-11</x:v>
      </x:c>
      <x:c r="K177" s="44" t="n">
        <x:v>0.08</x:v>
      </x:c>
      <x:c r="L177" s="21" t="n">
        <x:v>3</x:v>
      </x:c>
      <x:c r="M177" s="21" t="n">
        <x:v>10</x:v>
      </x:c>
      <x:c r="N177" s="23" t="str">
        <x:v>HOLD</x:v>
      </x:c>
    </x:row>
    <x:row r="178">
      <x:c r="B178" s="21" t="str">
        <x:v>F43-I4</x:v>
      </x:c>
      <x:c r="C178" s="21" t="str">
        <x:v>F43</x:v>
      </x:c>
      <x:c r="D178" s="21" t="str">
        <x:v>P08</x:v>
      </x:c>
      <x:c r="E178" s="21" t="str">
        <x:v>Earthquake search and stabilization swarm increment 4</x:v>
      </x:c>
      <x:c r="F178" s="21" t="n">
        <x:v>4</x:v>
      </x:c>
      <x:c r="G178" s="21" t="n">
        <x:v>12</x:v>
      </x:c>
      <x:c r="H178" s="21" t="n">
        <x:v>12</x:v>
      </x:c>
      <x:c r="I178" s="21" t="str">
        <x:v>FPO-43</x:v>
      </x:c>
      <x:c r="J178" s="21" t="str">
        <x:v>TIO-12</x:v>
      </x:c>
      <x:c r="K178" s="44" t="n">
        <x:v>0.08</x:v>
      </x:c>
      <x:c r="L178" s="21" t="n">
        <x:v>3</x:v>
      </x:c>
      <x:c r="M178" s="21" t="n">
        <x:v>10</x:v>
      </x:c>
      <x:c r="N178" s="23" t="str">
        <x:v>HOLD</x:v>
      </x:c>
    </x:row>
    <x:row r="179">
      <x:c r="B179" s="21" t="str">
        <x:v>F44-I1</x:v>
      </x:c>
      <x:c r="C179" s="21" t="str">
        <x:v>F44</x:v>
      </x:c>
      <x:c r="D179" s="21" t="str">
        <x:v>P09</x:v>
      </x:c>
      <x:c r="E179" s="21" t="str">
        <x:v>Rapid structural-stabilization system increment 1</x:v>
      </x:c>
      <x:c r="F179" s="21" t="n">
        <x:v>1</x:v>
      </x:c>
      <x:c r="G179" s="21" t="n">
        <x:v>13</x:v>
      </x:c>
      <x:c r="H179" s="21" t="n">
        <x:v>12</x:v>
      </x:c>
      <x:c r="I179" s="21" t="str">
        <x:v>FPO-44</x:v>
      </x:c>
      <x:c r="J179" s="21" t="str">
        <x:v>TIO-13</x:v>
      </x:c>
      <x:c r="K179" s="44" t="n">
        <x:v>0.06895</x:v>
      </x:c>
      <x:c r="L179" s="21" t="n">
        <x:v>3</x:v>
      </x:c>
      <x:c r="M179" s="21" t="n">
        <x:v>10</x:v>
      </x:c>
      <x:c r="N179" s="23" t="str">
        <x:v>HOLD</x:v>
      </x:c>
    </x:row>
    <x:row r="180">
      <x:c r="B180" s="21" t="str">
        <x:v>F44-I2</x:v>
      </x:c>
      <x:c r="C180" s="21" t="str">
        <x:v>F44</x:v>
      </x:c>
      <x:c r="D180" s="21" t="str">
        <x:v>P09</x:v>
      </x:c>
      <x:c r="E180" s="21" t="str">
        <x:v>Rapid structural-stabilization system increment 2</x:v>
      </x:c>
      <x:c r="F180" s="21" t="n">
        <x:v>2</x:v>
      </x:c>
      <x:c r="G180" s="21" t="n">
        <x:v>14</x:v>
      </x:c>
      <x:c r="H180" s="21" t="n">
        <x:v>12</x:v>
      </x:c>
      <x:c r="I180" s="21" t="str">
        <x:v>FPO-44</x:v>
      </x:c>
      <x:c r="J180" s="21" t="str">
        <x:v>TIO-14</x:v>
      </x:c>
      <x:c r="K180" s="44" t="n">
        <x:v>0.06895</x:v>
      </x:c>
      <x:c r="L180" s="21" t="n">
        <x:v>3</x:v>
      </x:c>
      <x:c r="M180" s="21" t="n">
        <x:v>10</x:v>
      </x:c>
      <x:c r="N180" s="23" t="str">
        <x:v>HOLD</x:v>
      </x:c>
    </x:row>
    <x:row r="181">
      <x:c r="B181" s="21" t="str">
        <x:v>F44-I3</x:v>
      </x:c>
      <x:c r="C181" s="21" t="str">
        <x:v>F44</x:v>
      </x:c>
      <x:c r="D181" s="21" t="str">
        <x:v>P09</x:v>
      </x:c>
      <x:c r="E181" s="21" t="str">
        <x:v>Rapid structural-stabilization system increment 3</x:v>
      </x:c>
      <x:c r="F181" s="21" t="n">
        <x:v>3</x:v>
      </x:c>
      <x:c r="G181" s="21" t="n">
        <x:v>15</x:v>
      </x:c>
      <x:c r="H181" s="21" t="n">
        <x:v>12</x:v>
      </x:c>
      <x:c r="I181" s="21" t="str">
        <x:v>FPO-44</x:v>
      </x:c>
      <x:c r="J181" s="21" t="str">
        <x:v>TIO-15</x:v>
      </x:c>
      <x:c r="K181" s="44" t="n">
        <x:v>0.06895</x:v>
      </x:c>
      <x:c r="L181" s="21" t="n">
        <x:v>3</x:v>
      </x:c>
      <x:c r="M181" s="21" t="n">
        <x:v>10</x:v>
      </x:c>
      <x:c r="N181" s="23" t="str">
        <x:v>HOLD</x:v>
      </x:c>
    </x:row>
    <x:row r="182">
      <x:c r="B182" s="21" t="str">
        <x:v>F44-I4</x:v>
      </x:c>
      <x:c r="C182" s="21" t="str">
        <x:v>F44</x:v>
      </x:c>
      <x:c r="D182" s="21" t="str">
        <x:v>P09</x:v>
      </x:c>
      <x:c r="E182" s="21" t="str">
        <x:v>Rapid structural-stabilization system increment 4</x:v>
      </x:c>
      <x:c r="F182" s="21" t="n">
        <x:v>4</x:v>
      </x:c>
      <x:c r="G182" s="21" t="n">
        <x:v>16</x:v>
      </x:c>
      <x:c r="H182" s="21" t="n">
        <x:v>12</x:v>
      </x:c>
      <x:c r="I182" s="21" t="str">
        <x:v>FPO-44</x:v>
      </x:c>
      <x:c r="J182" s="21" t="str">
        <x:v>TIO-16</x:v>
      </x:c>
      <x:c r="K182" s="44" t="n">
        <x:v>0.06895</x:v>
      </x:c>
      <x:c r="L182" s="21" t="n">
        <x:v>3</x:v>
      </x:c>
      <x:c r="M182" s="21" t="n">
        <x:v>10</x:v>
      </x:c>
      <x:c r="N182" s="23" t="str">
        <x:v>HOLD</x:v>
      </x:c>
    </x:row>
    <x:row r="183">
      <x:c r="B183" s="21" t="str">
        <x:v>F45-I1</x:v>
      </x:c>
      <x:c r="C183" s="21" t="str">
        <x:v>F45</x:v>
      </x:c>
      <x:c r="D183" s="21" t="str">
        <x:v>P09</x:v>
      </x:c>
      <x:c r="E183" s="21" t="str">
        <x:v>Modular housing production complex increment 1</x:v>
      </x:c>
      <x:c r="F183" s="21" t="n">
        <x:v>1</x:v>
      </x:c>
      <x:c r="G183" s="21" t="n">
        <x:v>1</x:v>
      </x:c>
      <x:c r="H183" s="21" t="n">
        <x:v>12</x:v>
      </x:c>
      <x:c r="I183" s="21" t="str">
        <x:v>FPO-45</x:v>
      </x:c>
      <x:c r="J183" s="21" t="str">
        <x:v>TIO-01</x:v>
      </x:c>
      <x:c r="K183" s="44" t="n">
        <x:v>0.06895</x:v>
      </x:c>
      <x:c r="L183" s="21" t="n">
        <x:v>3</x:v>
      </x:c>
      <x:c r="M183" s="21" t="n">
        <x:v>10</x:v>
      </x:c>
      <x:c r="N183" s="23" t="str">
        <x:v>HOLD</x:v>
      </x:c>
    </x:row>
    <x:row r="184">
      <x:c r="B184" s="21" t="str">
        <x:v>F45-I2</x:v>
      </x:c>
      <x:c r="C184" s="21" t="str">
        <x:v>F45</x:v>
      </x:c>
      <x:c r="D184" s="21" t="str">
        <x:v>P09</x:v>
      </x:c>
      <x:c r="E184" s="21" t="str">
        <x:v>Modular housing production complex increment 2</x:v>
      </x:c>
      <x:c r="F184" s="21" t="n">
        <x:v>2</x:v>
      </x:c>
      <x:c r="G184" s="21" t="n">
        <x:v>2</x:v>
      </x:c>
      <x:c r="H184" s="21" t="n">
        <x:v>12</x:v>
      </x:c>
      <x:c r="I184" s="21" t="str">
        <x:v>FPO-45</x:v>
      </x:c>
      <x:c r="J184" s="21" t="str">
        <x:v>TIO-02</x:v>
      </x:c>
      <x:c r="K184" s="44" t="n">
        <x:v>0.06895</x:v>
      </x:c>
      <x:c r="L184" s="21" t="n">
        <x:v>3</x:v>
      </x:c>
      <x:c r="M184" s="21" t="n">
        <x:v>10</x:v>
      </x:c>
      <x:c r="N184" s="23" t="str">
        <x:v>HOLD</x:v>
      </x:c>
    </x:row>
    <x:row r="185">
      <x:c r="B185" s="21" t="str">
        <x:v>F45-I3</x:v>
      </x:c>
      <x:c r="C185" s="21" t="str">
        <x:v>F45</x:v>
      </x:c>
      <x:c r="D185" s="21" t="str">
        <x:v>P09</x:v>
      </x:c>
      <x:c r="E185" s="21" t="str">
        <x:v>Modular housing production complex increment 3</x:v>
      </x:c>
      <x:c r="F185" s="21" t="n">
        <x:v>3</x:v>
      </x:c>
      <x:c r="G185" s="21" t="n">
        <x:v>3</x:v>
      </x:c>
      <x:c r="H185" s="21" t="n">
        <x:v>12</x:v>
      </x:c>
      <x:c r="I185" s="21" t="str">
        <x:v>FPO-45</x:v>
      </x:c>
      <x:c r="J185" s="21" t="str">
        <x:v>TIO-03</x:v>
      </x:c>
      <x:c r="K185" s="44" t="n">
        <x:v>0.06895</x:v>
      </x:c>
      <x:c r="L185" s="21" t="n">
        <x:v>3</x:v>
      </x:c>
      <x:c r="M185" s="21" t="n">
        <x:v>10</x:v>
      </x:c>
      <x:c r="N185" s="23" t="str">
        <x:v>HOLD</x:v>
      </x:c>
    </x:row>
    <x:row r="186">
      <x:c r="B186" s="21" t="str">
        <x:v>F45-I4</x:v>
      </x:c>
      <x:c r="C186" s="21" t="str">
        <x:v>F45</x:v>
      </x:c>
      <x:c r="D186" s="21" t="str">
        <x:v>P09</x:v>
      </x:c>
      <x:c r="E186" s="21" t="str">
        <x:v>Modular housing production complex increment 4</x:v>
      </x:c>
      <x:c r="F186" s="21" t="n">
        <x:v>4</x:v>
      </x:c>
      <x:c r="G186" s="21" t="n">
        <x:v>4</x:v>
      </x:c>
      <x:c r="H186" s="21" t="n">
        <x:v>12</x:v>
      </x:c>
      <x:c r="I186" s="21" t="str">
        <x:v>FPO-45</x:v>
      </x:c>
      <x:c r="J186" s="21" t="str">
        <x:v>TIO-04</x:v>
      </x:c>
      <x:c r="K186" s="44" t="n">
        <x:v>0.06895</x:v>
      </x:c>
      <x:c r="L186" s="21" t="n">
        <x:v>3</x:v>
      </x:c>
      <x:c r="M186" s="21" t="n">
        <x:v>10</x:v>
      </x:c>
      <x:c r="N186" s="23" t="str">
        <x:v>HOLD</x:v>
      </x:c>
    </x:row>
    <x:row r="187">
      <x:c r="B187" s="21" t="str">
        <x:v>F46-I1</x:v>
      </x:c>
      <x:c r="C187" s="21" t="str">
        <x:v>F46</x:v>
      </x:c>
      <x:c r="D187" s="21" t="str">
        <x:v>P09</x:v>
      </x:c>
      <x:c r="E187" s="21" t="str">
        <x:v>Debris separation and material-recovery fleet increment 1</x:v>
      </x:c>
      <x:c r="F187" s="21" t="n">
        <x:v>1</x:v>
      </x:c>
      <x:c r="G187" s="21" t="n">
        <x:v>5</x:v>
      </x:c>
      <x:c r="H187" s="21" t="n">
        <x:v>12</x:v>
      </x:c>
      <x:c r="I187" s="21" t="str">
        <x:v>FPO-46</x:v>
      </x:c>
      <x:c r="J187" s="21" t="str">
        <x:v>TIO-05</x:v>
      </x:c>
      <x:c r="K187" s="44" t="n">
        <x:v>0.06895</x:v>
      </x:c>
      <x:c r="L187" s="21" t="n">
        <x:v>3</x:v>
      </x:c>
      <x:c r="M187" s="21" t="n">
        <x:v>10</x:v>
      </x:c>
      <x:c r="N187" s="23" t="str">
        <x:v>HOLD</x:v>
      </x:c>
    </x:row>
    <x:row r="188">
      <x:c r="B188" s="21" t="str">
        <x:v>F46-I2</x:v>
      </x:c>
      <x:c r="C188" s="21" t="str">
        <x:v>F46</x:v>
      </x:c>
      <x:c r="D188" s="21" t="str">
        <x:v>P09</x:v>
      </x:c>
      <x:c r="E188" s="21" t="str">
        <x:v>Debris separation and material-recovery fleet increment 2</x:v>
      </x:c>
      <x:c r="F188" s="21" t="n">
        <x:v>2</x:v>
      </x:c>
      <x:c r="G188" s="21" t="n">
        <x:v>6</x:v>
      </x:c>
      <x:c r="H188" s="21" t="n">
        <x:v>12</x:v>
      </x:c>
      <x:c r="I188" s="21" t="str">
        <x:v>FPO-46</x:v>
      </x:c>
      <x:c r="J188" s="21" t="str">
        <x:v>TIO-06</x:v>
      </x:c>
      <x:c r="K188" s="44" t="n">
        <x:v>0.06895</x:v>
      </x:c>
      <x:c r="L188" s="21" t="n">
        <x:v>3</x:v>
      </x:c>
      <x:c r="M188" s="21" t="n">
        <x:v>10</x:v>
      </x:c>
      <x:c r="N188" s="23" t="str">
        <x:v>HOLD</x:v>
      </x:c>
    </x:row>
    <x:row r="189">
      <x:c r="B189" s="21" t="str">
        <x:v>F46-I3</x:v>
      </x:c>
      <x:c r="C189" s="21" t="str">
        <x:v>F46</x:v>
      </x:c>
      <x:c r="D189" s="21" t="str">
        <x:v>P09</x:v>
      </x:c>
      <x:c r="E189" s="21" t="str">
        <x:v>Debris separation and material-recovery fleet increment 3</x:v>
      </x:c>
      <x:c r="F189" s="21" t="n">
        <x:v>3</x:v>
      </x:c>
      <x:c r="G189" s="21" t="n">
        <x:v>7</x:v>
      </x:c>
      <x:c r="H189" s="21" t="n">
        <x:v>12</x:v>
      </x:c>
      <x:c r="I189" s="21" t="str">
        <x:v>FPO-46</x:v>
      </x:c>
      <x:c r="J189" s="21" t="str">
        <x:v>TIO-07</x:v>
      </x:c>
      <x:c r="K189" s="44" t="n">
        <x:v>0.06895</x:v>
      </x:c>
      <x:c r="L189" s="21" t="n">
        <x:v>3</x:v>
      </x:c>
      <x:c r="M189" s="21" t="n">
        <x:v>10</x:v>
      </x:c>
      <x:c r="N189" s="23" t="str">
        <x:v>HOLD</x:v>
      </x:c>
    </x:row>
    <x:row r="190">
      <x:c r="B190" s="21" t="str">
        <x:v>F46-I4</x:v>
      </x:c>
      <x:c r="C190" s="21" t="str">
        <x:v>F46</x:v>
      </x:c>
      <x:c r="D190" s="21" t="str">
        <x:v>P09</x:v>
      </x:c>
      <x:c r="E190" s="21" t="str">
        <x:v>Debris separation and material-recovery fleet increment 4</x:v>
      </x:c>
      <x:c r="F190" s="21" t="n">
        <x:v>4</x:v>
      </x:c>
      <x:c r="G190" s="21" t="n">
        <x:v>8</x:v>
      </x:c>
      <x:c r="H190" s="21" t="n">
        <x:v>12</x:v>
      </x:c>
      <x:c r="I190" s="21" t="str">
        <x:v>FPO-46</x:v>
      </x:c>
      <x:c r="J190" s="21" t="str">
        <x:v>TIO-08</x:v>
      </x:c>
      <x:c r="K190" s="44" t="n">
        <x:v>0.06895</x:v>
      </x:c>
      <x:c r="L190" s="21" t="n">
        <x:v>3</x:v>
      </x:c>
      <x:c r="M190" s="21" t="n">
        <x:v>10</x:v>
      </x:c>
      <x:c r="N190" s="23" t="str">
        <x:v>HOLD</x:v>
      </x:c>
    </x:row>
    <x:row r="191">
      <x:c r="B191" s="21" t="str">
        <x:v>F47-I1</x:v>
      </x:c>
      <x:c r="C191" s="21" t="str">
        <x:v>F47</x:v>
      </x:c>
      <x:c r="D191" s="21" t="str">
        <x:v>P09</x:v>
      </x:c>
      <x:c r="E191" s="21" t="str">
        <x:v>Municipal service-restoration block increment 1</x:v>
      </x:c>
      <x:c r="F191" s="21" t="n">
        <x:v>1</x:v>
      </x:c>
      <x:c r="G191" s="21" t="n">
        <x:v>9</x:v>
      </x:c>
      <x:c r="H191" s="21" t="n">
        <x:v>12</x:v>
      </x:c>
      <x:c r="I191" s="21" t="str">
        <x:v>FPO-47</x:v>
      </x:c>
      <x:c r="J191" s="21" t="str">
        <x:v>TIO-09</x:v>
      </x:c>
      <x:c r="K191" s="44" t="n">
        <x:v>0.06895</x:v>
      </x:c>
      <x:c r="L191" s="21" t="n">
        <x:v>3</x:v>
      </x:c>
      <x:c r="M191" s="21" t="n">
        <x:v>10</x:v>
      </x:c>
      <x:c r="N191" s="23" t="str">
        <x:v>HOLD</x:v>
      </x:c>
    </x:row>
    <x:row r="192">
      <x:c r="B192" s="21" t="str">
        <x:v>F47-I2</x:v>
      </x:c>
      <x:c r="C192" s="21" t="str">
        <x:v>F47</x:v>
      </x:c>
      <x:c r="D192" s="21" t="str">
        <x:v>P09</x:v>
      </x:c>
      <x:c r="E192" s="21" t="str">
        <x:v>Municipal service-restoration block increment 2</x:v>
      </x:c>
      <x:c r="F192" s="21" t="n">
        <x:v>2</x:v>
      </x:c>
      <x:c r="G192" s="21" t="n">
        <x:v>10</x:v>
      </x:c>
      <x:c r="H192" s="21" t="n">
        <x:v>12</x:v>
      </x:c>
      <x:c r="I192" s="21" t="str">
        <x:v>FPO-47</x:v>
      </x:c>
      <x:c r="J192" s="21" t="str">
        <x:v>TIO-10</x:v>
      </x:c>
      <x:c r="K192" s="44" t="n">
        <x:v>0.06895</x:v>
      </x:c>
      <x:c r="L192" s="21" t="n">
        <x:v>3</x:v>
      </x:c>
      <x:c r="M192" s="21" t="n">
        <x:v>10</x:v>
      </x:c>
      <x:c r="N192" s="23" t="str">
        <x:v>HOLD</x:v>
      </x:c>
    </x:row>
    <x:row r="193">
      <x:c r="B193" s="21" t="str">
        <x:v>F47-I3</x:v>
      </x:c>
      <x:c r="C193" s="21" t="str">
        <x:v>F47</x:v>
      </x:c>
      <x:c r="D193" s="21" t="str">
        <x:v>P09</x:v>
      </x:c>
      <x:c r="E193" s="21" t="str">
        <x:v>Municipal service-restoration block increment 3</x:v>
      </x:c>
      <x:c r="F193" s="21" t="n">
        <x:v>3</x:v>
      </x:c>
      <x:c r="G193" s="21" t="n">
        <x:v>11</x:v>
      </x:c>
      <x:c r="H193" s="21" t="n">
        <x:v>12</x:v>
      </x:c>
      <x:c r="I193" s="21" t="str">
        <x:v>FPO-47</x:v>
      </x:c>
      <x:c r="J193" s="21" t="str">
        <x:v>TIO-11</x:v>
      </x:c>
      <x:c r="K193" s="44" t="n">
        <x:v>0.06895</x:v>
      </x:c>
      <x:c r="L193" s="21" t="n">
        <x:v>3</x:v>
      </x:c>
      <x:c r="M193" s="21" t="n">
        <x:v>10</x:v>
      </x:c>
      <x:c r="N193" s="23" t="str">
        <x:v>HOLD</x:v>
      </x:c>
    </x:row>
    <x:row r="194">
      <x:c r="B194" s="21" t="str">
        <x:v>F47-I4</x:v>
      </x:c>
      <x:c r="C194" s="21" t="str">
        <x:v>F47</x:v>
      </x:c>
      <x:c r="D194" s="21" t="str">
        <x:v>P09</x:v>
      </x:c>
      <x:c r="E194" s="21" t="str">
        <x:v>Municipal service-restoration block increment 4</x:v>
      </x:c>
      <x:c r="F194" s="21" t="n">
        <x:v>4</x:v>
      </x:c>
      <x:c r="G194" s="21" t="n">
        <x:v>12</x:v>
      </x:c>
      <x:c r="H194" s="21" t="n">
        <x:v>12</x:v>
      </x:c>
      <x:c r="I194" s="21" t="str">
        <x:v>FPO-47</x:v>
      </x:c>
      <x:c r="J194" s="21" t="str">
        <x:v>TIO-12</x:v>
      </x:c>
      <x:c r="K194" s="44" t="n">
        <x:v>0.06895</x:v>
      </x:c>
      <x:c r="L194" s="21" t="n">
        <x:v>3</x:v>
      </x:c>
      <x:c r="M194" s="21" t="n">
        <x:v>10</x:v>
      </x:c>
      <x:c r="N194" s="23" t="str">
        <x:v>HOLD</x:v>
      </x:c>
    </x:row>
    <x:row r="195">
      <x:c r="B195" s="21" t="str">
        <x:v>F48-I1</x:v>
      </x:c>
      <x:c r="C195" s="21" t="str">
        <x:v>F48</x:v>
      </x:c>
      <x:c r="D195" s="21" t="str">
        <x:v>P09</x:v>
      </x:c>
      <x:c r="E195" s="21" t="str">
        <x:v>Economic-continuity logistics and finance cell increment 1</x:v>
      </x:c>
      <x:c r="F195" s="21" t="n">
        <x:v>1</x:v>
      </x:c>
      <x:c r="G195" s="21" t="n">
        <x:v>13</x:v>
      </x:c>
      <x:c r="H195" s="21" t="n">
        <x:v>12</x:v>
      </x:c>
      <x:c r="I195" s="21" t="str">
        <x:v>FPO-48</x:v>
      </x:c>
      <x:c r="J195" s="21" t="str">
        <x:v>TIO-13</x:v>
      </x:c>
      <x:c r="K195" s="44" t="n">
        <x:v>0.06895</x:v>
      </x:c>
      <x:c r="L195" s="21" t="n">
        <x:v>3</x:v>
      </x:c>
      <x:c r="M195" s="21" t="n">
        <x:v>10</x:v>
      </x:c>
      <x:c r="N195" s="23" t="str">
        <x:v>HOLD</x:v>
      </x:c>
    </x:row>
    <x:row r="196">
      <x:c r="B196" s="21" t="str">
        <x:v>F48-I2</x:v>
      </x:c>
      <x:c r="C196" s="21" t="str">
        <x:v>F48</x:v>
      </x:c>
      <x:c r="D196" s="21" t="str">
        <x:v>P09</x:v>
      </x:c>
      <x:c r="E196" s="21" t="str">
        <x:v>Economic-continuity logistics and finance cell increment 2</x:v>
      </x:c>
      <x:c r="F196" s="21" t="n">
        <x:v>2</x:v>
      </x:c>
      <x:c r="G196" s="21" t="n">
        <x:v>14</x:v>
      </x:c>
      <x:c r="H196" s="21" t="n">
        <x:v>12</x:v>
      </x:c>
      <x:c r="I196" s="21" t="str">
        <x:v>FPO-48</x:v>
      </x:c>
      <x:c r="J196" s="21" t="str">
        <x:v>TIO-14</x:v>
      </x:c>
      <x:c r="K196" s="44" t="n">
        <x:v>0.06895</x:v>
      </x:c>
      <x:c r="L196" s="21" t="n">
        <x:v>3</x:v>
      </x:c>
      <x:c r="M196" s="21" t="n">
        <x:v>10</x:v>
      </x:c>
      <x:c r="N196" s="23" t="str">
        <x:v>HOLD</x:v>
      </x:c>
    </x:row>
    <x:row r="197">
      <x:c r="B197" s="21" t="str">
        <x:v>F48-I3</x:v>
      </x:c>
      <x:c r="C197" s="21" t="str">
        <x:v>F48</x:v>
      </x:c>
      <x:c r="D197" s="21" t="str">
        <x:v>P09</x:v>
      </x:c>
      <x:c r="E197" s="21" t="str">
        <x:v>Economic-continuity logistics and finance cell increment 3</x:v>
      </x:c>
      <x:c r="F197" s="21" t="n">
        <x:v>3</x:v>
      </x:c>
      <x:c r="G197" s="21" t="n">
        <x:v>15</x:v>
      </x:c>
      <x:c r="H197" s="21" t="n">
        <x:v>12</x:v>
      </x:c>
      <x:c r="I197" s="21" t="str">
        <x:v>FPO-48</x:v>
      </x:c>
      <x:c r="J197" s="21" t="str">
        <x:v>TIO-15</x:v>
      </x:c>
      <x:c r="K197" s="44" t="n">
        <x:v>0.06895</x:v>
      </x:c>
      <x:c r="L197" s="21" t="n">
        <x:v>3</x:v>
      </x:c>
      <x:c r="M197" s="21" t="n">
        <x:v>10</x:v>
      </x:c>
      <x:c r="N197" s="23" t="str">
        <x:v>HOLD</x:v>
      </x:c>
    </x:row>
    <x:row r="198">
      <x:c r="B198" s="24" t="str">
        <x:v>F48-I4</x:v>
      </x:c>
      <x:c r="C198" s="24" t="str">
        <x:v>F48</x:v>
      </x:c>
      <x:c r="D198" s="24" t="str">
        <x:v>P09</x:v>
      </x:c>
      <x:c r="E198" s="24" t="str">
        <x:v>Economic-continuity logistics and finance cell increment 4</x:v>
      </x:c>
      <x:c r="F198" s="24" t="n">
        <x:v>4</x:v>
      </x:c>
      <x:c r="G198" s="24" t="n">
        <x:v>16</x:v>
      </x:c>
      <x:c r="H198" s="24" t="n">
        <x:v>12</x:v>
      </x:c>
      <x:c r="I198" s="24" t="str">
        <x:v>FPO-48</x:v>
      </x:c>
      <x:c r="J198" s="24" t="str">
        <x:v>TIO-16</x:v>
      </x:c>
      <x:c r="K198" s="45" t="n">
        <x:v>0.06895</x:v>
      </x:c>
      <x:c r="L198" s="24" t="n">
        <x:v>3</x:v>
      </x:c>
      <x:c r="M198" s="24" t="n">
        <x:v>10</x:v>
      </x:c>
      <x:c r="N198" s="26" t="str">
        <x:v>HOLD</x:v>
      </x:c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</x:row>
  </x:sheetData>
  <x:mergeCells>
    <x:mergeCell ref="B3:N3"/>
  </x:mergeCells>
  <x:conditionalFormatting sqref="N7:N198">
    <x:cfRule type="containsText" dxfId="5" priority="1" operator="containsText" text="OPEN"/>
    <x:cfRule type="containsText" dxfId="6" priority="2" operator="containsText" text="HOLD"/>
    <x:cfRule type="containsText" dxfId="7" priority="3" operator="containsText" text="BLOCKED"/>
    <x:cfRule type="containsText" dxfId="8" priority="4" operator="containsText" text="FAIL"/>
    <x:cfRule type="containsText" dxfId="9" priority="5" operator="containsText" text="PAS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  <x:col min="11" max="11" width="12" hidden="0" customWidth="1"/>
    <x:col min="12" max="12" width="12" hidden="0" customWidth="1"/>
  </x:cols>
  <x:sheetData>
    <x:row r="2">
      <x:c r="B2" s="3" t="str">
        <x:v>Separated authority constitution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B3" s="4" t="str">
        <x:v>Ambition is made governable by preventing the same institution from defining an effect, building an answer, accepting evidence, certifying cost, receiving service, and releasing production.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>
      <x:c r="B6" s="19" t="str">
        <x:v>Authority</x:v>
      </x:c>
      <x:c r="C6" s="20" t="str">
        <x:v>Institution</x:v>
      </x:c>
      <x:c r="D6" s="20" t="str">
        <x:v>Affirmative power</x:v>
      </x:c>
      <x:c r="E6" s="20" t="str">
        <x:v>Forbidden power</x:v>
      </x:c>
      <x:c r="F6" s="20" t="str">
        <x:v>Failure consequence</x:v>
      </x:c>
      <x:c r="G6" s="2"/>
      <x:c r="H6" s="2"/>
      <x:c r="I6" s="2"/>
      <x:c r="J6" s="2"/>
      <x:c r="K6" s="2"/>
      <x:c r="L6" s="2"/>
    </x:row>
    <x:row r="7" ht="48" customHeight="1">
      <x:c r="B7" s="35" t="str">
        <x:v>A01</x:v>
      </x:c>
      <x:c r="C7" s="35" t="str">
        <x:v>Civil Guarantee Authority</x:v>
      </x:c>
      <x:c r="D7" s="35" t="str">
        <x:v>accepts effect and public burden</x:v>
      </x:c>
      <x:c r="E7" s="35" t="str">
        <x:v>cannot select builder or release production</x:v>
      </x:c>
      <x:c r="F7" s="38" t="str">
        <x:v>finding withheld; downstream chain remains closed</x:v>
      </x:c>
      <x:c r="G7" s="2"/>
      <x:c r="H7" s="2"/>
      <x:c r="I7" s="2"/>
      <x:c r="J7" s="2"/>
      <x:c r="K7" s="2"/>
      <x:c r="L7" s="2"/>
    </x:row>
    <x:row r="8" ht="48" customHeight="1">
      <x:c r="B8" s="35" t="str">
        <x:v>A02</x:v>
      </x:c>
      <x:c r="C8" s="35" t="str">
        <x:v>Resilience Staff</x:v>
      </x:c>
      <x:c r="D8" s="35" t="str">
        <x:v>sets requirements and portfolio priority</x:v>
      </x:c>
      <x:c r="E8" s="35" t="str">
        <x:v>cannot grade evidence or waive data</x:v>
      </x:c>
      <x:c r="F8" s="38" t="str">
        <x:v>finding withheld; downstream chain remains closed</x:v>
      </x:c>
      <x:c r="G8" s="2"/>
      <x:c r="H8" s="2"/>
      <x:c r="I8" s="2"/>
      <x:c r="J8" s="2"/>
      <x:c r="K8" s="2"/>
      <x:c r="L8" s="2"/>
    </x:row>
    <x:row r="9" ht="48" customHeight="1">
      <x:c r="B9" s="35" t="str">
        <x:v>A03</x:v>
      </x:c>
      <x:c r="C9" s="35" t="str">
        <x:v>AIMC</x:v>
      </x:c>
      <x:c r="D9" s="35" t="str">
        <x:v>designs buys builds and mobilizes</x:v>
      </x:c>
      <x:c r="E9" s="35" t="str">
        <x:v>cannot accept its own evidence</x:v>
      </x:c>
      <x:c r="F9" s="38" t="str">
        <x:v>finding withheld; downstream chain remains closed</x:v>
      </x:c>
      <x:c r="G9" s="2"/>
      <x:c r="H9" s="2"/>
      <x:c r="I9" s="2"/>
      <x:c r="J9" s="2"/>
      <x:c r="K9" s="2"/>
      <x:c r="L9" s="2"/>
    </x:row>
    <x:row r="10" ht="48" customHeight="1">
      <x:c r="B10" s="35" t="str">
        <x:v>A04</x:v>
      </x:c>
      <x:c r="C10" s="35" t="str">
        <x:v>Independent Evidence and Data Authority</x:v>
      </x:c>
      <x:c r="D10" s="35" t="str">
        <x:v>owns methods originals configuration findings and reproduction</x:v>
      </x:c>
      <x:c r="E10" s="35" t="str">
        <x:v>cannot own program schedule or builder</x:v>
      </x:c>
      <x:c r="F10" s="38" t="str">
        <x:v>finding withheld; downstream chain remains closed</x:v>
      </x:c>
      <x:c r="G10" s="2"/>
      <x:c r="H10" s="2"/>
      <x:c r="I10" s="2"/>
      <x:c r="J10" s="2"/>
      <x:c r="K10" s="2"/>
      <x:c r="L10" s="2"/>
    </x:row>
    <x:row r="11" ht="48" customHeight="1">
      <x:c r="B11" s="35" t="str">
        <x:v>A05</x:v>
      </x:c>
      <x:c r="C11" s="35" t="str">
        <x:v>Receiving Service Authority</x:v>
      </x:c>
      <x:c r="D11" s="35" t="str">
        <x:v>accepts operational suitability and local burden</x:v>
      </x:c>
      <x:c r="E11" s="35" t="str">
        <x:v>cannot rewrite national guarantee</x:v>
      </x:c>
      <x:c r="F11" s="38" t="str">
        <x:v>finding withheld; downstream chain remains closed</x:v>
      </x:c>
      <x:c r="G11" s="2"/>
      <x:c r="H11" s="2"/>
      <x:c r="I11" s="2"/>
      <x:c r="J11" s="2"/>
      <x:c r="K11" s="2"/>
      <x:c r="L11" s="2"/>
    </x:row>
    <x:row r="12" ht="48" customHeight="1">
      <x:c r="B12" s="35" t="str">
        <x:v>A06</x:v>
      </x:c>
      <x:c r="C12" s="35" t="str">
        <x:v>Independent Cost and Capacity Authority</x:v>
      </x:c>
      <x:c r="D12" s="35" t="str">
        <x:v>certifies cost capacity and opportunity cost</x:v>
      </x:c>
      <x:c r="E12" s="35" t="str">
        <x:v>cannot accept mission effect</x:v>
      </x:c>
      <x:c r="F12" s="38" t="str">
        <x:v>finding withheld; downstream chain remains closed</x:v>
      </x:c>
      <x:c r="G12" s="2"/>
      <x:c r="H12" s="2"/>
      <x:c r="I12" s="2"/>
      <x:c r="J12" s="2"/>
      <x:c r="K12" s="2"/>
      <x:c r="L12" s="2"/>
    </x:row>
    <x:row r="13" ht="48" customHeight="1">
      <x:c r="B13" s="39" t="str">
        <x:v>A07</x:v>
      </x:c>
      <x:c r="C13" s="39" t="str">
        <x:v>Production Release Board</x:v>
      </x:c>
      <x:c r="D13" s="39" t="str">
        <x:v>integrates valid findings into serial or mobilization release</x:v>
      </x:c>
      <x:c r="E13" s="39" t="str">
        <x:v>cannot create missing evidence by vote</x:v>
      </x:c>
      <x:c r="F13" s="42" t="str">
        <x:v>finding withheld; downstream chain remains closed</x:v>
      </x:c>
      <x:c r="G13" s="2"/>
      <x:c r="H13" s="2"/>
      <x:c r="I13" s="2"/>
      <x:c r="J13" s="2"/>
      <x:c r="K13" s="2"/>
      <x:c r="L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B16" s="29" t="str">
        <x:v>Artifact transaction</x:v>
      </x:c>
      <x:c r="C16" s="30" t="str">
        <x:v>Artifact transaction</x:v>
      </x:c>
      <x:c r="D16" s="30" t="str">
        <x:v>Artifact transaction</x:v>
      </x:c>
      <x:c r="E16" s="30" t="str">
        <x:v>Artifact transaction</x:v>
      </x:c>
      <x:c r="F16" s="30" t="str">
        <x:v>Artifact transaction</x:v>
      </x:c>
      <x:c r="G16" s="30" t="str">
        <x:v>Artifact transaction</x:v>
      </x:c>
      <x:c r="H16" s="30" t="str">
        <x:v>Artifact transaction</x:v>
      </x:c>
      <x:c r="I16" s="30" t="str">
        <x:v>Artifact transaction</x:v>
      </x:c>
      <x:c r="J16" s="30" t="str">
        <x:v>Artifact transaction</x:v>
      </x:c>
      <x:c r="K16" s="30" t="str">
        <x:v>Artifact transaction</x:v>
      </x:c>
      <x:c r="L16" s="31" t="str">
        <x:v>Artifact transaction</x:v>
      </x:c>
    </x:row>
    <x:row r="17">
      <x:c r="B17" s="19" t="str">
        <x:v>Artifact</x:v>
      </x:c>
      <x:c r="C17" s="20" t="str">
        <x:v>Civil guarantee</x:v>
      </x:c>
      <x:c r="D17" s="20" t="str">
        <x:v>Requirements</x:v>
      </x:c>
      <x:c r="E17" s="20" t="str">
        <x:v>Builder</x:v>
      </x:c>
      <x:c r="F17" s="20" t="str">
        <x:v>Evidence/data</x:v>
      </x:c>
      <x:c r="G17" s="20" t="str">
        <x:v>Receiver</x:v>
      </x:c>
      <x:c r="H17" s="20" t="str">
        <x:v>Cost/capacity</x:v>
      </x:c>
      <x:c r="I17" s="20" t="str">
        <x:v>Release board</x:v>
      </x:c>
      <x:c r="J17" s="20" t="str">
        <x:v>Valid transaction</x:v>
      </x:c>
      <x:c r="K17" s="20" t="str">
        <x:v>Evidence</x:v>
      </x:c>
      <x:c r="L17" s="20" t="str">
        <x:v>Decision</x:v>
      </x:c>
    </x:row>
    <x:row r="18" ht="31" customHeight="1">
      <x:c r="B18" s="35" t="str">
        <x:v>Civil effect charter</x:v>
      </x:c>
      <x:c r="C18" s="35" t="str">
        <x:v>ACCEPT</x:v>
      </x:c>
      <x:c r="D18" s="35" t="str">
        <x:v>AUTHOR</x:v>
      </x:c>
      <x:c r="E18" s="35" t="str">
        <x:v>INFORM</x:v>
      </x:c>
      <x:c r="F18" s="35" t="str">
        <x:v>CUSTODY</x:v>
      </x:c>
      <x:c r="G18" s="35" t="str">
        <x:v>CONSULT</x:v>
      </x:c>
      <x:c r="H18" s="35" t="str">
        <x:v>COST VIEW</x:v>
      </x:c>
      <x:c r="I18" s="35" t="str">
        <x:v>NO</x:v>
      </x:c>
      <x:c r="J18" s="35" t="str">
        <x:v>charter + invalid-state grammar</x:v>
      </x:c>
      <x:c r="K18" s="35" t="str">
        <x:v>OPEN</x:v>
      </x:c>
      <x:c r="L18" s="38" t="str">
        <x:v>HOLD</x:v>
      </x:c>
    </x:row>
    <x:row r="19" ht="31" customHeight="1">
      <x:c r="B19" s="35" t="str">
        <x:v>Requirement and root-independence package</x:v>
      </x:c>
      <x:c r="C19" s="35" t="str">
        <x:v>CONSENT</x:v>
      </x:c>
      <x:c r="D19" s="35" t="str">
        <x:v>ACCEPT</x:v>
      </x:c>
      <x:c r="E19" s="35" t="str">
        <x:v>PRODUCE</x:v>
      </x:c>
      <x:c r="F19" s="35" t="str">
        <x:v>VERIFY</x:v>
      </x:c>
      <x:c r="G19" s="35" t="str">
        <x:v>CONSULT</x:v>
      </x:c>
      <x:c r="H19" s="35" t="str">
        <x:v>COST VIEW</x:v>
      </x:c>
      <x:c r="I19" s="35" t="str">
        <x:v>NO</x:v>
      </x:c>
      <x:c r="J19" s="35" t="str">
        <x:v>requirement + ancestry finding</x:v>
      </x:c>
      <x:c r="K19" s="35" t="str">
        <x:v>OPEN</x:v>
      </x:c>
      <x:c r="L19" s="38" t="str">
        <x:v>HOLD</x:v>
      </x:c>
    </x:row>
    <x:row r="20" ht="31" customHeight="1">
      <x:c r="B20" s="35" t="str">
        <x:v>Architecture and burden closure</x:v>
      </x:c>
      <x:c r="C20" s="35" t="str">
        <x:v>CONSENT</x:v>
      </x:c>
      <x:c r="D20" s="35" t="str">
        <x:v>CONCUR</x:v>
      </x:c>
      <x:c r="E20" s="35" t="str">
        <x:v>PRODUCE</x:v>
      </x:c>
      <x:c r="F20" s="35" t="str">
        <x:v>ACCEPT</x:v>
      </x:c>
      <x:c r="G20" s="35" t="str">
        <x:v>CONCUR</x:v>
      </x:c>
      <x:c r="H20" s="35" t="str">
        <x:v>COST VIEW</x:v>
      </x:c>
      <x:c r="I20" s="35" t="str">
        <x:v>NO</x:v>
      </x:c>
      <x:c r="J20" s="35" t="str">
        <x:v>baseline + coupled budgets</x:v>
      </x:c>
      <x:c r="K20" s="35" t="str">
        <x:v>OPEN</x:v>
      </x:c>
      <x:c r="L20" s="38" t="str">
        <x:v>HOLD</x:v>
      </x:c>
    </x:row>
    <x:row r="21" ht="31" customHeight="1">
      <x:c r="B21" s="35" t="str">
        <x:v>Engineering article acceptance</x:v>
      </x:c>
      <x:c r="C21" s="35" t="str">
        <x:v>INFORM</x:v>
      </x:c>
      <x:c r="D21" s="35" t="str">
        <x:v>CONCUR</x:v>
      </x:c>
      <x:c r="E21" s="35" t="str">
        <x:v>PRODUCE</x:v>
      </x:c>
      <x:c r="F21" s="35" t="str">
        <x:v>ACCEPT</x:v>
      </x:c>
      <x:c r="G21" s="35" t="str">
        <x:v>OBSERVE</x:v>
      </x:c>
      <x:c r="H21" s="35" t="str">
        <x:v>COST VIEW</x:v>
      </x:c>
      <x:c r="I21" s="35" t="str">
        <x:v>NO</x:v>
      </x:c>
      <x:c r="J21" s="35" t="str">
        <x:v>serialized as-built article</x:v>
      </x:c>
      <x:c r="K21" s="35" t="str">
        <x:v>OPEN</x:v>
      </x:c>
      <x:c r="L21" s="38" t="str">
        <x:v>HOLD</x:v>
      </x:c>
    </x:row>
    <x:row r="22" ht="31" customHeight="1">
      <x:c r="B22" s="35" t="str">
        <x:v>Qualification and destructive evidence</x:v>
      </x:c>
      <x:c r="C22" s="35" t="str">
        <x:v>INFORM</x:v>
      </x:c>
      <x:c r="D22" s="35" t="str">
        <x:v>CONCUR</x:v>
      </x:c>
      <x:c r="E22" s="35" t="str">
        <x:v>SUPPORT</x:v>
      </x:c>
      <x:c r="F22" s="35" t="str">
        <x:v>ACCEPT</x:v>
      </x:c>
      <x:c r="G22" s="35" t="str">
        <x:v>OBSERVE</x:v>
      </x:c>
      <x:c r="H22" s="35" t="str">
        <x:v>COST VIEW</x:v>
      </x:c>
      <x:c r="I22" s="35" t="str">
        <x:v>NO</x:v>
      </x:c>
      <x:c r="J22" s="35" t="str">
        <x:v>independent limit finding</x:v>
      </x:c>
      <x:c r="K22" s="35" t="str">
        <x:v>OPEN</x:v>
      </x:c>
      <x:c r="L22" s="38" t="str">
        <x:v>HOLD</x:v>
      </x:c>
    </x:row>
    <x:row r="23" ht="31" customHeight="1">
      <x:c r="B23" s="35" t="str">
        <x:v>Representative mission result</x:v>
      </x:c>
      <x:c r="C23" s="35" t="str">
        <x:v>CONSENT</x:v>
      </x:c>
      <x:c r="D23" s="35" t="str">
        <x:v>CONCUR</x:v>
      </x:c>
      <x:c r="E23" s="35" t="str">
        <x:v>SUPPORT</x:v>
      </x:c>
      <x:c r="F23" s="35" t="str">
        <x:v>CO-ACCEPT</x:v>
      </x:c>
      <x:c r="G23" s="35" t="str">
        <x:v>CO-ACCEPT</x:v>
      </x:c>
      <x:c r="H23" s="35" t="str">
        <x:v>COST VIEW</x:v>
      </x:c>
      <x:c r="I23" s="35" t="str">
        <x:v>NO</x:v>
      </x:c>
      <x:c r="J23" s="35" t="str">
        <x:v>representative effect + burden</x:v>
      </x:c>
      <x:c r="K23" s="35" t="str">
        <x:v>OPEN</x:v>
      </x:c>
      <x:c r="L23" s="38" t="str">
        <x:v>HOLD</x:v>
      </x:c>
    </x:row>
    <x:row r="24" ht="31" customHeight="1">
      <x:c r="B24" s="35" t="str">
        <x:v>Independent reproduction</x:v>
      </x:c>
      <x:c r="C24" s="35" t="str">
        <x:v>INFORM</x:v>
      </x:c>
      <x:c r="D24" s="35" t="str">
        <x:v>CONCUR</x:v>
      </x:c>
      <x:c r="E24" s="35" t="str">
        <x:v>NO</x:v>
      </x:c>
      <x:c r="F24" s="35" t="str">
        <x:v>ACCEPT</x:v>
      </x:c>
      <x:c r="G24" s="35" t="str">
        <x:v>OBSERVE</x:v>
      </x:c>
      <x:c r="H24" s="35" t="str">
        <x:v>COST VIEW</x:v>
      </x:c>
      <x:c r="I24" s="35" t="str">
        <x:v>NO</x:v>
      </x:c>
      <x:c r="J24" s="35" t="str">
        <x:v>second-team reproduction</x:v>
      </x:c>
      <x:c r="K24" s="35" t="str">
        <x:v>OPEN</x:v>
      </x:c>
      <x:c r="L24" s="38" t="str">
        <x:v>HOLD</x:v>
      </x:c>
    </x:row>
    <x:row r="25" ht="31" customHeight="1">
      <x:c r="B25" s="35" t="str">
        <x:v>Pilot-process qualification</x:v>
      </x:c>
      <x:c r="C25" s="35" t="str">
        <x:v>INFORM</x:v>
      </x:c>
      <x:c r="D25" s="35" t="str">
        <x:v>CONCUR</x:v>
      </x:c>
      <x:c r="E25" s="35" t="str">
        <x:v>PRODUCE</x:v>
      </x:c>
      <x:c r="F25" s="35" t="str">
        <x:v>ACCEPT</x:v>
      </x:c>
      <x:c r="G25" s="35" t="str">
        <x:v>OBSERVE</x:v>
      </x:c>
      <x:c r="H25" s="35" t="str">
        <x:v>ACCEPT</x:v>
      </x:c>
      <x:c r="I25" s="35" t="str">
        <x:v>NO</x:v>
      </x:c>
      <x:c r="J25" s="35" t="str">
        <x:v>yield + acceptance capability</x:v>
      </x:c>
      <x:c r="K25" s="35" t="str">
        <x:v>OPEN</x:v>
      </x:c>
      <x:c r="L25" s="38" t="str">
        <x:v>HOLD</x:v>
      </x:c>
    </x:row>
    <x:row r="26" ht="31" customHeight="1">
      <x:c r="B26" s="35" t="str">
        <x:v>Production release package</x:v>
      </x:c>
      <x:c r="C26" s="35" t="str">
        <x:v>CONSENT</x:v>
      </x:c>
      <x:c r="D26" s="35" t="str">
        <x:v>CONCUR</x:v>
      </x:c>
      <x:c r="E26" s="35" t="str">
        <x:v>PRODUCE</x:v>
      </x:c>
      <x:c r="F26" s="35" t="str">
        <x:v>ACCEPT</x:v>
      </x:c>
      <x:c r="G26" s="35" t="str">
        <x:v>ACCEPT</x:v>
      </x:c>
      <x:c r="H26" s="35" t="str">
        <x:v>ACCEPT</x:v>
      </x:c>
      <x:c r="I26" s="35" t="str">
        <x:v>RELEASE</x:v>
      </x:c>
      <x:c r="J26" s="35" t="str">
        <x:v>converged serial state</x:v>
      </x:c>
      <x:c r="K26" s="35" t="str">
        <x:v>OPEN</x:v>
      </x:c>
      <x:c r="L26" s="38" t="str">
        <x:v>HOLD</x:v>
      </x:c>
    </x:row>
    <x:row r="27" ht="31" customHeight="1">
      <x:c r="B27" s="39" t="str">
        <x:v>Mobilization activation</x:v>
      </x:c>
      <x:c r="C27" s="39" t="str">
        <x:v>CONSENT</x:v>
      </x:c>
      <x:c r="D27" s="39" t="str">
        <x:v>CONCUR</x:v>
      </x:c>
      <x:c r="E27" s="39" t="str">
        <x:v>PRODUCE</x:v>
      </x:c>
      <x:c r="F27" s="39" t="str">
        <x:v>ACCEPT</x:v>
      </x:c>
      <x:c r="G27" s="39" t="str">
        <x:v>ACCEPT</x:v>
      </x:c>
      <x:c r="H27" s="39" t="str">
        <x:v>ACCEPT</x:v>
      </x:c>
      <x:c r="I27" s="39" t="str">
        <x:v>RELEASE</x:v>
      </x:c>
      <x:c r="J27" s="39" t="str">
        <x:v>no-notice conforming service</x:v>
      </x:c>
      <x:c r="K27" s="39" t="str">
        <x:v>OPEN</x:v>
      </x:c>
      <x:c r="L27" s="42" t="str">
        <x:v>HOLD</x:v>
      </x:c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</x:sheetData>
  <x:mergeCells>
    <x:mergeCell ref="B3:L3"/>
    <x:mergeCell ref="B16:L16"/>
  </x:mergeCells>
  <x:conditionalFormatting sqref="K18:L27">
    <x:cfRule type="containsText" dxfId="10" priority="1" operator="containsText" text="OPEN"/>
    <x:cfRule type="containsText" dxfId="11" priority="2" operator="containsText" text="HOLD"/>
    <x:cfRule type="containsText" dxfId="12" priority="3" operator="containsText" text="BLOCKED"/>
    <x:cfRule type="containsText" dxfId="13" priority="4" operator="containsText" text="FAIL"/>
    <x:cfRule type="containsText" dxfId="14" priority="5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5" hidden="0" customWidth="1"/>
    <x:col min="3" max="3" width="13" hidden="0" customWidth="1"/>
    <x:col min="4" max="4" width="10" hidden="0" customWidth="1"/>
    <x:col min="5" max="5" width="10" hidden="0" customWidth="1"/>
    <x:col min="6" max="6" width="40" hidden="0" customWidth="1"/>
    <x:col min="7" max="7" width="16" hidden="0" customWidth="1"/>
    <x:col min="8" max="8" width="34" hidden="0" customWidth="1"/>
    <x:col min="9" max="9" width="14" hidden="0" customWidth="1"/>
    <x:col min="10" max="10" width="21" hidden="0" customWidth="1"/>
    <x:col min="11" max="11" width="17" hidden="0" customWidth="1"/>
    <x:col min="12" max="12" width="12" hidden="0" customWidth="1"/>
    <x:col min="13" max="13" width="17" hidden="0" customWidth="1"/>
    <x:col min="14" max="14" width="13" hidden="0" customWidth="1"/>
    <x:col min="15" max="15" width="17" hidden="0" customWidth="1"/>
    <x:col min="16" max="16" width="20" hidden="0" customWidth="1"/>
    <x:col min="17" max="17" width="12" hidden="0" customWidth="1"/>
    <x:col min="18" max="18" width="12" hidden="0" customWidth="1"/>
  </x:cols>
  <x:sheetData>
    <x:row r="2">
      <x:c r="B2" s="3" t="str">
        <x:v>Authority-bearing artifact ledger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Capital becomes eligible only when the artifact is accepted, its named authority signs, the preceding chain is closed, and all three roots meet the required CTDP threshold.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19" t="str">
        <x:v>Record</x:v>
      </x:c>
      <x:c r="C6" s="20" t="str">
        <x:v>Program</x:v>
      </x:c>
      <x:c r="D6" s="20" t="str">
        <x:v>Family</x:v>
      </x:c>
      <x:c r="E6" s="20" t="str">
        <x:v>Sequence</x:v>
      </x:c>
      <x:c r="F6" s="20" t="str">
        <x:v>Artifact</x:v>
      </x:c>
      <x:c r="G6" s="20" t="str">
        <x:v>Required CTDP</x:v>
      </x:c>
      <x:c r="H6" s="20" t="str">
        <x:v>Release authority</x:v>
      </x:c>
      <x:c r="I6" s="20" t="str">
        <x:v>Capital share</x:v>
      </x:c>
      <x:c r="J6" s="20" t="str">
        <x:v>Program capital USD T</x:v>
      </x:c>
      <x:c r="K6" s="20" t="str">
        <x:v>Tranche USD T</x:v>
      </x:c>
      <x:c r="L6" s="20" t="str">
        <x:v>Accepted</x:v>
      </x:c>
      <x:c r="M6" s="20" t="str">
        <x:v>Authority signed</x:v>
      </x:c>
      <x:c r="N6" s="20" t="str">
        <x:v>Prior chain</x:v>
      </x:c>
      <x:c r="O6" s="20" t="str">
        <x:v>Root CTDP minimum</x:v>
      </x:c>
      <x:c r="P6" s="20" t="str">
        <x:v>Eligible capital USD T</x:v>
      </x:c>
      <x:c r="Q6" s="20" t="str">
        <x:v>Evidence</x:v>
      </x:c>
      <x:c r="R6" s="20" t="str">
        <x:v>Decision</x:v>
      </x:c>
    </x:row>
    <x:row r="7">
      <x:c r="B7" s="21" t="str">
        <x:v>AR-00001</x:v>
      </x:c>
      <x:c r="C7" s="21" t="str">
        <x:v>F01-I1</x:v>
      </x:c>
      <x:c r="D7" s="21" t="str">
        <x:v>F01</x:v>
      </x:c>
      <x:c r="E7" s="21" t="n">
        <x:v>1</x:v>
      </x:c>
      <x:c r="F7" s="21" t="str">
        <x:v>Civil effect charter</x:v>
      </x:c>
      <x:c r="G7" s="21" t="n">
        <x:v>0</x:v>
      </x:c>
      <x:c r="H7" s="21" t="str">
        <x:v>Civil Guarantee Authority</x:v>
      </x:c>
      <x:c r="I7" s="44" t="n">
        <x:f>Lifecycle!G7</x:f>
        <x:v>0.04941036958956453</x:v>
      </x:c>
      <x:c r="J7" s="44" t="n">
        <x:v>0.0625</x:v>
      </x:c>
      <x:c r="K7" s="44" t="n">
        <x:f>I7*J7</x:f>
        <x:v>0.0030881480993477832</x:v>
      </x:c>
      <x:c r="L7" s="46" t="n">
        <x:v>0</x:v>
      </x:c>
      <x:c r="M7" s="46" t="n">
        <x:v>0</x:v>
      </x:c>
      <x:c r="N7" s="21" t="n">
        <x:f>1</x:f>
        <x:v>1</x:v>
      </x:c>
      <x:c r="O7" s="21" t="n">
        <x:f>MIN('Root Data'!I7:I9)</x:f>
        <x:v>0</x:v>
      </x:c>
      <x:c r="P7" s="44" t="n">
        <x:f>IF(AND(L7=1,M7=1,N7=1,O7&gt;=G7),K7,0)</x:f>
        <x:v>0</x:v>
      </x:c>
      <x:c r="Q7" s="21" t="str">
        <x:v>OPEN</x:v>
      </x:c>
      <x:c r="R7" s="23" t="str">
        <x:v>HOLD</x:v>
      </x:c>
    </x:row>
    <x:row r="8">
      <x:c r="B8" s="21" t="str">
        <x:v>AR-00002</x:v>
      </x:c>
      <x:c r="C8" s="21" t="str">
        <x:v>F01-I1</x:v>
      </x:c>
      <x:c r="D8" s="21" t="str">
        <x:v>F01</x:v>
      </x:c>
      <x:c r="E8" s="21" t="n">
        <x:v>2</x:v>
      </x:c>
      <x:c r="F8" s="21" t="str">
        <x:v>Requirement and root-independence package</x:v>
      </x:c>
      <x:c r="G8" s="21" t="n">
        <x:v>8</x:v>
      </x:c>
      <x:c r="H8" s="21" t="str">
        <x:v>Resilience Staff</x:v>
      </x:c>
      <x:c r="I8" s="44" t="n">
        <x:f>Lifecycle!G8</x:f>
        <x:v>0.10211476381843337</x:v>
      </x:c>
      <x:c r="J8" s="44" t="n">
        <x:v>0.0625</x:v>
      </x:c>
      <x:c r="K8" s="44" t="n">
        <x:f>I8*J8</x:f>
        <x:v>0.006382172738652086</x:v>
      </x:c>
      <x:c r="L8" s="46" t="n">
        <x:v>0</x:v>
      </x:c>
      <x:c r="M8" s="46" t="n">
        <x:v>0</x:v>
      </x:c>
      <x:c r="N8" s="21" t="n">
        <x:f>IF(AND(L7=1,M7=1,P7&gt;0),1,0)</x:f>
        <x:v>0</x:v>
      </x:c>
      <x:c r="O8" s="21" t="n">
        <x:f>MIN('Root Data'!I7:I9)</x:f>
        <x:v>0</x:v>
      </x:c>
      <x:c r="P8" s="44" t="n">
        <x:f>IF(AND(L8=1,M8=1,N8=1,O8&gt;=G8),K8,0)</x:f>
        <x:v>0</x:v>
      </x:c>
      <x:c r="Q8" s="21" t="str">
        <x:v>OPEN</x:v>
      </x:c>
      <x:c r="R8" s="23" t="str">
        <x:v>HOLD</x:v>
      </x:c>
    </x:row>
    <x:row r="9">
      <x:c r="B9" s="21" t="str">
        <x:v>AR-00003</x:v>
      </x:c>
      <x:c r="C9" s="21" t="str">
        <x:v>F01-I1</x:v>
      </x:c>
      <x:c r="D9" s="21" t="str">
        <x:v>F01</x:v>
      </x:c>
      <x:c r="E9" s="21" t="n">
        <x:v>3</x:v>
      </x:c>
      <x:c r="F9" s="21" t="str">
        <x:v>Architecture and burden closure</x:v>
      </x:c>
      <x:c r="G9" s="21" t="n">
        <x:v>14</x:v>
      </x:c>
      <x:c r="H9" s="21" t="str">
        <x:v>Independent Evidence and Data Authority</x:v>
      </x:c>
      <x:c r="I9" s="44" t="n">
        <x:f>Lifecycle!G9</x:f>
        <x:v>0.08564464062191186</x:v>
      </x:c>
      <x:c r="J9" s="44" t="n">
        <x:v>0.0625</x:v>
      </x:c>
      <x:c r="K9" s="44" t="n">
        <x:f>I9*J9</x:f>
        <x:v>0.0053527900388694915</x:v>
      </x:c>
      <x:c r="L9" s="46" t="n">
        <x:v>0</x:v>
      </x:c>
      <x:c r="M9" s="46" t="n">
        <x:v>0</x:v>
      </x:c>
      <x:c r="N9" s="21" t="n">
        <x:f>IF(AND(L8=1,M8=1,P8&gt;0),1,0)</x:f>
        <x:v>0</x:v>
      </x:c>
      <x:c r="O9" s="21" t="n">
        <x:f>MIN('Root Data'!I7:I9)</x:f>
        <x:v>0</x:v>
      </x:c>
      <x:c r="P9" s="44" t="n">
        <x:f>IF(AND(L9=1,M9=1,N9=1,O9&gt;=G9),K9,0)</x:f>
        <x:v>0</x:v>
      </x:c>
      <x:c r="Q9" s="21" t="str">
        <x:v>OPEN</x:v>
      </x:c>
      <x:c r="R9" s="23" t="str">
        <x:v>HOLD</x:v>
      </x:c>
    </x:row>
    <x:row r="10">
      <x:c r="B10" s="21" t="str">
        <x:v>AR-00004</x:v>
      </x:c>
      <x:c r="C10" s="21" t="str">
        <x:v>F01-I1</x:v>
      </x:c>
      <x:c r="D10" s="21" t="str">
        <x:v>F01</x:v>
      </x:c>
      <x:c r="E10" s="21" t="n">
        <x:v>4</x:v>
      </x:c>
      <x:c r="F10" s="21" t="str">
        <x:v>Engineering article acceptance</x:v>
      </x:c>
      <x:c r="G10" s="21" t="n">
        <x:v>18</x:v>
      </x:c>
      <x:c r="H10" s="21" t="str">
        <x:v>Independent Evidence and Data Authority</x:v>
      </x:c>
      <x:c r="I10" s="44" t="n">
        <x:f>Lifecycle!G10</x:f>
        <x:v>0.05929244350747744</x:v>
      </x:c>
      <x:c r="J10" s="44" t="n">
        <x:v>0.0625</x:v>
      </x:c>
      <x:c r="K10" s="44" t="n">
        <x:f>I10*J10</x:f>
        <x:v>0.00370577771921734</x:v>
      </x:c>
      <x:c r="L10" s="46" t="n">
        <x:v>0</x:v>
      </x:c>
      <x:c r="M10" s="46" t="n">
        <x:v>0</x:v>
      </x:c>
      <x:c r="N10" s="21" t="n">
        <x:f>IF(AND(L9=1,M9=1,P9&gt;0),1,0)</x:f>
        <x:v>0</x:v>
      </x:c>
      <x:c r="O10" s="21" t="n">
        <x:f>MIN('Root Data'!I7:I9)</x:f>
        <x:v>0</x:v>
      </x:c>
      <x:c r="P10" s="44" t="n">
        <x:f>IF(AND(L10=1,M10=1,N10=1,O10&gt;=G10),K10,0)</x:f>
        <x:v>0</x:v>
      </x:c>
      <x:c r="Q10" s="21" t="str">
        <x:v>OPEN</x:v>
      </x:c>
      <x:c r="R10" s="23" t="str">
        <x:v>HOLD</x:v>
      </x:c>
    </x:row>
    <x:row r="11">
      <x:c r="B11" s="21" t="str">
        <x:v>AR-00005</x:v>
      </x:c>
      <x:c r="C11" s="21" t="str">
        <x:v>F01-I1</x:v>
      </x:c>
      <x:c r="D11" s="21" t="str">
        <x:v>F01</x:v>
      </x:c>
      <x:c r="E11" s="21" t="n">
        <x:v>5</x:v>
      </x:c>
      <x:c r="F11" s="21" t="str">
        <x:v>Qualification and destructive evidence</x:v>
      </x:c>
      <x:c r="G11" s="21" t="n">
        <x:v>21</x:v>
      </x:c>
      <x:c r="H11" s="21" t="str">
        <x:v>Independent Evidence and Data Authority</x:v>
      </x:c>
      <x:c r="I11" s="44" t="n">
        <x:f>Lifecycle!G11</x:f>
        <x:v>0.1515251334079979</x:v>
      </x:c>
      <x:c r="J11" s="44" t="n">
        <x:v>0.0625</x:v>
      </x:c>
      <x:c r="K11" s="44" t="n">
        <x:f>I11*J11</x:f>
        <x:v>0.009470320837999868</x:v>
      </x:c>
      <x:c r="L11" s="46" t="n">
        <x:v>0</x:v>
      </x:c>
      <x:c r="M11" s="46" t="n">
        <x:v>0</x:v>
      </x:c>
      <x:c r="N11" s="21" t="n">
        <x:f>IF(AND(L10=1,M10=1,P10&gt;0),1,0)</x:f>
        <x:v>0</x:v>
      </x:c>
      <x:c r="O11" s="21" t="n">
        <x:f>MIN('Root Data'!I7:I9)</x:f>
        <x:v>0</x:v>
      </x:c>
      <x:c r="P11" s="44" t="n">
        <x:f>IF(AND(L11=1,M11=1,N11=1,O11&gt;=G11),K11,0)</x:f>
        <x:v>0</x:v>
      </x:c>
      <x:c r="Q11" s="21" t="str">
        <x:v>OPEN</x:v>
      </x:c>
      <x:c r="R11" s="23" t="str">
        <x:v>HOLD</x:v>
      </x:c>
    </x:row>
    <x:row r="12">
      <x:c r="B12" s="21" t="str">
        <x:v>AR-00006</x:v>
      </x:c>
      <x:c r="C12" s="21" t="str">
        <x:v>F01-I1</x:v>
      </x:c>
      <x:c r="D12" s="21" t="str">
        <x:v>F01</x:v>
      </x:c>
      <x:c r="E12" s="21" t="n">
        <x:v>6</x:v>
      </x:c>
      <x:c r="F12" s="21" t="str">
        <x:v>Representative mission result</x:v>
      </x:c>
      <x:c r="G12" s="21" t="n">
        <x:v>23</x:v>
      </x:c>
      <x:c r="H12" s="21" t="str">
        <x:v>Receiving Service Authority</x:v>
      </x:c>
      <x:c r="I12" s="44" t="n">
        <x:f>Lifecycle!G12</x:f>
        <x:v>0.250345872587127</x:v>
      </x:c>
      <x:c r="J12" s="44" t="n">
        <x:v>0.0625</x:v>
      </x:c>
      <x:c r="K12" s="44" t="n">
        <x:f>I12*J12</x:f>
        <x:v>0.015646617036695436</x:v>
      </x:c>
      <x:c r="L12" s="46" t="n">
        <x:v>0</x:v>
      </x:c>
      <x:c r="M12" s="46" t="n">
        <x:v>0</x:v>
      </x:c>
      <x:c r="N12" s="21" t="n">
        <x:f>IF(AND(L11=1,M11=1,P11&gt;0),1,0)</x:f>
        <x:v>0</x:v>
      </x:c>
      <x:c r="O12" s="21" t="n">
        <x:f>MIN('Root Data'!I7:I9)</x:f>
        <x:v>0</x:v>
      </x:c>
      <x:c r="P12" s="44" t="n">
        <x:f>IF(AND(L12=1,M12=1,N12=1,O12&gt;=G12),K12,0)</x:f>
        <x:v>0</x:v>
      </x:c>
      <x:c r="Q12" s="21" t="str">
        <x:v>OPEN</x:v>
      </x:c>
      <x:c r="R12" s="23" t="str">
        <x:v>HOLD</x:v>
      </x:c>
    </x:row>
    <x:row r="13">
      <x:c r="B13" s="21" t="str">
        <x:v>AR-00007</x:v>
      </x:c>
      <x:c r="C13" s="21" t="str">
        <x:v>F01-I1</x:v>
      </x:c>
      <x:c r="D13" s="21" t="str">
        <x:v>F01</x:v>
      </x:c>
      <x:c r="E13" s="21" t="n">
        <x:v>7</x:v>
      </x:c>
      <x:c r="F13" s="21" t="str">
        <x:v>Independent reproduction</x:v>
      </x:c>
      <x:c r="G13" s="21" t="n">
        <x:v>28</x:v>
      </x:c>
      <x:c r="H13" s="21" t="str">
        <x:v>Independent Evidence and Data Authority</x:v>
      </x:c>
      <x:c r="I13" s="44" t="n">
        <x:f>Lifecycle!G13</x:f>
        <x:v>0.21740562619408393</x:v>
      </x:c>
      <x:c r="J13" s="44" t="n">
        <x:v>0.0625</x:v>
      </x:c>
      <x:c r="K13" s="44" t="n">
        <x:f>I13*J13</x:f>
        <x:v>0.013587851637130246</x:v>
      </x:c>
      <x:c r="L13" s="46" t="n">
        <x:v>0</x:v>
      </x:c>
      <x:c r="M13" s="46" t="n">
        <x:v>0</x:v>
      </x:c>
      <x:c r="N13" s="21" t="n">
        <x:f>IF(AND(L12=1,M12=1,P12&gt;0),1,0)</x:f>
        <x:v>0</x:v>
      </x:c>
      <x:c r="O13" s="21" t="n">
        <x:f>MIN('Root Data'!I7:I9)</x:f>
        <x:v>0</x:v>
      </x:c>
      <x:c r="P13" s="44" t="n">
        <x:f>IF(AND(L13=1,M13=1,N13=1,O13&gt;=G13),K13,0)</x:f>
        <x:v>0</x:v>
      </x:c>
      <x:c r="Q13" s="21" t="str">
        <x:v>OPEN</x:v>
      </x:c>
      <x:c r="R13" s="23" t="str">
        <x:v>HOLD</x:v>
      </x:c>
    </x:row>
    <x:row r="14">
      <x:c r="B14" s="21" t="str">
        <x:v>AR-00008</x:v>
      </x:c>
      <x:c r="C14" s="21" t="str">
        <x:v>F01-I1</x:v>
      </x:c>
      <x:c r="D14" s="21" t="str">
        <x:v>F01</x:v>
      </x:c>
      <x:c r="E14" s="21" t="n">
        <x:v>8</x:v>
      </x:c>
      <x:c r="F14" s="21" t="str">
        <x:v>Pilot-process qualification</x:v>
      </x:c>
      <x:c r="G14" s="21" t="n">
        <x:v>28</x:v>
      </x:c>
      <x:c r="H14" s="21" t="str">
        <x:v>AIMC Industrial Mobilization Authority</x:v>
      </x:c>
      <x:c r="I14" s="44" t="n">
        <x:f>Lifecycle!G14</x:f>
        <x:v>0.03952829567165163</x:v>
      </x:c>
      <x:c r="J14" s="44" t="n">
        <x:v>0.0625</x:v>
      </x:c>
      <x:c r="K14" s="44" t="n">
        <x:f>I14*J14</x:f>
        <x:v>0.0024705184794782268</x:v>
      </x:c>
      <x:c r="L14" s="46" t="n">
        <x:v>0</x:v>
      </x:c>
      <x:c r="M14" s="46" t="n">
        <x:v>0</x:v>
      </x:c>
      <x:c r="N14" s="21" t="n">
        <x:f>IF(AND(L13=1,M13=1,P13&gt;0),1,0)</x:f>
        <x:v>0</x:v>
      </x:c>
      <x:c r="O14" s="21" t="n">
        <x:f>MIN('Root Data'!I7:I9)</x:f>
        <x:v>0</x:v>
      </x:c>
      <x:c r="P14" s="44" t="n">
        <x:f>IF(AND(L14=1,M14=1,N14=1,O14&gt;=G14),K14,0)</x:f>
        <x:v>0</x:v>
      </x:c>
      <x:c r="Q14" s="21" t="str">
        <x:v>OPEN</x:v>
      </x:c>
      <x:c r="R14" s="23" t="str">
        <x:v>HOLD</x:v>
      </x:c>
    </x:row>
    <x:row r="15">
      <x:c r="B15" s="21" t="str">
        <x:v>AR-00009</x:v>
      </x:c>
      <x:c r="C15" s="21" t="str">
        <x:v>F01-I1</x:v>
      </x:c>
      <x:c r="D15" s="21" t="str">
        <x:v>F01</x:v>
      </x:c>
      <x:c r="E15" s="21" t="n">
        <x:v>9</x:v>
      </x:c>
      <x:c r="F15" s="21" t="str">
        <x:v>Production release package</x:v>
      </x:c>
      <x:c r="G15" s="21" t="n">
        <x:v>28</x:v>
      </x:c>
      <x:c r="H15" s="21" t="str">
        <x:v>Production Release Board</x:v>
      </x:c>
      <x:c r="I15" s="44" t="n">
        <x:f>Lifecycle!G15</x:f>
        <x:v>0.01647012319652151</x:v>
      </x:c>
      <x:c r="J15" s="44" t="n">
        <x:v>0.0625</x:v>
      </x:c>
      <x:c r="K15" s="44" t="n">
        <x:f>I15*J15</x:f>
        <x:v>0.0010293826997825944</x:v>
      </x:c>
      <x:c r="L15" s="46" t="n">
        <x:v>0</x:v>
      </x:c>
      <x:c r="M15" s="46" t="n">
        <x:v>0</x:v>
      </x:c>
      <x:c r="N15" s="21" t="n">
        <x:f>IF(AND(L14=1,M14=1,P14&gt;0),1,0)</x:f>
        <x:v>0</x:v>
      </x:c>
      <x:c r="O15" s="21" t="n">
        <x:f>MIN('Root Data'!I7:I9)</x:f>
        <x:v>0</x:v>
      </x:c>
      <x:c r="P15" s="44" t="n">
        <x:f>IF(AND(L15=1,M15=1,N15=1,O15&gt;=G15),K15,0)</x:f>
        <x:v>0</x:v>
      </x:c>
      <x:c r="Q15" s="21" t="str">
        <x:v>OPEN</x:v>
      </x:c>
      <x:c r="R15" s="23" t="str">
        <x:v>HOLD</x:v>
      </x:c>
    </x:row>
    <x:row r="16">
      <x:c r="B16" s="21" t="str">
        <x:v>AR-00010</x:v>
      </x:c>
      <x:c r="C16" s="21" t="str">
        <x:v>F01-I1</x:v>
      </x:c>
      <x:c r="D16" s="21" t="str">
        <x:v>F01</x:v>
      </x:c>
      <x:c r="E16" s="21" t="n">
        <x:v>10</x:v>
      </x:c>
      <x:c r="F16" s="21" t="str">
        <x:v>Mobilization activation</x:v>
      </x:c>
      <x:c r="G16" s="21" t="n">
        <x:v>28</x:v>
      </x:c>
      <x:c r="H16" s="21" t="str">
        <x:v>Production Release Board</x:v>
      </x:c>
      <x:c r="I16" s="44" t="n">
        <x:f>Lifecycle!G16</x:f>
        <x:v>0.028262731405230914</x:v>
      </x:c>
      <x:c r="J16" s="44" t="n">
        <x:v>0.0625</x:v>
      </x:c>
      <x:c r="K16" s="44" t="n">
        <x:f>I16*J16</x:f>
        <x:v>0.0017664207128269321</x:v>
      </x:c>
      <x:c r="L16" s="46" t="n">
        <x:v>0</x:v>
      </x:c>
      <x:c r="M16" s="46" t="n">
        <x:v>0</x:v>
      </x:c>
      <x:c r="N16" s="21" t="n">
        <x:f>IF(AND(L15=1,M15=1,P15&gt;0),1,0)</x:f>
        <x:v>0</x:v>
      </x:c>
      <x:c r="O16" s="21" t="n">
        <x:f>MIN('Root Data'!I7:I9)</x:f>
        <x:v>0</x:v>
      </x:c>
      <x:c r="P16" s="44" t="n">
        <x:f>IF(AND(L16=1,M16=1,N16=1,O16&gt;=G16),K16,0)</x:f>
        <x:v>0</x:v>
      </x:c>
      <x:c r="Q16" s="21" t="str">
        <x:v>OPEN</x:v>
      </x:c>
      <x:c r="R16" s="23" t="str">
        <x:v>HOLD</x:v>
      </x:c>
    </x:row>
    <x:row r="17">
      <x:c r="B17" s="21" t="str">
        <x:v>AR-00011</x:v>
      </x:c>
      <x:c r="C17" s="21" t="str">
        <x:v>F01-I2</x:v>
      </x:c>
      <x:c r="D17" s="21" t="str">
        <x:v>F01</x:v>
      </x:c>
      <x:c r="E17" s="21" t="n">
        <x:v>1</x:v>
      </x:c>
      <x:c r="F17" s="21" t="str">
        <x:v>Civil effect charter</x:v>
      </x:c>
      <x:c r="G17" s="21" t="n">
        <x:v>0</x:v>
      </x:c>
      <x:c r="H17" s="21" t="str">
        <x:v>Civil Guarantee Authority</x:v>
      </x:c>
      <x:c r="I17" s="44" t="n">
        <x:f>Lifecycle!G7</x:f>
        <x:v>0.04941036958956453</x:v>
      </x:c>
      <x:c r="J17" s="44" t="n">
        <x:v>0.0625</x:v>
      </x:c>
      <x:c r="K17" s="44" t="n">
        <x:f>I17*J17</x:f>
        <x:v>0.0030881480993477832</x:v>
      </x:c>
      <x:c r="L17" s="46" t="n">
        <x:v>0</x:v>
      </x:c>
      <x:c r="M17" s="46" t="n">
        <x:v>0</x:v>
      </x:c>
      <x:c r="N17" s="21" t="n">
        <x:f>1</x:f>
        <x:v>1</x:v>
      </x:c>
      <x:c r="O17" s="21" t="n">
        <x:f>MIN('Root Data'!I10:I12)</x:f>
        <x:v>0</x:v>
      </x:c>
      <x:c r="P17" s="44" t="n">
        <x:f>IF(AND(L17=1,M17=1,N17=1,O17&gt;=G17),K17,0)</x:f>
        <x:v>0</x:v>
      </x:c>
      <x:c r="Q17" s="21" t="str">
        <x:v>OPEN</x:v>
      </x:c>
      <x:c r="R17" s="23" t="str">
        <x:v>HOLD</x:v>
      </x:c>
    </x:row>
    <x:row r="18">
      <x:c r="B18" s="21" t="str">
        <x:v>AR-00012</x:v>
      </x:c>
      <x:c r="C18" s="21" t="str">
        <x:v>F01-I2</x:v>
      </x:c>
      <x:c r="D18" s="21" t="str">
        <x:v>F01</x:v>
      </x:c>
      <x:c r="E18" s="21" t="n">
        <x:v>2</x:v>
      </x:c>
      <x:c r="F18" s="21" t="str">
        <x:v>Requirement and root-independence package</x:v>
      </x:c>
      <x:c r="G18" s="21" t="n">
        <x:v>8</x:v>
      </x:c>
      <x:c r="H18" s="21" t="str">
        <x:v>Resilience Staff</x:v>
      </x:c>
      <x:c r="I18" s="44" t="n">
        <x:f>Lifecycle!G8</x:f>
        <x:v>0.10211476381843337</x:v>
      </x:c>
      <x:c r="J18" s="44" t="n">
        <x:v>0.0625</x:v>
      </x:c>
      <x:c r="K18" s="44" t="n">
        <x:f>I18*J18</x:f>
        <x:v>0.006382172738652086</x:v>
      </x:c>
      <x:c r="L18" s="46" t="n">
        <x:v>0</x:v>
      </x:c>
      <x:c r="M18" s="46" t="n">
        <x:v>0</x:v>
      </x:c>
      <x:c r="N18" s="21" t="n">
        <x:f>IF(AND(L17=1,M17=1,P17&gt;0),1,0)</x:f>
        <x:v>0</x:v>
      </x:c>
      <x:c r="O18" s="21" t="n">
        <x:f>MIN('Root Data'!I10:I12)</x:f>
        <x:v>0</x:v>
      </x:c>
      <x:c r="P18" s="44" t="n">
        <x:f>IF(AND(L18=1,M18=1,N18=1,O18&gt;=G18),K18,0)</x:f>
        <x:v>0</x:v>
      </x:c>
      <x:c r="Q18" s="21" t="str">
        <x:v>OPEN</x:v>
      </x:c>
      <x:c r="R18" s="23" t="str">
        <x:v>HOLD</x:v>
      </x:c>
    </x:row>
    <x:row r="19">
      <x:c r="B19" s="21" t="str">
        <x:v>AR-00013</x:v>
      </x:c>
      <x:c r="C19" s="21" t="str">
        <x:v>F01-I2</x:v>
      </x:c>
      <x:c r="D19" s="21" t="str">
        <x:v>F01</x:v>
      </x:c>
      <x:c r="E19" s="21" t="n">
        <x:v>3</x:v>
      </x:c>
      <x:c r="F19" s="21" t="str">
        <x:v>Architecture and burden closure</x:v>
      </x:c>
      <x:c r="G19" s="21" t="n">
        <x:v>14</x:v>
      </x:c>
      <x:c r="H19" s="21" t="str">
        <x:v>Independent Evidence and Data Authority</x:v>
      </x:c>
      <x:c r="I19" s="44" t="n">
        <x:f>Lifecycle!G9</x:f>
        <x:v>0.08564464062191186</x:v>
      </x:c>
      <x:c r="J19" s="44" t="n">
        <x:v>0.0625</x:v>
      </x:c>
      <x:c r="K19" s="44" t="n">
        <x:f>I19*J19</x:f>
        <x:v>0.0053527900388694915</x:v>
      </x:c>
      <x:c r="L19" s="46" t="n">
        <x:v>0</x:v>
      </x:c>
      <x:c r="M19" s="46" t="n">
        <x:v>0</x:v>
      </x:c>
      <x:c r="N19" s="21" t="n">
        <x:f>IF(AND(L18=1,M18=1,P18&gt;0),1,0)</x:f>
        <x:v>0</x:v>
      </x:c>
      <x:c r="O19" s="21" t="n">
        <x:f>MIN('Root Data'!I10:I12)</x:f>
        <x:v>0</x:v>
      </x:c>
      <x:c r="P19" s="44" t="n">
        <x:f>IF(AND(L19=1,M19=1,N19=1,O19&gt;=G19),K19,0)</x:f>
        <x:v>0</x:v>
      </x:c>
      <x:c r="Q19" s="21" t="str">
        <x:v>OPEN</x:v>
      </x:c>
      <x:c r="R19" s="23" t="str">
        <x:v>HOLD</x:v>
      </x:c>
    </x:row>
    <x:row r="20">
      <x:c r="B20" s="21" t="str">
        <x:v>AR-00014</x:v>
      </x:c>
      <x:c r="C20" s="21" t="str">
        <x:v>F01-I2</x:v>
      </x:c>
      <x:c r="D20" s="21" t="str">
        <x:v>F01</x:v>
      </x:c>
      <x:c r="E20" s="21" t="n">
        <x:v>4</x:v>
      </x:c>
      <x:c r="F20" s="21" t="str">
        <x:v>Engineering article acceptance</x:v>
      </x:c>
      <x:c r="G20" s="21" t="n">
        <x:v>18</x:v>
      </x:c>
      <x:c r="H20" s="21" t="str">
        <x:v>Independent Evidence and Data Authority</x:v>
      </x:c>
      <x:c r="I20" s="44" t="n">
        <x:f>Lifecycle!G10</x:f>
        <x:v>0.05929244350747744</x:v>
      </x:c>
      <x:c r="J20" s="44" t="n">
        <x:v>0.0625</x:v>
      </x:c>
      <x:c r="K20" s="44" t="n">
        <x:f>I20*J20</x:f>
        <x:v>0.00370577771921734</x:v>
      </x:c>
      <x:c r="L20" s="46" t="n">
        <x:v>0</x:v>
      </x:c>
      <x:c r="M20" s="46" t="n">
        <x:v>0</x:v>
      </x:c>
      <x:c r="N20" s="21" t="n">
        <x:f>IF(AND(L19=1,M19=1,P19&gt;0),1,0)</x:f>
        <x:v>0</x:v>
      </x:c>
      <x:c r="O20" s="21" t="n">
        <x:f>MIN('Root Data'!I10:I12)</x:f>
        <x:v>0</x:v>
      </x:c>
      <x:c r="P20" s="44" t="n">
        <x:f>IF(AND(L20=1,M20=1,N20=1,O20&gt;=G20),K20,0)</x:f>
        <x:v>0</x:v>
      </x:c>
      <x:c r="Q20" s="21" t="str">
        <x:v>OPEN</x:v>
      </x:c>
      <x:c r="R20" s="23" t="str">
        <x:v>HOLD</x:v>
      </x:c>
    </x:row>
    <x:row r="21">
      <x:c r="B21" s="21" t="str">
        <x:v>AR-00015</x:v>
      </x:c>
      <x:c r="C21" s="21" t="str">
        <x:v>F01-I2</x:v>
      </x:c>
      <x:c r="D21" s="21" t="str">
        <x:v>F01</x:v>
      </x:c>
      <x:c r="E21" s="21" t="n">
        <x:v>5</x:v>
      </x:c>
      <x:c r="F21" s="21" t="str">
        <x:v>Qualification and destructive evidence</x:v>
      </x:c>
      <x:c r="G21" s="21" t="n">
        <x:v>21</x:v>
      </x:c>
      <x:c r="H21" s="21" t="str">
        <x:v>Independent Evidence and Data Authority</x:v>
      </x:c>
      <x:c r="I21" s="44" t="n">
        <x:f>Lifecycle!G11</x:f>
        <x:v>0.1515251334079979</x:v>
      </x:c>
      <x:c r="J21" s="44" t="n">
        <x:v>0.0625</x:v>
      </x:c>
      <x:c r="K21" s="44" t="n">
        <x:f>I21*J21</x:f>
        <x:v>0.009470320837999868</x:v>
      </x:c>
      <x:c r="L21" s="46" t="n">
        <x:v>0</x:v>
      </x:c>
      <x:c r="M21" s="46" t="n">
        <x:v>0</x:v>
      </x:c>
      <x:c r="N21" s="21" t="n">
        <x:f>IF(AND(L20=1,M20=1,P20&gt;0),1,0)</x:f>
        <x:v>0</x:v>
      </x:c>
      <x:c r="O21" s="21" t="n">
        <x:f>MIN('Root Data'!I10:I12)</x:f>
        <x:v>0</x:v>
      </x:c>
      <x:c r="P21" s="44" t="n">
        <x:f>IF(AND(L21=1,M21=1,N21=1,O21&gt;=G21),K21,0)</x:f>
        <x:v>0</x:v>
      </x:c>
      <x:c r="Q21" s="21" t="str">
        <x:v>OPEN</x:v>
      </x:c>
      <x:c r="R21" s="23" t="str">
        <x:v>HOLD</x:v>
      </x:c>
    </x:row>
    <x:row r="22">
      <x:c r="B22" s="21" t="str">
        <x:v>AR-00016</x:v>
      </x:c>
      <x:c r="C22" s="21" t="str">
        <x:v>F01-I2</x:v>
      </x:c>
      <x:c r="D22" s="21" t="str">
        <x:v>F01</x:v>
      </x:c>
      <x:c r="E22" s="21" t="n">
        <x:v>6</x:v>
      </x:c>
      <x:c r="F22" s="21" t="str">
        <x:v>Representative mission result</x:v>
      </x:c>
      <x:c r="G22" s="21" t="n">
        <x:v>23</x:v>
      </x:c>
      <x:c r="H22" s="21" t="str">
        <x:v>Receiving Service Authority</x:v>
      </x:c>
      <x:c r="I22" s="44" t="n">
        <x:f>Lifecycle!G12</x:f>
        <x:v>0.250345872587127</x:v>
      </x:c>
      <x:c r="J22" s="44" t="n">
        <x:v>0.0625</x:v>
      </x:c>
      <x:c r="K22" s="44" t="n">
        <x:f>I22*J22</x:f>
        <x:v>0.015646617036695436</x:v>
      </x:c>
      <x:c r="L22" s="46" t="n">
        <x:v>0</x:v>
      </x:c>
      <x:c r="M22" s="46" t="n">
        <x:v>0</x:v>
      </x:c>
      <x:c r="N22" s="21" t="n">
        <x:f>IF(AND(L21=1,M21=1,P21&gt;0),1,0)</x:f>
        <x:v>0</x:v>
      </x:c>
      <x:c r="O22" s="21" t="n">
        <x:f>MIN('Root Data'!I10:I12)</x:f>
        <x:v>0</x:v>
      </x:c>
      <x:c r="P22" s="44" t="n">
        <x:f>IF(AND(L22=1,M22=1,N22=1,O22&gt;=G22),K22,0)</x:f>
        <x:v>0</x:v>
      </x:c>
      <x:c r="Q22" s="21" t="str">
        <x:v>OPEN</x:v>
      </x:c>
      <x:c r="R22" s="23" t="str">
        <x:v>HOLD</x:v>
      </x:c>
    </x:row>
    <x:row r="23">
      <x:c r="B23" s="21" t="str">
        <x:v>AR-00017</x:v>
      </x:c>
      <x:c r="C23" s="21" t="str">
        <x:v>F01-I2</x:v>
      </x:c>
      <x:c r="D23" s="21" t="str">
        <x:v>F01</x:v>
      </x:c>
      <x:c r="E23" s="21" t="n">
        <x:v>7</x:v>
      </x:c>
      <x:c r="F23" s="21" t="str">
        <x:v>Independent reproduction</x:v>
      </x:c>
      <x:c r="G23" s="21" t="n">
        <x:v>28</x:v>
      </x:c>
      <x:c r="H23" s="21" t="str">
        <x:v>Independent Evidence and Data Authority</x:v>
      </x:c>
      <x:c r="I23" s="44" t="n">
        <x:f>Lifecycle!G13</x:f>
        <x:v>0.21740562619408393</x:v>
      </x:c>
      <x:c r="J23" s="44" t="n">
        <x:v>0.0625</x:v>
      </x:c>
      <x:c r="K23" s="44" t="n">
        <x:f>I23*J23</x:f>
        <x:v>0.013587851637130246</x:v>
      </x:c>
      <x:c r="L23" s="46" t="n">
        <x:v>0</x:v>
      </x:c>
      <x:c r="M23" s="46" t="n">
        <x:v>0</x:v>
      </x:c>
      <x:c r="N23" s="21" t="n">
        <x:f>IF(AND(L22=1,M22=1,P22&gt;0),1,0)</x:f>
        <x:v>0</x:v>
      </x:c>
      <x:c r="O23" s="21" t="n">
        <x:f>MIN('Root Data'!I10:I12)</x:f>
        <x:v>0</x:v>
      </x:c>
      <x:c r="P23" s="44" t="n">
        <x:f>IF(AND(L23=1,M23=1,N23=1,O23&gt;=G23),K23,0)</x:f>
        <x:v>0</x:v>
      </x:c>
      <x:c r="Q23" s="21" t="str">
        <x:v>OPEN</x:v>
      </x:c>
      <x:c r="R23" s="23" t="str">
        <x:v>HOLD</x:v>
      </x:c>
    </x:row>
    <x:row r="24">
      <x:c r="B24" s="21" t="str">
        <x:v>AR-00018</x:v>
      </x:c>
      <x:c r="C24" s="21" t="str">
        <x:v>F01-I2</x:v>
      </x:c>
      <x:c r="D24" s="21" t="str">
        <x:v>F01</x:v>
      </x:c>
      <x:c r="E24" s="21" t="n">
        <x:v>8</x:v>
      </x:c>
      <x:c r="F24" s="21" t="str">
        <x:v>Pilot-process qualification</x:v>
      </x:c>
      <x:c r="G24" s="21" t="n">
        <x:v>28</x:v>
      </x:c>
      <x:c r="H24" s="21" t="str">
        <x:v>AIMC Industrial Mobilization Authority</x:v>
      </x:c>
      <x:c r="I24" s="44" t="n">
        <x:f>Lifecycle!G14</x:f>
        <x:v>0.03952829567165163</x:v>
      </x:c>
      <x:c r="J24" s="44" t="n">
        <x:v>0.0625</x:v>
      </x:c>
      <x:c r="K24" s="44" t="n">
        <x:f>I24*J24</x:f>
        <x:v>0.0024705184794782268</x:v>
      </x:c>
      <x:c r="L24" s="46" t="n">
        <x:v>0</x:v>
      </x:c>
      <x:c r="M24" s="46" t="n">
        <x:v>0</x:v>
      </x:c>
      <x:c r="N24" s="21" t="n">
        <x:f>IF(AND(L23=1,M23=1,P23&gt;0),1,0)</x:f>
        <x:v>0</x:v>
      </x:c>
      <x:c r="O24" s="21" t="n">
        <x:f>MIN('Root Data'!I10:I12)</x:f>
        <x:v>0</x:v>
      </x:c>
      <x:c r="P24" s="44" t="n">
        <x:f>IF(AND(L24=1,M24=1,N24=1,O24&gt;=G24),K24,0)</x:f>
        <x:v>0</x:v>
      </x:c>
      <x:c r="Q24" s="21" t="str">
        <x:v>OPEN</x:v>
      </x:c>
      <x:c r="R24" s="23" t="str">
        <x:v>HOLD</x:v>
      </x:c>
    </x:row>
    <x:row r="25">
      <x:c r="B25" s="21" t="str">
        <x:v>AR-00019</x:v>
      </x:c>
      <x:c r="C25" s="21" t="str">
        <x:v>F01-I2</x:v>
      </x:c>
      <x:c r="D25" s="21" t="str">
        <x:v>F01</x:v>
      </x:c>
      <x:c r="E25" s="21" t="n">
        <x:v>9</x:v>
      </x:c>
      <x:c r="F25" s="21" t="str">
        <x:v>Production release package</x:v>
      </x:c>
      <x:c r="G25" s="21" t="n">
        <x:v>28</x:v>
      </x:c>
      <x:c r="H25" s="21" t="str">
        <x:v>Production Release Board</x:v>
      </x:c>
      <x:c r="I25" s="44" t="n">
        <x:f>Lifecycle!G15</x:f>
        <x:v>0.01647012319652151</x:v>
      </x:c>
      <x:c r="J25" s="44" t="n">
        <x:v>0.0625</x:v>
      </x:c>
      <x:c r="K25" s="44" t="n">
        <x:f>I25*J25</x:f>
        <x:v>0.0010293826997825944</x:v>
      </x:c>
      <x:c r="L25" s="46" t="n">
        <x:v>0</x:v>
      </x:c>
      <x:c r="M25" s="46" t="n">
        <x:v>0</x:v>
      </x:c>
      <x:c r="N25" s="21" t="n">
        <x:f>IF(AND(L24=1,M24=1,P24&gt;0),1,0)</x:f>
        <x:v>0</x:v>
      </x:c>
      <x:c r="O25" s="21" t="n">
        <x:f>MIN('Root Data'!I10:I12)</x:f>
        <x:v>0</x:v>
      </x:c>
      <x:c r="P25" s="44" t="n">
        <x:f>IF(AND(L25=1,M25=1,N25=1,O25&gt;=G25),K25,0)</x:f>
        <x:v>0</x:v>
      </x:c>
      <x:c r="Q25" s="21" t="str">
        <x:v>OPEN</x:v>
      </x:c>
      <x:c r="R25" s="23" t="str">
        <x:v>HOLD</x:v>
      </x:c>
    </x:row>
    <x:row r="26">
      <x:c r="B26" s="21" t="str">
        <x:v>AR-00020</x:v>
      </x:c>
      <x:c r="C26" s="21" t="str">
        <x:v>F01-I2</x:v>
      </x:c>
      <x:c r="D26" s="21" t="str">
        <x:v>F01</x:v>
      </x:c>
      <x:c r="E26" s="21" t="n">
        <x:v>10</x:v>
      </x:c>
      <x:c r="F26" s="21" t="str">
        <x:v>Mobilization activation</x:v>
      </x:c>
      <x:c r="G26" s="21" t="n">
        <x:v>28</x:v>
      </x:c>
      <x:c r="H26" s="21" t="str">
        <x:v>Production Release Board</x:v>
      </x:c>
      <x:c r="I26" s="44" t="n">
        <x:f>Lifecycle!G16</x:f>
        <x:v>0.028262731405230914</x:v>
      </x:c>
      <x:c r="J26" s="44" t="n">
        <x:v>0.0625</x:v>
      </x:c>
      <x:c r="K26" s="44" t="n">
        <x:f>I26*J26</x:f>
        <x:v>0.0017664207128269321</x:v>
      </x:c>
      <x:c r="L26" s="46" t="n">
        <x:v>0</x:v>
      </x:c>
      <x:c r="M26" s="46" t="n">
        <x:v>0</x:v>
      </x:c>
      <x:c r="N26" s="21" t="n">
        <x:f>IF(AND(L25=1,M25=1,P25&gt;0),1,0)</x:f>
        <x:v>0</x:v>
      </x:c>
      <x:c r="O26" s="21" t="n">
        <x:f>MIN('Root Data'!I10:I12)</x:f>
        <x:v>0</x:v>
      </x:c>
      <x:c r="P26" s="44" t="n">
        <x:f>IF(AND(L26=1,M26=1,N26=1,O26&gt;=G26),K26,0)</x:f>
        <x:v>0</x:v>
      </x:c>
      <x:c r="Q26" s="21" t="str">
        <x:v>OPEN</x:v>
      </x:c>
      <x:c r="R26" s="23" t="str">
        <x:v>HOLD</x:v>
      </x:c>
    </x:row>
    <x:row r="27">
      <x:c r="B27" s="21" t="str">
        <x:v>AR-00021</x:v>
      </x:c>
      <x:c r="C27" s="21" t="str">
        <x:v>F01-I3</x:v>
      </x:c>
      <x:c r="D27" s="21" t="str">
        <x:v>F01</x:v>
      </x:c>
      <x:c r="E27" s="21" t="n">
        <x:v>1</x:v>
      </x:c>
      <x:c r="F27" s="21" t="str">
        <x:v>Civil effect charter</x:v>
      </x:c>
      <x:c r="G27" s="21" t="n">
        <x:v>0</x:v>
      </x:c>
      <x:c r="H27" s="21" t="str">
        <x:v>Civil Guarantee Authority</x:v>
      </x:c>
      <x:c r="I27" s="44" t="n">
        <x:f>Lifecycle!G7</x:f>
        <x:v>0.04941036958956453</x:v>
      </x:c>
      <x:c r="J27" s="44" t="n">
        <x:v>0.0625</x:v>
      </x:c>
      <x:c r="K27" s="44" t="n">
        <x:f>I27*J27</x:f>
        <x:v>0.0030881480993477832</x:v>
      </x:c>
      <x:c r="L27" s="46" t="n">
        <x:v>0</x:v>
      </x:c>
      <x:c r="M27" s="46" t="n">
        <x:v>0</x:v>
      </x:c>
      <x:c r="N27" s="21" t="n">
        <x:f>1</x:f>
        <x:v>1</x:v>
      </x:c>
      <x:c r="O27" s="21" t="n">
        <x:f>MIN('Root Data'!I13:I15)</x:f>
        <x:v>0</x:v>
      </x:c>
      <x:c r="P27" s="44" t="n">
        <x:f>IF(AND(L27=1,M27=1,N27=1,O27&gt;=G27),K27,0)</x:f>
        <x:v>0</x:v>
      </x:c>
      <x:c r="Q27" s="21" t="str">
        <x:v>OPEN</x:v>
      </x:c>
      <x:c r="R27" s="23" t="str">
        <x:v>HOLD</x:v>
      </x:c>
    </x:row>
    <x:row r="28">
      <x:c r="B28" s="21" t="str">
        <x:v>AR-00022</x:v>
      </x:c>
      <x:c r="C28" s="21" t="str">
        <x:v>F01-I3</x:v>
      </x:c>
      <x:c r="D28" s="21" t="str">
        <x:v>F01</x:v>
      </x:c>
      <x:c r="E28" s="21" t="n">
        <x:v>2</x:v>
      </x:c>
      <x:c r="F28" s="21" t="str">
        <x:v>Requirement and root-independence package</x:v>
      </x:c>
      <x:c r="G28" s="21" t="n">
        <x:v>8</x:v>
      </x:c>
      <x:c r="H28" s="21" t="str">
        <x:v>Resilience Staff</x:v>
      </x:c>
      <x:c r="I28" s="44" t="n">
        <x:f>Lifecycle!G8</x:f>
        <x:v>0.10211476381843337</x:v>
      </x:c>
      <x:c r="J28" s="44" t="n">
        <x:v>0.0625</x:v>
      </x:c>
      <x:c r="K28" s="44" t="n">
        <x:f>I28*J28</x:f>
        <x:v>0.006382172738652086</x:v>
      </x:c>
      <x:c r="L28" s="46" t="n">
        <x:v>0</x:v>
      </x:c>
      <x:c r="M28" s="46" t="n">
        <x:v>0</x:v>
      </x:c>
      <x:c r="N28" s="21" t="n">
        <x:f>IF(AND(L27=1,M27=1,P27&gt;0),1,0)</x:f>
        <x:v>0</x:v>
      </x:c>
      <x:c r="O28" s="21" t="n">
        <x:f>MIN('Root Data'!I13:I15)</x:f>
        <x:v>0</x:v>
      </x:c>
      <x:c r="P28" s="44" t="n">
        <x:f>IF(AND(L28=1,M28=1,N28=1,O28&gt;=G28),K28,0)</x:f>
        <x:v>0</x:v>
      </x:c>
      <x:c r="Q28" s="21" t="str">
        <x:v>OPEN</x:v>
      </x:c>
      <x:c r="R28" s="23" t="str">
        <x:v>HOLD</x:v>
      </x:c>
    </x:row>
    <x:row r="29">
      <x:c r="B29" s="21" t="str">
        <x:v>AR-00023</x:v>
      </x:c>
      <x:c r="C29" s="21" t="str">
        <x:v>F01-I3</x:v>
      </x:c>
      <x:c r="D29" s="21" t="str">
        <x:v>F01</x:v>
      </x:c>
      <x:c r="E29" s="21" t="n">
        <x:v>3</x:v>
      </x:c>
      <x:c r="F29" s="21" t="str">
        <x:v>Architecture and burden closure</x:v>
      </x:c>
      <x:c r="G29" s="21" t="n">
        <x:v>14</x:v>
      </x:c>
      <x:c r="H29" s="21" t="str">
        <x:v>Independent Evidence and Data Authority</x:v>
      </x:c>
      <x:c r="I29" s="44" t="n">
        <x:f>Lifecycle!G9</x:f>
        <x:v>0.08564464062191186</x:v>
      </x:c>
      <x:c r="J29" s="44" t="n">
        <x:v>0.0625</x:v>
      </x:c>
      <x:c r="K29" s="44" t="n">
        <x:f>I29*J29</x:f>
        <x:v>0.0053527900388694915</x:v>
      </x:c>
      <x:c r="L29" s="46" t="n">
        <x:v>0</x:v>
      </x:c>
      <x:c r="M29" s="46" t="n">
        <x:v>0</x:v>
      </x:c>
      <x:c r="N29" s="21" t="n">
        <x:f>IF(AND(L28=1,M28=1,P28&gt;0),1,0)</x:f>
        <x:v>0</x:v>
      </x:c>
      <x:c r="O29" s="21" t="n">
        <x:f>MIN('Root Data'!I13:I15)</x:f>
        <x:v>0</x:v>
      </x:c>
      <x:c r="P29" s="44" t="n">
        <x:f>IF(AND(L29=1,M29=1,N29=1,O29&gt;=G29),K29,0)</x:f>
        <x:v>0</x:v>
      </x:c>
      <x:c r="Q29" s="21" t="str">
        <x:v>OPEN</x:v>
      </x:c>
      <x:c r="R29" s="23" t="str">
        <x:v>HOLD</x:v>
      </x:c>
    </x:row>
    <x:row r="30">
      <x:c r="B30" s="21" t="str">
        <x:v>AR-00024</x:v>
      </x:c>
      <x:c r="C30" s="21" t="str">
        <x:v>F01-I3</x:v>
      </x:c>
      <x:c r="D30" s="21" t="str">
        <x:v>F01</x:v>
      </x:c>
      <x:c r="E30" s="21" t="n">
        <x:v>4</x:v>
      </x:c>
      <x:c r="F30" s="21" t="str">
        <x:v>Engineering article acceptance</x:v>
      </x:c>
      <x:c r="G30" s="21" t="n">
        <x:v>18</x:v>
      </x:c>
      <x:c r="H30" s="21" t="str">
        <x:v>Independent Evidence and Data Authority</x:v>
      </x:c>
      <x:c r="I30" s="44" t="n">
        <x:f>Lifecycle!G10</x:f>
        <x:v>0.05929244350747744</x:v>
      </x:c>
      <x:c r="J30" s="44" t="n">
        <x:v>0.0625</x:v>
      </x:c>
      <x:c r="K30" s="44" t="n">
        <x:f>I30*J30</x:f>
        <x:v>0.00370577771921734</x:v>
      </x:c>
      <x:c r="L30" s="46" t="n">
        <x:v>0</x:v>
      </x:c>
      <x:c r="M30" s="46" t="n">
        <x:v>0</x:v>
      </x:c>
      <x:c r="N30" s="21" t="n">
        <x:f>IF(AND(L29=1,M29=1,P29&gt;0),1,0)</x:f>
        <x:v>0</x:v>
      </x:c>
      <x:c r="O30" s="21" t="n">
        <x:f>MIN('Root Data'!I13:I15)</x:f>
        <x:v>0</x:v>
      </x:c>
      <x:c r="P30" s="44" t="n">
        <x:f>IF(AND(L30=1,M30=1,N30=1,O30&gt;=G30),K30,0)</x:f>
        <x:v>0</x:v>
      </x:c>
      <x:c r="Q30" s="21" t="str">
        <x:v>OPEN</x:v>
      </x:c>
      <x:c r="R30" s="23" t="str">
        <x:v>HOLD</x:v>
      </x:c>
    </x:row>
    <x:row r="31">
      <x:c r="B31" s="21" t="str">
        <x:v>AR-00025</x:v>
      </x:c>
      <x:c r="C31" s="21" t="str">
        <x:v>F01-I3</x:v>
      </x:c>
      <x:c r="D31" s="21" t="str">
        <x:v>F01</x:v>
      </x:c>
      <x:c r="E31" s="21" t="n">
        <x:v>5</x:v>
      </x:c>
      <x:c r="F31" s="21" t="str">
        <x:v>Qualification and destructive evidence</x:v>
      </x:c>
      <x:c r="G31" s="21" t="n">
        <x:v>21</x:v>
      </x:c>
      <x:c r="H31" s="21" t="str">
        <x:v>Independent Evidence and Data Authority</x:v>
      </x:c>
      <x:c r="I31" s="44" t="n">
        <x:f>Lifecycle!G11</x:f>
        <x:v>0.1515251334079979</x:v>
      </x:c>
      <x:c r="J31" s="44" t="n">
        <x:v>0.0625</x:v>
      </x:c>
      <x:c r="K31" s="44" t="n">
        <x:f>I31*J31</x:f>
        <x:v>0.009470320837999868</x:v>
      </x:c>
      <x:c r="L31" s="46" t="n">
        <x:v>0</x:v>
      </x:c>
      <x:c r="M31" s="46" t="n">
        <x:v>0</x:v>
      </x:c>
      <x:c r="N31" s="21" t="n">
        <x:f>IF(AND(L30=1,M30=1,P30&gt;0),1,0)</x:f>
        <x:v>0</x:v>
      </x:c>
      <x:c r="O31" s="21" t="n">
        <x:f>MIN('Root Data'!I13:I15)</x:f>
        <x:v>0</x:v>
      </x:c>
      <x:c r="P31" s="44" t="n">
        <x:f>IF(AND(L31=1,M31=1,N31=1,O31&gt;=G31),K31,0)</x:f>
        <x:v>0</x:v>
      </x:c>
      <x:c r="Q31" s="21" t="str">
        <x:v>OPEN</x:v>
      </x:c>
      <x:c r="R31" s="23" t="str">
        <x:v>HOLD</x:v>
      </x:c>
    </x:row>
    <x:row r="32">
      <x:c r="B32" s="21" t="str">
        <x:v>AR-00026</x:v>
      </x:c>
      <x:c r="C32" s="21" t="str">
        <x:v>F01-I3</x:v>
      </x:c>
      <x:c r="D32" s="21" t="str">
        <x:v>F01</x:v>
      </x:c>
      <x:c r="E32" s="21" t="n">
        <x:v>6</x:v>
      </x:c>
      <x:c r="F32" s="21" t="str">
        <x:v>Representative mission result</x:v>
      </x:c>
      <x:c r="G32" s="21" t="n">
        <x:v>23</x:v>
      </x:c>
      <x:c r="H32" s="21" t="str">
        <x:v>Receiving Service Authority</x:v>
      </x:c>
      <x:c r="I32" s="44" t="n">
        <x:f>Lifecycle!G12</x:f>
        <x:v>0.250345872587127</x:v>
      </x:c>
      <x:c r="J32" s="44" t="n">
        <x:v>0.0625</x:v>
      </x:c>
      <x:c r="K32" s="44" t="n">
        <x:f>I32*J32</x:f>
        <x:v>0.015646617036695436</x:v>
      </x:c>
      <x:c r="L32" s="46" t="n">
        <x:v>0</x:v>
      </x:c>
      <x:c r="M32" s="46" t="n">
        <x:v>0</x:v>
      </x:c>
      <x:c r="N32" s="21" t="n">
        <x:f>IF(AND(L31=1,M31=1,P31&gt;0),1,0)</x:f>
        <x:v>0</x:v>
      </x:c>
      <x:c r="O32" s="21" t="n">
        <x:f>MIN('Root Data'!I13:I15)</x:f>
        <x:v>0</x:v>
      </x:c>
      <x:c r="P32" s="44" t="n">
        <x:f>IF(AND(L32=1,M32=1,N32=1,O32&gt;=G32),K32,0)</x:f>
        <x:v>0</x:v>
      </x:c>
      <x:c r="Q32" s="21" t="str">
        <x:v>OPEN</x:v>
      </x:c>
      <x:c r="R32" s="23" t="str">
        <x:v>HOLD</x:v>
      </x:c>
    </x:row>
    <x:row r="33">
      <x:c r="B33" s="21" t="str">
        <x:v>AR-00027</x:v>
      </x:c>
      <x:c r="C33" s="21" t="str">
        <x:v>F01-I3</x:v>
      </x:c>
      <x:c r="D33" s="21" t="str">
        <x:v>F01</x:v>
      </x:c>
      <x:c r="E33" s="21" t="n">
        <x:v>7</x:v>
      </x:c>
      <x:c r="F33" s="21" t="str">
        <x:v>Independent reproduction</x:v>
      </x:c>
      <x:c r="G33" s="21" t="n">
        <x:v>28</x:v>
      </x:c>
      <x:c r="H33" s="21" t="str">
        <x:v>Independent Evidence and Data Authority</x:v>
      </x:c>
      <x:c r="I33" s="44" t="n">
        <x:f>Lifecycle!G13</x:f>
        <x:v>0.21740562619408393</x:v>
      </x:c>
      <x:c r="J33" s="44" t="n">
        <x:v>0.0625</x:v>
      </x:c>
      <x:c r="K33" s="44" t="n">
        <x:f>I33*J33</x:f>
        <x:v>0.013587851637130246</x:v>
      </x:c>
      <x:c r="L33" s="46" t="n">
        <x:v>0</x:v>
      </x:c>
      <x:c r="M33" s="46" t="n">
        <x:v>0</x:v>
      </x:c>
      <x:c r="N33" s="21" t="n">
        <x:f>IF(AND(L32=1,M32=1,P32&gt;0),1,0)</x:f>
        <x:v>0</x:v>
      </x:c>
      <x:c r="O33" s="21" t="n">
        <x:f>MIN('Root Data'!I13:I15)</x:f>
        <x:v>0</x:v>
      </x:c>
      <x:c r="P33" s="44" t="n">
        <x:f>IF(AND(L33=1,M33=1,N33=1,O33&gt;=G33),K33,0)</x:f>
        <x:v>0</x:v>
      </x:c>
      <x:c r="Q33" s="21" t="str">
        <x:v>OPEN</x:v>
      </x:c>
      <x:c r="R33" s="23" t="str">
        <x:v>HOLD</x:v>
      </x:c>
    </x:row>
    <x:row r="34">
      <x:c r="B34" s="21" t="str">
        <x:v>AR-00028</x:v>
      </x:c>
      <x:c r="C34" s="21" t="str">
        <x:v>F01-I3</x:v>
      </x:c>
      <x:c r="D34" s="21" t="str">
        <x:v>F01</x:v>
      </x:c>
      <x:c r="E34" s="21" t="n">
        <x:v>8</x:v>
      </x:c>
      <x:c r="F34" s="21" t="str">
        <x:v>Pilot-process qualification</x:v>
      </x:c>
      <x:c r="G34" s="21" t="n">
        <x:v>28</x:v>
      </x:c>
      <x:c r="H34" s="21" t="str">
        <x:v>AIMC Industrial Mobilization Authority</x:v>
      </x:c>
      <x:c r="I34" s="44" t="n">
        <x:f>Lifecycle!G14</x:f>
        <x:v>0.03952829567165163</x:v>
      </x:c>
      <x:c r="J34" s="44" t="n">
        <x:v>0.0625</x:v>
      </x:c>
      <x:c r="K34" s="44" t="n">
        <x:f>I34*J34</x:f>
        <x:v>0.0024705184794782268</x:v>
      </x:c>
      <x:c r="L34" s="46" t="n">
        <x:v>0</x:v>
      </x:c>
      <x:c r="M34" s="46" t="n">
        <x:v>0</x:v>
      </x:c>
      <x:c r="N34" s="21" t="n">
        <x:f>IF(AND(L33=1,M33=1,P33&gt;0),1,0)</x:f>
        <x:v>0</x:v>
      </x:c>
      <x:c r="O34" s="21" t="n">
        <x:f>MIN('Root Data'!I13:I15)</x:f>
        <x:v>0</x:v>
      </x:c>
      <x:c r="P34" s="44" t="n">
        <x:f>IF(AND(L34=1,M34=1,N34=1,O34&gt;=G34),K34,0)</x:f>
        <x:v>0</x:v>
      </x:c>
      <x:c r="Q34" s="21" t="str">
        <x:v>OPEN</x:v>
      </x:c>
      <x:c r="R34" s="23" t="str">
        <x:v>HOLD</x:v>
      </x:c>
    </x:row>
    <x:row r="35">
      <x:c r="B35" s="21" t="str">
        <x:v>AR-00029</x:v>
      </x:c>
      <x:c r="C35" s="21" t="str">
        <x:v>F01-I3</x:v>
      </x:c>
      <x:c r="D35" s="21" t="str">
        <x:v>F01</x:v>
      </x:c>
      <x:c r="E35" s="21" t="n">
        <x:v>9</x:v>
      </x:c>
      <x:c r="F35" s="21" t="str">
        <x:v>Production release package</x:v>
      </x:c>
      <x:c r="G35" s="21" t="n">
        <x:v>28</x:v>
      </x:c>
      <x:c r="H35" s="21" t="str">
        <x:v>Production Release Board</x:v>
      </x:c>
      <x:c r="I35" s="44" t="n">
        <x:f>Lifecycle!G15</x:f>
        <x:v>0.01647012319652151</x:v>
      </x:c>
      <x:c r="J35" s="44" t="n">
        <x:v>0.0625</x:v>
      </x:c>
      <x:c r="K35" s="44" t="n">
        <x:f>I35*J35</x:f>
        <x:v>0.0010293826997825944</x:v>
      </x:c>
      <x:c r="L35" s="46" t="n">
        <x:v>0</x:v>
      </x:c>
      <x:c r="M35" s="46" t="n">
        <x:v>0</x:v>
      </x:c>
      <x:c r="N35" s="21" t="n">
        <x:f>IF(AND(L34=1,M34=1,P34&gt;0),1,0)</x:f>
        <x:v>0</x:v>
      </x:c>
      <x:c r="O35" s="21" t="n">
        <x:f>MIN('Root Data'!I13:I15)</x:f>
        <x:v>0</x:v>
      </x:c>
      <x:c r="P35" s="44" t="n">
        <x:f>IF(AND(L35=1,M35=1,N35=1,O35&gt;=G35),K35,0)</x:f>
        <x:v>0</x:v>
      </x:c>
      <x:c r="Q35" s="21" t="str">
        <x:v>OPEN</x:v>
      </x:c>
      <x:c r="R35" s="23" t="str">
        <x:v>HOLD</x:v>
      </x:c>
    </x:row>
    <x:row r="36">
      <x:c r="B36" s="21" t="str">
        <x:v>AR-00030</x:v>
      </x:c>
      <x:c r="C36" s="21" t="str">
        <x:v>F01-I3</x:v>
      </x:c>
      <x:c r="D36" s="21" t="str">
        <x:v>F01</x:v>
      </x:c>
      <x:c r="E36" s="21" t="n">
        <x:v>10</x:v>
      </x:c>
      <x:c r="F36" s="21" t="str">
        <x:v>Mobilization activation</x:v>
      </x:c>
      <x:c r="G36" s="21" t="n">
        <x:v>28</x:v>
      </x:c>
      <x:c r="H36" s="21" t="str">
        <x:v>Production Release Board</x:v>
      </x:c>
      <x:c r="I36" s="44" t="n">
        <x:f>Lifecycle!G16</x:f>
        <x:v>0.028262731405230914</x:v>
      </x:c>
      <x:c r="J36" s="44" t="n">
        <x:v>0.0625</x:v>
      </x:c>
      <x:c r="K36" s="44" t="n">
        <x:f>I36*J36</x:f>
        <x:v>0.0017664207128269321</x:v>
      </x:c>
      <x:c r="L36" s="46" t="n">
        <x:v>0</x:v>
      </x:c>
      <x:c r="M36" s="46" t="n">
        <x:v>0</x:v>
      </x:c>
      <x:c r="N36" s="21" t="n">
        <x:f>IF(AND(L35=1,M35=1,P35&gt;0),1,0)</x:f>
        <x:v>0</x:v>
      </x:c>
      <x:c r="O36" s="21" t="n">
        <x:f>MIN('Root Data'!I13:I15)</x:f>
        <x:v>0</x:v>
      </x:c>
      <x:c r="P36" s="44" t="n">
        <x:f>IF(AND(L36=1,M36=1,N36=1,O36&gt;=G36),K36,0)</x:f>
        <x:v>0</x:v>
      </x:c>
      <x:c r="Q36" s="21" t="str">
        <x:v>OPEN</x:v>
      </x:c>
      <x:c r="R36" s="23" t="str">
        <x:v>HOLD</x:v>
      </x:c>
    </x:row>
    <x:row r="37">
      <x:c r="B37" s="21" t="str">
        <x:v>AR-00031</x:v>
      </x:c>
      <x:c r="C37" s="21" t="str">
        <x:v>F01-I4</x:v>
      </x:c>
      <x:c r="D37" s="21" t="str">
        <x:v>F01</x:v>
      </x:c>
      <x:c r="E37" s="21" t="n">
        <x:v>1</x:v>
      </x:c>
      <x:c r="F37" s="21" t="str">
        <x:v>Civil effect charter</x:v>
      </x:c>
      <x:c r="G37" s="21" t="n">
        <x:v>0</x:v>
      </x:c>
      <x:c r="H37" s="21" t="str">
        <x:v>Civil Guarantee Authority</x:v>
      </x:c>
      <x:c r="I37" s="44" t="n">
        <x:f>Lifecycle!G7</x:f>
        <x:v>0.04941036958956453</x:v>
      </x:c>
      <x:c r="J37" s="44" t="n">
        <x:v>0.0625</x:v>
      </x:c>
      <x:c r="K37" s="44" t="n">
        <x:f>I37*J37</x:f>
        <x:v>0.0030881480993477832</x:v>
      </x:c>
      <x:c r="L37" s="46" t="n">
        <x:v>0</x:v>
      </x:c>
      <x:c r="M37" s="46" t="n">
        <x:v>0</x:v>
      </x:c>
      <x:c r="N37" s="21" t="n">
        <x:f>1</x:f>
        <x:v>1</x:v>
      </x:c>
      <x:c r="O37" s="21" t="n">
        <x:f>MIN('Root Data'!I16:I18)</x:f>
        <x:v>0</x:v>
      </x:c>
      <x:c r="P37" s="44" t="n">
        <x:f>IF(AND(L37=1,M37=1,N37=1,O37&gt;=G37),K37,0)</x:f>
        <x:v>0</x:v>
      </x:c>
      <x:c r="Q37" s="21" t="str">
        <x:v>OPEN</x:v>
      </x:c>
      <x:c r="R37" s="23" t="str">
        <x:v>HOLD</x:v>
      </x:c>
    </x:row>
    <x:row r="38">
      <x:c r="B38" s="21" t="str">
        <x:v>AR-00032</x:v>
      </x:c>
      <x:c r="C38" s="21" t="str">
        <x:v>F01-I4</x:v>
      </x:c>
      <x:c r="D38" s="21" t="str">
        <x:v>F01</x:v>
      </x:c>
      <x:c r="E38" s="21" t="n">
        <x:v>2</x:v>
      </x:c>
      <x:c r="F38" s="21" t="str">
        <x:v>Requirement and root-independence package</x:v>
      </x:c>
      <x:c r="G38" s="21" t="n">
        <x:v>8</x:v>
      </x:c>
      <x:c r="H38" s="21" t="str">
        <x:v>Resilience Staff</x:v>
      </x:c>
      <x:c r="I38" s="44" t="n">
        <x:f>Lifecycle!G8</x:f>
        <x:v>0.10211476381843337</x:v>
      </x:c>
      <x:c r="J38" s="44" t="n">
        <x:v>0.0625</x:v>
      </x:c>
      <x:c r="K38" s="44" t="n">
        <x:f>I38*J38</x:f>
        <x:v>0.006382172738652086</x:v>
      </x:c>
      <x:c r="L38" s="46" t="n">
        <x:v>0</x:v>
      </x:c>
      <x:c r="M38" s="46" t="n">
        <x:v>0</x:v>
      </x:c>
      <x:c r="N38" s="21" t="n">
        <x:f>IF(AND(L37=1,M37=1,P37&gt;0),1,0)</x:f>
        <x:v>0</x:v>
      </x:c>
      <x:c r="O38" s="21" t="n">
        <x:f>MIN('Root Data'!I16:I18)</x:f>
        <x:v>0</x:v>
      </x:c>
      <x:c r="P38" s="44" t="n">
        <x:f>IF(AND(L38=1,M38=1,N38=1,O38&gt;=G38),K38,0)</x:f>
        <x:v>0</x:v>
      </x:c>
      <x:c r="Q38" s="21" t="str">
        <x:v>OPEN</x:v>
      </x:c>
      <x:c r="R38" s="23" t="str">
        <x:v>HOLD</x:v>
      </x:c>
    </x:row>
    <x:row r="39">
      <x:c r="B39" s="21" t="str">
        <x:v>AR-00033</x:v>
      </x:c>
      <x:c r="C39" s="21" t="str">
        <x:v>F01-I4</x:v>
      </x:c>
      <x:c r="D39" s="21" t="str">
        <x:v>F01</x:v>
      </x:c>
      <x:c r="E39" s="21" t="n">
        <x:v>3</x:v>
      </x:c>
      <x:c r="F39" s="21" t="str">
        <x:v>Architecture and burden closure</x:v>
      </x:c>
      <x:c r="G39" s="21" t="n">
        <x:v>14</x:v>
      </x:c>
      <x:c r="H39" s="21" t="str">
        <x:v>Independent Evidence and Data Authority</x:v>
      </x:c>
      <x:c r="I39" s="44" t="n">
        <x:f>Lifecycle!G9</x:f>
        <x:v>0.08564464062191186</x:v>
      </x:c>
      <x:c r="J39" s="44" t="n">
        <x:v>0.0625</x:v>
      </x:c>
      <x:c r="K39" s="44" t="n">
        <x:f>I39*J39</x:f>
        <x:v>0.0053527900388694915</x:v>
      </x:c>
      <x:c r="L39" s="46" t="n">
        <x:v>0</x:v>
      </x:c>
      <x:c r="M39" s="46" t="n">
        <x:v>0</x:v>
      </x:c>
      <x:c r="N39" s="21" t="n">
        <x:f>IF(AND(L38=1,M38=1,P38&gt;0),1,0)</x:f>
        <x:v>0</x:v>
      </x:c>
      <x:c r="O39" s="21" t="n">
        <x:f>MIN('Root Data'!I16:I18)</x:f>
        <x:v>0</x:v>
      </x:c>
      <x:c r="P39" s="44" t="n">
        <x:f>IF(AND(L39=1,M39=1,N39=1,O39&gt;=G39),K39,0)</x:f>
        <x:v>0</x:v>
      </x:c>
      <x:c r="Q39" s="21" t="str">
        <x:v>OPEN</x:v>
      </x:c>
      <x:c r="R39" s="23" t="str">
        <x:v>HOLD</x:v>
      </x:c>
    </x:row>
    <x:row r="40">
      <x:c r="B40" s="21" t="str">
        <x:v>AR-00034</x:v>
      </x:c>
      <x:c r="C40" s="21" t="str">
        <x:v>F01-I4</x:v>
      </x:c>
      <x:c r="D40" s="21" t="str">
        <x:v>F01</x:v>
      </x:c>
      <x:c r="E40" s="21" t="n">
        <x:v>4</x:v>
      </x:c>
      <x:c r="F40" s="21" t="str">
        <x:v>Engineering article acceptance</x:v>
      </x:c>
      <x:c r="G40" s="21" t="n">
        <x:v>18</x:v>
      </x:c>
      <x:c r="H40" s="21" t="str">
        <x:v>Independent Evidence and Data Authority</x:v>
      </x:c>
      <x:c r="I40" s="44" t="n">
        <x:f>Lifecycle!G10</x:f>
        <x:v>0.05929244350747744</x:v>
      </x:c>
      <x:c r="J40" s="44" t="n">
        <x:v>0.0625</x:v>
      </x:c>
      <x:c r="K40" s="44" t="n">
        <x:f>I40*J40</x:f>
        <x:v>0.00370577771921734</x:v>
      </x:c>
      <x:c r="L40" s="46" t="n">
        <x:v>0</x:v>
      </x:c>
      <x:c r="M40" s="46" t="n">
        <x:v>0</x:v>
      </x:c>
      <x:c r="N40" s="21" t="n">
        <x:f>IF(AND(L39=1,M39=1,P39&gt;0),1,0)</x:f>
        <x:v>0</x:v>
      </x:c>
      <x:c r="O40" s="21" t="n">
        <x:f>MIN('Root Data'!I16:I18)</x:f>
        <x:v>0</x:v>
      </x:c>
      <x:c r="P40" s="44" t="n">
        <x:f>IF(AND(L40=1,M40=1,N40=1,O40&gt;=G40),K40,0)</x:f>
        <x:v>0</x:v>
      </x:c>
      <x:c r="Q40" s="21" t="str">
        <x:v>OPEN</x:v>
      </x:c>
      <x:c r="R40" s="23" t="str">
        <x:v>HOLD</x:v>
      </x:c>
    </x:row>
    <x:row r="41">
      <x:c r="B41" s="21" t="str">
        <x:v>AR-00035</x:v>
      </x:c>
      <x:c r="C41" s="21" t="str">
        <x:v>F01-I4</x:v>
      </x:c>
      <x:c r="D41" s="21" t="str">
        <x:v>F01</x:v>
      </x:c>
      <x:c r="E41" s="21" t="n">
        <x:v>5</x:v>
      </x:c>
      <x:c r="F41" s="21" t="str">
        <x:v>Qualification and destructive evidence</x:v>
      </x:c>
      <x:c r="G41" s="21" t="n">
        <x:v>21</x:v>
      </x:c>
      <x:c r="H41" s="21" t="str">
        <x:v>Independent Evidence and Data Authority</x:v>
      </x:c>
      <x:c r="I41" s="44" t="n">
        <x:f>Lifecycle!G11</x:f>
        <x:v>0.1515251334079979</x:v>
      </x:c>
      <x:c r="J41" s="44" t="n">
        <x:v>0.0625</x:v>
      </x:c>
      <x:c r="K41" s="44" t="n">
        <x:f>I41*J41</x:f>
        <x:v>0.009470320837999868</x:v>
      </x:c>
      <x:c r="L41" s="46" t="n">
        <x:v>0</x:v>
      </x:c>
      <x:c r="M41" s="46" t="n">
        <x:v>0</x:v>
      </x:c>
      <x:c r="N41" s="21" t="n">
        <x:f>IF(AND(L40=1,M40=1,P40&gt;0),1,0)</x:f>
        <x:v>0</x:v>
      </x:c>
      <x:c r="O41" s="21" t="n">
        <x:f>MIN('Root Data'!I16:I18)</x:f>
        <x:v>0</x:v>
      </x:c>
      <x:c r="P41" s="44" t="n">
        <x:f>IF(AND(L41=1,M41=1,N41=1,O41&gt;=G41),K41,0)</x:f>
        <x:v>0</x:v>
      </x:c>
      <x:c r="Q41" s="21" t="str">
        <x:v>OPEN</x:v>
      </x:c>
      <x:c r="R41" s="23" t="str">
        <x:v>HOLD</x:v>
      </x:c>
    </x:row>
    <x:row r="42">
      <x:c r="B42" s="21" t="str">
        <x:v>AR-00036</x:v>
      </x:c>
      <x:c r="C42" s="21" t="str">
        <x:v>F01-I4</x:v>
      </x:c>
      <x:c r="D42" s="21" t="str">
        <x:v>F01</x:v>
      </x:c>
      <x:c r="E42" s="21" t="n">
        <x:v>6</x:v>
      </x:c>
      <x:c r="F42" s="21" t="str">
        <x:v>Representative mission result</x:v>
      </x:c>
      <x:c r="G42" s="21" t="n">
        <x:v>23</x:v>
      </x:c>
      <x:c r="H42" s="21" t="str">
        <x:v>Receiving Service Authority</x:v>
      </x:c>
      <x:c r="I42" s="44" t="n">
        <x:f>Lifecycle!G12</x:f>
        <x:v>0.250345872587127</x:v>
      </x:c>
      <x:c r="J42" s="44" t="n">
        <x:v>0.0625</x:v>
      </x:c>
      <x:c r="K42" s="44" t="n">
        <x:f>I42*J42</x:f>
        <x:v>0.015646617036695436</x:v>
      </x:c>
      <x:c r="L42" s="46" t="n">
        <x:v>0</x:v>
      </x:c>
      <x:c r="M42" s="46" t="n">
        <x:v>0</x:v>
      </x:c>
      <x:c r="N42" s="21" t="n">
        <x:f>IF(AND(L41=1,M41=1,P41&gt;0),1,0)</x:f>
        <x:v>0</x:v>
      </x:c>
      <x:c r="O42" s="21" t="n">
        <x:f>MIN('Root Data'!I16:I18)</x:f>
        <x:v>0</x:v>
      </x:c>
      <x:c r="P42" s="44" t="n">
        <x:f>IF(AND(L42=1,M42=1,N42=1,O42&gt;=G42),K42,0)</x:f>
        <x:v>0</x:v>
      </x:c>
      <x:c r="Q42" s="21" t="str">
        <x:v>OPEN</x:v>
      </x:c>
      <x:c r="R42" s="23" t="str">
        <x:v>HOLD</x:v>
      </x:c>
    </x:row>
    <x:row r="43">
      <x:c r="B43" s="21" t="str">
        <x:v>AR-00037</x:v>
      </x:c>
      <x:c r="C43" s="21" t="str">
        <x:v>F01-I4</x:v>
      </x:c>
      <x:c r="D43" s="21" t="str">
        <x:v>F01</x:v>
      </x:c>
      <x:c r="E43" s="21" t="n">
        <x:v>7</x:v>
      </x:c>
      <x:c r="F43" s="21" t="str">
        <x:v>Independent reproduction</x:v>
      </x:c>
      <x:c r="G43" s="21" t="n">
        <x:v>28</x:v>
      </x:c>
      <x:c r="H43" s="21" t="str">
        <x:v>Independent Evidence and Data Authority</x:v>
      </x:c>
      <x:c r="I43" s="44" t="n">
        <x:f>Lifecycle!G13</x:f>
        <x:v>0.21740562619408393</x:v>
      </x:c>
      <x:c r="J43" s="44" t="n">
        <x:v>0.0625</x:v>
      </x:c>
      <x:c r="K43" s="44" t="n">
        <x:f>I43*J43</x:f>
        <x:v>0.013587851637130246</x:v>
      </x:c>
      <x:c r="L43" s="46" t="n">
        <x:v>0</x:v>
      </x:c>
      <x:c r="M43" s="46" t="n">
        <x:v>0</x:v>
      </x:c>
      <x:c r="N43" s="21" t="n">
        <x:f>IF(AND(L42=1,M42=1,P42&gt;0),1,0)</x:f>
        <x:v>0</x:v>
      </x:c>
      <x:c r="O43" s="21" t="n">
        <x:f>MIN('Root Data'!I16:I18)</x:f>
        <x:v>0</x:v>
      </x:c>
      <x:c r="P43" s="44" t="n">
        <x:f>IF(AND(L43=1,M43=1,N43=1,O43&gt;=G43),K43,0)</x:f>
        <x:v>0</x:v>
      </x:c>
      <x:c r="Q43" s="21" t="str">
        <x:v>OPEN</x:v>
      </x:c>
      <x:c r="R43" s="23" t="str">
        <x:v>HOLD</x:v>
      </x:c>
    </x:row>
    <x:row r="44">
      <x:c r="B44" s="21" t="str">
        <x:v>AR-00038</x:v>
      </x:c>
      <x:c r="C44" s="21" t="str">
        <x:v>F01-I4</x:v>
      </x:c>
      <x:c r="D44" s="21" t="str">
        <x:v>F01</x:v>
      </x:c>
      <x:c r="E44" s="21" t="n">
        <x:v>8</x:v>
      </x:c>
      <x:c r="F44" s="21" t="str">
        <x:v>Pilot-process qualification</x:v>
      </x:c>
      <x:c r="G44" s="21" t="n">
        <x:v>28</x:v>
      </x:c>
      <x:c r="H44" s="21" t="str">
        <x:v>AIMC Industrial Mobilization Authority</x:v>
      </x:c>
      <x:c r="I44" s="44" t="n">
        <x:f>Lifecycle!G14</x:f>
        <x:v>0.03952829567165163</x:v>
      </x:c>
      <x:c r="J44" s="44" t="n">
        <x:v>0.0625</x:v>
      </x:c>
      <x:c r="K44" s="44" t="n">
        <x:f>I44*J44</x:f>
        <x:v>0.0024705184794782268</x:v>
      </x:c>
      <x:c r="L44" s="46" t="n">
        <x:v>0</x:v>
      </x:c>
      <x:c r="M44" s="46" t="n">
        <x:v>0</x:v>
      </x:c>
      <x:c r="N44" s="21" t="n">
        <x:f>IF(AND(L43=1,M43=1,P43&gt;0),1,0)</x:f>
        <x:v>0</x:v>
      </x:c>
      <x:c r="O44" s="21" t="n">
        <x:f>MIN('Root Data'!I16:I18)</x:f>
        <x:v>0</x:v>
      </x:c>
      <x:c r="P44" s="44" t="n">
        <x:f>IF(AND(L44=1,M44=1,N44=1,O44&gt;=G44),K44,0)</x:f>
        <x:v>0</x:v>
      </x:c>
      <x:c r="Q44" s="21" t="str">
        <x:v>OPEN</x:v>
      </x:c>
      <x:c r="R44" s="23" t="str">
        <x:v>HOLD</x:v>
      </x:c>
    </x:row>
    <x:row r="45">
      <x:c r="B45" s="21" t="str">
        <x:v>AR-00039</x:v>
      </x:c>
      <x:c r="C45" s="21" t="str">
        <x:v>F01-I4</x:v>
      </x:c>
      <x:c r="D45" s="21" t="str">
        <x:v>F01</x:v>
      </x:c>
      <x:c r="E45" s="21" t="n">
        <x:v>9</x:v>
      </x:c>
      <x:c r="F45" s="21" t="str">
        <x:v>Production release package</x:v>
      </x:c>
      <x:c r="G45" s="21" t="n">
        <x:v>28</x:v>
      </x:c>
      <x:c r="H45" s="21" t="str">
        <x:v>Production Release Board</x:v>
      </x:c>
      <x:c r="I45" s="44" t="n">
        <x:f>Lifecycle!G15</x:f>
        <x:v>0.01647012319652151</x:v>
      </x:c>
      <x:c r="J45" s="44" t="n">
        <x:v>0.0625</x:v>
      </x:c>
      <x:c r="K45" s="44" t="n">
        <x:f>I45*J45</x:f>
        <x:v>0.0010293826997825944</x:v>
      </x:c>
      <x:c r="L45" s="46" t="n">
        <x:v>0</x:v>
      </x:c>
      <x:c r="M45" s="46" t="n">
        <x:v>0</x:v>
      </x:c>
      <x:c r="N45" s="21" t="n">
        <x:f>IF(AND(L44=1,M44=1,P44&gt;0),1,0)</x:f>
        <x:v>0</x:v>
      </x:c>
      <x:c r="O45" s="21" t="n">
        <x:f>MIN('Root Data'!I16:I18)</x:f>
        <x:v>0</x:v>
      </x:c>
      <x:c r="P45" s="44" t="n">
        <x:f>IF(AND(L45=1,M45=1,N45=1,O45&gt;=G45),K45,0)</x:f>
        <x:v>0</x:v>
      </x:c>
      <x:c r="Q45" s="21" t="str">
        <x:v>OPEN</x:v>
      </x:c>
      <x:c r="R45" s="23" t="str">
        <x:v>HOLD</x:v>
      </x:c>
    </x:row>
    <x:row r="46">
      <x:c r="B46" s="21" t="str">
        <x:v>AR-00040</x:v>
      </x:c>
      <x:c r="C46" s="21" t="str">
        <x:v>F01-I4</x:v>
      </x:c>
      <x:c r="D46" s="21" t="str">
        <x:v>F01</x:v>
      </x:c>
      <x:c r="E46" s="21" t="n">
        <x:v>10</x:v>
      </x:c>
      <x:c r="F46" s="21" t="str">
        <x:v>Mobilization activation</x:v>
      </x:c>
      <x:c r="G46" s="21" t="n">
        <x:v>28</x:v>
      </x:c>
      <x:c r="H46" s="21" t="str">
        <x:v>Production Release Board</x:v>
      </x:c>
      <x:c r="I46" s="44" t="n">
        <x:f>Lifecycle!G16</x:f>
        <x:v>0.028262731405230914</x:v>
      </x:c>
      <x:c r="J46" s="44" t="n">
        <x:v>0.0625</x:v>
      </x:c>
      <x:c r="K46" s="44" t="n">
        <x:f>I46*J46</x:f>
        <x:v>0.0017664207128269321</x:v>
      </x:c>
      <x:c r="L46" s="46" t="n">
        <x:v>0</x:v>
      </x:c>
      <x:c r="M46" s="46" t="n">
        <x:v>0</x:v>
      </x:c>
      <x:c r="N46" s="21" t="n">
        <x:f>IF(AND(L45=1,M45=1,P45&gt;0),1,0)</x:f>
        <x:v>0</x:v>
      </x:c>
      <x:c r="O46" s="21" t="n">
        <x:f>MIN('Root Data'!I16:I18)</x:f>
        <x:v>0</x:v>
      </x:c>
      <x:c r="P46" s="44" t="n">
        <x:f>IF(AND(L46=1,M46=1,N46=1,O46&gt;=G46),K46,0)</x:f>
        <x:v>0</x:v>
      </x:c>
      <x:c r="Q46" s="21" t="str">
        <x:v>OPEN</x:v>
      </x:c>
      <x:c r="R46" s="23" t="str">
        <x:v>HOLD</x:v>
      </x:c>
    </x:row>
    <x:row r="47">
      <x:c r="B47" s="21" t="str">
        <x:v>AR-00041</x:v>
      </x:c>
      <x:c r="C47" s="21" t="str">
        <x:v>F02-I1</x:v>
      </x:c>
      <x:c r="D47" s="21" t="str">
        <x:v>F02</x:v>
      </x:c>
      <x:c r="E47" s="21" t="n">
        <x:v>1</x:v>
      </x:c>
      <x:c r="F47" s="21" t="str">
        <x:v>Civil effect charter</x:v>
      </x:c>
      <x:c r="G47" s="21" t="n">
        <x:v>0</x:v>
      </x:c>
      <x:c r="H47" s="21" t="str">
        <x:v>Civil Guarantee Authority</x:v>
      </x:c>
      <x:c r="I47" s="44" t="n">
        <x:f>Lifecycle!G7</x:f>
        <x:v>0.04941036958956453</x:v>
      </x:c>
      <x:c r="J47" s="44" t="n">
        <x:v>0.0625</x:v>
      </x:c>
      <x:c r="K47" s="44" t="n">
        <x:f>I47*J47</x:f>
        <x:v>0.0030881480993477832</x:v>
      </x:c>
      <x:c r="L47" s="46" t="n">
        <x:v>0</x:v>
      </x:c>
      <x:c r="M47" s="46" t="n">
        <x:v>0</x:v>
      </x:c>
      <x:c r="N47" s="21" t="n">
        <x:f>1</x:f>
        <x:v>1</x:v>
      </x:c>
      <x:c r="O47" s="21" t="n">
        <x:f>MIN('Root Data'!I19:I21)</x:f>
        <x:v>0</x:v>
      </x:c>
      <x:c r="P47" s="44" t="n">
        <x:f>IF(AND(L47=1,M47=1,N47=1,O47&gt;=G47),K47,0)</x:f>
        <x:v>0</x:v>
      </x:c>
      <x:c r="Q47" s="21" t="str">
        <x:v>OPEN</x:v>
      </x:c>
      <x:c r="R47" s="23" t="str">
        <x:v>HOLD</x:v>
      </x:c>
    </x:row>
    <x:row r="48">
      <x:c r="B48" s="21" t="str">
        <x:v>AR-00042</x:v>
      </x:c>
      <x:c r="C48" s="21" t="str">
        <x:v>F02-I1</x:v>
      </x:c>
      <x:c r="D48" s="21" t="str">
        <x:v>F02</x:v>
      </x:c>
      <x:c r="E48" s="21" t="n">
        <x:v>2</x:v>
      </x:c>
      <x:c r="F48" s="21" t="str">
        <x:v>Requirement and root-independence package</x:v>
      </x:c>
      <x:c r="G48" s="21" t="n">
        <x:v>8</x:v>
      </x:c>
      <x:c r="H48" s="21" t="str">
        <x:v>Resilience Staff</x:v>
      </x:c>
      <x:c r="I48" s="44" t="n">
        <x:f>Lifecycle!G8</x:f>
        <x:v>0.10211476381843337</x:v>
      </x:c>
      <x:c r="J48" s="44" t="n">
        <x:v>0.0625</x:v>
      </x:c>
      <x:c r="K48" s="44" t="n">
        <x:f>I48*J48</x:f>
        <x:v>0.006382172738652086</x:v>
      </x:c>
      <x:c r="L48" s="46" t="n">
        <x:v>0</x:v>
      </x:c>
      <x:c r="M48" s="46" t="n">
        <x:v>0</x:v>
      </x:c>
      <x:c r="N48" s="21" t="n">
        <x:f>IF(AND(L47=1,M47=1,P47&gt;0),1,0)</x:f>
        <x:v>0</x:v>
      </x:c>
      <x:c r="O48" s="21" t="n">
        <x:f>MIN('Root Data'!I19:I21)</x:f>
        <x:v>0</x:v>
      </x:c>
      <x:c r="P48" s="44" t="n">
        <x:f>IF(AND(L48=1,M48=1,N48=1,O48&gt;=G48),K48,0)</x:f>
        <x:v>0</x:v>
      </x:c>
      <x:c r="Q48" s="21" t="str">
        <x:v>OPEN</x:v>
      </x:c>
      <x:c r="R48" s="23" t="str">
        <x:v>HOLD</x:v>
      </x:c>
    </x:row>
    <x:row r="49">
      <x:c r="B49" s="21" t="str">
        <x:v>AR-00043</x:v>
      </x:c>
      <x:c r="C49" s="21" t="str">
        <x:v>F02-I1</x:v>
      </x:c>
      <x:c r="D49" s="21" t="str">
        <x:v>F02</x:v>
      </x:c>
      <x:c r="E49" s="21" t="n">
        <x:v>3</x:v>
      </x:c>
      <x:c r="F49" s="21" t="str">
        <x:v>Architecture and burden closure</x:v>
      </x:c>
      <x:c r="G49" s="21" t="n">
        <x:v>14</x:v>
      </x:c>
      <x:c r="H49" s="21" t="str">
        <x:v>Independent Evidence and Data Authority</x:v>
      </x:c>
      <x:c r="I49" s="44" t="n">
        <x:f>Lifecycle!G9</x:f>
        <x:v>0.08564464062191186</x:v>
      </x:c>
      <x:c r="J49" s="44" t="n">
        <x:v>0.0625</x:v>
      </x:c>
      <x:c r="K49" s="44" t="n">
        <x:f>I49*J49</x:f>
        <x:v>0.0053527900388694915</x:v>
      </x:c>
      <x:c r="L49" s="46" t="n">
        <x:v>0</x:v>
      </x:c>
      <x:c r="M49" s="46" t="n">
        <x:v>0</x:v>
      </x:c>
      <x:c r="N49" s="21" t="n">
        <x:f>IF(AND(L48=1,M48=1,P48&gt;0),1,0)</x:f>
        <x:v>0</x:v>
      </x:c>
      <x:c r="O49" s="21" t="n">
        <x:f>MIN('Root Data'!I19:I21)</x:f>
        <x:v>0</x:v>
      </x:c>
      <x:c r="P49" s="44" t="n">
        <x:f>IF(AND(L49=1,M49=1,N49=1,O49&gt;=G49),K49,0)</x:f>
        <x:v>0</x:v>
      </x:c>
      <x:c r="Q49" s="21" t="str">
        <x:v>OPEN</x:v>
      </x:c>
      <x:c r="R49" s="23" t="str">
        <x:v>HOLD</x:v>
      </x:c>
    </x:row>
    <x:row r="50">
      <x:c r="B50" s="21" t="str">
        <x:v>AR-00044</x:v>
      </x:c>
      <x:c r="C50" s="21" t="str">
        <x:v>F02-I1</x:v>
      </x:c>
      <x:c r="D50" s="21" t="str">
        <x:v>F02</x:v>
      </x:c>
      <x:c r="E50" s="21" t="n">
        <x:v>4</x:v>
      </x:c>
      <x:c r="F50" s="21" t="str">
        <x:v>Engineering article acceptance</x:v>
      </x:c>
      <x:c r="G50" s="21" t="n">
        <x:v>18</x:v>
      </x:c>
      <x:c r="H50" s="21" t="str">
        <x:v>Independent Evidence and Data Authority</x:v>
      </x:c>
      <x:c r="I50" s="44" t="n">
        <x:f>Lifecycle!G10</x:f>
        <x:v>0.05929244350747744</x:v>
      </x:c>
      <x:c r="J50" s="44" t="n">
        <x:v>0.0625</x:v>
      </x:c>
      <x:c r="K50" s="44" t="n">
        <x:f>I50*J50</x:f>
        <x:v>0.00370577771921734</x:v>
      </x:c>
      <x:c r="L50" s="46" t="n">
        <x:v>0</x:v>
      </x:c>
      <x:c r="M50" s="46" t="n">
        <x:v>0</x:v>
      </x:c>
      <x:c r="N50" s="21" t="n">
        <x:f>IF(AND(L49=1,M49=1,P49&gt;0),1,0)</x:f>
        <x:v>0</x:v>
      </x:c>
      <x:c r="O50" s="21" t="n">
        <x:f>MIN('Root Data'!I19:I21)</x:f>
        <x:v>0</x:v>
      </x:c>
      <x:c r="P50" s="44" t="n">
        <x:f>IF(AND(L50=1,M50=1,N50=1,O50&gt;=G50),K50,0)</x:f>
        <x:v>0</x:v>
      </x:c>
      <x:c r="Q50" s="21" t="str">
        <x:v>OPEN</x:v>
      </x:c>
      <x:c r="R50" s="23" t="str">
        <x:v>HOLD</x:v>
      </x:c>
    </x:row>
    <x:row r="51">
      <x:c r="B51" s="21" t="str">
        <x:v>AR-00045</x:v>
      </x:c>
      <x:c r="C51" s="21" t="str">
        <x:v>F02-I1</x:v>
      </x:c>
      <x:c r="D51" s="21" t="str">
        <x:v>F02</x:v>
      </x:c>
      <x:c r="E51" s="21" t="n">
        <x:v>5</x:v>
      </x:c>
      <x:c r="F51" s="21" t="str">
        <x:v>Qualification and destructive evidence</x:v>
      </x:c>
      <x:c r="G51" s="21" t="n">
        <x:v>21</x:v>
      </x:c>
      <x:c r="H51" s="21" t="str">
        <x:v>Independent Evidence and Data Authority</x:v>
      </x:c>
      <x:c r="I51" s="44" t="n">
        <x:f>Lifecycle!G11</x:f>
        <x:v>0.1515251334079979</x:v>
      </x:c>
      <x:c r="J51" s="44" t="n">
        <x:v>0.0625</x:v>
      </x:c>
      <x:c r="K51" s="44" t="n">
        <x:f>I51*J51</x:f>
        <x:v>0.009470320837999868</x:v>
      </x:c>
      <x:c r="L51" s="46" t="n">
        <x:v>0</x:v>
      </x:c>
      <x:c r="M51" s="46" t="n">
        <x:v>0</x:v>
      </x:c>
      <x:c r="N51" s="21" t="n">
        <x:f>IF(AND(L50=1,M50=1,P50&gt;0),1,0)</x:f>
        <x:v>0</x:v>
      </x:c>
      <x:c r="O51" s="21" t="n">
        <x:f>MIN('Root Data'!I19:I21)</x:f>
        <x:v>0</x:v>
      </x:c>
      <x:c r="P51" s="44" t="n">
        <x:f>IF(AND(L51=1,M51=1,N51=1,O51&gt;=G51),K51,0)</x:f>
        <x:v>0</x:v>
      </x:c>
      <x:c r="Q51" s="21" t="str">
        <x:v>OPEN</x:v>
      </x:c>
      <x:c r="R51" s="23" t="str">
        <x:v>HOLD</x:v>
      </x:c>
    </x:row>
    <x:row r="52">
      <x:c r="B52" s="21" t="str">
        <x:v>AR-00046</x:v>
      </x:c>
      <x:c r="C52" s="21" t="str">
        <x:v>F02-I1</x:v>
      </x:c>
      <x:c r="D52" s="21" t="str">
        <x:v>F02</x:v>
      </x:c>
      <x:c r="E52" s="21" t="n">
        <x:v>6</x:v>
      </x:c>
      <x:c r="F52" s="21" t="str">
        <x:v>Representative mission result</x:v>
      </x:c>
      <x:c r="G52" s="21" t="n">
        <x:v>23</x:v>
      </x:c>
      <x:c r="H52" s="21" t="str">
        <x:v>Receiving Service Authority</x:v>
      </x:c>
      <x:c r="I52" s="44" t="n">
        <x:f>Lifecycle!G12</x:f>
        <x:v>0.250345872587127</x:v>
      </x:c>
      <x:c r="J52" s="44" t="n">
        <x:v>0.0625</x:v>
      </x:c>
      <x:c r="K52" s="44" t="n">
        <x:f>I52*J52</x:f>
        <x:v>0.015646617036695436</x:v>
      </x:c>
      <x:c r="L52" s="46" t="n">
        <x:v>0</x:v>
      </x:c>
      <x:c r="M52" s="46" t="n">
        <x:v>0</x:v>
      </x:c>
      <x:c r="N52" s="21" t="n">
        <x:f>IF(AND(L51=1,M51=1,P51&gt;0),1,0)</x:f>
        <x:v>0</x:v>
      </x:c>
      <x:c r="O52" s="21" t="n">
        <x:f>MIN('Root Data'!I19:I21)</x:f>
        <x:v>0</x:v>
      </x:c>
      <x:c r="P52" s="44" t="n">
        <x:f>IF(AND(L52=1,M52=1,N52=1,O52&gt;=G52),K52,0)</x:f>
        <x:v>0</x:v>
      </x:c>
      <x:c r="Q52" s="21" t="str">
        <x:v>OPEN</x:v>
      </x:c>
      <x:c r="R52" s="23" t="str">
        <x:v>HOLD</x:v>
      </x:c>
    </x:row>
    <x:row r="53">
      <x:c r="B53" s="21" t="str">
        <x:v>AR-00047</x:v>
      </x:c>
      <x:c r="C53" s="21" t="str">
        <x:v>F02-I1</x:v>
      </x:c>
      <x:c r="D53" s="21" t="str">
        <x:v>F02</x:v>
      </x:c>
      <x:c r="E53" s="21" t="n">
        <x:v>7</x:v>
      </x:c>
      <x:c r="F53" s="21" t="str">
        <x:v>Independent reproduction</x:v>
      </x:c>
      <x:c r="G53" s="21" t="n">
        <x:v>28</x:v>
      </x:c>
      <x:c r="H53" s="21" t="str">
        <x:v>Independent Evidence and Data Authority</x:v>
      </x:c>
      <x:c r="I53" s="44" t="n">
        <x:f>Lifecycle!G13</x:f>
        <x:v>0.21740562619408393</x:v>
      </x:c>
      <x:c r="J53" s="44" t="n">
        <x:v>0.0625</x:v>
      </x:c>
      <x:c r="K53" s="44" t="n">
        <x:f>I53*J53</x:f>
        <x:v>0.013587851637130246</x:v>
      </x:c>
      <x:c r="L53" s="46" t="n">
        <x:v>0</x:v>
      </x:c>
      <x:c r="M53" s="46" t="n">
        <x:v>0</x:v>
      </x:c>
      <x:c r="N53" s="21" t="n">
        <x:f>IF(AND(L52=1,M52=1,P52&gt;0),1,0)</x:f>
        <x:v>0</x:v>
      </x:c>
      <x:c r="O53" s="21" t="n">
        <x:f>MIN('Root Data'!I19:I21)</x:f>
        <x:v>0</x:v>
      </x:c>
      <x:c r="P53" s="44" t="n">
        <x:f>IF(AND(L53=1,M53=1,N53=1,O53&gt;=G53),K53,0)</x:f>
        <x:v>0</x:v>
      </x:c>
      <x:c r="Q53" s="21" t="str">
        <x:v>OPEN</x:v>
      </x:c>
      <x:c r="R53" s="23" t="str">
        <x:v>HOLD</x:v>
      </x:c>
    </x:row>
    <x:row r="54">
      <x:c r="B54" s="21" t="str">
        <x:v>AR-00048</x:v>
      </x:c>
      <x:c r="C54" s="21" t="str">
        <x:v>F02-I1</x:v>
      </x:c>
      <x:c r="D54" s="21" t="str">
        <x:v>F02</x:v>
      </x:c>
      <x:c r="E54" s="21" t="n">
        <x:v>8</x:v>
      </x:c>
      <x:c r="F54" s="21" t="str">
        <x:v>Pilot-process qualification</x:v>
      </x:c>
      <x:c r="G54" s="21" t="n">
        <x:v>28</x:v>
      </x:c>
      <x:c r="H54" s="21" t="str">
        <x:v>AIMC Industrial Mobilization Authority</x:v>
      </x:c>
      <x:c r="I54" s="44" t="n">
        <x:f>Lifecycle!G14</x:f>
        <x:v>0.03952829567165163</x:v>
      </x:c>
      <x:c r="J54" s="44" t="n">
        <x:v>0.0625</x:v>
      </x:c>
      <x:c r="K54" s="44" t="n">
        <x:f>I54*J54</x:f>
        <x:v>0.0024705184794782268</x:v>
      </x:c>
      <x:c r="L54" s="46" t="n">
        <x:v>0</x:v>
      </x:c>
      <x:c r="M54" s="46" t="n">
        <x:v>0</x:v>
      </x:c>
      <x:c r="N54" s="21" t="n">
        <x:f>IF(AND(L53=1,M53=1,P53&gt;0),1,0)</x:f>
        <x:v>0</x:v>
      </x:c>
      <x:c r="O54" s="21" t="n">
        <x:f>MIN('Root Data'!I19:I21)</x:f>
        <x:v>0</x:v>
      </x:c>
      <x:c r="P54" s="44" t="n">
        <x:f>IF(AND(L54=1,M54=1,N54=1,O54&gt;=G54),K54,0)</x:f>
        <x:v>0</x:v>
      </x:c>
      <x:c r="Q54" s="21" t="str">
        <x:v>OPEN</x:v>
      </x:c>
      <x:c r="R54" s="23" t="str">
        <x:v>HOLD</x:v>
      </x:c>
    </x:row>
    <x:row r="55">
      <x:c r="B55" s="21" t="str">
        <x:v>AR-00049</x:v>
      </x:c>
      <x:c r="C55" s="21" t="str">
        <x:v>F02-I1</x:v>
      </x:c>
      <x:c r="D55" s="21" t="str">
        <x:v>F02</x:v>
      </x:c>
      <x:c r="E55" s="21" t="n">
        <x:v>9</x:v>
      </x:c>
      <x:c r="F55" s="21" t="str">
        <x:v>Production release package</x:v>
      </x:c>
      <x:c r="G55" s="21" t="n">
        <x:v>28</x:v>
      </x:c>
      <x:c r="H55" s="21" t="str">
        <x:v>Production Release Board</x:v>
      </x:c>
      <x:c r="I55" s="44" t="n">
        <x:f>Lifecycle!G15</x:f>
        <x:v>0.01647012319652151</x:v>
      </x:c>
      <x:c r="J55" s="44" t="n">
        <x:v>0.0625</x:v>
      </x:c>
      <x:c r="K55" s="44" t="n">
        <x:f>I55*J55</x:f>
        <x:v>0.0010293826997825944</x:v>
      </x:c>
      <x:c r="L55" s="46" t="n">
        <x:v>0</x:v>
      </x:c>
      <x:c r="M55" s="46" t="n">
        <x:v>0</x:v>
      </x:c>
      <x:c r="N55" s="21" t="n">
        <x:f>IF(AND(L54=1,M54=1,P54&gt;0),1,0)</x:f>
        <x:v>0</x:v>
      </x:c>
      <x:c r="O55" s="21" t="n">
        <x:f>MIN('Root Data'!I19:I21)</x:f>
        <x:v>0</x:v>
      </x:c>
      <x:c r="P55" s="44" t="n">
        <x:f>IF(AND(L55=1,M55=1,N55=1,O55&gt;=G55),K55,0)</x:f>
        <x:v>0</x:v>
      </x:c>
      <x:c r="Q55" s="21" t="str">
        <x:v>OPEN</x:v>
      </x:c>
      <x:c r="R55" s="23" t="str">
        <x:v>HOLD</x:v>
      </x:c>
    </x:row>
    <x:row r="56">
      <x:c r="B56" s="21" t="str">
        <x:v>AR-00050</x:v>
      </x:c>
      <x:c r="C56" s="21" t="str">
        <x:v>F02-I1</x:v>
      </x:c>
      <x:c r="D56" s="21" t="str">
        <x:v>F02</x:v>
      </x:c>
      <x:c r="E56" s="21" t="n">
        <x:v>10</x:v>
      </x:c>
      <x:c r="F56" s="21" t="str">
        <x:v>Mobilization activation</x:v>
      </x:c>
      <x:c r="G56" s="21" t="n">
        <x:v>28</x:v>
      </x:c>
      <x:c r="H56" s="21" t="str">
        <x:v>Production Release Board</x:v>
      </x:c>
      <x:c r="I56" s="44" t="n">
        <x:f>Lifecycle!G16</x:f>
        <x:v>0.028262731405230914</x:v>
      </x:c>
      <x:c r="J56" s="44" t="n">
        <x:v>0.0625</x:v>
      </x:c>
      <x:c r="K56" s="44" t="n">
        <x:f>I56*J56</x:f>
        <x:v>0.0017664207128269321</x:v>
      </x:c>
      <x:c r="L56" s="46" t="n">
        <x:v>0</x:v>
      </x:c>
      <x:c r="M56" s="46" t="n">
        <x:v>0</x:v>
      </x:c>
      <x:c r="N56" s="21" t="n">
        <x:f>IF(AND(L55=1,M55=1,P55&gt;0),1,0)</x:f>
        <x:v>0</x:v>
      </x:c>
      <x:c r="O56" s="21" t="n">
        <x:f>MIN('Root Data'!I19:I21)</x:f>
        <x:v>0</x:v>
      </x:c>
      <x:c r="P56" s="44" t="n">
        <x:f>IF(AND(L56=1,M56=1,N56=1,O56&gt;=G56),K56,0)</x:f>
        <x:v>0</x:v>
      </x:c>
      <x:c r="Q56" s="21" t="str">
        <x:v>OPEN</x:v>
      </x:c>
      <x:c r="R56" s="23" t="str">
        <x:v>HOLD</x:v>
      </x:c>
    </x:row>
    <x:row r="57">
      <x:c r="B57" s="21" t="str">
        <x:v>AR-00051</x:v>
      </x:c>
      <x:c r="C57" s="21" t="str">
        <x:v>F02-I2</x:v>
      </x:c>
      <x:c r="D57" s="21" t="str">
        <x:v>F02</x:v>
      </x:c>
      <x:c r="E57" s="21" t="n">
        <x:v>1</x:v>
      </x:c>
      <x:c r="F57" s="21" t="str">
        <x:v>Civil effect charter</x:v>
      </x:c>
      <x:c r="G57" s="21" t="n">
        <x:v>0</x:v>
      </x:c>
      <x:c r="H57" s="21" t="str">
        <x:v>Civil Guarantee Authority</x:v>
      </x:c>
      <x:c r="I57" s="44" t="n">
        <x:f>Lifecycle!G7</x:f>
        <x:v>0.04941036958956453</x:v>
      </x:c>
      <x:c r="J57" s="44" t="n">
        <x:v>0.0625</x:v>
      </x:c>
      <x:c r="K57" s="44" t="n">
        <x:f>I57*J57</x:f>
        <x:v>0.0030881480993477832</x:v>
      </x:c>
      <x:c r="L57" s="46" t="n">
        <x:v>0</x:v>
      </x:c>
      <x:c r="M57" s="46" t="n">
        <x:v>0</x:v>
      </x:c>
      <x:c r="N57" s="21" t="n">
        <x:f>1</x:f>
        <x:v>1</x:v>
      </x:c>
      <x:c r="O57" s="21" t="n">
        <x:f>MIN('Root Data'!I22:I24)</x:f>
        <x:v>0</x:v>
      </x:c>
      <x:c r="P57" s="44" t="n">
        <x:f>IF(AND(L57=1,M57=1,N57=1,O57&gt;=G57),K57,0)</x:f>
        <x:v>0</x:v>
      </x:c>
      <x:c r="Q57" s="21" t="str">
        <x:v>OPEN</x:v>
      </x:c>
      <x:c r="R57" s="23" t="str">
        <x:v>HOLD</x:v>
      </x:c>
    </x:row>
    <x:row r="58">
      <x:c r="B58" s="21" t="str">
        <x:v>AR-00052</x:v>
      </x:c>
      <x:c r="C58" s="21" t="str">
        <x:v>F02-I2</x:v>
      </x:c>
      <x:c r="D58" s="21" t="str">
        <x:v>F02</x:v>
      </x:c>
      <x:c r="E58" s="21" t="n">
        <x:v>2</x:v>
      </x:c>
      <x:c r="F58" s="21" t="str">
        <x:v>Requirement and root-independence package</x:v>
      </x:c>
      <x:c r="G58" s="21" t="n">
        <x:v>8</x:v>
      </x:c>
      <x:c r="H58" s="21" t="str">
        <x:v>Resilience Staff</x:v>
      </x:c>
      <x:c r="I58" s="44" t="n">
        <x:f>Lifecycle!G8</x:f>
        <x:v>0.10211476381843337</x:v>
      </x:c>
      <x:c r="J58" s="44" t="n">
        <x:v>0.0625</x:v>
      </x:c>
      <x:c r="K58" s="44" t="n">
        <x:f>I58*J58</x:f>
        <x:v>0.006382172738652086</x:v>
      </x:c>
      <x:c r="L58" s="46" t="n">
        <x:v>0</x:v>
      </x:c>
      <x:c r="M58" s="46" t="n">
        <x:v>0</x:v>
      </x:c>
      <x:c r="N58" s="21" t="n">
        <x:f>IF(AND(L57=1,M57=1,P57&gt;0),1,0)</x:f>
        <x:v>0</x:v>
      </x:c>
      <x:c r="O58" s="21" t="n">
        <x:f>MIN('Root Data'!I22:I24)</x:f>
        <x:v>0</x:v>
      </x:c>
      <x:c r="P58" s="44" t="n">
        <x:f>IF(AND(L58=1,M58=1,N58=1,O58&gt;=G58),K58,0)</x:f>
        <x:v>0</x:v>
      </x:c>
      <x:c r="Q58" s="21" t="str">
        <x:v>OPEN</x:v>
      </x:c>
      <x:c r="R58" s="23" t="str">
        <x:v>HOLD</x:v>
      </x:c>
    </x:row>
    <x:row r="59">
      <x:c r="B59" s="21" t="str">
        <x:v>AR-00053</x:v>
      </x:c>
      <x:c r="C59" s="21" t="str">
        <x:v>F02-I2</x:v>
      </x:c>
      <x:c r="D59" s="21" t="str">
        <x:v>F02</x:v>
      </x:c>
      <x:c r="E59" s="21" t="n">
        <x:v>3</x:v>
      </x:c>
      <x:c r="F59" s="21" t="str">
        <x:v>Architecture and burden closure</x:v>
      </x:c>
      <x:c r="G59" s="21" t="n">
        <x:v>14</x:v>
      </x:c>
      <x:c r="H59" s="21" t="str">
        <x:v>Independent Evidence and Data Authority</x:v>
      </x:c>
      <x:c r="I59" s="44" t="n">
        <x:f>Lifecycle!G9</x:f>
        <x:v>0.08564464062191186</x:v>
      </x:c>
      <x:c r="J59" s="44" t="n">
        <x:v>0.0625</x:v>
      </x:c>
      <x:c r="K59" s="44" t="n">
        <x:f>I59*J59</x:f>
        <x:v>0.0053527900388694915</x:v>
      </x:c>
      <x:c r="L59" s="46" t="n">
        <x:v>0</x:v>
      </x:c>
      <x:c r="M59" s="46" t="n">
        <x:v>0</x:v>
      </x:c>
      <x:c r="N59" s="21" t="n">
        <x:f>IF(AND(L58=1,M58=1,P58&gt;0),1,0)</x:f>
        <x:v>0</x:v>
      </x:c>
      <x:c r="O59" s="21" t="n">
        <x:f>MIN('Root Data'!I22:I24)</x:f>
        <x:v>0</x:v>
      </x:c>
      <x:c r="P59" s="44" t="n">
        <x:f>IF(AND(L59=1,M59=1,N59=1,O59&gt;=G59),K59,0)</x:f>
        <x:v>0</x:v>
      </x:c>
      <x:c r="Q59" s="21" t="str">
        <x:v>OPEN</x:v>
      </x:c>
      <x:c r="R59" s="23" t="str">
        <x:v>HOLD</x:v>
      </x:c>
    </x:row>
    <x:row r="60">
      <x:c r="B60" s="21" t="str">
        <x:v>AR-00054</x:v>
      </x:c>
      <x:c r="C60" s="21" t="str">
        <x:v>F02-I2</x:v>
      </x:c>
      <x:c r="D60" s="21" t="str">
        <x:v>F02</x:v>
      </x:c>
      <x:c r="E60" s="21" t="n">
        <x:v>4</x:v>
      </x:c>
      <x:c r="F60" s="21" t="str">
        <x:v>Engineering article acceptance</x:v>
      </x:c>
      <x:c r="G60" s="21" t="n">
        <x:v>18</x:v>
      </x:c>
      <x:c r="H60" s="21" t="str">
        <x:v>Independent Evidence and Data Authority</x:v>
      </x:c>
      <x:c r="I60" s="44" t="n">
        <x:f>Lifecycle!G10</x:f>
        <x:v>0.05929244350747744</x:v>
      </x:c>
      <x:c r="J60" s="44" t="n">
        <x:v>0.0625</x:v>
      </x:c>
      <x:c r="K60" s="44" t="n">
        <x:f>I60*J60</x:f>
        <x:v>0.00370577771921734</x:v>
      </x:c>
      <x:c r="L60" s="46" t="n">
        <x:v>0</x:v>
      </x:c>
      <x:c r="M60" s="46" t="n">
        <x:v>0</x:v>
      </x:c>
      <x:c r="N60" s="21" t="n">
        <x:f>IF(AND(L59=1,M59=1,P59&gt;0),1,0)</x:f>
        <x:v>0</x:v>
      </x:c>
      <x:c r="O60" s="21" t="n">
        <x:f>MIN('Root Data'!I22:I24)</x:f>
        <x:v>0</x:v>
      </x:c>
      <x:c r="P60" s="44" t="n">
        <x:f>IF(AND(L60=1,M60=1,N60=1,O60&gt;=G60),K60,0)</x:f>
        <x:v>0</x:v>
      </x:c>
      <x:c r="Q60" s="21" t="str">
        <x:v>OPEN</x:v>
      </x:c>
      <x:c r="R60" s="23" t="str">
        <x:v>HOLD</x:v>
      </x:c>
    </x:row>
    <x:row r="61">
      <x:c r="B61" s="21" t="str">
        <x:v>AR-00055</x:v>
      </x:c>
      <x:c r="C61" s="21" t="str">
        <x:v>F02-I2</x:v>
      </x:c>
      <x:c r="D61" s="21" t="str">
        <x:v>F02</x:v>
      </x:c>
      <x:c r="E61" s="21" t="n">
        <x:v>5</x:v>
      </x:c>
      <x:c r="F61" s="21" t="str">
        <x:v>Qualification and destructive evidence</x:v>
      </x:c>
      <x:c r="G61" s="21" t="n">
        <x:v>21</x:v>
      </x:c>
      <x:c r="H61" s="21" t="str">
        <x:v>Independent Evidence and Data Authority</x:v>
      </x:c>
      <x:c r="I61" s="44" t="n">
        <x:f>Lifecycle!G11</x:f>
        <x:v>0.1515251334079979</x:v>
      </x:c>
      <x:c r="J61" s="44" t="n">
        <x:v>0.0625</x:v>
      </x:c>
      <x:c r="K61" s="44" t="n">
        <x:f>I61*J61</x:f>
        <x:v>0.009470320837999868</x:v>
      </x:c>
      <x:c r="L61" s="46" t="n">
        <x:v>0</x:v>
      </x:c>
      <x:c r="M61" s="46" t="n">
        <x:v>0</x:v>
      </x:c>
      <x:c r="N61" s="21" t="n">
        <x:f>IF(AND(L60=1,M60=1,P60&gt;0),1,0)</x:f>
        <x:v>0</x:v>
      </x:c>
      <x:c r="O61" s="21" t="n">
        <x:f>MIN('Root Data'!I22:I24)</x:f>
        <x:v>0</x:v>
      </x:c>
      <x:c r="P61" s="44" t="n">
        <x:f>IF(AND(L61=1,M61=1,N61=1,O61&gt;=G61),K61,0)</x:f>
        <x:v>0</x:v>
      </x:c>
      <x:c r="Q61" s="21" t="str">
        <x:v>OPEN</x:v>
      </x:c>
      <x:c r="R61" s="23" t="str">
        <x:v>HOLD</x:v>
      </x:c>
    </x:row>
    <x:row r="62">
      <x:c r="B62" s="21" t="str">
        <x:v>AR-00056</x:v>
      </x:c>
      <x:c r="C62" s="21" t="str">
        <x:v>F02-I2</x:v>
      </x:c>
      <x:c r="D62" s="21" t="str">
        <x:v>F02</x:v>
      </x:c>
      <x:c r="E62" s="21" t="n">
        <x:v>6</x:v>
      </x:c>
      <x:c r="F62" s="21" t="str">
        <x:v>Representative mission result</x:v>
      </x:c>
      <x:c r="G62" s="21" t="n">
        <x:v>23</x:v>
      </x:c>
      <x:c r="H62" s="21" t="str">
        <x:v>Receiving Service Authority</x:v>
      </x:c>
      <x:c r="I62" s="44" t="n">
        <x:f>Lifecycle!G12</x:f>
        <x:v>0.250345872587127</x:v>
      </x:c>
      <x:c r="J62" s="44" t="n">
        <x:v>0.0625</x:v>
      </x:c>
      <x:c r="K62" s="44" t="n">
        <x:f>I62*J62</x:f>
        <x:v>0.015646617036695436</x:v>
      </x:c>
      <x:c r="L62" s="46" t="n">
        <x:v>0</x:v>
      </x:c>
      <x:c r="M62" s="46" t="n">
        <x:v>0</x:v>
      </x:c>
      <x:c r="N62" s="21" t="n">
        <x:f>IF(AND(L61=1,M61=1,P61&gt;0),1,0)</x:f>
        <x:v>0</x:v>
      </x:c>
      <x:c r="O62" s="21" t="n">
        <x:f>MIN('Root Data'!I22:I24)</x:f>
        <x:v>0</x:v>
      </x:c>
      <x:c r="P62" s="44" t="n">
        <x:f>IF(AND(L62=1,M62=1,N62=1,O62&gt;=G62),K62,0)</x:f>
        <x:v>0</x:v>
      </x:c>
      <x:c r="Q62" s="21" t="str">
        <x:v>OPEN</x:v>
      </x:c>
      <x:c r="R62" s="23" t="str">
        <x:v>HOLD</x:v>
      </x:c>
    </x:row>
    <x:row r="63">
      <x:c r="B63" s="21" t="str">
        <x:v>AR-00057</x:v>
      </x:c>
      <x:c r="C63" s="21" t="str">
        <x:v>F02-I2</x:v>
      </x:c>
      <x:c r="D63" s="21" t="str">
        <x:v>F02</x:v>
      </x:c>
      <x:c r="E63" s="21" t="n">
        <x:v>7</x:v>
      </x:c>
      <x:c r="F63" s="21" t="str">
        <x:v>Independent reproduction</x:v>
      </x:c>
      <x:c r="G63" s="21" t="n">
        <x:v>28</x:v>
      </x:c>
      <x:c r="H63" s="21" t="str">
        <x:v>Independent Evidence and Data Authority</x:v>
      </x:c>
      <x:c r="I63" s="44" t="n">
        <x:f>Lifecycle!G13</x:f>
        <x:v>0.21740562619408393</x:v>
      </x:c>
      <x:c r="J63" s="44" t="n">
        <x:v>0.0625</x:v>
      </x:c>
      <x:c r="K63" s="44" t="n">
        <x:f>I63*J63</x:f>
        <x:v>0.013587851637130246</x:v>
      </x:c>
      <x:c r="L63" s="46" t="n">
        <x:v>0</x:v>
      </x:c>
      <x:c r="M63" s="46" t="n">
        <x:v>0</x:v>
      </x:c>
      <x:c r="N63" s="21" t="n">
        <x:f>IF(AND(L62=1,M62=1,P62&gt;0),1,0)</x:f>
        <x:v>0</x:v>
      </x:c>
      <x:c r="O63" s="21" t="n">
        <x:f>MIN('Root Data'!I22:I24)</x:f>
        <x:v>0</x:v>
      </x:c>
      <x:c r="P63" s="44" t="n">
        <x:f>IF(AND(L63=1,M63=1,N63=1,O63&gt;=G63),K63,0)</x:f>
        <x:v>0</x:v>
      </x:c>
      <x:c r="Q63" s="21" t="str">
        <x:v>OPEN</x:v>
      </x:c>
      <x:c r="R63" s="23" t="str">
        <x:v>HOLD</x:v>
      </x:c>
    </x:row>
    <x:row r="64">
      <x:c r="B64" s="21" t="str">
        <x:v>AR-00058</x:v>
      </x:c>
      <x:c r="C64" s="21" t="str">
        <x:v>F02-I2</x:v>
      </x:c>
      <x:c r="D64" s="21" t="str">
        <x:v>F02</x:v>
      </x:c>
      <x:c r="E64" s="21" t="n">
        <x:v>8</x:v>
      </x:c>
      <x:c r="F64" s="21" t="str">
        <x:v>Pilot-process qualification</x:v>
      </x:c>
      <x:c r="G64" s="21" t="n">
        <x:v>28</x:v>
      </x:c>
      <x:c r="H64" s="21" t="str">
        <x:v>AIMC Industrial Mobilization Authority</x:v>
      </x:c>
      <x:c r="I64" s="44" t="n">
        <x:f>Lifecycle!G14</x:f>
        <x:v>0.03952829567165163</x:v>
      </x:c>
      <x:c r="J64" s="44" t="n">
        <x:v>0.0625</x:v>
      </x:c>
      <x:c r="K64" s="44" t="n">
        <x:f>I64*J64</x:f>
        <x:v>0.0024705184794782268</x:v>
      </x:c>
      <x:c r="L64" s="46" t="n">
        <x:v>0</x:v>
      </x:c>
      <x:c r="M64" s="46" t="n">
        <x:v>0</x:v>
      </x:c>
      <x:c r="N64" s="21" t="n">
        <x:f>IF(AND(L63=1,M63=1,P63&gt;0),1,0)</x:f>
        <x:v>0</x:v>
      </x:c>
      <x:c r="O64" s="21" t="n">
        <x:f>MIN('Root Data'!I22:I24)</x:f>
        <x:v>0</x:v>
      </x:c>
      <x:c r="P64" s="44" t="n">
        <x:f>IF(AND(L64=1,M64=1,N64=1,O64&gt;=G64),K64,0)</x:f>
        <x:v>0</x:v>
      </x:c>
      <x:c r="Q64" s="21" t="str">
        <x:v>OPEN</x:v>
      </x:c>
      <x:c r="R64" s="23" t="str">
        <x:v>HOLD</x:v>
      </x:c>
    </x:row>
    <x:row r="65">
      <x:c r="B65" s="21" t="str">
        <x:v>AR-00059</x:v>
      </x:c>
      <x:c r="C65" s="21" t="str">
        <x:v>F02-I2</x:v>
      </x:c>
      <x:c r="D65" s="21" t="str">
        <x:v>F02</x:v>
      </x:c>
      <x:c r="E65" s="21" t="n">
        <x:v>9</x:v>
      </x:c>
      <x:c r="F65" s="21" t="str">
        <x:v>Production release package</x:v>
      </x:c>
      <x:c r="G65" s="21" t="n">
        <x:v>28</x:v>
      </x:c>
      <x:c r="H65" s="21" t="str">
        <x:v>Production Release Board</x:v>
      </x:c>
      <x:c r="I65" s="44" t="n">
        <x:f>Lifecycle!G15</x:f>
        <x:v>0.01647012319652151</x:v>
      </x:c>
      <x:c r="J65" s="44" t="n">
        <x:v>0.0625</x:v>
      </x:c>
      <x:c r="K65" s="44" t="n">
        <x:f>I65*J65</x:f>
        <x:v>0.0010293826997825944</x:v>
      </x:c>
      <x:c r="L65" s="46" t="n">
        <x:v>0</x:v>
      </x:c>
      <x:c r="M65" s="46" t="n">
        <x:v>0</x:v>
      </x:c>
      <x:c r="N65" s="21" t="n">
        <x:f>IF(AND(L64=1,M64=1,P64&gt;0),1,0)</x:f>
        <x:v>0</x:v>
      </x:c>
      <x:c r="O65" s="21" t="n">
        <x:f>MIN('Root Data'!I22:I24)</x:f>
        <x:v>0</x:v>
      </x:c>
      <x:c r="P65" s="44" t="n">
        <x:f>IF(AND(L65=1,M65=1,N65=1,O65&gt;=G65),K65,0)</x:f>
        <x:v>0</x:v>
      </x:c>
      <x:c r="Q65" s="21" t="str">
        <x:v>OPEN</x:v>
      </x:c>
      <x:c r="R65" s="23" t="str">
        <x:v>HOLD</x:v>
      </x:c>
    </x:row>
    <x:row r="66">
      <x:c r="B66" s="21" t="str">
        <x:v>AR-00060</x:v>
      </x:c>
      <x:c r="C66" s="21" t="str">
        <x:v>F02-I2</x:v>
      </x:c>
      <x:c r="D66" s="21" t="str">
        <x:v>F02</x:v>
      </x:c>
      <x:c r="E66" s="21" t="n">
        <x:v>10</x:v>
      </x:c>
      <x:c r="F66" s="21" t="str">
        <x:v>Mobilization activation</x:v>
      </x:c>
      <x:c r="G66" s="21" t="n">
        <x:v>28</x:v>
      </x:c>
      <x:c r="H66" s="21" t="str">
        <x:v>Production Release Board</x:v>
      </x:c>
      <x:c r="I66" s="44" t="n">
        <x:f>Lifecycle!G16</x:f>
        <x:v>0.028262731405230914</x:v>
      </x:c>
      <x:c r="J66" s="44" t="n">
        <x:v>0.0625</x:v>
      </x:c>
      <x:c r="K66" s="44" t="n">
        <x:f>I66*J66</x:f>
        <x:v>0.0017664207128269321</x:v>
      </x:c>
      <x:c r="L66" s="46" t="n">
        <x:v>0</x:v>
      </x:c>
      <x:c r="M66" s="46" t="n">
        <x:v>0</x:v>
      </x:c>
      <x:c r="N66" s="21" t="n">
        <x:f>IF(AND(L65=1,M65=1,P65&gt;0),1,0)</x:f>
        <x:v>0</x:v>
      </x:c>
      <x:c r="O66" s="21" t="n">
        <x:f>MIN('Root Data'!I22:I24)</x:f>
        <x:v>0</x:v>
      </x:c>
      <x:c r="P66" s="44" t="n">
        <x:f>IF(AND(L66=1,M66=1,N66=1,O66&gt;=G66),K66,0)</x:f>
        <x:v>0</x:v>
      </x:c>
      <x:c r="Q66" s="21" t="str">
        <x:v>OPEN</x:v>
      </x:c>
      <x:c r="R66" s="23" t="str">
        <x:v>HOLD</x:v>
      </x:c>
    </x:row>
    <x:row r="67">
      <x:c r="B67" s="21" t="str">
        <x:v>AR-00061</x:v>
      </x:c>
      <x:c r="C67" s="21" t="str">
        <x:v>F02-I3</x:v>
      </x:c>
      <x:c r="D67" s="21" t="str">
        <x:v>F02</x:v>
      </x:c>
      <x:c r="E67" s="21" t="n">
        <x:v>1</x:v>
      </x:c>
      <x:c r="F67" s="21" t="str">
        <x:v>Civil effect charter</x:v>
      </x:c>
      <x:c r="G67" s="21" t="n">
        <x:v>0</x:v>
      </x:c>
      <x:c r="H67" s="21" t="str">
        <x:v>Civil Guarantee Authority</x:v>
      </x:c>
      <x:c r="I67" s="44" t="n">
        <x:f>Lifecycle!G7</x:f>
        <x:v>0.04941036958956453</x:v>
      </x:c>
      <x:c r="J67" s="44" t="n">
        <x:v>0.0625</x:v>
      </x:c>
      <x:c r="K67" s="44" t="n">
        <x:f>I67*J67</x:f>
        <x:v>0.0030881480993477832</x:v>
      </x:c>
      <x:c r="L67" s="46" t="n">
        <x:v>0</x:v>
      </x:c>
      <x:c r="M67" s="46" t="n">
        <x:v>0</x:v>
      </x:c>
      <x:c r="N67" s="21" t="n">
        <x:f>1</x:f>
        <x:v>1</x:v>
      </x:c>
      <x:c r="O67" s="21" t="n">
        <x:f>MIN('Root Data'!I25:I27)</x:f>
        <x:v>0</x:v>
      </x:c>
      <x:c r="P67" s="44" t="n">
        <x:f>IF(AND(L67=1,M67=1,N67=1,O67&gt;=G67),K67,0)</x:f>
        <x:v>0</x:v>
      </x:c>
      <x:c r="Q67" s="21" t="str">
        <x:v>OPEN</x:v>
      </x:c>
      <x:c r="R67" s="23" t="str">
        <x:v>HOLD</x:v>
      </x:c>
    </x:row>
    <x:row r="68">
      <x:c r="B68" s="21" t="str">
        <x:v>AR-00062</x:v>
      </x:c>
      <x:c r="C68" s="21" t="str">
        <x:v>F02-I3</x:v>
      </x:c>
      <x:c r="D68" s="21" t="str">
        <x:v>F02</x:v>
      </x:c>
      <x:c r="E68" s="21" t="n">
        <x:v>2</x:v>
      </x:c>
      <x:c r="F68" s="21" t="str">
        <x:v>Requirement and root-independence package</x:v>
      </x:c>
      <x:c r="G68" s="21" t="n">
        <x:v>8</x:v>
      </x:c>
      <x:c r="H68" s="21" t="str">
        <x:v>Resilience Staff</x:v>
      </x:c>
      <x:c r="I68" s="44" t="n">
        <x:f>Lifecycle!G8</x:f>
        <x:v>0.10211476381843337</x:v>
      </x:c>
      <x:c r="J68" s="44" t="n">
        <x:v>0.0625</x:v>
      </x:c>
      <x:c r="K68" s="44" t="n">
        <x:f>I68*J68</x:f>
        <x:v>0.006382172738652086</x:v>
      </x:c>
      <x:c r="L68" s="46" t="n">
        <x:v>0</x:v>
      </x:c>
      <x:c r="M68" s="46" t="n">
        <x:v>0</x:v>
      </x:c>
      <x:c r="N68" s="21" t="n">
        <x:f>IF(AND(L67=1,M67=1,P67&gt;0),1,0)</x:f>
        <x:v>0</x:v>
      </x:c>
      <x:c r="O68" s="21" t="n">
        <x:f>MIN('Root Data'!I25:I27)</x:f>
        <x:v>0</x:v>
      </x:c>
      <x:c r="P68" s="44" t="n">
        <x:f>IF(AND(L68=1,M68=1,N68=1,O68&gt;=G68),K68,0)</x:f>
        <x:v>0</x:v>
      </x:c>
      <x:c r="Q68" s="21" t="str">
        <x:v>OPEN</x:v>
      </x:c>
      <x:c r="R68" s="23" t="str">
        <x:v>HOLD</x:v>
      </x:c>
    </x:row>
    <x:row r="69">
      <x:c r="B69" s="21" t="str">
        <x:v>AR-00063</x:v>
      </x:c>
      <x:c r="C69" s="21" t="str">
        <x:v>F02-I3</x:v>
      </x:c>
      <x:c r="D69" s="21" t="str">
        <x:v>F02</x:v>
      </x:c>
      <x:c r="E69" s="21" t="n">
        <x:v>3</x:v>
      </x:c>
      <x:c r="F69" s="21" t="str">
        <x:v>Architecture and burden closure</x:v>
      </x:c>
      <x:c r="G69" s="21" t="n">
        <x:v>14</x:v>
      </x:c>
      <x:c r="H69" s="21" t="str">
        <x:v>Independent Evidence and Data Authority</x:v>
      </x:c>
      <x:c r="I69" s="44" t="n">
        <x:f>Lifecycle!G9</x:f>
        <x:v>0.08564464062191186</x:v>
      </x:c>
      <x:c r="J69" s="44" t="n">
        <x:v>0.0625</x:v>
      </x:c>
      <x:c r="K69" s="44" t="n">
        <x:f>I69*J69</x:f>
        <x:v>0.0053527900388694915</x:v>
      </x:c>
      <x:c r="L69" s="46" t="n">
        <x:v>0</x:v>
      </x:c>
      <x:c r="M69" s="46" t="n">
        <x:v>0</x:v>
      </x:c>
      <x:c r="N69" s="21" t="n">
        <x:f>IF(AND(L68=1,M68=1,P68&gt;0),1,0)</x:f>
        <x:v>0</x:v>
      </x:c>
      <x:c r="O69" s="21" t="n">
        <x:f>MIN('Root Data'!I25:I27)</x:f>
        <x:v>0</x:v>
      </x:c>
      <x:c r="P69" s="44" t="n">
        <x:f>IF(AND(L69=1,M69=1,N69=1,O69&gt;=G69),K69,0)</x:f>
        <x:v>0</x:v>
      </x:c>
      <x:c r="Q69" s="21" t="str">
        <x:v>OPEN</x:v>
      </x:c>
      <x:c r="R69" s="23" t="str">
        <x:v>HOLD</x:v>
      </x:c>
    </x:row>
    <x:row r="70">
      <x:c r="B70" s="21" t="str">
        <x:v>AR-00064</x:v>
      </x:c>
      <x:c r="C70" s="21" t="str">
        <x:v>F02-I3</x:v>
      </x:c>
      <x:c r="D70" s="21" t="str">
        <x:v>F02</x:v>
      </x:c>
      <x:c r="E70" s="21" t="n">
        <x:v>4</x:v>
      </x:c>
      <x:c r="F70" s="21" t="str">
        <x:v>Engineering article acceptance</x:v>
      </x:c>
      <x:c r="G70" s="21" t="n">
        <x:v>18</x:v>
      </x:c>
      <x:c r="H70" s="21" t="str">
        <x:v>Independent Evidence and Data Authority</x:v>
      </x:c>
      <x:c r="I70" s="44" t="n">
        <x:f>Lifecycle!G10</x:f>
        <x:v>0.05929244350747744</x:v>
      </x:c>
      <x:c r="J70" s="44" t="n">
        <x:v>0.0625</x:v>
      </x:c>
      <x:c r="K70" s="44" t="n">
        <x:f>I70*J70</x:f>
        <x:v>0.00370577771921734</x:v>
      </x:c>
      <x:c r="L70" s="46" t="n">
        <x:v>0</x:v>
      </x:c>
      <x:c r="M70" s="46" t="n">
        <x:v>0</x:v>
      </x:c>
      <x:c r="N70" s="21" t="n">
        <x:f>IF(AND(L69=1,M69=1,P69&gt;0),1,0)</x:f>
        <x:v>0</x:v>
      </x:c>
      <x:c r="O70" s="21" t="n">
        <x:f>MIN('Root Data'!I25:I27)</x:f>
        <x:v>0</x:v>
      </x:c>
      <x:c r="P70" s="44" t="n">
        <x:f>IF(AND(L70=1,M70=1,N70=1,O70&gt;=G70),K70,0)</x:f>
        <x:v>0</x:v>
      </x:c>
      <x:c r="Q70" s="21" t="str">
        <x:v>OPEN</x:v>
      </x:c>
      <x:c r="R70" s="23" t="str">
        <x:v>HOLD</x:v>
      </x:c>
    </x:row>
    <x:row r="71">
      <x:c r="B71" s="21" t="str">
        <x:v>AR-00065</x:v>
      </x:c>
      <x:c r="C71" s="21" t="str">
        <x:v>F02-I3</x:v>
      </x:c>
      <x:c r="D71" s="21" t="str">
        <x:v>F02</x:v>
      </x:c>
      <x:c r="E71" s="21" t="n">
        <x:v>5</x:v>
      </x:c>
      <x:c r="F71" s="21" t="str">
        <x:v>Qualification and destructive evidence</x:v>
      </x:c>
      <x:c r="G71" s="21" t="n">
        <x:v>21</x:v>
      </x:c>
      <x:c r="H71" s="21" t="str">
        <x:v>Independent Evidence and Data Authority</x:v>
      </x:c>
      <x:c r="I71" s="44" t="n">
        <x:f>Lifecycle!G11</x:f>
        <x:v>0.1515251334079979</x:v>
      </x:c>
      <x:c r="J71" s="44" t="n">
        <x:v>0.0625</x:v>
      </x:c>
      <x:c r="K71" s="44" t="n">
        <x:f>I71*J71</x:f>
        <x:v>0.009470320837999868</x:v>
      </x:c>
      <x:c r="L71" s="46" t="n">
        <x:v>0</x:v>
      </x:c>
      <x:c r="M71" s="46" t="n">
        <x:v>0</x:v>
      </x:c>
      <x:c r="N71" s="21" t="n">
        <x:f>IF(AND(L70=1,M70=1,P70&gt;0),1,0)</x:f>
        <x:v>0</x:v>
      </x:c>
      <x:c r="O71" s="21" t="n">
        <x:f>MIN('Root Data'!I25:I27)</x:f>
        <x:v>0</x:v>
      </x:c>
      <x:c r="P71" s="44" t="n">
        <x:f>IF(AND(L71=1,M71=1,N71=1,O71&gt;=G71),K71,0)</x:f>
        <x:v>0</x:v>
      </x:c>
      <x:c r="Q71" s="21" t="str">
        <x:v>OPEN</x:v>
      </x:c>
      <x:c r="R71" s="23" t="str">
        <x:v>HOLD</x:v>
      </x:c>
    </x:row>
    <x:row r="72">
      <x:c r="B72" s="21" t="str">
        <x:v>AR-00066</x:v>
      </x:c>
      <x:c r="C72" s="21" t="str">
        <x:v>F02-I3</x:v>
      </x:c>
      <x:c r="D72" s="21" t="str">
        <x:v>F02</x:v>
      </x:c>
      <x:c r="E72" s="21" t="n">
        <x:v>6</x:v>
      </x:c>
      <x:c r="F72" s="21" t="str">
        <x:v>Representative mission result</x:v>
      </x:c>
      <x:c r="G72" s="21" t="n">
        <x:v>23</x:v>
      </x:c>
      <x:c r="H72" s="21" t="str">
        <x:v>Receiving Service Authority</x:v>
      </x:c>
      <x:c r="I72" s="44" t="n">
        <x:f>Lifecycle!G12</x:f>
        <x:v>0.250345872587127</x:v>
      </x:c>
      <x:c r="J72" s="44" t="n">
        <x:v>0.0625</x:v>
      </x:c>
      <x:c r="K72" s="44" t="n">
        <x:f>I72*J72</x:f>
        <x:v>0.015646617036695436</x:v>
      </x:c>
      <x:c r="L72" s="46" t="n">
        <x:v>0</x:v>
      </x:c>
      <x:c r="M72" s="46" t="n">
        <x:v>0</x:v>
      </x:c>
      <x:c r="N72" s="21" t="n">
        <x:f>IF(AND(L71=1,M71=1,P71&gt;0),1,0)</x:f>
        <x:v>0</x:v>
      </x:c>
      <x:c r="O72" s="21" t="n">
        <x:f>MIN('Root Data'!I25:I27)</x:f>
        <x:v>0</x:v>
      </x:c>
      <x:c r="P72" s="44" t="n">
        <x:f>IF(AND(L72=1,M72=1,N72=1,O72&gt;=G72),K72,0)</x:f>
        <x:v>0</x:v>
      </x:c>
      <x:c r="Q72" s="21" t="str">
        <x:v>OPEN</x:v>
      </x:c>
      <x:c r="R72" s="23" t="str">
        <x:v>HOLD</x:v>
      </x:c>
    </x:row>
    <x:row r="73">
      <x:c r="B73" s="21" t="str">
        <x:v>AR-00067</x:v>
      </x:c>
      <x:c r="C73" s="21" t="str">
        <x:v>F02-I3</x:v>
      </x:c>
      <x:c r="D73" s="21" t="str">
        <x:v>F02</x:v>
      </x:c>
      <x:c r="E73" s="21" t="n">
        <x:v>7</x:v>
      </x:c>
      <x:c r="F73" s="21" t="str">
        <x:v>Independent reproduction</x:v>
      </x:c>
      <x:c r="G73" s="21" t="n">
        <x:v>28</x:v>
      </x:c>
      <x:c r="H73" s="21" t="str">
        <x:v>Independent Evidence and Data Authority</x:v>
      </x:c>
      <x:c r="I73" s="44" t="n">
        <x:f>Lifecycle!G13</x:f>
        <x:v>0.21740562619408393</x:v>
      </x:c>
      <x:c r="J73" s="44" t="n">
        <x:v>0.0625</x:v>
      </x:c>
      <x:c r="K73" s="44" t="n">
        <x:f>I73*J73</x:f>
        <x:v>0.013587851637130246</x:v>
      </x:c>
      <x:c r="L73" s="46" t="n">
        <x:v>0</x:v>
      </x:c>
      <x:c r="M73" s="46" t="n">
        <x:v>0</x:v>
      </x:c>
      <x:c r="N73" s="21" t="n">
        <x:f>IF(AND(L72=1,M72=1,P72&gt;0),1,0)</x:f>
        <x:v>0</x:v>
      </x:c>
      <x:c r="O73" s="21" t="n">
        <x:f>MIN('Root Data'!I25:I27)</x:f>
        <x:v>0</x:v>
      </x:c>
      <x:c r="P73" s="44" t="n">
        <x:f>IF(AND(L73=1,M73=1,N73=1,O73&gt;=G73),K73,0)</x:f>
        <x:v>0</x:v>
      </x:c>
      <x:c r="Q73" s="21" t="str">
        <x:v>OPEN</x:v>
      </x:c>
      <x:c r="R73" s="23" t="str">
        <x:v>HOLD</x:v>
      </x:c>
    </x:row>
    <x:row r="74">
      <x:c r="B74" s="21" t="str">
        <x:v>AR-00068</x:v>
      </x:c>
      <x:c r="C74" s="21" t="str">
        <x:v>F02-I3</x:v>
      </x:c>
      <x:c r="D74" s="21" t="str">
        <x:v>F02</x:v>
      </x:c>
      <x:c r="E74" s="21" t="n">
        <x:v>8</x:v>
      </x:c>
      <x:c r="F74" s="21" t="str">
        <x:v>Pilot-process qualification</x:v>
      </x:c>
      <x:c r="G74" s="21" t="n">
        <x:v>28</x:v>
      </x:c>
      <x:c r="H74" s="21" t="str">
        <x:v>AIMC Industrial Mobilization Authority</x:v>
      </x:c>
      <x:c r="I74" s="44" t="n">
        <x:f>Lifecycle!G14</x:f>
        <x:v>0.03952829567165163</x:v>
      </x:c>
      <x:c r="J74" s="44" t="n">
        <x:v>0.0625</x:v>
      </x:c>
      <x:c r="K74" s="44" t="n">
        <x:f>I74*J74</x:f>
        <x:v>0.0024705184794782268</x:v>
      </x:c>
      <x:c r="L74" s="46" t="n">
        <x:v>0</x:v>
      </x:c>
      <x:c r="M74" s="46" t="n">
        <x:v>0</x:v>
      </x:c>
      <x:c r="N74" s="21" t="n">
        <x:f>IF(AND(L73=1,M73=1,P73&gt;0),1,0)</x:f>
        <x:v>0</x:v>
      </x:c>
      <x:c r="O74" s="21" t="n">
        <x:f>MIN('Root Data'!I25:I27)</x:f>
        <x:v>0</x:v>
      </x:c>
      <x:c r="P74" s="44" t="n">
        <x:f>IF(AND(L74=1,M74=1,N74=1,O74&gt;=G74),K74,0)</x:f>
        <x:v>0</x:v>
      </x:c>
      <x:c r="Q74" s="21" t="str">
        <x:v>OPEN</x:v>
      </x:c>
      <x:c r="R74" s="23" t="str">
        <x:v>HOLD</x:v>
      </x:c>
    </x:row>
    <x:row r="75">
      <x:c r="B75" s="21" t="str">
        <x:v>AR-00069</x:v>
      </x:c>
      <x:c r="C75" s="21" t="str">
        <x:v>F02-I3</x:v>
      </x:c>
      <x:c r="D75" s="21" t="str">
        <x:v>F02</x:v>
      </x:c>
      <x:c r="E75" s="21" t="n">
        <x:v>9</x:v>
      </x:c>
      <x:c r="F75" s="21" t="str">
        <x:v>Production release package</x:v>
      </x:c>
      <x:c r="G75" s="21" t="n">
        <x:v>28</x:v>
      </x:c>
      <x:c r="H75" s="21" t="str">
        <x:v>Production Release Board</x:v>
      </x:c>
      <x:c r="I75" s="44" t="n">
        <x:f>Lifecycle!G15</x:f>
        <x:v>0.01647012319652151</x:v>
      </x:c>
      <x:c r="J75" s="44" t="n">
        <x:v>0.0625</x:v>
      </x:c>
      <x:c r="K75" s="44" t="n">
        <x:f>I75*J75</x:f>
        <x:v>0.0010293826997825944</x:v>
      </x:c>
      <x:c r="L75" s="46" t="n">
        <x:v>0</x:v>
      </x:c>
      <x:c r="M75" s="46" t="n">
        <x:v>0</x:v>
      </x:c>
      <x:c r="N75" s="21" t="n">
        <x:f>IF(AND(L74=1,M74=1,P74&gt;0),1,0)</x:f>
        <x:v>0</x:v>
      </x:c>
      <x:c r="O75" s="21" t="n">
        <x:f>MIN('Root Data'!I25:I27)</x:f>
        <x:v>0</x:v>
      </x:c>
      <x:c r="P75" s="44" t="n">
        <x:f>IF(AND(L75=1,M75=1,N75=1,O75&gt;=G75),K75,0)</x:f>
        <x:v>0</x:v>
      </x:c>
      <x:c r="Q75" s="21" t="str">
        <x:v>OPEN</x:v>
      </x:c>
      <x:c r="R75" s="23" t="str">
        <x:v>HOLD</x:v>
      </x:c>
    </x:row>
    <x:row r="76">
      <x:c r="B76" s="21" t="str">
        <x:v>AR-00070</x:v>
      </x:c>
      <x:c r="C76" s="21" t="str">
        <x:v>F02-I3</x:v>
      </x:c>
      <x:c r="D76" s="21" t="str">
        <x:v>F02</x:v>
      </x:c>
      <x:c r="E76" s="21" t="n">
        <x:v>10</x:v>
      </x:c>
      <x:c r="F76" s="21" t="str">
        <x:v>Mobilization activation</x:v>
      </x:c>
      <x:c r="G76" s="21" t="n">
        <x:v>28</x:v>
      </x:c>
      <x:c r="H76" s="21" t="str">
        <x:v>Production Release Board</x:v>
      </x:c>
      <x:c r="I76" s="44" t="n">
        <x:f>Lifecycle!G16</x:f>
        <x:v>0.028262731405230914</x:v>
      </x:c>
      <x:c r="J76" s="44" t="n">
        <x:v>0.0625</x:v>
      </x:c>
      <x:c r="K76" s="44" t="n">
        <x:f>I76*J76</x:f>
        <x:v>0.0017664207128269321</x:v>
      </x:c>
      <x:c r="L76" s="46" t="n">
        <x:v>0</x:v>
      </x:c>
      <x:c r="M76" s="46" t="n">
        <x:v>0</x:v>
      </x:c>
      <x:c r="N76" s="21" t="n">
        <x:f>IF(AND(L75=1,M75=1,P75&gt;0),1,0)</x:f>
        <x:v>0</x:v>
      </x:c>
      <x:c r="O76" s="21" t="n">
        <x:f>MIN('Root Data'!I25:I27)</x:f>
        <x:v>0</x:v>
      </x:c>
      <x:c r="P76" s="44" t="n">
        <x:f>IF(AND(L76=1,M76=1,N76=1,O76&gt;=G76),K76,0)</x:f>
        <x:v>0</x:v>
      </x:c>
      <x:c r="Q76" s="21" t="str">
        <x:v>OPEN</x:v>
      </x:c>
      <x:c r="R76" s="23" t="str">
        <x:v>HOLD</x:v>
      </x:c>
    </x:row>
    <x:row r="77">
      <x:c r="B77" s="21" t="str">
        <x:v>AR-00071</x:v>
      </x:c>
      <x:c r="C77" s="21" t="str">
        <x:v>F02-I4</x:v>
      </x:c>
      <x:c r="D77" s="21" t="str">
        <x:v>F02</x:v>
      </x:c>
      <x:c r="E77" s="21" t="n">
        <x:v>1</x:v>
      </x:c>
      <x:c r="F77" s="21" t="str">
        <x:v>Civil effect charter</x:v>
      </x:c>
      <x:c r="G77" s="21" t="n">
        <x:v>0</x:v>
      </x:c>
      <x:c r="H77" s="21" t="str">
        <x:v>Civil Guarantee Authority</x:v>
      </x:c>
      <x:c r="I77" s="44" t="n">
        <x:f>Lifecycle!G7</x:f>
        <x:v>0.04941036958956453</x:v>
      </x:c>
      <x:c r="J77" s="44" t="n">
        <x:v>0.0625</x:v>
      </x:c>
      <x:c r="K77" s="44" t="n">
        <x:f>I77*J77</x:f>
        <x:v>0.0030881480993477832</x:v>
      </x:c>
      <x:c r="L77" s="46" t="n">
        <x:v>0</x:v>
      </x:c>
      <x:c r="M77" s="46" t="n">
        <x:v>0</x:v>
      </x:c>
      <x:c r="N77" s="21" t="n">
        <x:f>1</x:f>
        <x:v>1</x:v>
      </x:c>
      <x:c r="O77" s="21" t="n">
        <x:f>MIN('Root Data'!I28:I30)</x:f>
        <x:v>0</x:v>
      </x:c>
      <x:c r="P77" s="44" t="n">
        <x:f>IF(AND(L77=1,M77=1,N77=1,O77&gt;=G77),K77,0)</x:f>
        <x:v>0</x:v>
      </x:c>
      <x:c r="Q77" s="21" t="str">
        <x:v>OPEN</x:v>
      </x:c>
      <x:c r="R77" s="23" t="str">
        <x:v>HOLD</x:v>
      </x:c>
    </x:row>
    <x:row r="78">
      <x:c r="B78" s="21" t="str">
        <x:v>AR-00072</x:v>
      </x:c>
      <x:c r="C78" s="21" t="str">
        <x:v>F02-I4</x:v>
      </x:c>
      <x:c r="D78" s="21" t="str">
        <x:v>F02</x:v>
      </x:c>
      <x:c r="E78" s="21" t="n">
        <x:v>2</x:v>
      </x:c>
      <x:c r="F78" s="21" t="str">
        <x:v>Requirement and root-independence package</x:v>
      </x:c>
      <x:c r="G78" s="21" t="n">
        <x:v>8</x:v>
      </x:c>
      <x:c r="H78" s="21" t="str">
        <x:v>Resilience Staff</x:v>
      </x:c>
      <x:c r="I78" s="44" t="n">
        <x:f>Lifecycle!G8</x:f>
        <x:v>0.10211476381843337</x:v>
      </x:c>
      <x:c r="J78" s="44" t="n">
        <x:v>0.0625</x:v>
      </x:c>
      <x:c r="K78" s="44" t="n">
        <x:f>I78*J78</x:f>
        <x:v>0.006382172738652086</x:v>
      </x:c>
      <x:c r="L78" s="46" t="n">
        <x:v>0</x:v>
      </x:c>
      <x:c r="M78" s="46" t="n">
        <x:v>0</x:v>
      </x:c>
      <x:c r="N78" s="21" t="n">
        <x:f>IF(AND(L77=1,M77=1,P77&gt;0),1,0)</x:f>
        <x:v>0</x:v>
      </x:c>
      <x:c r="O78" s="21" t="n">
        <x:f>MIN('Root Data'!I28:I30)</x:f>
        <x:v>0</x:v>
      </x:c>
      <x:c r="P78" s="44" t="n">
        <x:f>IF(AND(L78=1,M78=1,N78=1,O78&gt;=G78),K78,0)</x:f>
        <x:v>0</x:v>
      </x:c>
      <x:c r="Q78" s="21" t="str">
        <x:v>OPEN</x:v>
      </x:c>
      <x:c r="R78" s="23" t="str">
        <x:v>HOLD</x:v>
      </x:c>
    </x:row>
    <x:row r="79">
      <x:c r="B79" s="21" t="str">
        <x:v>AR-00073</x:v>
      </x:c>
      <x:c r="C79" s="21" t="str">
        <x:v>F02-I4</x:v>
      </x:c>
      <x:c r="D79" s="21" t="str">
        <x:v>F02</x:v>
      </x:c>
      <x:c r="E79" s="21" t="n">
        <x:v>3</x:v>
      </x:c>
      <x:c r="F79" s="21" t="str">
        <x:v>Architecture and burden closure</x:v>
      </x:c>
      <x:c r="G79" s="21" t="n">
        <x:v>14</x:v>
      </x:c>
      <x:c r="H79" s="21" t="str">
        <x:v>Independent Evidence and Data Authority</x:v>
      </x:c>
      <x:c r="I79" s="44" t="n">
        <x:f>Lifecycle!G9</x:f>
        <x:v>0.08564464062191186</x:v>
      </x:c>
      <x:c r="J79" s="44" t="n">
        <x:v>0.0625</x:v>
      </x:c>
      <x:c r="K79" s="44" t="n">
        <x:f>I79*J79</x:f>
        <x:v>0.0053527900388694915</x:v>
      </x:c>
      <x:c r="L79" s="46" t="n">
        <x:v>0</x:v>
      </x:c>
      <x:c r="M79" s="46" t="n">
        <x:v>0</x:v>
      </x:c>
      <x:c r="N79" s="21" t="n">
        <x:f>IF(AND(L78=1,M78=1,P78&gt;0),1,0)</x:f>
        <x:v>0</x:v>
      </x:c>
      <x:c r="O79" s="21" t="n">
        <x:f>MIN('Root Data'!I28:I30)</x:f>
        <x:v>0</x:v>
      </x:c>
      <x:c r="P79" s="44" t="n">
        <x:f>IF(AND(L79=1,M79=1,N79=1,O79&gt;=G79),K79,0)</x:f>
        <x:v>0</x:v>
      </x:c>
      <x:c r="Q79" s="21" t="str">
        <x:v>OPEN</x:v>
      </x:c>
      <x:c r="R79" s="23" t="str">
        <x:v>HOLD</x:v>
      </x:c>
    </x:row>
    <x:row r="80">
      <x:c r="B80" s="21" t="str">
        <x:v>AR-00074</x:v>
      </x:c>
      <x:c r="C80" s="21" t="str">
        <x:v>F02-I4</x:v>
      </x:c>
      <x:c r="D80" s="21" t="str">
        <x:v>F02</x:v>
      </x:c>
      <x:c r="E80" s="21" t="n">
        <x:v>4</x:v>
      </x:c>
      <x:c r="F80" s="21" t="str">
        <x:v>Engineering article acceptance</x:v>
      </x:c>
      <x:c r="G80" s="21" t="n">
        <x:v>18</x:v>
      </x:c>
      <x:c r="H80" s="21" t="str">
        <x:v>Independent Evidence and Data Authority</x:v>
      </x:c>
      <x:c r="I80" s="44" t="n">
        <x:f>Lifecycle!G10</x:f>
        <x:v>0.05929244350747744</x:v>
      </x:c>
      <x:c r="J80" s="44" t="n">
        <x:v>0.0625</x:v>
      </x:c>
      <x:c r="K80" s="44" t="n">
        <x:f>I80*J80</x:f>
        <x:v>0.00370577771921734</x:v>
      </x:c>
      <x:c r="L80" s="46" t="n">
        <x:v>0</x:v>
      </x:c>
      <x:c r="M80" s="46" t="n">
        <x:v>0</x:v>
      </x:c>
      <x:c r="N80" s="21" t="n">
        <x:f>IF(AND(L79=1,M79=1,P79&gt;0),1,0)</x:f>
        <x:v>0</x:v>
      </x:c>
      <x:c r="O80" s="21" t="n">
        <x:f>MIN('Root Data'!I28:I30)</x:f>
        <x:v>0</x:v>
      </x:c>
      <x:c r="P80" s="44" t="n">
        <x:f>IF(AND(L80=1,M80=1,N80=1,O80&gt;=G80),K80,0)</x:f>
        <x:v>0</x:v>
      </x:c>
      <x:c r="Q80" s="21" t="str">
        <x:v>OPEN</x:v>
      </x:c>
      <x:c r="R80" s="23" t="str">
        <x:v>HOLD</x:v>
      </x:c>
    </x:row>
    <x:row r="81">
      <x:c r="B81" s="21" t="str">
        <x:v>AR-00075</x:v>
      </x:c>
      <x:c r="C81" s="21" t="str">
        <x:v>F02-I4</x:v>
      </x:c>
      <x:c r="D81" s="21" t="str">
        <x:v>F02</x:v>
      </x:c>
      <x:c r="E81" s="21" t="n">
        <x:v>5</x:v>
      </x:c>
      <x:c r="F81" s="21" t="str">
        <x:v>Qualification and destructive evidence</x:v>
      </x:c>
      <x:c r="G81" s="21" t="n">
        <x:v>21</x:v>
      </x:c>
      <x:c r="H81" s="21" t="str">
        <x:v>Independent Evidence and Data Authority</x:v>
      </x:c>
      <x:c r="I81" s="44" t="n">
        <x:f>Lifecycle!G11</x:f>
        <x:v>0.1515251334079979</x:v>
      </x:c>
      <x:c r="J81" s="44" t="n">
        <x:v>0.0625</x:v>
      </x:c>
      <x:c r="K81" s="44" t="n">
        <x:f>I81*J81</x:f>
        <x:v>0.009470320837999868</x:v>
      </x:c>
      <x:c r="L81" s="46" t="n">
        <x:v>0</x:v>
      </x:c>
      <x:c r="M81" s="46" t="n">
        <x:v>0</x:v>
      </x:c>
      <x:c r="N81" s="21" t="n">
        <x:f>IF(AND(L80=1,M80=1,P80&gt;0),1,0)</x:f>
        <x:v>0</x:v>
      </x:c>
      <x:c r="O81" s="21" t="n">
        <x:f>MIN('Root Data'!I28:I30)</x:f>
        <x:v>0</x:v>
      </x:c>
      <x:c r="P81" s="44" t="n">
        <x:f>IF(AND(L81=1,M81=1,N81=1,O81&gt;=G81),K81,0)</x:f>
        <x:v>0</x:v>
      </x:c>
      <x:c r="Q81" s="21" t="str">
        <x:v>OPEN</x:v>
      </x:c>
      <x:c r="R81" s="23" t="str">
        <x:v>HOLD</x:v>
      </x:c>
    </x:row>
    <x:row r="82">
      <x:c r="B82" s="21" t="str">
        <x:v>AR-00076</x:v>
      </x:c>
      <x:c r="C82" s="21" t="str">
        <x:v>F02-I4</x:v>
      </x:c>
      <x:c r="D82" s="21" t="str">
        <x:v>F02</x:v>
      </x:c>
      <x:c r="E82" s="21" t="n">
        <x:v>6</x:v>
      </x:c>
      <x:c r="F82" s="21" t="str">
        <x:v>Representative mission result</x:v>
      </x:c>
      <x:c r="G82" s="21" t="n">
        <x:v>23</x:v>
      </x:c>
      <x:c r="H82" s="21" t="str">
        <x:v>Receiving Service Authority</x:v>
      </x:c>
      <x:c r="I82" s="44" t="n">
        <x:f>Lifecycle!G12</x:f>
        <x:v>0.250345872587127</x:v>
      </x:c>
      <x:c r="J82" s="44" t="n">
        <x:v>0.0625</x:v>
      </x:c>
      <x:c r="K82" s="44" t="n">
        <x:f>I82*J82</x:f>
        <x:v>0.015646617036695436</x:v>
      </x:c>
      <x:c r="L82" s="46" t="n">
        <x:v>0</x:v>
      </x:c>
      <x:c r="M82" s="46" t="n">
        <x:v>0</x:v>
      </x:c>
      <x:c r="N82" s="21" t="n">
        <x:f>IF(AND(L81=1,M81=1,P81&gt;0),1,0)</x:f>
        <x:v>0</x:v>
      </x:c>
      <x:c r="O82" s="21" t="n">
        <x:f>MIN('Root Data'!I28:I30)</x:f>
        <x:v>0</x:v>
      </x:c>
      <x:c r="P82" s="44" t="n">
        <x:f>IF(AND(L82=1,M82=1,N82=1,O82&gt;=G82),K82,0)</x:f>
        <x:v>0</x:v>
      </x:c>
      <x:c r="Q82" s="21" t="str">
        <x:v>OPEN</x:v>
      </x:c>
      <x:c r="R82" s="23" t="str">
        <x:v>HOLD</x:v>
      </x:c>
    </x:row>
    <x:row r="83">
      <x:c r="B83" s="21" t="str">
        <x:v>AR-00077</x:v>
      </x:c>
      <x:c r="C83" s="21" t="str">
        <x:v>F02-I4</x:v>
      </x:c>
      <x:c r="D83" s="21" t="str">
        <x:v>F02</x:v>
      </x:c>
      <x:c r="E83" s="21" t="n">
        <x:v>7</x:v>
      </x:c>
      <x:c r="F83" s="21" t="str">
        <x:v>Independent reproduction</x:v>
      </x:c>
      <x:c r="G83" s="21" t="n">
        <x:v>28</x:v>
      </x:c>
      <x:c r="H83" s="21" t="str">
        <x:v>Independent Evidence and Data Authority</x:v>
      </x:c>
      <x:c r="I83" s="44" t="n">
        <x:f>Lifecycle!G13</x:f>
        <x:v>0.21740562619408393</x:v>
      </x:c>
      <x:c r="J83" s="44" t="n">
        <x:v>0.0625</x:v>
      </x:c>
      <x:c r="K83" s="44" t="n">
        <x:f>I83*J83</x:f>
        <x:v>0.013587851637130246</x:v>
      </x:c>
      <x:c r="L83" s="46" t="n">
        <x:v>0</x:v>
      </x:c>
      <x:c r="M83" s="46" t="n">
        <x:v>0</x:v>
      </x:c>
      <x:c r="N83" s="21" t="n">
        <x:f>IF(AND(L82=1,M82=1,P82&gt;0),1,0)</x:f>
        <x:v>0</x:v>
      </x:c>
      <x:c r="O83" s="21" t="n">
        <x:f>MIN('Root Data'!I28:I30)</x:f>
        <x:v>0</x:v>
      </x:c>
      <x:c r="P83" s="44" t="n">
        <x:f>IF(AND(L83=1,M83=1,N83=1,O83&gt;=G83),K83,0)</x:f>
        <x:v>0</x:v>
      </x:c>
      <x:c r="Q83" s="21" t="str">
        <x:v>OPEN</x:v>
      </x:c>
      <x:c r="R83" s="23" t="str">
        <x:v>HOLD</x:v>
      </x:c>
    </x:row>
    <x:row r="84">
      <x:c r="B84" s="21" t="str">
        <x:v>AR-00078</x:v>
      </x:c>
      <x:c r="C84" s="21" t="str">
        <x:v>F02-I4</x:v>
      </x:c>
      <x:c r="D84" s="21" t="str">
        <x:v>F02</x:v>
      </x:c>
      <x:c r="E84" s="21" t="n">
        <x:v>8</x:v>
      </x:c>
      <x:c r="F84" s="21" t="str">
        <x:v>Pilot-process qualification</x:v>
      </x:c>
      <x:c r="G84" s="21" t="n">
        <x:v>28</x:v>
      </x:c>
      <x:c r="H84" s="21" t="str">
        <x:v>AIMC Industrial Mobilization Authority</x:v>
      </x:c>
      <x:c r="I84" s="44" t="n">
        <x:f>Lifecycle!G14</x:f>
        <x:v>0.03952829567165163</x:v>
      </x:c>
      <x:c r="J84" s="44" t="n">
        <x:v>0.0625</x:v>
      </x:c>
      <x:c r="K84" s="44" t="n">
        <x:f>I84*J84</x:f>
        <x:v>0.0024705184794782268</x:v>
      </x:c>
      <x:c r="L84" s="46" t="n">
        <x:v>0</x:v>
      </x:c>
      <x:c r="M84" s="46" t="n">
        <x:v>0</x:v>
      </x:c>
      <x:c r="N84" s="21" t="n">
        <x:f>IF(AND(L83=1,M83=1,P83&gt;0),1,0)</x:f>
        <x:v>0</x:v>
      </x:c>
      <x:c r="O84" s="21" t="n">
        <x:f>MIN('Root Data'!I28:I30)</x:f>
        <x:v>0</x:v>
      </x:c>
      <x:c r="P84" s="44" t="n">
        <x:f>IF(AND(L84=1,M84=1,N84=1,O84&gt;=G84),K84,0)</x:f>
        <x:v>0</x:v>
      </x:c>
      <x:c r="Q84" s="21" t="str">
        <x:v>OPEN</x:v>
      </x:c>
      <x:c r="R84" s="23" t="str">
        <x:v>HOLD</x:v>
      </x:c>
    </x:row>
    <x:row r="85">
      <x:c r="B85" s="21" t="str">
        <x:v>AR-00079</x:v>
      </x:c>
      <x:c r="C85" s="21" t="str">
        <x:v>F02-I4</x:v>
      </x:c>
      <x:c r="D85" s="21" t="str">
        <x:v>F02</x:v>
      </x:c>
      <x:c r="E85" s="21" t="n">
        <x:v>9</x:v>
      </x:c>
      <x:c r="F85" s="21" t="str">
        <x:v>Production release package</x:v>
      </x:c>
      <x:c r="G85" s="21" t="n">
        <x:v>28</x:v>
      </x:c>
      <x:c r="H85" s="21" t="str">
        <x:v>Production Release Board</x:v>
      </x:c>
      <x:c r="I85" s="44" t="n">
        <x:f>Lifecycle!G15</x:f>
        <x:v>0.01647012319652151</x:v>
      </x:c>
      <x:c r="J85" s="44" t="n">
        <x:v>0.0625</x:v>
      </x:c>
      <x:c r="K85" s="44" t="n">
        <x:f>I85*J85</x:f>
        <x:v>0.0010293826997825944</x:v>
      </x:c>
      <x:c r="L85" s="46" t="n">
        <x:v>0</x:v>
      </x:c>
      <x:c r="M85" s="46" t="n">
        <x:v>0</x:v>
      </x:c>
      <x:c r="N85" s="21" t="n">
        <x:f>IF(AND(L84=1,M84=1,P84&gt;0),1,0)</x:f>
        <x:v>0</x:v>
      </x:c>
      <x:c r="O85" s="21" t="n">
        <x:f>MIN('Root Data'!I28:I30)</x:f>
        <x:v>0</x:v>
      </x:c>
      <x:c r="P85" s="44" t="n">
        <x:f>IF(AND(L85=1,M85=1,N85=1,O85&gt;=G85),K85,0)</x:f>
        <x:v>0</x:v>
      </x:c>
      <x:c r="Q85" s="21" t="str">
        <x:v>OPEN</x:v>
      </x:c>
      <x:c r="R85" s="23" t="str">
        <x:v>HOLD</x:v>
      </x:c>
    </x:row>
    <x:row r="86">
      <x:c r="B86" s="21" t="str">
        <x:v>AR-00080</x:v>
      </x:c>
      <x:c r="C86" s="21" t="str">
        <x:v>F02-I4</x:v>
      </x:c>
      <x:c r="D86" s="21" t="str">
        <x:v>F02</x:v>
      </x:c>
      <x:c r="E86" s="21" t="n">
        <x:v>10</x:v>
      </x:c>
      <x:c r="F86" s="21" t="str">
        <x:v>Mobilization activation</x:v>
      </x:c>
      <x:c r="G86" s="21" t="n">
        <x:v>28</x:v>
      </x:c>
      <x:c r="H86" s="21" t="str">
        <x:v>Production Release Board</x:v>
      </x:c>
      <x:c r="I86" s="44" t="n">
        <x:f>Lifecycle!G16</x:f>
        <x:v>0.028262731405230914</x:v>
      </x:c>
      <x:c r="J86" s="44" t="n">
        <x:v>0.0625</x:v>
      </x:c>
      <x:c r="K86" s="44" t="n">
        <x:f>I86*J86</x:f>
        <x:v>0.0017664207128269321</x:v>
      </x:c>
      <x:c r="L86" s="46" t="n">
        <x:v>0</x:v>
      </x:c>
      <x:c r="M86" s="46" t="n">
        <x:v>0</x:v>
      </x:c>
      <x:c r="N86" s="21" t="n">
        <x:f>IF(AND(L85=1,M85=1,P85&gt;0),1,0)</x:f>
        <x:v>0</x:v>
      </x:c>
      <x:c r="O86" s="21" t="n">
        <x:f>MIN('Root Data'!I28:I30)</x:f>
        <x:v>0</x:v>
      </x:c>
      <x:c r="P86" s="44" t="n">
        <x:f>IF(AND(L86=1,M86=1,N86=1,O86&gt;=G86),K86,0)</x:f>
        <x:v>0</x:v>
      </x:c>
      <x:c r="Q86" s="21" t="str">
        <x:v>OPEN</x:v>
      </x:c>
      <x:c r="R86" s="23" t="str">
        <x:v>HOLD</x:v>
      </x:c>
    </x:row>
    <x:row r="87">
      <x:c r="B87" s="21" t="str">
        <x:v>AR-00081</x:v>
      </x:c>
      <x:c r="C87" s="21" t="str">
        <x:v>F03-I1</x:v>
      </x:c>
      <x:c r="D87" s="21" t="str">
        <x:v>F03</x:v>
      </x:c>
      <x:c r="E87" s="21" t="n">
        <x:v>1</x:v>
      </x:c>
      <x:c r="F87" s="21" t="str">
        <x:v>Civil effect charter</x:v>
      </x:c>
      <x:c r="G87" s="21" t="n">
        <x:v>0</x:v>
      </x:c>
      <x:c r="H87" s="21" t="str">
        <x:v>Civil Guarantee Authority</x:v>
      </x:c>
      <x:c r="I87" s="44" t="n">
        <x:f>Lifecycle!G7</x:f>
        <x:v>0.04941036958956453</x:v>
      </x:c>
      <x:c r="J87" s="44" t="n">
        <x:v>0.0625</x:v>
      </x:c>
      <x:c r="K87" s="44" t="n">
        <x:f>I87*J87</x:f>
        <x:v>0.0030881480993477832</x:v>
      </x:c>
      <x:c r="L87" s="46" t="n">
        <x:v>0</x:v>
      </x:c>
      <x:c r="M87" s="46" t="n">
        <x:v>0</x:v>
      </x:c>
      <x:c r="N87" s="21" t="n">
        <x:f>1</x:f>
        <x:v>1</x:v>
      </x:c>
      <x:c r="O87" s="21" t="n">
        <x:f>MIN('Root Data'!I31:I33)</x:f>
        <x:v>0</x:v>
      </x:c>
      <x:c r="P87" s="44" t="n">
        <x:f>IF(AND(L87=1,M87=1,N87=1,O87&gt;=G87),K87,0)</x:f>
        <x:v>0</x:v>
      </x:c>
      <x:c r="Q87" s="21" t="str">
        <x:v>OPEN</x:v>
      </x:c>
      <x:c r="R87" s="23" t="str">
        <x:v>HOLD</x:v>
      </x:c>
    </x:row>
    <x:row r="88">
      <x:c r="B88" s="21" t="str">
        <x:v>AR-00082</x:v>
      </x:c>
      <x:c r="C88" s="21" t="str">
        <x:v>F03-I1</x:v>
      </x:c>
      <x:c r="D88" s="21" t="str">
        <x:v>F03</x:v>
      </x:c>
      <x:c r="E88" s="21" t="n">
        <x:v>2</x:v>
      </x:c>
      <x:c r="F88" s="21" t="str">
        <x:v>Requirement and root-independence package</x:v>
      </x:c>
      <x:c r="G88" s="21" t="n">
        <x:v>8</x:v>
      </x:c>
      <x:c r="H88" s="21" t="str">
        <x:v>Resilience Staff</x:v>
      </x:c>
      <x:c r="I88" s="44" t="n">
        <x:f>Lifecycle!G8</x:f>
        <x:v>0.10211476381843337</x:v>
      </x:c>
      <x:c r="J88" s="44" t="n">
        <x:v>0.0625</x:v>
      </x:c>
      <x:c r="K88" s="44" t="n">
        <x:f>I88*J88</x:f>
        <x:v>0.006382172738652086</x:v>
      </x:c>
      <x:c r="L88" s="46" t="n">
        <x:v>0</x:v>
      </x:c>
      <x:c r="M88" s="46" t="n">
        <x:v>0</x:v>
      </x:c>
      <x:c r="N88" s="21" t="n">
        <x:f>IF(AND(L87=1,M87=1,P87&gt;0),1,0)</x:f>
        <x:v>0</x:v>
      </x:c>
      <x:c r="O88" s="21" t="n">
        <x:f>MIN('Root Data'!I31:I33)</x:f>
        <x:v>0</x:v>
      </x:c>
      <x:c r="P88" s="44" t="n">
        <x:f>IF(AND(L88=1,M88=1,N88=1,O88&gt;=G88),K88,0)</x:f>
        <x:v>0</x:v>
      </x:c>
      <x:c r="Q88" s="21" t="str">
        <x:v>OPEN</x:v>
      </x:c>
      <x:c r="R88" s="23" t="str">
        <x:v>HOLD</x:v>
      </x:c>
    </x:row>
    <x:row r="89">
      <x:c r="B89" s="21" t="str">
        <x:v>AR-00083</x:v>
      </x:c>
      <x:c r="C89" s="21" t="str">
        <x:v>F03-I1</x:v>
      </x:c>
      <x:c r="D89" s="21" t="str">
        <x:v>F03</x:v>
      </x:c>
      <x:c r="E89" s="21" t="n">
        <x:v>3</x:v>
      </x:c>
      <x:c r="F89" s="21" t="str">
        <x:v>Architecture and burden closure</x:v>
      </x:c>
      <x:c r="G89" s="21" t="n">
        <x:v>14</x:v>
      </x:c>
      <x:c r="H89" s="21" t="str">
        <x:v>Independent Evidence and Data Authority</x:v>
      </x:c>
      <x:c r="I89" s="44" t="n">
        <x:f>Lifecycle!G9</x:f>
        <x:v>0.08564464062191186</x:v>
      </x:c>
      <x:c r="J89" s="44" t="n">
        <x:v>0.0625</x:v>
      </x:c>
      <x:c r="K89" s="44" t="n">
        <x:f>I89*J89</x:f>
        <x:v>0.0053527900388694915</x:v>
      </x:c>
      <x:c r="L89" s="46" t="n">
        <x:v>0</x:v>
      </x:c>
      <x:c r="M89" s="46" t="n">
        <x:v>0</x:v>
      </x:c>
      <x:c r="N89" s="21" t="n">
        <x:f>IF(AND(L88=1,M88=1,P88&gt;0),1,0)</x:f>
        <x:v>0</x:v>
      </x:c>
      <x:c r="O89" s="21" t="n">
        <x:f>MIN('Root Data'!I31:I33)</x:f>
        <x:v>0</x:v>
      </x:c>
      <x:c r="P89" s="44" t="n">
        <x:f>IF(AND(L89=1,M89=1,N89=1,O89&gt;=G89),K89,0)</x:f>
        <x:v>0</x:v>
      </x:c>
      <x:c r="Q89" s="21" t="str">
        <x:v>OPEN</x:v>
      </x:c>
      <x:c r="R89" s="23" t="str">
        <x:v>HOLD</x:v>
      </x:c>
    </x:row>
    <x:row r="90">
      <x:c r="B90" s="21" t="str">
        <x:v>AR-00084</x:v>
      </x:c>
      <x:c r="C90" s="21" t="str">
        <x:v>F03-I1</x:v>
      </x:c>
      <x:c r="D90" s="21" t="str">
        <x:v>F03</x:v>
      </x:c>
      <x:c r="E90" s="21" t="n">
        <x:v>4</x:v>
      </x:c>
      <x:c r="F90" s="21" t="str">
        <x:v>Engineering article acceptance</x:v>
      </x:c>
      <x:c r="G90" s="21" t="n">
        <x:v>18</x:v>
      </x:c>
      <x:c r="H90" s="21" t="str">
        <x:v>Independent Evidence and Data Authority</x:v>
      </x:c>
      <x:c r="I90" s="44" t="n">
        <x:f>Lifecycle!G10</x:f>
        <x:v>0.05929244350747744</x:v>
      </x:c>
      <x:c r="J90" s="44" t="n">
        <x:v>0.0625</x:v>
      </x:c>
      <x:c r="K90" s="44" t="n">
        <x:f>I90*J90</x:f>
        <x:v>0.00370577771921734</x:v>
      </x:c>
      <x:c r="L90" s="46" t="n">
        <x:v>0</x:v>
      </x:c>
      <x:c r="M90" s="46" t="n">
        <x:v>0</x:v>
      </x:c>
      <x:c r="N90" s="21" t="n">
        <x:f>IF(AND(L89=1,M89=1,P89&gt;0),1,0)</x:f>
        <x:v>0</x:v>
      </x:c>
      <x:c r="O90" s="21" t="n">
        <x:f>MIN('Root Data'!I31:I33)</x:f>
        <x:v>0</x:v>
      </x:c>
      <x:c r="P90" s="44" t="n">
        <x:f>IF(AND(L90=1,M90=1,N90=1,O90&gt;=G90),K90,0)</x:f>
        <x:v>0</x:v>
      </x:c>
      <x:c r="Q90" s="21" t="str">
        <x:v>OPEN</x:v>
      </x:c>
      <x:c r="R90" s="23" t="str">
        <x:v>HOLD</x:v>
      </x:c>
    </x:row>
    <x:row r="91">
      <x:c r="B91" s="21" t="str">
        <x:v>AR-00085</x:v>
      </x:c>
      <x:c r="C91" s="21" t="str">
        <x:v>F03-I1</x:v>
      </x:c>
      <x:c r="D91" s="21" t="str">
        <x:v>F03</x:v>
      </x:c>
      <x:c r="E91" s="21" t="n">
        <x:v>5</x:v>
      </x:c>
      <x:c r="F91" s="21" t="str">
        <x:v>Qualification and destructive evidence</x:v>
      </x:c>
      <x:c r="G91" s="21" t="n">
        <x:v>21</x:v>
      </x:c>
      <x:c r="H91" s="21" t="str">
        <x:v>Independent Evidence and Data Authority</x:v>
      </x:c>
      <x:c r="I91" s="44" t="n">
        <x:f>Lifecycle!G11</x:f>
        <x:v>0.1515251334079979</x:v>
      </x:c>
      <x:c r="J91" s="44" t="n">
        <x:v>0.0625</x:v>
      </x:c>
      <x:c r="K91" s="44" t="n">
        <x:f>I91*J91</x:f>
        <x:v>0.009470320837999868</x:v>
      </x:c>
      <x:c r="L91" s="46" t="n">
        <x:v>0</x:v>
      </x:c>
      <x:c r="M91" s="46" t="n">
        <x:v>0</x:v>
      </x:c>
      <x:c r="N91" s="21" t="n">
        <x:f>IF(AND(L90=1,M90=1,P90&gt;0),1,0)</x:f>
        <x:v>0</x:v>
      </x:c>
      <x:c r="O91" s="21" t="n">
        <x:f>MIN('Root Data'!I31:I33)</x:f>
        <x:v>0</x:v>
      </x:c>
      <x:c r="P91" s="44" t="n">
        <x:f>IF(AND(L91=1,M91=1,N91=1,O91&gt;=G91),K91,0)</x:f>
        <x:v>0</x:v>
      </x:c>
      <x:c r="Q91" s="21" t="str">
        <x:v>OPEN</x:v>
      </x:c>
      <x:c r="R91" s="23" t="str">
        <x:v>HOLD</x:v>
      </x:c>
    </x:row>
    <x:row r="92">
      <x:c r="B92" s="21" t="str">
        <x:v>AR-00086</x:v>
      </x:c>
      <x:c r="C92" s="21" t="str">
        <x:v>F03-I1</x:v>
      </x:c>
      <x:c r="D92" s="21" t="str">
        <x:v>F03</x:v>
      </x:c>
      <x:c r="E92" s="21" t="n">
        <x:v>6</x:v>
      </x:c>
      <x:c r="F92" s="21" t="str">
        <x:v>Representative mission result</x:v>
      </x:c>
      <x:c r="G92" s="21" t="n">
        <x:v>23</x:v>
      </x:c>
      <x:c r="H92" s="21" t="str">
        <x:v>Receiving Service Authority</x:v>
      </x:c>
      <x:c r="I92" s="44" t="n">
        <x:f>Lifecycle!G12</x:f>
        <x:v>0.250345872587127</x:v>
      </x:c>
      <x:c r="J92" s="44" t="n">
        <x:v>0.0625</x:v>
      </x:c>
      <x:c r="K92" s="44" t="n">
        <x:f>I92*J92</x:f>
        <x:v>0.015646617036695436</x:v>
      </x:c>
      <x:c r="L92" s="46" t="n">
        <x:v>0</x:v>
      </x:c>
      <x:c r="M92" s="46" t="n">
        <x:v>0</x:v>
      </x:c>
      <x:c r="N92" s="21" t="n">
        <x:f>IF(AND(L91=1,M91=1,P91&gt;0),1,0)</x:f>
        <x:v>0</x:v>
      </x:c>
      <x:c r="O92" s="21" t="n">
        <x:f>MIN('Root Data'!I31:I33)</x:f>
        <x:v>0</x:v>
      </x:c>
      <x:c r="P92" s="44" t="n">
        <x:f>IF(AND(L92=1,M92=1,N92=1,O92&gt;=G92),K92,0)</x:f>
        <x:v>0</x:v>
      </x:c>
      <x:c r="Q92" s="21" t="str">
        <x:v>OPEN</x:v>
      </x:c>
      <x:c r="R92" s="23" t="str">
        <x:v>HOLD</x:v>
      </x:c>
    </x:row>
    <x:row r="93">
      <x:c r="B93" s="21" t="str">
        <x:v>AR-00087</x:v>
      </x:c>
      <x:c r="C93" s="21" t="str">
        <x:v>F03-I1</x:v>
      </x:c>
      <x:c r="D93" s="21" t="str">
        <x:v>F03</x:v>
      </x:c>
      <x:c r="E93" s="21" t="n">
        <x:v>7</x:v>
      </x:c>
      <x:c r="F93" s="21" t="str">
        <x:v>Independent reproduction</x:v>
      </x:c>
      <x:c r="G93" s="21" t="n">
        <x:v>28</x:v>
      </x:c>
      <x:c r="H93" s="21" t="str">
        <x:v>Independent Evidence and Data Authority</x:v>
      </x:c>
      <x:c r="I93" s="44" t="n">
        <x:f>Lifecycle!G13</x:f>
        <x:v>0.21740562619408393</x:v>
      </x:c>
      <x:c r="J93" s="44" t="n">
        <x:v>0.0625</x:v>
      </x:c>
      <x:c r="K93" s="44" t="n">
        <x:f>I93*J93</x:f>
        <x:v>0.013587851637130246</x:v>
      </x:c>
      <x:c r="L93" s="46" t="n">
        <x:v>0</x:v>
      </x:c>
      <x:c r="M93" s="46" t="n">
        <x:v>0</x:v>
      </x:c>
      <x:c r="N93" s="21" t="n">
        <x:f>IF(AND(L92=1,M92=1,P92&gt;0),1,0)</x:f>
        <x:v>0</x:v>
      </x:c>
      <x:c r="O93" s="21" t="n">
        <x:f>MIN('Root Data'!I31:I33)</x:f>
        <x:v>0</x:v>
      </x:c>
      <x:c r="P93" s="44" t="n">
        <x:f>IF(AND(L93=1,M93=1,N93=1,O93&gt;=G93),K93,0)</x:f>
        <x:v>0</x:v>
      </x:c>
      <x:c r="Q93" s="21" t="str">
        <x:v>OPEN</x:v>
      </x:c>
      <x:c r="R93" s="23" t="str">
        <x:v>HOLD</x:v>
      </x:c>
    </x:row>
    <x:row r="94">
      <x:c r="B94" s="21" t="str">
        <x:v>AR-00088</x:v>
      </x:c>
      <x:c r="C94" s="21" t="str">
        <x:v>F03-I1</x:v>
      </x:c>
      <x:c r="D94" s="21" t="str">
        <x:v>F03</x:v>
      </x:c>
      <x:c r="E94" s="21" t="n">
        <x:v>8</x:v>
      </x:c>
      <x:c r="F94" s="21" t="str">
        <x:v>Pilot-process qualification</x:v>
      </x:c>
      <x:c r="G94" s="21" t="n">
        <x:v>28</x:v>
      </x:c>
      <x:c r="H94" s="21" t="str">
        <x:v>AIMC Industrial Mobilization Authority</x:v>
      </x:c>
      <x:c r="I94" s="44" t="n">
        <x:f>Lifecycle!G14</x:f>
        <x:v>0.03952829567165163</x:v>
      </x:c>
      <x:c r="J94" s="44" t="n">
        <x:v>0.0625</x:v>
      </x:c>
      <x:c r="K94" s="44" t="n">
        <x:f>I94*J94</x:f>
        <x:v>0.0024705184794782268</x:v>
      </x:c>
      <x:c r="L94" s="46" t="n">
        <x:v>0</x:v>
      </x:c>
      <x:c r="M94" s="46" t="n">
        <x:v>0</x:v>
      </x:c>
      <x:c r="N94" s="21" t="n">
        <x:f>IF(AND(L93=1,M93=1,P93&gt;0),1,0)</x:f>
        <x:v>0</x:v>
      </x:c>
      <x:c r="O94" s="21" t="n">
        <x:f>MIN('Root Data'!I31:I33)</x:f>
        <x:v>0</x:v>
      </x:c>
      <x:c r="P94" s="44" t="n">
        <x:f>IF(AND(L94=1,M94=1,N94=1,O94&gt;=G94),K94,0)</x:f>
        <x:v>0</x:v>
      </x:c>
      <x:c r="Q94" s="21" t="str">
        <x:v>OPEN</x:v>
      </x:c>
      <x:c r="R94" s="23" t="str">
        <x:v>HOLD</x:v>
      </x:c>
    </x:row>
    <x:row r="95">
      <x:c r="B95" s="21" t="str">
        <x:v>AR-00089</x:v>
      </x:c>
      <x:c r="C95" s="21" t="str">
        <x:v>F03-I1</x:v>
      </x:c>
      <x:c r="D95" s="21" t="str">
        <x:v>F03</x:v>
      </x:c>
      <x:c r="E95" s="21" t="n">
        <x:v>9</x:v>
      </x:c>
      <x:c r="F95" s="21" t="str">
        <x:v>Production release package</x:v>
      </x:c>
      <x:c r="G95" s="21" t="n">
        <x:v>28</x:v>
      </x:c>
      <x:c r="H95" s="21" t="str">
        <x:v>Production Release Board</x:v>
      </x:c>
      <x:c r="I95" s="44" t="n">
        <x:f>Lifecycle!G15</x:f>
        <x:v>0.01647012319652151</x:v>
      </x:c>
      <x:c r="J95" s="44" t="n">
        <x:v>0.0625</x:v>
      </x:c>
      <x:c r="K95" s="44" t="n">
        <x:f>I95*J95</x:f>
        <x:v>0.0010293826997825944</x:v>
      </x:c>
      <x:c r="L95" s="46" t="n">
        <x:v>0</x:v>
      </x:c>
      <x:c r="M95" s="46" t="n">
        <x:v>0</x:v>
      </x:c>
      <x:c r="N95" s="21" t="n">
        <x:f>IF(AND(L94=1,M94=1,P94&gt;0),1,0)</x:f>
        <x:v>0</x:v>
      </x:c>
      <x:c r="O95" s="21" t="n">
        <x:f>MIN('Root Data'!I31:I33)</x:f>
        <x:v>0</x:v>
      </x:c>
      <x:c r="P95" s="44" t="n">
        <x:f>IF(AND(L95=1,M95=1,N95=1,O95&gt;=G95),K95,0)</x:f>
        <x:v>0</x:v>
      </x:c>
      <x:c r="Q95" s="21" t="str">
        <x:v>OPEN</x:v>
      </x:c>
      <x:c r="R95" s="23" t="str">
        <x:v>HOLD</x:v>
      </x:c>
    </x:row>
    <x:row r="96">
      <x:c r="B96" s="21" t="str">
        <x:v>AR-00090</x:v>
      </x:c>
      <x:c r="C96" s="21" t="str">
        <x:v>F03-I1</x:v>
      </x:c>
      <x:c r="D96" s="21" t="str">
        <x:v>F03</x:v>
      </x:c>
      <x:c r="E96" s="21" t="n">
        <x:v>10</x:v>
      </x:c>
      <x:c r="F96" s="21" t="str">
        <x:v>Mobilization activation</x:v>
      </x:c>
      <x:c r="G96" s="21" t="n">
        <x:v>28</x:v>
      </x:c>
      <x:c r="H96" s="21" t="str">
        <x:v>Production Release Board</x:v>
      </x:c>
      <x:c r="I96" s="44" t="n">
        <x:f>Lifecycle!G16</x:f>
        <x:v>0.028262731405230914</x:v>
      </x:c>
      <x:c r="J96" s="44" t="n">
        <x:v>0.0625</x:v>
      </x:c>
      <x:c r="K96" s="44" t="n">
        <x:f>I96*J96</x:f>
        <x:v>0.0017664207128269321</x:v>
      </x:c>
      <x:c r="L96" s="46" t="n">
        <x:v>0</x:v>
      </x:c>
      <x:c r="M96" s="46" t="n">
        <x:v>0</x:v>
      </x:c>
      <x:c r="N96" s="21" t="n">
        <x:f>IF(AND(L95=1,M95=1,P95&gt;0),1,0)</x:f>
        <x:v>0</x:v>
      </x:c>
      <x:c r="O96" s="21" t="n">
        <x:f>MIN('Root Data'!I31:I33)</x:f>
        <x:v>0</x:v>
      </x:c>
      <x:c r="P96" s="44" t="n">
        <x:f>IF(AND(L96=1,M96=1,N96=1,O96&gt;=G96),K96,0)</x:f>
        <x:v>0</x:v>
      </x:c>
      <x:c r="Q96" s="21" t="str">
        <x:v>OPEN</x:v>
      </x:c>
      <x:c r="R96" s="23" t="str">
        <x:v>HOLD</x:v>
      </x:c>
    </x:row>
    <x:row r="97">
      <x:c r="B97" s="21" t="str">
        <x:v>AR-00091</x:v>
      </x:c>
      <x:c r="C97" s="21" t="str">
        <x:v>F03-I2</x:v>
      </x:c>
      <x:c r="D97" s="21" t="str">
        <x:v>F03</x:v>
      </x:c>
      <x:c r="E97" s="21" t="n">
        <x:v>1</x:v>
      </x:c>
      <x:c r="F97" s="21" t="str">
        <x:v>Civil effect charter</x:v>
      </x:c>
      <x:c r="G97" s="21" t="n">
        <x:v>0</x:v>
      </x:c>
      <x:c r="H97" s="21" t="str">
        <x:v>Civil Guarantee Authority</x:v>
      </x:c>
      <x:c r="I97" s="44" t="n">
        <x:f>Lifecycle!G7</x:f>
        <x:v>0.04941036958956453</x:v>
      </x:c>
      <x:c r="J97" s="44" t="n">
        <x:v>0.0625</x:v>
      </x:c>
      <x:c r="K97" s="44" t="n">
        <x:f>I97*J97</x:f>
        <x:v>0.0030881480993477832</x:v>
      </x:c>
      <x:c r="L97" s="46" t="n">
        <x:v>0</x:v>
      </x:c>
      <x:c r="M97" s="46" t="n">
        <x:v>0</x:v>
      </x:c>
      <x:c r="N97" s="21" t="n">
        <x:f>1</x:f>
        <x:v>1</x:v>
      </x:c>
      <x:c r="O97" s="21" t="n">
        <x:f>MIN('Root Data'!I34:I36)</x:f>
        <x:v>0</x:v>
      </x:c>
      <x:c r="P97" s="44" t="n">
        <x:f>IF(AND(L97=1,M97=1,N97=1,O97&gt;=G97),K97,0)</x:f>
        <x:v>0</x:v>
      </x:c>
      <x:c r="Q97" s="21" t="str">
        <x:v>OPEN</x:v>
      </x:c>
      <x:c r="R97" s="23" t="str">
        <x:v>HOLD</x:v>
      </x:c>
    </x:row>
    <x:row r="98">
      <x:c r="B98" s="21" t="str">
        <x:v>AR-00092</x:v>
      </x:c>
      <x:c r="C98" s="21" t="str">
        <x:v>F03-I2</x:v>
      </x:c>
      <x:c r="D98" s="21" t="str">
        <x:v>F03</x:v>
      </x:c>
      <x:c r="E98" s="21" t="n">
        <x:v>2</x:v>
      </x:c>
      <x:c r="F98" s="21" t="str">
        <x:v>Requirement and root-independence package</x:v>
      </x:c>
      <x:c r="G98" s="21" t="n">
        <x:v>8</x:v>
      </x:c>
      <x:c r="H98" s="21" t="str">
        <x:v>Resilience Staff</x:v>
      </x:c>
      <x:c r="I98" s="44" t="n">
        <x:f>Lifecycle!G8</x:f>
        <x:v>0.10211476381843337</x:v>
      </x:c>
      <x:c r="J98" s="44" t="n">
        <x:v>0.0625</x:v>
      </x:c>
      <x:c r="K98" s="44" t="n">
        <x:f>I98*J98</x:f>
        <x:v>0.006382172738652086</x:v>
      </x:c>
      <x:c r="L98" s="46" t="n">
        <x:v>0</x:v>
      </x:c>
      <x:c r="M98" s="46" t="n">
        <x:v>0</x:v>
      </x:c>
      <x:c r="N98" s="21" t="n">
        <x:f>IF(AND(L97=1,M97=1,P97&gt;0),1,0)</x:f>
        <x:v>0</x:v>
      </x:c>
      <x:c r="O98" s="21" t="n">
        <x:f>MIN('Root Data'!I34:I36)</x:f>
        <x:v>0</x:v>
      </x:c>
      <x:c r="P98" s="44" t="n">
        <x:f>IF(AND(L98=1,M98=1,N98=1,O98&gt;=G98),K98,0)</x:f>
        <x:v>0</x:v>
      </x:c>
      <x:c r="Q98" s="21" t="str">
        <x:v>OPEN</x:v>
      </x:c>
      <x:c r="R98" s="23" t="str">
        <x:v>HOLD</x:v>
      </x:c>
    </x:row>
    <x:row r="99">
      <x:c r="B99" s="21" t="str">
        <x:v>AR-00093</x:v>
      </x:c>
      <x:c r="C99" s="21" t="str">
        <x:v>F03-I2</x:v>
      </x:c>
      <x:c r="D99" s="21" t="str">
        <x:v>F03</x:v>
      </x:c>
      <x:c r="E99" s="21" t="n">
        <x:v>3</x:v>
      </x:c>
      <x:c r="F99" s="21" t="str">
        <x:v>Architecture and burden closure</x:v>
      </x:c>
      <x:c r="G99" s="21" t="n">
        <x:v>14</x:v>
      </x:c>
      <x:c r="H99" s="21" t="str">
        <x:v>Independent Evidence and Data Authority</x:v>
      </x:c>
      <x:c r="I99" s="44" t="n">
        <x:f>Lifecycle!G9</x:f>
        <x:v>0.08564464062191186</x:v>
      </x:c>
      <x:c r="J99" s="44" t="n">
        <x:v>0.0625</x:v>
      </x:c>
      <x:c r="K99" s="44" t="n">
        <x:f>I99*J99</x:f>
        <x:v>0.0053527900388694915</x:v>
      </x:c>
      <x:c r="L99" s="46" t="n">
        <x:v>0</x:v>
      </x:c>
      <x:c r="M99" s="46" t="n">
        <x:v>0</x:v>
      </x:c>
      <x:c r="N99" s="21" t="n">
        <x:f>IF(AND(L98=1,M98=1,P98&gt;0),1,0)</x:f>
        <x:v>0</x:v>
      </x:c>
      <x:c r="O99" s="21" t="n">
        <x:f>MIN('Root Data'!I34:I36)</x:f>
        <x:v>0</x:v>
      </x:c>
      <x:c r="P99" s="44" t="n">
        <x:f>IF(AND(L99=1,M99=1,N99=1,O99&gt;=G99),K99,0)</x:f>
        <x:v>0</x:v>
      </x:c>
      <x:c r="Q99" s="21" t="str">
        <x:v>OPEN</x:v>
      </x:c>
      <x:c r="R99" s="23" t="str">
        <x:v>HOLD</x:v>
      </x:c>
    </x:row>
    <x:row r="100">
      <x:c r="B100" s="21" t="str">
        <x:v>AR-00094</x:v>
      </x:c>
      <x:c r="C100" s="21" t="str">
        <x:v>F03-I2</x:v>
      </x:c>
      <x:c r="D100" s="21" t="str">
        <x:v>F03</x:v>
      </x:c>
      <x:c r="E100" s="21" t="n">
        <x:v>4</x:v>
      </x:c>
      <x:c r="F100" s="21" t="str">
        <x:v>Engineering article acceptance</x:v>
      </x:c>
      <x:c r="G100" s="21" t="n">
        <x:v>18</x:v>
      </x:c>
      <x:c r="H100" s="21" t="str">
        <x:v>Independent Evidence and Data Authority</x:v>
      </x:c>
      <x:c r="I100" s="44" t="n">
        <x:f>Lifecycle!G10</x:f>
        <x:v>0.05929244350747744</x:v>
      </x:c>
      <x:c r="J100" s="44" t="n">
        <x:v>0.0625</x:v>
      </x:c>
      <x:c r="K100" s="44" t="n">
        <x:f>I100*J100</x:f>
        <x:v>0.00370577771921734</x:v>
      </x:c>
      <x:c r="L100" s="46" t="n">
        <x:v>0</x:v>
      </x:c>
      <x:c r="M100" s="46" t="n">
        <x:v>0</x:v>
      </x:c>
      <x:c r="N100" s="21" t="n">
        <x:f>IF(AND(L99=1,M99=1,P99&gt;0),1,0)</x:f>
        <x:v>0</x:v>
      </x:c>
      <x:c r="O100" s="21" t="n">
        <x:f>MIN('Root Data'!I34:I36)</x:f>
        <x:v>0</x:v>
      </x:c>
      <x:c r="P100" s="44" t="n">
        <x:f>IF(AND(L100=1,M100=1,N100=1,O100&gt;=G100),K100,0)</x:f>
        <x:v>0</x:v>
      </x:c>
      <x:c r="Q100" s="21" t="str">
        <x:v>OPEN</x:v>
      </x:c>
      <x:c r="R100" s="23" t="str">
        <x:v>HOLD</x:v>
      </x:c>
    </x:row>
    <x:row r="101">
      <x:c r="B101" s="21" t="str">
        <x:v>AR-00095</x:v>
      </x:c>
      <x:c r="C101" s="21" t="str">
        <x:v>F03-I2</x:v>
      </x:c>
      <x:c r="D101" s="21" t="str">
        <x:v>F03</x:v>
      </x:c>
      <x:c r="E101" s="21" t="n">
        <x:v>5</x:v>
      </x:c>
      <x:c r="F101" s="21" t="str">
        <x:v>Qualification and destructive evidence</x:v>
      </x:c>
      <x:c r="G101" s="21" t="n">
        <x:v>21</x:v>
      </x:c>
      <x:c r="H101" s="21" t="str">
        <x:v>Independent Evidence and Data Authority</x:v>
      </x:c>
      <x:c r="I101" s="44" t="n">
        <x:f>Lifecycle!G11</x:f>
        <x:v>0.1515251334079979</x:v>
      </x:c>
      <x:c r="J101" s="44" t="n">
        <x:v>0.0625</x:v>
      </x:c>
      <x:c r="K101" s="44" t="n">
        <x:f>I101*J101</x:f>
        <x:v>0.009470320837999868</x:v>
      </x:c>
      <x:c r="L101" s="46" t="n">
        <x:v>0</x:v>
      </x:c>
      <x:c r="M101" s="46" t="n">
        <x:v>0</x:v>
      </x:c>
      <x:c r="N101" s="21" t="n">
        <x:f>IF(AND(L100=1,M100=1,P100&gt;0),1,0)</x:f>
        <x:v>0</x:v>
      </x:c>
      <x:c r="O101" s="21" t="n">
        <x:f>MIN('Root Data'!I34:I36)</x:f>
        <x:v>0</x:v>
      </x:c>
      <x:c r="P101" s="44" t="n">
        <x:f>IF(AND(L101=1,M101=1,N101=1,O101&gt;=G101),K101,0)</x:f>
        <x:v>0</x:v>
      </x:c>
      <x:c r="Q101" s="21" t="str">
        <x:v>OPEN</x:v>
      </x:c>
      <x:c r="R101" s="23" t="str">
        <x:v>HOLD</x:v>
      </x:c>
    </x:row>
    <x:row r="102">
      <x:c r="B102" s="21" t="str">
        <x:v>AR-00096</x:v>
      </x:c>
      <x:c r="C102" s="21" t="str">
        <x:v>F03-I2</x:v>
      </x:c>
      <x:c r="D102" s="21" t="str">
        <x:v>F03</x:v>
      </x:c>
      <x:c r="E102" s="21" t="n">
        <x:v>6</x:v>
      </x:c>
      <x:c r="F102" s="21" t="str">
        <x:v>Representative mission result</x:v>
      </x:c>
      <x:c r="G102" s="21" t="n">
        <x:v>23</x:v>
      </x:c>
      <x:c r="H102" s="21" t="str">
        <x:v>Receiving Service Authority</x:v>
      </x:c>
      <x:c r="I102" s="44" t="n">
        <x:f>Lifecycle!G12</x:f>
        <x:v>0.250345872587127</x:v>
      </x:c>
      <x:c r="J102" s="44" t="n">
        <x:v>0.0625</x:v>
      </x:c>
      <x:c r="K102" s="44" t="n">
        <x:f>I102*J102</x:f>
        <x:v>0.015646617036695436</x:v>
      </x:c>
      <x:c r="L102" s="46" t="n">
        <x:v>0</x:v>
      </x:c>
      <x:c r="M102" s="46" t="n">
        <x:v>0</x:v>
      </x:c>
      <x:c r="N102" s="21" t="n">
        <x:f>IF(AND(L101=1,M101=1,P101&gt;0),1,0)</x:f>
        <x:v>0</x:v>
      </x:c>
      <x:c r="O102" s="21" t="n">
        <x:f>MIN('Root Data'!I34:I36)</x:f>
        <x:v>0</x:v>
      </x:c>
      <x:c r="P102" s="44" t="n">
        <x:f>IF(AND(L102=1,M102=1,N102=1,O102&gt;=G102),K102,0)</x:f>
        <x:v>0</x:v>
      </x:c>
      <x:c r="Q102" s="21" t="str">
        <x:v>OPEN</x:v>
      </x:c>
      <x:c r="R102" s="23" t="str">
        <x:v>HOLD</x:v>
      </x:c>
    </x:row>
    <x:row r="103">
      <x:c r="B103" s="21" t="str">
        <x:v>AR-00097</x:v>
      </x:c>
      <x:c r="C103" s="21" t="str">
        <x:v>F03-I2</x:v>
      </x:c>
      <x:c r="D103" s="21" t="str">
        <x:v>F03</x:v>
      </x:c>
      <x:c r="E103" s="21" t="n">
        <x:v>7</x:v>
      </x:c>
      <x:c r="F103" s="21" t="str">
        <x:v>Independent reproduction</x:v>
      </x:c>
      <x:c r="G103" s="21" t="n">
        <x:v>28</x:v>
      </x:c>
      <x:c r="H103" s="21" t="str">
        <x:v>Independent Evidence and Data Authority</x:v>
      </x:c>
      <x:c r="I103" s="44" t="n">
        <x:f>Lifecycle!G13</x:f>
        <x:v>0.21740562619408393</x:v>
      </x:c>
      <x:c r="J103" s="44" t="n">
        <x:v>0.0625</x:v>
      </x:c>
      <x:c r="K103" s="44" t="n">
        <x:f>I103*J103</x:f>
        <x:v>0.013587851637130246</x:v>
      </x:c>
      <x:c r="L103" s="46" t="n">
        <x:v>0</x:v>
      </x:c>
      <x:c r="M103" s="46" t="n">
        <x:v>0</x:v>
      </x:c>
      <x:c r="N103" s="21" t="n">
        <x:f>IF(AND(L102=1,M102=1,P102&gt;0),1,0)</x:f>
        <x:v>0</x:v>
      </x:c>
      <x:c r="O103" s="21" t="n">
        <x:f>MIN('Root Data'!I34:I36)</x:f>
        <x:v>0</x:v>
      </x:c>
      <x:c r="P103" s="44" t="n">
        <x:f>IF(AND(L103=1,M103=1,N103=1,O103&gt;=G103),K103,0)</x:f>
        <x:v>0</x:v>
      </x:c>
      <x:c r="Q103" s="21" t="str">
        <x:v>OPEN</x:v>
      </x:c>
      <x:c r="R103" s="23" t="str">
        <x:v>HOLD</x:v>
      </x:c>
    </x:row>
    <x:row r="104">
      <x:c r="B104" s="21" t="str">
        <x:v>AR-00098</x:v>
      </x:c>
      <x:c r="C104" s="21" t="str">
        <x:v>F03-I2</x:v>
      </x:c>
      <x:c r="D104" s="21" t="str">
        <x:v>F03</x:v>
      </x:c>
      <x:c r="E104" s="21" t="n">
        <x:v>8</x:v>
      </x:c>
      <x:c r="F104" s="21" t="str">
        <x:v>Pilot-process qualification</x:v>
      </x:c>
      <x:c r="G104" s="21" t="n">
        <x:v>28</x:v>
      </x:c>
      <x:c r="H104" s="21" t="str">
        <x:v>AIMC Industrial Mobilization Authority</x:v>
      </x:c>
      <x:c r="I104" s="44" t="n">
        <x:f>Lifecycle!G14</x:f>
        <x:v>0.03952829567165163</x:v>
      </x:c>
      <x:c r="J104" s="44" t="n">
        <x:v>0.0625</x:v>
      </x:c>
      <x:c r="K104" s="44" t="n">
        <x:f>I104*J104</x:f>
        <x:v>0.0024705184794782268</x:v>
      </x:c>
      <x:c r="L104" s="46" t="n">
        <x:v>0</x:v>
      </x:c>
      <x:c r="M104" s="46" t="n">
        <x:v>0</x:v>
      </x:c>
      <x:c r="N104" s="21" t="n">
        <x:f>IF(AND(L103=1,M103=1,P103&gt;0),1,0)</x:f>
        <x:v>0</x:v>
      </x:c>
      <x:c r="O104" s="21" t="n">
        <x:f>MIN('Root Data'!I34:I36)</x:f>
        <x:v>0</x:v>
      </x:c>
      <x:c r="P104" s="44" t="n">
        <x:f>IF(AND(L104=1,M104=1,N104=1,O104&gt;=G104),K104,0)</x:f>
        <x:v>0</x:v>
      </x:c>
      <x:c r="Q104" s="21" t="str">
        <x:v>OPEN</x:v>
      </x:c>
      <x:c r="R104" s="23" t="str">
        <x:v>HOLD</x:v>
      </x:c>
    </x:row>
    <x:row r="105">
      <x:c r="B105" s="21" t="str">
        <x:v>AR-00099</x:v>
      </x:c>
      <x:c r="C105" s="21" t="str">
        <x:v>F03-I2</x:v>
      </x:c>
      <x:c r="D105" s="21" t="str">
        <x:v>F03</x:v>
      </x:c>
      <x:c r="E105" s="21" t="n">
        <x:v>9</x:v>
      </x:c>
      <x:c r="F105" s="21" t="str">
        <x:v>Production release package</x:v>
      </x:c>
      <x:c r="G105" s="21" t="n">
        <x:v>28</x:v>
      </x:c>
      <x:c r="H105" s="21" t="str">
        <x:v>Production Release Board</x:v>
      </x:c>
      <x:c r="I105" s="44" t="n">
        <x:f>Lifecycle!G15</x:f>
        <x:v>0.01647012319652151</x:v>
      </x:c>
      <x:c r="J105" s="44" t="n">
        <x:v>0.0625</x:v>
      </x:c>
      <x:c r="K105" s="44" t="n">
        <x:f>I105*J105</x:f>
        <x:v>0.0010293826997825944</x:v>
      </x:c>
      <x:c r="L105" s="46" t="n">
        <x:v>0</x:v>
      </x:c>
      <x:c r="M105" s="46" t="n">
        <x:v>0</x:v>
      </x:c>
      <x:c r="N105" s="21" t="n">
        <x:f>IF(AND(L104=1,M104=1,P104&gt;0),1,0)</x:f>
        <x:v>0</x:v>
      </x:c>
      <x:c r="O105" s="21" t="n">
        <x:f>MIN('Root Data'!I34:I36)</x:f>
        <x:v>0</x:v>
      </x:c>
      <x:c r="P105" s="44" t="n">
        <x:f>IF(AND(L105=1,M105=1,N105=1,O105&gt;=G105),K105,0)</x:f>
        <x:v>0</x:v>
      </x:c>
      <x:c r="Q105" s="21" t="str">
        <x:v>OPEN</x:v>
      </x:c>
      <x:c r="R105" s="23" t="str">
        <x:v>HOLD</x:v>
      </x:c>
    </x:row>
    <x:row r="106">
      <x:c r="B106" s="21" t="str">
        <x:v>AR-00100</x:v>
      </x:c>
      <x:c r="C106" s="21" t="str">
        <x:v>F03-I2</x:v>
      </x:c>
      <x:c r="D106" s="21" t="str">
        <x:v>F03</x:v>
      </x:c>
      <x:c r="E106" s="21" t="n">
        <x:v>10</x:v>
      </x:c>
      <x:c r="F106" s="21" t="str">
        <x:v>Mobilization activation</x:v>
      </x:c>
      <x:c r="G106" s="21" t="n">
        <x:v>28</x:v>
      </x:c>
      <x:c r="H106" s="21" t="str">
        <x:v>Production Release Board</x:v>
      </x:c>
      <x:c r="I106" s="44" t="n">
        <x:f>Lifecycle!G16</x:f>
        <x:v>0.028262731405230914</x:v>
      </x:c>
      <x:c r="J106" s="44" t="n">
        <x:v>0.0625</x:v>
      </x:c>
      <x:c r="K106" s="44" t="n">
        <x:f>I106*J106</x:f>
        <x:v>0.0017664207128269321</x:v>
      </x:c>
      <x:c r="L106" s="46" t="n">
        <x:v>0</x:v>
      </x:c>
      <x:c r="M106" s="46" t="n">
        <x:v>0</x:v>
      </x:c>
      <x:c r="N106" s="21" t="n">
        <x:f>IF(AND(L105=1,M105=1,P105&gt;0),1,0)</x:f>
        <x:v>0</x:v>
      </x:c>
      <x:c r="O106" s="21" t="n">
        <x:f>MIN('Root Data'!I34:I36)</x:f>
        <x:v>0</x:v>
      </x:c>
      <x:c r="P106" s="44" t="n">
        <x:f>IF(AND(L106=1,M106=1,N106=1,O106&gt;=G106),K106,0)</x:f>
        <x:v>0</x:v>
      </x:c>
      <x:c r="Q106" s="21" t="str">
        <x:v>OPEN</x:v>
      </x:c>
      <x:c r="R106" s="23" t="str">
        <x:v>HOLD</x:v>
      </x:c>
    </x:row>
    <x:row r="107">
      <x:c r="B107" s="21" t="str">
        <x:v>AR-00101</x:v>
      </x:c>
      <x:c r="C107" s="21" t="str">
        <x:v>F03-I3</x:v>
      </x:c>
      <x:c r="D107" s="21" t="str">
        <x:v>F03</x:v>
      </x:c>
      <x:c r="E107" s="21" t="n">
        <x:v>1</x:v>
      </x:c>
      <x:c r="F107" s="21" t="str">
        <x:v>Civil effect charter</x:v>
      </x:c>
      <x:c r="G107" s="21" t="n">
        <x:v>0</x:v>
      </x:c>
      <x:c r="H107" s="21" t="str">
        <x:v>Civil Guarantee Authority</x:v>
      </x:c>
      <x:c r="I107" s="44" t="n">
        <x:f>Lifecycle!G7</x:f>
        <x:v>0.04941036958956453</x:v>
      </x:c>
      <x:c r="J107" s="44" t="n">
        <x:v>0.0625</x:v>
      </x:c>
      <x:c r="K107" s="44" t="n">
        <x:f>I107*J107</x:f>
        <x:v>0.0030881480993477832</x:v>
      </x:c>
      <x:c r="L107" s="46" t="n">
        <x:v>0</x:v>
      </x:c>
      <x:c r="M107" s="46" t="n">
        <x:v>0</x:v>
      </x:c>
      <x:c r="N107" s="21" t="n">
        <x:f>1</x:f>
        <x:v>1</x:v>
      </x:c>
      <x:c r="O107" s="21" t="n">
        <x:f>MIN('Root Data'!I37:I39)</x:f>
        <x:v>0</x:v>
      </x:c>
      <x:c r="P107" s="44" t="n">
        <x:f>IF(AND(L107=1,M107=1,N107=1,O107&gt;=G107),K107,0)</x:f>
        <x:v>0</x:v>
      </x:c>
      <x:c r="Q107" s="21" t="str">
        <x:v>OPEN</x:v>
      </x:c>
      <x:c r="R107" s="23" t="str">
        <x:v>HOLD</x:v>
      </x:c>
    </x:row>
    <x:row r="108">
      <x:c r="B108" s="21" t="str">
        <x:v>AR-00102</x:v>
      </x:c>
      <x:c r="C108" s="21" t="str">
        <x:v>F03-I3</x:v>
      </x:c>
      <x:c r="D108" s="21" t="str">
        <x:v>F03</x:v>
      </x:c>
      <x:c r="E108" s="21" t="n">
        <x:v>2</x:v>
      </x:c>
      <x:c r="F108" s="21" t="str">
        <x:v>Requirement and root-independence package</x:v>
      </x:c>
      <x:c r="G108" s="21" t="n">
        <x:v>8</x:v>
      </x:c>
      <x:c r="H108" s="21" t="str">
        <x:v>Resilience Staff</x:v>
      </x:c>
      <x:c r="I108" s="44" t="n">
        <x:f>Lifecycle!G8</x:f>
        <x:v>0.10211476381843337</x:v>
      </x:c>
      <x:c r="J108" s="44" t="n">
        <x:v>0.0625</x:v>
      </x:c>
      <x:c r="K108" s="44" t="n">
        <x:f>I108*J108</x:f>
        <x:v>0.006382172738652086</x:v>
      </x:c>
      <x:c r="L108" s="46" t="n">
        <x:v>0</x:v>
      </x:c>
      <x:c r="M108" s="46" t="n">
        <x:v>0</x:v>
      </x:c>
      <x:c r="N108" s="21" t="n">
        <x:f>IF(AND(L107=1,M107=1,P107&gt;0),1,0)</x:f>
        <x:v>0</x:v>
      </x:c>
      <x:c r="O108" s="21" t="n">
        <x:f>MIN('Root Data'!I37:I39)</x:f>
        <x:v>0</x:v>
      </x:c>
      <x:c r="P108" s="44" t="n">
        <x:f>IF(AND(L108=1,M108=1,N108=1,O108&gt;=G108),K108,0)</x:f>
        <x:v>0</x:v>
      </x:c>
      <x:c r="Q108" s="21" t="str">
        <x:v>OPEN</x:v>
      </x:c>
      <x:c r="R108" s="23" t="str">
        <x:v>HOLD</x:v>
      </x:c>
    </x:row>
    <x:row r="109">
      <x:c r="B109" s="21" t="str">
        <x:v>AR-00103</x:v>
      </x:c>
      <x:c r="C109" s="21" t="str">
        <x:v>F03-I3</x:v>
      </x:c>
      <x:c r="D109" s="21" t="str">
        <x:v>F03</x:v>
      </x:c>
      <x:c r="E109" s="21" t="n">
        <x:v>3</x:v>
      </x:c>
      <x:c r="F109" s="21" t="str">
        <x:v>Architecture and burden closure</x:v>
      </x:c>
      <x:c r="G109" s="21" t="n">
        <x:v>14</x:v>
      </x:c>
      <x:c r="H109" s="21" t="str">
        <x:v>Independent Evidence and Data Authority</x:v>
      </x:c>
      <x:c r="I109" s="44" t="n">
        <x:f>Lifecycle!G9</x:f>
        <x:v>0.08564464062191186</x:v>
      </x:c>
      <x:c r="J109" s="44" t="n">
        <x:v>0.0625</x:v>
      </x:c>
      <x:c r="K109" s="44" t="n">
        <x:f>I109*J109</x:f>
        <x:v>0.0053527900388694915</x:v>
      </x:c>
      <x:c r="L109" s="46" t="n">
        <x:v>0</x:v>
      </x:c>
      <x:c r="M109" s="46" t="n">
        <x:v>0</x:v>
      </x:c>
      <x:c r="N109" s="21" t="n">
        <x:f>IF(AND(L108=1,M108=1,P108&gt;0),1,0)</x:f>
        <x:v>0</x:v>
      </x:c>
      <x:c r="O109" s="21" t="n">
        <x:f>MIN('Root Data'!I37:I39)</x:f>
        <x:v>0</x:v>
      </x:c>
      <x:c r="P109" s="44" t="n">
        <x:f>IF(AND(L109=1,M109=1,N109=1,O109&gt;=G109),K109,0)</x:f>
        <x:v>0</x:v>
      </x:c>
      <x:c r="Q109" s="21" t="str">
        <x:v>OPEN</x:v>
      </x:c>
      <x:c r="R109" s="23" t="str">
        <x:v>HOLD</x:v>
      </x:c>
    </x:row>
    <x:row r="110">
      <x:c r="B110" s="21" t="str">
        <x:v>AR-00104</x:v>
      </x:c>
      <x:c r="C110" s="21" t="str">
        <x:v>F03-I3</x:v>
      </x:c>
      <x:c r="D110" s="21" t="str">
        <x:v>F03</x:v>
      </x:c>
      <x:c r="E110" s="21" t="n">
        <x:v>4</x:v>
      </x:c>
      <x:c r="F110" s="21" t="str">
        <x:v>Engineering article acceptance</x:v>
      </x:c>
      <x:c r="G110" s="21" t="n">
        <x:v>18</x:v>
      </x:c>
      <x:c r="H110" s="21" t="str">
        <x:v>Independent Evidence and Data Authority</x:v>
      </x:c>
      <x:c r="I110" s="44" t="n">
        <x:f>Lifecycle!G10</x:f>
        <x:v>0.05929244350747744</x:v>
      </x:c>
      <x:c r="J110" s="44" t="n">
        <x:v>0.0625</x:v>
      </x:c>
      <x:c r="K110" s="44" t="n">
        <x:f>I110*J110</x:f>
        <x:v>0.00370577771921734</x:v>
      </x:c>
      <x:c r="L110" s="46" t="n">
        <x:v>0</x:v>
      </x:c>
      <x:c r="M110" s="46" t="n">
        <x:v>0</x:v>
      </x:c>
      <x:c r="N110" s="21" t="n">
        <x:f>IF(AND(L109=1,M109=1,P109&gt;0),1,0)</x:f>
        <x:v>0</x:v>
      </x:c>
      <x:c r="O110" s="21" t="n">
        <x:f>MIN('Root Data'!I37:I39)</x:f>
        <x:v>0</x:v>
      </x:c>
      <x:c r="P110" s="44" t="n">
        <x:f>IF(AND(L110=1,M110=1,N110=1,O110&gt;=G110),K110,0)</x:f>
        <x:v>0</x:v>
      </x:c>
      <x:c r="Q110" s="21" t="str">
        <x:v>OPEN</x:v>
      </x:c>
      <x:c r="R110" s="23" t="str">
        <x:v>HOLD</x:v>
      </x:c>
    </x:row>
    <x:row r="111">
      <x:c r="B111" s="21" t="str">
        <x:v>AR-00105</x:v>
      </x:c>
      <x:c r="C111" s="21" t="str">
        <x:v>F03-I3</x:v>
      </x:c>
      <x:c r="D111" s="21" t="str">
        <x:v>F03</x:v>
      </x:c>
      <x:c r="E111" s="21" t="n">
        <x:v>5</x:v>
      </x:c>
      <x:c r="F111" s="21" t="str">
        <x:v>Qualification and destructive evidence</x:v>
      </x:c>
      <x:c r="G111" s="21" t="n">
        <x:v>21</x:v>
      </x:c>
      <x:c r="H111" s="21" t="str">
        <x:v>Independent Evidence and Data Authority</x:v>
      </x:c>
      <x:c r="I111" s="44" t="n">
        <x:f>Lifecycle!G11</x:f>
        <x:v>0.1515251334079979</x:v>
      </x:c>
      <x:c r="J111" s="44" t="n">
        <x:v>0.0625</x:v>
      </x:c>
      <x:c r="K111" s="44" t="n">
        <x:f>I111*J111</x:f>
        <x:v>0.009470320837999868</x:v>
      </x:c>
      <x:c r="L111" s="46" t="n">
        <x:v>0</x:v>
      </x:c>
      <x:c r="M111" s="46" t="n">
        <x:v>0</x:v>
      </x:c>
      <x:c r="N111" s="21" t="n">
        <x:f>IF(AND(L110=1,M110=1,P110&gt;0),1,0)</x:f>
        <x:v>0</x:v>
      </x:c>
      <x:c r="O111" s="21" t="n">
        <x:f>MIN('Root Data'!I37:I39)</x:f>
        <x:v>0</x:v>
      </x:c>
      <x:c r="P111" s="44" t="n">
        <x:f>IF(AND(L111=1,M111=1,N111=1,O111&gt;=G111),K111,0)</x:f>
        <x:v>0</x:v>
      </x:c>
      <x:c r="Q111" s="21" t="str">
        <x:v>OPEN</x:v>
      </x:c>
      <x:c r="R111" s="23" t="str">
        <x:v>HOLD</x:v>
      </x:c>
    </x:row>
    <x:row r="112">
      <x:c r="B112" s="21" t="str">
        <x:v>AR-00106</x:v>
      </x:c>
      <x:c r="C112" s="21" t="str">
        <x:v>F03-I3</x:v>
      </x:c>
      <x:c r="D112" s="21" t="str">
        <x:v>F03</x:v>
      </x:c>
      <x:c r="E112" s="21" t="n">
        <x:v>6</x:v>
      </x:c>
      <x:c r="F112" s="21" t="str">
        <x:v>Representative mission result</x:v>
      </x:c>
      <x:c r="G112" s="21" t="n">
        <x:v>23</x:v>
      </x:c>
      <x:c r="H112" s="21" t="str">
        <x:v>Receiving Service Authority</x:v>
      </x:c>
      <x:c r="I112" s="44" t="n">
        <x:f>Lifecycle!G12</x:f>
        <x:v>0.250345872587127</x:v>
      </x:c>
      <x:c r="J112" s="44" t="n">
        <x:v>0.0625</x:v>
      </x:c>
      <x:c r="K112" s="44" t="n">
        <x:f>I112*J112</x:f>
        <x:v>0.015646617036695436</x:v>
      </x:c>
      <x:c r="L112" s="46" t="n">
        <x:v>0</x:v>
      </x:c>
      <x:c r="M112" s="46" t="n">
        <x:v>0</x:v>
      </x:c>
      <x:c r="N112" s="21" t="n">
        <x:f>IF(AND(L111=1,M111=1,P111&gt;0),1,0)</x:f>
        <x:v>0</x:v>
      </x:c>
      <x:c r="O112" s="21" t="n">
        <x:f>MIN('Root Data'!I37:I39)</x:f>
        <x:v>0</x:v>
      </x:c>
      <x:c r="P112" s="44" t="n">
        <x:f>IF(AND(L112=1,M112=1,N112=1,O112&gt;=G112),K112,0)</x:f>
        <x:v>0</x:v>
      </x:c>
      <x:c r="Q112" s="21" t="str">
        <x:v>OPEN</x:v>
      </x:c>
      <x:c r="R112" s="23" t="str">
        <x:v>HOLD</x:v>
      </x:c>
    </x:row>
    <x:row r="113">
      <x:c r="B113" s="21" t="str">
        <x:v>AR-00107</x:v>
      </x:c>
      <x:c r="C113" s="21" t="str">
        <x:v>F03-I3</x:v>
      </x:c>
      <x:c r="D113" s="21" t="str">
        <x:v>F03</x:v>
      </x:c>
      <x:c r="E113" s="21" t="n">
        <x:v>7</x:v>
      </x:c>
      <x:c r="F113" s="21" t="str">
        <x:v>Independent reproduction</x:v>
      </x:c>
      <x:c r="G113" s="21" t="n">
        <x:v>28</x:v>
      </x:c>
      <x:c r="H113" s="21" t="str">
        <x:v>Independent Evidence and Data Authority</x:v>
      </x:c>
      <x:c r="I113" s="44" t="n">
        <x:f>Lifecycle!G13</x:f>
        <x:v>0.21740562619408393</x:v>
      </x:c>
      <x:c r="J113" s="44" t="n">
        <x:v>0.0625</x:v>
      </x:c>
      <x:c r="K113" s="44" t="n">
        <x:f>I113*J113</x:f>
        <x:v>0.013587851637130246</x:v>
      </x:c>
      <x:c r="L113" s="46" t="n">
        <x:v>0</x:v>
      </x:c>
      <x:c r="M113" s="46" t="n">
        <x:v>0</x:v>
      </x:c>
      <x:c r="N113" s="21" t="n">
        <x:f>IF(AND(L112=1,M112=1,P112&gt;0),1,0)</x:f>
        <x:v>0</x:v>
      </x:c>
      <x:c r="O113" s="21" t="n">
        <x:f>MIN('Root Data'!I37:I39)</x:f>
        <x:v>0</x:v>
      </x:c>
      <x:c r="P113" s="44" t="n">
        <x:f>IF(AND(L113=1,M113=1,N113=1,O113&gt;=G113),K113,0)</x:f>
        <x:v>0</x:v>
      </x:c>
      <x:c r="Q113" s="21" t="str">
        <x:v>OPEN</x:v>
      </x:c>
      <x:c r="R113" s="23" t="str">
        <x:v>HOLD</x:v>
      </x:c>
    </x:row>
    <x:row r="114">
      <x:c r="B114" s="21" t="str">
        <x:v>AR-00108</x:v>
      </x:c>
      <x:c r="C114" s="21" t="str">
        <x:v>F03-I3</x:v>
      </x:c>
      <x:c r="D114" s="21" t="str">
        <x:v>F03</x:v>
      </x:c>
      <x:c r="E114" s="21" t="n">
        <x:v>8</x:v>
      </x:c>
      <x:c r="F114" s="21" t="str">
        <x:v>Pilot-process qualification</x:v>
      </x:c>
      <x:c r="G114" s="21" t="n">
        <x:v>28</x:v>
      </x:c>
      <x:c r="H114" s="21" t="str">
        <x:v>AIMC Industrial Mobilization Authority</x:v>
      </x:c>
      <x:c r="I114" s="44" t="n">
        <x:f>Lifecycle!G14</x:f>
        <x:v>0.03952829567165163</x:v>
      </x:c>
      <x:c r="J114" s="44" t="n">
        <x:v>0.0625</x:v>
      </x:c>
      <x:c r="K114" s="44" t="n">
        <x:f>I114*J114</x:f>
        <x:v>0.0024705184794782268</x:v>
      </x:c>
      <x:c r="L114" s="46" t="n">
        <x:v>0</x:v>
      </x:c>
      <x:c r="M114" s="46" t="n">
        <x:v>0</x:v>
      </x:c>
      <x:c r="N114" s="21" t="n">
        <x:f>IF(AND(L113=1,M113=1,P113&gt;0),1,0)</x:f>
        <x:v>0</x:v>
      </x:c>
      <x:c r="O114" s="21" t="n">
        <x:f>MIN('Root Data'!I37:I39)</x:f>
        <x:v>0</x:v>
      </x:c>
      <x:c r="P114" s="44" t="n">
        <x:f>IF(AND(L114=1,M114=1,N114=1,O114&gt;=G114),K114,0)</x:f>
        <x:v>0</x:v>
      </x:c>
      <x:c r="Q114" s="21" t="str">
        <x:v>OPEN</x:v>
      </x:c>
      <x:c r="R114" s="23" t="str">
        <x:v>HOLD</x:v>
      </x:c>
    </x:row>
    <x:row r="115">
      <x:c r="B115" s="21" t="str">
        <x:v>AR-00109</x:v>
      </x:c>
      <x:c r="C115" s="21" t="str">
        <x:v>F03-I3</x:v>
      </x:c>
      <x:c r="D115" s="21" t="str">
        <x:v>F03</x:v>
      </x:c>
      <x:c r="E115" s="21" t="n">
        <x:v>9</x:v>
      </x:c>
      <x:c r="F115" s="21" t="str">
        <x:v>Production release package</x:v>
      </x:c>
      <x:c r="G115" s="21" t="n">
        <x:v>28</x:v>
      </x:c>
      <x:c r="H115" s="21" t="str">
        <x:v>Production Release Board</x:v>
      </x:c>
      <x:c r="I115" s="44" t="n">
        <x:f>Lifecycle!G15</x:f>
        <x:v>0.01647012319652151</x:v>
      </x:c>
      <x:c r="J115" s="44" t="n">
        <x:v>0.0625</x:v>
      </x:c>
      <x:c r="K115" s="44" t="n">
        <x:f>I115*J115</x:f>
        <x:v>0.0010293826997825944</x:v>
      </x:c>
      <x:c r="L115" s="46" t="n">
        <x:v>0</x:v>
      </x:c>
      <x:c r="M115" s="46" t="n">
        <x:v>0</x:v>
      </x:c>
      <x:c r="N115" s="21" t="n">
        <x:f>IF(AND(L114=1,M114=1,P114&gt;0),1,0)</x:f>
        <x:v>0</x:v>
      </x:c>
      <x:c r="O115" s="21" t="n">
        <x:f>MIN('Root Data'!I37:I39)</x:f>
        <x:v>0</x:v>
      </x:c>
      <x:c r="P115" s="44" t="n">
        <x:f>IF(AND(L115=1,M115=1,N115=1,O115&gt;=G115),K115,0)</x:f>
        <x:v>0</x:v>
      </x:c>
      <x:c r="Q115" s="21" t="str">
        <x:v>OPEN</x:v>
      </x:c>
      <x:c r="R115" s="23" t="str">
        <x:v>HOLD</x:v>
      </x:c>
    </x:row>
    <x:row r="116">
      <x:c r="B116" s="21" t="str">
        <x:v>AR-00110</x:v>
      </x:c>
      <x:c r="C116" s="21" t="str">
        <x:v>F03-I3</x:v>
      </x:c>
      <x:c r="D116" s="21" t="str">
        <x:v>F03</x:v>
      </x:c>
      <x:c r="E116" s="21" t="n">
        <x:v>10</x:v>
      </x:c>
      <x:c r="F116" s="21" t="str">
        <x:v>Mobilization activation</x:v>
      </x:c>
      <x:c r="G116" s="21" t="n">
        <x:v>28</x:v>
      </x:c>
      <x:c r="H116" s="21" t="str">
        <x:v>Production Release Board</x:v>
      </x:c>
      <x:c r="I116" s="44" t="n">
        <x:f>Lifecycle!G16</x:f>
        <x:v>0.028262731405230914</x:v>
      </x:c>
      <x:c r="J116" s="44" t="n">
        <x:v>0.0625</x:v>
      </x:c>
      <x:c r="K116" s="44" t="n">
        <x:f>I116*J116</x:f>
        <x:v>0.0017664207128269321</x:v>
      </x:c>
      <x:c r="L116" s="46" t="n">
        <x:v>0</x:v>
      </x:c>
      <x:c r="M116" s="46" t="n">
        <x:v>0</x:v>
      </x:c>
      <x:c r="N116" s="21" t="n">
        <x:f>IF(AND(L115=1,M115=1,P115&gt;0),1,0)</x:f>
        <x:v>0</x:v>
      </x:c>
      <x:c r="O116" s="21" t="n">
        <x:f>MIN('Root Data'!I37:I39)</x:f>
        <x:v>0</x:v>
      </x:c>
      <x:c r="P116" s="44" t="n">
        <x:f>IF(AND(L116=1,M116=1,N116=1,O116&gt;=G116),K116,0)</x:f>
        <x:v>0</x:v>
      </x:c>
      <x:c r="Q116" s="21" t="str">
        <x:v>OPEN</x:v>
      </x:c>
      <x:c r="R116" s="23" t="str">
        <x:v>HOLD</x:v>
      </x:c>
    </x:row>
    <x:row r="117">
      <x:c r="B117" s="21" t="str">
        <x:v>AR-00111</x:v>
      </x:c>
      <x:c r="C117" s="21" t="str">
        <x:v>F03-I4</x:v>
      </x:c>
      <x:c r="D117" s="21" t="str">
        <x:v>F03</x:v>
      </x:c>
      <x:c r="E117" s="21" t="n">
        <x:v>1</x:v>
      </x:c>
      <x:c r="F117" s="21" t="str">
        <x:v>Civil effect charter</x:v>
      </x:c>
      <x:c r="G117" s="21" t="n">
        <x:v>0</x:v>
      </x:c>
      <x:c r="H117" s="21" t="str">
        <x:v>Civil Guarantee Authority</x:v>
      </x:c>
      <x:c r="I117" s="44" t="n">
        <x:f>Lifecycle!G7</x:f>
        <x:v>0.04941036958956453</x:v>
      </x:c>
      <x:c r="J117" s="44" t="n">
        <x:v>0.0625</x:v>
      </x:c>
      <x:c r="K117" s="44" t="n">
        <x:f>I117*J117</x:f>
        <x:v>0.0030881480993477832</x:v>
      </x:c>
      <x:c r="L117" s="46" t="n">
        <x:v>0</x:v>
      </x:c>
      <x:c r="M117" s="46" t="n">
        <x:v>0</x:v>
      </x:c>
      <x:c r="N117" s="21" t="n">
        <x:f>1</x:f>
        <x:v>1</x:v>
      </x:c>
      <x:c r="O117" s="21" t="n">
        <x:f>MIN('Root Data'!I40:I42)</x:f>
        <x:v>0</x:v>
      </x:c>
      <x:c r="P117" s="44" t="n">
        <x:f>IF(AND(L117=1,M117=1,N117=1,O117&gt;=G117),K117,0)</x:f>
        <x:v>0</x:v>
      </x:c>
      <x:c r="Q117" s="21" t="str">
        <x:v>OPEN</x:v>
      </x:c>
      <x:c r="R117" s="23" t="str">
        <x:v>HOLD</x:v>
      </x:c>
    </x:row>
    <x:row r="118">
      <x:c r="B118" s="21" t="str">
        <x:v>AR-00112</x:v>
      </x:c>
      <x:c r="C118" s="21" t="str">
        <x:v>F03-I4</x:v>
      </x:c>
      <x:c r="D118" s="21" t="str">
        <x:v>F03</x:v>
      </x:c>
      <x:c r="E118" s="21" t="n">
        <x:v>2</x:v>
      </x:c>
      <x:c r="F118" s="21" t="str">
        <x:v>Requirement and root-independence package</x:v>
      </x:c>
      <x:c r="G118" s="21" t="n">
        <x:v>8</x:v>
      </x:c>
      <x:c r="H118" s="21" t="str">
        <x:v>Resilience Staff</x:v>
      </x:c>
      <x:c r="I118" s="44" t="n">
        <x:f>Lifecycle!G8</x:f>
        <x:v>0.10211476381843337</x:v>
      </x:c>
      <x:c r="J118" s="44" t="n">
        <x:v>0.0625</x:v>
      </x:c>
      <x:c r="K118" s="44" t="n">
        <x:f>I118*J118</x:f>
        <x:v>0.006382172738652086</x:v>
      </x:c>
      <x:c r="L118" s="46" t="n">
        <x:v>0</x:v>
      </x:c>
      <x:c r="M118" s="46" t="n">
        <x:v>0</x:v>
      </x:c>
      <x:c r="N118" s="21" t="n">
        <x:f>IF(AND(L117=1,M117=1,P117&gt;0),1,0)</x:f>
        <x:v>0</x:v>
      </x:c>
      <x:c r="O118" s="21" t="n">
        <x:f>MIN('Root Data'!I40:I42)</x:f>
        <x:v>0</x:v>
      </x:c>
      <x:c r="P118" s="44" t="n">
        <x:f>IF(AND(L118=1,M118=1,N118=1,O118&gt;=G118),K118,0)</x:f>
        <x:v>0</x:v>
      </x:c>
      <x:c r="Q118" s="21" t="str">
        <x:v>OPEN</x:v>
      </x:c>
      <x:c r="R118" s="23" t="str">
        <x:v>HOLD</x:v>
      </x:c>
    </x:row>
    <x:row r="119">
      <x:c r="B119" s="21" t="str">
        <x:v>AR-00113</x:v>
      </x:c>
      <x:c r="C119" s="21" t="str">
        <x:v>F03-I4</x:v>
      </x:c>
      <x:c r="D119" s="21" t="str">
        <x:v>F03</x:v>
      </x:c>
      <x:c r="E119" s="21" t="n">
        <x:v>3</x:v>
      </x:c>
      <x:c r="F119" s="21" t="str">
        <x:v>Architecture and burden closure</x:v>
      </x:c>
      <x:c r="G119" s="21" t="n">
        <x:v>14</x:v>
      </x:c>
      <x:c r="H119" s="21" t="str">
        <x:v>Independent Evidence and Data Authority</x:v>
      </x:c>
      <x:c r="I119" s="44" t="n">
        <x:f>Lifecycle!G9</x:f>
        <x:v>0.08564464062191186</x:v>
      </x:c>
      <x:c r="J119" s="44" t="n">
        <x:v>0.0625</x:v>
      </x:c>
      <x:c r="K119" s="44" t="n">
        <x:f>I119*J119</x:f>
        <x:v>0.0053527900388694915</x:v>
      </x:c>
      <x:c r="L119" s="46" t="n">
        <x:v>0</x:v>
      </x:c>
      <x:c r="M119" s="46" t="n">
        <x:v>0</x:v>
      </x:c>
      <x:c r="N119" s="21" t="n">
        <x:f>IF(AND(L118=1,M118=1,P118&gt;0),1,0)</x:f>
        <x:v>0</x:v>
      </x:c>
      <x:c r="O119" s="21" t="n">
        <x:f>MIN('Root Data'!I40:I42)</x:f>
        <x:v>0</x:v>
      </x:c>
      <x:c r="P119" s="44" t="n">
        <x:f>IF(AND(L119=1,M119=1,N119=1,O119&gt;=G119),K119,0)</x:f>
        <x:v>0</x:v>
      </x:c>
      <x:c r="Q119" s="21" t="str">
        <x:v>OPEN</x:v>
      </x:c>
      <x:c r="R119" s="23" t="str">
        <x:v>HOLD</x:v>
      </x:c>
    </x:row>
    <x:row r="120">
      <x:c r="B120" s="21" t="str">
        <x:v>AR-00114</x:v>
      </x:c>
      <x:c r="C120" s="21" t="str">
        <x:v>F03-I4</x:v>
      </x:c>
      <x:c r="D120" s="21" t="str">
        <x:v>F03</x:v>
      </x:c>
      <x:c r="E120" s="21" t="n">
        <x:v>4</x:v>
      </x:c>
      <x:c r="F120" s="21" t="str">
        <x:v>Engineering article acceptance</x:v>
      </x:c>
      <x:c r="G120" s="21" t="n">
        <x:v>18</x:v>
      </x:c>
      <x:c r="H120" s="21" t="str">
        <x:v>Independent Evidence and Data Authority</x:v>
      </x:c>
      <x:c r="I120" s="44" t="n">
        <x:f>Lifecycle!G10</x:f>
        <x:v>0.05929244350747744</x:v>
      </x:c>
      <x:c r="J120" s="44" t="n">
        <x:v>0.0625</x:v>
      </x:c>
      <x:c r="K120" s="44" t="n">
        <x:f>I120*J120</x:f>
        <x:v>0.00370577771921734</x:v>
      </x:c>
      <x:c r="L120" s="46" t="n">
        <x:v>0</x:v>
      </x:c>
      <x:c r="M120" s="46" t="n">
        <x:v>0</x:v>
      </x:c>
      <x:c r="N120" s="21" t="n">
        <x:f>IF(AND(L119=1,M119=1,P119&gt;0),1,0)</x:f>
        <x:v>0</x:v>
      </x:c>
      <x:c r="O120" s="21" t="n">
        <x:f>MIN('Root Data'!I40:I42)</x:f>
        <x:v>0</x:v>
      </x:c>
      <x:c r="P120" s="44" t="n">
        <x:f>IF(AND(L120=1,M120=1,N120=1,O120&gt;=G120),K120,0)</x:f>
        <x:v>0</x:v>
      </x:c>
      <x:c r="Q120" s="21" t="str">
        <x:v>OPEN</x:v>
      </x:c>
      <x:c r="R120" s="23" t="str">
        <x:v>HOLD</x:v>
      </x:c>
    </x:row>
    <x:row r="121">
      <x:c r="B121" s="21" t="str">
        <x:v>AR-00115</x:v>
      </x:c>
      <x:c r="C121" s="21" t="str">
        <x:v>F03-I4</x:v>
      </x:c>
      <x:c r="D121" s="21" t="str">
        <x:v>F03</x:v>
      </x:c>
      <x:c r="E121" s="21" t="n">
        <x:v>5</x:v>
      </x:c>
      <x:c r="F121" s="21" t="str">
        <x:v>Qualification and destructive evidence</x:v>
      </x:c>
      <x:c r="G121" s="21" t="n">
        <x:v>21</x:v>
      </x:c>
      <x:c r="H121" s="21" t="str">
        <x:v>Independent Evidence and Data Authority</x:v>
      </x:c>
      <x:c r="I121" s="44" t="n">
        <x:f>Lifecycle!G11</x:f>
        <x:v>0.1515251334079979</x:v>
      </x:c>
      <x:c r="J121" s="44" t="n">
        <x:v>0.0625</x:v>
      </x:c>
      <x:c r="K121" s="44" t="n">
        <x:f>I121*J121</x:f>
        <x:v>0.009470320837999868</x:v>
      </x:c>
      <x:c r="L121" s="46" t="n">
        <x:v>0</x:v>
      </x:c>
      <x:c r="M121" s="46" t="n">
        <x:v>0</x:v>
      </x:c>
      <x:c r="N121" s="21" t="n">
        <x:f>IF(AND(L120=1,M120=1,P120&gt;0),1,0)</x:f>
        <x:v>0</x:v>
      </x:c>
      <x:c r="O121" s="21" t="n">
        <x:f>MIN('Root Data'!I40:I42)</x:f>
        <x:v>0</x:v>
      </x:c>
      <x:c r="P121" s="44" t="n">
        <x:f>IF(AND(L121=1,M121=1,N121=1,O121&gt;=G121),K121,0)</x:f>
        <x:v>0</x:v>
      </x:c>
      <x:c r="Q121" s="21" t="str">
        <x:v>OPEN</x:v>
      </x:c>
      <x:c r="R121" s="23" t="str">
        <x:v>HOLD</x:v>
      </x:c>
    </x:row>
    <x:row r="122">
      <x:c r="B122" s="21" t="str">
        <x:v>AR-00116</x:v>
      </x:c>
      <x:c r="C122" s="21" t="str">
        <x:v>F03-I4</x:v>
      </x:c>
      <x:c r="D122" s="21" t="str">
        <x:v>F03</x:v>
      </x:c>
      <x:c r="E122" s="21" t="n">
        <x:v>6</x:v>
      </x:c>
      <x:c r="F122" s="21" t="str">
        <x:v>Representative mission result</x:v>
      </x:c>
      <x:c r="G122" s="21" t="n">
        <x:v>23</x:v>
      </x:c>
      <x:c r="H122" s="21" t="str">
        <x:v>Receiving Service Authority</x:v>
      </x:c>
      <x:c r="I122" s="44" t="n">
        <x:f>Lifecycle!G12</x:f>
        <x:v>0.250345872587127</x:v>
      </x:c>
      <x:c r="J122" s="44" t="n">
        <x:v>0.0625</x:v>
      </x:c>
      <x:c r="K122" s="44" t="n">
        <x:f>I122*J122</x:f>
        <x:v>0.015646617036695436</x:v>
      </x:c>
      <x:c r="L122" s="46" t="n">
        <x:v>0</x:v>
      </x:c>
      <x:c r="M122" s="46" t="n">
        <x:v>0</x:v>
      </x:c>
      <x:c r="N122" s="21" t="n">
        <x:f>IF(AND(L121=1,M121=1,P121&gt;0),1,0)</x:f>
        <x:v>0</x:v>
      </x:c>
      <x:c r="O122" s="21" t="n">
        <x:f>MIN('Root Data'!I40:I42)</x:f>
        <x:v>0</x:v>
      </x:c>
      <x:c r="P122" s="44" t="n">
        <x:f>IF(AND(L122=1,M122=1,N122=1,O122&gt;=G122),K122,0)</x:f>
        <x:v>0</x:v>
      </x:c>
      <x:c r="Q122" s="21" t="str">
        <x:v>OPEN</x:v>
      </x:c>
      <x:c r="R122" s="23" t="str">
        <x:v>HOLD</x:v>
      </x:c>
    </x:row>
    <x:row r="123">
      <x:c r="B123" s="21" t="str">
        <x:v>AR-00117</x:v>
      </x:c>
      <x:c r="C123" s="21" t="str">
        <x:v>F03-I4</x:v>
      </x:c>
      <x:c r="D123" s="21" t="str">
        <x:v>F03</x:v>
      </x:c>
      <x:c r="E123" s="21" t="n">
        <x:v>7</x:v>
      </x:c>
      <x:c r="F123" s="21" t="str">
        <x:v>Independent reproduction</x:v>
      </x:c>
      <x:c r="G123" s="21" t="n">
        <x:v>28</x:v>
      </x:c>
      <x:c r="H123" s="21" t="str">
        <x:v>Independent Evidence and Data Authority</x:v>
      </x:c>
      <x:c r="I123" s="44" t="n">
        <x:f>Lifecycle!G13</x:f>
        <x:v>0.21740562619408393</x:v>
      </x:c>
      <x:c r="J123" s="44" t="n">
        <x:v>0.0625</x:v>
      </x:c>
      <x:c r="K123" s="44" t="n">
        <x:f>I123*J123</x:f>
        <x:v>0.013587851637130246</x:v>
      </x:c>
      <x:c r="L123" s="46" t="n">
        <x:v>0</x:v>
      </x:c>
      <x:c r="M123" s="46" t="n">
        <x:v>0</x:v>
      </x:c>
      <x:c r="N123" s="21" t="n">
        <x:f>IF(AND(L122=1,M122=1,P122&gt;0),1,0)</x:f>
        <x:v>0</x:v>
      </x:c>
      <x:c r="O123" s="21" t="n">
        <x:f>MIN('Root Data'!I40:I42)</x:f>
        <x:v>0</x:v>
      </x:c>
      <x:c r="P123" s="44" t="n">
        <x:f>IF(AND(L123=1,M123=1,N123=1,O123&gt;=G123),K123,0)</x:f>
        <x:v>0</x:v>
      </x:c>
      <x:c r="Q123" s="21" t="str">
        <x:v>OPEN</x:v>
      </x:c>
      <x:c r="R123" s="23" t="str">
        <x:v>HOLD</x:v>
      </x:c>
    </x:row>
    <x:row r="124">
      <x:c r="B124" s="21" t="str">
        <x:v>AR-00118</x:v>
      </x:c>
      <x:c r="C124" s="21" t="str">
        <x:v>F03-I4</x:v>
      </x:c>
      <x:c r="D124" s="21" t="str">
        <x:v>F03</x:v>
      </x:c>
      <x:c r="E124" s="21" t="n">
        <x:v>8</x:v>
      </x:c>
      <x:c r="F124" s="21" t="str">
        <x:v>Pilot-process qualification</x:v>
      </x:c>
      <x:c r="G124" s="21" t="n">
        <x:v>28</x:v>
      </x:c>
      <x:c r="H124" s="21" t="str">
        <x:v>AIMC Industrial Mobilization Authority</x:v>
      </x:c>
      <x:c r="I124" s="44" t="n">
        <x:f>Lifecycle!G14</x:f>
        <x:v>0.03952829567165163</x:v>
      </x:c>
      <x:c r="J124" s="44" t="n">
        <x:v>0.0625</x:v>
      </x:c>
      <x:c r="K124" s="44" t="n">
        <x:f>I124*J124</x:f>
        <x:v>0.0024705184794782268</x:v>
      </x:c>
      <x:c r="L124" s="46" t="n">
        <x:v>0</x:v>
      </x:c>
      <x:c r="M124" s="46" t="n">
        <x:v>0</x:v>
      </x:c>
      <x:c r="N124" s="21" t="n">
        <x:f>IF(AND(L123=1,M123=1,P123&gt;0),1,0)</x:f>
        <x:v>0</x:v>
      </x:c>
      <x:c r="O124" s="21" t="n">
        <x:f>MIN('Root Data'!I40:I42)</x:f>
        <x:v>0</x:v>
      </x:c>
      <x:c r="P124" s="44" t="n">
        <x:f>IF(AND(L124=1,M124=1,N124=1,O124&gt;=G124),K124,0)</x:f>
        <x:v>0</x:v>
      </x:c>
      <x:c r="Q124" s="21" t="str">
        <x:v>OPEN</x:v>
      </x:c>
      <x:c r="R124" s="23" t="str">
        <x:v>HOLD</x:v>
      </x:c>
    </x:row>
    <x:row r="125">
      <x:c r="B125" s="21" t="str">
        <x:v>AR-00119</x:v>
      </x:c>
      <x:c r="C125" s="21" t="str">
        <x:v>F03-I4</x:v>
      </x:c>
      <x:c r="D125" s="21" t="str">
        <x:v>F03</x:v>
      </x:c>
      <x:c r="E125" s="21" t="n">
        <x:v>9</x:v>
      </x:c>
      <x:c r="F125" s="21" t="str">
        <x:v>Production release package</x:v>
      </x:c>
      <x:c r="G125" s="21" t="n">
        <x:v>28</x:v>
      </x:c>
      <x:c r="H125" s="21" t="str">
        <x:v>Production Release Board</x:v>
      </x:c>
      <x:c r="I125" s="44" t="n">
        <x:f>Lifecycle!G15</x:f>
        <x:v>0.01647012319652151</x:v>
      </x:c>
      <x:c r="J125" s="44" t="n">
        <x:v>0.0625</x:v>
      </x:c>
      <x:c r="K125" s="44" t="n">
        <x:f>I125*J125</x:f>
        <x:v>0.0010293826997825944</x:v>
      </x:c>
      <x:c r="L125" s="46" t="n">
        <x:v>0</x:v>
      </x:c>
      <x:c r="M125" s="46" t="n">
        <x:v>0</x:v>
      </x:c>
      <x:c r="N125" s="21" t="n">
        <x:f>IF(AND(L124=1,M124=1,P124&gt;0),1,0)</x:f>
        <x:v>0</x:v>
      </x:c>
      <x:c r="O125" s="21" t="n">
        <x:f>MIN('Root Data'!I40:I42)</x:f>
        <x:v>0</x:v>
      </x:c>
      <x:c r="P125" s="44" t="n">
        <x:f>IF(AND(L125=1,M125=1,N125=1,O125&gt;=G125),K125,0)</x:f>
        <x:v>0</x:v>
      </x:c>
      <x:c r="Q125" s="21" t="str">
        <x:v>OPEN</x:v>
      </x:c>
      <x:c r="R125" s="23" t="str">
        <x:v>HOLD</x:v>
      </x:c>
    </x:row>
    <x:row r="126">
      <x:c r="B126" s="21" t="str">
        <x:v>AR-00120</x:v>
      </x:c>
      <x:c r="C126" s="21" t="str">
        <x:v>F03-I4</x:v>
      </x:c>
      <x:c r="D126" s="21" t="str">
        <x:v>F03</x:v>
      </x:c>
      <x:c r="E126" s="21" t="n">
        <x:v>10</x:v>
      </x:c>
      <x:c r="F126" s="21" t="str">
        <x:v>Mobilization activation</x:v>
      </x:c>
      <x:c r="G126" s="21" t="n">
        <x:v>28</x:v>
      </x:c>
      <x:c r="H126" s="21" t="str">
        <x:v>Production Release Board</x:v>
      </x:c>
      <x:c r="I126" s="44" t="n">
        <x:f>Lifecycle!G16</x:f>
        <x:v>0.028262731405230914</x:v>
      </x:c>
      <x:c r="J126" s="44" t="n">
        <x:v>0.0625</x:v>
      </x:c>
      <x:c r="K126" s="44" t="n">
        <x:f>I126*J126</x:f>
        <x:v>0.0017664207128269321</x:v>
      </x:c>
      <x:c r="L126" s="46" t="n">
        <x:v>0</x:v>
      </x:c>
      <x:c r="M126" s="46" t="n">
        <x:v>0</x:v>
      </x:c>
      <x:c r="N126" s="21" t="n">
        <x:f>IF(AND(L125=1,M125=1,P125&gt;0),1,0)</x:f>
        <x:v>0</x:v>
      </x:c>
      <x:c r="O126" s="21" t="n">
        <x:f>MIN('Root Data'!I40:I42)</x:f>
        <x:v>0</x:v>
      </x:c>
      <x:c r="P126" s="44" t="n">
        <x:f>IF(AND(L126=1,M126=1,N126=1,O126&gt;=G126),K126,0)</x:f>
        <x:v>0</x:v>
      </x:c>
      <x:c r="Q126" s="21" t="str">
        <x:v>OPEN</x:v>
      </x:c>
      <x:c r="R126" s="23" t="str">
        <x:v>HOLD</x:v>
      </x:c>
    </x:row>
    <x:row r="127">
      <x:c r="B127" s="21" t="str">
        <x:v>AR-00121</x:v>
      </x:c>
      <x:c r="C127" s="21" t="str">
        <x:v>F04-I1</x:v>
      </x:c>
      <x:c r="D127" s="21" t="str">
        <x:v>F04</x:v>
      </x:c>
      <x:c r="E127" s="21" t="n">
        <x:v>1</x:v>
      </x:c>
      <x:c r="F127" s="21" t="str">
        <x:v>Civil effect charter</x:v>
      </x:c>
      <x:c r="G127" s="21" t="n">
        <x:v>0</x:v>
      </x:c>
      <x:c r="H127" s="21" t="str">
        <x:v>Civil Guarantee Authority</x:v>
      </x:c>
      <x:c r="I127" s="44" t="n">
        <x:f>Lifecycle!G7</x:f>
        <x:v>0.04941036958956453</x:v>
      </x:c>
      <x:c r="J127" s="44" t="n">
        <x:v>0.0625</x:v>
      </x:c>
      <x:c r="K127" s="44" t="n">
        <x:f>I127*J127</x:f>
        <x:v>0.0030881480993477832</x:v>
      </x:c>
      <x:c r="L127" s="46" t="n">
        <x:v>0</x:v>
      </x:c>
      <x:c r="M127" s="46" t="n">
        <x:v>0</x:v>
      </x:c>
      <x:c r="N127" s="21" t="n">
        <x:f>1</x:f>
        <x:v>1</x:v>
      </x:c>
      <x:c r="O127" s="21" t="n">
        <x:f>MIN('Root Data'!I43:I45)</x:f>
        <x:v>0</x:v>
      </x:c>
      <x:c r="P127" s="44" t="n">
        <x:f>IF(AND(L127=1,M127=1,N127=1,O127&gt;=G127),K127,0)</x:f>
        <x:v>0</x:v>
      </x:c>
      <x:c r="Q127" s="21" t="str">
        <x:v>OPEN</x:v>
      </x:c>
      <x:c r="R127" s="23" t="str">
        <x:v>HOLD</x:v>
      </x:c>
    </x:row>
    <x:row r="128">
      <x:c r="B128" s="21" t="str">
        <x:v>AR-00122</x:v>
      </x:c>
      <x:c r="C128" s="21" t="str">
        <x:v>F04-I1</x:v>
      </x:c>
      <x:c r="D128" s="21" t="str">
        <x:v>F04</x:v>
      </x:c>
      <x:c r="E128" s="21" t="n">
        <x:v>2</x:v>
      </x:c>
      <x:c r="F128" s="21" t="str">
        <x:v>Requirement and root-independence package</x:v>
      </x:c>
      <x:c r="G128" s="21" t="n">
        <x:v>8</x:v>
      </x:c>
      <x:c r="H128" s="21" t="str">
        <x:v>Resilience Staff</x:v>
      </x:c>
      <x:c r="I128" s="44" t="n">
        <x:f>Lifecycle!G8</x:f>
        <x:v>0.10211476381843337</x:v>
      </x:c>
      <x:c r="J128" s="44" t="n">
        <x:v>0.0625</x:v>
      </x:c>
      <x:c r="K128" s="44" t="n">
        <x:f>I128*J128</x:f>
        <x:v>0.006382172738652086</x:v>
      </x:c>
      <x:c r="L128" s="46" t="n">
        <x:v>0</x:v>
      </x:c>
      <x:c r="M128" s="46" t="n">
        <x:v>0</x:v>
      </x:c>
      <x:c r="N128" s="21" t="n">
        <x:f>IF(AND(L127=1,M127=1,P127&gt;0),1,0)</x:f>
        <x:v>0</x:v>
      </x:c>
      <x:c r="O128" s="21" t="n">
        <x:f>MIN('Root Data'!I43:I45)</x:f>
        <x:v>0</x:v>
      </x:c>
      <x:c r="P128" s="44" t="n">
        <x:f>IF(AND(L128=1,M128=1,N128=1,O128&gt;=G128),K128,0)</x:f>
        <x:v>0</x:v>
      </x:c>
      <x:c r="Q128" s="21" t="str">
        <x:v>OPEN</x:v>
      </x:c>
      <x:c r="R128" s="23" t="str">
        <x:v>HOLD</x:v>
      </x:c>
    </x:row>
    <x:row r="129">
      <x:c r="B129" s="21" t="str">
        <x:v>AR-00123</x:v>
      </x:c>
      <x:c r="C129" s="21" t="str">
        <x:v>F04-I1</x:v>
      </x:c>
      <x:c r="D129" s="21" t="str">
        <x:v>F04</x:v>
      </x:c>
      <x:c r="E129" s="21" t="n">
        <x:v>3</x:v>
      </x:c>
      <x:c r="F129" s="21" t="str">
        <x:v>Architecture and burden closure</x:v>
      </x:c>
      <x:c r="G129" s="21" t="n">
        <x:v>14</x:v>
      </x:c>
      <x:c r="H129" s="21" t="str">
        <x:v>Independent Evidence and Data Authority</x:v>
      </x:c>
      <x:c r="I129" s="44" t="n">
        <x:f>Lifecycle!G9</x:f>
        <x:v>0.08564464062191186</x:v>
      </x:c>
      <x:c r="J129" s="44" t="n">
        <x:v>0.0625</x:v>
      </x:c>
      <x:c r="K129" s="44" t="n">
        <x:f>I129*J129</x:f>
        <x:v>0.0053527900388694915</x:v>
      </x:c>
      <x:c r="L129" s="46" t="n">
        <x:v>0</x:v>
      </x:c>
      <x:c r="M129" s="46" t="n">
        <x:v>0</x:v>
      </x:c>
      <x:c r="N129" s="21" t="n">
        <x:f>IF(AND(L128=1,M128=1,P128&gt;0),1,0)</x:f>
        <x:v>0</x:v>
      </x:c>
      <x:c r="O129" s="21" t="n">
        <x:f>MIN('Root Data'!I43:I45)</x:f>
        <x:v>0</x:v>
      </x:c>
      <x:c r="P129" s="44" t="n">
        <x:f>IF(AND(L129=1,M129=1,N129=1,O129&gt;=G129),K129,0)</x:f>
        <x:v>0</x:v>
      </x:c>
      <x:c r="Q129" s="21" t="str">
        <x:v>OPEN</x:v>
      </x:c>
      <x:c r="R129" s="23" t="str">
        <x:v>HOLD</x:v>
      </x:c>
    </x:row>
    <x:row r="130">
      <x:c r="B130" s="21" t="str">
        <x:v>AR-00124</x:v>
      </x:c>
      <x:c r="C130" s="21" t="str">
        <x:v>F04-I1</x:v>
      </x:c>
      <x:c r="D130" s="21" t="str">
        <x:v>F04</x:v>
      </x:c>
      <x:c r="E130" s="21" t="n">
        <x:v>4</x:v>
      </x:c>
      <x:c r="F130" s="21" t="str">
        <x:v>Engineering article acceptance</x:v>
      </x:c>
      <x:c r="G130" s="21" t="n">
        <x:v>18</x:v>
      </x:c>
      <x:c r="H130" s="21" t="str">
        <x:v>Independent Evidence and Data Authority</x:v>
      </x:c>
      <x:c r="I130" s="44" t="n">
        <x:f>Lifecycle!G10</x:f>
        <x:v>0.05929244350747744</x:v>
      </x:c>
      <x:c r="J130" s="44" t="n">
        <x:v>0.0625</x:v>
      </x:c>
      <x:c r="K130" s="44" t="n">
        <x:f>I130*J130</x:f>
        <x:v>0.00370577771921734</x:v>
      </x:c>
      <x:c r="L130" s="46" t="n">
        <x:v>0</x:v>
      </x:c>
      <x:c r="M130" s="46" t="n">
        <x:v>0</x:v>
      </x:c>
      <x:c r="N130" s="21" t="n">
        <x:f>IF(AND(L129=1,M129=1,P129&gt;0),1,0)</x:f>
        <x:v>0</x:v>
      </x:c>
      <x:c r="O130" s="21" t="n">
        <x:f>MIN('Root Data'!I43:I45)</x:f>
        <x:v>0</x:v>
      </x:c>
      <x:c r="P130" s="44" t="n">
        <x:f>IF(AND(L130=1,M130=1,N130=1,O130&gt;=G130),K130,0)</x:f>
        <x:v>0</x:v>
      </x:c>
      <x:c r="Q130" s="21" t="str">
        <x:v>OPEN</x:v>
      </x:c>
      <x:c r="R130" s="23" t="str">
        <x:v>HOLD</x:v>
      </x:c>
    </x:row>
    <x:row r="131">
      <x:c r="B131" s="21" t="str">
        <x:v>AR-00125</x:v>
      </x:c>
      <x:c r="C131" s="21" t="str">
        <x:v>F04-I1</x:v>
      </x:c>
      <x:c r="D131" s="21" t="str">
        <x:v>F04</x:v>
      </x:c>
      <x:c r="E131" s="21" t="n">
        <x:v>5</x:v>
      </x:c>
      <x:c r="F131" s="21" t="str">
        <x:v>Qualification and destructive evidence</x:v>
      </x:c>
      <x:c r="G131" s="21" t="n">
        <x:v>21</x:v>
      </x:c>
      <x:c r="H131" s="21" t="str">
        <x:v>Independent Evidence and Data Authority</x:v>
      </x:c>
      <x:c r="I131" s="44" t="n">
        <x:f>Lifecycle!G11</x:f>
        <x:v>0.1515251334079979</x:v>
      </x:c>
      <x:c r="J131" s="44" t="n">
        <x:v>0.0625</x:v>
      </x:c>
      <x:c r="K131" s="44" t="n">
        <x:f>I131*J131</x:f>
        <x:v>0.009470320837999868</x:v>
      </x:c>
      <x:c r="L131" s="46" t="n">
        <x:v>0</x:v>
      </x:c>
      <x:c r="M131" s="46" t="n">
        <x:v>0</x:v>
      </x:c>
      <x:c r="N131" s="21" t="n">
        <x:f>IF(AND(L130=1,M130=1,P130&gt;0),1,0)</x:f>
        <x:v>0</x:v>
      </x:c>
      <x:c r="O131" s="21" t="n">
        <x:f>MIN('Root Data'!I43:I45)</x:f>
        <x:v>0</x:v>
      </x:c>
      <x:c r="P131" s="44" t="n">
        <x:f>IF(AND(L131=1,M131=1,N131=1,O131&gt;=G131),K131,0)</x:f>
        <x:v>0</x:v>
      </x:c>
      <x:c r="Q131" s="21" t="str">
        <x:v>OPEN</x:v>
      </x:c>
      <x:c r="R131" s="23" t="str">
        <x:v>HOLD</x:v>
      </x:c>
    </x:row>
    <x:row r="132">
      <x:c r="B132" s="21" t="str">
        <x:v>AR-00126</x:v>
      </x:c>
      <x:c r="C132" s="21" t="str">
        <x:v>F04-I1</x:v>
      </x:c>
      <x:c r="D132" s="21" t="str">
        <x:v>F04</x:v>
      </x:c>
      <x:c r="E132" s="21" t="n">
        <x:v>6</x:v>
      </x:c>
      <x:c r="F132" s="21" t="str">
        <x:v>Representative mission result</x:v>
      </x:c>
      <x:c r="G132" s="21" t="n">
        <x:v>23</x:v>
      </x:c>
      <x:c r="H132" s="21" t="str">
        <x:v>Receiving Service Authority</x:v>
      </x:c>
      <x:c r="I132" s="44" t="n">
        <x:f>Lifecycle!G12</x:f>
        <x:v>0.250345872587127</x:v>
      </x:c>
      <x:c r="J132" s="44" t="n">
        <x:v>0.0625</x:v>
      </x:c>
      <x:c r="K132" s="44" t="n">
        <x:f>I132*J132</x:f>
        <x:v>0.015646617036695436</x:v>
      </x:c>
      <x:c r="L132" s="46" t="n">
        <x:v>0</x:v>
      </x:c>
      <x:c r="M132" s="46" t="n">
        <x:v>0</x:v>
      </x:c>
      <x:c r="N132" s="21" t="n">
        <x:f>IF(AND(L131=1,M131=1,P131&gt;0),1,0)</x:f>
        <x:v>0</x:v>
      </x:c>
      <x:c r="O132" s="21" t="n">
        <x:f>MIN('Root Data'!I43:I45)</x:f>
        <x:v>0</x:v>
      </x:c>
      <x:c r="P132" s="44" t="n">
        <x:f>IF(AND(L132=1,M132=1,N132=1,O132&gt;=G132),K132,0)</x:f>
        <x:v>0</x:v>
      </x:c>
      <x:c r="Q132" s="21" t="str">
        <x:v>OPEN</x:v>
      </x:c>
      <x:c r="R132" s="23" t="str">
        <x:v>HOLD</x:v>
      </x:c>
    </x:row>
    <x:row r="133">
      <x:c r="B133" s="21" t="str">
        <x:v>AR-00127</x:v>
      </x:c>
      <x:c r="C133" s="21" t="str">
        <x:v>F04-I1</x:v>
      </x:c>
      <x:c r="D133" s="21" t="str">
        <x:v>F04</x:v>
      </x:c>
      <x:c r="E133" s="21" t="n">
        <x:v>7</x:v>
      </x:c>
      <x:c r="F133" s="21" t="str">
        <x:v>Independent reproduction</x:v>
      </x:c>
      <x:c r="G133" s="21" t="n">
        <x:v>28</x:v>
      </x:c>
      <x:c r="H133" s="21" t="str">
        <x:v>Independent Evidence and Data Authority</x:v>
      </x:c>
      <x:c r="I133" s="44" t="n">
        <x:f>Lifecycle!G13</x:f>
        <x:v>0.21740562619408393</x:v>
      </x:c>
      <x:c r="J133" s="44" t="n">
        <x:v>0.0625</x:v>
      </x:c>
      <x:c r="K133" s="44" t="n">
        <x:f>I133*J133</x:f>
        <x:v>0.013587851637130246</x:v>
      </x:c>
      <x:c r="L133" s="46" t="n">
        <x:v>0</x:v>
      </x:c>
      <x:c r="M133" s="46" t="n">
        <x:v>0</x:v>
      </x:c>
      <x:c r="N133" s="21" t="n">
        <x:f>IF(AND(L132=1,M132=1,P132&gt;0),1,0)</x:f>
        <x:v>0</x:v>
      </x:c>
      <x:c r="O133" s="21" t="n">
        <x:f>MIN('Root Data'!I43:I45)</x:f>
        <x:v>0</x:v>
      </x:c>
      <x:c r="P133" s="44" t="n">
        <x:f>IF(AND(L133=1,M133=1,N133=1,O133&gt;=G133),K133,0)</x:f>
        <x:v>0</x:v>
      </x:c>
      <x:c r="Q133" s="21" t="str">
        <x:v>OPEN</x:v>
      </x:c>
      <x:c r="R133" s="23" t="str">
        <x:v>HOLD</x:v>
      </x:c>
    </x:row>
    <x:row r="134">
      <x:c r="B134" s="21" t="str">
        <x:v>AR-00128</x:v>
      </x:c>
      <x:c r="C134" s="21" t="str">
        <x:v>F04-I1</x:v>
      </x:c>
      <x:c r="D134" s="21" t="str">
        <x:v>F04</x:v>
      </x:c>
      <x:c r="E134" s="21" t="n">
        <x:v>8</x:v>
      </x:c>
      <x:c r="F134" s="21" t="str">
        <x:v>Pilot-process qualification</x:v>
      </x:c>
      <x:c r="G134" s="21" t="n">
        <x:v>28</x:v>
      </x:c>
      <x:c r="H134" s="21" t="str">
        <x:v>AIMC Industrial Mobilization Authority</x:v>
      </x:c>
      <x:c r="I134" s="44" t="n">
        <x:f>Lifecycle!G14</x:f>
        <x:v>0.03952829567165163</x:v>
      </x:c>
      <x:c r="J134" s="44" t="n">
        <x:v>0.0625</x:v>
      </x:c>
      <x:c r="K134" s="44" t="n">
        <x:f>I134*J134</x:f>
        <x:v>0.0024705184794782268</x:v>
      </x:c>
      <x:c r="L134" s="46" t="n">
        <x:v>0</x:v>
      </x:c>
      <x:c r="M134" s="46" t="n">
        <x:v>0</x:v>
      </x:c>
      <x:c r="N134" s="21" t="n">
        <x:f>IF(AND(L133=1,M133=1,P133&gt;0),1,0)</x:f>
        <x:v>0</x:v>
      </x:c>
      <x:c r="O134" s="21" t="n">
        <x:f>MIN('Root Data'!I43:I45)</x:f>
        <x:v>0</x:v>
      </x:c>
      <x:c r="P134" s="44" t="n">
        <x:f>IF(AND(L134=1,M134=1,N134=1,O134&gt;=G134),K134,0)</x:f>
        <x:v>0</x:v>
      </x:c>
      <x:c r="Q134" s="21" t="str">
        <x:v>OPEN</x:v>
      </x:c>
      <x:c r="R134" s="23" t="str">
        <x:v>HOLD</x:v>
      </x:c>
    </x:row>
    <x:row r="135">
      <x:c r="B135" s="21" t="str">
        <x:v>AR-00129</x:v>
      </x:c>
      <x:c r="C135" s="21" t="str">
        <x:v>F04-I1</x:v>
      </x:c>
      <x:c r="D135" s="21" t="str">
        <x:v>F04</x:v>
      </x:c>
      <x:c r="E135" s="21" t="n">
        <x:v>9</x:v>
      </x:c>
      <x:c r="F135" s="21" t="str">
        <x:v>Production release package</x:v>
      </x:c>
      <x:c r="G135" s="21" t="n">
        <x:v>28</x:v>
      </x:c>
      <x:c r="H135" s="21" t="str">
        <x:v>Production Release Board</x:v>
      </x:c>
      <x:c r="I135" s="44" t="n">
        <x:f>Lifecycle!G15</x:f>
        <x:v>0.01647012319652151</x:v>
      </x:c>
      <x:c r="J135" s="44" t="n">
        <x:v>0.0625</x:v>
      </x:c>
      <x:c r="K135" s="44" t="n">
        <x:f>I135*J135</x:f>
        <x:v>0.0010293826997825944</x:v>
      </x:c>
      <x:c r="L135" s="46" t="n">
        <x:v>0</x:v>
      </x:c>
      <x:c r="M135" s="46" t="n">
        <x:v>0</x:v>
      </x:c>
      <x:c r="N135" s="21" t="n">
        <x:f>IF(AND(L134=1,M134=1,P134&gt;0),1,0)</x:f>
        <x:v>0</x:v>
      </x:c>
      <x:c r="O135" s="21" t="n">
        <x:f>MIN('Root Data'!I43:I45)</x:f>
        <x:v>0</x:v>
      </x:c>
      <x:c r="P135" s="44" t="n">
        <x:f>IF(AND(L135=1,M135=1,N135=1,O135&gt;=G135),K135,0)</x:f>
        <x:v>0</x:v>
      </x:c>
      <x:c r="Q135" s="21" t="str">
        <x:v>OPEN</x:v>
      </x:c>
      <x:c r="R135" s="23" t="str">
        <x:v>HOLD</x:v>
      </x:c>
    </x:row>
    <x:row r="136">
      <x:c r="B136" s="21" t="str">
        <x:v>AR-00130</x:v>
      </x:c>
      <x:c r="C136" s="21" t="str">
        <x:v>F04-I1</x:v>
      </x:c>
      <x:c r="D136" s="21" t="str">
        <x:v>F04</x:v>
      </x:c>
      <x:c r="E136" s="21" t="n">
        <x:v>10</x:v>
      </x:c>
      <x:c r="F136" s="21" t="str">
        <x:v>Mobilization activation</x:v>
      </x:c>
      <x:c r="G136" s="21" t="n">
        <x:v>28</x:v>
      </x:c>
      <x:c r="H136" s="21" t="str">
        <x:v>Production Release Board</x:v>
      </x:c>
      <x:c r="I136" s="44" t="n">
        <x:f>Lifecycle!G16</x:f>
        <x:v>0.028262731405230914</x:v>
      </x:c>
      <x:c r="J136" s="44" t="n">
        <x:v>0.0625</x:v>
      </x:c>
      <x:c r="K136" s="44" t="n">
        <x:f>I136*J136</x:f>
        <x:v>0.0017664207128269321</x:v>
      </x:c>
      <x:c r="L136" s="46" t="n">
        <x:v>0</x:v>
      </x:c>
      <x:c r="M136" s="46" t="n">
        <x:v>0</x:v>
      </x:c>
      <x:c r="N136" s="21" t="n">
        <x:f>IF(AND(L135=1,M135=1,P135&gt;0),1,0)</x:f>
        <x:v>0</x:v>
      </x:c>
      <x:c r="O136" s="21" t="n">
        <x:f>MIN('Root Data'!I43:I45)</x:f>
        <x:v>0</x:v>
      </x:c>
      <x:c r="P136" s="44" t="n">
        <x:f>IF(AND(L136=1,M136=1,N136=1,O136&gt;=G136),K136,0)</x:f>
        <x:v>0</x:v>
      </x:c>
      <x:c r="Q136" s="21" t="str">
        <x:v>OPEN</x:v>
      </x:c>
      <x:c r="R136" s="23" t="str">
        <x:v>HOLD</x:v>
      </x:c>
    </x:row>
    <x:row r="137">
      <x:c r="B137" s="21" t="str">
        <x:v>AR-00131</x:v>
      </x:c>
      <x:c r="C137" s="21" t="str">
        <x:v>F04-I2</x:v>
      </x:c>
      <x:c r="D137" s="21" t="str">
        <x:v>F04</x:v>
      </x:c>
      <x:c r="E137" s="21" t="n">
        <x:v>1</x:v>
      </x:c>
      <x:c r="F137" s="21" t="str">
        <x:v>Civil effect charter</x:v>
      </x:c>
      <x:c r="G137" s="21" t="n">
        <x:v>0</x:v>
      </x:c>
      <x:c r="H137" s="21" t="str">
        <x:v>Civil Guarantee Authority</x:v>
      </x:c>
      <x:c r="I137" s="44" t="n">
        <x:f>Lifecycle!G7</x:f>
        <x:v>0.04941036958956453</x:v>
      </x:c>
      <x:c r="J137" s="44" t="n">
        <x:v>0.0625</x:v>
      </x:c>
      <x:c r="K137" s="44" t="n">
        <x:f>I137*J137</x:f>
        <x:v>0.0030881480993477832</x:v>
      </x:c>
      <x:c r="L137" s="46" t="n">
        <x:v>0</x:v>
      </x:c>
      <x:c r="M137" s="46" t="n">
        <x:v>0</x:v>
      </x:c>
      <x:c r="N137" s="21" t="n">
        <x:f>1</x:f>
        <x:v>1</x:v>
      </x:c>
      <x:c r="O137" s="21" t="n">
        <x:f>MIN('Root Data'!I46:I48)</x:f>
        <x:v>0</x:v>
      </x:c>
      <x:c r="P137" s="44" t="n">
        <x:f>IF(AND(L137=1,M137=1,N137=1,O137&gt;=G137),K137,0)</x:f>
        <x:v>0</x:v>
      </x:c>
      <x:c r="Q137" s="21" t="str">
        <x:v>OPEN</x:v>
      </x:c>
      <x:c r="R137" s="23" t="str">
        <x:v>HOLD</x:v>
      </x:c>
    </x:row>
    <x:row r="138">
      <x:c r="B138" s="21" t="str">
        <x:v>AR-00132</x:v>
      </x:c>
      <x:c r="C138" s="21" t="str">
        <x:v>F04-I2</x:v>
      </x:c>
      <x:c r="D138" s="21" t="str">
        <x:v>F04</x:v>
      </x:c>
      <x:c r="E138" s="21" t="n">
        <x:v>2</x:v>
      </x:c>
      <x:c r="F138" s="21" t="str">
        <x:v>Requirement and root-independence package</x:v>
      </x:c>
      <x:c r="G138" s="21" t="n">
        <x:v>8</x:v>
      </x:c>
      <x:c r="H138" s="21" t="str">
        <x:v>Resilience Staff</x:v>
      </x:c>
      <x:c r="I138" s="44" t="n">
        <x:f>Lifecycle!G8</x:f>
        <x:v>0.10211476381843337</x:v>
      </x:c>
      <x:c r="J138" s="44" t="n">
        <x:v>0.0625</x:v>
      </x:c>
      <x:c r="K138" s="44" t="n">
        <x:f>I138*J138</x:f>
        <x:v>0.006382172738652086</x:v>
      </x:c>
      <x:c r="L138" s="46" t="n">
        <x:v>0</x:v>
      </x:c>
      <x:c r="M138" s="46" t="n">
        <x:v>0</x:v>
      </x:c>
      <x:c r="N138" s="21" t="n">
        <x:f>IF(AND(L137=1,M137=1,P137&gt;0),1,0)</x:f>
        <x:v>0</x:v>
      </x:c>
      <x:c r="O138" s="21" t="n">
        <x:f>MIN('Root Data'!I46:I48)</x:f>
        <x:v>0</x:v>
      </x:c>
      <x:c r="P138" s="44" t="n">
        <x:f>IF(AND(L138=1,M138=1,N138=1,O138&gt;=G138),K138,0)</x:f>
        <x:v>0</x:v>
      </x:c>
      <x:c r="Q138" s="21" t="str">
        <x:v>OPEN</x:v>
      </x:c>
      <x:c r="R138" s="23" t="str">
        <x:v>HOLD</x:v>
      </x:c>
    </x:row>
    <x:row r="139">
      <x:c r="B139" s="21" t="str">
        <x:v>AR-00133</x:v>
      </x:c>
      <x:c r="C139" s="21" t="str">
        <x:v>F04-I2</x:v>
      </x:c>
      <x:c r="D139" s="21" t="str">
        <x:v>F04</x:v>
      </x:c>
      <x:c r="E139" s="21" t="n">
        <x:v>3</x:v>
      </x:c>
      <x:c r="F139" s="21" t="str">
        <x:v>Architecture and burden closure</x:v>
      </x:c>
      <x:c r="G139" s="21" t="n">
        <x:v>14</x:v>
      </x:c>
      <x:c r="H139" s="21" t="str">
        <x:v>Independent Evidence and Data Authority</x:v>
      </x:c>
      <x:c r="I139" s="44" t="n">
        <x:f>Lifecycle!G9</x:f>
        <x:v>0.08564464062191186</x:v>
      </x:c>
      <x:c r="J139" s="44" t="n">
        <x:v>0.0625</x:v>
      </x:c>
      <x:c r="K139" s="44" t="n">
        <x:f>I139*J139</x:f>
        <x:v>0.0053527900388694915</x:v>
      </x:c>
      <x:c r="L139" s="46" t="n">
        <x:v>0</x:v>
      </x:c>
      <x:c r="M139" s="46" t="n">
        <x:v>0</x:v>
      </x:c>
      <x:c r="N139" s="21" t="n">
        <x:f>IF(AND(L138=1,M138=1,P138&gt;0),1,0)</x:f>
        <x:v>0</x:v>
      </x:c>
      <x:c r="O139" s="21" t="n">
        <x:f>MIN('Root Data'!I46:I48)</x:f>
        <x:v>0</x:v>
      </x:c>
      <x:c r="P139" s="44" t="n">
        <x:f>IF(AND(L139=1,M139=1,N139=1,O139&gt;=G139),K139,0)</x:f>
        <x:v>0</x:v>
      </x:c>
      <x:c r="Q139" s="21" t="str">
        <x:v>OPEN</x:v>
      </x:c>
      <x:c r="R139" s="23" t="str">
        <x:v>HOLD</x:v>
      </x:c>
    </x:row>
    <x:row r="140">
      <x:c r="B140" s="21" t="str">
        <x:v>AR-00134</x:v>
      </x:c>
      <x:c r="C140" s="21" t="str">
        <x:v>F04-I2</x:v>
      </x:c>
      <x:c r="D140" s="21" t="str">
        <x:v>F04</x:v>
      </x:c>
      <x:c r="E140" s="21" t="n">
        <x:v>4</x:v>
      </x:c>
      <x:c r="F140" s="21" t="str">
        <x:v>Engineering article acceptance</x:v>
      </x:c>
      <x:c r="G140" s="21" t="n">
        <x:v>18</x:v>
      </x:c>
      <x:c r="H140" s="21" t="str">
        <x:v>Independent Evidence and Data Authority</x:v>
      </x:c>
      <x:c r="I140" s="44" t="n">
        <x:f>Lifecycle!G10</x:f>
        <x:v>0.05929244350747744</x:v>
      </x:c>
      <x:c r="J140" s="44" t="n">
        <x:v>0.0625</x:v>
      </x:c>
      <x:c r="K140" s="44" t="n">
        <x:f>I140*J140</x:f>
        <x:v>0.00370577771921734</x:v>
      </x:c>
      <x:c r="L140" s="46" t="n">
        <x:v>0</x:v>
      </x:c>
      <x:c r="M140" s="46" t="n">
        <x:v>0</x:v>
      </x:c>
      <x:c r="N140" s="21" t="n">
        <x:f>IF(AND(L139=1,M139=1,P139&gt;0),1,0)</x:f>
        <x:v>0</x:v>
      </x:c>
      <x:c r="O140" s="21" t="n">
        <x:f>MIN('Root Data'!I46:I48)</x:f>
        <x:v>0</x:v>
      </x:c>
      <x:c r="P140" s="44" t="n">
        <x:f>IF(AND(L140=1,M140=1,N140=1,O140&gt;=G140),K140,0)</x:f>
        <x:v>0</x:v>
      </x:c>
      <x:c r="Q140" s="21" t="str">
        <x:v>OPEN</x:v>
      </x:c>
      <x:c r="R140" s="23" t="str">
        <x:v>HOLD</x:v>
      </x:c>
    </x:row>
    <x:row r="141">
      <x:c r="B141" s="21" t="str">
        <x:v>AR-00135</x:v>
      </x:c>
      <x:c r="C141" s="21" t="str">
        <x:v>F04-I2</x:v>
      </x:c>
      <x:c r="D141" s="21" t="str">
        <x:v>F04</x:v>
      </x:c>
      <x:c r="E141" s="21" t="n">
        <x:v>5</x:v>
      </x:c>
      <x:c r="F141" s="21" t="str">
        <x:v>Qualification and destructive evidence</x:v>
      </x:c>
      <x:c r="G141" s="21" t="n">
        <x:v>21</x:v>
      </x:c>
      <x:c r="H141" s="21" t="str">
        <x:v>Independent Evidence and Data Authority</x:v>
      </x:c>
      <x:c r="I141" s="44" t="n">
        <x:f>Lifecycle!G11</x:f>
        <x:v>0.1515251334079979</x:v>
      </x:c>
      <x:c r="J141" s="44" t="n">
        <x:v>0.0625</x:v>
      </x:c>
      <x:c r="K141" s="44" t="n">
        <x:f>I141*J141</x:f>
        <x:v>0.009470320837999868</x:v>
      </x:c>
      <x:c r="L141" s="46" t="n">
        <x:v>0</x:v>
      </x:c>
      <x:c r="M141" s="46" t="n">
        <x:v>0</x:v>
      </x:c>
      <x:c r="N141" s="21" t="n">
        <x:f>IF(AND(L140=1,M140=1,P140&gt;0),1,0)</x:f>
        <x:v>0</x:v>
      </x:c>
      <x:c r="O141" s="21" t="n">
        <x:f>MIN('Root Data'!I46:I48)</x:f>
        <x:v>0</x:v>
      </x:c>
      <x:c r="P141" s="44" t="n">
        <x:f>IF(AND(L141=1,M141=1,N141=1,O141&gt;=G141),K141,0)</x:f>
        <x:v>0</x:v>
      </x:c>
      <x:c r="Q141" s="21" t="str">
        <x:v>OPEN</x:v>
      </x:c>
      <x:c r="R141" s="23" t="str">
        <x:v>HOLD</x:v>
      </x:c>
    </x:row>
    <x:row r="142">
      <x:c r="B142" s="21" t="str">
        <x:v>AR-00136</x:v>
      </x:c>
      <x:c r="C142" s="21" t="str">
        <x:v>F04-I2</x:v>
      </x:c>
      <x:c r="D142" s="21" t="str">
        <x:v>F04</x:v>
      </x:c>
      <x:c r="E142" s="21" t="n">
        <x:v>6</x:v>
      </x:c>
      <x:c r="F142" s="21" t="str">
        <x:v>Representative mission result</x:v>
      </x:c>
      <x:c r="G142" s="21" t="n">
        <x:v>23</x:v>
      </x:c>
      <x:c r="H142" s="21" t="str">
        <x:v>Receiving Service Authority</x:v>
      </x:c>
      <x:c r="I142" s="44" t="n">
        <x:f>Lifecycle!G12</x:f>
        <x:v>0.250345872587127</x:v>
      </x:c>
      <x:c r="J142" s="44" t="n">
        <x:v>0.0625</x:v>
      </x:c>
      <x:c r="K142" s="44" t="n">
        <x:f>I142*J142</x:f>
        <x:v>0.015646617036695436</x:v>
      </x:c>
      <x:c r="L142" s="46" t="n">
        <x:v>0</x:v>
      </x:c>
      <x:c r="M142" s="46" t="n">
        <x:v>0</x:v>
      </x:c>
      <x:c r="N142" s="21" t="n">
        <x:f>IF(AND(L141=1,M141=1,P141&gt;0),1,0)</x:f>
        <x:v>0</x:v>
      </x:c>
      <x:c r="O142" s="21" t="n">
        <x:f>MIN('Root Data'!I46:I48)</x:f>
        <x:v>0</x:v>
      </x:c>
      <x:c r="P142" s="44" t="n">
        <x:f>IF(AND(L142=1,M142=1,N142=1,O142&gt;=G142),K142,0)</x:f>
        <x:v>0</x:v>
      </x:c>
      <x:c r="Q142" s="21" t="str">
        <x:v>OPEN</x:v>
      </x:c>
      <x:c r="R142" s="23" t="str">
        <x:v>HOLD</x:v>
      </x:c>
    </x:row>
    <x:row r="143">
      <x:c r="B143" s="21" t="str">
        <x:v>AR-00137</x:v>
      </x:c>
      <x:c r="C143" s="21" t="str">
        <x:v>F04-I2</x:v>
      </x:c>
      <x:c r="D143" s="21" t="str">
        <x:v>F04</x:v>
      </x:c>
      <x:c r="E143" s="21" t="n">
        <x:v>7</x:v>
      </x:c>
      <x:c r="F143" s="21" t="str">
        <x:v>Independent reproduction</x:v>
      </x:c>
      <x:c r="G143" s="21" t="n">
        <x:v>28</x:v>
      </x:c>
      <x:c r="H143" s="21" t="str">
        <x:v>Independent Evidence and Data Authority</x:v>
      </x:c>
      <x:c r="I143" s="44" t="n">
        <x:f>Lifecycle!G13</x:f>
        <x:v>0.21740562619408393</x:v>
      </x:c>
      <x:c r="J143" s="44" t="n">
        <x:v>0.0625</x:v>
      </x:c>
      <x:c r="K143" s="44" t="n">
        <x:f>I143*J143</x:f>
        <x:v>0.013587851637130246</x:v>
      </x:c>
      <x:c r="L143" s="46" t="n">
        <x:v>0</x:v>
      </x:c>
      <x:c r="M143" s="46" t="n">
        <x:v>0</x:v>
      </x:c>
      <x:c r="N143" s="21" t="n">
        <x:f>IF(AND(L142=1,M142=1,P142&gt;0),1,0)</x:f>
        <x:v>0</x:v>
      </x:c>
      <x:c r="O143" s="21" t="n">
        <x:f>MIN('Root Data'!I46:I48)</x:f>
        <x:v>0</x:v>
      </x:c>
      <x:c r="P143" s="44" t="n">
        <x:f>IF(AND(L143=1,M143=1,N143=1,O143&gt;=G143),K143,0)</x:f>
        <x:v>0</x:v>
      </x:c>
      <x:c r="Q143" s="21" t="str">
        <x:v>OPEN</x:v>
      </x:c>
      <x:c r="R143" s="23" t="str">
        <x:v>HOLD</x:v>
      </x:c>
    </x:row>
    <x:row r="144">
      <x:c r="B144" s="21" t="str">
        <x:v>AR-00138</x:v>
      </x:c>
      <x:c r="C144" s="21" t="str">
        <x:v>F04-I2</x:v>
      </x:c>
      <x:c r="D144" s="21" t="str">
        <x:v>F04</x:v>
      </x:c>
      <x:c r="E144" s="21" t="n">
        <x:v>8</x:v>
      </x:c>
      <x:c r="F144" s="21" t="str">
        <x:v>Pilot-process qualification</x:v>
      </x:c>
      <x:c r="G144" s="21" t="n">
        <x:v>28</x:v>
      </x:c>
      <x:c r="H144" s="21" t="str">
        <x:v>AIMC Industrial Mobilization Authority</x:v>
      </x:c>
      <x:c r="I144" s="44" t="n">
        <x:f>Lifecycle!G14</x:f>
        <x:v>0.03952829567165163</x:v>
      </x:c>
      <x:c r="J144" s="44" t="n">
        <x:v>0.0625</x:v>
      </x:c>
      <x:c r="K144" s="44" t="n">
        <x:f>I144*J144</x:f>
        <x:v>0.0024705184794782268</x:v>
      </x:c>
      <x:c r="L144" s="46" t="n">
        <x:v>0</x:v>
      </x:c>
      <x:c r="M144" s="46" t="n">
        <x:v>0</x:v>
      </x:c>
      <x:c r="N144" s="21" t="n">
        <x:f>IF(AND(L143=1,M143=1,P143&gt;0),1,0)</x:f>
        <x:v>0</x:v>
      </x:c>
      <x:c r="O144" s="21" t="n">
        <x:f>MIN('Root Data'!I46:I48)</x:f>
        <x:v>0</x:v>
      </x:c>
      <x:c r="P144" s="44" t="n">
        <x:f>IF(AND(L144=1,M144=1,N144=1,O144&gt;=G144),K144,0)</x:f>
        <x:v>0</x:v>
      </x:c>
      <x:c r="Q144" s="21" t="str">
        <x:v>OPEN</x:v>
      </x:c>
      <x:c r="R144" s="23" t="str">
        <x:v>HOLD</x:v>
      </x:c>
    </x:row>
    <x:row r="145">
      <x:c r="B145" s="21" t="str">
        <x:v>AR-00139</x:v>
      </x:c>
      <x:c r="C145" s="21" t="str">
        <x:v>F04-I2</x:v>
      </x:c>
      <x:c r="D145" s="21" t="str">
        <x:v>F04</x:v>
      </x:c>
      <x:c r="E145" s="21" t="n">
        <x:v>9</x:v>
      </x:c>
      <x:c r="F145" s="21" t="str">
        <x:v>Production release package</x:v>
      </x:c>
      <x:c r="G145" s="21" t="n">
        <x:v>28</x:v>
      </x:c>
      <x:c r="H145" s="21" t="str">
        <x:v>Production Release Board</x:v>
      </x:c>
      <x:c r="I145" s="44" t="n">
        <x:f>Lifecycle!G15</x:f>
        <x:v>0.01647012319652151</x:v>
      </x:c>
      <x:c r="J145" s="44" t="n">
        <x:v>0.0625</x:v>
      </x:c>
      <x:c r="K145" s="44" t="n">
        <x:f>I145*J145</x:f>
        <x:v>0.0010293826997825944</x:v>
      </x:c>
      <x:c r="L145" s="46" t="n">
        <x:v>0</x:v>
      </x:c>
      <x:c r="M145" s="46" t="n">
        <x:v>0</x:v>
      </x:c>
      <x:c r="N145" s="21" t="n">
        <x:f>IF(AND(L144=1,M144=1,P144&gt;0),1,0)</x:f>
        <x:v>0</x:v>
      </x:c>
      <x:c r="O145" s="21" t="n">
        <x:f>MIN('Root Data'!I46:I48)</x:f>
        <x:v>0</x:v>
      </x:c>
      <x:c r="P145" s="44" t="n">
        <x:f>IF(AND(L145=1,M145=1,N145=1,O145&gt;=G145),K145,0)</x:f>
        <x:v>0</x:v>
      </x:c>
      <x:c r="Q145" s="21" t="str">
        <x:v>OPEN</x:v>
      </x:c>
      <x:c r="R145" s="23" t="str">
        <x:v>HOLD</x:v>
      </x:c>
    </x:row>
    <x:row r="146">
      <x:c r="B146" s="21" t="str">
        <x:v>AR-00140</x:v>
      </x:c>
      <x:c r="C146" s="21" t="str">
        <x:v>F04-I2</x:v>
      </x:c>
      <x:c r="D146" s="21" t="str">
        <x:v>F04</x:v>
      </x:c>
      <x:c r="E146" s="21" t="n">
        <x:v>10</x:v>
      </x:c>
      <x:c r="F146" s="21" t="str">
        <x:v>Mobilization activation</x:v>
      </x:c>
      <x:c r="G146" s="21" t="n">
        <x:v>28</x:v>
      </x:c>
      <x:c r="H146" s="21" t="str">
        <x:v>Production Release Board</x:v>
      </x:c>
      <x:c r="I146" s="44" t="n">
        <x:f>Lifecycle!G16</x:f>
        <x:v>0.028262731405230914</x:v>
      </x:c>
      <x:c r="J146" s="44" t="n">
        <x:v>0.0625</x:v>
      </x:c>
      <x:c r="K146" s="44" t="n">
        <x:f>I146*J146</x:f>
        <x:v>0.0017664207128269321</x:v>
      </x:c>
      <x:c r="L146" s="46" t="n">
        <x:v>0</x:v>
      </x:c>
      <x:c r="M146" s="46" t="n">
        <x:v>0</x:v>
      </x:c>
      <x:c r="N146" s="21" t="n">
        <x:f>IF(AND(L145=1,M145=1,P145&gt;0),1,0)</x:f>
        <x:v>0</x:v>
      </x:c>
      <x:c r="O146" s="21" t="n">
        <x:f>MIN('Root Data'!I46:I48)</x:f>
        <x:v>0</x:v>
      </x:c>
      <x:c r="P146" s="44" t="n">
        <x:f>IF(AND(L146=1,M146=1,N146=1,O146&gt;=G146),K146,0)</x:f>
        <x:v>0</x:v>
      </x:c>
      <x:c r="Q146" s="21" t="str">
        <x:v>OPEN</x:v>
      </x:c>
      <x:c r="R146" s="23" t="str">
        <x:v>HOLD</x:v>
      </x:c>
    </x:row>
    <x:row r="147">
      <x:c r="B147" s="21" t="str">
        <x:v>AR-00141</x:v>
      </x:c>
      <x:c r="C147" s="21" t="str">
        <x:v>F04-I3</x:v>
      </x:c>
      <x:c r="D147" s="21" t="str">
        <x:v>F04</x:v>
      </x:c>
      <x:c r="E147" s="21" t="n">
        <x:v>1</x:v>
      </x:c>
      <x:c r="F147" s="21" t="str">
        <x:v>Civil effect charter</x:v>
      </x:c>
      <x:c r="G147" s="21" t="n">
        <x:v>0</x:v>
      </x:c>
      <x:c r="H147" s="21" t="str">
        <x:v>Civil Guarantee Authority</x:v>
      </x:c>
      <x:c r="I147" s="44" t="n">
        <x:f>Lifecycle!G7</x:f>
        <x:v>0.04941036958956453</x:v>
      </x:c>
      <x:c r="J147" s="44" t="n">
        <x:v>0.0625</x:v>
      </x:c>
      <x:c r="K147" s="44" t="n">
        <x:f>I147*J147</x:f>
        <x:v>0.0030881480993477832</x:v>
      </x:c>
      <x:c r="L147" s="46" t="n">
        <x:v>0</x:v>
      </x:c>
      <x:c r="M147" s="46" t="n">
        <x:v>0</x:v>
      </x:c>
      <x:c r="N147" s="21" t="n">
        <x:f>1</x:f>
        <x:v>1</x:v>
      </x:c>
      <x:c r="O147" s="21" t="n">
        <x:f>MIN('Root Data'!I49:I51)</x:f>
        <x:v>0</x:v>
      </x:c>
      <x:c r="P147" s="44" t="n">
        <x:f>IF(AND(L147=1,M147=1,N147=1,O147&gt;=G147),K147,0)</x:f>
        <x:v>0</x:v>
      </x:c>
      <x:c r="Q147" s="21" t="str">
        <x:v>OPEN</x:v>
      </x:c>
      <x:c r="R147" s="23" t="str">
        <x:v>HOLD</x:v>
      </x:c>
    </x:row>
    <x:row r="148">
      <x:c r="B148" s="21" t="str">
        <x:v>AR-00142</x:v>
      </x:c>
      <x:c r="C148" s="21" t="str">
        <x:v>F04-I3</x:v>
      </x:c>
      <x:c r="D148" s="21" t="str">
        <x:v>F04</x:v>
      </x:c>
      <x:c r="E148" s="21" t="n">
        <x:v>2</x:v>
      </x:c>
      <x:c r="F148" s="21" t="str">
        <x:v>Requirement and root-independence package</x:v>
      </x:c>
      <x:c r="G148" s="21" t="n">
        <x:v>8</x:v>
      </x:c>
      <x:c r="H148" s="21" t="str">
        <x:v>Resilience Staff</x:v>
      </x:c>
      <x:c r="I148" s="44" t="n">
        <x:f>Lifecycle!G8</x:f>
        <x:v>0.10211476381843337</x:v>
      </x:c>
      <x:c r="J148" s="44" t="n">
        <x:v>0.0625</x:v>
      </x:c>
      <x:c r="K148" s="44" t="n">
        <x:f>I148*J148</x:f>
        <x:v>0.006382172738652086</x:v>
      </x:c>
      <x:c r="L148" s="46" t="n">
        <x:v>0</x:v>
      </x:c>
      <x:c r="M148" s="46" t="n">
        <x:v>0</x:v>
      </x:c>
      <x:c r="N148" s="21" t="n">
        <x:f>IF(AND(L147=1,M147=1,P147&gt;0),1,0)</x:f>
        <x:v>0</x:v>
      </x:c>
      <x:c r="O148" s="21" t="n">
        <x:f>MIN('Root Data'!I49:I51)</x:f>
        <x:v>0</x:v>
      </x:c>
      <x:c r="P148" s="44" t="n">
        <x:f>IF(AND(L148=1,M148=1,N148=1,O148&gt;=G148),K148,0)</x:f>
        <x:v>0</x:v>
      </x:c>
      <x:c r="Q148" s="21" t="str">
        <x:v>OPEN</x:v>
      </x:c>
      <x:c r="R148" s="23" t="str">
        <x:v>HOLD</x:v>
      </x:c>
    </x:row>
    <x:row r="149">
      <x:c r="B149" s="21" t="str">
        <x:v>AR-00143</x:v>
      </x:c>
      <x:c r="C149" s="21" t="str">
        <x:v>F04-I3</x:v>
      </x:c>
      <x:c r="D149" s="21" t="str">
        <x:v>F04</x:v>
      </x:c>
      <x:c r="E149" s="21" t="n">
        <x:v>3</x:v>
      </x:c>
      <x:c r="F149" s="21" t="str">
        <x:v>Architecture and burden closure</x:v>
      </x:c>
      <x:c r="G149" s="21" t="n">
        <x:v>14</x:v>
      </x:c>
      <x:c r="H149" s="21" t="str">
        <x:v>Independent Evidence and Data Authority</x:v>
      </x:c>
      <x:c r="I149" s="44" t="n">
        <x:f>Lifecycle!G9</x:f>
        <x:v>0.08564464062191186</x:v>
      </x:c>
      <x:c r="J149" s="44" t="n">
        <x:v>0.0625</x:v>
      </x:c>
      <x:c r="K149" s="44" t="n">
        <x:f>I149*J149</x:f>
        <x:v>0.0053527900388694915</x:v>
      </x:c>
      <x:c r="L149" s="46" t="n">
        <x:v>0</x:v>
      </x:c>
      <x:c r="M149" s="46" t="n">
        <x:v>0</x:v>
      </x:c>
      <x:c r="N149" s="21" t="n">
        <x:f>IF(AND(L148=1,M148=1,P148&gt;0),1,0)</x:f>
        <x:v>0</x:v>
      </x:c>
      <x:c r="O149" s="21" t="n">
        <x:f>MIN('Root Data'!I49:I51)</x:f>
        <x:v>0</x:v>
      </x:c>
      <x:c r="P149" s="44" t="n">
        <x:f>IF(AND(L149=1,M149=1,N149=1,O149&gt;=G149),K149,0)</x:f>
        <x:v>0</x:v>
      </x:c>
      <x:c r="Q149" s="21" t="str">
        <x:v>OPEN</x:v>
      </x:c>
      <x:c r="R149" s="23" t="str">
        <x:v>HOLD</x:v>
      </x:c>
    </x:row>
    <x:row r="150">
      <x:c r="B150" s="21" t="str">
        <x:v>AR-00144</x:v>
      </x:c>
      <x:c r="C150" s="21" t="str">
        <x:v>F04-I3</x:v>
      </x:c>
      <x:c r="D150" s="21" t="str">
        <x:v>F04</x:v>
      </x:c>
      <x:c r="E150" s="21" t="n">
        <x:v>4</x:v>
      </x:c>
      <x:c r="F150" s="21" t="str">
        <x:v>Engineering article acceptance</x:v>
      </x:c>
      <x:c r="G150" s="21" t="n">
        <x:v>18</x:v>
      </x:c>
      <x:c r="H150" s="21" t="str">
        <x:v>Independent Evidence and Data Authority</x:v>
      </x:c>
      <x:c r="I150" s="44" t="n">
        <x:f>Lifecycle!G10</x:f>
        <x:v>0.05929244350747744</x:v>
      </x:c>
      <x:c r="J150" s="44" t="n">
        <x:v>0.0625</x:v>
      </x:c>
      <x:c r="K150" s="44" t="n">
        <x:f>I150*J150</x:f>
        <x:v>0.00370577771921734</x:v>
      </x:c>
      <x:c r="L150" s="46" t="n">
        <x:v>0</x:v>
      </x:c>
      <x:c r="M150" s="46" t="n">
        <x:v>0</x:v>
      </x:c>
      <x:c r="N150" s="21" t="n">
        <x:f>IF(AND(L149=1,M149=1,P149&gt;0),1,0)</x:f>
        <x:v>0</x:v>
      </x:c>
      <x:c r="O150" s="21" t="n">
        <x:f>MIN('Root Data'!I49:I51)</x:f>
        <x:v>0</x:v>
      </x:c>
      <x:c r="P150" s="44" t="n">
        <x:f>IF(AND(L150=1,M150=1,N150=1,O150&gt;=G150),K150,0)</x:f>
        <x:v>0</x:v>
      </x:c>
      <x:c r="Q150" s="21" t="str">
        <x:v>OPEN</x:v>
      </x:c>
      <x:c r="R150" s="23" t="str">
        <x:v>HOLD</x:v>
      </x:c>
    </x:row>
    <x:row r="151">
      <x:c r="B151" s="21" t="str">
        <x:v>AR-00145</x:v>
      </x:c>
      <x:c r="C151" s="21" t="str">
        <x:v>F04-I3</x:v>
      </x:c>
      <x:c r="D151" s="21" t="str">
        <x:v>F04</x:v>
      </x:c>
      <x:c r="E151" s="21" t="n">
        <x:v>5</x:v>
      </x:c>
      <x:c r="F151" s="21" t="str">
        <x:v>Qualification and destructive evidence</x:v>
      </x:c>
      <x:c r="G151" s="21" t="n">
        <x:v>21</x:v>
      </x:c>
      <x:c r="H151" s="21" t="str">
        <x:v>Independent Evidence and Data Authority</x:v>
      </x:c>
      <x:c r="I151" s="44" t="n">
        <x:f>Lifecycle!G11</x:f>
        <x:v>0.1515251334079979</x:v>
      </x:c>
      <x:c r="J151" s="44" t="n">
        <x:v>0.0625</x:v>
      </x:c>
      <x:c r="K151" s="44" t="n">
        <x:f>I151*J151</x:f>
        <x:v>0.009470320837999868</x:v>
      </x:c>
      <x:c r="L151" s="46" t="n">
        <x:v>0</x:v>
      </x:c>
      <x:c r="M151" s="46" t="n">
        <x:v>0</x:v>
      </x:c>
      <x:c r="N151" s="21" t="n">
        <x:f>IF(AND(L150=1,M150=1,P150&gt;0),1,0)</x:f>
        <x:v>0</x:v>
      </x:c>
      <x:c r="O151" s="21" t="n">
        <x:f>MIN('Root Data'!I49:I51)</x:f>
        <x:v>0</x:v>
      </x:c>
      <x:c r="P151" s="44" t="n">
        <x:f>IF(AND(L151=1,M151=1,N151=1,O151&gt;=G151),K151,0)</x:f>
        <x:v>0</x:v>
      </x:c>
      <x:c r="Q151" s="21" t="str">
        <x:v>OPEN</x:v>
      </x:c>
      <x:c r="R151" s="23" t="str">
        <x:v>HOLD</x:v>
      </x:c>
    </x:row>
    <x:row r="152">
      <x:c r="B152" s="21" t="str">
        <x:v>AR-00146</x:v>
      </x:c>
      <x:c r="C152" s="21" t="str">
        <x:v>F04-I3</x:v>
      </x:c>
      <x:c r="D152" s="21" t="str">
        <x:v>F04</x:v>
      </x:c>
      <x:c r="E152" s="21" t="n">
        <x:v>6</x:v>
      </x:c>
      <x:c r="F152" s="21" t="str">
        <x:v>Representative mission result</x:v>
      </x:c>
      <x:c r="G152" s="21" t="n">
        <x:v>23</x:v>
      </x:c>
      <x:c r="H152" s="21" t="str">
        <x:v>Receiving Service Authority</x:v>
      </x:c>
      <x:c r="I152" s="44" t="n">
        <x:f>Lifecycle!G12</x:f>
        <x:v>0.250345872587127</x:v>
      </x:c>
      <x:c r="J152" s="44" t="n">
        <x:v>0.0625</x:v>
      </x:c>
      <x:c r="K152" s="44" t="n">
        <x:f>I152*J152</x:f>
        <x:v>0.015646617036695436</x:v>
      </x:c>
      <x:c r="L152" s="46" t="n">
        <x:v>0</x:v>
      </x:c>
      <x:c r="M152" s="46" t="n">
        <x:v>0</x:v>
      </x:c>
      <x:c r="N152" s="21" t="n">
        <x:f>IF(AND(L151=1,M151=1,P151&gt;0),1,0)</x:f>
        <x:v>0</x:v>
      </x:c>
      <x:c r="O152" s="21" t="n">
        <x:f>MIN('Root Data'!I49:I51)</x:f>
        <x:v>0</x:v>
      </x:c>
      <x:c r="P152" s="44" t="n">
        <x:f>IF(AND(L152=1,M152=1,N152=1,O152&gt;=G152),K152,0)</x:f>
        <x:v>0</x:v>
      </x:c>
      <x:c r="Q152" s="21" t="str">
        <x:v>OPEN</x:v>
      </x:c>
      <x:c r="R152" s="23" t="str">
        <x:v>HOLD</x:v>
      </x:c>
    </x:row>
    <x:row r="153">
      <x:c r="B153" s="21" t="str">
        <x:v>AR-00147</x:v>
      </x:c>
      <x:c r="C153" s="21" t="str">
        <x:v>F04-I3</x:v>
      </x:c>
      <x:c r="D153" s="21" t="str">
        <x:v>F04</x:v>
      </x:c>
      <x:c r="E153" s="21" t="n">
        <x:v>7</x:v>
      </x:c>
      <x:c r="F153" s="21" t="str">
        <x:v>Independent reproduction</x:v>
      </x:c>
      <x:c r="G153" s="21" t="n">
        <x:v>28</x:v>
      </x:c>
      <x:c r="H153" s="21" t="str">
        <x:v>Independent Evidence and Data Authority</x:v>
      </x:c>
      <x:c r="I153" s="44" t="n">
        <x:f>Lifecycle!G13</x:f>
        <x:v>0.21740562619408393</x:v>
      </x:c>
      <x:c r="J153" s="44" t="n">
        <x:v>0.0625</x:v>
      </x:c>
      <x:c r="K153" s="44" t="n">
        <x:f>I153*J153</x:f>
        <x:v>0.013587851637130246</x:v>
      </x:c>
      <x:c r="L153" s="46" t="n">
        <x:v>0</x:v>
      </x:c>
      <x:c r="M153" s="46" t="n">
        <x:v>0</x:v>
      </x:c>
      <x:c r="N153" s="21" t="n">
        <x:f>IF(AND(L152=1,M152=1,P152&gt;0),1,0)</x:f>
        <x:v>0</x:v>
      </x:c>
      <x:c r="O153" s="21" t="n">
        <x:f>MIN('Root Data'!I49:I51)</x:f>
        <x:v>0</x:v>
      </x:c>
      <x:c r="P153" s="44" t="n">
        <x:f>IF(AND(L153=1,M153=1,N153=1,O153&gt;=G153),K153,0)</x:f>
        <x:v>0</x:v>
      </x:c>
      <x:c r="Q153" s="21" t="str">
        <x:v>OPEN</x:v>
      </x:c>
      <x:c r="R153" s="23" t="str">
        <x:v>HOLD</x:v>
      </x:c>
    </x:row>
    <x:row r="154">
      <x:c r="B154" s="21" t="str">
        <x:v>AR-00148</x:v>
      </x:c>
      <x:c r="C154" s="21" t="str">
        <x:v>F04-I3</x:v>
      </x:c>
      <x:c r="D154" s="21" t="str">
        <x:v>F04</x:v>
      </x:c>
      <x:c r="E154" s="21" t="n">
        <x:v>8</x:v>
      </x:c>
      <x:c r="F154" s="21" t="str">
        <x:v>Pilot-process qualification</x:v>
      </x:c>
      <x:c r="G154" s="21" t="n">
        <x:v>28</x:v>
      </x:c>
      <x:c r="H154" s="21" t="str">
        <x:v>AIMC Industrial Mobilization Authority</x:v>
      </x:c>
      <x:c r="I154" s="44" t="n">
        <x:f>Lifecycle!G14</x:f>
        <x:v>0.03952829567165163</x:v>
      </x:c>
      <x:c r="J154" s="44" t="n">
        <x:v>0.0625</x:v>
      </x:c>
      <x:c r="K154" s="44" t="n">
        <x:f>I154*J154</x:f>
        <x:v>0.0024705184794782268</x:v>
      </x:c>
      <x:c r="L154" s="46" t="n">
        <x:v>0</x:v>
      </x:c>
      <x:c r="M154" s="46" t="n">
        <x:v>0</x:v>
      </x:c>
      <x:c r="N154" s="21" t="n">
        <x:f>IF(AND(L153=1,M153=1,P153&gt;0),1,0)</x:f>
        <x:v>0</x:v>
      </x:c>
      <x:c r="O154" s="21" t="n">
        <x:f>MIN('Root Data'!I49:I51)</x:f>
        <x:v>0</x:v>
      </x:c>
      <x:c r="P154" s="44" t="n">
        <x:f>IF(AND(L154=1,M154=1,N154=1,O154&gt;=G154),K154,0)</x:f>
        <x:v>0</x:v>
      </x:c>
      <x:c r="Q154" s="21" t="str">
        <x:v>OPEN</x:v>
      </x:c>
      <x:c r="R154" s="23" t="str">
        <x:v>HOLD</x:v>
      </x:c>
    </x:row>
    <x:row r="155">
      <x:c r="B155" s="21" t="str">
        <x:v>AR-00149</x:v>
      </x:c>
      <x:c r="C155" s="21" t="str">
        <x:v>F04-I3</x:v>
      </x:c>
      <x:c r="D155" s="21" t="str">
        <x:v>F04</x:v>
      </x:c>
      <x:c r="E155" s="21" t="n">
        <x:v>9</x:v>
      </x:c>
      <x:c r="F155" s="21" t="str">
        <x:v>Production release package</x:v>
      </x:c>
      <x:c r="G155" s="21" t="n">
        <x:v>28</x:v>
      </x:c>
      <x:c r="H155" s="21" t="str">
        <x:v>Production Release Board</x:v>
      </x:c>
      <x:c r="I155" s="44" t="n">
        <x:f>Lifecycle!G15</x:f>
        <x:v>0.01647012319652151</x:v>
      </x:c>
      <x:c r="J155" s="44" t="n">
        <x:v>0.0625</x:v>
      </x:c>
      <x:c r="K155" s="44" t="n">
        <x:f>I155*J155</x:f>
        <x:v>0.0010293826997825944</x:v>
      </x:c>
      <x:c r="L155" s="46" t="n">
        <x:v>0</x:v>
      </x:c>
      <x:c r="M155" s="46" t="n">
        <x:v>0</x:v>
      </x:c>
      <x:c r="N155" s="21" t="n">
        <x:f>IF(AND(L154=1,M154=1,P154&gt;0),1,0)</x:f>
        <x:v>0</x:v>
      </x:c>
      <x:c r="O155" s="21" t="n">
        <x:f>MIN('Root Data'!I49:I51)</x:f>
        <x:v>0</x:v>
      </x:c>
      <x:c r="P155" s="44" t="n">
        <x:f>IF(AND(L155=1,M155=1,N155=1,O155&gt;=G155),K155,0)</x:f>
        <x:v>0</x:v>
      </x:c>
      <x:c r="Q155" s="21" t="str">
        <x:v>OPEN</x:v>
      </x:c>
      <x:c r="R155" s="23" t="str">
        <x:v>HOLD</x:v>
      </x:c>
    </x:row>
    <x:row r="156">
      <x:c r="B156" s="21" t="str">
        <x:v>AR-00150</x:v>
      </x:c>
      <x:c r="C156" s="21" t="str">
        <x:v>F04-I3</x:v>
      </x:c>
      <x:c r="D156" s="21" t="str">
        <x:v>F04</x:v>
      </x:c>
      <x:c r="E156" s="21" t="n">
        <x:v>10</x:v>
      </x:c>
      <x:c r="F156" s="21" t="str">
        <x:v>Mobilization activation</x:v>
      </x:c>
      <x:c r="G156" s="21" t="n">
        <x:v>28</x:v>
      </x:c>
      <x:c r="H156" s="21" t="str">
        <x:v>Production Release Board</x:v>
      </x:c>
      <x:c r="I156" s="44" t="n">
        <x:f>Lifecycle!G16</x:f>
        <x:v>0.028262731405230914</x:v>
      </x:c>
      <x:c r="J156" s="44" t="n">
        <x:v>0.0625</x:v>
      </x:c>
      <x:c r="K156" s="44" t="n">
        <x:f>I156*J156</x:f>
        <x:v>0.0017664207128269321</x:v>
      </x:c>
      <x:c r="L156" s="46" t="n">
        <x:v>0</x:v>
      </x:c>
      <x:c r="M156" s="46" t="n">
        <x:v>0</x:v>
      </x:c>
      <x:c r="N156" s="21" t="n">
        <x:f>IF(AND(L155=1,M155=1,P155&gt;0),1,0)</x:f>
        <x:v>0</x:v>
      </x:c>
      <x:c r="O156" s="21" t="n">
        <x:f>MIN('Root Data'!I49:I51)</x:f>
        <x:v>0</x:v>
      </x:c>
      <x:c r="P156" s="44" t="n">
        <x:f>IF(AND(L156=1,M156=1,N156=1,O156&gt;=G156),K156,0)</x:f>
        <x:v>0</x:v>
      </x:c>
      <x:c r="Q156" s="21" t="str">
        <x:v>OPEN</x:v>
      </x:c>
      <x:c r="R156" s="23" t="str">
        <x:v>HOLD</x:v>
      </x:c>
    </x:row>
    <x:row r="157">
      <x:c r="B157" s="21" t="str">
        <x:v>AR-00151</x:v>
      </x:c>
      <x:c r="C157" s="21" t="str">
        <x:v>F04-I4</x:v>
      </x:c>
      <x:c r="D157" s="21" t="str">
        <x:v>F04</x:v>
      </x:c>
      <x:c r="E157" s="21" t="n">
        <x:v>1</x:v>
      </x:c>
      <x:c r="F157" s="21" t="str">
        <x:v>Civil effect charter</x:v>
      </x:c>
      <x:c r="G157" s="21" t="n">
        <x:v>0</x:v>
      </x:c>
      <x:c r="H157" s="21" t="str">
        <x:v>Civil Guarantee Authority</x:v>
      </x:c>
      <x:c r="I157" s="44" t="n">
        <x:f>Lifecycle!G7</x:f>
        <x:v>0.04941036958956453</x:v>
      </x:c>
      <x:c r="J157" s="44" t="n">
        <x:v>0.0625</x:v>
      </x:c>
      <x:c r="K157" s="44" t="n">
        <x:f>I157*J157</x:f>
        <x:v>0.0030881480993477832</x:v>
      </x:c>
      <x:c r="L157" s="46" t="n">
        <x:v>0</x:v>
      </x:c>
      <x:c r="M157" s="46" t="n">
        <x:v>0</x:v>
      </x:c>
      <x:c r="N157" s="21" t="n">
        <x:f>1</x:f>
        <x:v>1</x:v>
      </x:c>
      <x:c r="O157" s="21" t="n">
        <x:f>MIN('Root Data'!I52:I54)</x:f>
        <x:v>0</x:v>
      </x:c>
      <x:c r="P157" s="44" t="n">
        <x:f>IF(AND(L157=1,M157=1,N157=1,O157&gt;=G157),K157,0)</x:f>
        <x:v>0</x:v>
      </x:c>
      <x:c r="Q157" s="21" t="str">
        <x:v>OPEN</x:v>
      </x:c>
      <x:c r="R157" s="23" t="str">
        <x:v>HOLD</x:v>
      </x:c>
    </x:row>
    <x:row r="158">
      <x:c r="B158" s="21" t="str">
        <x:v>AR-00152</x:v>
      </x:c>
      <x:c r="C158" s="21" t="str">
        <x:v>F04-I4</x:v>
      </x:c>
      <x:c r="D158" s="21" t="str">
        <x:v>F04</x:v>
      </x:c>
      <x:c r="E158" s="21" t="n">
        <x:v>2</x:v>
      </x:c>
      <x:c r="F158" s="21" t="str">
        <x:v>Requirement and root-independence package</x:v>
      </x:c>
      <x:c r="G158" s="21" t="n">
        <x:v>8</x:v>
      </x:c>
      <x:c r="H158" s="21" t="str">
        <x:v>Resilience Staff</x:v>
      </x:c>
      <x:c r="I158" s="44" t="n">
        <x:f>Lifecycle!G8</x:f>
        <x:v>0.10211476381843337</x:v>
      </x:c>
      <x:c r="J158" s="44" t="n">
        <x:v>0.0625</x:v>
      </x:c>
      <x:c r="K158" s="44" t="n">
        <x:f>I158*J158</x:f>
        <x:v>0.006382172738652086</x:v>
      </x:c>
      <x:c r="L158" s="46" t="n">
        <x:v>0</x:v>
      </x:c>
      <x:c r="M158" s="46" t="n">
        <x:v>0</x:v>
      </x:c>
      <x:c r="N158" s="21" t="n">
        <x:f>IF(AND(L157=1,M157=1,P157&gt;0),1,0)</x:f>
        <x:v>0</x:v>
      </x:c>
      <x:c r="O158" s="21" t="n">
        <x:f>MIN('Root Data'!I52:I54)</x:f>
        <x:v>0</x:v>
      </x:c>
      <x:c r="P158" s="44" t="n">
        <x:f>IF(AND(L158=1,M158=1,N158=1,O158&gt;=G158),K158,0)</x:f>
        <x:v>0</x:v>
      </x:c>
      <x:c r="Q158" s="21" t="str">
        <x:v>OPEN</x:v>
      </x:c>
      <x:c r="R158" s="23" t="str">
        <x:v>HOLD</x:v>
      </x:c>
    </x:row>
    <x:row r="159">
      <x:c r="B159" s="21" t="str">
        <x:v>AR-00153</x:v>
      </x:c>
      <x:c r="C159" s="21" t="str">
        <x:v>F04-I4</x:v>
      </x:c>
      <x:c r="D159" s="21" t="str">
        <x:v>F04</x:v>
      </x:c>
      <x:c r="E159" s="21" t="n">
        <x:v>3</x:v>
      </x:c>
      <x:c r="F159" s="21" t="str">
        <x:v>Architecture and burden closure</x:v>
      </x:c>
      <x:c r="G159" s="21" t="n">
        <x:v>14</x:v>
      </x:c>
      <x:c r="H159" s="21" t="str">
        <x:v>Independent Evidence and Data Authority</x:v>
      </x:c>
      <x:c r="I159" s="44" t="n">
        <x:f>Lifecycle!G9</x:f>
        <x:v>0.08564464062191186</x:v>
      </x:c>
      <x:c r="J159" s="44" t="n">
        <x:v>0.0625</x:v>
      </x:c>
      <x:c r="K159" s="44" t="n">
        <x:f>I159*J159</x:f>
        <x:v>0.0053527900388694915</x:v>
      </x:c>
      <x:c r="L159" s="46" t="n">
        <x:v>0</x:v>
      </x:c>
      <x:c r="M159" s="46" t="n">
        <x:v>0</x:v>
      </x:c>
      <x:c r="N159" s="21" t="n">
        <x:f>IF(AND(L158=1,M158=1,P158&gt;0),1,0)</x:f>
        <x:v>0</x:v>
      </x:c>
      <x:c r="O159" s="21" t="n">
        <x:f>MIN('Root Data'!I52:I54)</x:f>
        <x:v>0</x:v>
      </x:c>
      <x:c r="P159" s="44" t="n">
        <x:f>IF(AND(L159=1,M159=1,N159=1,O159&gt;=G159),K159,0)</x:f>
        <x:v>0</x:v>
      </x:c>
      <x:c r="Q159" s="21" t="str">
        <x:v>OPEN</x:v>
      </x:c>
      <x:c r="R159" s="23" t="str">
        <x:v>HOLD</x:v>
      </x:c>
    </x:row>
    <x:row r="160">
      <x:c r="B160" s="21" t="str">
        <x:v>AR-00154</x:v>
      </x:c>
      <x:c r="C160" s="21" t="str">
        <x:v>F04-I4</x:v>
      </x:c>
      <x:c r="D160" s="21" t="str">
        <x:v>F04</x:v>
      </x:c>
      <x:c r="E160" s="21" t="n">
        <x:v>4</x:v>
      </x:c>
      <x:c r="F160" s="21" t="str">
        <x:v>Engineering article acceptance</x:v>
      </x:c>
      <x:c r="G160" s="21" t="n">
        <x:v>18</x:v>
      </x:c>
      <x:c r="H160" s="21" t="str">
        <x:v>Independent Evidence and Data Authority</x:v>
      </x:c>
      <x:c r="I160" s="44" t="n">
        <x:f>Lifecycle!G10</x:f>
        <x:v>0.05929244350747744</x:v>
      </x:c>
      <x:c r="J160" s="44" t="n">
        <x:v>0.0625</x:v>
      </x:c>
      <x:c r="K160" s="44" t="n">
        <x:f>I160*J160</x:f>
        <x:v>0.00370577771921734</x:v>
      </x:c>
      <x:c r="L160" s="46" t="n">
        <x:v>0</x:v>
      </x:c>
      <x:c r="M160" s="46" t="n">
        <x:v>0</x:v>
      </x:c>
      <x:c r="N160" s="21" t="n">
        <x:f>IF(AND(L159=1,M159=1,P159&gt;0),1,0)</x:f>
        <x:v>0</x:v>
      </x:c>
      <x:c r="O160" s="21" t="n">
        <x:f>MIN('Root Data'!I52:I54)</x:f>
        <x:v>0</x:v>
      </x:c>
      <x:c r="P160" s="44" t="n">
        <x:f>IF(AND(L160=1,M160=1,N160=1,O160&gt;=G160),K160,0)</x:f>
        <x:v>0</x:v>
      </x:c>
      <x:c r="Q160" s="21" t="str">
        <x:v>OPEN</x:v>
      </x:c>
      <x:c r="R160" s="23" t="str">
        <x:v>HOLD</x:v>
      </x:c>
    </x:row>
    <x:row r="161">
      <x:c r="B161" s="21" t="str">
        <x:v>AR-00155</x:v>
      </x:c>
      <x:c r="C161" s="21" t="str">
        <x:v>F04-I4</x:v>
      </x:c>
      <x:c r="D161" s="21" t="str">
        <x:v>F04</x:v>
      </x:c>
      <x:c r="E161" s="21" t="n">
        <x:v>5</x:v>
      </x:c>
      <x:c r="F161" s="21" t="str">
        <x:v>Qualification and destructive evidence</x:v>
      </x:c>
      <x:c r="G161" s="21" t="n">
        <x:v>21</x:v>
      </x:c>
      <x:c r="H161" s="21" t="str">
        <x:v>Independent Evidence and Data Authority</x:v>
      </x:c>
      <x:c r="I161" s="44" t="n">
        <x:f>Lifecycle!G11</x:f>
        <x:v>0.1515251334079979</x:v>
      </x:c>
      <x:c r="J161" s="44" t="n">
        <x:v>0.0625</x:v>
      </x:c>
      <x:c r="K161" s="44" t="n">
        <x:f>I161*J161</x:f>
        <x:v>0.009470320837999868</x:v>
      </x:c>
      <x:c r="L161" s="46" t="n">
        <x:v>0</x:v>
      </x:c>
      <x:c r="M161" s="46" t="n">
        <x:v>0</x:v>
      </x:c>
      <x:c r="N161" s="21" t="n">
        <x:f>IF(AND(L160=1,M160=1,P160&gt;0),1,0)</x:f>
        <x:v>0</x:v>
      </x:c>
      <x:c r="O161" s="21" t="n">
        <x:f>MIN('Root Data'!I52:I54)</x:f>
        <x:v>0</x:v>
      </x:c>
      <x:c r="P161" s="44" t="n">
        <x:f>IF(AND(L161=1,M161=1,N161=1,O161&gt;=G161),K161,0)</x:f>
        <x:v>0</x:v>
      </x:c>
      <x:c r="Q161" s="21" t="str">
        <x:v>OPEN</x:v>
      </x:c>
      <x:c r="R161" s="23" t="str">
        <x:v>HOLD</x:v>
      </x:c>
    </x:row>
    <x:row r="162">
      <x:c r="B162" s="21" t="str">
        <x:v>AR-00156</x:v>
      </x:c>
      <x:c r="C162" s="21" t="str">
        <x:v>F04-I4</x:v>
      </x:c>
      <x:c r="D162" s="21" t="str">
        <x:v>F04</x:v>
      </x:c>
      <x:c r="E162" s="21" t="n">
        <x:v>6</x:v>
      </x:c>
      <x:c r="F162" s="21" t="str">
        <x:v>Representative mission result</x:v>
      </x:c>
      <x:c r="G162" s="21" t="n">
        <x:v>23</x:v>
      </x:c>
      <x:c r="H162" s="21" t="str">
        <x:v>Receiving Service Authority</x:v>
      </x:c>
      <x:c r="I162" s="44" t="n">
        <x:f>Lifecycle!G12</x:f>
        <x:v>0.250345872587127</x:v>
      </x:c>
      <x:c r="J162" s="44" t="n">
        <x:v>0.0625</x:v>
      </x:c>
      <x:c r="K162" s="44" t="n">
        <x:f>I162*J162</x:f>
        <x:v>0.015646617036695436</x:v>
      </x:c>
      <x:c r="L162" s="46" t="n">
        <x:v>0</x:v>
      </x:c>
      <x:c r="M162" s="46" t="n">
        <x:v>0</x:v>
      </x:c>
      <x:c r="N162" s="21" t="n">
        <x:f>IF(AND(L161=1,M161=1,P161&gt;0),1,0)</x:f>
        <x:v>0</x:v>
      </x:c>
      <x:c r="O162" s="21" t="n">
        <x:f>MIN('Root Data'!I52:I54)</x:f>
        <x:v>0</x:v>
      </x:c>
      <x:c r="P162" s="44" t="n">
        <x:f>IF(AND(L162=1,M162=1,N162=1,O162&gt;=G162),K162,0)</x:f>
        <x:v>0</x:v>
      </x:c>
      <x:c r="Q162" s="21" t="str">
        <x:v>OPEN</x:v>
      </x:c>
      <x:c r="R162" s="23" t="str">
        <x:v>HOLD</x:v>
      </x:c>
    </x:row>
    <x:row r="163">
      <x:c r="B163" s="21" t="str">
        <x:v>AR-00157</x:v>
      </x:c>
      <x:c r="C163" s="21" t="str">
        <x:v>F04-I4</x:v>
      </x:c>
      <x:c r="D163" s="21" t="str">
        <x:v>F04</x:v>
      </x:c>
      <x:c r="E163" s="21" t="n">
        <x:v>7</x:v>
      </x:c>
      <x:c r="F163" s="21" t="str">
        <x:v>Independent reproduction</x:v>
      </x:c>
      <x:c r="G163" s="21" t="n">
        <x:v>28</x:v>
      </x:c>
      <x:c r="H163" s="21" t="str">
        <x:v>Independent Evidence and Data Authority</x:v>
      </x:c>
      <x:c r="I163" s="44" t="n">
        <x:f>Lifecycle!G13</x:f>
        <x:v>0.21740562619408393</x:v>
      </x:c>
      <x:c r="J163" s="44" t="n">
        <x:v>0.0625</x:v>
      </x:c>
      <x:c r="K163" s="44" t="n">
        <x:f>I163*J163</x:f>
        <x:v>0.013587851637130246</x:v>
      </x:c>
      <x:c r="L163" s="46" t="n">
        <x:v>0</x:v>
      </x:c>
      <x:c r="M163" s="46" t="n">
        <x:v>0</x:v>
      </x:c>
      <x:c r="N163" s="21" t="n">
        <x:f>IF(AND(L162=1,M162=1,P162&gt;0),1,0)</x:f>
        <x:v>0</x:v>
      </x:c>
      <x:c r="O163" s="21" t="n">
        <x:f>MIN('Root Data'!I52:I54)</x:f>
        <x:v>0</x:v>
      </x:c>
      <x:c r="P163" s="44" t="n">
        <x:f>IF(AND(L163=1,M163=1,N163=1,O163&gt;=G163),K163,0)</x:f>
        <x:v>0</x:v>
      </x:c>
      <x:c r="Q163" s="21" t="str">
        <x:v>OPEN</x:v>
      </x:c>
      <x:c r="R163" s="23" t="str">
        <x:v>HOLD</x:v>
      </x:c>
    </x:row>
    <x:row r="164">
      <x:c r="B164" s="21" t="str">
        <x:v>AR-00158</x:v>
      </x:c>
      <x:c r="C164" s="21" t="str">
        <x:v>F04-I4</x:v>
      </x:c>
      <x:c r="D164" s="21" t="str">
        <x:v>F04</x:v>
      </x:c>
      <x:c r="E164" s="21" t="n">
        <x:v>8</x:v>
      </x:c>
      <x:c r="F164" s="21" t="str">
        <x:v>Pilot-process qualification</x:v>
      </x:c>
      <x:c r="G164" s="21" t="n">
        <x:v>28</x:v>
      </x:c>
      <x:c r="H164" s="21" t="str">
        <x:v>AIMC Industrial Mobilization Authority</x:v>
      </x:c>
      <x:c r="I164" s="44" t="n">
        <x:f>Lifecycle!G14</x:f>
        <x:v>0.03952829567165163</x:v>
      </x:c>
      <x:c r="J164" s="44" t="n">
        <x:v>0.0625</x:v>
      </x:c>
      <x:c r="K164" s="44" t="n">
        <x:f>I164*J164</x:f>
        <x:v>0.0024705184794782268</x:v>
      </x:c>
      <x:c r="L164" s="46" t="n">
        <x:v>0</x:v>
      </x:c>
      <x:c r="M164" s="46" t="n">
        <x:v>0</x:v>
      </x:c>
      <x:c r="N164" s="21" t="n">
        <x:f>IF(AND(L163=1,M163=1,P163&gt;0),1,0)</x:f>
        <x:v>0</x:v>
      </x:c>
      <x:c r="O164" s="21" t="n">
        <x:f>MIN('Root Data'!I52:I54)</x:f>
        <x:v>0</x:v>
      </x:c>
      <x:c r="P164" s="44" t="n">
        <x:f>IF(AND(L164=1,M164=1,N164=1,O164&gt;=G164),K164,0)</x:f>
        <x:v>0</x:v>
      </x:c>
      <x:c r="Q164" s="21" t="str">
        <x:v>OPEN</x:v>
      </x:c>
      <x:c r="R164" s="23" t="str">
        <x:v>HOLD</x:v>
      </x:c>
    </x:row>
    <x:row r="165">
      <x:c r="B165" s="21" t="str">
        <x:v>AR-00159</x:v>
      </x:c>
      <x:c r="C165" s="21" t="str">
        <x:v>F04-I4</x:v>
      </x:c>
      <x:c r="D165" s="21" t="str">
        <x:v>F04</x:v>
      </x:c>
      <x:c r="E165" s="21" t="n">
        <x:v>9</x:v>
      </x:c>
      <x:c r="F165" s="21" t="str">
        <x:v>Production release package</x:v>
      </x:c>
      <x:c r="G165" s="21" t="n">
        <x:v>28</x:v>
      </x:c>
      <x:c r="H165" s="21" t="str">
        <x:v>Production Release Board</x:v>
      </x:c>
      <x:c r="I165" s="44" t="n">
        <x:f>Lifecycle!G15</x:f>
        <x:v>0.01647012319652151</x:v>
      </x:c>
      <x:c r="J165" s="44" t="n">
        <x:v>0.0625</x:v>
      </x:c>
      <x:c r="K165" s="44" t="n">
        <x:f>I165*J165</x:f>
        <x:v>0.0010293826997825944</x:v>
      </x:c>
      <x:c r="L165" s="46" t="n">
        <x:v>0</x:v>
      </x:c>
      <x:c r="M165" s="46" t="n">
        <x:v>0</x:v>
      </x:c>
      <x:c r="N165" s="21" t="n">
        <x:f>IF(AND(L164=1,M164=1,P164&gt;0),1,0)</x:f>
        <x:v>0</x:v>
      </x:c>
      <x:c r="O165" s="21" t="n">
        <x:f>MIN('Root Data'!I52:I54)</x:f>
        <x:v>0</x:v>
      </x:c>
      <x:c r="P165" s="44" t="n">
        <x:f>IF(AND(L165=1,M165=1,N165=1,O165&gt;=G165),K165,0)</x:f>
        <x:v>0</x:v>
      </x:c>
      <x:c r="Q165" s="21" t="str">
        <x:v>OPEN</x:v>
      </x:c>
      <x:c r="R165" s="23" t="str">
        <x:v>HOLD</x:v>
      </x:c>
    </x:row>
    <x:row r="166">
      <x:c r="B166" s="21" t="str">
        <x:v>AR-00160</x:v>
      </x:c>
      <x:c r="C166" s="21" t="str">
        <x:v>F04-I4</x:v>
      </x:c>
      <x:c r="D166" s="21" t="str">
        <x:v>F04</x:v>
      </x:c>
      <x:c r="E166" s="21" t="n">
        <x:v>10</x:v>
      </x:c>
      <x:c r="F166" s="21" t="str">
        <x:v>Mobilization activation</x:v>
      </x:c>
      <x:c r="G166" s="21" t="n">
        <x:v>28</x:v>
      </x:c>
      <x:c r="H166" s="21" t="str">
        <x:v>Production Release Board</x:v>
      </x:c>
      <x:c r="I166" s="44" t="n">
        <x:f>Lifecycle!G16</x:f>
        <x:v>0.028262731405230914</x:v>
      </x:c>
      <x:c r="J166" s="44" t="n">
        <x:v>0.0625</x:v>
      </x:c>
      <x:c r="K166" s="44" t="n">
        <x:f>I166*J166</x:f>
        <x:v>0.0017664207128269321</x:v>
      </x:c>
      <x:c r="L166" s="46" t="n">
        <x:v>0</x:v>
      </x:c>
      <x:c r="M166" s="46" t="n">
        <x:v>0</x:v>
      </x:c>
      <x:c r="N166" s="21" t="n">
        <x:f>IF(AND(L165=1,M165=1,P165&gt;0),1,0)</x:f>
        <x:v>0</x:v>
      </x:c>
      <x:c r="O166" s="21" t="n">
        <x:f>MIN('Root Data'!I52:I54)</x:f>
        <x:v>0</x:v>
      </x:c>
      <x:c r="P166" s="44" t="n">
        <x:f>IF(AND(L166=1,M166=1,N166=1,O166&gt;=G166),K166,0)</x:f>
        <x:v>0</x:v>
      </x:c>
      <x:c r="Q166" s="21" t="str">
        <x:v>OPEN</x:v>
      </x:c>
      <x:c r="R166" s="23" t="str">
        <x:v>HOLD</x:v>
      </x:c>
    </x:row>
    <x:row r="167">
      <x:c r="B167" s="21" t="str">
        <x:v>AR-00161</x:v>
      </x:c>
      <x:c r="C167" s="21" t="str">
        <x:v>F05-I1</x:v>
      </x:c>
      <x:c r="D167" s="21" t="str">
        <x:v>F05</x:v>
      </x:c>
      <x:c r="E167" s="21" t="n">
        <x:v>1</x:v>
      </x:c>
      <x:c r="F167" s="21" t="str">
        <x:v>Civil effect charter</x:v>
      </x:c>
      <x:c r="G167" s="21" t="n">
        <x:v>0</x:v>
      </x:c>
      <x:c r="H167" s="21" t="str">
        <x:v>Civil Guarantee Authority</x:v>
      </x:c>
      <x:c r="I167" s="44" t="n">
        <x:f>Lifecycle!G7</x:f>
        <x:v>0.04941036958956453</x:v>
      </x:c>
      <x:c r="J167" s="44" t="n">
        <x:v>0.06999999999999999</x:v>
      </x:c>
      <x:c r="K167" s="44" t="n">
        <x:f>I167*J167</x:f>
        <x:v>0.0034587258712695168</x:v>
      </x:c>
      <x:c r="L167" s="46" t="n">
        <x:v>0</x:v>
      </x:c>
      <x:c r="M167" s="46" t="n">
        <x:v>0</x:v>
      </x:c>
      <x:c r="N167" s="21" t="n">
        <x:f>1</x:f>
        <x:v>1</x:v>
      </x:c>
      <x:c r="O167" s="21" t="n">
        <x:f>MIN('Root Data'!I55:I57)</x:f>
        <x:v>0</x:v>
      </x:c>
      <x:c r="P167" s="44" t="n">
        <x:f>IF(AND(L167=1,M167=1,N167=1,O167&gt;=G167),K167,0)</x:f>
        <x:v>0</x:v>
      </x:c>
      <x:c r="Q167" s="21" t="str">
        <x:v>OPEN</x:v>
      </x:c>
      <x:c r="R167" s="23" t="str">
        <x:v>HOLD</x:v>
      </x:c>
    </x:row>
    <x:row r="168">
      <x:c r="B168" s="21" t="str">
        <x:v>AR-00162</x:v>
      </x:c>
      <x:c r="C168" s="21" t="str">
        <x:v>F05-I1</x:v>
      </x:c>
      <x:c r="D168" s="21" t="str">
        <x:v>F05</x:v>
      </x:c>
      <x:c r="E168" s="21" t="n">
        <x:v>2</x:v>
      </x:c>
      <x:c r="F168" s="21" t="str">
        <x:v>Requirement and root-independence package</x:v>
      </x:c>
      <x:c r="G168" s="21" t="n">
        <x:v>8</x:v>
      </x:c>
      <x:c r="H168" s="21" t="str">
        <x:v>Resilience Staff</x:v>
      </x:c>
      <x:c r="I168" s="44" t="n">
        <x:f>Lifecycle!G8</x:f>
        <x:v>0.10211476381843337</x:v>
      </x:c>
      <x:c r="J168" s="44" t="n">
        <x:v>0.06999999999999999</x:v>
      </x:c>
      <x:c r="K168" s="44" t="n">
        <x:f>I168*J168</x:f>
        <x:v>0.007148033467290336</x:v>
      </x:c>
      <x:c r="L168" s="46" t="n">
        <x:v>0</x:v>
      </x:c>
      <x:c r="M168" s="46" t="n">
        <x:v>0</x:v>
      </x:c>
      <x:c r="N168" s="21" t="n">
        <x:f>IF(AND(L167=1,M167=1,P167&gt;0),1,0)</x:f>
        <x:v>0</x:v>
      </x:c>
      <x:c r="O168" s="21" t="n">
        <x:f>MIN('Root Data'!I55:I57)</x:f>
        <x:v>0</x:v>
      </x:c>
      <x:c r="P168" s="44" t="n">
        <x:f>IF(AND(L168=1,M168=1,N168=1,O168&gt;=G168),K168,0)</x:f>
        <x:v>0</x:v>
      </x:c>
      <x:c r="Q168" s="21" t="str">
        <x:v>OPEN</x:v>
      </x:c>
      <x:c r="R168" s="23" t="str">
        <x:v>HOLD</x:v>
      </x:c>
    </x:row>
    <x:row r="169">
      <x:c r="B169" s="21" t="str">
        <x:v>AR-00163</x:v>
      </x:c>
      <x:c r="C169" s="21" t="str">
        <x:v>F05-I1</x:v>
      </x:c>
      <x:c r="D169" s="21" t="str">
        <x:v>F05</x:v>
      </x:c>
      <x:c r="E169" s="21" t="n">
        <x:v>3</x:v>
      </x:c>
      <x:c r="F169" s="21" t="str">
        <x:v>Architecture and burden closure</x:v>
      </x:c>
      <x:c r="G169" s="21" t="n">
        <x:v>14</x:v>
      </x:c>
      <x:c r="H169" s="21" t="str">
        <x:v>Independent Evidence and Data Authority</x:v>
      </x:c>
      <x:c r="I169" s="44" t="n">
        <x:f>Lifecycle!G9</x:f>
        <x:v>0.08564464062191186</x:v>
      </x:c>
      <x:c r="J169" s="44" t="n">
        <x:v>0.06999999999999999</x:v>
      </x:c>
      <x:c r="K169" s="44" t="n">
        <x:f>I169*J169</x:f>
        <x:v>0.00599512484353383</x:v>
      </x:c>
      <x:c r="L169" s="46" t="n">
        <x:v>0</x:v>
      </x:c>
      <x:c r="M169" s="46" t="n">
        <x:v>0</x:v>
      </x:c>
      <x:c r="N169" s="21" t="n">
        <x:f>IF(AND(L168=1,M168=1,P168&gt;0),1,0)</x:f>
        <x:v>0</x:v>
      </x:c>
      <x:c r="O169" s="21" t="n">
        <x:f>MIN('Root Data'!I55:I57)</x:f>
        <x:v>0</x:v>
      </x:c>
      <x:c r="P169" s="44" t="n">
        <x:f>IF(AND(L169=1,M169=1,N169=1,O169&gt;=G169),K169,0)</x:f>
        <x:v>0</x:v>
      </x:c>
      <x:c r="Q169" s="21" t="str">
        <x:v>OPEN</x:v>
      </x:c>
      <x:c r="R169" s="23" t="str">
        <x:v>HOLD</x:v>
      </x:c>
    </x:row>
    <x:row r="170">
      <x:c r="B170" s="21" t="str">
        <x:v>AR-00164</x:v>
      </x:c>
      <x:c r="C170" s="21" t="str">
        <x:v>F05-I1</x:v>
      </x:c>
      <x:c r="D170" s="21" t="str">
        <x:v>F05</x:v>
      </x:c>
      <x:c r="E170" s="21" t="n">
        <x:v>4</x:v>
      </x:c>
      <x:c r="F170" s="21" t="str">
        <x:v>Engineering article acceptance</x:v>
      </x:c>
      <x:c r="G170" s="21" t="n">
        <x:v>18</x:v>
      </x:c>
      <x:c r="H170" s="21" t="str">
        <x:v>Independent Evidence and Data Authority</x:v>
      </x:c>
      <x:c r="I170" s="44" t="n">
        <x:f>Lifecycle!G10</x:f>
        <x:v>0.05929244350747744</x:v>
      </x:c>
      <x:c r="J170" s="44" t="n">
        <x:v>0.06999999999999999</x:v>
      </x:c>
      <x:c r="K170" s="44" t="n">
        <x:f>I170*J170</x:f>
        <x:v>0.00415047104552342</x:v>
      </x:c>
      <x:c r="L170" s="46" t="n">
        <x:v>0</x:v>
      </x:c>
      <x:c r="M170" s="46" t="n">
        <x:v>0</x:v>
      </x:c>
      <x:c r="N170" s="21" t="n">
        <x:f>IF(AND(L169=1,M169=1,P169&gt;0),1,0)</x:f>
        <x:v>0</x:v>
      </x:c>
      <x:c r="O170" s="21" t="n">
        <x:f>MIN('Root Data'!I55:I57)</x:f>
        <x:v>0</x:v>
      </x:c>
      <x:c r="P170" s="44" t="n">
        <x:f>IF(AND(L170=1,M170=1,N170=1,O170&gt;=G170),K170,0)</x:f>
        <x:v>0</x:v>
      </x:c>
      <x:c r="Q170" s="21" t="str">
        <x:v>OPEN</x:v>
      </x:c>
      <x:c r="R170" s="23" t="str">
        <x:v>HOLD</x:v>
      </x:c>
    </x:row>
    <x:row r="171">
      <x:c r="B171" s="21" t="str">
        <x:v>AR-00165</x:v>
      </x:c>
      <x:c r="C171" s="21" t="str">
        <x:v>F05-I1</x:v>
      </x:c>
      <x:c r="D171" s="21" t="str">
        <x:v>F05</x:v>
      </x:c>
      <x:c r="E171" s="21" t="n">
        <x:v>5</x:v>
      </x:c>
      <x:c r="F171" s="21" t="str">
        <x:v>Qualification and destructive evidence</x:v>
      </x:c>
      <x:c r="G171" s="21" t="n">
        <x:v>21</x:v>
      </x:c>
      <x:c r="H171" s="21" t="str">
        <x:v>Independent Evidence and Data Authority</x:v>
      </x:c>
      <x:c r="I171" s="44" t="n">
        <x:f>Lifecycle!G11</x:f>
        <x:v>0.1515251334079979</x:v>
      </x:c>
      <x:c r="J171" s="44" t="n">
        <x:v>0.06999999999999999</x:v>
      </x:c>
      <x:c r="K171" s="44" t="n">
        <x:f>I171*J171</x:f>
        <x:v>0.01060675933855985</x:v>
      </x:c>
      <x:c r="L171" s="46" t="n">
        <x:v>0</x:v>
      </x:c>
      <x:c r="M171" s="46" t="n">
        <x:v>0</x:v>
      </x:c>
      <x:c r="N171" s="21" t="n">
        <x:f>IF(AND(L170=1,M170=1,P170&gt;0),1,0)</x:f>
        <x:v>0</x:v>
      </x:c>
      <x:c r="O171" s="21" t="n">
        <x:f>MIN('Root Data'!I55:I57)</x:f>
        <x:v>0</x:v>
      </x:c>
      <x:c r="P171" s="44" t="n">
        <x:f>IF(AND(L171=1,M171=1,N171=1,O171&gt;=G171),K171,0)</x:f>
        <x:v>0</x:v>
      </x:c>
      <x:c r="Q171" s="21" t="str">
        <x:v>OPEN</x:v>
      </x:c>
      <x:c r="R171" s="23" t="str">
        <x:v>HOLD</x:v>
      </x:c>
    </x:row>
    <x:row r="172">
      <x:c r="B172" s="21" t="str">
        <x:v>AR-00166</x:v>
      </x:c>
      <x:c r="C172" s="21" t="str">
        <x:v>F05-I1</x:v>
      </x:c>
      <x:c r="D172" s="21" t="str">
        <x:v>F05</x:v>
      </x:c>
      <x:c r="E172" s="21" t="n">
        <x:v>6</x:v>
      </x:c>
      <x:c r="F172" s="21" t="str">
        <x:v>Representative mission result</x:v>
      </x:c>
      <x:c r="G172" s="21" t="n">
        <x:v>23</x:v>
      </x:c>
      <x:c r="H172" s="21" t="str">
        <x:v>Receiving Service Authority</x:v>
      </x:c>
      <x:c r="I172" s="44" t="n">
        <x:f>Lifecycle!G12</x:f>
        <x:v>0.250345872587127</x:v>
      </x:c>
      <x:c r="J172" s="44" t="n">
        <x:v>0.06999999999999999</x:v>
      </x:c>
      <x:c r="K172" s="44" t="n">
        <x:f>I172*J172</x:f>
        <x:v>0.017524211081098886</x:v>
      </x:c>
      <x:c r="L172" s="46" t="n">
        <x:v>0</x:v>
      </x:c>
      <x:c r="M172" s="46" t="n">
        <x:v>0</x:v>
      </x:c>
      <x:c r="N172" s="21" t="n">
        <x:f>IF(AND(L171=1,M171=1,P171&gt;0),1,0)</x:f>
        <x:v>0</x:v>
      </x:c>
      <x:c r="O172" s="21" t="n">
        <x:f>MIN('Root Data'!I55:I57)</x:f>
        <x:v>0</x:v>
      </x:c>
      <x:c r="P172" s="44" t="n">
        <x:f>IF(AND(L172=1,M172=1,N172=1,O172&gt;=G172),K172,0)</x:f>
        <x:v>0</x:v>
      </x:c>
      <x:c r="Q172" s="21" t="str">
        <x:v>OPEN</x:v>
      </x:c>
      <x:c r="R172" s="23" t="str">
        <x:v>HOLD</x:v>
      </x:c>
    </x:row>
    <x:row r="173">
      <x:c r="B173" s="21" t="str">
        <x:v>AR-00167</x:v>
      </x:c>
      <x:c r="C173" s="21" t="str">
        <x:v>F05-I1</x:v>
      </x:c>
      <x:c r="D173" s="21" t="str">
        <x:v>F05</x:v>
      </x:c>
      <x:c r="E173" s="21" t="n">
        <x:v>7</x:v>
      </x:c>
      <x:c r="F173" s="21" t="str">
        <x:v>Independent reproduction</x:v>
      </x:c>
      <x:c r="G173" s="21" t="n">
        <x:v>28</x:v>
      </x:c>
      <x:c r="H173" s="21" t="str">
        <x:v>Independent Evidence and Data Authority</x:v>
      </x:c>
      <x:c r="I173" s="44" t="n">
        <x:f>Lifecycle!G13</x:f>
        <x:v>0.21740562619408393</x:v>
      </x:c>
      <x:c r="J173" s="44" t="n">
        <x:v>0.06999999999999999</x:v>
      </x:c>
      <x:c r="K173" s="44" t="n">
        <x:f>I173*J173</x:f>
        <x:v>0.015218393833585874</x:v>
      </x:c>
      <x:c r="L173" s="46" t="n">
        <x:v>0</x:v>
      </x:c>
      <x:c r="M173" s="46" t="n">
        <x:v>0</x:v>
      </x:c>
      <x:c r="N173" s="21" t="n">
        <x:f>IF(AND(L172=1,M172=1,P172&gt;0),1,0)</x:f>
        <x:v>0</x:v>
      </x:c>
      <x:c r="O173" s="21" t="n">
        <x:f>MIN('Root Data'!I55:I57)</x:f>
        <x:v>0</x:v>
      </x:c>
      <x:c r="P173" s="44" t="n">
        <x:f>IF(AND(L173=1,M173=1,N173=1,O173&gt;=G173),K173,0)</x:f>
        <x:v>0</x:v>
      </x:c>
      <x:c r="Q173" s="21" t="str">
        <x:v>OPEN</x:v>
      </x:c>
      <x:c r="R173" s="23" t="str">
        <x:v>HOLD</x:v>
      </x:c>
    </x:row>
    <x:row r="174">
      <x:c r="B174" s="21" t="str">
        <x:v>AR-00168</x:v>
      </x:c>
      <x:c r="C174" s="21" t="str">
        <x:v>F05-I1</x:v>
      </x:c>
      <x:c r="D174" s="21" t="str">
        <x:v>F05</x:v>
      </x:c>
      <x:c r="E174" s="21" t="n">
        <x:v>8</x:v>
      </x:c>
      <x:c r="F174" s="21" t="str">
        <x:v>Pilot-process qualification</x:v>
      </x:c>
      <x:c r="G174" s="21" t="n">
        <x:v>28</x:v>
      </x:c>
      <x:c r="H174" s="21" t="str">
        <x:v>AIMC Industrial Mobilization Authority</x:v>
      </x:c>
      <x:c r="I174" s="44" t="n">
        <x:f>Lifecycle!G14</x:f>
        <x:v>0.03952829567165163</x:v>
      </x:c>
      <x:c r="J174" s="44" t="n">
        <x:v>0.06999999999999999</x:v>
      </x:c>
      <x:c r="K174" s="44" t="n">
        <x:f>I174*J174</x:f>
        <x:v>0.0027669806970156137</x:v>
      </x:c>
      <x:c r="L174" s="46" t="n">
        <x:v>0</x:v>
      </x:c>
      <x:c r="M174" s="46" t="n">
        <x:v>0</x:v>
      </x:c>
      <x:c r="N174" s="21" t="n">
        <x:f>IF(AND(L173=1,M173=1,P173&gt;0),1,0)</x:f>
        <x:v>0</x:v>
      </x:c>
      <x:c r="O174" s="21" t="n">
        <x:f>MIN('Root Data'!I55:I57)</x:f>
        <x:v>0</x:v>
      </x:c>
      <x:c r="P174" s="44" t="n">
        <x:f>IF(AND(L174=1,M174=1,N174=1,O174&gt;=G174),K174,0)</x:f>
        <x:v>0</x:v>
      </x:c>
      <x:c r="Q174" s="21" t="str">
        <x:v>OPEN</x:v>
      </x:c>
      <x:c r="R174" s="23" t="str">
        <x:v>HOLD</x:v>
      </x:c>
    </x:row>
    <x:row r="175">
      <x:c r="B175" s="21" t="str">
        <x:v>AR-00169</x:v>
      </x:c>
      <x:c r="C175" s="21" t="str">
        <x:v>F05-I1</x:v>
      </x:c>
      <x:c r="D175" s="21" t="str">
        <x:v>F05</x:v>
      </x:c>
      <x:c r="E175" s="21" t="n">
        <x:v>9</x:v>
      </x:c>
      <x:c r="F175" s="21" t="str">
        <x:v>Production release package</x:v>
      </x:c>
      <x:c r="G175" s="21" t="n">
        <x:v>28</x:v>
      </x:c>
      <x:c r="H175" s="21" t="str">
        <x:v>Production Release Board</x:v>
      </x:c>
      <x:c r="I175" s="44" t="n">
        <x:f>Lifecycle!G15</x:f>
        <x:v>0.01647012319652151</x:v>
      </x:c>
      <x:c r="J175" s="44" t="n">
        <x:v>0.06999999999999999</x:v>
      </x:c>
      <x:c r="K175" s="44" t="n">
        <x:f>I175*J175</x:f>
        <x:v>0.0011529086237565057</x:v>
      </x:c>
      <x:c r="L175" s="46" t="n">
        <x:v>0</x:v>
      </x:c>
      <x:c r="M175" s="46" t="n">
        <x:v>0</x:v>
      </x:c>
      <x:c r="N175" s="21" t="n">
        <x:f>IF(AND(L174=1,M174=1,P174&gt;0),1,0)</x:f>
        <x:v>0</x:v>
      </x:c>
      <x:c r="O175" s="21" t="n">
        <x:f>MIN('Root Data'!I55:I57)</x:f>
        <x:v>0</x:v>
      </x:c>
      <x:c r="P175" s="44" t="n">
        <x:f>IF(AND(L175=1,M175=1,N175=1,O175&gt;=G175),K175,0)</x:f>
        <x:v>0</x:v>
      </x:c>
      <x:c r="Q175" s="21" t="str">
        <x:v>OPEN</x:v>
      </x:c>
      <x:c r="R175" s="23" t="str">
        <x:v>HOLD</x:v>
      </x:c>
    </x:row>
    <x:row r="176">
      <x:c r="B176" s="21" t="str">
        <x:v>AR-00170</x:v>
      </x:c>
      <x:c r="C176" s="21" t="str">
        <x:v>F05-I1</x:v>
      </x:c>
      <x:c r="D176" s="21" t="str">
        <x:v>F05</x:v>
      </x:c>
      <x:c r="E176" s="21" t="n">
        <x:v>10</x:v>
      </x:c>
      <x:c r="F176" s="21" t="str">
        <x:v>Mobilization activation</x:v>
      </x:c>
      <x:c r="G176" s="21" t="n">
        <x:v>28</x:v>
      </x:c>
      <x:c r="H176" s="21" t="str">
        <x:v>Production Release Board</x:v>
      </x:c>
      <x:c r="I176" s="44" t="n">
        <x:f>Lifecycle!G16</x:f>
        <x:v>0.028262731405230914</x:v>
      </x:c>
      <x:c r="J176" s="44" t="n">
        <x:v>0.06999999999999999</x:v>
      </x:c>
      <x:c r="K176" s="44" t="n">
        <x:f>I176*J176</x:f>
        <x:v>0.0019783911983661637</x:v>
      </x:c>
      <x:c r="L176" s="46" t="n">
        <x:v>0</x:v>
      </x:c>
      <x:c r="M176" s="46" t="n">
        <x:v>0</x:v>
      </x:c>
      <x:c r="N176" s="21" t="n">
        <x:f>IF(AND(L175=1,M175=1,P175&gt;0),1,0)</x:f>
        <x:v>0</x:v>
      </x:c>
      <x:c r="O176" s="21" t="n">
        <x:f>MIN('Root Data'!I55:I57)</x:f>
        <x:v>0</x:v>
      </x:c>
      <x:c r="P176" s="44" t="n">
        <x:f>IF(AND(L176=1,M176=1,N176=1,O176&gt;=G176),K176,0)</x:f>
        <x:v>0</x:v>
      </x:c>
      <x:c r="Q176" s="21" t="str">
        <x:v>OPEN</x:v>
      </x:c>
      <x:c r="R176" s="23" t="str">
        <x:v>HOLD</x:v>
      </x:c>
    </x:row>
    <x:row r="177">
      <x:c r="B177" s="21" t="str">
        <x:v>AR-00171</x:v>
      </x:c>
      <x:c r="C177" s="21" t="str">
        <x:v>F05-I2</x:v>
      </x:c>
      <x:c r="D177" s="21" t="str">
        <x:v>F05</x:v>
      </x:c>
      <x:c r="E177" s="21" t="n">
        <x:v>1</x:v>
      </x:c>
      <x:c r="F177" s="21" t="str">
        <x:v>Civil effect charter</x:v>
      </x:c>
      <x:c r="G177" s="21" t="n">
        <x:v>0</x:v>
      </x:c>
      <x:c r="H177" s="21" t="str">
        <x:v>Civil Guarantee Authority</x:v>
      </x:c>
      <x:c r="I177" s="44" t="n">
        <x:f>Lifecycle!G7</x:f>
        <x:v>0.04941036958956453</x:v>
      </x:c>
      <x:c r="J177" s="44" t="n">
        <x:v>0.06999999999999999</x:v>
      </x:c>
      <x:c r="K177" s="44" t="n">
        <x:f>I177*J177</x:f>
        <x:v>0.0034587258712695168</x:v>
      </x:c>
      <x:c r="L177" s="46" t="n">
        <x:v>0</x:v>
      </x:c>
      <x:c r="M177" s="46" t="n">
        <x:v>0</x:v>
      </x:c>
      <x:c r="N177" s="21" t="n">
        <x:f>1</x:f>
        <x:v>1</x:v>
      </x:c>
      <x:c r="O177" s="21" t="n">
        <x:f>MIN('Root Data'!I58:I60)</x:f>
        <x:v>0</x:v>
      </x:c>
      <x:c r="P177" s="44" t="n">
        <x:f>IF(AND(L177=1,M177=1,N177=1,O177&gt;=G177),K177,0)</x:f>
        <x:v>0</x:v>
      </x:c>
      <x:c r="Q177" s="21" t="str">
        <x:v>OPEN</x:v>
      </x:c>
      <x:c r="R177" s="23" t="str">
        <x:v>HOLD</x:v>
      </x:c>
    </x:row>
    <x:row r="178">
      <x:c r="B178" s="21" t="str">
        <x:v>AR-00172</x:v>
      </x:c>
      <x:c r="C178" s="21" t="str">
        <x:v>F05-I2</x:v>
      </x:c>
      <x:c r="D178" s="21" t="str">
        <x:v>F05</x:v>
      </x:c>
      <x:c r="E178" s="21" t="n">
        <x:v>2</x:v>
      </x:c>
      <x:c r="F178" s="21" t="str">
        <x:v>Requirement and root-independence package</x:v>
      </x:c>
      <x:c r="G178" s="21" t="n">
        <x:v>8</x:v>
      </x:c>
      <x:c r="H178" s="21" t="str">
        <x:v>Resilience Staff</x:v>
      </x:c>
      <x:c r="I178" s="44" t="n">
        <x:f>Lifecycle!G8</x:f>
        <x:v>0.10211476381843337</x:v>
      </x:c>
      <x:c r="J178" s="44" t="n">
        <x:v>0.06999999999999999</x:v>
      </x:c>
      <x:c r="K178" s="44" t="n">
        <x:f>I178*J178</x:f>
        <x:v>0.007148033467290336</x:v>
      </x:c>
      <x:c r="L178" s="46" t="n">
        <x:v>0</x:v>
      </x:c>
      <x:c r="M178" s="46" t="n">
        <x:v>0</x:v>
      </x:c>
      <x:c r="N178" s="21" t="n">
        <x:f>IF(AND(L177=1,M177=1,P177&gt;0),1,0)</x:f>
        <x:v>0</x:v>
      </x:c>
      <x:c r="O178" s="21" t="n">
        <x:f>MIN('Root Data'!I58:I60)</x:f>
        <x:v>0</x:v>
      </x:c>
      <x:c r="P178" s="44" t="n">
        <x:f>IF(AND(L178=1,M178=1,N178=1,O178&gt;=G178),K178,0)</x:f>
        <x:v>0</x:v>
      </x:c>
      <x:c r="Q178" s="21" t="str">
        <x:v>OPEN</x:v>
      </x:c>
      <x:c r="R178" s="23" t="str">
        <x:v>HOLD</x:v>
      </x:c>
    </x:row>
    <x:row r="179">
      <x:c r="B179" s="21" t="str">
        <x:v>AR-00173</x:v>
      </x:c>
      <x:c r="C179" s="21" t="str">
        <x:v>F05-I2</x:v>
      </x:c>
      <x:c r="D179" s="21" t="str">
        <x:v>F05</x:v>
      </x:c>
      <x:c r="E179" s="21" t="n">
        <x:v>3</x:v>
      </x:c>
      <x:c r="F179" s="21" t="str">
        <x:v>Architecture and burden closure</x:v>
      </x:c>
      <x:c r="G179" s="21" t="n">
        <x:v>14</x:v>
      </x:c>
      <x:c r="H179" s="21" t="str">
        <x:v>Independent Evidence and Data Authority</x:v>
      </x:c>
      <x:c r="I179" s="44" t="n">
        <x:f>Lifecycle!G9</x:f>
        <x:v>0.08564464062191186</x:v>
      </x:c>
      <x:c r="J179" s="44" t="n">
        <x:v>0.06999999999999999</x:v>
      </x:c>
      <x:c r="K179" s="44" t="n">
        <x:f>I179*J179</x:f>
        <x:v>0.00599512484353383</x:v>
      </x:c>
      <x:c r="L179" s="46" t="n">
        <x:v>0</x:v>
      </x:c>
      <x:c r="M179" s="46" t="n">
        <x:v>0</x:v>
      </x:c>
      <x:c r="N179" s="21" t="n">
        <x:f>IF(AND(L178=1,M178=1,P178&gt;0),1,0)</x:f>
        <x:v>0</x:v>
      </x:c>
      <x:c r="O179" s="21" t="n">
        <x:f>MIN('Root Data'!I58:I60)</x:f>
        <x:v>0</x:v>
      </x:c>
      <x:c r="P179" s="44" t="n">
        <x:f>IF(AND(L179=1,M179=1,N179=1,O179&gt;=G179),K179,0)</x:f>
        <x:v>0</x:v>
      </x:c>
      <x:c r="Q179" s="21" t="str">
        <x:v>OPEN</x:v>
      </x:c>
      <x:c r="R179" s="23" t="str">
        <x:v>HOLD</x:v>
      </x:c>
    </x:row>
    <x:row r="180">
      <x:c r="B180" s="21" t="str">
        <x:v>AR-00174</x:v>
      </x:c>
      <x:c r="C180" s="21" t="str">
        <x:v>F05-I2</x:v>
      </x:c>
      <x:c r="D180" s="21" t="str">
        <x:v>F05</x:v>
      </x:c>
      <x:c r="E180" s="21" t="n">
        <x:v>4</x:v>
      </x:c>
      <x:c r="F180" s="21" t="str">
        <x:v>Engineering article acceptance</x:v>
      </x:c>
      <x:c r="G180" s="21" t="n">
        <x:v>18</x:v>
      </x:c>
      <x:c r="H180" s="21" t="str">
        <x:v>Independent Evidence and Data Authority</x:v>
      </x:c>
      <x:c r="I180" s="44" t="n">
        <x:f>Lifecycle!G10</x:f>
        <x:v>0.05929244350747744</x:v>
      </x:c>
      <x:c r="J180" s="44" t="n">
        <x:v>0.06999999999999999</x:v>
      </x:c>
      <x:c r="K180" s="44" t="n">
        <x:f>I180*J180</x:f>
        <x:v>0.00415047104552342</x:v>
      </x:c>
      <x:c r="L180" s="46" t="n">
        <x:v>0</x:v>
      </x:c>
      <x:c r="M180" s="46" t="n">
        <x:v>0</x:v>
      </x:c>
      <x:c r="N180" s="21" t="n">
        <x:f>IF(AND(L179=1,M179=1,P179&gt;0),1,0)</x:f>
        <x:v>0</x:v>
      </x:c>
      <x:c r="O180" s="21" t="n">
        <x:f>MIN('Root Data'!I58:I60)</x:f>
        <x:v>0</x:v>
      </x:c>
      <x:c r="P180" s="44" t="n">
        <x:f>IF(AND(L180=1,M180=1,N180=1,O180&gt;=G180),K180,0)</x:f>
        <x:v>0</x:v>
      </x:c>
      <x:c r="Q180" s="21" t="str">
        <x:v>OPEN</x:v>
      </x:c>
      <x:c r="R180" s="23" t="str">
        <x:v>HOLD</x:v>
      </x:c>
    </x:row>
    <x:row r="181">
      <x:c r="B181" s="21" t="str">
        <x:v>AR-00175</x:v>
      </x:c>
      <x:c r="C181" s="21" t="str">
        <x:v>F05-I2</x:v>
      </x:c>
      <x:c r="D181" s="21" t="str">
        <x:v>F05</x:v>
      </x:c>
      <x:c r="E181" s="21" t="n">
        <x:v>5</x:v>
      </x:c>
      <x:c r="F181" s="21" t="str">
        <x:v>Qualification and destructive evidence</x:v>
      </x:c>
      <x:c r="G181" s="21" t="n">
        <x:v>21</x:v>
      </x:c>
      <x:c r="H181" s="21" t="str">
        <x:v>Independent Evidence and Data Authority</x:v>
      </x:c>
      <x:c r="I181" s="44" t="n">
        <x:f>Lifecycle!G11</x:f>
        <x:v>0.1515251334079979</x:v>
      </x:c>
      <x:c r="J181" s="44" t="n">
        <x:v>0.06999999999999999</x:v>
      </x:c>
      <x:c r="K181" s="44" t="n">
        <x:f>I181*J181</x:f>
        <x:v>0.01060675933855985</x:v>
      </x:c>
      <x:c r="L181" s="46" t="n">
        <x:v>0</x:v>
      </x:c>
      <x:c r="M181" s="46" t="n">
        <x:v>0</x:v>
      </x:c>
      <x:c r="N181" s="21" t="n">
        <x:f>IF(AND(L180=1,M180=1,P180&gt;0),1,0)</x:f>
        <x:v>0</x:v>
      </x:c>
      <x:c r="O181" s="21" t="n">
        <x:f>MIN('Root Data'!I58:I60)</x:f>
        <x:v>0</x:v>
      </x:c>
      <x:c r="P181" s="44" t="n">
        <x:f>IF(AND(L181=1,M181=1,N181=1,O181&gt;=G181),K181,0)</x:f>
        <x:v>0</x:v>
      </x:c>
      <x:c r="Q181" s="21" t="str">
        <x:v>OPEN</x:v>
      </x:c>
      <x:c r="R181" s="23" t="str">
        <x:v>HOLD</x:v>
      </x:c>
    </x:row>
    <x:row r="182">
      <x:c r="B182" s="21" t="str">
        <x:v>AR-00176</x:v>
      </x:c>
      <x:c r="C182" s="21" t="str">
        <x:v>F05-I2</x:v>
      </x:c>
      <x:c r="D182" s="21" t="str">
        <x:v>F05</x:v>
      </x:c>
      <x:c r="E182" s="21" t="n">
        <x:v>6</x:v>
      </x:c>
      <x:c r="F182" s="21" t="str">
        <x:v>Representative mission result</x:v>
      </x:c>
      <x:c r="G182" s="21" t="n">
        <x:v>23</x:v>
      </x:c>
      <x:c r="H182" s="21" t="str">
        <x:v>Receiving Service Authority</x:v>
      </x:c>
      <x:c r="I182" s="44" t="n">
        <x:f>Lifecycle!G12</x:f>
        <x:v>0.250345872587127</x:v>
      </x:c>
      <x:c r="J182" s="44" t="n">
        <x:v>0.06999999999999999</x:v>
      </x:c>
      <x:c r="K182" s="44" t="n">
        <x:f>I182*J182</x:f>
        <x:v>0.017524211081098886</x:v>
      </x:c>
      <x:c r="L182" s="46" t="n">
        <x:v>0</x:v>
      </x:c>
      <x:c r="M182" s="46" t="n">
        <x:v>0</x:v>
      </x:c>
      <x:c r="N182" s="21" t="n">
        <x:f>IF(AND(L181=1,M181=1,P181&gt;0),1,0)</x:f>
        <x:v>0</x:v>
      </x:c>
      <x:c r="O182" s="21" t="n">
        <x:f>MIN('Root Data'!I58:I60)</x:f>
        <x:v>0</x:v>
      </x:c>
      <x:c r="P182" s="44" t="n">
        <x:f>IF(AND(L182=1,M182=1,N182=1,O182&gt;=G182),K182,0)</x:f>
        <x:v>0</x:v>
      </x:c>
      <x:c r="Q182" s="21" t="str">
        <x:v>OPEN</x:v>
      </x:c>
      <x:c r="R182" s="23" t="str">
        <x:v>HOLD</x:v>
      </x:c>
    </x:row>
    <x:row r="183">
      <x:c r="B183" s="21" t="str">
        <x:v>AR-00177</x:v>
      </x:c>
      <x:c r="C183" s="21" t="str">
        <x:v>F05-I2</x:v>
      </x:c>
      <x:c r="D183" s="21" t="str">
        <x:v>F05</x:v>
      </x:c>
      <x:c r="E183" s="21" t="n">
        <x:v>7</x:v>
      </x:c>
      <x:c r="F183" s="21" t="str">
        <x:v>Independent reproduction</x:v>
      </x:c>
      <x:c r="G183" s="21" t="n">
        <x:v>28</x:v>
      </x:c>
      <x:c r="H183" s="21" t="str">
        <x:v>Independent Evidence and Data Authority</x:v>
      </x:c>
      <x:c r="I183" s="44" t="n">
        <x:f>Lifecycle!G13</x:f>
        <x:v>0.21740562619408393</x:v>
      </x:c>
      <x:c r="J183" s="44" t="n">
        <x:v>0.06999999999999999</x:v>
      </x:c>
      <x:c r="K183" s="44" t="n">
        <x:f>I183*J183</x:f>
        <x:v>0.015218393833585874</x:v>
      </x:c>
      <x:c r="L183" s="46" t="n">
        <x:v>0</x:v>
      </x:c>
      <x:c r="M183" s="46" t="n">
        <x:v>0</x:v>
      </x:c>
      <x:c r="N183" s="21" t="n">
        <x:f>IF(AND(L182=1,M182=1,P182&gt;0),1,0)</x:f>
        <x:v>0</x:v>
      </x:c>
      <x:c r="O183" s="21" t="n">
        <x:f>MIN('Root Data'!I58:I60)</x:f>
        <x:v>0</x:v>
      </x:c>
      <x:c r="P183" s="44" t="n">
        <x:f>IF(AND(L183=1,M183=1,N183=1,O183&gt;=G183),K183,0)</x:f>
        <x:v>0</x:v>
      </x:c>
      <x:c r="Q183" s="21" t="str">
        <x:v>OPEN</x:v>
      </x:c>
      <x:c r="R183" s="23" t="str">
        <x:v>HOLD</x:v>
      </x:c>
    </x:row>
    <x:row r="184">
      <x:c r="B184" s="21" t="str">
        <x:v>AR-00178</x:v>
      </x:c>
      <x:c r="C184" s="21" t="str">
        <x:v>F05-I2</x:v>
      </x:c>
      <x:c r="D184" s="21" t="str">
        <x:v>F05</x:v>
      </x:c>
      <x:c r="E184" s="21" t="n">
        <x:v>8</x:v>
      </x:c>
      <x:c r="F184" s="21" t="str">
        <x:v>Pilot-process qualification</x:v>
      </x:c>
      <x:c r="G184" s="21" t="n">
        <x:v>28</x:v>
      </x:c>
      <x:c r="H184" s="21" t="str">
        <x:v>AIMC Industrial Mobilization Authority</x:v>
      </x:c>
      <x:c r="I184" s="44" t="n">
        <x:f>Lifecycle!G14</x:f>
        <x:v>0.03952829567165163</x:v>
      </x:c>
      <x:c r="J184" s="44" t="n">
        <x:v>0.06999999999999999</x:v>
      </x:c>
      <x:c r="K184" s="44" t="n">
        <x:f>I184*J184</x:f>
        <x:v>0.0027669806970156137</x:v>
      </x:c>
      <x:c r="L184" s="46" t="n">
        <x:v>0</x:v>
      </x:c>
      <x:c r="M184" s="46" t="n">
        <x:v>0</x:v>
      </x:c>
      <x:c r="N184" s="21" t="n">
        <x:f>IF(AND(L183=1,M183=1,P183&gt;0),1,0)</x:f>
        <x:v>0</x:v>
      </x:c>
      <x:c r="O184" s="21" t="n">
        <x:f>MIN('Root Data'!I58:I60)</x:f>
        <x:v>0</x:v>
      </x:c>
      <x:c r="P184" s="44" t="n">
        <x:f>IF(AND(L184=1,M184=1,N184=1,O184&gt;=G184),K184,0)</x:f>
        <x:v>0</x:v>
      </x:c>
      <x:c r="Q184" s="21" t="str">
        <x:v>OPEN</x:v>
      </x:c>
      <x:c r="R184" s="23" t="str">
        <x:v>HOLD</x:v>
      </x:c>
    </x:row>
    <x:row r="185">
      <x:c r="B185" s="21" t="str">
        <x:v>AR-00179</x:v>
      </x:c>
      <x:c r="C185" s="21" t="str">
        <x:v>F05-I2</x:v>
      </x:c>
      <x:c r="D185" s="21" t="str">
        <x:v>F05</x:v>
      </x:c>
      <x:c r="E185" s="21" t="n">
        <x:v>9</x:v>
      </x:c>
      <x:c r="F185" s="21" t="str">
        <x:v>Production release package</x:v>
      </x:c>
      <x:c r="G185" s="21" t="n">
        <x:v>28</x:v>
      </x:c>
      <x:c r="H185" s="21" t="str">
        <x:v>Production Release Board</x:v>
      </x:c>
      <x:c r="I185" s="44" t="n">
        <x:f>Lifecycle!G15</x:f>
        <x:v>0.01647012319652151</x:v>
      </x:c>
      <x:c r="J185" s="44" t="n">
        <x:v>0.06999999999999999</x:v>
      </x:c>
      <x:c r="K185" s="44" t="n">
        <x:f>I185*J185</x:f>
        <x:v>0.0011529086237565057</x:v>
      </x:c>
      <x:c r="L185" s="46" t="n">
        <x:v>0</x:v>
      </x:c>
      <x:c r="M185" s="46" t="n">
        <x:v>0</x:v>
      </x:c>
      <x:c r="N185" s="21" t="n">
        <x:f>IF(AND(L184=1,M184=1,P184&gt;0),1,0)</x:f>
        <x:v>0</x:v>
      </x:c>
      <x:c r="O185" s="21" t="n">
        <x:f>MIN('Root Data'!I58:I60)</x:f>
        <x:v>0</x:v>
      </x:c>
      <x:c r="P185" s="44" t="n">
        <x:f>IF(AND(L185=1,M185=1,N185=1,O185&gt;=G185),K185,0)</x:f>
        <x:v>0</x:v>
      </x:c>
      <x:c r="Q185" s="21" t="str">
        <x:v>OPEN</x:v>
      </x:c>
      <x:c r="R185" s="23" t="str">
        <x:v>HOLD</x:v>
      </x:c>
    </x:row>
    <x:row r="186">
      <x:c r="B186" s="21" t="str">
        <x:v>AR-00180</x:v>
      </x:c>
      <x:c r="C186" s="21" t="str">
        <x:v>F05-I2</x:v>
      </x:c>
      <x:c r="D186" s="21" t="str">
        <x:v>F05</x:v>
      </x:c>
      <x:c r="E186" s="21" t="n">
        <x:v>10</x:v>
      </x:c>
      <x:c r="F186" s="21" t="str">
        <x:v>Mobilization activation</x:v>
      </x:c>
      <x:c r="G186" s="21" t="n">
        <x:v>28</x:v>
      </x:c>
      <x:c r="H186" s="21" t="str">
        <x:v>Production Release Board</x:v>
      </x:c>
      <x:c r="I186" s="44" t="n">
        <x:f>Lifecycle!G16</x:f>
        <x:v>0.028262731405230914</x:v>
      </x:c>
      <x:c r="J186" s="44" t="n">
        <x:v>0.06999999999999999</x:v>
      </x:c>
      <x:c r="K186" s="44" t="n">
        <x:f>I186*J186</x:f>
        <x:v>0.0019783911983661637</x:v>
      </x:c>
      <x:c r="L186" s="46" t="n">
        <x:v>0</x:v>
      </x:c>
      <x:c r="M186" s="46" t="n">
        <x:v>0</x:v>
      </x:c>
      <x:c r="N186" s="21" t="n">
        <x:f>IF(AND(L185=1,M185=1,P185&gt;0),1,0)</x:f>
        <x:v>0</x:v>
      </x:c>
      <x:c r="O186" s="21" t="n">
        <x:f>MIN('Root Data'!I58:I60)</x:f>
        <x:v>0</x:v>
      </x:c>
      <x:c r="P186" s="44" t="n">
        <x:f>IF(AND(L186=1,M186=1,N186=1,O186&gt;=G186),K186,0)</x:f>
        <x:v>0</x:v>
      </x:c>
      <x:c r="Q186" s="21" t="str">
        <x:v>OPEN</x:v>
      </x:c>
      <x:c r="R186" s="23" t="str">
        <x:v>HOLD</x:v>
      </x:c>
    </x:row>
    <x:row r="187">
      <x:c r="B187" s="21" t="str">
        <x:v>AR-00181</x:v>
      </x:c>
      <x:c r="C187" s="21" t="str">
        <x:v>F05-I3</x:v>
      </x:c>
      <x:c r="D187" s="21" t="str">
        <x:v>F05</x:v>
      </x:c>
      <x:c r="E187" s="21" t="n">
        <x:v>1</x:v>
      </x:c>
      <x:c r="F187" s="21" t="str">
        <x:v>Civil effect charter</x:v>
      </x:c>
      <x:c r="G187" s="21" t="n">
        <x:v>0</x:v>
      </x:c>
      <x:c r="H187" s="21" t="str">
        <x:v>Civil Guarantee Authority</x:v>
      </x:c>
      <x:c r="I187" s="44" t="n">
        <x:f>Lifecycle!G7</x:f>
        <x:v>0.04941036958956453</x:v>
      </x:c>
      <x:c r="J187" s="44" t="n">
        <x:v>0.06999999999999999</x:v>
      </x:c>
      <x:c r="K187" s="44" t="n">
        <x:f>I187*J187</x:f>
        <x:v>0.0034587258712695168</x:v>
      </x:c>
      <x:c r="L187" s="46" t="n">
        <x:v>0</x:v>
      </x:c>
      <x:c r="M187" s="46" t="n">
        <x:v>0</x:v>
      </x:c>
      <x:c r="N187" s="21" t="n">
        <x:f>1</x:f>
        <x:v>1</x:v>
      </x:c>
      <x:c r="O187" s="21" t="n">
        <x:f>MIN('Root Data'!I61:I63)</x:f>
        <x:v>0</x:v>
      </x:c>
      <x:c r="P187" s="44" t="n">
        <x:f>IF(AND(L187=1,M187=1,N187=1,O187&gt;=G187),K187,0)</x:f>
        <x:v>0</x:v>
      </x:c>
      <x:c r="Q187" s="21" t="str">
        <x:v>OPEN</x:v>
      </x:c>
      <x:c r="R187" s="23" t="str">
        <x:v>HOLD</x:v>
      </x:c>
    </x:row>
    <x:row r="188">
      <x:c r="B188" s="21" t="str">
        <x:v>AR-00182</x:v>
      </x:c>
      <x:c r="C188" s="21" t="str">
        <x:v>F05-I3</x:v>
      </x:c>
      <x:c r="D188" s="21" t="str">
        <x:v>F05</x:v>
      </x:c>
      <x:c r="E188" s="21" t="n">
        <x:v>2</x:v>
      </x:c>
      <x:c r="F188" s="21" t="str">
        <x:v>Requirement and root-independence package</x:v>
      </x:c>
      <x:c r="G188" s="21" t="n">
        <x:v>8</x:v>
      </x:c>
      <x:c r="H188" s="21" t="str">
        <x:v>Resilience Staff</x:v>
      </x:c>
      <x:c r="I188" s="44" t="n">
        <x:f>Lifecycle!G8</x:f>
        <x:v>0.10211476381843337</x:v>
      </x:c>
      <x:c r="J188" s="44" t="n">
        <x:v>0.06999999999999999</x:v>
      </x:c>
      <x:c r="K188" s="44" t="n">
        <x:f>I188*J188</x:f>
        <x:v>0.007148033467290336</x:v>
      </x:c>
      <x:c r="L188" s="46" t="n">
        <x:v>0</x:v>
      </x:c>
      <x:c r="M188" s="46" t="n">
        <x:v>0</x:v>
      </x:c>
      <x:c r="N188" s="21" t="n">
        <x:f>IF(AND(L187=1,M187=1,P187&gt;0),1,0)</x:f>
        <x:v>0</x:v>
      </x:c>
      <x:c r="O188" s="21" t="n">
        <x:f>MIN('Root Data'!I61:I63)</x:f>
        <x:v>0</x:v>
      </x:c>
      <x:c r="P188" s="44" t="n">
        <x:f>IF(AND(L188=1,M188=1,N188=1,O188&gt;=G188),K188,0)</x:f>
        <x:v>0</x:v>
      </x:c>
      <x:c r="Q188" s="21" t="str">
        <x:v>OPEN</x:v>
      </x:c>
      <x:c r="R188" s="23" t="str">
        <x:v>HOLD</x:v>
      </x:c>
    </x:row>
    <x:row r="189">
      <x:c r="B189" s="21" t="str">
        <x:v>AR-00183</x:v>
      </x:c>
      <x:c r="C189" s="21" t="str">
        <x:v>F05-I3</x:v>
      </x:c>
      <x:c r="D189" s="21" t="str">
        <x:v>F05</x:v>
      </x:c>
      <x:c r="E189" s="21" t="n">
        <x:v>3</x:v>
      </x:c>
      <x:c r="F189" s="21" t="str">
        <x:v>Architecture and burden closure</x:v>
      </x:c>
      <x:c r="G189" s="21" t="n">
        <x:v>14</x:v>
      </x:c>
      <x:c r="H189" s="21" t="str">
        <x:v>Independent Evidence and Data Authority</x:v>
      </x:c>
      <x:c r="I189" s="44" t="n">
        <x:f>Lifecycle!G9</x:f>
        <x:v>0.08564464062191186</x:v>
      </x:c>
      <x:c r="J189" s="44" t="n">
        <x:v>0.06999999999999999</x:v>
      </x:c>
      <x:c r="K189" s="44" t="n">
        <x:f>I189*J189</x:f>
        <x:v>0.00599512484353383</x:v>
      </x:c>
      <x:c r="L189" s="46" t="n">
        <x:v>0</x:v>
      </x:c>
      <x:c r="M189" s="46" t="n">
        <x:v>0</x:v>
      </x:c>
      <x:c r="N189" s="21" t="n">
        <x:f>IF(AND(L188=1,M188=1,P188&gt;0),1,0)</x:f>
        <x:v>0</x:v>
      </x:c>
      <x:c r="O189" s="21" t="n">
        <x:f>MIN('Root Data'!I61:I63)</x:f>
        <x:v>0</x:v>
      </x:c>
      <x:c r="P189" s="44" t="n">
        <x:f>IF(AND(L189=1,M189=1,N189=1,O189&gt;=G189),K189,0)</x:f>
        <x:v>0</x:v>
      </x:c>
      <x:c r="Q189" s="21" t="str">
        <x:v>OPEN</x:v>
      </x:c>
      <x:c r="R189" s="23" t="str">
        <x:v>HOLD</x:v>
      </x:c>
    </x:row>
    <x:row r="190">
      <x:c r="B190" s="21" t="str">
        <x:v>AR-00184</x:v>
      </x:c>
      <x:c r="C190" s="21" t="str">
        <x:v>F05-I3</x:v>
      </x:c>
      <x:c r="D190" s="21" t="str">
        <x:v>F05</x:v>
      </x:c>
      <x:c r="E190" s="21" t="n">
        <x:v>4</x:v>
      </x:c>
      <x:c r="F190" s="21" t="str">
        <x:v>Engineering article acceptance</x:v>
      </x:c>
      <x:c r="G190" s="21" t="n">
        <x:v>18</x:v>
      </x:c>
      <x:c r="H190" s="21" t="str">
        <x:v>Independent Evidence and Data Authority</x:v>
      </x:c>
      <x:c r="I190" s="44" t="n">
        <x:f>Lifecycle!G10</x:f>
        <x:v>0.05929244350747744</x:v>
      </x:c>
      <x:c r="J190" s="44" t="n">
        <x:v>0.06999999999999999</x:v>
      </x:c>
      <x:c r="K190" s="44" t="n">
        <x:f>I190*J190</x:f>
        <x:v>0.00415047104552342</x:v>
      </x:c>
      <x:c r="L190" s="46" t="n">
        <x:v>0</x:v>
      </x:c>
      <x:c r="M190" s="46" t="n">
        <x:v>0</x:v>
      </x:c>
      <x:c r="N190" s="21" t="n">
        <x:f>IF(AND(L189=1,M189=1,P189&gt;0),1,0)</x:f>
        <x:v>0</x:v>
      </x:c>
      <x:c r="O190" s="21" t="n">
        <x:f>MIN('Root Data'!I61:I63)</x:f>
        <x:v>0</x:v>
      </x:c>
      <x:c r="P190" s="44" t="n">
        <x:f>IF(AND(L190=1,M190=1,N190=1,O190&gt;=G190),K190,0)</x:f>
        <x:v>0</x:v>
      </x:c>
      <x:c r="Q190" s="21" t="str">
        <x:v>OPEN</x:v>
      </x:c>
      <x:c r="R190" s="23" t="str">
        <x:v>HOLD</x:v>
      </x:c>
    </x:row>
    <x:row r="191">
      <x:c r="B191" s="21" t="str">
        <x:v>AR-00185</x:v>
      </x:c>
      <x:c r="C191" s="21" t="str">
        <x:v>F05-I3</x:v>
      </x:c>
      <x:c r="D191" s="21" t="str">
        <x:v>F05</x:v>
      </x:c>
      <x:c r="E191" s="21" t="n">
        <x:v>5</x:v>
      </x:c>
      <x:c r="F191" s="21" t="str">
        <x:v>Qualification and destructive evidence</x:v>
      </x:c>
      <x:c r="G191" s="21" t="n">
        <x:v>21</x:v>
      </x:c>
      <x:c r="H191" s="21" t="str">
        <x:v>Independent Evidence and Data Authority</x:v>
      </x:c>
      <x:c r="I191" s="44" t="n">
        <x:f>Lifecycle!G11</x:f>
        <x:v>0.1515251334079979</x:v>
      </x:c>
      <x:c r="J191" s="44" t="n">
        <x:v>0.06999999999999999</x:v>
      </x:c>
      <x:c r="K191" s="44" t="n">
        <x:f>I191*J191</x:f>
        <x:v>0.01060675933855985</x:v>
      </x:c>
      <x:c r="L191" s="46" t="n">
        <x:v>0</x:v>
      </x:c>
      <x:c r="M191" s="46" t="n">
        <x:v>0</x:v>
      </x:c>
      <x:c r="N191" s="21" t="n">
        <x:f>IF(AND(L190=1,M190=1,P190&gt;0),1,0)</x:f>
        <x:v>0</x:v>
      </x:c>
      <x:c r="O191" s="21" t="n">
        <x:f>MIN('Root Data'!I61:I63)</x:f>
        <x:v>0</x:v>
      </x:c>
      <x:c r="P191" s="44" t="n">
        <x:f>IF(AND(L191=1,M191=1,N191=1,O191&gt;=G191),K191,0)</x:f>
        <x:v>0</x:v>
      </x:c>
      <x:c r="Q191" s="21" t="str">
        <x:v>OPEN</x:v>
      </x:c>
      <x:c r="R191" s="23" t="str">
        <x:v>HOLD</x:v>
      </x:c>
    </x:row>
    <x:row r="192">
      <x:c r="B192" s="21" t="str">
        <x:v>AR-00186</x:v>
      </x:c>
      <x:c r="C192" s="21" t="str">
        <x:v>F05-I3</x:v>
      </x:c>
      <x:c r="D192" s="21" t="str">
        <x:v>F05</x:v>
      </x:c>
      <x:c r="E192" s="21" t="n">
        <x:v>6</x:v>
      </x:c>
      <x:c r="F192" s="21" t="str">
        <x:v>Representative mission result</x:v>
      </x:c>
      <x:c r="G192" s="21" t="n">
        <x:v>23</x:v>
      </x:c>
      <x:c r="H192" s="21" t="str">
        <x:v>Receiving Service Authority</x:v>
      </x:c>
      <x:c r="I192" s="44" t="n">
        <x:f>Lifecycle!G12</x:f>
        <x:v>0.250345872587127</x:v>
      </x:c>
      <x:c r="J192" s="44" t="n">
        <x:v>0.06999999999999999</x:v>
      </x:c>
      <x:c r="K192" s="44" t="n">
        <x:f>I192*J192</x:f>
        <x:v>0.017524211081098886</x:v>
      </x:c>
      <x:c r="L192" s="46" t="n">
        <x:v>0</x:v>
      </x:c>
      <x:c r="M192" s="46" t="n">
        <x:v>0</x:v>
      </x:c>
      <x:c r="N192" s="21" t="n">
        <x:f>IF(AND(L191=1,M191=1,P191&gt;0),1,0)</x:f>
        <x:v>0</x:v>
      </x:c>
      <x:c r="O192" s="21" t="n">
        <x:f>MIN('Root Data'!I61:I63)</x:f>
        <x:v>0</x:v>
      </x:c>
      <x:c r="P192" s="44" t="n">
        <x:f>IF(AND(L192=1,M192=1,N192=1,O192&gt;=G192),K192,0)</x:f>
        <x:v>0</x:v>
      </x:c>
      <x:c r="Q192" s="21" t="str">
        <x:v>OPEN</x:v>
      </x:c>
      <x:c r="R192" s="23" t="str">
        <x:v>HOLD</x:v>
      </x:c>
    </x:row>
    <x:row r="193">
      <x:c r="B193" s="21" t="str">
        <x:v>AR-00187</x:v>
      </x:c>
      <x:c r="C193" s="21" t="str">
        <x:v>F05-I3</x:v>
      </x:c>
      <x:c r="D193" s="21" t="str">
        <x:v>F05</x:v>
      </x:c>
      <x:c r="E193" s="21" t="n">
        <x:v>7</x:v>
      </x:c>
      <x:c r="F193" s="21" t="str">
        <x:v>Independent reproduction</x:v>
      </x:c>
      <x:c r="G193" s="21" t="n">
        <x:v>28</x:v>
      </x:c>
      <x:c r="H193" s="21" t="str">
        <x:v>Independent Evidence and Data Authority</x:v>
      </x:c>
      <x:c r="I193" s="44" t="n">
        <x:f>Lifecycle!G13</x:f>
        <x:v>0.21740562619408393</x:v>
      </x:c>
      <x:c r="J193" s="44" t="n">
        <x:v>0.06999999999999999</x:v>
      </x:c>
      <x:c r="K193" s="44" t="n">
        <x:f>I193*J193</x:f>
        <x:v>0.015218393833585874</x:v>
      </x:c>
      <x:c r="L193" s="46" t="n">
        <x:v>0</x:v>
      </x:c>
      <x:c r="M193" s="46" t="n">
        <x:v>0</x:v>
      </x:c>
      <x:c r="N193" s="21" t="n">
        <x:f>IF(AND(L192=1,M192=1,P192&gt;0),1,0)</x:f>
        <x:v>0</x:v>
      </x:c>
      <x:c r="O193" s="21" t="n">
        <x:f>MIN('Root Data'!I61:I63)</x:f>
        <x:v>0</x:v>
      </x:c>
      <x:c r="P193" s="44" t="n">
        <x:f>IF(AND(L193=1,M193=1,N193=1,O193&gt;=G193),K193,0)</x:f>
        <x:v>0</x:v>
      </x:c>
      <x:c r="Q193" s="21" t="str">
        <x:v>OPEN</x:v>
      </x:c>
      <x:c r="R193" s="23" t="str">
        <x:v>HOLD</x:v>
      </x:c>
    </x:row>
    <x:row r="194">
      <x:c r="B194" s="21" t="str">
        <x:v>AR-00188</x:v>
      </x:c>
      <x:c r="C194" s="21" t="str">
        <x:v>F05-I3</x:v>
      </x:c>
      <x:c r="D194" s="21" t="str">
        <x:v>F05</x:v>
      </x:c>
      <x:c r="E194" s="21" t="n">
        <x:v>8</x:v>
      </x:c>
      <x:c r="F194" s="21" t="str">
        <x:v>Pilot-process qualification</x:v>
      </x:c>
      <x:c r="G194" s="21" t="n">
        <x:v>28</x:v>
      </x:c>
      <x:c r="H194" s="21" t="str">
        <x:v>AIMC Industrial Mobilization Authority</x:v>
      </x:c>
      <x:c r="I194" s="44" t="n">
        <x:f>Lifecycle!G14</x:f>
        <x:v>0.03952829567165163</x:v>
      </x:c>
      <x:c r="J194" s="44" t="n">
        <x:v>0.06999999999999999</x:v>
      </x:c>
      <x:c r="K194" s="44" t="n">
        <x:f>I194*J194</x:f>
        <x:v>0.0027669806970156137</x:v>
      </x:c>
      <x:c r="L194" s="46" t="n">
        <x:v>0</x:v>
      </x:c>
      <x:c r="M194" s="46" t="n">
        <x:v>0</x:v>
      </x:c>
      <x:c r="N194" s="21" t="n">
        <x:f>IF(AND(L193=1,M193=1,P193&gt;0),1,0)</x:f>
        <x:v>0</x:v>
      </x:c>
      <x:c r="O194" s="21" t="n">
        <x:f>MIN('Root Data'!I61:I63)</x:f>
        <x:v>0</x:v>
      </x:c>
      <x:c r="P194" s="44" t="n">
        <x:f>IF(AND(L194=1,M194=1,N194=1,O194&gt;=G194),K194,0)</x:f>
        <x:v>0</x:v>
      </x:c>
      <x:c r="Q194" s="21" t="str">
        <x:v>OPEN</x:v>
      </x:c>
      <x:c r="R194" s="23" t="str">
        <x:v>HOLD</x:v>
      </x:c>
    </x:row>
    <x:row r="195">
      <x:c r="B195" s="21" t="str">
        <x:v>AR-00189</x:v>
      </x:c>
      <x:c r="C195" s="21" t="str">
        <x:v>F05-I3</x:v>
      </x:c>
      <x:c r="D195" s="21" t="str">
        <x:v>F05</x:v>
      </x:c>
      <x:c r="E195" s="21" t="n">
        <x:v>9</x:v>
      </x:c>
      <x:c r="F195" s="21" t="str">
        <x:v>Production release package</x:v>
      </x:c>
      <x:c r="G195" s="21" t="n">
        <x:v>28</x:v>
      </x:c>
      <x:c r="H195" s="21" t="str">
        <x:v>Production Release Board</x:v>
      </x:c>
      <x:c r="I195" s="44" t="n">
        <x:f>Lifecycle!G15</x:f>
        <x:v>0.01647012319652151</x:v>
      </x:c>
      <x:c r="J195" s="44" t="n">
        <x:v>0.06999999999999999</x:v>
      </x:c>
      <x:c r="K195" s="44" t="n">
        <x:f>I195*J195</x:f>
        <x:v>0.0011529086237565057</x:v>
      </x:c>
      <x:c r="L195" s="46" t="n">
        <x:v>0</x:v>
      </x:c>
      <x:c r="M195" s="46" t="n">
        <x:v>0</x:v>
      </x:c>
      <x:c r="N195" s="21" t="n">
        <x:f>IF(AND(L194=1,M194=1,P194&gt;0),1,0)</x:f>
        <x:v>0</x:v>
      </x:c>
      <x:c r="O195" s="21" t="n">
        <x:f>MIN('Root Data'!I61:I63)</x:f>
        <x:v>0</x:v>
      </x:c>
      <x:c r="P195" s="44" t="n">
        <x:f>IF(AND(L195=1,M195=1,N195=1,O195&gt;=G195),K195,0)</x:f>
        <x:v>0</x:v>
      </x:c>
      <x:c r="Q195" s="21" t="str">
        <x:v>OPEN</x:v>
      </x:c>
      <x:c r="R195" s="23" t="str">
        <x:v>HOLD</x:v>
      </x:c>
    </x:row>
    <x:row r="196">
      <x:c r="B196" s="21" t="str">
        <x:v>AR-00190</x:v>
      </x:c>
      <x:c r="C196" s="21" t="str">
        <x:v>F05-I3</x:v>
      </x:c>
      <x:c r="D196" s="21" t="str">
        <x:v>F05</x:v>
      </x:c>
      <x:c r="E196" s="21" t="n">
        <x:v>10</x:v>
      </x:c>
      <x:c r="F196" s="21" t="str">
        <x:v>Mobilization activation</x:v>
      </x:c>
      <x:c r="G196" s="21" t="n">
        <x:v>28</x:v>
      </x:c>
      <x:c r="H196" s="21" t="str">
        <x:v>Production Release Board</x:v>
      </x:c>
      <x:c r="I196" s="44" t="n">
        <x:f>Lifecycle!G16</x:f>
        <x:v>0.028262731405230914</x:v>
      </x:c>
      <x:c r="J196" s="44" t="n">
        <x:v>0.06999999999999999</x:v>
      </x:c>
      <x:c r="K196" s="44" t="n">
        <x:f>I196*J196</x:f>
        <x:v>0.0019783911983661637</x:v>
      </x:c>
      <x:c r="L196" s="46" t="n">
        <x:v>0</x:v>
      </x:c>
      <x:c r="M196" s="46" t="n">
        <x:v>0</x:v>
      </x:c>
      <x:c r="N196" s="21" t="n">
        <x:f>IF(AND(L195=1,M195=1,P195&gt;0),1,0)</x:f>
        <x:v>0</x:v>
      </x:c>
      <x:c r="O196" s="21" t="n">
        <x:f>MIN('Root Data'!I61:I63)</x:f>
        <x:v>0</x:v>
      </x:c>
      <x:c r="P196" s="44" t="n">
        <x:f>IF(AND(L196=1,M196=1,N196=1,O196&gt;=G196),K196,0)</x:f>
        <x:v>0</x:v>
      </x:c>
      <x:c r="Q196" s="21" t="str">
        <x:v>OPEN</x:v>
      </x:c>
      <x:c r="R196" s="23" t="str">
        <x:v>HOLD</x:v>
      </x:c>
    </x:row>
    <x:row r="197">
      <x:c r="B197" s="21" t="str">
        <x:v>AR-00191</x:v>
      </x:c>
      <x:c r="C197" s="21" t="str">
        <x:v>F05-I4</x:v>
      </x:c>
      <x:c r="D197" s="21" t="str">
        <x:v>F05</x:v>
      </x:c>
      <x:c r="E197" s="21" t="n">
        <x:v>1</x:v>
      </x:c>
      <x:c r="F197" s="21" t="str">
        <x:v>Civil effect charter</x:v>
      </x:c>
      <x:c r="G197" s="21" t="n">
        <x:v>0</x:v>
      </x:c>
      <x:c r="H197" s="21" t="str">
        <x:v>Civil Guarantee Authority</x:v>
      </x:c>
      <x:c r="I197" s="44" t="n">
        <x:f>Lifecycle!G7</x:f>
        <x:v>0.04941036958956453</x:v>
      </x:c>
      <x:c r="J197" s="44" t="n">
        <x:v>0.06999999999999999</x:v>
      </x:c>
      <x:c r="K197" s="44" t="n">
        <x:f>I197*J197</x:f>
        <x:v>0.0034587258712695168</x:v>
      </x:c>
      <x:c r="L197" s="46" t="n">
        <x:v>0</x:v>
      </x:c>
      <x:c r="M197" s="46" t="n">
        <x:v>0</x:v>
      </x:c>
      <x:c r="N197" s="21" t="n">
        <x:f>1</x:f>
        <x:v>1</x:v>
      </x:c>
      <x:c r="O197" s="21" t="n">
        <x:f>MIN('Root Data'!I64:I66)</x:f>
        <x:v>0</x:v>
      </x:c>
      <x:c r="P197" s="44" t="n">
        <x:f>IF(AND(L197=1,M197=1,N197=1,O197&gt;=G197),K197,0)</x:f>
        <x:v>0</x:v>
      </x:c>
      <x:c r="Q197" s="21" t="str">
        <x:v>OPEN</x:v>
      </x:c>
      <x:c r="R197" s="23" t="str">
        <x:v>HOLD</x:v>
      </x:c>
    </x:row>
    <x:row r="198">
      <x:c r="B198" s="21" t="str">
        <x:v>AR-00192</x:v>
      </x:c>
      <x:c r="C198" s="21" t="str">
        <x:v>F05-I4</x:v>
      </x:c>
      <x:c r="D198" s="21" t="str">
        <x:v>F05</x:v>
      </x:c>
      <x:c r="E198" s="21" t="n">
        <x:v>2</x:v>
      </x:c>
      <x:c r="F198" s="21" t="str">
        <x:v>Requirement and root-independence package</x:v>
      </x:c>
      <x:c r="G198" s="21" t="n">
        <x:v>8</x:v>
      </x:c>
      <x:c r="H198" s="21" t="str">
        <x:v>Resilience Staff</x:v>
      </x:c>
      <x:c r="I198" s="44" t="n">
        <x:f>Lifecycle!G8</x:f>
        <x:v>0.10211476381843337</x:v>
      </x:c>
      <x:c r="J198" s="44" t="n">
        <x:v>0.06999999999999999</x:v>
      </x:c>
      <x:c r="K198" s="44" t="n">
        <x:f>I198*J198</x:f>
        <x:v>0.007148033467290336</x:v>
      </x:c>
      <x:c r="L198" s="46" t="n">
        <x:v>0</x:v>
      </x:c>
      <x:c r="M198" s="46" t="n">
        <x:v>0</x:v>
      </x:c>
      <x:c r="N198" s="21" t="n">
        <x:f>IF(AND(L197=1,M197=1,P197&gt;0),1,0)</x:f>
        <x:v>0</x:v>
      </x:c>
      <x:c r="O198" s="21" t="n">
        <x:f>MIN('Root Data'!I64:I66)</x:f>
        <x:v>0</x:v>
      </x:c>
      <x:c r="P198" s="44" t="n">
        <x:f>IF(AND(L198=1,M198=1,N198=1,O198&gt;=G198),K198,0)</x:f>
        <x:v>0</x:v>
      </x:c>
      <x:c r="Q198" s="21" t="str">
        <x:v>OPEN</x:v>
      </x:c>
      <x:c r="R198" s="23" t="str">
        <x:v>HOLD</x:v>
      </x:c>
    </x:row>
    <x:row r="199">
      <x:c r="B199" s="21" t="str">
        <x:v>AR-00193</x:v>
      </x:c>
      <x:c r="C199" s="21" t="str">
        <x:v>F05-I4</x:v>
      </x:c>
      <x:c r="D199" s="21" t="str">
        <x:v>F05</x:v>
      </x:c>
      <x:c r="E199" s="21" t="n">
        <x:v>3</x:v>
      </x:c>
      <x:c r="F199" s="21" t="str">
        <x:v>Architecture and burden closure</x:v>
      </x:c>
      <x:c r="G199" s="21" t="n">
        <x:v>14</x:v>
      </x:c>
      <x:c r="H199" s="21" t="str">
        <x:v>Independent Evidence and Data Authority</x:v>
      </x:c>
      <x:c r="I199" s="44" t="n">
        <x:f>Lifecycle!G9</x:f>
        <x:v>0.08564464062191186</x:v>
      </x:c>
      <x:c r="J199" s="44" t="n">
        <x:v>0.06999999999999999</x:v>
      </x:c>
      <x:c r="K199" s="44" t="n">
        <x:f>I199*J199</x:f>
        <x:v>0.00599512484353383</x:v>
      </x:c>
      <x:c r="L199" s="46" t="n">
        <x:v>0</x:v>
      </x:c>
      <x:c r="M199" s="46" t="n">
        <x:v>0</x:v>
      </x:c>
      <x:c r="N199" s="21" t="n">
        <x:f>IF(AND(L198=1,M198=1,P198&gt;0),1,0)</x:f>
        <x:v>0</x:v>
      </x:c>
      <x:c r="O199" s="21" t="n">
        <x:f>MIN('Root Data'!I64:I66)</x:f>
        <x:v>0</x:v>
      </x:c>
      <x:c r="P199" s="44" t="n">
        <x:f>IF(AND(L199=1,M199=1,N199=1,O199&gt;=G199),K199,0)</x:f>
        <x:v>0</x:v>
      </x:c>
      <x:c r="Q199" s="21" t="str">
        <x:v>OPEN</x:v>
      </x:c>
      <x:c r="R199" s="23" t="str">
        <x:v>HOLD</x:v>
      </x:c>
    </x:row>
    <x:row r="200">
      <x:c r="B200" s="21" t="str">
        <x:v>AR-00194</x:v>
      </x:c>
      <x:c r="C200" s="21" t="str">
        <x:v>F05-I4</x:v>
      </x:c>
      <x:c r="D200" s="21" t="str">
        <x:v>F05</x:v>
      </x:c>
      <x:c r="E200" s="21" t="n">
        <x:v>4</x:v>
      </x:c>
      <x:c r="F200" s="21" t="str">
        <x:v>Engineering article acceptance</x:v>
      </x:c>
      <x:c r="G200" s="21" t="n">
        <x:v>18</x:v>
      </x:c>
      <x:c r="H200" s="21" t="str">
        <x:v>Independent Evidence and Data Authority</x:v>
      </x:c>
      <x:c r="I200" s="44" t="n">
        <x:f>Lifecycle!G10</x:f>
        <x:v>0.05929244350747744</x:v>
      </x:c>
      <x:c r="J200" s="44" t="n">
        <x:v>0.06999999999999999</x:v>
      </x:c>
      <x:c r="K200" s="44" t="n">
        <x:f>I200*J200</x:f>
        <x:v>0.00415047104552342</x:v>
      </x:c>
      <x:c r="L200" s="46" t="n">
        <x:v>0</x:v>
      </x:c>
      <x:c r="M200" s="46" t="n">
        <x:v>0</x:v>
      </x:c>
      <x:c r="N200" s="21" t="n">
        <x:f>IF(AND(L199=1,M199=1,P199&gt;0),1,0)</x:f>
        <x:v>0</x:v>
      </x:c>
      <x:c r="O200" s="21" t="n">
        <x:f>MIN('Root Data'!I64:I66)</x:f>
        <x:v>0</x:v>
      </x:c>
      <x:c r="P200" s="44" t="n">
        <x:f>IF(AND(L200=1,M200=1,N200=1,O200&gt;=G200),K200,0)</x:f>
        <x:v>0</x:v>
      </x:c>
      <x:c r="Q200" s="21" t="str">
        <x:v>OPEN</x:v>
      </x:c>
      <x:c r="R200" s="23" t="str">
        <x:v>HOLD</x:v>
      </x:c>
    </x:row>
    <x:row r="201">
      <x:c r="B201" s="21" t="str">
        <x:v>AR-00195</x:v>
      </x:c>
      <x:c r="C201" s="21" t="str">
        <x:v>F05-I4</x:v>
      </x:c>
      <x:c r="D201" s="21" t="str">
        <x:v>F05</x:v>
      </x:c>
      <x:c r="E201" s="21" t="n">
        <x:v>5</x:v>
      </x:c>
      <x:c r="F201" s="21" t="str">
        <x:v>Qualification and destructive evidence</x:v>
      </x:c>
      <x:c r="G201" s="21" t="n">
        <x:v>21</x:v>
      </x:c>
      <x:c r="H201" s="21" t="str">
        <x:v>Independent Evidence and Data Authority</x:v>
      </x:c>
      <x:c r="I201" s="44" t="n">
        <x:f>Lifecycle!G11</x:f>
        <x:v>0.1515251334079979</x:v>
      </x:c>
      <x:c r="J201" s="44" t="n">
        <x:v>0.06999999999999999</x:v>
      </x:c>
      <x:c r="K201" s="44" t="n">
        <x:f>I201*J201</x:f>
        <x:v>0.01060675933855985</x:v>
      </x:c>
      <x:c r="L201" s="46" t="n">
        <x:v>0</x:v>
      </x:c>
      <x:c r="M201" s="46" t="n">
        <x:v>0</x:v>
      </x:c>
      <x:c r="N201" s="21" t="n">
        <x:f>IF(AND(L200=1,M200=1,P200&gt;0),1,0)</x:f>
        <x:v>0</x:v>
      </x:c>
      <x:c r="O201" s="21" t="n">
        <x:f>MIN('Root Data'!I64:I66)</x:f>
        <x:v>0</x:v>
      </x:c>
      <x:c r="P201" s="44" t="n">
        <x:f>IF(AND(L201=1,M201=1,N201=1,O201&gt;=G201),K201,0)</x:f>
        <x:v>0</x:v>
      </x:c>
      <x:c r="Q201" s="21" t="str">
        <x:v>OPEN</x:v>
      </x:c>
      <x:c r="R201" s="23" t="str">
        <x:v>HOLD</x:v>
      </x:c>
    </x:row>
    <x:row r="202">
      <x:c r="B202" s="21" t="str">
        <x:v>AR-00196</x:v>
      </x:c>
      <x:c r="C202" s="21" t="str">
        <x:v>F05-I4</x:v>
      </x:c>
      <x:c r="D202" s="21" t="str">
        <x:v>F05</x:v>
      </x:c>
      <x:c r="E202" s="21" t="n">
        <x:v>6</x:v>
      </x:c>
      <x:c r="F202" s="21" t="str">
        <x:v>Representative mission result</x:v>
      </x:c>
      <x:c r="G202" s="21" t="n">
        <x:v>23</x:v>
      </x:c>
      <x:c r="H202" s="21" t="str">
        <x:v>Receiving Service Authority</x:v>
      </x:c>
      <x:c r="I202" s="44" t="n">
        <x:f>Lifecycle!G12</x:f>
        <x:v>0.250345872587127</x:v>
      </x:c>
      <x:c r="J202" s="44" t="n">
        <x:v>0.06999999999999999</x:v>
      </x:c>
      <x:c r="K202" s="44" t="n">
        <x:f>I202*J202</x:f>
        <x:v>0.017524211081098886</x:v>
      </x:c>
      <x:c r="L202" s="46" t="n">
        <x:v>0</x:v>
      </x:c>
      <x:c r="M202" s="46" t="n">
        <x:v>0</x:v>
      </x:c>
      <x:c r="N202" s="21" t="n">
        <x:f>IF(AND(L201=1,M201=1,P201&gt;0),1,0)</x:f>
        <x:v>0</x:v>
      </x:c>
      <x:c r="O202" s="21" t="n">
        <x:f>MIN('Root Data'!I64:I66)</x:f>
        <x:v>0</x:v>
      </x:c>
      <x:c r="P202" s="44" t="n">
        <x:f>IF(AND(L202=1,M202=1,N202=1,O202&gt;=G202),K202,0)</x:f>
        <x:v>0</x:v>
      </x:c>
      <x:c r="Q202" s="21" t="str">
        <x:v>OPEN</x:v>
      </x:c>
      <x:c r="R202" s="23" t="str">
        <x:v>HOLD</x:v>
      </x:c>
    </x:row>
    <x:row r="203">
      <x:c r="B203" s="21" t="str">
        <x:v>AR-00197</x:v>
      </x:c>
      <x:c r="C203" s="21" t="str">
        <x:v>F05-I4</x:v>
      </x:c>
      <x:c r="D203" s="21" t="str">
        <x:v>F05</x:v>
      </x:c>
      <x:c r="E203" s="21" t="n">
        <x:v>7</x:v>
      </x:c>
      <x:c r="F203" s="21" t="str">
        <x:v>Independent reproduction</x:v>
      </x:c>
      <x:c r="G203" s="21" t="n">
        <x:v>28</x:v>
      </x:c>
      <x:c r="H203" s="21" t="str">
        <x:v>Independent Evidence and Data Authority</x:v>
      </x:c>
      <x:c r="I203" s="44" t="n">
        <x:f>Lifecycle!G13</x:f>
        <x:v>0.21740562619408393</x:v>
      </x:c>
      <x:c r="J203" s="44" t="n">
        <x:v>0.06999999999999999</x:v>
      </x:c>
      <x:c r="K203" s="44" t="n">
        <x:f>I203*J203</x:f>
        <x:v>0.015218393833585874</x:v>
      </x:c>
      <x:c r="L203" s="46" t="n">
        <x:v>0</x:v>
      </x:c>
      <x:c r="M203" s="46" t="n">
        <x:v>0</x:v>
      </x:c>
      <x:c r="N203" s="21" t="n">
        <x:f>IF(AND(L202=1,M202=1,P202&gt;0),1,0)</x:f>
        <x:v>0</x:v>
      </x:c>
      <x:c r="O203" s="21" t="n">
        <x:f>MIN('Root Data'!I64:I66)</x:f>
        <x:v>0</x:v>
      </x:c>
      <x:c r="P203" s="44" t="n">
        <x:f>IF(AND(L203=1,M203=1,N203=1,O203&gt;=G203),K203,0)</x:f>
        <x:v>0</x:v>
      </x:c>
      <x:c r="Q203" s="21" t="str">
        <x:v>OPEN</x:v>
      </x:c>
      <x:c r="R203" s="23" t="str">
        <x:v>HOLD</x:v>
      </x:c>
    </x:row>
    <x:row r="204">
      <x:c r="B204" s="21" t="str">
        <x:v>AR-00198</x:v>
      </x:c>
      <x:c r="C204" s="21" t="str">
        <x:v>F05-I4</x:v>
      </x:c>
      <x:c r="D204" s="21" t="str">
        <x:v>F05</x:v>
      </x:c>
      <x:c r="E204" s="21" t="n">
        <x:v>8</x:v>
      </x:c>
      <x:c r="F204" s="21" t="str">
        <x:v>Pilot-process qualification</x:v>
      </x:c>
      <x:c r="G204" s="21" t="n">
        <x:v>28</x:v>
      </x:c>
      <x:c r="H204" s="21" t="str">
        <x:v>AIMC Industrial Mobilization Authority</x:v>
      </x:c>
      <x:c r="I204" s="44" t="n">
        <x:f>Lifecycle!G14</x:f>
        <x:v>0.03952829567165163</x:v>
      </x:c>
      <x:c r="J204" s="44" t="n">
        <x:v>0.06999999999999999</x:v>
      </x:c>
      <x:c r="K204" s="44" t="n">
        <x:f>I204*J204</x:f>
        <x:v>0.0027669806970156137</x:v>
      </x:c>
      <x:c r="L204" s="46" t="n">
        <x:v>0</x:v>
      </x:c>
      <x:c r="M204" s="46" t="n">
        <x:v>0</x:v>
      </x:c>
      <x:c r="N204" s="21" t="n">
        <x:f>IF(AND(L203=1,M203=1,P203&gt;0),1,0)</x:f>
        <x:v>0</x:v>
      </x:c>
      <x:c r="O204" s="21" t="n">
        <x:f>MIN('Root Data'!I64:I66)</x:f>
        <x:v>0</x:v>
      </x:c>
      <x:c r="P204" s="44" t="n">
        <x:f>IF(AND(L204=1,M204=1,N204=1,O204&gt;=G204),K204,0)</x:f>
        <x:v>0</x:v>
      </x:c>
      <x:c r="Q204" s="21" t="str">
        <x:v>OPEN</x:v>
      </x:c>
      <x:c r="R204" s="23" t="str">
        <x:v>HOLD</x:v>
      </x:c>
    </x:row>
    <x:row r="205">
      <x:c r="B205" s="21" t="str">
        <x:v>AR-00199</x:v>
      </x:c>
      <x:c r="C205" s="21" t="str">
        <x:v>F05-I4</x:v>
      </x:c>
      <x:c r="D205" s="21" t="str">
        <x:v>F05</x:v>
      </x:c>
      <x:c r="E205" s="21" t="n">
        <x:v>9</x:v>
      </x:c>
      <x:c r="F205" s="21" t="str">
        <x:v>Production release package</x:v>
      </x:c>
      <x:c r="G205" s="21" t="n">
        <x:v>28</x:v>
      </x:c>
      <x:c r="H205" s="21" t="str">
        <x:v>Production Release Board</x:v>
      </x:c>
      <x:c r="I205" s="44" t="n">
        <x:f>Lifecycle!G15</x:f>
        <x:v>0.01647012319652151</x:v>
      </x:c>
      <x:c r="J205" s="44" t="n">
        <x:v>0.06999999999999999</x:v>
      </x:c>
      <x:c r="K205" s="44" t="n">
        <x:f>I205*J205</x:f>
        <x:v>0.0011529086237565057</x:v>
      </x:c>
      <x:c r="L205" s="46" t="n">
        <x:v>0</x:v>
      </x:c>
      <x:c r="M205" s="46" t="n">
        <x:v>0</x:v>
      </x:c>
      <x:c r="N205" s="21" t="n">
        <x:f>IF(AND(L204=1,M204=1,P204&gt;0),1,0)</x:f>
        <x:v>0</x:v>
      </x:c>
      <x:c r="O205" s="21" t="n">
        <x:f>MIN('Root Data'!I64:I66)</x:f>
        <x:v>0</x:v>
      </x:c>
      <x:c r="P205" s="44" t="n">
        <x:f>IF(AND(L205=1,M205=1,N205=1,O205&gt;=G205),K205,0)</x:f>
        <x:v>0</x:v>
      </x:c>
      <x:c r="Q205" s="21" t="str">
        <x:v>OPEN</x:v>
      </x:c>
      <x:c r="R205" s="23" t="str">
        <x:v>HOLD</x:v>
      </x:c>
    </x:row>
    <x:row r="206">
      <x:c r="B206" s="21" t="str">
        <x:v>AR-00200</x:v>
      </x:c>
      <x:c r="C206" s="21" t="str">
        <x:v>F05-I4</x:v>
      </x:c>
      <x:c r="D206" s="21" t="str">
        <x:v>F05</x:v>
      </x:c>
      <x:c r="E206" s="21" t="n">
        <x:v>10</x:v>
      </x:c>
      <x:c r="F206" s="21" t="str">
        <x:v>Mobilization activation</x:v>
      </x:c>
      <x:c r="G206" s="21" t="n">
        <x:v>28</x:v>
      </x:c>
      <x:c r="H206" s="21" t="str">
        <x:v>Production Release Board</x:v>
      </x:c>
      <x:c r="I206" s="44" t="n">
        <x:f>Lifecycle!G16</x:f>
        <x:v>0.028262731405230914</x:v>
      </x:c>
      <x:c r="J206" s="44" t="n">
        <x:v>0.06999999999999999</x:v>
      </x:c>
      <x:c r="K206" s="44" t="n">
        <x:f>I206*J206</x:f>
        <x:v>0.0019783911983661637</x:v>
      </x:c>
      <x:c r="L206" s="46" t="n">
        <x:v>0</x:v>
      </x:c>
      <x:c r="M206" s="46" t="n">
        <x:v>0</x:v>
      </x:c>
      <x:c r="N206" s="21" t="n">
        <x:f>IF(AND(L205=1,M205=1,P205&gt;0),1,0)</x:f>
        <x:v>0</x:v>
      </x:c>
      <x:c r="O206" s="21" t="n">
        <x:f>MIN('Root Data'!I64:I66)</x:f>
        <x:v>0</x:v>
      </x:c>
      <x:c r="P206" s="44" t="n">
        <x:f>IF(AND(L206=1,M206=1,N206=1,O206&gt;=G206),K206,0)</x:f>
        <x:v>0</x:v>
      </x:c>
      <x:c r="Q206" s="21" t="str">
        <x:v>OPEN</x:v>
      </x:c>
      <x:c r="R206" s="23" t="str">
        <x:v>HOLD</x:v>
      </x:c>
    </x:row>
    <x:row r="207">
      <x:c r="B207" s="21" t="str">
        <x:v>AR-00201</x:v>
      </x:c>
      <x:c r="C207" s="21" t="str">
        <x:v>F06-I1</x:v>
      </x:c>
      <x:c r="D207" s="21" t="str">
        <x:v>F06</x:v>
      </x:c>
      <x:c r="E207" s="21" t="n">
        <x:v>1</x:v>
      </x:c>
      <x:c r="F207" s="21" t="str">
        <x:v>Civil effect charter</x:v>
      </x:c>
      <x:c r="G207" s="21" t="n">
        <x:v>0</x:v>
      </x:c>
      <x:c r="H207" s="21" t="str">
        <x:v>Civil Guarantee Authority</x:v>
      </x:c>
      <x:c r="I207" s="44" t="n">
        <x:f>Lifecycle!G7</x:f>
        <x:v>0.04941036958956453</x:v>
      </x:c>
      <x:c r="J207" s="44" t="n">
        <x:v>0.06999999999999999</x:v>
      </x:c>
      <x:c r="K207" s="44" t="n">
        <x:f>I207*J207</x:f>
        <x:v>0.0034587258712695168</x:v>
      </x:c>
      <x:c r="L207" s="46" t="n">
        <x:v>0</x:v>
      </x:c>
      <x:c r="M207" s="46" t="n">
        <x:v>0</x:v>
      </x:c>
      <x:c r="N207" s="21" t="n">
        <x:f>1</x:f>
        <x:v>1</x:v>
      </x:c>
      <x:c r="O207" s="21" t="n">
        <x:f>MIN('Root Data'!I67:I69)</x:f>
        <x:v>0</x:v>
      </x:c>
      <x:c r="P207" s="44" t="n">
        <x:f>IF(AND(L207=1,M207=1,N207=1,O207&gt;=G207),K207,0)</x:f>
        <x:v>0</x:v>
      </x:c>
      <x:c r="Q207" s="21" t="str">
        <x:v>OPEN</x:v>
      </x:c>
      <x:c r="R207" s="23" t="str">
        <x:v>HOLD</x:v>
      </x:c>
    </x:row>
    <x:row r="208">
      <x:c r="B208" s="21" t="str">
        <x:v>AR-00202</x:v>
      </x:c>
      <x:c r="C208" s="21" t="str">
        <x:v>F06-I1</x:v>
      </x:c>
      <x:c r="D208" s="21" t="str">
        <x:v>F06</x:v>
      </x:c>
      <x:c r="E208" s="21" t="n">
        <x:v>2</x:v>
      </x:c>
      <x:c r="F208" s="21" t="str">
        <x:v>Requirement and root-independence package</x:v>
      </x:c>
      <x:c r="G208" s="21" t="n">
        <x:v>8</x:v>
      </x:c>
      <x:c r="H208" s="21" t="str">
        <x:v>Resilience Staff</x:v>
      </x:c>
      <x:c r="I208" s="44" t="n">
        <x:f>Lifecycle!G8</x:f>
        <x:v>0.10211476381843337</x:v>
      </x:c>
      <x:c r="J208" s="44" t="n">
        <x:v>0.06999999999999999</x:v>
      </x:c>
      <x:c r="K208" s="44" t="n">
        <x:f>I208*J208</x:f>
        <x:v>0.007148033467290336</x:v>
      </x:c>
      <x:c r="L208" s="46" t="n">
        <x:v>0</x:v>
      </x:c>
      <x:c r="M208" s="46" t="n">
        <x:v>0</x:v>
      </x:c>
      <x:c r="N208" s="21" t="n">
        <x:f>IF(AND(L207=1,M207=1,P207&gt;0),1,0)</x:f>
        <x:v>0</x:v>
      </x:c>
      <x:c r="O208" s="21" t="n">
        <x:f>MIN('Root Data'!I67:I69)</x:f>
        <x:v>0</x:v>
      </x:c>
      <x:c r="P208" s="44" t="n">
        <x:f>IF(AND(L208=1,M208=1,N208=1,O208&gt;=G208),K208,0)</x:f>
        <x:v>0</x:v>
      </x:c>
      <x:c r="Q208" s="21" t="str">
        <x:v>OPEN</x:v>
      </x:c>
      <x:c r="R208" s="23" t="str">
        <x:v>HOLD</x:v>
      </x:c>
    </x:row>
    <x:row r="209">
      <x:c r="B209" s="21" t="str">
        <x:v>AR-00203</x:v>
      </x:c>
      <x:c r="C209" s="21" t="str">
        <x:v>F06-I1</x:v>
      </x:c>
      <x:c r="D209" s="21" t="str">
        <x:v>F06</x:v>
      </x:c>
      <x:c r="E209" s="21" t="n">
        <x:v>3</x:v>
      </x:c>
      <x:c r="F209" s="21" t="str">
        <x:v>Architecture and burden closure</x:v>
      </x:c>
      <x:c r="G209" s="21" t="n">
        <x:v>14</x:v>
      </x:c>
      <x:c r="H209" s="21" t="str">
        <x:v>Independent Evidence and Data Authority</x:v>
      </x:c>
      <x:c r="I209" s="44" t="n">
        <x:f>Lifecycle!G9</x:f>
        <x:v>0.08564464062191186</x:v>
      </x:c>
      <x:c r="J209" s="44" t="n">
        <x:v>0.06999999999999999</x:v>
      </x:c>
      <x:c r="K209" s="44" t="n">
        <x:f>I209*J209</x:f>
        <x:v>0.00599512484353383</x:v>
      </x:c>
      <x:c r="L209" s="46" t="n">
        <x:v>0</x:v>
      </x:c>
      <x:c r="M209" s="46" t="n">
        <x:v>0</x:v>
      </x:c>
      <x:c r="N209" s="21" t="n">
        <x:f>IF(AND(L208=1,M208=1,P208&gt;0),1,0)</x:f>
        <x:v>0</x:v>
      </x:c>
      <x:c r="O209" s="21" t="n">
        <x:f>MIN('Root Data'!I67:I69)</x:f>
        <x:v>0</x:v>
      </x:c>
      <x:c r="P209" s="44" t="n">
        <x:f>IF(AND(L209=1,M209=1,N209=1,O209&gt;=G209),K209,0)</x:f>
        <x:v>0</x:v>
      </x:c>
      <x:c r="Q209" s="21" t="str">
        <x:v>OPEN</x:v>
      </x:c>
      <x:c r="R209" s="23" t="str">
        <x:v>HOLD</x:v>
      </x:c>
    </x:row>
    <x:row r="210">
      <x:c r="B210" s="21" t="str">
        <x:v>AR-00204</x:v>
      </x:c>
      <x:c r="C210" s="21" t="str">
        <x:v>F06-I1</x:v>
      </x:c>
      <x:c r="D210" s="21" t="str">
        <x:v>F06</x:v>
      </x:c>
      <x:c r="E210" s="21" t="n">
        <x:v>4</x:v>
      </x:c>
      <x:c r="F210" s="21" t="str">
        <x:v>Engineering article acceptance</x:v>
      </x:c>
      <x:c r="G210" s="21" t="n">
        <x:v>18</x:v>
      </x:c>
      <x:c r="H210" s="21" t="str">
        <x:v>Independent Evidence and Data Authority</x:v>
      </x:c>
      <x:c r="I210" s="44" t="n">
        <x:f>Lifecycle!G10</x:f>
        <x:v>0.05929244350747744</x:v>
      </x:c>
      <x:c r="J210" s="44" t="n">
        <x:v>0.06999999999999999</x:v>
      </x:c>
      <x:c r="K210" s="44" t="n">
        <x:f>I210*J210</x:f>
        <x:v>0.00415047104552342</x:v>
      </x:c>
      <x:c r="L210" s="46" t="n">
        <x:v>0</x:v>
      </x:c>
      <x:c r="M210" s="46" t="n">
        <x:v>0</x:v>
      </x:c>
      <x:c r="N210" s="21" t="n">
        <x:f>IF(AND(L209=1,M209=1,P209&gt;0),1,0)</x:f>
        <x:v>0</x:v>
      </x:c>
      <x:c r="O210" s="21" t="n">
        <x:f>MIN('Root Data'!I67:I69)</x:f>
        <x:v>0</x:v>
      </x:c>
      <x:c r="P210" s="44" t="n">
        <x:f>IF(AND(L210=1,M210=1,N210=1,O210&gt;=G210),K210,0)</x:f>
        <x:v>0</x:v>
      </x:c>
      <x:c r="Q210" s="21" t="str">
        <x:v>OPEN</x:v>
      </x:c>
      <x:c r="R210" s="23" t="str">
        <x:v>HOLD</x:v>
      </x:c>
    </x:row>
    <x:row r="211">
      <x:c r="B211" s="21" t="str">
        <x:v>AR-00205</x:v>
      </x:c>
      <x:c r="C211" s="21" t="str">
        <x:v>F06-I1</x:v>
      </x:c>
      <x:c r="D211" s="21" t="str">
        <x:v>F06</x:v>
      </x:c>
      <x:c r="E211" s="21" t="n">
        <x:v>5</x:v>
      </x:c>
      <x:c r="F211" s="21" t="str">
        <x:v>Qualification and destructive evidence</x:v>
      </x:c>
      <x:c r="G211" s="21" t="n">
        <x:v>21</x:v>
      </x:c>
      <x:c r="H211" s="21" t="str">
        <x:v>Independent Evidence and Data Authority</x:v>
      </x:c>
      <x:c r="I211" s="44" t="n">
        <x:f>Lifecycle!G11</x:f>
        <x:v>0.1515251334079979</x:v>
      </x:c>
      <x:c r="J211" s="44" t="n">
        <x:v>0.06999999999999999</x:v>
      </x:c>
      <x:c r="K211" s="44" t="n">
        <x:f>I211*J211</x:f>
        <x:v>0.01060675933855985</x:v>
      </x:c>
      <x:c r="L211" s="46" t="n">
        <x:v>0</x:v>
      </x:c>
      <x:c r="M211" s="46" t="n">
        <x:v>0</x:v>
      </x:c>
      <x:c r="N211" s="21" t="n">
        <x:f>IF(AND(L210=1,M210=1,P210&gt;0),1,0)</x:f>
        <x:v>0</x:v>
      </x:c>
      <x:c r="O211" s="21" t="n">
        <x:f>MIN('Root Data'!I67:I69)</x:f>
        <x:v>0</x:v>
      </x:c>
      <x:c r="P211" s="44" t="n">
        <x:f>IF(AND(L211=1,M211=1,N211=1,O211&gt;=G211),K211,0)</x:f>
        <x:v>0</x:v>
      </x:c>
      <x:c r="Q211" s="21" t="str">
        <x:v>OPEN</x:v>
      </x:c>
      <x:c r="R211" s="23" t="str">
        <x:v>HOLD</x:v>
      </x:c>
    </x:row>
    <x:row r="212">
      <x:c r="B212" s="21" t="str">
        <x:v>AR-00206</x:v>
      </x:c>
      <x:c r="C212" s="21" t="str">
        <x:v>F06-I1</x:v>
      </x:c>
      <x:c r="D212" s="21" t="str">
        <x:v>F06</x:v>
      </x:c>
      <x:c r="E212" s="21" t="n">
        <x:v>6</x:v>
      </x:c>
      <x:c r="F212" s="21" t="str">
        <x:v>Representative mission result</x:v>
      </x:c>
      <x:c r="G212" s="21" t="n">
        <x:v>23</x:v>
      </x:c>
      <x:c r="H212" s="21" t="str">
        <x:v>Receiving Service Authority</x:v>
      </x:c>
      <x:c r="I212" s="44" t="n">
        <x:f>Lifecycle!G12</x:f>
        <x:v>0.250345872587127</x:v>
      </x:c>
      <x:c r="J212" s="44" t="n">
        <x:v>0.06999999999999999</x:v>
      </x:c>
      <x:c r="K212" s="44" t="n">
        <x:f>I212*J212</x:f>
        <x:v>0.017524211081098886</x:v>
      </x:c>
      <x:c r="L212" s="46" t="n">
        <x:v>0</x:v>
      </x:c>
      <x:c r="M212" s="46" t="n">
        <x:v>0</x:v>
      </x:c>
      <x:c r="N212" s="21" t="n">
        <x:f>IF(AND(L211=1,M211=1,P211&gt;0),1,0)</x:f>
        <x:v>0</x:v>
      </x:c>
      <x:c r="O212" s="21" t="n">
        <x:f>MIN('Root Data'!I67:I69)</x:f>
        <x:v>0</x:v>
      </x:c>
      <x:c r="P212" s="44" t="n">
        <x:f>IF(AND(L212=1,M212=1,N212=1,O212&gt;=G212),K212,0)</x:f>
        <x:v>0</x:v>
      </x:c>
      <x:c r="Q212" s="21" t="str">
        <x:v>OPEN</x:v>
      </x:c>
      <x:c r="R212" s="23" t="str">
        <x:v>HOLD</x:v>
      </x:c>
    </x:row>
    <x:row r="213">
      <x:c r="B213" s="21" t="str">
        <x:v>AR-00207</x:v>
      </x:c>
      <x:c r="C213" s="21" t="str">
        <x:v>F06-I1</x:v>
      </x:c>
      <x:c r="D213" s="21" t="str">
        <x:v>F06</x:v>
      </x:c>
      <x:c r="E213" s="21" t="n">
        <x:v>7</x:v>
      </x:c>
      <x:c r="F213" s="21" t="str">
        <x:v>Independent reproduction</x:v>
      </x:c>
      <x:c r="G213" s="21" t="n">
        <x:v>28</x:v>
      </x:c>
      <x:c r="H213" s="21" t="str">
        <x:v>Independent Evidence and Data Authority</x:v>
      </x:c>
      <x:c r="I213" s="44" t="n">
        <x:f>Lifecycle!G13</x:f>
        <x:v>0.21740562619408393</x:v>
      </x:c>
      <x:c r="J213" s="44" t="n">
        <x:v>0.06999999999999999</x:v>
      </x:c>
      <x:c r="K213" s="44" t="n">
        <x:f>I213*J213</x:f>
        <x:v>0.015218393833585874</x:v>
      </x:c>
      <x:c r="L213" s="46" t="n">
        <x:v>0</x:v>
      </x:c>
      <x:c r="M213" s="46" t="n">
        <x:v>0</x:v>
      </x:c>
      <x:c r="N213" s="21" t="n">
        <x:f>IF(AND(L212=1,M212=1,P212&gt;0),1,0)</x:f>
        <x:v>0</x:v>
      </x:c>
      <x:c r="O213" s="21" t="n">
        <x:f>MIN('Root Data'!I67:I69)</x:f>
        <x:v>0</x:v>
      </x:c>
      <x:c r="P213" s="44" t="n">
        <x:f>IF(AND(L213=1,M213=1,N213=1,O213&gt;=G213),K213,0)</x:f>
        <x:v>0</x:v>
      </x:c>
      <x:c r="Q213" s="21" t="str">
        <x:v>OPEN</x:v>
      </x:c>
      <x:c r="R213" s="23" t="str">
        <x:v>HOLD</x:v>
      </x:c>
    </x:row>
    <x:row r="214">
      <x:c r="B214" s="21" t="str">
        <x:v>AR-00208</x:v>
      </x:c>
      <x:c r="C214" s="21" t="str">
        <x:v>F06-I1</x:v>
      </x:c>
      <x:c r="D214" s="21" t="str">
        <x:v>F06</x:v>
      </x:c>
      <x:c r="E214" s="21" t="n">
        <x:v>8</x:v>
      </x:c>
      <x:c r="F214" s="21" t="str">
        <x:v>Pilot-process qualification</x:v>
      </x:c>
      <x:c r="G214" s="21" t="n">
        <x:v>28</x:v>
      </x:c>
      <x:c r="H214" s="21" t="str">
        <x:v>AIMC Industrial Mobilization Authority</x:v>
      </x:c>
      <x:c r="I214" s="44" t="n">
        <x:f>Lifecycle!G14</x:f>
        <x:v>0.03952829567165163</x:v>
      </x:c>
      <x:c r="J214" s="44" t="n">
        <x:v>0.06999999999999999</x:v>
      </x:c>
      <x:c r="K214" s="44" t="n">
        <x:f>I214*J214</x:f>
        <x:v>0.0027669806970156137</x:v>
      </x:c>
      <x:c r="L214" s="46" t="n">
        <x:v>0</x:v>
      </x:c>
      <x:c r="M214" s="46" t="n">
        <x:v>0</x:v>
      </x:c>
      <x:c r="N214" s="21" t="n">
        <x:f>IF(AND(L213=1,M213=1,P213&gt;0),1,0)</x:f>
        <x:v>0</x:v>
      </x:c>
      <x:c r="O214" s="21" t="n">
        <x:f>MIN('Root Data'!I67:I69)</x:f>
        <x:v>0</x:v>
      </x:c>
      <x:c r="P214" s="44" t="n">
        <x:f>IF(AND(L214=1,M214=1,N214=1,O214&gt;=G214),K214,0)</x:f>
        <x:v>0</x:v>
      </x:c>
      <x:c r="Q214" s="21" t="str">
        <x:v>OPEN</x:v>
      </x:c>
      <x:c r="R214" s="23" t="str">
        <x:v>HOLD</x:v>
      </x:c>
    </x:row>
    <x:row r="215">
      <x:c r="B215" s="21" t="str">
        <x:v>AR-00209</x:v>
      </x:c>
      <x:c r="C215" s="21" t="str">
        <x:v>F06-I1</x:v>
      </x:c>
      <x:c r="D215" s="21" t="str">
        <x:v>F06</x:v>
      </x:c>
      <x:c r="E215" s="21" t="n">
        <x:v>9</x:v>
      </x:c>
      <x:c r="F215" s="21" t="str">
        <x:v>Production release package</x:v>
      </x:c>
      <x:c r="G215" s="21" t="n">
        <x:v>28</x:v>
      </x:c>
      <x:c r="H215" s="21" t="str">
        <x:v>Production Release Board</x:v>
      </x:c>
      <x:c r="I215" s="44" t="n">
        <x:f>Lifecycle!G15</x:f>
        <x:v>0.01647012319652151</x:v>
      </x:c>
      <x:c r="J215" s="44" t="n">
        <x:v>0.06999999999999999</x:v>
      </x:c>
      <x:c r="K215" s="44" t="n">
        <x:f>I215*J215</x:f>
        <x:v>0.0011529086237565057</x:v>
      </x:c>
      <x:c r="L215" s="46" t="n">
        <x:v>0</x:v>
      </x:c>
      <x:c r="M215" s="46" t="n">
        <x:v>0</x:v>
      </x:c>
      <x:c r="N215" s="21" t="n">
        <x:f>IF(AND(L214=1,M214=1,P214&gt;0),1,0)</x:f>
        <x:v>0</x:v>
      </x:c>
      <x:c r="O215" s="21" t="n">
        <x:f>MIN('Root Data'!I67:I69)</x:f>
        <x:v>0</x:v>
      </x:c>
      <x:c r="P215" s="44" t="n">
        <x:f>IF(AND(L215=1,M215=1,N215=1,O215&gt;=G215),K215,0)</x:f>
        <x:v>0</x:v>
      </x:c>
      <x:c r="Q215" s="21" t="str">
        <x:v>OPEN</x:v>
      </x:c>
      <x:c r="R215" s="23" t="str">
        <x:v>HOLD</x:v>
      </x:c>
    </x:row>
    <x:row r="216">
      <x:c r="B216" s="21" t="str">
        <x:v>AR-00210</x:v>
      </x:c>
      <x:c r="C216" s="21" t="str">
        <x:v>F06-I1</x:v>
      </x:c>
      <x:c r="D216" s="21" t="str">
        <x:v>F06</x:v>
      </x:c>
      <x:c r="E216" s="21" t="n">
        <x:v>10</x:v>
      </x:c>
      <x:c r="F216" s="21" t="str">
        <x:v>Mobilization activation</x:v>
      </x:c>
      <x:c r="G216" s="21" t="n">
        <x:v>28</x:v>
      </x:c>
      <x:c r="H216" s="21" t="str">
        <x:v>Production Release Board</x:v>
      </x:c>
      <x:c r="I216" s="44" t="n">
        <x:f>Lifecycle!G16</x:f>
        <x:v>0.028262731405230914</x:v>
      </x:c>
      <x:c r="J216" s="44" t="n">
        <x:v>0.06999999999999999</x:v>
      </x:c>
      <x:c r="K216" s="44" t="n">
        <x:f>I216*J216</x:f>
        <x:v>0.0019783911983661637</x:v>
      </x:c>
      <x:c r="L216" s="46" t="n">
        <x:v>0</x:v>
      </x:c>
      <x:c r="M216" s="46" t="n">
        <x:v>0</x:v>
      </x:c>
      <x:c r="N216" s="21" t="n">
        <x:f>IF(AND(L215=1,M215=1,P215&gt;0),1,0)</x:f>
        <x:v>0</x:v>
      </x:c>
      <x:c r="O216" s="21" t="n">
        <x:f>MIN('Root Data'!I67:I69)</x:f>
        <x:v>0</x:v>
      </x:c>
      <x:c r="P216" s="44" t="n">
        <x:f>IF(AND(L216=1,M216=1,N216=1,O216&gt;=G216),K216,0)</x:f>
        <x:v>0</x:v>
      </x:c>
      <x:c r="Q216" s="21" t="str">
        <x:v>OPEN</x:v>
      </x:c>
      <x:c r="R216" s="23" t="str">
        <x:v>HOLD</x:v>
      </x:c>
    </x:row>
    <x:row r="217">
      <x:c r="B217" s="21" t="str">
        <x:v>AR-00211</x:v>
      </x:c>
      <x:c r="C217" s="21" t="str">
        <x:v>F06-I2</x:v>
      </x:c>
      <x:c r="D217" s="21" t="str">
        <x:v>F06</x:v>
      </x:c>
      <x:c r="E217" s="21" t="n">
        <x:v>1</x:v>
      </x:c>
      <x:c r="F217" s="21" t="str">
        <x:v>Civil effect charter</x:v>
      </x:c>
      <x:c r="G217" s="21" t="n">
        <x:v>0</x:v>
      </x:c>
      <x:c r="H217" s="21" t="str">
        <x:v>Civil Guarantee Authority</x:v>
      </x:c>
      <x:c r="I217" s="44" t="n">
        <x:f>Lifecycle!G7</x:f>
        <x:v>0.04941036958956453</x:v>
      </x:c>
      <x:c r="J217" s="44" t="n">
        <x:v>0.06999999999999999</x:v>
      </x:c>
      <x:c r="K217" s="44" t="n">
        <x:f>I217*J217</x:f>
        <x:v>0.0034587258712695168</x:v>
      </x:c>
      <x:c r="L217" s="46" t="n">
        <x:v>0</x:v>
      </x:c>
      <x:c r="M217" s="46" t="n">
        <x:v>0</x:v>
      </x:c>
      <x:c r="N217" s="21" t="n">
        <x:f>1</x:f>
        <x:v>1</x:v>
      </x:c>
      <x:c r="O217" s="21" t="n">
        <x:f>MIN('Root Data'!I70:I72)</x:f>
        <x:v>0</x:v>
      </x:c>
      <x:c r="P217" s="44" t="n">
        <x:f>IF(AND(L217=1,M217=1,N217=1,O217&gt;=G217),K217,0)</x:f>
        <x:v>0</x:v>
      </x:c>
      <x:c r="Q217" s="21" t="str">
        <x:v>OPEN</x:v>
      </x:c>
      <x:c r="R217" s="23" t="str">
        <x:v>HOLD</x:v>
      </x:c>
    </x:row>
    <x:row r="218">
      <x:c r="B218" s="21" t="str">
        <x:v>AR-00212</x:v>
      </x:c>
      <x:c r="C218" s="21" t="str">
        <x:v>F06-I2</x:v>
      </x:c>
      <x:c r="D218" s="21" t="str">
        <x:v>F06</x:v>
      </x:c>
      <x:c r="E218" s="21" t="n">
        <x:v>2</x:v>
      </x:c>
      <x:c r="F218" s="21" t="str">
        <x:v>Requirement and root-independence package</x:v>
      </x:c>
      <x:c r="G218" s="21" t="n">
        <x:v>8</x:v>
      </x:c>
      <x:c r="H218" s="21" t="str">
        <x:v>Resilience Staff</x:v>
      </x:c>
      <x:c r="I218" s="44" t="n">
        <x:f>Lifecycle!G8</x:f>
        <x:v>0.10211476381843337</x:v>
      </x:c>
      <x:c r="J218" s="44" t="n">
        <x:v>0.06999999999999999</x:v>
      </x:c>
      <x:c r="K218" s="44" t="n">
        <x:f>I218*J218</x:f>
        <x:v>0.007148033467290336</x:v>
      </x:c>
      <x:c r="L218" s="46" t="n">
        <x:v>0</x:v>
      </x:c>
      <x:c r="M218" s="46" t="n">
        <x:v>0</x:v>
      </x:c>
      <x:c r="N218" s="21" t="n">
        <x:f>IF(AND(L217=1,M217=1,P217&gt;0),1,0)</x:f>
        <x:v>0</x:v>
      </x:c>
      <x:c r="O218" s="21" t="n">
        <x:f>MIN('Root Data'!I70:I72)</x:f>
        <x:v>0</x:v>
      </x:c>
      <x:c r="P218" s="44" t="n">
        <x:f>IF(AND(L218=1,M218=1,N218=1,O218&gt;=G218),K218,0)</x:f>
        <x:v>0</x:v>
      </x:c>
      <x:c r="Q218" s="21" t="str">
        <x:v>OPEN</x:v>
      </x:c>
      <x:c r="R218" s="23" t="str">
        <x:v>HOLD</x:v>
      </x:c>
    </x:row>
    <x:row r="219">
      <x:c r="B219" s="21" t="str">
        <x:v>AR-00213</x:v>
      </x:c>
      <x:c r="C219" s="21" t="str">
        <x:v>F06-I2</x:v>
      </x:c>
      <x:c r="D219" s="21" t="str">
        <x:v>F06</x:v>
      </x:c>
      <x:c r="E219" s="21" t="n">
        <x:v>3</x:v>
      </x:c>
      <x:c r="F219" s="21" t="str">
        <x:v>Architecture and burden closure</x:v>
      </x:c>
      <x:c r="G219" s="21" t="n">
        <x:v>14</x:v>
      </x:c>
      <x:c r="H219" s="21" t="str">
        <x:v>Independent Evidence and Data Authority</x:v>
      </x:c>
      <x:c r="I219" s="44" t="n">
        <x:f>Lifecycle!G9</x:f>
        <x:v>0.08564464062191186</x:v>
      </x:c>
      <x:c r="J219" s="44" t="n">
        <x:v>0.06999999999999999</x:v>
      </x:c>
      <x:c r="K219" s="44" t="n">
        <x:f>I219*J219</x:f>
        <x:v>0.00599512484353383</x:v>
      </x:c>
      <x:c r="L219" s="46" t="n">
        <x:v>0</x:v>
      </x:c>
      <x:c r="M219" s="46" t="n">
        <x:v>0</x:v>
      </x:c>
      <x:c r="N219" s="21" t="n">
        <x:f>IF(AND(L218=1,M218=1,P218&gt;0),1,0)</x:f>
        <x:v>0</x:v>
      </x:c>
      <x:c r="O219" s="21" t="n">
        <x:f>MIN('Root Data'!I70:I72)</x:f>
        <x:v>0</x:v>
      </x:c>
      <x:c r="P219" s="44" t="n">
        <x:f>IF(AND(L219=1,M219=1,N219=1,O219&gt;=G219),K219,0)</x:f>
        <x:v>0</x:v>
      </x:c>
      <x:c r="Q219" s="21" t="str">
        <x:v>OPEN</x:v>
      </x:c>
      <x:c r="R219" s="23" t="str">
        <x:v>HOLD</x:v>
      </x:c>
    </x:row>
    <x:row r="220">
      <x:c r="B220" s="21" t="str">
        <x:v>AR-00214</x:v>
      </x:c>
      <x:c r="C220" s="21" t="str">
        <x:v>F06-I2</x:v>
      </x:c>
      <x:c r="D220" s="21" t="str">
        <x:v>F06</x:v>
      </x:c>
      <x:c r="E220" s="21" t="n">
        <x:v>4</x:v>
      </x:c>
      <x:c r="F220" s="21" t="str">
        <x:v>Engineering article acceptance</x:v>
      </x:c>
      <x:c r="G220" s="21" t="n">
        <x:v>18</x:v>
      </x:c>
      <x:c r="H220" s="21" t="str">
        <x:v>Independent Evidence and Data Authority</x:v>
      </x:c>
      <x:c r="I220" s="44" t="n">
        <x:f>Lifecycle!G10</x:f>
        <x:v>0.05929244350747744</x:v>
      </x:c>
      <x:c r="J220" s="44" t="n">
        <x:v>0.06999999999999999</x:v>
      </x:c>
      <x:c r="K220" s="44" t="n">
        <x:f>I220*J220</x:f>
        <x:v>0.00415047104552342</x:v>
      </x:c>
      <x:c r="L220" s="46" t="n">
        <x:v>0</x:v>
      </x:c>
      <x:c r="M220" s="46" t="n">
        <x:v>0</x:v>
      </x:c>
      <x:c r="N220" s="21" t="n">
        <x:f>IF(AND(L219=1,M219=1,P219&gt;0),1,0)</x:f>
        <x:v>0</x:v>
      </x:c>
      <x:c r="O220" s="21" t="n">
        <x:f>MIN('Root Data'!I70:I72)</x:f>
        <x:v>0</x:v>
      </x:c>
      <x:c r="P220" s="44" t="n">
        <x:f>IF(AND(L220=1,M220=1,N220=1,O220&gt;=G220),K220,0)</x:f>
        <x:v>0</x:v>
      </x:c>
      <x:c r="Q220" s="21" t="str">
        <x:v>OPEN</x:v>
      </x:c>
      <x:c r="R220" s="23" t="str">
        <x:v>HOLD</x:v>
      </x:c>
    </x:row>
    <x:row r="221">
      <x:c r="B221" s="21" t="str">
        <x:v>AR-00215</x:v>
      </x:c>
      <x:c r="C221" s="21" t="str">
        <x:v>F06-I2</x:v>
      </x:c>
      <x:c r="D221" s="21" t="str">
        <x:v>F06</x:v>
      </x:c>
      <x:c r="E221" s="21" t="n">
        <x:v>5</x:v>
      </x:c>
      <x:c r="F221" s="21" t="str">
        <x:v>Qualification and destructive evidence</x:v>
      </x:c>
      <x:c r="G221" s="21" t="n">
        <x:v>21</x:v>
      </x:c>
      <x:c r="H221" s="21" t="str">
        <x:v>Independent Evidence and Data Authority</x:v>
      </x:c>
      <x:c r="I221" s="44" t="n">
        <x:f>Lifecycle!G11</x:f>
        <x:v>0.1515251334079979</x:v>
      </x:c>
      <x:c r="J221" s="44" t="n">
        <x:v>0.06999999999999999</x:v>
      </x:c>
      <x:c r="K221" s="44" t="n">
        <x:f>I221*J221</x:f>
        <x:v>0.01060675933855985</x:v>
      </x:c>
      <x:c r="L221" s="46" t="n">
        <x:v>0</x:v>
      </x:c>
      <x:c r="M221" s="46" t="n">
        <x:v>0</x:v>
      </x:c>
      <x:c r="N221" s="21" t="n">
        <x:f>IF(AND(L220=1,M220=1,P220&gt;0),1,0)</x:f>
        <x:v>0</x:v>
      </x:c>
      <x:c r="O221" s="21" t="n">
        <x:f>MIN('Root Data'!I70:I72)</x:f>
        <x:v>0</x:v>
      </x:c>
      <x:c r="P221" s="44" t="n">
        <x:f>IF(AND(L221=1,M221=1,N221=1,O221&gt;=G221),K221,0)</x:f>
        <x:v>0</x:v>
      </x:c>
      <x:c r="Q221" s="21" t="str">
        <x:v>OPEN</x:v>
      </x:c>
      <x:c r="R221" s="23" t="str">
        <x:v>HOLD</x:v>
      </x:c>
    </x:row>
    <x:row r="222">
      <x:c r="B222" s="21" t="str">
        <x:v>AR-00216</x:v>
      </x:c>
      <x:c r="C222" s="21" t="str">
        <x:v>F06-I2</x:v>
      </x:c>
      <x:c r="D222" s="21" t="str">
        <x:v>F06</x:v>
      </x:c>
      <x:c r="E222" s="21" t="n">
        <x:v>6</x:v>
      </x:c>
      <x:c r="F222" s="21" t="str">
        <x:v>Representative mission result</x:v>
      </x:c>
      <x:c r="G222" s="21" t="n">
        <x:v>23</x:v>
      </x:c>
      <x:c r="H222" s="21" t="str">
        <x:v>Receiving Service Authority</x:v>
      </x:c>
      <x:c r="I222" s="44" t="n">
        <x:f>Lifecycle!G12</x:f>
        <x:v>0.250345872587127</x:v>
      </x:c>
      <x:c r="J222" s="44" t="n">
        <x:v>0.06999999999999999</x:v>
      </x:c>
      <x:c r="K222" s="44" t="n">
        <x:f>I222*J222</x:f>
        <x:v>0.017524211081098886</x:v>
      </x:c>
      <x:c r="L222" s="46" t="n">
        <x:v>0</x:v>
      </x:c>
      <x:c r="M222" s="46" t="n">
        <x:v>0</x:v>
      </x:c>
      <x:c r="N222" s="21" t="n">
        <x:f>IF(AND(L221=1,M221=1,P221&gt;0),1,0)</x:f>
        <x:v>0</x:v>
      </x:c>
      <x:c r="O222" s="21" t="n">
        <x:f>MIN('Root Data'!I70:I72)</x:f>
        <x:v>0</x:v>
      </x:c>
      <x:c r="P222" s="44" t="n">
        <x:f>IF(AND(L222=1,M222=1,N222=1,O222&gt;=G222),K222,0)</x:f>
        <x:v>0</x:v>
      </x:c>
      <x:c r="Q222" s="21" t="str">
        <x:v>OPEN</x:v>
      </x:c>
      <x:c r="R222" s="23" t="str">
        <x:v>HOLD</x:v>
      </x:c>
    </x:row>
    <x:row r="223">
      <x:c r="B223" s="21" t="str">
        <x:v>AR-00217</x:v>
      </x:c>
      <x:c r="C223" s="21" t="str">
        <x:v>F06-I2</x:v>
      </x:c>
      <x:c r="D223" s="21" t="str">
        <x:v>F06</x:v>
      </x:c>
      <x:c r="E223" s="21" t="n">
        <x:v>7</x:v>
      </x:c>
      <x:c r="F223" s="21" t="str">
        <x:v>Independent reproduction</x:v>
      </x:c>
      <x:c r="G223" s="21" t="n">
        <x:v>28</x:v>
      </x:c>
      <x:c r="H223" s="21" t="str">
        <x:v>Independent Evidence and Data Authority</x:v>
      </x:c>
      <x:c r="I223" s="44" t="n">
        <x:f>Lifecycle!G13</x:f>
        <x:v>0.21740562619408393</x:v>
      </x:c>
      <x:c r="J223" s="44" t="n">
        <x:v>0.06999999999999999</x:v>
      </x:c>
      <x:c r="K223" s="44" t="n">
        <x:f>I223*J223</x:f>
        <x:v>0.015218393833585874</x:v>
      </x:c>
      <x:c r="L223" s="46" t="n">
        <x:v>0</x:v>
      </x:c>
      <x:c r="M223" s="46" t="n">
        <x:v>0</x:v>
      </x:c>
      <x:c r="N223" s="21" t="n">
        <x:f>IF(AND(L222=1,M222=1,P222&gt;0),1,0)</x:f>
        <x:v>0</x:v>
      </x:c>
      <x:c r="O223" s="21" t="n">
        <x:f>MIN('Root Data'!I70:I72)</x:f>
        <x:v>0</x:v>
      </x:c>
      <x:c r="P223" s="44" t="n">
        <x:f>IF(AND(L223=1,M223=1,N223=1,O223&gt;=G223),K223,0)</x:f>
        <x:v>0</x:v>
      </x:c>
      <x:c r="Q223" s="21" t="str">
        <x:v>OPEN</x:v>
      </x:c>
      <x:c r="R223" s="23" t="str">
        <x:v>HOLD</x:v>
      </x:c>
    </x:row>
    <x:row r="224">
      <x:c r="B224" s="21" t="str">
        <x:v>AR-00218</x:v>
      </x:c>
      <x:c r="C224" s="21" t="str">
        <x:v>F06-I2</x:v>
      </x:c>
      <x:c r="D224" s="21" t="str">
        <x:v>F06</x:v>
      </x:c>
      <x:c r="E224" s="21" t="n">
        <x:v>8</x:v>
      </x:c>
      <x:c r="F224" s="21" t="str">
        <x:v>Pilot-process qualification</x:v>
      </x:c>
      <x:c r="G224" s="21" t="n">
        <x:v>28</x:v>
      </x:c>
      <x:c r="H224" s="21" t="str">
        <x:v>AIMC Industrial Mobilization Authority</x:v>
      </x:c>
      <x:c r="I224" s="44" t="n">
        <x:f>Lifecycle!G14</x:f>
        <x:v>0.03952829567165163</x:v>
      </x:c>
      <x:c r="J224" s="44" t="n">
        <x:v>0.06999999999999999</x:v>
      </x:c>
      <x:c r="K224" s="44" t="n">
        <x:f>I224*J224</x:f>
        <x:v>0.0027669806970156137</x:v>
      </x:c>
      <x:c r="L224" s="46" t="n">
        <x:v>0</x:v>
      </x:c>
      <x:c r="M224" s="46" t="n">
        <x:v>0</x:v>
      </x:c>
      <x:c r="N224" s="21" t="n">
        <x:f>IF(AND(L223=1,M223=1,P223&gt;0),1,0)</x:f>
        <x:v>0</x:v>
      </x:c>
      <x:c r="O224" s="21" t="n">
        <x:f>MIN('Root Data'!I70:I72)</x:f>
        <x:v>0</x:v>
      </x:c>
      <x:c r="P224" s="44" t="n">
        <x:f>IF(AND(L224=1,M224=1,N224=1,O224&gt;=G224),K224,0)</x:f>
        <x:v>0</x:v>
      </x:c>
      <x:c r="Q224" s="21" t="str">
        <x:v>OPEN</x:v>
      </x:c>
      <x:c r="R224" s="23" t="str">
        <x:v>HOLD</x:v>
      </x:c>
    </x:row>
    <x:row r="225">
      <x:c r="B225" s="21" t="str">
        <x:v>AR-00219</x:v>
      </x:c>
      <x:c r="C225" s="21" t="str">
        <x:v>F06-I2</x:v>
      </x:c>
      <x:c r="D225" s="21" t="str">
        <x:v>F06</x:v>
      </x:c>
      <x:c r="E225" s="21" t="n">
        <x:v>9</x:v>
      </x:c>
      <x:c r="F225" s="21" t="str">
        <x:v>Production release package</x:v>
      </x:c>
      <x:c r="G225" s="21" t="n">
        <x:v>28</x:v>
      </x:c>
      <x:c r="H225" s="21" t="str">
        <x:v>Production Release Board</x:v>
      </x:c>
      <x:c r="I225" s="44" t="n">
        <x:f>Lifecycle!G15</x:f>
        <x:v>0.01647012319652151</x:v>
      </x:c>
      <x:c r="J225" s="44" t="n">
        <x:v>0.06999999999999999</x:v>
      </x:c>
      <x:c r="K225" s="44" t="n">
        <x:f>I225*J225</x:f>
        <x:v>0.0011529086237565057</x:v>
      </x:c>
      <x:c r="L225" s="46" t="n">
        <x:v>0</x:v>
      </x:c>
      <x:c r="M225" s="46" t="n">
        <x:v>0</x:v>
      </x:c>
      <x:c r="N225" s="21" t="n">
        <x:f>IF(AND(L224=1,M224=1,P224&gt;0),1,0)</x:f>
        <x:v>0</x:v>
      </x:c>
      <x:c r="O225" s="21" t="n">
        <x:f>MIN('Root Data'!I70:I72)</x:f>
        <x:v>0</x:v>
      </x:c>
      <x:c r="P225" s="44" t="n">
        <x:f>IF(AND(L225=1,M225=1,N225=1,O225&gt;=G225),K225,0)</x:f>
        <x:v>0</x:v>
      </x:c>
      <x:c r="Q225" s="21" t="str">
        <x:v>OPEN</x:v>
      </x:c>
      <x:c r="R225" s="23" t="str">
        <x:v>HOLD</x:v>
      </x:c>
    </x:row>
    <x:row r="226">
      <x:c r="B226" s="21" t="str">
        <x:v>AR-00220</x:v>
      </x:c>
      <x:c r="C226" s="21" t="str">
        <x:v>F06-I2</x:v>
      </x:c>
      <x:c r="D226" s="21" t="str">
        <x:v>F06</x:v>
      </x:c>
      <x:c r="E226" s="21" t="n">
        <x:v>10</x:v>
      </x:c>
      <x:c r="F226" s="21" t="str">
        <x:v>Mobilization activation</x:v>
      </x:c>
      <x:c r="G226" s="21" t="n">
        <x:v>28</x:v>
      </x:c>
      <x:c r="H226" s="21" t="str">
        <x:v>Production Release Board</x:v>
      </x:c>
      <x:c r="I226" s="44" t="n">
        <x:f>Lifecycle!G16</x:f>
        <x:v>0.028262731405230914</x:v>
      </x:c>
      <x:c r="J226" s="44" t="n">
        <x:v>0.06999999999999999</x:v>
      </x:c>
      <x:c r="K226" s="44" t="n">
        <x:f>I226*J226</x:f>
        <x:v>0.0019783911983661637</x:v>
      </x:c>
      <x:c r="L226" s="46" t="n">
        <x:v>0</x:v>
      </x:c>
      <x:c r="M226" s="46" t="n">
        <x:v>0</x:v>
      </x:c>
      <x:c r="N226" s="21" t="n">
        <x:f>IF(AND(L225=1,M225=1,P225&gt;0),1,0)</x:f>
        <x:v>0</x:v>
      </x:c>
      <x:c r="O226" s="21" t="n">
        <x:f>MIN('Root Data'!I70:I72)</x:f>
        <x:v>0</x:v>
      </x:c>
      <x:c r="P226" s="44" t="n">
        <x:f>IF(AND(L226=1,M226=1,N226=1,O226&gt;=G226),K226,0)</x:f>
        <x:v>0</x:v>
      </x:c>
      <x:c r="Q226" s="21" t="str">
        <x:v>OPEN</x:v>
      </x:c>
      <x:c r="R226" s="23" t="str">
        <x:v>HOLD</x:v>
      </x:c>
    </x:row>
    <x:row r="227">
      <x:c r="B227" s="21" t="str">
        <x:v>AR-00221</x:v>
      </x:c>
      <x:c r="C227" s="21" t="str">
        <x:v>F06-I3</x:v>
      </x:c>
      <x:c r="D227" s="21" t="str">
        <x:v>F06</x:v>
      </x:c>
      <x:c r="E227" s="21" t="n">
        <x:v>1</x:v>
      </x:c>
      <x:c r="F227" s="21" t="str">
        <x:v>Civil effect charter</x:v>
      </x:c>
      <x:c r="G227" s="21" t="n">
        <x:v>0</x:v>
      </x:c>
      <x:c r="H227" s="21" t="str">
        <x:v>Civil Guarantee Authority</x:v>
      </x:c>
      <x:c r="I227" s="44" t="n">
        <x:f>Lifecycle!G7</x:f>
        <x:v>0.04941036958956453</x:v>
      </x:c>
      <x:c r="J227" s="44" t="n">
        <x:v>0.06999999999999999</x:v>
      </x:c>
      <x:c r="K227" s="44" t="n">
        <x:f>I227*J227</x:f>
        <x:v>0.0034587258712695168</x:v>
      </x:c>
      <x:c r="L227" s="46" t="n">
        <x:v>0</x:v>
      </x:c>
      <x:c r="M227" s="46" t="n">
        <x:v>0</x:v>
      </x:c>
      <x:c r="N227" s="21" t="n">
        <x:f>1</x:f>
        <x:v>1</x:v>
      </x:c>
      <x:c r="O227" s="21" t="n">
        <x:f>MIN('Root Data'!I73:I75)</x:f>
        <x:v>0</x:v>
      </x:c>
      <x:c r="P227" s="44" t="n">
        <x:f>IF(AND(L227=1,M227=1,N227=1,O227&gt;=G227),K227,0)</x:f>
        <x:v>0</x:v>
      </x:c>
      <x:c r="Q227" s="21" t="str">
        <x:v>OPEN</x:v>
      </x:c>
      <x:c r="R227" s="23" t="str">
        <x:v>HOLD</x:v>
      </x:c>
    </x:row>
    <x:row r="228">
      <x:c r="B228" s="21" t="str">
        <x:v>AR-00222</x:v>
      </x:c>
      <x:c r="C228" s="21" t="str">
        <x:v>F06-I3</x:v>
      </x:c>
      <x:c r="D228" s="21" t="str">
        <x:v>F06</x:v>
      </x:c>
      <x:c r="E228" s="21" t="n">
        <x:v>2</x:v>
      </x:c>
      <x:c r="F228" s="21" t="str">
        <x:v>Requirement and root-independence package</x:v>
      </x:c>
      <x:c r="G228" s="21" t="n">
        <x:v>8</x:v>
      </x:c>
      <x:c r="H228" s="21" t="str">
        <x:v>Resilience Staff</x:v>
      </x:c>
      <x:c r="I228" s="44" t="n">
        <x:f>Lifecycle!G8</x:f>
        <x:v>0.10211476381843337</x:v>
      </x:c>
      <x:c r="J228" s="44" t="n">
        <x:v>0.06999999999999999</x:v>
      </x:c>
      <x:c r="K228" s="44" t="n">
        <x:f>I228*J228</x:f>
        <x:v>0.007148033467290336</x:v>
      </x:c>
      <x:c r="L228" s="46" t="n">
        <x:v>0</x:v>
      </x:c>
      <x:c r="M228" s="46" t="n">
        <x:v>0</x:v>
      </x:c>
      <x:c r="N228" s="21" t="n">
        <x:f>IF(AND(L227=1,M227=1,P227&gt;0),1,0)</x:f>
        <x:v>0</x:v>
      </x:c>
      <x:c r="O228" s="21" t="n">
        <x:f>MIN('Root Data'!I73:I75)</x:f>
        <x:v>0</x:v>
      </x:c>
      <x:c r="P228" s="44" t="n">
        <x:f>IF(AND(L228=1,M228=1,N228=1,O228&gt;=G228),K228,0)</x:f>
        <x:v>0</x:v>
      </x:c>
      <x:c r="Q228" s="21" t="str">
        <x:v>OPEN</x:v>
      </x:c>
      <x:c r="R228" s="23" t="str">
        <x:v>HOLD</x:v>
      </x:c>
    </x:row>
    <x:row r="229">
      <x:c r="B229" s="21" t="str">
        <x:v>AR-00223</x:v>
      </x:c>
      <x:c r="C229" s="21" t="str">
        <x:v>F06-I3</x:v>
      </x:c>
      <x:c r="D229" s="21" t="str">
        <x:v>F06</x:v>
      </x:c>
      <x:c r="E229" s="21" t="n">
        <x:v>3</x:v>
      </x:c>
      <x:c r="F229" s="21" t="str">
        <x:v>Architecture and burden closure</x:v>
      </x:c>
      <x:c r="G229" s="21" t="n">
        <x:v>14</x:v>
      </x:c>
      <x:c r="H229" s="21" t="str">
        <x:v>Independent Evidence and Data Authority</x:v>
      </x:c>
      <x:c r="I229" s="44" t="n">
        <x:f>Lifecycle!G9</x:f>
        <x:v>0.08564464062191186</x:v>
      </x:c>
      <x:c r="J229" s="44" t="n">
        <x:v>0.06999999999999999</x:v>
      </x:c>
      <x:c r="K229" s="44" t="n">
        <x:f>I229*J229</x:f>
        <x:v>0.00599512484353383</x:v>
      </x:c>
      <x:c r="L229" s="46" t="n">
        <x:v>0</x:v>
      </x:c>
      <x:c r="M229" s="46" t="n">
        <x:v>0</x:v>
      </x:c>
      <x:c r="N229" s="21" t="n">
        <x:f>IF(AND(L228=1,M228=1,P228&gt;0),1,0)</x:f>
        <x:v>0</x:v>
      </x:c>
      <x:c r="O229" s="21" t="n">
        <x:f>MIN('Root Data'!I73:I75)</x:f>
        <x:v>0</x:v>
      </x:c>
      <x:c r="P229" s="44" t="n">
        <x:f>IF(AND(L229=1,M229=1,N229=1,O229&gt;=G229),K229,0)</x:f>
        <x:v>0</x:v>
      </x:c>
      <x:c r="Q229" s="21" t="str">
        <x:v>OPEN</x:v>
      </x:c>
      <x:c r="R229" s="23" t="str">
        <x:v>HOLD</x:v>
      </x:c>
    </x:row>
    <x:row r="230">
      <x:c r="B230" s="21" t="str">
        <x:v>AR-00224</x:v>
      </x:c>
      <x:c r="C230" s="21" t="str">
        <x:v>F06-I3</x:v>
      </x:c>
      <x:c r="D230" s="21" t="str">
        <x:v>F06</x:v>
      </x:c>
      <x:c r="E230" s="21" t="n">
        <x:v>4</x:v>
      </x:c>
      <x:c r="F230" s="21" t="str">
        <x:v>Engineering article acceptance</x:v>
      </x:c>
      <x:c r="G230" s="21" t="n">
        <x:v>18</x:v>
      </x:c>
      <x:c r="H230" s="21" t="str">
        <x:v>Independent Evidence and Data Authority</x:v>
      </x:c>
      <x:c r="I230" s="44" t="n">
        <x:f>Lifecycle!G10</x:f>
        <x:v>0.05929244350747744</x:v>
      </x:c>
      <x:c r="J230" s="44" t="n">
        <x:v>0.06999999999999999</x:v>
      </x:c>
      <x:c r="K230" s="44" t="n">
        <x:f>I230*J230</x:f>
        <x:v>0.00415047104552342</x:v>
      </x:c>
      <x:c r="L230" s="46" t="n">
        <x:v>0</x:v>
      </x:c>
      <x:c r="M230" s="46" t="n">
        <x:v>0</x:v>
      </x:c>
      <x:c r="N230" s="21" t="n">
        <x:f>IF(AND(L229=1,M229=1,P229&gt;0),1,0)</x:f>
        <x:v>0</x:v>
      </x:c>
      <x:c r="O230" s="21" t="n">
        <x:f>MIN('Root Data'!I73:I75)</x:f>
        <x:v>0</x:v>
      </x:c>
      <x:c r="P230" s="44" t="n">
        <x:f>IF(AND(L230=1,M230=1,N230=1,O230&gt;=G230),K230,0)</x:f>
        <x:v>0</x:v>
      </x:c>
      <x:c r="Q230" s="21" t="str">
        <x:v>OPEN</x:v>
      </x:c>
      <x:c r="R230" s="23" t="str">
        <x:v>HOLD</x:v>
      </x:c>
    </x:row>
    <x:row r="231">
      <x:c r="B231" s="21" t="str">
        <x:v>AR-00225</x:v>
      </x:c>
      <x:c r="C231" s="21" t="str">
        <x:v>F06-I3</x:v>
      </x:c>
      <x:c r="D231" s="21" t="str">
        <x:v>F06</x:v>
      </x:c>
      <x:c r="E231" s="21" t="n">
        <x:v>5</x:v>
      </x:c>
      <x:c r="F231" s="21" t="str">
        <x:v>Qualification and destructive evidence</x:v>
      </x:c>
      <x:c r="G231" s="21" t="n">
        <x:v>21</x:v>
      </x:c>
      <x:c r="H231" s="21" t="str">
        <x:v>Independent Evidence and Data Authority</x:v>
      </x:c>
      <x:c r="I231" s="44" t="n">
        <x:f>Lifecycle!G11</x:f>
        <x:v>0.1515251334079979</x:v>
      </x:c>
      <x:c r="J231" s="44" t="n">
        <x:v>0.06999999999999999</x:v>
      </x:c>
      <x:c r="K231" s="44" t="n">
        <x:f>I231*J231</x:f>
        <x:v>0.01060675933855985</x:v>
      </x:c>
      <x:c r="L231" s="46" t="n">
        <x:v>0</x:v>
      </x:c>
      <x:c r="M231" s="46" t="n">
        <x:v>0</x:v>
      </x:c>
      <x:c r="N231" s="21" t="n">
        <x:f>IF(AND(L230=1,M230=1,P230&gt;0),1,0)</x:f>
        <x:v>0</x:v>
      </x:c>
      <x:c r="O231" s="21" t="n">
        <x:f>MIN('Root Data'!I73:I75)</x:f>
        <x:v>0</x:v>
      </x:c>
      <x:c r="P231" s="44" t="n">
        <x:f>IF(AND(L231=1,M231=1,N231=1,O231&gt;=G231),K231,0)</x:f>
        <x:v>0</x:v>
      </x:c>
      <x:c r="Q231" s="21" t="str">
        <x:v>OPEN</x:v>
      </x:c>
      <x:c r="R231" s="23" t="str">
        <x:v>HOLD</x:v>
      </x:c>
    </x:row>
    <x:row r="232">
      <x:c r="B232" s="21" t="str">
        <x:v>AR-00226</x:v>
      </x:c>
      <x:c r="C232" s="21" t="str">
        <x:v>F06-I3</x:v>
      </x:c>
      <x:c r="D232" s="21" t="str">
        <x:v>F06</x:v>
      </x:c>
      <x:c r="E232" s="21" t="n">
        <x:v>6</x:v>
      </x:c>
      <x:c r="F232" s="21" t="str">
        <x:v>Representative mission result</x:v>
      </x:c>
      <x:c r="G232" s="21" t="n">
        <x:v>23</x:v>
      </x:c>
      <x:c r="H232" s="21" t="str">
        <x:v>Receiving Service Authority</x:v>
      </x:c>
      <x:c r="I232" s="44" t="n">
        <x:f>Lifecycle!G12</x:f>
        <x:v>0.250345872587127</x:v>
      </x:c>
      <x:c r="J232" s="44" t="n">
        <x:v>0.06999999999999999</x:v>
      </x:c>
      <x:c r="K232" s="44" t="n">
        <x:f>I232*J232</x:f>
        <x:v>0.017524211081098886</x:v>
      </x:c>
      <x:c r="L232" s="46" t="n">
        <x:v>0</x:v>
      </x:c>
      <x:c r="M232" s="46" t="n">
        <x:v>0</x:v>
      </x:c>
      <x:c r="N232" s="21" t="n">
        <x:f>IF(AND(L231=1,M231=1,P231&gt;0),1,0)</x:f>
        <x:v>0</x:v>
      </x:c>
      <x:c r="O232" s="21" t="n">
        <x:f>MIN('Root Data'!I73:I75)</x:f>
        <x:v>0</x:v>
      </x:c>
      <x:c r="P232" s="44" t="n">
        <x:f>IF(AND(L232=1,M232=1,N232=1,O232&gt;=G232),K232,0)</x:f>
        <x:v>0</x:v>
      </x:c>
      <x:c r="Q232" s="21" t="str">
        <x:v>OPEN</x:v>
      </x:c>
      <x:c r="R232" s="23" t="str">
        <x:v>HOLD</x:v>
      </x:c>
    </x:row>
    <x:row r="233">
      <x:c r="B233" s="21" t="str">
        <x:v>AR-00227</x:v>
      </x:c>
      <x:c r="C233" s="21" t="str">
        <x:v>F06-I3</x:v>
      </x:c>
      <x:c r="D233" s="21" t="str">
        <x:v>F06</x:v>
      </x:c>
      <x:c r="E233" s="21" t="n">
        <x:v>7</x:v>
      </x:c>
      <x:c r="F233" s="21" t="str">
        <x:v>Independent reproduction</x:v>
      </x:c>
      <x:c r="G233" s="21" t="n">
        <x:v>28</x:v>
      </x:c>
      <x:c r="H233" s="21" t="str">
        <x:v>Independent Evidence and Data Authority</x:v>
      </x:c>
      <x:c r="I233" s="44" t="n">
        <x:f>Lifecycle!G13</x:f>
        <x:v>0.21740562619408393</x:v>
      </x:c>
      <x:c r="J233" s="44" t="n">
        <x:v>0.06999999999999999</x:v>
      </x:c>
      <x:c r="K233" s="44" t="n">
        <x:f>I233*J233</x:f>
        <x:v>0.015218393833585874</x:v>
      </x:c>
      <x:c r="L233" s="46" t="n">
        <x:v>0</x:v>
      </x:c>
      <x:c r="M233" s="46" t="n">
        <x:v>0</x:v>
      </x:c>
      <x:c r="N233" s="21" t="n">
        <x:f>IF(AND(L232=1,M232=1,P232&gt;0),1,0)</x:f>
        <x:v>0</x:v>
      </x:c>
      <x:c r="O233" s="21" t="n">
        <x:f>MIN('Root Data'!I73:I75)</x:f>
        <x:v>0</x:v>
      </x:c>
      <x:c r="P233" s="44" t="n">
        <x:f>IF(AND(L233=1,M233=1,N233=1,O233&gt;=G233),K233,0)</x:f>
        <x:v>0</x:v>
      </x:c>
      <x:c r="Q233" s="21" t="str">
        <x:v>OPEN</x:v>
      </x:c>
      <x:c r="R233" s="23" t="str">
        <x:v>HOLD</x:v>
      </x:c>
    </x:row>
    <x:row r="234">
      <x:c r="B234" s="21" t="str">
        <x:v>AR-00228</x:v>
      </x:c>
      <x:c r="C234" s="21" t="str">
        <x:v>F06-I3</x:v>
      </x:c>
      <x:c r="D234" s="21" t="str">
        <x:v>F06</x:v>
      </x:c>
      <x:c r="E234" s="21" t="n">
        <x:v>8</x:v>
      </x:c>
      <x:c r="F234" s="21" t="str">
        <x:v>Pilot-process qualification</x:v>
      </x:c>
      <x:c r="G234" s="21" t="n">
        <x:v>28</x:v>
      </x:c>
      <x:c r="H234" s="21" t="str">
        <x:v>AIMC Industrial Mobilization Authority</x:v>
      </x:c>
      <x:c r="I234" s="44" t="n">
        <x:f>Lifecycle!G14</x:f>
        <x:v>0.03952829567165163</x:v>
      </x:c>
      <x:c r="J234" s="44" t="n">
        <x:v>0.06999999999999999</x:v>
      </x:c>
      <x:c r="K234" s="44" t="n">
        <x:f>I234*J234</x:f>
        <x:v>0.0027669806970156137</x:v>
      </x:c>
      <x:c r="L234" s="46" t="n">
        <x:v>0</x:v>
      </x:c>
      <x:c r="M234" s="46" t="n">
        <x:v>0</x:v>
      </x:c>
      <x:c r="N234" s="21" t="n">
        <x:f>IF(AND(L233=1,M233=1,P233&gt;0),1,0)</x:f>
        <x:v>0</x:v>
      </x:c>
      <x:c r="O234" s="21" t="n">
        <x:f>MIN('Root Data'!I73:I75)</x:f>
        <x:v>0</x:v>
      </x:c>
      <x:c r="P234" s="44" t="n">
        <x:f>IF(AND(L234=1,M234=1,N234=1,O234&gt;=G234),K234,0)</x:f>
        <x:v>0</x:v>
      </x:c>
      <x:c r="Q234" s="21" t="str">
        <x:v>OPEN</x:v>
      </x:c>
      <x:c r="R234" s="23" t="str">
        <x:v>HOLD</x:v>
      </x:c>
    </x:row>
    <x:row r="235">
      <x:c r="B235" s="21" t="str">
        <x:v>AR-00229</x:v>
      </x:c>
      <x:c r="C235" s="21" t="str">
        <x:v>F06-I3</x:v>
      </x:c>
      <x:c r="D235" s="21" t="str">
        <x:v>F06</x:v>
      </x:c>
      <x:c r="E235" s="21" t="n">
        <x:v>9</x:v>
      </x:c>
      <x:c r="F235" s="21" t="str">
        <x:v>Production release package</x:v>
      </x:c>
      <x:c r="G235" s="21" t="n">
        <x:v>28</x:v>
      </x:c>
      <x:c r="H235" s="21" t="str">
        <x:v>Production Release Board</x:v>
      </x:c>
      <x:c r="I235" s="44" t="n">
        <x:f>Lifecycle!G15</x:f>
        <x:v>0.01647012319652151</x:v>
      </x:c>
      <x:c r="J235" s="44" t="n">
        <x:v>0.06999999999999999</x:v>
      </x:c>
      <x:c r="K235" s="44" t="n">
        <x:f>I235*J235</x:f>
        <x:v>0.0011529086237565057</x:v>
      </x:c>
      <x:c r="L235" s="46" t="n">
        <x:v>0</x:v>
      </x:c>
      <x:c r="M235" s="46" t="n">
        <x:v>0</x:v>
      </x:c>
      <x:c r="N235" s="21" t="n">
        <x:f>IF(AND(L234=1,M234=1,P234&gt;0),1,0)</x:f>
        <x:v>0</x:v>
      </x:c>
      <x:c r="O235" s="21" t="n">
        <x:f>MIN('Root Data'!I73:I75)</x:f>
        <x:v>0</x:v>
      </x:c>
      <x:c r="P235" s="44" t="n">
        <x:f>IF(AND(L235=1,M235=1,N235=1,O235&gt;=G235),K235,0)</x:f>
        <x:v>0</x:v>
      </x:c>
      <x:c r="Q235" s="21" t="str">
        <x:v>OPEN</x:v>
      </x:c>
      <x:c r="R235" s="23" t="str">
        <x:v>HOLD</x:v>
      </x:c>
    </x:row>
    <x:row r="236">
      <x:c r="B236" s="21" t="str">
        <x:v>AR-00230</x:v>
      </x:c>
      <x:c r="C236" s="21" t="str">
        <x:v>F06-I3</x:v>
      </x:c>
      <x:c r="D236" s="21" t="str">
        <x:v>F06</x:v>
      </x:c>
      <x:c r="E236" s="21" t="n">
        <x:v>10</x:v>
      </x:c>
      <x:c r="F236" s="21" t="str">
        <x:v>Mobilization activation</x:v>
      </x:c>
      <x:c r="G236" s="21" t="n">
        <x:v>28</x:v>
      </x:c>
      <x:c r="H236" s="21" t="str">
        <x:v>Production Release Board</x:v>
      </x:c>
      <x:c r="I236" s="44" t="n">
        <x:f>Lifecycle!G16</x:f>
        <x:v>0.028262731405230914</x:v>
      </x:c>
      <x:c r="J236" s="44" t="n">
        <x:v>0.06999999999999999</x:v>
      </x:c>
      <x:c r="K236" s="44" t="n">
        <x:f>I236*J236</x:f>
        <x:v>0.0019783911983661637</x:v>
      </x:c>
      <x:c r="L236" s="46" t="n">
        <x:v>0</x:v>
      </x:c>
      <x:c r="M236" s="46" t="n">
        <x:v>0</x:v>
      </x:c>
      <x:c r="N236" s="21" t="n">
        <x:f>IF(AND(L235=1,M235=1,P235&gt;0),1,0)</x:f>
        <x:v>0</x:v>
      </x:c>
      <x:c r="O236" s="21" t="n">
        <x:f>MIN('Root Data'!I73:I75)</x:f>
        <x:v>0</x:v>
      </x:c>
      <x:c r="P236" s="44" t="n">
        <x:f>IF(AND(L236=1,M236=1,N236=1,O236&gt;=G236),K236,0)</x:f>
        <x:v>0</x:v>
      </x:c>
      <x:c r="Q236" s="21" t="str">
        <x:v>OPEN</x:v>
      </x:c>
      <x:c r="R236" s="23" t="str">
        <x:v>HOLD</x:v>
      </x:c>
    </x:row>
    <x:row r="237">
      <x:c r="B237" s="21" t="str">
        <x:v>AR-00231</x:v>
      </x:c>
      <x:c r="C237" s="21" t="str">
        <x:v>F06-I4</x:v>
      </x:c>
      <x:c r="D237" s="21" t="str">
        <x:v>F06</x:v>
      </x:c>
      <x:c r="E237" s="21" t="n">
        <x:v>1</x:v>
      </x:c>
      <x:c r="F237" s="21" t="str">
        <x:v>Civil effect charter</x:v>
      </x:c>
      <x:c r="G237" s="21" t="n">
        <x:v>0</x:v>
      </x:c>
      <x:c r="H237" s="21" t="str">
        <x:v>Civil Guarantee Authority</x:v>
      </x:c>
      <x:c r="I237" s="44" t="n">
        <x:f>Lifecycle!G7</x:f>
        <x:v>0.04941036958956453</x:v>
      </x:c>
      <x:c r="J237" s="44" t="n">
        <x:v>0.06999999999999999</x:v>
      </x:c>
      <x:c r="K237" s="44" t="n">
        <x:f>I237*J237</x:f>
        <x:v>0.0034587258712695168</x:v>
      </x:c>
      <x:c r="L237" s="46" t="n">
        <x:v>0</x:v>
      </x:c>
      <x:c r="M237" s="46" t="n">
        <x:v>0</x:v>
      </x:c>
      <x:c r="N237" s="21" t="n">
        <x:f>1</x:f>
        <x:v>1</x:v>
      </x:c>
      <x:c r="O237" s="21" t="n">
        <x:f>MIN('Root Data'!I76:I78)</x:f>
        <x:v>0</x:v>
      </x:c>
      <x:c r="P237" s="44" t="n">
        <x:f>IF(AND(L237=1,M237=1,N237=1,O237&gt;=G237),K237,0)</x:f>
        <x:v>0</x:v>
      </x:c>
      <x:c r="Q237" s="21" t="str">
        <x:v>OPEN</x:v>
      </x:c>
      <x:c r="R237" s="23" t="str">
        <x:v>HOLD</x:v>
      </x:c>
    </x:row>
    <x:row r="238">
      <x:c r="B238" s="21" t="str">
        <x:v>AR-00232</x:v>
      </x:c>
      <x:c r="C238" s="21" t="str">
        <x:v>F06-I4</x:v>
      </x:c>
      <x:c r="D238" s="21" t="str">
        <x:v>F06</x:v>
      </x:c>
      <x:c r="E238" s="21" t="n">
        <x:v>2</x:v>
      </x:c>
      <x:c r="F238" s="21" t="str">
        <x:v>Requirement and root-independence package</x:v>
      </x:c>
      <x:c r="G238" s="21" t="n">
        <x:v>8</x:v>
      </x:c>
      <x:c r="H238" s="21" t="str">
        <x:v>Resilience Staff</x:v>
      </x:c>
      <x:c r="I238" s="44" t="n">
        <x:f>Lifecycle!G8</x:f>
        <x:v>0.10211476381843337</x:v>
      </x:c>
      <x:c r="J238" s="44" t="n">
        <x:v>0.06999999999999999</x:v>
      </x:c>
      <x:c r="K238" s="44" t="n">
        <x:f>I238*J238</x:f>
        <x:v>0.007148033467290336</x:v>
      </x:c>
      <x:c r="L238" s="46" t="n">
        <x:v>0</x:v>
      </x:c>
      <x:c r="M238" s="46" t="n">
        <x:v>0</x:v>
      </x:c>
      <x:c r="N238" s="21" t="n">
        <x:f>IF(AND(L237=1,M237=1,P237&gt;0),1,0)</x:f>
        <x:v>0</x:v>
      </x:c>
      <x:c r="O238" s="21" t="n">
        <x:f>MIN('Root Data'!I76:I78)</x:f>
        <x:v>0</x:v>
      </x:c>
      <x:c r="P238" s="44" t="n">
        <x:f>IF(AND(L238=1,M238=1,N238=1,O238&gt;=G238),K238,0)</x:f>
        <x:v>0</x:v>
      </x:c>
      <x:c r="Q238" s="21" t="str">
        <x:v>OPEN</x:v>
      </x:c>
      <x:c r="R238" s="23" t="str">
        <x:v>HOLD</x:v>
      </x:c>
    </x:row>
    <x:row r="239">
      <x:c r="B239" s="21" t="str">
        <x:v>AR-00233</x:v>
      </x:c>
      <x:c r="C239" s="21" t="str">
        <x:v>F06-I4</x:v>
      </x:c>
      <x:c r="D239" s="21" t="str">
        <x:v>F06</x:v>
      </x:c>
      <x:c r="E239" s="21" t="n">
        <x:v>3</x:v>
      </x:c>
      <x:c r="F239" s="21" t="str">
        <x:v>Architecture and burden closure</x:v>
      </x:c>
      <x:c r="G239" s="21" t="n">
        <x:v>14</x:v>
      </x:c>
      <x:c r="H239" s="21" t="str">
        <x:v>Independent Evidence and Data Authority</x:v>
      </x:c>
      <x:c r="I239" s="44" t="n">
        <x:f>Lifecycle!G9</x:f>
        <x:v>0.08564464062191186</x:v>
      </x:c>
      <x:c r="J239" s="44" t="n">
        <x:v>0.06999999999999999</x:v>
      </x:c>
      <x:c r="K239" s="44" t="n">
        <x:f>I239*J239</x:f>
        <x:v>0.00599512484353383</x:v>
      </x:c>
      <x:c r="L239" s="46" t="n">
        <x:v>0</x:v>
      </x:c>
      <x:c r="M239" s="46" t="n">
        <x:v>0</x:v>
      </x:c>
      <x:c r="N239" s="21" t="n">
        <x:f>IF(AND(L238=1,M238=1,P238&gt;0),1,0)</x:f>
        <x:v>0</x:v>
      </x:c>
      <x:c r="O239" s="21" t="n">
        <x:f>MIN('Root Data'!I76:I78)</x:f>
        <x:v>0</x:v>
      </x:c>
      <x:c r="P239" s="44" t="n">
        <x:f>IF(AND(L239=1,M239=1,N239=1,O239&gt;=G239),K239,0)</x:f>
        <x:v>0</x:v>
      </x:c>
      <x:c r="Q239" s="21" t="str">
        <x:v>OPEN</x:v>
      </x:c>
      <x:c r="R239" s="23" t="str">
        <x:v>HOLD</x:v>
      </x:c>
    </x:row>
    <x:row r="240">
      <x:c r="B240" s="21" t="str">
        <x:v>AR-00234</x:v>
      </x:c>
      <x:c r="C240" s="21" t="str">
        <x:v>F06-I4</x:v>
      </x:c>
      <x:c r="D240" s="21" t="str">
        <x:v>F06</x:v>
      </x:c>
      <x:c r="E240" s="21" t="n">
        <x:v>4</x:v>
      </x:c>
      <x:c r="F240" s="21" t="str">
        <x:v>Engineering article acceptance</x:v>
      </x:c>
      <x:c r="G240" s="21" t="n">
        <x:v>18</x:v>
      </x:c>
      <x:c r="H240" s="21" t="str">
        <x:v>Independent Evidence and Data Authority</x:v>
      </x:c>
      <x:c r="I240" s="44" t="n">
        <x:f>Lifecycle!G10</x:f>
        <x:v>0.05929244350747744</x:v>
      </x:c>
      <x:c r="J240" s="44" t="n">
        <x:v>0.06999999999999999</x:v>
      </x:c>
      <x:c r="K240" s="44" t="n">
        <x:f>I240*J240</x:f>
        <x:v>0.00415047104552342</x:v>
      </x:c>
      <x:c r="L240" s="46" t="n">
        <x:v>0</x:v>
      </x:c>
      <x:c r="M240" s="46" t="n">
        <x:v>0</x:v>
      </x:c>
      <x:c r="N240" s="21" t="n">
        <x:f>IF(AND(L239=1,M239=1,P239&gt;0),1,0)</x:f>
        <x:v>0</x:v>
      </x:c>
      <x:c r="O240" s="21" t="n">
        <x:f>MIN('Root Data'!I76:I78)</x:f>
        <x:v>0</x:v>
      </x:c>
      <x:c r="P240" s="44" t="n">
        <x:f>IF(AND(L240=1,M240=1,N240=1,O240&gt;=G240),K240,0)</x:f>
        <x:v>0</x:v>
      </x:c>
      <x:c r="Q240" s="21" t="str">
        <x:v>OPEN</x:v>
      </x:c>
      <x:c r="R240" s="23" t="str">
        <x:v>HOLD</x:v>
      </x:c>
    </x:row>
    <x:row r="241">
      <x:c r="B241" s="21" t="str">
        <x:v>AR-00235</x:v>
      </x:c>
      <x:c r="C241" s="21" t="str">
        <x:v>F06-I4</x:v>
      </x:c>
      <x:c r="D241" s="21" t="str">
        <x:v>F06</x:v>
      </x:c>
      <x:c r="E241" s="21" t="n">
        <x:v>5</x:v>
      </x:c>
      <x:c r="F241" s="21" t="str">
        <x:v>Qualification and destructive evidence</x:v>
      </x:c>
      <x:c r="G241" s="21" t="n">
        <x:v>21</x:v>
      </x:c>
      <x:c r="H241" s="21" t="str">
        <x:v>Independent Evidence and Data Authority</x:v>
      </x:c>
      <x:c r="I241" s="44" t="n">
        <x:f>Lifecycle!G11</x:f>
        <x:v>0.1515251334079979</x:v>
      </x:c>
      <x:c r="J241" s="44" t="n">
        <x:v>0.06999999999999999</x:v>
      </x:c>
      <x:c r="K241" s="44" t="n">
        <x:f>I241*J241</x:f>
        <x:v>0.01060675933855985</x:v>
      </x:c>
      <x:c r="L241" s="46" t="n">
        <x:v>0</x:v>
      </x:c>
      <x:c r="M241" s="46" t="n">
        <x:v>0</x:v>
      </x:c>
      <x:c r="N241" s="21" t="n">
        <x:f>IF(AND(L240=1,M240=1,P240&gt;0),1,0)</x:f>
        <x:v>0</x:v>
      </x:c>
      <x:c r="O241" s="21" t="n">
        <x:f>MIN('Root Data'!I76:I78)</x:f>
        <x:v>0</x:v>
      </x:c>
      <x:c r="P241" s="44" t="n">
        <x:f>IF(AND(L241=1,M241=1,N241=1,O241&gt;=G241),K241,0)</x:f>
        <x:v>0</x:v>
      </x:c>
      <x:c r="Q241" s="21" t="str">
        <x:v>OPEN</x:v>
      </x:c>
      <x:c r="R241" s="23" t="str">
        <x:v>HOLD</x:v>
      </x:c>
    </x:row>
    <x:row r="242">
      <x:c r="B242" s="21" t="str">
        <x:v>AR-00236</x:v>
      </x:c>
      <x:c r="C242" s="21" t="str">
        <x:v>F06-I4</x:v>
      </x:c>
      <x:c r="D242" s="21" t="str">
        <x:v>F06</x:v>
      </x:c>
      <x:c r="E242" s="21" t="n">
        <x:v>6</x:v>
      </x:c>
      <x:c r="F242" s="21" t="str">
        <x:v>Representative mission result</x:v>
      </x:c>
      <x:c r="G242" s="21" t="n">
        <x:v>23</x:v>
      </x:c>
      <x:c r="H242" s="21" t="str">
        <x:v>Receiving Service Authority</x:v>
      </x:c>
      <x:c r="I242" s="44" t="n">
        <x:f>Lifecycle!G12</x:f>
        <x:v>0.250345872587127</x:v>
      </x:c>
      <x:c r="J242" s="44" t="n">
        <x:v>0.06999999999999999</x:v>
      </x:c>
      <x:c r="K242" s="44" t="n">
        <x:f>I242*J242</x:f>
        <x:v>0.017524211081098886</x:v>
      </x:c>
      <x:c r="L242" s="46" t="n">
        <x:v>0</x:v>
      </x:c>
      <x:c r="M242" s="46" t="n">
        <x:v>0</x:v>
      </x:c>
      <x:c r="N242" s="21" t="n">
        <x:f>IF(AND(L241=1,M241=1,P241&gt;0),1,0)</x:f>
        <x:v>0</x:v>
      </x:c>
      <x:c r="O242" s="21" t="n">
        <x:f>MIN('Root Data'!I76:I78)</x:f>
        <x:v>0</x:v>
      </x:c>
      <x:c r="P242" s="44" t="n">
        <x:f>IF(AND(L242=1,M242=1,N242=1,O242&gt;=G242),K242,0)</x:f>
        <x:v>0</x:v>
      </x:c>
      <x:c r="Q242" s="21" t="str">
        <x:v>OPEN</x:v>
      </x:c>
      <x:c r="R242" s="23" t="str">
        <x:v>HOLD</x:v>
      </x:c>
    </x:row>
    <x:row r="243">
      <x:c r="B243" s="21" t="str">
        <x:v>AR-00237</x:v>
      </x:c>
      <x:c r="C243" s="21" t="str">
        <x:v>F06-I4</x:v>
      </x:c>
      <x:c r="D243" s="21" t="str">
        <x:v>F06</x:v>
      </x:c>
      <x:c r="E243" s="21" t="n">
        <x:v>7</x:v>
      </x:c>
      <x:c r="F243" s="21" t="str">
        <x:v>Independent reproduction</x:v>
      </x:c>
      <x:c r="G243" s="21" t="n">
        <x:v>28</x:v>
      </x:c>
      <x:c r="H243" s="21" t="str">
        <x:v>Independent Evidence and Data Authority</x:v>
      </x:c>
      <x:c r="I243" s="44" t="n">
        <x:f>Lifecycle!G13</x:f>
        <x:v>0.21740562619408393</x:v>
      </x:c>
      <x:c r="J243" s="44" t="n">
        <x:v>0.06999999999999999</x:v>
      </x:c>
      <x:c r="K243" s="44" t="n">
        <x:f>I243*J243</x:f>
        <x:v>0.015218393833585874</x:v>
      </x:c>
      <x:c r="L243" s="46" t="n">
        <x:v>0</x:v>
      </x:c>
      <x:c r="M243" s="46" t="n">
        <x:v>0</x:v>
      </x:c>
      <x:c r="N243" s="21" t="n">
        <x:f>IF(AND(L242=1,M242=1,P242&gt;0),1,0)</x:f>
        <x:v>0</x:v>
      </x:c>
      <x:c r="O243" s="21" t="n">
        <x:f>MIN('Root Data'!I76:I78)</x:f>
        <x:v>0</x:v>
      </x:c>
      <x:c r="P243" s="44" t="n">
        <x:f>IF(AND(L243=1,M243=1,N243=1,O243&gt;=G243),K243,0)</x:f>
        <x:v>0</x:v>
      </x:c>
      <x:c r="Q243" s="21" t="str">
        <x:v>OPEN</x:v>
      </x:c>
      <x:c r="R243" s="23" t="str">
        <x:v>HOLD</x:v>
      </x:c>
    </x:row>
    <x:row r="244">
      <x:c r="B244" s="21" t="str">
        <x:v>AR-00238</x:v>
      </x:c>
      <x:c r="C244" s="21" t="str">
        <x:v>F06-I4</x:v>
      </x:c>
      <x:c r="D244" s="21" t="str">
        <x:v>F06</x:v>
      </x:c>
      <x:c r="E244" s="21" t="n">
        <x:v>8</x:v>
      </x:c>
      <x:c r="F244" s="21" t="str">
        <x:v>Pilot-process qualification</x:v>
      </x:c>
      <x:c r="G244" s="21" t="n">
        <x:v>28</x:v>
      </x:c>
      <x:c r="H244" s="21" t="str">
        <x:v>AIMC Industrial Mobilization Authority</x:v>
      </x:c>
      <x:c r="I244" s="44" t="n">
        <x:f>Lifecycle!G14</x:f>
        <x:v>0.03952829567165163</x:v>
      </x:c>
      <x:c r="J244" s="44" t="n">
        <x:v>0.06999999999999999</x:v>
      </x:c>
      <x:c r="K244" s="44" t="n">
        <x:f>I244*J244</x:f>
        <x:v>0.0027669806970156137</x:v>
      </x:c>
      <x:c r="L244" s="46" t="n">
        <x:v>0</x:v>
      </x:c>
      <x:c r="M244" s="46" t="n">
        <x:v>0</x:v>
      </x:c>
      <x:c r="N244" s="21" t="n">
        <x:f>IF(AND(L243=1,M243=1,P243&gt;0),1,0)</x:f>
        <x:v>0</x:v>
      </x:c>
      <x:c r="O244" s="21" t="n">
        <x:f>MIN('Root Data'!I76:I78)</x:f>
        <x:v>0</x:v>
      </x:c>
      <x:c r="P244" s="44" t="n">
        <x:f>IF(AND(L244=1,M244=1,N244=1,O244&gt;=G244),K244,0)</x:f>
        <x:v>0</x:v>
      </x:c>
      <x:c r="Q244" s="21" t="str">
        <x:v>OPEN</x:v>
      </x:c>
      <x:c r="R244" s="23" t="str">
        <x:v>HOLD</x:v>
      </x:c>
    </x:row>
    <x:row r="245">
      <x:c r="B245" s="21" t="str">
        <x:v>AR-00239</x:v>
      </x:c>
      <x:c r="C245" s="21" t="str">
        <x:v>F06-I4</x:v>
      </x:c>
      <x:c r="D245" s="21" t="str">
        <x:v>F06</x:v>
      </x:c>
      <x:c r="E245" s="21" t="n">
        <x:v>9</x:v>
      </x:c>
      <x:c r="F245" s="21" t="str">
        <x:v>Production release package</x:v>
      </x:c>
      <x:c r="G245" s="21" t="n">
        <x:v>28</x:v>
      </x:c>
      <x:c r="H245" s="21" t="str">
        <x:v>Production Release Board</x:v>
      </x:c>
      <x:c r="I245" s="44" t="n">
        <x:f>Lifecycle!G15</x:f>
        <x:v>0.01647012319652151</x:v>
      </x:c>
      <x:c r="J245" s="44" t="n">
        <x:v>0.06999999999999999</x:v>
      </x:c>
      <x:c r="K245" s="44" t="n">
        <x:f>I245*J245</x:f>
        <x:v>0.0011529086237565057</x:v>
      </x:c>
      <x:c r="L245" s="46" t="n">
        <x:v>0</x:v>
      </x:c>
      <x:c r="M245" s="46" t="n">
        <x:v>0</x:v>
      </x:c>
      <x:c r="N245" s="21" t="n">
        <x:f>IF(AND(L244=1,M244=1,P244&gt;0),1,0)</x:f>
        <x:v>0</x:v>
      </x:c>
      <x:c r="O245" s="21" t="n">
        <x:f>MIN('Root Data'!I76:I78)</x:f>
        <x:v>0</x:v>
      </x:c>
      <x:c r="P245" s="44" t="n">
        <x:f>IF(AND(L245=1,M245=1,N245=1,O245&gt;=G245),K245,0)</x:f>
        <x:v>0</x:v>
      </x:c>
      <x:c r="Q245" s="21" t="str">
        <x:v>OPEN</x:v>
      </x:c>
      <x:c r="R245" s="23" t="str">
        <x:v>HOLD</x:v>
      </x:c>
    </x:row>
    <x:row r="246">
      <x:c r="B246" s="21" t="str">
        <x:v>AR-00240</x:v>
      </x:c>
      <x:c r="C246" s="21" t="str">
        <x:v>F06-I4</x:v>
      </x:c>
      <x:c r="D246" s="21" t="str">
        <x:v>F06</x:v>
      </x:c>
      <x:c r="E246" s="21" t="n">
        <x:v>10</x:v>
      </x:c>
      <x:c r="F246" s="21" t="str">
        <x:v>Mobilization activation</x:v>
      </x:c>
      <x:c r="G246" s="21" t="n">
        <x:v>28</x:v>
      </x:c>
      <x:c r="H246" s="21" t="str">
        <x:v>Production Release Board</x:v>
      </x:c>
      <x:c r="I246" s="44" t="n">
        <x:f>Lifecycle!G16</x:f>
        <x:v>0.028262731405230914</x:v>
      </x:c>
      <x:c r="J246" s="44" t="n">
        <x:v>0.06999999999999999</x:v>
      </x:c>
      <x:c r="K246" s="44" t="n">
        <x:f>I246*J246</x:f>
        <x:v>0.0019783911983661637</x:v>
      </x:c>
      <x:c r="L246" s="46" t="n">
        <x:v>0</x:v>
      </x:c>
      <x:c r="M246" s="46" t="n">
        <x:v>0</x:v>
      </x:c>
      <x:c r="N246" s="21" t="n">
        <x:f>IF(AND(L245=1,M245=1,P245&gt;0),1,0)</x:f>
        <x:v>0</x:v>
      </x:c>
      <x:c r="O246" s="21" t="n">
        <x:f>MIN('Root Data'!I76:I78)</x:f>
        <x:v>0</x:v>
      </x:c>
      <x:c r="P246" s="44" t="n">
        <x:f>IF(AND(L246=1,M246=1,N246=1,O246&gt;=G246),K246,0)</x:f>
        <x:v>0</x:v>
      </x:c>
      <x:c r="Q246" s="21" t="str">
        <x:v>OPEN</x:v>
      </x:c>
      <x:c r="R246" s="23" t="str">
        <x:v>HOLD</x:v>
      </x:c>
    </x:row>
    <x:row r="247">
      <x:c r="B247" s="21" t="str">
        <x:v>AR-00241</x:v>
      </x:c>
      <x:c r="C247" s="21" t="str">
        <x:v>F07-I1</x:v>
      </x:c>
      <x:c r="D247" s="21" t="str">
        <x:v>F07</x:v>
      </x:c>
      <x:c r="E247" s="21" t="n">
        <x:v>1</x:v>
      </x:c>
      <x:c r="F247" s="21" t="str">
        <x:v>Civil effect charter</x:v>
      </x:c>
      <x:c r="G247" s="21" t="n">
        <x:v>0</x:v>
      </x:c>
      <x:c r="H247" s="21" t="str">
        <x:v>Civil Guarantee Authority</x:v>
      </x:c>
      <x:c r="I247" s="44" t="n">
        <x:f>Lifecycle!G7</x:f>
        <x:v>0.04941036958956453</x:v>
      </x:c>
      <x:c r="J247" s="44" t="n">
        <x:v>0.06999999999999999</x:v>
      </x:c>
      <x:c r="K247" s="44" t="n">
        <x:f>I247*J247</x:f>
        <x:v>0.0034587258712695168</x:v>
      </x:c>
      <x:c r="L247" s="46" t="n">
        <x:v>0</x:v>
      </x:c>
      <x:c r="M247" s="46" t="n">
        <x:v>0</x:v>
      </x:c>
      <x:c r="N247" s="21" t="n">
        <x:f>1</x:f>
        <x:v>1</x:v>
      </x:c>
      <x:c r="O247" s="21" t="n">
        <x:f>MIN('Root Data'!I79:I81)</x:f>
        <x:v>0</x:v>
      </x:c>
      <x:c r="P247" s="44" t="n">
        <x:f>IF(AND(L247=1,M247=1,N247=1,O247&gt;=G247),K247,0)</x:f>
        <x:v>0</x:v>
      </x:c>
      <x:c r="Q247" s="21" t="str">
        <x:v>OPEN</x:v>
      </x:c>
      <x:c r="R247" s="23" t="str">
        <x:v>HOLD</x:v>
      </x:c>
    </x:row>
    <x:row r="248">
      <x:c r="B248" s="21" t="str">
        <x:v>AR-00242</x:v>
      </x:c>
      <x:c r="C248" s="21" t="str">
        <x:v>F07-I1</x:v>
      </x:c>
      <x:c r="D248" s="21" t="str">
        <x:v>F07</x:v>
      </x:c>
      <x:c r="E248" s="21" t="n">
        <x:v>2</x:v>
      </x:c>
      <x:c r="F248" s="21" t="str">
        <x:v>Requirement and root-independence package</x:v>
      </x:c>
      <x:c r="G248" s="21" t="n">
        <x:v>8</x:v>
      </x:c>
      <x:c r="H248" s="21" t="str">
        <x:v>Resilience Staff</x:v>
      </x:c>
      <x:c r="I248" s="44" t="n">
        <x:f>Lifecycle!G8</x:f>
        <x:v>0.10211476381843337</x:v>
      </x:c>
      <x:c r="J248" s="44" t="n">
        <x:v>0.06999999999999999</x:v>
      </x:c>
      <x:c r="K248" s="44" t="n">
        <x:f>I248*J248</x:f>
        <x:v>0.007148033467290336</x:v>
      </x:c>
      <x:c r="L248" s="46" t="n">
        <x:v>0</x:v>
      </x:c>
      <x:c r="M248" s="46" t="n">
        <x:v>0</x:v>
      </x:c>
      <x:c r="N248" s="21" t="n">
        <x:f>IF(AND(L247=1,M247=1,P247&gt;0),1,0)</x:f>
        <x:v>0</x:v>
      </x:c>
      <x:c r="O248" s="21" t="n">
        <x:f>MIN('Root Data'!I79:I81)</x:f>
        <x:v>0</x:v>
      </x:c>
      <x:c r="P248" s="44" t="n">
        <x:f>IF(AND(L248=1,M248=1,N248=1,O248&gt;=G248),K248,0)</x:f>
        <x:v>0</x:v>
      </x:c>
      <x:c r="Q248" s="21" t="str">
        <x:v>OPEN</x:v>
      </x:c>
      <x:c r="R248" s="23" t="str">
        <x:v>HOLD</x:v>
      </x:c>
    </x:row>
    <x:row r="249">
      <x:c r="B249" s="21" t="str">
        <x:v>AR-00243</x:v>
      </x:c>
      <x:c r="C249" s="21" t="str">
        <x:v>F07-I1</x:v>
      </x:c>
      <x:c r="D249" s="21" t="str">
        <x:v>F07</x:v>
      </x:c>
      <x:c r="E249" s="21" t="n">
        <x:v>3</x:v>
      </x:c>
      <x:c r="F249" s="21" t="str">
        <x:v>Architecture and burden closure</x:v>
      </x:c>
      <x:c r="G249" s="21" t="n">
        <x:v>14</x:v>
      </x:c>
      <x:c r="H249" s="21" t="str">
        <x:v>Independent Evidence and Data Authority</x:v>
      </x:c>
      <x:c r="I249" s="44" t="n">
        <x:f>Lifecycle!G9</x:f>
        <x:v>0.08564464062191186</x:v>
      </x:c>
      <x:c r="J249" s="44" t="n">
        <x:v>0.06999999999999999</x:v>
      </x:c>
      <x:c r="K249" s="44" t="n">
        <x:f>I249*J249</x:f>
        <x:v>0.00599512484353383</x:v>
      </x:c>
      <x:c r="L249" s="46" t="n">
        <x:v>0</x:v>
      </x:c>
      <x:c r="M249" s="46" t="n">
        <x:v>0</x:v>
      </x:c>
      <x:c r="N249" s="21" t="n">
        <x:f>IF(AND(L248=1,M248=1,P248&gt;0),1,0)</x:f>
        <x:v>0</x:v>
      </x:c>
      <x:c r="O249" s="21" t="n">
        <x:f>MIN('Root Data'!I79:I81)</x:f>
        <x:v>0</x:v>
      </x:c>
      <x:c r="P249" s="44" t="n">
        <x:f>IF(AND(L249=1,M249=1,N249=1,O249&gt;=G249),K249,0)</x:f>
        <x:v>0</x:v>
      </x:c>
      <x:c r="Q249" s="21" t="str">
        <x:v>OPEN</x:v>
      </x:c>
      <x:c r="R249" s="23" t="str">
        <x:v>HOLD</x:v>
      </x:c>
    </x:row>
    <x:row r="250">
      <x:c r="B250" s="21" t="str">
        <x:v>AR-00244</x:v>
      </x:c>
      <x:c r="C250" s="21" t="str">
        <x:v>F07-I1</x:v>
      </x:c>
      <x:c r="D250" s="21" t="str">
        <x:v>F07</x:v>
      </x:c>
      <x:c r="E250" s="21" t="n">
        <x:v>4</x:v>
      </x:c>
      <x:c r="F250" s="21" t="str">
        <x:v>Engineering article acceptance</x:v>
      </x:c>
      <x:c r="G250" s="21" t="n">
        <x:v>18</x:v>
      </x:c>
      <x:c r="H250" s="21" t="str">
        <x:v>Independent Evidence and Data Authority</x:v>
      </x:c>
      <x:c r="I250" s="44" t="n">
        <x:f>Lifecycle!G10</x:f>
        <x:v>0.05929244350747744</x:v>
      </x:c>
      <x:c r="J250" s="44" t="n">
        <x:v>0.06999999999999999</x:v>
      </x:c>
      <x:c r="K250" s="44" t="n">
        <x:f>I250*J250</x:f>
        <x:v>0.00415047104552342</x:v>
      </x:c>
      <x:c r="L250" s="46" t="n">
        <x:v>0</x:v>
      </x:c>
      <x:c r="M250" s="46" t="n">
        <x:v>0</x:v>
      </x:c>
      <x:c r="N250" s="21" t="n">
        <x:f>IF(AND(L249=1,M249=1,P249&gt;0),1,0)</x:f>
        <x:v>0</x:v>
      </x:c>
      <x:c r="O250" s="21" t="n">
        <x:f>MIN('Root Data'!I79:I81)</x:f>
        <x:v>0</x:v>
      </x:c>
      <x:c r="P250" s="44" t="n">
        <x:f>IF(AND(L250=1,M250=1,N250=1,O250&gt;=G250),K250,0)</x:f>
        <x:v>0</x:v>
      </x:c>
      <x:c r="Q250" s="21" t="str">
        <x:v>OPEN</x:v>
      </x:c>
      <x:c r="R250" s="23" t="str">
        <x:v>HOLD</x:v>
      </x:c>
    </x:row>
    <x:row r="251">
      <x:c r="B251" s="21" t="str">
        <x:v>AR-00245</x:v>
      </x:c>
      <x:c r="C251" s="21" t="str">
        <x:v>F07-I1</x:v>
      </x:c>
      <x:c r="D251" s="21" t="str">
        <x:v>F07</x:v>
      </x:c>
      <x:c r="E251" s="21" t="n">
        <x:v>5</x:v>
      </x:c>
      <x:c r="F251" s="21" t="str">
        <x:v>Qualification and destructive evidence</x:v>
      </x:c>
      <x:c r="G251" s="21" t="n">
        <x:v>21</x:v>
      </x:c>
      <x:c r="H251" s="21" t="str">
        <x:v>Independent Evidence and Data Authority</x:v>
      </x:c>
      <x:c r="I251" s="44" t="n">
        <x:f>Lifecycle!G11</x:f>
        <x:v>0.1515251334079979</x:v>
      </x:c>
      <x:c r="J251" s="44" t="n">
        <x:v>0.06999999999999999</x:v>
      </x:c>
      <x:c r="K251" s="44" t="n">
        <x:f>I251*J251</x:f>
        <x:v>0.01060675933855985</x:v>
      </x:c>
      <x:c r="L251" s="46" t="n">
        <x:v>0</x:v>
      </x:c>
      <x:c r="M251" s="46" t="n">
        <x:v>0</x:v>
      </x:c>
      <x:c r="N251" s="21" t="n">
        <x:f>IF(AND(L250=1,M250=1,P250&gt;0),1,0)</x:f>
        <x:v>0</x:v>
      </x:c>
      <x:c r="O251" s="21" t="n">
        <x:f>MIN('Root Data'!I79:I81)</x:f>
        <x:v>0</x:v>
      </x:c>
      <x:c r="P251" s="44" t="n">
        <x:f>IF(AND(L251=1,M251=1,N251=1,O251&gt;=G251),K251,0)</x:f>
        <x:v>0</x:v>
      </x:c>
      <x:c r="Q251" s="21" t="str">
        <x:v>OPEN</x:v>
      </x:c>
      <x:c r="R251" s="23" t="str">
        <x:v>HOLD</x:v>
      </x:c>
    </x:row>
    <x:row r="252">
      <x:c r="B252" s="21" t="str">
        <x:v>AR-00246</x:v>
      </x:c>
      <x:c r="C252" s="21" t="str">
        <x:v>F07-I1</x:v>
      </x:c>
      <x:c r="D252" s="21" t="str">
        <x:v>F07</x:v>
      </x:c>
      <x:c r="E252" s="21" t="n">
        <x:v>6</x:v>
      </x:c>
      <x:c r="F252" s="21" t="str">
        <x:v>Representative mission result</x:v>
      </x:c>
      <x:c r="G252" s="21" t="n">
        <x:v>23</x:v>
      </x:c>
      <x:c r="H252" s="21" t="str">
        <x:v>Receiving Service Authority</x:v>
      </x:c>
      <x:c r="I252" s="44" t="n">
        <x:f>Lifecycle!G12</x:f>
        <x:v>0.250345872587127</x:v>
      </x:c>
      <x:c r="J252" s="44" t="n">
        <x:v>0.06999999999999999</x:v>
      </x:c>
      <x:c r="K252" s="44" t="n">
        <x:f>I252*J252</x:f>
        <x:v>0.017524211081098886</x:v>
      </x:c>
      <x:c r="L252" s="46" t="n">
        <x:v>0</x:v>
      </x:c>
      <x:c r="M252" s="46" t="n">
        <x:v>0</x:v>
      </x:c>
      <x:c r="N252" s="21" t="n">
        <x:f>IF(AND(L251=1,M251=1,P251&gt;0),1,0)</x:f>
        <x:v>0</x:v>
      </x:c>
      <x:c r="O252" s="21" t="n">
        <x:f>MIN('Root Data'!I79:I81)</x:f>
        <x:v>0</x:v>
      </x:c>
      <x:c r="P252" s="44" t="n">
        <x:f>IF(AND(L252=1,M252=1,N252=1,O252&gt;=G252),K252,0)</x:f>
        <x:v>0</x:v>
      </x:c>
      <x:c r="Q252" s="21" t="str">
        <x:v>OPEN</x:v>
      </x:c>
      <x:c r="R252" s="23" t="str">
        <x:v>HOLD</x:v>
      </x:c>
    </x:row>
    <x:row r="253">
      <x:c r="B253" s="21" t="str">
        <x:v>AR-00247</x:v>
      </x:c>
      <x:c r="C253" s="21" t="str">
        <x:v>F07-I1</x:v>
      </x:c>
      <x:c r="D253" s="21" t="str">
        <x:v>F07</x:v>
      </x:c>
      <x:c r="E253" s="21" t="n">
        <x:v>7</x:v>
      </x:c>
      <x:c r="F253" s="21" t="str">
        <x:v>Independent reproduction</x:v>
      </x:c>
      <x:c r="G253" s="21" t="n">
        <x:v>28</x:v>
      </x:c>
      <x:c r="H253" s="21" t="str">
        <x:v>Independent Evidence and Data Authority</x:v>
      </x:c>
      <x:c r="I253" s="44" t="n">
        <x:f>Lifecycle!G13</x:f>
        <x:v>0.21740562619408393</x:v>
      </x:c>
      <x:c r="J253" s="44" t="n">
        <x:v>0.06999999999999999</x:v>
      </x:c>
      <x:c r="K253" s="44" t="n">
        <x:f>I253*J253</x:f>
        <x:v>0.015218393833585874</x:v>
      </x:c>
      <x:c r="L253" s="46" t="n">
        <x:v>0</x:v>
      </x:c>
      <x:c r="M253" s="46" t="n">
        <x:v>0</x:v>
      </x:c>
      <x:c r="N253" s="21" t="n">
        <x:f>IF(AND(L252=1,M252=1,P252&gt;0),1,0)</x:f>
        <x:v>0</x:v>
      </x:c>
      <x:c r="O253" s="21" t="n">
        <x:f>MIN('Root Data'!I79:I81)</x:f>
        <x:v>0</x:v>
      </x:c>
      <x:c r="P253" s="44" t="n">
        <x:f>IF(AND(L253=1,M253=1,N253=1,O253&gt;=G253),K253,0)</x:f>
        <x:v>0</x:v>
      </x:c>
      <x:c r="Q253" s="21" t="str">
        <x:v>OPEN</x:v>
      </x:c>
      <x:c r="R253" s="23" t="str">
        <x:v>HOLD</x:v>
      </x:c>
    </x:row>
    <x:row r="254">
      <x:c r="B254" s="21" t="str">
        <x:v>AR-00248</x:v>
      </x:c>
      <x:c r="C254" s="21" t="str">
        <x:v>F07-I1</x:v>
      </x:c>
      <x:c r="D254" s="21" t="str">
        <x:v>F07</x:v>
      </x:c>
      <x:c r="E254" s="21" t="n">
        <x:v>8</x:v>
      </x:c>
      <x:c r="F254" s="21" t="str">
        <x:v>Pilot-process qualification</x:v>
      </x:c>
      <x:c r="G254" s="21" t="n">
        <x:v>28</x:v>
      </x:c>
      <x:c r="H254" s="21" t="str">
        <x:v>AIMC Industrial Mobilization Authority</x:v>
      </x:c>
      <x:c r="I254" s="44" t="n">
        <x:f>Lifecycle!G14</x:f>
        <x:v>0.03952829567165163</x:v>
      </x:c>
      <x:c r="J254" s="44" t="n">
        <x:v>0.06999999999999999</x:v>
      </x:c>
      <x:c r="K254" s="44" t="n">
        <x:f>I254*J254</x:f>
        <x:v>0.0027669806970156137</x:v>
      </x:c>
      <x:c r="L254" s="46" t="n">
        <x:v>0</x:v>
      </x:c>
      <x:c r="M254" s="46" t="n">
        <x:v>0</x:v>
      </x:c>
      <x:c r="N254" s="21" t="n">
        <x:f>IF(AND(L253=1,M253=1,P253&gt;0),1,0)</x:f>
        <x:v>0</x:v>
      </x:c>
      <x:c r="O254" s="21" t="n">
        <x:f>MIN('Root Data'!I79:I81)</x:f>
        <x:v>0</x:v>
      </x:c>
      <x:c r="P254" s="44" t="n">
        <x:f>IF(AND(L254=1,M254=1,N254=1,O254&gt;=G254),K254,0)</x:f>
        <x:v>0</x:v>
      </x:c>
      <x:c r="Q254" s="21" t="str">
        <x:v>OPEN</x:v>
      </x:c>
      <x:c r="R254" s="23" t="str">
        <x:v>HOLD</x:v>
      </x:c>
    </x:row>
    <x:row r="255">
      <x:c r="B255" s="21" t="str">
        <x:v>AR-00249</x:v>
      </x:c>
      <x:c r="C255" s="21" t="str">
        <x:v>F07-I1</x:v>
      </x:c>
      <x:c r="D255" s="21" t="str">
        <x:v>F07</x:v>
      </x:c>
      <x:c r="E255" s="21" t="n">
        <x:v>9</x:v>
      </x:c>
      <x:c r="F255" s="21" t="str">
        <x:v>Production release package</x:v>
      </x:c>
      <x:c r="G255" s="21" t="n">
        <x:v>28</x:v>
      </x:c>
      <x:c r="H255" s="21" t="str">
        <x:v>Production Release Board</x:v>
      </x:c>
      <x:c r="I255" s="44" t="n">
        <x:f>Lifecycle!G15</x:f>
        <x:v>0.01647012319652151</x:v>
      </x:c>
      <x:c r="J255" s="44" t="n">
        <x:v>0.06999999999999999</x:v>
      </x:c>
      <x:c r="K255" s="44" t="n">
        <x:f>I255*J255</x:f>
        <x:v>0.0011529086237565057</x:v>
      </x:c>
      <x:c r="L255" s="46" t="n">
        <x:v>0</x:v>
      </x:c>
      <x:c r="M255" s="46" t="n">
        <x:v>0</x:v>
      </x:c>
      <x:c r="N255" s="21" t="n">
        <x:f>IF(AND(L254=1,M254=1,P254&gt;0),1,0)</x:f>
        <x:v>0</x:v>
      </x:c>
      <x:c r="O255" s="21" t="n">
        <x:f>MIN('Root Data'!I79:I81)</x:f>
        <x:v>0</x:v>
      </x:c>
      <x:c r="P255" s="44" t="n">
        <x:f>IF(AND(L255=1,M255=1,N255=1,O255&gt;=G255),K255,0)</x:f>
        <x:v>0</x:v>
      </x:c>
      <x:c r="Q255" s="21" t="str">
        <x:v>OPEN</x:v>
      </x:c>
      <x:c r="R255" s="23" t="str">
        <x:v>HOLD</x:v>
      </x:c>
    </x:row>
    <x:row r="256">
      <x:c r="B256" s="21" t="str">
        <x:v>AR-00250</x:v>
      </x:c>
      <x:c r="C256" s="21" t="str">
        <x:v>F07-I1</x:v>
      </x:c>
      <x:c r="D256" s="21" t="str">
        <x:v>F07</x:v>
      </x:c>
      <x:c r="E256" s="21" t="n">
        <x:v>10</x:v>
      </x:c>
      <x:c r="F256" s="21" t="str">
        <x:v>Mobilization activation</x:v>
      </x:c>
      <x:c r="G256" s="21" t="n">
        <x:v>28</x:v>
      </x:c>
      <x:c r="H256" s="21" t="str">
        <x:v>Production Release Board</x:v>
      </x:c>
      <x:c r="I256" s="44" t="n">
        <x:f>Lifecycle!G16</x:f>
        <x:v>0.028262731405230914</x:v>
      </x:c>
      <x:c r="J256" s="44" t="n">
        <x:v>0.06999999999999999</x:v>
      </x:c>
      <x:c r="K256" s="44" t="n">
        <x:f>I256*J256</x:f>
        <x:v>0.0019783911983661637</x:v>
      </x:c>
      <x:c r="L256" s="46" t="n">
        <x:v>0</x:v>
      </x:c>
      <x:c r="M256" s="46" t="n">
        <x:v>0</x:v>
      </x:c>
      <x:c r="N256" s="21" t="n">
        <x:f>IF(AND(L255=1,M255=1,P255&gt;0),1,0)</x:f>
        <x:v>0</x:v>
      </x:c>
      <x:c r="O256" s="21" t="n">
        <x:f>MIN('Root Data'!I79:I81)</x:f>
        <x:v>0</x:v>
      </x:c>
      <x:c r="P256" s="44" t="n">
        <x:f>IF(AND(L256=1,M256=1,N256=1,O256&gt;=G256),K256,0)</x:f>
        <x:v>0</x:v>
      </x:c>
      <x:c r="Q256" s="21" t="str">
        <x:v>OPEN</x:v>
      </x:c>
      <x:c r="R256" s="23" t="str">
        <x:v>HOLD</x:v>
      </x:c>
    </x:row>
    <x:row r="257">
      <x:c r="B257" s="21" t="str">
        <x:v>AR-00251</x:v>
      </x:c>
      <x:c r="C257" s="21" t="str">
        <x:v>F07-I2</x:v>
      </x:c>
      <x:c r="D257" s="21" t="str">
        <x:v>F07</x:v>
      </x:c>
      <x:c r="E257" s="21" t="n">
        <x:v>1</x:v>
      </x:c>
      <x:c r="F257" s="21" t="str">
        <x:v>Civil effect charter</x:v>
      </x:c>
      <x:c r="G257" s="21" t="n">
        <x:v>0</x:v>
      </x:c>
      <x:c r="H257" s="21" t="str">
        <x:v>Civil Guarantee Authority</x:v>
      </x:c>
      <x:c r="I257" s="44" t="n">
        <x:f>Lifecycle!G7</x:f>
        <x:v>0.04941036958956453</x:v>
      </x:c>
      <x:c r="J257" s="44" t="n">
        <x:v>0.06999999999999999</x:v>
      </x:c>
      <x:c r="K257" s="44" t="n">
        <x:f>I257*J257</x:f>
        <x:v>0.0034587258712695168</x:v>
      </x:c>
      <x:c r="L257" s="46" t="n">
        <x:v>0</x:v>
      </x:c>
      <x:c r="M257" s="46" t="n">
        <x:v>0</x:v>
      </x:c>
      <x:c r="N257" s="21" t="n">
        <x:f>1</x:f>
        <x:v>1</x:v>
      </x:c>
      <x:c r="O257" s="21" t="n">
        <x:f>MIN('Root Data'!I82:I84)</x:f>
        <x:v>0</x:v>
      </x:c>
      <x:c r="P257" s="44" t="n">
        <x:f>IF(AND(L257=1,M257=1,N257=1,O257&gt;=G257),K257,0)</x:f>
        <x:v>0</x:v>
      </x:c>
      <x:c r="Q257" s="21" t="str">
        <x:v>OPEN</x:v>
      </x:c>
      <x:c r="R257" s="23" t="str">
        <x:v>HOLD</x:v>
      </x:c>
    </x:row>
    <x:row r="258">
      <x:c r="B258" s="21" t="str">
        <x:v>AR-00252</x:v>
      </x:c>
      <x:c r="C258" s="21" t="str">
        <x:v>F07-I2</x:v>
      </x:c>
      <x:c r="D258" s="21" t="str">
        <x:v>F07</x:v>
      </x:c>
      <x:c r="E258" s="21" t="n">
        <x:v>2</x:v>
      </x:c>
      <x:c r="F258" s="21" t="str">
        <x:v>Requirement and root-independence package</x:v>
      </x:c>
      <x:c r="G258" s="21" t="n">
        <x:v>8</x:v>
      </x:c>
      <x:c r="H258" s="21" t="str">
        <x:v>Resilience Staff</x:v>
      </x:c>
      <x:c r="I258" s="44" t="n">
        <x:f>Lifecycle!G8</x:f>
        <x:v>0.10211476381843337</x:v>
      </x:c>
      <x:c r="J258" s="44" t="n">
        <x:v>0.06999999999999999</x:v>
      </x:c>
      <x:c r="K258" s="44" t="n">
        <x:f>I258*J258</x:f>
        <x:v>0.007148033467290336</x:v>
      </x:c>
      <x:c r="L258" s="46" t="n">
        <x:v>0</x:v>
      </x:c>
      <x:c r="M258" s="46" t="n">
        <x:v>0</x:v>
      </x:c>
      <x:c r="N258" s="21" t="n">
        <x:f>IF(AND(L257=1,M257=1,P257&gt;0),1,0)</x:f>
        <x:v>0</x:v>
      </x:c>
      <x:c r="O258" s="21" t="n">
        <x:f>MIN('Root Data'!I82:I84)</x:f>
        <x:v>0</x:v>
      </x:c>
      <x:c r="P258" s="44" t="n">
        <x:f>IF(AND(L258=1,M258=1,N258=1,O258&gt;=G258),K258,0)</x:f>
        <x:v>0</x:v>
      </x:c>
      <x:c r="Q258" s="21" t="str">
        <x:v>OPEN</x:v>
      </x:c>
      <x:c r="R258" s="23" t="str">
        <x:v>HOLD</x:v>
      </x:c>
    </x:row>
    <x:row r="259">
      <x:c r="B259" s="21" t="str">
        <x:v>AR-00253</x:v>
      </x:c>
      <x:c r="C259" s="21" t="str">
        <x:v>F07-I2</x:v>
      </x:c>
      <x:c r="D259" s="21" t="str">
        <x:v>F07</x:v>
      </x:c>
      <x:c r="E259" s="21" t="n">
        <x:v>3</x:v>
      </x:c>
      <x:c r="F259" s="21" t="str">
        <x:v>Architecture and burden closure</x:v>
      </x:c>
      <x:c r="G259" s="21" t="n">
        <x:v>14</x:v>
      </x:c>
      <x:c r="H259" s="21" t="str">
        <x:v>Independent Evidence and Data Authority</x:v>
      </x:c>
      <x:c r="I259" s="44" t="n">
        <x:f>Lifecycle!G9</x:f>
        <x:v>0.08564464062191186</x:v>
      </x:c>
      <x:c r="J259" s="44" t="n">
        <x:v>0.06999999999999999</x:v>
      </x:c>
      <x:c r="K259" s="44" t="n">
        <x:f>I259*J259</x:f>
        <x:v>0.00599512484353383</x:v>
      </x:c>
      <x:c r="L259" s="46" t="n">
        <x:v>0</x:v>
      </x:c>
      <x:c r="M259" s="46" t="n">
        <x:v>0</x:v>
      </x:c>
      <x:c r="N259" s="21" t="n">
        <x:f>IF(AND(L258=1,M258=1,P258&gt;0),1,0)</x:f>
        <x:v>0</x:v>
      </x:c>
      <x:c r="O259" s="21" t="n">
        <x:f>MIN('Root Data'!I82:I84)</x:f>
        <x:v>0</x:v>
      </x:c>
      <x:c r="P259" s="44" t="n">
        <x:f>IF(AND(L259=1,M259=1,N259=1,O259&gt;=G259),K259,0)</x:f>
        <x:v>0</x:v>
      </x:c>
      <x:c r="Q259" s="21" t="str">
        <x:v>OPEN</x:v>
      </x:c>
      <x:c r="R259" s="23" t="str">
        <x:v>HOLD</x:v>
      </x:c>
    </x:row>
    <x:row r="260">
      <x:c r="B260" s="21" t="str">
        <x:v>AR-00254</x:v>
      </x:c>
      <x:c r="C260" s="21" t="str">
        <x:v>F07-I2</x:v>
      </x:c>
      <x:c r="D260" s="21" t="str">
        <x:v>F07</x:v>
      </x:c>
      <x:c r="E260" s="21" t="n">
        <x:v>4</x:v>
      </x:c>
      <x:c r="F260" s="21" t="str">
        <x:v>Engineering article acceptance</x:v>
      </x:c>
      <x:c r="G260" s="21" t="n">
        <x:v>18</x:v>
      </x:c>
      <x:c r="H260" s="21" t="str">
        <x:v>Independent Evidence and Data Authority</x:v>
      </x:c>
      <x:c r="I260" s="44" t="n">
        <x:f>Lifecycle!G10</x:f>
        <x:v>0.05929244350747744</x:v>
      </x:c>
      <x:c r="J260" s="44" t="n">
        <x:v>0.06999999999999999</x:v>
      </x:c>
      <x:c r="K260" s="44" t="n">
        <x:f>I260*J260</x:f>
        <x:v>0.00415047104552342</x:v>
      </x:c>
      <x:c r="L260" s="46" t="n">
        <x:v>0</x:v>
      </x:c>
      <x:c r="M260" s="46" t="n">
        <x:v>0</x:v>
      </x:c>
      <x:c r="N260" s="21" t="n">
        <x:f>IF(AND(L259=1,M259=1,P259&gt;0),1,0)</x:f>
        <x:v>0</x:v>
      </x:c>
      <x:c r="O260" s="21" t="n">
        <x:f>MIN('Root Data'!I82:I84)</x:f>
        <x:v>0</x:v>
      </x:c>
      <x:c r="P260" s="44" t="n">
        <x:f>IF(AND(L260=1,M260=1,N260=1,O260&gt;=G260),K260,0)</x:f>
        <x:v>0</x:v>
      </x:c>
      <x:c r="Q260" s="21" t="str">
        <x:v>OPEN</x:v>
      </x:c>
      <x:c r="R260" s="23" t="str">
        <x:v>HOLD</x:v>
      </x:c>
    </x:row>
    <x:row r="261">
      <x:c r="B261" s="21" t="str">
        <x:v>AR-00255</x:v>
      </x:c>
      <x:c r="C261" s="21" t="str">
        <x:v>F07-I2</x:v>
      </x:c>
      <x:c r="D261" s="21" t="str">
        <x:v>F07</x:v>
      </x:c>
      <x:c r="E261" s="21" t="n">
        <x:v>5</x:v>
      </x:c>
      <x:c r="F261" s="21" t="str">
        <x:v>Qualification and destructive evidence</x:v>
      </x:c>
      <x:c r="G261" s="21" t="n">
        <x:v>21</x:v>
      </x:c>
      <x:c r="H261" s="21" t="str">
        <x:v>Independent Evidence and Data Authority</x:v>
      </x:c>
      <x:c r="I261" s="44" t="n">
        <x:f>Lifecycle!G11</x:f>
        <x:v>0.1515251334079979</x:v>
      </x:c>
      <x:c r="J261" s="44" t="n">
        <x:v>0.06999999999999999</x:v>
      </x:c>
      <x:c r="K261" s="44" t="n">
        <x:f>I261*J261</x:f>
        <x:v>0.01060675933855985</x:v>
      </x:c>
      <x:c r="L261" s="46" t="n">
        <x:v>0</x:v>
      </x:c>
      <x:c r="M261" s="46" t="n">
        <x:v>0</x:v>
      </x:c>
      <x:c r="N261" s="21" t="n">
        <x:f>IF(AND(L260=1,M260=1,P260&gt;0),1,0)</x:f>
        <x:v>0</x:v>
      </x:c>
      <x:c r="O261" s="21" t="n">
        <x:f>MIN('Root Data'!I82:I84)</x:f>
        <x:v>0</x:v>
      </x:c>
      <x:c r="P261" s="44" t="n">
        <x:f>IF(AND(L261=1,M261=1,N261=1,O261&gt;=G261),K261,0)</x:f>
        <x:v>0</x:v>
      </x:c>
      <x:c r="Q261" s="21" t="str">
        <x:v>OPEN</x:v>
      </x:c>
      <x:c r="R261" s="23" t="str">
        <x:v>HOLD</x:v>
      </x:c>
    </x:row>
    <x:row r="262">
      <x:c r="B262" s="21" t="str">
        <x:v>AR-00256</x:v>
      </x:c>
      <x:c r="C262" s="21" t="str">
        <x:v>F07-I2</x:v>
      </x:c>
      <x:c r="D262" s="21" t="str">
        <x:v>F07</x:v>
      </x:c>
      <x:c r="E262" s="21" t="n">
        <x:v>6</x:v>
      </x:c>
      <x:c r="F262" s="21" t="str">
        <x:v>Representative mission result</x:v>
      </x:c>
      <x:c r="G262" s="21" t="n">
        <x:v>23</x:v>
      </x:c>
      <x:c r="H262" s="21" t="str">
        <x:v>Receiving Service Authority</x:v>
      </x:c>
      <x:c r="I262" s="44" t="n">
        <x:f>Lifecycle!G12</x:f>
        <x:v>0.250345872587127</x:v>
      </x:c>
      <x:c r="J262" s="44" t="n">
        <x:v>0.06999999999999999</x:v>
      </x:c>
      <x:c r="K262" s="44" t="n">
        <x:f>I262*J262</x:f>
        <x:v>0.017524211081098886</x:v>
      </x:c>
      <x:c r="L262" s="46" t="n">
        <x:v>0</x:v>
      </x:c>
      <x:c r="M262" s="46" t="n">
        <x:v>0</x:v>
      </x:c>
      <x:c r="N262" s="21" t="n">
        <x:f>IF(AND(L261=1,M261=1,P261&gt;0),1,0)</x:f>
        <x:v>0</x:v>
      </x:c>
      <x:c r="O262" s="21" t="n">
        <x:f>MIN('Root Data'!I82:I84)</x:f>
        <x:v>0</x:v>
      </x:c>
      <x:c r="P262" s="44" t="n">
        <x:f>IF(AND(L262=1,M262=1,N262=1,O262&gt;=G262),K262,0)</x:f>
        <x:v>0</x:v>
      </x:c>
      <x:c r="Q262" s="21" t="str">
        <x:v>OPEN</x:v>
      </x:c>
      <x:c r="R262" s="23" t="str">
        <x:v>HOLD</x:v>
      </x:c>
    </x:row>
    <x:row r="263">
      <x:c r="B263" s="21" t="str">
        <x:v>AR-00257</x:v>
      </x:c>
      <x:c r="C263" s="21" t="str">
        <x:v>F07-I2</x:v>
      </x:c>
      <x:c r="D263" s="21" t="str">
        <x:v>F07</x:v>
      </x:c>
      <x:c r="E263" s="21" t="n">
        <x:v>7</x:v>
      </x:c>
      <x:c r="F263" s="21" t="str">
        <x:v>Independent reproduction</x:v>
      </x:c>
      <x:c r="G263" s="21" t="n">
        <x:v>28</x:v>
      </x:c>
      <x:c r="H263" s="21" t="str">
        <x:v>Independent Evidence and Data Authority</x:v>
      </x:c>
      <x:c r="I263" s="44" t="n">
        <x:f>Lifecycle!G13</x:f>
        <x:v>0.21740562619408393</x:v>
      </x:c>
      <x:c r="J263" s="44" t="n">
        <x:v>0.06999999999999999</x:v>
      </x:c>
      <x:c r="K263" s="44" t="n">
        <x:f>I263*J263</x:f>
        <x:v>0.015218393833585874</x:v>
      </x:c>
      <x:c r="L263" s="46" t="n">
        <x:v>0</x:v>
      </x:c>
      <x:c r="M263" s="46" t="n">
        <x:v>0</x:v>
      </x:c>
      <x:c r="N263" s="21" t="n">
        <x:f>IF(AND(L262=1,M262=1,P262&gt;0),1,0)</x:f>
        <x:v>0</x:v>
      </x:c>
      <x:c r="O263" s="21" t="n">
        <x:f>MIN('Root Data'!I82:I84)</x:f>
        <x:v>0</x:v>
      </x:c>
      <x:c r="P263" s="44" t="n">
        <x:f>IF(AND(L263=1,M263=1,N263=1,O263&gt;=G263),K263,0)</x:f>
        <x:v>0</x:v>
      </x:c>
      <x:c r="Q263" s="21" t="str">
        <x:v>OPEN</x:v>
      </x:c>
      <x:c r="R263" s="23" t="str">
        <x:v>HOLD</x:v>
      </x:c>
    </x:row>
    <x:row r="264">
      <x:c r="B264" s="21" t="str">
        <x:v>AR-00258</x:v>
      </x:c>
      <x:c r="C264" s="21" t="str">
        <x:v>F07-I2</x:v>
      </x:c>
      <x:c r="D264" s="21" t="str">
        <x:v>F07</x:v>
      </x:c>
      <x:c r="E264" s="21" t="n">
        <x:v>8</x:v>
      </x:c>
      <x:c r="F264" s="21" t="str">
        <x:v>Pilot-process qualification</x:v>
      </x:c>
      <x:c r="G264" s="21" t="n">
        <x:v>28</x:v>
      </x:c>
      <x:c r="H264" s="21" t="str">
        <x:v>AIMC Industrial Mobilization Authority</x:v>
      </x:c>
      <x:c r="I264" s="44" t="n">
        <x:f>Lifecycle!G14</x:f>
        <x:v>0.03952829567165163</x:v>
      </x:c>
      <x:c r="J264" s="44" t="n">
        <x:v>0.06999999999999999</x:v>
      </x:c>
      <x:c r="K264" s="44" t="n">
        <x:f>I264*J264</x:f>
        <x:v>0.0027669806970156137</x:v>
      </x:c>
      <x:c r="L264" s="46" t="n">
        <x:v>0</x:v>
      </x:c>
      <x:c r="M264" s="46" t="n">
        <x:v>0</x:v>
      </x:c>
      <x:c r="N264" s="21" t="n">
        <x:f>IF(AND(L263=1,M263=1,P263&gt;0),1,0)</x:f>
        <x:v>0</x:v>
      </x:c>
      <x:c r="O264" s="21" t="n">
        <x:f>MIN('Root Data'!I82:I84)</x:f>
        <x:v>0</x:v>
      </x:c>
      <x:c r="P264" s="44" t="n">
        <x:f>IF(AND(L264=1,M264=1,N264=1,O264&gt;=G264),K264,0)</x:f>
        <x:v>0</x:v>
      </x:c>
      <x:c r="Q264" s="21" t="str">
        <x:v>OPEN</x:v>
      </x:c>
      <x:c r="R264" s="23" t="str">
        <x:v>HOLD</x:v>
      </x:c>
    </x:row>
    <x:row r="265">
      <x:c r="B265" s="21" t="str">
        <x:v>AR-00259</x:v>
      </x:c>
      <x:c r="C265" s="21" t="str">
        <x:v>F07-I2</x:v>
      </x:c>
      <x:c r="D265" s="21" t="str">
        <x:v>F07</x:v>
      </x:c>
      <x:c r="E265" s="21" t="n">
        <x:v>9</x:v>
      </x:c>
      <x:c r="F265" s="21" t="str">
        <x:v>Production release package</x:v>
      </x:c>
      <x:c r="G265" s="21" t="n">
        <x:v>28</x:v>
      </x:c>
      <x:c r="H265" s="21" t="str">
        <x:v>Production Release Board</x:v>
      </x:c>
      <x:c r="I265" s="44" t="n">
        <x:f>Lifecycle!G15</x:f>
        <x:v>0.01647012319652151</x:v>
      </x:c>
      <x:c r="J265" s="44" t="n">
        <x:v>0.06999999999999999</x:v>
      </x:c>
      <x:c r="K265" s="44" t="n">
        <x:f>I265*J265</x:f>
        <x:v>0.0011529086237565057</x:v>
      </x:c>
      <x:c r="L265" s="46" t="n">
        <x:v>0</x:v>
      </x:c>
      <x:c r="M265" s="46" t="n">
        <x:v>0</x:v>
      </x:c>
      <x:c r="N265" s="21" t="n">
        <x:f>IF(AND(L264=1,M264=1,P264&gt;0),1,0)</x:f>
        <x:v>0</x:v>
      </x:c>
      <x:c r="O265" s="21" t="n">
        <x:f>MIN('Root Data'!I82:I84)</x:f>
        <x:v>0</x:v>
      </x:c>
      <x:c r="P265" s="44" t="n">
        <x:f>IF(AND(L265=1,M265=1,N265=1,O265&gt;=G265),K265,0)</x:f>
        <x:v>0</x:v>
      </x:c>
      <x:c r="Q265" s="21" t="str">
        <x:v>OPEN</x:v>
      </x:c>
      <x:c r="R265" s="23" t="str">
        <x:v>HOLD</x:v>
      </x:c>
    </x:row>
    <x:row r="266">
      <x:c r="B266" s="21" t="str">
        <x:v>AR-00260</x:v>
      </x:c>
      <x:c r="C266" s="21" t="str">
        <x:v>F07-I2</x:v>
      </x:c>
      <x:c r="D266" s="21" t="str">
        <x:v>F07</x:v>
      </x:c>
      <x:c r="E266" s="21" t="n">
        <x:v>10</x:v>
      </x:c>
      <x:c r="F266" s="21" t="str">
        <x:v>Mobilization activation</x:v>
      </x:c>
      <x:c r="G266" s="21" t="n">
        <x:v>28</x:v>
      </x:c>
      <x:c r="H266" s="21" t="str">
        <x:v>Production Release Board</x:v>
      </x:c>
      <x:c r="I266" s="44" t="n">
        <x:f>Lifecycle!G16</x:f>
        <x:v>0.028262731405230914</x:v>
      </x:c>
      <x:c r="J266" s="44" t="n">
        <x:v>0.06999999999999999</x:v>
      </x:c>
      <x:c r="K266" s="44" t="n">
        <x:f>I266*J266</x:f>
        <x:v>0.0019783911983661637</x:v>
      </x:c>
      <x:c r="L266" s="46" t="n">
        <x:v>0</x:v>
      </x:c>
      <x:c r="M266" s="46" t="n">
        <x:v>0</x:v>
      </x:c>
      <x:c r="N266" s="21" t="n">
        <x:f>IF(AND(L265=1,M265=1,P265&gt;0),1,0)</x:f>
        <x:v>0</x:v>
      </x:c>
      <x:c r="O266" s="21" t="n">
        <x:f>MIN('Root Data'!I82:I84)</x:f>
        <x:v>0</x:v>
      </x:c>
      <x:c r="P266" s="44" t="n">
        <x:f>IF(AND(L266=1,M266=1,N266=1,O266&gt;=G266),K266,0)</x:f>
        <x:v>0</x:v>
      </x:c>
      <x:c r="Q266" s="21" t="str">
        <x:v>OPEN</x:v>
      </x:c>
      <x:c r="R266" s="23" t="str">
        <x:v>HOLD</x:v>
      </x:c>
    </x:row>
    <x:row r="267">
      <x:c r="B267" s="21" t="str">
        <x:v>AR-00261</x:v>
      </x:c>
      <x:c r="C267" s="21" t="str">
        <x:v>F07-I3</x:v>
      </x:c>
      <x:c r="D267" s="21" t="str">
        <x:v>F07</x:v>
      </x:c>
      <x:c r="E267" s="21" t="n">
        <x:v>1</x:v>
      </x:c>
      <x:c r="F267" s="21" t="str">
        <x:v>Civil effect charter</x:v>
      </x:c>
      <x:c r="G267" s="21" t="n">
        <x:v>0</x:v>
      </x:c>
      <x:c r="H267" s="21" t="str">
        <x:v>Civil Guarantee Authority</x:v>
      </x:c>
      <x:c r="I267" s="44" t="n">
        <x:f>Lifecycle!G7</x:f>
        <x:v>0.04941036958956453</x:v>
      </x:c>
      <x:c r="J267" s="44" t="n">
        <x:v>0.06999999999999999</x:v>
      </x:c>
      <x:c r="K267" s="44" t="n">
        <x:f>I267*J267</x:f>
        <x:v>0.0034587258712695168</x:v>
      </x:c>
      <x:c r="L267" s="46" t="n">
        <x:v>0</x:v>
      </x:c>
      <x:c r="M267" s="46" t="n">
        <x:v>0</x:v>
      </x:c>
      <x:c r="N267" s="21" t="n">
        <x:f>1</x:f>
        <x:v>1</x:v>
      </x:c>
      <x:c r="O267" s="21" t="n">
        <x:f>MIN('Root Data'!I85:I87)</x:f>
        <x:v>0</x:v>
      </x:c>
      <x:c r="P267" s="44" t="n">
        <x:f>IF(AND(L267=1,M267=1,N267=1,O267&gt;=G267),K267,0)</x:f>
        <x:v>0</x:v>
      </x:c>
      <x:c r="Q267" s="21" t="str">
        <x:v>OPEN</x:v>
      </x:c>
      <x:c r="R267" s="23" t="str">
        <x:v>HOLD</x:v>
      </x:c>
    </x:row>
    <x:row r="268">
      <x:c r="B268" s="21" t="str">
        <x:v>AR-00262</x:v>
      </x:c>
      <x:c r="C268" s="21" t="str">
        <x:v>F07-I3</x:v>
      </x:c>
      <x:c r="D268" s="21" t="str">
        <x:v>F07</x:v>
      </x:c>
      <x:c r="E268" s="21" t="n">
        <x:v>2</x:v>
      </x:c>
      <x:c r="F268" s="21" t="str">
        <x:v>Requirement and root-independence package</x:v>
      </x:c>
      <x:c r="G268" s="21" t="n">
        <x:v>8</x:v>
      </x:c>
      <x:c r="H268" s="21" t="str">
        <x:v>Resilience Staff</x:v>
      </x:c>
      <x:c r="I268" s="44" t="n">
        <x:f>Lifecycle!G8</x:f>
        <x:v>0.10211476381843337</x:v>
      </x:c>
      <x:c r="J268" s="44" t="n">
        <x:v>0.06999999999999999</x:v>
      </x:c>
      <x:c r="K268" s="44" t="n">
        <x:f>I268*J268</x:f>
        <x:v>0.007148033467290336</x:v>
      </x:c>
      <x:c r="L268" s="46" t="n">
        <x:v>0</x:v>
      </x:c>
      <x:c r="M268" s="46" t="n">
        <x:v>0</x:v>
      </x:c>
      <x:c r="N268" s="21" t="n">
        <x:f>IF(AND(L267=1,M267=1,P267&gt;0),1,0)</x:f>
        <x:v>0</x:v>
      </x:c>
      <x:c r="O268" s="21" t="n">
        <x:f>MIN('Root Data'!I85:I87)</x:f>
        <x:v>0</x:v>
      </x:c>
      <x:c r="P268" s="44" t="n">
        <x:f>IF(AND(L268=1,M268=1,N268=1,O268&gt;=G268),K268,0)</x:f>
        <x:v>0</x:v>
      </x:c>
      <x:c r="Q268" s="21" t="str">
        <x:v>OPEN</x:v>
      </x:c>
      <x:c r="R268" s="23" t="str">
        <x:v>HOLD</x:v>
      </x:c>
    </x:row>
    <x:row r="269">
      <x:c r="B269" s="21" t="str">
        <x:v>AR-00263</x:v>
      </x:c>
      <x:c r="C269" s="21" t="str">
        <x:v>F07-I3</x:v>
      </x:c>
      <x:c r="D269" s="21" t="str">
        <x:v>F07</x:v>
      </x:c>
      <x:c r="E269" s="21" t="n">
        <x:v>3</x:v>
      </x:c>
      <x:c r="F269" s="21" t="str">
        <x:v>Architecture and burden closure</x:v>
      </x:c>
      <x:c r="G269" s="21" t="n">
        <x:v>14</x:v>
      </x:c>
      <x:c r="H269" s="21" t="str">
        <x:v>Independent Evidence and Data Authority</x:v>
      </x:c>
      <x:c r="I269" s="44" t="n">
        <x:f>Lifecycle!G9</x:f>
        <x:v>0.08564464062191186</x:v>
      </x:c>
      <x:c r="J269" s="44" t="n">
        <x:v>0.06999999999999999</x:v>
      </x:c>
      <x:c r="K269" s="44" t="n">
        <x:f>I269*J269</x:f>
        <x:v>0.00599512484353383</x:v>
      </x:c>
      <x:c r="L269" s="46" t="n">
        <x:v>0</x:v>
      </x:c>
      <x:c r="M269" s="46" t="n">
        <x:v>0</x:v>
      </x:c>
      <x:c r="N269" s="21" t="n">
        <x:f>IF(AND(L268=1,M268=1,P268&gt;0),1,0)</x:f>
        <x:v>0</x:v>
      </x:c>
      <x:c r="O269" s="21" t="n">
        <x:f>MIN('Root Data'!I85:I87)</x:f>
        <x:v>0</x:v>
      </x:c>
      <x:c r="P269" s="44" t="n">
        <x:f>IF(AND(L269=1,M269=1,N269=1,O269&gt;=G269),K269,0)</x:f>
        <x:v>0</x:v>
      </x:c>
      <x:c r="Q269" s="21" t="str">
        <x:v>OPEN</x:v>
      </x:c>
      <x:c r="R269" s="23" t="str">
        <x:v>HOLD</x:v>
      </x:c>
    </x:row>
    <x:row r="270">
      <x:c r="B270" s="21" t="str">
        <x:v>AR-00264</x:v>
      </x:c>
      <x:c r="C270" s="21" t="str">
        <x:v>F07-I3</x:v>
      </x:c>
      <x:c r="D270" s="21" t="str">
        <x:v>F07</x:v>
      </x:c>
      <x:c r="E270" s="21" t="n">
        <x:v>4</x:v>
      </x:c>
      <x:c r="F270" s="21" t="str">
        <x:v>Engineering article acceptance</x:v>
      </x:c>
      <x:c r="G270" s="21" t="n">
        <x:v>18</x:v>
      </x:c>
      <x:c r="H270" s="21" t="str">
        <x:v>Independent Evidence and Data Authority</x:v>
      </x:c>
      <x:c r="I270" s="44" t="n">
        <x:f>Lifecycle!G10</x:f>
        <x:v>0.05929244350747744</x:v>
      </x:c>
      <x:c r="J270" s="44" t="n">
        <x:v>0.06999999999999999</x:v>
      </x:c>
      <x:c r="K270" s="44" t="n">
        <x:f>I270*J270</x:f>
        <x:v>0.00415047104552342</x:v>
      </x:c>
      <x:c r="L270" s="46" t="n">
        <x:v>0</x:v>
      </x:c>
      <x:c r="M270" s="46" t="n">
        <x:v>0</x:v>
      </x:c>
      <x:c r="N270" s="21" t="n">
        <x:f>IF(AND(L269=1,M269=1,P269&gt;0),1,0)</x:f>
        <x:v>0</x:v>
      </x:c>
      <x:c r="O270" s="21" t="n">
        <x:f>MIN('Root Data'!I85:I87)</x:f>
        <x:v>0</x:v>
      </x:c>
      <x:c r="P270" s="44" t="n">
        <x:f>IF(AND(L270=1,M270=1,N270=1,O270&gt;=G270),K270,0)</x:f>
        <x:v>0</x:v>
      </x:c>
      <x:c r="Q270" s="21" t="str">
        <x:v>OPEN</x:v>
      </x:c>
      <x:c r="R270" s="23" t="str">
        <x:v>HOLD</x:v>
      </x:c>
    </x:row>
    <x:row r="271">
      <x:c r="B271" s="21" t="str">
        <x:v>AR-00265</x:v>
      </x:c>
      <x:c r="C271" s="21" t="str">
        <x:v>F07-I3</x:v>
      </x:c>
      <x:c r="D271" s="21" t="str">
        <x:v>F07</x:v>
      </x:c>
      <x:c r="E271" s="21" t="n">
        <x:v>5</x:v>
      </x:c>
      <x:c r="F271" s="21" t="str">
        <x:v>Qualification and destructive evidence</x:v>
      </x:c>
      <x:c r="G271" s="21" t="n">
        <x:v>21</x:v>
      </x:c>
      <x:c r="H271" s="21" t="str">
        <x:v>Independent Evidence and Data Authority</x:v>
      </x:c>
      <x:c r="I271" s="44" t="n">
        <x:f>Lifecycle!G11</x:f>
        <x:v>0.1515251334079979</x:v>
      </x:c>
      <x:c r="J271" s="44" t="n">
        <x:v>0.06999999999999999</x:v>
      </x:c>
      <x:c r="K271" s="44" t="n">
        <x:f>I271*J271</x:f>
        <x:v>0.01060675933855985</x:v>
      </x:c>
      <x:c r="L271" s="46" t="n">
        <x:v>0</x:v>
      </x:c>
      <x:c r="M271" s="46" t="n">
        <x:v>0</x:v>
      </x:c>
      <x:c r="N271" s="21" t="n">
        <x:f>IF(AND(L270=1,M270=1,P270&gt;0),1,0)</x:f>
        <x:v>0</x:v>
      </x:c>
      <x:c r="O271" s="21" t="n">
        <x:f>MIN('Root Data'!I85:I87)</x:f>
        <x:v>0</x:v>
      </x:c>
      <x:c r="P271" s="44" t="n">
        <x:f>IF(AND(L271=1,M271=1,N271=1,O271&gt;=G271),K271,0)</x:f>
        <x:v>0</x:v>
      </x:c>
      <x:c r="Q271" s="21" t="str">
        <x:v>OPEN</x:v>
      </x:c>
      <x:c r="R271" s="23" t="str">
        <x:v>HOLD</x:v>
      </x:c>
    </x:row>
    <x:row r="272">
      <x:c r="B272" s="21" t="str">
        <x:v>AR-00266</x:v>
      </x:c>
      <x:c r="C272" s="21" t="str">
        <x:v>F07-I3</x:v>
      </x:c>
      <x:c r="D272" s="21" t="str">
        <x:v>F07</x:v>
      </x:c>
      <x:c r="E272" s="21" t="n">
        <x:v>6</x:v>
      </x:c>
      <x:c r="F272" s="21" t="str">
        <x:v>Representative mission result</x:v>
      </x:c>
      <x:c r="G272" s="21" t="n">
        <x:v>23</x:v>
      </x:c>
      <x:c r="H272" s="21" t="str">
        <x:v>Receiving Service Authority</x:v>
      </x:c>
      <x:c r="I272" s="44" t="n">
        <x:f>Lifecycle!G12</x:f>
        <x:v>0.250345872587127</x:v>
      </x:c>
      <x:c r="J272" s="44" t="n">
        <x:v>0.06999999999999999</x:v>
      </x:c>
      <x:c r="K272" s="44" t="n">
        <x:f>I272*J272</x:f>
        <x:v>0.017524211081098886</x:v>
      </x:c>
      <x:c r="L272" s="46" t="n">
        <x:v>0</x:v>
      </x:c>
      <x:c r="M272" s="46" t="n">
        <x:v>0</x:v>
      </x:c>
      <x:c r="N272" s="21" t="n">
        <x:f>IF(AND(L271=1,M271=1,P271&gt;0),1,0)</x:f>
        <x:v>0</x:v>
      </x:c>
      <x:c r="O272" s="21" t="n">
        <x:f>MIN('Root Data'!I85:I87)</x:f>
        <x:v>0</x:v>
      </x:c>
      <x:c r="P272" s="44" t="n">
        <x:f>IF(AND(L272=1,M272=1,N272=1,O272&gt;=G272),K272,0)</x:f>
        <x:v>0</x:v>
      </x:c>
      <x:c r="Q272" s="21" t="str">
        <x:v>OPEN</x:v>
      </x:c>
      <x:c r="R272" s="23" t="str">
        <x:v>HOLD</x:v>
      </x:c>
    </x:row>
    <x:row r="273">
      <x:c r="B273" s="21" t="str">
        <x:v>AR-00267</x:v>
      </x:c>
      <x:c r="C273" s="21" t="str">
        <x:v>F07-I3</x:v>
      </x:c>
      <x:c r="D273" s="21" t="str">
        <x:v>F07</x:v>
      </x:c>
      <x:c r="E273" s="21" t="n">
        <x:v>7</x:v>
      </x:c>
      <x:c r="F273" s="21" t="str">
        <x:v>Independent reproduction</x:v>
      </x:c>
      <x:c r="G273" s="21" t="n">
        <x:v>28</x:v>
      </x:c>
      <x:c r="H273" s="21" t="str">
        <x:v>Independent Evidence and Data Authority</x:v>
      </x:c>
      <x:c r="I273" s="44" t="n">
        <x:f>Lifecycle!G13</x:f>
        <x:v>0.21740562619408393</x:v>
      </x:c>
      <x:c r="J273" s="44" t="n">
        <x:v>0.06999999999999999</x:v>
      </x:c>
      <x:c r="K273" s="44" t="n">
        <x:f>I273*J273</x:f>
        <x:v>0.015218393833585874</x:v>
      </x:c>
      <x:c r="L273" s="46" t="n">
        <x:v>0</x:v>
      </x:c>
      <x:c r="M273" s="46" t="n">
        <x:v>0</x:v>
      </x:c>
      <x:c r="N273" s="21" t="n">
        <x:f>IF(AND(L272=1,M272=1,P272&gt;0),1,0)</x:f>
        <x:v>0</x:v>
      </x:c>
      <x:c r="O273" s="21" t="n">
        <x:f>MIN('Root Data'!I85:I87)</x:f>
        <x:v>0</x:v>
      </x:c>
      <x:c r="P273" s="44" t="n">
        <x:f>IF(AND(L273=1,M273=1,N273=1,O273&gt;=G273),K273,0)</x:f>
        <x:v>0</x:v>
      </x:c>
      <x:c r="Q273" s="21" t="str">
        <x:v>OPEN</x:v>
      </x:c>
      <x:c r="R273" s="23" t="str">
        <x:v>HOLD</x:v>
      </x:c>
    </x:row>
    <x:row r="274">
      <x:c r="B274" s="21" t="str">
        <x:v>AR-00268</x:v>
      </x:c>
      <x:c r="C274" s="21" t="str">
        <x:v>F07-I3</x:v>
      </x:c>
      <x:c r="D274" s="21" t="str">
        <x:v>F07</x:v>
      </x:c>
      <x:c r="E274" s="21" t="n">
        <x:v>8</x:v>
      </x:c>
      <x:c r="F274" s="21" t="str">
        <x:v>Pilot-process qualification</x:v>
      </x:c>
      <x:c r="G274" s="21" t="n">
        <x:v>28</x:v>
      </x:c>
      <x:c r="H274" s="21" t="str">
        <x:v>AIMC Industrial Mobilization Authority</x:v>
      </x:c>
      <x:c r="I274" s="44" t="n">
        <x:f>Lifecycle!G14</x:f>
        <x:v>0.03952829567165163</x:v>
      </x:c>
      <x:c r="J274" s="44" t="n">
        <x:v>0.06999999999999999</x:v>
      </x:c>
      <x:c r="K274" s="44" t="n">
        <x:f>I274*J274</x:f>
        <x:v>0.0027669806970156137</x:v>
      </x:c>
      <x:c r="L274" s="46" t="n">
        <x:v>0</x:v>
      </x:c>
      <x:c r="M274" s="46" t="n">
        <x:v>0</x:v>
      </x:c>
      <x:c r="N274" s="21" t="n">
        <x:f>IF(AND(L273=1,M273=1,P273&gt;0),1,0)</x:f>
        <x:v>0</x:v>
      </x:c>
      <x:c r="O274" s="21" t="n">
        <x:f>MIN('Root Data'!I85:I87)</x:f>
        <x:v>0</x:v>
      </x:c>
      <x:c r="P274" s="44" t="n">
        <x:f>IF(AND(L274=1,M274=1,N274=1,O274&gt;=G274),K274,0)</x:f>
        <x:v>0</x:v>
      </x:c>
      <x:c r="Q274" s="21" t="str">
        <x:v>OPEN</x:v>
      </x:c>
      <x:c r="R274" s="23" t="str">
        <x:v>HOLD</x:v>
      </x:c>
    </x:row>
    <x:row r="275">
      <x:c r="B275" s="21" t="str">
        <x:v>AR-00269</x:v>
      </x:c>
      <x:c r="C275" s="21" t="str">
        <x:v>F07-I3</x:v>
      </x:c>
      <x:c r="D275" s="21" t="str">
        <x:v>F07</x:v>
      </x:c>
      <x:c r="E275" s="21" t="n">
        <x:v>9</x:v>
      </x:c>
      <x:c r="F275" s="21" t="str">
        <x:v>Production release package</x:v>
      </x:c>
      <x:c r="G275" s="21" t="n">
        <x:v>28</x:v>
      </x:c>
      <x:c r="H275" s="21" t="str">
        <x:v>Production Release Board</x:v>
      </x:c>
      <x:c r="I275" s="44" t="n">
        <x:f>Lifecycle!G15</x:f>
        <x:v>0.01647012319652151</x:v>
      </x:c>
      <x:c r="J275" s="44" t="n">
        <x:v>0.06999999999999999</x:v>
      </x:c>
      <x:c r="K275" s="44" t="n">
        <x:f>I275*J275</x:f>
        <x:v>0.0011529086237565057</x:v>
      </x:c>
      <x:c r="L275" s="46" t="n">
        <x:v>0</x:v>
      </x:c>
      <x:c r="M275" s="46" t="n">
        <x:v>0</x:v>
      </x:c>
      <x:c r="N275" s="21" t="n">
        <x:f>IF(AND(L274=1,M274=1,P274&gt;0),1,0)</x:f>
        <x:v>0</x:v>
      </x:c>
      <x:c r="O275" s="21" t="n">
        <x:f>MIN('Root Data'!I85:I87)</x:f>
        <x:v>0</x:v>
      </x:c>
      <x:c r="P275" s="44" t="n">
        <x:f>IF(AND(L275=1,M275=1,N275=1,O275&gt;=G275),K275,0)</x:f>
        <x:v>0</x:v>
      </x:c>
      <x:c r="Q275" s="21" t="str">
        <x:v>OPEN</x:v>
      </x:c>
      <x:c r="R275" s="23" t="str">
        <x:v>HOLD</x:v>
      </x:c>
    </x:row>
    <x:row r="276">
      <x:c r="B276" s="21" t="str">
        <x:v>AR-00270</x:v>
      </x:c>
      <x:c r="C276" s="21" t="str">
        <x:v>F07-I3</x:v>
      </x:c>
      <x:c r="D276" s="21" t="str">
        <x:v>F07</x:v>
      </x:c>
      <x:c r="E276" s="21" t="n">
        <x:v>10</x:v>
      </x:c>
      <x:c r="F276" s="21" t="str">
        <x:v>Mobilization activation</x:v>
      </x:c>
      <x:c r="G276" s="21" t="n">
        <x:v>28</x:v>
      </x:c>
      <x:c r="H276" s="21" t="str">
        <x:v>Production Release Board</x:v>
      </x:c>
      <x:c r="I276" s="44" t="n">
        <x:f>Lifecycle!G16</x:f>
        <x:v>0.028262731405230914</x:v>
      </x:c>
      <x:c r="J276" s="44" t="n">
        <x:v>0.06999999999999999</x:v>
      </x:c>
      <x:c r="K276" s="44" t="n">
        <x:f>I276*J276</x:f>
        <x:v>0.0019783911983661637</x:v>
      </x:c>
      <x:c r="L276" s="46" t="n">
        <x:v>0</x:v>
      </x:c>
      <x:c r="M276" s="46" t="n">
        <x:v>0</x:v>
      </x:c>
      <x:c r="N276" s="21" t="n">
        <x:f>IF(AND(L275=1,M275=1,P275&gt;0),1,0)</x:f>
        <x:v>0</x:v>
      </x:c>
      <x:c r="O276" s="21" t="n">
        <x:f>MIN('Root Data'!I85:I87)</x:f>
        <x:v>0</x:v>
      </x:c>
      <x:c r="P276" s="44" t="n">
        <x:f>IF(AND(L276=1,M276=1,N276=1,O276&gt;=G276),K276,0)</x:f>
        <x:v>0</x:v>
      </x:c>
      <x:c r="Q276" s="21" t="str">
        <x:v>OPEN</x:v>
      </x:c>
      <x:c r="R276" s="23" t="str">
        <x:v>HOLD</x:v>
      </x:c>
    </x:row>
    <x:row r="277">
      <x:c r="B277" s="21" t="str">
        <x:v>AR-00271</x:v>
      </x:c>
      <x:c r="C277" s="21" t="str">
        <x:v>F07-I4</x:v>
      </x:c>
      <x:c r="D277" s="21" t="str">
        <x:v>F07</x:v>
      </x:c>
      <x:c r="E277" s="21" t="n">
        <x:v>1</x:v>
      </x:c>
      <x:c r="F277" s="21" t="str">
        <x:v>Civil effect charter</x:v>
      </x:c>
      <x:c r="G277" s="21" t="n">
        <x:v>0</x:v>
      </x:c>
      <x:c r="H277" s="21" t="str">
        <x:v>Civil Guarantee Authority</x:v>
      </x:c>
      <x:c r="I277" s="44" t="n">
        <x:f>Lifecycle!G7</x:f>
        <x:v>0.04941036958956453</x:v>
      </x:c>
      <x:c r="J277" s="44" t="n">
        <x:v>0.06999999999999999</x:v>
      </x:c>
      <x:c r="K277" s="44" t="n">
        <x:f>I277*J277</x:f>
        <x:v>0.0034587258712695168</x:v>
      </x:c>
      <x:c r="L277" s="46" t="n">
        <x:v>0</x:v>
      </x:c>
      <x:c r="M277" s="46" t="n">
        <x:v>0</x:v>
      </x:c>
      <x:c r="N277" s="21" t="n">
        <x:f>1</x:f>
        <x:v>1</x:v>
      </x:c>
      <x:c r="O277" s="21" t="n">
        <x:f>MIN('Root Data'!I88:I90)</x:f>
        <x:v>0</x:v>
      </x:c>
      <x:c r="P277" s="44" t="n">
        <x:f>IF(AND(L277=1,M277=1,N277=1,O277&gt;=G277),K277,0)</x:f>
        <x:v>0</x:v>
      </x:c>
      <x:c r="Q277" s="21" t="str">
        <x:v>OPEN</x:v>
      </x:c>
      <x:c r="R277" s="23" t="str">
        <x:v>HOLD</x:v>
      </x:c>
    </x:row>
    <x:row r="278">
      <x:c r="B278" s="21" t="str">
        <x:v>AR-00272</x:v>
      </x:c>
      <x:c r="C278" s="21" t="str">
        <x:v>F07-I4</x:v>
      </x:c>
      <x:c r="D278" s="21" t="str">
        <x:v>F07</x:v>
      </x:c>
      <x:c r="E278" s="21" t="n">
        <x:v>2</x:v>
      </x:c>
      <x:c r="F278" s="21" t="str">
        <x:v>Requirement and root-independence package</x:v>
      </x:c>
      <x:c r="G278" s="21" t="n">
        <x:v>8</x:v>
      </x:c>
      <x:c r="H278" s="21" t="str">
        <x:v>Resilience Staff</x:v>
      </x:c>
      <x:c r="I278" s="44" t="n">
        <x:f>Lifecycle!G8</x:f>
        <x:v>0.10211476381843337</x:v>
      </x:c>
      <x:c r="J278" s="44" t="n">
        <x:v>0.06999999999999999</x:v>
      </x:c>
      <x:c r="K278" s="44" t="n">
        <x:f>I278*J278</x:f>
        <x:v>0.007148033467290336</x:v>
      </x:c>
      <x:c r="L278" s="46" t="n">
        <x:v>0</x:v>
      </x:c>
      <x:c r="M278" s="46" t="n">
        <x:v>0</x:v>
      </x:c>
      <x:c r="N278" s="21" t="n">
        <x:f>IF(AND(L277=1,M277=1,P277&gt;0),1,0)</x:f>
        <x:v>0</x:v>
      </x:c>
      <x:c r="O278" s="21" t="n">
        <x:f>MIN('Root Data'!I88:I90)</x:f>
        <x:v>0</x:v>
      </x:c>
      <x:c r="P278" s="44" t="n">
        <x:f>IF(AND(L278=1,M278=1,N278=1,O278&gt;=G278),K278,0)</x:f>
        <x:v>0</x:v>
      </x:c>
      <x:c r="Q278" s="21" t="str">
        <x:v>OPEN</x:v>
      </x:c>
      <x:c r="R278" s="23" t="str">
        <x:v>HOLD</x:v>
      </x:c>
    </x:row>
    <x:row r="279">
      <x:c r="B279" s="21" t="str">
        <x:v>AR-00273</x:v>
      </x:c>
      <x:c r="C279" s="21" t="str">
        <x:v>F07-I4</x:v>
      </x:c>
      <x:c r="D279" s="21" t="str">
        <x:v>F07</x:v>
      </x:c>
      <x:c r="E279" s="21" t="n">
        <x:v>3</x:v>
      </x:c>
      <x:c r="F279" s="21" t="str">
        <x:v>Architecture and burden closure</x:v>
      </x:c>
      <x:c r="G279" s="21" t="n">
        <x:v>14</x:v>
      </x:c>
      <x:c r="H279" s="21" t="str">
        <x:v>Independent Evidence and Data Authority</x:v>
      </x:c>
      <x:c r="I279" s="44" t="n">
        <x:f>Lifecycle!G9</x:f>
        <x:v>0.08564464062191186</x:v>
      </x:c>
      <x:c r="J279" s="44" t="n">
        <x:v>0.06999999999999999</x:v>
      </x:c>
      <x:c r="K279" s="44" t="n">
        <x:f>I279*J279</x:f>
        <x:v>0.00599512484353383</x:v>
      </x:c>
      <x:c r="L279" s="46" t="n">
        <x:v>0</x:v>
      </x:c>
      <x:c r="M279" s="46" t="n">
        <x:v>0</x:v>
      </x:c>
      <x:c r="N279" s="21" t="n">
        <x:f>IF(AND(L278=1,M278=1,P278&gt;0),1,0)</x:f>
        <x:v>0</x:v>
      </x:c>
      <x:c r="O279" s="21" t="n">
        <x:f>MIN('Root Data'!I88:I90)</x:f>
        <x:v>0</x:v>
      </x:c>
      <x:c r="P279" s="44" t="n">
        <x:f>IF(AND(L279=1,M279=1,N279=1,O279&gt;=G279),K279,0)</x:f>
        <x:v>0</x:v>
      </x:c>
      <x:c r="Q279" s="21" t="str">
        <x:v>OPEN</x:v>
      </x:c>
      <x:c r="R279" s="23" t="str">
        <x:v>HOLD</x:v>
      </x:c>
    </x:row>
    <x:row r="280">
      <x:c r="B280" s="21" t="str">
        <x:v>AR-00274</x:v>
      </x:c>
      <x:c r="C280" s="21" t="str">
        <x:v>F07-I4</x:v>
      </x:c>
      <x:c r="D280" s="21" t="str">
        <x:v>F07</x:v>
      </x:c>
      <x:c r="E280" s="21" t="n">
        <x:v>4</x:v>
      </x:c>
      <x:c r="F280" s="21" t="str">
        <x:v>Engineering article acceptance</x:v>
      </x:c>
      <x:c r="G280" s="21" t="n">
        <x:v>18</x:v>
      </x:c>
      <x:c r="H280" s="21" t="str">
        <x:v>Independent Evidence and Data Authority</x:v>
      </x:c>
      <x:c r="I280" s="44" t="n">
        <x:f>Lifecycle!G10</x:f>
        <x:v>0.05929244350747744</x:v>
      </x:c>
      <x:c r="J280" s="44" t="n">
        <x:v>0.06999999999999999</x:v>
      </x:c>
      <x:c r="K280" s="44" t="n">
        <x:f>I280*J280</x:f>
        <x:v>0.00415047104552342</x:v>
      </x:c>
      <x:c r="L280" s="46" t="n">
        <x:v>0</x:v>
      </x:c>
      <x:c r="M280" s="46" t="n">
        <x:v>0</x:v>
      </x:c>
      <x:c r="N280" s="21" t="n">
        <x:f>IF(AND(L279=1,M279=1,P279&gt;0),1,0)</x:f>
        <x:v>0</x:v>
      </x:c>
      <x:c r="O280" s="21" t="n">
        <x:f>MIN('Root Data'!I88:I90)</x:f>
        <x:v>0</x:v>
      </x:c>
      <x:c r="P280" s="44" t="n">
        <x:f>IF(AND(L280=1,M280=1,N280=1,O280&gt;=G280),K280,0)</x:f>
        <x:v>0</x:v>
      </x:c>
      <x:c r="Q280" s="21" t="str">
        <x:v>OPEN</x:v>
      </x:c>
      <x:c r="R280" s="23" t="str">
        <x:v>HOLD</x:v>
      </x:c>
    </x:row>
    <x:row r="281">
      <x:c r="B281" s="21" t="str">
        <x:v>AR-00275</x:v>
      </x:c>
      <x:c r="C281" s="21" t="str">
        <x:v>F07-I4</x:v>
      </x:c>
      <x:c r="D281" s="21" t="str">
        <x:v>F07</x:v>
      </x:c>
      <x:c r="E281" s="21" t="n">
        <x:v>5</x:v>
      </x:c>
      <x:c r="F281" s="21" t="str">
        <x:v>Qualification and destructive evidence</x:v>
      </x:c>
      <x:c r="G281" s="21" t="n">
        <x:v>21</x:v>
      </x:c>
      <x:c r="H281" s="21" t="str">
        <x:v>Independent Evidence and Data Authority</x:v>
      </x:c>
      <x:c r="I281" s="44" t="n">
        <x:f>Lifecycle!G11</x:f>
        <x:v>0.1515251334079979</x:v>
      </x:c>
      <x:c r="J281" s="44" t="n">
        <x:v>0.06999999999999999</x:v>
      </x:c>
      <x:c r="K281" s="44" t="n">
        <x:f>I281*J281</x:f>
        <x:v>0.01060675933855985</x:v>
      </x:c>
      <x:c r="L281" s="46" t="n">
        <x:v>0</x:v>
      </x:c>
      <x:c r="M281" s="46" t="n">
        <x:v>0</x:v>
      </x:c>
      <x:c r="N281" s="21" t="n">
        <x:f>IF(AND(L280=1,M280=1,P280&gt;0),1,0)</x:f>
        <x:v>0</x:v>
      </x:c>
      <x:c r="O281" s="21" t="n">
        <x:f>MIN('Root Data'!I88:I90)</x:f>
        <x:v>0</x:v>
      </x:c>
      <x:c r="P281" s="44" t="n">
        <x:f>IF(AND(L281=1,M281=1,N281=1,O281&gt;=G281),K281,0)</x:f>
        <x:v>0</x:v>
      </x:c>
      <x:c r="Q281" s="21" t="str">
        <x:v>OPEN</x:v>
      </x:c>
      <x:c r="R281" s="23" t="str">
        <x:v>HOLD</x:v>
      </x:c>
    </x:row>
    <x:row r="282">
      <x:c r="B282" s="21" t="str">
        <x:v>AR-00276</x:v>
      </x:c>
      <x:c r="C282" s="21" t="str">
        <x:v>F07-I4</x:v>
      </x:c>
      <x:c r="D282" s="21" t="str">
        <x:v>F07</x:v>
      </x:c>
      <x:c r="E282" s="21" t="n">
        <x:v>6</x:v>
      </x:c>
      <x:c r="F282" s="21" t="str">
        <x:v>Representative mission result</x:v>
      </x:c>
      <x:c r="G282" s="21" t="n">
        <x:v>23</x:v>
      </x:c>
      <x:c r="H282" s="21" t="str">
        <x:v>Receiving Service Authority</x:v>
      </x:c>
      <x:c r="I282" s="44" t="n">
        <x:f>Lifecycle!G12</x:f>
        <x:v>0.250345872587127</x:v>
      </x:c>
      <x:c r="J282" s="44" t="n">
        <x:v>0.06999999999999999</x:v>
      </x:c>
      <x:c r="K282" s="44" t="n">
        <x:f>I282*J282</x:f>
        <x:v>0.017524211081098886</x:v>
      </x:c>
      <x:c r="L282" s="46" t="n">
        <x:v>0</x:v>
      </x:c>
      <x:c r="M282" s="46" t="n">
        <x:v>0</x:v>
      </x:c>
      <x:c r="N282" s="21" t="n">
        <x:f>IF(AND(L281=1,M281=1,P281&gt;0),1,0)</x:f>
        <x:v>0</x:v>
      </x:c>
      <x:c r="O282" s="21" t="n">
        <x:f>MIN('Root Data'!I88:I90)</x:f>
        <x:v>0</x:v>
      </x:c>
      <x:c r="P282" s="44" t="n">
        <x:f>IF(AND(L282=1,M282=1,N282=1,O282&gt;=G282),K282,0)</x:f>
        <x:v>0</x:v>
      </x:c>
      <x:c r="Q282" s="21" t="str">
        <x:v>OPEN</x:v>
      </x:c>
      <x:c r="R282" s="23" t="str">
        <x:v>HOLD</x:v>
      </x:c>
    </x:row>
    <x:row r="283">
      <x:c r="B283" s="21" t="str">
        <x:v>AR-00277</x:v>
      </x:c>
      <x:c r="C283" s="21" t="str">
        <x:v>F07-I4</x:v>
      </x:c>
      <x:c r="D283" s="21" t="str">
        <x:v>F07</x:v>
      </x:c>
      <x:c r="E283" s="21" t="n">
        <x:v>7</x:v>
      </x:c>
      <x:c r="F283" s="21" t="str">
        <x:v>Independent reproduction</x:v>
      </x:c>
      <x:c r="G283" s="21" t="n">
        <x:v>28</x:v>
      </x:c>
      <x:c r="H283" s="21" t="str">
        <x:v>Independent Evidence and Data Authority</x:v>
      </x:c>
      <x:c r="I283" s="44" t="n">
        <x:f>Lifecycle!G13</x:f>
        <x:v>0.21740562619408393</x:v>
      </x:c>
      <x:c r="J283" s="44" t="n">
        <x:v>0.06999999999999999</x:v>
      </x:c>
      <x:c r="K283" s="44" t="n">
        <x:f>I283*J283</x:f>
        <x:v>0.015218393833585874</x:v>
      </x:c>
      <x:c r="L283" s="46" t="n">
        <x:v>0</x:v>
      </x:c>
      <x:c r="M283" s="46" t="n">
        <x:v>0</x:v>
      </x:c>
      <x:c r="N283" s="21" t="n">
        <x:f>IF(AND(L282=1,M282=1,P282&gt;0),1,0)</x:f>
        <x:v>0</x:v>
      </x:c>
      <x:c r="O283" s="21" t="n">
        <x:f>MIN('Root Data'!I88:I90)</x:f>
        <x:v>0</x:v>
      </x:c>
      <x:c r="P283" s="44" t="n">
        <x:f>IF(AND(L283=1,M283=1,N283=1,O283&gt;=G283),K283,0)</x:f>
        <x:v>0</x:v>
      </x:c>
      <x:c r="Q283" s="21" t="str">
        <x:v>OPEN</x:v>
      </x:c>
      <x:c r="R283" s="23" t="str">
        <x:v>HOLD</x:v>
      </x:c>
    </x:row>
    <x:row r="284">
      <x:c r="B284" s="21" t="str">
        <x:v>AR-00278</x:v>
      </x:c>
      <x:c r="C284" s="21" t="str">
        <x:v>F07-I4</x:v>
      </x:c>
      <x:c r="D284" s="21" t="str">
        <x:v>F07</x:v>
      </x:c>
      <x:c r="E284" s="21" t="n">
        <x:v>8</x:v>
      </x:c>
      <x:c r="F284" s="21" t="str">
        <x:v>Pilot-process qualification</x:v>
      </x:c>
      <x:c r="G284" s="21" t="n">
        <x:v>28</x:v>
      </x:c>
      <x:c r="H284" s="21" t="str">
        <x:v>AIMC Industrial Mobilization Authority</x:v>
      </x:c>
      <x:c r="I284" s="44" t="n">
        <x:f>Lifecycle!G14</x:f>
        <x:v>0.03952829567165163</x:v>
      </x:c>
      <x:c r="J284" s="44" t="n">
        <x:v>0.06999999999999999</x:v>
      </x:c>
      <x:c r="K284" s="44" t="n">
        <x:f>I284*J284</x:f>
        <x:v>0.0027669806970156137</x:v>
      </x:c>
      <x:c r="L284" s="46" t="n">
        <x:v>0</x:v>
      </x:c>
      <x:c r="M284" s="46" t="n">
        <x:v>0</x:v>
      </x:c>
      <x:c r="N284" s="21" t="n">
        <x:f>IF(AND(L283=1,M283=1,P283&gt;0),1,0)</x:f>
        <x:v>0</x:v>
      </x:c>
      <x:c r="O284" s="21" t="n">
        <x:f>MIN('Root Data'!I88:I90)</x:f>
        <x:v>0</x:v>
      </x:c>
      <x:c r="P284" s="44" t="n">
        <x:f>IF(AND(L284=1,M284=1,N284=1,O284&gt;=G284),K284,0)</x:f>
        <x:v>0</x:v>
      </x:c>
      <x:c r="Q284" s="21" t="str">
        <x:v>OPEN</x:v>
      </x:c>
      <x:c r="R284" s="23" t="str">
        <x:v>HOLD</x:v>
      </x:c>
    </x:row>
    <x:row r="285">
      <x:c r="B285" s="21" t="str">
        <x:v>AR-00279</x:v>
      </x:c>
      <x:c r="C285" s="21" t="str">
        <x:v>F07-I4</x:v>
      </x:c>
      <x:c r="D285" s="21" t="str">
        <x:v>F07</x:v>
      </x:c>
      <x:c r="E285" s="21" t="n">
        <x:v>9</x:v>
      </x:c>
      <x:c r="F285" s="21" t="str">
        <x:v>Production release package</x:v>
      </x:c>
      <x:c r="G285" s="21" t="n">
        <x:v>28</x:v>
      </x:c>
      <x:c r="H285" s="21" t="str">
        <x:v>Production Release Board</x:v>
      </x:c>
      <x:c r="I285" s="44" t="n">
        <x:f>Lifecycle!G15</x:f>
        <x:v>0.01647012319652151</x:v>
      </x:c>
      <x:c r="J285" s="44" t="n">
        <x:v>0.06999999999999999</x:v>
      </x:c>
      <x:c r="K285" s="44" t="n">
        <x:f>I285*J285</x:f>
        <x:v>0.0011529086237565057</x:v>
      </x:c>
      <x:c r="L285" s="46" t="n">
        <x:v>0</x:v>
      </x:c>
      <x:c r="M285" s="46" t="n">
        <x:v>0</x:v>
      </x:c>
      <x:c r="N285" s="21" t="n">
        <x:f>IF(AND(L284=1,M284=1,P284&gt;0),1,0)</x:f>
        <x:v>0</x:v>
      </x:c>
      <x:c r="O285" s="21" t="n">
        <x:f>MIN('Root Data'!I88:I90)</x:f>
        <x:v>0</x:v>
      </x:c>
      <x:c r="P285" s="44" t="n">
        <x:f>IF(AND(L285=1,M285=1,N285=1,O285&gt;=G285),K285,0)</x:f>
        <x:v>0</x:v>
      </x:c>
      <x:c r="Q285" s="21" t="str">
        <x:v>OPEN</x:v>
      </x:c>
      <x:c r="R285" s="23" t="str">
        <x:v>HOLD</x:v>
      </x:c>
    </x:row>
    <x:row r="286">
      <x:c r="B286" s="21" t="str">
        <x:v>AR-00280</x:v>
      </x:c>
      <x:c r="C286" s="21" t="str">
        <x:v>F07-I4</x:v>
      </x:c>
      <x:c r="D286" s="21" t="str">
        <x:v>F07</x:v>
      </x:c>
      <x:c r="E286" s="21" t="n">
        <x:v>10</x:v>
      </x:c>
      <x:c r="F286" s="21" t="str">
        <x:v>Mobilization activation</x:v>
      </x:c>
      <x:c r="G286" s="21" t="n">
        <x:v>28</x:v>
      </x:c>
      <x:c r="H286" s="21" t="str">
        <x:v>Production Release Board</x:v>
      </x:c>
      <x:c r="I286" s="44" t="n">
        <x:f>Lifecycle!G16</x:f>
        <x:v>0.028262731405230914</x:v>
      </x:c>
      <x:c r="J286" s="44" t="n">
        <x:v>0.06999999999999999</x:v>
      </x:c>
      <x:c r="K286" s="44" t="n">
        <x:f>I286*J286</x:f>
        <x:v>0.0019783911983661637</x:v>
      </x:c>
      <x:c r="L286" s="46" t="n">
        <x:v>0</x:v>
      </x:c>
      <x:c r="M286" s="46" t="n">
        <x:v>0</x:v>
      </x:c>
      <x:c r="N286" s="21" t="n">
        <x:f>IF(AND(L285=1,M285=1,P285&gt;0),1,0)</x:f>
        <x:v>0</x:v>
      </x:c>
      <x:c r="O286" s="21" t="n">
        <x:f>MIN('Root Data'!I88:I90)</x:f>
        <x:v>0</x:v>
      </x:c>
      <x:c r="P286" s="44" t="n">
        <x:f>IF(AND(L286=1,M286=1,N286=1,O286&gt;=G286),K286,0)</x:f>
        <x:v>0</x:v>
      </x:c>
      <x:c r="Q286" s="21" t="str">
        <x:v>OPEN</x:v>
      </x:c>
      <x:c r="R286" s="23" t="str">
        <x:v>HOLD</x:v>
      </x:c>
    </x:row>
    <x:row r="287">
      <x:c r="B287" s="21" t="str">
        <x:v>AR-00281</x:v>
      </x:c>
      <x:c r="C287" s="21" t="str">
        <x:v>F08-I1</x:v>
      </x:c>
      <x:c r="D287" s="21" t="str">
        <x:v>F08</x:v>
      </x:c>
      <x:c r="E287" s="21" t="n">
        <x:v>1</x:v>
      </x:c>
      <x:c r="F287" s="21" t="str">
        <x:v>Civil effect charter</x:v>
      </x:c>
      <x:c r="G287" s="21" t="n">
        <x:v>0</x:v>
      </x:c>
      <x:c r="H287" s="21" t="str">
        <x:v>Civil Guarantee Authority</x:v>
      </x:c>
      <x:c r="I287" s="44" t="n">
        <x:f>Lifecycle!G7</x:f>
        <x:v>0.04941036958956453</x:v>
      </x:c>
      <x:c r="J287" s="44" t="n">
        <x:v>0.06999999999999999</x:v>
      </x:c>
      <x:c r="K287" s="44" t="n">
        <x:f>I287*J287</x:f>
        <x:v>0.0034587258712695168</x:v>
      </x:c>
      <x:c r="L287" s="46" t="n">
        <x:v>0</x:v>
      </x:c>
      <x:c r="M287" s="46" t="n">
        <x:v>0</x:v>
      </x:c>
      <x:c r="N287" s="21" t="n">
        <x:f>1</x:f>
        <x:v>1</x:v>
      </x:c>
      <x:c r="O287" s="21" t="n">
        <x:f>MIN('Root Data'!I91:I93)</x:f>
        <x:v>0</x:v>
      </x:c>
      <x:c r="P287" s="44" t="n">
        <x:f>IF(AND(L287=1,M287=1,N287=1,O287&gt;=G287),K287,0)</x:f>
        <x:v>0</x:v>
      </x:c>
      <x:c r="Q287" s="21" t="str">
        <x:v>OPEN</x:v>
      </x:c>
      <x:c r="R287" s="23" t="str">
        <x:v>HOLD</x:v>
      </x:c>
    </x:row>
    <x:row r="288">
      <x:c r="B288" s="21" t="str">
        <x:v>AR-00282</x:v>
      </x:c>
      <x:c r="C288" s="21" t="str">
        <x:v>F08-I1</x:v>
      </x:c>
      <x:c r="D288" s="21" t="str">
        <x:v>F08</x:v>
      </x:c>
      <x:c r="E288" s="21" t="n">
        <x:v>2</x:v>
      </x:c>
      <x:c r="F288" s="21" t="str">
        <x:v>Requirement and root-independence package</x:v>
      </x:c>
      <x:c r="G288" s="21" t="n">
        <x:v>8</x:v>
      </x:c>
      <x:c r="H288" s="21" t="str">
        <x:v>Resilience Staff</x:v>
      </x:c>
      <x:c r="I288" s="44" t="n">
        <x:f>Lifecycle!G8</x:f>
        <x:v>0.10211476381843337</x:v>
      </x:c>
      <x:c r="J288" s="44" t="n">
        <x:v>0.06999999999999999</x:v>
      </x:c>
      <x:c r="K288" s="44" t="n">
        <x:f>I288*J288</x:f>
        <x:v>0.007148033467290336</x:v>
      </x:c>
      <x:c r="L288" s="46" t="n">
        <x:v>0</x:v>
      </x:c>
      <x:c r="M288" s="46" t="n">
        <x:v>0</x:v>
      </x:c>
      <x:c r="N288" s="21" t="n">
        <x:f>IF(AND(L287=1,M287=1,P287&gt;0),1,0)</x:f>
        <x:v>0</x:v>
      </x:c>
      <x:c r="O288" s="21" t="n">
        <x:f>MIN('Root Data'!I91:I93)</x:f>
        <x:v>0</x:v>
      </x:c>
      <x:c r="P288" s="44" t="n">
        <x:f>IF(AND(L288=1,M288=1,N288=1,O288&gt;=G288),K288,0)</x:f>
        <x:v>0</x:v>
      </x:c>
      <x:c r="Q288" s="21" t="str">
        <x:v>OPEN</x:v>
      </x:c>
      <x:c r="R288" s="23" t="str">
        <x:v>HOLD</x:v>
      </x:c>
    </x:row>
    <x:row r="289">
      <x:c r="B289" s="21" t="str">
        <x:v>AR-00283</x:v>
      </x:c>
      <x:c r="C289" s="21" t="str">
        <x:v>F08-I1</x:v>
      </x:c>
      <x:c r="D289" s="21" t="str">
        <x:v>F08</x:v>
      </x:c>
      <x:c r="E289" s="21" t="n">
        <x:v>3</x:v>
      </x:c>
      <x:c r="F289" s="21" t="str">
        <x:v>Architecture and burden closure</x:v>
      </x:c>
      <x:c r="G289" s="21" t="n">
        <x:v>14</x:v>
      </x:c>
      <x:c r="H289" s="21" t="str">
        <x:v>Independent Evidence and Data Authority</x:v>
      </x:c>
      <x:c r="I289" s="44" t="n">
        <x:f>Lifecycle!G9</x:f>
        <x:v>0.08564464062191186</x:v>
      </x:c>
      <x:c r="J289" s="44" t="n">
        <x:v>0.06999999999999999</x:v>
      </x:c>
      <x:c r="K289" s="44" t="n">
        <x:f>I289*J289</x:f>
        <x:v>0.00599512484353383</x:v>
      </x:c>
      <x:c r="L289" s="46" t="n">
        <x:v>0</x:v>
      </x:c>
      <x:c r="M289" s="46" t="n">
        <x:v>0</x:v>
      </x:c>
      <x:c r="N289" s="21" t="n">
        <x:f>IF(AND(L288=1,M288=1,P288&gt;0),1,0)</x:f>
        <x:v>0</x:v>
      </x:c>
      <x:c r="O289" s="21" t="n">
        <x:f>MIN('Root Data'!I91:I93)</x:f>
        <x:v>0</x:v>
      </x:c>
      <x:c r="P289" s="44" t="n">
        <x:f>IF(AND(L289=1,M289=1,N289=1,O289&gt;=G289),K289,0)</x:f>
        <x:v>0</x:v>
      </x:c>
      <x:c r="Q289" s="21" t="str">
        <x:v>OPEN</x:v>
      </x:c>
      <x:c r="R289" s="23" t="str">
        <x:v>HOLD</x:v>
      </x:c>
    </x:row>
    <x:row r="290">
      <x:c r="B290" s="21" t="str">
        <x:v>AR-00284</x:v>
      </x:c>
      <x:c r="C290" s="21" t="str">
        <x:v>F08-I1</x:v>
      </x:c>
      <x:c r="D290" s="21" t="str">
        <x:v>F08</x:v>
      </x:c>
      <x:c r="E290" s="21" t="n">
        <x:v>4</x:v>
      </x:c>
      <x:c r="F290" s="21" t="str">
        <x:v>Engineering article acceptance</x:v>
      </x:c>
      <x:c r="G290" s="21" t="n">
        <x:v>18</x:v>
      </x:c>
      <x:c r="H290" s="21" t="str">
        <x:v>Independent Evidence and Data Authority</x:v>
      </x:c>
      <x:c r="I290" s="44" t="n">
        <x:f>Lifecycle!G10</x:f>
        <x:v>0.05929244350747744</x:v>
      </x:c>
      <x:c r="J290" s="44" t="n">
        <x:v>0.06999999999999999</x:v>
      </x:c>
      <x:c r="K290" s="44" t="n">
        <x:f>I290*J290</x:f>
        <x:v>0.00415047104552342</x:v>
      </x:c>
      <x:c r="L290" s="46" t="n">
        <x:v>0</x:v>
      </x:c>
      <x:c r="M290" s="46" t="n">
        <x:v>0</x:v>
      </x:c>
      <x:c r="N290" s="21" t="n">
        <x:f>IF(AND(L289=1,M289=1,P289&gt;0),1,0)</x:f>
        <x:v>0</x:v>
      </x:c>
      <x:c r="O290" s="21" t="n">
        <x:f>MIN('Root Data'!I91:I93)</x:f>
        <x:v>0</x:v>
      </x:c>
      <x:c r="P290" s="44" t="n">
        <x:f>IF(AND(L290=1,M290=1,N290=1,O290&gt;=G290),K290,0)</x:f>
        <x:v>0</x:v>
      </x:c>
      <x:c r="Q290" s="21" t="str">
        <x:v>OPEN</x:v>
      </x:c>
      <x:c r="R290" s="23" t="str">
        <x:v>HOLD</x:v>
      </x:c>
    </x:row>
    <x:row r="291">
      <x:c r="B291" s="21" t="str">
        <x:v>AR-00285</x:v>
      </x:c>
      <x:c r="C291" s="21" t="str">
        <x:v>F08-I1</x:v>
      </x:c>
      <x:c r="D291" s="21" t="str">
        <x:v>F08</x:v>
      </x:c>
      <x:c r="E291" s="21" t="n">
        <x:v>5</x:v>
      </x:c>
      <x:c r="F291" s="21" t="str">
        <x:v>Qualification and destructive evidence</x:v>
      </x:c>
      <x:c r="G291" s="21" t="n">
        <x:v>21</x:v>
      </x:c>
      <x:c r="H291" s="21" t="str">
        <x:v>Independent Evidence and Data Authority</x:v>
      </x:c>
      <x:c r="I291" s="44" t="n">
        <x:f>Lifecycle!G11</x:f>
        <x:v>0.1515251334079979</x:v>
      </x:c>
      <x:c r="J291" s="44" t="n">
        <x:v>0.06999999999999999</x:v>
      </x:c>
      <x:c r="K291" s="44" t="n">
        <x:f>I291*J291</x:f>
        <x:v>0.01060675933855985</x:v>
      </x:c>
      <x:c r="L291" s="46" t="n">
        <x:v>0</x:v>
      </x:c>
      <x:c r="M291" s="46" t="n">
        <x:v>0</x:v>
      </x:c>
      <x:c r="N291" s="21" t="n">
        <x:f>IF(AND(L290=1,M290=1,P290&gt;0),1,0)</x:f>
        <x:v>0</x:v>
      </x:c>
      <x:c r="O291" s="21" t="n">
        <x:f>MIN('Root Data'!I91:I93)</x:f>
        <x:v>0</x:v>
      </x:c>
      <x:c r="P291" s="44" t="n">
        <x:f>IF(AND(L291=1,M291=1,N291=1,O291&gt;=G291),K291,0)</x:f>
        <x:v>0</x:v>
      </x:c>
      <x:c r="Q291" s="21" t="str">
        <x:v>OPEN</x:v>
      </x:c>
      <x:c r="R291" s="23" t="str">
        <x:v>HOLD</x:v>
      </x:c>
    </x:row>
    <x:row r="292">
      <x:c r="B292" s="21" t="str">
        <x:v>AR-00286</x:v>
      </x:c>
      <x:c r="C292" s="21" t="str">
        <x:v>F08-I1</x:v>
      </x:c>
      <x:c r="D292" s="21" t="str">
        <x:v>F08</x:v>
      </x:c>
      <x:c r="E292" s="21" t="n">
        <x:v>6</x:v>
      </x:c>
      <x:c r="F292" s="21" t="str">
        <x:v>Representative mission result</x:v>
      </x:c>
      <x:c r="G292" s="21" t="n">
        <x:v>23</x:v>
      </x:c>
      <x:c r="H292" s="21" t="str">
        <x:v>Receiving Service Authority</x:v>
      </x:c>
      <x:c r="I292" s="44" t="n">
        <x:f>Lifecycle!G12</x:f>
        <x:v>0.250345872587127</x:v>
      </x:c>
      <x:c r="J292" s="44" t="n">
        <x:v>0.06999999999999999</x:v>
      </x:c>
      <x:c r="K292" s="44" t="n">
        <x:f>I292*J292</x:f>
        <x:v>0.017524211081098886</x:v>
      </x:c>
      <x:c r="L292" s="46" t="n">
        <x:v>0</x:v>
      </x:c>
      <x:c r="M292" s="46" t="n">
        <x:v>0</x:v>
      </x:c>
      <x:c r="N292" s="21" t="n">
        <x:f>IF(AND(L291=1,M291=1,P291&gt;0),1,0)</x:f>
        <x:v>0</x:v>
      </x:c>
      <x:c r="O292" s="21" t="n">
        <x:f>MIN('Root Data'!I91:I93)</x:f>
        <x:v>0</x:v>
      </x:c>
      <x:c r="P292" s="44" t="n">
        <x:f>IF(AND(L292=1,M292=1,N292=1,O292&gt;=G292),K292,0)</x:f>
        <x:v>0</x:v>
      </x:c>
      <x:c r="Q292" s="21" t="str">
        <x:v>OPEN</x:v>
      </x:c>
      <x:c r="R292" s="23" t="str">
        <x:v>HOLD</x:v>
      </x:c>
    </x:row>
    <x:row r="293">
      <x:c r="B293" s="21" t="str">
        <x:v>AR-00287</x:v>
      </x:c>
      <x:c r="C293" s="21" t="str">
        <x:v>F08-I1</x:v>
      </x:c>
      <x:c r="D293" s="21" t="str">
        <x:v>F08</x:v>
      </x:c>
      <x:c r="E293" s="21" t="n">
        <x:v>7</x:v>
      </x:c>
      <x:c r="F293" s="21" t="str">
        <x:v>Independent reproduction</x:v>
      </x:c>
      <x:c r="G293" s="21" t="n">
        <x:v>28</x:v>
      </x:c>
      <x:c r="H293" s="21" t="str">
        <x:v>Independent Evidence and Data Authority</x:v>
      </x:c>
      <x:c r="I293" s="44" t="n">
        <x:f>Lifecycle!G13</x:f>
        <x:v>0.21740562619408393</x:v>
      </x:c>
      <x:c r="J293" s="44" t="n">
        <x:v>0.06999999999999999</x:v>
      </x:c>
      <x:c r="K293" s="44" t="n">
        <x:f>I293*J293</x:f>
        <x:v>0.015218393833585874</x:v>
      </x:c>
      <x:c r="L293" s="46" t="n">
        <x:v>0</x:v>
      </x:c>
      <x:c r="M293" s="46" t="n">
        <x:v>0</x:v>
      </x:c>
      <x:c r="N293" s="21" t="n">
        <x:f>IF(AND(L292=1,M292=1,P292&gt;0),1,0)</x:f>
        <x:v>0</x:v>
      </x:c>
      <x:c r="O293" s="21" t="n">
        <x:f>MIN('Root Data'!I91:I93)</x:f>
        <x:v>0</x:v>
      </x:c>
      <x:c r="P293" s="44" t="n">
        <x:f>IF(AND(L293=1,M293=1,N293=1,O293&gt;=G293),K293,0)</x:f>
        <x:v>0</x:v>
      </x:c>
      <x:c r="Q293" s="21" t="str">
        <x:v>OPEN</x:v>
      </x:c>
      <x:c r="R293" s="23" t="str">
        <x:v>HOLD</x:v>
      </x:c>
    </x:row>
    <x:row r="294">
      <x:c r="B294" s="21" t="str">
        <x:v>AR-00288</x:v>
      </x:c>
      <x:c r="C294" s="21" t="str">
        <x:v>F08-I1</x:v>
      </x:c>
      <x:c r="D294" s="21" t="str">
        <x:v>F08</x:v>
      </x:c>
      <x:c r="E294" s="21" t="n">
        <x:v>8</x:v>
      </x:c>
      <x:c r="F294" s="21" t="str">
        <x:v>Pilot-process qualification</x:v>
      </x:c>
      <x:c r="G294" s="21" t="n">
        <x:v>28</x:v>
      </x:c>
      <x:c r="H294" s="21" t="str">
        <x:v>AIMC Industrial Mobilization Authority</x:v>
      </x:c>
      <x:c r="I294" s="44" t="n">
        <x:f>Lifecycle!G14</x:f>
        <x:v>0.03952829567165163</x:v>
      </x:c>
      <x:c r="J294" s="44" t="n">
        <x:v>0.06999999999999999</x:v>
      </x:c>
      <x:c r="K294" s="44" t="n">
        <x:f>I294*J294</x:f>
        <x:v>0.0027669806970156137</x:v>
      </x:c>
      <x:c r="L294" s="46" t="n">
        <x:v>0</x:v>
      </x:c>
      <x:c r="M294" s="46" t="n">
        <x:v>0</x:v>
      </x:c>
      <x:c r="N294" s="21" t="n">
        <x:f>IF(AND(L293=1,M293=1,P293&gt;0),1,0)</x:f>
        <x:v>0</x:v>
      </x:c>
      <x:c r="O294" s="21" t="n">
        <x:f>MIN('Root Data'!I91:I93)</x:f>
        <x:v>0</x:v>
      </x:c>
      <x:c r="P294" s="44" t="n">
        <x:f>IF(AND(L294=1,M294=1,N294=1,O294&gt;=G294),K294,0)</x:f>
        <x:v>0</x:v>
      </x:c>
      <x:c r="Q294" s="21" t="str">
        <x:v>OPEN</x:v>
      </x:c>
      <x:c r="R294" s="23" t="str">
        <x:v>HOLD</x:v>
      </x:c>
    </x:row>
    <x:row r="295">
      <x:c r="B295" s="21" t="str">
        <x:v>AR-00289</x:v>
      </x:c>
      <x:c r="C295" s="21" t="str">
        <x:v>F08-I1</x:v>
      </x:c>
      <x:c r="D295" s="21" t="str">
        <x:v>F08</x:v>
      </x:c>
      <x:c r="E295" s="21" t="n">
        <x:v>9</x:v>
      </x:c>
      <x:c r="F295" s="21" t="str">
        <x:v>Production release package</x:v>
      </x:c>
      <x:c r="G295" s="21" t="n">
        <x:v>28</x:v>
      </x:c>
      <x:c r="H295" s="21" t="str">
        <x:v>Production Release Board</x:v>
      </x:c>
      <x:c r="I295" s="44" t="n">
        <x:f>Lifecycle!G15</x:f>
        <x:v>0.01647012319652151</x:v>
      </x:c>
      <x:c r="J295" s="44" t="n">
        <x:v>0.06999999999999999</x:v>
      </x:c>
      <x:c r="K295" s="44" t="n">
        <x:f>I295*J295</x:f>
        <x:v>0.0011529086237565057</x:v>
      </x:c>
      <x:c r="L295" s="46" t="n">
        <x:v>0</x:v>
      </x:c>
      <x:c r="M295" s="46" t="n">
        <x:v>0</x:v>
      </x:c>
      <x:c r="N295" s="21" t="n">
        <x:f>IF(AND(L294=1,M294=1,P294&gt;0),1,0)</x:f>
        <x:v>0</x:v>
      </x:c>
      <x:c r="O295" s="21" t="n">
        <x:f>MIN('Root Data'!I91:I93)</x:f>
        <x:v>0</x:v>
      </x:c>
      <x:c r="P295" s="44" t="n">
        <x:f>IF(AND(L295=1,M295=1,N295=1,O295&gt;=G295),K295,0)</x:f>
        <x:v>0</x:v>
      </x:c>
      <x:c r="Q295" s="21" t="str">
        <x:v>OPEN</x:v>
      </x:c>
      <x:c r="R295" s="23" t="str">
        <x:v>HOLD</x:v>
      </x:c>
    </x:row>
    <x:row r="296">
      <x:c r="B296" s="21" t="str">
        <x:v>AR-00290</x:v>
      </x:c>
      <x:c r="C296" s="21" t="str">
        <x:v>F08-I1</x:v>
      </x:c>
      <x:c r="D296" s="21" t="str">
        <x:v>F08</x:v>
      </x:c>
      <x:c r="E296" s="21" t="n">
        <x:v>10</x:v>
      </x:c>
      <x:c r="F296" s="21" t="str">
        <x:v>Mobilization activation</x:v>
      </x:c>
      <x:c r="G296" s="21" t="n">
        <x:v>28</x:v>
      </x:c>
      <x:c r="H296" s="21" t="str">
        <x:v>Production Release Board</x:v>
      </x:c>
      <x:c r="I296" s="44" t="n">
        <x:f>Lifecycle!G16</x:f>
        <x:v>0.028262731405230914</x:v>
      </x:c>
      <x:c r="J296" s="44" t="n">
        <x:v>0.06999999999999999</x:v>
      </x:c>
      <x:c r="K296" s="44" t="n">
        <x:f>I296*J296</x:f>
        <x:v>0.0019783911983661637</x:v>
      </x:c>
      <x:c r="L296" s="46" t="n">
        <x:v>0</x:v>
      </x:c>
      <x:c r="M296" s="46" t="n">
        <x:v>0</x:v>
      </x:c>
      <x:c r="N296" s="21" t="n">
        <x:f>IF(AND(L295=1,M295=1,P295&gt;0),1,0)</x:f>
        <x:v>0</x:v>
      </x:c>
      <x:c r="O296" s="21" t="n">
        <x:f>MIN('Root Data'!I91:I93)</x:f>
        <x:v>0</x:v>
      </x:c>
      <x:c r="P296" s="44" t="n">
        <x:f>IF(AND(L296=1,M296=1,N296=1,O296&gt;=G296),K296,0)</x:f>
        <x:v>0</x:v>
      </x:c>
      <x:c r="Q296" s="21" t="str">
        <x:v>OPEN</x:v>
      </x:c>
      <x:c r="R296" s="23" t="str">
        <x:v>HOLD</x:v>
      </x:c>
    </x:row>
    <x:row r="297">
      <x:c r="B297" s="21" t="str">
        <x:v>AR-00291</x:v>
      </x:c>
      <x:c r="C297" s="21" t="str">
        <x:v>F08-I2</x:v>
      </x:c>
      <x:c r="D297" s="21" t="str">
        <x:v>F08</x:v>
      </x:c>
      <x:c r="E297" s="21" t="n">
        <x:v>1</x:v>
      </x:c>
      <x:c r="F297" s="21" t="str">
        <x:v>Civil effect charter</x:v>
      </x:c>
      <x:c r="G297" s="21" t="n">
        <x:v>0</x:v>
      </x:c>
      <x:c r="H297" s="21" t="str">
        <x:v>Civil Guarantee Authority</x:v>
      </x:c>
      <x:c r="I297" s="44" t="n">
        <x:f>Lifecycle!G7</x:f>
        <x:v>0.04941036958956453</x:v>
      </x:c>
      <x:c r="J297" s="44" t="n">
        <x:v>0.06999999999999999</x:v>
      </x:c>
      <x:c r="K297" s="44" t="n">
        <x:f>I297*J297</x:f>
        <x:v>0.0034587258712695168</x:v>
      </x:c>
      <x:c r="L297" s="46" t="n">
        <x:v>0</x:v>
      </x:c>
      <x:c r="M297" s="46" t="n">
        <x:v>0</x:v>
      </x:c>
      <x:c r="N297" s="21" t="n">
        <x:f>1</x:f>
        <x:v>1</x:v>
      </x:c>
      <x:c r="O297" s="21" t="n">
        <x:f>MIN('Root Data'!I94:I96)</x:f>
        <x:v>0</x:v>
      </x:c>
      <x:c r="P297" s="44" t="n">
        <x:f>IF(AND(L297=1,M297=1,N297=1,O297&gt;=G297),K297,0)</x:f>
        <x:v>0</x:v>
      </x:c>
      <x:c r="Q297" s="21" t="str">
        <x:v>OPEN</x:v>
      </x:c>
      <x:c r="R297" s="23" t="str">
        <x:v>HOLD</x:v>
      </x:c>
    </x:row>
    <x:row r="298">
      <x:c r="B298" s="21" t="str">
        <x:v>AR-00292</x:v>
      </x:c>
      <x:c r="C298" s="21" t="str">
        <x:v>F08-I2</x:v>
      </x:c>
      <x:c r="D298" s="21" t="str">
        <x:v>F08</x:v>
      </x:c>
      <x:c r="E298" s="21" t="n">
        <x:v>2</x:v>
      </x:c>
      <x:c r="F298" s="21" t="str">
        <x:v>Requirement and root-independence package</x:v>
      </x:c>
      <x:c r="G298" s="21" t="n">
        <x:v>8</x:v>
      </x:c>
      <x:c r="H298" s="21" t="str">
        <x:v>Resilience Staff</x:v>
      </x:c>
      <x:c r="I298" s="44" t="n">
        <x:f>Lifecycle!G8</x:f>
        <x:v>0.10211476381843337</x:v>
      </x:c>
      <x:c r="J298" s="44" t="n">
        <x:v>0.06999999999999999</x:v>
      </x:c>
      <x:c r="K298" s="44" t="n">
        <x:f>I298*J298</x:f>
        <x:v>0.007148033467290336</x:v>
      </x:c>
      <x:c r="L298" s="46" t="n">
        <x:v>0</x:v>
      </x:c>
      <x:c r="M298" s="46" t="n">
        <x:v>0</x:v>
      </x:c>
      <x:c r="N298" s="21" t="n">
        <x:f>IF(AND(L297=1,M297=1,P297&gt;0),1,0)</x:f>
        <x:v>0</x:v>
      </x:c>
      <x:c r="O298" s="21" t="n">
        <x:f>MIN('Root Data'!I94:I96)</x:f>
        <x:v>0</x:v>
      </x:c>
      <x:c r="P298" s="44" t="n">
        <x:f>IF(AND(L298=1,M298=1,N298=1,O298&gt;=G298),K298,0)</x:f>
        <x:v>0</x:v>
      </x:c>
      <x:c r="Q298" s="21" t="str">
        <x:v>OPEN</x:v>
      </x:c>
      <x:c r="R298" s="23" t="str">
        <x:v>HOLD</x:v>
      </x:c>
    </x:row>
    <x:row r="299">
      <x:c r="B299" s="21" t="str">
        <x:v>AR-00293</x:v>
      </x:c>
      <x:c r="C299" s="21" t="str">
        <x:v>F08-I2</x:v>
      </x:c>
      <x:c r="D299" s="21" t="str">
        <x:v>F08</x:v>
      </x:c>
      <x:c r="E299" s="21" t="n">
        <x:v>3</x:v>
      </x:c>
      <x:c r="F299" s="21" t="str">
        <x:v>Architecture and burden closure</x:v>
      </x:c>
      <x:c r="G299" s="21" t="n">
        <x:v>14</x:v>
      </x:c>
      <x:c r="H299" s="21" t="str">
        <x:v>Independent Evidence and Data Authority</x:v>
      </x:c>
      <x:c r="I299" s="44" t="n">
        <x:f>Lifecycle!G9</x:f>
        <x:v>0.08564464062191186</x:v>
      </x:c>
      <x:c r="J299" s="44" t="n">
        <x:v>0.06999999999999999</x:v>
      </x:c>
      <x:c r="K299" s="44" t="n">
        <x:f>I299*J299</x:f>
        <x:v>0.00599512484353383</x:v>
      </x:c>
      <x:c r="L299" s="46" t="n">
        <x:v>0</x:v>
      </x:c>
      <x:c r="M299" s="46" t="n">
        <x:v>0</x:v>
      </x:c>
      <x:c r="N299" s="21" t="n">
        <x:f>IF(AND(L298=1,M298=1,P298&gt;0),1,0)</x:f>
        <x:v>0</x:v>
      </x:c>
      <x:c r="O299" s="21" t="n">
        <x:f>MIN('Root Data'!I94:I96)</x:f>
        <x:v>0</x:v>
      </x:c>
      <x:c r="P299" s="44" t="n">
        <x:f>IF(AND(L299=1,M299=1,N299=1,O299&gt;=G299),K299,0)</x:f>
        <x:v>0</x:v>
      </x:c>
      <x:c r="Q299" s="21" t="str">
        <x:v>OPEN</x:v>
      </x:c>
      <x:c r="R299" s="23" t="str">
        <x:v>HOLD</x:v>
      </x:c>
    </x:row>
    <x:row r="300">
      <x:c r="B300" s="21" t="str">
        <x:v>AR-00294</x:v>
      </x:c>
      <x:c r="C300" s="21" t="str">
        <x:v>F08-I2</x:v>
      </x:c>
      <x:c r="D300" s="21" t="str">
        <x:v>F08</x:v>
      </x:c>
      <x:c r="E300" s="21" t="n">
        <x:v>4</x:v>
      </x:c>
      <x:c r="F300" s="21" t="str">
        <x:v>Engineering article acceptance</x:v>
      </x:c>
      <x:c r="G300" s="21" t="n">
        <x:v>18</x:v>
      </x:c>
      <x:c r="H300" s="21" t="str">
        <x:v>Independent Evidence and Data Authority</x:v>
      </x:c>
      <x:c r="I300" s="44" t="n">
        <x:f>Lifecycle!G10</x:f>
        <x:v>0.05929244350747744</x:v>
      </x:c>
      <x:c r="J300" s="44" t="n">
        <x:v>0.06999999999999999</x:v>
      </x:c>
      <x:c r="K300" s="44" t="n">
        <x:f>I300*J300</x:f>
        <x:v>0.00415047104552342</x:v>
      </x:c>
      <x:c r="L300" s="46" t="n">
        <x:v>0</x:v>
      </x:c>
      <x:c r="M300" s="46" t="n">
        <x:v>0</x:v>
      </x:c>
      <x:c r="N300" s="21" t="n">
        <x:f>IF(AND(L299=1,M299=1,P299&gt;0),1,0)</x:f>
        <x:v>0</x:v>
      </x:c>
      <x:c r="O300" s="21" t="n">
        <x:f>MIN('Root Data'!I94:I96)</x:f>
        <x:v>0</x:v>
      </x:c>
      <x:c r="P300" s="44" t="n">
        <x:f>IF(AND(L300=1,M300=1,N300=1,O300&gt;=G300),K300,0)</x:f>
        <x:v>0</x:v>
      </x:c>
      <x:c r="Q300" s="21" t="str">
        <x:v>OPEN</x:v>
      </x:c>
      <x:c r="R300" s="23" t="str">
        <x:v>HOLD</x:v>
      </x:c>
    </x:row>
    <x:row r="301">
      <x:c r="B301" s="21" t="str">
        <x:v>AR-00295</x:v>
      </x:c>
      <x:c r="C301" s="21" t="str">
        <x:v>F08-I2</x:v>
      </x:c>
      <x:c r="D301" s="21" t="str">
        <x:v>F08</x:v>
      </x:c>
      <x:c r="E301" s="21" t="n">
        <x:v>5</x:v>
      </x:c>
      <x:c r="F301" s="21" t="str">
        <x:v>Qualification and destructive evidence</x:v>
      </x:c>
      <x:c r="G301" s="21" t="n">
        <x:v>21</x:v>
      </x:c>
      <x:c r="H301" s="21" t="str">
        <x:v>Independent Evidence and Data Authority</x:v>
      </x:c>
      <x:c r="I301" s="44" t="n">
        <x:f>Lifecycle!G11</x:f>
        <x:v>0.1515251334079979</x:v>
      </x:c>
      <x:c r="J301" s="44" t="n">
        <x:v>0.06999999999999999</x:v>
      </x:c>
      <x:c r="K301" s="44" t="n">
        <x:f>I301*J301</x:f>
        <x:v>0.01060675933855985</x:v>
      </x:c>
      <x:c r="L301" s="46" t="n">
        <x:v>0</x:v>
      </x:c>
      <x:c r="M301" s="46" t="n">
        <x:v>0</x:v>
      </x:c>
      <x:c r="N301" s="21" t="n">
        <x:f>IF(AND(L300=1,M300=1,P300&gt;0),1,0)</x:f>
        <x:v>0</x:v>
      </x:c>
      <x:c r="O301" s="21" t="n">
        <x:f>MIN('Root Data'!I94:I96)</x:f>
        <x:v>0</x:v>
      </x:c>
      <x:c r="P301" s="44" t="n">
        <x:f>IF(AND(L301=1,M301=1,N301=1,O301&gt;=G301),K301,0)</x:f>
        <x:v>0</x:v>
      </x:c>
      <x:c r="Q301" s="21" t="str">
        <x:v>OPEN</x:v>
      </x:c>
      <x:c r="R301" s="23" t="str">
        <x:v>HOLD</x:v>
      </x:c>
    </x:row>
    <x:row r="302">
      <x:c r="B302" s="21" t="str">
        <x:v>AR-00296</x:v>
      </x:c>
      <x:c r="C302" s="21" t="str">
        <x:v>F08-I2</x:v>
      </x:c>
      <x:c r="D302" s="21" t="str">
        <x:v>F08</x:v>
      </x:c>
      <x:c r="E302" s="21" t="n">
        <x:v>6</x:v>
      </x:c>
      <x:c r="F302" s="21" t="str">
        <x:v>Representative mission result</x:v>
      </x:c>
      <x:c r="G302" s="21" t="n">
        <x:v>23</x:v>
      </x:c>
      <x:c r="H302" s="21" t="str">
        <x:v>Receiving Service Authority</x:v>
      </x:c>
      <x:c r="I302" s="44" t="n">
        <x:f>Lifecycle!G12</x:f>
        <x:v>0.250345872587127</x:v>
      </x:c>
      <x:c r="J302" s="44" t="n">
        <x:v>0.06999999999999999</x:v>
      </x:c>
      <x:c r="K302" s="44" t="n">
        <x:f>I302*J302</x:f>
        <x:v>0.017524211081098886</x:v>
      </x:c>
      <x:c r="L302" s="46" t="n">
        <x:v>0</x:v>
      </x:c>
      <x:c r="M302" s="46" t="n">
        <x:v>0</x:v>
      </x:c>
      <x:c r="N302" s="21" t="n">
        <x:f>IF(AND(L301=1,M301=1,P301&gt;0),1,0)</x:f>
        <x:v>0</x:v>
      </x:c>
      <x:c r="O302" s="21" t="n">
        <x:f>MIN('Root Data'!I94:I96)</x:f>
        <x:v>0</x:v>
      </x:c>
      <x:c r="P302" s="44" t="n">
        <x:f>IF(AND(L302=1,M302=1,N302=1,O302&gt;=G302),K302,0)</x:f>
        <x:v>0</x:v>
      </x:c>
      <x:c r="Q302" s="21" t="str">
        <x:v>OPEN</x:v>
      </x:c>
      <x:c r="R302" s="23" t="str">
        <x:v>HOLD</x:v>
      </x:c>
    </x:row>
    <x:row r="303">
      <x:c r="B303" s="21" t="str">
        <x:v>AR-00297</x:v>
      </x:c>
      <x:c r="C303" s="21" t="str">
        <x:v>F08-I2</x:v>
      </x:c>
      <x:c r="D303" s="21" t="str">
        <x:v>F08</x:v>
      </x:c>
      <x:c r="E303" s="21" t="n">
        <x:v>7</x:v>
      </x:c>
      <x:c r="F303" s="21" t="str">
        <x:v>Independent reproduction</x:v>
      </x:c>
      <x:c r="G303" s="21" t="n">
        <x:v>28</x:v>
      </x:c>
      <x:c r="H303" s="21" t="str">
        <x:v>Independent Evidence and Data Authority</x:v>
      </x:c>
      <x:c r="I303" s="44" t="n">
        <x:f>Lifecycle!G13</x:f>
        <x:v>0.21740562619408393</x:v>
      </x:c>
      <x:c r="J303" s="44" t="n">
        <x:v>0.06999999999999999</x:v>
      </x:c>
      <x:c r="K303" s="44" t="n">
        <x:f>I303*J303</x:f>
        <x:v>0.015218393833585874</x:v>
      </x:c>
      <x:c r="L303" s="46" t="n">
        <x:v>0</x:v>
      </x:c>
      <x:c r="M303" s="46" t="n">
        <x:v>0</x:v>
      </x:c>
      <x:c r="N303" s="21" t="n">
        <x:f>IF(AND(L302=1,M302=1,P302&gt;0),1,0)</x:f>
        <x:v>0</x:v>
      </x:c>
      <x:c r="O303" s="21" t="n">
        <x:f>MIN('Root Data'!I94:I96)</x:f>
        <x:v>0</x:v>
      </x:c>
      <x:c r="P303" s="44" t="n">
        <x:f>IF(AND(L303=1,M303=1,N303=1,O303&gt;=G303),K303,0)</x:f>
        <x:v>0</x:v>
      </x:c>
      <x:c r="Q303" s="21" t="str">
        <x:v>OPEN</x:v>
      </x:c>
      <x:c r="R303" s="23" t="str">
        <x:v>HOLD</x:v>
      </x:c>
    </x:row>
    <x:row r="304">
      <x:c r="B304" s="21" t="str">
        <x:v>AR-00298</x:v>
      </x:c>
      <x:c r="C304" s="21" t="str">
        <x:v>F08-I2</x:v>
      </x:c>
      <x:c r="D304" s="21" t="str">
        <x:v>F08</x:v>
      </x:c>
      <x:c r="E304" s="21" t="n">
        <x:v>8</x:v>
      </x:c>
      <x:c r="F304" s="21" t="str">
        <x:v>Pilot-process qualification</x:v>
      </x:c>
      <x:c r="G304" s="21" t="n">
        <x:v>28</x:v>
      </x:c>
      <x:c r="H304" s="21" t="str">
        <x:v>AIMC Industrial Mobilization Authority</x:v>
      </x:c>
      <x:c r="I304" s="44" t="n">
        <x:f>Lifecycle!G14</x:f>
        <x:v>0.03952829567165163</x:v>
      </x:c>
      <x:c r="J304" s="44" t="n">
        <x:v>0.06999999999999999</x:v>
      </x:c>
      <x:c r="K304" s="44" t="n">
        <x:f>I304*J304</x:f>
        <x:v>0.0027669806970156137</x:v>
      </x:c>
      <x:c r="L304" s="46" t="n">
        <x:v>0</x:v>
      </x:c>
      <x:c r="M304" s="46" t="n">
        <x:v>0</x:v>
      </x:c>
      <x:c r="N304" s="21" t="n">
        <x:f>IF(AND(L303=1,M303=1,P303&gt;0),1,0)</x:f>
        <x:v>0</x:v>
      </x:c>
      <x:c r="O304" s="21" t="n">
        <x:f>MIN('Root Data'!I94:I96)</x:f>
        <x:v>0</x:v>
      </x:c>
      <x:c r="P304" s="44" t="n">
        <x:f>IF(AND(L304=1,M304=1,N304=1,O304&gt;=G304),K304,0)</x:f>
        <x:v>0</x:v>
      </x:c>
      <x:c r="Q304" s="21" t="str">
        <x:v>OPEN</x:v>
      </x:c>
      <x:c r="R304" s="23" t="str">
        <x:v>HOLD</x:v>
      </x:c>
    </x:row>
    <x:row r="305">
      <x:c r="B305" s="21" t="str">
        <x:v>AR-00299</x:v>
      </x:c>
      <x:c r="C305" s="21" t="str">
        <x:v>F08-I2</x:v>
      </x:c>
      <x:c r="D305" s="21" t="str">
        <x:v>F08</x:v>
      </x:c>
      <x:c r="E305" s="21" t="n">
        <x:v>9</x:v>
      </x:c>
      <x:c r="F305" s="21" t="str">
        <x:v>Production release package</x:v>
      </x:c>
      <x:c r="G305" s="21" t="n">
        <x:v>28</x:v>
      </x:c>
      <x:c r="H305" s="21" t="str">
        <x:v>Production Release Board</x:v>
      </x:c>
      <x:c r="I305" s="44" t="n">
        <x:f>Lifecycle!G15</x:f>
        <x:v>0.01647012319652151</x:v>
      </x:c>
      <x:c r="J305" s="44" t="n">
        <x:v>0.06999999999999999</x:v>
      </x:c>
      <x:c r="K305" s="44" t="n">
        <x:f>I305*J305</x:f>
        <x:v>0.0011529086237565057</x:v>
      </x:c>
      <x:c r="L305" s="46" t="n">
        <x:v>0</x:v>
      </x:c>
      <x:c r="M305" s="46" t="n">
        <x:v>0</x:v>
      </x:c>
      <x:c r="N305" s="21" t="n">
        <x:f>IF(AND(L304=1,M304=1,P304&gt;0),1,0)</x:f>
        <x:v>0</x:v>
      </x:c>
      <x:c r="O305" s="21" t="n">
        <x:f>MIN('Root Data'!I94:I96)</x:f>
        <x:v>0</x:v>
      </x:c>
      <x:c r="P305" s="44" t="n">
        <x:f>IF(AND(L305=1,M305=1,N305=1,O305&gt;=G305),K305,0)</x:f>
        <x:v>0</x:v>
      </x:c>
      <x:c r="Q305" s="21" t="str">
        <x:v>OPEN</x:v>
      </x:c>
      <x:c r="R305" s="23" t="str">
        <x:v>HOLD</x:v>
      </x:c>
    </x:row>
    <x:row r="306">
      <x:c r="B306" s="21" t="str">
        <x:v>AR-00300</x:v>
      </x:c>
      <x:c r="C306" s="21" t="str">
        <x:v>F08-I2</x:v>
      </x:c>
      <x:c r="D306" s="21" t="str">
        <x:v>F08</x:v>
      </x:c>
      <x:c r="E306" s="21" t="n">
        <x:v>10</x:v>
      </x:c>
      <x:c r="F306" s="21" t="str">
        <x:v>Mobilization activation</x:v>
      </x:c>
      <x:c r="G306" s="21" t="n">
        <x:v>28</x:v>
      </x:c>
      <x:c r="H306" s="21" t="str">
        <x:v>Production Release Board</x:v>
      </x:c>
      <x:c r="I306" s="44" t="n">
        <x:f>Lifecycle!G16</x:f>
        <x:v>0.028262731405230914</x:v>
      </x:c>
      <x:c r="J306" s="44" t="n">
        <x:v>0.06999999999999999</x:v>
      </x:c>
      <x:c r="K306" s="44" t="n">
        <x:f>I306*J306</x:f>
        <x:v>0.0019783911983661637</x:v>
      </x:c>
      <x:c r="L306" s="46" t="n">
        <x:v>0</x:v>
      </x:c>
      <x:c r="M306" s="46" t="n">
        <x:v>0</x:v>
      </x:c>
      <x:c r="N306" s="21" t="n">
        <x:f>IF(AND(L305=1,M305=1,P305&gt;0),1,0)</x:f>
        <x:v>0</x:v>
      </x:c>
      <x:c r="O306" s="21" t="n">
        <x:f>MIN('Root Data'!I94:I96)</x:f>
        <x:v>0</x:v>
      </x:c>
      <x:c r="P306" s="44" t="n">
        <x:f>IF(AND(L306=1,M306=1,N306=1,O306&gt;=G306),K306,0)</x:f>
        <x:v>0</x:v>
      </x:c>
      <x:c r="Q306" s="21" t="str">
        <x:v>OPEN</x:v>
      </x:c>
      <x:c r="R306" s="23" t="str">
        <x:v>HOLD</x:v>
      </x:c>
    </x:row>
    <x:row r="307">
      <x:c r="B307" s="21" t="str">
        <x:v>AR-00301</x:v>
      </x:c>
      <x:c r="C307" s="21" t="str">
        <x:v>F08-I3</x:v>
      </x:c>
      <x:c r="D307" s="21" t="str">
        <x:v>F08</x:v>
      </x:c>
      <x:c r="E307" s="21" t="n">
        <x:v>1</x:v>
      </x:c>
      <x:c r="F307" s="21" t="str">
        <x:v>Civil effect charter</x:v>
      </x:c>
      <x:c r="G307" s="21" t="n">
        <x:v>0</x:v>
      </x:c>
      <x:c r="H307" s="21" t="str">
        <x:v>Civil Guarantee Authority</x:v>
      </x:c>
      <x:c r="I307" s="44" t="n">
        <x:f>Lifecycle!G7</x:f>
        <x:v>0.04941036958956453</x:v>
      </x:c>
      <x:c r="J307" s="44" t="n">
        <x:v>0.06999999999999999</x:v>
      </x:c>
      <x:c r="K307" s="44" t="n">
        <x:f>I307*J307</x:f>
        <x:v>0.0034587258712695168</x:v>
      </x:c>
      <x:c r="L307" s="46" t="n">
        <x:v>0</x:v>
      </x:c>
      <x:c r="M307" s="46" t="n">
        <x:v>0</x:v>
      </x:c>
      <x:c r="N307" s="21" t="n">
        <x:f>1</x:f>
        <x:v>1</x:v>
      </x:c>
      <x:c r="O307" s="21" t="n">
        <x:f>MIN('Root Data'!I97:I99)</x:f>
        <x:v>0</x:v>
      </x:c>
      <x:c r="P307" s="44" t="n">
        <x:f>IF(AND(L307=1,M307=1,N307=1,O307&gt;=G307),K307,0)</x:f>
        <x:v>0</x:v>
      </x:c>
      <x:c r="Q307" s="21" t="str">
        <x:v>OPEN</x:v>
      </x:c>
      <x:c r="R307" s="23" t="str">
        <x:v>HOLD</x:v>
      </x:c>
    </x:row>
    <x:row r="308">
      <x:c r="B308" s="21" t="str">
        <x:v>AR-00302</x:v>
      </x:c>
      <x:c r="C308" s="21" t="str">
        <x:v>F08-I3</x:v>
      </x:c>
      <x:c r="D308" s="21" t="str">
        <x:v>F08</x:v>
      </x:c>
      <x:c r="E308" s="21" t="n">
        <x:v>2</x:v>
      </x:c>
      <x:c r="F308" s="21" t="str">
        <x:v>Requirement and root-independence package</x:v>
      </x:c>
      <x:c r="G308" s="21" t="n">
        <x:v>8</x:v>
      </x:c>
      <x:c r="H308" s="21" t="str">
        <x:v>Resilience Staff</x:v>
      </x:c>
      <x:c r="I308" s="44" t="n">
        <x:f>Lifecycle!G8</x:f>
        <x:v>0.10211476381843337</x:v>
      </x:c>
      <x:c r="J308" s="44" t="n">
        <x:v>0.06999999999999999</x:v>
      </x:c>
      <x:c r="K308" s="44" t="n">
        <x:f>I308*J308</x:f>
        <x:v>0.007148033467290336</x:v>
      </x:c>
      <x:c r="L308" s="46" t="n">
        <x:v>0</x:v>
      </x:c>
      <x:c r="M308" s="46" t="n">
        <x:v>0</x:v>
      </x:c>
      <x:c r="N308" s="21" t="n">
        <x:f>IF(AND(L307=1,M307=1,P307&gt;0),1,0)</x:f>
        <x:v>0</x:v>
      </x:c>
      <x:c r="O308" s="21" t="n">
        <x:f>MIN('Root Data'!I97:I99)</x:f>
        <x:v>0</x:v>
      </x:c>
      <x:c r="P308" s="44" t="n">
        <x:f>IF(AND(L308=1,M308=1,N308=1,O308&gt;=G308),K308,0)</x:f>
        <x:v>0</x:v>
      </x:c>
      <x:c r="Q308" s="21" t="str">
        <x:v>OPEN</x:v>
      </x:c>
      <x:c r="R308" s="23" t="str">
        <x:v>HOLD</x:v>
      </x:c>
    </x:row>
    <x:row r="309">
      <x:c r="B309" s="21" t="str">
        <x:v>AR-00303</x:v>
      </x:c>
      <x:c r="C309" s="21" t="str">
        <x:v>F08-I3</x:v>
      </x:c>
      <x:c r="D309" s="21" t="str">
        <x:v>F08</x:v>
      </x:c>
      <x:c r="E309" s="21" t="n">
        <x:v>3</x:v>
      </x:c>
      <x:c r="F309" s="21" t="str">
        <x:v>Architecture and burden closure</x:v>
      </x:c>
      <x:c r="G309" s="21" t="n">
        <x:v>14</x:v>
      </x:c>
      <x:c r="H309" s="21" t="str">
        <x:v>Independent Evidence and Data Authority</x:v>
      </x:c>
      <x:c r="I309" s="44" t="n">
        <x:f>Lifecycle!G9</x:f>
        <x:v>0.08564464062191186</x:v>
      </x:c>
      <x:c r="J309" s="44" t="n">
        <x:v>0.06999999999999999</x:v>
      </x:c>
      <x:c r="K309" s="44" t="n">
        <x:f>I309*J309</x:f>
        <x:v>0.00599512484353383</x:v>
      </x:c>
      <x:c r="L309" s="46" t="n">
        <x:v>0</x:v>
      </x:c>
      <x:c r="M309" s="46" t="n">
        <x:v>0</x:v>
      </x:c>
      <x:c r="N309" s="21" t="n">
        <x:f>IF(AND(L308=1,M308=1,P308&gt;0),1,0)</x:f>
        <x:v>0</x:v>
      </x:c>
      <x:c r="O309" s="21" t="n">
        <x:f>MIN('Root Data'!I97:I99)</x:f>
        <x:v>0</x:v>
      </x:c>
      <x:c r="P309" s="44" t="n">
        <x:f>IF(AND(L309=1,M309=1,N309=1,O309&gt;=G309),K309,0)</x:f>
        <x:v>0</x:v>
      </x:c>
      <x:c r="Q309" s="21" t="str">
        <x:v>OPEN</x:v>
      </x:c>
      <x:c r="R309" s="23" t="str">
        <x:v>HOLD</x:v>
      </x:c>
    </x:row>
    <x:row r="310">
      <x:c r="B310" s="21" t="str">
        <x:v>AR-00304</x:v>
      </x:c>
      <x:c r="C310" s="21" t="str">
        <x:v>F08-I3</x:v>
      </x:c>
      <x:c r="D310" s="21" t="str">
        <x:v>F08</x:v>
      </x:c>
      <x:c r="E310" s="21" t="n">
        <x:v>4</x:v>
      </x:c>
      <x:c r="F310" s="21" t="str">
        <x:v>Engineering article acceptance</x:v>
      </x:c>
      <x:c r="G310" s="21" t="n">
        <x:v>18</x:v>
      </x:c>
      <x:c r="H310" s="21" t="str">
        <x:v>Independent Evidence and Data Authority</x:v>
      </x:c>
      <x:c r="I310" s="44" t="n">
        <x:f>Lifecycle!G10</x:f>
        <x:v>0.05929244350747744</x:v>
      </x:c>
      <x:c r="J310" s="44" t="n">
        <x:v>0.06999999999999999</x:v>
      </x:c>
      <x:c r="K310" s="44" t="n">
        <x:f>I310*J310</x:f>
        <x:v>0.00415047104552342</x:v>
      </x:c>
      <x:c r="L310" s="46" t="n">
        <x:v>0</x:v>
      </x:c>
      <x:c r="M310" s="46" t="n">
        <x:v>0</x:v>
      </x:c>
      <x:c r="N310" s="21" t="n">
        <x:f>IF(AND(L309=1,M309=1,P309&gt;0),1,0)</x:f>
        <x:v>0</x:v>
      </x:c>
      <x:c r="O310" s="21" t="n">
        <x:f>MIN('Root Data'!I97:I99)</x:f>
        <x:v>0</x:v>
      </x:c>
      <x:c r="P310" s="44" t="n">
        <x:f>IF(AND(L310=1,M310=1,N310=1,O310&gt;=G310),K310,0)</x:f>
        <x:v>0</x:v>
      </x:c>
      <x:c r="Q310" s="21" t="str">
        <x:v>OPEN</x:v>
      </x:c>
      <x:c r="R310" s="23" t="str">
        <x:v>HOLD</x:v>
      </x:c>
    </x:row>
    <x:row r="311">
      <x:c r="B311" s="21" t="str">
        <x:v>AR-00305</x:v>
      </x:c>
      <x:c r="C311" s="21" t="str">
        <x:v>F08-I3</x:v>
      </x:c>
      <x:c r="D311" s="21" t="str">
        <x:v>F08</x:v>
      </x:c>
      <x:c r="E311" s="21" t="n">
        <x:v>5</x:v>
      </x:c>
      <x:c r="F311" s="21" t="str">
        <x:v>Qualification and destructive evidence</x:v>
      </x:c>
      <x:c r="G311" s="21" t="n">
        <x:v>21</x:v>
      </x:c>
      <x:c r="H311" s="21" t="str">
        <x:v>Independent Evidence and Data Authority</x:v>
      </x:c>
      <x:c r="I311" s="44" t="n">
        <x:f>Lifecycle!G11</x:f>
        <x:v>0.1515251334079979</x:v>
      </x:c>
      <x:c r="J311" s="44" t="n">
        <x:v>0.06999999999999999</x:v>
      </x:c>
      <x:c r="K311" s="44" t="n">
        <x:f>I311*J311</x:f>
        <x:v>0.01060675933855985</x:v>
      </x:c>
      <x:c r="L311" s="46" t="n">
        <x:v>0</x:v>
      </x:c>
      <x:c r="M311" s="46" t="n">
        <x:v>0</x:v>
      </x:c>
      <x:c r="N311" s="21" t="n">
        <x:f>IF(AND(L310=1,M310=1,P310&gt;0),1,0)</x:f>
        <x:v>0</x:v>
      </x:c>
      <x:c r="O311" s="21" t="n">
        <x:f>MIN('Root Data'!I97:I99)</x:f>
        <x:v>0</x:v>
      </x:c>
      <x:c r="P311" s="44" t="n">
        <x:f>IF(AND(L311=1,M311=1,N311=1,O311&gt;=G311),K311,0)</x:f>
        <x:v>0</x:v>
      </x:c>
      <x:c r="Q311" s="21" t="str">
        <x:v>OPEN</x:v>
      </x:c>
      <x:c r="R311" s="23" t="str">
        <x:v>HOLD</x:v>
      </x:c>
    </x:row>
    <x:row r="312">
      <x:c r="B312" s="21" t="str">
        <x:v>AR-00306</x:v>
      </x:c>
      <x:c r="C312" s="21" t="str">
        <x:v>F08-I3</x:v>
      </x:c>
      <x:c r="D312" s="21" t="str">
        <x:v>F08</x:v>
      </x:c>
      <x:c r="E312" s="21" t="n">
        <x:v>6</x:v>
      </x:c>
      <x:c r="F312" s="21" t="str">
        <x:v>Representative mission result</x:v>
      </x:c>
      <x:c r="G312" s="21" t="n">
        <x:v>23</x:v>
      </x:c>
      <x:c r="H312" s="21" t="str">
        <x:v>Receiving Service Authority</x:v>
      </x:c>
      <x:c r="I312" s="44" t="n">
        <x:f>Lifecycle!G12</x:f>
        <x:v>0.250345872587127</x:v>
      </x:c>
      <x:c r="J312" s="44" t="n">
        <x:v>0.06999999999999999</x:v>
      </x:c>
      <x:c r="K312" s="44" t="n">
        <x:f>I312*J312</x:f>
        <x:v>0.017524211081098886</x:v>
      </x:c>
      <x:c r="L312" s="46" t="n">
        <x:v>0</x:v>
      </x:c>
      <x:c r="M312" s="46" t="n">
        <x:v>0</x:v>
      </x:c>
      <x:c r="N312" s="21" t="n">
        <x:f>IF(AND(L311=1,M311=1,P311&gt;0),1,0)</x:f>
        <x:v>0</x:v>
      </x:c>
      <x:c r="O312" s="21" t="n">
        <x:f>MIN('Root Data'!I97:I99)</x:f>
        <x:v>0</x:v>
      </x:c>
      <x:c r="P312" s="44" t="n">
        <x:f>IF(AND(L312=1,M312=1,N312=1,O312&gt;=G312),K312,0)</x:f>
        <x:v>0</x:v>
      </x:c>
      <x:c r="Q312" s="21" t="str">
        <x:v>OPEN</x:v>
      </x:c>
      <x:c r="R312" s="23" t="str">
        <x:v>HOLD</x:v>
      </x:c>
    </x:row>
    <x:row r="313">
      <x:c r="B313" s="21" t="str">
        <x:v>AR-00307</x:v>
      </x:c>
      <x:c r="C313" s="21" t="str">
        <x:v>F08-I3</x:v>
      </x:c>
      <x:c r="D313" s="21" t="str">
        <x:v>F08</x:v>
      </x:c>
      <x:c r="E313" s="21" t="n">
        <x:v>7</x:v>
      </x:c>
      <x:c r="F313" s="21" t="str">
        <x:v>Independent reproduction</x:v>
      </x:c>
      <x:c r="G313" s="21" t="n">
        <x:v>28</x:v>
      </x:c>
      <x:c r="H313" s="21" t="str">
        <x:v>Independent Evidence and Data Authority</x:v>
      </x:c>
      <x:c r="I313" s="44" t="n">
        <x:f>Lifecycle!G13</x:f>
        <x:v>0.21740562619408393</x:v>
      </x:c>
      <x:c r="J313" s="44" t="n">
        <x:v>0.06999999999999999</x:v>
      </x:c>
      <x:c r="K313" s="44" t="n">
        <x:f>I313*J313</x:f>
        <x:v>0.015218393833585874</x:v>
      </x:c>
      <x:c r="L313" s="46" t="n">
        <x:v>0</x:v>
      </x:c>
      <x:c r="M313" s="46" t="n">
        <x:v>0</x:v>
      </x:c>
      <x:c r="N313" s="21" t="n">
        <x:f>IF(AND(L312=1,M312=1,P312&gt;0),1,0)</x:f>
        <x:v>0</x:v>
      </x:c>
      <x:c r="O313" s="21" t="n">
        <x:f>MIN('Root Data'!I97:I99)</x:f>
        <x:v>0</x:v>
      </x:c>
      <x:c r="P313" s="44" t="n">
        <x:f>IF(AND(L313=1,M313=1,N313=1,O313&gt;=G313),K313,0)</x:f>
        <x:v>0</x:v>
      </x:c>
      <x:c r="Q313" s="21" t="str">
        <x:v>OPEN</x:v>
      </x:c>
      <x:c r="R313" s="23" t="str">
        <x:v>HOLD</x:v>
      </x:c>
    </x:row>
    <x:row r="314">
      <x:c r="B314" s="21" t="str">
        <x:v>AR-00308</x:v>
      </x:c>
      <x:c r="C314" s="21" t="str">
        <x:v>F08-I3</x:v>
      </x:c>
      <x:c r="D314" s="21" t="str">
        <x:v>F08</x:v>
      </x:c>
      <x:c r="E314" s="21" t="n">
        <x:v>8</x:v>
      </x:c>
      <x:c r="F314" s="21" t="str">
        <x:v>Pilot-process qualification</x:v>
      </x:c>
      <x:c r="G314" s="21" t="n">
        <x:v>28</x:v>
      </x:c>
      <x:c r="H314" s="21" t="str">
        <x:v>AIMC Industrial Mobilization Authority</x:v>
      </x:c>
      <x:c r="I314" s="44" t="n">
        <x:f>Lifecycle!G14</x:f>
        <x:v>0.03952829567165163</x:v>
      </x:c>
      <x:c r="J314" s="44" t="n">
        <x:v>0.06999999999999999</x:v>
      </x:c>
      <x:c r="K314" s="44" t="n">
        <x:f>I314*J314</x:f>
        <x:v>0.0027669806970156137</x:v>
      </x:c>
      <x:c r="L314" s="46" t="n">
        <x:v>0</x:v>
      </x:c>
      <x:c r="M314" s="46" t="n">
        <x:v>0</x:v>
      </x:c>
      <x:c r="N314" s="21" t="n">
        <x:f>IF(AND(L313=1,M313=1,P313&gt;0),1,0)</x:f>
        <x:v>0</x:v>
      </x:c>
      <x:c r="O314" s="21" t="n">
        <x:f>MIN('Root Data'!I97:I99)</x:f>
        <x:v>0</x:v>
      </x:c>
      <x:c r="P314" s="44" t="n">
        <x:f>IF(AND(L314=1,M314=1,N314=1,O314&gt;=G314),K314,0)</x:f>
        <x:v>0</x:v>
      </x:c>
      <x:c r="Q314" s="21" t="str">
        <x:v>OPEN</x:v>
      </x:c>
      <x:c r="R314" s="23" t="str">
        <x:v>HOLD</x:v>
      </x:c>
    </x:row>
    <x:row r="315">
      <x:c r="B315" s="21" t="str">
        <x:v>AR-00309</x:v>
      </x:c>
      <x:c r="C315" s="21" t="str">
        <x:v>F08-I3</x:v>
      </x:c>
      <x:c r="D315" s="21" t="str">
        <x:v>F08</x:v>
      </x:c>
      <x:c r="E315" s="21" t="n">
        <x:v>9</x:v>
      </x:c>
      <x:c r="F315" s="21" t="str">
        <x:v>Production release package</x:v>
      </x:c>
      <x:c r="G315" s="21" t="n">
        <x:v>28</x:v>
      </x:c>
      <x:c r="H315" s="21" t="str">
        <x:v>Production Release Board</x:v>
      </x:c>
      <x:c r="I315" s="44" t="n">
        <x:f>Lifecycle!G15</x:f>
        <x:v>0.01647012319652151</x:v>
      </x:c>
      <x:c r="J315" s="44" t="n">
        <x:v>0.06999999999999999</x:v>
      </x:c>
      <x:c r="K315" s="44" t="n">
        <x:f>I315*J315</x:f>
        <x:v>0.0011529086237565057</x:v>
      </x:c>
      <x:c r="L315" s="46" t="n">
        <x:v>0</x:v>
      </x:c>
      <x:c r="M315" s="46" t="n">
        <x:v>0</x:v>
      </x:c>
      <x:c r="N315" s="21" t="n">
        <x:f>IF(AND(L314=1,M314=1,P314&gt;0),1,0)</x:f>
        <x:v>0</x:v>
      </x:c>
      <x:c r="O315" s="21" t="n">
        <x:f>MIN('Root Data'!I97:I99)</x:f>
        <x:v>0</x:v>
      </x:c>
      <x:c r="P315" s="44" t="n">
        <x:f>IF(AND(L315=1,M315=1,N315=1,O315&gt;=G315),K315,0)</x:f>
        <x:v>0</x:v>
      </x:c>
      <x:c r="Q315" s="21" t="str">
        <x:v>OPEN</x:v>
      </x:c>
      <x:c r="R315" s="23" t="str">
        <x:v>HOLD</x:v>
      </x:c>
    </x:row>
    <x:row r="316">
      <x:c r="B316" s="21" t="str">
        <x:v>AR-00310</x:v>
      </x:c>
      <x:c r="C316" s="21" t="str">
        <x:v>F08-I3</x:v>
      </x:c>
      <x:c r="D316" s="21" t="str">
        <x:v>F08</x:v>
      </x:c>
      <x:c r="E316" s="21" t="n">
        <x:v>10</x:v>
      </x:c>
      <x:c r="F316" s="21" t="str">
        <x:v>Mobilization activation</x:v>
      </x:c>
      <x:c r="G316" s="21" t="n">
        <x:v>28</x:v>
      </x:c>
      <x:c r="H316" s="21" t="str">
        <x:v>Production Release Board</x:v>
      </x:c>
      <x:c r="I316" s="44" t="n">
        <x:f>Lifecycle!G16</x:f>
        <x:v>0.028262731405230914</x:v>
      </x:c>
      <x:c r="J316" s="44" t="n">
        <x:v>0.06999999999999999</x:v>
      </x:c>
      <x:c r="K316" s="44" t="n">
        <x:f>I316*J316</x:f>
        <x:v>0.0019783911983661637</x:v>
      </x:c>
      <x:c r="L316" s="46" t="n">
        <x:v>0</x:v>
      </x:c>
      <x:c r="M316" s="46" t="n">
        <x:v>0</x:v>
      </x:c>
      <x:c r="N316" s="21" t="n">
        <x:f>IF(AND(L315=1,M315=1,P315&gt;0),1,0)</x:f>
        <x:v>0</x:v>
      </x:c>
      <x:c r="O316" s="21" t="n">
        <x:f>MIN('Root Data'!I97:I99)</x:f>
        <x:v>0</x:v>
      </x:c>
      <x:c r="P316" s="44" t="n">
        <x:f>IF(AND(L316=1,M316=1,N316=1,O316&gt;=G316),K316,0)</x:f>
        <x:v>0</x:v>
      </x:c>
      <x:c r="Q316" s="21" t="str">
        <x:v>OPEN</x:v>
      </x:c>
      <x:c r="R316" s="23" t="str">
        <x:v>HOLD</x:v>
      </x:c>
    </x:row>
    <x:row r="317">
      <x:c r="B317" s="21" t="str">
        <x:v>AR-00311</x:v>
      </x:c>
      <x:c r="C317" s="21" t="str">
        <x:v>F08-I4</x:v>
      </x:c>
      <x:c r="D317" s="21" t="str">
        <x:v>F08</x:v>
      </x:c>
      <x:c r="E317" s="21" t="n">
        <x:v>1</x:v>
      </x:c>
      <x:c r="F317" s="21" t="str">
        <x:v>Civil effect charter</x:v>
      </x:c>
      <x:c r="G317" s="21" t="n">
        <x:v>0</x:v>
      </x:c>
      <x:c r="H317" s="21" t="str">
        <x:v>Civil Guarantee Authority</x:v>
      </x:c>
      <x:c r="I317" s="44" t="n">
        <x:f>Lifecycle!G7</x:f>
        <x:v>0.04941036958956453</x:v>
      </x:c>
      <x:c r="J317" s="44" t="n">
        <x:v>0.06999999999999999</x:v>
      </x:c>
      <x:c r="K317" s="44" t="n">
        <x:f>I317*J317</x:f>
        <x:v>0.0034587258712695168</x:v>
      </x:c>
      <x:c r="L317" s="46" t="n">
        <x:v>0</x:v>
      </x:c>
      <x:c r="M317" s="46" t="n">
        <x:v>0</x:v>
      </x:c>
      <x:c r="N317" s="21" t="n">
        <x:f>1</x:f>
        <x:v>1</x:v>
      </x:c>
      <x:c r="O317" s="21" t="n">
        <x:f>MIN('Root Data'!I100:I102)</x:f>
        <x:v>0</x:v>
      </x:c>
      <x:c r="P317" s="44" t="n">
        <x:f>IF(AND(L317=1,M317=1,N317=1,O317&gt;=G317),K317,0)</x:f>
        <x:v>0</x:v>
      </x:c>
      <x:c r="Q317" s="21" t="str">
        <x:v>OPEN</x:v>
      </x:c>
      <x:c r="R317" s="23" t="str">
        <x:v>HOLD</x:v>
      </x:c>
    </x:row>
    <x:row r="318">
      <x:c r="B318" s="21" t="str">
        <x:v>AR-00312</x:v>
      </x:c>
      <x:c r="C318" s="21" t="str">
        <x:v>F08-I4</x:v>
      </x:c>
      <x:c r="D318" s="21" t="str">
        <x:v>F08</x:v>
      </x:c>
      <x:c r="E318" s="21" t="n">
        <x:v>2</x:v>
      </x:c>
      <x:c r="F318" s="21" t="str">
        <x:v>Requirement and root-independence package</x:v>
      </x:c>
      <x:c r="G318" s="21" t="n">
        <x:v>8</x:v>
      </x:c>
      <x:c r="H318" s="21" t="str">
        <x:v>Resilience Staff</x:v>
      </x:c>
      <x:c r="I318" s="44" t="n">
        <x:f>Lifecycle!G8</x:f>
        <x:v>0.10211476381843337</x:v>
      </x:c>
      <x:c r="J318" s="44" t="n">
        <x:v>0.06999999999999999</x:v>
      </x:c>
      <x:c r="K318" s="44" t="n">
        <x:f>I318*J318</x:f>
        <x:v>0.007148033467290336</x:v>
      </x:c>
      <x:c r="L318" s="46" t="n">
        <x:v>0</x:v>
      </x:c>
      <x:c r="M318" s="46" t="n">
        <x:v>0</x:v>
      </x:c>
      <x:c r="N318" s="21" t="n">
        <x:f>IF(AND(L317=1,M317=1,P317&gt;0),1,0)</x:f>
        <x:v>0</x:v>
      </x:c>
      <x:c r="O318" s="21" t="n">
        <x:f>MIN('Root Data'!I100:I102)</x:f>
        <x:v>0</x:v>
      </x:c>
      <x:c r="P318" s="44" t="n">
        <x:f>IF(AND(L318=1,M318=1,N318=1,O318&gt;=G318),K318,0)</x:f>
        <x:v>0</x:v>
      </x:c>
      <x:c r="Q318" s="21" t="str">
        <x:v>OPEN</x:v>
      </x:c>
      <x:c r="R318" s="23" t="str">
        <x:v>HOLD</x:v>
      </x:c>
    </x:row>
    <x:row r="319">
      <x:c r="B319" s="21" t="str">
        <x:v>AR-00313</x:v>
      </x:c>
      <x:c r="C319" s="21" t="str">
        <x:v>F08-I4</x:v>
      </x:c>
      <x:c r="D319" s="21" t="str">
        <x:v>F08</x:v>
      </x:c>
      <x:c r="E319" s="21" t="n">
        <x:v>3</x:v>
      </x:c>
      <x:c r="F319" s="21" t="str">
        <x:v>Architecture and burden closure</x:v>
      </x:c>
      <x:c r="G319" s="21" t="n">
        <x:v>14</x:v>
      </x:c>
      <x:c r="H319" s="21" t="str">
        <x:v>Independent Evidence and Data Authority</x:v>
      </x:c>
      <x:c r="I319" s="44" t="n">
        <x:f>Lifecycle!G9</x:f>
        <x:v>0.08564464062191186</x:v>
      </x:c>
      <x:c r="J319" s="44" t="n">
        <x:v>0.06999999999999999</x:v>
      </x:c>
      <x:c r="K319" s="44" t="n">
        <x:f>I319*J319</x:f>
        <x:v>0.00599512484353383</x:v>
      </x:c>
      <x:c r="L319" s="46" t="n">
        <x:v>0</x:v>
      </x:c>
      <x:c r="M319" s="46" t="n">
        <x:v>0</x:v>
      </x:c>
      <x:c r="N319" s="21" t="n">
        <x:f>IF(AND(L318=1,M318=1,P318&gt;0),1,0)</x:f>
        <x:v>0</x:v>
      </x:c>
      <x:c r="O319" s="21" t="n">
        <x:f>MIN('Root Data'!I100:I102)</x:f>
        <x:v>0</x:v>
      </x:c>
      <x:c r="P319" s="44" t="n">
        <x:f>IF(AND(L319=1,M319=1,N319=1,O319&gt;=G319),K319,0)</x:f>
        <x:v>0</x:v>
      </x:c>
      <x:c r="Q319" s="21" t="str">
        <x:v>OPEN</x:v>
      </x:c>
      <x:c r="R319" s="23" t="str">
        <x:v>HOLD</x:v>
      </x:c>
    </x:row>
    <x:row r="320">
      <x:c r="B320" s="21" t="str">
        <x:v>AR-00314</x:v>
      </x:c>
      <x:c r="C320" s="21" t="str">
        <x:v>F08-I4</x:v>
      </x:c>
      <x:c r="D320" s="21" t="str">
        <x:v>F08</x:v>
      </x:c>
      <x:c r="E320" s="21" t="n">
        <x:v>4</x:v>
      </x:c>
      <x:c r="F320" s="21" t="str">
        <x:v>Engineering article acceptance</x:v>
      </x:c>
      <x:c r="G320" s="21" t="n">
        <x:v>18</x:v>
      </x:c>
      <x:c r="H320" s="21" t="str">
        <x:v>Independent Evidence and Data Authority</x:v>
      </x:c>
      <x:c r="I320" s="44" t="n">
        <x:f>Lifecycle!G10</x:f>
        <x:v>0.05929244350747744</x:v>
      </x:c>
      <x:c r="J320" s="44" t="n">
        <x:v>0.06999999999999999</x:v>
      </x:c>
      <x:c r="K320" s="44" t="n">
        <x:f>I320*J320</x:f>
        <x:v>0.00415047104552342</x:v>
      </x:c>
      <x:c r="L320" s="46" t="n">
        <x:v>0</x:v>
      </x:c>
      <x:c r="M320" s="46" t="n">
        <x:v>0</x:v>
      </x:c>
      <x:c r="N320" s="21" t="n">
        <x:f>IF(AND(L319=1,M319=1,P319&gt;0),1,0)</x:f>
        <x:v>0</x:v>
      </x:c>
      <x:c r="O320" s="21" t="n">
        <x:f>MIN('Root Data'!I100:I102)</x:f>
        <x:v>0</x:v>
      </x:c>
      <x:c r="P320" s="44" t="n">
        <x:f>IF(AND(L320=1,M320=1,N320=1,O320&gt;=G320),K320,0)</x:f>
        <x:v>0</x:v>
      </x:c>
      <x:c r="Q320" s="21" t="str">
        <x:v>OPEN</x:v>
      </x:c>
      <x:c r="R320" s="23" t="str">
        <x:v>HOLD</x:v>
      </x:c>
    </x:row>
    <x:row r="321">
      <x:c r="B321" s="21" t="str">
        <x:v>AR-00315</x:v>
      </x:c>
      <x:c r="C321" s="21" t="str">
        <x:v>F08-I4</x:v>
      </x:c>
      <x:c r="D321" s="21" t="str">
        <x:v>F08</x:v>
      </x:c>
      <x:c r="E321" s="21" t="n">
        <x:v>5</x:v>
      </x:c>
      <x:c r="F321" s="21" t="str">
        <x:v>Qualification and destructive evidence</x:v>
      </x:c>
      <x:c r="G321" s="21" t="n">
        <x:v>21</x:v>
      </x:c>
      <x:c r="H321" s="21" t="str">
        <x:v>Independent Evidence and Data Authority</x:v>
      </x:c>
      <x:c r="I321" s="44" t="n">
        <x:f>Lifecycle!G11</x:f>
        <x:v>0.1515251334079979</x:v>
      </x:c>
      <x:c r="J321" s="44" t="n">
        <x:v>0.06999999999999999</x:v>
      </x:c>
      <x:c r="K321" s="44" t="n">
        <x:f>I321*J321</x:f>
        <x:v>0.01060675933855985</x:v>
      </x:c>
      <x:c r="L321" s="46" t="n">
        <x:v>0</x:v>
      </x:c>
      <x:c r="M321" s="46" t="n">
        <x:v>0</x:v>
      </x:c>
      <x:c r="N321" s="21" t="n">
        <x:f>IF(AND(L320=1,M320=1,P320&gt;0),1,0)</x:f>
        <x:v>0</x:v>
      </x:c>
      <x:c r="O321" s="21" t="n">
        <x:f>MIN('Root Data'!I100:I102)</x:f>
        <x:v>0</x:v>
      </x:c>
      <x:c r="P321" s="44" t="n">
        <x:f>IF(AND(L321=1,M321=1,N321=1,O321&gt;=G321),K321,0)</x:f>
        <x:v>0</x:v>
      </x:c>
      <x:c r="Q321" s="21" t="str">
        <x:v>OPEN</x:v>
      </x:c>
      <x:c r="R321" s="23" t="str">
        <x:v>HOLD</x:v>
      </x:c>
    </x:row>
    <x:row r="322">
      <x:c r="B322" s="21" t="str">
        <x:v>AR-00316</x:v>
      </x:c>
      <x:c r="C322" s="21" t="str">
        <x:v>F08-I4</x:v>
      </x:c>
      <x:c r="D322" s="21" t="str">
        <x:v>F08</x:v>
      </x:c>
      <x:c r="E322" s="21" t="n">
        <x:v>6</x:v>
      </x:c>
      <x:c r="F322" s="21" t="str">
        <x:v>Representative mission result</x:v>
      </x:c>
      <x:c r="G322" s="21" t="n">
        <x:v>23</x:v>
      </x:c>
      <x:c r="H322" s="21" t="str">
        <x:v>Receiving Service Authority</x:v>
      </x:c>
      <x:c r="I322" s="44" t="n">
        <x:f>Lifecycle!G12</x:f>
        <x:v>0.250345872587127</x:v>
      </x:c>
      <x:c r="J322" s="44" t="n">
        <x:v>0.06999999999999999</x:v>
      </x:c>
      <x:c r="K322" s="44" t="n">
        <x:f>I322*J322</x:f>
        <x:v>0.017524211081098886</x:v>
      </x:c>
      <x:c r="L322" s="46" t="n">
        <x:v>0</x:v>
      </x:c>
      <x:c r="M322" s="46" t="n">
        <x:v>0</x:v>
      </x:c>
      <x:c r="N322" s="21" t="n">
        <x:f>IF(AND(L321=1,M321=1,P321&gt;0),1,0)</x:f>
        <x:v>0</x:v>
      </x:c>
      <x:c r="O322" s="21" t="n">
        <x:f>MIN('Root Data'!I100:I102)</x:f>
        <x:v>0</x:v>
      </x:c>
      <x:c r="P322" s="44" t="n">
        <x:f>IF(AND(L322=1,M322=1,N322=1,O322&gt;=G322),K322,0)</x:f>
        <x:v>0</x:v>
      </x:c>
      <x:c r="Q322" s="21" t="str">
        <x:v>OPEN</x:v>
      </x:c>
      <x:c r="R322" s="23" t="str">
        <x:v>HOLD</x:v>
      </x:c>
    </x:row>
    <x:row r="323">
      <x:c r="B323" s="21" t="str">
        <x:v>AR-00317</x:v>
      </x:c>
      <x:c r="C323" s="21" t="str">
        <x:v>F08-I4</x:v>
      </x:c>
      <x:c r="D323" s="21" t="str">
        <x:v>F08</x:v>
      </x:c>
      <x:c r="E323" s="21" t="n">
        <x:v>7</x:v>
      </x:c>
      <x:c r="F323" s="21" t="str">
        <x:v>Independent reproduction</x:v>
      </x:c>
      <x:c r="G323" s="21" t="n">
        <x:v>28</x:v>
      </x:c>
      <x:c r="H323" s="21" t="str">
        <x:v>Independent Evidence and Data Authority</x:v>
      </x:c>
      <x:c r="I323" s="44" t="n">
        <x:f>Lifecycle!G13</x:f>
        <x:v>0.21740562619408393</x:v>
      </x:c>
      <x:c r="J323" s="44" t="n">
        <x:v>0.06999999999999999</x:v>
      </x:c>
      <x:c r="K323" s="44" t="n">
        <x:f>I323*J323</x:f>
        <x:v>0.015218393833585874</x:v>
      </x:c>
      <x:c r="L323" s="46" t="n">
        <x:v>0</x:v>
      </x:c>
      <x:c r="M323" s="46" t="n">
        <x:v>0</x:v>
      </x:c>
      <x:c r="N323" s="21" t="n">
        <x:f>IF(AND(L322=1,M322=1,P322&gt;0),1,0)</x:f>
        <x:v>0</x:v>
      </x:c>
      <x:c r="O323" s="21" t="n">
        <x:f>MIN('Root Data'!I100:I102)</x:f>
        <x:v>0</x:v>
      </x:c>
      <x:c r="P323" s="44" t="n">
        <x:f>IF(AND(L323=1,M323=1,N323=1,O323&gt;=G323),K323,0)</x:f>
        <x:v>0</x:v>
      </x:c>
      <x:c r="Q323" s="21" t="str">
        <x:v>OPEN</x:v>
      </x:c>
      <x:c r="R323" s="23" t="str">
        <x:v>HOLD</x:v>
      </x:c>
    </x:row>
    <x:row r="324">
      <x:c r="B324" s="21" t="str">
        <x:v>AR-00318</x:v>
      </x:c>
      <x:c r="C324" s="21" t="str">
        <x:v>F08-I4</x:v>
      </x:c>
      <x:c r="D324" s="21" t="str">
        <x:v>F08</x:v>
      </x:c>
      <x:c r="E324" s="21" t="n">
        <x:v>8</x:v>
      </x:c>
      <x:c r="F324" s="21" t="str">
        <x:v>Pilot-process qualification</x:v>
      </x:c>
      <x:c r="G324" s="21" t="n">
        <x:v>28</x:v>
      </x:c>
      <x:c r="H324" s="21" t="str">
        <x:v>AIMC Industrial Mobilization Authority</x:v>
      </x:c>
      <x:c r="I324" s="44" t="n">
        <x:f>Lifecycle!G14</x:f>
        <x:v>0.03952829567165163</x:v>
      </x:c>
      <x:c r="J324" s="44" t="n">
        <x:v>0.06999999999999999</x:v>
      </x:c>
      <x:c r="K324" s="44" t="n">
        <x:f>I324*J324</x:f>
        <x:v>0.0027669806970156137</x:v>
      </x:c>
      <x:c r="L324" s="46" t="n">
        <x:v>0</x:v>
      </x:c>
      <x:c r="M324" s="46" t="n">
        <x:v>0</x:v>
      </x:c>
      <x:c r="N324" s="21" t="n">
        <x:f>IF(AND(L323=1,M323=1,P323&gt;0),1,0)</x:f>
        <x:v>0</x:v>
      </x:c>
      <x:c r="O324" s="21" t="n">
        <x:f>MIN('Root Data'!I100:I102)</x:f>
        <x:v>0</x:v>
      </x:c>
      <x:c r="P324" s="44" t="n">
        <x:f>IF(AND(L324=1,M324=1,N324=1,O324&gt;=G324),K324,0)</x:f>
        <x:v>0</x:v>
      </x:c>
      <x:c r="Q324" s="21" t="str">
        <x:v>OPEN</x:v>
      </x:c>
      <x:c r="R324" s="23" t="str">
        <x:v>HOLD</x:v>
      </x:c>
    </x:row>
    <x:row r="325">
      <x:c r="B325" s="21" t="str">
        <x:v>AR-00319</x:v>
      </x:c>
      <x:c r="C325" s="21" t="str">
        <x:v>F08-I4</x:v>
      </x:c>
      <x:c r="D325" s="21" t="str">
        <x:v>F08</x:v>
      </x:c>
      <x:c r="E325" s="21" t="n">
        <x:v>9</x:v>
      </x:c>
      <x:c r="F325" s="21" t="str">
        <x:v>Production release package</x:v>
      </x:c>
      <x:c r="G325" s="21" t="n">
        <x:v>28</x:v>
      </x:c>
      <x:c r="H325" s="21" t="str">
        <x:v>Production Release Board</x:v>
      </x:c>
      <x:c r="I325" s="44" t="n">
        <x:f>Lifecycle!G15</x:f>
        <x:v>0.01647012319652151</x:v>
      </x:c>
      <x:c r="J325" s="44" t="n">
        <x:v>0.06999999999999999</x:v>
      </x:c>
      <x:c r="K325" s="44" t="n">
        <x:f>I325*J325</x:f>
        <x:v>0.0011529086237565057</x:v>
      </x:c>
      <x:c r="L325" s="46" t="n">
        <x:v>0</x:v>
      </x:c>
      <x:c r="M325" s="46" t="n">
        <x:v>0</x:v>
      </x:c>
      <x:c r="N325" s="21" t="n">
        <x:f>IF(AND(L324=1,M324=1,P324&gt;0),1,0)</x:f>
        <x:v>0</x:v>
      </x:c>
      <x:c r="O325" s="21" t="n">
        <x:f>MIN('Root Data'!I100:I102)</x:f>
        <x:v>0</x:v>
      </x:c>
      <x:c r="P325" s="44" t="n">
        <x:f>IF(AND(L325=1,M325=1,N325=1,O325&gt;=G325),K325,0)</x:f>
        <x:v>0</x:v>
      </x:c>
      <x:c r="Q325" s="21" t="str">
        <x:v>OPEN</x:v>
      </x:c>
      <x:c r="R325" s="23" t="str">
        <x:v>HOLD</x:v>
      </x:c>
    </x:row>
    <x:row r="326">
      <x:c r="B326" s="21" t="str">
        <x:v>AR-00320</x:v>
      </x:c>
      <x:c r="C326" s="21" t="str">
        <x:v>F08-I4</x:v>
      </x:c>
      <x:c r="D326" s="21" t="str">
        <x:v>F08</x:v>
      </x:c>
      <x:c r="E326" s="21" t="n">
        <x:v>10</x:v>
      </x:c>
      <x:c r="F326" s="21" t="str">
        <x:v>Mobilization activation</x:v>
      </x:c>
      <x:c r="G326" s="21" t="n">
        <x:v>28</x:v>
      </x:c>
      <x:c r="H326" s="21" t="str">
        <x:v>Production Release Board</x:v>
      </x:c>
      <x:c r="I326" s="44" t="n">
        <x:f>Lifecycle!G16</x:f>
        <x:v>0.028262731405230914</x:v>
      </x:c>
      <x:c r="J326" s="44" t="n">
        <x:v>0.06999999999999999</x:v>
      </x:c>
      <x:c r="K326" s="44" t="n">
        <x:f>I326*J326</x:f>
        <x:v>0.0019783911983661637</x:v>
      </x:c>
      <x:c r="L326" s="46" t="n">
        <x:v>0</x:v>
      </x:c>
      <x:c r="M326" s="46" t="n">
        <x:v>0</x:v>
      </x:c>
      <x:c r="N326" s="21" t="n">
        <x:f>IF(AND(L325=1,M325=1,P325&gt;0),1,0)</x:f>
        <x:v>0</x:v>
      </x:c>
      <x:c r="O326" s="21" t="n">
        <x:f>MIN('Root Data'!I100:I102)</x:f>
        <x:v>0</x:v>
      </x:c>
      <x:c r="P326" s="44" t="n">
        <x:f>IF(AND(L326=1,M326=1,N326=1,O326&gt;=G326),K326,0)</x:f>
        <x:v>0</x:v>
      </x:c>
      <x:c r="Q326" s="21" t="str">
        <x:v>OPEN</x:v>
      </x:c>
      <x:c r="R326" s="23" t="str">
        <x:v>HOLD</x:v>
      </x:c>
    </x:row>
    <x:row r="327">
      <x:c r="B327" s="21" t="str">
        <x:v>AR-00321</x:v>
      </x:c>
      <x:c r="C327" s="21" t="str">
        <x:v>F09-I1</x:v>
      </x:c>
      <x:c r="D327" s="21" t="str">
        <x:v>F09</x:v>
      </x:c>
      <x:c r="E327" s="21" t="n">
        <x:v>1</x:v>
      </x:c>
      <x:c r="F327" s="21" t="str">
        <x:v>Civil effect charter</x:v>
      </x:c>
      <x:c r="G327" s="21" t="n">
        <x:v>0</x:v>
      </x:c>
      <x:c r="H327" s="21" t="str">
        <x:v>Civil Guarantee Authority</x:v>
      </x:c>
      <x:c r="I327" s="44" t="n">
        <x:f>Lifecycle!G7</x:f>
        <x:v>0.04941036958956453</x:v>
      </x:c>
      <x:c r="J327" s="44" t="n">
        <x:v>0.06999999999999999</x:v>
      </x:c>
      <x:c r="K327" s="44" t="n">
        <x:f>I327*J327</x:f>
        <x:v>0.0034587258712695168</x:v>
      </x:c>
      <x:c r="L327" s="46" t="n">
        <x:v>0</x:v>
      </x:c>
      <x:c r="M327" s="46" t="n">
        <x:v>0</x:v>
      </x:c>
      <x:c r="N327" s="21" t="n">
        <x:f>1</x:f>
        <x:v>1</x:v>
      </x:c>
      <x:c r="O327" s="21" t="n">
        <x:f>MIN('Root Data'!I103:I105)</x:f>
        <x:v>0</x:v>
      </x:c>
      <x:c r="P327" s="44" t="n">
        <x:f>IF(AND(L327=1,M327=1,N327=1,O327&gt;=G327),K327,0)</x:f>
        <x:v>0</x:v>
      </x:c>
      <x:c r="Q327" s="21" t="str">
        <x:v>OPEN</x:v>
      </x:c>
      <x:c r="R327" s="23" t="str">
        <x:v>HOLD</x:v>
      </x:c>
    </x:row>
    <x:row r="328">
      <x:c r="B328" s="21" t="str">
        <x:v>AR-00322</x:v>
      </x:c>
      <x:c r="C328" s="21" t="str">
        <x:v>F09-I1</x:v>
      </x:c>
      <x:c r="D328" s="21" t="str">
        <x:v>F09</x:v>
      </x:c>
      <x:c r="E328" s="21" t="n">
        <x:v>2</x:v>
      </x:c>
      <x:c r="F328" s="21" t="str">
        <x:v>Requirement and root-independence package</x:v>
      </x:c>
      <x:c r="G328" s="21" t="n">
        <x:v>8</x:v>
      </x:c>
      <x:c r="H328" s="21" t="str">
        <x:v>Resilience Staff</x:v>
      </x:c>
      <x:c r="I328" s="44" t="n">
        <x:f>Lifecycle!G8</x:f>
        <x:v>0.10211476381843337</x:v>
      </x:c>
      <x:c r="J328" s="44" t="n">
        <x:v>0.06999999999999999</x:v>
      </x:c>
      <x:c r="K328" s="44" t="n">
        <x:f>I328*J328</x:f>
        <x:v>0.007148033467290336</x:v>
      </x:c>
      <x:c r="L328" s="46" t="n">
        <x:v>0</x:v>
      </x:c>
      <x:c r="M328" s="46" t="n">
        <x:v>0</x:v>
      </x:c>
      <x:c r="N328" s="21" t="n">
        <x:f>IF(AND(L327=1,M327=1,P327&gt;0),1,0)</x:f>
        <x:v>0</x:v>
      </x:c>
      <x:c r="O328" s="21" t="n">
        <x:f>MIN('Root Data'!I103:I105)</x:f>
        <x:v>0</x:v>
      </x:c>
      <x:c r="P328" s="44" t="n">
        <x:f>IF(AND(L328=1,M328=1,N328=1,O328&gt;=G328),K328,0)</x:f>
        <x:v>0</x:v>
      </x:c>
      <x:c r="Q328" s="21" t="str">
        <x:v>OPEN</x:v>
      </x:c>
      <x:c r="R328" s="23" t="str">
        <x:v>HOLD</x:v>
      </x:c>
    </x:row>
    <x:row r="329">
      <x:c r="B329" s="21" t="str">
        <x:v>AR-00323</x:v>
      </x:c>
      <x:c r="C329" s="21" t="str">
        <x:v>F09-I1</x:v>
      </x:c>
      <x:c r="D329" s="21" t="str">
        <x:v>F09</x:v>
      </x:c>
      <x:c r="E329" s="21" t="n">
        <x:v>3</x:v>
      </x:c>
      <x:c r="F329" s="21" t="str">
        <x:v>Architecture and burden closure</x:v>
      </x:c>
      <x:c r="G329" s="21" t="n">
        <x:v>14</x:v>
      </x:c>
      <x:c r="H329" s="21" t="str">
        <x:v>Independent Evidence and Data Authority</x:v>
      </x:c>
      <x:c r="I329" s="44" t="n">
        <x:f>Lifecycle!G9</x:f>
        <x:v>0.08564464062191186</x:v>
      </x:c>
      <x:c r="J329" s="44" t="n">
        <x:v>0.06999999999999999</x:v>
      </x:c>
      <x:c r="K329" s="44" t="n">
        <x:f>I329*J329</x:f>
        <x:v>0.00599512484353383</x:v>
      </x:c>
      <x:c r="L329" s="46" t="n">
        <x:v>0</x:v>
      </x:c>
      <x:c r="M329" s="46" t="n">
        <x:v>0</x:v>
      </x:c>
      <x:c r="N329" s="21" t="n">
        <x:f>IF(AND(L328=1,M328=1,P328&gt;0),1,0)</x:f>
        <x:v>0</x:v>
      </x:c>
      <x:c r="O329" s="21" t="n">
        <x:f>MIN('Root Data'!I103:I105)</x:f>
        <x:v>0</x:v>
      </x:c>
      <x:c r="P329" s="44" t="n">
        <x:f>IF(AND(L329=1,M329=1,N329=1,O329&gt;=G329),K329,0)</x:f>
        <x:v>0</x:v>
      </x:c>
      <x:c r="Q329" s="21" t="str">
        <x:v>OPEN</x:v>
      </x:c>
      <x:c r="R329" s="23" t="str">
        <x:v>HOLD</x:v>
      </x:c>
    </x:row>
    <x:row r="330">
      <x:c r="B330" s="21" t="str">
        <x:v>AR-00324</x:v>
      </x:c>
      <x:c r="C330" s="21" t="str">
        <x:v>F09-I1</x:v>
      </x:c>
      <x:c r="D330" s="21" t="str">
        <x:v>F09</x:v>
      </x:c>
      <x:c r="E330" s="21" t="n">
        <x:v>4</x:v>
      </x:c>
      <x:c r="F330" s="21" t="str">
        <x:v>Engineering article acceptance</x:v>
      </x:c>
      <x:c r="G330" s="21" t="n">
        <x:v>18</x:v>
      </x:c>
      <x:c r="H330" s="21" t="str">
        <x:v>Independent Evidence and Data Authority</x:v>
      </x:c>
      <x:c r="I330" s="44" t="n">
        <x:f>Lifecycle!G10</x:f>
        <x:v>0.05929244350747744</x:v>
      </x:c>
      <x:c r="J330" s="44" t="n">
        <x:v>0.06999999999999999</x:v>
      </x:c>
      <x:c r="K330" s="44" t="n">
        <x:f>I330*J330</x:f>
        <x:v>0.00415047104552342</x:v>
      </x:c>
      <x:c r="L330" s="46" t="n">
        <x:v>0</x:v>
      </x:c>
      <x:c r="M330" s="46" t="n">
        <x:v>0</x:v>
      </x:c>
      <x:c r="N330" s="21" t="n">
        <x:f>IF(AND(L329=1,M329=1,P329&gt;0),1,0)</x:f>
        <x:v>0</x:v>
      </x:c>
      <x:c r="O330" s="21" t="n">
        <x:f>MIN('Root Data'!I103:I105)</x:f>
        <x:v>0</x:v>
      </x:c>
      <x:c r="P330" s="44" t="n">
        <x:f>IF(AND(L330=1,M330=1,N330=1,O330&gt;=G330),K330,0)</x:f>
        <x:v>0</x:v>
      </x:c>
      <x:c r="Q330" s="21" t="str">
        <x:v>OPEN</x:v>
      </x:c>
      <x:c r="R330" s="23" t="str">
        <x:v>HOLD</x:v>
      </x:c>
    </x:row>
    <x:row r="331">
      <x:c r="B331" s="21" t="str">
        <x:v>AR-00325</x:v>
      </x:c>
      <x:c r="C331" s="21" t="str">
        <x:v>F09-I1</x:v>
      </x:c>
      <x:c r="D331" s="21" t="str">
        <x:v>F09</x:v>
      </x:c>
      <x:c r="E331" s="21" t="n">
        <x:v>5</x:v>
      </x:c>
      <x:c r="F331" s="21" t="str">
        <x:v>Qualification and destructive evidence</x:v>
      </x:c>
      <x:c r="G331" s="21" t="n">
        <x:v>21</x:v>
      </x:c>
      <x:c r="H331" s="21" t="str">
        <x:v>Independent Evidence and Data Authority</x:v>
      </x:c>
      <x:c r="I331" s="44" t="n">
        <x:f>Lifecycle!G11</x:f>
        <x:v>0.1515251334079979</x:v>
      </x:c>
      <x:c r="J331" s="44" t="n">
        <x:v>0.06999999999999999</x:v>
      </x:c>
      <x:c r="K331" s="44" t="n">
        <x:f>I331*J331</x:f>
        <x:v>0.01060675933855985</x:v>
      </x:c>
      <x:c r="L331" s="46" t="n">
        <x:v>0</x:v>
      </x:c>
      <x:c r="M331" s="46" t="n">
        <x:v>0</x:v>
      </x:c>
      <x:c r="N331" s="21" t="n">
        <x:f>IF(AND(L330=1,M330=1,P330&gt;0),1,0)</x:f>
        <x:v>0</x:v>
      </x:c>
      <x:c r="O331" s="21" t="n">
        <x:f>MIN('Root Data'!I103:I105)</x:f>
        <x:v>0</x:v>
      </x:c>
      <x:c r="P331" s="44" t="n">
        <x:f>IF(AND(L331=1,M331=1,N331=1,O331&gt;=G331),K331,0)</x:f>
        <x:v>0</x:v>
      </x:c>
      <x:c r="Q331" s="21" t="str">
        <x:v>OPEN</x:v>
      </x:c>
      <x:c r="R331" s="23" t="str">
        <x:v>HOLD</x:v>
      </x:c>
    </x:row>
    <x:row r="332">
      <x:c r="B332" s="21" t="str">
        <x:v>AR-00326</x:v>
      </x:c>
      <x:c r="C332" s="21" t="str">
        <x:v>F09-I1</x:v>
      </x:c>
      <x:c r="D332" s="21" t="str">
        <x:v>F09</x:v>
      </x:c>
      <x:c r="E332" s="21" t="n">
        <x:v>6</x:v>
      </x:c>
      <x:c r="F332" s="21" t="str">
        <x:v>Representative mission result</x:v>
      </x:c>
      <x:c r="G332" s="21" t="n">
        <x:v>23</x:v>
      </x:c>
      <x:c r="H332" s="21" t="str">
        <x:v>Receiving Service Authority</x:v>
      </x:c>
      <x:c r="I332" s="44" t="n">
        <x:f>Lifecycle!G12</x:f>
        <x:v>0.250345872587127</x:v>
      </x:c>
      <x:c r="J332" s="44" t="n">
        <x:v>0.06999999999999999</x:v>
      </x:c>
      <x:c r="K332" s="44" t="n">
        <x:f>I332*J332</x:f>
        <x:v>0.017524211081098886</x:v>
      </x:c>
      <x:c r="L332" s="46" t="n">
        <x:v>0</x:v>
      </x:c>
      <x:c r="M332" s="46" t="n">
        <x:v>0</x:v>
      </x:c>
      <x:c r="N332" s="21" t="n">
        <x:f>IF(AND(L331=1,M331=1,P331&gt;0),1,0)</x:f>
        <x:v>0</x:v>
      </x:c>
      <x:c r="O332" s="21" t="n">
        <x:f>MIN('Root Data'!I103:I105)</x:f>
        <x:v>0</x:v>
      </x:c>
      <x:c r="P332" s="44" t="n">
        <x:f>IF(AND(L332=1,M332=1,N332=1,O332&gt;=G332),K332,0)</x:f>
        <x:v>0</x:v>
      </x:c>
      <x:c r="Q332" s="21" t="str">
        <x:v>OPEN</x:v>
      </x:c>
      <x:c r="R332" s="23" t="str">
        <x:v>HOLD</x:v>
      </x:c>
    </x:row>
    <x:row r="333">
      <x:c r="B333" s="21" t="str">
        <x:v>AR-00327</x:v>
      </x:c>
      <x:c r="C333" s="21" t="str">
        <x:v>F09-I1</x:v>
      </x:c>
      <x:c r="D333" s="21" t="str">
        <x:v>F09</x:v>
      </x:c>
      <x:c r="E333" s="21" t="n">
        <x:v>7</x:v>
      </x:c>
      <x:c r="F333" s="21" t="str">
        <x:v>Independent reproduction</x:v>
      </x:c>
      <x:c r="G333" s="21" t="n">
        <x:v>28</x:v>
      </x:c>
      <x:c r="H333" s="21" t="str">
        <x:v>Independent Evidence and Data Authority</x:v>
      </x:c>
      <x:c r="I333" s="44" t="n">
        <x:f>Lifecycle!G13</x:f>
        <x:v>0.21740562619408393</x:v>
      </x:c>
      <x:c r="J333" s="44" t="n">
        <x:v>0.06999999999999999</x:v>
      </x:c>
      <x:c r="K333" s="44" t="n">
        <x:f>I333*J333</x:f>
        <x:v>0.015218393833585874</x:v>
      </x:c>
      <x:c r="L333" s="46" t="n">
        <x:v>0</x:v>
      </x:c>
      <x:c r="M333" s="46" t="n">
        <x:v>0</x:v>
      </x:c>
      <x:c r="N333" s="21" t="n">
        <x:f>IF(AND(L332=1,M332=1,P332&gt;0),1,0)</x:f>
        <x:v>0</x:v>
      </x:c>
      <x:c r="O333" s="21" t="n">
        <x:f>MIN('Root Data'!I103:I105)</x:f>
        <x:v>0</x:v>
      </x:c>
      <x:c r="P333" s="44" t="n">
        <x:f>IF(AND(L333=1,M333=1,N333=1,O333&gt;=G333),K333,0)</x:f>
        <x:v>0</x:v>
      </x:c>
      <x:c r="Q333" s="21" t="str">
        <x:v>OPEN</x:v>
      </x:c>
      <x:c r="R333" s="23" t="str">
        <x:v>HOLD</x:v>
      </x:c>
    </x:row>
    <x:row r="334">
      <x:c r="B334" s="21" t="str">
        <x:v>AR-00328</x:v>
      </x:c>
      <x:c r="C334" s="21" t="str">
        <x:v>F09-I1</x:v>
      </x:c>
      <x:c r="D334" s="21" t="str">
        <x:v>F09</x:v>
      </x:c>
      <x:c r="E334" s="21" t="n">
        <x:v>8</x:v>
      </x:c>
      <x:c r="F334" s="21" t="str">
        <x:v>Pilot-process qualification</x:v>
      </x:c>
      <x:c r="G334" s="21" t="n">
        <x:v>28</x:v>
      </x:c>
      <x:c r="H334" s="21" t="str">
        <x:v>AIMC Industrial Mobilization Authority</x:v>
      </x:c>
      <x:c r="I334" s="44" t="n">
        <x:f>Lifecycle!G14</x:f>
        <x:v>0.03952829567165163</x:v>
      </x:c>
      <x:c r="J334" s="44" t="n">
        <x:v>0.06999999999999999</x:v>
      </x:c>
      <x:c r="K334" s="44" t="n">
        <x:f>I334*J334</x:f>
        <x:v>0.0027669806970156137</x:v>
      </x:c>
      <x:c r="L334" s="46" t="n">
        <x:v>0</x:v>
      </x:c>
      <x:c r="M334" s="46" t="n">
        <x:v>0</x:v>
      </x:c>
      <x:c r="N334" s="21" t="n">
        <x:f>IF(AND(L333=1,M333=1,P333&gt;0),1,0)</x:f>
        <x:v>0</x:v>
      </x:c>
      <x:c r="O334" s="21" t="n">
        <x:f>MIN('Root Data'!I103:I105)</x:f>
        <x:v>0</x:v>
      </x:c>
      <x:c r="P334" s="44" t="n">
        <x:f>IF(AND(L334=1,M334=1,N334=1,O334&gt;=G334),K334,0)</x:f>
        <x:v>0</x:v>
      </x:c>
      <x:c r="Q334" s="21" t="str">
        <x:v>OPEN</x:v>
      </x:c>
      <x:c r="R334" s="23" t="str">
        <x:v>HOLD</x:v>
      </x:c>
    </x:row>
    <x:row r="335">
      <x:c r="B335" s="21" t="str">
        <x:v>AR-00329</x:v>
      </x:c>
      <x:c r="C335" s="21" t="str">
        <x:v>F09-I1</x:v>
      </x:c>
      <x:c r="D335" s="21" t="str">
        <x:v>F09</x:v>
      </x:c>
      <x:c r="E335" s="21" t="n">
        <x:v>9</x:v>
      </x:c>
      <x:c r="F335" s="21" t="str">
        <x:v>Production release package</x:v>
      </x:c>
      <x:c r="G335" s="21" t="n">
        <x:v>28</x:v>
      </x:c>
      <x:c r="H335" s="21" t="str">
        <x:v>Production Release Board</x:v>
      </x:c>
      <x:c r="I335" s="44" t="n">
        <x:f>Lifecycle!G15</x:f>
        <x:v>0.01647012319652151</x:v>
      </x:c>
      <x:c r="J335" s="44" t="n">
        <x:v>0.06999999999999999</x:v>
      </x:c>
      <x:c r="K335" s="44" t="n">
        <x:f>I335*J335</x:f>
        <x:v>0.0011529086237565057</x:v>
      </x:c>
      <x:c r="L335" s="46" t="n">
        <x:v>0</x:v>
      </x:c>
      <x:c r="M335" s="46" t="n">
        <x:v>0</x:v>
      </x:c>
      <x:c r="N335" s="21" t="n">
        <x:f>IF(AND(L334=1,M334=1,P334&gt;0),1,0)</x:f>
        <x:v>0</x:v>
      </x:c>
      <x:c r="O335" s="21" t="n">
        <x:f>MIN('Root Data'!I103:I105)</x:f>
        <x:v>0</x:v>
      </x:c>
      <x:c r="P335" s="44" t="n">
        <x:f>IF(AND(L335=1,M335=1,N335=1,O335&gt;=G335),K335,0)</x:f>
        <x:v>0</x:v>
      </x:c>
      <x:c r="Q335" s="21" t="str">
        <x:v>OPEN</x:v>
      </x:c>
      <x:c r="R335" s="23" t="str">
        <x:v>HOLD</x:v>
      </x:c>
    </x:row>
    <x:row r="336">
      <x:c r="B336" s="21" t="str">
        <x:v>AR-00330</x:v>
      </x:c>
      <x:c r="C336" s="21" t="str">
        <x:v>F09-I1</x:v>
      </x:c>
      <x:c r="D336" s="21" t="str">
        <x:v>F09</x:v>
      </x:c>
      <x:c r="E336" s="21" t="n">
        <x:v>10</x:v>
      </x:c>
      <x:c r="F336" s="21" t="str">
        <x:v>Mobilization activation</x:v>
      </x:c>
      <x:c r="G336" s="21" t="n">
        <x:v>28</x:v>
      </x:c>
      <x:c r="H336" s="21" t="str">
        <x:v>Production Release Board</x:v>
      </x:c>
      <x:c r="I336" s="44" t="n">
        <x:f>Lifecycle!G16</x:f>
        <x:v>0.028262731405230914</x:v>
      </x:c>
      <x:c r="J336" s="44" t="n">
        <x:v>0.06999999999999999</x:v>
      </x:c>
      <x:c r="K336" s="44" t="n">
        <x:f>I336*J336</x:f>
        <x:v>0.0019783911983661637</x:v>
      </x:c>
      <x:c r="L336" s="46" t="n">
        <x:v>0</x:v>
      </x:c>
      <x:c r="M336" s="46" t="n">
        <x:v>0</x:v>
      </x:c>
      <x:c r="N336" s="21" t="n">
        <x:f>IF(AND(L335=1,M335=1,P335&gt;0),1,0)</x:f>
        <x:v>0</x:v>
      </x:c>
      <x:c r="O336" s="21" t="n">
        <x:f>MIN('Root Data'!I103:I105)</x:f>
        <x:v>0</x:v>
      </x:c>
      <x:c r="P336" s="44" t="n">
        <x:f>IF(AND(L336=1,M336=1,N336=1,O336&gt;=G336),K336,0)</x:f>
        <x:v>0</x:v>
      </x:c>
      <x:c r="Q336" s="21" t="str">
        <x:v>OPEN</x:v>
      </x:c>
      <x:c r="R336" s="23" t="str">
        <x:v>HOLD</x:v>
      </x:c>
    </x:row>
    <x:row r="337">
      <x:c r="B337" s="21" t="str">
        <x:v>AR-00331</x:v>
      </x:c>
      <x:c r="C337" s="21" t="str">
        <x:v>F09-I2</x:v>
      </x:c>
      <x:c r="D337" s="21" t="str">
        <x:v>F09</x:v>
      </x:c>
      <x:c r="E337" s="21" t="n">
        <x:v>1</x:v>
      </x:c>
      <x:c r="F337" s="21" t="str">
        <x:v>Civil effect charter</x:v>
      </x:c>
      <x:c r="G337" s="21" t="n">
        <x:v>0</x:v>
      </x:c>
      <x:c r="H337" s="21" t="str">
        <x:v>Civil Guarantee Authority</x:v>
      </x:c>
      <x:c r="I337" s="44" t="n">
        <x:f>Lifecycle!G7</x:f>
        <x:v>0.04941036958956453</x:v>
      </x:c>
      <x:c r="J337" s="44" t="n">
        <x:v>0.06999999999999999</x:v>
      </x:c>
      <x:c r="K337" s="44" t="n">
        <x:f>I337*J337</x:f>
        <x:v>0.0034587258712695168</x:v>
      </x:c>
      <x:c r="L337" s="46" t="n">
        <x:v>0</x:v>
      </x:c>
      <x:c r="M337" s="46" t="n">
        <x:v>0</x:v>
      </x:c>
      <x:c r="N337" s="21" t="n">
        <x:f>1</x:f>
        <x:v>1</x:v>
      </x:c>
      <x:c r="O337" s="21" t="n">
        <x:f>MIN('Root Data'!I106:I108)</x:f>
        <x:v>0</x:v>
      </x:c>
      <x:c r="P337" s="44" t="n">
        <x:f>IF(AND(L337=1,M337=1,N337=1,O337&gt;=G337),K337,0)</x:f>
        <x:v>0</x:v>
      </x:c>
      <x:c r="Q337" s="21" t="str">
        <x:v>OPEN</x:v>
      </x:c>
      <x:c r="R337" s="23" t="str">
        <x:v>HOLD</x:v>
      </x:c>
    </x:row>
    <x:row r="338">
      <x:c r="B338" s="21" t="str">
        <x:v>AR-00332</x:v>
      </x:c>
      <x:c r="C338" s="21" t="str">
        <x:v>F09-I2</x:v>
      </x:c>
      <x:c r="D338" s="21" t="str">
        <x:v>F09</x:v>
      </x:c>
      <x:c r="E338" s="21" t="n">
        <x:v>2</x:v>
      </x:c>
      <x:c r="F338" s="21" t="str">
        <x:v>Requirement and root-independence package</x:v>
      </x:c>
      <x:c r="G338" s="21" t="n">
        <x:v>8</x:v>
      </x:c>
      <x:c r="H338" s="21" t="str">
        <x:v>Resilience Staff</x:v>
      </x:c>
      <x:c r="I338" s="44" t="n">
        <x:f>Lifecycle!G8</x:f>
        <x:v>0.10211476381843337</x:v>
      </x:c>
      <x:c r="J338" s="44" t="n">
        <x:v>0.06999999999999999</x:v>
      </x:c>
      <x:c r="K338" s="44" t="n">
        <x:f>I338*J338</x:f>
        <x:v>0.007148033467290336</x:v>
      </x:c>
      <x:c r="L338" s="46" t="n">
        <x:v>0</x:v>
      </x:c>
      <x:c r="M338" s="46" t="n">
        <x:v>0</x:v>
      </x:c>
      <x:c r="N338" s="21" t="n">
        <x:f>IF(AND(L337=1,M337=1,P337&gt;0),1,0)</x:f>
        <x:v>0</x:v>
      </x:c>
      <x:c r="O338" s="21" t="n">
        <x:f>MIN('Root Data'!I106:I108)</x:f>
        <x:v>0</x:v>
      </x:c>
      <x:c r="P338" s="44" t="n">
        <x:f>IF(AND(L338=1,M338=1,N338=1,O338&gt;=G338),K338,0)</x:f>
        <x:v>0</x:v>
      </x:c>
      <x:c r="Q338" s="21" t="str">
        <x:v>OPEN</x:v>
      </x:c>
      <x:c r="R338" s="23" t="str">
        <x:v>HOLD</x:v>
      </x:c>
    </x:row>
    <x:row r="339">
      <x:c r="B339" s="21" t="str">
        <x:v>AR-00333</x:v>
      </x:c>
      <x:c r="C339" s="21" t="str">
        <x:v>F09-I2</x:v>
      </x:c>
      <x:c r="D339" s="21" t="str">
        <x:v>F09</x:v>
      </x:c>
      <x:c r="E339" s="21" t="n">
        <x:v>3</x:v>
      </x:c>
      <x:c r="F339" s="21" t="str">
        <x:v>Architecture and burden closure</x:v>
      </x:c>
      <x:c r="G339" s="21" t="n">
        <x:v>14</x:v>
      </x:c>
      <x:c r="H339" s="21" t="str">
        <x:v>Independent Evidence and Data Authority</x:v>
      </x:c>
      <x:c r="I339" s="44" t="n">
        <x:f>Lifecycle!G9</x:f>
        <x:v>0.08564464062191186</x:v>
      </x:c>
      <x:c r="J339" s="44" t="n">
        <x:v>0.06999999999999999</x:v>
      </x:c>
      <x:c r="K339" s="44" t="n">
        <x:f>I339*J339</x:f>
        <x:v>0.00599512484353383</x:v>
      </x:c>
      <x:c r="L339" s="46" t="n">
        <x:v>0</x:v>
      </x:c>
      <x:c r="M339" s="46" t="n">
        <x:v>0</x:v>
      </x:c>
      <x:c r="N339" s="21" t="n">
        <x:f>IF(AND(L338=1,M338=1,P338&gt;0),1,0)</x:f>
        <x:v>0</x:v>
      </x:c>
      <x:c r="O339" s="21" t="n">
        <x:f>MIN('Root Data'!I106:I108)</x:f>
        <x:v>0</x:v>
      </x:c>
      <x:c r="P339" s="44" t="n">
        <x:f>IF(AND(L339=1,M339=1,N339=1,O339&gt;=G339),K339,0)</x:f>
        <x:v>0</x:v>
      </x:c>
      <x:c r="Q339" s="21" t="str">
        <x:v>OPEN</x:v>
      </x:c>
      <x:c r="R339" s="23" t="str">
        <x:v>HOLD</x:v>
      </x:c>
    </x:row>
    <x:row r="340">
      <x:c r="B340" s="21" t="str">
        <x:v>AR-00334</x:v>
      </x:c>
      <x:c r="C340" s="21" t="str">
        <x:v>F09-I2</x:v>
      </x:c>
      <x:c r="D340" s="21" t="str">
        <x:v>F09</x:v>
      </x:c>
      <x:c r="E340" s="21" t="n">
        <x:v>4</x:v>
      </x:c>
      <x:c r="F340" s="21" t="str">
        <x:v>Engineering article acceptance</x:v>
      </x:c>
      <x:c r="G340" s="21" t="n">
        <x:v>18</x:v>
      </x:c>
      <x:c r="H340" s="21" t="str">
        <x:v>Independent Evidence and Data Authority</x:v>
      </x:c>
      <x:c r="I340" s="44" t="n">
        <x:f>Lifecycle!G10</x:f>
        <x:v>0.05929244350747744</x:v>
      </x:c>
      <x:c r="J340" s="44" t="n">
        <x:v>0.06999999999999999</x:v>
      </x:c>
      <x:c r="K340" s="44" t="n">
        <x:f>I340*J340</x:f>
        <x:v>0.00415047104552342</x:v>
      </x:c>
      <x:c r="L340" s="46" t="n">
        <x:v>0</x:v>
      </x:c>
      <x:c r="M340" s="46" t="n">
        <x:v>0</x:v>
      </x:c>
      <x:c r="N340" s="21" t="n">
        <x:f>IF(AND(L339=1,M339=1,P339&gt;0),1,0)</x:f>
        <x:v>0</x:v>
      </x:c>
      <x:c r="O340" s="21" t="n">
        <x:f>MIN('Root Data'!I106:I108)</x:f>
        <x:v>0</x:v>
      </x:c>
      <x:c r="P340" s="44" t="n">
        <x:f>IF(AND(L340=1,M340=1,N340=1,O340&gt;=G340),K340,0)</x:f>
        <x:v>0</x:v>
      </x:c>
      <x:c r="Q340" s="21" t="str">
        <x:v>OPEN</x:v>
      </x:c>
      <x:c r="R340" s="23" t="str">
        <x:v>HOLD</x:v>
      </x:c>
    </x:row>
    <x:row r="341">
      <x:c r="B341" s="21" t="str">
        <x:v>AR-00335</x:v>
      </x:c>
      <x:c r="C341" s="21" t="str">
        <x:v>F09-I2</x:v>
      </x:c>
      <x:c r="D341" s="21" t="str">
        <x:v>F09</x:v>
      </x:c>
      <x:c r="E341" s="21" t="n">
        <x:v>5</x:v>
      </x:c>
      <x:c r="F341" s="21" t="str">
        <x:v>Qualification and destructive evidence</x:v>
      </x:c>
      <x:c r="G341" s="21" t="n">
        <x:v>21</x:v>
      </x:c>
      <x:c r="H341" s="21" t="str">
        <x:v>Independent Evidence and Data Authority</x:v>
      </x:c>
      <x:c r="I341" s="44" t="n">
        <x:f>Lifecycle!G11</x:f>
        <x:v>0.1515251334079979</x:v>
      </x:c>
      <x:c r="J341" s="44" t="n">
        <x:v>0.06999999999999999</x:v>
      </x:c>
      <x:c r="K341" s="44" t="n">
        <x:f>I341*J341</x:f>
        <x:v>0.01060675933855985</x:v>
      </x:c>
      <x:c r="L341" s="46" t="n">
        <x:v>0</x:v>
      </x:c>
      <x:c r="M341" s="46" t="n">
        <x:v>0</x:v>
      </x:c>
      <x:c r="N341" s="21" t="n">
        <x:f>IF(AND(L340=1,M340=1,P340&gt;0),1,0)</x:f>
        <x:v>0</x:v>
      </x:c>
      <x:c r="O341" s="21" t="n">
        <x:f>MIN('Root Data'!I106:I108)</x:f>
        <x:v>0</x:v>
      </x:c>
      <x:c r="P341" s="44" t="n">
        <x:f>IF(AND(L341=1,M341=1,N341=1,O341&gt;=G341),K341,0)</x:f>
        <x:v>0</x:v>
      </x:c>
      <x:c r="Q341" s="21" t="str">
        <x:v>OPEN</x:v>
      </x:c>
      <x:c r="R341" s="23" t="str">
        <x:v>HOLD</x:v>
      </x:c>
    </x:row>
    <x:row r="342">
      <x:c r="B342" s="21" t="str">
        <x:v>AR-00336</x:v>
      </x:c>
      <x:c r="C342" s="21" t="str">
        <x:v>F09-I2</x:v>
      </x:c>
      <x:c r="D342" s="21" t="str">
        <x:v>F09</x:v>
      </x:c>
      <x:c r="E342" s="21" t="n">
        <x:v>6</x:v>
      </x:c>
      <x:c r="F342" s="21" t="str">
        <x:v>Representative mission result</x:v>
      </x:c>
      <x:c r="G342" s="21" t="n">
        <x:v>23</x:v>
      </x:c>
      <x:c r="H342" s="21" t="str">
        <x:v>Receiving Service Authority</x:v>
      </x:c>
      <x:c r="I342" s="44" t="n">
        <x:f>Lifecycle!G12</x:f>
        <x:v>0.250345872587127</x:v>
      </x:c>
      <x:c r="J342" s="44" t="n">
        <x:v>0.06999999999999999</x:v>
      </x:c>
      <x:c r="K342" s="44" t="n">
        <x:f>I342*J342</x:f>
        <x:v>0.017524211081098886</x:v>
      </x:c>
      <x:c r="L342" s="46" t="n">
        <x:v>0</x:v>
      </x:c>
      <x:c r="M342" s="46" t="n">
        <x:v>0</x:v>
      </x:c>
      <x:c r="N342" s="21" t="n">
        <x:f>IF(AND(L341=1,M341=1,P341&gt;0),1,0)</x:f>
        <x:v>0</x:v>
      </x:c>
      <x:c r="O342" s="21" t="n">
        <x:f>MIN('Root Data'!I106:I108)</x:f>
        <x:v>0</x:v>
      </x:c>
      <x:c r="P342" s="44" t="n">
        <x:f>IF(AND(L342=1,M342=1,N342=1,O342&gt;=G342),K342,0)</x:f>
        <x:v>0</x:v>
      </x:c>
      <x:c r="Q342" s="21" t="str">
        <x:v>OPEN</x:v>
      </x:c>
      <x:c r="R342" s="23" t="str">
        <x:v>HOLD</x:v>
      </x:c>
    </x:row>
    <x:row r="343">
      <x:c r="B343" s="21" t="str">
        <x:v>AR-00337</x:v>
      </x:c>
      <x:c r="C343" s="21" t="str">
        <x:v>F09-I2</x:v>
      </x:c>
      <x:c r="D343" s="21" t="str">
        <x:v>F09</x:v>
      </x:c>
      <x:c r="E343" s="21" t="n">
        <x:v>7</x:v>
      </x:c>
      <x:c r="F343" s="21" t="str">
        <x:v>Independent reproduction</x:v>
      </x:c>
      <x:c r="G343" s="21" t="n">
        <x:v>28</x:v>
      </x:c>
      <x:c r="H343" s="21" t="str">
        <x:v>Independent Evidence and Data Authority</x:v>
      </x:c>
      <x:c r="I343" s="44" t="n">
        <x:f>Lifecycle!G13</x:f>
        <x:v>0.21740562619408393</x:v>
      </x:c>
      <x:c r="J343" s="44" t="n">
        <x:v>0.06999999999999999</x:v>
      </x:c>
      <x:c r="K343" s="44" t="n">
        <x:f>I343*J343</x:f>
        <x:v>0.015218393833585874</x:v>
      </x:c>
      <x:c r="L343" s="46" t="n">
        <x:v>0</x:v>
      </x:c>
      <x:c r="M343" s="46" t="n">
        <x:v>0</x:v>
      </x:c>
      <x:c r="N343" s="21" t="n">
        <x:f>IF(AND(L342=1,M342=1,P342&gt;0),1,0)</x:f>
        <x:v>0</x:v>
      </x:c>
      <x:c r="O343" s="21" t="n">
        <x:f>MIN('Root Data'!I106:I108)</x:f>
        <x:v>0</x:v>
      </x:c>
      <x:c r="P343" s="44" t="n">
        <x:f>IF(AND(L343=1,M343=1,N343=1,O343&gt;=G343),K343,0)</x:f>
        <x:v>0</x:v>
      </x:c>
      <x:c r="Q343" s="21" t="str">
        <x:v>OPEN</x:v>
      </x:c>
      <x:c r="R343" s="23" t="str">
        <x:v>HOLD</x:v>
      </x:c>
    </x:row>
    <x:row r="344">
      <x:c r="B344" s="21" t="str">
        <x:v>AR-00338</x:v>
      </x:c>
      <x:c r="C344" s="21" t="str">
        <x:v>F09-I2</x:v>
      </x:c>
      <x:c r="D344" s="21" t="str">
        <x:v>F09</x:v>
      </x:c>
      <x:c r="E344" s="21" t="n">
        <x:v>8</x:v>
      </x:c>
      <x:c r="F344" s="21" t="str">
        <x:v>Pilot-process qualification</x:v>
      </x:c>
      <x:c r="G344" s="21" t="n">
        <x:v>28</x:v>
      </x:c>
      <x:c r="H344" s="21" t="str">
        <x:v>AIMC Industrial Mobilization Authority</x:v>
      </x:c>
      <x:c r="I344" s="44" t="n">
        <x:f>Lifecycle!G14</x:f>
        <x:v>0.03952829567165163</x:v>
      </x:c>
      <x:c r="J344" s="44" t="n">
        <x:v>0.06999999999999999</x:v>
      </x:c>
      <x:c r="K344" s="44" t="n">
        <x:f>I344*J344</x:f>
        <x:v>0.0027669806970156137</x:v>
      </x:c>
      <x:c r="L344" s="46" t="n">
        <x:v>0</x:v>
      </x:c>
      <x:c r="M344" s="46" t="n">
        <x:v>0</x:v>
      </x:c>
      <x:c r="N344" s="21" t="n">
        <x:f>IF(AND(L343=1,M343=1,P343&gt;0),1,0)</x:f>
        <x:v>0</x:v>
      </x:c>
      <x:c r="O344" s="21" t="n">
        <x:f>MIN('Root Data'!I106:I108)</x:f>
        <x:v>0</x:v>
      </x:c>
      <x:c r="P344" s="44" t="n">
        <x:f>IF(AND(L344=1,M344=1,N344=1,O344&gt;=G344),K344,0)</x:f>
        <x:v>0</x:v>
      </x:c>
      <x:c r="Q344" s="21" t="str">
        <x:v>OPEN</x:v>
      </x:c>
      <x:c r="R344" s="23" t="str">
        <x:v>HOLD</x:v>
      </x:c>
    </x:row>
    <x:row r="345">
      <x:c r="B345" s="21" t="str">
        <x:v>AR-00339</x:v>
      </x:c>
      <x:c r="C345" s="21" t="str">
        <x:v>F09-I2</x:v>
      </x:c>
      <x:c r="D345" s="21" t="str">
        <x:v>F09</x:v>
      </x:c>
      <x:c r="E345" s="21" t="n">
        <x:v>9</x:v>
      </x:c>
      <x:c r="F345" s="21" t="str">
        <x:v>Production release package</x:v>
      </x:c>
      <x:c r="G345" s="21" t="n">
        <x:v>28</x:v>
      </x:c>
      <x:c r="H345" s="21" t="str">
        <x:v>Production Release Board</x:v>
      </x:c>
      <x:c r="I345" s="44" t="n">
        <x:f>Lifecycle!G15</x:f>
        <x:v>0.01647012319652151</x:v>
      </x:c>
      <x:c r="J345" s="44" t="n">
        <x:v>0.06999999999999999</x:v>
      </x:c>
      <x:c r="K345" s="44" t="n">
        <x:f>I345*J345</x:f>
        <x:v>0.0011529086237565057</x:v>
      </x:c>
      <x:c r="L345" s="46" t="n">
        <x:v>0</x:v>
      </x:c>
      <x:c r="M345" s="46" t="n">
        <x:v>0</x:v>
      </x:c>
      <x:c r="N345" s="21" t="n">
        <x:f>IF(AND(L344=1,M344=1,P344&gt;0),1,0)</x:f>
        <x:v>0</x:v>
      </x:c>
      <x:c r="O345" s="21" t="n">
        <x:f>MIN('Root Data'!I106:I108)</x:f>
        <x:v>0</x:v>
      </x:c>
      <x:c r="P345" s="44" t="n">
        <x:f>IF(AND(L345=1,M345=1,N345=1,O345&gt;=G345),K345,0)</x:f>
        <x:v>0</x:v>
      </x:c>
      <x:c r="Q345" s="21" t="str">
        <x:v>OPEN</x:v>
      </x:c>
      <x:c r="R345" s="23" t="str">
        <x:v>HOLD</x:v>
      </x:c>
    </x:row>
    <x:row r="346">
      <x:c r="B346" s="21" t="str">
        <x:v>AR-00340</x:v>
      </x:c>
      <x:c r="C346" s="21" t="str">
        <x:v>F09-I2</x:v>
      </x:c>
      <x:c r="D346" s="21" t="str">
        <x:v>F09</x:v>
      </x:c>
      <x:c r="E346" s="21" t="n">
        <x:v>10</x:v>
      </x:c>
      <x:c r="F346" s="21" t="str">
        <x:v>Mobilization activation</x:v>
      </x:c>
      <x:c r="G346" s="21" t="n">
        <x:v>28</x:v>
      </x:c>
      <x:c r="H346" s="21" t="str">
        <x:v>Production Release Board</x:v>
      </x:c>
      <x:c r="I346" s="44" t="n">
        <x:f>Lifecycle!G16</x:f>
        <x:v>0.028262731405230914</x:v>
      </x:c>
      <x:c r="J346" s="44" t="n">
        <x:v>0.06999999999999999</x:v>
      </x:c>
      <x:c r="K346" s="44" t="n">
        <x:f>I346*J346</x:f>
        <x:v>0.0019783911983661637</x:v>
      </x:c>
      <x:c r="L346" s="46" t="n">
        <x:v>0</x:v>
      </x:c>
      <x:c r="M346" s="46" t="n">
        <x:v>0</x:v>
      </x:c>
      <x:c r="N346" s="21" t="n">
        <x:f>IF(AND(L345=1,M345=1,P345&gt;0),1,0)</x:f>
        <x:v>0</x:v>
      </x:c>
      <x:c r="O346" s="21" t="n">
        <x:f>MIN('Root Data'!I106:I108)</x:f>
        <x:v>0</x:v>
      </x:c>
      <x:c r="P346" s="44" t="n">
        <x:f>IF(AND(L346=1,M346=1,N346=1,O346&gt;=G346),K346,0)</x:f>
        <x:v>0</x:v>
      </x:c>
      <x:c r="Q346" s="21" t="str">
        <x:v>OPEN</x:v>
      </x:c>
      <x:c r="R346" s="23" t="str">
        <x:v>HOLD</x:v>
      </x:c>
    </x:row>
    <x:row r="347">
      <x:c r="B347" s="21" t="str">
        <x:v>AR-00341</x:v>
      </x:c>
      <x:c r="C347" s="21" t="str">
        <x:v>F09-I3</x:v>
      </x:c>
      <x:c r="D347" s="21" t="str">
        <x:v>F09</x:v>
      </x:c>
      <x:c r="E347" s="21" t="n">
        <x:v>1</x:v>
      </x:c>
      <x:c r="F347" s="21" t="str">
        <x:v>Civil effect charter</x:v>
      </x:c>
      <x:c r="G347" s="21" t="n">
        <x:v>0</x:v>
      </x:c>
      <x:c r="H347" s="21" t="str">
        <x:v>Civil Guarantee Authority</x:v>
      </x:c>
      <x:c r="I347" s="44" t="n">
        <x:f>Lifecycle!G7</x:f>
        <x:v>0.04941036958956453</x:v>
      </x:c>
      <x:c r="J347" s="44" t="n">
        <x:v>0.06999999999999999</x:v>
      </x:c>
      <x:c r="K347" s="44" t="n">
        <x:f>I347*J347</x:f>
        <x:v>0.0034587258712695168</x:v>
      </x:c>
      <x:c r="L347" s="46" t="n">
        <x:v>0</x:v>
      </x:c>
      <x:c r="M347" s="46" t="n">
        <x:v>0</x:v>
      </x:c>
      <x:c r="N347" s="21" t="n">
        <x:f>1</x:f>
        <x:v>1</x:v>
      </x:c>
      <x:c r="O347" s="21" t="n">
        <x:f>MIN('Root Data'!I109:I111)</x:f>
        <x:v>0</x:v>
      </x:c>
      <x:c r="P347" s="44" t="n">
        <x:f>IF(AND(L347=1,M347=1,N347=1,O347&gt;=G347),K347,0)</x:f>
        <x:v>0</x:v>
      </x:c>
      <x:c r="Q347" s="21" t="str">
        <x:v>OPEN</x:v>
      </x:c>
      <x:c r="R347" s="23" t="str">
        <x:v>HOLD</x:v>
      </x:c>
    </x:row>
    <x:row r="348">
      <x:c r="B348" s="21" t="str">
        <x:v>AR-00342</x:v>
      </x:c>
      <x:c r="C348" s="21" t="str">
        <x:v>F09-I3</x:v>
      </x:c>
      <x:c r="D348" s="21" t="str">
        <x:v>F09</x:v>
      </x:c>
      <x:c r="E348" s="21" t="n">
        <x:v>2</x:v>
      </x:c>
      <x:c r="F348" s="21" t="str">
        <x:v>Requirement and root-independence package</x:v>
      </x:c>
      <x:c r="G348" s="21" t="n">
        <x:v>8</x:v>
      </x:c>
      <x:c r="H348" s="21" t="str">
        <x:v>Resilience Staff</x:v>
      </x:c>
      <x:c r="I348" s="44" t="n">
        <x:f>Lifecycle!G8</x:f>
        <x:v>0.10211476381843337</x:v>
      </x:c>
      <x:c r="J348" s="44" t="n">
        <x:v>0.06999999999999999</x:v>
      </x:c>
      <x:c r="K348" s="44" t="n">
        <x:f>I348*J348</x:f>
        <x:v>0.007148033467290336</x:v>
      </x:c>
      <x:c r="L348" s="46" t="n">
        <x:v>0</x:v>
      </x:c>
      <x:c r="M348" s="46" t="n">
        <x:v>0</x:v>
      </x:c>
      <x:c r="N348" s="21" t="n">
        <x:f>IF(AND(L347=1,M347=1,P347&gt;0),1,0)</x:f>
        <x:v>0</x:v>
      </x:c>
      <x:c r="O348" s="21" t="n">
        <x:f>MIN('Root Data'!I109:I111)</x:f>
        <x:v>0</x:v>
      </x:c>
      <x:c r="P348" s="44" t="n">
        <x:f>IF(AND(L348=1,M348=1,N348=1,O348&gt;=G348),K348,0)</x:f>
        <x:v>0</x:v>
      </x:c>
      <x:c r="Q348" s="21" t="str">
        <x:v>OPEN</x:v>
      </x:c>
      <x:c r="R348" s="23" t="str">
        <x:v>HOLD</x:v>
      </x:c>
    </x:row>
    <x:row r="349">
      <x:c r="B349" s="21" t="str">
        <x:v>AR-00343</x:v>
      </x:c>
      <x:c r="C349" s="21" t="str">
        <x:v>F09-I3</x:v>
      </x:c>
      <x:c r="D349" s="21" t="str">
        <x:v>F09</x:v>
      </x:c>
      <x:c r="E349" s="21" t="n">
        <x:v>3</x:v>
      </x:c>
      <x:c r="F349" s="21" t="str">
        <x:v>Architecture and burden closure</x:v>
      </x:c>
      <x:c r="G349" s="21" t="n">
        <x:v>14</x:v>
      </x:c>
      <x:c r="H349" s="21" t="str">
        <x:v>Independent Evidence and Data Authority</x:v>
      </x:c>
      <x:c r="I349" s="44" t="n">
        <x:f>Lifecycle!G9</x:f>
        <x:v>0.08564464062191186</x:v>
      </x:c>
      <x:c r="J349" s="44" t="n">
        <x:v>0.06999999999999999</x:v>
      </x:c>
      <x:c r="K349" s="44" t="n">
        <x:f>I349*J349</x:f>
        <x:v>0.00599512484353383</x:v>
      </x:c>
      <x:c r="L349" s="46" t="n">
        <x:v>0</x:v>
      </x:c>
      <x:c r="M349" s="46" t="n">
        <x:v>0</x:v>
      </x:c>
      <x:c r="N349" s="21" t="n">
        <x:f>IF(AND(L348=1,M348=1,P348&gt;0),1,0)</x:f>
        <x:v>0</x:v>
      </x:c>
      <x:c r="O349" s="21" t="n">
        <x:f>MIN('Root Data'!I109:I111)</x:f>
        <x:v>0</x:v>
      </x:c>
      <x:c r="P349" s="44" t="n">
        <x:f>IF(AND(L349=1,M349=1,N349=1,O349&gt;=G349),K349,0)</x:f>
        <x:v>0</x:v>
      </x:c>
      <x:c r="Q349" s="21" t="str">
        <x:v>OPEN</x:v>
      </x:c>
      <x:c r="R349" s="23" t="str">
        <x:v>HOLD</x:v>
      </x:c>
    </x:row>
    <x:row r="350">
      <x:c r="B350" s="21" t="str">
        <x:v>AR-00344</x:v>
      </x:c>
      <x:c r="C350" s="21" t="str">
        <x:v>F09-I3</x:v>
      </x:c>
      <x:c r="D350" s="21" t="str">
        <x:v>F09</x:v>
      </x:c>
      <x:c r="E350" s="21" t="n">
        <x:v>4</x:v>
      </x:c>
      <x:c r="F350" s="21" t="str">
        <x:v>Engineering article acceptance</x:v>
      </x:c>
      <x:c r="G350" s="21" t="n">
        <x:v>18</x:v>
      </x:c>
      <x:c r="H350" s="21" t="str">
        <x:v>Independent Evidence and Data Authority</x:v>
      </x:c>
      <x:c r="I350" s="44" t="n">
        <x:f>Lifecycle!G10</x:f>
        <x:v>0.05929244350747744</x:v>
      </x:c>
      <x:c r="J350" s="44" t="n">
        <x:v>0.06999999999999999</x:v>
      </x:c>
      <x:c r="K350" s="44" t="n">
        <x:f>I350*J350</x:f>
        <x:v>0.00415047104552342</x:v>
      </x:c>
      <x:c r="L350" s="46" t="n">
        <x:v>0</x:v>
      </x:c>
      <x:c r="M350" s="46" t="n">
        <x:v>0</x:v>
      </x:c>
      <x:c r="N350" s="21" t="n">
        <x:f>IF(AND(L349=1,M349=1,P349&gt;0),1,0)</x:f>
        <x:v>0</x:v>
      </x:c>
      <x:c r="O350" s="21" t="n">
        <x:f>MIN('Root Data'!I109:I111)</x:f>
        <x:v>0</x:v>
      </x:c>
      <x:c r="P350" s="44" t="n">
        <x:f>IF(AND(L350=1,M350=1,N350=1,O350&gt;=G350),K350,0)</x:f>
        <x:v>0</x:v>
      </x:c>
      <x:c r="Q350" s="21" t="str">
        <x:v>OPEN</x:v>
      </x:c>
      <x:c r="R350" s="23" t="str">
        <x:v>HOLD</x:v>
      </x:c>
    </x:row>
    <x:row r="351">
      <x:c r="B351" s="21" t="str">
        <x:v>AR-00345</x:v>
      </x:c>
      <x:c r="C351" s="21" t="str">
        <x:v>F09-I3</x:v>
      </x:c>
      <x:c r="D351" s="21" t="str">
        <x:v>F09</x:v>
      </x:c>
      <x:c r="E351" s="21" t="n">
        <x:v>5</x:v>
      </x:c>
      <x:c r="F351" s="21" t="str">
        <x:v>Qualification and destructive evidence</x:v>
      </x:c>
      <x:c r="G351" s="21" t="n">
        <x:v>21</x:v>
      </x:c>
      <x:c r="H351" s="21" t="str">
        <x:v>Independent Evidence and Data Authority</x:v>
      </x:c>
      <x:c r="I351" s="44" t="n">
        <x:f>Lifecycle!G11</x:f>
        <x:v>0.1515251334079979</x:v>
      </x:c>
      <x:c r="J351" s="44" t="n">
        <x:v>0.06999999999999999</x:v>
      </x:c>
      <x:c r="K351" s="44" t="n">
        <x:f>I351*J351</x:f>
        <x:v>0.01060675933855985</x:v>
      </x:c>
      <x:c r="L351" s="46" t="n">
        <x:v>0</x:v>
      </x:c>
      <x:c r="M351" s="46" t="n">
        <x:v>0</x:v>
      </x:c>
      <x:c r="N351" s="21" t="n">
        <x:f>IF(AND(L350=1,M350=1,P350&gt;0),1,0)</x:f>
        <x:v>0</x:v>
      </x:c>
      <x:c r="O351" s="21" t="n">
        <x:f>MIN('Root Data'!I109:I111)</x:f>
        <x:v>0</x:v>
      </x:c>
      <x:c r="P351" s="44" t="n">
        <x:f>IF(AND(L351=1,M351=1,N351=1,O351&gt;=G351),K351,0)</x:f>
        <x:v>0</x:v>
      </x:c>
      <x:c r="Q351" s="21" t="str">
        <x:v>OPEN</x:v>
      </x:c>
      <x:c r="R351" s="23" t="str">
        <x:v>HOLD</x:v>
      </x:c>
    </x:row>
    <x:row r="352">
      <x:c r="B352" s="21" t="str">
        <x:v>AR-00346</x:v>
      </x:c>
      <x:c r="C352" s="21" t="str">
        <x:v>F09-I3</x:v>
      </x:c>
      <x:c r="D352" s="21" t="str">
        <x:v>F09</x:v>
      </x:c>
      <x:c r="E352" s="21" t="n">
        <x:v>6</x:v>
      </x:c>
      <x:c r="F352" s="21" t="str">
        <x:v>Representative mission result</x:v>
      </x:c>
      <x:c r="G352" s="21" t="n">
        <x:v>23</x:v>
      </x:c>
      <x:c r="H352" s="21" t="str">
        <x:v>Receiving Service Authority</x:v>
      </x:c>
      <x:c r="I352" s="44" t="n">
        <x:f>Lifecycle!G12</x:f>
        <x:v>0.250345872587127</x:v>
      </x:c>
      <x:c r="J352" s="44" t="n">
        <x:v>0.06999999999999999</x:v>
      </x:c>
      <x:c r="K352" s="44" t="n">
        <x:f>I352*J352</x:f>
        <x:v>0.017524211081098886</x:v>
      </x:c>
      <x:c r="L352" s="46" t="n">
        <x:v>0</x:v>
      </x:c>
      <x:c r="M352" s="46" t="n">
        <x:v>0</x:v>
      </x:c>
      <x:c r="N352" s="21" t="n">
        <x:f>IF(AND(L351=1,M351=1,P351&gt;0),1,0)</x:f>
        <x:v>0</x:v>
      </x:c>
      <x:c r="O352" s="21" t="n">
        <x:f>MIN('Root Data'!I109:I111)</x:f>
        <x:v>0</x:v>
      </x:c>
      <x:c r="P352" s="44" t="n">
        <x:f>IF(AND(L352=1,M352=1,N352=1,O352&gt;=G352),K352,0)</x:f>
        <x:v>0</x:v>
      </x:c>
      <x:c r="Q352" s="21" t="str">
        <x:v>OPEN</x:v>
      </x:c>
      <x:c r="R352" s="23" t="str">
        <x:v>HOLD</x:v>
      </x:c>
    </x:row>
    <x:row r="353">
      <x:c r="B353" s="21" t="str">
        <x:v>AR-00347</x:v>
      </x:c>
      <x:c r="C353" s="21" t="str">
        <x:v>F09-I3</x:v>
      </x:c>
      <x:c r="D353" s="21" t="str">
        <x:v>F09</x:v>
      </x:c>
      <x:c r="E353" s="21" t="n">
        <x:v>7</x:v>
      </x:c>
      <x:c r="F353" s="21" t="str">
        <x:v>Independent reproduction</x:v>
      </x:c>
      <x:c r="G353" s="21" t="n">
        <x:v>28</x:v>
      </x:c>
      <x:c r="H353" s="21" t="str">
        <x:v>Independent Evidence and Data Authority</x:v>
      </x:c>
      <x:c r="I353" s="44" t="n">
        <x:f>Lifecycle!G13</x:f>
        <x:v>0.21740562619408393</x:v>
      </x:c>
      <x:c r="J353" s="44" t="n">
        <x:v>0.06999999999999999</x:v>
      </x:c>
      <x:c r="K353" s="44" t="n">
        <x:f>I353*J353</x:f>
        <x:v>0.015218393833585874</x:v>
      </x:c>
      <x:c r="L353" s="46" t="n">
        <x:v>0</x:v>
      </x:c>
      <x:c r="M353" s="46" t="n">
        <x:v>0</x:v>
      </x:c>
      <x:c r="N353" s="21" t="n">
        <x:f>IF(AND(L352=1,M352=1,P352&gt;0),1,0)</x:f>
        <x:v>0</x:v>
      </x:c>
      <x:c r="O353" s="21" t="n">
        <x:f>MIN('Root Data'!I109:I111)</x:f>
        <x:v>0</x:v>
      </x:c>
      <x:c r="P353" s="44" t="n">
        <x:f>IF(AND(L353=1,M353=1,N353=1,O353&gt;=G353),K353,0)</x:f>
        <x:v>0</x:v>
      </x:c>
      <x:c r="Q353" s="21" t="str">
        <x:v>OPEN</x:v>
      </x:c>
      <x:c r="R353" s="23" t="str">
        <x:v>HOLD</x:v>
      </x:c>
    </x:row>
    <x:row r="354">
      <x:c r="B354" s="21" t="str">
        <x:v>AR-00348</x:v>
      </x:c>
      <x:c r="C354" s="21" t="str">
        <x:v>F09-I3</x:v>
      </x:c>
      <x:c r="D354" s="21" t="str">
        <x:v>F09</x:v>
      </x:c>
      <x:c r="E354" s="21" t="n">
        <x:v>8</x:v>
      </x:c>
      <x:c r="F354" s="21" t="str">
        <x:v>Pilot-process qualification</x:v>
      </x:c>
      <x:c r="G354" s="21" t="n">
        <x:v>28</x:v>
      </x:c>
      <x:c r="H354" s="21" t="str">
        <x:v>AIMC Industrial Mobilization Authority</x:v>
      </x:c>
      <x:c r="I354" s="44" t="n">
        <x:f>Lifecycle!G14</x:f>
        <x:v>0.03952829567165163</x:v>
      </x:c>
      <x:c r="J354" s="44" t="n">
        <x:v>0.06999999999999999</x:v>
      </x:c>
      <x:c r="K354" s="44" t="n">
        <x:f>I354*J354</x:f>
        <x:v>0.0027669806970156137</x:v>
      </x:c>
      <x:c r="L354" s="46" t="n">
        <x:v>0</x:v>
      </x:c>
      <x:c r="M354" s="46" t="n">
        <x:v>0</x:v>
      </x:c>
      <x:c r="N354" s="21" t="n">
        <x:f>IF(AND(L353=1,M353=1,P353&gt;0),1,0)</x:f>
        <x:v>0</x:v>
      </x:c>
      <x:c r="O354" s="21" t="n">
        <x:f>MIN('Root Data'!I109:I111)</x:f>
        <x:v>0</x:v>
      </x:c>
      <x:c r="P354" s="44" t="n">
        <x:f>IF(AND(L354=1,M354=1,N354=1,O354&gt;=G354),K354,0)</x:f>
        <x:v>0</x:v>
      </x:c>
      <x:c r="Q354" s="21" t="str">
        <x:v>OPEN</x:v>
      </x:c>
      <x:c r="R354" s="23" t="str">
        <x:v>HOLD</x:v>
      </x:c>
    </x:row>
    <x:row r="355">
      <x:c r="B355" s="21" t="str">
        <x:v>AR-00349</x:v>
      </x:c>
      <x:c r="C355" s="21" t="str">
        <x:v>F09-I3</x:v>
      </x:c>
      <x:c r="D355" s="21" t="str">
        <x:v>F09</x:v>
      </x:c>
      <x:c r="E355" s="21" t="n">
        <x:v>9</x:v>
      </x:c>
      <x:c r="F355" s="21" t="str">
        <x:v>Production release package</x:v>
      </x:c>
      <x:c r="G355" s="21" t="n">
        <x:v>28</x:v>
      </x:c>
      <x:c r="H355" s="21" t="str">
        <x:v>Production Release Board</x:v>
      </x:c>
      <x:c r="I355" s="44" t="n">
        <x:f>Lifecycle!G15</x:f>
        <x:v>0.01647012319652151</x:v>
      </x:c>
      <x:c r="J355" s="44" t="n">
        <x:v>0.06999999999999999</x:v>
      </x:c>
      <x:c r="K355" s="44" t="n">
        <x:f>I355*J355</x:f>
        <x:v>0.0011529086237565057</x:v>
      </x:c>
      <x:c r="L355" s="46" t="n">
        <x:v>0</x:v>
      </x:c>
      <x:c r="M355" s="46" t="n">
        <x:v>0</x:v>
      </x:c>
      <x:c r="N355" s="21" t="n">
        <x:f>IF(AND(L354=1,M354=1,P354&gt;0),1,0)</x:f>
        <x:v>0</x:v>
      </x:c>
      <x:c r="O355" s="21" t="n">
        <x:f>MIN('Root Data'!I109:I111)</x:f>
        <x:v>0</x:v>
      </x:c>
      <x:c r="P355" s="44" t="n">
        <x:f>IF(AND(L355=1,M355=1,N355=1,O355&gt;=G355),K355,0)</x:f>
        <x:v>0</x:v>
      </x:c>
      <x:c r="Q355" s="21" t="str">
        <x:v>OPEN</x:v>
      </x:c>
      <x:c r="R355" s="23" t="str">
        <x:v>HOLD</x:v>
      </x:c>
    </x:row>
    <x:row r="356">
      <x:c r="B356" s="21" t="str">
        <x:v>AR-00350</x:v>
      </x:c>
      <x:c r="C356" s="21" t="str">
        <x:v>F09-I3</x:v>
      </x:c>
      <x:c r="D356" s="21" t="str">
        <x:v>F09</x:v>
      </x:c>
      <x:c r="E356" s="21" t="n">
        <x:v>10</x:v>
      </x:c>
      <x:c r="F356" s="21" t="str">
        <x:v>Mobilization activation</x:v>
      </x:c>
      <x:c r="G356" s="21" t="n">
        <x:v>28</x:v>
      </x:c>
      <x:c r="H356" s="21" t="str">
        <x:v>Production Release Board</x:v>
      </x:c>
      <x:c r="I356" s="44" t="n">
        <x:f>Lifecycle!G16</x:f>
        <x:v>0.028262731405230914</x:v>
      </x:c>
      <x:c r="J356" s="44" t="n">
        <x:v>0.06999999999999999</x:v>
      </x:c>
      <x:c r="K356" s="44" t="n">
        <x:f>I356*J356</x:f>
        <x:v>0.0019783911983661637</x:v>
      </x:c>
      <x:c r="L356" s="46" t="n">
        <x:v>0</x:v>
      </x:c>
      <x:c r="M356" s="46" t="n">
        <x:v>0</x:v>
      </x:c>
      <x:c r="N356" s="21" t="n">
        <x:f>IF(AND(L355=1,M355=1,P355&gt;0),1,0)</x:f>
        <x:v>0</x:v>
      </x:c>
      <x:c r="O356" s="21" t="n">
        <x:f>MIN('Root Data'!I109:I111)</x:f>
        <x:v>0</x:v>
      </x:c>
      <x:c r="P356" s="44" t="n">
        <x:f>IF(AND(L356=1,M356=1,N356=1,O356&gt;=G356),K356,0)</x:f>
        <x:v>0</x:v>
      </x:c>
      <x:c r="Q356" s="21" t="str">
        <x:v>OPEN</x:v>
      </x:c>
      <x:c r="R356" s="23" t="str">
        <x:v>HOLD</x:v>
      </x:c>
    </x:row>
    <x:row r="357">
      <x:c r="B357" s="21" t="str">
        <x:v>AR-00351</x:v>
      </x:c>
      <x:c r="C357" s="21" t="str">
        <x:v>F09-I4</x:v>
      </x:c>
      <x:c r="D357" s="21" t="str">
        <x:v>F09</x:v>
      </x:c>
      <x:c r="E357" s="21" t="n">
        <x:v>1</x:v>
      </x:c>
      <x:c r="F357" s="21" t="str">
        <x:v>Civil effect charter</x:v>
      </x:c>
      <x:c r="G357" s="21" t="n">
        <x:v>0</x:v>
      </x:c>
      <x:c r="H357" s="21" t="str">
        <x:v>Civil Guarantee Authority</x:v>
      </x:c>
      <x:c r="I357" s="44" t="n">
        <x:f>Lifecycle!G7</x:f>
        <x:v>0.04941036958956453</x:v>
      </x:c>
      <x:c r="J357" s="44" t="n">
        <x:v>0.06999999999999999</x:v>
      </x:c>
      <x:c r="K357" s="44" t="n">
        <x:f>I357*J357</x:f>
        <x:v>0.0034587258712695168</x:v>
      </x:c>
      <x:c r="L357" s="46" t="n">
        <x:v>0</x:v>
      </x:c>
      <x:c r="M357" s="46" t="n">
        <x:v>0</x:v>
      </x:c>
      <x:c r="N357" s="21" t="n">
        <x:f>1</x:f>
        <x:v>1</x:v>
      </x:c>
      <x:c r="O357" s="21" t="n">
        <x:f>MIN('Root Data'!I112:I114)</x:f>
        <x:v>0</x:v>
      </x:c>
      <x:c r="P357" s="44" t="n">
        <x:f>IF(AND(L357=1,M357=1,N357=1,O357&gt;=G357),K357,0)</x:f>
        <x:v>0</x:v>
      </x:c>
      <x:c r="Q357" s="21" t="str">
        <x:v>OPEN</x:v>
      </x:c>
      <x:c r="R357" s="23" t="str">
        <x:v>HOLD</x:v>
      </x:c>
    </x:row>
    <x:row r="358">
      <x:c r="B358" s="21" t="str">
        <x:v>AR-00352</x:v>
      </x:c>
      <x:c r="C358" s="21" t="str">
        <x:v>F09-I4</x:v>
      </x:c>
      <x:c r="D358" s="21" t="str">
        <x:v>F09</x:v>
      </x:c>
      <x:c r="E358" s="21" t="n">
        <x:v>2</x:v>
      </x:c>
      <x:c r="F358" s="21" t="str">
        <x:v>Requirement and root-independence package</x:v>
      </x:c>
      <x:c r="G358" s="21" t="n">
        <x:v>8</x:v>
      </x:c>
      <x:c r="H358" s="21" t="str">
        <x:v>Resilience Staff</x:v>
      </x:c>
      <x:c r="I358" s="44" t="n">
        <x:f>Lifecycle!G8</x:f>
        <x:v>0.10211476381843337</x:v>
      </x:c>
      <x:c r="J358" s="44" t="n">
        <x:v>0.06999999999999999</x:v>
      </x:c>
      <x:c r="K358" s="44" t="n">
        <x:f>I358*J358</x:f>
        <x:v>0.007148033467290336</x:v>
      </x:c>
      <x:c r="L358" s="46" t="n">
        <x:v>0</x:v>
      </x:c>
      <x:c r="M358" s="46" t="n">
        <x:v>0</x:v>
      </x:c>
      <x:c r="N358" s="21" t="n">
        <x:f>IF(AND(L357=1,M357=1,P357&gt;0),1,0)</x:f>
        <x:v>0</x:v>
      </x:c>
      <x:c r="O358" s="21" t="n">
        <x:f>MIN('Root Data'!I112:I114)</x:f>
        <x:v>0</x:v>
      </x:c>
      <x:c r="P358" s="44" t="n">
        <x:f>IF(AND(L358=1,M358=1,N358=1,O358&gt;=G358),K358,0)</x:f>
        <x:v>0</x:v>
      </x:c>
      <x:c r="Q358" s="21" t="str">
        <x:v>OPEN</x:v>
      </x:c>
      <x:c r="R358" s="23" t="str">
        <x:v>HOLD</x:v>
      </x:c>
    </x:row>
    <x:row r="359">
      <x:c r="B359" s="21" t="str">
        <x:v>AR-00353</x:v>
      </x:c>
      <x:c r="C359" s="21" t="str">
        <x:v>F09-I4</x:v>
      </x:c>
      <x:c r="D359" s="21" t="str">
        <x:v>F09</x:v>
      </x:c>
      <x:c r="E359" s="21" t="n">
        <x:v>3</x:v>
      </x:c>
      <x:c r="F359" s="21" t="str">
        <x:v>Architecture and burden closure</x:v>
      </x:c>
      <x:c r="G359" s="21" t="n">
        <x:v>14</x:v>
      </x:c>
      <x:c r="H359" s="21" t="str">
        <x:v>Independent Evidence and Data Authority</x:v>
      </x:c>
      <x:c r="I359" s="44" t="n">
        <x:f>Lifecycle!G9</x:f>
        <x:v>0.08564464062191186</x:v>
      </x:c>
      <x:c r="J359" s="44" t="n">
        <x:v>0.06999999999999999</x:v>
      </x:c>
      <x:c r="K359" s="44" t="n">
        <x:f>I359*J359</x:f>
        <x:v>0.00599512484353383</x:v>
      </x:c>
      <x:c r="L359" s="46" t="n">
        <x:v>0</x:v>
      </x:c>
      <x:c r="M359" s="46" t="n">
        <x:v>0</x:v>
      </x:c>
      <x:c r="N359" s="21" t="n">
        <x:f>IF(AND(L358=1,M358=1,P358&gt;0),1,0)</x:f>
        <x:v>0</x:v>
      </x:c>
      <x:c r="O359" s="21" t="n">
        <x:f>MIN('Root Data'!I112:I114)</x:f>
        <x:v>0</x:v>
      </x:c>
      <x:c r="P359" s="44" t="n">
        <x:f>IF(AND(L359=1,M359=1,N359=1,O359&gt;=G359),K359,0)</x:f>
        <x:v>0</x:v>
      </x:c>
      <x:c r="Q359" s="21" t="str">
        <x:v>OPEN</x:v>
      </x:c>
      <x:c r="R359" s="23" t="str">
        <x:v>HOLD</x:v>
      </x:c>
    </x:row>
    <x:row r="360">
      <x:c r="B360" s="21" t="str">
        <x:v>AR-00354</x:v>
      </x:c>
      <x:c r="C360" s="21" t="str">
        <x:v>F09-I4</x:v>
      </x:c>
      <x:c r="D360" s="21" t="str">
        <x:v>F09</x:v>
      </x:c>
      <x:c r="E360" s="21" t="n">
        <x:v>4</x:v>
      </x:c>
      <x:c r="F360" s="21" t="str">
        <x:v>Engineering article acceptance</x:v>
      </x:c>
      <x:c r="G360" s="21" t="n">
        <x:v>18</x:v>
      </x:c>
      <x:c r="H360" s="21" t="str">
        <x:v>Independent Evidence and Data Authority</x:v>
      </x:c>
      <x:c r="I360" s="44" t="n">
        <x:f>Lifecycle!G10</x:f>
        <x:v>0.05929244350747744</x:v>
      </x:c>
      <x:c r="J360" s="44" t="n">
        <x:v>0.06999999999999999</x:v>
      </x:c>
      <x:c r="K360" s="44" t="n">
        <x:f>I360*J360</x:f>
        <x:v>0.00415047104552342</x:v>
      </x:c>
      <x:c r="L360" s="46" t="n">
        <x:v>0</x:v>
      </x:c>
      <x:c r="M360" s="46" t="n">
        <x:v>0</x:v>
      </x:c>
      <x:c r="N360" s="21" t="n">
        <x:f>IF(AND(L359=1,M359=1,P359&gt;0),1,0)</x:f>
        <x:v>0</x:v>
      </x:c>
      <x:c r="O360" s="21" t="n">
        <x:f>MIN('Root Data'!I112:I114)</x:f>
        <x:v>0</x:v>
      </x:c>
      <x:c r="P360" s="44" t="n">
        <x:f>IF(AND(L360=1,M360=1,N360=1,O360&gt;=G360),K360,0)</x:f>
        <x:v>0</x:v>
      </x:c>
      <x:c r="Q360" s="21" t="str">
        <x:v>OPEN</x:v>
      </x:c>
      <x:c r="R360" s="23" t="str">
        <x:v>HOLD</x:v>
      </x:c>
    </x:row>
    <x:row r="361">
      <x:c r="B361" s="21" t="str">
        <x:v>AR-00355</x:v>
      </x:c>
      <x:c r="C361" s="21" t="str">
        <x:v>F09-I4</x:v>
      </x:c>
      <x:c r="D361" s="21" t="str">
        <x:v>F09</x:v>
      </x:c>
      <x:c r="E361" s="21" t="n">
        <x:v>5</x:v>
      </x:c>
      <x:c r="F361" s="21" t="str">
        <x:v>Qualification and destructive evidence</x:v>
      </x:c>
      <x:c r="G361" s="21" t="n">
        <x:v>21</x:v>
      </x:c>
      <x:c r="H361" s="21" t="str">
        <x:v>Independent Evidence and Data Authority</x:v>
      </x:c>
      <x:c r="I361" s="44" t="n">
        <x:f>Lifecycle!G11</x:f>
        <x:v>0.1515251334079979</x:v>
      </x:c>
      <x:c r="J361" s="44" t="n">
        <x:v>0.06999999999999999</x:v>
      </x:c>
      <x:c r="K361" s="44" t="n">
        <x:f>I361*J361</x:f>
        <x:v>0.01060675933855985</x:v>
      </x:c>
      <x:c r="L361" s="46" t="n">
        <x:v>0</x:v>
      </x:c>
      <x:c r="M361" s="46" t="n">
        <x:v>0</x:v>
      </x:c>
      <x:c r="N361" s="21" t="n">
        <x:f>IF(AND(L360=1,M360=1,P360&gt;0),1,0)</x:f>
        <x:v>0</x:v>
      </x:c>
      <x:c r="O361" s="21" t="n">
        <x:f>MIN('Root Data'!I112:I114)</x:f>
        <x:v>0</x:v>
      </x:c>
      <x:c r="P361" s="44" t="n">
        <x:f>IF(AND(L361=1,M361=1,N361=1,O361&gt;=G361),K361,0)</x:f>
        <x:v>0</x:v>
      </x:c>
      <x:c r="Q361" s="21" t="str">
        <x:v>OPEN</x:v>
      </x:c>
      <x:c r="R361" s="23" t="str">
        <x:v>HOLD</x:v>
      </x:c>
    </x:row>
    <x:row r="362">
      <x:c r="B362" s="21" t="str">
        <x:v>AR-00356</x:v>
      </x:c>
      <x:c r="C362" s="21" t="str">
        <x:v>F09-I4</x:v>
      </x:c>
      <x:c r="D362" s="21" t="str">
        <x:v>F09</x:v>
      </x:c>
      <x:c r="E362" s="21" t="n">
        <x:v>6</x:v>
      </x:c>
      <x:c r="F362" s="21" t="str">
        <x:v>Representative mission result</x:v>
      </x:c>
      <x:c r="G362" s="21" t="n">
        <x:v>23</x:v>
      </x:c>
      <x:c r="H362" s="21" t="str">
        <x:v>Receiving Service Authority</x:v>
      </x:c>
      <x:c r="I362" s="44" t="n">
        <x:f>Lifecycle!G12</x:f>
        <x:v>0.250345872587127</x:v>
      </x:c>
      <x:c r="J362" s="44" t="n">
        <x:v>0.06999999999999999</x:v>
      </x:c>
      <x:c r="K362" s="44" t="n">
        <x:f>I362*J362</x:f>
        <x:v>0.017524211081098886</x:v>
      </x:c>
      <x:c r="L362" s="46" t="n">
        <x:v>0</x:v>
      </x:c>
      <x:c r="M362" s="46" t="n">
        <x:v>0</x:v>
      </x:c>
      <x:c r="N362" s="21" t="n">
        <x:f>IF(AND(L361=1,M361=1,P361&gt;0),1,0)</x:f>
        <x:v>0</x:v>
      </x:c>
      <x:c r="O362" s="21" t="n">
        <x:f>MIN('Root Data'!I112:I114)</x:f>
        <x:v>0</x:v>
      </x:c>
      <x:c r="P362" s="44" t="n">
        <x:f>IF(AND(L362=1,M362=1,N362=1,O362&gt;=G362),K362,0)</x:f>
        <x:v>0</x:v>
      </x:c>
      <x:c r="Q362" s="21" t="str">
        <x:v>OPEN</x:v>
      </x:c>
      <x:c r="R362" s="23" t="str">
        <x:v>HOLD</x:v>
      </x:c>
    </x:row>
    <x:row r="363">
      <x:c r="B363" s="21" t="str">
        <x:v>AR-00357</x:v>
      </x:c>
      <x:c r="C363" s="21" t="str">
        <x:v>F09-I4</x:v>
      </x:c>
      <x:c r="D363" s="21" t="str">
        <x:v>F09</x:v>
      </x:c>
      <x:c r="E363" s="21" t="n">
        <x:v>7</x:v>
      </x:c>
      <x:c r="F363" s="21" t="str">
        <x:v>Independent reproduction</x:v>
      </x:c>
      <x:c r="G363" s="21" t="n">
        <x:v>28</x:v>
      </x:c>
      <x:c r="H363" s="21" t="str">
        <x:v>Independent Evidence and Data Authority</x:v>
      </x:c>
      <x:c r="I363" s="44" t="n">
        <x:f>Lifecycle!G13</x:f>
        <x:v>0.21740562619408393</x:v>
      </x:c>
      <x:c r="J363" s="44" t="n">
        <x:v>0.06999999999999999</x:v>
      </x:c>
      <x:c r="K363" s="44" t="n">
        <x:f>I363*J363</x:f>
        <x:v>0.015218393833585874</x:v>
      </x:c>
      <x:c r="L363" s="46" t="n">
        <x:v>0</x:v>
      </x:c>
      <x:c r="M363" s="46" t="n">
        <x:v>0</x:v>
      </x:c>
      <x:c r="N363" s="21" t="n">
        <x:f>IF(AND(L362=1,M362=1,P362&gt;0),1,0)</x:f>
        <x:v>0</x:v>
      </x:c>
      <x:c r="O363" s="21" t="n">
        <x:f>MIN('Root Data'!I112:I114)</x:f>
        <x:v>0</x:v>
      </x:c>
      <x:c r="P363" s="44" t="n">
        <x:f>IF(AND(L363=1,M363=1,N363=1,O363&gt;=G363),K363,0)</x:f>
        <x:v>0</x:v>
      </x:c>
      <x:c r="Q363" s="21" t="str">
        <x:v>OPEN</x:v>
      </x:c>
      <x:c r="R363" s="23" t="str">
        <x:v>HOLD</x:v>
      </x:c>
    </x:row>
    <x:row r="364">
      <x:c r="B364" s="21" t="str">
        <x:v>AR-00358</x:v>
      </x:c>
      <x:c r="C364" s="21" t="str">
        <x:v>F09-I4</x:v>
      </x:c>
      <x:c r="D364" s="21" t="str">
        <x:v>F09</x:v>
      </x:c>
      <x:c r="E364" s="21" t="n">
        <x:v>8</x:v>
      </x:c>
      <x:c r="F364" s="21" t="str">
        <x:v>Pilot-process qualification</x:v>
      </x:c>
      <x:c r="G364" s="21" t="n">
        <x:v>28</x:v>
      </x:c>
      <x:c r="H364" s="21" t="str">
        <x:v>AIMC Industrial Mobilization Authority</x:v>
      </x:c>
      <x:c r="I364" s="44" t="n">
        <x:f>Lifecycle!G14</x:f>
        <x:v>0.03952829567165163</x:v>
      </x:c>
      <x:c r="J364" s="44" t="n">
        <x:v>0.06999999999999999</x:v>
      </x:c>
      <x:c r="K364" s="44" t="n">
        <x:f>I364*J364</x:f>
        <x:v>0.0027669806970156137</x:v>
      </x:c>
      <x:c r="L364" s="46" t="n">
        <x:v>0</x:v>
      </x:c>
      <x:c r="M364" s="46" t="n">
        <x:v>0</x:v>
      </x:c>
      <x:c r="N364" s="21" t="n">
        <x:f>IF(AND(L363=1,M363=1,P363&gt;0),1,0)</x:f>
        <x:v>0</x:v>
      </x:c>
      <x:c r="O364" s="21" t="n">
        <x:f>MIN('Root Data'!I112:I114)</x:f>
        <x:v>0</x:v>
      </x:c>
      <x:c r="P364" s="44" t="n">
        <x:f>IF(AND(L364=1,M364=1,N364=1,O364&gt;=G364),K364,0)</x:f>
        <x:v>0</x:v>
      </x:c>
      <x:c r="Q364" s="21" t="str">
        <x:v>OPEN</x:v>
      </x:c>
      <x:c r="R364" s="23" t="str">
        <x:v>HOLD</x:v>
      </x:c>
    </x:row>
    <x:row r="365">
      <x:c r="B365" s="21" t="str">
        <x:v>AR-00359</x:v>
      </x:c>
      <x:c r="C365" s="21" t="str">
        <x:v>F09-I4</x:v>
      </x:c>
      <x:c r="D365" s="21" t="str">
        <x:v>F09</x:v>
      </x:c>
      <x:c r="E365" s="21" t="n">
        <x:v>9</x:v>
      </x:c>
      <x:c r="F365" s="21" t="str">
        <x:v>Production release package</x:v>
      </x:c>
      <x:c r="G365" s="21" t="n">
        <x:v>28</x:v>
      </x:c>
      <x:c r="H365" s="21" t="str">
        <x:v>Production Release Board</x:v>
      </x:c>
      <x:c r="I365" s="44" t="n">
        <x:f>Lifecycle!G15</x:f>
        <x:v>0.01647012319652151</x:v>
      </x:c>
      <x:c r="J365" s="44" t="n">
        <x:v>0.06999999999999999</x:v>
      </x:c>
      <x:c r="K365" s="44" t="n">
        <x:f>I365*J365</x:f>
        <x:v>0.0011529086237565057</x:v>
      </x:c>
      <x:c r="L365" s="46" t="n">
        <x:v>0</x:v>
      </x:c>
      <x:c r="M365" s="46" t="n">
        <x:v>0</x:v>
      </x:c>
      <x:c r="N365" s="21" t="n">
        <x:f>IF(AND(L364=1,M364=1,P364&gt;0),1,0)</x:f>
        <x:v>0</x:v>
      </x:c>
      <x:c r="O365" s="21" t="n">
        <x:f>MIN('Root Data'!I112:I114)</x:f>
        <x:v>0</x:v>
      </x:c>
      <x:c r="P365" s="44" t="n">
        <x:f>IF(AND(L365=1,M365=1,N365=1,O365&gt;=G365),K365,0)</x:f>
        <x:v>0</x:v>
      </x:c>
      <x:c r="Q365" s="21" t="str">
        <x:v>OPEN</x:v>
      </x:c>
      <x:c r="R365" s="23" t="str">
        <x:v>HOLD</x:v>
      </x:c>
    </x:row>
    <x:row r="366">
      <x:c r="B366" s="21" t="str">
        <x:v>AR-00360</x:v>
      </x:c>
      <x:c r="C366" s="21" t="str">
        <x:v>F09-I4</x:v>
      </x:c>
      <x:c r="D366" s="21" t="str">
        <x:v>F09</x:v>
      </x:c>
      <x:c r="E366" s="21" t="n">
        <x:v>10</x:v>
      </x:c>
      <x:c r="F366" s="21" t="str">
        <x:v>Mobilization activation</x:v>
      </x:c>
      <x:c r="G366" s="21" t="n">
        <x:v>28</x:v>
      </x:c>
      <x:c r="H366" s="21" t="str">
        <x:v>Production Release Board</x:v>
      </x:c>
      <x:c r="I366" s="44" t="n">
        <x:f>Lifecycle!G16</x:f>
        <x:v>0.028262731405230914</x:v>
      </x:c>
      <x:c r="J366" s="44" t="n">
        <x:v>0.06999999999999999</x:v>
      </x:c>
      <x:c r="K366" s="44" t="n">
        <x:f>I366*J366</x:f>
        <x:v>0.0019783911983661637</x:v>
      </x:c>
      <x:c r="L366" s="46" t="n">
        <x:v>0</x:v>
      </x:c>
      <x:c r="M366" s="46" t="n">
        <x:v>0</x:v>
      </x:c>
      <x:c r="N366" s="21" t="n">
        <x:f>IF(AND(L365=1,M365=1,P365&gt;0),1,0)</x:f>
        <x:v>0</x:v>
      </x:c>
      <x:c r="O366" s="21" t="n">
        <x:f>MIN('Root Data'!I112:I114)</x:f>
        <x:v>0</x:v>
      </x:c>
      <x:c r="P366" s="44" t="n">
        <x:f>IF(AND(L366=1,M366=1,N366=1,O366&gt;=G366),K366,0)</x:f>
        <x:v>0</x:v>
      </x:c>
      <x:c r="Q366" s="21" t="str">
        <x:v>OPEN</x:v>
      </x:c>
      <x:c r="R366" s="23" t="str">
        <x:v>HOLD</x:v>
      </x:c>
    </x:row>
    <x:row r="367">
      <x:c r="B367" s="21" t="str">
        <x:v>AR-00361</x:v>
      </x:c>
      <x:c r="C367" s="21" t="str">
        <x:v>F10-I1</x:v>
      </x:c>
      <x:c r="D367" s="21" t="str">
        <x:v>F10</x:v>
      </x:c>
      <x:c r="E367" s="21" t="n">
        <x:v>1</x:v>
      </x:c>
      <x:c r="F367" s="21" t="str">
        <x:v>Civil effect charter</x:v>
      </x:c>
      <x:c r="G367" s="21" t="n">
        <x:v>0</x:v>
      </x:c>
      <x:c r="H367" s="21" t="str">
        <x:v>Civil Guarantee Authority</x:v>
      </x:c>
      <x:c r="I367" s="44" t="n">
        <x:f>Lifecycle!G7</x:f>
        <x:v>0.04941036958956453</x:v>
      </x:c>
      <x:c r="J367" s="44" t="n">
        <x:v>0.075</x:v>
      </x:c>
      <x:c r="K367" s="44" t="n">
        <x:f>I367*J367</x:f>
        <x:v>0.0037057777192173397</x:v>
      </x:c>
      <x:c r="L367" s="46" t="n">
        <x:v>0</x:v>
      </x:c>
      <x:c r="M367" s="46" t="n">
        <x:v>0</x:v>
      </x:c>
      <x:c r="N367" s="21" t="n">
        <x:f>1</x:f>
        <x:v>1</x:v>
      </x:c>
      <x:c r="O367" s="21" t="n">
        <x:f>MIN('Root Data'!I115:I117)</x:f>
        <x:v>0</x:v>
      </x:c>
      <x:c r="P367" s="44" t="n">
        <x:f>IF(AND(L367=1,M367=1,N367=1,O367&gt;=G367),K367,0)</x:f>
        <x:v>0</x:v>
      </x:c>
      <x:c r="Q367" s="21" t="str">
        <x:v>OPEN</x:v>
      </x:c>
      <x:c r="R367" s="23" t="str">
        <x:v>HOLD</x:v>
      </x:c>
    </x:row>
    <x:row r="368">
      <x:c r="B368" s="21" t="str">
        <x:v>AR-00362</x:v>
      </x:c>
      <x:c r="C368" s="21" t="str">
        <x:v>F10-I1</x:v>
      </x:c>
      <x:c r="D368" s="21" t="str">
        <x:v>F10</x:v>
      </x:c>
      <x:c r="E368" s="21" t="n">
        <x:v>2</x:v>
      </x:c>
      <x:c r="F368" s="21" t="str">
        <x:v>Requirement and root-independence package</x:v>
      </x:c>
      <x:c r="G368" s="21" t="n">
        <x:v>8</x:v>
      </x:c>
      <x:c r="H368" s="21" t="str">
        <x:v>Resilience Staff</x:v>
      </x:c>
      <x:c r="I368" s="44" t="n">
        <x:f>Lifecycle!G8</x:f>
        <x:v>0.10211476381843337</x:v>
      </x:c>
      <x:c r="J368" s="44" t="n">
        <x:v>0.075</x:v>
      </x:c>
      <x:c r="K368" s="44" t="n">
        <x:f>I368*J368</x:f>
        <x:v>0.007658607286382502</x:v>
      </x:c>
      <x:c r="L368" s="46" t="n">
        <x:v>0</x:v>
      </x:c>
      <x:c r="M368" s="46" t="n">
        <x:v>0</x:v>
      </x:c>
      <x:c r="N368" s="21" t="n">
        <x:f>IF(AND(L367=1,M367=1,P367&gt;0),1,0)</x:f>
        <x:v>0</x:v>
      </x:c>
      <x:c r="O368" s="21" t="n">
        <x:f>MIN('Root Data'!I115:I117)</x:f>
        <x:v>0</x:v>
      </x:c>
      <x:c r="P368" s="44" t="n">
        <x:f>IF(AND(L368=1,M368=1,N368=1,O368&gt;=G368),K368,0)</x:f>
        <x:v>0</x:v>
      </x:c>
      <x:c r="Q368" s="21" t="str">
        <x:v>OPEN</x:v>
      </x:c>
      <x:c r="R368" s="23" t="str">
        <x:v>HOLD</x:v>
      </x:c>
    </x:row>
    <x:row r="369">
      <x:c r="B369" s="21" t="str">
        <x:v>AR-00363</x:v>
      </x:c>
      <x:c r="C369" s="21" t="str">
        <x:v>F10-I1</x:v>
      </x:c>
      <x:c r="D369" s="21" t="str">
        <x:v>F10</x:v>
      </x:c>
      <x:c r="E369" s="21" t="n">
        <x:v>3</x:v>
      </x:c>
      <x:c r="F369" s="21" t="str">
        <x:v>Architecture and burden closure</x:v>
      </x:c>
      <x:c r="G369" s="21" t="n">
        <x:v>14</x:v>
      </x:c>
      <x:c r="H369" s="21" t="str">
        <x:v>Independent Evidence and Data Authority</x:v>
      </x:c>
      <x:c r="I369" s="44" t="n">
        <x:f>Lifecycle!G9</x:f>
        <x:v>0.08564464062191186</x:v>
      </x:c>
      <x:c r="J369" s="44" t="n">
        <x:v>0.075</x:v>
      </x:c>
      <x:c r="K369" s="44" t="n">
        <x:f>I369*J369</x:f>
        <x:v>0.006423348046643389</x:v>
      </x:c>
      <x:c r="L369" s="46" t="n">
        <x:v>0</x:v>
      </x:c>
      <x:c r="M369" s="46" t="n">
        <x:v>0</x:v>
      </x:c>
      <x:c r="N369" s="21" t="n">
        <x:f>IF(AND(L368=1,M368=1,P368&gt;0),1,0)</x:f>
        <x:v>0</x:v>
      </x:c>
      <x:c r="O369" s="21" t="n">
        <x:f>MIN('Root Data'!I115:I117)</x:f>
        <x:v>0</x:v>
      </x:c>
      <x:c r="P369" s="44" t="n">
        <x:f>IF(AND(L369=1,M369=1,N369=1,O369&gt;=G369),K369,0)</x:f>
        <x:v>0</x:v>
      </x:c>
      <x:c r="Q369" s="21" t="str">
        <x:v>OPEN</x:v>
      </x:c>
      <x:c r="R369" s="23" t="str">
        <x:v>HOLD</x:v>
      </x:c>
    </x:row>
    <x:row r="370">
      <x:c r="B370" s="21" t="str">
        <x:v>AR-00364</x:v>
      </x:c>
      <x:c r="C370" s="21" t="str">
        <x:v>F10-I1</x:v>
      </x:c>
      <x:c r="D370" s="21" t="str">
        <x:v>F10</x:v>
      </x:c>
      <x:c r="E370" s="21" t="n">
        <x:v>4</x:v>
      </x:c>
      <x:c r="F370" s="21" t="str">
        <x:v>Engineering article acceptance</x:v>
      </x:c>
      <x:c r="G370" s="21" t="n">
        <x:v>18</x:v>
      </x:c>
      <x:c r="H370" s="21" t="str">
        <x:v>Independent Evidence and Data Authority</x:v>
      </x:c>
      <x:c r="I370" s="44" t="n">
        <x:f>Lifecycle!G10</x:f>
        <x:v>0.05929244350747744</x:v>
      </x:c>
      <x:c r="J370" s="44" t="n">
        <x:v>0.075</x:v>
      </x:c>
      <x:c r="K370" s="44" t="n">
        <x:f>I370*J370</x:f>
        <x:v>0.004446933263060808</x:v>
      </x:c>
      <x:c r="L370" s="46" t="n">
        <x:v>0</x:v>
      </x:c>
      <x:c r="M370" s="46" t="n">
        <x:v>0</x:v>
      </x:c>
      <x:c r="N370" s="21" t="n">
        <x:f>IF(AND(L369=1,M369=1,P369&gt;0),1,0)</x:f>
        <x:v>0</x:v>
      </x:c>
      <x:c r="O370" s="21" t="n">
        <x:f>MIN('Root Data'!I115:I117)</x:f>
        <x:v>0</x:v>
      </x:c>
      <x:c r="P370" s="44" t="n">
        <x:f>IF(AND(L370=1,M370=1,N370=1,O370&gt;=G370),K370,0)</x:f>
        <x:v>0</x:v>
      </x:c>
      <x:c r="Q370" s="21" t="str">
        <x:v>OPEN</x:v>
      </x:c>
      <x:c r="R370" s="23" t="str">
        <x:v>HOLD</x:v>
      </x:c>
    </x:row>
    <x:row r="371">
      <x:c r="B371" s="21" t="str">
        <x:v>AR-00365</x:v>
      </x:c>
      <x:c r="C371" s="21" t="str">
        <x:v>F10-I1</x:v>
      </x:c>
      <x:c r="D371" s="21" t="str">
        <x:v>F10</x:v>
      </x:c>
      <x:c r="E371" s="21" t="n">
        <x:v>5</x:v>
      </x:c>
      <x:c r="F371" s="21" t="str">
        <x:v>Qualification and destructive evidence</x:v>
      </x:c>
      <x:c r="G371" s="21" t="n">
        <x:v>21</x:v>
      </x:c>
      <x:c r="H371" s="21" t="str">
        <x:v>Independent Evidence and Data Authority</x:v>
      </x:c>
      <x:c r="I371" s="44" t="n">
        <x:f>Lifecycle!G11</x:f>
        <x:v>0.1515251334079979</x:v>
      </x:c>
      <x:c r="J371" s="44" t="n">
        <x:v>0.075</x:v>
      </x:c>
      <x:c r="K371" s="44" t="n">
        <x:f>I371*J371</x:f>
        <x:v>0.011364385005599841</x:v>
      </x:c>
      <x:c r="L371" s="46" t="n">
        <x:v>0</x:v>
      </x:c>
      <x:c r="M371" s="46" t="n">
        <x:v>0</x:v>
      </x:c>
      <x:c r="N371" s="21" t="n">
        <x:f>IF(AND(L370=1,M370=1,P370&gt;0),1,0)</x:f>
        <x:v>0</x:v>
      </x:c>
      <x:c r="O371" s="21" t="n">
        <x:f>MIN('Root Data'!I115:I117)</x:f>
        <x:v>0</x:v>
      </x:c>
      <x:c r="P371" s="44" t="n">
        <x:f>IF(AND(L371=1,M371=1,N371=1,O371&gt;=G371),K371,0)</x:f>
        <x:v>0</x:v>
      </x:c>
      <x:c r="Q371" s="21" t="str">
        <x:v>OPEN</x:v>
      </x:c>
      <x:c r="R371" s="23" t="str">
        <x:v>HOLD</x:v>
      </x:c>
    </x:row>
    <x:row r="372">
      <x:c r="B372" s="21" t="str">
        <x:v>AR-00366</x:v>
      </x:c>
      <x:c r="C372" s="21" t="str">
        <x:v>F10-I1</x:v>
      </x:c>
      <x:c r="D372" s="21" t="str">
        <x:v>F10</x:v>
      </x:c>
      <x:c r="E372" s="21" t="n">
        <x:v>6</x:v>
      </x:c>
      <x:c r="F372" s="21" t="str">
        <x:v>Representative mission result</x:v>
      </x:c>
      <x:c r="G372" s="21" t="n">
        <x:v>23</x:v>
      </x:c>
      <x:c r="H372" s="21" t="str">
        <x:v>Receiving Service Authority</x:v>
      </x:c>
      <x:c r="I372" s="44" t="n">
        <x:f>Lifecycle!G12</x:f>
        <x:v>0.250345872587127</x:v>
      </x:c>
      <x:c r="J372" s="44" t="n">
        <x:v>0.075</x:v>
      </x:c>
      <x:c r="K372" s="44" t="n">
        <x:f>I372*J372</x:f>
        <x:v>0.018775940444034522</x:v>
      </x:c>
      <x:c r="L372" s="46" t="n">
        <x:v>0</x:v>
      </x:c>
      <x:c r="M372" s="46" t="n">
        <x:v>0</x:v>
      </x:c>
      <x:c r="N372" s="21" t="n">
        <x:f>IF(AND(L371=1,M371=1,P371&gt;0),1,0)</x:f>
        <x:v>0</x:v>
      </x:c>
      <x:c r="O372" s="21" t="n">
        <x:f>MIN('Root Data'!I115:I117)</x:f>
        <x:v>0</x:v>
      </x:c>
      <x:c r="P372" s="44" t="n">
        <x:f>IF(AND(L372=1,M372=1,N372=1,O372&gt;=G372),K372,0)</x:f>
        <x:v>0</x:v>
      </x:c>
      <x:c r="Q372" s="21" t="str">
        <x:v>OPEN</x:v>
      </x:c>
      <x:c r="R372" s="23" t="str">
        <x:v>HOLD</x:v>
      </x:c>
    </x:row>
    <x:row r="373">
      <x:c r="B373" s="21" t="str">
        <x:v>AR-00367</x:v>
      </x:c>
      <x:c r="C373" s="21" t="str">
        <x:v>F10-I1</x:v>
      </x:c>
      <x:c r="D373" s="21" t="str">
        <x:v>F10</x:v>
      </x:c>
      <x:c r="E373" s="21" t="n">
        <x:v>7</x:v>
      </x:c>
      <x:c r="F373" s="21" t="str">
        <x:v>Independent reproduction</x:v>
      </x:c>
      <x:c r="G373" s="21" t="n">
        <x:v>28</x:v>
      </x:c>
      <x:c r="H373" s="21" t="str">
        <x:v>Independent Evidence and Data Authority</x:v>
      </x:c>
      <x:c r="I373" s="44" t="n">
        <x:f>Lifecycle!G13</x:f>
        <x:v>0.21740562619408393</x:v>
      </x:c>
      <x:c r="J373" s="44" t="n">
        <x:v>0.075</x:v>
      </x:c>
      <x:c r="K373" s="44" t="n">
        <x:f>I373*J373</x:f>
        <x:v>0.016305421964556293</x:v>
      </x:c>
      <x:c r="L373" s="46" t="n">
        <x:v>0</x:v>
      </x:c>
      <x:c r="M373" s="46" t="n">
        <x:v>0</x:v>
      </x:c>
      <x:c r="N373" s="21" t="n">
        <x:f>IF(AND(L372=1,M372=1,P372&gt;0),1,0)</x:f>
        <x:v>0</x:v>
      </x:c>
      <x:c r="O373" s="21" t="n">
        <x:f>MIN('Root Data'!I115:I117)</x:f>
        <x:v>0</x:v>
      </x:c>
      <x:c r="P373" s="44" t="n">
        <x:f>IF(AND(L373=1,M373=1,N373=1,O373&gt;=G373),K373,0)</x:f>
        <x:v>0</x:v>
      </x:c>
      <x:c r="Q373" s="21" t="str">
        <x:v>OPEN</x:v>
      </x:c>
      <x:c r="R373" s="23" t="str">
        <x:v>HOLD</x:v>
      </x:c>
    </x:row>
    <x:row r="374">
      <x:c r="B374" s="21" t="str">
        <x:v>AR-00368</x:v>
      </x:c>
      <x:c r="C374" s="21" t="str">
        <x:v>F10-I1</x:v>
      </x:c>
      <x:c r="D374" s="21" t="str">
        <x:v>F10</x:v>
      </x:c>
      <x:c r="E374" s="21" t="n">
        <x:v>8</x:v>
      </x:c>
      <x:c r="F374" s="21" t="str">
        <x:v>Pilot-process qualification</x:v>
      </x:c>
      <x:c r="G374" s="21" t="n">
        <x:v>28</x:v>
      </x:c>
      <x:c r="H374" s="21" t="str">
        <x:v>AIMC Industrial Mobilization Authority</x:v>
      </x:c>
      <x:c r="I374" s="44" t="n">
        <x:f>Lifecycle!G14</x:f>
        <x:v>0.03952829567165163</x:v>
      </x:c>
      <x:c r="J374" s="44" t="n">
        <x:v>0.075</x:v>
      </x:c>
      <x:c r="K374" s="44" t="n">
        <x:f>I374*J374</x:f>
        <x:v>0.002964622175373872</x:v>
      </x:c>
      <x:c r="L374" s="46" t="n">
        <x:v>0</x:v>
      </x:c>
      <x:c r="M374" s="46" t="n">
        <x:v>0</x:v>
      </x:c>
      <x:c r="N374" s="21" t="n">
        <x:f>IF(AND(L373=1,M373=1,P373&gt;0),1,0)</x:f>
        <x:v>0</x:v>
      </x:c>
      <x:c r="O374" s="21" t="n">
        <x:f>MIN('Root Data'!I115:I117)</x:f>
        <x:v>0</x:v>
      </x:c>
      <x:c r="P374" s="44" t="n">
        <x:f>IF(AND(L374=1,M374=1,N374=1,O374&gt;=G374),K374,0)</x:f>
        <x:v>0</x:v>
      </x:c>
      <x:c r="Q374" s="21" t="str">
        <x:v>OPEN</x:v>
      </x:c>
      <x:c r="R374" s="23" t="str">
        <x:v>HOLD</x:v>
      </x:c>
    </x:row>
    <x:row r="375">
      <x:c r="B375" s="21" t="str">
        <x:v>AR-00369</x:v>
      </x:c>
      <x:c r="C375" s="21" t="str">
        <x:v>F10-I1</x:v>
      </x:c>
      <x:c r="D375" s="21" t="str">
        <x:v>F10</x:v>
      </x:c>
      <x:c r="E375" s="21" t="n">
        <x:v>9</x:v>
      </x:c>
      <x:c r="F375" s="21" t="str">
        <x:v>Production release package</x:v>
      </x:c>
      <x:c r="G375" s="21" t="n">
        <x:v>28</x:v>
      </x:c>
      <x:c r="H375" s="21" t="str">
        <x:v>Production Release Board</x:v>
      </x:c>
      <x:c r="I375" s="44" t="n">
        <x:f>Lifecycle!G15</x:f>
        <x:v>0.01647012319652151</x:v>
      </x:c>
      <x:c r="J375" s="44" t="n">
        <x:v>0.075</x:v>
      </x:c>
      <x:c r="K375" s="44" t="n">
        <x:f>I375*J375</x:f>
        <x:v>0.0012352592397391132</x:v>
      </x:c>
      <x:c r="L375" s="46" t="n">
        <x:v>0</x:v>
      </x:c>
      <x:c r="M375" s="46" t="n">
        <x:v>0</x:v>
      </x:c>
      <x:c r="N375" s="21" t="n">
        <x:f>IF(AND(L374=1,M374=1,P374&gt;0),1,0)</x:f>
        <x:v>0</x:v>
      </x:c>
      <x:c r="O375" s="21" t="n">
        <x:f>MIN('Root Data'!I115:I117)</x:f>
        <x:v>0</x:v>
      </x:c>
      <x:c r="P375" s="44" t="n">
        <x:f>IF(AND(L375=1,M375=1,N375=1,O375&gt;=G375),K375,0)</x:f>
        <x:v>0</x:v>
      </x:c>
      <x:c r="Q375" s="21" t="str">
        <x:v>OPEN</x:v>
      </x:c>
      <x:c r="R375" s="23" t="str">
        <x:v>HOLD</x:v>
      </x:c>
    </x:row>
    <x:row r="376">
      <x:c r="B376" s="21" t="str">
        <x:v>AR-00370</x:v>
      </x:c>
      <x:c r="C376" s="21" t="str">
        <x:v>F10-I1</x:v>
      </x:c>
      <x:c r="D376" s="21" t="str">
        <x:v>F10</x:v>
      </x:c>
      <x:c r="E376" s="21" t="n">
        <x:v>10</x:v>
      </x:c>
      <x:c r="F376" s="21" t="str">
        <x:v>Mobilization activation</x:v>
      </x:c>
      <x:c r="G376" s="21" t="n">
        <x:v>28</x:v>
      </x:c>
      <x:c r="H376" s="21" t="str">
        <x:v>Production Release Board</x:v>
      </x:c>
      <x:c r="I376" s="44" t="n">
        <x:f>Lifecycle!G16</x:f>
        <x:v>0.028262731405230914</x:v>
      </x:c>
      <x:c r="J376" s="44" t="n">
        <x:v>0.075</x:v>
      </x:c>
      <x:c r="K376" s="44" t="n">
        <x:f>I376*J376</x:f>
        <x:v>0.0021197048553923186</x:v>
      </x:c>
      <x:c r="L376" s="46" t="n">
        <x:v>0</x:v>
      </x:c>
      <x:c r="M376" s="46" t="n">
        <x:v>0</x:v>
      </x:c>
      <x:c r="N376" s="21" t="n">
        <x:f>IF(AND(L375=1,M375=1,P375&gt;0),1,0)</x:f>
        <x:v>0</x:v>
      </x:c>
      <x:c r="O376" s="21" t="n">
        <x:f>MIN('Root Data'!I115:I117)</x:f>
        <x:v>0</x:v>
      </x:c>
      <x:c r="P376" s="44" t="n">
        <x:f>IF(AND(L376=1,M376=1,N376=1,O376&gt;=G376),K376,0)</x:f>
        <x:v>0</x:v>
      </x:c>
      <x:c r="Q376" s="21" t="str">
        <x:v>OPEN</x:v>
      </x:c>
      <x:c r="R376" s="23" t="str">
        <x:v>HOLD</x:v>
      </x:c>
    </x:row>
    <x:row r="377">
      <x:c r="B377" s="21" t="str">
        <x:v>AR-00371</x:v>
      </x:c>
      <x:c r="C377" s="21" t="str">
        <x:v>F10-I2</x:v>
      </x:c>
      <x:c r="D377" s="21" t="str">
        <x:v>F10</x:v>
      </x:c>
      <x:c r="E377" s="21" t="n">
        <x:v>1</x:v>
      </x:c>
      <x:c r="F377" s="21" t="str">
        <x:v>Civil effect charter</x:v>
      </x:c>
      <x:c r="G377" s="21" t="n">
        <x:v>0</x:v>
      </x:c>
      <x:c r="H377" s="21" t="str">
        <x:v>Civil Guarantee Authority</x:v>
      </x:c>
      <x:c r="I377" s="44" t="n">
        <x:f>Lifecycle!G7</x:f>
        <x:v>0.04941036958956453</x:v>
      </x:c>
      <x:c r="J377" s="44" t="n">
        <x:v>0.075</x:v>
      </x:c>
      <x:c r="K377" s="44" t="n">
        <x:f>I377*J377</x:f>
        <x:v>0.0037057777192173397</x:v>
      </x:c>
      <x:c r="L377" s="46" t="n">
        <x:v>0</x:v>
      </x:c>
      <x:c r="M377" s="46" t="n">
        <x:v>0</x:v>
      </x:c>
      <x:c r="N377" s="21" t="n">
        <x:f>1</x:f>
        <x:v>1</x:v>
      </x:c>
      <x:c r="O377" s="21" t="n">
        <x:f>MIN('Root Data'!I118:I120)</x:f>
        <x:v>0</x:v>
      </x:c>
      <x:c r="P377" s="44" t="n">
        <x:f>IF(AND(L377=1,M377=1,N377=1,O377&gt;=G377),K377,0)</x:f>
        <x:v>0</x:v>
      </x:c>
      <x:c r="Q377" s="21" t="str">
        <x:v>OPEN</x:v>
      </x:c>
      <x:c r="R377" s="23" t="str">
        <x:v>HOLD</x:v>
      </x:c>
    </x:row>
    <x:row r="378">
      <x:c r="B378" s="21" t="str">
        <x:v>AR-00372</x:v>
      </x:c>
      <x:c r="C378" s="21" t="str">
        <x:v>F10-I2</x:v>
      </x:c>
      <x:c r="D378" s="21" t="str">
        <x:v>F10</x:v>
      </x:c>
      <x:c r="E378" s="21" t="n">
        <x:v>2</x:v>
      </x:c>
      <x:c r="F378" s="21" t="str">
        <x:v>Requirement and root-independence package</x:v>
      </x:c>
      <x:c r="G378" s="21" t="n">
        <x:v>8</x:v>
      </x:c>
      <x:c r="H378" s="21" t="str">
        <x:v>Resilience Staff</x:v>
      </x:c>
      <x:c r="I378" s="44" t="n">
        <x:f>Lifecycle!G8</x:f>
        <x:v>0.10211476381843337</x:v>
      </x:c>
      <x:c r="J378" s="44" t="n">
        <x:v>0.075</x:v>
      </x:c>
      <x:c r="K378" s="44" t="n">
        <x:f>I378*J378</x:f>
        <x:v>0.007658607286382502</x:v>
      </x:c>
      <x:c r="L378" s="46" t="n">
        <x:v>0</x:v>
      </x:c>
      <x:c r="M378" s="46" t="n">
        <x:v>0</x:v>
      </x:c>
      <x:c r="N378" s="21" t="n">
        <x:f>IF(AND(L377=1,M377=1,P377&gt;0),1,0)</x:f>
        <x:v>0</x:v>
      </x:c>
      <x:c r="O378" s="21" t="n">
        <x:f>MIN('Root Data'!I118:I120)</x:f>
        <x:v>0</x:v>
      </x:c>
      <x:c r="P378" s="44" t="n">
        <x:f>IF(AND(L378=1,M378=1,N378=1,O378&gt;=G378),K378,0)</x:f>
        <x:v>0</x:v>
      </x:c>
      <x:c r="Q378" s="21" t="str">
        <x:v>OPEN</x:v>
      </x:c>
      <x:c r="R378" s="23" t="str">
        <x:v>HOLD</x:v>
      </x:c>
    </x:row>
    <x:row r="379">
      <x:c r="B379" s="21" t="str">
        <x:v>AR-00373</x:v>
      </x:c>
      <x:c r="C379" s="21" t="str">
        <x:v>F10-I2</x:v>
      </x:c>
      <x:c r="D379" s="21" t="str">
        <x:v>F10</x:v>
      </x:c>
      <x:c r="E379" s="21" t="n">
        <x:v>3</x:v>
      </x:c>
      <x:c r="F379" s="21" t="str">
        <x:v>Architecture and burden closure</x:v>
      </x:c>
      <x:c r="G379" s="21" t="n">
        <x:v>14</x:v>
      </x:c>
      <x:c r="H379" s="21" t="str">
        <x:v>Independent Evidence and Data Authority</x:v>
      </x:c>
      <x:c r="I379" s="44" t="n">
        <x:f>Lifecycle!G9</x:f>
        <x:v>0.08564464062191186</x:v>
      </x:c>
      <x:c r="J379" s="44" t="n">
        <x:v>0.075</x:v>
      </x:c>
      <x:c r="K379" s="44" t="n">
        <x:f>I379*J379</x:f>
        <x:v>0.006423348046643389</x:v>
      </x:c>
      <x:c r="L379" s="46" t="n">
        <x:v>0</x:v>
      </x:c>
      <x:c r="M379" s="46" t="n">
        <x:v>0</x:v>
      </x:c>
      <x:c r="N379" s="21" t="n">
        <x:f>IF(AND(L378=1,M378=1,P378&gt;0),1,0)</x:f>
        <x:v>0</x:v>
      </x:c>
      <x:c r="O379" s="21" t="n">
        <x:f>MIN('Root Data'!I118:I120)</x:f>
        <x:v>0</x:v>
      </x:c>
      <x:c r="P379" s="44" t="n">
        <x:f>IF(AND(L379=1,M379=1,N379=1,O379&gt;=G379),K379,0)</x:f>
        <x:v>0</x:v>
      </x:c>
      <x:c r="Q379" s="21" t="str">
        <x:v>OPEN</x:v>
      </x:c>
      <x:c r="R379" s="23" t="str">
        <x:v>HOLD</x:v>
      </x:c>
    </x:row>
    <x:row r="380">
      <x:c r="B380" s="21" t="str">
        <x:v>AR-00374</x:v>
      </x:c>
      <x:c r="C380" s="21" t="str">
        <x:v>F10-I2</x:v>
      </x:c>
      <x:c r="D380" s="21" t="str">
        <x:v>F10</x:v>
      </x:c>
      <x:c r="E380" s="21" t="n">
        <x:v>4</x:v>
      </x:c>
      <x:c r="F380" s="21" t="str">
        <x:v>Engineering article acceptance</x:v>
      </x:c>
      <x:c r="G380" s="21" t="n">
        <x:v>18</x:v>
      </x:c>
      <x:c r="H380" s="21" t="str">
        <x:v>Independent Evidence and Data Authority</x:v>
      </x:c>
      <x:c r="I380" s="44" t="n">
        <x:f>Lifecycle!G10</x:f>
        <x:v>0.05929244350747744</x:v>
      </x:c>
      <x:c r="J380" s="44" t="n">
        <x:v>0.075</x:v>
      </x:c>
      <x:c r="K380" s="44" t="n">
        <x:f>I380*J380</x:f>
        <x:v>0.004446933263060808</x:v>
      </x:c>
      <x:c r="L380" s="46" t="n">
        <x:v>0</x:v>
      </x:c>
      <x:c r="M380" s="46" t="n">
        <x:v>0</x:v>
      </x:c>
      <x:c r="N380" s="21" t="n">
        <x:f>IF(AND(L379=1,M379=1,P379&gt;0),1,0)</x:f>
        <x:v>0</x:v>
      </x:c>
      <x:c r="O380" s="21" t="n">
        <x:f>MIN('Root Data'!I118:I120)</x:f>
        <x:v>0</x:v>
      </x:c>
      <x:c r="P380" s="44" t="n">
        <x:f>IF(AND(L380=1,M380=1,N380=1,O380&gt;=G380),K380,0)</x:f>
        <x:v>0</x:v>
      </x:c>
      <x:c r="Q380" s="21" t="str">
        <x:v>OPEN</x:v>
      </x:c>
      <x:c r="R380" s="23" t="str">
        <x:v>HOLD</x:v>
      </x:c>
    </x:row>
    <x:row r="381">
      <x:c r="B381" s="21" t="str">
        <x:v>AR-00375</x:v>
      </x:c>
      <x:c r="C381" s="21" t="str">
        <x:v>F10-I2</x:v>
      </x:c>
      <x:c r="D381" s="21" t="str">
        <x:v>F10</x:v>
      </x:c>
      <x:c r="E381" s="21" t="n">
        <x:v>5</x:v>
      </x:c>
      <x:c r="F381" s="21" t="str">
        <x:v>Qualification and destructive evidence</x:v>
      </x:c>
      <x:c r="G381" s="21" t="n">
        <x:v>21</x:v>
      </x:c>
      <x:c r="H381" s="21" t="str">
        <x:v>Independent Evidence and Data Authority</x:v>
      </x:c>
      <x:c r="I381" s="44" t="n">
        <x:f>Lifecycle!G11</x:f>
        <x:v>0.1515251334079979</x:v>
      </x:c>
      <x:c r="J381" s="44" t="n">
        <x:v>0.075</x:v>
      </x:c>
      <x:c r="K381" s="44" t="n">
        <x:f>I381*J381</x:f>
        <x:v>0.011364385005599841</x:v>
      </x:c>
      <x:c r="L381" s="46" t="n">
        <x:v>0</x:v>
      </x:c>
      <x:c r="M381" s="46" t="n">
        <x:v>0</x:v>
      </x:c>
      <x:c r="N381" s="21" t="n">
        <x:f>IF(AND(L380=1,M380=1,P380&gt;0),1,0)</x:f>
        <x:v>0</x:v>
      </x:c>
      <x:c r="O381" s="21" t="n">
        <x:f>MIN('Root Data'!I118:I120)</x:f>
        <x:v>0</x:v>
      </x:c>
      <x:c r="P381" s="44" t="n">
        <x:f>IF(AND(L381=1,M381=1,N381=1,O381&gt;=G381),K381,0)</x:f>
        <x:v>0</x:v>
      </x:c>
      <x:c r="Q381" s="21" t="str">
        <x:v>OPEN</x:v>
      </x:c>
      <x:c r="R381" s="23" t="str">
        <x:v>HOLD</x:v>
      </x:c>
    </x:row>
    <x:row r="382">
      <x:c r="B382" s="21" t="str">
        <x:v>AR-00376</x:v>
      </x:c>
      <x:c r="C382" s="21" t="str">
        <x:v>F10-I2</x:v>
      </x:c>
      <x:c r="D382" s="21" t="str">
        <x:v>F10</x:v>
      </x:c>
      <x:c r="E382" s="21" t="n">
        <x:v>6</x:v>
      </x:c>
      <x:c r="F382" s="21" t="str">
        <x:v>Representative mission result</x:v>
      </x:c>
      <x:c r="G382" s="21" t="n">
        <x:v>23</x:v>
      </x:c>
      <x:c r="H382" s="21" t="str">
        <x:v>Receiving Service Authority</x:v>
      </x:c>
      <x:c r="I382" s="44" t="n">
        <x:f>Lifecycle!G12</x:f>
        <x:v>0.250345872587127</x:v>
      </x:c>
      <x:c r="J382" s="44" t="n">
        <x:v>0.075</x:v>
      </x:c>
      <x:c r="K382" s="44" t="n">
        <x:f>I382*J382</x:f>
        <x:v>0.018775940444034522</x:v>
      </x:c>
      <x:c r="L382" s="46" t="n">
        <x:v>0</x:v>
      </x:c>
      <x:c r="M382" s="46" t="n">
        <x:v>0</x:v>
      </x:c>
      <x:c r="N382" s="21" t="n">
        <x:f>IF(AND(L381=1,M381=1,P381&gt;0),1,0)</x:f>
        <x:v>0</x:v>
      </x:c>
      <x:c r="O382" s="21" t="n">
        <x:f>MIN('Root Data'!I118:I120)</x:f>
        <x:v>0</x:v>
      </x:c>
      <x:c r="P382" s="44" t="n">
        <x:f>IF(AND(L382=1,M382=1,N382=1,O382&gt;=G382),K382,0)</x:f>
        <x:v>0</x:v>
      </x:c>
      <x:c r="Q382" s="21" t="str">
        <x:v>OPEN</x:v>
      </x:c>
      <x:c r="R382" s="23" t="str">
        <x:v>HOLD</x:v>
      </x:c>
    </x:row>
    <x:row r="383">
      <x:c r="B383" s="21" t="str">
        <x:v>AR-00377</x:v>
      </x:c>
      <x:c r="C383" s="21" t="str">
        <x:v>F10-I2</x:v>
      </x:c>
      <x:c r="D383" s="21" t="str">
        <x:v>F10</x:v>
      </x:c>
      <x:c r="E383" s="21" t="n">
        <x:v>7</x:v>
      </x:c>
      <x:c r="F383" s="21" t="str">
        <x:v>Independent reproduction</x:v>
      </x:c>
      <x:c r="G383" s="21" t="n">
        <x:v>28</x:v>
      </x:c>
      <x:c r="H383" s="21" t="str">
        <x:v>Independent Evidence and Data Authority</x:v>
      </x:c>
      <x:c r="I383" s="44" t="n">
        <x:f>Lifecycle!G13</x:f>
        <x:v>0.21740562619408393</x:v>
      </x:c>
      <x:c r="J383" s="44" t="n">
        <x:v>0.075</x:v>
      </x:c>
      <x:c r="K383" s="44" t="n">
        <x:f>I383*J383</x:f>
        <x:v>0.016305421964556293</x:v>
      </x:c>
      <x:c r="L383" s="46" t="n">
        <x:v>0</x:v>
      </x:c>
      <x:c r="M383" s="46" t="n">
        <x:v>0</x:v>
      </x:c>
      <x:c r="N383" s="21" t="n">
        <x:f>IF(AND(L382=1,M382=1,P382&gt;0),1,0)</x:f>
        <x:v>0</x:v>
      </x:c>
      <x:c r="O383" s="21" t="n">
        <x:f>MIN('Root Data'!I118:I120)</x:f>
        <x:v>0</x:v>
      </x:c>
      <x:c r="P383" s="44" t="n">
        <x:f>IF(AND(L383=1,M383=1,N383=1,O383&gt;=G383),K383,0)</x:f>
        <x:v>0</x:v>
      </x:c>
      <x:c r="Q383" s="21" t="str">
        <x:v>OPEN</x:v>
      </x:c>
      <x:c r="R383" s="23" t="str">
        <x:v>HOLD</x:v>
      </x:c>
    </x:row>
    <x:row r="384">
      <x:c r="B384" s="21" t="str">
        <x:v>AR-00378</x:v>
      </x:c>
      <x:c r="C384" s="21" t="str">
        <x:v>F10-I2</x:v>
      </x:c>
      <x:c r="D384" s="21" t="str">
        <x:v>F10</x:v>
      </x:c>
      <x:c r="E384" s="21" t="n">
        <x:v>8</x:v>
      </x:c>
      <x:c r="F384" s="21" t="str">
        <x:v>Pilot-process qualification</x:v>
      </x:c>
      <x:c r="G384" s="21" t="n">
        <x:v>28</x:v>
      </x:c>
      <x:c r="H384" s="21" t="str">
        <x:v>AIMC Industrial Mobilization Authority</x:v>
      </x:c>
      <x:c r="I384" s="44" t="n">
        <x:f>Lifecycle!G14</x:f>
        <x:v>0.03952829567165163</x:v>
      </x:c>
      <x:c r="J384" s="44" t="n">
        <x:v>0.075</x:v>
      </x:c>
      <x:c r="K384" s="44" t="n">
        <x:f>I384*J384</x:f>
        <x:v>0.002964622175373872</x:v>
      </x:c>
      <x:c r="L384" s="46" t="n">
        <x:v>0</x:v>
      </x:c>
      <x:c r="M384" s="46" t="n">
        <x:v>0</x:v>
      </x:c>
      <x:c r="N384" s="21" t="n">
        <x:f>IF(AND(L383=1,M383=1,P383&gt;0),1,0)</x:f>
        <x:v>0</x:v>
      </x:c>
      <x:c r="O384" s="21" t="n">
        <x:f>MIN('Root Data'!I118:I120)</x:f>
        <x:v>0</x:v>
      </x:c>
      <x:c r="P384" s="44" t="n">
        <x:f>IF(AND(L384=1,M384=1,N384=1,O384&gt;=G384),K384,0)</x:f>
        <x:v>0</x:v>
      </x:c>
      <x:c r="Q384" s="21" t="str">
        <x:v>OPEN</x:v>
      </x:c>
      <x:c r="R384" s="23" t="str">
        <x:v>HOLD</x:v>
      </x:c>
    </x:row>
    <x:row r="385">
      <x:c r="B385" s="21" t="str">
        <x:v>AR-00379</x:v>
      </x:c>
      <x:c r="C385" s="21" t="str">
        <x:v>F10-I2</x:v>
      </x:c>
      <x:c r="D385" s="21" t="str">
        <x:v>F10</x:v>
      </x:c>
      <x:c r="E385" s="21" t="n">
        <x:v>9</x:v>
      </x:c>
      <x:c r="F385" s="21" t="str">
        <x:v>Production release package</x:v>
      </x:c>
      <x:c r="G385" s="21" t="n">
        <x:v>28</x:v>
      </x:c>
      <x:c r="H385" s="21" t="str">
        <x:v>Production Release Board</x:v>
      </x:c>
      <x:c r="I385" s="44" t="n">
        <x:f>Lifecycle!G15</x:f>
        <x:v>0.01647012319652151</x:v>
      </x:c>
      <x:c r="J385" s="44" t="n">
        <x:v>0.075</x:v>
      </x:c>
      <x:c r="K385" s="44" t="n">
        <x:f>I385*J385</x:f>
        <x:v>0.0012352592397391132</x:v>
      </x:c>
      <x:c r="L385" s="46" t="n">
        <x:v>0</x:v>
      </x:c>
      <x:c r="M385" s="46" t="n">
        <x:v>0</x:v>
      </x:c>
      <x:c r="N385" s="21" t="n">
        <x:f>IF(AND(L384=1,M384=1,P384&gt;0),1,0)</x:f>
        <x:v>0</x:v>
      </x:c>
      <x:c r="O385" s="21" t="n">
        <x:f>MIN('Root Data'!I118:I120)</x:f>
        <x:v>0</x:v>
      </x:c>
      <x:c r="P385" s="44" t="n">
        <x:f>IF(AND(L385=1,M385=1,N385=1,O385&gt;=G385),K385,0)</x:f>
        <x:v>0</x:v>
      </x:c>
      <x:c r="Q385" s="21" t="str">
        <x:v>OPEN</x:v>
      </x:c>
      <x:c r="R385" s="23" t="str">
        <x:v>HOLD</x:v>
      </x:c>
    </x:row>
    <x:row r="386">
      <x:c r="B386" s="21" t="str">
        <x:v>AR-00380</x:v>
      </x:c>
      <x:c r="C386" s="21" t="str">
        <x:v>F10-I2</x:v>
      </x:c>
      <x:c r="D386" s="21" t="str">
        <x:v>F10</x:v>
      </x:c>
      <x:c r="E386" s="21" t="n">
        <x:v>10</x:v>
      </x:c>
      <x:c r="F386" s="21" t="str">
        <x:v>Mobilization activation</x:v>
      </x:c>
      <x:c r="G386" s="21" t="n">
        <x:v>28</x:v>
      </x:c>
      <x:c r="H386" s="21" t="str">
        <x:v>Production Release Board</x:v>
      </x:c>
      <x:c r="I386" s="44" t="n">
        <x:f>Lifecycle!G16</x:f>
        <x:v>0.028262731405230914</x:v>
      </x:c>
      <x:c r="J386" s="44" t="n">
        <x:v>0.075</x:v>
      </x:c>
      <x:c r="K386" s="44" t="n">
        <x:f>I386*J386</x:f>
        <x:v>0.0021197048553923186</x:v>
      </x:c>
      <x:c r="L386" s="46" t="n">
        <x:v>0</x:v>
      </x:c>
      <x:c r="M386" s="46" t="n">
        <x:v>0</x:v>
      </x:c>
      <x:c r="N386" s="21" t="n">
        <x:f>IF(AND(L385=1,M385=1,P385&gt;0),1,0)</x:f>
        <x:v>0</x:v>
      </x:c>
      <x:c r="O386" s="21" t="n">
        <x:f>MIN('Root Data'!I118:I120)</x:f>
        <x:v>0</x:v>
      </x:c>
      <x:c r="P386" s="44" t="n">
        <x:f>IF(AND(L386=1,M386=1,N386=1,O386&gt;=G386),K386,0)</x:f>
        <x:v>0</x:v>
      </x:c>
      <x:c r="Q386" s="21" t="str">
        <x:v>OPEN</x:v>
      </x:c>
      <x:c r="R386" s="23" t="str">
        <x:v>HOLD</x:v>
      </x:c>
    </x:row>
    <x:row r="387">
      <x:c r="B387" s="21" t="str">
        <x:v>AR-00381</x:v>
      </x:c>
      <x:c r="C387" s="21" t="str">
        <x:v>F10-I3</x:v>
      </x:c>
      <x:c r="D387" s="21" t="str">
        <x:v>F10</x:v>
      </x:c>
      <x:c r="E387" s="21" t="n">
        <x:v>1</x:v>
      </x:c>
      <x:c r="F387" s="21" t="str">
        <x:v>Civil effect charter</x:v>
      </x:c>
      <x:c r="G387" s="21" t="n">
        <x:v>0</x:v>
      </x:c>
      <x:c r="H387" s="21" t="str">
        <x:v>Civil Guarantee Authority</x:v>
      </x:c>
      <x:c r="I387" s="44" t="n">
        <x:f>Lifecycle!G7</x:f>
        <x:v>0.04941036958956453</x:v>
      </x:c>
      <x:c r="J387" s="44" t="n">
        <x:v>0.075</x:v>
      </x:c>
      <x:c r="K387" s="44" t="n">
        <x:f>I387*J387</x:f>
        <x:v>0.0037057777192173397</x:v>
      </x:c>
      <x:c r="L387" s="46" t="n">
        <x:v>0</x:v>
      </x:c>
      <x:c r="M387" s="46" t="n">
        <x:v>0</x:v>
      </x:c>
      <x:c r="N387" s="21" t="n">
        <x:f>1</x:f>
        <x:v>1</x:v>
      </x:c>
      <x:c r="O387" s="21" t="n">
        <x:f>MIN('Root Data'!I121:I123)</x:f>
        <x:v>0</x:v>
      </x:c>
      <x:c r="P387" s="44" t="n">
        <x:f>IF(AND(L387=1,M387=1,N387=1,O387&gt;=G387),K387,0)</x:f>
        <x:v>0</x:v>
      </x:c>
      <x:c r="Q387" s="21" t="str">
        <x:v>OPEN</x:v>
      </x:c>
      <x:c r="R387" s="23" t="str">
        <x:v>HOLD</x:v>
      </x:c>
    </x:row>
    <x:row r="388">
      <x:c r="B388" s="21" t="str">
        <x:v>AR-00382</x:v>
      </x:c>
      <x:c r="C388" s="21" t="str">
        <x:v>F10-I3</x:v>
      </x:c>
      <x:c r="D388" s="21" t="str">
        <x:v>F10</x:v>
      </x:c>
      <x:c r="E388" s="21" t="n">
        <x:v>2</x:v>
      </x:c>
      <x:c r="F388" s="21" t="str">
        <x:v>Requirement and root-independence package</x:v>
      </x:c>
      <x:c r="G388" s="21" t="n">
        <x:v>8</x:v>
      </x:c>
      <x:c r="H388" s="21" t="str">
        <x:v>Resilience Staff</x:v>
      </x:c>
      <x:c r="I388" s="44" t="n">
        <x:f>Lifecycle!G8</x:f>
        <x:v>0.10211476381843337</x:v>
      </x:c>
      <x:c r="J388" s="44" t="n">
        <x:v>0.075</x:v>
      </x:c>
      <x:c r="K388" s="44" t="n">
        <x:f>I388*J388</x:f>
        <x:v>0.007658607286382502</x:v>
      </x:c>
      <x:c r="L388" s="46" t="n">
        <x:v>0</x:v>
      </x:c>
      <x:c r="M388" s="46" t="n">
        <x:v>0</x:v>
      </x:c>
      <x:c r="N388" s="21" t="n">
        <x:f>IF(AND(L387=1,M387=1,P387&gt;0),1,0)</x:f>
        <x:v>0</x:v>
      </x:c>
      <x:c r="O388" s="21" t="n">
        <x:f>MIN('Root Data'!I121:I123)</x:f>
        <x:v>0</x:v>
      </x:c>
      <x:c r="P388" s="44" t="n">
        <x:f>IF(AND(L388=1,M388=1,N388=1,O388&gt;=G388),K388,0)</x:f>
        <x:v>0</x:v>
      </x:c>
      <x:c r="Q388" s="21" t="str">
        <x:v>OPEN</x:v>
      </x:c>
      <x:c r="R388" s="23" t="str">
        <x:v>HOLD</x:v>
      </x:c>
    </x:row>
    <x:row r="389">
      <x:c r="B389" s="21" t="str">
        <x:v>AR-00383</x:v>
      </x:c>
      <x:c r="C389" s="21" t="str">
        <x:v>F10-I3</x:v>
      </x:c>
      <x:c r="D389" s="21" t="str">
        <x:v>F10</x:v>
      </x:c>
      <x:c r="E389" s="21" t="n">
        <x:v>3</x:v>
      </x:c>
      <x:c r="F389" s="21" t="str">
        <x:v>Architecture and burden closure</x:v>
      </x:c>
      <x:c r="G389" s="21" t="n">
        <x:v>14</x:v>
      </x:c>
      <x:c r="H389" s="21" t="str">
        <x:v>Independent Evidence and Data Authority</x:v>
      </x:c>
      <x:c r="I389" s="44" t="n">
        <x:f>Lifecycle!G9</x:f>
        <x:v>0.08564464062191186</x:v>
      </x:c>
      <x:c r="J389" s="44" t="n">
        <x:v>0.075</x:v>
      </x:c>
      <x:c r="K389" s="44" t="n">
        <x:f>I389*J389</x:f>
        <x:v>0.006423348046643389</x:v>
      </x:c>
      <x:c r="L389" s="46" t="n">
        <x:v>0</x:v>
      </x:c>
      <x:c r="M389" s="46" t="n">
        <x:v>0</x:v>
      </x:c>
      <x:c r="N389" s="21" t="n">
        <x:f>IF(AND(L388=1,M388=1,P388&gt;0),1,0)</x:f>
        <x:v>0</x:v>
      </x:c>
      <x:c r="O389" s="21" t="n">
        <x:f>MIN('Root Data'!I121:I123)</x:f>
        <x:v>0</x:v>
      </x:c>
      <x:c r="P389" s="44" t="n">
        <x:f>IF(AND(L389=1,M389=1,N389=1,O389&gt;=G389),K389,0)</x:f>
        <x:v>0</x:v>
      </x:c>
      <x:c r="Q389" s="21" t="str">
        <x:v>OPEN</x:v>
      </x:c>
      <x:c r="R389" s="23" t="str">
        <x:v>HOLD</x:v>
      </x:c>
    </x:row>
    <x:row r="390">
      <x:c r="B390" s="21" t="str">
        <x:v>AR-00384</x:v>
      </x:c>
      <x:c r="C390" s="21" t="str">
        <x:v>F10-I3</x:v>
      </x:c>
      <x:c r="D390" s="21" t="str">
        <x:v>F10</x:v>
      </x:c>
      <x:c r="E390" s="21" t="n">
        <x:v>4</x:v>
      </x:c>
      <x:c r="F390" s="21" t="str">
        <x:v>Engineering article acceptance</x:v>
      </x:c>
      <x:c r="G390" s="21" t="n">
        <x:v>18</x:v>
      </x:c>
      <x:c r="H390" s="21" t="str">
        <x:v>Independent Evidence and Data Authority</x:v>
      </x:c>
      <x:c r="I390" s="44" t="n">
        <x:f>Lifecycle!G10</x:f>
        <x:v>0.05929244350747744</x:v>
      </x:c>
      <x:c r="J390" s="44" t="n">
        <x:v>0.075</x:v>
      </x:c>
      <x:c r="K390" s="44" t="n">
        <x:f>I390*J390</x:f>
        <x:v>0.004446933263060808</x:v>
      </x:c>
      <x:c r="L390" s="46" t="n">
        <x:v>0</x:v>
      </x:c>
      <x:c r="M390" s="46" t="n">
        <x:v>0</x:v>
      </x:c>
      <x:c r="N390" s="21" t="n">
        <x:f>IF(AND(L389=1,M389=1,P389&gt;0),1,0)</x:f>
        <x:v>0</x:v>
      </x:c>
      <x:c r="O390" s="21" t="n">
        <x:f>MIN('Root Data'!I121:I123)</x:f>
        <x:v>0</x:v>
      </x:c>
      <x:c r="P390" s="44" t="n">
        <x:f>IF(AND(L390=1,M390=1,N390=1,O390&gt;=G390),K390,0)</x:f>
        <x:v>0</x:v>
      </x:c>
      <x:c r="Q390" s="21" t="str">
        <x:v>OPEN</x:v>
      </x:c>
      <x:c r="R390" s="23" t="str">
        <x:v>HOLD</x:v>
      </x:c>
    </x:row>
    <x:row r="391">
      <x:c r="B391" s="21" t="str">
        <x:v>AR-00385</x:v>
      </x:c>
      <x:c r="C391" s="21" t="str">
        <x:v>F10-I3</x:v>
      </x:c>
      <x:c r="D391" s="21" t="str">
        <x:v>F10</x:v>
      </x:c>
      <x:c r="E391" s="21" t="n">
        <x:v>5</x:v>
      </x:c>
      <x:c r="F391" s="21" t="str">
        <x:v>Qualification and destructive evidence</x:v>
      </x:c>
      <x:c r="G391" s="21" t="n">
        <x:v>21</x:v>
      </x:c>
      <x:c r="H391" s="21" t="str">
        <x:v>Independent Evidence and Data Authority</x:v>
      </x:c>
      <x:c r="I391" s="44" t="n">
        <x:f>Lifecycle!G11</x:f>
        <x:v>0.1515251334079979</x:v>
      </x:c>
      <x:c r="J391" s="44" t="n">
        <x:v>0.075</x:v>
      </x:c>
      <x:c r="K391" s="44" t="n">
        <x:f>I391*J391</x:f>
        <x:v>0.011364385005599841</x:v>
      </x:c>
      <x:c r="L391" s="46" t="n">
        <x:v>0</x:v>
      </x:c>
      <x:c r="M391" s="46" t="n">
        <x:v>0</x:v>
      </x:c>
      <x:c r="N391" s="21" t="n">
        <x:f>IF(AND(L390=1,M390=1,P390&gt;0),1,0)</x:f>
        <x:v>0</x:v>
      </x:c>
      <x:c r="O391" s="21" t="n">
        <x:f>MIN('Root Data'!I121:I123)</x:f>
        <x:v>0</x:v>
      </x:c>
      <x:c r="P391" s="44" t="n">
        <x:f>IF(AND(L391=1,M391=1,N391=1,O391&gt;=G391),K391,0)</x:f>
        <x:v>0</x:v>
      </x:c>
      <x:c r="Q391" s="21" t="str">
        <x:v>OPEN</x:v>
      </x:c>
      <x:c r="R391" s="23" t="str">
        <x:v>HOLD</x:v>
      </x:c>
    </x:row>
    <x:row r="392">
      <x:c r="B392" s="21" t="str">
        <x:v>AR-00386</x:v>
      </x:c>
      <x:c r="C392" s="21" t="str">
        <x:v>F10-I3</x:v>
      </x:c>
      <x:c r="D392" s="21" t="str">
        <x:v>F10</x:v>
      </x:c>
      <x:c r="E392" s="21" t="n">
        <x:v>6</x:v>
      </x:c>
      <x:c r="F392" s="21" t="str">
        <x:v>Representative mission result</x:v>
      </x:c>
      <x:c r="G392" s="21" t="n">
        <x:v>23</x:v>
      </x:c>
      <x:c r="H392" s="21" t="str">
        <x:v>Receiving Service Authority</x:v>
      </x:c>
      <x:c r="I392" s="44" t="n">
        <x:f>Lifecycle!G12</x:f>
        <x:v>0.250345872587127</x:v>
      </x:c>
      <x:c r="J392" s="44" t="n">
        <x:v>0.075</x:v>
      </x:c>
      <x:c r="K392" s="44" t="n">
        <x:f>I392*J392</x:f>
        <x:v>0.018775940444034522</x:v>
      </x:c>
      <x:c r="L392" s="46" t="n">
        <x:v>0</x:v>
      </x:c>
      <x:c r="M392" s="46" t="n">
        <x:v>0</x:v>
      </x:c>
      <x:c r="N392" s="21" t="n">
        <x:f>IF(AND(L391=1,M391=1,P391&gt;0),1,0)</x:f>
        <x:v>0</x:v>
      </x:c>
      <x:c r="O392" s="21" t="n">
        <x:f>MIN('Root Data'!I121:I123)</x:f>
        <x:v>0</x:v>
      </x:c>
      <x:c r="P392" s="44" t="n">
        <x:f>IF(AND(L392=1,M392=1,N392=1,O392&gt;=G392),K392,0)</x:f>
        <x:v>0</x:v>
      </x:c>
      <x:c r="Q392" s="21" t="str">
        <x:v>OPEN</x:v>
      </x:c>
      <x:c r="R392" s="23" t="str">
        <x:v>HOLD</x:v>
      </x:c>
    </x:row>
    <x:row r="393">
      <x:c r="B393" s="21" t="str">
        <x:v>AR-00387</x:v>
      </x:c>
      <x:c r="C393" s="21" t="str">
        <x:v>F10-I3</x:v>
      </x:c>
      <x:c r="D393" s="21" t="str">
        <x:v>F10</x:v>
      </x:c>
      <x:c r="E393" s="21" t="n">
        <x:v>7</x:v>
      </x:c>
      <x:c r="F393" s="21" t="str">
        <x:v>Independent reproduction</x:v>
      </x:c>
      <x:c r="G393" s="21" t="n">
        <x:v>28</x:v>
      </x:c>
      <x:c r="H393" s="21" t="str">
        <x:v>Independent Evidence and Data Authority</x:v>
      </x:c>
      <x:c r="I393" s="44" t="n">
        <x:f>Lifecycle!G13</x:f>
        <x:v>0.21740562619408393</x:v>
      </x:c>
      <x:c r="J393" s="44" t="n">
        <x:v>0.075</x:v>
      </x:c>
      <x:c r="K393" s="44" t="n">
        <x:f>I393*J393</x:f>
        <x:v>0.016305421964556293</x:v>
      </x:c>
      <x:c r="L393" s="46" t="n">
        <x:v>0</x:v>
      </x:c>
      <x:c r="M393" s="46" t="n">
        <x:v>0</x:v>
      </x:c>
      <x:c r="N393" s="21" t="n">
        <x:f>IF(AND(L392=1,M392=1,P392&gt;0),1,0)</x:f>
        <x:v>0</x:v>
      </x:c>
      <x:c r="O393" s="21" t="n">
        <x:f>MIN('Root Data'!I121:I123)</x:f>
        <x:v>0</x:v>
      </x:c>
      <x:c r="P393" s="44" t="n">
        <x:f>IF(AND(L393=1,M393=1,N393=1,O393&gt;=G393),K393,0)</x:f>
        <x:v>0</x:v>
      </x:c>
      <x:c r="Q393" s="21" t="str">
        <x:v>OPEN</x:v>
      </x:c>
      <x:c r="R393" s="23" t="str">
        <x:v>HOLD</x:v>
      </x:c>
    </x:row>
    <x:row r="394">
      <x:c r="B394" s="21" t="str">
        <x:v>AR-00388</x:v>
      </x:c>
      <x:c r="C394" s="21" t="str">
        <x:v>F10-I3</x:v>
      </x:c>
      <x:c r="D394" s="21" t="str">
        <x:v>F10</x:v>
      </x:c>
      <x:c r="E394" s="21" t="n">
        <x:v>8</x:v>
      </x:c>
      <x:c r="F394" s="21" t="str">
        <x:v>Pilot-process qualification</x:v>
      </x:c>
      <x:c r="G394" s="21" t="n">
        <x:v>28</x:v>
      </x:c>
      <x:c r="H394" s="21" t="str">
        <x:v>AIMC Industrial Mobilization Authority</x:v>
      </x:c>
      <x:c r="I394" s="44" t="n">
        <x:f>Lifecycle!G14</x:f>
        <x:v>0.03952829567165163</x:v>
      </x:c>
      <x:c r="J394" s="44" t="n">
        <x:v>0.075</x:v>
      </x:c>
      <x:c r="K394" s="44" t="n">
        <x:f>I394*J394</x:f>
        <x:v>0.002964622175373872</x:v>
      </x:c>
      <x:c r="L394" s="46" t="n">
        <x:v>0</x:v>
      </x:c>
      <x:c r="M394" s="46" t="n">
        <x:v>0</x:v>
      </x:c>
      <x:c r="N394" s="21" t="n">
        <x:f>IF(AND(L393=1,M393=1,P393&gt;0),1,0)</x:f>
        <x:v>0</x:v>
      </x:c>
      <x:c r="O394" s="21" t="n">
        <x:f>MIN('Root Data'!I121:I123)</x:f>
        <x:v>0</x:v>
      </x:c>
      <x:c r="P394" s="44" t="n">
        <x:f>IF(AND(L394=1,M394=1,N394=1,O394&gt;=G394),K394,0)</x:f>
        <x:v>0</x:v>
      </x:c>
      <x:c r="Q394" s="21" t="str">
        <x:v>OPEN</x:v>
      </x:c>
      <x:c r="R394" s="23" t="str">
        <x:v>HOLD</x:v>
      </x:c>
    </x:row>
    <x:row r="395">
      <x:c r="B395" s="21" t="str">
        <x:v>AR-00389</x:v>
      </x:c>
      <x:c r="C395" s="21" t="str">
        <x:v>F10-I3</x:v>
      </x:c>
      <x:c r="D395" s="21" t="str">
        <x:v>F10</x:v>
      </x:c>
      <x:c r="E395" s="21" t="n">
        <x:v>9</x:v>
      </x:c>
      <x:c r="F395" s="21" t="str">
        <x:v>Production release package</x:v>
      </x:c>
      <x:c r="G395" s="21" t="n">
        <x:v>28</x:v>
      </x:c>
      <x:c r="H395" s="21" t="str">
        <x:v>Production Release Board</x:v>
      </x:c>
      <x:c r="I395" s="44" t="n">
        <x:f>Lifecycle!G15</x:f>
        <x:v>0.01647012319652151</x:v>
      </x:c>
      <x:c r="J395" s="44" t="n">
        <x:v>0.075</x:v>
      </x:c>
      <x:c r="K395" s="44" t="n">
        <x:f>I395*J395</x:f>
        <x:v>0.0012352592397391132</x:v>
      </x:c>
      <x:c r="L395" s="46" t="n">
        <x:v>0</x:v>
      </x:c>
      <x:c r="M395" s="46" t="n">
        <x:v>0</x:v>
      </x:c>
      <x:c r="N395" s="21" t="n">
        <x:f>IF(AND(L394=1,M394=1,P394&gt;0),1,0)</x:f>
        <x:v>0</x:v>
      </x:c>
      <x:c r="O395" s="21" t="n">
        <x:f>MIN('Root Data'!I121:I123)</x:f>
        <x:v>0</x:v>
      </x:c>
      <x:c r="P395" s="44" t="n">
        <x:f>IF(AND(L395=1,M395=1,N395=1,O395&gt;=G395),K395,0)</x:f>
        <x:v>0</x:v>
      </x:c>
      <x:c r="Q395" s="21" t="str">
        <x:v>OPEN</x:v>
      </x:c>
      <x:c r="R395" s="23" t="str">
        <x:v>HOLD</x:v>
      </x:c>
    </x:row>
    <x:row r="396">
      <x:c r="B396" s="21" t="str">
        <x:v>AR-00390</x:v>
      </x:c>
      <x:c r="C396" s="21" t="str">
        <x:v>F10-I3</x:v>
      </x:c>
      <x:c r="D396" s="21" t="str">
        <x:v>F10</x:v>
      </x:c>
      <x:c r="E396" s="21" t="n">
        <x:v>10</x:v>
      </x:c>
      <x:c r="F396" s="21" t="str">
        <x:v>Mobilization activation</x:v>
      </x:c>
      <x:c r="G396" s="21" t="n">
        <x:v>28</x:v>
      </x:c>
      <x:c r="H396" s="21" t="str">
        <x:v>Production Release Board</x:v>
      </x:c>
      <x:c r="I396" s="44" t="n">
        <x:f>Lifecycle!G16</x:f>
        <x:v>0.028262731405230914</x:v>
      </x:c>
      <x:c r="J396" s="44" t="n">
        <x:v>0.075</x:v>
      </x:c>
      <x:c r="K396" s="44" t="n">
        <x:f>I396*J396</x:f>
        <x:v>0.0021197048553923186</x:v>
      </x:c>
      <x:c r="L396" s="46" t="n">
        <x:v>0</x:v>
      </x:c>
      <x:c r="M396" s="46" t="n">
        <x:v>0</x:v>
      </x:c>
      <x:c r="N396" s="21" t="n">
        <x:f>IF(AND(L395=1,M395=1,P395&gt;0),1,0)</x:f>
        <x:v>0</x:v>
      </x:c>
      <x:c r="O396" s="21" t="n">
        <x:f>MIN('Root Data'!I121:I123)</x:f>
        <x:v>0</x:v>
      </x:c>
      <x:c r="P396" s="44" t="n">
        <x:f>IF(AND(L396=1,M396=1,N396=1,O396&gt;=G396),K396,0)</x:f>
        <x:v>0</x:v>
      </x:c>
      <x:c r="Q396" s="21" t="str">
        <x:v>OPEN</x:v>
      </x:c>
      <x:c r="R396" s="23" t="str">
        <x:v>HOLD</x:v>
      </x:c>
    </x:row>
    <x:row r="397">
      <x:c r="B397" s="21" t="str">
        <x:v>AR-00391</x:v>
      </x:c>
      <x:c r="C397" s="21" t="str">
        <x:v>F10-I4</x:v>
      </x:c>
      <x:c r="D397" s="21" t="str">
        <x:v>F10</x:v>
      </x:c>
      <x:c r="E397" s="21" t="n">
        <x:v>1</x:v>
      </x:c>
      <x:c r="F397" s="21" t="str">
        <x:v>Civil effect charter</x:v>
      </x:c>
      <x:c r="G397" s="21" t="n">
        <x:v>0</x:v>
      </x:c>
      <x:c r="H397" s="21" t="str">
        <x:v>Civil Guarantee Authority</x:v>
      </x:c>
      <x:c r="I397" s="44" t="n">
        <x:f>Lifecycle!G7</x:f>
        <x:v>0.04941036958956453</x:v>
      </x:c>
      <x:c r="J397" s="44" t="n">
        <x:v>0.075</x:v>
      </x:c>
      <x:c r="K397" s="44" t="n">
        <x:f>I397*J397</x:f>
        <x:v>0.0037057777192173397</x:v>
      </x:c>
      <x:c r="L397" s="46" t="n">
        <x:v>0</x:v>
      </x:c>
      <x:c r="M397" s="46" t="n">
        <x:v>0</x:v>
      </x:c>
      <x:c r="N397" s="21" t="n">
        <x:f>1</x:f>
        <x:v>1</x:v>
      </x:c>
      <x:c r="O397" s="21" t="n">
        <x:f>MIN('Root Data'!I124:I126)</x:f>
        <x:v>0</x:v>
      </x:c>
      <x:c r="P397" s="44" t="n">
        <x:f>IF(AND(L397=1,M397=1,N397=1,O397&gt;=G397),K397,0)</x:f>
        <x:v>0</x:v>
      </x:c>
      <x:c r="Q397" s="21" t="str">
        <x:v>OPEN</x:v>
      </x:c>
      <x:c r="R397" s="23" t="str">
        <x:v>HOLD</x:v>
      </x:c>
    </x:row>
    <x:row r="398">
      <x:c r="B398" s="21" t="str">
        <x:v>AR-00392</x:v>
      </x:c>
      <x:c r="C398" s="21" t="str">
        <x:v>F10-I4</x:v>
      </x:c>
      <x:c r="D398" s="21" t="str">
        <x:v>F10</x:v>
      </x:c>
      <x:c r="E398" s="21" t="n">
        <x:v>2</x:v>
      </x:c>
      <x:c r="F398" s="21" t="str">
        <x:v>Requirement and root-independence package</x:v>
      </x:c>
      <x:c r="G398" s="21" t="n">
        <x:v>8</x:v>
      </x:c>
      <x:c r="H398" s="21" t="str">
        <x:v>Resilience Staff</x:v>
      </x:c>
      <x:c r="I398" s="44" t="n">
        <x:f>Lifecycle!G8</x:f>
        <x:v>0.10211476381843337</x:v>
      </x:c>
      <x:c r="J398" s="44" t="n">
        <x:v>0.075</x:v>
      </x:c>
      <x:c r="K398" s="44" t="n">
        <x:f>I398*J398</x:f>
        <x:v>0.007658607286382502</x:v>
      </x:c>
      <x:c r="L398" s="46" t="n">
        <x:v>0</x:v>
      </x:c>
      <x:c r="M398" s="46" t="n">
        <x:v>0</x:v>
      </x:c>
      <x:c r="N398" s="21" t="n">
        <x:f>IF(AND(L397=1,M397=1,P397&gt;0),1,0)</x:f>
        <x:v>0</x:v>
      </x:c>
      <x:c r="O398" s="21" t="n">
        <x:f>MIN('Root Data'!I124:I126)</x:f>
        <x:v>0</x:v>
      </x:c>
      <x:c r="P398" s="44" t="n">
        <x:f>IF(AND(L398=1,M398=1,N398=1,O398&gt;=G398),K398,0)</x:f>
        <x:v>0</x:v>
      </x:c>
      <x:c r="Q398" s="21" t="str">
        <x:v>OPEN</x:v>
      </x:c>
      <x:c r="R398" s="23" t="str">
        <x:v>HOLD</x:v>
      </x:c>
    </x:row>
    <x:row r="399">
      <x:c r="B399" s="21" t="str">
        <x:v>AR-00393</x:v>
      </x:c>
      <x:c r="C399" s="21" t="str">
        <x:v>F10-I4</x:v>
      </x:c>
      <x:c r="D399" s="21" t="str">
        <x:v>F10</x:v>
      </x:c>
      <x:c r="E399" s="21" t="n">
        <x:v>3</x:v>
      </x:c>
      <x:c r="F399" s="21" t="str">
        <x:v>Architecture and burden closure</x:v>
      </x:c>
      <x:c r="G399" s="21" t="n">
        <x:v>14</x:v>
      </x:c>
      <x:c r="H399" s="21" t="str">
        <x:v>Independent Evidence and Data Authority</x:v>
      </x:c>
      <x:c r="I399" s="44" t="n">
        <x:f>Lifecycle!G9</x:f>
        <x:v>0.08564464062191186</x:v>
      </x:c>
      <x:c r="J399" s="44" t="n">
        <x:v>0.075</x:v>
      </x:c>
      <x:c r="K399" s="44" t="n">
        <x:f>I399*J399</x:f>
        <x:v>0.006423348046643389</x:v>
      </x:c>
      <x:c r="L399" s="46" t="n">
        <x:v>0</x:v>
      </x:c>
      <x:c r="M399" s="46" t="n">
        <x:v>0</x:v>
      </x:c>
      <x:c r="N399" s="21" t="n">
        <x:f>IF(AND(L398=1,M398=1,P398&gt;0),1,0)</x:f>
        <x:v>0</x:v>
      </x:c>
      <x:c r="O399" s="21" t="n">
        <x:f>MIN('Root Data'!I124:I126)</x:f>
        <x:v>0</x:v>
      </x:c>
      <x:c r="P399" s="44" t="n">
        <x:f>IF(AND(L399=1,M399=1,N399=1,O399&gt;=G399),K399,0)</x:f>
        <x:v>0</x:v>
      </x:c>
      <x:c r="Q399" s="21" t="str">
        <x:v>OPEN</x:v>
      </x:c>
      <x:c r="R399" s="23" t="str">
        <x:v>HOLD</x:v>
      </x:c>
    </x:row>
    <x:row r="400">
      <x:c r="B400" s="21" t="str">
        <x:v>AR-00394</x:v>
      </x:c>
      <x:c r="C400" s="21" t="str">
        <x:v>F10-I4</x:v>
      </x:c>
      <x:c r="D400" s="21" t="str">
        <x:v>F10</x:v>
      </x:c>
      <x:c r="E400" s="21" t="n">
        <x:v>4</x:v>
      </x:c>
      <x:c r="F400" s="21" t="str">
        <x:v>Engineering article acceptance</x:v>
      </x:c>
      <x:c r="G400" s="21" t="n">
        <x:v>18</x:v>
      </x:c>
      <x:c r="H400" s="21" t="str">
        <x:v>Independent Evidence and Data Authority</x:v>
      </x:c>
      <x:c r="I400" s="44" t="n">
        <x:f>Lifecycle!G10</x:f>
        <x:v>0.05929244350747744</x:v>
      </x:c>
      <x:c r="J400" s="44" t="n">
        <x:v>0.075</x:v>
      </x:c>
      <x:c r="K400" s="44" t="n">
        <x:f>I400*J400</x:f>
        <x:v>0.004446933263060808</x:v>
      </x:c>
      <x:c r="L400" s="46" t="n">
        <x:v>0</x:v>
      </x:c>
      <x:c r="M400" s="46" t="n">
        <x:v>0</x:v>
      </x:c>
      <x:c r="N400" s="21" t="n">
        <x:f>IF(AND(L399=1,M399=1,P399&gt;0),1,0)</x:f>
        <x:v>0</x:v>
      </x:c>
      <x:c r="O400" s="21" t="n">
        <x:f>MIN('Root Data'!I124:I126)</x:f>
        <x:v>0</x:v>
      </x:c>
      <x:c r="P400" s="44" t="n">
        <x:f>IF(AND(L400=1,M400=1,N400=1,O400&gt;=G400),K400,0)</x:f>
        <x:v>0</x:v>
      </x:c>
      <x:c r="Q400" s="21" t="str">
        <x:v>OPEN</x:v>
      </x:c>
      <x:c r="R400" s="23" t="str">
        <x:v>HOLD</x:v>
      </x:c>
    </x:row>
    <x:row r="401">
      <x:c r="B401" s="21" t="str">
        <x:v>AR-00395</x:v>
      </x:c>
      <x:c r="C401" s="21" t="str">
        <x:v>F10-I4</x:v>
      </x:c>
      <x:c r="D401" s="21" t="str">
        <x:v>F10</x:v>
      </x:c>
      <x:c r="E401" s="21" t="n">
        <x:v>5</x:v>
      </x:c>
      <x:c r="F401" s="21" t="str">
        <x:v>Qualification and destructive evidence</x:v>
      </x:c>
      <x:c r="G401" s="21" t="n">
        <x:v>21</x:v>
      </x:c>
      <x:c r="H401" s="21" t="str">
        <x:v>Independent Evidence and Data Authority</x:v>
      </x:c>
      <x:c r="I401" s="44" t="n">
        <x:f>Lifecycle!G11</x:f>
        <x:v>0.1515251334079979</x:v>
      </x:c>
      <x:c r="J401" s="44" t="n">
        <x:v>0.075</x:v>
      </x:c>
      <x:c r="K401" s="44" t="n">
        <x:f>I401*J401</x:f>
        <x:v>0.011364385005599841</x:v>
      </x:c>
      <x:c r="L401" s="46" t="n">
        <x:v>0</x:v>
      </x:c>
      <x:c r="M401" s="46" t="n">
        <x:v>0</x:v>
      </x:c>
      <x:c r="N401" s="21" t="n">
        <x:f>IF(AND(L400=1,M400=1,P400&gt;0),1,0)</x:f>
        <x:v>0</x:v>
      </x:c>
      <x:c r="O401" s="21" t="n">
        <x:f>MIN('Root Data'!I124:I126)</x:f>
        <x:v>0</x:v>
      </x:c>
      <x:c r="P401" s="44" t="n">
        <x:f>IF(AND(L401=1,M401=1,N401=1,O401&gt;=G401),K401,0)</x:f>
        <x:v>0</x:v>
      </x:c>
      <x:c r="Q401" s="21" t="str">
        <x:v>OPEN</x:v>
      </x:c>
      <x:c r="R401" s="23" t="str">
        <x:v>HOLD</x:v>
      </x:c>
    </x:row>
    <x:row r="402">
      <x:c r="B402" s="21" t="str">
        <x:v>AR-00396</x:v>
      </x:c>
      <x:c r="C402" s="21" t="str">
        <x:v>F10-I4</x:v>
      </x:c>
      <x:c r="D402" s="21" t="str">
        <x:v>F10</x:v>
      </x:c>
      <x:c r="E402" s="21" t="n">
        <x:v>6</x:v>
      </x:c>
      <x:c r="F402" s="21" t="str">
        <x:v>Representative mission result</x:v>
      </x:c>
      <x:c r="G402" s="21" t="n">
        <x:v>23</x:v>
      </x:c>
      <x:c r="H402" s="21" t="str">
        <x:v>Receiving Service Authority</x:v>
      </x:c>
      <x:c r="I402" s="44" t="n">
        <x:f>Lifecycle!G12</x:f>
        <x:v>0.250345872587127</x:v>
      </x:c>
      <x:c r="J402" s="44" t="n">
        <x:v>0.075</x:v>
      </x:c>
      <x:c r="K402" s="44" t="n">
        <x:f>I402*J402</x:f>
        <x:v>0.018775940444034522</x:v>
      </x:c>
      <x:c r="L402" s="46" t="n">
        <x:v>0</x:v>
      </x:c>
      <x:c r="M402" s="46" t="n">
        <x:v>0</x:v>
      </x:c>
      <x:c r="N402" s="21" t="n">
        <x:f>IF(AND(L401=1,M401=1,P401&gt;0),1,0)</x:f>
        <x:v>0</x:v>
      </x:c>
      <x:c r="O402" s="21" t="n">
        <x:f>MIN('Root Data'!I124:I126)</x:f>
        <x:v>0</x:v>
      </x:c>
      <x:c r="P402" s="44" t="n">
        <x:f>IF(AND(L402=1,M402=1,N402=1,O402&gt;=G402),K402,0)</x:f>
        <x:v>0</x:v>
      </x:c>
      <x:c r="Q402" s="21" t="str">
        <x:v>OPEN</x:v>
      </x:c>
      <x:c r="R402" s="23" t="str">
        <x:v>HOLD</x:v>
      </x:c>
    </x:row>
    <x:row r="403">
      <x:c r="B403" s="21" t="str">
        <x:v>AR-00397</x:v>
      </x:c>
      <x:c r="C403" s="21" t="str">
        <x:v>F10-I4</x:v>
      </x:c>
      <x:c r="D403" s="21" t="str">
        <x:v>F10</x:v>
      </x:c>
      <x:c r="E403" s="21" t="n">
        <x:v>7</x:v>
      </x:c>
      <x:c r="F403" s="21" t="str">
        <x:v>Independent reproduction</x:v>
      </x:c>
      <x:c r="G403" s="21" t="n">
        <x:v>28</x:v>
      </x:c>
      <x:c r="H403" s="21" t="str">
        <x:v>Independent Evidence and Data Authority</x:v>
      </x:c>
      <x:c r="I403" s="44" t="n">
        <x:f>Lifecycle!G13</x:f>
        <x:v>0.21740562619408393</x:v>
      </x:c>
      <x:c r="J403" s="44" t="n">
        <x:v>0.075</x:v>
      </x:c>
      <x:c r="K403" s="44" t="n">
        <x:f>I403*J403</x:f>
        <x:v>0.016305421964556293</x:v>
      </x:c>
      <x:c r="L403" s="46" t="n">
        <x:v>0</x:v>
      </x:c>
      <x:c r="M403" s="46" t="n">
        <x:v>0</x:v>
      </x:c>
      <x:c r="N403" s="21" t="n">
        <x:f>IF(AND(L402=1,M402=1,P402&gt;0),1,0)</x:f>
        <x:v>0</x:v>
      </x:c>
      <x:c r="O403" s="21" t="n">
        <x:f>MIN('Root Data'!I124:I126)</x:f>
        <x:v>0</x:v>
      </x:c>
      <x:c r="P403" s="44" t="n">
        <x:f>IF(AND(L403=1,M403=1,N403=1,O403&gt;=G403),K403,0)</x:f>
        <x:v>0</x:v>
      </x:c>
      <x:c r="Q403" s="21" t="str">
        <x:v>OPEN</x:v>
      </x:c>
      <x:c r="R403" s="23" t="str">
        <x:v>HOLD</x:v>
      </x:c>
    </x:row>
    <x:row r="404">
      <x:c r="B404" s="21" t="str">
        <x:v>AR-00398</x:v>
      </x:c>
      <x:c r="C404" s="21" t="str">
        <x:v>F10-I4</x:v>
      </x:c>
      <x:c r="D404" s="21" t="str">
        <x:v>F10</x:v>
      </x:c>
      <x:c r="E404" s="21" t="n">
        <x:v>8</x:v>
      </x:c>
      <x:c r="F404" s="21" t="str">
        <x:v>Pilot-process qualification</x:v>
      </x:c>
      <x:c r="G404" s="21" t="n">
        <x:v>28</x:v>
      </x:c>
      <x:c r="H404" s="21" t="str">
        <x:v>AIMC Industrial Mobilization Authority</x:v>
      </x:c>
      <x:c r="I404" s="44" t="n">
        <x:f>Lifecycle!G14</x:f>
        <x:v>0.03952829567165163</x:v>
      </x:c>
      <x:c r="J404" s="44" t="n">
        <x:v>0.075</x:v>
      </x:c>
      <x:c r="K404" s="44" t="n">
        <x:f>I404*J404</x:f>
        <x:v>0.002964622175373872</x:v>
      </x:c>
      <x:c r="L404" s="46" t="n">
        <x:v>0</x:v>
      </x:c>
      <x:c r="M404" s="46" t="n">
        <x:v>0</x:v>
      </x:c>
      <x:c r="N404" s="21" t="n">
        <x:f>IF(AND(L403=1,M403=1,P403&gt;0),1,0)</x:f>
        <x:v>0</x:v>
      </x:c>
      <x:c r="O404" s="21" t="n">
        <x:f>MIN('Root Data'!I124:I126)</x:f>
        <x:v>0</x:v>
      </x:c>
      <x:c r="P404" s="44" t="n">
        <x:f>IF(AND(L404=1,M404=1,N404=1,O404&gt;=G404),K404,0)</x:f>
        <x:v>0</x:v>
      </x:c>
      <x:c r="Q404" s="21" t="str">
        <x:v>OPEN</x:v>
      </x:c>
      <x:c r="R404" s="23" t="str">
        <x:v>HOLD</x:v>
      </x:c>
    </x:row>
    <x:row r="405">
      <x:c r="B405" s="21" t="str">
        <x:v>AR-00399</x:v>
      </x:c>
      <x:c r="C405" s="21" t="str">
        <x:v>F10-I4</x:v>
      </x:c>
      <x:c r="D405" s="21" t="str">
        <x:v>F10</x:v>
      </x:c>
      <x:c r="E405" s="21" t="n">
        <x:v>9</x:v>
      </x:c>
      <x:c r="F405" s="21" t="str">
        <x:v>Production release package</x:v>
      </x:c>
      <x:c r="G405" s="21" t="n">
        <x:v>28</x:v>
      </x:c>
      <x:c r="H405" s="21" t="str">
        <x:v>Production Release Board</x:v>
      </x:c>
      <x:c r="I405" s="44" t="n">
        <x:f>Lifecycle!G15</x:f>
        <x:v>0.01647012319652151</x:v>
      </x:c>
      <x:c r="J405" s="44" t="n">
        <x:v>0.075</x:v>
      </x:c>
      <x:c r="K405" s="44" t="n">
        <x:f>I405*J405</x:f>
        <x:v>0.0012352592397391132</x:v>
      </x:c>
      <x:c r="L405" s="46" t="n">
        <x:v>0</x:v>
      </x:c>
      <x:c r="M405" s="46" t="n">
        <x:v>0</x:v>
      </x:c>
      <x:c r="N405" s="21" t="n">
        <x:f>IF(AND(L404=1,M404=1,P404&gt;0),1,0)</x:f>
        <x:v>0</x:v>
      </x:c>
      <x:c r="O405" s="21" t="n">
        <x:f>MIN('Root Data'!I124:I126)</x:f>
        <x:v>0</x:v>
      </x:c>
      <x:c r="P405" s="44" t="n">
        <x:f>IF(AND(L405=1,M405=1,N405=1,O405&gt;=G405),K405,0)</x:f>
        <x:v>0</x:v>
      </x:c>
      <x:c r="Q405" s="21" t="str">
        <x:v>OPEN</x:v>
      </x:c>
      <x:c r="R405" s="23" t="str">
        <x:v>HOLD</x:v>
      </x:c>
    </x:row>
    <x:row r="406">
      <x:c r="B406" s="21" t="str">
        <x:v>AR-00400</x:v>
      </x:c>
      <x:c r="C406" s="21" t="str">
        <x:v>F10-I4</x:v>
      </x:c>
      <x:c r="D406" s="21" t="str">
        <x:v>F10</x:v>
      </x:c>
      <x:c r="E406" s="21" t="n">
        <x:v>10</x:v>
      </x:c>
      <x:c r="F406" s="21" t="str">
        <x:v>Mobilization activation</x:v>
      </x:c>
      <x:c r="G406" s="21" t="n">
        <x:v>28</x:v>
      </x:c>
      <x:c r="H406" s="21" t="str">
        <x:v>Production Release Board</x:v>
      </x:c>
      <x:c r="I406" s="44" t="n">
        <x:f>Lifecycle!G16</x:f>
        <x:v>0.028262731405230914</x:v>
      </x:c>
      <x:c r="J406" s="44" t="n">
        <x:v>0.075</x:v>
      </x:c>
      <x:c r="K406" s="44" t="n">
        <x:f>I406*J406</x:f>
        <x:v>0.0021197048553923186</x:v>
      </x:c>
      <x:c r="L406" s="46" t="n">
        <x:v>0</x:v>
      </x:c>
      <x:c r="M406" s="46" t="n">
        <x:v>0</x:v>
      </x:c>
      <x:c r="N406" s="21" t="n">
        <x:f>IF(AND(L405=1,M405=1,P405&gt;0),1,0)</x:f>
        <x:v>0</x:v>
      </x:c>
      <x:c r="O406" s="21" t="n">
        <x:f>MIN('Root Data'!I124:I126)</x:f>
        <x:v>0</x:v>
      </x:c>
      <x:c r="P406" s="44" t="n">
        <x:f>IF(AND(L406=1,M406=1,N406=1,O406&gt;=G406),K406,0)</x:f>
        <x:v>0</x:v>
      </x:c>
      <x:c r="Q406" s="21" t="str">
        <x:v>OPEN</x:v>
      </x:c>
      <x:c r="R406" s="23" t="str">
        <x:v>HOLD</x:v>
      </x:c>
    </x:row>
    <x:row r="407">
      <x:c r="B407" s="21" t="str">
        <x:v>AR-00401</x:v>
      </x:c>
      <x:c r="C407" s="21" t="str">
        <x:v>F11-I1</x:v>
      </x:c>
      <x:c r="D407" s="21" t="str">
        <x:v>F11</x:v>
      </x:c>
      <x:c r="E407" s="21" t="n">
        <x:v>1</x:v>
      </x:c>
      <x:c r="F407" s="21" t="str">
        <x:v>Civil effect charter</x:v>
      </x:c>
      <x:c r="G407" s="21" t="n">
        <x:v>0</x:v>
      </x:c>
      <x:c r="H407" s="21" t="str">
        <x:v>Civil Guarantee Authority</x:v>
      </x:c>
      <x:c r="I407" s="44" t="n">
        <x:f>Lifecycle!G7</x:f>
        <x:v>0.04941036958956453</x:v>
      </x:c>
      <x:c r="J407" s="44" t="n">
        <x:v>0.075</x:v>
      </x:c>
      <x:c r="K407" s="44" t="n">
        <x:f>I407*J407</x:f>
        <x:v>0.0037057777192173397</x:v>
      </x:c>
      <x:c r="L407" s="46" t="n">
        <x:v>0</x:v>
      </x:c>
      <x:c r="M407" s="46" t="n">
        <x:v>0</x:v>
      </x:c>
      <x:c r="N407" s="21" t="n">
        <x:f>1</x:f>
        <x:v>1</x:v>
      </x:c>
      <x:c r="O407" s="21" t="n">
        <x:f>MIN('Root Data'!I127:I129)</x:f>
        <x:v>0</x:v>
      </x:c>
      <x:c r="P407" s="44" t="n">
        <x:f>IF(AND(L407=1,M407=1,N407=1,O407&gt;=G407),K407,0)</x:f>
        <x:v>0</x:v>
      </x:c>
      <x:c r="Q407" s="21" t="str">
        <x:v>OPEN</x:v>
      </x:c>
      <x:c r="R407" s="23" t="str">
        <x:v>HOLD</x:v>
      </x:c>
    </x:row>
    <x:row r="408">
      <x:c r="B408" s="21" t="str">
        <x:v>AR-00402</x:v>
      </x:c>
      <x:c r="C408" s="21" t="str">
        <x:v>F11-I1</x:v>
      </x:c>
      <x:c r="D408" s="21" t="str">
        <x:v>F11</x:v>
      </x:c>
      <x:c r="E408" s="21" t="n">
        <x:v>2</x:v>
      </x:c>
      <x:c r="F408" s="21" t="str">
        <x:v>Requirement and root-independence package</x:v>
      </x:c>
      <x:c r="G408" s="21" t="n">
        <x:v>8</x:v>
      </x:c>
      <x:c r="H408" s="21" t="str">
        <x:v>Resilience Staff</x:v>
      </x:c>
      <x:c r="I408" s="44" t="n">
        <x:f>Lifecycle!G8</x:f>
        <x:v>0.10211476381843337</x:v>
      </x:c>
      <x:c r="J408" s="44" t="n">
        <x:v>0.075</x:v>
      </x:c>
      <x:c r="K408" s="44" t="n">
        <x:f>I408*J408</x:f>
        <x:v>0.007658607286382502</x:v>
      </x:c>
      <x:c r="L408" s="46" t="n">
        <x:v>0</x:v>
      </x:c>
      <x:c r="M408" s="46" t="n">
        <x:v>0</x:v>
      </x:c>
      <x:c r="N408" s="21" t="n">
        <x:f>IF(AND(L407=1,M407=1,P407&gt;0),1,0)</x:f>
        <x:v>0</x:v>
      </x:c>
      <x:c r="O408" s="21" t="n">
        <x:f>MIN('Root Data'!I127:I129)</x:f>
        <x:v>0</x:v>
      </x:c>
      <x:c r="P408" s="44" t="n">
        <x:f>IF(AND(L408=1,M408=1,N408=1,O408&gt;=G408),K408,0)</x:f>
        <x:v>0</x:v>
      </x:c>
      <x:c r="Q408" s="21" t="str">
        <x:v>OPEN</x:v>
      </x:c>
      <x:c r="R408" s="23" t="str">
        <x:v>HOLD</x:v>
      </x:c>
    </x:row>
    <x:row r="409">
      <x:c r="B409" s="21" t="str">
        <x:v>AR-00403</x:v>
      </x:c>
      <x:c r="C409" s="21" t="str">
        <x:v>F11-I1</x:v>
      </x:c>
      <x:c r="D409" s="21" t="str">
        <x:v>F11</x:v>
      </x:c>
      <x:c r="E409" s="21" t="n">
        <x:v>3</x:v>
      </x:c>
      <x:c r="F409" s="21" t="str">
        <x:v>Architecture and burden closure</x:v>
      </x:c>
      <x:c r="G409" s="21" t="n">
        <x:v>14</x:v>
      </x:c>
      <x:c r="H409" s="21" t="str">
        <x:v>Independent Evidence and Data Authority</x:v>
      </x:c>
      <x:c r="I409" s="44" t="n">
        <x:f>Lifecycle!G9</x:f>
        <x:v>0.08564464062191186</x:v>
      </x:c>
      <x:c r="J409" s="44" t="n">
        <x:v>0.075</x:v>
      </x:c>
      <x:c r="K409" s="44" t="n">
        <x:f>I409*J409</x:f>
        <x:v>0.006423348046643389</x:v>
      </x:c>
      <x:c r="L409" s="46" t="n">
        <x:v>0</x:v>
      </x:c>
      <x:c r="M409" s="46" t="n">
        <x:v>0</x:v>
      </x:c>
      <x:c r="N409" s="21" t="n">
        <x:f>IF(AND(L408=1,M408=1,P408&gt;0),1,0)</x:f>
        <x:v>0</x:v>
      </x:c>
      <x:c r="O409" s="21" t="n">
        <x:f>MIN('Root Data'!I127:I129)</x:f>
        <x:v>0</x:v>
      </x:c>
      <x:c r="P409" s="44" t="n">
        <x:f>IF(AND(L409=1,M409=1,N409=1,O409&gt;=G409),K409,0)</x:f>
        <x:v>0</x:v>
      </x:c>
      <x:c r="Q409" s="21" t="str">
        <x:v>OPEN</x:v>
      </x:c>
      <x:c r="R409" s="23" t="str">
        <x:v>HOLD</x:v>
      </x:c>
    </x:row>
    <x:row r="410">
      <x:c r="B410" s="21" t="str">
        <x:v>AR-00404</x:v>
      </x:c>
      <x:c r="C410" s="21" t="str">
        <x:v>F11-I1</x:v>
      </x:c>
      <x:c r="D410" s="21" t="str">
        <x:v>F11</x:v>
      </x:c>
      <x:c r="E410" s="21" t="n">
        <x:v>4</x:v>
      </x:c>
      <x:c r="F410" s="21" t="str">
        <x:v>Engineering article acceptance</x:v>
      </x:c>
      <x:c r="G410" s="21" t="n">
        <x:v>18</x:v>
      </x:c>
      <x:c r="H410" s="21" t="str">
        <x:v>Independent Evidence and Data Authority</x:v>
      </x:c>
      <x:c r="I410" s="44" t="n">
        <x:f>Lifecycle!G10</x:f>
        <x:v>0.05929244350747744</x:v>
      </x:c>
      <x:c r="J410" s="44" t="n">
        <x:v>0.075</x:v>
      </x:c>
      <x:c r="K410" s="44" t="n">
        <x:f>I410*J410</x:f>
        <x:v>0.004446933263060808</x:v>
      </x:c>
      <x:c r="L410" s="46" t="n">
        <x:v>0</x:v>
      </x:c>
      <x:c r="M410" s="46" t="n">
        <x:v>0</x:v>
      </x:c>
      <x:c r="N410" s="21" t="n">
        <x:f>IF(AND(L409=1,M409=1,P409&gt;0),1,0)</x:f>
        <x:v>0</x:v>
      </x:c>
      <x:c r="O410" s="21" t="n">
        <x:f>MIN('Root Data'!I127:I129)</x:f>
        <x:v>0</x:v>
      </x:c>
      <x:c r="P410" s="44" t="n">
        <x:f>IF(AND(L410=1,M410=1,N410=1,O410&gt;=G410),K410,0)</x:f>
        <x:v>0</x:v>
      </x:c>
      <x:c r="Q410" s="21" t="str">
        <x:v>OPEN</x:v>
      </x:c>
      <x:c r="R410" s="23" t="str">
        <x:v>HOLD</x:v>
      </x:c>
    </x:row>
    <x:row r="411">
      <x:c r="B411" s="21" t="str">
        <x:v>AR-00405</x:v>
      </x:c>
      <x:c r="C411" s="21" t="str">
        <x:v>F11-I1</x:v>
      </x:c>
      <x:c r="D411" s="21" t="str">
        <x:v>F11</x:v>
      </x:c>
      <x:c r="E411" s="21" t="n">
        <x:v>5</x:v>
      </x:c>
      <x:c r="F411" s="21" t="str">
        <x:v>Qualification and destructive evidence</x:v>
      </x:c>
      <x:c r="G411" s="21" t="n">
        <x:v>21</x:v>
      </x:c>
      <x:c r="H411" s="21" t="str">
        <x:v>Independent Evidence and Data Authority</x:v>
      </x:c>
      <x:c r="I411" s="44" t="n">
        <x:f>Lifecycle!G11</x:f>
        <x:v>0.1515251334079979</x:v>
      </x:c>
      <x:c r="J411" s="44" t="n">
        <x:v>0.075</x:v>
      </x:c>
      <x:c r="K411" s="44" t="n">
        <x:f>I411*J411</x:f>
        <x:v>0.011364385005599841</x:v>
      </x:c>
      <x:c r="L411" s="46" t="n">
        <x:v>0</x:v>
      </x:c>
      <x:c r="M411" s="46" t="n">
        <x:v>0</x:v>
      </x:c>
      <x:c r="N411" s="21" t="n">
        <x:f>IF(AND(L410=1,M410=1,P410&gt;0),1,0)</x:f>
        <x:v>0</x:v>
      </x:c>
      <x:c r="O411" s="21" t="n">
        <x:f>MIN('Root Data'!I127:I129)</x:f>
        <x:v>0</x:v>
      </x:c>
      <x:c r="P411" s="44" t="n">
        <x:f>IF(AND(L411=1,M411=1,N411=1,O411&gt;=G411),K411,0)</x:f>
        <x:v>0</x:v>
      </x:c>
      <x:c r="Q411" s="21" t="str">
        <x:v>OPEN</x:v>
      </x:c>
      <x:c r="R411" s="23" t="str">
        <x:v>HOLD</x:v>
      </x:c>
    </x:row>
    <x:row r="412">
      <x:c r="B412" s="21" t="str">
        <x:v>AR-00406</x:v>
      </x:c>
      <x:c r="C412" s="21" t="str">
        <x:v>F11-I1</x:v>
      </x:c>
      <x:c r="D412" s="21" t="str">
        <x:v>F11</x:v>
      </x:c>
      <x:c r="E412" s="21" t="n">
        <x:v>6</x:v>
      </x:c>
      <x:c r="F412" s="21" t="str">
        <x:v>Representative mission result</x:v>
      </x:c>
      <x:c r="G412" s="21" t="n">
        <x:v>23</x:v>
      </x:c>
      <x:c r="H412" s="21" t="str">
        <x:v>Receiving Service Authority</x:v>
      </x:c>
      <x:c r="I412" s="44" t="n">
        <x:f>Lifecycle!G12</x:f>
        <x:v>0.250345872587127</x:v>
      </x:c>
      <x:c r="J412" s="44" t="n">
        <x:v>0.075</x:v>
      </x:c>
      <x:c r="K412" s="44" t="n">
        <x:f>I412*J412</x:f>
        <x:v>0.018775940444034522</x:v>
      </x:c>
      <x:c r="L412" s="46" t="n">
        <x:v>0</x:v>
      </x:c>
      <x:c r="M412" s="46" t="n">
        <x:v>0</x:v>
      </x:c>
      <x:c r="N412" s="21" t="n">
        <x:f>IF(AND(L411=1,M411=1,P411&gt;0),1,0)</x:f>
        <x:v>0</x:v>
      </x:c>
      <x:c r="O412" s="21" t="n">
        <x:f>MIN('Root Data'!I127:I129)</x:f>
        <x:v>0</x:v>
      </x:c>
      <x:c r="P412" s="44" t="n">
        <x:f>IF(AND(L412=1,M412=1,N412=1,O412&gt;=G412),K412,0)</x:f>
        <x:v>0</x:v>
      </x:c>
      <x:c r="Q412" s="21" t="str">
        <x:v>OPEN</x:v>
      </x:c>
      <x:c r="R412" s="23" t="str">
        <x:v>HOLD</x:v>
      </x:c>
    </x:row>
    <x:row r="413">
      <x:c r="B413" s="21" t="str">
        <x:v>AR-00407</x:v>
      </x:c>
      <x:c r="C413" s="21" t="str">
        <x:v>F11-I1</x:v>
      </x:c>
      <x:c r="D413" s="21" t="str">
        <x:v>F11</x:v>
      </x:c>
      <x:c r="E413" s="21" t="n">
        <x:v>7</x:v>
      </x:c>
      <x:c r="F413" s="21" t="str">
        <x:v>Independent reproduction</x:v>
      </x:c>
      <x:c r="G413" s="21" t="n">
        <x:v>28</x:v>
      </x:c>
      <x:c r="H413" s="21" t="str">
        <x:v>Independent Evidence and Data Authority</x:v>
      </x:c>
      <x:c r="I413" s="44" t="n">
        <x:f>Lifecycle!G13</x:f>
        <x:v>0.21740562619408393</x:v>
      </x:c>
      <x:c r="J413" s="44" t="n">
        <x:v>0.075</x:v>
      </x:c>
      <x:c r="K413" s="44" t="n">
        <x:f>I413*J413</x:f>
        <x:v>0.016305421964556293</x:v>
      </x:c>
      <x:c r="L413" s="46" t="n">
        <x:v>0</x:v>
      </x:c>
      <x:c r="M413" s="46" t="n">
        <x:v>0</x:v>
      </x:c>
      <x:c r="N413" s="21" t="n">
        <x:f>IF(AND(L412=1,M412=1,P412&gt;0),1,0)</x:f>
        <x:v>0</x:v>
      </x:c>
      <x:c r="O413" s="21" t="n">
        <x:f>MIN('Root Data'!I127:I129)</x:f>
        <x:v>0</x:v>
      </x:c>
      <x:c r="P413" s="44" t="n">
        <x:f>IF(AND(L413=1,M413=1,N413=1,O413&gt;=G413),K413,0)</x:f>
        <x:v>0</x:v>
      </x:c>
      <x:c r="Q413" s="21" t="str">
        <x:v>OPEN</x:v>
      </x:c>
      <x:c r="R413" s="23" t="str">
        <x:v>HOLD</x:v>
      </x:c>
    </x:row>
    <x:row r="414">
      <x:c r="B414" s="21" t="str">
        <x:v>AR-00408</x:v>
      </x:c>
      <x:c r="C414" s="21" t="str">
        <x:v>F11-I1</x:v>
      </x:c>
      <x:c r="D414" s="21" t="str">
        <x:v>F11</x:v>
      </x:c>
      <x:c r="E414" s="21" t="n">
        <x:v>8</x:v>
      </x:c>
      <x:c r="F414" s="21" t="str">
        <x:v>Pilot-process qualification</x:v>
      </x:c>
      <x:c r="G414" s="21" t="n">
        <x:v>28</x:v>
      </x:c>
      <x:c r="H414" s="21" t="str">
        <x:v>AIMC Industrial Mobilization Authority</x:v>
      </x:c>
      <x:c r="I414" s="44" t="n">
        <x:f>Lifecycle!G14</x:f>
        <x:v>0.03952829567165163</x:v>
      </x:c>
      <x:c r="J414" s="44" t="n">
        <x:v>0.075</x:v>
      </x:c>
      <x:c r="K414" s="44" t="n">
        <x:f>I414*J414</x:f>
        <x:v>0.002964622175373872</x:v>
      </x:c>
      <x:c r="L414" s="46" t="n">
        <x:v>0</x:v>
      </x:c>
      <x:c r="M414" s="46" t="n">
        <x:v>0</x:v>
      </x:c>
      <x:c r="N414" s="21" t="n">
        <x:f>IF(AND(L413=1,M413=1,P413&gt;0),1,0)</x:f>
        <x:v>0</x:v>
      </x:c>
      <x:c r="O414" s="21" t="n">
        <x:f>MIN('Root Data'!I127:I129)</x:f>
        <x:v>0</x:v>
      </x:c>
      <x:c r="P414" s="44" t="n">
        <x:f>IF(AND(L414=1,M414=1,N414=1,O414&gt;=G414),K414,0)</x:f>
        <x:v>0</x:v>
      </x:c>
      <x:c r="Q414" s="21" t="str">
        <x:v>OPEN</x:v>
      </x:c>
      <x:c r="R414" s="23" t="str">
        <x:v>HOLD</x:v>
      </x:c>
    </x:row>
    <x:row r="415">
      <x:c r="B415" s="21" t="str">
        <x:v>AR-00409</x:v>
      </x:c>
      <x:c r="C415" s="21" t="str">
        <x:v>F11-I1</x:v>
      </x:c>
      <x:c r="D415" s="21" t="str">
        <x:v>F11</x:v>
      </x:c>
      <x:c r="E415" s="21" t="n">
        <x:v>9</x:v>
      </x:c>
      <x:c r="F415" s="21" t="str">
        <x:v>Production release package</x:v>
      </x:c>
      <x:c r="G415" s="21" t="n">
        <x:v>28</x:v>
      </x:c>
      <x:c r="H415" s="21" t="str">
        <x:v>Production Release Board</x:v>
      </x:c>
      <x:c r="I415" s="44" t="n">
        <x:f>Lifecycle!G15</x:f>
        <x:v>0.01647012319652151</x:v>
      </x:c>
      <x:c r="J415" s="44" t="n">
        <x:v>0.075</x:v>
      </x:c>
      <x:c r="K415" s="44" t="n">
        <x:f>I415*J415</x:f>
        <x:v>0.0012352592397391132</x:v>
      </x:c>
      <x:c r="L415" s="46" t="n">
        <x:v>0</x:v>
      </x:c>
      <x:c r="M415" s="46" t="n">
        <x:v>0</x:v>
      </x:c>
      <x:c r="N415" s="21" t="n">
        <x:f>IF(AND(L414=1,M414=1,P414&gt;0),1,0)</x:f>
        <x:v>0</x:v>
      </x:c>
      <x:c r="O415" s="21" t="n">
        <x:f>MIN('Root Data'!I127:I129)</x:f>
        <x:v>0</x:v>
      </x:c>
      <x:c r="P415" s="44" t="n">
        <x:f>IF(AND(L415=1,M415=1,N415=1,O415&gt;=G415),K415,0)</x:f>
        <x:v>0</x:v>
      </x:c>
      <x:c r="Q415" s="21" t="str">
        <x:v>OPEN</x:v>
      </x:c>
      <x:c r="R415" s="23" t="str">
        <x:v>HOLD</x:v>
      </x:c>
    </x:row>
    <x:row r="416">
      <x:c r="B416" s="21" t="str">
        <x:v>AR-00410</x:v>
      </x:c>
      <x:c r="C416" s="21" t="str">
        <x:v>F11-I1</x:v>
      </x:c>
      <x:c r="D416" s="21" t="str">
        <x:v>F11</x:v>
      </x:c>
      <x:c r="E416" s="21" t="n">
        <x:v>10</x:v>
      </x:c>
      <x:c r="F416" s="21" t="str">
        <x:v>Mobilization activation</x:v>
      </x:c>
      <x:c r="G416" s="21" t="n">
        <x:v>28</x:v>
      </x:c>
      <x:c r="H416" s="21" t="str">
        <x:v>Production Release Board</x:v>
      </x:c>
      <x:c r="I416" s="44" t="n">
        <x:f>Lifecycle!G16</x:f>
        <x:v>0.028262731405230914</x:v>
      </x:c>
      <x:c r="J416" s="44" t="n">
        <x:v>0.075</x:v>
      </x:c>
      <x:c r="K416" s="44" t="n">
        <x:f>I416*J416</x:f>
        <x:v>0.0021197048553923186</x:v>
      </x:c>
      <x:c r="L416" s="46" t="n">
        <x:v>0</x:v>
      </x:c>
      <x:c r="M416" s="46" t="n">
        <x:v>0</x:v>
      </x:c>
      <x:c r="N416" s="21" t="n">
        <x:f>IF(AND(L415=1,M415=1,P415&gt;0),1,0)</x:f>
        <x:v>0</x:v>
      </x:c>
      <x:c r="O416" s="21" t="n">
        <x:f>MIN('Root Data'!I127:I129)</x:f>
        <x:v>0</x:v>
      </x:c>
      <x:c r="P416" s="44" t="n">
        <x:f>IF(AND(L416=1,M416=1,N416=1,O416&gt;=G416),K416,0)</x:f>
        <x:v>0</x:v>
      </x:c>
      <x:c r="Q416" s="21" t="str">
        <x:v>OPEN</x:v>
      </x:c>
      <x:c r="R416" s="23" t="str">
        <x:v>HOLD</x:v>
      </x:c>
    </x:row>
    <x:row r="417">
      <x:c r="B417" s="21" t="str">
        <x:v>AR-00411</x:v>
      </x:c>
      <x:c r="C417" s="21" t="str">
        <x:v>F11-I2</x:v>
      </x:c>
      <x:c r="D417" s="21" t="str">
        <x:v>F11</x:v>
      </x:c>
      <x:c r="E417" s="21" t="n">
        <x:v>1</x:v>
      </x:c>
      <x:c r="F417" s="21" t="str">
        <x:v>Civil effect charter</x:v>
      </x:c>
      <x:c r="G417" s="21" t="n">
        <x:v>0</x:v>
      </x:c>
      <x:c r="H417" s="21" t="str">
        <x:v>Civil Guarantee Authority</x:v>
      </x:c>
      <x:c r="I417" s="44" t="n">
        <x:f>Lifecycle!G7</x:f>
        <x:v>0.04941036958956453</x:v>
      </x:c>
      <x:c r="J417" s="44" t="n">
        <x:v>0.075</x:v>
      </x:c>
      <x:c r="K417" s="44" t="n">
        <x:f>I417*J417</x:f>
        <x:v>0.0037057777192173397</x:v>
      </x:c>
      <x:c r="L417" s="46" t="n">
        <x:v>0</x:v>
      </x:c>
      <x:c r="M417" s="46" t="n">
        <x:v>0</x:v>
      </x:c>
      <x:c r="N417" s="21" t="n">
        <x:f>1</x:f>
        <x:v>1</x:v>
      </x:c>
      <x:c r="O417" s="21" t="n">
        <x:f>MIN('Root Data'!I130:I132)</x:f>
        <x:v>0</x:v>
      </x:c>
      <x:c r="P417" s="44" t="n">
        <x:f>IF(AND(L417=1,M417=1,N417=1,O417&gt;=G417),K417,0)</x:f>
        <x:v>0</x:v>
      </x:c>
      <x:c r="Q417" s="21" t="str">
        <x:v>OPEN</x:v>
      </x:c>
      <x:c r="R417" s="23" t="str">
        <x:v>HOLD</x:v>
      </x:c>
    </x:row>
    <x:row r="418">
      <x:c r="B418" s="21" t="str">
        <x:v>AR-00412</x:v>
      </x:c>
      <x:c r="C418" s="21" t="str">
        <x:v>F11-I2</x:v>
      </x:c>
      <x:c r="D418" s="21" t="str">
        <x:v>F11</x:v>
      </x:c>
      <x:c r="E418" s="21" t="n">
        <x:v>2</x:v>
      </x:c>
      <x:c r="F418" s="21" t="str">
        <x:v>Requirement and root-independence package</x:v>
      </x:c>
      <x:c r="G418" s="21" t="n">
        <x:v>8</x:v>
      </x:c>
      <x:c r="H418" s="21" t="str">
        <x:v>Resilience Staff</x:v>
      </x:c>
      <x:c r="I418" s="44" t="n">
        <x:f>Lifecycle!G8</x:f>
        <x:v>0.10211476381843337</x:v>
      </x:c>
      <x:c r="J418" s="44" t="n">
        <x:v>0.075</x:v>
      </x:c>
      <x:c r="K418" s="44" t="n">
        <x:f>I418*J418</x:f>
        <x:v>0.007658607286382502</x:v>
      </x:c>
      <x:c r="L418" s="46" t="n">
        <x:v>0</x:v>
      </x:c>
      <x:c r="M418" s="46" t="n">
        <x:v>0</x:v>
      </x:c>
      <x:c r="N418" s="21" t="n">
        <x:f>IF(AND(L417=1,M417=1,P417&gt;0),1,0)</x:f>
        <x:v>0</x:v>
      </x:c>
      <x:c r="O418" s="21" t="n">
        <x:f>MIN('Root Data'!I130:I132)</x:f>
        <x:v>0</x:v>
      </x:c>
      <x:c r="P418" s="44" t="n">
        <x:f>IF(AND(L418=1,M418=1,N418=1,O418&gt;=G418),K418,0)</x:f>
        <x:v>0</x:v>
      </x:c>
      <x:c r="Q418" s="21" t="str">
        <x:v>OPEN</x:v>
      </x:c>
      <x:c r="R418" s="23" t="str">
        <x:v>HOLD</x:v>
      </x:c>
    </x:row>
    <x:row r="419">
      <x:c r="B419" s="21" t="str">
        <x:v>AR-00413</x:v>
      </x:c>
      <x:c r="C419" s="21" t="str">
        <x:v>F11-I2</x:v>
      </x:c>
      <x:c r="D419" s="21" t="str">
        <x:v>F11</x:v>
      </x:c>
      <x:c r="E419" s="21" t="n">
        <x:v>3</x:v>
      </x:c>
      <x:c r="F419" s="21" t="str">
        <x:v>Architecture and burden closure</x:v>
      </x:c>
      <x:c r="G419" s="21" t="n">
        <x:v>14</x:v>
      </x:c>
      <x:c r="H419" s="21" t="str">
        <x:v>Independent Evidence and Data Authority</x:v>
      </x:c>
      <x:c r="I419" s="44" t="n">
        <x:f>Lifecycle!G9</x:f>
        <x:v>0.08564464062191186</x:v>
      </x:c>
      <x:c r="J419" s="44" t="n">
        <x:v>0.075</x:v>
      </x:c>
      <x:c r="K419" s="44" t="n">
        <x:f>I419*J419</x:f>
        <x:v>0.006423348046643389</x:v>
      </x:c>
      <x:c r="L419" s="46" t="n">
        <x:v>0</x:v>
      </x:c>
      <x:c r="M419" s="46" t="n">
        <x:v>0</x:v>
      </x:c>
      <x:c r="N419" s="21" t="n">
        <x:f>IF(AND(L418=1,M418=1,P418&gt;0),1,0)</x:f>
        <x:v>0</x:v>
      </x:c>
      <x:c r="O419" s="21" t="n">
        <x:f>MIN('Root Data'!I130:I132)</x:f>
        <x:v>0</x:v>
      </x:c>
      <x:c r="P419" s="44" t="n">
        <x:f>IF(AND(L419=1,M419=1,N419=1,O419&gt;=G419),K419,0)</x:f>
        <x:v>0</x:v>
      </x:c>
      <x:c r="Q419" s="21" t="str">
        <x:v>OPEN</x:v>
      </x:c>
      <x:c r="R419" s="23" t="str">
        <x:v>HOLD</x:v>
      </x:c>
    </x:row>
    <x:row r="420">
      <x:c r="B420" s="21" t="str">
        <x:v>AR-00414</x:v>
      </x:c>
      <x:c r="C420" s="21" t="str">
        <x:v>F11-I2</x:v>
      </x:c>
      <x:c r="D420" s="21" t="str">
        <x:v>F11</x:v>
      </x:c>
      <x:c r="E420" s="21" t="n">
        <x:v>4</x:v>
      </x:c>
      <x:c r="F420" s="21" t="str">
        <x:v>Engineering article acceptance</x:v>
      </x:c>
      <x:c r="G420" s="21" t="n">
        <x:v>18</x:v>
      </x:c>
      <x:c r="H420" s="21" t="str">
        <x:v>Independent Evidence and Data Authority</x:v>
      </x:c>
      <x:c r="I420" s="44" t="n">
        <x:f>Lifecycle!G10</x:f>
        <x:v>0.05929244350747744</x:v>
      </x:c>
      <x:c r="J420" s="44" t="n">
        <x:v>0.075</x:v>
      </x:c>
      <x:c r="K420" s="44" t="n">
        <x:f>I420*J420</x:f>
        <x:v>0.004446933263060808</x:v>
      </x:c>
      <x:c r="L420" s="46" t="n">
        <x:v>0</x:v>
      </x:c>
      <x:c r="M420" s="46" t="n">
        <x:v>0</x:v>
      </x:c>
      <x:c r="N420" s="21" t="n">
        <x:f>IF(AND(L419=1,M419=1,P419&gt;0),1,0)</x:f>
        <x:v>0</x:v>
      </x:c>
      <x:c r="O420" s="21" t="n">
        <x:f>MIN('Root Data'!I130:I132)</x:f>
        <x:v>0</x:v>
      </x:c>
      <x:c r="P420" s="44" t="n">
        <x:f>IF(AND(L420=1,M420=1,N420=1,O420&gt;=G420),K420,0)</x:f>
        <x:v>0</x:v>
      </x:c>
      <x:c r="Q420" s="21" t="str">
        <x:v>OPEN</x:v>
      </x:c>
      <x:c r="R420" s="23" t="str">
        <x:v>HOLD</x:v>
      </x:c>
    </x:row>
    <x:row r="421">
      <x:c r="B421" s="21" t="str">
        <x:v>AR-00415</x:v>
      </x:c>
      <x:c r="C421" s="21" t="str">
        <x:v>F11-I2</x:v>
      </x:c>
      <x:c r="D421" s="21" t="str">
        <x:v>F11</x:v>
      </x:c>
      <x:c r="E421" s="21" t="n">
        <x:v>5</x:v>
      </x:c>
      <x:c r="F421" s="21" t="str">
        <x:v>Qualification and destructive evidence</x:v>
      </x:c>
      <x:c r="G421" s="21" t="n">
        <x:v>21</x:v>
      </x:c>
      <x:c r="H421" s="21" t="str">
        <x:v>Independent Evidence and Data Authority</x:v>
      </x:c>
      <x:c r="I421" s="44" t="n">
        <x:f>Lifecycle!G11</x:f>
        <x:v>0.1515251334079979</x:v>
      </x:c>
      <x:c r="J421" s="44" t="n">
        <x:v>0.075</x:v>
      </x:c>
      <x:c r="K421" s="44" t="n">
        <x:f>I421*J421</x:f>
        <x:v>0.011364385005599841</x:v>
      </x:c>
      <x:c r="L421" s="46" t="n">
        <x:v>0</x:v>
      </x:c>
      <x:c r="M421" s="46" t="n">
        <x:v>0</x:v>
      </x:c>
      <x:c r="N421" s="21" t="n">
        <x:f>IF(AND(L420=1,M420=1,P420&gt;0),1,0)</x:f>
        <x:v>0</x:v>
      </x:c>
      <x:c r="O421" s="21" t="n">
        <x:f>MIN('Root Data'!I130:I132)</x:f>
        <x:v>0</x:v>
      </x:c>
      <x:c r="P421" s="44" t="n">
        <x:f>IF(AND(L421=1,M421=1,N421=1,O421&gt;=G421),K421,0)</x:f>
        <x:v>0</x:v>
      </x:c>
      <x:c r="Q421" s="21" t="str">
        <x:v>OPEN</x:v>
      </x:c>
      <x:c r="R421" s="23" t="str">
        <x:v>HOLD</x:v>
      </x:c>
    </x:row>
    <x:row r="422">
      <x:c r="B422" s="21" t="str">
        <x:v>AR-00416</x:v>
      </x:c>
      <x:c r="C422" s="21" t="str">
        <x:v>F11-I2</x:v>
      </x:c>
      <x:c r="D422" s="21" t="str">
        <x:v>F11</x:v>
      </x:c>
      <x:c r="E422" s="21" t="n">
        <x:v>6</x:v>
      </x:c>
      <x:c r="F422" s="21" t="str">
        <x:v>Representative mission result</x:v>
      </x:c>
      <x:c r="G422" s="21" t="n">
        <x:v>23</x:v>
      </x:c>
      <x:c r="H422" s="21" t="str">
        <x:v>Receiving Service Authority</x:v>
      </x:c>
      <x:c r="I422" s="44" t="n">
        <x:f>Lifecycle!G12</x:f>
        <x:v>0.250345872587127</x:v>
      </x:c>
      <x:c r="J422" s="44" t="n">
        <x:v>0.075</x:v>
      </x:c>
      <x:c r="K422" s="44" t="n">
        <x:f>I422*J422</x:f>
        <x:v>0.018775940444034522</x:v>
      </x:c>
      <x:c r="L422" s="46" t="n">
        <x:v>0</x:v>
      </x:c>
      <x:c r="M422" s="46" t="n">
        <x:v>0</x:v>
      </x:c>
      <x:c r="N422" s="21" t="n">
        <x:f>IF(AND(L421=1,M421=1,P421&gt;0),1,0)</x:f>
        <x:v>0</x:v>
      </x:c>
      <x:c r="O422" s="21" t="n">
        <x:f>MIN('Root Data'!I130:I132)</x:f>
        <x:v>0</x:v>
      </x:c>
      <x:c r="P422" s="44" t="n">
        <x:f>IF(AND(L422=1,M422=1,N422=1,O422&gt;=G422),K422,0)</x:f>
        <x:v>0</x:v>
      </x:c>
      <x:c r="Q422" s="21" t="str">
        <x:v>OPEN</x:v>
      </x:c>
      <x:c r="R422" s="23" t="str">
        <x:v>HOLD</x:v>
      </x:c>
    </x:row>
    <x:row r="423">
      <x:c r="B423" s="21" t="str">
        <x:v>AR-00417</x:v>
      </x:c>
      <x:c r="C423" s="21" t="str">
        <x:v>F11-I2</x:v>
      </x:c>
      <x:c r="D423" s="21" t="str">
        <x:v>F11</x:v>
      </x:c>
      <x:c r="E423" s="21" t="n">
        <x:v>7</x:v>
      </x:c>
      <x:c r="F423" s="21" t="str">
        <x:v>Independent reproduction</x:v>
      </x:c>
      <x:c r="G423" s="21" t="n">
        <x:v>28</x:v>
      </x:c>
      <x:c r="H423" s="21" t="str">
        <x:v>Independent Evidence and Data Authority</x:v>
      </x:c>
      <x:c r="I423" s="44" t="n">
        <x:f>Lifecycle!G13</x:f>
        <x:v>0.21740562619408393</x:v>
      </x:c>
      <x:c r="J423" s="44" t="n">
        <x:v>0.075</x:v>
      </x:c>
      <x:c r="K423" s="44" t="n">
        <x:f>I423*J423</x:f>
        <x:v>0.016305421964556293</x:v>
      </x:c>
      <x:c r="L423" s="46" t="n">
        <x:v>0</x:v>
      </x:c>
      <x:c r="M423" s="46" t="n">
        <x:v>0</x:v>
      </x:c>
      <x:c r="N423" s="21" t="n">
        <x:f>IF(AND(L422=1,M422=1,P422&gt;0),1,0)</x:f>
        <x:v>0</x:v>
      </x:c>
      <x:c r="O423" s="21" t="n">
        <x:f>MIN('Root Data'!I130:I132)</x:f>
        <x:v>0</x:v>
      </x:c>
      <x:c r="P423" s="44" t="n">
        <x:f>IF(AND(L423=1,M423=1,N423=1,O423&gt;=G423),K423,0)</x:f>
        <x:v>0</x:v>
      </x:c>
      <x:c r="Q423" s="21" t="str">
        <x:v>OPEN</x:v>
      </x:c>
      <x:c r="R423" s="23" t="str">
        <x:v>HOLD</x:v>
      </x:c>
    </x:row>
    <x:row r="424">
      <x:c r="B424" s="21" t="str">
        <x:v>AR-00418</x:v>
      </x:c>
      <x:c r="C424" s="21" t="str">
        <x:v>F11-I2</x:v>
      </x:c>
      <x:c r="D424" s="21" t="str">
        <x:v>F11</x:v>
      </x:c>
      <x:c r="E424" s="21" t="n">
        <x:v>8</x:v>
      </x:c>
      <x:c r="F424" s="21" t="str">
        <x:v>Pilot-process qualification</x:v>
      </x:c>
      <x:c r="G424" s="21" t="n">
        <x:v>28</x:v>
      </x:c>
      <x:c r="H424" s="21" t="str">
        <x:v>AIMC Industrial Mobilization Authority</x:v>
      </x:c>
      <x:c r="I424" s="44" t="n">
        <x:f>Lifecycle!G14</x:f>
        <x:v>0.03952829567165163</x:v>
      </x:c>
      <x:c r="J424" s="44" t="n">
        <x:v>0.075</x:v>
      </x:c>
      <x:c r="K424" s="44" t="n">
        <x:f>I424*J424</x:f>
        <x:v>0.002964622175373872</x:v>
      </x:c>
      <x:c r="L424" s="46" t="n">
        <x:v>0</x:v>
      </x:c>
      <x:c r="M424" s="46" t="n">
        <x:v>0</x:v>
      </x:c>
      <x:c r="N424" s="21" t="n">
        <x:f>IF(AND(L423=1,M423=1,P423&gt;0),1,0)</x:f>
        <x:v>0</x:v>
      </x:c>
      <x:c r="O424" s="21" t="n">
        <x:f>MIN('Root Data'!I130:I132)</x:f>
        <x:v>0</x:v>
      </x:c>
      <x:c r="P424" s="44" t="n">
        <x:f>IF(AND(L424=1,M424=1,N424=1,O424&gt;=G424),K424,0)</x:f>
        <x:v>0</x:v>
      </x:c>
      <x:c r="Q424" s="21" t="str">
        <x:v>OPEN</x:v>
      </x:c>
      <x:c r="R424" s="23" t="str">
        <x:v>HOLD</x:v>
      </x:c>
    </x:row>
    <x:row r="425">
      <x:c r="B425" s="21" t="str">
        <x:v>AR-00419</x:v>
      </x:c>
      <x:c r="C425" s="21" t="str">
        <x:v>F11-I2</x:v>
      </x:c>
      <x:c r="D425" s="21" t="str">
        <x:v>F11</x:v>
      </x:c>
      <x:c r="E425" s="21" t="n">
        <x:v>9</x:v>
      </x:c>
      <x:c r="F425" s="21" t="str">
        <x:v>Production release package</x:v>
      </x:c>
      <x:c r="G425" s="21" t="n">
        <x:v>28</x:v>
      </x:c>
      <x:c r="H425" s="21" t="str">
        <x:v>Production Release Board</x:v>
      </x:c>
      <x:c r="I425" s="44" t="n">
        <x:f>Lifecycle!G15</x:f>
        <x:v>0.01647012319652151</x:v>
      </x:c>
      <x:c r="J425" s="44" t="n">
        <x:v>0.075</x:v>
      </x:c>
      <x:c r="K425" s="44" t="n">
        <x:f>I425*J425</x:f>
        <x:v>0.0012352592397391132</x:v>
      </x:c>
      <x:c r="L425" s="46" t="n">
        <x:v>0</x:v>
      </x:c>
      <x:c r="M425" s="46" t="n">
        <x:v>0</x:v>
      </x:c>
      <x:c r="N425" s="21" t="n">
        <x:f>IF(AND(L424=1,M424=1,P424&gt;0),1,0)</x:f>
        <x:v>0</x:v>
      </x:c>
      <x:c r="O425" s="21" t="n">
        <x:f>MIN('Root Data'!I130:I132)</x:f>
        <x:v>0</x:v>
      </x:c>
      <x:c r="P425" s="44" t="n">
        <x:f>IF(AND(L425=1,M425=1,N425=1,O425&gt;=G425),K425,0)</x:f>
        <x:v>0</x:v>
      </x:c>
      <x:c r="Q425" s="21" t="str">
        <x:v>OPEN</x:v>
      </x:c>
      <x:c r="R425" s="23" t="str">
        <x:v>HOLD</x:v>
      </x:c>
    </x:row>
    <x:row r="426">
      <x:c r="B426" s="21" t="str">
        <x:v>AR-00420</x:v>
      </x:c>
      <x:c r="C426" s="21" t="str">
        <x:v>F11-I2</x:v>
      </x:c>
      <x:c r="D426" s="21" t="str">
        <x:v>F11</x:v>
      </x:c>
      <x:c r="E426" s="21" t="n">
        <x:v>10</x:v>
      </x:c>
      <x:c r="F426" s="21" t="str">
        <x:v>Mobilization activation</x:v>
      </x:c>
      <x:c r="G426" s="21" t="n">
        <x:v>28</x:v>
      </x:c>
      <x:c r="H426" s="21" t="str">
        <x:v>Production Release Board</x:v>
      </x:c>
      <x:c r="I426" s="44" t="n">
        <x:f>Lifecycle!G16</x:f>
        <x:v>0.028262731405230914</x:v>
      </x:c>
      <x:c r="J426" s="44" t="n">
        <x:v>0.075</x:v>
      </x:c>
      <x:c r="K426" s="44" t="n">
        <x:f>I426*J426</x:f>
        <x:v>0.0021197048553923186</x:v>
      </x:c>
      <x:c r="L426" s="46" t="n">
        <x:v>0</x:v>
      </x:c>
      <x:c r="M426" s="46" t="n">
        <x:v>0</x:v>
      </x:c>
      <x:c r="N426" s="21" t="n">
        <x:f>IF(AND(L425=1,M425=1,P425&gt;0),1,0)</x:f>
        <x:v>0</x:v>
      </x:c>
      <x:c r="O426" s="21" t="n">
        <x:f>MIN('Root Data'!I130:I132)</x:f>
        <x:v>0</x:v>
      </x:c>
      <x:c r="P426" s="44" t="n">
        <x:f>IF(AND(L426=1,M426=1,N426=1,O426&gt;=G426),K426,0)</x:f>
        <x:v>0</x:v>
      </x:c>
      <x:c r="Q426" s="21" t="str">
        <x:v>OPEN</x:v>
      </x:c>
      <x:c r="R426" s="23" t="str">
        <x:v>HOLD</x:v>
      </x:c>
    </x:row>
    <x:row r="427">
      <x:c r="B427" s="21" t="str">
        <x:v>AR-00421</x:v>
      </x:c>
      <x:c r="C427" s="21" t="str">
        <x:v>F11-I3</x:v>
      </x:c>
      <x:c r="D427" s="21" t="str">
        <x:v>F11</x:v>
      </x:c>
      <x:c r="E427" s="21" t="n">
        <x:v>1</x:v>
      </x:c>
      <x:c r="F427" s="21" t="str">
        <x:v>Civil effect charter</x:v>
      </x:c>
      <x:c r="G427" s="21" t="n">
        <x:v>0</x:v>
      </x:c>
      <x:c r="H427" s="21" t="str">
        <x:v>Civil Guarantee Authority</x:v>
      </x:c>
      <x:c r="I427" s="44" t="n">
        <x:f>Lifecycle!G7</x:f>
        <x:v>0.04941036958956453</x:v>
      </x:c>
      <x:c r="J427" s="44" t="n">
        <x:v>0.075</x:v>
      </x:c>
      <x:c r="K427" s="44" t="n">
        <x:f>I427*J427</x:f>
        <x:v>0.0037057777192173397</x:v>
      </x:c>
      <x:c r="L427" s="46" t="n">
        <x:v>0</x:v>
      </x:c>
      <x:c r="M427" s="46" t="n">
        <x:v>0</x:v>
      </x:c>
      <x:c r="N427" s="21" t="n">
        <x:f>1</x:f>
        <x:v>1</x:v>
      </x:c>
      <x:c r="O427" s="21" t="n">
        <x:f>MIN('Root Data'!I133:I135)</x:f>
        <x:v>0</x:v>
      </x:c>
      <x:c r="P427" s="44" t="n">
        <x:f>IF(AND(L427=1,M427=1,N427=1,O427&gt;=G427),K427,0)</x:f>
        <x:v>0</x:v>
      </x:c>
      <x:c r="Q427" s="21" t="str">
        <x:v>OPEN</x:v>
      </x:c>
      <x:c r="R427" s="23" t="str">
        <x:v>HOLD</x:v>
      </x:c>
    </x:row>
    <x:row r="428">
      <x:c r="B428" s="21" t="str">
        <x:v>AR-00422</x:v>
      </x:c>
      <x:c r="C428" s="21" t="str">
        <x:v>F11-I3</x:v>
      </x:c>
      <x:c r="D428" s="21" t="str">
        <x:v>F11</x:v>
      </x:c>
      <x:c r="E428" s="21" t="n">
        <x:v>2</x:v>
      </x:c>
      <x:c r="F428" s="21" t="str">
        <x:v>Requirement and root-independence package</x:v>
      </x:c>
      <x:c r="G428" s="21" t="n">
        <x:v>8</x:v>
      </x:c>
      <x:c r="H428" s="21" t="str">
        <x:v>Resilience Staff</x:v>
      </x:c>
      <x:c r="I428" s="44" t="n">
        <x:f>Lifecycle!G8</x:f>
        <x:v>0.10211476381843337</x:v>
      </x:c>
      <x:c r="J428" s="44" t="n">
        <x:v>0.075</x:v>
      </x:c>
      <x:c r="K428" s="44" t="n">
        <x:f>I428*J428</x:f>
        <x:v>0.007658607286382502</x:v>
      </x:c>
      <x:c r="L428" s="46" t="n">
        <x:v>0</x:v>
      </x:c>
      <x:c r="M428" s="46" t="n">
        <x:v>0</x:v>
      </x:c>
      <x:c r="N428" s="21" t="n">
        <x:f>IF(AND(L427=1,M427=1,P427&gt;0),1,0)</x:f>
        <x:v>0</x:v>
      </x:c>
      <x:c r="O428" s="21" t="n">
        <x:f>MIN('Root Data'!I133:I135)</x:f>
        <x:v>0</x:v>
      </x:c>
      <x:c r="P428" s="44" t="n">
        <x:f>IF(AND(L428=1,M428=1,N428=1,O428&gt;=G428),K428,0)</x:f>
        <x:v>0</x:v>
      </x:c>
      <x:c r="Q428" s="21" t="str">
        <x:v>OPEN</x:v>
      </x:c>
      <x:c r="R428" s="23" t="str">
        <x:v>HOLD</x:v>
      </x:c>
    </x:row>
    <x:row r="429">
      <x:c r="B429" s="21" t="str">
        <x:v>AR-00423</x:v>
      </x:c>
      <x:c r="C429" s="21" t="str">
        <x:v>F11-I3</x:v>
      </x:c>
      <x:c r="D429" s="21" t="str">
        <x:v>F11</x:v>
      </x:c>
      <x:c r="E429" s="21" t="n">
        <x:v>3</x:v>
      </x:c>
      <x:c r="F429" s="21" t="str">
        <x:v>Architecture and burden closure</x:v>
      </x:c>
      <x:c r="G429" s="21" t="n">
        <x:v>14</x:v>
      </x:c>
      <x:c r="H429" s="21" t="str">
        <x:v>Independent Evidence and Data Authority</x:v>
      </x:c>
      <x:c r="I429" s="44" t="n">
        <x:f>Lifecycle!G9</x:f>
        <x:v>0.08564464062191186</x:v>
      </x:c>
      <x:c r="J429" s="44" t="n">
        <x:v>0.075</x:v>
      </x:c>
      <x:c r="K429" s="44" t="n">
        <x:f>I429*J429</x:f>
        <x:v>0.006423348046643389</x:v>
      </x:c>
      <x:c r="L429" s="46" t="n">
        <x:v>0</x:v>
      </x:c>
      <x:c r="M429" s="46" t="n">
        <x:v>0</x:v>
      </x:c>
      <x:c r="N429" s="21" t="n">
        <x:f>IF(AND(L428=1,M428=1,P428&gt;0),1,0)</x:f>
        <x:v>0</x:v>
      </x:c>
      <x:c r="O429" s="21" t="n">
        <x:f>MIN('Root Data'!I133:I135)</x:f>
        <x:v>0</x:v>
      </x:c>
      <x:c r="P429" s="44" t="n">
        <x:f>IF(AND(L429=1,M429=1,N429=1,O429&gt;=G429),K429,0)</x:f>
        <x:v>0</x:v>
      </x:c>
      <x:c r="Q429" s="21" t="str">
        <x:v>OPEN</x:v>
      </x:c>
      <x:c r="R429" s="23" t="str">
        <x:v>HOLD</x:v>
      </x:c>
    </x:row>
    <x:row r="430">
      <x:c r="B430" s="21" t="str">
        <x:v>AR-00424</x:v>
      </x:c>
      <x:c r="C430" s="21" t="str">
        <x:v>F11-I3</x:v>
      </x:c>
      <x:c r="D430" s="21" t="str">
        <x:v>F11</x:v>
      </x:c>
      <x:c r="E430" s="21" t="n">
        <x:v>4</x:v>
      </x:c>
      <x:c r="F430" s="21" t="str">
        <x:v>Engineering article acceptance</x:v>
      </x:c>
      <x:c r="G430" s="21" t="n">
        <x:v>18</x:v>
      </x:c>
      <x:c r="H430" s="21" t="str">
        <x:v>Independent Evidence and Data Authority</x:v>
      </x:c>
      <x:c r="I430" s="44" t="n">
        <x:f>Lifecycle!G10</x:f>
        <x:v>0.05929244350747744</x:v>
      </x:c>
      <x:c r="J430" s="44" t="n">
        <x:v>0.075</x:v>
      </x:c>
      <x:c r="K430" s="44" t="n">
        <x:f>I430*J430</x:f>
        <x:v>0.004446933263060808</x:v>
      </x:c>
      <x:c r="L430" s="46" t="n">
        <x:v>0</x:v>
      </x:c>
      <x:c r="M430" s="46" t="n">
        <x:v>0</x:v>
      </x:c>
      <x:c r="N430" s="21" t="n">
        <x:f>IF(AND(L429=1,M429=1,P429&gt;0),1,0)</x:f>
        <x:v>0</x:v>
      </x:c>
      <x:c r="O430" s="21" t="n">
        <x:f>MIN('Root Data'!I133:I135)</x:f>
        <x:v>0</x:v>
      </x:c>
      <x:c r="P430" s="44" t="n">
        <x:f>IF(AND(L430=1,M430=1,N430=1,O430&gt;=G430),K430,0)</x:f>
        <x:v>0</x:v>
      </x:c>
      <x:c r="Q430" s="21" t="str">
        <x:v>OPEN</x:v>
      </x:c>
      <x:c r="R430" s="23" t="str">
        <x:v>HOLD</x:v>
      </x:c>
    </x:row>
    <x:row r="431">
      <x:c r="B431" s="21" t="str">
        <x:v>AR-00425</x:v>
      </x:c>
      <x:c r="C431" s="21" t="str">
        <x:v>F11-I3</x:v>
      </x:c>
      <x:c r="D431" s="21" t="str">
        <x:v>F11</x:v>
      </x:c>
      <x:c r="E431" s="21" t="n">
        <x:v>5</x:v>
      </x:c>
      <x:c r="F431" s="21" t="str">
        <x:v>Qualification and destructive evidence</x:v>
      </x:c>
      <x:c r="G431" s="21" t="n">
        <x:v>21</x:v>
      </x:c>
      <x:c r="H431" s="21" t="str">
        <x:v>Independent Evidence and Data Authority</x:v>
      </x:c>
      <x:c r="I431" s="44" t="n">
        <x:f>Lifecycle!G11</x:f>
        <x:v>0.1515251334079979</x:v>
      </x:c>
      <x:c r="J431" s="44" t="n">
        <x:v>0.075</x:v>
      </x:c>
      <x:c r="K431" s="44" t="n">
        <x:f>I431*J431</x:f>
        <x:v>0.011364385005599841</x:v>
      </x:c>
      <x:c r="L431" s="46" t="n">
        <x:v>0</x:v>
      </x:c>
      <x:c r="M431" s="46" t="n">
        <x:v>0</x:v>
      </x:c>
      <x:c r="N431" s="21" t="n">
        <x:f>IF(AND(L430=1,M430=1,P430&gt;0),1,0)</x:f>
        <x:v>0</x:v>
      </x:c>
      <x:c r="O431" s="21" t="n">
        <x:f>MIN('Root Data'!I133:I135)</x:f>
        <x:v>0</x:v>
      </x:c>
      <x:c r="P431" s="44" t="n">
        <x:f>IF(AND(L431=1,M431=1,N431=1,O431&gt;=G431),K431,0)</x:f>
        <x:v>0</x:v>
      </x:c>
      <x:c r="Q431" s="21" t="str">
        <x:v>OPEN</x:v>
      </x:c>
      <x:c r="R431" s="23" t="str">
        <x:v>HOLD</x:v>
      </x:c>
    </x:row>
    <x:row r="432">
      <x:c r="B432" s="21" t="str">
        <x:v>AR-00426</x:v>
      </x:c>
      <x:c r="C432" s="21" t="str">
        <x:v>F11-I3</x:v>
      </x:c>
      <x:c r="D432" s="21" t="str">
        <x:v>F11</x:v>
      </x:c>
      <x:c r="E432" s="21" t="n">
        <x:v>6</x:v>
      </x:c>
      <x:c r="F432" s="21" t="str">
        <x:v>Representative mission result</x:v>
      </x:c>
      <x:c r="G432" s="21" t="n">
        <x:v>23</x:v>
      </x:c>
      <x:c r="H432" s="21" t="str">
        <x:v>Receiving Service Authority</x:v>
      </x:c>
      <x:c r="I432" s="44" t="n">
        <x:f>Lifecycle!G12</x:f>
        <x:v>0.250345872587127</x:v>
      </x:c>
      <x:c r="J432" s="44" t="n">
        <x:v>0.075</x:v>
      </x:c>
      <x:c r="K432" s="44" t="n">
        <x:f>I432*J432</x:f>
        <x:v>0.018775940444034522</x:v>
      </x:c>
      <x:c r="L432" s="46" t="n">
        <x:v>0</x:v>
      </x:c>
      <x:c r="M432" s="46" t="n">
        <x:v>0</x:v>
      </x:c>
      <x:c r="N432" s="21" t="n">
        <x:f>IF(AND(L431=1,M431=1,P431&gt;0),1,0)</x:f>
        <x:v>0</x:v>
      </x:c>
      <x:c r="O432" s="21" t="n">
        <x:f>MIN('Root Data'!I133:I135)</x:f>
        <x:v>0</x:v>
      </x:c>
      <x:c r="P432" s="44" t="n">
        <x:f>IF(AND(L432=1,M432=1,N432=1,O432&gt;=G432),K432,0)</x:f>
        <x:v>0</x:v>
      </x:c>
      <x:c r="Q432" s="21" t="str">
        <x:v>OPEN</x:v>
      </x:c>
      <x:c r="R432" s="23" t="str">
        <x:v>HOLD</x:v>
      </x:c>
    </x:row>
    <x:row r="433">
      <x:c r="B433" s="21" t="str">
        <x:v>AR-00427</x:v>
      </x:c>
      <x:c r="C433" s="21" t="str">
        <x:v>F11-I3</x:v>
      </x:c>
      <x:c r="D433" s="21" t="str">
        <x:v>F11</x:v>
      </x:c>
      <x:c r="E433" s="21" t="n">
        <x:v>7</x:v>
      </x:c>
      <x:c r="F433" s="21" t="str">
        <x:v>Independent reproduction</x:v>
      </x:c>
      <x:c r="G433" s="21" t="n">
        <x:v>28</x:v>
      </x:c>
      <x:c r="H433" s="21" t="str">
        <x:v>Independent Evidence and Data Authority</x:v>
      </x:c>
      <x:c r="I433" s="44" t="n">
        <x:f>Lifecycle!G13</x:f>
        <x:v>0.21740562619408393</x:v>
      </x:c>
      <x:c r="J433" s="44" t="n">
        <x:v>0.075</x:v>
      </x:c>
      <x:c r="K433" s="44" t="n">
        <x:f>I433*J433</x:f>
        <x:v>0.016305421964556293</x:v>
      </x:c>
      <x:c r="L433" s="46" t="n">
        <x:v>0</x:v>
      </x:c>
      <x:c r="M433" s="46" t="n">
        <x:v>0</x:v>
      </x:c>
      <x:c r="N433" s="21" t="n">
        <x:f>IF(AND(L432=1,M432=1,P432&gt;0),1,0)</x:f>
        <x:v>0</x:v>
      </x:c>
      <x:c r="O433" s="21" t="n">
        <x:f>MIN('Root Data'!I133:I135)</x:f>
        <x:v>0</x:v>
      </x:c>
      <x:c r="P433" s="44" t="n">
        <x:f>IF(AND(L433=1,M433=1,N433=1,O433&gt;=G433),K433,0)</x:f>
        <x:v>0</x:v>
      </x:c>
      <x:c r="Q433" s="21" t="str">
        <x:v>OPEN</x:v>
      </x:c>
      <x:c r="R433" s="23" t="str">
        <x:v>HOLD</x:v>
      </x:c>
    </x:row>
    <x:row r="434">
      <x:c r="B434" s="21" t="str">
        <x:v>AR-00428</x:v>
      </x:c>
      <x:c r="C434" s="21" t="str">
        <x:v>F11-I3</x:v>
      </x:c>
      <x:c r="D434" s="21" t="str">
        <x:v>F11</x:v>
      </x:c>
      <x:c r="E434" s="21" t="n">
        <x:v>8</x:v>
      </x:c>
      <x:c r="F434" s="21" t="str">
        <x:v>Pilot-process qualification</x:v>
      </x:c>
      <x:c r="G434" s="21" t="n">
        <x:v>28</x:v>
      </x:c>
      <x:c r="H434" s="21" t="str">
        <x:v>AIMC Industrial Mobilization Authority</x:v>
      </x:c>
      <x:c r="I434" s="44" t="n">
        <x:f>Lifecycle!G14</x:f>
        <x:v>0.03952829567165163</x:v>
      </x:c>
      <x:c r="J434" s="44" t="n">
        <x:v>0.075</x:v>
      </x:c>
      <x:c r="K434" s="44" t="n">
        <x:f>I434*J434</x:f>
        <x:v>0.002964622175373872</x:v>
      </x:c>
      <x:c r="L434" s="46" t="n">
        <x:v>0</x:v>
      </x:c>
      <x:c r="M434" s="46" t="n">
        <x:v>0</x:v>
      </x:c>
      <x:c r="N434" s="21" t="n">
        <x:f>IF(AND(L433=1,M433=1,P433&gt;0),1,0)</x:f>
        <x:v>0</x:v>
      </x:c>
      <x:c r="O434" s="21" t="n">
        <x:f>MIN('Root Data'!I133:I135)</x:f>
        <x:v>0</x:v>
      </x:c>
      <x:c r="P434" s="44" t="n">
        <x:f>IF(AND(L434=1,M434=1,N434=1,O434&gt;=G434),K434,0)</x:f>
        <x:v>0</x:v>
      </x:c>
      <x:c r="Q434" s="21" t="str">
        <x:v>OPEN</x:v>
      </x:c>
      <x:c r="R434" s="23" t="str">
        <x:v>HOLD</x:v>
      </x:c>
    </x:row>
    <x:row r="435">
      <x:c r="B435" s="21" t="str">
        <x:v>AR-00429</x:v>
      </x:c>
      <x:c r="C435" s="21" t="str">
        <x:v>F11-I3</x:v>
      </x:c>
      <x:c r="D435" s="21" t="str">
        <x:v>F11</x:v>
      </x:c>
      <x:c r="E435" s="21" t="n">
        <x:v>9</x:v>
      </x:c>
      <x:c r="F435" s="21" t="str">
        <x:v>Production release package</x:v>
      </x:c>
      <x:c r="G435" s="21" t="n">
        <x:v>28</x:v>
      </x:c>
      <x:c r="H435" s="21" t="str">
        <x:v>Production Release Board</x:v>
      </x:c>
      <x:c r="I435" s="44" t="n">
        <x:f>Lifecycle!G15</x:f>
        <x:v>0.01647012319652151</x:v>
      </x:c>
      <x:c r="J435" s="44" t="n">
        <x:v>0.075</x:v>
      </x:c>
      <x:c r="K435" s="44" t="n">
        <x:f>I435*J435</x:f>
        <x:v>0.0012352592397391132</x:v>
      </x:c>
      <x:c r="L435" s="46" t="n">
        <x:v>0</x:v>
      </x:c>
      <x:c r="M435" s="46" t="n">
        <x:v>0</x:v>
      </x:c>
      <x:c r="N435" s="21" t="n">
        <x:f>IF(AND(L434=1,M434=1,P434&gt;0),1,0)</x:f>
        <x:v>0</x:v>
      </x:c>
      <x:c r="O435" s="21" t="n">
        <x:f>MIN('Root Data'!I133:I135)</x:f>
        <x:v>0</x:v>
      </x:c>
      <x:c r="P435" s="44" t="n">
        <x:f>IF(AND(L435=1,M435=1,N435=1,O435&gt;=G435),K435,0)</x:f>
        <x:v>0</x:v>
      </x:c>
      <x:c r="Q435" s="21" t="str">
        <x:v>OPEN</x:v>
      </x:c>
      <x:c r="R435" s="23" t="str">
        <x:v>HOLD</x:v>
      </x:c>
    </x:row>
    <x:row r="436">
      <x:c r="B436" s="21" t="str">
        <x:v>AR-00430</x:v>
      </x:c>
      <x:c r="C436" s="21" t="str">
        <x:v>F11-I3</x:v>
      </x:c>
      <x:c r="D436" s="21" t="str">
        <x:v>F11</x:v>
      </x:c>
      <x:c r="E436" s="21" t="n">
        <x:v>10</x:v>
      </x:c>
      <x:c r="F436" s="21" t="str">
        <x:v>Mobilization activation</x:v>
      </x:c>
      <x:c r="G436" s="21" t="n">
        <x:v>28</x:v>
      </x:c>
      <x:c r="H436" s="21" t="str">
        <x:v>Production Release Board</x:v>
      </x:c>
      <x:c r="I436" s="44" t="n">
        <x:f>Lifecycle!G16</x:f>
        <x:v>0.028262731405230914</x:v>
      </x:c>
      <x:c r="J436" s="44" t="n">
        <x:v>0.075</x:v>
      </x:c>
      <x:c r="K436" s="44" t="n">
        <x:f>I436*J436</x:f>
        <x:v>0.0021197048553923186</x:v>
      </x:c>
      <x:c r="L436" s="46" t="n">
        <x:v>0</x:v>
      </x:c>
      <x:c r="M436" s="46" t="n">
        <x:v>0</x:v>
      </x:c>
      <x:c r="N436" s="21" t="n">
        <x:f>IF(AND(L435=1,M435=1,P435&gt;0),1,0)</x:f>
        <x:v>0</x:v>
      </x:c>
      <x:c r="O436" s="21" t="n">
        <x:f>MIN('Root Data'!I133:I135)</x:f>
        <x:v>0</x:v>
      </x:c>
      <x:c r="P436" s="44" t="n">
        <x:f>IF(AND(L436=1,M436=1,N436=1,O436&gt;=G436),K436,0)</x:f>
        <x:v>0</x:v>
      </x:c>
      <x:c r="Q436" s="21" t="str">
        <x:v>OPEN</x:v>
      </x:c>
      <x:c r="R436" s="23" t="str">
        <x:v>HOLD</x:v>
      </x:c>
    </x:row>
    <x:row r="437">
      <x:c r="B437" s="21" t="str">
        <x:v>AR-00431</x:v>
      </x:c>
      <x:c r="C437" s="21" t="str">
        <x:v>F11-I4</x:v>
      </x:c>
      <x:c r="D437" s="21" t="str">
        <x:v>F11</x:v>
      </x:c>
      <x:c r="E437" s="21" t="n">
        <x:v>1</x:v>
      </x:c>
      <x:c r="F437" s="21" t="str">
        <x:v>Civil effect charter</x:v>
      </x:c>
      <x:c r="G437" s="21" t="n">
        <x:v>0</x:v>
      </x:c>
      <x:c r="H437" s="21" t="str">
        <x:v>Civil Guarantee Authority</x:v>
      </x:c>
      <x:c r="I437" s="44" t="n">
        <x:f>Lifecycle!G7</x:f>
        <x:v>0.04941036958956453</x:v>
      </x:c>
      <x:c r="J437" s="44" t="n">
        <x:v>0.075</x:v>
      </x:c>
      <x:c r="K437" s="44" t="n">
        <x:f>I437*J437</x:f>
        <x:v>0.0037057777192173397</x:v>
      </x:c>
      <x:c r="L437" s="46" t="n">
        <x:v>0</x:v>
      </x:c>
      <x:c r="M437" s="46" t="n">
        <x:v>0</x:v>
      </x:c>
      <x:c r="N437" s="21" t="n">
        <x:f>1</x:f>
        <x:v>1</x:v>
      </x:c>
      <x:c r="O437" s="21" t="n">
        <x:f>MIN('Root Data'!I136:I138)</x:f>
        <x:v>0</x:v>
      </x:c>
      <x:c r="P437" s="44" t="n">
        <x:f>IF(AND(L437=1,M437=1,N437=1,O437&gt;=G437),K437,0)</x:f>
        <x:v>0</x:v>
      </x:c>
      <x:c r="Q437" s="21" t="str">
        <x:v>OPEN</x:v>
      </x:c>
      <x:c r="R437" s="23" t="str">
        <x:v>HOLD</x:v>
      </x:c>
    </x:row>
    <x:row r="438">
      <x:c r="B438" s="21" t="str">
        <x:v>AR-00432</x:v>
      </x:c>
      <x:c r="C438" s="21" t="str">
        <x:v>F11-I4</x:v>
      </x:c>
      <x:c r="D438" s="21" t="str">
        <x:v>F11</x:v>
      </x:c>
      <x:c r="E438" s="21" t="n">
        <x:v>2</x:v>
      </x:c>
      <x:c r="F438" s="21" t="str">
        <x:v>Requirement and root-independence package</x:v>
      </x:c>
      <x:c r="G438" s="21" t="n">
        <x:v>8</x:v>
      </x:c>
      <x:c r="H438" s="21" t="str">
        <x:v>Resilience Staff</x:v>
      </x:c>
      <x:c r="I438" s="44" t="n">
        <x:f>Lifecycle!G8</x:f>
        <x:v>0.10211476381843337</x:v>
      </x:c>
      <x:c r="J438" s="44" t="n">
        <x:v>0.075</x:v>
      </x:c>
      <x:c r="K438" s="44" t="n">
        <x:f>I438*J438</x:f>
        <x:v>0.007658607286382502</x:v>
      </x:c>
      <x:c r="L438" s="46" t="n">
        <x:v>0</x:v>
      </x:c>
      <x:c r="M438" s="46" t="n">
        <x:v>0</x:v>
      </x:c>
      <x:c r="N438" s="21" t="n">
        <x:f>IF(AND(L437=1,M437=1,P437&gt;0),1,0)</x:f>
        <x:v>0</x:v>
      </x:c>
      <x:c r="O438" s="21" t="n">
        <x:f>MIN('Root Data'!I136:I138)</x:f>
        <x:v>0</x:v>
      </x:c>
      <x:c r="P438" s="44" t="n">
        <x:f>IF(AND(L438=1,M438=1,N438=1,O438&gt;=G438),K438,0)</x:f>
        <x:v>0</x:v>
      </x:c>
      <x:c r="Q438" s="21" t="str">
        <x:v>OPEN</x:v>
      </x:c>
      <x:c r="R438" s="23" t="str">
        <x:v>HOLD</x:v>
      </x:c>
    </x:row>
    <x:row r="439">
      <x:c r="B439" s="21" t="str">
        <x:v>AR-00433</x:v>
      </x:c>
      <x:c r="C439" s="21" t="str">
        <x:v>F11-I4</x:v>
      </x:c>
      <x:c r="D439" s="21" t="str">
        <x:v>F11</x:v>
      </x:c>
      <x:c r="E439" s="21" t="n">
        <x:v>3</x:v>
      </x:c>
      <x:c r="F439" s="21" t="str">
        <x:v>Architecture and burden closure</x:v>
      </x:c>
      <x:c r="G439" s="21" t="n">
        <x:v>14</x:v>
      </x:c>
      <x:c r="H439" s="21" t="str">
        <x:v>Independent Evidence and Data Authority</x:v>
      </x:c>
      <x:c r="I439" s="44" t="n">
        <x:f>Lifecycle!G9</x:f>
        <x:v>0.08564464062191186</x:v>
      </x:c>
      <x:c r="J439" s="44" t="n">
        <x:v>0.075</x:v>
      </x:c>
      <x:c r="K439" s="44" t="n">
        <x:f>I439*J439</x:f>
        <x:v>0.006423348046643389</x:v>
      </x:c>
      <x:c r="L439" s="46" t="n">
        <x:v>0</x:v>
      </x:c>
      <x:c r="M439" s="46" t="n">
        <x:v>0</x:v>
      </x:c>
      <x:c r="N439" s="21" t="n">
        <x:f>IF(AND(L438=1,M438=1,P438&gt;0),1,0)</x:f>
        <x:v>0</x:v>
      </x:c>
      <x:c r="O439" s="21" t="n">
        <x:f>MIN('Root Data'!I136:I138)</x:f>
        <x:v>0</x:v>
      </x:c>
      <x:c r="P439" s="44" t="n">
        <x:f>IF(AND(L439=1,M439=1,N439=1,O439&gt;=G439),K439,0)</x:f>
        <x:v>0</x:v>
      </x:c>
      <x:c r="Q439" s="21" t="str">
        <x:v>OPEN</x:v>
      </x:c>
      <x:c r="R439" s="23" t="str">
        <x:v>HOLD</x:v>
      </x:c>
    </x:row>
    <x:row r="440">
      <x:c r="B440" s="21" t="str">
        <x:v>AR-00434</x:v>
      </x:c>
      <x:c r="C440" s="21" t="str">
        <x:v>F11-I4</x:v>
      </x:c>
      <x:c r="D440" s="21" t="str">
        <x:v>F11</x:v>
      </x:c>
      <x:c r="E440" s="21" t="n">
        <x:v>4</x:v>
      </x:c>
      <x:c r="F440" s="21" t="str">
        <x:v>Engineering article acceptance</x:v>
      </x:c>
      <x:c r="G440" s="21" t="n">
        <x:v>18</x:v>
      </x:c>
      <x:c r="H440" s="21" t="str">
        <x:v>Independent Evidence and Data Authority</x:v>
      </x:c>
      <x:c r="I440" s="44" t="n">
        <x:f>Lifecycle!G10</x:f>
        <x:v>0.05929244350747744</x:v>
      </x:c>
      <x:c r="J440" s="44" t="n">
        <x:v>0.075</x:v>
      </x:c>
      <x:c r="K440" s="44" t="n">
        <x:f>I440*J440</x:f>
        <x:v>0.004446933263060808</x:v>
      </x:c>
      <x:c r="L440" s="46" t="n">
        <x:v>0</x:v>
      </x:c>
      <x:c r="M440" s="46" t="n">
        <x:v>0</x:v>
      </x:c>
      <x:c r="N440" s="21" t="n">
        <x:f>IF(AND(L439=1,M439=1,P439&gt;0),1,0)</x:f>
        <x:v>0</x:v>
      </x:c>
      <x:c r="O440" s="21" t="n">
        <x:f>MIN('Root Data'!I136:I138)</x:f>
        <x:v>0</x:v>
      </x:c>
      <x:c r="P440" s="44" t="n">
        <x:f>IF(AND(L440=1,M440=1,N440=1,O440&gt;=G440),K440,0)</x:f>
        <x:v>0</x:v>
      </x:c>
      <x:c r="Q440" s="21" t="str">
        <x:v>OPEN</x:v>
      </x:c>
      <x:c r="R440" s="23" t="str">
        <x:v>HOLD</x:v>
      </x:c>
    </x:row>
    <x:row r="441">
      <x:c r="B441" s="21" t="str">
        <x:v>AR-00435</x:v>
      </x:c>
      <x:c r="C441" s="21" t="str">
        <x:v>F11-I4</x:v>
      </x:c>
      <x:c r="D441" s="21" t="str">
        <x:v>F11</x:v>
      </x:c>
      <x:c r="E441" s="21" t="n">
        <x:v>5</x:v>
      </x:c>
      <x:c r="F441" s="21" t="str">
        <x:v>Qualification and destructive evidence</x:v>
      </x:c>
      <x:c r="G441" s="21" t="n">
        <x:v>21</x:v>
      </x:c>
      <x:c r="H441" s="21" t="str">
        <x:v>Independent Evidence and Data Authority</x:v>
      </x:c>
      <x:c r="I441" s="44" t="n">
        <x:f>Lifecycle!G11</x:f>
        <x:v>0.1515251334079979</x:v>
      </x:c>
      <x:c r="J441" s="44" t="n">
        <x:v>0.075</x:v>
      </x:c>
      <x:c r="K441" s="44" t="n">
        <x:f>I441*J441</x:f>
        <x:v>0.011364385005599841</x:v>
      </x:c>
      <x:c r="L441" s="46" t="n">
        <x:v>0</x:v>
      </x:c>
      <x:c r="M441" s="46" t="n">
        <x:v>0</x:v>
      </x:c>
      <x:c r="N441" s="21" t="n">
        <x:f>IF(AND(L440=1,M440=1,P440&gt;0),1,0)</x:f>
        <x:v>0</x:v>
      </x:c>
      <x:c r="O441" s="21" t="n">
        <x:f>MIN('Root Data'!I136:I138)</x:f>
        <x:v>0</x:v>
      </x:c>
      <x:c r="P441" s="44" t="n">
        <x:f>IF(AND(L441=1,M441=1,N441=1,O441&gt;=G441),K441,0)</x:f>
        <x:v>0</x:v>
      </x:c>
      <x:c r="Q441" s="21" t="str">
        <x:v>OPEN</x:v>
      </x:c>
      <x:c r="R441" s="23" t="str">
        <x:v>HOLD</x:v>
      </x:c>
    </x:row>
    <x:row r="442">
      <x:c r="B442" s="21" t="str">
        <x:v>AR-00436</x:v>
      </x:c>
      <x:c r="C442" s="21" t="str">
        <x:v>F11-I4</x:v>
      </x:c>
      <x:c r="D442" s="21" t="str">
        <x:v>F11</x:v>
      </x:c>
      <x:c r="E442" s="21" t="n">
        <x:v>6</x:v>
      </x:c>
      <x:c r="F442" s="21" t="str">
        <x:v>Representative mission result</x:v>
      </x:c>
      <x:c r="G442" s="21" t="n">
        <x:v>23</x:v>
      </x:c>
      <x:c r="H442" s="21" t="str">
        <x:v>Receiving Service Authority</x:v>
      </x:c>
      <x:c r="I442" s="44" t="n">
        <x:f>Lifecycle!G12</x:f>
        <x:v>0.250345872587127</x:v>
      </x:c>
      <x:c r="J442" s="44" t="n">
        <x:v>0.075</x:v>
      </x:c>
      <x:c r="K442" s="44" t="n">
        <x:f>I442*J442</x:f>
        <x:v>0.018775940444034522</x:v>
      </x:c>
      <x:c r="L442" s="46" t="n">
        <x:v>0</x:v>
      </x:c>
      <x:c r="M442" s="46" t="n">
        <x:v>0</x:v>
      </x:c>
      <x:c r="N442" s="21" t="n">
        <x:f>IF(AND(L441=1,M441=1,P441&gt;0),1,0)</x:f>
        <x:v>0</x:v>
      </x:c>
      <x:c r="O442" s="21" t="n">
        <x:f>MIN('Root Data'!I136:I138)</x:f>
        <x:v>0</x:v>
      </x:c>
      <x:c r="P442" s="44" t="n">
        <x:f>IF(AND(L442=1,M442=1,N442=1,O442&gt;=G442),K442,0)</x:f>
        <x:v>0</x:v>
      </x:c>
      <x:c r="Q442" s="21" t="str">
        <x:v>OPEN</x:v>
      </x:c>
      <x:c r="R442" s="23" t="str">
        <x:v>HOLD</x:v>
      </x:c>
    </x:row>
    <x:row r="443">
      <x:c r="B443" s="21" t="str">
        <x:v>AR-00437</x:v>
      </x:c>
      <x:c r="C443" s="21" t="str">
        <x:v>F11-I4</x:v>
      </x:c>
      <x:c r="D443" s="21" t="str">
        <x:v>F11</x:v>
      </x:c>
      <x:c r="E443" s="21" t="n">
        <x:v>7</x:v>
      </x:c>
      <x:c r="F443" s="21" t="str">
        <x:v>Independent reproduction</x:v>
      </x:c>
      <x:c r="G443" s="21" t="n">
        <x:v>28</x:v>
      </x:c>
      <x:c r="H443" s="21" t="str">
        <x:v>Independent Evidence and Data Authority</x:v>
      </x:c>
      <x:c r="I443" s="44" t="n">
        <x:f>Lifecycle!G13</x:f>
        <x:v>0.21740562619408393</x:v>
      </x:c>
      <x:c r="J443" s="44" t="n">
        <x:v>0.075</x:v>
      </x:c>
      <x:c r="K443" s="44" t="n">
        <x:f>I443*J443</x:f>
        <x:v>0.016305421964556293</x:v>
      </x:c>
      <x:c r="L443" s="46" t="n">
        <x:v>0</x:v>
      </x:c>
      <x:c r="M443" s="46" t="n">
        <x:v>0</x:v>
      </x:c>
      <x:c r="N443" s="21" t="n">
        <x:f>IF(AND(L442=1,M442=1,P442&gt;0),1,0)</x:f>
        <x:v>0</x:v>
      </x:c>
      <x:c r="O443" s="21" t="n">
        <x:f>MIN('Root Data'!I136:I138)</x:f>
        <x:v>0</x:v>
      </x:c>
      <x:c r="P443" s="44" t="n">
        <x:f>IF(AND(L443=1,M443=1,N443=1,O443&gt;=G443),K443,0)</x:f>
        <x:v>0</x:v>
      </x:c>
      <x:c r="Q443" s="21" t="str">
        <x:v>OPEN</x:v>
      </x:c>
      <x:c r="R443" s="23" t="str">
        <x:v>HOLD</x:v>
      </x:c>
    </x:row>
    <x:row r="444">
      <x:c r="B444" s="21" t="str">
        <x:v>AR-00438</x:v>
      </x:c>
      <x:c r="C444" s="21" t="str">
        <x:v>F11-I4</x:v>
      </x:c>
      <x:c r="D444" s="21" t="str">
        <x:v>F11</x:v>
      </x:c>
      <x:c r="E444" s="21" t="n">
        <x:v>8</x:v>
      </x:c>
      <x:c r="F444" s="21" t="str">
        <x:v>Pilot-process qualification</x:v>
      </x:c>
      <x:c r="G444" s="21" t="n">
        <x:v>28</x:v>
      </x:c>
      <x:c r="H444" s="21" t="str">
        <x:v>AIMC Industrial Mobilization Authority</x:v>
      </x:c>
      <x:c r="I444" s="44" t="n">
        <x:f>Lifecycle!G14</x:f>
        <x:v>0.03952829567165163</x:v>
      </x:c>
      <x:c r="J444" s="44" t="n">
        <x:v>0.075</x:v>
      </x:c>
      <x:c r="K444" s="44" t="n">
        <x:f>I444*J444</x:f>
        <x:v>0.002964622175373872</x:v>
      </x:c>
      <x:c r="L444" s="46" t="n">
        <x:v>0</x:v>
      </x:c>
      <x:c r="M444" s="46" t="n">
        <x:v>0</x:v>
      </x:c>
      <x:c r="N444" s="21" t="n">
        <x:f>IF(AND(L443=1,M443=1,P443&gt;0),1,0)</x:f>
        <x:v>0</x:v>
      </x:c>
      <x:c r="O444" s="21" t="n">
        <x:f>MIN('Root Data'!I136:I138)</x:f>
        <x:v>0</x:v>
      </x:c>
      <x:c r="P444" s="44" t="n">
        <x:f>IF(AND(L444=1,M444=1,N444=1,O444&gt;=G444),K444,0)</x:f>
        <x:v>0</x:v>
      </x:c>
      <x:c r="Q444" s="21" t="str">
        <x:v>OPEN</x:v>
      </x:c>
      <x:c r="R444" s="23" t="str">
        <x:v>HOLD</x:v>
      </x:c>
    </x:row>
    <x:row r="445">
      <x:c r="B445" s="21" t="str">
        <x:v>AR-00439</x:v>
      </x:c>
      <x:c r="C445" s="21" t="str">
        <x:v>F11-I4</x:v>
      </x:c>
      <x:c r="D445" s="21" t="str">
        <x:v>F11</x:v>
      </x:c>
      <x:c r="E445" s="21" t="n">
        <x:v>9</x:v>
      </x:c>
      <x:c r="F445" s="21" t="str">
        <x:v>Production release package</x:v>
      </x:c>
      <x:c r="G445" s="21" t="n">
        <x:v>28</x:v>
      </x:c>
      <x:c r="H445" s="21" t="str">
        <x:v>Production Release Board</x:v>
      </x:c>
      <x:c r="I445" s="44" t="n">
        <x:f>Lifecycle!G15</x:f>
        <x:v>0.01647012319652151</x:v>
      </x:c>
      <x:c r="J445" s="44" t="n">
        <x:v>0.075</x:v>
      </x:c>
      <x:c r="K445" s="44" t="n">
        <x:f>I445*J445</x:f>
        <x:v>0.0012352592397391132</x:v>
      </x:c>
      <x:c r="L445" s="46" t="n">
        <x:v>0</x:v>
      </x:c>
      <x:c r="M445" s="46" t="n">
        <x:v>0</x:v>
      </x:c>
      <x:c r="N445" s="21" t="n">
        <x:f>IF(AND(L444=1,M444=1,P444&gt;0),1,0)</x:f>
        <x:v>0</x:v>
      </x:c>
      <x:c r="O445" s="21" t="n">
        <x:f>MIN('Root Data'!I136:I138)</x:f>
        <x:v>0</x:v>
      </x:c>
      <x:c r="P445" s="44" t="n">
        <x:f>IF(AND(L445=1,M445=1,N445=1,O445&gt;=G445),K445,0)</x:f>
        <x:v>0</x:v>
      </x:c>
      <x:c r="Q445" s="21" t="str">
        <x:v>OPEN</x:v>
      </x:c>
      <x:c r="R445" s="23" t="str">
        <x:v>HOLD</x:v>
      </x:c>
    </x:row>
    <x:row r="446">
      <x:c r="B446" s="21" t="str">
        <x:v>AR-00440</x:v>
      </x:c>
      <x:c r="C446" s="21" t="str">
        <x:v>F11-I4</x:v>
      </x:c>
      <x:c r="D446" s="21" t="str">
        <x:v>F11</x:v>
      </x:c>
      <x:c r="E446" s="21" t="n">
        <x:v>10</x:v>
      </x:c>
      <x:c r="F446" s="21" t="str">
        <x:v>Mobilization activation</x:v>
      </x:c>
      <x:c r="G446" s="21" t="n">
        <x:v>28</x:v>
      </x:c>
      <x:c r="H446" s="21" t="str">
        <x:v>Production Release Board</x:v>
      </x:c>
      <x:c r="I446" s="44" t="n">
        <x:f>Lifecycle!G16</x:f>
        <x:v>0.028262731405230914</x:v>
      </x:c>
      <x:c r="J446" s="44" t="n">
        <x:v>0.075</x:v>
      </x:c>
      <x:c r="K446" s="44" t="n">
        <x:f>I446*J446</x:f>
        <x:v>0.0021197048553923186</x:v>
      </x:c>
      <x:c r="L446" s="46" t="n">
        <x:v>0</x:v>
      </x:c>
      <x:c r="M446" s="46" t="n">
        <x:v>0</x:v>
      </x:c>
      <x:c r="N446" s="21" t="n">
        <x:f>IF(AND(L445=1,M445=1,P445&gt;0),1,0)</x:f>
        <x:v>0</x:v>
      </x:c>
      <x:c r="O446" s="21" t="n">
        <x:f>MIN('Root Data'!I136:I138)</x:f>
        <x:v>0</x:v>
      </x:c>
      <x:c r="P446" s="44" t="n">
        <x:f>IF(AND(L446=1,M446=1,N446=1,O446&gt;=G446),K446,0)</x:f>
        <x:v>0</x:v>
      </x:c>
      <x:c r="Q446" s="21" t="str">
        <x:v>OPEN</x:v>
      </x:c>
      <x:c r="R446" s="23" t="str">
        <x:v>HOLD</x:v>
      </x:c>
    </x:row>
    <x:row r="447">
      <x:c r="B447" s="21" t="str">
        <x:v>AR-00441</x:v>
      </x:c>
      <x:c r="C447" s="21" t="str">
        <x:v>F12-I1</x:v>
      </x:c>
      <x:c r="D447" s="21" t="str">
        <x:v>F12</x:v>
      </x:c>
      <x:c r="E447" s="21" t="n">
        <x:v>1</x:v>
      </x:c>
      <x:c r="F447" s="21" t="str">
        <x:v>Civil effect charter</x:v>
      </x:c>
      <x:c r="G447" s="21" t="n">
        <x:v>0</x:v>
      </x:c>
      <x:c r="H447" s="21" t="str">
        <x:v>Civil Guarantee Authority</x:v>
      </x:c>
      <x:c r="I447" s="44" t="n">
        <x:f>Lifecycle!G7</x:f>
        <x:v>0.04941036958956453</x:v>
      </x:c>
      <x:c r="J447" s="44" t="n">
        <x:v>0.075</x:v>
      </x:c>
      <x:c r="K447" s="44" t="n">
        <x:f>I447*J447</x:f>
        <x:v>0.0037057777192173397</x:v>
      </x:c>
      <x:c r="L447" s="46" t="n">
        <x:v>0</x:v>
      </x:c>
      <x:c r="M447" s="46" t="n">
        <x:v>0</x:v>
      </x:c>
      <x:c r="N447" s="21" t="n">
        <x:f>1</x:f>
        <x:v>1</x:v>
      </x:c>
      <x:c r="O447" s="21" t="n">
        <x:f>MIN('Root Data'!I139:I141)</x:f>
        <x:v>0</x:v>
      </x:c>
      <x:c r="P447" s="44" t="n">
        <x:f>IF(AND(L447=1,M447=1,N447=1,O447&gt;=G447),K447,0)</x:f>
        <x:v>0</x:v>
      </x:c>
      <x:c r="Q447" s="21" t="str">
        <x:v>OPEN</x:v>
      </x:c>
      <x:c r="R447" s="23" t="str">
        <x:v>HOLD</x:v>
      </x:c>
    </x:row>
    <x:row r="448">
      <x:c r="B448" s="21" t="str">
        <x:v>AR-00442</x:v>
      </x:c>
      <x:c r="C448" s="21" t="str">
        <x:v>F12-I1</x:v>
      </x:c>
      <x:c r="D448" s="21" t="str">
        <x:v>F12</x:v>
      </x:c>
      <x:c r="E448" s="21" t="n">
        <x:v>2</x:v>
      </x:c>
      <x:c r="F448" s="21" t="str">
        <x:v>Requirement and root-independence package</x:v>
      </x:c>
      <x:c r="G448" s="21" t="n">
        <x:v>8</x:v>
      </x:c>
      <x:c r="H448" s="21" t="str">
        <x:v>Resilience Staff</x:v>
      </x:c>
      <x:c r="I448" s="44" t="n">
        <x:f>Lifecycle!G8</x:f>
        <x:v>0.10211476381843337</x:v>
      </x:c>
      <x:c r="J448" s="44" t="n">
        <x:v>0.075</x:v>
      </x:c>
      <x:c r="K448" s="44" t="n">
        <x:f>I448*J448</x:f>
        <x:v>0.007658607286382502</x:v>
      </x:c>
      <x:c r="L448" s="46" t="n">
        <x:v>0</x:v>
      </x:c>
      <x:c r="M448" s="46" t="n">
        <x:v>0</x:v>
      </x:c>
      <x:c r="N448" s="21" t="n">
        <x:f>IF(AND(L447=1,M447=1,P447&gt;0),1,0)</x:f>
        <x:v>0</x:v>
      </x:c>
      <x:c r="O448" s="21" t="n">
        <x:f>MIN('Root Data'!I139:I141)</x:f>
        <x:v>0</x:v>
      </x:c>
      <x:c r="P448" s="44" t="n">
        <x:f>IF(AND(L448=1,M448=1,N448=1,O448&gt;=G448),K448,0)</x:f>
        <x:v>0</x:v>
      </x:c>
      <x:c r="Q448" s="21" t="str">
        <x:v>OPEN</x:v>
      </x:c>
      <x:c r="R448" s="23" t="str">
        <x:v>HOLD</x:v>
      </x:c>
    </x:row>
    <x:row r="449">
      <x:c r="B449" s="21" t="str">
        <x:v>AR-00443</x:v>
      </x:c>
      <x:c r="C449" s="21" t="str">
        <x:v>F12-I1</x:v>
      </x:c>
      <x:c r="D449" s="21" t="str">
        <x:v>F12</x:v>
      </x:c>
      <x:c r="E449" s="21" t="n">
        <x:v>3</x:v>
      </x:c>
      <x:c r="F449" s="21" t="str">
        <x:v>Architecture and burden closure</x:v>
      </x:c>
      <x:c r="G449" s="21" t="n">
        <x:v>14</x:v>
      </x:c>
      <x:c r="H449" s="21" t="str">
        <x:v>Independent Evidence and Data Authority</x:v>
      </x:c>
      <x:c r="I449" s="44" t="n">
        <x:f>Lifecycle!G9</x:f>
        <x:v>0.08564464062191186</x:v>
      </x:c>
      <x:c r="J449" s="44" t="n">
        <x:v>0.075</x:v>
      </x:c>
      <x:c r="K449" s="44" t="n">
        <x:f>I449*J449</x:f>
        <x:v>0.006423348046643389</x:v>
      </x:c>
      <x:c r="L449" s="46" t="n">
        <x:v>0</x:v>
      </x:c>
      <x:c r="M449" s="46" t="n">
        <x:v>0</x:v>
      </x:c>
      <x:c r="N449" s="21" t="n">
        <x:f>IF(AND(L448=1,M448=1,P448&gt;0),1,0)</x:f>
        <x:v>0</x:v>
      </x:c>
      <x:c r="O449" s="21" t="n">
        <x:f>MIN('Root Data'!I139:I141)</x:f>
        <x:v>0</x:v>
      </x:c>
      <x:c r="P449" s="44" t="n">
        <x:f>IF(AND(L449=1,M449=1,N449=1,O449&gt;=G449),K449,0)</x:f>
        <x:v>0</x:v>
      </x:c>
      <x:c r="Q449" s="21" t="str">
        <x:v>OPEN</x:v>
      </x:c>
      <x:c r="R449" s="23" t="str">
        <x:v>HOLD</x:v>
      </x:c>
    </x:row>
    <x:row r="450">
      <x:c r="B450" s="21" t="str">
        <x:v>AR-00444</x:v>
      </x:c>
      <x:c r="C450" s="21" t="str">
        <x:v>F12-I1</x:v>
      </x:c>
      <x:c r="D450" s="21" t="str">
        <x:v>F12</x:v>
      </x:c>
      <x:c r="E450" s="21" t="n">
        <x:v>4</x:v>
      </x:c>
      <x:c r="F450" s="21" t="str">
        <x:v>Engineering article acceptance</x:v>
      </x:c>
      <x:c r="G450" s="21" t="n">
        <x:v>18</x:v>
      </x:c>
      <x:c r="H450" s="21" t="str">
        <x:v>Independent Evidence and Data Authority</x:v>
      </x:c>
      <x:c r="I450" s="44" t="n">
        <x:f>Lifecycle!G10</x:f>
        <x:v>0.05929244350747744</x:v>
      </x:c>
      <x:c r="J450" s="44" t="n">
        <x:v>0.075</x:v>
      </x:c>
      <x:c r="K450" s="44" t="n">
        <x:f>I450*J450</x:f>
        <x:v>0.004446933263060808</x:v>
      </x:c>
      <x:c r="L450" s="46" t="n">
        <x:v>0</x:v>
      </x:c>
      <x:c r="M450" s="46" t="n">
        <x:v>0</x:v>
      </x:c>
      <x:c r="N450" s="21" t="n">
        <x:f>IF(AND(L449=1,M449=1,P449&gt;0),1,0)</x:f>
        <x:v>0</x:v>
      </x:c>
      <x:c r="O450" s="21" t="n">
        <x:f>MIN('Root Data'!I139:I141)</x:f>
        <x:v>0</x:v>
      </x:c>
      <x:c r="P450" s="44" t="n">
        <x:f>IF(AND(L450=1,M450=1,N450=1,O450&gt;=G450),K450,0)</x:f>
        <x:v>0</x:v>
      </x:c>
      <x:c r="Q450" s="21" t="str">
        <x:v>OPEN</x:v>
      </x:c>
      <x:c r="R450" s="23" t="str">
        <x:v>HOLD</x:v>
      </x:c>
    </x:row>
    <x:row r="451">
      <x:c r="B451" s="21" t="str">
        <x:v>AR-00445</x:v>
      </x:c>
      <x:c r="C451" s="21" t="str">
        <x:v>F12-I1</x:v>
      </x:c>
      <x:c r="D451" s="21" t="str">
        <x:v>F12</x:v>
      </x:c>
      <x:c r="E451" s="21" t="n">
        <x:v>5</x:v>
      </x:c>
      <x:c r="F451" s="21" t="str">
        <x:v>Qualification and destructive evidence</x:v>
      </x:c>
      <x:c r="G451" s="21" t="n">
        <x:v>21</x:v>
      </x:c>
      <x:c r="H451" s="21" t="str">
        <x:v>Independent Evidence and Data Authority</x:v>
      </x:c>
      <x:c r="I451" s="44" t="n">
        <x:f>Lifecycle!G11</x:f>
        <x:v>0.1515251334079979</x:v>
      </x:c>
      <x:c r="J451" s="44" t="n">
        <x:v>0.075</x:v>
      </x:c>
      <x:c r="K451" s="44" t="n">
        <x:f>I451*J451</x:f>
        <x:v>0.011364385005599841</x:v>
      </x:c>
      <x:c r="L451" s="46" t="n">
        <x:v>0</x:v>
      </x:c>
      <x:c r="M451" s="46" t="n">
        <x:v>0</x:v>
      </x:c>
      <x:c r="N451" s="21" t="n">
        <x:f>IF(AND(L450=1,M450=1,P450&gt;0),1,0)</x:f>
        <x:v>0</x:v>
      </x:c>
      <x:c r="O451" s="21" t="n">
        <x:f>MIN('Root Data'!I139:I141)</x:f>
        <x:v>0</x:v>
      </x:c>
      <x:c r="P451" s="44" t="n">
        <x:f>IF(AND(L451=1,M451=1,N451=1,O451&gt;=G451),K451,0)</x:f>
        <x:v>0</x:v>
      </x:c>
      <x:c r="Q451" s="21" t="str">
        <x:v>OPEN</x:v>
      </x:c>
      <x:c r="R451" s="23" t="str">
        <x:v>HOLD</x:v>
      </x:c>
    </x:row>
    <x:row r="452">
      <x:c r="B452" s="21" t="str">
        <x:v>AR-00446</x:v>
      </x:c>
      <x:c r="C452" s="21" t="str">
        <x:v>F12-I1</x:v>
      </x:c>
      <x:c r="D452" s="21" t="str">
        <x:v>F12</x:v>
      </x:c>
      <x:c r="E452" s="21" t="n">
        <x:v>6</x:v>
      </x:c>
      <x:c r="F452" s="21" t="str">
        <x:v>Representative mission result</x:v>
      </x:c>
      <x:c r="G452" s="21" t="n">
        <x:v>23</x:v>
      </x:c>
      <x:c r="H452" s="21" t="str">
        <x:v>Receiving Service Authority</x:v>
      </x:c>
      <x:c r="I452" s="44" t="n">
        <x:f>Lifecycle!G12</x:f>
        <x:v>0.250345872587127</x:v>
      </x:c>
      <x:c r="J452" s="44" t="n">
        <x:v>0.075</x:v>
      </x:c>
      <x:c r="K452" s="44" t="n">
        <x:f>I452*J452</x:f>
        <x:v>0.018775940444034522</x:v>
      </x:c>
      <x:c r="L452" s="46" t="n">
        <x:v>0</x:v>
      </x:c>
      <x:c r="M452" s="46" t="n">
        <x:v>0</x:v>
      </x:c>
      <x:c r="N452" s="21" t="n">
        <x:f>IF(AND(L451=1,M451=1,P451&gt;0),1,0)</x:f>
        <x:v>0</x:v>
      </x:c>
      <x:c r="O452" s="21" t="n">
        <x:f>MIN('Root Data'!I139:I141)</x:f>
        <x:v>0</x:v>
      </x:c>
      <x:c r="P452" s="44" t="n">
        <x:f>IF(AND(L452=1,M452=1,N452=1,O452&gt;=G452),K452,0)</x:f>
        <x:v>0</x:v>
      </x:c>
      <x:c r="Q452" s="21" t="str">
        <x:v>OPEN</x:v>
      </x:c>
      <x:c r="R452" s="23" t="str">
        <x:v>HOLD</x:v>
      </x:c>
    </x:row>
    <x:row r="453">
      <x:c r="B453" s="21" t="str">
        <x:v>AR-00447</x:v>
      </x:c>
      <x:c r="C453" s="21" t="str">
        <x:v>F12-I1</x:v>
      </x:c>
      <x:c r="D453" s="21" t="str">
        <x:v>F12</x:v>
      </x:c>
      <x:c r="E453" s="21" t="n">
        <x:v>7</x:v>
      </x:c>
      <x:c r="F453" s="21" t="str">
        <x:v>Independent reproduction</x:v>
      </x:c>
      <x:c r="G453" s="21" t="n">
        <x:v>28</x:v>
      </x:c>
      <x:c r="H453" s="21" t="str">
        <x:v>Independent Evidence and Data Authority</x:v>
      </x:c>
      <x:c r="I453" s="44" t="n">
        <x:f>Lifecycle!G13</x:f>
        <x:v>0.21740562619408393</x:v>
      </x:c>
      <x:c r="J453" s="44" t="n">
        <x:v>0.075</x:v>
      </x:c>
      <x:c r="K453" s="44" t="n">
        <x:f>I453*J453</x:f>
        <x:v>0.016305421964556293</x:v>
      </x:c>
      <x:c r="L453" s="46" t="n">
        <x:v>0</x:v>
      </x:c>
      <x:c r="M453" s="46" t="n">
        <x:v>0</x:v>
      </x:c>
      <x:c r="N453" s="21" t="n">
        <x:f>IF(AND(L452=1,M452=1,P452&gt;0),1,0)</x:f>
        <x:v>0</x:v>
      </x:c>
      <x:c r="O453" s="21" t="n">
        <x:f>MIN('Root Data'!I139:I141)</x:f>
        <x:v>0</x:v>
      </x:c>
      <x:c r="P453" s="44" t="n">
        <x:f>IF(AND(L453=1,M453=1,N453=1,O453&gt;=G453),K453,0)</x:f>
        <x:v>0</x:v>
      </x:c>
      <x:c r="Q453" s="21" t="str">
        <x:v>OPEN</x:v>
      </x:c>
      <x:c r="R453" s="23" t="str">
        <x:v>HOLD</x:v>
      </x:c>
    </x:row>
    <x:row r="454">
      <x:c r="B454" s="21" t="str">
        <x:v>AR-00448</x:v>
      </x:c>
      <x:c r="C454" s="21" t="str">
        <x:v>F12-I1</x:v>
      </x:c>
      <x:c r="D454" s="21" t="str">
        <x:v>F12</x:v>
      </x:c>
      <x:c r="E454" s="21" t="n">
        <x:v>8</x:v>
      </x:c>
      <x:c r="F454" s="21" t="str">
        <x:v>Pilot-process qualification</x:v>
      </x:c>
      <x:c r="G454" s="21" t="n">
        <x:v>28</x:v>
      </x:c>
      <x:c r="H454" s="21" t="str">
        <x:v>AIMC Industrial Mobilization Authority</x:v>
      </x:c>
      <x:c r="I454" s="44" t="n">
        <x:f>Lifecycle!G14</x:f>
        <x:v>0.03952829567165163</x:v>
      </x:c>
      <x:c r="J454" s="44" t="n">
        <x:v>0.075</x:v>
      </x:c>
      <x:c r="K454" s="44" t="n">
        <x:f>I454*J454</x:f>
        <x:v>0.002964622175373872</x:v>
      </x:c>
      <x:c r="L454" s="46" t="n">
        <x:v>0</x:v>
      </x:c>
      <x:c r="M454" s="46" t="n">
        <x:v>0</x:v>
      </x:c>
      <x:c r="N454" s="21" t="n">
        <x:f>IF(AND(L453=1,M453=1,P453&gt;0),1,0)</x:f>
        <x:v>0</x:v>
      </x:c>
      <x:c r="O454" s="21" t="n">
        <x:f>MIN('Root Data'!I139:I141)</x:f>
        <x:v>0</x:v>
      </x:c>
      <x:c r="P454" s="44" t="n">
        <x:f>IF(AND(L454=1,M454=1,N454=1,O454&gt;=G454),K454,0)</x:f>
        <x:v>0</x:v>
      </x:c>
      <x:c r="Q454" s="21" t="str">
        <x:v>OPEN</x:v>
      </x:c>
      <x:c r="R454" s="23" t="str">
        <x:v>HOLD</x:v>
      </x:c>
    </x:row>
    <x:row r="455">
      <x:c r="B455" s="21" t="str">
        <x:v>AR-00449</x:v>
      </x:c>
      <x:c r="C455" s="21" t="str">
        <x:v>F12-I1</x:v>
      </x:c>
      <x:c r="D455" s="21" t="str">
        <x:v>F12</x:v>
      </x:c>
      <x:c r="E455" s="21" t="n">
        <x:v>9</x:v>
      </x:c>
      <x:c r="F455" s="21" t="str">
        <x:v>Production release package</x:v>
      </x:c>
      <x:c r="G455" s="21" t="n">
        <x:v>28</x:v>
      </x:c>
      <x:c r="H455" s="21" t="str">
        <x:v>Production Release Board</x:v>
      </x:c>
      <x:c r="I455" s="44" t="n">
        <x:f>Lifecycle!G15</x:f>
        <x:v>0.01647012319652151</x:v>
      </x:c>
      <x:c r="J455" s="44" t="n">
        <x:v>0.075</x:v>
      </x:c>
      <x:c r="K455" s="44" t="n">
        <x:f>I455*J455</x:f>
        <x:v>0.0012352592397391132</x:v>
      </x:c>
      <x:c r="L455" s="46" t="n">
        <x:v>0</x:v>
      </x:c>
      <x:c r="M455" s="46" t="n">
        <x:v>0</x:v>
      </x:c>
      <x:c r="N455" s="21" t="n">
        <x:f>IF(AND(L454=1,M454=1,P454&gt;0),1,0)</x:f>
        <x:v>0</x:v>
      </x:c>
      <x:c r="O455" s="21" t="n">
        <x:f>MIN('Root Data'!I139:I141)</x:f>
        <x:v>0</x:v>
      </x:c>
      <x:c r="P455" s="44" t="n">
        <x:f>IF(AND(L455=1,M455=1,N455=1,O455&gt;=G455),K455,0)</x:f>
        <x:v>0</x:v>
      </x:c>
      <x:c r="Q455" s="21" t="str">
        <x:v>OPEN</x:v>
      </x:c>
      <x:c r="R455" s="23" t="str">
        <x:v>HOLD</x:v>
      </x:c>
    </x:row>
    <x:row r="456">
      <x:c r="B456" s="21" t="str">
        <x:v>AR-00450</x:v>
      </x:c>
      <x:c r="C456" s="21" t="str">
        <x:v>F12-I1</x:v>
      </x:c>
      <x:c r="D456" s="21" t="str">
        <x:v>F12</x:v>
      </x:c>
      <x:c r="E456" s="21" t="n">
        <x:v>10</x:v>
      </x:c>
      <x:c r="F456" s="21" t="str">
        <x:v>Mobilization activation</x:v>
      </x:c>
      <x:c r="G456" s="21" t="n">
        <x:v>28</x:v>
      </x:c>
      <x:c r="H456" s="21" t="str">
        <x:v>Production Release Board</x:v>
      </x:c>
      <x:c r="I456" s="44" t="n">
        <x:f>Lifecycle!G16</x:f>
        <x:v>0.028262731405230914</x:v>
      </x:c>
      <x:c r="J456" s="44" t="n">
        <x:v>0.075</x:v>
      </x:c>
      <x:c r="K456" s="44" t="n">
        <x:f>I456*J456</x:f>
        <x:v>0.0021197048553923186</x:v>
      </x:c>
      <x:c r="L456" s="46" t="n">
        <x:v>0</x:v>
      </x:c>
      <x:c r="M456" s="46" t="n">
        <x:v>0</x:v>
      </x:c>
      <x:c r="N456" s="21" t="n">
        <x:f>IF(AND(L455=1,M455=1,P455&gt;0),1,0)</x:f>
        <x:v>0</x:v>
      </x:c>
      <x:c r="O456" s="21" t="n">
        <x:f>MIN('Root Data'!I139:I141)</x:f>
        <x:v>0</x:v>
      </x:c>
      <x:c r="P456" s="44" t="n">
        <x:f>IF(AND(L456=1,M456=1,N456=1,O456&gt;=G456),K456,0)</x:f>
        <x:v>0</x:v>
      </x:c>
      <x:c r="Q456" s="21" t="str">
        <x:v>OPEN</x:v>
      </x:c>
      <x:c r="R456" s="23" t="str">
        <x:v>HOLD</x:v>
      </x:c>
    </x:row>
    <x:row r="457">
      <x:c r="B457" s="21" t="str">
        <x:v>AR-00451</x:v>
      </x:c>
      <x:c r="C457" s="21" t="str">
        <x:v>F12-I2</x:v>
      </x:c>
      <x:c r="D457" s="21" t="str">
        <x:v>F12</x:v>
      </x:c>
      <x:c r="E457" s="21" t="n">
        <x:v>1</x:v>
      </x:c>
      <x:c r="F457" s="21" t="str">
        <x:v>Civil effect charter</x:v>
      </x:c>
      <x:c r="G457" s="21" t="n">
        <x:v>0</x:v>
      </x:c>
      <x:c r="H457" s="21" t="str">
        <x:v>Civil Guarantee Authority</x:v>
      </x:c>
      <x:c r="I457" s="44" t="n">
        <x:f>Lifecycle!G7</x:f>
        <x:v>0.04941036958956453</x:v>
      </x:c>
      <x:c r="J457" s="44" t="n">
        <x:v>0.075</x:v>
      </x:c>
      <x:c r="K457" s="44" t="n">
        <x:f>I457*J457</x:f>
        <x:v>0.0037057777192173397</x:v>
      </x:c>
      <x:c r="L457" s="46" t="n">
        <x:v>0</x:v>
      </x:c>
      <x:c r="M457" s="46" t="n">
        <x:v>0</x:v>
      </x:c>
      <x:c r="N457" s="21" t="n">
        <x:f>1</x:f>
        <x:v>1</x:v>
      </x:c>
      <x:c r="O457" s="21" t="n">
        <x:f>MIN('Root Data'!I142:I144)</x:f>
        <x:v>0</x:v>
      </x:c>
      <x:c r="P457" s="44" t="n">
        <x:f>IF(AND(L457=1,M457=1,N457=1,O457&gt;=G457),K457,0)</x:f>
        <x:v>0</x:v>
      </x:c>
      <x:c r="Q457" s="21" t="str">
        <x:v>OPEN</x:v>
      </x:c>
      <x:c r="R457" s="23" t="str">
        <x:v>HOLD</x:v>
      </x:c>
    </x:row>
    <x:row r="458">
      <x:c r="B458" s="21" t="str">
        <x:v>AR-00452</x:v>
      </x:c>
      <x:c r="C458" s="21" t="str">
        <x:v>F12-I2</x:v>
      </x:c>
      <x:c r="D458" s="21" t="str">
        <x:v>F12</x:v>
      </x:c>
      <x:c r="E458" s="21" t="n">
        <x:v>2</x:v>
      </x:c>
      <x:c r="F458" s="21" t="str">
        <x:v>Requirement and root-independence package</x:v>
      </x:c>
      <x:c r="G458" s="21" t="n">
        <x:v>8</x:v>
      </x:c>
      <x:c r="H458" s="21" t="str">
        <x:v>Resilience Staff</x:v>
      </x:c>
      <x:c r="I458" s="44" t="n">
        <x:f>Lifecycle!G8</x:f>
        <x:v>0.10211476381843337</x:v>
      </x:c>
      <x:c r="J458" s="44" t="n">
        <x:v>0.075</x:v>
      </x:c>
      <x:c r="K458" s="44" t="n">
        <x:f>I458*J458</x:f>
        <x:v>0.007658607286382502</x:v>
      </x:c>
      <x:c r="L458" s="46" t="n">
        <x:v>0</x:v>
      </x:c>
      <x:c r="M458" s="46" t="n">
        <x:v>0</x:v>
      </x:c>
      <x:c r="N458" s="21" t="n">
        <x:f>IF(AND(L457=1,M457=1,P457&gt;0),1,0)</x:f>
        <x:v>0</x:v>
      </x:c>
      <x:c r="O458" s="21" t="n">
        <x:f>MIN('Root Data'!I142:I144)</x:f>
        <x:v>0</x:v>
      </x:c>
      <x:c r="P458" s="44" t="n">
        <x:f>IF(AND(L458=1,M458=1,N458=1,O458&gt;=G458),K458,0)</x:f>
        <x:v>0</x:v>
      </x:c>
      <x:c r="Q458" s="21" t="str">
        <x:v>OPEN</x:v>
      </x:c>
      <x:c r="R458" s="23" t="str">
        <x:v>HOLD</x:v>
      </x:c>
    </x:row>
    <x:row r="459">
      <x:c r="B459" s="21" t="str">
        <x:v>AR-00453</x:v>
      </x:c>
      <x:c r="C459" s="21" t="str">
        <x:v>F12-I2</x:v>
      </x:c>
      <x:c r="D459" s="21" t="str">
        <x:v>F12</x:v>
      </x:c>
      <x:c r="E459" s="21" t="n">
        <x:v>3</x:v>
      </x:c>
      <x:c r="F459" s="21" t="str">
        <x:v>Architecture and burden closure</x:v>
      </x:c>
      <x:c r="G459" s="21" t="n">
        <x:v>14</x:v>
      </x:c>
      <x:c r="H459" s="21" t="str">
        <x:v>Independent Evidence and Data Authority</x:v>
      </x:c>
      <x:c r="I459" s="44" t="n">
        <x:f>Lifecycle!G9</x:f>
        <x:v>0.08564464062191186</x:v>
      </x:c>
      <x:c r="J459" s="44" t="n">
        <x:v>0.075</x:v>
      </x:c>
      <x:c r="K459" s="44" t="n">
        <x:f>I459*J459</x:f>
        <x:v>0.006423348046643389</x:v>
      </x:c>
      <x:c r="L459" s="46" t="n">
        <x:v>0</x:v>
      </x:c>
      <x:c r="M459" s="46" t="n">
        <x:v>0</x:v>
      </x:c>
      <x:c r="N459" s="21" t="n">
        <x:f>IF(AND(L458=1,M458=1,P458&gt;0),1,0)</x:f>
        <x:v>0</x:v>
      </x:c>
      <x:c r="O459" s="21" t="n">
        <x:f>MIN('Root Data'!I142:I144)</x:f>
        <x:v>0</x:v>
      </x:c>
      <x:c r="P459" s="44" t="n">
        <x:f>IF(AND(L459=1,M459=1,N459=1,O459&gt;=G459),K459,0)</x:f>
        <x:v>0</x:v>
      </x:c>
      <x:c r="Q459" s="21" t="str">
        <x:v>OPEN</x:v>
      </x:c>
      <x:c r="R459" s="23" t="str">
        <x:v>HOLD</x:v>
      </x:c>
    </x:row>
    <x:row r="460">
      <x:c r="B460" s="21" t="str">
        <x:v>AR-00454</x:v>
      </x:c>
      <x:c r="C460" s="21" t="str">
        <x:v>F12-I2</x:v>
      </x:c>
      <x:c r="D460" s="21" t="str">
        <x:v>F12</x:v>
      </x:c>
      <x:c r="E460" s="21" t="n">
        <x:v>4</x:v>
      </x:c>
      <x:c r="F460" s="21" t="str">
        <x:v>Engineering article acceptance</x:v>
      </x:c>
      <x:c r="G460" s="21" t="n">
        <x:v>18</x:v>
      </x:c>
      <x:c r="H460" s="21" t="str">
        <x:v>Independent Evidence and Data Authority</x:v>
      </x:c>
      <x:c r="I460" s="44" t="n">
        <x:f>Lifecycle!G10</x:f>
        <x:v>0.05929244350747744</x:v>
      </x:c>
      <x:c r="J460" s="44" t="n">
        <x:v>0.075</x:v>
      </x:c>
      <x:c r="K460" s="44" t="n">
        <x:f>I460*J460</x:f>
        <x:v>0.004446933263060808</x:v>
      </x:c>
      <x:c r="L460" s="46" t="n">
        <x:v>0</x:v>
      </x:c>
      <x:c r="M460" s="46" t="n">
        <x:v>0</x:v>
      </x:c>
      <x:c r="N460" s="21" t="n">
        <x:f>IF(AND(L459=1,M459=1,P459&gt;0),1,0)</x:f>
        <x:v>0</x:v>
      </x:c>
      <x:c r="O460" s="21" t="n">
        <x:f>MIN('Root Data'!I142:I144)</x:f>
        <x:v>0</x:v>
      </x:c>
      <x:c r="P460" s="44" t="n">
        <x:f>IF(AND(L460=1,M460=1,N460=1,O460&gt;=G460),K460,0)</x:f>
        <x:v>0</x:v>
      </x:c>
      <x:c r="Q460" s="21" t="str">
        <x:v>OPEN</x:v>
      </x:c>
      <x:c r="R460" s="23" t="str">
        <x:v>HOLD</x:v>
      </x:c>
    </x:row>
    <x:row r="461">
      <x:c r="B461" s="21" t="str">
        <x:v>AR-00455</x:v>
      </x:c>
      <x:c r="C461" s="21" t="str">
        <x:v>F12-I2</x:v>
      </x:c>
      <x:c r="D461" s="21" t="str">
        <x:v>F12</x:v>
      </x:c>
      <x:c r="E461" s="21" t="n">
        <x:v>5</x:v>
      </x:c>
      <x:c r="F461" s="21" t="str">
        <x:v>Qualification and destructive evidence</x:v>
      </x:c>
      <x:c r="G461" s="21" t="n">
        <x:v>21</x:v>
      </x:c>
      <x:c r="H461" s="21" t="str">
        <x:v>Independent Evidence and Data Authority</x:v>
      </x:c>
      <x:c r="I461" s="44" t="n">
        <x:f>Lifecycle!G11</x:f>
        <x:v>0.1515251334079979</x:v>
      </x:c>
      <x:c r="J461" s="44" t="n">
        <x:v>0.075</x:v>
      </x:c>
      <x:c r="K461" s="44" t="n">
        <x:f>I461*J461</x:f>
        <x:v>0.011364385005599841</x:v>
      </x:c>
      <x:c r="L461" s="46" t="n">
        <x:v>0</x:v>
      </x:c>
      <x:c r="M461" s="46" t="n">
        <x:v>0</x:v>
      </x:c>
      <x:c r="N461" s="21" t="n">
        <x:f>IF(AND(L460=1,M460=1,P460&gt;0),1,0)</x:f>
        <x:v>0</x:v>
      </x:c>
      <x:c r="O461" s="21" t="n">
        <x:f>MIN('Root Data'!I142:I144)</x:f>
        <x:v>0</x:v>
      </x:c>
      <x:c r="P461" s="44" t="n">
        <x:f>IF(AND(L461=1,M461=1,N461=1,O461&gt;=G461),K461,0)</x:f>
        <x:v>0</x:v>
      </x:c>
      <x:c r="Q461" s="21" t="str">
        <x:v>OPEN</x:v>
      </x:c>
      <x:c r="R461" s="23" t="str">
        <x:v>HOLD</x:v>
      </x:c>
    </x:row>
    <x:row r="462">
      <x:c r="B462" s="21" t="str">
        <x:v>AR-00456</x:v>
      </x:c>
      <x:c r="C462" s="21" t="str">
        <x:v>F12-I2</x:v>
      </x:c>
      <x:c r="D462" s="21" t="str">
        <x:v>F12</x:v>
      </x:c>
      <x:c r="E462" s="21" t="n">
        <x:v>6</x:v>
      </x:c>
      <x:c r="F462" s="21" t="str">
        <x:v>Representative mission result</x:v>
      </x:c>
      <x:c r="G462" s="21" t="n">
        <x:v>23</x:v>
      </x:c>
      <x:c r="H462" s="21" t="str">
        <x:v>Receiving Service Authority</x:v>
      </x:c>
      <x:c r="I462" s="44" t="n">
        <x:f>Lifecycle!G12</x:f>
        <x:v>0.250345872587127</x:v>
      </x:c>
      <x:c r="J462" s="44" t="n">
        <x:v>0.075</x:v>
      </x:c>
      <x:c r="K462" s="44" t="n">
        <x:f>I462*J462</x:f>
        <x:v>0.018775940444034522</x:v>
      </x:c>
      <x:c r="L462" s="46" t="n">
        <x:v>0</x:v>
      </x:c>
      <x:c r="M462" s="46" t="n">
        <x:v>0</x:v>
      </x:c>
      <x:c r="N462" s="21" t="n">
        <x:f>IF(AND(L461=1,M461=1,P461&gt;0),1,0)</x:f>
        <x:v>0</x:v>
      </x:c>
      <x:c r="O462" s="21" t="n">
        <x:f>MIN('Root Data'!I142:I144)</x:f>
        <x:v>0</x:v>
      </x:c>
      <x:c r="P462" s="44" t="n">
        <x:f>IF(AND(L462=1,M462=1,N462=1,O462&gt;=G462),K462,0)</x:f>
        <x:v>0</x:v>
      </x:c>
      <x:c r="Q462" s="21" t="str">
        <x:v>OPEN</x:v>
      </x:c>
      <x:c r="R462" s="23" t="str">
        <x:v>HOLD</x:v>
      </x:c>
    </x:row>
    <x:row r="463">
      <x:c r="B463" s="21" t="str">
        <x:v>AR-00457</x:v>
      </x:c>
      <x:c r="C463" s="21" t="str">
        <x:v>F12-I2</x:v>
      </x:c>
      <x:c r="D463" s="21" t="str">
        <x:v>F12</x:v>
      </x:c>
      <x:c r="E463" s="21" t="n">
        <x:v>7</x:v>
      </x:c>
      <x:c r="F463" s="21" t="str">
        <x:v>Independent reproduction</x:v>
      </x:c>
      <x:c r="G463" s="21" t="n">
        <x:v>28</x:v>
      </x:c>
      <x:c r="H463" s="21" t="str">
        <x:v>Independent Evidence and Data Authority</x:v>
      </x:c>
      <x:c r="I463" s="44" t="n">
        <x:f>Lifecycle!G13</x:f>
        <x:v>0.21740562619408393</x:v>
      </x:c>
      <x:c r="J463" s="44" t="n">
        <x:v>0.075</x:v>
      </x:c>
      <x:c r="K463" s="44" t="n">
        <x:f>I463*J463</x:f>
        <x:v>0.016305421964556293</x:v>
      </x:c>
      <x:c r="L463" s="46" t="n">
        <x:v>0</x:v>
      </x:c>
      <x:c r="M463" s="46" t="n">
        <x:v>0</x:v>
      </x:c>
      <x:c r="N463" s="21" t="n">
        <x:f>IF(AND(L462=1,M462=1,P462&gt;0),1,0)</x:f>
        <x:v>0</x:v>
      </x:c>
      <x:c r="O463" s="21" t="n">
        <x:f>MIN('Root Data'!I142:I144)</x:f>
        <x:v>0</x:v>
      </x:c>
      <x:c r="P463" s="44" t="n">
        <x:f>IF(AND(L463=1,M463=1,N463=1,O463&gt;=G463),K463,0)</x:f>
        <x:v>0</x:v>
      </x:c>
      <x:c r="Q463" s="21" t="str">
        <x:v>OPEN</x:v>
      </x:c>
      <x:c r="R463" s="23" t="str">
        <x:v>HOLD</x:v>
      </x:c>
    </x:row>
    <x:row r="464">
      <x:c r="B464" s="21" t="str">
        <x:v>AR-00458</x:v>
      </x:c>
      <x:c r="C464" s="21" t="str">
        <x:v>F12-I2</x:v>
      </x:c>
      <x:c r="D464" s="21" t="str">
        <x:v>F12</x:v>
      </x:c>
      <x:c r="E464" s="21" t="n">
        <x:v>8</x:v>
      </x:c>
      <x:c r="F464" s="21" t="str">
        <x:v>Pilot-process qualification</x:v>
      </x:c>
      <x:c r="G464" s="21" t="n">
        <x:v>28</x:v>
      </x:c>
      <x:c r="H464" s="21" t="str">
        <x:v>AIMC Industrial Mobilization Authority</x:v>
      </x:c>
      <x:c r="I464" s="44" t="n">
        <x:f>Lifecycle!G14</x:f>
        <x:v>0.03952829567165163</x:v>
      </x:c>
      <x:c r="J464" s="44" t="n">
        <x:v>0.075</x:v>
      </x:c>
      <x:c r="K464" s="44" t="n">
        <x:f>I464*J464</x:f>
        <x:v>0.002964622175373872</x:v>
      </x:c>
      <x:c r="L464" s="46" t="n">
        <x:v>0</x:v>
      </x:c>
      <x:c r="M464" s="46" t="n">
        <x:v>0</x:v>
      </x:c>
      <x:c r="N464" s="21" t="n">
        <x:f>IF(AND(L463=1,M463=1,P463&gt;0),1,0)</x:f>
        <x:v>0</x:v>
      </x:c>
      <x:c r="O464" s="21" t="n">
        <x:f>MIN('Root Data'!I142:I144)</x:f>
        <x:v>0</x:v>
      </x:c>
      <x:c r="P464" s="44" t="n">
        <x:f>IF(AND(L464=1,M464=1,N464=1,O464&gt;=G464),K464,0)</x:f>
        <x:v>0</x:v>
      </x:c>
      <x:c r="Q464" s="21" t="str">
        <x:v>OPEN</x:v>
      </x:c>
      <x:c r="R464" s="23" t="str">
        <x:v>HOLD</x:v>
      </x:c>
    </x:row>
    <x:row r="465">
      <x:c r="B465" s="21" t="str">
        <x:v>AR-00459</x:v>
      </x:c>
      <x:c r="C465" s="21" t="str">
        <x:v>F12-I2</x:v>
      </x:c>
      <x:c r="D465" s="21" t="str">
        <x:v>F12</x:v>
      </x:c>
      <x:c r="E465" s="21" t="n">
        <x:v>9</x:v>
      </x:c>
      <x:c r="F465" s="21" t="str">
        <x:v>Production release package</x:v>
      </x:c>
      <x:c r="G465" s="21" t="n">
        <x:v>28</x:v>
      </x:c>
      <x:c r="H465" s="21" t="str">
        <x:v>Production Release Board</x:v>
      </x:c>
      <x:c r="I465" s="44" t="n">
        <x:f>Lifecycle!G15</x:f>
        <x:v>0.01647012319652151</x:v>
      </x:c>
      <x:c r="J465" s="44" t="n">
        <x:v>0.075</x:v>
      </x:c>
      <x:c r="K465" s="44" t="n">
        <x:f>I465*J465</x:f>
        <x:v>0.0012352592397391132</x:v>
      </x:c>
      <x:c r="L465" s="46" t="n">
        <x:v>0</x:v>
      </x:c>
      <x:c r="M465" s="46" t="n">
        <x:v>0</x:v>
      </x:c>
      <x:c r="N465" s="21" t="n">
        <x:f>IF(AND(L464=1,M464=1,P464&gt;0),1,0)</x:f>
        <x:v>0</x:v>
      </x:c>
      <x:c r="O465" s="21" t="n">
        <x:f>MIN('Root Data'!I142:I144)</x:f>
        <x:v>0</x:v>
      </x:c>
      <x:c r="P465" s="44" t="n">
        <x:f>IF(AND(L465=1,M465=1,N465=1,O465&gt;=G465),K465,0)</x:f>
        <x:v>0</x:v>
      </x:c>
      <x:c r="Q465" s="21" t="str">
        <x:v>OPEN</x:v>
      </x:c>
      <x:c r="R465" s="23" t="str">
        <x:v>HOLD</x:v>
      </x:c>
    </x:row>
    <x:row r="466">
      <x:c r="B466" s="21" t="str">
        <x:v>AR-00460</x:v>
      </x:c>
      <x:c r="C466" s="21" t="str">
        <x:v>F12-I2</x:v>
      </x:c>
      <x:c r="D466" s="21" t="str">
        <x:v>F12</x:v>
      </x:c>
      <x:c r="E466" s="21" t="n">
        <x:v>10</x:v>
      </x:c>
      <x:c r="F466" s="21" t="str">
        <x:v>Mobilization activation</x:v>
      </x:c>
      <x:c r="G466" s="21" t="n">
        <x:v>28</x:v>
      </x:c>
      <x:c r="H466" s="21" t="str">
        <x:v>Production Release Board</x:v>
      </x:c>
      <x:c r="I466" s="44" t="n">
        <x:f>Lifecycle!G16</x:f>
        <x:v>0.028262731405230914</x:v>
      </x:c>
      <x:c r="J466" s="44" t="n">
        <x:v>0.075</x:v>
      </x:c>
      <x:c r="K466" s="44" t="n">
        <x:f>I466*J466</x:f>
        <x:v>0.0021197048553923186</x:v>
      </x:c>
      <x:c r="L466" s="46" t="n">
        <x:v>0</x:v>
      </x:c>
      <x:c r="M466" s="46" t="n">
        <x:v>0</x:v>
      </x:c>
      <x:c r="N466" s="21" t="n">
        <x:f>IF(AND(L465=1,M465=1,P465&gt;0),1,0)</x:f>
        <x:v>0</x:v>
      </x:c>
      <x:c r="O466" s="21" t="n">
        <x:f>MIN('Root Data'!I142:I144)</x:f>
        <x:v>0</x:v>
      </x:c>
      <x:c r="P466" s="44" t="n">
        <x:f>IF(AND(L466=1,M466=1,N466=1,O466&gt;=G466),K466,0)</x:f>
        <x:v>0</x:v>
      </x:c>
      <x:c r="Q466" s="21" t="str">
        <x:v>OPEN</x:v>
      </x:c>
      <x:c r="R466" s="23" t="str">
        <x:v>HOLD</x:v>
      </x:c>
    </x:row>
    <x:row r="467">
      <x:c r="B467" s="21" t="str">
        <x:v>AR-00461</x:v>
      </x:c>
      <x:c r="C467" s="21" t="str">
        <x:v>F12-I3</x:v>
      </x:c>
      <x:c r="D467" s="21" t="str">
        <x:v>F12</x:v>
      </x:c>
      <x:c r="E467" s="21" t="n">
        <x:v>1</x:v>
      </x:c>
      <x:c r="F467" s="21" t="str">
        <x:v>Civil effect charter</x:v>
      </x:c>
      <x:c r="G467" s="21" t="n">
        <x:v>0</x:v>
      </x:c>
      <x:c r="H467" s="21" t="str">
        <x:v>Civil Guarantee Authority</x:v>
      </x:c>
      <x:c r="I467" s="44" t="n">
        <x:f>Lifecycle!G7</x:f>
        <x:v>0.04941036958956453</x:v>
      </x:c>
      <x:c r="J467" s="44" t="n">
        <x:v>0.075</x:v>
      </x:c>
      <x:c r="K467" s="44" t="n">
        <x:f>I467*J467</x:f>
        <x:v>0.0037057777192173397</x:v>
      </x:c>
      <x:c r="L467" s="46" t="n">
        <x:v>0</x:v>
      </x:c>
      <x:c r="M467" s="46" t="n">
        <x:v>0</x:v>
      </x:c>
      <x:c r="N467" s="21" t="n">
        <x:f>1</x:f>
        <x:v>1</x:v>
      </x:c>
      <x:c r="O467" s="21" t="n">
        <x:f>MIN('Root Data'!I145:I147)</x:f>
        <x:v>0</x:v>
      </x:c>
      <x:c r="P467" s="44" t="n">
        <x:f>IF(AND(L467=1,M467=1,N467=1,O467&gt;=G467),K467,0)</x:f>
        <x:v>0</x:v>
      </x:c>
      <x:c r="Q467" s="21" t="str">
        <x:v>OPEN</x:v>
      </x:c>
      <x:c r="R467" s="23" t="str">
        <x:v>HOLD</x:v>
      </x:c>
    </x:row>
    <x:row r="468">
      <x:c r="B468" s="21" t="str">
        <x:v>AR-00462</x:v>
      </x:c>
      <x:c r="C468" s="21" t="str">
        <x:v>F12-I3</x:v>
      </x:c>
      <x:c r="D468" s="21" t="str">
        <x:v>F12</x:v>
      </x:c>
      <x:c r="E468" s="21" t="n">
        <x:v>2</x:v>
      </x:c>
      <x:c r="F468" s="21" t="str">
        <x:v>Requirement and root-independence package</x:v>
      </x:c>
      <x:c r="G468" s="21" t="n">
        <x:v>8</x:v>
      </x:c>
      <x:c r="H468" s="21" t="str">
        <x:v>Resilience Staff</x:v>
      </x:c>
      <x:c r="I468" s="44" t="n">
        <x:f>Lifecycle!G8</x:f>
        <x:v>0.10211476381843337</x:v>
      </x:c>
      <x:c r="J468" s="44" t="n">
        <x:v>0.075</x:v>
      </x:c>
      <x:c r="K468" s="44" t="n">
        <x:f>I468*J468</x:f>
        <x:v>0.007658607286382502</x:v>
      </x:c>
      <x:c r="L468" s="46" t="n">
        <x:v>0</x:v>
      </x:c>
      <x:c r="M468" s="46" t="n">
        <x:v>0</x:v>
      </x:c>
      <x:c r="N468" s="21" t="n">
        <x:f>IF(AND(L467=1,M467=1,P467&gt;0),1,0)</x:f>
        <x:v>0</x:v>
      </x:c>
      <x:c r="O468" s="21" t="n">
        <x:f>MIN('Root Data'!I145:I147)</x:f>
        <x:v>0</x:v>
      </x:c>
      <x:c r="P468" s="44" t="n">
        <x:f>IF(AND(L468=1,M468=1,N468=1,O468&gt;=G468),K468,0)</x:f>
        <x:v>0</x:v>
      </x:c>
      <x:c r="Q468" s="21" t="str">
        <x:v>OPEN</x:v>
      </x:c>
      <x:c r="R468" s="23" t="str">
        <x:v>HOLD</x:v>
      </x:c>
    </x:row>
    <x:row r="469">
      <x:c r="B469" s="21" t="str">
        <x:v>AR-00463</x:v>
      </x:c>
      <x:c r="C469" s="21" t="str">
        <x:v>F12-I3</x:v>
      </x:c>
      <x:c r="D469" s="21" t="str">
        <x:v>F12</x:v>
      </x:c>
      <x:c r="E469" s="21" t="n">
        <x:v>3</x:v>
      </x:c>
      <x:c r="F469" s="21" t="str">
        <x:v>Architecture and burden closure</x:v>
      </x:c>
      <x:c r="G469" s="21" t="n">
        <x:v>14</x:v>
      </x:c>
      <x:c r="H469" s="21" t="str">
        <x:v>Independent Evidence and Data Authority</x:v>
      </x:c>
      <x:c r="I469" s="44" t="n">
        <x:f>Lifecycle!G9</x:f>
        <x:v>0.08564464062191186</x:v>
      </x:c>
      <x:c r="J469" s="44" t="n">
        <x:v>0.075</x:v>
      </x:c>
      <x:c r="K469" s="44" t="n">
        <x:f>I469*J469</x:f>
        <x:v>0.006423348046643389</x:v>
      </x:c>
      <x:c r="L469" s="46" t="n">
        <x:v>0</x:v>
      </x:c>
      <x:c r="M469" s="46" t="n">
        <x:v>0</x:v>
      </x:c>
      <x:c r="N469" s="21" t="n">
        <x:f>IF(AND(L468=1,M468=1,P468&gt;0),1,0)</x:f>
        <x:v>0</x:v>
      </x:c>
      <x:c r="O469" s="21" t="n">
        <x:f>MIN('Root Data'!I145:I147)</x:f>
        <x:v>0</x:v>
      </x:c>
      <x:c r="P469" s="44" t="n">
        <x:f>IF(AND(L469=1,M469=1,N469=1,O469&gt;=G469),K469,0)</x:f>
        <x:v>0</x:v>
      </x:c>
      <x:c r="Q469" s="21" t="str">
        <x:v>OPEN</x:v>
      </x:c>
      <x:c r="R469" s="23" t="str">
        <x:v>HOLD</x:v>
      </x:c>
    </x:row>
    <x:row r="470">
      <x:c r="B470" s="21" t="str">
        <x:v>AR-00464</x:v>
      </x:c>
      <x:c r="C470" s="21" t="str">
        <x:v>F12-I3</x:v>
      </x:c>
      <x:c r="D470" s="21" t="str">
        <x:v>F12</x:v>
      </x:c>
      <x:c r="E470" s="21" t="n">
        <x:v>4</x:v>
      </x:c>
      <x:c r="F470" s="21" t="str">
        <x:v>Engineering article acceptance</x:v>
      </x:c>
      <x:c r="G470" s="21" t="n">
        <x:v>18</x:v>
      </x:c>
      <x:c r="H470" s="21" t="str">
        <x:v>Independent Evidence and Data Authority</x:v>
      </x:c>
      <x:c r="I470" s="44" t="n">
        <x:f>Lifecycle!G10</x:f>
        <x:v>0.05929244350747744</x:v>
      </x:c>
      <x:c r="J470" s="44" t="n">
        <x:v>0.075</x:v>
      </x:c>
      <x:c r="K470" s="44" t="n">
        <x:f>I470*J470</x:f>
        <x:v>0.004446933263060808</x:v>
      </x:c>
      <x:c r="L470" s="46" t="n">
        <x:v>0</x:v>
      </x:c>
      <x:c r="M470" s="46" t="n">
        <x:v>0</x:v>
      </x:c>
      <x:c r="N470" s="21" t="n">
        <x:f>IF(AND(L469=1,M469=1,P469&gt;0),1,0)</x:f>
        <x:v>0</x:v>
      </x:c>
      <x:c r="O470" s="21" t="n">
        <x:f>MIN('Root Data'!I145:I147)</x:f>
        <x:v>0</x:v>
      </x:c>
      <x:c r="P470" s="44" t="n">
        <x:f>IF(AND(L470=1,M470=1,N470=1,O470&gt;=G470),K470,0)</x:f>
        <x:v>0</x:v>
      </x:c>
      <x:c r="Q470" s="21" t="str">
        <x:v>OPEN</x:v>
      </x:c>
      <x:c r="R470" s="23" t="str">
        <x:v>HOLD</x:v>
      </x:c>
    </x:row>
    <x:row r="471">
      <x:c r="B471" s="21" t="str">
        <x:v>AR-00465</x:v>
      </x:c>
      <x:c r="C471" s="21" t="str">
        <x:v>F12-I3</x:v>
      </x:c>
      <x:c r="D471" s="21" t="str">
        <x:v>F12</x:v>
      </x:c>
      <x:c r="E471" s="21" t="n">
        <x:v>5</x:v>
      </x:c>
      <x:c r="F471" s="21" t="str">
        <x:v>Qualification and destructive evidence</x:v>
      </x:c>
      <x:c r="G471" s="21" t="n">
        <x:v>21</x:v>
      </x:c>
      <x:c r="H471" s="21" t="str">
        <x:v>Independent Evidence and Data Authority</x:v>
      </x:c>
      <x:c r="I471" s="44" t="n">
        <x:f>Lifecycle!G11</x:f>
        <x:v>0.1515251334079979</x:v>
      </x:c>
      <x:c r="J471" s="44" t="n">
        <x:v>0.075</x:v>
      </x:c>
      <x:c r="K471" s="44" t="n">
        <x:f>I471*J471</x:f>
        <x:v>0.011364385005599841</x:v>
      </x:c>
      <x:c r="L471" s="46" t="n">
        <x:v>0</x:v>
      </x:c>
      <x:c r="M471" s="46" t="n">
        <x:v>0</x:v>
      </x:c>
      <x:c r="N471" s="21" t="n">
        <x:f>IF(AND(L470=1,M470=1,P470&gt;0),1,0)</x:f>
        <x:v>0</x:v>
      </x:c>
      <x:c r="O471" s="21" t="n">
        <x:f>MIN('Root Data'!I145:I147)</x:f>
        <x:v>0</x:v>
      </x:c>
      <x:c r="P471" s="44" t="n">
        <x:f>IF(AND(L471=1,M471=1,N471=1,O471&gt;=G471),K471,0)</x:f>
        <x:v>0</x:v>
      </x:c>
      <x:c r="Q471" s="21" t="str">
        <x:v>OPEN</x:v>
      </x:c>
      <x:c r="R471" s="23" t="str">
        <x:v>HOLD</x:v>
      </x:c>
    </x:row>
    <x:row r="472">
      <x:c r="B472" s="21" t="str">
        <x:v>AR-00466</x:v>
      </x:c>
      <x:c r="C472" s="21" t="str">
        <x:v>F12-I3</x:v>
      </x:c>
      <x:c r="D472" s="21" t="str">
        <x:v>F12</x:v>
      </x:c>
      <x:c r="E472" s="21" t="n">
        <x:v>6</x:v>
      </x:c>
      <x:c r="F472" s="21" t="str">
        <x:v>Representative mission result</x:v>
      </x:c>
      <x:c r="G472" s="21" t="n">
        <x:v>23</x:v>
      </x:c>
      <x:c r="H472" s="21" t="str">
        <x:v>Receiving Service Authority</x:v>
      </x:c>
      <x:c r="I472" s="44" t="n">
        <x:f>Lifecycle!G12</x:f>
        <x:v>0.250345872587127</x:v>
      </x:c>
      <x:c r="J472" s="44" t="n">
        <x:v>0.075</x:v>
      </x:c>
      <x:c r="K472" s="44" t="n">
        <x:f>I472*J472</x:f>
        <x:v>0.018775940444034522</x:v>
      </x:c>
      <x:c r="L472" s="46" t="n">
        <x:v>0</x:v>
      </x:c>
      <x:c r="M472" s="46" t="n">
        <x:v>0</x:v>
      </x:c>
      <x:c r="N472" s="21" t="n">
        <x:f>IF(AND(L471=1,M471=1,P471&gt;0),1,0)</x:f>
        <x:v>0</x:v>
      </x:c>
      <x:c r="O472" s="21" t="n">
        <x:f>MIN('Root Data'!I145:I147)</x:f>
        <x:v>0</x:v>
      </x:c>
      <x:c r="P472" s="44" t="n">
        <x:f>IF(AND(L472=1,M472=1,N472=1,O472&gt;=G472),K472,0)</x:f>
        <x:v>0</x:v>
      </x:c>
      <x:c r="Q472" s="21" t="str">
        <x:v>OPEN</x:v>
      </x:c>
      <x:c r="R472" s="23" t="str">
        <x:v>HOLD</x:v>
      </x:c>
    </x:row>
    <x:row r="473">
      <x:c r="B473" s="21" t="str">
        <x:v>AR-00467</x:v>
      </x:c>
      <x:c r="C473" s="21" t="str">
        <x:v>F12-I3</x:v>
      </x:c>
      <x:c r="D473" s="21" t="str">
        <x:v>F12</x:v>
      </x:c>
      <x:c r="E473" s="21" t="n">
        <x:v>7</x:v>
      </x:c>
      <x:c r="F473" s="21" t="str">
        <x:v>Independent reproduction</x:v>
      </x:c>
      <x:c r="G473" s="21" t="n">
        <x:v>28</x:v>
      </x:c>
      <x:c r="H473" s="21" t="str">
        <x:v>Independent Evidence and Data Authority</x:v>
      </x:c>
      <x:c r="I473" s="44" t="n">
        <x:f>Lifecycle!G13</x:f>
        <x:v>0.21740562619408393</x:v>
      </x:c>
      <x:c r="J473" s="44" t="n">
        <x:v>0.075</x:v>
      </x:c>
      <x:c r="K473" s="44" t="n">
        <x:f>I473*J473</x:f>
        <x:v>0.016305421964556293</x:v>
      </x:c>
      <x:c r="L473" s="46" t="n">
        <x:v>0</x:v>
      </x:c>
      <x:c r="M473" s="46" t="n">
        <x:v>0</x:v>
      </x:c>
      <x:c r="N473" s="21" t="n">
        <x:f>IF(AND(L472=1,M472=1,P472&gt;0),1,0)</x:f>
        <x:v>0</x:v>
      </x:c>
      <x:c r="O473" s="21" t="n">
        <x:f>MIN('Root Data'!I145:I147)</x:f>
        <x:v>0</x:v>
      </x:c>
      <x:c r="P473" s="44" t="n">
        <x:f>IF(AND(L473=1,M473=1,N473=1,O473&gt;=G473),K473,0)</x:f>
        <x:v>0</x:v>
      </x:c>
      <x:c r="Q473" s="21" t="str">
        <x:v>OPEN</x:v>
      </x:c>
      <x:c r="R473" s="23" t="str">
        <x:v>HOLD</x:v>
      </x:c>
    </x:row>
    <x:row r="474">
      <x:c r="B474" s="21" t="str">
        <x:v>AR-00468</x:v>
      </x:c>
      <x:c r="C474" s="21" t="str">
        <x:v>F12-I3</x:v>
      </x:c>
      <x:c r="D474" s="21" t="str">
        <x:v>F12</x:v>
      </x:c>
      <x:c r="E474" s="21" t="n">
        <x:v>8</x:v>
      </x:c>
      <x:c r="F474" s="21" t="str">
        <x:v>Pilot-process qualification</x:v>
      </x:c>
      <x:c r="G474" s="21" t="n">
        <x:v>28</x:v>
      </x:c>
      <x:c r="H474" s="21" t="str">
        <x:v>AIMC Industrial Mobilization Authority</x:v>
      </x:c>
      <x:c r="I474" s="44" t="n">
        <x:f>Lifecycle!G14</x:f>
        <x:v>0.03952829567165163</x:v>
      </x:c>
      <x:c r="J474" s="44" t="n">
        <x:v>0.075</x:v>
      </x:c>
      <x:c r="K474" s="44" t="n">
        <x:f>I474*J474</x:f>
        <x:v>0.002964622175373872</x:v>
      </x:c>
      <x:c r="L474" s="46" t="n">
        <x:v>0</x:v>
      </x:c>
      <x:c r="M474" s="46" t="n">
        <x:v>0</x:v>
      </x:c>
      <x:c r="N474" s="21" t="n">
        <x:f>IF(AND(L473=1,M473=1,P473&gt;0),1,0)</x:f>
        <x:v>0</x:v>
      </x:c>
      <x:c r="O474" s="21" t="n">
        <x:f>MIN('Root Data'!I145:I147)</x:f>
        <x:v>0</x:v>
      </x:c>
      <x:c r="P474" s="44" t="n">
        <x:f>IF(AND(L474=1,M474=1,N474=1,O474&gt;=G474),K474,0)</x:f>
        <x:v>0</x:v>
      </x:c>
      <x:c r="Q474" s="21" t="str">
        <x:v>OPEN</x:v>
      </x:c>
      <x:c r="R474" s="23" t="str">
        <x:v>HOLD</x:v>
      </x:c>
    </x:row>
    <x:row r="475">
      <x:c r="B475" s="21" t="str">
        <x:v>AR-00469</x:v>
      </x:c>
      <x:c r="C475" s="21" t="str">
        <x:v>F12-I3</x:v>
      </x:c>
      <x:c r="D475" s="21" t="str">
        <x:v>F12</x:v>
      </x:c>
      <x:c r="E475" s="21" t="n">
        <x:v>9</x:v>
      </x:c>
      <x:c r="F475" s="21" t="str">
        <x:v>Production release package</x:v>
      </x:c>
      <x:c r="G475" s="21" t="n">
        <x:v>28</x:v>
      </x:c>
      <x:c r="H475" s="21" t="str">
        <x:v>Production Release Board</x:v>
      </x:c>
      <x:c r="I475" s="44" t="n">
        <x:f>Lifecycle!G15</x:f>
        <x:v>0.01647012319652151</x:v>
      </x:c>
      <x:c r="J475" s="44" t="n">
        <x:v>0.075</x:v>
      </x:c>
      <x:c r="K475" s="44" t="n">
        <x:f>I475*J475</x:f>
        <x:v>0.0012352592397391132</x:v>
      </x:c>
      <x:c r="L475" s="46" t="n">
        <x:v>0</x:v>
      </x:c>
      <x:c r="M475" s="46" t="n">
        <x:v>0</x:v>
      </x:c>
      <x:c r="N475" s="21" t="n">
        <x:f>IF(AND(L474=1,M474=1,P474&gt;0),1,0)</x:f>
        <x:v>0</x:v>
      </x:c>
      <x:c r="O475" s="21" t="n">
        <x:f>MIN('Root Data'!I145:I147)</x:f>
        <x:v>0</x:v>
      </x:c>
      <x:c r="P475" s="44" t="n">
        <x:f>IF(AND(L475=1,M475=1,N475=1,O475&gt;=G475),K475,0)</x:f>
        <x:v>0</x:v>
      </x:c>
      <x:c r="Q475" s="21" t="str">
        <x:v>OPEN</x:v>
      </x:c>
      <x:c r="R475" s="23" t="str">
        <x:v>HOLD</x:v>
      </x:c>
    </x:row>
    <x:row r="476">
      <x:c r="B476" s="21" t="str">
        <x:v>AR-00470</x:v>
      </x:c>
      <x:c r="C476" s="21" t="str">
        <x:v>F12-I3</x:v>
      </x:c>
      <x:c r="D476" s="21" t="str">
        <x:v>F12</x:v>
      </x:c>
      <x:c r="E476" s="21" t="n">
        <x:v>10</x:v>
      </x:c>
      <x:c r="F476" s="21" t="str">
        <x:v>Mobilization activation</x:v>
      </x:c>
      <x:c r="G476" s="21" t="n">
        <x:v>28</x:v>
      </x:c>
      <x:c r="H476" s="21" t="str">
        <x:v>Production Release Board</x:v>
      </x:c>
      <x:c r="I476" s="44" t="n">
        <x:f>Lifecycle!G16</x:f>
        <x:v>0.028262731405230914</x:v>
      </x:c>
      <x:c r="J476" s="44" t="n">
        <x:v>0.075</x:v>
      </x:c>
      <x:c r="K476" s="44" t="n">
        <x:f>I476*J476</x:f>
        <x:v>0.0021197048553923186</x:v>
      </x:c>
      <x:c r="L476" s="46" t="n">
        <x:v>0</x:v>
      </x:c>
      <x:c r="M476" s="46" t="n">
        <x:v>0</x:v>
      </x:c>
      <x:c r="N476" s="21" t="n">
        <x:f>IF(AND(L475=1,M475=1,P475&gt;0),1,0)</x:f>
        <x:v>0</x:v>
      </x:c>
      <x:c r="O476" s="21" t="n">
        <x:f>MIN('Root Data'!I145:I147)</x:f>
        <x:v>0</x:v>
      </x:c>
      <x:c r="P476" s="44" t="n">
        <x:f>IF(AND(L476=1,M476=1,N476=1,O476&gt;=G476),K476,0)</x:f>
        <x:v>0</x:v>
      </x:c>
      <x:c r="Q476" s="21" t="str">
        <x:v>OPEN</x:v>
      </x:c>
      <x:c r="R476" s="23" t="str">
        <x:v>HOLD</x:v>
      </x:c>
    </x:row>
    <x:row r="477">
      <x:c r="B477" s="21" t="str">
        <x:v>AR-00471</x:v>
      </x:c>
      <x:c r="C477" s="21" t="str">
        <x:v>F12-I4</x:v>
      </x:c>
      <x:c r="D477" s="21" t="str">
        <x:v>F12</x:v>
      </x:c>
      <x:c r="E477" s="21" t="n">
        <x:v>1</x:v>
      </x:c>
      <x:c r="F477" s="21" t="str">
        <x:v>Civil effect charter</x:v>
      </x:c>
      <x:c r="G477" s="21" t="n">
        <x:v>0</x:v>
      </x:c>
      <x:c r="H477" s="21" t="str">
        <x:v>Civil Guarantee Authority</x:v>
      </x:c>
      <x:c r="I477" s="44" t="n">
        <x:f>Lifecycle!G7</x:f>
        <x:v>0.04941036958956453</x:v>
      </x:c>
      <x:c r="J477" s="44" t="n">
        <x:v>0.075</x:v>
      </x:c>
      <x:c r="K477" s="44" t="n">
        <x:f>I477*J477</x:f>
        <x:v>0.0037057777192173397</x:v>
      </x:c>
      <x:c r="L477" s="46" t="n">
        <x:v>0</x:v>
      </x:c>
      <x:c r="M477" s="46" t="n">
        <x:v>0</x:v>
      </x:c>
      <x:c r="N477" s="21" t="n">
        <x:f>1</x:f>
        <x:v>1</x:v>
      </x:c>
      <x:c r="O477" s="21" t="n">
        <x:f>MIN('Root Data'!I148:I150)</x:f>
        <x:v>0</x:v>
      </x:c>
      <x:c r="P477" s="44" t="n">
        <x:f>IF(AND(L477=1,M477=1,N477=1,O477&gt;=G477),K477,0)</x:f>
        <x:v>0</x:v>
      </x:c>
      <x:c r="Q477" s="21" t="str">
        <x:v>OPEN</x:v>
      </x:c>
      <x:c r="R477" s="23" t="str">
        <x:v>HOLD</x:v>
      </x:c>
    </x:row>
    <x:row r="478">
      <x:c r="B478" s="21" t="str">
        <x:v>AR-00472</x:v>
      </x:c>
      <x:c r="C478" s="21" t="str">
        <x:v>F12-I4</x:v>
      </x:c>
      <x:c r="D478" s="21" t="str">
        <x:v>F12</x:v>
      </x:c>
      <x:c r="E478" s="21" t="n">
        <x:v>2</x:v>
      </x:c>
      <x:c r="F478" s="21" t="str">
        <x:v>Requirement and root-independence package</x:v>
      </x:c>
      <x:c r="G478" s="21" t="n">
        <x:v>8</x:v>
      </x:c>
      <x:c r="H478" s="21" t="str">
        <x:v>Resilience Staff</x:v>
      </x:c>
      <x:c r="I478" s="44" t="n">
        <x:f>Lifecycle!G8</x:f>
        <x:v>0.10211476381843337</x:v>
      </x:c>
      <x:c r="J478" s="44" t="n">
        <x:v>0.075</x:v>
      </x:c>
      <x:c r="K478" s="44" t="n">
        <x:f>I478*J478</x:f>
        <x:v>0.007658607286382502</x:v>
      </x:c>
      <x:c r="L478" s="46" t="n">
        <x:v>0</x:v>
      </x:c>
      <x:c r="M478" s="46" t="n">
        <x:v>0</x:v>
      </x:c>
      <x:c r="N478" s="21" t="n">
        <x:f>IF(AND(L477=1,M477=1,P477&gt;0),1,0)</x:f>
        <x:v>0</x:v>
      </x:c>
      <x:c r="O478" s="21" t="n">
        <x:f>MIN('Root Data'!I148:I150)</x:f>
        <x:v>0</x:v>
      </x:c>
      <x:c r="P478" s="44" t="n">
        <x:f>IF(AND(L478=1,M478=1,N478=1,O478&gt;=G478),K478,0)</x:f>
        <x:v>0</x:v>
      </x:c>
      <x:c r="Q478" s="21" t="str">
        <x:v>OPEN</x:v>
      </x:c>
      <x:c r="R478" s="23" t="str">
        <x:v>HOLD</x:v>
      </x:c>
    </x:row>
    <x:row r="479">
      <x:c r="B479" s="21" t="str">
        <x:v>AR-00473</x:v>
      </x:c>
      <x:c r="C479" s="21" t="str">
        <x:v>F12-I4</x:v>
      </x:c>
      <x:c r="D479" s="21" t="str">
        <x:v>F12</x:v>
      </x:c>
      <x:c r="E479" s="21" t="n">
        <x:v>3</x:v>
      </x:c>
      <x:c r="F479" s="21" t="str">
        <x:v>Architecture and burden closure</x:v>
      </x:c>
      <x:c r="G479" s="21" t="n">
        <x:v>14</x:v>
      </x:c>
      <x:c r="H479" s="21" t="str">
        <x:v>Independent Evidence and Data Authority</x:v>
      </x:c>
      <x:c r="I479" s="44" t="n">
        <x:f>Lifecycle!G9</x:f>
        <x:v>0.08564464062191186</x:v>
      </x:c>
      <x:c r="J479" s="44" t="n">
        <x:v>0.075</x:v>
      </x:c>
      <x:c r="K479" s="44" t="n">
        <x:f>I479*J479</x:f>
        <x:v>0.006423348046643389</x:v>
      </x:c>
      <x:c r="L479" s="46" t="n">
        <x:v>0</x:v>
      </x:c>
      <x:c r="M479" s="46" t="n">
        <x:v>0</x:v>
      </x:c>
      <x:c r="N479" s="21" t="n">
        <x:f>IF(AND(L478=1,M478=1,P478&gt;0),1,0)</x:f>
        <x:v>0</x:v>
      </x:c>
      <x:c r="O479" s="21" t="n">
        <x:f>MIN('Root Data'!I148:I150)</x:f>
        <x:v>0</x:v>
      </x:c>
      <x:c r="P479" s="44" t="n">
        <x:f>IF(AND(L479=1,M479=1,N479=1,O479&gt;=G479),K479,0)</x:f>
        <x:v>0</x:v>
      </x:c>
      <x:c r="Q479" s="21" t="str">
        <x:v>OPEN</x:v>
      </x:c>
      <x:c r="R479" s="23" t="str">
        <x:v>HOLD</x:v>
      </x:c>
    </x:row>
    <x:row r="480">
      <x:c r="B480" s="21" t="str">
        <x:v>AR-00474</x:v>
      </x:c>
      <x:c r="C480" s="21" t="str">
        <x:v>F12-I4</x:v>
      </x:c>
      <x:c r="D480" s="21" t="str">
        <x:v>F12</x:v>
      </x:c>
      <x:c r="E480" s="21" t="n">
        <x:v>4</x:v>
      </x:c>
      <x:c r="F480" s="21" t="str">
        <x:v>Engineering article acceptance</x:v>
      </x:c>
      <x:c r="G480" s="21" t="n">
        <x:v>18</x:v>
      </x:c>
      <x:c r="H480" s="21" t="str">
        <x:v>Independent Evidence and Data Authority</x:v>
      </x:c>
      <x:c r="I480" s="44" t="n">
        <x:f>Lifecycle!G10</x:f>
        <x:v>0.05929244350747744</x:v>
      </x:c>
      <x:c r="J480" s="44" t="n">
        <x:v>0.075</x:v>
      </x:c>
      <x:c r="K480" s="44" t="n">
        <x:f>I480*J480</x:f>
        <x:v>0.004446933263060808</x:v>
      </x:c>
      <x:c r="L480" s="46" t="n">
        <x:v>0</x:v>
      </x:c>
      <x:c r="M480" s="46" t="n">
        <x:v>0</x:v>
      </x:c>
      <x:c r="N480" s="21" t="n">
        <x:f>IF(AND(L479=1,M479=1,P479&gt;0),1,0)</x:f>
        <x:v>0</x:v>
      </x:c>
      <x:c r="O480" s="21" t="n">
        <x:f>MIN('Root Data'!I148:I150)</x:f>
        <x:v>0</x:v>
      </x:c>
      <x:c r="P480" s="44" t="n">
        <x:f>IF(AND(L480=1,M480=1,N480=1,O480&gt;=G480),K480,0)</x:f>
        <x:v>0</x:v>
      </x:c>
      <x:c r="Q480" s="21" t="str">
        <x:v>OPEN</x:v>
      </x:c>
      <x:c r="R480" s="23" t="str">
        <x:v>HOLD</x:v>
      </x:c>
    </x:row>
    <x:row r="481">
      <x:c r="B481" s="21" t="str">
        <x:v>AR-00475</x:v>
      </x:c>
      <x:c r="C481" s="21" t="str">
        <x:v>F12-I4</x:v>
      </x:c>
      <x:c r="D481" s="21" t="str">
        <x:v>F12</x:v>
      </x:c>
      <x:c r="E481" s="21" t="n">
        <x:v>5</x:v>
      </x:c>
      <x:c r="F481" s="21" t="str">
        <x:v>Qualification and destructive evidence</x:v>
      </x:c>
      <x:c r="G481" s="21" t="n">
        <x:v>21</x:v>
      </x:c>
      <x:c r="H481" s="21" t="str">
        <x:v>Independent Evidence and Data Authority</x:v>
      </x:c>
      <x:c r="I481" s="44" t="n">
        <x:f>Lifecycle!G11</x:f>
        <x:v>0.1515251334079979</x:v>
      </x:c>
      <x:c r="J481" s="44" t="n">
        <x:v>0.075</x:v>
      </x:c>
      <x:c r="K481" s="44" t="n">
        <x:f>I481*J481</x:f>
        <x:v>0.011364385005599841</x:v>
      </x:c>
      <x:c r="L481" s="46" t="n">
        <x:v>0</x:v>
      </x:c>
      <x:c r="M481" s="46" t="n">
        <x:v>0</x:v>
      </x:c>
      <x:c r="N481" s="21" t="n">
        <x:f>IF(AND(L480=1,M480=1,P480&gt;0),1,0)</x:f>
        <x:v>0</x:v>
      </x:c>
      <x:c r="O481" s="21" t="n">
        <x:f>MIN('Root Data'!I148:I150)</x:f>
        <x:v>0</x:v>
      </x:c>
      <x:c r="P481" s="44" t="n">
        <x:f>IF(AND(L481=1,M481=1,N481=1,O481&gt;=G481),K481,0)</x:f>
        <x:v>0</x:v>
      </x:c>
      <x:c r="Q481" s="21" t="str">
        <x:v>OPEN</x:v>
      </x:c>
      <x:c r="R481" s="23" t="str">
        <x:v>HOLD</x:v>
      </x:c>
    </x:row>
    <x:row r="482">
      <x:c r="B482" s="21" t="str">
        <x:v>AR-00476</x:v>
      </x:c>
      <x:c r="C482" s="21" t="str">
        <x:v>F12-I4</x:v>
      </x:c>
      <x:c r="D482" s="21" t="str">
        <x:v>F12</x:v>
      </x:c>
      <x:c r="E482" s="21" t="n">
        <x:v>6</x:v>
      </x:c>
      <x:c r="F482" s="21" t="str">
        <x:v>Representative mission result</x:v>
      </x:c>
      <x:c r="G482" s="21" t="n">
        <x:v>23</x:v>
      </x:c>
      <x:c r="H482" s="21" t="str">
        <x:v>Receiving Service Authority</x:v>
      </x:c>
      <x:c r="I482" s="44" t="n">
        <x:f>Lifecycle!G12</x:f>
        <x:v>0.250345872587127</x:v>
      </x:c>
      <x:c r="J482" s="44" t="n">
        <x:v>0.075</x:v>
      </x:c>
      <x:c r="K482" s="44" t="n">
        <x:f>I482*J482</x:f>
        <x:v>0.018775940444034522</x:v>
      </x:c>
      <x:c r="L482" s="46" t="n">
        <x:v>0</x:v>
      </x:c>
      <x:c r="M482" s="46" t="n">
        <x:v>0</x:v>
      </x:c>
      <x:c r="N482" s="21" t="n">
        <x:f>IF(AND(L481=1,M481=1,P481&gt;0),1,0)</x:f>
        <x:v>0</x:v>
      </x:c>
      <x:c r="O482" s="21" t="n">
        <x:f>MIN('Root Data'!I148:I150)</x:f>
        <x:v>0</x:v>
      </x:c>
      <x:c r="P482" s="44" t="n">
        <x:f>IF(AND(L482=1,M482=1,N482=1,O482&gt;=G482),K482,0)</x:f>
        <x:v>0</x:v>
      </x:c>
      <x:c r="Q482" s="21" t="str">
        <x:v>OPEN</x:v>
      </x:c>
      <x:c r="R482" s="23" t="str">
        <x:v>HOLD</x:v>
      </x:c>
    </x:row>
    <x:row r="483">
      <x:c r="B483" s="21" t="str">
        <x:v>AR-00477</x:v>
      </x:c>
      <x:c r="C483" s="21" t="str">
        <x:v>F12-I4</x:v>
      </x:c>
      <x:c r="D483" s="21" t="str">
        <x:v>F12</x:v>
      </x:c>
      <x:c r="E483" s="21" t="n">
        <x:v>7</x:v>
      </x:c>
      <x:c r="F483" s="21" t="str">
        <x:v>Independent reproduction</x:v>
      </x:c>
      <x:c r="G483" s="21" t="n">
        <x:v>28</x:v>
      </x:c>
      <x:c r="H483" s="21" t="str">
        <x:v>Independent Evidence and Data Authority</x:v>
      </x:c>
      <x:c r="I483" s="44" t="n">
        <x:f>Lifecycle!G13</x:f>
        <x:v>0.21740562619408393</x:v>
      </x:c>
      <x:c r="J483" s="44" t="n">
        <x:v>0.075</x:v>
      </x:c>
      <x:c r="K483" s="44" t="n">
        <x:f>I483*J483</x:f>
        <x:v>0.016305421964556293</x:v>
      </x:c>
      <x:c r="L483" s="46" t="n">
        <x:v>0</x:v>
      </x:c>
      <x:c r="M483" s="46" t="n">
        <x:v>0</x:v>
      </x:c>
      <x:c r="N483" s="21" t="n">
        <x:f>IF(AND(L482=1,M482=1,P482&gt;0),1,0)</x:f>
        <x:v>0</x:v>
      </x:c>
      <x:c r="O483" s="21" t="n">
        <x:f>MIN('Root Data'!I148:I150)</x:f>
        <x:v>0</x:v>
      </x:c>
      <x:c r="P483" s="44" t="n">
        <x:f>IF(AND(L483=1,M483=1,N483=1,O483&gt;=G483),K483,0)</x:f>
        <x:v>0</x:v>
      </x:c>
      <x:c r="Q483" s="21" t="str">
        <x:v>OPEN</x:v>
      </x:c>
      <x:c r="R483" s="23" t="str">
        <x:v>HOLD</x:v>
      </x:c>
    </x:row>
    <x:row r="484">
      <x:c r="B484" s="21" t="str">
        <x:v>AR-00478</x:v>
      </x:c>
      <x:c r="C484" s="21" t="str">
        <x:v>F12-I4</x:v>
      </x:c>
      <x:c r="D484" s="21" t="str">
        <x:v>F12</x:v>
      </x:c>
      <x:c r="E484" s="21" t="n">
        <x:v>8</x:v>
      </x:c>
      <x:c r="F484" s="21" t="str">
        <x:v>Pilot-process qualification</x:v>
      </x:c>
      <x:c r="G484" s="21" t="n">
        <x:v>28</x:v>
      </x:c>
      <x:c r="H484" s="21" t="str">
        <x:v>AIMC Industrial Mobilization Authority</x:v>
      </x:c>
      <x:c r="I484" s="44" t="n">
        <x:f>Lifecycle!G14</x:f>
        <x:v>0.03952829567165163</x:v>
      </x:c>
      <x:c r="J484" s="44" t="n">
        <x:v>0.075</x:v>
      </x:c>
      <x:c r="K484" s="44" t="n">
        <x:f>I484*J484</x:f>
        <x:v>0.002964622175373872</x:v>
      </x:c>
      <x:c r="L484" s="46" t="n">
        <x:v>0</x:v>
      </x:c>
      <x:c r="M484" s="46" t="n">
        <x:v>0</x:v>
      </x:c>
      <x:c r="N484" s="21" t="n">
        <x:f>IF(AND(L483=1,M483=1,P483&gt;0),1,0)</x:f>
        <x:v>0</x:v>
      </x:c>
      <x:c r="O484" s="21" t="n">
        <x:f>MIN('Root Data'!I148:I150)</x:f>
        <x:v>0</x:v>
      </x:c>
      <x:c r="P484" s="44" t="n">
        <x:f>IF(AND(L484=1,M484=1,N484=1,O484&gt;=G484),K484,0)</x:f>
        <x:v>0</x:v>
      </x:c>
      <x:c r="Q484" s="21" t="str">
        <x:v>OPEN</x:v>
      </x:c>
      <x:c r="R484" s="23" t="str">
        <x:v>HOLD</x:v>
      </x:c>
    </x:row>
    <x:row r="485">
      <x:c r="B485" s="21" t="str">
        <x:v>AR-00479</x:v>
      </x:c>
      <x:c r="C485" s="21" t="str">
        <x:v>F12-I4</x:v>
      </x:c>
      <x:c r="D485" s="21" t="str">
        <x:v>F12</x:v>
      </x:c>
      <x:c r="E485" s="21" t="n">
        <x:v>9</x:v>
      </x:c>
      <x:c r="F485" s="21" t="str">
        <x:v>Production release package</x:v>
      </x:c>
      <x:c r="G485" s="21" t="n">
        <x:v>28</x:v>
      </x:c>
      <x:c r="H485" s="21" t="str">
        <x:v>Production Release Board</x:v>
      </x:c>
      <x:c r="I485" s="44" t="n">
        <x:f>Lifecycle!G15</x:f>
        <x:v>0.01647012319652151</x:v>
      </x:c>
      <x:c r="J485" s="44" t="n">
        <x:v>0.075</x:v>
      </x:c>
      <x:c r="K485" s="44" t="n">
        <x:f>I485*J485</x:f>
        <x:v>0.0012352592397391132</x:v>
      </x:c>
      <x:c r="L485" s="46" t="n">
        <x:v>0</x:v>
      </x:c>
      <x:c r="M485" s="46" t="n">
        <x:v>0</x:v>
      </x:c>
      <x:c r="N485" s="21" t="n">
        <x:f>IF(AND(L484=1,M484=1,P484&gt;0),1,0)</x:f>
        <x:v>0</x:v>
      </x:c>
      <x:c r="O485" s="21" t="n">
        <x:f>MIN('Root Data'!I148:I150)</x:f>
        <x:v>0</x:v>
      </x:c>
      <x:c r="P485" s="44" t="n">
        <x:f>IF(AND(L485=1,M485=1,N485=1,O485&gt;=G485),K485,0)</x:f>
        <x:v>0</x:v>
      </x:c>
      <x:c r="Q485" s="21" t="str">
        <x:v>OPEN</x:v>
      </x:c>
      <x:c r="R485" s="23" t="str">
        <x:v>HOLD</x:v>
      </x:c>
    </x:row>
    <x:row r="486">
      <x:c r="B486" s="21" t="str">
        <x:v>AR-00480</x:v>
      </x:c>
      <x:c r="C486" s="21" t="str">
        <x:v>F12-I4</x:v>
      </x:c>
      <x:c r="D486" s="21" t="str">
        <x:v>F12</x:v>
      </x:c>
      <x:c r="E486" s="21" t="n">
        <x:v>10</x:v>
      </x:c>
      <x:c r="F486" s="21" t="str">
        <x:v>Mobilization activation</x:v>
      </x:c>
      <x:c r="G486" s="21" t="n">
        <x:v>28</x:v>
      </x:c>
      <x:c r="H486" s="21" t="str">
        <x:v>Production Release Board</x:v>
      </x:c>
      <x:c r="I486" s="44" t="n">
        <x:f>Lifecycle!G16</x:f>
        <x:v>0.028262731405230914</x:v>
      </x:c>
      <x:c r="J486" s="44" t="n">
        <x:v>0.075</x:v>
      </x:c>
      <x:c r="K486" s="44" t="n">
        <x:f>I486*J486</x:f>
        <x:v>0.0021197048553923186</x:v>
      </x:c>
      <x:c r="L486" s="46" t="n">
        <x:v>0</x:v>
      </x:c>
      <x:c r="M486" s="46" t="n">
        <x:v>0</x:v>
      </x:c>
      <x:c r="N486" s="21" t="n">
        <x:f>IF(AND(L485=1,M485=1,P485&gt;0),1,0)</x:f>
        <x:v>0</x:v>
      </x:c>
      <x:c r="O486" s="21" t="n">
        <x:f>MIN('Root Data'!I148:I150)</x:f>
        <x:v>0</x:v>
      </x:c>
      <x:c r="P486" s="44" t="n">
        <x:f>IF(AND(L486=1,M486=1,N486=1,O486&gt;=G486),K486,0)</x:f>
        <x:v>0</x:v>
      </x:c>
      <x:c r="Q486" s="21" t="str">
        <x:v>OPEN</x:v>
      </x:c>
      <x:c r="R486" s="23" t="str">
        <x:v>HOLD</x:v>
      </x:c>
    </x:row>
    <x:row r="487">
      <x:c r="B487" s="21" t="str">
        <x:v>AR-00481</x:v>
      </x:c>
      <x:c r="C487" s="21" t="str">
        <x:v>F13-I1</x:v>
      </x:c>
      <x:c r="D487" s="21" t="str">
        <x:v>F13</x:v>
      </x:c>
      <x:c r="E487" s="21" t="n">
        <x:v>1</x:v>
      </x:c>
      <x:c r="F487" s="21" t="str">
        <x:v>Civil effect charter</x:v>
      </x:c>
      <x:c r="G487" s="21" t="n">
        <x:v>0</x:v>
      </x:c>
      <x:c r="H487" s="21" t="str">
        <x:v>Civil Guarantee Authority</x:v>
      </x:c>
      <x:c r="I487" s="44" t="n">
        <x:f>Lifecycle!G7</x:f>
        <x:v>0.04941036958956453</x:v>
      </x:c>
      <x:c r="J487" s="44" t="n">
        <x:v>0.075</x:v>
      </x:c>
      <x:c r="K487" s="44" t="n">
        <x:f>I487*J487</x:f>
        <x:v>0.0037057777192173397</x:v>
      </x:c>
      <x:c r="L487" s="46" t="n">
        <x:v>0</x:v>
      </x:c>
      <x:c r="M487" s="46" t="n">
        <x:v>0</x:v>
      </x:c>
      <x:c r="N487" s="21" t="n">
        <x:f>1</x:f>
        <x:v>1</x:v>
      </x:c>
      <x:c r="O487" s="21" t="n">
        <x:f>MIN('Root Data'!I151:I153)</x:f>
        <x:v>0</x:v>
      </x:c>
      <x:c r="P487" s="44" t="n">
        <x:f>IF(AND(L487=1,M487=1,N487=1,O487&gt;=G487),K487,0)</x:f>
        <x:v>0</x:v>
      </x:c>
      <x:c r="Q487" s="21" t="str">
        <x:v>OPEN</x:v>
      </x:c>
      <x:c r="R487" s="23" t="str">
        <x:v>HOLD</x:v>
      </x:c>
    </x:row>
    <x:row r="488">
      <x:c r="B488" s="21" t="str">
        <x:v>AR-00482</x:v>
      </x:c>
      <x:c r="C488" s="21" t="str">
        <x:v>F13-I1</x:v>
      </x:c>
      <x:c r="D488" s="21" t="str">
        <x:v>F13</x:v>
      </x:c>
      <x:c r="E488" s="21" t="n">
        <x:v>2</x:v>
      </x:c>
      <x:c r="F488" s="21" t="str">
        <x:v>Requirement and root-independence package</x:v>
      </x:c>
      <x:c r="G488" s="21" t="n">
        <x:v>8</x:v>
      </x:c>
      <x:c r="H488" s="21" t="str">
        <x:v>Resilience Staff</x:v>
      </x:c>
      <x:c r="I488" s="44" t="n">
        <x:f>Lifecycle!G8</x:f>
        <x:v>0.10211476381843337</x:v>
      </x:c>
      <x:c r="J488" s="44" t="n">
        <x:v>0.075</x:v>
      </x:c>
      <x:c r="K488" s="44" t="n">
        <x:f>I488*J488</x:f>
        <x:v>0.007658607286382502</x:v>
      </x:c>
      <x:c r="L488" s="46" t="n">
        <x:v>0</x:v>
      </x:c>
      <x:c r="M488" s="46" t="n">
        <x:v>0</x:v>
      </x:c>
      <x:c r="N488" s="21" t="n">
        <x:f>IF(AND(L487=1,M487=1,P487&gt;0),1,0)</x:f>
        <x:v>0</x:v>
      </x:c>
      <x:c r="O488" s="21" t="n">
        <x:f>MIN('Root Data'!I151:I153)</x:f>
        <x:v>0</x:v>
      </x:c>
      <x:c r="P488" s="44" t="n">
        <x:f>IF(AND(L488=1,M488=1,N488=1,O488&gt;=G488),K488,0)</x:f>
        <x:v>0</x:v>
      </x:c>
      <x:c r="Q488" s="21" t="str">
        <x:v>OPEN</x:v>
      </x:c>
      <x:c r="R488" s="23" t="str">
        <x:v>HOLD</x:v>
      </x:c>
    </x:row>
    <x:row r="489">
      <x:c r="B489" s="21" t="str">
        <x:v>AR-00483</x:v>
      </x:c>
      <x:c r="C489" s="21" t="str">
        <x:v>F13-I1</x:v>
      </x:c>
      <x:c r="D489" s="21" t="str">
        <x:v>F13</x:v>
      </x:c>
      <x:c r="E489" s="21" t="n">
        <x:v>3</x:v>
      </x:c>
      <x:c r="F489" s="21" t="str">
        <x:v>Architecture and burden closure</x:v>
      </x:c>
      <x:c r="G489" s="21" t="n">
        <x:v>14</x:v>
      </x:c>
      <x:c r="H489" s="21" t="str">
        <x:v>Independent Evidence and Data Authority</x:v>
      </x:c>
      <x:c r="I489" s="44" t="n">
        <x:f>Lifecycle!G9</x:f>
        <x:v>0.08564464062191186</x:v>
      </x:c>
      <x:c r="J489" s="44" t="n">
        <x:v>0.075</x:v>
      </x:c>
      <x:c r="K489" s="44" t="n">
        <x:f>I489*J489</x:f>
        <x:v>0.006423348046643389</x:v>
      </x:c>
      <x:c r="L489" s="46" t="n">
        <x:v>0</x:v>
      </x:c>
      <x:c r="M489" s="46" t="n">
        <x:v>0</x:v>
      </x:c>
      <x:c r="N489" s="21" t="n">
        <x:f>IF(AND(L488=1,M488=1,P488&gt;0),1,0)</x:f>
        <x:v>0</x:v>
      </x:c>
      <x:c r="O489" s="21" t="n">
        <x:f>MIN('Root Data'!I151:I153)</x:f>
        <x:v>0</x:v>
      </x:c>
      <x:c r="P489" s="44" t="n">
        <x:f>IF(AND(L489=1,M489=1,N489=1,O489&gt;=G489),K489,0)</x:f>
        <x:v>0</x:v>
      </x:c>
      <x:c r="Q489" s="21" t="str">
        <x:v>OPEN</x:v>
      </x:c>
      <x:c r="R489" s="23" t="str">
        <x:v>HOLD</x:v>
      </x:c>
    </x:row>
    <x:row r="490">
      <x:c r="B490" s="21" t="str">
        <x:v>AR-00484</x:v>
      </x:c>
      <x:c r="C490" s="21" t="str">
        <x:v>F13-I1</x:v>
      </x:c>
      <x:c r="D490" s="21" t="str">
        <x:v>F13</x:v>
      </x:c>
      <x:c r="E490" s="21" t="n">
        <x:v>4</x:v>
      </x:c>
      <x:c r="F490" s="21" t="str">
        <x:v>Engineering article acceptance</x:v>
      </x:c>
      <x:c r="G490" s="21" t="n">
        <x:v>18</x:v>
      </x:c>
      <x:c r="H490" s="21" t="str">
        <x:v>Independent Evidence and Data Authority</x:v>
      </x:c>
      <x:c r="I490" s="44" t="n">
        <x:f>Lifecycle!G10</x:f>
        <x:v>0.05929244350747744</x:v>
      </x:c>
      <x:c r="J490" s="44" t="n">
        <x:v>0.075</x:v>
      </x:c>
      <x:c r="K490" s="44" t="n">
        <x:f>I490*J490</x:f>
        <x:v>0.004446933263060808</x:v>
      </x:c>
      <x:c r="L490" s="46" t="n">
        <x:v>0</x:v>
      </x:c>
      <x:c r="M490" s="46" t="n">
        <x:v>0</x:v>
      </x:c>
      <x:c r="N490" s="21" t="n">
        <x:f>IF(AND(L489=1,M489=1,P489&gt;0),1,0)</x:f>
        <x:v>0</x:v>
      </x:c>
      <x:c r="O490" s="21" t="n">
        <x:f>MIN('Root Data'!I151:I153)</x:f>
        <x:v>0</x:v>
      </x:c>
      <x:c r="P490" s="44" t="n">
        <x:f>IF(AND(L490=1,M490=1,N490=1,O490&gt;=G490),K490,0)</x:f>
        <x:v>0</x:v>
      </x:c>
      <x:c r="Q490" s="21" t="str">
        <x:v>OPEN</x:v>
      </x:c>
      <x:c r="R490" s="23" t="str">
        <x:v>HOLD</x:v>
      </x:c>
    </x:row>
    <x:row r="491">
      <x:c r="B491" s="21" t="str">
        <x:v>AR-00485</x:v>
      </x:c>
      <x:c r="C491" s="21" t="str">
        <x:v>F13-I1</x:v>
      </x:c>
      <x:c r="D491" s="21" t="str">
        <x:v>F13</x:v>
      </x:c>
      <x:c r="E491" s="21" t="n">
        <x:v>5</x:v>
      </x:c>
      <x:c r="F491" s="21" t="str">
        <x:v>Qualification and destructive evidence</x:v>
      </x:c>
      <x:c r="G491" s="21" t="n">
        <x:v>21</x:v>
      </x:c>
      <x:c r="H491" s="21" t="str">
        <x:v>Independent Evidence and Data Authority</x:v>
      </x:c>
      <x:c r="I491" s="44" t="n">
        <x:f>Lifecycle!G11</x:f>
        <x:v>0.1515251334079979</x:v>
      </x:c>
      <x:c r="J491" s="44" t="n">
        <x:v>0.075</x:v>
      </x:c>
      <x:c r="K491" s="44" t="n">
        <x:f>I491*J491</x:f>
        <x:v>0.011364385005599841</x:v>
      </x:c>
      <x:c r="L491" s="46" t="n">
        <x:v>0</x:v>
      </x:c>
      <x:c r="M491" s="46" t="n">
        <x:v>0</x:v>
      </x:c>
      <x:c r="N491" s="21" t="n">
        <x:f>IF(AND(L490=1,M490=1,P490&gt;0),1,0)</x:f>
        <x:v>0</x:v>
      </x:c>
      <x:c r="O491" s="21" t="n">
        <x:f>MIN('Root Data'!I151:I153)</x:f>
        <x:v>0</x:v>
      </x:c>
      <x:c r="P491" s="44" t="n">
        <x:f>IF(AND(L491=1,M491=1,N491=1,O491&gt;=G491),K491,0)</x:f>
        <x:v>0</x:v>
      </x:c>
      <x:c r="Q491" s="21" t="str">
        <x:v>OPEN</x:v>
      </x:c>
      <x:c r="R491" s="23" t="str">
        <x:v>HOLD</x:v>
      </x:c>
    </x:row>
    <x:row r="492">
      <x:c r="B492" s="21" t="str">
        <x:v>AR-00486</x:v>
      </x:c>
      <x:c r="C492" s="21" t="str">
        <x:v>F13-I1</x:v>
      </x:c>
      <x:c r="D492" s="21" t="str">
        <x:v>F13</x:v>
      </x:c>
      <x:c r="E492" s="21" t="n">
        <x:v>6</x:v>
      </x:c>
      <x:c r="F492" s="21" t="str">
        <x:v>Representative mission result</x:v>
      </x:c>
      <x:c r="G492" s="21" t="n">
        <x:v>23</x:v>
      </x:c>
      <x:c r="H492" s="21" t="str">
        <x:v>Receiving Service Authority</x:v>
      </x:c>
      <x:c r="I492" s="44" t="n">
        <x:f>Lifecycle!G12</x:f>
        <x:v>0.250345872587127</x:v>
      </x:c>
      <x:c r="J492" s="44" t="n">
        <x:v>0.075</x:v>
      </x:c>
      <x:c r="K492" s="44" t="n">
        <x:f>I492*J492</x:f>
        <x:v>0.018775940444034522</x:v>
      </x:c>
      <x:c r="L492" s="46" t="n">
        <x:v>0</x:v>
      </x:c>
      <x:c r="M492" s="46" t="n">
        <x:v>0</x:v>
      </x:c>
      <x:c r="N492" s="21" t="n">
        <x:f>IF(AND(L491=1,M491=1,P491&gt;0),1,0)</x:f>
        <x:v>0</x:v>
      </x:c>
      <x:c r="O492" s="21" t="n">
        <x:f>MIN('Root Data'!I151:I153)</x:f>
        <x:v>0</x:v>
      </x:c>
      <x:c r="P492" s="44" t="n">
        <x:f>IF(AND(L492=1,M492=1,N492=1,O492&gt;=G492),K492,0)</x:f>
        <x:v>0</x:v>
      </x:c>
      <x:c r="Q492" s="21" t="str">
        <x:v>OPEN</x:v>
      </x:c>
      <x:c r="R492" s="23" t="str">
        <x:v>HOLD</x:v>
      </x:c>
    </x:row>
    <x:row r="493">
      <x:c r="B493" s="21" t="str">
        <x:v>AR-00487</x:v>
      </x:c>
      <x:c r="C493" s="21" t="str">
        <x:v>F13-I1</x:v>
      </x:c>
      <x:c r="D493" s="21" t="str">
        <x:v>F13</x:v>
      </x:c>
      <x:c r="E493" s="21" t="n">
        <x:v>7</x:v>
      </x:c>
      <x:c r="F493" s="21" t="str">
        <x:v>Independent reproduction</x:v>
      </x:c>
      <x:c r="G493" s="21" t="n">
        <x:v>28</x:v>
      </x:c>
      <x:c r="H493" s="21" t="str">
        <x:v>Independent Evidence and Data Authority</x:v>
      </x:c>
      <x:c r="I493" s="44" t="n">
        <x:f>Lifecycle!G13</x:f>
        <x:v>0.21740562619408393</x:v>
      </x:c>
      <x:c r="J493" s="44" t="n">
        <x:v>0.075</x:v>
      </x:c>
      <x:c r="K493" s="44" t="n">
        <x:f>I493*J493</x:f>
        <x:v>0.016305421964556293</x:v>
      </x:c>
      <x:c r="L493" s="46" t="n">
        <x:v>0</x:v>
      </x:c>
      <x:c r="M493" s="46" t="n">
        <x:v>0</x:v>
      </x:c>
      <x:c r="N493" s="21" t="n">
        <x:f>IF(AND(L492=1,M492=1,P492&gt;0),1,0)</x:f>
        <x:v>0</x:v>
      </x:c>
      <x:c r="O493" s="21" t="n">
        <x:f>MIN('Root Data'!I151:I153)</x:f>
        <x:v>0</x:v>
      </x:c>
      <x:c r="P493" s="44" t="n">
        <x:f>IF(AND(L493=1,M493=1,N493=1,O493&gt;=G493),K493,0)</x:f>
        <x:v>0</x:v>
      </x:c>
      <x:c r="Q493" s="21" t="str">
        <x:v>OPEN</x:v>
      </x:c>
      <x:c r="R493" s="23" t="str">
        <x:v>HOLD</x:v>
      </x:c>
    </x:row>
    <x:row r="494">
      <x:c r="B494" s="21" t="str">
        <x:v>AR-00488</x:v>
      </x:c>
      <x:c r="C494" s="21" t="str">
        <x:v>F13-I1</x:v>
      </x:c>
      <x:c r="D494" s="21" t="str">
        <x:v>F13</x:v>
      </x:c>
      <x:c r="E494" s="21" t="n">
        <x:v>8</x:v>
      </x:c>
      <x:c r="F494" s="21" t="str">
        <x:v>Pilot-process qualification</x:v>
      </x:c>
      <x:c r="G494" s="21" t="n">
        <x:v>28</x:v>
      </x:c>
      <x:c r="H494" s="21" t="str">
        <x:v>AIMC Industrial Mobilization Authority</x:v>
      </x:c>
      <x:c r="I494" s="44" t="n">
        <x:f>Lifecycle!G14</x:f>
        <x:v>0.03952829567165163</x:v>
      </x:c>
      <x:c r="J494" s="44" t="n">
        <x:v>0.075</x:v>
      </x:c>
      <x:c r="K494" s="44" t="n">
        <x:f>I494*J494</x:f>
        <x:v>0.002964622175373872</x:v>
      </x:c>
      <x:c r="L494" s="46" t="n">
        <x:v>0</x:v>
      </x:c>
      <x:c r="M494" s="46" t="n">
        <x:v>0</x:v>
      </x:c>
      <x:c r="N494" s="21" t="n">
        <x:f>IF(AND(L493=1,M493=1,P493&gt;0),1,0)</x:f>
        <x:v>0</x:v>
      </x:c>
      <x:c r="O494" s="21" t="n">
        <x:f>MIN('Root Data'!I151:I153)</x:f>
        <x:v>0</x:v>
      </x:c>
      <x:c r="P494" s="44" t="n">
        <x:f>IF(AND(L494=1,M494=1,N494=1,O494&gt;=G494),K494,0)</x:f>
        <x:v>0</x:v>
      </x:c>
      <x:c r="Q494" s="21" t="str">
        <x:v>OPEN</x:v>
      </x:c>
      <x:c r="R494" s="23" t="str">
        <x:v>HOLD</x:v>
      </x:c>
    </x:row>
    <x:row r="495">
      <x:c r="B495" s="21" t="str">
        <x:v>AR-00489</x:v>
      </x:c>
      <x:c r="C495" s="21" t="str">
        <x:v>F13-I1</x:v>
      </x:c>
      <x:c r="D495" s="21" t="str">
        <x:v>F13</x:v>
      </x:c>
      <x:c r="E495" s="21" t="n">
        <x:v>9</x:v>
      </x:c>
      <x:c r="F495" s="21" t="str">
        <x:v>Production release package</x:v>
      </x:c>
      <x:c r="G495" s="21" t="n">
        <x:v>28</x:v>
      </x:c>
      <x:c r="H495" s="21" t="str">
        <x:v>Production Release Board</x:v>
      </x:c>
      <x:c r="I495" s="44" t="n">
        <x:f>Lifecycle!G15</x:f>
        <x:v>0.01647012319652151</x:v>
      </x:c>
      <x:c r="J495" s="44" t="n">
        <x:v>0.075</x:v>
      </x:c>
      <x:c r="K495" s="44" t="n">
        <x:f>I495*J495</x:f>
        <x:v>0.0012352592397391132</x:v>
      </x:c>
      <x:c r="L495" s="46" t="n">
        <x:v>0</x:v>
      </x:c>
      <x:c r="M495" s="46" t="n">
        <x:v>0</x:v>
      </x:c>
      <x:c r="N495" s="21" t="n">
        <x:f>IF(AND(L494=1,M494=1,P494&gt;0),1,0)</x:f>
        <x:v>0</x:v>
      </x:c>
      <x:c r="O495" s="21" t="n">
        <x:f>MIN('Root Data'!I151:I153)</x:f>
        <x:v>0</x:v>
      </x:c>
      <x:c r="P495" s="44" t="n">
        <x:f>IF(AND(L495=1,M495=1,N495=1,O495&gt;=G495),K495,0)</x:f>
        <x:v>0</x:v>
      </x:c>
      <x:c r="Q495" s="21" t="str">
        <x:v>OPEN</x:v>
      </x:c>
      <x:c r="R495" s="23" t="str">
        <x:v>HOLD</x:v>
      </x:c>
    </x:row>
    <x:row r="496">
      <x:c r="B496" s="21" t="str">
        <x:v>AR-00490</x:v>
      </x:c>
      <x:c r="C496" s="21" t="str">
        <x:v>F13-I1</x:v>
      </x:c>
      <x:c r="D496" s="21" t="str">
        <x:v>F13</x:v>
      </x:c>
      <x:c r="E496" s="21" t="n">
        <x:v>10</x:v>
      </x:c>
      <x:c r="F496" s="21" t="str">
        <x:v>Mobilization activation</x:v>
      </x:c>
      <x:c r="G496" s="21" t="n">
        <x:v>28</x:v>
      </x:c>
      <x:c r="H496" s="21" t="str">
        <x:v>Production Release Board</x:v>
      </x:c>
      <x:c r="I496" s="44" t="n">
        <x:f>Lifecycle!G16</x:f>
        <x:v>0.028262731405230914</x:v>
      </x:c>
      <x:c r="J496" s="44" t="n">
        <x:v>0.075</x:v>
      </x:c>
      <x:c r="K496" s="44" t="n">
        <x:f>I496*J496</x:f>
        <x:v>0.0021197048553923186</x:v>
      </x:c>
      <x:c r="L496" s="46" t="n">
        <x:v>0</x:v>
      </x:c>
      <x:c r="M496" s="46" t="n">
        <x:v>0</x:v>
      </x:c>
      <x:c r="N496" s="21" t="n">
        <x:f>IF(AND(L495=1,M495=1,P495&gt;0),1,0)</x:f>
        <x:v>0</x:v>
      </x:c>
      <x:c r="O496" s="21" t="n">
        <x:f>MIN('Root Data'!I151:I153)</x:f>
        <x:v>0</x:v>
      </x:c>
      <x:c r="P496" s="44" t="n">
        <x:f>IF(AND(L496=1,M496=1,N496=1,O496&gt;=G496),K496,0)</x:f>
        <x:v>0</x:v>
      </x:c>
      <x:c r="Q496" s="21" t="str">
        <x:v>OPEN</x:v>
      </x:c>
      <x:c r="R496" s="23" t="str">
        <x:v>HOLD</x:v>
      </x:c>
    </x:row>
    <x:row r="497">
      <x:c r="B497" s="21" t="str">
        <x:v>AR-00491</x:v>
      </x:c>
      <x:c r="C497" s="21" t="str">
        <x:v>F13-I2</x:v>
      </x:c>
      <x:c r="D497" s="21" t="str">
        <x:v>F13</x:v>
      </x:c>
      <x:c r="E497" s="21" t="n">
        <x:v>1</x:v>
      </x:c>
      <x:c r="F497" s="21" t="str">
        <x:v>Civil effect charter</x:v>
      </x:c>
      <x:c r="G497" s="21" t="n">
        <x:v>0</x:v>
      </x:c>
      <x:c r="H497" s="21" t="str">
        <x:v>Civil Guarantee Authority</x:v>
      </x:c>
      <x:c r="I497" s="44" t="n">
        <x:f>Lifecycle!G7</x:f>
        <x:v>0.04941036958956453</x:v>
      </x:c>
      <x:c r="J497" s="44" t="n">
        <x:v>0.075</x:v>
      </x:c>
      <x:c r="K497" s="44" t="n">
        <x:f>I497*J497</x:f>
        <x:v>0.0037057777192173397</x:v>
      </x:c>
      <x:c r="L497" s="46" t="n">
        <x:v>0</x:v>
      </x:c>
      <x:c r="M497" s="46" t="n">
        <x:v>0</x:v>
      </x:c>
      <x:c r="N497" s="21" t="n">
        <x:f>1</x:f>
        <x:v>1</x:v>
      </x:c>
      <x:c r="O497" s="21" t="n">
        <x:f>MIN('Root Data'!I154:I156)</x:f>
        <x:v>0</x:v>
      </x:c>
      <x:c r="P497" s="44" t="n">
        <x:f>IF(AND(L497=1,M497=1,N497=1,O497&gt;=G497),K497,0)</x:f>
        <x:v>0</x:v>
      </x:c>
      <x:c r="Q497" s="21" t="str">
        <x:v>OPEN</x:v>
      </x:c>
      <x:c r="R497" s="23" t="str">
        <x:v>HOLD</x:v>
      </x:c>
    </x:row>
    <x:row r="498">
      <x:c r="B498" s="21" t="str">
        <x:v>AR-00492</x:v>
      </x:c>
      <x:c r="C498" s="21" t="str">
        <x:v>F13-I2</x:v>
      </x:c>
      <x:c r="D498" s="21" t="str">
        <x:v>F13</x:v>
      </x:c>
      <x:c r="E498" s="21" t="n">
        <x:v>2</x:v>
      </x:c>
      <x:c r="F498" s="21" t="str">
        <x:v>Requirement and root-independence package</x:v>
      </x:c>
      <x:c r="G498" s="21" t="n">
        <x:v>8</x:v>
      </x:c>
      <x:c r="H498" s="21" t="str">
        <x:v>Resilience Staff</x:v>
      </x:c>
      <x:c r="I498" s="44" t="n">
        <x:f>Lifecycle!G8</x:f>
        <x:v>0.10211476381843337</x:v>
      </x:c>
      <x:c r="J498" s="44" t="n">
        <x:v>0.075</x:v>
      </x:c>
      <x:c r="K498" s="44" t="n">
        <x:f>I498*J498</x:f>
        <x:v>0.007658607286382502</x:v>
      </x:c>
      <x:c r="L498" s="46" t="n">
        <x:v>0</x:v>
      </x:c>
      <x:c r="M498" s="46" t="n">
        <x:v>0</x:v>
      </x:c>
      <x:c r="N498" s="21" t="n">
        <x:f>IF(AND(L497=1,M497=1,P497&gt;0),1,0)</x:f>
        <x:v>0</x:v>
      </x:c>
      <x:c r="O498" s="21" t="n">
        <x:f>MIN('Root Data'!I154:I156)</x:f>
        <x:v>0</x:v>
      </x:c>
      <x:c r="P498" s="44" t="n">
        <x:f>IF(AND(L498=1,M498=1,N498=1,O498&gt;=G498),K498,0)</x:f>
        <x:v>0</x:v>
      </x:c>
      <x:c r="Q498" s="21" t="str">
        <x:v>OPEN</x:v>
      </x:c>
      <x:c r="R498" s="23" t="str">
        <x:v>HOLD</x:v>
      </x:c>
    </x:row>
    <x:row r="499">
      <x:c r="B499" s="21" t="str">
        <x:v>AR-00493</x:v>
      </x:c>
      <x:c r="C499" s="21" t="str">
        <x:v>F13-I2</x:v>
      </x:c>
      <x:c r="D499" s="21" t="str">
        <x:v>F13</x:v>
      </x:c>
      <x:c r="E499" s="21" t="n">
        <x:v>3</x:v>
      </x:c>
      <x:c r="F499" s="21" t="str">
        <x:v>Architecture and burden closure</x:v>
      </x:c>
      <x:c r="G499" s="21" t="n">
        <x:v>14</x:v>
      </x:c>
      <x:c r="H499" s="21" t="str">
        <x:v>Independent Evidence and Data Authority</x:v>
      </x:c>
      <x:c r="I499" s="44" t="n">
        <x:f>Lifecycle!G9</x:f>
        <x:v>0.08564464062191186</x:v>
      </x:c>
      <x:c r="J499" s="44" t="n">
        <x:v>0.075</x:v>
      </x:c>
      <x:c r="K499" s="44" t="n">
        <x:f>I499*J499</x:f>
        <x:v>0.006423348046643389</x:v>
      </x:c>
      <x:c r="L499" s="46" t="n">
        <x:v>0</x:v>
      </x:c>
      <x:c r="M499" s="46" t="n">
        <x:v>0</x:v>
      </x:c>
      <x:c r="N499" s="21" t="n">
        <x:f>IF(AND(L498=1,M498=1,P498&gt;0),1,0)</x:f>
        <x:v>0</x:v>
      </x:c>
      <x:c r="O499" s="21" t="n">
        <x:f>MIN('Root Data'!I154:I156)</x:f>
        <x:v>0</x:v>
      </x:c>
      <x:c r="P499" s="44" t="n">
        <x:f>IF(AND(L499=1,M499=1,N499=1,O499&gt;=G499),K499,0)</x:f>
        <x:v>0</x:v>
      </x:c>
      <x:c r="Q499" s="21" t="str">
        <x:v>OPEN</x:v>
      </x:c>
      <x:c r="R499" s="23" t="str">
        <x:v>HOLD</x:v>
      </x:c>
    </x:row>
    <x:row r="500">
      <x:c r="B500" s="21" t="str">
        <x:v>AR-00494</x:v>
      </x:c>
      <x:c r="C500" s="21" t="str">
        <x:v>F13-I2</x:v>
      </x:c>
      <x:c r="D500" s="21" t="str">
        <x:v>F13</x:v>
      </x:c>
      <x:c r="E500" s="21" t="n">
        <x:v>4</x:v>
      </x:c>
      <x:c r="F500" s="21" t="str">
        <x:v>Engineering article acceptance</x:v>
      </x:c>
      <x:c r="G500" s="21" t="n">
        <x:v>18</x:v>
      </x:c>
      <x:c r="H500" s="21" t="str">
        <x:v>Independent Evidence and Data Authority</x:v>
      </x:c>
      <x:c r="I500" s="44" t="n">
        <x:f>Lifecycle!G10</x:f>
        <x:v>0.05929244350747744</x:v>
      </x:c>
      <x:c r="J500" s="44" t="n">
        <x:v>0.075</x:v>
      </x:c>
      <x:c r="K500" s="44" t="n">
        <x:f>I500*J500</x:f>
        <x:v>0.004446933263060808</x:v>
      </x:c>
      <x:c r="L500" s="46" t="n">
        <x:v>0</x:v>
      </x:c>
      <x:c r="M500" s="46" t="n">
        <x:v>0</x:v>
      </x:c>
      <x:c r="N500" s="21" t="n">
        <x:f>IF(AND(L499=1,M499=1,P499&gt;0),1,0)</x:f>
        <x:v>0</x:v>
      </x:c>
      <x:c r="O500" s="21" t="n">
        <x:f>MIN('Root Data'!I154:I156)</x:f>
        <x:v>0</x:v>
      </x:c>
      <x:c r="P500" s="44" t="n">
        <x:f>IF(AND(L500=1,M500=1,N500=1,O500&gt;=G500),K500,0)</x:f>
        <x:v>0</x:v>
      </x:c>
      <x:c r="Q500" s="21" t="str">
        <x:v>OPEN</x:v>
      </x:c>
      <x:c r="R500" s="23" t="str">
        <x:v>HOLD</x:v>
      </x:c>
    </x:row>
    <x:row r="501">
      <x:c r="B501" s="21" t="str">
        <x:v>AR-00495</x:v>
      </x:c>
      <x:c r="C501" s="21" t="str">
        <x:v>F13-I2</x:v>
      </x:c>
      <x:c r="D501" s="21" t="str">
        <x:v>F13</x:v>
      </x:c>
      <x:c r="E501" s="21" t="n">
        <x:v>5</x:v>
      </x:c>
      <x:c r="F501" s="21" t="str">
        <x:v>Qualification and destructive evidence</x:v>
      </x:c>
      <x:c r="G501" s="21" t="n">
        <x:v>21</x:v>
      </x:c>
      <x:c r="H501" s="21" t="str">
        <x:v>Independent Evidence and Data Authority</x:v>
      </x:c>
      <x:c r="I501" s="44" t="n">
        <x:f>Lifecycle!G11</x:f>
        <x:v>0.1515251334079979</x:v>
      </x:c>
      <x:c r="J501" s="44" t="n">
        <x:v>0.075</x:v>
      </x:c>
      <x:c r="K501" s="44" t="n">
        <x:f>I501*J501</x:f>
        <x:v>0.011364385005599841</x:v>
      </x:c>
      <x:c r="L501" s="46" t="n">
        <x:v>0</x:v>
      </x:c>
      <x:c r="M501" s="46" t="n">
        <x:v>0</x:v>
      </x:c>
      <x:c r="N501" s="21" t="n">
        <x:f>IF(AND(L500=1,M500=1,P500&gt;0),1,0)</x:f>
        <x:v>0</x:v>
      </x:c>
      <x:c r="O501" s="21" t="n">
        <x:f>MIN('Root Data'!I154:I156)</x:f>
        <x:v>0</x:v>
      </x:c>
      <x:c r="P501" s="44" t="n">
        <x:f>IF(AND(L501=1,M501=1,N501=1,O501&gt;=G501),K501,0)</x:f>
        <x:v>0</x:v>
      </x:c>
      <x:c r="Q501" s="21" t="str">
        <x:v>OPEN</x:v>
      </x:c>
      <x:c r="R501" s="23" t="str">
        <x:v>HOLD</x:v>
      </x:c>
    </x:row>
    <x:row r="502">
      <x:c r="B502" s="21" t="str">
        <x:v>AR-00496</x:v>
      </x:c>
      <x:c r="C502" s="21" t="str">
        <x:v>F13-I2</x:v>
      </x:c>
      <x:c r="D502" s="21" t="str">
        <x:v>F13</x:v>
      </x:c>
      <x:c r="E502" s="21" t="n">
        <x:v>6</x:v>
      </x:c>
      <x:c r="F502" s="21" t="str">
        <x:v>Representative mission result</x:v>
      </x:c>
      <x:c r="G502" s="21" t="n">
        <x:v>23</x:v>
      </x:c>
      <x:c r="H502" s="21" t="str">
        <x:v>Receiving Service Authority</x:v>
      </x:c>
      <x:c r="I502" s="44" t="n">
        <x:f>Lifecycle!G12</x:f>
        <x:v>0.250345872587127</x:v>
      </x:c>
      <x:c r="J502" s="44" t="n">
        <x:v>0.075</x:v>
      </x:c>
      <x:c r="K502" s="44" t="n">
        <x:f>I502*J502</x:f>
        <x:v>0.018775940444034522</x:v>
      </x:c>
      <x:c r="L502" s="46" t="n">
        <x:v>0</x:v>
      </x:c>
      <x:c r="M502" s="46" t="n">
        <x:v>0</x:v>
      </x:c>
      <x:c r="N502" s="21" t="n">
        <x:f>IF(AND(L501=1,M501=1,P501&gt;0),1,0)</x:f>
        <x:v>0</x:v>
      </x:c>
      <x:c r="O502" s="21" t="n">
        <x:f>MIN('Root Data'!I154:I156)</x:f>
        <x:v>0</x:v>
      </x:c>
      <x:c r="P502" s="44" t="n">
        <x:f>IF(AND(L502=1,M502=1,N502=1,O502&gt;=G502),K502,0)</x:f>
        <x:v>0</x:v>
      </x:c>
      <x:c r="Q502" s="21" t="str">
        <x:v>OPEN</x:v>
      </x:c>
      <x:c r="R502" s="23" t="str">
        <x:v>HOLD</x:v>
      </x:c>
    </x:row>
    <x:row r="503">
      <x:c r="B503" s="21" t="str">
        <x:v>AR-00497</x:v>
      </x:c>
      <x:c r="C503" s="21" t="str">
        <x:v>F13-I2</x:v>
      </x:c>
      <x:c r="D503" s="21" t="str">
        <x:v>F13</x:v>
      </x:c>
      <x:c r="E503" s="21" t="n">
        <x:v>7</x:v>
      </x:c>
      <x:c r="F503" s="21" t="str">
        <x:v>Independent reproduction</x:v>
      </x:c>
      <x:c r="G503" s="21" t="n">
        <x:v>28</x:v>
      </x:c>
      <x:c r="H503" s="21" t="str">
        <x:v>Independent Evidence and Data Authority</x:v>
      </x:c>
      <x:c r="I503" s="44" t="n">
        <x:f>Lifecycle!G13</x:f>
        <x:v>0.21740562619408393</x:v>
      </x:c>
      <x:c r="J503" s="44" t="n">
        <x:v>0.075</x:v>
      </x:c>
      <x:c r="K503" s="44" t="n">
        <x:f>I503*J503</x:f>
        <x:v>0.016305421964556293</x:v>
      </x:c>
      <x:c r="L503" s="46" t="n">
        <x:v>0</x:v>
      </x:c>
      <x:c r="M503" s="46" t="n">
        <x:v>0</x:v>
      </x:c>
      <x:c r="N503" s="21" t="n">
        <x:f>IF(AND(L502=1,M502=1,P502&gt;0),1,0)</x:f>
        <x:v>0</x:v>
      </x:c>
      <x:c r="O503" s="21" t="n">
        <x:f>MIN('Root Data'!I154:I156)</x:f>
        <x:v>0</x:v>
      </x:c>
      <x:c r="P503" s="44" t="n">
        <x:f>IF(AND(L503=1,M503=1,N503=1,O503&gt;=G503),K503,0)</x:f>
        <x:v>0</x:v>
      </x:c>
      <x:c r="Q503" s="21" t="str">
        <x:v>OPEN</x:v>
      </x:c>
      <x:c r="R503" s="23" t="str">
        <x:v>HOLD</x:v>
      </x:c>
    </x:row>
    <x:row r="504">
      <x:c r="B504" s="21" t="str">
        <x:v>AR-00498</x:v>
      </x:c>
      <x:c r="C504" s="21" t="str">
        <x:v>F13-I2</x:v>
      </x:c>
      <x:c r="D504" s="21" t="str">
        <x:v>F13</x:v>
      </x:c>
      <x:c r="E504" s="21" t="n">
        <x:v>8</x:v>
      </x:c>
      <x:c r="F504" s="21" t="str">
        <x:v>Pilot-process qualification</x:v>
      </x:c>
      <x:c r="G504" s="21" t="n">
        <x:v>28</x:v>
      </x:c>
      <x:c r="H504" s="21" t="str">
        <x:v>AIMC Industrial Mobilization Authority</x:v>
      </x:c>
      <x:c r="I504" s="44" t="n">
        <x:f>Lifecycle!G14</x:f>
        <x:v>0.03952829567165163</x:v>
      </x:c>
      <x:c r="J504" s="44" t="n">
        <x:v>0.075</x:v>
      </x:c>
      <x:c r="K504" s="44" t="n">
        <x:f>I504*J504</x:f>
        <x:v>0.002964622175373872</x:v>
      </x:c>
      <x:c r="L504" s="46" t="n">
        <x:v>0</x:v>
      </x:c>
      <x:c r="M504" s="46" t="n">
        <x:v>0</x:v>
      </x:c>
      <x:c r="N504" s="21" t="n">
        <x:f>IF(AND(L503=1,M503=1,P503&gt;0),1,0)</x:f>
        <x:v>0</x:v>
      </x:c>
      <x:c r="O504" s="21" t="n">
        <x:f>MIN('Root Data'!I154:I156)</x:f>
        <x:v>0</x:v>
      </x:c>
      <x:c r="P504" s="44" t="n">
        <x:f>IF(AND(L504=1,M504=1,N504=1,O504&gt;=G504),K504,0)</x:f>
        <x:v>0</x:v>
      </x:c>
      <x:c r="Q504" s="21" t="str">
        <x:v>OPEN</x:v>
      </x:c>
      <x:c r="R504" s="23" t="str">
        <x:v>HOLD</x:v>
      </x:c>
    </x:row>
    <x:row r="505">
      <x:c r="B505" s="21" t="str">
        <x:v>AR-00499</x:v>
      </x:c>
      <x:c r="C505" s="21" t="str">
        <x:v>F13-I2</x:v>
      </x:c>
      <x:c r="D505" s="21" t="str">
        <x:v>F13</x:v>
      </x:c>
      <x:c r="E505" s="21" t="n">
        <x:v>9</x:v>
      </x:c>
      <x:c r="F505" s="21" t="str">
        <x:v>Production release package</x:v>
      </x:c>
      <x:c r="G505" s="21" t="n">
        <x:v>28</x:v>
      </x:c>
      <x:c r="H505" s="21" t="str">
        <x:v>Production Release Board</x:v>
      </x:c>
      <x:c r="I505" s="44" t="n">
        <x:f>Lifecycle!G15</x:f>
        <x:v>0.01647012319652151</x:v>
      </x:c>
      <x:c r="J505" s="44" t="n">
        <x:v>0.075</x:v>
      </x:c>
      <x:c r="K505" s="44" t="n">
        <x:f>I505*J505</x:f>
        <x:v>0.0012352592397391132</x:v>
      </x:c>
      <x:c r="L505" s="46" t="n">
        <x:v>0</x:v>
      </x:c>
      <x:c r="M505" s="46" t="n">
        <x:v>0</x:v>
      </x:c>
      <x:c r="N505" s="21" t="n">
        <x:f>IF(AND(L504=1,M504=1,P504&gt;0),1,0)</x:f>
        <x:v>0</x:v>
      </x:c>
      <x:c r="O505" s="21" t="n">
        <x:f>MIN('Root Data'!I154:I156)</x:f>
        <x:v>0</x:v>
      </x:c>
      <x:c r="P505" s="44" t="n">
        <x:f>IF(AND(L505=1,M505=1,N505=1,O505&gt;=G505),K505,0)</x:f>
        <x:v>0</x:v>
      </x:c>
      <x:c r="Q505" s="21" t="str">
        <x:v>OPEN</x:v>
      </x:c>
      <x:c r="R505" s="23" t="str">
        <x:v>HOLD</x:v>
      </x:c>
    </x:row>
    <x:row r="506">
      <x:c r="B506" s="21" t="str">
        <x:v>AR-00500</x:v>
      </x:c>
      <x:c r="C506" s="21" t="str">
        <x:v>F13-I2</x:v>
      </x:c>
      <x:c r="D506" s="21" t="str">
        <x:v>F13</x:v>
      </x:c>
      <x:c r="E506" s="21" t="n">
        <x:v>10</x:v>
      </x:c>
      <x:c r="F506" s="21" t="str">
        <x:v>Mobilization activation</x:v>
      </x:c>
      <x:c r="G506" s="21" t="n">
        <x:v>28</x:v>
      </x:c>
      <x:c r="H506" s="21" t="str">
        <x:v>Production Release Board</x:v>
      </x:c>
      <x:c r="I506" s="44" t="n">
        <x:f>Lifecycle!G16</x:f>
        <x:v>0.028262731405230914</x:v>
      </x:c>
      <x:c r="J506" s="44" t="n">
        <x:v>0.075</x:v>
      </x:c>
      <x:c r="K506" s="44" t="n">
        <x:f>I506*J506</x:f>
        <x:v>0.0021197048553923186</x:v>
      </x:c>
      <x:c r="L506" s="46" t="n">
        <x:v>0</x:v>
      </x:c>
      <x:c r="M506" s="46" t="n">
        <x:v>0</x:v>
      </x:c>
      <x:c r="N506" s="21" t="n">
        <x:f>IF(AND(L505=1,M505=1,P505&gt;0),1,0)</x:f>
        <x:v>0</x:v>
      </x:c>
      <x:c r="O506" s="21" t="n">
        <x:f>MIN('Root Data'!I154:I156)</x:f>
        <x:v>0</x:v>
      </x:c>
      <x:c r="P506" s="44" t="n">
        <x:f>IF(AND(L506=1,M506=1,N506=1,O506&gt;=G506),K506,0)</x:f>
        <x:v>0</x:v>
      </x:c>
      <x:c r="Q506" s="21" t="str">
        <x:v>OPEN</x:v>
      </x:c>
      <x:c r="R506" s="23" t="str">
        <x:v>HOLD</x:v>
      </x:c>
    </x:row>
    <x:row r="507">
      <x:c r="B507" s="21" t="str">
        <x:v>AR-00501</x:v>
      </x:c>
      <x:c r="C507" s="21" t="str">
        <x:v>F13-I3</x:v>
      </x:c>
      <x:c r="D507" s="21" t="str">
        <x:v>F13</x:v>
      </x:c>
      <x:c r="E507" s="21" t="n">
        <x:v>1</x:v>
      </x:c>
      <x:c r="F507" s="21" t="str">
        <x:v>Civil effect charter</x:v>
      </x:c>
      <x:c r="G507" s="21" t="n">
        <x:v>0</x:v>
      </x:c>
      <x:c r="H507" s="21" t="str">
        <x:v>Civil Guarantee Authority</x:v>
      </x:c>
      <x:c r="I507" s="44" t="n">
        <x:f>Lifecycle!G7</x:f>
        <x:v>0.04941036958956453</x:v>
      </x:c>
      <x:c r="J507" s="44" t="n">
        <x:v>0.075</x:v>
      </x:c>
      <x:c r="K507" s="44" t="n">
        <x:f>I507*J507</x:f>
        <x:v>0.0037057777192173397</x:v>
      </x:c>
      <x:c r="L507" s="46" t="n">
        <x:v>0</x:v>
      </x:c>
      <x:c r="M507" s="46" t="n">
        <x:v>0</x:v>
      </x:c>
      <x:c r="N507" s="21" t="n">
        <x:f>1</x:f>
        <x:v>1</x:v>
      </x:c>
      <x:c r="O507" s="21" t="n">
        <x:f>MIN('Root Data'!I157:I159)</x:f>
        <x:v>0</x:v>
      </x:c>
      <x:c r="P507" s="44" t="n">
        <x:f>IF(AND(L507=1,M507=1,N507=1,O507&gt;=G507),K507,0)</x:f>
        <x:v>0</x:v>
      </x:c>
      <x:c r="Q507" s="21" t="str">
        <x:v>OPEN</x:v>
      </x:c>
      <x:c r="R507" s="23" t="str">
        <x:v>HOLD</x:v>
      </x:c>
    </x:row>
    <x:row r="508">
      <x:c r="B508" s="21" t="str">
        <x:v>AR-00502</x:v>
      </x:c>
      <x:c r="C508" s="21" t="str">
        <x:v>F13-I3</x:v>
      </x:c>
      <x:c r="D508" s="21" t="str">
        <x:v>F13</x:v>
      </x:c>
      <x:c r="E508" s="21" t="n">
        <x:v>2</x:v>
      </x:c>
      <x:c r="F508" s="21" t="str">
        <x:v>Requirement and root-independence package</x:v>
      </x:c>
      <x:c r="G508" s="21" t="n">
        <x:v>8</x:v>
      </x:c>
      <x:c r="H508" s="21" t="str">
        <x:v>Resilience Staff</x:v>
      </x:c>
      <x:c r="I508" s="44" t="n">
        <x:f>Lifecycle!G8</x:f>
        <x:v>0.10211476381843337</x:v>
      </x:c>
      <x:c r="J508" s="44" t="n">
        <x:v>0.075</x:v>
      </x:c>
      <x:c r="K508" s="44" t="n">
        <x:f>I508*J508</x:f>
        <x:v>0.007658607286382502</x:v>
      </x:c>
      <x:c r="L508" s="46" t="n">
        <x:v>0</x:v>
      </x:c>
      <x:c r="M508" s="46" t="n">
        <x:v>0</x:v>
      </x:c>
      <x:c r="N508" s="21" t="n">
        <x:f>IF(AND(L507=1,M507=1,P507&gt;0),1,0)</x:f>
        <x:v>0</x:v>
      </x:c>
      <x:c r="O508" s="21" t="n">
        <x:f>MIN('Root Data'!I157:I159)</x:f>
        <x:v>0</x:v>
      </x:c>
      <x:c r="P508" s="44" t="n">
        <x:f>IF(AND(L508=1,M508=1,N508=1,O508&gt;=G508),K508,0)</x:f>
        <x:v>0</x:v>
      </x:c>
      <x:c r="Q508" s="21" t="str">
        <x:v>OPEN</x:v>
      </x:c>
      <x:c r="R508" s="23" t="str">
        <x:v>HOLD</x:v>
      </x:c>
    </x:row>
    <x:row r="509">
      <x:c r="B509" s="21" t="str">
        <x:v>AR-00503</x:v>
      </x:c>
      <x:c r="C509" s="21" t="str">
        <x:v>F13-I3</x:v>
      </x:c>
      <x:c r="D509" s="21" t="str">
        <x:v>F13</x:v>
      </x:c>
      <x:c r="E509" s="21" t="n">
        <x:v>3</x:v>
      </x:c>
      <x:c r="F509" s="21" t="str">
        <x:v>Architecture and burden closure</x:v>
      </x:c>
      <x:c r="G509" s="21" t="n">
        <x:v>14</x:v>
      </x:c>
      <x:c r="H509" s="21" t="str">
        <x:v>Independent Evidence and Data Authority</x:v>
      </x:c>
      <x:c r="I509" s="44" t="n">
        <x:f>Lifecycle!G9</x:f>
        <x:v>0.08564464062191186</x:v>
      </x:c>
      <x:c r="J509" s="44" t="n">
        <x:v>0.075</x:v>
      </x:c>
      <x:c r="K509" s="44" t="n">
        <x:f>I509*J509</x:f>
        <x:v>0.006423348046643389</x:v>
      </x:c>
      <x:c r="L509" s="46" t="n">
        <x:v>0</x:v>
      </x:c>
      <x:c r="M509" s="46" t="n">
        <x:v>0</x:v>
      </x:c>
      <x:c r="N509" s="21" t="n">
        <x:f>IF(AND(L508=1,M508=1,P508&gt;0),1,0)</x:f>
        <x:v>0</x:v>
      </x:c>
      <x:c r="O509" s="21" t="n">
        <x:f>MIN('Root Data'!I157:I159)</x:f>
        <x:v>0</x:v>
      </x:c>
      <x:c r="P509" s="44" t="n">
        <x:f>IF(AND(L509=1,M509=1,N509=1,O509&gt;=G509),K509,0)</x:f>
        <x:v>0</x:v>
      </x:c>
      <x:c r="Q509" s="21" t="str">
        <x:v>OPEN</x:v>
      </x:c>
      <x:c r="R509" s="23" t="str">
        <x:v>HOLD</x:v>
      </x:c>
    </x:row>
    <x:row r="510">
      <x:c r="B510" s="21" t="str">
        <x:v>AR-00504</x:v>
      </x:c>
      <x:c r="C510" s="21" t="str">
        <x:v>F13-I3</x:v>
      </x:c>
      <x:c r="D510" s="21" t="str">
        <x:v>F13</x:v>
      </x:c>
      <x:c r="E510" s="21" t="n">
        <x:v>4</x:v>
      </x:c>
      <x:c r="F510" s="21" t="str">
        <x:v>Engineering article acceptance</x:v>
      </x:c>
      <x:c r="G510" s="21" t="n">
        <x:v>18</x:v>
      </x:c>
      <x:c r="H510" s="21" t="str">
        <x:v>Independent Evidence and Data Authority</x:v>
      </x:c>
      <x:c r="I510" s="44" t="n">
        <x:f>Lifecycle!G10</x:f>
        <x:v>0.05929244350747744</x:v>
      </x:c>
      <x:c r="J510" s="44" t="n">
        <x:v>0.075</x:v>
      </x:c>
      <x:c r="K510" s="44" t="n">
        <x:f>I510*J510</x:f>
        <x:v>0.004446933263060808</x:v>
      </x:c>
      <x:c r="L510" s="46" t="n">
        <x:v>0</x:v>
      </x:c>
      <x:c r="M510" s="46" t="n">
        <x:v>0</x:v>
      </x:c>
      <x:c r="N510" s="21" t="n">
        <x:f>IF(AND(L509=1,M509=1,P509&gt;0),1,0)</x:f>
        <x:v>0</x:v>
      </x:c>
      <x:c r="O510" s="21" t="n">
        <x:f>MIN('Root Data'!I157:I159)</x:f>
        <x:v>0</x:v>
      </x:c>
      <x:c r="P510" s="44" t="n">
        <x:f>IF(AND(L510=1,M510=1,N510=1,O510&gt;=G510),K510,0)</x:f>
        <x:v>0</x:v>
      </x:c>
      <x:c r="Q510" s="21" t="str">
        <x:v>OPEN</x:v>
      </x:c>
      <x:c r="R510" s="23" t="str">
        <x:v>HOLD</x:v>
      </x:c>
    </x:row>
    <x:row r="511">
      <x:c r="B511" s="21" t="str">
        <x:v>AR-00505</x:v>
      </x:c>
      <x:c r="C511" s="21" t="str">
        <x:v>F13-I3</x:v>
      </x:c>
      <x:c r="D511" s="21" t="str">
        <x:v>F13</x:v>
      </x:c>
      <x:c r="E511" s="21" t="n">
        <x:v>5</x:v>
      </x:c>
      <x:c r="F511" s="21" t="str">
        <x:v>Qualification and destructive evidence</x:v>
      </x:c>
      <x:c r="G511" s="21" t="n">
        <x:v>21</x:v>
      </x:c>
      <x:c r="H511" s="21" t="str">
        <x:v>Independent Evidence and Data Authority</x:v>
      </x:c>
      <x:c r="I511" s="44" t="n">
        <x:f>Lifecycle!G11</x:f>
        <x:v>0.1515251334079979</x:v>
      </x:c>
      <x:c r="J511" s="44" t="n">
        <x:v>0.075</x:v>
      </x:c>
      <x:c r="K511" s="44" t="n">
        <x:f>I511*J511</x:f>
        <x:v>0.011364385005599841</x:v>
      </x:c>
      <x:c r="L511" s="46" t="n">
        <x:v>0</x:v>
      </x:c>
      <x:c r="M511" s="46" t="n">
        <x:v>0</x:v>
      </x:c>
      <x:c r="N511" s="21" t="n">
        <x:f>IF(AND(L510=1,M510=1,P510&gt;0),1,0)</x:f>
        <x:v>0</x:v>
      </x:c>
      <x:c r="O511" s="21" t="n">
        <x:f>MIN('Root Data'!I157:I159)</x:f>
        <x:v>0</x:v>
      </x:c>
      <x:c r="P511" s="44" t="n">
        <x:f>IF(AND(L511=1,M511=1,N511=1,O511&gt;=G511),K511,0)</x:f>
        <x:v>0</x:v>
      </x:c>
      <x:c r="Q511" s="21" t="str">
        <x:v>OPEN</x:v>
      </x:c>
      <x:c r="R511" s="23" t="str">
        <x:v>HOLD</x:v>
      </x:c>
    </x:row>
    <x:row r="512">
      <x:c r="B512" s="21" t="str">
        <x:v>AR-00506</x:v>
      </x:c>
      <x:c r="C512" s="21" t="str">
        <x:v>F13-I3</x:v>
      </x:c>
      <x:c r="D512" s="21" t="str">
        <x:v>F13</x:v>
      </x:c>
      <x:c r="E512" s="21" t="n">
        <x:v>6</x:v>
      </x:c>
      <x:c r="F512" s="21" t="str">
        <x:v>Representative mission result</x:v>
      </x:c>
      <x:c r="G512" s="21" t="n">
        <x:v>23</x:v>
      </x:c>
      <x:c r="H512" s="21" t="str">
        <x:v>Receiving Service Authority</x:v>
      </x:c>
      <x:c r="I512" s="44" t="n">
        <x:f>Lifecycle!G12</x:f>
        <x:v>0.250345872587127</x:v>
      </x:c>
      <x:c r="J512" s="44" t="n">
        <x:v>0.075</x:v>
      </x:c>
      <x:c r="K512" s="44" t="n">
        <x:f>I512*J512</x:f>
        <x:v>0.018775940444034522</x:v>
      </x:c>
      <x:c r="L512" s="46" t="n">
        <x:v>0</x:v>
      </x:c>
      <x:c r="M512" s="46" t="n">
        <x:v>0</x:v>
      </x:c>
      <x:c r="N512" s="21" t="n">
        <x:f>IF(AND(L511=1,M511=1,P511&gt;0),1,0)</x:f>
        <x:v>0</x:v>
      </x:c>
      <x:c r="O512" s="21" t="n">
        <x:f>MIN('Root Data'!I157:I159)</x:f>
        <x:v>0</x:v>
      </x:c>
      <x:c r="P512" s="44" t="n">
        <x:f>IF(AND(L512=1,M512=1,N512=1,O512&gt;=G512),K512,0)</x:f>
        <x:v>0</x:v>
      </x:c>
      <x:c r="Q512" s="21" t="str">
        <x:v>OPEN</x:v>
      </x:c>
      <x:c r="R512" s="23" t="str">
        <x:v>HOLD</x:v>
      </x:c>
    </x:row>
    <x:row r="513">
      <x:c r="B513" s="21" t="str">
        <x:v>AR-00507</x:v>
      </x:c>
      <x:c r="C513" s="21" t="str">
        <x:v>F13-I3</x:v>
      </x:c>
      <x:c r="D513" s="21" t="str">
        <x:v>F13</x:v>
      </x:c>
      <x:c r="E513" s="21" t="n">
        <x:v>7</x:v>
      </x:c>
      <x:c r="F513" s="21" t="str">
        <x:v>Independent reproduction</x:v>
      </x:c>
      <x:c r="G513" s="21" t="n">
        <x:v>28</x:v>
      </x:c>
      <x:c r="H513" s="21" t="str">
        <x:v>Independent Evidence and Data Authority</x:v>
      </x:c>
      <x:c r="I513" s="44" t="n">
        <x:f>Lifecycle!G13</x:f>
        <x:v>0.21740562619408393</x:v>
      </x:c>
      <x:c r="J513" s="44" t="n">
        <x:v>0.075</x:v>
      </x:c>
      <x:c r="K513" s="44" t="n">
        <x:f>I513*J513</x:f>
        <x:v>0.016305421964556293</x:v>
      </x:c>
      <x:c r="L513" s="46" t="n">
        <x:v>0</x:v>
      </x:c>
      <x:c r="M513" s="46" t="n">
        <x:v>0</x:v>
      </x:c>
      <x:c r="N513" s="21" t="n">
        <x:f>IF(AND(L512=1,M512=1,P512&gt;0),1,0)</x:f>
        <x:v>0</x:v>
      </x:c>
      <x:c r="O513" s="21" t="n">
        <x:f>MIN('Root Data'!I157:I159)</x:f>
        <x:v>0</x:v>
      </x:c>
      <x:c r="P513" s="44" t="n">
        <x:f>IF(AND(L513=1,M513=1,N513=1,O513&gt;=G513),K513,0)</x:f>
        <x:v>0</x:v>
      </x:c>
      <x:c r="Q513" s="21" t="str">
        <x:v>OPEN</x:v>
      </x:c>
      <x:c r="R513" s="23" t="str">
        <x:v>HOLD</x:v>
      </x:c>
    </x:row>
    <x:row r="514">
      <x:c r="B514" s="21" t="str">
        <x:v>AR-00508</x:v>
      </x:c>
      <x:c r="C514" s="21" t="str">
        <x:v>F13-I3</x:v>
      </x:c>
      <x:c r="D514" s="21" t="str">
        <x:v>F13</x:v>
      </x:c>
      <x:c r="E514" s="21" t="n">
        <x:v>8</x:v>
      </x:c>
      <x:c r="F514" s="21" t="str">
        <x:v>Pilot-process qualification</x:v>
      </x:c>
      <x:c r="G514" s="21" t="n">
        <x:v>28</x:v>
      </x:c>
      <x:c r="H514" s="21" t="str">
        <x:v>AIMC Industrial Mobilization Authority</x:v>
      </x:c>
      <x:c r="I514" s="44" t="n">
        <x:f>Lifecycle!G14</x:f>
        <x:v>0.03952829567165163</x:v>
      </x:c>
      <x:c r="J514" s="44" t="n">
        <x:v>0.075</x:v>
      </x:c>
      <x:c r="K514" s="44" t="n">
        <x:f>I514*J514</x:f>
        <x:v>0.002964622175373872</x:v>
      </x:c>
      <x:c r="L514" s="46" t="n">
        <x:v>0</x:v>
      </x:c>
      <x:c r="M514" s="46" t="n">
        <x:v>0</x:v>
      </x:c>
      <x:c r="N514" s="21" t="n">
        <x:f>IF(AND(L513=1,M513=1,P513&gt;0),1,0)</x:f>
        <x:v>0</x:v>
      </x:c>
      <x:c r="O514" s="21" t="n">
        <x:f>MIN('Root Data'!I157:I159)</x:f>
        <x:v>0</x:v>
      </x:c>
      <x:c r="P514" s="44" t="n">
        <x:f>IF(AND(L514=1,M514=1,N514=1,O514&gt;=G514),K514,0)</x:f>
        <x:v>0</x:v>
      </x:c>
      <x:c r="Q514" s="21" t="str">
        <x:v>OPEN</x:v>
      </x:c>
      <x:c r="R514" s="23" t="str">
        <x:v>HOLD</x:v>
      </x:c>
    </x:row>
    <x:row r="515">
      <x:c r="B515" s="21" t="str">
        <x:v>AR-00509</x:v>
      </x:c>
      <x:c r="C515" s="21" t="str">
        <x:v>F13-I3</x:v>
      </x:c>
      <x:c r="D515" s="21" t="str">
        <x:v>F13</x:v>
      </x:c>
      <x:c r="E515" s="21" t="n">
        <x:v>9</x:v>
      </x:c>
      <x:c r="F515" s="21" t="str">
        <x:v>Production release package</x:v>
      </x:c>
      <x:c r="G515" s="21" t="n">
        <x:v>28</x:v>
      </x:c>
      <x:c r="H515" s="21" t="str">
        <x:v>Production Release Board</x:v>
      </x:c>
      <x:c r="I515" s="44" t="n">
        <x:f>Lifecycle!G15</x:f>
        <x:v>0.01647012319652151</x:v>
      </x:c>
      <x:c r="J515" s="44" t="n">
        <x:v>0.075</x:v>
      </x:c>
      <x:c r="K515" s="44" t="n">
        <x:f>I515*J515</x:f>
        <x:v>0.0012352592397391132</x:v>
      </x:c>
      <x:c r="L515" s="46" t="n">
        <x:v>0</x:v>
      </x:c>
      <x:c r="M515" s="46" t="n">
        <x:v>0</x:v>
      </x:c>
      <x:c r="N515" s="21" t="n">
        <x:f>IF(AND(L514=1,M514=1,P514&gt;0),1,0)</x:f>
        <x:v>0</x:v>
      </x:c>
      <x:c r="O515" s="21" t="n">
        <x:f>MIN('Root Data'!I157:I159)</x:f>
        <x:v>0</x:v>
      </x:c>
      <x:c r="P515" s="44" t="n">
        <x:f>IF(AND(L515=1,M515=1,N515=1,O515&gt;=G515),K515,0)</x:f>
        <x:v>0</x:v>
      </x:c>
      <x:c r="Q515" s="21" t="str">
        <x:v>OPEN</x:v>
      </x:c>
      <x:c r="R515" s="23" t="str">
        <x:v>HOLD</x:v>
      </x:c>
    </x:row>
    <x:row r="516">
      <x:c r="B516" s="21" t="str">
        <x:v>AR-00510</x:v>
      </x:c>
      <x:c r="C516" s="21" t="str">
        <x:v>F13-I3</x:v>
      </x:c>
      <x:c r="D516" s="21" t="str">
        <x:v>F13</x:v>
      </x:c>
      <x:c r="E516" s="21" t="n">
        <x:v>10</x:v>
      </x:c>
      <x:c r="F516" s="21" t="str">
        <x:v>Mobilization activation</x:v>
      </x:c>
      <x:c r="G516" s="21" t="n">
        <x:v>28</x:v>
      </x:c>
      <x:c r="H516" s="21" t="str">
        <x:v>Production Release Board</x:v>
      </x:c>
      <x:c r="I516" s="44" t="n">
        <x:f>Lifecycle!G16</x:f>
        <x:v>0.028262731405230914</x:v>
      </x:c>
      <x:c r="J516" s="44" t="n">
        <x:v>0.075</x:v>
      </x:c>
      <x:c r="K516" s="44" t="n">
        <x:f>I516*J516</x:f>
        <x:v>0.0021197048553923186</x:v>
      </x:c>
      <x:c r="L516" s="46" t="n">
        <x:v>0</x:v>
      </x:c>
      <x:c r="M516" s="46" t="n">
        <x:v>0</x:v>
      </x:c>
      <x:c r="N516" s="21" t="n">
        <x:f>IF(AND(L515=1,M515=1,P515&gt;0),1,0)</x:f>
        <x:v>0</x:v>
      </x:c>
      <x:c r="O516" s="21" t="n">
        <x:f>MIN('Root Data'!I157:I159)</x:f>
        <x:v>0</x:v>
      </x:c>
      <x:c r="P516" s="44" t="n">
        <x:f>IF(AND(L516=1,M516=1,N516=1,O516&gt;=G516),K516,0)</x:f>
        <x:v>0</x:v>
      </x:c>
      <x:c r="Q516" s="21" t="str">
        <x:v>OPEN</x:v>
      </x:c>
      <x:c r="R516" s="23" t="str">
        <x:v>HOLD</x:v>
      </x:c>
    </x:row>
    <x:row r="517">
      <x:c r="B517" s="21" t="str">
        <x:v>AR-00511</x:v>
      </x:c>
      <x:c r="C517" s="21" t="str">
        <x:v>F13-I4</x:v>
      </x:c>
      <x:c r="D517" s="21" t="str">
        <x:v>F13</x:v>
      </x:c>
      <x:c r="E517" s="21" t="n">
        <x:v>1</x:v>
      </x:c>
      <x:c r="F517" s="21" t="str">
        <x:v>Civil effect charter</x:v>
      </x:c>
      <x:c r="G517" s="21" t="n">
        <x:v>0</x:v>
      </x:c>
      <x:c r="H517" s="21" t="str">
        <x:v>Civil Guarantee Authority</x:v>
      </x:c>
      <x:c r="I517" s="44" t="n">
        <x:f>Lifecycle!G7</x:f>
        <x:v>0.04941036958956453</x:v>
      </x:c>
      <x:c r="J517" s="44" t="n">
        <x:v>0.075</x:v>
      </x:c>
      <x:c r="K517" s="44" t="n">
        <x:f>I517*J517</x:f>
        <x:v>0.0037057777192173397</x:v>
      </x:c>
      <x:c r="L517" s="46" t="n">
        <x:v>0</x:v>
      </x:c>
      <x:c r="M517" s="46" t="n">
        <x:v>0</x:v>
      </x:c>
      <x:c r="N517" s="21" t="n">
        <x:f>1</x:f>
        <x:v>1</x:v>
      </x:c>
      <x:c r="O517" s="21" t="n">
        <x:f>MIN('Root Data'!I160:I162)</x:f>
        <x:v>0</x:v>
      </x:c>
      <x:c r="P517" s="44" t="n">
        <x:f>IF(AND(L517=1,M517=1,N517=1,O517&gt;=G517),K517,0)</x:f>
        <x:v>0</x:v>
      </x:c>
      <x:c r="Q517" s="21" t="str">
        <x:v>OPEN</x:v>
      </x:c>
      <x:c r="R517" s="23" t="str">
        <x:v>HOLD</x:v>
      </x:c>
    </x:row>
    <x:row r="518">
      <x:c r="B518" s="21" t="str">
        <x:v>AR-00512</x:v>
      </x:c>
      <x:c r="C518" s="21" t="str">
        <x:v>F13-I4</x:v>
      </x:c>
      <x:c r="D518" s="21" t="str">
        <x:v>F13</x:v>
      </x:c>
      <x:c r="E518" s="21" t="n">
        <x:v>2</x:v>
      </x:c>
      <x:c r="F518" s="21" t="str">
        <x:v>Requirement and root-independence package</x:v>
      </x:c>
      <x:c r="G518" s="21" t="n">
        <x:v>8</x:v>
      </x:c>
      <x:c r="H518" s="21" t="str">
        <x:v>Resilience Staff</x:v>
      </x:c>
      <x:c r="I518" s="44" t="n">
        <x:f>Lifecycle!G8</x:f>
        <x:v>0.10211476381843337</x:v>
      </x:c>
      <x:c r="J518" s="44" t="n">
        <x:v>0.075</x:v>
      </x:c>
      <x:c r="K518" s="44" t="n">
        <x:f>I518*J518</x:f>
        <x:v>0.007658607286382502</x:v>
      </x:c>
      <x:c r="L518" s="46" t="n">
        <x:v>0</x:v>
      </x:c>
      <x:c r="M518" s="46" t="n">
        <x:v>0</x:v>
      </x:c>
      <x:c r="N518" s="21" t="n">
        <x:f>IF(AND(L517=1,M517=1,P517&gt;0),1,0)</x:f>
        <x:v>0</x:v>
      </x:c>
      <x:c r="O518" s="21" t="n">
        <x:f>MIN('Root Data'!I160:I162)</x:f>
        <x:v>0</x:v>
      </x:c>
      <x:c r="P518" s="44" t="n">
        <x:f>IF(AND(L518=1,M518=1,N518=1,O518&gt;=G518),K518,0)</x:f>
        <x:v>0</x:v>
      </x:c>
      <x:c r="Q518" s="21" t="str">
        <x:v>OPEN</x:v>
      </x:c>
      <x:c r="R518" s="23" t="str">
        <x:v>HOLD</x:v>
      </x:c>
    </x:row>
    <x:row r="519">
      <x:c r="B519" s="21" t="str">
        <x:v>AR-00513</x:v>
      </x:c>
      <x:c r="C519" s="21" t="str">
        <x:v>F13-I4</x:v>
      </x:c>
      <x:c r="D519" s="21" t="str">
        <x:v>F13</x:v>
      </x:c>
      <x:c r="E519" s="21" t="n">
        <x:v>3</x:v>
      </x:c>
      <x:c r="F519" s="21" t="str">
        <x:v>Architecture and burden closure</x:v>
      </x:c>
      <x:c r="G519" s="21" t="n">
        <x:v>14</x:v>
      </x:c>
      <x:c r="H519" s="21" t="str">
        <x:v>Independent Evidence and Data Authority</x:v>
      </x:c>
      <x:c r="I519" s="44" t="n">
        <x:f>Lifecycle!G9</x:f>
        <x:v>0.08564464062191186</x:v>
      </x:c>
      <x:c r="J519" s="44" t="n">
        <x:v>0.075</x:v>
      </x:c>
      <x:c r="K519" s="44" t="n">
        <x:f>I519*J519</x:f>
        <x:v>0.006423348046643389</x:v>
      </x:c>
      <x:c r="L519" s="46" t="n">
        <x:v>0</x:v>
      </x:c>
      <x:c r="M519" s="46" t="n">
        <x:v>0</x:v>
      </x:c>
      <x:c r="N519" s="21" t="n">
        <x:f>IF(AND(L518=1,M518=1,P518&gt;0),1,0)</x:f>
        <x:v>0</x:v>
      </x:c>
      <x:c r="O519" s="21" t="n">
        <x:f>MIN('Root Data'!I160:I162)</x:f>
        <x:v>0</x:v>
      </x:c>
      <x:c r="P519" s="44" t="n">
        <x:f>IF(AND(L519=1,M519=1,N519=1,O519&gt;=G519),K519,0)</x:f>
        <x:v>0</x:v>
      </x:c>
      <x:c r="Q519" s="21" t="str">
        <x:v>OPEN</x:v>
      </x:c>
      <x:c r="R519" s="23" t="str">
        <x:v>HOLD</x:v>
      </x:c>
    </x:row>
    <x:row r="520">
      <x:c r="B520" s="21" t="str">
        <x:v>AR-00514</x:v>
      </x:c>
      <x:c r="C520" s="21" t="str">
        <x:v>F13-I4</x:v>
      </x:c>
      <x:c r="D520" s="21" t="str">
        <x:v>F13</x:v>
      </x:c>
      <x:c r="E520" s="21" t="n">
        <x:v>4</x:v>
      </x:c>
      <x:c r="F520" s="21" t="str">
        <x:v>Engineering article acceptance</x:v>
      </x:c>
      <x:c r="G520" s="21" t="n">
        <x:v>18</x:v>
      </x:c>
      <x:c r="H520" s="21" t="str">
        <x:v>Independent Evidence and Data Authority</x:v>
      </x:c>
      <x:c r="I520" s="44" t="n">
        <x:f>Lifecycle!G10</x:f>
        <x:v>0.05929244350747744</x:v>
      </x:c>
      <x:c r="J520" s="44" t="n">
        <x:v>0.075</x:v>
      </x:c>
      <x:c r="K520" s="44" t="n">
        <x:f>I520*J520</x:f>
        <x:v>0.004446933263060808</x:v>
      </x:c>
      <x:c r="L520" s="46" t="n">
        <x:v>0</x:v>
      </x:c>
      <x:c r="M520" s="46" t="n">
        <x:v>0</x:v>
      </x:c>
      <x:c r="N520" s="21" t="n">
        <x:f>IF(AND(L519=1,M519=1,P519&gt;0),1,0)</x:f>
        <x:v>0</x:v>
      </x:c>
      <x:c r="O520" s="21" t="n">
        <x:f>MIN('Root Data'!I160:I162)</x:f>
        <x:v>0</x:v>
      </x:c>
      <x:c r="P520" s="44" t="n">
        <x:f>IF(AND(L520=1,M520=1,N520=1,O520&gt;=G520),K520,0)</x:f>
        <x:v>0</x:v>
      </x:c>
      <x:c r="Q520" s="21" t="str">
        <x:v>OPEN</x:v>
      </x:c>
      <x:c r="R520" s="23" t="str">
        <x:v>HOLD</x:v>
      </x:c>
    </x:row>
    <x:row r="521">
      <x:c r="B521" s="21" t="str">
        <x:v>AR-00515</x:v>
      </x:c>
      <x:c r="C521" s="21" t="str">
        <x:v>F13-I4</x:v>
      </x:c>
      <x:c r="D521" s="21" t="str">
        <x:v>F13</x:v>
      </x:c>
      <x:c r="E521" s="21" t="n">
        <x:v>5</x:v>
      </x:c>
      <x:c r="F521" s="21" t="str">
        <x:v>Qualification and destructive evidence</x:v>
      </x:c>
      <x:c r="G521" s="21" t="n">
        <x:v>21</x:v>
      </x:c>
      <x:c r="H521" s="21" t="str">
        <x:v>Independent Evidence and Data Authority</x:v>
      </x:c>
      <x:c r="I521" s="44" t="n">
        <x:f>Lifecycle!G11</x:f>
        <x:v>0.1515251334079979</x:v>
      </x:c>
      <x:c r="J521" s="44" t="n">
        <x:v>0.075</x:v>
      </x:c>
      <x:c r="K521" s="44" t="n">
        <x:f>I521*J521</x:f>
        <x:v>0.011364385005599841</x:v>
      </x:c>
      <x:c r="L521" s="46" t="n">
        <x:v>0</x:v>
      </x:c>
      <x:c r="M521" s="46" t="n">
        <x:v>0</x:v>
      </x:c>
      <x:c r="N521" s="21" t="n">
        <x:f>IF(AND(L520=1,M520=1,P520&gt;0),1,0)</x:f>
        <x:v>0</x:v>
      </x:c>
      <x:c r="O521" s="21" t="n">
        <x:f>MIN('Root Data'!I160:I162)</x:f>
        <x:v>0</x:v>
      </x:c>
      <x:c r="P521" s="44" t="n">
        <x:f>IF(AND(L521=1,M521=1,N521=1,O521&gt;=G521),K521,0)</x:f>
        <x:v>0</x:v>
      </x:c>
      <x:c r="Q521" s="21" t="str">
        <x:v>OPEN</x:v>
      </x:c>
      <x:c r="R521" s="23" t="str">
        <x:v>HOLD</x:v>
      </x:c>
    </x:row>
    <x:row r="522">
      <x:c r="B522" s="21" t="str">
        <x:v>AR-00516</x:v>
      </x:c>
      <x:c r="C522" s="21" t="str">
        <x:v>F13-I4</x:v>
      </x:c>
      <x:c r="D522" s="21" t="str">
        <x:v>F13</x:v>
      </x:c>
      <x:c r="E522" s="21" t="n">
        <x:v>6</x:v>
      </x:c>
      <x:c r="F522" s="21" t="str">
        <x:v>Representative mission result</x:v>
      </x:c>
      <x:c r="G522" s="21" t="n">
        <x:v>23</x:v>
      </x:c>
      <x:c r="H522" s="21" t="str">
        <x:v>Receiving Service Authority</x:v>
      </x:c>
      <x:c r="I522" s="44" t="n">
        <x:f>Lifecycle!G12</x:f>
        <x:v>0.250345872587127</x:v>
      </x:c>
      <x:c r="J522" s="44" t="n">
        <x:v>0.075</x:v>
      </x:c>
      <x:c r="K522" s="44" t="n">
        <x:f>I522*J522</x:f>
        <x:v>0.018775940444034522</x:v>
      </x:c>
      <x:c r="L522" s="46" t="n">
        <x:v>0</x:v>
      </x:c>
      <x:c r="M522" s="46" t="n">
        <x:v>0</x:v>
      </x:c>
      <x:c r="N522" s="21" t="n">
        <x:f>IF(AND(L521=1,M521=1,P521&gt;0),1,0)</x:f>
        <x:v>0</x:v>
      </x:c>
      <x:c r="O522" s="21" t="n">
        <x:f>MIN('Root Data'!I160:I162)</x:f>
        <x:v>0</x:v>
      </x:c>
      <x:c r="P522" s="44" t="n">
        <x:f>IF(AND(L522=1,M522=1,N522=1,O522&gt;=G522),K522,0)</x:f>
        <x:v>0</x:v>
      </x:c>
      <x:c r="Q522" s="21" t="str">
        <x:v>OPEN</x:v>
      </x:c>
      <x:c r="R522" s="23" t="str">
        <x:v>HOLD</x:v>
      </x:c>
    </x:row>
    <x:row r="523">
      <x:c r="B523" s="21" t="str">
        <x:v>AR-00517</x:v>
      </x:c>
      <x:c r="C523" s="21" t="str">
        <x:v>F13-I4</x:v>
      </x:c>
      <x:c r="D523" s="21" t="str">
        <x:v>F13</x:v>
      </x:c>
      <x:c r="E523" s="21" t="n">
        <x:v>7</x:v>
      </x:c>
      <x:c r="F523" s="21" t="str">
        <x:v>Independent reproduction</x:v>
      </x:c>
      <x:c r="G523" s="21" t="n">
        <x:v>28</x:v>
      </x:c>
      <x:c r="H523" s="21" t="str">
        <x:v>Independent Evidence and Data Authority</x:v>
      </x:c>
      <x:c r="I523" s="44" t="n">
        <x:f>Lifecycle!G13</x:f>
        <x:v>0.21740562619408393</x:v>
      </x:c>
      <x:c r="J523" s="44" t="n">
        <x:v>0.075</x:v>
      </x:c>
      <x:c r="K523" s="44" t="n">
        <x:f>I523*J523</x:f>
        <x:v>0.016305421964556293</x:v>
      </x:c>
      <x:c r="L523" s="46" t="n">
        <x:v>0</x:v>
      </x:c>
      <x:c r="M523" s="46" t="n">
        <x:v>0</x:v>
      </x:c>
      <x:c r="N523" s="21" t="n">
        <x:f>IF(AND(L522=1,M522=1,P522&gt;0),1,0)</x:f>
        <x:v>0</x:v>
      </x:c>
      <x:c r="O523" s="21" t="n">
        <x:f>MIN('Root Data'!I160:I162)</x:f>
        <x:v>0</x:v>
      </x:c>
      <x:c r="P523" s="44" t="n">
        <x:f>IF(AND(L523=1,M523=1,N523=1,O523&gt;=G523),K523,0)</x:f>
        <x:v>0</x:v>
      </x:c>
      <x:c r="Q523" s="21" t="str">
        <x:v>OPEN</x:v>
      </x:c>
      <x:c r="R523" s="23" t="str">
        <x:v>HOLD</x:v>
      </x:c>
    </x:row>
    <x:row r="524">
      <x:c r="B524" s="21" t="str">
        <x:v>AR-00518</x:v>
      </x:c>
      <x:c r="C524" s="21" t="str">
        <x:v>F13-I4</x:v>
      </x:c>
      <x:c r="D524" s="21" t="str">
        <x:v>F13</x:v>
      </x:c>
      <x:c r="E524" s="21" t="n">
        <x:v>8</x:v>
      </x:c>
      <x:c r="F524" s="21" t="str">
        <x:v>Pilot-process qualification</x:v>
      </x:c>
      <x:c r="G524" s="21" t="n">
        <x:v>28</x:v>
      </x:c>
      <x:c r="H524" s="21" t="str">
        <x:v>AIMC Industrial Mobilization Authority</x:v>
      </x:c>
      <x:c r="I524" s="44" t="n">
        <x:f>Lifecycle!G14</x:f>
        <x:v>0.03952829567165163</x:v>
      </x:c>
      <x:c r="J524" s="44" t="n">
        <x:v>0.075</x:v>
      </x:c>
      <x:c r="K524" s="44" t="n">
        <x:f>I524*J524</x:f>
        <x:v>0.002964622175373872</x:v>
      </x:c>
      <x:c r="L524" s="46" t="n">
        <x:v>0</x:v>
      </x:c>
      <x:c r="M524" s="46" t="n">
        <x:v>0</x:v>
      </x:c>
      <x:c r="N524" s="21" t="n">
        <x:f>IF(AND(L523=1,M523=1,P523&gt;0),1,0)</x:f>
        <x:v>0</x:v>
      </x:c>
      <x:c r="O524" s="21" t="n">
        <x:f>MIN('Root Data'!I160:I162)</x:f>
        <x:v>0</x:v>
      </x:c>
      <x:c r="P524" s="44" t="n">
        <x:f>IF(AND(L524=1,M524=1,N524=1,O524&gt;=G524),K524,0)</x:f>
        <x:v>0</x:v>
      </x:c>
      <x:c r="Q524" s="21" t="str">
        <x:v>OPEN</x:v>
      </x:c>
      <x:c r="R524" s="23" t="str">
        <x:v>HOLD</x:v>
      </x:c>
    </x:row>
    <x:row r="525">
      <x:c r="B525" s="21" t="str">
        <x:v>AR-00519</x:v>
      </x:c>
      <x:c r="C525" s="21" t="str">
        <x:v>F13-I4</x:v>
      </x:c>
      <x:c r="D525" s="21" t="str">
        <x:v>F13</x:v>
      </x:c>
      <x:c r="E525" s="21" t="n">
        <x:v>9</x:v>
      </x:c>
      <x:c r="F525" s="21" t="str">
        <x:v>Production release package</x:v>
      </x:c>
      <x:c r="G525" s="21" t="n">
        <x:v>28</x:v>
      </x:c>
      <x:c r="H525" s="21" t="str">
        <x:v>Production Release Board</x:v>
      </x:c>
      <x:c r="I525" s="44" t="n">
        <x:f>Lifecycle!G15</x:f>
        <x:v>0.01647012319652151</x:v>
      </x:c>
      <x:c r="J525" s="44" t="n">
        <x:v>0.075</x:v>
      </x:c>
      <x:c r="K525" s="44" t="n">
        <x:f>I525*J525</x:f>
        <x:v>0.0012352592397391132</x:v>
      </x:c>
      <x:c r="L525" s="46" t="n">
        <x:v>0</x:v>
      </x:c>
      <x:c r="M525" s="46" t="n">
        <x:v>0</x:v>
      </x:c>
      <x:c r="N525" s="21" t="n">
        <x:f>IF(AND(L524=1,M524=1,P524&gt;0),1,0)</x:f>
        <x:v>0</x:v>
      </x:c>
      <x:c r="O525" s="21" t="n">
        <x:f>MIN('Root Data'!I160:I162)</x:f>
        <x:v>0</x:v>
      </x:c>
      <x:c r="P525" s="44" t="n">
        <x:f>IF(AND(L525=1,M525=1,N525=1,O525&gt;=G525),K525,0)</x:f>
        <x:v>0</x:v>
      </x:c>
      <x:c r="Q525" s="21" t="str">
        <x:v>OPEN</x:v>
      </x:c>
      <x:c r="R525" s="23" t="str">
        <x:v>HOLD</x:v>
      </x:c>
    </x:row>
    <x:row r="526">
      <x:c r="B526" s="21" t="str">
        <x:v>AR-00520</x:v>
      </x:c>
      <x:c r="C526" s="21" t="str">
        <x:v>F13-I4</x:v>
      </x:c>
      <x:c r="D526" s="21" t="str">
        <x:v>F13</x:v>
      </x:c>
      <x:c r="E526" s="21" t="n">
        <x:v>10</x:v>
      </x:c>
      <x:c r="F526" s="21" t="str">
        <x:v>Mobilization activation</x:v>
      </x:c>
      <x:c r="G526" s="21" t="n">
        <x:v>28</x:v>
      </x:c>
      <x:c r="H526" s="21" t="str">
        <x:v>Production Release Board</x:v>
      </x:c>
      <x:c r="I526" s="44" t="n">
        <x:f>Lifecycle!G16</x:f>
        <x:v>0.028262731405230914</x:v>
      </x:c>
      <x:c r="J526" s="44" t="n">
        <x:v>0.075</x:v>
      </x:c>
      <x:c r="K526" s="44" t="n">
        <x:f>I526*J526</x:f>
        <x:v>0.0021197048553923186</x:v>
      </x:c>
      <x:c r="L526" s="46" t="n">
        <x:v>0</x:v>
      </x:c>
      <x:c r="M526" s="46" t="n">
        <x:v>0</x:v>
      </x:c>
      <x:c r="N526" s="21" t="n">
        <x:f>IF(AND(L525=1,M525=1,P525&gt;0),1,0)</x:f>
        <x:v>0</x:v>
      </x:c>
      <x:c r="O526" s="21" t="n">
        <x:f>MIN('Root Data'!I160:I162)</x:f>
        <x:v>0</x:v>
      </x:c>
      <x:c r="P526" s="44" t="n">
        <x:f>IF(AND(L526=1,M526=1,N526=1,O526&gt;=G526),K526,0)</x:f>
        <x:v>0</x:v>
      </x:c>
      <x:c r="Q526" s="21" t="str">
        <x:v>OPEN</x:v>
      </x:c>
      <x:c r="R526" s="23" t="str">
        <x:v>HOLD</x:v>
      </x:c>
    </x:row>
    <x:row r="527">
      <x:c r="B527" s="21" t="str">
        <x:v>AR-00521</x:v>
      </x:c>
      <x:c r="C527" s="21" t="str">
        <x:v>F14-I1</x:v>
      </x:c>
      <x:c r="D527" s="21" t="str">
        <x:v>F14</x:v>
      </x:c>
      <x:c r="E527" s="21" t="n">
        <x:v>1</x:v>
      </x:c>
      <x:c r="F527" s="21" t="str">
        <x:v>Civil effect charter</x:v>
      </x:c>
      <x:c r="G527" s="21" t="n">
        <x:v>0</x:v>
      </x:c>
      <x:c r="H527" s="21" t="str">
        <x:v>Civil Guarantee Authority</x:v>
      </x:c>
      <x:c r="I527" s="44" t="n">
        <x:f>Lifecycle!G7</x:f>
        <x:v>0.04941036958956453</x:v>
      </x:c>
      <x:c r="J527" s="44" t="n">
        <x:v>0.075</x:v>
      </x:c>
      <x:c r="K527" s="44" t="n">
        <x:f>I527*J527</x:f>
        <x:v>0.0037057777192173397</x:v>
      </x:c>
      <x:c r="L527" s="46" t="n">
        <x:v>0</x:v>
      </x:c>
      <x:c r="M527" s="46" t="n">
        <x:v>0</x:v>
      </x:c>
      <x:c r="N527" s="21" t="n">
        <x:f>1</x:f>
        <x:v>1</x:v>
      </x:c>
      <x:c r="O527" s="21" t="n">
        <x:f>MIN('Root Data'!I163:I165)</x:f>
        <x:v>0</x:v>
      </x:c>
      <x:c r="P527" s="44" t="n">
        <x:f>IF(AND(L527=1,M527=1,N527=1,O527&gt;=G527),K527,0)</x:f>
        <x:v>0</x:v>
      </x:c>
      <x:c r="Q527" s="21" t="str">
        <x:v>OPEN</x:v>
      </x:c>
      <x:c r="R527" s="23" t="str">
        <x:v>HOLD</x:v>
      </x:c>
    </x:row>
    <x:row r="528">
      <x:c r="B528" s="21" t="str">
        <x:v>AR-00522</x:v>
      </x:c>
      <x:c r="C528" s="21" t="str">
        <x:v>F14-I1</x:v>
      </x:c>
      <x:c r="D528" s="21" t="str">
        <x:v>F14</x:v>
      </x:c>
      <x:c r="E528" s="21" t="n">
        <x:v>2</x:v>
      </x:c>
      <x:c r="F528" s="21" t="str">
        <x:v>Requirement and root-independence package</x:v>
      </x:c>
      <x:c r="G528" s="21" t="n">
        <x:v>8</x:v>
      </x:c>
      <x:c r="H528" s="21" t="str">
        <x:v>Resilience Staff</x:v>
      </x:c>
      <x:c r="I528" s="44" t="n">
        <x:f>Lifecycle!G8</x:f>
        <x:v>0.10211476381843337</x:v>
      </x:c>
      <x:c r="J528" s="44" t="n">
        <x:v>0.075</x:v>
      </x:c>
      <x:c r="K528" s="44" t="n">
        <x:f>I528*J528</x:f>
        <x:v>0.007658607286382502</x:v>
      </x:c>
      <x:c r="L528" s="46" t="n">
        <x:v>0</x:v>
      </x:c>
      <x:c r="M528" s="46" t="n">
        <x:v>0</x:v>
      </x:c>
      <x:c r="N528" s="21" t="n">
        <x:f>IF(AND(L527=1,M527=1,P527&gt;0),1,0)</x:f>
        <x:v>0</x:v>
      </x:c>
      <x:c r="O528" s="21" t="n">
        <x:f>MIN('Root Data'!I163:I165)</x:f>
        <x:v>0</x:v>
      </x:c>
      <x:c r="P528" s="44" t="n">
        <x:f>IF(AND(L528=1,M528=1,N528=1,O528&gt;=G528),K528,0)</x:f>
        <x:v>0</x:v>
      </x:c>
      <x:c r="Q528" s="21" t="str">
        <x:v>OPEN</x:v>
      </x:c>
      <x:c r="R528" s="23" t="str">
        <x:v>HOLD</x:v>
      </x:c>
    </x:row>
    <x:row r="529">
      <x:c r="B529" s="21" t="str">
        <x:v>AR-00523</x:v>
      </x:c>
      <x:c r="C529" s="21" t="str">
        <x:v>F14-I1</x:v>
      </x:c>
      <x:c r="D529" s="21" t="str">
        <x:v>F14</x:v>
      </x:c>
      <x:c r="E529" s="21" t="n">
        <x:v>3</x:v>
      </x:c>
      <x:c r="F529" s="21" t="str">
        <x:v>Architecture and burden closure</x:v>
      </x:c>
      <x:c r="G529" s="21" t="n">
        <x:v>14</x:v>
      </x:c>
      <x:c r="H529" s="21" t="str">
        <x:v>Independent Evidence and Data Authority</x:v>
      </x:c>
      <x:c r="I529" s="44" t="n">
        <x:f>Lifecycle!G9</x:f>
        <x:v>0.08564464062191186</x:v>
      </x:c>
      <x:c r="J529" s="44" t="n">
        <x:v>0.075</x:v>
      </x:c>
      <x:c r="K529" s="44" t="n">
        <x:f>I529*J529</x:f>
        <x:v>0.006423348046643389</x:v>
      </x:c>
      <x:c r="L529" s="46" t="n">
        <x:v>0</x:v>
      </x:c>
      <x:c r="M529" s="46" t="n">
        <x:v>0</x:v>
      </x:c>
      <x:c r="N529" s="21" t="n">
        <x:f>IF(AND(L528=1,M528=1,P528&gt;0),1,0)</x:f>
        <x:v>0</x:v>
      </x:c>
      <x:c r="O529" s="21" t="n">
        <x:f>MIN('Root Data'!I163:I165)</x:f>
        <x:v>0</x:v>
      </x:c>
      <x:c r="P529" s="44" t="n">
        <x:f>IF(AND(L529=1,M529=1,N529=1,O529&gt;=G529),K529,0)</x:f>
        <x:v>0</x:v>
      </x:c>
      <x:c r="Q529" s="21" t="str">
        <x:v>OPEN</x:v>
      </x:c>
      <x:c r="R529" s="23" t="str">
        <x:v>HOLD</x:v>
      </x:c>
    </x:row>
    <x:row r="530">
      <x:c r="B530" s="21" t="str">
        <x:v>AR-00524</x:v>
      </x:c>
      <x:c r="C530" s="21" t="str">
        <x:v>F14-I1</x:v>
      </x:c>
      <x:c r="D530" s="21" t="str">
        <x:v>F14</x:v>
      </x:c>
      <x:c r="E530" s="21" t="n">
        <x:v>4</x:v>
      </x:c>
      <x:c r="F530" s="21" t="str">
        <x:v>Engineering article acceptance</x:v>
      </x:c>
      <x:c r="G530" s="21" t="n">
        <x:v>18</x:v>
      </x:c>
      <x:c r="H530" s="21" t="str">
        <x:v>Independent Evidence and Data Authority</x:v>
      </x:c>
      <x:c r="I530" s="44" t="n">
        <x:f>Lifecycle!G10</x:f>
        <x:v>0.05929244350747744</x:v>
      </x:c>
      <x:c r="J530" s="44" t="n">
        <x:v>0.075</x:v>
      </x:c>
      <x:c r="K530" s="44" t="n">
        <x:f>I530*J530</x:f>
        <x:v>0.004446933263060808</x:v>
      </x:c>
      <x:c r="L530" s="46" t="n">
        <x:v>0</x:v>
      </x:c>
      <x:c r="M530" s="46" t="n">
        <x:v>0</x:v>
      </x:c>
      <x:c r="N530" s="21" t="n">
        <x:f>IF(AND(L529=1,M529=1,P529&gt;0),1,0)</x:f>
        <x:v>0</x:v>
      </x:c>
      <x:c r="O530" s="21" t="n">
        <x:f>MIN('Root Data'!I163:I165)</x:f>
        <x:v>0</x:v>
      </x:c>
      <x:c r="P530" s="44" t="n">
        <x:f>IF(AND(L530=1,M530=1,N530=1,O530&gt;=G530),K530,0)</x:f>
        <x:v>0</x:v>
      </x:c>
      <x:c r="Q530" s="21" t="str">
        <x:v>OPEN</x:v>
      </x:c>
      <x:c r="R530" s="23" t="str">
        <x:v>HOLD</x:v>
      </x:c>
    </x:row>
    <x:row r="531">
      <x:c r="B531" s="21" t="str">
        <x:v>AR-00525</x:v>
      </x:c>
      <x:c r="C531" s="21" t="str">
        <x:v>F14-I1</x:v>
      </x:c>
      <x:c r="D531" s="21" t="str">
        <x:v>F14</x:v>
      </x:c>
      <x:c r="E531" s="21" t="n">
        <x:v>5</x:v>
      </x:c>
      <x:c r="F531" s="21" t="str">
        <x:v>Qualification and destructive evidence</x:v>
      </x:c>
      <x:c r="G531" s="21" t="n">
        <x:v>21</x:v>
      </x:c>
      <x:c r="H531" s="21" t="str">
        <x:v>Independent Evidence and Data Authority</x:v>
      </x:c>
      <x:c r="I531" s="44" t="n">
        <x:f>Lifecycle!G11</x:f>
        <x:v>0.1515251334079979</x:v>
      </x:c>
      <x:c r="J531" s="44" t="n">
        <x:v>0.075</x:v>
      </x:c>
      <x:c r="K531" s="44" t="n">
        <x:f>I531*J531</x:f>
        <x:v>0.011364385005599841</x:v>
      </x:c>
      <x:c r="L531" s="46" t="n">
        <x:v>0</x:v>
      </x:c>
      <x:c r="M531" s="46" t="n">
        <x:v>0</x:v>
      </x:c>
      <x:c r="N531" s="21" t="n">
        <x:f>IF(AND(L530=1,M530=1,P530&gt;0),1,0)</x:f>
        <x:v>0</x:v>
      </x:c>
      <x:c r="O531" s="21" t="n">
        <x:f>MIN('Root Data'!I163:I165)</x:f>
        <x:v>0</x:v>
      </x:c>
      <x:c r="P531" s="44" t="n">
        <x:f>IF(AND(L531=1,M531=1,N531=1,O531&gt;=G531),K531,0)</x:f>
        <x:v>0</x:v>
      </x:c>
      <x:c r="Q531" s="21" t="str">
        <x:v>OPEN</x:v>
      </x:c>
      <x:c r="R531" s="23" t="str">
        <x:v>HOLD</x:v>
      </x:c>
    </x:row>
    <x:row r="532">
      <x:c r="B532" s="21" t="str">
        <x:v>AR-00526</x:v>
      </x:c>
      <x:c r="C532" s="21" t="str">
        <x:v>F14-I1</x:v>
      </x:c>
      <x:c r="D532" s="21" t="str">
        <x:v>F14</x:v>
      </x:c>
      <x:c r="E532" s="21" t="n">
        <x:v>6</x:v>
      </x:c>
      <x:c r="F532" s="21" t="str">
        <x:v>Representative mission result</x:v>
      </x:c>
      <x:c r="G532" s="21" t="n">
        <x:v>23</x:v>
      </x:c>
      <x:c r="H532" s="21" t="str">
        <x:v>Receiving Service Authority</x:v>
      </x:c>
      <x:c r="I532" s="44" t="n">
        <x:f>Lifecycle!G12</x:f>
        <x:v>0.250345872587127</x:v>
      </x:c>
      <x:c r="J532" s="44" t="n">
        <x:v>0.075</x:v>
      </x:c>
      <x:c r="K532" s="44" t="n">
        <x:f>I532*J532</x:f>
        <x:v>0.018775940444034522</x:v>
      </x:c>
      <x:c r="L532" s="46" t="n">
        <x:v>0</x:v>
      </x:c>
      <x:c r="M532" s="46" t="n">
        <x:v>0</x:v>
      </x:c>
      <x:c r="N532" s="21" t="n">
        <x:f>IF(AND(L531=1,M531=1,P531&gt;0),1,0)</x:f>
        <x:v>0</x:v>
      </x:c>
      <x:c r="O532" s="21" t="n">
        <x:f>MIN('Root Data'!I163:I165)</x:f>
        <x:v>0</x:v>
      </x:c>
      <x:c r="P532" s="44" t="n">
        <x:f>IF(AND(L532=1,M532=1,N532=1,O532&gt;=G532),K532,0)</x:f>
        <x:v>0</x:v>
      </x:c>
      <x:c r="Q532" s="21" t="str">
        <x:v>OPEN</x:v>
      </x:c>
      <x:c r="R532" s="23" t="str">
        <x:v>HOLD</x:v>
      </x:c>
    </x:row>
    <x:row r="533">
      <x:c r="B533" s="21" t="str">
        <x:v>AR-00527</x:v>
      </x:c>
      <x:c r="C533" s="21" t="str">
        <x:v>F14-I1</x:v>
      </x:c>
      <x:c r="D533" s="21" t="str">
        <x:v>F14</x:v>
      </x:c>
      <x:c r="E533" s="21" t="n">
        <x:v>7</x:v>
      </x:c>
      <x:c r="F533" s="21" t="str">
        <x:v>Independent reproduction</x:v>
      </x:c>
      <x:c r="G533" s="21" t="n">
        <x:v>28</x:v>
      </x:c>
      <x:c r="H533" s="21" t="str">
        <x:v>Independent Evidence and Data Authority</x:v>
      </x:c>
      <x:c r="I533" s="44" t="n">
        <x:f>Lifecycle!G13</x:f>
        <x:v>0.21740562619408393</x:v>
      </x:c>
      <x:c r="J533" s="44" t="n">
        <x:v>0.075</x:v>
      </x:c>
      <x:c r="K533" s="44" t="n">
        <x:f>I533*J533</x:f>
        <x:v>0.016305421964556293</x:v>
      </x:c>
      <x:c r="L533" s="46" t="n">
        <x:v>0</x:v>
      </x:c>
      <x:c r="M533" s="46" t="n">
        <x:v>0</x:v>
      </x:c>
      <x:c r="N533" s="21" t="n">
        <x:f>IF(AND(L532=1,M532=1,P532&gt;0),1,0)</x:f>
        <x:v>0</x:v>
      </x:c>
      <x:c r="O533" s="21" t="n">
        <x:f>MIN('Root Data'!I163:I165)</x:f>
        <x:v>0</x:v>
      </x:c>
      <x:c r="P533" s="44" t="n">
        <x:f>IF(AND(L533=1,M533=1,N533=1,O533&gt;=G533),K533,0)</x:f>
        <x:v>0</x:v>
      </x:c>
      <x:c r="Q533" s="21" t="str">
        <x:v>OPEN</x:v>
      </x:c>
      <x:c r="R533" s="23" t="str">
        <x:v>HOLD</x:v>
      </x:c>
    </x:row>
    <x:row r="534">
      <x:c r="B534" s="21" t="str">
        <x:v>AR-00528</x:v>
      </x:c>
      <x:c r="C534" s="21" t="str">
        <x:v>F14-I1</x:v>
      </x:c>
      <x:c r="D534" s="21" t="str">
        <x:v>F14</x:v>
      </x:c>
      <x:c r="E534" s="21" t="n">
        <x:v>8</x:v>
      </x:c>
      <x:c r="F534" s="21" t="str">
        <x:v>Pilot-process qualification</x:v>
      </x:c>
      <x:c r="G534" s="21" t="n">
        <x:v>28</x:v>
      </x:c>
      <x:c r="H534" s="21" t="str">
        <x:v>AIMC Industrial Mobilization Authority</x:v>
      </x:c>
      <x:c r="I534" s="44" t="n">
        <x:f>Lifecycle!G14</x:f>
        <x:v>0.03952829567165163</x:v>
      </x:c>
      <x:c r="J534" s="44" t="n">
        <x:v>0.075</x:v>
      </x:c>
      <x:c r="K534" s="44" t="n">
        <x:f>I534*J534</x:f>
        <x:v>0.002964622175373872</x:v>
      </x:c>
      <x:c r="L534" s="46" t="n">
        <x:v>0</x:v>
      </x:c>
      <x:c r="M534" s="46" t="n">
        <x:v>0</x:v>
      </x:c>
      <x:c r="N534" s="21" t="n">
        <x:f>IF(AND(L533=1,M533=1,P533&gt;0),1,0)</x:f>
        <x:v>0</x:v>
      </x:c>
      <x:c r="O534" s="21" t="n">
        <x:f>MIN('Root Data'!I163:I165)</x:f>
        <x:v>0</x:v>
      </x:c>
      <x:c r="P534" s="44" t="n">
        <x:f>IF(AND(L534=1,M534=1,N534=1,O534&gt;=G534),K534,0)</x:f>
        <x:v>0</x:v>
      </x:c>
      <x:c r="Q534" s="21" t="str">
        <x:v>OPEN</x:v>
      </x:c>
      <x:c r="R534" s="23" t="str">
        <x:v>HOLD</x:v>
      </x:c>
    </x:row>
    <x:row r="535">
      <x:c r="B535" s="21" t="str">
        <x:v>AR-00529</x:v>
      </x:c>
      <x:c r="C535" s="21" t="str">
        <x:v>F14-I1</x:v>
      </x:c>
      <x:c r="D535" s="21" t="str">
        <x:v>F14</x:v>
      </x:c>
      <x:c r="E535" s="21" t="n">
        <x:v>9</x:v>
      </x:c>
      <x:c r="F535" s="21" t="str">
        <x:v>Production release package</x:v>
      </x:c>
      <x:c r="G535" s="21" t="n">
        <x:v>28</x:v>
      </x:c>
      <x:c r="H535" s="21" t="str">
        <x:v>Production Release Board</x:v>
      </x:c>
      <x:c r="I535" s="44" t="n">
        <x:f>Lifecycle!G15</x:f>
        <x:v>0.01647012319652151</x:v>
      </x:c>
      <x:c r="J535" s="44" t="n">
        <x:v>0.075</x:v>
      </x:c>
      <x:c r="K535" s="44" t="n">
        <x:f>I535*J535</x:f>
        <x:v>0.0012352592397391132</x:v>
      </x:c>
      <x:c r="L535" s="46" t="n">
        <x:v>0</x:v>
      </x:c>
      <x:c r="M535" s="46" t="n">
        <x:v>0</x:v>
      </x:c>
      <x:c r="N535" s="21" t="n">
        <x:f>IF(AND(L534=1,M534=1,P534&gt;0),1,0)</x:f>
        <x:v>0</x:v>
      </x:c>
      <x:c r="O535" s="21" t="n">
        <x:f>MIN('Root Data'!I163:I165)</x:f>
        <x:v>0</x:v>
      </x:c>
      <x:c r="P535" s="44" t="n">
        <x:f>IF(AND(L535=1,M535=1,N535=1,O535&gt;=G535),K535,0)</x:f>
        <x:v>0</x:v>
      </x:c>
      <x:c r="Q535" s="21" t="str">
        <x:v>OPEN</x:v>
      </x:c>
      <x:c r="R535" s="23" t="str">
        <x:v>HOLD</x:v>
      </x:c>
    </x:row>
    <x:row r="536">
      <x:c r="B536" s="21" t="str">
        <x:v>AR-00530</x:v>
      </x:c>
      <x:c r="C536" s="21" t="str">
        <x:v>F14-I1</x:v>
      </x:c>
      <x:c r="D536" s="21" t="str">
        <x:v>F14</x:v>
      </x:c>
      <x:c r="E536" s="21" t="n">
        <x:v>10</x:v>
      </x:c>
      <x:c r="F536" s="21" t="str">
        <x:v>Mobilization activation</x:v>
      </x:c>
      <x:c r="G536" s="21" t="n">
        <x:v>28</x:v>
      </x:c>
      <x:c r="H536" s="21" t="str">
        <x:v>Production Release Board</x:v>
      </x:c>
      <x:c r="I536" s="44" t="n">
        <x:f>Lifecycle!G16</x:f>
        <x:v>0.028262731405230914</x:v>
      </x:c>
      <x:c r="J536" s="44" t="n">
        <x:v>0.075</x:v>
      </x:c>
      <x:c r="K536" s="44" t="n">
        <x:f>I536*J536</x:f>
        <x:v>0.0021197048553923186</x:v>
      </x:c>
      <x:c r="L536" s="46" t="n">
        <x:v>0</x:v>
      </x:c>
      <x:c r="M536" s="46" t="n">
        <x:v>0</x:v>
      </x:c>
      <x:c r="N536" s="21" t="n">
        <x:f>IF(AND(L535=1,M535=1,P535&gt;0),1,0)</x:f>
        <x:v>0</x:v>
      </x:c>
      <x:c r="O536" s="21" t="n">
        <x:f>MIN('Root Data'!I163:I165)</x:f>
        <x:v>0</x:v>
      </x:c>
      <x:c r="P536" s="44" t="n">
        <x:f>IF(AND(L536=1,M536=1,N536=1,O536&gt;=G536),K536,0)</x:f>
        <x:v>0</x:v>
      </x:c>
      <x:c r="Q536" s="21" t="str">
        <x:v>OPEN</x:v>
      </x:c>
      <x:c r="R536" s="23" t="str">
        <x:v>HOLD</x:v>
      </x:c>
    </x:row>
    <x:row r="537">
      <x:c r="B537" s="21" t="str">
        <x:v>AR-00531</x:v>
      </x:c>
      <x:c r="C537" s="21" t="str">
        <x:v>F14-I2</x:v>
      </x:c>
      <x:c r="D537" s="21" t="str">
        <x:v>F14</x:v>
      </x:c>
      <x:c r="E537" s="21" t="n">
        <x:v>1</x:v>
      </x:c>
      <x:c r="F537" s="21" t="str">
        <x:v>Civil effect charter</x:v>
      </x:c>
      <x:c r="G537" s="21" t="n">
        <x:v>0</x:v>
      </x:c>
      <x:c r="H537" s="21" t="str">
        <x:v>Civil Guarantee Authority</x:v>
      </x:c>
      <x:c r="I537" s="44" t="n">
        <x:f>Lifecycle!G7</x:f>
        <x:v>0.04941036958956453</x:v>
      </x:c>
      <x:c r="J537" s="44" t="n">
        <x:v>0.075</x:v>
      </x:c>
      <x:c r="K537" s="44" t="n">
        <x:f>I537*J537</x:f>
        <x:v>0.0037057777192173397</x:v>
      </x:c>
      <x:c r="L537" s="46" t="n">
        <x:v>0</x:v>
      </x:c>
      <x:c r="M537" s="46" t="n">
        <x:v>0</x:v>
      </x:c>
      <x:c r="N537" s="21" t="n">
        <x:f>1</x:f>
        <x:v>1</x:v>
      </x:c>
      <x:c r="O537" s="21" t="n">
        <x:f>MIN('Root Data'!I166:I168)</x:f>
        <x:v>0</x:v>
      </x:c>
      <x:c r="P537" s="44" t="n">
        <x:f>IF(AND(L537=1,M537=1,N537=1,O537&gt;=G537),K537,0)</x:f>
        <x:v>0</x:v>
      </x:c>
      <x:c r="Q537" s="21" t="str">
        <x:v>OPEN</x:v>
      </x:c>
      <x:c r="R537" s="23" t="str">
        <x:v>HOLD</x:v>
      </x:c>
    </x:row>
    <x:row r="538">
      <x:c r="B538" s="21" t="str">
        <x:v>AR-00532</x:v>
      </x:c>
      <x:c r="C538" s="21" t="str">
        <x:v>F14-I2</x:v>
      </x:c>
      <x:c r="D538" s="21" t="str">
        <x:v>F14</x:v>
      </x:c>
      <x:c r="E538" s="21" t="n">
        <x:v>2</x:v>
      </x:c>
      <x:c r="F538" s="21" t="str">
        <x:v>Requirement and root-independence package</x:v>
      </x:c>
      <x:c r="G538" s="21" t="n">
        <x:v>8</x:v>
      </x:c>
      <x:c r="H538" s="21" t="str">
        <x:v>Resilience Staff</x:v>
      </x:c>
      <x:c r="I538" s="44" t="n">
        <x:f>Lifecycle!G8</x:f>
        <x:v>0.10211476381843337</x:v>
      </x:c>
      <x:c r="J538" s="44" t="n">
        <x:v>0.075</x:v>
      </x:c>
      <x:c r="K538" s="44" t="n">
        <x:f>I538*J538</x:f>
        <x:v>0.007658607286382502</x:v>
      </x:c>
      <x:c r="L538" s="46" t="n">
        <x:v>0</x:v>
      </x:c>
      <x:c r="M538" s="46" t="n">
        <x:v>0</x:v>
      </x:c>
      <x:c r="N538" s="21" t="n">
        <x:f>IF(AND(L537=1,M537=1,P537&gt;0),1,0)</x:f>
        <x:v>0</x:v>
      </x:c>
      <x:c r="O538" s="21" t="n">
        <x:f>MIN('Root Data'!I166:I168)</x:f>
        <x:v>0</x:v>
      </x:c>
      <x:c r="P538" s="44" t="n">
        <x:f>IF(AND(L538=1,M538=1,N538=1,O538&gt;=G538),K538,0)</x:f>
        <x:v>0</x:v>
      </x:c>
      <x:c r="Q538" s="21" t="str">
        <x:v>OPEN</x:v>
      </x:c>
      <x:c r="R538" s="23" t="str">
        <x:v>HOLD</x:v>
      </x:c>
    </x:row>
    <x:row r="539">
      <x:c r="B539" s="21" t="str">
        <x:v>AR-00533</x:v>
      </x:c>
      <x:c r="C539" s="21" t="str">
        <x:v>F14-I2</x:v>
      </x:c>
      <x:c r="D539" s="21" t="str">
        <x:v>F14</x:v>
      </x:c>
      <x:c r="E539" s="21" t="n">
        <x:v>3</x:v>
      </x:c>
      <x:c r="F539" s="21" t="str">
        <x:v>Architecture and burden closure</x:v>
      </x:c>
      <x:c r="G539" s="21" t="n">
        <x:v>14</x:v>
      </x:c>
      <x:c r="H539" s="21" t="str">
        <x:v>Independent Evidence and Data Authority</x:v>
      </x:c>
      <x:c r="I539" s="44" t="n">
        <x:f>Lifecycle!G9</x:f>
        <x:v>0.08564464062191186</x:v>
      </x:c>
      <x:c r="J539" s="44" t="n">
        <x:v>0.075</x:v>
      </x:c>
      <x:c r="K539" s="44" t="n">
        <x:f>I539*J539</x:f>
        <x:v>0.006423348046643389</x:v>
      </x:c>
      <x:c r="L539" s="46" t="n">
        <x:v>0</x:v>
      </x:c>
      <x:c r="M539" s="46" t="n">
        <x:v>0</x:v>
      </x:c>
      <x:c r="N539" s="21" t="n">
        <x:f>IF(AND(L538=1,M538=1,P538&gt;0),1,0)</x:f>
        <x:v>0</x:v>
      </x:c>
      <x:c r="O539" s="21" t="n">
        <x:f>MIN('Root Data'!I166:I168)</x:f>
        <x:v>0</x:v>
      </x:c>
      <x:c r="P539" s="44" t="n">
        <x:f>IF(AND(L539=1,M539=1,N539=1,O539&gt;=G539),K539,0)</x:f>
        <x:v>0</x:v>
      </x:c>
      <x:c r="Q539" s="21" t="str">
        <x:v>OPEN</x:v>
      </x:c>
      <x:c r="R539" s="23" t="str">
        <x:v>HOLD</x:v>
      </x:c>
    </x:row>
    <x:row r="540">
      <x:c r="B540" s="21" t="str">
        <x:v>AR-00534</x:v>
      </x:c>
      <x:c r="C540" s="21" t="str">
        <x:v>F14-I2</x:v>
      </x:c>
      <x:c r="D540" s="21" t="str">
        <x:v>F14</x:v>
      </x:c>
      <x:c r="E540" s="21" t="n">
        <x:v>4</x:v>
      </x:c>
      <x:c r="F540" s="21" t="str">
        <x:v>Engineering article acceptance</x:v>
      </x:c>
      <x:c r="G540" s="21" t="n">
        <x:v>18</x:v>
      </x:c>
      <x:c r="H540" s="21" t="str">
        <x:v>Independent Evidence and Data Authority</x:v>
      </x:c>
      <x:c r="I540" s="44" t="n">
        <x:f>Lifecycle!G10</x:f>
        <x:v>0.05929244350747744</x:v>
      </x:c>
      <x:c r="J540" s="44" t="n">
        <x:v>0.075</x:v>
      </x:c>
      <x:c r="K540" s="44" t="n">
        <x:f>I540*J540</x:f>
        <x:v>0.004446933263060808</x:v>
      </x:c>
      <x:c r="L540" s="46" t="n">
        <x:v>0</x:v>
      </x:c>
      <x:c r="M540" s="46" t="n">
        <x:v>0</x:v>
      </x:c>
      <x:c r="N540" s="21" t="n">
        <x:f>IF(AND(L539=1,M539=1,P539&gt;0),1,0)</x:f>
        <x:v>0</x:v>
      </x:c>
      <x:c r="O540" s="21" t="n">
        <x:f>MIN('Root Data'!I166:I168)</x:f>
        <x:v>0</x:v>
      </x:c>
      <x:c r="P540" s="44" t="n">
        <x:f>IF(AND(L540=1,M540=1,N540=1,O540&gt;=G540),K540,0)</x:f>
        <x:v>0</x:v>
      </x:c>
      <x:c r="Q540" s="21" t="str">
        <x:v>OPEN</x:v>
      </x:c>
      <x:c r="R540" s="23" t="str">
        <x:v>HOLD</x:v>
      </x:c>
    </x:row>
    <x:row r="541">
      <x:c r="B541" s="21" t="str">
        <x:v>AR-00535</x:v>
      </x:c>
      <x:c r="C541" s="21" t="str">
        <x:v>F14-I2</x:v>
      </x:c>
      <x:c r="D541" s="21" t="str">
        <x:v>F14</x:v>
      </x:c>
      <x:c r="E541" s="21" t="n">
        <x:v>5</x:v>
      </x:c>
      <x:c r="F541" s="21" t="str">
        <x:v>Qualification and destructive evidence</x:v>
      </x:c>
      <x:c r="G541" s="21" t="n">
        <x:v>21</x:v>
      </x:c>
      <x:c r="H541" s="21" t="str">
        <x:v>Independent Evidence and Data Authority</x:v>
      </x:c>
      <x:c r="I541" s="44" t="n">
        <x:f>Lifecycle!G11</x:f>
        <x:v>0.1515251334079979</x:v>
      </x:c>
      <x:c r="J541" s="44" t="n">
        <x:v>0.075</x:v>
      </x:c>
      <x:c r="K541" s="44" t="n">
        <x:f>I541*J541</x:f>
        <x:v>0.011364385005599841</x:v>
      </x:c>
      <x:c r="L541" s="46" t="n">
        <x:v>0</x:v>
      </x:c>
      <x:c r="M541" s="46" t="n">
        <x:v>0</x:v>
      </x:c>
      <x:c r="N541" s="21" t="n">
        <x:f>IF(AND(L540=1,M540=1,P540&gt;0),1,0)</x:f>
        <x:v>0</x:v>
      </x:c>
      <x:c r="O541" s="21" t="n">
        <x:f>MIN('Root Data'!I166:I168)</x:f>
        <x:v>0</x:v>
      </x:c>
      <x:c r="P541" s="44" t="n">
        <x:f>IF(AND(L541=1,M541=1,N541=1,O541&gt;=G541),K541,0)</x:f>
        <x:v>0</x:v>
      </x:c>
      <x:c r="Q541" s="21" t="str">
        <x:v>OPEN</x:v>
      </x:c>
      <x:c r="R541" s="23" t="str">
        <x:v>HOLD</x:v>
      </x:c>
    </x:row>
    <x:row r="542">
      <x:c r="B542" s="21" t="str">
        <x:v>AR-00536</x:v>
      </x:c>
      <x:c r="C542" s="21" t="str">
        <x:v>F14-I2</x:v>
      </x:c>
      <x:c r="D542" s="21" t="str">
        <x:v>F14</x:v>
      </x:c>
      <x:c r="E542" s="21" t="n">
        <x:v>6</x:v>
      </x:c>
      <x:c r="F542" s="21" t="str">
        <x:v>Representative mission result</x:v>
      </x:c>
      <x:c r="G542" s="21" t="n">
        <x:v>23</x:v>
      </x:c>
      <x:c r="H542" s="21" t="str">
        <x:v>Receiving Service Authority</x:v>
      </x:c>
      <x:c r="I542" s="44" t="n">
        <x:f>Lifecycle!G12</x:f>
        <x:v>0.250345872587127</x:v>
      </x:c>
      <x:c r="J542" s="44" t="n">
        <x:v>0.075</x:v>
      </x:c>
      <x:c r="K542" s="44" t="n">
        <x:f>I542*J542</x:f>
        <x:v>0.018775940444034522</x:v>
      </x:c>
      <x:c r="L542" s="46" t="n">
        <x:v>0</x:v>
      </x:c>
      <x:c r="M542" s="46" t="n">
        <x:v>0</x:v>
      </x:c>
      <x:c r="N542" s="21" t="n">
        <x:f>IF(AND(L541=1,M541=1,P541&gt;0),1,0)</x:f>
        <x:v>0</x:v>
      </x:c>
      <x:c r="O542" s="21" t="n">
        <x:f>MIN('Root Data'!I166:I168)</x:f>
        <x:v>0</x:v>
      </x:c>
      <x:c r="P542" s="44" t="n">
        <x:f>IF(AND(L542=1,M542=1,N542=1,O542&gt;=G542),K542,0)</x:f>
        <x:v>0</x:v>
      </x:c>
      <x:c r="Q542" s="21" t="str">
        <x:v>OPEN</x:v>
      </x:c>
      <x:c r="R542" s="23" t="str">
        <x:v>HOLD</x:v>
      </x:c>
    </x:row>
    <x:row r="543">
      <x:c r="B543" s="21" t="str">
        <x:v>AR-00537</x:v>
      </x:c>
      <x:c r="C543" s="21" t="str">
        <x:v>F14-I2</x:v>
      </x:c>
      <x:c r="D543" s="21" t="str">
        <x:v>F14</x:v>
      </x:c>
      <x:c r="E543" s="21" t="n">
        <x:v>7</x:v>
      </x:c>
      <x:c r="F543" s="21" t="str">
        <x:v>Independent reproduction</x:v>
      </x:c>
      <x:c r="G543" s="21" t="n">
        <x:v>28</x:v>
      </x:c>
      <x:c r="H543" s="21" t="str">
        <x:v>Independent Evidence and Data Authority</x:v>
      </x:c>
      <x:c r="I543" s="44" t="n">
        <x:f>Lifecycle!G13</x:f>
        <x:v>0.21740562619408393</x:v>
      </x:c>
      <x:c r="J543" s="44" t="n">
        <x:v>0.075</x:v>
      </x:c>
      <x:c r="K543" s="44" t="n">
        <x:f>I543*J543</x:f>
        <x:v>0.016305421964556293</x:v>
      </x:c>
      <x:c r="L543" s="46" t="n">
        <x:v>0</x:v>
      </x:c>
      <x:c r="M543" s="46" t="n">
        <x:v>0</x:v>
      </x:c>
      <x:c r="N543" s="21" t="n">
        <x:f>IF(AND(L542=1,M542=1,P542&gt;0),1,0)</x:f>
        <x:v>0</x:v>
      </x:c>
      <x:c r="O543" s="21" t="n">
        <x:f>MIN('Root Data'!I166:I168)</x:f>
        <x:v>0</x:v>
      </x:c>
      <x:c r="P543" s="44" t="n">
        <x:f>IF(AND(L543=1,M543=1,N543=1,O543&gt;=G543),K543,0)</x:f>
        <x:v>0</x:v>
      </x:c>
      <x:c r="Q543" s="21" t="str">
        <x:v>OPEN</x:v>
      </x:c>
      <x:c r="R543" s="23" t="str">
        <x:v>HOLD</x:v>
      </x:c>
    </x:row>
    <x:row r="544">
      <x:c r="B544" s="21" t="str">
        <x:v>AR-00538</x:v>
      </x:c>
      <x:c r="C544" s="21" t="str">
        <x:v>F14-I2</x:v>
      </x:c>
      <x:c r="D544" s="21" t="str">
        <x:v>F14</x:v>
      </x:c>
      <x:c r="E544" s="21" t="n">
        <x:v>8</x:v>
      </x:c>
      <x:c r="F544" s="21" t="str">
        <x:v>Pilot-process qualification</x:v>
      </x:c>
      <x:c r="G544" s="21" t="n">
        <x:v>28</x:v>
      </x:c>
      <x:c r="H544" s="21" t="str">
        <x:v>AIMC Industrial Mobilization Authority</x:v>
      </x:c>
      <x:c r="I544" s="44" t="n">
        <x:f>Lifecycle!G14</x:f>
        <x:v>0.03952829567165163</x:v>
      </x:c>
      <x:c r="J544" s="44" t="n">
        <x:v>0.075</x:v>
      </x:c>
      <x:c r="K544" s="44" t="n">
        <x:f>I544*J544</x:f>
        <x:v>0.002964622175373872</x:v>
      </x:c>
      <x:c r="L544" s="46" t="n">
        <x:v>0</x:v>
      </x:c>
      <x:c r="M544" s="46" t="n">
        <x:v>0</x:v>
      </x:c>
      <x:c r="N544" s="21" t="n">
        <x:f>IF(AND(L543=1,M543=1,P543&gt;0),1,0)</x:f>
        <x:v>0</x:v>
      </x:c>
      <x:c r="O544" s="21" t="n">
        <x:f>MIN('Root Data'!I166:I168)</x:f>
        <x:v>0</x:v>
      </x:c>
      <x:c r="P544" s="44" t="n">
        <x:f>IF(AND(L544=1,M544=1,N544=1,O544&gt;=G544),K544,0)</x:f>
        <x:v>0</x:v>
      </x:c>
      <x:c r="Q544" s="21" t="str">
        <x:v>OPEN</x:v>
      </x:c>
      <x:c r="R544" s="23" t="str">
        <x:v>HOLD</x:v>
      </x:c>
    </x:row>
    <x:row r="545">
      <x:c r="B545" s="21" t="str">
        <x:v>AR-00539</x:v>
      </x:c>
      <x:c r="C545" s="21" t="str">
        <x:v>F14-I2</x:v>
      </x:c>
      <x:c r="D545" s="21" t="str">
        <x:v>F14</x:v>
      </x:c>
      <x:c r="E545" s="21" t="n">
        <x:v>9</x:v>
      </x:c>
      <x:c r="F545" s="21" t="str">
        <x:v>Production release package</x:v>
      </x:c>
      <x:c r="G545" s="21" t="n">
        <x:v>28</x:v>
      </x:c>
      <x:c r="H545" s="21" t="str">
        <x:v>Production Release Board</x:v>
      </x:c>
      <x:c r="I545" s="44" t="n">
        <x:f>Lifecycle!G15</x:f>
        <x:v>0.01647012319652151</x:v>
      </x:c>
      <x:c r="J545" s="44" t="n">
        <x:v>0.075</x:v>
      </x:c>
      <x:c r="K545" s="44" t="n">
        <x:f>I545*J545</x:f>
        <x:v>0.0012352592397391132</x:v>
      </x:c>
      <x:c r="L545" s="46" t="n">
        <x:v>0</x:v>
      </x:c>
      <x:c r="M545" s="46" t="n">
        <x:v>0</x:v>
      </x:c>
      <x:c r="N545" s="21" t="n">
        <x:f>IF(AND(L544=1,M544=1,P544&gt;0),1,0)</x:f>
        <x:v>0</x:v>
      </x:c>
      <x:c r="O545" s="21" t="n">
        <x:f>MIN('Root Data'!I166:I168)</x:f>
        <x:v>0</x:v>
      </x:c>
      <x:c r="P545" s="44" t="n">
        <x:f>IF(AND(L545=1,M545=1,N545=1,O545&gt;=G545),K545,0)</x:f>
        <x:v>0</x:v>
      </x:c>
      <x:c r="Q545" s="21" t="str">
        <x:v>OPEN</x:v>
      </x:c>
      <x:c r="R545" s="23" t="str">
        <x:v>HOLD</x:v>
      </x:c>
    </x:row>
    <x:row r="546">
      <x:c r="B546" s="21" t="str">
        <x:v>AR-00540</x:v>
      </x:c>
      <x:c r="C546" s="21" t="str">
        <x:v>F14-I2</x:v>
      </x:c>
      <x:c r="D546" s="21" t="str">
        <x:v>F14</x:v>
      </x:c>
      <x:c r="E546" s="21" t="n">
        <x:v>10</x:v>
      </x:c>
      <x:c r="F546" s="21" t="str">
        <x:v>Mobilization activation</x:v>
      </x:c>
      <x:c r="G546" s="21" t="n">
        <x:v>28</x:v>
      </x:c>
      <x:c r="H546" s="21" t="str">
        <x:v>Production Release Board</x:v>
      </x:c>
      <x:c r="I546" s="44" t="n">
        <x:f>Lifecycle!G16</x:f>
        <x:v>0.028262731405230914</x:v>
      </x:c>
      <x:c r="J546" s="44" t="n">
        <x:v>0.075</x:v>
      </x:c>
      <x:c r="K546" s="44" t="n">
        <x:f>I546*J546</x:f>
        <x:v>0.0021197048553923186</x:v>
      </x:c>
      <x:c r="L546" s="46" t="n">
        <x:v>0</x:v>
      </x:c>
      <x:c r="M546" s="46" t="n">
        <x:v>0</x:v>
      </x:c>
      <x:c r="N546" s="21" t="n">
        <x:f>IF(AND(L545=1,M545=1,P545&gt;0),1,0)</x:f>
        <x:v>0</x:v>
      </x:c>
      <x:c r="O546" s="21" t="n">
        <x:f>MIN('Root Data'!I166:I168)</x:f>
        <x:v>0</x:v>
      </x:c>
      <x:c r="P546" s="44" t="n">
        <x:f>IF(AND(L546=1,M546=1,N546=1,O546&gt;=G546),K546,0)</x:f>
        <x:v>0</x:v>
      </x:c>
      <x:c r="Q546" s="21" t="str">
        <x:v>OPEN</x:v>
      </x:c>
      <x:c r="R546" s="23" t="str">
        <x:v>HOLD</x:v>
      </x:c>
    </x:row>
    <x:row r="547">
      <x:c r="B547" s="21" t="str">
        <x:v>AR-00541</x:v>
      </x:c>
      <x:c r="C547" s="21" t="str">
        <x:v>F14-I3</x:v>
      </x:c>
      <x:c r="D547" s="21" t="str">
        <x:v>F14</x:v>
      </x:c>
      <x:c r="E547" s="21" t="n">
        <x:v>1</x:v>
      </x:c>
      <x:c r="F547" s="21" t="str">
        <x:v>Civil effect charter</x:v>
      </x:c>
      <x:c r="G547" s="21" t="n">
        <x:v>0</x:v>
      </x:c>
      <x:c r="H547" s="21" t="str">
        <x:v>Civil Guarantee Authority</x:v>
      </x:c>
      <x:c r="I547" s="44" t="n">
        <x:f>Lifecycle!G7</x:f>
        <x:v>0.04941036958956453</x:v>
      </x:c>
      <x:c r="J547" s="44" t="n">
        <x:v>0.075</x:v>
      </x:c>
      <x:c r="K547" s="44" t="n">
        <x:f>I547*J547</x:f>
        <x:v>0.0037057777192173397</x:v>
      </x:c>
      <x:c r="L547" s="46" t="n">
        <x:v>0</x:v>
      </x:c>
      <x:c r="M547" s="46" t="n">
        <x:v>0</x:v>
      </x:c>
      <x:c r="N547" s="21" t="n">
        <x:f>1</x:f>
        <x:v>1</x:v>
      </x:c>
      <x:c r="O547" s="21" t="n">
        <x:f>MIN('Root Data'!I169:I171)</x:f>
        <x:v>0</x:v>
      </x:c>
      <x:c r="P547" s="44" t="n">
        <x:f>IF(AND(L547=1,M547=1,N547=1,O547&gt;=G547),K547,0)</x:f>
        <x:v>0</x:v>
      </x:c>
      <x:c r="Q547" s="21" t="str">
        <x:v>OPEN</x:v>
      </x:c>
      <x:c r="R547" s="23" t="str">
        <x:v>HOLD</x:v>
      </x:c>
    </x:row>
    <x:row r="548">
      <x:c r="B548" s="21" t="str">
        <x:v>AR-00542</x:v>
      </x:c>
      <x:c r="C548" s="21" t="str">
        <x:v>F14-I3</x:v>
      </x:c>
      <x:c r="D548" s="21" t="str">
        <x:v>F14</x:v>
      </x:c>
      <x:c r="E548" s="21" t="n">
        <x:v>2</x:v>
      </x:c>
      <x:c r="F548" s="21" t="str">
        <x:v>Requirement and root-independence package</x:v>
      </x:c>
      <x:c r="G548" s="21" t="n">
        <x:v>8</x:v>
      </x:c>
      <x:c r="H548" s="21" t="str">
        <x:v>Resilience Staff</x:v>
      </x:c>
      <x:c r="I548" s="44" t="n">
        <x:f>Lifecycle!G8</x:f>
        <x:v>0.10211476381843337</x:v>
      </x:c>
      <x:c r="J548" s="44" t="n">
        <x:v>0.075</x:v>
      </x:c>
      <x:c r="K548" s="44" t="n">
        <x:f>I548*J548</x:f>
        <x:v>0.007658607286382502</x:v>
      </x:c>
      <x:c r="L548" s="46" t="n">
        <x:v>0</x:v>
      </x:c>
      <x:c r="M548" s="46" t="n">
        <x:v>0</x:v>
      </x:c>
      <x:c r="N548" s="21" t="n">
        <x:f>IF(AND(L547=1,M547=1,P547&gt;0),1,0)</x:f>
        <x:v>0</x:v>
      </x:c>
      <x:c r="O548" s="21" t="n">
        <x:f>MIN('Root Data'!I169:I171)</x:f>
        <x:v>0</x:v>
      </x:c>
      <x:c r="P548" s="44" t="n">
        <x:f>IF(AND(L548=1,M548=1,N548=1,O548&gt;=G548),K548,0)</x:f>
        <x:v>0</x:v>
      </x:c>
      <x:c r="Q548" s="21" t="str">
        <x:v>OPEN</x:v>
      </x:c>
      <x:c r="R548" s="23" t="str">
        <x:v>HOLD</x:v>
      </x:c>
    </x:row>
    <x:row r="549">
      <x:c r="B549" s="21" t="str">
        <x:v>AR-00543</x:v>
      </x:c>
      <x:c r="C549" s="21" t="str">
        <x:v>F14-I3</x:v>
      </x:c>
      <x:c r="D549" s="21" t="str">
        <x:v>F14</x:v>
      </x:c>
      <x:c r="E549" s="21" t="n">
        <x:v>3</x:v>
      </x:c>
      <x:c r="F549" s="21" t="str">
        <x:v>Architecture and burden closure</x:v>
      </x:c>
      <x:c r="G549" s="21" t="n">
        <x:v>14</x:v>
      </x:c>
      <x:c r="H549" s="21" t="str">
        <x:v>Independent Evidence and Data Authority</x:v>
      </x:c>
      <x:c r="I549" s="44" t="n">
        <x:f>Lifecycle!G9</x:f>
        <x:v>0.08564464062191186</x:v>
      </x:c>
      <x:c r="J549" s="44" t="n">
        <x:v>0.075</x:v>
      </x:c>
      <x:c r="K549" s="44" t="n">
        <x:f>I549*J549</x:f>
        <x:v>0.006423348046643389</x:v>
      </x:c>
      <x:c r="L549" s="46" t="n">
        <x:v>0</x:v>
      </x:c>
      <x:c r="M549" s="46" t="n">
        <x:v>0</x:v>
      </x:c>
      <x:c r="N549" s="21" t="n">
        <x:f>IF(AND(L548=1,M548=1,P548&gt;0),1,0)</x:f>
        <x:v>0</x:v>
      </x:c>
      <x:c r="O549" s="21" t="n">
        <x:f>MIN('Root Data'!I169:I171)</x:f>
        <x:v>0</x:v>
      </x:c>
      <x:c r="P549" s="44" t="n">
        <x:f>IF(AND(L549=1,M549=1,N549=1,O549&gt;=G549),K549,0)</x:f>
        <x:v>0</x:v>
      </x:c>
      <x:c r="Q549" s="21" t="str">
        <x:v>OPEN</x:v>
      </x:c>
      <x:c r="R549" s="23" t="str">
        <x:v>HOLD</x:v>
      </x:c>
    </x:row>
    <x:row r="550">
      <x:c r="B550" s="21" t="str">
        <x:v>AR-00544</x:v>
      </x:c>
      <x:c r="C550" s="21" t="str">
        <x:v>F14-I3</x:v>
      </x:c>
      <x:c r="D550" s="21" t="str">
        <x:v>F14</x:v>
      </x:c>
      <x:c r="E550" s="21" t="n">
        <x:v>4</x:v>
      </x:c>
      <x:c r="F550" s="21" t="str">
        <x:v>Engineering article acceptance</x:v>
      </x:c>
      <x:c r="G550" s="21" t="n">
        <x:v>18</x:v>
      </x:c>
      <x:c r="H550" s="21" t="str">
        <x:v>Independent Evidence and Data Authority</x:v>
      </x:c>
      <x:c r="I550" s="44" t="n">
        <x:f>Lifecycle!G10</x:f>
        <x:v>0.05929244350747744</x:v>
      </x:c>
      <x:c r="J550" s="44" t="n">
        <x:v>0.075</x:v>
      </x:c>
      <x:c r="K550" s="44" t="n">
        <x:f>I550*J550</x:f>
        <x:v>0.004446933263060808</x:v>
      </x:c>
      <x:c r="L550" s="46" t="n">
        <x:v>0</x:v>
      </x:c>
      <x:c r="M550" s="46" t="n">
        <x:v>0</x:v>
      </x:c>
      <x:c r="N550" s="21" t="n">
        <x:f>IF(AND(L549=1,M549=1,P549&gt;0),1,0)</x:f>
        <x:v>0</x:v>
      </x:c>
      <x:c r="O550" s="21" t="n">
        <x:f>MIN('Root Data'!I169:I171)</x:f>
        <x:v>0</x:v>
      </x:c>
      <x:c r="P550" s="44" t="n">
        <x:f>IF(AND(L550=1,M550=1,N550=1,O550&gt;=G550),K550,0)</x:f>
        <x:v>0</x:v>
      </x:c>
      <x:c r="Q550" s="21" t="str">
        <x:v>OPEN</x:v>
      </x:c>
      <x:c r="R550" s="23" t="str">
        <x:v>HOLD</x:v>
      </x:c>
    </x:row>
    <x:row r="551">
      <x:c r="B551" s="21" t="str">
        <x:v>AR-00545</x:v>
      </x:c>
      <x:c r="C551" s="21" t="str">
        <x:v>F14-I3</x:v>
      </x:c>
      <x:c r="D551" s="21" t="str">
        <x:v>F14</x:v>
      </x:c>
      <x:c r="E551" s="21" t="n">
        <x:v>5</x:v>
      </x:c>
      <x:c r="F551" s="21" t="str">
        <x:v>Qualification and destructive evidence</x:v>
      </x:c>
      <x:c r="G551" s="21" t="n">
        <x:v>21</x:v>
      </x:c>
      <x:c r="H551" s="21" t="str">
        <x:v>Independent Evidence and Data Authority</x:v>
      </x:c>
      <x:c r="I551" s="44" t="n">
        <x:f>Lifecycle!G11</x:f>
        <x:v>0.1515251334079979</x:v>
      </x:c>
      <x:c r="J551" s="44" t="n">
        <x:v>0.075</x:v>
      </x:c>
      <x:c r="K551" s="44" t="n">
        <x:f>I551*J551</x:f>
        <x:v>0.011364385005599841</x:v>
      </x:c>
      <x:c r="L551" s="46" t="n">
        <x:v>0</x:v>
      </x:c>
      <x:c r="M551" s="46" t="n">
        <x:v>0</x:v>
      </x:c>
      <x:c r="N551" s="21" t="n">
        <x:f>IF(AND(L550=1,M550=1,P550&gt;0),1,0)</x:f>
        <x:v>0</x:v>
      </x:c>
      <x:c r="O551" s="21" t="n">
        <x:f>MIN('Root Data'!I169:I171)</x:f>
        <x:v>0</x:v>
      </x:c>
      <x:c r="P551" s="44" t="n">
        <x:f>IF(AND(L551=1,M551=1,N551=1,O551&gt;=G551),K551,0)</x:f>
        <x:v>0</x:v>
      </x:c>
      <x:c r="Q551" s="21" t="str">
        <x:v>OPEN</x:v>
      </x:c>
      <x:c r="R551" s="23" t="str">
        <x:v>HOLD</x:v>
      </x:c>
    </x:row>
    <x:row r="552">
      <x:c r="B552" s="21" t="str">
        <x:v>AR-00546</x:v>
      </x:c>
      <x:c r="C552" s="21" t="str">
        <x:v>F14-I3</x:v>
      </x:c>
      <x:c r="D552" s="21" t="str">
        <x:v>F14</x:v>
      </x:c>
      <x:c r="E552" s="21" t="n">
        <x:v>6</x:v>
      </x:c>
      <x:c r="F552" s="21" t="str">
        <x:v>Representative mission result</x:v>
      </x:c>
      <x:c r="G552" s="21" t="n">
        <x:v>23</x:v>
      </x:c>
      <x:c r="H552" s="21" t="str">
        <x:v>Receiving Service Authority</x:v>
      </x:c>
      <x:c r="I552" s="44" t="n">
        <x:f>Lifecycle!G12</x:f>
        <x:v>0.250345872587127</x:v>
      </x:c>
      <x:c r="J552" s="44" t="n">
        <x:v>0.075</x:v>
      </x:c>
      <x:c r="K552" s="44" t="n">
        <x:f>I552*J552</x:f>
        <x:v>0.018775940444034522</x:v>
      </x:c>
      <x:c r="L552" s="46" t="n">
        <x:v>0</x:v>
      </x:c>
      <x:c r="M552" s="46" t="n">
        <x:v>0</x:v>
      </x:c>
      <x:c r="N552" s="21" t="n">
        <x:f>IF(AND(L551=1,M551=1,P551&gt;0),1,0)</x:f>
        <x:v>0</x:v>
      </x:c>
      <x:c r="O552" s="21" t="n">
        <x:f>MIN('Root Data'!I169:I171)</x:f>
        <x:v>0</x:v>
      </x:c>
      <x:c r="P552" s="44" t="n">
        <x:f>IF(AND(L552=1,M552=1,N552=1,O552&gt;=G552),K552,0)</x:f>
        <x:v>0</x:v>
      </x:c>
      <x:c r="Q552" s="21" t="str">
        <x:v>OPEN</x:v>
      </x:c>
      <x:c r="R552" s="23" t="str">
        <x:v>HOLD</x:v>
      </x:c>
    </x:row>
    <x:row r="553">
      <x:c r="B553" s="21" t="str">
        <x:v>AR-00547</x:v>
      </x:c>
      <x:c r="C553" s="21" t="str">
        <x:v>F14-I3</x:v>
      </x:c>
      <x:c r="D553" s="21" t="str">
        <x:v>F14</x:v>
      </x:c>
      <x:c r="E553" s="21" t="n">
        <x:v>7</x:v>
      </x:c>
      <x:c r="F553" s="21" t="str">
        <x:v>Independent reproduction</x:v>
      </x:c>
      <x:c r="G553" s="21" t="n">
        <x:v>28</x:v>
      </x:c>
      <x:c r="H553" s="21" t="str">
        <x:v>Independent Evidence and Data Authority</x:v>
      </x:c>
      <x:c r="I553" s="44" t="n">
        <x:f>Lifecycle!G13</x:f>
        <x:v>0.21740562619408393</x:v>
      </x:c>
      <x:c r="J553" s="44" t="n">
        <x:v>0.075</x:v>
      </x:c>
      <x:c r="K553" s="44" t="n">
        <x:f>I553*J553</x:f>
        <x:v>0.016305421964556293</x:v>
      </x:c>
      <x:c r="L553" s="46" t="n">
        <x:v>0</x:v>
      </x:c>
      <x:c r="M553" s="46" t="n">
        <x:v>0</x:v>
      </x:c>
      <x:c r="N553" s="21" t="n">
        <x:f>IF(AND(L552=1,M552=1,P552&gt;0),1,0)</x:f>
        <x:v>0</x:v>
      </x:c>
      <x:c r="O553" s="21" t="n">
        <x:f>MIN('Root Data'!I169:I171)</x:f>
        <x:v>0</x:v>
      </x:c>
      <x:c r="P553" s="44" t="n">
        <x:f>IF(AND(L553=1,M553=1,N553=1,O553&gt;=G553),K553,0)</x:f>
        <x:v>0</x:v>
      </x:c>
      <x:c r="Q553" s="21" t="str">
        <x:v>OPEN</x:v>
      </x:c>
      <x:c r="R553" s="23" t="str">
        <x:v>HOLD</x:v>
      </x:c>
    </x:row>
    <x:row r="554">
      <x:c r="B554" s="21" t="str">
        <x:v>AR-00548</x:v>
      </x:c>
      <x:c r="C554" s="21" t="str">
        <x:v>F14-I3</x:v>
      </x:c>
      <x:c r="D554" s="21" t="str">
        <x:v>F14</x:v>
      </x:c>
      <x:c r="E554" s="21" t="n">
        <x:v>8</x:v>
      </x:c>
      <x:c r="F554" s="21" t="str">
        <x:v>Pilot-process qualification</x:v>
      </x:c>
      <x:c r="G554" s="21" t="n">
        <x:v>28</x:v>
      </x:c>
      <x:c r="H554" s="21" t="str">
        <x:v>AIMC Industrial Mobilization Authority</x:v>
      </x:c>
      <x:c r="I554" s="44" t="n">
        <x:f>Lifecycle!G14</x:f>
        <x:v>0.03952829567165163</x:v>
      </x:c>
      <x:c r="J554" s="44" t="n">
        <x:v>0.075</x:v>
      </x:c>
      <x:c r="K554" s="44" t="n">
        <x:f>I554*J554</x:f>
        <x:v>0.002964622175373872</x:v>
      </x:c>
      <x:c r="L554" s="46" t="n">
        <x:v>0</x:v>
      </x:c>
      <x:c r="M554" s="46" t="n">
        <x:v>0</x:v>
      </x:c>
      <x:c r="N554" s="21" t="n">
        <x:f>IF(AND(L553=1,M553=1,P553&gt;0),1,0)</x:f>
        <x:v>0</x:v>
      </x:c>
      <x:c r="O554" s="21" t="n">
        <x:f>MIN('Root Data'!I169:I171)</x:f>
        <x:v>0</x:v>
      </x:c>
      <x:c r="P554" s="44" t="n">
        <x:f>IF(AND(L554=1,M554=1,N554=1,O554&gt;=G554),K554,0)</x:f>
        <x:v>0</x:v>
      </x:c>
      <x:c r="Q554" s="21" t="str">
        <x:v>OPEN</x:v>
      </x:c>
      <x:c r="R554" s="23" t="str">
        <x:v>HOLD</x:v>
      </x:c>
    </x:row>
    <x:row r="555">
      <x:c r="B555" s="21" t="str">
        <x:v>AR-00549</x:v>
      </x:c>
      <x:c r="C555" s="21" t="str">
        <x:v>F14-I3</x:v>
      </x:c>
      <x:c r="D555" s="21" t="str">
        <x:v>F14</x:v>
      </x:c>
      <x:c r="E555" s="21" t="n">
        <x:v>9</x:v>
      </x:c>
      <x:c r="F555" s="21" t="str">
        <x:v>Production release package</x:v>
      </x:c>
      <x:c r="G555" s="21" t="n">
        <x:v>28</x:v>
      </x:c>
      <x:c r="H555" s="21" t="str">
        <x:v>Production Release Board</x:v>
      </x:c>
      <x:c r="I555" s="44" t="n">
        <x:f>Lifecycle!G15</x:f>
        <x:v>0.01647012319652151</x:v>
      </x:c>
      <x:c r="J555" s="44" t="n">
        <x:v>0.075</x:v>
      </x:c>
      <x:c r="K555" s="44" t="n">
        <x:f>I555*J555</x:f>
        <x:v>0.0012352592397391132</x:v>
      </x:c>
      <x:c r="L555" s="46" t="n">
        <x:v>0</x:v>
      </x:c>
      <x:c r="M555" s="46" t="n">
        <x:v>0</x:v>
      </x:c>
      <x:c r="N555" s="21" t="n">
        <x:f>IF(AND(L554=1,M554=1,P554&gt;0),1,0)</x:f>
        <x:v>0</x:v>
      </x:c>
      <x:c r="O555" s="21" t="n">
        <x:f>MIN('Root Data'!I169:I171)</x:f>
        <x:v>0</x:v>
      </x:c>
      <x:c r="P555" s="44" t="n">
        <x:f>IF(AND(L555=1,M555=1,N555=1,O555&gt;=G555),K555,0)</x:f>
        <x:v>0</x:v>
      </x:c>
      <x:c r="Q555" s="21" t="str">
        <x:v>OPEN</x:v>
      </x:c>
      <x:c r="R555" s="23" t="str">
        <x:v>HOLD</x:v>
      </x:c>
    </x:row>
    <x:row r="556">
      <x:c r="B556" s="21" t="str">
        <x:v>AR-00550</x:v>
      </x:c>
      <x:c r="C556" s="21" t="str">
        <x:v>F14-I3</x:v>
      </x:c>
      <x:c r="D556" s="21" t="str">
        <x:v>F14</x:v>
      </x:c>
      <x:c r="E556" s="21" t="n">
        <x:v>10</x:v>
      </x:c>
      <x:c r="F556" s="21" t="str">
        <x:v>Mobilization activation</x:v>
      </x:c>
      <x:c r="G556" s="21" t="n">
        <x:v>28</x:v>
      </x:c>
      <x:c r="H556" s="21" t="str">
        <x:v>Production Release Board</x:v>
      </x:c>
      <x:c r="I556" s="44" t="n">
        <x:f>Lifecycle!G16</x:f>
        <x:v>0.028262731405230914</x:v>
      </x:c>
      <x:c r="J556" s="44" t="n">
        <x:v>0.075</x:v>
      </x:c>
      <x:c r="K556" s="44" t="n">
        <x:f>I556*J556</x:f>
        <x:v>0.0021197048553923186</x:v>
      </x:c>
      <x:c r="L556" s="46" t="n">
        <x:v>0</x:v>
      </x:c>
      <x:c r="M556" s="46" t="n">
        <x:v>0</x:v>
      </x:c>
      <x:c r="N556" s="21" t="n">
        <x:f>IF(AND(L555=1,M555=1,P555&gt;0),1,0)</x:f>
        <x:v>0</x:v>
      </x:c>
      <x:c r="O556" s="21" t="n">
        <x:f>MIN('Root Data'!I169:I171)</x:f>
        <x:v>0</x:v>
      </x:c>
      <x:c r="P556" s="44" t="n">
        <x:f>IF(AND(L556=1,M556=1,N556=1,O556&gt;=G556),K556,0)</x:f>
        <x:v>0</x:v>
      </x:c>
      <x:c r="Q556" s="21" t="str">
        <x:v>OPEN</x:v>
      </x:c>
      <x:c r="R556" s="23" t="str">
        <x:v>HOLD</x:v>
      </x:c>
    </x:row>
    <x:row r="557">
      <x:c r="B557" s="21" t="str">
        <x:v>AR-00551</x:v>
      </x:c>
      <x:c r="C557" s="21" t="str">
        <x:v>F14-I4</x:v>
      </x:c>
      <x:c r="D557" s="21" t="str">
        <x:v>F14</x:v>
      </x:c>
      <x:c r="E557" s="21" t="n">
        <x:v>1</x:v>
      </x:c>
      <x:c r="F557" s="21" t="str">
        <x:v>Civil effect charter</x:v>
      </x:c>
      <x:c r="G557" s="21" t="n">
        <x:v>0</x:v>
      </x:c>
      <x:c r="H557" s="21" t="str">
        <x:v>Civil Guarantee Authority</x:v>
      </x:c>
      <x:c r="I557" s="44" t="n">
        <x:f>Lifecycle!G7</x:f>
        <x:v>0.04941036958956453</x:v>
      </x:c>
      <x:c r="J557" s="44" t="n">
        <x:v>0.075</x:v>
      </x:c>
      <x:c r="K557" s="44" t="n">
        <x:f>I557*J557</x:f>
        <x:v>0.0037057777192173397</x:v>
      </x:c>
      <x:c r="L557" s="46" t="n">
        <x:v>0</x:v>
      </x:c>
      <x:c r="M557" s="46" t="n">
        <x:v>0</x:v>
      </x:c>
      <x:c r="N557" s="21" t="n">
        <x:f>1</x:f>
        <x:v>1</x:v>
      </x:c>
      <x:c r="O557" s="21" t="n">
        <x:f>MIN('Root Data'!I172:I174)</x:f>
        <x:v>0</x:v>
      </x:c>
      <x:c r="P557" s="44" t="n">
        <x:f>IF(AND(L557=1,M557=1,N557=1,O557&gt;=G557),K557,0)</x:f>
        <x:v>0</x:v>
      </x:c>
      <x:c r="Q557" s="21" t="str">
        <x:v>OPEN</x:v>
      </x:c>
      <x:c r="R557" s="23" t="str">
        <x:v>HOLD</x:v>
      </x:c>
    </x:row>
    <x:row r="558">
      <x:c r="B558" s="21" t="str">
        <x:v>AR-00552</x:v>
      </x:c>
      <x:c r="C558" s="21" t="str">
        <x:v>F14-I4</x:v>
      </x:c>
      <x:c r="D558" s="21" t="str">
        <x:v>F14</x:v>
      </x:c>
      <x:c r="E558" s="21" t="n">
        <x:v>2</x:v>
      </x:c>
      <x:c r="F558" s="21" t="str">
        <x:v>Requirement and root-independence package</x:v>
      </x:c>
      <x:c r="G558" s="21" t="n">
        <x:v>8</x:v>
      </x:c>
      <x:c r="H558" s="21" t="str">
        <x:v>Resilience Staff</x:v>
      </x:c>
      <x:c r="I558" s="44" t="n">
        <x:f>Lifecycle!G8</x:f>
        <x:v>0.10211476381843337</x:v>
      </x:c>
      <x:c r="J558" s="44" t="n">
        <x:v>0.075</x:v>
      </x:c>
      <x:c r="K558" s="44" t="n">
        <x:f>I558*J558</x:f>
        <x:v>0.007658607286382502</x:v>
      </x:c>
      <x:c r="L558" s="46" t="n">
        <x:v>0</x:v>
      </x:c>
      <x:c r="M558" s="46" t="n">
        <x:v>0</x:v>
      </x:c>
      <x:c r="N558" s="21" t="n">
        <x:f>IF(AND(L557=1,M557=1,P557&gt;0),1,0)</x:f>
        <x:v>0</x:v>
      </x:c>
      <x:c r="O558" s="21" t="n">
        <x:f>MIN('Root Data'!I172:I174)</x:f>
        <x:v>0</x:v>
      </x:c>
      <x:c r="P558" s="44" t="n">
        <x:f>IF(AND(L558=1,M558=1,N558=1,O558&gt;=G558),K558,0)</x:f>
        <x:v>0</x:v>
      </x:c>
      <x:c r="Q558" s="21" t="str">
        <x:v>OPEN</x:v>
      </x:c>
      <x:c r="R558" s="23" t="str">
        <x:v>HOLD</x:v>
      </x:c>
    </x:row>
    <x:row r="559">
      <x:c r="B559" s="21" t="str">
        <x:v>AR-00553</x:v>
      </x:c>
      <x:c r="C559" s="21" t="str">
        <x:v>F14-I4</x:v>
      </x:c>
      <x:c r="D559" s="21" t="str">
        <x:v>F14</x:v>
      </x:c>
      <x:c r="E559" s="21" t="n">
        <x:v>3</x:v>
      </x:c>
      <x:c r="F559" s="21" t="str">
        <x:v>Architecture and burden closure</x:v>
      </x:c>
      <x:c r="G559" s="21" t="n">
        <x:v>14</x:v>
      </x:c>
      <x:c r="H559" s="21" t="str">
        <x:v>Independent Evidence and Data Authority</x:v>
      </x:c>
      <x:c r="I559" s="44" t="n">
        <x:f>Lifecycle!G9</x:f>
        <x:v>0.08564464062191186</x:v>
      </x:c>
      <x:c r="J559" s="44" t="n">
        <x:v>0.075</x:v>
      </x:c>
      <x:c r="K559" s="44" t="n">
        <x:f>I559*J559</x:f>
        <x:v>0.006423348046643389</x:v>
      </x:c>
      <x:c r="L559" s="46" t="n">
        <x:v>0</x:v>
      </x:c>
      <x:c r="M559" s="46" t="n">
        <x:v>0</x:v>
      </x:c>
      <x:c r="N559" s="21" t="n">
        <x:f>IF(AND(L558=1,M558=1,P558&gt;0),1,0)</x:f>
        <x:v>0</x:v>
      </x:c>
      <x:c r="O559" s="21" t="n">
        <x:f>MIN('Root Data'!I172:I174)</x:f>
        <x:v>0</x:v>
      </x:c>
      <x:c r="P559" s="44" t="n">
        <x:f>IF(AND(L559=1,M559=1,N559=1,O559&gt;=G559),K559,0)</x:f>
        <x:v>0</x:v>
      </x:c>
      <x:c r="Q559" s="21" t="str">
        <x:v>OPEN</x:v>
      </x:c>
      <x:c r="R559" s="23" t="str">
        <x:v>HOLD</x:v>
      </x:c>
    </x:row>
    <x:row r="560">
      <x:c r="B560" s="21" t="str">
        <x:v>AR-00554</x:v>
      </x:c>
      <x:c r="C560" s="21" t="str">
        <x:v>F14-I4</x:v>
      </x:c>
      <x:c r="D560" s="21" t="str">
        <x:v>F14</x:v>
      </x:c>
      <x:c r="E560" s="21" t="n">
        <x:v>4</x:v>
      </x:c>
      <x:c r="F560" s="21" t="str">
        <x:v>Engineering article acceptance</x:v>
      </x:c>
      <x:c r="G560" s="21" t="n">
        <x:v>18</x:v>
      </x:c>
      <x:c r="H560" s="21" t="str">
        <x:v>Independent Evidence and Data Authority</x:v>
      </x:c>
      <x:c r="I560" s="44" t="n">
        <x:f>Lifecycle!G10</x:f>
        <x:v>0.05929244350747744</x:v>
      </x:c>
      <x:c r="J560" s="44" t="n">
        <x:v>0.075</x:v>
      </x:c>
      <x:c r="K560" s="44" t="n">
        <x:f>I560*J560</x:f>
        <x:v>0.004446933263060808</x:v>
      </x:c>
      <x:c r="L560" s="46" t="n">
        <x:v>0</x:v>
      </x:c>
      <x:c r="M560" s="46" t="n">
        <x:v>0</x:v>
      </x:c>
      <x:c r="N560" s="21" t="n">
        <x:f>IF(AND(L559=1,M559=1,P559&gt;0),1,0)</x:f>
        <x:v>0</x:v>
      </x:c>
      <x:c r="O560" s="21" t="n">
        <x:f>MIN('Root Data'!I172:I174)</x:f>
        <x:v>0</x:v>
      </x:c>
      <x:c r="P560" s="44" t="n">
        <x:f>IF(AND(L560=1,M560=1,N560=1,O560&gt;=G560),K560,0)</x:f>
        <x:v>0</x:v>
      </x:c>
      <x:c r="Q560" s="21" t="str">
        <x:v>OPEN</x:v>
      </x:c>
      <x:c r="R560" s="23" t="str">
        <x:v>HOLD</x:v>
      </x:c>
    </x:row>
    <x:row r="561">
      <x:c r="B561" s="21" t="str">
        <x:v>AR-00555</x:v>
      </x:c>
      <x:c r="C561" s="21" t="str">
        <x:v>F14-I4</x:v>
      </x:c>
      <x:c r="D561" s="21" t="str">
        <x:v>F14</x:v>
      </x:c>
      <x:c r="E561" s="21" t="n">
        <x:v>5</x:v>
      </x:c>
      <x:c r="F561" s="21" t="str">
        <x:v>Qualification and destructive evidence</x:v>
      </x:c>
      <x:c r="G561" s="21" t="n">
        <x:v>21</x:v>
      </x:c>
      <x:c r="H561" s="21" t="str">
        <x:v>Independent Evidence and Data Authority</x:v>
      </x:c>
      <x:c r="I561" s="44" t="n">
        <x:f>Lifecycle!G11</x:f>
        <x:v>0.1515251334079979</x:v>
      </x:c>
      <x:c r="J561" s="44" t="n">
        <x:v>0.075</x:v>
      </x:c>
      <x:c r="K561" s="44" t="n">
        <x:f>I561*J561</x:f>
        <x:v>0.011364385005599841</x:v>
      </x:c>
      <x:c r="L561" s="46" t="n">
        <x:v>0</x:v>
      </x:c>
      <x:c r="M561" s="46" t="n">
        <x:v>0</x:v>
      </x:c>
      <x:c r="N561" s="21" t="n">
        <x:f>IF(AND(L560=1,M560=1,P560&gt;0),1,0)</x:f>
        <x:v>0</x:v>
      </x:c>
      <x:c r="O561" s="21" t="n">
        <x:f>MIN('Root Data'!I172:I174)</x:f>
        <x:v>0</x:v>
      </x:c>
      <x:c r="P561" s="44" t="n">
        <x:f>IF(AND(L561=1,M561=1,N561=1,O561&gt;=G561),K561,0)</x:f>
        <x:v>0</x:v>
      </x:c>
      <x:c r="Q561" s="21" t="str">
        <x:v>OPEN</x:v>
      </x:c>
      <x:c r="R561" s="23" t="str">
        <x:v>HOLD</x:v>
      </x:c>
    </x:row>
    <x:row r="562">
      <x:c r="B562" s="21" t="str">
        <x:v>AR-00556</x:v>
      </x:c>
      <x:c r="C562" s="21" t="str">
        <x:v>F14-I4</x:v>
      </x:c>
      <x:c r="D562" s="21" t="str">
        <x:v>F14</x:v>
      </x:c>
      <x:c r="E562" s="21" t="n">
        <x:v>6</x:v>
      </x:c>
      <x:c r="F562" s="21" t="str">
        <x:v>Representative mission result</x:v>
      </x:c>
      <x:c r="G562" s="21" t="n">
        <x:v>23</x:v>
      </x:c>
      <x:c r="H562" s="21" t="str">
        <x:v>Receiving Service Authority</x:v>
      </x:c>
      <x:c r="I562" s="44" t="n">
        <x:f>Lifecycle!G12</x:f>
        <x:v>0.250345872587127</x:v>
      </x:c>
      <x:c r="J562" s="44" t="n">
        <x:v>0.075</x:v>
      </x:c>
      <x:c r="K562" s="44" t="n">
        <x:f>I562*J562</x:f>
        <x:v>0.018775940444034522</x:v>
      </x:c>
      <x:c r="L562" s="46" t="n">
        <x:v>0</x:v>
      </x:c>
      <x:c r="M562" s="46" t="n">
        <x:v>0</x:v>
      </x:c>
      <x:c r="N562" s="21" t="n">
        <x:f>IF(AND(L561=1,M561=1,P561&gt;0),1,0)</x:f>
        <x:v>0</x:v>
      </x:c>
      <x:c r="O562" s="21" t="n">
        <x:f>MIN('Root Data'!I172:I174)</x:f>
        <x:v>0</x:v>
      </x:c>
      <x:c r="P562" s="44" t="n">
        <x:f>IF(AND(L562=1,M562=1,N562=1,O562&gt;=G562),K562,0)</x:f>
        <x:v>0</x:v>
      </x:c>
      <x:c r="Q562" s="21" t="str">
        <x:v>OPEN</x:v>
      </x:c>
      <x:c r="R562" s="23" t="str">
        <x:v>HOLD</x:v>
      </x:c>
    </x:row>
    <x:row r="563">
      <x:c r="B563" s="21" t="str">
        <x:v>AR-00557</x:v>
      </x:c>
      <x:c r="C563" s="21" t="str">
        <x:v>F14-I4</x:v>
      </x:c>
      <x:c r="D563" s="21" t="str">
        <x:v>F14</x:v>
      </x:c>
      <x:c r="E563" s="21" t="n">
        <x:v>7</x:v>
      </x:c>
      <x:c r="F563" s="21" t="str">
        <x:v>Independent reproduction</x:v>
      </x:c>
      <x:c r="G563" s="21" t="n">
        <x:v>28</x:v>
      </x:c>
      <x:c r="H563" s="21" t="str">
        <x:v>Independent Evidence and Data Authority</x:v>
      </x:c>
      <x:c r="I563" s="44" t="n">
        <x:f>Lifecycle!G13</x:f>
        <x:v>0.21740562619408393</x:v>
      </x:c>
      <x:c r="J563" s="44" t="n">
        <x:v>0.075</x:v>
      </x:c>
      <x:c r="K563" s="44" t="n">
        <x:f>I563*J563</x:f>
        <x:v>0.016305421964556293</x:v>
      </x:c>
      <x:c r="L563" s="46" t="n">
        <x:v>0</x:v>
      </x:c>
      <x:c r="M563" s="46" t="n">
        <x:v>0</x:v>
      </x:c>
      <x:c r="N563" s="21" t="n">
        <x:f>IF(AND(L562=1,M562=1,P562&gt;0),1,0)</x:f>
        <x:v>0</x:v>
      </x:c>
      <x:c r="O563" s="21" t="n">
        <x:f>MIN('Root Data'!I172:I174)</x:f>
        <x:v>0</x:v>
      </x:c>
      <x:c r="P563" s="44" t="n">
        <x:f>IF(AND(L563=1,M563=1,N563=1,O563&gt;=G563),K563,0)</x:f>
        <x:v>0</x:v>
      </x:c>
      <x:c r="Q563" s="21" t="str">
        <x:v>OPEN</x:v>
      </x:c>
      <x:c r="R563" s="23" t="str">
        <x:v>HOLD</x:v>
      </x:c>
    </x:row>
    <x:row r="564">
      <x:c r="B564" s="21" t="str">
        <x:v>AR-00558</x:v>
      </x:c>
      <x:c r="C564" s="21" t="str">
        <x:v>F14-I4</x:v>
      </x:c>
      <x:c r="D564" s="21" t="str">
        <x:v>F14</x:v>
      </x:c>
      <x:c r="E564" s="21" t="n">
        <x:v>8</x:v>
      </x:c>
      <x:c r="F564" s="21" t="str">
        <x:v>Pilot-process qualification</x:v>
      </x:c>
      <x:c r="G564" s="21" t="n">
        <x:v>28</x:v>
      </x:c>
      <x:c r="H564" s="21" t="str">
        <x:v>AIMC Industrial Mobilization Authority</x:v>
      </x:c>
      <x:c r="I564" s="44" t="n">
        <x:f>Lifecycle!G14</x:f>
        <x:v>0.03952829567165163</x:v>
      </x:c>
      <x:c r="J564" s="44" t="n">
        <x:v>0.075</x:v>
      </x:c>
      <x:c r="K564" s="44" t="n">
        <x:f>I564*J564</x:f>
        <x:v>0.002964622175373872</x:v>
      </x:c>
      <x:c r="L564" s="46" t="n">
        <x:v>0</x:v>
      </x:c>
      <x:c r="M564" s="46" t="n">
        <x:v>0</x:v>
      </x:c>
      <x:c r="N564" s="21" t="n">
        <x:f>IF(AND(L563=1,M563=1,P563&gt;0),1,0)</x:f>
        <x:v>0</x:v>
      </x:c>
      <x:c r="O564" s="21" t="n">
        <x:f>MIN('Root Data'!I172:I174)</x:f>
        <x:v>0</x:v>
      </x:c>
      <x:c r="P564" s="44" t="n">
        <x:f>IF(AND(L564=1,M564=1,N564=1,O564&gt;=G564),K564,0)</x:f>
        <x:v>0</x:v>
      </x:c>
      <x:c r="Q564" s="21" t="str">
        <x:v>OPEN</x:v>
      </x:c>
      <x:c r="R564" s="23" t="str">
        <x:v>HOLD</x:v>
      </x:c>
    </x:row>
    <x:row r="565">
      <x:c r="B565" s="21" t="str">
        <x:v>AR-00559</x:v>
      </x:c>
      <x:c r="C565" s="21" t="str">
        <x:v>F14-I4</x:v>
      </x:c>
      <x:c r="D565" s="21" t="str">
        <x:v>F14</x:v>
      </x:c>
      <x:c r="E565" s="21" t="n">
        <x:v>9</x:v>
      </x:c>
      <x:c r="F565" s="21" t="str">
        <x:v>Production release package</x:v>
      </x:c>
      <x:c r="G565" s="21" t="n">
        <x:v>28</x:v>
      </x:c>
      <x:c r="H565" s="21" t="str">
        <x:v>Production Release Board</x:v>
      </x:c>
      <x:c r="I565" s="44" t="n">
        <x:f>Lifecycle!G15</x:f>
        <x:v>0.01647012319652151</x:v>
      </x:c>
      <x:c r="J565" s="44" t="n">
        <x:v>0.075</x:v>
      </x:c>
      <x:c r="K565" s="44" t="n">
        <x:f>I565*J565</x:f>
        <x:v>0.0012352592397391132</x:v>
      </x:c>
      <x:c r="L565" s="46" t="n">
        <x:v>0</x:v>
      </x:c>
      <x:c r="M565" s="46" t="n">
        <x:v>0</x:v>
      </x:c>
      <x:c r="N565" s="21" t="n">
        <x:f>IF(AND(L564=1,M564=1,P564&gt;0),1,0)</x:f>
        <x:v>0</x:v>
      </x:c>
      <x:c r="O565" s="21" t="n">
        <x:f>MIN('Root Data'!I172:I174)</x:f>
        <x:v>0</x:v>
      </x:c>
      <x:c r="P565" s="44" t="n">
        <x:f>IF(AND(L565=1,M565=1,N565=1,O565&gt;=G565),K565,0)</x:f>
        <x:v>0</x:v>
      </x:c>
      <x:c r="Q565" s="21" t="str">
        <x:v>OPEN</x:v>
      </x:c>
      <x:c r="R565" s="23" t="str">
        <x:v>HOLD</x:v>
      </x:c>
    </x:row>
    <x:row r="566">
      <x:c r="B566" s="21" t="str">
        <x:v>AR-00560</x:v>
      </x:c>
      <x:c r="C566" s="21" t="str">
        <x:v>F14-I4</x:v>
      </x:c>
      <x:c r="D566" s="21" t="str">
        <x:v>F14</x:v>
      </x:c>
      <x:c r="E566" s="21" t="n">
        <x:v>10</x:v>
      </x:c>
      <x:c r="F566" s="21" t="str">
        <x:v>Mobilization activation</x:v>
      </x:c>
      <x:c r="G566" s="21" t="n">
        <x:v>28</x:v>
      </x:c>
      <x:c r="H566" s="21" t="str">
        <x:v>Production Release Board</x:v>
      </x:c>
      <x:c r="I566" s="44" t="n">
        <x:f>Lifecycle!G16</x:f>
        <x:v>0.028262731405230914</x:v>
      </x:c>
      <x:c r="J566" s="44" t="n">
        <x:v>0.075</x:v>
      </x:c>
      <x:c r="K566" s="44" t="n">
        <x:f>I566*J566</x:f>
        <x:v>0.0021197048553923186</x:v>
      </x:c>
      <x:c r="L566" s="46" t="n">
        <x:v>0</x:v>
      </x:c>
      <x:c r="M566" s="46" t="n">
        <x:v>0</x:v>
      </x:c>
      <x:c r="N566" s="21" t="n">
        <x:f>IF(AND(L565=1,M565=1,P565&gt;0),1,0)</x:f>
        <x:v>0</x:v>
      </x:c>
      <x:c r="O566" s="21" t="n">
        <x:f>MIN('Root Data'!I172:I174)</x:f>
        <x:v>0</x:v>
      </x:c>
      <x:c r="P566" s="44" t="n">
        <x:f>IF(AND(L566=1,M566=1,N566=1,O566&gt;=G566),K566,0)</x:f>
        <x:v>0</x:v>
      </x:c>
      <x:c r="Q566" s="21" t="str">
        <x:v>OPEN</x:v>
      </x:c>
      <x:c r="R566" s="23" t="str">
        <x:v>HOLD</x:v>
      </x:c>
    </x:row>
    <x:row r="567">
      <x:c r="B567" s="21" t="str">
        <x:v>AR-00561</x:v>
      </x:c>
      <x:c r="C567" s="21" t="str">
        <x:v>F15-I1</x:v>
      </x:c>
      <x:c r="D567" s="21" t="str">
        <x:v>F15</x:v>
      </x:c>
      <x:c r="E567" s="21" t="n">
        <x:v>1</x:v>
      </x:c>
      <x:c r="F567" s="21" t="str">
        <x:v>Civil effect charter</x:v>
      </x:c>
      <x:c r="G567" s="21" t="n">
        <x:v>0</x:v>
      </x:c>
      <x:c r="H567" s="21" t="str">
        <x:v>Civil Guarantee Authority</x:v>
      </x:c>
      <x:c r="I567" s="44" t="n">
        <x:f>Lifecycle!G7</x:f>
        <x:v>0.04941036958956453</x:v>
      </x:c>
      <x:c r="J567" s="44" t="n">
        <x:v>0.075</x:v>
      </x:c>
      <x:c r="K567" s="44" t="n">
        <x:f>I567*J567</x:f>
        <x:v>0.0037057777192173397</x:v>
      </x:c>
      <x:c r="L567" s="46" t="n">
        <x:v>0</x:v>
      </x:c>
      <x:c r="M567" s="46" t="n">
        <x:v>0</x:v>
      </x:c>
      <x:c r="N567" s="21" t="n">
        <x:f>1</x:f>
        <x:v>1</x:v>
      </x:c>
      <x:c r="O567" s="21" t="n">
        <x:f>MIN('Root Data'!I175:I177)</x:f>
        <x:v>0</x:v>
      </x:c>
      <x:c r="P567" s="44" t="n">
        <x:f>IF(AND(L567=1,M567=1,N567=1,O567&gt;=G567),K567,0)</x:f>
        <x:v>0</x:v>
      </x:c>
      <x:c r="Q567" s="21" t="str">
        <x:v>OPEN</x:v>
      </x:c>
      <x:c r="R567" s="23" t="str">
        <x:v>HOLD</x:v>
      </x:c>
    </x:row>
    <x:row r="568">
      <x:c r="B568" s="21" t="str">
        <x:v>AR-00562</x:v>
      </x:c>
      <x:c r="C568" s="21" t="str">
        <x:v>F15-I1</x:v>
      </x:c>
      <x:c r="D568" s="21" t="str">
        <x:v>F15</x:v>
      </x:c>
      <x:c r="E568" s="21" t="n">
        <x:v>2</x:v>
      </x:c>
      <x:c r="F568" s="21" t="str">
        <x:v>Requirement and root-independence package</x:v>
      </x:c>
      <x:c r="G568" s="21" t="n">
        <x:v>8</x:v>
      </x:c>
      <x:c r="H568" s="21" t="str">
        <x:v>Resilience Staff</x:v>
      </x:c>
      <x:c r="I568" s="44" t="n">
        <x:f>Lifecycle!G8</x:f>
        <x:v>0.10211476381843337</x:v>
      </x:c>
      <x:c r="J568" s="44" t="n">
        <x:v>0.075</x:v>
      </x:c>
      <x:c r="K568" s="44" t="n">
        <x:f>I568*J568</x:f>
        <x:v>0.007658607286382502</x:v>
      </x:c>
      <x:c r="L568" s="46" t="n">
        <x:v>0</x:v>
      </x:c>
      <x:c r="M568" s="46" t="n">
        <x:v>0</x:v>
      </x:c>
      <x:c r="N568" s="21" t="n">
        <x:f>IF(AND(L567=1,M567=1,P567&gt;0),1,0)</x:f>
        <x:v>0</x:v>
      </x:c>
      <x:c r="O568" s="21" t="n">
        <x:f>MIN('Root Data'!I175:I177)</x:f>
        <x:v>0</x:v>
      </x:c>
      <x:c r="P568" s="44" t="n">
        <x:f>IF(AND(L568=1,M568=1,N568=1,O568&gt;=G568),K568,0)</x:f>
        <x:v>0</x:v>
      </x:c>
      <x:c r="Q568" s="21" t="str">
        <x:v>OPEN</x:v>
      </x:c>
      <x:c r="R568" s="23" t="str">
        <x:v>HOLD</x:v>
      </x:c>
    </x:row>
    <x:row r="569">
      <x:c r="B569" s="21" t="str">
        <x:v>AR-00563</x:v>
      </x:c>
      <x:c r="C569" s="21" t="str">
        <x:v>F15-I1</x:v>
      </x:c>
      <x:c r="D569" s="21" t="str">
        <x:v>F15</x:v>
      </x:c>
      <x:c r="E569" s="21" t="n">
        <x:v>3</x:v>
      </x:c>
      <x:c r="F569" s="21" t="str">
        <x:v>Architecture and burden closure</x:v>
      </x:c>
      <x:c r="G569" s="21" t="n">
        <x:v>14</x:v>
      </x:c>
      <x:c r="H569" s="21" t="str">
        <x:v>Independent Evidence and Data Authority</x:v>
      </x:c>
      <x:c r="I569" s="44" t="n">
        <x:f>Lifecycle!G9</x:f>
        <x:v>0.08564464062191186</x:v>
      </x:c>
      <x:c r="J569" s="44" t="n">
        <x:v>0.075</x:v>
      </x:c>
      <x:c r="K569" s="44" t="n">
        <x:f>I569*J569</x:f>
        <x:v>0.006423348046643389</x:v>
      </x:c>
      <x:c r="L569" s="46" t="n">
        <x:v>0</x:v>
      </x:c>
      <x:c r="M569" s="46" t="n">
        <x:v>0</x:v>
      </x:c>
      <x:c r="N569" s="21" t="n">
        <x:f>IF(AND(L568=1,M568=1,P568&gt;0),1,0)</x:f>
        <x:v>0</x:v>
      </x:c>
      <x:c r="O569" s="21" t="n">
        <x:f>MIN('Root Data'!I175:I177)</x:f>
        <x:v>0</x:v>
      </x:c>
      <x:c r="P569" s="44" t="n">
        <x:f>IF(AND(L569=1,M569=1,N569=1,O569&gt;=G569),K569,0)</x:f>
        <x:v>0</x:v>
      </x:c>
      <x:c r="Q569" s="21" t="str">
        <x:v>OPEN</x:v>
      </x:c>
      <x:c r="R569" s="23" t="str">
        <x:v>HOLD</x:v>
      </x:c>
    </x:row>
    <x:row r="570">
      <x:c r="B570" s="21" t="str">
        <x:v>AR-00564</x:v>
      </x:c>
      <x:c r="C570" s="21" t="str">
        <x:v>F15-I1</x:v>
      </x:c>
      <x:c r="D570" s="21" t="str">
        <x:v>F15</x:v>
      </x:c>
      <x:c r="E570" s="21" t="n">
        <x:v>4</x:v>
      </x:c>
      <x:c r="F570" s="21" t="str">
        <x:v>Engineering article acceptance</x:v>
      </x:c>
      <x:c r="G570" s="21" t="n">
        <x:v>18</x:v>
      </x:c>
      <x:c r="H570" s="21" t="str">
        <x:v>Independent Evidence and Data Authority</x:v>
      </x:c>
      <x:c r="I570" s="44" t="n">
        <x:f>Lifecycle!G10</x:f>
        <x:v>0.05929244350747744</x:v>
      </x:c>
      <x:c r="J570" s="44" t="n">
        <x:v>0.075</x:v>
      </x:c>
      <x:c r="K570" s="44" t="n">
        <x:f>I570*J570</x:f>
        <x:v>0.004446933263060808</x:v>
      </x:c>
      <x:c r="L570" s="46" t="n">
        <x:v>0</x:v>
      </x:c>
      <x:c r="M570" s="46" t="n">
        <x:v>0</x:v>
      </x:c>
      <x:c r="N570" s="21" t="n">
        <x:f>IF(AND(L569=1,M569=1,P569&gt;0),1,0)</x:f>
        <x:v>0</x:v>
      </x:c>
      <x:c r="O570" s="21" t="n">
        <x:f>MIN('Root Data'!I175:I177)</x:f>
        <x:v>0</x:v>
      </x:c>
      <x:c r="P570" s="44" t="n">
        <x:f>IF(AND(L570=1,M570=1,N570=1,O570&gt;=G570),K570,0)</x:f>
        <x:v>0</x:v>
      </x:c>
      <x:c r="Q570" s="21" t="str">
        <x:v>OPEN</x:v>
      </x:c>
      <x:c r="R570" s="23" t="str">
        <x:v>HOLD</x:v>
      </x:c>
    </x:row>
    <x:row r="571">
      <x:c r="B571" s="21" t="str">
        <x:v>AR-00565</x:v>
      </x:c>
      <x:c r="C571" s="21" t="str">
        <x:v>F15-I1</x:v>
      </x:c>
      <x:c r="D571" s="21" t="str">
        <x:v>F15</x:v>
      </x:c>
      <x:c r="E571" s="21" t="n">
        <x:v>5</x:v>
      </x:c>
      <x:c r="F571" s="21" t="str">
        <x:v>Qualification and destructive evidence</x:v>
      </x:c>
      <x:c r="G571" s="21" t="n">
        <x:v>21</x:v>
      </x:c>
      <x:c r="H571" s="21" t="str">
        <x:v>Independent Evidence and Data Authority</x:v>
      </x:c>
      <x:c r="I571" s="44" t="n">
        <x:f>Lifecycle!G11</x:f>
        <x:v>0.1515251334079979</x:v>
      </x:c>
      <x:c r="J571" s="44" t="n">
        <x:v>0.075</x:v>
      </x:c>
      <x:c r="K571" s="44" t="n">
        <x:f>I571*J571</x:f>
        <x:v>0.011364385005599841</x:v>
      </x:c>
      <x:c r="L571" s="46" t="n">
        <x:v>0</x:v>
      </x:c>
      <x:c r="M571" s="46" t="n">
        <x:v>0</x:v>
      </x:c>
      <x:c r="N571" s="21" t="n">
        <x:f>IF(AND(L570=1,M570=1,P570&gt;0),1,0)</x:f>
        <x:v>0</x:v>
      </x:c>
      <x:c r="O571" s="21" t="n">
        <x:f>MIN('Root Data'!I175:I177)</x:f>
        <x:v>0</x:v>
      </x:c>
      <x:c r="P571" s="44" t="n">
        <x:f>IF(AND(L571=1,M571=1,N571=1,O571&gt;=G571),K571,0)</x:f>
        <x:v>0</x:v>
      </x:c>
      <x:c r="Q571" s="21" t="str">
        <x:v>OPEN</x:v>
      </x:c>
      <x:c r="R571" s="23" t="str">
        <x:v>HOLD</x:v>
      </x:c>
    </x:row>
    <x:row r="572">
      <x:c r="B572" s="21" t="str">
        <x:v>AR-00566</x:v>
      </x:c>
      <x:c r="C572" s="21" t="str">
        <x:v>F15-I1</x:v>
      </x:c>
      <x:c r="D572" s="21" t="str">
        <x:v>F15</x:v>
      </x:c>
      <x:c r="E572" s="21" t="n">
        <x:v>6</x:v>
      </x:c>
      <x:c r="F572" s="21" t="str">
        <x:v>Representative mission result</x:v>
      </x:c>
      <x:c r="G572" s="21" t="n">
        <x:v>23</x:v>
      </x:c>
      <x:c r="H572" s="21" t="str">
        <x:v>Receiving Service Authority</x:v>
      </x:c>
      <x:c r="I572" s="44" t="n">
        <x:f>Lifecycle!G12</x:f>
        <x:v>0.250345872587127</x:v>
      </x:c>
      <x:c r="J572" s="44" t="n">
        <x:v>0.075</x:v>
      </x:c>
      <x:c r="K572" s="44" t="n">
        <x:f>I572*J572</x:f>
        <x:v>0.018775940444034522</x:v>
      </x:c>
      <x:c r="L572" s="46" t="n">
        <x:v>0</x:v>
      </x:c>
      <x:c r="M572" s="46" t="n">
        <x:v>0</x:v>
      </x:c>
      <x:c r="N572" s="21" t="n">
        <x:f>IF(AND(L571=1,M571=1,P571&gt;0),1,0)</x:f>
        <x:v>0</x:v>
      </x:c>
      <x:c r="O572" s="21" t="n">
        <x:f>MIN('Root Data'!I175:I177)</x:f>
        <x:v>0</x:v>
      </x:c>
      <x:c r="P572" s="44" t="n">
        <x:f>IF(AND(L572=1,M572=1,N572=1,O572&gt;=G572),K572,0)</x:f>
        <x:v>0</x:v>
      </x:c>
      <x:c r="Q572" s="21" t="str">
        <x:v>OPEN</x:v>
      </x:c>
      <x:c r="R572" s="23" t="str">
        <x:v>HOLD</x:v>
      </x:c>
    </x:row>
    <x:row r="573">
      <x:c r="B573" s="21" t="str">
        <x:v>AR-00567</x:v>
      </x:c>
      <x:c r="C573" s="21" t="str">
        <x:v>F15-I1</x:v>
      </x:c>
      <x:c r="D573" s="21" t="str">
        <x:v>F15</x:v>
      </x:c>
      <x:c r="E573" s="21" t="n">
        <x:v>7</x:v>
      </x:c>
      <x:c r="F573" s="21" t="str">
        <x:v>Independent reproduction</x:v>
      </x:c>
      <x:c r="G573" s="21" t="n">
        <x:v>28</x:v>
      </x:c>
      <x:c r="H573" s="21" t="str">
        <x:v>Independent Evidence and Data Authority</x:v>
      </x:c>
      <x:c r="I573" s="44" t="n">
        <x:f>Lifecycle!G13</x:f>
        <x:v>0.21740562619408393</x:v>
      </x:c>
      <x:c r="J573" s="44" t="n">
        <x:v>0.075</x:v>
      </x:c>
      <x:c r="K573" s="44" t="n">
        <x:f>I573*J573</x:f>
        <x:v>0.016305421964556293</x:v>
      </x:c>
      <x:c r="L573" s="46" t="n">
        <x:v>0</x:v>
      </x:c>
      <x:c r="M573" s="46" t="n">
        <x:v>0</x:v>
      </x:c>
      <x:c r="N573" s="21" t="n">
        <x:f>IF(AND(L572=1,M572=1,P572&gt;0),1,0)</x:f>
        <x:v>0</x:v>
      </x:c>
      <x:c r="O573" s="21" t="n">
        <x:f>MIN('Root Data'!I175:I177)</x:f>
        <x:v>0</x:v>
      </x:c>
      <x:c r="P573" s="44" t="n">
        <x:f>IF(AND(L573=1,M573=1,N573=1,O573&gt;=G573),K573,0)</x:f>
        <x:v>0</x:v>
      </x:c>
      <x:c r="Q573" s="21" t="str">
        <x:v>OPEN</x:v>
      </x:c>
      <x:c r="R573" s="23" t="str">
        <x:v>HOLD</x:v>
      </x:c>
    </x:row>
    <x:row r="574">
      <x:c r="B574" s="21" t="str">
        <x:v>AR-00568</x:v>
      </x:c>
      <x:c r="C574" s="21" t="str">
        <x:v>F15-I1</x:v>
      </x:c>
      <x:c r="D574" s="21" t="str">
        <x:v>F15</x:v>
      </x:c>
      <x:c r="E574" s="21" t="n">
        <x:v>8</x:v>
      </x:c>
      <x:c r="F574" s="21" t="str">
        <x:v>Pilot-process qualification</x:v>
      </x:c>
      <x:c r="G574" s="21" t="n">
        <x:v>28</x:v>
      </x:c>
      <x:c r="H574" s="21" t="str">
        <x:v>AIMC Industrial Mobilization Authority</x:v>
      </x:c>
      <x:c r="I574" s="44" t="n">
        <x:f>Lifecycle!G14</x:f>
        <x:v>0.03952829567165163</x:v>
      </x:c>
      <x:c r="J574" s="44" t="n">
        <x:v>0.075</x:v>
      </x:c>
      <x:c r="K574" s="44" t="n">
        <x:f>I574*J574</x:f>
        <x:v>0.002964622175373872</x:v>
      </x:c>
      <x:c r="L574" s="46" t="n">
        <x:v>0</x:v>
      </x:c>
      <x:c r="M574" s="46" t="n">
        <x:v>0</x:v>
      </x:c>
      <x:c r="N574" s="21" t="n">
        <x:f>IF(AND(L573=1,M573=1,P573&gt;0),1,0)</x:f>
        <x:v>0</x:v>
      </x:c>
      <x:c r="O574" s="21" t="n">
        <x:f>MIN('Root Data'!I175:I177)</x:f>
        <x:v>0</x:v>
      </x:c>
      <x:c r="P574" s="44" t="n">
        <x:f>IF(AND(L574=1,M574=1,N574=1,O574&gt;=G574),K574,0)</x:f>
        <x:v>0</x:v>
      </x:c>
      <x:c r="Q574" s="21" t="str">
        <x:v>OPEN</x:v>
      </x:c>
      <x:c r="R574" s="23" t="str">
        <x:v>HOLD</x:v>
      </x:c>
    </x:row>
    <x:row r="575">
      <x:c r="B575" s="21" t="str">
        <x:v>AR-00569</x:v>
      </x:c>
      <x:c r="C575" s="21" t="str">
        <x:v>F15-I1</x:v>
      </x:c>
      <x:c r="D575" s="21" t="str">
        <x:v>F15</x:v>
      </x:c>
      <x:c r="E575" s="21" t="n">
        <x:v>9</x:v>
      </x:c>
      <x:c r="F575" s="21" t="str">
        <x:v>Production release package</x:v>
      </x:c>
      <x:c r="G575" s="21" t="n">
        <x:v>28</x:v>
      </x:c>
      <x:c r="H575" s="21" t="str">
        <x:v>Production Release Board</x:v>
      </x:c>
      <x:c r="I575" s="44" t="n">
        <x:f>Lifecycle!G15</x:f>
        <x:v>0.01647012319652151</x:v>
      </x:c>
      <x:c r="J575" s="44" t="n">
        <x:v>0.075</x:v>
      </x:c>
      <x:c r="K575" s="44" t="n">
        <x:f>I575*J575</x:f>
        <x:v>0.0012352592397391132</x:v>
      </x:c>
      <x:c r="L575" s="46" t="n">
        <x:v>0</x:v>
      </x:c>
      <x:c r="M575" s="46" t="n">
        <x:v>0</x:v>
      </x:c>
      <x:c r="N575" s="21" t="n">
        <x:f>IF(AND(L574=1,M574=1,P574&gt;0),1,0)</x:f>
        <x:v>0</x:v>
      </x:c>
      <x:c r="O575" s="21" t="n">
        <x:f>MIN('Root Data'!I175:I177)</x:f>
        <x:v>0</x:v>
      </x:c>
      <x:c r="P575" s="44" t="n">
        <x:f>IF(AND(L575=1,M575=1,N575=1,O575&gt;=G575),K575,0)</x:f>
        <x:v>0</x:v>
      </x:c>
      <x:c r="Q575" s="21" t="str">
        <x:v>OPEN</x:v>
      </x:c>
      <x:c r="R575" s="23" t="str">
        <x:v>HOLD</x:v>
      </x:c>
    </x:row>
    <x:row r="576">
      <x:c r="B576" s="21" t="str">
        <x:v>AR-00570</x:v>
      </x:c>
      <x:c r="C576" s="21" t="str">
        <x:v>F15-I1</x:v>
      </x:c>
      <x:c r="D576" s="21" t="str">
        <x:v>F15</x:v>
      </x:c>
      <x:c r="E576" s="21" t="n">
        <x:v>10</x:v>
      </x:c>
      <x:c r="F576" s="21" t="str">
        <x:v>Mobilization activation</x:v>
      </x:c>
      <x:c r="G576" s="21" t="n">
        <x:v>28</x:v>
      </x:c>
      <x:c r="H576" s="21" t="str">
        <x:v>Production Release Board</x:v>
      </x:c>
      <x:c r="I576" s="44" t="n">
        <x:f>Lifecycle!G16</x:f>
        <x:v>0.028262731405230914</x:v>
      </x:c>
      <x:c r="J576" s="44" t="n">
        <x:v>0.075</x:v>
      </x:c>
      <x:c r="K576" s="44" t="n">
        <x:f>I576*J576</x:f>
        <x:v>0.0021197048553923186</x:v>
      </x:c>
      <x:c r="L576" s="46" t="n">
        <x:v>0</x:v>
      </x:c>
      <x:c r="M576" s="46" t="n">
        <x:v>0</x:v>
      </x:c>
      <x:c r="N576" s="21" t="n">
        <x:f>IF(AND(L575=1,M575=1,P575&gt;0),1,0)</x:f>
        <x:v>0</x:v>
      </x:c>
      <x:c r="O576" s="21" t="n">
        <x:f>MIN('Root Data'!I175:I177)</x:f>
        <x:v>0</x:v>
      </x:c>
      <x:c r="P576" s="44" t="n">
        <x:f>IF(AND(L576=1,M576=1,N576=1,O576&gt;=G576),K576,0)</x:f>
        <x:v>0</x:v>
      </x:c>
      <x:c r="Q576" s="21" t="str">
        <x:v>OPEN</x:v>
      </x:c>
      <x:c r="R576" s="23" t="str">
        <x:v>HOLD</x:v>
      </x:c>
    </x:row>
    <x:row r="577">
      <x:c r="B577" s="21" t="str">
        <x:v>AR-00571</x:v>
      </x:c>
      <x:c r="C577" s="21" t="str">
        <x:v>F15-I2</x:v>
      </x:c>
      <x:c r="D577" s="21" t="str">
        <x:v>F15</x:v>
      </x:c>
      <x:c r="E577" s="21" t="n">
        <x:v>1</x:v>
      </x:c>
      <x:c r="F577" s="21" t="str">
        <x:v>Civil effect charter</x:v>
      </x:c>
      <x:c r="G577" s="21" t="n">
        <x:v>0</x:v>
      </x:c>
      <x:c r="H577" s="21" t="str">
        <x:v>Civil Guarantee Authority</x:v>
      </x:c>
      <x:c r="I577" s="44" t="n">
        <x:f>Lifecycle!G7</x:f>
        <x:v>0.04941036958956453</x:v>
      </x:c>
      <x:c r="J577" s="44" t="n">
        <x:v>0.075</x:v>
      </x:c>
      <x:c r="K577" s="44" t="n">
        <x:f>I577*J577</x:f>
        <x:v>0.0037057777192173397</x:v>
      </x:c>
      <x:c r="L577" s="46" t="n">
        <x:v>0</x:v>
      </x:c>
      <x:c r="M577" s="46" t="n">
        <x:v>0</x:v>
      </x:c>
      <x:c r="N577" s="21" t="n">
        <x:f>1</x:f>
        <x:v>1</x:v>
      </x:c>
      <x:c r="O577" s="21" t="n">
        <x:f>MIN('Root Data'!I178:I180)</x:f>
        <x:v>0</x:v>
      </x:c>
      <x:c r="P577" s="44" t="n">
        <x:f>IF(AND(L577=1,M577=1,N577=1,O577&gt;=G577),K577,0)</x:f>
        <x:v>0</x:v>
      </x:c>
      <x:c r="Q577" s="21" t="str">
        <x:v>OPEN</x:v>
      </x:c>
      <x:c r="R577" s="23" t="str">
        <x:v>HOLD</x:v>
      </x:c>
    </x:row>
    <x:row r="578">
      <x:c r="B578" s="21" t="str">
        <x:v>AR-00572</x:v>
      </x:c>
      <x:c r="C578" s="21" t="str">
        <x:v>F15-I2</x:v>
      </x:c>
      <x:c r="D578" s="21" t="str">
        <x:v>F15</x:v>
      </x:c>
      <x:c r="E578" s="21" t="n">
        <x:v>2</x:v>
      </x:c>
      <x:c r="F578" s="21" t="str">
        <x:v>Requirement and root-independence package</x:v>
      </x:c>
      <x:c r="G578" s="21" t="n">
        <x:v>8</x:v>
      </x:c>
      <x:c r="H578" s="21" t="str">
        <x:v>Resilience Staff</x:v>
      </x:c>
      <x:c r="I578" s="44" t="n">
        <x:f>Lifecycle!G8</x:f>
        <x:v>0.10211476381843337</x:v>
      </x:c>
      <x:c r="J578" s="44" t="n">
        <x:v>0.075</x:v>
      </x:c>
      <x:c r="K578" s="44" t="n">
        <x:f>I578*J578</x:f>
        <x:v>0.007658607286382502</x:v>
      </x:c>
      <x:c r="L578" s="46" t="n">
        <x:v>0</x:v>
      </x:c>
      <x:c r="M578" s="46" t="n">
        <x:v>0</x:v>
      </x:c>
      <x:c r="N578" s="21" t="n">
        <x:f>IF(AND(L577=1,M577=1,P577&gt;0),1,0)</x:f>
        <x:v>0</x:v>
      </x:c>
      <x:c r="O578" s="21" t="n">
        <x:f>MIN('Root Data'!I178:I180)</x:f>
        <x:v>0</x:v>
      </x:c>
      <x:c r="P578" s="44" t="n">
        <x:f>IF(AND(L578=1,M578=1,N578=1,O578&gt;=G578),K578,0)</x:f>
        <x:v>0</x:v>
      </x:c>
      <x:c r="Q578" s="21" t="str">
        <x:v>OPEN</x:v>
      </x:c>
      <x:c r="R578" s="23" t="str">
        <x:v>HOLD</x:v>
      </x:c>
    </x:row>
    <x:row r="579">
      <x:c r="B579" s="21" t="str">
        <x:v>AR-00573</x:v>
      </x:c>
      <x:c r="C579" s="21" t="str">
        <x:v>F15-I2</x:v>
      </x:c>
      <x:c r="D579" s="21" t="str">
        <x:v>F15</x:v>
      </x:c>
      <x:c r="E579" s="21" t="n">
        <x:v>3</x:v>
      </x:c>
      <x:c r="F579" s="21" t="str">
        <x:v>Architecture and burden closure</x:v>
      </x:c>
      <x:c r="G579" s="21" t="n">
        <x:v>14</x:v>
      </x:c>
      <x:c r="H579" s="21" t="str">
        <x:v>Independent Evidence and Data Authority</x:v>
      </x:c>
      <x:c r="I579" s="44" t="n">
        <x:f>Lifecycle!G9</x:f>
        <x:v>0.08564464062191186</x:v>
      </x:c>
      <x:c r="J579" s="44" t="n">
        <x:v>0.075</x:v>
      </x:c>
      <x:c r="K579" s="44" t="n">
        <x:f>I579*J579</x:f>
        <x:v>0.006423348046643389</x:v>
      </x:c>
      <x:c r="L579" s="46" t="n">
        <x:v>0</x:v>
      </x:c>
      <x:c r="M579" s="46" t="n">
        <x:v>0</x:v>
      </x:c>
      <x:c r="N579" s="21" t="n">
        <x:f>IF(AND(L578=1,M578=1,P578&gt;0),1,0)</x:f>
        <x:v>0</x:v>
      </x:c>
      <x:c r="O579" s="21" t="n">
        <x:f>MIN('Root Data'!I178:I180)</x:f>
        <x:v>0</x:v>
      </x:c>
      <x:c r="P579" s="44" t="n">
        <x:f>IF(AND(L579=1,M579=1,N579=1,O579&gt;=G579),K579,0)</x:f>
        <x:v>0</x:v>
      </x:c>
      <x:c r="Q579" s="21" t="str">
        <x:v>OPEN</x:v>
      </x:c>
      <x:c r="R579" s="23" t="str">
        <x:v>HOLD</x:v>
      </x:c>
    </x:row>
    <x:row r="580">
      <x:c r="B580" s="21" t="str">
        <x:v>AR-00574</x:v>
      </x:c>
      <x:c r="C580" s="21" t="str">
        <x:v>F15-I2</x:v>
      </x:c>
      <x:c r="D580" s="21" t="str">
        <x:v>F15</x:v>
      </x:c>
      <x:c r="E580" s="21" t="n">
        <x:v>4</x:v>
      </x:c>
      <x:c r="F580" s="21" t="str">
        <x:v>Engineering article acceptance</x:v>
      </x:c>
      <x:c r="G580" s="21" t="n">
        <x:v>18</x:v>
      </x:c>
      <x:c r="H580" s="21" t="str">
        <x:v>Independent Evidence and Data Authority</x:v>
      </x:c>
      <x:c r="I580" s="44" t="n">
        <x:f>Lifecycle!G10</x:f>
        <x:v>0.05929244350747744</x:v>
      </x:c>
      <x:c r="J580" s="44" t="n">
        <x:v>0.075</x:v>
      </x:c>
      <x:c r="K580" s="44" t="n">
        <x:f>I580*J580</x:f>
        <x:v>0.004446933263060808</x:v>
      </x:c>
      <x:c r="L580" s="46" t="n">
        <x:v>0</x:v>
      </x:c>
      <x:c r="M580" s="46" t="n">
        <x:v>0</x:v>
      </x:c>
      <x:c r="N580" s="21" t="n">
        <x:f>IF(AND(L579=1,M579=1,P579&gt;0),1,0)</x:f>
        <x:v>0</x:v>
      </x:c>
      <x:c r="O580" s="21" t="n">
        <x:f>MIN('Root Data'!I178:I180)</x:f>
        <x:v>0</x:v>
      </x:c>
      <x:c r="P580" s="44" t="n">
        <x:f>IF(AND(L580=1,M580=1,N580=1,O580&gt;=G580),K580,0)</x:f>
        <x:v>0</x:v>
      </x:c>
      <x:c r="Q580" s="21" t="str">
        <x:v>OPEN</x:v>
      </x:c>
      <x:c r="R580" s="23" t="str">
        <x:v>HOLD</x:v>
      </x:c>
    </x:row>
    <x:row r="581">
      <x:c r="B581" s="21" t="str">
        <x:v>AR-00575</x:v>
      </x:c>
      <x:c r="C581" s="21" t="str">
        <x:v>F15-I2</x:v>
      </x:c>
      <x:c r="D581" s="21" t="str">
        <x:v>F15</x:v>
      </x:c>
      <x:c r="E581" s="21" t="n">
        <x:v>5</x:v>
      </x:c>
      <x:c r="F581" s="21" t="str">
        <x:v>Qualification and destructive evidence</x:v>
      </x:c>
      <x:c r="G581" s="21" t="n">
        <x:v>21</x:v>
      </x:c>
      <x:c r="H581" s="21" t="str">
        <x:v>Independent Evidence and Data Authority</x:v>
      </x:c>
      <x:c r="I581" s="44" t="n">
        <x:f>Lifecycle!G11</x:f>
        <x:v>0.1515251334079979</x:v>
      </x:c>
      <x:c r="J581" s="44" t="n">
        <x:v>0.075</x:v>
      </x:c>
      <x:c r="K581" s="44" t="n">
        <x:f>I581*J581</x:f>
        <x:v>0.011364385005599841</x:v>
      </x:c>
      <x:c r="L581" s="46" t="n">
        <x:v>0</x:v>
      </x:c>
      <x:c r="M581" s="46" t="n">
        <x:v>0</x:v>
      </x:c>
      <x:c r="N581" s="21" t="n">
        <x:f>IF(AND(L580=1,M580=1,P580&gt;0),1,0)</x:f>
        <x:v>0</x:v>
      </x:c>
      <x:c r="O581" s="21" t="n">
        <x:f>MIN('Root Data'!I178:I180)</x:f>
        <x:v>0</x:v>
      </x:c>
      <x:c r="P581" s="44" t="n">
        <x:f>IF(AND(L581=1,M581=1,N581=1,O581&gt;=G581),K581,0)</x:f>
        <x:v>0</x:v>
      </x:c>
      <x:c r="Q581" s="21" t="str">
        <x:v>OPEN</x:v>
      </x:c>
      <x:c r="R581" s="23" t="str">
        <x:v>HOLD</x:v>
      </x:c>
    </x:row>
    <x:row r="582">
      <x:c r="B582" s="21" t="str">
        <x:v>AR-00576</x:v>
      </x:c>
      <x:c r="C582" s="21" t="str">
        <x:v>F15-I2</x:v>
      </x:c>
      <x:c r="D582" s="21" t="str">
        <x:v>F15</x:v>
      </x:c>
      <x:c r="E582" s="21" t="n">
        <x:v>6</x:v>
      </x:c>
      <x:c r="F582" s="21" t="str">
        <x:v>Representative mission result</x:v>
      </x:c>
      <x:c r="G582" s="21" t="n">
        <x:v>23</x:v>
      </x:c>
      <x:c r="H582" s="21" t="str">
        <x:v>Receiving Service Authority</x:v>
      </x:c>
      <x:c r="I582" s="44" t="n">
        <x:f>Lifecycle!G12</x:f>
        <x:v>0.250345872587127</x:v>
      </x:c>
      <x:c r="J582" s="44" t="n">
        <x:v>0.075</x:v>
      </x:c>
      <x:c r="K582" s="44" t="n">
        <x:f>I582*J582</x:f>
        <x:v>0.018775940444034522</x:v>
      </x:c>
      <x:c r="L582" s="46" t="n">
        <x:v>0</x:v>
      </x:c>
      <x:c r="M582" s="46" t="n">
        <x:v>0</x:v>
      </x:c>
      <x:c r="N582" s="21" t="n">
        <x:f>IF(AND(L581=1,M581=1,P581&gt;0),1,0)</x:f>
        <x:v>0</x:v>
      </x:c>
      <x:c r="O582" s="21" t="n">
        <x:f>MIN('Root Data'!I178:I180)</x:f>
        <x:v>0</x:v>
      </x:c>
      <x:c r="P582" s="44" t="n">
        <x:f>IF(AND(L582=1,M582=1,N582=1,O582&gt;=G582),K582,0)</x:f>
        <x:v>0</x:v>
      </x:c>
      <x:c r="Q582" s="21" t="str">
        <x:v>OPEN</x:v>
      </x:c>
      <x:c r="R582" s="23" t="str">
        <x:v>HOLD</x:v>
      </x:c>
    </x:row>
    <x:row r="583">
      <x:c r="B583" s="21" t="str">
        <x:v>AR-00577</x:v>
      </x:c>
      <x:c r="C583" s="21" t="str">
        <x:v>F15-I2</x:v>
      </x:c>
      <x:c r="D583" s="21" t="str">
        <x:v>F15</x:v>
      </x:c>
      <x:c r="E583" s="21" t="n">
        <x:v>7</x:v>
      </x:c>
      <x:c r="F583" s="21" t="str">
        <x:v>Independent reproduction</x:v>
      </x:c>
      <x:c r="G583" s="21" t="n">
        <x:v>28</x:v>
      </x:c>
      <x:c r="H583" s="21" t="str">
        <x:v>Independent Evidence and Data Authority</x:v>
      </x:c>
      <x:c r="I583" s="44" t="n">
        <x:f>Lifecycle!G13</x:f>
        <x:v>0.21740562619408393</x:v>
      </x:c>
      <x:c r="J583" s="44" t="n">
        <x:v>0.075</x:v>
      </x:c>
      <x:c r="K583" s="44" t="n">
        <x:f>I583*J583</x:f>
        <x:v>0.016305421964556293</x:v>
      </x:c>
      <x:c r="L583" s="46" t="n">
        <x:v>0</x:v>
      </x:c>
      <x:c r="M583" s="46" t="n">
        <x:v>0</x:v>
      </x:c>
      <x:c r="N583" s="21" t="n">
        <x:f>IF(AND(L582=1,M582=1,P582&gt;0),1,0)</x:f>
        <x:v>0</x:v>
      </x:c>
      <x:c r="O583" s="21" t="n">
        <x:f>MIN('Root Data'!I178:I180)</x:f>
        <x:v>0</x:v>
      </x:c>
      <x:c r="P583" s="44" t="n">
        <x:f>IF(AND(L583=1,M583=1,N583=1,O583&gt;=G583),K583,0)</x:f>
        <x:v>0</x:v>
      </x:c>
      <x:c r="Q583" s="21" t="str">
        <x:v>OPEN</x:v>
      </x:c>
      <x:c r="R583" s="23" t="str">
        <x:v>HOLD</x:v>
      </x:c>
    </x:row>
    <x:row r="584">
      <x:c r="B584" s="21" t="str">
        <x:v>AR-00578</x:v>
      </x:c>
      <x:c r="C584" s="21" t="str">
        <x:v>F15-I2</x:v>
      </x:c>
      <x:c r="D584" s="21" t="str">
        <x:v>F15</x:v>
      </x:c>
      <x:c r="E584" s="21" t="n">
        <x:v>8</x:v>
      </x:c>
      <x:c r="F584" s="21" t="str">
        <x:v>Pilot-process qualification</x:v>
      </x:c>
      <x:c r="G584" s="21" t="n">
        <x:v>28</x:v>
      </x:c>
      <x:c r="H584" s="21" t="str">
        <x:v>AIMC Industrial Mobilization Authority</x:v>
      </x:c>
      <x:c r="I584" s="44" t="n">
        <x:f>Lifecycle!G14</x:f>
        <x:v>0.03952829567165163</x:v>
      </x:c>
      <x:c r="J584" s="44" t="n">
        <x:v>0.075</x:v>
      </x:c>
      <x:c r="K584" s="44" t="n">
        <x:f>I584*J584</x:f>
        <x:v>0.002964622175373872</x:v>
      </x:c>
      <x:c r="L584" s="46" t="n">
        <x:v>0</x:v>
      </x:c>
      <x:c r="M584" s="46" t="n">
        <x:v>0</x:v>
      </x:c>
      <x:c r="N584" s="21" t="n">
        <x:f>IF(AND(L583=1,M583=1,P583&gt;0),1,0)</x:f>
        <x:v>0</x:v>
      </x:c>
      <x:c r="O584" s="21" t="n">
        <x:f>MIN('Root Data'!I178:I180)</x:f>
        <x:v>0</x:v>
      </x:c>
      <x:c r="P584" s="44" t="n">
        <x:f>IF(AND(L584=1,M584=1,N584=1,O584&gt;=G584),K584,0)</x:f>
        <x:v>0</x:v>
      </x:c>
      <x:c r="Q584" s="21" t="str">
        <x:v>OPEN</x:v>
      </x:c>
      <x:c r="R584" s="23" t="str">
        <x:v>HOLD</x:v>
      </x:c>
    </x:row>
    <x:row r="585">
      <x:c r="B585" s="21" t="str">
        <x:v>AR-00579</x:v>
      </x:c>
      <x:c r="C585" s="21" t="str">
        <x:v>F15-I2</x:v>
      </x:c>
      <x:c r="D585" s="21" t="str">
        <x:v>F15</x:v>
      </x:c>
      <x:c r="E585" s="21" t="n">
        <x:v>9</x:v>
      </x:c>
      <x:c r="F585" s="21" t="str">
        <x:v>Production release package</x:v>
      </x:c>
      <x:c r="G585" s="21" t="n">
        <x:v>28</x:v>
      </x:c>
      <x:c r="H585" s="21" t="str">
        <x:v>Production Release Board</x:v>
      </x:c>
      <x:c r="I585" s="44" t="n">
        <x:f>Lifecycle!G15</x:f>
        <x:v>0.01647012319652151</x:v>
      </x:c>
      <x:c r="J585" s="44" t="n">
        <x:v>0.075</x:v>
      </x:c>
      <x:c r="K585" s="44" t="n">
        <x:f>I585*J585</x:f>
        <x:v>0.0012352592397391132</x:v>
      </x:c>
      <x:c r="L585" s="46" t="n">
        <x:v>0</x:v>
      </x:c>
      <x:c r="M585" s="46" t="n">
        <x:v>0</x:v>
      </x:c>
      <x:c r="N585" s="21" t="n">
        <x:f>IF(AND(L584=1,M584=1,P584&gt;0),1,0)</x:f>
        <x:v>0</x:v>
      </x:c>
      <x:c r="O585" s="21" t="n">
        <x:f>MIN('Root Data'!I178:I180)</x:f>
        <x:v>0</x:v>
      </x:c>
      <x:c r="P585" s="44" t="n">
        <x:f>IF(AND(L585=1,M585=1,N585=1,O585&gt;=G585),K585,0)</x:f>
        <x:v>0</x:v>
      </x:c>
      <x:c r="Q585" s="21" t="str">
        <x:v>OPEN</x:v>
      </x:c>
      <x:c r="R585" s="23" t="str">
        <x:v>HOLD</x:v>
      </x:c>
    </x:row>
    <x:row r="586">
      <x:c r="B586" s="21" t="str">
        <x:v>AR-00580</x:v>
      </x:c>
      <x:c r="C586" s="21" t="str">
        <x:v>F15-I2</x:v>
      </x:c>
      <x:c r="D586" s="21" t="str">
        <x:v>F15</x:v>
      </x:c>
      <x:c r="E586" s="21" t="n">
        <x:v>10</x:v>
      </x:c>
      <x:c r="F586" s="21" t="str">
        <x:v>Mobilization activation</x:v>
      </x:c>
      <x:c r="G586" s="21" t="n">
        <x:v>28</x:v>
      </x:c>
      <x:c r="H586" s="21" t="str">
        <x:v>Production Release Board</x:v>
      </x:c>
      <x:c r="I586" s="44" t="n">
        <x:f>Lifecycle!G16</x:f>
        <x:v>0.028262731405230914</x:v>
      </x:c>
      <x:c r="J586" s="44" t="n">
        <x:v>0.075</x:v>
      </x:c>
      <x:c r="K586" s="44" t="n">
        <x:f>I586*J586</x:f>
        <x:v>0.0021197048553923186</x:v>
      </x:c>
      <x:c r="L586" s="46" t="n">
        <x:v>0</x:v>
      </x:c>
      <x:c r="M586" s="46" t="n">
        <x:v>0</x:v>
      </x:c>
      <x:c r="N586" s="21" t="n">
        <x:f>IF(AND(L585=1,M585=1,P585&gt;0),1,0)</x:f>
        <x:v>0</x:v>
      </x:c>
      <x:c r="O586" s="21" t="n">
        <x:f>MIN('Root Data'!I178:I180)</x:f>
        <x:v>0</x:v>
      </x:c>
      <x:c r="P586" s="44" t="n">
        <x:f>IF(AND(L586=1,M586=1,N586=1,O586&gt;=G586),K586,0)</x:f>
        <x:v>0</x:v>
      </x:c>
      <x:c r="Q586" s="21" t="str">
        <x:v>OPEN</x:v>
      </x:c>
      <x:c r="R586" s="23" t="str">
        <x:v>HOLD</x:v>
      </x:c>
    </x:row>
    <x:row r="587">
      <x:c r="B587" s="21" t="str">
        <x:v>AR-00581</x:v>
      </x:c>
      <x:c r="C587" s="21" t="str">
        <x:v>F15-I3</x:v>
      </x:c>
      <x:c r="D587" s="21" t="str">
        <x:v>F15</x:v>
      </x:c>
      <x:c r="E587" s="21" t="n">
        <x:v>1</x:v>
      </x:c>
      <x:c r="F587" s="21" t="str">
        <x:v>Civil effect charter</x:v>
      </x:c>
      <x:c r="G587" s="21" t="n">
        <x:v>0</x:v>
      </x:c>
      <x:c r="H587" s="21" t="str">
        <x:v>Civil Guarantee Authority</x:v>
      </x:c>
      <x:c r="I587" s="44" t="n">
        <x:f>Lifecycle!G7</x:f>
        <x:v>0.04941036958956453</x:v>
      </x:c>
      <x:c r="J587" s="44" t="n">
        <x:v>0.075</x:v>
      </x:c>
      <x:c r="K587" s="44" t="n">
        <x:f>I587*J587</x:f>
        <x:v>0.0037057777192173397</x:v>
      </x:c>
      <x:c r="L587" s="46" t="n">
        <x:v>0</x:v>
      </x:c>
      <x:c r="M587" s="46" t="n">
        <x:v>0</x:v>
      </x:c>
      <x:c r="N587" s="21" t="n">
        <x:f>1</x:f>
        <x:v>1</x:v>
      </x:c>
      <x:c r="O587" s="21" t="n">
        <x:f>MIN('Root Data'!I181:I183)</x:f>
        <x:v>0</x:v>
      </x:c>
      <x:c r="P587" s="44" t="n">
        <x:f>IF(AND(L587=1,M587=1,N587=1,O587&gt;=G587),K587,0)</x:f>
        <x:v>0</x:v>
      </x:c>
      <x:c r="Q587" s="21" t="str">
        <x:v>OPEN</x:v>
      </x:c>
      <x:c r="R587" s="23" t="str">
        <x:v>HOLD</x:v>
      </x:c>
    </x:row>
    <x:row r="588">
      <x:c r="B588" s="21" t="str">
        <x:v>AR-00582</x:v>
      </x:c>
      <x:c r="C588" s="21" t="str">
        <x:v>F15-I3</x:v>
      </x:c>
      <x:c r="D588" s="21" t="str">
        <x:v>F15</x:v>
      </x:c>
      <x:c r="E588" s="21" t="n">
        <x:v>2</x:v>
      </x:c>
      <x:c r="F588" s="21" t="str">
        <x:v>Requirement and root-independence package</x:v>
      </x:c>
      <x:c r="G588" s="21" t="n">
        <x:v>8</x:v>
      </x:c>
      <x:c r="H588" s="21" t="str">
        <x:v>Resilience Staff</x:v>
      </x:c>
      <x:c r="I588" s="44" t="n">
        <x:f>Lifecycle!G8</x:f>
        <x:v>0.10211476381843337</x:v>
      </x:c>
      <x:c r="J588" s="44" t="n">
        <x:v>0.075</x:v>
      </x:c>
      <x:c r="K588" s="44" t="n">
        <x:f>I588*J588</x:f>
        <x:v>0.007658607286382502</x:v>
      </x:c>
      <x:c r="L588" s="46" t="n">
        <x:v>0</x:v>
      </x:c>
      <x:c r="M588" s="46" t="n">
        <x:v>0</x:v>
      </x:c>
      <x:c r="N588" s="21" t="n">
        <x:f>IF(AND(L587=1,M587=1,P587&gt;0),1,0)</x:f>
        <x:v>0</x:v>
      </x:c>
      <x:c r="O588" s="21" t="n">
        <x:f>MIN('Root Data'!I181:I183)</x:f>
        <x:v>0</x:v>
      </x:c>
      <x:c r="P588" s="44" t="n">
        <x:f>IF(AND(L588=1,M588=1,N588=1,O588&gt;=G588),K588,0)</x:f>
        <x:v>0</x:v>
      </x:c>
      <x:c r="Q588" s="21" t="str">
        <x:v>OPEN</x:v>
      </x:c>
      <x:c r="R588" s="23" t="str">
        <x:v>HOLD</x:v>
      </x:c>
    </x:row>
    <x:row r="589">
      <x:c r="B589" s="21" t="str">
        <x:v>AR-00583</x:v>
      </x:c>
      <x:c r="C589" s="21" t="str">
        <x:v>F15-I3</x:v>
      </x:c>
      <x:c r="D589" s="21" t="str">
        <x:v>F15</x:v>
      </x:c>
      <x:c r="E589" s="21" t="n">
        <x:v>3</x:v>
      </x:c>
      <x:c r="F589" s="21" t="str">
        <x:v>Architecture and burden closure</x:v>
      </x:c>
      <x:c r="G589" s="21" t="n">
        <x:v>14</x:v>
      </x:c>
      <x:c r="H589" s="21" t="str">
        <x:v>Independent Evidence and Data Authority</x:v>
      </x:c>
      <x:c r="I589" s="44" t="n">
        <x:f>Lifecycle!G9</x:f>
        <x:v>0.08564464062191186</x:v>
      </x:c>
      <x:c r="J589" s="44" t="n">
        <x:v>0.075</x:v>
      </x:c>
      <x:c r="K589" s="44" t="n">
        <x:f>I589*J589</x:f>
        <x:v>0.006423348046643389</x:v>
      </x:c>
      <x:c r="L589" s="46" t="n">
        <x:v>0</x:v>
      </x:c>
      <x:c r="M589" s="46" t="n">
        <x:v>0</x:v>
      </x:c>
      <x:c r="N589" s="21" t="n">
        <x:f>IF(AND(L588=1,M588=1,P588&gt;0),1,0)</x:f>
        <x:v>0</x:v>
      </x:c>
      <x:c r="O589" s="21" t="n">
        <x:f>MIN('Root Data'!I181:I183)</x:f>
        <x:v>0</x:v>
      </x:c>
      <x:c r="P589" s="44" t="n">
        <x:f>IF(AND(L589=1,M589=1,N589=1,O589&gt;=G589),K589,0)</x:f>
        <x:v>0</x:v>
      </x:c>
      <x:c r="Q589" s="21" t="str">
        <x:v>OPEN</x:v>
      </x:c>
      <x:c r="R589" s="23" t="str">
        <x:v>HOLD</x:v>
      </x:c>
    </x:row>
    <x:row r="590">
      <x:c r="B590" s="21" t="str">
        <x:v>AR-00584</x:v>
      </x:c>
      <x:c r="C590" s="21" t="str">
        <x:v>F15-I3</x:v>
      </x:c>
      <x:c r="D590" s="21" t="str">
        <x:v>F15</x:v>
      </x:c>
      <x:c r="E590" s="21" t="n">
        <x:v>4</x:v>
      </x:c>
      <x:c r="F590" s="21" t="str">
        <x:v>Engineering article acceptance</x:v>
      </x:c>
      <x:c r="G590" s="21" t="n">
        <x:v>18</x:v>
      </x:c>
      <x:c r="H590" s="21" t="str">
        <x:v>Independent Evidence and Data Authority</x:v>
      </x:c>
      <x:c r="I590" s="44" t="n">
        <x:f>Lifecycle!G10</x:f>
        <x:v>0.05929244350747744</x:v>
      </x:c>
      <x:c r="J590" s="44" t="n">
        <x:v>0.075</x:v>
      </x:c>
      <x:c r="K590" s="44" t="n">
        <x:f>I590*J590</x:f>
        <x:v>0.004446933263060808</x:v>
      </x:c>
      <x:c r="L590" s="46" t="n">
        <x:v>0</x:v>
      </x:c>
      <x:c r="M590" s="46" t="n">
        <x:v>0</x:v>
      </x:c>
      <x:c r="N590" s="21" t="n">
        <x:f>IF(AND(L589=1,M589=1,P589&gt;0),1,0)</x:f>
        <x:v>0</x:v>
      </x:c>
      <x:c r="O590" s="21" t="n">
        <x:f>MIN('Root Data'!I181:I183)</x:f>
        <x:v>0</x:v>
      </x:c>
      <x:c r="P590" s="44" t="n">
        <x:f>IF(AND(L590=1,M590=1,N590=1,O590&gt;=G590),K590,0)</x:f>
        <x:v>0</x:v>
      </x:c>
      <x:c r="Q590" s="21" t="str">
        <x:v>OPEN</x:v>
      </x:c>
      <x:c r="R590" s="23" t="str">
        <x:v>HOLD</x:v>
      </x:c>
    </x:row>
    <x:row r="591">
      <x:c r="B591" s="21" t="str">
        <x:v>AR-00585</x:v>
      </x:c>
      <x:c r="C591" s="21" t="str">
        <x:v>F15-I3</x:v>
      </x:c>
      <x:c r="D591" s="21" t="str">
        <x:v>F15</x:v>
      </x:c>
      <x:c r="E591" s="21" t="n">
        <x:v>5</x:v>
      </x:c>
      <x:c r="F591" s="21" t="str">
        <x:v>Qualification and destructive evidence</x:v>
      </x:c>
      <x:c r="G591" s="21" t="n">
        <x:v>21</x:v>
      </x:c>
      <x:c r="H591" s="21" t="str">
        <x:v>Independent Evidence and Data Authority</x:v>
      </x:c>
      <x:c r="I591" s="44" t="n">
        <x:f>Lifecycle!G11</x:f>
        <x:v>0.1515251334079979</x:v>
      </x:c>
      <x:c r="J591" s="44" t="n">
        <x:v>0.075</x:v>
      </x:c>
      <x:c r="K591" s="44" t="n">
        <x:f>I591*J591</x:f>
        <x:v>0.011364385005599841</x:v>
      </x:c>
      <x:c r="L591" s="46" t="n">
        <x:v>0</x:v>
      </x:c>
      <x:c r="M591" s="46" t="n">
        <x:v>0</x:v>
      </x:c>
      <x:c r="N591" s="21" t="n">
        <x:f>IF(AND(L590=1,M590=1,P590&gt;0),1,0)</x:f>
        <x:v>0</x:v>
      </x:c>
      <x:c r="O591" s="21" t="n">
        <x:f>MIN('Root Data'!I181:I183)</x:f>
        <x:v>0</x:v>
      </x:c>
      <x:c r="P591" s="44" t="n">
        <x:f>IF(AND(L591=1,M591=1,N591=1,O591&gt;=G591),K591,0)</x:f>
        <x:v>0</x:v>
      </x:c>
      <x:c r="Q591" s="21" t="str">
        <x:v>OPEN</x:v>
      </x:c>
      <x:c r="R591" s="23" t="str">
        <x:v>HOLD</x:v>
      </x:c>
    </x:row>
    <x:row r="592">
      <x:c r="B592" s="21" t="str">
        <x:v>AR-00586</x:v>
      </x:c>
      <x:c r="C592" s="21" t="str">
        <x:v>F15-I3</x:v>
      </x:c>
      <x:c r="D592" s="21" t="str">
        <x:v>F15</x:v>
      </x:c>
      <x:c r="E592" s="21" t="n">
        <x:v>6</x:v>
      </x:c>
      <x:c r="F592" s="21" t="str">
        <x:v>Representative mission result</x:v>
      </x:c>
      <x:c r="G592" s="21" t="n">
        <x:v>23</x:v>
      </x:c>
      <x:c r="H592" s="21" t="str">
        <x:v>Receiving Service Authority</x:v>
      </x:c>
      <x:c r="I592" s="44" t="n">
        <x:f>Lifecycle!G12</x:f>
        <x:v>0.250345872587127</x:v>
      </x:c>
      <x:c r="J592" s="44" t="n">
        <x:v>0.075</x:v>
      </x:c>
      <x:c r="K592" s="44" t="n">
        <x:f>I592*J592</x:f>
        <x:v>0.018775940444034522</x:v>
      </x:c>
      <x:c r="L592" s="46" t="n">
        <x:v>0</x:v>
      </x:c>
      <x:c r="M592" s="46" t="n">
        <x:v>0</x:v>
      </x:c>
      <x:c r="N592" s="21" t="n">
        <x:f>IF(AND(L591=1,M591=1,P591&gt;0),1,0)</x:f>
        <x:v>0</x:v>
      </x:c>
      <x:c r="O592" s="21" t="n">
        <x:f>MIN('Root Data'!I181:I183)</x:f>
        <x:v>0</x:v>
      </x:c>
      <x:c r="P592" s="44" t="n">
        <x:f>IF(AND(L592=1,M592=1,N592=1,O592&gt;=G592),K592,0)</x:f>
        <x:v>0</x:v>
      </x:c>
      <x:c r="Q592" s="21" t="str">
        <x:v>OPEN</x:v>
      </x:c>
      <x:c r="R592" s="23" t="str">
        <x:v>HOLD</x:v>
      </x:c>
    </x:row>
    <x:row r="593">
      <x:c r="B593" s="21" t="str">
        <x:v>AR-00587</x:v>
      </x:c>
      <x:c r="C593" s="21" t="str">
        <x:v>F15-I3</x:v>
      </x:c>
      <x:c r="D593" s="21" t="str">
        <x:v>F15</x:v>
      </x:c>
      <x:c r="E593" s="21" t="n">
        <x:v>7</x:v>
      </x:c>
      <x:c r="F593" s="21" t="str">
        <x:v>Independent reproduction</x:v>
      </x:c>
      <x:c r="G593" s="21" t="n">
        <x:v>28</x:v>
      </x:c>
      <x:c r="H593" s="21" t="str">
        <x:v>Independent Evidence and Data Authority</x:v>
      </x:c>
      <x:c r="I593" s="44" t="n">
        <x:f>Lifecycle!G13</x:f>
        <x:v>0.21740562619408393</x:v>
      </x:c>
      <x:c r="J593" s="44" t="n">
        <x:v>0.075</x:v>
      </x:c>
      <x:c r="K593" s="44" t="n">
        <x:f>I593*J593</x:f>
        <x:v>0.016305421964556293</x:v>
      </x:c>
      <x:c r="L593" s="46" t="n">
        <x:v>0</x:v>
      </x:c>
      <x:c r="M593" s="46" t="n">
        <x:v>0</x:v>
      </x:c>
      <x:c r="N593" s="21" t="n">
        <x:f>IF(AND(L592=1,M592=1,P592&gt;0),1,0)</x:f>
        <x:v>0</x:v>
      </x:c>
      <x:c r="O593" s="21" t="n">
        <x:f>MIN('Root Data'!I181:I183)</x:f>
        <x:v>0</x:v>
      </x:c>
      <x:c r="P593" s="44" t="n">
        <x:f>IF(AND(L593=1,M593=1,N593=1,O593&gt;=G593),K593,0)</x:f>
        <x:v>0</x:v>
      </x:c>
      <x:c r="Q593" s="21" t="str">
        <x:v>OPEN</x:v>
      </x:c>
      <x:c r="R593" s="23" t="str">
        <x:v>HOLD</x:v>
      </x:c>
    </x:row>
    <x:row r="594">
      <x:c r="B594" s="21" t="str">
        <x:v>AR-00588</x:v>
      </x:c>
      <x:c r="C594" s="21" t="str">
        <x:v>F15-I3</x:v>
      </x:c>
      <x:c r="D594" s="21" t="str">
        <x:v>F15</x:v>
      </x:c>
      <x:c r="E594" s="21" t="n">
        <x:v>8</x:v>
      </x:c>
      <x:c r="F594" s="21" t="str">
        <x:v>Pilot-process qualification</x:v>
      </x:c>
      <x:c r="G594" s="21" t="n">
        <x:v>28</x:v>
      </x:c>
      <x:c r="H594" s="21" t="str">
        <x:v>AIMC Industrial Mobilization Authority</x:v>
      </x:c>
      <x:c r="I594" s="44" t="n">
        <x:f>Lifecycle!G14</x:f>
        <x:v>0.03952829567165163</x:v>
      </x:c>
      <x:c r="J594" s="44" t="n">
        <x:v>0.075</x:v>
      </x:c>
      <x:c r="K594" s="44" t="n">
        <x:f>I594*J594</x:f>
        <x:v>0.002964622175373872</x:v>
      </x:c>
      <x:c r="L594" s="46" t="n">
        <x:v>0</x:v>
      </x:c>
      <x:c r="M594" s="46" t="n">
        <x:v>0</x:v>
      </x:c>
      <x:c r="N594" s="21" t="n">
        <x:f>IF(AND(L593=1,M593=1,P593&gt;0),1,0)</x:f>
        <x:v>0</x:v>
      </x:c>
      <x:c r="O594" s="21" t="n">
        <x:f>MIN('Root Data'!I181:I183)</x:f>
        <x:v>0</x:v>
      </x:c>
      <x:c r="P594" s="44" t="n">
        <x:f>IF(AND(L594=1,M594=1,N594=1,O594&gt;=G594),K594,0)</x:f>
        <x:v>0</x:v>
      </x:c>
      <x:c r="Q594" s="21" t="str">
        <x:v>OPEN</x:v>
      </x:c>
      <x:c r="R594" s="23" t="str">
        <x:v>HOLD</x:v>
      </x:c>
    </x:row>
    <x:row r="595">
      <x:c r="B595" s="21" t="str">
        <x:v>AR-00589</x:v>
      </x:c>
      <x:c r="C595" s="21" t="str">
        <x:v>F15-I3</x:v>
      </x:c>
      <x:c r="D595" s="21" t="str">
        <x:v>F15</x:v>
      </x:c>
      <x:c r="E595" s="21" t="n">
        <x:v>9</x:v>
      </x:c>
      <x:c r="F595" s="21" t="str">
        <x:v>Production release package</x:v>
      </x:c>
      <x:c r="G595" s="21" t="n">
        <x:v>28</x:v>
      </x:c>
      <x:c r="H595" s="21" t="str">
        <x:v>Production Release Board</x:v>
      </x:c>
      <x:c r="I595" s="44" t="n">
        <x:f>Lifecycle!G15</x:f>
        <x:v>0.01647012319652151</x:v>
      </x:c>
      <x:c r="J595" s="44" t="n">
        <x:v>0.075</x:v>
      </x:c>
      <x:c r="K595" s="44" t="n">
        <x:f>I595*J595</x:f>
        <x:v>0.0012352592397391132</x:v>
      </x:c>
      <x:c r="L595" s="46" t="n">
        <x:v>0</x:v>
      </x:c>
      <x:c r="M595" s="46" t="n">
        <x:v>0</x:v>
      </x:c>
      <x:c r="N595" s="21" t="n">
        <x:f>IF(AND(L594=1,M594=1,P594&gt;0),1,0)</x:f>
        <x:v>0</x:v>
      </x:c>
      <x:c r="O595" s="21" t="n">
        <x:f>MIN('Root Data'!I181:I183)</x:f>
        <x:v>0</x:v>
      </x:c>
      <x:c r="P595" s="44" t="n">
        <x:f>IF(AND(L595=1,M595=1,N595=1,O595&gt;=G595),K595,0)</x:f>
        <x:v>0</x:v>
      </x:c>
      <x:c r="Q595" s="21" t="str">
        <x:v>OPEN</x:v>
      </x:c>
      <x:c r="R595" s="23" t="str">
        <x:v>HOLD</x:v>
      </x:c>
    </x:row>
    <x:row r="596">
      <x:c r="B596" s="21" t="str">
        <x:v>AR-00590</x:v>
      </x:c>
      <x:c r="C596" s="21" t="str">
        <x:v>F15-I3</x:v>
      </x:c>
      <x:c r="D596" s="21" t="str">
        <x:v>F15</x:v>
      </x:c>
      <x:c r="E596" s="21" t="n">
        <x:v>10</x:v>
      </x:c>
      <x:c r="F596" s="21" t="str">
        <x:v>Mobilization activation</x:v>
      </x:c>
      <x:c r="G596" s="21" t="n">
        <x:v>28</x:v>
      </x:c>
      <x:c r="H596" s="21" t="str">
        <x:v>Production Release Board</x:v>
      </x:c>
      <x:c r="I596" s="44" t="n">
        <x:f>Lifecycle!G16</x:f>
        <x:v>0.028262731405230914</x:v>
      </x:c>
      <x:c r="J596" s="44" t="n">
        <x:v>0.075</x:v>
      </x:c>
      <x:c r="K596" s="44" t="n">
        <x:f>I596*J596</x:f>
        <x:v>0.0021197048553923186</x:v>
      </x:c>
      <x:c r="L596" s="46" t="n">
        <x:v>0</x:v>
      </x:c>
      <x:c r="M596" s="46" t="n">
        <x:v>0</x:v>
      </x:c>
      <x:c r="N596" s="21" t="n">
        <x:f>IF(AND(L595=1,M595=1,P595&gt;0),1,0)</x:f>
        <x:v>0</x:v>
      </x:c>
      <x:c r="O596" s="21" t="n">
        <x:f>MIN('Root Data'!I181:I183)</x:f>
        <x:v>0</x:v>
      </x:c>
      <x:c r="P596" s="44" t="n">
        <x:f>IF(AND(L596=1,M596=1,N596=1,O596&gt;=G596),K596,0)</x:f>
        <x:v>0</x:v>
      </x:c>
      <x:c r="Q596" s="21" t="str">
        <x:v>OPEN</x:v>
      </x:c>
      <x:c r="R596" s="23" t="str">
        <x:v>HOLD</x:v>
      </x:c>
    </x:row>
    <x:row r="597">
      <x:c r="B597" s="21" t="str">
        <x:v>AR-00591</x:v>
      </x:c>
      <x:c r="C597" s="21" t="str">
        <x:v>F15-I4</x:v>
      </x:c>
      <x:c r="D597" s="21" t="str">
        <x:v>F15</x:v>
      </x:c>
      <x:c r="E597" s="21" t="n">
        <x:v>1</x:v>
      </x:c>
      <x:c r="F597" s="21" t="str">
        <x:v>Civil effect charter</x:v>
      </x:c>
      <x:c r="G597" s="21" t="n">
        <x:v>0</x:v>
      </x:c>
      <x:c r="H597" s="21" t="str">
        <x:v>Civil Guarantee Authority</x:v>
      </x:c>
      <x:c r="I597" s="44" t="n">
        <x:f>Lifecycle!G7</x:f>
        <x:v>0.04941036958956453</x:v>
      </x:c>
      <x:c r="J597" s="44" t="n">
        <x:v>0.075</x:v>
      </x:c>
      <x:c r="K597" s="44" t="n">
        <x:f>I597*J597</x:f>
        <x:v>0.0037057777192173397</x:v>
      </x:c>
      <x:c r="L597" s="46" t="n">
        <x:v>0</x:v>
      </x:c>
      <x:c r="M597" s="46" t="n">
        <x:v>0</x:v>
      </x:c>
      <x:c r="N597" s="21" t="n">
        <x:f>1</x:f>
        <x:v>1</x:v>
      </x:c>
      <x:c r="O597" s="21" t="n">
        <x:f>MIN('Root Data'!I184:I186)</x:f>
        <x:v>0</x:v>
      </x:c>
      <x:c r="P597" s="44" t="n">
        <x:f>IF(AND(L597=1,M597=1,N597=1,O597&gt;=G597),K597,0)</x:f>
        <x:v>0</x:v>
      </x:c>
      <x:c r="Q597" s="21" t="str">
        <x:v>OPEN</x:v>
      </x:c>
      <x:c r="R597" s="23" t="str">
        <x:v>HOLD</x:v>
      </x:c>
    </x:row>
    <x:row r="598">
      <x:c r="B598" s="21" t="str">
        <x:v>AR-00592</x:v>
      </x:c>
      <x:c r="C598" s="21" t="str">
        <x:v>F15-I4</x:v>
      </x:c>
      <x:c r="D598" s="21" t="str">
        <x:v>F15</x:v>
      </x:c>
      <x:c r="E598" s="21" t="n">
        <x:v>2</x:v>
      </x:c>
      <x:c r="F598" s="21" t="str">
        <x:v>Requirement and root-independence package</x:v>
      </x:c>
      <x:c r="G598" s="21" t="n">
        <x:v>8</x:v>
      </x:c>
      <x:c r="H598" s="21" t="str">
        <x:v>Resilience Staff</x:v>
      </x:c>
      <x:c r="I598" s="44" t="n">
        <x:f>Lifecycle!G8</x:f>
        <x:v>0.10211476381843337</x:v>
      </x:c>
      <x:c r="J598" s="44" t="n">
        <x:v>0.075</x:v>
      </x:c>
      <x:c r="K598" s="44" t="n">
        <x:f>I598*J598</x:f>
        <x:v>0.007658607286382502</x:v>
      </x:c>
      <x:c r="L598" s="46" t="n">
        <x:v>0</x:v>
      </x:c>
      <x:c r="M598" s="46" t="n">
        <x:v>0</x:v>
      </x:c>
      <x:c r="N598" s="21" t="n">
        <x:f>IF(AND(L597=1,M597=1,P597&gt;0),1,0)</x:f>
        <x:v>0</x:v>
      </x:c>
      <x:c r="O598" s="21" t="n">
        <x:f>MIN('Root Data'!I184:I186)</x:f>
        <x:v>0</x:v>
      </x:c>
      <x:c r="P598" s="44" t="n">
        <x:f>IF(AND(L598=1,M598=1,N598=1,O598&gt;=G598),K598,0)</x:f>
        <x:v>0</x:v>
      </x:c>
      <x:c r="Q598" s="21" t="str">
        <x:v>OPEN</x:v>
      </x:c>
      <x:c r="R598" s="23" t="str">
        <x:v>HOLD</x:v>
      </x:c>
    </x:row>
    <x:row r="599">
      <x:c r="B599" s="21" t="str">
        <x:v>AR-00593</x:v>
      </x:c>
      <x:c r="C599" s="21" t="str">
        <x:v>F15-I4</x:v>
      </x:c>
      <x:c r="D599" s="21" t="str">
        <x:v>F15</x:v>
      </x:c>
      <x:c r="E599" s="21" t="n">
        <x:v>3</x:v>
      </x:c>
      <x:c r="F599" s="21" t="str">
        <x:v>Architecture and burden closure</x:v>
      </x:c>
      <x:c r="G599" s="21" t="n">
        <x:v>14</x:v>
      </x:c>
      <x:c r="H599" s="21" t="str">
        <x:v>Independent Evidence and Data Authority</x:v>
      </x:c>
      <x:c r="I599" s="44" t="n">
        <x:f>Lifecycle!G9</x:f>
        <x:v>0.08564464062191186</x:v>
      </x:c>
      <x:c r="J599" s="44" t="n">
        <x:v>0.075</x:v>
      </x:c>
      <x:c r="K599" s="44" t="n">
        <x:f>I599*J599</x:f>
        <x:v>0.006423348046643389</x:v>
      </x:c>
      <x:c r="L599" s="46" t="n">
        <x:v>0</x:v>
      </x:c>
      <x:c r="M599" s="46" t="n">
        <x:v>0</x:v>
      </x:c>
      <x:c r="N599" s="21" t="n">
        <x:f>IF(AND(L598=1,M598=1,P598&gt;0),1,0)</x:f>
        <x:v>0</x:v>
      </x:c>
      <x:c r="O599" s="21" t="n">
        <x:f>MIN('Root Data'!I184:I186)</x:f>
        <x:v>0</x:v>
      </x:c>
      <x:c r="P599" s="44" t="n">
        <x:f>IF(AND(L599=1,M599=1,N599=1,O599&gt;=G599),K599,0)</x:f>
        <x:v>0</x:v>
      </x:c>
      <x:c r="Q599" s="21" t="str">
        <x:v>OPEN</x:v>
      </x:c>
      <x:c r="R599" s="23" t="str">
        <x:v>HOLD</x:v>
      </x:c>
    </x:row>
    <x:row r="600">
      <x:c r="B600" s="21" t="str">
        <x:v>AR-00594</x:v>
      </x:c>
      <x:c r="C600" s="21" t="str">
        <x:v>F15-I4</x:v>
      </x:c>
      <x:c r="D600" s="21" t="str">
        <x:v>F15</x:v>
      </x:c>
      <x:c r="E600" s="21" t="n">
        <x:v>4</x:v>
      </x:c>
      <x:c r="F600" s="21" t="str">
        <x:v>Engineering article acceptance</x:v>
      </x:c>
      <x:c r="G600" s="21" t="n">
        <x:v>18</x:v>
      </x:c>
      <x:c r="H600" s="21" t="str">
        <x:v>Independent Evidence and Data Authority</x:v>
      </x:c>
      <x:c r="I600" s="44" t="n">
        <x:f>Lifecycle!G10</x:f>
        <x:v>0.05929244350747744</x:v>
      </x:c>
      <x:c r="J600" s="44" t="n">
        <x:v>0.075</x:v>
      </x:c>
      <x:c r="K600" s="44" t="n">
        <x:f>I600*J600</x:f>
        <x:v>0.004446933263060808</x:v>
      </x:c>
      <x:c r="L600" s="46" t="n">
        <x:v>0</x:v>
      </x:c>
      <x:c r="M600" s="46" t="n">
        <x:v>0</x:v>
      </x:c>
      <x:c r="N600" s="21" t="n">
        <x:f>IF(AND(L599=1,M599=1,P599&gt;0),1,0)</x:f>
        <x:v>0</x:v>
      </x:c>
      <x:c r="O600" s="21" t="n">
        <x:f>MIN('Root Data'!I184:I186)</x:f>
        <x:v>0</x:v>
      </x:c>
      <x:c r="P600" s="44" t="n">
        <x:f>IF(AND(L600=1,M600=1,N600=1,O600&gt;=G600),K600,0)</x:f>
        <x:v>0</x:v>
      </x:c>
      <x:c r="Q600" s="21" t="str">
        <x:v>OPEN</x:v>
      </x:c>
      <x:c r="R600" s="23" t="str">
        <x:v>HOLD</x:v>
      </x:c>
    </x:row>
    <x:row r="601">
      <x:c r="B601" s="21" t="str">
        <x:v>AR-00595</x:v>
      </x:c>
      <x:c r="C601" s="21" t="str">
        <x:v>F15-I4</x:v>
      </x:c>
      <x:c r="D601" s="21" t="str">
        <x:v>F15</x:v>
      </x:c>
      <x:c r="E601" s="21" t="n">
        <x:v>5</x:v>
      </x:c>
      <x:c r="F601" s="21" t="str">
        <x:v>Qualification and destructive evidence</x:v>
      </x:c>
      <x:c r="G601" s="21" t="n">
        <x:v>21</x:v>
      </x:c>
      <x:c r="H601" s="21" t="str">
        <x:v>Independent Evidence and Data Authority</x:v>
      </x:c>
      <x:c r="I601" s="44" t="n">
        <x:f>Lifecycle!G11</x:f>
        <x:v>0.1515251334079979</x:v>
      </x:c>
      <x:c r="J601" s="44" t="n">
        <x:v>0.075</x:v>
      </x:c>
      <x:c r="K601" s="44" t="n">
        <x:f>I601*J601</x:f>
        <x:v>0.011364385005599841</x:v>
      </x:c>
      <x:c r="L601" s="46" t="n">
        <x:v>0</x:v>
      </x:c>
      <x:c r="M601" s="46" t="n">
        <x:v>0</x:v>
      </x:c>
      <x:c r="N601" s="21" t="n">
        <x:f>IF(AND(L600=1,M600=1,P600&gt;0),1,0)</x:f>
        <x:v>0</x:v>
      </x:c>
      <x:c r="O601" s="21" t="n">
        <x:f>MIN('Root Data'!I184:I186)</x:f>
        <x:v>0</x:v>
      </x:c>
      <x:c r="P601" s="44" t="n">
        <x:f>IF(AND(L601=1,M601=1,N601=1,O601&gt;=G601),K601,0)</x:f>
        <x:v>0</x:v>
      </x:c>
      <x:c r="Q601" s="21" t="str">
        <x:v>OPEN</x:v>
      </x:c>
      <x:c r="R601" s="23" t="str">
        <x:v>HOLD</x:v>
      </x:c>
    </x:row>
    <x:row r="602">
      <x:c r="B602" s="21" t="str">
        <x:v>AR-00596</x:v>
      </x:c>
      <x:c r="C602" s="21" t="str">
        <x:v>F15-I4</x:v>
      </x:c>
      <x:c r="D602" s="21" t="str">
        <x:v>F15</x:v>
      </x:c>
      <x:c r="E602" s="21" t="n">
        <x:v>6</x:v>
      </x:c>
      <x:c r="F602" s="21" t="str">
        <x:v>Representative mission result</x:v>
      </x:c>
      <x:c r="G602" s="21" t="n">
        <x:v>23</x:v>
      </x:c>
      <x:c r="H602" s="21" t="str">
        <x:v>Receiving Service Authority</x:v>
      </x:c>
      <x:c r="I602" s="44" t="n">
        <x:f>Lifecycle!G12</x:f>
        <x:v>0.250345872587127</x:v>
      </x:c>
      <x:c r="J602" s="44" t="n">
        <x:v>0.075</x:v>
      </x:c>
      <x:c r="K602" s="44" t="n">
        <x:f>I602*J602</x:f>
        <x:v>0.018775940444034522</x:v>
      </x:c>
      <x:c r="L602" s="46" t="n">
        <x:v>0</x:v>
      </x:c>
      <x:c r="M602" s="46" t="n">
        <x:v>0</x:v>
      </x:c>
      <x:c r="N602" s="21" t="n">
        <x:f>IF(AND(L601=1,M601=1,P601&gt;0),1,0)</x:f>
        <x:v>0</x:v>
      </x:c>
      <x:c r="O602" s="21" t="n">
        <x:f>MIN('Root Data'!I184:I186)</x:f>
        <x:v>0</x:v>
      </x:c>
      <x:c r="P602" s="44" t="n">
        <x:f>IF(AND(L602=1,M602=1,N602=1,O602&gt;=G602),K602,0)</x:f>
        <x:v>0</x:v>
      </x:c>
      <x:c r="Q602" s="21" t="str">
        <x:v>OPEN</x:v>
      </x:c>
      <x:c r="R602" s="23" t="str">
        <x:v>HOLD</x:v>
      </x:c>
    </x:row>
    <x:row r="603">
      <x:c r="B603" s="21" t="str">
        <x:v>AR-00597</x:v>
      </x:c>
      <x:c r="C603" s="21" t="str">
        <x:v>F15-I4</x:v>
      </x:c>
      <x:c r="D603" s="21" t="str">
        <x:v>F15</x:v>
      </x:c>
      <x:c r="E603" s="21" t="n">
        <x:v>7</x:v>
      </x:c>
      <x:c r="F603" s="21" t="str">
        <x:v>Independent reproduction</x:v>
      </x:c>
      <x:c r="G603" s="21" t="n">
        <x:v>28</x:v>
      </x:c>
      <x:c r="H603" s="21" t="str">
        <x:v>Independent Evidence and Data Authority</x:v>
      </x:c>
      <x:c r="I603" s="44" t="n">
        <x:f>Lifecycle!G13</x:f>
        <x:v>0.21740562619408393</x:v>
      </x:c>
      <x:c r="J603" s="44" t="n">
        <x:v>0.075</x:v>
      </x:c>
      <x:c r="K603" s="44" t="n">
        <x:f>I603*J603</x:f>
        <x:v>0.016305421964556293</x:v>
      </x:c>
      <x:c r="L603" s="46" t="n">
        <x:v>0</x:v>
      </x:c>
      <x:c r="M603" s="46" t="n">
        <x:v>0</x:v>
      </x:c>
      <x:c r="N603" s="21" t="n">
        <x:f>IF(AND(L602=1,M602=1,P602&gt;0),1,0)</x:f>
        <x:v>0</x:v>
      </x:c>
      <x:c r="O603" s="21" t="n">
        <x:f>MIN('Root Data'!I184:I186)</x:f>
        <x:v>0</x:v>
      </x:c>
      <x:c r="P603" s="44" t="n">
        <x:f>IF(AND(L603=1,M603=1,N603=1,O603&gt;=G603),K603,0)</x:f>
        <x:v>0</x:v>
      </x:c>
      <x:c r="Q603" s="21" t="str">
        <x:v>OPEN</x:v>
      </x:c>
      <x:c r="R603" s="23" t="str">
        <x:v>HOLD</x:v>
      </x:c>
    </x:row>
    <x:row r="604">
      <x:c r="B604" s="21" t="str">
        <x:v>AR-00598</x:v>
      </x:c>
      <x:c r="C604" s="21" t="str">
        <x:v>F15-I4</x:v>
      </x:c>
      <x:c r="D604" s="21" t="str">
        <x:v>F15</x:v>
      </x:c>
      <x:c r="E604" s="21" t="n">
        <x:v>8</x:v>
      </x:c>
      <x:c r="F604" s="21" t="str">
        <x:v>Pilot-process qualification</x:v>
      </x:c>
      <x:c r="G604" s="21" t="n">
        <x:v>28</x:v>
      </x:c>
      <x:c r="H604" s="21" t="str">
        <x:v>AIMC Industrial Mobilization Authority</x:v>
      </x:c>
      <x:c r="I604" s="44" t="n">
        <x:f>Lifecycle!G14</x:f>
        <x:v>0.03952829567165163</x:v>
      </x:c>
      <x:c r="J604" s="44" t="n">
        <x:v>0.075</x:v>
      </x:c>
      <x:c r="K604" s="44" t="n">
        <x:f>I604*J604</x:f>
        <x:v>0.002964622175373872</x:v>
      </x:c>
      <x:c r="L604" s="46" t="n">
        <x:v>0</x:v>
      </x:c>
      <x:c r="M604" s="46" t="n">
        <x:v>0</x:v>
      </x:c>
      <x:c r="N604" s="21" t="n">
        <x:f>IF(AND(L603=1,M603=1,P603&gt;0),1,0)</x:f>
        <x:v>0</x:v>
      </x:c>
      <x:c r="O604" s="21" t="n">
        <x:f>MIN('Root Data'!I184:I186)</x:f>
        <x:v>0</x:v>
      </x:c>
      <x:c r="P604" s="44" t="n">
        <x:f>IF(AND(L604=1,M604=1,N604=1,O604&gt;=G604),K604,0)</x:f>
        <x:v>0</x:v>
      </x:c>
      <x:c r="Q604" s="21" t="str">
        <x:v>OPEN</x:v>
      </x:c>
      <x:c r="R604" s="23" t="str">
        <x:v>HOLD</x:v>
      </x:c>
    </x:row>
    <x:row r="605">
      <x:c r="B605" s="21" t="str">
        <x:v>AR-00599</x:v>
      </x:c>
      <x:c r="C605" s="21" t="str">
        <x:v>F15-I4</x:v>
      </x:c>
      <x:c r="D605" s="21" t="str">
        <x:v>F15</x:v>
      </x:c>
      <x:c r="E605" s="21" t="n">
        <x:v>9</x:v>
      </x:c>
      <x:c r="F605" s="21" t="str">
        <x:v>Production release package</x:v>
      </x:c>
      <x:c r="G605" s="21" t="n">
        <x:v>28</x:v>
      </x:c>
      <x:c r="H605" s="21" t="str">
        <x:v>Production Release Board</x:v>
      </x:c>
      <x:c r="I605" s="44" t="n">
        <x:f>Lifecycle!G15</x:f>
        <x:v>0.01647012319652151</x:v>
      </x:c>
      <x:c r="J605" s="44" t="n">
        <x:v>0.075</x:v>
      </x:c>
      <x:c r="K605" s="44" t="n">
        <x:f>I605*J605</x:f>
        <x:v>0.0012352592397391132</x:v>
      </x:c>
      <x:c r="L605" s="46" t="n">
        <x:v>0</x:v>
      </x:c>
      <x:c r="M605" s="46" t="n">
        <x:v>0</x:v>
      </x:c>
      <x:c r="N605" s="21" t="n">
        <x:f>IF(AND(L604=1,M604=1,P604&gt;0),1,0)</x:f>
        <x:v>0</x:v>
      </x:c>
      <x:c r="O605" s="21" t="n">
        <x:f>MIN('Root Data'!I184:I186)</x:f>
        <x:v>0</x:v>
      </x:c>
      <x:c r="P605" s="44" t="n">
        <x:f>IF(AND(L605=1,M605=1,N605=1,O605&gt;=G605),K605,0)</x:f>
        <x:v>0</x:v>
      </x:c>
      <x:c r="Q605" s="21" t="str">
        <x:v>OPEN</x:v>
      </x:c>
      <x:c r="R605" s="23" t="str">
        <x:v>HOLD</x:v>
      </x:c>
    </x:row>
    <x:row r="606">
      <x:c r="B606" s="21" t="str">
        <x:v>AR-00600</x:v>
      </x:c>
      <x:c r="C606" s="21" t="str">
        <x:v>F15-I4</x:v>
      </x:c>
      <x:c r="D606" s="21" t="str">
        <x:v>F15</x:v>
      </x:c>
      <x:c r="E606" s="21" t="n">
        <x:v>10</x:v>
      </x:c>
      <x:c r="F606" s="21" t="str">
        <x:v>Mobilization activation</x:v>
      </x:c>
      <x:c r="G606" s="21" t="n">
        <x:v>28</x:v>
      </x:c>
      <x:c r="H606" s="21" t="str">
        <x:v>Production Release Board</x:v>
      </x:c>
      <x:c r="I606" s="44" t="n">
        <x:f>Lifecycle!G16</x:f>
        <x:v>0.028262731405230914</x:v>
      </x:c>
      <x:c r="J606" s="44" t="n">
        <x:v>0.075</x:v>
      </x:c>
      <x:c r="K606" s="44" t="n">
        <x:f>I606*J606</x:f>
        <x:v>0.0021197048553923186</x:v>
      </x:c>
      <x:c r="L606" s="46" t="n">
        <x:v>0</x:v>
      </x:c>
      <x:c r="M606" s="46" t="n">
        <x:v>0</x:v>
      </x:c>
      <x:c r="N606" s="21" t="n">
        <x:f>IF(AND(L605=1,M605=1,P605&gt;0),1,0)</x:f>
        <x:v>0</x:v>
      </x:c>
      <x:c r="O606" s="21" t="n">
        <x:f>MIN('Root Data'!I184:I186)</x:f>
        <x:v>0</x:v>
      </x:c>
      <x:c r="P606" s="44" t="n">
        <x:f>IF(AND(L606=1,M606=1,N606=1,O606&gt;=G606),K606,0)</x:f>
        <x:v>0</x:v>
      </x:c>
      <x:c r="Q606" s="21" t="str">
        <x:v>OPEN</x:v>
      </x:c>
      <x:c r="R606" s="23" t="str">
        <x:v>HOLD</x:v>
      </x:c>
    </x:row>
    <x:row r="607">
      <x:c r="B607" s="21" t="str">
        <x:v>AR-00601</x:v>
      </x:c>
      <x:c r="C607" s="21" t="str">
        <x:v>F16-I1</x:v>
      </x:c>
      <x:c r="D607" s="21" t="str">
        <x:v>F16</x:v>
      </x:c>
      <x:c r="E607" s="21" t="n">
        <x:v>1</x:v>
      </x:c>
      <x:c r="F607" s="21" t="str">
        <x:v>Civil effect charter</x:v>
      </x:c>
      <x:c r="G607" s="21" t="n">
        <x:v>0</x:v>
      </x:c>
      <x:c r="H607" s="21" t="str">
        <x:v>Civil Guarantee Authority</x:v>
      </x:c>
      <x:c r="I607" s="44" t="n">
        <x:f>Lifecycle!G7</x:f>
        <x:v>0.04941036958956453</x:v>
      </x:c>
      <x:c r="J607" s="44" t="n">
        <x:v>0.10416666666666667</x:v>
      </x:c>
      <x:c r="K607" s="44" t="n">
        <x:f>I607*J607</x:f>
        <x:v>0.005146913498912972</x:v>
      </x:c>
      <x:c r="L607" s="46" t="n">
        <x:v>0</x:v>
      </x:c>
      <x:c r="M607" s="46" t="n">
        <x:v>0</x:v>
      </x:c>
      <x:c r="N607" s="21" t="n">
        <x:f>1</x:f>
        <x:v>1</x:v>
      </x:c>
      <x:c r="O607" s="21" t="n">
        <x:f>MIN('Root Data'!I187:I189)</x:f>
        <x:v>0</x:v>
      </x:c>
      <x:c r="P607" s="44" t="n">
        <x:f>IF(AND(L607=1,M607=1,N607=1,O607&gt;=G607),K607,0)</x:f>
        <x:v>0</x:v>
      </x:c>
      <x:c r="Q607" s="21" t="str">
        <x:v>OPEN</x:v>
      </x:c>
      <x:c r="R607" s="23" t="str">
        <x:v>HOLD</x:v>
      </x:c>
    </x:row>
    <x:row r="608">
      <x:c r="B608" s="21" t="str">
        <x:v>AR-00602</x:v>
      </x:c>
      <x:c r="C608" s="21" t="str">
        <x:v>F16-I1</x:v>
      </x:c>
      <x:c r="D608" s="21" t="str">
        <x:v>F16</x:v>
      </x:c>
      <x:c r="E608" s="21" t="n">
        <x:v>2</x:v>
      </x:c>
      <x:c r="F608" s="21" t="str">
        <x:v>Requirement and root-independence package</x:v>
      </x:c>
      <x:c r="G608" s="21" t="n">
        <x:v>8</x:v>
      </x:c>
      <x:c r="H608" s="21" t="str">
        <x:v>Resilience Staff</x:v>
      </x:c>
      <x:c r="I608" s="44" t="n">
        <x:f>Lifecycle!G8</x:f>
        <x:v>0.10211476381843337</x:v>
      </x:c>
      <x:c r="J608" s="44" t="n">
        <x:v>0.10416666666666667</x:v>
      </x:c>
      <x:c r="K608" s="44" t="n">
        <x:f>I608*J608</x:f>
        <x:v>0.010636954564420143</x:v>
      </x:c>
      <x:c r="L608" s="46" t="n">
        <x:v>0</x:v>
      </x:c>
      <x:c r="M608" s="46" t="n">
        <x:v>0</x:v>
      </x:c>
      <x:c r="N608" s="21" t="n">
        <x:f>IF(AND(L607=1,M607=1,P607&gt;0),1,0)</x:f>
        <x:v>0</x:v>
      </x:c>
      <x:c r="O608" s="21" t="n">
        <x:f>MIN('Root Data'!I187:I189)</x:f>
        <x:v>0</x:v>
      </x:c>
      <x:c r="P608" s="44" t="n">
        <x:f>IF(AND(L608=1,M608=1,N608=1,O608&gt;=G608),K608,0)</x:f>
        <x:v>0</x:v>
      </x:c>
      <x:c r="Q608" s="21" t="str">
        <x:v>OPEN</x:v>
      </x:c>
      <x:c r="R608" s="23" t="str">
        <x:v>HOLD</x:v>
      </x:c>
    </x:row>
    <x:row r="609">
      <x:c r="B609" s="21" t="str">
        <x:v>AR-00603</x:v>
      </x:c>
      <x:c r="C609" s="21" t="str">
        <x:v>F16-I1</x:v>
      </x:c>
      <x:c r="D609" s="21" t="str">
        <x:v>F16</x:v>
      </x:c>
      <x:c r="E609" s="21" t="n">
        <x:v>3</x:v>
      </x:c>
      <x:c r="F609" s="21" t="str">
        <x:v>Architecture and burden closure</x:v>
      </x:c>
      <x:c r="G609" s="21" t="n">
        <x:v>14</x:v>
      </x:c>
      <x:c r="H609" s="21" t="str">
        <x:v>Independent Evidence and Data Authority</x:v>
      </x:c>
      <x:c r="I609" s="44" t="n">
        <x:f>Lifecycle!G9</x:f>
        <x:v>0.08564464062191186</x:v>
      </x:c>
      <x:c r="J609" s="44" t="n">
        <x:v>0.10416666666666667</x:v>
      </x:c>
      <x:c r="K609" s="44" t="n">
        <x:f>I609*J609</x:f>
        <x:v>0.008921316731449153</x:v>
      </x:c>
      <x:c r="L609" s="46" t="n">
        <x:v>0</x:v>
      </x:c>
      <x:c r="M609" s="46" t="n">
        <x:v>0</x:v>
      </x:c>
      <x:c r="N609" s="21" t="n">
        <x:f>IF(AND(L608=1,M608=1,P608&gt;0),1,0)</x:f>
        <x:v>0</x:v>
      </x:c>
      <x:c r="O609" s="21" t="n">
        <x:f>MIN('Root Data'!I187:I189)</x:f>
        <x:v>0</x:v>
      </x:c>
      <x:c r="P609" s="44" t="n">
        <x:f>IF(AND(L609=1,M609=1,N609=1,O609&gt;=G609),K609,0)</x:f>
        <x:v>0</x:v>
      </x:c>
      <x:c r="Q609" s="21" t="str">
        <x:v>OPEN</x:v>
      </x:c>
      <x:c r="R609" s="23" t="str">
        <x:v>HOLD</x:v>
      </x:c>
    </x:row>
    <x:row r="610">
      <x:c r="B610" s="21" t="str">
        <x:v>AR-00604</x:v>
      </x:c>
      <x:c r="C610" s="21" t="str">
        <x:v>F16-I1</x:v>
      </x:c>
      <x:c r="D610" s="21" t="str">
        <x:v>F16</x:v>
      </x:c>
      <x:c r="E610" s="21" t="n">
        <x:v>4</x:v>
      </x:c>
      <x:c r="F610" s="21" t="str">
        <x:v>Engineering article acceptance</x:v>
      </x:c>
      <x:c r="G610" s="21" t="n">
        <x:v>18</x:v>
      </x:c>
      <x:c r="H610" s="21" t="str">
        <x:v>Independent Evidence and Data Authority</x:v>
      </x:c>
      <x:c r="I610" s="44" t="n">
        <x:f>Lifecycle!G10</x:f>
        <x:v>0.05929244350747744</x:v>
      </x:c>
      <x:c r="J610" s="44" t="n">
        <x:v>0.10416666666666667</x:v>
      </x:c>
      <x:c r="K610" s="44" t="n">
        <x:f>I610*J610</x:f>
        <x:v>0.006176296198695567</x:v>
      </x:c>
      <x:c r="L610" s="46" t="n">
        <x:v>0</x:v>
      </x:c>
      <x:c r="M610" s="46" t="n">
        <x:v>0</x:v>
      </x:c>
      <x:c r="N610" s="21" t="n">
        <x:f>IF(AND(L609=1,M609=1,P609&gt;0),1,0)</x:f>
        <x:v>0</x:v>
      </x:c>
      <x:c r="O610" s="21" t="n">
        <x:f>MIN('Root Data'!I187:I189)</x:f>
        <x:v>0</x:v>
      </x:c>
      <x:c r="P610" s="44" t="n">
        <x:f>IF(AND(L610=1,M610=1,N610=1,O610&gt;=G610),K610,0)</x:f>
        <x:v>0</x:v>
      </x:c>
      <x:c r="Q610" s="21" t="str">
        <x:v>OPEN</x:v>
      </x:c>
      <x:c r="R610" s="23" t="str">
        <x:v>HOLD</x:v>
      </x:c>
    </x:row>
    <x:row r="611">
      <x:c r="B611" s="21" t="str">
        <x:v>AR-00605</x:v>
      </x:c>
      <x:c r="C611" s="21" t="str">
        <x:v>F16-I1</x:v>
      </x:c>
      <x:c r="D611" s="21" t="str">
        <x:v>F16</x:v>
      </x:c>
      <x:c r="E611" s="21" t="n">
        <x:v>5</x:v>
      </x:c>
      <x:c r="F611" s="21" t="str">
        <x:v>Qualification and destructive evidence</x:v>
      </x:c>
      <x:c r="G611" s="21" t="n">
        <x:v>21</x:v>
      </x:c>
      <x:c r="H611" s="21" t="str">
        <x:v>Independent Evidence and Data Authority</x:v>
      </x:c>
      <x:c r="I611" s="44" t="n">
        <x:f>Lifecycle!G11</x:f>
        <x:v>0.1515251334079979</x:v>
      </x:c>
      <x:c r="J611" s="44" t="n">
        <x:v>0.10416666666666667</x:v>
      </x:c>
      <x:c r="K611" s="44" t="n">
        <x:f>I611*J611</x:f>
        <x:v>0.015783868063333116</x:v>
      </x:c>
      <x:c r="L611" s="46" t="n">
        <x:v>0</x:v>
      </x:c>
      <x:c r="M611" s="46" t="n">
        <x:v>0</x:v>
      </x:c>
      <x:c r="N611" s="21" t="n">
        <x:f>IF(AND(L610=1,M610=1,P610&gt;0),1,0)</x:f>
        <x:v>0</x:v>
      </x:c>
      <x:c r="O611" s="21" t="n">
        <x:f>MIN('Root Data'!I187:I189)</x:f>
        <x:v>0</x:v>
      </x:c>
      <x:c r="P611" s="44" t="n">
        <x:f>IF(AND(L611=1,M611=1,N611=1,O611&gt;=G611),K611,0)</x:f>
        <x:v>0</x:v>
      </x:c>
      <x:c r="Q611" s="21" t="str">
        <x:v>OPEN</x:v>
      </x:c>
      <x:c r="R611" s="23" t="str">
        <x:v>HOLD</x:v>
      </x:c>
    </x:row>
    <x:row r="612">
      <x:c r="B612" s="21" t="str">
        <x:v>AR-00606</x:v>
      </x:c>
      <x:c r="C612" s="21" t="str">
        <x:v>F16-I1</x:v>
      </x:c>
      <x:c r="D612" s="21" t="str">
        <x:v>F16</x:v>
      </x:c>
      <x:c r="E612" s="21" t="n">
        <x:v>6</x:v>
      </x:c>
      <x:c r="F612" s="21" t="str">
        <x:v>Representative mission result</x:v>
      </x:c>
      <x:c r="G612" s="21" t="n">
        <x:v>23</x:v>
      </x:c>
      <x:c r="H612" s="21" t="str">
        <x:v>Receiving Service Authority</x:v>
      </x:c>
      <x:c r="I612" s="44" t="n">
        <x:f>Lifecycle!G12</x:f>
        <x:v>0.250345872587127</x:v>
      </x:c>
      <x:c r="J612" s="44" t="n">
        <x:v>0.10416666666666667</x:v>
      </x:c>
      <x:c r="K612" s="44" t="n">
        <x:f>I612*J612</x:f>
        <x:v>0.026077695061159062</x:v>
      </x:c>
      <x:c r="L612" s="46" t="n">
        <x:v>0</x:v>
      </x:c>
      <x:c r="M612" s="46" t="n">
        <x:v>0</x:v>
      </x:c>
      <x:c r="N612" s="21" t="n">
        <x:f>IF(AND(L611=1,M611=1,P611&gt;0),1,0)</x:f>
        <x:v>0</x:v>
      </x:c>
      <x:c r="O612" s="21" t="n">
        <x:f>MIN('Root Data'!I187:I189)</x:f>
        <x:v>0</x:v>
      </x:c>
      <x:c r="P612" s="44" t="n">
        <x:f>IF(AND(L612=1,M612=1,N612=1,O612&gt;=G612),K612,0)</x:f>
        <x:v>0</x:v>
      </x:c>
      <x:c r="Q612" s="21" t="str">
        <x:v>OPEN</x:v>
      </x:c>
      <x:c r="R612" s="23" t="str">
        <x:v>HOLD</x:v>
      </x:c>
    </x:row>
    <x:row r="613">
      <x:c r="B613" s="21" t="str">
        <x:v>AR-00607</x:v>
      </x:c>
      <x:c r="C613" s="21" t="str">
        <x:v>F16-I1</x:v>
      </x:c>
      <x:c r="D613" s="21" t="str">
        <x:v>F16</x:v>
      </x:c>
      <x:c r="E613" s="21" t="n">
        <x:v>7</x:v>
      </x:c>
      <x:c r="F613" s="21" t="str">
        <x:v>Independent reproduction</x:v>
      </x:c>
      <x:c r="G613" s="21" t="n">
        <x:v>28</x:v>
      </x:c>
      <x:c r="H613" s="21" t="str">
        <x:v>Independent Evidence and Data Authority</x:v>
      </x:c>
      <x:c r="I613" s="44" t="n">
        <x:f>Lifecycle!G13</x:f>
        <x:v>0.21740562619408393</x:v>
      </x:c>
      <x:c r="J613" s="44" t="n">
        <x:v>0.10416666666666667</x:v>
      </x:c>
      <x:c r="K613" s="44" t="n">
        <x:f>I613*J613</x:f>
        <x:v>0.02264641939521708</x:v>
      </x:c>
      <x:c r="L613" s="46" t="n">
        <x:v>0</x:v>
      </x:c>
      <x:c r="M613" s="46" t="n">
        <x:v>0</x:v>
      </x:c>
      <x:c r="N613" s="21" t="n">
        <x:f>IF(AND(L612=1,M612=1,P612&gt;0),1,0)</x:f>
        <x:v>0</x:v>
      </x:c>
      <x:c r="O613" s="21" t="n">
        <x:f>MIN('Root Data'!I187:I189)</x:f>
        <x:v>0</x:v>
      </x:c>
      <x:c r="P613" s="44" t="n">
        <x:f>IF(AND(L613=1,M613=1,N613=1,O613&gt;=G613),K613,0)</x:f>
        <x:v>0</x:v>
      </x:c>
      <x:c r="Q613" s="21" t="str">
        <x:v>OPEN</x:v>
      </x:c>
      <x:c r="R613" s="23" t="str">
        <x:v>HOLD</x:v>
      </x:c>
    </x:row>
    <x:row r="614">
      <x:c r="B614" s="21" t="str">
        <x:v>AR-00608</x:v>
      </x:c>
      <x:c r="C614" s="21" t="str">
        <x:v>F16-I1</x:v>
      </x:c>
      <x:c r="D614" s="21" t="str">
        <x:v>F16</x:v>
      </x:c>
      <x:c r="E614" s="21" t="n">
        <x:v>8</x:v>
      </x:c>
      <x:c r="F614" s="21" t="str">
        <x:v>Pilot-process qualification</x:v>
      </x:c>
      <x:c r="G614" s="21" t="n">
        <x:v>28</x:v>
      </x:c>
      <x:c r="H614" s="21" t="str">
        <x:v>AIMC Industrial Mobilization Authority</x:v>
      </x:c>
      <x:c r="I614" s="44" t="n">
        <x:f>Lifecycle!G14</x:f>
        <x:v>0.03952829567165163</x:v>
      </x:c>
      <x:c r="J614" s="44" t="n">
        <x:v>0.10416666666666667</x:v>
      </x:c>
      <x:c r="K614" s="44" t="n">
        <x:f>I614*J614</x:f>
        <x:v>0.0041175307991303785</x:v>
      </x:c>
      <x:c r="L614" s="46" t="n">
        <x:v>0</x:v>
      </x:c>
      <x:c r="M614" s="46" t="n">
        <x:v>0</x:v>
      </x:c>
      <x:c r="N614" s="21" t="n">
        <x:f>IF(AND(L613=1,M613=1,P613&gt;0),1,0)</x:f>
        <x:v>0</x:v>
      </x:c>
      <x:c r="O614" s="21" t="n">
        <x:f>MIN('Root Data'!I187:I189)</x:f>
        <x:v>0</x:v>
      </x:c>
      <x:c r="P614" s="44" t="n">
        <x:f>IF(AND(L614=1,M614=1,N614=1,O614&gt;=G614),K614,0)</x:f>
        <x:v>0</x:v>
      </x:c>
      <x:c r="Q614" s="21" t="str">
        <x:v>OPEN</x:v>
      </x:c>
      <x:c r="R614" s="23" t="str">
        <x:v>HOLD</x:v>
      </x:c>
    </x:row>
    <x:row r="615">
      <x:c r="B615" s="21" t="str">
        <x:v>AR-00609</x:v>
      </x:c>
      <x:c r="C615" s="21" t="str">
        <x:v>F16-I1</x:v>
      </x:c>
      <x:c r="D615" s="21" t="str">
        <x:v>F16</x:v>
      </x:c>
      <x:c r="E615" s="21" t="n">
        <x:v>9</x:v>
      </x:c>
      <x:c r="F615" s="21" t="str">
        <x:v>Production release package</x:v>
      </x:c>
      <x:c r="G615" s="21" t="n">
        <x:v>28</x:v>
      </x:c>
      <x:c r="H615" s="21" t="str">
        <x:v>Production Release Board</x:v>
      </x:c>
      <x:c r="I615" s="44" t="n">
        <x:f>Lifecycle!G15</x:f>
        <x:v>0.01647012319652151</x:v>
      </x:c>
      <x:c r="J615" s="44" t="n">
        <x:v>0.10416666666666667</x:v>
      </x:c>
      <x:c r="K615" s="44" t="n">
        <x:f>I615*J615</x:f>
        <x:v>0.0017156378329709907</x:v>
      </x:c>
      <x:c r="L615" s="46" t="n">
        <x:v>0</x:v>
      </x:c>
      <x:c r="M615" s="46" t="n">
        <x:v>0</x:v>
      </x:c>
      <x:c r="N615" s="21" t="n">
        <x:f>IF(AND(L614=1,M614=1,P614&gt;0),1,0)</x:f>
        <x:v>0</x:v>
      </x:c>
      <x:c r="O615" s="21" t="n">
        <x:f>MIN('Root Data'!I187:I189)</x:f>
        <x:v>0</x:v>
      </x:c>
      <x:c r="P615" s="44" t="n">
        <x:f>IF(AND(L615=1,M615=1,N615=1,O615&gt;=G615),K615,0)</x:f>
        <x:v>0</x:v>
      </x:c>
      <x:c r="Q615" s="21" t="str">
        <x:v>OPEN</x:v>
      </x:c>
      <x:c r="R615" s="23" t="str">
        <x:v>HOLD</x:v>
      </x:c>
    </x:row>
    <x:row r="616">
      <x:c r="B616" s="21" t="str">
        <x:v>AR-00610</x:v>
      </x:c>
      <x:c r="C616" s="21" t="str">
        <x:v>F16-I1</x:v>
      </x:c>
      <x:c r="D616" s="21" t="str">
        <x:v>F16</x:v>
      </x:c>
      <x:c r="E616" s="21" t="n">
        <x:v>10</x:v>
      </x:c>
      <x:c r="F616" s="21" t="str">
        <x:v>Mobilization activation</x:v>
      </x:c>
      <x:c r="G616" s="21" t="n">
        <x:v>28</x:v>
      </x:c>
      <x:c r="H616" s="21" t="str">
        <x:v>Production Release Board</x:v>
      </x:c>
      <x:c r="I616" s="44" t="n">
        <x:f>Lifecycle!G16</x:f>
        <x:v>0.028262731405230914</x:v>
      </x:c>
      <x:c r="J616" s="44" t="n">
        <x:v>0.10416666666666667</x:v>
      </x:c>
      <x:c r="K616" s="44" t="n">
        <x:f>I616*J616</x:f>
        <x:v>0.0029440345213782204</x:v>
      </x:c>
      <x:c r="L616" s="46" t="n">
        <x:v>0</x:v>
      </x:c>
      <x:c r="M616" s="46" t="n">
        <x:v>0</x:v>
      </x:c>
      <x:c r="N616" s="21" t="n">
        <x:f>IF(AND(L615=1,M615=1,P615&gt;0),1,0)</x:f>
        <x:v>0</x:v>
      </x:c>
      <x:c r="O616" s="21" t="n">
        <x:f>MIN('Root Data'!I187:I189)</x:f>
        <x:v>0</x:v>
      </x:c>
      <x:c r="P616" s="44" t="n">
        <x:f>IF(AND(L616=1,M616=1,N616=1,O616&gt;=G616),K616,0)</x:f>
        <x:v>0</x:v>
      </x:c>
      <x:c r="Q616" s="21" t="str">
        <x:v>OPEN</x:v>
      </x:c>
      <x:c r="R616" s="23" t="str">
        <x:v>HOLD</x:v>
      </x:c>
    </x:row>
    <x:row r="617">
      <x:c r="B617" s="21" t="str">
        <x:v>AR-00611</x:v>
      </x:c>
      <x:c r="C617" s="21" t="str">
        <x:v>F16-I2</x:v>
      </x:c>
      <x:c r="D617" s="21" t="str">
        <x:v>F16</x:v>
      </x:c>
      <x:c r="E617" s="21" t="n">
        <x:v>1</x:v>
      </x:c>
      <x:c r="F617" s="21" t="str">
        <x:v>Civil effect charter</x:v>
      </x:c>
      <x:c r="G617" s="21" t="n">
        <x:v>0</x:v>
      </x:c>
      <x:c r="H617" s="21" t="str">
        <x:v>Civil Guarantee Authority</x:v>
      </x:c>
      <x:c r="I617" s="44" t="n">
        <x:f>Lifecycle!G7</x:f>
        <x:v>0.04941036958956453</x:v>
      </x:c>
      <x:c r="J617" s="44" t="n">
        <x:v>0.10416666666666667</x:v>
      </x:c>
      <x:c r="K617" s="44" t="n">
        <x:f>I617*J617</x:f>
        <x:v>0.005146913498912972</x:v>
      </x:c>
      <x:c r="L617" s="46" t="n">
        <x:v>0</x:v>
      </x:c>
      <x:c r="M617" s="46" t="n">
        <x:v>0</x:v>
      </x:c>
      <x:c r="N617" s="21" t="n">
        <x:f>1</x:f>
        <x:v>1</x:v>
      </x:c>
      <x:c r="O617" s="21" t="n">
        <x:f>MIN('Root Data'!I190:I192)</x:f>
        <x:v>0</x:v>
      </x:c>
      <x:c r="P617" s="44" t="n">
        <x:f>IF(AND(L617=1,M617=1,N617=1,O617&gt;=G617),K617,0)</x:f>
        <x:v>0</x:v>
      </x:c>
      <x:c r="Q617" s="21" t="str">
        <x:v>OPEN</x:v>
      </x:c>
      <x:c r="R617" s="23" t="str">
        <x:v>HOLD</x:v>
      </x:c>
    </x:row>
    <x:row r="618">
      <x:c r="B618" s="21" t="str">
        <x:v>AR-00612</x:v>
      </x:c>
      <x:c r="C618" s="21" t="str">
        <x:v>F16-I2</x:v>
      </x:c>
      <x:c r="D618" s="21" t="str">
        <x:v>F16</x:v>
      </x:c>
      <x:c r="E618" s="21" t="n">
        <x:v>2</x:v>
      </x:c>
      <x:c r="F618" s="21" t="str">
        <x:v>Requirement and root-independence package</x:v>
      </x:c>
      <x:c r="G618" s="21" t="n">
        <x:v>8</x:v>
      </x:c>
      <x:c r="H618" s="21" t="str">
        <x:v>Resilience Staff</x:v>
      </x:c>
      <x:c r="I618" s="44" t="n">
        <x:f>Lifecycle!G8</x:f>
        <x:v>0.10211476381843337</x:v>
      </x:c>
      <x:c r="J618" s="44" t="n">
        <x:v>0.10416666666666667</x:v>
      </x:c>
      <x:c r="K618" s="44" t="n">
        <x:f>I618*J618</x:f>
        <x:v>0.010636954564420143</x:v>
      </x:c>
      <x:c r="L618" s="46" t="n">
        <x:v>0</x:v>
      </x:c>
      <x:c r="M618" s="46" t="n">
        <x:v>0</x:v>
      </x:c>
      <x:c r="N618" s="21" t="n">
        <x:f>IF(AND(L617=1,M617=1,P617&gt;0),1,0)</x:f>
        <x:v>0</x:v>
      </x:c>
      <x:c r="O618" s="21" t="n">
        <x:f>MIN('Root Data'!I190:I192)</x:f>
        <x:v>0</x:v>
      </x:c>
      <x:c r="P618" s="44" t="n">
        <x:f>IF(AND(L618=1,M618=1,N618=1,O618&gt;=G618),K618,0)</x:f>
        <x:v>0</x:v>
      </x:c>
      <x:c r="Q618" s="21" t="str">
        <x:v>OPEN</x:v>
      </x:c>
      <x:c r="R618" s="23" t="str">
        <x:v>HOLD</x:v>
      </x:c>
    </x:row>
    <x:row r="619">
      <x:c r="B619" s="21" t="str">
        <x:v>AR-00613</x:v>
      </x:c>
      <x:c r="C619" s="21" t="str">
        <x:v>F16-I2</x:v>
      </x:c>
      <x:c r="D619" s="21" t="str">
        <x:v>F16</x:v>
      </x:c>
      <x:c r="E619" s="21" t="n">
        <x:v>3</x:v>
      </x:c>
      <x:c r="F619" s="21" t="str">
        <x:v>Architecture and burden closure</x:v>
      </x:c>
      <x:c r="G619" s="21" t="n">
        <x:v>14</x:v>
      </x:c>
      <x:c r="H619" s="21" t="str">
        <x:v>Independent Evidence and Data Authority</x:v>
      </x:c>
      <x:c r="I619" s="44" t="n">
        <x:f>Lifecycle!G9</x:f>
        <x:v>0.08564464062191186</x:v>
      </x:c>
      <x:c r="J619" s="44" t="n">
        <x:v>0.10416666666666667</x:v>
      </x:c>
      <x:c r="K619" s="44" t="n">
        <x:f>I619*J619</x:f>
        <x:v>0.008921316731449153</x:v>
      </x:c>
      <x:c r="L619" s="46" t="n">
        <x:v>0</x:v>
      </x:c>
      <x:c r="M619" s="46" t="n">
        <x:v>0</x:v>
      </x:c>
      <x:c r="N619" s="21" t="n">
        <x:f>IF(AND(L618=1,M618=1,P618&gt;0),1,0)</x:f>
        <x:v>0</x:v>
      </x:c>
      <x:c r="O619" s="21" t="n">
        <x:f>MIN('Root Data'!I190:I192)</x:f>
        <x:v>0</x:v>
      </x:c>
      <x:c r="P619" s="44" t="n">
        <x:f>IF(AND(L619=1,M619=1,N619=1,O619&gt;=G619),K619,0)</x:f>
        <x:v>0</x:v>
      </x:c>
      <x:c r="Q619" s="21" t="str">
        <x:v>OPEN</x:v>
      </x:c>
      <x:c r="R619" s="23" t="str">
        <x:v>HOLD</x:v>
      </x:c>
    </x:row>
    <x:row r="620">
      <x:c r="B620" s="21" t="str">
        <x:v>AR-00614</x:v>
      </x:c>
      <x:c r="C620" s="21" t="str">
        <x:v>F16-I2</x:v>
      </x:c>
      <x:c r="D620" s="21" t="str">
        <x:v>F16</x:v>
      </x:c>
      <x:c r="E620" s="21" t="n">
        <x:v>4</x:v>
      </x:c>
      <x:c r="F620" s="21" t="str">
        <x:v>Engineering article acceptance</x:v>
      </x:c>
      <x:c r="G620" s="21" t="n">
        <x:v>18</x:v>
      </x:c>
      <x:c r="H620" s="21" t="str">
        <x:v>Independent Evidence and Data Authority</x:v>
      </x:c>
      <x:c r="I620" s="44" t="n">
        <x:f>Lifecycle!G10</x:f>
        <x:v>0.05929244350747744</x:v>
      </x:c>
      <x:c r="J620" s="44" t="n">
        <x:v>0.10416666666666667</x:v>
      </x:c>
      <x:c r="K620" s="44" t="n">
        <x:f>I620*J620</x:f>
        <x:v>0.006176296198695567</x:v>
      </x:c>
      <x:c r="L620" s="46" t="n">
        <x:v>0</x:v>
      </x:c>
      <x:c r="M620" s="46" t="n">
        <x:v>0</x:v>
      </x:c>
      <x:c r="N620" s="21" t="n">
        <x:f>IF(AND(L619=1,M619=1,P619&gt;0),1,0)</x:f>
        <x:v>0</x:v>
      </x:c>
      <x:c r="O620" s="21" t="n">
        <x:f>MIN('Root Data'!I190:I192)</x:f>
        <x:v>0</x:v>
      </x:c>
      <x:c r="P620" s="44" t="n">
        <x:f>IF(AND(L620=1,M620=1,N620=1,O620&gt;=G620),K620,0)</x:f>
        <x:v>0</x:v>
      </x:c>
      <x:c r="Q620" s="21" t="str">
        <x:v>OPEN</x:v>
      </x:c>
      <x:c r="R620" s="23" t="str">
        <x:v>HOLD</x:v>
      </x:c>
    </x:row>
    <x:row r="621">
      <x:c r="B621" s="21" t="str">
        <x:v>AR-00615</x:v>
      </x:c>
      <x:c r="C621" s="21" t="str">
        <x:v>F16-I2</x:v>
      </x:c>
      <x:c r="D621" s="21" t="str">
        <x:v>F16</x:v>
      </x:c>
      <x:c r="E621" s="21" t="n">
        <x:v>5</x:v>
      </x:c>
      <x:c r="F621" s="21" t="str">
        <x:v>Qualification and destructive evidence</x:v>
      </x:c>
      <x:c r="G621" s="21" t="n">
        <x:v>21</x:v>
      </x:c>
      <x:c r="H621" s="21" t="str">
        <x:v>Independent Evidence and Data Authority</x:v>
      </x:c>
      <x:c r="I621" s="44" t="n">
        <x:f>Lifecycle!G11</x:f>
        <x:v>0.1515251334079979</x:v>
      </x:c>
      <x:c r="J621" s="44" t="n">
        <x:v>0.10416666666666667</x:v>
      </x:c>
      <x:c r="K621" s="44" t="n">
        <x:f>I621*J621</x:f>
        <x:v>0.015783868063333116</x:v>
      </x:c>
      <x:c r="L621" s="46" t="n">
        <x:v>0</x:v>
      </x:c>
      <x:c r="M621" s="46" t="n">
        <x:v>0</x:v>
      </x:c>
      <x:c r="N621" s="21" t="n">
        <x:f>IF(AND(L620=1,M620=1,P620&gt;0),1,0)</x:f>
        <x:v>0</x:v>
      </x:c>
      <x:c r="O621" s="21" t="n">
        <x:f>MIN('Root Data'!I190:I192)</x:f>
        <x:v>0</x:v>
      </x:c>
      <x:c r="P621" s="44" t="n">
        <x:f>IF(AND(L621=1,M621=1,N621=1,O621&gt;=G621),K621,0)</x:f>
        <x:v>0</x:v>
      </x:c>
      <x:c r="Q621" s="21" t="str">
        <x:v>OPEN</x:v>
      </x:c>
      <x:c r="R621" s="23" t="str">
        <x:v>HOLD</x:v>
      </x:c>
    </x:row>
    <x:row r="622">
      <x:c r="B622" s="21" t="str">
        <x:v>AR-00616</x:v>
      </x:c>
      <x:c r="C622" s="21" t="str">
        <x:v>F16-I2</x:v>
      </x:c>
      <x:c r="D622" s="21" t="str">
        <x:v>F16</x:v>
      </x:c>
      <x:c r="E622" s="21" t="n">
        <x:v>6</x:v>
      </x:c>
      <x:c r="F622" s="21" t="str">
        <x:v>Representative mission result</x:v>
      </x:c>
      <x:c r="G622" s="21" t="n">
        <x:v>23</x:v>
      </x:c>
      <x:c r="H622" s="21" t="str">
        <x:v>Receiving Service Authority</x:v>
      </x:c>
      <x:c r="I622" s="44" t="n">
        <x:f>Lifecycle!G12</x:f>
        <x:v>0.250345872587127</x:v>
      </x:c>
      <x:c r="J622" s="44" t="n">
        <x:v>0.10416666666666667</x:v>
      </x:c>
      <x:c r="K622" s="44" t="n">
        <x:f>I622*J622</x:f>
        <x:v>0.026077695061159062</x:v>
      </x:c>
      <x:c r="L622" s="46" t="n">
        <x:v>0</x:v>
      </x:c>
      <x:c r="M622" s="46" t="n">
        <x:v>0</x:v>
      </x:c>
      <x:c r="N622" s="21" t="n">
        <x:f>IF(AND(L621=1,M621=1,P621&gt;0),1,0)</x:f>
        <x:v>0</x:v>
      </x:c>
      <x:c r="O622" s="21" t="n">
        <x:f>MIN('Root Data'!I190:I192)</x:f>
        <x:v>0</x:v>
      </x:c>
      <x:c r="P622" s="44" t="n">
        <x:f>IF(AND(L622=1,M622=1,N622=1,O622&gt;=G622),K622,0)</x:f>
        <x:v>0</x:v>
      </x:c>
      <x:c r="Q622" s="21" t="str">
        <x:v>OPEN</x:v>
      </x:c>
      <x:c r="R622" s="23" t="str">
        <x:v>HOLD</x:v>
      </x:c>
    </x:row>
    <x:row r="623">
      <x:c r="B623" s="21" t="str">
        <x:v>AR-00617</x:v>
      </x:c>
      <x:c r="C623" s="21" t="str">
        <x:v>F16-I2</x:v>
      </x:c>
      <x:c r="D623" s="21" t="str">
        <x:v>F16</x:v>
      </x:c>
      <x:c r="E623" s="21" t="n">
        <x:v>7</x:v>
      </x:c>
      <x:c r="F623" s="21" t="str">
        <x:v>Independent reproduction</x:v>
      </x:c>
      <x:c r="G623" s="21" t="n">
        <x:v>28</x:v>
      </x:c>
      <x:c r="H623" s="21" t="str">
        <x:v>Independent Evidence and Data Authority</x:v>
      </x:c>
      <x:c r="I623" s="44" t="n">
        <x:f>Lifecycle!G13</x:f>
        <x:v>0.21740562619408393</x:v>
      </x:c>
      <x:c r="J623" s="44" t="n">
        <x:v>0.10416666666666667</x:v>
      </x:c>
      <x:c r="K623" s="44" t="n">
        <x:f>I623*J623</x:f>
        <x:v>0.02264641939521708</x:v>
      </x:c>
      <x:c r="L623" s="46" t="n">
        <x:v>0</x:v>
      </x:c>
      <x:c r="M623" s="46" t="n">
        <x:v>0</x:v>
      </x:c>
      <x:c r="N623" s="21" t="n">
        <x:f>IF(AND(L622=1,M622=1,P622&gt;0),1,0)</x:f>
        <x:v>0</x:v>
      </x:c>
      <x:c r="O623" s="21" t="n">
        <x:f>MIN('Root Data'!I190:I192)</x:f>
        <x:v>0</x:v>
      </x:c>
      <x:c r="P623" s="44" t="n">
        <x:f>IF(AND(L623=1,M623=1,N623=1,O623&gt;=G623),K623,0)</x:f>
        <x:v>0</x:v>
      </x:c>
      <x:c r="Q623" s="21" t="str">
        <x:v>OPEN</x:v>
      </x:c>
      <x:c r="R623" s="23" t="str">
        <x:v>HOLD</x:v>
      </x:c>
    </x:row>
    <x:row r="624">
      <x:c r="B624" s="21" t="str">
        <x:v>AR-00618</x:v>
      </x:c>
      <x:c r="C624" s="21" t="str">
        <x:v>F16-I2</x:v>
      </x:c>
      <x:c r="D624" s="21" t="str">
        <x:v>F16</x:v>
      </x:c>
      <x:c r="E624" s="21" t="n">
        <x:v>8</x:v>
      </x:c>
      <x:c r="F624" s="21" t="str">
        <x:v>Pilot-process qualification</x:v>
      </x:c>
      <x:c r="G624" s="21" t="n">
        <x:v>28</x:v>
      </x:c>
      <x:c r="H624" s="21" t="str">
        <x:v>AIMC Industrial Mobilization Authority</x:v>
      </x:c>
      <x:c r="I624" s="44" t="n">
        <x:f>Lifecycle!G14</x:f>
        <x:v>0.03952829567165163</x:v>
      </x:c>
      <x:c r="J624" s="44" t="n">
        <x:v>0.10416666666666667</x:v>
      </x:c>
      <x:c r="K624" s="44" t="n">
        <x:f>I624*J624</x:f>
        <x:v>0.0041175307991303785</x:v>
      </x:c>
      <x:c r="L624" s="46" t="n">
        <x:v>0</x:v>
      </x:c>
      <x:c r="M624" s="46" t="n">
        <x:v>0</x:v>
      </x:c>
      <x:c r="N624" s="21" t="n">
        <x:f>IF(AND(L623=1,M623=1,P623&gt;0),1,0)</x:f>
        <x:v>0</x:v>
      </x:c>
      <x:c r="O624" s="21" t="n">
        <x:f>MIN('Root Data'!I190:I192)</x:f>
        <x:v>0</x:v>
      </x:c>
      <x:c r="P624" s="44" t="n">
        <x:f>IF(AND(L624=1,M624=1,N624=1,O624&gt;=G624),K624,0)</x:f>
        <x:v>0</x:v>
      </x:c>
      <x:c r="Q624" s="21" t="str">
        <x:v>OPEN</x:v>
      </x:c>
      <x:c r="R624" s="23" t="str">
        <x:v>HOLD</x:v>
      </x:c>
    </x:row>
    <x:row r="625">
      <x:c r="B625" s="21" t="str">
        <x:v>AR-00619</x:v>
      </x:c>
      <x:c r="C625" s="21" t="str">
        <x:v>F16-I2</x:v>
      </x:c>
      <x:c r="D625" s="21" t="str">
        <x:v>F16</x:v>
      </x:c>
      <x:c r="E625" s="21" t="n">
        <x:v>9</x:v>
      </x:c>
      <x:c r="F625" s="21" t="str">
        <x:v>Production release package</x:v>
      </x:c>
      <x:c r="G625" s="21" t="n">
        <x:v>28</x:v>
      </x:c>
      <x:c r="H625" s="21" t="str">
        <x:v>Production Release Board</x:v>
      </x:c>
      <x:c r="I625" s="44" t="n">
        <x:f>Lifecycle!G15</x:f>
        <x:v>0.01647012319652151</x:v>
      </x:c>
      <x:c r="J625" s="44" t="n">
        <x:v>0.10416666666666667</x:v>
      </x:c>
      <x:c r="K625" s="44" t="n">
        <x:f>I625*J625</x:f>
        <x:v>0.0017156378329709907</x:v>
      </x:c>
      <x:c r="L625" s="46" t="n">
        <x:v>0</x:v>
      </x:c>
      <x:c r="M625" s="46" t="n">
        <x:v>0</x:v>
      </x:c>
      <x:c r="N625" s="21" t="n">
        <x:f>IF(AND(L624=1,M624=1,P624&gt;0),1,0)</x:f>
        <x:v>0</x:v>
      </x:c>
      <x:c r="O625" s="21" t="n">
        <x:f>MIN('Root Data'!I190:I192)</x:f>
        <x:v>0</x:v>
      </x:c>
      <x:c r="P625" s="44" t="n">
        <x:f>IF(AND(L625=1,M625=1,N625=1,O625&gt;=G625),K625,0)</x:f>
        <x:v>0</x:v>
      </x:c>
      <x:c r="Q625" s="21" t="str">
        <x:v>OPEN</x:v>
      </x:c>
      <x:c r="R625" s="23" t="str">
        <x:v>HOLD</x:v>
      </x:c>
    </x:row>
    <x:row r="626">
      <x:c r="B626" s="21" t="str">
        <x:v>AR-00620</x:v>
      </x:c>
      <x:c r="C626" s="21" t="str">
        <x:v>F16-I2</x:v>
      </x:c>
      <x:c r="D626" s="21" t="str">
        <x:v>F16</x:v>
      </x:c>
      <x:c r="E626" s="21" t="n">
        <x:v>10</x:v>
      </x:c>
      <x:c r="F626" s="21" t="str">
        <x:v>Mobilization activation</x:v>
      </x:c>
      <x:c r="G626" s="21" t="n">
        <x:v>28</x:v>
      </x:c>
      <x:c r="H626" s="21" t="str">
        <x:v>Production Release Board</x:v>
      </x:c>
      <x:c r="I626" s="44" t="n">
        <x:f>Lifecycle!G16</x:f>
        <x:v>0.028262731405230914</x:v>
      </x:c>
      <x:c r="J626" s="44" t="n">
        <x:v>0.10416666666666667</x:v>
      </x:c>
      <x:c r="K626" s="44" t="n">
        <x:f>I626*J626</x:f>
        <x:v>0.0029440345213782204</x:v>
      </x:c>
      <x:c r="L626" s="46" t="n">
        <x:v>0</x:v>
      </x:c>
      <x:c r="M626" s="46" t="n">
        <x:v>0</x:v>
      </x:c>
      <x:c r="N626" s="21" t="n">
        <x:f>IF(AND(L625=1,M625=1,P625&gt;0),1,0)</x:f>
        <x:v>0</x:v>
      </x:c>
      <x:c r="O626" s="21" t="n">
        <x:f>MIN('Root Data'!I190:I192)</x:f>
        <x:v>0</x:v>
      </x:c>
      <x:c r="P626" s="44" t="n">
        <x:f>IF(AND(L626=1,M626=1,N626=1,O626&gt;=G626),K626,0)</x:f>
        <x:v>0</x:v>
      </x:c>
      <x:c r="Q626" s="21" t="str">
        <x:v>OPEN</x:v>
      </x:c>
      <x:c r="R626" s="23" t="str">
        <x:v>HOLD</x:v>
      </x:c>
    </x:row>
    <x:row r="627">
      <x:c r="B627" s="21" t="str">
        <x:v>AR-00621</x:v>
      </x:c>
      <x:c r="C627" s="21" t="str">
        <x:v>F16-I3</x:v>
      </x:c>
      <x:c r="D627" s="21" t="str">
        <x:v>F16</x:v>
      </x:c>
      <x:c r="E627" s="21" t="n">
        <x:v>1</x:v>
      </x:c>
      <x:c r="F627" s="21" t="str">
        <x:v>Civil effect charter</x:v>
      </x:c>
      <x:c r="G627" s="21" t="n">
        <x:v>0</x:v>
      </x:c>
      <x:c r="H627" s="21" t="str">
        <x:v>Civil Guarantee Authority</x:v>
      </x:c>
      <x:c r="I627" s="44" t="n">
        <x:f>Lifecycle!G7</x:f>
        <x:v>0.04941036958956453</x:v>
      </x:c>
      <x:c r="J627" s="44" t="n">
        <x:v>0.10416666666666667</x:v>
      </x:c>
      <x:c r="K627" s="44" t="n">
        <x:f>I627*J627</x:f>
        <x:v>0.005146913498912972</x:v>
      </x:c>
      <x:c r="L627" s="46" t="n">
        <x:v>0</x:v>
      </x:c>
      <x:c r="M627" s="46" t="n">
        <x:v>0</x:v>
      </x:c>
      <x:c r="N627" s="21" t="n">
        <x:f>1</x:f>
        <x:v>1</x:v>
      </x:c>
      <x:c r="O627" s="21" t="n">
        <x:f>MIN('Root Data'!I193:I195)</x:f>
        <x:v>0</x:v>
      </x:c>
      <x:c r="P627" s="44" t="n">
        <x:f>IF(AND(L627=1,M627=1,N627=1,O627&gt;=G627),K627,0)</x:f>
        <x:v>0</x:v>
      </x:c>
      <x:c r="Q627" s="21" t="str">
        <x:v>OPEN</x:v>
      </x:c>
      <x:c r="R627" s="23" t="str">
        <x:v>HOLD</x:v>
      </x:c>
    </x:row>
    <x:row r="628">
      <x:c r="B628" s="21" t="str">
        <x:v>AR-00622</x:v>
      </x:c>
      <x:c r="C628" s="21" t="str">
        <x:v>F16-I3</x:v>
      </x:c>
      <x:c r="D628" s="21" t="str">
        <x:v>F16</x:v>
      </x:c>
      <x:c r="E628" s="21" t="n">
        <x:v>2</x:v>
      </x:c>
      <x:c r="F628" s="21" t="str">
        <x:v>Requirement and root-independence package</x:v>
      </x:c>
      <x:c r="G628" s="21" t="n">
        <x:v>8</x:v>
      </x:c>
      <x:c r="H628" s="21" t="str">
        <x:v>Resilience Staff</x:v>
      </x:c>
      <x:c r="I628" s="44" t="n">
        <x:f>Lifecycle!G8</x:f>
        <x:v>0.10211476381843337</x:v>
      </x:c>
      <x:c r="J628" s="44" t="n">
        <x:v>0.10416666666666667</x:v>
      </x:c>
      <x:c r="K628" s="44" t="n">
        <x:f>I628*J628</x:f>
        <x:v>0.010636954564420143</x:v>
      </x:c>
      <x:c r="L628" s="46" t="n">
        <x:v>0</x:v>
      </x:c>
      <x:c r="M628" s="46" t="n">
        <x:v>0</x:v>
      </x:c>
      <x:c r="N628" s="21" t="n">
        <x:f>IF(AND(L627=1,M627=1,P627&gt;0),1,0)</x:f>
        <x:v>0</x:v>
      </x:c>
      <x:c r="O628" s="21" t="n">
        <x:f>MIN('Root Data'!I193:I195)</x:f>
        <x:v>0</x:v>
      </x:c>
      <x:c r="P628" s="44" t="n">
        <x:f>IF(AND(L628=1,M628=1,N628=1,O628&gt;=G628),K628,0)</x:f>
        <x:v>0</x:v>
      </x:c>
      <x:c r="Q628" s="21" t="str">
        <x:v>OPEN</x:v>
      </x:c>
      <x:c r="R628" s="23" t="str">
        <x:v>HOLD</x:v>
      </x:c>
    </x:row>
    <x:row r="629">
      <x:c r="B629" s="21" t="str">
        <x:v>AR-00623</x:v>
      </x:c>
      <x:c r="C629" s="21" t="str">
        <x:v>F16-I3</x:v>
      </x:c>
      <x:c r="D629" s="21" t="str">
        <x:v>F16</x:v>
      </x:c>
      <x:c r="E629" s="21" t="n">
        <x:v>3</x:v>
      </x:c>
      <x:c r="F629" s="21" t="str">
        <x:v>Architecture and burden closure</x:v>
      </x:c>
      <x:c r="G629" s="21" t="n">
        <x:v>14</x:v>
      </x:c>
      <x:c r="H629" s="21" t="str">
        <x:v>Independent Evidence and Data Authority</x:v>
      </x:c>
      <x:c r="I629" s="44" t="n">
        <x:f>Lifecycle!G9</x:f>
        <x:v>0.08564464062191186</x:v>
      </x:c>
      <x:c r="J629" s="44" t="n">
        <x:v>0.10416666666666667</x:v>
      </x:c>
      <x:c r="K629" s="44" t="n">
        <x:f>I629*J629</x:f>
        <x:v>0.008921316731449153</x:v>
      </x:c>
      <x:c r="L629" s="46" t="n">
        <x:v>0</x:v>
      </x:c>
      <x:c r="M629" s="46" t="n">
        <x:v>0</x:v>
      </x:c>
      <x:c r="N629" s="21" t="n">
        <x:f>IF(AND(L628=1,M628=1,P628&gt;0),1,0)</x:f>
        <x:v>0</x:v>
      </x:c>
      <x:c r="O629" s="21" t="n">
        <x:f>MIN('Root Data'!I193:I195)</x:f>
        <x:v>0</x:v>
      </x:c>
      <x:c r="P629" s="44" t="n">
        <x:f>IF(AND(L629=1,M629=1,N629=1,O629&gt;=G629),K629,0)</x:f>
        <x:v>0</x:v>
      </x:c>
      <x:c r="Q629" s="21" t="str">
        <x:v>OPEN</x:v>
      </x:c>
      <x:c r="R629" s="23" t="str">
        <x:v>HOLD</x:v>
      </x:c>
    </x:row>
    <x:row r="630">
      <x:c r="B630" s="21" t="str">
        <x:v>AR-00624</x:v>
      </x:c>
      <x:c r="C630" s="21" t="str">
        <x:v>F16-I3</x:v>
      </x:c>
      <x:c r="D630" s="21" t="str">
        <x:v>F16</x:v>
      </x:c>
      <x:c r="E630" s="21" t="n">
        <x:v>4</x:v>
      </x:c>
      <x:c r="F630" s="21" t="str">
        <x:v>Engineering article acceptance</x:v>
      </x:c>
      <x:c r="G630" s="21" t="n">
        <x:v>18</x:v>
      </x:c>
      <x:c r="H630" s="21" t="str">
        <x:v>Independent Evidence and Data Authority</x:v>
      </x:c>
      <x:c r="I630" s="44" t="n">
        <x:f>Lifecycle!G10</x:f>
        <x:v>0.05929244350747744</x:v>
      </x:c>
      <x:c r="J630" s="44" t="n">
        <x:v>0.10416666666666667</x:v>
      </x:c>
      <x:c r="K630" s="44" t="n">
        <x:f>I630*J630</x:f>
        <x:v>0.006176296198695567</x:v>
      </x:c>
      <x:c r="L630" s="46" t="n">
        <x:v>0</x:v>
      </x:c>
      <x:c r="M630" s="46" t="n">
        <x:v>0</x:v>
      </x:c>
      <x:c r="N630" s="21" t="n">
        <x:f>IF(AND(L629=1,M629=1,P629&gt;0),1,0)</x:f>
        <x:v>0</x:v>
      </x:c>
      <x:c r="O630" s="21" t="n">
        <x:f>MIN('Root Data'!I193:I195)</x:f>
        <x:v>0</x:v>
      </x:c>
      <x:c r="P630" s="44" t="n">
        <x:f>IF(AND(L630=1,M630=1,N630=1,O630&gt;=G630),K630,0)</x:f>
        <x:v>0</x:v>
      </x:c>
      <x:c r="Q630" s="21" t="str">
        <x:v>OPEN</x:v>
      </x:c>
      <x:c r="R630" s="23" t="str">
        <x:v>HOLD</x:v>
      </x:c>
    </x:row>
    <x:row r="631">
      <x:c r="B631" s="21" t="str">
        <x:v>AR-00625</x:v>
      </x:c>
      <x:c r="C631" s="21" t="str">
        <x:v>F16-I3</x:v>
      </x:c>
      <x:c r="D631" s="21" t="str">
        <x:v>F16</x:v>
      </x:c>
      <x:c r="E631" s="21" t="n">
        <x:v>5</x:v>
      </x:c>
      <x:c r="F631" s="21" t="str">
        <x:v>Qualification and destructive evidence</x:v>
      </x:c>
      <x:c r="G631" s="21" t="n">
        <x:v>21</x:v>
      </x:c>
      <x:c r="H631" s="21" t="str">
        <x:v>Independent Evidence and Data Authority</x:v>
      </x:c>
      <x:c r="I631" s="44" t="n">
        <x:f>Lifecycle!G11</x:f>
        <x:v>0.1515251334079979</x:v>
      </x:c>
      <x:c r="J631" s="44" t="n">
        <x:v>0.10416666666666667</x:v>
      </x:c>
      <x:c r="K631" s="44" t="n">
        <x:f>I631*J631</x:f>
        <x:v>0.015783868063333116</x:v>
      </x:c>
      <x:c r="L631" s="46" t="n">
        <x:v>0</x:v>
      </x:c>
      <x:c r="M631" s="46" t="n">
        <x:v>0</x:v>
      </x:c>
      <x:c r="N631" s="21" t="n">
        <x:f>IF(AND(L630=1,M630=1,P630&gt;0),1,0)</x:f>
        <x:v>0</x:v>
      </x:c>
      <x:c r="O631" s="21" t="n">
        <x:f>MIN('Root Data'!I193:I195)</x:f>
        <x:v>0</x:v>
      </x:c>
      <x:c r="P631" s="44" t="n">
        <x:f>IF(AND(L631=1,M631=1,N631=1,O631&gt;=G631),K631,0)</x:f>
        <x:v>0</x:v>
      </x:c>
      <x:c r="Q631" s="21" t="str">
        <x:v>OPEN</x:v>
      </x:c>
      <x:c r="R631" s="23" t="str">
        <x:v>HOLD</x:v>
      </x:c>
    </x:row>
    <x:row r="632">
      <x:c r="B632" s="21" t="str">
        <x:v>AR-00626</x:v>
      </x:c>
      <x:c r="C632" s="21" t="str">
        <x:v>F16-I3</x:v>
      </x:c>
      <x:c r="D632" s="21" t="str">
        <x:v>F16</x:v>
      </x:c>
      <x:c r="E632" s="21" t="n">
        <x:v>6</x:v>
      </x:c>
      <x:c r="F632" s="21" t="str">
        <x:v>Representative mission result</x:v>
      </x:c>
      <x:c r="G632" s="21" t="n">
        <x:v>23</x:v>
      </x:c>
      <x:c r="H632" s="21" t="str">
        <x:v>Receiving Service Authority</x:v>
      </x:c>
      <x:c r="I632" s="44" t="n">
        <x:f>Lifecycle!G12</x:f>
        <x:v>0.250345872587127</x:v>
      </x:c>
      <x:c r="J632" s="44" t="n">
        <x:v>0.10416666666666667</x:v>
      </x:c>
      <x:c r="K632" s="44" t="n">
        <x:f>I632*J632</x:f>
        <x:v>0.026077695061159062</x:v>
      </x:c>
      <x:c r="L632" s="46" t="n">
        <x:v>0</x:v>
      </x:c>
      <x:c r="M632" s="46" t="n">
        <x:v>0</x:v>
      </x:c>
      <x:c r="N632" s="21" t="n">
        <x:f>IF(AND(L631=1,M631=1,P631&gt;0),1,0)</x:f>
        <x:v>0</x:v>
      </x:c>
      <x:c r="O632" s="21" t="n">
        <x:f>MIN('Root Data'!I193:I195)</x:f>
        <x:v>0</x:v>
      </x:c>
      <x:c r="P632" s="44" t="n">
        <x:f>IF(AND(L632=1,M632=1,N632=1,O632&gt;=G632),K632,0)</x:f>
        <x:v>0</x:v>
      </x:c>
      <x:c r="Q632" s="21" t="str">
        <x:v>OPEN</x:v>
      </x:c>
      <x:c r="R632" s="23" t="str">
        <x:v>HOLD</x:v>
      </x:c>
    </x:row>
    <x:row r="633">
      <x:c r="B633" s="21" t="str">
        <x:v>AR-00627</x:v>
      </x:c>
      <x:c r="C633" s="21" t="str">
        <x:v>F16-I3</x:v>
      </x:c>
      <x:c r="D633" s="21" t="str">
        <x:v>F16</x:v>
      </x:c>
      <x:c r="E633" s="21" t="n">
        <x:v>7</x:v>
      </x:c>
      <x:c r="F633" s="21" t="str">
        <x:v>Independent reproduction</x:v>
      </x:c>
      <x:c r="G633" s="21" t="n">
        <x:v>28</x:v>
      </x:c>
      <x:c r="H633" s="21" t="str">
        <x:v>Independent Evidence and Data Authority</x:v>
      </x:c>
      <x:c r="I633" s="44" t="n">
        <x:f>Lifecycle!G13</x:f>
        <x:v>0.21740562619408393</x:v>
      </x:c>
      <x:c r="J633" s="44" t="n">
        <x:v>0.10416666666666667</x:v>
      </x:c>
      <x:c r="K633" s="44" t="n">
        <x:f>I633*J633</x:f>
        <x:v>0.02264641939521708</x:v>
      </x:c>
      <x:c r="L633" s="46" t="n">
        <x:v>0</x:v>
      </x:c>
      <x:c r="M633" s="46" t="n">
        <x:v>0</x:v>
      </x:c>
      <x:c r="N633" s="21" t="n">
        <x:f>IF(AND(L632=1,M632=1,P632&gt;0),1,0)</x:f>
        <x:v>0</x:v>
      </x:c>
      <x:c r="O633" s="21" t="n">
        <x:f>MIN('Root Data'!I193:I195)</x:f>
        <x:v>0</x:v>
      </x:c>
      <x:c r="P633" s="44" t="n">
        <x:f>IF(AND(L633=1,M633=1,N633=1,O633&gt;=G633),K633,0)</x:f>
        <x:v>0</x:v>
      </x:c>
      <x:c r="Q633" s="21" t="str">
        <x:v>OPEN</x:v>
      </x:c>
      <x:c r="R633" s="23" t="str">
        <x:v>HOLD</x:v>
      </x:c>
    </x:row>
    <x:row r="634">
      <x:c r="B634" s="21" t="str">
        <x:v>AR-00628</x:v>
      </x:c>
      <x:c r="C634" s="21" t="str">
        <x:v>F16-I3</x:v>
      </x:c>
      <x:c r="D634" s="21" t="str">
        <x:v>F16</x:v>
      </x:c>
      <x:c r="E634" s="21" t="n">
        <x:v>8</x:v>
      </x:c>
      <x:c r="F634" s="21" t="str">
        <x:v>Pilot-process qualification</x:v>
      </x:c>
      <x:c r="G634" s="21" t="n">
        <x:v>28</x:v>
      </x:c>
      <x:c r="H634" s="21" t="str">
        <x:v>AIMC Industrial Mobilization Authority</x:v>
      </x:c>
      <x:c r="I634" s="44" t="n">
        <x:f>Lifecycle!G14</x:f>
        <x:v>0.03952829567165163</x:v>
      </x:c>
      <x:c r="J634" s="44" t="n">
        <x:v>0.10416666666666667</x:v>
      </x:c>
      <x:c r="K634" s="44" t="n">
        <x:f>I634*J634</x:f>
        <x:v>0.0041175307991303785</x:v>
      </x:c>
      <x:c r="L634" s="46" t="n">
        <x:v>0</x:v>
      </x:c>
      <x:c r="M634" s="46" t="n">
        <x:v>0</x:v>
      </x:c>
      <x:c r="N634" s="21" t="n">
        <x:f>IF(AND(L633=1,M633=1,P633&gt;0),1,0)</x:f>
        <x:v>0</x:v>
      </x:c>
      <x:c r="O634" s="21" t="n">
        <x:f>MIN('Root Data'!I193:I195)</x:f>
        <x:v>0</x:v>
      </x:c>
      <x:c r="P634" s="44" t="n">
        <x:f>IF(AND(L634=1,M634=1,N634=1,O634&gt;=G634),K634,0)</x:f>
        <x:v>0</x:v>
      </x:c>
      <x:c r="Q634" s="21" t="str">
        <x:v>OPEN</x:v>
      </x:c>
      <x:c r="R634" s="23" t="str">
        <x:v>HOLD</x:v>
      </x:c>
    </x:row>
    <x:row r="635">
      <x:c r="B635" s="21" t="str">
        <x:v>AR-00629</x:v>
      </x:c>
      <x:c r="C635" s="21" t="str">
        <x:v>F16-I3</x:v>
      </x:c>
      <x:c r="D635" s="21" t="str">
        <x:v>F16</x:v>
      </x:c>
      <x:c r="E635" s="21" t="n">
        <x:v>9</x:v>
      </x:c>
      <x:c r="F635" s="21" t="str">
        <x:v>Production release package</x:v>
      </x:c>
      <x:c r="G635" s="21" t="n">
        <x:v>28</x:v>
      </x:c>
      <x:c r="H635" s="21" t="str">
        <x:v>Production Release Board</x:v>
      </x:c>
      <x:c r="I635" s="44" t="n">
        <x:f>Lifecycle!G15</x:f>
        <x:v>0.01647012319652151</x:v>
      </x:c>
      <x:c r="J635" s="44" t="n">
        <x:v>0.10416666666666667</x:v>
      </x:c>
      <x:c r="K635" s="44" t="n">
        <x:f>I635*J635</x:f>
        <x:v>0.0017156378329709907</x:v>
      </x:c>
      <x:c r="L635" s="46" t="n">
        <x:v>0</x:v>
      </x:c>
      <x:c r="M635" s="46" t="n">
        <x:v>0</x:v>
      </x:c>
      <x:c r="N635" s="21" t="n">
        <x:f>IF(AND(L634=1,M634=1,P634&gt;0),1,0)</x:f>
        <x:v>0</x:v>
      </x:c>
      <x:c r="O635" s="21" t="n">
        <x:f>MIN('Root Data'!I193:I195)</x:f>
        <x:v>0</x:v>
      </x:c>
      <x:c r="P635" s="44" t="n">
        <x:f>IF(AND(L635=1,M635=1,N635=1,O635&gt;=G635),K635,0)</x:f>
        <x:v>0</x:v>
      </x:c>
      <x:c r="Q635" s="21" t="str">
        <x:v>OPEN</x:v>
      </x:c>
      <x:c r="R635" s="23" t="str">
        <x:v>HOLD</x:v>
      </x:c>
    </x:row>
    <x:row r="636">
      <x:c r="B636" s="21" t="str">
        <x:v>AR-00630</x:v>
      </x:c>
      <x:c r="C636" s="21" t="str">
        <x:v>F16-I3</x:v>
      </x:c>
      <x:c r="D636" s="21" t="str">
        <x:v>F16</x:v>
      </x:c>
      <x:c r="E636" s="21" t="n">
        <x:v>10</x:v>
      </x:c>
      <x:c r="F636" s="21" t="str">
        <x:v>Mobilization activation</x:v>
      </x:c>
      <x:c r="G636" s="21" t="n">
        <x:v>28</x:v>
      </x:c>
      <x:c r="H636" s="21" t="str">
        <x:v>Production Release Board</x:v>
      </x:c>
      <x:c r="I636" s="44" t="n">
        <x:f>Lifecycle!G16</x:f>
        <x:v>0.028262731405230914</x:v>
      </x:c>
      <x:c r="J636" s="44" t="n">
        <x:v>0.10416666666666667</x:v>
      </x:c>
      <x:c r="K636" s="44" t="n">
        <x:f>I636*J636</x:f>
        <x:v>0.0029440345213782204</x:v>
      </x:c>
      <x:c r="L636" s="46" t="n">
        <x:v>0</x:v>
      </x:c>
      <x:c r="M636" s="46" t="n">
        <x:v>0</x:v>
      </x:c>
      <x:c r="N636" s="21" t="n">
        <x:f>IF(AND(L635=1,M635=1,P635&gt;0),1,0)</x:f>
        <x:v>0</x:v>
      </x:c>
      <x:c r="O636" s="21" t="n">
        <x:f>MIN('Root Data'!I193:I195)</x:f>
        <x:v>0</x:v>
      </x:c>
      <x:c r="P636" s="44" t="n">
        <x:f>IF(AND(L636=1,M636=1,N636=1,O636&gt;=G636),K636,0)</x:f>
        <x:v>0</x:v>
      </x:c>
      <x:c r="Q636" s="21" t="str">
        <x:v>OPEN</x:v>
      </x:c>
      <x:c r="R636" s="23" t="str">
        <x:v>HOLD</x:v>
      </x:c>
    </x:row>
    <x:row r="637">
      <x:c r="B637" s="21" t="str">
        <x:v>AR-00631</x:v>
      </x:c>
      <x:c r="C637" s="21" t="str">
        <x:v>F16-I4</x:v>
      </x:c>
      <x:c r="D637" s="21" t="str">
        <x:v>F16</x:v>
      </x:c>
      <x:c r="E637" s="21" t="n">
        <x:v>1</x:v>
      </x:c>
      <x:c r="F637" s="21" t="str">
        <x:v>Civil effect charter</x:v>
      </x:c>
      <x:c r="G637" s="21" t="n">
        <x:v>0</x:v>
      </x:c>
      <x:c r="H637" s="21" t="str">
        <x:v>Civil Guarantee Authority</x:v>
      </x:c>
      <x:c r="I637" s="44" t="n">
        <x:f>Lifecycle!G7</x:f>
        <x:v>0.04941036958956453</x:v>
      </x:c>
      <x:c r="J637" s="44" t="n">
        <x:v>0.10416666666666667</x:v>
      </x:c>
      <x:c r="K637" s="44" t="n">
        <x:f>I637*J637</x:f>
        <x:v>0.005146913498912972</x:v>
      </x:c>
      <x:c r="L637" s="46" t="n">
        <x:v>0</x:v>
      </x:c>
      <x:c r="M637" s="46" t="n">
        <x:v>0</x:v>
      </x:c>
      <x:c r="N637" s="21" t="n">
        <x:f>1</x:f>
        <x:v>1</x:v>
      </x:c>
      <x:c r="O637" s="21" t="n">
        <x:f>MIN('Root Data'!I196:I198)</x:f>
        <x:v>0</x:v>
      </x:c>
      <x:c r="P637" s="44" t="n">
        <x:f>IF(AND(L637=1,M637=1,N637=1,O637&gt;=G637),K637,0)</x:f>
        <x:v>0</x:v>
      </x:c>
      <x:c r="Q637" s="21" t="str">
        <x:v>OPEN</x:v>
      </x:c>
      <x:c r="R637" s="23" t="str">
        <x:v>HOLD</x:v>
      </x:c>
    </x:row>
    <x:row r="638">
      <x:c r="B638" s="21" t="str">
        <x:v>AR-00632</x:v>
      </x:c>
      <x:c r="C638" s="21" t="str">
        <x:v>F16-I4</x:v>
      </x:c>
      <x:c r="D638" s="21" t="str">
        <x:v>F16</x:v>
      </x:c>
      <x:c r="E638" s="21" t="n">
        <x:v>2</x:v>
      </x:c>
      <x:c r="F638" s="21" t="str">
        <x:v>Requirement and root-independence package</x:v>
      </x:c>
      <x:c r="G638" s="21" t="n">
        <x:v>8</x:v>
      </x:c>
      <x:c r="H638" s="21" t="str">
        <x:v>Resilience Staff</x:v>
      </x:c>
      <x:c r="I638" s="44" t="n">
        <x:f>Lifecycle!G8</x:f>
        <x:v>0.10211476381843337</x:v>
      </x:c>
      <x:c r="J638" s="44" t="n">
        <x:v>0.10416666666666667</x:v>
      </x:c>
      <x:c r="K638" s="44" t="n">
        <x:f>I638*J638</x:f>
        <x:v>0.010636954564420143</x:v>
      </x:c>
      <x:c r="L638" s="46" t="n">
        <x:v>0</x:v>
      </x:c>
      <x:c r="M638" s="46" t="n">
        <x:v>0</x:v>
      </x:c>
      <x:c r="N638" s="21" t="n">
        <x:f>IF(AND(L637=1,M637=1,P637&gt;0),1,0)</x:f>
        <x:v>0</x:v>
      </x:c>
      <x:c r="O638" s="21" t="n">
        <x:f>MIN('Root Data'!I196:I198)</x:f>
        <x:v>0</x:v>
      </x:c>
      <x:c r="P638" s="44" t="n">
        <x:f>IF(AND(L638=1,M638=1,N638=1,O638&gt;=G638),K638,0)</x:f>
        <x:v>0</x:v>
      </x:c>
      <x:c r="Q638" s="21" t="str">
        <x:v>OPEN</x:v>
      </x:c>
      <x:c r="R638" s="23" t="str">
        <x:v>HOLD</x:v>
      </x:c>
    </x:row>
    <x:row r="639">
      <x:c r="B639" s="21" t="str">
        <x:v>AR-00633</x:v>
      </x:c>
      <x:c r="C639" s="21" t="str">
        <x:v>F16-I4</x:v>
      </x:c>
      <x:c r="D639" s="21" t="str">
        <x:v>F16</x:v>
      </x:c>
      <x:c r="E639" s="21" t="n">
        <x:v>3</x:v>
      </x:c>
      <x:c r="F639" s="21" t="str">
        <x:v>Architecture and burden closure</x:v>
      </x:c>
      <x:c r="G639" s="21" t="n">
        <x:v>14</x:v>
      </x:c>
      <x:c r="H639" s="21" t="str">
        <x:v>Independent Evidence and Data Authority</x:v>
      </x:c>
      <x:c r="I639" s="44" t="n">
        <x:f>Lifecycle!G9</x:f>
        <x:v>0.08564464062191186</x:v>
      </x:c>
      <x:c r="J639" s="44" t="n">
        <x:v>0.10416666666666667</x:v>
      </x:c>
      <x:c r="K639" s="44" t="n">
        <x:f>I639*J639</x:f>
        <x:v>0.008921316731449153</x:v>
      </x:c>
      <x:c r="L639" s="46" t="n">
        <x:v>0</x:v>
      </x:c>
      <x:c r="M639" s="46" t="n">
        <x:v>0</x:v>
      </x:c>
      <x:c r="N639" s="21" t="n">
        <x:f>IF(AND(L638=1,M638=1,P638&gt;0),1,0)</x:f>
        <x:v>0</x:v>
      </x:c>
      <x:c r="O639" s="21" t="n">
        <x:f>MIN('Root Data'!I196:I198)</x:f>
        <x:v>0</x:v>
      </x:c>
      <x:c r="P639" s="44" t="n">
        <x:f>IF(AND(L639=1,M639=1,N639=1,O639&gt;=G639),K639,0)</x:f>
        <x:v>0</x:v>
      </x:c>
      <x:c r="Q639" s="21" t="str">
        <x:v>OPEN</x:v>
      </x:c>
      <x:c r="R639" s="23" t="str">
        <x:v>HOLD</x:v>
      </x:c>
    </x:row>
    <x:row r="640">
      <x:c r="B640" s="21" t="str">
        <x:v>AR-00634</x:v>
      </x:c>
      <x:c r="C640" s="21" t="str">
        <x:v>F16-I4</x:v>
      </x:c>
      <x:c r="D640" s="21" t="str">
        <x:v>F16</x:v>
      </x:c>
      <x:c r="E640" s="21" t="n">
        <x:v>4</x:v>
      </x:c>
      <x:c r="F640" s="21" t="str">
        <x:v>Engineering article acceptance</x:v>
      </x:c>
      <x:c r="G640" s="21" t="n">
        <x:v>18</x:v>
      </x:c>
      <x:c r="H640" s="21" t="str">
        <x:v>Independent Evidence and Data Authority</x:v>
      </x:c>
      <x:c r="I640" s="44" t="n">
        <x:f>Lifecycle!G10</x:f>
        <x:v>0.05929244350747744</x:v>
      </x:c>
      <x:c r="J640" s="44" t="n">
        <x:v>0.10416666666666667</x:v>
      </x:c>
      <x:c r="K640" s="44" t="n">
        <x:f>I640*J640</x:f>
        <x:v>0.006176296198695567</x:v>
      </x:c>
      <x:c r="L640" s="46" t="n">
        <x:v>0</x:v>
      </x:c>
      <x:c r="M640" s="46" t="n">
        <x:v>0</x:v>
      </x:c>
      <x:c r="N640" s="21" t="n">
        <x:f>IF(AND(L639=1,M639=1,P639&gt;0),1,0)</x:f>
        <x:v>0</x:v>
      </x:c>
      <x:c r="O640" s="21" t="n">
        <x:f>MIN('Root Data'!I196:I198)</x:f>
        <x:v>0</x:v>
      </x:c>
      <x:c r="P640" s="44" t="n">
        <x:f>IF(AND(L640=1,M640=1,N640=1,O640&gt;=G640),K640,0)</x:f>
        <x:v>0</x:v>
      </x:c>
      <x:c r="Q640" s="21" t="str">
        <x:v>OPEN</x:v>
      </x:c>
      <x:c r="R640" s="23" t="str">
        <x:v>HOLD</x:v>
      </x:c>
    </x:row>
    <x:row r="641">
      <x:c r="B641" s="21" t="str">
        <x:v>AR-00635</x:v>
      </x:c>
      <x:c r="C641" s="21" t="str">
        <x:v>F16-I4</x:v>
      </x:c>
      <x:c r="D641" s="21" t="str">
        <x:v>F16</x:v>
      </x:c>
      <x:c r="E641" s="21" t="n">
        <x:v>5</x:v>
      </x:c>
      <x:c r="F641" s="21" t="str">
        <x:v>Qualification and destructive evidence</x:v>
      </x:c>
      <x:c r="G641" s="21" t="n">
        <x:v>21</x:v>
      </x:c>
      <x:c r="H641" s="21" t="str">
        <x:v>Independent Evidence and Data Authority</x:v>
      </x:c>
      <x:c r="I641" s="44" t="n">
        <x:f>Lifecycle!G11</x:f>
        <x:v>0.1515251334079979</x:v>
      </x:c>
      <x:c r="J641" s="44" t="n">
        <x:v>0.10416666666666667</x:v>
      </x:c>
      <x:c r="K641" s="44" t="n">
        <x:f>I641*J641</x:f>
        <x:v>0.015783868063333116</x:v>
      </x:c>
      <x:c r="L641" s="46" t="n">
        <x:v>0</x:v>
      </x:c>
      <x:c r="M641" s="46" t="n">
        <x:v>0</x:v>
      </x:c>
      <x:c r="N641" s="21" t="n">
        <x:f>IF(AND(L640=1,M640=1,P640&gt;0),1,0)</x:f>
        <x:v>0</x:v>
      </x:c>
      <x:c r="O641" s="21" t="n">
        <x:f>MIN('Root Data'!I196:I198)</x:f>
        <x:v>0</x:v>
      </x:c>
      <x:c r="P641" s="44" t="n">
        <x:f>IF(AND(L641=1,M641=1,N641=1,O641&gt;=G641),K641,0)</x:f>
        <x:v>0</x:v>
      </x:c>
      <x:c r="Q641" s="21" t="str">
        <x:v>OPEN</x:v>
      </x:c>
      <x:c r="R641" s="23" t="str">
        <x:v>HOLD</x:v>
      </x:c>
    </x:row>
    <x:row r="642">
      <x:c r="B642" s="21" t="str">
        <x:v>AR-00636</x:v>
      </x:c>
      <x:c r="C642" s="21" t="str">
        <x:v>F16-I4</x:v>
      </x:c>
      <x:c r="D642" s="21" t="str">
        <x:v>F16</x:v>
      </x:c>
      <x:c r="E642" s="21" t="n">
        <x:v>6</x:v>
      </x:c>
      <x:c r="F642" s="21" t="str">
        <x:v>Representative mission result</x:v>
      </x:c>
      <x:c r="G642" s="21" t="n">
        <x:v>23</x:v>
      </x:c>
      <x:c r="H642" s="21" t="str">
        <x:v>Receiving Service Authority</x:v>
      </x:c>
      <x:c r="I642" s="44" t="n">
        <x:f>Lifecycle!G12</x:f>
        <x:v>0.250345872587127</x:v>
      </x:c>
      <x:c r="J642" s="44" t="n">
        <x:v>0.10416666666666667</x:v>
      </x:c>
      <x:c r="K642" s="44" t="n">
        <x:f>I642*J642</x:f>
        <x:v>0.026077695061159062</x:v>
      </x:c>
      <x:c r="L642" s="46" t="n">
        <x:v>0</x:v>
      </x:c>
      <x:c r="M642" s="46" t="n">
        <x:v>0</x:v>
      </x:c>
      <x:c r="N642" s="21" t="n">
        <x:f>IF(AND(L641=1,M641=1,P641&gt;0),1,0)</x:f>
        <x:v>0</x:v>
      </x:c>
      <x:c r="O642" s="21" t="n">
        <x:f>MIN('Root Data'!I196:I198)</x:f>
        <x:v>0</x:v>
      </x:c>
      <x:c r="P642" s="44" t="n">
        <x:f>IF(AND(L642=1,M642=1,N642=1,O642&gt;=G642),K642,0)</x:f>
        <x:v>0</x:v>
      </x:c>
      <x:c r="Q642" s="21" t="str">
        <x:v>OPEN</x:v>
      </x:c>
      <x:c r="R642" s="23" t="str">
        <x:v>HOLD</x:v>
      </x:c>
    </x:row>
    <x:row r="643">
      <x:c r="B643" s="21" t="str">
        <x:v>AR-00637</x:v>
      </x:c>
      <x:c r="C643" s="21" t="str">
        <x:v>F16-I4</x:v>
      </x:c>
      <x:c r="D643" s="21" t="str">
        <x:v>F16</x:v>
      </x:c>
      <x:c r="E643" s="21" t="n">
        <x:v>7</x:v>
      </x:c>
      <x:c r="F643" s="21" t="str">
        <x:v>Independent reproduction</x:v>
      </x:c>
      <x:c r="G643" s="21" t="n">
        <x:v>28</x:v>
      </x:c>
      <x:c r="H643" s="21" t="str">
        <x:v>Independent Evidence and Data Authority</x:v>
      </x:c>
      <x:c r="I643" s="44" t="n">
        <x:f>Lifecycle!G13</x:f>
        <x:v>0.21740562619408393</x:v>
      </x:c>
      <x:c r="J643" s="44" t="n">
        <x:v>0.10416666666666667</x:v>
      </x:c>
      <x:c r="K643" s="44" t="n">
        <x:f>I643*J643</x:f>
        <x:v>0.02264641939521708</x:v>
      </x:c>
      <x:c r="L643" s="46" t="n">
        <x:v>0</x:v>
      </x:c>
      <x:c r="M643" s="46" t="n">
        <x:v>0</x:v>
      </x:c>
      <x:c r="N643" s="21" t="n">
        <x:f>IF(AND(L642=1,M642=1,P642&gt;0),1,0)</x:f>
        <x:v>0</x:v>
      </x:c>
      <x:c r="O643" s="21" t="n">
        <x:f>MIN('Root Data'!I196:I198)</x:f>
        <x:v>0</x:v>
      </x:c>
      <x:c r="P643" s="44" t="n">
        <x:f>IF(AND(L643=1,M643=1,N643=1,O643&gt;=G643),K643,0)</x:f>
        <x:v>0</x:v>
      </x:c>
      <x:c r="Q643" s="21" t="str">
        <x:v>OPEN</x:v>
      </x:c>
      <x:c r="R643" s="23" t="str">
        <x:v>HOLD</x:v>
      </x:c>
    </x:row>
    <x:row r="644">
      <x:c r="B644" s="21" t="str">
        <x:v>AR-00638</x:v>
      </x:c>
      <x:c r="C644" s="21" t="str">
        <x:v>F16-I4</x:v>
      </x:c>
      <x:c r="D644" s="21" t="str">
        <x:v>F16</x:v>
      </x:c>
      <x:c r="E644" s="21" t="n">
        <x:v>8</x:v>
      </x:c>
      <x:c r="F644" s="21" t="str">
        <x:v>Pilot-process qualification</x:v>
      </x:c>
      <x:c r="G644" s="21" t="n">
        <x:v>28</x:v>
      </x:c>
      <x:c r="H644" s="21" t="str">
        <x:v>AIMC Industrial Mobilization Authority</x:v>
      </x:c>
      <x:c r="I644" s="44" t="n">
        <x:f>Lifecycle!G14</x:f>
        <x:v>0.03952829567165163</x:v>
      </x:c>
      <x:c r="J644" s="44" t="n">
        <x:v>0.10416666666666667</x:v>
      </x:c>
      <x:c r="K644" s="44" t="n">
        <x:f>I644*J644</x:f>
        <x:v>0.0041175307991303785</x:v>
      </x:c>
      <x:c r="L644" s="46" t="n">
        <x:v>0</x:v>
      </x:c>
      <x:c r="M644" s="46" t="n">
        <x:v>0</x:v>
      </x:c>
      <x:c r="N644" s="21" t="n">
        <x:f>IF(AND(L643=1,M643=1,P643&gt;0),1,0)</x:f>
        <x:v>0</x:v>
      </x:c>
      <x:c r="O644" s="21" t="n">
        <x:f>MIN('Root Data'!I196:I198)</x:f>
        <x:v>0</x:v>
      </x:c>
      <x:c r="P644" s="44" t="n">
        <x:f>IF(AND(L644=1,M644=1,N644=1,O644&gt;=G644),K644,0)</x:f>
        <x:v>0</x:v>
      </x:c>
      <x:c r="Q644" s="21" t="str">
        <x:v>OPEN</x:v>
      </x:c>
      <x:c r="R644" s="23" t="str">
        <x:v>HOLD</x:v>
      </x:c>
    </x:row>
    <x:row r="645">
      <x:c r="B645" s="21" t="str">
        <x:v>AR-00639</x:v>
      </x:c>
      <x:c r="C645" s="21" t="str">
        <x:v>F16-I4</x:v>
      </x:c>
      <x:c r="D645" s="21" t="str">
        <x:v>F16</x:v>
      </x:c>
      <x:c r="E645" s="21" t="n">
        <x:v>9</x:v>
      </x:c>
      <x:c r="F645" s="21" t="str">
        <x:v>Production release package</x:v>
      </x:c>
      <x:c r="G645" s="21" t="n">
        <x:v>28</x:v>
      </x:c>
      <x:c r="H645" s="21" t="str">
        <x:v>Production Release Board</x:v>
      </x:c>
      <x:c r="I645" s="44" t="n">
        <x:f>Lifecycle!G15</x:f>
        <x:v>0.01647012319652151</x:v>
      </x:c>
      <x:c r="J645" s="44" t="n">
        <x:v>0.10416666666666667</x:v>
      </x:c>
      <x:c r="K645" s="44" t="n">
        <x:f>I645*J645</x:f>
        <x:v>0.0017156378329709907</x:v>
      </x:c>
      <x:c r="L645" s="46" t="n">
        <x:v>0</x:v>
      </x:c>
      <x:c r="M645" s="46" t="n">
        <x:v>0</x:v>
      </x:c>
      <x:c r="N645" s="21" t="n">
        <x:f>IF(AND(L644=1,M644=1,P644&gt;0),1,0)</x:f>
        <x:v>0</x:v>
      </x:c>
      <x:c r="O645" s="21" t="n">
        <x:f>MIN('Root Data'!I196:I198)</x:f>
        <x:v>0</x:v>
      </x:c>
      <x:c r="P645" s="44" t="n">
        <x:f>IF(AND(L645=1,M645=1,N645=1,O645&gt;=G645),K645,0)</x:f>
        <x:v>0</x:v>
      </x:c>
      <x:c r="Q645" s="21" t="str">
        <x:v>OPEN</x:v>
      </x:c>
      <x:c r="R645" s="23" t="str">
        <x:v>HOLD</x:v>
      </x:c>
    </x:row>
    <x:row r="646">
      <x:c r="B646" s="21" t="str">
        <x:v>AR-00640</x:v>
      </x:c>
      <x:c r="C646" s="21" t="str">
        <x:v>F16-I4</x:v>
      </x:c>
      <x:c r="D646" s="21" t="str">
        <x:v>F16</x:v>
      </x:c>
      <x:c r="E646" s="21" t="n">
        <x:v>10</x:v>
      </x:c>
      <x:c r="F646" s="21" t="str">
        <x:v>Mobilization activation</x:v>
      </x:c>
      <x:c r="G646" s="21" t="n">
        <x:v>28</x:v>
      </x:c>
      <x:c r="H646" s="21" t="str">
        <x:v>Production Release Board</x:v>
      </x:c>
      <x:c r="I646" s="44" t="n">
        <x:f>Lifecycle!G16</x:f>
        <x:v>0.028262731405230914</x:v>
      </x:c>
      <x:c r="J646" s="44" t="n">
        <x:v>0.10416666666666667</x:v>
      </x:c>
      <x:c r="K646" s="44" t="n">
        <x:f>I646*J646</x:f>
        <x:v>0.0029440345213782204</x:v>
      </x:c>
      <x:c r="L646" s="46" t="n">
        <x:v>0</x:v>
      </x:c>
      <x:c r="M646" s="46" t="n">
        <x:v>0</x:v>
      </x:c>
      <x:c r="N646" s="21" t="n">
        <x:f>IF(AND(L645=1,M645=1,P645&gt;0),1,0)</x:f>
        <x:v>0</x:v>
      </x:c>
      <x:c r="O646" s="21" t="n">
        <x:f>MIN('Root Data'!I196:I198)</x:f>
        <x:v>0</x:v>
      </x:c>
      <x:c r="P646" s="44" t="n">
        <x:f>IF(AND(L646=1,M646=1,N646=1,O646&gt;=G646),K646,0)</x:f>
        <x:v>0</x:v>
      </x:c>
      <x:c r="Q646" s="21" t="str">
        <x:v>OPEN</x:v>
      </x:c>
      <x:c r="R646" s="23" t="str">
        <x:v>HOLD</x:v>
      </x:c>
    </x:row>
    <x:row r="647">
      <x:c r="B647" s="21" t="str">
        <x:v>AR-00641</x:v>
      </x:c>
      <x:c r="C647" s="21" t="str">
        <x:v>F17-I1</x:v>
      </x:c>
      <x:c r="D647" s="21" t="str">
        <x:v>F17</x:v>
      </x:c>
      <x:c r="E647" s="21" t="n">
        <x:v>1</x:v>
      </x:c>
      <x:c r="F647" s="21" t="str">
        <x:v>Civil effect charter</x:v>
      </x:c>
      <x:c r="G647" s="21" t="n">
        <x:v>0</x:v>
      </x:c>
      <x:c r="H647" s="21" t="str">
        <x:v>Civil Guarantee Authority</x:v>
      </x:c>
      <x:c r="I647" s="44" t="n">
        <x:f>Lifecycle!G7</x:f>
        <x:v>0.04941036958956453</x:v>
      </x:c>
      <x:c r="J647" s="44" t="n">
        <x:v>0.10416666666666667</x:v>
      </x:c>
      <x:c r="K647" s="44" t="n">
        <x:f>I647*J647</x:f>
        <x:v>0.005146913498912972</x:v>
      </x:c>
      <x:c r="L647" s="46" t="n">
        <x:v>0</x:v>
      </x:c>
      <x:c r="M647" s="46" t="n">
        <x:v>0</x:v>
      </x:c>
      <x:c r="N647" s="21" t="n">
        <x:f>1</x:f>
        <x:v>1</x:v>
      </x:c>
      <x:c r="O647" s="21" t="n">
        <x:f>MIN('Root Data'!I199:I201)</x:f>
        <x:v>0</x:v>
      </x:c>
      <x:c r="P647" s="44" t="n">
        <x:f>IF(AND(L647=1,M647=1,N647=1,O647&gt;=G647),K647,0)</x:f>
        <x:v>0</x:v>
      </x:c>
      <x:c r="Q647" s="21" t="str">
        <x:v>OPEN</x:v>
      </x:c>
      <x:c r="R647" s="23" t="str">
        <x:v>HOLD</x:v>
      </x:c>
    </x:row>
    <x:row r="648">
      <x:c r="B648" s="21" t="str">
        <x:v>AR-00642</x:v>
      </x:c>
      <x:c r="C648" s="21" t="str">
        <x:v>F17-I1</x:v>
      </x:c>
      <x:c r="D648" s="21" t="str">
        <x:v>F17</x:v>
      </x:c>
      <x:c r="E648" s="21" t="n">
        <x:v>2</x:v>
      </x:c>
      <x:c r="F648" s="21" t="str">
        <x:v>Requirement and root-independence package</x:v>
      </x:c>
      <x:c r="G648" s="21" t="n">
        <x:v>8</x:v>
      </x:c>
      <x:c r="H648" s="21" t="str">
        <x:v>Resilience Staff</x:v>
      </x:c>
      <x:c r="I648" s="44" t="n">
        <x:f>Lifecycle!G8</x:f>
        <x:v>0.10211476381843337</x:v>
      </x:c>
      <x:c r="J648" s="44" t="n">
        <x:v>0.10416666666666667</x:v>
      </x:c>
      <x:c r="K648" s="44" t="n">
        <x:f>I648*J648</x:f>
        <x:v>0.010636954564420143</x:v>
      </x:c>
      <x:c r="L648" s="46" t="n">
        <x:v>0</x:v>
      </x:c>
      <x:c r="M648" s="46" t="n">
        <x:v>0</x:v>
      </x:c>
      <x:c r="N648" s="21" t="n">
        <x:f>IF(AND(L647=1,M647=1,P647&gt;0),1,0)</x:f>
        <x:v>0</x:v>
      </x:c>
      <x:c r="O648" s="21" t="n">
        <x:f>MIN('Root Data'!I199:I201)</x:f>
        <x:v>0</x:v>
      </x:c>
      <x:c r="P648" s="44" t="n">
        <x:f>IF(AND(L648=1,M648=1,N648=1,O648&gt;=G648),K648,0)</x:f>
        <x:v>0</x:v>
      </x:c>
      <x:c r="Q648" s="21" t="str">
        <x:v>OPEN</x:v>
      </x:c>
      <x:c r="R648" s="23" t="str">
        <x:v>HOLD</x:v>
      </x:c>
    </x:row>
    <x:row r="649">
      <x:c r="B649" s="21" t="str">
        <x:v>AR-00643</x:v>
      </x:c>
      <x:c r="C649" s="21" t="str">
        <x:v>F17-I1</x:v>
      </x:c>
      <x:c r="D649" s="21" t="str">
        <x:v>F17</x:v>
      </x:c>
      <x:c r="E649" s="21" t="n">
        <x:v>3</x:v>
      </x:c>
      <x:c r="F649" s="21" t="str">
        <x:v>Architecture and burden closure</x:v>
      </x:c>
      <x:c r="G649" s="21" t="n">
        <x:v>14</x:v>
      </x:c>
      <x:c r="H649" s="21" t="str">
        <x:v>Independent Evidence and Data Authority</x:v>
      </x:c>
      <x:c r="I649" s="44" t="n">
        <x:f>Lifecycle!G9</x:f>
        <x:v>0.08564464062191186</x:v>
      </x:c>
      <x:c r="J649" s="44" t="n">
        <x:v>0.10416666666666667</x:v>
      </x:c>
      <x:c r="K649" s="44" t="n">
        <x:f>I649*J649</x:f>
        <x:v>0.008921316731449153</x:v>
      </x:c>
      <x:c r="L649" s="46" t="n">
        <x:v>0</x:v>
      </x:c>
      <x:c r="M649" s="46" t="n">
        <x:v>0</x:v>
      </x:c>
      <x:c r="N649" s="21" t="n">
        <x:f>IF(AND(L648=1,M648=1,P648&gt;0),1,0)</x:f>
        <x:v>0</x:v>
      </x:c>
      <x:c r="O649" s="21" t="n">
        <x:f>MIN('Root Data'!I199:I201)</x:f>
        <x:v>0</x:v>
      </x:c>
      <x:c r="P649" s="44" t="n">
        <x:f>IF(AND(L649=1,M649=1,N649=1,O649&gt;=G649),K649,0)</x:f>
        <x:v>0</x:v>
      </x:c>
      <x:c r="Q649" s="21" t="str">
        <x:v>OPEN</x:v>
      </x:c>
      <x:c r="R649" s="23" t="str">
        <x:v>HOLD</x:v>
      </x:c>
    </x:row>
    <x:row r="650">
      <x:c r="B650" s="21" t="str">
        <x:v>AR-00644</x:v>
      </x:c>
      <x:c r="C650" s="21" t="str">
        <x:v>F17-I1</x:v>
      </x:c>
      <x:c r="D650" s="21" t="str">
        <x:v>F17</x:v>
      </x:c>
      <x:c r="E650" s="21" t="n">
        <x:v>4</x:v>
      </x:c>
      <x:c r="F650" s="21" t="str">
        <x:v>Engineering article acceptance</x:v>
      </x:c>
      <x:c r="G650" s="21" t="n">
        <x:v>18</x:v>
      </x:c>
      <x:c r="H650" s="21" t="str">
        <x:v>Independent Evidence and Data Authority</x:v>
      </x:c>
      <x:c r="I650" s="44" t="n">
        <x:f>Lifecycle!G10</x:f>
        <x:v>0.05929244350747744</x:v>
      </x:c>
      <x:c r="J650" s="44" t="n">
        <x:v>0.10416666666666667</x:v>
      </x:c>
      <x:c r="K650" s="44" t="n">
        <x:f>I650*J650</x:f>
        <x:v>0.006176296198695567</x:v>
      </x:c>
      <x:c r="L650" s="46" t="n">
        <x:v>0</x:v>
      </x:c>
      <x:c r="M650" s="46" t="n">
        <x:v>0</x:v>
      </x:c>
      <x:c r="N650" s="21" t="n">
        <x:f>IF(AND(L649=1,M649=1,P649&gt;0),1,0)</x:f>
        <x:v>0</x:v>
      </x:c>
      <x:c r="O650" s="21" t="n">
        <x:f>MIN('Root Data'!I199:I201)</x:f>
        <x:v>0</x:v>
      </x:c>
      <x:c r="P650" s="44" t="n">
        <x:f>IF(AND(L650=1,M650=1,N650=1,O650&gt;=G650),K650,0)</x:f>
        <x:v>0</x:v>
      </x:c>
      <x:c r="Q650" s="21" t="str">
        <x:v>OPEN</x:v>
      </x:c>
      <x:c r="R650" s="23" t="str">
        <x:v>HOLD</x:v>
      </x:c>
    </x:row>
    <x:row r="651">
      <x:c r="B651" s="21" t="str">
        <x:v>AR-00645</x:v>
      </x:c>
      <x:c r="C651" s="21" t="str">
        <x:v>F17-I1</x:v>
      </x:c>
      <x:c r="D651" s="21" t="str">
        <x:v>F17</x:v>
      </x:c>
      <x:c r="E651" s="21" t="n">
        <x:v>5</x:v>
      </x:c>
      <x:c r="F651" s="21" t="str">
        <x:v>Qualification and destructive evidence</x:v>
      </x:c>
      <x:c r="G651" s="21" t="n">
        <x:v>21</x:v>
      </x:c>
      <x:c r="H651" s="21" t="str">
        <x:v>Independent Evidence and Data Authority</x:v>
      </x:c>
      <x:c r="I651" s="44" t="n">
        <x:f>Lifecycle!G11</x:f>
        <x:v>0.1515251334079979</x:v>
      </x:c>
      <x:c r="J651" s="44" t="n">
        <x:v>0.10416666666666667</x:v>
      </x:c>
      <x:c r="K651" s="44" t="n">
        <x:f>I651*J651</x:f>
        <x:v>0.015783868063333116</x:v>
      </x:c>
      <x:c r="L651" s="46" t="n">
        <x:v>0</x:v>
      </x:c>
      <x:c r="M651" s="46" t="n">
        <x:v>0</x:v>
      </x:c>
      <x:c r="N651" s="21" t="n">
        <x:f>IF(AND(L650=1,M650=1,P650&gt;0),1,0)</x:f>
        <x:v>0</x:v>
      </x:c>
      <x:c r="O651" s="21" t="n">
        <x:f>MIN('Root Data'!I199:I201)</x:f>
        <x:v>0</x:v>
      </x:c>
      <x:c r="P651" s="44" t="n">
        <x:f>IF(AND(L651=1,M651=1,N651=1,O651&gt;=G651),K651,0)</x:f>
        <x:v>0</x:v>
      </x:c>
      <x:c r="Q651" s="21" t="str">
        <x:v>OPEN</x:v>
      </x:c>
      <x:c r="R651" s="23" t="str">
        <x:v>HOLD</x:v>
      </x:c>
    </x:row>
    <x:row r="652">
      <x:c r="B652" s="21" t="str">
        <x:v>AR-00646</x:v>
      </x:c>
      <x:c r="C652" s="21" t="str">
        <x:v>F17-I1</x:v>
      </x:c>
      <x:c r="D652" s="21" t="str">
        <x:v>F17</x:v>
      </x:c>
      <x:c r="E652" s="21" t="n">
        <x:v>6</x:v>
      </x:c>
      <x:c r="F652" s="21" t="str">
        <x:v>Representative mission result</x:v>
      </x:c>
      <x:c r="G652" s="21" t="n">
        <x:v>23</x:v>
      </x:c>
      <x:c r="H652" s="21" t="str">
        <x:v>Receiving Service Authority</x:v>
      </x:c>
      <x:c r="I652" s="44" t="n">
        <x:f>Lifecycle!G12</x:f>
        <x:v>0.250345872587127</x:v>
      </x:c>
      <x:c r="J652" s="44" t="n">
        <x:v>0.10416666666666667</x:v>
      </x:c>
      <x:c r="K652" s="44" t="n">
        <x:f>I652*J652</x:f>
        <x:v>0.026077695061159062</x:v>
      </x:c>
      <x:c r="L652" s="46" t="n">
        <x:v>0</x:v>
      </x:c>
      <x:c r="M652" s="46" t="n">
        <x:v>0</x:v>
      </x:c>
      <x:c r="N652" s="21" t="n">
        <x:f>IF(AND(L651=1,M651=1,P651&gt;0),1,0)</x:f>
        <x:v>0</x:v>
      </x:c>
      <x:c r="O652" s="21" t="n">
        <x:f>MIN('Root Data'!I199:I201)</x:f>
        <x:v>0</x:v>
      </x:c>
      <x:c r="P652" s="44" t="n">
        <x:f>IF(AND(L652=1,M652=1,N652=1,O652&gt;=G652),K652,0)</x:f>
        <x:v>0</x:v>
      </x:c>
      <x:c r="Q652" s="21" t="str">
        <x:v>OPEN</x:v>
      </x:c>
      <x:c r="R652" s="23" t="str">
        <x:v>HOLD</x:v>
      </x:c>
    </x:row>
    <x:row r="653">
      <x:c r="B653" s="21" t="str">
        <x:v>AR-00647</x:v>
      </x:c>
      <x:c r="C653" s="21" t="str">
        <x:v>F17-I1</x:v>
      </x:c>
      <x:c r="D653" s="21" t="str">
        <x:v>F17</x:v>
      </x:c>
      <x:c r="E653" s="21" t="n">
        <x:v>7</x:v>
      </x:c>
      <x:c r="F653" s="21" t="str">
        <x:v>Independent reproduction</x:v>
      </x:c>
      <x:c r="G653" s="21" t="n">
        <x:v>28</x:v>
      </x:c>
      <x:c r="H653" s="21" t="str">
        <x:v>Independent Evidence and Data Authority</x:v>
      </x:c>
      <x:c r="I653" s="44" t="n">
        <x:f>Lifecycle!G13</x:f>
        <x:v>0.21740562619408393</x:v>
      </x:c>
      <x:c r="J653" s="44" t="n">
        <x:v>0.10416666666666667</x:v>
      </x:c>
      <x:c r="K653" s="44" t="n">
        <x:f>I653*J653</x:f>
        <x:v>0.02264641939521708</x:v>
      </x:c>
      <x:c r="L653" s="46" t="n">
        <x:v>0</x:v>
      </x:c>
      <x:c r="M653" s="46" t="n">
        <x:v>0</x:v>
      </x:c>
      <x:c r="N653" s="21" t="n">
        <x:f>IF(AND(L652=1,M652=1,P652&gt;0),1,0)</x:f>
        <x:v>0</x:v>
      </x:c>
      <x:c r="O653" s="21" t="n">
        <x:f>MIN('Root Data'!I199:I201)</x:f>
        <x:v>0</x:v>
      </x:c>
      <x:c r="P653" s="44" t="n">
        <x:f>IF(AND(L653=1,M653=1,N653=1,O653&gt;=G653),K653,0)</x:f>
        <x:v>0</x:v>
      </x:c>
      <x:c r="Q653" s="21" t="str">
        <x:v>OPEN</x:v>
      </x:c>
      <x:c r="R653" s="23" t="str">
        <x:v>HOLD</x:v>
      </x:c>
    </x:row>
    <x:row r="654">
      <x:c r="B654" s="21" t="str">
        <x:v>AR-00648</x:v>
      </x:c>
      <x:c r="C654" s="21" t="str">
        <x:v>F17-I1</x:v>
      </x:c>
      <x:c r="D654" s="21" t="str">
        <x:v>F17</x:v>
      </x:c>
      <x:c r="E654" s="21" t="n">
        <x:v>8</x:v>
      </x:c>
      <x:c r="F654" s="21" t="str">
        <x:v>Pilot-process qualification</x:v>
      </x:c>
      <x:c r="G654" s="21" t="n">
        <x:v>28</x:v>
      </x:c>
      <x:c r="H654" s="21" t="str">
        <x:v>AIMC Industrial Mobilization Authority</x:v>
      </x:c>
      <x:c r="I654" s="44" t="n">
        <x:f>Lifecycle!G14</x:f>
        <x:v>0.03952829567165163</x:v>
      </x:c>
      <x:c r="J654" s="44" t="n">
        <x:v>0.10416666666666667</x:v>
      </x:c>
      <x:c r="K654" s="44" t="n">
        <x:f>I654*J654</x:f>
        <x:v>0.0041175307991303785</x:v>
      </x:c>
      <x:c r="L654" s="46" t="n">
        <x:v>0</x:v>
      </x:c>
      <x:c r="M654" s="46" t="n">
        <x:v>0</x:v>
      </x:c>
      <x:c r="N654" s="21" t="n">
        <x:f>IF(AND(L653=1,M653=1,P653&gt;0),1,0)</x:f>
        <x:v>0</x:v>
      </x:c>
      <x:c r="O654" s="21" t="n">
        <x:f>MIN('Root Data'!I199:I201)</x:f>
        <x:v>0</x:v>
      </x:c>
      <x:c r="P654" s="44" t="n">
        <x:f>IF(AND(L654=1,M654=1,N654=1,O654&gt;=G654),K654,0)</x:f>
        <x:v>0</x:v>
      </x:c>
      <x:c r="Q654" s="21" t="str">
        <x:v>OPEN</x:v>
      </x:c>
      <x:c r="R654" s="23" t="str">
        <x:v>HOLD</x:v>
      </x:c>
    </x:row>
    <x:row r="655">
      <x:c r="B655" s="21" t="str">
        <x:v>AR-00649</x:v>
      </x:c>
      <x:c r="C655" s="21" t="str">
        <x:v>F17-I1</x:v>
      </x:c>
      <x:c r="D655" s="21" t="str">
        <x:v>F17</x:v>
      </x:c>
      <x:c r="E655" s="21" t="n">
        <x:v>9</x:v>
      </x:c>
      <x:c r="F655" s="21" t="str">
        <x:v>Production release package</x:v>
      </x:c>
      <x:c r="G655" s="21" t="n">
        <x:v>28</x:v>
      </x:c>
      <x:c r="H655" s="21" t="str">
        <x:v>Production Release Board</x:v>
      </x:c>
      <x:c r="I655" s="44" t="n">
        <x:f>Lifecycle!G15</x:f>
        <x:v>0.01647012319652151</x:v>
      </x:c>
      <x:c r="J655" s="44" t="n">
        <x:v>0.10416666666666667</x:v>
      </x:c>
      <x:c r="K655" s="44" t="n">
        <x:f>I655*J655</x:f>
        <x:v>0.0017156378329709907</x:v>
      </x:c>
      <x:c r="L655" s="46" t="n">
        <x:v>0</x:v>
      </x:c>
      <x:c r="M655" s="46" t="n">
        <x:v>0</x:v>
      </x:c>
      <x:c r="N655" s="21" t="n">
        <x:f>IF(AND(L654=1,M654=1,P654&gt;0),1,0)</x:f>
        <x:v>0</x:v>
      </x:c>
      <x:c r="O655" s="21" t="n">
        <x:f>MIN('Root Data'!I199:I201)</x:f>
        <x:v>0</x:v>
      </x:c>
      <x:c r="P655" s="44" t="n">
        <x:f>IF(AND(L655=1,M655=1,N655=1,O655&gt;=G655),K655,0)</x:f>
        <x:v>0</x:v>
      </x:c>
      <x:c r="Q655" s="21" t="str">
        <x:v>OPEN</x:v>
      </x:c>
      <x:c r="R655" s="23" t="str">
        <x:v>HOLD</x:v>
      </x:c>
    </x:row>
    <x:row r="656">
      <x:c r="B656" s="21" t="str">
        <x:v>AR-00650</x:v>
      </x:c>
      <x:c r="C656" s="21" t="str">
        <x:v>F17-I1</x:v>
      </x:c>
      <x:c r="D656" s="21" t="str">
        <x:v>F17</x:v>
      </x:c>
      <x:c r="E656" s="21" t="n">
        <x:v>10</x:v>
      </x:c>
      <x:c r="F656" s="21" t="str">
        <x:v>Mobilization activation</x:v>
      </x:c>
      <x:c r="G656" s="21" t="n">
        <x:v>28</x:v>
      </x:c>
      <x:c r="H656" s="21" t="str">
        <x:v>Production Release Board</x:v>
      </x:c>
      <x:c r="I656" s="44" t="n">
        <x:f>Lifecycle!G16</x:f>
        <x:v>0.028262731405230914</x:v>
      </x:c>
      <x:c r="J656" s="44" t="n">
        <x:v>0.10416666666666667</x:v>
      </x:c>
      <x:c r="K656" s="44" t="n">
        <x:f>I656*J656</x:f>
        <x:v>0.0029440345213782204</x:v>
      </x:c>
      <x:c r="L656" s="46" t="n">
        <x:v>0</x:v>
      </x:c>
      <x:c r="M656" s="46" t="n">
        <x:v>0</x:v>
      </x:c>
      <x:c r="N656" s="21" t="n">
        <x:f>IF(AND(L655=1,M655=1,P655&gt;0),1,0)</x:f>
        <x:v>0</x:v>
      </x:c>
      <x:c r="O656" s="21" t="n">
        <x:f>MIN('Root Data'!I199:I201)</x:f>
        <x:v>0</x:v>
      </x:c>
      <x:c r="P656" s="44" t="n">
        <x:f>IF(AND(L656=1,M656=1,N656=1,O656&gt;=G656),K656,0)</x:f>
        <x:v>0</x:v>
      </x:c>
      <x:c r="Q656" s="21" t="str">
        <x:v>OPEN</x:v>
      </x:c>
      <x:c r="R656" s="23" t="str">
        <x:v>HOLD</x:v>
      </x:c>
    </x:row>
    <x:row r="657">
      <x:c r="B657" s="21" t="str">
        <x:v>AR-00651</x:v>
      </x:c>
      <x:c r="C657" s="21" t="str">
        <x:v>F17-I2</x:v>
      </x:c>
      <x:c r="D657" s="21" t="str">
        <x:v>F17</x:v>
      </x:c>
      <x:c r="E657" s="21" t="n">
        <x:v>1</x:v>
      </x:c>
      <x:c r="F657" s="21" t="str">
        <x:v>Civil effect charter</x:v>
      </x:c>
      <x:c r="G657" s="21" t="n">
        <x:v>0</x:v>
      </x:c>
      <x:c r="H657" s="21" t="str">
        <x:v>Civil Guarantee Authority</x:v>
      </x:c>
      <x:c r="I657" s="44" t="n">
        <x:f>Lifecycle!G7</x:f>
        <x:v>0.04941036958956453</x:v>
      </x:c>
      <x:c r="J657" s="44" t="n">
        <x:v>0.10416666666666667</x:v>
      </x:c>
      <x:c r="K657" s="44" t="n">
        <x:f>I657*J657</x:f>
        <x:v>0.005146913498912972</x:v>
      </x:c>
      <x:c r="L657" s="46" t="n">
        <x:v>0</x:v>
      </x:c>
      <x:c r="M657" s="46" t="n">
        <x:v>0</x:v>
      </x:c>
      <x:c r="N657" s="21" t="n">
        <x:f>1</x:f>
        <x:v>1</x:v>
      </x:c>
      <x:c r="O657" s="21" t="n">
        <x:f>MIN('Root Data'!I202:I204)</x:f>
        <x:v>0</x:v>
      </x:c>
      <x:c r="P657" s="44" t="n">
        <x:f>IF(AND(L657=1,M657=1,N657=1,O657&gt;=G657),K657,0)</x:f>
        <x:v>0</x:v>
      </x:c>
      <x:c r="Q657" s="21" t="str">
        <x:v>OPEN</x:v>
      </x:c>
      <x:c r="R657" s="23" t="str">
        <x:v>HOLD</x:v>
      </x:c>
    </x:row>
    <x:row r="658">
      <x:c r="B658" s="21" t="str">
        <x:v>AR-00652</x:v>
      </x:c>
      <x:c r="C658" s="21" t="str">
        <x:v>F17-I2</x:v>
      </x:c>
      <x:c r="D658" s="21" t="str">
        <x:v>F17</x:v>
      </x:c>
      <x:c r="E658" s="21" t="n">
        <x:v>2</x:v>
      </x:c>
      <x:c r="F658" s="21" t="str">
        <x:v>Requirement and root-independence package</x:v>
      </x:c>
      <x:c r="G658" s="21" t="n">
        <x:v>8</x:v>
      </x:c>
      <x:c r="H658" s="21" t="str">
        <x:v>Resilience Staff</x:v>
      </x:c>
      <x:c r="I658" s="44" t="n">
        <x:f>Lifecycle!G8</x:f>
        <x:v>0.10211476381843337</x:v>
      </x:c>
      <x:c r="J658" s="44" t="n">
        <x:v>0.10416666666666667</x:v>
      </x:c>
      <x:c r="K658" s="44" t="n">
        <x:f>I658*J658</x:f>
        <x:v>0.010636954564420143</x:v>
      </x:c>
      <x:c r="L658" s="46" t="n">
        <x:v>0</x:v>
      </x:c>
      <x:c r="M658" s="46" t="n">
        <x:v>0</x:v>
      </x:c>
      <x:c r="N658" s="21" t="n">
        <x:f>IF(AND(L657=1,M657=1,P657&gt;0),1,0)</x:f>
        <x:v>0</x:v>
      </x:c>
      <x:c r="O658" s="21" t="n">
        <x:f>MIN('Root Data'!I202:I204)</x:f>
        <x:v>0</x:v>
      </x:c>
      <x:c r="P658" s="44" t="n">
        <x:f>IF(AND(L658=1,M658=1,N658=1,O658&gt;=G658),K658,0)</x:f>
        <x:v>0</x:v>
      </x:c>
      <x:c r="Q658" s="21" t="str">
        <x:v>OPEN</x:v>
      </x:c>
      <x:c r="R658" s="23" t="str">
        <x:v>HOLD</x:v>
      </x:c>
    </x:row>
    <x:row r="659">
      <x:c r="B659" s="21" t="str">
        <x:v>AR-00653</x:v>
      </x:c>
      <x:c r="C659" s="21" t="str">
        <x:v>F17-I2</x:v>
      </x:c>
      <x:c r="D659" s="21" t="str">
        <x:v>F17</x:v>
      </x:c>
      <x:c r="E659" s="21" t="n">
        <x:v>3</x:v>
      </x:c>
      <x:c r="F659" s="21" t="str">
        <x:v>Architecture and burden closure</x:v>
      </x:c>
      <x:c r="G659" s="21" t="n">
        <x:v>14</x:v>
      </x:c>
      <x:c r="H659" s="21" t="str">
        <x:v>Independent Evidence and Data Authority</x:v>
      </x:c>
      <x:c r="I659" s="44" t="n">
        <x:f>Lifecycle!G9</x:f>
        <x:v>0.08564464062191186</x:v>
      </x:c>
      <x:c r="J659" s="44" t="n">
        <x:v>0.10416666666666667</x:v>
      </x:c>
      <x:c r="K659" s="44" t="n">
        <x:f>I659*J659</x:f>
        <x:v>0.008921316731449153</x:v>
      </x:c>
      <x:c r="L659" s="46" t="n">
        <x:v>0</x:v>
      </x:c>
      <x:c r="M659" s="46" t="n">
        <x:v>0</x:v>
      </x:c>
      <x:c r="N659" s="21" t="n">
        <x:f>IF(AND(L658=1,M658=1,P658&gt;0),1,0)</x:f>
        <x:v>0</x:v>
      </x:c>
      <x:c r="O659" s="21" t="n">
        <x:f>MIN('Root Data'!I202:I204)</x:f>
        <x:v>0</x:v>
      </x:c>
      <x:c r="P659" s="44" t="n">
        <x:f>IF(AND(L659=1,M659=1,N659=1,O659&gt;=G659),K659,0)</x:f>
        <x:v>0</x:v>
      </x:c>
      <x:c r="Q659" s="21" t="str">
        <x:v>OPEN</x:v>
      </x:c>
      <x:c r="R659" s="23" t="str">
        <x:v>HOLD</x:v>
      </x:c>
    </x:row>
    <x:row r="660">
      <x:c r="B660" s="21" t="str">
        <x:v>AR-00654</x:v>
      </x:c>
      <x:c r="C660" s="21" t="str">
        <x:v>F17-I2</x:v>
      </x:c>
      <x:c r="D660" s="21" t="str">
        <x:v>F17</x:v>
      </x:c>
      <x:c r="E660" s="21" t="n">
        <x:v>4</x:v>
      </x:c>
      <x:c r="F660" s="21" t="str">
        <x:v>Engineering article acceptance</x:v>
      </x:c>
      <x:c r="G660" s="21" t="n">
        <x:v>18</x:v>
      </x:c>
      <x:c r="H660" s="21" t="str">
        <x:v>Independent Evidence and Data Authority</x:v>
      </x:c>
      <x:c r="I660" s="44" t="n">
        <x:f>Lifecycle!G10</x:f>
        <x:v>0.05929244350747744</x:v>
      </x:c>
      <x:c r="J660" s="44" t="n">
        <x:v>0.10416666666666667</x:v>
      </x:c>
      <x:c r="K660" s="44" t="n">
        <x:f>I660*J660</x:f>
        <x:v>0.006176296198695567</x:v>
      </x:c>
      <x:c r="L660" s="46" t="n">
        <x:v>0</x:v>
      </x:c>
      <x:c r="M660" s="46" t="n">
        <x:v>0</x:v>
      </x:c>
      <x:c r="N660" s="21" t="n">
        <x:f>IF(AND(L659=1,M659=1,P659&gt;0),1,0)</x:f>
        <x:v>0</x:v>
      </x:c>
      <x:c r="O660" s="21" t="n">
        <x:f>MIN('Root Data'!I202:I204)</x:f>
        <x:v>0</x:v>
      </x:c>
      <x:c r="P660" s="44" t="n">
        <x:f>IF(AND(L660=1,M660=1,N660=1,O660&gt;=G660),K660,0)</x:f>
        <x:v>0</x:v>
      </x:c>
      <x:c r="Q660" s="21" t="str">
        <x:v>OPEN</x:v>
      </x:c>
      <x:c r="R660" s="23" t="str">
        <x:v>HOLD</x:v>
      </x:c>
    </x:row>
    <x:row r="661">
      <x:c r="B661" s="21" t="str">
        <x:v>AR-00655</x:v>
      </x:c>
      <x:c r="C661" s="21" t="str">
        <x:v>F17-I2</x:v>
      </x:c>
      <x:c r="D661" s="21" t="str">
        <x:v>F17</x:v>
      </x:c>
      <x:c r="E661" s="21" t="n">
        <x:v>5</x:v>
      </x:c>
      <x:c r="F661" s="21" t="str">
        <x:v>Qualification and destructive evidence</x:v>
      </x:c>
      <x:c r="G661" s="21" t="n">
        <x:v>21</x:v>
      </x:c>
      <x:c r="H661" s="21" t="str">
        <x:v>Independent Evidence and Data Authority</x:v>
      </x:c>
      <x:c r="I661" s="44" t="n">
        <x:f>Lifecycle!G11</x:f>
        <x:v>0.1515251334079979</x:v>
      </x:c>
      <x:c r="J661" s="44" t="n">
        <x:v>0.10416666666666667</x:v>
      </x:c>
      <x:c r="K661" s="44" t="n">
        <x:f>I661*J661</x:f>
        <x:v>0.015783868063333116</x:v>
      </x:c>
      <x:c r="L661" s="46" t="n">
        <x:v>0</x:v>
      </x:c>
      <x:c r="M661" s="46" t="n">
        <x:v>0</x:v>
      </x:c>
      <x:c r="N661" s="21" t="n">
        <x:f>IF(AND(L660=1,M660=1,P660&gt;0),1,0)</x:f>
        <x:v>0</x:v>
      </x:c>
      <x:c r="O661" s="21" t="n">
        <x:f>MIN('Root Data'!I202:I204)</x:f>
        <x:v>0</x:v>
      </x:c>
      <x:c r="P661" s="44" t="n">
        <x:f>IF(AND(L661=1,M661=1,N661=1,O661&gt;=G661),K661,0)</x:f>
        <x:v>0</x:v>
      </x:c>
      <x:c r="Q661" s="21" t="str">
        <x:v>OPEN</x:v>
      </x:c>
      <x:c r="R661" s="23" t="str">
        <x:v>HOLD</x:v>
      </x:c>
    </x:row>
    <x:row r="662">
      <x:c r="B662" s="21" t="str">
        <x:v>AR-00656</x:v>
      </x:c>
      <x:c r="C662" s="21" t="str">
        <x:v>F17-I2</x:v>
      </x:c>
      <x:c r="D662" s="21" t="str">
        <x:v>F17</x:v>
      </x:c>
      <x:c r="E662" s="21" t="n">
        <x:v>6</x:v>
      </x:c>
      <x:c r="F662" s="21" t="str">
        <x:v>Representative mission result</x:v>
      </x:c>
      <x:c r="G662" s="21" t="n">
        <x:v>23</x:v>
      </x:c>
      <x:c r="H662" s="21" t="str">
        <x:v>Receiving Service Authority</x:v>
      </x:c>
      <x:c r="I662" s="44" t="n">
        <x:f>Lifecycle!G12</x:f>
        <x:v>0.250345872587127</x:v>
      </x:c>
      <x:c r="J662" s="44" t="n">
        <x:v>0.10416666666666667</x:v>
      </x:c>
      <x:c r="K662" s="44" t="n">
        <x:f>I662*J662</x:f>
        <x:v>0.026077695061159062</x:v>
      </x:c>
      <x:c r="L662" s="46" t="n">
        <x:v>0</x:v>
      </x:c>
      <x:c r="M662" s="46" t="n">
        <x:v>0</x:v>
      </x:c>
      <x:c r="N662" s="21" t="n">
        <x:f>IF(AND(L661=1,M661=1,P661&gt;0),1,0)</x:f>
        <x:v>0</x:v>
      </x:c>
      <x:c r="O662" s="21" t="n">
        <x:f>MIN('Root Data'!I202:I204)</x:f>
        <x:v>0</x:v>
      </x:c>
      <x:c r="P662" s="44" t="n">
        <x:f>IF(AND(L662=1,M662=1,N662=1,O662&gt;=G662),K662,0)</x:f>
        <x:v>0</x:v>
      </x:c>
      <x:c r="Q662" s="21" t="str">
        <x:v>OPEN</x:v>
      </x:c>
      <x:c r="R662" s="23" t="str">
        <x:v>HOLD</x:v>
      </x:c>
    </x:row>
    <x:row r="663">
      <x:c r="B663" s="21" t="str">
        <x:v>AR-00657</x:v>
      </x:c>
      <x:c r="C663" s="21" t="str">
        <x:v>F17-I2</x:v>
      </x:c>
      <x:c r="D663" s="21" t="str">
        <x:v>F17</x:v>
      </x:c>
      <x:c r="E663" s="21" t="n">
        <x:v>7</x:v>
      </x:c>
      <x:c r="F663" s="21" t="str">
        <x:v>Independent reproduction</x:v>
      </x:c>
      <x:c r="G663" s="21" t="n">
        <x:v>28</x:v>
      </x:c>
      <x:c r="H663" s="21" t="str">
        <x:v>Independent Evidence and Data Authority</x:v>
      </x:c>
      <x:c r="I663" s="44" t="n">
        <x:f>Lifecycle!G13</x:f>
        <x:v>0.21740562619408393</x:v>
      </x:c>
      <x:c r="J663" s="44" t="n">
        <x:v>0.10416666666666667</x:v>
      </x:c>
      <x:c r="K663" s="44" t="n">
        <x:f>I663*J663</x:f>
        <x:v>0.02264641939521708</x:v>
      </x:c>
      <x:c r="L663" s="46" t="n">
        <x:v>0</x:v>
      </x:c>
      <x:c r="M663" s="46" t="n">
        <x:v>0</x:v>
      </x:c>
      <x:c r="N663" s="21" t="n">
        <x:f>IF(AND(L662=1,M662=1,P662&gt;0),1,0)</x:f>
        <x:v>0</x:v>
      </x:c>
      <x:c r="O663" s="21" t="n">
        <x:f>MIN('Root Data'!I202:I204)</x:f>
        <x:v>0</x:v>
      </x:c>
      <x:c r="P663" s="44" t="n">
        <x:f>IF(AND(L663=1,M663=1,N663=1,O663&gt;=G663),K663,0)</x:f>
        <x:v>0</x:v>
      </x:c>
      <x:c r="Q663" s="21" t="str">
        <x:v>OPEN</x:v>
      </x:c>
      <x:c r="R663" s="23" t="str">
        <x:v>HOLD</x:v>
      </x:c>
    </x:row>
    <x:row r="664">
      <x:c r="B664" s="21" t="str">
        <x:v>AR-00658</x:v>
      </x:c>
      <x:c r="C664" s="21" t="str">
        <x:v>F17-I2</x:v>
      </x:c>
      <x:c r="D664" s="21" t="str">
        <x:v>F17</x:v>
      </x:c>
      <x:c r="E664" s="21" t="n">
        <x:v>8</x:v>
      </x:c>
      <x:c r="F664" s="21" t="str">
        <x:v>Pilot-process qualification</x:v>
      </x:c>
      <x:c r="G664" s="21" t="n">
        <x:v>28</x:v>
      </x:c>
      <x:c r="H664" s="21" t="str">
        <x:v>AIMC Industrial Mobilization Authority</x:v>
      </x:c>
      <x:c r="I664" s="44" t="n">
        <x:f>Lifecycle!G14</x:f>
        <x:v>0.03952829567165163</x:v>
      </x:c>
      <x:c r="J664" s="44" t="n">
        <x:v>0.10416666666666667</x:v>
      </x:c>
      <x:c r="K664" s="44" t="n">
        <x:f>I664*J664</x:f>
        <x:v>0.0041175307991303785</x:v>
      </x:c>
      <x:c r="L664" s="46" t="n">
        <x:v>0</x:v>
      </x:c>
      <x:c r="M664" s="46" t="n">
        <x:v>0</x:v>
      </x:c>
      <x:c r="N664" s="21" t="n">
        <x:f>IF(AND(L663=1,M663=1,P663&gt;0),1,0)</x:f>
        <x:v>0</x:v>
      </x:c>
      <x:c r="O664" s="21" t="n">
        <x:f>MIN('Root Data'!I202:I204)</x:f>
        <x:v>0</x:v>
      </x:c>
      <x:c r="P664" s="44" t="n">
        <x:f>IF(AND(L664=1,M664=1,N664=1,O664&gt;=G664),K664,0)</x:f>
        <x:v>0</x:v>
      </x:c>
      <x:c r="Q664" s="21" t="str">
        <x:v>OPEN</x:v>
      </x:c>
      <x:c r="R664" s="23" t="str">
        <x:v>HOLD</x:v>
      </x:c>
    </x:row>
    <x:row r="665">
      <x:c r="B665" s="21" t="str">
        <x:v>AR-00659</x:v>
      </x:c>
      <x:c r="C665" s="21" t="str">
        <x:v>F17-I2</x:v>
      </x:c>
      <x:c r="D665" s="21" t="str">
        <x:v>F17</x:v>
      </x:c>
      <x:c r="E665" s="21" t="n">
        <x:v>9</x:v>
      </x:c>
      <x:c r="F665" s="21" t="str">
        <x:v>Production release package</x:v>
      </x:c>
      <x:c r="G665" s="21" t="n">
        <x:v>28</x:v>
      </x:c>
      <x:c r="H665" s="21" t="str">
        <x:v>Production Release Board</x:v>
      </x:c>
      <x:c r="I665" s="44" t="n">
        <x:f>Lifecycle!G15</x:f>
        <x:v>0.01647012319652151</x:v>
      </x:c>
      <x:c r="J665" s="44" t="n">
        <x:v>0.10416666666666667</x:v>
      </x:c>
      <x:c r="K665" s="44" t="n">
        <x:f>I665*J665</x:f>
        <x:v>0.0017156378329709907</x:v>
      </x:c>
      <x:c r="L665" s="46" t="n">
        <x:v>0</x:v>
      </x:c>
      <x:c r="M665" s="46" t="n">
        <x:v>0</x:v>
      </x:c>
      <x:c r="N665" s="21" t="n">
        <x:f>IF(AND(L664=1,M664=1,P664&gt;0),1,0)</x:f>
        <x:v>0</x:v>
      </x:c>
      <x:c r="O665" s="21" t="n">
        <x:f>MIN('Root Data'!I202:I204)</x:f>
        <x:v>0</x:v>
      </x:c>
      <x:c r="P665" s="44" t="n">
        <x:f>IF(AND(L665=1,M665=1,N665=1,O665&gt;=G665),K665,0)</x:f>
        <x:v>0</x:v>
      </x:c>
      <x:c r="Q665" s="21" t="str">
        <x:v>OPEN</x:v>
      </x:c>
      <x:c r="R665" s="23" t="str">
        <x:v>HOLD</x:v>
      </x:c>
    </x:row>
    <x:row r="666">
      <x:c r="B666" s="21" t="str">
        <x:v>AR-00660</x:v>
      </x:c>
      <x:c r="C666" s="21" t="str">
        <x:v>F17-I2</x:v>
      </x:c>
      <x:c r="D666" s="21" t="str">
        <x:v>F17</x:v>
      </x:c>
      <x:c r="E666" s="21" t="n">
        <x:v>10</x:v>
      </x:c>
      <x:c r="F666" s="21" t="str">
        <x:v>Mobilization activation</x:v>
      </x:c>
      <x:c r="G666" s="21" t="n">
        <x:v>28</x:v>
      </x:c>
      <x:c r="H666" s="21" t="str">
        <x:v>Production Release Board</x:v>
      </x:c>
      <x:c r="I666" s="44" t="n">
        <x:f>Lifecycle!G16</x:f>
        <x:v>0.028262731405230914</x:v>
      </x:c>
      <x:c r="J666" s="44" t="n">
        <x:v>0.10416666666666667</x:v>
      </x:c>
      <x:c r="K666" s="44" t="n">
        <x:f>I666*J666</x:f>
        <x:v>0.0029440345213782204</x:v>
      </x:c>
      <x:c r="L666" s="46" t="n">
        <x:v>0</x:v>
      </x:c>
      <x:c r="M666" s="46" t="n">
        <x:v>0</x:v>
      </x:c>
      <x:c r="N666" s="21" t="n">
        <x:f>IF(AND(L665=1,M665=1,P665&gt;0),1,0)</x:f>
        <x:v>0</x:v>
      </x:c>
      <x:c r="O666" s="21" t="n">
        <x:f>MIN('Root Data'!I202:I204)</x:f>
        <x:v>0</x:v>
      </x:c>
      <x:c r="P666" s="44" t="n">
        <x:f>IF(AND(L666=1,M666=1,N666=1,O666&gt;=G666),K666,0)</x:f>
        <x:v>0</x:v>
      </x:c>
      <x:c r="Q666" s="21" t="str">
        <x:v>OPEN</x:v>
      </x:c>
      <x:c r="R666" s="23" t="str">
        <x:v>HOLD</x:v>
      </x:c>
    </x:row>
    <x:row r="667">
      <x:c r="B667" s="21" t="str">
        <x:v>AR-00661</x:v>
      </x:c>
      <x:c r="C667" s="21" t="str">
        <x:v>F17-I3</x:v>
      </x:c>
      <x:c r="D667" s="21" t="str">
        <x:v>F17</x:v>
      </x:c>
      <x:c r="E667" s="21" t="n">
        <x:v>1</x:v>
      </x:c>
      <x:c r="F667" s="21" t="str">
        <x:v>Civil effect charter</x:v>
      </x:c>
      <x:c r="G667" s="21" t="n">
        <x:v>0</x:v>
      </x:c>
      <x:c r="H667" s="21" t="str">
        <x:v>Civil Guarantee Authority</x:v>
      </x:c>
      <x:c r="I667" s="44" t="n">
        <x:f>Lifecycle!G7</x:f>
        <x:v>0.04941036958956453</x:v>
      </x:c>
      <x:c r="J667" s="44" t="n">
        <x:v>0.10416666666666667</x:v>
      </x:c>
      <x:c r="K667" s="44" t="n">
        <x:f>I667*J667</x:f>
        <x:v>0.005146913498912972</x:v>
      </x:c>
      <x:c r="L667" s="46" t="n">
        <x:v>0</x:v>
      </x:c>
      <x:c r="M667" s="46" t="n">
        <x:v>0</x:v>
      </x:c>
      <x:c r="N667" s="21" t="n">
        <x:f>1</x:f>
        <x:v>1</x:v>
      </x:c>
      <x:c r="O667" s="21" t="n">
        <x:f>MIN('Root Data'!I205:I207)</x:f>
        <x:v>0</x:v>
      </x:c>
      <x:c r="P667" s="44" t="n">
        <x:f>IF(AND(L667=1,M667=1,N667=1,O667&gt;=G667),K667,0)</x:f>
        <x:v>0</x:v>
      </x:c>
      <x:c r="Q667" s="21" t="str">
        <x:v>OPEN</x:v>
      </x:c>
      <x:c r="R667" s="23" t="str">
        <x:v>HOLD</x:v>
      </x:c>
    </x:row>
    <x:row r="668">
      <x:c r="B668" s="21" t="str">
        <x:v>AR-00662</x:v>
      </x:c>
      <x:c r="C668" s="21" t="str">
        <x:v>F17-I3</x:v>
      </x:c>
      <x:c r="D668" s="21" t="str">
        <x:v>F17</x:v>
      </x:c>
      <x:c r="E668" s="21" t="n">
        <x:v>2</x:v>
      </x:c>
      <x:c r="F668" s="21" t="str">
        <x:v>Requirement and root-independence package</x:v>
      </x:c>
      <x:c r="G668" s="21" t="n">
        <x:v>8</x:v>
      </x:c>
      <x:c r="H668" s="21" t="str">
        <x:v>Resilience Staff</x:v>
      </x:c>
      <x:c r="I668" s="44" t="n">
        <x:f>Lifecycle!G8</x:f>
        <x:v>0.10211476381843337</x:v>
      </x:c>
      <x:c r="J668" s="44" t="n">
        <x:v>0.10416666666666667</x:v>
      </x:c>
      <x:c r="K668" s="44" t="n">
        <x:f>I668*J668</x:f>
        <x:v>0.010636954564420143</x:v>
      </x:c>
      <x:c r="L668" s="46" t="n">
        <x:v>0</x:v>
      </x:c>
      <x:c r="M668" s="46" t="n">
        <x:v>0</x:v>
      </x:c>
      <x:c r="N668" s="21" t="n">
        <x:f>IF(AND(L667=1,M667=1,P667&gt;0),1,0)</x:f>
        <x:v>0</x:v>
      </x:c>
      <x:c r="O668" s="21" t="n">
        <x:f>MIN('Root Data'!I205:I207)</x:f>
        <x:v>0</x:v>
      </x:c>
      <x:c r="P668" s="44" t="n">
        <x:f>IF(AND(L668=1,M668=1,N668=1,O668&gt;=G668),K668,0)</x:f>
        <x:v>0</x:v>
      </x:c>
      <x:c r="Q668" s="21" t="str">
        <x:v>OPEN</x:v>
      </x:c>
      <x:c r="R668" s="23" t="str">
        <x:v>HOLD</x:v>
      </x:c>
    </x:row>
    <x:row r="669">
      <x:c r="B669" s="21" t="str">
        <x:v>AR-00663</x:v>
      </x:c>
      <x:c r="C669" s="21" t="str">
        <x:v>F17-I3</x:v>
      </x:c>
      <x:c r="D669" s="21" t="str">
        <x:v>F17</x:v>
      </x:c>
      <x:c r="E669" s="21" t="n">
        <x:v>3</x:v>
      </x:c>
      <x:c r="F669" s="21" t="str">
        <x:v>Architecture and burden closure</x:v>
      </x:c>
      <x:c r="G669" s="21" t="n">
        <x:v>14</x:v>
      </x:c>
      <x:c r="H669" s="21" t="str">
        <x:v>Independent Evidence and Data Authority</x:v>
      </x:c>
      <x:c r="I669" s="44" t="n">
        <x:f>Lifecycle!G9</x:f>
        <x:v>0.08564464062191186</x:v>
      </x:c>
      <x:c r="J669" s="44" t="n">
        <x:v>0.10416666666666667</x:v>
      </x:c>
      <x:c r="K669" s="44" t="n">
        <x:f>I669*J669</x:f>
        <x:v>0.008921316731449153</x:v>
      </x:c>
      <x:c r="L669" s="46" t="n">
        <x:v>0</x:v>
      </x:c>
      <x:c r="M669" s="46" t="n">
        <x:v>0</x:v>
      </x:c>
      <x:c r="N669" s="21" t="n">
        <x:f>IF(AND(L668=1,M668=1,P668&gt;0),1,0)</x:f>
        <x:v>0</x:v>
      </x:c>
      <x:c r="O669" s="21" t="n">
        <x:f>MIN('Root Data'!I205:I207)</x:f>
        <x:v>0</x:v>
      </x:c>
      <x:c r="P669" s="44" t="n">
        <x:f>IF(AND(L669=1,M669=1,N669=1,O669&gt;=G669),K669,0)</x:f>
        <x:v>0</x:v>
      </x:c>
      <x:c r="Q669" s="21" t="str">
        <x:v>OPEN</x:v>
      </x:c>
      <x:c r="R669" s="23" t="str">
        <x:v>HOLD</x:v>
      </x:c>
    </x:row>
    <x:row r="670">
      <x:c r="B670" s="21" t="str">
        <x:v>AR-00664</x:v>
      </x:c>
      <x:c r="C670" s="21" t="str">
        <x:v>F17-I3</x:v>
      </x:c>
      <x:c r="D670" s="21" t="str">
        <x:v>F17</x:v>
      </x:c>
      <x:c r="E670" s="21" t="n">
        <x:v>4</x:v>
      </x:c>
      <x:c r="F670" s="21" t="str">
        <x:v>Engineering article acceptance</x:v>
      </x:c>
      <x:c r="G670" s="21" t="n">
        <x:v>18</x:v>
      </x:c>
      <x:c r="H670" s="21" t="str">
        <x:v>Independent Evidence and Data Authority</x:v>
      </x:c>
      <x:c r="I670" s="44" t="n">
        <x:f>Lifecycle!G10</x:f>
        <x:v>0.05929244350747744</x:v>
      </x:c>
      <x:c r="J670" s="44" t="n">
        <x:v>0.10416666666666667</x:v>
      </x:c>
      <x:c r="K670" s="44" t="n">
        <x:f>I670*J670</x:f>
        <x:v>0.006176296198695567</x:v>
      </x:c>
      <x:c r="L670" s="46" t="n">
        <x:v>0</x:v>
      </x:c>
      <x:c r="M670" s="46" t="n">
        <x:v>0</x:v>
      </x:c>
      <x:c r="N670" s="21" t="n">
        <x:f>IF(AND(L669=1,M669=1,P669&gt;0),1,0)</x:f>
        <x:v>0</x:v>
      </x:c>
      <x:c r="O670" s="21" t="n">
        <x:f>MIN('Root Data'!I205:I207)</x:f>
        <x:v>0</x:v>
      </x:c>
      <x:c r="P670" s="44" t="n">
        <x:f>IF(AND(L670=1,M670=1,N670=1,O670&gt;=G670),K670,0)</x:f>
        <x:v>0</x:v>
      </x:c>
      <x:c r="Q670" s="21" t="str">
        <x:v>OPEN</x:v>
      </x:c>
      <x:c r="R670" s="23" t="str">
        <x:v>HOLD</x:v>
      </x:c>
    </x:row>
    <x:row r="671">
      <x:c r="B671" s="21" t="str">
        <x:v>AR-00665</x:v>
      </x:c>
      <x:c r="C671" s="21" t="str">
        <x:v>F17-I3</x:v>
      </x:c>
      <x:c r="D671" s="21" t="str">
        <x:v>F17</x:v>
      </x:c>
      <x:c r="E671" s="21" t="n">
        <x:v>5</x:v>
      </x:c>
      <x:c r="F671" s="21" t="str">
        <x:v>Qualification and destructive evidence</x:v>
      </x:c>
      <x:c r="G671" s="21" t="n">
        <x:v>21</x:v>
      </x:c>
      <x:c r="H671" s="21" t="str">
        <x:v>Independent Evidence and Data Authority</x:v>
      </x:c>
      <x:c r="I671" s="44" t="n">
        <x:f>Lifecycle!G11</x:f>
        <x:v>0.1515251334079979</x:v>
      </x:c>
      <x:c r="J671" s="44" t="n">
        <x:v>0.10416666666666667</x:v>
      </x:c>
      <x:c r="K671" s="44" t="n">
        <x:f>I671*J671</x:f>
        <x:v>0.015783868063333116</x:v>
      </x:c>
      <x:c r="L671" s="46" t="n">
        <x:v>0</x:v>
      </x:c>
      <x:c r="M671" s="46" t="n">
        <x:v>0</x:v>
      </x:c>
      <x:c r="N671" s="21" t="n">
        <x:f>IF(AND(L670=1,M670=1,P670&gt;0),1,0)</x:f>
        <x:v>0</x:v>
      </x:c>
      <x:c r="O671" s="21" t="n">
        <x:f>MIN('Root Data'!I205:I207)</x:f>
        <x:v>0</x:v>
      </x:c>
      <x:c r="P671" s="44" t="n">
        <x:f>IF(AND(L671=1,M671=1,N671=1,O671&gt;=G671),K671,0)</x:f>
        <x:v>0</x:v>
      </x:c>
      <x:c r="Q671" s="21" t="str">
        <x:v>OPEN</x:v>
      </x:c>
      <x:c r="R671" s="23" t="str">
        <x:v>HOLD</x:v>
      </x:c>
    </x:row>
    <x:row r="672">
      <x:c r="B672" s="21" t="str">
        <x:v>AR-00666</x:v>
      </x:c>
      <x:c r="C672" s="21" t="str">
        <x:v>F17-I3</x:v>
      </x:c>
      <x:c r="D672" s="21" t="str">
        <x:v>F17</x:v>
      </x:c>
      <x:c r="E672" s="21" t="n">
        <x:v>6</x:v>
      </x:c>
      <x:c r="F672" s="21" t="str">
        <x:v>Representative mission result</x:v>
      </x:c>
      <x:c r="G672" s="21" t="n">
        <x:v>23</x:v>
      </x:c>
      <x:c r="H672" s="21" t="str">
        <x:v>Receiving Service Authority</x:v>
      </x:c>
      <x:c r="I672" s="44" t="n">
        <x:f>Lifecycle!G12</x:f>
        <x:v>0.250345872587127</x:v>
      </x:c>
      <x:c r="J672" s="44" t="n">
        <x:v>0.10416666666666667</x:v>
      </x:c>
      <x:c r="K672" s="44" t="n">
        <x:f>I672*J672</x:f>
        <x:v>0.026077695061159062</x:v>
      </x:c>
      <x:c r="L672" s="46" t="n">
        <x:v>0</x:v>
      </x:c>
      <x:c r="M672" s="46" t="n">
        <x:v>0</x:v>
      </x:c>
      <x:c r="N672" s="21" t="n">
        <x:f>IF(AND(L671=1,M671=1,P671&gt;0),1,0)</x:f>
        <x:v>0</x:v>
      </x:c>
      <x:c r="O672" s="21" t="n">
        <x:f>MIN('Root Data'!I205:I207)</x:f>
        <x:v>0</x:v>
      </x:c>
      <x:c r="P672" s="44" t="n">
        <x:f>IF(AND(L672=1,M672=1,N672=1,O672&gt;=G672),K672,0)</x:f>
        <x:v>0</x:v>
      </x:c>
      <x:c r="Q672" s="21" t="str">
        <x:v>OPEN</x:v>
      </x:c>
      <x:c r="R672" s="23" t="str">
        <x:v>HOLD</x:v>
      </x:c>
    </x:row>
    <x:row r="673">
      <x:c r="B673" s="21" t="str">
        <x:v>AR-00667</x:v>
      </x:c>
      <x:c r="C673" s="21" t="str">
        <x:v>F17-I3</x:v>
      </x:c>
      <x:c r="D673" s="21" t="str">
        <x:v>F17</x:v>
      </x:c>
      <x:c r="E673" s="21" t="n">
        <x:v>7</x:v>
      </x:c>
      <x:c r="F673" s="21" t="str">
        <x:v>Independent reproduction</x:v>
      </x:c>
      <x:c r="G673" s="21" t="n">
        <x:v>28</x:v>
      </x:c>
      <x:c r="H673" s="21" t="str">
        <x:v>Independent Evidence and Data Authority</x:v>
      </x:c>
      <x:c r="I673" s="44" t="n">
        <x:f>Lifecycle!G13</x:f>
        <x:v>0.21740562619408393</x:v>
      </x:c>
      <x:c r="J673" s="44" t="n">
        <x:v>0.10416666666666667</x:v>
      </x:c>
      <x:c r="K673" s="44" t="n">
        <x:f>I673*J673</x:f>
        <x:v>0.02264641939521708</x:v>
      </x:c>
      <x:c r="L673" s="46" t="n">
        <x:v>0</x:v>
      </x:c>
      <x:c r="M673" s="46" t="n">
        <x:v>0</x:v>
      </x:c>
      <x:c r="N673" s="21" t="n">
        <x:f>IF(AND(L672=1,M672=1,P672&gt;0),1,0)</x:f>
        <x:v>0</x:v>
      </x:c>
      <x:c r="O673" s="21" t="n">
        <x:f>MIN('Root Data'!I205:I207)</x:f>
        <x:v>0</x:v>
      </x:c>
      <x:c r="P673" s="44" t="n">
        <x:f>IF(AND(L673=1,M673=1,N673=1,O673&gt;=G673),K673,0)</x:f>
        <x:v>0</x:v>
      </x:c>
      <x:c r="Q673" s="21" t="str">
        <x:v>OPEN</x:v>
      </x:c>
      <x:c r="R673" s="23" t="str">
        <x:v>HOLD</x:v>
      </x:c>
    </x:row>
    <x:row r="674">
      <x:c r="B674" s="21" t="str">
        <x:v>AR-00668</x:v>
      </x:c>
      <x:c r="C674" s="21" t="str">
        <x:v>F17-I3</x:v>
      </x:c>
      <x:c r="D674" s="21" t="str">
        <x:v>F17</x:v>
      </x:c>
      <x:c r="E674" s="21" t="n">
        <x:v>8</x:v>
      </x:c>
      <x:c r="F674" s="21" t="str">
        <x:v>Pilot-process qualification</x:v>
      </x:c>
      <x:c r="G674" s="21" t="n">
        <x:v>28</x:v>
      </x:c>
      <x:c r="H674" s="21" t="str">
        <x:v>AIMC Industrial Mobilization Authority</x:v>
      </x:c>
      <x:c r="I674" s="44" t="n">
        <x:f>Lifecycle!G14</x:f>
        <x:v>0.03952829567165163</x:v>
      </x:c>
      <x:c r="J674" s="44" t="n">
        <x:v>0.10416666666666667</x:v>
      </x:c>
      <x:c r="K674" s="44" t="n">
        <x:f>I674*J674</x:f>
        <x:v>0.0041175307991303785</x:v>
      </x:c>
      <x:c r="L674" s="46" t="n">
        <x:v>0</x:v>
      </x:c>
      <x:c r="M674" s="46" t="n">
        <x:v>0</x:v>
      </x:c>
      <x:c r="N674" s="21" t="n">
        <x:f>IF(AND(L673=1,M673=1,P673&gt;0),1,0)</x:f>
        <x:v>0</x:v>
      </x:c>
      <x:c r="O674" s="21" t="n">
        <x:f>MIN('Root Data'!I205:I207)</x:f>
        <x:v>0</x:v>
      </x:c>
      <x:c r="P674" s="44" t="n">
        <x:f>IF(AND(L674=1,M674=1,N674=1,O674&gt;=G674),K674,0)</x:f>
        <x:v>0</x:v>
      </x:c>
      <x:c r="Q674" s="21" t="str">
        <x:v>OPEN</x:v>
      </x:c>
      <x:c r="R674" s="23" t="str">
        <x:v>HOLD</x:v>
      </x:c>
    </x:row>
    <x:row r="675">
      <x:c r="B675" s="21" t="str">
        <x:v>AR-00669</x:v>
      </x:c>
      <x:c r="C675" s="21" t="str">
        <x:v>F17-I3</x:v>
      </x:c>
      <x:c r="D675" s="21" t="str">
        <x:v>F17</x:v>
      </x:c>
      <x:c r="E675" s="21" t="n">
        <x:v>9</x:v>
      </x:c>
      <x:c r="F675" s="21" t="str">
        <x:v>Production release package</x:v>
      </x:c>
      <x:c r="G675" s="21" t="n">
        <x:v>28</x:v>
      </x:c>
      <x:c r="H675" s="21" t="str">
        <x:v>Production Release Board</x:v>
      </x:c>
      <x:c r="I675" s="44" t="n">
        <x:f>Lifecycle!G15</x:f>
        <x:v>0.01647012319652151</x:v>
      </x:c>
      <x:c r="J675" s="44" t="n">
        <x:v>0.10416666666666667</x:v>
      </x:c>
      <x:c r="K675" s="44" t="n">
        <x:f>I675*J675</x:f>
        <x:v>0.0017156378329709907</x:v>
      </x:c>
      <x:c r="L675" s="46" t="n">
        <x:v>0</x:v>
      </x:c>
      <x:c r="M675" s="46" t="n">
        <x:v>0</x:v>
      </x:c>
      <x:c r="N675" s="21" t="n">
        <x:f>IF(AND(L674=1,M674=1,P674&gt;0),1,0)</x:f>
        <x:v>0</x:v>
      </x:c>
      <x:c r="O675" s="21" t="n">
        <x:f>MIN('Root Data'!I205:I207)</x:f>
        <x:v>0</x:v>
      </x:c>
      <x:c r="P675" s="44" t="n">
        <x:f>IF(AND(L675=1,M675=1,N675=1,O675&gt;=G675),K675,0)</x:f>
        <x:v>0</x:v>
      </x:c>
      <x:c r="Q675" s="21" t="str">
        <x:v>OPEN</x:v>
      </x:c>
      <x:c r="R675" s="23" t="str">
        <x:v>HOLD</x:v>
      </x:c>
    </x:row>
    <x:row r="676">
      <x:c r="B676" s="21" t="str">
        <x:v>AR-00670</x:v>
      </x:c>
      <x:c r="C676" s="21" t="str">
        <x:v>F17-I3</x:v>
      </x:c>
      <x:c r="D676" s="21" t="str">
        <x:v>F17</x:v>
      </x:c>
      <x:c r="E676" s="21" t="n">
        <x:v>10</x:v>
      </x:c>
      <x:c r="F676" s="21" t="str">
        <x:v>Mobilization activation</x:v>
      </x:c>
      <x:c r="G676" s="21" t="n">
        <x:v>28</x:v>
      </x:c>
      <x:c r="H676" s="21" t="str">
        <x:v>Production Release Board</x:v>
      </x:c>
      <x:c r="I676" s="44" t="n">
        <x:f>Lifecycle!G16</x:f>
        <x:v>0.028262731405230914</x:v>
      </x:c>
      <x:c r="J676" s="44" t="n">
        <x:v>0.10416666666666667</x:v>
      </x:c>
      <x:c r="K676" s="44" t="n">
        <x:f>I676*J676</x:f>
        <x:v>0.0029440345213782204</x:v>
      </x:c>
      <x:c r="L676" s="46" t="n">
        <x:v>0</x:v>
      </x:c>
      <x:c r="M676" s="46" t="n">
        <x:v>0</x:v>
      </x:c>
      <x:c r="N676" s="21" t="n">
        <x:f>IF(AND(L675=1,M675=1,P675&gt;0),1,0)</x:f>
        <x:v>0</x:v>
      </x:c>
      <x:c r="O676" s="21" t="n">
        <x:f>MIN('Root Data'!I205:I207)</x:f>
        <x:v>0</x:v>
      </x:c>
      <x:c r="P676" s="44" t="n">
        <x:f>IF(AND(L676=1,M676=1,N676=1,O676&gt;=G676),K676,0)</x:f>
        <x:v>0</x:v>
      </x:c>
      <x:c r="Q676" s="21" t="str">
        <x:v>OPEN</x:v>
      </x:c>
      <x:c r="R676" s="23" t="str">
        <x:v>HOLD</x:v>
      </x:c>
    </x:row>
    <x:row r="677">
      <x:c r="B677" s="21" t="str">
        <x:v>AR-00671</x:v>
      </x:c>
      <x:c r="C677" s="21" t="str">
        <x:v>F17-I4</x:v>
      </x:c>
      <x:c r="D677" s="21" t="str">
        <x:v>F17</x:v>
      </x:c>
      <x:c r="E677" s="21" t="n">
        <x:v>1</x:v>
      </x:c>
      <x:c r="F677" s="21" t="str">
        <x:v>Civil effect charter</x:v>
      </x:c>
      <x:c r="G677" s="21" t="n">
        <x:v>0</x:v>
      </x:c>
      <x:c r="H677" s="21" t="str">
        <x:v>Civil Guarantee Authority</x:v>
      </x:c>
      <x:c r="I677" s="44" t="n">
        <x:f>Lifecycle!G7</x:f>
        <x:v>0.04941036958956453</x:v>
      </x:c>
      <x:c r="J677" s="44" t="n">
        <x:v>0.10416666666666667</x:v>
      </x:c>
      <x:c r="K677" s="44" t="n">
        <x:f>I677*J677</x:f>
        <x:v>0.005146913498912972</x:v>
      </x:c>
      <x:c r="L677" s="46" t="n">
        <x:v>0</x:v>
      </x:c>
      <x:c r="M677" s="46" t="n">
        <x:v>0</x:v>
      </x:c>
      <x:c r="N677" s="21" t="n">
        <x:f>1</x:f>
        <x:v>1</x:v>
      </x:c>
      <x:c r="O677" s="21" t="n">
        <x:f>MIN('Root Data'!I208:I210)</x:f>
        <x:v>0</x:v>
      </x:c>
      <x:c r="P677" s="44" t="n">
        <x:f>IF(AND(L677=1,M677=1,N677=1,O677&gt;=G677),K677,0)</x:f>
        <x:v>0</x:v>
      </x:c>
      <x:c r="Q677" s="21" t="str">
        <x:v>OPEN</x:v>
      </x:c>
      <x:c r="R677" s="23" t="str">
        <x:v>HOLD</x:v>
      </x:c>
    </x:row>
    <x:row r="678">
      <x:c r="B678" s="21" t="str">
        <x:v>AR-00672</x:v>
      </x:c>
      <x:c r="C678" s="21" t="str">
        <x:v>F17-I4</x:v>
      </x:c>
      <x:c r="D678" s="21" t="str">
        <x:v>F17</x:v>
      </x:c>
      <x:c r="E678" s="21" t="n">
        <x:v>2</x:v>
      </x:c>
      <x:c r="F678" s="21" t="str">
        <x:v>Requirement and root-independence package</x:v>
      </x:c>
      <x:c r="G678" s="21" t="n">
        <x:v>8</x:v>
      </x:c>
      <x:c r="H678" s="21" t="str">
        <x:v>Resilience Staff</x:v>
      </x:c>
      <x:c r="I678" s="44" t="n">
        <x:f>Lifecycle!G8</x:f>
        <x:v>0.10211476381843337</x:v>
      </x:c>
      <x:c r="J678" s="44" t="n">
        <x:v>0.10416666666666667</x:v>
      </x:c>
      <x:c r="K678" s="44" t="n">
        <x:f>I678*J678</x:f>
        <x:v>0.010636954564420143</x:v>
      </x:c>
      <x:c r="L678" s="46" t="n">
        <x:v>0</x:v>
      </x:c>
      <x:c r="M678" s="46" t="n">
        <x:v>0</x:v>
      </x:c>
      <x:c r="N678" s="21" t="n">
        <x:f>IF(AND(L677=1,M677=1,P677&gt;0),1,0)</x:f>
        <x:v>0</x:v>
      </x:c>
      <x:c r="O678" s="21" t="n">
        <x:f>MIN('Root Data'!I208:I210)</x:f>
        <x:v>0</x:v>
      </x:c>
      <x:c r="P678" s="44" t="n">
        <x:f>IF(AND(L678=1,M678=1,N678=1,O678&gt;=G678),K678,0)</x:f>
        <x:v>0</x:v>
      </x:c>
      <x:c r="Q678" s="21" t="str">
        <x:v>OPEN</x:v>
      </x:c>
      <x:c r="R678" s="23" t="str">
        <x:v>HOLD</x:v>
      </x:c>
    </x:row>
    <x:row r="679">
      <x:c r="B679" s="21" t="str">
        <x:v>AR-00673</x:v>
      </x:c>
      <x:c r="C679" s="21" t="str">
        <x:v>F17-I4</x:v>
      </x:c>
      <x:c r="D679" s="21" t="str">
        <x:v>F17</x:v>
      </x:c>
      <x:c r="E679" s="21" t="n">
        <x:v>3</x:v>
      </x:c>
      <x:c r="F679" s="21" t="str">
        <x:v>Architecture and burden closure</x:v>
      </x:c>
      <x:c r="G679" s="21" t="n">
        <x:v>14</x:v>
      </x:c>
      <x:c r="H679" s="21" t="str">
        <x:v>Independent Evidence and Data Authority</x:v>
      </x:c>
      <x:c r="I679" s="44" t="n">
        <x:f>Lifecycle!G9</x:f>
        <x:v>0.08564464062191186</x:v>
      </x:c>
      <x:c r="J679" s="44" t="n">
        <x:v>0.10416666666666667</x:v>
      </x:c>
      <x:c r="K679" s="44" t="n">
        <x:f>I679*J679</x:f>
        <x:v>0.008921316731449153</x:v>
      </x:c>
      <x:c r="L679" s="46" t="n">
        <x:v>0</x:v>
      </x:c>
      <x:c r="M679" s="46" t="n">
        <x:v>0</x:v>
      </x:c>
      <x:c r="N679" s="21" t="n">
        <x:f>IF(AND(L678=1,M678=1,P678&gt;0),1,0)</x:f>
        <x:v>0</x:v>
      </x:c>
      <x:c r="O679" s="21" t="n">
        <x:f>MIN('Root Data'!I208:I210)</x:f>
        <x:v>0</x:v>
      </x:c>
      <x:c r="P679" s="44" t="n">
        <x:f>IF(AND(L679=1,M679=1,N679=1,O679&gt;=G679),K679,0)</x:f>
        <x:v>0</x:v>
      </x:c>
      <x:c r="Q679" s="21" t="str">
        <x:v>OPEN</x:v>
      </x:c>
      <x:c r="R679" s="23" t="str">
        <x:v>HOLD</x:v>
      </x:c>
    </x:row>
    <x:row r="680">
      <x:c r="B680" s="21" t="str">
        <x:v>AR-00674</x:v>
      </x:c>
      <x:c r="C680" s="21" t="str">
        <x:v>F17-I4</x:v>
      </x:c>
      <x:c r="D680" s="21" t="str">
        <x:v>F17</x:v>
      </x:c>
      <x:c r="E680" s="21" t="n">
        <x:v>4</x:v>
      </x:c>
      <x:c r="F680" s="21" t="str">
        <x:v>Engineering article acceptance</x:v>
      </x:c>
      <x:c r="G680" s="21" t="n">
        <x:v>18</x:v>
      </x:c>
      <x:c r="H680" s="21" t="str">
        <x:v>Independent Evidence and Data Authority</x:v>
      </x:c>
      <x:c r="I680" s="44" t="n">
        <x:f>Lifecycle!G10</x:f>
        <x:v>0.05929244350747744</x:v>
      </x:c>
      <x:c r="J680" s="44" t="n">
        <x:v>0.10416666666666667</x:v>
      </x:c>
      <x:c r="K680" s="44" t="n">
        <x:f>I680*J680</x:f>
        <x:v>0.006176296198695567</x:v>
      </x:c>
      <x:c r="L680" s="46" t="n">
        <x:v>0</x:v>
      </x:c>
      <x:c r="M680" s="46" t="n">
        <x:v>0</x:v>
      </x:c>
      <x:c r="N680" s="21" t="n">
        <x:f>IF(AND(L679=1,M679=1,P679&gt;0),1,0)</x:f>
        <x:v>0</x:v>
      </x:c>
      <x:c r="O680" s="21" t="n">
        <x:f>MIN('Root Data'!I208:I210)</x:f>
        <x:v>0</x:v>
      </x:c>
      <x:c r="P680" s="44" t="n">
        <x:f>IF(AND(L680=1,M680=1,N680=1,O680&gt;=G680),K680,0)</x:f>
        <x:v>0</x:v>
      </x:c>
      <x:c r="Q680" s="21" t="str">
        <x:v>OPEN</x:v>
      </x:c>
      <x:c r="R680" s="23" t="str">
        <x:v>HOLD</x:v>
      </x:c>
    </x:row>
    <x:row r="681">
      <x:c r="B681" s="21" t="str">
        <x:v>AR-00675</x:v>
      </x:c>
      <x:c r="C681" s="21" t="str">
        <x:v>F17-I4</x:v>
      </x:c>
      <x:c r="D681" s="21" t="str">
        <x:v>F17</x:v>
      </x:c>
      <x:c r="E681" s="21" t="n">
        <x:v>5</x:v>
      </x:c>
      <x:c r="F681" s="21" t="str">
        <x:v>Qualification and destructive evidence</x:v>
      </x:c>
      <x:c r="G681" s="21" t="n">
        <x:v>21</x:v>
      </x:c>
      <x:c r="H681" s="21" t="str">
        <x:v>Independent Evidence and Data Authority</x:v>
      </x:c>
      <x:c r="I681" s="44" t="n">
        <x:f>Lifecycle!G11</x:f>
        <x:v>0.1515251334079979</x:v>
      </x:c>
      <x:c r="J681" s="44" t="n">
        <x:v>0.10416666666666667</x:v>
      </x:c>
      <x:c r="K681" s="44" t="n">
        <x:f>I681*J681</x:f>
        <x:v>0.015783868063333116</x:v>
      </x:c>
      <x:c r="L681" s="46" t="n">
        <x:v>0</x:v>
      </x:c>
      <x:c r="M681" s="46" t="n">
        <x:v>0</x:v>
      </x:c>
      <x:c r="N681" s="21" t="n">
        <x:f>IF(AND(L680=1,M680=1,P680&gt;0),1,0)</x:f>
        <x:v>0</x:v>
      </x:c>
      <x:c r="O681" s="21" t="n">
        <x:f>MIN('Root Data'!I208:I210)</x:f>
        <x:v>0</x:v>
      </x:c>
      <x:c r="P681" s="44" t="n">
        <x:f>IF(AND(L681=1,M681=1,N681=1,O681&gt;=G681),K681,0)</x:f>
        <x:v>0</x:v>
      </x:c>
      <x:c r="Q681" s="21" t="str">
        <x:v>OPEN</x:v>
      </x:c>
      <x:c r="R681" s="23" t="str">
        <x:v>HOLD</x:v>
      </x:c>
    </x:row>
    <x:row r="682">
      <x:c r="B682" s="21" t="str">
        <x:v>AR-00676</x:v>
      </x:c>
      <x:c r="C682" s="21" t="str">
        <x:v>F17-I4</x:v>
      </x:c>
      <x:c r="D682" s="21" t="str">
        <x:v>F17</x:v>
      </x:c>
      <x:c r="E682" s="21" t="n">
        <x:v>6</x:v>
      </x:c>
      <x:c r="F682" s="21" t="str">
        <x:v>Representative mission result</x:v>
      </x:c>
      <x:c r="G682" s="21" t="n">
        <x:v>23</x:v>
      </x:c>
      <x:c r="H682" s="21" t="str">
        <x:v>Receiving Service Authority</x:v>
      </x:c>
      <x:c r="I682" s="44" t="n">
        <x:f>Lifecycle!G12</x:f>
        <x:v>0.250345872587127</x:v>
      </x:c>
      <x:c r="J682" s="44" t="n">
        <x:v>0.10416666666666667</x:v>
      </x:c>
      <x:c r="K682" s="44" t="n">
        <x:f>I682*J682</x:f>
        <x:v>0.026077695061159062</x:v>
      </x:c>
      <x:c r="L682" s="46" t="n">
        <x:v>0</x:v>
      </x:c>
      <x:c r="M682" s="46" t="n">
        <x:v>0</x:v>
      </x:c>
      <x:c r="N682" s="21" t="n">
        <x:f>IF(AND(L681=1,M681=1,P681&gt;0),1,0)</x:f>
        <x:v>0</x:v>
      </x:c>
      <x:c r="O682" s="21" t="n">
        <x:f>MIN('Root Data'!I208:I210)</x:f>
        <x:v>0</x:v>
      </x:c>
      <x:c r="P682" s="44" t="n">
        <x:f>IF(AND(L682=1,M682=1,N682=1,O682&gt;=G682),K682,0)</x:f>
        <x:v>0</x:v>
      </x:c>
      <x:c r="Q682" s="21" t="str">
        <x:v>OPEN</x:v>
      </x:c>
      <x:c r="R682" s="23" t="str">
        <x:v>HOLD</x:v>
      </x:c>
    </x:row>
    <x:row r="683">
      <x:c r="B683" s="21" t="str">
        <x:v>AR-00677</x:v>
      </x:c>
      <x:c r="C683" s="21" t="str">
        <x:v>F17-I4</x:v>
      </x:c>
      <x:c r="D683" s="21" t="str">
        <x:v>F17</x:v>
      </x:c>
      <x:c r="E683" s="21" t="n">
        <x:v>7</x:v>
      </x:c>
      <x:c r="F683" s="21" t="str">
        <x:v>Independent reproduction</x:v>
      </x:c>
      <x:c r="G683" s="21" t="n">
        <x:v>28</x:v>
      </x:c>
      <x:c r="H683" s="21" t="str">
        <x:v>Independent Evidence and Data Authority</x:v>
      </x:c>
      <x:c r="I683" s="44" t="n">
        <x:f>Lifecycle!G13</x:f>
        <x:v>0.21740562619408393</x:v>
      </x:c>
      <x:c r="J683" s="44" t="n">
        <x:v>0.10416666666666667</x:v>
      </x:c>
      <x:c r="K683" s="44" t="n">
        <x:f>I683*J683</x:f>
        <x:v>0.02264641939521708</x:v>
      </x:c>
      <x:c r="L683" s="46" t="n">
        <x:v>0</x:v>
      </x:c>
      <x:c r="M683" s="46" t="n">
        <x:v>0</x:v>
      </x:c>
      <x:c r="N683" s="21" t="n">
        <x:f>IF(AND(L682=1,M682=1,P682&gt;0),1,0)</x:f>
        <x:v>0</x:v>
      </x:c>
      <x:c r="O683" s="21" t="n">
        <x:f>MIN('Root Data'!I208:I210)</x:f>
        <x:v>0</x:v>
      </x:c>
      <x:c r="P683" s="44" t="n">
        <x:f>IF(AND(L683=1,M683=1,N683=1,O683&gt;=G683),K683,0)</x:f>
        <x:v>0</x:v>
      </x:c>
      <x:c r="Q683" s="21" t="str">
        <x:v>OPEN</x:v>
      </x:c>
      <x:c r="R683" s="23" t="str">
        <x:v>HOLD</x:v>
      </x:c>
    </x:row>
    <x:row r="684">
      <x:c r="B684" s="21" t="str">
        <x:v>AR-00678</x:v>
      </x:c>
      <x:c r="C684" s="21" t="str">
        <x:v>F17-I4</x:v>
      </x:c>
      <x:c r="D684" s="21" t="str">
        <x:v>F17</x:v>
      </x:c>
      <x:c r="E684" s="21" t="n">
        <x:v>8</x:v>
      </x:c>
      <x:c r="F684" s="21" t="str">
        <x:v>Pilot-process qualification</x:v>
      </x:c>
      <x:c r="G684" s="21" t="n">
        <x:v>28</x:v>
      </x:c>
      <x:c r="H684" s="21" t="str">
        <x:v>AIMC Industrial Mobilization Authority</x:v>
      </x:c>
      <x:c r="I684" s="44" t="n">
        <x:f>Lifecycle!G14</x:f>
        <x:v>0.03952829567165163</x:v>
      </x:c>
      <x:c r="J684" s="44" t="n">
        <x:v>0.10416666666666667</x:v>
      </x:c>
      <x:c r="K684" s="44" t="n">
        <x:f>I684*J684</x:f>
        <x:v>0.0041175307991303785</x:v>
      </x:c>
      <x:c r="L684" s="46" t="n">
        <x:v>0</x:v>
      </x:c>
      <x:c r="M684" s="46" t="n">
        <x:v>0</x:v>
      </x:c>
      <x:c r="N684" s="21" t="n">
        <x:f>IF(AND(L683=1,M683=1,P683&gt;0),1,0)</x:f>
        <x:v>0</x:v>
      </x:c>
      <x:c r="O684" s="21" t="n">
        <x:f>MIN('Root Data'!I208:I210)</x:f>
        <x:v>0</x:v>
      </x:c>
      <x:c r="P684" s="44" t="n">
        <x:f>IF(AND(L684=1,M684=1,N684=1,O684&gt;=G684),K684,0)</x:f>
        <x:v>0</x:v>
      </x:c>
      <x:c r="Q684" s="21" t="str">
        <x:v>OPEN</x:v>
      </x:c>
      <x:c r="R684" s="23" t="str">
        <x:v>HOLD</x:v>
      </x:c>
    </x:row>
    <x:row r="685">
      <x:c r="B685" s="21" t="str">
        <x:v>AR-00679</x:v>
      </x:c>
      <x:c r="C685" s="21" t="str">
        <x:v>F17-I4</x:v>
      </x:c>
      <x:c r="D685" s="21" t="str">
        <x:v>F17</x:v>
      </x:c>
      <x:c r="E685" s="21" t="n">
        <x:v>9</x:v>
      </x:c>
      <x:c r="F685" s="21" t="str">
        <x:v>Production release package</x:v>
      </x:c>
      <x:c r="G685" s="21" t="n">
        <x:v>28</x:v>
      </x:c>
      <x:c r="H685" s="21" t="str">
        <x:v>Production Release Board</x:v>
      </x:c>
      <x:c r="I685" s="44" t="n">
        <x:f>Lifecycle!G15</x:f>
        <x:v>0.01647012319652151</x:v>
      </x:c>
      <x:c r="J685" s="44" t="n">
        <x:v>0.10416666666666667</x:v>
      </x:c>
      <x:c r="K685" s="44" t="n">
        <x:f>I685*J685</x:f>
        <x:v>0.0017156378329709907</x:v>
      </x:c>
      <x:c r="L685" s="46" t="n">
        <x:v>0</x:v>
      </x:c>
      <x:c r="M685" s="46" t="n">
        <x:v>0</x:v>
      </x:c>
      <x:c r="N685" s="21" t="n">
        <x:f>IF(AND(L684=1,M684=1,P684&gt;0),1,0)</x:f>
        <x:v>0</x:v>
      </x:c>
      <x:c r="O685" s="21" t="n">
        <x:f>MIN('Root Data'!I208:I210)</x:f>
        <x:v>0</x:v>
      </x:c>
      <x:c r="P685" s="44" t="n">
        <x:f>IF(AND(L685=1,M685=1,N685=1,O685&gt;=G685),K685,0)</x:f>
        <x:v>0</x:v>
      </x:c>
      <x:c r="Q685" s="21" t="str">
        <x:v>OPEN</x:v>
      </x:c>
      <x:c r="R685" s="23" t="str">
        <x:v>HOLD</x:v>
      </x:c>
    </x:row>
    <x:row r="686">
      <x:c r="B686" s="21" t="str">
        <x:v>AR-00680</x:v>
      </x:c>
      <x:c r="C686" s="21" t="str">
        <x:v>F17-I4</x:v>
      </x:c>
      <x:c r="D686" s="21" t="str">
        <x:v>F17</x:v>
      </x:c>
      <x:c r="E686" s="21" t="n">
        <x:v>10</x:v>
      </x:c>
      <x:c r="F686" s="21" t="str">
        <x:v>Mobilization activation</x:v>
      </x:c>
      <x:c r="G686" s="21" t="n">
        <x:v>28</x:v>
      </x:c>
      <x:c r="H686" s="21" t="str">
        <x:v>Production Release Board</x:v>
      </x:c>
      <x:c r="I686" s="44" t="n">
        <x:f>Lifecycle!G16</x:f>
        <x:v>0.028262731405230914</x:v>
      </x:c>
      <x:c r="J686" s="44" t="n">
        <x:v>0.10416666666666667</x:v>
      </x:c>
      <x:c r="K686" s="44" t="n">
        <x:f>I686*J686</x:f>
        <x:v>0.0029440345213782204</x:v>
      </x:c>
      <x:c r="L686" s="46" t="n">
        <x:v>0</x:v>
      </x:c>
      <x:c r="M686" s="46" t="n">
        <x:v>0</x:v>
      </x:c>
      <x:c r="N686" s="21" t="n">
        <x:f>IF(AND(L685=1,M685=1,P685&gt;0),1,0)</x:f>
        <x:v>0</x:v>
      </x:c>
      <x:c r="O686" s="21" t="n">
        <x:f>MIN('Root Data'!I208:I210)</x:f>
        <x:v>0</x:v>
      </x:c>
      <x:c r="P686" s="44" t="n">
        <x:f>IF(AND(L686=1,M686=1,N686=1,O686&gt;=G686),K686,0)</x:f>
        <x:v>0</x:v>
      </x:c>
      <x:c r="Q686" s="21" t="str">
        <x:v>OPEN</x:v>
      </x:c>
      <x:c r="R686" s="23" t="str">
        <x:v>HOLD</x:v>
      </x:c>
    </x:row>
    <x:row r="687">
      <x:c r="B687" s="21" t="str">
        <x:v>AR-00681</x:v>
      </x:c>
      <x:c r="C687" s="21" t="str">
        <x:v>F18-I1</x:v>
      </x:c>
      <x:c r="D687" s="21" t="str">
        <x:v>F18</x:v>
      </x:c>
      <x:c r="E687" s="21" t="n">
        <x:v>1</x:v>
      </x:c>
      <x:c r="F687" s="21" t="str">
        <x:v>Civil effect charter</x:v>
      </x:c>
      <x:c r="G687" s="21" t="n">
        <x:v>0</x:v>
      </x:c>
      <x:c r="H687" s="21" t="str">
        <x:v>Civil Guarantee Authority</x:v>
      </x:c>
      <x:c r="I687" s="44" t="n">
        <x:f>Lifecycle!G7</x:f>
        <x:v>0.04941036958956453</x:v>
      </x:c>
      <x:c r="J687" s="44" t="n">
        <x:v>0.10416666666666667</x:v>
      </x:c>
      <x:c r="K687" s="44" t="n">
        <x:f>I687*J687</x:f>
        <x:v>0.005146913498912972</x:v>
      </x:c>
      <x:c r="L687" s="46" t="n">
        <x:v>0</x:v>
      </x:c>
      <x:c r="M687" s="46" t="n">
        <x:v>0</x:v>
      </x:c>
      <x:c r="N687" s="21" t="n">
        <x:f>1</x:f>
        <x:v>1</x:v>
      </x:c>
      <x:c r="O687" s="21" t="n">
        <x:f>MIN('Root Data'!I211:I213)</x:f>
        <x:v>0</x:v>
      </x:c>
      <x:c r="P687" s="44" t="n">
        <x:f>IF(AND(L687=1,M687=1,N687=1,O687&gt;=G687),K687,0)</x:f>
        <x:v>0</x:v>
      </x:c>
      <x:c r="Q687" s="21" t="str">
        <x:v>OPEN</x:v>
      </x:c>
      <x:c r="R687" s="23" t="str">
        <x:v>HOLD</x:v>
      </x:c>
    </x:row>
    <x:row r="688">
      <x:c r="B688" s="21" t="str">
        <x:v>AR-00682</x:v>
      </x:c>
      <x:c r="C688" s="21" t="str">
        <x:v>F18-I1</x:v>
      </x:c>
      <x:c r="D688" s="21" t="str">
        <x:v>F18</x:v>
      </x:c>
      <x:c r="E688" s="21" t="n">
        <x:v>2</x:v>
      </x:c>
      <x:c r="F688" s="21" t="str">
        <x:v>Requirement and root-independence package</x:v>
      </x:c>
      <x:c r="G688" s="21" t="n">
        <x:v>8</x:v>
      </x:c>
      <x:c r="H688" s="21" t="str">
        <x:v>Resilience Staff</x:v>
      </x:c>
      <x:c r="I688" s="44" t="n">
        <x:f>Lifecycle!G8</x:f>
        <x:v>0.10211476381843337</x:v>
      </x:c>
      <x:c r="J688" s="44" t="n">
        <x:v>0.10416666666666667</x:v>
      </x:c>
      <x:c r="K688" s="44" t="n">
        <x:f>I688*J688</x:f>
        <x:v>0.010636954564420143</x:v>
      </x:c>
      <x:c r="L688" s="46" t="n">
        <x:v>0</x:v>
      </x:c>
      <x:c r="M688" s="46" t="n">
        <x:v>0</x:v>
      </x:c>
      <x:c r="N688" s="21" t="n">
        <x:f>IF(AND(L687=1,M687=1,P687&gt;0),1,0)</x:f>
        <x:v>0</x:v>
      </x:c>
      <x:c r="O688" s="21" t="n">
        <x:f>MIN('Root Data'!I211:I213)</x:f>
        <x:v>0</x:v>
      </x:c>
      <x:c r="P688" s="44" t="n">
        <x:f>IF(AND(L688=1,M688=1,N688=1,O688&gt;=G688),K688,0)</x:f>
        <x:v>0</x:v>
      </x:c>
      <x:c r="Q688" s="21" t="str">
        <x:v>OPEN</x:v>
      </x:c>
      <x:c r="R688" s="23" t="str">
        <x:v>HOLD</x:v>
      </x:c>
    </x:row>
    <x:row r="689">
      <x:c r="B689" s="21" t="str">
        <x:v>AR-00683</x:v>
      </x:c>
      <x:c r="C689" s="21" t="str">
        <x:v>F18-I1</x:v>
      </x:c>
      <x:c r="D689" s="21" t="str">
        <x:v>F18</x:v>
      </x:c>
      <x:c r="E689" s="21" t="n">
        <x:v>3</x:v>
      </x:c>
      <x:c r="F689" s="21" t="str">
        <x:v>Architecture and burden closure</x:v>
      </x:c>
      <x:c r="G689" s="21" t="n">
        <x:v>14</x:v>
      </x:c>
      <x:c r="H689" s="21" t="str">
        <x:v>Independent Evidence and Data Authority</x:v>
      </x:c>
      <x:c r="I689" s="44" t="n">
        <x:f>Lifecycle!G9</x:f>
        <x:v>0.08564464062191186</x:v>
      </x:c>
      <x:c r="J689" s="44" t="n">
        <x:v>0.10416666666666667</x:v>
      </x:c>
      <x:c r="K689" s="44" t="n">
        <x:f>I689*J689</x:f>
        <x:v>0.008921316731449153</x:v>
      </x:c>
      <x:c r="L689" s="46" t="n">
        <x:v>0</x:v>
      </x:c>
      <x:c r="M689" s="46" t="n">
        <x:v>0</x:v>
      </x:c>
      <x:c r="N689" s="21" t="n">
        <x:f>IF(AND(L688=1,M688=1,P688&gt;0),1,0)</x:f>
        <x:v>0</x:v>
      </x:c>
      <x:c r="O689" s="21" t="n">
        <x:f>MIN('Root Data'!I211:I213)</x:f>
        <x:v>0</x:v>
      </x:c>
      <x:c r="P689" s="44" t="n">
        <x:f>IF(AND(L689=1,M689=1,N689=1,O689&gt;=G689),K689,0)</x:f>
        <x:v>0</x:v>
      </x:c>
      <x:c r="Q689" s="21" t="str">
        <x:v>OPEN</x:v>
      </x:c>
      <x:c r="R689" s="23" t="str">
        <x:v>HOLD</x:v>
      </x:c>
    </x:row>
    <x:row r="690">
      <x:c r="B690" s="21" t="str">
        <x:v>AR-00684</x:v>
      </x:c>
      <x:c r="C690" s="21" t="str">
        <x:v>F18-I1</x:v>
      </x:c>
      <x:c r="D690" s="21" t="str">
        <x:v>F18</x:v>
      </x:c>
      <x:c r="E690" s="21" t="n">
        <x:v>4</x:v>
      </x:c>
      <x:c r="F690" s="21" t="str">
        <x:v>Engineering article acceptance</x:v>
      </x:c>
      <x:c r="G690" s="21" t="n">
        <x:v>18</x:v>
      </x:c>
      <x:c r="H690" s="21" t="str">
        <x:v>Independent Evidence and Data Authority</x:v>
      </x:c>
      <x:c r="I690" s="44" t="n">
        <x:f>Lifecycle!G10</x:f>
        <x:v>0.05929244350747744</x:v>
      </x:c>
      <x:c r="J690" s="44" t="n">
        <x:v>0.10416666666666667</x:v>
      </x:c>
      <x:c r="K690" s="44" t="n">
        <x:f>I690*J690</x:f>
        <x:v>0.006176296198695567</x:v>
      </x:c>
      <x:c r="L690" s="46" t="n">
        <x:v>0</x:v>
      </x:c>
      <x:c r="M690" s="46" t="n">
        <x:v>0</x:v>
      </x:c>
      <x:c r="N690" s="21" t="n">
        <x:f>IF(AND(L689=1,M689=1,P689&gt;0),1,0)</x:f>
        <x:v>0</x:v>
      </x:c>
      <x:c r="O690" s="21" t="n">
        <x:f>MIN('Root Data'!I211:I213)</x:f>
        <x:v>0</x:v>
      </x:c>
      <x:c r="P690" s="44" t="n">
        <x:f>IF(AND(L690=1,M690=1,N690=1,O690&gt;=G690),K690,0)</x:f>
        <x:v>0</x:v>
      </x:c>
      <x:c r="Q690" s="21" t="str">
        <x:v>OPEN</x:v>
      </x:c>
      <x:c r="R690" s="23" t="str">
        <x:v>HOLD</x:v>
      </x:c>
    </x:row>
    <x:row r="691">
      <x:c r="B691" s="21" t="str">
        <x:v>AR-00685</x:v>
      </x:c>
      <x:c r="C691" s="21" t="str">
        <x:v>F18-I1</x:v>
      </x:c>
      <x:c r="D691" s="21" t="str">
        <x:v>F18</x:v>
      </x:c>
      <x:c r="E691" s="21" t="n">
        <x:v>5</x:v>
      </x:c>
      <x:c r="F691" s="21" t="str">
        <x:v>Qualification and destructive evidence</x:v>
      </x:c>
      <x:c r="G691" s="21" t="n">
        <x:v>21</x:v>
      </x:c>
      <x:c r="H691" s="21" t="str">
        <x:v>Independent Evidence and Data Authority</x:v>
      </x:c>
      <x:c r="I691" s="44" t="n">
        <x:f>Lifecycle!G11</x:f>
        <x:v>0.1515251334079979</x:v>
      </x:c>
      <x:c r="J691" s="44" t="n">
        <x:v>0.10416666666666667</x:v>
      </x:c>
      <x:c r="K691" s="44" t="n">
        <x:f>I691*J691</x:f>
        <x:v>0.015783868063333116</x:v>
      </x:c>
      <x:c r="L691" s="46" t="n">
        <x:v>0</x:v>
      </x:c>
      <x:c r="M691" s="46" t="n">
        <x:v>0</x:v>
      </x:c>
      <x:c r="N691" s="21" t="n">
        <x:f>IF(AND(L690=1,M690=1,P690&gt;0),1,0)</x:f>
        <x:v>0</x:v>
      </x:c>
      <x:c r="O691" s="21" t="n">
        <x:f>MIN('Root Data'!I211:I213)</x:f>
        <x:v>0</x:v>
      </x:c>
      <x:c r="P691" s="44" t="n">
        <x:f>IF(AND(L691=1,M691=1,N691=1,O691&gt;=G691),K691,0)</x:f>
        <x:v>0</x:v>
      </x:c>
      <x:c r="Q691" s="21" t="str">
        <x:v>OPEN</x:v>
      </x:c>
      <x:c r="R691" s="23" t="str">
        <x:v>HOLD</x:v>
      </x:c>
    </x:row>
    <x:row r="692">
      <x:c r="B692" s="21" t="str">
        <x:v>AR-00686</x:v>
      </x:c>
      <x:c r="C692" s="21" t="str">
        <x:v>F18-I1</x:v>
      </x:c>
      <x:c r="D692" s="21" t="str">
        <x:v>F18</x:v>
      </x:c>
      <x:c r="E692" s="21" t="n">
        <x:v>6</x:v>
      </x:c>
      <x:c r="F692" s="21" t="str">
        <x:v>Representative mission result</x:v>
      </x:c>
      <x:c r="G692" s="21" t="n">
        <x:v>23</x:v>
      </x:c>
      <x:c r="H692" s="21" t="str">
        <x:v>Receiving Service Authority</x:v>
      </x:c>
      <x:c r="I692" s="44" t="n">
        <x:f>Lifecycle!G12</x:f>
        <x:v>0.250345872587127</x:v>
      </x:c>
      <x:c r="J692" s="44" t="n">
        <x:v>0.10416666666666667</x:v>
      </x:c>
      <x:c r="K692" s="44" t="n">
        <x:f>I692*J692</x:f>
        <x:v>0.026077695061159062</x:v>
      </x:c>
      <x:c r="L692" s="46" t="n">
        <x:v>0</x:v>
      </x:c>
      <x:c r="M692" s="46" t="n">
        <x:v>0</x:v>
      </x:c>
      <x:c r="N692" s="21" t="n">
        <x:f>IF(AND(L691=1,M691=1,P691&gt;0),1,0)</x:f>
        <x:v>0</x:v>
      </x:c>
      <x:c r="O692" s="21" t="n">
        <x:f>MIN('Root Data'!I211:I213)</x:f>
        <x:v>0</x:v>
      </x:c>
      <x:c r="P692" s="44" t="n">
        <x:f>IF(AND(L692=1,M692=1,N692=1,O692&gt;=G692),K692,0)</x:f>
        <x:v>0</x:v>
      </x:c>
      <x:c r="Q692" s="21" t="str">
        <x:v>OPEN</x:v>
      </x:c>
      <x:c r="R692" s="23" t="str">
        <x:v>HOLD</x:v>
      </x:c>
    </x:row>
    <x:row r="693">
      <x:c r="B693" s="21" t="str">
        <x:v>AR-00687</x:v>
      </x:c>
      <x:c r="C693" s="21" t="str">
        <x:v>F18-I1</x:v>
      </x:c>
      <x:c r="D693" s="21" t="str">
        <x:v>F18</x:v>
      </x:c>
      <x:c r="E693" s="21" t="n">
        <x:v>7</x:v>
      </x:c>
      <x:c r="F693" s="21" t="str">
        <x:v>Independent reproduction</x:v>
      </x:c>
      <x:c r="G693" s="21" t="n">
        <x:v>28</x:v>
      </x:c>
      <x:c r="H693" s="21" t="str">
        <x:v>Independent Evidence and Data Authority</x:v>
      </x:c>
      <x:c r="I693" s="44" t="n">
        <x:f>Lifecycle!G13</x:f>
        <x:v>0.21740562619408393</x:v>
      </x:c>
      <x:c r="J693" s="44" t="n">
        <x:v>0.10416666666666667</x:v>
      </x:c>
      <x:c r="K693" s="44" t="n">
        <x:f>I693*J693</x:f>
        <x:v>0.02264641939521708</x:v>
      </x:c>
      <x:c r="L693" s="46" t="n">
        <x:v>0</x:v>
      </x:c>
      <x:c r="M693" s="46" t="n">
        <x:v>0</x:v>
      </x:c>
      <x:c r="N693" s="21" t="n">
        <x:f>IF(AND(L692=1,M692=1,P692&gt;0),1,0)</x:f>
        <x:v>0</x:v>
      </x:c>
      <x:c r="O693" s="21" t="n">
        <x:f>MIN('Root Data'!I211:I213)</x:f>
        <x:v>0</x:v>
      </x:c>
      <x:c r="P693" s="44" t="n">
        <x:f>IF(AND(L693=1,M693=1,N693=1,O693&gt;=G693),K693,0)</x:f>
        <x:v>0</x:v>
      </x:c>
      <x:c r="Q693" s="21" t="str">
        <x:v>OPEN</x:v>
      </x:c>
      <x:c r="R693" s="23" t="str">
        <x:v>HOLD</x:v>
      </x:c>
    </x:row>
    <x:row r="694">
      <x:c r="B694" s="21" t="str">
        <x:v>AR-00688</x:v>
      </x:c>
      <x:c r="C694" s="21" t="str">
        <x:v>F18-I1</x:v>
      </x:c>
      <x:c r="D694" s="21" t="str">
        <x:v>F18</x:v>
      </x:c>
      <x:c r="E694" s="21" t="n">
        <x:v>8</x:v>
      </x:c>
      <x:c r="F694" s="21" t="str">
        <x:v>Pilot-process qualification</x:v>
      </x:c>
      <x:c r="G694" s="21" t="n">
        <x:v>28</x:v>
      </x:c>
      <x:c r="H694" s="21" t="str">
        <x:v>AIMC Industrial Mobilization Authority</x:v>
      </x:c>
      <x:c r="I694" s="44" t="n">
        <x:f>Lifecycle!G14</x:f>
        <x:v>0.03952829567165163</x:v>
      </x:c>
      <x:c r="J694" s="44" t="n">
        <x:v>0.10416666666666667</x:v>
      </x:c>
      <x:c r="K694" s="44" t="n">
        <x:f>I694*J694</x:f>
        <x:v>0.0041175307991303785</x:v>
      </x:c>
      <x:c r="L694" s="46" t="n">
        <x:v>0</x:v>
      </x:c>
      <x:c r="M694" s="46" t="n">
        <x:v>0</x:v>
      </x:c>
      <x:c r="N694" s="21" t="n">
        <x:f>IF(AND(L693=1,M693=1,P693&gt;0),1,0)</x:f>
        <x:v>0</x:v>
      </x:c>
      <x:c r="O694" s="21" t="n">
        <x:f>MIN('Root Data'!I211:I213)</x:f>
        <x:v>0</x:v>
      </x:c>
      <x:c r="P694" s="44" t="n">
        <x:f>IF(AND(L694=1,M694=1,N694=1,O694&gt;=G694),K694,0)</x:f>
        <x:v>0</x:v>
      </x:c>
      <x:c r="Q694" s="21" t="str">
        <x:v>OPEN</x:v>
      </x:c>
      <x:c r="R694" s="23" t="str">
        <x:v>HOLD</x:v>
      </x:c>
    </x:row>
    <x:row r="695">
      <x:c r="B695" s="21" t="str">
        <x:v>AR-00689</x:v>
      </x:c>
      <x:c r="C695" s="21" t="str">
        <x:v>F18-I1</x:v>
      </x:c>
      <x:c r="D695" s="21" t="str">
        <x:v>F18</x:v>
      </x:c>
      <x:c r="E695" s="21" t="n">
        <x:v>9</x:v>
      </x:c>
      <x:c r="F695" s="21" t="str">
        <x:v>Production release package</x:v>
      </x:c>
      <x:c r="G695" s="21" t="n">
        <x:v>28</x:v>
      </x:c>
      <x:c r="H695" s="21" t="str">
        <x:v>Production Release Board</x:v>
      </x:c>
      <x:c r="I695" s="44" t="n">
        <x:f>Lifecycle!G15</x:f>
        <x:v>0.01647012319652151</x:v>
      </x:c>
      <x:c r="J695" s="44" t="n">
        <x:v>0.10416666666666667</x:v>
      </x:c>
      <x:c r="K695" s="44" t="n">
        <x:f>I695*J695</x:f>
        <x:v>0.0017156378329709907</x:v>
      </x:c>
      <x:c r="L695" s="46" t="n">
        <x:v>0</x:v>
      </x:c>
      <x:c r="M695" s="46" t="n">
        <x:v>0</x:v>
      </x:c>
      <x:c r="N695" s="21" t="n">
        <x:f>IF(AND(L694=1,M694=1,P694&gt;0),1,0)</x:f>
        <x:v>0</x:v>
      </x:c>
      <x:c r="O695" s="21" t="n">
        <x:f>MIN('Root Data'!I211:I213)</x:f>
        <x:v>0</x:v>
      </x:c>
      <x:c r="P695" s="44" t="n">
        <x:f>IF(AND(L695=1,M695=1,N695=1,O695&gt;=G695),K695,0)</x:f>
        <x:v>0</x:v>
      </x:c>
      <x:c r="Q695" s="21" t="str">
        <x:v>OPEN</x:v>
      </x:c>
      <x:c r="R695" s="23" t="str">
        <x:v>HOLD</x:v>
      </x:c>
    </x:row>
    <x:row r="696">
      <x:c r="B696" s="21" t="str">
        <x:v>AR-00690</x:v>
      </x:c>
      <x:c r="C696" s="21" t="str">
        <x:v>F18-I1</x:v>
      </x:c>
      <x:c r="D696" s="21" t="str">
        <x:v>F18</x:v>
      </x:c>
      <x:c r="E696" s="21" t="n">
        <x:v>10</x:v>
      </x:c>
      <x:c r="F696" s="21" t="str">
        <x:v>Mobilization activation</x:v>
      </x:c>
      <x:c r="G696" s="21" t="n">
        <x:v>28</x:v>
      </x:c>
      <x:c r="H696" s="21" t="str">
        <x:v>Production Release Board</x:v>
      </x:c>
      <x:c r="I696" s="44" t="n">
        <x:f>Lifecycle!G16</x:f>
        <x:v>0.028262731405230914</x:v>
      </x:c>
      <x:c r="J696" s="44" t="n">
        <x:v>0.10416666666666667</x:v>
      </x:c>
      <x:c r="K696" s="44" t="n">
        <x:f>I696*J696</x:f>
        <x:v>0.0029440345213782204</x:v>
      </x:c>
      <x:c r="L696" s="46" t="n">
        <x:v>0</x:v>
      </x:c>
      <x:c r="M696" s="46" t="n">
        <x:v>0</x:v>
      </x:c>
      <x:c r="N696" s="21" t="n">
        <x:f>IF(AND(L695=1,M695=1,P695&gt;0),1,0)</x:f>
        <x:v>0</x:v>
      </x:c>
      <x:c r="O696" s="21" t="n">
        <x:f>MIN('Root Data'!I211:I213)</x:f>
        <x:v>0</x:v>
      </x:c>
      <x:c r="P696" s="44" t="n">
        <x:f>IF(AND(L696=1,M696=1,N696=1,O696&gt;=G696),K696,0)</x:f>
        <x:v>0</x:v>
      </x:c>
      <x:c r="Q696" s="21" t="str">
        <x:v>OPEN</x:v>
      </x:c>
      <x:c r="R696" s="23" t="str">
        <x:v>HOLD</x:v>
      </x:c>
    </x:row>
    <x:row r="697">
      <x:c r="B697" s="21" t="str">
        <x:v>AR-00691</x:v>
      </x:c>
      <x:c r="C697" s="21" t="str">
        <x:v>F18-I2</x:v>
      </x:c>
      <x:c r="D697" s="21" t="str">
        <x:v>F18</x:v>
      </x:c>
      <x:c r="E697" s="21" t="n">
        <x:v>1</x:v>
      </x:c>
      <x:c r="F697" s="21" t="str">
        <x:v>Civil effect charter</x:v>
      </x:c>
      <x:c r="G697" s="21" t="n">
        <x:v>0</x:v>
      </x:c>
      <x:c r="H697" s="21" t="str">
        <x:v>Civil Guarantee Authority</x:v>
      </x:c>
      <x:c r="I697" s="44" t="n">
        <x:f>Lifecycle!G7</x:f>
        <x:v>0.04941036958956453</x:v>
      </x:c>
      <x:c r="J697" s="44" t="n">
        <x:v>0.10416666666666667</x:v>
      </x:c>
      <x:c r="K697" s="44" t="n">
        <x:f>I697*J697</x:f>
        <x:v>0.005146913498912972</x:v>
      </x:c>
      <x:c r="L697" s="46" t="n">
        <x:v>0</x:v>
      </x:c>
      <x:c r="M697" s="46" t="n">
        <x:v>0</x:v>
      </x:c>
      <x:c r="N697" s="21" t="n">
        <x:f>1</x:f>
        <x:v>1</x:v>
      </x:c>
      <x:c r="O697" s="21" t="n">
        <x:f>MIN('Root Data'!I214:I216)</x:f>
        <x:v>0</x:v>
      </x:c>
      <x:c r="P697" s="44" t="n">
        <x:f>IF(AND(L697=1,M697=1,N697=1,O697&gt;=G697),K697,0)</x:f>
        <x:v>0</x:v>
      </x:c>
      <x:c r="Q697" s="21" t="str">
        <x:v>OPEN</x:v>
      </x:c>
      <x:c r="R697" s="23" t="str">
        <x:v>HOLD</x:v>
      </x:c>
    </x:row>
    <x:row r="698">
      <x:c r="B698" s="21" t="str">
        <x:v>AR-00692</x:v>
      </x:c>
      <x:c r="C698" s="21" t="str">
        <x:v>F18-I2</x:v>
      </x:c>
      <x:c r="D698" s="21" t="str">
        <x:v>F18</x:v>
      </x:c>
      <x:c r="E698" s="21" t="n">
        <x:v>2</x:v>
      </x:c>
      <x:c r="F698" s="21" t="str">
        <x:v>Requirement and root-independence package</x:v>
      </x:c>
      <x:c r="G698" s="21" t="n">
        <x:v>8</x:v>
      </x:c>
      <x:c r="H698" s="21" t="str">
        <x:v>Resilience Staff</x:v>
      </x:c>
      <x:c r="I698" s="44" t="n">
        <x:f>Lifecycle!G8</x:f>
        <x:v>0.10211476381843337</x:v>
      </x:c>
      <x:c r="J698" s="44" t="n">
        <x:v>0.10416666666666667</x:v>
      </x:c>
      <x:c r="K698" s="44" t="n">
        <x:f>I698*J698</x:f>
        <x:v>0.010636954564420143</x:v>
      </x:c>
      <x:c r="L698" s="46" t="n">
        <x:v>0</x:v>
      </x:c>
      <x:c r="M698" s="46" t="n">
        <x:v>0</x:v>
      </x:c>
      <x:c r="N698" s="21" t="n">
        <x:f>IF(AND(L697=1,M697=1,P697&gt;0),1,0)</x:f>
        <x:v>0</x:v>
      </x:c>
      <x:c r="O698" s="21" t="n">
        <x:f>MIN('Root Data'!I214:I216)</x:f>
        <x:v>0</x:v>
      </x:c>
      <x:c r="P698" s="44" t="n">
        <x:f>IF(AND(L698=1,M698=1,N698=1,O698&gt;=G698),K698,0)</x:f>
        <x:v>0</x:v>
      </x:c>
      <x:c r="Q698" s="21" t="str">
        <x:v>OPEN</x:v>
      </x:c>
      <x:c r="R698" s="23" t="str">
        <x:v>HOLD</x:v>
      </x:c>
    </x:row>
    <x:row r="699">
      <x:c r="B699" s="21" t="str">
        <x:v>AR-00693</x:v>
      </x:c>
      <x:c r="C699" s="21" t="str">
        <x:v>F18-I2</x:v>
      </x:c>
      <x:c r="D699" s="21" t="str">
        <x:v>F18</x:v>
      </x:c>
      <x:c r="E699" s="21" t="n">
        <x:v>3</x:v>
      </x:c>
      <x:c r="F699" s="21" t="str">
        <x:v>Architecture and burden closure</x:v>
      </x:c>
      <x:c r="G699" s="21" t="n">
        <x:v>14</x:v>
      </x:c>
      <x:c r="H699" s="21" t="str">
        <x:v>Independent Evidence and Data Authority</x:v>
      </x:c>
      <x:c r="I699" s="44" t="n">
        <x:f>Lifecycle!G9</x:f>
        <x:v>0.08564464062191186</x:v>
      </x:c>
      <x:c r="J699" s="44" t="n">
        <x:v>0.10416666666666667</x:v>
      </x:c>
      <x:c r="K699" s="44" t="n">
        <x:f>I699*J699</x:f>
        <x:v>0.008921316731449153</x:v>
      </x:c>
      <x:c r="L699" s="46" t="n">
        <x:v>0</x:v>
      </x:c>
      <x:c r="M699" s="46" t="n">
        <x:v>0</x:v>
      </x:c>
      <x:c r="N699" s="21" t="n">
        <x:f>IF(AND(L698=1,M698=1,P698&gt;0),1,0)</x:f>
        <x:v>0</x:v>
      </x:c>
      <x:c r="O699" s="21" t="n">
        <x:f>MIN('Root Data'!I214:I216)</x:f>
        <x:v>0</x:v>
      </x:c>
      <x:c r="P699" s="44" t="n">
        <x:f>IF(AND(L699=1,M699=1,N699=1,O699&gt;=G699),K699,0)</x:f>
        <x:v>0</x:v>
      </x:c>
      <x:c r="Q699" s="21" t="str">
        <x:v>OPEN</x:v>
      </x:c>
      <x:c r="R699" s="23" t="str">
        <x:v>HOLD</x:v>
      </x:c>
    </x:row>
    <x:row r="700">
      <x:c r="B700" s="21" t="str">
        <x:v>AR-00694</x:v>
      </x:c>
      <x:c r="C700" s="21" t="str">
        <x:v>F18-I2</x:v>
      </x:c>
      <x:c r="D700" s="21" t="str">
        <x:v>F18</x:v>
      </x:c>
      <x:c r="E700" s="21" t="n">
        <x:v>4</x:v>
      </x:c>
      <x:c r="F700" s="21" t="str">
        <x:v>Engineering article acceptance</x:v>
      </x:c>
      <x:c r="G700" s="21" t="n">
        <x:v>18</x:v>
      </x:c>
      <x:c r="H700" s="21" t="str">
        <x:v>Independent Evidence and Data Authority</x:v>
      </x:c>
      <x:c r="I700" s="44" t="n">
        <x:f>Lifecycle!G10</x:f>
        <x:v>0.05929244350747744</x:v>
      </x:c>
      <x:c r="J700" s="44" t="n">
        <x:v>0.10416666666666667</x:v>
      </x:c>
      <x:c r="K700" s="44" t="n">
        <x:f>I700*J700</x:f>
        <x:v>0.006176296198695567</x:v>
      </x:c>
      <x:c r="L700" s="46" t="n">
        <x:v>0</x:v>
      </x:c>
      <x:c r="M700" s="46" t="n">
        <x:v>0</x:v>
      </x:c>
      <x:c r="N700" s="21" t="n">
        <x:f>IF(AND(L699=1,M699=1,P699&gt;0),1,0)</x:f>
        <x:v>0</x:v>
      </x:c>
      <x:c r="O700" s="21" t="n">
        <x:f>MIN('Root Data'!I214:I216)</x:f>
        <x:v>0</x:v>
      </x:c>
      <x:c r="P700" s="44" t="n">
        <x:f>IF(AND(L700=1,M700=1,N700=1,O700&gt;=G700),K700,0)</x:f>
        <x:v>0</x:v>
      </x:c>
      <x:c r="Q700" s="21" t="str">
        <x:v>OPEN</x:v>
      </x:c>
      <x:c r="R700" s="23" t="str">
        <x:v>HOLD</x:v>
      </x:c>
    </x:row>
    <x:row r="701">
      <x:c r="B701" s="21" t="str">
        <x:v>AR-00695</x:v>
      </x:c>
      <x:c r="C701" s="21" t="str">
        <x:v>F18-I2</x:v>
      </x:c>
      <x:c r="D701" s="21" t="str">
        <x:v>F18</x:v>
      </x:c>
      <x:c r="E701" s="21" t="n">
        <x:v>5</x:v>
      </x:c>
      <x:c r="F701" s="21" t="str">
        <x:v>Qualification and destructive evidence</x:v>
      </x:c>
      <x:c r="G701" s="21" t="n">
        <x:v>21</x:v>
      </x:c>
      <x:c r="H701" s="21" t="str">
        <x:v>Independent Evidence and Data Authority</x:v>
      </x:c>
      <x:c r="I701" s="44" t="n">
        <x:f>Lifecycle!G11</x:f>
        <x:v>0.1515251334079979</x:v>
      </x:c>
      <x:c r="J701" s="44" t="n">
        <x:v>0.10416666666666667</x:v>
      </x:c>
      <x:c r="K701" s="44" t="n">
        <x:f>I701*J701</x:f>
        <x:v>0.015783868063333116</x:v>
      </x:c>
      <x:c r="L701" s="46" t="n">
        <x:v>0</x:v>
      </x:c>
      <x:c r="M701" s="46" t="n">
        <x:v>0</x:v>
      </x:c>
      <x:c r="N701" s="21" t="n">
        <x:f>IF(AND(L700=1,M700=1,P700&gt;0),1,0)</x:f>
        <x:v>0</x:v>
      </x:c>
      <x:c r="O701" s="21" t="n">
        <x:f>MIN('Root Data'!I214:I216)</x:f>
        <x:v>0</x:v>
      </x:c>
      <x:c r="P701" s="44" t="n">
        <x:f>IF(AND(L701=1,M701=1,N701=1,O701&gt;=G701),K701,0)</x:f>
        <x:v>0</x:v>
      </x:c>
      <x:c r="Q701" s="21" t="str">
        <x:v>OPEN</x:v>
      </x:c>
      <x:c r="R701" s="23" t="str">
        <x:v>HOLD</x:v>
      </x:c>
    </x:row>
    <x:row r="702">
      <x:c r="B702" s="21" t="str">
        <x:v>AR-00696</x:v>
      </x:c>
      <x:c r="C702" s="21" t="str">
        <x:v>F18-I2</x:v>
      </x:c>
      <x:c r="D702" s="21" t="str">
        <x:v>F18</x:v>
      </x:c>
      <x:c r="E702" s="21" t="n">
        <x:v>6</x:v>
      </x:c>
      <x:c r="F702" s="21" t="str">
        <x:v>Representative mission result</x:v>
      </x:c>
      <x:c r="G702" s="21" t="n">
        <x:v>23</x:v>
      </x:c>
      <x:c r="H702" s="21" t="str">
        <x:v>Receiving Service Authority</x:v>
      </x:c>
      <x:c r="I702" s="44" t="n">
        <x:f>Lifecycle!G12</x:f>
        <x:v>0.250345872587127</x:v>
      </x:c>
      <x:c r="J702" s="44" t="n">
        <x:v>0.10416666666666667</x:v>
      </x:c>
      <x:c r="K702" s="44" t="n">
        <x:f>I702*J702</x:f>
        <x:v>0.026077695061159062</x:v>
      </x:c>
      <x:c r="L702" s="46" t="n">
        <x:v>0</x:v>
      </x:c>
      <x:c r="M702" s="46" t="n">
        <x:v>0</x:v>
      </x:c>
      <x:c r="N702" s="21" t="n">
        <x:f>IF(AND(L701=1,M701=1,P701&gt;0),1,0)</x:f>
        <x:v>0</x:v>
      </x:c>
      <x:c r="O702" s="21" t="n">
        <x:f>MIN('Root Data'!I214:I216)</x:f>
        <x:v>0</x:v>
      </x:c>
      <x:c r="P702" s="44" t="n">
        <x:f>IF(AND(L702=1,M702=1,N702=1,O702&gt;=G702),K702,0)</x:f>
        <x:v>0</x:v>
      </x:c>
      <x:c r="Q702" s="21" t="str">
        <x:v>OPEN</x:v>
      </x:c>
      <x:c r="R702" s="23" t="str">
        <x:v>HOLD</x:v>
      </x:c>
    </x:row>
    <x:row r="703">
      <x:c r="B703" s="21" t="str">
        <x:v>AR-00697</x:v>
      </x:c>
      <x:c r="C703" s="21" t="str">
        <x:v>F18-I2</x:v>
      </x:c>
      <x:c r="D703" s="21" t="str">
        <x:v>F18</x:v>
      </x:c>
      <x:c r="E703" s="21" t="n">
        <x:v>7</x:v>
      </x:c>
      <x:c r="F703" s="21" t="str">
        <x:v>Independent reproduction</x:v>
      </x:c>
      <x:c r="G703" s="21" t="n">
        <x:v>28</x:v>
      </x:c>
      <x:c r="H703" s="21" t="str">
        <x:v>Independent Evidence and Data Authority</x:v>
      </x:c>
      <x:c r="I703" s="44" t="n">
        <x:f>Lifecycle!G13</x:f>
        <x:v>0.21740562619408393</x:v>
      </x:c>
      <x:c r="J703" s="44" t="n">
        <x:v>0.10416666666666667</x:v>
      </x:c>
      <x:c r="K703" s="44" t="n">
        <x:f>I703*J703</x:f>
        <x:v>0.02264641939521708</x:v>
      </x:c>
      <x:c r="L703" s="46" t="n">
        <x:v>0</x:v>
      </x:c>
      <x:c r="M703" s="46" t="n">
        <x:v>0</x:v>
      </x:c>
      <x:c r="N703" s="21" t="n">
        <x:f>IF(AND(L702=1,M702=1,P702&gt;0),1,0)</x:f>
        <x:v>0</x:v>
      </x:c>
      <x:c r="O703" s="21" t="n">
        <x:f>MIN('Root Data'!I214:I216)</x:f>
        <x:v>0</x:v>
      </x:c>
      <x:c r="P703" s="44" t="n">
        <x:f>IF(AND(L703=1,M703=1,N703=1,O703&gt;=G703),K703,0)</x:f>
        <x:v>0</x:v>
      </x:c>
      <x:c r="Q703" s="21" t="str">
        <x:v>OPEN</x:v>
      </x:c>
      <x:c r="R703" s="23" t="str">
        <x:v>HOLD</x:v>
      </x:c>
    </x:row>
    <x:row r="704">
      <x:c r="B704" s="21" t="str">
        <x:v>AR-00698</x:v>
      </x:c>
      <x:c r="C704" s="21" t="str">
        <x:v>F18-I2</x:v>
      </x:c>
      <x:c r="D704" s="21" t="str">
        <x:v>F18</x:v>
      </x:c>
      <x:c r="E704" s="21" t="n">
        <x:v>8</x:v>
      </x:c>
      <x:c r="F704" s="21" t="str">
        <x:v>Pilot-process qualification</x:v>
      </x:c>
      <x:c r="G704" s="21" t="n">
        <x:v>28</x:v>
      </x:c>
      <x:c r="H704" s="21" t="str">
        <x:v>AIMC Industrial Mobilization Authority</x:v>
      </x:c>
      <x:c r="I704" s="44" t="n">
        <x:f>Lifecycle!G14</x:f>
        <x:v>0.03952829567165163</x:v>
      </x:c>
      <x:c r="J704" s="44" t="n">
        <x:v>0.10416666666666667</x:v>
      </x:c>
      <x:c r="K704" s="44" t="n">
        <x:f>I704*J704</x:f>
        <x:v>0.0041175307991303785</x:v>
      </x:c>
      <x:c r="L704" s="46" t="n">
        <x:v>0</x:v>
      </x:c>
      <x:c r="M704" s="46" t="n">
        <x:v>0</x:v>
      </x:c>
      <x:c r="N704" s="21" t="n">
        <x:f>IF(AND(L703=1,M703=1,P703&gt;0),1,0)</x:f>
        <x:v>0</x:v>
      </x:c>
      <x:c r="O704" s="21" t="n">
        <x:f>MIN('Root Data'!I214:I216)</x:f>
        <x:v>0</x:v>
      </x:c>
      <x:c r="P704" s="44" t="n">
        <x:f>IF(AND(L704=1,M704=1,N704=1,O704&gt;=G704),K704,0)</x:f>
        <x:v>0</x:v>
      </x:c>
      <x:c r="Q704" s="21" t="str">
        <x:v>OPEN</x:v>
      </x:c>
      <x:c r="R704" s="23" t="str">
        <x:v>HOLD</x:v>
      </x:c>
    </x:row>
    <x:row r="705">
      <x:c r="B705" s="21" t="str">
        <x:v>AR-00699</x:v>
      </x:c>
      <x:c r="C705" s="21" t="str">
        <x:v>F18-I2</x:v>
      </x:c>
      <x:c r="D705" s="21" t="str">
        <x:v>F18</x:v>
      </x:c>
      <x:c r="E705" s="21" t="n">
        <x:v>9</x:v>
      </x:c>
      <x:c r="F705" s="21" t="str">
        <x:v>Production release package</x:v>
      </x:c>
      <x:c r="G705" s="21" t="n">
        <x:v>28</x:v>
      </x:c>
      <x:c r="H705" s="21" t="str">
        <x:v>Production Release Board</x:v>
      </x:c>
      <x:c r="I705" s="44" t="n">
        <x:f>Lifecycle!G15</x:f>
        <x:v>0.01647012319652151</x:v>
      </x:c>
      <x:c r="J705" s="44" t="n">
        <x:v>0.10416666666666667</x:v>
      </x:c>
      <x:c r="K705" s="44" t="n">
        <x:f>I705*J705</x:f>
        <x:v>0.0017156378329709907</x:v>
      </x:c>
      <x:c r="L705" s="46" t="n">
        <x:v>0</x:v>
      </x:c>
      <x:c r="M705" s="46" t="n">
        <x:v>0</x:v>
      </x:c>
      <x:c r="N705" s="21" t="n">
        <x:f>IF(AND(L704=1,M704=1,P704&gt;0),1,0)</x:f>
        <x:v>0</x:v>
      </x:c>
      <x:c r="O705" s="21" t="n">
        <x:f>MIN('Root Data'!I214:I216)</x:f>
        <x:v>0</x:v>
      </x:c>
      <x:c r="P705" s="44" t="n">
        <x:f>IF(AND(L705=1,M705=1,N705=1,O705&gt;=G705),K705,0)</x:f>
        <x:v>0</x:v>
      </x:c>
      <x:c r="Q705" s="21" t="str">
        <x:v>OPEN</x:v>
      </x:c>
      <x:c r="R705" s="23" t="str">
        <x:v>HOLD</x:v>
      </x:c>
    </x:row>
    <x:row r="706">
      <x:c r="B706" s="21" t="str">
        <x:v>AR-00700</x:v>
      </x:c>
      <x:c r="C706" s="21" t="str">
        <x:v>F18-I2</x:v>
      </x:c>
      <x:c r="D706" s="21" t="str">
        <x:v>F18</x:v>
      </x:c>
      <x:c r="E706" s="21" t="n">
        <x:v>10</x:v>
      </x:c>
      <x:c r="F706" s="21" t="str">
        <x:v>Mobilization activation</x:v>
      </x:c>
      <x:c r="G706" s="21" t="n">
        <x:v>28</x:v>
      </x:c>
      <x:c r="H706" s="21" t="str">
        <x:v>Production Release Board</x:v>
      </x:c>
      <x:c r="I706" s="44" t="n">
        <x:f>Lifecycle!G16</x:f>
        <x:v>0.028262731405230914</x:v>
      </x:c>
      <x:c r="J706" s="44" t="n">
        <x:v>0.10416666666666667</x:v>
      </x:c>
      <x:c r="K706" s="44" t="n">
        <x:f>I706*J706</x:f>
        <x:v>0.0029440345213782204</x:v>
      </x:c>
      <x:c r="L706" s="46" t="n">
        <x:v>0</x:v>
      </x:c>
      <x:c r="M706" s="46" t="n">
        <x:v>0</x:v>
      </x:c>
      <x:c r="N706" s="21" t="n">
        <x:f>IF(AND(L705=1,M705=1,P705&gt;0),1,0)</x:f>
        <x:v>0</x:v>
      </x:c>
      <x:c r="O706" s="21" t="n">
        <x:f>MIN('Root Data'!I214:I216)</x:f>
        <x:v>0</x:v>
      </x:c>
      <x:c r="P706" s="44" t="n">
        <x:f>IF(AND(L706=1,M706=1,N706=1,O706&gt;=G706),K706,0)</x:f>
        <x:v>0</x:v>
      </x:c>
      <x:c r="Q706" s="21" t="str">
        <x:v>OPEN</x:v>
      </x:c>
      <x:c r="R706" s="23" t="str">
        <x:v>HOLD</x:v>
      </x:c>
    </x:row>
    <x:row r="707">
      <x:c r="B707" s="21" t="str">
        <x:v>AR-00701</x:v>
      </x:c>
      <x:c r="C707" s="21" t="str">
        <x:v>F18-I3</x:v>
      </x:c>
      <x:c r="D707" s="21" t="str">
        <x:v>F18</x:v>
      </x:c>
      <x:c r="E707" s="21" t="n">
        <x:v>1</x:v>
      </x:c>
      <x:c r="F707" s="21" t="str">
        <x:v>Civil effect charter</x:v>
      </x:c>
      <x:c r="G707" s="21" t="n">
        <x:v>0</x:v>
      </x:c>
      <x:c r="H707" s="21" t="str">
        <x:v>Civil Guarantee Authority</x:v>
      </x:c>
      <x:c r="I707" s="44" t="n">
        <x:f>Lifecycle!G7</x:f>
        <x:v>0.04941036958956453</x:v>
      </x:c>
      <x:c r="J707" s="44" t="n">
        <x:v>0.10416666666666667</x:v>
      </x:c>
      <x:c r="K707" s="44" t="n">
        <x:f>I707*J707</x:f>
        <x:v>0.005146913498912972</x:v>
      </x:c>
      <x:c r="L707" s="46" t="n">
        <x:v>0</x:v>
      </x:c>
      <x:c r="M707" s="46" t="n">
        <x:v>0</x:v>
      </x:c>
      <x:c r="N707" s="21" t="n">
        <x:f>1</x:f>
        <x:v>1</x:v>
      </x:c>
      <x:c r="O707" s="21" t="n">
        <x:f>MIN('Root Data'!I217:I219)</x:f>
        <x:v>0</x:v>
      </x:c>
      <x:c r="P707" s="44" t="n">
        <x:f>IF(AND(L707=1,M707=1,N707=1,O707&gt;=G707),K707,0)</x:f>
        <x:v>0</x:v>
      </x:c>
      <x:c r="Q707" s="21" t="str">
        <x:v>OPEN</x:v>
      </x:c>
      <x:c r="R707" s="23" t="str">
        <x:v>HOLD</x:v>
      </x:c>
    </x:row>
    <x:row r="708">
      <x:c r="B708" s="21" t="str">
        <x:v>AR-00702</x:v>
      </x:c>
      <x:c r="C708" s="21" t="str">
        <x:v>F18-I3</x:v>
      </x:c>
      <x:c r="D708" s="21" t="str">
        <x:v>F18</x:v>
      </x:c>
      <x:c r="E708" s="21" t="n">
        <x:v>2</x:v>
      </x:c>
      <x:c r="F708" s="21" t="str">
        <x:v>Requirement and root-independence package</x:v>
      </x:c>
      <x:c r="G708" s="21" t="n">
        <x:v>8</x:v>
      </x:c>
      <x:c r="H708" s="21" t="str">
        <x:v>Resilience Staff</x:v>
      </x:c>
      <x:c r="I708" s="44" t="n">
        <x:f>Lifecycle!G8</x:f>
        <x:v>0.10211476381843337</x:v>
      </x:c>
      <x:c r="J708" s="44" t="n">
        <x:v>0.10416666666666667</x:v>
      </x:c>
      <x:c r="K708" s="44" t="n">
        <x:f>I708*J708</x:f>
        <x:v>0.010636954564420143</x:v>
      </x:c>
      <x:c r="L708" s="46" t="n">
        <x:v>0</x:v>
      </x:c>
      <x:c r="M708" s="46" t="n">
        <x:v>0</x:v>
      </x:c>
      <x:c r="N708" s="21" t="n">
        <x:f>IF(AND(L707=1,M707=1,P707&gt;0),1,0)</x:f>
        <x:v>0</x:v>
      </x:c>
      <x:c r="O708" s="21" t="n">
        <x:f>MIN('Root Data'!I217:I219)</x:f>
        <x:v>0</x:v>
      </x:c>
      <x:c r="P708" s="44" t="n">
        <x:f>IF(AND(L708=1,M708=1,N708=1,O708&gt;=G708),K708,0)</x:f>
        <x:v>0</x:v>
      </x:c>
      <x:c r="Q708" s="21" t="str">
        <x:v>OPEN</x:v>
      </x:c>
      <x:c r="R708" s="23" t="str">
        <x:v>HOLD</x:v>
      </x:c>
    </x:row>
    <x:row r="709">
      <x:c r="B709" s="21" t="str">
        <x:v>AR-00703</x:v>
      </x:c>
      <x:c r="C709" s="21" t="str">
        <x:v>F18-I3</x:v>
      </x:c>
      <x:c r="D709" s="21" t="str">
        <x:v>F18</x:v>
      </x:c>
      <x:c r="E709" s="21" t="n">
        <x:v>3</x:v>
      </x:c>
      <x:c r="F709" s="21" t="str">
        <x:v>Architecture and burden closure</x:v>
      </x:c>
      <x:c r="G709" s="21" t="n">
        <x:v>14</x:v>
      </x:c>
      <x:c r="H709" s="21" t="str">
        <x:v>Independent Evidence and Data Authority</x:v>
      </x:c>
      <x:c r="I709" s="44" t="n">
        <x:f>Lifecycle!G9</x:f>
        <x:v>0.08564464062191186</x:v>
      </x:c>
      <x:c r="J709" s="44" t="n">
        <x:v>0.10416666666666667</x:v>
      </x:c>
      <x:c r="K709" s="44" t="n">
        <x:f>I709*J709</x:f>
        <x:v>0.008921316731449153</x:v>
      </x:c>
      <x:c r="L709" s="46" t="n">
        <x:v>0</x:v>
      </x:c>
      <x:c r="M709" s="46" t="n">
        <x:v>0</x:v>
      </x:c>
      <x:c r="N709" s="21" t="n">
        <x:f>IF(AND(L708=1,M708=1,P708&gt;0),1,0)</x:f>
        <x:v>0</x:v>
      </x:c>
      <x:c r="O709" s="21" t="n">
        <x:f>MIN('Root Data'!I217:I219)</x:f>
        <x:v>0</x:v>
      </x:c>
      <x:c r="P709" s="44" t="n">
        <x:f>IF(AND(L709=1,M709=1,N709=1,O709&gt;=G709),K709,0)</x:f>
        <x:v>0</x:v>
      </x:c>
      <x:c r="Q709" s="21" t="str">
        <x:v>OPEN</x:v>
      </x:c>
      <x:c r="R709" s="23" t="str">
        <x:v>HOLD</x:v>
      </x:c>
    </x:row>
    <x:row r="710">
      <x:c r="B710" s="21" t="str">
        <x:v>AR-00704</x:v>
      </x:c>
      <x:c r="C710" s="21" t="str">
        <x:v>F18-I3</x:v>
      </x:c>
      <x:c r="D710" s="21" t="str">
        <x:v>F18</x:v>
      </x:c>
      <x:c r="E710" s="21" t="n">
        <x:v>4</x:v>
      </x:c>
      <x:c r="F710" s="21" t="str">
        <x:v>Engineering article acceptance</x:v>
      </x:c>
      <x:c r="G710" s="21" t="n">
        <x:v>18</x:v>
      </x:c>
      <x:c r="H710" s="21" t="str">
        <x:v>Independent Evidence and Data Authority</x:v>
      </x:c>
      <x:c r="I710" s="44" t="n">
        <x:f>Lifecycle!G10</x:f>
        <x:v>0.05929244350747744</x:v>
      </x:c>
      <x:c r="J710" s="44" t="n">
        <x:v>0.10416666666666667</x:v>
      </x:c>
      <x:c r="K710" s="44" t="n">
        <x:f>I710*J710</x:f>
        <x:v>0.006176296198695567</x:v>
      </x:c>
      <x:c r="L710" s="46" t="n">
        <x:v>0</x:v>
      </x:c>
      <x:c r="M710" s="46" t="n">
        <x:v>0</x:v>
      </x:c>
      <x:c r="N710" s="21" t="n">
        <x:f>IF(AND(L709=1,M709=1,P709&gt;0),1,0)</x:f>
        <x:v>0</x:v>
      </x:c>
      <x:c r="O710" s="21" t="n">
        <x:f>MIN('Root Data'!I217:I219)</x:f>
        <x:v>0</x:v>
      </x:c>
      <x:c r="P710" s="44" t="n">
        <x:f>IF(AND(L710=1,M710=1,N710=1,O710&gt;=G710),K710,0)</x:f>
        <x:v>0</x:v>
      </x:c>
      <x:c r="Q710" s="21" t="str">
        <x:v>OPEN</x:v>
      </x:c>
      <x:c r="R710" s="23" t="str">
        <x:v>HOLD</x:v>
      </x:c>
    </x:row>
    <x:row r="711">
      <x:c r="B711" s="21" t="str">
        <x:v>AR-00705</x:v>
      </x:c>
      <x:c r="C711" s="21" t="str">
        <x:v>F18-I3</x:v>
      </x:c>
      <x:c r="D711" s="21" t="str">
        <x:v>F18</x:v>
      </x:c>
      <x:c r="E711" s="21" t="n">
        <x:v>5</x:v>
      </x:c>
      <x:c r="F711" s="21" t="str">
        <x:v>Qualification and destructive evidence</x:v>
      </x:c>
      <x:c r="G711" s="21" t="n">
        <x:v>21</x:v>
      </x:c>
      <x:c r="H711" s="21" t="str">
        <x:v>Independent Evidence and Data Authority</x:v>
      </x:c>
      <x:c r="I711" s="44" t="n">
        <x:f>Lifecycle!G11</x:f>
        <x:v>0.1515251334079979</x:v>
      </x:c>
      <x:c r="J711" s="44" t="n">
        <x:v>0.10416666666666667</x:v>
      </x:c>
      <x:c r="K711" s="44" t="n">
        <x:f>I711*J711</x:f>
        <x:v>0.015783868063333116</x:v>
      </x:c>
      <x:c r="L711" s="46" t="n">
        <x:v>0</x:v>
      </x:c>
      <x:c r="M711" s="46" t="n">
        <x:v>0</x:v>
      </x:c>
      <x:c r="N711" s="21" t="n">
        <x:f>IF(AND(L710=1,M710=1,P710&gt;0),1,0)</x:f>
        <x:v>0</x:v>
      </x:c>
      <x:c r="O711" s="21" t="n">
        <x:f>MIN('Root Data'!I217:I219)</x:f>
        <x:v>0</x:v>
      </x:c>
      <x:c r="P711" s="44" t="n">
        <x:f>IF(AND(L711=1,M711=1,N711=1,O711&gt;=G711),K711,0)</x:f>
        <x:v>0</x:v>
      </x:c>
      <x:c r="Q711" s="21" t="str">
        <x:v>OPEN</x:v>
      </x:c>
      <x:c r="R711" s="23" t="str">
        <x:v>HOLD</x:v>
      </x:c>
    </x:row>
    <x:row r="712">
      <x:c r="B712" s="21" t="str">
        <x:v>AR-00706</x:v>
      </x:c>
      <x:c r="C712" s="21" t="str">
        <x:v>F18-I3</x:v>
      </x:c>
      <x:c r="D712" s="21" t="str">
        <x:v>F18</x:v>
      </x:c>
      <x:c r="E712" s="21" t="n">
        <x:v>6</x:v>
      </x:c>
      <x:c r="F712" s="21" t="str">
        <x:v>Representative mission result</x:v>
      </x:c>
      <x:c r="G712" s="21" t="n">
        <x:v>23</x:v>
      </x:c>
      <x:c r="H712" s="21" t="str">
        <x:v>Receiving Service Authority</x:v>
      </x:c>
      <x:c r="I712" s="44" t="n">
        <x:f>Lifecycle!G12</x:f>
        <x:v>0.250345872587127</x:v>
      </x:c>
      <x:c r="J712" s="44" t="n">
        <x:v>0.10416666666666667</x:v>
      </x:c>
      <x:c r="K712" s="44" t="n">
        <x:f>I712*J712</x:f>
        <x:v>0.026077695061159062</x:v>
      </x:c>
      <x:c r="L712" s="46" t="n">
        <x:v>0</x:v>
      </x:c>
      <x:c r="M712" s="46" t="n">
        <x:v>0</x:v>
      </x:c>
      <x:c r="N712" s="21" t="n">
        <x:f>IF(AND(L711=1,M711=1,P711&gt;0),1,0)</x:f>
        <x:v>0</x:v>
      </x:c>
      <x:c r="O712" s="21" t="n">
        <x:f>MIN('Root Data'!I217:I219)</x:f>
        <x:v>0</x:v>
      </x:c>
      <x:c r="P712" s="44" t="n">
        <x:f>IF(AND(L712=1,M712=1,N712=1,O712&gt;=G712),K712,0)</x:f>
        <x:v>0</x:v>
      </x:c>
      <x:c r="Q712" s="21" t="str">
        <x:v>OPEN</x:v>
      </x:c>
      <x:c r="R712" s="23" t="str">
        <x:v>HOLD</x:v>
      </x:c>
    </x:row>
    <x:row r="713">
      <x:c r="B713" s="21" t="str">
        <x:v>AR-00707</x:v>
      </x:c>
      <x:c r="C713" s="21" t="str">
        <x:v>F18-I3</x:v>
      </x:c>
      <x:c r="D713" s="21" t="str">
        <x:v>F18</x:v>
      </x:c>
      <x:c r="E713" s="21" t="n">
        <x:v>7</x:v>
      </x:c>
      <x:c r="F713" s="21" t="str">
        <x:v>Independent reproduction</x:v>
      </x:c>
      <x:c r="G713" s="21" t="n">
        <x:v>28</x:v>
      </x:c>
      <x:c r="H713" s="21" t="str">
        <x:v>Independent Evidence and Data Authority</x:v>
      </x:c>
      <x:c r="I713" s="44" t="n">
        <x:f>Lifecycle!G13</x:f>
        <x:v>0.21740562619408393</x:v>
      </x:c>
      <x:c r="J713" s="44" t="n">
        <x:v>0.10416666666666667</x:v>
      </x:c>
      <x:c r="K713" s="44" t="n">
        <x:f>I713*J713</x:f>
        <x:v>0.02264641939521708</x:v>
      </x:c>
      <x:c r="L713" s="46" t="n">
        <x:v>0</x:v>
      </x:c>
      <x:c r="M713" s="46" t="n">
        <x:v>0</x:v>
      </x:c>
      <x:c r="N713" s="21" t="n">
        <x:f>IF(AND(L712=1,M712=1,P712&gt;0),1,0)</x:f>
        <x:v>0</x:v>
      </x:c>
      <x:c r="O713" s="21" t="n">
        <x:f>MIN('Root Data'!I217:I219)</x:f>
        <x:v>0</x:v>
      </x:c>
      <x:c r="P713" s="44" t="n">
        <x:f>IF(AND(L713=1,M713=1,N713=1,O713&gt;=G713),K713,0)</x:f>
        <x:v>0</x:v>
      </x:c>
      <x:c r="Q713" s="21" t="str">
        <x:v>OPEN</x:v>
      </x:c>
      <x:c r="R713" s="23" t="str">
        <x:v>HOLD</x:v>
      </x:c>
    </x:row>
    <x:row r="714">
      <x:c r="B714" s="21" t="str">
        <x:v>AR-00708</x:v>
      </x:c>
      <x:c r="C714" s="21" t="str">
        <x:v>F18-I3</x:v>
      </x:c>
      <x:c r="D714" s="21" t="str">
        <x:v>F18</x:v>
      </x:c>
      <x:c r="E714" s="21" t="n">
        <x:v>8</x:v>
      </x:c>
      <x:c r="F714" s="21" t="str">
        <x:v>Pilot-process qualification</x:v>
      </x:c>
      <x:c r="G714" s="21" t="n">
        <x:v>28</x:v>
      </x:c>
      <x:c r="H714" s="21" t="str">
        <x:v>AIMC Industrial Mobilization Authority</x:v>
      </x:c>
      <x:c r="I714" s="44" t="n">
        <x:f>Lifecycle!G14</x:f>
        <x:v>0.03952829567165163</x:v>
      </x:c>
      <x:c r="J714" s="44" t="n">
        <x:v>0.10416666666666667</x:v>
      </x:c>
      <x:c r="K714" s="44" t="n">
        <x:f>I714*J714</x:f>
        <x:v>0.0041175307991303785</x:v>
      </x:c>
      <x:c r="L714" s="46" t="n">
        <x:v>0</x:v>
      </x:c>
      <x:c r="M714" s="46" t="n">
        <x:v>0</x:v>
      </x:c>
      <x:c r="N714" s="21" t="n">
        <x:f>IF(AND(L713=1,M713=1,P713&gt;0),1,0)</x:f>
        <x:v>0</x:v>
      </x:c>
      <x:c r="O714" s="21" t="n">
        <x:f>MIN('Root Data'!I217:I219)</x:f>
        <x:v>0</x:v>
      </x:c>
      <x:c r="P714" s="44" t="n">
        <x:f>IF(AND(L714=1,M714=1,N714=1,O714&gt;=G714),K714,0)</x:f>
        <x:v>0</x:v>
      </x:c>
      <x:c r="Q714" s="21" t="str">
        <x:v>OPEN</x:v>
      </x:c>
      <x:c r="R714" s="23" t="str">
        <x:v>HOLD</x:v>
      </x:c>
    </x:row>
    <x:row r="715">
      <x:c r="B715" s="21" t="str">
        <x:v>AR-00709</x:v>
      </x:c>
      <x:c r="C715" s="21" t="str">
        <x:v>F18-I3</x:v>
      </x:c>
      <x:c r="D715" s="21" t="str">
        <x:v>F18</x:v>
      </x:c>
      <x:c r="E715" s="21" t="n">
        <x:v>9</x:v>
      </x:c>
      <x:c r="F715" s="21" t="str">
        <x:v>Production release package</x:v>
      </x:c>
      <x:c r="G715" s="21" t="n">
        <x:v>28</x:v>
      </x:c>
      <x:c r="H715" s="21" t="str">
        <x:v>Production Release Board</x:v>
      </x:c>
      <x:c r="I715" s="44" t="n">
        <x:f>Lifecycle!G15</x:f>
        <x:v>0.01647012319652151</x:v>
      </x:c>
      <x:c r="J715" s="44" t="n">
        <x:v>0.10416666666666667</x:v>
      </x:c>
      <x:c r="K715" s="44" t="n">
        <x:f>I715*J715</x:f>
        <x:v>0.0017156378329709907</x:v>
      </x:c>
      <x:c r="L715" s="46" t="n">
        <x:v>0</x:v>
      </x:c>
      <x:c r="M715" s="46" t="n">
        <x:v>0</x:v>
      </x:c>
      <x:c r="N715" s="21" t="n">
        <x:f>IF(AND(L714=1,M714=1,P714&gt;0),1,0)</x:f>
        <x:v>0</x:v>
      </x:c>
      <x:c r="O715" s="21" t="n">
        <x:f>MIN('Root Data'!I217:I219)</x:f>
        <x:v>0</x:v>
      </x:c>
      <x:c r="P715" s="44" t="n">
        <x:f>IF(AND(L715=1,M715=1,N715=1,O715&gt;=G715),K715,0)</x:f>
        <x:v>0</x:v>
      </x:c>
      <x:c r="Q715" s="21" t="str">
        <x:v>OPEN</x:v>
      </x:c>
      <x:c r="R715" s="23" t="str">
        <x:v>HOLD</x:v>
      </x:c>
    </x:row>
    <x:row r="716">
      <x:c r="B716" s="21" t="str">
        <x:v>AR-00710</x:v>
      </x:c>
      <x:c r="C716" s="21" t="str">
        <x:v>F18-I3</x:v>
      </x:c>
      <x:c r="D716" s="21" t="str">
        <x:v>F18</x:v>
      </x:c>
      <x:c r="E716" s="21" t="n">
        <x:v>10</x:v>
      </x:c>
      <x:c r="F716" s="21" t="str">
        <x:v>Mobilization activation</x:v>
      </x:c>
      <x:c r="G716" s="21" t="n">
        <x:v>28</x:v>
      </x:c>
      <x:c r="H716" s="21" t="str">
        <x:v>Production Release Board</x:v>
      </x:c>
      <x:c r="I716" s="44" t="n">
        <x:f>Lifecycle!G16</x:f>
        <x:v>0.028262731405230914</x:v>
      </x:c>
      <x:c r="J716" s="44" t="n">
        <x:v>0.10416666666666667</x:v>
      </x:c>
      <x:c r="K716" s="44" t="n">
        <x:f>I716*J716</x:f>
        <x:v>0.0029440345213782204</x:v>
      </x:c>
      <x:c r="L716" s="46" t="n">
        <x:v>0</x:v>
      </x:c>
      <x:c r="M716" s="46" t="n">
        <x:v>0</x:v>
      </x:c>
      <x:c r="N716" s="21" t="n">
        <x:f>IF(AND(L715=1,M715=1,P715&gt;0),1,0)</x:f>
        <x:v>0</x:v>
      </x:c>
      <x:c r="O716" s="21" t="n">
        <x:f>MIN('Root Data'!I217:I219)</x:f>
        <x:v>0</x:v>
      </x:c>
      <x:c r="P716" s="44" t="n">
        <x:f>IF(AND(L716=1,M716=1,N716=1,O716&gt;=G716),K716,0)</x:f>
        <x:v>0</x:v>
      </x:c>
      <x:c r="Q716" s="21" t="str">
        <x:v>OPEN</x:v>
      </x:c>
      <x:c r="R716" s="23" t="str">
        <x:v>HOLD</x:v>
      </x:c>
    </x:row>
    <x:row r="717">
      <x:c r="B717" s="21" t="str">
        <x:v>AR-00711</x:v>
      </x:c>
      <x:c r="C717" s="21" t="str">
        <x:v>F18-I4</x:v>
      </x:c>
      <x:c r="D717" s="21" t="str">
        <x:v>F18</x:v>
      </x:c>
      <x:c r="E717" s="21" t="n">
        <x:v>1</x:v>
      </x:c>
      <x:c r="F717" s="21" t="str">
        <x:v>Civil effect charter</x:v>
      </x:c>
      <x:c r="G717" s="21" t="n">
        <x:v>0</x:v>
      </x:c>
      <x:c r="H717" s="21" t="str">
        <x:v>Civil Guarantee Authority</x:v>
      </x:c>
      <x:c r="I717" s="44" t="n">
        <x:f>Lifecycle!G7</x:f>
        <x:v>0.04941036958956453</x:v>
      </x:c>
      <x:c r="J717" s="44" t="n">
        <x:v>0.10416666666666667</x:v>
      </x:c>
      <x:c r="K717" s="44" t="n">
        <x:f>I717*J717</x:f>
        <x:v>0.005146913498912972</x:v>
      </x:c>
      <x:c r="L717" s="46" t="n">
        <x:v>0</x:v>
      </x:c>
      <x:c r="M717" s="46" t="n">
        <x:v>0</x:v>
      </x:c>
      <x:c r="N717" s="21" t="n">
        <x:f>1</x:f>
        <x:v>1</x:v>
      </x:c>
      <x:c r="O717" s="21" t="n">
        <x:f>MIN('Root Data'!I220:I222)</x:f>
        <x:v>0</x:v>
      </x:c>
      <x:c r="P717" s="44" t="n">
        <x:f>IF(AND(L717=1,M717=1,N717=1,O717&gt;=G717),K717,0)</x:f>
        <x:v>0</x:v>
      </x:c>
      <x:c r="Q717" s="21" t="str">
        <x:v>OPEN</x:v>
      </x:c>
      <x:c r="R717" s="23" t="str">
        <x:v>HOLD</x:v>
      </x:c>
    </x:row>
    <x:row r="718">
      <x:c r="B718" s="21" t="str">
        <x:v>AR-00712</x:v>
      </x:c>
      <x:c r="C718" s="21" t="str">
        <x:v>F18-I4</x:v>
      </x:c>
      <x:c r="D718" s="21" t="str">
        <x:v>F18</x:v>
      </x:c>
      <x:c r="E718" s="21" t="n">
        <x:v>2</x:v>
      </x:c>
      <x:c r="F718" s="21" t="str">
        <x:v>Requirement and root-independence package</x:v>
      </x:c>
      <x:c r="G718" s="21" t="n">
        <x:v>8</x:v>
      </x:c>
      <x:c r="H718" s="21" t="str">
        <x:v>Resilience Staff</x:v>
      </x:c>
      <x:c r="I718" s="44" t="n">
        <x:f>Lifecycle!G8</x:f>
        <x:v>0.10211476381843337</x:v>
      </x:c>
      <x:c r="J718" s="44" t="n">
        <x:v>0.10416666666666667</x:v>
      </x:c>
      <x:c r="K718" s="44" t="n">
        <x:f>I718*J718</x:f>
        <x:v>0.010636954564420143</x:v>
      </x:c>
      <x:c r="L718" s="46" t="n">
        <x:v>0</x:v>
      </x:c>
      <x:c r="M718" s="46" t="n">
        <x:v>0</x:v>
      </x:c>
      <x:c r="N718" s="21" t="n">
        <x:f>IF(AND(L717=1,M717=1,P717&gt;0),1,0)</x:f>
        <x:v>0</x:v>
      </x:c>
      <x:c r="O718" s="21" t="n">
        <x:f>MIN('Root Data'!I220:I222)</x:f>
        <x:v>0</x:v>
      </x:c>
      <x:c r="P718" s="44" t="n">
        <x:f>IF(AND(L718=1,M718=1,N718=1,O718&gt;=G718),K718,0)</x:f>
        <x:v>0</x:v>
      </x:c>
      <x:c r="Q718" s="21" t="str">
        <x:v>OPEN</x:v>
      </x:c>
      <x:c r="R718" s="23" t="str">
        <x:v>HOLD</x:v>
      </x:c>
    </x:row>
    <x:row r="719">
      <x:c r="B719" s="21" t="str">
        <x:v>AR-00713</x:v>
      </x:c>
      <x:c r="C719" s="21" t="str">
        <x:v>F18-I4</x:v>
      </x:c>
      <x:c r="D719" s="21" t="str">
        <x:v>F18</x:v>
      </x:c>
      <x:c r="E719" s="21" t="n">
        <x:v>3</x:v>
      </x:c>
      <x:c r="F719" s="21" t="str">
        <x:v>Architecture and burden closure</x:v>
      </x:c>
      <x:c r="G719" s="21" t="n">
        <x:v>14</x:v>
      </x:c>
      <x:c r="H719" s="21" t="str">
        <x:v>Independent Evidence and Data Authority</x:v>
      </x:c>
      <x:c r="I719" s="44" t="n">
        <x:f>Lifecycle!G9</x:f>
        <x:v>0.08564464062191186</x:v>
      </x:c>
      <x:c r="J719" s="44" t="n">
        <x:v>0.10416666666666667</x:v>
      </x:c>
      <x:c r="K719" s="44" t="n">
        <x:f>I719*J719</x:f>
        <x:v>0.008921316731449153</x:v>
      </x:c>
      <x:c r="L719" s="46" t="n">
        <x:v>0</x:v>
      </x:c>
      <x:c r="M719" s="46" t="n">
        <x:v>0</x:v>
      </x:c>
      <x:c r="N719" s="21" t="n">
        <x:f>IF(AND(L718=1,M718=1,P718&gt;0),1,0)</x:f>
        <x:v>0</x:v>
      </x:c>
      <x:c r="O719" s="21" t="n">
        <x:f>MIN('Root Data'!I220:I222)</x:f>
        <x:v>0</x:v>
      </x:c>
      <x:c r="P719" s="44" t="n">
        <x:f>IF(AND(L719=1,M719=1,N719=1,O719&gt;=G719),K719,0)</x:f>
        <x:v>0</x:v>
      </x:c>
      <x:c r="Q719" s="21" t="str">
        <x:v>OPEN</x:v>
      </x:c>
      <x:c r="R719" s="23" t="str">
        <x:v>HOLD</x:v>
      </x:c>
    </x:row>
    <x:row r="720">
      <x:c r="B720" s="21" t="str">
        <x:v>AR-00714</x:v>
      </x:c>
      <x:c r="C720" s="21" t="str">
        <x:v>F18-I4</x:v>
      </x:c>
      <x:c r="D720" s="21" t="str">
        <x:v>F18</x:v>
      </x:c>
      <x:c r="E720" s="21" t="n">
        <x:v>4</x:v>
      </x:c>
      <x:c r="F720" s="21" t="str">
        <x:v>Engineering article acceptance</x:v>
      </x:c>
      <x:c r="G720" s="21" t="n">
        <x:v>18</x:v>
      </x:c>
      <x:c r="H720" s="21" t="str">
        <x:v>Independent Evidence and Data Authority</x:v>
      </x:c>
      <x:c r="I720" s="44" t="n">
        <x:f>Lifecycle!G10</x:f>
        <x:v>0.05929244350747744</x:v>
      </x:c>
      <x:c r="J720" s="44" t="n">
        <x:v>0.10416666666666667</x:v>
      </x:c>
      <x:c r="K720" s="44" t="n">
        <x:f>I720*J720</x:f>
        <x:v>0.006176296198695567</x:v>
      </x:c>
      <x:c r="L720" s="46" t="n">
        <x:v>0</x:v>
      </x:c>
      <x:c r="M720" s="46" t="n">
        <x:v>0</x:v>
      </x:c>
      <x:c r="N720" s="21" t="n">
        <x:f>IF(AND(L719=1,M719=1,P719&gt;0),1,0)</x:f>
        <x:v>0</x:v>
      </x:c>
      <x:c r="O720" s="21" t="n">
        <x:f>MIN('Root Data'!I220:I222)</x:f>
        <x:v>0</x:v>
      </x:c>
      <x:c r="P720" s="44" t="n">
        <x:f>IF(AND(L720=1,M720=1,N720=1,O720&gt;=G720),K720,0)</x:f>
        <x:v>0</x:v>
      </x:c>
      <x:c r="Q720" s="21" t="str">
        <x:v>OPEN</x:v>
      </x:c>
      <x:c r="R720" s="23" t="str">
        <x:v>HOLD</x:v>
      </x:c>
    </x:row>
    <x:row r="721">
      <x:c r="B721" s="21" t="str">
        <x:v>AR-00715</x:v>
      </x:c>
      <x:c r="C721" s="21" t="str">
        <x:v>F18-I4</x:v>
      </x:c>
      <x:c r="D721" s="21" t="str">
        <x:v>F18</x:v>
      </x:c>
      <x:c r="E721" s="21" t="n">
        <x:v>5</x:v>
      </x:c>
      <x:c r="F721" s="21" t="str">
        <x:v>Qualification and destructive evidence</x:v>
      </x:c>
      <x:c r="G721" s="21" t="n">
        <x:v>21</x:v>
      </x:c>
      <x:c r="H721" s="21" t="str">
        <x:v>Independent Evidence and Data Authority</x:v>
      </x:c>
      <x:c r="I721" s="44" t="n">
        <x:f>Lifecycle!G11</x:f>
        <x:v>0.1515251334079979</x:v>
      </x:c>
      <x:c r="J721" s="44" t="n">
        <x:v>0.10416666666666667</x:v>
      </x:c>
      <x:c r="K721" s="44" t="n">
        <x:f>I721*J721</x:f>
        <x:v>0.015783868063333116</x:v>
      </x:c>
      <x:c r="L721" s="46" t="n">
        <x:v>0</x:v>
      </x:c>
      <x:c r="M721" s="46" t="n">
        <x:v>0</x:v>
      </x:c>
      <x:c r="N721" s="21" t="n">
        <x:f>IF(AND(L720=1,M720=1,P720&gt;0),1,0)</x:f>
        <x:v>0</x:v>
      </x:c>
      <x:c r="O721" s="21" t="n">
        <x:f>MIN('Root Data'!I220:I222)</x:f>
        <x:v>0</x:v>
      </x:c>
      <x:c r="P721" s="44" t="n">
        <x:f>IF(AND(L721=1,M721=1,N721=1,O721&gt;=G721),K721,0)</x:f>
        <x:v>0</x:v>
      </x:c>
      <x:c r="Q721" s="21" t="str">
        <x:v>OPEN</x:v>
      </x:c>
      <x:c r="R721" s="23" t="str">
        <x:v>HOLD</x:v>
      </x:c>
    </x:row>
    <x:row r="722">
      <x:c r="B722" s="21" t="str">
        <x:v>AR-00716</x:v>
      </x:c>
      <x:c r="C722" s="21" t="str">
        <x:v>F18-I4</x:v>
      </x:c>
      <x:c r="D722" s="21" t="str">
        <x:v>F18</x:v>
      </x:c>
      <x:c r="E722" s="21" t="n">
        <x:v>6</x:v>
      </x:c>
      <x:c r="F722" s="21" t="str">
        <x:v>Representative mission result</x:v>
      </x:c>
      <x:c r="G722" s="21" t="n">
        <x:v>23</x:v>
      </x:c>
      <x:c r="H722" s="21" t="str">
        <x:v>Receiving Service Authority</x:v>
      </x:c>
      <x:c r="I722" s="44" t="n">
        <x:f>Lifecycle!G12</x:f>
        <x:v>0.250345872587127</x:v>
      </x:c>
      <x:c r="J722" s="44" t="n">
        <x:v>0.10416666666666667</x:v>
      </x:c>
      <x:c r="K722" s="44" t="n">
        <x:f>I722*J722</x:f>
        <x:v>0.026077695061159062</x:v>
      </x:c>
      <x:c r="L722" s="46" t="n">
        <x:v>0</x:v>
      </x:c>
      <x:c r="M722" s="46" t="n">
        <x:v>0</x:v>
      </x:c>
      <x:c r="N722" s="21" t="n">
        <x:f>IF(AND(L721=1,M721=1,P721&gt;0),1,0)</x:f>
        <x:v>0</x:v>
      </x:c>
      <x:c r="O722" s="21" t="n">
        <x:f>MIN('Root Data'!I220:I222)</x:f>
        <x:v>0</x:v>
      </x:c>
      <x:c r="P722" s="44" t="n">
        <x:f>IF(AND(L722=1,M722=1,N722=1,O722&gt;=G722),K722,0)</x:f>
        <x:v>0</x:v>
      </x:c>
      <x:c r="Q722" s="21" t="str">
        <x:v>OPEN</x:v>
      </x:c>
      <x:c r="R722" s="23" t="str">
        <x:v>HOLD</x:v>
      </x:c>
    </x:row>
    <x:row r="723">
      <x:c r="B723" s="21" t="str">
        <x:v>AR-00717</x:v>
      </x:c>
      <x:c r="C723" s="21" t="str">
        <x:v>F18-I4</x:v>
      </x:c>
      <x:c r="D723" s="21" t="str">
        <x:v>F18</x:v>
      </x:c>
      <x:c r="E723" s="21" t="n">
        <x:v>7</x:v>
      </x:c>
      <x:c r="F723" s="21" t="str">
        <x:v>Independent reproduction</x:v>
      </x:c>
      <x:c r="G723" s="21" t="n">
        <x:v>28</x:v>
      </x:c>
      <x:c r="H723" s="21" t="str">
        <x:v>Independent Evidence and Data Authority</x:v>
      </x:c>
      <x:c r="I723" s="44" t="n">
        <x:f>Lifecycle!G13</x:f>
        <x:v>0.21740562619408393</x:v>
      </x:c>
      <x:c r="J723" s="44" t="n">
        <x:v>0.10416666666666667</x:v>
      </x:c>
      <x:c r="K723" s="44" t="n">
        <x:f>I723*J723</x:f>
        <x:v>0.02264641939521708</x:v>
      </x:c>
      <x:c r="L723" s="46" t="n">
        <x:v>0</x:v>
      </x:c>
      <x:c r="M723" s="46" t="n">
        <x:v>0</x:v>
      </x:c>
      <x:c r="N723" s="21" t="n">
        <x:f>IF(AND(L722=1,M722=1,P722&gt;0),1,0)</x:f>
        <x:v>0</x:v>
      </x:c>
      <x:c r="O723" s="21" t="n">
        <x:f>MIN('Root Data'!I220:I222)</x:f>
        <x:v>0</x:v>
      </x:c>
      <x:c r="P723" s="44" t="n">
        <x:f>IF(AND(L723=1,M723=1,N723=1,O723&gt;=G723),K723,0)</x:f>
        <x:v>0</x:v>
      </x:c>
      <x:c r="Q723" s="21" t="str">
        <x:v>OPEN</x:v>
      </x:c>
      <x:c r="R723" s="23" t="str">
        <x:v>HOLD</x:v>
      </x:c>
    </x:row>
    <x:row r="724">
      <x:c r="B724" s="21" t="str">
        <x:v>AR-00718</x:v>
      </x:c>
      <x:c r="C724" s="21" t="str">
        <x:v>F18-I4</x:v>
      </x:c>
      <x:c r="D724" s="21" t="str">
        <x:v>F18</x:v>
      </x:c>
      <x:c r="E724" s="21" t="n">
        <x:v>8</x:v>
      </x:c>
      <x:c r="F724" s="21" t="str">
        <x:v>Pilot-process qualification</x:v>
      </x:c>
      <x:c r="G724" s="21" t="n">
        <x:v>28</x:v>
      </x:c>
      <x:c r="H724" s="21" t="str">
        <x:v>AIMC Industrial Mobilization Authority</x:v>
      </x:c>
      <x:c r="I724" s="44" t="n">
        <x:f>Lifecycle!G14</x:f>
        <x:v>0.03952829567165163</x:v>
      </x:c>
      <x:c r="J724" s="44" t="n">
        <x:v>0.10416666666666667</x:v>
      </x:c>
      <x:c r="K724" s="44" t="n">
        <x:f>I724*J724</x:f>
        <x:v>0.0041175307991303785</x:v>
      </x:c>
      <x:c r="L724" s="46" t="n">
        <x:v>0</x:v>
      </x:c>
      <x:c r="M724" s="46" t="n">
        <x:v>0</x:v>
      </x:c>
      <x:c r="N724" s="21" t="n">
        <x:f>IF(AND(L723=1,M723=1,P723&gt;0),1,0)</x:f>
        <x:v>0</x:v>
      </x:c>
      <x:c r="O724" s="21" t="n">
        <x:f>MIN('Root Data'!I220:I222)</x:f>
        <x:v>0</x:v>
      </x:c>
      <x:c r="P724" s="44" t="n">
        <x:f>IF(AND(L724=1,M724=1,N724=1,O724&gt;=G724),K724,0)</x:f>
        <x:v>0</x:v>
      </x:c>
      <x:c r="Q724" s="21" t="str">
        <x:v>OPEN</x:v>
      </x:c>
      <x:c r="R724" s="23" t="str">
        <x:v>HOLD</x:v>
      </x:c>
    </x:row>
    <x:row r="725">
      <x:c r="B725" s="21" t="str">
        <x:v>AR-00719</x:v>
      </x:c>
      <x:c r="C725" s="21" t="str">
        <x:v>F18-I4</x:v>
      </x:c>
      <x:c r="D725" s="21" t="str">
        <x:v>F18</x:v>
      </x:c>
      <x:c r="E725" s="21" t="n">
        <x:v>9</x:v>
      </x:c>
      <x:c r="F725" s="21" t="str">
        <x:v>Production release package</x:v>
      </x:c>
      <x:c r="G725" s="21" t="n">
        <x:v>28</x:v>
      </x:c>
      <x:c r="H725" s="21" t="str">
        <x:v>Production Release Board</x:v>
      </x:c>
      <x:c r="I725" s="44" t="n">
        <x:f>Lifecycle!G15</x:f>
        <x:v>0.01647012319652151</x:v>
      </x:c>
      <x:c r="J725" s="44" t="n">
        <x:v>0.10416666666666667</x:v>
      </x:c>
      <x:c r="K725" s="44" t="n">
        <x:f>I725*J725</x:f>
        <x:v>0.0017156378329709907</x:v>
      </x:c>
      <x:c r="L725" s="46" t="n">
        <x:v>0</x:v>
      </x:c>
      <x:c r="M725" s="46" t="n">
        <x:v>0</x:v>
      </x:c>
      <x:c r="N725" s="21" t="n">
        <x:f>IF(AND(L724=1,M724=1,P724&gt;0),1,0)</x:f>
        <x:v>0</x:v>
      </x:c>
      <x:c r="O725" s="21" t="n">
        <x:f>MIN('Root Data'!I220:I222)</x:f>
        <x:v>0</x:v>
      </x:c>
      <x:c r="P725" s="44" t="n">
        <x:f>IF(AND(L725=1,M725=1,N725=1,O725&gt;=G725),K725,0)</x:f>
        <x:v>0</x:v>
      </x:c>
      <x:c r="Q725" s="21" t="str">
        <x:v>OPEN</x:v>
      </x:c>
      <x:c r="R725" s="23" t="str">
        <x:v>HOLD</x:v>
      </x:c>
    </x:row>
    <x:row r="726">
      <x:c r="B726" s="21" t="str">
        <x:v>AR-00720</x:v>
      </x:c>
      <x:c r="C726" s="21" t="str">
        <x:v>F18-I4</x:v>
      </x:c>
      <x:c r="D726" s="21" t="str">
        <x:v>F18</x:v>
      </x:c>
      <x:c r="E726" s="21" t="n">
        <x:v>10</x:v>
      </x:c>
      <x:c r="F726" s="21" t="str">
        <x:v>Mobilization activation</x:v>
      </x:c>
      <x:c r="G726" s="21" t="n">
        <x:v>28</x:v>
      </x:c>
      <x:c r="H726" s="21" t="str">
        <x:v>Production Release Board</x:v>
      </x:c>
      <x:c r="I726" s="44" t="n">
        <x:f>Lifecycle!G16</x:f>
        <x:v>0.028262731405230914</x:v>
      </x:c>
      <x:c r="J726" s="44" t="n">
        <x:v>0.10416666666666667</x:v>
      </x:c>
      <x:c r="K726" s="44" t="n">
        <x:f>I726*J726</x:f>
        <x:v>0.0029440345213782204</x:v>
      </x:c>
      <x:c r="L726" s="46" t="n">
        <x:v>0</x:v>
      </x:c>
      <x:c r="M726" s="46" t="n">
        <x:v>0</x:v>
      </x:c>
      <x:c r="N726" s="21" t="n">
        <x:f>IF(AND(L725=1,M725=1,P725&gt;0),1,0)</x:f>
        <x:v>0</x:v>
      </x:c>
      <x:c r="O726" s="21" t="n">
        <x:f>MIN('Root Data'!I220:I222)</x:f>
        <x:v>0</x:v>
      </x:c>
      <x:c r="P726" s="44" t="n">
        <x:f>IF(AND(L726=1,M726=1,N726=1,O726&gt;=G726),K726,0)</x:f>
        <x:v>0</x:v>
      </x:c>
      <x:c r="Q726" s="21" t="str">
        <x:v>OPEN</x:v>
      </x:c>
      <x:c r="R726" s="23" t="str">
        <x:v>HOLD</x:v>
      </x:c>
    </x:row>
    <x:row r="727">
      <x:c r="B727" s="21" t="str">
        <x:v>AR-00721</x:v>
      </x:c>
      <x:c r="C727" s="21" t="str">
        <x:v>F19-I1</x:v>
      </x:c>
      <x:c r="D727" s="21" t="str">
        <x:v>F19</x:v>
      </x:c>
      <x:c r="E727" s="21" t="n">
        <x:v>1</x:v>
      </x:c>
      <x:c r="F727" s="21" t="str">
        <x:v>Civil effect charter</x:v>
      </x:c>
      <x:c r="G727" s="21" t="n">
        <x:v>0</x:v>
      </x:c>
      <x:c r="H727" s="21" t="str">
        <x:v>Civil Guarantee Authority</x:v>
      </x:c>
      <x:c r="I727" s="44" t="n">
        <x:f>Lifecycle!G7</x:f>
        <x:v>0.04941036958956453</x:v>
      </x:c>
      <x:c r="J727" s="44" t="n">
        <x:v>0.10416666666666667</x:v>
      </x:c>
      <x:c r="K727" s="44" t="n">
        <x:f>I727*J727</x:f>
        <x:v>0.005146913498912972</x:v>
      </x:c>
      <x:c r="L727" s="46" t="n">
        <x:v>0</x:v>
      </x:c>
      <x:c r="M727" s="46" t="n">
        <x:v>0</x:v>
      </x:c>
      <x:c r="N727" s="21" t="n">
        <x:f>1</x:f>
        <x:v>1</x:v>
      </x:c>
      <x:c r="O727" s="21" t="n">
        <x:f>MIN('Root Data'!I223:I225)</x:f>
        <x:v>0</x:v>
      </x:c>
      <x:c r="P727" s="44" t="n">
        <x:f>IF(AND(L727=1,M727=1,N727=1,O727&gt;=G727),K727,0)</x:f>
        <x:v>0</x:v>
      </x:c>
      <x:c r="Q727" s="21" t="str">
        <x:v>OPEN</x:v>
      </x:c>
      <x:c r="R727" s="23" t="str">
        <x:v>HOLD</x:v>
      </x:c>
    </x:row>
    <x:row r="728">
      <x:c r="B728" s="21" t="str">
        <x:v>AR-00722</x:v>
      </x:c>
      <x:c r="C728" s="21" t="str">
        <x:v>F19-I1</x:v>
      </x:c>
      <x:c r="D728" s="21" t="str">
        <x:v>F19</x:v>
      </x:c>
      <x:c r="E728" s="21" t="n">
        <x:v>2</x:v>
      </x:c>
      <x:c r="F728" s="21" t="str">
        <x:v>Requirement and root-independence package</x:v>
      </x:c>
      <x:c r="G728" s="21" t="n">
        <x:v>8</x:v>
      </x:c>
      <x:c r="H728" s="21" t="str">
        <x:v>Resilience Staff</x:v>
      </x:c>
      <x:c r="I728" s="44" t="n">
        <x:f>Lifecycle!G8</x:f>
        <x:v>0.10211476381843337</x:v>
      </x:c>
      <x:c r="J728" s="44" t="n">
        <x:v>0.10416666666666667</x:v>
      </x:c>
      <x:c r="K728" s="44" t="n">
        <x:f>I728*J728</x:f>
        <x:v>0.010636954564420143</x:v>
      </x:c>
      <x:c r="L728" s="46" t="n">
        <x:v>0</x:v>
      </x:c>
      <x:c r="M728" s="46" t="n">
        <x:v>0</x:v>
      </x:c>
      <x:c r="N728" s="21" t="n">
        <x:f>IF(AND(L727=1,M727=1,P727&gt;0),1,0)</x:f>
        <x:v>0</x:v>
      </x:c>
      <x:c r="O728" s="21" t="n">
        <x:f>MIN('Root Data'!I223:I225)</x:f>
        <x:v>0</x:v>
      </x:c>
      <x:c r="P728" s="44" t="n">
        <x:f>IF(AND(L728=1,M728=1,N728=1,O728&gt;=G728),K728,0)</x:f>
        <x:v>0</x:v>
      </x:c>
      <x:c r="Q728" s="21" t="str">
        <x:v>OPEN</x:v>
      </x:c>
      <x:c r="R728" s="23" t="str">
        <x:v>HOLD</x:v>
      </x:c>
    </x:row>
    <x:row r="729">
      <x:c r="B729" s="21" t="str">
        <x:v>AR-00723</x:v>
      </x:c>
      <x:c r="C729" s="21" t="str">
        <x:v>F19-I1</x:v>
      </x:c>
      <x:c r="D729" s="21" t="str">
        <x:v>F19</x:v>
      </x:c>
      <x:c r="E729" s="21" t="n">
        <x:v>3</x:v>
      </x:c>
      <x:c r="F729" s="21" t="str">
        <x:v>Architecture and burden closure</x:v>
      </x:c>
      <x:c r="G729" s="21" t="n">
        <x:v>14</x:v>
      </x:c>
      <x:c r="H729" s="21" t="str">
        <x:v>Independent Evidence and Data Authority</x:v>
      </x:c>
      <x:c r="I729" s="44" t="n">
        <x:f>Lifecycle!G9</x:f>
        <x:v>0.08564464062191186</x:v>
      </x:c>
      <x:c r="J729" s="44" t="n">
        <x:v>0.10416666666666667</x:v>
      </x:c>
      <x:c r="K729" s="44" t="n">
        <x:f>I729*J729</x:f>
        <x:v>0.008921316731449153</x:v>
      </x:c>
      <x:c r="L729" s="46" t="n">
        <x:v>0</x:v>
      </x:c>
      <x:c r="M729" s="46" t="n">
        <x:v>0</x:v>
      </x:c>
      <x:c r="N729" s="21" t="n">
        <x:f>IF(AND(L728=1,M728=1,P728&gt;0),1,0)</x:f>
        <x:v>0</x:v>
      </x:c>
      <x:c r="O729" s="21" t="n">
        <x:f>MIN('Root Data'!I223:I225)</x:f>
        <x:v>0</x:v>
      </x:c>
      <x:c r="P729" s="44" t="n">
        <x:f>IF(AND(L729=1,M729=1,N729=1,O729&gt;=G729),K729,0)</x:f>
        <x:v>0</x:v>
      </x:c>
      <x:c r="Q729" s="21" t="str">
        <x:v>OPEN</x:v>
      </x:c>
      <x:c r="R729" s="23" t="str">
        <x:v>HOLD</x:v>
      </x:c>
    </x:row>
    <x:row r="730">
      <x:c r="B730" s="21" t="str">
        <x:v>AR-00724</x:v>
      </x:c>
      <x:c r="C730" s="21" t="str">
        <x:v>F19-I1</x:v>
      </x:c>
      <x:c r="D730" s="21" t="str">
        <x:v>F19</x:v>
      </x:c>
      <x:c r="E730" s="21" t="n">
        <x:v>4</x:v>
      </x:c>
      <x:c r="F730" s="21" t="str">
        <x:v>Engineering article acceptance</x:v>
      </x:c>
      <x:c r="G730" s="21" t="n">
        <x:v>18</x:v>
      </x:c>
      <x:c r="H730" s="21" t="str">
        <x:v>Independent Evidence and Data Authority</x:v>
      </x:c>
      <x:c r="I730" s="44" t="n">
        <x:f>Lifecycle!G10</x:f>
        <x:v>0.05929244350747744</x:v>
      </x:c>
      <x:c r="J730" s="44" t="n">
        <x:v>0.10416666666666667</x:v>
      </x:c>
      <x:c r="K730" s="44" t="n">
        <x:f>I730*J730</x:f>
        <x:v>0.006176296198695567</x:v>
      </x:c>
      <x:c r="L730" s="46" t="n">
        <x:v>0</x:v>
      </x:c>
      <x:c r="M730" s="46" t="n">
        <x:v>0</x:v>
      </x:c>
      <x:c r="N730" s="21" t="n">
        <x:f>IF(AND(L729=1,M729=1,P729&gt;0),1,0)</x:f>
        <x:v>0</x:v>
      </x:c>
      <x:c r="O730" s="21" t="n">
        <x:f>MIN('Root Data'!I223:I225)</x:f>
        <x:v>0</x:v>
      </x:c>
      <x:c r="P730" s="44" t="n">
        <x:f>IF(AND(L730=1,M730=1,N730=1,O730&gt;=G730),K730,0)</x:f>
        <x:v>0</x:v>
      </x:c>
      <x:c r="Q730" s="21" t="str">
        <x:v>OPEN</x:v>
      </x:c>
      <x:c r="R730" s="23" t="str">
        <x:v>HOLD</x:v>
      </x:c>
    </x:row>
    <x:row r="731">
      <x:c r="B731" s="21" t="str">
        <x:v>AR-00725</x:v>
      </x:c>
      <x:c r="C731" s="21" t="str">
        <x:v>F19-I1</x:v>
      </x:c>
      <x:c r="D731" s="21" t="str">
        <x:v>F19</x:v>
      </x:c>
      <x:c r="E731" s="21" t="n">
        <x:v>5</x:v>
      </x:c>
      <x:c r="F731" s="21" t="str">
        <x:v>Qualification and destructive evidence</x:v>
      </x:c>
      <x:c r="G731" s="21" t="n">
        <x:v>21</x:v>
      </x:c>
      <x:c r="H731" s="21" t="str">
        <x:v>Independent Evidence and Data Authority</x:v>
      </x:c>
      <x:c r="I731" s="44" t="n">
        <x:f>Lifecycle!G11</x:f>
        <x:v>0.1515251334079979</x:v>
      </x:c>
      <x:c r="J731" s="44" t="n">
        <x:v>0.10416666666666667</x:v>
      </x:c>
      <x:c r="K731" s="44" t="n">
        <x:f>I731*J731</x:f>
        <x:v>0.015783868063333116</x:v>
      </x:c>
      <x:c r="L731" s="46" t="n">
        <x:v>0</x:v>
      </x:c>
      <x:c r="M731" s="46" t="n">
        <x:v>0</x:v>
      </x:c>
      <x:c r="N731" s="21" t="n">
        <x:f>IF(AND(L730=1,M730=1,P730&gt;0),1,0)</x:f>
        <x:v>0</x:v>
      </x:c>
      <x:c r="O731" s="21" t="n">
        <x:f>MIN('Root Data'!I223:I225)</x:f>
        <x:v>0</x:v>
      </x:c>
      <x:c r="P731" s="44" t="n">
        <x:f>IF(AND(L731=1,M731=1,N731=1,O731&gt;=G731),K731,0)</x:f>
        <x:v>0</x:v>
      </x:c>
      <x:c r="Q731" s="21" t="str">
        <x:v>OPEN</x:v>
      </x:c>
      <x:c r="R731" s="23" t="str">
        <x:v>HOLD</x:v>
      </x:c>
    </x:row>
    <x:row r="732">
      <x:c r="B732" s="21" t="str">
        <x:v>AR-00726</x:v>
      </x:c>
      <x:c r="C732" s="21" t="str">
        <x:v>F19-I1</x:v>
      </x:c>
      <x:c r="D732" s="21" t="str">
        <x:v>F19</x:v>
      </x:c>
      <x:c r="E732" s="21" t="n">
        <x:v>6</x:v>
      </x:c>
      <x:c r="F732" s="21" t="str">
        <x:v>Representative mission result</x:v>
      </x:c>
      <x:c r="G732" s="21" t="n">
        <x:v>23</x:v>
      </x:c>
      <x:c r="H732" s="21" t="str">
        <x:v>Receiving Service Authority</x:v>
      </x:c>
      <x:c r="I732" s="44" t="n">
        <x:f>Lifecycle!G12</x:f>
        <x:v>0.250345872587127</x:v>
      </x:c>
      <x:c r="J732" s="44" t="n">
        <x:v>0.10416666666666667</x:v>
      </x:c>
      <x:c r="K732" s="44" t="n">
        <x:f>I732*J732</x:f>
        <x:v>0.026077695061159062</x:v>
      </x:c>
      <x:c r="L732" s="46" t="n">
        <x:v>0</x:v>
      </x:c>
      <x:c r="M732" s="46" t="n">
        <x:v>0</x:v>
      </x:c>
      <x:c r="N732" s="21" t="n">
        <x:f>IF(AND(L731=1,M731=1,P731&gt;0),1,0)</x:f>
        <x:v>0</x:v>
      </x:c>
      <x:c r="O732" s="21" t="n">
        <x:f>MIN('Root Data'!I223:I225)</x:f>
        <x:v>0</x:v>
      </x:c>
      <x:c r="P732" s="44" t="n">
        <x:f>IF(AND(L732=1,M732=1,N732=1,O732&gt;=G732),K732,0)</x:f>
        <x:v>0</x:v>
      </x:c>
      <x:c r="Q732" s="21" t="str">
        <x:v>OPEN</x:v>
      </x:c>
      <x:c r="R732" s="23" t="str">
        <x:v>HOLD</x:v>
      </x:c>
    </x:row>
    <x:row r="733">
      <x:c r="B733" s="21" t="str">
        <x:v>AR-00727</x:v>
      </x:c>
      <x:c r="C733" s="21" t="str">
        <x:v>F19-I1</x:v>
      </x:c>
      <x:c r="D733" s="21" t="str">
        <x:v>F19</x:v>
      </x:c>
      <x:c r="E733" s="21" t="n">
        <x:v>7</x:v>
      </x:c>
      <x:c r="F733" s="21" t="str">
        <x:v>Independent reproduction</x:v>
      </x:c>
      <x:c r="G733" s="21" t="n">
        <x:v>28</x:v>
      </x:c>
      <x:c r="H733" s="21" t="str">
        <x:v>Independent Evidence and Data Authority</x:v>
      </x:c>
      <x:c r="I733" s="44" t="n">
        <x:f>Lifecycle!G13</x:f>
        <x:v>0.21740562619408393</x:v>
      </x:c>
      <x:c r="J733" s="44" t="n">
        <x:v>0.10416666666666667</x:v>
      </x:c>
      <x:c r="K733" s="44" t="n">
        <x:f>I733*J733</x:f>
        <x:v>0.02264641939521708</x:v>
      </x:c>
      <x:c r="L733" s="46" t="n">
        <x:v>0</x:v>
      </x:c>
      <x:c r="M733" s="46" t="n">
        <x:v>0</x:v>
      </x:c>
      <x:c r="N733" s="21" t="n">
        <x:f>IF(AND(L732=1,M732=1,P732&gt;0),1,0)</x:f>
        <x:v>0</x:v>
      </x:c>
      <x:c r="O733" s="21" t="n">
        <x:f>MIN('Root Data'!I223:I225)</x:f>
        <x:v>0</x:v>
      </x:c>
      <x:c r="P733" s="44" t="n">
        <x:f>IF(AND(L733=1,M733=1,N733=1,O733&gt;=G733),K733,0)</x:f>
        <x:v>0</x:v>
      </x:c>
      <x:c r="Q733" s="21" t="str">
        <x:v>OPEN</x:v>
      </x:c>
      <x:c r="R733" s="23" t="str">
        <x:v>HOLD</x:v>
      </x:c>
    </x:row>
    <x:row r="734">
      <x:c r="B734" s="21" t="str">
        <x:v>AR-00728</x:v>
      </x:c>
      <x:c r="C734" s="21" t="str">
        <x:v>F19-I1</x:v>
      </x:c>
      <x:c r="D734" s="21" t="str">
        <x:v>F19</x:v>
      </x:c>
      <x:c r="E734" s="21" t="n">
        <x:v>8</x:v>
      </x:c>
      <x:c r="F734" s="21" t="str">
        <x:v>Pilot-process qualification</x:v>
      </x:c>
      <x:c r="G734" s="21" t="n">
        <x:v>28</x:v>
      </x:c>
      <x:c r="H734" s="21" t="str">
        <x:v>AIMC Industrial Mobilization Authority</x:v>
      </x:c>
      <x:c r="I734" s="44" t="n">
        <x:f>Lifecycle!G14</x:f>
        <x:v>0.03952829567165163</x:v>
      </x:c>
      <x:c r="J734" s="44" t="n">
        <x:v>0.10416666666666667</x:v>
      </x:c>
      <x:c r="K734" s="44" t="n">
        <x:f>I734*J734</x:f>
        <x:v>0.0041175307991303785</x:v>
      </x:c>
      <x:c r="L734" s="46" t="n">
        <x:v>0</x:v>
      </x:c>
      <x:c r="M734" s="46" t="n">
        <x:v>0</x:v>
      </x:c>
      <x:c r="N734" s="21" t="n">
        <x:f>IF(AND(L733=1,M733=1,P733&gt;0),1,0)</x:f>
        <x:v>0</x:v>
      </x:c>
      <x:c r="O734" s="21" t="n">
        <x:f>MIN('Root Data'!I223:I225)</x:f>
        <x:v>0</x:v>
      </x:c>
      <x:c r="P734" s="44" t="n">
        <x:f>IF(AND(L734=1,M734=1,N734=1,O734&gt;=G734),K734,0)</x:f>
        <x:v>0</x:v>
      </x:c>
      <x:c r="Q734" s="21" t="str">
        <x:v>OPEN</x:v>
      </x:c>
      <x:c r="R734" s="23" t="str">
        <x:v>HOLD</x:v>
      </x:c>
    </x:row>
    <x:row r="735">
      <x:c r="B735" s="21" t="str">
        <x:v>AR-00729</x:v>
      </x:c>
      <x:c r="C735" s="21" t="str">
        <x:v>F19-I1</x:v>
      </x:c>
      <x:c r="D735" s="21" t="str">
        <x:v>F19</x:v>
      </x:c>
      <x:c r="E735" s="21" t="n">
        <x:v>9</x:v>
      </x:c>
      <x:c r="F735" s="21" t="str">
        <x:v>Production release package</x:v>
      </x:c>
      <x:c r="G735" s="21" t="n">
        <x:v>28</x:v>
      </x:c>
      <x:c r="H735" s="21" t="str">
        <x:v>Production Release Board</x:v>
      </x:c>
      <x:c r="I735" s="44" t="n">
        <x:f>Lifecycle!G15</x:f>
        <x:v>0.01647012319652151</x:v>
      </x:c>
      <x:c r="J735" s="44" t="n">
        <x:v>0.10416666666666667</x:v>
      </x:c>
      <x:c r="K735" s="44" t="n">
        <x:f>I735*J735</x:f>
        <x:v>0.0017156378329709907</x:v>
      </x:c>
      <x:c r="L735" s="46" t="n">
        <x:v>0</x:v>
      </x:c>
      <x:c r="M735" s="46" t="n">
        <x:v>0</x:v>
      </x:c>
      <x:c r="N735" s="21" t="n">
        <x:f>IF(AND(L734=1,M734=1,P734&gt;0),1,0)</x:f>
        <x:v>0</x:v>
      </x:c>
      <x:c r="O735" s="21" t="n">
        <x:f>MIN('Root Data'!I223:I225)</x:f>
        <x:v>0</x:v>
      </x:c>
      <x:c r="P735" s="44" t="n">
        <x:f>IF(AND(L735=1,M735=1,N735=1,O735&gt;=G735),K735,0)</x:f>
        <x:v>0</x:v>
      </x:c>
      <x:c r="Q735" s="21" t="str">
        <x:v>OPEN</x:v>
      </x:c>
      <x:c r="R735" s="23" t="str">
        <x:v>HOLD</x:v>
      </x:c>
    </x:row>
    <x:row r="736">
      <x:c r="B736" s="21" t="str">
        <x:v>AR-00730</x:v>
      </x:c>
      <x:c r="C736" s="21" t="str">
        <x:v>F19-I1</x:v>
      </x:c>
      <x:c r="D736" s="21" t="str">
        <x:v>F19</x:v>
      </x:c>
      <x:c r="E736" s="21" t="n">
        <x:v>10</x:v>
      </x:c>
      <x:c r="F736" s="21" t="str">
        <x:v>Mobilization activation</x:v>
      </x:c>
      <x:c r="G736" s="21" t="n">
        <x:v>28</x:v>
      </x:c>
      <x:c r="H736" s="21" t="str">
        <x:v>Production Release Board</x:v>
      </x:c>
      <x:c r="I736" s="44" t="n">
        <x:f>Lifecycle!G16</x:f>
        <x:v>0.028262731405230914</x:v>
      </x:c>
      <x:c r="J736" s="44" t="n">
        <x:v>0.10416666666666667</x:v>
      </x:c>
      <x:c r="K736" s="44" t="n">
        <x:f>I736*J736</x:f>
        <x:v>0.0029440345213782204</x:v>
      </x:c>
      <x:c r="L736" s="46" t="n">
        <x:v>0</x:v>
      </x:c>
      <x:c r="M736" s="46" t="n">
        <x:v>0</x:v>
      </x:c>
      <x:c r="N736" s="21" t="n">
        <x:f>IF(AND(L735=1,M735=1,P735&gt;0),1,0)</x:f>
        <x:v>0</x:v>
      </x:c>
      <x:c r="O736" s="21" t="n">
        <x:f>MIN('Root Data'!I223:I225)</x:f>
        <x:v>0</x:v>
      </x:c>
      <x:c r="P736" s="44" t="n">
        <x:f>IF(AND(L736=1,M736=1,N736=1,O736&gt;=G736),K736,0)</x:f>
        <x:v>0</x:v>
      </x:c>
      <x:c r="Q736" s="21" t="str">
        <x:v>OPEN</x:v>
      </x:c>
      <x:c r="R736" s="23" t="str">
        <x:v>HOLD</x:v>
      </x:c>
    </x:row>
    <x:row r="737">
      <x:c r="B737" s="21" t="str">
        <x:v>AR-00731</x:v>
      </x:c>
      <x:c r="C737" s="21" t="str">
        <x:v>F19-I2</x:v>
      </x:c>
      <x:c r="D737" s="21" t="str">
        <x:v>F19</x:v>
      </x:c>
      <x:c r="E737" s="21" t="n">
        <x:v>1</x:v>
      </x:c>
      <x:c r="F737" s="21" t="str">
        <x:v>Civil effect charter</x:v>
      </x:c>
      <x:c r="G737" s="21" t="n">
        <x:v>0</x:v>
      </x:c>
      <x:c r="H737" s="21" t="str">
        <x:v>Civil Guarantee Authority</x:v>
      </x:c>
      <x:c r="I737" s="44" t="n">
        <x:f>Lifecycle!G7</x:f>
        <x:v>0.04941036958956453</x:v>
      </x:c>
      <x:c r="J737" s="44" t="n">
        <x:v>0.10416666666666667</x:v>
      </x:c>
      <x:c r="K737" s="44" t="n">
        <x:f>I737*J737</x:f>
        <x:v>0.005146913498912972</x:v>
      </x:c>
      <x:c r="L737" s="46" t="n">
        <x:v>0</x:v>
      </x:c>
      <x:c r="M737" s="46" t="n">
        <x:v>0</x:v>
      </x:c>
      <x:c r="N737" s="21" t="n">
        <x:f>1</x:f>
        <x:v>1</x:v>
      </x:c>
      <x:c r="O737" s="21" t="n">
        <x:f>MIN('Root Data'!I226:I228)</x:f>
        <x:v>0</x:v>
      </x:c>
      <x:c r="P737" s="44" t="n">
        <x:f>IF(AND(L737=1,M737=1,N737=1,O737&gt;=G737),K737,0)</x:f>
        <x:v>0</x:v>
      </x:c>
      <x:c r="Q737" s="21" t="str">
        <x:v>OPEN</x:v>
      </x:c>
      <x:c r="R737" s="23" t="str">
        <x:v>HOLD</x:v>
      </x:c>
    </x:row>
    <x:row r="738">
      <x:c r="B738" s="21" t="str">
        <x:v>AR-00732</x:v>
      </x:c>
      <x:c r="C738" s="21" t="str">
        <x:v>F19-I2</x:v>
      </x:c>
      <x:c r="D738" s="21" t="str">
        <x:v>F19</x:v>
      </x:c>
      <x:c r="E738" s="21" t="n">
        <x:v>2</x:v>
      </x:c>
      <x:c r="F738" s="21" t="str">
        <x:v>Requirement and root-independence package</x:v>
      </x:c>
      <x:c r="G738" s="21" t="n">
        <x:v>8</x:v>
      </x:c>
      <x:c r="H738" s="21" t="str">
        <x:v>Resilience Staff</x:v>
      </x:c>
      <x:c r="I738" s="44" t="n">
        <x:f>Lifecycle!G8</x:f>
        <x:v>0.10211476381843337</x:v>
      </x:c>
      <x:c r="J738" s="44" t="n">
        <x:v>0.10416666666666667</x:v>
      </x:c>
      <x:c r="K738" s="44" t="n">
        <x:f>I738*J738</x:f>
        <x:v>0.010636954564420143</x:v>
      </x:c>
      <x:c r="L738" s="46" t="n">
        <x:v>0</x:v>
      </x:c>
      <x:c r="M738" s="46" t="n">
        <x:v>0</x:v>
      </x:c>
      <x:c r="N738" s="21" t="n">
        <x:f>IF(AND(L737=1,M737=1,P737&gt;0),1,0)</x:f>
        <x:v>0</x:v>
      </x:c>
      <x:c r="O738" s="21" t="n">
        <x:f>MIN('Root Data'!I226:I228)</x:f>
        <x:v>0</x:v>
      </x:c>
      <x:c r="P738" s="44" t="n">
        <x:f>IF(AND(L738=1,M738=1,N738=1,O738&gt;=G738),K738,0)</x:f>
        <x:v>0</x:v>
      </x:c>
      <x:c r="Q738" s="21" t="str">
        <x:v>OPEN</x:v>
      </x:c>
      <x:c r="R738" s="23" t="str">
        <x:v>HOLD</x:v>
      </x:c>
    </x:row>
    <x:row r="739">
      <x:c r="B739" s="21" t="str">
        <x:v>AR-00733</x:v>
      </x:c>
      <x:c r="C739" s="21" t="str">
        <x:v>F19-I2</x:v>
      </x:c>
      <x:c r="D739" s="21" t="str">
        <x:v>F19</x:v>
      </x:c>
      <x:c r="E739" s="21" t="n">
        <x:v>3</x:v>
      </x:c>
      <x:c r="F739" s="21" t="str">
        <x:v>Architecture and burden closure</x:v>
      </x:c>
      <x:c r="G739" s="21" t="n">
        <x:v>14</x:v>
      </x:c>
      <x:c r="H739" s="21" t="str">
        <x:v>Independent Evidence and Data Authority</x:v>
      </x:c>
      <x:c r="I739" s="44" t="n">
        <x:f>Lifecycle!G9</x:f>
        <x:v>0.08564464062191186</x:v>
      </x:c>
      <x:c r="J739" s="44" t="n">
        <x:v>0.10416666666666667</x:v>
      </x:c>
      <x:c r="K739" s="44" t="n">
        <x:f>I739*J739</x:f>
        <x:v>0.008921316731449153</x:v>
      </x:c>
      <x:c r="L739" s="46" t="n">
        <x:v>0</x:v>
      </x:c>
      <x:c r="M739" s="46" t="n">
        <x:v>0</x:v>
      </x:c>
      <x:c r="N739" s="21" t="n">
        <x:f>IF(AND(L738=1,M738=1,P738&gt;0),1,0)</x:f>
        <x:v>0</x:v>
      </x:c>
      <x:c r="O739" s="21" t="n">
        <x:f>MIN('Root Data'!I226:I228)</x:f>
        <x:v>0</x:v>
      </x:c>
      <x:c r="P739" s="44" t="n">
        <x:f>IF(AND(L739=1,M739=1,N739=1,O739&gt;=G739),K739,0)</x:f>
        <x:v>0</x:v>
      </x:c>
      <x:c r="Q739" s="21" t="str">
        <x:v>OPEN</x:v>
      </x:c>
      <x:c r="R739" s="23" t="str">
        <x:v>HOLD</x:v>
      </x:c>
    </x:row>
    <x:row r="740">
      <x:c r="B740" s="21" t="str">
        <x:v>AR-00734</x:v>
      </x:c>
      <x:c r="C740" s="21" t="str">
        <x:v>F19-I2</x:v>
      </x:c>
      <x:c r="D740" s="21" t="str">
        <x:v>F19</x:v>
      </x:c>
      <x:c r="E740" s="21" t="n">
        <x:v>4</x:v>
      </x:c>
      <x:c r="F740" s="21" t="str">
        <x:v>Engineering article acceptance</x:v>
      </x:c>
      <x:c r="G740" s="21" t="n">
        <x:v>18</x:v>
      </x:c>
      <x:c r="H740" s="21" t="str">
        <x:v>Independent Evidence and Data Authority</x:v>
      </x:c>
      <x:c r="I740" s="44" t="n">
        <x:f>Lifecycle!G10</x:f>
        <x:v>0.05929244350747744</x:v>
      </x:c>
      <x:c r="J740" s="44" t="n">
        <x:v>0.10416666666666667</x:v>
      </x:c>
      <x:c r="K740" s="44" t="n">
        <x:f>I740*J740</x:f>
        <x:v>0.006176296198695567</x:v>
      </x:c>
      <x:c r="L740" s="46" t="n">
        <x:v>0</x:v>
      </x:c>
      <x:c r="M740" s="46" t="n">
        <x:v>0</x:v>
      </x:c>
      <x:c r="N740" s="21" t="n">
        <x:f>IF(AND(L739=1,M739=1,P739&gt;0),1,0)</x:f>
        <x:v>0</x:v>
      </x:c>
      <x:c r="O740" s="21" t="n">
        <x:f>MIN('Root Data'!I226:I228)</x:f>
        <x:v>0</x:v>
      </x:c>
      <x:c r="P740" s="44" t="n">
        <x:f>IF(AND(L740=1,M740=1,N740=1,O740&gt;=G740),K740,0)</x:f>
        <x:v>0</x:v>
      </x:c>
      <x:c r="Q740" s="21" t="str">
        <x:v>OPEN</x:v>
      </x:c>
      <x:c r="R740" s="23" t="str">
        <x:v>HOLD</x:v>
      </x:c>
    </x:row>
    <x:row r="741">
      <x:c r="B741" s="21" t="str">
        <x:v>AR-00735</x:v>
      </x:c>
      <x:c r="C741" s="21" t="str">
        <x:v>F19-I2</x:v>
      </x:c>
      <x:c r="D741" s="21" t="str">
        <x:v>F19</x:v>
      </x:c>
      <x:c r="E741" s="21" t="n">
        <x:v>5</x:v>
      </x:c>
      <x:c r="F741" s="21" t="str">
        <x:v>Qualification and destructive evidence</x:v>
      </x:c>
      <x:c r="G741" s="21" t="n">
        <x:v>21</x:v>
      </x:c>
      <x:c r="H741" s="21" t="str">
        <x:v>Independent Evidence and Data Authority</x:v>
      </x:c>
      <x:c r="I741" s="44" t="n">
        <x:f>Lifecycle!G11</x:f>
        <x:v>0.1515251334079979</x:v>
      </x:c>
      <x:c r="J741" s="44" t="n">
        <x:v>0.10416666666666667</x:v>
      </x:c>
      <x:c r="K741" s="44" t="n">
        <x:f>I741*J741</x:f>
        <x:v>0.015783868063333116</x:v>
      </x:c>
      <x:c r="L741" s="46" t="n">
        <x:v>0</x:v>
      </x:c>
      <x:c r="M741" s="46" t="n">
        <x:v>0</x:v>
      </x:c>
      <x:c r="N741" s="21" t="n">
        <x:f>IF(AND(L740=1,M740=1,P740&gt;0),1,0)</x:f>
        <x:v>0</x:v>
      </x:c>
      <x:c r="O741" s="21" t="n">
        <x:f>MIN('Root Data'!I226:I228)</x:f>
        <x:v>0</x:v>
      </x:c>
      <x:c r="P741" s="44" t="n">
        <x:f>IF(AND(L741=1,M741=1,N741=1,O741&gt;=G741),K741,0)</x:f>
        <x:v>0</x:v>
      </x:c>
      <x:c r="Q741" s="21" t="str">
        <x:v>OPEN</x:v>
      </x:c>
      <x:c r="R741" s="23" t="str">
        <x:v>HOLD</x:v>
      </x:c>
    </x:row>
    <x:row r="742">
      <x:c r="B742" s="21" t="str">
        <x:v>AR-00736</x:v>
      </x:c>
      <x:c r="C742" s="21" t="str">
        <x:v>F19-I2</x:v>
      </x:c>
      <x:c r="D742" s="21" t="str">
        <x:v>F19</x:v>
      </x:c>
      <x:c r="E742" s="21" t="n">
        <x:v>6</x:v>
      </x:c>
      <x:c r="F742" s="21" t="str">
        <x:v>Representative mission result</x:v>
      </x:c>
      <x:c r="G742" s="21" t="n">
        <x:v>23</x:v>
      </x:c>
      <x:c r="H742" s="21" t="str">
        <x:v>Receiving Service Authority</x:v>
      </x:c>
      <x:c r="I742" s="44" t="n">
        <x:f>Lifecycle!G12</x:f>
        <x:v>0.250345872587127</x:v>
      </x:c>
      <x:c r="J742" s="44" t="n">
        <x:v>0.10416666666666667</x:v>
      </x:c>
      <x:c r="K742" s="44" t="n">
        <x:f>I742*J742</x:f>
        <x:v>0.026077695061159062</x:v>
      </x:c>
      <x:c r="L742" s="46" t="n">
        <x:v>0</x:v>
      </x:c>
      <x:c r="M742" s="46" t="n">
        <x:v>0</x:v>
      </x:c>
      <x:c r="N742" s="21" t="n">
        <x:f>IF(AND(L741=1,M741=1,P741&gt;0),1,0)</x:f>
        <x:v>0</x:v>
      </x:c>
      <x:c r="O742" s="21" t="n">
        <x:f>MIN('Root Data'!I226:I228)</x:f>
        <x:v>0</x:v>
      </x:c>
      <x:c r="P742" s="44" t="n">
        <x:f>IF(AND(L742=1,M742=1,N742=1,O742&gt;=G742),K742,0)</x:f>
        <x:v>0</x:v>
      </x:c>
      <x:c r="Q742" s="21" t="str">
        <x:v>OPEN</x:v>
      </x:c>
      <x:c r="R742" s="23" t="str">
        <x:v>HOLD</x:v>
      </x:c>
    </x:row>
    <x:row r="743">
      <x:c r="B743" s="21" t="str">
        <x:v>AR-00737</x:v>
      </x:c>
      <x:c r="C743" s="21" t="str">
        <x:v>F19-I2</x:v>
      </x:c>
      <x:c r="D743" s="21" t="str">
        <x:v>F19</x:v>
      </x:c>
      <x:c r="E743" s="21" t="n">
        <x:v>7</x:v>
      </x:c>
      <x:c r="F743" s="21" t="str">
        <x:v>Independent reproduction</x:v>
      </x:c>
      <x:c r="G743" s="21" t="n">
        <x:v>28</x:v>
      </x:c>
      <x:c r="H743" s="21" t="str">
        <x:v>Independent Evidence and Data Authority</x:v>
      </x:c>
      <x:c r="I743" s="44" t="n">
        <x:f>Lifecycle!G13</x:f>
        <x:v>0.21740562619408393</x:v>
      </x:c>
      <x:c r="J743" s="44" t="n">
        <x:v>0.10416666666666667</x:v>
      </x:c>
      <x:c r="K743" s="44" t="n">
        <x:f>I743*J743</x:f>
        <x:v>0.02264641939521708</x:v>
      </x:c>
      <x:c r="L743" s="46" t="n">
        <x:v>0</x:v>
      </x:c>
      <x:c r="M743" s="46" t="n">
        <x:v>0</x:v>
      </x:c>
      <x:c r="N743" s="21" t="n">
        <x:f>IF(AND(L742=1,M742=1,P742&gt;0),1,0)</x:f>
        <x:v>0</x:v>
      </x:c>
      <x:c r="O743" s="21" t="n">
        <x:f>MIN('Root Data'!I226:I228)</x:f>
        <x:v>0</x:v>
      </x:c>
      <x:c r="P743" s="44" t="n">
        <x:f>IF(AND(L743=1,M743=1,N743=1,O743&gt;=G743),K743,0)</x:f>
        <x:v>0</x:v>
      </x:c>
      <x:c r="Q743" s="21" t="str">
        <x:v>OPEN</x:v>
      </x:c>
      <x:c r="R743" s="23" t="str">
        <x:v>HOLD</x:v>
      </x:c>
    </x:row>
    <x:row r="744">
      <x:c r="B744" s="21" t="str">
        <x:v>AR-00738</x:v>
      </x:c>
      <x:c r="C744" s="21" t="str">
        <x:v>F19-I2</x:v>
      </x:c>
      <x:c r="D744" s="21" t="str">
        <x:v>F19</x:v>
      </x:c>
      <x:c r="E744" s="21" t="n">
        <x:v>8</x:v>
      </x:c>
      <x:c r="F744" s="21" t="str">
        <x:v>Pilot-process qualification</x:v>
      </x:c>
      <x:c r="G744" s="21" t="n">
        <x:v>28</x:v>
      </x:c>
      <x:c r="H744" s="21" t="str">
        <x:v>AIMC Industrial Mobilization Authority</x:v>
      </x:c>
      <x:c r="I744" s="44" t="n">
        <x:f>Lifecycle!G14</x:f>
        <x:v>0.03952829567165163</x:v>
      </x:c>
      <x:c r="J744" s="44" t="n">
        <x:v>0.10416666666666667</x:v>
      </x:c>
      <x:c r="K744" s="44" t="n">
        <x:f>I744*J744</x:f>
        <x:v>0.0041175307991303785</x:v>
      </x:c>
      <x:c r="L744" s="46" t="n">
        <x:v>0</x:v>
      </x:c>
      <x:c r="M744" s="46" t="n">
        <x:v>0</x:v>
      </x:c>
      <x:c r="N744" s="21" t="n">
        <x:f>IF(AND(L743=1,M743=1,P743&gt;0),1,0)</x:f>
        <x:v>0</x:v>
      </x:c>
      <x:c r="O744" s="21" t="n">
        <x:f>MIN('Root Data'!I226:I228)</x:f>
        <x:v>0</x:v>
      </x:c>
      <x:c r="P744" s="44" t="n">
        <x:f>IF(AND(L744=1,M744=1,N744=1,O744&gt;=G744),K744,0)</x:f>
        <x:v>0</x:v>
      </x:c>
      <x:c r="Q744" s="21" t="str">
        <x:v>OPEN</x:v>
      </x:c>
      <x:c r="R744" s="23" t="str">
        <x:v>HOLD</x:v>
      </x:c>
    </x:row>
    <x:row r="745">
      <x:c r="B745" s="21" t="str">
        <x:v>AR-00739</x:v>
      </x:c>
      <x:c r="C745" s="21" t="str">
        <x:v>F19-I2</x:v>
      </x:c>
      <x:c r="D745" s="21" t="str">
        <x:v>F19</x:v>
      </x:c>
      <x:c r="E745" s="21" t="n">
        <x:v>9</x:v>
      </x:c>
      <x:c r="F745" s="21" t="str">
        <x:v>Production release package</x:v>
      </x:c>
      <x:c r="G745" s="21" t="n">
        <x:v>28</x:v>
      </x:c>
      <x:c r="H745" s="21" t="str">
        <x:v>Production Release Board</x:v>
      </x:c>
      <x:c r="I745" s="44" t="n">
        <x:f>Lifecycle!G15</x:f>
        <x:v>0.01647012319652151</x:v>
      </x:c>
      <x:c r="J745" s="44" t="n">
        <x:v>0.10416666666666667</x:v>
      </x:c>
      <x:c r="K745" s="44" t="n">
        <x:f>I745*J745</x:f>
        <x:v>0.0017156378329709907</x:v>
      </x:c>
      <x:c r="L745" s="46" t="n">
        <x:v>0</x:v>
      </x:c>
      <x:c r="M745" s="46" t="n">
        <x:v>0</x:v>
      </x:c>
      <x:c r="N745" s="21" t="n">
        <x:f>IF(AND(L744=1,M744=1,P744&gt;0),1,0)</x:f>
        <x:v>0</x:v>
      </x:c>
      <x:c r="O745" s="21" t="n">
        <x:f>MIN('Root Data'!I226:I228)</x:f>
        <x:v>0</x:v>
      </x:c>
      <x:c r="P745" s="44" t="n">
        <x:f>IF(AND(L745=1,M745=1,N745=1,O745&gt;=G745),K745,0)</x:f>
        <x:v>0</x:v>
      </x:c>
      <x:c r="Q745" s="21" t="str">
        <x:v>OPEN</x:v>
      </x:c>
      <x:c r="R745" s="23" t="str">
        <x:v>HOLD</x:v>
      </x:c>
    </x:row>
    <x:row r="746">
      <x:c r="B746" s="21" t="str">
        <x:v>AR-00740</x:v>
      </x:c>
      <x:c r="C746" s="21" t="str">
        <x:v>F19-I2</x:v>
      </x:c>
      <x:c r="D746" s="21" t="str">
        <x:v>F19</x:v>
      </x:c>
      <x:c r="E746" s="21" t="n">
        <x:v>10</x:v>
      </x:c>
      <x:c r="F746" s="21" t="str">
        <x:v>Mobilization activation</x:v>
      </x:c>
      <x:c r="G746" s="21" t="n">
        <x:v>28</x:v>
      </x:c>
      <x:c r="H746" s="21" t="str">
        <x:v>Production Release Board</x:v>
      </x:c>
      <x:c r="I746" s="44" t="n">
        <x:f>Lifecycle!G16</x:f>
        <x:v>0.028262731405230914</x:v>
      </x:c>
      <x:c r="J746" s="44" t="n">
        <x:v>0.10416666666666667</x:v>
      </x:c>
      <x:c r="K746" s="44" t="n">
        <x:f>I746*J746</x:f>
        <x:v>0.0029440345213782204</x:v>
      </x:c>
      <x:c r="L746" s="46" t="n">
        <x:v>0</x:v>
      </x:c>
      <x:c r="M746" s="46" t="n">
        <x:v>0</x:v>
      </x:c>
      <x:c r="N746" s="21" t="n">
        <x:f>IF(AND(L745=1,M745=1,P745&gt;0),1,0)</x:f>
        <x:v>0</x:v>
      </x:c>
      <x:c r="O746" s="21" t="n">
        <x:f>MIN('Root Data'!I226:I228)</x:f>
        <x:v>0</x:v>
      </x:c>
      <x:c r="P746" s="44" t="n">
        <x:f>IF(AND(L746=1,M746=1,N746=1,O746&gt;=G746),K746,0)</x:f>
        <x:v>0</x:v>
      </x:c>
      <x:c r="Q746" s="21" t="str">
        <x:v>OPEN</x:v>
      </x:c>
      <x:c r="R746" s="23" t="str">
        <x:v>HOLD</x:v>
      </x:c>
    </x:row>
    <x:row r="747">
      <x:c r="B747" s="21" t="str">
        <x:v>AR-00741</x:v>
      </x:c>
      <x:c r="C747" s="21" t="str">
        <x:v>F19-I3</x:v>
      </x:c>
      <x:c r="D747" s="21" t="str">
        <x:v>F19</x:v>
      </x:c>
      <x:c r="E747" s="21" t="n">
        <x:v>1</x:v>
      </x:c>
      <x:c r="F747" s="21" t="str">
        <x:v>Civil effect charter</x:v>
      </x:c>
      <x:c r="G747" s="21" t="n">
        <x:v>0</x:v>
      </x:c>
      <x:c r="H747" s="21" t="str">
        <x:v>Civil Guarantee Authority</x:v>
      </x:c>
      <x:c r="I747" s="44" t="n">
        <x:f>Lifecycle!G7</x:f>
        <x:v>0.04941036958956453</x:v>
      </x:c>
      <x:c r="J747" s="44" t="n">
        <x:v>0.10416666666666667</x:v>
      </x:c>
      <x:c r="K747" s="44" t="n">
        <x:f>I747*J747</x:f>
        <x:v>0.005146913498912972</x:v>
      </x:c>
      <x:c r="L747" s="46" t="n">
        <x:v>0</x:v>
      </x:c>
      <x:c r="M747" s="46" t="n">
        <x:v>0</x:v>
      </x:c>
      <x:c r="N747" s="21" t="n">
        <x:f>1</x:f>
        <x:v>1</x:v>
      </x:c>
      <x:c r="O747" s="21" t="n">
        <x:f>MIN('Root Data'!I229:I231)</x:f>
        <x:v>0</x:v>
      </x:c>
      <x:c r="P747" s="44" t="n">
        <x:f>IF(AND(L747=1,M747=1,N747=1,O747&gt;=G747),K747,0)</x:f>
        <x:v>0</x:v>
      </x:c>
      <x:c r="Q747" s="21" t="str">
        <x:v>OPEN</x:v>
      </x:c>
      <x:c r="R747" s="23" t="str">
        <x:v>HOLD</x:v>
      </x:c>
    </x:row>
    <x:row r="748">
      <x:c r="B748" s="21" t="str">
        <x:v>AR-00742</x:v>
      </x:c>
      <x:c r="C748" s="21" t="str">
        <x:v>F19-I3</x:v>
      </x:c>
      <x:c r="D748" s="21" t="str">
        <x:v>F19</x:v>
      </x:c>
      <x:c r="E748" s="21" t="n">
        <x:v>2</x:v>
      </x:c>
      <x:c r="F748" s="21" t="str">
        <x:v>Requirement and root-independence package</x:v>
      </x:c>
      <x:c r="G748" s="21" t="n">
        <x:v>8</x:v>
      </x:c>
      <x:c r="H748" s="21" t="str">
        <x:v>Resilience Staff</x:v>
      </x:c>
      <x:c r="I748" s="44" t="n">
        <x:f>Lifecycle!G8</x:f>
        <x:v>0.10211476381843337</x:v>
      </x:c>
      <x:c r="J748" s="44" t="n">
        <x:v>0.10416666666666667</x:v>
      </x:c>
      <x:c r="K748" s="44" t="n">
        <x:f>I748*J748</x:f>
        <x:v>0.010636954564420143</x:v>
      </x:c>
      <x:c r="L748" s="46" t="n">
        <x:v>0</x:v>
      </x:c>
      <x:c r="M748" s="46" t="n">
        <x:v>0</x:v>
      </x:c>
      <x:c r="N748" s="21" t="n">
        <x:f>IF(AND(L747=1,M747=1,P747&gt;0),1,0)</x:f>
        <x:v>0</x:v>
      </x:c>
      <x:c r="O748" s="21" t="n">
        <x:f>MIN('Root Data'!I229:I231)</x:f>
        <x:v>0</x:v>
      </x:c>
      <x:c r="P748" s="44" t="n">
        <x:f>IF(AND(L748=1,M748=1,N748=1,O748&gt;=G748),K748,0)</x:f>
        <x:v>0</x:v>
      </x:c>
      <x:c r="Q748" s="21" t="str">
        <x:v>OPEN</x:v>
      </x:c>
      <x:c r="R748" s="23" t="str">
        <x:v>HOLD</x:v>
      </x:c>
    </x:row>
    <x:row r="749">
      <x:c r="B749" s="21" t="str">
        <x:v>AR-00743</x:v>
      </x:c>
      <x:c r="C749" s="21" t="str">
        <x:v>F19-I3</x:v>
      </x:c>
      <x:c r="D749" s="21" t="str">
        <x:v>F19</x:v>
      </x:c>
      <x:c r="E749" s="21" t="n">
        <x:v>3</x:v>
      </x:c>
      <x:c r="F749" s="21" t="str">
        <x:v>Architecture and burden closure</x:v>
      </x:c>
      <x:c r="G749" s="21" t="n">
        <x:v>14</x:v>
      </x:c>
      <x:c r="H749" s="21" t="str">
        <x:v>Independent Evidence and Data Authority</x:v>
      </x:c>
      <x:c r="I749" s="44" t="n">
        <x:f>Lifecycle!G9</x:f>
        <x:v>0.08564464062191186</x:v>
      </x:c>
      <x:c r="J749" s="44" t="n">
        <x:v>0.10416666666666667</x:v>
      </x:c>
      <x:c r="K749" s="44" t="n">
        <x:f>I749*J749</x:f>
        <x:v>0.008921316731449153</x:v>
      </x:c>
      <x:c r="L749" s="46" t="n">
        <x:v>0</x:v>
      </x:c>
      <x:c r="M749" s="46" t="n">
        <x:v>0</x:v>
      </x:c>
      <x:c r="N749" s="21" t="n">
        <x:f>IF(AND(L748=1,M748=1,P748&gt;0),1,0)</x:f>
        <x:v>0</x:v>
      </x:c>
      <x:c r="O749" s="21" t="n">
        <x:f>MIN('Root Data'!I229:I231)</x:f>
        <x:v>0</x:v>
      </x:c>
      <x:c r="P749" s="44" t="n">
        <x:f>IF(AND(L749=1,M749=1,N749=1,O749&gt;=G749),K749,0)</x:f>
        <x:v>0</x:v>
      </x:c>
      <x:c r="Q749" s="21" t="str">
        <x:v>OPEN</x:v>
      </x:c>
      <x:c r="R749" s="23" t="str">
        <x:v>HOLD</x:v>
      </x:c>
    </x:row>
    <x:row r="750">
      <x:c r="B750" s="21" t="str">
        <x:v>AR-00744</x:v>
      </x:c>
      <x:c r="C750" s="21" t="str">
        <x:v>F19-I3</x:v>
      </x:c>
      <x:c r="D750" s="21" t="str">
        <x:v>F19</x:v>
      </x:c>
      <x:c r="E750" s="21" t="n">
        <x:v>4</x:v>
      </x:c>
      <x:c r="F750" s="21" t="str">
        <x:v>Engineering article acceptance</x:v>
      </x:c>
      <x:c r="G750" s="21" t="n">
        <x:v>18</x:v>
      </x:c>
      <x:c r="H750" s="21" t="str">
        <x:v>Independent Evidence and Data Authority</x:v>
      </x:c>
      <x:c r="I750" s="44" t="n">
        <x:f>Lifecycle!G10</x:f>
        <x:v>0.05929244350747744</x:v>
      </x:c>
      <x:c r="J750" s="44" t="n">
        <x:v>0.10416666666666667</x:v>
      </x:c>
      <x:c r="K750" s="44" t="n">
        <x:f>I750*J750</x:f>
        <x:v>0.006176296198695567</x:v>
      </x:c>
      <x:c r="L750" s="46" t="n">
        <x:v>0</x:v>
      </x:c>
      <x:c r="M750" s="46" t="n">
        <x:v>0</x:v>
      </x:c>
      <x:c r="N750" s="21" t="n">
        <x:f>IF(AND(L749=1,M749=1,P749&gt;0),1,0)</x:f>
        <x:v>0</x:v>
      </x:c>
      <x:c r="O750" s="21" t="n">
        <x:f>MIN('Root Data'!I229:I231)</x:f>
        <x:v>0</x:v>
      </x:c>
      <x:c r="P750" s="44" t="n">
        <x:f>IF(AND(L750=1,M750=1,N750=1,O750&gt;=G750),K750,0)</x:f>
        <x:v>0</x:v>
      </x:c>
      <x:c r="Q750" s="21" t="str">
        <x:v>OPEN</x:v>
      </x:c>
      <x:c r="R750" s="23" t="str">
        <x:v>HOLD</x:v>
      </x:c>
    </x:row>
    <x:row r="751">
      <x:c r="B751" s="21" t="str">
        <x:v>AR-00745</x:v>
      </x:c>
      <x:c r="C751" s="21" t="str">
        <x:v>F19-I3</x:v>
      </x:c>
      <x:c r="D751" s="21" t="str">
        <x:v>F19</x:v>
      </x:c>
      <x:c r="E751" s="21" t="n">
        <x:v>5</x:v>
      </x:c>
      <x:c r="F751" s="21" t="str">
        <x:v>Qualification and destructive evidence</x:v>
      </x:c>
      <x:c r="G751" s="21" t="n">
        <x:v>21</x:v>
      </x:c>
      <x:c r="H751" s="21" t="str">
        <x:v>Independent Evidence and Data Authority</x:v>
      </x:c>
      <x:c r="I751" s="44" t="n">
        <x:f>Lifecycle!G11</x:f>
        <x:v>0.1515251334079979</x:v>
      </x:c>
      <x:c r="J751" s="44" t="n">
        <x:v>0.10416666666666667</x:v>
      </x:c>
      <x:c r="K751" s="44" t="n">
        <x:f>I751*J751</x:f>
        <x:v>0.015783868063333116</x:v>
      </x:c>
      <x:c r="L751" s="46" t="n">
        <x:v>0</x:v>
      </x:c>
      <x:c r="M751" s="46" t="n">
        <x:v>0</x:v>
      </x:c>
      <x:c r="N751" s="21" t="n">
        <x:f>IF(AND(L750=1,M750=1,P750&gt;0),1,0)</x:f>
        <x:v>0</x:v>
      </x:c>
      <x:c r="O751" s="21" t="n">
        <x:f>MIN('Root Data'!I229:I231)</x:f>
        <x:v>0</x:v>
      </x:c>
      <x:c r="P751" s="44" t="n">
        <x:f>IF(AND(L751=1,M751=1,N751=1,O751&gt;=G751),K751,0)</x:f>
        <x:v>0</x:v>
      </x:c>
      <x:c r="Q751" s="21" t="str">
        <x:v>OPEN</x:v>
      </x:c>
      <x:c r="R751" s="23" t="str">
        <x:v>HOLD</x:v>
      </x:c>
    </x:row>
    <x:row r="752">
      <x:c r="B752" s="21" t="str">
        <x:v>AR-00746</x:v>
      </x:c>
      <x:c r="C752" s="21" t="str">
        <x:v>F19-I3</x:v>
      </x:c>
      <x:c r="D752" s="21" t="str">
        <x:v>F19</x:v>
      </x:c>
      <x:c r="E752" s="21" t="n">
        <x:v>6</x:v>
      </x:c>
      <x:c r="F752" s="21" t="str">
        <x:v>Representative mission result</x:v>
      </x:c>
      <x:c r="G752" s="21" t="n">
        <x:v>23</x:v>
      </x:c>
      <x:c r="H752" s="21" t="str">
        <x:v>Receiving Service Authority</x:v>
      </x:c>
      <x:c r="I752" s="44" t="n">
        <x:f>Lifecycle!G12</x:f>
        <x:v>0.250345872587127</x:v>
      </x:c>
      <x:c r="J752" s="44" t="n">
        <x:v>0.10416666666666667</x:v>
      </x:c>
      <x:c r="K752" s="44" t="n">
        <x:f>I752*J752</x:f>
        <x:v>0.026077695061159062</x:v>
      </x:c>
      <x:c r="L752" s="46" t="n">
        <x:v>0</x:v>
      </x:c>
      <x:c r="M752" s="46" t="n">
        <x:v>0</x:v>
      </x:c>
      <x:c r="N752" s="21" t="n">
        <x:f>IF(AND(L751=1,M751=1,P751&gt;0),1,0)</x:f>
        <x:v>0</x:v>
      </x:c>
      <x:c r="O752" s="21" t="n">
        <x:f>MIN('Root Data'!I229:I231)</x:f>
        <x:v>0</x:v>
      </x:c>
      <x:c r="P752" s="44" t="n">
        <x:f>IF(AND(L752=1,M752=1,N752=1,O752&gt;=G752),K752,0)</x:f>
        <x:v>0</x:v>
      </x:c>
      <x:c r="Q752" s="21" t="str">
        <x:v>OPEN</x:v>
      </x:c>
      <x:c r="R752" s="23" t="str">
        <x:v>HOLD</x:v>
      </x:c>
    </x:row>
    <x:row r="753">
      <x:c r="B753" s="21" t="str">
        <x:v>AR-00747</x:v>
      </x:c>
      <x:c r="C753" s="21" t="str">
        <x:v>F19-I3</x:v>
      </x:c>
      <x:c r="D753" s="21" t="str">
        <x:v>F19</x:v>
      </x:c>
      <x:c r="E753" s="21" t="n">
        <x:v>7</x:v>
      </x:c>
      <x:c r="F753" s="21" t="str">
        <x:v>Independent reproduction</x:v>
      </x:c>
      <x:c r="G753" s="21" t="n">
        <x:v>28</x:v>
      </x:c>
      <x:c r="H753" s="21" t="str">
        <x:v>Independent Evidence and Data Authority</x:v>
      </x:c>
      <x:c r="I753" s="44" t="n">
        <x:f>Lifecycle!G13</x:f>
        <x:v>0.21740562619408393</x:v>
      </x:c>
      <x:c r="J753" s="44" t="n">
        <x:v>0.10416666666666667</x:v>
      </x:c>
      <x:c r="K753" s="44" t="n">
        <x:f>I753*J753</x:f>
        <x:v>0.02264641939521708</x:v>
      </x:c>
      <x:c r="L753" s="46" t="n">
        <x:v>0</x:v>
      </x:c>
      <x:c r="M753" s="46" t="n">
        <x:v>0</x:v>
      </x:c>
      <x:c r="N753" s="21" t="n">
        <x:f>IF(AND(L752=1,M752=1,P752&gt;0),1,0)</x:f>
        <x:v>0</x:v>
      </x:c>
      <x:c r="O753" s="21" t="n">
        <x:f>MIN('Root Data'!I229:I231)</x:f>
        <x:v>0</x:v>
      </x:c>
      <x:c r="P753" s="44" t="n">
        <x:f>IF(AND(L753=1,M753=1,N753=1,O753&gt;=G753),K753,0)</x:f>
        <x:v>0</x:v>
      </x:c>
      <x:c r="Q753" s="21" t="str">
        <x:v>OPEN</x:v>
      </x:c>
      <x:c r="R753" s="23" t="str">
        <x:v>HOLD</x:v>
      </x:c>
    </x:row>
    <x:row r="754">
      <x:c r="B754" s="21" t="str">
        <x:v>AR-00748</x:v>
      </x:c>
      <x:c r="C754" s="21" t="str">
        <x:v>F19-I3</x:v>
      </x:c>
      <x:c r="D754" s="21" t="str">
        <x:v>F19</x:v>
      </x:c>
      <x:c r="E754" s="21" t="n">
        <x:v>8</x:v>
      </x:c>
      <x:c r="F754" s="21" t="str">
        <x:v>Pilot-process qualification</x:v>
      </x:c>
      <x:c r="G754" s="21" t="n">
        <x:v>28</x:v>
      </x:c>
      <x:c r="H754" s="21" t="str">
        <x:v>AIMC Industrial Mobilization Authority</x:v>
      </x:c>
      <x:c r="I754" s="44" t="n">
        <x:f>Lifecycle!G14</x:f>
        <x:v>0.03952829567165163</x:v>
      </x:c>
      <x:c r="J754" s="44" t="n">
        <x:v>0.10416666666666667</x:v>
      </x:c>
      <x:c r="K754" s="44" t="n">
        <x:f>I754*J754</x:f>
        <x:v>0.0041175307991303785</x:v>
      </x:c>
      <x:c r="L754" s="46" t="n">
        <x:v>0</x:v>
      </x:c>
      <x:c r="M754" s="46" t="n">
        <x:v>0</x:v>
      </x:c>
      <x:c r="N754" s="21" t="n">
        <x:f>IF(AND(L753=1,M753=1,P753&gt;0),1,0)</x:f>
        <x:v>0</x:v>
      </x:c>
      <x:c r="O754" s="21" t="n">
        <x:f>MIN('Root Data'!I229:I231)</x:f>
        <x:v>0</x:v>
      </x:c>
      <x:c r="P754" s="44" t="n">
        <x:f>IF(AND(L754=1,M754=1,N754=1,O754&gt;=G754),K754,0)</x:f>
        <x:v>0</x:v>
      </x:c>
      <x:c r="Q754" s="21" t="str">
        <x:v>OPEN</x:v>
      </x:c>
      <x:c r="R754" s="23" t="str">
        <x:v>HOLD</x:v>
      </x:c>
    </x:row>
    <x:row r="755">
      <x:c r="B755" s="21" t="str">
        <x:v>AR-00749</x:v>
      </x:c>
      <x:c r="C755" s="21" t="str">
        <x:v>F19-I3</x:v>
      </x:c>
      <x:c r="D755" s="21" t="str">
        <x:v>F19</x:v>
      </x:c>
      <x:c r="E755" s="21" t="n">
        <x:v>9</x:v>
      </x:c>
      <x:c r="F755" s="21" t="str">
        <x:v>Production release package</x:v>
      </x:c>
      <x:c r="G755" s="21" t="n">
        <x:v>28</x:v>
      </x:c>
      <x:c r="H755" s="21" t="str">
        <x:v>Production Release Board</x:v>
      </x:c>
      <x:c r="I755" s="44" t="n">
        <x:f>Lifecycle!G15</x:f>
        <x:v>0.01647012319652151</x:v>
      </x:c>
      <x:c r="J755" s="44" t="n">
        <x:v>0.10416666666666667</x:v>
      </x:c>
      <x:c r="K755" s="44" t="n">
        <x:f>I755*J755</x:f>
        <x:v>0.0017156378329709907</x:v>
      </x:c>
      <x:c r="L755" s="46" t="n">
        <x:v>0</x:v>
      </x:c>
      <x:c r="M755" s="46" t="n">
        <x:v>0</x:v>
      </x:c>
      <x:c r="N755" s="21" t="n">
        <x:f>IF(AND(L754=1,M754=1,P754&gt;0),1,0)</x:f>
        <x:v>0</x:v>
      </x:c>
      <x:c r="O755" s="21" t="n">
        <x:f>MIN('Root Data'!I229:I231)</x:f>
        <x:v>0</x:v>
      </x:c>
      <x:c r="P755" s="44" t="n">
        <x:f>IF(AND(L755=1,M755=1,N755=1,O755&gt;=G755),K755,0)</x:f>
        <x:v>0</x:v>
      </x:c>
      <x:c r="Q755" s="21" t="str">
        <x:v>OPEN</x:v>
      </x:c>
      <x:c r="R755" s="23" t="str">
        <x:v>HOLD</x:v>
      </x:c>
    </x:row>
    <x:row r="756">
      <x:c r="B756" s="21" t="str">
        <x:v>AR-00750</x:v>
      </x:c>
      <x:c r="C756" s="21" t="str">
        <x:v>F19-I3</x:v>
      </x:c>
      <x:c r="D756" s="21" t="str">
        <x:v>F19</x:v>
      </x:c>
      <x:c r="E756" s="21" t="n">
        <x:v>10</x:v>
      </x:c>
      <x:c r="F756" s="21" t="str">
        <x:v>Mobilization activation</x:v>
      </x:c>
      <x:c r="G756" s="21" t="n">
        <x:v>28</x:v>
      </x:c>
      <x:c r="H756" s="21" t="str">
        <x:v>Production Release Board</x:v>
      </x:c>
      <x:c r="I756" s="44" t="n">
        <x:f>Lifecycle!G16</x:f>
        <x:v>0.028262731405230914</x:v>
      </x:c>
      <x:c r="J756" s="44" t="n">
        <x:v>0.10416666666666667</x:v>
      </x:c>
      <x:c r="K756" s="44" t="n">
        <x:f>I756*J756</x:f>
        <x:v>0.0029440345213782204</x:v>
      </x:c>
      <x:c r="L756" s="46" t="n">
        <x:v>0</x:v>
      </x:c>
      <x:c r="M756" s="46" t="n">
        <x:v>0</x:v>
      </x:c>
      <x:c r="N756" s="21" t="n">
        <x:f>IF(AND(L755=1,M755=1,P755&gt;0),1,0)</x:f>
        <x:v>0</x:v>
      </x:c>
      <x:c r="O756" s="21" t="n">
        <x:f>MIN('Root Data'!I229:I231)</x:f>
        <x:v>0</x:v>
      </x:c>
      <x:c r="P756" s="44" t="n">
        <x:f>IF(AND(L756=1,M756=1,N756=1,O756&gt;=G756),K756,0)</x:f>
        <x:v>0</x:v>
      </x:c>
      <x:c r="Q756" s="21" t="str">
        <x:v>OPEN</x:v>
      </x:c>
      <x:c r="R756" s="23" t="str">
        <x:v>HOLD</x:v>
      </x:c>
    </x:row>
    <x:row r="757">
      <x:c r="B757" s="21" t="str">
        <x:v>AR-00751</x:v>
      </x:c>
      <x:c r="C757" s="21" t="str">
        <x:v>F19-I4</x:v>
      </x:c>
      <x:c r="D757" s="21" t="str">
        <x:v>F19</x:v>
      </x:c>
      <x:c r="E757" s="21" t="n">
        <x:v>1</x:v>
      </x:c>
      <x:c r="F757" s="21" t="str">
        <x:v>Civil effect charter</x:v>
      </x:c>
      <x:c r="G757" s="21" t="n">
        <x:v>0</x:v>
      </x:c>
      <x:c r="H757" s="21" t="str">
        <x:v>Civil Guarantee Authority</x:v>
      </x:c>
      <x:c r="I757" s="44" t="n">
        <x:f>Lifecycle!G7</x:f>
        <x:v>0.04941036958956453</x:v>
      </x:c>
      <x:c r="J757" s="44" t="n">
        <x:v>0.10416666666666667</x:v>
      </x:c>
      <x:c r="K757" s="44" t="n">
        <x:f>I757*J757</x:f>
        <x:v>0.005146913498912972</x:v>
      </x:c>
      <x:c r="L757" s="46" t="n">
        <x:v>0</x:v>
      </x:c>
      <x:c r="M757" s="46" t="n">
        <x:v>0</x:v>
      </x:c>
      <x:c r="N757" s="21" t="n">
        <x:f>1</x:f>
        <x:v>1</x:v>
      </x:c>
      <x:c r="O757" s="21" t="n">
        <x:f>MIN('Root Data'!I232:I234)</x:f>
        <x:v>0</x:v>
      </x:c>
      <x:c r="P757" s="44" t="n">
        <x:f>IF(AND(L757=1,M757=1,N757=1,O757&gt;=G757),K757,0)</x:f>
        <x:v>0</x:v>
      </x:c>
      <x:c r="Q757" s="21" t="str">
        <x:v>OPEN</x:v>
      </x:c>
      <x:c r="R757" s="23" t="str">
        <x:v>HOLD</x:v>
      </x:c>
    </x:row>
    <x:row r="758">
      <x:c r="B758" s="21" t="str">
        <x:v>AR-00752</x:v>
      </x:c>
      <x:c r="C758" s="21" t="str">
        <x:v>F19-I4</x:v>
      </x:c>
      <x:c r="D758" s="21" t="str">
        <x:v>F19</x:v>
      </x:c>
      <x:c r="E758" s="21" t="n">
        <x:v>2</x:v>
      </x:c>
      <x:c r="F758" s="21" t="str">
        <x:v>Requirement and root-independence package</x:v>
      </x:c>
      <x:c r="G758" s="21" t="n">
        <x:v>8</x:v>
      </x:c>
      <x:c r="H758" s="21" t="str">
        <x:v>Resilience Staff</x:v>
      </x:c>
      <x:c r="I758" s="44" t="n">
        <x:f>Lifecycle!G8</x:f>
        <x:v>0.10211476381843337</x:v>
      </x:c>
      <x:c r="J758" s="44" t="n">
        <x:v>0.10416666666666667</x:v>
      </x:c>
      <x:c r="K758" s="44" t="n">
        <x:f>I758*J758</x:f>
        <x:v>0.010636954564420143</x:v>
      </x:c>
      <x:c r="L758" s="46" t="n">
        <x:v>0</x:v>
      </x:c>
      <x:c r="M758" s="46" t="n">
        <x:v>0</x:v>
      </x:c>
      <x:c r="N758" s="21" t="n">
        <x:f>IF(AND(L757=1,M757=1,P757&gt;0),1,0)</x:f>
        <x:v>0</x:v>
      </x:c>
      <x:c r="O758" s="21" t="n">
        <x:f>MIN('Root Data'!I232:I234)</x:f>
        <x:v>0</x:v>
      </x:c>
      <x:c r="P758" s="44" t="n">
        <x:f>IF(AND(L758=1,M758=1,N758=1,O758&gt;=G758),K758,0)</x:f>
        <x:v>0</x:v>
      </x:c>
      <x:c r="Q758" s="21" t="str">
        <x:v>OPEN</x:v>
      </x:c>
      <x:c r="R758" s="23" t="str">
        <x:v>HOLD</x:v>
      </x:c>
    </x:row>
    <x:row r="759">
      <x:c r="B759" s="21" t="str">
        <x:v>AR-00753</x:v>
      </x:c>
      <x:c r="C759" s="21" t="str">
        <x:v>F19-I4</x:v>
      </x:c>
      <x:c r="D759" s="21" t="str">
        <x:v>F19</x:v>
      </x:c>
      <x:c r="E759" s="21" t="n">
        <x:v>3</x:v>
      </x:c>
      <x:c r="F759" s="21" t="str">
        <x:v>Architecture and burden closure</x:v>
      </x:c>
      <x:c r="G759" s="21" t="n">
        <x:v>14</x:v>
      </x:c>
      <x:c r="H759" s="21" t="str">
        <x:v>Independent Evidence and Data Authority</x:v>
      </x:c>
      <x:c r="I759" s="44" t="n">
        <x:f>Lifecycle!G9</x:f>
        <x:v>0.08564464062191186</x:v>
      </x:c>
      <x:c r="J759" s="44" t="n">
        <x:v>0.10416666666666667</x:v>
      </x:c>
      <x:c r="K759" s="44" t="n">
        <x:f>I759*J759</x:f>
        <x:v>0.008921316731449153</x:v>
      </x:c>
      <x:c r="L759" s="46" t="n">
        <x:v>0</x:v>
      </x:c>
      <x:c r="M759" s="46" t="n">
        <x:v>0</x:v>
      </x:c>
      <x:c r="N759" s="21" t="n">
        <x:f>IF(AND(L758=1,M758=1,P758&gt;0),1,0)</x:f>
        <x:v>0</x:v>
      </x:c>
      <x:c r="O759" s="21" t="n">
        <x:f>MIN('Root Data'!I232:I234)</x:f>
        <x:v>0</x:v>
      </x:c>
      <x:c r="P759" s="44" t="n">
        <x:f>IF(AND(L759=1,M759=1,N759=1,O759&gt;=G759),K759,0)</x:f>
        <x:v>0</x:v>
      </x:c>
      <x:c r="Q759" s="21" t="str">
        <x:v>OPEN</x:v>
      </x:c>
      <x:c r="R759" s="23" t="str">
        <x:v>HOLD</x:v>
      </x:c>
    </x:row>
    <x:row r="760">
      <x:c r="B760" s="21" t="str">
        <x:v>AR-00754</x:v>
      </x:c>
      <x:c r="C760" s="21" t="str">
        <x:v>F19-I4</x:v>
      </x:c>
      <x:c r="D760" s="21" t="str">
        <x:v>F19</x:v>
      </x:c>
      <x:c r="E760" s="21" t="n">
        <x:v>4</x:v>
      </x:c>
      <x:c r="F760" s="21" t="str">
        <x:v>Engineering article acceptance</x:v>
      </x:c>
      <x:c r="G760" s="21" t="n">
        <x:v>18</x:v>
      </x:c>
      <x:c r="H760" s="21" t="str">
        <x:v>Independent Evidence and Data Authority</x:v>
      </x:c>
      <x:c r="I760" s="44" t="n">
        <x:f>Lifecycle!G10</x:f>
        <x:v>0.05929244350747744</x:v>
      </x:c>
      <x:c r="J760" s="44" t="n">
        <x:v>0.10416666666666667</x:v>
      </x:c>
      <x:c r="K760" s="44" t="n">
        <x:f>I760*J760</x:f>
        <x:v>0.006176296198695567</x:v>
      </x:c>
      <x:c r="L760" s="46" t="n">
        <x:v>0</x:v>
      </x:c>
      <x:c r="M760" s="46" t="n">
        <x:v>0</x:v>
      </x:c>
      <x:c r="N760" s="21" t="n">
        <x:f>IF(AND(L759=1,M759=1,P759&gt;0),1,0)</x:f>
        <x:v>0</x:v>
      </x:c>
      <x:c r="O760" s="21" t="n">
        <x:f>MIN('Root Data'!I232:I234)</x:f>
        <x:v>0</x:v>
      </x:c>
      <x:c r="P760" s="44" t="n">
        <x:f>IF(AND(L760=1,M760=1,N760=1,O760&gt;=G760),K760,0)</x:f>
        <x:v>0</x:v>
      </x:c>
      <x:c r="Q760" s="21" t="str">
        <x:v>OPEN</x:v>
      </x:c>
      <x:c r="R760" s="23" t="str">
        <x:v>HOLD</x:v>
      </x:c>
    </x:row>
    <x:row r="761">
      <x:c r="B761" s="21" t="str">
        <x:v>AR-00755</x:v>
      </x:c>
      <x:c r="C761" s="21" t="str">
        <x:v>F19-I4</x:v>
      </x:c>
      <x:c r="D761" s="21" t="str">
        <x:v>F19</x:v>
      </x:c>
      <x:c r="E761" s="21" t="n">
        <x:v>5</x:v>
      </x:c>
      <x:c r="F761" s="21" t="str">
        <x:v>Qualification and destructive evidence</x:v>
      </x:c>
      <x:c r="G761" s="21" t="n">
        <x:v>21</x:v>
      </x:c>
      <x:c r="H761" s="21" t="str">
        <x:v>Independent Evidence and Data Authority</x:v>
      </x:c>
      <x:c r="I761" s="44" t="n">
        <x:f>Lifecycle!G11</x:f>
        <x:v>0.1515251334079979</x:v>
      </x:c>
      <x:c r="J761" s="44" t="n">
        <x:v>0.10416666666666667</x:v>
      </x:c>
      <x:c r="K761" s="44" t="n">
        <x:f>I761*J761</x:f>
        <x:v>0.015783868063333116</x:v>
      </x:c>
      <x:c r="L761" s="46" t="n">
        <x:v>0</x:v>
      </x:c>
      <x:c r="M761" s="46" t="n">
        <x:v>0</x:v>
      </x:c>
      <x:c r="N761" s="21" t="n">
        <x:f>IF(AND(L760=1,M760=1,P760&gt;0),1,0)</x:f>
        <x:v>0</x:v>
      </x:c>
      <x:c r="O761" s="21" t="n">
        <x:f>MIN('Root Data'!I232:I234)</x:f>
        <x:v>0</x:v>
      </x:c>
      <x:c r="P761" s="44" t="n">
        <x:f>IF(AND(L761=1,M761=1,N761=1,O761&gt;=G761),K761,0)</x:f>
        <x:v>0</x:v>
      </x:c>
      <x:c r="Q761" s="21" t="str">
        <x:v>OPEN</x:v>
      </x:c>
      <x:c r="R761" s="23" t="str">
        <x:v>HOLD</x:v>
      </x:c>
    </x:row>
    <x:row r="762">
      <x:c r="B762" s="21" t="str">
        <x:v>AR-00756</x:v>
      </x:c>
      <x:c r="C762" s="21" t="str">
        <x:v>F19-I4</x:v>
      </x:c>
      <x:c r="D762" s="21" t="str">
        <x:v>F19</x:v>
      </x:c>
      <x:c r="E762" s="21" t="n">
        <x:v>6</x:v>
      </x:c>
      <x:c r="F762" s="21" t="str">
        <x:v>Representative mission result</x:v>
      </x:c>
      <x:c r="G762" s="21" t="n">
        <x:v>23</x:v>
      </x:c>
      <x:c r="H762" s="21" t="str">
        <x:v>Receiving Service Authority</x:v>
      </x:c>
      <x:c r="I762" s="44" t="n">
        <x:f>Lifecycle!G12</x:f>
        <x:v>0.250345872587127</x:v>
      </x:c>
      <x:c r="J762" s="44" t="n">
        <x:v>0.10416666666666667</x:v>
      </x:c>
      <x:c r="K762" s="44" t="n">
        <x:f>I762*J762</x:f>
        <x:v>0.026077695061159062</x:v>
      </x:c>
      <x:c r="L762" s="46" t="n">
        <x:v>0</x:v>
      </x:c>
      <x:c r="M762" s="46" t="n">
        <x:v>0</x:v>
      </x:c>
      <x:c r="N762" s="21" t="n">
        <x:f>IF(AND(L761=1,M761=1,P761&gt;0),1,0)</x:f>
        <x:v>0</x:v>
      </x:c>
      <x:c r="O762" s="21" t="n">
        <x:f>MIN('Root Data'!I232:I234)</x:f>
        <x:v>0</x:v>
      </x:c>
      <x:c r="P762" s="44" t="n">
        <x:f>IF(AND(L762=1,M762=1,N762=1,O762&gt;=G762),K762,0)</x:f>
        <x:v>0</x:v>
      </x:c>
      <x:c r="Q762" s="21" t="str">
        <x:v>OPEN</x:v>
      </x:c>
      <x:c r="R762" s="23" t="str">
        <x:v>HOLD</x:v>
      </x:c>
    </x:row>
    <x:row r="763">
      <x:c r="B763" s="21" t="str">
        <x:v>AR-00757</x:v>
      </x:c>
      <x:c r="C763" s="21" t="str">
        <x:v>F19-I4</x:v>
      </x:c>
      <x:c r="D763" s="21" t="str">
        <x:v>F19</x:v>
      </x:c>
      <x:c r="E763" s="21" t="n">
        <x:v>7</x:v>
      </x:c>
      <x:c r="F763" s="21" t="str">
        <x:v>Independent reproduction</x:v>
      </x:c>
      <x:c r="G763" s="21" t="n">
        <x:v>28</x:v>
      </x:c>
      <x:c r="H763" s="21" t="str">
        <x:v>Independent Evidence and Data Authority</x:v>
      </x:c>
      <x:c r="I763" s="44" t="n">
        <x:f>Lifecycle!G13</x:f>
        <x:v>0.21740562619408393</x:v>
      </x:c>
      <x:c r="J763" s="44" t="n">
        <x:v>0.10416666666666667</x:v>
      </x:c>
      <x:c r="K763" s="44" t="n">
        <x:f>I763*J763</x:f>
        <x:v>0.02264641939521708</x:v>
      </x:c>
      <x:c r="L763" s="46" t="n">
        <x:v>0</x:v>
      </x:c>
      <x:c r="M763" s="46" t="n">
        <x:v>0</x:v>
      </x:c>
      <x:c r="N763" s="21" t="n">
        <x:f>IF(AND(L762=1,M762=1,P762&gt;0),1,0)</x:f>
        <x:v>0</x:v>
      </x:c>
      <x:c r="O763" s="21" t="n">
        <x:f>MIN('Root Data'!I232:I234)</x:f>
        <x:v>0</x:v>
      </x:c>
      <x:c r="P763" s="44" t="n">
        <x:f>IF(AND(L763=1,M763=1,N763=1,O763&gt;=G763),K763,0)</x:f>
        <x:v>0</x:v>
      </x:c>
      <x:c r="Q763" s="21" t="str">
        <x:v>OPEN</x:v>
      </x:c>
      <x:c r="R763" s="23" t="str">
        <x:v>HOLD</x:v>
      </x:c>
    </x:row>
    <x:row r="764">
      <x:c r="B764" s="21" t="str">
        <x:v>AR-00758</x:v>
      </x:c>
      <x:c r="C764" s="21" t="str">
        <x:v>F19-I4</x:v>
      </x:c>
      <x:c r="D764" s="21" t="str">
        <x:v>F19</x:v>
      </x:c>
      <x:c r="E764" s="21" t="n">
        <x:v>8</x:v>
      </x:c>
      <x:c r="F764" s="21" t="str">
        <x:v>Pilot-process qualification</x:v>
      </x:c>
      <x:c r="G764" s="21" t="n">
        <x:v>28</x:v>
      </x:c>
      <x:c r="H764" s="21" t="str">
        <x:v>AIMC Industrial Mobilization Authority</x:v>
      </x:c>
      <x:c r="I764" s="44" t="n">
        <x:f>Lifecycle!G14</x:f>
        <x:v>0.03952829567165163</x:v>
      </x:c>
      <x:c r="J764" s="44" t="n">
        <x:v>0.10416666666666667</x:v>
      </x:c>
      <x:c r="K764" s="44" t="n">
        <x:f>I764*J764</x:f>
        <x:v>0.0041175307991303785</x:v>
      </x:c>
      <x:c r="L764" s="46" t="n">
        <x:v>0</x:v>
      </x:c>
      <x:c r="M764" s="46" t="n">
        <x:v>0</x:v>
      </x:c>
      <x:c r="N764" s="21" t="n">
        <x:f>IF(AND(L763=1,M763=1,P763&gt;0),1,0)</x:f>
        <x:v>0</x:v>
      </x:c>
      <x:c r="O764" s="21" t="n">
        <x:f>MIN('Root Data'!I232:I234)</x:f>
        <x:v>0</x:v>
      </x:c>
      <x:c r="P764" s="44" t="n">
        <x:f>IF(AND(L764=1,M764=1,N764=1,O764&gt;=G764),K764,0)</x:f>
        <x:v>0</x:v>
      </x:c>
      <x:c r="Q764" s="21" t="str">
        <x:v>OPEN</x:v>
      </x:c>
      <x:c r="R764" s="23" t="str">
        <x:v>HOLD</x:v>
      </x:c>
    </x:row>
    <x:row r="765">
      <x:c r="B765" s="21" t="str">
        <x:v>AR-00759</x:v>
      </x:c>
      <x:c r="C765" s="21" t="str">
        <x:v>F19-I4</x:v>
      </x:c>
      <x:c r="D765" s="21" t="str">
        <x:v>F19</x:v>
      </x:c>
      <x:c r="E765" s="21" t="n">
        <x:v>9</x:v>
      </x:c>
      <x:c r="F765" s="21" t="str">
        <x:v>Production release package</x:v>
      </x:c>
      <x:c r="G765" s="21" t="n">
        <x:v>28</x:v>
      </x:c>
      <x:c r="H765" s="21" t="str">
        <x:v>Production Release Board</x:v>
      </x:c>
      <x:c r="I765" s="44" t="n">
        <x:f>Lifecycle!G15</x:f>
        <x:v>0.01647012319652151</x:v>
      </x:c>
      <x:c r="J765" s="44" t="n">
        <x:v>0.10416666666666667</x:v>
      </x:c>
      <x:c r="K765" s="44" t="n">
        <x:f>I765*J765</x:f>
        <x:v>0.0017156378329709907</x:v>
      </x:c>
      <x:c r="L765" s="46" t="n">
        <x:v>0</x:v>
      </x:c>
      <x:c r="M765" s="46" t="n">
        <x:v>0</x:v>
      </x:c>
      <x:c r="N765" s="21" t="n">
        <x:f>IF(AND(L764=1,M764=1,P764&gt;0),1,0)</x:f>
        <x:v>0</x:v>
      </x:c>
      <x:c r="O765" s="21" t="n">
        <x:f>MIN('Root Data'!I232:I234)</x:f>
        <x:v>0</x:v>
      </x:c>
      <x:c r="P765" s="44" t="n">
        <x:f>IF(AND(L765=1,M765=1,N765=1,O765&gt;=G765),K765,0)</x:f>
        <x:v>0</x:v>
      </x:c>
      <x:c r="Q765" s="21" t="str">
        <x:v>OPEN</x:v>
      </x:c>
      <x:c r="R765" s="23" t="str">
        <x:v>HOLD</x:v>
      </x:c>
    </x:row>
    <x:row r="766">
      <x:c r="B766" s="21" t="str">
        <x:v>AR-00760</x:v>
      </x:c>
      <x:c r="C766" s="21" t="str">
        <x:v>F19-I4</x:v>
      </x:c>
      <x:c r="D766" s="21" t="str">
        <x:v>F19</x:v>
      </x:c>
      <x:c r="E766" s="21" t="n">
        <x:v>10</x:v>
      </x:c>
      <x:c r="F766" s="21" t="str">
        <x:v>Mobilization activation</x:v>
      </x:c>
      <x:c r="G766" s="21" t="n">
        <x:v>28</x:v>
      </x:c>
      <x:c r="H766" s="21" t="str">
        <x:v>Production Release Board</x:v>
      </x:c>
      <x:c r="I766" s="44" t="n">
        <x:f>Lifecycle!G16</x:f>
        <x:v>0.028262731405230914</x:v>
      </x:c>
      <x:c r="J766" s="44" t="n">
        <x:v>0.10416666666666667</x:v>
      </x:c>
      <x:c r="K766" s="44" t="n">
        <x:f>I766*J766</x:f>
        <x:v>0.0029440345213782204</x:v>
      </x:c>
      <x:c r="L766" s="46" t="n">
        <x:v>0</x:v>
      </x:c>
      <x:c r="M766" s="46" t="n">
        <x:v>0</x:v>
      </x:c>
      <x:c r="N766" s="21" t="n">
        <x:f>IF(AND(L765=1,M765=1,P765&gt;0),1,0)</x:f>
        <x:v>0</x:v>
      </x:c>
      <x:c r="O766" s="21" t="n">
        <x:f>MIN('Root Data'!I232:I234)</x:f>
        <x:v>0</x:v>
      </x:c>
      <x:c r="P766" s="44" t="n">
        <x:f>IF(AND(L766=1,M766=1,N766=1,O766&gt;=G766),K766,0)</x:f>
        <x:v>0</x:v>
      </x:c>
      <x:c r="Q766" s="21" t="str">
        <x:v>OPEN</x:v>
      </x:c>
      <x:c r="R766" s="23" t="str">
        <x:v>HOLD</x:v>
      </x:c>
    </x:row>
    <x:row r="767">
      <x:c r="B767" s="21" t="str">
        <x:v>AR-00761</x:v>
      </x:c>
      <x:c r="C767" s="21" t="str">
        <x:v>F20-I1</x:v>
      </x:c>
      <x:c r="D767" s="21" t="str">
        <x:v>F20</x:v>
      </x:c>
      <x:c r="E767" s="21" t="n">
        <x:v>1</x:v>
      </x:c>
      <x:c r="F767" s="21" t="str">
        <x:v>Civil effect charter</x:v>
      </x:c>
      <x:c r="G767" s="21" t="n">
        <x:v>0</x:v>
      </x:c>
      <x:c r="H767" s="21" t="str">
        <x:v>Civil Guarantee Authority</x:v>
      </x:c>
      <x:c r="I767" s="44" t="n">
        <x:f>Lifecycle!G7</x:f>
        <x:v>0.04941036958956453</x:v>
      </x:c>
      <x:c r="J767" s="44" t="n">
        <x:v>0.10416666666666667</x:v>
      </x:c>
      <x:c r="K767" s="44" t="n">
        <x:f>I767*J767</x:f>
        <x:v>0.005146913498912972</x:v>
      </x:c>
      <x:c r="L767" s="46" t="n">
        <x:v>0</x:v>
      </x:c>
      <x:c r="M767" s="46" t="n">
        <x:v>0</x:v>
      </x:c>
      <x:c r="N767" s="21" t="n">
        <x:f>1</x:f>
        <x:v>1</x:v>
      </x:c>
      <x:c r="O767" s="21" t="n">
        <x:f>MIN('Root Data'!I235:I237)</x:f>
        <x:v>0</x:v>
      </x:c>
      <x:c r="P767" s="44" t="n">
        <x:f>IF(AND(L767=1,M767=1,N767=1,O767&gt;=G767),K767,0)</x:f>
        <x:v>0</x:v>
      </x:c>
      <x:c r="Q767" s="21" t="str">
        <x:v>OPEN</x:v>
      </x:c>
      <x:c r="R767" s="23" t="str">
        <x:v>HOLD</x:v>
      </x:c>
    </x:row>
    <x:row r="768">
      <x:c r="B768" s="21" t="str">
        <x:v>AR-00762</x:v>
      </x:c>
      <x:c r="C768" s="21" t="str">
        <x:v>F20-I1</x:v>
      </x:c>
      <x:c r="D768" s="21" t="str">
        <x:v>F20</x:v>
      </x:c>
      <x:c r="E768" s="21" t="n">
        <x:v>2</x:v>
      </x:c>
      <x:c r="F768" s="21" t="str">
        <x:v>Requirement and root-independence package</x:v>
      </x:c>
      <x:c r="G768" s="21" t="n">
        <x:v>8</x:v>
      </x:c>
      <x:c r="H768" s="21" t="str">
        <x:v>Resilience Staff</x:v>
      </x:c>
      <x:c r="I768" s="44" t="n">
        <x:f>Lifecycle!G8</x:f>
        <x:v>0.10211476381843337</x:v>
      </x:c>
      <x:c r="J768" s="44" t="n">
        <x:v>0.10416666666666667</x:v>
      </x:c>
      <x:c r="K768" s="44" t="n">
        <x:f>I768*J768</x:f>
        <x:v>0.010636954564420143</x:v>
      </x:c>
      <x:c r="L768" s="46" t="n">
        <x:v>0</x:v>
      </x:c>
      <x:c r="M768" s="46" t="n">
        <x:v>0</x:v>
      </x:c>
      <x:c r="N768" s="21" t="n">
        <x:f>IF(AND(L767=1,M767=1,P767&gt;0),1,0)</x:f>
        <x:v>0</x:v>
      </x:c>
      <x:c r="O768" s="21" t="n">
        <x:f>MIN('Root Data'!I235:I237)</x:f>
        <x:v>0</x:v>
      </x:c>
      <x:c r="P768" s="44" t="n">
        <x:f>IF(AND(L768=1,M768=1,N768=1,O768&gt;=G768),K768,0)</x:f>
        <x:v>0</x:v>
      </x:c>
      <x:c r="Q768" s="21" t="str">
        <x:v>OPEN</x:v>
      </x:c>
      <x:c r="R768" s="23" t="str">
        <x:v>HOLD</x:v>
      </x:c>
    </x:row>
    <x:row r="769">
      <x:c r="B769" s="21" t="str">
        <x:v>AR-00763</x:v>
      </x:c>
      <x:c r="C769" s="21" t="str">
        <x:v>F20-I1</x:v>
      </x:c>
      <x:c r="D769" s="21" t="str">
        <x:v>F20</x:v>
      </x:c>
      <x:c r="E769" s="21" t="n">
        <x:v>3</x:v>
      </x:c>
      <x:c r="F769" s="21" t="str">
        <x:v>Architecture and burden closure</x:v>
      </x:c>
      <x:c r="G769" s="21" t="n">
        <x:v>14</x:v>
      </x:c>
      <x:c r="H769" s="21" t="str">
        <x:v>Independent Evidence and Data Authority</x:v>
      </x:c>
      <x:c r="I769" s="44" t="n">
        <x:f>Lifecycle!G9</x:f>
        <x:v>0.08564464062191186</x:v>
      </x:c>
      <x:c r="J769" s="44" t="n">
        <x:v>0.10416666666666667</x:v>
      </x:c>
      <x:c r="K769" s="44" t="n">
        <x:f>I769*J769</x:f>
        <x:v>0.008921316731449153</x:v>
      </x:c>
      <x:c r="L769" s="46" t="n">
        <x:v>0</x:v>
      </x:c>
      <x:c r="M769" s="46" t="n">
        <x:v>0</x:v>
      </x:c>
      <x:c r="N769" s="21" t="n">
        <x:f>IF(AND(L768=1,M768=1,P768&gt;0),1,0)</x:f>
        <x:v>0</x:v>
      </x:c>
      <x:c r="O769" s="21" t="n">
        <x:f>MIN('Root Data'!I235:I237)</x:f>
        <x:v>0</x:v>
      </x:c>
      <x:c r="P769" s="44" t="n">
        <x:f>IF(AND(L769=1,M769=1,N769=1,O769&gt;=G769),K769,0)</x:f>
        <x:v>0</x:v>
      </x:c>
      <x:c r="Q769" s="21" t="str">
        <x:v>OPEN</x:v>
      </x:c>
      <x:c r="R769" s="23" t="str">
        <x:v>HOLD</x:v>
      </x:c>
    </x:row>
    <x:row r="770">
      <x:c r="B770" s="21" t="str">
        <x:v>AR-00764</x:v>
      </x:c>
      <x:c r="C770" s="21" t="str">
        <x:v>F20-I1</x:v>
      </x:c>
      <x:c r="D770" s="21" t="str">
        <x:v>F20</x:v>
      </x:c>
      <x:c r="E770" s="21" t="n">
        <x:v>4</x:v>
      </x:c>
      <x:c r="F770" s="21" t="str">
        <x:v>Engineering article acceptance</x:v>
      </x:c>
      <x:c r="G770" s="21" t="n">
        <x:v>18</x:v>
      </x:c>
      <x:c r="H770" s="21" t="str">
        <x:v>Independent Evidence and Data Authority</x:v>
      </x:c>
      <x:c r="I770" s="44" t="n">
        <x:f>Lifecycle!G10</x:f>
        <x:v>0.05929244350747744</x:v>
      </x:c>
      <x:c r="J770" s="44" t="n">
        <x:v>0.10416666666666667</x:v>
      </x:c>
      <x:c r="K770" s="44" t="n">
        <x:f>I770*J770</x:f>
        <x:v>0.006176296198695567</x:v>
      </x:c>
      <x:c r="L770" s="46" t="n">
        <x:v>0</x:v>
      </x:c>
      <x:c r="M770" s="46" t="n">
        <x:v>0</x:v>
      </x:c>
      <x:c r="N770" s="21" t="n">
        <x:f>IF(AND(L769=1,M769=1,P769&gt;0),1,0)</x:f>
        <x:v>0</x:v>
      </x:c>
      <x:c r="O770" s="21" t="n">
        <x:f>MIN('Root Data'!I235:I237)</x:f>
        <x:v>0</x:v>
      </x:c>
      <x:c r="P770" s="44" t="n">
        <x:f>IF(AND(L770=1,M770=1,N770=1,O770&gt;=G770),K770,0)</x:f>
        <x:v>0</x:v>
      </x:c>
      <x:c r="Q770" s="21" t="str">
        <x:v>OPEN</x:v>
      </x:c>
      <x:c r="R770" s="23" t="str">
        <x:v>HOLD</x:v>
      </x:c>
    </x:row>
    <x:row r="771">
      <x:c r="B771" s="21" t="str">
        <x:v>AR-00765</x:v>
      </x:c>
      <x:c r="C771" s="21" t="str">
        <x:v>F20-I1</x:v>
      </x:c>
      <x:c r="D771" s="21" t="str">
        <x:v>F20</x:v>
      </x:c>
      <x:c r="E771" s="21" t="n">
        <x:v>5</x:v>
      </x:c>
      <x:c r="F771" s="21" t="str">
        <x:v>Qualification and destructive evidence</x:v>
      </x:c>
      <x:c r="G771" s="21" t="n">
        <x:v>21</x:v>
      </x:c>
      <x:c r="H771" s="21" t="str">
        <x:v>Independent Evidence and Data Authority</x:v>
      </x:c>
      <x:c r="I771" s="44" t="n">
        <x:f>Lifecycle!G11</x:f>
        <x:v>0.1515251334079979</x:v>
      </x:c>
      <x:c r="J771" s="44" t="n">
        <x:v>0.10416666666666667</x:v>
      </x:c>
      <x:c r="K771" s="44" t="n">
        <x:f>I771*J771</x:f>
        <x:v>0.015783868063333116</x:v>
      </x:c>
      <x:c r="L771" s="46" t="n">
        <x:v>0</x:v>
      </x:c>
      <x:c r="M771" s="46" t="n">
        <x:v>0</x:v>
      </x:c>
      <x:c r="N771" s="21" t="n">
        <x:f>IF(AND(L770=1,M770=1,P770&gt;0),1,0)</x:f>
        <x:v>0</x:v>
      </x:c>
      <x:c r="O771" s="21" t="n">
        <x:f>MIN('Root Data'!I235:I237)</x:f>
        <x:v>0</x:v>
      </x:c>
      <x:c r="P771" s="44" t="n">
        <x:f>IF(AND(L771=1,M771=1,N771=1,O771&gt;=G771),K771,0)</x:f>
        <x:v>0</x:v>
      </x:c>
      <x:c r="Q771" s="21" t="str">
        <x:v>OPEN</x:v>
      </x:c>
      <x:c r="R771" s="23" t="str">
        <x:v>HOLD</x:v>
      </x:c>
    </x:row>
    <x:row r="772">
      <x:c r="B772" s="21" t="str">
        <x:v>AR-00766</x:v>
      </x:c>
      <x:c r="C772" s="21" t="str">
        <x:v>F20-I1</x:v>
      </x:c>
      <x:c r="D772" s="21" t="str">
        <x:v>F20</x:v>
      </x:c>
      <x:c r="E772" s="21" t="n">
        <x:v>6</x:v>
      </x:c>
      <x:c r="F772" s="21" t="str">
        <x:v>Representative mission result</x:v>
      </x:c>
      <x:c r="G772" s="21" t="n">
        <x:v>23</x:v>
      </x:c>
      <x:c r="H772" s="21" t="str">
        <x:v>Receiving Service Authority</x:v>
      </x:c>
      <x:c r="I772" s="44" t="n">
        <x:f>Lifecycle!G12</x:f>
        <x:v>0.250345872587127</x:v>
      </x:c>
      <x:c r="J772" s="44" t="n">
        <x:v>0.10416666666666667</x:v>
      </x:c>
      <x:c r="K772" s="44" t="n">
        <x:f>I772*J772</x:f>
        <x:v>0.026077695061159062</x:v>
      </x:c>
      <x:c r="L772" s="46" t="n">
        <x:v>0</x:v>
      </x:c>
      <x:c r="M772" s="46" t="n">
        <x:v>0</x:v>
      </x:c>
      <x:c r="N772" s="21" t="n">
        <x:f>IF(AND(L771=1,M771=1,P771&gt;0),1,0)</x:f>
        <x:v>0</x:v>
      </x:c>
      <x:c r="O772" s="21" t="n">
        <x:f>MIN('Root Data'!I235:I237)</x:f>
        <x:v>0</x:v>
      </x:c>
      <x:c r="P772" s="44" t="n">
        <x:f>IF(AND(L772=1,M772=1,N772=1,O772&gt;=G772),K772,0)</x:f>
        <x:v>0</x:v>
      </x:c>
      <x:c r="Q772" s="21" t="str">
        <x:v>OPEN</x:v>
      </x:c>
      <x:c r="R772" s="23" t="str">
        <x:v>HOLD</x:v>
      </x:c>
    </x:row>
    <x:row r="773">
      <x:c r="B773" s="21" t="str">
        <x:v>AR-00767</x:v>
      </x:c>
      <x:c r="C773" s="21" t="str">
        <x:v>F20-I1</x:v>
      </x:c>
      <x:c r="D773" s="21" t="str">
        <x:v>F20</x:v>
      </x:c>
      <x:c r="E773" s="21" t="n">
        <x:v>7</x:v>
      </x:c>
      <x:c r="F773" s="21" t="str">
        <x:v>Independent reproduction</x:v>
      </x:c>
      <x:c r="G773" s="21" t="n">
        <x:v>28</x:v>
      </x:c>
      <x:c r="H773" s="21" t="str">
        <x:v>Independent Evidence and Data Authority</x:v>
      </x:c>
      <x:c r="I773" s="44" t="n">
        <x:f>Lifecycle!G13</x:f>
        <x:v>0.21740562619408393</x:v>
      </x:c>
      <x:c r="J773" s="44" t="n">
        <x:v>0.10416666666666667</x:v>
      </x:c>
      <x:c r="K773" s="44" t="n">
        <x:f>I773*J773</x:f>
        <x:v>0.02264641939521708</x:v>
      </x:c>
      <x:c r="L773" s="46" t="n">
        <x:v>0</x:v>
      </x:c>
      <x:c r="M773" s="46" t="n">
        <x:v>0</x:v>
      </x:c>
      <x:c r="N773" s="21" t="n">
        <x:f>IF(AND(L772=1,M772=1,P772&gt;0),1,0)</x:f>
        <x:v>0</x:v>
      </x:c>
      <x:c r="O773" s="21" t="n">
        <x:f>MIN('Root Data'!I235:I237)</x:f>
        <x:v>0</x:v>
      </x:c>
      <x:c r="P773" s="44" t="n">
        <x:f>IF(AND(L773=1,M773=1,N773=1,O773&gt;=G773),K773,0)</x:f>
        <x:v>0</x:v>
      </x:c>
      <x:c r="Q773" s="21" t="str">
        <x:v>OPEN</x:v>
      </x:c>
      <x:c r="R773" s="23" t="str">
        <x:v>HOLD</x:v>
      </x:c>
    </x:row>
    <x:row r="774">
      <x:c r="B774" s="21" t="str">
        <x:v>AR-00768</x:v>
      </x:c>
      <x:c r="C774" s="21" t="str">
        <x:v>F20-I1</x:v>
      </x:c>
      <x:c r="D774" s="21" t="str">
        <x:v>F20</x:v>
      </x:c>
      <x:c r="E774" s="21" t="n">
        <x:v>8</x:v>
      </x:c>
      <x:c r="F774" s="21" t="str">
        <x:v>Pilot-process qualification</x:v>
      </x:c>
      <x:c r="G774" s="21" t="n">
        <x:v>28</x:v>
      </x:c>
      <x:c r="H774" s="21" t="str">
        <x:v>AIMC Industrial Mobilization Authority</x:v>
      </x:c>
      <x:c r="I774" s="44" t="n">
        <x:f>Lifecycle!G14</x:f>
        <x:v>0.03952829567165163</x:v>
      </x:c>
      <x:c r="J774" s="44" t="n">
        <x:v>0.10416666666666667</x:v>
      </x:c>
      <x:c r="K774" s="44" t="n">
        <x:f>I774*J774</x:f>
        <x:v>0.0041175307991303785</x:v>
      </x:c>
      <x:c r="L774" s="46" t="n">
        <x:v>0</x:v>
      </x:c>
      <x:c r="M774" s="46" t="n">
        <x:v>0</x:v>
      </x:c>
      <x:c r="N774" s="21" t="n">
        <x:f>IF(AND(L773=1,M773=1,P773&gt;0),1,0)</x:f>
        <x:v>0</x:v>
      </x:c>
      <x:c r="O774" s="21" t="n">
        <x:f>MIN('Root Data'!I235:I237)</x:f>
        <x:v>0</x:v>
      </x:c>
      <x:c r="P774" s="44" t="n">
        <x:f>IF(AND(L774=1,M774=1,N774=1,O774&gt;=G774),K774,0)</x:f>
        <x:v>0</x:v>
      </x:c>
      <x:c r="Q774" s="21" t="str">
        <x:v>OPEN</x:v>
      </x:c>
      <x:c r="R774" s="23" t="str">
        <x:v>HOLD</x:v>
      </x:c>
    </x:row>
    <x:row r="775">
      <x:c r="B775" s="21" t="str">
        <x:v>AR-00769</x:v>
      </x:c>
      <x:c r="C775" s="21" t="str">
        <x:v>F20-I1</x:v>
      </x:c>
      <x:c r="D775" s="21" t="str">
        <x:v>F20</x:v>
      </x:c>
      <x:c r="E775" s="21" t="n">
        <x:v>9</x:v>
      </x:c>
      <x:c r="F775" s="21" t="str">
        <x:v>Production release package</x:v>
      </x:c>
      <x:c r="G775" s="21" t="n">
        <x:v>28</x:v>
      </x:c>
      <x:c r="H775" s="21" t="str">
        <x:v>Production Release Board</x:v>
      </x:c>
      <x:c r="I775" s="44" t="n">
        <x:f>Lifecycle!G15</x:f>
        <x:v>0.01647012319652151</x:v>
      </x:c>
      <x:c r="J775" s="44" t="n">
        <x:v>0.10416666666666667</x:v>
      </x:c>
      <x:c r="K775" s="44" t="n">
        <x:f>I775*J775</x:f>
        <x:v>0.0017156378329709907</x:v>
      </x:c>
      <x:c r="L775" s="46" t="n">
        <x:v>0</x:v>
      </x:c>
      <x:c r="M775" s="46" t="n">
        <x:v>0</x:v>
      </x:c>
      <x:c r="N775" s="21" t="n">
        <x:f>IF(AND(L774=1,M774=1,P774&gt;0),1,0)</x:f>
        <x:v>0</x:v>
      </x:c>
      <x:c r="O775" s="21" t="n">
        <x:f>MIN('Root Data'!I235:I237)</x:f>
        <x:v>0</x:v>
      </x:c>
      <x:c r="P775" s="44" t="n">
        <x:f>IF(AND(L775=1,M775=1,N775=1,O775&gt;=G775),K775,0)</x:f>
        <x:v>0</x:v>
      </x:c>
      <x:c r="Q775" s="21" t="str">
        <x:v>OPEN</x:v>
      </x:c>
      <x:c r="R775" s="23" t="str">
        <x:v>HOLD</x:v>
      </x:c>
    </x:row>
    <x:row r="776">
      <x:c r="B776" s="21" t="str">
        <x:v>AR-00770</x:v>
      </x:c>
      <x:c r="C776" s="21" t="str">
        <x:v>F20-I1</x:v>
      </x:c>
      <x:c r="D776" s="21" t="str">
        <x:v>F20</x:v>
      </x:c>
      <x:c r="E776" s="21" t="n">
        <x:v>10</x:v>
      </x:c>
      <x:c r="F776" s="21" t="str">
        <x:v>Mobilization activation</x:v>
      </x:c>
      <x:c r="G776" s="21" t="n">
        <x:v>28</x:v>
      </x:c>
      <x:c r="H776" s="21" t="str">
        <x:v>Production Release Board</x:v>
      </x:c>
      <x:c r="I776" s="44" t="n">
        <x:f>Lifecycle!G16</x:f>
        <x:v>0.028262731405230914</x:v>
      </x:c>
      <x:c r="J776" s="44" t="n">
        <x:v>0.10416666666666667</x:v>
      </x:c>
      <x:c r="K776" s="44" t="n">
        <x:f>I776*J776</x:f>
        <x:v>0.0029440345213782204</x:v>
      </x:c>
      <x:c r="L776" s="46" t="n">
        <x:v>0</x:v>
      </x:c>
      <x:c r="M776" s="46" t="n">
        <x:v>0</x:v>
      </x:c>
      <x:c r="N776" s="21" t="n">
        <x:f>IF(AND(L775=1,M775=1,P775&gt;0),1,0)</x:f>
        <x:v>0</x:v>
      </x:c>
      <x:c r="O776" s="21" t="n">
        <x:f>MIN('Root Data'!I235:I237)</x:f>
        <x:v>0</x:v>
      </x:c>
      <x:c r="P776" s="44" t="n">
        <x:f>IF(AND(L776=1,M776=1,N776=1,O776&gt;=G776),K776,0)</x:f>
        <x:v>0</x:v>
      </x:c>
      <x:c r="Q776" s="21" t="str">
        <x:v>OPEN</x:v>
      </x:c>
      <x:c r="R776" s="23" t="str">
        <x:v>HOLD</x:v>
      </x:c>
    </x:row>
    <x:row r="777">
      <x:c r="B777" s="21" t="str">
        <x:v>AR-00771</x:v>
      </x:c>
      <x:c r="C777" s="21" t="str">
        <x:v>F20-I2</x:v>
      </x:c>
      <x:c r="D777" s="21" t="str">
        <x:v>F20</x:v>
      </x:c>
      <x:c r="E777" s="21" t="n">
        <x:v>1</x:v>
      </x:c>
      <x:c r="F777" s="21" t="str">
        <x:v>Civil effect charter</x:v>
      </x:c>
      <x:c r="G777" s="21" t="n">
        <x:v>0</x:v>
      </x:c>
      <x:c r="H777" s="21" t="str">
        <x:v>Civil Guarantee Authority</x:v>
      </x:c>
      <x:c r="I777" s="44" t="n">
        <x:f>Lifecycle!G7</x:f>
        <x:v>0.04941036958956453</x:v>
      </x:c>
      <x:c r="J777" s="44" t="n">
        <x:v>0.10416666666666667</x:v>
      </x:c>
      <x:c r="K777" s="44" t="n">
        <x:f>I777*J777</x:f>
        <x:v>0.005146913498912972</x:v>
      </x:c>
      <x:c r="L777" s="46" t="n">
        <x:v>0</x:v>
      </x:c>
      <x:c r="M777" s="46" t="n">
        <x:v>0</x:v>
      </x:c>
      <x:c r="N777" s="21" t="n">
        <x:f>1</x:f>
        <x:v>1</x:v>
      </x:c>
      <x:c r="O777" s="21" t="n">
        <x:f>MIN('Root Data'!I238:I240)</x:f>
        <x:v>0</x:v>
      </x:c>
      <x:c r="P777" s="44" t="n">
        <x:f>IF(AND(L777=1,M777=1,N777=1,O777&gt;=G777),K777,0)</x:f>
        <x:v>0</x:v>
      </x:c>
      <x:c r="Q777" s="21" t="str">
        <x:v>OPEN</x:v>
      </x:c>
      <x:c r="R777" s="23" t="str">
        <x:v>HOLD</x:v>
      </x:c>
    </x:row>
    <x:row r="778">
      <x:c r="B778" s="21" t="str">
        <x:v>AR-00772</x:v>
      </x:c>
      <x:c r="C778" s="21" t="str">
        <x:v>F20-I2</x:v>
      </x:c>
      <x:c r="D778" s="21" t="str">
        <x:v>F20</x:v>
      </x:c>
      <x:c r="E778" s="21" t="n">
        <x:v>2</x:v>
      </x:c>
      <x:c r="F778" s="21" t="str">
        <x:v>Requirement and root-independence package</x:v>
      </x:c>
      <x:c r="G778" s="21" t="n">
        <x:v>8</x:v>
      </x:c>
      <x:c r="H778" s="21" t="str">
        <x:v>Resilience Staff</x:v>
      </x:c>
      <x:c r="I778" s="44" t="n">
        <x:f>Lifecycle!G8</x:f>
        <x:v>0.10211476381843337</x:v>
      </x:c>
      <x:c r="J778" s="44" t="n">
        <x:v>0.10416666666666667</x:v>
      </x:c>
      <x:c r="K778" s="44" t="n">
        <x:f>I778*J778</x:f>
        <x:v>0.010636954564420143</x:v>
      </x:c>
      <x:c r="L778" s="46" t="n">
        <x:v>0</x:v>
      </x:c>
      <x:c r="M778" s="46" t="n">
        <x:v>0</x:v>
      </x:c>
      <x:c r="N778" s="21" t="n">
        <x:f>IF(AND(L777=1,M777=1,P777&gt;0),1,0)</x:f>
        <x:v>0</x:v>
      </x:c>
      <x:c r="O778" s="21" t="n">
        <x:f>MIN('Root Data'!I238:I240)</x:f>
        <x:v>0</x:v>
      </x:c>
      <x:c r="P778" s="44" t="n">
        <x:f>IF(AND(L778=1,M778=1,N778=1,O778&gt;=G778),K778,0)</x:f>
        <x:v>0</x:v>
      </x:c>
      <x:c r="Q778" s="21" t="str">
        <x:v>OPEN</x:v>
      </x:c>
      <x:c r="R778" s="23" t="str">
        <x:v>HOLD</x:v>
      </x:c>
    </x:row>
    <x:row r="779">
      <x:c r="B779" s="21" t="str">
        <x:v>AR-00773</x:v>
      </x:c>
      <x:c r="C779" s="21" t="str">
        <x:v>F20-I2</x:v>
      </x:c>
      <x:c r="D779" s="21" t="str">
        <x:v>F20</x:v>
      </x:c>
      <x:c r="E779" s="21" t="n">
        <x:v>3</x:v>
      </x:c>
      <x:c r="F779" s="21" t="str">
        <x:v>Architecture and burden closure</x:v>
      </x:c>
      <x:c r="G779" s="21" t="n">
        <x:v>14</x:v>
      </x:c>
      <x:c r="H779" s="21" t="str">
        <x:v>Independent Evidence and Data Authority</x:v>
      </x:c>
      <x:c r="I779" s="44" t="n">
        <x:f>Lifecycle!G9</x:f>
        <x:v>0.08564464062191186</x:v>
      </x:c>
      <x:c r="J779" s="44" t="n">
        <x:v>0.10416666666666667</x:v>
      </x:c>
      <x:c r="K779" s="44" t="n">
        <x:f>I779*J779</x:f>
        <x:v>0.008921316731449153</x:v>
      </x:c>
      <x:c r="L779" s="46" t="n">
        <x:v>0</x:v>
      </x:c>
      <x:c r="M779" s="46" t="n">
        <x:v>0</x:v>
      </x:c>
      <x:c r="N779" s="21" t="n">
        <x:f>IF(AND(L778=1,M778=1,P778&gt;0),1,0)</x:f>
        <x:v>0</x:v>
      </x:c>
      <x:c r="O779" s="21" t="n">
        <x:f>MIN('Root Data'!I238:I240)</x:f>
        <x:v>0</x:v>
      </x:c>
      <x:c r="P779" s="44" t="n">
        <x:f>IF(AND(L779=1,M779=1,N779=1,O779&gt;=G779),K779,0)</x:f>
        <x:v>0</x:v>
      </x:c>
      <x:c r="Q779" s="21" t="str">
        <x:v>OPEN</x:v>
      </x:c>
      <x:c r="R779" s="23" t="str">
        <x:v>HOLD</x:v>
      </x:c>
    </x:row>
    <x:row r="780">
      <x:c r="B780" s="21" t="str">
        <x:v>AR-00774</x:v>
      </x:c>
      <x:c r="C780" s="21" t="str">
        <x:v>F20-I2</x:v>
      </x:c>
      <x:c r="D780" s="21" t="str">
        <x:v>F20</x:v>
      </x:c>
      <x:c r="E780" s="21" t="n">
        <x:v>4</x:v>
      </x:c>
      <x:c r="F780" s="21" t="str">
        <x:v>Engineering article acceptance</x:v>
      </x:c>
      <x:c r="G780" s="21" t="n">
        <x:v>18</x:v>
      </x:c>
      <x:c r="H780" s="21" t="str">
        <x:v>Independent Evidence and Data Authority</x:v>
      </x:c>
      <x:c r="I780" s="44" t="n">
        <x:f>Lifecycle!G10</x:f>
        <x:v>0.05929244350747744</x:v>
      </x:c>
      <x:c r="J780" s="44" t="n">
        <x:v>0.10416666666666667</x:v>
      </x:c>
      <x:c r="K780" s="44" t="n">
        <x:f>I780*J780</x:f>
        <x:v>0.006176296198695567</x:v>
      </x:c>
      <x:c r="L780" s="46" t="n">
        <x:v>0</x:v>
      </x:c>
      <x:c r="M780" s="46" t="n">
        <x:v>0</x:v>
      </x:c>
      <x:c r="N780" s="21" t="n">
        <x:f>IF(AND(L779=1,M779=1,P779&gt;0),1,0)</x:f>
        <x:v>0</x:v>
      </x:c>
      <x:c r="O780" s="21" t="n">
        <x:f>MIN('Root Data'!I238:I240)</x:f>
        <x:v>0</x:v>
      </x:c>
      <x:c r="P780" s="44" t="n">
        <x:f>IF(AND(L780=1,M780=1,N780=1,O780&gt;=G780),K780,0)</x:f>
        <x:v>0</x:v>
      </x:c>
      <x:c r="Q780" s="21" t="str">
        <x:v>OPEN</x:v>
      </x:c>
      <x:c r="R780" s="23" t="str">
        <x:v>HOLD</x:v>
      </x:c>
    </x:row>
    <x:row r="781">
      <x:c r="B781" s="21" t="str">
        <x:v>AR-00775</x:v>
      </x:c>
      <x:c r="C781" s="21" t="str">
        <x:v>F20-I2</x:v>
      </x:c>
      <x:c r="D781" s="21" t="str">
        <x:v>F20</x:v>
      </x:c>
      <x:c r="E781" s="21" t="n">
        <x:v>5</x:v>
      </x:c>
      <x:c r="F781" s="21" t="str">
        <x:v>Qualification and destructive evidence</x:v>
      </x:c>
      <x:c r="G781" s="21" t="n">
        <x:v>21</x:v>
      </x:c>
      <x:c r="H781" s="21" t="str">
        <x:v>Independent Evidence and Data Authority</x:v>
      </x:c>
      <x:c r="I781" s="44" t="n">
        <x:f>Lifecycle!G11</x:f>
        <x:v>0.1515251334079979</x:v>
      </x:c>
      <x:c r="J781" s="44" t="n">
        <x:v>0.10416666666666667</x:v>
      </x:c>
      <x:c r="K781" s="44" t="n">
        <x:f>I781*J781</x:f>
        <x:v>0.015783868063333116</x:v>
      </x:c>
      <x:c r="L781" s="46" t="n">
        <x:v>0</x:v>
      </x:c>
      <x:c r="M781" s="46" t="n">
        <x:v>0</x:v>
      </x:c>
      <x:c r="N781" s="21" t="n">
        <x:f>IF(AND(L780=1,M780=1,P780&gt;0),1,0)</x:f>
        <x:v>0</x:v>
      </x:c>
      <x:c r="O781" s="21" t="n">
        <x:f>MIN('Root Data'!I238:I240)</x:f>
        <x:v>0</x:v>
      </x:c>
      <x:c r="P781" s="44" t="n">
        <x:f>IF(AND(L781=1,M781=1,N781=1,O781&gt;=G781),K781,0)</x:f>
        <x:v>0</x:v>
      </x:c>
      <x:c r="Q781" s="21" t="str">
        <x:v>OPEN</x:v>
      </x:c>
      <x:c r="R781" s="23" t="str">
        <x:v>HOLD</x:v>
      </x:c>
    </x:row>
    <x:row r="782">
      <x:c r="B782" s="21" t="str">
        <x:v>AR-00776</x:v>
      </x:c>
      <x:c r="C782" s="21" t="str">
        <x:v>F20-I2</x:v>
      </x:c>
      <x:c r="D782" s="21" t="str">
        <x:v>F20</x:v>
      </x:c>
      <x:c r="E782" s="21" t="n">
        <x:v>6</x:v>
      </x:c>
      <x:c r="F782" s="21" t="str">
        <x:v>Representative mission result</x:v>
      </x:c>
      <x:c r="G782" s="21" t="n">
        <x:v>23</x:v>
      </x:c>
      <x:c r="H782" s="21" t="str">
        <x:v>Receiving Service Authority</x:v>
      </x:c>
      <x:c r="I782" s="44" t="n">
        <x:f>Lifecycle!G12</x:f>
        <x:v>0.250345872587127</x:v>
      </x:c>
      <x:c r="J782" s="44" t="n">
        <x:v>0.10416666666666667</x:v>
      </x:c>
      <x:c r="K782" s="44" t="n">
        <x:f>I782*J782</x:f>
        <x:v>0.026077695061159062</x:v>
      </x:c>
      <x:c r="L782" s="46" t="n">
        <x:v>0</x:v>
      </x:c>
      <x:c r="M782" s="46" t="n">
        <x:v>0</x:v>
      </x:c>
      <x:c r="N782" s="21" t="n">
        <x:f>IF(AND(L781=1,M781=1,P781&gt;0),1,0)</x:f>
        <x:v>0</x:v>
      </x:c>
      <x:c r="O782" s="21" t="n">
        <x:f>MIN('Root Data'!I238:I240)</x:f>
        <x:v>0</x:v>
      </x:c>
      <x:c r="P782" s="44" t="n">
        <x:f>IF(AND(L782=1,M782=1,N782=1,O782&gt;=G782),K782,0)</x:f>
        <x:v>0</x:v>
      </x:c>
      <x:c r="Q782" s="21" t="str">
        <x:v>OPEN</x:v>
      </x:c>
      <x:c r="R782" s="23" t="str">
        <x:v>HOLD</x:v>
      </x:c>
    </x:row>
    <x:row r="783">
      <x:c r="B783" s="21" t="str">
        <x:v>AR-00777</x:v>
      </x:c>
      <x:c r="C783" s="21" t="str">
        <x:v>F20-I2</x:v>
      </x:c>
      <x:c r="D783" s="21" t="str">
        <x:v>F20</x:v>
      </x:c>
      <x:c r="E783" s="21" t="n">
        <x:v>7</x:v>
      </x:c>
      <x:c r="F783" s="21" t="str">
        <x:v>Independent reproduction</x:v>
      </x:c>
      <x:c r="G783" s="21" t="n">
        <x:v>28</x:v>
      </x:c>
      <x:c r="H783" s="21" t="str">
        <x:v>Independent Evidence and Data Authority</x:v>
      </x:c>
      <x:c r="I783" s="44" t="n">
        <x:f>Lifecycle!G13</x:f>
        <x:v>0.21740562619408393</x:v>
      </x:c>
      <x:c r="J783" s="44" t="n">
        <x:v>0.10416666666666667</x:v>
      </x:c>
      <x:c r="K783" s="44" t="n">
        <x:f>I783*J783</x:f>
        <x:v>0.02264641939521708</x:v>
      </x:c>
      <x:c r="L783" s="46" t="n">
        <x:v>0</x:v>
      </x:c>
      <x:c r="M783" s="46" t="n">
        <x:v>0</x:v>
      </x:c>
      <x:c r="N783" s="21" t="n">
        <x:f>IF(AND(L782=1,M782=1,P782&gt;0),1,0)</x:f>
        <x:v>0</x:v>
      </x:c>
      <x:c r="O783" s="21" t="n">
        <x:f>MIN('Root Data'!I238:I240)</x:f>
        <x:v>0</x:v>
      </x:c>
      <x:c r="P783" s="44" t="n">
        <x:f>IF(AND(L783=1,M783=1,N783=1,O783&gt;=G783),K783,0)</x:f>
        <x:v>0</x:v>
      </x:c>
      <x:c r="Q783" s="21" t="str">
        <x:v>OPEN</x:v>
      </x:c>
      <x:c r="R783" s="23" t="str">
        <x:v>HOLD</x:v>
      </x:c>
    </x:row>
    <x:row r="784">
      <x:c r="B784" s="21" t="str">
        <x:v>AR-00778</x:v>
      </x:c>
      <x:c r="C784" s="21" t="str">
        <x:v>F20-I2</x:v>
      </x:c>
      <x:c r="D784" s="21" t="str">
        <x:v>F20</x:v>
      </x:c>
      <x:c r="E784" s="21" t="n">
        <x:v>8</x:v>
      </x:c>
      <x:c r="F784" s="21" t="str">
        <x:v>Pilot-process qualification</x:v>
      </x:c>
      <x:c r="G784" s="21" t="n">
        <x:v>28</x:v>
      </x:c>
      <x:c r="H784" s="21" t="str">
        <x:v>AIMC Industrial Mobilization Authority</x:v>
      </x:c>
      <x:c r="I784" s="44" t="n">
        <x:f>Lifecycle!G14</x:f>
        <x:v>0.03952829567165163</x:v>
      </x:c>
      <x:c r="J784" s="44" t="n">
        <x:v>0.10416666666666667</x:v>
      </x:c>
      <x:c r="K784" s="44" t="n">
        <x:f>I784*J784</x:f>
        <x:v>0.0041175307991303785</x:v>
      </x:c>
      <x:c r="L784" s="46" t="n">
        <x:v>0</x:v>
      </x:c>
      <x:c r="M784" s="46" t="n">
        <x:v>0</x:v>
      </x:c>
      <x:c r="N784" s="21" t="n">
        <x:f>IF(AND(L783=1,M783=1,P783&gt;0),1,0)</x:f>
        <x:v>0</x:v>
      </x:c>
      <x:c r="O784" s="21" t="n">
        <x:f>MIN('Root Data'!I238:I240)</x:f>
        <x:v>0</x:v>
      </x:c>
      <x:c r="P784" s="44" t="n">
        <x:f>IF(AND(L784=1,M784=1,N784=1,O784&gt;=G784),K784,0)</x:f>
        <x:v>0</x:v>
      </x:c>
      <x:c r="Q784" s="21" t="str">
        <x:v>OPEN</x:v>
      </x:c>
      <x:c r="R784" s="23" t="str">
        <x:v>HOLD</x:v>
      </x:c>
    </x:row>
    <x:row r="785">
      <x:c r="B785" s="21" t="str">
        <x:v>AR-00779</x:v>
      </x:c>
      <x:c r="C785" s="21" t="str">
        <x:v>F20-I2</x:v>
      </x:c>
      <x:c r="D785" s="21" t="str">
        <x:v>F20</x:v>
      </x:c>
      <x:c r="E785" s="21" t="n">
        <x:v>9</x:v>
      </x:c>
      <x:c r="F785" s="21" t="str">
        <x:v>Production release package</x:v>
      </x:c>
      <x:c r="G785" s="21" t="n">
        <x:v>28</x:v>
      </x:c>
      <x:c r="H785" s="21" t="str">
        <x:v>Production Release Board</x:v>
      </x:c>
      <x:c r="I785" s="44" t="n">
        <x:f>Lifecycle!G15</x:f>
        <x:v>0.01647012319652151</x:v>
      </x:c>
      <x:c r="J785" s="44" t="n">
        <x:v>0.10416666666666667</x:v>
      </x:c>
      <x:c r="K785" s="44" t="n">
        <x:f>I785*J785</x:f>
        <x:v>0.0017156378329709907</x:v>
      </x:c>
      <x:c r="L785" s="46" t="n">
        <x:v>0</x:v>
      </x:c>
      <x:c r="M785" s="46" t="n">
        <x:v>0</x:v>
      </x:c>
      <x:c r="N785" s="21" t="n">
        <x:f>IF(AND(L784=1,M784=1,P784&gt;0),1,0)</x:f>
        <x:v>0</x:v>
      </x:c>
      <x:c r="O785" s="21" t="n">
        <x:f>MIN('Root Data'!I238:I240)</x:f>
        <x:v>0</x:v>
      </x:c>
      <x:c r="P785" s="44" t="n">
        <x:f>IF(AND(L785=1,M785=1,N785=1,O785&gt;=G785),K785,0)</x:f>
        <x:v>0</x:v>
      </x:c>
      <x:c r="Q785" s="21" t="str">
        <x:v>OPEN</x:v>
      </x:c>
      <x:c r="R785" s="23" t="str">
        <x:v>HOLD</x:v>
      </x:c>
    </x:row>
    <x:row r="786">
      <x:c r="B786" s="21" t="str">
        <x:v>AR-00780</x:v>
      </x:c>
      <x:c r="C786" s="21" t="str">
        <x:v>F20-I2</x:v>
      </x:c>
      <x:c r="D786" s="21" t="str">
        <x:v>F20</x:v>
      </x:c>
      <x:c r="E786" s="21" t="n">
        <x:v>10</x:v>
      </x:c>
      <x:c r="F786" s="21" t="str">
        <x:v>Mobilization activation</x:v>
      </x:c>
      <x:c r="G786" s="21" t="n">
        <x:v>28</x:v>
      </x:c>
      <x:c r="H786" s="21" t="str">
        <x:v>Production Release Board</x:v>
      </x:c>
      <x:c r="I786" s="44" t="n">
        <x:f>Lifecycle!G16</x:f>
        <x:v>0.028262731405230914</x:v>
      </x:c>
      <x:c r="J786" s="44" t="n">
        <x:v>0.10416666666666667</x:v>
      </x:c>
      <x:c r="K786" s="44" t="n">
        <x:f>I786*J786</x:f>
        <x:v>0.0029440345213782204</x:v>
      </x:c>
      <x:c r="L786" s="46" t="n">
        <x:v>0</x:v>
      </x:c>
      <x:c r="M786" s="46" t="n">
        <x:v>0</x:v>
      </x:c>
      <x:c r="N786" s="21" t="n">
        <x:f>IF(AND(L785=1,M785=1,P785&gt;0),1,0)</x:f>
        <x:v>0</x:v>
      </x:c>
      <x:c r="O786" s="21" t="n">
        <x:f>MIN('Root Data'!I238:I240)</x:f>
        <x:v>0</x:v>
      </x:c>
      <x:c r="P786" s="44" t="n">
        <x:f>IF(AND(L786=1,M786=1,N786=1,O786&gt;=G786),K786,0)</x:f>
        <x:v>0</x:v>
      </x:c>
      <x:c r="Q786" s="21" t="str">
        <x:v>OPEN</x:v>
      </x:c>
      <x:c r="R786" s="23" t="str">
        <x:v>HOLD</x:v>
      </x:c>
    </x:row>
    <x:row r="787">
      <x:c r="B787" s="21" t="str">
        <x:v>AR-00781</x:v>
      </x:c>
      <x:c r="C787" s="21" t="str">
        <x:v>F20-I3</x:v>
      </x:c>
      <x:c r="D787" s="21" t="str">
        <x:v>F20</x:v>
      </x:c>
      <x:c r="E787" s="21" t="n">
        <x:v>1</x:v>
      </x:c>
      <x:c r="F787" s="21" t="str">
        <x:v>Civil effect charter</x:v>
      </x:c>
      <x:c r="G787" s="21" t="n">
        <x:v>0</x:v>
      </x:c>
      <x:c r="H787" s="21" t="str">
        <x:v>Civil Guarantee Authority</x:v>
      </x:c>
      <x:c r="I787" s="44" t="n">
        <x:f>Lifecycle!G7</x:f>
        <x:v>0.04941036958956453</x:v>
      </x:c>
      <x:c r="J787" s="44" t="n">
        <x:v>0.10416666666666667</x:v>
      </x:c>
      <x:c r="K787" s="44" t="n">
        <x:f>I787*J787</x:f>
        <x:v>0.005146913498912972</x:v>
      </x:c>
      <x:c r="L787" s="46" t="n">
        <x:v>0</x:v>
      </x:c>
      <x:c r="M787" s="46" t="n">
        <x:v>0</x:v>
      </x:c>
      <x:c r="N787" s="21" t="n">
        <x:f>1</x:f>
        <x:v>1</x:v>
      </x:c>
      <x:c r="O787" s="21" t="n">
        <x:f>MIN('Root Data'!I241:I243)</x:f>
        <x:v>0</x:v>
      </x:c>
      <x:c r="P787" s="44" t="n">
        <x:f>IF(AND(L787=1,M787=1,N787=1,O787&gt;=G787),K787,0)</x:f>
        <x:v>0</x:v>
      </x:c>
      <x:c r="Q787" s="21" t="str">
        <x:v>OPEN</x:v>
      </x:c>
      <x:c r="R787" s="23" t="str">
        <x:v>HOLD</x:v>
      </x:c>
    </x:row>
    <x:row r="788">
      <x:c r="B788" s="21" t="str">
        <x:v>AR-00782</x:v>
      </x:c>
      <x:c r="C788" s="21" t="str">
        <x:v>F20-I3</x:v>
      </x:c>
      <x:c r="D788" s="21" t="str">
        <x:v>F20</x:v>
      </x:c>
      <x:c r="E788" s="21" t="n">
        <x:v>2</x:v>
      </x:c>
      <x:c r="F788" s="21" t="str">
        <x:v>Requirement and root-independence package</x:v>
      </x:c>
      <x:c r="G788" s="21" t="n">
        <x:v>8</x:v>
      </x:c>
      <x:c r="H788" s="21" t="str">
        <x:v>Resilience Staff</x:v>
      </x:c>
      <x:c r="I788" s="44" t="n">
        <x:f>Lifecycle!G8</x:f>
        <x:v>0.10211476381843337</x:v>
      </x:c>
      <x:c r="J788" s="44" t="n">
        <x:v>0.10416666666666667</x:v>
      </x:c>
      <x:c r="K788" s="44" t="n">
        <x:f>I788*J788</x:f>
        <x:v>0.010636954564420143</x:v>
      </x:c>
      <x:c r="L788" s="46" t="n">
        <x:v>0</x:v>
      </x:c>
      <x:c r="M788" s="46" t="n">
        <x:v>0</x:v>
      </x:c>
      <x:c r="N788" s="21" t="n">
        <x:f>IF(AND(L787=1,M787=1,P787&gt;0),1,0)</x:f>
        <x:v>0</x:v>
      </x:c>
      <x:c r="O788" s="21" t="n">
        <x:f>MIN('Root Data'!I241:I243)</x:f>
        <x:v>0</x:v>
      </x:c>
      <x:c r="P788" s="44" t="n">
        <x:f>IF(AND(L788=1,M788=1,N788=1,O788&gt;=G788),K788,0)</x:f>
        <x:v>0</x:v>
      </x:c>
      <x:c r="Q788" s="21" t="str">
        <x:v>OPEN</x:v>
      </x:c>
      <x:c r="R788" s="23" t="str">
        <x:v>HOLD</x:v>
      </x:c>
    </x:row>
    <x:row r="789">
      <x:c r="B789" s="21" t="str">
        <x:v>AR-00783</x:v>
      </x:c>
      <x:c r="C789" s="21" t="str">
        <x:v>F20-I3</x:v>
      </x:c>
      <x:c r="D789" s="21" t="str">
        <x:v>F20</x:v>
      </x:c>
      <x:c r="E789" s="21" t="n">
        <x:v>3</x:v>
      </x:c>
      <x:c r="F789" s="21" t="str">
        <x:v>Architecture and burden closure</x:v>
      </x:c>
      <x:c r="G789" s="21" t="n">
        <x:v>14</x:v>
      </x:c>
      <x:c r="H789" s="21" t="str">
        <x:v>Independent Evidence and Data Authority</x:v>
      </x:c>
      <x:c r="I789" s="44" t="n">
        <x:f>Lifecycle!G9</x:f>
        <x:v>0.08564464062191186</x:v>
      </x:c>
      <x:c r="J789" s="44" t="n">
        <x:v>0.10416666666666667</x:v>
      </x:c>
      <x:c r="K789" s="44" t="n">
        <x:f>I789*J789</x:f>
        <x:v>0.008921316731449153</x:v>
      </x:c>
      <x:c r="L789" s="46" t="n">
        <x:v>0</x:v>
      </x:c>
      <x:c r="M789" s="46" t="n">
        <x:v>0</x:v>
      </x:c>
      <x:c r="N789" s="21" t="n">
        <x:f>IF(AND(L788=1,M788=1,P788&gt;0),1,0)</x:f>
        <x:v>0</x:v>
      </x:c>
      <x:c r="O789" s="21" t="n">
        <x:f>MIN('Root Data'!I241:I243)</x:f>
        <x:v>0</x:v>
      </x:c>
      <x:c r="P789" s="44" t="n">
        <x:f>IF(AND(L789=1,M789=1,N789=1,O789&gt;=G789),K789,0)</x:f>
        <x:v>0</x:v>
      </x:c>
      <x:c r="Q789" s="21" t="str">
        <x:v>OPEN</x:v>
      </x:c>
      <x:c r="R789" s="23" t="str">
        <x:v>HOLD</x:v>
      </x:c>
    </x:row>
    <x:row r="790">
      <x:c r="B790" s="21" t="str">
        <x:v>AR-00784</x:v>
      </x:c>
      <x:c r="C790" s="21" t="str">
        <x:v>F20-I3</x:v>
      </x:c>
      <x:c r="D790" s="21" t="str">
        <x:v>F20</x:v>
      </x:c>
      <x:c r="E790" s="21" t="n">
        <x:v>4</x:v>
      </x:c>
      <x:c r="F790" s="21" t="str">
        <x:v>Engineering article acceptance</x:v>
      </x:c>
      <x:c r="G790" s="21" t="n">
        <x:v>18</x:v>
      </x:c>
      <x:c r="H790" s="21" t="str">
        <x:v>Independent Evidence and Data Authority</x:v>
      </x:c>
      <x:c r="I790" s="44" t="n">
        <x:f>Lifecycle!G10</x:f>
        <x:v>0.05929244350747744</x:v>
      </x:c>
      <x:c r="J790" s="44" t="n">
        <x:v>0.10416666666666667</x:v>
      </x:c>
      <x:c r="K790" s="44" t="n">
        <x:f>I790*J790</x:f>
        <x:v>0.006176296198695567</x:v>
      </x:c>
      <x:c r="L790" s="46" t="n">
        <x:v>0</x:v>
      </x:c>
      <x:c r="M790" s="46" t="n">
        <x:v>0</x:v>
      </x:c>
      <x:c r="N790" s="21" t="n">
        <x:f>IF(AND(L789=1,M789=1,P789&gt;0),1,0)</x:f>
        <x:v>0</x:v>
      </x:c>
      <x:c r="O790" s="21" t="n">
        <x:f>MIN('Root Data'!I241:I243)</x:f>
        <x:v>0</x:v>
      </x:c>
      <x:c r="P790" s="44" t="n">
        <x:f>IF(AND(L790=1,M790=1,N790=1,O790&gt;=G790),K790,0)</x:f>
        <x:v>0</x:v>
      </x:c>
      <x:c r="Q790" s="21" t="str">
        <x:v>OPEN</x:v>
      </x:c>
      <x:c r="R790" s="23" t="str">
        <x:v>HOLD</x:v>
      </x:c>
    </x:row>
    <x:row r="791">
      <x:c r="B791" s="21" t="str">
        <x:v>AR-00785</x:v>
      </x:c>
      <x:c r="C791" s="21" t="str">
        <x:v>F20-I3</x:v>
      </x:c>
      <x:c r="D791" s="21" t="str">
        <x:v>F20</x:v>
      </x:c>
      <x:c r="E791" s="21" t="n">
        <x:v>5</x:v>
      </x:c>
      <x:c r="F791" s="21" t="str">
        <x:v>Qualification and destructive evidence</x:v>
      </x:c>
      <x:c r="G791" s="21" t="n">
        <x:v>21</x:v>
      </x:c>
      <x:c r="H791" s="21" t="str">
        <x:v>Independent Evidence and Data Authority</x:v>
      </x:c>
      <x:c r="I791" s="44" t="n">
        <x:f>Lifecycle!G11</x:f>
        <x:v>0.1515251334079979</x:v>
      </x:c>
      <x:c r="J791" s="44" t="n">
        <x:v>0.10416666666666667</x:v>
      </x:c>
      <x:c r="K791" s="44" t="n">
        <x:f>I791*J791</x:f>
        <x:v>0.015783868063333116</x:v>
      </x:c>
      <x:c r="L791" s="46" t="n">
        <x:v>0</x:v>
      </x:c>
      <x:c r="M791" s="46" t="n">
        <x:v>0</x:v>
      </x:c>
      <x:c r="N791" s="21" t="n">
        <x:f>IF(AND(L790=1,M790=1,P790&gt;0),1,0)</x:f>
        <x:v>0</x:v>
      </x:c>
      <x:c r="O791" s="21" t="n">
        <x:f>MIN('Root Data'!I241:I243)</x:f>
        <x:v>0</x:v>
      </x:c>
      <x:c r="P791" s="44" t="n">
        <x:f>IF(AND(L791=1,M791=1,N791=1,O791&gt;=G791),K791,0)</x:f>
        <x:v>0</x:v>
      </x:c>
      <x:c r="Q791" s="21" t="str">
        <x:v>OPEN</x:v>
      </x:c>
      <x:c r="R791" s="23" t="str">
        <x:v>HOLD</x:v>
      </x:c>
    </x:row>
    <x:row r="792">
      <x:c r="B792" s="21" t="str">
        <x:v>AR-00786</x:v>
      </x:c>
      <x:c r="C792" s="21" t="str">
        <x:v>F20-I3</x:v>
      </x:c>
      <x:c r="D792" s="21" t="str">
        <x:v>F20</x:v>
      </x:c>
      <x:c r="E792" s="21" t="n">
        <x:v>6</x:v>
      </x:c>
      <x:c r="F792" s="21" t="str">
        <x:v>Representative mission result</x:v>
      </x:c>
      <x:c r="G792" s="21" t="n">
        <x:v>23</x:v>
      </x:c>
      <x:c r="H792" s="21" t="str">
        <x:v>Receiving Service Authority</x:v>
      </x:c>
      <x:c r="I792" s="44" t="n">
        <x:f>Lifecycle!G12</x:f>
        <x:v>0.250345872587127</x:v>
      </x:c>
      <x:c r="J792" s="44" t="n">
        <x:v>0.10416666666666667</x:v>
      </x:c>
      <x:c r="K792" s="44" t="n">
        <x:f>I792*J792</x:f>
        <x:v>0.026077695061159062</x:v>
      </x:c>
      <x:c r="L792" s="46" t="n">
        <x:v>0</x:v>
      </x:c>
      <x:c r="M792" s="46" t="n">
        <x:v>0</x:v>
      </x:c>
      <x:c r="N792" s="21" t="n">
        <x:f>IF(AND(L791=1,M791=1,P791&gt;0),1,0)</x:f>
        <x:v>0</x:v>
      </x:c>
      <x:c r="O792" s="21" t="n">
        <x:f>MIN('Root Data'!I241:I243)</x:f>
        <x:v>0</x:v>
      </x:c>
      <x:c r="P792" s="44" t="n">
        <x:f>IF(AND(L792=1,M792=1,N792=1,O792&gt;=G792),K792,0)</x:f>
        <x:v>0</x:v>
      </x:c>
      <x:c r="Q792" s="21" t="str">
        <x:v>OPEN</x:v>
      </x:c>
      <x:c r="R792" s="23" t="str">
        <x:v>HOLD</x:v>
      </x:c>
    </x:row>
    <x:row r="793">
      <x:c r="B793" s="21" t="str">
        <x:v>AR-00787</x:v>
      </x:c>
      <x:c r="C793" s="21" t="str">
        <x:v>F20-I3</x:v>
      </x:c>
      <x:c r="D793" s="21" t="str">
        <x:v>F20</x:v>
      </x:c>
      <x:c r="E793" s="21" t="n">
        <x:v>7</x:v>
      </x:c>
      <x:c r="F793" s="21" t="str">
        <x:v>Independent reproduction</x:v>
      </x:c>
      <x:c r="G793" s="21" t="n">
        <x:v>28</x:v>
      </x:c>
      <x:c r="H793" s="21" t="str">
        <x:v>Independent Evidence and Data Authority</x:v>
      </x:c>
      <x:c r="I793" s="44" t="n">
        <x:f>Lifecycle!G13</x:f>
        <x:v>0.21740562619408393</x:v>
      </x:c>
      <x:c r="J793" s="44" t="n">
        <x:v>0.10416666666666667</x:v>
      </x:c>
      <x:c r="K793" s="44" t="n">
        <x:f>I793*J793</x:f>
        <x:v>0.02264641939521708</x:v>
      </x:c>
      <x:c r="L793" s="46" t="n">
        <x:v>0</x:v>
      </x:c>
      <x:c r="M793" s="46" t="n">
        <x:v>0</x:v>
      </x:c>
      <x:c r="N793" s="21" t="n">
        <x:f>IF(AND(L792=1,M792=1,P792&gt;0),1,0)</x:f>
        <x:v>0</x:v>
      </x:c>
      <x:c r="O793" s="21" t="n">
        <x:f>MIN('Root Data'!I241:I243)</x:f>
        <x:v>0</x:v>
      </x:c>
      <x:c r="P793" s="44" t="n">
        <x:f>IF(AND(L793=1,M793=1,N793=1,O793&gt;=G793),K793,0)</x:f>
        <x:v>0</x:v>
      </x:c>
      <x:c r="Q793" s="21" t="str">
        <x:v>OPEN</x:v>
      </x:c>
      <x:c r="R793" s="23" t="str">
        <x:v>HOLD</x:v>
      </x:c>
    </x:row>
    <x:row r="794">
      <x:c r="B794" s="21" t="str">
        <x:v>AR-00788</x:v>
      </x:c>
      <x:c r="C794" s="21" t="str">
        <x:v>F20-I3</x:v>
      </x:c>
      <x:c r="D794" s="21" t="str">
        <x:v>F20</x:v>
      </x:c>
      <x:c r="E794" s="21" t="n">
        <x:v>8</x:v>
      </x:c>
      <x:c r="F794" s="21" t="str">
        <x:v>Pilot-process qualification</x:v>
      </x:c>
      <x:c r="G794" s="21" t="n">
        <x:v>28</x:v>
      </x:c>
      <x:c r="H794" s="21" t="str">
        <x:v>AIMC Industrial Mobilization Authority</x:v>
      </x:c>
      <x:c r="I794" s="44" t="n">
        <x:f>Lifecycle!G14</x:f>
        <x:v>0.03952829567165163</x:v>
      </x:c>
      <x:c r="J794" s="44" t="n">
        <x:v>0.10416666666666667</x:v>
      </x:c>
      <x:c r="K794" s="44" t="n">
        <x:f>I794*J794</x:f>
        <x:v>0.0041175307991303785</x:v>
      </x:c>
      <x:c r="L794" s="46" t="n">
        <x:v>0</x:v>
      </x:c>
      <x:c r="M794" s="46" t="n">
        <x:v>0</x:v>
      </x:c>
      <x:c r="N794" s="21" t="n">
        <x:f>IF(AND(L793=1,M793=1,P793&gt;0),1,0)</x:f>
        <x:v>0</x:v>
      </x:c>
      <x:c r="O794" s="21" t="n">
        <x:f>MIN('Root Data'!I241:I243)</x:f>
        <x:v>0</x:v>
      </x:c>
      <x:c r="P794" s="44" t="n">
        <x:f>IF(AND(L794=1,M794=1,N794=1,O794&gt;=G794),K794,0)</x:f>
        <x:v>0</x:v>
      </x:c>
      <x:c r="Q794" s="21" t="str">
        <x:v>OPEN</x:v>
      </x:c>
      <x:c r="R794" s="23" t="str">
        <x:v>HOLD</x:v>
      </x:c>
    </x:row>
    <x:row r="795">
      <x:c r="B795" s="21" t="str">
        <x:v>AR-00789</x:v>
      </x:c>
      <x:c r="C795" s="21" t="str">
        <x:v>F20-I3</x:v>
      </x:c>
      <x:c r="D795" s="21" t="str">
        <x:v>F20</x:v>
      </x:c>
      <x:c r="E795" s="21" t="n">
        <x:v>9</x:v>
      </x:c>
      <x:c r="F795" s="21" t="str">
        <x:v>Production release package</x:v>
      </x:c>
      <x:c r="G795" s="21" t="n">
        <x:v>28</x:v>
      </x:c>
      <x:c r="H795" s="21" t="str">
        <x:v>Production Release Board</x:v>
      </x:c>
      <x:c r="I795" s="44" t="n">
        <x:f>Lifecycle!G15</x:f>
        <x:v>0.01647012319652151</x:v>
      </x:c>
      <x:c r="J795" s="44" t="n">
        <x:v>0.10416666666666667</x:v>
      </x:c>
      <x:c r="K795" s="44" t="n">
        <x:f>I795*J795</x:f>
        <x:v>0.0017156378329709907</x:v>
      </x:c>
      <x:c r="L795" s="46" t="n">
        <x:v>0</x:v>
      </x:c>
      <x:c r="M795" s="46" t="n">
        <x:v>0</x:v>
      </x:c>
      <x:c r="N795" s="21" t="n">
        <x:f>IF(AND(L794=1,M794=1,P794&gt;0),1,0)</x:f>
        <x:v>0</x:v>
      </x:c>
      <x:c r="O795" s="21" t="n">
        <x:f>MIN('Root Data'!I241:I243)</x:f>
        <x:v>0</x:v>
      </x:c>
      <x:c r="P795" s="44" t="n">
        <x:f>IF(AND(L795=1,M795=1,N795=1,O795&gt;=G795),K795,0)</x:f>
        <x:v>0</x:v>
      </x:c>
      <x:c r="Q795" s="21" t="str">
        <x:v>OPEN</x:v>
      </x:c>
      <x:c r="R795" s="23" t="str">
        <x:v>HOLD</x:v>
      </x:c>
    </x:row>
    <x:row r="796">
      <x:c r="B796" s="21" t="str">
        <x:v>AR-00790</x:v>
      </x:c>
      <x:c r="C796" s="21" t="str">
        <x:v>F20-I3</x:v>
      </x:c>
      <x:c r="D796" s="21" t="str">
        <x:v>F20</x:v>
      </x:c>
      <x:c r="E796" s="21" t="n">
        <x:v>10</x:v>
      </x:c>
      <x:c r="F796" s="21" t="str">
        <x:v>Mobilization activation</x:v>
      </x:c>
      <x:c r="G796" s="21" t="n">
        <x:v>28</x:v>
      </x:c>
      <x:c r="H796" s="21" t="str">
        <x:v>Production Release Board</x:v>
      </x:c>
      <x:c r="I796" s="44" t="n">
        <x:f>Lifecycle!G16</x:f>
        <x:v>0.028262731405230914</x:v>
      </x:c>
      <x:c r="J796" s="44" t="n">
        <x:v>0.10416666666666667</x:v>
      </x:c>
      <x:c r="K796" s="44" t="n">
        <x:f>I796*J796</x:f>
        <x:v>0.0029440345213782204</x:v>
      </x:c>
      <x:c r="L796" s="46" t="n">
        <x:v>0</x:v>
      </x:c>
      <x:c r="M796" s="46" t="n">
        <x:v>0</x:v>
      </x:c>
      <x:c r="N796" s="21" t="n">
        <x:f>IF(AND(L795=1,M795=1,P795&gt;0),1,0)</x:f>
        <x:v>0</x:v>
      </x:c>
      <x:c r="O796" s="21" t="n">
        <x:f>MIN('Root Data'!I241:I243)</x:f>
        <x:v>0</x:v>
      </x:c>
      <x:c r="P796" s="44" t="n">
        <x:f>IF(AND(L796=1,M796=1,N796=1,O796&gt;=G796),K796,0)</x:f>
        <x:v>0</x:v>
      </x:c>
      <x:c r="Q796" s="21" t="str">
        <x:v>OPEN</x:v>
      </x:c>
      <x:c r="R796" s="23" t="str">
        <x:v>HOLD</x:v>
      </x:c>
    </x:row>
    <x:row r="797">
      <x:c r="B797" s="21" t="str">
        <x:v>AR-00791</x:v>
      </x:c>
      <x:c r="C797" s="21" t="str">
        <x:v>F20-I4</x:v>
      </x:c>
      <x:c r="D797" s="21" t="str">
        <x:v>F20</x:v>
      </x:c>
      <x:c r="E797" s="21" t="n">
        <x:v>1</x:v>
      </x:c>
      <x:c r="F797" s="21" t="str">
        <x:v>Civil effect charter</x:v>
      </x:c>
      <x:c r="G797" s="21" t="n">
        <x:v>0</x:v>
      </x:c>
      <x:c r="H797" s="21" t="str">
        <x:v>Civil Guarantee Authority</x:v>
      </x:c>
      <x:c r="I797" s="44" t="n">
        <x:f>Lifecycle!G7</x:f>
        <x:v>0.04941036958956453</x:v>
      </x:c>
      <x:c r="J797" s="44" t="n">
        <x:v>0.10416666666666667</x:v>
      </x:c>
      <x:c r="K797" s="44" t="n">
        <x:f>I797*J797</x:f>
        <x:v>0.005146913498912972</x:v>
      </x:c>
      <x:c r="L797" s="46" t="n">
        <x:v>0</x:v>
      </x:c>
      <x:c r="M797" s="46" t="n">
        <x:v>0</x:v>
      </x:c>
      <x:c r="N797" s="21" t="n">
        <x:f>1</x:f>
        <x:v>1</x:v>
      </x:c>
      <x:c r="O797" s="21" t="n">
        <x:f>MIN('Root Data'!I244:I246)</x:f>
        <x:v>0</x:v>
      </x:c>
      <x:c r="P797" s="44" t="n">
        <x:f>IF(AND(L797=1,M797=1,N797=1,O797&gt;=G797),K797,0)</x:f>
        <x:v>0</x:v>
      </x:c>
      <x:c r="Q797" s="21" t="str">
        <x:v>OPEN</x:v>
      </x:c>
      <x:c r="R797" s="23" t="str">
        <x:v>HOLD</x:v>
      </x:c>
    </x:row>
    <x:row r="798">
      <x:c r="B798" s="21" t="str">
        <x:v>AR-00792</x:v>
      </x:c>
      <x:c r="C798" s="21" t="str">
        <x:v>F20-I4</x:v>
      </x:c>
      <x:c r="D798" s="21" t="str">
        <x:v>F20</x:v>
      </x:c>
      <x:c r="E798" s="21" t="n">
        <x:v>2</x:v>
      </x:c>
      <x:c r="F798" s="21" t="str">
        <x:v>Requirement and root-independence package</x:v>
      </x:c>
      <x:c r="G798" s="21" t="n">
        <x:v>8</x:v>
      </x:c>
      <x:c r="H798" s="21" t="str">
        <x:v>Resilience Staff</x:v>
      </x:c>
      <x:c r="I798" s="44" t="n">
        <x:f>Lifecycle!G8</x:f>
        <x:v>0.10211476381843337</x:v>
      </x:c>
      <x:c r="J798" s="44" t="n">
        <x:v>0.10416666666666667</x:v>
      </x:c>
      <x:c r="K798" s="44" t="n">
        <x:f>I798*J798</x:f>
        <x:v>0.010636954564420143</x:v>
      </x:c>
      <x:c r="L798" s="46" t="n">
        <x:v>0</x:v>
      </x:c>
      <x:c r="M798" s="46" t="n">
        <x:v>0</x:v>
      </x:c>
      <x:c r="N798" s="21" t="n">
        <x:f>IF(AND(L797=1,M797=1,P797&gt;0),1,0)</x:f>
        <x:v>0</x:v>
      </x:c>
      <x:c r="O798" s="21" t="n">
        <x:f>MIN('Root Data'!I244:I246)</x:f>
        <x:v>0</x:v>
      </x:c>
      <x:c r="P798" s="44" t="n">
        <x:f>IF(AND(L798=1,M798=1,N798=1,O798&gt;=G798),K798,0)</x:f>
        <x:v>0</x:v>
      </x:c>
      <x:c r="Q798" s="21" t="str">
        <x:v>OPEN</x:v>
      </x:c>
      <x:c r="R798" s="23" t="str">
        <x:v>HOLD</x:v>
      </x:c>
    </x:row>
    <x:row r="799">
      <x:c r="B799" s="21" t="str">
        <x:v>AR-00793</x:v>
      </x:c>
      <x:c r="C799" s="21" t="str">
        <x:v>F20-I4</x:v>
      </x:c>
      <x:c r="D799" s="21" t="str">
        <x:v>F20</x:v>
      </x:c>
      <x:c r="E799" s="21" t="n">
        <x:v>3</x:v>
      </x:c>
      <x:c r="F799" s="21" t="str">
        <x:v>Architecture and burden closure</x:v>
      </x:c>
      <x:c r="G799" s="21" t="n">
        <x:v>14</x:v>
      </x:c>
      <x:c r="H799" s="21" t="str">
        <x:v>Independent Evidence and Data Authority</x:v>
      </x:c>
      <x:c r="I799" s="44" t="n">
        <x:f>Lifecycle!G9</x:f>
        <x:v>0.08564464062191186</x:v>
      </x:c>
      <x:c r="J799" s="44" t="n">
        <x:v>0.10416666666666667</x:v>
      </x:c>
      <x:c r="K799" s="44" t="n">
        <x:f>I799*J799</x:f>
        <x:v>0.008921316731449153</x:v>
      </x:c>
      <x:c r="L799" s="46" t="n">
        <x:v>0</x:v>
      </x:c>
      <x:c r="M799" s="46" t="n">
        <x:v>0</x:v>
      </x:c>
      <x:c r="N799" s="21" t="n">
        <x:f>IF(AND(L798=1,M798=1,P798&gt;0),1,0)</x:f>
        <x:v>0</x:v>
      </x:c>
      <x:c r="O799" s="21" t="n">
        <x:f>MIN('Root Data'!I244:I246)</x:f>
        <x:v>0</x:v>
      </x:c>
      <x:c r="P799" s="44" t="n">
        <x:f>IF(AND(L799=1,M799=1,N799=1,O799&gt;=G799),K799,0)</x:f>
        <x:v>0</x:v>
      </x:c>
      <x:c r="Q799" s="21" t="str">
        <x:v>OPEN</x:v>
      </x:c>
      <x:c r="R799" s="23" t="str">
        <x:v>HOLD</x:v>
      </x:c>
    </x:row>
    <x:row r="800">
      <x:c r="B800" s="21" t="str">
        <x:v>AR-00794</x:v>
      </x:c>
      <x:c r="C800" s="21" t="str">
        <x:v>F20-I4</x:v>
      </x:c>
      <x:c r="D800" s="21" t="str">
        <x:v>F20</x:v>
      </x:c>
      <x:c r="E800" s="21" t="n">
        <x:v>4</x:v>
      </x:c>
      <x:c r="F800" s="21" t="str">
        <x:v>Engineering article acceptance</x:v>
      </x:c>
      <x:c r="G800" s="21" t="n">
        <x:v>18</x:v>
      </x:c>
      <x:c r="H800" s="21" t="str">
        <x:v>Independent Evidence and Data Authority</x:v>
      </x:c>
      <x:c r="I800" s="44" t="n">
        <x:f>Lifecycle!G10</x:f>
        <x:v>0.05929244350747744</x:v>
      </x:c>
      <x:c r="J800" s="44" t="n">
        <x:v>0.10416666666666667</x:v>
      </x:c>
      <x:c r="K800" s="44" t="n">
        <x:f>I800*J800</x:f>
        <x:v>0.006176296198695567</x:v>
      </x:c>
      <x:c r="L800" s="46" t="n">
        <x:v>0</x:v>
      </x:c>
      <x:c r="M800" s="46" t="n">
        <x:v>0</x:v>
      </x:c>
      <x:c r="N800" s="21" t="n">
        <x:f>IF(AND(L799=1,M799=1,P799&gt;0),1,0)</x:f>
        <x:v>0</x:v>
      </x:c>
      <x:c r="O800" s="21" t="n">
        <x:f>MIN('Root Data'!I244:I246)</x:f>
        <x:v>0</x:v>
      </x:c>
      <x:c r="P800" s="44" t="n">
        <x:f>IF(AND(L800=1,M800=1,N800=1,O800&gt;=G800),K800,0)</x:f>
        <x:v>0</x:v>
      </x:c>
      <x:c r="Q800" s="21" t="str">
        <x:v>OPEN</x:v>
      </x:c>
      <x:c r="R800" s="23" t="str">
        <x:v>HOLD</x:v>
      </x:c>
    </x:row>
    <x:row r="801">
      <x:c r="B801" s="21" t="str">
        <x:v>AR-00795</x:v>
      </x:c>
      <x:c r="C801" s="21" t="str">
        <x:v>F20-I4</x:v>
      </x:c>
      <x:c r="D801" s="21" t="str">
        <x:v>F20</x:v>
      </x:c>
      <x:c r="E801" s="21" t="n">
        <x:v>5</x:v>
      </x:c>
      <x:c r="F801" s="21" t="str">
        <x:v>Qualification and destructive evidence</x:v>
      </x:c>
      <x:c r="G801" s="21" t="n">
        <x:v>21</x:v>
      </x:c>
      <x:c r="H801" s="21" t="str">
        <x:v>Independent Evidence and Data Authority</x:v>
      </x:c>
      <x:c r="I801" s="44" t="n">
        <x:f>Lifecycle!G11</x:f>
        <x:v>0.1515251334079979</x:v>
      </x:c>
      <x:c r="J801" s="44" t="n">
        <x:v>0.10416666666666667</x:v>
      </x:c>
      <x:c r="K801" s="44" t="n">
        <x:f>I801*J801</x:f>
        <x:v>0.015783868063333116</x:v>
      </x:c>
      <x:c r="L801" s="46" t="n">
        <x:v>0</x:v>
      </x:c>
      <x:c r="M801" s="46" t="n">
        <x:v>0</x:v>
      </x:c>
      <x:c r="N801" s="21" t="n">
        <x:f>IF(AND(L800=1,M800=1,P800&gt;0),1,0)</x:f>
        <x:v>0</x:v>
      </x:c>
      <x:c r="O801" s="21" t="n">
        <x:f>MIN('Root Data'!I244:I246)</x:f>
        <x:v>0</x:v>
      </x:c>
      <x:c r="P801" s="44" t="n">
        <x:f>IF(AND(L801=1,M801=1,N801=1,O801&gt;=G801),K801,0)</x:f>
        <x:v>0</x:v>
      </x:c>
      <x:c r="Q801" s="21" t="str">
        <x:v>OPEN</x:v>
      </x:c>
      <x:c r="R801" s="23" t="str">
        <x:v>HOLD</x:v>
      </x:c>
    </x:row>
    <x:row r="802">
      <x:c r="B802" s="21" t="str">
        <x:v>AR-00796</x:v>
      </x:c>
      <x:c r="C802" s="21" t="str">
        <x:v>F20-I4</x:v>
      </x:c>
      <x:c r="D802" s="21" t="str">
        <x:v>F20</x:v>
      </x:c>
      <x:c r="E802" s="21" t="n">
        <x:v>6</x:v>
      </x:c>
      <x:c r="F802" s="21" t="str">
        <x:v>Representative mission result</x:v>
      </x:c>
      <x:c r="G802" s="21" t="n">
        <x:v>23</x:v>
      </x:c>
      <x:c r="H802" s="21" t="str">
        <x:v>Receiving Service Authority</x:v>
      </x:c>
      <x:c r="I802" s="44" t="n">
        <x:f>Lifecycle!G12</x:f>
        <x:v>0.250345872587127</x:v>
      </x:c>
      <x:c r="J802" s="44" t="n">
        <x:v>0.10416666666666667</x:v>
      </x:c>
      <x:c r="K802" s="44" t="n">
        <x:f>I802*J802</x:f>
        <x:v>0.026077695061159062</x:v>
      </x:c>
      <x:c r="L802" s="46" t="n">
        <x:v>0</x:v>
      </x:c>
      <x:c r="M802" s="46" t="n">
        <x:v>0</x:v>
      </x:c>
      <x:c r="N802" s="21" t="n">
        <x:f>IF(AND(L801=1,M801=1,P801&gt;0),1,0)</x:f>
        <x:v>0</x:v>
      </x:c>
      <x:c r="O802" s="21" t="n">
        <x:f>MIN('Root Data'!I244:I246)</x:f>
        <x:v>0</x:v>
      </x:c>
      <x:c r="P802" s="44" t="n">
        <x:f>IF(AND(L802=1,M802=1,N802=1,O802&gt;=G802),K802,0)</x:f>
        <x:v>0</x:v>
      </x:c>
      <x:c r="Q802" s="21" t="str">
        <x:v>OPEN</x:v>
      </x:c>
      <x:c r="R802" s="23" t="str">
        <x:v>HOLD</x:v>
      </x:c>
    </x:row>
    <x:row r="803">
      <x:c r="B803" s="21" t="str">
        <x:v>AR-00797</x:v>
      </x:c>
      <x:c r="C803" s="21" t="str">
        <x:v>F20-I4</x:v>
      </x:c>
      <x:c r="D803" s="21" t="str">
        <x:v>F20</x:v>
      </x:c>
      <x:c r="E803" s="21" t="n">
        <x:v>7</x:v>
      </x:c>
      <x:c r="F803" s="21" t="str">
        <x:v>Independent reproduction</x:v>
      </x:c>
      <x:c r="G803" s="21" t="n">
        <x:v>28</x:v>
      </x:c>
      <x:c r="H803" s="21" t="str">
        <x:v>Independent Evidence and Data Authority</x:v>
      </x:c>
      <x:c r="I803" s="44" t="n">
        <x:f>Lifecycle!G13</x:f>
        <x:v>0.21740562619408393</x:v>
      </x:c>
      <x:c r="J803" s="44" t="n">
        <x:v>0.10416666666666667</x:v>
      </x:c>
      <x:c r="K803" s="44" t="n">
        <x:f>I803*J803</x:f>
        <x:v>0.02264641939521708</x:v>
      </x:c>
      <x:c r="L803" s="46" t="n">
        <x:v>0</x:v>
      </x:c>
      <x:c r="M803" s="46" t="n">
        <x:v>0</x:v>
      </x:c>
      <x:c r="N803" s="21" t="n">
        <x:f>IF(AND(L802=1,M802=1,P802&gt;0),1,0)</x:f>
        <x:v>0</x:v>
      </x:c>
      <x:c r="O803" s="21" t="n">
        <x:f>MIN('Root Data'!I244:I246)</x:f>
        <x:v>0</x:v>
      </x:c>
      <x:c r="P803" s="44" t="n">
        <x:f>IF(AND(L803=1,M803=1,N803=1,O803&gt;=G803),K803,0)</x:f>
        <x:v>0</x:v>
      </x:c>
      <x:c r="Q803" s="21" t="str">
        <x:v>OPEN</x:v>
      </x:c>
      <x:c r="R803" s="23" t="str">
        <x:v>HOLD</x:v>
      </x:c>
    </x:row>
    <x:row r="804">
      <x:c r="B804" s="21" t="str">
        <x:v>AR-00798</x:v>
      </x:c>
      <x:c r="C804" s="21" t="str">
        <x:v>F20-I4</x:v>
      </x:c>
      <x:c r="D804" s="21" t="str">
        <x:v>F20</x:v>
      </x:c>
      <x:c r="E804" s="21" t="n">
        <x:v>8</x:v>
      </x:c>
      <x:c r="F804" s="21" t="str">
        <x:v>Pilot-process qualification</x:v>
      </x:c>
      <x:c r="G804" s="21" t="n">
        <x:v>28</x:v>
      </x:c>
      <x:c r="H804" s="21" t="str">
        <x:v>AIMC Industrial Mobilization Authority</x:v>
      </x:c>
      <x:c r="I804" s="44" t="n">
        <x:f>Lifecycle!G14</x:f>
        <x:v>0.03952829567165163</x:v>
      </x:c>
      <x:c r="J804" s="44" t="n">
        <x:v>0.10416666666666667</x:v>
      </x:c>
      <x:c r="K804" s="44" t="n">
        <x:f>I804*J804</x:f>
        <x:v>0.0041175307991303785</x:v>
      </x:c>
      <x:c r="L804" s="46" t="n">
        <x:v>0</x:v>
      </x:c>
      <x:c r="M804" s="46" t="n">
        <x:v>0</x:v>
      </x:c>
      <x:c r="N804" s="21" t="n">
        <x:f>IF(AND(L803=1,M803=1,P803&gt;0),1,0)</x:f>
        <x:v>0</x:v>
      </x:c>
      <x:c r="O804" s="21" t="n">
        <x:f>MIN('Root Data'!I244:I246)</x:f>
        <x:v>0</x:v>
      </x:c>
      <x:c r="P804" s="44" t="n">
        <x:f>IF(AND(L804=1,M804=1,N804=1,O804&gt;=G804),K804,0)</x:f>
        <x:v>0</x:v>
      </x:c>
      <x:c r="Q804" s="21" t="str">
        <x:v>OPEN</x:v>
      </x:c>
      <x:c r="R804" s="23" t="str">
        <x:v>HOLD</x:v>
      </x:c>
    </x:row>
    <x:row r="805">
      <x:c r="B805" s="21" t="str">
        <x:v>AR-00799</x:v>
      </x:c>
      <x:c r="C805" s="21" t="str">
        <x:v>F20-I4</x:v>
      </x:c>
      <x:c r="D805" s="21" t="str">
        <x:v>F20</x:v>
      </x:c>
      <x:c r="E805" s="21" t="n">
        <x:v>9</x:v>
      </x:c>
      <x:c r="F805" s="21" t="str">
        <x:v>Production release package</x:v>
      </x:c>
      <x:c r="G805" s="21" t="n">
        <x:v>28</x:v>
      </x:c>
      <x:c r="H805" s="21" t="str">
        <x:v>Production Release Board</x:v>
      </x:c>
      <x:c r="I805" s="44" t="n">
        <x:f>Lifecycle!G15</x:f>
        <x:v>0.01647012319652151</x:v>
      </x:c>
      <x:c r="J805" s="44" t="n">
        <x:v>0.10416666666666667</x:v>
      </x:c>
      <x:c r="K805" s="44" t="n">
        <x:f>I805*J805</x:f>
        <x:v>0.0017156378329709907</x:v>
      </x:c>
      <x:c r="L805" s="46" t="n">
        <x:v>0</x:v>
      </x:c>
      <x:c r="M805" s="46" t="n">
        <x:v>0</x:v>
      </x:c>
      <x:c r="N805" s="21" t="n">
        <x:f>IF(AND(L804=1,M804=1,P804&gt;0),1,0)</x:f>
        <x:v>0</x:v>
      </x:c>
      <x:c r="O805" s="21" t="n">
        <x:f>MIN('Root Data'!I244:I246)</x:f>
        <x:v>0</x:v>
      </x:c>
      <x:c r="P805" s="44" t="n">
        <x:f>IF(AND(L805=1,M805=1,N805=1,O805&gt;=G805),K805,0)</x:f>
        <x:v>0</x:v>
      </x:c>
      <x:c r="Q805" s="21" t="str">
        <x:v>OPEN</x:v>
      </x:c>
      <x:c r="R805" s="23" t="str">
        <x:v>HOLD</x:v>
      </x:c>
    </x:row>
    <x:row r="806">
      <x:c r="B806" s="21" t="str">
        <x:v>AR-00800</x:v>
      </x:c>
      <x:c r="C806" s="21" t="str">
        <x:v>F20-I4</x:v>
      </x:c>
      <x:c r="D806" s="21" t="str">
        <x:v>F20</x:v>
      </x:c>
      <x:c r="E806" s="21" t="n">
        <x:v>10</x:v>
      </x:c>
      <x:c r="F806" s="21" t="str">
        <x:v>Mobilization activation</x:v>
      </x:c>
      <x:c r="G806" s="21" t="n">
        <x:v>28</x:v>
      </x:c>
      <x:c r="H806" s="21" t="str">
        <x:v>Production Release Board</x:v>
      </x:c>
      <x:c r="I806" s="44" t="n">
        <x:f>Lifecycle!G16</x:f>
        <x:v>0.028262731405230914</x:v>
      </x:c>
      <x:c r="J806" s="44" t="n">
        <x:v>0.10416666666666667</x:v>
      </x:c>
      <x:c r="K806" s="44" t="n">
        <x:f>I806*J806</x:f>
        <x:v>0.0029440345213782204</x:v>
      </x:c>
      <x:c r="L806" s="46" t="n">
        <x:v>0</x:v>
      </x:c>
      <x:c r="M806" s="46" t="n">
        <x:v>0</x:v>
      </x:c>
      <x:c r="N806" s="21" t="n">
        <x:f>IF(AND(L805=1,M805=1,P805&gt;0),1,0)</x:f>
        <x:v>0</x:v>
      </x:c>
      <x:c r="O806" s="21" t="n">
        <x:f>MIN('Root Data'!I244:I246)</x:f>
        <x:v>0</x:v>
      </x:c>
      <x:c r="P806" s="44" t="n">
        <x:f>IF(AND(L806=1,M806=1,N806=1,O806&gt;=G806),K806,0)</x:f>
        <x:v>0</x:v>
      </x:c>
      <x:c r="Q806" s="21" t="str">
        <x:v>OPEN</x:v>
      </x:c>
      <x:c r="R806" s="23" t="str">
        <x:v>HOLD</x:v>
      </x:c>
    </x:row>
    <x:row r="807">
      <x:c r="B807" s="21" t="str">
        <x:v>AR-00801</x:v>
      </x:c>
      <x:c r="C807" s="21" t="str">
        <x:v>F21-I1</x:v>
      </x:c>
      <x:c r="D807" s="21" t="str">
        <x:v>F21</x:v>
      </x:c>
      <x:c r="E807" s="21" t="n">
        <x:v>1</x:v>
      </x:c>
      <x:c r="F807" s="21" t="str">
        <x:v>Civil effect charter</x:v>
      </x:c>
      <x:c r="G807" s="21" t="n">
        <x:v>0</x:v>
      </x:c>
      <x:c r="H807" s="21" t="str">
        <x:v>Civil Guarantee Authority</x:v>
      </x:c>
      <x:c r="I807" s="44" t="n">
        <x:f>Lifecycle!G7</x:f>
        <x:v>0.04941036958956453</x:v>
      </x:c>
      <x:c r="J807" s="44" t="n">
        <x:v>0.10416666666666667</x:v>
      </x:c>
      <x:c r="K807" s="44" t="n">
        <x:f>I807*J807</x:f>
        <x:v>0.005146913498912972</x:v>
      </x:c>
      <x:c r="L807" s="46" t="n">
        <x:v>0</x:v>
      </x:c>
      <x:c r="M807" s="46" t="n">
        <x:v>0</x:v>
      </x:c>
      <x:c r="N807" s="21" t="n">
        <x:f>1</x:f>
        <x:v>1</x:v>
      </x:c>
      <x:c r="O807" s="21" t="n">
        <x:f>MIN('Root Data'!I247:I249)</x:f>
        <x:v>0</x:v>
      </x:c>
      <x:c r="P807" s="44" t="n">
        <x:f>IF(AND(L807=1,M807=1,N807=1,O807&gt;=G807),K807,0)</x:f>
        <x:v>0</x:v>
      </x:c>
      <x:c r="Q807" s="21" t="str">
        <x:v>OPEN</x:v>
      </x:c>
      <x:c r="R807" s="23" t="str">
        <x:v>HOLD</x:v>
      </x:c>
    </x:row>
    <x:row r="808">
      <x:c r="B808" s="21" t="str">
        <x:v>AR-00802</x:v>
      </x:c>
      <x:c r="C808" s="21" t="str">
        <x:v>F21-I1</x:v>
      </x:c>
      <x:c r="D808" s="21" t="str">
        <x:v>F21</x:v>
      </x:c>
      <x:c r="E808" s="21" t="n">
        <x:v>2</x:v>
      </x:c>
      <x:c r="F808" s="21" t="str">
        <x:v>Requirement and root-independence package</x:v>
      </x:c>
      <x:c r="G808" s="21" t="n">
        <x:v>8</x:v>
      </x:c>
      <x:c r="H808" s="21" t="str">
        <x:v>Resilience Staff</x:v>
      </x:c>
      <x:c r="I808" s="44" t="n">
        <x:f>Lifecycle!G8</x:f>
        <x:v>0.10211476381843337</x:v>
      </x:c>
      <x:c r="J808" s="44" t="n">
        <x:v>0.10416666666666667</x:v>
      </x:c>
      <x:c r="K808" s="44" t="n">
        <x:f>I808*J808</x:f>
        <x:v>0.010636954564420143</x:v>
      </x:c>
      <x:c r="L808" s="46" t="n">
        <x:v>0</x:v>
      </x:c>
      <x:c r="M808" s="46" t="n">
        <x:v>0</x:v>
      </x:c>
      <x:c r="N808" s="21" t="n">
        <x:f>IF(AND(L807=1,M807=1,P807&gt;0),1,0)</x:f>
        <x:v>0</x:v>
      </x:c>
      <x:c r="O808" s="21" t="n">
        <x:f>MIN('Root Data'!I247:I249)</x:f>
        <x:v>0</x:v>
      </x:c>
      <x:c r="P808" s="44" t="n">
        <x:f>IF(AND(L808=1,M808=1,N808=1,O808&gt;=G808),K808,0)</x:f>
        <x:v>0</x:v>
      </x:c>
      <x:c r="Q808" s="21" t="str">
        <x:v>OPEN</x:v>
      </x:c>
      <x:c r="R808" s="23" t="str">
        <x:v>HOLD</x:v>
      </x:c>
    </x:row>
    <x:row r="809">
      <x:c r="B809" s="21" t="str">
        <x:v>AR-00803</x:v>
      </x:c>
      <x:c r="C809" s="21" t="str">
        <x:v>F21-I1</x:v>
      </x:c>
      <x:c r="D809" s="21" t="str">
        <x:v>F21</x:v>
      </x:c>
      <x:c r="E809" s="21" t="n">
        <x:v>3</x:v>
      </x:c>
      <x:c r="F809" s="21" t="str">
        <x:v>Architecture and burden closure</x:v>
      </x:c>
      <x:c r="G809" s="21" t="n">
        <x:v>14</x:v>
      </x:c>
      <x:c r="H809" s="21" t="str">
        <x:v>Independent Evidence and Data Authority</x:v>
      </x:c>
      <x:c r="I809" s="44" t="n">
        <x:f>Lifecycle!G9</x:f>
        <x:v>0.08564464062191186</x:v>
      </x:c>
      <x:c r="J809" s="44" t="n">
        <x:v>0.10416666666666667</x:v>
      </x:c>
      <x:c r="K809" s="44" t="n">
        <x:f>I809*J809</x:f>
        <x:v>0.008921316731449153</x:v>
      </x:c>
      <x:c r="L809" s="46" t="n">
        <x:v>0</x:v>
      </x:c>
      <x:c r="M809" s="46" t="n">
        <x:v>0</x:v>
      </x:c>
      <x:c r="N809" s="21" t="n">
        <x:f>IF(AND(L808=1,M808=1,P808&gt;0),1,0)</x:f>
        <x:v>0</x:v>
      </x:c>
      <x:c r="O809" s="21" t="n">
        <x:f>MIN('Root Data'!I247:I249)</x:f>
        <x:v>0</x:v>
      </x:c>
      <x:c r="P809" s="44" t="n">
        <x:f>IF(AND(L809=1,M809=1,N809=1,O809&gt;=G809),K809,0)</x:f>
        <x:v>0</x:v>
      </x:c>
      <x:c r="Q809" s="21" t="str">
        <x:v>OPEN</x:v>
      </x:c>
      <x:c r="R809" s="23" t="str">
        <x:v>HOLD</x:v>
      </x:c>
    </x:row>
    <x:row r="810">
      <x:c r="B810" s="21" t="str">
        <x:v>AR-00804</x:v>
      </x:c>
      <x:c r="C810" s="21" t="str">
        <x:v>F21-I1</x:v>
      </x:c>
      <x:c r="D810" s="21" t="str">
        <x:v>F21</x:v>
      </x:c>
      <x:c r="E810" s="21" t="n">
        <x:v>4</x:v>
      </x:c>
      <x:c r="F810" s="21" t="str">
        <x:v>Engineering article acceptance</x:v>
      </x:c>
      <x:c r="G810" s="21" t="n">
        <x:v>18</x:v>
      </x:c>
      <x:c r="H810" s="21" t="str">
        <x:v>Independent Evidence and Data Authority</x:v>
      </x:c>
      <x:c r="I810" s="44" t="n">
        <x:f>Lifecycle!G10</x:f>
        <x:v>0.05929244350747744</x:v>
      </x:c>
      <x:c r="J810" s="44" t="n">
        <x:v>0.10416666666666667</x:v>
      </x:c>
      <x:c r="K810" s="44" t="n">
        <x:f>I810*J810</x:f>
        <x:v>0.006176296198695567</x:v>
      </x:c>
      <x:c r="L810" s="46" t="n">
        <x:v>0</x:v>
      </x:c>
      <x:c r="M810" s="46" t="n">
        <x:v>0</x:v>
      </x:c>
      <x:c r="N810" s="21" t="n">
        <x:f>IF(AND(L809=1,M809=1,P809&gt;0),1,0)</x:f>
        <x:v>0</x:v>
      </x:c>
      <x:c r="O810" s="21" t="n">
        <x:f>MIN('Root Data'!I247:I249)</x:f>
        <x:v>0</x:v>
      </x:c>
      <x:c r="P810" s="44" t="n">
        <x:f>IF(AND(L810=1,M810=1,N810=1,O810&gt;=G810),K810,0)</x:f>
        <x:v>0</x:v>
      </x:c>
      <x:c r="Q810" s="21" t="str">
        <x:v>OPEN</x:v>
      </x:c>
      <x:c r="R810" s="23" t="str">
        <x:v>HOLD</x:v>
      </x:c>
    </x:row>
    <x:row r="811">
      <x:c r="B811" s="21" t="str">
        <x:v>AR-00805</x:v>
      </x:c>
      <x:c r="C811" s="21" t="str">
        <x:v>F21-I1</x:v>
      </x:c>
      <x:c r="D811" s="21" t="str">
        <x:v>F21</x:v>
      </x:c>
      <x:c r="E811" s="21" t="n">
        <x:v>5</x:v>
      </x:c>
      <x:c r="F811" s="21" t="str">
        <x:v>Qualification and destructive evidence</x:v>
      </x:c>
      <x:c r="G811" s="21" t="n">
        <x:v>21</x:v>
      </x:c>
      <x:c r="H811" s="21" t="str">
        <x:v>Independent Evidence and Data Authority</x:v>
      </x:c>
      <x:c r="I811" s="44" t="n">
        <x:f>Lifecycle!G11</x:f>
        <x:v>0.1515251334079979</x:v>
      </x:c>
      <x:c r="J811" s="44" t="n">
        <x:v>0.10416666666666667</x:v>
      </x:c>
      <x:c r="K811" s="44" t="n">
        <x:f>I811*J811</x:f>
        <x:v>0.015783868063333116</x:v>
      </x:c>
      <x:c r="L811" s="46" t="n">
        <x:v>0</x:v>
      </x:c>
      <x:c r="M811" s="46" t="n">
        <x:v>0</x:v>
      </x:c>
      <x:c r="N811" s="21" t="n">
        <x:f>IF(AND(L810=1,M810=1,P810&gt;0),1,0)</x:f>
        <x:v>0</x:v>
      </x:c>
      <x:c r="O811" s="21" t="n">
        <x:f>MIN('Root Data'!I247:I249)</x:f>
        <x:v>0</x:v>
      </x:c>
      <x:c r="P811" s="44" t="n">
        <x:f>IF(AND(L811=1,M811=1,N811=1,O811&gt;=G811),K811,0)</x:f>
        <x:v>0</x:v>
      </x:c>
      <x:c r="Q811" s="21" t="str">
        <x:v>OPEN</x:v>
      </x:c>
      <x:c r="R811" s="23" t="str">
        <x:v>HOLD</x:v>
      </x:c>
    </x:row>
    <x:row r="812">
      <x:c r="B812" s="21" t="str">
        <x:v>AR-00806</x:v>
      </x:c>
      <x:c r="C812" s="21" t="str">
        <x:v>F21-I1</x:v>
      </x:c>
      <x:c r="D812" s="21" t="str">
        <x:v>F21</x:v>
      </x:c>
      <x:c r="E812" s="21" t="n">
        <x:v>6</x:v>
      </x:c>
      <x:c r="F812" s="21" t="str">
        <x:v>Representative mission result</x:v>
      </x:c>
      <x:c r="G812" s="21" t="n">
        <x:v>23</x:v>
      </x:c>
      <x:c r="H812" s="21" t="str">
        <x:v>Receiving Service Authority</x:v>
      </x:c>
      <x:c r="I812" s="44" t="n">
        <x:f>Lifecycle!G12</x:f>
        <x:v>0.250345872587127</x:v>
      </x:c>
      <x:c r="J812" s="44" t="n">
        <x:v>0.10416666666666667</x:v>
      </x:c>
      <x:c r="K812" s="44" t="n">
        <x:f>I812*J812</x:f>
        <x:v>0.026077695061159062</x:v>
      </x:c>
      <x:c r="L812" s="46" t="n">
        <x:v>0</x:v>
      </x:c>
      <x:c r="M812" s="46" t="n">
        <x:v>0</x:v>
      </x:c>
      <x:c r="N812" s="21" t="n">
        <x:f>IF(AND(L811=1,M811=1,P811&gt;0),1,0)</x:f>
        <x:v>0</x:v>
      </x:c>
      <x:c r="O812" s="21" t="n">
        <x:f>MIN('Root Data'!I247:I249)</x:f>
        <x:v>0</x:v>
      </x:c>
      <x:c r="P812" s="44" t="n">
        <x:f>IF(AND(L812=1,M812=1,N812=1,O812&gt;=G812),K812,0)</x:f>
        <x:v>0</x:v>
      </x:c>
      <x:c r="Q812" s="21" t="str">
        <x:v>OPEN</x:v>
      </x:c>
      <x:c r="R812" s="23" t="str">
        <x:v>HOLD</x:v>
      </x:c>
    </x:row>
    <x:row r="813">
      <x:c r="B813" s="21" t="str">
        <x:v>AR-00807</x:v>
      </x:c>
      <x:c r="C813" s="21" t="str">
        <x:v>F21-I1</x:v>
      </x:c>
      <x:c r="D813" s="21" t="str">
        <x:v>F21</x:v>
      </x:c>
      <x:c r="E813" s="21" t="n">
        <x:v>7</x:v>
      </x:c>
      <x:c r="F813" s="21" t="str">
        <x:v>Independent reproduction</x:v>
      </x:c>
      <x:c r="G813" s="21" t="n">
        <x:v>28</x:v>
      </x:c>
      <x:c r="H813" s="21" t="str">
        <x:v>Independent Evidence and Data Authority</x:v>
      </x:c>
      <x:c r="I813" s="44" t="n">
        <x:f>Lifecycle!G13</x:f>
        <x:v>0.21740562619408393</x:v>
      </x:c>
      <x:c r="J813" s="44" t="n">
        <x:v>0.10416666666666667</x:v>
      </x:c>
      <x:c r="K813" s="44" t="n">
        <x:f>I813*J813</x:f>
        <x:v>0.02264641939521708</x:v>
      </x:c>
      <x:c r="L813" s="46" t="n">
        <x:v>0</x:v>
      </x:c>
      <x:c r="M813" s="46" t="n">
        <x:v>0</x:v>
      </x:c>
      <x:c r="N813" s="21" t="n">
        <x:f>IF(AND(L812=1,M812=1,P812&gt;0),1,0)</x:f>
        <x:v>0</x:v>
      </x:c>
      <x:c r="O813" s="21" t="n">
        <x:f>MIN('Root Data'!I247:I249)</x:f>
        <x:v>0</x:v>
      </x:c>
      <x:c r="P813" s="44" t="n">
        <x:f>IF(AND(L813=1,M813=1,N813=1,O813&gt;=G813),K813,0)</x:f>
        <x:v>0</x:v>
      </x:c>
      <x:c r="Q813" s="21" t="str">
        <x:v>OPEN</x:v>
      </x:c>
      <x:c r="R813" s="23" t="str">
        <x:v>HOLD</x:v>
      </x:c>
    </x:row>
    <x:row r="814">
      <x:c r="B814" s="21" t="str">
        <x:v>AR-00808</x:v>
      </x:c>
      <x:c r="C814" s="21" t="str">
        <x:v>F21-I1</x:v>
      </x:c>
      <x:c r="D814" s="21" t="str">
        <x:v>F21</x:v>
      </x:c>
      <x:c r="E814" s="21" t="n">
        <x:v>8</x:v>
      </x:c>
      <x:c r="F814" s="21" t="str">
        <x:v>Pilot-process qualification</x:v>
      </x:c>
      <x:c r="G814" s="21" t="n">
        <x:v>28</x:v>
      </x:c>
      <x:c r="H814" s="21" t="str">
        <x:v>AIMC Industrial Mobilization Authority</x:v>
      </x:c>
      <x:c r="I814" s="44" t="n">
        <x:f>Lifecycle!G14</x:f>
        <x:v>0.03952829567165163</x:v>
      </x:c>
      <x:c r="J814" s="44" t="n">
        <x:v>0.10416666666666667</x:v>
      </x:c>
      <x:c r="K814" s="44" t="n">
        <x:f>I814*J814</x:f>
        <x:v>0.0041175307991303785</x:v>
      </x:c>
      <x:c r="L814" s="46" t="n">
        <x:v>0</x:v>
      </x:c>
      <x:c r="M814" s="46" t="n">
        <x:v>0</x:v>
      </x:c>
      <x:c r="N814" s="21" t="n">
        <x:f>IF(AND(L813=1,M813=1,P813&gt;0),1,0)</x:f>
        <x:v>0</x:v>
      </x:c>
      <x:c r="O814" s="21" t="n">
        <x:f>MIN('Root Data'!I247:I249)</x:f>
        <x:v>0</x:v>
      </x:c>
      <x:c r="P814" s="44" t="n">
        <x:f>IF(AND(L814=1,M814=1,N814=1,O814&gt;=G814),K814,0)</x:f>
        <x:v>0</x:v>
      </x:c>
      <x:c r="Q814" s="21" t="str">
        <x:v>OPEN</x:v>
      </x:c>
      <x:c r="R814" s="23" t="str">
        <x:v>HOLD</x:v>
      </x:c>
    </x:row>
    <x:row r="815">
      <x:c r="B815" s="21" t="str">
        <x:v>AR-00809</x:v>
      </x:c>
      <x:c r="C815" s="21" t="str">
        <x:v>F21-I1</x:v>
      </x:c>
      <x:c r="D815" s="21" t="str">
        <x:v>F21</x:v>
      </x:c>
      <x:c r="E815" s="21" t="n">
        <x:v>9</x:v>
      </x:c>
      <x:c r="F815" s="21" t="str">
        <x:v>Production release package</x:v>
      </x:c>
      <x:c r="G815" s="21" t="n">
        <x:v>28</x:v>
      </x:c>
      <x:c r="H815" s="21" t="str">
        <x:v>Production Release Board</x:v>
      </x:c>
      <x:c r="I815" s="44" t="n">
        <x:f>Lifecycle!G15</x:f>
        <x:v>0.01647012319652151</x:v>
      </x:c>
      <x:c r="J815" s="44" t="n">
        <x:v>0.10416666666666667</x:v>
      </x:c>
      <x:c r="K815" s="44" t="n">
        <x:f>I815*J815</x:f>
        <x:v>0.0017156378329709907</x:v>
      </x:c>
      <x:c r="L815" s="46" t="n">
        <x:v>0</x:v>
      </x:c>
      <x:c r="M815" s="46" t="n">
        <x:v>0</x:v>
      </x:c>
      <x:c r="N815" s="21" t="n">
        <x:f>IF(AND(L814=1,M814=1,P814&gt;0),1,0)</x:f>
        <x:v>0</x:v>
      </x:c>
      <x:c r="O815" s="21" t="n">
        <x:f>MIN('Root Data'!I247:I249)</x:f>
        <x:v>0</x:v>
      </x:c>
      <x:c r="P815" s="44" t="n">
        <x:f>IF(AND(L815=1,M815=1,N815=1,O815&gt;=G815),K815,0)</x:f>
        <x:v>0</x:v>
      </x:c>
      <x:c r="Q815" s="21" t="str">
        <x:v>OPEN</x:v>
      </x:c>
      <x:c r="R815" s="23" t="str">
        <x:v>HOLD</x:v>
      </x:c>
    </x:row>
    <x:row r="816">
      <x:c r="B816" s="21" t="str">
        <x:v>AR-00810</x:v>
      </x:c>
      <x:c r="C816" s="21" t="str">
        <x:v>F21-I1</x:v>
      </x:c>
      <x:c r="D816" s="21" t="str">
        <x:v>F21</x:v>
      </x:c>
      <x:c r="E816" s="21" t="n">
        <x:v>10</x:v>
      </x:c>
      <x:c r="F816" s="21" t="str">
        <x:v>Mobilization activation</x:v>
      </x:c>
      <x:c r="G816" s="21" t="n">
        <x:v>28</x:v>
      </x:c>
      <x:c r="H816" s="21" t="str">
        <x:v>Production Release Board</x:v>
      </x:c>
      <x:c r="I816" s="44" t="n">
        <x:f>Lifecycle!G16</x:f>
        <x:v>0.028262731405230914</x:v>
      </x:c>
      <x:c r="J816" s="44" t="n">
        <x:v>0.10416666666666667</x:v>
      </x:c>
      <x:c r="K816" s="44" t="n">
        <x:f>I816*J816</x:f>
        <x:v>0.0029440345213782204</x:v>
      </x:c>
      <x:c r="L816" s="46" t="n">
        <x:v>0</x:v>
      </x:c>
      <x:c r="M816" s="46" t="n">
        <x:v>0</x:v>
      </x:c>
      <x:c r="N816" s="21" t="n">
        <x:f>IF(AND(L815=1,M815=1,P815&gt;0),1,0)</x:f>
        <x:v>0</x:v>
      </x:c>
      <x:c r="O816" s="21" t="n">
        <x:f>MIN('Root Data'!I247:I249)</x:f>
        <x:v>0</x:v>
      </x:c>
      <x:c r="P816" s="44" t="n">
        <x:f>IF(AND(L816=1,M816=1,N816=1,O816&gt;=G816),K816,0)</x:f>
        <x:v>0</x:v>
      </x:c>
      <x:c r="Q816" s="21" t="str">
        <x:v>OPEN</x:v>
      </x:c>
      <x:c r="R816" s="23" t="str">
        <x:v>HOLD</x:v>
      </x:c>
    </x:row>
    <x:row r="817">
      <x:c r="B817" s="21" t="str">
        <x:v>AR-00811</x:v>
      </x:c>
      <x:c r="C817" s="21" t="str">
        <x:v>F21-I2</x:v>
      </x:c>
      <x:c r="D817" s="21" t="str">
        <x:v>F21</x:v>
      </x:c>
      <x:c r="E817" s="21" t="n">
        <x:v>1</x:v>
      </x:c>
      <x:c r="F817" s="21" t="str">
        <x:v>Civil effect charter</x:v>
      </x:c>
      <x:c r="G817" s="21" t="n">
        <x:v>0</x:v>
      </x:c>
      <x:c r="H817" s="21" t="str">
        <x:v>Civil Guarantee Authority</x:v>
      </x:c>
      <x:c r="I817" s="44" t="n">
        <x:f>Lifecycle!G7</x:f>
        <x:v>0.04941036958956453</x:v>
      </x:c>
      <x:c r="J817" s="44" t="n">
        <x:v>0.10416666666666667</x:v>
      </x:c>
      <x:c r="K817" s="44" t="n">
        <x:f>I817*J817</x:f>
        <x:v>0.005146913498912972</x:v>
      </x:c>
      <x:c r="L817" s="46" t="n">
        <x:v>0</x:v>
      </x:c>
      <x:c r="M817" s="46" t="n">
        <x:v>0</x:v>
      </x:c>
      <x:c r="N817" s="21" t="n">
        <x:f>1</x:f>
        <x:v>1</x:v>
      </x:c>
      <x:c r="O817" s="21" t="n">
        <x:f>MIN('Root Data'!I250:I252)</x:f>
        <x:v>0</x:v>
      </x:c>
      <x:c r="P817" s="44" t="n">
        <x:f>IF(AND(L817=1,M817=1,N817=1,O817&gt;=G817),K817,0)</x:f>
        <x:v>0</x:v>
      </x:c>
      <x:c r="Q817" s="21" t="str">
        <x:v>OPEN</x:v>
      </x:c>
      <x:c r="R817" s="23" t="str">
        <x:v>HOLD</x:v>
      </x:c>
    </x:row>
    <x:row r="818">
      <x:c r="B818" s="21" t="str">
        <x:v>AR-00812</x:v>
      </x:c>
      <x:c r="C818" s="21" t="str">
        <x:v>F21-I2</x:v>
      </x:c>
      <x:c r="D818" s="21" t="str">
        <x:v>F21</x:v>
      </x:c>
      <x:c r="E818" s="21" t="n">
        <x:v>2</x:v>
      </x:c>
      <x:c r="F818" s="21" t="str">
        <x:v>Requirement and root-independence package</x:v>
      </x:c>
      <x:c r="G818" s="21" t="n">
        <x:v>8</x:v>
      </x:c>
      <x:c r="H818" s="21" t="str">
        <x:v>Resilience Staff</x:v>
      </x:c>
      <x:c r="I818" s="44" t="n">
        <x:f>Lifecycle!G8</x:f>
        <x:v>0.10211476381843337</x:v>
      </x:c>
      <x:c r="J818" s="44" t="n">
        <x:v>0.10416666666666667</x:v>
      </x:c>
      <x:c r="K818" s="44" t="n">
        <x:f>I818*J818</x:f>
        <x:v>0.010636954564420143</x:v>
      </x:c>
      <x:c r="L818" s="46" t="n">
        <x:v>0</x:v>
      </x:c>
      <x:c r="M818" s="46" t="n">
        <x:v>0</x:v>
      </x:c>
      <x:c r="N818" s="21" t="n">
        <x:f>IF(AND(L817=1,M817=1,P817&gt;0),1,0)</x:f>
        <x:v>0</x:v>
      </x:c>
      <x:c r="O818" s="21" t="n">
        <x:f>MIN('Root Data'!I250:I252)</x:f>
        <x:v>0</x:v>
      </x:c>
      <x:c r="P818" s="44" t="n">
        <x:f>IF(AND(L818=1,M818=1,N818=1,O818&gt;=G818),K818,0)</x:f>
        <x:v>0</x:v>
      </x:c>
      <x:c r="Q818" s="21" t="str">
        <x:v>OPEN</x:v>
      </x:c>
      <x:c r="R818" s="23" t="str">
        <x:v>HOLD</x:v>
      </x:c>
    </x:row>
    <x:row r="819">
      <x:c r="B819" s="21" t="str">
        <x:v>AR-00813</x:v>
      </x:c>
      <x:c r="C819" s="21" t="str">
        <x:v>F21-I2</x:v>
      </x:c>
      <x:c r="D819" s="21" t="str">
        <x:v>F21</x:v>
      </x:c>
      <x:c r="E819" s="21" t="n">
        <x:v>3</x:v>
      </x:c>
      <x:c r="F819" s="21" t="str">
        <x:v>Architecture and burden closure</x:v>
      </x:c>
      <x:c r="G819" s="21" t="n">
        <x:v>14</x:v>
      </x:c>
      <x:c r="H819" s="21" t="str">
        <x:v>Independent Evidence and Data Authority</x:v>
      </x:c>
      <x:c r="I819" s="44" t="n">
        <x:f>Lifecycle!G9</x:f>
        <x:v>0.08564464062191186</x:v>
      </x:c>
      <x:c r="J819" s="44" t="n">
        <x:v>0.10416666666666667</x:v>
      </x:c>
      <x:c r="K819" s="44" t="n">
        <x:f>I819*J819</x:f>
        <x:v>0.008921316731449153</x:v>
      </x:c>
      <x:c r="L819" s="46" t="n">
        <x:v>0</x:v>
      </x:c>
      <x:c r="M819" s="46" t="n">
        <x:v>0</x:v>
      </x:c>
      <x:c r="N819" s="21" t="n">
        <x:f>IF(AND(L818=1,M818=1,P818&gt;0),1,0)</x:f>
        <x:v>0</x:v>
      </x:c>
      <x:c r="O819" s="21" t="n">
        <x:f>MIN('Root Data'!I250:I252)</x:f>
        <x:v>0</x:v>
      </x:c>
      <x:c r="P819" s="44" t="n">
        <x:f>IF(AND(L819=1,M819=1,N819=1,O819&gt;=G819),K819,0)</x:f>
        <x:v>0</x:v>
      </x:c>
      <x:c r="Q819" s="21" t="str">
        <x:v>OPEN</x:v>
      </x:c>
      <x:c r="R819" s="23" t="str">
        <x:v>HOLD</x:v>
      </x:c>
    </x:row>
    <x:row r="820">
      <x:c r="B820" s="21" t="str">
        <x:v>AR-00814</x:v>
      </x:c>
      <x:c r="C820" s="21" t="str">
        <x:v>F21-I2</x:v>
      </x:c>
      <x:c r="D820" s="21" t="str">
        <x:v>F21</x:v>
      </x:c>
      <x:c r="E820" s="21" t="n">
        <x:v>4</x:v>
      </x:c>
      <x:c r="F820" s="21" t="str">
        <x:v>Engineering article acceptance</x:v>
      </x:c>
      <x:c r="G820" s="21" t="n">
        <x:v>18</x:v>
      </x:c>
      <x:c r="H820" s="21" t="str">
        <x:v>Independent Evidence and Data Authority</x:v>
      </x:c>
      <x:c r="I820" s="44" t="n">
        <x:f>Lifecycle!G10</x:f>
        <x:v>0.05929244350747744</x:v>
      </x:c>
      <x:c r="J820" s="44" t="n">
        <x:v>0.10416666666666667</x:v>
      </x:c>
      <x:c r="K820" s="44" t="n">
        <x:f>I820*J820</x:f>
        <x:v>0.006176296198695567</x:v>
      </x:c>
      <x:c r="L820" s="46" t="n">
        <x:v>0</x:v>
      </x:c>
      <x:c r="M820" s="46" t="n">
        <x:v>0</x:v>
      </x:c>
      <x:c r="N820" s="21" t="n">
        <x:f>IF(AND(L819=1,M819=1,P819&gt;0),1,0)</x:f>
        <x:v>0</x:v>
      </x:c>
      <x:c r="O820" s="21" t="n">
        <x:f>MIN('Root Data'!I250:I252)</x:f>
        <x:v>0</x:v>
      </x:c>
      <x:c r="P820" s="44" t="n">
        <x:f>IF(AND(L820=1,M820=1,N820=1,O820&gt;=G820),K820,0)</x:f>
        <x:v>0</x:v>
      </x:c>
      <x:c r="Q820" s="21" t="str">
        <x:v>OPEN</x:v>
      </x:c>
      <x:c r="R820" s="23" t="str">
        <x:v>HOLD</x:v>
      </x:c>
    </x:row>
    <x:row r="821">
      <x:c r="B821" s="21" t="str">
        <x:v>AR-00815</x:v>
      </x:c>
      <x:c r="C821" s="21" t="str">
        <x:v>F21-I2</x:v>
      </x:c>
      <x:c r="D821" s="21" t="str">
        <x:v>F21</x:v>
      </x:c>
      <x:c r="E821" s="21" t="n">
        <x:v>5</x:v>
      </x:c>
      <x:c r="F821" s="21" t="str">
        <x:v>Qualification and destructive evidence</x:v>
      </x:c>
      <x:c r="G821" s="21" t="n">
        <x:v>21</x:v>
      </x:c>
      <x:c r="H821" s="21" t="str">
        <x:v>Independent Evidence and Data Authority</x:v>
      </x:c>
      <x:c r="I821" s="44" t="n">
        <x:f>Lifecycle!G11</x:f>
        <x:v>0.1515251334079979</x:v>
      </x:c>
      <x:c r="J821" s="44" t="n">
        <x:v>0.10416666666666667</x:v>
      </x:c>
      <x:c r="K821" s="44" t="n">
        <x:f>I821*J821</x:f>
        <x:v>0.015783868063333116</x:v>
      </x:c>
      <x:c r="L821" s="46" t="n">
        <x:v>0</x:v>
      </x:c>
      <x:c r="M821" s="46" t="n">
        <x:v>0</x:v>
      </x:c>
      <x:c r="N821" s="21" t="n">
        <x:f>IF(AND(L820=1,M820=1,P820&gt;0),1,0)</x:f>
        <x:v>0</x:v>
      </x:c>
      <x:c r="O821" s="21" t="n">
        <x:f>MIN('Root Data'!I250:I252)</x:f>
        <x:v>0</x:v>
      </x:c>
      <x:c r="P821" s="44" t="n">
        <x:f>IF(AND(L821=1,M821=1,N821=1,O821&gt;=G821),K821,0)</x:f>
        <x:v>0</x:v>
      </x:c>
      <x:c r="Q821" s="21" t="str">
        <x:v>OPEN</x:v>
      </x:c>
      <x:c r="R821" s="23" t="str">
        <x:v>HOLD</x:v>
      </x:c>
    </x:row>
    <x:row r="822">
      <x:c r="B822" s="21" t="str">
        <x:v>AR-00816</x:v>
      </x:c>
      <x:c r="C822" s="21" t="str">
        <x:v>F21-I2</x:v>
      </x:c>
      <x:c r="D822" s="21" t="str">
        <x:v>F21</x:v>
      </x:c>
      <x:c r="E822" s="21" t="n">
        <x:v>6</x:v>
      </x:c>
      <x:c r="F822" s="21" t="str">
        <x:v>Representative mission result</x:v>
      </x:c>
      <x:c r="G822" s="21" t="n">
        <x:v>23</x:v>
      </x:c>
      <x:c r="H822" s="21" t="str">
        <x:v>Receiving Service Authority</x:v>
      </x:c>
      <x:c r="I822" s="44" t="n">
        <x:f>Lifecycle!G12</x:f>
        <x:v>0.250345872587127</x:v>
      </x:c>
      <x:c r="J822" s="44" t="n">
        <x:v>0.10416666666666667</x:v>
      </x:c>
      <x:c r="K822" s="44" t="n">
        <x:f>I822*J822</x:f>
        <x:v>0.026077695061159062</x:v>
      </x:c>
      <x:c r="L822" s="46" t="n">
        <x:v>0</x:v>
      </x:c>
      <x:c r="M822" s="46" t="n">
        <x:v>0</x:v>
      </x:c>
      <x:c r="N822" s="21" t="n">
        <x:f>IF(AND(L821=1,M821=1,P821&gt;0),1,0)</x:f>
        <x:v>0</x:v>
      </x:c>
      <x:c r="O822" s="21" t="n">
        <x:f>MIN('Root Data'!I250:I252)</x:f>
        <x:v>0</x:v>
      </x:c>
      <x:c r="P822" s="44" t="n">
        <x:f>IF(AND(L822=1,M822=1,N822=1,O822&gt;=G822),K822,0)</x:f>
        <x:v>0</x:v>
      </x:c>
      <x:c r="Q822" s="21" t="str">
        <x:v>OPEN</x:v>
      </x:c>
      <x:c r="R822" s="23" t="str">
        <x:v>HOLD</x:v>
      </x:c>
    </x:row>
    <x:row r="823">
      <x:c r="B823" s="21" t="str">
        <x:v>AR-00817</x:v>
      </x:c>
      <x:c r="C823" s="21" t="str">
        <x:v>F21-I2</x:v>
      </x:c>
      <x:c r="D823" s="21" t="str">
        <x:v>F21</x:v>
      </x:c>
      <x:c r="E823" s="21" t="n">
        <x:v>7</x:v>
      </x:c>
      <x:c r="F823" s="21" t="str">
        <x:v>Independent reproduction</x:v>
      </x:c>
      <x:c r="G823" s="21" t="n">
        <x:v>28</x:v>
      </x:c>
      <x:c r="H823" s="21" t="str">
        <x:v>Independent Evidence and Data Authority</x:v>
      </x:c>
      <x:c r="I823" s="44" t="n">
        <x:f>Lifecycle!G13</x:f>
        <x:v>0.21740562619408393</x:v>
      </x:c>
      <x:c r="J823" s="44" t="n">
        <x:v>0.10416666666666667</x:v>
      </x:c>
      <x:c r="K823" s="44" t="n">
        <x:f>I823*J823</x:f>
        <x:v>0.02264641939521708</x:v>
      </x:c>
      <x:c r="L823" s="46" t="n">
        <x:v>0</x:v>
      </x:c>
      <x:c r="M823" s="46" t="n">
        <x:v>0</x:v>
      </x:c>
      <x:c r="N823" s="21" t="n">
        <x:f>IF(AND(L822=1,M822=1,P822&gt;0),1,0)</x:f>
        <x:v>0</x:v>
      </x:c>
      <x:c r="O823" s="21" t="n">
        <x:f>MIN('Root Data'!I250:I252)</x:f>
        <x:v>0</x:v>
      </x:c>
      <x:c r="P823" s="44" t="n">
        <x:f>IF(AND(L823=1,M823=1,N823=1,O823&gt;=G823),K823,0)</x:f>
        <x:v>0</x:v>
      </x:c>
      <x:c r="Q823" s="21" t="str">
        <x:v>OPEN</x:v>
      </x:c>
      <x:c r="R823" s="23" t="str">
        <x:v>HOLD</x:v>
      </x:c>
    </x:row>
    <x:row r="824">
      <x:c r="B824" s="21" t="str">
        <x:v>AR-00818</x:v>
      </x:c>
      <x:c r="C824" s="21" t="str">
        <x:v>F21-I2</x:v>
      </x:c>
      <x:c r="D824" s="21" t="str">
        <x:v>F21</x:v>
      </x:c>
      <x:c r="E824" s="21" t="n">
        <x:v>8</x:v>
      </x:c>
      <x:c r="F824" s="21" t="str">
        <x:v>Pilot-process qualification</x:v>
      </x:c>
      <x:c r="G824" s="21" t="n">
        <x:v>28</x:v>
      </x:c>
      <x:c r="H824" s="21" t="str">
        <x:v>AIMC Industrial Mobilization Authority</x:v>
      </x:c>
      <x:c r="I824" s="44" t="n">
        <x:f>Lifecycle!G14</x:f>
        <x:v>0.03952829567165163</x:v>
      </x:c>
      <x:c r="J824" s="44" t="n">
        <x:v>0.10416666666666667</x:v>
      </x:c>
      <x:c r="K824" s="44" t="n">
        <x:f>I824*J824</x:f>
        <x:v>0.0041175307991303785</x:v>
      </x:c>
      <x:c r="L824" s="46" t="n">
        <x:v>0</x:v>
      </x:c>
      <x:c r="M824" s="46" t="n">
        <x:v>0</x:v>
      </x:c>
      <x:c r="N824" s="21" t="n">
        <x:f>IF(AND(L823=1,M823=1,P823&gt;0),1,0)</x:f>
        <x:v>0</x:v>
      </x:c>
      <x:c r="O824" s="21" t="n">
        <x:f>MIN('Root Data'!I250:I252)</x:f>
        <x:v>0</x:v>
      </x:c>
      <x:c r="P824" s="44" t="n">
        <x:f>IF(AND(L824=1,M824=1,N824=1,O824&gt;=G824),K824,0)</x:f>
        <x:v>0</x:v>
      </x:c>
      <x:c r="Q824" s="21" t="str">
        <x:v>OPEN</x:v>
      </x:c>
      <x:c r="R824" s="23" t="str">
        <x:v>HOLD</x:v>
      </x:c>
    </x:row>
    <x:row r="825">
      <x:c r="B825" s="21" t="str">
        <x:v>AR-00819</x:v>
      </x:c>
      <x:c r="C825" s="21" t="str">
        <x:v>F21-I2</x:v>
      </x:c>
      <x:c r="D825" s="21" t="str">
        <x:v>F21</x:v>
      </x:c>
      <x:c r="E825" s="21" t="n">
        <x:v>9</x:v>
      </x:c>
      <x:c r="F825" s="21" t="str">
        <x:v>Production release package</x:v>
      </x:c>
      <x:c r="G825" s="21" t="n">
        <x:v>28</x:v>
      </x:c>
      <x:c r="H825" s="21" t="str">
        <x:v>Production Release Board</x:v>
      </x:c>
      <x:c r="I825" s="44" t="n">
        <x:f>Lifecycle!G15</x:f>
        <x:v>0.01647012319652151</x:v>
      </x:c>
      <x:c r="J825" s="44" t="n">
        <x:v>0.10416666666666667</x:v>
      </x:c>
      <x:c r="K825" s="44" t="n">
        <x:f>I825*J825</x:f>
        <x:v>0.0017156378329709907</x:v>
      </x:c>
      <x:c r="L825" s="46" t="n">
        <x:v>0</x:v>
      </x:c>
      <x:c r="M825" s="46" t="n">
        <x:v>0</x:v>
      </x:c>
      <x:c r="N825" s="21" t="n">
        <x:f>IF(AND(L824=1,M824=1,P824&gt;0),1,0)</x:f>
        <x:v>0</x:v>
      </x:c>
      <x:c r="O825" s="21" t="n">
        <x:f>MIN('Root Data'!I250:I252)</x:f>
        <x:v>0</x:v>
      </x:c>
      <x:c r="P825" s="44" t="n">
        <x:f>IF(AND(L825=1,M825=1,N825=1,O825&gt;=G825),K825,0)</x:f>
        <x:v>0</x:v>
      </x:c>
      <x:c r="Q825" s="21" t="str">
        <x:v>OPEN</x:v>
      </x:c>
      <x:c r="R825" s="23" t="str">
        <x:v>HOLD</x:v>
      </x:c>
    </x:row>
    <x:row r="826">
      <x:c r="B826" s="21" t="str">
        <x:v>AR-00820</x:v>
      </x:c>
      <x:c r="C826" s="21" t="str">
        <x:v>F21-I2</x:v>
      </x:c>
      <x:c r="D826" s="21" t="str">
        <x:v>F21</x:v>
      </x:c>
      <x:c r="E826" s="21" t="n">
        <x:v>10</x:v>
      </x:c>
      <x:c r="F826" s="21" t="str">
        <x:v>Mobilization activation</x:v>
      </x:c>
      <x:c r="G826" s="21" t="n">
        <x:v>28</x:v>
      </x:c>
      <x:c r="H826" s="21" t="str">
        <x:v>Production Release Board</x:v>
      </x:c>
      <x:c r="I826" s="44" t="n">
        <x:f>Lifecycle!G16</x:f>
        <x:v>0.028262731405230914</x:v>
      </x:c>
      <x:c r="J826" s="44" t="n">
        <x:v>0.10416666666666667</x:v>
      </x:c>
      <x:c r="K826" s="44" t="n">
        <x:f>I826*J826</x:f>
        <x:v>0.0029440345213782204</x:v>
      </x:c>
      <x:c r="L826" s="46" t="n">
        <x:v>0</x:v>
      </x:c>
      <x:c r="M826" s="46" t="n">
        <x:v>0</x:v>
      </x:c>
      <x:c r="N826" s="21" t="n">
        <x:f>IF(AND(L825=1,M825=1,P825&gt;0),1,0)</x:f>
        <x:v>0</x:v>
      </x:c>
      <x:c r="O826" s="21" t="n">
        <x:f>MIN('Root Data'!I250:I252)</x:f>
        <x:v>0</x:v>
      </x:c>
      <x:c r="P826" s="44" t="n">
        <x:f>IF(AND(L826=1,M826=1,N826=1,O826&gt;=G826),K826,0)</x:f>
        <x:v>0</x:v>
      </x:c>
      <x:c r="Q826" s="21" t="str">
        <x:v>OPEN</x:v>
      </x:c>
      <x:c r="R826" s="23" t="str">
        <x:v>HOLD</x:v>
      </x:c>
    </x:row>
    <x:row r="827">
      <x:c r="B827" s="21" t="str">
        <x:v>AR-00821</x:v>
      </x:c>
      <x:c r="C827" s="21" t="str">
        <x:v>F21-I3</x:v>
      </x:c>
      <x:c r="D827" s="21" t="str">
        <x:v>F21</x:v>
      </x:c>
      <x:c r="E827" s="21" t="n">
        <x:v>1</x:v>
      </x:c>
      <x:c r="F827" s="21" t="str">
        <x:v>Civil effect charter</x:v>
      </x:c>
      <x:c r="G827" s="21" t="n">
        <x:v>0</x:v>
      </x:c>
      <x:c r="H827" s="21" t="str">
        <x:v>Civil Guarantee Authority</x:v>
      </x:c>
      <x:c r="I827" s="44" t="n">
        <x:f>Lifecycle!G7</x:f>
        <x:v>0.04941036958956453</x:v>
      </x:c>
      <x:c r="J827" s="44" t="n">
        <x:v>0.10416666666666667</x:v>
      </x:c>
      <x:c r="K827" s="44" t="n">
        <x:f>I827*J827</x:f>
        <x:v>0.005146913498912972</x:v>
      </x:c>
      <x:c r="L827" s="46" t="n">
        <x:v>0</x:v>
      </x:c>
      <x:c r="M827" s="46" t="n">
        <x:v>0</x:v>
      </x:c>
      <x:c r="N827" s="21" t="n">
        <x:f>1</x:f>
        <x:v>1</x:v>
      </x:c>
      <x:c r="O827" s="21" t="n">
        <x:f>MIN('Root Data'!I253:I255)</x:f>
        <x:v>0</x:v>
      </x:c>
      <x:c r="P827" s="44" t="n">
        <x:f>IF(AND(L827=1,M827=1,N827=1,O827&gt;=G827),K827,0)</x:f>
        <x:v>0</x:v>
      </x:c>
      <x:c r="Q827" s="21" t="str">
        <x:v>OPEN</x:v>
      </x:c>
      <x:c r="R827" s="23" t="str">
        <x:v>HOLD</x:v>
      </x:c>
    </x:row>
    <x:row r="828">
      <x:c r="B828" s="21" t="str">
        <x:v>AR-00822</x:v>
      </x:c>
      <x:c r="C828" s="21" t="str">
        <x:v>F21-I3</x:v>
      </x:c>
      <x:c r="D828" s="21" t="str">
        <x:v>F21</x:v>
      </x:c>
      <x:c r="E828" s="21" t="n">
        <x:v>2</x:v>
      </x:c>
      <x:c r="F828" s="21" t="str">
        <x:v>Requirement and root-independence package</x:v>
      </x:c>
      <x:c r="G828" s="21" t="n">
        <x:v>8</x:v>
      </x:c>
      <x:c r="H828" s="21" t="str">
        <x:v>Resilience Staff</x:v>
      </x:c>
      <x:c r="I828" s="44" t="n">
        <x:f>Lifecycle!G8</x:f>
        <x:v>0.10211476381843337</x:v>
      </x:c>
      <x:c r="J828" s="44" t="n">
        <x:v>0.10416666666666667</x:v>
      </x:c>
      <x:c r="K828" s="44" t="n">
        <x:f>I828*J828</x:f>
        <x:v>0.010636954564420143</x:v>
      </x:c>
      <x:c r="L828" s="46" t="n">
        <x:v>0</x:v>
      </x:c>
      <x:c r="M828" s="46" t="n">
        <x:v>0</x:v>
      </x:c>
      <x:c r="N828" s="21" t="n">
        <x:f>IF(AND(L827=1,M827=1,P827&gt;0),1,0)</x:f>
        <x:v>0</x:v>
      </x:c>
      <x:c r="O828" s="21" t="n">
        <x:f>MIN('Root Data'!I253:I255)</x:f>
        <x:v>0</x:v>
      </x:c>
      <x:c r="P828" s="44" t="n">
        <x:f>IF(AND(L828=1,M828=1,N828=1,O828&gt;=G828),K828,0)</x:f>
        <x:v>0</x:v>
      </x:c>
      <x:c r="Q828" s="21" t="str">
        <x:v>OPEN</x:v>
      </x:c>
      <x:c r="R828" s="23" t="str">
        <x:v>HOLD</x:v>
      </x:c>
    </x:row>
    <x:row r="829">
      <x:c r="B829" s="21" t="str">
        <x:v>AR-00823</x:v>
      </x:c>
      <x:c r="C829" s="21" t="str">
        <x:v>F21-I3</x:v>
      </x:c>
      <x:c r="D829" s="21" t="str">
        <x:v>F21</x:v>
      </x:c>
      <x:c r="E829" s="21" t="n">
        <x:v>3</x:v>
      </x:c>
      <x:c r="F829" s="21" t="str">
        <x:v>Architecture and burden closure</x:v>
      </x:c>
      <x:c r="G829" s="21" t="n">
        <x:v>14</x:v>
      </x:c>
      <x:c r="H829" s="21" t="str">
        <x:v>Independent Evidence and Data Authority</x:v>
      </x:c>
      <x:c r="I829" s="44" t="n">
        <x:f>Lifecycle!G9</x:f>
        <x:v>0.08564464062191186</x:v>
      </x:c>
      <x:c r="J829" s="44" t="n">
        <x:v>0.10416666666666667</x:v>
      </x:c>
      <x:c r="K829" s="44" t="n">
        <x:f>I829*J829</x:f>
        <x:v>0.008921316731449153</x:v>
      </x:c>
      <x:c r="L829" s="46" t="n">
        <x:v>0</x:v>
      </x:c>
      <x:c r="M829" s="46" t="n">
        <x:v>0</x:v>
      </x:c>
      <x:c r="N829" s="21" t="n">
        <x:f>IF(AND(L828=1,M828=1,P828&gt;0),1,0)</x:f>
        <x:v>0</x:v>
      </x:c>
      <x:c r="O829" s="21" t="n">
        <x:f>MIN('Root Data'!I253:I255)</x:f>
        <x:v>0</x:v>
      </x:c>
      <x:c r="P829" s="44" t="n">
        <x:f>IF(AND(L829=1,M829=1,N829=1,O829&gt;=G829),K829,0)</x:f>
        <x:v>0</x:v>
      </x:c>
      <x:c r="Q829" s="21" t="str">
        <x:v>OPEN</x:v>
      </x:c>
      <x:c r="R829" s="23" t="str">
        <x:v>HOLD</x:v>
      </x:c>
    </x:row>
    <x:row r="830">
      <x:c r="B830" s="21" t="str">
        <x:v>AR-00824</x:v>
      </x:c>
      <x:c r="C830" s="21" t="str">
        <x:v>F21-I3</x:v>
      </x:c>
      <x:c r="D830" s="21" t="str">
        <x:v>F21</x:v>
      </x:c>
      <x:c r="E830" s="21" t="n">
        <x:v>4</x:v>
      </x:c>
      <x:c r="F830" s="21" t="str">
        <x:v>Engineering article acceptance</x:v>
      </x:c>
      <x:c r="G830" s="21" t="n">
        <x:v>18</x:v>
      </x:c>
      <x:c r="H830" s="21" t="str">
        <x:v>Independent Evidence and Data Authority</x:v>
      </x:c>
      <x:c r="I830" s="44" t="n">
        <x:f>Lifecycle!G10</x:f>
        <x:v>0.05929244350747744</x:v>
      </x:c>
      <x:c r="J830" s="44" t="n">
        <x:v>0.10416666666666667</x:v>
      </x:c>
      <x:c r="K830" s="44" t="n">
        <x:f>I830*J830</x:f>
        <x:v>0.006176296198695567</x:v>
      </x:c>
      <x:c r="L830" s="46" t="n">
        <x:v>0</x:v>
      </x:c>
      <x:c r="M830" s="46" t="n">
        <x:v>0</x:v>
      </x:c>
      <x:c r="N830" s="21" t="n">
        <x:f>IF(AND(L829=1,M829=1,P829&gt;0),1,0)</x:f>
        <x:v>0</x:v>
      </x:c>
      <x:c r="O830" s="21" t="n">
        <x:f>MIN('Root Data'!I253:I255)</x:f>
        <x:v>0</x:v>
      </x:c>
      <x:c r="P830" s="44" t="n">
        <x:f>IF(AND(L830=1,M830=1,N830=1,O830&gt;=G830),K830,0)</x:f>
        <x:v>0</x:v>
      </x:c>
      <x:c r="Q830" s="21" t="str">
        <x:v>OPEN</x:v>
      </x:c>
      <x:c r="R830" s="23" t="str">
        <x:v>HOLD</x:v>
      </x:c>
    </x:row>
    <x:row r="831">
      <x:c r="B831" s="21" t="str">
        <x:v>AR-00825</x:v>
      </x:c>
      <x:c r="C831" s="21" t="str">
        <x:v>F21-I3</x:v>
      </x:c>
      <x:c r="D831" s="21" t="str">
        <x:v>F21</x:v>
      </x:c>
      <x:c r="E831" s="21" t="n">
        <x:v>5</x:v>
      </x:c>
      <x:c r="F831" s="21" t="str">
        <x:v>Qualification and destructive evidence</x:v>
      </x:c>
      <x:c r="G831" s="21" t="n">
        <x:v>21</x:v>
      </x:c>
      <x:c r="H831" s="21" t="str">
        <x:v>Independent Evidence and Data Authority</x:v>
      </x:c>
      <x:c r="I831" s="44" t="n">
        <x:f>Lifecycle!G11</x:f>
        <x:v>0.1515251334079979</x:v>
      </x:c>
      <x:c r="J831" s="44" t="n">
        <x:v>0.10416666666666667</x:v>
      </x:c>
      <x:c r="K831" s="44" t="n">
        <x:f>I831*J831</x:f>
        <x:v>0.015783868063333116</x:v>
      </x:c>
      <x:c r="L831" s="46" t="n">
        <x:v>0</x:v>
      </x:c>
      <x:c r="M831" s="46" t="n">
        <x:v>0</x:v>
      </x:c>
      <x:c r="N831" s="21" t="n">
        <x:f>IF(AND(L830=1,M830=1,P830&gt;0),1,0)</x:f>
        <x:v>0</x:v>
      </x:c>
      <x:c r="O831" s="21" t="n">
        <x:f>MIN('Root Data'!I253:I255)</x:f>
        <x:v>0</x:v>
      </x:c>
      <x:c r="P831" s="44" t="n">
        <x:f>IF(AND(L831=1,M831=1,N831=1,O831&gt;=G831),K831,0)</x:f>
        <x:v>0</x:v>
      </x:c>
      <x:c r="Q831" s="21" t="str">
        <x:v>OPEN</x:v>
      </x:c>
      <x:c r="R831" s="23" t="str">
        <x:v>HOLD</x:v>
      </x:c>
    </x:row>
    <x:row r="832">
      <x:c r="B832" s="21" t="str">
        <x:v>AR-00826</x:v>
      </x:c>
      <x:c r="C832" s="21" t="str">
        <x:v>F21-I3</x:v>
      </x:c>
      <x:c r="D832" s="21" t="str">
        <x:v>F21</x:v>
      </x:c>
      <x:c r="E832" s="21" t="n">
        <x:v>6</x:v>
      </x:c>
      <x:c r="F832" s="21" t="str">
        <x:v>Representative mission result</x:v>
      </x:c>
      <x:c r="G832" s="21" t="n">
        <x:v>23</x:v>
      </x:c>
      <x:c r="H832" s="21" t="str">
        <x:v>Receiving Service Authority</x:v>
      </x:c>
      <x:c r="I832" s="44" t="n">
        <x:f>Lifecycle!G12</x:f>
        <x:v>0.250345872587127</x:v>
      </x:c>
      <x:c r="J832" s="44" t="n">
        <x:v>0.10416666666666667</x:v>
      </x:c>
      <x:c r="K832" s="44" t="n">
        <x:f>I832*J832</x:f>
        <x:v>0.026077695061159062</x:v>
      </x:c>
      <x:c r="L832" s="46" t="n">
        <x:v>0</x:v>
      </x:c>
      <x:c r="M832" s="46" t="n">
        <x:v>0</x:v>
      </x:c>
      <x:c r="N832" s="21" t="n">
        <x:f>IF(AND(L831=1,M831=1,P831&gt;0),1,0)</x:f>
        <x:v>0</x:v>
      </x:c>
      <x:c r="O832" s="21" t="n">
        <x:f>MIN('Root Data'!I253:I255)</x:f>
        <x:v>0</x:v>
      </x:c>
      <x:c r="P832" s="44" t="n">
        <x:f>IF(AND(L832=1,M832=1,N832=1,O832&gt;=G832),K832,0)</x:f>
        <x:v>0</x:v>
      </x:c>
      <x:c r="Q832" s="21" t="str">
        <x:v>OPEN</x:v>
      </x:c>
      <x:c r="R832" s="23" t="str">
        <x:v>HOLD</x:v>
      </x:c>
    </x:row>
    <x:row r="833">
      <x:c r="B833" s="21" t="str">
        <x:v>AR-00827</x:v>
      </x:c>
      <x:c r="C833" s="21" t="str">
        <x:v>F21-I3</x:v>
      </x:c>
      <x:c r="D833" s="21" t="str">
        <x:v>F21</x:v>
      </x:c>
      <x:c r="E833" s="21" t="n">
        <x:v>7</x:v>
      </x:c>
      <x:c r="F833" s="21" t="str">
        <x:v>Independent reproduction</x:v>
      </x:c>
      <x:c r="G833" s="21" t="n">
        <x:v>28</x:v>
      </x:c>
      <x:c r="H833" s="21" t="str">
        <x:v>Independent Evidence and Data Authority</x:v>
      </x:c>
      <x:c r="I833" s="44" t="n">
        <x:f>Lifecycle!G13</x:f>
        <x:v>0.21740562619408393</x:v>
      </x:c>
      <x:c r="J833" s="44" t="n">
        <x:v>0.10416666666666667</x:v>
      </x:c>
      <x:c r="K833" s="44" t="n">
        <x:f>I833*J833</x:f>
        <x:v>0.02264641939521708</x:v>
      </x:c>
      <x:c r="L833" s="46" t="n">
        <x:v>0</x:v>
      </x:c>
      <x:c r="M833" s="46" t="n">
        <x:v>0</x:v>
      </x:c>
      <x:c r="N833" s="21" t="n">
        <x:f>IF(AND(L832=1,M832=1,P832&gt;0),1,0)</x:f>
        <x:v>0</x:v>
      </x:c>
      <x:c r="O833" s="21" t="n">
        <x:f>MIN('Root Data'!I253:I255)</x:f>
        <x:v>0</x:v>
      </x:c>
      <x:c r="P833" s="44" t="n">
        <x:f>IF(AND(L833=1,M833=1,N833=1,O833&gt;=G833),K833,0)</x:f>
        <x:v>0</x:v>
      </x:c>
      <x:c r="Q833" s="21" t="str">
        <x:v>OPEN</x:v>
      </x:c>
      <x:c r="R833" s="23" t="str">
        <x:v>HOLD</x:v>
      </x:c>
    </x:row>
    <x:row r="834">
      <x:c r="B834" s="21" t="str">
        <x:v>AR-00828</x:v>
      </x:c>
      <x:c r="C834" s="21" t="str">
        <x:v>F21-I3</x:v>
      </x:c>
      <x:c r="D834" s="21" t="str">
        <x:v>F21</x:v>
      </x:c>
      <x:c r="E834" s="21" t="n">
        <x:v>8</x:v>
      </x:c>
      <x:c r="F834" s="21" t="str">
        <x:v>Pilot-process qualification</x:v>
      </x:c>
      <x:c r="G834" s="21" t="n">
        <x:v>28</x:v>
      </x:c>
      <x:c r="H834" s="21" t="str">
        <x:v>AIMC Industrial Mobilization Authority</x:v>
      </x:c>
      <x:c r="I834" s="44" t="n">
        <x:f>Lifecycle!G14</x:f>
        <x:v>0.03952829567165163</x:v>
      </x:c>
      <x:c r="J834" s="44" t="n">
        <x:v>0.10416666666666667</x:v>
      </x:c>
      <x:c r="K834" s="44" t="n">
        <x:f>I834*J834</x:f>
        <x:v>0.0041175307991303785</x:v>
      </x:c>
      <x:c r="L834" s="46" t="n">
        <x:v>0</x:v>
      </x:c>
      <x:c r="M834" s="46" t="n">
        <x:v>0</x:v>
      </x:c>
      <x:c r="N834" s="21" t="n">
        <x:f>IF(AND(L833=1,M833=1,P833&gt;0),1,0)</x:f>
        <x:v>0</x:v>
      </x:c>
      <x:c r="O834" s="21" t="n">
        <x:f>MIN('Root Data'!I253:I255)</x:f>
        <x:v>0</x:v>
      </x:c>
      <x:c r="P834" s="44" t="n">
        <x:f>IF(AND(L834=1,M834=1,N834=1,O834&gt;=G834),K834,0)</x:f>
        <x:v>0</x:v>
      </x:c>
      <x:c r="Q834" s="21" t="str">
        <x:v>OPEN</x:v>
      </x:c>
      <x:c r="R834" s="23" t="str">
        <x:v>HOLD</x:v>
      </x:c>
    </x:row>
    <x:row r="835">
      <x:c r="B835" s="21" t="str">
        <x:v>AR-00829</x:v>
      </x:c>
      <x:c r="C835" s="21" t="str">
        <x:v>F21-I3</x:v>
      </x:c>
      <x:c r="D835" s="21" t="str">
        <x:v>F21</x:v>
      </x:c>
      <x:c r="E835" s="21" t="n">
        <x:v>9</x:v>
      </x:c>
      <x:c r="F835" s="21" t="str">
        <x:v>Production release package</x:v>
      </x:c>
      <x:c r="G835" s="21" t="n">
        <x:v>28</x:v>
      </x:c>
      <x:c r="H835" s="21" t="str">
        <x:v>Production Release Board</x:v>
      </x:c>
      <x:c r="I835" s="44" t="n">
        <x:f>Lifecycle!G15</x:f>
        <x:v>0.01647012319652151</x:v>
      </x:c>
      <x:c r="J835" s="44" t="n">
        <x:v>0.10416666666666667</x:v>
      </x:c>
      <x:c r="K835" s="44" t="n">
        <x:f>I835*J835</x:f>
        <x:v>0.0017156378329709907</x:v>
      </x:c>
      <x:c r="L835" s="46" t="n">
        <x:v>0</x:v>
      </x:c>
      <x:c r="M835" s="46" t="n">
        <x:v>0</x:v>
      </x:c>
      <x:c r="N835" s="21" t="n">
        <x:f>IF(AND(L834=1,M834=1,P834&gt;0),1,0)</x:f>
        <x:v>0</x:v>
      </x:c>
      <x:c r="O835" s="21" t="n">
        <x:f>MIN('Root Data'!I253:I255)</x:f>
        <x:v>0</x:v>
      </x:c>
      <x:c r="P835" s="44" t="n">
        <x:f>IF(AND(L835=1,M835=1,N835=1,O835&gt;=G835),K835,0)</x:f>
        <x:v>0</x:v>
      </x:c>
      <x:c r="Q835" s="21" t="str">
        <x:v>OPEN</x:v>
      </x:c>
      <x:c r="R835" s="23" t="str">
        <x:v>HOLD</x:v>
      </x:c>
    </x:row>
    <x:row r="836">
      <x:c r="B836" s="21" t="str">
        <x:v>AR-00830</x:v>
      </x:c>
      <x:c r="C836" s="21" t="str">
        <x:v>F21-I3</x:v>
      </x:c>
      <x:c r="D836" s="21" t="str">
        <x:v>F21</x:v>
      </x:c>
      <x:c r="E836" s="21" t="n">
        <x:v>10</x:v>
      </x:c>
      <x:c r="F836" s="21" t="str">
        <x:v>Mobilization activation</x:v>
      </x:c>
      <x:c r="G836" s="21" t="n">
        <x:v>28</x:v>
      </x:c>
      <x:c r="H836" s="21" t="str">
        <x:v>Production Release Board</x:v>
      </x:c>
      <x:c r="I836" s="44" t="n">
        <x:f>Lifecycle!G16</x:f>
        <x:v>0.028262731405230914</x:v>
      </x:c>
      <x:c r="J836" s="44" t="n">
        <x:v>0.10416666666666667</x:v>
      </x:c>
      <x:c r="K836" s="44" t="n">
        <x:f>I836*J836</x:f>
        <x:v>0.0029440345213782204</x:v>
      </x:c>
      <x:c r="L836" s="46" t="n">
        <x:v>0</x:v>
      </x:c>
      <x:c r="M836" s="46" t="n">
        <x:v>0</x:v>
      </x:c>
      <x:c r="N836" s="21" t="n">
        <x:f>IF(AND(L835=1,M835=1,P835&gt;0),1,0)</x:f>
        <x:v>0</x:v>
      </x:c>
      <x:c r="O836" s="21" t="n">
        <x:f>MIN('Root Data'!I253:I255)</x:f>
        <x:v>0</x:v>
      </x:c>
      <x:c r="P836" s="44" t="n">
        <x:f>IF(AND(L836=1,M836=1,N836=1,O836&gt;=G836),K836,0)</x:f>
        <x:v>0</x:v>
      </x:c>
      <x:c r="Q836" s="21" t="str">
        <x:v>OPEN</x:v>
      </x:c>
      <x:c r="R836" s="23" t="str">
        <x:v>HOLD</x:v>
      </x:c>
    </x:row>
    <x:row r="837">
      <x:c r="B837" s="21" t="str">
        <x:v>AR-00831</x:v>
      </x:c>
      <x:c r="C837" s="21" t="str">
        <x:v>F21-I4</x:v>
      </x:c>
      <x:c r="D837" s="21" t="str">
        <x:v>F21</x:v>
      </x:c>
      <x:c r="E837" s="21" t="n">
        <x:v>1</x:v>
      </x:c>
      <x:c r="F837" s="21" t="str">
        <x:v>Civil effect charter</x:v>
      </x:c>
      <x:c r="G837" s="21" t="n">
        <x:v>0</x:v>
      </x:c>
      <x:c r="H837" s="21" t="str">
        <x:v>Civil Guarantee Authority</x:v>
      </x:c>
      <x:c r="I837" s="44" t="n">
        <x:f>Lifecycle!G7</x:f>
        <x:v>0.04941036958956453</x:v>
      </x:c>
      <x:c r="J837" s="44" t="n">
        <x:v>0.10416666666666667</x:v>
      </x:c>
      <x:c r="K837" s="44" t="n">
        <x:f>I837*J837</x:f>
        <x:v>0.005146913498912972</x:v>
      </x:c>
      <x:c r="L837" s="46" t="n">
        <x:v>0</x:v>
      </x:c>
      <x:c r="M837" s="46" t="n">
        <x:v>0</x:v>
      </x:c>
      <x:c r="N837" s="21" t="n">
        <x:f>1</x:f>
        <x:v>1</x:v>
      </x:c>
      <x:c r="O837" s="21" t="n">
        <x:f>MIN('Root Data'!I256:I258)</x:f>
        <x:v>0</x:v>
      </x:c>
      <x:c r="P837" s="44" t="n">
        <x:f>IF(AND(L837=1,M837=1,N837=1,O837&gt;=G837),K837,0)</x:f>
        <x:v>0</x:v>
      </x:c>
      <x:c r="Q837" s="21" t="str">
        <x:v>OPEN</x:v>
      </x:c>
      <x:c r="R837" s="23" t="str">
        <x:v>HOLD</x:v>
      </x:c>
    </x:row>
    <x:row r="838">
      <x:c r="B838" s="21" t="str">
        <x:v>AR-00832</x:v>
      </x:c>
      <x:c r="C838" s="21" t="str">
        <x:v>F21-I4</x:v>
      </x:c>
      <x:c r="D838" s="21" t="str">
        <x:v>F21</x:v>
      </x:c>
      <x:c r="E838" s="21" t="n">
        <x:v>2</x:v>
      </x:c>
      <x:c r="F838" s="21" t="str">
        <x:v>Requirement and root-independence package</x:v>
      </x:c>
      <x:c r="G838" s="21" t="n">
        <x:v>8</x:v>
      </x:c>
      <x:c r="H838" s="21" t="str">
        <x:v>Resilience Staff</x:v>
      </x:c>
      <x:c r="I838" s="44" t="n">
        <x:f>Lifecycle!G8</x:f>
        <x:v>0.10211476381843337</x:v>
      </x:c>
      <x:c r="J838" s="44" t="n">
        <x:v>0.10416666666666667</x:v>
      </x:c>
      <x:c r="K838" s="44" t="n">
        <x:f>I838*J838</x:f>
        <x:v>0.010636954564420143</x:v>
      </x:c>
      <x:c r="L838" s="46" t="n">
        <x:v>0</x:v>
      </x:c>
      <x:c r="M838" s="46" t="n">
        <x:v>0</x:v>
      </x:c>
      <x:c r="N838" s="21" t="n">
        <x:f>IF(AND(L837=1,M837=1,P837&gt;0),1,0)</x:f>
        <x:v>0</x:v>
      </x:c>
      <x:c r="O838" s="21" t="n">
        <x:f>MIN('Root Data'!I256:I258)</x:f>
        <x:v>0</x:v>
      </x:c>
      <x:c r="P838" s="44" t="n">
        <x:f>IF(AND(L838=1,M838=1,N838=1,O838&gt;=G838),K838,0)</x:f>
        <x:v>0</x:v>
      </x:c>
      <x:c r="Q838" s="21" t="str">
        <x:v>OPEN</x:v>
      </x:c>
      <x:c r="R838" s="23" t="str">
        <x:v>HOLD</x:v>
      </x:c>
    </x:row>
    <x:row r="839">
      <x:c r="B839" s="21" t="str">
        <x:v>AR-00833</x:v>
      </x:c>
      <x:c r="C839" s="21" t="str">
        <x:v>F21-I4</x:v>
      </x:c>
      <x:c r="D839" s="21" t="str">
        <x:v>F21</x:v>
      </x:c>
      <x:c r="E839" s="21" t="n">
        <x:v>3</x:v>
      </x:c>
      <x:c r="F839" s="21" t="str">
        <x:v>Architecture and burden closure</x:v>
      </x:c>
      <x:c r="G839" s="21" t="n">
        <x:v>14</x:v>
      </x:c>
      <x:c r="H839" s="21" t="str">
        <x:v>Independent Evidence and Data Authority</x:v>
      </x:c>
      <x:c r="I839" s="44" t="n">
        <x:f>Lifecycle!G9</x:f>
        <x:v>0.08564464062191186</x:v>
      </x:c>
      <x:c r="J839" s="44" t="n">
        <x:v>0.10416666666666667</x:v>
      </x:c>
      <x:c r="K839" s="44" t="n">
        <x:f>I839*J839</x:f>
        <x:v>0.008921316731449153</x:v>
      </x:c>
      <x:c r="L839" s="46" t="n">
        <x:v>0</x:v>
      </x:c>
      <x:c r="M839" s="46" t="n">
        <x:v>0</x:v>
      </x:c>
      <x:c r="N839" s="21" t="n">
        <x:f>IF(AND(L838=1,M838=1,P838&gt;0),1,0)</x:f>
        <x:v>0</x:v>
      </x:c>
      <x:c r="O839" s="21" t="n">
        <x:f>MIN('Root Data'!I256:I258)</x:f>
        <x:v>0</x:v>
      </x:c>
      <x:c r="P839" s="44" t="n">
        <x:f>IF(AND(L839=1,M839=1,N839=1,O839&gt;=G839),K839,0)</x:f>
        <x:v>0</x:v>
      </x:c>
      <x:c r="Q839" s="21" t="str">
        <x:v>OPEN</x:v>
      </x:c>
      <x:c r="R839" s="23" t="str">
        <x:v>HOLD</x:v>
      </x:c>
    </x:row>
    <x:row r="840">
      <x:c r="B840" s="21" t="str">
        <x:v>AR-00834</x:v>
      </x:c>
      <x:c r="C840" s="21" t="str">
        <x:v>F21-I4</x:v>
      </x:c>
      <x:c r="D840" s="21" t="str">
        <x:v>F21</x:v>
      </x:c>
      <x:c r="E840" s="21" t="n">
        <x:v>4</x:v>
      </x:c>
      <x:c r="F840" s="21" t="str">
        <x:v>Engineering article acceptance</x:v>
      </x:c>
      <x:c r="G840" s="21" t="n">
        <x:v>18</x:v>
      </x:c>
      <x:c r="H840" s="21" t="str">
        <x:v>Independent Evidence and Data Authority</x:v>
      </x:c>
      <x:c r="I840" s="44" t="n">
        <x:f>Lifecycle!G10</x:f>
        <x:v>0.05929244350747744</x:v>
      </x:c>
      <x:c r="J840" s="44" t="n">
        <x:v>0.10416666666666667</x:v>
      </x:c>
      <x:c r="K840" s="44" t="n">
        <x:f>I840*J840</x:f>
        <x:v>0.006176296198695567</x:v>
      </x:c>
      <x:c r="L840" s="46" t="n">
        <x:v>0</x:v>
      </x:c>
      <x:c r="M840" s="46" t="n">
        <x:v>0</x:v>
      </x:c>
      <x:c r="N840" s="21" t="n">
        <x:f>IF(AND(L839=1,M839=1,P839&gt;0),1,0)</x:f>
        <x:v>0</x:v>
      </x:c>
      <x:c r="O840" s="21" t="n">
        <x:f>MIN('Root Data'!I256:I258)</x:f>
        <x:v>0</x:v>
      </x:c>
      <x:c r="P840" s="44" t="n">
        <x:f>IF(AND(L840=1,M840=1,N840=1,O840&gt;=G840),K840,0)</x:f>
        <x:v>0</x:v>
      </x:c>
      <x:c r="Q840" s="21" t="str">
        <x:v>OPEN</x:v>
      </x:c>
      <x:c r="R840" s="23" t="str">
        <x:v>HOLD</x:v>
      </x:c>
    </x:row>
    <x:row r="841">
      <x:c r="B841" s="21" t="str">
        <x:v>AR-00835</x:v>
      </x:c>
      <x:c r="C841" s="21" t="str">
        <x:v>F21-I4</x:v>
      </x:c>
      <x:c r="D841" s="21" t="str">
        <x:v>F21</x:v>
      </x:c>
      <x:c r="E841" s="21" t="n">
        <x:v>5</x:v>
      </x:c>
      <x:c r="F841" s="21" t="str">
        <x:v>Qualification and destructive evidence</x:v>
      </x:c>
      <x:c r="G841" s="21" t="n">
        <x:v>21</x:v>
      </x:c>
      <x:c r="H841" s="21" t="str">
        <x:v>Independent Evidence and Data Authority</x:v>
      </x:c>
      <x:c r="I841" s="44" t="n">
        <x:f>Lifecycle!G11</x:f>
        <x:v>0.1515251334079979</x:v>
      </x:c>
      <x:c r="J841" s="44" t="n">
        <x:v>0.10416666666666667</x:v>
      </x:c>
      <x:c r="K841" s="44" t="n">
        <x:f>I841*J841</x:f>
        <x:v>0.015783868063333116</x:v>
      </x:c>
      <x:c r="L841" s="46" t="n">
        <x:v>0</x:v>
      </x:c>
      <x:c r="M841" s="46" t="n">
        <x:v>0</x:v>
      </x:c>
      <x:c r="N841" s="21" t="n">
        <x:f>IF(AND(L840=1,M840=1,P840&gt;0),1,0)</x:f>
        <x:v>0</x:v>
      </x:c>
      <x:c r="O841" s="21" t="n">
        <x:f>MIN('Root Data'!I256:I258)</x:f>
        <x:v>0</x:v>
      </x:c>
      <x:c r="P841" s="44" t="n">
        <x:f>IF(AND(L841=1,M841=1,N841=1,O841&gt;=G841),K841,0)</x:f>
        <x:v>0</x:v>
      </x:c>
      <x:c r="Q841" s="21" t="str">
        <x:v>OPEN</x:v>
      </x:c>
      <x:c r="R841" s="23" t="str">
        <x:v>HOLD</x:v>
      </x:c>
    </x:row>
    <x:row r="842">
      <x:c r="B842" s="21" t="str">
        <x:v>AR-00836</x:v>
      </x:c>
      <x:c r="C842" s="21" t="str">
        <x:v>F21-I4</x:v>
      </x:c>
      <x:c r="D842" s="21" t="str">
        <x:v>F21</x:v>
      </x:c>
      <x:c r="E842" s="21" t="n">
        <x:v>6</x:v>
      </x:c>
      <x:c r="F842" s="21" t="str">
        <x:v>Representative mission result</x:v>
      </x:c>
      <x:c r="G842" s="21" t="n">
        <x:v>23</x:v>
      </x:c>
      <x:c r="H842" s="21" t="str">
        <x:v>Receiving Service Authority</x:v>
      </x:c>
      <x:c r="I842" s="44" t="n">
        <x:f>Lifecycle!G12</x:f>
        <x:v>0.250345872587127</x:v>
      </x:c>
      <x:c r="J842" s="44" t="n">
        <x:v>0.10416666666666667</x:v>
      </x:c>
      <x:c r="K842" s="44" t="n">
        <x:f>I842*J842</x:f>
        <x:v>0.026077695061159062</x:v>
      </x:c>
      <x:c r="L842" s="46" t="n">
        <x:v>0</x:v>
      </x:c>
      <x:c r="M842" s="46" t="n">
        <x:v>0</x:v>
      </x:c>
      <x:c r="N842" s="21" t="n">
        <x:f>IF(AND(L841=1,M841=1,P841&gt;0),1,0)</x:f>
        <x:v>0</x:v>
      </x:c>
      <x:c r="O842" s="21" t="n">
        <x:f>MIN('Root Data'!I256:I258)</x:f>
        <x:v>0</x:v>
      </x:c>
      <x:c r="P842" s="44" t="n">
        <x:f>IF(AND(L842=1,M842=1,N842=1,O842&gt;=G842),K842,0)</x:f>
        <x:v>0</x:v>
      </x:c>
      <x:c r="Q842" s="21" t="str">
        <x:v>OPEN</x:v>
      </x:c>
      <x:c r="R842" s="23" t="str">
        <x:v>HOLD</x:v>
      </x:c>
    </x:row>
    <x:row r="843">
      <x:c r="B843" s="21" t="str">
        <x:v>AR-00837</x:v>
      </x:c>
      <x:c r="C843" s="21" t="str">
        <x:v>F21-I4</x:v>
      </x:c>
      <x:c r="D843" s="21" t="str">
        <x:v>F21</x:v>
      </x:c>
      <x:c r="E843" s="21" t="n">
        <x:v>7</x:v>
      </x:c>
      <x:c r="F843" s="21" t="str">
        <x:v>Independent reproduction</x:v>
      </x:c>
      <x:c r="G843" s="21" t="n">
        <x:v>28</x:v>
      </x:c>
      <x:c r="H843" s="21" t="str">
        <x:v>Independent Evidence and Data Authority</x:v>
      </x:c>
      <x:c r="I843" s="44" t="n">
        <x:f>Lifecycle!G13</x:f>
        <x:v>0.21740562619408393</x:v>
      </x:c>
      <x:c r="J843" s="44" t="n">
        <x:v>0.10416666666666667</x:v>
      </x:c>
      <x:c r="K843" s="44" t="n">
        <x:f>I843*J843</x:f>
        <x:v>0.02264641939521708</x:v>
      </x:c>
      <x:c r="L843" s="46" t="n">
        <x:v>0</x:v>
      </x:c>
      <x:c r="M843" s="46" t="n">
        <x:v>0</x:v>
      </x:c>
      <x:c r="N843" s="21" t="n">
        <x:f>IF(AND(L842=1,M842=1,P842&gt;0),1,0)</x:f>
        <x:v>0</x:v>
      </x:c>
      <x:c r="O843" s="21" t="n">
        <x:f>MIN('Root Data'!I256:I258)</x:f>
        <x:v>0</x:v>
      </x:c>
      <x:c r="P843" s="44" t="n">
        <x:f>IF(AND(L843=1,M843=1,N843=1,O843&gt;=G843),K843,0)</x:f>
        <x:v>0</x:v>
      </x:c>
      <x:c r="Q843" s="21" t="str">
        <x:v>OPEN</x:v>
      </x:c>
      <x:c r="R843" s="23" t="str">
        <x:v>HOLD</x:v>
      </x:c>
    </x:row>
    <x:row r="844">
      <x:c r="B844" s="21" t="str">
        <x:v>AR-00838</x:v>
      </x:c>
      <x:c r="C844" s="21" t="str">
        <x:v>F21-I4</x:v>
      </x:c>
      <x:c r="D844" s="21" t="str">
        <x:v>F21</x:v>
      </x:c>
      <x:c r="E844" s="21" t="n">
        <x:v>8</x:v>
      </x:c>
      <x:c r="F844" s="21" t="str">
        <x:v>Pilot-process qualification</x:v>
      </x:c>
      <x:c r="G844" s="21" t="n">
        <x:v>28</x:v>
      </x:c>
      <x:c r="H844" s="21" t="str">
        <x:v>AIMC Industrial Mobilization Authority</x:v>
      </x:c>
      <x:c r="I844" s="44" t="n">
        <x:f>Lifecycle!G14</x:f>
        <x:v>0.03952829567165163</x:v>
      </x:c>
      <x:c r="J844" s="44" t="n">
        <x:v>0.10416666666666667</x:v>
      </x:c>
      <x:c r="K844" s="44" t="n">
        <x:f>I844*J844</x:f>
        <x:v>0.0041175307991303785</x:v>
      </x:c>
      <x:c r="L844" s="46" t="n">
        <x:v>0</x:v>
      </x:c>
      <x:c r="M844" s="46" t="n">
        <x:v>0</x:v>
      </x:c>
      <x:c r="N844" s="21" t="n">
        <x:f>IF(AND(L843=1,M843=1,P843&gt;0),1,0)</x:f>
        <x:v>0</x:v>
      </x:c>
      <x:c r="O844" s="21" t="n">
        <x:f>MIN('Root Data'!I256:I258)</x:f>
        <x:v>0</x:v>
      </x:c>
      <x:c r="P844" s="44" t="n">
        <x:f>IF(AND(L844=1,M844=1,N844=1,O844&gt;=G844),K844,0)</x:f>
        <x:v>0</x:v>
      </x:c>
      <x:c r="Q844" s="21" t="str">
        <x:v>OPEN</x:v>
      </x:c>
      <x:c r="R844" s="23" t="str">
        <x:v>HOLD</x:v>
      </x:c>
    </x:row>
    <x:row r="845">
      <x:c r="B845" s="21" t="str">
        <x:v>AR-00839</x:v>
      </x:c>
      <x:c r="C845" s="21" t="str">
        <x:v>F21-I4</x:v>
      </x:c>
      <x:c r="D845" s="21" t="str">
        <x:v>F21</x:v>
      </x:c>
      <x:c r="E845" s="21" t="n">
        <x:v>9</x:v>
      </x:c>
      <x:c r="F845" s="21" t="str">
        <x:v>Production release package</x:v>
      </x:c>
      <x:c r="G845" s="21" t="n">
        <x:v>28</x:v>
      </x:c>
      <x:c r="H845" s="21" t="str">
        <x:v>Production Release Board</x:v>
      </x:c>
      <x:c r="I845" s="44" t="n">
        <x:f>Lifecycle!G15</x:f>
        <x:v>0.01647012319652151</x:v>
      </x:c>
      <x:c r="J845" s="44" t="n">
        <x:v>0.10416666666666667</x:v>
      </x:c>
      <x:c r="K845" s="44" t="n">
        <x:f>I845*J845</x:f>
        <x:v>0.0017156378329709907</x:v>
      </x:c>
      <x:c r="L845" s="46" t="n">
        <x:v>0</x:v>
      </x:c>
      <x:c r="M845" s="46" t="n">
        <x:v>0</x:v>
      </x:c>
      <x:c r="N845" s="21" t="n">
        <x:f>IF(AND(L844=1,M844=1,P844&gt;0),1,0)</x:f>
        <x:v>0</x:v>
      </x:c>
      <x:c r="O845" s="21" t="n">
        <x:f>MIN('Root Data'!I256:I258)</x:f>
        <x:v>0</x:v>
      </x:c>
      <x:c r="P845" s="44" t="n">
        <x:f>IF(AND(L845=1,M845=1,N845=1,O845&gt;=G845),K845,0)</x:f>
        <x:v>0</x:v>
      </x:c>
      <x:c r="Q845" s="21" t="str">
        <x:v>OPEN</x:v>
      </x:c>
      <x:c r="R845" s="23" t="str">
        <x:v>HOLD</x:v>
      </x:c>
    </x:row>
    <x:row r="846">
      <x:c r="B846" s="21" t="str">
        <x:v>AR-00840</x:v>
      </x:c>
      <x:c r="C846" s="21" t="str">
        <x:v>F21-I4</x:v>
      </x:c>
      <x:c r="D846" s="21" t="str">
        <x:v>F21</x:v>
      </x:c>
      <x:c r="E846" s="21" t="n">
        <x:v>10</x:v>
      </x:c>
      <x:c r="F846" s="21" t="str">
        <x:v>Mobilization activation</x:v>
      </x:c>
      <x:c r="G846" s="21" t="n">
        <x:v>28</x:v>
      </x:c>
      <x:c r="H846" s="21" t="str">
        <x:v>Production Release Board</x:v>
      </x:c>
      <x:c r="I846" s="44" t="n">
        <x:f>Lifecycle!G16</x:f>
        <x:v>0.028262731405230914</x:v>
      </x:c>
      <x:c r="J846" s="44" t="n">
        <x:v>0.10416666666666667</x:v>
      </x:c>
      <x:c r="K846" s="44" t="n">
        <x:f>I846*J846</x:f>
        <x:v>0.0029440345213782204</x:v>
      </x:c>
      <x:c r="L846" s="46" t="n">
        <x:v>0</x:v>
      </x:c>
      <x:c r="M846" s="46" t="n">
        <x:v>0</x:v>
      </x:c>
      <x:c r="N846" s="21" t="n">
        <x:f>IF(AND(L845=1,M845=1,P845&gt;0),1,0)</x:f>
        <x:v>0</x:v>
      </x:c>
      <x:c r="O846" s="21" t="n">
        <x:f>MIN('Root Data'!I256:I258)</x:f>
        <x:v>0</x:v>
      </x:c>
      <x:c r="P846" s="44" t="n">
        <x:f>IF(AND(L846=1,M846=1,N846=1,O846&gt;=G846),K846,0)</x:f>
        <x:v>0</x:v>
      </x:c>
      <x:c r="Q846" s="21" t="str">
        <x:v>OPEN</x:v>
      </x:c>
      <x:c r="R846" s="23" t="str">
        <x:v>HOLD</x:v>
      </x:c>
    </x:row>
    <x:row r="847">
      <x:c r="B847" s="21" t="str">
        <x:v>AR-00841</x:v>
      </x:c>
      <x:c r="C847" s="21" t="str">
        <x:v>F22-I1</x:v>
      </x:c>
      <x:c r="D847" s="21" t="str">
        <x:v>F22</x:v>
      </x:c>
      <x:c r="E847" s="21" t="n">
        <x:v>1</x:v>
      </x:c>
      <x:c r="F847" s="21" t="str">
        <x:v>Civil effect charter</x:v>
      </x:c>
      <x:c r="G847" s="21" t="n">
        <x:v>0</x:v>
      </x:c>
      <x:c r="H847" s="21" t="str">
        <x:v>Civil Guarantee Authority</x:v>
      </x:c>
      <x:c r="I847" s="44" t="n">
        <x:f>Lifecycle!G7</x:f>
        <x:v>0.04941036958956453</x:v>
      </x:c>
      <x:c r="J847" s="44" t="n">
        <x:v>0.065</x:v>
      </x:c>
      <x:c r="K847" s="44" t="n">
        <x:f>I847*J847</x:f>
        <x:v>0.0032116740233216947</x:v>
      </x:c>
      <x:c r="L847" s="46" t="n">
        <x:v>0</x:v>
      </x:c>
      <x:c r="M847" s="46" t="n">
        <x:v>0</x:v>
      </x:c>
      <x:c r="N847" s="21" t="n">
        <x:f>1</x:f>
        <x:v>1</x:v>
      </x:c>
      <x:c r="O847" s="21" t="n">
        <x:f>MIN('Root Data'!I259:I261)</x:f>
        <x:v>0</x:v>
      </x:c>
      <x:c r="P847" s="44" t="n">
        <x:f>IF(AND(L847=1,M847=1,N847=1,O847&gt;=G847),K847,0)</x:f>
        <x:v>0</x:v>
      </x:c>
      <x:c r="Q847" s="21" t="str">
        <x:v>OPEN</x:v>
      </x:c>
      <x:c r="R847" s="23" t="str">
        <x:v>HOLD</x:v>
      </x:c>
    </x:row>
    <x:row r="848">
      <x:c r="B848" s="21" t="str">
        <x:v>AR-00842</x:v>
      </x:c>
      <x:c r="C848" s="21" t="str">
        <x:v>F22-I1</x:v>
      </x:c>
      <x:c r="D848" s="21" t="str">
        <x:v>F22</x:v>
      </x:c>
      <x:c r="E848" s="21" t="n">
        <x:v>2</x:v>
      </x:c>
      <x:c r="F848" s="21" t="str">
        <x:v>Requirement and root-independence package</x:v>
      </x:c>
      <x:c r="G848" s="21" t="n">
        <x:v>8</x:v>
      </x:c>
      <x:c r="H848" s="21" t="str">
        <x:v>Resilience Staff</x:v>
      </x:c>
      <x:c r="I848" s="44" t="n">
        <x:f>Lifecycle!G8</x:f>
        <x:v>0.10211476381843337</x:v>
      </x:c>
      <x:c r="J848" s="44" t="n">
        <x:v>0.065</x:v>
      </x:c>
      <x:c r="K848" s="44" t="n">
        <x:f>I848*J848</x:f>
        <x:v>0.00663745964819817</x:v>
      </x:c>
      <x:c r="L848" s="46" t="n">
        <x:v>0</x:v>
      </x:c>
      <x:c r="M848" s="46" t="n">
        <x:v>0</x:v>
      </x:c>
      <x:c r="N848" s="21" t="n">
        <x:f>IF(AND(L847=1,M847=1,P847&gt;0),1,0)</x:f>
        <x:v>0</x:v>
      </x:c>
      <x:c r="O848" s="21" t="n">
        <x:f>MIN('Root Data'!I259:I261)</x:f>
        <x:v>0</x:v>
      </x:c>
      <x:c r="P848" s="44" t="n">
        <x:f>IF(AND(L848=1,M848=1,N848=1,O848&gt;=G848),K848,0)</x:f>
        <x:v>0</x:v>
      </x:c>
      <x:c r="Q848" s="21" t="str">
        <x:v>OPEN</x:v>
      </x:c>
      <x:c r="R848" s="23" t="str">
        <x:v>HOLD</x:v>
      </x:c>
    </x:row>
    <x:row r="849">
      <x:c r="B849" s="21" t="str">
        <x:v>AR-00843</x:v>
      </x:c>
      <x:c r="C849" s="21" t="str">
        <x:v>F22-I1</x:v>
      </x:c>
      <x:c r="D849" s="21" t="str">
        <x:v>F22</x:v>
      </x:c>
      <x:c r="E849" s="21" t="n">
        <x:v>3</x:v>
      </x:c>
      <x:c r="F849" s="21" t="str">
        <x:v>Architecture and burden closure</x:v>
      </x:c>
      <x:c r="G849" s="21" t="n">
        <x:v>14</x:v>
      </x:c>
      <x:c r="H849" s="21" t="str">
        <x:v>Independent Evidence and Data Authority</x:v>
      </x:c>
      <x:c r="I849" s="44" t="n">
        <x:f>Lifecycle!G9</x:f>
        <x:v>0.08564464062191186</x:v>
      </x:c>
      <x:c r="J849" s="44" t="n">
        <x:v>0.065</x:v>
      </x:c>
      <x:c r="K849" s="44" t="n">
        <x:f>I849*J849</x:f>
        <x:v>0.005566901640424271</x:v>
      </x:c>
      <x:c r="L849" s="46" t="n">
        <x:v>0</x:v>
      </x:c>
      <x:c r="M849" s="46" t="n">
        <x:v>0</x:v>
      </x:c>
      <x:c r="N849" s="21" t="n">
        <x:f>IF(AND(L848=1,M848=1,P848&gt;0),1,0)</x:f>
        <x:v>0</x:v>
      </x:c>
      <x:c r="O849" s="21" t="n">
        <x:f>MIN('Root Data'!I259:I261)</x:f>
        <x:v>0</x:v>
      </x:c>
      <x:c r="P849" s="44" t="n">
        <x:f>IF(AND(L849=1,M849=1,N849=1,O849&gt;=G849),K849,0)</x:f>
        <x:v>0</x:v>
      </x:c>
      <x:c r="Q849" s="21" t="str">
        <x:v>OPEN</x:v>
      </x:c>
      <x:c r="R849" s="23" t="str">
        <x:v>HOLD</x:v>
      </x:c>
    </x:row>
    <x:row r="850">
      <x:c r="B850" s="21" t="str">
        <x:v>AR-00844</x:v>
      </x:c>
      <x:c r="C850" s="21" t="str">
        <x:v>F22-I1</x:v>
      </x:c>
      <x:c r="D850" s="21" t="str">
        <x:v>F22</x:v>
      </x:c>
      <x:c r="E850" s="21" t="n">
        <x:v>4</x:v>
      </x:c>
      <x:c r="F850" s="21" t="str">
        <x:v>Engineering article acceptance</x:v>
      </x:c>
      <x:c r="G850" s="21" t="n">
        <x:v>18</x:v>
      </x:c>
      <x:c r="H850" s="21" t="str">
        <x:v>Independent Evidence and Data Authority</x:v>
      </x:c>
      <x:c r="I850" s="44" t="n">
        <x:f>Lifecycle!G10</x:f>
        <x:v>0.05929244350747744</x:v>
      </x:c>
      <x:c r="J850" s="44" t="n">
        <x:v>0.065</x:v>
      </x:c>
      <x:c r="K850" s="44" t="n">
        <x:f>I850*J850</x:f>
        <x:v>0.003854008827986034</x:v>
      </x:c>
      <x:c r="L850" s="46" t="n">
        <x:v>0</x:v>
      </x:c>
      <x:c r="M850" s="46" t="n">
        <x:v>0</x:v>
      </x:c>
      <x:c r="N850" s="21" t="n">
        <x:f>IF(AND(L849=1,M849=1,P849&gt;0),1,0)</x:f>
        <x:v>0</x:v>
      </x:c>
      <x:c r="O850" s="21" t="n">
        <x:f>MIN('Root Data'!I259:I261)</x:f>
        <x:v>0</x:v>
      </x:c>
      <x:c r="P850" s="44" t="n">
        <x:f>IF(AND(L850=1,M850=1,N850=1,O850&gt;=G850),K850,0)</x:f>
        <x:v>0</x:v>
      </x:c>
      <x:c r="Q850" s="21" t="str">
        <x:v>OPEN</x:v>
      </x:c>
      <x:c r="R850" s="23" t="str">
        <x:v>HOLD</x:v>
      </x:c>
    </x:row>
    <x:row r="851">
      <x:c r="B851" s="21" t="str">
        <x:v>AR-00845</x:v>
      </x:c>
      <x:c r="C851" s="21" t="str">
        <x:v>F22-I1</x:v>
      </x:c>
      <x:c r="D851" s="21" t="str">
        <x:v>F22</x:v>
      </x:c>
      <x:c r="E851" s="21" t="n">
        <x:v>5</x:v>
      </x:c>
      <x:c r="F851" s="21" t="str">
        <x:v>Qualification and destructive evidence</x:v>
      </x:c>
      <x:c r="G851" s="21" t="n">
        <x:v>21</x:v>
      </x:c>
      <x:c r="H851" s="21" t="str">
        <x:v>Independent Evidence and Data Authority</x:v>
      </x:c>
      <x:c r="I851" s="44" t="n">
        <x:f>Lifecycle!G11</x:f>
        <x:v>0.1515251334079979</x:v>
      </x:c>
      <x:c r="J851" s="44" t="n">
        <x:v>0.065</x:v>
      </x:c>
      <x:c r="K851" s="44" t="n">
        <x:f>I851*J851</x:f>
        <x:v>0.009849133671519864</x:v>
      </x:c>
      <x:c r="L851" s="46" t="n">
        <x:v>0</x:v>
      </x:c>
      <x:c r="M851" s="46" t="n">
        <x:v>0</x:v>
      </x:c>
      <x:c r="N851" s="21" t="n">
        <x:f>IF(AND(L850=1,M850=1,P850&gt;0),1,0)</x:f>
        <x:v>0</x:v>
      </x:c>
      <x:c r="O851" s="21" t="n">
        <x:f>MIN('Root Data'!I259:I261)</x:f>
        <x:v>0</x:v>
      </x:c>
      <x:c r="P851" s="44" t="n">
        <x:f>IF(AND(L851=1,M851=1,N851=1,O851&gt;=G851),K851,0)</x:f>
        <x:v>0</x:v>
      </x:c>
      <x:c r="Q851" s="21" t="str">
        <x:v>OPEN</x:v>
      </x:c>
      <x:c r="R851" s="23" t="str">
        <x:v>HOLD</x:v>
      </x:c>
    </x:row>
    <x:row r="852">
      <x:c r="B852" s="21" t="str">
        <x:v>AR-00846</x:v>
      </x:c>
      <x:c r="C852" s="21" t="str">
        <x:v>F22-I1</x:v>
      </x:c>
      <x:c r="D852" s="21" t="str">
        <x:v>F22</x:v>
      </x:c>
      <x:c r="E852" s="21" t="n">
        <x:v>6</x:v>
      </x:c>
      <x:c r="F852" s="21" t="str">
        <x:v>Representative mission result</x:v>
      </x:c>
      <x:c r="G852" s="21" t="n">
        <x:v>23</x:v>
      </x:c>
      <x:c r="H852" s="21" t="str">
        <x:v>Receiving Service Authority</x:v>
      </x:c>
      <x:c r="I852" s="44" t="n">
        <x:f>Lifecycle!G12</x:f>
        <x:v>0.250345872587127</x:v>
      </x:c>
      <x:c r="J852" s="44" t="n">
        <x:v>0.065</x:v>
      </x:c>
      <x:c r="K852" s="44" t="n">
        <x:f>I852*J852</x:f>
        <x:v>0.016272481718163253</x:v>
      </x:c>
      <x:c r="L852" s="46" t="n">
        <x:v>0</x:v>
      </x:c>
      <x:c r="M852" s="46" t="n">
        <x:v>0</x:v>
      </x:c>
      <x:c r="N852" s="21" t="n">
        <x:f>IF(AND(L851=1,M851=1,P851&gt;0),1,0)</x:f>
        <x:v>0</x:v>
      </x:c>
      <x:c r="O852" s="21" t="n">
        <x:f>MIN('Root Data'!I259:I261)</x:f>
        <x:v>0</x:v>
      </x:c>
      <x:c r="P852" s="44" t="n">
        <x:f>IF(AND(L852=1,M852=1,N852=1,O852&gt;=G852),K852,0)</x:f>
        <x:v>0</x:v>
      </x:c>
      <x:c r="Q852" s="21" t="str">
        <x:v>OPEN</x:v>
      </x:c>
      <x:c r="R852" s="23" t="str">
        <x:v>HOLD</x:v>
      </x:c>
    </x:row>
    <x:row r="853">
      <x:c r="B853" s="21" t="str">
        <x:v>AR-00847</x:v>
      </x:c>
      <x:c r="C853" s="21" t="str">
        <x:v>F22-I1</x:v>
      </x:c>
      <x:c r="D853" s="21" t="str">
        <x:v>F22</x:v>
      </x:c>
      <x:c r="E853" s="21" t="n">
        <x:v>7</x:v>
      </x:c>
      <x:c r="F853" s="21" t="str">
        <x:v>Independent reproduction</x:v>
      </x:c>
      <x:c r="G853" s="21" t="n">
        <x:v>28</x:v>
      </x:c>
      <x:c r="H853" s="21" t="str">
        <x:v>Independent Evidence and Data Authority</x:v>
      </x:c>
      <x:c r="I853" s="44" t="n">
        <x:f>Lifecycle!G13</x:f>
        <x:v>0.21740562619408393</x:v>
      </x:c>
      <x:c r="J853" s="44" t="n">
        <x:v>0.065</x:v>
      </x:c>
      <x:c r="K853" s="44" t="n">
        <x:f>I853*J853</x:f>
        <x:v>0.014131365702615457</x:v>
      </x:c>
      <x:c r="L853" s="46" t="n">
        <x:v>0</x:v>
      </x:c>
      <x:c r="M853" s="46" t="n">
        <x:v>0</x:v>
      </x:c>
      <x:c r="N853" s="21" t="n">
        <x:f>IF(AND(L852=1,M852=1,P852&gt;0),1,0)</x:f>
        <x:v>0</x:v>
      </x:c>
      <x:c r="O853" s="21" t="n">
        <x:f>MIN('Root Data'!I259:I261)</x:f>
        <x:v>0</x:v>
      </x:c>
      <x:c r="P853" s="44" t="n">
        <x:f>IF(AND(L853=1,M853=1,N853=1,O853&gt;=G853),K853,0)</x:f>
        <x:v>0</x:v>
      </x:c>
      <x:c r="Q853" s="21" t="str">
        <x:v>OPEN</x:v>
      </x:c>
      <x:c r="R853" s="23" t="str">
        <x:v>HOLD</x:v>
      </x:c>
    </x:row>
    <x:row r="854">
      <x:c r="B854" s="21" t="str">
        <x:v>AR-00848</x:v>
      </x:c>
      <x:c r="C854" s="21" t="str">
        <x:v>F22-I1</x:v>
      </x:c>
      <x:c r="D854" s="21" t="str">
        <x:v>F22</x:v>
      </x:c>
      <x:c r="E854" s="21" t="n">
        <x:v>8</x:v>
      </x:c>
      <x:c r="F854" s="21" t="str">
        <x:v>Pilot-process qualification</x:v>
      </x:c>
      <x:c r="G854" s="21" t="n">
        <x:v>28</x:v>
      </x:c>
      <x:c r="H854" s="21" t="str">
        <x:v>AIMC Industrial Mobilization Authority</x:v>
      </x:c>
      <x:c r="I854" s="44" t="n">
        <x:f>Lifecycle!G14</x:f>
        <x:v>0.03952829567165163</x:v>
      </x:c>
      <x:c r="J854" s="44" t="n">
        <x:v>0.065</x:v>
      </x:c>
      <x:c r="K854" s="44" t="n">
        <x:f>I854*J854</x:f>
        <x:v>0.002569339218657356</x:v>
      </x:c>
      <x:c r="L854" s="46" t="n">
        <x:v>0</x:v>
      </x:c>
      <x:c r="M854" s="46" t="n">
        <x:v>0</x:v>
      </x:c>
      <x:c r="N854" s="21" t="n">
        <x:f>IF(AND(L853=1,M853=1,P853&gt;0),1,0)</x:f>
        <x:v>0</x:v>
      </x:c>
      <x:c r="O854" s="21" t="n">
        <x:f>MIN('Root Data'!I259:I261)</x:f>
        <x:v>0</x:v>
      </x:c>
      <x:c r="P854" s="44" t="n">
        <x:f>IF(AND(L854=1,M854=1,N854=1,O854&gt;=G854),K854,0)</x:f>
        <x:v>0</x:v>
      </x:c>
      <x:c r="Q854" s="21" t="str">
        <x:v>OPEN</x:v>
      </x:c>
      <x:c r="R854" s="23" t="str">
        <x:v>HOLD</x:v>
      </x:c>
    </x:row>
    <x:row r="855">
      <x:c r="B855" s="21" t="str">
        <x:v>AR-00849</x:v>
      </x:c>
      <x:c r="C855" s="21" t="str">
        <x:v>F22-I1</x:v>
      </x:c>
      <x:c r="D855" s="21" t="str">
        <x:v>F22</x:v>
      </x:c>
      <x:c r="E855" s="21" t="n">
        <x:v>9</x:v>
      </x:c>
      <x:c r="F855" s="21" t="str">
        <x:v>Production release package</x:v>
      </x:c>
      <x:c r="G855" s="21" t="n">
        <x:v>28</x:v>
      </x:c>
      <x:c r="H855" s="21" t="str">
        <x:v>Production Release Board</x:v>
      </x:c>
      <x:c r="I855" s="44" t="n">
        <x:f>Lifecycle!G15</x:f>
        <x:v>0.01647012319652151</x:v>
      </x:c>
      <x:c r="J855" s="44" t="n">
        <x:v>0.065</x:v>
      </x:c>
      <x:c r="K855" s="44" t="n">
        <x:f>I855*J855</x:f>
        <x:v>0.0010705580077738982</x:v>
      </x:c>
      <x:c r="L855" s="46" t="n">
        <x:v>0</x:v>
      </x:c>
      <x:c r="M855" s="46" t="n">
        <x:v>0</x:v>
      </x:c>
      <x:c r="N855" s="21" t="n">
        <x:f>IF(AND(L854=1,M854=1,P854&gt;0),1,0)</x:f>
        <x:v>0</x:v>
      </x:c>
      <x:c r="O855" s="21" t="n">
        <x:f>MIN('Root Data'!I259:I261)</x:f>
        <x:v>0</x:v>
      </x:c>
      <x:c r="P855" s="44" t="n">
        <x:f>IF(AND(L855=1,M855=1,N855=1,O855&gt;=G855),K855,0)</x:f>
        <x:v>0</x:v>
      </x:c>
      <x:c r="Q855" s="21" t="str">
        <x:v>OPEN</x:v>
      </x:c>
      <x:c r="R855" s="23" t="str">
        <x:v>HOLD</x:v>
      </x:c>
    </x:row>
    <x:row r="856">
      <x:c r="B856" s="21" t="str">
        <x:v>AR-00850</x:v>
      </x:c>
      <x:c r="C856" s="21" t="str">
        <x:v>F22-I1</x:v>
      </x:c>
      <x:c r="D856" s="21" t="str">
        <x:v>F22</x:v>
      </x:c>
      <x:c r="E856" s="21" t="n">
        <x:v>10</x:v>
      </x:c>
      <x:c r="F856" s="21" t="str">
        <x:v>Mobilization activation</x:v>
      </x:c>
      <x:c r="G856" s="21" t="n">
        <x:v>28</x:v>
      </x:c>
      <x:c r="H856" s="21" t="str">
        <x:v>Production Release Board</x:v>
      </x:c>
      <x:c r="I856" s="44" t="n">
        <x:f>Lifecycle!G16</x:f>
        <x:v>0.028262731405230914</x:v>
      </x:c>
      <x:c r="J856" s="44" t="n">
        <x:v>0.065</x:v>
      </x:c>
      <x:c r="K856" s="44" t="n">
        <x:f>I856*J856</x:f>
        <x:v>0.0018370775413400094</x:v>
      </x:c>
      <x:c r="L856" s="46" t="n">
        <x:v>0</x:v>
      </x:c>
      <x:c r="M856" s="46" t="n">
        <x:v>0</x:v>
      </x:c>
      <x:c r="N856" s="21" t="n">
        <x:f>IF(AND(L855=1,M855=1,P855&gt;0),1,0)</x:f>
        <x:v>0</x:v>
      </x:c>
      <x:c r="O856" s="21" t="n">
        <x:f>MIN('Root Data'!I259:I261)</x:f>
        <x:v>0</x:v>
      </x:c>
      <x:c r="P856" s="44" t="n">
        <x:f>IF(AND(L856=1,M856=1,N856=1,O856&gt;=G856),K856,0)</x:f>
        <x:v>0</x:v>
      </x:c>
      <x:c r="Q856" s="21" t="str">
        <x:v>OPEN</x:v>
      </x:c>
      <x:c r="R856" s="23" t="str">
        <x:v>HOLD</x:v>
      </x:c>
    </x:row>
    <x:row r="857">
      <x:c r="B857" s="21" t="str">
        <x:v>AR-00851</x:v>
      </x:c>
      <x:c r="C857" s="21" t="str">
        <x:v>F22-I2</x:v>
      </x:c>
      <x:c r="D857" s="21" t="str">
        <x:v>F22</x:v>
      </x:c>
      <x:c r="E857" s="21" t="n">
        <x:v>1</x:v>
      </x:c>
      <x:c r="F857" s="21" t="str">
        <x:v>Civil effect charter</x:v>
      </x:c>
      <x:c r="G857" s="21" t="n">
        <x:v>0</x:v>
      </x:c>
      <x:c r="H857" s="21" t="str">
        <x:v>Civil Guarantee Authority</x:v>
      </x:c>
      <x:c r="I857" s="44" t="n">
        <x:f>Lifecycle!G7</x:f>
        <x:v>0.04941036958956453</x:v>
      </x:c>
      <x:c r="J857" s="44" t="n">
        <x:v>0.065</x:v>
      </x:c>
      <x:c r="K857" s="44" t="n">
        <x:f>I857*J857</x:f>
        <x:v>0.0032116740233216947</x:v>
      </x:c>
      <x:c r="L857" s="46" t="n">
        <x:v>0</x:v>
      </x:c>
      <x:c r="M857" s="46" t="n">
        <x:v>0</x:v>
      </x:c>
      <x:c r="N857" s="21" t="n">
        <x:f>1</x:f>
        <x:v>1</x:v>
      </x:c>
      <x:c r="O857" s="21" t="n">
        <x:f>MIN('Root Data'!I262:I264)</x:f>
        <x:v>0</x:v>
      </x:c>
      <x:c r="P857" s="44" t="n">
        <x:f>IF(AND(L857=1,M857=1,N857=1,O857&gt;=G857),K857,0)</x:f>
        <x:v>0</x:v>
      </x:c>
      <x:c r="Q857" s="21" t="str">
        <x:v>OPEN</x:v>
      </x:c>
      <x:c r="R857" s="23" t="str">
        <x:v>HOLD</x:v>
      </x:c>
    </x:row>
    <x:row r="858">
      <x:c r="B858" s="21" t="str">
        <x:v>AR-00852</x:v>
      </x:c>
      <x:c r="C858" s="21" t="str">
        <x:v>F22-I2</x:v>
      </x:c>
      <x:c r="D858" s="21" t="str">
        <x:v>F22</x:v>
      </x:c>
      <x:c r="E858" s="21" t="n">
        <x:v>2</x:v>
      </x:c>
      <x:c r="F858" s="21" t="str">
        <x:v>Requirement and root-independence package</x:v>
      </x:c>
      <x:c r="G858" s="21" t="n">
        <x:v>8</x:v>
      </x:c>
      <x:c r="H858" s="21" t="str">
        <x:v>Resilience Staff</x:v>
      </x:c>
      <x:c r="I858" s="44" t="n">
        <x:f>Lifecycle!G8</x:f>
        <x:v>0.10211476381843337</x:v>
      </x:c>
      <x:c r="J858" s="44" t="n">
        <x:v>0.065</x:v>
      </x:c>
      <x:c r="K858" s="44" t="n">
        <x:f>I858*J858</x:f>
        <x:v>0.00663745964819817</x:v>
      </x:c>
      <x:c r="L858" s="46" t="n">
        <x:v>0</x:v>
      </x:c>
      <x:c r="M858" s="46" t="n">
        <x:v>0</x:v>
      </x:c>
      <x:c r="N858" s="21" t="n">
        <x:f>IF(AND(L857=1,M857=1,P857&gt;0),1,0)</x:f>
        <x:v>0</x:v>
      </x:c>
      <x:c r="O858" s="21" t="n">
        <x:f>MIN('Root Data'!I262:I264)</x:f>
        <x:v>0</x:v>
      </x:c>
      <x:c r="P858" s="44" t="n">
        <x:f>IF(AND(L858=1,M858=1,N858=1,O858&gt;=G858),K858,0)</x:f>
        <x:v>0</x:v>
      </x:c>
      <x:c r="Q858" s="21" t="str">
        <x:v>OPEN</x:v>
      </x:c>
      <x:c r="R858" s="23" t="str">
        <x:v>HOLD</x:v>
      </x:c>
    </x:row>
    <x:row r="859">
      <x:c r="B859" s="21" t="str">
        <x:v>AR-00853</x:v>
      </x:c>
      <x:c r="C859" s="21" t="str">
        <x:v>F22-I2</x:v>
      </x:c>
      <x:c r="D859" s="21" t="str">
        <x:v>F22</x:v>
      </x:c>
      <x:c r="E859" s="21" t="n">
        <x:v>3</x:v>
      </x:c>
      <x:c r="F859" s="21" t="str">
        <x:v>Architecture and burden closure</x:v>
      </x:c>
      <x:c r="G859" s="21" t="n">
        <x:v>14</x:v>
      </x:c>
      <x:c r="H859" s="21" t="str">
        <x:v>Independent Evidence and Data Authority</x:v>
      </x:c>
      <x:c r="I859" s="44" t="n">
        <x:f>Lifecycle!G9</x:f>
        <x:v>0.08564464062191186</x:v>
      </x:c>
      <x:c r="J859" s="44" t="n">
        <x:v>0.065</x:v>
      </x:c>
      <x:c r="K859" s="44" t="n">
        <x:f>I859*J859</x:f>
        <x:v>0.005566901640424271</x:v>
      </x:c>
      <x:c r="L859" s="46" t="n">
        <x:v>0</x:v>
      </x:c>
      <x:c r="M859" s="46" t="n">
        <x:v>0</x:v>
      </x:c>
      <x:c r="N859" s="21" t="n">
        <x:f>IF(AND(L858=1,M858=1,P858&gt;0),1,0)</x:f>
        <x:v>0</x:v>
      </x:c>
      <x:c r="O859" s="21" t="n">
        <x:f>MIN('Root Data'!I262:I264)</x:f>
        <x:v>0</x:v>
      </x:c>
      <x:c r="P859" s="44" t="n">
        <x:f>IF(AND(L859=1,M859=1,N859=1,O859&gt;=G859),K859,0)</x:f>
        <x:v>0</x:v>
      </x:c>
      <x:c r="Q859" s="21" t="str">
        <x:v>OPEN</x:v>
      </x:c>
      <x:c r="R859" s="23" t="str">
        <x:v>HOLD</x:v>
      </x:c>
    </x:row>
    <x:row r="860">
      <x:c r="B860" s="21" t="str">
        <x:v>AR-00854</x:v>
      </x:c>
      <x:c r="C860" s="21" t="str">
        <x:v>F22-I2</x:v>
      </x:c>
      <x:c r="D860" s="21" t="str">
        <x:v>F22</x:v>
      </x:c>
      <x:c r="E860" s="21" t="n">
        <x:v>4</x:v>
      </x:c>
      <x:c r="F860" s="21" t="str">
        <x:v>Engineering article acceptance</x:v>
      </x:c>
      <x:c r="G860" s="21" t="n">
        <x:v>18</x:v>
      </x:c>
      <x:c r="H860" s="21" t="str">
        <x:v>Independent Evidence and Data Authority</x:v>
      </x:c>
      <x:c r="I860" s="44" t="n">
        <x:f>Lifecycle!G10</x:f>
        <x:v>0.05929244350747744</x:v>
      </x:c>
      <x:c r="J860" s="44" t="n">
        <x:v>0.065</x:v>
      </x:c>
      <x:c r="K860" s="44" t="n">
        <x:f>I860*J860</x:f>
        <x:v>0.003854008827986034</x:v>
      </x:c>
      <x:c r="L860" s="46" t="n">
        <x:v>0</x:v>
      </x:c>
      <x:c r="M860" s="46" t="n">
        <x:v>0</x:v>
      </x:c>
      <x:c r="N860" s="21" t="n">
        <x:f>IF(AND(L859=1,M859=1,P859&gt;0),1,0)</x:f>
        <x:v>0</x:v>
      </x:c>
      <x:c r="O860" s="21" t="n">
        <x:f>MIN('Root Data'!I262:I264)</x:f>
        <x:v>0</x:v>
      </x:c>
      <x:c r="P860" s="44" t="n">
        <x:f>IF(AND(L860=1,M860=1,N860=1,O860&gt;=G860),K860,0)</x:f>
        <x:v>0</x:v>
      </x:c>
      <x:c r="Q860" s="21" t="str">
        <x:v>OPEN</x:v>
      </x:c>
      <x:c r="R860" s="23" t="str">
        <x:v>HOLD</x:v>
      </x:c>
    </x:row>
    <x:row r="861">
      <x:c r="B861" s="21" t="str">
        <x:v>AR-00855</x:v>
      </x:c>
      <x:c r="C861" s="21" t="str">
        <x:v>F22-I2</x:v>
      </x:c>
      <x:c r="D861" s="21" t="str">
        <x:v>F22</x:v>
      </x:c>
      <x:c r="E861" s="21" t="n">
        <x:v>5</x:v>
      </x:c>
      <x:c r="F861" s="21" t="str">
        <x:v>Qualification and destructive evidence</x:v>
      </x:c>
      <x:c r="G861" s="21" t="n">
        <x:v>21</x:v>
      </x:c>
      <x:c r="H861" s="21" t="str">
        <x:v>Independent Evidence and Data Authority</x:v>
      </x:c>
      <x:c r="I861" s="44" t="n">
        <x:f>Lifecycle!G11</x:f>
        <x:v>0.1515251334079979</x:v>
      </x:c>
      <x:c r="J861" s="44" t="n">
        <x:v>0.065</x:v>
      </x:c>
      <x:c r="K861" s="44" t="n">
        <x:f>I861*J861</x:f>
        <x:v>0.009849133671519864</x:v>
      </x:c>
      <x:c r="L861" s="46" t="n">
        <x:v>0</x:v>
      </x:c>
      <x:c r="M861" s="46" t="n">
        <x:v>0</x:v>
      </x:c>
      <x:c r="N861" s="21" t="n">
        <x:f>IF(AND(L860=1,M860=1,P860&gt;0),1,0)</x:f>
        <x:v>0</x:v>
      </x:c>
      <x:c r="O861" s="21" t="n">
        <x:f>MIN('Root Data'!I262:I264)</x:f>
        <x:v>0</x:v>
      </x:c>
      <x:c r="P861" s="44" t="n">
        <x:f>IF(AND(L861=1,M861=1,N861=1,O861&gt;=G861),K861,0)</x:f>
        <x:v>0</x:v>
      </x:c>
      <x:c r="Q861" s="21" t="str">
        <x:v>OPEN</x:v>
      </x:c>
      <x:c r="R861" s="23" t="str">
        <x:v>HOLD</x:v>
      </x:c>
    </x:row>
    <x:row r="862">
      <x:c r="B862" s="21" t="str">
        <x:v>AR-00856</x:v>
      </x:c>
      <x:c r="C862" s="21" t="str">
        <x:v>F22-I2</x:v>
      </x:c>
      <x:c r="D862" s="21" t="str">
        <x:v>F22</x:v>
      </x:c>
      <x:c r="E862" s="21" t="n">
        <x:v>6</x:v>
      </x:c>
      <x:c r="F862" s="21" t="str">
        <x:v>Representative mission result</x:v>
      </x:c>
      <x:c r="G862" s="21" t="n">
        <x:v>23</x:v>
      </x:c>
      <x:c r="H862" s="21" t="str">
        <x:v>Receiving Service Authority</x:v>
      </x:c>
      <x:c r="I862" s="44" t="n">
        <x:f>Lifecycle!G12</x:f>
        <x:v>0.250345872587127</x:v>
      </x:c>
      <x:c r="J862" s="44" t="n">
        <x:v>0.065</x:v>
      </x:c>
      <x:c r="K862" s="44" t="n">
        <x:f>I862*J862</x:f>
        <x:v>0.016272481718163253</x:v>
      </x:c>
      <x:c r="L862" s="46" t="n">
        <x:v>0</x:v>
      </x:c>
      <x:c r="M862" s="46" t="n">
        <x:v>0</x:v>
      </x:c>
      <x:c r="N862" s="21" t="n">
        <x:f>IF(AND(L861=1,M861=1,P861&gt;0),1,0)</x:f>
        <x:v>0</x:v>
      </x:c>
      <x:c r="O862" s="21" t="n">
        <x:f>MIN('Root Data'!I262:I264)</x:f>
        <x:v>0</x:v>
      </x:c>
      <x:c r="P862" s="44" t="n">
        <x:f>IF(AND(L862=1,M862=1,N862=1,O862&gt;=G862),K862,0)</x:f>
        <x:v>0</x:v>
      </x:c>
      <x:c r="Q862" s="21" t="str">
        <x:v>OPEN</x:v>
      </x:c>
      <x:c r="R862" s="23" t="str">
        <x:v>HOLD</x:v>
      </x:c>
    </x:row>
    <x:row r="863">
      <x:c r="B863" s="21" t="str">
        <x:v>AR-00857</x:v>
      </x:c>
      <x:c r="C863" s="21" t="str">
        <x:v>F22-I2</x:v>
      </x:c>
      <x:c r="D863" s="21" t="str">
        <x:v>F22</x:v>
      </x:c>
      <x:c r="E863" s="21" t="n">
        <x:v>7</x:v>
      </x:c>
      <x:c r="F863" s="21" t="str">
        <x:v>Independent reproduction</x:v>
      </x:c>
      <x:c r="G863" s="21" t="n">
        <x:v>28</x:v>
      </x:c>
      <x:c r="H863" s="21" t="str">
        <x:v>Independent Evidence and Data Authority</x:v>
      </x:c>
      <x:c r="I863" s="44" t="n">
        <x:f>Lifecycle!G13</x:f>
        <x:v>0.21740562619408393</x:v>
      </x:c>
      <x:c r="J863" s="44" t="n">
        <x:v>0.065</x:v>
      </x:c>
      <x:c r="K863" s="44" t="n">
        <x:f>I863*J863</x:f>
        <x:v>0.014131365702615457</x:v>
      </x:c>
      <x:c r="L863" s="46" t="n">
        <x:v>0</x:v>
      </x:c>
      <x:c r="M863" s="46" t="n">
        <x:v>0</x:v>
      </x:c>
      <x:c r="N863" s="21" t="n">
        <x:f>IF(AND(L862=1,M862=1,P862&gt;0),1,0)</x:f>
        <x:v>0</x:v>
      </x:c>
      <x:c r="O863" s="21" t="n">
        <x:f>MIN('Root Data'!I262:I264)</x:f>
        <x:v>0</x:v>
      </x:c>
      <x:c r="P863" s="44" t="n">
        <x:f>IF(AND(L863=1,M863=1,N863=1,O863&gt;=G863),K863,0)</x:f>
        <x:v>0</x:v>
      </x:c>
      <x:c r="Q863" s="21" t="str">
        <x:v>OPEN</x:v>
      </x:c>
      <x:c r="R863" s="23" t="str">
        <x:v>HOLD</x:v>
      </x:c>
    </x:row>
    <x:row r="864">
      <x:c r="B864" s="21" t="str">
        <x:v>AR-00858</x:v>
      </x:c>
      <x:c r="C864" s="21" t="str">
        <x:v>F22-I2</x:v>
      </x:c>
      <x:c r="D864" s="21" t="str">
        <x:v>F22</x:v>
      </x:c>
      <x:c r="E864" s="21" t="n">
        <x:v>8</x:v>
      </x:c>
      <x:c r="F864" s="21" t="str">
        <x:v>Pilot-process qualification</x:v>
      </x:c>
      <x:c r="G864" s="21" t="n">
        <x:v>28</x:v>
      </x:c>
      <x:c r="H864" s="21" t="str">
        <x:v>AIMC Industrial Mobilization Authority</x:v>
      </x:c>
      <x:c r="I864" s="44" t="n">
        <x:f>Lifecycle!G14</x:f>
        <x:v>0.03952829567165163</x:v>
      </x:c>
      <x:c r="J864" s="44" t="n">
        <x:v>0.065</x:v>
      </x:c>
      <x:c r="K864" s="44" t="n">
        <x:f>I864*J864</x:f>
        <x:v>0.002569339218657356</x:v>
      </x:c>
      <x:c r="L864" s="46" t="n">
        <x:v>0</x:v>
      </x:c>
      <x:c r="M864" s="46" t="n">
        <x:v>0</x:v>
      </x:c>
      <x:c r="N864" s="21" t="n">
        <x:f>IF(AND(L863=1,M863=1,P863&gt;0),1,0)</x:f>
        <x:v>0</x:v>
      </x:c>
      <x:c r="O864" s="21" t="n">
        <x:f>MIN('Root Data'!I262:I264)</x:f>
        <x:v>0</x:v>
      </x:c>
      <x:c r="P864" s="44" t="n">
        <x:f>IF(AND(L864=1,M864=1,N864=1,O864&gt;=G864),K864,0)</x:f>
        <x:v>0</x:v>
      </x:c>
      <x:c r="Q864" s="21" t="str">
        <x:v>OPEN</x:v>
      </x:c>
      <x:c r="R864" s="23" t="str">
        <x:v>HOLD</x:v>
      </x:c>
    </x:row>
    <x:row r="865">
      <x:c r="B865" s="21" t="str">
        <x:v>AR-00859</x:v>
      </x:c>
      <x:c r="C865" s="21" t="str">
        <x:v>F22-I2</x:v>
      </x:c>
      <x:c r="D865" s="21" t="str">
        <x:v>F22</x:v>
      </x:c>
      <x:c r="E865" s="21" t="n">
        <x:v>9</x:v>
      </x:c>
      <x:c r="F865" s="21" t="str">
        <x:v>Production release package</x:v>
      </x:c>
      <x:c r="G865" s="21" t="n">
        <x:v>28</x:v>
      </x:c>
      <x:c r="H865" s="21" t="str">
        <x:v>Production Release Board</x:v>
      </x:c>
      <x:c r="I865" s="44" t="n">
        <x:f>Lifecycle!G15</x:f>
        <x:v>0.01647012319652151</x:v>
      </x:c>
      <x:c r="J865" s="44" t="n">
        <x:v>0.065</x:v>
      </x:c>
      <x:c r="K865" s="44" t="n">
        <x:f>I865*J865</x:f>
        <x:v>0.0010705580077738982</x:v>
      </x:c>
      <x:c r="L865" s="46" t="n">
        <x:v>0</x:v>
      </x:c>
      <x:c r="M865" s="46" t="n">
        <x:v>0</x:v>
      </x:c>
      <x:c r="N865" s="21" t="n">
        <x:f>IF(AND(L864=1,M864=1,P864&gt;0),1,0)</x:f>
        <x:v>0</x:v>
      </x:c>
      <x:c r="O865" s="21" t="n">
        <x:f>MIN('Root Data'!I262:I264)</x:f>
        <x:v>0</x:v>
      </x:c>
      <x:c r="P865" s="44" t="n">
        <x:f>IF(AND(L865=1,M865=1,N865=1,O865&gt;=G865),K865,0)</x:f>
        <x:v>0</x:v>
      </x:c>
      <x:c r="Q865" s="21" t="str">
        <x:v>OPEN</x:v>
      </x:c>
      <x:c r="R865" s="23" t="str">
        <x:v>HOLD</x:v>
      </x:c>
    </x:row>
    <x:row r="866">
      <x:c r="B866" s="21" t="str">
        <x:v>AR-00860</x:v>
      </x:c>
      <x:c r="C866" s="21" t="str">
        <x:v>F22-I2</x:v>
      </x:c>
      <x:c r="D866" s="21" t="str">
        <x:v>F22</x:v>
      </x:c>
      <x:c r="E866" s="21" t="n">
        <x:v>10</x:v>
      </x:c>
      <x:c r="F866" s="21" t="str">
        <x:v>Mobilization activation</x:v>
      </x:c>
      <x:c r="G866" s="21" t="n">
        <x:v>28</x:v>
      </x:c>
      <x:c r="H866" s="21" t="str">
        <x:v>Production Release Board</x:v>
      </x:c>
      <x:c r="I866" s="44" t="n">
        <x:f>Lifecycle!G16</x:f>
        <x:v>0.028262731405230914</x:v>
      </x:c>
      <x:c r="J866" s="44" t="n">
        <x:v>0.065</x:v>
      </x:c>
      <x:c r="K866" s="44" t="n">
        <x:f>I866*J866</x:f>
        <x:v>0.0018370775413400094</x:v>
      </x:c>
      <x:c r="L866" s="46" t="n">
        <x:v>0</x:v>
      </x:c>
      <x:c r="M866" s="46" t="n">
        <x:v>0</x:v>
      </x:c>
      <x:c r="N866" s="21" t="n">
        <x:f>IF(AND(L865=1,M865=1,P865&gt;0),1,0)</x:f>
        <x:v>0</x:v>
      </x:c>
      <x:c r="O866" s="21" t="n">
        <x:f>MIN('Root Data'!I262:I264)</x:f>
        <x:v>0</x:v>
      </x:c>
      <x:c r="P866" s="44" t="n">
        <x:f>IF(AND(L866=1,M866=1,N866=1,O866&gt;=G866),K866,0)</x:f>
        <x:v>0</x:v>
      </x:c>
      <x:c r="Q866" s="21" t="str">
        <x:v>OPEN</x:v>
      </x:c>
      <x:c r="R866" s="23" t="str">
        <x:v>HOLD</x:v>
      </x:c>
    </x:row>
    <x:row r="867">
      <x:c r="B867" s="21" t="str">
        <x:v>AR-00861</x:v>
      </x:c>
      <x:c r="C867" s="21" t="str">
        <x:v>F22-I3</x:v>
      </x:c>
      <x:c r="D867" s="21" t="str">
        <x:v>F22</x:v>
      </x:c>
      <x:c r="E867" s="21" t="n">
        <x:v>1</x:v>
      </x:c>
      <x:c r="F867" s="21" t="str">
        <x:v>Civil effect charter</x:v>
      </x:c>
      <x:c r="G867" s="21" t="n">
        <x:v>0</x:v>
      </x:c>
      <x:c r="H867" s="21" t="str">
        <x:v>Civil Guarantee Authority</x:v>
      </x:c>
      <x:c r="I867" s="44" t="n">
        <x:f>Lifecycle!G7</x:f>
        <x:v>0.04941036958956453</x:v>
      </x:c>
      <x:c r="J867" s="44" t="n">
        <x:v>0.065</x:v>
      </x:c>
      <x:c r="K867" s="44" t="n">
        <x:f>I867*J867</x:f>
        <x:v>0.0032116740233216947</x:v>
      </x:c>
      <x:c r="L867" s="46" t="n">
        <x:v>0</x:v>
      </x:c>
      <x:c r="M867" s="46" t="n">
        <x:v>0</x:v>
      </x:c>
      <x:c r="N867" s="21" t="n">
        <x:f>1</x:f>
        <x:v>1</x:v>
      </x:c>
      <x:c r="O867" s="21" t="n">
        <x:f>MIN('Root Data'!I265:I267)</x:f>
        <x:v>0</x:v>
      </x:c>
      <x:c r="P867" s="44" t="n">
        <x:f>IF(AND(L867=1,M867=1,N867=1,O867&gt;=G867),K867,0)</x:f>
        <x:v>0</x:v>
      </x:c>
      <x:c r="Q867" s="21" t="str">
        <x:v>OPEN</x:v>
      </x:c>
      <x:c r="R867" s="23" t="str">
        <x:v>HOLD</x:v>
      </x:c>
    </x:row>
    <x:row r="868">
      <x:c r="B868" s="21" t="str">
        <x:v>AR-00862</x:v>
      </x:c>
      <x:c r="C868" s="21" t="str">
        <x:v>F22-I3</x:v>
      </x:c>
      <x:c r="D868" s="21" t="str">
        <x:v>F22</x:v>
      </x:c>
      <x:c r="E868" s="21" t="n">
        <x:v>2</x:v>
      </x:c>
      <x:c r="F868" s="21" t="str">
        <x:v>Requirement and root-independence package</x:v>
      </x:c>
      <x:c r="G868" s="21" t="n">
        <x:v>8</x:v>
      </x:c>
      <x:c r="H868" s="21" t="str">
        <x:v>Resilience Staff</x:v>
      </x:c>
      <x:c r="I868" s="44" t="n">
        <x:f>Lifecycle!G8</x:f>
        <x:v>0.10211476381843337</x:v>
      </x:c>
      <x:c r="J868" s="44" t="n">
        <x:v>0.065</x:v>
      </x:c>
      <x:c r="K868" s="44" t="n">
        <x:f>I868*J868</x:f>
        <x:v>0.00663745964819817</x:v>
      </x:c>
      <x:c r="L868" s="46" t="n">
        <x:v>0</x:v>
      </x:c>
      <x:c r="M868" s="46" t="n">
        <x:v>0</x:v>
      </x:c>
      <x:c r="N868" s="21" t="n">
        <x:f>IF(AND(L867=1,M867=1,P867&gt;0),1,0)</x:f>
        <x:v>0</x:v>
      </x:c>
      <x:c r="O868" s="21" t="n">
        <x:f>MIN('Root Data'!I265:I267)</x:f>
        <x:v>0</x:v>
      </x:c>
      <x:c r="P868" s="44" t="n">
        <x:f>IF(AND(L868=1,M868=1,N868=1,O868&gt;=G868),K868,0)</x:f>
        <x:v>0</x:v>
      </x:c>
      <x:c r="Q868" s="21" t="str">
        <x:v>OPEN</x:v>
      </x:c>
      <x:c r="R868" s="23" t="str">
        <x:v>HOLD</x:v>
      </x:c>
    </x:row>
    <x:row r="869">
      <x:c r="B869" s="21" t="str">
        <x:v>AR-00863</x:v>
      </x:c>
      <x:c r="C869" s="21" t="str">
        <x:v>F22-I3</x:v>
      </x:c>
      <x:c r="D869" s="21" t="str">
        <x:v>F22</x:v>
      </x:c>
      <x:c r="E869" s="21" t="n">
        <x:v>3</x:v>
      </x:c>
      <x:c r="F869" s="21" t="str">
        <x:v>Architecture and burden closure</x:v>
      </x:c>
      <x:c r="G869" s="21" t="n">
        <x:v>14</x:v>
      </x:c>
      <x:c r="H869" s="21" t="str">
        <x:v>Independent Evidence and Data Authority</x:v>
      </x:c>
      <x:c r="I869" s="44" t="n">
        <x:f>Lifecycle!G9</x:f>
        <x:v>0.08564464062191186</x:v>
      </x:c>
      <x:c r="J869" s="44" t="n">
        <x:v>0.065</x:v>
      </x:c>
      <x:c r="K869" s="44" t="n">
        <x:f>I869*J869</x:f>
        <x:v>0.005566901640424271</x:v>
      </x:c>
      <x:c r="L869" s="46" t="n">
        <x:v>0</x:v>
      </x:c>
      <x:c r="M869" s="46" t="n">
        <x:v>0</x:v>
      </x:c>
      <x:c r="N869" s="21" t="n">
        <x:f>IF(AND(L868=1,M868=1,P868&gt;0),1,0)</x:f>
        <x:v>0</x:v>
      </x:c>
      <x:c r="O869" s="21" t="n">
        <x:f>MIN('Root Data'!I265:I267)</x:f>
        <x:v>0</x:v>
      </x:c>
      <x:c r="P869" s="44" t="n">
        <x:f>IF(AND(L869=1,M869=1,N869=1,O869&gt;=G869),K869,0)</x:f>
        <x:v>0</x:v>
      </x:c>
      <x:c r="Q869" s="21" t="str">
        <x:v>OPEN</x:v>
      </x:c>
      <x:c r="R869" s="23" t="str">
        <x:v>HOLD</x:v>
      </x:c>
    </x:row>
    <x:row r="870">
      <x:c r="B870" s="21" t="str">
        <x:v>AR-00864</x:v>
      </x:c>
      <x:c r="C870" s="21" t="str">
        <x:v>F22-I3</x:v>
      </x:c>
      <x:c r="D870" s="21" t="str">
        <x:v>F22</x:v>
      </x:c>
      <x:c r="E870" s="21" t="n">
        <x:v>4</x:v>
      </x:c>
      <x:c r="F870" s="21" t="str">
        <x:v>Engineering article acceptance</x:v>
      </x:c>
      <x:c r="G870" s="21" t="n">
        <x:v>18</x:v>
      </x:c>
      <x:c r="H870" s="21" t="str">
        <x:v>Independent Evidence and Data Authority</x:v>
      </x:c>
      <x:c r="I870" s="44" t="n">
        <x:f>Lifecycle!G10</x:f>
        <x:v>0.05929244350747744</x:v>
      </x:c>
      <x:c r="J870" s="44" t="n">
        <x:v>0.065</x:v>
      </x:c>
      <x:c r="K870" s="44" t="n">
        <x:f>I870*J870</x:f>
        <x:v>0.003854008827986034</x:v>
      </x:c>
      <x:c r="L870" s="46" t="n">
        <x:v>0</x:v>
      </x:c>
      <x:c r="M870" s="46" t="n">
        <x:v>0</x:v>
      </x:c>
      <x:c r="N870" s="21" t="n">
        <x:f>IF(AND(L869=1,M869=1,P869&gt;0),1,0)</x:f>
        <x:v>0</x:v>
      </x:c>
      <x:c r="O870" s="21" t="n">
        <x:f>MIN('Root Data'!I265:I267)</x:f>
        <x:v>0</x:v>
      </x:c>
      <x:c r="P870" s="44" t="n">
        <x:f>IF(AND(L870=1,M870=1,N870=1,O870&gt;=G870),K870,0)</x:f>
        <x:v>0</x:v>
      </x:c>
      <x:c r="Q870" s="21" t="str">
        <x:v>OPEN</x:v>
      </x:c>
      <x:c r="R870" s="23" t="str">
        <x:v>HOLD</x:v>
      </x:c>
    </x:row>
    <x:row r="871">
      <x:c r="B871" s="21" t="str">
        <x:v>AR-00865</x:v>
      </x:c>
      <x:c r="C871" s="21" t="str">
        <x:v>F22-I3</x:v>
      </x:c>
      <x:c r="D871" s="21" t="str">
        <x:v>F22</x:v>
      </x:c>
      <x:c r="E871" s="21" t="n">
        <x:v>5</x:v>
      </x:c>
      <x:c r="F871" s="21" t="str">
        <x:v>Qualification and destructive evidence</x:v>
      </x:c>
      <x:c r="G871" s="21" t="n">
        <x:v>21</x:v>
      </x:c>
      <x:c r="H871" s="21" t="str">
        <x:v>Independent Evidence and Data Authority</x:v>
      </x:c>
      <x:c r="I871" s="44" t="n">
        <x:f>Lifecycle!G11</x:f>
        <x:v>0.1515251334079979</x:v>
      </x:c>
      <x:c r="J871" s="44" t="n">
        <x:v>0.065</x:v>
      </x:c>
      <x:c r="K871" s="44" t="n">
        <x:f>I871*J871</x:f>
        <x:v>0.009849133671519864</x:v>
      </x:c>
      <x:c r="L871" s="46" t="n">
        <x:v>0</x:v>
      </x:c>
      <x:c r="M871" s="46" t="n">
        <x:v>0</x:v>
      </x:c>
      <x:c r="N871" s="21" t="n">
        <x:f>IF(AND(L870=1,M870=1,P870&gt;0),1,0)</x:f>
        <x:v>0</x:v>
      </x:c>
      <x:c r="O871" s="21" t="n">
        <x:f>MIN('Root Data'!I265:I267)</x:f>
        <x:v>0</x:v>
      </x:c>
      <x:c r="P871" s="44" t="n">
        <x:f>IF(AND(L871=1,M871=1,N871=1,O871&gt;=G871),K871,0)</x:f>
        <x:v>0</x:v>
      </x:c>
      <x:c r="Q871" s="21" t="str">
        <x:v>OPEN</x:v>
      </x:c>
      <x:c r="R871" s="23" t="str">
        <x:v>HOLD</x:v>
      </x:c>
    </x:row>
    <x:row r="872">
      <x:c r="B872" s="21" t="str">
        <x:v>AR-00866</x:v>
      </x:c>
      <x:c r="C872" s="21" t="str">
        <x:v>F22-I3</x:v>
      </x:c>
      <x:c r="D872" s="21" t="str">
        <x:v>F22</x:v>
      </x:c>
      <x:c r="E872" s="21" t="n">
        <x:v>6</x:v>
      </x:c>
      <x:c r="F872" s="21" t="str">
        <x:v>Representative mission result</x:v>
      </x:c>
      <x:c r="G872" s="21" t="n">
        <x:v>23</x:v>
      </x:c>
      <x:c r="H872" s="21" t="str">
        <x:v>Receiving Service Authority</x:v>
      </x:c>
      <x:c r="I872" s="44" t="n">
        <x:f>Lifecycle!G12</x:f>
        <x:v>0.250345872587127</x:v>
      </x:c>
      <x:c r="J872" s="44" t="n">
        <x:v>0.065</x:v>
      </x:c>
      <x:c r="K872" s="44" t="n">
        <x:f>I872*J872</x:f>
        <x:v>0.016272481718163253</x:v>
      </x:c>
      <x:c r="L872" s="46" t="n">
        <x:v>0</x:v>
      </x:c>
      <x:c r="M872" s="46" t="n">
        <x:v>0</x:v>
      </x:c>
      <x:c r="N872" s="21" t="n">
        <x:f>IF(AND(L871=1,M871=1,P871&gt;0),1,0)</x:f>
        <x:v>0</x:v>
      </x:c>
      <x:c r="O872" s="21" t="n">
        <x:f>MIN('Root Data'!I265:I267)</x:f>
        <x:v>0</x:v>
      </x:c>
      <x:c r="P872" s="44" t="n">
        <x:f>IF(AND(L872=1,M872=1,N872=1,O872&gt;=G872),K872,0)</x:f>
        <x:v>0</x:v>
      </x:c>
      <x:c r="Q872" s="21" t="str">
        <x:v>OPEN</x:v>
      </x:c>
      <x:c r="R872" s="23" t="str">
        <x:v>HOLD</x:v>
      </x:c>
    </x:row>
    <x:row r="873">
      <x:c r="B873" s="21" t="str">
        <x:v>AR-00867</x:v>
      </x:c>
      <x:c r="C873" s="21" t="str">
        <x:v>F22-I3</x:v>
      </x:c>
      <x:c r="D873" s="21" t="str">
        <x:v>F22</x:v>
      </x:c>
      <x:c r="E873" s="21" t="n">
        <x:v>7</x:v>
      </x:c>
      <x:c r="F873" s="21" t="str">
        <x:v>Independent reproduction</x:v>
      </x:c>
      <x:c r="G873" s="21" t="n">
        <x:v>28</x:v>
      </x:c>
      <x:c r="H873" s="21" t="str">
        <x:v>Independent Evidence and Data Authority</x:v>
      </x:c>
      <x:c r="I873" s="44" t="n">
        <x:f>Lifecycle!G13</x:f>
        <x:v>0.21740562619408393</x:v>
      </x:c>
      <x:c r="J873" s="44" t="n">
        <x:v>0.065</x:v>
      </x:c>
      <x:c r="K873" s="44" t="n">
        <x:f>I873*J873</x:f>
        <x:v>0.014131365702615457</x:v>
      </x:c>
      <x:c r="L873" s="46" t="n">
        <x:v>0</x:v>
      </x:c>
      <x:c r="M873" s="46" t="n">
        <x:v>0</x:v>
      </x:c>
      <x:c r="N873" s="21" t="n">
        <x:f>IF(AND(L872=1,M872=1,P872&gt;0),1,0)</x:f>
        <x:v>0</x:v>
      </x:c>
      <x:c r="O873" s="21" t="n">
        <x:f>MIN('Root Data'!I265:I267)</x:f>
        <x:v>0</x:v>
      </x:c>
      <x:c r="P873" s="44" t="n">
        <x:f>IF(AND(L873=1,M873=1,N873=1,O873&gt;=G873),K873,0)</x:f>
        <x:v>0</x:v>
      </x:c>
      <x:c r="Q873" s="21" t="str">
        <x:v>OPEN</x:v>
      </x:c>
      <x:c r="R873" s="23" t="str">
        <x:v>HOLD</x:v>
      </x:c>
    </x:row>
    <x:row r="874">
      <x:c r="B874" s="21" t="str">
        <x:v>AR-00868</x:v>
      </x:c>
      <x:c r="C874" s="21" t="str">
        <x:v>F22-I3</x:v>
      </x:c>
      <x:c r="D874" s="21" t="str">
        <x:v>F22</x:v>
      </x:c>
      <x:c r="E874" s="21" t="n">
        <x:v>8</x:v>
      </x:c>
      <x:c r="F874" s="21" t="str">
        <x:v>Pilot-process qualification</x:v>
      </x:c>
      <x:c r="G874" s="21" t="n">
        <x:v>28</x:v>
      </x:c>
      <x:c r="H874" s="21" t="str">
        <x:v>AIMC Industrial Mobilization Authority</x:v>
      </x:c>
      <x:c r="I874" s="44" t="n">
        <x:f>Lifecycle!G14</x:f>
        <x:v>0.03952829567165163</x:v>
      </x:c>
      <x:c r="J874" s="44" t="n">
        <x:v>0.065</x:v>
      </x:c>
      <x:c r="K874" s="44" t="n">
        <x:f>I874*J874</x:f>
        <x:v>0.002569339218657356</x:v>
      </x:c>
      <x:c r="L874" s="46" t="n">
        <x:v>0</x:v>
      </x:c>
      <x:c r="M874" s="46" t="n">
        <x:v>0</x:v>
      </x:c>
      <x:c r="N874" s="21" t="n">
        <x:f>IF(AND(L873=1,M873=1,P873&gt;0),1,0)</x:f>
        <x:v>0</x:v>
      </x:c>
      <x:c r="O874" s="21" t="n">
        <x:f>MIN('Root Data'!I265:I267)</x:f>
        <x:v>0</x:v>
      </x:c>
      <x:c r="P874" s="44" t="n">
        <x:f>IF(AND(L874=1,M874=1,N874=1,O874&gt;=G874),K874,0)</x:f>
        <x:v>0</x:v>
      </x:c>
      <x:c r="Q874" s="21" t="str">
        <x:v>OPEN</x:v>
      </x:c>
      <x:c r="R874" s="23" t="str">
        <x:v>HOLD</x:v>
      </x:c>
    </x:row>
    <x:row r="875">
      <x:c r="B875" s="21" t="str">
        <x:v>AR-00869</x:v>
      </x:c>
      <x:c r="C875" s="21" t="str">
        <x:v>F22-I3</x:v>
      </x:c>
      <x:c r="D875" s="21" t="str">
        <x:v>F22</x:v>
      </x:c>
      <x:c r="E875" s="21" t="n">
        <x:v>9</x:v>
      </x:c>
      <x:c r="F875" s="21" t="str">
        <x:v>Production release package</x:v>
      </x:c>
      <x:c r="G875" s="21" t="n">
        <x:v>28</x:v>
      </x:c>
      <x:c r="H875" s="21" t="str">
        <x:v>Production Release Board</x:v>
      </x:c>
      <x:c r="I875" s="44" t="n">
        <x:f>Lifecycle!G15</x:f>
        <x:v>0.01647012319652151</x:v>
      </x:c>
      <x:c r="J875" s="44" t="n">
        <x:v>0.065</x:v>
      </x:c>
      <x:c r="K875" s="44" t="n">
        <x:f>I875*J875</x:f>
        <x:v>0.0010705580077738982</x:v>
      </x:c>
      <x:c r="L875" s="46" t="n">
        <x:v>0</x:v>
      </x:c>
      <x:c r="M875" s="46" t="n">
        <x:v>0</x:v>
      </x:c>
      <x:c r="N875" s="21" t="n">
        <x:f>IF(AND(L874=1,M874=1,P874&gt;0),1,0)</x:f>
        <x:v>0</x:v>
      </x:c>
      <x:c r="O875" s="21" t="n">
        <x:f>MIN('Root Data'!I265:I267)</x:f>
        <x:v>0</x:v>
      </x:c>
      <x:c r="P875" s="44" t="n">
        <x:f>IF(AND(L875=1,M875=1,N875=1,O875&gt;=G875),K875,0)</x:f>
        <x:v>0</x:v>
      </x:c>
      <x:c r="Q875" s="21" t="str">
        <x:v>OPEN</x:v>
      </x:c>
      <x:c r="R875" s="23" t="str">
        <x:v>HOLD</x:v>
      </x:c>
    </x:row>
    <x:row r="876">
      <x:c r="B876" s="21" t="str">
        <x:v>AR-00870</x:v>
      </x:c>
      <x:c r="C876" s="21" t="str">
        <x:v>F22-I3</x:v>
      </x:c>
      <x:c r="D876" s="21" t="str">
        <x:v>F22</x:v>
      </x:c>
      <x:c r="E876" s="21" t="n">
        <x:v>10</x:v>
      </x:c>
      <x:c r="F876" s="21" t="str">
        <x:v>Mobilization activation</x:v>
      </x:c>
      <x:c r="G876" s="21" t="n">
        <x:v>28</x:v>
      </x:c>
      <x:c r="H876" s="21" t="str">
        <x:v>Production Release Board</x:v>
      </x:c>
      <x:c r="I876" s="44" t="n">
        <x:f>Lifecycle!G16</x:f>
        <x:v>0.028262731405230914</x:v>
      </x:c>
      <x:c r="J876" s="44" t="n">
        <x:v>0.065</x:v>
      </x:c>
      <x:c r="K876" s="44" t="n">
        <x:f>I876*J876</x:f>
        <x:v>0.0018370775413400094</x:v>
      </x:c>
      <x:c r="L876" s="46" t="n">
        <x:v>0</x:v>
      </x:c>
      <x:c r="M876" s="46" t="n">
        <x:v>0</x:v>
      </x:c>
      <x:c r="N876" s="21" t="n">
        <x:f>IF(AND(L875=1,M875=1,P875&gt;0),1,0)</x:f>
        <x:v>0</x:v>
      </x:c>
      <x:c r="O876" s="21" t="n">
        <x:f>MIN('Root Data'!I265:I267)</x:f>
        <x:v>0</x:v>
      </x:c>
      <x:c r="P876" s="44" t="n">
        <x:f>IF(AND(L876=1,M876=1,N876=1,O876&gt;=G876),K876,0)</x:f>
        <x:v>0</x:v>
      </x:c>
      <x:c r="Q876" s="21" t="str">
        <x:v>OPEN</x:v>
      </x:c>
      <x:c r="R876" s="23" t="str">
        <x:v>HOLD</x:v>
      </x:c>
    </x:row>
    <x:row r="877">
      <x:c r="B877" s="21" t="str">
        <x:v>AR-00871</x:v>
      </x:c>
      <x:c r="C877" s="21" t="str">
        <x:v>F22-I4</x:v>
      </x:c>
      <x:c r="D877" s="21" t="str">
        <x:v>F22</x:v>
      </x:c>
      <x:c r="E877" s="21" t="n">
        <x:v>1</x:v>
      </x:c>
      <x:c r="F877" s="21" t="str">
        <x:v>Civil effect charter</x:v>
      </x:c>
      <x:c r="G877" s="21" t="n">
        <x:v>0</x:v>
      </x:c>
      <x:c r="H877" s="21" t="str">
        <x:v>Civil Guarantee Authority</x:v>
      </x:c>
      <x:c r="I877" s="44" t="n">
        <x:f>Lifecycle!G7</x:f>
        <x:v>0.04941036958956453</x:v>
      </x:c>
      <x:c r="J877" s="44" t="n">
        <x:v>0.065</x:v>
      </x:c>
      <x:c r="K877" s="44" t="n">
        <x:f>I877*J877</x:f>
        <x:v>0.0032116740233216947</x:v>
      </x:c>
      <x:c r="L877" s="46" t="n">
        <x:v>0</x:v>
      </x:c>
      <x:c r="M877" s="46" t="n">
        <x:v>0</x:v>
      </x:c>
      <x:c r="N877" s="21" t="n">
        <x:f>1</x:f>
        <x:v>1</x:v>
      </x:c>
      <x:c r="O877" s="21" t="n">
        <x:f>MIN('Root Data'!I268:I270)</x:f>
        <x:v>0</x:v>
      </x:c>
      <x:c r="P877" s="44" t="n">
        <x:f>IF(AND(L877=1,M877=1,N877=1,O877&gt;=G877),K877,0)</x:f>
        <x:v>0</x:v>
      </x:c>
      <x:c r="Q877" s="21" t="str">
        <x:v>OPEN</x:v>
      </x:c>
      <x:c r="R877" s="23" t="str">
        <x:v>HOLD</x:v>
      </x:c>
    </x:row>
    <x:row r="878">
      <x:c r="B878" s="21" t="str">
        <x:v>AR-00872</x:v>
      </x:c>
      <x:c r="C878" s="21" t="str">
        <x:v>F22-I4</x:v>
      </x:c>
      <x:c r="D878" s="21" t="str">
        <x:v>F22</x:v>
      </x:c>
      <x:c r="E878" s="21" t="n">
        <x:v>2</x:v>
      </x:c>
      <x:c r="F878" s="21" t="str">
        <x:v>Requirement and root-independence package</x:v>
      </x:c>
      <x:c r="G878" s="21" t="n">
        <x:v>8</x:v>
      </x:c>
      <x:c r="H878" s="21" t="str">
        <x:v>Resilience Staff</x:v>
      </x:c>
      <x:c r="I878" s="44" t="n">
        <x:f>Lifecycle!G8</x:f>
        <x:v>0.10211476381843337</x:v>
      </x:c>
      <x:c r="J878" s="44" t="n">
        <x:v>0.065</x:v>
      </x:c>
      <x:c r="K878" s="44" t="n">
        <x:f>I878*J878</x:f>
        <x:v>0.00663745964819817</x:v>
      </x:c>
      <x:c r="L878" s="46" t="n">
        <x:v>0</x:v>
      </x:c>
      <x:c r="M878" s="46" t="n">
        <x:v>0</x:v>
      </x:c>
      <x:c r="N878" s="21" t="n">
        <x:f>IF(AND(L877=1,M877=1,P877&gt;0),1,0)</x:f>
        <x:v>0</x:v>
      </x:c>
      <x:c r="O878" s="21" t="n">
        <x:f>MIN('Root Data'!I268:I270)</x:f>
        <x:v>0</x:v>
      </x:c>
      <x:c r="P878" s="44" t="n">
        <x:f>IF(AND(L878=1,M878=1,N878=1,O878&gt;=G878),K878,0)</x:f>
        <x:v>0</x:v>
      </x:c>
      <x:c r="Q878" s="21" t="str">
        <x:v>OPEN</x:v>
      </x:c>
      <x:c r="R878" s="23" t="str">
        <x:v>HOLD</x:v>
      </x:c>
    </x:row>
    <x:row r="879">
      <x:c r="B879" s="21" t="str">
        <x:v>AR-00873</x:v>
      </x:c>
      <x:c r="C879" s="21" t="str">
        <x:v>F22-I4</x:v>
      </x:c>
      <x:c r="D879" s="21" t="str">
        <x:v>F22</x:v>
      </x:c>
      <x:c r="E879" s="21" t="n">
        <x:v>3</x:v>
      </x:c>
      <x:c r="F879" s="21" t="str">
        <x:v>Architecture and burden closure</x:v>
      </x:c>
      <x:c r="G879" s="21" t="n">
        <x:v>14</x:v>
      </x:c>
      <x:c r="H879" s="21" t="str">
        <x:v>Independent Evidence and Data Authority</x:v>
      </x:c>
      <x:c r="I879" s="44" t="n">
        <x:f>Lifecycle!G9</x:f>
        <x:v>0.08564464062191186</x:v>
      </x:c>
      <x:c r="J879" s="44" t="n">
        <x:v>0.065</x:v>
      </x:c>
      <x:c r="K879" s="44" t="n">
        <x:f>I879*J879</x:f>
        <x:v>0.005566901640424271</x:v>
      </x:c>
      <x:c r="L879" s="46" t="n">
        <x:v>0</x:v>
      </x:c>
      <x:c r="M879" s="46" t="n">
        <x:v>0</x:v>
      </x:c>
      <x:c r="N879" s="21" t="n">
        <x:f>IF(AND(L878=1,M878=1,P878&gt;0),1,0)</x:f>
        <x:v>0</x:v>
      </x:c>
      <x:c r="O879" s="21" t="n">
        <x:f>MIN('Root Data'!I268:I270)</x:f>
        <x:v>0</x:v>
      </x:c>
      <x:c r="P879" s="44" t="n">
        <x:f>IF(AND(L879=1,M879=1,N879=1,O879&gt;=G879),K879,0)</x:f>
        <x:v>0</x:v>
      </x:c>
      <x:c r="Q879" s="21" t="str">
        <x:v>OPEN</x:v>
      </x:c>
      <x:c r="R879" s="23" t="str">
        <x:v>HOLD</x:v>
      </x:c>
    </x:row>
    <x:row r="880">
      <x:c r="B880" s="21" t="str">
        <x:v>AR-00874</x:v>
      </x:c>
      <x:c r="C880" s="21" t="str">
        <x:v>F22-I4</x:v>
      </x:c>
      <x:c r="D880" s="21" t="str">
        <x:v>F22</x:v>
      </x:c>
      <x:c r="E880" s="21" t="n">
        <x:v>4</x:v>
      </x:c>
      <x:c r="F880" s="21" t="str">
        <x:v>Engineering article acceptance</x:v>
      </x:c>
      <x:c r="G880" s="21" t="n">
        <x:v>18</x:v>
      </x:c>
      <x:c r="H880" s="21" t="str">
        <x:v>Independent Evidence and Data Authority</x:v>
      </x:c>
      <x:c r="I880" s="44" t="n">
        <x:f>Lifecycle!G10</x:f>
        <x:v>0.05929244350747744</x:v>
      </x:c>
      <x:c r="J880" s="44" t="n">
        <x:v>0.065</x:v>
      </x:c>
      <x:c r="K880" s="44" t="n">
        <x:f>I880*J880</x:f>
        <x:v>0.003854008827986034</x:v>
      </x:c>
      <x:c r="L880" s="46" t="n">
        <x:v>0</x:v>
      </x:c>
      <x:c r="M880" s="46" t="n">
        <x:v>0</x:v>
      </x:c>
      <x:c r="N880" s="21" t="n">
        <x:f>IF(AND(L879=1,M879=1,P879&gt;0),1,0)</x:f>
        <x:v>0</x:v>
      </x:c>
      <x:c r="O880" s="21" t="n">
        <x:f>MIN('Root Data'!I268:I270)</x:f>
        <x:v>0</x:v>
      </x:c>
      <x:c r="P880" s="44" t="n">
        <x:f>IF(AND(L880=1,M880=1,N880=1,O880&gt;=G880),K880,0)</x:f>
        <x:v>0</x:v>
      </x:c>
      <x:c r="Q880" s="21" t="str">
        <x:v>OPEN</x:v>
      </x:c>
      <x:c r="R880" s="23" t="str">
        <x:v>HOLD</x:v>
      </x:c>
    </x:row>
    <x:row r="881">
      <x:c r="B881" s="21" t="str">
        <x:v>AR-00875</x:v>
      </x:c>
      <x:c r="C881" s="21" t="str">
        <x:v>F22-I4</x:v>
      </x:c>
      <x:c r="D881" s="21" t="str">
        <x:v>F22</x:v>
      </x:c>
      <x:c r="E881" s="21" t="n">
        <x:v>5</x:v>
      </x:c>
      <x:c r="F881" s="21" t="str">
        <x:v>Qualification and destructive evidence</x:v>
      </x:c>
      <x:c r="G881" s="21" t="n">
        <x:v>21</x:v>
      </x:c>
      <x:c r="H881" s="21" t="str">
        <x:v>Independent Evidence and Data Authority</x:v>
      </x:c>
      <x:c r="I881" s="44" t="n">
        <x:f>Lifecycle!G11</x:f>
        <x:v>0.1515251334079979</x:v>
      </x:c>
      <x:c r="J881" s="44" t="n">
        <x:v>0.065</x:v>
      </x:c>
      <x:c r="K881" s="44" t="n">
        <x:f>I881*J881</x:f>
        <x:v>0.009849133671519864</x:v>
      </x:c>
      <x:c r="L881" s="46" t="n">
        <x:v>0</x:v>
      </x:c>
      <x:c r="M881" s="46" t="n">
        <x:v>0</x:v>
      </x:c>
      <x:c r="N881" s="21" t="n">
        <x:f>IF(AND(L880=1,M880=1,P880&gt;0),1,0)</x:f>
        <x:v>0</x:v>
      </x:c>
      <x:c r="O881" s="21" t="n">
        <x:f>MIN('Root Data'!I268:I270)</x:f>
        <x:v>0</x:v>
      </x:c>
      <x:c r="P881" s="44" t="n">
        <x:f>IF(AND(L881=1,M881=1,N881=1,O881&gt;=G881),K881,0)</x:f>
        <x:v>0</x:v>
      </x:c>
      <x:c r="Q881" s="21" t="str">
        <x:v>OPEN</x:v>
      </x:c>
      <x:c r="R881" s="23" t="str">
        <x:v>HOLD</x:v>
      </x:c>
    </x:row>
    <x:row r="882">
      <x:c r="B882" s="21" t="str">
        <x:v>AR-00876</x:v>
      </x:c>
      <x:c r="C882" s="21" t="str">
        <x:v>F22-I4</x:v>
      </x:c>
      <x:c r="D882" s="21" t="str">
        <x:v>F22</x:v>
      </x:c>
      <x:c r="E882" s="21" t="n">
        <x:v>6</x:v>
      </x:c>
      <x:c r="F882" s="21" t="str">
        <x:v>Representative mission result</x:v>
      </x:c>
      <x:c r="G882" s="21" t="n">
        <x:v>23</x:v>
      </x:c>
      <x:c r="H882" s="21" t="str">
        <x:v>Receiving Service Authority</x:v>
      </x:c>
      <x:c r="I882" s="44" t="n">
        <x:f>Lifecycle!G12</x:f>
        <x:v>0.250345872587127</x:v>
      </x:c>
      <x:c r="J882" s="44" t="n">
        <x:v>0.065</x:v>
      </x:c>
      <x:c r="K882" s="44" t="n">
        <x:f>I882*J882</x:f>
        <x:v>0.016272481718163253</x:v>
      </x:c>
      <x:c r="L882" s="46" t="n">
        <x:v>0</x:v>
      </x:c>
      <x:c r="M882" s="46" t="n">
        <x:v>0</x:v>
      </x:c>
      <x:c r="N882" s="21" t="n">
        <x:f>IF(AND(L881=1,M881=1,P881&gt;0),1,0)</x:f>
        <x:v>0</x:v>
      </x:c>
      <x:c r="O882" s="21" t="n">
        <x:f>MIN('Root Data'!I268:I270)</x:f>
        <x:v>0</x:v>
      </x:c>
      <x:c r="P882" s="44" t="n">
        <x:f>IF(AND(L882=1,M882=1,N882=1,O882&gt;=G882),K882,0)</x:f>
        <x:v>0</x:v>
      </x:c>
      <x:c r="Q882" s="21" t="str">
        <x:v>OPEN</x:v>
      </x:c>
      <x:c r="R882" s="23" t="str">
        <x:v>HOLD</x:v>
      </x:c>
    </x:row>
    <x:row r="883">
      <x:c r="B883" s="21" t="str">
        <x:v>AR-00877</x:v>
      </x:c>
      <x:c r="C883" s="21" t="str">
        <x:v>F22-I4</x:v>
      </x:c>
      <x:c r="D883" s="21" t="str">
        <x:v>F22</x:v>
      </x:c>
      <x:c r="E883" s="21" t="n">
        <x:v>7</x:v>
      </x:c>
      <x:c r="F883" s="21" t="str">
        <x:v>Independent reproduction</x:v>
      </x:c>
      <x:c r="G883" s="21" t="n">
        <x:v>28</x:v>
      </x:c>
      <x:c r="H883" s="21" t="str">
        <x:v>Independent Evidence and Data Authority</x:v>
      </x:c>
      <x:c r="I883" s="44" t="n">
        <x:f>Lifecycle!G13</x:f>
        <x:v>0.21740562619408393</x:v>
      </x:c>
      <x:c r="J883" s="44" t="n">
        <x:v>0.065</x:v>
      </x:c>
      <x:c r="K883" s="44" t="n">
        <x:f>I883*J883</x:f>
        <x:v>0.014131365702615457</x:v>
      </x:c>
      <x:c r="L883" s="46" t="n">
        <x:v>0</x:v>
      </x:c>
      <x:c r="M883" s="46" t="n">
        <x:v>0</x:v>
      </x:c>
      <x:c r="N883" s="21" t="n">
        <x:f>IF(AND(L882=1,M882=1,P882&gt;0),1,0)</x:f>
        <x:v>0</x:v>
      </x:c>
      <x:c r="O883" s="21" t="n">
        <x:f>MIN('Root Data'!I268:I270)</x:f>
        <x:v>0</x:v>
      </x:c>
      <x:c r="P883" s="44" t="n">
        <x:f>IF(AND(L883=1,M883=1,N883=1,O883&gt;=G883),K883,0)</x:f>
        <x:v>0</x:v>
      </x:c>
      <x:c r="Q883" s="21" t="str">
        <x:v>OPEN</x:v>
      </x:c>
      <x:c r="R883" s="23" t="str">
        <x:v>HOLD</x:v>
      </x:c>
    </x:row>
    <x:row r="884">
      <x:c r="B884" s="21" t="str">
        <x:v>AR-00878</x:v>
      </x:c>
      <x:c r="C884" s="21" t="str">
        <x:v>F22-I4</x:v>
      </x:c>
      <x:c r="D884" s="21" t="str">
        <x:v>F22</x:v>
      </x:c>
      <x:c r="E884" s="21" t="n">
        <x:v>8</x:v>
      </x:c>
      <x:c r="F884" s="21" t="str">
        <x:v>Pilot-process qualification</x:v>
      </x:c>
      <x:c r="G884" s="21" t="n">
        <x:v>28</x:v>
      </x:c>
      <x:c r="H884" s="21" t="str">
        <x:v>AIMC Industrial Mobilization Authority</x:v>
      </x:c>
      <x:c r="I884" s="44" t="n">
        <x:f>Lifecycle!G14</x:f>
        <x:v>0.03952829567165163</x:v>
      </x:c>
      <x:c r="J884" s="44" t="n">
        <x:v>0.065</x:v>
      </x:c>
      <x:c r="K884" s="44" t="n">
        <x:f>I884*J884</x:f>
        <x:v>0.002569339218657356</x:v>
      </x:c>
      <x:c r="L884" s="46" t="n">
        <x:v>0</x:v>
      </x:c>
      <x:c r="M884" s="46" t="n">
        <x:v>0</x:v>
      </x:c>
      <x:c r="N884" s="21" t="n">
        <x:f>IF(AND(L883=1,M883=1,P883&gt;0),1,0)</x:f>
        <x:v>0</x:v>
      </x:c>
      <x:c r="O884" s="21" t="n">
        <x:f>MIN('Root Data'!I268:I270)</x:f>
        <x:v>0</x:v>
      </x:c>
      <x:c r="P884" s="44" t="n">
        <x:f>IF(AND(L884=1,M884=1,N884=1,O884&gt;=G884),K884,0)</x:f>
        <x:v>0</x:v>
      </x:c>
      <x:c r="Q884" s="21" t="str">
        <x:v>OPEN</x:v>
      </x:c>
      <x:c r="R884" s="23" t="str">
        <x:v>HOLD</x:v>
      </x:c>
    </x:row>
    <x:row r="885">
      <x:c r="B885" s="21" t="str">
        <x:v>AR-00879</x:v>
      </x:c>
      <x:c r="C885" s="21" t="str">
        <x:v>F22-I4</x:v>
      </x:c>
      <x:c r="D885" s="21" t="str">
        <x:v>F22</x:v>
      </x:c>
      <x:c r="E885" s="21" t="n">
        <x:v>9</x:v>
      </x:c>
      <x:c r="F885" s="21" t="str">
        <x:v>Production release package</x:v>
      </x:c>
      <x:c r="G885" s="21" t="n">
        <x:v>28</x:v>
      </x:c>
      <x:c r="H885" s="21" t="str">
        <x:v>Production Release Board</x:v>
      </x:c>
      <x:c r="I885" s="44" t="n">
        <x:f>Lifecycle!G15</x:f>
        <x:v>0.01647012319652151</x:v>
      </x:c>
      <x:c r="J885" s="44" t="n">
        <x:v>0.065</x:v>
      </x:c>
      <x:c r="K885" s="44" t="n">
        <x:f>I885*J885</x:f>
        <x:v>0.0010705580077738982</x:v>
      </x:c>
      <x:c r="L885" s="46" t="n">
        <x:v>0</x:v>
      </x:c>
      <x:c r="M885" s="46" t="n">
        <x:v>0</x:v>
      </x:c>
      <x:c r="N885" s="21" t="n">
        <x:f>IF(AND(L884=1,M884=1,P884&gt;0),1,0)</x:f>
        <x:v>0</x:v>
      </x:c>
      <x:c r="O885" s="21" t="n">
        <x:f>MIN('Root Data'!I268:I270)</x:f>
        <x:v>0</x:v>
      </x:c>
      <x:c r="P885" s="44" t="n">
        <x:f>IF(AND(L885=1,M885=1,N885=1,O885&gt;=G885),K885,0)</x:f>
        <x:v>0</x:v>
      </x:c>
      <x:c r="Q885" s="21" t="str">
        <x:v>OPEN</x:v>
      </x:c>
      <x:c r="R885" s="23" t="str">
        <x:v>HOLD</x:v>
      </x:c>
    </x:row>
    <x:row r="886">
      <x:c r="B886" s="21" t="str">
        <x:v>AR-00880</x:v>
      </x:c>
      <x:c r="C886" s="21" t="str">
        <x:v>F22-I4</x:v>
      </x:c>
      <x:c r="D886" s="21" t="str">
        <x:v>F22</x:v>
      </x:c>
      <x:c r="E886" s="21" t="n">
        <x:v>10</x:v>
      </x:c>
      <x:c r="F886" s="21" t="str">
        <x:v>Mobilization activation</x:v>
      </x:c>
      <x:c r="G886" s="21" t="n">
        <x:v>28</x:v>
      </x:c>
      <x:c r="H886" s="21" t="str">
        <x:v>Production Release Board</x:v>
      </x:c>
      <x:c r="I886" s="44" t="n">
        <x:f>Lifecycle!G16</x:f>
        <x:v>0.028262731405230914</x:v>
      </x:c>
      <x:c r="J886" s="44" t="n">
        <x:v>0.065</x:v>
      </x:c>
      <x:c r="K886" s="44" t="n">
        <x:f>I886*J886</x:f>
        <x:v>0.0018370775413400094</x:v>
      </x:c>
      <x:c r="L886" s="46" t="n">
        <x:v>0</x:v>
      </x:c>
      <x:c r="M886" s="46" t="n">
        <x:v>0</x:v>
      </x:c>
      <x:c r="N886" s="21" t="n">
        <x:f>IF(AND(L885=1,M885=1,P885&gt;0),1,0)</x:f>
        <x:v>0</x:v>
      </x:c>
      <x:c r="O886" s="21" t="n">
        <x:f>MIN('Root Data'!I268:I270)</x:f>
        <x:v>0</x:v>
      </x:c>
      <x:c r="P886" s="44" t="n">
        <x:f>IF(AND(L886=1,M886=1,N886=1,O886&gt;=G886),K886,0)</x:f>
        <x:v>0</x:v>
      </x:c>
      <x:c r="Q886" s="21" t="str">
        <x:v>OPEN</x:v>
      </x:c>
      <x:c r="R886" s="23" t="str">
        <x:v>HOLD</x:v>
      </x:c>
    </x:row>
    <x:row r="887">
      <x:c r="B887" s="21" t="str">
        <x:v>AR-00881</x:v>
      </x:c>
      <x:c r="C887" s="21" t="str">
        <x:v>F23-I1</x:v>
      </x:c>
      <x:c r="D887" s="21" t="str">
        <x:v>F23</x:v>
      </x:c>
      <x:c r="E887" s="21" t="n">
        <x:v>1</x:v>
      </x:c>
      <x:c r="F887" s="21" t="str">
        <x:v>Civil effect charter</x:v>
      </x:c>
      <x:c r="G887" s="21" t="n">
        <x:v>0</x:v>
      </x:c>
      <x:c r="H887" s="21" t="str">
        <x:v>Civil Guarantee Authority</x:v>
      </x:c>
      <x:c r="I887" s="44" t="n">
        <x:f>Lifecycle!G7</x:f>
        <x:v>0.04941036958956453</x:v>
      </x:c>
      <x:c r="J887" s="44" t="n">
        <x:v>0.065</x:v>
      </x:c>
      <x:c r="K887" s="44" t="n">
        <x:f>I887*J887</x:f>
        <x:v>0.0032116740233216947</x:v>
      </x:c>
      <x:c r="L887" s="46" t="n">
        <x:v>0</x:v>
      </x:c>
      <x:c r="M887" s="46" t="n">
        <x:v>0</x:v>
      </x:c>
      <x:c r="N887" s="21" t="n">
        <x:f>1</x:f>
        <x:v>1</x:v>
      </x:c>
      <x:c r="O887" s="21" t="n">
        <x:f>MIN('Root Data'!I271:I273)</x:f>
        <x:v>0</x:v>
      </x:c>
      <x:c r="P887" s="44" t="n">
        <x:f>IF(AND(L887=1,M887=1,N887=1,O887&gt;=G887),K887,0)</x:f>
        <x:v>0</x:v>
      </x:c>
      <x:c r="Q887" s="21" t="str">
        <x:v>OPEN</x:v>
      </x:c>
      <x:c r="R887" s="23" t="str">
        <x:v>HOLD</x:v>
      </x:c>
    </x:row>
    <x:row r="888">
      <x:c r="B888" s="21" t="str">
        <x:v>AR-00882</x:v>
      </x:c>
      <x:c r="C888" s="21" t="str">
        <x:v>F23-I1</x:v>
      </x:c>
      <x:c r="D888" s="21" t="str">
        <x:v>F23</x:v>
      </x:c>
      <x:c r="E888" s="21" t="n">
        <x:v>2</x:v>
      </x:c>
      <x:c r="F888" s="21" t="str">
        <x:v>Requirement and root-independence package</x:v>
      </x:c>
      <x:c r="G888" s="21" t="n">
        <x:v>8</x:v>
      </x:c>
      <x:c r="H888" s="21" t="str">
        <x:v>Resilience Staff</x:v>
      </x:c>
      <x:c r="I888" s="44" t="n">
        <x:f>Lifecycle!G8</x:f>
        <x:v>0.10211476381843337</x:v>
      </x:c>
      <x:c r="J888" s="44" t="n">
        <x:v>0.065</x:v>
      </x:c>
      <x:c r="K888" s="44" t="n">
        <x:f>I888*J888</x:f>
        <x:v>0.00663745964819817</x:v>
      </x:c>
      <x:c r="L888" s="46" t="n">
        <x:v>0</x:v>
      </x:c>
      <x:c r="M888" s="46" t="n">
        <x:v>0</x:v>
      </x:c>
      <x:c r="N888" s="21" t="n">
        <x:f>IF(AND(L887=1,M887=1,P887&gt;0),1,0)</x:f>
        <x:v>0</x:v>
      </x:c>
      <x:c r="O888" s="21" t="n">
        <x:f>MIN('Root Data'!I271:I273)</x:f>
        <x:v>0</x:v>
      </x:c>
      <x:c r="P888" s="44" t="n">
        <x:f>IF(AND(L888=1,M888=1,N888=1,O888&gt;=G888),K888,0)</x:f>
        <x:v>0</x:v>
      </x:c>
      <x:c r="Q888" s="21" t="str">
        <x:v>OPEN</x:v>
      </x:c>
      <x:c r="R888" s="23" t="str">
        <x:v>HOLD</x:v>
      </x:c>
    </x:row>
    <x:row r="889">
      <x:c r="B889" s="21" t="str">
        <x:v>AR-00883</x:v>
      </x:c>
      <x:c r="C889" s="21" t="str">
        <x:v>F23-I1</x:v>
      </x:c>
      <x:c r="D889" s="21" t="str">
        <x:v>F23</x:v>
      </x:c>
      <x:c r="E889" s="21" t="n">
        <x:v>3</x:v>
      </x:c>
      <x:c r="F889" s="21" t="str">
        <x:v>Architecture and burden closure</x:v>
      </x:c>
      <x:c r="G889" s="21" t="n">
        <x:v>14</x:v>
      </x:c>
      <x:c r="H889" s="21" t="str">
        <x:v>Independent Evidence and Data Authority</x:v>
      </x:c>
      <x:c r="I889" s="44" t="n">
        <x:f>Lifecycle!G9</x:f>
        <x:v>0.08564464062191186</x:v>
      </x:c>
      <x:c r="J889" s="44" t="n">
        <x:v>0.065</x:v>
      </x:c>
      <x:c r="K889" s="44" t="n">
        <x:f>I889*J889</x:f>
        <x:v>0.005566901640424271</x:v>
      </x:c>
      <x:c r="L889" s="46" t="n">
        <x:v>0</x:v>
      </x:c>
      <x:c r="M889" s="46" t="n">
        <x:v>0</x:v>
      </x:c>
      <x:c r="N889" s="21" t="n">
        <x:f>IF(AND(L888=1,M888=1,P888&gt;0),1,0)</x:f>
        <x:v>0</x:v>
      </x:c>
      <x:c r="O889" s="21" t="n">
        <x:f>MIN('Root Data'!I271:I273)</x:f>
        <x:v>0</x:v>
      </x:c>
      <x:c r="P889" s="44" t="n">
        <x:f>IF(AND(L889=1,M889=1,N889=1,O889&gt;=G889),K889,0)</x:f>
        <x:v>0</x:v>
      </x:c>
      <x:c r="Q889" s="21" t="str">
        <x:v>OPEN</x:v>
      </x:c>
      <x:c r="R889" s="23" t="str">
        <x:v>HOLD</x:v>
      </x:c>
    </x:row>
    <x:row r="890">
      <x:c r="B890" s="21" t="str">
        <x:v>AR-00884</x:v>
      </x:c>
      <x:c r="C890" s="21" t="str">
        <x:v>F23-I1</x:v>
      </x:c>
      <x:c r="D890" s="21" t="str">
        <x:v>F23</x:v>
      </x:c>
      <x:c r="E890" s="21" t="n">
        <x:v>4</x:v>
      </x:c>
      <x:c r="F890" s="21" t="str">
        <x:v>Engineering article acceptance</x:v>
      </x:c>
      <x:c r="G890" s="21" t="n">
        <x:v>18</x:v>
      </x:c>
      <x:c r="H890" s="21" t="str">
        <x:v>Independent Evidence and Data Authority</x:v>
      </x:c>
      <x:c r="I890" s="44" t="n">
        <x:f>Lifecycle!G10</x:f>
        <x:v>0.05929244350747744</x:v>
      </x:c>
      <x:c r="J890" s="44" t="n">
        <x:v>0.065</x:v>
      </x:c>
      <x:c r="K890" s="44" t="n">
        <x:f>I890*J890</x:f>
        <x:v>0.003854008827986034</x:v>
      </x:c>
      <x:c r="L890" s="46" t="n">
        <x:v>0</x:v>
      </x:c>
      <x:c r="M890" s="46" t="n">
        <x:v>0</x:v>
      </x:c>
      <x:c r="N890" s="21" t="n">
        <x:f>IF(AND(L889=1,M889=1,P889&gt;0),1,0)</x:f>
        <x:v>0</x:v>
      </x:c>
      <x:c r="O890" s="21" t="n">
        <x:f>MIN('Root Data'!I271:I273)</x:f>
        <x:v>0</x:v>
      </x:c>
      <x:c r="P890" s="44" t="n">
        <x:f>IF(AND(L890=1,M890=1,N890=1,O890&gt;=G890),K890,0)</x:f>
        <x:v>0</x:v>
      </x:c>
      <x:c r="Q890" s="21" t="str">
        <x:v>OPEN</x:v>
      </x:c>
      <x:c r="R890" s="23" t="str">
        <x:v>HOLD</x:v>
      </x:c>
    </x:row>
    <x:row r="891">
      <x:c r="B891" s="21" t="str">
        <x:v>AR-00885</x:v>
      </x:c>
      <x:c r="C891" s="21" t="str">
        <x:v>F23-I1</x:v>
      </x:c>
      <x:c r="D891" s="21" t="str">
        <x:v>F23</x:v>
      </x:c>
      <x:c r="E891" s="21" t="n">
        <x:v>5</x:v>
      </x:c>
      <x:c r="F891" s="21" t="str">
        <x:v>Qualification and destructive evidence</x:v>
      </x:c>
      <x:c r="G891" s="21" t="n">
        <x:v>21</x:v>
      </x:c>
      <x:c r="H891" s="21" t="str">
        <x:v>Independent Evidence and Data Authority</x:v>
      </x:c>
      <x:c r="I891" s="44" t="n">
        <x:f>Lifecycle!G11</x:f>
        <x:v>0.1515251334079979</x:v>
      </x:c>
      <x:c r="J891" s="44" t="n">
        <x:v>0.065</x:v>
      </x:c>
      <x:c r="K891" s="44" t="n">
        <x:f>I891*J891</x:f>
        <x:v>0.009849133671519864</x:v>
      </x:c>
      <x:c r="L891" s="46" t="n">
        <x:v>0</x:v>
      </x:c>
      <x:c r="M891" s="46" t="n">
        <x:v>0</x:v>
      </x:c>
      <x:c r="N891" s="21" t="n">
        <x:f>IF(AND(L890=1,M890=1,P890&gt;0),1,0)</x:f>
        <x:v>0</x:v>
      </x:c>
      <x:c r="O891" s="21" t="n">
        <x:f>MIN('Root Data'!I271:I273)</x:f>
        <x:v>0</x:v>
      </x:c>
      <x:c r="P891" s="44" t="n">
        <x:f>IF(AND(L891=1,M891=1,N891=1,O891&gt;=G891),K891,0)</x:f>
        <x:v>0</x:v>
      </x:c>
      <x:c r="Q891" s="21" t="str">
        <x:v>OPEN</x:v>
      </x:c>
      <x:c r="R891" s="23" t="str">
        <x:v>HOLD</x:v>
      </x:c>
    </x:row>
    <x:row r="892">
      <x:c r="B892" s="21" t="str">
        <x:v>AR-00886</x:v>
      </x:c>
      <x:c r="C892" s="21" t="str">
        <x:v>F23-I1</x:v>
      </x:c>
      <x:c r="D892" s="21" t="str">
        <x:v>F23</x:v>
      </x:c>
      <x:c r="E892" s="21" t="n">
        <x:v>6</x:v>
      </x:c>
      <x:c r="F892" s="21" t="str">
        <x:v>Representative mission result</x:v>
      </x:c>
      <x:c r="G892" s="21" t="n">
        <x:v>23</x:v>
      </x:c>
      <x:c r="H892" s="21" t="str">
        <x:v>Receiving Service Authority</x:v>
      </x:c>
      <x:c r="I892" s="44" t="n">
        <x:f>Lifecycle!G12</x:f>
        <x:v>0.250345872587127</x:v>
      </x:c>
      <x:c r="J892" s="44" t="n">
        <x:v>0.065</x:v>
      </x:c>
      <x:c r="K892" s="44" t="n">
        <x:f>I892*J892</x:f>
        <x:v>0.016272481718163253</x:v>
      </x:c>
      <x:c r="L892" s="46" t="n">
        <x:v>0</x:v>
      </x:c>
      <x:c r="M892" s="46" t="n">
        <x:v>0</x:v>
      </x:c>
      <x:c r="N892" s="21" t="n">
        <x:f>IF(AND(L891=1,M891=1,P891&gt;0),1,0)</x:f>
        <x:v>0</x:v>
      </x:c>
      <x:c r="O892" s="21" t="n">
        <x:f>MIN('Root Data'!I271:I273)</x:f>
        <x:v>0</x:v>
      </x:c>
      <x:c r="P892" s="44" t="n">
        <x:f>IF(AND(L892=1,M892=1,N892=1,O892&gt;=G892),K892,0)</x:f>
        <x:v>0</x:v>
      </x:c>
      <x:c r="Q892" s="21" t="str">
        <x:v>OPEN</x:v>
      </x:c>
      <x:c r="R892" s="23" t="str">
        <x:v>HOLD</x:v>
      </x:c>
    </x:row>
    <x:row r="893">
      <x:c r="B893" s="21" t="str">
        <x:v>AR-00887</x:v>
      </x:c>
      <x:c r="C893" s="21" t="str">
        <x:v>F23-I1</x:v>
      </x:c>
      <x:c r="D893" s="21" t="str">
        <x:v>F23</x:v>
      </x:c>
      <x:c r="E893" s="21" t="n">
        <x:v>7</x:v>
      </x:c>
      <x:c r="F893" s="21" t="str">
        <x:v>Independent reproduction</x:v>
      </x:c>
      <x:c r="G893" s="21" t="n">
        <x:v>28</x:v>
      </x:c>
      <x:c r="H893" s="21" t="str">
        <x:v>Independent Evidence and Data Authority</x:v>
      </x:c>
      <x:c r="I893" s="44" t="n">
        <x:f>Lifecycle!G13</x:f>
        <x:v>0.21740562619408393</x:v>
      </x:c>
      <x:c r="J893" s="44" t="n">
        <x:v>0.065</x:v>
      </x:c>
      <x:c r="K893" s="44" t="n">
        <x:f>I893*J893</x:f>
        <x:v>0.014131365702615457</x:v>
      </x:c>
      <x:c r="L893" s="46" t="n">
        <x:v>0</x:v>
      </x:c>
      <x:c r="M893" s="46" t="n">
        <x:v>0</x:v>
      </x:c>
      <x:c r="N893" s="21" t="n">
        <x:f>IF(AND(L892=1,M892=1,P892&gt;0),1,0)</x:f>
        <x:v>0</x:v>
      </x:c>
      <x:c r="O893" s="21" t="n">
        <x:f>MIN('Root Data'!I271:I273)</x:f>
        <x:v>0</x:v>
      </x:c>
      <x:c r="P893" s="44" t="n">
        <x:f>IF(AND(L893=1,M893=1,N893=1,O893&gt;=G893),K893,0)</x:f>
        <x:v>0</x:v>
      </x:c>
      <x:c r="Q893" s="21" t="str">
        <x:v>OPEN</x:v>
      </x:c>
      <x:c r="R893" s="23" t="str">
        <x:v>HOLD</x:v>
      </x:c>
    </x:row>
    <x:row r="894">
      <x:c r="B894" s="21" t="str">
        <x:v>AR-00888</x:v>
      </x:c>
      <x:c r="C894" s="21" t="str">
        <x:v>F23-I1</x:v>
      </x:c>
      <x:c r="D894" s="21" t="str">
        <x:v>F23</x:v>
      </x:c>
      <x:c r="E894" s="21" t="n">
        <x:v>8</x:v>
      </x:c>
      <x:c r="F894" s="21" t="str">
        <x:v>Pilot-process qualification</x:v>
      </x:c>
      <x:c r="G894" s="21" t="n">
        <x:v>28</x:v>
      </x:c>
      <x:c r="H894" s="21" t="str">
        <x:v>AIMC Industrial Mobilization Authority</x:v>
      </x:c>
      <x:c r="I894" s="44" t="n">
        <x:f>Lifecycle!G14</x:f>
        <x:v>0.03952829567165163</x:v>
      </x:c>
      <x:c r="J894" s="44" t="n">
        <x:v>0.065</x:v>
      </x:c>
      <x:c r="K894" s="44" t="n">
        <x:f>I894*J894</x:f>
        <x:v>0.002569339218657356</x:v>
      </x:c>
      <x:c r="L894" s="46" t="n">
        <x:v>0</x:v>
      </x:c>
      <x:c r="M894" s="46" t="n">
        <x:v>0</x:v>
      </x:c>
      <x:c r="N894" s="21" t="n">
        <x:f>IF(AND(L893=1,M893=1,P893&gt;0),1,0)</x:f>
        <x:v>0</x:v>
      </x:c>
      <x:c r="O894" s="21" t="n">
        <x:f>MIN('Root Data'!I271:I273)</x:f>
        <x:v>0</x:v>
      </x:c>
      <x:c r="P894" s="44" t="n">
        <x:f>IF(AND(L894=1,M894=1,N894=1,O894&gt;=G894),K894,0)</x:f>
        <x:v>0</x:v>
      </x:c>
      <x:c r="Q894" s="21" t="str">
        <x:v>OPEN</x:v>
      </x:c>
      <x:c r="R894" s="23" t="str">
        <x:v>HOLD</x:v>
      </x:c>
    </x:row>
    <x:row r="895">
      <x:c r="B895" s="21" t="str">
        <x:v>AR-00889</x:v>
      </x:c>
      <x:c r="C895" s="21" t="str">
        <x:v>F23-I1</x:v>
      </x:c>
      <x:c r="D895" s="21" t="str">
        <x:v>F23</x:v>
      </x:c>
      <x:c r="E895" s="21" t="n">
        <x:v>9</x:v>
      </x:c>
      <x:c r="F895" s="21" t="str">
        <x:v>Production release package</x:v>
      </x:c>
      <x:c r="G895" s="21" t="n">
        <x:v>28</x:v>
      </x:c>
      <x:c r="H895" s="21" t="str">
        <x:v>Production Release Board</x:v>
      </x:c>
      <x:c r="I895" s="44" t="n">
        <x:f>Lifecycle!G15</x:f>
        <x:v>0.01647012319652151</x:v>
      </x:c>
      <x:c r="J895" s="44" t="n">
        <x:v>0.065</x:v>
      </x:c>
      <x:c r="K895" s="44" t="n">
        <x:f>I895*J895</x:f>
        <x:v>0.0010705580077738982</x:v>
      </x:c>
      <x:c r="L895" s="46" t="n">
        <x:v>0</x:v>
      </x:c>
      <x:c r="M895" s="46" t="n">
        <x:v>0</x:v>
      </x:c>
      <x:c r="N895" s="21" t="n">
        <x:f>IF(AND(L894=1,M894=1,P894&gt;0),1,0)</x:f>
        <x:v>0</x:v>
      </x:c>
      <x:c r="O895" s="21" t="n">
        <x:f>MIN('Root Data'!I271:I273)</x:f>
        <x:v>0</x:v>
      </x:c>
      <x:c r="P895" s="44" t="n">
        <x:f>IF(AND(L895=1,M895=1,N895=1,O895&gt;=G895),K895,0)</x:f>
        <x:v>0</x:v>
      </x:c>
      <x:c r="Q895" s="21" t="str">
        <x:v>OPEN</x:v>
      </x:c>
      <x:c r="R895" s="23" t="str">
        <x:v>HOLD</x:v>
      </x:c>
    </x:row>
    <x:row r="896">
      <x:c r="B896" s="21" t="str">
        <x:v>AR-00890</x:v>
      </x:c>
      <x:c r="C896" s="21" t="str">
        <x:v>F23-I1</x:v>
      </x:c>
      <x:c r="D896" s="21" t="str">
        <x:v>F23</x:v>
      </x:c>
      <x:c r="E896" s="21" t="n">
        <x:v>10</x:v>
      </x:c>
      <x:c r="F896" s="21" t="str">
        <x:v>Mobilization activation</x:v>
      </x:c>
      <x:c r="G896" s="21" t="n">
        <x:v>28</x:v>
      </x:c>
      <x:c r="H896" s="21" t="str">
        <x:v>Production Release Board</x:v>
      </x:c>
      <x:c r="I896" s="44" t="n">
        <x:f>Lifecycle!G16</x:f>
        <x:v>0.028262731405230914</x:v>
      </x:c>
      <x:c r="J896" s="44" t="n">
        <x:v>0.065</x:v>
      </x:c>
      <x:c r="K896" s="44" t="n">
        <x:f>I896*J896</x:f>
        <x:v>0.0018370775413400094</x:v>
      </x:c>
      <x:c r="L896" s="46" t="n">
        <x:v>0</x:v>
      </x:c>
      <x:c r="M896" s="46" t="n">
        <x:v>0</x:v>
      </x:c>
      <x:c r="N896" s="21" t="n">
        <x:f>IF(AND(L895=1,M895=1,P895&gt;0),1,0)</x:f>
        <x:v>0</x:v>
      </x:c>
      <x:c r="O896" s="21" t="n">
        <x:f>MIN('Root Data'!I271:I273)</x:f>
        <x:v>0</x:v>
      </x:c>
      <x:c r="P896" s="44" t="n">
        <x:f>IF(AND(L896=1,M896=1,N896=1,O896&gt;=G896),K896,0)</x:f>
        <x:v>0</x:v>
      </x:c>
      <x:c r="Q896" s="21" t="str">
        <x:v>OPEN</x:v>
      </x:c>
      <x:c r="R896" s="23" t="str">
        <x:v>HOLD</x:v>
      </x:c>
    </x:row>
    <x:row r="897">
      <x:c r="B897" s="21" t="str">
        <x:v>AR-00891</x:v>
      </x:c>
      <x:c r="C897" s="21" t="str">
        <x:v>F23-I2</x:v>
      </x:c>
      <x:c r="D897" s="21" t="str">
        <x:v>F23</x:v>
      </x:c>
      <x:c r="E897" s="21" t="n">
        <x:v>1</x:v>
      </x:c>
      <x:c r="F897" s="21" t="str">
        <x:v>Civil effect charter</x:v>
      </x:c>
      <x:c r="G897" s="21" t="n">
        <x:v>0</x:v>
      </x:c>
      <x:c r="H897" s="21" t="str">
        <x:v>Civil Guarantee Authority</x:v>
      </x:c>
      <x:c r="I897" s="44" t="n">
        <x:f>Lifecycle!G7</x:f>
        <x:v>0.04941036958956453</x:v>
      </x:c>
      <x:c r="J897" s="44" t="n">
        <x:v>0.065</x:v>
      </x:c>
      <x:c r="K897" s="44" t="n">
        <x:f>I897*J897</x:f>
        <x:v>0.0032116740233216947</x:v>
      </x:c>
      <x:c r="L897" s="46" t="n">
        <x:v>0</x:v>
      </x:c>
      <x:c r="M897" s="46" t="n">
        <x:v>0</x:v>
      </x:c>
      <x:c r="N897" s="21" t="n">
        <x:f>1</x:f>
        <x:v>1</x:v>
      </x:c>
      <x:c r="O897" s="21" t="n">
        <x:f>MIN('Root Data'!I274:I276)</x:f>
        <x:v>0</x:v>
      </x:c>
      <x:c r="P897" s="44" t="n">
        <x:f>IF(AND(L897=1,M897=1,N897=1,O897&gt;=G897),K897,0)</x:f>
        <x:v>0</x:v>
      </x:c>
      <x:c r="Q897" s="21" t="str">
        <x:v>OPEN</x:v>
      </x:c>
      <x:c r="R897" s="23" t="str">
        <x:v>HOLD</x:v>
      </x:c>
    </x:row>
    <x:row r="898">
      <x:c r="B898" s="21" t="str">
        <x:v>AR-00892</x:v>
      </x:c>
      <x:c r="C898" s="21" t="str">
        <x:v>F23-I2</x:v>
      </x:c>
      <x:c r="D898" s="21" t="str">
        <x:v>F23</x:v>
      </x:c>
      <x:c r="E898" s="21" t="n">
        <x:v>2</x:v>
      </x:c>
      <x:c r="F898" s="21" t="str">
        <x:v>Requirement and root-independence package</x:v>
      </x:c>
      <x:c r="G898" s="21" t="n">
        <x:v>8</x:v>
      </x:c>
      <x:c r="H898" s="21" t="str">
        <x:v>Resilience Staff</x:v>
      </x:c>
      <x:c r="I898" s="44" t="n">
        <x:f>Lifecycle!G8</x:f>
        <x:v>0.10211476381843337</x:v>
      </x:c>
      <x:c r="J898" s="44" t="n">
        <x:v>0.065</x:v>
      </x:c>
      <x:c r="K898" s="44" t="n">
        <x:f>I898*J898</x:f>
        <x:v>0.00663745964819817</x:v>
      </x:c>
      <x:c r="L898" s="46" t="n">
        <x:v>0</x:v>
      </x:c>
      <x:c r="M898" s="46" t="n">
        <x:v>0</x:v>
      </x:c>
      <x:c r="N898" s="21" t="n">
        <x:f>IF(AND(L897=1,M897=1,P897&gt;0),1,0)</x:f>
        <x:v>0</x:v>
      </x:c>
      <x:c r="O898" s="21" t="n">
        <x:f>MIN('Root Data'!I274:I276)</x:f>
        <x:v>0</x:v>
      </x:c>
      <x:c r="P898" s="44" t="n">
        <x:f>IF(AND(L898=1,M898=1,N898=1,O898&gt;=G898),K898,0)</x:f>
        <x:v>0</x:v>
      </x:c>
      <x:c r="Q898" s="21" t="str">
        <x:v>OPEN</x:v>
      </x:c>
      <x:c r="R898" s="23" t="str">
        <x:v>HOLD</x:v>
      </x:c>
    </x:row>
    <x:row r="899">
      <x:c r="B899" s="21" t="str">
        <x:v>AR-00893</x:v>
      </x:c>
      <x:c r="C899" s="21" t="str">
        <x:v>F23-I2</x:v>
      </x:c>
      <x:c r="D899" s="21" t="str">
        <x:v>F23</x:v>
      </x:c>
      <x:c r="E899" s="21" t="n">
        <x:v>3</x:v>
      </x:c>
      <x:c r="F899" s="21" t="str">
        <x:v>Architecture and burden closure</x:v>
      </x:c>
      <x:c r="G899" s="21" t="n">
        <x:v>14</x:v>
      </x:c>
      <x:c r="H899" s="21" t="str">
        <x:v>Independent Evidence and Data Authority</x:v>
      </x:c>
      <x:c r="I899" s="44" t="n">
        <x:f>Lifecycle!G9</x:f>
        <x:v>0.08564464062191186</x:v>
      </x:c>
      <x:c r="J899" s="44" t="n">
        <x:v>0.065</x:v>
      </x:c>
      <x:c r="K899" s="44" t="n">
        <x:f>I899*J899</x:f>
        <x:v>0.005566901640424271</x:v>
      </x:c>
      <x:c r="L899" s="46" t="n">
        <x:v>0</x:v>
      </x:c>
      <x:c r="M899" s="46" t="n">
        <x:v>0</x:v>
      </x:c>
      <x:c r="N899" s="21" t="n">
        <x:f>IF(AND(L898=1,M898=1,P898&gt;0),1,0)</x:f>
        <x:v>0</x:v>
      </x:c>
      <x:c r="O899" s="21" t="n">
        <x:f>MIN('Root Data'!I274:I276)</x:f>
        <x:v>0</x:v>
      </x:c>
      <x:c r="P899" s="44" t="n">
        <x:f>IF(AND(L899=1,M899=1,N899=1,O899&gt;=G899),K899,0)</x:f>
        <x:v>0</x:v>
      </x:c>
      <x:c r="Q899" s="21" t="str">
        <x:v>OPEN</x:v>
      </x:c>
      <x:c r="R899" s="23" t="str">
        <x:v>HOLD</x:v>
      </x:c>
    </x:row>
    <x:row r="900">
      <x:c r="B900" s="21" t="str">
        <x:v>AR-00894</x:v>
      </x:c>
      <x:c r="C900" s="21" t="str">
        <x:v>F23-I2</x:v>
      </x:c>
      <x:c r="D900" s="21" t="str">
        <x:v>F23</x:v>
      </x:c>
      <x:c r="E900" s="21" t="n">
        <x:v>4</x:v>
      </x:c>
      <x:c r="F900" s="21" t="str">
        <x:v>Engineering article acceptance</x:v>
      </x:c>
      <x:c r="G900" s="21" t="n">
        <x:v>18</x:v>
      </x:c>
      <x:c r="H900" s="21" t="str">
        <x:v>Independent Evidence and Data Authority</x:v>
      </x:c>
      <x:c r="I900" s="44" t="n">
        <x:f>Lifecycle!G10</x:f>
        <x:v>0.05929244350747744</x:v>
      </x:c>
      <x:c r="J900" s="44" t="n">
        <x:v>0.065</x:v>
      </x:c>
      <x:c r="K900" s="44" t="n">
        <x:f>I900*J900</x:f>
        <x:v>0.003854008827986034</x:v>
      </x:c>
      <x:c r="L900" s="46" t="n">
        <x:v>0</x:v>
      </x:c>
      <x:c r="M900" s="46" t="n">
        <x:v>0</x:v>
      </x:c>
      <x:c r="N900" s="21" t="n">
        <x:f>IF(AND(L899=1,M899=1,P899&gt;0),1,0)</x:f>
        <x:v>0</x:v>
      </x:c>
      <x:c r="O900" s="21" t="n">
        <x:f>MIN('Root Data'!I274:I276)</x:f>
        <x:v>0</x:v>
      </x:c>
      <x:c r="P900" s="44" t="n">
        <x:f>IF(AND(L900=1,M900=1,N900=1,O900&gt;=G900),K900,0)</x:f>
        <x:v>0</x:v>
      </x:c>
      <x:c r="Q900" s="21" t="str">
        <x:v>OPEN</x:v>
      </x:c>
      <x:c r="R900" s="23" t="str">
        <x:v>HOLD</x:v>
      </x:c>
    </x:row>
    <x:row r="901">
      <x:c r="B901" s="21" t="str">
        <x:v>AR-00895</x:v>
      </x:c>
      <x:c r="C901" s="21" t="str">
        <x:v>F23-I2</x:v>
      </x:c>
      <x:c r="D901" s="21" t="str">
        <x:v>F23</x:v>
      </x:c>
      <x:c r="E901" s="21" t="n">
        <x:v>5</x:v>
      </x:c>
      <x:c r="F901" s="21" t="str">
        <x:v>Qualification and destructive evidence</x:v>
      </x:c>
      <x:c r="G901" s="21" t="n">
        <x:v>21</x:v>
      </x:c>
      <x:c r="H901" s="21" t="str">
        <x:v>Independent Evidence and Data Authority</x:v>
      </x:c>
      <x:c r="I901" s="44" t="n">
        <x:f>Lifecycle!G11</x:f>
        <x:v>0.1515251334079979</x:v>
      </x:c>
      <x:c r="J901" s="44" t="n">
        <x:v>0.065</x:v>
      </x:c>
      <x:c r="K901" s="44" t="n">
        <x:f>I901*J901</x:f>
        <x:v>0.009849133671519864</x:v>
      </x:c>
      <x:c r="L901" s="46" t="n">
        <x:v>0</x:v>
      </x:c>
      <x:c r="M901" s="46" t="n">
        <x:v>0</x:v>
      </x:c>
      <x:c r="N901" s="21" t="n">
        <x:f>IF(AND(L900=1,M900=1,P900&gt;0),1,0)</x:f>
        <x:v>0</x:v>
      </x:c>
      <x:c r="O901" s="21" t="n">
        <x:f>MIN('Root Data'!I274:I276)</x:f>
        <x:v>0</x:v>
      </x:c>
      <x:c r="P901" s="44" t="n">
        <x:f>IF(AND(L901=1,M901=1,N901=1,O901&gt;=G901),K901,0)</x:f>
        <x:v>0</x:v>
      </x:c>
      <x:c r="Q901" s="21" t="str">
        <x:v>OPEN</x:v>
      </x:c>
      <x:c r="R901" s="23" t="str">
        <x:v>HOLD</x:v>
      </x:c>
    </x:row>
    <x:row r="902">
      <x:c r="B902" s="21" t="str">
        <x:v>AR-00896</x:v>
      </x:c>
      <x:c r="C902" s="21" t="str">
        <x:v>F23-I2</x:v>
      </x:c>
      <x:c r="D902" s="21" t="str">
        <x:v>F23</x:v>
      </x:c>
      <x:c r="E902" s="21" t="n">
        <x:v>6</x:v>
      </x:c>
      <x:c r="F902" s="21" t="str">
        <x:v>Representative mission result</x:v>
      </x:c>
      <x:c r="G902" s="21" t="n">
        <x:v>23</x:v>
      </x:c>
      <x:c r="H902" s="21" t="str">
        <x:v>Receiving Service Authority</x:v>
      </x:c>
      <x:c r="I902" s="44" t="n">
        <x:f>Lifecycle!G12</x:f>
        <x:v>0.250345872587127</x:v>
      </x:c>
      <x:c r="J902" s="44" t="n">
        <x:v>0.065</x:v>
      </x:c>
      <x:c r="K902" s="44" t="n">
        <x:f>I902*J902</x:f>
        <x:v>0.016272481718163253</x:v>
      </x:c>
      <x:c r="L902" s="46" t="n">
        <x:v>0</x:v>
      </x:c>
      <x:c r="M902" s="46" t="n">
        <x:v>0</x:v>
      </x:c>
      <x:c r="N902" s="21" t="n">
        <x:f>IF(AND(L901=1,M901=1,P901&gt;0),1,0)</x:f>
        <x:v>0</x:v>
      </x:c>
      <x:c r="O902" s="21" t="n">
        <x:f>MIN('Root Data'!I274:I276)</x:f>
        <x:v>0</x:v>
      </x:c>
      <x:c r="P902" s="44" t="n">
        <x:f>IF(AND(L902=1,M902=1,N902=1,O902&gt;=G902),K902,0)</x:f>
        <x:v>0</x:v>
      </x:c>
      <x:c r="Q902" s="21" t="str">
        <x:v>OPEN</x:v>
      </x:c>
      <x:c r="R902" s="23" t="str">
        <x:v>HOLD</x:v>
      </x:c>
    </x:row>
    <x:row r="903">
      <x:c r="B903" s="21" t="str">
        <x:v>AR-00897</x:v>
      </x:c>
      <x:c r="C903" s="21" t="str">
        <x:v>F23-I2</x:v>
      </x:c>
      <x:c r="D903" s="21" t="str">
        <x:v>F23</x:v>
      </x:c>
      <x:c r="E903" s="21" t="n">
        <x:v>7</x:v>
      </x:c>
      <x:c r="F903" s="21" t="str">
        <x:v>Independent reproduction</x:v>
      </x:c>
      <x:c r="G903" s="21" t="n">
        <x:v>28</x:v>
      </x:c>
      <x:c r="H903" s="21" t="str">
        <x:v>Independent Evidence and Data Authority</x:v>
      </x:c>
      <x:c r="I903" s="44" t="n">
        <x:f>Lifecycle!G13</x:f>
        <x:v>0.21740562619408393</x:v>
      </x:c>
      <x:c r="J903" s="44" t="n">
        <x:v>0.065</x:v>
      </x:c>
      <x:c r="K903" s="44" t="n">
        <x:f>I903*J903</x:f>
        <x:v>0.014131365702615457</x:v>
      </x:c>
      <x:c r="L903" s="46" t="n">
        <x:v>0</x:v>
      </x:c>
      <x:c r="M903" s="46" t="n">
        <x:v>0</x:v>
      </x:c>
      <x:c r="N903" s="21" t="n">
        <x:f>IF(AND(L902=1,M902=1,P902&gt;0),1,0)</x:f>
        <x:v>0</x:v>
      </x:c>
      <x:c r="O903" s="21" t="n">
        <x:f>MIN('Root Data'!I274:I276)</x:f>
        <x:v>0</x:v>
      </x:c>
      <x:c r="P903" s="44" t="n">
        <x:f>IF(AND(L903=1,M903=1,N903=1,O903&gt;=G903),K903,0)</x:f>
        <x:v>0</x:v>
      </x:c>
      <x:c r="Q903" s="21" t="str">
        <x:v>OPEN</x:v>
      </x:c>
      <x:c r="R903" s="23" t="str">
        <x:v>HOLD</x:v>
      </x:c>
    </x:row>
    <x:row r="904">
      <x:c r="B904" s="21" t="str">
        <x:v>AR-00898</x:v>
      </x:c>
      <x:c r="C904" s="21" t="str">
        <x:v>F23-I2</x:v>
      </x:c>
      <x:c r="D904" s="21" t="str">
        <x:v>F23</x:v>
      </x:c>
      <x:c r="E904" s="21" t="n">
        <x:v>8</x:v>
      </x:c>
      <x:c r="F904" s="21" t="str">
        <x:v>Pilot-process qualification</x:v>
      </x:c>
      <x:c r="G904" s="21" t="n">
        <x:v>28</x:v>
      </x:c>
      <x:c r="H904" s="21" t="str">
        <x:v>AIMC Industrial Mobilization Authority</x:v>
      </x:c>
      <x:c r="I904" s="44" t="n">
        <x:f>Lifecycle!G14</x:f>
        <x:v>0.03952829567165163</x:v>
      </x:c>
      <x:c r="J904" s="44" t="n">
        <x:v>0.065</x:v>
      </x:c>
      <x:c r="K904" s="44" t="n">
        <x:f>I904*J904</x:f>
        <x:v>0.002569339218657356</x:v>
      </x:c>
      <x:c r="L904" s="46" t="n">
        <x:v>0</x:v>
      </x:c>
      <x:c r="M904" s="46" t="n">
        <x:v>0</x:v>
      </x:c>
      <x:c r="N904" s="21" t="n">
        <x:f>IF(AND(L903=1,M903=1,P903&gt;0),1,0)</x:f>
        <x:v>0</x:v>
      </x:c>
      <x:c r="O904" s="21" t="n">
        <x:f>MIN('Root Data'!I274:I276)</x:f>
        <x:v>0</x:v>
      </x:c>
      <x:c r="P904" s="44" t="n">
        <x:f>IF(AND(L904=1,M904=1,N904=1,O904&gt;=G904),K904,0)</x:f>
        <x:v>0</x:v>
      </x:c>
      <x:c r="Q904" s="21" t="str">
        <x:v>OPEN</x:v>
      </x:c>
      <x:c r="R904" s="23" t="str">
        <x:v>HOLD</x:v>
      </x:c>
    </x:row>
    <x:row r="905">
      <x:c r="B905" s="21" t="str">
        <x:v>AR-00899</x:v>
      </x:c>
      <x:c r="C905" s="21" t="str">
        <x:v>F23-I2</x:v>
      </x:c>
      <x:c r="D905" s="21" t="str">
        <x:v>F23</x:v>
      </x:c>
      <x:c r="E905" s="21" t="n">
        <x:v>9</x:v>
      </x:c>
      <x:c r="F905" s="21" t="str">
        <x:v>Production release package</x:v>
      </x:c>
      <x:c r="G905" s="21" t="n">
        <x:v>28</x:v>
      </x:c>
      <x:c r="H905" s="21" t="str">
        <x:v>Production Release Board</x:v>
      </x:c>
      <x:c r="I905" s="44" t="n">
        <x:f>Lifecycle!G15</x:f>
        <x:v>0.01647012319652151</x:v>
      </x:c>
      <x:c r="J905" s="44" t="n">
        <x:v>0.065</x:v>
      </x:c>
      <x:c r="K905" s="44" t="n">
        <x:f>I905*J905</x:f>
        <x:v>0.0010705580077738982</x:v>
      </x:c>
      <x:c r="L905" s="46" t="n">
        <x:v>0</x:v>
      </x:c>
      <x:c r="M905" s="46" t="n">
        <x:v>0</x:v>
      </x:c>
      <x:c r="N905" s="21" t="n">
        <x:f>IF(AND(L904=1,M904=1,P904&gt;0),1,0)</x:f>
        <x:v>0</x:v>
      </x:c>
      <x:c r="O905" s="21" t="n">
        <x:f>MIN('Root Data'!I274:I276)</x:f>
        <x:v>0</x:v>
      </x:c>
      <x:c r="P905" s="44" t="n">
        <x:f>IF(AND(L905=1,M905=1,N905=1,O905&gt;=G905),K905,0)</x:f>
        <x:v>0</x:v>
      </x:c>
      <x:c r="Q905" s="21" t="str">
        <x:v>OPEN</x:v>
      </x:c>
      <x:c r="R905" s="23" t="str">
        <x:v>HOLD</x:v>
      </x:c>
    </x:row>
    <x:row r="906">
      <x:c r="B906" s="21" t="str">
        <x:v>AR-00900</x:v>
      </x:c>
      <x:c r="C906" s="21" t="str">
        <x:v>F23-I2</x:v>
      </x:c>
      <x:c r="D906" s="21" t="str">
        <x:v>F23</x:v>
      </x:c>
      <x:c r="E906" s="21" t="n">
        <x:v>10</x:v>
      </x:c>
      <x:c r="F906" s="21" t="str">
        <x:v>Mobilization activation</x:v>
      </x:c>
      <x:c r="G906" s="21" t="n">
        <x:v>28</x:v>
      </x:c>
      <x:c r="H906" s="21" t="str">
        <x:v>Production Release Board</x:v>
      </x:c>
      <x:c r="I906" s="44" t="n">
        <x:f>Lifecycle!G16</x:f>
        <x:v>0.028262731405230914</x:v>
      </x:c>
      <x:c r="J906" s="44" t="n">
        <x:v>0.065</x:v>
      </x:c>
      <x:c r="K906" s="44" t="n">
        <x:f>I906*J906</x:f>
        <x:v>0.0018370775413400094</x:v>
      </x:c>
      <x:c r="L906" s="46" t="n">
        <x:v>0</x:v>
      </x:c>
      <x:c r="M906" s="46" t="n">
        <x:v>0</x:v>
      </x:c>
      <x:c r="N906" s="21" t="n">
        <x:f>IF(AND(L905=1,M905=1,P905&gt;0),1,0)</x:f>
        <x:v>0</x:v>
      </x:c>
      <x:c r="O906" s="21" t="n">
        <x:f>MIN('Root Data'!I274:I276)</x:f>
        <x:v>0</x:v>
      </x:c>
      <x:c r="P906" s="44" t="n">
        <x:f>IF(AND(L906=1,M906=1,N906=1,O906&gt;=G906),K906,0)</x:f>
        <x:v>0</x:v>
      </x:c>
      <x:c r="Q906" s="21" t="str">
        <x:v>OPEN</x:v>
      </x:c>
      <x:c r="R906" s="23" t="str">
        <x:v>HOLD</x:v>
      </x:c>
    </x:row>
    <x:row r="907">
      <x:c r="B907" s="21" t="str">
        <x:v>AR-00901</x:v>
      </x:c>
      <x:c r="C907" s="21" t="str">
        <x:v>F23-I3</x:v>
      </x:c>
      <x:c r="D907" s="21" t="str">
        <x:v>F23</x:v>
      </x:c>
      <x:c r="E907" s="21" t="n">
        <x:v>1</x:v>
      </x:c>
      <x:c r="F907" s="21" t="str">
        <x:v>Civil effect charter</x:v>
      </x:c>
      <x:c r="G907" s="21" t="n">
        <x:v>0</x:v>
      </x:c>
      <x:c r="H907" s="21" t="str">
        <x:v>Civil Guarantee Authority</x:v>
      </x:c>
      <x:c r="I907" s="44" t="n">
        <x:f>Lifecycle!G7</x:f>
        <x:v>0.04941036958956453</x:v>
      </x:c>
      <x:c r="J907" s="44" t="n">
        <x:v>0.065</x:v>
      </x:c>
      <x:c r="K907" s="44" t="n">
        <x:f>I907*J907</x:f>
        <x:v>0.0032116740233216947</x:v>
      </x:c>
      <x:c r="L907" s="46" t="n">
        <x:v>0</x:v>
      </x:c>
      <x:c r="M907" s="46" t="n">
        <x:v>0</x:v>
      </x:c>
      <x:c r="N907" s="21" t="n">
        <x:f>1</x:f>
        <x:v>1</x:v>
      </x:c>
      <x:c r="O907" s="21" t="n">
        <x:f>MIN('Root Data'!I277:I279)</x:f>
        <x:v>0</x:v>
      </x:c>
      <x:c r="P907" s="44" t="n">
        <x:f>IF(AND(L907=1,M907=1,N907=1,O907&gt;=G907),K907,0)</x:f>
        <x:v>0</x:v>
      </x:c>
      <x:c r="Q907" s="21" t="str">
        <x:v>OPEN</x:v>
      </x:c>
      <x:c r="R907" s="23" t="str">
        <x:v>HOLD</x:v>
      </x:c>
    </x:row>
    <x:row r="908">
      <x:c r="B908" s="21" t="str">
        <x:v>AR-00902</x:v>
      </x:c>
      <x:c r="C908" s="21" t="str">
        <x:v>F23-I3</x:v>
      </x:c>
      <x:c r="D908" s="21" t="str">
        <x:v>F23</x:v>
      </x:c>
      <x:c r="E908" s="21" t="n">
        <x:v>2</x:v>
      </x:c>
      <x:c r="F908" s="21" t="str">
        <x:v>Requirement and root-independence package</x:v>
      </x:c>
      <x:c r="G908" s="21" t="n">
        <x:v>8</x:v>
      </x:c>
      <x:c r="H908" s="21" t="str">
        <x:v>Resilience Staff</x:v>
      </x:c>
      <x:c r="I908" s="44" t="n">
        <x:f>Lifecycle!G8</x:f>
        <x:v>0.10211476381843337</x:v>
      </x:c>
      <x:c r="J908" s="44" t="n">
        <x:v>0.065</x:v>
      </x:c>
      <x:c r="K908" s="44" t="n">
        <x:f>I908*J908</x:f>
        <x:v>0.00663745964819817</x:v>
      </x:c>
      <x:c r="L908" s="46" t="n">
        <x:v>0</x:v>
      </x:c>
      <x:c r="M908" s="46" t="n">
        <x:v>0</x:v>
      </x:c>
      <x:c r="N908" s="21" t="n">
        <x:f>IF(AND(L907=1,M907=1,P907&gt;0),1,0)</x:f>
        <x:v>0</x:v>
      </x:c>
      <x:c r="O908" s="21" t="n">
        <x:f>MIN('Root Data'!I277:I279)</x:f>
        <x:v>0</x:v>
      </x:c>
      <x:c r="P908" s="44" t="n">
        <x:f>IF(AND(L908=1,M908=1,N908=1,O908&gt;=G908),K908,0)</x:f>
        <x:v>0</x:v>
      </x:c>
      <x:c r="Q908" s="21" t="str">
        <x:v>OPEN</x:v>
      </x:c>
      <x:c r="R908" s="23" t="str">
        <x:v>HOLD</x:v>
      </x:c>
    </x:row>
    <x:row r="909">
      <x:c r="B909" s="21" t="str">
        <x:v>AR-00903</x:v>
      </x:c>
      <x:c r="C909" s="21" t="str">
        <x:v>F23-I3</x:v>
      </x:c>
      <x:c r="D909" s="21" t="str">
        <x:v>F23</x:v>
      </x:c>
      <x:c r="E909" s="21" t="n">
        <x:v>3</x:v>
      </x:c>
      <x:c r="F909" s="21" t="str">
        <x:v>Architecture and burden closure</x:v>
      </x:c>
      <x:c r="G909" s="21" t="n">
        <x:v>14</x:v>
      </x:c>
      <x:c r="H909" s="21" t="str">
        <x:v>Independent Evidence and Data Authority</x:v>
      </x:c>
      <x:c r="I909" s="44" t="n">
        <x:f>Lifecycle!G9</x:f>
        <x:v>0.08564464062191186</x:v>
      </x:c>
      <x:c r="J909" s="44" t="n">
        <x:v>0.065</x:v>
      </x:c>
      <x:c r="K909" s="44" t="n">
        <x:f>I909*J909</x:f>
        <x:v>0.005566901640424271</x:v>
      </x:c>
      <x:c r="L909" s="46" t="n">
        <x:v>0</x:v>
      </x:c>
      <x:c r="M909" s="46" t="n">
        <x:v>0</x:v>
      </x:c>
      <x:c r="N909" s="21" t="n">
        <x:f>IF(AND(L908=1,M908=1,P908&gt;0),1,0)</x:f>
        <x:v>0</x:v>
      </x:c>
      <x:c r="O909" s="21" t="n">
        <x:f>MIN('Root Data'!I277:I279)</x:f>
        <x:v>0</x:v>
      </x:c>
      <x:c r="P909" s="44" t="n">
        <x:f>IF(AND(L909=1,M909=1,N909=1,O909&gt;=G909),K909,0)</x:f>
        <x:v>0</x:v>
      </x:c>
      <x:c r="Q909" s="21" t="str">
        <x:v>OPEN</x:v>
      </x:c>
      <x:c r="R909" s="23" t="str">
        <x:v>HOLD</x:v>
      </x:c>
    </x:row>
    <x:row r="910">
      <x:c r="B910" s="21" t="str">
        <x:v>AR-00904</x:v>
      </x:c>
      <x:c r="C910" s="21" t="str">
        <x:v>F23-I3</x:v>
      </x:c>
      <x:c r="D910" s="21" t="str">
        <x:v>F23</x:v>
      </x:c>
      <x:c r="E910" s="21" t="n">
        <x:v>4</x:v>
      </x:c>
      <x:c r="F910" s="21" t="str">
        <x:v>Engineering article acceptance</x:v>
      </x:c>
      <x:c r="G910" s="21" t="n">
        <x:v>18</x:v>
      </x:c>
      <x:c r="H910" s="21" t="str">
        <x:v>Independent Evidence and Data Authority</x:v>
      </x:c>
      <x:c r="I910" s="44" t="n">
        <x:f>Lifecycle!G10</x:f>
        <x:v>0.05929244350747744</x:v>
      </x:c>
      <x:c r="J910" s="44" t="n">
        <x:v>0.065</x:v>
      </x:c>
      <x:c r="K910" s="44" t="n">
        <x:f>I910*J910</x:f>
        <x:v>0.003854008827986034</x:v>
      </x:c>
      <x:c r="L910" s="46" t="n">
        <x:v>0</x:v>
      </x:c>
      <x:c r="M910" s="46" t="n">
        <x:v>0</x:v>
      </x:c>
      <x:c r="N910" s="21" t="n">
        <x:f>IF(AND(L909=1,M909=1,P909&gt;0),1,0)</x:f>
        <x:v>0</x:v>
      </x:c>
      <x:c r="O910" s="21" t="n">
        <x:f>MIN('Root Data'!I277:I279)</x:f>
        <x:v>0</x:v>
      </x:c>
      <x:c r="P910" s="44" t="n">
        <x:f>IF(AND(L910=1,M910=1,N910=1,O910&gt;=G910),K910,0)</x:f>
        <x:v>0</x:v>
      </x:c>
      <x:c r="Q910" s="21" t="str">
        <x:v>OPEN</x:v>
      </x:c>
      <x:c r="R910" s="23" t="str">
        <x:v>HOLD</x:v>
      </x:c>
    </x:row>
    <x:row r="911">
      <x:c r="B911" s="21" t="str">
        <x:v>AR-00905</x:v>
      </x:c>
      <x:c r="C911" s="21" t="str">
        <x:v>F23-I3</x:v>
      </x:c>
      <x:c r="D911" s="21" t="str">
        <x:v>F23</x:v>
      </x:c>
      <x:c r="E911" s="21" t="n">
        <x:v>5</x:v>
      </x:c>
      <x:c r="F911" s="21" t="str">
        <x:v>Qualification and destructive evidence</x:v>
      </x:c>
      <x:c r="G911" s="21" t="n">
        <x:v>21</x:v>
      </x:c>
      <x:c r="H911" s="21" t="str">
        <x:v>Independent Evidence and Data Authority</x:v>
      </x:c>
      <x:c r="I911" s="44" t="n">
        <x:f>Lifecycle!G11</x:f>
        <x:v>0.1515251334079979</x:v>
      </x:c>
      <x:c r="J911" s="44" t="n">
        <x:v>0.065</x:v>
      </x:c>
      <x:c r="K911" s="44" t="n">
        <x:f>I911*J911</x:f>
        <x:v>0.009849133671519864</x:v>
      </x:c>
      <x:c r="L911" s="46" t="n">
        <x:v>0</x:v>
      </x:c>
      <x:c r="M911" s="46" t="n">
        <x:v>0</x:v>
      </x:c>
      <x:c r="N911" s="21" t="n">
        <x:f>IF(AND(L910=1,M910=1,P910&gt;0),1,0)</x:f>
        <x:v>0</x:v>
      </x:c>
      <x:c r="O911" s="21" t="n">
        <x:f>MIN('Root Data'!I277:I279)</x:f>
        <x:v>0</x:v>
      </x:c>
      <x:c r="P911" s="44" t="n">
        <x:f>IF(AND(L911=1,M911=1,N911=1,O911&gt;=G911),K911,0)</x:f>
        <x:v>0</x:v>
      </x:c>
      <x:c r="Q911" s="21" t="str">
        <x:v>OPEN</x:v>
      </x:c>
      <x:c r="R911" s="23" t="str">
        <x:v>HOLD</x:v>
      </x:c>
    </x:row>
    <x:row r="912">
      <x:c r="B912" s="21" t="str">
        <x:v>AR-00906</x:v>
      </x:c>
      <x:c r="C912" s="21" t="str">
        <x:v>F23-I3</x:v>
      </x:c>
      <x:c r="D912" s="21" t="str">
        <x:v>F23</x:v>
      </x:c>
      <x:c r="E912" s="21" t="n">
        <x:v>6</x:v>
      </x:c>
      <x:c r="F912" s="21" t="str">
        <x:v>Representative mission result</x:v>
      </x:c>
      <x:c r="G912" s="21" t="n">
        <x:v>23</x:v>
      </x:c>
      <x:c r="H912" s="21" t="str">
        <x:v>Receiving Service Authority</x:v>
      </x:c>
      <x:c r="I912" s="44" t="n">
        <x:f>Lifecycle!G12</x:f>
        <x:v>0.250345872587127</x:v>
      </x:c>
      <x:c r="J912" s="44" t="n">
        <x:v>0.065</x:v>
      </x:c>
      <x:c r="K912" s="44" t="n">
        <x:f>I912*J912</x:f>
        <x:v>0.016272481718163253</x:v>
      </x:c>
      <x:c r="L912" s="46" t="n">
        <x:v>0</x:v>
      </x:c>
      <x:c r="M912" s="46" t="n">
        <x:v>0</x:v>
      </x:c>
      <x:c r="N912" s="21" t="n">
        <x:f>IF(AND(L911=1,M911=1,P911&gt;0),1,0)</x:f>
        <x:v>0</x:v>
      </x:c>
      <x:c r="O912" s="21" t="n">
        <x:f>MIN('Root Data'!I277:I279)</x:f>
        <x:v>0</x:v>
      </x:c>
      <x:c r="P912" s="44" t="n">
        <x:f>IF(AND(L912=1,M912=1,N912=1,O912&gt;=G912),K912,0)</x:f>
        <x:v>0</x:v>
      </x:c>
      <x:c r="Q912" s="21" t="str">
        <x:v>OPEN</x:v>
      </x:c>
      <x:c r="R912" s="23" t="str">
        <x:v>HOLD</x:v>
      </x:c>
    </x:row>
    <x:row r="913">
      <x:c r="B913" s="21" t="str">
        <x:v>AR-00907</x:v>
      </x:c>
      <x:c r="C913" s="21" t="str">
        <x:v>F23-I3</x:v>
      </x:c>
      <x:c r="D913" s="21" t="str">
        <x:v>F23</x:v>
      </x:c>
      <x:c r="E913" s="21" t="n">
        <x:v>7</x:v>
      </x:c>
      <x:c r="F913" s="21" t="str">
        <x:v>Independent reproduction</x:v>
      </x:c>
      <x:c r="G913" s="21" t="n">
        <x:v>28</x:v>
      </x:c>
      <x:c r="H913" s="21" t="str">
        <x:v>Independent Evidence and Data Authority</x:v>
      </x:c>
      <x:c r="I913" s="44" t="n">
        <x:f>Lifecycle!G13</x:f>
        <x:v>0.21740562619408393</x:v>
      </x:c>
      <x:c r="J913" s="44" t="n">
        <x:v>0.065</x:v>
      </x:c>
      <x:c r="K913" s="44" t="n">
        <x:f>I913*J913</x:f>
        <x:v>0.014131365702615457</x:v>
      </x:c>
      <x:c r="L913" s="46" t="n">
        <x:v>0</x:v>
      </x:c>
      <x:c r="M913" s="46" t="n">
        <x:v>0</x:v>
      </x:c>
      <x:c r="N913" s="21" t="n">
        <x:f>IF(AND(L912=1,M912=1,P912&gt;0),1,0)</x:f>
        <x:v>0</x:v>
      </x:c>
      <x:c r="O913" s="21" t="n">
        <x:f>MIN('Root Data'!I277:I279)</x:f>
        <x:v>0</x:v>
      </x:c>
      <x:c r="P913" s="44" t="n">
        <x:f>IF(AND(L913=1,M913=1,N913=1,O913&gt;=G913),K913,0)</x:f>
        <x:v>0</x:v>
      </x:c>
      <x:c r="Q913" s="21" t="str">
        <x:v>OPEN</x:v>
      </x:c>
      <x:c r="R913" s="23" t="str">
        <x:v>HOLD</x:v>
      </x:c>
    </x:row>
    <x:row r="914">
      <x:c r="B914" s="21" t="str">
        <x:v>AR-00908</x:v>
      </x:c>
      <x:c r="C914" s="21" t="str">
        <x:v>F23-I3</x:v>
      </x:c>
      <x:c r="D914" s="21" t="str">
        <x:v>F23</x:v>
      </x:c>
      <x:c r="E914" s="21" t="n">
        <x:v>8</x:v>
      </x:c>
      <x:c r="F914" s="21" t="str">
        <x:v>Pilot-process qualification</x:v>
      </x:c>
      <x:c r="G914" s="21" t="n">
        <x:v>28</x:v>
      </x:c>
      <x:c r="H914" s="21" t="str">
        <x:v>AIMC Industrial Mobilization Authority</x:v>
      </x:c>
      <x:c r="I914" s="44" t="n">
        <x:f>Lifecycle!G14</x:f>
        <x:v>0.03952829567165163</x:v>
      </x:c>
      <x:c r="J914" s="44" t="n">
        <x:v>0.065</x:v>
      </x:c>
      <x:c r="K914" s="44" t="n">
        <x:f>I914*J914</x:f>
        <x:v>0.002569339218657356</x:v>
      </x:c>
      <x:c r="L914" s="46" t="n">
        <x:v>0</x:v>
      </x:c>
      <x:c r="M914" s="46" t="n">
        <x:v>0</x:v>
      </x:c>
      <x:c r="N914" s="21" t="n">
        <x:f>IF(AND(L913=1,M913=1,P913&gt;0),1,0)</x:f>
        <x:v>0</x:v>
      </x:c>
      <x:c r="O914" s="21" t="n">
        <x:f>MIN('Root Data'!I277:I279)</x:f>
        <x:v>0</x:v>
      </x:c>
      <x:c r="P914" s="44" t="n">
        <x:f>IF(AND(L914=1,M914=1,N914=1,O914&gt;=G914),K914,0)</x:f>
        <x:v>0</x:v>
      </x:c>
      <x:c r="Q914" s="21" t="str">
        <x:v>OPEN</x:v>
      </x:c>
      <x:c r="R914" s="23" t="str">
        <x:v>HOLD</x:v>
      </x:c>
    </x:row>
    <x:row r="915">
      <x:c r="B915" s="21" t="str">
        <x:v>AR-00909</x:v>
      </x:c>
      <x:c r="C915" s="21" t="str">
        <x:v>F23-I3</x:v>
      </x:c>
      <x:c r="D915" s="21" t="str">
        <x:v>F23</x:v>
      </x:c>
      <x:c r="E915" s="21" t="n">
        <x:v>9</x:v>
      </x:c>
      <x:c r="F915" s="21" t="str">
        <x:v>Production release package</x:v>
      </x:c>
      <x:c r="G915" s="21" t="n">
        <x:v>28</x:v>
      </x:c>
      <x:c r="H915" s="21" t="str">
        <x:v>Production Release Board</x:v>
      </x:c>
      <x:c r="I915" s="44" t="n">
        <x:f>Lifecycle!G15</x:f>
        <x:v>0.01647012319652151</x:v>
      </x:c>
      <x:c r="J915" s="44" t="n">
        <x:v>0.065</x:v>
      </x:c>
      <x:c r="K915" s="44" t="n">
        <x:f>I915*J915</x:f>
        <x:v>0.0010705580077738982</x:v>
      </x:c>
      <x:c r="L915" s="46" t="n">
        <x:v>0</x:v>
      </x:c>
      <x:c r="M915" s="46" t="n">
        <x:v>0</x:v>
      </x:c>
      <x:c r="N915" s="21" t="n">
        <x:f>IF(AND(L914=1,M914=1,P914&gt;0),1,0)</x:f>
        <x:v>0</x:v>
      </x:c>
      <x:c r="O915" s="21" t="n">
        <x:f>MIN('Root Data'!I277:I279)</x:f>
        <x:v>0</x:v>
      </x:c>
      <x:c r="P915" s="44" t="n">
        <x:f>IF(AND(L915=1,M915=1,N915=1,O915&gt;=G915),K915,0)</x:f>
        <x:v>0</x:v>
      </x:c>
      <x:c r="Q915" s="21" t="str">
        <x:v>OPEN</x:v>
      </x:c>
      <x:c r="R915" s="23" t="str">
        <x:v>HOLD</x:v>
      </x:c>
    </x:row>
    <x:row r="916">
      <x:c r="B916" s="21" t="str">
        <x:v>AR-00910</x:v>
      </x:c>
      <x:c r="C916" s="21" t="str">
        <x:v>F23-I3</x:v>
      </x:c>
      <x:c r="D916" s="21" t="str">
        <x:v>F23</x:v>
      </x:c>
      <x:c r="E916" s="21" t="n">
        <x:v>10</x:v>
      </x:c>
      <x:c r="F916" s="21" t="str">
        <x:v>Mobilization activation</x:v>
      </x:c>
      <x:c r="G916" s="21" t="n">
        <x:v>28</x:v>
      </x:c>
      <x:c r="H916" s="21" t="str">
        <x:v>Production Release Board</x:v>
      </x:c>
      <x:c r="I916" s="44" t="n">
        <x:f>Lifecycle!G16</x:f>
        <x:v>0.028262731405230914</x:v>
      </x:c>
      <x:c r="J916" s="44" t="n">
        <x:v>0.065</x:v>
      </x:c>
      <x:c r="K916" s="44" t="n">
        <x:f>I916*J916</x:f>
        <x:v>0.0018370775413400094</x:v>
      </x:c>
      <x:c r="L916" s="46" t="n">
        <x:v>0</x:v>
      </x:c>
      <x:c r="M916" s="46" t="n">
        <x:v>0</x:v>
      </x:c>
      <x:c r="N916" s="21" t="n">
        <x:f>IF(AND(L915=1,M915=1,P915&gt;0),1,0)</x:f>
        <x:v>0</x:v>
      </x:c>
      <x:c r="O916" s="21" t="n">
        <x:f>MIN('Root Data'!I277:I279)</x:f>
        <x:v>0</x:v>
      </x:c>
      <x:c r="P916" s="44" t="n">
        <x:f>IF(AND(L916=1,M916=1,N916=1,O916&gt;=G916),K916,0)</x:f>
        <x:v>0</x:v>
      </x:c>
      <x:c r="Q916" s="21" t="str">
        <x:v>OPEN</x:v>
      </x:c>
      <x:c r="R916" s="23" t="str">
        <x:v>HOLD</x:v>
      </x:c>
    </x:row>
    <x:row r="917">
      <x:c r="B917" s="21" t="str">
        <x:v>AR-00911</x:v>
      </x:c>
      <x:c r="C917" s="21" t="str">
        <x:v>F23-I4</x:v>
      </x:c>
      <x:c r="D917" s="21" t="str">
        <x:v>F23</x:v>
      </x:c>
      <x:c r="E917" s="21" t="n">
        <x:v>1</x:v>
      </x:c>
      <x:c r="F917" s="21" t="str">
        <x:v>Civil effect charter</x:v>
      </x:c>
      <x:c r="G917" s="21" t="n">
        <x:v>0</x:v>
      </x:c>
      <x:c r="H917" s="21" t="str">
        <x:v>Civil Guarantee Authority</x:v>
      </x:c>
      <x:c r="I917" s="44" t="n">
        <x:f>Lifecycle!G7</x:f>
        <x:v>0.04941036958956453</x:v>
      </x:c>
      <x:c r="J917" s="44" t="n">
        <x:v>0.065</x:v>
      </x:c>
      <x:c r="K917" s="44" t="n">
        <x:f>I917*J917</x:f>
        <x:v>0.0032116740233216947</x:v>
      </x:c>
      <x:c r="L917" s="46" t="n">
        <x:v>0</x:v>
      </x:c>
      <x:c r="M917" s="46" t="n">
        <x:v>0</x:v>
      </x:c>
      <x:c r="N917" s="21" t="n">
        <x:f>1</x:f>
        <x:v>1</x:v>
      </x:c>
      <x:c r="O917" s="21" t="n">
        <x:f>MIN('Root Data'!I280:I282)</x:f>
        <x:v>0</x:v>
      </x:c>
      <x:c r="P917" s="44" t="n">
        <x:f>IF(AND(L917=1,M917=1,N917=1,O917&gt;=G917),K917,0)</x:f>
        <x:v>0</x:v>
      </x:c>
      <x:c r="Q917" s="21" t="str">
        <x:v>OPEN</x:v>
      </x:c>
      <x:c r="R917" s="23" t="str">
        <x:v>HOLD</x:v>
      </x:c>
    </x:row>
    <x:row r="918">
      <x:c r="B918" s="21" t="str">
        <x:v>AR-00912</x:v>
      </x:c>
      <x:c r="C918" s="21" t="str">
        <x:v>F23-I4</x:v>
      </x:c>
      <x:c r="D918" s="21" t="str">
        <x:v>F23</x:v>
      </x:c>
      <x:c r="E918" s="21" t="n">
        <x:v>2</x:v>
      </x:c>
      <x:c r="F918" s="21" t="str">
        <x:v>Requirement and root-independence package</x:v>
      </x:c>
      <x:c r="G918" s="21" t="n">
        <x:v>8</x:v>
      </x:c>
      <x:c r="H918" s="21" t="str">
        <x:v>Resilience Staff</x:v>
      </x:c>
      <x:c r="I918" s="44" t="n">
        <x:f>Lifecycle!G8</x:f>
        <x:v>0.10211476381843337</x:v>
      </x:c>
      <x:c r="J918" s="44" t="n">
        <x:v>0.065</x:v>
      </x:c>
      <x:c r="K918" s="44" t="n">
        <x:f>I918*J918</x:f>
        <x:v>0.00663745964819817</x:v>
      </x:c>
      <x:c r="L918" s="46" t="n">
        <x:v>0</x:v>
      </x:c>
      <x:c r="M918" s="46" t="n">
        <x:v>0</x:v>
      </x:c>
      <x:c r="N918" s="21" t="n">
        <x:f>IF(AND(L917=1,M917=1,P917&gt;0),1,0)</x:f>
        <x:v>0</x:v>
      </x:c>
      <x:c r="O918" s="21" t="n">
        <x:f>MIN('Root Data'!I280:I282)</x:f>
        <x:v>0</x:v>
      </x:c>
      <x:c r="P918" s="44" t="n">
        <x:f>IF(AND(L918=1,M918=1,N918=1,O918&gt;=G918),K918,0)</x:f>
        <x:v>0</x:v>
      </x:c>
      <x:c r="Q918" s="21" t="str">
        <x:v>OPEN</x:v>
      </x:c>
      <x:c r="R918" s="23" t="str">
        <x:v>HOLD</x:v>
      </x:c>
    </x:row>
    <x:row r="919">
      <x:c r="B919" s="21" t="str">
        <x:v>AR-00913</x:v>
      </x:c>
      <x:c r="C919" s="21" t="str">
        <x:v>F23-I4</x:v>
      </x:c>
      <x:c r="D919" s="21" t="str">
        <x:v>F23</x:v>
      </x:c>
      <x:c r="E919" s="21" t="n">
        <x:v>3</x:v>
      </x:c>
      <x:c r="F919" s="21" t="str">
        <x:v>Architecture and burden closure</x:v>
      </x:c>
      <x:c r="G919" s="21" t="n">
        <x:v>14</x:v>
      </x:c>
      <x:c r="H919" s="21" t="str">
        <x:v>Independent Evidence and Data Authority</x:v>
      </x:c>
      <x:c r="I919" s="44" t="n">
        <x:f>Lifecycle!G9</x:f>
        <x:v>0.08564464062191186</x:v>
      </x:c>
      <x:c r="J919" s="44" t="n">
        <x:v>0.065</x:v>
      </x:c>
      <x:c r="K919" s="44" t="n">
        <x:f>I919*J919</x:f>
        <x:v>0.005566901640424271</x:v>
      </x:c>
      <x:c r="L919" s="46" t="n">
        <x:v>0</x:v>
      </x:c>
      <x:c r="M919" s="46" t="n">
        <x:v>0</x:v>
      </x:c>
      <x:c r="N919" s="21" t="n">
        <x:f>IF(AND(L918=1,M918=1,P918&gt;0),1,0)</x:f>
        <x:v>0</x:v>
      </x:c>
      <x:c r="O919" s="21" t="n">
        <x:f>MIN('Root Data'!I280:I282)</x:f>
        <x:v>0</x:v>
      </x:c>
      <x:c r="P919" s="44" t="n">
        <x:f>IF(AND(L919=1,M919=1,N919=1,O919&gt;=G919),K919,0)</x:f>
        <x:v>0</x:v>
      </x:c>
      <x:c r="Q919" s="21" t="str">
        <x:v>OPEN</x:v>
      </x:c>
      <x:c r="R919" s="23" t="str">
        <x:v>HOLD</x:v>
      </x:c>
    </x:row>
    <x:row r="920">
      <x:c r="B920" s="21" t="str">
        <x:v>AR-00914</x:v>
      </x:c>
      <x:c r="C920" s="21" t="str">
        <x:v>F23-I4</x:v>
      </x:c>
      <x:c r="D920" s="21" t="str">
        <x:v>F23</x:v>
      </x:c>
      <x:c r="E920" s="21" t="n">
        <x:v>4</x:v>
      </x:c>
      <x:c r="F920" s="21" t="str">
        <x:v>Engineering article acceptance</x:v>
      </x:c>
      <x:c r="G920" s="21" t="n">
        <x:v>18</x:v>
      </x:c>
      <x:c r="H920" s="21" t="str">
        <x:v>Independent Evidence and Data Authority</x:v>
      </x:c>
      <x:c r="I920" s="44" t="n">
        <x:f>Lifecycle!G10</x:f>
        <x:v>0.05929244350747744</x:v>
      </x:c>
      <x:c r="J920" s="44" t="n">
        <x:v>0.065</x:v>
      </x:c>
      <x:c r="K920" s="44" t="n">
        <x:f>I920*J920</x:f>
        <x:v>0.003854008827986034</x:v>
      </x:c>
      <x:c r="L920" s="46" t="n">
        <x:v>0</x:v>
      </x:c>
      <x:c r="M920" s="46" t="n">
        <x:v>0</x:v>
      </x:c>
      <x:c r="N920" s="21" t="n">
        <x:f>IF(AND(L919=1,M919=1,P919&gt;0),1,0)</x:f>
        <x:v>0</x:v>
      </x:c>
      <x:c r="O920" s="21" t="n">
        <x:f>MIN('Root Data'!I280:I282)</x:f>
        <x:v>0</x:v>
      </x:c>
      <x:c r="P920" s="44" t="n">
        <x:f>IF(AND(L920=1,M920=1,N920=1,O920&gt;=G920),K920,0)</x:f>
        <x:v>0</x:v>
      </x:c>
      <x:c r="Q920" s="21" t="str">
        <x:v>OPEN</x:v>
      </x:c>
      <x:c r="R920" s="23" t="str">
        <x:v>HOLD</x:v>
      </x:c>
    </x:row>
    <x:row r="921">
      <x:c r="B921" s="21" t="str">
        <x:v>AR-00915</x:v>
      </x:c>
      <x:c r="C921" s="21" t="str">
        <x:v>F23-I4</x:v>
      </x:c>
      <x:c r="D921" s="21" t="str">
        <x:v>F23</x:v>
      </x:c>
      <x:c r="E921" s="21" t="n">
        <x:v>5</x:v>
      </x:c>
      <x:c r="F921" s="21" t="str">
        <x:v>Qualification and destructive evidence</x:v>
      </x:c>
      <x:c r="G921" s="21" t="n">
        <x:v>21</x:v>
      </x:c>
      <x:c r="H921" s="21" t="str">
        <x:v>Independent Evidence and Data Authority</x:v>
      </x:c>
      <x:c r="I921" s="44" t="n">
        <x:f>Lifecycle!G11</x:f>
        <x:v>0.1515251334079979</x:v>
      </x:c>
      <x:c r="J921" s="44" t="n">
        <x:v>0.065</x:v>
      </x:c>
      <x:c r="K921" s="44" t="n">
        <x:f>I921*J921</x:f>
        <x:v>0.009849133671519864</x:v>
      </x:c>
      <x:c r="L921" s="46" t="n">
        <x:v>0</x:v>
      </x:c>
      <x:c r="M921" s="46" t="n">
        <x:v>0</x:v>
      </x:c>
      <x:c r="N921" s="21" t="n">
        <x:f>IF(AND(L920=1,M920=1,P920&gt;0),1,0)</x:f>
        <x:v>0</x:v>
      </x:c>
      <x:c r="O921" s="21" t="n">
        <x:f>MIN('Root Data'!I280:I282)</x:f>
        <x:v>0</x:v>
      </x:c>
      <x:c r="P921" s="44" t="n">
        <x:f>IF(AND(L921=1,M921=1,N921=1,O921&gt;=G921),K921,0)</x:f>
        <x:v>0</x:v>
      </x:c>
      <x:c r="Q921" s="21" t="str">
        <x:v>OPEN</x:v>
      </x:c>
      <x:c r="R921" s="23" t="str">
        <x:v>HOLD</x:v>
      </x:c>
    </x:row>
    <x:row r="922">
      <x:c r="B922" s="21" t="str">
        <x:v>AR-00916</x:v>
      </x:c>
      <x:c r="C922" s="21" t="str">
        <x:v>F23-I4</x:v>
      </x:c>
      <x:c r="D922" s="21" t="str">
        <x:v>F23</x:v>
      </x:c>
      <x:c r="E922" s="21" t="n">
        <x:v>6</x:v>
      </x:c>
      <x:c r="F922" s="21" t="str">
        <x:v>Representative mission result</x:v>
      </x:c>
      <x:c r="G922" s="21" t="n">
        <x:v>23</x:v>
      </x:c>
      <x:c r="H922" s="21" t="str">
        <x:v>Receiving Service Authority</x:v>
      </x:c>
      <x:c r="I922" s="44" t="n">
        <x:f>Lifecycle!G12</x:f>
        <x:v>0.250345872587127</x:v>
      </x:c>
      <x:c r="J922" s="44" t="n">
        <x:v>0.065</x:v>
      </x:c>
      <x:c r="K922" s="44" t="n">
        <x:f>I922*J922</x:f>
        <x:v>0.016272481718163253</x:v>
      </x:c>
      <x:c r="L922" s="46" t="n">
        <x:v>0</x:v>
      </x:c>
      <x:c r="M922" s="46" t="n">
        <x:v>0</x:v>
      </x:c>
      <x:c r="N922" s="21" t="n">
        <x:f>IF(AND(L921=1,M921=1,P921&gt;0),1,0)</x:f>
        <x:v>0</x:v>
      </x:c>
      <x:c r="O922" s="21" t="n">
        <x:f>MIN('Root Data'!I280:I282)</x:f>
        <x:v>0</x:v>
      </x:c>
      <x:c r="P922" s="44" t="n">
        <x:f>IF(AND(L922=1,M922=1,N922=1,O922&gt;=G922),K922,0)</x:f>
        <x:v>0</x:v>
      </x:c>
      <x:c r="Q922" s="21" t="str">
        <x:v>OPEN</x:v>
      </x:c>
      <x:c r="R922" s="23" t="str">
        <x:v>HOLD</x:v>
      </x:c>
    </x:row>
    <x:row r="923">
      <x:c r="B923" s="21" t="str">
        <x:v>AR-00917</x:v>
      </x:c>
      <x:c r="C923" s="21" t="str">
        <x:v>F23-I4</x:v>
      </x:c>
      <x:c r="D923" s="21" t="str">
        <x:v>F23</x:v>
      </x:c>
      <x:c r="E923" s="21" t="n">
        <x:v>7</x:v>
      </x:c>
      <x:c r="F923" s="21" t="str">
        <x:v>Independent reproduction</x:v>
      </x:c>
      <x:c r="G923" s="21" t="n">
        <x:v>28</x:v>
      </x:c>
      <x:c r="H923" s="21" t="str">
        <x:v>Independent Evidence and Data Authority</x:v>
      </x:c>
      <x:c r="I923" s="44" t="n">
        <x:f>Lifecycle!G13</x:f>
        <x:v>0.21740562619408393</x:v>
      </x:c>
      <x:c r="J923" s="44" t="n">
        <x:v>0.065</x:v>
      </x:c>
      <x:c r="K923" s="44" t="n">
        <x:f>I923*J923</x:f>
        <x:v>0.014131365702615457</x:v>
      </x:c>
      <x:c r="L923" s="46" t="n">
        <x:v>0</x:v>
      </x:c>
      <x:c r="M923" s="46" t="n">
        <x:v>0</x:v>
      </x:c>
      <x:c r="N923" s="21" t="n">
        <x:f>IF(AND(L922=1,M922=1,P922&gt;0),1,0)</x:f>
        <x:v>0</x:v>
      </x:c>
      <x:c r="O923" s="21" t="n">
        <x:f>MIN('Root Data'!I280:I282)</x:f>
        <x:v>0</x:v>
      </x:c>
      <x:c r="P923" s="44" t="n">
        <x:f>IF(AND(L923=1,M923=1,N923=1,O923&gt;=G923),K923,0)</x:f>
        <x:v>0</x:v>
      </x:c>
      <x:c r="Q923" s="21" t="str">
        <x:v>OPEN</x:v>
      </x:c>
      <x:c r="R923" s="23" t="str">
        <x:v>HOLD</x:v>
      </x:c>
    </x:row>
    <x:row r="924">
      <x:c r="B924" s="21" t="str">
        <x:v>AR-00918</x:v>
      </x:c>
      <x:c r="C924" s="21" t="str">
        <x:v>F23-I4</x:v>
      </x:c>
      <x:c r="D924" s="21" t="str">
        <x:v>F23</x:v>
      </x:c>
      <x:c r="E924" s="21" t="n">
        <x:v>8</x:v>
      </x:c>
      <x:c r="F924" s="21" t="str">
        <x:v>Pilot-process qualification</x:v>
      </x:c>
      <x:c r="G924" s="21" t="n">
        <x:v>28</x:v>
      </x:c>
      <x:c r="H924" s="21" t="str">
        <x:v>AIMC Industrial Mobilization Authority</x:v>
      </x:c>
      <x:c r="I924" s="44" t="n">
        <x:f>Lifecycle!G14</x:f>
        <x:v>0.03952829567165163</x:v>
      </x:c>
      <x:c r="J924" s="44" t="n">
        <x:v>0.065</x:v>
      </x:c>
      <x:c r="K924" s="44" t="n">
        <x:f>I924*J924</x:f>
        <x:v>0.002569339218657356</x:v>
      </x:c>
      <x:c r="L924" s="46" t="n">
        <x:v>0</x:v>
      </x:c>
      <x:c r="M924" s="46" t="n">
        <x:v>0</x:v>
      </x:c>
      <x:c r="N924" s="21" t="n">
        <x:f>IF(AND(L923=1,M923=1,P923&gt;0),1,0)</x:f>
        <x:v>0</x:v>
      </x:c>
      <x:c r="O924" s="21" t="n">
        <x:f>MIN('Root Data'!I280:I282)</x:f>
        <x:v>0</x:v>
      </x:c>
      <x:c r="P924" s="44" t="n">
        <x:f>IF(AND(L924=1,M924=1,N924=1,O924&gt;=G924),K924,0)</x:f>
        <x:v>0</x:v>
      </x:c>
      <x:c r="Q924" s="21" t="str">
        <x:v>OPEN</x:v>
      </x:c>
      <x:c r="R924" s="23" t="str">
        <x:v>HOLD</x:v>
      </x:c>
    </x:row>
    <x:row r="925">
      <x:c r="B925" s="21" t="str">
        <x:v>AR-00919</x:v>
      </x:c>
      <x:c r="C925" s="21" t="str">
        <x:v>F23-I4</x:v>
      </x:c>
      <x:c r="D925" s="21" t="str">
        <x:v>F23</x:v>
      </x:c>
      <x:c r="E925" s="21" t="n">
        <x:v>9</x:v>
      </x:c>
      <x:c r="F925" s="21" t="str">
        <x:v>Production release package</x:v>
      </x:c>
      <x:c r="G925" s="21" t="n">
        <x:v>28</x:v>
      </x:c>
      <x:c r="H925" s="21" t="str">
        <x:v>Production Release Board</x:v>
      </x:c>
      <x:c r="I925" s="44" t="n">
        <x:f>Lifecycle!G15</x:f>
        <x:v>0.01647012319652151</x:v>
      </x:c>
      <x:c r="J925" s="44" t="n">
        <x:v>0.065</x:v>
      </x:c>
      <x:c r="K925" s="44" t="n">
        <x:f>I925*J925</x:f>
        <x:v>0.0010705580077738982</x:v>
      </x:c>
      <x:c r="L925" s="46" t="n">
        <x:v>0</x:v>
      </x:c>
      <x:c r="M925" s="46" t="n">
        <x:v>0</x:v>
      </x:c>
      <x:c r="N925" s="21" t="n">
        <x:f>IF(AND(L924=1,M924=1,P924&gt;0),1,0)</x:f>
        <x:v>0</x:v>
      </x:c>
      <x:c r="O925" s="21" t="n">
        <x:f>MIN('Root Data'!I280:I282)</x:f>
        <x:v>0</x:v>
      </x:c>
      <x:c r="P925" s="44" t="n">
        <x:f>IF(AND(L925=1,M925=1,N925=1,O925&gt;=G925),K925,0)</x:f>
        <x:v>0</x:v>
      </x:c>
      <x:c r="Q925" s="21" t="str">
        <x:v>OPEN</x:v>
      </x:c>
      <x:c r="R925" s="23" t="str">
        <x:v>HOLD</x:v>
      </x:c>
    </x:row>
    <x:row r="926">
      <x:c r="B926" s="21" t="str">
        <x:v>AR-00920</x:v>
      </x:c>
      <x:c r="C926" s="21" t="str">
        <x:v>F23-I4</x:v>
      </x:c>
      <x:c r="D926" s="21" t="str">
        <x:v>F23</x:v>
      </x:c>
      <x:c r="E926" s="21" t="n">
        <x:v>10</x:v>
      </x:c>
      <x:c r="F926" s="21" t="str">
        <x:v>Mobilization activation</x:v>
      </x:c>
      <x:c r="G926" s="21" t="n">
        <x:v>28</x:v>
      </x:c>
      <x:c r="H926" s="21" t="str">
        <x:v>Production Release Board</x:v>
      </x:c>
      <x:c r="I926" s="44" t="n">
        <x:f>Lifecycle!G16</x:f>
        <x:v>0.028262731405230914</x:v>
      </x:c>
      <x:c r="J926" s="44" t="n">
        <x:v>0.065</x:v>
      </x:c>
      <x:c r="K926" s="44" t="n">
        <x:f>I926*J926</x:f>
        <x:v>0.0018370775413400094</x:v>
      </x:c>
      <x:c r="L926" s="46" t="n">
        <x:v>0</x:v>
      </x:c>
      <x:c r="M926" s="46" t="n">
        <x:v>0</x:v>
      </x:c>
      <x:c r="N926" s="21" t="n">
        <x:f>IF(AND(L925=1,M925=1,P925&gt;0),1,0)</x:f>
        <x:v>0</x:v>
      </x:c>
      <x:c r="O926" s="21" t="n">
        <x:f>MIN('Root Data'!I280:I282)</x:f>
        <x:v>0</x:v>
      </x:c>
      <x:c r="P926" s="44" t="n">
        <x:f>IF(AND(L926=1,M926=1,N926=1,O926&gt;=G926),K926,0)</x:f>
        <x:v>0</x:v>
      </x:c>
      <x:c r="Q926" s="21" t="str">
        <x:v>OPEN</x:v>
      </x:c>
      <x:c r="R926" s="23" t="str">
        <x:v>HOLD</x:v>
      </x:c>
    </x:row>
    <x:row r="927">
      <x:c r="B927" s="21" t="str">
        <x:v>AR-00921</x:v>
      </x:c>
      <x:c r="C927" s="21" t="str">
        <x:v>F24-I1</x:v>
      </x:c>
      <x:c r="D927" s="21" t="str">
        <x:v>F24</x:v>
      </x:c>
      <x:c r="E927" s="21" t="n">
        <x:v>1</x:v>
      </x:c>
      <x:c r="F927" s="21" t="str">
        <x:v>Civil effect charter</x:v>
      </x:c>
      <x:c r="G927" s="21" t="n">
        <x:v>0</x:v>
      </x:c>
      <x:c r="H927" s="21" t="str">
        <x:v>Civil Guarantee Authority</x:v>
      </x:c>
      <x:c r="I927" s="44" t="n">
        <x:f>Lifecycle!G7</x:f>
        <x:v>0.04941036958956453</x:v>
      </x:c>
      <x:c r="J927" s="44" t="n">
        <x:v>0.065</x:v>
      </x:c>
      <x:c r="K927" s="44" t="n">
        <x:f>I927*J927</x:f>
        <x:v>0.0032116740233216947</x:v>
      </x:c>
      <x:c r="L927" s="46" t="n">
        <x:v>0</x:v>
      </x:c>
      <x:c r="M927" s="46" t="n">
        <x:v>0</x:v>
      </x:c>
      <x:c r="N927" s="21" t="n">
        <x:f>1</x:f>
        <x:v>1</x:v>
      </x:c>
      <x:c r="O927" s="21" t="n">
        <x:f>MIN('Root Data'!I283:I285)</x:f>
        <x:v>0</x:v>
      </x:c>
      <x:c r="P927" s="44" t="n">
        <x:f>IF(AND(L927=1,M927=1,N927=1,O927&gt;=G927),K927,0)</x:f>
        <x:v>0</x:v>
      </x:c>
      <x:c r="Q927" s="21" t="str">
        <x:v>OPEN</x:v>
      </x:c>
      <x:c r="R927" s="23" t="str">
        <x:v>HOLD</x:v>
      </x:c>
    </x:row>
    <x:row r="928">
      <x:c r="B928" s="21" t="str">
        <x:v>AR-00922</x:v>
      </x:c>
      <x:c r="C928" s="21" t="str">
        <x:v>F24-I1</x:v>
      </x:c>
      <x:c r="D928" s="21" t="str">
        <x:v>F24</x:v>
      </x:c>
      <x:c r="E928" s="21" t="n">
        <x:v>2</x:v>
      </x:c>
      <x:c r="F928" s="21" t="str">
        <x:v>Requirement and root-independence package</x:v>
      </x:c>
      <x:c r="G928" s="21" t="n">
        <x:v>8</x:v>
      </x:c>
      <x:c r="H928" s="21" t="str">
        <x:v>Resilience Staff</x:v>
      </x:c>
      <x:c r="I928" s="44" t="n">
        <x:f>Lifecycle!G8</x:f>
        <x:v>0.10211476381843337</x:v>
      </x:c>
      <x:c r="J928" s="44" t="n">
        <x:v>0.065</x:v>
      </x:c>
      <x:c r="K928" s="44" t="n">
        <x:f>I928*J928</x:f>
        <x:v>0.00663745964819817</x:v>
      </x:c>
      <x:c r="L928" s="46" t="n">
        <x:v>0</x:v>
      </x:c>
      <x:c r="M928" s="46" t="n">
        <x:v>0</x:v>
      </x:c>
      <x:c r="N928" s="21" t="n">
        <x:f>IF(AND(L927=1,M927=1,P927&gt;0),1,0)</x:f>
        <x:v>0</x:v>
      </x:c>
      <x:c r="O928" s="21" t="n">
        <x:f>MIN('Root Data'!I283:I285)</x:f>
        <x:v>0</x:v>
      </x:c>
      <x:c r="P928" s="44" t="n">
        <x:f>IF(AND(L928=1,M928=1,N928=1,O928&gt;=G928),K928,0)</x:f>
        <x:v>0</x:v>
      </x:c>
      <x:c r="Q928" s="21" t="str">
        <x:v>OPEN</x:v>
      </x:c>
      <x:c r="R928" s="23" t="str">
        <x:v>HOLD</x:v>
      </x:c>
    </x:row>
    <x:row r="929">
      <x:c r="B929" s="21" t="str">
        <x:v>AR-00923</x:v>
      </x:c>
      <x:c r="C929" s="21" t="str">
        <x:v>F24-I1</x:v>
      </x:c>
      <x:c r="D929" s="21" t="str">
        <x:v>F24</x:v>
      </x:c>
      <x:c r="E929" s="21" t="n">
        <x:v>3</x:v>
      </x:c>
      <x:c r="F929" s="21" t="str">
        <x:v>Architecture and burden closure</x:v>
      </x:c>
      <x:c r="G929" s="21" t="n">
        <x:v>14</x:v>
      </x:c>
      <x:c r="H929" s="21" t="str">
        <x:v>Independent Evidence and Data Authority</x:v>
      </x:c>
      <x:c r="I929" s="44" t="n">
        <x:f>Lifecycle!G9</x:f>
        <x:v>0.08564464062191186</x:v>
      </x:c>
      <x:c r="J929" s="44" t="n">
        <x:v>0.065</x:v>
      </x:c>
      <x:c r="K929" s="44" t="n">
        <x:f>I929*J929</x:f>
        <x:v>0.005566901640424271</x:v>
      </x:c>
      <x:c r="L929" s="46" t="n">
        <x:v>0</x:v>
      </x:c>
      <x:c r="M929" s="46" t="n">
        <x:v>0</x:v>
      </x:c>
      <x:c r="N929" s="21" t="n">
        <x:f>IF(AND(L928=1,M928=1,P928&gt;0),1,0)</x:f>
        <x:v>0</x:v>
      </x:c>
      <x:c r="O929" s="21" t="n">
        <x:f>MIN('Root Data'!I283:I285)</x:f>
        <x:v>0</x:v>
      </x:c>
      <x:c r="P929" s="44" t="n">
        <x:f>IF(AND(L929=1,M929=1,N929=1,O929&gt;=G929),K929,0)</x:f>
        <x:v>0</x:v>
      </x:c>
      <x:c r="Q929" s="21" t="str">
        <x:v>OPEN</x:v>
      </x:c>
      <x:c r="R929" s="23" t="str">
        <x:v>HOLD</x:v>
      </x:c>
    </x:row>
    <x:row r="930">
      <x:c r="B930" s="21" t="str">
        <x:v>AR-00924</x:v>
      </x:c>
      <x:c r="C930" s="21" t="str">
        <x:v>F24-I1</x:v>
      </x:c>
      <x:c r="D930" s="21" t="str">
        <x:v>F24</x:v>
      </x:c>
      <x:c r="E930" s="21" t="n">
        <x:v>4</x:v>
      </x:c>
      <x:c r="F930" s="21" t="str">
        <x:v>Engineering article acceptance</x:v>
      </x:c>
      <x:c r="G930" s="21" t="n">
        <x:v>18</x:v>
      </x:c>
      <x:c r="H930" s="21" t="str">
        <x:v>Independent Evidence and Data Authority</x:v>
      </x:c>
      <x:c r="I930" s="44" t="n">
        <x:f>Lifecycle!G10</x:f>
        <x:v>0.05929244350747744</x:v>
      </x:c>
      <x:c r="J930" s="44" t="n">
        <x:v>0.065</x:v>
      </x:c>
      <x:c r="K930" s="44" t="n">
        <x:f>I930*J930</x:f>
        <x:v>0.003854008827986034</x:v>
      </x:c>
      <x:c r="L930" s="46" t="n">
        <x:v>0</x:v>
      </x:c>
      <x:c r="M930" s="46" t="n">
        <x:v>0</x:v>
      </x:c>
      <x:c r="N930" s="21" t="n">
        <x:f>IF(AND(L929=1,M929=1,P929&gt;0),1,0)</x:f>
        <x:v>0</x:v>
      </x:c>
      <x:c r="O930" s="21" t="n">
        <x:f>MIN('Root Data'!I283:I285)</x:f>
        <x:v>0</x:v>
      </x:c>
      <x:c r="P930" s="44" t="n">
        <x:f>IF(AND(L930=1,M930=1,N930=1,O930&gt;=G930),K930,0)</x:f>
        <x:v>0</x:v>
      </x:c>
      <x:c r="Q930" s="21" t="str">
        <x:v>OPEN</x:v>
      </x:c>
      <x:c r="R930" s="23" t="str">
        <x:v>HOLD</x:v>
      </x:c>
    </x:row>
    <x:row r="931">
      <x:c r="B931" s="21" t="str">
        <x:v>AR-00925</x:v>
      </x:c>
      <x:c r="C931" s="21" t="str">
        <x:v>F24-I1</x:v>
      </x:c>
      <x:c r="D931" s="21" t="str">
        <x:v>F24</x:v>
      </x:c>
      <x:c r="E931" s="21" t="n">
        <x:v>5</x:v>
      </x:c>
      <x:c r="F931" s="21" t="str">
        <x:v>Qualification and destructive evidence</x:v>
      </x:c>
      <x:c r="G931" s="21" t="n">
        <x:v>21</x:v>
      </x:c>
      <x:c r="H931" s="21" t="str">
        <x:v>Independent Evidence and Data Authority</x:v>
      </x:c>
      <x:c r="I931" s="44" t="n">
        <x:f>Lifecycle!G11</x:f>
        <x:v>0.1515251334079979</x:v>
      </x:c>
      <x:c r="J931" s="44" t="n">
        <x:v>0.065</x:v>
      </x:c>
      <x:c r="K931" s="44" t="n">
        <x:f>I931*J931</x:f>
        <x:v>0.009849133671519864</x:v>
      </x:c>
      <x:c r="L931" s="46" t="n">
        <x:v>0</x:v>
      </x:c>
      <x:c r="M931" s="46" t="n">
        <x:v>0</x:v>
      </x:c>
      <x:c r="N931" s="21" t="n">
        <x:f>IF(AND(L930=1,M930=1,P930&gt;0),1,0)</x:f>
        <x:v>0</x:v>
      </x:c>
      <x:c r="O931" s="21" t="n">
        <x:f>MIN('Root Data'!I283:I285)</x:f>
        <x:v>0</x:v>
      </x:c>
      <x:c r="P931" s="44" t="n">
        <x:f>IF(AND(L931=1,M931=1,N931=1,O931&gt;=G931),K931,0)</x:f>
        <x:v>0</x:v>
      </x:c>
      <x:c r="Q931" s="21" t="str">
        <x:v>OPEN</x:v>
      </x:c>
      <x:c r="R931" s="23" t="str">
        <x:v>HOLD</x:v>
      </x:c>
    </x:row>
    <x:row r="932">
      <x:c r="B932" s="21" t="str">
        <x:v>AR-00926</x:v>
      </x:c>
      <x:c r="C932" s="21" t="str">
        <x:v>F24-I1</x:v>
      </x:c>
      <x:c r="D932" s="21" t="str">
        <x:v>F24</x:v>
      </x:c>
      <x:c r="E932" s="21" t="n">
        <x:v>6</x:v>
      </x:c>
      <x:c r="F932" s="21" t="str">
        <x:v>Representative mission result</x:v>
      </x:c>
      <x:c r="G932" s="21" t="n">
        <x:v>23</x:v>
      </x:c>
      <x:c r="H932" s="21" t="str">
        <x:v>Receiving Service Authority</x:v>
      </x:c>
      <x:c r="I932" s="44" t="n">
        <x:f>Lifecycle!G12</x:f>
        <x:v>0.250345872587127</x:v>
      </x:c>
      <x:c r="J932" s="44" t="n">
        <x:v>0.065</x:v>
      </x:c>
      <x:c r="K932" s="44" t="n">
        <x:f>I932*J932</x:f>
        <x:v>0.016272481718163253</x:v>
      </x:c>
      <x:c r="L932" s="46" t="n">
        <x:v>0</x:v>
      </x:c>
      <x:c r="M932" s="46" t="n">
        <x:v>0</x:v>
      </x:c>
      <x:c r="N932" s="21" t="n">
        <x:f>IF(AND(L931=1,M931=1,P931&gt;0),1,0)</x:f>
        <x:v>0</x:v>
      </x:c>
      <x:c r="O932" s="21" t="n">
        <x:f>MIN('Root Data'!I283:I285)</x:f>
        <x:v>0</x:v>
      </x:c>
      <x:c r="P932" s="44" t="n">
        <x:f>IF(AND(L932=1,M932=1,N932=1,O932&gt;=G932),K932,0)</x:f>
        <x:v>0</x:v>
      </x:c>
      <x:c r="Q932" s="21" t="str">
        <x:v>OPEN</x:v>
      </x:c>
      <x:c r="R932" s="23" t="str">
        <x:v>HOLD</x:v>
      </x:c>
    </x:row>
    <x:row r="933">
      <x:c r="B933" s="21" t="str">
        <x:v>AR-00927</x:v>
      </x:c>
      <x:c r="C933" s="21" t="str">
        <x:v>F24-I1</x:v>
      </x:c>
      <x:c r="D933" s="21" t="str">
        <x:v>F24</x:v>
      </x:c>
      <x:c r="E933" s="21" t="n">
        <x:v>7</x:v>
      </x:c>
      <x:c r="F933" s="21" t="str">
        <x:v>Independent reproduction</x:v>
      </x:c>
      <x:c r="G933" s="21" t="n">
        <x:v>28</x:v>
      </x:c>
      <x:c r="H933" s="21" t="str">
        <x:v>Independent Evidence and Data Authority</x:v>
      </x:c>
      <x:c r="I933" s="44" t="n">
        <x:f>Lifecycle!G13</x:f>
        <x:v>0.21740562619408393</x:v>
      </x:c>
      <x:c r="J933" s="44" t="n">
        <x:v>0.065</x:v>
      </x:c>
      <x:c r="K933" s="44" t="n">
        <x:f>I933*J933</x:f>
        <x:v>0.014131365702615457</x:v>
      </x:c>
      <x:c r="L933" s="46" t="n">
        <x:v>0</x:v>
      </x:c>
      <x:c r="M933" s="46" t="n">
        <x:v>0</x:v>
      </x:c>
      <x:c r="N933" s="21" t="n">
        <x:f>IF(AND(L932=1,M932=1,P932&gt;0),1,0)</x:f>
        <x:v>0</x:v>
      </x:c>
      <x:c r="O933" s="21" t="n">
        <x:f>MIN('Root Data'!I283:I285)</x:f>
        <x:v>0</x:v>
      </x:c>
      <x:c r="P933" s="44" t="n">
        <x:f>IF(AND(L933=1,M933=1,N933=1,O933&gt;=G933),K933,0)</x:f>
        <x:v>0</x:v>
      </x:c>
      <x:c r="Q933" s="21" t="str">
        <x:v>OPEN</x:v>
      </x:c>
      <x:c r="R933" s="23" t="str">
        <x:v>HOLD</x:v>
      </x:c>
    </x:row>
    <x:row r="934">
      <x:c r="B934" s="21" t="str">
        <x:v>AR-00928</x:v>
      </x:c>
      <x:c r="C934" s="21" t="str">
        <x:v>F24-I1</x:v>
      </x:c>
      <x:c r="D934" s="21" t="str">
        <x:v>F24</x:v>
      </x:c>
      <x:c r="E934" s="21" t="n">
        <x:v>8</x:v>
      </x:c>
      <x:c r="F934" s="21" t="str">
        <x:v>Pilot-process qualification</x:v>
      </x:c>
      <x:c r="G934" s="21" t="n">
        <x:v>28</x:v>
      </x:c>
      <x:c r="H934" s="21" t="str">
        <x:v>AIMC Industrial Mobilization Authority</x:v>
      </x:c>
      <x:c r="I934" s="44" t="n">
        <x:f>Lifecycle!G14</x:f>
        <x:v>0.03952829567165163</x:v>
      </x:c>
      <x:c r="J934" s="44" t="n">
        <x:v>0.065</x:v>
      </x:c>
      <x:c r="K934" s="44" t="n">
        <x:f>I934*J934</x:f>
        <x:v>0.002569339218657356</x:v>
      </x:c>
      <x:c r="L934" s="46" t="n">
        <x:v>0</x:v>
      </x:c>
      <x:c r="M934" s="46" t="n">
        <x:v>0</x:v>
      </x:c>
      <x:c r="N934" s="21" t="n">
        <x:f>IF(AND(L933=1,M933=1,P933&gt;0),1,0)</x:f>
        <x:v>0</x:v>
      </x:c>
      <x:c r="O934" s="21" t="n">
        <x:f>MIN('Root Data'!I283:I285)</x:f>
        <x:v>0</x:v>
      </x:c>
      <x:c r="P934" s="44" t="n">
        <x:f>IF(AND(L934=1,M934=1,N934=1,O934&gt;=G934),K934,0)</x:f>
        <x:v>0</x:v>
      </x:c>
      <x:c r="Q934" s="21" t="str">
        <x:v>OPEN</x:v>
      </x:c>
      <x:c r="R934" s="23" t="str">
        <x:v>HOLD</x:v>
      </x:c>
    </x:row>
    <x:row r="935">
      <x:c r="B935" s="21" t="str">
        <x:v>AR-00929</x:v>
      </x:c>
      <x:c r="C935" s="21" t="str">
        <x:v>F24-I1</x:v>
      </x:c>
      <x:c r="D935" s="21" t="str">
        <x:v>F24</x:v>
      </x:c>
      <x:c r="E935" s="21" t="n">
        <x:v>9</x:v>
      </x:c>
      <x:c r="F935" s="21" t="str">
        <x:v>Production release package</x:v>
      </x:c>
      <x:c r="G935" s="21" t="n">
        <x:v>28</x:v>
      </x:c>
      <x:c r="H935" s="21" t="str">
        <x:v>Production Release Board</x:v>
      </x:c>
      <x:c r="I935" s="44" t="n">
        <x:f>Lifecycle!G15</x:f>
        <x:v>0.01647012319652151</x:v>
      </x:c>
      <x:c r="J935" s="44" t="n">
        <x:v>0.065</x:v>
      </x:c>
      <x:c r="K935" s="44" t="n">
        <x:f>I935*J935</x:f>
        <x:v>0.0010705580077738982</x:v>
      </x:c>
      <x:c r="L935" s="46" t="n">
        <x:v>0</x:v>
      </x:c>
      <x:c r="M935" s="46" t="n">
        <x:v>0</x:v>
      </x:c>
      <x:c r="N935" s="21" t="n">
        <x:f>IF(AND(L934=1,M934=1,P934&gt;0),1,0)</x:f>
        <x:v>0</x:v>
      </x:c>
      <x:c r="O935" s="21" t="n">
        <x:f>MIN('Root Data'!I283:I285)</x:f>
        <x:v>0</x:v>
      </x:c>
      <x:c r="P935" s="44" t="n">
        <x:f>IF(AND(L935=1,M935=1,N935=1,O935&gt;=G935),K935,0)</x:f>
        <x:v>0</x:v>
      </x:c>
      <x:c r="Q935" s="21" t="str">
        <x:v>OPEN</x:v>
      </x:c>
      <x:c r="R935" s="23" t="str">
        <x:v>HOLD</x:v>
      </x:c>
    </x:row>
    <x:row r="936">
      <x:c r="B936" s="21" t="str">
        <x:v>AR-00930</x:v>
      </x:c>
      <x:c r="C936" s="21" t="str">
        <x:v>F24-I1</x:v>
      </x:c>
      <x:c r="D936" s="21" t="str">
        <x:v>F24</x:v>
      </x:c>
      <x:c r="E936" s="21" t="n">
        <x:v>10</x:v>
      </x:c>
      <x:c r="F936" s="21" t="str">
        <x:v>Mobilization activation</x:v>
      </x:c>
      <x:c r="G936" s="21" t="n">
        <x:v>28</x:v>
      </x:c>
      <x:c r="H936" s="21" t="str">
        <x:v>Production Release Board</x:v>
      </x:c>
      <x:c r="I936" s="44" t="n">
        <x:f>Lifecycle!G16</x:f>
        <x:v>0.028262731405230914</x:v>
      </x:c>
      <x:c r="J936" s="44" t="n">
        <x:v>0.065</x:v>
      </x:c>
      <x:c r="K936" s="44" t="n">
        <x:f>I936*J936</x:f>
        <x:v>0.0018370775413400094</x:v>
      </x:c>
      <x:c r="L936" s="46" t="n">
        <x:v>0</x:v>
      </x:c>
      <x:c r="M936" s="46" t="n">
        <x:v>0</x:v>
      </x:c>
      <x:c r="N936" s="21" t="n">
        <x:f>IF(AND(L935=1,M935=1,P935&gt;0),1,0)</x:f>
        <x:v>0</x:v>
      </x:c>
      <x:c r="O936" s="21" t="n">
        <x:f>MIN('Root Data'!I283:I285)</x:f>
        <x:v>0</x:v>
      </x:c>
      <x:c r="P936" s="44" t="n">
        <x:f>IF(AND(L936=1,M936=1,N936=1,O936&gt;=G936),K936,0)</x:f>
        <x:v>0</x:v>
      </x:c>
      <x:c r="Q936" s="21" t="str">
        <x:v>OPEN</x:v>
      </x:c>
      <x:c r="R936" s="23" t="str">
        <x:v>HOLD</x:v>
      </x:c>
    </x:row>
    <x:row r="937">
      <x:c r="B937" s="21" t="str">
        <x:v>AR-00931</x:v>
      </x:c>
      <x:c r="C937" s="21" t="str">
        <x:v>F24-I2</x:v>
      </x:c>
      <x:c r="D937" s="21" t="str">
        <x:v>F24</x:v>
      </x:c>
      <x:c r="E937" s="21" t="n">
        <x:v>1</x:v>
      </x:c>
      <x:c r="F937" s="21" t="str">
        <x:v>Civil effect charter</x:v>
      </x:c>
      <x:c r="G937" s="21" t="n">
        <x:v>0</x:v>
      </x:c>
      <x:c r="H937" s="21" t="str">
        <x:v>Civil Guarantee Authority</x:v>
      </x:c>
      <x:c r="I937" s="44" t="n">
        <x:f>Lifecycle!G7</x:f>
        <x:v>0.04941036958956453</x:v>
      </x:c>
      <x:c r="J937" s="44" t="n">
        <x:v>0.065</x:v>
      </x:c>
      <x:c r="K937" s="44" t="n">
        <x:f>I937*J937</x:f>
        <x:v>0.0032116740233216947</x:v>
      </x:c>
      <x:c r="L937" s="46" t="n">
        <x:v>0</x:v>
      </x:c>
      <x:c r="M937" s="46" t="n">
        <x:v>0</x:v>
      </x:c>
      <x:c r="N937" s="21" t="n">
        <x:f>1</x:f>
        <x:v>1</x:v>
      </x:c>
      <x:c r="O937" s="21" t="n">
        <x:f>MIN('Root Data'!I286:I288)</x:f>
        <x:v>0</x:v>
      </x:c>
      <x:c r="P937" s="44" t="n">
        <x:f>IF(AND(L937=1,M937=1,N937=1,O937&gt;=G937),K937,0)</x:f>
        <x:v>0</x:v>
      </x:c>
      <x:c r="Q937" s="21" t="str">
        <x:v>OPEN</x:v>
      </x:c>
      <x:c r="R937" s="23" t="str">
        <x:v>HOLD</x:v>
      </x:c>
    </x:row>
    <x:row r="938">
      <x:c r="B938" s="21" t="str">
        <x:v>AR-00932</x:v>
      </x:c>
      <x:c r="C938" s="21" t="str">
        <x:v>F24-I2</x:v>
      </x:c>
      <x:c r="D938" s="21" t="str">
        <x:v>F24</x:v>
      </x:c>
      <x:c r="E938" s="21" t="n">
        <x:v>2</x:v>
      </x:c>
      <x:c r="F938" s="21" t="str">
        <x:v>Requirement and root-independence package</x:v>
      </x:c>
      <x:c r="G938" s="21" t="n">
        <x:v>8</x:v>
      </x:c>
      <x:c r="H938" s="21" t="str">
        <x:v>Resilience Staff</x:v>
      </x:c>
      <x:c r="I938" s="44" t="n">
        <x:f>Lifecycle!G8</x:f>
        <x:v>0.10211476381843337</x:v>
      </x:c>
      <x:c r="J938" s="44" t="n">
        <x:v>0.065</x:v>
      </x:c>
      <x:c r="K938" s="44" t="n">
        <x:f>I938*J938</x:f>
        <x:v>0.00663745964819817</x:v>
      </x:c>
      <x:c r="L938" s="46" t="n">
        <x:v>0</x:v>
      </x:c>
      <x:c r="M938" s="46" t="n">
        <x:v>0</x:v>
      </x:c>
      <x:c r="N938" s="21" t="n">
        <x:f>IF(AND(L937=1,M937=1,P937&gt;0),1,0)</x:f>
        <x:v>0</x:v>
      </x:c>
      <x:c r="O938" s="21" t="n">
        <x:f>MIN('Root Data'!I286:I288)</x:f>
        <x:v>0</x:v>
      </x:c>
      <x:c r="P938" s="44" t="n">
        <x:f>IF(AND(L938=1,M938=1,N938=1,O938&gt;=G938),K938,0)</x:f>
        <x:v>0</x:v>
      </x:c>
      <x:c r="Q938" s="21" t="str">
        <x:v>OPEN</x:v>
      </x:c>
      <x:c r="R938" s="23" t="str">
        <x:v>HOLD</x:v>
      </x:c>
    </x:row>
    <x:row r="939">
      <x:c r="B939" s="21" t="str">
        <x:v>AR-00933</x:v>
      </x:c>
      <x:c r="C939" s="21" t="str">
        <x:v>F24-I2</x:v>
      </x:c>
      <x:c r="D939" s="21" t="str">
        <x:v>F24</x:v>
      </x:c>
      <x:c r="E939" s="21" t="n">
        <x:v>3</x:v>
      </x:c>
      <x:c r="F939" s="21" t="str">
        <x:v>Architecture and burden closure</x:v>
      </x:c>
      <x:c r="G939" s="21" t="n">
        <x:v>14</x:v>
      </x:c>
      <x:c r="H939" s="21" t="str">
        <x:v>Independent Evidence and Data Authority</x:v>
      </x:c>
      <x:c r="I939" s="44" t="n">
        <x:f>Lifecycle!G9</x:f>
        <x:v>0.08564464062191186</x:v>
      </x:c>
      <x:c r="J939" s="44" t="n">
        <x:v>0.065</x:v>
      </x:c>
      <x:c r="K939" s="44" t="n">
        <x:f>I939*J939</x:f>
        <x:v>0.005566901640424271</x:v>
      </x:c>
      <x:c r="L939" s="46" t="n">
        <x:v>0</x:v>
      </x:c>
      <x:c r="M939" s="46" t="n">
        <x:v>0</x:v>
      </x:c>
      <x:c r="N939" s="21" t="n">
        <x:f>IF(AND(L938=1,M938=1,P938&gt;0),1,0)</x:f>
        <x:v>0</x:v>
      </x:c>
      <x:c r="O939" s="21" t="n">
        <x:f>MIN('Root Data'!I286:I288)</x:f>
        <x:v>0</x:v>
      </x:c>
      <x:c r="P939" s="44" t="n">
        <x:f>IF(AND(L939=1,M939=1,N939=1,O939&gt;=G939),K939,0)</x:f>
        <x:v>0</x:v>
      </x:c>
      <x:c r="Q939" s="21" t="str">
        <x:v>OPEN</x:v>
      </x:c>
      <x:c r="R939" s="23" t="str">
        <x:v>HOLD</x:v>
      </x:c>
    </x:row>
    <x:row r="940">
      <x:c r="B940" s="21" t="str">
        <x:v>AR-00934</x:v>
      </x:c>
      <x:c r="C940" s="21" t="str">
        <x:v>F24-I2</x:v>
      </x:c>
      <x:c r="D940" s="21" t="str">
        <x:v>F24</x:v>
      </x:c>
      <x:c r="E940" s="21" t="n">
        <x:v>4</x:v>
      </x:c>
      <x:c r="F940" s="21" t="str">
        <x:v>Engineering article acceptance</x:v>
      </x:c>
      <x:c r="G940" s="21" t="n">
        <x:v>18</x:v>
      </x:c>
      <x:c r="H940" s="21" t="str">
        <x:v>Independent Evidence and Data Authority</x:v>
      </x:c>
      <x:c r="I940" s="44" t="n">
        <x:f>Lifecycle!G10</x:f>
        <x:v>0.05929244350747744</x:v>
      </x:c>
      <x:c r="J940" s="44" t="n">
        <x:v>0.065</x:v>
      </x:c>
      <x:c r="K940" s="44" t="n">
        <x:f>I940*J940</x:f>
        <x:v>0.003854008827986034</x:v>
      </x:c>
      <x:c r="L940" s="46" t="n">
        <x:v>0</x:v>
      </x:c>
      <x:c r="M940" s="46" t="n">
        <x:v>0</x:v>
      </x:c>
      <x:c r="N940" s="21" t="n">
        <x:f>IF(AND(L939=1,M939=1,P939&gt;0),1,0)</x:f>
        <x:v>0</x:v>
      </x:c>
      <x:c r="O940" s="21" t="n">
        <x:f>MIN('Root Data'!I286:I288)</x:f>
        <x:v>0</x:v>
      </x:c>
      <x:c r="P940" s="44" t="n">
        <x:f>IF(AND(L940=1,M940=1,N940=1,O940&gt;=G940),K940,0)</x:f>
        <x:v>0</x:v>
      </x:c>
      <x:c r="Q940" s="21" t="str">
        <x:v>OPEN</x:v>
      </x:c>
      <x:c r="R940" s="23" t="str">
        <x:v>HOLD</x:v>
      </x:c>
    </x:row>
    <x:row r="941">
      <x:c r="B941" s="21" t="str">
        <x:v>AR-00935</x:v>
      </x:c>
      <x:c r="C941" s="21" t="str">
        <x:v>F24-I2</x:v>
      </x:c>
      <x:c r="D941" s="21" t="str">
        <x:v>F24</x:v>
      </x:c>
      <x:c r="E941" s="21" t="n">
        <x:v>5</x:v>
      </x:c>
      <x:c r="F941" s="21" t="str">
        <x:v>Qualification and destructive evidence</x:v>
      </x:c>
      <x:c r="G941" s="21" t="n">
        <x:v>21</x:v>
      </x:c>
      <x:c r="H941" s="21" t="str">
        <x:v>Independent Evidence and Data Authority</x:v>
      </x:c>
      <x:c r="I941" s="44" t="n">
        <x:f>Lifecycle!G11</x:f>
        <x:v>0.1515251334079979</x:v>
      </x:c>
      <x:c r="J941" s="44" t="n">
        <x:v>0.065</x:v>
      </x:c>
      <x:c r="K941" s="44" t="n">
        <x:f>I941*J941</x:f>
        <x:v>0.009849133671519864</x:v>
      </x:c>
      <x:c r="L941" s="46" t="n">
        <x:v>0</x:v>
      </x:c>
      <x:c r="M941" s="46" t="n">
        <x:v>0</x:v>
      </x:c>
      <x:c r="N941" s="21" t="n">
        <x:f>IF(AND(L940=1,M940=1,P940&gt;0),1,0)</x:f>
        <x:v>0</x:v>
      </x:c>
      <x:c r="O941" s="21" t="n">
        <x:f>MIN('Root Data'!I286:I288)</x:f>
        <x:v>0</x:v>
      </x:c>
      <x:c r="P941" s="44" t="n">
        <x:f>IF(AND(L941=1,M941=1,N941=1,O941&gt;=G941),K941,0)</x:f>
        <x:v>0</x:v>
      </x:c>
      <x:c r="Q941" s="21" t="str">
        <x:v>OPEN</x:v>
      </x:c>
      <x:c r="R941" s="23" t="str">
        <x:v>HOLD</x:v>
      </x:c>
    </x:row>
    <x:row r="942">
      <x:c r="B942" s="21" t="str">
        <x:v>AR-00936</x:v>
      </x:c>
      <x:c r="C942" s="21" t="str">
        <x:v>F24-I2</x:v>
      </x:c>
      <x:c r="D942" s="21" t="str">
        <x:v>F24</x:v>
      </x:c>
      <x:c r="E942" s="21" t="n">
        <x:v>6</x:v>
      </x:c>
      <x:c r="F942" s="21" t="str">
        <x:v>Representative mission result</x:v>
      </x:c>
      <x:c r="G942" s="21" t="n">
        <x:v>23</x:v>
      </x:c>
      <x:c r="H942" s="21" t="str">
        <x:v>Receiving Service Authority</x:v>
      </x:c>
      <x:c r="I942" s="44" t="n">
        <x:f>Lifecycle!G12</x:f>
        <x:v>0.250345872587127</x:v>
      </x:c>
      <x:c r="J942" s="44" t="n">
        <x:v>0.065</x:v>
      </x:c>
      <x:c r="K942" s="44" t="n">
        <x:f>I942*J942</x:f>
        <x:v>0.016272481718163253</x:v>
      </x:c>
      <x:c r="L942" s="46" t="n">
        <x:v>0</x:v>
      </x:c>
      <x:c r="M942" s="46" t="n">
        <x:v>0</x:v>
      </x:c>
      <x:c r="N942" s="21" t="n">
        <x:f>IF(AND(L941=1,M941=1,P941&gt;0),1,0)</x:f>
        <x:v>0</x:v>
      </x:c>
      <x:c r="O942" s="21" t="n">
        <x:f>MIN('Root Data'!I286:I288)</x:f>
        <x:v>0</x:v>
      </x:c>
      <x:c r="P942" s="44" t="n">
        <x:f>IF(AND(L942=1,M942=1,N942=1,O942&gt;=G942),K942,0)</x:f>
        <x:v>0</x:v>
      </x:c>
      <x:c r="Q942" s="21" t="str">
        <x:v>OPEN</x:v>
      </x:c>
      <x:c r="R942" s="23" t="str">
        <x:v>HOLD</x:v>
      </x:c>
    </x:row>
    <x:row r="943">
      <x:c r="B943" s="21" t="str">
        <x:v>AR-00937</x:v>
      </x:c>
      <x:c r="C943" s="21" t="str">
        <x:v>F24-I2</x:v>
      </x:c>
      <x:c r="D943" s="21" t="str">
        <x:v>F24</x:v>
      </x:c>
      <x:c r="E943" s="21" t="n">
        <x:v>7</x:v>
      </x:c>
      <x:c r="F943" s="21" t="str">
        <x:v>Independent reproduction</x:v>
      </x:c>
      <x:c r="G943" s="21" t="n">
        <x:v>28</x:v>
      </x:c>
      <x:c r="H943" s="21" t="str">
        <x:v>Independent Evidence and Data Authority</x:v>
      </x:c>
      <x:c r="I943" s="44" t="n">
        <x:f>Lifecycle!G13</x:f>
        <x:v>0.21740562619408393</x:v>
      </x:c>
      <x:c r="J943" s="44" t="n">
        <x:v>0.065</x:v>
      </x:c>
      <x:c r="K943" s="44" t="n">
        <x:f>I943*J943</x:f>
        <x:v>0.014131365702615457</x:v>
      </x:c>
      <x:c r="L943" s="46" t="n">
        <x:v>0</x:v>
      </x:c>
      <x:c r="M943" s="46" t="n">
        <x:v>0</x:v>
      </x:c>
      <x:c r="N943" s="21" t="n">
        <x:f>IF(AND(L942=1,M942=1,P942&gt;0),1,0)</x:f>
        <x:v>0</x:v>
      </x:c>
      <x:c r="O943" s="21" t="n">
        <x:f>MIN('Root Data'!I286:I288)</x:f>
        <x:v>0</x:v>
      </x:c>
      <x:c r="P943" s="44" t="n">
        <x:f>IF(AND(L943=1,M943=1,N943=1,O943&gt;=G943),K943,0)</x:f>
        <x:v>0</x:v>
      </x:c>
      <x:c r="Q943" s="21" t="str">
        <x:v>OPEN</x:v>
      </x:c>
      <x:c r="R943" s="23" t="str">
        <x:v>HOLD</x:v>
      </x:c>
    </x:row>
    <x:row r="944">
      <x:c r="B944" s="21" t="str">
        <x:v>AR-00938</x:v>
      </x:c>
      <x:c r="C944" s="21" t="str">
        <x:v>F24-I2</x:v>
      </x:c>
      <x:c r="D944" s="21" t="str">
        <x:v>F24</x:v>
      </x:c>
      <x:c r="E944" s="21" t="n">
        <x:v>8</x:v>
      </x:c>
      <x:c r="F944" s="21" t="str">
        <x:v>Pilot-process qualification</x:v>
      </x:c>
      <x:c r="G944" s="21" t="n">
        <x:v>28</x:v>
      </x:c>
      <x:c r="H944" s="21" t="str">
        <x:v>AIMC Industrial Mobilization Authority</x:v>
      </x:c>
      <x:c r="I944" s="44" t="n">
        <x:f>Lifecycle!G14</x:f>
        <x:v>0.03952829567165163</x:v>
      </x:c>
      <x:c r="J944" s="44" t="n">
        <x:v>0.065</x:v>
      </x:c>
      <x:c r="K944" s="44" t="n">
        <x:f>I944*J944</x:f>
        <x:v>0.002569339218657356</x:v>
      </x:c>
      <x:c r="L944" s="46" t="n">
        <x:v>0</x:v>
      </x:c>
      <x:c r="M944" s="46" t="n">
        <x:v>0</x:v>
      </x:c>
      <x:c r="N944" s="21" t="n">
        <x:f>IF(AND(L943=1,M943=1,P943&gt;0),1,0)</x:f>
        <x:v>0</x:v>
      </x:c>
      <x:c r="O944" s="21" t="n">
        <x:f>MIN('Root Data'!I286:I288)</x:f>
        <x:v>0</x:v>
      </x:c>
      <x:c r="P944" s="44" t="n">
        <x:f>IF(AND(L944=1,M944=1,N944=1,O944&gt;=G944),K944,0)</x:f>
        <x:v>0</x:v>
      </x:c>
      <x:c r="Q944" s="21" t="str">
        <x:v>OPEN</x:v>
      </x:c>
      <x:c r="R944" s="23" t="str">
        <x:v>HOLD</x:v>
      </x:c>
    </x:row>
    <x:row r="945">
      <x:c r="B945" s="21" t="str">
        <x:v>AR-00939</x:v>
      </x:c>
      <x:c r="C945" s="21" t="str">
        <x:v>F24-I2</x:v>
      </x:c>
      <x:c r="D945" s="21" t="str">
        <x:v>F24</x:v>
      </x:c>
      <x:c r="E945" s="21" t="n">
        <x:v>9</x:v>
      </x:c>
      <x:c r="F945" s="21" t="str">
        <x:v>Production release package</x:v>
      </x:c>
      <x:c r="G945" s="21" t="n">
        <x:v>28</x:v>
      </x:c>
      <x:c r="H945" s="21" t="str">
        <x:v>Production Release Board</x:v>
      </x:c>
      <x:c r="I945" s="44" t="n">
        <x:f>Lifecycle!G15</x:f>
        <x:v>0.01647012319652151</x:v>
      </x:c>
      <x:c r="J945" s="44" t="n">
        <x:v>0.065</x:v>
      </x:c>
      <x:c r="K945" s="44" t="n">
        <x:f>I945*J945</x:f>
        <x:v>0.0010705580077738982</x:v>
      </x:c>
      <x:c r="L945" s="46" t="n">
        <x:v>0</x:v>
      </x:c>
      <x:c r="M945" s="46" t="n">
        <x:v>0</x:v>
      </x:c>
      <x:c r="N945" s="21" t="n">
        <x:f>IF(AND(L944=1,M944=1,P944&gt;0),1,0)</x:f>
        <x:v>0</x:v>
      </x:c>
      <x:c r="O945" s="21" t="n">
        <x:f>MIN('Root Data'!I286:I288)</x:f>
        <x:v>0</x:v>
      </x:c>
      <x:c r="P945" s="44" t="n">
        <x:f>IF(AND(L945=1,M945=1,N945=1,O945&gt;=G945),K945,0)</x:f>
        <x:v>0</x:v>
      </x:c>
      <x:c r="Q945" s="21" t="str">
        <x:v>OPEN</x:v>
      </x:c>
      <x:c r="R945" s="23" t="str">
        <x:v>HOLD</x:v>
      </x:c>
    </x:row>
    <x:row r="946">
      <x:c r="B946" s="21" t="str">
        <x:v>AR-00940</x:v>
      </x:c>
      <x:c r="C946" s="21" t="str">
        <x:v>F24-I2</x:v>
      </x:c>
      <x:c r="D946" s="21" t="str">
        <x:v>F24</x:v>
      </x:c>
      <x:c r="E946" s="21" t="n">
        <x:v>10</x:v>
      </x:c>
      <x:c r="F946" s="21" t="str">
        <x:v>Mobilization activation</x:v>
      </x:c>
      <x:c r="G946" s="21" t="n">
        <x:v>28</x:v>
      </x:c>
      <x:c r="H946" s="21" t="str">
        <x:v>Production Release Board</x:v>
      </x:c>
      <x:c r="I946" s="44" t="n">
        <x:f>Lifecycle!G16</x:f>
        <x:v>0.028262731405230914</x:v>
      </x:c>
      <x:c r="J946" s="44" t="n">
        <x:v>0.065</x:v>
      </x:c>
      <x:c r="K946" s="44" t="n">
        <x:f>I946*J946</x:f>
        <x:v>0.0018370775413400094</x:v>
      </x:c>
      <x:c r="L946" s="46" t="n">
        <x:v>0</x:v>
      </x:c>
      <x:c r="M946" s="46" t="n">
        <x:v>0</x:v>
      </x:c>
      <x:c r="N946" s="21" t="n">
        <x:f>IF(AND(L945=1,M945=1,P945&gt;0),1,0)</x:f>
        <x:v>0</x:v>
      </x:c>
      <x:c r="O946" s="21" t="n">
        <x:f>MIN('Root Data'!I286:I288)</x:f>
        <x:v>0</x:v>
      </x:c>
      <x:c r="P946" s="44" t="n">
        <x:f>IF(AND(L946=1,M946=1,N946=1,O946&gt;=G946),K946,0)</x:f>
        <x:v>0</x:v>
      </x:c>
      <x:c r="Q946" s="21" t="str">
        <x:v>OPEN</x:v>
      </x:c>
      <x:c r="R946" s="23" t="str">
        <x:v>HOLD</x:v>
      </x:c>
    </x:row>
    <x:row r="947">
      <x:c r="B947" s="21" t="str">
        <x:v>AR-00941</x:v>
      </x:c>
      <x:c r="C947" s="21" t="str">
        <x:v>F24-I3</x:v>
      </x:c>
      <x:c r="D947" s="21" t="str">
        <x:v>F24</x:v>
      </x:c>
      <x:c r="E947" s="21" t="n">
        <x:v>1</x:v>
      </x:c>
      <x:c r="F947" s="21" t="str">
        <x:v>Civil effect charter</x:v>
      </x:c>
      <x:c r="G947" s="21" t="n">
        <x:v>0</x:v>
      </x:c>
      <x:c r="H947" s="21" t="str">
        <x:v>Civil Guarantee Authority</x:v>
      </x:c>
      <x:c r="I947" s="44" t="n">
        <x:f>Lifecycle!G7</x:f>
        <x:v>0.04941036958956453</x:v>
      </x:c>
      <x:c r="J947" s="44" t="n">
        <x:v>0.065</x:v>
      </x:c>
      <x:c r="K947" s="44" t="n">
        <x:f>I947*J947</x:f>
        <x:v>0.0032116740233216947</x:v>
      </x:c>
      <x:c r="L947" s="46" t="n">
        <x:v>0</x:v>
      </x:c>
      <x:c r="M947" s="46" t="n">
        <x:v>0</x:v>
      </x:c>
      <x:c r="N947" s="21" t="n">
        <x:f>1</x:f>
        <x:v>1</x:v>
      </x:c>
      <x:c r="O947" s="21" t="n">
        <x:f>MIN('Root Data'!I289:I291)</x:f>
        <x:v>0</x:v>
      </x:c>
      <x:c r="P947" s="44" t="n">
        <x:f>IF(AND(L947=1,M947=1,N947=1,O947&gt;=G947),K947,0)</x:f>
        <x:v>0</x:v>
      </x:c>
      <x:c r="Q947" s="21" t="str">
        <x:v>OPEN</x:v>
      </x:c>
      <x:c r="R947" s="23" t="str">
        <x:v>HOLD</x:v>
      </x:c>
    </x:row>
    <x:row r="948">
      <x:c r="B948" s="21" t="str">
        <x:v>AR-00942</x:v>
      </x:c>
      <x:c r="C948" s="21" t="str">
        <x:v>F24-I3</x:v>
      </x:c>
      <x:c r="D948" s="21" t="str">
        <x:v>F24</x:v>
      </x:c>
      <x:c r="E948" s="21" t="n">
        <x:v>2</x:v>
      </x:c>
      <x:c r="F948" s="21" t="str">
        <x:v>Requirement and root-independence package</x:v>
      </x:c>
      <x:c r="G948" s="21" t="n">
        <x:v>8</x:v>
      </x:c>
      <x:c r="H948" s="21" t="str">
        <x:v>Resilience Staff</x:v>
      </x:c>
      <x:c r="I948" s="44" t="n">
        <x:f>Lifecycle!G8</x:f>
        <x:v>0.10211476381843337</x:v>
      </x:c>
      <x:c r="J948" s="44" t="n">
        <x:v>0.065</x:v>
      </x:c>
      <x:c r="K948" s="44" t="n">
        <x:f>I948*J948</x:f>
        <x:v>0.00663745964819817</x:v>
      </x:c>
      <x:c r="L948" s="46" t="n">
        <x:v>0</x:v>
      </x:c>
      <x:c r="M948" s="46" t="n">
        <x:v>0</x:v>
      </x:c>
      <x:c r="N948" s="21" t="n">
        <x:f>IF(AND(L947=1,M947=1,P947&gt;0),1,0)</x:f>
        <x:v>0</x:v>
      </x:c>
      <x:c r="O948" s="21" t="n">
        <x:f>MIN('Root Data'!I289:I291)</x:f>
        <x:v>0</x:v>
      </x:c>
      <x:c r="P948" s="44" t="n">
        <x:f>IF(AND(L948=1,M948=1,N948=1,O948&gt;=G948),K948,0)</x:f>
        <x:v>0</x:v>
      </x:c>
      <x:c r="Q948" s="21" t="str">
        <x:v>OPEN</x:v>
      </x:c>
      <x:c r="R948" s="23" t="str">
        <x:v>HOLD</x:v>
      </x:c>
    </x:row>
    <x:row r="949">
      <x:c r="B949" s="21" t="str">
        <x:v>AR-00943</x:v>
      </x:c>
      <x:c r="C949" s="21" t="str">
        <x:v>F24-I3</x:v>
      </x:c>
      <x:c r="D949" s="21" t="str">
        <x:v>F24</x:v>
      </x:c>
      <x:c r="E949" s="21" t="n">
        <x:v>3</x:v>
      </x:c>
      <x:c r="F949" s="21" t="str">
        <x:v>Architecture and burden closure</x:v>
      </x:c>
      <x:c r="G949" s="21" t="n">
        <x:v>14</x:v>
      </x:c>
      <x:c r="H949" s="21" t="str">
        <x:v>Independent Evidence and Data Authority</x:v>
      </x:c>
      <x:c r="I949" s="44" t="n">
        <x:f>Lifecycle!G9</x:f>
        <x:v>0.08564464062191186</x:v>
      </x:c>
      <x:c r="J949" s="44" t="n">
        <x:v>0.065</x:v>
      </x:c>
      <x:c r="K949" s="44" t="n">
        <x:f>I949*J949</x:f>
        <x:v>0.005566901640424271</x:v>
      </x:c>
      <x:c r="L949" s="46" t="n">
        <x:v>0</x:v>
      </x:c>
      <x:c r="M949" s="46" t="n">
        <x:v>0</x:v>
      </x:c>
      <x:c r="N949" s="21" t="n">
        <x:f>IF(AND(L948=1,M948=1,P948&gt;0),1,0)</x:f>
        <x:v>0</x:v>
      </x:c>
      <x:c r="O949" s="21" t="n">
        <x:f>MIN('Root Data'!I289:I291)</x:f>
        <x:v>0</x:v>
      </x:c>
      <x:c r="P949" s="44" t="n">
        <x:f>IF(AND(L949=1,M949=1,N949=1,O949&gt;=G949),K949,0)</x:f>
        <x:v>0</x:v>
      </x:c>
      <x:c r="Q949" s="21" t="str">
        <x:v>OPEN</x:v>
      </x:c>
      <x:c r="R949" s="23" t="str">
        <x:v>HOLD</x:v>
      </x:c>
    </x:row>
    <x:row r="950">
      <x:c r="B950" s="21" t="str">
        <x:v>AR-00944</x:v>
      </x:c>
      <x:c r="C950" s="21" t="str">
        <x:v>F24-I3</x:v>
      </x:c>
      <x:c r="D950" s="21" t="str">
        <x:v>F24</x:v>
      </x:c>
      <x:c r="E950" s="21" t="n">
        <x:v>4</x:v>
      </x:c>
      <x:c r="F950" s="21" t="str">
        <x:v>Engineering article acceptance</x:v>
      </x:c>
      <x:c r="G950" s="21" t="n">
        <x:v>18</x:v>
      </x:c>
      <x:c r="H950" s="21" t="str">
        <x:v>Independent Evidence and Data Authority</x:v>
      </x:c>
      <x:c r="I950" s="44" t="n">
        <x:f>Lifecycle!G10</x:f>
        <x:v>0.05929244350747744</x:v>
      </x:c>
      <x:c r="J950" s="44" t="n">
        <x:v>0.065</x:v>
      </x:c>
      <x:c r="K950" s="44" t="n">
        <x:f>I950*J950</x:f>
        <x:v>0.003854008827986034</x:v>
      </x:c>
      <x:c r="L950" s="46" t="n">
        <x:v>0</x:v>
      </x:c>
      <x:c r="M950" s="46" t="n">
        <x:v>0</x:v>
      </x:c>
      <x:c r="N950" s="21" t="n">
        <x:f>IF(AND(L949=1,M949=1,P949&gt;0),1,0)</x:f>
        <x:v>0</x:v>
      </x:c>
      <x:c r="O950" s="21" t="n">
        <x:f>MIN('Root Data'!I289:I291)</x:f>
        <x:v>0</x:v>
      </x:c>
      <x:c r="P950" s="44" t="n">
        <x:f>IF(AND(L950=1,M950=1,N950=1,O950&gt;=G950),K950,0)</x:f>
        <x:v>0</x:v>
      </x:c>
      <x:c r="Q950" s="21" t="str">
        <x:v>OPEN</x:v>
      </x:c>
      <x:c r="R950" s="23" t="str">
        <x:v>HOLD</x:v>
      </x:c>
    </x:row>
    <x:row r="951">
      <x:c r="B951" s="21" t="str">
        <x:v>AR-00945</x:v>
      </x:c>
      <x:c r="C951" s="21" t="str">
        <x:v>F24-I3</x:v>
      </x:c>
      <x:c r="D951" s="21" t="str">
        <x:v>F24</x:v>
      </x:c>
      <x:c r="E951" s="21" t="n">
        <x:v>5</x:v>
      </x:c>
      <x:c r="F951" s="21" t="str">
        <x:v>Qualification and destructive evidence</x:v>
      </x:c>
      <x:c r="G951" s="21" t="n">
        <x:v>21</x:v>
      </x:c>
      <x:c r="H951" s="21" t="str">
        <x:v>Independent Evidence and Data Authority</x:v>
      </x:c>
      <x:c r="I951" s="44" t="n">
        <x:f>Lifecycle!G11</x:f>
        <x:v>0.1515251334079979</x:v>
      </x:c>
      <x:c r="J951" s="44" t="n">
        <x:v>0.065</x:v>
      </x:c>
      <x:c r="K951" s="44" t="n">
        <x:f>I951*J951</x:f>
        <x:v>0.009849133671519864</x:v>
      </x:c>
      <x:c r="L951" s="46" t="n">
        <x:v>0</x:v>
      </x:c>
      <x:c r="M951" s="46" t="n">
        <x:v>0</x:v>
      </x:c>
      <x:c r="N951" s="21" t="n">
        <x:f>IF(AND(L950=1,M950=1,P950&gt;0),1,0)</x:f>
        <x:v>0</x:v>
      </x:c>
      <x:c r="O951" s="21" t="n">
        <x:f>MIN('Root Data'!I289:I291)</x:f>
        <x:v>0</x:v>
      </x:c>
      <x:c r="P951" s="44" t="n">
        <x:f>IF(AND(L951=1,M951=1,N951=1,O951&gt;=G951),K951,0)</x:f>
        <x:v>0</x:v>
      </x:c>
      <x:c r="Q951" s="21" t="str">
        <x:v>OPEN</x:v>
      </x:c>
      <x:c r="R951" s="23" t="str">
        <x:v>HOLD</x:v>
      </x:c>
    </x:row>
    <x:row r="952">
      <x:c r="B952" s="21" t="str">
        <x:v>AR-00946</x:v>
      </x:c>
      <x:c r="C952" s="21" t="str">
        <x:v>F24-I3</x:v>
      </x:c>
      <x:c r="D952" s="21" t="str">
        <x:v>F24</x:v>
      </x:c>
      <x:c r="E952" s="21" t="n">
        <x:v>6</x:v>
      </x:c>
      <x:c r="F952" s="21" t="str">
        <x:v>Representative mission result</x:v>
      </x:c>
      <x:c r="G952" s="21" t="n">
        <x:v>23</x:v>
      </x:c>
      <x:c r="H952" s="21" t="str">
        <x:v>Receiving Service Authority</x:v>
      </x:c>
      <x:c r="I952" s="44" t="n">
        <x:f>Lifecycle!G12</x:f>
        <x:v>0.250345872587127</x:v>
      </x:c>
      <x:c r="J952" s="44" t="n">
        <x:v>0.065</x:v>
      </x:c>
      <x:c r="K952" s="44" t="n">
        <x:f>I952*J952</x:f>
        <x:v>0.016272481718163253</x:v>
      </x:c>
      <x:c r="L952" s="46" t="n">
        <x:v>0</x:v>
      </x:c>
      <x:c r="M952" s="46" t="n">
        <x:v>0</x:v>
      </x:c>
      <x:c r="N952" s="21" t="n">
        <x:f>IF(AND(L951=1,M951=1,P951&gt;0),1,0)</x:f>
        <x:v>0</x:v>
      </x:c>
      <x:c r="O952" s="21" t="n">
        <x:f>MIN('Root Data'!I289:I291)</x:f>
        <x:v>0</x:v>
      </x:c>
      <x:c r="P952" s="44" t="n">
        <x:f>IF(AND(L952=1,M952=1,N952=1,O952&gt;=G952),K952,0)</x:f>
        <x:v>0</x:v>
      </x:c>
      <x:c r="Q952" s="21" t="str">
        <x:v>OPEN</x:v>
      </x:c>
      <x:c r="R952" s="23" t="str">
        <x:v>HOLD</x:v>
      </x:c>
    </x:row>
    <x:row r="953">
      <x:c r="B953" s="21" t="str">
        <x:v>AR-00947</x:v>
      </x:c>
      <x:c r="C953" s="21" t="str">
        <x:v>F24-I3</x:v>
      </x:c>
      <x:c r="D953" s="21" t="str">
        <x:v>F24</x:v>
      </x:c>
      <x:c r="E953" s="21" t="n">
        <x:v>7</x:v>
      </x:c>
      <x:c r="F953" s="21" t="str">
        <x:v>Independent reproduction</x:v>
      </x:c>
      <x:c r="G953" s="21" t="n">
        <x:v>28</x:v>
      </x:c>
      <x:c r="H953" s="21" t="str">
        <x:v>Independent Evidence and Data Authority</x:v>
      </x:c>
      <x:c r="I953" s="44" t="n">
        <x:f>Lifecycle!G13</x:f>
        <x:v>0.21740562619408393</x:v>
      </x:c>
      <x:c r="J953" s="44" t="n">
        <x:v>0.065</x:v>
      </x:c>
      <x:c r="K953" s="44" t="n">
        <x:f>I953*J953</x:f>
        <x:v>0.014131365702615457</x:v>
      </x:c>
      <x:c r="L953" s="46" t="n">
        <x:v>0</x:v>
      </x:c>
      <x:c r="M953" s="46" t="n">
        <x:v>0</x:v>
      </x:c>
      <x:c r="N953" s="21" t="n">
        <x:f>IF(AND(L952=1,M952=1,P952&gt;0),1,0)</x:f>
        <x:v>0</x:v>
      </x:c>
      <x:c r="O953" s="21" t="n">
        <x:f>MIN('Root Data'!I289:I291)</x:f>
        <x:v>0</x:v>
      </x:c>
      <x:c r="P953" s="44" t="n">
        <x:f>IF(AND(L953=1,M953=1,N953=1,O953&gt;=G953),K953,0)</x:f>
        <x:v>0</x:v>
      </x:c>
      <x:c r="Q953" s="21" t="str">
        <x:v>OPEN</x:v>
      </x:c>
      <x:c r="R953" s="23" t="str">
        <x:v>HOLD</x:v>
      </x:c>
    </x:row>
    <x:row r="954">
      <x:c r="B954" s="21" t="str">
        <x:v>AR-00948</x:v>
      </x:c>
      <x:c r="C954" s="21" t="str">
        <x:v>F24-I3</x:v>
      </x:c>
      <x:c r="D954" s="21" t="str">
        <x:v>F24</x:v>
      </x:c>
      <x:c r="E954" s="21" t="n">
        <x:v>8</x:v>
      </x:c>
      <x:c r="F954" s="21" t="str">
        <x:v>Pilot-process qualification</x:v>
      </x:c>
      <x:c r="G954" s="21" t="n">
        <x:v>28</x:v>
      </x:c>
      <x:c r="H954" s="21" t="str">
        <x:v>AIMC Industrial Mobilization Authority</x:v>
      </x:c>
      <x:c r="I954" s="44" t="n">
        <x:f>Lifecycle!G14</x:f>
        <x:v>0.03952829567165163</x:v>
      </x:c>
      <x:c r="J954" s="44" t="n">
        <x:v>0.065</x:v>
      </x:c>
      <x:c r="K954" s="44" t="n">
        <x:f>I954*J954</x:f>
        <x:v>0.002569339218657356</x:v>
      </x:c>
      <x:c r="L954" s="46" t="n">
        <x:v>0</x:v>
      </x:c>
      <x:c r="M954" s="46" t="n">
        <x:v>0</x:v>
      </x:c>
      <x:c r="N954" s="21" t="n">
        <x:f>IF(AND(L953=1,M953=1,P953&gt;0),1,0)</x:f>
        <x:v>0</x:v>
      </x:c>
      <x:c r="O954" s="21" t="n">
        <x:f>MIN('Root Data'!I289:I291)</x:f>
        <x:v>0</x:v>
      </x:c>
      <x:c r="P954" s="44" t="n">
        <x:f>IF(AND(L954=1,M954=1,N954=1,O954&gt;=G954),K954,0)</x:f>
        <x:v>0</x:v>
      </x:c>
      <x:c r="Q954" s="21" t="str">
        <x:v>OPEN</x:v>
      </x:c>
      <x:c r="R954" s="23" t="str">
        <x:v>HOLD</x:v>
      </x:c>
    </x:row>
    <x:row r="955">
      <x:c r="B955" s="21" t="str">
        <x:v>AR-00949</x:v>
      </x:c>
      <x:c r="C955" s="21" t="str">
        <x:v>F24-I3</x:v>
      </x:c>
      <x:c r="D955" s="21" t="str">
        <x:v>F24</x:v>
      </x:c>
      <x:c r="E955" s="21" t="n">
        <x:v>9</x:v>
      </x:c>
      <x:c r="F955" s="21" t="str">
        <x:v>Production release package</x:v>
      </x:c>
      <x:c r="G955" s="21" t="n">
        <x:v>28</x:v>
      </x:c>
      <x:c r="H955" s="21" t="str">
        <x:v>Production Release Board</x:v>
      </x:c>
      <x:c r="I955" s="44" t="n">
        <x:f>Lifecycle!G15</x:f>
        <x:v>0.01647012319652151</x:v>
      </x:c>
      <x:c r="J955" s="44" t="n">
        <x:v>0.065</x:v>
      </x:c>
      <x:c r="K955" s="44" t="n">
        <x:f>I955*J955</x:f>
        <x:v>0.0010705580077738982</x:v>
      </x:c>
      <x:c r="L955" s="46" t="n">
        <x:v>0</x:v>
      </x:c>
      <x:c r="M955" s="46" t="n">
        <x:v>0</x:v>
      </x:c>
      <x:c r="N955" s="21" t="n">
        <x:f>IF(AND(L954=1,M954=1,P954&gt;0),1,0)</x:f>
        <x:v>0</x:v>
      </x:c>
      <x:c r="O955" s="21" t="n">
        <x:f>MIN('Root Data'!I289:I291)</x:f>
        <x:v>0</x:v>
      </x:c>
      <x:c r="P955" s="44" t="n">
        <x:f>IF(AND(L955=1,M955=1,N955=1,O955&gt;=G955),K955,0)</x:f>
        <x:v>0</x:v>
      </x:c>
      <x:c r="Q955" s="21" t="str">
        <x:v>OPEN</x:v>
      </x:c>
      <x:c r="R955" s="23" t="str">
        <x:v>HOLD</x:v>
      </x:c>
    </x:row>
    <x:row r="956">
      <x:c r="B956" s="21" t="str">
        <x:v>AR-00950</x:v>
      </x:c>
      <x:c r="C956" s="21" t="str">
        <x:v>F24-I3</x:v>
      </x:c>
      <x:c r="D956" s="21" t="str">
        <x:v>F24</x:v>
      </x:c>
      <x:c r="E956" s="21" t="n">
        <x:v>10</x:v>
      </x:c>
      <x:c r="F956" s="21" t="str">
        <x:v>Mobilization activation</x:v>
      </x:c>
      <x:c r="G956" s="21" t="n">
        <x:v>28</x:v>
      </x:c>
      <x:c r="H956" s="21" t="str">
        <x:v>Production Release Board</x:v>
      </x:c>
      <x:c r="I956" s="44" t="n">
        <x:f>Lifecycle!G16</x:f>
        <x:v>0.028262731405230914</x:v>
      </x:c>
      <x:c r="J956" s="44" t="n">
        <x:v>0.065</x:v>
      </x:c>
      <x:c r="K956" s="44" t="n">
        <x:f>I956*J956</x:f>
        <x:v>0.0018370775413400094</x:v>
      </x:c>
      <x:c r="L956" s="46" t="n">
        <x:v>0</x:v>
      </x:c>
      <x:c r="M956" s="46" t="n">
        <x:v>0</x:v>
      </x:c>
      <x:c r="N956" s="21" t="n">
        <x:f>IF(AND(L955=1,M955=1,P955&gt;0),1,0)</x:f>
        <x:v>0</x:v>
      </x:c>
      <x:c r="O956" s="21" t="n">
        <x:f>MIN('Root Data'!I289:I291)</x:f>
        <x:v>0</x:v>
      </x:c>
      <x:c r="P956" s="44" t="n">
        <x:f>IF(AND(L956=1,M956=1,N956=1,O956&gt;=G956),K956,0)</x:f>
        <x:v>0</x:v>
      </x:c>
      <x:c r="Q956" s="21" t="str">
        <x:v>OPEN</x:v>
      </x:c>
      <x:c r="R956" s="23" t="str">
        <x:v>HOLD</x:v>
      </x:c>
    </x:row>
    <x:row r="957">
      <x:c r="B957" s="21" t="str">
        <x:v>AR-00951</x:v>
      </x:c>
      <x:c r="C957" s="21" t="str">
        <x:v>F24-I4</x:v>
      </x:c>
      <x:c r="D957" s="21" t="str">
        <x:v>F24</x:v>
      </x:c>
      <x:c r="E957" s="21" t="n">
        <x:v>1</x:v>
      </x:c>
      <x:c r="F957" s="21" t="str">
        <x:v>Civil effect charter</x:v>
      </x:c>
      <x:c r="G957" s="21" t="n">
        <x:v>0</x:v>
      </x:c>
      <x:c r="H957" s="21" t="str">
        <x:v>Civil Guarantee Authority</x:v>
      </x:c>
      <x:c r="I957" s="44" t="n">
        <x:f>Lifecycle!G7</x:f>
        <x:v>0.04941036958956453</x:v>
      </x:c>
      <x:c r="J957" s="44" t="n">
        <x:v>0.065</x:v>
      </x:c>
      <x:c r="K957" s="44" t="n">
        <x:f>I957*J957</x:f>
        <x:v>0.0032116740233216947</x:v>
      </x:c>
      <x:c r="L957" s="46" t="n">
        <x:v>0</x:v>
      </x:c>
      <x:c r="M957" s="46" t="n">
        <x:v>0</x:v>
      </x:c>
      <x:c r="N957" s="21" t="n">
        <x:f>1</x:f>
        <x:v>1</x:v>
      </x:c>
      <x:c r="O957" s="21" t="n">
        <x:f>MIN('Root Data'!I292:I294)</x:f>
        <x:v>0</x:v>
      </x:c>
      <x:c r="P957" s="44" t="n">
        <x:f>IF(AND(L957=1,M957=1,N957=1,O957&gt;=G957),K957,0)</x:f>
        <x:v>0</x:v>
      </x:c>
      <x:c r="Q957" s="21" t="str">
        <x:v>OPEN</x:v>
      </x:c>
      <x:c r="R957" s="23" t="str">
        <x:v>HOLD</x:v>
      </x:c>
    </x:row>
    <x:row r="958">
      <x:c r="B958" s="21" t="str">
        <x:v>AR-00952</x:v>
      </x:c>
      <x:c r="C958" s="21" t="str">
        <x:v>F24-I4</x:v>
      </x:c>
      <x:c r="D958" s="21" t="str">
        <x:v>F24</x:v>
      </x:c>
      <x:c r="E958" s="21" t="n">
        <x:v>2</x:v>
      </x:c>
      <x:c r="F958" s="21" t="str">
        <x:v>Requirement and root-independence package</x:v>
      </x:c>
      <x:c r="G958" s="21" t="n">
        <x:v>8</x:v>
      </x:c>
      <x:c r="H958" s="21" t="str">
        <x:v>Resilience Staff</x:v>
      </x:c>
      <x:c r="I958" s="44" t="n">
        <x:f>Lifecycle!G8</x:f>
        <x:v>0.10211476381843337</x:v>
      </x:c>
      <x:c r="J958" s="44" t="n">
        <x:v>0.065</x:v>
      </x:c>
      <x:c r="K958" s="44" t="n">
        <x:f>I958*J958</x:f>
        <x:v>0.00663745964819817</x:v>
      </x:c>
      <x:c r="L958" s="46" t="n">
        <x:v>0</x:v>
      </x:c>
      <x:c r="M958" s="46" t="n">
        <x:v>0</x:v>
      </x:c>
      <x:c r="N958" s="21" t="n">
        <x:f>IF(AND(L957=1,M957=1,P957&gt;0),1,0)</x:f>
        <x:v>0</x:v>
      </x:c>
      <x:c r="O958" s="21" t="n">
        <x:f>MIN('Root Data'!I292:I294)</x:f>
        <x:v>0</x:v>
      </x:c>
      <x:c r="P958" s="44" t="n">
        <x:f>IF(AND(L958=1,M958=1,N958=1,O958&gt;=G958),K958,0)</x:f>
        <x:v>0</x:v>
      </x:c>
      <x:c r="Q958" s="21" t="str">
        <x:v>OPEN</x:v>
      </x:c>
      <x:c r="R958" s="23" t="str">
        <x:v>HOLD</x:v>
      </x:c>
    </x:row>
    <x:row r="959">
      <x:c r="B959" s="21" t="str">
        <x:v>AR-00953</x:v>
      </x:c>
      <x:c r="C959" s="21" t="str">
        <x:v>F24-I4</x:v>
      </x:c>
      <x:c r="D959" s="21" t="str">
        <x:v>F24</x:v>
      </x:c>
      <x:c r="E959" s="21" t="n">
        <x:v>3</x:v>
      </x:c>
      <x:c r="F959" s="21" t="str">
        <x:v>Architecture and burden closure</x:v>
      </x:c>
      <x:c r="G959" s="21" t="n">
        <x:v>14</x:v>
      </x:c>
      <x:c r="H959" s="21" t="str">
        <x:v>Independent Evidence and Data Authority</x:v>
      </x:c>
      <x:c r="I959" s="44" t="n">
        <x:f>Lifecycle!G9</x:f>
        <x:v>0.08564464062191186</x:v>
      </x:c>
      <x:c r="J959" s="44" t="n">
        <x:v>0.065</x:v>
      </x:c>
      <x:c r="K959" s="44" t="n">
        <x:f>I959*J959</x:f>
        <x:v>0.005566901640424271</x:v>
      </x:c>
      <x:c r="L959" s="46" t="n">
        <x:v>0</x:v>
      </x:c>
      <x:c r="M959" s="46" t="n">
        <x:v>0</x:v>
      </x:c>
      <x:c r="N959" s="21" t="n">
        <x:f>IF(AND(L958=1,M958=1,P958&gt;0),1,0)</x:f>
        <x:v>0</x:v>
      </x:c>
      <x:c r="O959" s="21" t="n">
        <x:f>MIN('Root Data'!I292:I294)</x:f>
        <x:v>0</x:v>
      </x:c>
      <x:c r="P959" s="44" t="n">
        <x:f>IF(AND(L959=1,M959=1,N959=1,O959&gt;=G959),K959,0)</x:f>
        <x:v>0</x:v>
      </x:c>
      <x:c r="Q959" s="21" t="str">
        <x:v>OPEN</x:v>
      </x:c>
      <x:c r="R959" s="23" t="str">
        <x:v>HOLD</x:v>
      </x:c>
    </x:row>
    <x:row r="960">
      <x:c r="B960" s="21" t="str">
        <x:v>AR-00954</x:v>
      </x:c>
      <x:c r="C960" s="21" t="str">
        <x:v>F24-I4</x:v>
      </x:c>
      <x:c r="D960" s="21" t="str">
        <x:v>F24</x:v>
      </x:c>
      <x:c r="E960" s="21" t="n">
        <x:v>4</x:v>
      </x:c>
      <x:c r="F960" s="21" t="str">
        <x:v>Engineering article acceptance</x:v>
      </x:c>
      <x:c r="G960" s="21" t="n">
        <x:v>18</x:v>
      </x:c>
      <x:c r="H960" s="21" t="str">
        <x:v>Independent Evidence and Data Authority</x:v>
      </x:c>
      <x:c r="I960" s="44" t="n">
        <x:f>Lifecycle!G10</x:f>
        <x:v>0.05929244350747744</x:v>
      </x:c>
      <x:c r="J960" s="44" t="n">
        <x:v>0.065</x:v>
      </x:c>
      <x:c r="K960" s="44" t="n">
        <x:f>I960*J960</x:f>
        <x:v>0.003854008827986034</x:v>
      </x:c>
      <x:c r="L960" s="46" t="n">
        <x:v>0</x:v>
      </x:c>
      <x:c r="M960" s="46" t="n">
        <x:v>0</x:v>
      </x:c>
      <x:c r="N960" s="21" t="n">
        <x:f>IF(AND(L959=1,M959=1,P959&gt;0),1,0)</x:f>
        <x:v>0</x:v>
      </x:c>
      <x:c r="O960" s="21" t="n">
        <x:f>MIN('Root Data'!I292:I294)</x:f>
        <x:v>0</x:v>
      </x:c>
      <x:c r="P960" s="44" t="n">
        <x:f>IF(AND(L960=1,M960=1,N960=1,O960&gt;=G960),K960,0)</x:f>
        <x:v>0</x:v>
      </x:c>
      <x:c r="Q960" s="21" t="str">
        <x:v>OPEN</x:v>
      </x:c>
      <x:c r="R960" s="23" t="str">
        <x:v>HOLD</x:v>
      </x:c>
    </x:row>
    <x:row r="961">
      <x:c r="B961" s="21" t="str">
        <x:v>AR-00955</x:v>
      </x:c>
      <x:c r="C961" s="21" t="str">
        <x:v>F24-I4</x:v>
      </x:c>
      <x:c r="D961" s="21" t="str">
        <x:v>F24</x:v>
      </x:c>
      <x:c r="E961" s="21" t="n">
        <x:v>5</x:v>
      </x:c>
      <x:c r="F961" s="21" t="str">
        <x:v>Qualification and destructive evidence</x:v>
      </x:c>
      <x:c r="G961" s="21" t="n">
        <x:v>21</x:v>
      </x:c>
      <x:c r="H961" s="21" t="str">
        <x:v>Independent Evidence and Data Authority</x:v>
      </x:c>
      <x:c r="I961" s="44" t="n">
        <x:f>Lifecycle!G11</x:f>
        <x:v>0.1515251334079979</x:v>
      </x:c>
      <x:c r="J961" s="44" t="n">
        <x:v>0.065</x:v>
      </x:c>
      <x:c r="K961" s="44" t="n">
        <x:f>I961*J961</x:f>
        <x:v>0.009849133671519864</x:v>
      </x:c>
      <x:c r="L961" s="46" t="n">
        <x:v>0</x:v>
      </x:c>
      <x:c r="M961" s="46" t="n">
        <x:v>0</x:v>
      </x:c>
      <x:c r="N961" s="21" t="n">
        <x:f>IF(AND(L960=1,M960=1,P960&gt;0),1,0)</x:f>
        <x:v>0</x:v>
      </x:c>
      <x:c r="O961" s="21" t="n">
        <x:f>MIN('Root Data'!I292:I294)</x:f>
        <x:v>0</x:v>
      </x:c>
      <x:c r="P961" s="44" t="n">
        <x:f>IF(AND(L961=1,M961=1,N961=1,O961&gt;=G961),K961,0)</x:f>
        <x:v>0</x:v>
      </x:c>
      <x:c r="Q961" s="21" t="str">
        <x:v>OPEN</x:v>
      </x:c>
      <x:c r="R961" s="23" t="str">
        <x:v>HOLD</x:v>
      </x:c>
    </x:row>
    <x:row r="962">
      <x:c r="B962" s="21" t="str">
        <x:v>AR-00956</x:v>
      </x:c>
      <x:c r="C962" s="21" t="str">
        <x:v>F24-I4</x:v>
      </x:c>
      <x:c r="D962" s="21" t="str">
        <x:v>F24</x:v>
      </x:c>
      <x:c r="E962" s="21" t="n">
        <x:v>6</x:v>
      </x:c>
      <x:c r="F962" s="21" t="str">
        <x:v>Representative mission result</x:v>
      </x:c>
      <x:c r="G962" s="21" t="n">
        <x:v>23</x:v>
      </x:c>
      <x:c r="H962" s="21" t="str">
        <x:v>Receiving Service Authority</x:v>
      </x:c>
      <x:c r="I962" s="44" t="n">
        <x:f>Lifecycle!G12</x:f>
        <x:v>0.250345872587127</x:v>
      </x:c>
      <x:c r="J962" s="44" t="n">
        <x:v>0.065</x:v>
      </x:c>
      <x:c r="K962" s="44" t="n">
        <x:f>I962*J962</x:f>
        <x:v>0.016272481718163253</x:v>
      </x:c>
      <x:c r="L962" s="46" t="n">
        <x:v>0</x:v>
      </x:c>
      <x:c r="M962" s="46" t="n">
        <x:v>0</x:v>
      </x:c>
      <x:c r="N962" s="21" t="n">
        <x:f>IF(AND(L961=1,M961=1,P961&gt;0),1,0)</x:f>
        <x:v>0</x:v>
      </x:c>
      <x:c r="O962" s="21" t="n">
        <x:f>MIN('Root Data'!I292:I294)</x:f>
        <x:v>0</x:v>
      </x:c>
      <x:c r="P962" s="44" t="n">
        <x:f>IF(AND(L962=1,M962=1,N962=1,O962&gt;=G962),K962,0)</x:f>
        <x:v>0</x:v>
      </x:c>
      <x:c r="Q962" s="21" t="str">
        <x:v>OPEN</x:v>
      </x:c>
      <x:c r="R962" s="23" t="str">
        <x:v>HOLD</x:v>
      </x:c>
    </x:row>
    <x:row r="963">
      <x:c r="B963" s="21" t="str">
        <x:v>AR-00957</x:v>
      </x:c>
      <x:c r="C963" s="21" t="str">
        <x:v>F24-I4</x:v>
      </x:c>
      <x:c r="D963" s="21" t="str">
        <x:v>F24</x:v>
      </x:c>
      <x:c r="E963" s="21" t="n">
        <x:v>7</x:v>
      </x:c>
      <x:c r="F963" s="21" t="str">
        <x:v>Independent reproduction</x:v>
      </x:c>
      <x:c r="G963" s="21" t="n">
        <x:v>28</x:v>
      </x:c>
      <x:c r="H963" s="21" t="str">
        <x:v>Independent Evidence and Data Authority</x:v>
      </x:c>
      <x:c r="I963" s="44" t="n">
        <x:f>Lifecycle!G13</x:f>
        <x:v>0.21740562619408393</x:v>
      </x:c>
      <x:c r="J963" s="44" t="n">
        <x:v>0.065</x:v>
      </x:c>
      <x:c r="K963" s="44" t="n">
        <x:f>I963*J963</x:f>
        <x:v>0.014131365702615457</x:v>
      </x:c>
      <x:c r="L963" s="46" t="n">
        <x:v>0</x:v>
      </x:c>
      <x:c r="M963" s="46" t="n">
        <x:v>0</x:v>
      </x:c>
      <x:c r="N963" s="21" t="n">
        <x:f>IF(AND(L962=1,M962=1,P962&gt;0),1,0)</x:f>
        <x:v>0</x:v>
      </x:c>
      <x:c r="O963" s="21" t="n">
        <x:f>MIN('Root Data'!I292:I294)</x:f>
        <x:v>0</x:v>
      </x:c>
      <x:c r="P963" s="44" t="n">
        <x:f>IF(AND(L963=1,M963=1,N963=1,O963&gt;=G963),K963,0)</x:f>
        <x:v>0</x:v>
      </x:c>
      <x:c r="Q963" s="21" t="str">
        <x:v>OPEN</x:v>
      </x:c>
      <x:c r="R963" s="23" t="str">
        <x:v>HOLD</x:v>
      </x:c>
    </x:row>
    <x:row r="964">
      <x:c r="B964" s="21" t="str">
        <x:v>AR-00958</x:v>
      </x:c>
      <x:c r="C964" s="21" t="str">
        <x:v>F24-I4</x:v>
      </x:c>
      <x:c r="D964" s="21" t="str">
        <x:v>F24</x:v>
      </x:c>
      <x:c r="E964" s="21" t="n">
        <x:v>8</x:v>
      </x:c>
      <x:c r="F964" s="21" t="str">
        <x:v>Pilot-process qualification</x:v>
      </x:c>
      <x:c r="G964" s="21" t="n">
        <x:v>28</x:v>
      </x:c>
      <x:c r="H964" s="21" t="str">
        <x:v>AIMC Industrial Mobilization Authority</x:v>
      </x:c>
      <x:c r="I964" s="44" t="n">
        <x:f>Lifecycle!G14</x:f>
        <x:v>0.03952829567165163</x:v>
      </x:c>
      <x:c r="J964" s="44" t="n">
        <x:v>0.065</x:v>
      </x:c>
      <x:c r="K964" s="44" t="n">
        <x:f>I964*J964</x:f>
        <x:v>0.002569339218657356</x:v>
      </x:c>
      <x:c r="L964" s="46" t="n">
        <x:v>0</x:v>
      </x:c>
      <x:c r="M964" s="46" t="n">
        <x:v>0</x:v>
      </x:c>
      <x:c r="N964" s="21" t="n">
        <x:f>IF(AND(L963=1,M963=1,P963&gt;0),1,0)</x:f>
        <x:v>0</x:v>
      </x:c>
      <x:c r="O964" s="21" t="n">
        <x:f>MIN('Root Data'!I292:I294)</x:f>
        <x:v>0</x:v>
      </x:c>
      <x:c r="P964" s="44" t="n">
        <x:f>IF(AND(L964=1,M964=1,N964=1,O964&gt;=G964),K964,0)</x:f>
        <x:v>0</x:v>
      </x:c>
      <x:c r="Q964" s="21" t="str">
        <x:v>OPEN</x:v>
      </x:c>
      <x:c r="R964" s="23" t="str">
        <x:v>HOLD</x:v>
      </x:c>
    </x:row>
    <x:row r="965">
      <x:c r="B965" s="21" t="str">
        <x:v>AR-00959</x:v>
      </x:c>
      <x:c r="C965" s="21" t="str">
        <x:v>F24-I4</x:v>
      </x:c>
      <x:c r="D965" s="21" t="str">
        <x:v>F24</x:v>
      </x:c>
      <x:c r="E965" s="21" t="n">
        <x:v>9</x:v>
      </x:c>
      <x:c r="F965" s="21" t="str">
        <x:v>Production release package</x:v>
      </x:c>
      <x:c r="G965" s="21" t="n">
        <x:v>28</x:v>
      </x:c>
      <x:c r="H965" s="21" t="str">
        <x:v>Production Release Board</x:v>
      </x:c>
      <x:c r="I965" s="44" t="n">
        <x:f>Lifecycle!G15</x:f>
        <x:v>0.01647012319652151</x:v>
      </x:c>
      <x:c r="J965" s="44" t="n">
        <x:v>0.065</x:v>
      </x:c>
      <x:c r="K965" s="44" t="n">
        <x:f>I965*J965</x:f>
        <x:v>0.0010705580077738982</x:v>
      </x:c>
      <x:c r="L965" s="46" t="n">
        <x:v>0</x:v>
      </x:c>
      <x:c r="M965" s="46" t="n">
        <x:v>0</x:v>
      </x:c>
      <x:c r="N965" s="21" t="n">
        <x:f>IF(AND(L964=1,M964=1,P964&gt;0),1,0)</x:f>
        <x:v>0</x:v>
      </x:c>
      <x:c r="O965" s="21" t="n">
        <x:f>MIN('Root Data'!I292:I294)</x:f>
        <x:v>0</x:v>
      </x:c>
      <x:c r="P965" s="44" t="n">
        <x:f>IF(AND(L965=1,M965=1,N965=1,O965&gt;=G965),K965,0)</x:f>
        <x:v>0</x:v>
      </x:c>
      <x:c r="Q965" s="21" t="str">
        <x:v>OPEN</x:v>
      </x:c>
      <x:c r="R965" s="23" t="str">
        <x:v>HOLD</x:v>
      </x:c>
    </x:row>
    <x:row r="966">
      <x:c r="B966" s="21" t="str">
        <x:v>AR-00960</x:v>
      </x:c>
      <x:c r="C966" s="21" t="str">
        <x:v>F24-I4</x:v>
      </x:c>
      <x:c r="D966" s="21" t="str">
        <x:v>F24</x:v>
      </x:c>
      <x:c r="E966" s="21" t="n">
        <x:v>10</x:v>
      </x:c>
      <x:c r="F966" s="21" t="str">
        <x:v>Mobilization activation</x:v>
      </x:c>
      <x:c r="G966" s="21" t="n">
        <x:v>28</x:v>
      </x:c>
      <x:c r="H966" s="21" t="str">
        <x:v>Production Release Board</x:v>
      </x:c>
      <x:c r="I966" s="44" t="n">
        <x:f>Lifecycle!G16</x:f>
        <x:v>0.028262731405230914</x:v>
      </x:c>
      <x:c r="J966" s="44" t="n">
        <x:v>0.065</x:v>
      </x:c>
      <x:c r="K966" s="44" t="n">
        <x:f>I966*J966</x:f>
        <x:v>0.0018370775413400094</x:v>
      </x:c>
      <x:c r="L966" s="46" t="n">
        <x:v>0</x:v>
      </x:c>
      <x:c r="M966" s="46" t="n">
        <x:v>0</x:v>
      </x:c>
      <x:c r="N966" s="21" t="n">
        <x:f>IF(AND(L965=1,M965=1,P965&gt;0),1,0)</x:f>
        <x:v>0</x:v>
      </x:c>
      <x:c r="O966" s="21" t="n">
        <x:f>MIN('Root Data'!I292:I294)</x:f>
        <x:v>0</x:v>
      </x:c>
      <x:c r="P966" s="44" t="n">
        <x:f>IF(AND(L966=1,M966=1,N966=1,O966&gt;=G966),K966,0)</x:f>
        <x:v>0</x:v>
      </x:c>
      <x:c r="Q966" s="21" t="str">
        <x:v>OPEN</x:v>
      </x:c>
      <x:c r="R966" s="23" t="str">
        <x:v>HOLD</x:v>
      </x:c>
    </x:row>
    <x:row r="967">
      <x:c r="B967" s="21" t="str">
        <x:v>AR-00961</x:v>
      </x:c>
      <x:c r="C967" s="21" t="str">
        <x:v>F25-I1</x:v>
      </x:c>
      <x:c r="D967" s="21" t="str">
        <x:v>F25</x:v>
      </x:c>
      <x:c r="E967" s="21" t="n">
        <x:v>1</x:v>
      </x:c>
      <x:c r="F967" s="21" t="str">
        <x:v>Civil effect charter</x:v>
      </x:c>
      <x:c r="G967" s="21" t="n">
        <x:v>0</x:v>
      </x:c>
      <x:c r="H967" s="21" t="str">
        <x:v>Civil Guarantee Authority</x:v>
      </x:c>
      <x:c r="I967" s="44" t="n">
        <x:f>Lifecycle!G7</x:f>
        <x:v>0.04941036958956453</x:v>
      </x:c>
      <x:c r="J967" s="44" t="n">
        <x:v>0.065</x:v>
      </x:c>
      <x:c r="K967" s="44" t="n">
        <x:f>I967*J967</x:f>
        <x:v>0.0032116740233216947</x:v>
      </x:c>
      <x:c r="L967" s="46" t="n">
        <x:v>0</x:v>
      </x:c>
      <x:c r="M967" s="46" t="n">
        <x:v>0</x:v>
      </x:c>
      <x:c r="N967" s="21" t="n">
        <x:f>1</x:f>
        <x:v>1</x:v>
      </x:c>
      <x:c r="O967" s="21" t="n">
        <x:f>MIN('Root Data'!I295:I297)</x:f>
        <x:v>0</x:v>
      </x:c>
      <x:c r="P967" s="44" t="n">
        <x:f>IF(AND(L967=1,M967=1,N967=1,O967&gt;=G967),K967,0)</x:f>
        <x:v>0</x:v>
      </x:c>
      <x:c r="Q967" s="21" t="str">
        <x:v>OPEN</x:v>
      </x:c>
      <x:c r="R967" s="23" t="str">
        <x:v>HOLD</x:v>
      </x:c>
    </x:row>
    <x:row r="968">
      <x:c r="B968" s="21" t="str">
        <x:v>AR-00962</x:v>
      </x:c>
      <x:c r="C968" s="21" t="str">
        <x:v>F25-I1</x:v>
      </x:c>
      <x:c r="D968" s="21" t="str">
        <x:v>F25</x:v>
      </x:c>
      <x:c r="E968" s="21" t="n">
        <x:v>2</x:v>
      </x:c>
      <x:c r="F968" s="21" t="str">
        <x:v>Requirement and root-independence package</x:v>
      </x:c>
      <x:c r="G968" s="21" t="n">
        <x:v>8</x:v>
      </x:c>
      <x:c r="H968" s="21" t="str">
        <x:v>Resilience Staff</x:v>
      </x:c>
      <x:c r="I968" s="44" t="n">
        <x:f>Lifecycle!G8</x:f>
        <x:v>0.10211476381843337</x:v>
      </x:c>
      <x:c r="J968" s="44" t="n">
        <x:v>0.065</x:v>
      </x:c>
      <x:c r="K968" s="44" t="n">
        <x:f>I968*J968</x:f>
        <x:v>0.00663745964819817</x:v>
      </x:c>
      <x:c r="L968" s="46" t="n">
        <x:v>0</x:v>
      </x:c>
      <x:c r="M968" s="46" t="n">
        <x:v>0</x:v>
      </x:c>
      <x:c r="N968" s="21" t="n">
        <x:f>IF(AND(L967=1,M967=1,P967&gt;0),1,0)</x:f>
        <x:v>0</x:v>
      </x:c>
      <x:c r="O968" s="21" t="n">
        <x:f>MIN('Root Data'!I295:I297)</x:f>
        <x:v>0</x:v>
      </x:c>
      <x:c r="P968" s="44" t="n">
        <x:f>IF(AND(L968=1,M968=1,N968=1,O968&gt;=G968),K968,0)</x:f>
        <x:v>0</x:v>
      </x:c>
      <x:c r="Q968" s="21" t="str">
        <x:v>OPEN</x:v>
      </x:c>
      <x:c r="R968" s="23" t="str">
        <x:v>HOLD</x:v>
      </x:c>
    </x:row>
    <x:row r="969">
      <x:c r="B969" s="21" t="str">
        <x:v>AR-00963</x:v>
      </x:c>
      <x:c r="C969" s="21" t="str">
        <x:v>F25-I1</x:v>
      </x:c>
      <x:c r="D969" s="21" t="str">
        <x:v>F25</x:v>
      </x:c>
      <x:c r="E969" s="21" t="n">
        <x:v>3</x:v>
      </x:c>
      <x:c r="F969" s="21" t="str">
        <x:v>Architecture and burden closure</x:v>
      </x:c>
      <x:c r="G969" s="21" t="n">
        <x:v>14</x:v>
      </x:c>
      <x:c r="H969" s="21" t="str">
        <x:v>Independent Evidence and Data Authority</x:v>
      </x:c>
      <x:c r="I969" s="44" t="n">
        <x:f>Lifecycle!G9</x:f>
        <x:v>0.08564464062191186</x:v>
      </x:c>
      <x:c r="J969" s="44" t="n">
        <x:v>0.065</x:v>
      </x:c>
      <x:c r="K969" s="44" t="n">
        <x:f>I969*J969</x:f>
        <x:v>0.005566901640424271</x:v>
      </x:c>
      <x:c r="L969" s="46" t="n">
        <x:v>0</x:v>
      </x:c>
      <x:c r="M969" s="46" t="n">
        <x:v>0</x:v>
      </x:c>
      <x:c r="N969" s="21" t="n">
        <x:f>IF(AND(L968=1,M968=1,P968&gt;0),1,0)</x:f>
        <x:v>0</x:v>
      </x:c>
      <x:c r="O969" s="21" t="n">
        <x:f>MIN('Root Data'!I295:I297)</x:f>
        <x:v>0</x:v>
      </x:c>
      <x:c r="P969" s="44" t="n">
        <x:f>IF(AND(L969=1,M969=1,N969=1,O969&gt;=G969),K969,0)</x:f>
        <x:v>0</x:v>
      </x:c>
      <x:c r="Q969" s="21" t="str">
        <x:v>OPEN</x:v>
      </x:c>
      <x:c r="R969" s="23" t="str">
        <x:v>HOLD</x:v>
      </x:c>
    </x:row>
    <x:row r="970">
      <x:c r="B970" s="21" t="str">
        <x:v>AR-00964</x:v>
      </x:c>
      <x:c r="C970" s="21" t="str">
        <x:v>F25-I1</x:v>
      </x:c>
      <x:c r="D970" s="21" t="str">
        <x:v>F25</x:v>
      </x:c>
      <x:c r="E970" s="21" t="n">
        <x:v>4</x:v>
      </x:c>
      <x:c r="F970" s="21" t="str">
        <x:v>Engineering article acceptance</x:v>
      </x:c>
      <x:c r="G970" s="21" t="n">
        <x:v>18</x:v>
      </x:c>
      <x:c r="H970" s="21" t="str">
        <x:v>Independent Evidence and Data Authority</x:v>
      </x:c>
      <x:c r="I970" s="44" t="n">
        <x:f>Lifecycle!G10</x:f>
        <x:v>0.05929244350747744</x:v>
      </x:c>
      <x:c r="J970" s="44" t="n">
        <x:v>0.065</x:v>
      </x:c>
      <x:c r="K970" s="44" t="n">
        <x:f>I970*J970</x:f>
        <x:v>0.003854008827986034</x:v>
      </x:c>
      <x:c r="L970" s="46" t="n">
        <x:v>0</x:v>
      </x:c>
      <x:c r="M970" s="46" t="n">
        <x:v>0</x:v>
      </x:c>
      <x:c r="N970" s="21" t="n">
        <x:f>IF(AND(L969=1,M969=1,P969&gt;0),1,0)</x:f>
        <x:v>0</x:v>
      </x:c>
      <x:c r="O970" s="21" t="n">
        <x:f>MIN('Root Data'!I295:I297)</x:f>
        <x:v>0</x:v>
      </x:c>
      <x:c r="P970" s="44" t="n">
        <x:f>IF(AND(L970=1,M970=1,N970=1,O970&gt;=G970),K970,0)</x:f>
        <x:v>0</x:v>
      </x:c>
      <x:c r="Q970" s="21" t="str">
        <x:v>OPEN</x:v>
      </x:c>
      <x:c r="R970" s="23" t="str">
        <x:v>HOLD</x:v>
      </x:c>
    </x:row>
    <x:row r="971">
      <x:c r="B971" s="21" t="str">
        <x:v>AR-00965</x:v>
      </x:c>
      <x:c r="C971" s="21" t="str">
        <x:v>F25-I1</x:v>
      </x:c>
      <x:c r="D971" s="21" t="str">
        <x:v>F25</x:v>
      </x:c>
      <x:c r="E971" s="21" t="n">
        <x:v>5</x:v>
      </x:c>
      <x:c r="F971" s="21" t="str">
        <x:v>Qualification and destructive evidence</x:v>
      </x:c>
      <x:c r="G971" s="21" t="n">
        <x:v>21</x:v>
      </x:c>
      <x:c r="H971" s="21" t="str">
        <x:v>Independent Evidence and Data Authority</x:v>
      </x:c>
      <x:c r="I971" s="44" t="n">
        <x:f>Lifecycle!G11</x:f>
        <x:v>0.1515251334079979</x:v>
      </x:c>
      <x:c r="J971" s="44" t="n">
        <x:v>0.065</x:v>
      </x:c>
      <x:c r="K971" s="44" t="n">
        <x:f>I971*J971</x:f>
        <x:v>0.009849133671519864</x:v>
      </x:c>
      <x:c r="L971" s="46" t="n">
        <x:v>0</x:v>
      </x:c>
      <x:c r="M971" s="46" t="n">
        <x:v>0</x:v>
      </x:c>
      <x:c r="N971" s="21" t="n">
        <x:f>IF(AND(L970=1,M970=1,P970&gt;0),1,0)</x:f>
        <x:v>0</x:v>
      </x:c>
      <x:c r="O971" s="21" t="n">
        <x:f>MIN('Root Data'!I295:I297)</x:f>
        <x:v>0</x:v>
      </x:c>
      <x:c r="P971" s="44" t="n">
        <x:f>IF(AND(L971=1,M971=1,N971=1,O971&gt;=G971),K971,0)</x:f>
        <x:v>0</x:v>
      </x:c>
      <x:c r="Q971" s="21" t="str">
        <x:v>OPEN</x:v>
      </x:c>
      <x:c r="R971" s="23" t="str">
        <x:v>HOLD</x:v>
      </x:c>
    </x:row>
    <x:row r="972">
      <x:c r="B972" s="21" t="str">
        <x:v>AR-00966</x:v>
      </x:c>
      <x:c r="C972" s="21" t="str">
        <x:v>F25-I1</x:v>
      </x:c>
      <x:c r="D972" s="21" t="str">
        <x:v>F25</x:v>
      </x:c>
      <x:c r="E972" s="21" t="n">
        <x:v>6</x:v>
      </x:c>
      <x:c r="F972" s="21" t="str">
        <x:v>Representative mission result</x:v>
      </x:c>
      <x:c r="G972" s="21" t="n">
        <x:v>23</x:v>
      </x:c>
      <x:c r="H972" s="21" t="str">
        <x:v>Receiving Service Authority</x:v>
      </x:c>
      <x:c r="I972" s="44" t="n">
        <x:f>Lifecycle!G12</x:f>
        <x:v>0.250345872587127</x:v>
      </x:c>
      <x:c r="J972" s="44" t="n">
        <x:v>0.065</x:v>
      </x:c>
      <x:c r="K972" s="44" t="n">
        <x:f>I972*J972</x:f>
        <x:v>0.016272481718163253</x:v>
      </x:c>
      <x:c r="L972" s="46" t="n">
        <x:v>0</x:v>
      </x:c>
      <x:c r="M972" s="46" t="n">
        <x:v>0</x:v>
      </x:c>
      <x:c r="N972" s="21" t="n">
        <x:f>IF(AND(L971=1,M971=1,P971&gt;0),1,0)</x:f>
        <x:v>0</x:v>
      </x:c>
      <x:c r="O972" s="21" t="n">
        <x:f>MIN('Root Data'!I295:I297)</x:f>
        <x:v>0</x:v>
      </x:c>
      <x:c r="P972" s="44" t="n">
        <x:f>IF(AND(L972=1,M972=1,N972=1,O972&gt;=G972),K972,0)</x:f>
        <x:v>0</x:v>
      </x:c>
      <x:c r="Q972" s="21" t="str">
        <x:v>OPEN</x:v>
      </x:c>
      <x:c r="R972" s="23" t="str">
        <x:v>HOLD</x:v>
      </x:c>
    </x:row>
    <x:row r="973">
      <x:c r="B973" s="21" t="str">
        <x:v>AR-00967</x:v>
      </x:c>
      <x:c r="C973" s="21" t="str">
        <x:v>F25-I1</x:v>
      </x:c>
      <x:c r="D973" s="21" t="str">
        <x:v>F25</x:v>
      </x:c>
      <x:c r="E973" s="21" t="n">
        <x:v>7</x:v>
      </x:c>
      <x:c r="F973" s="21" t="str">
        <x:v>Independent reproduction</x:v>
      </x:c>
      <x:c r="G973" s="21" t="n">
        <x:v>28</x:v>
      </x:c>
      <x:c r="H973" s="21" t="str">
        <x:v>Independent Evidence and Data Authority</x:v>
      </x:c>
      <x:c r="I973" s="44" t="n">
        <x:f>Lifecycle!G13</x:f>
        <x:v>0.21740562619408393</x:v>
      </x:c>
      <x:c r="J973" s="44" t="n">
        <x:v>0.065</x:v>
      </x:c>
      <x:c r="K973" s="44" t="n">
        <x:f>I973*J973</x:f>
        <x:v>0.014131365702615457</x:v>
      </x:c>
      <x:c r="L973" s="46" t="n">
        <x:v>0</x:v>
      </x:c>
      <x:c r="M973" s="46" t="n">
        <x:v>0</x:v>
      </x:c>
      <x:c r="N973" s="21" t="n">
        <x:f>IF(AND(L972=1,M972=1,P972&gt;0),1,0)</x:f>
        <x:v>0</x:v>
      </x:c>
      <x:c r="O973" s="21" t="n">
        <x:f>MIN('Root Data'!I295:I297)</x:f>
        <x:v>0</x:v>
      </x:c>
      <x:c r="P973" s="44" t="n">
        <x:f>IF(AND(L973=1,M973=1,N973=1,O973&gt;=G973),K973,0)</x:f>
        <x:v>0</x:v>
      </x:c>
      <x:c r="Q973" s="21" t="str">
        <x:v>OPEN</x:v>
      </x:c>
      <x:c r="R973" s="23" t="str">
        <x:v>HOLD</x:v>
      </x:c>
    </x:row>
    <x:row r="974">
      <x:c r="B974" s="21" t="str">
        <x:v>AR-00968</x:v>
      </x:c>
      <x:c r="C974" s="21" t="str">
        <x:v>F25-I1</x:v>
      </x:c>
      <x:c r="D974" s="21" t="str">
        <x:v>F25</x:v>
      </x:c>
      <x:c r="E974" s="21" t="n">
        <x:v>8</x:v>
      </x:c>
      <x:c r="F974" s="21" t="str">
        <x:v>Pilot-process qualification</x:v>
      </x:c>
      <x:c r="G974" s="21" t="n">
        <x:v>28</x:v>
      </x:c>
      <x:c r="H974" s="21" t="str">
        <x:v>AIMC Industrial Mobilization Authority</x:v>
      </x:c>
      <x:c r="I974" s="44" t="n">
        <x:f>Lifecycle!G14</x:f>
        <x:v>0.03952829567165163</x:v>
      </x:c>
      <x:c r="J974" s="44" t="n">
        <x:v>0.065</x:v>
      </x:c>
      <x:c r="K974" s="44" t="n">
        <x:f>I974*J974</x:f>
        <x:v>0.002569339218657356</x:v>
      </x:c>
      <x:c r="L974" s="46" t="n">
        <x:v>0</x:v>
      </x:c>
      <x:c r="M974" s="46" t="n">
        <x:v>0</x:v>
      </x:c>
      <x:c r="N974" s="21" t="n">
        <x:f>IF(AND(L973=1,M973=1,P973&gt;0),1,0)</x:f>
        <x:v>0</x:v>
      </x:c>
      <x:c r="O974" s="21" t="n">
        <x:f>MIN('Root Data'!I295:I297)</x:f>
        <x:v>0</x:v>
      </x:c>
      <x:c r="P974" s="44" t="n">
        <x:f>IF(AND(L974=1,M974=1,N974=1,O974&gt;=G974),K974,0)</x:f>
        <x:v>0</x:v>
      </x:c>
      <x:c r="Q974" s="21" t="str">
        <x:v>OPEN</x:v>
      </x:c>
      <x:c r="R974" s="23" t="str">
        <x:v>HOLD</x:v>
      </x:c>
    </x:row>
    <x:row r="975">
      <x:c r="B975" s="21" t="str">
        <x:v>AR-00969</x:v>
      </x:c>
      <x:c r="C975" s="21" t="str">
        <x:v>F25-I1</x:v>
      </x:c>
      <x:c r="D975" s="21" t="str">
        <x:v>F25</x:v>
      </x:c>
      <x:c r="E975" s="21" t="n">
        <x:v>9</x:v>
      </x:c>
      <x:c r="F975" s="21" t="str">
        <x:v>Production release package</x:v>
      </x:c>
      <x:c r="G975" s="21" t="n">
        <x:v>28</x:v>
      </x:c>
      <x:c r="H975" s="21" t="str">
        <x:v>Production Release Board</x:v>
      </x:c>
      <x:c r="I975" s="44" t="n">
        <x:f>Lifecycle!G15</x:f>
        <x:v>0.01647012319652151</x:v>
      </x:c>
      <x:c r="J975" s="44" t="n">
        <x:v>0.065</x:v>
      </x:c>
      <x:c r="K975" s="44" t="n">
        <x:f>I975*J975</x:f>
        <x:v>0.0010705580077738982</x:v>
      </x:c>
      <x:c r="L975" s="46" t="n">
        <x:v>0</x:v>
      </x:c>
      <x:c r="M975" s="46" t="n">
        <x:v>0</x:v>
      </x:c>
      <x:c r="N975" s="21" t="n">
        <x:f>IF(AND(L974=1,M974=1,P974&gt;0),1,0)</x:f>
        <x:v>0</x:v>
      </x:c>
      <x:c r="O975" s="21" t="n">
        <x:f>MIN('Root Data'!I295:I297)</x:f>
        <x:v>0</x:v>
      </x:c>
      <x:c r="P975" s="44" t="n">
        <x:f>IF(AND(L975=1,M975=1,N975=1,O975&gt;=G975),K975,0)</x:f>
        <x:v>0</x:v>
      </x:c>
      <x:c r="Q975" s="21" t="str">
        <x:v>OPEN</x:v>
      </x:c>
      <x:c r="R975" s="23" t="str">
        <x:v>HOLD</x:v>
      </x:c>
    </x:row>
    <x:row r="976">
      <x:c r="B976" s="21" t="str">
        <x:v>AR-00970</x:v>
      </x:c>
      <x:c r="C976" s="21" t="str">
        <x:v>F25-I1</x:v>
      </x:c>
      <x:c r="D976" s="21" t="str">
        <x:v>F25</x:v>
      </x:c>
      <x:c r="E976" s="21" t="n">
        <x:v>10</x:v>
      </x:c>
      <x:c r="F976" s="21" t="str">
        <x:v>Mobilization activation</x:v>
      </x:c>
      <x:c r="G976" s="21" t="n">
        <x:v>28</x:v>
      </x:c>
      <x:c r="H976" s="21" t="str">
        <x:v>Production Release Board</x:v>
      </x:c>
      <x:c r="I976" s="44" t="n">
        <x:f>Lifecycle!G16</x:f>
        <x:v>0.028262731405230914</x:v>
      </x:c>
      <x:c r="J976" s="44" t="n">
        <x:v>0.065</x:v>
      </x:c>
      <x:c r="K976" s="44" t="n">
        <x:f>I976*J976</x:f>
        <x:v>0.0018370775413400094</x:v>
      </x:c>
      <x:c r="L976" s="46" t="n">
        <x:v>0</x:v>
      </x:c>
      <x:c r="M976" s="46" t="n">
        <x:v>0</x:v>
      </x:c>
      <x:c r="N976" s="21" t="n">
        <x:f>IF(AND(L975=1,M975=1,P975&gt;0),1,0)</x:f>
        <x:v>0</x:v>
      </x:c>
      <x:c r="O976" s="21" t="n">
        <x:f>MIN('Root Data'!I295:I297)</x:f>
        <x:v>0</x:v>
      </x:c>
      <x:c r="P976" s="44" t="n">
        <x:f>IF(AND(L976=1,M976=1,N976=1,O976&gt;=G976),K976,0)</x:f>
        <x:v>0</x:v>
      </x:c>
      <x:c r="Q976" s="21" t="str">
        <x:v>OPEN</x:v>
      </x:c>
      <x:c r="R976" s="23" t="str">
        <x:v>HOLD</x:v>
      </x:c>
    </x:row>
    <x:row r="977">
      <x:c r="B977" s="21" t="str">
        <x:v>AR-00971</x:v>
      </x:c>
      <x:c r="C977" s="21" t="str">
        <x:v>F25-I2</x:v>
      </x:c>
      <x:c r="D977" s="21" t="str">
        <x:v>F25</x:v>
      </x:c>
      <x:c r="E977" s="21" t="n">
        <x:v>1</x:v>
      </x:c>
      <x:c r="F977" s="21" t="str">
        <x:v>Civil effect charter</x:v>
      </x:c>
      <x:c r="G977" s="21" t="n">
        <x:v>0</x:v>
      </x:c>
      <x:c r="H977" s="21" t="str">
        <x:v>Civil Guarantee Authority</x:v>
      </x:c>
      <x:c r="I977" s="44" t="n">
        <x:f>Lifecycle!G7</x:f>
        <x:v>0.04941036958956453</x:v>
      </x:c>
      <x:c r="J977" s="44" t="n">
        <x:v>0.065</x:v>
      </x:c>
      <x:c r="K977" s="44" t="n">
        <x:f>I977*J977</x:f>
        <x:v>0.0032116740233216947</x:v>
      </x:c>
      <x:c r="L977" s="46" t="n">
        <x:v>0</x:v>
      </x:c>
      <x:c r="M977" s="46" t="n">
        <x:v>0</x:v>
      </x:c>
      <x:c r="N977" s="21" t="n">
        <x:f>1</x:f>
        <x:v>1</x:v>
      </x:c>
      <x:c r="O977" s="21" t="n">
        <x:f>MIN('Root Data'!I298:I300)</x:f>
        <x:v>0</x:v>
      </x:c>
      <x:c r="P977" s="44" t="n">
        <x:f>IF(AND(L977=1,M977=1,N977=1,O977&gt;=G977),K977,0)</x:f>
        <x:v>0</x:v>
      </x:c>
      <x:c r="Q977" s="21" t="str">
        <x:v>OPEN</x:v>
      </x:c>
      <x:c r="R977" s="23" t="str">
        <x:v>HOLD</x:v>
      </x:c>
    </x:row>
    <x:row r="978">
      <x:c r="B978" s="21" t="str">
        <x:v>AR-00972</x:v>
      </x:c>
      <x:c r="C978" s="21" t="str">
        <x:v>F25-I2</x:v>
      </x:c>
      <x:c r="D978" s="21" t="str">
        <x:v>F25</x:v>
      </x:c>
      <x:c r="E978" s="21" t="n">
        <x:v>2</x:v>
      </x:c>
      <x:c r="F978" s="21" t="str">
        <x:v>Requirement and root-independence package</x:v>
      </x:c>
      <x:c r="G978" s="21" t="n">
        <x:v>8</x:v>
      </x:c>
      <x:c r="H978" s="21" t="str">
        <x:v>Resilience Staff</x:v>
      </x:c>
      <x:c r="I978" s="44" t="n">
        <x:f>Lifecycle!G8</x:f>
        <x:v>0.10211476381843337</x:v>
      </x:c>
      <x:c r="J978" s="44" t="n">
        <x:v>0.065</x:v>
      </x:c>
      <x:c r="K978" s="44" t="n">
        <x:f>I978*J978</x:f>
        <x:v>0.00663745964819817</x:v>
      </x:c>
      <x:c r="L978" s="46" t="n">
        <x:v>0</x:v>
      </x:c>
      <x:c r="M978" s="46" t="n">
        <x:v>0</x:v>
      </x:c>
      <x:c r="N978" s="21" t="n">
        <x:f>IF(AND(L977=1,M977=1,P977&gt;0),1,0)</x:f>
        <x:v>0</x:v>
      </x:c>
      <x:c r="O978" s="21" t="n">
        <x:f>MIN('Root Data'!I298:I300)</x:f>
        <x:v>0</x:v>
      </x:c>
      <x:c r="P978" s="44" t="n">
        <x:f>IF(AND(L978=1,M978=1,N978=1,O978&gt;=G978),K978,0)</x:f>
        <x:v>0</x:v>
      </x:c>
      <x:c r="Q978" s="21" t="str">
        <x:v>OPEN</x:v>
      </x:c>
      <x:c r="R978" s="23" t="str">
        <x:v>HOLD</x:v>
      </x:c>
    </x:row>
    <x:row r="979">
      <x:c r="B979" s="21" t="str">
        <x:v>AR-00973</x:v>
      </x:c>
      <x:c r="C979" s="21" t="str">
        <x:v>F25-I2</x:v>
      </x:c>
      <x:c r="D979" s="21" t="str">
        <x:v>F25</x:v>
      </x:c>
      <x:c r="E979" s="21" t="n">
        <x:v>3</x:v>
      </x:c>
      <x:c r="F979" s="21" t="str">
        <x:v>Architecture and burden closure</x:v>
      </x:c>
      <x:c r="G979" s="21" t="n">
        <x:v>14</x:v>
      </x:c>
      <x:c r="H979" s="21" t="str">
        <x:v>Independent Evidence and Data Authority</x:v>
      </x:c>
      <x:c r="I979" s="44" t="n">
        <x:f>Lifecycle!G9</x:f>
        <x:v>0.08564464062191186</x:v>
      </x:c>
      <x:c r="J979" s="44" t="n">
        <x:v>0.065</x:v>
      </x:c>
      <x:c r="K979" s="44" t="n">
        <x:f>I979*J979</x:f>
        <x:v>0.005566901640424271</x:v>
      </x:c>
      <x:c r="L979" s="46" t="n">
        <x:v>0</x:v>
      </x:c>
      <x:c r="M979" s="46" t="n">
        <x:v>0</x:v>
      </x:c>
      <x:c r="N979" s="21" t="n">
        <x:f>IF(AND(L978=1,M978=1,P978&gt;0),1,0)</x:f>
        <x:v>0</x:v>
      </x:c>
      <x:c r="O979" s="21" t="n">
        <x:f>MIN('Root Data'!I298:I300)</x:f>
        <x:v>0</x:v>
      </x:c>
      <x:c r="P979" s="44" t="n">
        <x:f>IF(AND(L979=1,M979=1,N979=1,O979&gt;=G979),K979,0)</x:f>
        <x:v>0</x:v>
      </x:c>
      <x:c r="Q979" s="21" t="str">
        <x:v>OPEN</x:v>
      </x:c>
      <x:c r="R979" s="23" t="str">
        <x:v>HOLD</x:v>
      </x:c>
    </x:row>
    <x:row r="980">
      <x:c r="B980" s="21" t="str">
        <x:v>AR-00974</x:v>
      </x:c>
      <x:c r="C980" s="21" t="str">
        <x:v>F25-I2</x:v>
      </x:c>
      <x:c r="D980" s="21" t="str">
        <x:v>F25</x:v>
      </x:c>
      <x:c r="E980" s="21" t="n">
        <x:v>4</x:v>
      </x:c>
      <x:c r="F980" s="21" t="str">
        <x:v>Engineering article acceptance</x:v>
      </x:c>
      <x:c r="G980" s="21" t="n">
        <x:v>18</x:v>
      </x:c>
      <x:c r="H980" s="21" t="str">
        <x:v>Independent Evidence and Data Authority</x:v>
      </x:c>
      <x:c r="I980" s="44" t="n">
        <x:f>Lifecycle!G10</x:f>
        <x:v>0.05929244350747744</x:v>
      </x:c>
      <x:c r="J980" s="44" t="n">
        <x:v>0.065</x:v>
      </x:c>
      <x:c r="K980" s="44" t="n">
        <x:f>I980*J980</x:f>
        <x:v>0.003854008827986034</x:v>
      </x:c>
      <x:c r="L980" s="46" t="n">
        <x:v>0</x:v>
      </x:c>
      <x:c r="M980" s="46" t="n">
        <x:v>0</x:v>
      </x:c>
      <x:c r="N980" s="21" t="n">
        <x:f>IF(AND(L979=1,M979=1,P979&gt;0),1,0)</x:f>
        <x:v>0</x:v>
      </x:c>
      <x:c r="O980" s="21" t="n">
        <x:f>MIN('Root Data'!I298:I300)</x:f>
        <x:v>0</x:v>
      </x:c>
      <x:c r="P980" s="44" t="n">
        <x:f>IF(AND(L980=1,M980=1,N980=1,O980&gt;=G980),K980,0)</x:f>
        <x:v>0</x:v>
      </x:c>
      <x:c r="Q980" s="21" t="str">
        <x:v>OPEN</x:v>
      </x:c>
      <x:c r="R980" s="23" t="str">
        <x:v>HOLD</x:v>
      </x:c>
    </x:row>
    <x:row r="981">
      <x:c r="B981" s="21" t="str">
        <x:v>AR-00975</x:v>
      </x:c>
      <x:c r="C981" s="21" t="str">
        <x:v>F25-I2</x:v>
      </x:c>
      <x:c r="D981" s="21" t="str">
        <x:v>F25</x:v>
      </x:c>
      <x:c r="E981" s="21" t="n">
        <x:v>5</x:v>
      </x:c>
      <x:c r="F981" s="21" t="str">
        <x:v>Qualification and destructive evidence</x:v>
      </x:c>
      <x:c r="G981" s="21" t="n">
        <x:v>21</x:v>
      </x:c>
      <x:c r="H981" s="21" t="str">
        <x:v>Independent Evidence and Data Authority</x:v>
      </x:c>
      <x:c r="I981" s="44" t="n">
        <x:f>Lifecycle!G11</x:f>
        <x:v>0.1515251334079979</x:v>
      </x:c>
      <x:c r="J981" s="44" t="n">
        <x:v>0.065</x:v>
      </x:c>
      <x:c r="K981" s="44" t="n">
        <x:f>I981*J981</x:f>
        <x:v>0.009849133671519864</x:v>
      </x:c>
      <x:c r="L981" s="46" t="n">
        <x:v>0</x:v>
      </x:c>
      <x:c r="M981" s="46" t="n">
        <x:v>0</x:v>
      </x:c>
      <x:c r="N981" s="21" t="n">
        <x:f>IF(AND(L980=1,M980=1,P980&gt;0),1,0)</x:f>
        <x:v>0</x:v>
      </x:c>
      <x:c r="O981" s="21" t="n">
        <x:f>MIN('Root Data'!I298:I300)</x:f>
        <x:v>0</x:v>
      </x:c>
      <x:c r="P981" s="44" t="n">
        <x:f>IF(AND(L981=1,M981=1,N981=1,O981&gt;=G981),K981,0)</x:f>
        <x:v>0</x:v>
      </x:c>
      <x:c r="Q981" s="21" t="str">
        <x:v>OPEN</x:v>
      </x:c>
      <x:c r="R981" s="23" t="str">
        <x:v>HOLD</x:v>
      </x:c>
    </x:row>
    <x:row r="982">
      <x:c r="B982" s="21" t="str">
        <x:v>AR-00976</x:v>
      </x:c>
      <x:c r="C982" s="21" t="str">
        <x:v>F25-I2</x:v>
      </x:c>
      <x:c r="D982" s="21" t="str">
        <x:v>F25</x:v>
      </x:c>
      <x:c r="E982" s="21" t="n">
        <x:v>6</x:v>
      </x:c>
      <x:c r="F982" s="21" t="str">
        <x:v>Representative mission result</x:v>
      </x:c>
      <x:c r="G982" s="21" t="n">
        <x:v>23</x:v>
      </x:c>
      <x:c r="H982" s="21" t="str">
        <x:v>Receiving Service Authority</x:v>
      </x:c>
      <x:c r="I982" s="44" t="n">
        <x:f>Lifecycle!G12</x:f>
        <x:v>0.250345872587127</x:v>
      </x:c>
      <x:c r="J982" s="44" t="n">
        <x:v>0.065</x:v>
      </x:c>
      <x:c r="K982" s="44" t="n">
        <x:f>I982*J982</x:f>
        <x:v>0.016272481718163253</x:v>
      </x:c>
      <x:c r="L982" s="46" t="n">
        <x:v>0</x:v>
      </x:c>
      <x:c r="M982" s="46" t="n">
        <x:v>0</x:v>
      </x:c>
      <x:c r="N982" s="21" t="n">
        <x:f>IF(AND(L981=1,M981=1,P981&gt;0),1,0)</x:f>
        <x:v>0</x:v>
      </x:c>
      <x:c r="O982" s="21" t="n">
        <x:f>MIN('Root Data'!I298:I300)</x:f>
        <x:v>0</x:v>
      </x:c>
      <x:c r="P982" s="44" t="n">
        <x:f>IF(AND(L982=1,M982=1,N982=1,O982&gt;=G982),K982,0)</x:f>
        <x:v>0</x:v>
      </x:c>
      <x:c r="Q982" s="21" t="str">
        <x:v>OPEN</x:v>
      </x:c>
      <x:c r="R982" s="23" t="str">
        <x:v>HOLD</x:v>
      </x:c>
    </x:row>
    <x:row r="983">
      <x:c r="B983" s="21" t="str">
        <x:v>AR-00977</x:v>
      </x:c>
      <x:c r="C983" s="21" t="str">
        <x:v>F25-I2</x:v>
      </x:c>
      <x:c r="D983" s="21" t="str">
        <x:v>F25</x:v>
      </x:c>
      <x:c r="E983" s="21" t="n">
        <x:v>7</x:v>
      </x:c>
      <x:c r="F983" s="21" t="str">
        <x:v>Independent reproduction</x:v>
      </x:c>
      <x:c r="G983" s="21" t="n">
        <x:v>28</x:v>
      </x:c>
      <x:c r="H983" s="21" t="str">
        <x:v>Independent Evidence and Data Authority</x:v>
      </x:c>
      <x:c r="I983" s="44" t="n">
        <x:f>Lifecycle!G13</x:f>
        <x:v>0.21740562619408393</x:v>
      </x:c>
      <x:c r="J983" s="44" t="n">
        <x:v>0.065</x:v>
      </x:c>
      <x:c r="K983" s="44" t="n">
        <x:f>I983*J983</x:f>
        <x:v>0.014131365702615457</x:v>
      </x:c>
      <x:c r="L983" s="46" t="n">
        <x:v>0</x:v>
      </x:c>
      <x:c r="M983" s="46" t="n">
        <x:v>0</x:v>
      </x:c>
      <x:c r="N983" s="21" t="n">
        <x:f>IF(AND(L982=1,M982=1,P982&gt;0),1,0)</x:f>
        <x:v>0</x:v>
      </x:c>
      <x:c r="O983" s="21" t="n">
        <x:f>MIN('Root Data'!I298:I300)</x:f>
        <x:v>0</x:v>
      </x:c>
      <x:c r="P983" s="44" t="n">
        <x:f>IF(AND(L983=1,M983=1,N983=1,O983&gt;=G983),K983,0)</x:f>
        <x:v>0</x:v>
      </x:c>
      <x:c r="Q983" s="21" t="str">
        <x:v>OPEN</x:v>
      </x:c>
      <x:c r="R983" s="23" t="str">
        <x:v>HOLD</x:v>
      </x:c>
    </x:row>
    <x:row r="984">
      <x:c r="B984" s="21" t="str">
        <x:v>AR-00978</x:v>
      </x:c>
      <x:c r="C984" s="21" t="str">
        <x:v>F25-I2</x:v>
      </x:c>
      <x:c r="D984" s="21" t="str">
        <x:v>F25</x:v>
      </x:c>
      <x:c r="E984" s="21" t="n">
        <x:v>8</x:v>
      </x:c>
      <x:c r="F984" s="21" t="str">
        <x:v>Pilot-process qualification</x:v>
      </x:c>
      <x:c r="G984" s="21" t="n">
        <x:v>28</x:v>
      </x:c>
      <x:c r="H984" s="21" t="str">
        <x:v>AIMC Industrial Mobilization Authority</x:v>
      </x:c>
      <x:c r="I984" s="44" t="n">
        <x:f>Lifecycle!G14</x:f>
        <x:v>0.03952829567165163</x:v>
      </x:c>
      <x:c r="J984" s="44" t="n">
        <x:v>0.065</x:v>
      </x:c>
      <x:c r="K984" s="44" t="n">
        <x:f>I984*J984</x:f>
        <x:v>0.002569339218657356</x:v>
      </x:c>
      <x:c r="L984" s="46" t="n">
        <x:v>0</x:v>
      </x:c>
      <x:c r="M984" s="46" t="n">
        <x:v>0</x:v>
      </x:c>
      <x:c r="N984" s="21" t="n">
        <x:f>IF(AND(L983=1,M983=1,P983&gt;0),1,0)</x:f>
        <x:v>0</x:v>
      </x:c>
      <x:c r="O984" s="21" t="n">
        <x:f>MIN('Root Data'!I298:I300)</x:f>
        <x:v>0</x:v>
      </x:c>
      <x:c r="P984" s="44" t="n">
        <x:f>IF(AND(L984=1,M984=1,N984=1,O984&gt;=G984),K984,0)</x:f>
        <x:v>0</x:v>
      </x:c>
      <x:c r="Q984" s="21" t="str">
        <x:v>OPEN</x:v>
      </x:c>
      <x:c r="R984" s="23" t="str">
        <x:v>HOLD</x:v>
      </x:c>
    </x:row>
    <x:row r="985">
      <x:c r="B985" s="21" t="str">
        <x:v>AR-00979</x:v>
      </x:c>
      <x:c r="C985" s="21" t="str">
        <x:v>F25-I2</x:v>
      </x:c>
      <x:c r="D985" s="21" t="str">
        <x:v>F25</x:v>
      </x:c>
      <x:c r="E985" s="21" t="n">
        <x:v>9</x:v>
      </x:c>
      <x:c r="F985" s="21" t="str">
        <x:v>Production release package</x:v>
      </x:c>
      <x:c r="G985" s="21" t="n">
        <x:v>28</x:v>
      </x:c>
      <x:c r="H985" s="21" t="str">
        <x:v>Production Release Board</x:v>
      </x:c>
      <x:c r="I985" s="44" t="n">
        <x:f>Lifecycle!G15</x:f>
        <x:v>0.01647012319652151</x:v>
      </x:c>
      <x:c r="J985" s="44" t="n">
        <x:v>0.065</x:v>
      </x:c>
      <x:c r="K985" s="44" t="n">
        <x:f>I985*J985</x:f>
        <x:v>0.0010705580077738982</x:v>
      </x:c>
      <x:c r="L985" s="46" t="n">
        <x:v>0</x:v>
      </x:c>
      <x:c r="M985" s="46" t="n">
        <x:v>0</x:v>
      </x:c>
      <x:c r="N985" s="21" t="n">
        <x:f>IF(AND(L984=1,M984=1,P984&gt;0),1,0)</x:f>
        <x:v>0</x:v>
      </x:c>
      <x:c r="O985" s="21" t="n">
        <x:f>MIN('Root Data'!I298:I300)</x:f>
        <x:v>0</x:v>
      </x:c>
      <x:c r="P985" s="44" t="n">
        <x:f>IF(AND(L985=1,M985=1,N985=1,O985&gt;=G985),K985,0)</x:f>
        <x:v>0</x:v>
      </x:c>
      <x:c r="Q985" s="21" t="str">
        <x:v>OPEN</x:v>
      </x:c>
      <x:c r="R985" s="23" t="str">
        <x:v>HOLD</x:v>
      </x:c>
    </x:row>
    <x:row r="986">
      <x:c r="B986" s="21" t="str">
        <x:v>AR-00980</x:v>
      </x:c>
      <x:c r="C986" s="21" t="str">
        <x:v>F25-I2</x:v>
      </x:c>
      <x:c r="D986" s="21" t="str">
        <x:v>F25</x:v>
      </x:c>
      <x:c r="E986" s="21" t="n">
        <x:v>10</x:v>
      </x:c>
      <x:c r="F986" s="21" t="str">
        <x:v>Mobilization activation</x:v>
      </x:c>
      <x:c r="G986" s="21" t="n">
        <x:v>28</x:v>
      </x:c>
      <x:c r="H986" s="21" t="str">
        <x:v>Production Release Board</x:v>
      </x:c>
      <x:c r="I986" s="44" t="n">
        <x:f>Lifecycle!G16</x:f>
        <x:v>0.028262731405230914</x:v>
      </x:c>
      <x:c r="J986" s="44" t="n">
        <x:v>0.065</x:v>
      </x:c>
      <x:c r="K986" s="44" t="n">
        <x:f>I986*J986</x:f>
        <x:v>0.0018370775413400094</x:v>
      </x:c>
      <x:c r="L986" s="46" t="n">
        <x:v>0</x:v>
      </x:c>
      <x:c r="M986" s="46" t="n">
        <x:v>0</x:v>
      </x:c>
      <x:c r="N986" s="21" t="n">
        <x:f>IF(AND(L985=1,M985=1,P985&gt;0),1,0)</x:f>
        <x:v>0</x:v>
      </x:c>
      <x:c r="O986" s="21" t="n">
        <x:f>MIN('Root Data'!I298:I300)</x:f>
        <x:v>0</x:v>
      </x:c>
      <x:c r="P986" s="44" t="n">
        <x:f>IF(AND(L986=1,M986=1,N986=1,O986&gt;=G986),K986,0)</x:f>
        <x:v>0</x:v>
      </x:c>
      <x:c r="Q986" s="21" t="str">
        <x:v>OPEN</x:v>
      </x:c>
      <x:c r="R986" s="23" t="str">
        <x:v>HOLD</x:v>
      </x:c>
    </x:row>
    <x:row r="987">
      <x:c r="B987" s="21" t="str">
        <x:v>AR-00981</x:v>
      </x:c>
      <x:c r="C987" s="21" t="str">
        <x:v>F25-I3</x:v>
      </x:c>
      <x:c r="D987" s="21" t="str">
        <x:v>F25</x:v>
      </x:c>
      <x:c r="E987" s="21" t="n">
        <x:v>1</x:v>
      </x:c>
      <x:c r="F987" s="21" t="str">
        <x:v>Civil effect charter</x:v>
      </x:c>
      <x:c r="G987" s="21" t="n">
        <x:v>0</x:v>
      </x:c>
      <x:c r="H987" s="21" t="str">
        <x:v>Civil Guarantee Authority</x:v>
      </x:c>
      <x:c r="I987" s="44" t="n">
        <x:f>Lifecycle!G7</x:f>
        <x:v>0.04941036958956453</x:v>
      </x:c>
      <x:c r="J987" s="44" t="n">
        <x:v>0.065</x:v>
      </x:c>
      <x:c r="K987" s="44" t="n">
        <x:f>I987*J987</x:f>
        <x:v>0.0032116740233216947</x:v>
      </x:c>
      <x:c r="L987" s="46" t="n">
        <x:v>0</x:v>
      </x:c>
      <x:c r="M987" s="46" t="n">
        <x:v>0</x:v>
      </x:c>
      <x:c r="N987" s="21" t="n">
        <x:f>1</x:f>
        <x:v>1</x:v>
      </x:c>
      <x:c r="O987" s="21" t="n">
        <x:f>MIN('Root Data'!I301:I303)</x:f>
        <x:v>0</x:v>
      </x:c>
      <x:c r="P987" s="44" t="n">
        <x:f>IF(AND(L987=1,M987=1,N987=1,O987&gt;=G987),K987,0)</x:f>
        <x:v>0</x:v>
      </x:c>
      <x:c r="Q987" s="21" t="str">
        <x:v>OPEN</x:v>
      </x:c>
      <x:c r="R987" s="23" t="str">
        <x:v>HOLD</x:v>
      </x:c>
    </x:row>
    <x:row r="988">
      <x:c r="B988" s="21" t="str">
        <x:v>AR-00982</x:v>
      </x:c>
      <x:c r="C988" s="21" t="str">
        <x:v>F25-I3</x:v>
      </x:c>
      <x:c r="D988" s="21" t="str">
        <x:v>F25</x:v>
      </x:c>
      <x:c r="E988" s="21" t="n">
        <x:v>2</x:v>
      </x:c>
      <x:c r="F988" s="21" t="str">
        <x:v>Requirement and root-independence package</x:v>
      </x:c>
      <x:c r="G988" s="21" t="n">
        <x:v>8</x:v>
      </x:c>
      <x:c r="H988" s="21" t="str">
        <x:v>Resilience Staff</x:v>
      </x:c>
      <x:c r="I988" s="44" t="n">
        <x:f>Lifecycle!G8</x:f>
        <x:v>0.10211476381843337</x:v>
      </x:c>
      <x:c r="J988" s="44" t="n">
        <x:v>0.065</x:v>
      </x:c>
      <x:c r="K988" s="44" t="n">
        <x:f>I988*J988</x:f>
        <x:v>0.00663745964819817</x:v>
      </x:c>
      <x:c r="L988" s="46" t="n">
        <x:v>0</x:v>
      </x:c>
      <x:c r="M988" s="46" t="n">
        <x:v>0</x:v>
      </x:c>
      <x:c r="N988" s="21" t="n">
        <x:f>IF(AND(L987=1,M987=1,P987&gt;0),1,0)</x:f>
        <x:v>0</x:v>
      </x:c>
      <x:c r="O988" s="21" t="n">
        <x:f>MIN('Root Data'!I301:I303)</x:f>
        <x:v>0</x:v>
      </x:c>
      <x:c r="P988" s="44" t="n">
        <x:f>IF(AND(L988=1,M988=1,N988=1,O988&gt;=G988),K988,0)</x:f>
        <x:v>0</x:v>
      </x:c>
      <x:c r="Q988" s="21" t="str">
        <x:v>OPEN</x:v>
      </x:c>
      <x:c r="R988" s="23" t="str">
        <x:v>HOLD</x:v>
      </x:c>
    </x:row>
    <x:row r="989">
      <x:c r="B989" s="21" t="str">
        <x:v>AR-00983</x:v>
      </x:c>
      <x:c r="C989" s="21" t="str">
        <x:v>F25-I3</x:v>
      </x:c>
      <x:c r="D989" s="21" t="str">
        <x:v>F25</x:v>
      </x:c>
      <x:c r="E989" s="21" t="n">
        <x:v>3</x:v>
      </x:c>
      <x:c r="F989" s="21" t="str">
        <x:v>Architecture and burden closure</x:v>
      </x:c>
      <x:c r="G989" s="21" t="n">
        <x:v>14</x:v>
      </x:c>
      <x:c r="H989" s="21" t="str">
        <x:v>Independent Evidence and Data Authority</x:v>
      </x:c>
      <x:c r="I989" s="44" t="n">
        <x:f>Lifecycle!G9</x:f>
        <x:v>0.08564464062191186</x:v>
      </x:c>
      <x:c r="J989" s="44" t="n">
        <x:v>0.065</x:v>
      </x:c>
      <x:c r="K989" s="44" t="n">
        <x:f>I989*J989</x:f>
        <x:v>0.005566901640424271</x:v>
      </x:c>
      <x:c r="L989" s="46" t="n">
        <x:v>0</x:v>
      </x:c>
      <x:c r="M989" s="46" t="n">
        <x:v>0</x:v>
      </x:c>
      <x:c r="N989" s="21" t="n">
        <x:f>IF(AND(L988=1,M988=1,P988&gt;0),1,0)</x:f>
        <x:v>0</x:v>
      </x:c>
      <x:c r="O989" s="21" t="n">
        <x:f>MIN('Root Data'!I301:I303)</x:f>
        <x:v>0</x:v>
      </x:c>
      <x:c r="P989" s="44" t="n">
        <x:f>IF(AND(L989=1,M989=1,N989=1,O989&gt;=G989),K989,0)</x:f>
        <x:v>0</x:v>
      </x:c>
      <x:c r="Q989" s="21" t="str">
        <x:v>OPEN</x:v>
      </x:c>
      <x:c r="R989" s="23" t="str">
        <x:v>HOLD</x:v>
      </x:c>
    </x:row>
    <x:row r="990">
      <x:c r="B990" s="21" t="str">
        <x:v>AR-00984</x:v>
      </x:c>
      <x:c r="C990" s="21" t="str">
        <x:v>F25-I3</x:v>
      </x:c>
      <x:c r="D990" s="21" t="str">
        <x:v>F25</x:v>
      </x:c>
      <x:c r="E990" s="21" t="n">
        <x:v>4</x:v>
      </x:c>
      <x:c r="F990" s="21" t="str">
        <x:v>Engineering article acceptance</x:v>
      </x:c>
      <x:c r="G990" s="21" t="n">
        <x:v>18</x:v>
      </x:c>
      <x:c r="H990" s="21" t="str">
        <x:v>Independent Evidence and Data Authority</x:v>
      </x:c>
      <x:c r="I990" s="44" t="n">
        <x:f>Lifecycle!G10</x:f>
        <x:v>0.05929244350747744</x:v>
      </x:c>
      <x:c r="J990" s="44" t="n">
        <x:v>0.065</x:v>
      </x:c>
      <x:c r="K990" s="44" t="n">
        <x:f>I990*J990</x:f>
        <x:v>0.003854008827986034</x:v>
      </x:c>
      <x:c r="L990" s="46" t="n">
        <x:v>0</x:v>
      </x:c>
      <x:c r="M990" s="46" t="n">
        <x:v>0</x:v>
      </x:c>
      <x:c r="N990" s="21" t="n">
        <x:f>IF(AND(L989=1,M989=1,P989&gt;0),1,0)</x:f>
        <x:v>0</x:v>
      </x:c>
      <x:c r="O990" s="21" t="n">
        <x:f>MIN('Root Data'!I301:I303)</x:f>
        <x:v>0</x:v>
      </x:c>
      <x:c r="P990" s="44" t="n">
        <x:f>IF(AND(L990=1,M990=1,N990=1,O990&gt;=G990),K990,0)</x:f>
        <x:v>0</x:v>
      </x:c>
      <x:c r="Q990" s="21" t="str">
        <x:v>OPEN</x:v>
      </x:c>
      <x:c r="R990" s="23" t="str">
        <x:v>HOLD</x:v>
      </x:c>
    </x:row>
    <x:row r="991">
      <x:c r="B991" s="21" t="str">
        <x:v>AR-00985</x:v>
      </x:c>
      <x:c r="C991" s="21" t="str">
        <x:v>F25-I3</x:v>
      </x:c>
      <x:c r="D991" s="21" t="str">
        <x:v>F25</x:v>
      </x:c>
      <x:c r="E991" s="21" t="n">
        <x:v>5</x:v>
      </x:c>
      <x:c r="F991" s="21" t="str">
        <x:v>Qualification and destructive evidence</x:v>
      </x:c>
      <x:c r="G991" s="21" t="n">
        <x:v>21</x:v>
      </x:c>
      <x:c r="H991" s="21" t="str">
        <x:v>Independent Evidence and Data Authority</x:v>
      </x:c>
      <x:c r="I991" s="44" t="n">
        <x:f>Lifecycle!G11</x:f>
        <x:v>0.1515251334079979</x:v>
      </x:c>
      <x:c r="J991" s="44" t="n">
        <x:v>0.065</x:v>
      </x:c>
      <x:c r="K991" s="44" t="n">
        <x:f>I991*J991</x:f>
        <x:v>0.009849133671519864</x:v>
      </x:c>
      <x:c r="L991" s="46" t="n">
        <x:v>0</x:v>
      </x:c>
      <x:c r="M991" s="46" t="n">
        <x:v>0</x:v>
      </x:c>
      <x:c r="N991" s="21" t="n">
        <x:f>IF(AND(L990=1,M990=1,P990&gt;0),1,0)</x:f>
        <x:v>0</x:v>
      </x:c>
      <x:c r="O991" s="21" t="n">
        <x:f>MIN('Root Data'!I301:I303)</x:f>
        <x:v>0</x:v>
      </x:c>
      <x:c r="P991" s="44" t="n">
        <x:f>IF(AND(L991=1,M991=1,N991=1,O991&gt;=G991),K991,0)</x:f>
        <x:v>0</x:v>
      </x:c>
      <x:c r="Q991" s="21" t="str">
        <x:v>OPEN</x:v>
      </x:c>
      <x:c r="R991" s="23" t="str">
        <x:v>HOLD</x:v>
      </x:c>
    </x:row>
    <x:row r="992">
      <x:c r="B992" s="21" t="str">
        <x:v>AR-00986</x:v>
      </x:c>
      <x:c r="C992" s="21" t="str">
        <x:v>F25-I3</x:v>
      </x:c>
      <x:c r="D992" s="21" t="str">
        <x:v>F25</x:v>
      </x:c>
      <x:c r="E992" s="21" t="n">
        <x:v>6</x:v>
      </x:c>
      <x:c r="F992" s="21" t="str">
        <x:v>Representative mission result</x:v>
      </x:c>
      <x:c r="G992" s="21" t="n">
        <x:v>23</x:v>
      </x:c>
      <x:c r="H992" s="21" t="str">
        <x:v>Receiving Service Authority</x:v>
      </x:c>
      <x:c r="I992" s="44" t="n">
        <x:f>Lifecycle!G12</x:f>
        <x:v>0.250345872587127</x:v>
      </x:c>
      <x:c r="J992" s="44" t="n">
        <x:v>0.065</x:v>
      </x:c>
      <x:c r="K992" s="44" t="n">
        <x:f>I992*J992</x:f>
        <x:v>0.016272481718163253</x:v>
      </x:c>
      <x:c r="L992" s="46" t="n">
        <x:v>0</x:v>
      </x:c>
      <x:c r="M992" s="46" t="n">
        <x:v>0</x:v>
      </x:c>
      <x:c r="N992" s="21" t="n">
        <x:f>IF(AND(L991=1,M991=1,P991&gt;0),1,0)</x:f>
        <x:v>0</x:v>
      </x:c>
      <x:c r="O992" s="21" t="n">
        <x:f>MIN('Root Data'!I301:I303)</x:f>
        <x:v>0</x:v>
      </x:c>
      <x:c r="P992" s="44" t="n">
        <x:f>IF(AND(L992=1,M992=1,N992=1,O992&gt;=G992),K992,0)</x:f>
        <x:v>0</x:v>
      </x:c>
      <x:c r="Q992" s="21" t="str">
        <x:v>OPEN</x:v>
      </x:c>
      <x:c r="R992" s="23" t="str">
        <x:v>HOLD</x:v>
      </x:c>
    </x:row>
    <x:row r="993">
      <x:c r="B993" s="21" t="str">
        <x:v>AR-00987</x:v>
      </x:c>
      <x:c r="C993" s="21" t="str">
        <x:v>F25-I3</x:v>
      </x:c>
      <x:c r="D993" s="21" t="str">
        <x:v>F25</x:v>
      </x:c>
      <x:c r="E993" s="21" t="n">
        <x:v>7</x:v>
      </x:c>
      <x:c r="F993" s="21" t="str">
        <x:v>Independent reproduction</x:v>
      </x:c>
      <x:c r="G993" s="21" t="n">
        <x:v>28</x:v>
      </x:c>
      <x:c r="H993" s="21" t="str">
        <x:v>Independent Evidence and Data Authority</x:v>
      </x:c>
      <x:c r="I993" s="44" t="n">
        <x:f>Lifecycle!G13</x:f>
        <x:v>0.21740562619408393</x:v>
      </x:c>
      <x:c r="J993" s="44" t="n">
        <x:v>0.065</x:v>
      </x:c>
      <x:c r="K993" s="44" t="n">
        <x:f>I993*J993</x:f>
        <x:v>0.014131365702615457</x:v>
      </x:c>
      <x:c r="L993" s="46" t="n">
        <x:v>0</x:v>
      </x:c>
      <x:c r="M993" s="46" t="n">
        <x:v>0</x:v>
      </x:c>
      <x:c r="N993" s="21" t="n">
        <x:f>IF(AND(L992=1,M992=1,P992&gt;0),1,0)</x:f>
        <x:v>0</x:v>
      </x:c>
      <x:c r="O993" s="21" t="n">
        <x:f>MIN('Root Data'!I301:I303)</x:f>
        <x:v>0</x:v>
      </x:c>
      <x:c r="P993" s="44" t="n">
        <x:f>IF(AND(L993=1,M993=1,N993=1,O993&gt;=G993),K993,0)</x:f>
        <x:v>0</x:v>
      </x:c>
      <x:c r="Q993" s="21" t="str">
        <x:v>OPEN</x:v>
      </x:c>
      <x:c r="R993" s="23" t="str">
        <x:v>HOLD</x:v>
      </x:c>
    </x:row>
    <x:row r="994">
      <x:c r="B994" s="21" t="str">
        <x:v>AR-00988</x:v>
      </x:c>
      <x:c r="C994" s="21" t="str">
        <x:v>F25-I3</x:v>
      </x:c>
      <x:c r="D994" s="21" t="str">
        <x:v>F25</x:v>
      </x:c>
      <x:c r="E994" s="21" t="n">
        <x:v>8</x:v>
      </x:c>
      <x:c r="F994" s="21" t="str">
        <x:v>Pilot-process qualification</x:v>
      </x:c>
      <x:c r="G994" s="21" t="n">
        <x:v>28</x:v>
      </x:c>
      <x:c r="H994" s="21" t="str">
        <x:v>AIMC Industrial Mobilization Authority</x:v>
      </x:c>
      <x:c r="I994" s="44" t="n">
        <x:f>Lifecycle!G14</x:f>
        <x:v>0.03952829567165163</x:v>
      </x:c>
      <x:c r="J994" s="44" t="n">
        <x:v>0.065</x:v>
      </x:c>
      <x:c r="K994" s="44" t="n">
        <x:f>I994*J994</x:f>
        <x:v>0.002569339218657356</x:v>
      </x:c>
      <x:c r="L994" s="46" t="n">
        <x:v>0</x:v>
      </x:c>
      <x:c r="M994" s="46" t="n">
        <x:v>0</x:v>
      </x:c>
      <x:c r="N994" s="21" t="n">
        <x:f>IF(AND(L993=1,M993=1,P993&gt;0),1,0)</x:f>
        <x:v>0</x:v>
      </x:c>
      <x:c r="O994" s="21" t="n">
        <x:f>MIN('Root Data'!I301:I303)</x:f>
        <x:v>0</x:v>
      </x:c>
      <x:c r="P994" s="44" t="n">
        <x:f>IF(AND(L994=1,M994=1,N994=1,O994&gt;=G994),K994,0)</x:f>
        <x:v>0</x:v>
      </x:c>
      <x:c r="Q994" s="21" t="str">
        <x:v>OPEN</x:v>
      </x:c>
      <x:c r="R994" s="23" t="str">
        <x:v>HOLD</x:v>
      </x:c>
    </x:row>
    <x:row r="995">
      <x:c r="B995" s="21" t="str">
        <x:v>AR-00989</x:v>
      </x:c>
      <x:c r="C995" s="21" t="str">
        <x:v>F25-I3</x:v>
      </x:c>
      <x:c r="D995" s="21" t="str">
        <x:v>F25</x:v>
      </x:c>
      <x:c r="E995" s="21" t="n">
        <x:v>9</x:v>
      </x:c>
      <x:c r="F995" s="21" t="str">
        <x:v>Production release package</x:v>
      </x:c>
      <x:c r="G995" s="21" t="n">
        <x:v>28</x:v>
      </x:c>
      <x:c r="H995" s="21" t="str">
        <x:v>Production Release Board</x:v>
      </x:c>
      <x:c r="I995" s="44" t="n">
        <x:f>Lifecycle!G15</x:f>
        <x:v>0.01647012319652151</x:v>
      </x:c>
      <x:c r="J995" s="44" t="n">
        <x:v>0.065</x:v>
      </x:c>
      <x:c r="K995" s="44" t="n">
        <x:f>I995*J995</x:f>
        <x:v>0.0010705580077738982</x:v>
      </x:c>
      <x:c r="L995" s="46" t="n">
        <x:v>0</x:v>
      </x:c>
      <x:c r="M995" s="46" t="n">
        <x:v>0</x:v>
      </x:c>
      <x:c r="N995" s="21" t="n">
        <x:f>IF(AND(L994=1,M994=1,P994&gt;0),1,0)</x:f>
        <x:v>0</x:v>
      </x:c>
      <x:c r="O995" s="21" t="n">
        <x:f>MIN('Root Data'!I301:I303)</x:f>
        <x:v>0</x:v>
      </x:c>
      <x:c r="P995" s="44" t="n">
        <x:f>IF(AND(L995=1,M995=1,N995=1,O995&gt;=G995),K995,0)</x:f>
        <x:v>0</x:v>
      </x:c>
      <x:c r="Q995" s="21" t="str">
        <x:v>OPEN</x:v>
      </x:c>
      <x:c r="R995" s="23" t="str">
        <x:v>HOLD</x:v>
      </x:c>
    </x:row>
    <x:row r="996">
      <x:c r="B996" s="21" t="str">
        <x:v>AR-00990</x:v>
      </x:c>
      <x:c r="C996" s="21" t="str">
        <x:v>F25-I3</x:v>
      </x:c>
      <x:c r="D996" s="21" t="str">
        <x:v>F25</x:v>
      </x:c>
      <x:c r="E996" s="21" t="n">
        <x:v>10</x:v>
      </x:c>
      <x:c r="F996" s="21" t="str">
        <x:v>Mobilization activation</x:v>
      </x:c>
      <x:c r="G996" s="21" t="n">
        <x:v>28</x:v>
      </x:c>
      <x:c r="H996" s="21" t="str">
        <x:v>Production Release Board</x:v>
      </x:c>
      <x:c r="I996" s="44" t="n">
        <x:f>Lifecycle!G16</x:f>
        <x:v>0.028262731405230914</x:v>
      </x:c>
      <x:c r="J996" s="44" t="n">
        <x:v>0.065</x:v>
      </x:c>
      <x:c r="K996" s="44" t="n">
        <x:f>I996*J996</x:f>
        <x:v>0.0018370775413400094</x:v>
      </x:c>
      <x:c r="L996" s="46" t="n">
        <x:v>0</x:v>
      </x:c>
      <x:c r="M996" s="46" t="n">
        <x:v>0</x:v>
      </x:c>
      <x:c r="N996" s="21" t="n">
        <x:f>IF(AND(L995=1,M995=1,P995&gt;0),1,0)</x:f>
        <x:v>0</x:v>
      </x:c>
      <x:c r="O996" s="21" t="n">
        <x:f>MIN('Root Data'!I301:I303)</x:f>
        <x:v>0</x:v>
      </x:c>
      <x:c r="P996" s="44" t="n">
        <x:f>IF(AND(L996=1,M996=1,N996=1,O996&gt;=G996),K996,0)</x:f>
        <x:v>0</x:v>
      </x:c>
      <x:c r="Q996" s="21" t="str">
        <x:v>OPEN</x:v>
      </x:c>
      <x:c r="R996" s="23" t="str">
        <x:v>HOLD</x:v>
      </x:c>
    </x:row>
    <x:row r="997">
      <x:c r="B997" s="21" t="str">
        <x:v>AR-00991</x:v>
      </x:c>
      <x:c r="C997" s="21" t="str">
        <x:v>F25-I4</x:v>
      </x:c>
      <x:c r="D997" s="21" t="str">
        <x:v>F25</x:v>
      </x:c>
      <x:c r="E997" s="21" t="n">
        <x:v>1</x:v>
      </x:c>
      <x:c r="F997" s="21" t="str">
        <x:v>Civil effect charter</x:v>
      </x:c>
      <x:c r="G997" s="21" t="n">
        <x:v>0</x:v>
      </x:c>
      <x:c r="H997" s="21" t="str">
        <x:v>Civil Guarantee Authority</x:v>
      </x:c>
      <x:c r="I997" s="44" t="n">
        <x:f>Lifecycle!G7</x:f>
        <x:v>0.04941036958956453</x:v>
      </x:c>
      <x:c r="J997" s="44" t="n">
        <x:v>0.065</x:v>
      </x:c>
      <x:c r="K997" s="44" t="n">
        <x:f>I997*J997</x:f>
        <x:v>0.0032116740233216947</x:v>
      </x:c>
      <x:c r="L997" s="46" t="n">
        <x:v>0</x:v>
      </x:c>
      <x:c r="M997" s="46" t="n">
        <x:v>0</x:v>
      </x:c>
      <x:c r="N997" s="21" t="n">
        <x:f>1</x:f>
        <x:v>1</x:v>
      </x:c>
      <x:c r="O997" s="21" t="n">
        <x:f>MIN('Root Data'!I304:I306)</x:f>
        <x:v>0</x:v>
      </x:c>
      <x:c r="P997" s="44" t="n">
        <x:f>IF(AND(L997=1,M997=1,N997=1,O997&gt;=G997),K997,0)</x:f>
        <x:v>0</x:v>
      </x:c>
      <x:c r="Q997" s="21" t="str">
        <x:v>OPEN</x:v>
      </x:c>
      <x:c r="R997" s="23" t="str">
        <x:v>HOLD</x:v>
      </x:c>
    </x:row>
    <x:row r="998">
      <x:c r="B998" s="21" t="str">
        <x:v>AR-00992</x:v>
      </x:c>
      <x:c r="C998" s="21" t="str">
        <x:v>F25-I4</x:v>
      </x:c>
      <x:c r="D998" s="21" t="str">
        <x:v>F25</x:v>
      </x:c>
      <x:c r="E998" s="21" t="n">
        <x:v>2</x:v>
      </x:c>
      <x:c r="F998" s="21" t="str">
        <x:v>Requirement and root-independence package</x:v>
      </x:c>
      <x:c r="G998" s="21" t="n">
        <x:v>8</x:v>
      </x:c>
      <x:c r="H998" s="21" t="str">
        <x:v>Resilience Staff</x:v>
      </x:c>
      <x:c r="I998" s="44" t="n">
        <x:f>Lifecycle!G8</x:f>
        <x:v>0.10211476381843337</x:v>
      </x:c>
      <x:c r="J998" s="44" t="n">
        <x:v>0.065</x:v>
      </x:c>
      <x:c r="K998" s="44" t="n">
        <x:f>I998*J998</x:f>
        <x:v>0.00663745964819817</x:v>
      </x:c>
      <x:c r="L998" s="46" t="n">
        <x:v>0</x:v>
      </x:c>
      <x:c r="M998" s="46" t="n">
        <x:v>0</x:v>
      </x:c>
      <x:c r="N998" s="21" t="n">
        <x:f>IF(AND(L997=1,M997=1,P997&gt;0),1,0)</x:f>
        <x:v>0</x:v>
      </x:c>
      <x:c r="O998" s="21" t="n">
        <x:f>MIN('Root Data'!I304:I306)</x:f>
        <x:v>0</x:v>
      </x:c>
      <x:c r="P998" s="44" t="n">
        <x:f>IF(AND(L998=1,M998=1,N998=1,O998&gt;=G998),K998,0)</x:f>
        <x:v>0</x:v>
      </x:c>
      <x:c r="Q998" s="21" t="str">
        <x:v>OPEN</x:v>
      </x:c>
      <x:c r="R998" s="23" t="str">
        <x:v>HOLD</x:v>
      </x:c>
    </x:row>
    <x:row r="999">
      <x:c r="B999" s="21" t="str">
        <x:v>AR-00993</x:v>
      </x:c>
      <x:c r="C999" s="21" t="str">
        <x:v>F25-I4</x:v>
      </x:c>
      <x:c r="D999" s="21" t="str">
        <x:v>F25</x:v>
      </x:c>
      <x:c r="E999" s="21" t="n">
        <x:v>3</x:v>
      </x:c>
      <x:c r="F999" s="21" t="str">
        <x:v>Architecture and burden closure</x:v>
      </x:c>
      <x:c r="G999" s="21" t="n">
        <x:v>14</x:v>
      </x:c>
      <x:c r="H999" s="21" t="str">
        <x:v>Independent Evidence and Data Authority</x:v>
      </x:c>
      <x:c r="I999" s="44" t="n">
        <x:f>Lifecycle!G9</x:f>
        <x:v>0.08564464062191186</x:v>
      </x:c>
      <x:c r="J999" s="44" t="n">
        <x:v>0.065</x:v>
      </x:c>
      <x:c r="K999" s="44" t="n">
        <x:f>I999*J999</x:f>
        <x:v>0.005566901640424271</x:v>
      </x:c>
      <x:c r="L999" s="46" t="n">
        <x:v>0</x:v>
      </x:c>
      <x:c r="M999" s="46" t="n">
        <x:v>0</x:v>
      </x:c>
      <x:c r="N999" s="21" t="n">
        <x:f>IF(AND(L998=1,M998=1,P998&gt;0),1,0)</x:f>
        <x:v>0</x:v>
      </x:c>
      <x:c r="O999" s="21" t="n">
        <x:f>MIN('Root Data'!I304:I306)</x:f>
        <x:v>0</x:v>
      </x:c>
      <x:c r="P999" s="44" t="n">
        <x:f>IF(AND(L999=1,M999=1,N999=1,O999&gt;=G999),K999,0)</x:f>
        <x:v>0</x:v>
      </x:c>
      <x:c r="Q999" s="21" t="str">
        <x:v>OPEN</x:v>
      </x:c>
      <x:c r="R999" s="23" t="str">
        <x:v>HOLD</x:v>
      </x:c>
    </x:row>
    <x:row r="1000">
      <x:c r="B1000" s="21" t="str">
        <x:v>AR-00994</x:v>
      </x:c>
      <x:c r="C1000" s="21" t="str">
        <x:v>F25-I4</x:v>
      </x:c>
      <x:c r="D1000" s="21" t="str">
        <x:v>F25</x:v>
      </x:c>
      <x:c r="E1000" s="21" t="n">
        <x:v>4</x:v>
      </x:c>
      <x:c r="F1000" s="21" t="str">
        <x:v>Engineering article acceptance</x:v>
      </x:c>
      <x:c r="G1000" s="21" t="n">
        <x:v>18</x:v>
      </x:c>
      <x:c r="H1000" s="21" t="str">
        <x:v>Independent Evidence and Data Authority</x:v>
      </x:c>
      <x:c r="I1000" s="44" t="n">
        <x:f>Lifecycle!G10</x:f>
        <x:v>0.05929244350747744</x:v>
      </x:c>
      <x:c r="J1000" s="44" t="n">
        <x:v>0.065</x:v>
      </x:c>
      <x:c r="K1000" s="44" t="n">
        <x:f>I1000*J1000</x:f>
        <x:v>0.003854008827986034</x:v>
      </x:c>
      <x:c r="L1000" s="46" t="n">
        <x:v>0</x:v>
      </x:c>
      <x:c r="M1000" s="46" t="n">
        <x:v>0</x:v>
      </x:c>
      <x:c r="N1000" s="21" t="n">
        <x:f>IF(AND(L999=1,M999=1,P999&gt;0),1,0)</x:f>
        <x:v>0</x:v>
      </x:c>
      <x:c r="O1000" s="21" t="n">
        <x:f>MIN('Root Data'!I304:I306)</x:f>
        <x:v>0</x:v>
      </x:c>
      <x:c r="P1000" s="44" t="n">
        <x:f>IF(AND(L1000=1,M1000=1,N1000=1,O1000&gt;=G1000),K1000,0)</x:f>
        <x:v>0</x:v>
      </x:c>
      <x:c r="Q1000" s="21" t="str">
        <x:v>OPEN</x:v>
      </x:c>
      <x:c r="R1000" s="23" t="str">
        <x:v>HOLD</x:v>
      </x:c>
    </x:row>
    <x:row r="1001">
      <x:c r="B1001" s="21" t="str">
        <x:v>AR-00995</x:v>
      </x:c>
      <x:c r="C1001" s="21" t="str">
        <x:v>F25-I4</x:v>
      </x:c>
      <x:c r="D1001" s="21" t="str">
        <x:v>F25</x:v>
      </x:c>
      <x:c r="E1001" s="21" t="n">
        <x:v>5</x:v>
      </x:c>
      <x:c r="F1001" s="21" t="str">
        <x:v>Qualification and destructive evidence</x:v>
      </x:c>
      <x:c r="G1001" s="21" t="n">
        <x:v>21</x:v>
      </x:c>
      <x:c r="H1001" s="21" t="str">
        <x:v>Independent Evidence and Data Authority</x:v>
      </x:c>
      <x:c r="I1001" s="44" t="n">
        <x:f>Lifecycle!G11</x:f>
        <x:v>0.1515251334079979</x:v>
      </x:c>
      <x:c r="J1001" s="44" t="n">
        <x:v>0.065</x:v>
      </x:c>
      <x:c r="K1001" s="44" t="n">
        <x:f>I1001*J1001</x:f>
        <x:v>0.009849133671519864</x:v>
      </x:c>
      <x:c r="L1001" s="46" t="n">
        <x:v>0</x:v>
      </x:c>
      <x:c r="M1001" s="46" t="n">
        <x:v>0</x:v>
      </x:c>
      <x:c r="N1001" s="21" t="n">
        <x:f>IF(AND(L1000=1,M1000=1,P1000&gt;0),1,0)</x:f>
        <x:v>0</x:v>
      </x:c>
      <x:c r="O1001" s="21" t="n">
        <x:f>MIN('Root Data'!I304:I306)</x:f>
        <x:v>0</x:v>
      </x:c>
      <x:c r="P1001" s="44" t="n">
        <x:f>IF(AND(L1001=1,M1001=1,N1001=1,O1001&gt;=G1001),K1001,0)</x:f>
        <x:v>0</x:v>
      </x:c>
      <x:c r="Q1001" s="21" t="str">
        <x:v>OPEN</x:v>
      </x:c>
      <x:c r="R1001" s="23" t="str">
        <x:v>HOLD</x:v>
      </x:c>
    </x:row>
    <x:row r="1002">
      <x:c r="B1002" s="21" t="str">
        <x:v>AR-00996</x:v>
      </x:c>
      <x:c r="C1002" s="21" t="str">
        <x:v>F25-I4</x:v>
      </x:c>
      <x:c r="D1002" s="21" t="str">
        <x:v>F25</x:v>
      </x:c>
      <x:c r="E1002" s="21" t="n">
        <x:v>6</x:v>
      </x:c>
      <x:c r="F1002" s="21" t="str">
        <x:v>Representative mission result</x:v>
      </x:c>
      <x:c r="G1002" s="21" t="n">
        <x:v>23</x:v>
      </x:c>
      <x:c r="H1002" s="21" t="str">
        <x:v>Receiving Service Authority</x:v>
      </x:c>
      <x:c r="I1002" s="44" t="n">
        <x:f>Lifecycle!G12</x:f>
        <x:v>0.250345872587127</x:v>
      </x:c>
      <x:c r="J1002" s="44" t="n">
        <x:v>0.065</x:v>
      </x:c>
      <x:c r="K1002" s="44" t="n">
        <x:f>I1002*J1002</x:f>
        <x:v>0.016272481718163253</x:v>
      </x:c>
      <x:c r="L1002" s="46" t="n">
        <x:v>0</x:v>
      </x:c>
      <x:c r="M1002" s="46" t="n">
        <x:v>0</x:v>
      </x:c>
      <x:c r="N1002" s="21" t="n">
        <x:f>IF(AND(L1001=1,M1001=1,P1001&gt;0),1,0)</x:f>
        <x:v>0</x:v>
      </x:c>
      <x:c r="O1002" s="21" t="n">
        <x:f>MIN('Root Data'!I304:I306)</x:f>
        <x:v>0</x:v>
      </x:c>
      <x:c r="P1002" s="44" t="n">
        <x:f>IF(AND(L1002=1,M1002=1,N1002=1,O1002&gt;=G1002),K1002,0)</x:f>
        <x:v>0</x:v>
      </x:c>
      <x:c r="Q1002" s="21" t="str">
        <x:v>OPEN</x:v>
      </x:c>
      <x:c r="R1002" s="23" t="str">
        <x:v>HOLD</x:v>
      </x:c>
    </x:row>
    <x:row r="1003">
      <x:c r="B1003" s="21" t="str">
        <x:v>AR-00997</x:v>
      </x:c>
      <x:c r="C1003" s="21" t="str">
        <x:v>F25-I4</x:v>
      </x:c>
      <x:c r="D1003" s="21" t="str">
        <x:v>F25</x:v>
      </x:c>
      <x:c r="E1003" s="21" t="n">
        <x:v>7</x:v>
      </x:c>
      <x:c r="F1003" s="21" t="str">
        <x:v>Independent reproduction</x:v>
      </x:c>
      <x:c r="G1003" s="21" t="n">
        <x:v>28</x:v>
      </x:c>
      <x:c r="H1003" s="21" t="str">
        <x:v>Independent Evidence and Data Authority</x:v>
      </x:c>
      <x:c r="I1003" s="44" t="n">
        <x:f>Lifecycle!G13</x:f>
        <x:v>0.21740562619408393</x:v>
      </x:c>
      <x:c r="J1003" s="44" t="n">
        <x:v>0.065</x:v>
      </x:c>
      <x:c r="K1003" s="44" t="n">
        <x:f>I1003*J1003</x:f>
        <x:v>0.014131365702615457</x:v>
      </x:c>
      <x:c r="L1003" s="46" t="n">
        <x:v>0</x:v>
      </x:c>
      <x:c r="M1003" s="46" t="n">
        <x:v>0</x:v>
      </x:c>
      <x:c r="N1003" s="21" t="n">
        <x:f>IF(AND(L1002=1,M1002=1,P1002&gt;0),1,0)</x:f>
        <x:v>0</x:v>
      </x:c>
      <x:c r="O1003" s="21" t="n">
        <x:f>MIN('Root Data'!I304:I306)</x:f>
        <x:v>0</x:v>
      </x:c>
      <x:c r="P1003" s="44" t="n">
        <x:f>IF(AND(L1003=1,M1003=1,N1003=1,O1003&gt;=G1003),K1003,0)</x:f>
        <x:v>0</x:v>
      </x:c>
      <x:c r="Q1003" s="21" t="str">
        <x:v>OPEN</x:v>
      </x:c>
      <x:c r="R1003" s="23" t="str">
        <x:v>HOLD</x:v>
      </x:c>
    </x:row>
    <x:row r="1004">
      <x:c r="B1004" s="21" t="str">
        <x:v>AR-00998</x:v>
      </x:c>
      <x:c r="C1004" s="21" t="str">
        <x:v>F25-I4</x:v>
      </x:c>
      <x:c r="D1004" s="21" t="str">
        <x:v>F25</x:v>
      </x:c>
      <x:c r="E1004" s="21" t="n">
        <x:v>8</x:v>
      </x:c>
      <x:c r="F1004" s="21" t="str">
        <x:v>Pilot-process qualification</x:v>
      </x:c>
      <x:c r="G1004" s="21" t="n">
        <x:v>28</x:v>
      </x:c>
      <x:c r="H1004" s="21" t="str">
        <x:v>AIMC Industrial Mobilization Authority</x:v>
      </x:c>
      <x:c r="I1004" s="44" t="n">
        <x:f>Lifecycle!G14</x:f>
        <x:v>0.03952829567165163</x:v>
      </x:c>
      <x:c r="J1004" s="44" t="n">
        <x:v>0.065</x:v>
      </x:c>
      <x:c r="K1004" s="44" t="n">
        <x:f>I1004*J1004</x:f>
        <x:v>0.002569339218657356</x:v>
      </x:c>
      <x:c r="L1004" s="46" t="n">
        <x:v>0</x:v>
      </x:c>
      <x:c r="M1004" s="46" t="n">
        <x:v>0</x:v>
      </x:c>
      <x:c r="N1004" s="21" t="n">
        <x:f>IF(AND(L1003=1,M1003=1,P1003&gt;0),1,0)</x:f>
        <x:v>0</x:v>
      </x:c>
      <x:c r="O1004" s="21" t="n">
        <x:f>MIN('Root Data'!I304:I306)</x:f>
        <x:v>0</x:v>
      </x:c>
      <x:c r="P1004" s="44" t="n">
        <x:f>IF(AND(L1004=1,M1004=1,N1004=1,O1004&gt;=G1004),K1004,0)</x:f>
        <x:v>0</x:v>
      </x:c>
      <x:c r="Q1004" s="21" t="str">
        <x:v>OPEN</x:v>
      </x:c>
      <x:c r="R1004" s="23" t="str">
        <x:v>HOLD</x:v>
      </x:c>
    </x:row>
    <x:row r="1005">
      <x:c r="B1005" s="21" t="str">
        <x:v>AR-00999</x:v>
      </x:c>
      <x:c r="C1005" s="21" t="str">
        <x:v>F25-I4</x:v>
      </x:c>
      <x:c r="D1005" s="21" t="str">
        <x:v>F25</x:v>
      </x:c>
      <x:c r="E1005" s="21" t="n">
        <x:v>9</x:v>
      </x:c>
      <x:c r="F1005" s="21" t="str">
        <x:v>Production release package</x:v>
      </x:c>
      <x:c r="G1005" s="21" t="n">
        <x:v>28</x:v>
      </x:c>
      <x:c r="H1005" s="21" t="str">
        <x:v>Production Release Board</x:v>
      </x:c>
      <x:c r="I1005" s="44" t="n">
        <x:f>Lifecycle!G15</x:f>
        <x:v>0.01647012319652151</x:v>
      </x:c>
      <x:c r="J1005" s="44" t="n">
        <x:v>0.065</x:v>
      </x:c>
      <x:c r="K1005" s="44" t="n">
        <x:f>I1005*J1005</x:f>
        <x:v>0.0010705580077738982</x:v>
      </x:c>
      <x:c r="L1005" s="46" t="n">
        <x:v>0</x:v>
      </x:c>
      <x:c r="M1005" s="46" t="n">
        <x:v>0</x:v>
      </x:c>
      <x:c r="N1005" s="21" t="n">
        <x:f>IF(AND(L1004=1,M1004=1,P1004&gt;0),1,0)</x:f>
        <x:v>0</x:v>
      </x:c>
      <x:c r="O1005" s="21" t="n">
        <x:f>MIN('Root Data'!I304:I306)</x:f>
        <x:v>0</x:v>
      </x:c>
      <x:c r="P1005" s="44" t="n">
        <x:f>IF(AND(L1005=1,M1005=1,N1005=1,O1005&gt;=G1005),K1005,0)</x:f>
        <x:v>0</x:v>
      </x:c>
      <x:c r="Q1005" s="21" t="str">
        <x:v>OPEN</x:v>
      </x:c>
      <x:c r="R1005" s="23" t="str">
        <x:v>HOLD</x:v>
      </x:c>
    </x:row>
    <x:row r="1006">
      <x:c r="B1006" s="21" t="str">
        <x:v>AR-01000</x:v>
      </x:c>
      <x:c r="C1006" s="21" t="str">
        <x:v>F25-I4</x:v>
      </x:c>
      <x:c r="D1006" s="21" t="str">
        <x:v>F25</x:v>
      </x:c>
      <x:c r="E1006" s="21" t="n">
        <x:v>10</x:v>
      </x:c>
      <x:c r="F1006" s="21" t="str">
        <x:v>Mobilization activation</x:v>
      </x:c>
      <x:c r="G1006" s="21" t="n">
        <x:v>28</x:v>
      </x:c>
      <x:c r="H1006" s="21" t="str">
        <x:v>Production Release Board</x:v>
      </x:c>
      <x:c r="I1006" s="44" t="n">
        <x:f>Lifecycle!G16</x:f>
        <x:v>0.028262731405230914</x:v>
      </x:c>
      <x:c r="J1006" s="44" t="n">
        <x:v>0.065</x:v>
      </x:c>
      <x:c r="K1006" s="44" t="n">
        <x:f>I1006*J1006</x:f>
        <x:v>0.0018370775413400094</x:v>
      </x:c>
      <x:c r="L1006" s="46" t="n">
        <x:v>0</x:v>
      </x:c>
      <x:c r="M1006" s="46" t="n">
        <x:v>0</x:v>
      </x:c>
      <x:c r="N1006" s="21" t="n">
        <x:f>IF(AND(L1005=1,M1005=1,P1005&gt;0),1,0)</x:f>
        <x:v>0</x:v>
      </x:c>
      <x:c r="O1006" s="21" t="n">
        <x:f>MIN('Root Data'!I304:I306)</x:f>
        <x:v>0</x:v>
      </x:c>
      <x:c r="P1006" s="44" t="n">
        <x:f>IF(AND(L1006=1,M1006=1,N1006=1,O1006&gt;=G1006),K1006,0)</x:f>
        <x:v>0</x:v>
      </x:c>
      <x:c r="Q1006" s="21" t="str">
        <x:v>OPEN</x:v>
      </x:c>
      <x:c r="R1006" s="23" t="str">
        <x:v>HOLD</x:v>
      </x:c>
    </x:row>
    <x:row r="1007">
      <x:c r="B1007" s="21" t="str">
        <x:v>AR-01001</x:v>
      </x:c>
      <x:c r="C1007" s="21" t="str">
        <x:v>F26-I1</x:v>
      </x:c>
      <x:c r="D1007" s="21" t="str">
        <x:v>F26</x:v>
      </x:c>
      <x:c r="E1007" s="21" t="n">
        <x:v>1</x:v>
      </x:c>
      <x:c r="F1007" s="21" t="str">
        <x:v>Civil effect charter</x:v>
      </x:c>
      <x:c r="G1007" s="21" t="n">
        <x:v>0</x:v>
      </x:c>
      <x:c r="H1007" s="21" t="str">
        <x:v>Civil Guarantee Authority</x:v>
      </x:c>
      <x:c r="I1007" s="44" t="n">
        <x:f>Lifecycle!G7</x:f>
        <x:v>0.04941036958956453</x:v>
      </x:c>
      <x:c r="J1007" s="44" t="n">
        <x:v>0.065</x:v>
      </x:c>
      <x:c r="K1007" s="44" t="n">
        <x:f>I1007*J1007</x:f>
        <x:v>0.0032116740233216947</x:v>
      </x:c>
      <x:c r="L1007" s="46" t="n">
        <x:v>0</x:v>
      </x:c>
      <x:c r="M1007" s="46" t="n">
        <x:v>0</x:v>
      </x:c>
      <x:c r="N1007" s="21" t="n">
        <x:f>1</x:f>
        <x:v>1</x:v>
      </x:c>
      <x:c r="O1007" s="21" t="n">
        <x:f>MIN('Root Data'!I307:I309)</x:f>
        <x:v>0</x:v>
      </x:c>
      <x:c r="P1007" s="44" t="n">
        <x:f>IF(AND(L1007=1,M1007=1,N1007=1,O1007&gt;=G1007),K1007,0)</x:f>
        <x:v>0</x:v>
      </x:c>
      <x:c r="Q1007" s="21" t="str">
        <x:v>OPEN</x:v>
      </x:c>
      <x:c r="R1007" s="23" t="str">
        <x:v>HOLD</x:v>
      </x:c>
    </x:row>
    <x:row r="1008">
      <x:c r="B1008" s="21" t="str">
        <x:v>AR-01002</x:v>
      </x:c>
      <x:c r="C1008" s="21" t="str">
        <x:v>F26-I1</x:v>
      </x:c>
      <x:c r="D1008" s="21" t="str">
        <x:v>F26</x:v>
      </x:c>
      <x:c r="E1008" s="21" t="n">
        <x:v>2</x:v>
      </x:c>
      <x:c r="F1008" s="21" t="str">
        <x:v>Requirement and root-independence package</x:v>
      </x:c>
      <x:c r="G1008" s="21" t="n">
        <x:v>8</x:v>
      </x:c>
      <x:c r="H1008" s="21" t="str">
        <x:v>Resilience Staff</x:v>
      </x:c>
      <x:c r="I1008" s="44" t="n">
        <x:f>Lifecycle!G8</x:f>
        <x:v>0.10211476381843337</x:v>
      </x:c>
      <x:c r="J1008" s="44" t="n">
        <x:v>0.065</x:v>
      </x:c>
      <x:c r="K1008" s="44" t="n">
        <x:f>I1008*J1008</x:f>
        <x:v>0.00663745964819817</x:v>
      </x:c>
      <x:c r="L1008" s="46" t="n">
        <x:v>0</x:v>
      </x:c>
      <x:c r="M1008" s="46" t="n">
        <x:v>0</x:v>
      </x:c>
      <x:c r="N1008" s="21" t="n">
        <x:f>IF(AND(L1007=1,M1007=1,P1007&gt;0),1,0)</x:f>
        <x:v>0</x:v>
      </x:c>
      <x:c r="O1008" s="21" t="n">
        <x:f>MIN('Root Data'!I307:I309)</x:f>
        <x:v>0</x:v>
      </x:c>
      <x:c r="P1008" s="44" t="n">
        <x:f>IF(AND(L1008=1,M1008=1,N1008=1,O1008&gt;=G1008),K1008,0)</x:f>
        <x:v>0</x:v>
      </x:c>
      <x:c r="Q1008" s="21" t="str">
        <x:v>OPEN</x:v>
      </x:c>
      <x:c r="R1008" s="23" t="str">
        <x:v>HOLD</x:v>
      </x:c>
    </x:row>
    <x:row r="1009">
      <x:c r="B1009" s="21" t="str">
        <x:v>AR-01003</x:v>
      </x:c>
      <x:c r="C1009" s="21" t="str">
        <x:v>F26-I1</x:v>
      </x:c>
      <x:c r="D1009" s="21" t="str">
        <x:v>F26</x:v>
      </x:c>
      <x:c r="E1009" s="21" t="n">
        <x:v>3</x:v>
      </x:c>
      <x:c r="F1009" s="21" t="str">
        <x:v>Architecture and burden closure</x:v>
      </x:c>
      <x:c r="G1009" s="21" t="n">
        <x:v>14</x:v>
      </x:c>
      <x:c r="H1009" s="21" t="str">
        <x:v>Independent Evidence and Data Authority</x:v>
      </x:c>
      <x:c r="I1009" s="44" t="n">
        <x:f>Lifecycle!G9</x:f>
        <x:v>0.08564464062191186</x:v>
      </x:c>
      <x:c r="J1009" s="44" t="n">
        <x:v>0.065</x:v>
      </x:c>
      <x:c r="K1009" s="44" t="n">
        <x:f>I1009*J1009</x:f>
        <x:v>0.005566901640424271</x:v>
      </x:c>
      <x:c r="L1009" s="46" t="n">
        <x:v>0</x:v>
      </x:c>
      <x:c r="M1009" s="46" t="n">
        <x:v>0</x:v>
      </x:c>
      <x:c r="N1009" s="21" t="n">
        <x:f>IF(AND(L1008=1,M1008=1,P1008&gt;0),1,0)</x:f>
        <x:v>0</x:v>
      </x:c>
      <x:c r="O1009" s="21" t="n">
        <x:f>MIN('Root Data'!I307:I309)</x:f>
        <x:v>0</x:v>
      </x:c>
      <x:c r="P1009" s="44" t="n">
        <x:f>IF(AND(L1009=1,M1009=1,N1009=1,O1009&gt;=G1009),K1009,0)</x:f>
        <x:v>0</x:v>
      </x:c>
      <x:c r="Q1009" s="21" t="str">
        <x:v>OPEN</x:v>
      </x:c>
      <x:c r="R1009" s="23" t="str">
        <x:v>HOLD</x:v>
      </x:c>
    </x:row>
    <x:row r="1010">
      <x:c r="B1010" s="21" t="str">
        <x:v>AR-01004</x:v>
      </x:c>
      <x:c r="C1010" s="21" t="str">
        <x:v>F26-I1</x:v>
      </x:c>
      <x:c r="D1010" s="21" t="str">
        <x:v>F26</x:v>
      </x:c>
      <x:c r="E1010" s="21" t="n">
        <x:v>4</x:v>
      </x:c>
      <x:c r="F1010" s="21" t="str">
        <x:v>Engineering article acceptance</x:v>
      </x:c>
      <x:c r="G1010" s="21" t="n">
        <x:v>18</x:v>
      </x:c>
      <x:c r="H1010" s="21" t="str">
        <x:v>Independent Evidence and Data Authority</x:v>
      </x:c>
      <x:c r="I1010" s="44" t="n">
        <x:f>Lifecycle!G10</x:f>
        <x:v>0.05929244350747744</x:v>
      </x:c>
      <x:c r="J1010" s="44" t="n">
        <x:v>0.065</x:v>
      </x:c>
      <x:c r="K1010" s="44" t="n">
        <x:f>I1010*J1010</x:f>
        <x:v>0.003854008827986034</x:v>
      </x:c>
      <x:c r="L1010" s="46" t="n">
        <x:v>0</x:v>
      </x:c>
      <x:c r="M1010" s="46" t="n">
        <x:v>0</x:v>
      </x:c>
      <x:c r="N1010" s="21" t="n">
        <x:f>IF(AND(L1009=1,M1009=1,P1009&gt;0),1,0)</x:f>
        <x:v>0</x:v>
      </x:c>
      <x:c r="O1010" s="21" t="n">
        <x:f>MIN('Root Data'!I307:I309)</x:f>
        <x:v>0</x:v>
      </x:c>
      <x:c r="P1010" s="44" t="n">
        <x:f>IF(AND(L1010=1,M1010=1,N1010=1,O1010&gt;=G1010),K1010,0)</x:f>
        <x:v>0</x:v>
      </x:c>
      <x:c r="Q1010" s="21" t="str">
        <x:v>OPEN</x:v>
      </x:c>
      <x:c r="R1010" s="23" t="str">
        <x:v>HOLD</x:v>
      </x:c>
    </x:row>
    <x:row r="1011">
      <x:c r="B1011" s="21" t="str">
        <x:v>AR-01005</x:v>
      </x:c>
      <x:c r="C1011" s="21" t="str">
        <x:v>F26-I1</x:v>
      </x:c>
      <x:c r="D1011" s="21" t="str">
        <x:v>F26</x:v>
      </x:c>
      <x:c r="E1011" s="21" t="n">
        <x:v>5</x:v>
      </x:c>
      <x:c r="F1011" s="21" t="str">
        <x:v>Qualification and destructive evidence</x:v>
      </x:c>
      <x:c r="G1011" s="21" t="n">
        <x:v>21</x:v>
      </x:c>
      <x:c r="H1011" s="21" t="str">
        <x:v>Independent Evidence and Data Authority</x:v>
      </x:c>
      <x:c r="I1011" s="44" t="n">
        <x:f>Lifecycle!G11</x:f>
        <x:v>0.1515251334079979</x:v>
      </x:c>
      <x:c r="J1011" s="44" t="n">
        <x:v>0.065</x:v>
      </x:c>
      <x:c r="K1011" s="44" t="n">
        <x:f>I1011*J1011</x:f>
        <x:v>0.009849133671519864</x:v>
      </x:c>
      <x:c r="L1011" s="46" t="n">
        <x:v>0</x:v>
      </x:c>
      <x:c r="M1011" s="46" t="n">
        <x:v>0</x:v>
      </x:c>
      <x:c r="N1011" s="21" t="n">
        <x:f>IF(AND(L1010=1,M1010=1,P1010&gt;0),1,0)</x:f>
        <x:v>0</x:v>
      </x:c>
      <x:c r="O1011" s="21" t="n">
        <x:f>MIN('Root Data'!I307:I309)</x:f>
        <x:v>0</x:v>
      </x:c>
      <x:c r="P1011" s="44" t="n">
        <x:f>IF(AND(L1011=1,M1011=1,N1011=1,O1011&gt;=G1011),K1011,0)</x:f>
        <x:v>0</x:v>
      </x:c>
      <x:c r="Q1011" s="21" t="str">
        <x:v>OPEN</x:v>
      </x:c>
      <x:c r="R1011" s="23" t="str">
        <x:v>HOLD</x:v>
      </x:c>
    </x:row>
    <x:row r="1012">
      <x:c r="B1012" s="21" t="str">
        <x:v>AR-01006</x:v>
      </x:c>
      <x:c r="C1012" s="21" t="str">
        <x:v>F26-I1</x:v>
      </x:c>
      <x:c r="D1012" s="21" t="str">
        <x:v>F26</x:v>
      </x:c>
      <x:c r="E1012" s="21" t="n">
        <x:v>6</x:v>
      </x:c>
      <x:c r="F1012" s="21" t="str">
        <x:v>Representative mission result</x:v>
      </x:c>
      <x:c r="G1012" s="21" t="n">
        <x:v>23</x:v>
      </x:c>
      <x:c r="H1012" s="21" t="str">
        <x:v>Receiving Service Authority</x:v>
      </x:c>
      <x:c r="I1012" s="44" t="n">
        <x:f>Lifecycle!G12</x:f>
        <x:v>0.250345872587127</x:v>
      </x:c>
      <x:c r="J1012" s="44" t="n">
        <x:v>0.065</x:v>
      </x:c>
      <x:c r="K1012" s="44" t="n">
        <x:f>I1012*J1012</x:f>
        <x:v>0.016272481718163253</x:v>
      </x:c>
      <x:c r="L1012" s="46" t="n">
        <x:v>0</x:v>
      </x:c>
      <x:c r="M1012" s="46" t="n">
        <x:v>0</x:v>
      </x:c>
      <x:c r="N1012" s="21" t="n">
        <x:f>IF(AND(L1011=1,M1011=1,P1011&gt;0),1,0)</x:f>
        <x:v>0</x:v>
      </x:c>
      <x:c r="O1012" s="21" t="n">
        <x:f>MIN('Root Data'!I307:I309)</x:f>
        <x:v>0</x:v>
      </x:c>
      <x:c r="P1012" s="44" t="n">
        <x:f>IF(AND(L1012=1,M1012=1,N1012=1,O1012&gt;=G1012),K1012,0)</x:f>
        <x:v>0</x:v>
      </x:c>
      <x:c r="Q1012" s="21" t="str">
        <x:v>OPEN</x:v>
      </x:c>
      <x:c r="R1012" s="23" t="str">
        <x:v>HOLD</x:v>
      </x:c>
    </x:row>
    <x:row r="1013">
      <x:c r="B1013" s="21" t="str">
        <x:v>AR-01007</x:v>
      </x:c>
      <x:c r="C1013" s="21" t="str">
        <x:v>F26-I1</x:v>
      </x:c>
      <x:c r="D1013" s="21" t="str">
        <x:v>F26</x:v>
      </x:c>
      <x:c r="E1013" s="21" t="n">
        <x:v>7</x:v>
      </x:c>
      <x:c r="F1013" s="21" t="str">
        <x:v>Independent reproduction</x:v>
      </x:c>
      <x:c r="G1013" s="21" t="n">
        <x:v>28</x:v>
      </x:c>
      <x:c r="H1013" s="21" t="str">
        <x:v>Independent Evidence and Data Authority</x:v>
      </x:c>
      <x:c r="I1013" s="44" t="n">
        <x:f>Lifecycle!G13</x:f>
        <x:v>0.21740562619408393</x:v>
      </x:c>
      <x:c r="J1013" s="44" t="n">
        <x:v>0.065</x:v>
      </x:c>
      <x:c r="K1013" s="44" t="n">
        <x:f>I1013*J1013</x:f>
        <x:v>0.014131365702615457</x:v>
      </x:c>
      <x:c r="L1013" s="46" t="n">
        <x:v>0</x:v>
      </x:c>
      <x:c r="M1013" s="46" t="n">
        <x:v>0</x:v>
      </x:c>
      <x:c r="N1013" s="21" t="n">
        <x:f>IF(AND(L1012=1,M1012=1,P1012&gt;0),1,0)</x:f>
        <x:v>0</x:v>
      </x:c>
      <x:c r="O1013" s="21" t="n">
        <x:f>MIN('Root Data'!I307:I309)</x:f>
        <x:v>0</x:v>
      </x:c>
      <x:c r="P1013" s="44" t="n">
        <x:f>IF(AND(L1013=1,M1013=1,N1013=1,O1013&gt;=G1013),K1013,0)</x:f>
        <x:v>0</x:v>
      </x:c>
      <x:c r="Q1013" s="21" t="str">
        <x:v>OPEN</x:v>
      </x:c>
      <x:c r="R1013" s="23" t="str">
        <x:v>HOLD</x:v>
      </x:c>
    </x:row>
    <x:row r="1014">
      <x:c r="B1014" s="21" t="str">
        <x:v>AR-01008</x:v>
      </x:c>
      <x:c r="C1014" s="21" t="str">
        <x:v>F26-I1</x:v>
      </x:c>
      <x:c r="D1014" s="21" t="str">
        <x:v>F26</x:v>
      </x:c>
      <x:c r="E1014" s="21" t="n">
        <x:v>8</x:v>
      </x:c>
      <x:c r="F1014" s="21" t="str">
        <x:v>Pilot-process qualification</x:v>
      </x:c>
      <x:c r="G1014" s="21" t="n">
        <x:v>28</x:v>
      </x:c>
      <x:c r="H1014" s="21" t="str">
        <x:v>AIMC Industrial Mobilization Authority</x:v>
      </x:c>
      <x:c r="I1014" s="44" t="n">
        <x:f>Lifecycle!G14</x:f>
        <x:v>0.03952829567165163</x:v>
      </x:c>
      <x:c r="J1014" s="44" t="n">
        <x:v>0.065</x:v>
      </x:c>
      <x:c r="K1014" s="44" t="n">
        <x:f>I1014*J1014</x:f>
        <x:v>0.002569339218657356</x:v>
      </x:c>
      <x:c r="L1014" s="46" t="n">
        <x:v>0</x:v>
      </x:c>
      <x:c r="M1014" s="46" t="n">
        <x:v>0</x:v>
      </x:c>
      <x:c r="N1014" s="21" t="n">
        <x:f>IF(AND(L1013=1,M1013=1,P1013&gt;0),1,0)</x:f>
        <x:v>0</x:v>
      </x:c>
      <x:c r="O1014" s="21" t="n">
        <x:f>MIN('Root Data'!I307:I309)</x:f>
        <x:v>0</x:v>
      </x:c>
      <x:c r="P1014" s="44" t="n">
        <x:f>IF(AND(L1014=1,M1014=1,N1014=1,O1014&gt;=G1014),K1014,0)</x:f>
        <x:v>0</x:v>
      </x:c>
      <x:c r="Q1014" s="21" t="str">
        <x:v>OPEN</x:v>
      </x:c>
      <x:c r="R1014" s="23" t="str">
        <x:v>HOLD</x:v>
      </x:c>
    </x:row>
    <x:row r="1015">
      <x:c r="B1015" s="21" t="str">
        <x:v>AR-01009</x:v>
      </x:c>
      <x:c r="C1015" s="21" t="str">
        <x:v>F26-I1</x:v>
      </x:c>
      <x:c r="D1015" s="21" t="str">
        <x:v>F26</x:v>
      </x:c>
      <x:c r="E1015" s="21" t="n">
        <x:v>9</x:v>
      </x:c>
      <x:c r="F1015" s="21" t="str">
        <x:v>Production release package</x:v>
      </x:c>
      <x:c r="G1015" s="21" t="n">
        <x:v>28</x:v>
      </x:c>
      <x:c r="H1015" s="21" t="str">
        <x:v>Production Release Board</x:v>
      </x:c>
      <x:c r="I1015" s="44" t="n">
        <x:f>Lifecycle!G15</x:f>
        <x:v>0.01647012319652151</x:v>
      </x:c>
      <x:c r="J1015" s="44" t="n">
        <x:v>0.065</x:v>
      </x:c>
      <x:c r="K1015" s="44" t="n">
        <x:f>I1015*J1015</x:f>
        <x:v>0.0010705580077738982</x:v>
      </x:c>
      <x:c r="L1015" s="46" t="n">
        <x:v>0</x:v>
      </x:c>
      <x:c r="M1015" s="46" t="n">
        <x:v>0</x:v>
      </x:c>
      <x:c r="N1015" s="21" t="n">
        <x:f>IF(AND(L1014=1,M1014=1,P1014&gt;0),1,0)</x:f>
        <x:v>0</x:v>
      </x:c>
      <x:c r="O1015" s="21" t="n">
        <x:f>MIN('Root Data'!I307:I309)</x:f>
        <x:v>0</x:v>
      </x:c>
      <x:c r="P1015" s="44" t="n">
        <x:f>IF(AND(L1015=1,M1015=1,N1015=1,O1015&gt;=G1015),K1015,0)</x:f>
        <x:v>0</x:v>
      </x:c>
      <x:c r="Q1015" s="21" t="str">
        <x:v>OPEN</x:v>
      </x:c>
      <x:c r="R1015" s="23" t="str">
        <x:v>HOLD</x:v>
      </x:c>
    </x:row>
    <x:row r="1016">
      <x:c r="B1016" s="21" t="str">
        <x:v>AR-01010</x:v>
      </x:c>
      <x:c r="C1016" s="21" t="str">
        <x:v>F26-I1</x:v>
      </x:c>
      <x:c r="D1016" s="21" t="str">
        <x:v>F26</x:v>
      </x:c>
      <x:c r="E1016" s="21" t="n">
        <x:v>10</x:v>
      </x:c>
      <x:c r="F1016" s="21" t="str">
        <x:v>Mobilization activation</x:v>
      </x:c>
      <x:c r="G1016" s="21" t="n">
        <x:v>28</x:v>
      </x:c>
      <x:c r="H1016" s="21" t="str">
        <x:v>Production Release Board</x:v>
      </x:c>
      <x:c r="I1016" s="44" t="n">
        <x:f>Lifecycle!G16</x:f>
        <x:v>0.028262731405230914</x:v>
      </x:c>
      <x:c r="J1016" s="44" t="n">
        <x:v>0.065</x:v>
      </x:c>
      <x:c r="K1016" s="44" t="n">
        <x:f>I1016*J1016</x:f>
        <x:v>0.0018370775413400094</x:v>
      </x:c>
      <x:c r="L1016" s="46" t="n">
        <x:v>0</x:v>
      </x:c>
      <x:c r="M1016" s="46" t="n">
        <x:v>0</x:v>
      </x:c>
      <x:c r="N1016" s="21" t="n">
        <x:f>IF(AND(L1015=1,M1015=1,P1015&gt;0),1,0)</x:f>
        <x:v>0</x:v>
      </x:c>
      <x:c r="O1016" s="21" t="n">
        <x:f>MIN('Root Data'!I307:I309)</x:f>
        <x:v>0</x:v>
      </x:c>
      <x:c r="P1016" s="44" t="n">
        <x:f>IF(AND(L1016=1,M1016=1,N1016=1,O1016&gt;=G1016),K1016,0)</x:f>
        <x:v>0</x:v>
      </x:c>
      <x:c r="Q1016" s="21" t="str">
        <x:v>OPEN</x:v>
      </x:c>
      <x:c r="R1016" s="23" t="str">
        <x:v>HOLD</x:v>
      </x:c>
    </x:row>
    <x:row r="1017">
      <x:c r="B1017" s="21" t="str">
        <x:v>AR-01011</x:v>
      </x:c>
      <x:c r="C1017" s="21" t="str">
        <x:v>F26-I2</x:v>
      </x:c>
      <x:c r="D1017" s="21" t="str">
        <x:v>F26</x:v>
      </x:c>
      <x:c r="E1017" s="21" t="n">
        <x:v>1</x:v>
      </x:c>
      <x:c r="F1017" s="21" t="str">
        <x:v>Civil effect charter</x:v>
      </x:c>
      <x:c r="G1017" s="21" t="n">
        <x:v>0</x:v>
      </x:c>
      <x:c r="H1017" s="21" t="str">
        <x:v>Civil Guarantee Authority</x:v>
      </x:c>
      <x:c r="I1017" s="44" t="n">
        <x:f>Lifecycle!G7</x:f>
        <x:v>0.04941036958956453</x:v>
      </x:c>
      <x:c r="J1017" s="44" t="n">
        <x:v>0.065</x:v>
      </x:c>
      <x:c r="K1017" s="44" t="n">
        <x:f>I1017*J1017</x:f>
        <x:v>0.0032116740233216947</x:v>
      </x:c>
      <x:c r="L1017" s="46" t="n">
        <x:v>0</x:v>
      </x:c>
      <x:c r="M1017" s="46" t="n">
        <x:v>0</x:v>
      </x:c>
      <x:c r="N1017" s="21" t="n">
        <x:f>1</x:f>
        <x:v>1</x:v>
      </x:c>
      <x:c r="O1017" s="21" t="n">
        <x:f>MIN('Root Data'!I310:I312)</x:f>
        <x:v>0</x:v>
      </x:c>
      <x:c r="P1017" s="44" t="n">
        <x:f>IF(AND(L1017=1,M1017=1,N1017=1,O1017&gt;=G1017),K1017,0)</x:f>
        <x:v>0</x:v>
      </x:c>
      <x:c r="Q1017" s="21" t="str">
        <x:v>OPEN</x:v>
      </x:c>
      <x:c r="R1017" s="23" t="str">
        <x:v>HOLD</x:v>
      </x:c>
    </x:row>
    <x:row r="1018">
      <x:c r="B1018" s="21" t="str">
        <x:v>AR-01012</x:v>
      </x:c>
      <x:c r="C1018" s="21" t="str">
        <x:v>F26-I2</x:v>
      </x:c>
      <x:c r="D1018" s="21" t="str">
        <x:v>F26</x:v>
      </x:c>
      <x:c r="E1018" s="21" t="n">
        <x:v>2</x:v>
      </x:c>
      <x:c r="F1018" s="21" t="str">
        <x:v>Requirement and root-independence package</x:v>
      </x:c>
      <x:c r="G1018" s="21" t="n">
        <x:v>8</x:v>
      </x:c>
      <x:c r="H1018" s="21" t="str">
        <x:v>Resilience Staff</x:v>
      </x:c>
      <x:c r="I1018" s="44" t="n">
        <x:f>Lifecycle!G8</x:f>
        <x:v>0.10211476381843337</x:v>
      </x:c>
      <x:c r="J1018" s="44" t="n">
        <x:v>0.065</x:v>
      </x:c>
      <x:c r="K1018" s="44" t="n">
        <x:f>I1018*J1018</x:f>
        <x:v>0.00663745964819817</x:v>
      </x:c>
      <x:c r="L1018" s="46" t="n">
        <x:v>0</x:v>
      </x:c>
      <x:c r="M1018" s="46" t="n">
        <x:v>0</x:v>
      </x:c>
      <x:c r="N1018" s="21" t="n">
        <x:f>IF(AND(L1017=1,M1017=1,P1017&gt;0),1,0)</x:f>
        <x:v>0</x:v>
      </x:c>
      <x:c r="O1018" s="21" t="n">
        <x:f>MIN('Root Data'!I310:I312)</x:f>
        <x:v>0</x:v>
      </x:c>
      <x:c r="P1018" s="44" t="n">
        <x:f>IF(AND(L1018=1,M1018=1,N1018=1,O1018&gt;=G1018),K1018,0)</x:f>
        <x:v>0</x:v>
      </x:c>
      <x:c r="Q1018" s="21" t="str">
        <x:v>OPEN</x:v>
      </x:c>
      <x:c r="R1018" s="23" t="str">
        <x:v>HOLD</x:v>
      </x:c>
    </x:row>
    <x:row r="1019">
      <x:c r="B1019" s="21" t="str">
        <x:v>AR-01013</x:v>
      </x:c>
      <x:c r="C1019" s="21" t="str">
        <x:v>F26-I2</x:v>
      </x:c>
      <x:c r="D1019" s="21" t="str">
        <x:v>F26</x:v>
      </x:c>
      <x:c r="E1019" s="21" t="n">
        <x:v>3</x:v>
      </x:c>
      <x:c r="F1019" s="21" t="str">
        <x:v>Architecture and burden closure</x:v>
      </x:c>
      <x:c r="G1019" s="21" t="n">
        <x:v>14</x:v>
      </x:c>
      <x:c r="H1019" s="21" t="str">
        <x:v>Independent Evidence and Data Authority</x:v>
      </x:c>
      <x:c r="I1019" s="44" t="n">
        <x:f>Lifecycle!G9</x:f>
        <x:v>0.08564464062191186</x:v>
      </x:c>
      <x:c r="J1019" s="44" t="n">
        <x:v>0.065</x:v>
      </x:c>
      <x:c r="K1019" s="44" t="n">
        <x:f>I1019*J1019</x:f>
        <x:v>0.005566901640424271</x:v>
      </x:c>
      <x:c r="L1019" s="46" t="n">
        <x:v>0</x:v>
      </x:c>
      <x:c r="M1019" s="46" t="n">
        <x:v>0</x:v>
      </x:c>
      <x:c r="N1019" s="21" t="n">
        <x:f>IF(AND(L1018=1,M1018=1,P1018&gt;0),1,0)</x:f>
        <x:v>0</x:v>
      </x:c>
      <x:c r="O1019" s="21" t="n">
        <x:f>MIN('Root Data'!I310:I312)</x:f>
        <x:v>0</x:v>
      </x:c>
      <x:c r="P1019" s="44" t="n">
        <x:f>IF(AND(L1019=1,M1019=1,N1019=1,O1019&gt;=G1019),K1019,0)</x:f>
        <x:v>0</x:v>
      </x:c>
      <x:c r="Q1019" s="21" t="str">
        <x:v>OPEN</x:v>
      </x:c>
      <x:c r="R1019" s="23" t="str">
        <x:v>HOLD</x:v>
      </x:c>
    </x:row>
    <x:row r="1020">
      <x:c r="B1020" s="21" t="str">
        <x:v>AR-01014</x:v>
      </x:c>
      <x:c r="C1020" s="21" t="str">
        <x:v>F26-I2</x:v>
      </x:c>
      <x:c r="D1020" s="21" t="str">
        <x:v>F26</x:v>
      </x:c>
      <x:c r="E1020" s="21" t="n">
        <x:v>4</x:v>
      </x:c>
      <x:c r="F1020" s="21" t="str">
        <x:v>Engineering article acceptance</x:v>
      </x:c>
      <x:c r="G1020" s="21" t="n">
        <x:v>18</x:v>
      </x:c>
      <x:c r="H1020" s="21" t="str">
        <x:v>Independent Evidence and Data Authority</x:v>
      </x:c>
      <x:c r="I1020" s="44" t="n">
        <x:f>Lifecycle!G10</x:f>
        <x:v>0.05929244350747744</x:v>
      </x:c>
      <x:c r="J1020" s="44" t="n">
        <x:v>0.065</x:v>
      </x:c>
      <x:c r="K1020" s="44" t="n">
        <x:f>I1020*J1020</x:f>
        <x:v>0.003854008827986034</x:v>
      </x:c>
      <x:c r="L1020" s="46" t="n">
        <x:v>0</x:v>
      </x:c>
      <x:c r="M1020" s="46" t="n">
        <x:v>0</x:v>
      </x:c>
      <x:c r="N1020" s="21" t="n">
        <x:f>IF(AND(L1019=1,M1019=1,P1019&gt;0),1,0)</x:f>
        <x:v>0</x:v>
      </x:c>
      <x:c r="O1020" s="21" t="n">
        <x:f>MIN('Root Data'!I310:I312)</x:f>
        <x:v>0</x:v>
      </x:c>
      <x:c r="P1020" s="44" t="n">
        <x:f>IF(AND(L1020=1,M1020=1,N1020=1,O1020&gt;=G1020),K1020,0)</x:f>
        <x:v>0</x:v>
      </x:c>
      <x:c r="Q1020" s="21" t="str">
        <x:v>OPEN</x:v>
      </x:c>
      <x:c r="R1020" s="23" t="str">
        <x:v>HOLD</x:v>
      </x:c>
    </x:row>
    <x:row r="1021">
      <x:c r="B1021" s="21" t="str">
        <x:v>AR-01015</x:v>
      </x:c>
      <x:c r="C1021" s="21" t="str">
        <x:v>F26-I2</x:v>
      </x:c>
      <x:c r="D1021" s="21" t="str">
        <x:v>F26</x:v>
      </x:c>
      <x:c r="E1021" s="21" t="n">
        <x:v>5</x:v>
      </x:c>
      <x:c r="F1021" s="21" t="str">
        <x:v>Qualification and destructive evidence</x:v>
      </x:c>
      <x:c r="G1021" s="21" t="n">
        <x:v>21</x:v>
      </x:c>
      <x:c r="H1021" s="21" t="str">
        <x:v>Independent Evidence and Data Authority</x:v>
      </x:c>
      <x:c r="I1021" s="44" t="n">
        <x:f>Lifecycle!G11</x:f>
        <x:v>0.1515251334079979</x:v>
      </x:c>
      <x:c r="J1021" s="44" t="n">
        <x:v>0.065</x:v>
      </x:c>
      <x:c r="K1021" s="44" t="n">
        <x:f>I1021*J1021</x:f>
        <x:v>0.009849133671519864</x:v>
      </x:c>
      <x:c r="L1021" s="46" t="n">
        <x:v>0</x:v>
      </x:c>
      <x:c r="M1021" s="46" t="n">
        <x:v>0</x:v>
      </x:c>
      <x:c r="N1021" s="21" t="n">
        <x:f>IF(AND(L1020=1,M1020=1,P1020&gt;0),1,0)</x:f>
        <x:v>0</x:v>
      </x:c>
      <x:c r="O1021" s="21" t="n">
        <x:f>MIN('Root Data'!I310:I312)</x:f>
        <x:v>0</x:v>
      </x:c>
      <x:c r="P1021" s="44" t="n">
        <x:f>IF(AND(L1021=1,M1021=1,N1021=1,O1021&gt;=G1021),K1021,0)</x:f>
        <x:v>0</x:v>
      </x:c>
      <x:c r="Q1021" s="21" t="str">
        <x:v>OPEN</x:v>
      </x:c>
      <x:c r="R1021" s="23" t="str">
        <x:v>HOLD</x:v>
      </x:c>
    </x:row>
    <x:row r="1022">
      <x:c r="B1022" s="21" t="str">
        <x:v>AR-01016</x:v>
      </x:c>
      <x:c r="C1022" s="21" t="str">
        <x:v>F26-I2</x:v>
      </x:c>
      <x:c r="D1022" s="21" t="str">
        <x:v>F26</x:v>
      </x:c>
      <x:c r="E1022" s="21" t="n">
        <x:v>6</x:v>
      </x:c>
      <x:c r="F1022" s="21" t="str">
        <x:v>Representative mission result</x:v>
      </x:c>
      <x:c r="G1022" s="21" t="n">
        <x:v>23</x:v>
      </x:c>
      <x:c r="H1022" s="21" t="str">
        <x:v>Receiving Service Authority</x:v>
      </x:c>
      <x:c r="I1022" s="44" t="n">
        <x:f>Lifecycle!G12</x:f>
        <x:v>0.250345872587127</x:v>
      </x:c>
      <x:c r="J1022" s="44" t="n">
        <x:v>0.065</x:v>
      </x:c>
      <x:c r="K1022" s="44" t="n">
        <x:f>I1022*J1022</x:f>
        <x:v>0.016272481718163253</x:v>
      </x:c>
      <x:c r="L1022" s="46" t="n">
        <x:v>0</x:v>
      </x:c>
      <x:c r="M1022" s="46" t="n">
        <x:v>0</x:v>
      </x:c>
      <x:c r="N1022" s="21" t="n">
        <x:f>IF(AND(L1021=1,M1021=1,P1021&gt;0),1,0)</x:f>
        <x:v>0</x:v>
      </x:c>
      <x:c r="O1022" s="21" t="n">
        <x:f>MIN('Root Data'!I310:I312)</x:f>
        <x:v>0</x:v>
      </x:c>
      <x:c r="P1022" s="44" t="n">
        <x:f>IF(AND(L1022=1,M1022=1,N1022=1,O1022&gt;=G1022),K1022,0)</x:f>
        <x:v>0</x:v>
      </x:c>
      <x:c r="Q1022" s="21" t="str">
        <x:v>OPEN</x:v>
      </x:c>
      <x:c r="R1022" s="23" t="str">
        <x:v>HOLD</x:v>
      </x:c>
    </x:row>
    <x:row r="1023">
      <x:c r="B1023" s="21" t="str">
        <x:v>AR-01017</x:v>
      </x:c>
      <x:c r="C1023" s="21" t="str">
        <x:v>F26-I2</x:v>
      </x:c>
      <x:c r="D1023" s="21" t="str">
        <x:v>F26</x:v>
      </x:c>
      <x:c r="E1023" s="21" t="n">
        <x:v>7</x:v>
      </x:c>
      <x:c r="F1023" s="21" t="str">
        <x:v>Independent reproduction</x:v>
      </x:c>
      <x:c r="G1023" s="21" t="n">
        <x:v>28</x:v>
      </x:c>
      <x:c r="H1023" s="21" t="str">
        <x:v>Independent Evidence and Data Authority</x:v>
      </x:c>
      <x:c r="I1023" s="44" t="n">
        <x:f>Lifecycle!G13</x:f>
        <x:v>0.21740562619408393</x:v>
      </x:c>
      <x:c r="J1023" s="44" t="n">
        <x:v>0.065</x:v>
      </x:c>
      <x:c r="K1023" s="44" t="n">
        <x:f>I1023*J1023</x:f>
        <x:v>0.014131365702615457</x:v>
      </x:c>
      <x:c r="L1023" s="46" t="n">
        <x:v>0</x:v>
      </x:c>
      <x:c r="M1023" s="46" t="n">
        <x:v>0</x:v>
      </x:c>
      <x:c r="N1023" s="21" t="n">
        <x:f>IF(AND(L1022=1,M1022=1,P1022&gt;0),1,0)</x:f>
        <x:v>0</x:v>
      </x:c>
      <x:c r="O1023" s="21" t="n">
        <x:f>MIN('Root Data'!I310:I312)</x:f>
        <x:v>0</x:v>
      </x:c>
      <x:c r="P1023" s="44" t="n">
        <x:f>IF(AND(L1023=1,M1023=1,N1023=1,O1023&gt;=G1023),K1023,0)</x:f>
        <x:v>0</x:v>
      </x:c>
      <x:c r="Q1023" s="21" t="str">
        <x:v>OPEN</x:v>
      </x:c>
      <x:c r="R1023" s="23" t="str">
        <x:v>HOLD</x:v>
      </x:c>
    </x:row>
    <x:row r="1024">
      <x:c r="B1024" s="21" t="str">
        <x:v>AR-01018</x:v>
      </x:c>
      <x:c r="C1024" s="21" t="str">
        <x:v>F26-I2</x:v>
      </x:c>
      <x:c r="D1024" s="21" t="str">
        <x:v>F26</x:v>
      </x:c>
      <x:c r="E1024" s="21" t="n">
        <x:v>8</x:v>
      </x:c>
      <x:c r="F1024" s="21" t="str">
        <x:v>Pilot-process qualification</x:v>
      </x:c>
      <x:c r="G1024" s="21" t="n">
        <x:v>28</x:v>
      </x:c>
      <x:c r="H1024" s="21" t="str">
        <x:v>AIMC Industrial Mobilization Authority</x:v>
      </x:c>
      <x:c r="I1024" s="44" t="n">
        <x:f>Lifecycle!G14</x:f>
        <x:v>0.03952829567165163</x:v>
      </x:c>
      <x:c r="J1024" s="44" t="n">
        <x:v>0.065</x:v>
      </x:c>
      <x:c r="K1024" s="44" t="n">
        <x:f>I1024*J1024</x:f>
        <x:v>0.002569339218657356</x:v>
      </x:c>
      <x:c r="L1024" s="46" t="n">
        <x:v>0</x:v>
      </x:c>
      <x:c r="M1024" s="46" t="n">
        <x:v>0</x:v>
      </x:c>
      <x:c r="N1024" s="21" t="n">
        <x:f>IF(AND(L1023=1,M1023=1,P1023&gt;0),1,0)</x:f>
        <x:v>0</x:v>
      </x:c>
      <x:c r="O1024" s="21" t="n">
        <x:f>MIN('Root Data'!I310:I312)</x:f>
        <x:v>0</x:v>
      </x:c>
      <x:c r="P1024" s="44" t="n">
        <x:f>IF(AND(L1024=1,M1024=1,N1024=1,O1024&gt;=G1024),K1024,0)</x:f>
        <x:v>0</x:v>
      </x:c>
      <x:c r="Q1024" s="21" t="str">
        <x:v>OPEN</x:v>
      </x:c>
      <x:c r="R1024" s="23" t="str">
        <x:v>HOLD</x:v>
      </x:c>
    </x:row>
    <x:row r="1025">
      <x:c r="B1025" s="21" t="str">
        <x:v>AR-01019</x:v>
      </x:c>
      <x:c r="C1025" s="21" t="str">
        <x:v>F26-I2</x:v>
      </x:c>
      <x:c r="D1025" s="21" t="str">
        <x:v>F26</x:v>
      </x:c>
      <x:c r="E1025" s="21" t="n">
        <x:v>9</x:v>
      </x:c>
      <x:c r="F1025" s="21" t="str">
        <x:v>Production release package</x:v>
      </x:c>
      <x:c r="G1025" s="21" t="n">
        <x:v>28</x:v>
      </x:c>
      <x:c r="H1025" s="21" t="str">
        <x:v>Production Release Board</x:v>
      </x:c>
      <x:c r="I1025" s="44" t="n">
        <x:f>Lifecycle!G15</x:f>
        <x:v>0.01647012319652151</x:v>
      </x:c>
      <x:c r="J1025" s="44" t="n">
        <x:v>0.065</x:v>
      </x:c>
      <x:c r="K1025" s="44" t="n">
        <x:f>I1025*J1025</x:f>
        <x:v>0.0010705580077738982</x:v>
      </x:c>
      <x:c r="L1025" s="46" t="n">
        <x:v>0</x:v>
      </x:c>
      <x:c r="M1025" s="46" t="n">
        <x:v>0</x:v>
      </x:c>
      <x:c r="N1025" s="21" t="n">
        <x:f>IF(AND(L1024=1,M1024=1,P1024&gt;0),1,0)</x:f>
        <x:v>0</x:v>
      </x:c>
      <x:c r="O1025" s="21" t="n">
        <x:f>MIN('Root Data'!I310:I312)</x:f>
        <x:v>0</x:v>
      </x:c>
      <x:c r="P1025" s="44" t="n">
        <x:f>IF(AND(L1025=1,M1025=1,N1025=1,O1025&gt;=G1025),K1025,0)</x:f>
        <x:v>0</x:v>
      </x:c>
      <x:c r="Q1025" s="21" t="str">
        <x:v>OPEN</x:v>
      </x:c>
      <x:c r="R1025" s="23" t="str">
        <x:v>HOLD</x:v>
      </x:c>
    </x:row>
    <x:row r="1026">
      <x:c r="B1026" s="21" t="str">
        <x:v>AR-01020</x:v>
      </x:c>
      <x:c r="C1026" s="21" t="str">
        <x:v>F26-I2</x:v>
      </x:c>
      <x:c r="D1026" s="21" t="str">
        <x:v>F26</x:v>
      </x:c>
      <x:c r="E1026" s="21" t="n">
        <x:v>10</x:v>
      </x:c>
      <x:c r="F1026" s="21" t="str">
        <x:v>Mobilization activation</x:v>
      </x:c>
      <x:c r="G1026" s="21" t="n">
        <x:v>28</x:v>
      </x:c>
      <x:c r="H1026" s="21" t="str">
        <x:v>Production Release Board</x:v>
      </x:c>
      <x:c r="I1026" s="44" t="n">
        <x:f>Lifecycle!G16</x:f>
        <x:v>0.028262731405230914</x:v>
      </x:c>
      <x:c r="J1026" s="44" t="n">
        <x:v>0.065</x:v>
      </x:c>
      <x:c r="K1026" s="44" t="n">
        <x:f>I1026*J1026</x:f>
        <x:v>0.0018370775413400094</x:v>
      </x:c>
      <x:c r="L1026" s="46" t="n">
        <x:v>0</x:v>
      </x:c>
      <x:c r="M1026" s="46" t="n">
        <x:v>0</x:v>
      </x:c>
      <x:c r="N1026" s="21" t="n">
        <x:f>IF(AND(L1025=1,M1025=1,P1025&gt;0),1,0)</x:f>
        <x:v>0</x:v>
      </x:c>
      <x:c r="O1026" s="21" t="n">
        <x:f>MIN('Root Data'!I310:I312)</x:f>
        <x:v>0</x:v>
      </x:c>
      <x:c r="P1026" s="44" t="n">
        <x:f>IF(AND(L1026=1,M1026=1,N1026=1,O1026&gt;=G1026),K1026,0)</x:f>
        <x:v>0</x:v>
      </x:c>
      <x:c r="Q1026" s="21" t="str">
        <x:v>OPEN</x:v>
      </x:c>
      <x:c r="R1026" s="23" t="str">
        <x:v>HOLD</x:v>
      </x:c>
    </x:row>
    <x:row r="1027">
      <x:c r="B1027" s="21" t="str">
        <x:v>AR-01021</x:v>
      </x:c>
      <x:c r="C1027" s="21" t="str">
        <x:v>F26-I3</x:v>
      </x:c>
      <x:c r="D1027" s="21" t="str">
        <x:v>F26</x:v>
      </x:c>
      <x:c r="E1027" s="21" t="n">
        <x:v>1</x:v>
      </x:c>
      <x:c r="F1027" s="21" t="str">
        <x:v>Civil effect charter</x:v>
      </x:c>
      <x:c r="G1027" s="21" t="n">
        <x:v>0</x:v>
      </x:c>
      <x:c r="H1027" s="21" t="str">
        <x:v>Civil Guarantee Authority</x:v>
      </x:c>
      <x:c r="I1027" s="44" t="n">
        <x:f>Lifecycle!G7</x:f>
        <x:v>0.04941036958956453</x:v>
      </x:c>
      <x:c r="J1027" s="44" t="n">
        <x:v>0.065</x:v>
      </x:c>
      <x:c r="K1027" s="44" t="n">
        <x:f>I1027*J1027</x:f>
        <x:v>0.0032116740233216947</x:v>
      </x:c>
      <x:c r="L1027" s="46" t="n">
        <x:v>0</x:v>
      </x:c>
      <x:c r="M1027" s="46" t="n">
        <x:v>0</x:v>
      </x:c>
      <x:c r="N1027" s="21" t="n">
        <x:f>1</x:f>
        <x:v>1</x:v>
      </x:c>
      <x:c r="O1027" s="21" t="n">
        <x:f>MIN('Root Data'!I313:I315)</x:f>
        <x:v>0</x:v>
      </x:c>
      <x:c r="P1027" s="44" t="n">
        <x:f>IF(AND(L1027=1,M1027=1,N1027=1,O1027&gt;=G1027),K1027,0)</x:f>
        <x:v>0</x:v>
      </x:c>
      <x:c r="Q1027" s="21" t="str">
        <x:v>OPEN</x:v>
      </x:c>
      <x:c r="R1027" s="23" t="str">
        <x:v>HOLD</x:v>
      </x:c>
    </x:row>
    <x:row r="1028">
      <x:c r="B1028" s="21" t="str">
        <x:v>AR-01022</x:v>
      </x:c>
      <x:c r="C1028" s="21" t="str">
        <x:v>F26-I3</x:v>
      </x:c>
      <x:c r="D1028" s="21" t="str">
        <x:v>F26</x:v>
      </x:c>
      <x:c r="E1028" s="21" t="n">
        <x:v>2</x:v>
      </x:c>
      <x:c r="F1028" s="21" t="str">
        <x:v>Requirement and root-independence package</x:v>
      </x:c>
      <x:c r="G1028" s="21" t="n">
        <x:v>8</x:v>
      </x:c>
      <x:c r="H1028" s="21" t="str">
        <x:v>Resilience Staff</x:v>
      </x:c>
      <x:c r="I1028" s="44" t="n">
        <x:f>Lifecycle!G8</x:f>
        <x:v>0.10211476381843337</x:v>
      </x:c>
      <x:c r="J1028" s="44" t="n">
        <x:v>0.065</x:v>
      </x:c>
      <x:c r="K1028" s="44" t="n">
        <x:f>I1028*J1028</x:f>
        <x:v>0.00663745964819817</x:v>
      </x:c>
      <x:c r="L1028" s="46" t="n">
        <x:v>0</x:v>
      </x:c>
      <x:c r="M1028" s="46" t="n">
        <x:v>0</x:v>
      </x:c>
      <x:c r="N1028" s="21" t="n">
        <x:f>IF(AND(L1027=1,M1027=1,P1027&gt;0),1,0)</x:f>
        <x:v>0</x:v>
      </x:c>
      <x:c r="O1028" s="21" t="n">
        <x:f>MIN('Root Data'!I313:I315)</x:f>
        <x:v>0</x:v>
      </x:c>
      <x:c r="P1028" s="44" t="n">
        <x:f>IF(AND(L1028=1,M1028=1,N1028=1,O1028&gt;=G1028),K1028,0)</x:f>
        <x:v>0</x:v>
      </x:c>
      <x:c r="Q1028" s="21" t="str">
        <x:v>OPEN</x:v>
      </x:c>
      <x:c r="R1028" s="23" t="str">
        <x:v>HOLD</x:v>
      </x:c>
    </x:row>
    <x:row r="1029">
      <x:c r="B1029" s="21" t="str">
        <x:v>AR-01023</x:v>
      </x:c>
      <x:c r="C1029" s="21" t="str">
        <x:v>F26-I3</x:v>
      </x:c>
      <x:c r="D1029" s="21" t="str">
        <x:v>F26</x:v>
      </x:c>
      <x:c r="E1029" s="21" t="n">
        <x:v>3</x:v>
      </x:c>
      <x:c r="F1029" s="21" t="str">
        <x:v>Architecture and burden closure</x:v>
      </x:c>
      <x:c r="G1029" s="21" t="n">
        <x:v>14</x:v>
      </x:c>
      <x:c r="H1029" s="21" t="str">
        <x:v>Independent Evidence and Data Authority</x:v>
      </x:c>
      <x:c r="I1029" s="44" t="n">
        <x:f>Lifecycle!G9</x:f>
        <x:v>0.08564464062191186</x:v>
      </x:c>
      <x:c r="J1029" s="44" t="n">
        <x:v>0.065</x:v>
      </x:c>
      <x:c r="K1029" s="44" t="n">
        <x:f>I1029*J1029</x:f>
        <x:v>0.005566901640424271</x:v>
      </x:c>
      <x:c r="L1029" s="46" t="n">
        <x:v>0</x:v>
      </x:c>
      <x:c r="M1029" s="46" t="n">
        <x:v>0</x:v>
      </x:c>
      <x:c r="N1029" s="21" t="n">
        <x:f>IF(AND(L1028=1,M1028=1,P1028&gt;0),1,0)</x:f>
        <x:v>0</x:v>
      </x:c>
      <x:c r="O1029" s="21" t="n">
        <x:f>MIN('Root Data'!I313:I315)</x:f>
        <x:v>0</x:v>
      </x:c>
      <x:c r="P1029" s="44" t="n">
        <x:f>IF(AND(L1029=1,M1029=1,N1029=1,O1029&gt;=G1029),K1029,0)</x:f>
        <x:v>0</x:v>
      </x:c>
      <x:c r="Q1029" s="21" t="str">
        <x:v>OPEN</x:v>
      </x:c>
      <x:c r="R1029" s="23" t="str">
        <x:v>HOLD</x:v>
      </x:c>
    </x:row>
    <x:row r="1030">
      <x:c r="B1030" s="21" t="str">
        <x:v>AR-01024</x:v>
      </x:c>
      <x:c r="C1030" s="21" t="str">
        <x:v>F26-I3</x:v>
      </x:c>
      <x:c r="D1030" s="21" t="str">
        <x:v>F26</x:v>
      </x:c>
      <x:c r="E1030" s="21" t="n">
        <x:v>4</x:v>
      </x:c>
      <x:c r="F1030" s="21" t="str">
        <x:v>Engineering article acceptance</x:v>
      </x:c>
      <x:c r="G1030" s="21" t="n">
        <x:v>18</x:v>
      </x:c>
      <x:c r="H1030" s="21" t="str">
        <x:v>Independent Evidence and Data Authority</x:v>
      </x:c>
      <x:c r="I1030" s="44" t="n">
        <x:f>Lifecycle!G10</x:f>
        <x:v>0.05929244350747744</x:v>
      </x:c>
      <x:c r="J1030" s="44" t="n">
        <x:v>0.065</x:v>
      </x:c>
      <x:c r="K1030" s="44" t="n">
        <x:f>I1030*J1030</x:f>
        <x:v>0.003854008827986034</x:v>
      </x:c>
      <x:c r="L1030" s="46" t="n">
        <x:v>0</x:v>
      </x:c>
      <x:c r="M1030" s="46" t="n">
        <x:v>0</x:v>
      </x:c>
      <x:c r="N1030" s="21" t="n">
        <x:f>IF(AND(L1029=1,M1029=1,P1029&gt;0),1,0)</x:f>
        <x:v>0</x:v>
      </x:c>
      <x:c r="O1030" s="21" t="n">
        <x:f>MIN('Root Data'!I313:I315)</x:f>
        <x:v>0</x:v>
      </x:c>
      <x:c r="P1030" s="44" t="n">
        <x:f>IF(AND(L1030=1,M1030=1,N1030=1,O1030&gt;=G1030),K1030,0)</x:f>
        <x:v>0</x:v>
      </x:c>
      <x:c r="Q1030" s="21" t="str">
        <x:v>OPEN</x:v>
      </x:c>
      <x:c r="R1030" s="23" t="str">
        <x:v>HOLD</x:v>
      </x:c>
    </x:row>
    <x:row r="1031">
      <x:c r="B1031" s="21" t="str">
        <x:v>AR-01025</x:v>
      </x:c>
      <x:c r="C1031" s="21" t="str">
        <x:v>F26-I3</x:v>
      </x:c>
      <x:c r="D1031" s="21" t="str">
        <x:v>F26</x:v>
      </x:c>
      <x:c r="E1031" s="21" t="n">
        <x:v>5</x:v>
      </x:c>
      <x:c r="F1031" s="21" t="str">
        <x:v>Qualification and destructive evidence</x:v>
      </x:c>
      <x:c r="G1031" s="21" t="n">
        <x:v>21</x:v>
      </x:c>
      <x:c r="H1031" s="21" t="str">
        <x:v>Independent Evidence and Data Authority</x:v>
      </x:c>
      <x:c r="I1031" s="44" t="n">
        <x:f>Lifecycle!G11</x:f>
        <x:v>0.1515251334079979</x:v>
      </x:c>
      <x:c r="J1031" s="44" t="n">
        <x:v>0.065</x:v>
      </x:c>
      <x:c r="K1031" s="44" t="n">
        <x:f>I1031*J1031</x:f>
        <x:v>0.009849133671519864</x:v>
      </x:c>
      <x:c r="L1031" s="46" t="n">
        <x:v>0</x:v>
      </x:c>
      <x:c r="M1031" s="46" t="n">
        <x:v>0</x:v>
      </x:c>
      <x:c r="N1031" s="21" t="n">
        <x:f>IF(AND(L1030=1,M1030=1,P1030&gt;0),1,0)</x:f>
        <x:v>0</x:v>
      </x:c>
      <x:c r="O1031" s="21" t="n">
        <x:f>MIN('Root Data'!I313:I315)</x:f>
        <x:v>0</x:v>
      </x:c>
      <x:c r="P1031" s="44" t="n">
        <x:f>IF(AND(L1031=1,M1031=1,N1031=1,O1031&gt;=G1031),K1031,0)</x:f>
        <x:v>0</x:v>
      </x:c>
      <x:c r="Q1031" s="21" t="str">
        <x:v>OPEN</x:v>
      </x:c>
      <x:c r="R1031" s="23" t="str">
        <x:v>HOLD</x:v>
      </x:c>
    </x:row>
    <x:row r="1032">
      <x:c r="B1032" s="21" t="str">
        <x:v>AR-01026</x:v>
      </x:c>
      <x:c r="C1032" s="21" t="str">
        <x:v>F26-I3</x:v>
      </x:c>
      <x:c r="D1032" s="21" t="str">
        <x:v>F26</x:v>
      </x:c>
      <x:c r="E1032" s="21" t="n">
        <x:v>6</x:v>
      </x:c>
      <x:c r="F1032" s="21" t="str">
        <x:v>Representative mission result</x:v>
      </x:c>
      <x:c r="G1032" s="21" t="n">
        <x:v>23</x:v>
      </x:c>
      <x:c r="H1032" s="21" t="str">
        <x:v>Receiving Service Authority</x:v>
      </x:c>
      <x:c r="I1032" s="44" t="n">
        <x:f>Lifecycle!G12</x:f>
        <x:v>0.250345872587127</x:v>
      </x:c>
      <x:c r="J1032" s="44" t="n">
        <x:v>0.065</x:v>
      </x:c>
      <x:c r="K1032" s="44" t="n">
        <x:f>I1032*J1032</x:f>
        <x:v>0.016272481718163253</x:v>
      </x:c>
      <x:c r="L1032" s="46" t="n">
        <x:v>0</x:v>
      </x:c>
      <x:c r="M1032" s="46" t="n">
        <x:v>0</x:v>
      </x:c>
      <x:c r="N1032" s="21" t="n">
        <x:f>IF(AND(L1031=1,M1031=1,P1031&gt;0),1,0)</x:f>
        <x:v>0</x:v>
      </x:c>
      <x:c r="O1032" s="21" t="n">
        <x:f>MIN('Root Data'!I313:I315)</x:f>
        <x:v>0</x:v>
      </x:c>
      <x:c r="P1032" s="44" t="n">
        <x:f>IF(AND(L1032=1,M1032=1,N1032=1,O1032&gt;=G1032),K1032,0)</x:f>
        <x:v>0</x:v>
      </x:c>
      <x:c r="Q1032" s="21" t="str">
        <x:v>OPEN</x:v>
      </x:c>
      <x:c r="R1032" s="23" t="str">
        <x:v>HOLD</x:v>
      </x:c>
    </x:row>
    <x:row r="1033">
      <x:c r="B1033" s="21" t="str">
        <x:v>AR-01027</x:v>
      </x:c>
      <x:c r="C1033" s="21" t="str">
        <x:v>F26-I3</x:v>
      </x:c>
      <x:c r="D1033" s="21" t="str">
        <x:v>F26</x:v>
      </x:c>
      <x:c r="E1033" s="21" t="n">
        <x:v>7</x:v>
      </x:c>
      <x:c r="F1033" s="21" t="str">
        <x:v>Independent reproduction</x:v>
      </x:c>
      <x:c r="G1033" s="21" t="n">
        <x:v>28</x:v>
      </x:c>
      <x:c r="H1033" s="21" t="str">
        <x:v>Independent Evidence and Data Authority</x:v>
      </x:c>
      <x:c r="I1033" s="44" t="n">
        <x:f>Lifecycle!G13</x:f>
        <x:v>0.21740562619408393</x:v>
      </x:c>
      <x:c r="J1033" s="44" t="n">
        <x:v>0.065</x:v>
      </x:c>
      <x:c r="K1033" s="44" t="n">
        <x:f>I1033*J1033</x:f>
        <x:v>0.014131365702615457</x:v>
      </x:c>
      <x:c r="L1033" s="46" t="n">
        <x:v>0</x:v>
      </x:c>
      <x:c r="M1033" s="46" t="n">
        <x:v>0</x:v>
      </x:c>
      <x:c r="N1033" s="21" t="n">
        <x:f>IF(AND(L1032=1,M1032=1,P1032&gt;0),1,0)</x:f>
        <x:v>0</x:v>
      </x:c>
      <x:c r="O1033" s="21" t="n">
        <x:f>MIN('Root Data'!I313:I315)</x:f>
        <x:v>0</x:v>
      </x:c>
      <x:c r="P1033" s="44" t="n">
        <x:f>IF(AND(L1033=1,M1033=1,N1033=1,O1033&gt;=G1033),K1033,0)</x:f>
        <x:v>0</x:v>
      </x:c>
      <x:c r="Q1033" s="21" t="str">
        <x:v>OPEN</x:v>
      </x:c>
      <x:c r="R1033" s="23" t="str">
        <x:v>HOLD</x:v>
      </x:c>
    </x:row>
    <x:row r="1034">
      <x:c r="B1034" s="21" t="str">
        <x:v>AR-01028</x:v>
      </x:c>
      <x:c r="C1034" s="21" t="str">
        <x:v>F26-I3</x:v>
      </x:c>
      <x:c r="D1034" s="21" t="str">
        <x:v>F26</x:v>
      </x:c>
      <x:c r="E1034" s="21" t="n">
        <x:v>8</x:v>
      </x:c>
      <x:c r="F1034" s="21" t="str">
        <x:v>Pilot-process qualification</x:v>
      </x:c>
      <x:c r="G1034" s="21" t="n">
        <x:v>28</x:v>
      </x:c>
      <x:c r="H1034" s="21" t="str">
        <x:v>AIMC Industrial Mobilization Authority</x:v>
      </x:c>
      <x:c r="I1034" s="44" t="n">
        <x:f>Lifecycle!G14</x:f>
        <x:v>0.03952829567165163</x:v>
      </x:c>
      <x:c r="J1034" s="44" t="n">
        <x:v>0.065</x:v>
      </x:c>
      <x:c r="K1034" s="44" t="n">
        <x:f>I1034*J1034</x:f>
        <x:v>0.002569339218657356</x:v>
      </x:c>
      <x:c r="L1034" s="46" t="n">
        <x:v>0</x:v>
      </x:c>
      <x:c r="M1034" s="46" t="n">
        <x:v>0</x:v>
      </x:c>
      <x:c r="N1034" s="21" t="n">
        <x:f>IF(AND(L1033=1,M1033=1,P1033&gt;0),1,0)</x:f>
        <x:v>0</x:v>
      </x:c>
      <x:c r="O1034" s="21" t="n">
        <x:f>MIN('Root Data'!I313:I315)</x:f>
        <x:v>0</x:v>
      </x:c>
      <x:c r="P1034" s="44" t="n">
        <x:f>IF(AND(L1034=1,M1034=1,N1034=1,O1034&gt;=G1034),K1034,0)</x:f>
        <x:v>0</x:v>
      </x:c>
      <x:c r="Q1034" s="21" t="str">
        <x:v>OPEN</x:v>
      </x:c>
      <x:c r="R1034" s="23" t="str">
        <x:v>HOLD</x:v>
      </x:c>
    </x:row>
    <x:row r="1035">
      <x:c r="B1035" s="21" t="str">
        <x:v>AR-01029</x:v>
      </x:c>
      <x:c r="C1035" s="21" t="str">
        <x:v>F26-I3</x:v>
      </x:c>
      <x:c r="D1035" s="21" t="str">
        <x:v>F26</x:v>
      </x:c>
      <x:c r="E1035" s="21" t="n">
        <x:v>9</x:v>
      </x:c>
      <x:c r="F1035" s="21" t="str">
        <x:v>Production release package</x:v>
      </x:c>
      <x:c r="G1035" s="21" t="n">
        <x:v>28</x:v>
      </x:c>
      <x:c r="H1035" s="21" t="str">
        <x:v>Production Release Board</x:v>
      </x:c>
      <x:c r="I1035" s="44" t="n">
        <x:f>Lifecycle!G15</x:f>
        <x:v>0.01647012319652151</x:v>
      </x:c>
      <x:c r="J1035" s="44" t="n">
        <x:v>0.065</x:v>
      </x:c>
      <x:c r="K1035" s="44" t="n">
        <x:f>I1035*J1035</x:f>
        <x:v>0.0010705580077738982</x:v>
      </x:c>
      <x:c r="L1035" s="46" t="n">
        <x:v>0</x:v>
      </x:c>
      <x:c r="M1035" s="46" t="n">
        <x:v>0</x:v>
      </x:c>
      <x:c r="N1035" s="21" t="n">
        <x:f>IF(AND(L1034=1,M1034=1,P1034&gt;0),1,0)</x:f>
        <x:v>0</x:v>
      </x:c>
      <x:c r="O1035" s="21" t="n">
        <x:f>MIN('Root Data'!I313:I315)</x:f>
        <x:v>0</x:v>
      </x:c>
      <x:c r="P1035" s="44" t="n">
        <x:f>IF(AND(L1035=1,M1035=1,N1035=1,O1035&gt;=G1035),K1035,0)</x:f>
        <x:v>0</x:v>
      </x:c>
      <x:c r="Q1035" s="21" t="str">
        <x:v>OPEN</x:v>
      </x:c>
      <x:c r="R1035" s="23" t="str">
        <x:v>HOLD</x:v>
      </x:c>
    </x:row>
    <x:row r="1036">
      <x:c r="B1036" s="21" t="str">
        <x:v>AR-01030</x:v>
      </x:c>
      <x:c r="C1036" s="21" t="str">
        <x:v>F26-I3</x:v>
      </x:c>
      <x:c r="D1036" s="21" t="str">
        <x:v>F26</x:v>
      </x:c>
      <x:c r="E1036" s="21" t="n">
        <x:v>10</x:v>
      </x:c>
      <x:c r="F1036" s="21" t="str">
        <x:v>Mobilization activation</x:v>
      </x:c>
      <x:c r="G1036" s="21" t="n">
        <x:v>28</x:v>
      </x:c>
      <x:c r="H1036" s="21" t="str">
        <x:v>Production Release Board</x:v>
      </x:c>
      <x:c r="I1036" s="44" t="n">
        <x:f>Lifecycle!G16</x:f>
        <x:v>0.028262731405230914</x:v>
      </x:c>
      <x:c r="J1036" s="44" t="n">
        <x:v>0.065</x:v>
      </x:c>
      <x:c r="K1036" s="44" t="n">
        <x:f>I1036*J1036</x:f>
        <x:v>0.0018370775413400094</x:v>
      </x:c>
      <x:c r="L1036" s="46" t="n">
        <x:v>0</x:v>
      </x:c>
      <x:c r="M1036" s="46" t="n">
        <x:v>0</x:v>
      </x:c>
      <x:c r="N1036" s="21" t="n">
        <x:f>IF(AND(L1035=1,M1035=1,P1035&gt;0),1,0)</x:f>
        <x:v>0</x:v>
      </x:c>
      <x:c r="O1036" s="21" t="n">
        <x:f>MIN('Root Data'!I313:I315)</x:f>
        <x:v>0</x:v>
      </x:c>
      <x:c r="P1036" s="44" t="n">
        <x:f>IF(AND(L1036=1,M1036=1,N1036=1,O1036&gt;=G1036),K1036,0)</x:f>
        <x:v>0</x:v>
      </x:c>
      <x:c r="Q1036" s="21" t="str">
        <x:v>OPEN</x:v>
      </x:c>
      <x:c r="R1036" s="23" t="str">
        <x:v>HOLD</x:v>
      </x:c>
    </x:row>
    <x:row r="1037">
      <x:c r="B1037" s="21" t="str">
        <x:v>AR-01031</x:v>
      </x:c>
      <x:c r="C1037" s="21" t="str">
        <x:v>F26-I4</x:v>
      </x:c>
      <x:c r="D1037" s="21" t="str">
        <x:v>F26</x:v>
      </x:c>
      <x:c r="E1037" s="21" t="n">
        <x:v>1</x:v>
      </x:c>
      <x:c r="F1037" s="21" t="str">
        <x:v>Civil effect charter</x:v>
      </x:c>
      <x:c r="G1037" s="21" t="n">
        <x:v>0</x:v>
      </x:c>
      <x:c r="H1037" s="21" t="str">
        <x:v>Civil Guarantee Authority</x:v>
      </x:c>
      <x:c r="I1037" s="44" t="n">
        <x:f>Lifecycle!G7</x:f>
        <x:v>0.04941036958956453</x:v>
      </x:c>
      <x:c r="J1037" s="44" t="n">
        <x:v>0.065</x:v>
      </x:c>
      <x:c r="K1037" s="44" t="n">
        <x:f>I1037*J1037</x:f>
        <x:v>0.0032116740233216947</x:v>
      </x:c>
      <x:c r="L1037" s="46" t="n">
        <x:v>0</x:v>
      </x:c>
      <x:c r="M1037" s="46" t="n">
        <x:v>0</x:v>
      </x:c>
      <x:c r="N1037" s="21" t="n">
        <x:f>1</x:f>
        <x:v>1</x:v>
      </x:c>
      <x:c r="O1037" s="21" t="n">
        <x:f>MIN('Root Data'!I316:I318)</x:f>
        <x:v>0</x:v>
      </x:c>
      <x:c r="P1037" s="44" t="n">
        <x:f>IF(AND(L1037=1,M1037=1,N1037=1,O1037&gt;=G1037),K1037,0)</x:f>
        <x:v>0</x:v>
      </x:c>
      <x:c r="Q1037" s="21" t="str">
        <x:v>OPEN</x:v>
      </x:c>
      <x:c r="R1037" s="23" t="str">
        <x:v>HOLD</x:v>
      </x:c>
    </x:row>
    <x:row r="1038">
      <x:c r="B1038" s="21" t="str">
        <x:v>AR-01032</x:v>
      </x:c>
      <x:c r="C1038" s="21" t="str">
        <x:v>F26-I4</x:v>
      </x:c>
      <x:c r="D1038" s="21" t="str">
        <x:v>F26</x:v>
      </x:c>
      <x:c r="E1038" s="21" t="n">
        <x:v>2</x:v>
      </x:c>
      <x:c r="F1038" s="21" t="str">
        <x:v>Requirement and root-independence package</x:v>
      </x:c>
      <x:c r="G1038" s="21" t="n">
        <x:v>8</x:v>
      </x:c>
      <x:c r="H1038" s="21" t="str">
        <x:v>Resilience Staff</x:v>
      </x:c>
      <x:c r="I1038" s="44" t="n">
        <x:f>Lifecycle!G8</x:f>
        <x:v>0.10211476381843337</x:v>
      </x:c>
      <x:c r="J1038" s="44" t="n">
        <x:v>0.065</x:v>
      </x:c>
      <x:c r="K1038" s="44" t="n">
        <x:f>I1038*J1038</x:f>
        <x:v>0.00663745964819817</x:v>
      </x:c>
      <x:c r="L1038" s="46" t="n">
        <x:v>0</x:v>
      </x:c>
      <x:c r="M1038" s="46" t="n">
        <x:v>0</x:v>
      </x:c>
      <x:c r="N1038" s="21" t="n">
        <x:f>IF(AND(L1037=1,M1037=1,P1037&gt;0),1,0)</x:f>
        <x:v>0</x:v>
      </x:c>
      <x:c r="O1038" s="21" t="n">
        <x:f>MIN('Root Data'!I316:I318)</x:f>
        <x:v>0</x:v>
      </x:c>
      <x:c r="P1038" s="44" t="n">
        <x:f>IF(AND(L1038=1,M1038=1,N1038=1,O1038&gt;=G1038),K1038,0)</x:f>
        <x:v>0</x:v>
      </x:c>
      <x:c r="Q1038" s="21" t="str">
        <x:v>OPEN</x:v>
      </x:c>
      <x:c r="R1038" s="23" t="str">
        <x:v>HOLD</x:v>
      </x:c>
    </x:row>
    <x:row r="1039">
      <x:c r="B1039" s="21" t="str">
        <x:v>AR-01033</x:v>
      </x:c>
      <x:c r="C1039" s="21" t="str">
        <x:v>F26-I4</x:v>
      </x:c>
      <x:c r="D1039" s="21" t="str">
        <x:v>F26</x:v>
      </x:c>
      <x:c r="E1039" s="21" t="n">
        <x:v>3</x:v>
      </x:c>
      <x:c r="F1039" s="21" t="str">
        <x:v>Architecture and burden closure</x:v>
      </x:c>
      <x:c r="G1039" s="21" t="n">
        <x:v>14</x:v>
      </x:c>
      <x:c r="H1039" s="21" t="str">
        <x:v>Independent Evidence and Data Authority</x:v>
      </x:c>
      <x:c r="I1039" s="44" t="n">
        <x:f>Lifecycle!G9</x:f>
        <x:v>0.08564464062191186</x:v>
      </x:c>
      <x:c r="J1039" s="44" t="n">
        <x:v>0.065</x:v>
      </x:c>
      <x:c r="K1039" s="44" t="n">
        <x:f>I1039*J1039</x:f>
        <x:v>0.005566901640424271</x:v>
      </x:c>
      <x:c r="L1039" s="46" t="n">
        <x:v>0</x:v>
      </x:c>
      <x:c r="M1039" s="46" t="n">
        <x:v>0</x:v>
      </x:c>
      <x:c r="N1039" s="21" t="n">
        <x:f>IF(AND(L1038=1,M1038=1,P1038&gt;0),1,0)</x:f>
        <x:v>0</x:v>
      </x:c>
      <x:c r="O1039" s="21" t="n">
        <x:f>MIN('Root Data'!I316:I318)</x:f>
        <x:v>0</x:v>
      </x:c>
      <x:c r="P1039" s="44" t="n">
        <x:f>IF(AND(L1039=1,M1039=1,N1039=1,O1039&gt;=G1039),K1039,0)</x:f>
        <x:v>0</x:v>
      </x:c>
      <x:c r="Q1039" s="21" t="str">
        <x:v>OPEN</x:v>
      </x:c>
      <x:c r="R1039" s="23" t="str">
        <x:v>HOLD</x:v>
      </x:c>
    </x:row>
    <x:row r="1040">
      <x:c r="B1040" s="21" t="str">
        <x:v>AR-01034</x:v>
      </x:c>
      <x:c r="C1040" s="21" t="str">
        <x:v>F26-I4</x:v>
      </x:c>
      <x:c r="D1040" s="21" t="str">
        <x:v>F26</x:v>
      </x:c>
      <x:c r="E1040" s="21" t="n">
        <x:v>4</x:v>
      </x:c>
      <x:c r="F1040" s="21" t="str">
        <x:v>Engineering article acceptance</x:v>
      </x:c>
      <x:c r="G1040" s="21" t="n">
        <x:v>18</x:v>
      </x:c>
      <x:c r="H1040" s="21" t="str">
        <x:v>Independent Evidence and Data Authority</x:v>
      </x:c>
      <x:c r="I1040" s="44" t="n">
        <x:f>Lifecycle!G10</x:f>
        <x:v>0.05929244350747744</x:v>
      </x:c>
      <x:c r="J1040" s="44" t="n">
        <x:v>0.065</x:v>
      </x:c>
      <x:c r="K1040" s="44" t="n">
        <x:f>I1040*J1040</x:f>
        <x:v>0.003854008827986034</x:v>
      </x:c>
      <x:c r="L1040" s="46" t="n">
        <x:v>0</x:v>
      </x:c>
      <x:c r="M1040" s="46" t="n">
        <x:v>0</x:v>
      </x:c>
      <x:c r="N1040" s="21" t="n">
        <x:f>IF(AND(L1039=1,M1039=1,P1039&gt;0),1,0)</x:f>
        <x:v>0</x:v>
      </x:c>
      <x:c r="O1040" s="21" t="n">
        <x:f>MIN('Root Data'!I316:I318)</x:f>
        <x:v>0</x:v>
      </x:c>
      <x:c r="P1040" s="44" t="n">
        <x:f>IF(AND(L1040=1,M1040=1,N1040=1,O1040&gt;=G1040),K1040,0)</x:f>
        <x:v>0</x:v>
      </x:c>
      <x:c r="Q1040" s="21" t="str">
        <x:v>OPEN</x:v>
      </x:c>
      <x:c r="R1040" s="23" t="str">
        <x:v>HOLD</x:v>
      </x:c>
    </x:row>
    <x:row r="1041">
      <x:c r="B1041" s="21" t="str">
        <x:v>AR-01035</x:v>
      </x:c>
      <x:c r="C1041" s="21" t="str">
        <x:v>F26-I4</x:v>
      </x:c>
      <x:c r="D1041" s="21" t="str">
        <x:v>F26</x:v>
      </x:c>
      <x:c r="E1041" s="21" t="n">
        <x:v>5</x:v>
      </x:c>
      <x:c r="F1041" s="21" t="str">
        <x:v>Qualification and destructive evidence</x:v>
      </x:c>
      <x:c r="G1041" s="21" t="n">
        <x:v>21</x:v>
      </x:c>
      <x:c r="H1041" s="21" t="str">
        <x:v>Independent Evidence and Data Authority</x:v>
      </x:c>
      <x:c r="I1041" s="44" t="n">
        <x:f>Lifecycle!G11</x:f>
        <x:v>0.1515251334079979</x:v>
      </x:c>
      <x:c r="J1041" s="44" t="n">
        <x:v>0.065</x:v>
      </x:c>
      <x:c r="K1041" s="44" t="n">
        <x:f>I1041*J1041</x:f>
        <x:v>0.009849133671519864</x:v>
      </x:c>
      <x:c r="L1041" s="46" t="n">
        <x:v>0</x:v>
      </x:c>
      <x:c r="M1041" s="46" t="n">
        <x:v>0</x:v>
      </x:c>
      <x:c r="N1041" s="21" t="n">
        <x:f>IF(AND(L1040=1,M1040=1,P1040&gt;0),1,0)</x:f>
        <x:v>0</x:v>
      </x:c>
      <x:c r="O1041" s="21" t="n">
        <x:f>MIN('Root Data'!I316:I318)</x:f>
        <x:v>0</x:v>
      </x:c>
      <x:c r="P1041" s="44" t="n">
        <x:f>IF(AND(L1041=1,M1041=1,N1041=1,O1041&gt;=G1041),K1041,0)</x:f>
        <x:v>0</x:v>
      </x:c>
      <x:c r="Q1041" s="21" t="str">
        <x:v>OPEN</x:v>
      </x:c>
      <x:c r="R1041" s="23" t="str">
        <x:v>HOLD</x:v>
      </x:c>
    </x:row>
    <x:row r="1042">
      <x:c r="B1042" s="21" t="str">
        <x:v>AR-01036</x:v>
      </x:c>
      <x:c r="C1042" s="21" t="str">
        <x:v>F26-I4</x:v>
      </x:c>
      <x:c r="D1042" s="21" t="str">
        <x:v>F26</x:v>
      </x:c>
      <x:c r="E1042" s="21" t="n">
        <x:v>6</x:v>
      </x:c>
      <x:c r="F1042" s="21" t="str">
        <x:v>Representative mission result</x:v>
      </x:c>
      <x:c r="G1042" s="21" t="n">
        <x:v>23</x:v>
      </x:c>
      <x:c r="H1042" s="21" t="str">
        <x:v>Receiving Service Authority</x:v>
      </x:c>
      <x:c r="I1042" s="44" t="n">
        <x:f>Lifecycle!G12</x:f>
        <x:v>0.250345872587127</x:v>
      </x:c>
      <x:c r="J1042" s="44" t="n">
        <x:v>0.065</x:v>
      </x:c>
      <x:c r="K1042" s="44" t="n">
        <x:f>I1042*J1042</x:f>
        <x:v>0.016272481718163253</x:v>
      </x:c>
      <x:c r="L1042" s="46" t="n">
        <x:v>0</x:v>
      </x:c>
      <x:c r="M1042" s="46" t="n">
        <x:v>0</x:v>
      </x:c>
      <x:c r="N1042" s="21" t="n">
        <x:f>IF(AND(L1041=1,M1041=1,P1041&gt;0),1,0)</x:f>
        <x:v>0</x:v>
      </x:c>
      <x:c r="O1042" s="21" t="n">
        <x:f>MIN('Root Data'!I316:I318)</x:f>
        <x:v>0</x:v>
      </x:c>
      <x:c r="P1042" s="44" t="n">
        <x:f>IF(AND(L1042=1,M1042=1,N1042=1,O1042&gt;=G1042),K1042,0)</x:f>
        <x:v>0</x:v>
      </x:c>
      <x:c r="Q1042" s="21" t="str">
        <x:v>OPEN</x:v>
      </x:c>
      <x:c r="R1042" s="23" t="str">
        <x:v>HOLD</x:v>
      </x:c>
    </x:row>
    <x:row r="1043">
      <x:c r="B1043" s="21" t="str">
        <x:v>AR-01037</x:v>
      </x:c>
      <x:c r="C1043" s="21" t="str">
        <x:v>F26-I4</x:v>
      </x:c>
      <x:c r="D1043" s="21" t="str">
        <x:v>F26</x:v>
      </x:c>
      <x:c r="E1043" s="21" t="n">
        <x:v>7</x:v>
      </x:c>
      <x:c r="F1043" s="21" t="str">
        <x:v>Independent reproduction</x:v>
      </x:c>
      <x:c r="G1043" s="21" t="n">
        <x:v>28</x:v>
      </x:c>
      <x:c r="H1043" s="21" t="str">
        <x:v>Independent Evidence and Data Authority</x:v>
      </x:c>
      <x:c r="I1043" s="44" t="n">
        <x:f>Lifecycle!G13</x:f>
        <x:v>0.21740562619408393</x:v>
      </x:c>
      <x:c r="J1043" s="44" t="n">
        <x:v>0.065</x:v>
      </x:c>
      <x:c r="K1043" s="44" t="n">
        <x:f>I1043*J1043</x:f>
        <x:v>0.014131365702615457</x:v>
      </x:c>
      <x:c r="L1043" s="46" t="n">
        <x:v>0</x:v>
      </x:c>
      <x:c r="M1043" s="46" t="n">
        <x:v>0</x:v>
      </x:c>
      <x:c r="N1043" s="21" t="n">
        <x:f>IF(AND(L1042=1,M1042=1,P1042&gt;0),1,0)</x:f>
        <x:v>0</x:v>
      </x:c>
      <x:c r="O1043" s="21" t="n">
        <x:f>MIN('Root Data'!I316:I318)</x:f>
        <x:v>0</x:v>
      </x:c>
      <x:c r="P1043" s="44" t="n">
        <x:f>IF(AND(L1043=1,M1043=1,N1043=1,O1043&gt;=G1043),K1043,0)</x:f>
        <x:v>0</x:v>
      </x:c>
      <x:c r="Q1043" s="21" t="str">
        <x:v>OPEN</x:v>
      </x:c>
      <x:c r="R1043" s="23" t="str">
        <x:v>HOLD</x:v>
      </x:c>
    </x:row>
    <x:row r="1044">
      <x:c r="B1044" s="21" t="str">
        <x:v>AR-01038</x:v>
      </x:c>
      <x:c r="C1044" s="21" t="str">
        <x:v>F26-I4</x:v>
      </x:c>
      <x:c r="D1044" s="21" t="str">
        <x:v>F26</x:v>
      </x:c>
      <x:c r="E1044" s="21" t="n">
        <x:v>8</x:v>
      </x:c>
      <x:c r="F1044" s="21" t="str">
        <x:v>Pilot-process qualification</x:v>
      </x:c>
      <x:c r="G1044" s="21" t="n">
        <x:v>28</x:v>
      </x:c>
      <x:c r="H1044" s="21" t="str">
        <x:v>AIMC Industrial Mobilization Authority</x:v>
      </x:c>
      <x:c r="I1044" s="44" t="n">
        <x:f>Lifecycle!G14</x:f>
        <x:v>0.03952829567165163</x:v>
      </x:c>
      <x:c r="J1044" s="44" t="n">
        <x:v>0.065</x:v>
      </x:c>
      <x:c r="K1044" s="44" t="n">
        <x:f>I1044*J1044</x:f>
        <x:v>0.002569339218657356</x:v>
      </x:c>
      <x:c r="L1044" s="46" t="n">
        <x:v>0</x:v>
      </x:c>
      <x:c r="M1044" s="46" t="n">
        <x:v>0</x:v>
      </x:c>
      <x:c r="N1044" s="21" t="n">
        <x:f>IF(AND(L1043=1,M1043=1,P1043&gt;0),1,0)</x:f>
        <x:v>0</x:v>
      </x:c>
      <x:c r="O1044" s="21" t="n">
        <x:f>MIN('Root Data'!I316:I318)</x:f>
        <x:v>0</x:v>
      </x:c>
      <x:c r="P1044" s="44" t="n">
        <x:f>IF(AND(L1044=1,M1044=1,N1044=1,O1044&gt;=G1044),K1044,0)</x:f>
        <x:v>0</x:v>
      </x:c>
      <x:c r="Q1044" s="21" t="str">
        <x:v>OPEN</x:v>
      </x:c>
      <x:c r="R1044" s="23" t="str">
        <x:v>HOLD</x:v>
      </x:c>
    </x:row>
    <x:row r="1045">
      <x:c r="B1045" s="21" t="str">
        <x:v>AR-01039</x:v>
      </x:c>
      <x:c r="C1045" s="21" t="str">
        <x:v>F26-I4</x:v>
      </x:c>
      <x:c r="D1045" s="21" t="str">
        <x:v>F26</x:v>
      </x:c>
      <x:c r="E1045" s="21" t="n">
        <x:v>9</x:v>
      </x:c>
      <x:c r="F1045" s="21" t="str">
        <x:v>Production release package</x:v>
      </x:c>
      <x:c r="G1045" s="21" t="n">
        <x:v>28</x:v>
      </x:c>
      <x:c r="H1045" s="21" t="str">
        <x:v>Production Release Board</x:v>
      </x:c>
      <x:c r="I1045" s="44" t="n">
        <x:f>Lifecycle!G15</x:f>
        <x:v>0.01647012319652151</x:v>
      </x:c>
      <x:c r="J1045" s="44" t="n">
        <x:v>0.065</x:v>
      </x:c>
      <x:c r="K1045" s="44" t="n">
        <x:f>I1045*J1045</x:f>
        <x:v>0.0010705580077738982</x:v>
      </x:c>
      <x:c r="L1045" s="46" t="n">
        <x:v>0</x:v>
      </x:c>
      <x:c r="M1045" s="46" t="n">
        <x:v>0</x:v>
      </x:c>
      <x:c r="N1045" s="21" t="n">
        <x:f>IF(AND(L1044=1,M1044=1,P1044&gt;0),1,0)</x:f>
        <x:v>0</x:v>
      </x:c>
      <x:c r="O1045" s="21" t="n">
        <x:f>MIN('Root Data'!I316:I318)</x:f>
        <x:v>0</x:v>
      </x:c>
      <x:c r="P1045" s="44" t="n">
        <x:f>IF(AND(L1045=1,M1045=1,N1045=1,O1045&gt;=G1045),K1045,0)</x:f>
        <x:v>0</x:v>
      </x:c>
      <x:c r="Q1045" s="21" t="str">
        <x:v>OPEN</x:v>
      </x:c>
      <x:c r="R1045" s="23" t="str">
        <x:v>HOLD</x:v>
      </x:c>
    </x:row>
    <x:row r="1046">
      <x:c r="B1046" s="21" t="str">
        <x:v>AR-01040</x:v>
      </x:c>
      <x:c r="C1046" s="21" t="str">
        <x:v>F26-I4</x:v>
      </x:c>
      <x:c r="D1046" s="21" t="str">
        <x:v>F26</x:v>
      </x:c>
      <x:c r="E1046" s="21" t="n">
        <x:v>10</x:v>
      </x:c>
      <x:c r="F1046" s="21" t="str">
        <x:v>Mobilization activation</x:v>
      </x:c>
      <x:c r="G1046" s="21" t="n">
        <x:v>28</x:v>
      </x:c>
      <x:c r="H1046" s="21" t="str">
        <x:v>Production Release Board</x:v>
      </x:c>
      <x:c r="I1046" s="44" t="n">
        <x:f>Lifecycle!G16</x:f>
        <x:v>0.028262731405230914</x:v>
      </x:c>
      <x:c r="J1046" s="44" t="n">
        <x:v>0.065</x:v>
      </x:c>
      <x:c r="K1046" s="44" t="n">
        <x:f>I1046*J1046</x:f>
        <x:v>0.0018370775413400094</x:v>
      </x:c>
      <x:c r="L1046" s="46" t="n">
        <x:v>0</x:v>
      </x:c>
      <x:c r="M1046" s="46" t="n">
        <x:v>0</x:v>
      </x:c>
      <x:c r="N1046" s="21" t="n">
        <x:f>IF(AND(L1045=1,M1045=1,P1045&gt;0),1,0)</x:f>
        <x:v>0</x:v>
      </x:c>
      <x:c r="O1046" s="21" t="n">
        <x:f>MIN('Root Data'!I316:I318)</x:f>
        <x:v>0</x:v>
      </x:c>
      <x:c r="P1046" s="44" t="n">
        <x:f>IF(AND(L1046=1,M1046=1,N1046=1,O1046&gt;=G1046),K1046,0)</x:f>
        <x:v>0</x:v>
      </x:c>
      <x:c r="Q1046" s="21" t="str">
        <x:v>OPEN</x:v>
      </x:c>
      <x:c r="R1046" s="23" t="str">
        <x:v>HOLD</x:v>
      </x:c>
    </x:row>
    <x:row r="1047">
      <x:c r="B1047" s="21" t="str">
        <x:v>AR-01041</x:v>
      </x:c>
      <x:c r="C1047" s="21" t="str">
        <x:v>F27-I1</x:v>
      </x:c>
      <x:c r="D1047" s="21" t="str">
        <x:v>F27</x:v>
      </x:c>
      <x:c r="E1047" s="21" t="n">
        <x:v>1</x:v>
      </x:c>
      <x:c r="F1047" s="21" t="str">
        <x:v>Civil effect charter</x:v>
      </x:c>
      <x:c r="G1047" s="21" t="n">
        <x:v>0</x:v>
      </x:c>
      <x:c r="H1047" s="21" t="str">
        <x:v>Civil Guarantee Authority</x:v>
      </x:c>
      <x:c r="I1047" s="44" t="n">
        <x:f>Lifecycle!G7</x:f>
        <x:v>0.04941036958956453</x:v>
      </x:c>
      <x:c r="J1047" s="44" t="n">
        <x:v>0.08928571428571429</x:v>
      </x:c>
      <x:c r="K1047" s="44" t="n">
        <x:f>I1047*J1047</x:f>
        <x:v>0.004411640141925405</x:v>
      </x:c>
      <x:c r="L1047" s="46" t="n">
        <x:v>0</x:v>
      </x:c>
      <x:c r="M1047" s="46" t="n">
        <x:v>0</x:v>
      </x:c>
      <x:c r="N1047" s="21" t="n">
        <x:f>1</x:f>
        <x:v>1</x:v>
      </x:c>
      <x:c r="O1047" s="21" t="n">
        <x:f>MIN('Root Data'!I319:I321)</x:f>
        <x:v>0</x:v>
      </x:c>
      <x:c r="P1047" s="44" t="n">
        <x:f>IF(AND(L1047=1,M1047=1,N1047=1,O1047&gt;=G1047),K1047,0)</x:f>
        <x:v>0</x:v>
      </x:c>
      <x:c r="Q1047" s="21" t="str">
        <x:v>OPEN</x:v>
      </x:c>
      <x:c r="R1047" s="23" t="str">
        <x:v>HOLD</x:v>
      </x:c>
    </x:row>
    <x:row r="1048">
      <x:c r="B1048" s="21" t="str">
        <x:v>AR-01042</x:v>
      </x:c>
      <x:c r="C1048" s="21" t="str">
        <x:v>F27-I1</x:v>
      </x:c>
      <x:c r="D1048" s="21" t="str">
        <x:v>F27</x:v>
      </x:c>
      <x:c r="E1048" s="21" t="n">
        <x:v>2</x:v>
      </x:c>
      <x:c r="F1048" s="21" t="str">
        <x:v>Requirement and root-independence package</x:v>
      </x:c>
      <x:c r="G1048" s="21" t="n">
        <x:v>8</x:v>
      </x:c>
      <x:c r="H1048" s="21" t="str">
        <x:v>Resilience Staff</x:v>
      </x:c>
      <x:c r="I1048" s="44" t="n">
        <x:f>Lifecycle!G8</x:f>
        <x:v>0.10211476381843337</x:v>
      </x:c>
      <x:c r="J1048" s="44" t="n">
        <x:v>0.08928571428571429</x:v>
      </x:c>
      <x:c r="K1048" s="44" t="n">
        <x:f>I1048*J1048</x:f>
        <x:v>0.009117389626645838</x:v>
      </x:c>
      <x:c r="L1048" s="46" t="n">
        <x:v>0</x:v>
      </x:c>
      <x:c r="M1048" s="46" t="n">
        <x:v>0</x:v>
      </x:c>
      <x:c r="N1048" s="21" t="n">
        <x:f>IF(AND(L1047=1,M1047=1,P1047&gt;0),1,0)</x:f>
        <x:v>0</x:v>
      </x:c>
      <x:c r="O1048" s="21" t="n">
        <x:f>MIN('Root Data'!I319:I321)</x:f>
        <x:v>0</x:v>
      </x:c>
      <x:c r="P1048" s="44" t="n">
        <x:f>IF(AND(L1048=1,M1048=1,N1048=1,O1048&gt;=G1048),K1048,0)</x:f>
        <x:v>0</x:v>
      </x:c>
      <x:c r="Q1048" s="21" t="str">
        <x:v>OPEN</x:v>
      </x:c>
      <x:c r="R1048" s="23" t="str">
        <x:v>HOLD</x:v>
      </x:c>
    </x:row>
    <x:row r="1049">
      <x:c r="B1049" s="21" t="str">
        <x:v>AR-01043</x:v>
      </x:c>
      <x:c r="C1049" s="21" t="str">
        <x:v>F27-I1</x:v>
      </x:c>
      <x:c r="D1049" s="21" t="str">
        <x:v>F27</x:v>
      </x:c>
      <x:c r="E1049" s="21" t="n">
        <x:v>3</x:v>
      </x:c>
      <x:c r="F1049" s="21" t="str">
        <x:v>Architecture and burden closure</x:v>
      </x:c>
      <x:c r="G1049" s="21" t="n">
        <x:v>14</x:v>
      </x:c>
      <x:c r="H1049" s="21" t="str">
        <x:v>Independent Evidence and Data Authority</x:v>
      </x:c>
      <x:c r="I1049" s="44" t="n">
        <x:f>Lifecycle!G9</x:f>
        <x:v>0.08564464062191186</x:v>
      </x:c>
      <x:c r="J1049" s="44" t="n">
        <x:v>0.08928571428571429</x:v>
      </x:c>
      <x:c r="K1049" s="44" t="n">
        <x:f>I1049*J1049</x:f>
        <x:v>0.007646842912670702</x:v>
      </x:c>
      <x:c r="L1049" s="46" t="n">
        <x:v>0</x:v>
      </x:c>
      <x:c r="M1049" s="46" t="n">
        <x:v>0</x:v>
      </x:c>
      <x:c r="N1049" s="21" t="n">
        <x:f>IF(AND(L1048=1,M1048=1,P1048&gt;0),1,0)</x:f>
        <x:v>0</x:v>
      </x:c>
      <x:c r="O1049" s="21" t="n">
        <x:f>MIN('Root Data'!I319:I321)</x:f>
        <x:v>0</x:v>
      </x:c>
      <x:c r="P1049" s="44" t="n">
        <x:f>IF(AND(L1049=1,M1049=1,N1049=1,O1049&gt;=G1049),K1049,0)</x:f>
        <x:v>0</x:v>
      </x:c>
      <x:c r="Q1049" s="21" t="str">
        <x:v>OPEN</x:v>
      </x:c>
      <x:c r="R1049" s="23" t="str">
        <x:v>HOLD</x:v>
      </x:c>
    </x:row>
    <x:row r="1050">
      <x:c r="B1050" s="21" t="str">
        <x:v>AR-01044</x:v>
      </x:c>
      <x:c r="C1050" s="21" t="str">
        <x:v>F27-I1</x:v>
      </x:c>
      <x:c r="D1050" s="21" t="str">
        <x:v>F27</x:v>
      </x:c>
      <x:c r="E1050" s="21" t="n">
        <x:v>4</x:v>
      </x:c>
      <x:c r="F1050" s="21" t="str">
        <x:v>Engineering article acceptance</x:v>
      </x:c>
      <x:c r="G1050" s="21" t="n">
        <x:v>18</x:v>
      </x:c>
      <x:c r="H1050" s="21" t="str">
        <x:v>Independent Evidence and Data Authority</x:v>
      </x:c>
      <x:c r="I1050" s="44" t="n">
        <x:f>Lifecycle!G10</x:f>
        <x:v>0.05929244350747744</x:v>
      </x:c>
      <x:c r="J1050" s="44" t="n">
        <x:v>0.08928571428571429</x:v>
      </x:c>
      <x:c r="K1050" s="44" t="n">
        <x:f>I1050*J1050</x:f>
        <x:v>0.005293968170310486</x:v>
      </x:c>
      <x:c r="L1050" s="46" t="n">
        <x:v>0</x:v>
      </x:c>
      <x:c r="M1050" s="46" t="n">
        <x:v>0</x:v>
      </x:c>
      <x:c r="N1050" s="21" t="n">
        <x:f>IF(AND(L1049=1,M1049=1,P1049&gt;0),1,0)</x:f>
        <x:v>0</x:v>
      </x:c>
      <x:c r="O1050" s="21" t="n">
        <x:f>MIN('Root Data'!I319:I321)</x:f>
        <x:v>0</x:v>
      </x:c>
      <x:c r="P1050" s="44" t="n">
        <x:f>IF(AND(L1050=1,M1050=1,N1050=1,O1050&gt;=G1050),K1050,0)</x:f>
        <x:v>0</x:v>
      </x:c>
      <x:c r="Q1050" s="21" t="str">
        <x:v>OPEN</x:v>
      </x:c>
      <x:c r="R1050" s="23" t="str">
        <x:v>HOLD</x:v>
      </x:c>
    </x:row>
    <x:row r="1051">
      <x:c r="B1051" s="21" t="str">
        <x:v>AR-01045</x:v>
      </x:c>
      <x:c r="C1051" s="21" t="str">
        <x:v>F27-I1</x:v>
      </x:c>
      <x:c r="D1051" s="21" t="str">
        <x:v>F27</x:v>
      </x:c>
      <x:c r="E1051" s="21" t="n">
        <x:v>5</x:v>
      </x:c>
      <x:c r="F1051" s="21" t="str">
        <x:v>Qualification and destructive evidence</x:v>
      </x:c>
      <x:c r="G1051" s="21" t="n">
        <x:v>21</x:v>
      </x:c>
      <x:c r="H1051" s="21" t="str">
        <x:v>Independent Evidence and Data Authority</x:v>
      </x:c>
      <x:c r="I1051" s="44" t="n">
        <x:f>Lifecycle!G11</x:f>
        <x:v>0.1515251334079979</x:v>
      </x:c>
      <x:c r="J1051" s="44" t="n">
        <x:v>0.08928571428571429</x:v>
      </x:c>
      <x:c r="K1051" s="44" t="n">
        <x:f>I1051*J1051</x:f>
        <x:v>0.013529029768571241</x:v>
      </x:c>
      <x:c r="L1051" s="46" t="n">
        <x:v>0</x:v>
      </x:c>
      <x:c r="M1051" s="46" t="n">
        <x:v>0</x:v>
      </x:c>
      <x:c r="N1051" s="21" t="n">
        <x:f>IF(AND(L1050=1,M1050=1,P1050&gt;0),1,0)</x:f>
        <x:v>0</x:v>
      </x:c>
      <x:c r="O1051" s="21" t="n">
        <x:f>MIN('Root Data'!I319:I321)</x:f>
        <x:v>0</x:v>
      </x:c>
      <x:c r="P1051" s="44" t="n">
        <x:f>IF(AND(L1051=1,M1051=1,N1051=1,O1051&gt;=G1051),K1051,0)</x:f>
        <x:v>0</x:v>
      </x:c>
      <x:c r="Q1051" s="21" t="str">
        <x:v>OPEN</x:v>
      </x:c>
      <x:c r="R1051" s="23" t="str">
        <x:v>HOLD</x:v>
      </x:c>
    </x:row>
    <x:row r="1052">
      <x:c r="B1052" s="21" t="str">
        <x:v>AR-01046</x:v>
      </x:c>
      <x:c r="C1052" s="21" t="str">
        <x:v>F27-I1</x:v>
      </x:c>
      <x:c r="D1052" s="21" t="str">
        <x:v>F27</x:v>
      </x:c>
      <x:c r="E1052" s="21" t="n">
        <x:v>6</x:v>
      </x:c>
      <x:c r="F1052" s="21" t="str">
        <x:v>Representative mission result</x:v>
      </x:c>
      <x:c r="G1052" s="21" t="n">
        <x:v>23</x:v>
      </x:c>
      <x:c r="H1052" s="21" t="str">
        <x:v>Receiving Service Authority</x:v>
      </x:c>
      <x:c r="I1052" s="44" t="n">
        <x:f>Lifecycle!G12</x:f>
        <x:v>0.250345872587127</x:v>
      </x:c>
      <x:c r="J1052" s="44" t="n">
        <x:v>0.08928571428571429</x:v>
      </x:c>
      <x:c r="K1052" s="44" t="n">
        <x:f>I1052*J1052</x:f>
        <x:v>0.022352310052422053</x:v>
      </x:c>
      <x:c r="L1052" s="46" t="n">
        <x:v>0</x:v>
      </x:c>
      <x:c r="M1052" s="46" t="n">
        <x:v>0</x:v>
      </x:c>
      <x:c r="N1052" s="21" t="n">
        <x:f>IF(AND(L1051=1,M1051=1,P1051&gt;0),1,0)</x:f>
        <x:v>0</x:v>
      </x:c>
      <x:c r="O1052" s="21" t="n">
        <x:f>MIN('Root Data'!I319:I321)</x:f>
        <x:v>0</x:v>
      </x:c>
      <x:c r="P1052" s="44" t="n">
        <x:f>IF(AND(L1052=1,M1052=1,N1052=1,O1052&gt;=G1052),K1052,0)</x:f>
        <x:v>0</x:v>
      </x:c>
      <x:c r="Q1052" s="21" t="str">
        <x:v>OPEN</x:v>
      </x:c>
      <x:c r="R1052" s="23" t="str">
        <x:v>HOLD</x:v>
      </x:c>
    </x:row>
    <x:row r="1053">
      <x:c r="B1053" s="21" t="str">
        <x:v>AR-01047</x:v>
      </x:c>
      <x:c r="C1053" s="21" t="str">
        <x:v>F27-I1</x:v>
      </x:c>
      <x:c r="D1053" s="21" t="str">
        <x:v>F27</x:v>
      </x:c>
      <x:c r="E1053" s="21" t="n">
        <x:v>7</x:v>
      </x:c>
      <x:c r="F1053" s="21" t="str">
        <x:v>Independent reproduction</x:v>
      </x:c>
      <x:c r="G1053" s="21" t="n">
        <x:v>28</x:v>
      </x:c>
      <x:c r="H1053" s="21" t="str">
        <x:v>Independent Evidence and Data Authority</x:v>
      </x:c>
      <x:c r="I1053" s="44" t="n">
        <x:f>Lifecycle!G13</x:f>
        <x:v>0.21740562619408393</x:v>
      </x:c>
      <x:c r="J1053" s="44" t="n">
        <x:v>0.08928571428571429</x:v>
      </x:c>
      <x:c r="K1053" s="44" t="n">
        <x:f>I1053*J1053</x:f>
        <x:v>0.019411216624471782</x:v>
      </x:c>
      <x:c r="L1053" s="46" t="n">
        <x:v>0</x:v>
      </x:c>
      <x:c r="M1053" s="46" t="n">
        <x:v>0</x:v>
      </x:c>
      <x:c r="N1053" s="21" t="n">
        <x:f>IF(AND(L1052=1,M1052=1,P1052&gt;0),1,0)</x:f>
        <x:v>0</x:v>
      </x:c>
      <x:c r="O1053" s="21" t="n">
        <x:f>MIN('Root Data'!I319:I321)</x:f>
        <x:v>0</x:v>
      </x:c>
      <x:c r="P1053" s="44" t="n">
        <x:f>IF(AND(L1053=1,M1053=1,N1053=1,O1053&gt;=G1053),K1053,0)</x:f>
        <x:v>0</x:v>
      </x:c>
      <x:c r="Q1053" s="21" t="str">
        <x:v>OPEN</x:v>
      </x:c>
      <x:c r="R1053" s="23" t="str">
        <x:v>HOLD</x:v>
      </x:c>
    </x:row>
    <x:row r="1054">
      <x:c r="B1054" s="21" t="str">
        <x:v>AR-01048</x:v>
      </x:c>
      <x:c r="C1054" s="21" t="str">
        <x:v>F27-I1</x:v>
      </x:c>
      <x:c r="D1054" s="21" t="str">
        <x:v>F27</x:v>
      </x:c>
      <x:c r="E1054" s="21" t="n">
        <x:v>8</x:v>
      </x:c>
      <x:c r="F1054" s="21" t="str">
        <x:v>Pilot-process qualification</x:v>
      </x:c>
      <x:c r="G1054" s="21" t="n">
        <x:v>28</x:v>
      </x:c>
      <x:c r="H1054" s="21" t="str">
        <x:v>AIMC Industrial Mobilization Authority</x:v>
      </x:c>
      <x:c r="I1054" s="44" t="n">
        <x:f>Lifecycle!G14</x:f>
        <x:v>0.03952829567165163</x:v>
      </x:c>
      <x:c r="J1054" s="44" t="n">
        <x:v>0.08928571428571429</x:v>
      </x:c>
      <x:c r="K1054" s="44" t="n">
        <x:f>I1054*J1054</x:f>
        <x:v>0.003529312113540324</x:v>
      </x:c>
      <x:c r="L1054" s="46" t="n">
        <x:v>0</x:v>
      </x:c>
      <x:c r="M1054" s="46" t="n">
        <x:v>0</x:v>
      </x:c>
      <x:c r="N1054" s="21" t="n">
        <x:f>IF(AND(L1053=1,M1053=1,P1053&gt;0),1,0)</x:f>
        <x:v>0</x:v>
      </x:c>
      <x:c r="O1054" s="21" t="n">
        <x:f>MIN('Root Data'!I319:I321)</x:f>
        <x:v>0</x:v>
      </x:c>
      <x:c r="P1054" s="44" t="n">
        <x:f>IF(AND(L1054=1,M1054=1,N1054=1,O1054&gt;=G1054),K1054,0)</x:f>
        <x:v>0</x:v>
      </x:c>
      <x:c r="Q1054" s="21" t="str">
        <x:v>OPEN</x:v>
      </x:c>
      <x:c r="R1054" s="23" t="str">
        <x:v>HOLD</x:v>
      </x:c>
    </x:row>
    <x:row r="1055">
      <x:c r="B1055" s="21" t="str">
        <x:v>AR-01049</x:v>
      </x:c>
      <x:c r="C1055" s="21" t="str">
        <x:v>F27-I1</x:v>
      </x:c>
      <x:c r="D1055" s="21" t="str">
        <x:v>F27</x:v>
      </x:c>
      <x:c r="E1055" s="21" t="n">
        <x:v>9</x:v>
      </x:c>
      <x:c r="F1055" s="21" t="str">
        <x:v>Production release package</x:v>
      </x:c>
      <x:c r="G1055" s="21" t="n">
        <x:v>28</x:v>
      </x:c>
      <x:c r="H1055" s="21" t="str">
        <x:v>Production Release Board</x:v>
      </x:c>
      <x:c r="I1055" s="44" t="n">
        <x:f>Lifecycle!G15</x:f>
        <x:v>0.01647012319652151</x:v>
      </x:c>
      <x:c r="J1055" s="44" t="n">
        <x:v>0.08928571428571429</x:v>
      </x:c>
      <x:c r="K1055" s="44" t="n">
        <x:f>I1055*J1055</x:f>
        <x:v>0.001470546713975135</x:v>
      </x:c>
      <x:c r="L1055" s="46" t="n">
        <x:v>0</x:v>
      </x:c>
      <x:c r="M1055" s="46" t="n">
        <x:v>0</x:v>
      </x:c>
      <x:c r="N1055" s="21" t="n">
        <x:f>IF(AND(L1054=1,M1054=1,P1054&gt;0),1,0)</x:f>
        <x:v>0</x:v>
      </x:c>
      <x:c r="O1055" s="21" t="n">
        <x:f>MIN('Root Data'!I319:I321)</x:f>
        <x:v>0</x:v>
      </x:c>
      <x:c r="P1055" s="44" t="n">
        <x:f>IF(AND(L1055=1,M1055=1,N1055=1,O1055&gt;=G1055),K1055,0)</x:f>
        <x:v>0</x:v>
      </x:c>
      <x:c r="Q1055" s="21" t="str">
        <x:v>OPEN</x:v>
      </x:c>
      <x:c r="R1055" s="23" t="str">
        <x:v>HOLD</x:v>
      </x:c>
    </x:row>
    <x:row r="1056">
      <x:c r="B1056" s="21" t="str">
        <x:v>AR-01050</x:v>
      </x:c>
      <x:c r="C1056" s="21" t="str">
        <x:v>F27-I1</x:v>
      </x:c>
      <x:c r="D1056" s="21" t="str">
        <x:v>F27</x:v>
      </x:c>
      <x:c r="E1056" s="21" t="n">
        <x:v>10</x:v>
      </x:c>
      <x:c r="F1056" s="21" t="str">
        <x:v>Mobilization activation</x:v>
      </x:c>
      <x:c r="G1056" s="21" t="n">
        <x:v>28</x:v>
      </x:c>
      <x:c r="H1056" s="21" t="str">
        <x:v>Production Release Board</x:v>
      </x:c>
      <x:c r="I1056" s="44" t="n">
        <x:f>Lifecycle!G16</x:f>
        <x:v>0.028262731405230914</x:v>
      </x:c>
      <x:c r="J1056" s="44" t="n">
        <x:v>0.08928571428571429</x:v>
      </x:c>
      <x:c r="K1056" s="44" t="n">
        <x:f>I1056*J1056</x:f>
        <x:v>0.002523458161181332</x:v>
      </x:c>
      <x:c r="L1056" s="46" t="n">
        <x:v>0</x:v>
      </x:c>
      <x:c r="M1056" s="46" t="n">
        <x:v>0</x:v>
      </x:c>
      <x:c r="N1056" s="21" t="n">
        <x:f>IF(AND(L1055=1,M1055=1,P1055&gt;0),1,0)</x:f>
        <x:v>0</x:v>
      </x:c>
      <x:c r="O1056" s="21" t="n">
        <x:f>MIN('Root Data'!I319:I321)</x:f>
        <x:v>0</x:v>
      </x:c>
      <x:c r="P1056" s="44" t="n">
        <x:f>IF(AND(L1056=1,M1056=1,N1056=1,O1056&gt;=G1056),K1056,0)</x:f>
        <x:v>0</x:v>
      </x:c>
      <x:c r="Q1056" s="21" t="str">
        <x:v>OPEN</x:v>
      </x:c>
      <x:c r="R1056" s="23" t="str">
        <x:v>HOLD</x:v>
      </x:c>
    </x:row>
    <x:row r="1057">
      <x:c r="B1057" s="21" t="str">
        <x:v>AR-01051</x:v>
      </x:c>
      <x:c r="C1057" s="21" t="str">
        <x:v>F27-I2</x:v>
      </x:c>
      <x:c r="D1057" s="21" t="str">
        <x:v>F27</x:v>
      </x:c>
      <x:c r="E1057" s="21" t="n">
        <x:v>1</x:v>
      </x:c>
      <x:c r="F1057" s="21" t="str">
        <x:v>Civil effect charter</x:v>
      </x:c>
      <x:c r="G1057" s="21" t="n">
        <x:v>0</x:v>
      </x:c>
      <x:c r="H1057" s="21" t="str">
        <x:v>Civil Guarantee Authority</x:v>
      </x:c>
      <x:c r="I1057" s="44" t="n">
        <x:f>Lifecycle!G7</x:f>
        <x:v>0.04941036958956453</x:v>
      </x:c>
      <x:c r="J1057" s="44" t="n">
        <x:v>0.08928571428571429</x:v>
      </x:c>
      <x:c r="K1057" s="44" t="n">
        <x:f>I1057*J1057</x:f>
        <x:v>0.004411640141925405</x:v>
      </x:c>
      <x:c r="L1057" s="46" t="n">
        <x:v>0</x:v>
      </x:c>
      <x:c r="M1057" s="46" t="n">
        <x:v>0</x:v>
      </x:c>
      <x:c r="N1057" s="21" t="n">
        <x:f>1</x:f>
        <x:v>1</x:v>
      </x:c>
      <x:c r="O1057" s="21" t="n">
        <x:f>MIN('Root Data'!I322:I324)</x:f>
        <x:v>0</x:v>
      </x:c>
      <x:c r="P1057" s="44" t="n">
        <x:f>IF(AND(L1057=1,M1057=1,N1057=1,O1057&gt;=G1057),K1057,0)</x:f>
        <x:v>0</x:v>
      </x:c>
      <x:c r="Q1057" s="21" t="str">
        <x:v>OPEN</x:v>
      </x:c>
      <x:c r="R1057" s="23" t="str">
        <x:v>HOLD</x:v>
      </x:c>
    </x:row>
    <x:row r="1058">
      <x:c r="B1058" s="21" t="str">
        <x:v>AR-01052</x:v>
      </x:c>
      <x:c r="C1058" s="21" t="str">
        <x:v>F27-I2</x:v>
      </x:c>
      <x:c r="D1058" s="21" t="str">
        <x:v>F27</x:v>
      </x:c>
      <x:c r="E1058" s="21" t="n">
        <x:v>2</x:v>
      </x:c>
      <x:c r="F1058" s="21" t="str">
        <x:v>Requirement and root-independence package</x:v>
      </x:c>
      <x:c r="G1058" s="21" t="n">
        <x:v>8</x:v>
      </x:c>
      <x:c r="H1058" s="21" t="str">
        <x:v>Resilience Staff</x:v>
      </x:c>
      <x:c r="I1058" s="44" t="n">
        <x:f>Lifecycle!G8</x:f>
        <x:v>0.10211476381843337</x:v>
      </x:c>
      <x:c r="J1058" s="44" t="n">
        <x:v>0.08928571428571429</x:v>
      </x:c>
      <x:c r="K1058" s="44" t="n">
        <x:f>I1058*J1058</x:f>
        <x:v>0.009117389626645838</x:v>
      </x:c>
      <x:c r="L1058" s="46" t="n">
        <x:v>0</x:v>
      </x:c>
      <x:c r="M1058" s="46" t="n">
        <x:v>0</x:v>
      </x:c>
      <x:c r="N1058" s="21" t="n">
        <x:f>IF(AND(L1057=1,M1057=1,P1057&gt;0),1,0)</x:f>
        <x:v>0</x:v>
      </x:c>
      <x:c r="O1058" s="21" t="n">
        <x:f>MIN('Root Data'!I322:I324)</x:f>
        <x:v>0</x:v>
      </x:c>
      <x:c r="P1058" s="44" t="n">
        <x:f>IF(AND(L1058=1,M1058=1,N1058=1,O1058&gt;=G1058),K1058,0)</x:f>
        <x:v>0</x:v>
      </x:c>
      <x:c r="Q1058" s="21" t="str">
        <x:v>OPEN</x:v>
      </x:c>
      <x:c r="R1058" s="23" t="str">
        <x:v>HOLD</x:v>
      </x:c>
    </x:row>
    <x:row r="1059">
      <x:c r="B1059" s="21" t="str">
        <x:v>AR-01053</x:v>
      </x:c>
      <x:c r="C1059" s="21" t="str">
        <x:v>F27-I2</x:v>
      </x:c>
      <x:c r="D1059" s="21" t="str">
        <x:v>F27</x:v>
      </x:c>
      <x:c r="E1059" s="21" t="n">
        <x:v>3</x:v>
      </x:c>
      <x:c r="F1059" s="21" t="str">
        <x:v>Architecture and burden closure</x:v>
      </x:c>
      <x:c r="G1059" s="21" t="n">
        <x:v>14</x:v>
      </x:c>
      <x:c r="H1059" s="21" t="str">
        <x:v>Independent Evidence and Data Authority</x:v>
      </x:c>
      <x:c r="I1059" s="44" t="n">
        <x:f>Lifecycle!G9</x:f>
        <x:v>0.08564464062191186</x:v>
      </x:c>
      <x:c r="J1059" s="44" t="n">
        <x:v>0.08928571428571429</x:v>
      </x:c>
      <x:c r="K1059" s="44" t="n">
        <x:f>I1059*J1059</x:f>
        <x:v>0.007646842912670702</x:v>
      </x:c>
      <x:c r="L1059" s="46" t="n">
        <x:v>0</x:v>
      </x:c>
      <x:c r="M1059" s="46" t="n">
        <x:v>0</x:v>
      </x:c>
      <x:c r="N1059" s="21" t="n">
        <x:f>IF(AND(L1058=1,M1058=1,P1058&gt;0),1,0)</x:f>
        <x:v>0</x:v>
      </x:c>
      <x:c r="O1059" s="21" t="n">
        <x:f>MIN('Root Data'!I322:I324)</x:f>
        <x:v>0</x:v>
      </x:c>
      <x:c r="P1059" s="44" t="n">
        <x:f>IF(AND(L1059=1,M1059=1,N1059=1,O1059&gt;=G1059),K1059,0)</x:f>
        <x:v>0</x:v>
      </x:c>
      <x:c r="Q1059" s="21" t="str">
        <x:v>OPEN</x:v>
      </x:c>
      <x:c r="R1059" s="23" t="str">
        <x:v>HOLD</x:v>
      </x:c>
    </x:row>
    <x:row r="1060">
      <x:c r="B1060" s="21" t="str">
        <x:v>AR-01054</x:v>
      </x:c>
      <x:c r="C1060" s="21" t="str">
        <x:v>F27-I2</x:v>
      </x:c>
      <x:c r="D1060" s="21" t="str">
        <x:v>F27</x:v>
      </x:c>
      <x:c r="E1060" s="21" t="n">
        <x:v>4</x:v>
      </x:c>
      <x:c r="F1060" s="21" t="str">
        <x:v>Engineering article acceptance</x:v>
      </x:c>
      <x:c r="G1060" s="21" t="n">
        <x:v>18</x:v>
      </x:c>
      <x:c r="H1060" s="21" t="str">
        <x:v>Independent Evidence and Data Authority</x:v>
      </x:c>
      <x:c r="I1060" s="44" t="n">
        <x:f>Lifecycle!G10</x:f>
        <x:v>0.05929244350747744</x:v>
      </x:c>
      <x:c r="J1060" s="44" t="n">
        <x:v>0.08928571428571429</x:v>
      </x:c>
      <x:c r="K1060" s="44" t="n">
        <x:f>I1060*J1060</x:f>
        <x:v>0.005293968170310486</x:v>
      </x:c>
      <x:c r="L1060" s="46" t="n">
        <x:v>0</x:v>
      </x:c>
      <x:c r="M1060" s="46" t="n">
        <x:v>0</x:v>
      </x:c>
      <x:c r="N1060" s="21" t="n">
        <x:f>IF(AND(L1059=1,M1059=1,P1059&gt;0),1,0)</x:f>
        <x:v>0</x:v>
      </x:c>
      <x:c r="O1060" s="21" t="n">
        <x:f>MIN('Root Data'!I322:I324)</x:f>
        <x:v>0</x:v>
      </x:c>
      <x:c r="P1060" s="44" t="n">
        <x:f>IF(AND(L1060=1,M1060=1,N1060=1,O1060&gt;=G1060),K1060,0)</x:f>
        <x:v>0</x:v>
      </x:c>
      <x:c r="Q1060" s="21" t="str">
        <x:v>OPEN</x:v>
      </x:c>
      <x:c r="R1060" s="23" t="str">
        <x:v>HOLD</x:v>
      </x:c>
    </x:row>
    <x:row r="1061">
      <x:c r="B1061" s="21" t="str">
        <x:v>AR-01055</x:v>
      </x:c>
      <x:c r="C1061" s="21" t="str">
        <x:v>F27-I2</x:v>
      </x:c>
      <x:c r="D1061" s="21" t="str">
        <x:v>F27</x:v>
      </x:c>
      <x:c r="E1061" s="21" t="n">
        <x:v>5</x:v>
      </x:c>
      <x:c r="F1061" s="21" t="str">
        <x:v>Qualification and destructive evidence</x:v>
      </x:c>
      <x:c r="G1061" s="21" t="n">
        <x:v>21</x:v>
      </x:c>
      <x:c r="H1061" s="21" t="str">
        <x:v>Independent Evidence and Data Authority</x:v>
      </x:c>
      <x:c r="I1061" s="44" t="n">
        <x:f>Lifecycle!G11</x:f>
        <x:v>0.1515251334079979</x:v>
      </x:c>
      <x:c r="J1061" s="44" t="n">
        <x:v>0.08928571428571429</x:v>
      </x:c>
      <x:c r="K1061" s="44" t="n">
        <x:f>I1061*J1061</x:f>
        <x:v>0.013529029768571241</x:v>
      </x:c>
      <x:c r="L1061" s="46" t="n">
        <x:v>0</x:v>
      </x:c>
      <x:c r="M1061" s="46" t="n">
        <x:v>0</x:v>
      </x:c>
      <x:c r="N1061" s="21" t="n">
        <x:f>IF(AND(L1060=1,M1060=1,P1060&gt;0),1,0)</x:f>
        <x:v>0</x:v>
      </x:c>
      <x:c r="O1061" s="21" t="n">
        <x:f>MIN('Root Data'!I322:I324)</x:f>
        <x:v>0</x:v>
      </x:c>
      <x:c r="P1061" s="44" t="n">
        <x:f>IF(AND(L1061=1,M1061=1,N1061=1,O1061&gt;=G1061),K1061,0)</x:f>
        <x:v>0</x:v>
      </x:c>
      <x:c r="Q1061" s="21" t="str">
        <x:v>OPEN</x:v>
      </x:c>
      <x:c r="R1061" s="23" t="str">
        <x:v>HOLD</x:v>
      </x:c>
    </x:row>
    <x:row r="1062">
      <x:c r="B1062" s="21" t="str">
        <x:v>AR-01056</x:v>
      </x:c>
      <x:c r="C1062" s="21" t="str">
        <x:v>F27-I2</x:v>
      </x:c>
      <x:c r="D1062" s="21" t="str">
        <x:v>F27</x:v>
      </x:c>
      <x:c r="E1062" s="21" t="n">
        <x:v>6</x:v>
      </x:c>
      <x:c r="F1062" s="21" t="str">
        <x:v>Representative mission result</x:v>
      </x:c>
      <x:c r="G1062" s="21" t="n">
        <x:v>23</x:v>
      </x:c>
      <x:c r="H1062" s="21" t="str">
        <x:v>Receiving Service Authority</x:v>
      </x:c>
      <x:c r="I1062" s="44" t="n">
        <x:f>Lifecycle!G12</x:f>
        <x:v>0.250345872587127</x:v>
      </x:c>
      <x:c r="J1062" s="44" t="n">
        <x:v>0.08928571428571429</x:v>
      </x:c>
      <x:c r="K1062" s="44" t="n">
        <x:f>I1062*J1062</x:f>
        <x:v>0.022352310052422053</x:v>
      </x:c>
      <x:c r="L1062" s="46" t="n">
        <x:v>0</x:v>
      </x:c>
      <x:c r="M1062" s="46" t="n">
        <x:v>0</x:v>
      </x:c>
      <x:c r="N1062" s="21" t="n">
        <x:f>IF(AND(L1061=1,M1061=1,P1061&gt;0),1,0)</x:f>
        <x:v>0</x:v>
      </x:c>
      <x:c r="O1062" s="21" t="n">
        <x:f>MIN('Root Data'!I322:I324)</x:f>
        <x:v>0</x:v>
      </x:c>
      <x:c r="P1062" s="44" t="n">
        <x:f>IF(AND(L1062=1,M1062=1,N1062=1,O1062&gt;=G1062),K1062,0)</x:f>
        <x:v>0</x:v>
      </x:c>
      <x:c r="Q1062" s="21" t="str">
        <x:v>OPEN</x:v>
      </x:c>
      <x:c r="R1062" s="23" t="str">
        <x:v>HOLD</x:v>
      </x:c>
    </x:row>
    <x:row r="1063">
      <x:c r="B1063" s="21" t="str">
        <x:v>AR-01057</x:v>
      </x:c>
      <x:c r="C1063" s="21" t="str">
        <x:v>F27-I2</x:v>
      </x:c>
      <x:c r="D1063" s="21" t="str">
        <x:v>F27</x:v>
      </x:c>
      <x:c r="E1063" s="21" t="n">
        <x:v>7</x:v>
      </x:c>
      <x:c r="F1063" s="21" t="str">
        <x:v>Independent reproduction</x:v>
      </x:c>
      <x:c r="G1063" s="21" t="n">
        <x:v>28</x:v>
      </x:c>
      <x:c r="H1063" s="21" t="str">
        <x:v>Independent Evidence and Data Authority</x:v>
      </x:c>
      <x:c r="I1063" s="44" t="n">
        <x:f>Lifecycle!G13</x:f>
        <x:v>0.21740562619408393</x:v>
      </x:c>
      <x:c r="J1063" s="44" t="n">
        <x:v>0.08928571428571429</x:v>
      </x:c>
      <x:c r="K1063" s="44" t="n">
        <x:f>I1063*J1063</x:f>
        <x:v>0.019411216624471782</x:v>
      </x:c>
      <x:c r="L1063" s="46" t="n">
        <x:v>0</x:v>
      </x:c>
      <x:c r="M1063" s="46" t="n">
        <x:v>0</x:v>
      </x:c>
      <x:c r="N1063" s="21" t="n">
        <x:f>IF(AND(L1062=1,M1062=1,P1062&gt;0),1,0)</x:f>
        <x:v>0</x:v>
      </x:c>
      <x:c r="O1063" s="21" t="n">
        <x:f>MIN('Root Data'!I322:I324)</x:f>
        <x:v>0</x:v>
      </x:c>
      <x:c r="P1063" s="44" t="n">
        <x:f>IF(AND(L1063=1,M1063=1,N1063=1,O1063&gt;=G1063),K1063,0)</x:f>
        <x:v>0</x:v>
      </x:c>
      <x:c r="Q1063" s="21" t="str">
        <x:v>OPEN</x:v>
      </x:c>
      <x:c r="R1063" s="23" t="str">
        <x:v>HOLD</x:v>
      </x:c>
    </x:row>
    <x:row r="1064">
      <x:c r="B1064" s="21" t="str">
        <x:v>AR-01058</x:v>
      </x:c>
      <x:c r="C1064" s="21" t="str">
        <x:v>F27-I2</x:v>
      </x:c>
      <x:c r="D1064" s="21" t="str">
        <x:v>F27</x:v>
      </x:c>
      <x:c r="E1064" s="21" t="n">
        <x:v>8</x:v>
      </x:c>
      <x:c r="F1064" s="21" t="str">
        <x:v>Pilot-process qualification</x:v>
      </x:c>
      <x:c r="G1064" s="21" t="n">
        <x:v>28</x:v>
      </x:c>
      <x:c r="H1064" s="21" t="str">
        <x:v>AIMC Industrial Mobilization Authority</x:v>
      </x:c>
      <x:c r="I1064" s="44" t="n">
        <x:f>Lifecycle!G14</x:f>
        <x:v>0.03952829567165163</x:v>
      </x:c>
      <x:c r="J1064" s="44" t="n">
        <x:v>0.08928571428571429</x:v>
      </x:c>
      <x:c r="K1064" s="44" t="n">
        <x:f>I1064*J1064</x:f>
        <x:v>0.003529312113540324</x:v>
      </x:c>
      <x:c r="L1064" s="46" t="n">
        <x:v>0</x:v>
      </x:c>
      <x:c r="M1064" s="46" t="n">
        <x:v>0</x:v>
      </x:c>
      <x:c r="N1064" s="21" t="n">
        <x:f>IF(AND(L1063=1,M1063=1,P1063&gt;0),1,0)</x:f>
        <x:v>0</x:v>
      </x:c>
      <x:c r="O1064" s="21" t="n">
        <x:f>MIN('Root Data'!I322:I324)</x:f>
        <x:v>0</x:v>
      </x:c>
      <x:c r="P1064" s="44" t="n">
        <x:f>IF(AND(L1064=1,M1064=1,N1064=1,O1064&gt;=G1064),K1064,0)</x:f>
        <x:v>0</x:v>
      </x:c>
      <x:c r="Q1064" s="21" t="str">
        <x:v>OPEN</x:v>
      </x:c>
      <x:c r="R1064" s="23" t="str">
        <x:v>HOLD</x:v>
      </x:c>
    </x:row>
    <x:row r="1065">
      <x:c r="B1065" s="21" t="str">
        <x:v>AR-01059</x:v>
      </x:c>
      <x:c r="C1065" s="21" t="str">
        <x:v>F27-I2</x:v>
      </x:c>
      <x:c r="D1065" s="21" t="str">
        <x:v>F27</x:v>
      </x:c>
      <x:c r="E1065" s="21" t="n">
        <x:v>9</x:v>
      </x:c>
      <x:c r="F1065" s="21" t="str">
        <x:v>Production release package</x:v>
      </x:c>
      <x:c r="G1065" s="21" t="n">
        <x:v>28</x:v>
      </x:c>
      <x:c r="H1065" s="21" t="str">
        <x:v>Production Release Board</x:v>
      </x:c>
      <x:c r="I1065" s="44" t="n">
        <x:f>Lifecycle!G15</x:f>
        <x:v>0.01647012319652151</x:v>
      </x:c>
      <x:c r="J1065" s="44" t="n">
        <x:v>0.08928571428571429</x:v>
      </x:c>
      <x:c r="K1065" s="44" t="n">
        <x:f>I1065*J1065</x:f>
        <x:v>0.001470546713975135</x:v>
      </x:c>
      <x:c r="L1065" s="46" t="n">
        <x:v>0</x:v>
      </x:c>
      <x:c r="M1065" s="46" t="n">
        <x:v>0</x:v>
      </x:c>
      <x:c r="N1065" s="21" t="n">
        <x:f>IF(AND(L1064=1,M1064=1,P1064&gt;0),1,0)</x:f>
        <x:v>0</x:v>
      </x:c>
      <x:c r="O1065" s="21" t="n">
        <x:f>MIN('Root Data'!I322:I324)</x:f>
        <x:v>0</x:v>
      </x:c>
      <x:c r="P1065" s="44" t="n">
        <x:f>IF(AND(L1065=1,M1065=1,N1065=1,O1065&gt;=G1065),K1065,0)</x:f>
        <x:v>0</x:v>
      </x:c>
      <x:c r="Q1065" s="21" t="str">
        <x:v>OPEN</x:v>
      </x:c>
      <x:c r="R1065" s="23" t="str">
        <x:v>HOLD</x:v>
      </x:c>
    </x:row>
    <x:row r="1066">
      <x:c r="B1066" s="21" t="str">
        <x:v>AR-01060</x:v>
      </x:c>
      <x:c r="C1066" s="21" t="str">
        <x:v>F27-I2</x:v>
      </x:c>
      <x:c r="D1066" s="21" t="str">
        <x:v>F27</x:v>
      </x:c>
      <x:c r="E1066" s="21" t="n">
        <x:v>10</x:v>
      </x:c>
      <x:c r="F1066" s="21" t="str">
        <x:v>Mobilization activation</x:v>
      </x:c>
      <x:c r="G1066" s="21" t="n">
        <x:v>28</x:v>
      </x:c>
      <x:c r="H1066" s="21" t="str">
        <x:v>Production Release Board</x:v>
      </x:c>
      <x:c r="I1066" s="44" t="n">
        <x:f>Lifecycle!G16</x:f>
        <x:v>0.028262731405230914</x:v>
      </x:c>
      <x:c r="J1066" s="44" t="n">
        <x:v>0.08928571428571429</x:v>
      </x:c>
      <x:c r="K1066" s="44" t="n">
        <x:f>I1066*J1066</x:f>
        <x:v>0.002523458161181332</x:v>
      </x:c>
      <x:c r="L1066" s="46" t="n">
        <x:v>0</x:v>
      </x:c>
      <x:c r="M1066" s="46" t="n">
        <x:v>0</x:v>
      </x:c>
      <x:c r="N1066" s="21" t="n">
        <x:f>IF(AND(L1065=1,M1065=1,P1065&gt;0),1,0)</x:f>
        <x:v>0</x:v>
      </x:c>
      <x:c r="O1066" s="21" t="n">
        <x:f>MIN('Root Data'!I322:I324)</x:f>
        <x:v>0</x:v>
      </x:c>
      <x:c r="P1066" s="44" t="n">
        <x:f>IF(AND(L1066=1,M1066=1,N1066=1,O1066&gt;=G1066),K1066,0)</x:f>
        <x:v>0</x:v>
      </x:c>
      <x:c r="Q1066" s="21" t="str">
        <x:v>OPEN</x:v>
      </x:c>
      <x:c r="R1066" s="23" t="str">
        <x:v>HOLD</x:v>
      </x:c>
    </x:row>
    <x:row r="1067">
      <x:c r="B1067" s="21" t="str">
        <x:v>AR-01061</x:v>
      </x:c>
      <x:c r="C1067" s="21" t="str">
        <x:v>F27-I3</x:v>
      </x:c>
      <x:c r="D1067" s="21" t="str">
        <x:v>F27</x:v>
      </x:c>
      <x:c r="E1067" s="21" t="n">
        <x:v>1</x:v>
      </x:c>
      <x:c r="F1067" s="21" t="str">
        <x:v>Civil effect charter</x:v>
      </x:c>
      <x:c r="G1067" s="21" t="n">
        <x:v>0</x:v>
      </x:c>
      <x:c r="H1067" s="21" t="str">
        <x:v>Civil Guarantee Authority</x:v>
      </x:c>
      <x:c r="I1067" s="44" t="n">
        <x:f>Lifecycle!G7</x:f>
        <x:v>0.04941036958956453</x:v>
      </x:c>
      <x:c r="J1067" s="44" t="n">
        <x:v>0.08928571428571429</x:v>
      </x:c>
      <x:c r="K1067" s="44" t="n">
        <x:f>I1067*J1067</x:f>
        <x:v>0.004411640141925405</x:v>
      </x:c>
      <x:c r="L1067" s="46" t="n">
        <x:v>0</x:v>
      </x:c>
      <x:c r="M1067" s="46" t="n">
        <x:v>0</x:v>
      </x:c>
      <x:c r="N1067" s="21" t="n">
        <x:f>1</x:f>
        <x:v>1</x:v>
      </x:c>
      <x:c r="O1067" s="21" t="n">
        <x:f>MIN('Root Data'!I325:I327)</x:f>
        <x:v>0</x:v>
      </x:c>
      <x:c r="P1067" s="44" t="n">
        <x:f>IF(AND(L1067=1,M1067=1,N1067=1,O1067&gt;=G1067),K1067,0)</x:f>
        <x:v>0</x:v>
      </x:c>
      <x:c r="Q1067" s="21" t="str">
        <x:v>OPEN</x:v>
      </x:c>
      <x:c r="R1067" s="23" t="str">
        <x:v>HOLD</x:v>
      </x:c>
    </x:row>
    <x:row r="1068">
      <x:c r="B1068" s="21" t="str">
        <x:v>AR-01062</x:v>
      </x:c>
      <x:c r="C1068" s="21" t="str">
        <x:v>F27-I3</x:v>
      </x:c>
      <x:c r="D1068" s="21" t="str">
        <x:v>F27</x:v>
      </x:c>
      <x:c r="E1068" s="21" t="n">
        <x:v>2</x:v>
      </x:c>
      <x:c r="F1068" s="21" t="str">
        <x:v>Requirement and root-independence package</x:v>
      </x:c>
      <x:c r="G1068" s="21" t="n">
        <x:v>8</x:v>
      </x:c>
      <x:c r="H1068" s="21" t="str">
        <x:v>Resilience Staff</x:v>
      </x:c>
      <x:c r="I1068" s="44" t="n">
        <x:f>Lifecycle!G8</x:f>
        <x:v>0.10211476381843337</x:v>
      </x:c>
      <x:c r="J1068" s="44" t="n">
        <x:v>0.08928571428571429</x:v>
      </x:c>
      <x:c r="K1068" s="44" t="n">
        <x:f>I1068*J1068</x:f>
        <x:v>0.009117389626645838</x:v>
      </x:c>
      <x:c r="L1068" s="46" t="n">
        <x:v>0</x:v>
      </x:c>
      <x:c r="M1068" s="46" t="n">
        <x:v>0</x:v>
      </x:c>
      <x:c r="N1068" s="21" t="n">
        <x:f>IF(AND(L1067=1,M1067=1,P1067&gt;0),1,0)</x:f>
        <x:v>0</x:v>
      </x:c>
      <x:c r="O1068" s="21" t="n">
        <x:f>MIN('Root Data'!I325:I327)</x:f>
        <x:v>0</x:v>
      </x:c>
      <x:c r="P1068" s="44" t="n">
        <x:f>IF(AND(L1068=1,M1068=1,N1068=1,O1068&gt;=G1068),K1068,0)</x:f>
        <x:v>0</x:v>
      </x:c>
      <x:c r="Q1068" s="21" t="str">
        <x:v>OPEN</x:v>
      </x:c>
      <x:c r="R1068" s="23" t="str">
        <x:v>HOLD</x:v>
      </x:c>
    </x:row>
    <x:row r="1069">
      <x:c r="B1069" s="21" t="str">
        <x:v>AR-01063</x:v>
      </x:c>
      <x:c r="C1069" s="21" t="str">
        <x:v>F27-I3</x:v>
      </x:c>
      <x:c r="D1069" s="21" t="str">
        <x:v>F27</x:v>
      </x:c>
      <x:c r="E1069" s="21" t="n">
        <x:v>3</x:v>
      </x:c>
      <x:c r="F1069" s="21" t="str">
        <x:v>Architecture and burden closure</x:v>
      </x:c>
      <x:c r="G1069" s="21" t="n">
        <x:v>14</x:v>
      </x:c>
      <x:c r="H1069" s="21" t="str">
        <x:v>Independent Evidence and Data Authority</x:v>
      </x:c>
      <x:c r="I1069" s="44" t="n">
        <x:f>Lifecycle!G9</x:f>
        <x:v>0.08564464062191186</x:v>
      </x:c>
      <x:c r="J1069" s="44" t="n">
        <x:v>0.08928571428571429</x:v>
      </x:c>
      <x:c r="K1069" s="44" t="n">
        <x:f>I1069*J1069</x:f>
        <x:v>0.007646842912670702</x:v>
      </x:c>
      <x:c r="L1069" s="46" t="n">
        <x:v>0</x:v>
      </x:c>
      <x:c r="M1069" s="46" t="n">
        <x:v>0</x:v>
      </x:c>
      <x:c r="N1069" s="21" t="n">
        <x:f>IF(AND(L1068=1,M1068=1,P1068&gt;0),1,0)</x:f>
        <x:v>0</x:v>
      </x:c>
      <x:c r="O1069" s="21" t="n">
        <x:f>MIN('Root Data'!I325:I327)</x:f>
        <x:v>0</x:v>
      </x:c>
      <x:c r="P1069" s="44" t="n">
        <x:f>IF(AND(L1069=1,M1069=1,N1069=1,O1069&gt;=G1069),K1069,0)</x:f>
        <x:v>0</x:v>
      </x:c>
      <x:c r="Q1069" s="21" t="str">
        <x:v>OPEN</x:v>
      </x:c>
      <x:c r="R1069" s="23" t="str">
        <x:v>HOLD</x:v>
      </x:c>
    </x:row>
    <x:row r="1070">
      <x:c r="B1070" s="21" t="str">
        <x:v>AR-01064</x:v>
      </x:c>
      <x:c r="C1070" s="21" t="str">
        <x:v>F27-I3</x:v>
      </x:c>
      <x:c r="D1070" s="21" t="str">
        <x:v>F27</x:v>
      </x:c>
      <x:c r="E1070" s="21" t="n">
        <x:v>4</x:v>
      </x:c>
      <x:c r="F1070" s="21" t="str">
        <x:v>Engineering article acceptance</x:v>
      </x:c>
      <x:c r="G1070" s="21" t="n">
        <x:v>18</x:v>
      </x:c>
      <x:c r="H1070" s="21" t="str">
        <x:v>Independent Evidence and Data Authority</x:v>
      </x:c>
      <x:c r="I1070" s="44" t="n">
        <x:f>Lifecycle!G10</x:f>
        <x:v>0.05929244350747744</x:v>
      </x:c>
      <x:c r="J1070" s="44" t="n">
        <x:v>0.08928571428571429</x:v>
      </x:c>
      <x:c r="K1070" s="44" t="n">
        <x:f>I1070*J1070</x:f>
        <x:v>0.005293968170310486</x:v>
      </x:c>
      <x:c r="L1070" s="46" t="n">
        <x:v>0</x:v>
      </x:c>
      <x:c r="M1070" s="46" t="n">
        <x:v>0</x:v>
      </x:c>
      <x:c r="N1070" s="21" t="n">
        <x:f>IF(AND(L1069=1,M1069=1,P1069&gt;0),1,0)</x:f>
        <x:v>0</x:v>
      </x:c>
      <x:c r="O1070" s="21" t="n">
        <x:f>MIN('Root Data'!I325:I327)</x:f>
        <x:v>0</x:v>
      </x:c>
      <x:c r="P1070" s="44" t="n">
        <x:f>IF(AND(L1070=1,M1070=1,N1070=1,O1070&gt;=G1070),K1070,0)</x:f>
        <x:v>0</x:v>
      </x:c>
      <x:c r="Q1070" s="21" t="str">
        <x:v>OPEN</x:v>
      </x:c>
      <x:c r="R1070" s="23" t="str">
        <x:v>HOLD</x:v>
      </x:c>
    </x:row>
    <x:row r="1071">
      <x:c r="B1071" s="21" t="str">
        <x:v>AR-01065</x:v>
      </x:c>
      <x:c r="C1071" s="21" t="str">
        <x:v>F27-I3</x:v>
      </x:c>
      <x:c r="D1071" s="21" t="str">
        <x:v>F27</x:v>
      </x:c>
      <x:c r="E1071" s="21" t="n">
        <x:v>5</x:v>
      </x:c>
      <x:c r="F1071" s="21" t="str">
        <x:v>Qualification and destructive evidence</x:v>
      </x:c>
      <x:c r="G1071" s="21" t="n">
        <x:v>21</x:v>
      </x:c>
      <x:c r="H1071" s="21" t="str">
        <x:v>Independent Evidence and Data Authority</x:v>
      </x:c>
      <x:c r="I1071" s="44" t="n">
        <x:f>Lifecycle!G11</x:f>
        <x:v>0.1515251334079979</x:v>
      </x:c>
      <x:c r="J1071" s="44" t="n">
        <x:v>0.08928571428571429</x:v>
      </x:c>
      <x:c r="K1071" s="44" t="n">
        <x:f>I1071*J1071</x:f>
        <x:v>0.013529029768571241</x:v>
      </x:c>
      <x:c r="L1071" s="46" t="n">
        <x:v>0</x:v>
      </x:c>
      <x:c r="M1071" s="46" t="n">
        <x:v>0</x:v>
      </x:c>
      <x:c r="N1071" s="21" t="n">
        <x:f>IF(AND(L1070=1,M1070=1,P1070&gt;0),1,0)</x:f>
        <x:v>0</x:v>
      </x:c>
      <x:c r="O1071" s="21" t="n">
        <x:f>MIN('Root Data'!I325:I327)</x:f>
        <x:v>0</x:v>
      </x:c>
      <x:c r="P1071" s="44" t="n">
        <x:f>IF(AND(L1071=1,M1071=1,N1071=1,O1071&gt;=G1071),K1071,0)</x:f>
        <x:v>0</x:v>
      </x:c>
      <x:c r="Q1071" s="21" t="str">
        <x:v>OPEN</x:v>
      </x:c>
      <x:c r="R1071" s="23" t="str">
        <x:v>HOLD</x:v>
      </x:c>
    </x:row>
    <x:row r="1072">
      <x:c r="B1072" s="21" t="str">
        <x:v>AR-01066</x:v>
      </x:c>
      <x:c r="C1072" s="21" t="str">
        <x:v>F27-I3</x:v>
      </x:c>
      <x:c r="D1072" s="21" t="str">
        <x:v>F27</x:v>
      </x:c>
      <x:c r="E1072" s="21" t="n">
        <x:v>6</x:v>
      </x:c>
      <x:c r="F1072" s="21" t="str">
        <x:v>Representative mission result</x:v>
      </x:c>
      <x:c r="G1072" s="21" t="n">
        <x:v>23</x:v>
      </x:c>
      <x:c r="H1072" s="21" t="str">
        <x:v>Receiving Service Authority</x:v>
      </x:c>
      <x:c r="I1072" s="44" t="n">
        <x:f>Lifecycle!G12</x:f>
        <x:v>0.250345872587127</x:v>
      </x:c>
      <x:c r="J1072" s="44" t="n">
        <x:v>0.08928571428571429</x:v>
      </x:c>
      <x:c r="K1072" s="44" t="n">
        <x:f>I1072*J1072</x:f>
        <x:v>0.022352310052422053</x:v>
      </x:c>
      <x:c r="L1072" s="46" t="n">
        <x:v>0</x:v>
      </x:c>
      <x:c r="M1072" s="46" t="n">
        <x:v>0</x:v>
      </x:c>
      <x:c r="N1072" s="21" t="n">
        <x:f>IF(AND(L1071=1,M1071=1,P1071&gt;0),1,0)</x:f>
        <x:v>0</x:v>
      </x:c>
      <x:c r="O1072" s="21" t="n">
        <x:f>MIN('Root Data'!I325:I327)</x:f>
        <x:v>0</x:v>
      </x:c>
      <x:c r="P1072" s="44" t="n">
        <x:f>IF(AND(L1072=1,M1072=1,N1072=1,O1072&gt;=G1072),K1072,0)</x:f>
        <x:v>0</x:v>
      </x:c>
      <x:c r="Q1072" s="21" t="str">
        <x:v>OPEN</x:v>
      </x:c>
      <x:c r="R1072" s="23" t="str">
        <x:v>HOLD</x:v>
      </x:c>
    </x:row>
    <x:row r="1073">
      <x:c r="B1073" s="21" t="str">
        <x:v>AR-01067</x:v>
      </x:c>
      <x:c r="C1073" s="21" t="str">
        <x:v>F27-I3</x:v>
      </x:c>
      <x:c r="D1073" s="21" t="str">
        <x:v>F27</x:v>
      </x:c>
      <x:c r="E1073" s="21" t="n">
        <x:v>7</x:v>
      </x:c>
      <x:c r="F1073" s="21" t="str">
        <x:v>Independent reproduction</x:v>
      </x:c>
      <x:c r="G1073" s="21" t="n">
        <x:v>28</x:v>
      </x:c>
      <x:c r="H1073" s="21" t="str">
        <x:v>Independent Evidence and Data Authority</x:v>
      </x:c>
      <x:c r="I1073" s="44" t="n">
        <x:f>Lifecycle!G13</x:f>
        <x:v>0.21740562619408393</x:v>
      </x:c>
      <x:c r="J1073" s="44" t="n">
        <x:v>0.08928571428571429</x:v>
      </x:c>
      <x:c r="K1073" s="44" t="n">
        <x:f>I1073*J1073</x:f>
        <x:v>0.019411216624471782</x:v>
      </x:c>
      <x:c r="L1073" s="46" t="n">
        <x:v>0</x:v>
      </x:c>
      <x:c r="M1073" s="46" t="n">
        <x:v>0</x:v>
      </x:c>
      <x:c r="N1073" s="21" t="n">
        <x:f>IF(AND(L1072=1,M1072=1,P1072&gt;0),1,0)</x:f>
        <x:v>0</x:v>
      </x:c>
      <x:c r="O1073" s="21" t="n">
        <x:f>MIN('Root Data'!I325:I327)</x:f>
        <x:v>0</x:v>
      </x:c>
      <x:c r="P1073" s="44" t="n">
        <x:f>IF(AND(L1073=1,M1073=1,N1073=1,O1073&gt;=G1073),K1073,0)</x:f>
        <x:v>0</x:v>
      </x:c>
      <x:c r="Q1073" s="21" t="str">
        <x:v>OPEN</x:v>
      </x:c>
      <x:c r="R1073" s="23" t="str">
        <x:v>HOLD</x:v>
      </x:c>
    </x:row>
    <x:row r="1074">
      <x:c r="B1074" s="21" t="str">
        <x:v>AR-01068</x:v>
      </x:c>
      <x:c r="C1074" s="21" t="str">
        <x:v>F27-I3</x:v>
      </x:c>
      <x:c r="D1074" s="21" t="str">
        <x:v>F27</x:v>
      </x:c>
      <x:c r="E1074" s="21" t="n">
        <x:v>8</x:v>
      </x:c>
      <x:c r="F1074" s="21" t="str">
        <x:v>Pilot-process qualification</x:v>
      </x:c>
      <x:c r="G1074" s="21" t="n">
        <x:v>28</x:v>
      </x:c>
      <x:c r="H1074" s="21" t="str">
        <x:v>AIMC Industrial Mobilization Authority</x:v>
      </x:c>
      <x:c r="I1074" s="44" t="n">
        <x:f>Lifecycle!G14</x:f>
        <x:v>0.03952829567165163</x:v>
      </x:c>
      <x:c r="J1074" s="44" t="n">
        <x:v>0.08928571428571429</x:v>
      </x:c>
      <x:c r="K1074" s="44" t="n">
        <x:f>I1074*J1074</x:f>
        <x:v>0.003529312113540324</x:v>
      </x:c>
      <x:c r="L1074" s="46" t="n">
        <x:v>0</x:v>
      </x:c>
      <x:c r="M1074" s="46" t="n">
        <x:v>0</x:v>
      </x:c>
      <x:c r="N1074" s="21" t="n">
        <x:f>IF(AND(L1073=1,M1073=1,P1073&gt;0),1,0)</x:f>
        <x:v>0</x:v>
      </x:c>
      <x:c r="O1074" s="21" t="n">
        <x:f>MIN('Root Data'!I325:I327)</x:f>
        <x:v>0</x:v>
      </x:c>
      <x:c r="P1074" s="44" t="n">
        <x:f>IF(AND(L1074=1,M1074=1,N1074=1,O1074&gt;=G1074),K1074,0)</x:f>
        <x:v>0</x:v>
      </x:c>
      <x:c r="Q1074" s="21" t="str">
        <x:v>OPEN</x:v>
      </x:c>
      <x:c r="R1074" s="23" t="str">
        <x:v>HOLD</x:v>
      </x:c>
    </x:row>
    <x:row r="1075">
      <x:c r="B1075" s="21" t="str">
        <x:v>AR-01069</x:v>
      </x:c>
      <x:c r="C1075" s="21" t="str">
        <x:v>F27-I3</x:v>
      </x:c>
      <x:c r="D1075" s="21" t="str">
        <x:v>F27</x:v>
      </x:c>
      <x:c r="E1075" s="21" t="n">
        <x:v>9</x:v>
      </x:c>
      <x:c r="F1075" s="21" t="str">
        <x:v>Production release package</x:v>
      </x:c>
      <x:c r="G1075" s="21" t="n">
        <x:v>28</x:v>
      </x:c>
      <x:c r="H1075" s="21" t="str">
        <x:v>Production Release Board</x:v>
      </x:c>
      <x:c r="I1075" s="44" t="n">
        <x:f>Lifecycle!G15</x:f>
        <x:v>0.01647012319652151</x:v>
      </x:c>
      <x:c r="J1075" s="44" t="n">
        <x:v>0.08928571428571429</x:v>
      </x:c>
      <x:c r="K1075" s="44" t="n">
        <x:f>I1075*J1075</x:f>
        <x:v>0.001470546713975135</x:v>
      </x:c>
      <x:c r="L1075" s="46" t="n">
        <x:v>0</x:v>
      </x:c>
      <x:c r="M1075" s="46" t="n">
        <x:v>0</x:v>
      </x:c>
      <x:c r="N1075" s="21" t="n">
        <x:f>IF(AND(L1074=1,M1074=1,P1074&gt;0),1,0)</x:f>
        <x:v>0</x:v>
      </x:c>
      <x:c r="O1075" s="21" t="n">
        <x:f>MIN('Root Data'!I325:I327)</x:f>
        <x:v>0</x:v>
      </x:c>
      <x:c r="P1075" s="44" t="n">
        <x:f>IF(AND(L1075=1,M1075=1,N1075=1,O1075&gt;=G1075),K1075,0)</x:f>
        <x:v>0</x:v>
      </x:c>
      <x:c r="Q1075" s="21" t="str">
        <x:v>OPEN</x:v>
      </x:c>
      <x:c r="R1075" s="23" t="str">
        <x:v>HOLD</x:v>
      </x:c>
    </x:row>
    <x:row r="1076">
      <x:c r="B1076" s="21" t="str">
        <x:v>AR-01070</x:v>
      </x:c>
      <x:c r="C1076" s="21" t="str">
        <x:v>F27-I3</x:v>
      </x:c>
      <x:c r="D1076" s="21" t="str">
        <x:v>F27</x:v>
      </x:c>
      <x:c r="E1076" s="21" t="n">
        <x:v>10</x:v>
      </x:c>
      <x:c r="F1076" s="21" t="str">
        <x:v>Mobilization activation</x:v>
      </x:c>
      <x:c r="G1076" s="21" t="n">
        <x:v>28</x:v>
      </x:c>
      <x:c r="H1076" s="21" t="str">
        <x:v>Production Release Board</x:v>
      </x:c>
      <x:c r="I1076" s="44" t="n">
        <x:f>Lifecycle!G16</x:f>
        <x:v>0.028262731405230914</x:v>
      </x:c>
      <x:c r="J1076" s="44" t="n">
        <x:v>0.08928571428571429</x:v>
      </x:c>
      <x:c r="K1076" s="44" t="n">
        <x:f>I1076*J1076</x:f>
        <x:v>0.002523458161181332</x:v>
      </x:c>
      <x:c r="L1076" s="46" t="n">
        <x:v>0</x:v>
      </x:c>
      <x:c r="M1076" s="46" t="n">
        <x:v>0</x:v>
      </x:c>
      <x:c r="N1076" s="21" t="n">
        <x:f>IF(AND(L1075=1,M1075=1,P1075&gt;0),1,0)</x:f>
        <x:v>0</x:v>
      </x:c>
      <x:c r="O1076" s="21" t="n">
        <x:f>MIN('Root Data'!I325:I327)</x:f>
        <x:v>0</x:v>
      </x:c>
      <x:c r="P1076" s="44" t="n">
        <x:f>IF(AND(L1076=1,M1076=1,N1076=1,O1076&gt;=G1076),K1076,0)</x:f>
        <x:v>0</x:v>
      </x:c>
      <x:c r="Q1076" s="21" t="str">
        <x:v>OPEN</x:v>
      </x:c>
      <x:c r="R1076" s="23" t="str">
        <x:v>HOLD</x:v>
      </x:c>
    </x:row>
    <x:row r="1077">
      <x:c r="B1077" s="21" t="str">
        <x:v>AR-01071</x:v>
      </x:c>
      <x:c r="C1077" s="21" t="str">
        <x:v>F27-I4</x:v>
      </x:c>
      <x:c r="D1077" s="21" t="str">
        <x:v>F27</x:v>
      </x:c>
      <x:c r="E1077" s="21" t="n">
        <x:v>1</x:v>
      </x:c>
      <x:c r="F1077" s="21" t="str">
        <x:v>Civil effect charter</x:v>
      </x:c>
      <x:c r="G1077" s="21" t="n">
        <x:v>0</x:v>
      </x:c>
      <x:c r="H1077" s="21" t="str">
        <x:v>Civil Guarantee Authority</x:v>
      </x:c>
      <x:c r="I1077" s="44" t="n">
        <x:f>Lifecycle!G7</x:f>
        <x:v>0.04941036958956453</x:v>
      </x:c>
      <x:c r="J1077" s="44" t="n">
        <x:v>0.08928571428571429</x:v>
      </x:c>
      <x:c r="K1077" s="44" t="n">
        <x:f>I1077*J1077</x:f>
        <x:v>0.004411640141925405</x:v>
      </x:c>
      <x:c r="L1077" s="46" t="n">
        <x:v>0</x:v>
      </x:c>
      <x:c r="M1077" s="46" t="n">
        <x:v>0</x:v>
      </x:c>
      <x:c r="N1077" s="21" t="n">
        <x:f>1</x:f>
        <x:v>1</x:v>
      </x:c>
      <x:c r="O1077" s="21" t="n">
        <x:f>MIN('Root Data'!I328:I330)</x:f>
        <x:v>0</x:v>
      </x:c>
      <x:c r="P1077" s="44" t="n">
        <x:f>IF(AND(L1077=1,M1077=1,N1077=1,O1077&gt;=G1077),K1077,0)</x:f>
        <x:v>0</x:v>
      </x:c>
      <x:c r="Q1077" s="21" t="str">
        <x:v>OPEN</x:v>
      </x:c>
      <x:c r="R1077" s="23" t="str">
        <x:v>HOLD</x:v>
      </x:c>
    </x:row>
    <x:row r="1078">
      <x:c r="B1078" s="21" t="str">
        <x:v>AR-01072</x:v>
      </x:c>
      <x:c r="C1078" s="21" t="str">
        <x:v>F27-I4</x:v>
      </x:c>
      <x:c r="D1078" s="21" t="str">
        <x:v>F27</x:v>
      </x:c>
      <x:c r="E1078" s="21" t="n">
        <x:v>2</x:v>
      </x:c>
      <x:c r="F1078" s="21" t="str">
        <x:v>Requirement and root-independence package</x:v>
      </x:c>
      <x:c r="G1078" s="21" t="n">
        <x:v>8</x:v>
      </x:c>
      <x:c r="H1078" s="21" t="str">
        <x:v>Resilience Staff</x:v>
      </x:c>
      <x:c r="I1078" s="44" t="n">
        <x:f>Lifecycle!G8</x:f>
        <x:v>0.10211476381843337</x:v>
      </x:c>
      <x:c r="J1078" s="44" t="n">
        <x:v>0.08928571428571429</x:v>
      </x:c>
      <x:c r="K1078" s="44" t="n">
        <x:f>I1078*J1078</x:f>
        <x:v>0.009117389626645838</x:v>
      </x:c>
      <x:c r="L1078" s="46" t="n">
        <x:v>0</x:v>
      </x:c>
      <x:c r="M1078" s="46" t="n">
        <x:v>0</x:v>
      </x:c>
      <x:c r="N1078" s="21" t="n">
        <x:f>IF(AND(L1077=1,M1077=1,P1077&gt;0),1,0)</x:f>
        <x:v>0</x:v>
      </x:c>
      <x:c r="O1078" s="21" t="n">
        <x:f>MIN('Root Data'!I328:I330)</x:f>
        <x:v>0</x:v>
      </x:c>
      <x:c r="P1078" s="44" t="n">
        <x:f>IF(AND(L1078=1,M1078=1,N1078=1,O1078&gt;=G1078),K1078,0)</x:f>
        <x:v>0</x:v>
      </x:c>
      <x:c r="Q1078" s="21" t="str">
        <x:v>OPEN</x:v>
      </x:c>
      <x:c r="R1078" s="23" t="str">
        <x:v>HOLD</x:v>
      </x:c>
    </x:row>
    <x:row r="1079">
      <x:c r="B1079" s="21" t="str">
        <x:v>AR-01073</x:v>
      </x:c>
      <x:c r="C1079" s="21" t="str">
        <x:v>F27-I4</x:v>
      </x:c>
      <x:c r="D1079" s="21" t="str">
        <x:v>F27</x:v>
      </x:c>
      <x:c r="E1079" s="21" t="n">
        <x:v>3</x:v>
      </x:c>
      <x:c r="F1079" s="21" t="str">
        <x:v>Architecture and burden closure</x:v>
      </x:c>
      <x:c r="G1079" s="21" t="n">
        <x:v>14</x:v>
      </x:c>
      <x:c r="H1079" s="21" t="str">
        <x:v>Independent Evidence and Data Authority</x:v>
      </x:c>
      <x:c r="I1079" s="44" t="n">
        <x:f>Lifecycle!G9</x:f>
        <x:v>0.08564464062191186</x:v>
      </x:c>
      <x:c r="J1079" s="44" t="n">
        <x:v>0.08928571428571429</x:v>
      </x:c>
      <x:c r="K1079" s="44" t="n">
        <x:f>I1079*J1079</x:f>
        <x:v>0.007646842912670702</x:v>
      </x:c>
      <x:c r="L1079" s="46" t="n">
        <x:v>0</x:v>
      </x:c>
      <x:c r="M1079" s="46" t="n">
        <x:v>0</x:v>
      </x:c>
      <x:c r="N1079" s="21" t="n">
        <x:f>IF(AND(L1078=1,M1078=1,P1078&gt;0),1,0)</x:f>
        <x:v>0</x:v>
      </x:c>
      <x:c r="O1079" s="21" t="n">
        <x:f>MIN('Root Data'!I328:I330)</x:f>
        <x:v>0</x:v>
      </x:c>
      <x:c r="P1079" s="44" t="n">
        <x:f>IF(AND(L1079=1,M1079=1,N1079=1,O1079&gt;=G1079),K1079,0)</x:f>
        <x:v>0</x:v>
      </x:c>
      <x:c r="Q1079" s="21" t="str">
        <x:v>OPEN</x:v>
      </x:c>
      <x:c r="R1079" s="23" t="str">
        <x:v>HOLD</x:v>
      </x:c>
    </x:row>
    <x:row r="1080">
      <x:c r="B1080" s="21" t="str">
        <x:v>AR-01074</x:v>
      </x:c>
      <x:c r="C1080" s="21" t="str">
        <x:v>F27-I4</x:v>
      </x:c>
      <x:c r="D1080" s="21" t="str">
        <x:v>F27</x:v>
      </x:c>
      <x:c r="E1080" s="21" t="n">
        <x:v>4</x:v>
      </x:c>
      <x:c r="F1080" s="21" t="str">
        <x:v>Engineering article acceptance</x:v>
      </x:c>
      <x:c r="G1080" s="21" t="n">
        <x:v>18</x:v>
      </x:c>
      <x:c r="H1080" s="21" t="str">
        <x:v>Independent Evidence and Data Authority</x:v>
      </x:c>
      <x:c r="I1080" s="44" t="n">
        <x:f>Lifecycle!G10</x:f>
        <x:v>0.05929244350747744</x:v>
      </x:c>
      <x:c r="J1080" s="44" t="n">
        <x:v>0.08928571428571429</x:v>
      </x:c>
      <x:c r="K1080" s="44" t="n">
        <x:f>I1080*J1080</x:f>
        <x:v>0.005293968170310486</x:v>
      </x:c>
      <x:c r="L1080" s="46" t="n">
        <x:v>0</x:v>
      </x:c>
      <x:c r="M1080" s="46" t="n">
        <x:v>0</x:v>
      </x:c>
      <x:c r="N1080" s="21" t="n">
        <x:f>IF(AND(L1079=1,M1079=1,P1079&gt;0),1,0)</x:f>
        <x:v>0</x:v>
      </x:c>
      <x:c r="O1080" s="21" t="n">
        <x:f>MIN('Root Data'!I328:I330)</x:f>
        <x:v>0</x:v>
      </x:c>
      <x:c r="P1080" s="44" t="n">
        <x:f>IF(AND(L1080=1,M1080=1,N1080=1,O1080&gt;=G1080),K1080,0)</x:f>
        <x:v>0</x:v>
      </x:c>
      <x:c r="Q1080" s="21" t="str">
        <x:v>OPEN</x:v>
      </x:c>
      <x:c r="R1080" s="23" t="str">
        <x:v>HOLD</x:v>
      </x:c>
    </x:row>
    <x:row r="1081">
      <x:c r="B1081" s="21" t="str">
        <x:v>AR-01075</x:v>
      </x:c>
      <x:c r="C1081" s="21" t="str">
        <x:v>F27-I4</x:v>
      </x:c>
      <x:c r="D1081" s="21" t="str">
        <x:v>F27</x:v>
      </x:c>
      <x:c r="E1081" s="21" t="n">
        <x:v>5</x:v>
      </x:c>
      <x:c r="F1081" s="21" t="str">
        <x:v>Qualification and destructive evidence</x:v>
      </x:c>
      <x:c r="G1081" s="21" t="n">
        <x:v>21</x:v>
      </x:c>
      <x:c r="H1081" s="21" t="str">
        <x:v>Independent Evidence and Data Authority</x:v>
      </x:c>
      <x:c r="I1081" s="44" t="n">
        <x:f>Lifecycle!G11</x:f>
        <x:v>0.1515251334079979</x:v>
      </x:c>
      <x:c r="J1081" s="44" t="n">
        <x:v>0.08928571428571429</x:v>
      </x:c>
      <x:c r="K1081" s="44" t="n">
        <x:f>I1081*J1081</x:f>
        <x:v>0.013529029768571241</x:v>
      </x:c>
      <x:c r="L1081" s="46" t="n">
        <x:v>0</x:v>
      </x:c>
      <x:c r="M1081" s="46" t="n">
        <x:v>0</x:v>
      </x:c>
      <x:c r="N1081" s="21" t="n">
        <x:f>IF(AND(L1080=1,M1080=1,P1080&gt;0),1,0)</x:f>
        <x:v>0</x:v>
      </x:c>
      <x:c r="O1081" s="21" t="n">
        <x:f>MIN('Root Data'!I328:I330)</x:f>
        <x:v>0</x:v>
      </x:c>
      <x:c r="P1081" s="44" t="n">
        <x:f>IF(AND(L1081=1,M1081=1,N1081=1,O1081&gt;=G1081),K1081,0)</x:f>
        <x:v>0</x:v>
      </x:c>
      <x:c r="Q1081" s="21" t="str">
        <x:v>OPEN</x:v>
      </x:c>
      <x:c r="R1081" s="23" t="str">
        <x:v>HOLD</x:v>
      </x:c>
    </x:row>
    <x:row r="1082">
      <x:c r="B1082" s="21" t="str">
        <x:v>AR-01076</x:v>
      </x:c>
      <x:c r="C1082" s="21" t="str">
        <x:v>F27-I4</x:v>
      </x:c>
      <x:c r="D1082" s="21" t="str">
        <x:v>F27</x:v>
      </x:c>
      <x:c r="E1082" s="21" t="n">
        <x:v>6</x:v>
      </x:c>
      <x:c r="F1082" s="21" t="str">
        <x:v>Representative mission result</x:v>
      </x:c>
      <x:c r="G1082" s="21" t="n">
        <x:v>23</x:v>
      </x:c>
      <x:c r="H1082" s="21" t="str">
        <x:v>Receiving Service Authority</x:v>
      </x:c>
      <x:c r="I1082" s="44" t="n">
        <x:f>Lifecycle!G12</x:f>
        <x:v>0.250345872587127</x:v>
      </x:c>
      <x:c r="J1082" s="44" t="n">
        <x:v>0.08928571428571429</x:v>
      </x:c>
      <x:c r="K1082" s="44" t="n">
        <x:f>I1082*J1082</x:f>
        <x:v>0.022352310052422053</x:v>
      </x:c>
      <x:c r="L1082" s="46" t="n">
        <x:v>0</x:v>
      </x:c>
      <x:c r="M1082" s="46" t="n">
        <x:v>0</x:v>
      </x:c>
      <x:c r="N1082" s="21" t="n">
        <x:f>IF(AND(L1081=1,M1081=1,P1081&gt;0),1,0)</x:f>
        <x:v>0</x:v>
      </x:c>
      <x:c r="O1082" s="21" t="n">
        <x:f>MIN('Root Data'!I328:I330)</x:f>
        <x:v>0</x:v>
      </x:c>
      <x:c r="P1082" s="44" t="n">
        <x:f>IF(AND(L1082=1,M1082=1,N1082=1,O1082&gt;=G1082),K1082,0)</x:f>
        <x:v>0</x:v>
      </x:c>
      <x:c r="Q1082" s="21" t="str">
        <x:v>OPEN</x:v>
      </x:c>
      <x:c r="R1082" s="23" t="str">
        <x:v>HOLD</x:v>
      </x:c>
    </x:row>
    <x:row r="1083">
      <x:c r="B1083" s="21" t="str">
        <x:v>AR-01077</x:v>
      </x:c>
      <x:c r="C1083" s="21" t="str">
        <x:v>F27-I4</x:v>
      </x:c>
      <x:c r="D1083" s="21" t="str">
        <x:v>F27</x:v>
      </x:c>
      <x:c r="E1083" s="21" t="n">
        <x:v>7</x:v>
      </x:c>
      <x:c r="F1083" s="21" t="str">
        <x:v>Independent reproduction</x:v>
      </x:c>
      <x:c r="G1083" s="21" t="n">
        <x:v>28</x:v>
      </x:c>
      <x:c r="H1083" s="21" t="str">
        <x:v>Independent Evidence and Data Authority</x:v>
      </x:c>
      <x:c r="I1083" s="44" t="n">
        <x:f>Lifecycle!G13</x:f>
        <x:v>0.21740562619408393</x:v>
      </x:c>
      <x:c r="J1083" s="44" t="n">
        <x:v>0.08928571428571429</x:v>
      </x:c>
      <x:c r="K1083" s="44" t="n">
        <x:f>I1083*J1083</x:f>
        <x:v>0.019411216624471782</x:v>
      </x:c>
      <x:c r="L1083" s="46" t="n">
        <x:v>0</x:v>
      </x:c>
      <x:c r="M1083" s="46" t="n">
        <x:v>0</x:v>
      </x:c>
      <x:c r="N1083" s="21" t="n">
        <x:f>IF(AND(L1082=1,M1082=1,P1082&gt;0),1,0)</x:f>
        <x:v>0</x:v>
      </x:c>
      <x:c r="O1083" s="21" t="n">
        <x:f>MIN('Root Data'!I328:I330)</x:f>
        <x:v>0</x:v>
      </x:c>
      <x:c r="P1083" s="44" t="n">
        <x:f>IF(AND(L1083=1,M1083=1,N1083=1,O1083&gt;=G1083),K1083,0)</x:f>
        <x:v>0</x:v>
      </x:c>
      <x:c r="Q1083" s="21" t="str">
        <x:v>OPEN</x:v>
      </x:c>
      <x:c r="R1083" s="23" t="str">
        <x:v>HOLD</x:v>
      </x:c>
    </x:row>
    <x:row r="1084">
      <x:c r="B1084" s="21" t="str">
        <x:v>AR-01078</x:v>
      </x:c>
      <x:c r="C1084" s="21" t="str">
        <x:v>F27-I4</x:v>
      </x:c>
      <x:c r="D1084" s="21" t="str">
        <x:v>F27</x:v>
      </x:c>
      <x:c r="E1084" s="21" t="n">
        <x:v>8</x:v>
      </x:c>
      <x:c r="F1084" s="21" t="str">
        <x:v>Pilot-process qualification</x:v>
      </x:c>
      <x:c r="G1084" s="21" t="n">
        <x:v>28</x:v>
      </x:c>
      <x:c r="H1084" s="21" t="str">
        <x:v>AIMC Industrial Mobilization Authority</x:v>
      </x:c>
      <x:c r="I1084" s="44" t="n">
        <x:f>Lifecycle!G14</x:f>
        <x:v>0.03952829567165163</x:v>
      </x:c>
      <x:c r="J1084" s="44" t="n">
        <x:v>0.08928571428571429</x:v>
      </x:c>
      <x:c r="K1084" s="44" t="n">
        <x:f>I1084*J1084</x:f>
        <x:v>0.003529312113540324</x:v>
      </x:c>
      <x:c r="L1084" s="46" t="n">
        <x:v>0</x:v>
      </x:c>
      <x:c r="M1084" s="46" t="n">
        <x:v>0</x:v>
      </x:c>
      <x:c r="N1084" s="21" t="n">
        <x:f>IF(AND(L1083=1,M1083=1,P1083&gt;0),1,0)</x:f>
        <x:v>0</x:v>
      </x:c>
      <x:c r="O1084" s="21" t="n">
        <x:f>MIN('Root Data'!I328:I330)</x:f>
        <x:v>0</x:v>
      </x:c>
      <x:c r="P1084" s="44" t="n">
        <x:f>IF(AND(L1084=1,M1084=1,N1084=1,O1084&gt;=G1084),K1084,0)</x:f>
        <x:v>0</x:v>
      </x:c>
      <x:c r="Q1084" s="21" t="str">
        <x:v>OPEN</x:v>
      </x:c>
      <x:c r="R1084" s="23" t="str">
        <x:v>HOLD</x:v>
      </x:c>
    </x:row>
    <x:row r="1085">
      <x:c r="B1085" s="21" t="str">
        <x:v>AR-01079</x:v>
      </x:c>
      <x:c r="C1085" s="21" t="str">
        <x:v>F27-I4</x:v>
      </x:c>
      <x:c r="D1085" s="21" t="str">
        <x:v>F27</x:v>
      </x:c>
      <x:c r="E1085" s="21" t="n">
        <x:v>9</x:v>
      </x:c>
      <x:c r="F1085" s="21" t="str">
        <x:v>Production release package</x:v>
      </x:c>
      <x:c r="G1085" s="21" t="n">
        <x:v>28</x:v>
      </x:c>
      <x:c r="H1085" s="21" t="str">
        <x:v>Production Release Board</x:v>
      </x:c>
      <x:c r="I1085" s="44" t="n">
        <x:f>Lifecycle!G15</x:f>
        <x:v>0.01647012319652151</x:v>
      </x:c>
      <x:c r="J1085" s="44" t="n">
        <x:v>0.08928571428571429</x:v>
      </x:c>
      <x:c r="K1085" s="44" t="n">
        <x:f>I1085*J1085</x:f>
        <x:v>0.001470546713975135</x:v>
      </x:c>
      <x:c r="L1085" s="46" t="n">
        <x:v>0</x:v>
      </x:c>
      <x:c r="M1085" s="46" t="n">
        <x:v>0</x:v>
      </x:c>
      <x:c r="N1085" s="21" t="n">
        <x:f>IF(AND(L1084=1,M1084=1,P1084&gt;0),1,0)</x:f>
        <x:v>0</x:v>
      </x:c>
      <x:c r="O1085" s="21" t="n">
        <x:f>MIN('Root Data'!I328:I330)</x:f>
        <x:v>0</x:v>
      </x:c>
      <x:c r="P1085" s="44" t="n">
        <x:f>IF(AND(L1085=1,M1085=1,N1085=1,O1085&gt;=G1085),K1085,0)</x:f>
        <x:v>0</x:v>
      </x:c>
      <x:c r="Q1085" s="21" t="str">
        <x:v>OPEN</x:v>
      </x:c>
      <x:c r="R1085" s="23" t="str">
        <x:v>HOLD</x:v>
      </x:c>
    </x:row>
    <x:row r="1086">
      <x:c r="B1086" s="21" t="str">
        <x:v>AR-01080</x:v>
      </x:c>
      <x:c r="C1086" s="21" t="str">
        <x:v>F27-I4</x:v>
      </x:c>
      <x:c r="D1086" s="21" t="str">
        <x:v>F27</x:v>
      </x:c>
      <x:c r="E1086" s="21" t="n">
        <x:v>10</x:v>
      </x:c>
      <x:c r="F1086" s="21" t="str">
        <x:v>Mobilization activation</x:v>
      </x:c>
      <x:c r="G1086" s="21" t="n">
        <x:v>28</x:v>
      </x:c>
      <x:c r="H1086" s="21" t="str">
        <x:v>Production Release Board</x:v>
      </x:c>
      <x:c r="I1086" s="44" t="n">
        <x:f>Lifecycle!G16</x:f>
        <x:v>0.028262731405230914</x:v>
      </x:c>
      <x:c r="J1086" s="44" t="n">
        <x:v>0.08928571428571429</x:v>
      </x:c>
      <x:c r="K1086" s="44" t="n">
        <x:f>I1086*J1086</x:f>
        <x:v>0.002523458161181332</x:v>
      </x:c>
      <x:c r="L1086" s="46" t="n">
        <x:v>0</x:v>
      </x:c>
      <x:c r="M1086" s="46" t="n">
        <x:v>0</x:v>
      </x:c>
      <x:c r="N1086" s="21" t="n">
        <x:f>IF(AND(L1085=1,M1085=1,P1085&gt;0),1,0)</x:f>
        <x:v>0</x:v>
      </x:c>
      <x:c r="O1086" s="21" t="n">
        <x:f>MIN('Root Data'!I328:I330)</x:f>
        <x:v>0</x:v>
      </x:c>
      <x:c r="P1086" s="44" t="n">
        <x:f>IF(AND(L1086=1,M1086=1,N1086=1,O1086&gt;=G1086),K1086,0)</x:f>
        <x:v>0</x:v>
      </x:c>
      <x:c r="Q1086" s="21" t="str">
        <x:v>OPEN</x:v>
      </x:c>
      <x:c r="R1086" s="23" t="str">
        <x:v>HOLD</x:v>
      </x:c>
    </x:row>
    <x:row r="1087">
      <x:c r="B1087" s="21" t="str">
        <x:v>AR-01081</x:v>
      </x:c>
      <x:c r="C1087" s="21" t="str">
        <x:v>F28-I1</x:v>
      </x:c>
      <x:c r="D1087" s="21" t="str">
        <x:v>F28</x:v>
      </x:c>
      <x:c r="E1087" s="21" t="n">
        <x:v>1</x:v>
      </x:c>
      <x:c r="F1087" s="21" t="str">
        <x:v>Civil effect charter</x:v>
      </x:c>
      <x:c r="G1087" s="21" t="n">
        <x:v>0</x:v>
      </x:c>
      <x:c r="H1087" s="21" t="str">
        <x:v>Civil Guarantee Authority</x:v>
      </x:c>
      <x:c r="I1087" s="44" t="n">
        <x:f>Lifecycle!G7</x:f>
        <x:v>0.04941036958956453</x:v>
      </x:c>
      <x:c r="J1087" s="44" t="n">
        <x:v>0.08928571428571429</x:v>
      </x:c>
      <x:c r="K1087" s="44" t="n">
        <x:f>I1087*J1087</x:f>
        <x:v>0.004411640141925405</x:v>
      </x:c>
      <x:c r="L1087" s="46" t="n">
        <x:v>0</x:v>
      </x:c>
      <x:c r="M1087" s="46" t="n">
        <x:v>0</x:v>
      </x:c>
      <x:c r="N1087" s="21" t="n">
        <x:f>1</x:f>
        <x:v>1</x:v>
      </x:c>
      <x:c r="O1087" s="21" t="n">
        <x:f>MIN('Root Data'!I331:I333)</x:f>
        <x:v>0</x:v>
      </x:c>
      <x:c r="P1087" s="44" t="n">
        <x:f>IF(AND(L1087=1,M1087=1,N1087=1,O1087&gt;=G1087),K1087,0)</x:f>
        <x:v>0</x:v>
      </x:c>
      <x:c r="Q1087" s="21" t="str">
        <x:v>OPEN</x:v>
      </x:c>
      <x:c r="R1087" s="23" t="str">
        <x:v>HOLD</x:v>
      </x:c>
    </x:row>
    <x:row r="1088">
      <x:c r="B1088" s="21" t="str">
        <x:v>AR-01082</x:v>
      </x:c>
      <x:c r="C1088" s="21" t="str">
        <x:v>F28-I1</x:v>
      </x:c>
      <x:c r="D1088" s="21" t="str">
        <x:v>F28</x:v>
      </x:c>
      <x:c r="E1088" s="21" t="n">
        <x:v>2</x:v>
      </x:c>
      <x:c r="F1088" s="21" t="str">
        <x:v>Requirement and root-independence package</x:v>
      </x:c>
      <x:c r="G1088" s="21" t="n">
        <x:v>8</x:v>
      </x:c>
      <x:c r="H1088" s="21" t="str">
        <x:v>Resilience Staff</x:v>
      </x:c>
      <x:c r="I1088" s="44" t="n">
        <x:f>Lifecycle!G8</x:f>
        <x:v>0.10211476381843337</x:v>
      </x:c>
      <x:c r="J1088" s="44" t="n">
        <x:v>0.08928571428571429</x:v>
      </x:c>
      <x:c r="K1088" s="44" t="n">
        <x:f>I1088*J1088</x:f>
        <x:v>0.009117389626645838</x:v>
      </x:c>
      <x:c r="L1088" s="46" t="n">
        <x:v>0</x:v>
      </x:c>
      <x:c r="M1088" s="46" t="n">
        <x:v>0</x:v>
      </x:c>
      <x:c r="N1088" s="21" t="n">
        <x:f>IF(AND(L1087=1,M1087=1,P1087&gt;0),1,0)</x:f>
        <x:v>0</x:v>
      </x:c>
      <x:c r="O1088" s="21" t="n">
        <x:f>MIN('Root Data'!I331:I333)</x:f>
        <x:v>0</x:v>
      </x:c>
      <x:c r="P1088" s="44" t="n">
        <x:f>IF(AND(L1088=1,M1088=1,N1088=1,O1088&gt;=G1088),K1088,0)</x:f>
        <x:v>0</x:v>
      </x:c>
      <x:c r="Q1088" s="21" t="str">
        <x:v>OPEN</x:v>
      </x:c>
      <x:c r="R1088" s="23" t="str">
        <x:v>HOLD</x:v>
      </x:c>
    </x:row>
    <x:row r="1089">
      <x:c r="B1089" s="21" t="str">
        <x:v>AR-01083</x:v>
      </x:c>
      <x:c r="C1089" s="21" t="str">
        <x:v>F28-I1</x:v>
      </x:c>
      <x:c r="D1089" s="21" t="str">
        <x:v>F28</x:v>
      </x:c>
      <x:c r="E1089" s="21" t="n">
        <x:v>3</x:v>
      </x:c>
      <x:c r="F1089" s="21" t="str">
        <x:v>Architecture and burden closure</x:v>
      </x:c>
      <x:c r="G1089" s="21" t="n">
        <x:v>14</x:v>
      </x:c>
      <x:c r="H1089" s="21" t="str">
        <x:v>Independent Evidence and Data Authority</x:v>
      </x:c>
      <x:c r="I1089" s="44" t="n">
        <x:f>Lifecycle!G9</x:f>
        <x:v>0.08564464062191186</x:v>
      </x:c>
      <x:c r="J1089" s="44" t="n">
        <x:v>0.08928571428571429</x:v>
      </x:c>
      <x:c r="K1089" s="44" t="n">
        <x:f>I1089*J1089</x:f>
        <x:v>0.007646842912670702</x:v>
      </x:c>
      <x:c r="L1089" s="46" t="n">
        <x:v>0</x:v>
      </x:c>
      <x:c r="M1089" s="46" t="n">
        <x:v>0</x:v>
      </x:c>
      <x:c r="N1089" s="21" t="n">
        <x:f>IF(AND(L1088=1,M1088=1,P1088&gt;0),1,0)</x:f>
        <x:v>0</x:v>
      </x:c>
      <x:c r="O1089" s="21" t="n">
        <x:f>MIN('Root Data'!I331:I333)</x:f>
        <x:v>0</x:v>
      </x:c>
      <x:c r="P1089" s="44" t="n">
        <x:f>IF(AND(L1089=1,M1089=1,N1089=1,O1089&gt;=G1089),K1089,0)</x:f>
        <x:v>0</x:v>
      </x:c>
      <x:c r="Q1089" s="21" t="str">
        <x:v>OPEN</x:v>
      </x:c>
      <x:c r="R1089" s="23" t="str">
        <x:v>HOLD</x:v>
      </x:c>
    </x:row>
    <x:row r="1090">
      <x:c r="B1090" s="21" t="str">
        <x:v>AR-01084</x:v>
      </x:c>
      <x:c r="C1090" s="21" t="str">
        <x:v>F28-I1</x:v>
      </x:c>
      <x:c r="D1090" s="21" t="str">
        <x:v>F28</x:v>
      </x:c>
      <x:c r="E1090" s="21" t="n">
        <x:v>4</x:v>
      </x:c>
      <x:c r="F1090" s="21" t="str">
        <x:v>Engineering article acceptance</x:v>
      </x:c>
      <x:c r="G1090" s="21" t="n">
        <x:v>18</x:v>
      </x:c>
      <x:c r="H1090" s="21" t="str">
        <x:v>Independent Evidence and Data Authority</x:v>
      </x:c>
      <x:c r="I1090" s="44" t="n">
        <x:f>Lifecycle!G10</x:f>
        <x:v>0.05929244350747744</x:v>
      </x:c>
      <x:c r="J1090" s="44" t="n">
        <x:v>0.08928571428571429</x:v>
      </x:c>
      <x:c r="K1090" s="44" t="n">
        <x:f>I1090*J1090</x:f>
        <x:v>0.005293968170310486</x:v>
      </x:c>
      <x:c r="L1090" s="46" t="n">
        <x:v>0</x:v>
      </x:c>
      <x:c r="M1090" s="46" t="n">
        <x:v>0</x:v>
      </x:c>
      <x:c r="N1090" s="21" t="n">
        <x:f>IF(AND(L1089=1,M1089=1,P1089&gt;0),1,0)</x:f>
        <x:v>0</x:v>
      </x:c>
      <x:c r="O1090" s="21" t="n">
        <x:f>MIN('Root Data'!I331:I333)</x:f>
        <x:v>0</x:v>
      </x:c>
      <x:c r="P1090" s="44" t="n">
        <x:f>IF(AND(L1090=1,M1090=1,N1090=1,O1090&gt;=G1090),K1090,0)</x:f>
        <x:v>0</x:v>
      </x:c>
      <x:c r="Q1090" s="21" t="str">
        <x:v>OPEN</x:v>
      </x:c>
      <x:c r="R1090" s="23" t="str">
        <x:v>HOLD</x:v>
      </x:c>
    </x:row>
    <x:row r="1091">
      <x:c r="B1091" s="21" t="str">
        <x:v>AR-01085</x:v>
      </x:c>
      <x:c r="C1091" s="21" t="str">
        <x:v>F28-I1</x:v>
      </x:c>
      <x:c r="D1091" s="21" t="str">
        <x:v>F28</x:v>
      </x:c>
      <x:c r="E1091" s="21" t="n">
        <x:v>5</x:v>
      </x:c>
      <x:c r="F1091" s="21" t="str">
        <x:v>Qualification and destructive evidence</x:v>
      </x:c>
      <x:c r="G1091" s="21" t="n">
        <x:v>21</x:v>
      </x:c>
      <x:c r="H1091" s="21" t="str">
        <x:v>Independent Evidence and Data Authority</x:v>
      </x:c>
      <x:c r="I1091" s="44" t="n">
        <x:f>Lifecycle!G11</x:f>
        <x:v>0.1515251334079979</x:v>
      </x:c>
      <x:c r="J1091" s="44" t="n">
        <x:v>0.08928571428571429</x:v>
      </x:c>
      <x:c r="K1091" s="44" t="n">
        <x:f>I1091*J1091</x:f>
        <x:v>0.013529029768571241</x:v>
      </x:c>
      <x:c r="L1091" s="46" t="n">
        <x:v>0</x:v>
      </x:c>
      <x:c r="M1091" s="46" t="n">
        <x:v>0</x:v>
      </x:c>
      <x:c r="N1091" s="21" t="n">
        <x:f>IF(AND(L1090=1,M1090=1,P1090&gt;0),1,0)</x:f>
        <x:v>0</x:v>
      </x:c>
      <x:c r="O1091" s="21" t="n">
        <x:f>MIN('Root Data'!I331:I333)</x:f>
        <x:v>0</x:v>
      </x:c>
      <x:c r="P1091" s="44" t="n">
        <x:f>IF(AND(L1091=1,M1091=1,N1091=1,O1091&gt;=G1091),K1091,0)</x:f>
        <x:v>0</x:v>
      </x:c>
      <x:c r="Q1091" s="21" t="str">
        <x:v>OPEN</x:v>
      </x:c>
      <x:c r="R1091" s="23" t="str">
        <x:v>HOLD</x:v>
      </x:c>
    </x:row>
    <x:row r="1092">
      <x:c r="B1092" s="21" t="str">
        <x:v>AR-01086</x:v>
      </x:c>
      <x:c r="C1092" s="21" t="str">
        <x:v>F28-I1</x:v>
      </x:c>
      <x:c r="D1092" s="21" t="str">
        <x:v>F28</x:v>
      </x:c>
      <x:c r="E1092" s="21" t="n">
        <x:v>6</x:v>
      </x:c>
      <x:c r="F1092" s="21" t="str">
        <x:v>Representative mission result</x:v>
      </x:c>
      <x:c r="G1092" s="21" t="n">
        <x:v>23</x:v>
      </x:c>
      <x:c r="H1092" s="21" t="str">
        <x:v>Receiving Service Authority</x:v>
      </x:c>
      <x:c r="I1092" s="44" t="n">
        <x:f>Lifecycle!G12</x:f>
        <x:v>0.250345872587127</x:v>
      </x:c>
      <x:c r="J1092" s="44" t="n">
        <x:v>0.08928571428571429</x:v>
      </x:c>
      <x:c r="K1092" s="44" t="n">
        <x:f>I1092*J1092</x:f>
        <x:v>0.022352310052422053</x:v>
      </x:c>
      <x:c r="L1092" s="46" t="n">
        <x:v>0</x:v>
      </x:c>
      <x:c r="M1092" s="46" t="n">
        <x:v>0</x:v>
      </x:c>
      <x:c r="N1092" s="21" t="n">
        <x:f>IF(AND(L1091=1,M1091=1,P1091&gt;0),1,0)</x:f>
        <x:v>0</x:v>
      </x:c>
      <x:c r="O1092" s="21" t="n">
        <x:f>MIN('Root Data'!I331:I333)</x:f>
        <x:v>0</x:v>
      </x:c>
      <x:c r="P1092" s="44" t="n">
        <x:f>IF(AND(L1092=1,M1092=1,N1092=1,O1092&gt;=G1092),K1092,0)</x:f>
        <x:v>0</x:v>
      </x:c>
      <x:c r="Q1092" s="21" t="str">
        <x:v>OPEN</x:v>
      </x:c>
      <x:c r="R1092" s="23" t="str">
        <x:v>HOLD</x:v>
      </x:c>
    </x:row>
    <x:row r="1093">
      <x:c r="B1093" s="21" t="str">
        <x:v>AR-01087</x:v>
      </x:c>
      <x:c r="C1093" s="21" t="str">
        <x:v>F28-I1</x:v>
      </x:c>
      <x:c r="D1093" s="21" t="str">
        <x:v>F28</x:v>
      </x:c>
      <x:c r="E1093" s="21" t="n">
        <x:v>7</x:v>
      </x:c>
      <x:c r="F1093" s="21" t="str">
        <x:v>Independent reproduction</x:v>
      </x:c>
      <x:c r="G1093" s="21" t="n">
        <x:v>28</x:v>
      </x:c>
      <x:c r="H1093" s="21" t="str">
        <x:v>Independent Evidence and Data Authority</x:v>
      </x:c>
      <x:c r="I1093" s="44" t="n">
        <x:f>Lifecycle!G13</x:f>
        <x:v>0.21740562619408393</x:v>
      </x:c>
      <x:c r="J1093" s="44" t="n">
        <x:v>0.08928571428571429</x:v>
      </x:c>
      <x:c r="K1093" s="44" t="n">
        <x:f>I1093*J1093</x:f>
        <x:v>0.019411216624471782</x:v>
      </x:c>
      <x:c r="L1093" s="46" t="n">
        <x:v>0</x:v>
      </x:c>
      <x:c r="M1093" s="46" t="n">
        <x:v>0</x:v>
      </x:c>
      <x:c r="N1093" s="21" t="n">
        <x:f>IF(AND(L1092=1,M1092=1,P1092&gt;0),1,0)</x:f>
        <x:v>0</x:v>
      </x:c>
      <x:c r="O1093" s="21" t="n">
        <x:f>MIN('Root Data'!I331:I333)</x:f>
        <x:v>0</x:v>
      </x:c>
      <x:c r="P1093" s="44" t="n">
        <x:f>IF(AND(L1093=1,M1093=1,N1093=1,O1093&gt;=G1093),K1093,0)</x:f>
        <x:v>0</x:v>
      </x:c>
      <x:c r="Q1093" s="21" t="str">
        <x:v>OPEN</x:v>
      </x:c>
      <x:c r="R1093" s="23" t="str">
        <x:v>HOLD</x:v>
      </x:c>
    </x:row>
    <x:row r="1094">
      <x:c r="B1094" s="21" t="str">
        <x:v>AR-01088</x:v>
      </x:c>
      <x:c r="C1094" s="21" t="str">
        <x:v>F28-I1</x:v>
      </x:c>
      <x:c r="D1094" s="21" t="str">
        <x:v>F28</x:v>
      </x:c>
      <x:c r="E1094" s="21" t="n">
        <x:v>8</x:v>
      </x:c>
      <x:c r="F1094" s="21" t="str">
        <x:v>Pilot-process qualification</x:v>
      </x:c>
      <x:c r="G1094" s="21" t="n">
        <x:v>28</x:v>
      </x:c>
      <x:c r="H1094" s="21" t="str">
        <x:v>AIMC Industrial Mobilization Authority</x:v>
      </x:c>
      <x:c r="I1094" s="44" t="n">
        <x:f>Lifecycle!G14</x:f>
        <x:v>0.03952829567165163</x:v>
      </x:c>
      <x:c r="J1094" s="44" t="n">
        <x:v>0.08928571428571429</x:v>
      </x:c>
      <x:c r="K1094" s="44" t="n">
        <x:f>I1094*J1094</x:f>
        <x:v>0.003529312113540324</x:v>
      </x:c>
      <x:c r="L1094" s="46" t="n">
        <x:v>0</x:v>
      </x:c>
      <x:c r="M1094" s="46" t="n">
        <x:v>0</x:v>
      </x:c>
      <x:c r="N1094" s="21" t="n">
        <x:f>IF(AND(L1093=1,M1093=1,P1093&gt;0),1,0)</x:f>
        <x:v>0</x:v>
      </x:c>
      <x:c r="O1094" s="21" t="n">
        <x:f>MIN('Root Data'!I331:I333)</x:f>
        <x:v>0</x:v>
      </x:c>
      <x:c r="P1094" s="44" t="n">
        <x:f>IF(AND(L1094=1,M1094=1,N1094=1,O1094&gt;=G1094),K1094,0)</x:f>
        <x:v>0</x:v>
      </x:c>
      <x:c r="Q1094" s="21" t="str">
        <x:v>OPEN</x:v>
      </x:c>
      <x:c r="R1094" s="23" t="str">
        <x:v>HOLD</x:v>
      </x:c>
    </x:row>
    <x:row r="1095">
      <x:c r="B1095" s="21" t="str">
        <x:v>AR-01089</x:v>
      </x:c>
      <x:c r="C1095" s="21" t="str">
        <x:v>F28-I1</x:v>
      </x:c>
      <x:c r="D1095" s="21" t="str">
        <x:v>F28</x:v>
      </x:c>
      <x:c r="E1095" s="21" t="n">
        <x:v>9</x:v>
      </x:c>
      <x:c r="F1095" s="21" t="str">
        <x:v>Production release package</x:v>
      </x:c>
      <x:c r="G1095" s="21" t="n">
        <x:v>28</x:v>
      </x:c>
      <x:c r="H1095" s="21" t="str">
        <x:v>Production Release Board</x:v>
      </x:c>
      <x:c r="I1095" s="44" t="n">
        <x:f>Lifecycle!G15</x:f>
        <x:v>0.01647012319652151</x:v>
      </x:c>
      <x:c r="J1095" s="44" t="n">
        <x:v>0.08928571428571429</x:v>
      </x:c>
      <x:c r="K1095" s="44" t="n">
        <x:f>I1095*J1095</x:f>
        <x:v>0.001470546713975135</x:v>
      </x:c>
      <x:c r="L1095" s="46" t="n">
        <x:v>0</x:v>
      </x:c>
      <x:c r="M1095" s="46" t="n">
        <x:v>0</x:v>
      </x:c>
      <x:c r="N1095" s="21" t="n">
        <x:f>IF(AND(L1094=1,M1094=1,P1094&gt;0),1,0)</x:f>
        <x:v>0</x:v>
      </x:c>
      <x:c r="O1095" s="21" t="n">
        <x:f>MIN('Root Data'!I331:I333)</x:f>
        <x:v>0</x:v>
      </x:c>
      <x:c r="P1095" s="44" t="n">
        <x:f>IF(AND(L1095=1,M1095=1,N1095=1,O1095&gt;=G1095),K1095,0)</x:f>
        <x:v>0</x:v>
      </x:c>
      <x:c r="Q1095" s="21" t="str">
        <x:v>OPEN</x:v>
      </x:c>
      <x:c r="R1095" s="23" t="str">
        <x:v>HOLD</x:v>
      </x:c>
    </x:row>
    <x:row r="1096">
      <x:c r="B1096" s="21" t="str">
        <x:v>AR-01090</x:v>
      </x:c>
      <x:c r="C1096" s="21" t="str">
        <x:v>F28-I1</x:v>
      </x:c>
      <x:c r="D1096" s="21" t="str">
        <x:v>F28</x:v>
      </x:c>
      <x:c r="E1096" s="21" t="n">
        <x:v>10</x:v>
      </x:c>
      <x:c r="F1096" s="21" t="str">
        <x:v>Mobilization activation</x:v>
      </x:c>
      <x:c r="G1096" s="21" t="n">
        <x:v>28</x:v>
      </x:c>
      <x:c r="H1096" s="21" t="str">
        <x:v>Production Release Board</x:v>
      </x:c>
      <x:c r="I1096" s="44" t="n">
        <x:f>Lifecycle!G16</x:f>
        <x:v>0.028262731405230914</x:v>
      </x:c>
      <x:c r="J1096" s="44" t="n">
        <x:v>0.08928571428571429</x:v>
      </x:c>
      <x:c r="K1096" s="44" t="n">
        <x:f>I1096*J1096</x:f>
        <x:v>0.002523458161181332</x:v>
      </x:c>
      <x:c r="L1096" s="46" t="n">
        <x:v>0</x:v>
      </x:c>
      <x:c r="M1096" s="46" t="n">
        <x:v>0</x:v>
      </x:c>
      <x:c r="N1096" s="21" t="n">
        <x:f>IF(AND(L1095=1,M1095=1,P1095&gt;0),1,0)</x:f>
        <x:v>0</x:v>
      </x:c>
      <x:c r="O1096" s="21" t="n">
        <x:f>MIN('Root Data'!I331:I333)</x:f>
        <x:v>0</x:v>
      </x:c>
      <x:c r="P1096" s="44" t="n">
        <x:f>IF(AND(L1096=1,M1096=1,N1096=1,O1096&gt;=G1096),K1096,0)</x:f>
        <x:v>0</x:v>
      </x:c>
      <x:c r="Q1096" s="21" t="str">
        <x:v>OPEN</x:v>
      </x:c>
      <x:c r="R1096" s="23" t="str">
        <x:v>HOLD</x:v>
      </x:c>
    </x:row>
    <x:row r="1097">
      <x:c r="B1097" s="21" t="str">
        <x:v>AR-01091</x:v>
      </x:c>
      <x:c r="C1097" s="21" t="str">
        <x:v>F28-I2</x:v>
      </x:c>
      <x:c r="D1097" s="21" t="str">
        <x:v>F28</x:v>
      </x:c>
      <x:c r="E1097" s="21" t="n">
        <x:v>1</x:v>
      </x:c>
      <x:c r="F1097" s="21" t="str">
        <x:v>Civil effect charter</x:v>
      </x:c>
      <x:c r="G1097" s="21" t="n">
        <x:v>0</x:v>
      </x:c>
      <x:c r="H1097" s="21" t="str">
        <x:v>Civil Guarantee Authority</x:v>
      </x:c>
      <x:c r="I1097" s="44" t="n">
        <x:f>Lifecycle!G7</x:f>
        <x:v>0.04941036958956453</x:v>
      </x:c>
      <x:c r="J1097" s="44" t="n">
        <x:v>0.08928571428571429</x:v>
      </x:c>
      <x:c r="K1097" s="44" t="n">
        <x:f>I1097*J1097</x:f>
        <x:v>0.004411640141925405</x:v>
      </x:c>
      <x:c r="L1097" s="46" t="n">
        <x:v>0</x:v>
      </x:c>
      <x:c r="M1097" s="46" t="n">
        <x:v>0</x:v>
      </x:c>
      <x:c r="N1097" s="21" t="n">
        <x:f>1</x:f>
        <x:v>1</x:v>
      </x:c>
      <x:c r="O1097" s="21" t="n">
        <x:f>MIN('Root Data'!I334:I336)</x:f>
        <x:v>0</x:v>
      </x:c>
      <x:c r="P1097" s="44" t="n">
        <x:f>IF(AND(L1097=1,M1097=1,N1097=1,O1097&gt;=G1097),K1097,0)</x:f>
        <x:v>0</x:v>
      </x:c>
      <x:c r="Q1097" s="21" t="str">
        <x:v>OPEN</x:v>
      </x:c>
      <x:c r="R1097" s="23" t="str">
        <x:v>HOLD</x:v>
      </x:c>
    </x:row>
    <x:row r="1098">
      <x:c r="B1098" s="21" t="str">
        <x:v>AR-01092</x:v>
      </x:c>
      <x:c r="C1098" s="21" t="str">
        <x:v>F28-I2</x:v>
      </x:c>
      <x:c r="D1098" s="21" t="str">
        <x:v>F28</x:v>
      </x:c>
      <x:c r="E1098" s="21" t="n">
        <x:v>2</x:v>
      </x:c>
      <x:c r="F1098" s="21" t="str">
        <x:v>Requirement and root-independence package</x:v>
      </x:c>
      <x:c r="G1098" s="21" t="n">
        <x:v>8</x:v>
      </x:c>
      <x:c r="H1098" s="21" t="str">
        <x:v>Resilience Staff</x:v>
      </x:c>
      <x:c r="I1098" s="44" t="n">
        <x:f>Lifecycle!G8</x:f>
        <x:v>0.10211476381843337</x:v>
      </x:c>
      <x:c r="J1098" s="44" t="n">
        <x:v>0.08928571428571429</x:v>
      </x:c>
      <x:c r="K1098" s="44" t="n">
        <x:f>I1098*J1098</x:f>
        <x:v>0.009117389626645838</x:v>
      </x:c>
      <x:c r="L1098" s="46" t="n">
        <x:v>0</x:v>
      </x:c>
      <x:c r="M1098" s="46" t="n">
        <x:v>0</x:v>
      </x:c>
      <x:c r="N1098" s="21" t="n">
        <x:f>IF(AND(L1097=1,M1097=1,P1097&gt;0),1,0)</x:f>
        <x:v>0</x:v>
      </x:c>
      <x:c r="O1098" s="21" t="n">
        <x:f>MIN('Root Data'!I334:I336)</x:f>
        <x:v>0</x:v>
      </x:c>
      <x:c r="P1098" s="44" t="n">
        <x:f>IF(AND(L1098=1,M1098=1,N1098=1,O1098&gt;=G1098),K1098,0)</x:f>
        <x:v>0</x:v>
      </x:c>
      <x:c r="Q1098" s="21" t="str">
        <x:v>OPEN</x:v>
      </x:c>
      <x:c r="R1098" s="23" t="str">
        <x:v>HOLD</x:v>
      </x:c>
    </x:row>
    <x:row r="1099">
      <x:c r="B1099" s="21" t="str">
        <x:v>AR-01093</x:v>
      </x:c>
      <x:c r="C1099" s="21" t="str">
        <x:v>F28-I2</x:v>
      </x:c>
      <x:c r="D1099" s="21" t="str">
        <x:v>F28</x:v>
      </x:c>
      <x:c r="E1099" s="21" t="n">
        <x:v>3</x:v>
      </x:c>
      <x:c r="F1099" s="21" t="str">
        <x:v>Architecture and burden closure</x:v>
      </x:c>
      <x:c r="G1099" s="21" t="n">
        <x:v>14</x:v>
      </x:c>
      <x:c r="H1099" s="21" t="str">
        <x:v>Independent Evidence and Data Authority</x:v>
      </x:c>
      <x:c r="I1099" s="44" t="n">
        <x:f>Lifecycle!G9</x:f>
        <x:v>0.08564464062191186</x:v>
      </x:c>
      <x:c r="J1099" s="44" t="n">
        <x:v>0.08928571428571429</x:v>
      </x:c>
      <x:c r="K1099" s="44" t="n">
        <x:f>I1099*J1099</x:f>
        <x:v>0.007646842912670702</x:v>
      </x:c>
      <x:c r="L1099" s="46" t="n">
        <x:v>0</x:v>
      </x:c>
      <x:c r="M1099" s="46" t="n">
        <x:v>0</x:v>
      </x:c>
      <x:c r="N1099" s="21" t="n">
        <x:f>IF(AND(L1098=1,M1098=1,P1098&gt;0),1,0)</x:f>
        <x:v>0</x:v>
      </x:c>
      <x:c r="O1099" s="21" t="n">
        <x:f>MIN('Root Data'!I334:I336)</x:f>
        <x:v>0</x:v>
      </x:c>
      <x:c r="P1099" s="44" t="n">
        <x:f>IF(AND(L1099=1,M1099=1,N1099=1,O1099&gt;=G1099),K1099,0)</x:f>
        <x:v>0</x:v>
      </x:c>
      <x:c r="Q1099" s="21" t="str">
        <x:v>OPEN</x:v>
      </x:c>
      <x:c r="R1099" s="23" t="str">
        <x:v>HOLD</x:v>
      </x:c>
    </x:row>
    <x:row r="1100">
      <x:c r="B1100" s="21" t="str">
        <x:v>AR-01094</x:v>
      </x:c>
      <x:c r="C1100" s="21" t="str">
        <x:v>F28-I2</x:v>
      </x:c>
      <x:c r="D1100" s="21" t="str">
        <x:v>F28</x:v>
      </x:c>
      <x:c r="E1100" s="21" t="n">
        <x:v>4</x:v>
      </x:c>
      <x:c r="F1100" s="21" t="str">
        <x:v>Engineering article acceptance</x:v>
      </x:c>
      <x:c r="G1100" s="21" t="n">
        <x:v>18</x:v>
      </x:c>
      <x:c r="H1100" s="21" t="str">
        <x:v>Independent Evidence and Data Authority</x:v>
      </x:c>
      <x:c r="I1100" s="44" t="n">
        <x:f>Lifecycle!G10</x:f>
        <x:v>0.05929244350747744</x:v>
      </x:c>
      <x:c r="J1100" s="44" t="n">
        <x:v>0.08928571428571429</x:v>
      </x:c>
      <x:c r="K1100" s="44" t="n">
        <x:f>I1100*J1100</x:f>
        <x:v>0.005293968170310486</x:v>
      </x:c>
      <x:c r="L1100" s="46" t="n">
        <x:v>0</x:v>
      </x:c>
      <x:c r="M1100" s="46" t="n">
        <x:v>0</x:v>
      </x:c>
      <x:c r="N1100" s="21" t="n">
        <x:f>IF(AND(L1099=1,M1099=1,P1099&gt;0),1,0)</x:f>
        <x:v>0</x:v>
      </x:c>
      <x:c r="O1100" s="21" t="n">
        <x:f>MIN('Root Data'!I334:I336)</x:f>
        <x:v>0</x:v>
      </x:c>
      <x:c r="P1100" s="44" t="n">
        <x:f>IF(AND(L1100=1,M1100=1,N1100=1,O1100&gt;=G1100),K1100,0)</x:f>
        <x:v>0</x:v>
      </x:c>
      <x:c r="Q1100" s="21" t="str">
        <x:v>OPEN</x:v>
      </x:c>
      <x:c r="R1100" s="23" t="str">
        <x:v>HOLD</x:v>
      </x:c>
    </x:row>
    <x:row r="1101">
      <x:c r="B1101" s="21" t="str">
        <x:v>AR-01095</x:v>
      </x:c>
      <x:c r="C1101" s="21" t="str">
        <x:v>F28-I2</x:v>
      </x:c>
      <x:c r="D1101" s="21" t="str">
        <x:v>F28</x:v>
      </x:c>
      <x:c r="E1101" s="21" t="n">
        <x:v>5</x:v>
      </x:c>
      <x:c r="F1101" s="21" t="str">
        <x:v>Qualification and destructive evidence</x:v>
      </x:c>
      <x:c r="G1101" s="21" t="n">
        <x:v>21</x:v>
      </x:c>
      <x:c r="H1101" s="21" t="str">
        <x:v>Independent Evidence and Data Authority</x:v>
      </x:c>
      <x:c r="I1101" s="44" t="n">
        <x:f>Lifecycle!G11</x:f>
        <x:v>0.1515251334079979</x:v>
      </x:c>
      <x:c r="J1101" s="44" t="n">
        <x:v>0.08928571428571429</x:v>
      </x:c>
      <x:c r="K1101" s="44" t="n">
        <x:f>I1101*J1101</x:f>
        <x:v>0.013529029768571241</x:v>
      </x:c>
      <x:c r="L1101" s="46" t="n">
        <x:v>0</x:v>
      </x:c>
      <x:c r="M1101" s="46" t="n">
        <x:v>0</x:v>
      </x:c>
      <x:c r="N1101" s="21" t="n">
        <x:f>IF(AND(L1100=1,M1100=1,P1100&gt;0),1,0)</x:f>
        <x:v>0</x:v>
      </x:c>
      <x:c r="O1101" s="21" t="n">
        <x:f>MIN('Root Data'!I334:I336)</x:f>
        <x:v>0</x:v>
      </x:c>
      <x:c r="P1101" s="44" t="n">
        <x:f>IF(AND(L1101=1,M1101=1,N1101=1,O1101&gt;=G1101),K1101,0)</x:f>
        <x:v>0</x:v>
      </x:c>
      <x:c r="Q1101" s="21" t="str">
        <x:v>OPEN</x:v>
      </x:c>
      <x:c r="R1101" s="23" t="str">
        <x:v>HOLD</x:v>
      </x:c>
    </x:row>
    <x:row r="1102">
      <x:c r="B1102" s="21" t="str">
        <x:v>AR-01096</x:v>
      </x:c>
      <x:c r="C1102" s="21" t="str">
        <x:v>F28-I2</x:v>
      </x:c>
      <x:c r="D1102" s="21" t="str">
        <x:v>F28</x:v>
      </x:c>
      <x:c r="E1102" s="21" t="n">
        <x:v>6</x:v>
      </x:c>
      <x:c r="F1102" s="21" t="str">
        <x:v>Representative mission result</x:v>
      </x:c>
      <x:c r="G1102" s="21" t="n">
        <x:v>23</x:v>
      </x:c>
      <x:c r="H1102" s="21" t="str">
        <x:v>Receiving Service Authority</x:v>
      </x:c>
      <x:c r="I1102" s="44" t="n">
        <x:f>Lifecycle!G12</x:f>
        <x:v>0.250345872587127</x:v>
      </x:c>
      <x:c r="J1102" s="44" t="n">
        <x:v>0.08928571428571429</x:v>
      </x:c>
      <x:c r="K1102" s="44" t="n">
        <x:f>I1102*J1102</x:f>
        <x:v>0.022352310052422053</x:v>
      </x:c>
      <x:c r="L1102" s="46" t="n">
        <x:v>0</x:v>
      </x:c>
      <x:c r="M1102" s="46" t="n">
        <x:v>0</x:v>
      </x:c>
      <x:c r="N1102" s="21" t="n">
        <x:f>IF(AND(L1101=1,M1101=1,P1101&gt;0),1,0)</x:f>
        <x:v>0</x:v>
      </x:c>
      <x:c r="O1102" s="21" t="n">
        <x:f>MIN('Root Data'!I334:I336)</x:f>
        <x:v>0</x:v>
      </x:c>
      <x:c r="P1102" s="44" t="n">
        <x:f>IF(AND(L1102=1,M1102=1,N1102=1,O1102&gt;=G1102),K1102,0)</x:f>
        <x:v>0</x:v>
      </x:c>
      <x:c r="Q1102" s="21" t="str">
        <x:v>OPEN</x:v>
      </x:c>
      <x:c r="R1102" s="23" t="str">
        <x:v>HOLD</x:v>
      </x:c>
    </x:row>
    <x:row r="1103">
      <x:c r="B1103" s="21" t="str">
        <x:v>AR-01097</x:v>
      </x:c>
      <x:c r="C1103" s="21" t="str">
        <x:v>F28-I2</x:v>
      </x:c>
      <x:c r="D1103" s="21" t="str">
        <x:v>F28</x:v>
      </x:c>
      <x:c r="E1103" s="21" t="n">
        <x:v>7</x:v>
      </x:c>
      <x:c r="F1103" s="21" t="str">
        <x:v>Independent reproduction</x:v>
      </x:c>
      <x:c r="G1103" s="21" t="n">
        <x:v>28</x:v>
      </x:c>
      <x:c r="H1103" s="21" t="str">
        <x:v>Independent Evidence and Data Authority</x:v>
      </x:c>
      <x:c r="I1103" s="44" t="n">
        <x:f>Lifecycle!G13</x:f>
        <x:v>0.21740562619408393</x:v>
      </x:c>
      <x:c r="J1103" s="44" t="n">
        <x:v>0.08928571428571429</x:v>
      </x:c>
      <x:c r="K1103" s="44" t="n">
        <x:f>I1103*J1103</x:f>
        <x:v>0.019411216624471782</x:v>
      </x:c>
      <x:c r="L1103" s="46" t="n">
        <x:v>0</x:v>
      </x:c>
      <x:c r="M1103" s="46" t="n">
        <x:v>0</x:v>
      </x:c>
      <x:c r="N1103" s="21" t="n">
        <x:f>IF(AND(L1102=1,M1102=1,P1102&gt;0),1,0)</x:f>
        <x:v>0</x:v>
      </x:c>
      <x:c r="O1103" s="21" t="n">
        <x:f>MIN('Root Data'!I334:I336)</x:f>
        <x:v>0</x:v>
      </x:c>
      <x:c r="P1103" s="44" t="n">
        <x:f>IF(AND(L1103=1,M1103=1,N1103=1,O1103&gt;=G1103),K1103,0)</x:f>
        <x:v>0</x:v>
      </x:c>
      <x:c r="Q1103" s="21" t="str">
        <x:v>OPEN</x:v>
      </x:c>
      <x:c r="R1103" s="23" t="str">
        <x:v>HOLD</x:v>
      </x:c>
    </x:row>
    <x:row r="1104">
      <x:c r="B1104" s="21" t="str">
        <x:v>AR-01098</x:v>
      </x:c>
      <x:c r="C1104" s="21" t="str">
        <x:v>F28-I2</x:v>
      </x:c>
      <x:c r="D1104" s="21" t="str">
        <x:v>F28</x:v>
      </x:c>
      <x:c r="E1104" s="21" t="n">
        <x:v>8</x:v>
      </x:c>
      <x:c r="F1104" s="21" t="str">
        <x:v>Pilot-process qualification</x:v>
      </x:c>
      <x:c r="G1104" s="21" t="n">
        <x:v>28</x:v>
      </x:c>
      <x:c r="H1104" s="21" t="str">
        <x:v>AIMC Industrial Mobilization Authority</x:v>
      </x:c>
      <x:c r="I1104" s="44" t="n">
        <x:f>Lifecycle!G14</x:f>
        <x:v>0.03952829567165163</x:v>
      </x:c>
      <x:c r="J1104" s="44" t="n">
        <x:v>0.08928571428571429</x:v>
      </x:c>
      <x:c r="K1104" s="44" t="n">
        <x:f>I1104*J1104</x:f>
        <x:v>0.003529312113540324</x:v>
      </x:c>
      <x:c r="L1104" s="46" t="n">
        <x:v>0</x:v>
      </x:c>
      <x:c r="M1104" s="46" t="n">
        <x:v>0</x:v>
      </x:c>
      <x:c r="N1104" s="21" t="n">
        <x:f>IF(AND(L1103=1,M1103=1,P1103&gt;0),1,0)</x:f>
        <x:v>0</x:v>
      </x:c>
      <x:c r="O1104" s="21" t="n">
        <x:f>MIN('Root Data'!I334:I336)</x:f>
        <x:v>0</x:v>
      </x:c>
      <x:c r="P1104" s="44" t="n">
        <x:f>IF(AND(L1104=1,M1104=1,N1104=1,O1104&gt;=G1104),K1104,0)</x:f>
        <x:v>0</x:v>
      </x:c>
      <x:c r="Q1104" s="21" t="str">
        <x:v>OPEN</x:v>
      </x:c>
      <x:c r="R1104" s="23" t="str">
        <x:v>HOLD</x:v>
      </x:c>
    </x:row>
    <x:row r="1105">
      <x:c r="B1105" s="21" t="str">
        <x:v>AR-01099</x:v>
      </x:c>
      <x:c r="C1105" s="21" t="str">
        <x:v>F28-I2</x:v>
      </x:c>
      <x:c r="D1105" s="21" t="str">
        <x:v>F28</x:v>
      </x:c>
      <x:c r="E1105" s="21" t="n">
        <x:v>9</x:v>
      </x:c>
      <x:c r="F1105" s="21" t="str">
        <x:v>Production release package</x:v>
      </x:c>
      <x:c r="G1105" s="21" t="n">
        <x:v>28</x:v>
      </x:c>
      <x:c r="H1105" s="21" t="str">
        <x:v>Production Release Board</x:v>
      </x:c>
      <x:c r="I1105" s="44" t="n">
        <x:f>Lifecycle!G15</x:f>
        <x:v>0.01647012319652151</x:v>
      </x:c>
      <x:c r="J1105" s="44" t="n">
        <x:v>0.08928571428571429</x:v>
      </x:c>
      <x:c r="K1105" s="44" t="n">
        <x:f>I1105*J1105</x:f>
        <x:v>0.001470546713975135</x:v>
      </x:c>
      <x:c r="L1105" s="46" t="n">
        <x:v>0</x:v>
      </x:c>
      <x:c r="M1105" s="46" t="n">
        <x:v>0</x:v>
      </x:c>
      <x:c r="N1105" s="21" t="n">
        <x:f>IF(AND(L1104=1,M1104=1,P1104&gt;0),1,0)</x:f>
        <x:v>0</x:v>
      </x:c>
      <x:c r="O1105" s="21" t="n">
        <x:f>MIN('Root Data'!I334:I336)</x:f>
        <x:v>0</x:v>
      </x:c>
      <x:c r="P1105" s="44" t="n">
        <x:f>IF(AND(L1105=1,M1105=1,N1105=1,O1105&gt;=G1105),K1105,0)</x:f>
        <x:v>0</x:v>
      </x:c>
      <x:c r="Q1105" s="21" t="str">
        <x:v>OPEN</x:v>
      </x:c>
      <x:c r="R1105" s="23" t="str">
        <x:v>HOLD</x:v>
      </x:c>
    </x:row>
    <x:row r="1106">
      <x:c r="B1106" s="21" t="str">
        <x:v>AR-01100</x:v>
      </x:c>
      <x:c r="C1106" s="21" t="str">
        <x:v>F28-I2</x:v>
      </x:c>
      <x:c r="D1106" s="21" t="str">
        <x:v>F28</x:v>
      </x:c>
      <x:c r="E1106" s="21" t="n">
        <x:v>10</x:v>
      </x:c>
      <x:c r="F1106" s="21" t="str">
        <x:v>Mobilization activation</x:v>
      </x:c>
      <x:c r="G1106" s="21" t="n">
        <x:v>28</x:v>
      </x:c>
      <x:c r="H1106" s="21" t="str">
        <x:v>Production Release Board</x:v>
      </x:c>
      <x:c r="I1106" s="44" t="n">
        <x:f>Lifecycle!G16</x:f>
        <x:v>0.028262731405230914</x:v>
      </x:c>
      <x:c r="J1106" s="44" t="n">
        <x:v>0.08928571428571429</x:v>
      </x:c>
      <x:c r="K1106" s="44" t="n">
        <x:f>I1106*J1106</x:f>
        <x:v>0.002523458161181332</x:v>
      </x:c>
      <x:c r="L1106" s="46" t="n">
        <x:v>0</x:v>
      </x:c>
      <x:c r="M1106" s="46" t="n">
        <x:v>0</x:v>
      </x:c>
      <x:c r="N1106" s="21" t="n">
        <x:f>IF(AND(L1105=1,M1105=1,P1105&gt;0),1,0)</x:f>
        <x:v>0</x:v>
      </x:c>
      <x:c r="O1106" s="21" t="n">
        <x:f>MIN('Root Data'!I334:I336)</x:f>
        <x:v>0</x:v>
      </x:c>
      <x:c r="P1106" s="44" t="n">
        <x:f>IF(AND(L1106=1,M1106=1,N1106=1,O1106&gt;=G1106),K1106,0)</x:f>
        <x:v>0</x:v>
      </x:c>
      <x:c r="Q1106" s="21" t="str">
        <x:v>OPEN</x:v>
      </x:c>
      <x:c r="R1106" s="23" t="str">
        <x:v>HOLD</x:v>
      </x:c>
    </x:row>
    <x:row r="1107">
      <x:c r="B1107" s="21" t="str">
        <x:v>AR-01101</x:v>
      </x:c>
      <x:c r="C1107" s="21" t="str">
        <x:v>F28-I3</x:v>
      </x:c>
      <x:c r="D1107" s="21" t="str">
        <x:v>F28</x:v>
      </x:c>
      <x:c r="E1107" s="21" t="n">
        <x:v>1</x:v>
      </x:c>
      <x:c r="F1107" s="21" t="str">
        <x:v>Civil effect charter</x:v>
      </x:c>
      <x:c r="G1107" s="21" t="n">
        <x:v>0</x:v>
      </x:c>
      <x:c r="H1107" s="21" t="str">
        <x:v>Civil Guarantee Authority</x:v>
      </x:c>
      <x:c r="I1107" s="44" t="n">
        <x:f>Lifecycle!G7</x:f>
        <x:v>0.04941036958956453</x:v>
      </x:c>
      <x:c r="J1107" s="44" t="n">
        <x:v>0.08928571428571429</x:v>
      </x:c>
      <x:c r="K1107" s="44" t="n">
        <x:f>I1107*J1107</x:f>
        <x:v>0.004411640141925405</x:v>
      </x:c>
      <x:c r="L1107" s="46" t="n">
        <x:v>0</x:v>
      </x:c>
      <x:c r="M1107" s="46" t="n">
        <x:v>0</x:v>
      </x:c>
      <x:c r="N1107" s="21" t="n">
        <x:f>1</x:f>
        <x:v>1</x:v>
      </x:c>
      <x:c r="O1107" s="21" t="n">
        <x:f>MIN('Root Data'!I337:I339)</x:f>
        <x:v>0</x:v>
      </x:c>
      <x:c r="P1107" s="44" t="n">
        <x:f>IF(AND(L1107=1,M1107=1,N1107=1,O1107&gt;=G1107),K1107,0)</x:f>
        <x:v>0</x:v>
      </x:c>
      <x:c r="Q1107" s="21" t="str">
        <x:v>OPEN</x:v>
      </x:c>
      <x:c r="R1107" s="23" t="str">
        <x:v>HOLD</x:v>
      </x:c>
    </x:row>
    <x:row r="1108">
      <x:c r="B1108" s="21" t="str">
        <x:v>AR-01102</x:v>
      </x:c>
      <x:c r="C1108" s="21" t="str">
        <x:v>F28-I3</x:v>
      </x:c>
      <x:c r="D1108" s="21" t="str">
        <x:v>F28</x:v>
      </x:c>
      <x:c r="E1108" s="21" t="n">
        <x:v>2</x:v>
      </x:c>
      <x:c r="F1108" s="21" t="str">
        <x:v>Requirement and root-independence package</x:v>
      </x:c>
      <x:c r="G1108" s="21" t="n">
        <x:v>8</x:v>
      </x:c>
      <x:c r="H1108" s="21" t="str">
        <x:v>Resilience Staff</x:v>
      </x:c>
      <x:c r="I1108" s="44" t="n">
        <x:f>Lifecycle!G8</x:f>
        <x:v>0.10211476381843337</x:v>
      </x:c>
      <x:c r="J1108" s="44" t="n">
        <x:v>0.08928571428571429</x:v>
      </x:c>
      <x:c r="K1108" s="44" t="n">
        <x:f>I1108*J1108</x:f>
        <x:v>0.009117389626645838</x:v>
      </x:c>
      <x:c r="L1108" s="46" t="n">
        <x:v>0</x:v>
      </x:c>
      <x:c r="M1108" s="46" t="n">
        <x:v>0</x:v>
      </x:c>
      <x:c r="N1108" s="21" t="n">
        <x:f>IF(AND(L1107=1,M1107=1,P1107&gt;0),1,0)</x:f>
        <x:v>0</x:v>
      </x:c>
      <x:c r="O1108" s="21" t="n">
        <x:f>MIN('Root Data'!I337:I339)</x:f>
        <x:v>0</x:v>
      </x:c>
      <x:c r="P1108" s="44" t="n">
        <x:f>IF(AND(L1108=1,M1108=1,N1108=1,O1108&gt;=G1108),K1108,0)</x:f>
        <x:v>0</x:v>
      </x:c>
      <x:c r="Q1108" s="21" t="str">
        <x:v>OPEN</x:v>
      </x:c>
      <x:c r="R1108" s="23" t="str">
        <x:v>HOLD</x:v>
      </x:c>
    </x:row>
    <x:row r="1109">
      <x:c r="B1109" s="21" t="str">
        <x:v>AR-01103</x:v>
      </x:c>
      <x:c r="C1109" s="21" t="str">
        <x:v>F28-I3</x:v>
      </x:c>
      <x:c r="D1109" s="21" t="str">
        <x:v>F28</x:v>
      </x:c>
      <x:c r="E1109" s="21" t="n">
        <x:v>3</x:v>
      </x:c>
      <x:c r="F1109" s="21" t="str">
        <x:v>Architecture and burden closure</x:v>
      </x:c>
      <x:c r="G1109" s="21" t="n">
        <x:v>14</x:v>
      </x:c>
      <x:c r="H1109" s="21" t="str">
        <x:v>Independent Evidence and Data Authority</x:v>
      </x:c>
      <x:c r="I1109" s="44" t="n">
        <x:f>Lifecycle!G9</x:f>
        <x:v>0.08564464062191186</x:v>
      </x:c>
      <x:c r="J1109" s="44" t="n">
        <x:v>0.08928571428571429</x:v>
      </x:c>
      <x:c r="K1109" s="44" t="n">
        <x:f>I1109*J1109</x:f>
        <x:v>0.007646842912670702</x:v>
      </x:c>
      <x:c r="L1109" s="46" t="n">
        <x:v>0</x:v>
      </x:c>
      <x:c r="M1109" s="46" t="n">
        <x:v>0</x:v>
      </x:c>
      <x:c r="N1109" s="21" t="n">
        <x:f>IF(AND(L1108=1,M1108=1,P1108&gt;0),1,0)</x:f>
        <x:v>0</x:v>
      </x:c>
      <x:c r="O1109" s="21" t="n">
        <x:f>MIN('Root Data'!I337:I339)</x:f>
        <x:v>0</x:v>
      </x:c>
      <x:c r="P1109" s="44" t="n">
        <x:f>IF(AND(L1109=1,M1109=1,N1109=1,O1109&gt;=G1109),K1109,0)</x:f>
        <x:v>0</x:v>
      </x:c>
      <x:c r="Q1109" s="21" t="str">
        <x:v>OPEN</x:v>
      </x:c>
      <x:c r="R1109" s="23" t="str">
        <x:v>HOLD</x:v>
      </x:c>
    </x:row>
    <x:row r="1110">
      <x:c r="B1110" s="21" t="str">
        <x:v>AR-01104</x:v>
      </x:c>
      <x:c r="C1110" s="21" t="str">
        <x:v>F28-I3</x:v>
      </x:c>
      <x:c r="D1110" s="21" t="str">
        <x:v>F28</x:v>
      </x:c>
      <x:c r="E1110" s="21" t="n">
        <x:v>4</x:v>
      </x:c>
      <x:c r="F1110" s="21" t="str">
        <x:v>Engineering article acceptance</x:v>
      </x:c>
      <x:c r="G1110" s="21" t="n">
        <x:v>18</x:v>
      </x:c>
      <x:c r="H1110" s="21" t="str">
        <x:v>Independent Evidence and Data Authority</x:v>
      </x:c>
      <x:c r="I1110" s="44" t="n">
        <x:f>Lifecycle!G10</x:f>
        <x:v>0.05929244350747744</x:v>
      </x:c>
      <x:c r="J1110" s="44" t="n">
        <x:v>0.08928571428571429</x:v>
      </x:c>
      <x:c r="K1110" s="44" t="n">
        <x:f>I1110*J1110</x:f>
        <x:v>0.005293968170310486</x:v>
      </x:c>
      <x:c r="L1110" s="46" t="n">
        <x:v>0</x:v>
      </x:c>
      <x:c r="M1110" s="46" t="n">
        <x:v>0</x:v>
      </x:c>
      <x:c r="N1110" s="21" t="n">
        <x:f>IF(AND(L1109=1,M1109=1,P1109&gt;0),1,0)</x:f>
        <x:v>0</x:v>
      </x:c>
      <x:c r="O1110" s="21" t="n">
        <x:f>MIN('Root Data'!I337:I339)</x:f>
        <x:v>0</x:v>
      </x:c>
      <x:c r="P1110" s="44" t="n">
        <x:f>IF(AND(L1110=1,M1110=1,N1110=1,O1110&gt;=G1110),K1110,0)</x:f>
        <x:v>0</x:v>
      </x:c>
      <x:c r="Q1110" s="21" t="str">
        <x:v>OPEN</x:v>
      </x:c>
      <x:c r="R1110" s="23" t="str">
        <x:v>HOLD</x:v>
      </x:c>
    </x:row>
    <x:row r="1111">
      <x:c r="B1111" s="21" t="str">
        <x:v>AR-01105</x:v>
      </x:c>
      <x:c r="C1111" s="21" t="str">
        <x:v>F28-I3</x:v>
      </x:c>
      <x:c r="D1111" s="21" t="str">
        <x:v>F28</x:v>
      </x:c>
      <x:c r="E1111" s="21" t="n">
        <x:v>5</x:v>
      </x:c>
      <x:c r="F1111" s="21" t="str">
        <x:v>Qualification and destructive evidence</x:v>
      </x:c>
      <x:c r="G1111" s="21" t="n">
        <x:v>21</x:v>
      </x:c>
      <x:c r="H1111" s="21" t="str">
        <x:v>Independent Evidence and Data Authority</x:v>
      </x:c>
      <x:c r="I1111" s="44" t="n">
        <x:f>Lifecycle!G11</x:f>
        <x:v>0.1515251334079979</x:v>
      </x:c>
      <x:c r="J1111" s="44" t="n">
        <x:v>0.08928571428571429</x:v>
      </x:c>
      <x:c r="K1111" s="44" t="n">
        <x:f>I1111*J1111</x:f>
        <x:v>0.013529029768571241</x:v>
      </x:c>
      <x:c r="L1111" s="46" t="n">
        <x:v>0</x:v>
      </x:c>
      <x:c r="M1111" s="46" t="n">
        <x:v>0</x:v>
      </x:c>
      <x:c r="N1111" s="21" t="n">
        <x:f>IF(AND(L1110=1,M1110=1,P1110&gt;0),1,0)</x:f>
        <x:v>0</x:v>
      </x:c>
      <x:c r="O1111" s="21" t="n">
        <x:f>MIN('Root Data'!I337:I339)</x:f>
        <x:v>0</x:v>
      </x:c>
      <x:c r="P1111" s="44" t="n">
        <x:f>IF(AND(L1111=1,M1111=1,N1111=1,O1111&gt;=G1111),K1111,0)</x:f>
        <x:v>0</x:v>
      </x:c>
      <x:c r="Q1111" s="21" t="str">
        <x:v>OPEN</x:v>
      </x:c>
      <x:c r="R1111" s="23" t="str">
        <x:v>HOLD</x:v>
      </x:c>
    </x:row>
    <x:row r="1112">
      <x:c r="B1112" s="21" t="str">
        <x:v>AR-01106</x:v>
      </x:c>
      <x:c r="C1112" s="21" t="str">
        <x:v>F28-I3</x:v>
      </x:c>
      <x:c r="D1112" s="21" t="str">
        <x:v>F28</x:v>
      </x:c>
      <x:c r="E1112" s="21" t="n">
        <x:v>6</x:v>
      </x:c>
      <x:c r="F1112" s="21" t="str">
        <x:v>Representative mission result</x:v>
      </x:c>
      <x:c r="G1112" s="21" t="n">
        <x:v>23</x:v>
      </x:c>
      <x:c r="H1112" s="21" t="str">
        <x:v>Receiving Service Authority</x:v>
      </x:c>
      <x:c r="I1112" s="44" t="n">
        <x:f>Lifecycle!G12</x:f>
        <x:v>0.250345872587127</x:v>
      </x:c>
      <x:c r="J1112" s="44" t="n">
        <x:v>0.08928571428571429</x:v>
      </x:c>
      <x:c r="K1112" s="44" t="n">
        <x:f>I1112*J1112</x:f>
        <x:v>0.022352310052422053</x:v>
      </x:c>
      <x:c r="L1112" s="46" t="n">
        <x:v>0</x:v>
      </x:c>
      <x:c r="M1112" s="46" t="n">
        <x:v>0</x:v>
      </x:c>
      <x:c r="N1112" s="21" t="n">
        <x:f>IF(AND(L1111=1,M1111=1,P1111&gt;0),1,0)</x:f>
        <x:v>0</x:v>
      </x:c>
      <x:c r="O1112" s="21" t="n">
        <x:f>MIN('Root Data'!I337:I339)</x:f>
        <x:v>0</x:v>
      </x:c>
      <x:c r="P1112" s="44" t="n">
        <x:f>IF(AND(L1112=1,M1112=1,N1112=1,O1112&gt;=G1112),K1112,0)</x:f>
        <x:v>0</x:v>
      </x:c>
      <x:c r="Q1112" s="21" t="str">
        <x:v>OPEN</x:v>
      </x:c>
      <x:c r="R1112" s="23" t="str">
        <x:v>HOLD</x:v>
      </x:c>
    </x:row>
    <x:row r="1113">
      <x:c r="B1113" s="21" t="str">
        <x:v>AR-01107</x:v>
      </x:c>
      <x:c r="C1113" s="21" t="str">
        <x:v>F28-I3</x:v>
      </x:c>
      <x:c r="D1113" s="21" t="str">
        <x:v>F28</x:v>
      </x:c>
      <x:c r="E1113" s="21" t="n">
        <x:v>7</x:v>
      </x:c>
      <x:c r="F1113" s="21" t="str">
        <x:v>Independent reproduction</x:v>
      </x:c>
      <x:c r="G1113" s="21" t="n">
        <x:v>28</x:v>
      </x:c>
      <x:c r="H1113" s="21" t="str">
        <x:v>Independent Evidence and Data Authority</x:v>
      </x:c>
      <x:c r="I1113" s="44" t="n">
        <x:f>Lifecycle!G13</x:f>
        <x:v>0.21740562619408393</x:v>
      </x:c>
      <x:c r="J1113" s="44" t="n">
        <x:v>0.08928571428571429</x:v>
      </x:c>
      <x:c r="K1113" s="44" t="n">
        <x:f>I1113*J1113</x:f>
        <x:v>0.019411216624471782</x:v>
      </x:c>
      <x:c r="L1113" s="46" t="n">
        <x:v>0</x:v>
      </x:c>
      <x:c r="M1113" s="46" t="n">
        <x:v>0</x:v>
      </x:c>
      <x:c r="N1113" s="21" t="n">
        <x:f>IF(AND(L1112=1,M1112=1,P1112&gt;0),1,0)</x:f>
        <x:v>0</x:v>
      </x:c>
      <x:c r="O1113" s="21" t="n">
        <x:f>MIN('Root Data'!I337:I339)</x:f>
        <x:v>0</x:v>
      </x:c>
      <x:c r="P1113" s="44" t="n">
        <x:f>IF(AND(L1113=1,M1113=1,N1113=1,O1113&gt;=G1113),K1113,0)</x:f>
        <x:v>0</x:v>
      </x:c>
      <x:c r="Q1113" s="21" t="str">
        <x:v>OPEN</x:v>
      </x:c>
      <x:c r="R1113" s="23" t="str">
        <x:v>HOLD</x:v>
      </x:c>
    </x:row>
    <x:row r="1114">
      <x:c r="B1114" s="21" t="str">
        <x:v>AR-01108</x:v>
      </x:c>
      <x:c r="C1114" s="21" t="str">
        <x:v>F28-I3</x:v>
      </x:c>
      <x:c r="D1114" s="21" t="str">
        <x:v>F28</x:v>
      </x:c>
      <x:c r="E1114" s="21" t="n">
        <x:v>8</x:v>
      </x:c>
      <x:c r="F1114" s="21" t="str">
        <x:v>Pilot-process qualification</x:v>
      </x:c>
      <x:c r="G1114" s="21" t="n">
        <x:v>28</x:v>
      </x:c>
      <x:c r="H1114" s="21" t="str">
        <x:v>AIMC Industrial Mobilization Authority</x:v>
      </x:c>
      <x:c r="I1114" s="44" t="n">
        <x:f>Lifecycle!G14</x:f>
        <x:v>0.03952829567165163</x:v>
      </x:c>
      <x:c r="J1114" s="44" t="n">
        <x:v>0.08928571428571429</x:v>
      </x:c>
      <x:c r="K1114" s="44" t="n">
        <x:f>I1114*J1114</x:f>
        <x:v>0.003529312113540324</x:v>
      </x:c>
      <x:c r="L1114" s="46" t="n">
        <x:v>0</x:v>
      </x:c>
      <x:c r="M1114" s="46" t="n">
        <x:v>0</x:v>
      </x:c>
      <x:c r="N1114" s="21" t="n">
        <x:f>IF(AND(L1113=1,M1113=1,P1113&gt;0),1,0)</x:f>
        <x:v>0</x:v>
      </x:c>
      <x:c r="O1114" s="21" t="n">
        <x:f>MIN('Root Data'!I337:I339)</x:f>
        <x:v>0</x:v>
      </x:c>
      <x:c r="P1114" s="44" t="n">
        <x:f>IF(AND(L1114=1,M1114=1,N1114=1,O1114&gt;=G1114),K1114,0)</x:f>
        <x:v>0</x:v>
      </x:c>
      <x:c r="Q1114" s="21" t="str">
        <x:v>OPEN</x:v>
      </x:c>
      <x:c r="R1114" s="23" t="str">
        <x:v>HOLD</x:v>
      </x:c>
    </x:row>
    <x:row r="1115">
      <x:c r="B1115" s="21" t="str">
        <x:v>AR-01109</x:v>
      </x:c>
      <x:c r="C1115" s="21" t="str">
        <x:v>F28-I3</x:v>
      </x:c>
      <x:c r="D1115" s="21" t="str">
        <x:v>F28</x:v>
      </x:c>
      <x:c r="E1115" s="21" t="n">
        <x:v>9</x:v>
      </x:c>
      <x:c r="F1115" s="21" t="str">
        <x:v>Production release package</x:v>
      </x:c>
      <x:c r="G1115" s="21" t="n">
        <x:v>28</x:v>
      </x:c>
      <x:c r="H1115" s="21" t="str">
        <x:v>Production Release Board</x:v>
      </x:c>
      <x:c r="I1115" s="44" t="n">
        <x:f>Lifecycle!G15</x:f>
        <x:v>0.01647012319652151</x:v>
      </x:c>
      <x:c r="J1115" s="44" t="n">
        <x:v>0.08928571428571429</x:v>
      </x:c>
      <x:c r="K1115" s="44" t="n">
        <x:f>I1115*J1115</x:f>
        <x:v>0.001470546713975135</x:v>
      </x:c>
      <x:c r="L1115" s="46" t="n">
        <x:v>0</x:v>
      </x:c>
      <x:c r="M1115" s="46" t="n">
        <x:v>0</x:v>
      </x:c>
      <x:c r="N1115" s="21" t="n">
        <x:f>IF(AND(L1114=1,M1114=1,P1114&gt;0),1,0)</x:f>
        <x:v>0</x:v>
      </x:c>
      <x:c r="O1115" s="21" t="n">
        <x:f>MIN('Root Data'!I337:I339)</x:f>
        <x:v>0</x:v>
      </x:c>
      <x:c r="P1115" s="44" t="n">
        <x:f>IF(AND(L1115=1,M1115=1,N1115=1,O1115&gt;=G1115),K1115,0)</x:f>
        <x:v>0</x:v>
      </x:c>
      <x:c r="Q1115" s="21" t="str">
        <x:v>OPEN</x:v>
      </x:c>
      <x:c r="R1115" s="23" t="str">
        <x:v>HOLD</x:v>
      </x:c>
    </x:row>
    <x:row r="1116">
      <x:c r="B1116" s="21" t="str">
        <x:v>AR-01110</x:v>
      </x:c>
      <x:c r="C1116" s="21" t="str">
        <x:v>F28-I3</x:v>
      </x:c>
      <x:c r="D1116" s="21" t="str">
        <x:v>F28</x:v>
      </x:c>
      <x:c r="E1116" s="21" t="n">
        <x:v>10</x:v>
      </x:c>
      <x:c r="F1116" s="21" t="str">
        <x:v>Mobilization activation</x:v>
      </x:c>
      <x:c r="G1116" s="21" t="n">
        <x:v>28</x:v>
      </x:c>
      <x:c r="H1116" s="21" t="str">
        <x:v>Production Release Board</x:v>
      </x:c>
      <x:c r="I1116" s="44" t="n">
        <x:f>Lifecycle!G16</x:f>
        <x:v>0.028262731405230914</x:v>
      </x:c>
      <x:c r="J1116" s="44" t="n">
        <x:v>0.08928571428571429</x:v>
      </x:c>
      <x:c r="K1116" s="44" t="n">
        <x:f>I1116*J1116</x:f>
        <x:v>0.002523458161181332</x:v>
      </x:c>
      <x:c r="L1116" s="46" t="n">
        <x:v>0</x:v>
      </x:c>
      <x:c r="M1116" s="46" t="n">
        <x:v>0</x:v>
      </x:c>
      <x:c r="N1116" s="21" t="n">
        <x:f>IF(AND(L1115=1,M1115=1,P1115&gt;0),1,0)</x:f>
        <x:v>0</x:v>
      </x:c>
      <x:c r="O1116" s="21" t="n">
        <x:f>MIN('Root Data'!I337:I339)</x:f>
        <x:v>0</x:v>
      </x:c>
      <x:c r="P1116" s="44" t="n">
        <x:f>IF(AND(L1116=1,M1116=1,N1116=1,O1116&gt;=G1116),K1116,0)</x:f>
        <x:v>0</x:v>
      </x:c>
      <x:c r="Q1116" s="21" t="str">
        <x:v>OPEN</x:v>
      </x:c>
      <x:c r="R1116" s="23" t="str">
        <x:v>HOLD</x:v>
      </x:c>
    </x:row>
    <x:row r="1117">
      <x:c r="B1117" s="21" t="str">
        <x:v>AR-01111</x:v>
      </x:c>
      <x:c r="C1117" s="21" t="str">
        <x:v>F28-I4</x:v>
      </x:c>
      <x:c r="D1117" s="21" t="str">
        <x:v>F28</x:v>
      </x:c>
      <x:c r="E1117" s="21" t="n">
        <x:v>1</x:v>
      </x:c>
      <x:c r="F1117" s="21" t="str">
        <x:v>Civil effect charter</x:v>
      </x:c>
      <x:c r="G1117" s="21" t="n">
        <x:v>0</x:v>
      </x:c>
      <x:c r="H1117" s="21" t="str">
        <x:v>Civil Guarantee Authority</x:v>
      </x:c>
      <x:c r="I1117" s="44" t="n">
        <x:f>Lifecycle!G7</x:f>
        <x:v>0.04941036958956453</x:v>
      </x:c>
      <x:c r="J1117" s="44" t="n">
        <x:v>0.08928571428571429</x:v>
      </x:c>
      <x:c r="K1117" s="44" t="n">
        <x:f>I1117*J1117</x:f>
        <x:v>0.004411640141925405</x:v>
      </x:c>
      <x:c r="L1117" s="46" t="n">
        <x:v>0</x:v>
      </x:c>
      <x:c r="M1117" s="46" t="n">
        <x:v>0</x:v>
      </x:c>
      <x:c r="N1117" s="21" t="n">
        <x:f>1</x:f>
        <x:v>1</x:v>
      </x:c>
      <x:c r="O1117" s="21" t="n">
        <x:f>MIN('Root Data'!I340:I342)</x:f>
        <x:v>0</x:v>
      </x:c>
      <x:c r="P1117" s="44" t="n">
        <x:f>IF(AND(L1117=1,M1117=1,N1117=1,O1117&gt;=G1117),K1117,0)</x:f>
        <x:v>0</x:v>
      </x:c>
      <x:c r="Q1117" s="21" t="str">
        <x:v>OPEN</x:v>
      </x:c>
      <x:c r="R1117" s="23" t="str">
        <x:v>HOLD</x:v>
      </x:c>
    </x:row>
    <x:row r="1118">
      <x:c r="B1118" s="21" t="str">
        <x:v>AR-01112</x:v>
      </x:c>
      <x:c r="C1118" s="21" t="str">
        <x:v>F28-I4</x:v>
      </x:c>
      <x:c r="D1118" s="21" t="str">
        <x:v>F28</x:v>
      </x:c>
      <x:c r="E1118" s="21" t="n">
        <x:v>2</x:v>
      </x:c>
      <x:c r="F1118" s="21" t="str">
        <x:v>Requirement and root-independence package</x:v>
      </x:c>
      <x:c r="G1118" s="21" t="n">
        <x:v>8</x:v>
      </x:c>
      <x:c r="H1118" s="21" t="str">
        <x:v>Resilience Staff</x:v>
      </x:c>
      <x:c r="I1118" s="44" t="n">
        <x:f>Lifecycle!G8</x:f>
        <x:v>0.10211476381843337</x:v>
      </x:c>
      <x:c r="J1118" s="44" t="n">
        <x:v>0.08928571428571429</x:v>
      </x:c>
      <x:c r="K1118" s="44" t="n">
        <x:f>I1118*J1118</x:f>
        <x:v>0.009117389626645838</x:v>
      </x:c>
      <x:c r="L1118" s="46" t="n">
        <x:v>0</x:v>
      </x:c>
      <x:c r="M1118" s="46" t="n">
        <x:v>0</x:v>
      </x:c>
      <x:c r="N1118" s="21" t="n">
        <x:f>IF(AND(L1117=1,M1117=1,P1117&gt;0),1,0)</x:f>
        <x:v>0</x:v>
      </x:c>
      <x:c r="O1118" s="21" t="n">
        <x:f>MIN('Root Data'!I340:I342)</x:f>
        <x:v>0</x:v>
      </x:c>
      <x:c r="P1118" s="44" t="n">
        <x:f>IF(AND(L1118=1,M1118=1,N1118=1,O1118&gt;=G1118),K1118,0)</x:f>
        <x:v>0</x:v>
      </x:c>
      <x:c r="Q1118" s="21" t="str">
        <x:v>OPEN</x:v>
      </x:c>
      <x:c r="R1118" s="23" t="str">
        <x:v>HOLD</x:v>
      </x:c>
    </x:row>
    <x:row r="1119">
      <x:c r="B1119" s="21" t="str">
        <x:v>AR-01113</x:v>
      </x:c>
      <x:c r="C1119" s="21" t="str">
        <x:v>F28-I4</x:v>
      </x:c>
      <x:c r="D1119" s="21" t="str">
        <x:v>F28</x:v>
      </x:c>
      <x:c r="E1119" s="21" t="n">
        <x:v>3</x:v>
      </x:c>
      <x:c r="F1119" s="21" t="str">
        <x:v>Architecture and burden closure</x:v>
      </x:c>
      <x:c r="G1119" s="21" t="n">
        <x:v>14</x:v>
      </x:c>
      <x:c r="H1119" s="21" t="str">
        <x:v>Independent Evidence and Data Authority</x:v>
      </x:c>
      <x:c r="I1119" s="44" t="n">
        <x:f>Lifecycle!G9</x:f>
        <x:v>0.08564464062191186</x:v>
      </x:c>
      <x:c r="J1119" s="44" t="n">
        <x:v>0.08928571428571429</x:v>
      </x:c>
      <x:c r="K1119" s="44" t="n">
        <x:f>I1119*J1119</x:f>
        <x:v>0.007646842912670702</x:v>
      </x:c>
      <x:c r="L1119" s="46" t="n">
        <x:v>0</x:v>
      </x:c>
      <x:c r="M1119" s="46" t="n">
        <x:v>0</x:v>
      </x:c>
      <x:c r="N1119" s="21" t="n">
        <x:f>IF(AND(L1118=1,M1118=1,P1118&gt;0),1,0)</x:f>
        <x:v>0</x:v>
      </x:c>
      <x:c r="O1119" s="21" t="n">
        <x:f>MIN('Root Data'!I340:I342)</x:f>
        <x:v>0</x:v>
      </x:c>
      <x:c r="P1119" s="44" t="n">
        <x:f>IF(AND(L1119=1,M1119=1,N1119=1,O1119&gt;=G1119),K1119,0)</x:f>
        <x:v>0</x:v>
      </x:c>
      <x:c r="Q1119" s="21" t="str">
        <x:v>OPEN</x:v>
      </x:c>
      <x:c r="R1119" s="23" t="str">
        <x:v>HOLD</x:v>
      </x:c>
    </x:row>
    <x:row r="1120">
      <x:c r="B1120" s="21" t="str">
        <x:v>AR-01114</x:v>
      </x:c>
      <x:c r="C1120" s="21" t="str">
        <x:v>F28-I4</x:v>
      </x:c>
      <x:c r="D1120" s="21" t="str">
        <x:v>F28</x:v>
      </x:c>
      <x:c r="E1120" s="21" t="n">
        <x:v>4</x:v>
      </x:c>
      <x:c r="F1120" s="21" t="str">
        <x:v>Engineering article acceptance</x:v>
      </x:c>
      <x:c r="G1120" s="21" t="n">
        <x:v>18</x:v>
      </x:c>
      <x:c r="H1120" s="21" t="str">
        <x:v>Independent Evidence and Data Authority</x:v>
      </x:c>
      <x:c r="I1120" s="44" t="n">
        <x:f>Lifecycle!G10</x:f>
        <x:v>0.05929244350747744</x:v>
      </x:c>
      <x:c r="J1120" s="44" t="n">
        <x:v>0.08928571428571429</x:v>
      </x:c>
      <x:c r="K1120" s="44" t="n">
        <x:f>I1120*J1120</x:f>
        <x:v>0.005293968170310486</x:v>
      </x:c>
      <x:c r="L1120" s="46" t="n">
        <x:v>0</x:v>
      </x:c>
      <x:c r="M1120" s="46" t="n">
        <x:v>0</x:v>
      </x:c>
      <x:c r="N1120" s="21" t="n">
        <x:f>IF(AND(L1119=1,M1119=1,P1119&gt;0),1,0)</x:f>
        <x:v>0</x:v>
      </x:c>
      <x:c r="O1120" s="21" t="n">
        <x:f>MIN('Root Data'!I340:I342)</x:f>
        <x:v>0</x:v>
      </x:c>
      <x:c r="P1120" s="44" t="n">
        <x:f>IF(AND(L1120=1,M1120=1,N1120=1,O1120&gt;=G1120),K1120,0)</x:f>
        <x:v>0</x:v>
      </x:c>
      <x:c r="Q1120" s="21" t="str">
        <x:v>OPEN</x:v>
      </x:c>
      <x:c r="R1120" s="23" t="str">
        <x:v>HOLD</x:v>
      </x:c>
    </x:row>
    <x:row r="1121">
      <x:c r="B1121" s="21" t="str">
        <x:v>AR-01115</x:v>
      </x:c>
      <x:c r="C1121" s="21" t="str">
        <x:v>F28-I4</x:v>
      </x:c>
      <x:c r="D1121" s="21" t="str">
        <x:v>F28</x:v>
      </x:c>
      <x:c r="E1121" s="21" t="n">
        <x:v>5</x:v>
      </x:c>
      <x:c r="F1121" s="21" t="str">
        <x:v>Qualification and destructive evidence</x:v>
      </x:c>
      <x:c r="G1121" s="21" t="n">
        <x:v>21</x:v>
      </x:c>
      <x:c r="H1121" s="21" t="str">
        <x:v>Independent Evidence and Data Authority</x:v>
      </x:c>
      <x:c r="I1121" s="44" t="n">
        <x:f>Lifecycle!G11</x:f>
        <x:v>0.1515251334079979</x:v>
      </x:c>
      <x:c r="J1121" s="44" t="n">
        <x:v>0.08928571428571429</x:v>
      </x:c>
      <x:c r="K1121" s="44" t="n">
        <x:f>I1121*J1121</x:f>
        <x:v>0.013529029768571241</x:v>
      </x:c>
      <x:c r="L1121" s="46" t="n">
        <x:v>0</x:v>
      </x:c>
      <x:c r="M1121" s="46" t="n">
        <x:v>0</x:v>
      </x:c>
      <x:c r="N1121" s="21" t="n">
        <x:f>IF(AND(L1120=1,M1120=1,P1120&gt;0),1,0)</x:f>
        <x:v>0</x:v>
      </x:c>
      <x:c r="O1121" s="21" t="n">
        <x:f>MIN('Root Data'!I340:I342)</x:f>
        <x:v>0</x:v>
      </x:c>
      <x:c r="P1121" s="44" t="n">
        <x:f>IF(AND(L1121=1,M1121=1,N1121=1,O1121&gt;=G1121),K1121,0)</x:f>
        <x:v>0</x:v>
      </x:c>
      <x:c r="Q1121" s="21" t="str">
        <x:v>OPEN</x:v>
      </x:c>
      <x:c r="R1121" s="23" t="str">
        <x:v>HOLD</x:v>
      </x:c>
    </x:row>
    <x:row r="1122">
      <x:c r="B1122" s="21" t="str">
        <x:v>AR-01116</x:v>
      </x:c>
      <x:c r="C1122" s="21" t="str">
        <x:v>F28-I4</x:v>
      </x:c>
      <x:c r="D1122" s="21" t="str">
        <x:v>F28</x:v>
      </x:c>
      <x:c r="E1122" s="21" t="n">
        <x:v>6</x:v>
      </x:c>
      <x:c r="F1122" s="21" t="str">
        <x:v>Representative mission result</x:v>
      </x:c>
      <x:c r="G1122" s="21" t="n">
        <x:v>23</x:v>
      </x:c>
      <x:c r="H1122" s="21" t="str">
        <x:v>Receiving Service Authority</x:v>
      </x:c>
      <x:c r="I1122" s="44" t="n">
        <x:f>Lifecycle!G12</x:f>
        <x:v>0.250345872587127</x:v>
      </x:c>
      <x:c r="J1122" s="44" t="n">
        <x:v>0.08928571428571429</x:v>
      </x:c>
      <x:c r="K1122" s="44" t="n">
        <x:f>I1122*J1122</x:f>
        <x:v>0.022352310052422053</x:v>
      </x:c>
      <x:c r="L1122" s="46" t="n">
        <x:v>0</x:v>
      </x:c>
      <x:c r="M1122" s="46" t="n">
        <x:v>0</x:v>
      </x:c>
      <x:c r="N1122" s="21" t="n">
        <x:f>IF(AND(L1121=1,M1121=1,P1121&gt;0),1,0)</x:f>
        <x:v>0</x:v>
      </x:c>
      <x:c r="O1122" s="21" t="n">
        <x:f>MIN('Root Data'!I340:I342)</x:f>
        <x:v>0</x:v>
      </x:c>
      <x:c r="P1122" s="44" t="n">
        <x:f>IF(AND(L1122=1,M1122=1,N1122=1,O1122&gt;=G1122),K1122,0)</x:f>
        <x:v>0</x:v>
      </x:c>
      <x:c r="Q1122" s="21" t="str">
        <x:v>OPEN</x:v>
      </x:c>
      <x:c r="R1122" s="23" t="str">
        <x:v>HOLD</x:v>
      </x:c>
    </x:row>
    <x:row r="1123">
      <x:c r="B1123" s="21" t="str">
        <x:v>AR-01117</x:v>
      </x:c>
      <x:c r="C1123" s="21" t="str">
        <x:v>F28-I4</x:v>
      </x:c>
      <x:c r="D1123" s="21" t="str">
        <x:v>F28</x:v>
      </x:c>
      <x:c r="E1123" s="21" t="n">
        <x:v>7</x:v>
      </x:c>
      <x:c r="F1123" s="21" t="str">
        <x:v>Independent reproduction</x:v>
      </x:c>
      <x:c r="G1123" s="21" t="n">
        <x:v>28</x:v>
      </x:c>
      <x:c r="H1123" s="21" t="str">
        <x:v>Independent Evidence and Data Authority</x:v>
      </x:c>
      <x:c r="I1123" s="44" t="n">
        <x:f>Lifecycle!G13</x:f>
        <x:v>0.21740562619408393</x:v>
      </x:c>
      <x:c r="J1123" s="44" t="n">
        <x:v>0.08928571428571429</x:v>
      </x:c>
      <x:c r="K1123" s="44" t="n">
        <x:f>I1123*J1123</x:f>
        <x:v>0.019411216624471782</x:v>
      </x:c>
      <x:c r="L1123" s="46" t="n">
        <x:v>0</x:v>
      </x:c>
      <x:c r="M1123" s="46" t="n">
        <x:v>0</x:v>
      </x:c>
      <x:c r="N1123" s="21" t="n">
        <x:f>IF(AND(L1122=1,M1122=1,P1122&gt;0),1,0)</x:f>
        <x:v>0</x:v>
      </x:c>
      <x:c r="O1123" s="21" t="n">
        <x:f>MIN('Root Data'!I340:I342)</x:f>
        <x:v>0</x:v>
      </x:c>
      <x:c r="P1123" s="44" t="n">
        <x:f>IF(AND(L1123=1,M1123=1,N1123=1,O1123&gt;=G1123),K1123,0)</x:f>
        <x:v>0</x:v>
      </x:c>
      <x:c r="Q1123" s="21" t="str">
        <x:v>OPEN</x:v>
      </x:c>
      <x:c r="R1123" s="23" t="str">
        <x:v>HOLD</x:v>
      </x:c>
    </x:row>
    <x:row r="1124">
      <x:c r="B1124" s="21" t="str">
        <x:v>AR-01118</x:v>
      </x:c>
      <x:c r="C1124" s="21" t="str">
        <x:v>F28-I4</x:v>
      </x:c>
      <x:c r="D1124" s="21" t="str">
        <x:v>F28</x:v>
      </x:c>
      <x:c r="E1124" s="21" t="n">
        <x:v>8</x:v>
      </x:c>
      <x:c r="F1124" s="21" t="str">
        <x:v>Pilot-process qualification</x:v>
      </x:c>
      <x:c r="G1124" s="21" t="n">
        <x:v>28</x:v>
      </x:c>
      <x:c r="H1124" s="21" t="str">
        <x:v>AIMC Industrial Mobilization Authority</x:v>
      </x:c>
      <x:c r="I1124" s="44" t="n">
        <x:f>Lifecycle!G14</x:f>
        <x:v>0.03952829567165163</x:v>
      </x:c>
      <x:c r="J1124" s="44" t="n">
        <x:v>0.08928571428571429</x:v>
      </x:c>
      <x:c r="K1124" s="44" t="n">
        <x:f>I1124*J1124</x:f>
        <x:v>0.003529312113540324</x:v>
      </x:c>
      <x:c r="L1124" s="46" t="n">
        <x:v>0</x:v>
      </x:c>
      <x:c r="M1124" s="46" t="n">
        <x:v>0</x:v>
      </x:c>
      <x:c r="N1124" s="21" t="n">
        <x:f>IF(AND(L1123=1,M1123=1,P1123&gt;0),1,0)</x:f>
        <x:v>0</x:v>
      </x:c>
      <x:c r="O1124" s="21" t="n">
        <x:f>MIN('Root Data'!I340:I342)</x:f>
        <x:v>0</x:v>
      </x:c>
      <x:c r="P1124" s="44" t="n">
        <x:f>IF(AND(L1124=1,M1124=1,N1124=1,O1124&gt;=G1124),K1124,0)</x:f>
        <x:v>0</x:v>
      </x:c>
      <x:c r="Q1124" s="21" t="str">
        <x:v>OPEN</x:v>
      </x:c>
      <x:c r="R1124" s="23" t="str">
        <x:v>HOLD</x:v>
      </x:c>
    </x:row>
    <x:row r="1125">
      <x:c r="B1125" s="21" t="str">
        <x:v>AR-01119</x:v>
      </x:c>
      <x:c r="C1125" s="21" t="str">
        <x:v>F28-I4</x:v>
      </x:c>
      <x:c r="D1125" s="21" t="str">
        <x:v>F28</x:v>
      </x:c>
      <x:c r="E1125" s="21" t="n">
        <x:v>9</x:v>
      </x:c>
      <x:c r="F1125" s="21" t="str">
        <x:v>Production release package</x:v>
      </x:c>
      <x:c r="G1125" s="21" t="n">
        <x:v>28</x:v>
      </x:c>
      <x:c r="H1125" s="21" t="str">
        <x:v>Production Release Board</x:v>
      </x:c>
      <x:c r="I1125" s="44" t="n">
        <x:f>Lifecycle!G15</x:f>
        <x:v>0.01647012319652151</x:v>
      </x:c>
      <x:c r="J1125" s="44" t="n">
        <x:v>0.08928571428571429</x:v>
      </x:c>
      <x:c r="K1125" s="44" t="n">
        <x:f>I1125*J1125</x:f>
        <x:v>0.001470546713975135</x:v>
      </x:c>
      <x:c r="L1125" s="46" t="n">
        <x:v>0</x:v>
      </x:c>
      <x:c r="M1125" s="46" t="n">
        <x:v>0</x:v>
      </x:c>
      <x:c r="N1125" s="21" t="n">
        <x:f>IF(AND(L1124=1,M1124=1,P1124&gt;0),1,0)</x:f>
        <x:v>0</x:v>
      </x:c>
      <x:c r="O1125" s="21" t="n">
        <x:f>MIN('Root Data'!I340:I342)</x:f>
        <x:v>0</x:v>
      </x:c>
      <x:c r="P1125" s="44" t="n">
        <x:f>IF(AND(L1125=1,M1125=1,N1125=1,O1125&gt;=G1125),K1125,0)</x:f>
        <x:v>0</x:v>
      </x:c>
      <x:c r="Q1125" s="21" t="str">
        <x:v>OPEN</x:v>
      </x:c>
      <x:c r="R1125" s="23" t="str">
        <x:v>HOLD</x:v>
      </x:c>
    </x:row>
    <x:row r="1126">
      <x:c r="B1126" s="21" t="str">
        <x:v>AR-01120</x:v>
      </x:c>
      <x:c r="C1126" s="21" t="str">
        <x:v>F28-I4</x:v>
      </x:c>
      <x:c r="D1126" s="21" t="str">
        <x:v>F28</x:v>
      </x:c>
      <x:c r="E1126" s="21" t="n">
        <x:v>10</x:v>
      </x:c>
      <x:c r="F1126" s="21" t="str">
        <x:v>Mobilization activation</x:v>
      </x:c>
      <x:c r="G1126" s="21" t="n">
        <x:v>28</x:v>
      </x:c>
      <x:c r="H1126" s="21" t="str">
        <x:v>Production Release Board</x:v>
      </x:c>
      <x:c r="I1126" s="44" t="n">
        <x:f>Lifecycle!G16</x:f>
        <x:v>0.028262731405230914</x:v>
      </x:c>
      <x:c r="J1126" s="44" t="n">
        <x:v>0.08928571428571429</x:v>
      </x:c>
      <x:c r="K1126" s="44" t="n">
        <x:f>I1126*J1126</x:f>
        <x:v>0.002523458161181332</x:v>
      </x:c>
      <x:c r="L1126" s="46" t="n">
        <x:v>0</x:v>
      </x:c>
      <x:c r="M1126" s="46" t="n">
        <x:v>0</x:v>
      </x:c>
      <x:c r="N1126" s="21" t="n">
        <x:f>IF(AND(L1125=1,M1125=1,P1125&gt;0),1,0)</x:f>
        <x:v>0</x:v>
      </x:c>
      <x:c r="O1126" s="21" t="n">
        <x:f>MIN('Root Data'!I340:I342)</x:f>
        <x:v>0</x:v>
      </x:c>
      <x:c r="P1126" s="44" t="n">
        <x:f>IF(AND(L1126=1,M1126=1,N1126=1,O1126&gt;=G1126),K1126,0)</x:f>
        <x:v>0</x:v>
      </x:c>
      <x:c r="Q1126" s="21" t="str">
        <x:v>OPEN</x:v>
      </x:c>
      <x:c r="R1126" s="23" t="str">
        <x:v>HOLD</x:v>
      </x:c>
    </x:row>
    <x:row r="1127">
      <x:c r="B1127" s="21" t="str">
        <x:v>AR-01121</x:v>
      </x:c>
      <x:c r="C1127" s="21" t="str">
        <x:v>F29-I1</x:v>
      </x:c>
      <x:c r="D1127" s="21" t="str">
        <x:v>F29</x:v>
      </x:c>
      <x:c r="E1127" s="21" t="n">
        <x:v>1</x:v>
      </x:c>
      <x:c r="F1127" s="21" t="str">
        <x:v>Civil effect charter</x:v>
      </x:c>
      <x:c r="G1127" s="21" t="n">
        <x:v>0</x:v>
      </x:c>
      <x:c r="H1127" s="21" t="str">
        <x:v>Civil Guarantee Authority</x:v>
      </x:c>
      <x:c r="I1127" s="44" t="n">
        <x:f>Lifecycle!G7</x:f>
        <x:v>0.04941036958956453</x:v>
      </x:c>
      <x:c r="J1127" s="44" t="n">
        <x:v>0.08928571428571429</x:v>
      </x:c>
      <x:c r="K1127" s="44" t="n">
        <x:f>I1127*J1127</x:f>
        <x:v>0.004411640141925405</x:v>
      </x:c>
      <x:c r="L1127" s="46" t="n">
        <x:v>0</x:v>
      </x:c>
      <x:c r="M1127" s="46" t="n">
        <x:v>0</x:v>
      </x:c>
      <x:c r="N1127" s="21" t="n">
        <x:f>1</x:f>
        <x:v>1</x:v>
      </x:c>
      <x:c r="O1127" s="21" t="n">
        <x:f>MIN('Root Data'!I343:I345)</x:f>
        <x:v>0</x:v>
      </x:c>
      <x:c r="P1127" s="44" t="n">
        <x:f>IF(AND(L1127=1,M1127=1,N1127=1,O1127&gt;=G1127),K1127,0)</x:f>
        <x:v>0</x:v>
      </x:c>
      <x:c r="Q1127" s="21" t="str">
        <x:v>OPEN</x:v>
      </x:c>
      <x:c r="R1127" s="23" t="str">
        <x:v>HOLD</x:v>
      </x:c>
    </x:row>
    <x:row r="1128">
      <x:c r="B1128" s="21" t="str">
        <x:v>AR-01122</x:v>
      </x:c>
      <x:c r="C1128" s="21" t="str">
        <x:v>F29-I1</x:v>
      </x:c>
      <x:c r="D1128" s="21" t="str">
        <x:v>F29</x:v>
      </x:c>
      <x:c r="E1128" s="21" t="n">
        <x:v>2</x:v>
      </x:c>
      <x:c r="F1128" s="21" t="str">
        <x:v>Requirement and root-independence package</x:v>
      </x:c>
      <x:c r="G1128" s="21" t="n">
        <x:v>8</x:v>
      </x:c>
      <x:c r="H1128" s="21" t="str">
        <x:v>Resilience Staff</x:v>
      </x:c>
      <x:c r="I1128" s="44" t="n">
        <x:f>Lifecycle!G8</x:f>
        <x:v>0.10211476381843337</x:v>
      </x:c>
      <x:c r="J1128" s="44" t="n">
        <x:v>0.08928571428571429</x:v>
      </x:c>
      <x:c r="K1128" s="44" t="n">
        <x:f>I1128*J1128</x:f>
        <x:v>0.009117389626645838</x:v>
      </x:c>
      <x:c r="L1128" s="46" t="n">
        <x:v>0</x:v>
      </x:c>
      <x:c r="M1128" s="46" t="n">
        <x:v>0</x:v>
      </x:c>
      <x:c r="N1128" s="21" t="n">
        <x:f>IF(AND(L1127=1,M1127=1,P1127&gt;0),1,0)</x:f>
        <x:v>0</x:v>
      </x:c>
      <x:c r="O1128" s="21" t="n">
        <x:f>MIN('Root Data'!I343:I345)</x:f>
        <x:v>0</x:v>
      </x:c>
      <x:c r="P1128" s="44" t="n">
        <x:f>IF(AND(L1128=1,M1128=1,N1128=1,O1128&gt;=G1128),K1128,0)</x:f>
        <x:v>0</x:v>
      </x:c>
      <x:c r="Q1128" s="21" t="str">
        <x:v>OPEN</x:v>
      </x:c>
      <x:c r="R1128" s="23" t="str">
        <x:v>HOLD</x:v>
      </x:c>
    </x:row>
    <x:row r="1129">
      <x:c r="B1129" s="21" t="str">
        <x:v>AR-01123</x:v>
      </x:c>
      <x:c r="C1129" s="21" t="str">
        <x:v>F29-I1</x:v>
      </x:c>
      <x:c r="D1129" s="21" t="str">
        <x:v>F29</x:v>
      </x:c>
      <x:c r="E1129" s="21" t="n">
        <x:v>3</x:v>
      </x:c>
      <x:c r="F1129" s="21" t="str">
        <x:v>Architecture and burden closure</x:v>
      </x:c>
      <x:c r="G1129" s="21" t="n">
        <x:v>14</x:v>
      </x:c>
      <x:c r="H1129" s="21" t="str">
        <x:v>Independent Evidence and Data Authority</x:v>
      </x:c>
      <x:c r="I1129" s="44" t="n">
        <x:f>Lifecycle!G9</x:f>
        <x:v>0.08564464062191186</x:v>
      </x:c>
      <x:c r="J1129" s="44" t="n">
        <x:v>0.08928571428571429</x:v>
      </x:c>
      <x:c r="K1129" s="44" t="n">
        <x:f>I1129*J1129</x:f>
        <x:v>0.007646842912670702</x:v>
      </x:c>
      <x:c r="L1129" s="46" t="n">
        <x:v>0</x:v>
      </x:c>
      <x:c r="M1129" s="46" t="n">
        <x:v>0</x:v>
      </x:c>
      <x:c r="N1129" s="21" t="n">
        <x:f>IF(AND(L1128=1,M1128=1,P1128&gt;0),1,0)</x:f>
        <x:v>0</x:v>
      </x:c>
      <x:c r="O1129" s="21" t="n">
        <x:f>MIN('Root Data'!I343:I345)</x:f>
        <x:v>0</x:v>
      </x:c>
      <x:c r="P1129" s="44" t="n">
        <x:f>IF(AND(L1129=1,M1129=1,N1129=1,O1129&gt;=G1129),K1129,0)</x:f>
        <x:v>0</x:v>
      </x:c>
      <x:c r="Q1129" s="21" t="str">
        <x:v>OPEN</x:v>
      </x:c>
      <x:c r="R1129" s="23" t="str">
        <x:v>HOLD</x:v>
      </x:c>
    </x:row>
    <x:row r="1130">
      <x:c r="B1130" s="21" t="str">
        <x:v>AR-01124</x:v>
      </x:c>
      <x:c r="C1130" s="21" t="str">
        <x:v>F29-I1</x:v>
      </x:c>
      <x:c r="D1130" s="21" t="str">
        <x:v>F29</x:v>
      </x:c>
      <x:c r="E1130" s="21" t="n">
        <x:v>4</x:v>
      </x:c>
      <x:c r="F1130" s="21" t="str">
        <x:v>Engineering article acceptance</x:v>
      </x:c>
      <x:c r="G1130" s="21" t="n">
        <x:v>18</x:v>
      </x:c>
      <x:c r="H1130" s="21" t="str">
        <x:v>Independent Evidence and Data Authority</x:v>
      </x:c>
      <x:c r="I1130" s="44" t="n">
        <x:f>Lifecycle!G10</x:f>
        <x:v>0.05929244350747744</x:v>
      </x:c>
      <x:c r="J1130" s="44" t="n">
        <x:v>0.08928571428571429</x:v>
      </x:c>
      <x:c r="K1130" s="44" t="n">
        <x:f>I1130*J1130</x:f>
        <x:v>0.005293968170310486</x:v>
      </x:c>
      <x:c r="L1130" s="46" t="n">
        <x:v>0</x:v>
      </x:c>
      <x:c r="M1130" s="46" t="n">
        <x:v>0</x:v>
      </x:c>
      <x:c r="N1130" s="21" t="n">
        <x:f>IF(AND(L1129=1,M1129=1,P1129&gt;0),1,0)</x:f>
        <x:v>0</x:v>
      </x:c>
      <x:c r="O1130" s="21" t="n">
        <x:f>MIN('Root Data'!I343:I345)</x:f>
        <x:v>0</x:v>
      </x:c>
      <x:c r="P1130" s="44" t="n">
        <x:f>IF(AND(L1130=1,M1130=1,N1130=1,O1130&gt;=G1130),K1130,0)</x:f>
        <x:v>0</x:v>
      </x:c>
      <x:c r="Q1130" s="21" t="str">
        <x:v>OPEN</x:v>
      </x:c>
      <x:c r="R1130" s="23" t="str">
        <x:v>HOLD</x:v>
      </x:c>
    </x:row>
    <x:row r="1131">
      <x:c r="B1131" s="21" t="str">
        <x:v>AR-01125</x:v>
      </x:c>
      <x:c r="C1131" s="21" t="str">
        <x:v>F29-I1</x:v>
      </x:c>
      <x:c r="D1131" s="21" t="str">
        <x:v>F29</x:v>
      </x:c>
      <x:c r="E1131" s="21" t="n">
        <x:v>5</x:v>
      </x:c>
      <x:c r="F1131" s="21" t="str">
        <x:v>Qualification and destructive evidence</x:v>
      </x:c>
      <x:c r="G1131" s="21" t="n">
        <x:v>21</x:v>
      </x:c>
      <x:c r="H1131" s="21" t="str">
        <x:v>Independent Evidence and Data Authority</x:v>
      </x:c>
      <x:c r="I1131" s="44" t="n">
        <x:f>Lifecycle!G11</x:f>
        <x:v>0.1515251334079979</x:v>
      </x:c>
      <x:c r="J1131" s="44" t="n">
        <x:v>0.08928571428571429</x:v>
      </x:c>
      <x:c r="K1131" s="44" t="n">
        <x:f>I1131*J1131</x:f>
        <x:v>0.013529029768571241</x:v>
      </x:c>
      <x:c r="L1131" s="46" t="n">
        <x:v>0</x:v>
      </x:c>
      <x:c r="M1131" s="46" t="n">
        <x:v>0</x:v>
      </x:c>
      <x:c r="N1131" s="21" t="n">
        <x:f>IF(AND(L1130=1,M1130=1,P1130&gt;0),1,0)</x:f>
        <x:v>0</x:v>
      </x:c>
      <x:c r="O1131" s="21" t="n">
        <x:f>MIN('Root Data'!I343:I345)</x:f>
        <x:v>0</x:v>
      </x:c>
      <x:c r="P1131" s="44" t="n">
        <x:f>IF(AND(L1131=1,M1131=1,N1131=1,O1131&gt;=G1131),K1131,0)</x:f>
        <x:v>0</x:v>
      </x:c>
      <x:c r="Q1131" s="21" t="str">
        <x:v>OPEN</x:v>
      </x:c>
      <x:c r="R1131" s="23" t="str">
        <x:v>HOLD</x:v>
      </x:c>
    </x:row>
    <x:row r="1132">
      <x:c r="B1132" s="21" t="str">
        <x:v>AR-01126</x:v>
      </x:c>
      <x:c r="C1132" s="21" t="str">
        <x:v>F29-I1</x:v>
      </x:c>
      <x:c r="D1132" s="21" t="str">
        <x:v>F29</x:v>
      </x:c>
      <x:c r="E1132" s="21" t="n">
        <x:v>6</x:v>
      </x:c>
      <x:c r="F1132" s="21" t="str">
        <x:v>Representative mission result</x:v>
      </x:c>
      <x:c r="G1132" s="21" t="n">
        <x:v>23</x:v>
      </x:c>
      <x:c r="H1132" s="21" t="str">
        <x:v>Receiving Service Authority</x:v>
      </x:c>
      <x:c r="I1132" s="44" t="n">
        <x:f>Lifecycle!G12</x:f>
        <x:v>0.250345872587127</x:v>
      </x:c>
      <x:c r="J1132" s="44" t="n">
        <x:v>0.08928571428571429</x:v>
      </x:c>
      <x:c r="K1132" s="44" t="n">
        <x:f>I1132*J1132</x:f>
        <x:v>0.022352310052422053</x:v>
      </x:c>
      <x:c r="L1132" s="46" t="n">
        <x:v>0</x:v>
      </x:c>
      <x:c r="M1132" s="46" t="n">
        <x:v>0</x:v>
      </x:c>
      <x:c r="N1132" s="21" t="n">
        <x:f>IF(AND(L1131=1,M1131=1,P1131&gt;0),1,0)</x:f>
        <x:v>0</x:v>
      </x:c>
      <x:c r="O1132" s="21" t="n">
        <x:f>MIN('Root Data'!I343:I345)</x:f>
        <x:v>0</x:v>
      </x:c>
      <x:c r="P1132" s="44" t="n">
        <x:f>IF(AND(L1132=1,M1132=1,N1132=1,O1132&gt;=G1132),K1132,0)</x:f>
        <x:v>0</x:v>
      </x:c>
      <x:c r="Q1132" s="21" t="str">
        <x:v>OPEN</x:v>
      </x:c>
      <x:c r="R1132" s="23" t="str">
        <x:v>HOLD</x:v>
      </x:c>
    </x:row>
    <x:row r="1133">
      <x:c r="B1133" s="21" t="str">
        <x:v>AR-01127</x:v>
      </x:c>
      <x:c r="C1133" s="21" t="str">
        <x:v>F29-I1</x:v>
      </x:c>
      <x:c r="D1133" s="21" t="str">
        <x:v>F29</x:v>
      </x:c>
      <x:c r="E1133" s="21" t="n">
        <x:v>7</x:v>
      </x:c>
      <x:c r="F1133" s="21" t="str">
        <x:v>Independent reproduction</x:v>
      </x:c>
      <x:c r="G1133" s="21" t="n">
        <x:v>28</x:v>
      </x:c>
      <x:c r="H1133" s="21" t="str">
        <x:v>Independent Evidence and Data Authority</x:v>
      </x:c>
      <x:c r="I1133" s="44" t="n">
        <x:f>Lifecycle!G13</x:f>
        <x:v>0.21740562619408393</x:v>
      </x:c>
      <x:c r="J1133" s="44" t="n">
        <x:v>0.08928571428571429</x:v>
      </x:c>
      <x:c r="K1133" s="44" t="n">
        <x:f>I1133*J1133</x:f>
        <x:v>0.019411216624471782</x:v>
      </x:c>
      <x:c r="L1133" s="46" t="n">
        <x:v>0</x:v>
      </x:c>
      <x:c r="M1133" s="46" t="n">
        <x:v>0</x:v>
      </x:c>
      <x:c r="N1133" s="21" t="n">
        <x:f>IF(AND(L1132=1,M1132=1,P1132&gt;0),1,0)</x:f>
        <x:v>0</x:v>
      </x:c>
      <x:c r="O1133" s="21" t="n">
        <x:f>MIN('Root Data'!I343:I345)</x:f>
        <x:v>0</x:v>
      </x:c>
      <x:c r="P1133" s="44" t="n">
        <x:f>IF(AND(L1133=1,M1133=1,N1133=1,O1133&gt;=G1133),K1133,0)</x:f>
        <x:v>0</x:v>
      </x:c>
      <x:c r="Q1133" s="21" t="str">
        <x:v>OPEN</x:v>
      </x:c>
      <x:c r="R1133" s="23" t="str">
        <x:v>HOLD</x:v>
      </x:c>
    </x:row>
    <x:row r="1134">
      <x:c r="B1134" s="21" t="str">
        <x:v>AR-01128</x:v>
      </x:c>
      <x:c r="C1134" s="21" t="str">
        <x:v>F29-I1</x:v>
      </x:c>
      <x:c r="D1134" s="21" t="str">
        <x:v>F29</x:v>
      </x:c>
      <x:c r="E1134" s="21" t="n">
        <x:v>8</x:v>
      </x:c>
      <x:c r="F1134" s="21" t="str">
        <x:v>Pilot-process qualification</x:v>
      </x:c>
      <x:c r="G1134" s="21" t="n">
        <x:v>28</x:v>
      </x:c>
      <x:c r="H1134" s="21" t="str">
        <x:v>AIMC Industrial Mobilization Authority</x:v>
      </x:c>
      <x:c r="I1134" s="44" t="n">
        <x:f>Lifecycle!G14</x:f>
        <x:v>0.03952829567165163</x:v>
      </x:c>
      <x:c r="J1134" s="44" t="n">
        <x:v>0.08928571428571429</x:v>
      </x:c>
      <x:c r="K1134" s="44" t="n">
        <x:f>I1134*J1134</x:f>
        <x:v>0.003529312113540324</x:v>
      </x:c>
      <x:c r="L1134" s="46" t="n">
        <x:v>0</x:v>
      </x:c>
      <x:c r="M1134" s="46" t="n">
        <x:v>0</x:v>
      </x:c>
      <x:c r="N1134" s="21" t="n">
        <x:f>IF(AND(L1133=1,M1133=1,P1133&gt;0),1,0)</x:f>
        <x:v>0</x:v>
      </x:c>
      <x:c r="O1134" s="21" t="n">
        <x:f>MIN('Root Data'!I343:I345)</x:f>
        <x:v>0</x:v>
      </x:c>
      <x:c r="P1134" s="44" t="n">
        <x:f>IF(AND(L1134=1,M1134=1,N1134=1,O1134&gt;=G1134),K1134,0)</x:f>
        <x:v>0</x:v>
      </x:c>
      <x:c r="Q1134" s="21" t="str">
        <x:v>OPEN</x:v>
      </x:c>
      <x:c r="R1134" s="23" t="str">
        <x:v>HOLD</x:v>
      </x:c>
    </x:row>
    <x:row r="1135">
      <x:c r="B1135" s="21" t="str">
        <x:v>AR-01129</x:v>
      </x:c>
      <x:c r="C1135" s="21" t="str">
        <x:v>F29-I1</x:v>
      </x:c>
      <x:c r="D1135" s="21" t="str">
        <x:v>F29</x:v>
      </x:c>
      <x:c r="E1135" s="21" t="n">
        <x:v>9</x:v>
      </x:c>
      <x:c r="F1135" s="21" t="str">
        <x:v>Production release package</x:v>
      </x:c>
      <x:c r="G1135" s="21" t="n">
        <x:v>28</x:v>
      </x:c>
      <x:c r="H1135" s="21" t="str">
        <x:v>Production Release Board</x:v>
      </x:c>
      <x:c r="I1135" s="44" t="n">
        <x:f>Lifecycle!G15</x:f>
        <x:v>0.01647012319652151</x:v>
      </x:c>
      <x:c r="J1135" s="44" t="n">
        <x:v>0.08928571428571429</x:v>
      </x:c>
      <x:c r="K1135" s="44" t="n">
        <x:f>I1135*J1135</x:f>
        <x:v>0.001470546713975135</x:v>
      </x:c>
      <x:c r="L1135" s="46" t="n">
        <x:v>0</x:v>
      </x:c>
      <x:c r="M1135" s="46" t="n">
        <x:v>0</x:v>
      </x:c>
      <x:c r="N1135" s="21" t="n">
        <x:f>IF(AND(L1134=1,M1134=1,P1134&gt;0),1,0)</x:f>
        <x:v>0</x:v>
      </x:c>
      <x:c r="O1135" s="21" t="n">
        <x:f>MIN('Root Data'!I343:I345)</x:f>
        <x:v>0</x:v>
      </x:c>
      <x:c r="P1135" s="44" t="n">
        <x:f>IF(AND(L1135=1,M1135=1,N1135=1,O1135&gt;=G1135),K1135,0)</x:f>
        <x:v>0</x:v>
      </x:c>
      <x:c r="Q1135" s="21" t="str">
        <x:v>OPEN</x:v>
      </x:c>
      <x:c r="R1135" s="23" t="str">
        <x:v>HOLD</x:v>
      </x:c>
    </x:row>
    <x:row r="1136">
      <x:c r="B1136" s="21" t="str">
        <x:v>AR-01130</x:v>
      </x:c>
      <x:c r="C1136" s="21" t="str">
        <x:v>F29-I1</x:v>
      </x:c>
      <x:c r="D1136" s="21" t="str">
        <x:v>F29</x:v>
      </x:c>
      <x:c r="E1136" s="21" t="n">
        <x:v>10</x:v>
      </x:c>
      <x:c r="F1136" s="21" t="str">
        <x:v>Mobilization activation</x:v>
      </x:c>
      <x:c r="G1136" s="21" t="n">
        <x:v>28</x:v>
      </x:c>
      <x:c r="H1136" s="21" t="str">
        <x:v>Production Release Board</x:v>
      </x:c>
      <x:c r="I1136" s="44" t="n">
        <x:f>Lifecycle!G16</x:f>
        <x:v>0.028262731405230914</x:v>
      </x:c>
      <x:c r="J1136" s="44" t="n">
        <x:v>0.08928571428571429</x:v>
      </x:c>
      <x:c r="K1136" s="44" t="n">
        <x:f>I1136*J1136</x:f>
        <x:v>0.002523458161181332</x:v>
      </x:c>
      <x:c r="L1136" s="46" t="n">
        <x:v>0</x:v>
      </x:c>
      <x:c r="M1136" s="46" t="n">
        <x:v>0</x:v>
      </x:c>
      <x:c r="N1136" s="21" t="n">
        <x:f>IF(AND(L1135=1,M1135=1,P1135&gt;0),1,0)</x:f>
        <x:v>0</x:v>
      </x:c>
      <x:c r="O1136" s="21" t="n">
        <x:f>MIN('Root Data'!I343:I345)</x:f>
        <x:v>0</x:v>
      </x:c>
      <x:c r="P1136" s="44" t="n">
        <x:f>IF(AND(L1136=1,M1136=1,N1136=1,O1136&gt;=G1136),K1136,0)</x:f>
        <x:v>0</x:v>
      </x:c>
      <x:c r="Q1136" s="21" t="str">
        <x:v>OPEN</x:v>
      </x:c>
      <x:c r="R1136" s="23" t="str">
        <x:v>HOLD</x:v>
      </x:c>
    </x:row>
    <x:row r="1137">
      <x:c r="B1137" s="21" t="str">
        <x:v>AR-01131</x:v>
      </x:c>
      <x:c r="C1137" s="21" t="str">
        <x:v>F29-I2</x:v>
      </x:c>
      <x:c r="D1137" s="21" t="str">
        <x:v>F29</x:v>
      </x:c>
      <x:c r="E1137" s="21" t="n">
        <x:v>1</x:v>
      </x:c>
      <x:c r="F1137" s="21" t="str">
        <x:v>Civil effect charter</x:v>
      </x:c>
      <x:c r="G1137" s="21" t="n">
        <x:v>0</x:v>
      </x:c>
      <x:c r="H1137" s="21" t="str">
        <x:v>Civil Guarantee Authority</x:v>
      </x:c>
      <x:c r="I1137" s="44" t="n">
        <x:f>Lifecycle!G7</x:f>
        <x:v>0.04941036958956453</x:v>
      </x:c>
      <x:c r="J1137" s="44" t="n">
        <x:v>0.08928571428571429</x:v>
      </x:c>
      <x:c r="K1137" s="44" t="n">
        <x:f>I1137*J1137</x:f>
        <x:v>0.004411640141925405</x:v>
      </x:c>
      <x:c r="L1137" s="46" t="n">
        <x:v>0</x:v>
      </x:c>
      <x:c r="M1137" s="46" t="n">
        <x:v>0</x:v>
      </x:c>
      <x:c r="N1137" s="21" t="n">
        <x:f>1</x:f>
        <x:v>1</x:v>
      </x:c>
      <x:c r="O1137" s="21" t="n">
        <x:f>MIN('Root Data'!I346:I348)</x:f>
        <x:v>0</x:v>
      </x:c>
      <x:c r="P1137" s="44" t="n">
        <x:f>IF(AND(L1137=1,M1137=1,N1137=1,O1137&gt;=G1137),K1137,0)</x:f>
        <x:v>0</x:v>
      </x:c>
      <x:c r="Q1137" s="21" t="str">
        <x:v>OPEN</x:v>
      </x:c>
      <x:c r="R1137" s="23" t="str">
        <x:v>HOLD</x:v>
      </x:c>
    </x:row>
    <x:row r="1138">
      <x:c r="B1138" s="21" t="str">
        <x:v>AR-01132</x:v>
      </x:c>
      <x:c r="C1138" s="21" t="str">
        <x:v>F29-I2</x:v>
      </x:c>
      <x:c r="D1138" s="21" t="str">
        <x:v>F29</x:v>
      </x:c>
      <x:c r="E1138" s="21" t="n">
        <x:v>2</x:v>
      </x:c>
      <x:c r="F1138" s="21" t="str">
        <x:v>Requirement and root-independence package</x:v>
      </x:c>
      <x:c r="G1138" s="21" t="n">
        <x:v>8</x:v>
      </x:c>
      <x:c r="H1138" s="21" t="str">
        <x:v>Resilience Staff</x:v>
      </x:c>
      <x:c r="I1138" s="44" t="n">
        <x:f>Lifecycle!G8</x:f>
        <x:v>0.10211476381843337</x:v>
      </x:c>
      <x:c r="J1138" s="44" t="n">
        <x:v>0.08928571428571429</x:v>
      </x:c>
      <x:c r="K1138" s="44" t="n">
        <x:f>I1138*J1138</x:f>
        <x:v>0.009117389626645838</x:v>
      </x:c>
      <x:c r="L1138" s="46" t="n">
        <x:v>0</x:v>
      </x:c>
      <x:c r="M1138" s="46" t="n">
        <x:v>0</x:v>
      </x:c>
      <x:c r="N1138" s="21" t="n">
        <x:f>IF(AND(L1137=1,M1137=1,P1137&gt;0),1,0)</x:f>
        <x:v>0</x:v>
      </x:c>
      <x:c r="O1138" s="21" t="n">
        <x:f>MIN('Root Data'!I346:I348)</x:f>
        <x:v>0</x:v>
      </x:c>
      <x:c r="P1138" s="44" t="n">
        <x:f>IF(AND(L1138=1,M1138=1,N1138=1,O1138&gt;=G1138),K1138,0)</x:f>
        <x:v>0</x:v>
      </x:c>
      <x:c r="Q1138" s="21" t="str">
        <x:v>OPEN</x:v>
      </x:c>
      <x:c r="R1138" s="23" t="str">
        <x:v>HOLD</x:v>
      </x:c>
    </x:row>
    <x:row r="1139">
      <x:c r="B1139" s="21" t="str">
        <x:v>AR-01133</x:v>
      </x:c>
      <x:c r="C1139" s="21" t="str">
        <x:v>F29-I2</x:v>
      </x:c>
      <x:c r="D1139" s="21" t="str">
        <x:v>F29</x:v>
      </x:c>
      <x:c r="E1139" s="21" t="n">
        <x:v>3</x:v>
      </x:c>
      <x:c r="F1139" s="21" t="str">
        <x:v>Architecture and burden closure</x:v>
      </x:c>
      <x:c r="G1139" s="21" t="n">
        <x:v>14</x:v>
      </x:c>
      <x:c r="H1139" s="21" t="str">
        <x:v>Independent Evidence and Data Authority</x:v>
      </x:c>
      <x:c r="I1139" s="44" t="n">
        <x:f>Lifecycle!G9</x:f>
        <x:v>0.08564464062191186</x:v>
      </x:c>
      <x:c r="J1139" s="44" t="n">
        <x:v>0.08928571428571429</x:v>
      </x:c>
      <x:c r="K1139" s="44" t="n">
        <x:f>I1139*J1139</x:f>
        <x:v>0.007646842912670702</x:v>
      </x:c>
      <x:c r="L1139" s="46" t="n">
        <x:v>0</x:v>
      </x:c>
      <x:c r="M1139" s="46" t="n">
        <x:v>0</x:v>
      </x:c>
      <x:c r="N1139" s="21" t="n">
        <x:f>IF(AND(L1138=1,M1138=1,P1138&gt;0),1,0)</x:f>
        <x:v>0</x:v>
      </x:c>
      <x:c r="O1139" s="21" t="n">
        <x:f>MIN('Root Data'!I346:I348)</x:f>
        <x:v>0</x:v>
      </x:c>
      <x:c r="P1139" s="44" t="n">
        <x:f>IF(AND(L1139=1,M1139=1,N1139=1,O1139&gt;=G1139),K1139,0)</x:f>
        <x:v>0</x:v>
      </x:c>
      <x:c r="Q1139" s="21" t="str">
        <x:v>OPEN</x:v>
      </x:c>
      <x:c r="R1139" s="23" t="str">
        <x:v>HOLD</x:v>
      </x:c>
    </x:row>
    <x:row r="1140">
      <x:c r="B1140" s="21" t="str">
        <x:v>AR-01134</x:v>
      </x:c>
      <x:c r="C1140" s="21" t="str">
        <x:v>F29-I2</x:v>
      </x:c>
      <x:c r="D1140" s="21" t="str">
        <x:v>F29</x:v>
      </x:c>
      <x:c r="E1140" s="21" t="n">
        <x:v>4</x:v>
      </x:c>
      <x:c r="F1140" s="21" t="str">
        <x:v>Engineering article acceptance</x:v>
      </x:c>
      <x:c r="G1140" s="21" t="n">
        <x:v>18</x:v>
      </x:c>
      <x:c r="H1140" s="21" t="str">
        <x:v>Independent Evidence and Data Authority</x:v>
      </x:c>
      <x:c r="I1140" s="44" t="n">
        <x:f>Lifecycle!G10</x:f>
        <x:v>0.05929244350747744</x:v>
      </x:c>
      <x:c r="J1140" s="44" t="n">
        <x:v>0.08928571428571429</x:v>
      </x:c>
      <x:c r="K1140" s="44" t="n">
        <x:f>I1140*J1140</x:f>
        <x:v>0.005293968170310486</x:v>
      </x:c>
      <x:c r="L1140" s="46" t="n">
        <x:v>0</x:v>
      </x:c>
      <x:c r="M1140" s="46" t="n">
        <x:v>0</x:v>
      </x:c>
      <x:c r="N1140" s="21" t="n">
        <x:f>IF(AND(L1139=1,M1139=1,P1139&gt;0),1,0)</x:f>
        <x:v>0</x:v>
      </x:c>
      <x:c r="O1140" s="21" t="n">
        <x:f>MIN('Root Data'!I346:I348)</x:f>
        <x:v>0</x:v>
      </x:c>
      <x:c r="P1140" s="44" t="n">
        <x:f>IF(AND(L1140=1,M1140=1,N1140=1,O1140&gt;=G1140),K1140,0)</x:f>
        <x:v>0</x:v>
      </x:c>
      <x:c r="Q1140" s="21" t="str">
        <x:v>OPEN</x:v>
      </x:c>
      <x:c r="R1140" s="23" t="str">
        <x:v>HOLD</x:v>
      </x:c>
    </x:row>
    <x:row r="1141">
      <x:c r="B1141" s="21" t="str">
        <x:v>AR-01135</x:v>
      </x:c>
      <x:c r="C1141" s="21" t="str">
        <x:v>F29-I2</x:v>
      </x:c>
      <x:c r="D1141" s="21" t="str">
        <x:v>F29</x:v>
      </x:c>
      <x:c r="E1141" s="21" t="n">
        <x:v>5</x:v>
      </x:c>
      <x:c r="F1141" s="21" t="str">
        <x:v>Qualification and destructive evidence</x:v>
      </x:c>
      <x:c r="G1141" s="21" t="n">
        <x:v>21</x:v>
      </x:c>
      <x:c r="H1141" s="21" t="str">
        <x:v>Independent Evidence and Data Authority</x:v>
      </x:c>
      <x:c r="I1141" s="44" t="n">
        <x:f>Lifecycle!G11</x:f>
        <x:v>0.1515251334079979</x:v>
      </x:c>
      <x:c r="J1141" s="44" t="n">
        <x:v>0.08928571428571429</x:v>
      </x:c>
      <x:c r="K1141" s="44" t="n">
        <x:f>I1141*J1141</x:f>
        <x:v>0.013529029768571241</x:v>
      </x:c>
      <x:c r="L1141" s="46" t="n">
        <x:v>0</x:v>
      </x:c>
      <x:c r="M1141" s="46" t="n">
        <x:v>0</x:v>
      </x:c>
      <x:c r="N1141" s="21" t="n">
        <x:f>IF(AND(L1140=1,M1140=1,P1140&gt;0),1,0)</x:f>
        <x:v>0</x:v>
      </x:c>
      <x:c r="O1141" s="21" t="n">
        <x:f>MIN('Root Data'!I346:I348)</x:f>
        <x:v>0</x:v>
      </x:c>
      <x:c r="P1141" s="44" t="n">
        <x:f>IF(AND(L1141=1,M1141=1,N1141=1,O1141&gt;=G1141),K1141,0)</x:f>
        <x:v>0</x:v>
      </x:c>
      <x:c r="Q1141" s="21" t="str">
        <x:v>OPEN</x:v>
      </x:c>
      <x:c r="R1141" s="23" t="str">
        <x:v>HOLD</x:v>
      </x:c>
    </x:row>
    <x:row r="1142">
      <x:c r="B1142" s="21" t="str">
        <x:v>AR-01136</x:v>
      </x:c>
      <x:c r="C1142" s="21" t="str">
        <x:v>F29-I2</x:v>
      </x:c>
      <x:c r="D1142" s="21" t="str">
        <x:v>F29</x:v>
      </x:c>
      <x:c r="E1142" s="21" t="n">
        <x:v>6</x:v>
      </x:c>
      <x:c r="F1142" s="21" t="str">
        <x:v>Representative mission result</x:v>
      </x:c>
      <x:c r="G1142" s="21" t="n">
        <x:v>23</x:v>
      </x:c>
      <x:c r="H1142" s="21" t="str">
        <x:v>Receiving Service Authority</x:v>
      </x:c>
      <x:c r="I1142" s="44" t="n">
        <x:f>Lifecycle!G12</x:f>
        <x:v>0.250345872587127</x:v>
      </x:c>
      <x:c r="J1142" s="44" t="n">
        <x:v>0.08928571428571429</x:v>
      </x:c>
      <x:c r="K1142" s="44" t="n">
        <x:f>I1142*J1142</x:f>
        <x:v>0.022352310052422053</x:v>
      </x:c>
      <x:c r="L1142" s="46" t="n">
        <x:v>0</x:v>
      </x:c>
      <x:c r="M1142" s="46" t="n">
        <x:v>0</x:v>
      </x:c>
      <x:c r="N1142" s="21" t="n">
        <x:f>IF(AND(L1141=1,M1141=1,P1141&gt;0),1,0)</x:f>
        <x:v>0</x:v>
      </x:c>
      <x:c r="O1142" s="21" t="n">
        <x:f>MIN('Root Data'!I346:I348)</x:f>
        <x:v>0</x:v>
      </x:c>
      <x:c r="P1142" s="44" t="n">
        <x:f>IF(AND(L1142=1,M1142=1,N1142=1,O1142&gt;=G1142),K1142,0)</x:f>
        <x:v>0</x:v>
      </x:c>
      <x:c r="Q1142" s="21" t="str">
        <x:v>OPEN</x:v>
      </x:c>
      <x:c r="R1142" s="23" t="str">
        <x:v>HOLD</x:v>
      </x:c>
    </x:row>
    <x:row r="1143">
      <x:c r="B1143" s="21" t="str">
        <x:v>AR-01137</x:v>
      </x:c>
      <x:c r="C1143" s="21" t="str">
        <x:v>F29-I2</x:v>
      </x:c>
      <x:c r="D1143" s="21" t="str">
        <x:v>F29</x:v>
      </x:c>
      <x:c r="E1143" s="21" t="n">
        <x:v>7</x:v>
      </x:c>
      <x:c r="F1143" s="21" t="str">
        <x:v>Independent reproduction</x:v>
      </x:c>
      <x:c r="G1143" s="21" t="n">
        <x:v>28</x:v>
      </x:c>
      <x:c r="H1143" s="21" t="str">
        <x:v>Independent Evidence and Data Authority</x:v>
      </x:c>
      <x:c r="I1143" s="44" t="n">
        <x:f>Lifecycle!G13</x:f>
        <x:v>0.21740562619408393</x:v>
      </x:c>
      <x:c r="J1143" s="44" t="n">
        <x:v>0.08928571428571429</x:v>
      </x:c>
      <x:c r="K1143" s="44" t="n">
        <x:f>I1143*J1143</x:f>
        <x:v>0.019411216624471782</x:v>
      </x:c>
      <x:c r="L1143" s="46" t="n">
        <x:v>0</x:v>
      </x:c>
      <x:c r="M1143" s="46" t="n">
        <x:v>0</x:v>
      </x:c>
      <x:c r="N1143" s="21" t="n">
        <x:f>IF(AND(L1142=1,M1142=1,P1142&gt;0),1,0)</x:f>
        <x:v>0</x:v>
      </x:c>
      <x:c r="O1143" s="21" t="n">
        <x:f>MIN('Root Data'!I346:I348)</x:f>
        <x:v>0</x:v>
      </x:c>
      <x:c r="P1143" s="44" t="n">
        <x:f>IF(AND(L1143=1,M1143=1,N1143=1,O1143&gt;=G1143),K1143,0)</x:f>
        <x:v>0</x:v>
      </x:c>
      <x:c r="Q1143" s="21" t="str">
        <x:v>OPEN</x:v>
      </x:c>
      <x:c r="R1143" s="23" t="str">
        <x:v>HOLD</x:v>
      </x:c>
    </x:row>
    <x:row r="1144">
      <x:c r="B1144" s="21" t="str">
        <x:v>AR-01138</x:v>
      </x:c>
      <x:c r="C1144" s="21" t="str">
        <x:v>F29-I2</x:v>
      </x:c>
      <x:c r="D1144" s="21" t="str">
        <x:v>F29</x:v>
      </x:c>
      <x:c r="E1144" s="21" t="n">
        <x:v>8</x:v>
      </x:c>
      <x:c r="F1144" s="21" t="str">
        <x:v>Pilot-process qualification</x:v>
      </x:c>
      <x:c r="G1144" s="21" t="n">
        <x:v>28</x:v>
      </x:c>
      <x:c r="H1144" s="21" t="str">
        <x:v>AIMC Industrial Mobilization Authority</x:v>
      </x:c>
      <x:c r="I1144" s="44" t="n">
        <x:f>Lifecycle!G14</x:f>
        <x:v>0.03952829567165163</x:v>
      </x:c>
      <x:c r="J1144" s="44" t="n">
        <x:v>0.08928571428571429</x:v>
      </x:c>
      <x:c r="K1144" s="44" t="n">
        <x:f>I1144*J1144</x:f>
        <x:v>0.003529312113540324</x:v>
      </x:c>
      <x:c r="L1144" s="46" t="n">
        <x:v>0</x:v>
      </x:c>
      <x:c r="M1144" s="46" t="n">
        <x:v>0</x:v>
      </x:c>
      <x:c r="N1144" s="21" t="n">
        <x:f>IF(AND(L1143=1,M1143=1,P1143&gt;0),1,0)</x:f>
        <x:v>0</x:v>
      </x:c>
      <x:c r="O1144" s="21" t="n">
        <x:f>MIN('Root Data'!I346:I348)</x:f>
        <x:v>0</x:v>
      </x:c>
      <x:c r="P1144" s="44" t="n">
        <x:f>IF(AND(L1144=1,M1144=1,N1144=1,O1144&gt;=G1144),K1144,0)</x:f>
        <x:v>0</x:v>
      </x:c>
      <x:c r="Q1144" s="21" t="str">
        <x:v>OPEN</x:v>
      </x:c>
      <x:c r="R1144" s="23" t="str">
        <x:v>HOLD</x:v>
      </x:c>
    </x:row>
    <x:row r="1145">
      <x:c r="B1145" s="21" t="str">
        <x:v>AR-01139</x:v>
      </x:c>
      <x:c r="C1145" s="21" t="str">
        <x:v>F29-I2</x:v>
      </x:c>
      <x:c r="D1145" s="21" t="str">
        <x:v>F29</x:v>
      </x:c>
      <x:c r="E1145" s="21" t="n">
        <x:v>9</x:v>
      </x:c>
      <x:c r="F1145" s="21" t="str">
        <x:v>Production release package</x:v>
      </x:c>
      <x:c r="G1145" s="21" t="n">
        <x:v>28</x:v>
      </x:c>
      <x:c r="H1145" s="21" t="str">
        <x:v>Production Release Board</x:v>
      </x:c>
      <x:c r="I1145" s="44" t="n">
        <x:f>Lifecycle!G15</x:f>
        <x:v>0.01647012319652151</x:v>
      </x:c>
      <x:c r="J1145" s="44" t="n">
        <x:v>0.08928571428571429</x:v>
      </x:c>
      <x:c r="K1145" s="44" t="n">
        <x:f>I1145*J1145</x:f>
        <x:v>0.001470546713975135</x:v>
      </x:c>
      <x:c r="L1145" s="46" t="n">
        <x:v>0</x:v>
      </x:c>
      <x:c r="M1145" s="46" t="n">
        <x:v>0</x:v>
      </x:c>
      <x:c r="N1145" s="21" t="n">
        <x:f>IF(AND(L1144=1,M1144=1,P1144&gt;0),1,0)</x:f>
        <x:v>0</x:v>
      </x:c>
      <x:c r="O1145" s="21" t="n">
        <x:f>MIN('Root Data'!I346:I348)</x:f>
        <x:v>0</x:v>
      </x:c>
      <x:c r="P1145" s="44" t="n">
        <x:f>IF(AND(L1145=1,M1145=1,N1145=1,O1145&gt;=G1145),K1145,0)</x:f>
        <x:v>0</x:v>
      </x:c>
      <x:c r="Q1145" s="21" t="str">
        <x:v>OPEN</x:v>
      </x:c>
      <x:c r="R1145" s="23" t="str">
        <x:v>HOLD</x:v>
      </x:c>
    </x:row>
    <x:row r="1146">
      <x:c r="B1146" s="21" t="str">
        <x:v>AR-01140</x:v>
      </x:c>
      <x:c r="C1146" s="21" t="str">
        <x:v>F29-I2</x:v>
      </x:c>
      <x:c r="D1146" s="21" t="str">
        <x:v>F29</x:v>
      </x:c>
      <x:c r="E1146" s="21" t="n">
        <x:v>10</x:v>
      </x:c>
      <x:c r="F1146" s="21" t="str">
        <x:v>Mobilization activation</x:v>
      </x:c>
      <x:c r="G1146" s="21" t="n">
        <x:v>28</x:v>
      </x:c>
      <x:c r="H1146" s="21" t="str">
        <x:v>Production Release Board</x:v>
      </x:c>
      <x:c r="I1146" s="44" t="n">
        <x:f>Lifecycle!G16</x:f>
        <x:v>0.028262731405230914</x:v>
      </x:c>
      <x:c r="J1146" s="44" t="n">
        <x:v>0.08928571428571429</x:v>
      </x:c>
      <x:c r="K1146" s="44" t="n">
        <x:f>I1146*J1146</x:f>
        <x:v>0.002523458161181332</x:v>
      </x:c>
      <x:c r="L1146" s="46" t="n">
        <x:v>0</x:v>
      </x:c>
      <x:c r="M1146" s="46" t="n">
        <x:v>0</x:v>
      </x:c>
      <x:c r="N1146" s="21" t="n">
        <x:f>IF(AND(L1145=1,M1145=1,P1145&gt;0),1,0)</x:f>
        <x:v>0</x:v>
      </x:c>
      <x:c r="O1146" s="21" t="n">
        <x:f>MIN('Root Data'!I346:I348)</x:f>
        <x:v>0</x:v>
      </x:c>
      <x:c r="P1146" s="44" t="n">
        <x:f>IF(AND(L1146=1,M1146=1,N1146=1,O1146&gt;=G1146),K1146,0)</x:f>
        <x:v>0</x:v>
      </x:c>
      <x:c r="Q1146" s="21" t="str">
        <x:v>OPEN</x:v>
      </x:c>
      <x:c r="R1146" s="23" t="str">
        <x:v>HOLD</x:v>
      </x:c>
    </x:row>
    <x:row r="1147">
      <x:c r="B1147" s="21" t="str">
        <x:v>AR-01141</x:v>
      </x:c>
      <x:c r="C1147" s="21" t="str">
        <x:v>F29-I3</x:v>
      </x:c>
      <x:c r="D1147" s="21" t="str">
        <x:v>F29</x:v>
      </x:c>
      <x:c r="E1147" s="21" t="n">
        <x:v>1</x:v>
      </x:c>
      <x:c r="F1147" s="21" t="str">
        <x:v>Civil effect charter</x:v>
      </x:c>
      <x:c r="G1147" s="21" t="n">
        <x:v>0</x:v>
      </x:c>
      <x:c r="H1147" s="21" t="str">
        <x:v>Civil Guarantee Authority</x:v>
      </x:c>
      <x:c r="I1147" s="44" t="n">
        <x:f>Lifecycle!G7</x:f>
        <x:v>0.04941036958956453</x:v>
      </x:c>
      <x:c r="J1147" s="44" t="n">
        <x:v>0.08928571428571429</x:v>
      </x:c>
      <x:c r="K1147" s="44" t="n">
        <x:f>I1147*J1147</x:f>
        <x:v>0.004411640141925405</x:v>
      </x:c>
      <x:c r="L1147" s="46" t="n">
        <x:v>0</x:v>
      </x:c>
      <x:c r="M1147" s="46" t="n">
        <x:v>0</x:v>
      </x:c>
      <x:c r="N1147" s="21" t="n">
        <x:f>1</x:f>
        <x:v>1</x:v>
      </x:c>
      <x:c r="O1147" s="21" t="n">
        <x:f>MIN('Root Data'!I349:I351)</x:f>
        <x:v>0</x:v>
      </x:c>
      <x:c r="P1147" s="44" t="n">
        <x:f>IF(AND(L1147=1,M1147=1,N1147=1,O1147&gt;=G1147),K1147,0)</x:f>
        <x:v>0</x:v>
      </x:c>
      <x:c r="Q1147" s="21" t="str">
        <x:v>OPEN</x:v>
      </x:c>
      <x:c r="R1147" s="23" t="str">
        <x:v>HOLD</x:v>
      </x:c>
    </x:row>
    <x:row r="1148">
      <x:c r="B1148" s="21" t="str">
        <x:v>AR-01142</x:v>
      </x:c>
      <x:c r="C1148" s="21" t="str">
        <x:v>F29-I3</x:v>
      </x:c>
      <x:c r="D1148" s="21" t="str">
        <x:v>F29</x:v>
      </x:c>
      <x:c r="E1148" s="21" t="n">
        <x:v>2</x:v>
      </x:c>
      <x:c r="F1148" s="21" t="str">
        <x:v>Requirement and root-independence package</x:v>
      </x:c>
      <x:c r="G1148" s="21" t="n">
        <x:v>8</x:v>
      </x:c>
      <x:c r="H1148" s="21" t="str">
        <x:v>Resilience Staff</x:v>
      </x:c>
      <x:c r="I1148" s="44" t="n">
        <x:f>Lifecycle!G8</x:f>
        <x:v>0.10211476381843337</x:v>
      </x:c>
      <x:c r="J1148" s="44" t="n">
        <x:v>0.08928571428571429</x:v>
      </x:c>
      <x:c r="K1148" s="44" t="n">
        <x:f>I1148*J1148</x:f>
        <x:v>0.009117389626645838</x:v>
      </x:c>
      <x:c r="L1148" s="46" t="n">
        <x:v>0</x:v>
      </x:c>
      <x:c r="M1148" s="46" t="n">
        <x:v>0</x:v>
      </x:c>
      <x:c r="N1148" s="21" t="n">
        <x:f>IF(AND(L1147=1,M1147=1,P1147&gt;0),1,0)</x:f>
        <x:v>0</x:v>
      </x:c>
      <x:c r="O1148" s="21" t="n">
        <x:f>MIN('Root Data'!I349:I351)</x:f>
        <x:v>0</x:v>
      </x:c>
      <x:c r="P1148" s="44" t="n">
        <x:f>IF(AND(L1148=1,M1148=1,N1148=1,O1148&gt;=G1148),K1148,0)</x:f>
        <x:v>0</x:v>
      </x:c>
      <x:c r="Q1148" s="21" t="str">
        <x:v>OPEN</x:v>
      </x:c>
      <x:c r="R1148" s="23" t="str">
        <x:v>HOLD</x:v>
      </x:c>
    </x:row>
    <x:row r="1149">
      <x:c r="B1149" s="21" t="str">
        <x:v>AR-01143</x:v>
      </x:c>
      <x:c r="C1149" s="21" t="str">
        <x:v>F29-I3</x:v>
      </x:c>
      <x:c r="D1149" s="21" t="str">
        <x:v>F29</x:v>
      </x:c>
      <x:c r="E1149" s="21" t="n">
        <x:v>3</x:v>
      </x:c>
      <x:c r="F1149" s="21" t="str">
        <x:v>Architecture and burden closure</x:v>
      </x:c>
      <x:c r="G1149" s="21" t="n">
        <x:v>14</x:v>
      </x:c>
      <x:c r="H1149" s="21" t="str">
        <x:v>Independent Evidence and Data Authority</x:v>
      </x:c>
      <x:c r="I1149" s="44" t="n">
        <x:f>Lifecycle!G9</x:f>
        <x:v>0.08564464062191186</x:v>
      </x:c>
      <x:c r="J1149" s="44" t="n">
        <x:v>0.08928571428571429</x:v>
      </x:c>
      <x:c r="K1149" s="44" t="n">
        <x:f>I1149*J1149</x:f>
        <x:v>0.007646842912670702</x:v>
      </x:c>
      <x:c r="L1149" s="46" t="n">
        <x:v>0</x:v>
      </x:c>
      <x:c r="M1149" s="46" t="n">
        <x:v>0</x:v>
      </x:c>
      <x:c r="N1149" s="21" t="n">
        <x:f>IF(AND(L1148=1,M1148=1,P1148&gt;0),1,0)</x:f>
        <x:v>0</x:v>
      </x:c>
      <x:c r="O1149" s="21" t="n">
        <x:f>MIN('Root Data'!I349:I351)</x:f>
        <x:v>0</x:v>
      </x:c>
      <x:c r="P1149" s="44" t="n">
        <x:f>IF(AND(L1149=1,M1149=1,N1149=1,O1149&gt;=G1149),K1149,0)</x:f>
        <x:v>0</x:v>
      </x:c>
      <x:c r="Q1149" s="21" t="str">
        <x:v>OPEN</x:v>
      </x:c>
      <x:c r="R1149" s="23" t="str">
        <x:v>HOLD</x:v>
      </x:c>
    </x:row>
    <x:row r="1150">
      <x:c r="B1150" s="21" t="str">
        <x:v>AR-01144</x:v>
      </x:c>
      <x:c r="C1150" s="21" t="str">
        <x:v>F29-I3</x:v>
      </x:c>
      <x:c r="D1150" s="21" t="str">
        <x:v>F29</x:v>
      </x:c>
      <x:c r="E1150" s="21" t="n">
        <x:v>4</x:v>
      </x:c>
      <x:c r="F1150" s="21" t="str">
        <x:v>Engineering article acceptance</x:v>
      </x:c>
      <x:c r="G1150" s="21" t="n">
        <x:v>18</x:v>
      </x:c>
      <x:c r="H1150" s="21" t="str">
        <x:v>Independent Evidence and Data Authority</x:v>
      </x:c>
      <x:c r="I1150" s="44" t="n">
        <x:f>Lifecycle!G10</x:f>
        <x:v>0.05929244350747744</x:v>
      </x:c>
      <x:c r="J1150" s="44" t="n">
        <x:v>0.08928571428571429</x:v>
      </x:c>
      <x:c r="K1150" s="44" t="n">
        <x:f>I1150*J1150</x:f>
        <x:v>0.005293968170310486</x:v>
      </x:c>
      <x:c r="L1150" s="46" t="n">
        <x:v>0</x:v>
      </x:c>
      <x:c r="M1150" s="46" t="n">
        <x:v>0</x:v>
      </x:c>
      <x:c r="N1150" s="21" t="n">
        <x:f>IF(AND(L1149=1,M1149=1,P1149&gt;0),1,0)</x:f>
        <x:v>0</x:v>
      </x:c>
      <x:c r="O1150" s="21" t="n">
        <x:f>MIN('Root Data'!I349:I351)</x:f>
        <x:v>0</x:v>
      </x:c>
      <x:c r="P1150" s="44" t="n">
        <x:f>IF(AND(L1150=1,M1150=1,N1150=1,O1150&gt;=G1150),K1150,0)</x:f>
        <x:v>0</x:v>
      </x:c>
      <x:c r="Q1150" s="21" t="str">
        <x:v>OPEN</x:v>
      </x:c>
      <x:c r="R1150" s="23" t="str">
        <x:v>HOLD</x:v>
      </x:c>
    </x:row>
    <x:row r="1151">
      <x:c r="B1151" s="21" t="str">
        <x:v>AR-01145</x:v>
      </x:c>
      <x:c r="C1151" s="21" t="str">
        <x:v>F29-I3</x:v>
      </x:c>
      <x:c r="D1151" s="21" t="str">
        <x:v>F29</x:v>
      </x:c>
      <x:c r="E1151" s="21" t="n">
        <x:v>5</x:v>
      </x:c>
      <x:c r="F1151" s="21" t="str">
        <x:v>Qualification and destructive evidence</x:v>
      </x:c>
      <x:c r="G1151" s="21" t="n">
        <x:v>21</x:v>
      </x:c>
      <x:c r="H1151" s="21" t="str">
        <x:v>Independent Evidence and Data Authority</x:v>
      </x:c>
      <x:c r="I1151" s="44" t="n">
        <x:f>Lifecycle!G11</x:f>
        <x:v>0.1515251334079979</x:v>
      </x:c>
      <x:c r="J1151" s="44" t="n">
        <x:v>0.08928571428571429</x:v>
      </x:c>
      <x:c r="K1151" s="44" t="n">
        <x:f>I1151*J1151</x:f>
        <x:v>0.013529029768571241</x:v>
      </x:c>
      <x:c r="L1151" s="46" t="n">
        <x:v>0</x:v>
      </x:c>
      <x:c r="M1151" s="46" t="n">
        <x:v>0</x:v>
      </x:c>
      <x:c r="N1151" s="21" t="n">
        <x:f>IF(AND(L1150=1,M1150=1,P1150&gt;0),1,0)</x:f>
        <x:v>0</x:v>
      </x:c>
      <x:c r="O1151" s="21" t="n">
        <x:f>MIN('Root Data'!I349:I351)</x:f>
        <x:v>0</x:v>
      </x:c>
      <x:c r="P1151" s="44" t="n">
        <x:f>IF(AND(L1151=1,M1151=1,N1151=1,O1151&gt;=G1151),K1151,0)</x:f>
        <x:v>0</x:v>
      </x:c>
      <x:c r="Q1151" s="21" t="str">
        <x:v>OPEN</x:v>
      </x:c>
      <x:c r="R1151" s="23" t="str">
        <x:v>HOLD</x:v>
      </x:c>
    </x:row>
    <x:row r="1152">
      <x:c r="B1152" s="21" t="str">
        <x:v>AR-01146</x:v>
      </x:c>
      <x:c r="C1152" s="21" t="str">
        <x:v>F29-I3</x:v>
      </x:c>
      <x:c r="D1152" s="21" t="str">
        <x:v>F29</x:v>
      </x:c>
      <x:c r="E1152" s="21" t="n">
        <x:v>6</x:v>
      </x:c>
      <x:c r="F1152" s="21" t="str">
        <x:v>Representative mission result</x:v>
      </x:c>
      <x:c r="G1152" s="21" t="n">
        <x:v>23</x:v>
      </x:c>
      <x:c r="H1152" s="21" t="str">
        <x:v>Receiving Service Authority</x:v>
      </x:c>
      <x:c r="I1152" s="44" t="n">
        <x:f>Lifecycle!G12</x:f>
        <x:v>0.250345872587127</x:v>
      </x:c>
      <x:c r="J1152" s="44" t="n">
        <x:v>0.08928571428571429</x:v>
      </x:c>
      <x:c r="K1152" s="44" t="n">
        <x:f>I1152*J1152</x:f>
        <x:v>0.022352310052422053</x:v>
      </x:c>
      <x:c r="L1152" s="46" t="n">
        <x:v>0</x:v>
      </x:c>
      <x:c r="M1152" s="46" t="n">
        <x:v>0</x:v>
      </x:c>
      <x:c r="N1152" s="21" t="n">
        <x:f>IF(AND(L1151=1,M1151=1,P1151&gt;0),1,0)</x:f>
        <x:v>0</x:v>
      </x:c>
      <x:c r="O1152" s="21" t="n">
        <x:f>MIN('Root Data'!I349:I351)</x:f>
        <x:v>0</x:v>
      </x:c>
      <x:c r="P1152" s="44" t="n">
        <x:f>IF(AND(L1152=1,M1152=1,N1152=1,O1152&gt;=G1152),K1152,0)</x:f>
        <x:v>0</x:v>
      </x:c>
      <x:c r="Q1152" s="21" t="str">
        <x:v>OPEN</x:v>
      </x:c>
      <x:c r="R1152" s="23" t="str">
        <x:v>HOLD</x:v>
      </x:c>
    </x:row>
    <x:row r="1153">
      <x:c r="B1153" s="21" t="str">
        <x:v>AR-01147</x:v>
      </x:c>
      <x:c r="C1153" s="21" t="str">
        <x:v>F29-I3</x:v>
      </x:c>
      <x:c r="D1153" s="21" t="str">
        <x:v>F29</x:v>
      </x:c>
      <x:c r="E1153" s="21" t="n">
        <x:v>7</x:v>
      </x:c>
      <x:c r="F1153" s="21" t="str">
        <x:v>Independent reproduction</x:v>
      </x:c>
      <x:c r="G1153" s="21" t="n">
        <x:v>28</x:v>
      </x:c>
      <x:c r="H1153" s="21" t="str">
        <x:v>Independent Evidence and Data Authority</x:v>
      </x:c>
      <x:c r="I1153" s="44" t="n">
        <x:f>Lifecycle!G13</x:f>
        <x:v>0.21740562619408393</x:v>
      </x:c>
      <x:c r="J1153" s="44" t="n">
        <x:v>0.08928571428571429</x:v>
      </x:c>
      <x:c r="K1153" s="44" t="n">
        <x:f>I1153*J1153</x:f>
        <x:v>0.019411216624471782</x:v>
      </x:c>
      <x:c r="L1153" s="46" t="n">
        <x:v>0</x:v>
      </x:c>
      <x:c r="M1153" s="46" t="n">
        <x:v>0</x:v>
      </x:c>
      <x:c r="N1153" s="21" t="n">
        <x:f>IF(AND(L1152=1,M1152=1,P1152&gt;0),1,0)</x:f>
        <x:v>0</x:v>
      </x:c>
      <x:c r="O1153" s="21" t="n">
        <x:f>MIN('Root Data'!I349:I351)</x:f>
        <x:v>0</x:v>
      </x:c>
      <x:c r="P1153" s="44" t="n">
        <x:f>IF(AND(L1153=1,M1153=1,N1153=1,O1153&gt;=G1153),K1153,0)</x:f>
        <x:v>0</x:v>
      </x:c>
      <x:c r="Q1153" s="21" t="str">
        <x:v>OPEN</x:v>
      </x:c>
      <x:c r="R1153" s="23" t="str">
        <x:v>HOLD</x:v>
      </x:c>
    </x:row>
    <x:row r="1154">
      <x:c r="B1154" s="21" t="str">
        <x:v>AR-01148</x:v>
      </x:c>
      <x:c r="C1154" s="21" t="str">
        <x:v>F29-I3</x:v>
      </x:c>
      <x:c r="D1154" s="21" t="str">
        <x:v>F29</x:v>
      </x:c>
      <x:c r="E1154" s="21" t="n">
        <x:v>8</x:v>
      </x:c>
      <x:c r="F1154" s="21" t="str">
        <x:v>Pilot-process qualification</x:v>
      </x:c>
      <x:c r="G1154" s="21" t="n">
        <x:v>28</x:v>
      </x:c>
      <x:c r="H1154" s="21" t="str">
        <x:v>AIMC Industrial Mobilization Authority</x:v>
      </x:c>
      <x:c r="I1154" s="44" t="n">
        <x:f>Lifecycle!G14</x:f>
        <x:v>0.03952829567165163</x:v>
      </x:c>
      <x:c r="J1154" s="44" t="n">
        <x:v>0.08928571428571429</x:v>
      </x:c>
      <x:c r="K1154" s="44" t="n">
        <x:f>I1154*J1154</x:f>
        <x:v>0.003529312113540324</x:v>
      </x:c>
      <x:c r="L1154" s="46" t="n">
        <x:v>0</x:v>
      </x:c>
      <x:c r="M1154" s="46" t="n">
        <x:v>0</x:v>
      </x:c>
      <x:c r="N1154" s="21" t="n">
        <x:f>IF(AND(L1153=1,M1153=1,P1153&gt;0),1,0)</x:f>
        <x:v>0</x:v>
      </x:c>
      <x:c r="O1154" s="21" t="n">
        <x:f>MIN('Root Data'!I349:I351)</x:f>
        <x:v>0</x:v>
      </x:c>
      <x:c r="P1154" s="44" t="n">
        <x:f>IF(AND(L1154=1,M1154=1,N1154=1,O1154&gt;=G1154),K1154,0)</x:f>
        <x:v>0</x:v>
      </x:c>
      <x:c r="Q1154" s="21" t="str">
        <x:v>OPEN</x:v>
      </x:c>
      <x:c r="R1154" s="23" t="str">
        <x:v>HOLD</x:v>
      </x:c>
    </x:row>
    <x:row r="1155">
      <x:c r="B1155" s="21" t="str">
        <x:v>AR-01149</x:v>
      </x:c>
      <x:c r="C1155" s="21" t="str">
        <x:v>F29-I3</x:v>
      </x:c>
      <x:c r="D1155" s="21" t="str">
        <x:v>F29</x:v>
      </x:c>
      <x:c r="E1155" s="21" t="n">
        <x:v>9</x:v>
      </x:c>
      <x:c r="F1155" s="21" t="str">
        <x:v>Production release package</x:v>
      </x:c>
      <x:c r="G1155" s="21" t="n">
        <x:v>28</x:v>
      </x:c>
      <x:c r="H1155" s="21" t="str">
        <x:v>Production Release Board</x:v>
      </x:c>
      <x:c r="I1155" s="44" t="n">
        <x:f>Lifecycle!G15</x:f>
        <x:v>0.01647012319652151</x:v>
      </x:c>
      <x:c r="J1155" s="44" t="n">
        <x:v>0.08928571428571429</x:v>
      </x:c>
      <x:c r="K1155" s="44" t="n">
        <x:f>I1155*J1155</x:f>
        <x:v>0.001470546713975135</x:v>
      </x:c>
      <x:c r="L1155" s="46" t="n">
        <x:v>0</x:v>
      </x:c>
      <x:c r="M1155" s="46" t="n">
        <x:v>0</x:v>
      </x:c>
      <x:c r="N1155" s="21" t="n">
        <x:f>IF(AND(L1154=1,M1154=1,P1154&gt;0),1,0)</x:f>
        <x:v>0</x:v>
      </x:c>
      <x:c r="O1155" s="21" t="n">
        <x:f>MIN('Root Data'!I349:I351)</x:f>
        <x:v>0</x:v>
      </x:c>
      <x:c r="P1155" s="44" t="n">
        <x:f>IF(AND(L1155=1,M1155=1,N1155=1,O1155&gt;=G1155),K1155,0)</x:f>
        <x:v>0</x:v>
      </x:c>
      <x:c r="Q1155" s="21" t="str">
        <x:v>OPEN</x:v>
      </x:c>
      <x:c r="R1155" s="23" t="str">
        <x:v>HOLD</x:v>
      </x:c>
    </x:row>
    <x:row r="1156">
      <x:c r="B1156" s="21" t="str">
        <x:v>AR-01150</x:v>
      </x:c>
      <x:c r="C1156" s="21" t="str">
        <x:v>F29-I3</x:v>
      </x:c>
      <x:c r="D1156" s="21" t="str">
        <x:v>F29</x:v>
      </x:c>
      <x:c r="E1156" s="21" t="n">
        <x:v>10</x:v>
      </x:c>
      <x:c r="F1156" s="21" t="str">
        <x:v>Mobilization activation</x:v>
      </x:c>
      <x:c r="G1156" s="21" t="n">
        <x:v>28</x:v>
      </x:c>
      <x:c r="H1156" s="21" t="str">
        <x:v>Production Release Board</x:v>
      </x:c>
      <x:c r="I1156" s="44" t="n">
        <x:f>Lifecycle!G16</x:f>
        <x:v>0.028262731405230914</x:v>
      </x:c>
      <x:c r="J1156" s="44" t="n">
        <x:v>0.08928571428571429</x:v>
      </x:c>
      <x:c r="K1156" s="44" t="n">
        <x:f>I1156*J1156</x:f>
        <x:v>0.002523458161181332</x:v>
      </x:c>
      <x:c r="L1156" s="46" t="n">
        <x:v>0</x:v>
      </x:c>
      <x:c r="M1156" s="46" t="n">
        <x:v>0</x:v>
      </x:c>
      <x:c r="N1156" s="21" t="n">
        <x:f>IF(AND(L1155=1,M1155=1,P1155&gt;0),1,0)</x:f>
        <x:v>0</x:v>
      </x:c>
      <x:c r="O1156" s="21" t="n">
        <x:f>MIN('Root Data'!I349:I351)</x:f>
        <x:v>0</x:v>
      </x:c>
      <x:c r="P1156" s="44" t="n">
        <x:f>IF(AND(L1156=1,M1156=1,N1156=1,O1156&gt;=G1156),K1156,0)</x:f>
        <x:v>0</x:v>
      </x:c>
      <x:c r="Q1156" s="21" t="str">
        <x:v>OPEN</x:v>
      </x:c>
      <x:c r="R1156" s="23" t="str">
        <x:v>HOLD</x:v>
      </x:c>
    </x:row>
    <x:row r="1157">
      <x:c r="B1157" s="21" t="str">
        <x:v>AR-01151</x:v>
      </x:c>
      <x:c r="C1157" s="21" t="str">
        <x:v>F29-I4</x:v>
      </x:c>
      <x:c r="D1157" s="21" t="str">
        <x:v>F29</x:v>
      </x:c>
      <x:c r="E1157" s="21" t="n">
        <x:v>1</x:v>
      </x:c>
      <x:c r="F1157" s="21" t="str">
        <x:v>Civil effect charter</x:v>
      </x:c>
      <x:c r="G1157" s="21" t="n">
        <x:v>0</x:v>
      </x:c>
      <x:c r="H1157" s="21" t="str">
        <x:v>Civil Guarantee Authority</x:v>
      </x:c>
      <x:c r="I1157" s="44" t="n">
        <x:f>Lifecycle!G7</x:f>
        <x:v>0.04941036958956453</x:v>
      </x:c>
      <x:c r="J1157" s="44" t="n">
        <x:v>0.08928571428571429</x:v>
      </x:c>
      <x:c r="K1157" s="44" t="n">
        <x:f>I1157*J1157</x:f>
        <x:v>0.004411640141925405</x:v>
      </x:c>
      <x:c r="L1157" s="46" t="n">
        <x:v>0</x:v>
      </x:c>
      <x:c r="M1157" s="46" t="n">
        <x:v>0</x:v>
      </x:c>
      <x:c r="N1157" s="21" t="n">
        <x:f>1</x:f>
        <x:v>1</x:v>
      </x:c>
      <x:c r="O1157" s="21" t="n">
        <x:f>MIN('Root Data'!I352:I354)</x:f>
        <x:v>0</x:v>
      </x:c>
      <x:c r="P1157" s="44" t="n">
        <x:f>IF(AND(L1157=1,M1157=1,N1157=1,O1157&gt;=G1157),K1157,0)</x:f>
        <x:v>0</x:v>
      </x:c>
      <x:c r="Q1157" s="21" t="str">
        <x:v>OPEN</x:v>
      </x:c>
      <x:c r="R1157" s="23" t="str">
        <x:v>HOLD</x:v>
      </x:c>
    </x:row>
    <x:row r="1158">
      <x:c r="B1158" s="21" t="str">
        <x:v>AR-01152</x:v>
      </x:c>
      <x:c r="C1158" s="21" t="str">
        <x:v>F29-I4</x:v>
      </x:c>
      <x:c r="D1158" s="21" t="str">
        <x:v>F29</x:v>
      </x:c>
      <x:c r="E1158" s="21" t="n">
        <x:v>2</x:v>
      </x:c>
      <x:c r="F1158" s="21" t="str">
        <x:v>Requirement and root-independence package</x:v>
      </x:c>
      <x:c r="G1158" s="21" t="n">
        <x:v>8</x:v>
      </x:c>
      <x:c r="H1158" s="21" t="str">
        <x:v>Resilience Staff</x:v>
      </x:c>
      <x:c r="I1158" s="44" t="n">
        <x:f>Lifecycle!G8</x:f>
        <x:v>0.10211476381843337</x:v>
      </x:c>
      <x:c r="J1158" s="44" t="n">
        <x:v>0.08928571428571429</x:v>
      </x:c>
      <x:c r="K1158" s="44" t="n">
        <x:f>I1158*J1158</x:f>
        <x:v>0.009117389626645838</x:v>
      </x:c>
      <x:c r="L1158" s="46" t="n">
        <x:v>0</x:v>
      </x:c>
      <x:c r="M1158" s="46" t="n">
        <x:v>0</x:v>
      </x:c>
      <x:c r="N1158" s="21" t="n">
        <x:f>IF(AND(L1157=1,M1157=1,P1157&gt;0),1,0)</x:f>
        <x:v>0</x:v>
      </x:c>
      <x:c r="O1158" s="21" t="n">
        <x:f>MIN('Root Data'!I352:I354)</x:f>
        <x:v>0</x:v>
      </x:c>
      <x:c r="P1158" s="44" t="n">
        <x:f>IF(AND(L1158=1,M1158=1,N1158=1,O1158&gt;=G1158),K1158,0)</x:f>
        <x:v>0</x:v>
      </x:c>
      <x:c r="Q1158" s="21" t="str">
        <x:v>OPEN</x:v>
      </x:c>
      <x:c r="R1158" s="23" t="str">
        <x:v>HOLD</x:v>
      </x:c>
    </x:row>
    <x:row r="1159">
      <x:c r="B1159" s="21" t="str">
        <x:v>AR-01153</x:v>
      </x:c>
      <x:c r="C1159" s="21" t="str">
        <x:v>F29-I4</x:v>
      </x:c>
      <x:c r="D1159" s="21" t="str">
        <x:v>F29</x:v>
      </x:c>
      <x:c r="E1159" s="21" t="n">
        <x:v>3</x:v>
      </x:c>
      <x:c r="F1159" s="21" t="str">
        <x:v>Architecture and burden closure</x:v>
      </x:c>
      <x:c r="G1159" s="21" t="n">
        <x:v>14</x:v>
      </x:c>
      <x:c r="H1159" s="21" t="str">
        <x:v>Independent Evidence and Data Authority</x:v>
      </x:c>
      <x:c r="I1159" s="44" t="n">
        <x:f>Lifecycle!G9</x:f>
        <x:v>0.08564464062191186</x:v>
      </x:c>
      <x:c r="J1159" s="44" t="n">
        <x:v>0.08928571428571429</x:v>
      </x:c>
      <x:c r="K1159" s="44" t="n">
        <x:f>I1159*J1159</x:f>
        <x:v>0.007646842912670702</x:v>
      </x:c>
      <x:c r="L1159" s="46" t="n">
        <x:v>0</x:v>
      </x:c>
      <x:c r="M1159" s="46" t="n">
        <x:v>0</x:v>
      </x:c>
      <x:c r="N1159" s="21" t="n">
        <x:f>IF(AND(L1158=1,M1158=1,P1158&gt;0),1,0)</x:f>
        <x:v>0</x:v>
      </x:c>
      <x:c r="O1159" s="21" t="n">
        <x:f>MIN('Root Data'!I352:I354)</x:f>
        <x:v>0</x:v>
      </x:c>
      <x:c r="P1159" s="44" t="n">
        <x:f>IF(AND(L1159=1,M1159=1,N1159=1,O1159&gt;=G1159),K1159,0)</x:f>
        <x:v>0</x:v>
      </x:c>
      <x:c r="Q1159" s="21" t="str">
        <x:v>OPEN</x:v>
      </x:c>
      <x:c r="R1159" s="23" t="str">
        <x:v>HOLD</x:v>
      </x:c>
    </x:row>
    <x:row r="1160">
      <x:c r="B1160" s="21" t="str">
        <x:v>AR-01154</x:v>
      </x:c>
      <x:c r="C1160" s="21" t="str">
        <x:v>F29-I4</x:v>
      </x:c>
      <x:c r="D1160" s="21" t="str">
        <x:v>F29</x:v>
      </x:c>
      <x:c r="E1160" s="21" t="n">
        <x:v>4</x:v>
      </x:c>
      <x:c r="F1160" s="21" t="str">
        <x:v>Engineering article acceptance</x:v>
      </x:c>
      <x:c r="G1160" s="21" t="n">
        <x:v>18</x:v>
      </x:c>
      <x:c r="H1160" s="21" t="str">
        <x:v>Independent Evidence and Data Authority</x:v>
      </x:c>
      <x:c r="I1160" s="44" t="n">
        <x:f>Lifecycle!G10</x:f>
        <x:v>0.05929244350747744</x:v>
      </x:c>
      <x:c r="J1160" s="44" t="n">
        <x:v>0.08928571428571429</x:v>
      </x:c>
      <x:c r="K1160" s="44" t="n">
        <x:f>I1160*J1160</x:f>
        <x:v>0.005293968170310486</x:v>
      </x:c>
      <x:c r="L1160" s="46" t="n">
        <x:v>0</x:v>
      </x:c>
      <x:c r="M1160" s="46" t="n">
        <x:v>0</x:v>
      </x:c>
      <x:c r="N1160" s="21" t="n">
        <x:f>IF(AND(L1159=1,M1159=1,P1159&gt;0),1,0)</x:f>
        <x:v>0</x:v>
      </x:c>
      <x:c r="O1160" s="21" t="n">
        <x:f>MIN('Root Data'!I352:I354)</x:f>
        <x:v>0</x:v>
      </x:c>
      <x:c r="P1160" s="44" t="n">
        <x:f>IF(AND(L1160=1,M1160=1,N1160=1,O1160&gt;=G1160),K1160,0)</x:f>
        <x:v>0</x:v>
      </x:c>
      <x:c r="Q1160" s="21" t="str">
        <x:v>OPEN</x:v>
      </x:c>
      <x:c r="R1160" s="23" t="str">
        <x:v>HOLD</x:v>
      </x:c>
    </x:row>
    <x:row r="1161">
      <x:c r="B1161" s="21" t="str">
        <x:v>AR-01155</x:v>
      </x:c>
      <x:c r="C1161" s="21" t="str">
        <x:v>F29-I4</x:v>
      </x:c>
      <x:c r="D1161" s="21" t="str">
        <x:v>F29</x:v>
      </x:c>
      <x:c r="E1161" s="21" t="n">
        <x:v>5</x:v>
      </x:c>
      <x:c r="F1161" s="21" t="str">
        <x:v>Qualification and destructive evidence</x:v>
      </x:c>
      <x:c r="G1161" s="21" t="n">
        <x:v>21</x:v>
      </x:c>
      <x:c r="H1161" s="21" t="str">
        <x:v>Independent Evidence and Data Authority</x:v>
      </x:c>
      <x:c r="I1161" s="44" t="n">
        <x:f>Lifecycle!G11</x:f>
        <x:v>0.1515251334079979</x:v>
      </x:c>
      <x:c r="J1161" s="44" t="n">
        <x:v>0.08928571428571429</x:v>
      </x:c>
      <x:c r="K1161" s="44" t="n">
        <x:f>I1161*J1161</x:f>
        <x:v>0.013529029768571241</x:v>
      </x:c>
      <x:c r="L1161" s="46" t="n">
        <x:v>0</x:v>
      </x:c>
      <x:c r="M1161" s="46" t="n">
        <x:v>0</x:v>
      </x:c>
      <x:c r="N1161" s="21" t="n">
        <x:f>IF(AND(L1160=1,M1160=1,P1160&gt;0),1,0)</x:f>
        <x:v>0</x:v>
      </x:c>
      <x:c r="O1161" s="21" t="n">
        <x:f>MIN('Root Data'!I352:I354)</x:f>
        <x:v>0</x:v>
      </x:c>
      <x:c r="P1161" s="44" t="n">
        <x:f>IF(AND(L1161=1,M1161=1,N1161=1,O1161&gt;=G1161),K1161,0)</x:f>
        <x:v>0</x:v>
      </x:c>
      <x:c r="Q1161" s="21" t="str">
        <x:v>OPEN</x:v>
      </x:c>
      <x:c r="R1161" s="23" t="str">
        <x:v>HOLD</x:v>
      </x:c>
    </x:row>
    <x:row r="1162">
      <x:c r="B1162" s="21" t="str">
        <x:v>AR-01156</x:v>
      </x:c>
      <x:c r="C1162" s="21" t="str">
        <x:v>F29-I4</x:v>
      </x:c>
      <x:c r="D1162" s="21" t="str">
        <x:v>F29</x:v>
      </x:c>
      <x:c r="E1162" s="21" t="n">
        <x:v>6</x:v>
      </x:c>
      <x:c r="F1162" s="21" t="str">
        <x:v>Representative mission result</x:v>
      </x:c>
      <x:c r="G1162" s="21" t="n">
        <x:v>23</x:v>
      </x:c>
      <x:c r="H1162" s="21" t="str">
        <x:v>Receiving Service Authority</x:v>
      </x:c>
      <x:c r="I1162" s="44" t="n">
        <x:f>Lifecycle!G12</x:f>
        <x:v>0.250345872587127</x:v>
      </x:c>
      <x:c r="J1162" s="44" t="n">
        <x:v>0.08928571428571429</x:v>
      </x:c>
      <x:c r="K1162" s="44" t="n">
        <x:f>I1162*J1162</x:f>
        <x:v>0.022352310052422053</x:v>
      </x:c>
      <x:c r="L1162" s="46" t="n">
        <x:v>0</x:v>
      </x:c>
      <x:c r="M1162" s="46" t="n">
        <x:v>0</x:v>
      </x:c>
      <x:c r="N1162" s="21" t="n">
        <x:f>IF(AND(L1161=1,M1161=1,P1161&gt;0),1,0)</x:f>
        <x:v>0</x:v>
      </x:c>
      <x:c r="O1162" s="21" t="n">
        <x:f>MIN('Root Data'!I352:I354)</x:f>
        <x:v>0</x:v>
      </x:c>
      <x:c r="P1162" s="44" t="n">
        <x:f>IF(AND(L1162=1,M1162=1,N1162=1,O1162&gt;=G1162),K1162,0)</x:f>
        <x:v>0</x:v>
      </x:c>
      <x:c r="Q1162" s="21" t="str">
        <x:v>OPEN</x:v>
      </x:c>
      <x:c r="R1162" s="23" t="str">
        <x:v>HOLD</x:v>
      </x:c>
    </x:row>
    <x:row r="1163">
      <x:c r="B1163" s="21" t="str">
        <x:v>AR-01157</x:v>
      </x:c>
      <x:c r="C1163" s="21" t="str">
        <x:v>F29-I4</x:v>
      </x:c>
      <x:c r="D1163" s="21" t="str">
        <x:v>F29</x:v>
      </x:c>
      <x:c r="E1163" s="21" t="n">
        <x:v>7</x:v>
      </x:c>
      <x:c r="F1163" s="21" t="str">
        <x:v>Independent reproduction</x:v>
      </x:c>
      <x:c r="G1163" s="21" t="n">
        <x:v>28</x:v>
      </x:c>
      <x:c r="H1163" s="21" t="str">
        <x:v>Independent Evidence and Data Authority</x:v>
      </x:c>
      <x:c r="I1163" s="44" t="n">
        <x:f>Lifecycle!G13</x:f>
        <x:v>0.21740562619408393</x:v>
      </x:c>
      <x:c r="J1163" s="44" t="n">
        <x:v>0.08928571428571429</x:v>
      </x:c>
      <x:c r="K1163" s="44" t="n">
        <x:f>I1163*J1163</x:f>
        <x:v>0.019411216624471782</x:v>
      </x:c>
      <x:c r="L1163" s="46" t="n">
        <x:v>0</x:v>
      </x:c>
      <x:c r="M1163" s="46" t="n">
        <x:v>0</x:v>
      </x:c>
      <x:c r="N1163" s="21" t="n">
        <x:f>IF(AND(L1162=1,M1162=1,P1162&gt;0),1,0)</x:f>
        <x:v>0</x:v>
      </x:c>
      <x:c r="O1163" s="21" t="n">
        <x:f>MIN('Root Data'!I352:I354)</x:f>
        <x:v>0</x:v>
      </x:c>
      <x:c r="P1163" s="44" t="n">
        <x:f>IF(AND(L1163=1,M1163=1,N1163=1,O1163&gt;=G1163),K1163,0)</x:f>
        <x:v>0</x:v>
      </x:c>
      <x:c r="Q1163" s="21" t="str">
        <x:v>OPEN</x:v>
      </x:c>
      <x:c r="R1163" s="23" t="str">
        <x:v>HOLD</x:v>
      </x:c>
    </x:row>
    <x:row r="1164">
      <x:c r="B1164" s="21" t="str">
        <x:v>AR-01158</x:v>
      </x:c>
      <x:c r="C1164" s="21" t="str">
        <x:v>F29-I4</x:v>
      </x:c>
      <x:c r="D1164" s="21" t="str">
        <x:v>F29</x:v>
      </x:c>
      <x:c r="E1164" s="21" t="n">
        <x:v>8</x:v>
      </x:c>
      <x:c r="F1164" s="21" t="str">
        <x:v>Pilot-process qualification</x:v>
      </x:c>
      <x:c r="G1164" s="21" t="n">
        <x:v>28</x:v>
      </x:c>
      <x:c r="H1164" s="21" t="str">
        <x:v>AIMC Industrial Mobilization Authority</x:v>
      </x:c>
      <x:c r="I1164" s="44" t="n">
        <x:f>Lifecycle!G14</x:f>
        <x:v>0.03952829567165163</x:v>
      </x:c>
      <x:c r="J1164" s="44" t="n">
        <x:v>0.08928571428571429</x:v>
      </x:c>
      <x:c r="K1164" s="44" t="n">
        <x:f>I1164*J1164</x:f>
        <x:v>0.003529312113540324</x:v>
      </x:c>
      <x:c r="L1164" s="46" t="n">
        <x:v>0</x:v>
      </x:c>
      <x:c r="M1164" s="46" t="n">
        <x:v>0</x:v>
      </x:c>
      <x:c r="N1164" s="21" t="n">
        <x:f>IF(AND(L1163=1,M1163=1,P1163&gt;0),1,0)</x:f>
        <x:v>0</x:v>
      </x:c>
      <x:c r="O1164" s="21" t="n">
        <x:f>MIN('Root Data'!I352:I354)</x:f>
        <x:v>0</x:v>
      </x:c>
      <x:c r="P1164" s="44" t="n">
        <x:f>IF(AND(L1164=1,M1164=1,N1164=1,O1164&gt;=G1164),K1164,0)</x:f>
        <x:v>0</x:v>
      </x:c>
      <x:c r="Q1164" s="21" t="str">
        <x:v>OPEN</x:v>
      </x:c>
      <x:c r="R1164" s="23" t="str">
        <x:v>HOLD</x:v>
      </x:c>
    </x:row>
    <x:row r="1165">
      <x:c r="B1165" s="21" t="str">
        <x:v>AR-01159</x:v>
      </x:c>
      <x:c r="C1165" s="21" t="str">
        <x:v>F29-I4</x:v>
      </x:c>
      <x:c r="D1165" s="21" t="str">
        <x:v>F29</x:v>
      </x:c>
      <x:c r="E1165" s="21" t="n">
        <x:v>9</x:v>
      </x:c>
      <x:c r="F1165" s="21" t="str">
        <x:v>Production release package</x:v>
      </x:c>
      <x:c r="G1165" s="21" t="n">
        <x:v>28</x:v>
      </x:c>
      <x:c r="H1165" s="21" t="str">
        <x:v>Production Release Board</x:v>
      </x:c>
      <x:c r="I1165" s="44" t="n">
        <x:f>Lifecycle!G15</x:f>
        <x:v>0.01647012319652151</x:v>
      </x:c>
      <x:c r="J1165" s="44" t="n">
        <x:v>0.08928571428571429</x:v>
      </x:c>
      <x:c r="K1165" s="44" t="n">
        <x:f>I1165*J1165</x:f>
        <x:v>0.001470546713975135</x:v>
      </x:c>
      <x:c r="L1165" s="46" t="n">
        <x:v>0</x:v>
      </x:c>
      <x:c r="M1165" s="46" t="n">
        <x:v>0</x:v>
      </x:c>
      <x:c r="N1165" s="21" t="n">
        <x:f>IF(AND(L1164=1,M1164=1,P1164&gt;0),1,0)</x:f>
        <x:v>0</x:v>
      </x:c>
      <x:c r="O1165" s="21" t="n">
        <x:f>MIN('Root Data'!I352:I354)</x:f>
        <x:v>0</x:v>
      </x:c>
      <x:c r="P1165" s="44" t="n">
        <x:f>IF(AND(L1165=1,M1165=1,N1165=1,O1165&gt;=G1165),K1165,0)</x:f>
        <x:v>0</x:v>
      </x:c>
      <x:c r="Q1165" s="21" t="str">
        <x:v>OPEN</x:v>
      </x:c>
      <x:c r="R1165" s="23" t="str">
        <x:v>HOLD</x:v>
      </x:c>
    </x:row>
    <x:row r="1166">
      <x:c r="B1166" s="21" t="str">
        <x:v>AR-01160</x:v>
      </x:c>
      <x:c r="C1166" s="21" t="str">
        <x:v>F29-I4</x:v>
      </x:c>
      <x:c r="D1166" s="21" t="str">
        <x:v>F29</x:v>
      </x:c>
      <x:c r="E1166" s="21" t="n">
        <x:v>10</x:v>
      </x:c>
      <x:c r="F1166" s="21" t="str">
        <x:v>Mobilization activation</x:v>
      </x:c>
      <x:c r="G1166" s="21" t="n">
        <x:v>28</x:v>
      </x:c>
      <x:c r="H1166" s="21" t="str">
        <x:v>Production Release Board</x:v>
      </x:c>
      <x:c r="I1166" s="44" t="n">
        <x:f>Lifecycle!G16</x:f>
        <x:v>0.028262731405230914</x:v>
      </x:c>
      <x:c r="J1166" s="44" t="n">
        <x:v>0.08928571428571429</x:v>
      </x:c>
      <x:c r="K1166" s="44" t="n">
        <x:f>I1166*J1166</x:f>
        <x:v>0.002523458161181332</x:v>
      </x:c>
      <x:c r="L1166" s="46" t="n">
        <x:v>0</x:v>
      </x:c>
      <x:c r="M1166" s="46" t="n">
        <x:v>0</x:v>
      </x:c>
      <x:c r="N1166" s="21" t="n">
        <x:f>IF(AND(L1165=1,M1165=1,P1165&gt;0),1,0)</x:f>
        <x:v>0</x:v>
      </x:c>
      <x:c r="O1166" s="21" t="n">
        <x:f>MIN('Root Data'!I352:I354)</x:f>
        <x:v>0</x:v>
      </x:c>
      <x:c r="P1166" s="44" t="n">
        <x:f>IF(AND(L1166=1,M1166=1,N1166=1,O1166&gt;=G1166),K1166,0)</x:f>
        <x:v>0</x:v>
      </x:c>
      <x:c r="Q1166" s="21" t="str">
        <x:v>OPEN</x:v>
      </x:c>
      <x:c r="R1166" s="23" t="str">
        <x:v>HOLD</x:v>
      </x:c>
    </x:row>
    <x:row r="1167">
      <x:c r="B1167" s="21" t="str">
        <x:v>AR-01161</x:v>
      </x:c>
      <x:c r="C1167" s="21" t="str">
        <x:v>F30-I1</x:v>
      </x:c>
      <x:c r="D1167" s="21" t="str">
        <x:v>F30</x:v>
      </x:c>
      <x:c r="E1167" s="21" t="n">
        <x:v>1</x:v>
      </x:c>
      <x:c r="F1167" s="21" t="str">
        <x:v>Civil effect charter</x:v>
      </x:c>
      <x:c r="G1167" s="21" t="n">
        <x:v>0</x:v>
      </x:c>
      <x:c r="H1167" s="21" t="str">
        <x:v>Civil Guarantee Authority</x:v>
      </x:c>
      <x:c r="I1167" s="44" t="n">
        <x:f>Lifecycle!G7</x:f>
        <x:v>0.04941036958956453</x:v>
      </x:c>
      <x:c r="J1167" s="44" t="n">
        <x:v>0.08928571428571429</x:v>
      </x:c>
      <x:c r="K1167" s="44" t="n">
        <x:f>I1167*J1167</x:f>
        <x:v>0.004411640141925405</x:v>
      </x:c>
      <x:c r="L1167" s="46" t="n">
        <x:v>0</x:v>
      </x:c>
      <x:c r="M1167" s="46" t="n">
        <x:v>0</x:v>
      </x:c>
      <x:c r="N1167" s="21" t="n">
        <x:f>1</x:f>
        <x:v>1</x:v>
      </x:c>
      <x:c r="O1167" s="21" t="n">
        <x:f>MIN('Root Data'!I355:I357)</x:f>
        <x:v>0</x:v>
      </x:c>
      <x:c r="P1167" s="44" t="n">
        <x:f>IF(AND(L1167=1,M1167=1,N1167=1,O1167&gt;=G1167),K1167,0)</x:f>
        <x:v>0</x:v>
      </x:c>
      <x:c r="Q1167" s="21" t="str">
        <x:v>OPEN</x:v>
      </x:c>
      <x:c r="R1167" s="23" t="str">
        <x:v>HOLD</x:v>
      </x:c>
    </x:row>
    <x:row r="1168">
      <x:c r="B1168" s="21" t="str">
        <x:v>AR-01162</x:v>
      </x:c>
      <x:c r="C1168" s="21" t="str">
        <x:v>F30-I1</x:v>
      </x:c>
      <x:c r="D1168" s="21" t="str">
        <x:v>F30</x:v>
      </x:c>
      <x:c r="E1168" s="21" t="n">
        <x:v>2</x:v>
      </x:c>
      <x:c r="F1168" s="21" t="str">
        <x:v>Requirement and root-independence package</x:v>
      </x:c>
      <x:c r="G1168" s="21" t="n">
        <x:v>8</x:v>
      </x:c>
      <x:c r="H1168" s="21" t="str">
        <x:v>Resilience Staff</x:v>
      </x:c>
      <x:c r="I1168" s="44" t="n">
        <x:f>Lifecycle!G8</x:f>
        <x:v>0.10211476381843337</x:v>
      </x:c>
      <x:c r="J1168" s="44" t="n">
        <x:v>0.08928571428571429</x:v>
      </x:c>
      <x:c r="K1168" s="44" t="n">
        <x:f>I1168*J1168</x:f>
        <x:v>0.009117389626645838</x:v>
      </x:c>
      <x:c r="L1168" s="46" t="n">
        <x:v>0</x:v>
      </x:c>
      <x:c r="M1168" s="46" t="n">
        <x:v>0</x:v>
      </x:c>
      <x:c r="N1168" s="21" t="n">
        <x:f>IF(AND(L1167=1,M1167=1,P1167&gt;0),1,0)</x:f>
        <x:v>0</x:v>
      </x:c>
      <x:c r="O1168" s="21" t="n">
        <x:f>MIN('Root Data'!I355:I357)</x:f>
        <x:v>0</x:v>
      </x:c>
      <x:c r="P1168" s="44" t="n">
        <x:f>IF(AND(L1168=1,M1168=1,N1168=1,O1168&gt;=G1168),K1168,0)</x:f>
        <x:v>0</x:v>
      </x:c>
      <x:c r="Q1168" s="21" t="str">
        <x:v>OPEN</x:v>
      </x:c>
      <x:c r="R1168" s="23" t="str">
        <x:v>HOLD</x:v>
      </x:c>
    </x:row>
    <x:row r="1169">
      <x:c r="B1169" s="21" t="str">
        <x:v>AR-01163</x:v>
      </x:c>
      <x:c r="C1169" s="21" t="str">
        <x:v>F30-I1</x:v>
      </x:c>
      <x:c r="D1169" s="21" t="str">
        <x:v>F30</x:v>
      </x:c>
      <x:c r="E1169" s="21" t="n">
        <x:v>3</x:v>
      </x:c>
      <x:c r="F1169" s="21" t="str">
        <x:v>Architecture and burden closure</x:v>
      </x:c>
      <x:c r="G1169" s="21" t="n">
        <x:v>14</x:v>
      </x:c>
      <x:c r="H1169" s="21" t="str">
        <x:v>Independent Evidence and Data Authority</x:v>
      </x:c>
      <x:c r="I1169" s="44" t="n">
        <x:f>Lifecycle!G9</x:f>
        <x:v>0.08564464062191186</x:v>
      </x:c>
      <x:c r="J1169" s="44" t="n">
        <x:v>0.08928571428571429</x:v>
      </x:c>
      <x:c r="K1169" s="44" t="n">
        <x:f>I1169*J1169</x:f>
        <x:v>0.007646842912670702</x:v>
      </x:c>
      <x:c r="L1169" s="46" t="n">
        <x:v>0</x:v>
      </x:c>
      <x:c r="M1169" s="46" t="n">
        <x:v>0</x:v>
      </x:c>
      <x:c r="N1169" s="21" t="n">
        <x:f>IF(AND(L1168=1,M1168=1,P1168&gt;0),1,0)</x:f>
        <x:v>0</x:v>
      </x:c>
      <x:c r="O1169" s="21" t="n">
        <x:f>MIN('Root Data'!I355:I357)</x:f>
        <x:v>0</x:v>
      </x:c>
      <x:c r="P1169" s="44" t="n">
        <x:f>IF(AND(L1169=1,M1169=1,N1169=1,O1169&gt;=G1169),K1169,0)</x:f>
        <x:v>0</x:v>
      </x:c>
      <x:c r="Q1169" s="21" t="str">
        <x:v>OPEN</x:v>
      </x:c>
      <x:c r="R1169" s="23" t="str">
        <x:v>HOLD</x:v>
      </x:c>
    </x:row>
    <x:row r="1170">
      <x:c r="B1170" s="21" t="str">
        <x:v>AR-01164</x:v>
      </x:c>
      <x:c r="C1170" s="21" t="str">
        <x:v>F30-I1</x:v>
      </x:c>
      <x:c r="D1170" s="21" t="str">
        <x:v>F30</x:v>
      </x:c>
      <x:c r="E1170" s="21" t="n">
        <x:v>4</x:v>
      </x:c>
      <x:c r="F1170" s="21" t="str">
        <x:v>Engineering article acceptance</x:v>
      </x:c>
      <x:c r="G1170" s="21" t="n">
        <x:v>18</x:v>
      </x:c>
      <x:c r="H1170" s="21" t="str">
        <x:v>Independent Evidence and Data Authority</x:v>
      </x:c>
      <x:c r="I1170" s="44" t="n">
        <x:f>Lifecycle!G10</x:f>
        <x:v>0.05929244350747744</x:v>
      </x:c>
      <x:c r="J1170" s="44" t="n">
        <x:v>0.08928571428571429</x:v>
      </x:c>
      <x:c r="K1170" s="44" t="n">
        <x:f>I1170*J1170</x:f>
        <x:v>0.005293968170310486</x:v>
      </x:c>
      <x:c r="L1170" s="46" t="n">
        <x:v>0</x:v>
      </x:c>
      <x:c r="M1170" s="46" t="n">
        <x:v>0</x:v>
      </x:c>
      <x:c r="N1170" s="21" t="n">
        <x:f>IF(AND(L1169=1,M1169=1,P1169&gt;0),1,0)</x:f>
        <x:v>0</x:v>
      </x:c>
      <x:c r="O1170" s="21" t="n">
        <x:f>MIN('Root Data'!I355:I357)</x:f>
        <x:v>0</x:v>
      </x:c>
      <x:c r="P1170" s="44" t="n">
        <x:f>IF(AND(L1170=1,M1170=1,N1170=1,O1170&gt;=G1170),K1170,0)</x:f>
        <x:v>0</x:v>
      </x:c>
      <x:c r="Q1170" s="21" t="str">
        <x:v>OPEN</x:v>
      </x:c>
      <x:c r="R1170" s="23" t="str">
        <x:v>HOLD</x:v>
      </x:c>
    </x:row>
    <x:row r="1171">
      <x:c r="B1171" s="21" t="str">
        <x:v>AR-01165</x:v>
      </x:c>
      <x:c r="C1171" s="21" t="str">
        <x:v>F30-I1</x:v>
      </x:c>
      <x:c r="D1171" s="21" t="str">
        <x:v>F30</x:v>
      </x:c>
      <x:c r="E1171" s="21" t="n">
        <x:v>5</x:v>
      </x:c>
      <x:c r="F1171" s="21" t="str">
        <x:v>Qualification and destructive evidence</x:v>
      </x:c>
      <x:c r="G1171" s="21" t="n">
        <x:v>21</x:v>
      </x:c>
      <x:c r="H1171" s="21" t="str">
        <x:v>Independent Evidence and Data Authority</x:v>
      </x:c>
      <x:c r="I1171" s="44" t="n">
        <x:f>Lifecycle!G11</x:f>
        <x:v>0.1515251334079979</x:v>
      </x:c>
      <x:c r="J1171" s="44" t="n">
        <x:v>0.08928571428571429</x:v>
      </x:c>
      <x:c r="K1171" s="44" t="n">
        <x:f>I1171*J1171</x:f>
        <x:v>0.013529029768571241</x:v>
      </x:c>
      <x:c r="L1171" s="46" t="n">
        <x:v>0</x:v>
      </x:c>
      <x:c r="M1171" s="46" t="n">
        <x:v>0</x:v>
      </x:c>
      <x:c r="N1171" s="21" t="n">
        <x:f>IF(AND(L1170=1,M1170=1,P1170&gt;0),1,0)</x:f>
        <x:v>0</x:v>
      </x:c>
      <x:c r="O1171" s="21" t="n">
        <x:f>MIN('Root Data'!I355:I357)</x:f>
        <x:v>0</x:v>
      </x:c>
      <x:c r="P1171" s="44" t="n">
        <x:f>IF(AND(L1171=1,M1171=1,N1171=1,O1171&gt;=G1171),K1171,0)</x:f>
        <x:v>0</x:v>
      </x:c>
      <x:c r="Q1171" s="21" t="str">
        <x:v>OPEN</x:v>
      </x:c>
      <x:c r="R1171" s="23" t="str">
        <x:v>HOLD</x:v>
      </x:c>
    </x:row>
    <x:row r="1172">
      <x:c r="B1172" s="21" t="str">
        <x:v>AR-01166</x:v>
      </x:c>
      <x:c r="C1172" s="21" t="str">
        <x:v>F30-I1</x:v>
      </x:c>
      <x:c r="D1172" s="21" t="str">
        <x:v>F30</x:v>
      </x:c>
      <x:c r="E1172" s="21" t="n">
        <x:v>6</x:v>
      </x:c>
      <x:c r="F1172" s="21" t="str">
        <x:v>Representative mission result</x:v>
      </x:c>
      <x:c r="G1172" s="21" t="n">
        <x:v>23</x:v>
      </x:c>
      <x:c r="H1172" s="21" t="str">
        <x:v>Receiving Service Authority</x:v>
      </x:c>
      <x:c r="I1172" s="44" t="n">
        <x:f>Lifecycle!G12</x:f>
        <x:v>0.250345872587127</x:v>
      </x:c>
      <x:c r="J1172" s="44" t="n">
        <x:v>0.08928571428571429</x:v>
      </x:c>
      <x:c r="K1172" s="44" t="n">
        <x:f>I1172*J1172</x:f>
        <x:v>0.022352310052422053</x:v>
      </x:c>
      <x:c r="L1172" s="46" t="n">
        <x:v>0</x:v>
      </x:c>
      <x:c r="M1172" s="46" t="n">
        <x:v>0</x:v>
      </x:c>
      <x:c r="N1172" s="21" t="n">
        <x:f>IF(AND(L1171=1,M1171=1,P1171&gt;0),1,0)</x:f>
        <x:v>0</x:v>
      </x:c>
      <x:c r="O1172" s="21" t="n">
        <x:f>MIN('Root Data'!I355:I357)</x:f>
        <x:v>0</x:v>
      </x:c>
      <x:c r="P1172" s="44" t="n">
        <x:f>IF(AND(L1172=1,M1172=1,N1172=1,O1172&gt;=G1172),K1172,0)</x:f>
        <x:v>0</x:v>
      </x:c>
      <x:c r="Q1172" s="21" t="str">
        <x:v>OPEN</x:v>
      </x:c>
      <x:c r="R1172" s="23" t="str">
        <x:v>HOLD</x:v>
      </x:c>
    </x:row>
    <x:row r="1173">
      <x:c r="B1173" s="21" t="str">
        <x:v>AR-01167</x:v>
      </x:c>
      <x:c r="C1173" s="21" t="str">
        <x:v>F30-I1</x:v>
      </x:c>
      <x:c r="D1173" s="21" t="str">
        <x:v>F30</x:v>
      </x:c>
      <x:c r="E1173" s="21" t="n">
        <x:v>7</x:v>
      </x:c>
      <x:c r="F1173" s="21" t="str">
        <x:v>Independent reproduction</x:v>
      </x:c>
      <x:c r="G1173" s="21" t="n">
        <x:v>28</x:v>
      </x:c>
      <x:c r="H1173" s="21" t="str">
        <x:v>Independent Evidence and Data Authority</x:v>
      </x:c>
      <x:c r="I1173" s="44" t="n">
        <x:f>Lifecycle!G13</x:f>
        <x:v>0.21740562619408393</x:v>
      </x:c>
      <x:c r="J1173" s="44" t="n">
        <x:v>0.08928571428571429</x:v>
      </x:c>
      <x:c r="K1173" s="44" t="n">
        <x:f>I1173*J1173</x:f>
        <x:v>0.019411216624471782</x:v>
      </x:c>
      <x:c r="L1173" s="46" t="n">
        <x:v>0</x:v>
      </x:c>
      <x:c r="M1173" s="46" t="n">
        <x:v>0</x:v>
      </x:c>
      <x:c r="N1173" s="21" t="n">
        <x:f>IF(AND(L1172=1,M1172=1,P1172&gt;0),1,0)</x:f>
        <x:v>0</x:v>
      </x:c>
      <x:c r="O1173" s="21" t="n">
        <x:f>MIN('Root Data'!I355:I357)</x:f>
        <x:v>0</x:v>
      </x:c>
      <x:c r="P1173" s="44" t="n">
        <x:f>IF(AND(L1173=1,M1173=1,N1173=1,O1173&gt;=G1173),K1173,0)</x:f>
        <x:v>0</x:v>
      </x:c>
      <x:c r="Q1173" s="21" t="str">
        <x:v>OPEN</x:v>
      </x:c>
      <x:c r="R1173" s="23" t="str">
        <x:v>HOLD</x:v>
      </x:c>
    </x:row>
    <x:row r="1174">
      <x:c r="B1174" s="21" t="str">
        <x:v>AR-01168</x:v>
      </x:c>
      <x:c r="C1174" s="21" t="str">
        <x:v>F30-I1</x:v>
      </x:c>
      <x:c r="D1174" s="21" t="str">
        <x:v>F30</x:v>
      </x:c>
      <x:c r="E1174" s="21" t="n">
        <x:v>8</x:v>
      </x:c>
      <x:c r="F1174" s="21" t="str">
        <x:v>Pilot-process qualification</x:v>
      </x:c>
      <x:c r="G1174" s="21" t="n">
        <x:v>28</x:v>
      </x:c>
      <x:c r="H1174" s="21" t="str">
        <x:v>AIMC Industrial Mobilization Authority</x:v>
      </x:c>
      <x:c r="I1174" s="44" t="n">
        <x:f>Lifecycle!G14</x:f>
        <x:v>0.03952829567165163</x:v>
      </x:c>
      <x:c r="J1174" s="44" t="n">
        <x:v>0.08928571428571429</x:v>
      </x:c>
      <x:c r="K1174" s="44" t="n">
        <x:f>I1174*J1174</x:f>
        <x:v>0.003529312113540324</x:v>
      </x:c>
      <x:c r="L1174" s="46" t="n">
        <x:v>0</x:v>
      </x:c>
      <x:c r="M1174" s="46" t="n">
        <x:v>0</x:v>
      </x:c>
      <x:c r="N1174" s="21" t="n">
        <x:f>IF(AND(L1173=1,M1173=1,P1173&gt;0),1,0)</x:f>
        <x:v>0</x:v>
      </x:c>
      <x:c r="O1174" s="21" t="n">
        <x:f>MIN('Root Data'!I355:I357)</x:f>
        <x:v>0</x:v>
      </x:c>
      <x:c r="P1174" s="44" t="n">
        <x:f>IF(AND(L1174=1,M1174=1,N1174=1,O1174&gt;=G1174),K1174,0)</x:f>
        <x:v>0</x:v>
      </x:c>
      <x:c r="Q1174" s="21" t="str">
        <x:v>OPEN</x:v>
      </x:c>
      <x:c r="R1174" s="23" t="str">
        <x:v>HOLD</x:v>
      </x:c>
    </x:row>
    <x:row r="1175">
      <x:c r="B1175" s="21" t="str">
        <x:v>AR-01169</x:v>
      </x:c>
      <x:c r="C1175" s="21" t="str">
        <x:v>F30-I1</x:v>
      </x:c>
      <x:c r="D1175" s="21" t="str">
        <x:v>F30</x:v>
      </x:c>
      <x:c r="E1175" s="21" t="n">
        <x:v>9</x:v>
      </x:c>
      <x:c r="F1175" s="21" t="str">
        <x:v>Production release package</x:v>
      </x:c>
      <x:c r="G1175" s="21" t="n">
        <x:v>28</x:v>
      </x:c>
      <x:c r="H1175" s="21" t="str">
        <x:v>Production Release Board</x:v>
      </x:c>
      <x:c r="I1175" s="44" t="n">
        <x:f>Lifecycle!G15</x:f>
        <x:v>0.01647012319652151</x:v>
      </x:c>
      <x:c r="J1175" s="44" t="n">
        <x:v>0.08928571428571429</x:v>
      </x:c>
      <x:c r="K1175" s="44" t="n">
        <x:f>I1175*J1175</x:f>
        <x:v>0.001470546713975135</x:v>
      </x:c>
      <x:c r="L1175" s="46" t="n">
        <x:v>0</x:v>
      </x:c>
      <x:c r="M1175" s="46" t="n">
        <x:v>0</x:v>
      </x:c>
      <x:c r="N1175" s="21" t="n">
        <x:f>IF(AND(L1174=1,M1174=1,P1174&gt;0),1,0)</x:f>
        <x:v>0</x:v>
      </x:c>
      <x:c r="O1175" s="21" t="n">
        <x:f>MIN('Root Data'!I355:I357)</x:f>
        <x:v>0</x:v>
      </x:c>
      <x:c r="P1175" s="44" t="n">
        <x:f>IF(AND(L1175=1,M1175=1,N1175=1,O1175&gt;=G1175),K1175,0)</x:f>
        <x:v>0</x:v>
      </x:c>
      <x:c r="Q1175" s="21" t="str">
        <x:v>OPEN</x:v>
      </x:c>
      <x:c r="R1175" s="23" t="str">
        <x:v>HOLD</x:v>
      </x:c>
    </x:row>
    <x:row r="1176">
      <x:c r="B1176" s="21" t="str">
        <x:v>AR-01170</x:v>
      </x:c>
      <x:c r="C1176" s="21" t="str">
        <x:v>F30-I1</x:v>
      </x:c>
      <x:c r="D1176" s="21" t="str">
        <x:v>F30</x:v>
      </x:c>
      <x:c r="E1176" s="21" t="n">
        <x:v>10</x:v>
      </x:c>
      <x:c r="F1176" s="21" t="str">
        <x:v>Mobilization activation</x:v>
      </x:c>
      <x:c r="G1176" s="21" t="n">
        <x:v>28</x:v>
      </x:c>
      <x:c r="H1176" s="21" t="str">
        <x:v>Production Release Board</x:v>
      </x:c>
      <x:c r="I1176" s="44" t="n">
        <x:f>Lifecycle!G16</x:f>
        <x:v>0.028262731405230914</x:v>
      </x:c>
      <x:c r="J1176" s="44" t="n">
        <x:v>0.08928571428571429</x:v>
      </x:c>
      <x:c r="K1176" s="44" t="n">
        <x:f>I1176*J1176</x:f>
        <x:v>0.002523458161181332</x:v>
      </x:c>
      <x:c r="L1176" s="46" t="n">
        <x:v>0</x:v>
      </x:c>
      <x:c r="M1176" s="46" t="n">
        <x:v>0</x:v>
      </x:c>
      <x:c r="N1176" s="21" t="n">
        <x:f>IF(AND(L1175=1,M1175=1,P1175&gt;0),1,0)</x:f>
        <x:v>0</x:v>
      </x:c>
      <x:c r="O1176" s="21" t="n">
        <x:f>MIN('Root Data'!I355:I357)</x:f>
        <x:v>0</x:v>
      </x:c>
      <x:c r="P1176" s="44" t="n">
        <x:f>IF(AND(L1176=1,M1176=1,N1176=1,O1176&gt;=G1176),K1176,0)</x:f>
        <x:v>0</x:v>
      </x:c>
      <x:c r="Q1176" s="21" t="str">
        <x:v>OPEN</x:v>
      </x:c>
      <x:c r="R1176" s="23" t="str">
        <x:v>HOLD</x:v>
      </x:c>
    </x:row>
    <x:row r="1177">
      <x:c r="B1177" s="21" t="str">
        <x:v>AR-01171</x:v>
      </x:c>
      <x:c r="C1177" s="21" t="str">
        <x:v>F30-I2</x:v>
      </x:c>
      <x:c r="D1177" s="21" t="str">
        <x:v>F30</x:v>
      </x:c>
      <x:c r="E1177" s="21" t="n">
        <x:v>1</x:v>
      </x:c>
      <x:c r="F1177" s="21" t="str">
        <x:v>Civil effect charter</x:v>
      </x:c>
      <x:c r="G1177" s="21" t="n">
        <x:v>0</x:v>
      </x:c>
      <x:c r="H1177" s="21" t="str">
        <x:v>Civil Guarantee Authority</x:v>
      </x:c>
      <x:c r="I1177" s="44" t="n">
        <x:f>Lifecycle!G7</x:f>
        <x:v>0.04941036958956453</x:v>
      </x:c>
      <x:c r="J1177" s="44" t="n">
        <x:v>0.08928571428571429</x:v>
      </x:c>
      <x:c r="K1177" s="44" t="n">
        <x:f>I1177*J1177</x:f>
        <x:v>0.004411640141925405</x:v>
      </x:c>
      <x:c r="L1177" s="46" t="n">
        <x:v>0</x:v>
      </x:c>
      <x:c r="M1177" s="46" t="n">
        <x:v>0</x:v>
      </x:c>
      <x:c r="N1177" s="21" t="n">
        <x:f>1</x:f>
        <x:v>1</x:v>
      </x:c>
      <x:c r="O1177" s="21" t="n">
        <x:f>MIN('Root Data'!I358:I360)</x:f>
        <x:v>0</x:v>
      </x:c>
      <x:c r="P1177" s="44" t="n">
        <x:f>IF(AND(L1177=1,M1177=1,N1177=1,O1177&gt;=G1177),K1177,0)</x:f>
        <x:v>0</x:v>
      </x:c>
      <x:c r="Q1177" s="21" t="str">
        <x:v>OPEN</x:v>
      </x:c>
      <x:c r="R1177" s="23" t="str">
        <x:v>HOLD</x:v>
      </x:c>
    </x:row>
    <x:row r="1178">
      <x:c r="B1178" s="21" t="str">
        <x:v>AR-01172</x:v>
      </x:c>
      <x:c r="C1178" s="21" t="str">
        <x:v>F30-I2</x:v>
      </x:c>
      <x:c r="D1178" s="21" t="str">
        <x:v>F30</x:v>
      </x:c>
      <x:c r="E1178" s="21" t="n">
        <x:v>2</x:v>
      </x:c>
      <x:c r="F1178" s="21" t="str">
        <x:v>Requirement and root-independence package</x:v>
      </x:c>
      <x:c r="G1178" s="21" t="n">
        <x:v>8</x:v>
      </x:c>
      <x:c r="H1178" s="21" t="str">
        <x:v>Resilience Staff</x:v>
      </x:c>
      <x:c r="I1178" s="44" t="n">
        <x:f>Lifecycle!G8</x:f>
        <x:v>0.10211476381843337</x:v>
      </x:c>
      <x:c r="J1178" s="44" t="n">
        <x:v>0.08928571428571429</x:v>
      </x:c>
      <x:c r="K1178" s="44" t="n">
        <x:f>I1178*J1178</x:f>
        <x:v>0.009117389626645838</x:v>
      </x:c>
      <x:c r="L1178" s="46" t="n">
        <x:v>0</x:v>
      </x:c>
      <x:c r="M1178" s="46" t="n">
        <x:v>0</x:v>
      </x:c>
      <x:c r="N1178" s="21" t="n">
        <x:f>IF(AND(L1177=1,M1177=1,P1177&gt;0),1,0)</x:f>
        <x:v>0</x:v>
      </x:c>
      <x:c r="O1178" s="21" t="n">
        <x:f>MIN('Root Data'!I358:I360)</x:f>
        <x:v>0</x:v>
      </x:c>
      <x:c r="P1178" s="44" t="n">
        <x:f>IF(AND(L1178=1,M1178=1,N1178=1,O1178&gt;=G1178),K1178,0)</x:f>
        <x:v>0</x:v>
      </x:c>
      <x:c r="Q1178" s="21" t="str">
        <x:v>OPEN</x:v>
      </x:c>
      <x:c r="R1178" s="23" t="str">
        <x:v>HOLD</x:v>
      </x:c>
    </x:row>
    <x:row r="1179">
      <x:c r="B1179" s="21" t="str">
        <x:v>AR-01173</x:v>
      </x:c>
      <x:c r="C1179" s="21" t="str">
        <x:v>F30-I2</x:v>
      </x:c>
      <x:c r="D1179" s="21" t="str">
        <x:v>F30</x:v>
      </x:c>
      <x:c r="E1179" s="21" t="n">
        <x:v>3</x:v>
      </x:c>
      <x:c r="F1179" s="21" t="str">
        <x:v>Architecture and burden closure</x:v>
      </x:c>
      <x:c r="G1179" s="21" t="n">
        <x:v>14</x:v>
      </x:c>
      <x:c r="H1179" s="21" t="str">
        <x:v>Independent Evidence and Data Authority</x:v>
      </x:c>
      <x:c r="I1179" s="44" t="n">
        <x:f>Lifecycle!G9</x:f>
        <x:v>0.08564464062191186</x:v>
      </x:c>
      <x:c r="J1179" s="44" t="n">
        <x:v>0.08928571428571429</x:v>
      </x:c>
      <x:c r="K1179" s="44" t="n">
        <x:f>I1179*J1179</x:f>
        <x:v>0.007646842912670702</x:v>
      </x:c>
      <x:c r="L1179" s="46" t="n">
        <x:v>0</x:v>
      </x:c>
      <x:c r="M1179" s="46" t="n">
        <x:v>0</x:v>
      </x:c>
      <x:c r="N1179" s="21" t="n">
        <x:f>IF(AND(L1178=1,M1178=1,P1178&gt;0),1,0)</x:f>
        <x:v>0</x:v>
      </x:c>
      <x:c r="O1179" s="21" t="n">
        <x:f>MIN('Root Data'!I358:I360)</x:f>
        <x:v>0</x:v>
      </x:c>
      <x:c r="P1179" s="44" t="n">
        <x:f>IF(AND(L1179=1,M1179=1,N1179=1,O1179&gt;=G1179),K1179,0)</x:f>
        <x:v>0</x:v>
      </x:c>
      <x:c r="Q1179" s="21" t="str">
        <x:v>OPEN</x:v>
      </x:c>
      <x:c r="R1179" s="23" t="str">
        <x:v>HOLD</x:v>
      </x:c>
    </x:row>
    <x:row r="1180">
      <x:c r="B1180" s="21" t="str">
        <x:v>AR-01174</x:v>
      </x:c>
      <x:c r="C1180" s="21" t="str">
        <x:v>F30-I2</x:v>
      </x:c>
      <x:c r="D1180" s="21" t="str">
        <x:v>F30</x:v>
      </x:c>
      <x:c r="E1180" s="21" t="n">
        <x:v>4</x:v>
      </x:c>
      <x:c r="F1180" s="21" t="str">
        <x:v>Engineering article acceptance</x:v>
      </x:c>
      <x:c r="G1180" s="21" t="n">
        <x:v>18</x:v>
      </x:c>
      <x:c r="H1180" s="21" t="str">
        <x:v>Independent Evidence and Data Authority</x:v>
      </x:c>
      <x:c r="I1180" s="44" t="n">
        <x:f>Lifecycle!G10</x:f>
        <x:v>0.05929244350747744</x:v>
      </x:c>
      <x:c r="J1180" s="44" t="n">
        <x:v>0.08928571428571429</x:v>
      </x:c>
      <x:c r="K1180" s="44" t="n">
        <x:f>I1180*J1180</x:f>
        <x:v>0.005293968170310486</x:v>
      </x:c>
      <x:c r="L1180" s="46" t="n">
        <x:v>0</x:v>
      </x:c>
      <x:c r="M1180" s="46" t="n">
        <x:v>0</x:v>
      </x:c>
      <x:c r="N1180" s="21" t="n">
        <x:f>IF(AND(L1179=1,M1179=1,P1179&gt;0),1,0)</x:f>
        <x:v>0</x:v>
      </x:c>
      <x:c r="O1180" s="21" t="n">
        <x:f>MIN('Root Data'!I358:I360)</x:f>
        <x:v>0</x:v>
      </x:c>
      <x:c r="P1180" s="44" t="n">
        <x:f>IF(AND(L1180=1,M1180=1,N1180=1,O1180&gt;=G1180),K1180,0)</x:f>
        <x:v>0</x:v>
      </x:c>
      <x:c r="Q1180" s="21" t="str">
        <x:v>OPEN</x:v>
      </x:c>
      <x:c r="R1180" s="23" t="str">
        <x:v>HOLD</x:v>
      </x:c>
    </x:row>
    <x:row r="1181">
      <x:c r="B1181" s="21" t="str">
        <x:v>AR-01175</x:v>
      </x:c>
      <x:c r="C1181" s="21" t="str">
        <x:v>F30-I2</x:v>
      </x:c>
      <x:c r="D1181" s="21" t="str">
        <x:v>F30</x:v>
      </x:c>
      <x:c r="E1181" s="21" t="n">
        <x:v>5</x:v>
      </x:c>
      <x:c r="F1181" s="21" t="str">
        <x:v>Qualification and destructive evidence</x:v>
      </x:c>
      <x:c r="G1181" s="21" t="n">
        <x:v>21</x:v>
      </x:c>
      <x:c r="H1181" s="21" t="str">
        <x:v>Independent Evidence and Data Authority</x:v>
      </x:c>
      <x:c r="I1181" s="44" t="n">
        <x:f>Lifecycle!G11</x:f>
        <x:v>0.1515251334079979</x:v>
      </x:c>
      <x:c r="J1181" s="44" t="n">
        <x:v>0.08928571428571429</x:v>
      </x:c>
      <x:c r="K1181" s="44" t="n">
        <x:f>I1181*J1181</x:f>
        <x:v>0.013529029768571241</x:v>
      </x:c>
      <x:c r="L1181" s="46" t="n">
        <x:v>0</x:v>
      </x:c>
      <x:c r="M1181" s="46" t="n">
        <x:v>0</x:v>
      </x:c>
      <x:c r="N1181" s="21" t="n">
        <x:f>IF(AND(L1180=1,M1180=1,P1180&gt;0),1,0)</x:f>
        <x:v>0</x:v>
      </x:c>
      <x:c r="O1181" s="21" t="n">
        <x:f>MIN('Root Data'!I358:I360)</x:f>
        <x:v>0</x:v>
      </x:c>
      <x:c r="P1181" s="44" t="n">
        <x:f>IF(AND(L1181=1,M1181=1,N1181=1,O1181&gt;=G1181),K1181,0)</x:f>
        <x:v>0</x:v>
      </x:c>
      <x:c r="Q1181" s="21" t="str">
        <x:v>OPEN</x:v>
      </x:c>
      <x:c r="R1181" s="23" t="str">
        <x:v>HOLD</x:v>
      </x:c>
    </x:row>
    <x:row r="1182">
      <x:c r="B1182" s="21" t="str">
        <x:v>AR-01176</x:v>
      </x:c>
      <x:c r="C1182" s="21" t="str">
        <x:v>F30-I2</x:v>
      </x:c>
      <x:c r="D1182" s="21" t="str">
        <x:v>F30</x:v>
      </x:c>
      <x:c r="E1182" s="21" t="n">
        <x:v>6</x:v>
      </x:c>
      <x:c r="F1182" s="21" t="str">
        <x:v>Representative mission result</x:v>
      </x:c>
      <x:c r="G1182" s="21" t="n">
        <x:v>23</x:v>
      </x:c>
      <x:c r="H1182" s="21" t="str">
        <x:v>Receiving Service Authority</x:v>
      </x:c>
      <x:c r="I1182" s="44" t="n">
        <x:f>Lifecycle!G12</x:f>
        <x:v>0.250345872587127</x:v>
      </x:c>
      <x:c r="J1182" s="44" t="n">
        <x:v>0.08928571428571429</x:v>
      </x:c>
      <x:c r="K1182" s="44" t="n">
        <x:f>I1182*J1182</x:f>
        <x:v>0.022352310052422053</x:v>
      </x:c>
      <x:c r="L1182" s="46" t="n">
        <x:v>0</x:v>
      </x:c>
      <x:c r="M1182" s="46" t="n">
        <x:v>0</x:v>
      </x:c>
      <x:c r="N1182" s="21" t="n">
        <x:f>IF(AND(L1181=1,M1181=1,P1181&gt;0),1,0)</x:f>
        <x:v>0</x:v>
      </x:c>
      <x:c r="O1182" s="21" t="n">
        <x:f>MIN('Root Data'!I358:I360)</x:f>
        <x:v>0</x:v>
      </x:c>
      <x:c r="P1182" s="44" t="n">
        <x:f>IF(AND(L1182=1,M1182=1,N1182=1,O1182&gt;=G1182),K1182,0)</x:f>
        <x:v>0</x:v>
      </x:c>
      <x:c r="Q1182" s="21" t="str">
        <x:v>OPEN</x:v>
      </x:c>
      <x:c r="R1182" s="23" t="str">
        <x:v>HOLD</x:v>
      </x:c>
    </x:row>
    <x:row r="1183">
      <x:c r="B1183" s="21" t="str">
        <x:v>AR-01177</x:v>
      </x:c>
      <x:c r="C1183" s="21" t="str">
        <x:v>F30-I2</x:v>
      </x:c>
      <x:c r="D1183" s="21" t="str">
        <x:v>F30</x:v>
      </x:c>
      <x:c r="E1183" s="21" t="n">
        <x:v>7</x:v>
      </x:c>
      <x:c r="F1183" s="21" t="str">
        <x:v>Independent reproduction</x:v>
      </x:c>
      <x:c r="G1183" s="21" t="n">
        <x:v>28</x:v>
      </x:c>
      <x:c r="H1183" s="21" t="str">
        <x:v>Independent Evidence and Data Authority</x:v>
      </x:c>
      <x:c r="I1183" s="44" t="n">
        <x:f>Lifecycle!G13</x:f>
        <x:v>0.21740562619408393</x:v>
      </x:c>
      <x:c r="J1183" s="44" t="n">
        <x:v>0.08928571428571429</x:v>
      </x:c>
      <x:c r="K1183" s="44" t="n">
        <x:f>I1183*J1183</x:f>
        <x:v>0.019411216624471782</x:v>
      </x:c>
      <x:c r="L1183" s="46" t="n">
        <x:v>0</x:v>
      </x:c>
      <x:c r="M1183" s="46" t="n">
        <x:v>0</x:v>
      </x:c>
      <x:c r="N1183" s="21" t="n">
        <x:f>IF(AND(L1182=1,M1182=1,P1182&gt;0),1,0)</x:f>
        <x:v>0</x:v>
      </x:c>
      <x:c r="O1183" s="21" t="n">
        <x:f>MIN('Root Data'!I358:I360)</x:f>
        <x:v>0</x:v>
      </x:c>
      <x:c r="P1183" s="44" t="n">
        <x:f>IF(AND(L1183=1,M1183=1,N1183=1,O1183&gt;=G1183),K1183,0)</x:f>
        <x:v>0</x:v>
      </x:c>
      <x:c r="Q1183" s="21" t="str">
        <x:v>OPEN</x:v>
      </x:c>
      <x:c r="R1183" s="23" t="str">
        <x:v>HOLD</x:v>
      </x:c>
    </x:row>
    <x:row r="1184">
      <x:c r="B1184" s="21" t="str">
        <x:v>AR-01178</x:v>
      </x:c>
      <x:c r="C1184" s="21" t="str">
        <x:v>F30-I2</x:v>
      </x:c>
      <x:c r="D1184" s="21" t="str">
        <x:v>F30</x:v>
      </x:c>
      <x:c r="E1184" s="21" t="n">
        <x:v>8</x:v>
      </x:c>
      <x:c r="F1184" s="21" t="str">
        <x:v>Pilot-process qualification</x:v>
      </x:c>
      <x:c r="G1184" s="21" t="n">
        <x:v>28</x:v>
      </x:c>
      <x:c r="H1184" s="21" t="str">
        <x:v>AIMC Industrial Mobilization Authority</x:v>
      </x:c>
      <x:c r="I1184" s="44" t="n">
        <x:f>Lifecycle!G14</x:f>
        <x:v>0.03952829567165163</x:v>
      </x:c>
      <x:c r="J1184" s="44" t="n">
        <x:v>0.08928571428571429</x:v>
      </x:c>
      <x:c r="K1184" s="44" t="n">
        <x:f>I1184*J1184</x:f>
        <x:v>0.003529312113540324</x:v>
      </x:c>
      <x:c r="L1184" s="46" t="n">
        <x:v>0</x:v>
      </x:c>
      <x:c r="M1184" s="46" t="n">
        <x:v>0</x:v>
      </x:c>
      <x:c r="N1184" s="21" t="n">
        <x:f>IF(AND(L1183=1,M1183=1,P1183&gt;0),1,0)</x:f>
        <x:v>0</x:v>
      </x:c>
      <x:c r="O1184" s="21" t="n">
        <x:f>MIN('Root Data'!I358:I360)</x:f>
        <x:v>0</x:v>
      </x:c>
      <x:c r="P1184" s="44" t="n">
        <x:f>IF(AND(L1184=1,M1184=1,N1184=1,O1184&gt;=G1184),K1184,0)</x:f>
        <x:v>0</x:v>
      </x:c>
      <x:c r="Q1184" s="21" t="str">
        <x:v>OPEN</x:v>
      </x:c>
      <x:c r="R1184" s="23" t="str">
        <x:v>HOLD</x:v>
      </x:c>
    </x:row>
    <x:row r="1185">
      <x:c r="B1185" s="21" t="str">
        <x:v>AR-01179</x:v>
      </x:c>
      <x:c r="C1185" s="21" t="str">
        <x:v>F30-I2</x:v>
      </x:c>
      <x:c r="D1185" s="21" t="str">
        <x:v>F30</x:v>
      </x:c>
      <x:c r="E1185" s="21" t="n">
        <x:v>9</x:v>
      </x:c>
      <x:c r="F1185" s="21" t="str">
        <x:v>Production release package</x:v>
      </x:c>
      <x:c r="G1185" s="21" t="n">
        <x:v>28</x:v>
      </x:c>
      <x:c r="H1185" s="21" t="str">
        <x:v>Production Release Board</x:v>
      </x:c>
      <x:c r="I1185" s="44" t="n">
        <x:f>Lifecycle!G15</x:f>
        <x:v>0.01647012319652151</x:v>
      </x:c>
      <x:c r="J1185" s="44" t="n">
        <x:v>0.08928571428571429</x:v>
      </x:c>
      <x:c r="K1185" s="44" t="n">
        <x:f>I1185*J1185</x:f>
        <x:v>0.001470546713975135</x:v>
      </x:c>
      <x:c r="L1185" s="46" t="n">
        <x:v>0</x:v>
      </x:c>
      <x:c r="M1185" s="46" t="n">
        <x:v>0</x:v>
      </x:c>
      <x:c r="N1185" s="21" t="n">
        <x:f>IF(AND(L1184=1,M1184=1,P1184&gt;0),1,0)</x:f>
        <x:v>0</x:v>
      </x:c>
      <x:c r="O1185" s="21" t="n">
        <x:f>MIN('Root Data'!I358:I360)</x:f>
        <x:v>0</x:v>
      </x:c>
      <x:c r="P1185" s="44" t="n">
        <x:f>IF(AND(L1185=1,M1185=1,N1185=1,O1185&gt;=G1185),K1185,0)</x:f>
        <x:v>0</x:v>
      </x:c>
      <x:c r="Q1185" s="21" t="str">
        <x:v>OPEN</x:v>
      </x:c>
      <x:c r="R1185" s="23" t="str">
        <x:v>HOLD</x:v>
      </x:c>
    </x:row>
    <x:row r="1186">
      <x:c r="B1186" s="21" t="str">
        <x:v>AR-01180</x:v>
      </x:c>
      <x:c r="C1186" s="21" t="str">
        <x:v>F30-I2</x:v>
      </x:c>
      <x:c r="D1186" s="21" t="str">
        <x:v>F30</x:v>
      </x:c>
      <x:c r="E1186" s="21" t="n">
        <x:v>10</x:v>
      </x:c>
      <x:c r="F1186" s="21" t="str">
        <x:v>Mobilization activation</x:v>
      </x:c>
      <x:c r="G1186" s="21" t="n">
        <x:v>28</x:v>
      </x:c>
      <x:c r="H1186" s="21" t="str">
        <x:v>Production Release Board</x:v>
      </x:c>
      <x:c r="I1186" s="44" t="n">
        <x:f>Lifecycle!G16</x:f>
        <x:v>0.028262731405230914</x:v>
      </x:c>
      <x:c r="J1186" s="44" t="n">
        <x:v>0.08928571428571429</x:v>
      </x:c>
      <x:c r="K1186" s="44" t="n">
        <x:f>I1186*J1186</x:f>
        <x:v>0.002523458161181332</x:v>
      </x:c>
      <x:c r="L1186" s="46" t="n">
        <x:v>0</x:v>
      </x:c>
      <x:c r="M1186" s="46" t="n">
        <x:v>0</x:v>
      </x:c>
      <x:c r="N1186" s="21" t="n">
        <x:f>IF(AND(L1185=1,M1185=1,P1185&gt;0),1,0)</x:f>
        <x:v>0</x:v>
      </x:c>
      <x:c r="O1186" s="21" t="n">
        <x:f>MIN('Root Data'!I358:I360)</x:f>
        <x:v>0</x:v>
      </x:c>
      <x:c r="P1186" s="44" t="n">
        <x:f>IF(AND(L1186=1,M1186=1,N1186=1,O1186&gt;=G1186),K1186,0)</x:f>
        <x:v>0</x:v>
      </x:c>
      <x:c r="Q1186" s="21" t="str">
        <x:v>OPEN</x:v>
      </x:c>
      <x:c r="R1186" s="23" t="str">
        <x:v>HOLD</x:v>
      </x:c>
    </x:row>
    <x:row r="1187">
      <x:c r="B1187" s="21" t="str">
        <x:v>AR-01181</x:v>
      </x:c>
      <x:c r="C1187" s="21" t="str">
        <x:v>F30-I3</x:v>
      </x:c>
      <x:c r="D1187" s="21" t="str">
        <x:v>F30</x:v>
      </x:c>
      <x:c r="E1187" s="21" t="n">
        <x:v>1</x:v>
      </x:c>
      <x:c r="F1187" s="21" t="str">
        <x:v>Civil effect charter</x:v>
      </x:c>
      <x:c r="G1187" s="21" t="n">
        <x:v>0</x:v>
      </x:c>
      <x:c r="H1187" s="21" t="str">
        <x:v>Civil Guarantee Authority</x:v>
      </x:c>
      <x:c r="I1187" s="44" t="n">
        <x:f>Lifecycle!G7</x:f>
        <x:v>0.04941036958956453</x:v>
      </x:c>
      <x:c r="J1187" s="44" t="n">
        <x:v>0.08928571428571429</x:v>
      </x:c>
      <x:c r="K1187" s="44" t="n">
        <x:f>I1187*J1187</x:f>
        <x:v>0.004411640141925405</x:v>
      </x:c>
      <x:c r="L1187" s="46" t="n">
        <x:v>0</x:v>
      </x:c>
      <x:c r="M1187" s="46" t="n">
        <x:v>0</x:v>
      </x:c>
      <x:c r="N1187" s="21" t="n">
        <x:f>1</x:f>
        <x:v>1</x:v>
      </x:c>
      <x:c r="O1187" s="21" t="n">
        <x:f>MIN('Root Data'!I361:I363)</x:f>
        <x:v>0</x:v>
      </x:c>
      <x:c r="P1187" s="44" t="n">
        <x:f>IF(AND(L1187=1,M1187=1,N1187=1,O1187&gt;=G1187),K1187,0)</x:f>
        <x:v>0</x:v>
      </x:c>
      <x:c r="Q1187" s="21" t="str">
        <x:v>OPEN</x:v>
      </x:c>
      <x:c r="R1187" s="23" t="str">
        <x:v>HOLD</x:v>
      </x:c>
    </x:row>
    <x:row r="1188">
      <x:c r="B1188" s="21" t="str">
        <x:v>AR-01182</x:v>
      </x:c>
      <x:c r="C1188" s="21" t="str">
        <x:v>F30-I3</x:v>
      </x:c>
      <x:c r="D1188" s="21" t="str">
        <x:v>F30</x:v>
      </x:c>
      <x:c r="E1188" s="21" t="n">
        <x:v>2</x:v>
      </x:c>
      <x:c r="F1188" s="21" t="str">
        <x:v>Requirement and root-independence package</x:v>
      </x:c>
      <x:c r="G1188" s="21" t="n">
        <x:v>8</x:v>
      </x:c>
      <x:c r="H1188" s="21" t="str">
        <x:v>Resilience Staff</x:v>
      </x:c>
      <x:c r="I1188" s="44" t="n">
        <x:f>Lifecycle!G8</x:f>
        <x:v>0.10211476381843337</x:v>
      </x:c>
      <x:c r="J1188" s="44" t="n">
        <x:v>0.08928571428571429</x:v>
      </x:c>
      <x:c r="K1188" s="44" t="n">
        <x:f>I1188*J1188</x:f>
        <x:v>0.009117389626645838</x:v>
      </x:c>
      <x:c r="L1188" s="46" t="n">
        <x:v>0</x:v>
      </x:c>
      <x:c r="M1188" s="46" t="n">
        <x:v>0</x:v>
      </x:c>
      <x:c r="N1188" s="21" t="n">
        <x:f>IF(AND(L1187=1,M1187=1,P1187&gt;0),1,0)</x:f>
        <x:v>0</x:v>
      </x:c>
      <x:c r="O1188" s="21" t="n">
        <x:f>MIN('Root Data'!I361:I363)</x:f>
        <x:v>0</x:v>
      </x:c>
      <x:c r="P1188" s="44" t="n">
        <x:f>IF(AND(L1188=1,M1188=1,N1188=1,O1188&gt;=G1188),K1188,0)</x:f>
        <x:v>0</x:v>
      </x:c>
      <x:c r="Q1188" s="21" t="str">
        <x:v>OPEN</x:v>
      </x:c>
      <x:c r="R1188" s="23" t="str">
        <x:v>HOLD</x:v>
      </x:c>
    </x:row>
    <x:row r="1189">
      <x:c r="B1189" s="21" t="str">
        <x:v>AR-01183</x:v>
      </x:c>
      <x:c r="C1189" s="21" t="str">
        <x:v>F30-I3</x:v>
      </x:c>
      <x:c r="D1189" s="21" t="str">
        <x:v>F30</x:v>
      </x:c>
      <x:c r="E1189" s="21" t="n">
        <x:v>3</x:v>
      </x:c>
      <x:c r="F1189" s="21" t="str">
        <x:v>Architecture and burden closure</x:v>
      </x:c>
      <x:c r="G1189" s="21" t="n">
        <x:v>14</x:v>
      </x:c>
      <x:c r="H1189" s="21" t="str">
        <x:v>Independent Evidence and Data Authority</x:v>
      </x:c>
      <x:c r="I1189" s="44" t="n">
        <x:f>Lifecycle!G9</x:f>
        <x:v>0.08564464062191186</x:v>
      </x:c>
      <x:c r="J1189" s="44" t="n">
        <x:v>0.08928571428571429</x:v>
      </x:c>
      <x:c r="K1189" s="44" t="n">
        <x:f>I1189*J1189</x:f>
        <x:v>0.007646842912670702</x:v>
      </x:c>
      <x:c r="L1189" s="46" t="n">
        <x:v>0</x:v>
      </x:c>
      <x:c r="M1189" s="46" t="n">
        <x:v>0</x:v>
      </x:c>
      <x:c r="N1189" s="21" t="n">
        <x:f>IF(AND(L1188=1,M1188=1,P1188&gt;0),1,0)</x:f>
        <x:v>0</x:v>
      </x:c>
      <x:c r="O1189" s="21" t="n">
        <x:f>MIN('Root Data'!I361:I363)</x:f>
        <x:v>0</x:v>
      </x:c>
      <x:c r="P1189" s="44" t="n">
        <x:f>IF(AND(L1189=1,M1189=1,N1189=1,O1189&gt;=G1189),K1189,0)</x:f>
        <x:v>0</x:v>
      </x:c>
      <x:c r="Q1189" s="21" t="str">
        <x:v>OPEN</x:v>
      </x:c>
      <x:c r="R1189" s="23" t="str">
        <x:v>HOLD</x:v>
      </x:c>
    </x:row>
    <x:row r="1190">
      <x:c r="B1190" s="21" t="str">
        <x:v>AR-01184</x:v>
      </x:c>
      <x:c r="C1190" s="21" t="str">
        <x:v>F30-I3</x:v>
      </x:c>
      <x:c r="D1190" s="21" t="str">
        <x:v>F30</x:v>
      </x:c>
      <x:c r="E1190" s="21" t="n">
        <x:v>4</x:v>
      </x:c>
      <x:c r="F1190" s="21" t="str">
        <x:v>Engineering article acceptance</x:v>
      </x:c>
      <x:c r="G1190" s="21" t="n">
        <x:v>18</x:v>
      </x:c>
      <x:c r="H1190" s="21" t="str">
        <x:v>Independent Evidence and Data Authority</x:v>
      </x:c>
      <x:c r="I1190" s="44" t="n">
        <x:f>Lifecycle!G10</x:f>
        <x:v>0.05929244350747744</x:v>
      </x:c>
      <x:c r="J1190" s="44" t="n">
        <x:v>0.08928571428571429</x:v>
      </x:c>
      <x:c r="K1190" s="44" t="n">
        <x:f>I1190*J1190</x:f>
        <x:v>0.005293968170310486</x:v>
      </x:c>
      <x:c r="L1190" s="46" t="n">
        <x:v>0</x:v>
      </x:c>
      <x:c r="M1190" s="46" t="n">
        <x:v>0</x:v>
      </x:c>
      <x:c r="N1190" s="21" t="n">
        <x:f>IF(AND(L1189=1,M1189=1,P1189&gt;0),1,0)</x:f>
        <x:v>0</x:v>
      </x:c>
      <x:c r="O1190" s="21" t="n">
        <x:f>MIN('Root Data'!I361:I363)</x:f>
        <x:v>0</x:v>
      </x:c>
      <x:c r="P1190" s="44" t="n">
        <x:f>IF(AND(L1190=1,M1190=1,N1190=1,O1190&gt;=G1190),K1190,0)</x:f>
        <x:v>0</x:v>
      </x:c>
      <x:c r="Q1190" s="21" t="str">
        <x:v>OPEN</x:v>
      </x:c>
      <x:c r="R1190" s="23" t="str">
        <x:v>HOLD</x:v>
      </x:c>
    </x:row>
    <x:row r="1191">
      <x:c r="B1191" s="21" t="str">
        <x:v>AR-01185</x:v>
      </x:c>
      <x:c r="C1191" s="21" t="str">
        <x:v>F30-I3</x:v>
      </x:c>
      <x:c r="D1191" s="21" t="str">
        <x:v>F30</x:v>
      </x:c>
      <x:c r="E1191" s="21" t="n">
        <x:v>5</x:v>
      </x:c>
      <x:c r="F1191" s="21" t="str">
        <x:v>Qualification and destructive evidence</x:v>
      </x:c>
      <x:c r="G1191" s="21" t="n">
        <x:v>21</x:v>
      </x:c>
      <x:c r="H1191" s="21" t="str">
        <x:v>Independent Evidence and Data Authority</x:v>
      </x:c>
      <x:c r="I1191" s="44" t="n">
        <x:f>Lifecycle!G11</x:f>
        <x:v>0.1515251334079979</x:v>
      </x:c>
      <x:c r="J1191" s="44" t="n">
        <x:v>0.08928571428571429</x:v>
      </x:c>
      <x:c r="K1191" s="44" t="n">
        <x:f>I1191*J1191</x:f>
        <x:v>0.013529029768571241</x:v>
      </x:c>
      <x:c r="L1191" s="46" t="n">
        <x:v>0</x:v>
      </x:c>
      <x:c r="M1191" s="46" t="n">
        <x:v>0</x:v>
      </x:c>
      <x:c r="N1191" s="21" t="n">
        <x:f>IF(AND(L1190=1,M1190=1,P1190&gt;0),1,0)</x:f>
        <x:v>0</x:v>
      </x:c>
      <x:c r="O1191" s="21" t="n">
        <x:f>MIN('Root Data'!I361:I363)</x:f>
        <x:v>0</x:v>
      </x:c>
      <x:c r="P1191" s="44" t="n">
        <x:f>IF(AND(L1191=1,M1191=1,N1191=1,O1191&gt;=G1191),K1191,0)</x:f>
        <x:v>0</x:v>
      </x:c>
      <x:c r="Q1191" s="21" t="str">
        <x:v>OPEN</x:v>
      </x:c>
      <x:c r="R1191" s="23" t="str">
        <x:v>HOLD</x:v>
      </x:c>
    </x:row>
    <x:row r="1192">
      <x:c r="B1192" s="21" t="str">
        <x:v>AR-01186</x:v>
      </x:c>
      <x:c r="C1192" s="21" t="str">
        <x:v>F30-I3</x:v>
      </x:c>
      <x:c r="D1192" s="21" t="str">
        <x:v>F30</x:v>
      </x:c>
      <x:c r="E1192" s="21" t="n">
        <x:v>6</x:v>
      </x:c>
      <x:c r="F1192" s="21" t="str">
        <x:v>Representative mission result</x:v>
      </x:c>
      <x:c r="G1192" s="21" t="n">
        <x:v>23</x:v>
      </x:c>
      <x:c r="H1192" s="21" t="str">
        <x:v>Receiving Service Authority</x:v>
      </x:c>
      <x:c r="I1192" s="44" t="n">
        <x:f>Lifecycle!G12</x:f>
        <x:v>0.250345872587127</x:v>
      </x:c>
      <x:c r="J1192" s="44" t="n">
        <x:v>0.08928571428571429</x:v>
      </x:c>
      <x:c r="K1192" s="44" t="n">
        <x:f>I1192*J1192</x:f>
        <x:v>0.022352310052422053</x:v>
      </x:c>
      <x:c r="L1192" s="46" t="n">
        <x:v>0</x:v>
      </x:c>
      <x:c r="M1192" s="46" t="n">
        <x:v>0</x:v>
      </x:c>
      <x:c r="N1192" s="21" t="n">
        <x:f>IF(AND(L1191=1,M1191=1,P1191&gt;0),1,0)</x:f>
        <x:v>0</x:v>
      </x:c>
      <x:c r="O1192" s="21" t="n">
        <x:f>MIN('Root Data'!I361:I363)</x:f>
        <x:v>0</x:v>
      </x:c>
      <x:c r="P1192" s="44" t="n">
        <x:f>IF(AND(L1192=1,M1192=1,N1192=1,O1192&gt;=G1192),K1192,0)</x:f>
        <x:v>0</x:v>
      </x:c>
      <x:c r="Q1192" s="21" t="str">
        <x:v>OPEN</x:v>
      </x:c>
      <x:c r="R1192" s="23" t="str">
        <x:v>HOLD</x:v>
      </x:c>
    </x:row>
    <x:row r="1193">
      <x:c r="B1193" s="21" t="str">
        <x:v>AR-01187</x:v>
      </x:c>
      <x:c r="C1193" s="21" t="str">
        <x:v>F30-I3</x:v>
      </x:c>
      <x:c r="D1193" s="21" t="str">
        <x:v>F30</x:v>
      </x:c>
      <x:c r="E1193" s="21" t="n">
        <x:v>7</x:v>
      </x:c>
      <x:c r="F1193" s="21" t="str">
        <x:v>Independent reproduction</x:v>
      </x:c>
      <x:c r="G1193" s="21" t="n">
        <x:v>28</x:v>
      </x:c>
      <x:c r="H1193" s="21" t="str">
        <x:v>Independent Evidence and Data Authority</x:v>
      </x:c>
      <x:c r="I1193" s="44" t="n">
        <x:f>Lifecycle!G13</x:f>
        <x:v>0.21740562619408393</x:v>
      </x:c>
      <x:c r="J1193" s="44" t="n">
        <x:v>0.08928571428571429</x:v>
      </x:c>
      <x:c r="K1193" s="44" t="n">
        <x:f>I1193*J1193</x:f>
        <x:v>0.019411216624471782</x:v>
      </x:c>
      <x:c r="L1193" s="46" t="n">
        <x:v>0</x:v>
      </x:c>
      <x:c r="M1193" s="46" t="n">
        <x:v>0</x:v>
      </x:c>
      <x:c r="N1193" s="21" t="n">
        <x:f>IF(AND(L1192=1,M1192=1,P1192&gt;0),1,0)</x:f>
        <x:v>0</x:v>
      </x:c>
      <x:c r="O1193" s="21" t="n">
        <x:f>MIN('Root Data'!I361:I363)</x:f>
        <x:v>0</x:v>
      </x:c>
      <x:c r="P1193" s="44" t="n">
        <x:f>IF(AND(L1193=1,M1193=1,N1193=1,O1193&gt;=G1193),K1193,0)</x:f>
        <x:v>0</x:v>
      </x:c>
      <x:c r="Q1193" s="21" t="str">
        <x:v>OPEN</x:v>
      </x:c>
      <x:c r="R1193" s="23" t="str">
        <x:v>HOLD</x:v>
      </x:c>
    </x:row>
    <x:row r="1194">
      <x:c r="B1194" s="21" t="str">
        <x:v>AR-01188</x:v>
      </x:c>
      <x:c r="C1194" s="21" t="str">
        <x:v>F30-I3</x:v>
      </x:c>
      <x:c r="D1194" s="21" t="str">
        <x:v>F30</x:v>
      </x:c>
      <x:c r="E1194" s="21" t="n">
        <x:v>8</x:v>
      </x:c>
      <x:c r="F1194" s="21" t="str">
        <x:v>Pilot-process qualification</x:v>
      </x:c>
      <x:c r="G1194" s="21" t="n">
        <x:v>28</x:v>
      </x:c>
      <x:c r="H1194" s="21" t="str">
        <x:v>AIMC Industrial Mobilization Authority</x:v>
      </x:c>
      <x:c r="I1194" s="44" t="n">
        <x:f>Lifecycle!G14</x:f>
        <x:v>0.03952829567165163</x:v>
      </x:c>
      <x:c r="J1194" s="44" t="n">
        <x:v>0.08928571428571429</x:v>
      </x:c>
      <x:c r="K1194" s="44" t="n">
        <x:f>I1194*J1194</x:f>
        <x:v>0.003529312113540324</x:v>
      </x:c>
      <x:c r="L1194" s="46" t="n">
        <x:v>0</x:v>
      </x:c>
      <x:c r="M1194" s="46" t="n">
        <x:v>0</x:v>
      </x:c>
      <x:c r="N1194" s="21" t="n">
        <x:f>IF(AND(L1193=1,M1193=1,P1193&gt;0),1,0)</x:f>
        <x:v>0</x:v>
      </x:c>
      <x:c r="O1194" s="21" t="n">
        <x:f>MIN('Root Data'!I361:I363)</x:f>
        <x:v>0</x:v>
      </x:c>
      <x:c r="P1194" s="44" t="n">
        <x:f>IF(AND(L1194=1,M1194=1,N1194=1,O1194&gt;=G1194),K1194,0)</x:f>
        <x:v>0</x:v>
      </x:c>
      <x:c r="Q1194" s="21" t="str">
        <x:v>OPEN</x:v>
      </x:c>
      <x:c r="R1194" s="23" t="str">
        <x:v>HOLD</x:v>
      </x:c>
    </x:row>
    <x:row r="1195">
      <x:c r="B1195" s="21" t="str">
        <x:v>AR-01189</x:v>
      </x:c>
      <x:c r="C1195" s="21" t="str">
        <x:v>F30-I3</x:v>
      </x:c>
      <x:c r="D1195" s="21" t="str">
        <x:v>F30</x:v>
      </x:c>
      <x:c r="E1195" s="21" t="n">
        <x:v>9</x:v>
      </x:c>
      <x:c r="F1195" s="21" t="str">
        <x:v>Production release package</x:v>
      </x:c>
      <x:c r="G1195" s="21" t="n">
        <x:v>28</x:v>
      </x:c>
      <x:c r="H1195" s="21" t="str">
        <x:v>Production Release Board</x:v>
      </x:c>
      <x:c r="I1195" s="44" t="n">
        <x:f>Lifecycle!G15</x:f>
        <x:v>0.01647012319652151</x:v>
      </x:c>
      <x:c r="J1195" s="44" t="n">
        <x:v>0.08928571428571429</x:v>
      </x:c>
      <x:c r="K1195" s="44" t="n">
        <x:f>I1195*J1195</x:f>
        <x:v>0.001470546713975135</x:v>
      </x:c>
      <x:c r="L1195" s="46" t="n">
        <x:v>0</x:v>
      </x:c>
      <x:c r="M1195" s="46" t="n">
        <x:v>0</x:v>
      </x:c>
      <x:c r="N1195" s="21" t="n">
        <x:f>IF(AND(L1194=1,M1194=1,P1194&gt;0),1,0)</x:f>
        <x:v>0</x:v>
      </x:c>
      <x:c r="O1195" s="21" t="n">
        <x:f>MIN('Root Data'!I361:I363)</x:f>
        <x:v>0</x:v>
      </x:c>
      <x:c r="P1195" s="44" t="n">
        <x:f>IF(AND(L1195=1,M1195=1,N1195=1,O1195&gt;=G1195),K1195,0)</x:f>
        <x:v>0</x:v>
      </x:c>
      <x:c r="Q1195" s="21" t="str">
        <x:v>OPEN</x:v>
      </x:c>
      <x:c r="R1195" s="23" t="str">
        <x:v>HOLD</x:v>
      </x:c>
    </x:row>
    <x:row r="1196">
      <x:c r="B1196" s="21" t="str">
        <x:v>AR-01190</x:v>
      </x:c>
      <x:c r="C1196" s="21" t="str">
        <x:v>F30-I3</x:v>
      </x:c>
      <x:c r="D1196" s="21" t="str">
        <x:v>F30</x:v>
      </x:c>
      <x:c r="E1196" s="21" t="n">
        <x:v>10</x:v>
      </x:c>
      <x:c r="F1196" s="21" t="str">
        <x:v>Mobilization activation</x:v>
      </x:c>
      <x:c r="G1196" s="21" t="n">
        <x:v>28</x:v>
      </x:c>
      <x:c r="H1196" s="21" t="str">
        <x:v>Production Release Board</x:v>
      </x:c>
      <x:c r="I1196" s="44" t="n">
        <x:f>Lifecycle!G16</x:f>
        <x:v>0.028262731405230914</x:v>
      </x:c>
      <x:c r="J1196" s="44" t="n">
        <x:v>0.08928571428571429</x:v>
      </x:c>
      <x:c r="K1196" s="44" t="n">
        <x:f>I1196*J1196</x:f>
        <x:v>0.002523458161181332</x:v>
      </x:c>
      <x:c r="L1196" s="46" t="n">
        <x:v>0</x:v>
      </x:c>
      <x:c r="M1196" s="46" t="n">
        <x:v>0</x:v>
      </x:c>
      <x:c r="N1196" s="21" t="n">
        <x:f>IF(AND(L1195=1,M1195=1,P1195&gt;0),1,0)</x:f>
        <x:v>0</x:v>
      </x:c>
      <x:c r="O1196" s="21" t="n">
        <x:f>MIN('Root Data'!I361:I363)</x:f>
        <x:v>0</x:v>
      </x:c>
      <x:c r="P1196" s="44" t="n">
        <x:f>IF(AND(L1196=1,M1196=1,N1196=1,O1196&gt;=G1196),K1196,0)</x:f>
        <x:v>0</x:v>
      </x:c>
      <x:c r="Q1196" s="21" t="str">
        <x:v>OPEN</x:v>
      </x:c>
      <x:c r="R1196" s="23" t="str">
        <x:v>HOLD</x:v>
      </x:c>
    </x:row>
    <x:row r="1197">
      <x:c r="B1197" s="21" t="str">
        <x:v>AR-01191</x:v>
      </x:c>
      <x:c r="C1197" s="21" t="str">
        <x:v>F30-I4</x:v>
      </x:c>
      <x:c r="D1197" s="21" t="str">
        <x:v>F30</x:v>
      </x:c>
      <x:c r="E1197" s="21" t="n">
        <x:v>1</x:v>
      </x:c>
      <x:c r="F1197" s="21" t="str">
        <x:v>Civil effect charter</x:v>
      </x:c>
      <x:c r="G1197" s="21" t="n">
        <x:v>0</x:v>
      </x:c>
      <x:c r="H1197" s="21" t="str">
        <x:v>Civil Guarantee Authority</x:v>
      </x:c>
      <x:c r="I1197" s="44" t="n">
        <x:f>Lifecycle!G7</x:f>
        <x:v>0.04941036958956453</x:v>
      </x:c>
      <x:c r="J1197" s="44" t="n">
        <x:v>0.08928571428571429</x:v>
      </x:c>
      <x:c r="K1197" s="44" t="n">
        <x:f>I1197*J1197</x:f>
        <x:v>0.004411640141925405</x:v>
      </x:c>
      <x:c r="L1197" s="46" t="n">
        <x:v>0</x:v>
      </x:c>
      <x:c r="M1197" s="46" t="n">
        <x:v>0</x:v>
      </x:c>
      <x:c r="N1197" s="21" t="n">
        <x:f>1</x:f>
        <x:v>1</x:v>
      </x:c>
      <x:c r="O1197" s="21" t="n">
        <x:f>MIN('Root Data'!I364:I366)</x:f>
        <x:v>0</x:v>
      </x:c>
      <x:c r="P1197" s="44" t="n">
        <x:f>IF(AND(L1197=1,M1197=1,N1197=1,O1197&gt;=G1197),K1197,0)</x:f>
        <x:v>0</x:v>
      </x:c>
      <x:c r="Q1197" s="21" t="str">
        <x:v>OPEN</x:v>
      </x:c>
      <x:c r="R1197" s="23" t="str">
        <x:v>HOLD</x:v>
      </x:c>
    </x:row>
    <x:row r="1198">
      <x:c r="B1198" s="21" t="str">
        <x:v>AR-01192</x:v>
      </x:c>
      <x:c r="C1198" s="21" t="str">
        <x:v>F30-I4</x:v>
      </x:c>
      <x:c r="D1198" s="21" t="str">
        <x:v>F30</x:v>
      </x:c>
      <x:c r="E1198" s="21" t="n">
        <x:v>2</x:v>
      </x:c>
      <x:c r="F1198" s="21" t="str">
        <x:v>Requirement and root-independence package</x:v>
      </x:c>
      <x:c r="G1198" s="21" t="n">
        <x:v>8</x:v>
      </x:c>
      <x:c r="H1198" s="21" t="str">
        <x:v>Resilience Staff</x:v>
      </x:c>
      <x:c r="I1198" s="44" t="n">
        <x:f>Lifecycle!G8</x:f>
        <x:v>0.10211476381843337</x:v>
      </x:c>
      <x:c r="J1198" s="44" t="n">
        <x:v>0.08928571428571429</x:v>
      </x:c>
      <x:c r="K1198" s="44" t="n">
        <x:f>I1198*J1198</x:f>
        <x:v>0.009117389626645838</x:v>
      </x:c>
      <x:c r="L1198" s="46" t="n">
        <x:v>0</x:v>
      </x:c>
      <x:c r="M1198" s="46" t="n">
        <x:v>0</x:v>
      </x:c>
      <x:c r="N1198" s="21" t="n">
        <x:f>IF(AND(L1197=1,M1197=1,P1197&gt;0),1,0)</x:f>
        <x:v>0</x:v>
      </x:c>
      <x:c r="O1198" s="21" t="n">
        <x:f>MIN('Root Data'!I364:I366)</x:f>
        <x:v>0</x:v>
      </x:c>
      <x:c r="P1198" s="44" t="n">
        <x:f>IF(AND(L1198=1,M1198=1,N1198=1,O1198&gt;=G1198),K1198,0)</x:f>
        <x:v>0</x:v>
      </x:c>
      <x:c r="Q1198" s="21" t="str">
        <x:v>OPEN</x:v>
      </x:c>
      <x:c r="R1198" s="23" t="str">
        <x:v>HOLD</x:v>
      </x:c>
    </x:row>
    <x:row r="1199">
      <x:c r="B1199" s="21" t="str">
        <x:v>AR-01193</x:v>
      </x:c>
      <x:c r="C1199" s="21" t="str">
        <x:v>F30-I4</x:v>
      </x:c>
      <x:c r="D1199" s="21" t="str">
        <x:v>F30</x:v>
      </x:c>
      <x:c r="E1199" s="21" t="n">
        <x:v>3</x:v>
      </x:c>
      <x:c r="F1199" s="21" t="str">
        <x:v>Architecture and burden closure</x:v>
      </x:c>
      <x:c r="G1199" s="21" t="n">
        <x:v>14</x:v>
      </x:c>
      <x:c r="H1199" s="21" t="str">
        <x:v>Independent Evidence and Data Authority</x:v>
      </x:c>
      <x:c r="I1199" s="44" t="n">
        <x:f>Lifecycle!G9</x:f>
        <x:v>0.08564464062191186</x:v>
      </x:c>
      <x:c r="J1199" s="44" t="n">
        <x:v>0.08928571428571429</x:v>
      </x:c>
      <x:c r="K1199" s="44" t="n">
        <x:f>I1199*J1199</x:f>
        <x:v>0.007646842912670702</x:v>
      </x:c>
      <x:c r="L1199" s="46" t="n">
        <x:v>0</x:v>
      </x:c>
      <x:c r="M1199" s="46" t="n">
        <x:v>0</x:v>
      </x:c>
      <x:c r="N1199" s="21" t="n">
        <x:f>IF(AND(L1198=1,M1198=1,P1198&gt;0),1,0)</x:f>
        <x:v>0</x:v>
      </x:c>
      <x:c r="O1199" s="21" t="n">
        <x:f>MIN('Root Data'!I364:I366)</x:f>
        <x:v>0</x:v>
      </x:c>
      <x:c r="P1199" s="44" t="n">
        <x:f>IF(AND(L1199=1,M1199=1,N1199=1,O1199&gt;=G1199),K1199,0)</x:f>
        <x:v>0</x:v>
      </x:c>
      <x:c r="Q1199" s="21" t="str">
        <x:v>OPEN</x:v>
      </x:c>
      <x:c r="R1199" s="23" t="str">
        <x:v>HOLD</x:v>
      </x:c>
    </x:row>
    <x:row r="1200">
      <x:c r="B1200" s="21" t="str">
        <x:v>AR-01194</x:v>
      </x:c>
      <x:c r="C1200" s="21" t="str">
        <x:v>F30-I4</x:v>
      </x:c>
      <x:c r="D1200" s="21" t="str">
        <x:v>F30</x:v>
      </x:c>
      <x:c r="E1200" s="21" t="n">
        <x:v>4</x:v>
      </x:c>
      <x:c r="F1200" s="21" t="str">
        <x:v>Engineering article acceptance</x:v>
      </x:c>
      <x:c r="G1200" s="21" t="n">
        <x:v>18</x:v>
      </x:c>
      <x:c r="H1200" s="21" t="str">
        <x:v>Independent Evidence and Data Authority</x:v>
      </x:c>
      <x:c r="I1200" s="44" t="n">
        <x:f>Lifecycle!G10</x:f>
        <x:v>0.05929244350747744</x:v>
      </x:c>
      <x:c r="J1200" s="44" t="n">
        <x:v>0.08928571428571429</x:v>
      </x:c>
      <x:c r="K1200" s="44" t="n">
        <x:f>I1200*J1200</x:f>
        <x:v>0.005293968170310486</x:v>
      </x:c>
      <x:c r="L1200" s="46" t="n">
        <x:v>0</x:v>
      </x:c>
      <x:c r="M1200" s="46" t="n">
        <x:v>0</x:v>
      </x:c>
      <x:c r="N1200" s="21" t="n">
        <x:f>IF(AND(L1199=1,M1199=1,P1199&gt;0),1,0)</x:f>
        <x:v>0</x:v>
      </x:c>
      <x:c r="O1200" s="21" t="n">
        <x:f>MIN('Root Data'!I364:I366)</x:f>
        <x:v>0</x:v>
      </x:c>
      <x:c r="P1200" s="44" t="n">
        <x:f>IF(AND(L1200=1,M1200=1,N1200=1,O1200&gt;=G1200),K1200,0)</x:f>
        <x:v>0</x:v>
      </x:c>
      <x:c r="Q1200" s="21" t="str">
        <x:v>OPEN</x:v>
      </x:c>
      <x:c r="R1200" s="23" t="str">
        <x:v>HOLD</x:v>
      </x:c>
    </x:row>
    <x:row r="1201">
      <x:c r="B1201" s="21" t="str">
        <x:v>AR-01195</x:v>
      </x:c>
      <x:c r="C1201" s="21" t="str">
        <x:v>F30-I4</x:v>
      </x:c>
      <x:c r="D1201" s="21" t="str">
        <x:v>F30</x:v>
      </x:c>
      <x:c r="E1201" s="21" t="n">
        <x:v>5</x:v>
      </x:c>
      <x:c r="F1201" s="21" t="str">
        <x:v>Qualification and destructive evidence</x:v>
      </x:c>
      <x:c r="G1201" s="21" t="n">
        <x:v>21</x:v>
      </x:c>
      <x:c r="H1201" s="21" t="str">
        <x:v>Independent Evidence and Data Authority</x:v>
      </x:c>
      <x:c r="I1201" s="44" t="n">
        <x:f>Lifecycle!G11</x:f>
        <x:v>0.1515251334079979</x:v>
      </x:c>
      <x:c r="J1201" s="44" t="n">
        <x:v>0.08928571428571429</x:v>
      </x:c>
      <x:c r="K1201" s="44" t="n">
        <x:f>I1201*J1201</x:f>
        <x:v>0.013529029768571241</x:v>
      </x:c>
      <x:c r="L1201" s="46" t="n">
        <x:v>0</x:v>
      </x:c>
      <x:c r="M1201" s="46" t="n">
        <x:v>0</x:v>
      </x:c>
      <x:c r="N1201" s="21" t="n">
        <x:f>IF(AND(L1200=1,M1200=1,P1200&gt;0),1,0)</x:f>
        <x:v>0</x:v>
      </x:c>
      <x:c r="O1201" s="21" t="n">
        <x:f>MIN('Root Data'!I364:I366)</x:f>
        <x:v>0</x:v>
      </x:c>
      <x:c r="P1201" s="44" t="n">
        <x:f>IF(AND(L1201=1,M1201=1,N1201=1,O1201&gt;=G1201),K1201,0)</x:f>
        <x:v>0</x:v>
      </x:c>
      <x:c r="Q1201" s="21" t="str">
        <x:v>OPEN</x:v>
      </x:c>
      <x:c r="R1201" s="23" t="str">
        <x:v>HOLD</x:v>
      </x:c>
    </x:row>
    <x:row r="1202">
      <x:c r="B1202" s="21" t="str">
        <x:v>AR-01196</x:v>
      </x:c>
      <x:c r="C1202" s="21" t="str">
        <x:v>F30-I4</x:v>
      </x:c>
      <x:c r="D1202" s="21" t="str">
        <x:v>F30</x:v>
      </x:c>
      <x:c r="E1202" s="21" t="n">
        <x:v>6</x:v>
      </x:c>
      <x:c r="F1202" s="21" t="str">
        <x:v>Representative mission result</x:v>
      </x:c>
      <x:c r="G1202" s="21" t="n">
        <x:v>23</x:v>
      </x:c>
      <x:c r="H1202" s="21" t="str">
        <x:v>Receiving Service Authority</x:v>
      </x:c>
      <x:c r="I1202" s="44" t="n">
        <x:f>Lifecycle!G12</x:f>
        <x:v>0.250345872587127</x:v>
      </x:c>
      <x:c r="J1202" s="44" t="n">
        <x:v>0.08928571428571429</x:v>
      </x:c>
      <x:c r="K1202" s="44" t="n">
        <x:f>I1202*J1202</x:f>
        <x:v>0.022352310052422053</x:v>
      </x:c>
      <x:c r="L1202" s="46" t="n">
        <x:v>0</x:v>
      </x:c>
      <x:c r="M1202" s="46" t="n">
        <x:v>0</x:v>
      </x:c>
      <x:c r="N1202" s="21" t="n">
        <x:f>IF(AND(L1201=1,M1201=1,P1201&gt;0),1,0)</x:f>
        <x:v>0</x:v>
      </x:c>
      <x:c r="O1202" s="21" t="n">
        <x:f>MIN('Root Data'!I364:I366)</x:f>
        <x:v>0</x:v>
      </x:c>
      <x:c r="P1202" s="44" t="n">
        <x:f>IF(AND(L1202=1,M1202=1,N1202=1,O1202&gt;=G1202),K1202,0)</x:f>
        <x:v>0</x:v>
      </x:c>
      <x:c r="Q1202" s="21" t="str">
        <x:v>OPEN</x:v>
      </x:c>
      <x:c r="R1202" s="23" t="str">
        <x:v>HOLD</x:v>
      </x:c>
    </x:row>
    <x:row r="1203">
      <x:c r="B1203" s="21" t="str">
        <x:v>AR-01197</x:v>
      </x:c>
      <x:c r="C1203" s="21" t="str">
        <x:v>F30-I4</x:v>
      </x:c>
      <x:c r="D1203" s="21" t="str">
        <x:v>F30</x:v>
      </x:c>
      <x:c r="E1203" s="21" t="n">
        <x:v>7</x:v>
      </x:c>
      <x:c r="F1203" s="21" t="str">
        <x:v>Independent reproduction</x:v>
      </x:c>
      <x:c r="G1203" s="21" t="n">
        <x:v>28</x:v>
      </x:c>
      <x:c r="H1203" s="21" t="str">
        <x:v>Independent Evidence and Data Authority</x:v>
      </x:c>
      <x:c r="I1203" s="44" t="n">
        <x:f>Lifecycle!G13</x:f>
        <x:v>0.21740562619408393</x:v>
      </x:c>
      <x:c r="J1203" s="44" t="n">
        <x:v>0.08928571428571429</x:v>
      </x:c>
      <x:c r="K1203" s="44" t="n">
        <x:f>I1203*J1203</x:f>
        <x:v>0.019411216624471782</x:v>
      </x:c>
      <x:c r="L1203" s="46" t="n">
        <x:v>0</x:v>
      </x:c>
      <x:c r="M1203" s="46" t="n">
        <x:v>0</x:v>
      </x:c>
      <x:c r="N1203" s="21" t="n">
        <x:f>IF(AND(L1202=1,M1202=1,P1202&gt;0),1,0)</x:f>
        <x:v>0</x:v>
      </x:c>
      <x:c r="O1203" s="21" t="n">
        <x:f>MIN('Root Data'!I364:I366)</x:f>
        <x:v>0</x:v>
      </x:c>
      <x:c r="P1203" s="44" t="n">
        <x:f>IF(AND(L1203=1,M1203=1,N1203=1,O1203&gt;=G1203),K1203,0)</x:f>
        <x:v>0</x:v>
      </x:c>
      <x:c r="Q1203" s="21" t="str">
        <x:v>OPEN</x:v>
      </x:c>
      <x:c r="R1203" s="23" t="str">
        <x:v>HOLD</x:v>
      </x:c>
    </x:row>
    <x:row r="1204">
      <x:c r="B1204" s="21" t="str">
        <x:v>AR-01198</x:v>
      </x:c>
      <x:c r="C1204" s="21" t="str">
        <x:v>F30-I4</x:v>
      </x:c>
      <x:c r="D1204" s="21" t="str">
        <x:v>F30</x:v>
      </x:c>
      <x:c r="E1204" s="21" t="n">
        <x:v>8</x:v>
      </x:c>
      <x:c r="F1204" s="21" t="str">
        <x:v>Pilot-process qualification</x:v>
      </x:c>
      <x:c r="G1204" s="21" t="n">
        <x:v>28</x:v>
      </x:c>
      <x:c r="H1204" s="21" t="str">
        <x:v>AIMC Industrial Mobilization Authority</x:v>
      </x:c>
      <x:c r="I1204" s="44" t="n">
        <x:f>Lifecycle!G14</x:f>
        <x:v>0.03952829567165163</x:v>
      </x:c>
      <x:c r="J1204" s="44" t="n">
        <x:v>0.08928571428571429</x:v>
      </x:c>
      <x:c r="K1204" s="44" t="n">
        <x:f>I1204*J1204</x:f>
        <x:v>0.003529312113540324</x:v>
      </x:c>
      <x:c r="L1204" s="46" t="n">
        <x:v>0</x:v>
      </x:c>
      <x:c r="M1204" s="46" t="n">
        <x:v>0</x:v>
      </x:c>
      <x:c r="N1204" s="21" t="n">
        <x:f>IF(AND(L1203=1,M1203=1,P1203&gt;0),1,0)</x:f>
        <x:v>0</x:v>
      </x:c>
      <x:c r="O1204" s="21" t="n">
        <x:f>MIN('Root Data'!I364:I366)</x:f>
        <x:v>0</x:v>
      </x:c>
      <x:c r="P1204" s="44" t="n">
        <x:f>IF(AND(L1204=1,M1204=1,N1204=1,O1204&gt;=G1204),K1204,0)</x:f>
        <x:v>0</x:v>
      </x:c>
      <x:c r="Q1204" s="21" t="str">
        <x:v>OPEN</x:v>
      </x:c>
      <x:c r="R1204" s="23" t="str">
        <x:v>HOLD</x:v>
      </x:c>
    </x:row>
    <x:row r="1205">
      <x:c r="B1205" s="21" t="str">
        <x:v>AR-01199</x:v>
      </x:c>
      <x:c r="C1205" s="21" t="str">
        <x:v>F30-I4</x:v>
      </x:c>
      <x:c r="D1205" s="21" t="str">
        <x:v>F30</x:v>
      </x:c>
      <x:c r="E1205" s="21" t="n">
        <x:v>9</x:v>
      </x:c>
      <x:c r="F1205" s="21" t="str">
        <x:v>Production release package</x:v>
      </x:c>
      <x:c r="G1205" s="21" t="n">
        <x:v>28</x:v>
      </x:c>
      <x:c r="H1205" s="21" t="str">
        <x:v>Production Release Board</x:v>
      </x:c>
      <x:c r="I1205" s="44" t="n">
        <x:f>Lifecycle!G15</x:f>
        <x:v>0.01647012319652151</x:v>
      </x:c>
      <x:c r="J1205" s="44" t="n">
        <x:v>0.08928571428571429</x:v>
      </x:c>
      <x:c r="K1205" s="44" t="n">
        <x:f>I1205*J1205</x:f>
        <x:v>0.001470546713975135</x:v>
      </x:c>
      <x:c r="L1205" s="46" t="n">
        <x:v>0</x:v>
      </x:c>
      <x:c r="M1205" s="46" t="n">
        <x:v>0</x:v>
      </x:c>
      <x:c r="N1205" s="21" t="n">
        <x:f>IF(AND(L1204=1,M1204=1,P1204&gt;0),1,0)</x:f>
        <x:v>0</x:v>
      </x:c>
      <x:c r="O1205" s="21" t="n">
        <x:f>MIN('Root Data'!I364:I366)</x:f>
        <x:v>0</x:v>
      </x:c>
      <x:c r="P1205" s="44" t="n">
        <x:f>IF(AND(L1205=1,M1205=1,N1205=1,O1205&gt;=G1205),K1205,0)</x:f>
        <x:v>0</x:v>
      </x:c>
      <x:c r="Q1205" s="21" t="str">
        <x:v>OPEN</x:v>
      </x:c>
      <x:c r="R1205" s="23" t="str">
        <x:v>HOLD</x:v>
      </x:c>
    </x:row>
    <x:row r="1206">
      <x:c r="B1206" s="21" t="str">
        <x:v>AR-01200</x:v>
      </x:c>
      <x:c r="C1206" s="21" t="str">
        <x:v>F30-I4</x:v>
      </x:c>
      <x:c r="D1206" s="21" t="str">
        <x:v>F30</x:v>
      </x:c>
      <x:c r="E1206" s="21" t="n">
        <x:v>10</x:v>
      </x:c>
      <x:c r="F1206" s="21" t="str">
        <x:v>Mobilization activation</x:v>
      </x:c>
      <x:c r="G1206" s="21" t="n">
        <x:v>28</x:v>
      </x:c>
      <x:c r="H1206" s="21" t="str">
        <x:v>Production Release Board</x:v>
      </x:c>
      <x:c r="I1206" s="44" t="n">
        <x:f>Lifecycle!G16</x:f>
        <x:v>0.028262731405230914</x:v>
      </x:c>
      <x:c r="J1206" s="44" t="n">
        <x:v>0.08928571428571429</x:v>
      </x:c>
      <x:c r="K1206" s="44" t="n">
        <x:f>I1206*J1206</x:f>
        <x:v>0.002523458161181332</x:v>
      </x:c>
      <x:c r="L1206" s="46" t="n">
        <x:v>0</x:v>
      </x:c>
      <x:c r="M1206" s="46" t="n">
        <x:v>0</x:v>
      </x:c>
      <x:c r="N1206" s="21" t="n">
        <x:f>IF(AND(L1205=1,M1205=1,P1205&gt;0),1,0)</x:f>
        <x:v>0</x:v>
      </x:c>
      <x:c r="O1206" s="21" t="n">
        <x:f>MIN('Root Data'!I364:I366)</x:f>
        <x:v>0</x:v>
      </x:c>
      <x:c r="P1206" s="44" t="n">
        <x:f>IF(AND(L1206=1,M1206=1,N1206=1,O1206&gt;=G1206),K1206,0)</x:f>
        <x:v>0</x:v>
      </x:c>
      <x:c r="Q1206" s="21" t="str">
        <x:v>OPEN</x:v>
      </x:c>
      <x:c r="R1206" s="23" t="str">
        <x:v>HOLD</x:v>
      </x:c>
    </x:row>
    <x:row r="1207">
      <x:c r="B1207" s="21" t="str">
        <x:v>AR-01201</x:v>
      </x:c>
      <x:c r="C1207" s="21" t="str">
        <x:v>F31-I1</x:v>
      </x:c>
      <x:c r="D1207" s="21" t="str">
        <x:v>F31</x:v>
      </x:c>
      <x:c r="E1207" s="21" t="n">
        <x:v>1</x:v>
      </x:c>
      <x:c r="F1207" s="21" t="str">
        <x:v>Civil effect charter</x:v>
      </x:c>
      <x:c r="G1207" s="21" t="n">
        <x:v>0</x:v>
      </x:c>
      <x:c r="H1207" s="21" t="str">
        <x:v>Civil Guarantee Authority</x:v>
      </x:c>
      <x:c r="I1207" s="44" t="n">
        <x:f>Lifecycle!G7</x:f>
        <x:v>0.04941036958956453</x:v>
      </x:c>
      <x:c r="J1207" s="44" t="n">
        <x:v>0.08928571428571429</x:v>
      </x:c>
      <x:c r="K1207" s="44" t="n">
        <x:f>I1207*J1207</x:f>
        <x:v>0.004411640141925405</x:v>
      </x:c>
      <x:c r="L1207" s="46" t="n">
        <x:v>0</x:v>
      </x:c>
      <x:c r="M1207" s="46" t="n">
        <x:v>0</x:v>
      </x:c>
      <x:c r="N1207" s="21" t="n">
        <x:f>1</x:f>
        <x:v>1</x:v>
      </x:c>
      <x:c r="O1207" s="21" t="n">
        <x:f>MIN('Root Data'!I367:I369)</x:f>
        <x:v>0</x:v>
      </x:c>
      <x:c r="P1207" s="44" t="n">
        <x:f>IF(AND(L1207=1,M1207=1,N1207=1,O1207&gt;=G1207),K1207,0)</x:f>
        <x:v>0</x:v>
      </x:c>
      <x:c r="Q1207" s="21" t="str">
        <x:v>OPEN</x:v>
      </x:c>
      <x:c r="R1207" s="23" t="str">
        <x:v>HOLD</x:v>
      </x:c>
    </x:row>
    <x:row r="1208">
      <x:c r="B1208" s="21" t="str">
        <x:v>AR-01202</x:v>
      </x:c>
      <x:c r="C1208" s="21" t="str">
        <x:v>F31-I1</x:v>
      </x:c>
      <x:c r="D1208" s="21" t="str">
        <x:v>F31</x:v>
      </x:c>
      <x:c r="E1208" s="21" t="n">
        <x:v>2</x:v>
      </x:c>
      <x:c r="F1208" s="21" t="str">
        <x:v>Requirement and root-independence package</x:v>
      </x:c>
      <x:c r="G1208" s="21" t="n">
        <x:v>8</x:v>
      </x:c>
      <x:c r="H1208" s="21" t="str">
        <x:v>Resilience Staff</x:v>
      </x:c>
      <x:c r="I1208" s="44" t="n">
        <x:f>Lifecycle!G8</x:f>
        <x:v>0.10211476381843337</x:v>
      </x:c>
      <x:c r="J1208" s="44" t="n">
        <x:v>0.08928571428571429</x:v>
      </x:c>
      <x:c r="K1208" s="44" t="n">
        <x:f>I1208*J1208</x:f>
        <x:v>0.009117389626645838</x:v>
      </x:c>
      <x:c r="L1208" s="46" t="n">
        <x:v>0</x:v>
      </x:c>
      <x:c r="M1208" s="46" t="n">
        <x:v>0</x:v>
      </x:c>
      <x:c r="N1208" s="21" t="n">
        <x:f>IF(AND(L1207=1,M1207=1,P1207&gt;0),1,0)</x:f>
        <x:v>0</x:v>
      </x:c>
      <x:c r="O1208" s="21" t="n">
        <x:f>MIN('Root Data'!I367:I369)</x:f>
        <x:v>0</x:v>
      </x:c>
      <x:c r="P1208" s="44" t="n">
        <x:f>IF(AND(L1208=1,M1208=1,N1208=1,O1208&gt;=G1208),K1208,0)</x:f>
        <x:v>0</x:v>
      </x:c>
      <x:c r="Q1208" s="21" t="str">
        <x:v>OPEN</x:v>
      </x:c>
      <x:c r="R1208" s="23" t="str">
        <x:v>HOLD</x:v>
      </x:c>
    </x:row>
    <x:row r="1209">
      <x:c r="B1209" s="21" t="str">
        <x:v>AR-01203</x:v>
      </x:c>
      <x:c r="C1209" s="21" t="str">
        <x:v>F31-I1</x:v>
      </x:c>
      <x:c r="D1209" s="21" t="str">
        <x:v>F31</x:v>
      </x:c>
      <x:c r="E1209" s="21" t="n">
        <x:v>3</x:v>
      </x:c>
      <x:c r="F1209" s="21" t="str">
        <x:v>Architecture and burden closure</x:v>
      </x:c>
      <x:c r="G1209" s="21" t="n">
        <x:v>14</x:v>
      </x:c>
      <x:c r="H1209" s="21" t="str">
        <x:v>Independent Evidence and Data Authority</x:v>
      </x:c>
      <x:c r="I1209" s="44" t="n">
        <x:f>Lifecycle!G9</x:f>
        <x:v>0.08564464062191186</x:v>
      </x:c>
      <x:c r="J1209" s="44" t="n">
        <x:v>0.08928571428571429</x:v>
      </x:c>
      <x:c r="K1209" s="44" t="n">
        <x:f>I1209*J1209</x:f>
        <x:v>0.007646842912670702</x:v>
      </x:c>
      <x:c r="L1209" s="46" t="n">
        <x:v>0</x:v>
      </x:c>
      <x:c r="M1209" s="46" t="n">
        <x:v>0</x:v>
      </x:c>
      <x:c r="N1209" s="21" t="n">
        <x:f>IF(AND(L1208=1,M1208=1,P1208&gt;0),1,0)</x:f>
        <x:v>0</x:v>
      </x:c>
      <x:c r="O1209" s="21" t="n">
        <x:f>MIN('Root Data'!I367:I369)</x:f>
        <x:v>0</x:v>
      </x:c>
      <x:c r="P1209" s="44" t="n">
        <x:f>IF(AND(L1209=1,M1209=1,N1209=1,O1209&gt;=G1209),K1209,0)</x:f>
        <x:v>0</x:v>
      </x:c>
      <x:c r="Q1209" s="21" t="str">
        <x:v>OPEN</x:v>
      </x:c>
      <x:c r="R1209" s="23" t="str">
        <x:v>HOLD</x:v>
      </x:c>
    </x:row>
    <x:row r="1210">
      <x:c r="B1210" s="21" t="str">
        <x:v>AR-01204</x:v>
      </x:c>
      <x:c r="C1210" s="21" t="str">
        <x:v>F31-I1</x:v>
      </x:c>
      <x:c r="D1210" s="21" t="str">
        <x:v>F31</x:v>
      </x:c>
      <x:c r="E1210" s="21" t="n">
        <x:v>4</x:v>
      </x:c>
      <x:c r="F1210" s="21" t="str">
        <x:v>Engineering article acceptance</x:v>
      </x:c>
      <x:c r="G1210" s="21" t="n">
        <x:v>18</x:v>
      </x:c>
      <x:c r="H1210" s="21" t="str">
        <x:v>Independent Evidence and Data Authority</x:v>
      </x:c>
      <x:c r="I1210" s="44" t="n">
        <x:f>Lifecycle!G10</x:f>
        <x:v>0.05929244350747744</x:v>
      </x:c>
      <x:c r="J1210" s="44" t="n">
        <x:v>0.08928571428571429</x:v>
      </x:c>
      <x:c r="K1210" s="44" t="n">
        <x:f>I1210*J1210</x:f>
        <x:v>0.005293968170310486</x:v>
      </x:c>
      <x:c r="L1210" s="46" t="n">
        <x:v>0</x:v>
      </x:c>
      <x:c r="M1210" s="46" t="n">
        <x:v>0</x:v>
      </x:c>
      <x:c r="N1210" s="21" t="n">
        <x:f>IF(AND(L1209=1,M1209=1,P1209&gt;0),1,0)</x:f>
        <x:v>0</x:v>
      </x:c>
      <x:c r="O1210" s="21" t="n">
        <x:f>MIN('Root Data'!I367:I369)</x:f>
        <x:v>0</x:v>
      </x:c>
      <x:c r="P1210" s="44" t="n">
        <x:f>IF(AND(L1210=1,M1210=1,N1210=1,O1210&gt;=G1210),K1210,0)</x:f>
        <x:v>0</x:v>
      </x:c>
      <x:c r="Q1210" s="21" t="str">
        <x:v>OPEN</x:v>
      </x:c>
      <x:c r="R1210" s="23" t="str">
        <x:v>HOLD</x:v>
      </x:c>
    </x:row>
    <x:row r="1211">
      <x:c r="B1211" s="21" t="str">
        <x:v>AR-01205</x:v>
      </x:c>
      <x:c r="C1211" s="21" t="str">
        <x:v>F31-I1</x:v>
      </x:c>
      <x:c r="D1211" s="21" t="str">
        <x:v>F31</x:v>
      </x:c>
      <x:c r="E1211" s="21" t="n">
        <x:v>5</x:v>
      </x:c>
      <x:c r="F1211" s="21" t="str">
        <x:v>Qualification and destructive evidence</x:v>
      </x:c>
      <x:c r="G1211" s="21" t="n">
        <x:v>21</x:v>
      </x:c>
      <x:c r="H1211" s="21" t="str">
        <x:v>Independent Evidence and Data Authority</x:v>
      </x:c>
      <x:c r="I1211" s="44" t="n">
        <x:f>Lifecycle!G11</x:f>
        <x:v>0.1515251334079979</x:v>
      </x:c>
      <x:c r="J1211" s="44" t="n">
        <x:v>0.08928571428571429</x:v>
      </x:c>
      <x:c r="K1211" s="44" t="n">
        <x:f>I1211*J1211</x:f>
        <x:v>0.013529029768571241</x:v>
      </x:c>
      <x:c r="L1211" s="46" t="n">
        <x:v>0</x:v>
      </x:c>
      <x:c r="M1211" s="46" t="n">
        <x:v>0</x:v>
      </x:c>
      <x:c r="N1211" s="21" t="n">
        <x:f>IF(AND(L1210=1,M1210=1,P1210&gt;0),1,0)</x:f>
        <x:v>0</x:v>
      </x:c>
      <x:c r="O1211" s="21" t="n">
        <x:f>MIN('Root Data'!I367:I369)</x:f>
        <x:v>0</x:v>
      </x:c>
      <x:c r="P1211" s="44" t="n">
        <x:f>IF(AND(L1211=1,M1211=1,N1211=1,O1211&gt;=G1211),K1211,0)</x:f>
        <x:v>0</x:v>
      </x:c>
      <x:c r="Q1211" s="21" t="str">
        <x:v>OPEN</x:v>
      </x:c>
      <x:c r="R1211" s="23" t="str">
        <x:v>HOLD</x:v>
      </x:c>
    </x:row>
    <x:row r="1212">
      <x:c r="B1212" s="21" t="str">
        <x:v>AR-01206</x:v>
      </x:c>
      <x:c r="C1212" s="21" t="str">
        <x:v>F31-I1</x:v>
      </x:c>
      <x:c r="D1212" s="21" t="str">
        <x:v>F31</x:v>
      </x:c>
      <x:c r="E1212" s="21" t="n">
        <x:v>6</x:v>
      </x:c>
      <x:c r="F1212" s="21" t="str">
        <x:v>Representative mission result</x:v>
      </x:c>
      <x:c r="G1212" s="21" t="n">
        <x:v>23</x:v>
      </x:c>
      <x:c r="H1212" s="21" t="str">
        <x:v>Receiving Service Authority</x:v>
      </x:c>
      <x:c r="I1212" s="44" t="n">
        <x:f>Lifecycle!G12</x:f>
        <x:v>0.250345872587127</x:v>
      </x:c>
      <x:c r="J1212" s="44" t="n">
        <x:v>0.08928571428571429</x:v>
      </x:c>
      <x:c r="K1212" s="44" t="n">
        <x:f>I1212*J1212</x:f>
        <x:v>0.022352310052422053</x:v>
      </x:c>
      <x:c r="L1212" s="46" t="n">
        <x:v>0</x:v>
      </x:c>
      <x:c r="M1212" s="46" t="n">
        <x:v>0</x:v>
      </x:c>
      <x:c r="N1212" s="21" t="n">
        <x:f>IF(AND(L1211=1,M1211=1,P1211&gt;0),1,0)</x:f>
        <x:v>0</x:v>
      </x:c>
      <x:c r="O1212" s="21" t="n">
        <x:f>MIN('Root Data'!I367:I369)</x:f>
        <x:v>0</x:v>
      </x:c>
      <x:c r="P1212" s="44" t="n">
        <x:f>IF(AND(L1212=1,M1212=1,N1212=1,O1212&gt;=G1212),K1212,0)</x:f>
        <x:v>0</x:v>
      </x:c>
      <x:c r="Q1212" s="21" t="str">
        <x:v>OPEN</x:v>
      </x:c>
      <x:c r="R1212" s="23" t="str">
        <x:v>HOLD</x:v>
      </x:c>
    </x:row>
    <x:row r="1213">
      <x:c r="B1213" s="21" t="str">
        <x:v>AR-01207</x:v>
      </x:c>
      <x:c r="C1213" s="21" t="str">
        <x:v>F31-I1</x:v>
      </x:c>
      <x:c r="D1213" s="21" t="str">
        <x:v>F31</x:v>
      </x:c>
      <x:c r="E1213" s="21" t="n">
        <x:v>7</x:v>
      </x:c>
      <x:c r="F1213" s="21" t="str">
        <x:v>Independent reproduction</x:v>
      </x:c>
      <x:c r="G1213" s="21" t="n">
        <x:v>28</x:v>
      </x:c>
      <x:c r="H1213" s="21" t="str">
        <x:v>Independent Evidence and Data Authority</x:v>
      </x:c>
      <x:c r="I1213" s="44" t="n">
        <x:f>Lifecycle!G13</x:f>
        <x:v>0.21740562619408393</x:v>
      </x:c>
      <x:c r="J1213" s="44" t="n">
        <x:v>0.08928571428571429</x:v>
      </x:c>
      <x:c r="K1213" s="44" t="n">
        <x:f>I1213*J1213</x:f>
        <x:v>0.019411216624471782</x:v>
      </x:c>
      <x:c r="L1213" s="46" t="n">
        <x:v>0</x:v>
      </x:c>
      <x:c r="M1213" s="46" t="n">
        <x:v>0</x:v>
      </x:c>
      <x:c r="N1213" s="21" t="n">
        <x:f>IF(AND(L1212=1,M1212=1,P1212&gt;0),1,0)</x:f>
        <x:v>0</x:v>
      </x:c>
      <x:c r="O1213" s="21" t="n">
        <x:f>MIN('Root Data'!I367:I369)</x:f>
        <x:v>0</x:v>
      </x:c>
      <x:c r="P1213" s="44" t="n">
        <x:f>IF(AND(L1213=1,M1213=1,N1213=1,O1213&gt;=G1213),K1213,0)</x:f>
        <x:v>0</x:v>
      </x:c>
      <x:c r="Q1213" s="21" t="str">
        <x:v>OPEN</x:v>
      </x:c>
      <x:c r="R1213" s="23" t="str">
        <x:v>HOLD</x:v>
      </x:c>
    </x:row>
    <x:row r="1214">
      <x:c r="B1214" s="21" t="str">
        <x:v>AR-01208</x:v>
      </x:c>
      <x:c r="C1214" s="21" t="str">
        <x:v>F31-I1</x:v>
      </x:c>
      <x:c r="D1214" s="21" t="str">
        <x:v>F31</x:v>
      </x:c>
      <x:c r="E1214" s="21" t="n">
        <x:v>8</x:v>
      </x:c>
      <x:c r="F1214" s="21" t="str">
        <x:v>Pilot-process qualification</x:v>
      </x:c>
      <x:c r="G1214" s="21" t="n">
        <x:v>28</x:v>
      </x:c>
      <x:c r="H1214" s="21" t="str">
        <x:v>AIMC Industrial Mobilization Authority</x:v>
      </x:c>
      <x:c r="I1214" s="44" t="n">
        <x:f>Lifecycle!G14</x:f>
        <x:v>0.03952829567165163</x:v>
      </x:c>
      <x:c r="J1214" s="44" t="n">
        <x:v>0.08928571428571429</x:v>
      </x:c>
      <x:c r="K1214" s="44" t="n">
        <x:f>I1214*J1214</x:f>
        <x:v>0.003529312113540324</x:v>
      </x:c>
      <x:c r="L1214" s="46" t="n">
        <x:v>0</x:v>
      </x:c>
      <x:c r="M1214" s="46" t="n">
        <x:v>0</x:v>
      </x:c>
      <x:c r="N1214" s="21" t="n">
        <x:f>IF(AND(L1213=1,M1213=1,P1213&gt;0),1,0)</x:f>
        <x:v>0</x:v>
      </x:c>
      <x:c r="O1214" s="21" t="n">
        <x:f>MIN('Root Data'!I367:I369)</x:f>
        <x:v>0</x:v>
      </x:c>
      <x:c r="P1214" s="44" t="n">
        <x:f>IF(AND(L1214=1,M1214=1,N1214=1,O1214&gt;=G1214),K1214,0)</x:f>
        <x:v>0</x:v>
      </x:c>
      <x:c r="Q1214" s="21" t="str">
        <x:v>OPEN</x:v>
      </x:c>
      <x:c r="R1214" s="23" t="str">
        <x:v>HOLD</x:v>
      </x:c>
    </x:row>
    <x:row r="1215">
      <x:c r="B1215" s="21" t="str">
        <x:v>AR-01209</x:v>
      </x:c>
      <x:c r="C1215" s="21" t="str">
        <x:v>F31-I1</x:v>
      </x:c>
      <x:c r="D1215" s="21" t="str">
        <x:v>F31</x:v>
      </x:c>
      <x:c r="E1215" s="21" t="n">
        <x:v>9</x:v>
      </x:c>
      <x:c r="F1215" s="21" t="str">
        <x:v>Production release package</x:v>
      </x:c>
      <x:c r="G1215" s="21" t="n">
        <x:v>28</x:v>
      </x:c>
      <x:c r="H1215" s="21" t="str">
        <x:v>Production Release Board</x:v>
      </x:c>
      <x:c r="I1215" s="44" t="n">
        <x:f>Lifecycle!G15</x:f>
        <x:v>0.01647012319652151</x:v>
      </x:c>
      <x:c r="J1215" s="44" t="n">
        <x:v>0.08928571428571429</x:v>
      </x:c>
      <x:c r="K1215" s="44" t="n">
        <x:f>I1215*J1215</x:f>
        <x:v>0.001470546713975135</x:v>
      </x:c>
      <x:c r="L1215" s="46" t="n">
        <x:v>0</x:v>
      </x:c>
      <x:c r="M1215" s="46" t="n">
        <x:v>0</x:v>
      </x:c>
      <x:c r="N1215" s="21" t="n">
        <x:f>IF(AND(L1214=1,M1214=1,P1214&gt;0),1,0)</x:f>
        <x:v>0</x:v>
      </x:c>
      <x:c r="O1215" s="21" t="n">
        <x:f>MIN('Root Data'!I367:I369)</x:f>
        <x:v>0</x:v>
      </x:c>
      <x:c r="P1215" s="44" t="n">
        <x:f>IF(AND(L1215=1,M1215=1,N1215=1,O1215&gt;=G1215),K1215,0)</x:f>
        <x:v>0</x:v>
      </x:c>
      <x:c r="Q1215" s="21" t="str">
        <x:v>OPEN</x:v>
      </x:c>
      <x:c r="R1215" s="23" t="str">
        <x:v>HOLD</x:v>
      </x:c>
    </x:row>
    <x:row r="1216">
      <x:c r="B1216" s="21" t="str">
        <x:v>AR-01210</x:v>
      </x:c>
      <x:c r="C1216" s="21" t="str">
        <x:v>F31-I1</x:v>
      </x:c>
      <x:c r="D1216" s="21" t="str">
        <x:v>F31</x:v>
      </x:c>
      <x:c r="E1216" s="21" t="n">
        <x:v>10</x:v>
      </x:c>
      <x:c r="F1216" s="21" t="str">
        <x:v>Mobilization activation</x:v>
      </x:c>
      <x:c r="G1216" s="21" t="n">
        <x:v>28</x:v>
      </x:c>
      <x:c r="H1216" s="21" t="str">
        <x:v>Production Release Board</x:v>
      </x:c>
      <x:c r="I1216" s="44" t="n">
        <x:f>Lifecycle!G16</x:f>
        <x:v>0.028262731405230914</x:v>
      </x:c>
      <x:c r="J1216" s="44" t="n">
        <x:v>0.08928571428571429</x:v>
      </x:c>
      <x:c r="K1216" s="44" t="n">
        <x:f>I1216*J1216</x:f>
        <x:v>0.002523458161181332</x:v>
      </x:c>
      <x:c r="L1216" s="46" t="n">
        <x:v>0</x:v>
      </x:c>
      <x:c r="M1216" s="46" t="n">
        <x:v>0</x:v>
      </x:c>
      <x:c r="N1216" s="21" t="n">
        <x:f>IF(AND(L1215=1,M1215=1,P1215&gt;0),1,0)</x:f>
        <x:v>0</x:v>
      </x:c>
      <x:c r="O1216" s="21" t="n">
        <x:f>MIN('Root Data'!I367:I369)</x:f>
        <x:v>0</x:v>
      </x:c>
      <x:c r="P1216" s="44" t="n">
        <x:f>IF(AND(L1216=1,M1216=1,N1216=1,O1216&gt;=G1216),K1216,0)</x:f>
        <x:v>0</x:v>
      </x:c>
      <x:c r="Q1216" s="21" t="str">
        <x:v>OPEN</x:v>
      </x:c>
      <x:c r="R1216" s="23" t="str">
        <x:v>HOLD</x:v>
      </x:c>
    </x:row>
    <x:row r="1217">
      <x:c r="B1217" s="21" t="str">
        <x:v>AR-01211</x:v>
      </x:c>
      <x:c r="C1217" s="21" t="str">
        <x:v>F31-I2</x:v>
      </x:c>
      <x:c r="D1217" s="21" t="str">
        <x:v>F31</x:v>
      </x:c>
      <x:c r="E1217" s="21" t="n">
        <x:v>1</x:v>
      </x:c>
      <x:c r="F1217" s="21" t="str">
        <x:v>Civil effect charter</x:v>
      </x:c>
      <x:c r="G1217" s="21" t="n">
        <x:v>0</x:v>
      </x:c>
      <x:c r="H1217" s="21" t="str">
        <x:v>Civil Guarantee Authority</x:v>
      </x:c>
      <x:c r="I1217" s="44" t="n">
        <x:f>Lifecycle!G7</x:f>
        <x:v>0.04941036958956453</x:v>
      </x:c>
      <x:c r="J1217" s="44" t="n">
        <x:v>0.08928571428571429</x:v>
      </x:c>
      <x:c r="K1217" s="44" t="n">
        <x:f>I1217*J1217</x:f>
        <x:v>0.004411640141925405</x:v>
      </x:c>
      <x:c r="L1217" s="46" t="n">
        <x:v>0</x:v>
      </x:c>
      <x:c r="M1217" s="46" t="n">
        <x:v>0</x:v>
      </x:c>
      <x:c r="N1217" s="21" t="n">
        <x:f>1</x:f>
        <x:v>1</x:v>
      </x:c>
      <x:c r="O1217" s="21" t="n">
        <x:f>MIN('Root Data'!I370:I372)</x:f>
        <x:v>0</x:v>
      </x:c>
      <x:c r="P1217" s="44" t="n">
        <x:f>IF(AND(L1217=1,M1217=1,N1217=1,O1217&gt;=G1217),K1217,0)</x:f>
        <x:v>0</x:v>
      </x:c>
      <x:c r="Q1217" s="21" t="str">
        <x:v>OPEN</x:v>
      </x:c>
      <x:c r="R1217" s="23" t="str">
        <x:v>HOLD</x:v>
      </x:c>
    </x:row>
    <x:row r="1218">
      <x:c r="B1218" s="21" t="str">
        <x:v>AR-01212</x:v>
      </x:c>
      <x:c r="C1218" s="21" t="str">
        <x:v>F31-I2</x:v>
      </x:c>
      <x:c r="D1218" s="21" t="str">
        <x:v>F31</x:v>
      </x:c>
      <x:c r="E1218" s="21" t="n">
        <x:v>2</x:v>
      </x:c>
      <x:c r="F1218" s="21" t="str">
        <x:v>Requirement and root-independence package</x:v>
      </x:c>
      <x:c r="G1218" s="21" t="n">
        <x:v>8</x:v>
      </x:c>
      <x:c r="H1218" s="21" t="str">
        <x:v>Resilience Staff</x:v>
      </x:c>
      <x:c r="I1218" s="44" t="n">
        <x:f>Lifecycle!G8</x:f>
        <x:v>0.10211476381843337</x:v>
      </x:c>
      <x:c r="J1218" s="44" t="n">
        <x:v>0.08928571428571429</x:v>
      </x:c>
      <x:c r="K1218" s="44" t="n">
        <x:f>I1218*J1218</x:f>
        <x:v>0.009117389626645838</x:v>
      </x:c>
      <x:c r="L1218" s="46" t="n">
        <x:v>0</x:v>
      </x:c>
      <x:c r="M1218" s="46" t="n">
        <x:v>0</x:v>
      </x:c>
      <x:c r="N1218" s="21" t="n">
        <x:f>IF(AND(L1217=1,M1217=1,P1217&gt;0),1,0)</x:f>
        <x:v>0</x:v>
      </x:c>
      <x:c r="O1218" s="21" t="n">
        <x:f>MIN('Root Data'!I370:I372)</x:f>
        <x:v>0</x:v>
      </x:c>
      <x:c r="P1218" s="44" t="n">
        <x:f>IF(AND(L1218=1,M1218=1,N1218=1,O1218&gt;=G1218),K1218,0)</x:f>
        <x:v>0</x:v>
      </x:c>
      <x:c r="Q1218" s="21" t="str">
        <x:v>OPEN</x:v>
      </x:c>
      <x:c r="R1218" s="23" t="str">
        <x:v>HOLD</x:v>
      </x:c>
    </x:row>
    <x:row r="1219">
      <x:c r="B1219" s="21" t="str">
        <x:v>AR-01213</x:v>
      </x:c>
      <x:c r="C1219" s="21" t="str">
        <x:v>F31-I2</x:v>
      </x:c>
      <x:c r="D1219" s="21" t="str">
        <x:v>F31</x:v>
      </x:c>
      <x:c r="E1219" s="21" t="n">
        <x:v>3</x:v>
      </x:c>
      <x:c r="F1219" s="21" t="str">
        <x:v>Architecture and burden closure</x:v>
      </x:c>
      <x:c r="G1219" s="21" t="n">
        <x:v>14</x:v>
      </x:c>
      <x:c r="H1219" s="21" t="str">
        <x:v>Independent Evidence and Data Authority</x:v>
      </x:c>
      <x:c r="I1219" s="44" t="n">
        <x:f>Lifecycle!G9</x:f>
        <x:v>0.08564464062191186</x:v>
      </x:c>
      <x:c r="J1219" s="44" t="n">
        <x:v>0.08928571428571429</x:v>
      </x:c>
      <x:c r="K1219" s="44" t="n">
        <x:f>I1219*J1219</x:f>
        <x:v>0.007646842912670702</x:v>
      </x:c>
      <x:c r="L1219" s="46" t="n">
        <x:v>0</x:v>
      </x:c>
      <x:c r="M1219" s="46" t="n">
        <x:v>0</x:v>
      </x:c>
      <x:c r="N1219" s="21" t="n">
        <x:f>IF(AND(L1218=1,M1218=1,P1218&gt;0),1,0)</x:f>
        <x:v>0</x:v>
      </x:c>
      <x:c r="O1219" s="21" t="n">
        <x:f>MIN('Root Data'!I370:I372)</x:f>
        <x:v>0</x:v>
      </x:c>
      <x:c r="P1219" s="44" t="n">
        <x:f>IF(AND(L1219=1,M1219=1,N1219=1,O1219&gt;=G1219),K1219,0)</x:f>
        <x:v>0</x:v>
      </x:c>
      <x:c r="Q1219" s="21" t="str">
        <x:v>OPEN</x:v>
      </x:c>
      <x:c r="R1219" s="23" t="str">
        <x:v>HOLD</x:v>
      </x:c>
    </x:row>
    <x:row r="1220">
      <x:c r="B1220" s="21" t="str">
        <x:v>AR-01214</x:v>
      </x:c>
      <x:c r="C1220" s="21" t="str">
        <x:v>F31-I2</x:v>
      </x:c>
      <x:c r="D1220" s="21" t="str">
        <x:v>F31</x:v>
      </x:c>
      <x:c r="E1220" s="21" t="n">
        <x:v>4</x:v>
      </x:c>
      <x:c r="F1220" s="21" t="str">
        <x:v>Engineering article acceptance</x:v>
      </x:c>
      <x:c r="G1220" s="21" t="n">
        <x:v>18</x:v>
      </x:c>
      <x:c r="H1220" s="21" t="str">
        <x:v>Independent Evidence and Data Authority</x:v>
      </x:c>
      <x:c r="I1220" s="44" t="n">
        <x:f>Lifecycle!G10</x:f>
        <x:v>0.05929244350747744</x:v>
      </x:c>
      <x:c r="J1220" s="44" t="n">
        <x:v>0.08928571428571429</x:v>
      </x:c>
      <x:c r="K1220" s="44" t="n">
        <x:f>I1220*J1220</x:f>
        <x:v>0.005293968170310486</x:v>
      </x:c>
      <x:c r="L1220" s="46" t="n">
        <x:v>0</x:v>
      </x:c>
      <x:c r="M1220" s="46" t="n">
        <x:v>0</x:v>
      </x:c>
      <x:c r="N1220" s="21" t="n">
        <x:f>IF(AND(L1219=1,M1219=1,P1219&gt;0),1,0)</x:f>
        <x:v>0</x:v>
      </x:c>
      <x:c r="O1220" s="21" t="n">
        <x:f>MIN('Root Data'!I370:I372)</x:f>
        <x:v>0</x:v>
      </x:c>
      <x:c r="P1220" s="44" t="n">
        <x:f>IF(AND(L1220=1,M1220=1,N1220=1,O1220&gt;=G1220),K1220,0)</x:f>
        <x:v>0</x:v>
      </x:c>
      <x:c r="Q1220" s="21" t="str">
        <x:v>OPEN</x:v>
      </x:c>
      <x:c r="R1220" s="23" t="str">
        <x:v>HOLD</x:v>
      </x:c>
    </x:row>
    <x:row r="1221">
      <x:c r="B1221" s="21" t="str">
        <x:v>AR-01215</x:v>
      </x:c>
      <x:c r="C1221" s="21" t="str">
        <x:v>F31-I2</x:v>
      </x:c>
      <x:c r="D1221" s="21" t="str">
        <x:v>F31</x:v>
      </x:c>
      <x:c r="E1221" s="21" t="n">
        <x:v>5</x:v>
      </x:c>
      <x:c r="F1221" s="21" t="str">
        <x:v>Qualification and destructive evidence</x:v>
      </x:c>
      <x:c r="G1221" s="21" t="n">
        <x:v>21</x:v>
      </x:c>
      <x:c r="H1221" s="21" t="str">
        <x:v>Independent Evidence and Data Authority</x:v>
      </x:c>
      <x:c r="I1221" s="44" t="n">
        <x:f>Lifecycle!G11</x:f>
        <x:v>0.1515251334079979</x:v>
      </x:c>
      <x:c r="J1221" s="44" t="n">
        <x:v>0.08928571428571429</x:v>
      </x:c>
      <x:c r="K1221" s="44" t="n">
        <x:f>I1221*J1221</x:f>
        <x:v>0.013529029768571241</x:v>
      </x:c>
      <x:c r="L1221" s="46" t="n">
        <x:v>0</x:v>
      </x:c>
      <x:c r="M1221" s="46" t="n">
        <x:v>0</x:v>
      </x:c>
      <x:c r="N1221" s="21" t="n">
        <x:f>IF(AND(L1220=1,M1220=1,P1220&gt;0),1,0)</x:f>
        <x:v>0</x:v>
      </x:c>
      <x:c r="O1221" s="21" t="n">
        <x:f>MIN('Root Data'!I370:I372)</x:f>
        <x:v>0</x:v>
      </x:c>
      <x:c r="P1221" s="44" t="n">
        <x:f>IF(AND(L1221=1,M1221=1,N1221=1,O1221&gt;=G1221),K1221,0)</x:f>
        <x:v>0</x:v>
      </x:c>
      <x:c r="Q1221" s="21" t="str">
        <x:v>OPEN</x:v>
      </x:c>
      <x:c r="R1221" s="23" t="str">
        <x:v>HOLD</x:v>
      </x:c>
    </x:row>
    <x:row r="1222">
      <x:c r="B1222" s="21" t="str">
        <x:v>AR-01216</x:v>
      </x:c>
      <x:c r="C1222" s="21" t="str">
        <x:v>F31-I2</x:v>
      </x:c>
      <x:c r="D1222" s="21" t="str">
        <x:v>F31</x:v>
      </x:c>
      <x:c r="E1222" s="21" t="n">
        <x:v>6</x:v>
      </x:c>
      <x:c r="F1222" s="21" t="str">
        <x:v>Representative mission result</x:v>
      </x:c>
      <x:c r="G1222" s="21" t="n">
        <x:v>23</x:v>
      </x:c>
      <x:c r="H1222" s="21" t="str">
        <x:v>Receiving Service Authority</x:v>
      </x:c>
      <x:c r="I1222" s="44" t="n">
        <x:f>Lifecycle!G12</x:f>
        <x:v>0.250345872587127</x:v>
      </x:c>
      <x:c r="J1222" s="44" t="n">
        <x:v>0.08928571428571429</x:v>
      </x:c>
      <x:c r="K1222" s="44" t="n">
        <x:f>I1222*J1222</x:f>
        <x:v>0.022352310052422053</x:v>
      </x:c>
      <x:c r="L1222" s="46" t="n">
        <x:v>0</x:v>
      </x:c>
      <x:c r="M1222" s="46" t="n">
        <x:v>0</x:v>
      </x:c>
      <x:c r="N1222" s="21" t="n">
        <x:f>IF(AND(L1221=1,M1221=1,P1221&gt;0),1,0)</x:f>
        <x:v>0</x:v>
      </x:c>
      <x:c r="O1222" s="21" t="n">
        <x:f>MIN('Root Data'!I370:I372)</x:f>
        <x:v>0</x:v>
      </x:c>
      <x:c r="P1222" s="44" t="n">
        <x:f>IF(AND(L1222=1,M1222=1,N1222=1,O1222&gt;=G1222),K1222,0)</x:f>
        <x:v>0</x:v>
      </x:c>
      <x:c r="Q1222" s="21" t="str">
        <x:v>OPEN</x:v>
      </x:c>
      <x:c r="R1222" s="23" t="str">
        <x:v>HOLD</x:v>
      </x:c>
    </x:row>
    <x:row r="1223">
      <x:c r="B1223" s="21" t="str">
        <x:v>AR-01217</x:v>
      </x:c>
      <x:c r="C1223" s="21" t="str">
        <x:v>F31-I2</x:v>
      </x:c>
      <x:c r="D1223" s="21" t="str">
        <x:v>F31</x:v>
      </x:c>
      <x:c r="E1223" s="21" t="n">
        <x:v>7</x:v>
      </x:c>
      <x:c r="F1223" s="21" t="str">
        <x:v>Independent reproduction</x:v>
      </x:c>
      <x:c r="G1223" s="21" t="n">
        <x:v>28</x:v>
      </x:c>
      <x:c r="H1223" s="21" t="str">
        <x:v>Independent Evidence and Data Authority</x:v>
      </x:c>
      <x:c r="I1223" s="44" t="n">
        <x:f>Lifecycle!G13</x:f>
        <x:v>0.21740562619408393</x:v>
      </x:c>
      <x:c r="J1223" s="44" t="n">
        <x:v>0.08928571428571429</x:v>
      </x:c>
      <x:c r="K1223" s="44" t="n">
        <x:f>I1223*J1223</x:f>
        <x:v>0.019411216624471782</x:v>
      </x:c>
      <x:c r="L1223" s="46" t="n">
        <x:v>0</x:v>
      </x:c>
      <x:c r="M1223" s="46" t="n">
        <x:v>0</x:v>
      </x:c>
      <x:c r="N1223" s="21" t="n">
        <x:f>IF(AND(L1222=1,M1222=1,P1222&gt;0),1,0)</x:f>
        <x:v>0</x:v>
      </x:c>
      <x:c r="O1223" s="21" t="n">
        <x:f>MIN('Root Data'!I370:I372)</x:f>
        <x:v>0</x:v>
      </x:c>
      <x:c r="P1223" s="44" t="n">
        <x:f>IF(AND(L1223=1,M1223=1,N1223=1,O1223&gt;=G1223),K1223,0)</x:f>
        <x:v>0</x:v>
      </x:c>
      <x:c r="Q1223" s="21" t="str">
        <x:v>OPEN</x:v>
      </x:c>
      <x:c r="R1223" s="23" t="str">
        <x:v>HOLD</x:v>
      </x:c>
    </x:row>
    <x:row r="1224">
      <x:c r="B1224" s="21" t="str">
        <x:v>AR-01218</x:v>
      </x:c>
      <x:c r="C1224" s="21" t="str">
        <x:v>F31-I2</x:v>
      </x:c>
      <x:c r="D1224" s="21" t="str">
        <x:v>F31</x:v>
      </x:c>
      <x:c r="E1224" s="21" t="n">
        <x:v>8</x:v>
      </x:c>
      <x:c r="F1224" s="21" t="str">
        <x:v>Pilot-process qualification</x:v>
      </x:c>
      <x:c r="G1224" s="21" t="n">
        <x:v>28</x:v>
      </x:c>
      <x:c r="H1224" s="21" t="str">
        <x:v>AIMC Industrial Mobilization Authority</x:v>
      </x:c>
      <x:c r="I1224" s="44" t="n">
        <x:f>Lifecycle!G14</x:f>
        <x:v>0.03952829567165163</x:v>
      </x:c>
      <x:c r="J1224" s="44" t="n">
        <x:v>0.08928571428571429</x:v>
      </x:c>
      <x:c r="K1224" s="44" t="n">
        <x:f>I1224*J1224</x:f>
        <x:v>0.003529312113540324</x:v>
      </x:c>
      <x:c r="L1224" s="46" t="n">
        <x:v>0</x:v>
      </x:c>
      <x:c r="M1224" s="46" t="n">
        <x:v>0</x:v>
      </x:c>
      <x:c r="N1224" s="21" t="n">
        <x:f>IF(AND(L1223=1,M1223=1,P1223&gt;0),1,0)</x:f>
        <x:v>0</x:v>
      </x:c>
      <x:c r="O1224" s="21" t="n">
        <x:f>MIN('Root Data'!I370:I372)</x:f>
        <x:v>0</x:v>
      </x:c>
      <x:c r="P1224" s="44" t="n">
        <x:f>IF(AND(L1224=1,M1224=1,N1224=1,O1224&gt;=G1224),K1224,0)</x:f>
        <x:v>0</x:v>
      </x:c>
      <x:c r="Q1224" s="21" t="str">
        <x:v>OPEN</x:v>
      </x:c>
      <x:c r="R1224" s="23" t="str">
        <x:v>HOLD</x:v>
      </x:c>
    </x:row>
    <x:row r="1225">
      <x:c r="B1225" s="21" t="str">
        <x:v>AR-01219</x:v>
      </x:c>
      <x:c r="C1225" s="21" t="str">
        <x:v>F31-I2</x:v>
      </x:c>
      <x:c r="D1225" s="21" t="str">
        <x:v>F31</x:v>
      </x:c>
      <x:c r="E1225" s="21" t="n">
        <x:v>9</x:v>
      </x:c>
      <x:c r="F1225" s="21" t="str">
        <x:v>Production release package</x:v>
      </x:c>
      <x:c r="G1225" s="21" t="n">
        <x:v>28</x:v>
      </x:c>
      <x:c r="H1225" s="21" t="str">
        <x:v>Production Release Board</x:v>
      </x:c>
      <x:c r="I1225" s="44" t="n">
        <x:f>Lifecycle!G15</x:f>
        <x:v>0.01647012319652151</x:v>
      </x:c>
      <x:c r="J1225" s="44" t="n">
        <x:v>0.08928571428571429</x:v>
      </x:c>
      <x:c r="K1225" s="44" t="n">
        <x:f>I1225*J1225</x:f>
        <x:v>0.001470546713975135</x:v>
      </x:c>
      <x:c r="L1225" s="46" t="n">
        <x:v>0</x:v>
      </x:c>
      <x:c r="M1225" s="46" t="n">
        <x:v>0</x:v>
      </x:c>
      <x:c r="N1225" s="21" t="n">
        <x:f>IF(AND(L1224=1,M1224=1,P1224&gt;0),1,0)</x:f>
        <x:v>0</x:v>
      </x:c>
      <x:c r="O1225" s="21" t="n">
        <x:f>MIN('Root Data'!I370:I372)</x:f>
        <x:v>0</x:v>
      </x:c>
      <x:c r="P1225" s="44" t="n">
        <x:f>IF(AND(L1225=1,M1225=1,N1225=1,O1225&gt;=G1225),K1225,0)</x:f>
        <x:v>0</x:v>
      </x:c>
      <x:c r="Q1225" s="21" t="str">
        <x:v>OPEN</x:v>
      </x:c>
      <x:c r="R1225" s="23" t="str">
        <x:v>HOLD</x:v>
      </x:c>
    </x:row>
    <x:row r="1226">
      <x:c r="B1226" s="21" t="str">
        <x:v>AR-01220</x:v>
      </x:c>
      <x:c r="C1226" s="21" t="str">
        <x:v>F31-I2</x:v>
      </x:c>
      <x:c r="D1226" s="21" t="str">
        <x:v>F31</x:v>
      </x:c>
      <x:c r="E1226" s="21" t="n">
        <x:v>10</x:v>
      </x:c>
      <x:c r="F1226" s="21" t="str">
        <x:v>Mobilization activation</x:v>
      </x:c>
      <x:c r="G1226" s="21" t="n">
        <x:v>28</x:v>
      </x:c>
      <x:c r="H1226" s="21" t="str">
        <x:v>Production Release Board</x:v>
      </x:c>
      <x:c r="I1226" s="44" t="n">
        <x:f>Lifecycle!G16</x:f>
        <x:v>0.028262731405230914</x:v>
      </x:c>
      <x:c r="J1226" s="44" t="n">
        <x:v>0.08928571428571429</x:v>
      </x:c>
      <x:c r="K1226" s="44" t="n">
        <x:f>I1226*J1226</x:f>
        <x:v>0.002523458161181332</x:v>
      </x:c>
      <x:c r="L1226" s="46" t="n">
        <x:v>0</x:v>
      </x:c>
      <x:c r="M1226" s="46" t="n">
        <x:v>0</x:v>
      </x:c>
      <x:c r="N1226" s="21" t="n">
        <x:f>IF(AND(L1225=1,M1225=1,P1225&gt;0),1,0)</x:f>
        <x:v>0</x:v>
      </x:c>
      <x:c r="O1226" s="21" t="n">
        <x:f>MIN('Root Data'!I370:I372)</x:f>
        <x:v>0</x:v>
      </x:c>
      <x:c r="P1226" s="44" t="n">
        <x:f>IF(AND(L1226=1,M1226=1,N1226=1,O1226&gt;=G1226),K1226,0)</x:f>
        <x:v>0</x:v>
      </x:c>
      <x:c r="Q1226" s="21" t="str">
        <x:v>OPEN</x:v>
      </x:c>
      <x:c r="R1226" s="23" t="str">
        <x:v>HOLD</x:v>
      </x:c>
    </x:row>
    <x:row r="1227">
      <x:c r="B1227" s="21" t="str">
        <x:v>AR-01221</x:v>
      </x:c>
      <x:c r="C1227" s="21" t="str">
        <x:v>F31-I3</x:v>
      </x:c>
      <x:c r="D1227" s="21" t="str">
        <x:v>F31</x:v>
      </x:c>
      <x:c r="E1227" s="21" t="n">
        <x:v>1</x:v>
      </x:c>
      <x:c r="F1227" s="21" t="str">
        <x:v>Civil effect charter</x:v>
      </x:c>
      <x:c r="G1227" s="21" t="n">
        <x:v>0</x:v>
      </x:c>
      <x:c r="H1227" s="21" t="str">
        <x:v>Civil Guarantee Authority</x:v>
      </x:c>
      <x:c r="I1227" s="44" t="n">
        <x:f>Lifecycle!G7</x:f>
        <x:v>0.04941036958956453</x:v>
      </x:c>
      <x:c r="J1227" s="44" t="n">
        <x:v>0.08928571428571429</x:v>
      </x:c>
      <x:c r="K1227" s="44" t="n">
        <x:f>I1227*J1227</x:f>
        <x:v>0.004411640141925405</x:v>
      </x:c>
      <x:c r="L1227" s="46" t="n">
        <x:v>0</x:v>
      </x:c>
      <x:c r="M1227" s="46" t="n">
        <x:v>0</x:v>
      </x:c>
      <x:c r="N1227" s="21" t="n">
        <x:f>1</x:f>
        <x:v>1</x:v>
      </x:c>
      <x:c r="O1227" s="21" t="n">
        <x:f>MIN('Root Data'!I373:I375)</x:f>
        <x:v>0</x:v>
      </x:c>
      <x:c r="P1227" s="44" t="n">
        <x:f>IF(AND(L1227=1,M1227=1,N1227=1,O1227&gt;=G1227),K1227,0)</x:f>
        <x:v>0</x:v>
      </x:c>
      <x:c r="Q1227" s="21" t="str">
        <x:v>OPEN</x:v>
      </x:c>
      <x:c r="R1227" s="23" t="str">
        <x:v>HOLD</x:v>
      </x:c>
    </x:row>
    <x:row r="1228">
      <x:c r="B1228" s="21" t="str">
        <x:v>AR-01222</x:v>
      </x:c>
      <x:c r="C1228" s="21" t="str">
        <x:v>F31-I3</x:v>
      </x:c>
      <x:c r="D1228" s="21" t="str">
        <x:v>F31</x:v>
      </x:c>
      <x:c r="E1228" s="21" t="n">
        <x:v>2</x:v>
      </x:c>
      <x:c r="F1228" s="21" t="str">
        <x:v>Requirement and root-independence package</x:v>
      </x:c>
      <x:c r="G1228" s="21" t="n">
        <x:v>8</x:v>
      </x:c>
      <x:c r="H1228" s="21" t="str">
        <x:v>Resilience Staff</x:v>
      </x:c>
      <x:c r="I1228" s="44" t="n">
        <x:f>Lifecycle!G8</x:f>
        <x:v>0.10211476381843337</x:v>
      </x:c>
      <x:c r="J1228" s="44" t="n">
        <x:v>0.08928571428571429</x:v>
      </x:c>
      <x:c r="K1228" s="44" t="n">
        <x:f>I1228*J1228</x:f>
        <x:v>0.009117389626645838</x:v>
      </x:c>
      <x:c r="L1228" s="46" t="n">
        <x:v>0</x:v>
      </x:c>
      <x:c r="M1228" s="46" t="n">
        <x:v>0</x:v>
      </x:c>
      <x:c r="N1228" s="21" t="n">
        <x:f>IF(AND(L1227=1,M1227=1,P1227&gt;0),1,0)</x:f>
        <x:v>0</x:v>
      </x:c>
      <x:c r="O1228" s="21" t="n">
        <x:f>MIN('Root Data'!I373:I375)</x:f>
        <x:v>0</x:v>
      </x:c>
      <x:c r="P1228" s="44" t="n">
        <x:f>IF(AND(L1228=1,M1228=1,N1228=1,O1228&gt;=G1228),K1228,0)</x:f>
        <x:v>0</x:v>
      </x:c>
      <x:c r="Q1228" s="21" t="str">
        <x:v>OPEN</x:v>
      </x:c>
      <x:c r="R1228" s="23" t="str">
        <x:v>HOLD</x:v>
      </x:c>
    </x:row>
    <x:row r="1229">
      <x:c r="B1229" s="21" t="str">
        <x:v>AR-01223</x:v>
      </x:c>
      <x:c r="C1229" s="21" t="str">
        <x:v>F31-I3</x:v>
      </x:c>
      <x:c r="D1229" s="21" t="str">
        <x:v>F31</x:v>
      </x:c>
      <x:c r="E1229" s="21" t="n">
        <x:v>3</x:v>
      </x:c>
      <x:c r="F1229" s="21" t="str">
        <x:v>Architecture and burden closure</x:v>
      </x:c>
      <x:c r="G1229" s="21" t="n">
        <x:v>14</x:v>
      </x:c>
      <x:c r="H1229" s="21" t="str">
        <x:v>Independent Evidence and Data Authority</x:v>
      </x:c>
      <x:c r="I1229" s="44" t="n">
        <x:f>Lifecycle!G9</x:f>
        <x:v>0.08564464062191186</x:v>
      </x:c>
      <x:c r="J1229" s="44" t="n">
        <x:v>0.08928571428571429</x:v>
      </x:c>
      <x:c r="K1229" s="44" t="n">
        <x:f>I1229*J1229</x:f>
        <x:v>0.007646842912670702</x:v>
      </x:c>
      <x:c r="L1229" s="46" t="n">
        <x:v>0</x:v>
      </x:c>
      <x:c r="M1229" s="46" t="n">
        <x:v>0</x:v>
      </x:c>
      <x:c r="N1229" s="21" t="n">
        <x:f>IF(AND(L1228=1,M1228=1,P1228&gt;0),1,0)</x:f>
        <x:v>0</x:v>
      </x:c>
      <x:c r="O1229" s="21" t="n">
        <x:f>MIN('Root Data'!I373:I375)</x:f>
        <x:v>0</x:v>
      </x:c>
      <x:c r="P1229" s="44" t="n">
        <x:f>IF(AND(L1229=1,M1229=1,N1229=1,O1229&gt;=G1229),K1229,0)</x:f>
        <x:v>0</x:v>
      </x:c>
      <x:c r="Q1229" s="21" t="str">
        <x:v>OPEN</x:v>
      </x:c>
      <x:c r="R1229" s="23" t="str">
        <x:v>HOLD</x:v>
      </x:c>
    </x:row>
    <x:row r="1230">
      <x:c r="B1230" s="21" t="str">
        <x:v>AR-01224</x:v>
      </x:c>
      <x:c r="C1230" s="21" t="str">
        <x:v>F31-I3</x:v>
      </x:c>
      <x:c r="D1230" s="21" t="str">
        <x:v>F31</x:v>
      </x:c>
      <x:c r="E1230" s="21" t="n">
        <x:v>4</x:v>
      </x:c>
      <x:c r="F1230" s="21" t="str">
        <x:v>Engineering article acceptance</x:v>
      </x:c>
      <x:c r="G1230" s="21" t="n">
        <x:v>18</x:v>
      </x:c>
      <x:c r="H1230" s="21" t="str">
        <x:v>Independent Evidence and Data Authority</x:v>
      </x:c>
      <x:c r="I1230" s="44" t="n">
        <x:f>Lifecycle!G10</x:f>
        <x:v>0.05929244350747744</x:v>
      </x:c>
      <x:c r="J1230" s="44" t="n">
        <x:v>0.08928571428571429</x:v>
      </x:c>
      <x:c r="K1230" s="44" t="n">
        <x:f>I1230*J1230</x:f>
        <x:v>0.005293968170310486</x:v>
      </x:c>
      <x:c r="L1230" s="46" t="n">
        <x:v>0</x:v>
      </x:c>
      <x:c r="M1230" s="46" t="n">
        <x:v>0</x:v>
      </x:c>
      <x:c r="N1230" s="21" t="n">
        <x:f>IF(AND(L1229=1,M1229=1,P1229&gt;0),1,0)</x:f>
        <x:v>0</x:v>
      </x:c>
      <x:c r="O1230" s="21" t="n">
        <x:f>MIN('Root Data'!I373:I375)</x:f>
        <x:v>0</x:v>
      </x:c>
      <x:c r="P1230" s="44" t="n">
        <x:f>IF(AND(L1230=1,M1230=1,N1230=1,O1230&gt;=G1230),K1230,0)</x:f>
        <x:v>0</x:v>
      </x:c>
      <x:c r="Q1230" s="21" t="str">
        <x:v>OPEN</x:v>
      </x:c>
      <x:c r="R1230" s="23" t="str">
        <x:v>HOLD</x:v>
      </x:c>
    </x:row>
    <x:row r="1231">
      <x:c r="B1231" s="21" t="str">
        <x:v>AR-01225</x:v>
      </x:c>
      <x:c r="C1231" s="21" t="str">
        <x:v>F31-I3</x:v>
      </x:c>
      <x:c r="D1231" s="21" t="str">
        <x:v>F31</x:v>
      </x:c>
      <x:c r="E1231" s="21" t="n">
        <x:v>5</x:v>
      </x:c>
      <x:c r="F1231" s="21" t="str">
        <x:v>Qualification and destructive evidence</x:v>
      </x:c>
      <x:c r="G1231" s="21" t="n">
        <x:v>21</x:v>
      </x:c>
      <x:c r="H1231" s="21" t="str">
        <x:v>Independent Evidence and Data Authority</x:v>
      </x:c>
      <x:c r="I1231" s="44" t="n">
        <x:f>Lifecycle!G11</x:f>
        <x:v>0.1515251334079979</x:v>
      </x:c>
      <x:c r="J1231" s="44" t="n">
        <x:v>0.08928571428571429</x:v>
      </x:c>
      <x:c r="K1231" s="44" t="n">
        <x:f>I1231*J1231</x:f>
        <x:v>0.013529029768571241</x:v>
      </x:c>
      <x:c r="L1231" s="46" t="n">
        <x:v>0</x:v>
      </x:c>
      <x:c r="M1231" s="46" t="n">
        <x:v>0</x:v>
      </x:c>
      <x:c r="N1231" s="21" t="n">
        <x:f>IF(AND(L1230=1,M1230=1,P1230&gt;0),1,0)</x:f>
        <x:v>0</x:v>
      </x:c>
      <x:c r="O1231" s="21" t="n">
        <x:f>MIN('Root Data'!I373:I375)</x:f>
        <x:v>0</x:v>
      </x:c>
      <x:c r="P1231" s="44" t="n">
        <x:f>IF(AND(L1231=1,M1231=1,N1231=1,O1231&gt;=G1231),K1231,0)</x:f>
        <x:v>0</x:v>
      </x:c>
      <x:c r="Q1231" s="21" t="str">
        <x:v>OPEN</x:v>
      </x:c>
      <x:c r="R1231" s="23" t="str">
        <x:v>HOLD</x:v>
      </x:c>
    </x:row>
    <x:row r="1232">
      <x:c r="B1232" s="21" t="str">
        <x:v>AR-01226</x:v>
      </x:c>
      <x:c r="C1232" s="21" t="str">
        <x:v>F31-I3</x:v>
      </x:c>
      <x:c r="D1232" s="21" t="str">
        <x:v>F31</x:v>
      </x:c>
      <x:c r="E1232" s="21" t="n">
        <x:v>6</x:v>
      </x:c>
      <x:c r="F1232" s="21" t="str">
        <x:v>Representative mission result</x:v>
      </x:c>
      <x:c r="G1232" s="21" t="n">
        <x:v>23</x:v>
      </x:c>
      <x:c r="H1232" s="21" t="str">
        <x:v>Receiving Service Authority</x:v>
      </x:c>
      <x:c r="I1232" s="44" t="n">
        <x:f>Lifecycle!G12</x:f>
        <x:v>0.250345872587127</x:v>
      </x:c>
      <x:c r="J1232" s="44" t="n">
        <x:v>0.08928571428571429</x:v>
      </x:c>
      <x:c r="K1232" s="44" t="n">
        <x:f>I1232*J1232</x:f>
        <x:v>0.022352310052422053</x:v>
      </x:c>
      <x:c r="L1232" s="46" t="n">
        <x:v>0</x:v>
      </x:c>
      <x:c r="M1232" s="46" t="n">
        <x:v>0</x:v>
      </x:c>
      <x:c r="N1232" s="21" t="n">
        <x:f>IF(AND(L1231=1,M1231=1,P1231&gt;0),1,0)</x:f>
        <x:v>0</x:v>
      </x:c>
      <x:c r="O1232" s="21" t="n">
        <x:f>MIN('Root Data'!I373:I375)</x:f>
        <x:v>0</x:v>
      </x:c>
      <x:c r="P1232" s="44" t="n">
        <x:f>IF(AND(L1232=1,M1232=1,N1232=1,O1232&gt;=G1232),K1232,0)</x:f>
        <x:v>0</x:v>
      </x:c>
      <x:c r="Q1232" s="21" t="str">
        <x:v>OPEN</x:v>
      </x:c>
      <x:c r="R1232" s="23" t="str">
        <x:v>HOLD</x:v>
      </x:c>
    </x:row>
    <x:row r="1233">
      <x:c r="B1233" s="21" t="str">
        <x:v>AR-01227</x:v>
      </x:c>
      <x:c r="C1233" s="21" t="str">
        <x:v>F31-I3</x:v>
      </x:c>
      <x:c r="D1233" s="21" t="str">
        <x:v>F31</x:v>
      </x:c>
      <x:c r="E1233" s="21" t="n">
        <x:v>7</x:v>
      </x:c>
      <x:c r="F1233" s="21" t="str">
        <x:v>Independent reproduction</x:v>
      </x:c>
      <x:c r="G1233" s="21" t="n">
        <x:v>28</x:v>
      </x:c>
      <x:c r="H1233" s="21" t="str">
        <x:v>Independent Evidence and Data Authority</x:v>
      </x:c>
      <x:c r="I1233" s="44" t="n">
        <x:f>Lifecycle!G13</x:f>
        <x:v>0.21740562619408393</x:v>
      </x:c>
      <x:c r="J1233" s="44" t="n">
        <x:v>0.08928571428571429</x:v>
      </x:c>
      <x:c r="K1233" s="44" t="n">
        <x:f>I1233*J1233</x:f>
        <x:v>0.019411216624471782</x:v>
      </x:c>
      <x:c r="L1233" s="46" t="n">
        <x:v>0</x:v>
      </x:c>
      <x:c r="M1233" s="46" t="n">
        <x:v>0</x:v>
      </x:c>
      <x:c r="N1233" s="21" t="n">
        <x:f>IF(AND(L1232=1,M1232=1,P1232&gt;0),1,0)</x:f>
        <x:v>0</x:v>
      </x:c>
      <x:c r="O1233" s="21" t="n">
        <x:f>MIN('Root Data'!I373:I375)</x:f>
        <x:v>0</x:v>
      </x:c>
      <x:c r="P1233" s="44" t="n">
        <x:f>IF(AND(L1233=1,M1233=1,N1233=1,O1233&gt;=G1233),K1233,0)</x:f>
        <x:v>0</x:v>
      </x:c>
      <x:c r="Q1233" s="21" t="str">
        <x:v>OPEN</x:v>
      </x:c>
      <x:c r="R1233" s="23" t="str">
        <x:v>HOLD</x:v>
      </x:c>
    </x:row>
    <x:row r="1234">
      <x:c r="B1234" s="21" t="str">
        <x:v>AR-01228</x:v>
      </x:c>
      <x:c r="C1234" s="21" t="str">
        <x:v>F31-I3</x:v>
      </x:c>
      <x:c r="D1234" s="21" t="str">
        <x:v>F31</x:v>
      </x:c>
      <x:c r="E1234" s="21" t="n">
        <x:v>8</x:v>
      </x:c>
      <x:c r="F1234" s="21" t="str">
        <x:v>Pilot-process qualification</x:v>
      </x:c>
      <x:c r="G1234" s="21" t="n">
        <x:v>28</x:v>
      </x:c>
      <x:c r="H1234" s="21" t="str">
        <x:v>AIMC Industrial Mobilization Authority</x:v>
      </x:c>
      <x:c r="I1234" s="44" t="n">
        <x:f>Lifecycle!G14</x:f>
        <x:v>0.03952829567165163</x:v>
      </x:c>
      <x:c r="J1234" s="44" t="n">
        <x:v>0.08928571428571429</x:v>
      </x:c>
      <x:c r="K1234" s="44" t="n">
        <x:f>I1234*J1234</x:f>
        <x:v>0.003529312113540324</x:v>
      </x:c>
      <x:c r="L1234" s="46" t="n">
        <x:v>0</x:v>
      </x:c>
      <x:c r="M1234" s="46" t="n">
        <x:v>0</x:v>
      </x:c>
      <x:c r="N1234" s="21" t="n">
        <x:f>IF(AND(L1233=1,M1233=1,P1233&gt;0),1,0)</x:f>
        <x:v>0</x:v>
      </x:c>
      <x:c r="O1234" s="21" t="n">
        <x:f>MIN('Root Data'!I373:I375)</x:f>
        <x:v>0</x:v>
      </x:c>
      <x:c r="P1234" s="44" t="n">
        <x:f>IF(AND(L1234=1,M1234=1,N1234=1,O1234&gt;=G1234),K1234,0)</x:f>
        <x:v>0</x:v>
      </x:c>
      <x:c r="Q1234" s="21" t="str">
        <x:v>OPEN</x:v>
      </x:c>
      <x:c r="R1234" s="23" t="str">
        <x:v>HOLD</x:v>
      </x:c>
    </x:row>
    <x:row r="1235">
      <x:c r="B1235" s="21" t="str">
        <x:v>AR-01229</x:v>
      </x:c>
      <x:c r="C1235" s="21" t="str">
        <x:v>F31-I3</x:v>
      </x:c>
      <x:c r="D1235" s="21" t="str">
        <x:v>F31</x:v>
      </x:c>
      <x:c r="E1235" s="21" t="n">
        <x:v>9</x:v>
      </x:c>
      <x:c r="F1235" s="21" t="str">
        <x:v>Production release package</x:v>
      </x:c>
      <x:c r="G1235" s="21" t="n">
        <x:v>28</x:v>
      </x:c>
      <x:c r="H1235" s="21" t="str">
        <x:v>Production Release Board</x:v>
      </x:c>
      <x:c r="I1235" s="44" t="n">
        <x:f>Lifecycle!G15</x:f>
        <x:v>0.01647012319652151</x:v>
      </x:c>
      <x:c r="J1235" s="44" t="n">
        <x:v>0.08928571428571429</x:v>
      </x:c>
      <x:c r="K1235" s="44" t="n">
        <x:f>I1235*J1235</x:f>
        <x:v>0.001470546713975135</x:v>
      </x:c>
      <x:c r="L1235" s="46" t="n">
        <x:v>0</x:v>
      </x:c>
      <x:c r="M1235" s="46" t="n">
        <x:v>0</x:v>
      </x:c>
      <x:c r="N1235" s="21" t="n">
        <x:f>IF(AND(L1234=1,M1234=1,P1234&gt;0),1,0)</x:f>
        <x:v>0</x:v>
      </x:c>
      <x:c r="O1235" s="21" t="n">
        <x:f>MIN('Root Data'!I373:I375)</x:f>
        <x:v>0</x:v>
      </x:c>
      <x:c r="P1235" s="44" t="n">
        <x:f>IF(AND(L1235=1,M1235=1,N1235=1,O1235&gt;=G1235),K1235,0)</x:f>
        <x:v>0</x:v>
      </x:c>
      <x:c r="Q1235" s="21" t="str">
        <x:v>OPEN</x:v>
      </x:c>
      <x:c r="R1235" s="23" t="str">
        <x:v>HOLD</x:v>
      </x:c>
    </x:row>
    <x:row r="1236">
      <x:c r="B1236" s="21" t="str">
        <x:v>AR-01230</x:v>
      </x:c>
      <x:c r="C1236" s="21" t="str">
        <x:v>F31-I3</x:v>
      </x:c>
      <x:c r="D1236" s="21" t="str">
        <x:v>F31</x:v>
      </x:c>
      <x:c r="E1236" s="21" t="n">
        <x:v>10</x:v>
      </x:c>
      <x:c r="F1236" s="21" t="str">
        <x:v>Mobilization activation</x:v>
      </x:c>
      <x:c r="G1236" s="21" t="n">
        <x:v>28</x:v>
      </x:c>
      <x:c r="H1236" s="21" t="str">
        <x:v>Production Release Board</x:v>
      </x:c>
      <x:c r="I1236" s="44" t="n">
        <x:f>Lifecycle!G16</x:f>
        <x:v>0.028262731405230914</x:v>
      </x:c>
      <x:c r="J1236" s="44" t="n">
        <x:v>0.08928571428571429</x:v>
      </x:c>
      <x:c r="K1236" s="44" t="n">
        <x:f>I1236*J1236</x:f>
        <x:v>0.002523458161181332</x:v>
      </x:c>
      <x:c r="L1236" s="46" t="n">
        <x:v>0</x:v>
      </x:c>
      <x:c r="M1236" s="46" t="n">
        <x:v>0</x:v>
      </x:c>
      <x:c r="N1236" s="21" t="n">
        <x:f>IF(AND(L1235=1,M1235=1,P1235&gt;0),1,0)</x:f>
        <x:v>0</x:v>
      </x:c>
      <x:c r="O1236" s="21" t="n">
        <x:f>MIN('Root Data'!I373:I375)</x:f>
        <x:v>0</x:v>
      </x:c>
      <x:c r="P1236" s="44" t="n">
        <x:f>IF(AND(L1236=1,M1236=1,N1236=1,O1236&gt;=G1236),K1236,0)</x:f>
        <x:v>0</x:v>
      </x:c>
      <x:c r="Q1236" s="21" t="str">
        <x:v>OPEN</x:v>
      </x:c>
      <x:c r="R1236" s="23" t="str">
        <x:v>HOLD</x:v>
      </x:c>
    </x:row>
    <x:row r="1237">
      <x:c r="B1237" s="21" t="str">
        <x:v>AR-01231</x:v>
      </x:c>
      <x:c r="C1237" s="21" t="str">
        <x:v>F31-I4</x:v>
      </x:c>
      <x:c r="D1237" s="21" t="str">
        <x:v>F31</x:v>
      </x:c>
      <x:c r="E1237" s="21" t="n">
        <x:v>1</x:v>
      </x:c>
      <x:c r="F1237" s="21" t="str">
        <x:v>Civil effect charter</x:v>
      </x:c>
      <x:c r="G1237" s="21" t="n">
        <x:v>0</x:v>
      </x:c>
      <x:c r="H1237" s="21" t="str">
        <x:v>Civil Guarantee Authority</x:v>
      </x:c>
      <x:c r="I1237" s="44" t="n">
        <x:f>Lifecycle!G7</x:f>
        <x:v>0.04941036958956453</x:v>
      </x:c>
      <x:c r="J1237" s="44" t="n">
        <x:v>0.08928571428571429</x:v>
      </x:c>
      <x:c r="K1237" s="44" t="n">
        <x:f>I1237*J1237</x:f>
        <x:v>0.004411640141925405</x:v>
      </x:c>
      <x:c r="L1237" s="46" t="n">
        <x:v>0</x:v>
      </x:c>
      <x:c r="M1237" s="46" t="n">
        <x:v>0</x:v>
      </x:c>
      <x:c r="N1237" s="21" t="n">
        <x:f>1</x:f>
        <x:v>1</x:v>
      </x:c>
      <x:c r="O1237" s="21" t="n">
        <x:f>MIN('Root Data'!I376:I378)</x:f>
        <x:v>0</x:v>
      </x:c>
      <x:c r="P1237" s="44" t="n">
        <x:f>IF(AND(L1237=1,M1237=1,N1237=1,O1237&gt;=G1237),K1237,0)</x:f>
        <x:v>0</x:v>
      </x:c>
      <x:c r="Q1237" s="21" t="str">
        <x:v>OPEN</x:v>
      </x:c>
      <x:c r="R1237" s="23" t="str">
        <x:v>HOLD</x:v>
      </x:c>
    </x:row>
    <x:row r="1238">
      <x:c r="B1238" s="21" t="str">
        <x:v>AR-01232</x:v>
      </x:c>
      <x:c r="C1238" s="21" t="str">
        <x:v>F31-I4</x:v>
      </x:c>
      <x:c r="D1238" s="21" t="str">
        <x:v>F31</x:v>
      </x:c>
      <x:c r="E1238" s="21" t="n">
        <x:v>2</x:v>
      </x:c>
      <x:c r="F1238" s="21" t="str">
        <x:v>Requirement and root-independence package</x:v>
      </x:c>
      <x:c r="G1238" s="21" t="n">
        <x:v>8</x:v>
      </x:c>
      <x:c r="H1238" s="21" t="str">
        <x:v>Resilience Staff</x:v>
      </x:c>
      <x:c r="I1238" s="44" t="n">
        <x:f>Lifecycle!G8</x:f>
        <x:v>0.10211476381843337</x:v>
      </x:c>
      <x:c r="J1238" s="44" t="n">
        <x:v>0.08928571428571429</x:v>
      </x:c>
      <x:c r="K1238" s="44" t="n">
        <x:f>I1238*J1238</x:f>
        <x:v>0.009117389626645838</x:v>
      </x:c>
      <x:c r="L1238" s="46" t="n">
        <x:v>0</x:v>
      </x:c>
      <x:c r="M1238" s="46" t="n">
        <x:v>0</x:v>
      </x:c>
      <x:c r="N1238" s="21" t="n">
        <x:f>IF(AND(L1237=1,M1237=1,P1237&gt;0),1,0)</x:f>
        <x:v>0</x:v>
      </x:c>
      <x:c r="O1238" s="21" t="n">
        <x:f>MIN('Root Data'!I376:I378)</x:f>
        <x:v>0</x:v>
      </x:c>
      <x:c r="P1238" s="44" t="n">
        <x:f>IF(AND(L1238=1,M1238=1,N1238=1,O1238&gt;=G1238),K1238,0)</x:f>
        <x:v>0</x:v>
      </x:c>
      <x:c r="Q1238" s="21" t="str">
        <x:v>OPEN</x:v>
      </x:c>
      <x:c r="R1238" s="23" t="str">
        <x:v>HOLD</x:v>
      </x:c>
    </x:row>
    <x:row r="1239">
      <x:c r="B1239" s="21" t="str">
        <x:v>AR-01233</x:v>
      </x:c>
      <x:c r="C1239" s="21" t="str">
        <x:v>F31-I4</x:v>
      </x:c>
      <x:c r="D1239" s="21" t="str">
        <x:v>F31</x:v>
      </x:c>
      <x:c r="E1239" s="21" t="n">
        <x:v>3</x:v>
      </x:c>
      <x:c r="F1239" s="21" t="str">
        <x:v>Architecture and burden closure</x:v>
      </x:c>
      <x:c r="G1239" s="21" t="n">
        <x:v>14</x:v>
      </x:c>
      <x:c r="H1239" s="21" t="str">
        <x:v>Independent Evidence and Data Authority</x:v>
      </x:c>
      <x:c r="I1239" s="44" t="n">
        <x:f>Lifecycle!G9</x:f>
        <x:v>0.08564464062191186</x:v>
      </x:c>
      <x:c r="J1239" s="44" t="n">
        <x:v>0.08928571428571429</x:v>
      </x:c>
      <x:c r="K1239" s="44" t="n">
        <x:f>I1239*J1239</x:f>
        <x:v>0.007646842912670702</x:v>
      </x:c>
      <x:c r="L1239" s="46" t="n">
        <x:v>0</x:v>
      </x:c>
      <x:c r="M1239" s="46" t="n">
        <x:v>0</x:v>
      </x:c>
      <x:c r="N1239" s="21" t="n">
        <x:f>IF(AND(L1238=1,M1238=1,P1238&gt;0),1,0)</x:f>
        <x:v>0</x:v>
      </x:c>
      <x:c r="O1239" s="21" t="n">
        <x:f>MIN('Root Data'!I376:I378)</x:f>
        <x:v>0</x:v>
      </x:c>
      <x:c r="P1239" s="44" t="n">
        <x:f>IF(AND(L1239=1,M1239=1,N1239=1,O1239&gt;=G1239),K1239,0)</x:f>
        <x:v>0</x:v>
      </x:c>
      <x:c r="Q1239" s="21" t="str">
        <x:v>OPEN</x:v>
      </x:c>
      <x:c r="R1239" s="23" t="str">
        <x:v>HOLD</x:v>
      </x:c>
    </x:row>
    <x:row r="1240">
      <x:c r="B1240" s="21" t="str">
        <x:v>AR-01234</x:v>
      </x:c>
      <x:c r="C1240" s="21" t="str">
        <x:v>F31-I4</x:v>
      </x:c>
      <x:c r="D1240" s="21" t="str">
        <x:v>F31</x:v>
      </x:c>
      <x:c r="E1240" s="21" t="n">
        <x:v>4</x:v>
      </x:c>
      <x:c r="F1240" s="21" t="str">
        <x:v>Engineering article acceptance</x:v>
      </x:c>
      <x:c r="G1240" s="21" t="n">
        <x:v>18</x:v>
      </x:c>
      <x:c r="H1240" s="21" t="str">
        <x:v>Independent Evidence and Data Authority</x:v>
      </x:c>
      <x:c r="I1240" s="44" t="n">
        <x:f>Lifecycle!G10</x:f>
        <x:v>0.05929244350747744</x:v>
      </x:c>
      <x:c r="J1240" s="44" t="n">
        <x:v>0.08928571428571429</x:v>
      </x:c>
      <x:c r="K1240" s="44" t="n">
        <x:f>I1240*J1240</x:f>
        <x:v>0.005293968170310486</x:v>
      </x:c>
      <x:c r="L1240" s="46" t="n">
        <x:v>0</x:v>
      </x:c>
      <x:c r="M1240" s="46" t="n">
        <x:v>0</x:v>
      </x:c>
      <x:c r="N1240" s="21" t="n">
        <x:f>IF(AND(L1239=1,M1239=1,P1239&gt;0),1,0)</x:f>
        <x:v>0</x:v>
      </x:c>
      <x:c r="O1240" s="21" t="n">
        <x:f>MIN('Root Data'!I376:I378)</x:f>
        <x:v>0</x:v>
      </x:c>
      <x:c r="P1240" s="44" t="n">
        <x:f>IF(AND(L1240=1,M1240=1,N1240=1,O1240&gt;=G1240),K1240,0)</x:f>
        <x:v>0</x:v>
      </x:c>
      <x:c r="Q1240" s="21" t="str">
        <x:v>OPEN</x:v>
      </x:c>
      <x:c r="R1240" s="23" t="str">
        <x:v>HOLD</x:v>
      </x:c>
    </x:row>
    <x:row r="1241">
      <x:c r="B1241" s="21" t="str">
        <x:v>AR-01235</x:v>
      </x:c>
      <x:c r="C1241" s="21" t="str">
        <x:v>F31-I4</x:v>
      </x:c>
      <x:c r="D1241" s="21" t="str">
        <x:v>F31</x:v>
      </x:c>
      <x:c r="E1241" s="21" t="n">
        <x:v>5</x:v>
      </x:c>
      <x:c r="F1241" s="21" t="str">
        <x:v>Qualification and destructive evidence</x:v>
      </x:c>
      <x:c r="G1241" s="21" t="n">
        <x:v>21</x:v>
      </x:c>
      <x:c r="H1241" s="21" t="str">
        <x:v>Independent Evidence and Data Authority</x:v>
      </x:c>
      <x:c r="I1241" s="44" t="n">
        <x:f>Lifecycle!G11</x:f>
        <x:v>0.1515251334079979</x:v>
      </x:c>
      <x:c r="J1241" s="44" t="n">
        <x:v>0.08928571428571429</x:v>
      </x:c>
      <x:c r="K1241" s="44" t="n">
        <x:f>I1241*J1241</x:f>
        <x:v>0.013529029768571241</x:v>
      </x:c>
      <x:c r="L1241" s="46" t="n">
        <x:v>0</x:v>
      </x:c>
      <x:c r="M1241" s="46" t="n">
        <x:v>0</x:v>
      </x:c>
      <x:c r="N1241" s="21" t="n">
        <x:f>IF(AND(L1240=1,M1240=1,P1240&gt;0),1,0)</x:f>
        <x:v>0</x:v>
      </x:c>
      <x:c r="O1241" s="21" t="n">
        <x:f>MIN('Root Data'!I376:I378)</x:f>
        <x:v>0</x:v>
      </x:c>
      <x:c r="P1241" s="44" t="n">
        <x:f>IF(AND(L1241=1,M1241=1,N1241=1,O1241&gt;=G1241),K1241,0)</x:f>
        <x:v>0</x:v>
      </x:c>
      <x:c r="Q1241" s="21" t="str">
        <x:v>OPEN</x:v>
      </x:c>
      <x:c r="R1241" s="23" t="str">
        <x:v>HOLD</x:v>
      </x:c>
    </x:row>
    <x:row r="1242">
      <x:c r="B1242" s="21" t="str">
        <x:v>AR-01236</x:v>
      </x:c>
      <x:c r="C1242" s="21" t="str">
        <x:v>F31-I4</x:v>
      </x:c>
      <x:c r="D1242" s="21" t="str">
        <x:v>F31</x:v>
      </x:c>
      <x:c r="E1242" s="21" t="n">
        <x:v>6</x:v>
      </x:c>
      <x:c r="F1242" s="21" t="str">
        <x:v>Representative mission result</x:v>
      </x:c>
      <x:c r="G1242" s="21" t="n">
        <x:v>23</x:v>
      </x:c>
      <x:c r="H1242" s="21" t="str">
        <x:v>Receiving Service Authority</x:v>
      </x:c>
      <x:c r="I1242" s="44" t="n">
        <x:f>Lifecycle!G12</x:f>
        <x:v>0.250345872587127</x:v>
      </x:c>
      <x:c r="J1242" s="44" t="n">
        <x:v>0.08928571428571429</x:v>
      </x:c>
      <x:c r="K1242" s="44" t="n">
        <x:f>I1242*J1242</x:f>
        <x:v>0.022352310052422053</x:v>
      </x:c>
      <x:c r="L1242" s="46" t="n">
        <x:v>0</x:v>
      </x:c>
      <x:c r="M1242" s="46" t="n">
        <x:v>0</x:v>
      </x:c>
      <x:c r="N1242" s="21" t="n">
        <x:f>IF(AND(L1241=1,M1241=1,P1241&gt;0),1,0)</x:f>
        <x:v>0</x:v>
      </x:c>
      <x:c r="O1242" s="21" t="n">
        <x:f>MIN('Root Data'!I376:I378)</x:f>
        <x:v>0</x:v>
      </x:c>
      <x:c r="P1242" s="44" t="n">
        <x:f>IF(AND(L1242=1,M1242=1,N1242=1,O1242&gt;=G1242),K1242,0)</x:f>
        <x:v>0</x:v>
      </x:c>
      <x:c r="Q1242" s="21" t="str">
        <x:v>OPEN</x:v>
      </x:c>
      <x:c r="R1242" s="23" t="str">
        <x:v>HOLD</x:v>
      </x:c>
    </x:row>
    <x:row r="1243">
      <x:c r="B1243" s="21" t="str">
        <x:v>AR-01237</x:v>
      </x:c>
      <x:c r="C1243" s="21" t="str">
        <x:v>F31-I4</x:v>
      </x:c>
      <x:c r="D1243" s="21" t="str">
        <x:v>F31</x:v>
      </x:c>
      <x:c r="E1243" s="21" t="n">
        <x:v>7</x:v>
      </x:c>
      <x:c r="F1243" s="21" t="str">
        <x:v>Independent reproduction</x:v>
      </x:c>
      <x:c r="G1243" s="21" t="n">
        <x:v>28</x:v>
      </x:c>
      <x:c r="H1243" s="21" t="str">
        <x:v>Independent Evidence and Data Authority</x:v>
      </x:c>
      <x:c r="I1243" s="44" t="n">
        <x:f>Lifecycle!G13</x:f>
        <x:v>0.21740562619408393</x:v>
      </x:c>
      <x:c r="J1243" s="44" t="n">
        <x:v>0.08928571428571429</x:v>
      </x:c>
      <x:c r="K1243" s="44" t="n">
        <x:f>I1243*J1243</x:f>
        <x:v>0.019411216624471782</x:v>
      </x:c>
      <x:c r="L1243" s="46" t="n">
        <x:v>0</x:v>
      </x:c>
      <x:c r="M1243" s="46" t="n">
        <x:v>0</x:v>
      </x:c>
      <x:c r="N1243" s="21" t="n">
        <x:f>IF(AND(L1242=1,M1242=1,P1242&gt;0),1,0)</x:f>
        <x:v>0</x:v>
      </x:c>
      <x:c r="O1243" s="21" t="n">
        <x:f>MIN('Root Data'!I376:I378)</x:f>
        <x:v>0</x:v>
      </x:c>
      <x:c r="P1243" s="44" t="n">
        <x:f>IF(AND(L1243=1,M1243=1,N1243=1,O1243&gt;=G1243),K1243,0)</x:f>
        <x:v>0</x:v>
      </x:c>
      <x:c r="Q1243" s="21" t="str">
        <x:v>OPEN</x:v>
      </x:c>
      <x:c r="R1243" s="23" t="str">
        <x:v>HOLD</x:v>
      </x:c>
    </x:row>
    <x:row r="1244">
      <x:c r="B1244" s="21" t="str">
        <x:v>AR-01238</x:v>
      </x:c>
      <x:c r="C1244" s="21" t="str">
        <x:v>F31-I4</x:v>
      </x:c>
      <x:c r="D1244" s="21" t="str">
        <x:v>F31</x:v>
      </x:c>
      <x:c r="E1244" s="21" t="n">
        <x:v>8</x:v>
      </x:c>
      <x:c r="F1244" s="21" t="str">
        <x:v>Pilot-process qualification</x:v>
      </x:c>
      <x:c r="G1244" s="21" t="n">
        <x:v>28</x:v>
      </x:c>
      <x:c r="H1244" s="21" t="str">
        <x:v>AIMC Industrial Mobilization Authority</x:v>
      </x:c>
      <x:c r="I1244" s="44" t="n">
        <x:f>Lifecycle!G14</x:f>
        <x:v>0.03952829567165163</x:v>
      </x:c>
      <x:c r="J1244" s="44" t="n">
        <x:v>0.08928571428571429</x:v>
      </x:c>
      <x:c r="K1244" s="44" t="n">
        <x:f>I1244*J1244</x:f>
        <x:v>0.003529312113540324</x:v>
      </x:c>
      <x:c r="L1244" s="46" t="n">
        <x:v>0</x:v>
      </x:c>
      <x:c r="M1244" s="46" t="n">
        <x:v>0</x:v>
      </x:c>
      <x:c r="N1244" s="21" t="n">
        <x:f>IF(AND(L1243=1,M1243=1,P1243&gt;0),1,0)</x:f>
        <x:v>0</x:v>
      </x:c>
      <x:c r="O1244" s="21" t="n">
        <x:f>MIN('Root Data'!I376:I378)</x:f>
        <x:v>0</x:v>
      </x:c>
      <x:c r="P1244" s="44" t="n">
        <x:f>IF(AND(L1244=1,M1244=1,N1244=1,O1244&gt;=G1244),K1244,0)</x:f>
        <x:v>0</x:v>
      </x:c>
      <x:c r="Q1244" s="21" t="str">
        <x:v>OPEN</x:v>
      </x:c>
      <x:c r="R1244" s="23" t="str">
        <x:v>HOLD</x:v>
      </x:c>
    </x:row>
    <x:row r="1245">
      <x:c r="B1245" s="21" t="str">
        <x:v>AR-01239</x:v>
      </x:c>
      <x:c r="C1245" s="21" t="str">
        <x:v>F31-I4</x:v>
      </x:c>
      <x:c r="D1245" s="21" t="str">
        <x:v>F31</x:v>
      </x:c>
      <x:c r="E1245" s="21" t="n">
        <x:v>9</x:v>
      </x:c>
      <x:c r="F1245" s="21" t="str">
        <x:v>Production release package</x:v>
      </x:c>
      <x:c r="G1245" s="21" t="n">
        <x:v>28</x:v>
      </x:c>
      <x:c r="H1245" s="21" t="str">
        <x:v>Production Release Board</x:v>
      </x:c>
      <x:c r="I1245" s="44" t="n">
        <x:f>Lifecycle!G15</x:f>
        <x:v>0.01647012319652151</x:v>
      </x:c>
      <x:c r="J1245" s="44" t="n">
        <x:v>0.08928571428571429</x:v>
      </x:c>
      <x:c r="K1245" s="44" t="n">
        <x:f>I1245*J1245</x:f>
        <x:v>0.001470546713975135</x:v>
      </x:c>
      <x:c r="L1245" s="46" t="n">
        <x:v>0</x:v>
      </x:c>
      <x:c r="M1245" s="46" t="n">
        <x:v>0</x:v>
      </x:c>
      <x:c r="N1245" s="21" t="n">
        <x:f>IF(AND(L1244=1,M1244=1,P1244&gt;0),1,0)</x:f>
        <x:v>0</x:v>
      </x:c>
      <x:c r="O1245" s="21" t="n">
        <x:f>MIN('Root Data'!I376:I378)</x:f>
        <x:v>0</x:v>
      </x:c>
      <x:c r="P1245" s="44" t="n">
        <x:f>IF(AND(L1245=1,M1245=1,N1245=1,O1245&gt;=G1245),K1245,0)</x:f>
        <x:v>0</x:v>
      </x:c>
      <x:c r="Q1245" s="21" t="str">
        <x:v>OPEN</x:v>
      </x:c>
      <x:c r="R1245" s="23" t="str">
        <x:v>HOLD</x:v>
      </x:c>
    </x:row>
    <x:row r="1246">
      <x:c r="B1246" s="21" t="str">
        <x:v>AR-01240</x:v>
      </x:c>
      <x:c r="C1246" s="21" t="str">
        <x:v>F31-I4</x:v>
      </x:c>
      <x:c r="D1246" s="21" t="str">
        <x:v>F31</x:v>
      </x:c>
      <x:c r="E1246" s="21" t="n">
        <x:v>10</x:v>
      </x:c>
      <x:c r="F1246" s="21" t="str">
        <x:v>Mobilization activation</x:v>
      </x:c>
      <x:c r="G1246" s="21" t="n">
        <x:v>28</x:v>
      </x:c>
      <x:c r="H1246" s="21" t="str">
        <x:v>Production Release Board</x:v>
      </x:c>
      <x:c r="I1246" s="44" t="n">
        <x:f>Lifecycle!G16</x:f>
        <x:v>0.028262731405230914</x:v>
      </x:c>
      <x:c r="J1246" s="44" t="n">
        <x:v>0.08928571428571429</x:v>
      </x:c>
      <x:c r="K1246" s="44" t="n">
        <x:f>I1246*J1246</x:f>
        <x:v>0.002523458161181332</x:v>
      </x:c>
      <x:c r="L1246" s="46" t="n">
        <x:v>0</x:v>
      </x:c>
      <x:c r="M1246" s="46" t="n">
        <x:v>0</x:v>
      </x:c>
      <x:c r="N1246" s="21" t="n">
        <x:f>IF(AND(L1245=1,M1245=1,P1245&gt;0),1,0)</x:f>
        <x:v>0</x:v>
      </x:c>
      <x:c r="O1246" s="21" t="n">
        <x:f>MIN('Root Data'!I376:I378)</x:f>
        <x:v>0</x:v>
      </x:c>
      <x:c r="P1246" s="44" t="n">
        <x:f>IF(AND(L1246=1,M1246=1,N1246=1,O1246&gt;=G1246),K1246,0)</x:f>
        <x:v>0</x:v>
      </x:c>
      <x:c r="Q1246" s="21" t="str">
        <x:v>OPEN</x:v>
      </x:c>
      <x:c r="R1246" s="23" t="str">
        <x:v>HOLD</x:v>
      </x:c>
    </x:row>
    <x:row r="1247">
      <x:c r="B1247" s="21" t="str">
        <x:v>AR-01241</x:v>
      </x:c>
      <x:c r="C1247" s="21" t="str">
        <x:v>F32-I1</x:v>
      </x:c>
      <x:c r="D1247" s="21" t="str">
        <x:v>F32</x:v>
      </x:c>
      <x:c r="E1247" s="21" t="n">
        <x:v>1</x:v>
      </x:c>
      <x:c r="F1247" s="21" t="str">
        <x:v>Civil effect charter</x:v>
      </x:c>
      <x:c r="G1247" s="21" t="n">
        <x:v>0</x:v>
      </x:c>
      <x:c r="H1247" s="21" t="str">
        <x:v>Civil Guarantee Authority</x:v>
      </x:c>
      <x:c r="I1247" s="44" t="n">
        <x:f>Lifecycle!G7</x:f>
        <x:v>0.04941036958956453</x:v>
      </x:c>
      <x:c r="J1247" s="44" t="n">
        <x:v>0.08928571428571429</x:v>
      </x:c>
      <x:c r="K1247" s="44" t="n">
        <x:f>I1247*J1247</x:f>
        <x:v>0.004411640141925405</x:v>
      </x:c>
      <x:c r="L1247" s="46" t="n">
        <x:v>0</x:v>
      </x:c>
      <x:c r="M1247" s="46" t="n">
        <x:v>0</x:v>
      </x:c>
      <x:c r="N1247" s="21" t="n">
        <x:f>1</x:f>
        <x:v>1</x:v>
      </x:c>
      <x:c r="O1247" s="21" t="n">
        <x:f>MIN('Root Data'!I379:I381)</x:f>
        <x:v>0</x:v>
      </x:c>
      <x:c r="P1247" s="44" t="n">
        <x:f>IF(AND(L1247=1,M1247=1,N1247=1,O1247&gt;=G1247),K1247,0)</x:f>
        <x:v>0</x:v>
      </x:c>
      <x:c r="Q1247" s="21" t="str">
        <x:v>OPEN</x:v>
      </x:c>
      <x:c r="R1247" s="23" t="str">
        <x:v>HOLD</x:v>
      </x:c>
    </x:row>
    <x:row r="1248">
      <x:c r="B1248" s="21" t="str">
        <x:v>AR-01242</x:v>
      </x:c>
      <x:c r="C1248" s="21" t="str">
        <x:v>F32-I1</x:v>
      </x:c>
      <x:c r="D1248" s="21" t="str">
        <x:v>F32</x:v>
      </x:c>
      <x:c r="E1248" s="21" t="n">
        <x:v>2</x:v>
      </x:c>
      <x:c r="F1248" s="21" t="str">
        <x:v>Requirement and root-independence package</x:v>
      </x:c>
      <x:c r="G1248" s="21" t="n">
        <x:v>8</x:v>
      </x:c>
      <x:c r="H1248" s="21" t="str">
        <x:v>Resilience Staff</x:v>
      </x:c>
      <x:c r="I1248" s="44" t="n">
        <x:f>Lifecycle!G8</x:f>
        <x:v>0.10211476381843337</x:v>
      </x:c>
      <x:c r="J1248" s="44" t="n">
        <x:v>0.08928571428571429</x:v>
      </x:c>
      <x:c r="K1248" s="44" t="n">
        <x:f>I1248*J1248</x:f>
        <x:v>0.009117389626645838</x:v>
      </x:c>
      <x:c r="L1248" s="46" t="n">
        <x:v>0</x:v>
      </x:c>
      <x:c r="M1248" s="46" t="n">
        <x:v>0</x:v>
      </x:c>
      <x:c r="N1248" s="21" t="n">
        <x:f>IF(AND(L1247=1,M1247=1,P1247&gt;0),1,0)</x:f>
        <x:v>0</x:v>
      </x:c>
      <x:c r="O1248" s="21" t="n">
        <x:f>MIN('Root Data'!I379:I381)</x:f>
        <x:v>0</x:v>
      </x:c>
      <x:c r="P1248" s="44" t="n">
        <x:f>IF(AND(L1248=1,M1248=1,N1248=1,O1248&gt;=G1248),K1248,0)</x:f>
        <x:v>0</x:v>
      </x:c>
      <x:c r="Q1248" s="21" t="str">
        <x:v>OPEN</x:v>
      </x:c>
      <x:c r="R1248" s="23" t="str">
        <x:v>HOLD</x:v>
      </x:c>
    </x:row>
    <x:row r="1249">
      <x:c r="B1249" s="21" t="str">
        <x:v>AR-01243</x:v>
      </x:c>
      <x:c r="C1249" s="21" t="str">
        <x:v>F32-I1</x:v>
      </x:c>
      <x:c r="D1249" s="21" t="str">
        <x:v>F32</x:v>
      </x:c>
      <x:c r="E1249" s="21" t="n">
        <x:v>3</x:v>
      </x:c>
      <x:c r="F1249" s="21" t="str">
        <x:v>Architecture and burden closure</x:v>
      </x:c>
      <x:c r="G1249" s="21" t="n">
        <x:v>14</x:v>
      </x:c>
      <x:c r="H1249" s="21" t="str">
        <x:v>Independent Evidence and Data Authority</x:v>
      </x:c>
      <x:c r="I1249" s="44" t="n">
        <x:f>Lifecycle!G9</x:f>
        <x:v>0.08564464062191186</x:v>
      </x:c>
      <x:c r="J1249" s="44" t="n">
        <x:v>0.08928571428571429</x:v>
      </x:c>
      <x:c r="K1249" s="44" t="n">
        <x:f>I1249*J1249</x:f>
        <x:v>0.007646842912670702</x:v>
      </x:c>
      <x:c r="L1249" s="46" t="n">
        <x:v>0</x:v>
      </x:c>
      <x:c r="M1249" s="46" t="n">
        <x:v>0</x:v>
      </x:c>
      <x:c r="N1249" s="21" t="n">
        <x:f>IF(AND(L1248=1,M1248=1,P1248&gt;0),1,0)</x:f>
        <x:v>0</x:v>
      </x:c>
      <x:c r="O1249" s="21" t="n">
        <x:f>MIN('Root Data'!I379:I381)</x:f>
        <x:v>0</x:v>
      </x:c>
      <x:c r="P1249" s="44" t="n">
        <x:f>IF(AND(L1249=1,M1249=1,N1249=1,O1249&gt;=G1249),K1249,0)</x:f>
        <x:v>0</x:v>
      </x:c>
      <x:c r="Q1249" s="21" t="str">
        <x:v>OPEN</x:v>
      </x:c>
      <x:c r="R1249" s="23" t="str">
        <x:v>HOLD</x:v>
      </x:c>
    </x:row>
    <x:row r="1250">
      <x:c r="B1250" s="21" t="str">
        <x:v>AR-01244</x:v>
      </x:c>
      <x:c r="C1250" s="21" t="str">
        <x:v>F32-I1</x:v>
      </x:c>
      <x:c r="D1250" s="21" t="str">
        <x:v>F32</x:v>
      </x:c>
      <x:c r="E1250" s="21" t="n">
        <x:v>4</x:v>
      </x:c>
      <x:c r="F1250" s="21" t="str">
        <x:v>Engineering article acceptance</x:v>
      </x:c>
      <x:c r="G1250" s="21" t="n">
        <x:v>18</x:v>
      </x:c>
      <x:c r="H1250" s="21" t="str">
        <x:v>Independent Evidence and Data Authority</x:v>
      </x:c>
      <x:c r="I1250" s="44" t="n">
        <x:f>Lifecycle!G10</x:f>
        <x:v>0.05929244350747744</x:v>
      </x:c>
      <x:c r="J1250" s="44" t="n">
        <x:v>0.08928571428571429</x:v>
      </x:c>
      <x:c r="K1250" s="44" t="n">
        <x:f>I1250*J1250</x:f>
        <x:v>0.005293968170310486</x:v>
      </x:c>
      <x:c r="L1250" s="46" t="n">
        <x:v>0</x:v>
      </x:c>
      <x:c r="M1250" s="46" t="n">
        <x:v>0</x:v>
      </x:c>
      <x:c r="N1250" s="21" t="n">
        <x:f>IF(AND(L1249=1,M1249=1,P1249&gt;0),1,0)</x:f>
        <x:v>0</x:v>
      </x:c>
      <x:c r="O1250" s="21" t="n">
        <x:f>MIN('Root Data'!I379:I381)</x:f>
        <x:v>0</x:v>
      </x:c>
      <x:c r="P1250" s="44" t="n">
        <x:f>IF(AND(L1250=1,M1250=1,N1250=1,O1250&gt;=G1250),K1250,0)</x:f>
        <x:v>0</x:v>
      </x:c>
      <x:c r="Q1250" s="21" t="str">
        <x:v>OPEN</x:v>
      </x:c>
      <x:c r="R1250" s="23" t="str">
        <x:v>HOLD</x:v>
      </x:c>
    </x:row>
    <x:row r="1251">
      <x:c r="B1251" s="21" t="str">
        <x:v>AR-01245</x:v>
      </x:c>
      <x:c r="C1251" s="21" t="str">
        <x:v>F32-I1</x:v>
      </x:c>
      <x:c r="D1251" s="21" t="str">
        <x:v>F32</x:v>
      </x:c>
      <x:c r="E1251" s="21" t="n">
        <x:v>5</x:v>
      </x:c>
      <x:c r="F1251" s="21" t="str">
        <x:v>Qualification and destructive evidence</x:v>
      </x:c>
      <x:c r="G1251" s="21" t="n">
        <x:v>21</x:v>
      </x:c>
      <x:c r="H1251" s="21" t="str">
        <x:v>Independent Evidence and Data Authority</x:v>
      </x:c>
      <x:c r="I1251" s="44" t="n">
        <x:f>Lifecycle!G11</x:f>
        <x:v>0.1515251334079979</x:v>
      </x:c>
      <x:c r="J1251" s="44" t="n">
        <x:v>0.08928571428571429</x:v>
      </x:c>
      <x:c r="K1251" s="44" t="n">
        <x:f>I1251*J1251</x:f>
        <x:v>0.013529029768571241</x:v>
      </x:c>
      <x:c r="L1251" s="46" t="n">
        <x:v>0</x:v>
      </x:c>
      <x:c r="M1251" s="46" t="n">
        <x:v>0</x:v>
      </x:c>
      <x:c r="N1251" s="21" t="n">
        <x:f>IF(AND(L1250=1,M1250=1,P1250&gt;0),1,0)</x:f>
        <x:v>0</x:v>
      </x:c>
      <x:c r="O1251" s="21" t="n">
        <x:f>MIN('Root Data'!I379:I381)</x:f>
        <x:v>0</x:v>
      </x:c>
      <x:c r="P1251" s="44" t="n">
        <x:f>IF(AND(L1251=1,M1251=1,N1251=1,O1251&gt;=G1251),K1251,0)</x:f>
        <x:v>0</x:v>
      </x:c>
      <x:c r="Q1251" s="21" t="str">
        <x:v>OPEN</x:v>
      </x:c>
      <x:c r="R1251" s="23" t="str">
        <x:v>HOLD</x:v>
      </x:c>
    </x:row>
    <x:row r="1252">
      <x:c r="B1252" s="21" t="str">
        <x:v>AR-01246</x:v>
      </x:c>
      <x:c r="C1252" s="21" t="str">
        <x:v>F32-I1</x:v>
      </x:c>
      <x:c r="D1252" s="21" t="str">
        <x:v>F32</x:v>
      </x:c>
      <x:c r="E1252" s="21" t="n">
        <x:v>6</x:v>
      </x:c>
      <x:c r="F1252" s="21" t="str">
        <x:v>Representative mission result</x:v>
      </x:c>
      <x:c r="G1252" s="21" t="n">
        <x:v>23</x:v>
      </x:c>
      <x:c r="H1252" s="21" t="str">
        <x:v>Receiving Service Authority</x:v>
      </x:c>
      <x:c r="I1252" s="44" t="n">
        <x:f>Lifecycle!G12</x:f>
        <x:v>0.250345872587127</x:v>
      </x:c>
      <x:c r="J1252" s="44" t="n">
        <x:v>0.08928571428571429</x:v>
      </x:c>
      <x:c r="K1252" s="44" t="n">
        <x:f>I1252*J1252</x:f>
        <x:v>0.022352310052422053</x:v>
      </x:c>
      <x:c r="L1252" s="46" t="n">
        <x:v>0</x:v>
      </x:c>
      <x:c r="M1252" s="46" t="n">
        <x:v>0</x:v>
      </x:c>
      <x:c r="N1252" s="21" t="n">
        <x:f>IF(AND(L1251=1,M1251=1,P1251&gt;0),1,0)</x:f>
        <x:v>0</x:v>
      </x:c>
      <x:c r="O1252" s="21" t="n">
        <x:f>MIN('Root Data'!I379:I381)</x:f>
        <x:v>0</x:v>
      </x:c>
      <x:c r="P1252" s="44" t="n">
        <x:f>IF(AND(L1252=1,M1252=1,N1252=1,O1252&gt;=G1252),K1252,0)</x:f>
        <x:v>0</x:v>
      </x:c>
      <x:c r="Q1252" s="21" t="str">
        <x:v>OPEN</x:v>
      </x:c>
      <x:c r="R1252" s="23" t="str">
        <x:v>HOLD</x:v>
      </x:c>
    </x:row>
    <x:row r="1253">
      <x:c r="B1253" s="21" t="str">
        <x:v>AR-01247</x:v>
      </x:c>
      <x:c r="C1253" s="21" t="str">
        <x:v>F32-I1</x:v>
      </x:c>
      <x:c r="D1253" s="21" t="str">
        <x:v>F32</x:v>
      </x:c>
      <x:c r="E1253" s="21" t="n">
        <x:v>7</x:v>
      </x:c>
      <x:c r="F1253" s="21" t="str">
        <x:v>Independent reproduction</x:v>
      </x:c>
      <x:c r="G1253" s="21" t="n">
        <x:v>28</x:v>
      </x:c>
      <x:c r="H1253" s="21" t="str">
        <x:v>Independent Evidence and Data Authority</x:v>
      </x:c>
      <x:c r="I1253" s="44" t="n">
        <x:f>Lifecycle!G13</x:f>
        <x:v>0.21740562619408393</x:v>
      </x:c>
      <x:c r="J1253" s="44" t="n">
        <x:v>0.08928571428571429</x:v>
      </x:c>
      <x:c r="K1253" s="44" t="n">
        <x:f>I1253*J1253</x:f>
        <x:v>0.019411216624471782</x:v>
      </x:c>
      <x:c r="L1253" s="46" t="n">
        <x:v>0</x:v>
      </x:c>
      <x:c r="M1253" s="46" t="n">
        <x:v>0</x:v>
      </x:c>
      <x:c r="N1253" s="21" t="n">
        <x:f>IF(AND(L1252=1,M1252=1,P1252&gt;0),1,0)</x:f>
        <x:v>0</x:v>
      </x:c>
      <x:c r="O1253" s="21" t="n">
        <x:f>MIN('Root Data'!I379:I381)</x:f>
        <x:v>0</x:v>
      </x:c>
      <x:c r="P1253" s="44" t="n">
        <x:f>IF(AND(L1253=1,M1253=1,N1253=1,O1253&gt;=G1253),K1253,0)</x:f>
        <x:v>0</x:v>
      </x:c>
      <x:c r="Q1253" s="21" t="str">
        <x:v>OPEN</x:v>
      </x:c>
      <x:c r="R1253" s="23" t="str">
        <x:v>HOLD</x:v>
      </x:c>
    </x:row>
    <x:row r="1254">
      <x:c r="B1254" s="21" t="str">
        <x:v>AR-01248</x:v>
      </x:c>
      <x:c r="C1254" s="21" t="str">
        <x:v>F32-I1</x:v>
      </x:c>
      <x:c r="D1254" s="21" t="str">
        <x:v>F32</x:v>
      </x:c>
      <x:c r="E1254" s="21" t="n">
        <x:v>8</x:v>
      </x:c>
      <x:c r="F1254" s="21" t="str">
        <x:v>Pilot-process qualification</x:v>
      </x:c>
      <x:c r="G1254" s="21" t="n">
        <x:v>28</x:v>
      </x:c>
      <x:c r="H1254" s="21" t="str">
        <x:v>AIMC Industrial Mobilization Authority</x:v>
      </x:c>
      <x:c r="I1254" s="44" t="n">
        <x:f>Lifecycle!G14</x:f>
        <x:v>0.03952829567165163</x:v>
      </x:c>
      <x:c r="J1254" s="44" t="n">
        <x:v>0.08928571428571429</x:v>
      </x:c>
      <x:c r="K1254" s="44" t="n">
        <x:f>I1254*J1254</x:f>
        <x:v>0.003529312113540324</x:v>
      </x:c>
      <x:c r="L1254" s="46" t="n">
        <x:v>0</x:v>
      </x:c>
      <x:c r="M1254" s="46" t="n">
        <x:v>0</x:v>
      </x:c>
      <x:c r="N1254" s="21" t="n">
        <x:f>IF(AND(L1253=1,M1253=1,P1253&gt;0),1,0)</x:f>
        <x:v>0</x:v>
      </x:c>
      <x:c r="O1254" s="21" t="n">
        <x:f>MIN('Root Data'!I379:I381)</x:f>
        <x:v>0</x:v>
      </x:c>
      <x:c r="P1254" s="44" t="n">
        <x:f>IF(AND(L1254=1,M1254=1,N1254=1,O1254&gt;=G1254),K1254,0)</x:f>
        <x:v>0</x:v>
      </x:c>
      <x:c r="Q1254" s="21" t="str">
        <x:v>OPEN</x:v>
      </x:c>
      <x:c r="R1254" s="23" t="str">
        <x:v>HOLD</x:v>
      </x:c>
    </x:row>
    <x:row r="1255">
      <x:c r="B1255" s="21" t="str">
        <x:v>AR-01249</x:v>
      </x:c>
      <x:c r="C1255" s="21" t="str">
        <x:v>F32-I1</x:v>
      </x:c>
      <x:c r="D1255" s="21" t="str">
        <x:v>F32</x:v>
      </x:c>
      <x:c r="E1255" s="21" t="n">
        <x:v>9</x:v>
      </x:c>
      <x:c r="F1255" s="21" t="str">
        <x:v>Production release package</x:v>
      </x:c>
      <x:c r="G1255" s="21" t="n">
        <x:v>28</x:v>
      </x:c>
      <x:c r="H1255" s="21" t="str">
        <x:v>Production Release Board</x:v>
      </x:c>
      <x:c r="I1255" s="44" t="n">
        <x:f>Lifecycle!G15</x:f>
        <x:v>0.01647012319652151</x:v>
      </x:c>
      <x:c r="J1255" s="44" t="n">
        <x:v>0.08928571428571429</x:v>
      </x:c>
      <x:c r="K1255" s="44" t="n">
        <x:f>I1255*J1255</x:f>
        <x:v>0.001470546713975135</x:v>
      </x:c>
      <x:c r="L1255" s="46" t="n">
        <x:v>0</x:v>
      </x:c>
      <x:c r="M1255" s="46" t="n">
        <x:v>0</x:v>
      </x:c>
      <x:c r="N1255" s="21" t="n">
        <x:f>IF(AND(L1254=1,M1254=1,P1254&gt;0),1,0)</x:f>
        <x:v>0</x:v>
      </x:c>
      <x:c r="O1255" s="21" t="n">
        <x:f>MIN('Root Data'!I379:I381)</x:f>
        <x:v>0</x:v>
      </x:c>
      <x:c r="P1255" s="44" t="n">
        <x:f>IF(AND(L1255=1,M1255=1,N1255=1,O1255&gt;=G1255),K1255,0)</x:f>
        <x:v>0</x:v>
      </x:c>
      <x:c r="Q1255" s="21" t="str">
        <x:v>OPEN</x:v>
      </x:c>
      <x:c r="R1255" s="23" t="str">
        <x:v>HOLD</x:v>
      </x:c>
    </x:row>
    <x:row r="1256">
      <x:c r="B1256" s="21" t="str">
        <x:v>AR-01250</x:v>
      </x:c>
      <x:c r="C1256" s="21" t="str">
        <x:v>F32-I1</x:v>
      </x:c>
      <x:c r="D1256" s="21" t="str">
        <x:v>F32</x:v>
      </x:c>
      <x:c r="E1256" s="21" t="n">
        <x:v>10</x:v>
      </x:c>
      <x:c r="F1256" s="21" t="str">
        <x:v>Mobilization activation</x:v>
      </x:c>
      <x:c r="G1256" s="21" t="n">
        <x:v>28</x:v>
      </x:c>
      <x:c r="H1256" s="21" t="str">
        <x:v>Production Release Board</x:v>
      </x:c>
      <x:c r="I1256" s="44" t="n">
        <x:f>Lifecycle!G16</x:f>
        <x:v>0.028262731405230914</x:v>
      </x:c>
      <x:c r="J1256" s="44" t="n">
        <x:v>0.08928571428571429</x:v>
      </x:c>
      <x:c r="K1256" s="44" t="n">
        <x:f>I1256*J1256</x:f>
        <x:v>0.002523458161181332</x:v>
      </x:c>
      <x:c r="L1256" s="46" t="n">
        <x:v>0</x:v>
      </x:c>
      <x:c r="M1256" s="46" t="n">
        <x:v>0</x:v>
      </x:c>
      <x:c r="N1256" s="21" t="n">
        <x:f>IF(AND(L1255=1,M1255=1,P1255&gt;0),1,0)</x:f>
        <x:v>0</x:v>
      </x:c>
      <x:c r="O1256" s="21" t="n">
        <x:f>MIN('Root Data'!I379:I381)</x:f>
        <x:v>0</x:v>
      </x:c>
      <x:c r="P1256" s="44" t="n">
        <x:f>IF(AND(L1256=1,M1256=1,N1256=1,O1256&gt;=G1256),K1256,0)</x:f>
        <x:v>0</x:v>
      </x:c>
      <x:c r="Q1256" s="21" t="str">
        <x:v>OPEN</x:v>
      </x:c>
      <x:c r="R1256" s="23" t="str">
        <x:v>HOLD</x:v>
      </x:c>
    </x:row>
    <x:row r="1257">
      <x:c r="B1257" s="21" t="str">
        <x:v>AR-01251</x:v>
      </x:c>
      <x:c r="C1257" s="21" t="str">
        <x:v>F32-I2</x:v>
      </x:c>
      <x:c r="D1257" s="21" t="str">
        <x:v>F32</x:v>
      </x:c>
      <x:c r="E1257" s="21" t="n">
        <x:v>1</x:v>
      </x:c>
      <x:c r="F1257" s="21" t="str">
        <x:v>Civil effect charter</x:v>
      </x:c>
      <x:c r="G1257" s="21" t="n">
        <x:v>0</x:v>
      </x:c>
      <x:c r="H1257" s="21" t="str">
        <x:v>Civil Guarantee Authority</x:v>
      </x:c>
      <x:c r="I1257" s="44" t="n">
        <x:f>Lifecycle!G7</x:f>
        <x:v>0.04941036958956453</x:v>
      </x:c>
      <x:c r="J1257" s="44" t="n">
        <x:v>0.08928571428571429</x:v>
      </x:c>
      <x:c r="K1257" s="44" t="n">
        <x:f>I1257*J1257</x:f>
        <x:v>0.004411640141925405</x:v>
      </x:c>
      <x:c r="L1257" s="46" t="n">
        <x:v>0</x:v>
      </x:c>
      <x:c r="M1257" s="46" t="n">
        <x:v>0</x:v>
      </x:c>
      <x:c r="N1257" s="21" t="n">
        <x:f>1</x:f>
        <x:v>1</x:v>
      </x:c>
      <x:c r="O1257" s="21" t="n">
        <x:f>MIN('Root Data'!I382:I384)</x:f>
        <x:v>0</x:v>
      </x:c>
      <x:c r="P1257" s="44" t="n">
        <x:f>IF(AND(L1257=1,M1257=1,N1257=1,O1257&gt;=G1257),K1257,0)</x:f>
        <x:v>0</x:v>
      </x:c>
      <x:c r="Q1257" s="21" t="str">
        <x:v>OPEN</x:v>
      </x:c>
      <x:c r="R1257" s="23" t="str">
        <x:v>HOLD</x:v>
      </x:c>
    </x:row>
    <x:row r="1258">
      <x:c r="B1258" s="21" t="str">
        <x:v>AR-01252</x:v>
      </x:c>
      <x:c r="C1258" s="21" t="str">
        <x:v>F32-I2</x:v>
      </x:c>
      <x:c r="D1258" s="21" t="str">
        <x:v>F32</x:v>
      </x:c>
      <x:c r="E1258" s="21" t="n">
        <x:v>2</x:v>
      </x:c>
      <x:c r="F1258" s="21" t="str">
        <x:v>Requirement and root-independence package</x:v>
      </x:c>
      <x:c r="G1258" s="21" t="n">
        <x:v>8</x:v>
      </x:c>
      <x:c r="H1258" s="21" t="str">
        <x:v>Resilience Staff</x:v>
      </x:c>
      <x:c r="I1258" s="44" t="n">
        <x:f>Lifecycle!G8</x:f>
        <x:v>0.10211476381843337</x:v>
      </x:c>
      <x:c r="J1258" s="44" t="n">
        <x:v>0.08928571428571429</x:v>
      </x:c>
      <x:c r="K1258" s="44" t="n">
        <x:f>I1258*J1258</x:f>
        <x:v>0.009117389626645838</x:v>
      </x:c>
      <x:c r="L1258" s="46" t="n">
        <x:v>0</x:v>
      </x:c>
      <x:c r="M1258" s="46" t="n">
        <x:v>0</x:v>
      </x:c>
      <x:c r="N1258" s="21" t="n">
        <x:f>IF(AND(L1257=1,M1257=1,P1257&gt;0),1,0)</x:f>
        <x:v>0</x:v>
      </x:c>
      <x:c r="O1258" s="21" t="n">
        <x:f>MIN('Root Data'!I382:I384)</x:f>
        <x:v>0</x:v>
      </x:c>
      <x:c r="P1258" s="44" t="n">
        <x:f>IF(AND(L1258=1,M1258=1,N1258=1,O1258&gt;=G1258),K1258,0)</x:f>
        <x:v>0</x:v>
      </x:c>
      <x:c r="Q1258" s="21" t="str">
        <x:v>OPEN</x:v>
      </x:c>
      <x:c r="R1258" s="23" t="str">
        <x:v>HOLD</x:v>
      </x:c>
    </x:row>
    <x:row r="1259">
      <x:c r="B1259" s="21" t="str">
        <x:v>AR-01253</x:v>
      </x:c>
      <x:c r="C1259" s="21" t="str">
        <x:v>F32-I2</x:v>
      </x:c>
      <x:c r="D1259" s="21" t="str">
        <x:v>F32</x:v>
      </x:c>
      <x:c r="E1259" s="21" t="n">
        <x:v>3</x:v>
      </x:c>
      <x:c r="F1259" s="21" t="str">
        <x:v>Architecture and burden closure</x:v>
      </x:c>
      <x:c r="G1259" s="21" t="n">
        <x:v>14</x:v>
      </x:c>
      <x:c r="H1259" s="21" t="str">
        <x:v>Independent Evidence and Data Authority</x:v>
      </x:c>
      <x:c r="I1259" s="44" t="n">
        <x:f>Lifecycle!G9</x:f>
        <x:v>0.08564464062191186</x:v>
      </x:c>
      <x:c r="J1259" s="44" t="n">
        <x:v>0.08928571428571429</x:v>
      </x:c>
      <x:c r="K1259" s="44" t="n">
        <x:f>I1259*J1259</x:f>
        <x:v>0.007646842912670702</x:v>
      </x:c>
      <x:c r="L1259" s="46" t="n">
        <x:v>0</x:v>
      </x:c>
      <x:c r="M1259" s="46" t="n">
        <x:v>0</x:v>
      </x:c>
      <x:c r="N1259" s="21" t="n">
        <x:f>IF(AND(L1258=1,M1258=1,P1258&gt;0),1,0)</x:f>
        <x:v>0</x:v>
      </x:c>
      <x:c r="O1259" s="21" t="n">
        <x:f>MIN('Root Data'!I382:I384)</x:f>
        <x:v>0</x:v>
      </x:c>
      <x:c r="P1259" s="44" t="n">
        <x:f>IF(AND(L1259=1,M1259=1,N1259=1,O1259&gt;=G1259),K1259,0)</x:f>
        <x:v>0</x:v>
      </x:c>
      <x:c r="Q1259" s="21" t="str">
        <x:v>OPEN</x:v>
      </x:c>
      <x:c r="R1259" s="23" t="str">
        <x:v>HOLD</x:v>
      </x:c>
    </x:row>
    <x:row r="1260">
      <x:c r="B1260" s="21" t="str">
        <x:v>AR-01254</x:v>
      </x:c>
      <x:c r="C1260" s="21" t="str">
        <x:v>F32-I2</x:v>
      </x:c>
      <x:c r="D1260" s="21" t="str">
        <x:v>F32</x:v>
      </x:c>
      <x:c r="E1260" s="21" t="n">
        <x:v>4</x:v>
      </x:c>
      <x:c r="F1260" s="21" t="str">
        <x:v>Engineering article acceptance</x:v>
      </x:c>
      <x:c r="G1260" s="21" t="n">
        <x:v>18</x:v>
      </x:c>
      <x:c r="H1260" s="21" t="str">
        <x:v>Independent Evidence and Data Authority</x:v>
      </x:c>
      <x:c r="I1260" s="44" t="n">
        <x:f>Lifecycle!G10</x:f>
        <x:v>0.05929244350747744</x:v>
      </x:c>
      <x:c r="J1260" s="44" t="n">
        <x:v>0.08928571428571429</x:v>
      </x:c>
      <x:c r="K1260" s="44" t="n">
        <x:f>I1260*J1260</x:f>
        <x:v>0.005293968170310486</x:v>
      </x:c>
      <x:c r="L1260" s="46" t="n">
        <x:v>0</x:v>
      </x:c>
      <x:c r="M1260" s="46" t="n">
        <x:v>0</x:v>
      </x:c>
      <x:c r="N1260" s="21" t="n">
        <x:f>IF(AND(L1259=1,M1259=1,P1259&gt;0),1,0)</x:f>
        <x:v>0</x:v>
      </x:c>
      <x:c r="O1260" s="21" t="n">
        <x:f>MIN('Root Data'!I382:I384)</x:f>
        <x:v>0</x:v>
      </x:c>
      <x:c r="P1260" s="44" t="n">
        <x:f>IF(AND(L1260=1,M1260=1,N1260=1,O1260&gt;=G1260),K1260,0)</x:f>
        <x:v>0</x:v>
      </x:c>
      <x:c r="Q1260" s="21" t="str">
        <x:v>OPEN</x:v>
      </x:c>
      <x:c r="R1260" s="23" t="str">
        <x:v>HOLD</x:v>
      </x:c>
    </x:row>
    <x:row r="1261">
      <x:c r="B1261" s="21" t="str">
        <x:v>AR-01255</x:v>
      </x:c>
      <x:c r="C1261" s="21" t="str">
        <x:v>F32-I2</x:v>
      </x:c>
      <x:c r="D1261" s="21" t="str">
        <x:v>F32</x:v>
      </x:c>
      <x:c r="E1261" s="21" t="n">
        <x:v>5</x:v>
      </x:c>
      <x:c r="F1261" s="21" t="str">
        <x:v>Qualification and destructive evidence</x:v>
      </x:c>
      <x:c r="G1261" s="21" t="n">
        <x:v>21</x:v>
      </x:c>
      <x:c r="H1261" s="21" t="str">
        <x:v>Independent Evidence and Data Authority</x:v>
      </x:c>
      <x:c r="I1261" s="44" t="n">
        <x:f>Lifecycle!G11</x:f>
        <x:v>0.1515251334079979</x:v>
      </x:c>
      <x:c r="J1261" s="44" t="n">
        <x:v>0.08928571428571429</x:v>
      </x:c>
      <x:c r="K1261" s="44" t="n">
        <x:f>I1261*J1261</x:f>
        <x:v>0.013529029768571241</x:v>
      </x:c>
      <x:c r="L1261" s="46" t="n">
        <x:v>0</x:v>
      </x:c>
      <x:c r="M1261" s="46" t="n">
        <x:v>0</x:v>
      </x:c>
      <x:c r="N1261" s="21" t="n">
        <x:f>IF(AND(L1260=1,M1260=1,P1260&gt;0),1,0)</x:f>
        <x:v>0</x:v>
      </x:c>
      <x:c r="O1261" s="21" t="n">
        <x:f>MIN('Root Data'!I382:I384)</x:f>
        <x:v>0</x:v>
      </x:c>
      <x:c r="P1261" s="44" t="n">
        <x:f>IF(AND(L1261=1,M1261=1,N1261=1,O1261&gt;=G1261),K1261,0)</x:f>
        <x:v>0</x:v>
      </x:c>
      <x:c r="Q1261" s="21" t="str">
        <x:v>OPEN</x:v>
      </x:c>
      <x:c r="R1261" s="23" t="str">
        <x:v>HOLD</x:v>
      </x:c>
    </x:row>
    <x:row r="1262">
      <x:c r="B1262" s="21" t="str">
        <x:v>AR-01256</x:v>
      </x:c>
      <x:c r="C1262" s="21" t="str">
        <x:v>F32-I2</x:v>
      </x:c>
      <x:c r="D1262" s="21" t="str">
        <x:v>F32</x:v>
      </x:c>
      <x:c r="E1262" s="21" t="n">
        <x:v>6</x:v>
      </x:c>
      <x:c r="F1262" s="21" t="str">
        <x:v>Representative mission result</x:v>
      </x:c>
      <x:c r="G1262" s="21" t="n">
        <x:v>23</x:v>
      </x:c>
      <x:c r="H1262" s="21" t="str">
        <x:v>Receiving Service Authority</x:v>
      </x:c>
      <x:c r="I1262" s="44" t="n">
        <x:f>Lifecycle!G12</x:f>
        <x:v>0.250345872587127</x:v>
      </x:c>
      <x:c r="J1262" s="44" t="n">
        <x:v>0.08928571428571429</x:v>
      </x:c>
      <x:c r="K1262" s="44" t="n">
        <x:f>I1262*J1262</x:f>
        <x:v>0.022352310052422053</x:v>
      </x:c>
      <x:c r="L1262" s="46" t="n">
        <x:v>0</x:v>
      </x:c>
      <x:c r="M1262" s="46" t="n">
        <x:v>0</x:v>
      </x:c>
      <x:c r="N1262" s="21" t="n">
        <x:f>IF(AND(L1261=1,M1261=1,P1261&gt;0),1,0)</x:f>
        <x:v>0</x:v>
      </x:c>
      <x:c r="O1262" s="21" t="n">
        <x:f>MIN('Root Data'!I382:I384)</x:f>
        <x:v>0</x:v>
      </x:c>
      <x:c r="P1262" s="44" t="n">
        <x:f>IF(AND(L1262=1,M1262=1,N1262=1,O1262&gt;=G1262),K1262,0)</x:f>
        <x:v>0</x:v>
      </x:c>
      <x:c r="Q1262" s="21" t="str">
        <x:v>OPEN</x:v>
      </x:c>
      <x:c r="R1262" s="23" t="str">
        <x:v>HOLD</x:v>
      </x:c>
    </x:row>
    <x:row r="1263">
      <x:c r="B1263" s="21" t="str">
        <x:v>AR-01257</x:v>
      </x:c>
      <x:c r="C1263" s="21" t="str">
        <x:v>F32-I2</x:v>
      </x:c>
      <x:c r="D1263" s="21" t="str">
        <x:v>F32</x:v>
      </x:c>
      <x:c r="E1263" s="21" t="n">
        <x:v>7</x:v>
      </x:c>
      <x:c r="F1263" s="21" t="str">
        <x:v>Independent reproduction</x:v>
      </x:c>
      <x:c r="G1263" s="21" t="n">
        <x:v>28</x:v>
      </x:c>
      <x:c r="H1263" s="21" t="str">
        <x:v>Independent Evidence and Data Authority</x:v>
      </x:c>
      <x:c r="I1263" s="44" t="n">
        <x:f>Lifecycle!G13</x:f>
        <x:v>0.21740562619408393</x:v>
      </x:c>
      <x:c r="J1263" s="44" t="n">
        <x:v>0.08928571428571429</x:v>
      </x:c>
      <x:c r="K1263" s="44" t="n">
        <x:f>I1263*J1263</x:f>
        <x:v>0.019411216624471782</x:v>
      </x:c>
      <x:c r="L1263" s="46" t="n">
        <x:v>0</x:v>
      </x:c>
      <x:c r="M1263" s="46" t="n">
        <x:v>0</x:v>
      </x:c>
      <x:c r="N1263" s="21" t="n">
        <x:f>IF(AND(L1262=1,M1262=1,P1262&gt;0),1,0)</x:f>
        <x:v>0</x:v>
      </x:c>
      <x:c r="O1263" s="21" t="n">
        <x:f>MIN('Root Data'!I382:I384)</x:f>
        <x:v>0</x:v>
      </x:c>
      <x:c r="P1263" s="44" t="n">
        <x:f>IF(AND(L1263=1,M1263=1,N1263=1,O1263&gt;=G1263),K1263,0)</x:f>
        <x:v>0</x:v>
      </x:c>
      <x:c r="Q1263" s="21" t="str">
        <x:v>OPEN</x:v>
      </x:c>
      <x:c r="R1263" s="23" t="str">
        <x:v>HOLD</x:v>
      </x:c>
    </x:row>
    <x:row r="1264">
      <x:c r="B1264" s="21" t="str">
        <x:v>AR-01258</x:v>
      </x:c>
      <x:c r="C1264" s="21" t="str">
        <x:v>F32-I2</x:v>
      </x:c>
      <x:c r="D1264" s="21" t="str">
        <x:v>F32</x:v>
      </x:c>
      <x:c r="E1264" s="21" t="n">
        <x:v>8</x:v>
      </x:c>
      <x:c r="F1264" s="21" t="str">
        <x:v>Pilot-process qualification</x:v>
      </x:c>
      <x:c r="G1264" s="21" t="n">
        <x:v>28</x:v>
      </x:c>
      <x:c r="H1264" s="21" t="str">
        <x:v>AIMC Industrial Mobilization Authority</x:v>
      </x:c>
      <x:c r="I1264" s="44" t="n">
        <x:f>Lifecycle!G14</x:f>
        <x:v>0.03952829567165163</x:v>
      </x:c>
      <x:c r="J1264" s="44" t="n">
        <x:v>0.08928571428571429</x:v>
      </x:c>
      <x:c r="K1264" s="44" t="n">
        <x:f>I1264*J1264</x:f>
        <x:v>0.003529312113540324</x:v>
      </x:c>
      <x:c r="L1264" s="46" t="n">
        <x:v>0</x:v>
      </x:c>
      <x:c r="M1264" s="46" t="n">
        <x:v>0</x:v>
      </x:c>
      <x:c r="N1264" s="21" t="n">
        <x:f>IF(AND(L1263=1,M1263=1,P1263&gt;0),1,0)</x:f>
        <x:v>0</x:v>
      </x:c>
      <x:c r="O1264" s="21" t="n">
        <x:f>MIN('Root Data'!I382:I384)</x:f>
        <x:v>0</x:v>
      </x:c>
      <x:c r="P1264" s="44" t="n">
        <x:f>IF(AND(L1264=1,M1264=1,N1264=1,O1264&gt;=G1264),K1264,0)</x:f>
        <x:v>0</x:v>
      </x:c>
      <x:c r="Q1264" s="21" t="str">
        <x:v>OPEN</x:v>
      </x:c>
      <x:c r="R1264" s="23" t="str">
        <x:v>HOLD</x:v>
      </x:c>
    </x:row>
    <x:row r="1265">
      <x:c r="B1265" s="21" t="str">
        <x:v>AR-01259</x:v>
      </x:c>
      <x:c r="C1265" s="21" t="str">
        <x:v>F32-I2</x:v>
      </x:c>
      <x:c r="D1265" s="21" t="str">
        <x:v>F32</x:v>
      </x:c>
      <x:c r="E1265" s="21" t="n">
        <x:v>9</x:v>
      </x:c>
      <x:c r="F1265" s="21" t="str">
        <x:v>Production release package</x:v>
      </x:c>
      <x:c r="G1265" s="21" t="n">
        <x:v>28</x:v>
      </x:c>
      <x:c r="H1265" s="21" t="str">
        <x:v>Production Release Board</x:v>
      </x:c>
      <x:c r="I1265" s="44" t="n">
        <x:f>Lifecycle!G15</x:f>
        <x:v>0.01647012319652151</x:v>
      </x:c>
      <x:c r="J1265" s="44" t="n">
        <x:v>0.08928571428571429</x:v>
      </x:c>
      <x:c r="K1265" s="44" t="n">
        <x:f>I1265*J1265</x:f>
        <x:v>0.001470546713975135</x:v>
      </x:c>
      <x:c r="L1265" s="46" t="n">
        <x:v>0</x:v>
      </x:c>
      <x:c r="M1265" s="46" t="n">
        <x:v>0</x:v>
      </x:c>
      <x:c r="N1265" s="21" t="n">
        <x:f>IF(AND(L1264=1,M1264=1,P1264&gt;0),1,0)</x:f>
        <x:v>0</x:v>
      </x:c>
      <x:c r="O1265" s="21" t="n">
        <x:f>MIN('Root Data'!I382:I384)</x:f>
        <x:v>0</x:v>
      </x:c>
      <x:c r="P1265" s="44" t="n">
        <x:f>IF(AND(L1265=1,M1265=1,N1265=1,O1265&gt;=G1265),K1265,0)</x:f>
        <x:v>0</x:v>
      </x:c>
      <x:c r="Q1265" s="21" t="str">
        <x:v>OPEN</x:v>
      </x:c>
      <x:c r="R1265" s="23" t="str">
        <x:v>HOLD</x:v>
      </x:c>
    </x:row>
    <x:row r="1266">
      <x:c r="B1266" s="21" t="str">
        <x:v>AR-01260</x:v>
      </x:c>
      <x:c r="C1266" s="21" t="str">
        <x:v>F32-I2</x:v>
      </x:c>
      <x:c r="D1266" s="21" t="str">
        <x:v>F32</x:v>
      </x:c>
      <x:c r="E1266" s="21" t="n">
        <x:v>10</x:v>
      </x:c>
      <x:c r="F1266" s="21" t="str">
        <x:v>Mobilization activation</x:v>
      </x:c>
      <x:c r="G1266" s="21" t="n">
        <x:v>28</x:v>
      </x:c>
      <x:c r="H1266" s="21" t="str">
        <x:v>Production Release Board</x:v>
      </x:c>
      <x:c r="I1266" s="44" t="n">
        <x:f>Lifecycle!G16</x:f>
        <x:v>0.028262731405230914</x:v>
      </x:c>
      <x:c r="J1266" s="44" t="n">
        <x:v>0.08928571428571429</x:v>
      </x:c>
      <x:c r="K1266" s="44" t="n">
        <x:f>I1266*J1266</x:f>
        <x:v>0.002523458161181332</x:v>
      </x:c>
      <x:c r="L1266" s="46" t="n">
        <x:v>0</x:v>
      </x:c>
      <x:c r="M1266" s="46" t="n">
        <x:v>0</x:v>
      </x:c>
      <x:c r="N1266" s="21" t="n">
        <x:f>IF(AND(L1265=1,M1265=1,P1265&gt;0),1,0)</x:f>
        <x:v>0</x:v>
      </x:c>
      <x:c r="O1266" s="21" t="n">
        <x:f>MIN('Root Data'!I382:I384)</x:f>
        <x:v>0</x:v>
      </x:c>
      <x:c r="P1266" s="44" t="n">
        <x:f>IF(AND(L1266=1,M1266=1,N1266=1,O1266&gt;=G1266),K1266,0)</x:f>
        <x:v>0</x:v>
      </x:c>
      <x:c r="Q1266" s="21" t="str">
        <x:v>OPEN</x:v>
      </x:c>
      <x:c r="R1266" s="23" t="str">
        <x:v>HOLD</x:v>
      </x:c>
    </x:row>
    <x:row r="1267">
      <x:c r="B1267" s="21" t="str">
        <x:v>AR-01261</x:v>
      </x:c>
      <x:c r="C1267" s="21" t="str">
        <x:v>F32-I3</x:v>
      </x:c>
      <x:c r="D1267" s="21" t="str">
        <x:v>F32</x:v>
      </x:c>
      <x:c r="E1267" s="21" t="n">
        <x:v>1</x:v>
      </x:c>
      <x:c r="F1267" s="21" t="str">
        <x:v>Civil effect charter</x:v>
      </x:c>
      <x:c r="G1267" s="21" t="n">
        <x:v>0</x:v>
      </x:c>
      <x:c r="H1267" s="21" t="str">
        <x:v>Civil Guarantee Authority</x:v>
      </x:c>
      <x:c r="I1267" s="44" t="n">
        <x:f>Lifecycle!G7</x:f>
        <x:v>0.04941036958956453</x:v>
      </x:c>
      <x:c r="J1267" s="44" t="n">
        <x:v>0.08928571428571429</x:v>
      </x:c>
      <x:c r="K1267" s="44" t="n">
        <x:f>I1267*J1267</x:f>
        <x:v>0.004411640141925405</x:v>
      </x:c>
      <x:c r="L1267" s="46" t="n">
        <x:v>0</x:v>
      </x:c>
      <x:c r="M1267" s="46" t="n">
        <x:v>0</x:v>
      </x:c>
      <x:c r="N1267" s="21" t="n">
        <x:f>1</x:f>
        <x:v>1</x:v>
      </x:c>
      <x:c r="O1267" s="21" t="n">
        <x:f>MIN('Root Data'!I385:I387)</x:f>
        <x:v>0</x:v>
      </x:c>
      <x:c r="P1267" s="44" t="n">
        <x:f>IF(AND(L1267=1,M1267=1,N1267=1,O1267&gt;=G1267),K1267,0)</x:f>
        <x:v>0</x:v>
      </x:c>
      <x:c r="Q1267" s="21" t="str">
        <x:v>OPEN</x:v>
      </x:c>
      <x:c r="R1267" s="23" t="str">
        <x:v>HOLD</x:v>
      </x:c>
    </x:row>
    <x:row r="1268">
      <x:c r="B1268" s="21" t="str">
        <x:v>AR-01262</x:v>
      </x:c>
      <x:c r="C1268" s="21" t="str">
        <x:v>F32-I3</x:v>
      </x:c>
      <x:c r="D1268" s="21" t="str">
        <x:v>F32</x:v>
      </x:c>
      <x:c r="E1268" s="21" t="n">
        <x:v>2</x:v>
      </x:c>
      <x:c r="F1268" s="21" t="str">
        <x:v>Requirement and root-independence package</x:v>
      </x:c>
      <x:c r="G1268" s="21" t="n">
        <x:v>8</x:v>
      </x:c>
      <x:c r="H1268" s="21" t="str">
        <x:v>Resilience Staff</x:v>
      </x:c>
      <x:c r="I1268" s="44" t="n">
        <x:f>Lifecycle!G8</x:f>
        <x:v>0.10211476381843337</x:v>
      </x:c>
      <x:c r="J1268" s="44" t="n">
        <x:v>0.08928571428571429</x:v>
      </x:c>
      <x:c r="K1268" s="44" t="n">
        <x:f>I1268*J1268</x:f>
        <x:v>0.009117389626645838</x:v>
      </x:c>
      <x:c r="L1268" s="46" t="n">
        <x:v>0</x:v>
      </x:c>
      <x:c r="M1268" s="46" t="n">
        <x:v>0</x:v>
      </x:c>
      <x:c r="N1268" s="21" t="n">
        <x:f>IF(AND(L1267=1,M1267=1,P1267&gt;0),1,0)</x:f>
        <x:v>0</x:v>
      </x:c>
      <x:c r="O1268" s="21" t="n">
        <x:f>MIN('Root Data'!I385:I387)</x:f>
        <x:v>0</x:v>
      </x:c>
      <x:c r="P1268" s="44" t="n">
        <x:f>IF(AND(L1268=1,M1268=1,N1268=1,O1268&gt;=G1268),K1268,0)</x:f>
        <x:v>0</x:v>
      </x:c>
      <x:c r="Q1268" s="21" t="str">
        <x:v>OPEN</x:v>
      </x:c>
      <x:c r="R1268" s="23" t="str">
        <x:v>HOLD</x:v>
      </x:c>
    </x:row>
    <x:row r="1269">
      <x:c r="B1269" s="21" t="str">
        <x:v>AR-01263</x:v>
      </x:c>
      <x:c r="C1269" s="21" t="str">
        <x:v>F32-I3</x:v>
      </x:c>
      <x:c r="D1269" s="21" t="str">
        <x:v>F32</x:v>
      </x:c>
      <x:c r="E1269" s="21" t="n">
        <x:v>3</x:v>
      </x:c>
      <x:c r="F1269" s="21" t="str">
        <x:v>Architecture and burden closure</x:v>
      </x:c>
      <x:c r="G1269" s="21" t="n">
        <x:v>14</x:v>
      </x:c>
      <x:c r="H1269" s="21" t="str">
        <x:v>Independent Evidence and Data Authority</x:v>
      </x:c>
      <x:c r="I1269" s="44" t="n">
        <x:f>Lifecycle!G9</x:f>
        <x:v>0.08564464062191186</x:v>
      </x:c>
      <x:c r="J1269" s="44" t="n">
        <x:v>0.08928571428571429</x:v>
      </x:c>
      <x:c r="K1269" s="44" t="n">
        <x:f>I1269*J1269</x:f>
        <x:v>0.007646842912670702</x:v>
      </x:c>
      <x:c r="L1269" s="46" t="n">
        <x:v>0</x:v>
      </x:c>
      <x:c r="M1269" s="46" t="n">
        <x:v>0</x:v>
      </x:c>
      <x:c r="N1269" s="21" t="n">
        <x:f>IF(AND(L1268=1,M1268=1,P1268&gt;0),1,0)</x:f>
        <x:v>0</x:v>
      </x:c>
      <x:c r="O1269" s="21" t="n">
        <x:f>MIN('Root Data'!I385:I387)</x:f>
        <x:v>0</x:v>
      </x:c>
      <x:c r="P1269" s="44" t="n">
        <x:f>IF(AND(L1269=1,M1269=1,N1269=1,O1269&gt;=G1269),K1269,0)</x:f>
        <x:v>0</x:v>
      </x:c>
      <x:c r="Q1269" s="21" t="str">
        <x:v>OPEN</x:v>
      </x:c>
      <x:c r="R1269" s="23" t="str">
        <x:v>HOLD</x:v>
      </x:c>
    </x:row>
    <x:row r="1270">
      <x:c r="B1270" s="21" t="str">
        <x:v>AR-01264</x:v>
      </x:c>
      <x:c r="C1270" s="21" t="str">
        <x:v>F32-I3</x:v>
      </x:c>
      <x:c r="D1270" s="21" t="str">
        <x:v>F32</x:v>
      </x:c>
      <x:c r="E1270" s="21" t="n">
        <x:v>4</x:v>
      </x:c>
      <x:c r="F1270" s="21" t="str">
        <x:v>Engineering article acceptance</x:v>
      </x:c>
      <x:c r="G1270" s="21" t="n">
        <x:v>18</x:v>
      </x:c>
      <x:c r="H1270" s="21" t="str">
        <x:v>Independent Evidence and Data Authority</x:v>
      </x:c>
      <x:c r="I1270" s="44" t="n">
        <x:f>Lifecycle!G10</x:f>
        <x:v>0.05929244350747744</x:v>
      </x:c>
      <x:c r="J1270" s="44" t="n">
        <x:v>0.08928571428571429</x:v>
      </x:c>
      <x:c r="K1270" s="44" t="n">
        <x:f>I1270*J1270</x:f>
        <x:v>0.005293968170310486</x:v>
      </x:c>
      <x:c r="L1270" s="46" t="n">
        <x:v>0</x:v>
      </x:c>
      <x:c r="M1270" s="46" t="n">
        <x:v>0</x:v>
      </x:c>
      <x:c r="N1270" s="21" t="n">
        <x:f>IF(AND(L1269=1,M1269=1,P1269&gt;0),1,0)</x:f>
        <x:v>0</x:v>
      </x:c>
      <x:c r="O1270" s="21" t="n">
        <x:f>MIN('Root Data'!I385:I387)</x:f>
        <x:v>0</x:v>
      </x:c>
      <x:c r="P1270" s="44" t="n">
        <x:f>IF(AND(L1270=1,M1270=1,N1270=1,O1270&gt;=G1270),K1270,0)</x:f>
        <x:v>0</x:v>
      </x:c>
      <x:c r="Q1270" s="21" t="str">
        <x:v>OPEN</x:v>
      </x:c>
      <x:c r="R1270" s="23" t="str">
        <x:v>HOLD</x:v>
      </x:c>
    </x:row>
    <x:row r="1271">
      <x:c r="B1271" s="21" t="str">
        <x:v>AR-01265</x:v>
      </x:c>
      <x:c r="C1271" s="21" t="str">
        <x:v>F32-I3</x:v>
      </x:c>
      <x:c r="D1271" s="21" t="str">
        <x:v>F32</x:v>
      </x:c>
      <x:c r="E1271" s="21" t="n">
        <x:v>5</x:v>
      </x:c>
      <x:c r="F1271" s="21" t="str">
        <x:v>Qualification and destructive evidence</x:v>
      </x:c>
      <x:c r="G1271" s="21" t="n">
        <x:v>21</x:v>
      </x:c>
      <x:c r="H1271" s="21" t="str">
        <x:v>Independent Evidence and Data Authority</x:v>
      </x:c>
      <x:c r="I1271" s="44" t="n">
        <x:f>Lifecycle!G11</x:f>
        <x:v>0.1515251334079979</x:v>
      </x:c>
      <x:c r="J1271" s="44" t="n">
        <x:v>0.08928571428571429</x:v>
      </x:c>
      <x:c r="K1271" s="44" t="n">
        <x:f>I1271*J1271</x:f>
        <x:v>0.013529029768571241</x:v>
      </x:c>
      <x:c r="L1271" s="46" t="n">
        <x:v>0</x:v>
      </x:c>
      <x:c r="M1271" s="46" t="n">
        <x:v>0</x:v>
      </x:c>
      <x:c r="N1271" s="21" t="n">
        <x:f>IF(AND(L1270=1,M1270=1,P1270&gt;0),1,0)</x:f>
        <x:v>0</x:v>
      </x:c>
      <x:c r="O1271" s="21" t="n">
        <x:f>MIN('Root Data'!I385:I387)</x:f>
        <x:v>0</x:v>
      </x:c>
      <x:c r="P1271" s="44" t="n">
        <x:f>IF(AND(L1271=1,M1271=1,N1271=1,O1271&gt;=G1271),K1271,0)</x:f>
        <x:v>0</x:v>
      </x:c>
      <x:c r="Q1271" s="21" t="str">
        <x:v>OPEN</x:v>
      </x:c>
      <x:c r="R1271" s="23" t="str">
        <x:v>HOLD</x:v>
      </x:c>
    </x:row>
    <x:row r="1272">
      <x:c r="B1272" s="21" t="str">
        <x:v>AR-01266</x:v>
      </x:c>
      <x:c r="C1272" s="21" t="str">
        <x:v>F32-I3</x:v>
      </x:c>
      <x:c r="D1272" s="21" t="str">
        <x:v>F32</x:v>
      </x:c>
      <x:c r="E1272" s="21" t="n">
        <x:v>6</x:v>
      </x:c>
      <x:c r="F1272" s="21" t="str">
        <x:v>Representative mission result</x:v>
      </x:c>
      <x:c r="G1272" s="21" t="n">
        <x:v>23</x:v>
      </x:c>
      <x:c r="H1272" s="21" t="str">
        <x:v>Receiving Service Authority</x:v>
      </x:c>
      <x:c r="I1272" s="44" t="n">
        <x:f>Lifecycle!G12</x:f>
        <x:v>0.250345872587127</x:v>
      </x:c>
      <x:c r="J1272" s="44" t="n">
        <x:v>0.08928571428571429</x:v>
      </x:c>
      <x:c r="K1272" s="44" t="n">
        <x:f>I1272*J1272</x:f>
        <x:v>0.022352310052422053</x:v>
      </x:c>
      <x:c r="L1272" s="46" t="n">
        <x:v>0</x:v>
      </x:c>
      <x:c r="M1272" s="46" t="n">
        <x:v>0</x:v>
      </x:c>
      <x:c r="N1272" s="21" t="n">
        <x:f>IF(AND(L1271=1,M1271=1,P1271&gt;0),1,0)</x:f>
        <x:v>0</x:v>
      </x:c>
      <x:c r="O1272" s="21" t="n">
        <x:f>MIN('Root Data'!I385:I387)</x:f>
        <x:v>0</x:v>
      </x:c>
      <x:c r="P1272" s="44" t="n">
        <x:f>IF(AND(L1272=1,M1272=1,N1272=1,O1272&gt;=G1272),K1272,0)</x:f>
        <x:v>0</x:v>
      </x:c>
      <x:c r="Q1272" s="21" t="str">
        <x:v>OPEN</x:v>
      </x:c>
      <x:c r="R1272" s="23" t="str">
        <x:v>HOLD</x:v>
      </x:c>
    </x:row>
    <x:row r="1273">
      <x:c r="B1273" s="21" t="str">
        <x:v>AR-01267</x:v>
      </x:c>
      <x:c r="C1273" s="21" t="str">
        <x:v>F32-I3</x:v>
      </x:c>
      <x:c r="D1273" s="21" t="str">
        <x:v>F32</x:v>
      </x:c>
      <x:c r="E1273" s="21" t="n">
        <x:v>7</x:v>
      </x:c>
      <x:c r="F1273" s="21" t="str">
        <x:v>Independent reproduction</x:v>
      </x:c>
      <x:c r="G1273" s="21" t="n">
        <x:v>28</x:v>
      </x:c>
      <x:c r="H1273" s="21" t="str">
        <x:v>Independent Evidence and Data Authority</x:v>
      </x:c>
      <x:c r="I1273" s="44" t="n">
        <x:f>Lifecycle!G13</x:f>
        <x:v>0.21740562619408393</x:v>
      </x:c>
      <x:c r="J1273" s="44" t="n">
        <x:v>0.08928571428571429</x:v>
      </x:c>
      <x:c r="K1273" s="44" t="n">
        <x:f>I1273*J1273</x:f>
        <x:v>0.019411216624471782</x:v>
      </x:c>
      <x:c r="L1273" s="46" t="n">
        <x:v>0</x:v>
      </x:c>
      <x:c r="M1273" s="46" t="n">
        <x:v>0</x:v>
      </x:c>
      <x:c r="N1273" s="21" t="n">
        <x:f>IF(AND(L1272=1,M1272=1,P1272&gt;0),1,0)</x:f>
        <x:v>0</x:v>
      </x:c>
      <x:c r="O1273" s="21" t="n">
        <x:f>MIN('Root Data'!I385:I387)</x:f>
        <x:v>0</x:v>
      </x:c>
      <x:c r="P1273" s="44" t="n">
        <x:f>IF(AND(L1273=1,M1273=1,N1273=1,O1273&gt;=G1273),K1273,0)</x:f>
        <x:v>0</x:v>
      </x:c>
      <x:c r="Q1273" s="21" t="str">
        <x:v>OPEN</x:v>
      </x:c>
      <x:c r="R1273" s="23" t="str">
        <x:v>HOLD</x:v>
      </x:c>
    </x:row>
    <x:row r="1274">
      <x:c r="B1274" s="21" t="str">
        <x:v>AR-01268</x:v>
      </x:c>
      <x:c r="C1274" s="21" t="str">
        <x:v>F32-I3</x:v>
      </x:c>
      <x:c r="D1274" s="21" t="str">
        <x:v>F32</x:v>
      </x:c>
      <x:c r="E1274" s="21" t="n">
        <x:v>8</x:v>
      </x:c>
      <x:c r="F1274" s="21" t="str">
        <x:v>Pilot-process qualification</x:v>
      </x:c>
      <x:c r="G1274" s="21" t="n">
        <x:v>28</x:v>
      </x:c>
      <x:c r="H1274" s="21" t="str">
        <x:v>AIMC Industrial Mobilization Authority</x:v>
      </x:c>
      <x:c r="I1274" s="44" t="n">
        <x:f>Lifecycle!G14</x:f>
        <x:v>0.03952829567165163</x:v>
      </x:c>
      <x:c r="J1274" s="44" t="n">
        <x:v>0.08928571428571429</x:v>
      </x:c>
      <x:c r="K1274" s="44" t="n">
        <x:f>I1274*J1274</x:f>
        <x:v>0.003529312113540324</x:v>
      </x:c>
      <x:c r="L1274" s="46" t="n">
        <x:v>0</x:v>
      </x:c>
      <x:c r="M1274" s="46" t="n">
        <x:v>0</x:v>
      </x:c>
      <x:c r="N1274" s="21" t="n">
        <x:f>IF(AND(L1273=1,M1273=1,P1273&gt;0),1,0)</x:f>
        <x:v>0</x:v>
      </x:c>
      <x:c r="O1274" s="21" t="n">
        <x:f>MIN('Root Data'!I385:I387)</x:f>
        <x:v>0</x:v>
      </x:c>
      <x:c r="P1274" s="44" t="n">
        <x:f>IF(AND(L1274=1,M1274=1,N1274=1,O1274&gt;=G1274),K1274,0)</x:f>
        <x:v>0</x:v>
      </x:c>
      <x:c r="Q1274" s="21" t="str">
        <x:v>OPEN</x:v>
      </x:c>
      <x:c r="R1274" s="23" t="str">
        <x:v>HOLD</x:v>
      </x:c>
    </x:row>
    <x:row r="1275">
      <x:c r="B1275" s="21" t="str">
        <x:v>AR-01269</x:v>
      </x:c>
      <x:c r="C1275" s="21" t="str">
        <x:v>F32-I3</x:v>
      </x:c>
      <x:c r="D1275" s="21" t="str">
        <x:v>F32</x:v>
      </x:c>
      <x:c r="E1275" s="21" t="n">
        <x:v>9</x:v>
      </x:c>
      <x:c r="F1275" s="21" t="str">
        <x:v>Production release package</x:v>
      </x:c>
      <x:c r="G1275" s="21" t="n">
        <x:v>28</x:v>
      </x:c>
      <x:c r="H1275" s="21" t="str">
        <x:v>Production Release Board</x:v>
      </x:c>
      <x:c r="I1275" s="44" t="n">
        <x:f>Lifecycle!G15</x:f>
        <x:v>0.01647012319652151</x:v>
      </x:c>
      <x:c r="J1275" s="44" t="n">
        <x:v>0.08928571428571429</x:v>
      </x:c>
      <x:c r="K1275" s="44" t="n">
        <x:f>I1275*J1275</x:f>
        <x:v>0.001470546713975135</x:v>
      </x:c>
      <x:c r="L1275" s="46" t="n">
        <x:v>0</x:v>
      </x:c>
      <x:c r="M1275" s="46" t="n">
        <x:v>0</x:v>
      </x:c>
      <x:c r="N1275" s="21" t="n">
        <x:f>IF(AND(L1274=1,M1274=1,P1274&gt;0),1,0)</x:f>
        <x:v>0</x:v>
      </x:c>
      <x:c r="O1275" s="21" t="n">
        <x:f>MIN('Root Data'!I385:I387)</x:f>
        <x:v>0</x:v>
      </x:c>
      <x:c r="P1275" s="44" t="n">
        <x:f>IF(AND(L1275=1,M1275=1,N1275=1,O1275&gt;=G1275),K1275,0)</x:f>
        <x:v>0</x:v>
      </x:c>
      <x:c r="Q1275" s="21" t="str">
        <x:v>OPEN</x:v>
      </x:c>
      <x:c r="R1275" s="23" t="str">
        <x:v>HOLD</x:v>
      </x:c>
    </x:row>
    <x:row r="1276">
      <x:c r="B1276" s="21" t="str">
        <x:v>AR-01270</x:v>
      </x:c>
      <x:c r="C1276" s="21" t="str">
        <x:v>F32-I3</x:v>
      </x:c>
      <x:c r="D1276" s="21" t="str">
        <x:v>F32</x:v>
      </x:c>
      <x:c r="E1276" s="21" t="n">
        <x:v>10</x:v>
      </x:c>
      <x:c r="F1276" s="21" t="str">
        <x:v>Mobilization activation</x:v>
      </x:c>
      <x:c r="G1276" s="21" t="n">
        <x:v>28</x:v>
      </x:c>
      <x:c r="H1276" s="21" t="str">
        <x:v>Production Release Board</x:v>
      </x:c>
      <x:c r="I1276" s="44" t="n">
        <x:f>Lifecycle!G16</x:f>
        <x:v>0.028262731405230914</x:v>
      </x:c>
      <x:c r="J1276" s="44" t="n">
        <x:v>0.08928571428571429</x:v>
      </x:c>
      <x:c r="K1276" s="44" t="n">
        <x:f>I1276*J1276</x:f>
        <x:v>0.002523458161181332</x:v>
      </x:c>
      <x:c r="L1276" s="46" t="n">
        <x:v>0</x:v>
      </x:c>
      <x:c r="M1276" s="46" t="n">
        <x:v>0</x:v>
      </x:c>
      <x:c r="N1276" s="21" t="n">
        <x:f>IF(AND(L1275=1,M1275=1,P1275&gt;0),1,0)</x:f>
        <x:v>0</x:v>
      </x:c>
      <x:c r="O1276" s="21" t="n">
        <x:f>MIN('Root Data'!I385:I387)</x:f>
        <x:v>0</x:v>
      </x:c>
      <x:c r="P1276" s="44" t="n">
        <x:f>IF(AND(L1276=1,M1276=1,N1276=1,O1276&gt;=G1276),K1276,0)</x:f>
        <x:v>0</x:v>
      </x:c>
      <x:c r="Q1276" s="21" t="str">
        <x:v>OPEN</x:v>
      </x:c>
      <x:c r="R1276" s="23" t="str">
        <x:v>HOLD</x:v>
      </x:c>
    </x:row>
    <x:row r="1277">
      <x:c r="B1277" s="21" t="str">
        <x:v>AR-01271</x:v>
      </x:c>
      <x:c r="C1277" s="21" t="str">
        <x:v>F32-I4</x:v>
      </x:c>
      <x:c r="D1277" s="21" t="str">
        <x:v>F32</x:v>
      </x:c>
      <x:c r="E1277" s="21" t="n">
        <x:v>1</x:v>
      </x:c>
      <x:c r="F1277" s="21" t="str">
        <x:v>Civil effect charter</x:v>
      </x:c>
      <x:c r="G1277" s="21" t="n">
        <x:v>0</x:v>
      </x:c>
      <x:c r="H1277" s="21" t="str">
        <x:v>Civil Guarantee Authority</x:v>
      </x:c>
      <x:c r="I1277" s="44" t="n">
        <x:f>Lifecycle!G7</x:f>
        <x:v>0.04941036958956453</x:v>
      </x:c>
      <x:c r="J1277" s="44" t="n">
        <x:v>0.08928571428571429</x:v>
      </x:c>
      <x:c r="K1277" s="44" t="n">
        <x:f>I1277*J1277</x:f>
        <x:v>0.004411640141925405</x:v>
      </x:c>
      <x:c r="L1277" s="46" t="n">
        <x:v>0</x:v>
      </x:c>
      <x:c r="M1277" s="46" t="n">
        <x:v>0</x:v>
      </x:c>
      <x:c r="N1277" s="21" t="n">
        <x:f>1</x:f>
        <x:v>1</x:v>
      </x:c>
      <x:c r="O1277" s="21" t="n">
        <x:f>MIN('Root Data'!I388:I390)</x:f>
        <x:v>0</x:v>
      </x:c>
      <x:c r="P1277" s="44" t="n">
        <x:f>IF(AND(L1277=1,M1277=1,N1277=1,O1277&gt;=G1277),K1277,0)</x:f>
        <x:v>0</x:v>
      </x:c>
      <x:c r="Q1277" s="21" t="str">
        <x:v>OPEN</x:v>
      </x:c>
      <x:c r="R1277" s="23" t="str">
        <x:v>HOLD</x:v>
      </x:c>
    </x:row>
    <x:row r="1278">
      <x:c r="B1278" s="21" t="str">
        <x:v>AR-01272</x:v>
      </x:c>
      <x:c r="C1278" s="21" t="str">
        <x:v>F32-I4</x:v>
      </x:c>
      <x:c r="D1278" s="21" t="str">
        <x:v>F32</x:v>
      </x:c>
      <x:c r="E1278" s="21" t="n">
        <x:v>2</x:v>
      </x:c>
      <x:c r="F1278" s="21" t="str">
        <x:v>Requirement and root-independence package</x:v>
      </x:c>
      <x:c r="G1278" s="21" t="n">
        <x:v>8</x:v>
      </x:c>
      <x:c r="H1278" s="21" t="str">
        <x:v>Resilience Staff</x:v>
      </x:c>
      <x:c r="I1278" s="44" t="n">
        <x:f>Lifecycle!G8</x:f>
        <x:v>0.10211476381843337</x:v>
      </x:c>
      <x:c r="J1278" s="44" t="n">
        <x:v>0.08928571428571429</x:v>
      </x:c>
      <x:c r="K1278" s="44" t="n">
        <x:f>I1278*J1278</x:f>
        <x:v>0.009117389626645838</x:v>
      </x:c>
      <x:c r="L1278" s="46" t="n">
        <x:v>0</x:v>
      </x:c>
      <x:c r="M1278" s="46" t="n">
        <x:v>0</x:v>
      </x:c>
      <x:c r="N1278" s="21" t="n">
        <x:f>IF(AND(L1277=1,M1277=1,P1277&gt;0),1,0)</x:f>
        <x:v>0</x:v>
      </x:c>
      <x:c r="O1278" s="21" t="n">
        <x:f>MIN('Root Data'!I388:I390)</x:f>
        <x:v>0</x:v>
      </x:c>
      <x:c r="P1278" s="44" t="n">
        <x:f>IF(AND(L1278=1,M1278=1,N1278=1,O1278&gt;=G1278),K1278,0)</x:f>
        <x:v>0</x:v>
      </x:c>
      <x:c r="Q1278" s="21" t="str">
        <x:v>OPEN</x:v>
      </x:c>
      <x:c r="R1278" s="23" t="str">
        <x:v>HOLD</x:v>
      </x:c>
    </x:row>
    <x:row r="1279">
      <x:c r="B1279" s="21" t="str">
        <x:v>AR-01273</x:v>
      </x:c>
      <x:c r="C1279" s="21" t="str">
        <x:v>F32-I4</x:v>
      </x:c>
      <x:c r="D1279" s="21" t="str">
        <x:v>F32</x:v>
      </x:c>
      <x:c r="E1279" s="21" t="n">
        <x:v>3</x:v>
      </x:c>
      <x:c r="F1279" s="21" t="str">
        <x:v>Architecture and burden closure</x:v>
      </x:c>
      <x:c r="G1279" s="21" t="n">
        <x:v>14</x:v>
      </x:c>
      <x:c r="H1279" s="21" t="str">
        <x:v>Independent Evidence and Data Authority</x:v>
      </x:c>
      <x:c r="I1279" s="44" t="n">
        <x:f>Lifecycle!G9</x:f>
        <x:v>0.08564464062191186</x:v>
      </x:c>
      <x:c r="J1279" s="44" t="n">
        <x:v>0.08928571428571429</x:v>
      </x:c>
      <x:c r="K1279" s="44" t="n">
        <x:f>I1279*J1279</x:f>
        <x:v>0.007646842912670702</x:v>
      </x:c>
      <x:c r="L1279" s="46" t="n">
        <x:v>0</x:v>
      </x:c>
      <x:c r="M1279" s="46" t="n">
        <x:v>0</x:v>
      </x:c>
      <x:c r="N1279" s="21" t="n">
        <x:f>IF(AND(L1278=1,M1278=1,P1278&gt;0),1,0)</x:f>
        <x:v>0</x:v>
      </x:c>
      <x:c r="O1279" s="21" t="n">
        <x:f>MIN('Root Data'!I388:I390)</x:f>
        <x:v>0</x:v>
      </x:c>
      <x:c r="P1279" s="44" t="n">
        <x:f>IF(AND(L1279=1,M1279=1,N1279=1,O1279&gt;=G1279),K1279,0)</x:f>
        <x:v>0</x:v>
      </x:c>
      <x:c r="Q1279" s="21" t="str">
        <x:v>OPEN</x:v>
      </x:c>
      <x:c r="R1279" s="23" t="str">
        <x:v>HOLD</x:v>
      </x:c>
    </x:row>
    <x:row r="1280">
      <x:c r="B1280" s="21" t="str">
        <x:v>AR-01274</x:v>
      </x:c>
      <x:c r="C1280" s="21" t="str">
        <x:v>F32-I4</x:v>
      </x:c>
      <x:c r="D1280" s="21" t="str">
        <x:v>F32</x:v>
      </x:c>
      <x:c r="E1280" s="21" t="n">
        <x:v>4</x:v>
      </x:c>
      <x:c r="F1280" s="21" t="str">
        <x:v>Engineering article acceptance</x:v>
      </x:c>
      <x:c r="G1280" s="21" t="n">
        <x:v>18</x:v>
      </x:c>
      <x:c r="H1280" s="21" t="str">
        <x:v>Independent Evidence and Data Authority</x:v>
      </x:c>
      <x:c r="I1280" s="44" t="n">
        <x:f>Lifecycle!G10</x:f>
        <x:v>0.05929244350747744</x:v>
      </x:c>
      <x:c r="J1280" s="44" t="n">
        <x:v>0.08928571428571429</x:v>
      </x:c>
      <x:c r="K1280" s="44" t="n">
        <x:f>I1280*J1280</x:f>
        <x:v>0.005293968170310486</x:v>
      </x:c>
      <x:c r="L1280" s="46" t="n">
        <x:v>0</x:v>
      </x:c>
      <x:c r="M1280" s="46" t="n">
        <x:v>0</x:v>
      </x:c>
      <x:c r="N1280" s="21" t="n">
        <x:f>IF(AND(L1279=1,M1279=1,P1279&gt;0),1,0)</x:f>
        <x:v>0</x:v>
      </x:c>
      <x:c r="O1280" s="21" t="n">
        <x:f>MIN('Root Data'!I388:I390)</x:f>
        <x:v>0</x:v>
      </x:c>
      <x:c r="P1280" s="44" t="n">
        <x:f>IF(AND(L1280=1,M1280=1,N1280=1,O1280&gt;=G1280),K1280,0)</x:f>
        <x:v>0</x:v>
      </x:c>
      <x:c r="Q1280" s="21" t="str">
        <x:v>OPEN</x:v>
      </x:c>
      <x:c r="R1280" s="23" t="str">
        <x:v>HOLD</x:v>
      </x:c>
    </x:row>
    <x:row r="1281">
      <x:c r="B1281" s="21" t="str">
        <x:v>AR-01275</x:v>
      </x:c>
      <x:c r="C1281" s="21" t="str">
        <x:v>F32-I4</x:v>
      </x:c>
      <x:c r="D1281" s="21" t="str">
        <x:v>F32</x:v>
      </x:c>
      <x:c r="E1281" s="21" t="n">
        <x:v>5</x:v>
      </x:c>
      <x:c r="F1281" s="21" t="str">
        <x:v>Qualification and destructive evidence</x:v>
      </x:c>
      <x:c r="G1281" s="21" t="n">
        <x:v>21</x:v>
      </x:c>
      <x:c r="H1281" s="21" t="str">
        <x:v>Independent Evidence and Data Authority</x:v>
      </x:c>
      <x:c r="I1281" s="44" t="n">
        <x:f>Lifecycle!G11</x:f>
        <x:v>0.1515251334079979</x:v>
      </x:c>
      <x:c r="J1281" s="44" t="n">
        <x:v>0.08928571428571429</x:v>
      </x:c>
      <x:c r="K1281" s="44" t="n">
        <x:f>I1281*J1281</x:f>
        <x:v>0.013529029768571241</x:v>
      </x:c>
      <x:c r="L1281" s="46" t="n">
        <x:v>0</x:v>
      </x:c>
      <x:c r="M1281" s="46" t="n">
        <x:v>0</x:v>
      </x:c>
      <x:c r="N1281" s="21" t="n">
        <x:f>IF(AND(L1280=1,M1280=1,P1280&gt;0),1,0)</x:f>
        <x:v>0</x:v>
      </x:c>
      <x:c r="O1281" s="21" t="n">
        <x:f>MIN('Root Data'!I388:I390)</x:f>
        <x:v>0</x:v>
      </x:c>
      <x:c r="P1281" s="44" t="n">
        <x:f>IF(AND(L1281=1,M1281=1,N1281=1,O1281&gt;=G1281),K1281,0)</x:f>
        <x:v>0</x:v>
      </x:c>
      <x:c r="Q1281" s="21" t="str">
        <x:v>OPEN</x:v>
      </x:c>
      <x:c r="R1281" s="23" t="str">
        <x:v>HOLD</x:v>
      </x:c>
    </x:row>
    <x:row r="1282">
      <x:c r="B1282" s="21" t="str">
        <x:v>AR-01276</x:v>
      </x:c>
      <x:c r="C1282" s="21" t="str">
        <x:v>F32-I4</x:v>
      </x:c>
      <x:c r="D1282" s="21" t="str">
        <x:v>F32</x:v>
      </x:c>
      <x:c r="E1282" s="21" t="n">
        <x:v>6</x:v>
      </x:c>
      <x:c r="F1282" s="21" t="str">
        <x:v>Representative mission result</x:v>
      </x:c>
      <x:c r="G1282" s="21" t="n">
        <x:v>23</x:v>
      </x:c>
      <x:c r="H1282" s="21" t="str">
        <x:v>Receiving Service Authority</x:v>
      </x:c>
      <x:c r="I1282" s="44" t="n">
        <x:f>Lifecycle!G12</x:f>
        <x:v>0.250345872587127</x:v>
      </x:c>
      <x:c r="J1282" s="44" t="n">
        <x:v>0.08928571428571429</x:v>
      </x:c>
      <x:c r="K1282" s="44" t="n">
        <x:f>I1282*J1282</x:f>
        <x:v>0.022352310052422053</x:v>
      </x:c>
      <x:c r="L1282" s="46" t="n">
        <x:v>0</x:v>
      </x:c>
      <x:c r="M1282" s="46" t="n">
        <x:v>0</x:v>
      </x:c>
      <x:c r="N1282" s="21" t="n">
        <x:f>IF(AND(L1281=1,M1281=1,P1281&gt;0),1,0)</x:f>
        <x:v>0</x:v>
      </x:c>
      <x:c r="O1282" s="21" t="n">
        <x:f>MIN('Root Data'!I388:I390)</x:f>
        <x:v>0</x:v>
      </x:c>
      <x:c r="P1282" s="44" t="n">
        <x:f>IF(AND(L1282=1,M1282=1,N1282=1,O1282&gt;=G1282),K1282,0)</x:f>
        <x:v>0</x:v>
      </x:c>
      <x:c r="Q1282" s="21" t="str">
        <x:v>OPEN</x:v>
      </x:c>
      <x:c r="R1282" s="23" t="str">
        <x:v>HOLD</x:v>
      </x:c>
    </x:row>
    <x:row r="1283">
      <x:c r="B1283" s="21" t="str">
        <x:v>AR-01277</x:v>
      </x:c>
      <x:c r="C1283" s="21" t="str">
        <x:v>F32-I4</x:v>
      </x:c>
      <x:c r="D1283" s="21" t="str">
        <x:v>F32</x:v>
      </x:c>
      <x:c r="E1283" s="21" t="n">
        <x:v>7</x:v>
      </x:c>
      <x:c r="F1283" s="21" t="str">
        <x:v>Independent reproduction</x:v>
      </x:c>
      <x:c r="G1283" s="21" t="n">
        <x:v>28</x:v>
      </x:c>
      <x:c r="H1283" s="21" t="str">
        <x:v>Independent Evidence and Data Authority</x:v>
      </x:c>
      <x:c r="I1283" s="44" t="n">
        <x:f>Lifecycle!G13</x:f>
        <x:v>0.21740562619408393</x:v>
      </x:c>
      <x:c r="J1283" s="44" t="n">
        <x:v>0.08928571428571429</x:v>
      </x:c>
      <x:c r="K1283" s="44" t="n">
        <x:f>I1283*J1283</x:f>
        <x:v>0.019411216624471782</x:v>
      </x:c>
      <x:c r="L1283" s="46" t="n">
        <x:v>0</x:v>
      </x:c>
      <x:c r="M1283" s="46" t="n">
        <x:v>0</x:v>
      </x:c>
      <x:c r="N1283" s="21" t="n">
        <x:f>IF(AND(L1282=1,M1282=1,P1282&gt;0),1,0)</x:f>
        <x:v>0</x:v>
      </x:c>
      <x:c r="O1283" s="21" t="n">
        <x:f>MIN('Root Data'!I388:I390)</x:f>
        <x:v>0</x:v>
      </x:c>
      <x:c r="P1283" s="44" t="n">
        <x:f>IF(AND(L1283=1,M1283=1,N1283=1,O1283&gt;=G1283),K1283,0)</x:f>
        <x:v>0</x:v>
      </x:c>
      <x:c r="Q1283" s="21" t="str">
        <x:v>OPEN</x:v>
      </x:c>
      <x:c r="R1283" s="23" t="str">
        <x:v>HOLD</x:v>
      </x:c>
    </x:row>
    <x:row r="1284">
      <x:c r="B1284" s="21" t="str">
        <x:v>AR-01278</x:v>
      </x:c>
      <x:c r="C1284" s="21" t="str">
        <x:v>F32-I4</x:v>
      </x:c>
      <x:c r="D1284" s="21" t="str">
        <x:v>F32</x:v>
      </x:c>
      <x:c r="E1284" s="21" t="n">
        <x:v>8</x:v>
      </x:c>
      <x:c r="F1284" s="21" t="str">
        <x:v>Pilot-process qualification</x:v>
      </x:c>
      <x:c r="G1284" s="21" t="n">
        <x:v>28</x:v>
      </x:c>
      <x:c r="H1284" s="21" t="str">
        <x:v>AIMC Industrial Mobilization Authority</x:v>
      </x:c>
      <x:c r="I1284" s="44" t="n">
        <x:f>Lifecycle!G14</x:f>
        <x:v>0.03952829567165163</x:v>
      </x:c>
      <x:c r="J1284" s="44" t="n">
        <x:v>0.08928571428571429</x:v>
      </x:c>
      <x:c r="K1284" s="44" t="n">
        <x:f>I1284*J1284</x:f>
        <x:v>0.003529312113540324</x:v>
      </x:c>
      <x:c r="L1284" s="46" t="n">
        <x:v>0</x:v>
      </x:c>
      <x:c r="M1284" s="46" t="n">
        <x:v>0</x:v>
      </x:c>
      <x:c r="N1284" s="21" t="n">
        <x:f>IF(AND(L1283=1,M1283=1,P1283&gt;0),1,0)</x:f>
        <x:v>0</x:v>
      </x:c>
      <x:c r="O1284" s="21" t="n">
        <x:f>MIN('Root Data'!I388:I390)</x:f>
        <x:v>0</x:v>
      </x:c>
      <x:c r="P1284" s="44" t="n">
        <x:f>IF(AND(L1284=1,M1284=1,N1284=1,O1284&gt;=G1284),K1284,0)</x:f>
        <x:v>0</x:v>
      </x:c>
      <x:c r="Q1284" s="21" t="str">
        <x:v>OPEN</x:v>
      </x:c>
      <x:c r="R1284" s="23" t="str">
        <x:v>HOLD</x:v>
      </x:c>
    </x:row>
    <x:row r="1285">
      <x:c r="B1285" s="21" t="str">
        <x:v>AR-01279</x:v>
      </x:c>
      <x:c r="C1285" s="21" t="str">
        <x:v>F32-I4</x:v>
      </x:c>
      <x:c r="D1285" s="21" t="str">
        <x:v>F32</x:v>
      </x:c>
      <x:c r="E1285" s="21" t="n">
        <x:v>9</x:v>
      </x:c>
      <x:c r="F1285" s="21" t="str">
        <x:v>Production release package</x:v>
      </x:c>
      <x:c r="G1285" s="21" t="n">
        <x:v>28</x:v>
      </x:c>
      <x:c r="H1285" s="21" t="str">
        <x:v>Production Release Board</x:v>
      </x:c>
      <x:c r="I1285" s="44" t="n">
        <x:f>Lifecycle!G15</x:f>
        <x:v>0.01647012319652151</x:v>
      </x:c>
      <x:c r="J1285" s="44" t="n">
        <x:v>0.08928571428571429</x:v>
      </x:c>
      <x:c r="K1285" s="44" t="n">
        <x:f>I1285*J1285</x:f>
        <x:v>0.001470546713975135</x:v>
      </x:c>
      <x:c r="L1285" s="46" t="n">
        <x:v>0</x:v>
      </x:c>
      <x:c r="M1285" s="46" t="n">
        <x:v>0</x:v>
      </x:c>
      <x:c r="N1285" s="21" t="n">
        <x:f>IF(AND(L1284=1,M1284=1,P1284&gt;0),1,0)</x:f>
        <x:v>0</x:v>
      </x:c>
      <x:c r="O1285" s="21" t="n">
        <x:f>MIN('Root Data'!I388:I390)</x:f>
        <x:v>0</x:v>
      </x:c>
      <x:c r="P1285" s="44" t="n">
        <x:f>IF(AND(L1285=1,M1285=1,N1285=1,O1285&gt;=G1285),K1285,0)</x:f>
        <x:v>0</x:v>
      </x:c>
      <x:c r="Q1285" s="21" t="str">
        <x:v>OPEN</x:v>
      </x:c>
      <x:c r="R1285" s="23" t="str">
        <x:v>HOLD</x:v>
      </x:c>
    </x:row>
    <x:row r="1286">
      <x:c r="B1286" s="21" t="str">
        <x:v>AR-01280</x:v>
      </x:c>
      <x:c r="C1286" s="21" t="str">
        <x:v>F32-I4</x:v>
      </x:c>
      <x:c r="D1286" s="21" t="str">
        <x:v>F32</x:v>
      </x:c>
      <x:c r="E1286" s="21" t="n">
        <x:v>10</x:v>
      </x:c>
      <x:c r="F1286" s="21" t="str">
        <x:v>Mobilization activation</x:v>
      </x:c>
      <x:c r="G1286" s="21" t="n">
        <x:v>28</x:v>
      </x:c>
      <x:c r="H1286" s="21" t="str">
        <x:v>Production Release Board</x:v>
      </x:c>
      <x:c r="I1286" s="44" t="n">
        <x:f>Lifecycle!G16</x:f>
        <x:v>0.028262731405230914</x:v>
      </x:c>
      <x:c r="J1286" s="44" t="n">
        <x:v>0.08928571428571429</x:v>
      </x:c>
      <x:c r="K1286" s="44" t="n">
        <x:f>I1286*J1286</x:f>
        <x:v>0.002523458161181332</x:v>
      </x:c>
      <x:c r="L1286" s="46" t="n">
        <x:v>0</x:v>
      </x:c>
      <x:c r="M1286" s="46" t="n">
        <x:v>0</x:v>
      </x:c>
      <x:c r="N1286" s="21" t="n">
        <x:f>IF(AND(L1285=1,M1285=1,P1285&gt;0),1,0)</x:f>
        <x:v>0</x:v>
      </x:c>
      <x:c r="O1286" s="21" t="n">
        <x:f>MIN('Root Data'!I388:I390)</x:f>
        <x:v>0</x:v>
      </x:c>
      <x:c r="P1286" s="44" t="n">
        <x:f>IF(AND(L1286=1,M1286=1,N1286=1,O1286&gt;=G1286),K1286,0)</x:f>
        <x:v>0</x:v>
      </x:c>
      <x:c r="Q1286" s="21" t="str">
        <x:v>OPEN</x:v>
      </x:c>
      <x:c r="R1286" s="23" t="str">
        <x:v>HOLD</x:v>
      </x:c>
    </x:row>
    <x:row r="1287">
      <x:c r="B1287" s="21" t="str">
        <x:v>AR-01281</x:v>
      </x:c>
      <x:c r="C1287" s="21" t="str">
        <x:v>F33-I1</x:v>
      </x:c>
      <x:c r="D1287" s="21" t="str">
        <x:v>F33</x:v>
      </x:c>
      <x:c r="E1287" s="21" t="n">
        <x:v>1</x:v>
      </x:c>
      <x:c r="F1287" s="21" t="str">
        <x:v>Civil effect charter</x:v>
      </x:c>
      <x:c r="G1287" s="21" t="n">
        <x:v>0</x:v>
      </x:c>
      <x:c r="H1287" s="21" t="str">
        <x:v>Civil Guarantee Authority</x:v>
      </x:c>
      <x:c r="I1287" s="44" t="n">
        <x:f>Lifecycle!G7</x:f>
        <x:v>0.04941036958956453</x:v>
      </x:c>
      <x:c r="J1287" s="44" t="n">
        <x:v>0.08928571428571429</x:v>
      </x:c>
      <x:c r="K1287" s="44" t="n">
        <x:f>I1287*J1287</x:f>
        <x:v>0.004411640141925405</x:v>
      </x:c>
      <x:c r="L1287" s="46" t="n">
        <x:v>0</x:v>
      </x:c>
      <x:c r="M1287" s="46" t="n">
        <x:v>0</x:v>
      </x:c>
      <x:c r="N1287" s="21" t="n">
        <x:f>1</x:f>
        <x:v>1</x:v>
      </x:c>
      <x:c r="O1287" s="21" t="n">
        <x:f>MIN('Root Data'!I391:I393)</x:f>
        <x:v>0</x:v>
      </x:c>
      <x:c r="P1287" s="44" t="n">
        <x:f>IF(AND(L1287=1,M1287=1,N1287=1,O1287&gt;=G1287),K1287,0)</x:f>
        <x:v>0</x:v>
      </x:c>
      <x:c r="Q1287" s="21" t="str">
        <x:v>OPEN</x:v>
      </x:c>
      <x:c r="R1287" s="23" t="str">
        <x:v>HOLD</x:v>
      </x:c>
    </x:row>
    <x:row r="1288">
      <x:c r="B1288" s="21" t="str">
        <x:v>AR-01282</x:v>
      </x:c>
      <x:c r="C1288" s="21" t="str">
        <x:v>F33-I1</x:v>
      </x:c>
      <x:c r="D1288" s="21" t="str">
        <x:v>F33</x:v>
      </x:c>
      <x:c r="E1288" s="21" t="n">
        <x:v>2</x:v>
      </x:c>
      <x:c r="F1288" s="21" t="str">
        <x:v>Requirement and root-independence package</x:v>
      </x:c>
      <x:c r="G1288" s="21" t="n">
        <x:v>8</x:v>
      </x:c>
      <x:c r="H1288" s="21" t="str">
        <x:v>Resilience Staff</x:v>
      </x:c>
      <x:c r="I1288" s="44" t="n">
        <x:f>Lifecycle!G8</x:f>
        <x:v>0.10211476381843337</x:v>
      </x:c>
      <x:c r="J1288" s="44" t="n">
        <x:v>0.08928571428571429</x:v>
      </x:c>
      <x:c r="K1288" s="44" t="n">
        <x:f>I1288*J1288</x:f>
        <x:v>0.009117389626645838</x:v>
      </x:c>
      <x:c r="L1288" s="46" t="n">
        <x:v>0</x:v>
      </x:c>
      <x:c r="M1288" s="46" t="n">
        <x:v>0</x:v>
      </x:c>
      <x:c r="N1288" s="21" t="n">
        <x:f>IF(AND(L1287=1,M1287=1,P1287&gt;0),1,0)</x:f>
        <x:v>0</x:v>
      </x:c>
      <x:c r="O1288" s="21" t="n">
        <x:f>MIN('Root Data'!I391:I393)</x:f>
        <x:v>0</x:v>
      </x:c>
      <x:c r="P1288" s="44" t="n">
        <x:f>IF(AND(L1288=1,M1288=1,N1288=1,O1288&gt;=G1288),K1288,0)</x:f>
        <x:v>0</x:v>
      </x:c>
      <x:c r="Q1288" s="21" t="str">
        <x:v>OPEN</x:v>
      </x:c>
      <x:c r="R1288" s="23" t="str">
        <x:v>HOLD</x:v>
      </x:c>
    </x:row>
    <x:row r="1289">
      <x:c r="B1289" s="21" t="str">
        <x:v>AR-01283</x:v>
      </x:c>
      <x:c r="C1289" s="21" t="str">
        <x:v>F33-I1</x:v>
      </x:c>
      <x:c r="D1289" s="21" t="str">
        <x:v>F33</x:v>
      </x:c>
      <x:c r="E1289" s="21" t="n">
        <x:v>3</x:v>
      </x:c>
      <x:c r="F1289" s="21" t="str">
        <x:v>Architecture and burden closure</x:v>
      </x:c>
      <x:c r="G1289" s="21" t="n">
        <x:v>14</x:v>
      </x:c>
      <x:c r="H1289" s="21" t="str">
        <x:v>Independent Evidence and Data Authority</x:v>
      </x:c>
      <x:c r="I1289" s="44" t="n">
        <x:f>Lifecycle!G9</x:f>
        <x:v>0.08564464062191186</x:v>
      </x:c>
      <x:c r="J1289" s="44" t="n">
        <x:v>0.08928571428571429</x:v>
      </x:c>
      <x:c r="K1289" s="44" t="n">
        <x:f>I1289*J1289</x:f>
        <x:v>0.007646842912670702</x:v>
      </x:c>
      <x:c r="L1289" s="46" t="n">
        <x:v>0</x:v>
      </x:c>
      <x:c r="M1289" s="46" t="n">
        <x:v>0</x:v>
      </x:c>
      <x:c r="N1289" s="21" t="n">
        <x:f>IF(AND(L1288=1,M1288=1,P1288&gt;0),1,0)</x:f>
        <x:v>0</x:v>
      </x:c>
      <x:c r="O1289" s="21" t="n">
        <x:f>MIN('Root Data'!I391:I393)</x:f>
        <x:v>0</x:v>
      </x:c>
      <x:c r="P1289" s="44" t="n">
        <x:f>IF(AND(L1289=1,M1289=1,N1289=1,O1289&gt;=G1289),K1289,0)</x:f>
        <x:v>0</x:v>
      </x:c>
      <x:c r="Q1289" s="21" t="str">
        <x:v>OPEN</x:v>
      </x:c>
      <x:c r="R1289" s="23" t="str">
        <x:v>HOLD</x:v>
      </x:c>
    </x:row>
    <x:row r="1290">
      <x:c r="B1290" s="21" t="str">
        <x:v>AR-01284</x:v>
      </x:c>
      <x:c r="C1290" s="21" t="str">
        <x:v>F33-I1</x:v>
      </x:c>
      <x:c r="D1290" s="21" t="str">
        <x:v>F33</x:v>
      </x:c>
      <x:c r="E1290" s="21" t="n">
        <x:v>4</x:v>
      </x:c>
      <x:c r="F1290" s="21" t="str">
        <x:v>Engineering article acceptance</x:v>
      </x:c>
      <x:c r="G1290" s="21" t="n">
        <x:v>18</x:v>
      </x:c>
      <x:c r="H1290" s="21" t="str">
        <x:v>Independent Evidence and Data Authority</x:v>
      </x:c>
      <x:c r="I1290" s="44" t="n">
        <x:f>Lifecycle!G10</x:f>
        <x:v>0.05929244350747744</x:v>
      </x:c>
      <x:c r="J1290" s="44" t="n">
        <x:v>0.08928571428571429</x:v>
      </x:c>
      <x:c r="K1290" s="44" t="n">
        <x:f>I1290*J1290</x:f>
        <x:v>0.005293968170310486</x:v>
      </x:c>
      <x:c r="L1290" s="46" t="n">
        <x:v>0</x:v>
      </x:c>
      <x:c r="M1290" s="46" t="n">
        <x:v>0</x:v>
      </x:c>
      <x:c r="N1290" s="21" t="n">
        <x:f>IF(AND(L1289=1,M1289=1,P1289&gt;0),1,0)</x:f>
        <x:v>0</x:v>
      </x:c>
      <x:c r="O1290" s="21" t="n">
        <x:f>MIN('Root Data'!I391:I393)</x:f>
        <x:v>0</x:v>
      </x:c>
      <x:c r="P1290" s="44" t="n">
        <x:f>IF(AND(L1290=1,M1290=1,N1290=1,O1290&gt;=G1290),K1290,0)</x:f>
        <x:v>0</x:v>
      </x:c>
      <x:c r="Q1290" s="21" t="str">
        <x:v>OPEN</x:v>
      </x:c>
      <x:c r="R1290" s="23" t="str">
        <x:v>HOLD</x:v>
      </x:c>
    </x:row>
    <x:row r="1291">
      <x:c r="B1291" s="21" t="str">
        <x:v>AR-01285</x:v>
      </x:c>
      <x:c r="C1291" s="21" t="str">
        <x:v>F33-I1</x:v>
      </x:c>
      <x:c r="D1291" s="21" t="str">
        <x:v>F33</x:v>
      </x:c>
      <x:c r="E1291" s="21" t="n">
        <x:v>5</x:v>
      </x:c>
      <x:c r="F1291" s="21" t="str">
        <x:v>Qualification and destructive evidence</x:v>
      </x:c>
      <x:c r="G1291" s="21" t="n">
        <x:v>21</x:v>
      </x:c>
      <x:c r="H1291" s="21" t="str">
        <x:v>Independent Evidence and Data Authority</x:v>
      </x:c>
      <x:c r="I1291" s="44" t="n">
        <x:f>Lifecycle!G11</x:f>
        <x:v>0.1515251334079979</x:v>
      </x:c>
      <x:c r="J1291" s="44" t="n">
        <x:v>0.08928571428571429</x:v>
      </x:c>
      <x:c r="K1291" s="44" t="n">
        <x:f>I1291*J1291</x:f>
        <x:v>0.013529029768571241</x:v>
      </x:c>
      <x:c r="L1291" s="46" t="n">
        <x:v>0</x:v>
      </x:c>
      <x:c r="M1291" s="46" t="n">
        <x:v>0</x:v>
      </x:c>
      <x:c r="N1291" s="21" t="n">
        <x:f>IF(AND(L1290=1,M1290=1,P1290&gt;0),1,0)</x:f>
        <x:v>0</x:v>
      </x:c>
      <x:c r="O1291" s="21" t="n">
        <x:f>MIN('Root Data'!I391:I393)</x:f>
        <x:v>0</x:v>
      </x:c>
      <x:c r="P1291" s="44" t="n">
        <x:f>IF(AND(L1291=1,M1291=1,N1291=1,O1291&gt;=G1291),K1291,0)</x:f>
        <x:v>0</x:v>
      </x:c>
      <x:c r="Q1291" s="21" t="str">
        <x:v>OPEN</x:v>
      </x:c>
      <x:c r="R1291" s="23" t="str">
        <x:v>HOLD</x:v>
      </x:c>
    </x:row>
    <x:row r="1292">
      <x:c r="B1292" s="21" t="str">
        <x:v>AR-01286</x:v>
      </x:c>
      <x:c r="C1292" s="21" t="str">
        <x:v>F33-I1</x:v>
      </x:c>
      <x:c r="D1292" s="21" t="str">
        <x:v>F33</x:v>
      </x:c>
      <x:c r="E1292" s="21" t="n">
        <x:v>6</x:v>
      </x:c>
      <x:c r="F1292" s="21" t="str">
        <x:v>Representative mission result</x:v>
      </x:c>
      <x:c r="G1292" s="21" t="n">
        <x:v>23</x:v>
      </x:c>
      <x:c r="H1292" s="21" t="str">
        <x:v>Receiving Service Authority</x:v>
      </x:c>
      <x:c r="I1292" s="44" t="n">
        <x:f>Lifecycle!G12</x:f>
        <x:v>0.250345872587127</x:v>
      </x:c>
      <x:c r="J1292" s="44" t="n">
        <x:v>0.08928571428571429</x:v>
      </x:c>
      <x:c r="K1292" s="44" t="n">
        <x:f>I1292*J1292</x:f>
        <x:v>0.022352310052422053</x:v>
      </x:c>
      <x:c r="L1292" s="46" t="n">
        <x:v>0</x:v>
      </x:c>
      <x:c r="M1292" s="46" t="n">
        <x:v>0</x:v>
      </x:c>
      <x:c r="N1292" s="21" t="n">
        <x:f>IF(AND(L1291=1,M1291=1,P1291&gt;0),1,0)</x:f>
        <x:v>0</x:v>
      </x:c>
      <x:c r="O1292" s="21" t="n">
        <x:f>MIN('Root Data'!I391:I393)</x:f>
        <x:v>0</x:v>
      </x:c>
      <x:c r="P1292" s="44" t="n">
        <x:f>IF(AND(L1292=1,M1292=1,N1292=1,O1292&gt;=G1292),K1292,0)</x:f>
        <x:v>0</x:v>
      </x:c>
      <x:c r="Q1292" s="21" t="str">
        <x:v>OPEN</x:v>
      </x:c>
      <x:c r="R1292" s="23" t="str">
        <x:v>HOLD</x:v>
      </x:c>
    </x:row>
    <x:row r="1293">
      <x:c r="B1293" s="21" t="str">
        <x:v>AR-01287</x:v>
      </x:c>
      <x:c r="C1293" s="21" t="str">
        <x:v>F33-I1</x:v>
      </x:c>
      <x:c r="D1293" s="21" t="str">
        <x:v>F33</x:v>
      </x:c>
      <x:c r="E1293" s="21" t="n">
        <x:v>7</x:v>
      </x:c>
      <x:c r="F1293" s="21" t="str">
        <x:v>Independent reproduction</x:v>
      </x:c>
      <x:c r="G1293" s="21" t="n">
        <x:v>28</x:v>
      </x:c>
      <x:c r="H1293" s="21" t="str">
        <x:v>Independent Evidence and Data Authority</x:v>
      </x:c>
      <x:c r="I1293" s="44" t="n">
        <x:f>Lifecycle!G13</x:f>
        <x:v>0.21740562619408393</x:v>
      </x:c>
      <x:c r="J1293" s="44" t="n">
        <x:v>0.08928571428571429</x:v>
      </x:c>
      <x:c r="K1293" s="44" t="n">
        <x:f>I1293*J1293</x:f>
        <x:v>0.019411216624471782</x:v>
      </x:c>
      <x:c r="L1293" s="46" t="n">
        <x:v>0</x:v>
      </x:c>
      <x:c r="M1293" s="46" t="n">
        <x:v>0</x:v>
      </x:c>
      <x:c r="N1293" s="21" t="n">
        <x:f>IF(AND(L1292=1,M1292=1,P1292&gt;0),1,0)</x:f>
        <x:v>0</x:v>
      </x:c>
      <x:c r="O1293" s="21" t="n">
        <x:f>MIN('Root Data'!I391:I393)</x:f>
        <x:v>0</x:v>
      </x:c>
      <x:c r="P1293" s="44" t="n">
        <x:f>IF(AND(L1293=1,M1293=1,N1293=1,O1293&gt;=G1293),K1293,0)</x:f>
        <x:v>0</x:v>
      </x:c>
      <x:c r="Q1293" s="21" t="str">
        <x:v>OPEN</x:v>
      </x:c>
      <x:c r="R1293" s="23" t="str">
        <x:v>HOLD</x:v>
      </x:c>
    </x:row>
    <x:row r="1294">
      <x:c r="B1294" s="21" t="str">
        <x:v>AR-01288</x:v>
      </x:c>
      <x:c r="C1294" s="21" t="str">
        <x:v>F33-I1</x:v>
      </x:c>
      <x:c r="D1294" s="21" t="str">
        <x:v>F33</x:v>
      </x:c>
      <x:c r="E1294" s="21" t="n">
        <x:v>8</x:v>
      </x:c>
      <x:c r="F1294" s="21" t="str">
        <x:v>Pilot-process qualification</x:v>
      </x:c>
      <x:c r="G1294" s="21" t="n">
        <x:v>28</x:v>
      </x:c>
      <x:c r="H1294" s="21" t="str">
        <x:v>AIMC Industrial Mobilization Authority</x:v>
      </x:c>
      <x:c r="I1294" s="44" t="n">
        <x:f>Lifecycle!G14</x:f>
        <x:v>0.03952829567165163</x:v>
      </x:c>
      <x:c r="J1294" s="44" t="n">
        <x:v>0.08928571428571429</x:v>
      </x:c>
      <x:c r="K1294" s="44" t="n">
        <x:f>I1294*J1294</x:f>
        <x:v>0.003529312113540324</x:v>
      </x:c>
      <x:c r="L1294" s="46" t="n">
        <x:v>0</x:v>
      </x:c>
      <x:c r="M1294" s="46" t="n">
        <x:v>0</x:v>
      </x:c>
      <x:c r="N1294" s="21" t="n">
        <x:f>IF(AND(L1293=1,M1293=1,P1293&gt;0),1,0)</x:f>
        <x:v>0</x:v>
      </x:c>
      <x:c r="O1294" s="21" t="n">
        <x:f>MIN('Root Data'!I391:I393)</x:f>
        <x:v>0</x:v>
      </x:c>
      <x:c r="P1294" s="44" t="n">
        <x:f>IF(AND(L1294=1,M1294=1,N1294=1,O1294&gt;=G1294),K1294,0)</x:f>
        <x:v>0</x:v>
      </x:c>
      <x:c r="Q1294" s="21" t="str">
        <x:v>OPEN</x:v>
      </x:c>
      <x:c r="R1294" s="23" t="str">
        <x:v>HOLD</x:v>
      </x:c>
    </x:row>
    <x:row r="1295">
      <x:c r="B1295" s="21" t="str">
        <x:v>AR-01289</x:v>
      </x:c>
      <x:c r="C1295" s="21" t="str">
        <x:v>F33-I1</x:v>
      </x:c>
      <x:c r="D1295" s="21" t="str">
        <x:v>F33</x:v>
      </x:c>
      <x:c r="E1295" s="21" t="n">
        <x:v>9</x:v>
      </x:c>
      <x:c r="F1295" s="21" t="str">
        <x:v>Production release package</x:v>
      </x:c>
      <x:c r="G1295" s="21" t="n">
        <x:v>28</x:v>
      </x:c>
      <x:c r="H1295" s="21" t="str">
        <x:v>Production Release Board</x:v>
      </x:c>
      <x:c r="I1295" s="44" t="n">
        <x:f>Lifecycle!G15</x:f>
        <x:v>0.01647012319652151</x:v>
      </x:c>
      <x:c r="J1295" s="44" t="n">
        <x:v>0.08928571428571429</x:v>
      </x:c>
      <x:c r="K1295" s="44" t="n">
        <x:f>I1295*J1295</x:f>
        <x:v>0.001470546713975135</x:v>
      </x:c>
      <x:c r="L1295" s="46" t="n">
        <x:v>0</x:v>
      </x:c>
      <x:c r="M1295" s="46" t="n">
        <x:v>0</x:v>
      </x:c>
      <x:c r="N1295" s="21" t="n">
        <x:f>IF(AND(L1294=1,M1294=1,P1294&gt;0),1,0)</x:f>
        <x:v>0</x:v>
      </x:c>
      <x:c r="O1295" s="21" t="n">
        <x:f>MIN('Root Data'!I391:I393)</x:f>
        <x:v>0</x:v>
      </x:c>
      <x:c r="P1295" s="44" t="n">
        <x:f>IF(AND(L1295=1,M1295=1,N1295=1,O1295&gt;=G1295),K1295,0)</x:f>
        <x:v>0</x:v>
      </x:c>
      <x:c r="Q1295" s="21" t="str">
        <x:v>OPEN</x:v>
      </x:c>
      <x:c r="R1295" s="23" t="str">
        <x:v>HOLD</x:v>
      </x:c>
    </x:row>
    <x:row r="1296">
      <x:c r="B1296" s="21" t="str">
        <x:v>AR-01290</x:v>
      </x:c>
      <x:c r="C1296" s="21" t="str">
        <x:v>F33-I1</x:v>
      </x:c>
      <x:c r="D1296" s="21" t="str">
        <x:v>F33</x:v>
      </x:c>
      <x:c r="E1296" s="21" t="n">
        <x:v>10</x:v>
      </x:c>
      <x:c r="F1296" s="21" t="str">
        <x:v>Mobilization activation</x:v>
      </x:c>
      <x:c r="G1296" s="21" t="n">
        <x:v>28</x:v>
      </x:c>
      <x:c r="H1296" s="21" t="str">
        <x:v>Production Release Board</x:v>
      </x:c>
      <x:c r="I1296" s="44" t="n">
        <x:f>Lifecycle!G16</x:f>
        <x:v>0.028262731405230914</x:v>
      </x:c>
      <x:c r="J1296" s="44" t="n">
        <x:v>0.08928571428571429</x:v>
      </x:c>
      <x:c r="K1296" s="44" t="n">
        <x:f>I1296*J1296</x:f>
        <x:v>0.002523458161181332</x:v>
      </x:c>
      <x:c r="L1296" s="46" t="n">
        <x:v>0</x:v>
      </x:c>
      <x:c r="M1296" s="46" t="n">
        <x:v>0</x:v>
      </x:c>
      <x:c r="N1296" s="21" t="n">
        <x:f>IF(AND(L1295=1,M1295=1,P1295&gt;0),1,0)</x:f>
        <x:v>0</x:v>
      </x:c>
      <x:c r="O1296" s="21" t="n">
        <x:f>MIN('Root Data'!I391:I393)</x:f>
        <x:v>0</x:v>
      </x:c>
      <x:c r="P1296" s="44" t="n">
        <x:f>IF(AND(L1296=1,M1296=1,N1296=1,O1296&gt;=G1296),K1296,0)</x:f>
        <x:v>0</x:v>
      </x:c>
      <x:c r="Q1296" s="21" t="str">
        <x:v>OPEN</x:v>
      </x:c>
      <x:c r="R1296" s="23" t="str">
        <x:v>HOLD</x:v>
      </x:c>
    </x:row>
    <x:row r="1297">
      <x:c r="B1297" s="21" t="str">
        <x:v>AR-01291</x:v>
      </x:c>
      <x:c r="C1297" s="21" t="str">
        <x:v>F33-I2</x:v>
      </x:c>
      <x:c r="D1297" s="21" t="str">
        <x:v>F33</x:v>
      </x:c>
      <x:c r="E1297" s="21" t="n">
        <x:v>1</x:v>
      </x:c>
      <x:c r="F1297" s="21" t="str">
        <x:v>Civil effect charter</x:v>
      </x:c>
      <x:c r="G1297" s="21" t="n">
        <x:v>0</x:v>
      </x:c>
      <x:c r="H1297" s="21" t="str">
        <x:v>Civil Guarantee Authority</x:v>
      </x:c>
      <x:c r="I1297" s="44" t="n">
        <x:f>Lifecycle!G7</x:f>
        <x:v>0.04941036958956453</x:v>
      </x:c>
      <x:c r="J1297" s="44" t="n">
        <x:v>0.08928571428571429</x:v>
      </x:c>
      <x:c r="K1297" s="44" t="n">
        <x:f>I1297*J1297</x:f>
        <x:v>0.004411640141925405</x:v>
      </x:c>
      <x:c r="L1297" s="46" t="n">
        <x:v>0</x:v>
      </x:c>
      <x:c r="M1297" s="46" t="n">
        <x:v>0</x:v>
      </x:c>
      <x:c r="N1297" s="21" t="n">
        <x:f>1</x:f>
        <x:v>1</x:v>
      </x:c>
      <x:c r="O1297" s="21" t="n">
        <x:f>MIN('Root Data'!I394:I396)</x:f>
        <x:v>0</x:v>
      </x:c>
      <x:c r="P1297" s="44" t="n">
        <x:f>IF(AND(L1297=1,M1297=1,N1297=1,O1297&gt;=G1297),K1297,0)</x:f>
        <x:v>0</x:v>
      </x:c>
      <x:c r="Q1297" s="21" t="str">
        <x:v>OPEN</x:v>
      </x:c>
      <x:c r="R1297" s="23" t="str">
        <x:v>HOLD</x:v>
      </x:c>
    </x:row>
    <x:row r="1298">
      <x:c r="B1298" s="21" t="str">
        <x:v>AR-01292</x:v>
      </x:c>
      <x:c r="C1298" s="21" t="str">
        <x:v>F33-I2</x:v>
      </x:c>
      <x:c r="D1298" s="21" t="str">
        <x:v>F33</x:v>
      </x:c>
      <x:c r="E1298" s="21" t="n">
        <x:v>2</x:v>
      </x:c>
      <x:c r="F1298" s="21" t="str">
        <x:v>Requirement and root-independence package</x:v>
      </x:c>
      <x:c r="G1298" s="21" t="n">
        <x:v>8</x:v>
      </x:c>
      <x:c r="H1298" s="21" t="str">
        <x:v>Resilience Staff</x:v>
      </x:c>
      <x:c r="I1298" s="44" t="n">
        <x:f>Lifecycle!G8</x:f>
        <x:v>0.10211476381843337</x:v>
      </x:c>
      <x:c r="J1298" s="44" t="n">
        <x:v>0.08928571428571429</x:v>
      </x:c>
      <x:c r="K1298" s="44" t="n">
        <x:f>I1298*J1298</x:f>
        <x:v>0.009117389626645838</x:v>
      </x:c>
      <x:c r="L1298" s="46" t="n">
        <x:v>0</x:v>
      </x:c>
      <x:c r="M1298" s="46" t="n">
        <x:v>0</x:v>
      </x:c>
      <x:c r="N1298" s="21" t="n">
        <x:f>IF(AND(L1297=1,M1297=1,P1297&gt;0),1,0)</x:f>
        <x:v>0</x:v>
      </x:c>
      <x:c r="O1298" s="21" t="n">
        <x:f>MIN('Root Data'!I394:I396)</x:f>
        <x:v>0</x:v>
      </x:c>
      <x:c r="P1298" s="44" t="n">
        <x:f>IF(AND(L1298=1,M1298=1,N1298=1,O1298&gt;=G1298),K1298,0)</x:f>
        <x:v>0</x:v>
      </x:c>
      <x:c r="Q1298" s="21" t="str">
        <x:v>OPEN</x:v>
      </x:c>
      <x:c r="R1298" s="23" t="str">
        <x:v>HOLD</x:v>
      </x:c>
    </x:row>
    <x:row r="1299">
      <x:c r="B1299" s="21" t="str">
        <x:v>AR-01293</x:v>
      </x:c>
      <x:c r="C1299" s="21" t="str">
        <x:v>F33-I2</x:v>
      </x:c>
      <x:c r="D1299" s="21" t="str">
        <x:v>F33</x:v>
      </x:c>
      <x:c r="E1299" s="21" t="n">
        <x:v>3</x:v>
      </x:c>
      <x:c r="F1299" s="21" t="str">
        <x:v>Architecture and burden closure</x:v>
      </x:c>
      <x:c r="G1299" s="21" t="n">
        <x:v>14</x:v>
      </x:c>
      <x:c r="H1299" s="21" t="str">
        <x:v>Independent Evidence and Data Authority</x:v>
      </x:c>
      <x:c r="I1299" s="44" t="n">
        <x:f>Lifecycle!G9</x:f>
        <x:v>0.08564464062191186</x:v>
      </x:c>
      <x:c r="J1299" s="44" t="n">
        <x:v>0.08928571428571429</x:v>
      </x:c>
      <x:c r="K1299" s="44" t="n">
        <x:f>I1299*J1299</x:f>
        <x:v>0.007646842912670702</x:v>
      </x:c>
      <x:c r="L1299" s="46" t="n">
        <x:v>0</x:v>
      </x:c>
      <x:c r="M1299" s="46" t="n">
        <x:v>0</x:v>
      </x:c>
      <x:c r="N1299" s="21" t="n">
        <x:f>IF(AND(L1298=1,M1298=1,P1298&gt;0),1,0)</x:f>
        <x:v>0</x:v>
      </x:c>
      <x:c r="O1299" s="21" t="n">
        <x:f>MIN('Root Data'!I394:I396)</x:f>
        <x:v>0</x:v>
      </x:c>
      <x:c r="P1299" s="44" t="n">
        <x:f>IF(AND(L1299=1,M1299=1,N1299=1,O1299&gt;=G1299),K1299,0)</x:f>
        <x:v>0</x:v>
      </x:c>
      <x:c r="Q1299" s="21" t="str">
        <x:v>OPEN</x:v>
      </x:c>
      <x:c r="R1299" s="23" t="str">
        <x:v>HOLD</x:v>
      </x:c>
    </x:row>
    <x:row r="1300">
      <x:c r="B1300" s="21" t="str">
        <x:v>AR-01294</x:v>
      </x:c>
      <x:c r="C1300" s="21" t="str">
        <x:v>F33-I2</x:v>
      </x:c>
      <x:c r="D1300" s="21" t="str">
        <x:v>F33</x:v>
      </x:c>
      <x:c r="E1300" s="21" t="n">
        <x:v>4</x:v>
      </x:c>
      <x:c r="F1300" s="21" t="str">
        <x:v>Engineering article acceptance</x:v>
      </x:c>
      <x:c r="G1300" s="21" t="n">
        <x:v>18</x:v>
      </x:c>
      <x:c r="H1300" s="21" t="str">
        <x:v>Independent Evidence and Data Authority</x:v>
      </x:c>
      <x:c r="I1300" s="44" t="n">
        <x:f>Lifecycle!G10</x:f>
        <x:v>0.05929244350747744</x:v>
      </x:c>
      <x:c r="J1300" s="44" t="n">
        <x:v>0.08928571428571429</x:v>
      </x:c>
      <x:c r="K1300" s="44" t="n">
        <x:f>I1300*J1300</x:f>
        <x:v>0.005293968170310486</x:v>
      </x:c>
      <x:c r="L1300" s="46" t="n">
        <x:v>0</x:v>
      </x:c>
      <x:c r="M1300" s="46" t="n">
        <x:v>0</x:v>
      </x:c>
      <x:c r="N1300" s="21" t="n">
        <x:f>IF(AND(L1299=1,M1299=1,P1299&gt;0),1,0)</x:f>
        <x:v>0</x:v>
      </x:c>
      <x:c r="O1300" s="21" t="n">
        <x:f>MIN('Root Data'!I394:I396)</x:f>
        <x:v>0</x:v>
      </x:c>
      <x:c r="P1300" s="44" t="n">
        <x:f>IF(AND(L1300=1,M1300=1,N1300=1,O1300&gt;=G1300),K1300,0)</x:f>
        <x:v>0</x:v>
      </x:c>
      <x:c r="Q1300" s="21" t="str">
        <x:v>OPEN</x:v>
      </x:c>
      <x:c r="R1300" s="23" t="str">
        <x:v>HOLD</x:v>
      </x:c>
    </x:row>
    <x:row r="1301">
      <x:c r="B1301" s="21" t="str">
        <x:v>AR-01295</x:v>
      </x:c>
      <x:c r="C1301" s="21" t="str">
        <x:v>F33-I2</x:v>
      </x:c>
      <x:c r="D1301" s="21" t="str">
        <x:v>F33</x:v>
      </x:c>
      <x:c r="E1301" s="21" t="n">
        <x:v>5</x:v>
      </x:c>
      <x:c r="F1301" s="21" t="str">
        <x:v>Qualification and destructive evidence</x:v>
      </x:c>
      <x:c r="G1301" s="21" t="n">
        <x:v>21</x:v>
      </x:c>
      <x:c r="H1301" s="21" t="str">
        <x:v>Independent Evidence and Data Authority</x:v>
      </x:c>
      <x:c r="I1301" s="44" t="n">
        <x:f>Lifecycle!G11</x:f>
        <x:v>0.1515251334079979</x:v>
      </x:c>
      <x:c r="J1301" s="44" t="n">
        <x:v>0.08928571428571429</x:v>
      </x:c>
      <x:c r="K1301" s="44" t="n">
        <x:f>I1301*J1301</x:f>
        <x:v>0.013529029768571241</x:v>
      </x:c>
      <x:c r="L1301" s="46" t="n">
        <x:v>0</x:v>
      </x:c>
      <x:c r="M1301" s="46" t="n">
        <x:v>0</x:v>
      </x:c>
      <x:c r="N1301" s="21" t="n">
        <x:f>IF(AND(L1300=1,M1300=1,P1300&gt;0),1,0)</x:f>
        <x:v>0</x:v>
      </x:c>
      <x:c r="O1301" s="21" t="n">
        <x:f>MIN('Root Data'!I394:I396)</x:f>
        <x:v>0</x:v>
      </x:c>
      <x:c r="P1301" s="44" t="n">
        <x:f>IF(AND(L1301=1,M1301=1,N1301=1,O1301&gt;=G1301),K1301,0)</x:f>
        <x:v>0</x:v>
      </x:c>
      <x:c r="Q1301" s="21" t="str">
        <x:v>OPEN</x:v>
      </x:c>
      <x:c r="R1301" s="23" t="str">
        <x:v>HOLD</x:v>
      </x:c>
    </x:row>
    <x:row r="1302">
      <x:c r="B1302" s="21" t="str">
        <x:v>AR-01296</x:v>
      </x:c>
      <x:c r="C1302" s="21" t="str">
        <x:v>F33-I2</x:v>
      </x:c>
      <x:c r="D1302" s="21" t="str">
        <x:v>F33</x:v>
      </x:c>
      <x:c r="E1302" s="21" t="n">
        <x:v>6</x:v>
      </x:c>
      <x:c r="F1302" s="21" t="str">
        <x:v>Representative mission result</x:v>
      </x:c>
      <x:c r="G1302" s="21" t="n">
        <x:v>23</x:v>
      </x:c>
      <x:c r="H1302" s="21" t="str">
        <x:v>Receiving Service Authority</x:v>
      </x:c>
      <x:c r="I1302" s="44" t="n">
        <x:f>Lifecycle!G12</x:f>
        <x:v>0.250345872587127</x:v>
      </x:c>
      <x:c r="J1302" s="44" t="n">
        <x:v>0.08928571428571429</x:v>
      </x:c>
      <x:c r="K1302" s="44" t="n">
        <x:f>I1302*J1302</x:f>
        <x:v>0.022352310052422053</x:v>
      </x:c>
      <x:c r="L1302" s="46" t="n">
        <x:v>0</x:v>
      </x:c>
      <x:c r="M1302" s="46" t="n">
        <x:v>0</x:v>
      </x:c>
      <x:c r="N1302" s="21" t="n">
        <x:f>IF(AND(L1301=1,M1301=1,P1301&gt;0),1,0)</x:f>
        <x:v>0</x:v>
      </x:c>
      <x:c r="O1302" s="21" t="n">
        <x:f>MIN('Root Data'!I394:I396)</x:f>
        <x:v>0</x:v>
      </x:c>
      <x:c r="P1302" s="44" t="n">
        <x:f>IF(AND(L1302=1,M1302=1,N1302=1,O1302&gt;=G1302),K1302,0)</x:f>
        <x:v>0</x:v>
      </x:c>
      <x:c r="Q1302" s="21" t="str">
        <x:v>OPEN</x:v>
      </x:c>
      <x:c r="R1302" s="23" t="str">
        <x:v>HOLD</x:v>
      </x:c>
    </x:row>
    <x:row r="1303">
      <x:c r="B1303" s="21" t="str">
        <x:v>AR-01297</x:v>
      </x:c>
      <x:c r="C1303" s="21" t="str">
        <x:v>F33-I2</x:v>
      </x:c>
      <x:c r="D1303" s="21" t="str">
        <x:v>F33</x:v>
      </x:c>
      <x:c r="E1303" s="21" t="n">
        <x:v>7</x:v>
      </x:c>
      <x:c r="F1303" s="21" t="str">
        <x:v>Independent reproduction</x:v>
      </x:c>
      <x:c r="G1303" s="21" t="n">
        <x:v>28</x:v>
      </x:c>
      <x:c r="H1303" s="21" t="str">
        <x:v>Independent Evidence and Data Authority</x:v>
      </x:c>
      <x:c r="I1303" s="44" t="n">
        <x:f>Lifecycle!G13</x:f>
        <x:v>0.21740562619408393</x:v>
      </x:c>
      <x:c r="J1303" s="44" t="n">
        <x:v>0.08928571428571429</x:v>
      </x:c>
      <x:c r="K1303" s="44" t="n">
        <x:f>I1303*J1303</x:f>
        <x:v>0.019411216624471782</x:v>
      </x:c>
      <x:c r="L1303" s="46" t="n">
        <x:v>0</x:v>
      </x:c>
      <x:c r="M1303" s="46" t="n">
        <x:v>0</x:v>
      </x:c>
      <x:c r="N1303" s="21" t="n">
        <x:f>IF(AND(L1302=1,M1302=1,P1302&gt;0),1,0)</x:f>
        <x:v>0</x:v>
      </x:c>
      <x:c r="O1303" s="21" t="n">
        <x:f>MIN('Root Data'!I394:I396)</x:f>
        <x:v>0</x:v>
      </x:c>
      <x:c r="P1303" s="44" t="n">
        <x:f>IF(AND(L1303=1,M1303=1,N1303=1,O1303&gt;=G1303),K1303,0)</x:f>
        <x:v>0</x:v>
      </x:c>
      <x:c r="Q1303" s="21" t="str">
        <x:v>OPEN</x:v>
      </x:c>
      <x:c r="R1303" s="23" t="str">
        <x:v>HOLD</x:v>
      </x:c>
    </x:row>
    <x:row r="1304">
      <x:c r="B1304" s="21" t="str">
        <x:v>AR-01298</x:v>
      </x:c>
      <x:c r="C1304" s="21" t="str">
        <x:v>F33-I2</x:v>
      </x:c>
      <x:c r="D1304" s="21" t="str">
        <x:v>F33</x:v>
      </x:c>
      <x:c r="E1304" s="21" t="n">
        <x:v>8</x:v>
      </x:c>
      <x:c r="F1304" s="21" t="str">
        <x:v>Pilot-process qualification</x:v>
      </x:c>
      <x:c r="G1304" s="21" t="n">
        <x:v>28</x:v>
      </x:c>
      <x:c r="H1304" s="21" t="str">
        <x:v>AIMC Industrial Mobilization Authority</x:v>
      </x:c>
      <x:c r="I1304" s="44" t="n">
        <x:f>Lifecycle!G14</x:f>
        <x:v>0.03952829567165163</x:v>
      </x:c>
      <x:c r="J1304" s="44" t="n">
        <x:v>0.08928571428571429</x:v>
      </x:c>
      <x:c r="K1304" s="44" t="n">
        <x:f>I1304*J1304</x:f>
        <x:v>0.003529312113540324</x:v>
      </x:c>
      <x:c r="L1304" s="46" t="n">
        <x:v>0</x:v>
      </x:c>
      <x:c r="M1304" s="46" t="n">
        <x:v>0</x:v>
      </x:c>
      <x:c r="N1304" s="21" t="n">
        <x:f>IF(AND(L1303=1,M1303=1,P1303&gt;0),1,0)</x:f>
        <x:v>0</x:v>
      </x:c>
      <x:c r="O1304" s="21" t="n">
        <x:f>MIN('Root Data'!I394:I396)</x:f>
        <x:v>0</x:v>
      </x:c>
      <x:c r="P1304" s="44" t="n">
        <x:f>IF(AND(L1304=1,M1304=1,N1304=1,O1304&gt;=G1304),K1304,0)</x:f>
        <x:v>0</x:v>
      </x:c>
      <x:c r="Q1304" s="21" t="str">
        <x:v>OPEN</x:v>
      </x:c>
      <x:c r="R1304" s="23" t="str">
        <x:v>HOLD</x:v>
      </x:c>
    </x:row>
    <x:row r="1305">
      <x:c r="B1305" s="21" t="str">
        <x:v>AR-01299</x:v>
      </x:c>
      <x:c r="C1305" s="21" t="str">
        <x:v>F33-I2</x:v>
      </x:c>
      <x:c r="D1305" s="21" t="str">
        <x:v>F33</x:v>
      </x:c>
      <x:c r="E1305" s="21" t="n">
        <x:v>9</x:v>
      </x:c>
      <x:c r="F1305" s="21" t="str">
        <x:v>Production release package</x:v>
      </x:c>
      <x:c r="G1305" s="21" t="n">
        <x:v>28</x:v>
      </x:c>
      <x:c r="H1305" s="21" t="str">
        <x:v>Production Release Board</x:v>
      </x:c>
      <x:c r="I1305" s="44" t="n">
        <x:f>Lifecycle!G15</x:f>
        <x:v>0.01647012319652151</x:v>
      </x:c>
      <x:c r="J1305" s="44" t="n">
        <x:v>0.08928571428571429</x:v>
      </x:c>
      <x:c r="K1305" s="44" t="n">
        <x:f>I1305*J1305</x:f>
        <x:v>0.001470546713975135</x:v>
      </x:c>
      <x:c r="L1305" s="46" t="n">
        <x:v>0</x:v>
      </x:c>
      <x:c r="M1305" s="46" t="n">
        <x:v>0</x:v>
      </x:c>
      <x:c r="N1305" s="21" t="n">
        <x:f>IF(AND(L1304=1,M1304=1,P1304&gt;0),1,0)</x:f>
        <x:v>0</x:v>
      </x:c>
      <x:c r="O1305" s="21" t="n">
        <x:f>MIN('Root Data'!I394:I396)</x:f>
        <x:v>0</x:v>
      </x:c>
      <x:c r="P1305" s="44" t="n">
        <x:f>IF(AND(L1305=1,M1305=1,N1305=1,O1305&gt;=G1305),K1305,0)</x:f>
        <x:v>0</x:v>
      </x:c>
      <x:c r="Q1305" s="21" t="str">
        <x:v>OPEN</x:v>
      </x:c>
      <x:c r="R1305" s="23" t="str">
        <x:v>HOLD</x:v>
      </x:c>
    </x:row>
    <x:row r="1306">
      <x:c r="B1306" s="21" t="str">
        <x:v>AR-01300</x:v>
      </x:c>
      <x:c r="C1306" s="21" t="str">
        <x:v>F33-I2</x:v>
      </x:c>
      <x:c r="D1306" s="21" t="str">
        <x:v>F33</x:v>
      </x:c>
      <x:c r="E1306" s="21" t="n">
        <x:v>10</x:v>
      </x:c>
      <x:c r="F1306" s="21" t="str">
        <x:v>Mobilization activation</x:v>
      </x:c>
      <x:c r="G1306" s="21" t="n">
        <x:v>28</x:v>
      </x:c>
      <x:c r="H1306" s="21" t="str">
        <x:v>Production Release Board</x:v>
      </x:c>
      <x:c r="I1306" s="44" t="n">
        <x:f>Lifecycle!G16</x:f>
        <x:v>0.028262731405230914</x:v>
      </x:c>
      <x:c r="J1306" s="44" t="n">
        <x:v>0.08928571428571429</x:v>
      </x:c>
      <x:c r="K1306" s="44" t="n">
        <x:f>I1306*J1306</x:f>
        <x:v>0.002523458161181332</x:v>
      </x:c>
      <x:c r="L1306" s="46" t="n">
        <x:v>0</x:v>
      </x:c>
      <x:c r="M1306" s="46" t="n">
        <x:v>0</x:v>
      </x:c>
      <x:c r="N1306" s="21" t="n">
        <x:f>IF(AND(L1305=1,M1305=1,P1305&gt;0),1,0)</x:f>
        <x:v>0</x:v>
      </x:c>
      <x:c r="O1306" s="21" t="n">
        <x:f>MIN('Root Data'!I394:I396)</x:f>
        <x:v>0</x:v>
      </x:c>
      <x:c r="P1306" s="44" t="n">
        <x:f>IF(AND(L1306=1,M1306=1,N1306=1,O1306&gt;=G1306),K1306,0)</x:f>
        <x:v>0</x:v>
      </x:c>
      <x:c r="Q1306" s="21" t="str">
        <x:v>OPEN</x:v>
      </x:c>
      <x:c r="R1306" s="23" t="str">
        <x:v>HOLD</x:v>
      </x:c>
    </x:row>
    <x:row r="1307">
      <x:c r="B1307" s="21" t="str">
        <x:v>AR-01301</x:v>
      </x:c>
      <x:c r="C1307" s="21" t="str">
        <x:v>F33-I3</x:v>
      </x:c>
      <x:c r="D1307" s="21" t="str">
        <x:v>F33</x:v>
      </x:c>
      <x:c r="E1307" s="21" t="n">
        <x:v>1</x:v>
      </x:c>
      <x:c r="F1307" s="21" t="str">
        <x:v>Civil effect charter</x:v>
      </x:c>
      <x:c r="G1307" s="21" t="n">
        <x:v>0</x:v>
      </x:c>
      <x:c r="H1307" s="21" t="str">
        <x:v>Civil Guarantee Authority</x:v>
      </x:c>
      <x:c r="I1307" s="44" t="n">
        <x:f>Lifecycle!G7</x:f>
        <x:v>0.04941036958956453</x:v>
      </x:c>
      <x:c r="J1307" s="44" t="n">
        <x:v>0.08928571428571429</x:v>
      </x:c>
      <x:c r="K1307" s="44" t="n">
        <x:f>I1307*J1307</x:f>
        <x:v>0.004411640141925405</x:v>
      </x:c>
      <x:c r="L1307" s="46" t="n">
        <x:v>0</x:v>
      </x:c>
      <x:c r="M1307" s="46" t="n">
        <x:v>0</x:v>
      </x:c>
      <x:c r="N1307" s="21" t="n">
        <x:f>1</x:f>
        <x:v>1</x:v>
      </x:c>
      <x:c r="O1307" s="21" t="n">
        <x:f>MIN('Root Data'!I397:I399)</x:f>
        <x:v>0</x:v>
      </x:c>
      <x:c r="P1307" s="44" t="n">
        <x:f>IF(AND(L1307=1,M1307=1,N1307=1,O1307&gt;=G1307),K1307,0)</x:f>
        <x:v>0</x:v>
      </x:c>
      <x:c r="Q1307" s="21" t="str">
        <x:v>OPEN</x:v>
      </x:c>
      <x:c r="R1307" s="23" t="str">
        <x:v>HOLD</x:v>
      </x:c>
    </x:row>
    <x:row r="1308">
      <x:c r="B1308" s="21" t="str">
        <x:v>AR-01302</x:v>
      </x:c>
      <x:c r="C1308" s="21" t="str">
        <x:v>F33-I3</x:v>
      </x:c>
      <x:c r="D1308" s="21" t="str">
        <x:v>F33</x:v>
      </x:c>
      <x:c r="E1308" s="21" t="n">
        <x:v>2</x:v>
      </x:c>
      <x:c r="F1308" s="21" t="str">
        <x:v>Requirement and root-independence package</x:v>
      </x:c>
      <x:c r="G1308" s="21" t="n">
        <x:v>8</x:v>
      </x:c>
      <x:c r="H1308" s="21" t="str">
        <x:v>Resilience Staff</x:v>
      </x:c>
      <x:c r="I1308" s="44" t="n">
        <x:f>Lifecycle!G8</x:f>
        <x:v>0.10211476381843337</x:v>
      </x:c>
      <x:c r="J1308" s="44" t="n">
        <x:v>0.08928571428571429</x:v>
      </x:c>
      <x:c r="K1308" s="44" t="n">
        <x:f>I1308*J1308</x:f>
        <x:v>0.009117389626645838</x:v>
      </x:c>
      <x:c r="L1308" s="46" t="n">
        <x:v>0</x:v>
      </x:c>
      <x:c r="M1308" s="46" t="n">
        <x:v>0</x:v>
      </x:c>
      <x:c r="N1308" s="21" t="n">
        <x:f>IF(AND(L1307=1,M1307=1,P1307&gt;0),1,0)</x:f>
        <x:v>0</x:v>
      </x:c>
      <x:c r="O1308" s="21" t="n">
        <x:f>MIN('Root Data'!I397:I399)</x:f>
        <x:v>0</x:v>
      </x:c>
      <x:c r="P1308" s="44" t="n">
        <x:f>IF(AND(L1308=1,M1308=1,N1308=1,O1308&gt;=G1308),K1308,0)</x:f>
        <x:v>0</x:v>
      </x:c>
      <x:c r="Q1308" s="21" t="str">
        <x:v>OPEN</x:v>
      </x:c>
      <x:c r="R1308" s="23" t="str">
        <x:v>HOLD</x:v>
      </x:c>
    </x:row>
    <x:row r="1309">
      <x:c r="B1309" s="21" t="str">
        <x:v>AR-01303</x:v>
      </x:c>
      <x:c r="C1309" s="21" t="str">
        <x:v>F33-I3</x:v>
      </x:c>
      <x:c r="D1309" s="21" t="str">
        <x:v>F33</x:v>
      </x:c>
      <x:c r="E1309" s="21" t="n">
        <x:v>3</x:v>
      </x:c>
      <x:c r="F1309" s="21" t="str">
        <x:v>Architecture and burden closure</x:v>
      </x:c>
      <x:c r="G1309" s="21" t="n">
        <x:v>14</x:v>
      </x:c>
      <x:c r="H1309" s="21" t="str">
        <x:v>Independent Evidence and Data Authority</x:v>
      </x:c>
      <x:c r="I1309" s="44" t="n">
        <x:f>Lifecycle!G9</x:f>
        <x:v>0.08564464062191186</x:v>
      </x:c>
      <x:c r="J1309" s="44" t="n">
        <x:v>0.08928571428571429</x:v>
      </x:c>
      <x:c r="K1309" s="44" t="n">
        <x:f>I1309*J1309</x:f>
        <x:v>0.007646842912670702</x:v>
      </x:c>
      <x:c r="L1309" s="46" t="n">
        <x:v>0</x:v>
      </x:c>
      <x:c r="M1309" s="46" t="n">
        <x:v>0</x:v>
      </x:c>
      <x:c r="N1309" s="21" t="n">
        <x:f>IF(AND(L1308=1,M1308=1,P1308&gt;0),1,0)</x:f>
        <x:v>0</x:v>
      </x:c>
      <x:c r="O1309" s="21" t="n">
        <x:f>MIN('Root Data'!I397:I399)</x:f>
        <x:v>0</x:v>
      </x:c>
      <x:c r="P1309" s="44" t="n">
        <x:f>IF(AND(L1309=1,M1309=1,N1309=1,O1309&gt;=G1309),K1309,0)</x:f>
        <x:v>0</x:v>
      </x:c>
      <x:c r="Q1309" s="21" t="str">
        <x:v>OPEN</x:v>
      </x:c>
      <x:c r="R1309" s="23" t="str">
        <x:v>HOLD</x:v>
      </x:c>
    </x:row>
    <x:row r="1310">
      <x:c r="B1310" s="21" t="str">
        <x:v>AR-01304</x:v>
      </x:c>
      <x:c r="C1310" s="21" t="str">
        <x:v>F33-I3</x:v>
      </x:c>
      <x:c r="D1310" s="21" t="str">
        <x:v>F33</x:v>
      </x:c>
      <x:c r="E1310" s="21" t="n">
        <x:v>4</x:v>
      </x:c>
      <x:c r="F1310" s="21" t="str">
        <x:v>Engineering article acceptance</x:v>
      </x:c>
      <x:c r="G1310" s="21" t="n">
        <x:v>18</x:v>
      </x:c>
      <x:c r="H1310" s="21" t="str">
        <x:v>Independent Evidence and Data Authority</x:v>
      </x:c>
      <x:c r="I1310" s="44" t="n">
        <x:f>Lifecycle!G10</x:f>
        <x:v>0.05929244350747744</x:v>
      </x:c>
      <x:c r="J1310" s="44" t="n">
        <x:v>0.08928571428571429</x:v>
      </x:c>
      <x:c r="K1310" s="44" t="n">
        <x:f>I1310*J1310</x:f>
        <x:v>0.005293968170310486</x:v>
      </x:c>
      <x:c r="L1310" s="46" t="n">
        <x:v>0</x:v>
      </x:c>
      <x:c r="M1310" s="46" t="n">
        <x:v>0</x:v>
      </x:c>
      <x:c r="N1310" s="21" t="n">
        <x:f>IF(AND(L1309=1,M1309=1,P1309&gt;0),1,0)</x:f>
        <x:v>0</x:v>
      </x:c>
      <x:c r="O1310" s="21" t="n">
        <x:f>MIN('Root Data'!I397:I399)</x:f>
        <x:v>0</x:v>
      </x:c>
      <x:c r="P1310" s="44" t="n">
        <x:f>IF(AND(L1310=1,M1310=1,N1310=1,O1310&gt;=G1310),K1310,0)</x:f>
        <x:v>0</x:v>
      </x:c>
      <x:c r="Q1310" s="21" t="str">
        <x:v>OPEN</x:v>
      </x:c>
      <x:c r="R1310" s="23" t="str">
        <x:v>HOLD</x:v>
      </x:c>
    </x:row>
    <x:row r="1311">
      <x:c r="B1311" s="21" t="str">
        <x:v>AR-01305</x:v>
      </x:c>
      <x:c r="C1311" s="21" t="str">
        <x:v>F33-I3</x:v>
      </x:c>
      <x:c r="D1311" s="21" t="str">
        <x:v>F33</x:v>
      </x:c>
      <x:c r="E1311" s="21" t="n">
        <x:v>5</x:v>
      </x:c>
      <x:c r="F1311" s="21" t="str">
        <x:v>Qualification and destructive evidence</x:v>
      </x:c>
      <x:c r="G1311" s="21" t="n">
        <x:v>21</x:v>
      </x:c>
      <x:c r="H1311" s="21" t="str">
        <x:v>Independent Evidence and Data Authority</x:v>
      </x:c>
      <x:c r="I1311" s="44" t="n">
        <x:f>Lifecycle!G11</x:f>
        <x:v>0.1515251334079979</x:v>
      </x:c>
      <x:c r="J1311" s="44" t="n">
        <x:v>0.08928571428571429</x:v>
      </x:c>
      <x:c r="K1311" s="44" t="n">
        <x:f>I1311*J1311</x:f>
        <x:v>0.013529029768571241</x:v>
      </x:c>
      <x:c r="L1311" s="46" t="n">
        <x:v>0</x:v>
      </x:c>
      <x:c r="M1311" s="46" t="n">
        <x:v>0</x:v>
      </x:c>
      <x:c r="N1311" s="21" t="n">
        <x:f>IF(AND(L1310=1,M1310=1,P1310&gt;0),1,0)</x:f>
        <x:v>0</x:v>
      </x:c>
      <x:c r="O1311" s="21" t="n">
        <x:f>MIN('Root Data'!I397:I399)</x:f>
        <x:v>0</x:v>
      </x:c>
      <x:c r="P1311" s="44" t="n">
        <x:f>IF(AND(L1311=1,M1311=1,N1311=1,O1311&gt;=G1311),K1311,0)</x:f>
        <x:v>0</x:v>
      </x:c>
      <x:c r="Q1311" s="21" t="str">
        <x:v>OPEN</x:v>
      </x:c>
      <x:c r="R1311" s="23" t="str">
        <x:v>HOLD</x:v>
      </x:c>
    </x:row>
    <x:row r="1312">
      <x:c r="B1312" s="21" t="str">
        <x:v>AR-01306</x:v>
      </x:c>
      <x:c r="C1312" s="21" t="str">
        <x:v>F33-I3</x:v>
      </x:c>
      <x:c r="D1312" s="21" t="str">
        <x:v>F33</x:v>
      </x:c>
      <x:c r="E1312" s="21" t="n">
        <x:v>6</x:v>
      </x:c>
      <x:c r="F1312" s="21" t="str">
        <x:v>Representative mission result</x:v>
      </x:c>
      <x:c r="G1312" s="21" t="n">
        <x:v>23</x:v>
      </x:c>
      <x:c r="H1312" s="21" t="str">
        <x:v>Receiving Service Authority</x:v>
      </x:c>
      <x:c r="I1312" s="44" t="n">
        <x:f>Lifecycle!G12</x:f>
        <x:v>0.250345872587127</x:v>
      </x:c>
      <x:c r="J1312" s="44" t="n">
        <x:v>0.08928571428571429</x:v>
      </x:c>
      <x:c r="K1312" s="44" t="n">
        <x:f>I1312*J1312</x:f>
        <x:v>0.022352310052422053</x:v>
      </x:c>
      <x:c r="L1312" s="46" t="n">
        <x:v>0</x:v>
      </x:c>
      <x:c r="M1312" s="46" t="n">
        <x:v>0</x:v>
      </x:c>
      <x:c r="N1312" s="21" t="n">
        <x:f>IF(AND(L1311=1,M1311=1,P1311&gt;0),1,0)</x:f>
        <x:v>0</x:v>
      </x:c>
      <x:c r="O1312" s="21" t="n">
        <x:f>MIN('Root Data'!I397:I399)</x:f>
        <x:v>0</x:v>
      </x:c>
      <x:c r="P1312" s="44" t="n">
        <x:f>IF(AND(L1312=1,M1312=1,N1312=1,O1312&gt;=G1312),K1312,0)</x:f>
        <x:v>0</x:v>
      </x:c>
      <x:c r="Q1312" s="21" t="str">
        <x:v>OPEN</x:v>
      </x:c>
      <x:c r="R1312" s="23" t="str">
        <x:v>HOLD</x:v>
      </x:c>
    </x:row>
    <x:row r="1313">
      <x:c r="B1313" s="21" t="str">
        <x:v>AR-01307</x:v>
      </x:c>
      <x:c r="C1313" s="21" t="str">
        <x:v>F33-I3</x:v>
      </x:c>
      <x:c r="D1313" s="21" t="str">
        <x:v>F33</x:v>
      </x:c>
      <x:c r="E1313" s="21" t="n">
        <x:v>7</x:v>
      </x:c>
      <x:c r="F1313" s="21" t="str">
        <x:v>Independent reproduction</x:v>
      </x:c>
      <x:c r="G1313" s="21" t="n">
        <x:v>28</x:v>
      </x:c>
      <x:c r="H1313" s="21" t="str">
        <x:v>Independent Evidence and Data Authority</x:v>
      </x:c>
      <x:c r="I1313" s="44" t="n">
        <x:f>Lifecycle!G13</x:f>
        <x:v>0.21740562619408393</x:v>
      </x:c>
      <x:c r="J1313" s="44" t="n">
        <x:v>0.08928571428571429</x:v>
      </x:c>
      <x:c r="K1313" s="44" t="n">
        <x:f>I1313*J1313</x:f>
        <x:v>0.019411216624471782</x:v>
      </x:c>
      <x:c r="L1313" s="46" t="n">
        <x:v>0</x:v>
      </x:c>
      <x:c r="M1313" s="46" t="n">
        <x:v>0</x:v>
      </x:c>
      <x:c r="N1313" s="21" t="n">
        <x:f>IF(AND(L1312=1,M1312=1,P1312&gt;0),1,0)</x:f>
        <x:v>0</x:v>
      </x:c>
      <x:c r="O1313" s="21" t="n">
        <x:f>MIN('Root Data'!I397:I399)</x:f>
        <x:v>0</x:v>
      </x:c>
      <x:c r="P1313" s="44" t="n">
        <x:f>IF(AND(L1313=1,M1313=1,N1313=1,O1313&gt;=G1313),K1313,0)</x:f>
        <x:v>0</x:v>
      </x:c>
      <x:c r="Q1313" s="21" t="str">
        <x:v>OPEN</x:v>
      </x:c>
      <x:c r="R1313" s="23" t="str">
        <x:v>HOLD</x:v>
      </x:c>
    </x:row>
    <x:row r="1314">
      <x:c r="B1314" s="21" t="str">
        <x:v>AR-01308</x:v>
      </x:c>
      <x:c r="C1314" s="21" t="str">
        <x:v>F33-I3</x:v>
      </x:c>
      <x:c r="D1314" s="21" t="str">
        <x:v>F33</x:v>
      </x:c>
      <x:c r="E1314" s="21" t="n">
        <x:v>8</x:v>
      </x:c>
      <x:c r="F1314" s="21" t="str">
        <x:v>Pilot-process qualification</x:v>
      </x:c>
      <x:c r="G1314" s="21" t="n">
        <x:v>28</x:v>
      </x:c>
      <x:c r="H1314" s="21" t="str">
        <x:v>AIMC Industrial Mobilization Authority</x:v>
      </x:c>
      <x:c r="I1314" s="44" t="n">
        <x:f>Lifecycle!G14</x:f>
        <x:v>0.03952829567165163</x:v>
      </x:c>
      <x:c r="J1314" s="44" t="n">
        <x:v>0.08928571428571429</x:v>
      </x:c>
      <x:c r="K1314" s="44" t="n">
        <x:f>I1314*J1314</x:f>
        <x:v>0.003529312113540324</x:v>
      </x:c>
      <x:c r="L1314" s="46" t="n">
        <x:v>0</x:v>
      </x:c>
      <x:c r="M1314" s="46" t="n">
        <x:v>0</x:v>
      </x:c>
      <x:c r="N1314" s="21" t="n">
        <x:f>IF(AND(L1313=1,M1313=1,P1313&gt;0),1,0)</x:f>
        <x:v>0</x:v>
      </x:c>
      <x:c r="O1314" s="21" t="n">
        <x:f>MIN('Root Data'!I397:I399)</x:f>
        <x:v>0</x:v>
      </x:c>
      <x:c r="P1314" s="44" t="n">
        <x:f>IF(AND(L1314=1,M1314=1,N1314=1,O1314&gt;=G1314),K1314,0)</x:f>
        <x:v>0</x:v>
      </x:c>
      <x:c r="Q1314" s="21" t="str">
        <x:v>OPEN</x:v>
      </x:c>
      <x:c r="R1314" s="23" t="str">
        <x:v>HOLD</x:v>
      </x:c>
    </x:row>
    <x:row r="1315">
      <x:c r="B1315" s="21" t="str">
        <x:v>AR-01309</x:v>
      </x:c>
      <x:c r="C1315" s="21" t="str">
        <x:v>F33-I3</x:v>
      </x:c>
      <x:c r="D1315" s="21" t="str">
        <x:v>F33</x:v>
      </x:c>
      <x:c r="E1315" s="21" t="n">
        <x:v>9</x:v>
      </x:c>
      <x:c r="F1315" s="21" t="str">
        <x:v>Production release package</x:v>
      </x:c>
      <x:c r="G1315" s="21" t="n">
        <x:v>28</x:v>
      </x:c>
      <x:c r="H1315" s="21" t="str">
        <x:v>Production Release Board</x:v>
      </x:c>
      <x:c r="I1315" s="44" t="n">
        <x:f>Lifecycle!G15</x:f>
        <x:v>0.01647012319652151</x:v>
      </x:c>
      <x:c r="J1315" s="44" t="n">
        <x:v>0.08928571428571429</x:v>
      </x:c>
      <x:c r="K1315" s="44" t="n">
        <x:f>I1315*J1315</x:f>
        <x:v>0.001470546713975135</x:v>
      </x:c>
      <x:c r="L1315" s="46" t="n">
        <x:v>0</x:v>
      </x:c>
      <x:c r="M1315" s="46" t="n">
        <x:v>0</x:v>
      </x:c>
      <x:c r="N1315" s="21" t="n">
        <x:f>IF(AND(L1314=1,M1314=1,P1314&gt;0),1,0)</x:f>
        <x:v>0</x:v>
      </x:c>
      <x:c r="O1315" s="21" t="n">
        <x:f>MIN('Root Data'!I397:I399)</x:f>
        <x:v>0</x:v>
      </x:c>
      <x:c r="P1315" s="44" t="n">
        <x:f>IF(AND(L1315=1,M1315=1,N1315=1,O1315&gt;=G1315),K1315,0)</x:f>
        <x:v>0</x:v>
      </x:c>
      <x:c r="Q1315" s="21" t="str">
        <x:v>OPEN</x:v>
      </x:c>
      <x:c r="R1315" s="23" t="str">
        <x:v>HOLD</x:v>
      </x:c>
    </x:row>
    <x:row r="1316">
      <x:c r="B1316" s="21" t="str">
        <x:v>AR-01310</x:v>
      </x:c>
      <x:c r="C1316" s="21" t="str">
        <x:v>F33-I3</x:v>
      </x:c>
      <x:c r="D1316" s="21" t="str">
        <x:v>F33</x:v>
      </x:c>
      <x:c r="E1316" s="21" t="n">
        <x:v>10</x:v>
      </x:c>
      <x:c r="F1316" s="21" t="str">
        <x:v>Mobilization activation</x:v>
      </x:c>
      <x:c r="G1316" s="21" t="n">
        <x:v>28</x:v>
      </x:c>
      <x:c r="H1316" s="21" t="str">
        <x:v>Production Release Board</x:v>
      </x:c>
      <x:c r="I1316" s="44" t="n">
        <x:f>Lifecycle!G16</x:f>
        <x:v>0.028262731405230914</x:v>
      </x:c>
      <x:c r="J1316" s="44" t="n">
        <x:v>0.08928571428571429</x:v>
      </x:c>
      <x:c r="K1316" s="44" t="n">
        <x:f>I1316*J1316</x:f>
        <x:v>0.002523458161181332</x:v>
      </x:c>
      <x:c r="L1316" s="46" t="n">
        <x:v>0</x:v>
      </x:c>
      <x:c r="M1316" s="46" t="n">
        <x:v>0</x:v>
      </x:c>
      <x:c r="N1316" s="21" t="n">
        <x:f>IF(AND(L1315=1,M1315=1,P1315&gt;0),1,0)</x:f>
        <x:v>0</x:v>
      </x:c>
      <x:c r="O1316" s="21" t="n">
        <x:f>MIN('Root Data'!I397:I399)</x:f>
        <x:v>0</x:v>
      </x:c>
      <x:c r="P1316" s="44" t="n">
        <x:f>IF(AND(L1316=1,M1316=1,N1316=1,O1316&gt;=G1316),K1316,0)</x:f>
        <x:v>0</x:v>
      </x:c>
      <x:c r="Q1316" s="21" t="str">
        <x:v>OPEN</x:v>
      </x:c>
      <x:c r="R1316" s="23" t="str">
        <x:v>HOLD</x:v>
      </x:c>
    </x:row>
    <x:row r="1317">
      <x:c r="B1317" s="21" t="str">
        <x:v>AR-01311</x:v>
      </x:c>
      <x:c r="C1317" s="21" t="str">
        <x:v>F33-I4</x:v>
      </x:c>
      <x:c r="D1317" s="21" t="str">
        <x:v>F33</x:v>
      </x:c>
      <x:c r="E1317" s="21" t="n">
        <x:v>1</x:v>
      </x:c>
      <x:c r="F1317" s="21" t="str">
        <x:v>Civil effect charter</x:v>
      </x:c>
      <x:c r="G1317" s="21" t="n">
        <x:v>0</x:v>
      </x:c>
      <x:c r="H1317" s="21" t="str">
        <x:v>Civil Guarantee Authority</x:v>
      </x:c>
      <x:c r="I1317" s="44" t="n">
        <x:f>Lifecycle!G7</x:f>
        <x:v>0.04941036958956453</x:v>
      </x:c>
      <x:c r="J1317" s="44" t="n">
        <x:v>0.08928571428571429</x:v>
      </x:c>
      <x:c r="K1317" s="44" t="n">
        <x:f>I1317*J1317</x:f>
        <x:v>0.004411640141925405</x:v>
      </x:c>
      <x:c r="L1317" s="46" t="n">
        <x:v>0</x:v>
      </x:c>
      <x:c r="M1317" s="46" t="n">
        <x:v>0</x:v>
      </x:c>
      <x:c r="N1317" s="21" t="n">
        <x:f>1</x:f>
        <x:v>1</x:v>
      </x:c>
      <x:c r="O1317" s="21" t="n">
        <x:f>MIN('Root Data'!I400:I402)</x:f>
        <x:v>0</x:v>
      </x:c>
      <x:c r="P1317" s="44" t="n">
        <x:f>IF(AND(L1317=1,M1317=1,N1317=1,O1317&gt;=G1317),K1317,0)</x:f>
        <x:v>0</x:v>
      </x:c>
      <x:c r="Q1317" s="21" t="str">
        <x:v>OPEN</x:v>
      </x:c>
      <x:c r="R1317" s="23" t="str">
        <x:v>HOLD</x:v>
      </x:c>
    </x:row>
    <x:row r="1318">
      <x:c r="B1318" s="21" t="str">
        <x:v>AR-01312</x:v>
      </x:c>
      <x:c r="C1318" s="21" t="str">
        <x:v>F33-I4</x:v>
      </x:c>
      <x:c r="D1318" s="21" t="str">
        <x:v>F33</x:v>
      </x:c>
      <x:c r="E1318" s="21" t="n">
        <x:v>2</x:v>
      </x:c>
      <x:c r="F1318" s="21" t="str">
        <x:v>Requirement and root-independence package</x:v>
      </x:c>
      <x:c r="G1318" s="21" t="n">
        <x:v>8</x:v>
      </x:c>
      <x:c r="H1318" s="21" t="str">
        <x:v>Resilience Staff</x:v>
      </x:c>
      <x:c r="I1318" s="44" t="n">
        <x:f>Lifecycle!G8</x:f>
        <x:v>0.10211476381843337</x:v>
      </x:c>
      <x:c r="J1318" s="44" t="n">
        <x:v>0.08928571428571429</x:v>
      </x:c>
      <x:c r="K1318" s="44" t="n">
        <x:f>I1318*J1318</x:f>
        <x:v>0.009117389626645838</x:v>
      </x:c>
      <x:c r="L1318" s="46" t="n">
        <x:v>0</x:v>
      </x:c>
      <x:c r="M1318" s="46" t="n">
        <x:v>0</x:v>
      </x:c>
      <x:c r="N1318" s="21" t="n">
        <x:f>IF(AND(L1317=1,M1317=1,P1317&gt;0),1,0)</x:f>
        <x:v>0</x:v>
      </x:c>
      <x:c r="O1318" s="21" t="n">
        <x:f>MIN('Root Data'!I400:I402)</x:f>
        <x:v>0</x:v>
      </x:c>
      <x:c r="P1318" s="44" t="n">
        <x:f>IF(AND(L1318=1,M1318=1,N1318=1,O1318&gt;=G1318),K1318,0)</x:f>
        <x:v>0</x:v>
      </x:c>
      <x:c r="Q1318" s="21" t="str">
        <x:v>OPEN</x:v>
      </x:c>
      <x:c r="R1318" s="23" t="str">
        <x:v>HOLD</x:v>
      </x:c>
    </x:row>
    <x:row r="1319">
      <x:c r="B1319" s="21" t="str">
        <x:v>AR-01313</x:v>
      </x:c>
      <x:c r="C1319" s="21" t="str">
        <x:v>F33-I4</x:v>
      </x:c>
      <x:c r="D1319" s="21" t="str">
        <x:v>F33</x:v>
      </x:c>
      <x:c r="E1319" s="21" t="n">
        <x:v>3</x:v>
      </x:c>
      <x:c r="F1319" s="21" t="str">
        <x:v>Architecture and burden closure</x:v>
      </x:c>
      <x:c r="G1319" s="21" t="n">
        <x:v>14</x:v>
      </x:c>
      <x:c r="H1319" s="21" t="str">
        <x:v>Independent Evidence and Data Authority</x:v>
      </x:c>
      <x:c r="I1319" s="44" t="n">
        <x:f>Lifecycle!G9</x:f>
        <x:v>0.08564464062191186</x:v>
      </x:c>
      <x:c r="J1319" s="44" t="n">
        <x:v>0.08928571428571429</x:v>
      </x:c>
      <x:c r="K1319" s="44" t="n">
        <x:f>I1319*J1319</x:f>
        <x:v>0.007646842912670702</x:v>
      </x:c>
      <x:c r="L1319" s="46" t="n">
        <x:v>0</x:v>
      </x:c>
      <x:c r="M1319" s="46" t="n">
        <x:v>0</x:v>
      </x:c>
      <x:c r="N1319" s="21" t="n">
        <x:f>IF(AND(L1318=1,M1318=1,P1318&gt;0),1,0)</x:f>
        <x:v>0</x:v>
      </x:c>
      <x:c r="O1319" s="21" t="n">
        <x:f>MIN('Root Data'!I400:I402)</x:f>
        <x:v>0</x:v>
      </x:c>
      <x:c r="P1319" s="44" t="n">
        <x:f>IF(AND(L1319=1,M1319=1,N1319=1,O1319&gt;=G1319),K1319,0)</x:f>
        <x:v>0</x:v>
      </x:c>
      <x:c r="Q1319" s="21" t="str">
        <x:v>OPEN</x:v>
      </x:c>
      <x:c r="R1319" s="23" t="str">
        <x:v>HOLD</x:v>
      </x:c>
    </x:row>
    <x:row r="1320">
      <x:c r="B1320" s="21" t="str">
        <x:v>AR-01314</x:v>
      </x:c>
      <x:c r="C1320" s="21" t="str">
        <x:v>F33-I4</x:v>
      </x:c>
      <x:c r="D1320" s="21" t="str">
        <x:v>F33</x:v>
      </x:c>
      <x:c r="E1320" s="21" t="n">
        <x:v>4</x:v>
      </x:c>
      <x:c r="F1320" s="21" t="str">
        <x:v>Engineering article acceptance</x:v>
      </x:c>
      <x:c r="G1320" s="21" t="n">
        <x:v>18</x:v>
      </x:c>
      <x:c r="H1320" s="21" t="str">
        <x:v>Independent Evidence and Data Authority</x:v>
      </x:c>
      <x:c r="I1320" s="44" t="n">
        <x:f>Lifecycle!G10</x:f>
        <x:v>0.05929244350747744</x:v>
      </x:c>
      <x:c r="J1320" s="44" t="n">
        <x:v>0.08928571428571429</x:v>
      </x:c>
      <x:c r="K1320" s="44" t="n">
        <x:f>I1320*J1320</x:f>
        <x:v>0.005293968170310486</x:v>
      </x:c>
      <x:c r="L1320" s="46" t="n">
        <x:v>0</x:v>
      </x:c>
      <x:c r="M1320" s="46" t="n">
        <x:v>0</x:v>
      </x:c>
      <x:c r="N1320" s="21" t="n">
        <x:f>IF(AND(L1319=1,M1319=1,P1319&gt;0),1,0)</x:f>
        <x:v>0</x:v>
      </x:c>
      <x:c r="O1320" s="21" t="n">
        <x:f>MIN('Root Data'!I400:I402)</x:f>
        <x:v>0</x:v>
      </x:c>
      <x:c r="P1320" s="44" t="n">
        <x:f>IF(AND(L1320=1,M1320=1,N1320=1,O1320&gt;=G1320),K1320,0)</x:f>
        <x:v>0</x:v>
      </x:c>
      <x:c r="Q1320" s="21" t="str">
        <x:v>OPEN</x:v>
      </x:c>
      <x:c r="R1320" s="23" t="str">
        <x:v>HOLD</x:v>
      </x:c>
    </x:row>
    <x:row r="1321">
      <x:c r="B1321" s="21" t="str">
        <x:v>AR-01315</x:v>
      </x:c>
      <x:c r="C1321" s="21" t="str">
        <x:v>F33-I4</x:v>
      </x:c>
      <x:c r="D1321" s="21" t="str">
        <x:v>F33</x:v>
      </x:c>
      <x:c r="E1321" s="21" t="n">
        <x:v>5</x:v>
      </x:c>
      <x:c r="F1321" s="21" t="str">
        <x:v>Qualification and destructive evidence</x:v>
      </x:c>
      <x:c r="G1321" s="21" t="n">
        <x:v>21</x:v>
      </x:c>
      <x:c r="H1321" s="21" t="str">
        <x:v>Independent Evidence and Data Authority</x:v>
      </x:c>
      <x:c r="I1321" s="44" t="n">
        <x:f>Lifecycle!G11</x:f>
        <x:v>0.1515251334079979</x:v>
      </x:c>
      <x:c r="J1321" s="44" t="n">
        <x:v>0.08928571428571429</x:v>
      </x:c>
      <x:c r="K1321" s="44" t="n">
        <x:f>I1321*J1321</x:f>
        <x:v>0.013529029768571241</x:v>
      </x:c>
      <x:c r="L1321" s="46" t="n">
        <x:v>0</x:v>
      </x:c>
      <x:c r="M1321" s="46" t="n">
        <x:v>0</x:v>
      </x:c>
      <x:c r="N1321" s="21" t="n">
        <x:f>IF(AND(L1320=1,M1320=1,P1320&gt;0),1,0)</x:f>
        <x:v>0</x:v>
      </x:c>
      <x:c r="O1321" s="21" t="n">
        <x:f>MIN('Root Data'!I400:I402)</x:f>
        <x:v>0</x:v>
      </x:c>
      <x:c r="P1321" s="44" t="n">
        <x:f>IF(AND(L1321=1,M1321=1,N1321=1,O1321&gt;=G1321),K1321,0)</x:f>
        <x:v>0</x:v>
      </x:c>
      <x:c r="Q1321" s="21" t="str">
        <x:v>OPEN</x:v>
      </x:c>
      <x:c r="R1321" s="23" t="str">
        <x:v>HOLD</x:v>
      </x:c>
    </x:row>
    <x:row r="1322">
      <x:c r="B1322" s="21" t="str">
        <x:v>AR-01316</x:v>
      </x:c>
      <x:c r="C1322" s="21" t="str">
        <x:v>F33-I4</x:v>
      </x:c>
      <x:c r="D1322" s="21" t="str">
        <x:v>F33</x:v>
      </x:c>
      <x:c r="E1322" s="21" t="n">
        <x:v>6</x:v>
      </x:c>
      <x:c r="F1322" s="21" t="str">
        <x:v>Representative mission result</x:v>
      </x:c>
      <x:c r="G1322" s="21" t="n">
        <x:v>23</x:v>
      </x:c>
      <x:c r="H1322" s="21" t="str">
        <x:v>Receiving Service Authority</x:v>
      </x:c>
      <x:c r="I1322" s="44" t="n">
        <x:f>Lifecycle!G12</x:f>
        <x:v>0.250345872587127</x:v>
      </x:c>
      <x:c r="J1322" s="44" t="n">
        <x:v>0.08928571428571429</x:v>
      </x:c>
      <x:c r="K1322" s="44" t="n">
        <x:f>I1322*J1322</x:f>
        <x:v>0.022352310052422053</x:v>
      </x:c>
      <x:c r="L1322" s="46" t="n">
        <x:v>0</x:v>
      </x:c>
      <x:c r="M1322" s="46" t="n">
        <x:v>0</x:v>
      </x:c>
      <x:c r="N1322" s="21" t="n">
        <x:f>IF(AND(L1321=1,M1321=1,P1321&gt;0),1,0)</x:f>
        <x:v>0</x:v>
      </x:c>
      <x:c r="O1322" s="21" t="n">
        <x:f>MIN('Root Data'!I400:I402)</x:f>
        <x:v>0</x:v>
      </x:c>
      <x:c r="P1322" s="44" t="n">
        <x:f>IF(AND(L1322=1,M1322=1,N1322=1,O1322&gt;=G1322),K1322,0)</x:f>
        <x:v>0</x:v>
      </x:c>
      <x:c r="Q1322" s="21" t="str">
        <x:v>OPEN</x:v>
      </x:c>
      <x:c r="R1322" s="23" t="str">
        <x:v>HOLD</x:v>
      </x:c>
    </x:row>
    <x:row r="1323">
      <x:c r="B1323" s="21" t="str">
        <x:v>AR-01317</x:v>
      </x:c>
      <x:c r="C1323" s="21" t="str">
        <x:v>F33-I4</x:v>
      </x:c>
      <x:c r="D1323" s="21" t="str">
        <x:v>F33</x:v>
      </x:c>
      <x:c r="E1323" s="21" t="n">
        <x:v>7</x:v>
      </x:c>
      <x:c r="F1323" s="21" t="str">
        <x:v>Independent reproduction</x:v>
      </x:c>
      <x:c r="G1323" s="21" t="n">
        <x:v>28</x:v>
      </x:c>
      <x:c r="H1323" s="21" t="str">
        <x:v>Independent Evidence and Data Authority</x:v>
      </x:c>
      <x:c r="I1323" s="44" t="n">
        <x:f>Lifecycle!G13</x:f>
        <x:v>0.21740562619408393</x:v>
      </x:c>
      <x:c r="J1323" s="44" t="n">
        <x:v>0.08928571428571429</x:v>
      </x:c>
      <x:c r="K1323" s="44" t="n">
        <x:f>I1323*J1323</x:f>
        <x:v>0.019411216624471782</x:v>
      </x:c>
      <x:c r="L1323" s="46" t="n">
        <x:v>0</x:v>
      </x:c>
      <x:c r="M1323" s="46" t="n">
        <x:v>0</x:v>
      </x:c>
      <x:c r="N1323" s="21" t="n">
        <x:f>IF(AND(L1322=1,M1322=1,P1322&gt;0),1,0)</x:f>
        <x:v>0</x:v>
      </x:c>
      <x:c r="O1323" s="21" t="n">
        <x:f>MIN('Root Data'!I400:I402)</x:f>
        <x:v>0</x:v>
      </x:c>
      <x:c r="P1323" s="44" t="n">
        <x:f>IF(AND(L1323=1,M1323=1,N1323=1,O1323&gt;=G1323),K1323,0)</x:f>
        <x:v>0</x:v>
      </x:c>
      <x:c r="Q1323" s="21" t="str">
        <x:v>OPEN</x:v>
      </x:c>
      <x:c r="R1323" s="23" t="str">
        <x:v>HOLD</x:v>
      </x:c>
    </x:row>
    <x:row r="1324">
      <x:c r="B1324" s="21" t="str">
        <x:v>AR-01318</x:v>
      </x:c>
      <x:c r="C1324" s="21" t="str">
        <x:v>F33-I4</x:v>
      </x:c>
      <x:c r="D1324" s="21" t="str">
        <x:v>F33</x:v>
      </x:c>
      <x:c r="E1324" s="21" t="n">
        <x:v>8</x:v>
      </x:c>
      <x:c r="F1324" s="21" t="str">
        <x:v>Pilot-process qualification</x:v>
      </x:c>
      <x:c r="G1324" s="21" t="n">
        <x:v>28</x:v>
      </x:c>
      <x:c r="H1324" s="21" t="str">
        <x:v>AIMC Industrial Mobilization Authority</x:v>
      </x:c>
      <x:c r="I1324" s="44" t="n">
        <x:f>Lifecycle!G14</x:f>
        <x:v>0.03952829567165163</x:v>
      </x:c>
      <x:c r="J1324" s="44" t="n">
        <x:v>0.08928571428571429</x:v>
      </x:c>
      <x:c r="K1324" s="44" t="n">
        <x:f>I1324*J1324</x:f>
        <x:v>0.003529312113540324</x:v>
      </x:c>
      <x:c r="L1324" s="46" t="n">
        <x:v>0</x:v>
      </x:c>
      <x:c r="M1324" s="46" t="n">
        <x:v>0</x:v>
      </x:c>
      <x:c r="N1324" s="21" t="n">
        <x:f>IF(AND(L1323=1,M1323=1,P1323&gt;0),1,0)</x:f>
        <x:v>0</x:v>
      </x:c>
      <x:c r="O1324" s="21" t="n">
        <x:f>MIN('Root Data'!I400:I402)</x:f>
        <x:v>0</x:v>
      </x:c>
      <x:c r="P1324" s="44" t="n">
        <x:f>IF(AND(L1324=1,M1324=1,N1324=1,O1324&gt;=G1324),K1324,0)</x:f>
        <x:v>0</x:v>
      </x:c>
      <x:c r="Q1324" s="21" t="str">
        <x:v>OPEN</x:v>
      </x:c>
      <x:c r="R1324" s="23" t="str">
        <x:v>HOLD</x:v>
      </x:c>
    </x:row>
    <x:row r="1325">
      <x:c r="B1325" s="21" t="str">
        <x:v>AR-01319</x:v>
      </x:c>
      <x:c r="C1325" s="21" t="str">
        <x:v>F33-I4</x:v>
      </x:c>
      <x:c r="D1325" s="21" t="str">
        <x:v>F33</x:v>
      </x:c>
      <x:c r="E1325" s="21" t="n">
        <x:v>9</x:v>
      </x:c>
      <x:c r="F1325" s="21" t="str">
        <x:v>Production release package</x:v>
      </x:c>
      <x:c r="G1325" s="21" t="n">
        <x:v>28</x:v>
      </x:c>
      <x:c r="H1325" s="21" t="str">
        <x:v>Production Release Board</x:v>
      </x:c>
      <x:c r="I1325" s="44" t="n">
        <x:f>Lifecycle!G15</x:f>
        <x:v>0.01647012319652151</x:v>
      </x:c>
      <x:c r="J1325" s="44" t="n">
        <x:v>0.08928571428571429</x:v>
      </x:c>
      <x:c r="K1325" s="44" t="n">
        <x:f>I1325*J1325</x:f>
        <x:v>0.001470546713975135</x:v>
      </x:c>
      <x:c r="L1325" s="46" t="n">
        <x:v>0</x:v>
      </x:c>
      <x:c r="M1325" s="46" t="n">
        <x:v>0</x:v>
      </x:c>
      <x:c r="N1325" s="21" t="n">
        <x:f>IF(AND(L1324=1,M1324=1,P1324&gt;0),1,0)</x:f>
        <x:v>0</x:v>
      </x:c>
      <x:c r="O1325" s="21" t="n">
        <x:f>MIN('Root Data'!I400:I402)</x:f>
        <x:v>0</x:v>
      </x:c>
      <x:c r="P1325" s="44" t="n">
        <x:f>IF(AND(L1325=1,M1325=1,N1325=1,O1325&gt;=G1325),K1325,0)</x:f>
        <x:v>0</x:v>
      </x:c>
      <x:c r="Q1325" s="21" t="str">
        <x:v>OPEN</x:v>
      </x:c>
      <x:c r="R1325" s="23" t="str">
        <x:v>HOLD</x:v>
      </x:c>
    </x:row>
    <x:row r="1326">
      <x:c r="B1326" s="21" t="str">
        <x:v>AR-01320</x:v>
      </x:c>
      <x:c r="C1326" s="21" t="str">
        <x:v>F33-I4</x:v>
      </x:c>
      <x:c r="D1326" s="21" t="str">
        <x:v>F33</x:v>
      </x:c>
      <x:c r="E1326" s="21" t="n">
        <x:v>10</x:v>
      </x:c>
      <x:c r="F1326" s="21" t="str">
        <x:v>Mobilization activation</x:v>
      </x:c>
      <x:c r="G1326" s="21" t="n">
        <x:v>28</x:v>
      </x:c>
      <x:c r="H1326" s="21" t="str">
        <x:v>Production Release Board</x:v>
      </x:c>
      <x:c r="I1326" s="44" t="n">
        <x:f>Lifecycle!G16</x:f>
        <x:v>0.028262731405230914</x:v>
      </x:c>
      <x:c r="J1326" s="44" t="n">
        <x:v>0.08928571428571429</x:v>
      </x:c>
      <x:c r="K1326" s="44" t="n">
        <x:f>I1326*J1326</x:f>
        <x:v>0.002523458161181332</x:v>
      </x:c>
      <x:c r="L1326" s="46" t="n">
        <x:v>0</x:v>
      </x:c>
      <x:c r="M1326" s="46" t="n">
        <x:v>0</x:v>
      </x:c>
      <x:c r="N1326" s="21" t="n">
        <x:f>IF(AND(L1325=1,M1325=1,P1325&gt;0),1,0)</x:f>
        <x:v>0</x:v>
      </x:c>
      <x:c r="O1326" s="21" t="n">
        <x:f>MIN('Root Data'!I400:I402)</x:f>
        <x:v>0</x:v>
      </x:c>
      <x:c r="P1326" s="44" t="n">
        <x:f>IF(AND(L1326=1,M1326=1,N1326=1,O1326&gt;=G1326),K1326,0)</x:f>
        <x:v>0</x:v>
      </x:c>
      <x:c r="Q1326" s="21" t="str">
        <x:v>OPEN</x:v>
      </x:c>
      <x:c r="R1326" s="23" t="str">
        <x:v>HOLD</x:v>
      </x:c>
    </x:row>
    <x:row r="1327">
      <x:c r="B1327" s="21" t="str">
        <x:v>AR-01321</x:v>
      </x:c>
      <x:c r="C1327" s="21" t="str">
        <x:v>F34-I1</x:v>
      </x:c>
      <x:c r="D1327" s="21" t="str">
        <x:v>F34</x:v>
      </x:c>
      <x:c r="E1327" s="21" t="n">
        <x:v>1</x:v>
      </x:c>
      <x:c r="F1327" s="21" t="str">
        <x:v>Civil effect charter</x:v>
      </x:c>
      <x:c r="G1327" s="21" t="n">
        <x:v>0</x:v>
      </x:c>
      <x:c r="H1327" s="21" t="str">
        <x:v>Civil Guarantee Authority</x:v>
      </x:c>
      <x:c r="I1327" s="44" t="n">
        <x:f>Lifecycle!G7</x:f>
        <x:v>0.04941036958956453</x:v>
      </x:c>
      <x:c r="J1327" s="44" t="n">
        <x:v>0.08499999999999999</x:v>
      </x:c>
      <x:c r="K1327" s="44" t="n">
        <x:f>I1327*J1327</x:f>
        <x:v>0.004199881415112985</x:v>
      </x:c>
      <x:c r="L1327" s="46" t="n">
        <x:v>0</x:v>
      </x:c>
      <x:c r="M1327" s="46" t="n">
        <x:v>0</x:v>
      </x:c>
      <x:c r="N1327" s="21" t="n">
        <x:f>1</x:f>
        <x:v>1</x:v>
      </x:c>
      <x:c r="O1327" s="21" t="n">
        <x:f>MIN('Root Data'!I403:I405)</x:f>
        <x:v>0</x:v>
      </x:c>
      <x:c r="P1327" s="44" t="n">
        <x:f>IF(AND(L1327=1,M1327=1,N1327=1,O1327&gt;=G1327),K1327,0)</x:f>
        <x:v>0</x:v>
      </x:c>
      <x:c r="Q1327" s="21" t="str">
        <x:v>OPEN</x:v>
      </x:c>
      <x:c r="R1327" s="23" t="str">
        <x:v>HOLD</x:v>
      </x:c>
    </x:row>
    <x:row r="1328">
      <x:c r="B1328" s="21" t="str">
        <x:v>AR-01322</x:v>
      </x:c>
      <x:c r="C1328" s="21" t="str">
        <x:v>F34-I1</x:v>
      </x:c>
      <x:c r="D1328" s="21" t="str">
        <x:v>F34</x:v>
      </x:c>
      <x:c r="E1328" s="21" t="n">
        <x:v>2</x:v>
      </x:c>
      <x:c r="F1328" s="21" t="str">
        <x:v>Requirement and root-independence package</x:v>
      </x:c>
      <x:c r="G1328" s="21" t="n">
        <x:v>8</x:v>
      </x:c>
      <x:c r="H1328" s="21" t="str">
        <x:v>Resilience Staff</x:v>
      </x:c>
      <x:c r="I1328" s="44" t="n">
        <x:f>Lifecycle!G8</x:f>
        <x:v>0.10211476381843337</x:v>
      </x:c>
      <x:c r="J1328" s="44" t="n">
        <x:v>0.08499999999999999</x:v>
      </x:c>
      <x:c r="K1328" s="44" t="n">
        <x:f>I1328*J1328</x:f>
        <x:v>0.008679754924566836</x:v>
      </x:c>
      <x:c r="L1328" s="46" t="n">
        <x:v>0</x:v>
      </x:c>
      <x:c r="M1328" s="46" t="n">
        <x:v>0</x:v>
      </x:c>
      <x:c r="N1328" s="21" t="n">
        <x:f>IF(AND(L1327=1,M1327=1,P1327&gt;0),1,0)</x:f>
        <x:v>0</x:v>
      </x:c>
      <x:c r="O1328" s="21" t="n">
        <x:f>MIN('Root Data'!I403:I405)</x:f>
        <x:v>0</x:v>
      </x:c>
      <x:c r="P1328" s="44" t="n">
        <x:f>IF(AND(L1328=1,M1328=1,N1328=1,O1328&gt;=G1328),K1328,0)</x:f>
        <x:v>0</x:v>
      </x:c>
      <x:c r="Q1328" s="21" t="str">
        <x:v>OPEN</x:v>
      </x:c>
      <x:c r="R1328" s="23" t="str">
        <x:v>HOLD</x:v>
      </x:c>
    </x:row>
    <x:row r="1329">
      <x:c r="B1329" s="21" t="str">
        <x:v>AR-01323</x:v>
      </x:c>
      <x:c r="C1329" s="21" t="str">
        <x:v>F34-I1</x:v>
      </x:c>
      <x:c r="D1329" s="21" t="str">
        <x:v>F34</x:v>
      </x:c>
      <x:c r="E1329" s="21" t="n">
        <x:v>3</x:v>
      </x:c>
      <x:c r="F1329" s="21" t="str">
        <x:v>Architecture and burden closure</x:v>
      </x:c>
      <x:c r="G1329" s="21" t="n">
        <x:v>14</x:v>
      </x:c>
      <x:c r="H1329" s="21" t="str">
        <x:v>Independent Evidence and Data Authority</x:v>
      </x:c>
      <x:c r="I1329" s="44" t="n">
        <x:f>Lifecycle!G9</x:f>
        <x:v>0.08564464062191186</x:v>
      </x:c>
      <x:c r="J1329" s="44" t="n">
        <x:v>0.08499999999999999</x:v>
      </x:c>
      <x:c r="K1329" s="44" t="n">
        <x:f>I1329*J1329</x:f>
        <x:v>0.007279794452862508</x:v>
      </x:c>
      <x:c r="L1329" s="46" t="n">
        <x:v>0</x:v>
      </x:c>
      <x:c r="M1329" s="46" t="n">
        <x:v>0</x:v>
      </x:c>
      <x:c r="N1329" s="21" t="n">
        <x:f>IF(AND(L1328=1,M1328=1,P1328&gt;0),1,0)</x:f>
        <x:v>0</x:v>
      </x:c>
      <x:c r="O1329" s="21" t="n">
        <x:f>MIN('Root Data'!I403:I405)</x:f>
        <x:v>0</x:v>
      </x:c>
      <x:c r="P1329" s="44" t="n">
        <x:f>IF(AND(L1329=1,M1329=1,N1329=1,O1329&gt;=G1329),K1329,0)</x:f>
        <x:v>0</x:v>
      </x:c>
      <x:c r="Q1329" s="21" t="str">
        <x:v>OPEN</x:v>
      </x:c>
      <x:c r="R1329" s="23" t="str">
        <x:v>HOLD</x:v>
      </x:c>
    </x:row>
    <x:row r="1330">
      <x:c r="B1330" s="21" t="str">
        <x:v>AR-01324</x:v>
      </x:c>
      <x:c r="C1330" s="21" t="str">
        <x:v>F34-I1</x:v>
      </x:c>
      <x:c r="D1330" s="21" t="str">
        <x:v>F34</x:v>
      </x:c>
      <x:c r="E1330" s="21" t="n">
        <x:v>4</x:v>
      </x:c>
      <x:c r="F1330" s="21" t="str">
        <x:v>Engineering article acceptance</x:v>
      </x:c>
      <x:c r="G1330" s="21" t="n">
        <x:v>18</x:v>
      </x:c>
      <x:c r="H1330" s="21" t="str">
        <x:v>Independent Evidence and Data Authority</x:v>
      </x:c>
      <x:c r="I1330" s="44" t="n">
        <x:f>Lifecycle!G10</x:f>
        <x:v>0.05929244350747744</x:v>
      </x:c>
      <x:c r="J1330" s="44" t="n">
        <x:v>0.08499999999999999</x:v>
      </x:c>
      <x:c r="K1330" s="44" t="n">
        <x:f>I1330*J1330</x:f>
        <x:v>0.005039857698135582</x:v>
      </x:c>
      <x:c r="L1330" s="46" t="n">
        <x:v>0</x:v>
      </x:c>
      <x:c r="M1330" s="46" t="n">
        <x:v>0</x:v>
      </x:c>
      <x:c r="N1330" s="21" t="n">
        <x:f>IF(AND(L1329=1,M1329=1,P1329&gt;0),1,0)</x:f>
        <x:v>0</x:v>
      </x:c>
      <x:c r="O1330" s="21" t="n">
        <x:f>MIN('Root Data'!I403:I405)</x:f>
        <x:v>0</x:v>
      </x:c>
      <x:c r="P1330" s="44" t="n">
        <x:f>IF(AND(L1330=1,M1330=1,N1330=1,O1330&gt;=G1330),K1330,0)</x:f>
        <x:v>0</x:v>
      </x:c>
      <x:c r="Q1330" s="21" t="str">
        <x:v>OPEN</x:v>
      </x:c>
      <x:c r="R1330" s="23" t="str">
        <x:v>HOLD</x:v>
      </x:c>
    </x:row>
    <x:row r="1331">
      <x:c r="B1331" s="21" t="str">
        <x:v>AR-01325</x:v>
      </x:c>
      <x:c r="C1331" s="21" t="str">
        <x:v>F34-I1</x:v>
      </x:c>
      <x:c r="D1331" s="21" t="str">
        <x:v>F34</x:v>
      </x:c>
      <x:c r="E1331" s="21" t="n">
        <x:v>5</x:v>
      </x:c>
      <x:c r="F1331" s="21" t="str">
        <x:v>Qualification and destructive evidence</x:v>
      </x:c>
      <x:c r="G1331" s="21" t="n">
        <x:v>21</x:v>
      </x:c>
      <x:c r="H1331" s="21" t="str">
        <x:v>Independent Evidence and Data Authority</x:v>
      </x:c>
      <x:c r="I1331" s="44" t="n">
        <x:f>Lifecycle!G11</x:f>
        <x:v>0.1515251334079979</x:v>
      </x:c>
      <x:c r="J1331" s="44" t="n">
        <x:v>0.08499999999999999</x:v>
      </x:c>
      <x:c r="K1331" s="44" t="n">
        <x:f>I1331*J1331</x:f>
        <x:v>0.012879636339679819</x:v>
      </x:c>
      <x:c r="L1331" s="46" t="n">
        <x:v>0</x:v>
      </x:c>
      <x:c r="M1331" s="46" t="n">
        <x:v>0</x:v>
      </x:c>
      <x:c r="N1331" s="21" t="n">
        <x:f>IF(AND(L1330=1,M1330=1,P1330&gt;0),1,0)</x:f>
        <x:v>0</x:v>
      </x:c>
      <x:c r="O1331" s="21" t="n">
        <x:f>MIN('Root Data'!I403:I405)</x:f>
        <x:v>0</x:v>
      </x:c>
      <x:c r="P1331" s="44" t="n">
        <x:f>IF(AND(L1331=1,M1331=1,N1331=1,O1331&gt;=G1331),K1331,0)</x:f>
        <x:v>0</x:v>
      </x:c>
      <x:c r="Q1331" s="21" t="str">
        <x:v>OPEN</x:v>
      </x:c>
      <x:c r="R1331" s="23" t="str">
        <x:v>HOLD</x:v>
      </x:c>
    </x:row>
    <x:row r="1332">
      <x:c r="B1332" s="21" t="str">
        <x:v>AR-01326</x:v>
      </x:c>
      <x:c r="C1332" s="21" t="str">
        <x:v>F34-I1</x:v>
      </x:c>
      <x:c r="D1332" s="21" t="str">
        <x:v>F34</x:v>
      </x:c>
      <x:c r="E1332" s="21" t="n">
        <x:v>6</x:v>
      </x:c>
      <x:c r="F1332" s="21" t="str">
        <x:v>Representative mission result</x:v>
      </x:c>
      <x:c r="G1332" s="21" t="n">
        <x:v>23</x:v>
      </x:c>
      <x:c r="H1332" s="21" t="str">
        <x:v>Receiving Service Authority</x:v>
      </x:c>
      <x:c r="I1332" s="44" t="n">
        <x:f>Lifecycle!G12</x:f>
        <x:v>0.250345872587127</x:v>
      </x:c>
      <x:c r="J1332" s="44" t="n">
        <x:v>0.08499999999999999</x:v>
      </x:c>
      <x:c r="K1332" s="44" t="n">
        <x:f>I1332*J1332</x:f>
        <x:v>0.021279399169905792</x:v>
      </x:c>
      <x:c r="L1332" s="46" t="n">
        <x:v>0</x:v>
      </x:c>
      <x:c r="M1332" s="46" t="n">
        <x:v>0</x:v>
      </x:c>
      <x:c r="N1332" s="21" t="n">
        <x:f>IF(AND(L1331=1,M1331=1,P1331&gt;0),1,0)</x:f>
        <x:v>0</x:v>
      </x:c>
      <x:c r="O1332" s="21" t="n">
        <x:f>MIN('Root Data'!I403:I405)</x:f>
        <x:v>0</x:v>
      </x:c>
      <x:c r="P1332" s="44" t="n">
        <x:f>IF(AND(L1332=1,M1332=1,N1332=1,O1332&gt;=G1332),K1332,0)</x:f>
        <x:v>0</x:v>
      </x:c>
      <x:c r="Q1332" s="21" t="str">
        <x:v>OPEN</x:v>
      </x:c>
      <x:c r="R1332" s="23" t="str">
        <x:v>HOLD</x:v>
      </x:c>
    </x:row>
    <x:row r="1333">
      <x:c r="B1333" s="21" t="str">
        <x:v>AR-01327</x:v>
      </x:c>
      <x:c r="C1333" s="21" t="str">
        <x:v>F34-I1</x:v>
      </x:c>
      <x:c r="D1333" s="21" t="str">
        <x:v>F34</x:v>
      </x:c>
      <x:c r="E1333" s="21" t="n">
        <x:v>7</x:v>
      </x:c>
      <x:c r="F1333" s="21" t="str">
        <x:v>Independent reproduction</x:v>
      </x:c>
      <x:c r="G1333" s="21" t="n">
        <x:v>28</x:v>
      </x:c>
      <x:c r="H1333" s="21" t="str">
        <x:v>Independent Evidence and Data Authority</x:v>
      </x:c>
      <x:c r="I1333" s="44" t="n">
        <x:f>Lifecycle!G13</x:f>
        <x:v>0.21740562619408393</x:v>
      </x:c>
      <x:c r="J1333" s="44" t="n">
        <x:v>0.08499999999999999</x:v>
      </x:c>
      <x:c r="K1333" s="44" t="n">
        <x:f>I1333*J1333</x:f>
        <x:v>0.018479478226497134</x:v>
      </x:c>
      <x:c r="L1333" s="46" t="n">
        <x:v>0</x:v>
      </x:c>
      <x:c r="M1333" s="46" t="n">
        <x:v>0</x:v>
      </x:c>
      <x:c r="N1333" s="21" t="n">
        <x:f>IF(AND(L1332=1,M1332=1,P1332&gt;0),1,0)</x:f>
        <x:v>0</x:v>
      </x:c>
      <x:c r="O1333" s="21" t="n">
        <x:f>MIN('Root Data'!I403:I405)</x:f>
        <x:v>0</x:v>
      </x:c>
      <x:c r="P1333" s="44" t="n">
        <x:f>IF(AND(L1333=1,M1333=1,N1333=1,O1333&gt;=G1333),K1333,0)</x:f>
        <x:v>0</x:v>
      </x:c>
      <x:c r="Q1333" s="21" t="str">
        <x:v>OPEN</x:v>
      </x:c>
      <x:c r="R1333" s="23" t="str">
        <x:v>HOLD</x:v>
      </x:c>
    </x:row>
    <x:row r="1334">
      <x:c r="B1334" s="21" t="str">
        <x:v>AR-01328</x:v>
      </x:c>
      <x:c r="C1334" s="21" t="str">
        <x:v>F34-I1</x:v>
      </x:c>
      <x:c r="D1334" s="21" t="str">
        <x:v>F34</x:v>
      </x:c>
      <x:c r="E1334" s="21" t="n">
        <x:v>8</x:v>
      </x:c>
      <x:c r="F1334" s="21" t="str">
        <x:v>Pilot-process qualification</x:v>
      </x:c>
      <x:c r="G1334" s="21" t="n">
        <x:v>28</x:v>
      </x:c>
      <x:c r="H1334" s="21" t="str">
        <x:v>AIMC Industrial Mobilization Authority</x:v>
      </x:c>
      <x:c r="I1334" s="44" t="n">
        <x:f>Lifecycle!G14</x:f>
        <x:v>0.03952829567165163</x:v>
      </x:c>
      <x:c r="J1334" s="44" t="n">
        <x:v>0.08499999999999999</x:v>
      </x:c>
      <x:c r="K1334" s="44" t="n">
        <x:f>I1334*J1334</x:f>
        <x:v>0.003359905132090388</x:v>
      </x:c>
      <x:c r="L1334" s="46" t="n">
        <x:v>0</x:v>
      </x:c>
      <x:c r="M1334" s="46" t="n">
        <x:v>0</x:v>
      </x:c>
      <x:c r="N1334" s="21" t="n">
        <x:f>IF(AND(L1333=1,M1333=1,P1333&gt;0),1,0)</x:f>
        <x:v>0</x:v>
      </x:c>
      <x:c r="O1334" s="21" t="n">
        <x:f>MIN('Root Data'!I403:I405)</x:f>
        <x:v>0</x:v>
      </x:c>
      <x:c r="P1334" s="44" t="n">
        <x:f>IF(AND(L1334=1,M1334=1,N1334=1,O1334&gt;=G1334),K1334,0)</x:f>
        <x:v>0</x:v>
      </x:c>
      <x:c r="Q1334" s="21" t="str">
        <x:v>OPEN</x:v>
      </x:c>
      <x:c r="R1334" s="23" t="str">
        <x:v>HOLD</x:v>
      </x:c>
    </x:row>
    <x:row r="1335">
      <x:c r="B1335" s="21" t="str">
        <x:v>AR-01329</x:v>
      </x:c>
      <x:c r="C1335" s="21" t="str">
        <x:v>F34-I1</x:v>
      </x:c>
      <x:c r="D1335" s="21" t="str">
        <x:v>F34</x:v>
      </x:c>
      <x:c r="E1335" s="21" t="n">
        <x:v>9</x:v>
      </x:c>
      <x:c r="F1335" s="21" t="str">
        <x:v>Production release package</x:v>
      </x:c>
      <x:c r="G1335" s="21" t="n">
        <x:v>28</x:v>
      </x:c>
      <x:c r="H1335" s="21" t="str">
        <x:v>Production Release Board</x:v>
      </x:c>
      <x:c r="I1335" s="44" t="n">
        <x:f>Lifecycle!G15</x:f>
        <x:v>0.01647012319652151</x:v>
      </x:c>
      <x:c r="J1335" s="44" t="n">
        <x:v>0.08499999999999999</x:v>
      </x:c>
      <x:c r="K1335" s="44" t="n">
        <x:f>I1335*J1335</x:f>
        <x:v>0.0013999604717043282</x:v>
      </x:c>
      <x:c r="L1335" s="46" t="n">
        <x:v>0</x:v>
      </x:c>
      <x:c r="M1335" s="46" t="n">
        <x:v>0</x:v>
      </x:c>
      <x:c r="N1335" s="21" t="n">
        <x:f>IF(AND(L1334=1,M1334=1,P1334&gt;0),1,0)</x:f>
        <x:v>0</x:v>
      </x:c>
      <x:c r="O1335" s="21" t="n">
        <x:f>MIN('Root Data'!I403:I405)</x:f>
        <x:v>0</x:v>
      </x:c>
      <x:c r="P1335" s="44" t="n">
        <x:f>IF(AND(L1335=1,M1335=1,N1335=1,O1335&gt;=G1335),K1335,0)</x:f>
        <x:v>0</x:v>
      </x:c>
      <x:c r="Q1335" s="21" t="str">
        <x:v>OPEN</x:v>
      </x:c>
      <x:c r="R1335" s="23" t="str">
        <x:v>HOLD</x:v>
      </x:c>
    </x:row>
    <x:row r="1336">
      <x:c r="B1336" s="21" t="str">
        <x:v>AR-01330</x:v>
      </x:c>
      <x:c r="C1336" s="21" t="str">
        <x:v>F34-I1</x:v>
      </x:c>
      <x:c r="D1336" s="21" t="str">
        <x:v>F34</x:v>
      </x:c>
      <x:c r="E1336" s="21" t="n">
        <x:v>10</x:v>
      </x:c>
      <x:c r="F1336" s="21" t="str">
        <x:v>Mobilization activation</x:v>
      </x:c>
      <x:c r="G1336" s="21" t="n">
        <x:v>28</x:v>
      </x:c>
      <x:c r="H1336" s="21" t="str">
        <x:v>Production Release Board</x:v>
      </x:c>
      <x:c r="I1336" s="44" t="n">
        <x:f>Lifecycle!G16</x:f>
        <x:v>0.028262731405230914</x:v>
      </x:c>
      <x:c r="J1336" s="44" t="n">
        <x:v>0.08499999999999999</x:v>
      </x:c>
      <x:c r="K1336" s="44" t="n">
        <x:f>I1336*J1336</x:f>
        <x:v>0.0024023321694446277</x:v>
      </x:c>
      <x:c r="L1336" s="46" t="n">
        <x:v>0</x:v>
      </x:c>
      <x:c r="M1336" s="46" t="n">
        <x:v>0</x:v>
      </x:c>
      <x:c r="N1336" s="21" t="n">
        <x:f>IF(AND(L1335=1,M1335=1,P1335&gt;0),1,0)</x:f>
        <x:v>0</x:v>
      </x:c>
      <x:c r="O1336" s="21" t="n">
        <x:f>MIN('Root Data'!I403:I405)</x:f>
        <x:v>0</x:v>
      </x:c>
      <x:c r="P1336" s="44" t="n">
        <x:f>IF(AND(L1336=1,M1336=1,N1336=1,O1336&gt;=G1336),K1336,0)</x:f>
        <x:v>0</x:v>
      </x:c>
      <x:c r="Q1336" s="21" t="str">
        <x:v>OPEN</x:v>
      </x:c>
      <x:c r="R1336" s="23" t="str">
        <x:v>HOLD</x:v>
      </x:c>
    </x:row>
    <x:row r="1337">
      <x:c r="B1337" s="21" t="str">
        <x:v>AR-01331</x:v>
      </x:c>
      <x:c r="C1337" s="21" t="str">
        <x:v>F34-I2</x:v>
      </x:c>
      <x:c r="D1337" s="21" t="str">
        <x:v>F34</x:v>
      </x:c>
      <x:c r="E1337" s="21" t="n">
        <x:v>1</x:v>
      </x:c>
      <x:c r="F1337" s="21" t="str">
        <x:v>Civil effect charter</x:v>
      </x:c>
      <x:c r="G1337" s="21" t="n">
        <x:v>0</x:v>
      </x:c>
      <x:c r="H1337" s="21" t="str">
        <x:v>Civil Guarantee Authority</x:v>
      </x:c>
      <x:c r="I1337" s="44" t="n">
        <x:f>Lifecycle!G7</x:f>
        <x:v>0.04941036958956453</x:v>
      </x:c>
      <x:c r="J1337" s="44" t="n">
        <x:v>0.08499999999999999</x:v>
      </x:c>
      <x:c r="K1337" s="44" t="n">
        <x:f>I1337*J1337</x:f>
        <x:v>0.004199881415112985</x:v>
      </x:c>
      <x:c r="L1337" s="46" t="n">
        <x:v>0</x:v>
      </x:c>
      <x:c r="M1337" s="46" t="n">
        <x:v>0</x:v>
      </x:c>
      <x:c r="N1337" s="21" t="n">
        <x:f>1</x:f>
        <x:v>1</x:v>
      </x:c>
      <x:c r="O1337" s="21" t="n">
        <x:f>MIN('Root Data'!I406:I408)</x:f>
        <x:v>0</x:v>
      </x:c>
      <x:c r="P1337" s="44" t="n">
        <x:f>IF(AND(L1337=1,M1337=1,N1337=1,O1337&gt;=G1337),K1337,0)</x:f>
        <x:v>0</x:v>
      </x:c>
      <x:c r="Q1337" s="21" t="str">
        <x:v>OPEN</x:v>
      </x:c>
      <x:c r="R1337" s="23" t="str">
        <x:v>HOLD</x:v>
      </x:c>
    </x:row>
    <x:row r="1338">
      <x:c r="B1338" s="21" t="str">
        <x:v>AR-01332</x:v>
      </x:c>
      <x:c r="C1338" s="21" t="str">
        <x:v>F34-I2</x:v>
      </x:c>
      <x:c r="D1338" s="21" t="str">
        <x:v>F34</x:v>
      </x:c>
      <x:c r="E1338" s="21" t="n">
        <x:v>2</x:v>
      </x:c>
      <x:c r="F1338" s="21" t="str">
        <x:v>Requirement and root-independence package</x:v>
      </x:c>
      <x:c r="G1338" s="21" t="n">
        <x:v>8</x:v>
      </x:c>
      <x:c r="H1338" s="21" t="str">
        <x:v>Resilience Staff</x:v>
      </x:c>
      <x:c r="I1338" s="44" t="n">
        <x:f>Lifecycle!G8</x:f>
        <x:v>0.10211476381843337</x:v>
      </x:c>
      <x:c r="J1338" s="44" t="n">
        <x:v>0.08499999999999999</x:v>
      </x:c>
      <x:c r="K1338" s="44" t="n">
        <x:f>I1338*J1338</x:f>
        <x:v>0.008679754924566836</x:v>
      </x:c>
      <x:c r="L1338" s="46" t="n">
        <x:v>0</x:v>
      </x:c>
      <x:c r="M1338" s="46" t="n">
        <x:v>0</x:v>
      </x:c>
      <x:c r="N1338" s="21" t="n">
        <x:f>IF(AND(L1337=1,M1337=1,P1337&gt;0),1,0)</x:f>
        <x:v>0</x:v>
      </x:c>
      <x:c r="O1338" s="21" t="n">
        <x:f>MIN('Root Data'!I406:I408)</x:f>
        <x:v>0</x:v>
      </x:c>
      <x:c r="P1338" s="44" t="n">
        <x:f>IF(AND(L1338=1,M1338=1,N1338=1,O1338&gt;=G1338),K1338,0)</x:f>
        <x:v>0</x:v>
      </x:c>
      <x:c r="Q1338" s="21" t="str">
        <x:v>OPEN</x:v>
      </x:c>
      <x:c r="R1338" s="23" t="str">
        <x:v>HOLD</x:v>
      </x:c>
    </x:row>
    <x:row r="1339">
      <x:c r="B1339" s="21" t="str">
        <x:v>AR-01333</x:v>
      </x:c>
      <x:c r="C1339" s="21" t="str">
        <x:v>F34-I2</x:v>
      </x:c>
      <x:c r="D1339" s="21" t="str">
        <x:v>F34</x:v>
      </x:c>
      <x:c r="E1339" s="21" t="n">
        <x:v>3</x:v>
      </x:c>
      <x:c r="F1339" s="21" t="str">
        <x:v>Architecture and burden closure</x:v>
      </x:c>
      <x:c r="G1339" s="21" t="n">
        <x:v>14</x:v>
      </x:c>
      <x:c r="H1339" s="21" t="str">
        <x:v>Independent Evidence and Data Authority</x:v>
      </x:c>
      <x:c r="I1339" s="44" t="n">
        <x:f>Lifecycle!G9</x:f>
        <x:v>0.08564464062191186</x:v>
      </x:c>
      <x:c r="J1339" s="44" t="n">
        <x:v>0.08499999999999999</x:v>
      </x:c>
      <x:c r="K1339" s="44" t="n">
        <x:f>I1339*J1339</x:f>
        <x:v>0.007279794452862508</x:v>
      </x:c>
      <x:c r="L1339" s="46" t="n">
        <x:v>0</x:v>
      </x:c>
      <x:c r="M1339" s="46" t="n">
        <x:v>0</x:v>
      </x:c>
      <x:c r="N1339" s="21" t="n">
        <x:f>IF(AND(L1338=1,M1338=1,P1338&gt;0),1,0)</x:f>
        <x:v>0</x:v>
      </x:c>
      <x:c r="O1339" s="21" t="n">
        <x:f>MIN('Root Data'!I406:I408)</x:f>
        <x:v>0</x:v>
      </x:c>
      <x:c r="P1339" s="44" t="n">
        <x:f>IF(AND(L1339=1,M1339=1,N1339=1,O1339&gt;=G1339),K1339,0)</x:f>
        <x:v>0</x:v>
      </x:c>
      <x:c r="Q1339" s="21" t="str">
        <x:v>OPEN</x:v>
      </x:c>
      <x:c r="R1339" s="23" t="str">
        <x:v>HOLD</x:v>
      </x:c>
    </x:row>
    <x:row r="1340">
      <x:c r="B1340" s="21" t="str">
        <x:v>AR-01334</x:v>
      </x:c>
      <x:c r="C1340" s="21" t="str">
        <x:v>F34-I2</x:v>
      </x:c>
      <x:c r="D1340" s="21" t="str">
        <x:v>F34</x:v>
      </x:c>
      <x:c r="E1340" s="21" t="n">
        <x:v>4</x:v>
      </x:c>
      <x:c r="F1340" s="21" t="str">
        <x:v>Engineering article acceptance</x:v>
      </x:c>
      <x:c r="G1340" s="21" t="n">
        <x:v>18</x:v>
      </x:c>
      <x:c r="H1340" s="21" t="str">
        <x:v>Independent Evidence and Data Authority</x:v>
      </x:c>
      <x:c r="I1340" s="44" t="n">
        <x:f>Lifecycle!G10</x:f>
        <x:v>0.05929244350747744</x:v>
      </x:c>
      <x:c r="J1340" s="44" t="n">
        <x:v>0.08499999999999999</x:v>
      </x:c>
      <x:c r="K1340" s="44" t="n">
        <x:f>I1340*J1340</x:f>
        <x:v>0.005039857698135582</x:v>
      </x:c>
      <x:c r="L1340" s="46" t="n">
        <x:v>0</x:v>
      </x:c>
      <x:c r="M1340" s="46" t="n">
        <x:v>0</x:v>
      </x:c>
      <x:c r="N1340" s="21" t="n">
        <x:f>IF(AND(L1339=1,M1339=1,P1339&gt;0),1,0)</x:f>
        <x:v>0</x:v>
      </x:c>
      <x:c r="O1340" s="21" t="n">
        <x:f>MIN('Root Data'!I406:I408)</x:f>
        <x:v>0</x:v>
      </x:c>
      <x:c r="P1340" s="44" t="n">
        <x:f>IF(AND(L1340=1,M1340=1,N1340=1,O1340&gt;=G1340),K1340,0)</x:f>
        <x:v>0</x:v>
      </x:c>
      <x:c r="Q1340" s="21" t="str">
        <x:v>OPEN</x:v>
      </x:c>
      <x:c r="R1340" s="23" t="str">
        <x:v>HOLD</x:v>
      </x:c>
    </x:row>
    <x:row r="1341">
      <x:c r="B1341" s="21" t="str">
        <x:v>AR-01335</x:v>
      </x:c>
      <x:c r="C1341" s="21" t="str">
        <x:v>F34-I2</x:v>
      </x:c>
      <x:c r="D1341" s="21" t="str">
        <x:v>F34</x:v>
      </x:c>
      <x:c r="E1341" s="21" t="n">
        <x:v>5</x:v>
      </x:c>
      <x:c r="F1341" s="21" t="str">
        <x:v>Qualification and destructive evidence</x:v>
      </x:c>
      <x:c r="G1341" s="21" t="n">
        <x:v>21</x:v>
      </x:c>
      <x:c r="H1341" s="21" t="str">
        <x:v>Independent Evidence and Data Authority</x:v>
      </x:c>
      <x:c r="I1341" s="44" t="n">
        <x:f>Lifecycle!G11</x:f>
        <x:v>0.1515251334079979</x:v>
      </x:c>
      <x:c r="J1341" s="44" t="n">
        <x:v>0.08499999999999999</x:v>
      </x:c>
      <x:c r="K1341" s="44" t="n">
        <x:f>I1341*J1341</x:f>
        <x:v>0.012879636339679819</x:v>
      </x:c>
      <x:c r="L1341" s="46" t="n">
        <x:v>0</x:v>
      </x:c>
      <x:c r="M1341" s="46" t="n">
        <x:v>0</x:v>
      </x:c>
      <x:c r="N1341" s="21" t="n">
        <x:f>IF(AND(L1340=1,M1340=1,P1340&gt;0),1,0)</x:f>
        <x:v>0</x:v>
      </x:c>
      <x:c r="O1341" s="21" t="n">
        <x:f>MIN('Root Data'!I406:I408)</x:f>
        <x:v>0</x:v>
      </x:c>
      <x:c r="P1341" s="44" t="n">
        <x:f>IF(AND(L1341=1,M1341=1,N1341=1,O1341&gt;=G1341),K1341,0)</x:f>
        <x:v>0</x:v>
      </x:c>
      <x:c r="Q1341" s="21" t="str">
        <x:v>OPEN</x:v>
      </x:c>
      <x:c r="R1341" s="23" t="str">
        <x:v>HOLD</x:v>
      </x:c>
    </x:row>
    <x:row r="1342">
      <x:c r="B1342" s="21" t="str">
        <x:v>AR-01336</x:v>
      </x:c>
      <x:c r="C1342" s="21" t="str">
        <x:v>F34-I2</x:v>
      </x:c>
      <x:c r="D1342" s="21" t="str">
        <x:v>F34</x:v>
      </x:c>
      <x:c r="E1342" s="21" t="n">
        <x:v>6</x:v>
      </x:c>
      <x:c r="F1342" s="21" t="str">
        <x:v>Representative mission result</x:v>
      </x:c>
      <x:c r="G1342" s="21" t="n">
        <x:v>23</x:v>
      </x:c>
      <x:c r="H1342" s="21" t="str">
        <x:v>Receiving Service Authority</x:v>
      </x:c>
      <x:c r="I1342" s="44" t="n">
        <x:f>Lifecycle!G12</x:f>
        <x:v>0.250345872587127</x:v>
      </x:c>
      <x:c r="J1342" s="44" t="n">
        <x:v>0.08499999999999999</x:v>
      </x:c>
      <x:c r="K1342" s="44" t="n">
        <x:f>I1342*J1342</x:f>
        <x:v>0.021279399169905792</x:v>
      </x:c>
      <x:c r="L1342" s="46" t="n">
        <x:v>0</x:v>
      </x:c>
      <x:c r="M1342" s="46" t="n">
        <x:v>0</x:v>
      </x:c>
      <x:c r="N1342" s="21" t="n">
        <x:f>IF(AND(L1341=1,M1341=1,P1341&gt;0),1,0)</x:f>
        <x:v>0</x:v>
      </x:c>
      <x:c r="O1342" s="21" t="n">
        <x:f>MIN('Root Data'!I406:I408)</x:f>
        <x:v>0</x:v>
      </x:c>
      <x:c r="P1342" s="44" t="n">
        <x:f>IF(AND(L1342=1,M1342=1,N1342=1,O1342&gt;=G1342),K1342,0)</x:f>
        <x:v>0</x:v>
      </x:c>
      <x:c r="Q1342" s="21" t="str">
        <x:v>OPEN</x:v>
      </x:c>
      <x:c r="R1342" s="23" t="str">
        <x:v>HOLD</x:v>
      </x:c>
    </x:row>
    <x:row r="1343">
      <x:c r="B1343" s="21" t="str">
        <x:v>AR-01337</x:v>
      </x:c>
      <x:c r="C1343" s="21" t="str">
        <x:v>F34-I2</x:v>
      </x:c>
      <x:c r="D1343" s="21" t="str">
        <x:v>F34</x:v>
      </x:c>
      <x:c r="E1343" s="21" t="n">
        <x:v>7</x:v>
      </x:c>
      <x:c r="F1343" s="21" t="str">
        <x:v>Independent reproduction</x:v>
      </x:c>
      <x:c r="G1343" s="21" t="n">
        <x:v>28</x:v>
      </x:c>
      <x:c r="H1343" s="21" t="str">
        <x:v>Independent Evidence and Data Authority</x:v>
      </x:c>
      <x:c r="I1343" s="44" t="n">
        <x:f>Lifecycle!G13</x:f>
        <x:v>0.21740562619408393</x:v>
      </x:c>
      <x:c r="J1343" s="44" t="n">
        <x:v>0.08499999999999999</x:v>
      </x:c>
      <x:c r="K1343" s="44" t="n">
        <x:f>I1343*J1343</x:f>
        <x:v>0.018479478226497134</x:v>
      </x:c>
      <x:c r="L1343" s="46" t="n">
        <x:v>0</x:v>
      </x:c>
      <x:c r="M1343" s="46" t="n">
        <x:v>0</x:v>
      </x:c>
      <x:c r="N1343" s="21" t="n">
        <x:f>IF(AND(L1342=1,M1342=1,P1342&gt;0),1,0)</x:f>
        <x:v>0</x:v>
      </x:c>
      <x:c r="O1343" s="21" t="n">
        <x:f>MIN('Root Data'!I406:I408)</x:f>
        <x:v>0</x:v>
      </x:c>
      <x:c r="P1343" s="44" t="n">
        <x:f>IF(AND(L1343=1,M1343=1,N1343=1,O1343&gt;=G1343),K1343,0)</x:f>
        <x:v>0</x:v>
      </x:c>
      <x:c r="Q1343" s="21" t="str">
        <x:v>OPEN</x:v>
      </x:c>
      <x:c r="R1343" s="23" t="str">
        <x:v>HOLD</x:v>
      </x:c>
    </x:row>
    <x:row r="1344">
      <x:c r="B1344" s="21" t="str">
        <x:v>AR-01338</x:v>
      </x:c>
      <x:c r="C1344" s="21" t="str">
        <x:v>F34-I2</x:v>
      </x:c>
      <x:c r="D1344" s="21" t="str">
        <x:v>F34</x:v>
      </x:c>
      <x:c r="E1344" s="21" t="n">
        <x:v>8</x:v>
      </x:c>
      <x:c r="F1344" s="21" t="str">
        <x:v>Pilot-process qualification</x:v>
      </x:c>
      <x:c r="G1344" s="21" t="n">
        <x:v>28</x:v>
      </x:c>
      <x:c r="H1344" s="21" t="str">
        <x:v>AIMC Industrial Mobilization Authority</x:v>
      </x:c>
      <x:c r="I1344" s="44" t="n">
        <x:f>Lifecycle!G14</x:f>
        <x:v>0.03952829567165163</x:v>
      </x:c>
      <x:c r="J1344" s="44" t="n">
        <x:v>0.08499999999999999</x:v>
      </x:c>
      <x:c r="K1344" s="44" t="n">
        <x:f>I1344*J1344</x:f>
        <x:v>0.003359905132090388</x:v>
      </x:c>
      <x:c r="L1344" s="46" t="n">
        <x:v>0</x:v>
      </x:c>
      <x:c r="M1344" s="46" t="n">
        <x:v>0</x:v>
      </x:c>
      <x:c r="N1344" s="21" t="n">
        <x:f>IF(AND(L1343=1,M1343=1,P1343&gt;0),1,0)</x:f>
        <x:v>0</x:v>
      </x:c>
      <x:c r="O1344" s="21" t="n">
        <x:f>MIN('Root Data'!I406:I408)</x:f>
        <x:v>0</x:v>
      </x:c>
      <x:c r="P1344" s="44" t="n">
        <x:f>IF(AND(L1344=1,M1344=1,N1344=1,O1344&gt;=G1344),K1344,0)</x:f>
        <x:v>0</x:v>
      </x:c>
      <x:c r="Q1344" s="21" t="str">
        <x:v>OPEN</x:v>
      </x:c>
      <x:c r="R1344" s="23" t="str">
        <x:v>HOLD</x:v>
      </x:c>
    </x:row>
    <x:row r="1345">
      <x:c r="B1345" s="21" t="str">
        <x:v>AR-01339</x:v>
      </x:c>
      <x:c r="C1345" s="21" t="str">
        <x:v>F34-I2</x:v>
      </x:c>
      <x:c r="D1345" s="21" t="str">
        <x:v>F34</x:v>
      </x:c>
      <x:c r="E1345" s="21" t="n">
        <x:v>9</x:v>
      </x:c>
      <x:c r="F1345" s="21" t="str">
        <x:v>Production release package</x:v>
      </x:c>
      <x:c r="G1345" s="21" t="n">
        <x:v>28</x:v>
      </x:c>
      <x:c r="H1345" s="21" t="str">
        <x:v>Production Release Board</x:v>
      </x:c>
      <x:c r="I1345" s="44" t="n">
        <x:f>Lifecycle!G15</x:f>
        <x:v>0.01647012319652151</x:v>
      </x:c>
      <x:c r="J1345" s="44" t="n">
        <x:v>0.08499999999999999</x:v>
      </x:c>
      <x:c r="K1345" s="44" t="n">
        <x:f>I1345*J1345</x:f>
        <x:v>0.0013999604717043282</x:v>
      </x:c>
      <x:c r="L1345" s="46" t="n">
        <x:v>0</x:v>
      </x:c>
      <x:c r="M1345" s="46" t="n">
        <x:v>0</x:v>
      </x:c>
      <x:c r="N1345" s="21" t="n">
        <x:f>IF(AND(L1344=1,M1344=1,P1344&gt;0),1,0)</x:f>
        <x:v>0</x:v>
      </x:c>
      <x:c r="O1345" s="21" t="n">
        <x:f>MIN('Root Data'!I406:I408)</x:f>
        <x:v>0</x:v>
      </x:c>
      <x:c r="P1345" s="44" t="n">
        <x:f>IF(AND(L1345=1,M1345=1,N1345=1,O1345&gt;=G1345),K1345,0)</x:f>
        <x:v>0</x:v>
      </x:c>
      <x:c r="Q1345" s="21" t="str">
        <x:v>OPEN</x:v>
      </x:c>
      <x:c r="R1345" s="23" t="str">
        <x:v>HOLD</x:v>
      </x:c>
    </x:row>
    <x:row r="1346">
      <x:c r="B1346" s="21" t="str">
        <x:v>AR-01340</x:v>
      </x:c>
      <x:c r="C1346" s="21" t="str">
        <x:v>F34-I2</x:v>
      </x:c>
      <x:c r="D1346" s="21" t="str">
        <x:v>F34</x:v>
      </x:c>
      <x:c r="E1346" s="21" t="n">
        <x:v>10</x:v>
      </x:c>
      <x:c r="F1346" s="21" t="str">
        <x:v>Mobilization activation</x:v>
      </x:c>
      <x:c r="G1346" s="21" t="n">
        <x:v>28</x:v>
      </x:c>
      <x:c r="H1346" s="21" t="str">
        <x:v>Production Release Board</x:v>
      </x:c>
      <x:c r="I1346" s="44" t="n">
        <x:f>Lifecycle!G16</x:f>
        <x:v>0.028262731405230914</x:v>
      </x:c>
      <x:c r="J1346" s="44" t="n">
        <x:v>0.08499999999999999</x:v>
      </x:c>
      <x:c r="K1346" s="44" t="n">
        <x:f>I1346*J1346</x:f>
        <x:v>0.0024023321694446277</x:v>
      </x:c>
      <x:c r="L1346" s="46" t="n">
        <x:v>0</x:v>
      </x:c>
      <x:c r="M1346" s="46" t="n">
        <x:v>0</x:v>
      </x:c>
      <x:c r="N1346" s="21" t="n">
        <x:f>IF(AND(L1345=1,M1345=1,P1345&gt;0),1,0)</x:f>
        <x:v>0</x:v>
      </x:c>
      <x:c r="O1346" s="21" t="n">
        <x:f>MIN('Root Data'!I406:I408)</x:f>
        <x:v>0</x:v>
      </x:c>
      <x:c r="P1346" s="44" t="n">
        <x:f>IF(AND(L1346=1,M1346=1,N1346=1,O1346&gt;=G1346),K1346,0)</x:f>
        <x:v>0</x:v>
      </x:c>
      <x:c r="Q1346" s="21" t="str">
        <x:v>OPEN</x:v>
      </x:c>
      <x:c r="R1346" s="23" t="str">
        <x:v>HOLD</x:v>
      </x:c>
    </x:row>
    <x:row r="1347">
      <x:c r="B1347" s="21" t="str">
        <x:v>AR-01341</x:v>
      </x:c>
      <x:c r="C1347" s="21" t="str">
        <x:v>F34-I3</x:v>
      </x:c>
      <x:c r="D1347" s="21" t="str">
        <x:v>F34</x:v>
      </x:c>
      <x:c r="E1347" s="21" t="n">
        <x:v>1</x:v>
      </x:c>
      <x:c r="F1347" s="21" t="str">
        <x:v>Civil effect charter</x:v>
      </x:c>
      <x:c r="G1347" s="21" t="n">
        <x:v>0</x:v>
      </x:c>
      <x:c r="H1347" s="21" t="str">
        <x:v>Civil Guarantee Authority</x:v>
      </x:c>
      <x:c r="I1347" s="44" t="n">
        <x:f>Lifecycle!G7</x:f>
        <x:v>0.04941036958956453</x:v>
      </x:c>
      <x:c r="J1347" s="44" t="n">
        <x:v>0.08499999999999999</x:v>
      </x:c>
      <x:c r="K1347" s="44" t="n">
        <x:f>I1347*J1347</x:f>
        <x:v>0.004199881415112985</x:v>
      </x:c>
      <x:c r="L1347" s="46" t="n">
        <x:v>0</x:v>
      </x:c>
      <x:c r="M1347" s="46" t="n">
        <x:v>0</x:v>
      </x:c>
      <x:c r="N1347" s="21" t="n">
        <x:f>1</x:f>
        <x:v>1</x:v>
      </x:c>
      <x:c r="O1347" s="21" t="n">
        <x:f>MIN('Root Data'!I409:I411)</x:f>
        <x:v>0</x:v>
      </x:c>
      <x:c r="P1347" s="44" t="n">
        <x:f>IF(AND(L1347=1,M1347=1,N1347=1,O1347&gt;=G1347),K1347,0)</x:f>
        <x:v>0</x:v>
      </x:c>
      <x:c r="Q1347" s="21" t="str">
        <x:v>OPEN</x:v>
      </x:c>
      <x:c r="R1347" s="23" t="str">
        <x:v>HOLD</x:v>
      </x:c>
    </x:row>
    <x:row r="1348">
      <x:c r="B1348" s="21" t="str">
        <x:v>AR-01342</x:v>
      </x:c>
      <x:c r="C1348" s="21" t="str">
        <x:v>F34-I3</x:v>
      </x:c>
      <x:c r="D1348" s="21" t="str">
        <x:v>F34</x:v>
      </x:c>
      <x:c r="E1348" s="21" t="n">
        <x:v>2</x:v>
      </x:c>
      <x:c r="F1348" s="21" t="str">
        <x:v>Requirement and root-independence package</x:v>
      </x:c>
      <x:c r="G1348" s="21" t="n">
        <x:v>8</x:v>
      </x:c>
      <x:c r="H1348" s="21" t="str">
        <x:v>Resilience Staff</x:v>
      </x:c>
      <x:c r="I1348" s="44" t="n">
        <x:f>Lifecycle!G8</x:f>
        <x:v>0.10211476381843337</x:v>
      </x:c>
      <x:c r="J1348" s="44" t="n">
        <x:v>0.08499999999999999</x:v>
      </x:c>
      <x:c r="K1348" s="44" t="n">
        <x:f>I1348*J1348</x:f>
        <x:v>0.008679754924566836</x:v>
      </x:c>
      <x:c r="L1348" s="46" t="n">
        <x:v>0</x:v>
      </x:c>
      <x:c r="M1348" s="46" t="n">
        <x:v>0</x:v>
      </x:c>
      <x:c r="N1348" s="21" t="n">
        <x:f>IF(AND(L1347=1,M1347=1,P1347&gt;0),1,0)</x:f>
        <x:v>0</x:v>
      </x:c>
      <x:c r="O1348" s="21" t="n">
        <x:f>MIN('Root Data'!I409:I411)</x:f>
        <x:v>0</x:v>
      </x:c>
      <x:c r="P1348" s="44" t="n">
        <x:f>IF(AND(L1348=1,M1348=1,N1348=1,O1348&gt;=G1348),K1348,0)</x:f>
        <x:v>0</x:v>
      </x:c>
      <x:c r="Q1348" s="21" t="str">
        <x:v>OPEN</x:v>
      </x:c>
      <x:c r="R1348" s="23" t="str">
        <x:v>HOLD</x:v>
      </x:c>
    </x:row>
    <x:row r="1349">
      <x:c r="B1349" s="21" t="str">
        <x:v>AR-01343</x:v>
      </x:c>
      <x:c r="C1349" s="21" t="str">
        <x:v>F34-I3</x:v>
      </x:c>
      <x:c r="D1349" s="21" t="str">
        <x:v>F34</x:v>
      </x:c>
      <x:c r="E1349" s="21" t="n">
        <x:v>3</x:v>
      </x:c>
      <x:c r="F1349" s="21" t="str">
        <x:v>Architecture and burden closure</x:v>
      </x:c>
      <x:c r="G1349" s="21" t="n">
        <x:v>14</x:v>
      </x:c>
      <x:c r="H1349" s="21" t="str">
        <x:v>Independent Evidence and Data Authority</x:v>
      </x:c>
      <x:c r="I1349" s="44" t="n">
        <x:f>Lifecycle!G9</x:f>
        <x:v>0.08564464062191186</x:v>
      </x:c>
      <x:c r="J1349" s="44" t="n">
        <x:v>0.08499999999999999</x:v>
      </x:c>
      <x:c r="K1349" s="44" t="n">
        <x:f>I1349*J1349</x:f>
        <x:v>0.007279794452862508</x:v>
      </x:c>
      <x:c r="L1349" s="46" t="n">
        <x:v>0</x:v>
      </x:c>
      <x:c r="M1349" s="46" t="n">
        <x:v>0</x:v>
      </x:c>
      <x:c r="N1349" s="21" t="n">
        <x:f>IF(AND(L1348=1,M1348=1,P1348&gt;0),1,0)</x:f>
        <x:v>0</x:v>
      </x:c>
      <x:c r="O1349" s="21" t="n">
        <x:f>MIN('Root Data'!I409:I411)</x:f>
        <x:v>0</x:v>
      </x:c>
      <x:c r="P1349" s="44" t="n">
        <x:f>IF(AND(L1349=1,M1349=1,N1349=1,O1349&gt;=G1349),K1349,0)</x:f>
        <x:v>0</x:v>
      </x:c>
      <x:c r="Q1349" s="21" t="str">
        <x:v>OPEN</x:v>
      </x:c>
      <x:c r="R1349" s="23" t="str">
        <x:v>HOLD</x:v>
      </x:c>
    </x:row>
    <x:row r="1350">
      <x:c r="B1350" s="21" t="str">
        <x:v>AR-01344</x:v>
      </x:c>
      <x:c r="C1350" s="21" t="str">
        <x:v>F34-I3</x:v>
      </x:c>
      <x:c r="D1350" s="21" t="str">
        <x:v>F34</x:v>
      </x:c>
      <x:c r="E1350" s="21" t="n">
        <x:v>4</x:v>
      </x:c>
      <x:c r="F1350" s="21" t="str">
        <x:v>Engineering article acceptance</x:v>
      </x:c>
      <x:c r="G1350" s="21" t="n">
        <x:v>18</x:v>
      </x:c>
      <x:c r="H1350" s="21" t="str">
        <x:v>Independent Evidence and Data Authority</x:v>
      </x:c>
      <x:c r="I1350" s="44" t="n">
        <x:f>Lifecycle!G10</x:f>
        <x:v>0.05929244350747744</x:v>
      </x:c>
      <x:c r="J1350" s="44" t="n">
        <x:v>0.08499999999999999</x:v>
      </x:c>
      <x:c r="K1350" s="44" t="n">
        <x:f>I1350*J1350</x:f>
        <x:v>0.005039857698135582</x:v>
      </x:c>
      <x:c r="L1350" s="46" t="n">
        <x:v>0</x:v>
      </x:c>
      <x:c r="M1350" s="46" t="n">
        <x:v>0</x:v>
      </x:c>
      <x:c r="N1350" s="21" t="n">
        <x:f>IF(AND(L1349=1,M1349=1,P1349&gt;0),1,0)</x:f>
        <x:v>0</x:v>
      </x:c>
      <x:c r="O1350" s="21" t="n">
        <x:f>MIN('Root Data'!I409:I411)</x:f>
        <x:v>0</x:v>
      </x:c>
      <x:c r="P1350" s="44" t="n">
        <x:f>IF(AND(L1350=1,M1350=1,N1350=1,O1350&gt;=G1350),K1350,0)</x:f>
        <x:v>0</x:v>
      </x:c>
      <x:c r="Q1350" s="21" t="str">
        <x:v>OPEN</x:v>
      </x:c>
      <x:c r="R1350" s="23" t="str">
        <x:v>HOLD</x:v>
      </x:c>
    </x:row>
    <x:row r="1351">
      <x:c r="B1351" s="21" t="str">
        <x:v>AR-01345</x:v>
      </x:c>
      <x:c r="C1351" s="21" t="str">
        <x:v>F34-I3</x:v>
      </x:c>
      <x:c r="D1351" s="21" t="str">
        <x:v>F34</x:v>
      </x:c>
      <x:c r="E1351" s="21" t="n">
        <x:v>5</x:v>
      </x:c>
      <x:c r="F1351" s="21" t="str">
        <x:v>Qualification and destructive evidence</x:v>
      </x:c>
      <x:c r="G1351" s="21" t="n">
        <x:v>21</x:v>
      </x:c>
      <x:c r="H1351" s="21" t="str">
        <x:v>Independent Evidence and Data Authority</x:v>
      </x:c>
      <x:c r="I1351" s="44" t="n">
        <x:f>Lifecycle!G11</x:f>
        <x:v>0.1515251334079979</x:v>
      </x:c>
      <x:c r="J1351" s="44" t="n">
        <x:v>0.08499999999999999</x:v>
      </x:c>
      <x:c r="K1351" s="44" t="n">
        <x:f>I1351*J1351</x:f>
        <x:v>0.012879636339679819</x:v>
      </x:c>
      <x:c r="L1351" s="46" t="n">
        <x:v>0</x:v>
      </x:c>
      <x:c r="M1351" s="46" t="n">
        <x:v>0</x:v>
      </x:c>
      <x:c r="N1351" s="21" t="n">
        <x:f>IF(AND(L1350=1,M1350=1,P1350&gt;0),1,0)</x:f>
        <x:v>0</x:v>
      </x:c>
      <x:c r="O1351" s="21" t="n">
        <x:f>MIN('Root Data'!I409:I411)</x:f>
        <x:v>0</x:v>
      </x:c>
      <x:c r="P1351" s="44" t="n">
        <x:f>IF(AND(L1351=1,M1351=1,N1351=1,O1351&gt;=G1351),K1351,0)</x:f>
        <x:v>0</x:v>
      </x:c>
      <x:c r="Q1351" s="21" t="str">
        <x:v>OPEN</x:v>
      </x:c>
      <x:c r="R1351" s="23" t="str">
        <x:v>HOLD</x:v>
      </x:c>
    </x:row>
    <x:row r="1352">
      <x:c r="B1352" s="21" t="str">
        <x:v>AR-01346</x:v>
      </x:c>
      <x:c r="C1352" s="21" t="str">
        <x:v>F34-I3</x:v>
      </x:c>
      <x:c r="D1352" s="21" t="str">
        <x:v>F34</x:v>
      </x:c>
      <x:c r="E1352" s="21" t="n">
        <x:v>6</x:v>
      </x:c>
      <x:c r="F1352" s="21" t="str">
        <x:v>Representative mission result</x:v>
      </x:c>
      <x:c r="G1352" s="21" t="n">
        <x:v>23</x:v>
      </x:c>
      <x:c r="H1352" s="21" t="str">
        <x:v>Receiving Service Authority</x:v>
      </x:c>
      <x:c r="I1352" s="44" t="n">
        <x:f>Lifecycle!G12</x:f>
        <x:v>0.250345872587127</x:v>
      </x:c>
      <x:c r="J1352" s="44" t="n">
        <x:v>0.08499999999999999</x:v>
      </x:c>
      <x:c r="K1352" s="44" t="n">
        <x:f>I1352*J1352</x:f>
        <x:v>0.021279399169905792</x:v>
      </x:c>
      <x:c r="L1352" s="46" t="n">
        <x:v>0</x:v>
      </x:c>
      <x:c r="M1352" s="46" t="n">
        <x:v>0</x:v>
      </x:c>
      <x:c r="N1352" s="21" t="n">
        <x:f>IF(AND(L1351=1,M1351=1,P1351&gt;0),1,0)</x:f>
        <x:v>0</x:v>
      </x:c>
      <x:c r="O1352" s="21" t="n">
        <x:f>MIN('Root Data'!I409:I411)</x:f>
        <x:v>0</x:v>
      </x:c>
      <x:c r="P1352" s="44" t="n">
        <x:f>IF(AND(L1352=1,M1352=1,N1352=1,O1352&gt;=G1352),K1352,0)</x:f>
        <x:v>0</x:v>
      </x:c>
      <x:c r="Q1352" s="21" t="str">
        <x:v>OPEN</x:v>
      </x:c>
      <x:c r="R1352" s="23" t="str">
        <x:v>HOLD</x:v>
      </x:c>
    </x:row>
    <x:row r="1353">
      <x:c r="B1353" s="21" t="str">
        <x:v>AR-01347</x:v>
      </x:c>
      <x:c r="C1353" s="21" t="str">
        <x:v>F34-I3</x:v>
      </x:c>
      <x:c r="D1353" s="21" t="str">
        <x:v>F34</x:v>
      </x:c>
      <x:c r="E1353" s="21" t="n">
        <x:v>7</x:v>
      </x:c>
      <x:c r="F1353" s="21" t="str">
        <x:v>Independent reproduction</x:v>
      </x:c>
      <x:c r="G1353" s="21" t="n">
        <x:v>28</x:v>
      </x:c>
      <x:c r="H1353" s="21" t="str">
        <x:v>Independent Evidence and Data Authority</x:v>
      </x:c>
      <x:c r="I1353" s="44" t="n">
        <x:f>Lifecycle!G13</x:f>
        <x:v>0.21740562619408393</x:v>
      </x:c>
      <x:c r="J1353" s="44" t="n">
        <x:v>0.08499999999999999</x:v>
      </x:c>
      <x:c r="K1353" s="44" t="n">
        <x:f>I1353*J1353</x:f>
        <x:v>0.018479478226497134</x:v>
      </x:c>
      <x:c r="L1353" s="46" t="n">
        <x:v>0</x:v>
      </x:c>
      <x:c r="M1353" s="46" t="n">
        <x:v>0</x:v>
      </x:c>
      <x:c r="N1353" s="21" t="n">
        <x:f>IF(AND(L1352=1,M1352=1,P1352&gt;0),1,0)</x:f>
        <x:v>0</x:v>
      </x:c>
      <x:c r="O1353" s="21" t="n">
        <x:f>MIN('Root Data'!I409:I411)</x:f>
        <x:v>0</x:v>
      </x:c>
      <x:c r="P1353" s="44" t="n">
        <x:f>IF(AND(L1353=1,M1353=1,N1353=1,O1353&gt;=G1353),K1353,0)</x:f>
        <x:v>0</x:v>
      </x:c>
      <x:c r="Q1353" s="21" t="str">
        <x:v>OPEN</x:v>
      </x:c>
      <x:c r="R1353" s="23" t="str">
        <x:v>HOLD</x:v>
      </x:c>
    </x:row>
    <x:row r="1354">
      <x:c r="B1354" s="21" t="str">
        <x:v>AR-01348</x:v>
      </x:c>
      <x:c r="C1354" s="21" t="str">
        <x:v>F34-I3</x:v>
      </x:c>
      <x:c r="D1354" s="21" t="str">
        <x:v>F34</x:v>
      </x:c>
      <x:c r="E1354" s="21" t="n">
        <x:v>8</x:v>
      </x:c>
      <x:c r="F1354" s="21" t="str">
        <x:v>Pilot-process qualification</x:v>
      </x:c>
      <x:c r="G1354" s="21" t="n">
        <x:v>28</x:v>
      </x:c>
      <x:c r="H1354" s="21" t="str">
        <x:v>AIMC Industrial Mobilization Authority</x:v>
      </x:c>
      <x:c r="I1354" s="44" t="n">
        <x:f>Lifecycle!G14</x:f>
        <x:v>0.03952829567165163</x:v>
      </x:c>
      <x:c r="J1354" s="44" t="n">
        <x:v>0.08499999999999999</x:v>
      </x:c>
      <x:c r="K1354" s="44" t="n">
        <x:f>I1354*J1354</x:f>
        <x:v>0.003359905132090388</x:v>
      </x:c>
      <x:c r="L1354" s="46" t="n">
        <x:v>0</x:v>
      </x:c>
      <x:c r="M1354" s="46" t="n">
        <x:v>0</x:v>
      </x:c>
      <x:c r="N1354" s="21" t="n">
        <x:f>IF(AND(L1353=1,M1353=1,P1353&gt;0),1,0)</x:f>
        <x:v>0</x:v>
      </x:c>
      <x:c r="O1354" s="21" t="n">
        <x:f>MIN('Root Data'!I409:I411)</x:f>
        <x:v>0</x:v>
      </x:c>
      <x:c r="P1354" s="44" t="n">
        <x:f>IF(AND(L1354=1,M1354=1,N1354=1,O1354&gt;=G1354),K1354,0)</x:f>
        <x:v>0</x:v>
      </x:c>
      <x:c r="Q1354" s="21" t="str">
        <x:v>OPEN</x:v>
      </x:c>
      <x:c r="R1354" s="23" t="str">
        <x:v>HOLD</x:v>
      </x:c>
    </x:row>
    <x:row r="1355">
      <x:c r="B1355" s="21" t="str">
        <x:v>AR-01349</x:v>
      </x:c>
      <x:c r="C1355" s="21" t="str">
        <x:v>F34-I3</x:v>
      </x:c>
      <x:c r="D1355" s="21" t="str">
        <x:v>F34</x:v>
      </x:c>
      <x:c r="E1355" s="21" t="n">
        <x:v>9</x:v>
      </x:c>
      <x:c r="F1355" s="21" t="str">
        <x:v>Production release package</x:v>
      </x:c>
      <x:c r="G1355" s="21" t="n">
        <x:v>28</x:v>
      </x:c>
      <x:c r="H1355" s="21" t="str">
        <x:v>Production Release Board</x:v>
      </x:c>
      <x:c r="I1355" s="44" t="n">
        <x:f>Lifecycle!G15</x:f>
        <x:v>0.01647012319652151</x:v>
      </x:c>
      <x:c r="J1355" s="44" t="n">
        <x:v>0.08499999999999999</x:v>
      </x:c>
      <x:c r="K1355" s="44" t="n">
        <x:f>I1355*J1355</x:f>
        <x:v>0.0013999604717043282</x:v>
      </x:c>
      <x:c r="L1355" s="46" t="n">
        <x:v>0</x:v>
      </x:c>
      <x:c r="M1355" s="46" t="n">
        <x:v>0</x:v>
      </x:c>
      <x:c r="N1355" s="21" t="n">
        <x:f>IF(AND(L1354=1,M1354=1,P1354&gt;0),1,0)</x:f>
        <x:v>0</x:v>
      </x:c>
      <x:c r="O1355" s="21" t="n">
        <x:f>MIN('Root Data'!I409:I411)</x:f>
        <x:v>0</x:v>
      </x:c>
      <x:c r="P1355" s="44" t="n">
        <x:f>IF(AND(L1355=1,M1355=1,N1355=1,O1355&gt;=G1355),K1355,0)</x:f>
        <x:v>0</x:v>
      </x:c>
      <x:c r="Q1355" s="21" t="str">
        <x:v>OPEN</x:v>
      </x:c>
      <x:c r="R1355" s="23" t="str">
        <x:v>HOLD</x:v>
      </x:c>
    </x:row>
    <x:row r="1356">
      <x:c r="B1356" s="21" t="str">
        <x:v>AR-01350</x:v>
      </x:c>
      <x:c r="C1356" s="21" t="str">
        <x:v>F34-I3</x:v>
      </x:c>
      <x:c r="D1356" s="21" t="str">
        <x:v>F34</x:v>
      </x:c>
      <x:c r="E1356" s="21" t="n">
        <x:v>10</x:v>
      </x:c>
      <x:c r="F1356" s="21" t="str">
        <x:v>Mobilization activation</x:v>
      </x:c>
      <x:c r="G1356" s="21" t="n">
        <x:v>28</x:v>
      </x:c>
      <x:c r="H1356" s="21" t="str">
        <x:v>Production Release Board</x:v>
      </x:c>
      <x:c r="I1356" s="44" t="n">
        <x:f>Lifecycle!G16</x:f>
        <x:v>0.028262731405230914</x:v>
      </x:c>
      <x:c r="J1356" s="44" t="n">
        <x:v>0.08499999999999999</x:v>
      </x:c>
      <x:c r="K1356" s="44" t="n">
        <x:f>I1356*J1356</x:f>
        <x:v>0.0024023321694446277</x:v>
      </x:c>
      <x:c r="L1356" s="46" t="n">
        <x:v>0</x:v>
      </x:c>
      <x:c r="M1356" s="46" t="n">
        <x:v>0</x:v>
      </x:c>
      <x:c r="N1356" s="21" t="n">
        <x:f>IF(AND(L1355=1,M1355=1,P1355&gt;0),1,0)</x:f>
        <x:v>0</x:v>
      </x:c>
      <x:c r="O1356" s="21" t="n">
        <x:f>MIN('Root Data'!I409:I411)</x:f>
        <x:v>0</x:v>
      </x:c>
      <x:c r="P1356" s="44" t="n">
        <x:f>IF(AND(L1356=1,M1356=1,N1356=1,O1356&gt;=G1356),K1356,0)</x:f>
        <x:v>0</x:v>
      </x:c>
      <x:c r="Q1356" s="21" t="str">
        <x:v>OPEN</x:v>
      </x:c>
      <x:c r="R1356" s="23" t="str">
        <x:v>HOLD</x:v>
      </x:c>
    </x:row>
    <x:row r="1357">
      <x:c r="B1357" s="21" t="str">
        <x:v>AR-01351</x:v>
      </x:c>
      <x:c r="C1357" s="21" t="str">
        <x:v>F34-I4</x:v>
      </x:c>
      <x:c r="D1357" s="21" t="str">
        <x:v>F34</x:v>
      </x:c>
      <x:c r="E1357" s="21" t="n">
        <x:v>1</x:v>
      </x:c>
      <x:c r="F1357" s="21" t="str">
        <x:v>Civil effect charter</x:v>
      </x:c>
      <x:c r="G1357" s="21" t="n">
        <x:v>0</x:v>
      </x:c>
      <x:c r="H1357" s="21" t="str">
        <x:v>Civil Guarantee Authority</x:v>
      </x:c>
      <x:c r="I1357" s="44" t="n">
        <x:f>Lifecycle!G7</x:f>
        <x:v>0.04941036958956453</x:v>
      </x:c>
      <x:c r="J1357" s="44" t="n">
        <x:v>0.08499999999999999</x:v>
      </x:c>
      <x:c r="K1357" s="44" t="n">
        <x:f>I1357*J1357</x:f>
        <x:v>0.004199881415112985</x:v>
      </x:c>
      <x:c r="L1357" s="46" t="n">
        <x:v>0</x:v>
      </x:c>
      <x:c r="M1357" s="46" t="n">
        <x:v>0</x:v>
      </x:c>
      <x:c r="N1357" s="21" t="n">
        <x:f>1</x:f>
        <x:v>1</x:v>
      </x:c>
      <x:c r="O1357" s="21" t="n">
        <x:f>MIN('Root Data'!I412:I414)</x:f>
        <x:v>0</x:v>
      </x:c>
      <x:c r="P1357" s="44" t="n">
        <x:f>IF(AND(L1357=1,M1357=1,N1357=1,O1357&gt;=G1357),K1357,0)</x:f>
        <x:v>0</x:v>
      </x:c>
      <x:c r="Q1357" s="21" t="str">
        <x:v>OPEN</x:v>
      </x:c>
      <x:c r="R1357" s="23" t="str">
        <x:v>HOLD</x:v>
      </x:c>
    </x:row>
    <x:row r="1358">
      <x:c r="B1358" s="21" t="str">
        <x:v>AR-01352</x:v>
      </x:c>
      <x:c r="C1358" s="21" t="str">
        <x:v>F34-I4</x:v>
      </x:c>
      <x:c r="D1358" s="21" t="str">
        <x:v>F34</x:v>
      </x:c>
      <x:c r="E1358" s="21" t="n">
        <x:v>2</x:v>
      </x:c>
      <x:c r="F1358" s="21" t="str">
        <x:v>Requirement and root-independence package</x:v>
      </x:c>
      <x:c r="G1358" s="21" t="n">
        <x:v>8</x:v>
      </x:c>
      <x:c r="H1358" s="21" t="str">
        <x:v>Resilience Staff</x:v>
      </x:c>
      <x:c r="I1358" s="44" t="n">
        <x:f>Lifecycle!G8</x:f>
        <x:v>0.10211476381843337</x:v>
      </x:c>
      <x:c r="J1358" s="44" t="n">
        <x:v>0.08499999999999999</x:v>
      </x:c>
      <x:c r="K1358" s="44" t="n">
        <x:f>I1358*J1358</x:f>
        <x:v>0.008679754924566836</x:v>
      </x:c>
      <x:c r="L1358" s="46" t="n">
        <x:v>0</x:v>
      </x:c>
      <x:c r="M1358" s="46" t="n">
        <x:v>0</x:v>
      </x:c>
      <x:c r="N1358" s="21" t="n">
        <x:f>IF(AND(L1357=1,M1357=1,P1357&gt;0),1,0)</x:f>
        <x:v>0</x:v>
      </x:c>
      <x:c r="O1358" s="21" t="n">
        <x:f>MIN('Root Data'!I412:I414)</x:f>
        <x:v>0</x:v>
      </x:c>
      <x:c r="P1358" s="44" t="n">
        <x:f>IF(AND(L1358=1,M1358=1,N1358=1,O1358&gt;=G1358),K1358,0)</x:f>
        <x:v>0</x:v>
      </x:c>
      <x:c r="Q1358" s="21" t="str">
        <x:v>OPEN</x:v>
      </x:c>
      <x:c r="R1358" s="23" t="str">
        <x:v>HOLD</x:v>
      </x:c>
    </x:row>
    <x:row r="1359">
      <x:c r="B1359" s="21" t="str">
        <x:v>AR-01353</x:v>
      </x:c>
      <x:c r="C1359" s="21" t="str">
        <x:v>F34-I4</x:v>
      </x:c>
      <x:c r="D1359" s="21" t="str">
        <x:v>F34</x:v>
      </x:c>
      <x:c r="E1359" s="21" t="n">
        <x:v>3</x:v>
      </x:c>
      <x:c r="F1359" s="21" t="str">
        <x:v>Architecture and burden closure</x:v>
      </x:c>
      <x:c r="G1359" s="21" t="n">
        <x:v>14</x:v>
      </x:c>
      <x:c r="H1359" s="21" t="str">
        <x:v>Independent Evidence and Data Authority</x:v>
      </x:c>
      <x:c r="I1359" s="44" t="n">
        <x:f>Lifecycle!G9</x:f>
        <x:v>0.08564464062191186</x:v>
      </x:c>
      <x:c r="J1359" s="44" t="n">
        <x:v>0.08499999999999999</x:v>
      </x:c>
      <x:c r="K1359" s="44" t="n">
        <x:f>I1359*J1359</x:f>
        <x:v>0.007279794452862508</x:v>
      </x:c>
      <x:c r="L1359" s="46" t="n">
        <x:v>0</x:v>
      </x:c>
      <x:c r="M1359" s="46" t="n">
        <x:v>0</x:v>
      </x:c>
      <x:c r="N1359" s="21" t="n">
        <x:f>IF(AND(L1358=1,M1358=1,P1358&gt;0),1,0)</x:f>
        <x:v>0</x:v>
      </x:c>
      <x:c r="O1359" s="21" t="n">
        <x:f>MIN('Root Data'!I412:I414)</x:f>
        <x:v>0</x:v>
      </x:c>
      <x:c r="P1359" s="44" t="n">
        <x:f>IF(AND(L1359=1,M1359=1,N1359=1,O1359&gt;=G1359),K1359,0)</x:f>
        <x:v>0</x:v>
      </x:c>
      <x:c r="Q1359" s="21" t="str">
        <x:v>OPEN</x:v>
      </x:c>
      <x:c r="R1359" s="23" t="str">
        <x:v>HOLD</x:v>
      </x:c>
    </x:row>
    <x:row r="1360">
      <x:c r="B1360" s="21" t="str">
        <x:v>AR-01354</x:v>
      </x:c>
      <x:c r="C1360" s="21" t="str">
        <x:v>F34-I4</x:v>
      </x:c>
      <x:c r="D1360" s="21" t="str">
        <x:v>F34</x:v>
      </x:c>
      <x:c r="E1360" s="21" t="n">
        <x:v>4</x:v>
      </x:c>
      <x:c r="F1360" s="21" t="str">
        <x:v>Engineering article acceptance</x:v>
      </x:c>
      <x:c r="G1360" s="21" t="n">
        <x:v>18</x:v>
      </x:c>
      <x:c r="H1360" s="21" t="str">
        <x:v>Independent Evidence and Data Authority</x:v>
      </x:c>
      <x:c r="I1360" s="44" t="n">
        <x:f>Lifecycle!G10</x:f>
        <x:v>0.05929244350747744</x:v>
      </x:c>
      <x:c r="J1360" s="44" t="n">
        <x:v>0.08499999999999999</x:v>
      </x:c>
      <x:c r="K1360" s="44" t="n">
        <x:f>I1360*J1360</x:f>
        <x:v>0.005039857698135582</x:v>
      </x:c>
      <x:c r="L1360" s="46" t="n">
        <x:v>0</x:v>
      </x:c>
      <x:c r="M1360" s="46" t="n">
        <x:v>0</x:v>
      </x:c>
      <x:c r="N1360" s="21" t="n">
        <x:f>IF(AND(L1359=1,M1359=1,P1359&gt;0),1,0)</x:f>
        <x:v>0</x:v>
      </x:c>
      <x:c r="O1360" s="21" t="n">
        <x:f>MIN('Root Data'!I412:I414)</x:f>
        <x:v>0</x:v>
      </x:c>
      <x:c r="P1360" s="44" t="n">
        <x:f>IF(AND(L1360=1,M1360=1,N1360=1,O1360&gt;=G1360),K1360,0)</x:f>
        <x:v>0</x:v>
      </x:c>
      <x:c r="Q1360" s="21" t="str">
        <x:v>OPEN</x:v>
      </x:c>
      <x:c r="R1360" s="23" t="str">
        <x:v>HOLD</x:v>
      </x:c>
    </x:row>
    <x:row r="1361">
      <x:c r="B1361" s="21" t="str">
        <x:v>AR-01355</x:v>
      </x:c>
      <x:c r="C1361" s="21" t="str">
        <x:v>F34-I4</x:v>
      </x:c>
      <x:c r="D1361" s="21" t="str">
        <x:v>F34</x:v>
      </x:c>
      <x:c r="E1361" s="21" t="n">
        <x:v>5</x:v>
      </x:c>
      <x:c r="F1361" s="21" t="str">
        <x:v>Qualification and destructive evidence</x:v>
      </x:c>
      <x:c r="G1361" s="21" t="n">
        <x:v>21</x:v>
      </x:c>
      <x:c r="H1361" s="21" t="str">
        <x:v>Independent Evidence and Data Authority</x:v>
      </x:c>
      <x:c r="I1361" s="44" t="n">
        <x:f>Lifecycle!G11</x:f>
        <x:v>0.1515251334079979</x:v>
      </x:c>
      <x:c r="J1361" s="44" t="n">
        <x:v>0.08499999999999999</x:v>
      </x:c>
      <x:c r="K1361" s="44" t="n">
        <x:f>I1361*J1361</x:f>
        <x:v>0.012879636339679819</x:v>
      </x:c>
      <x:c r="L1361" s="46" t="n">
        <x:v>0</x:v>
      </x:c>
      <x:c r="M1361" s="46" t="n">
        <x:v>0</x:v>
      </x:c>
      <x:c r="N1361" s="21" t="n">
        <x:f>IF(AND(L1360=1,M1360=1,P1360&gt;0),1,0)</x:f>
        <x:v>0</x:v>
      </x:c>
      <x:c r="O1361" s="21" t="n">
        <x:f>MIN('Root Data'!I412:I414)</x:f>
        <x:v>0</x:v>
      </x:c>
      <x:c r="P1361" s="44" t="n">
        <x:f>IF(AND(L1361=1,M1361=1,N1361=1,O1361&gt;=G1361),K1361,0)</x:f>
        <x:v>0</x:v>
      </x:c>
      <x:c r="Q1361" s="21" t="str">
        <x:v>OPEN</x:v>
      </x:c>
      <x:c r="R1361" s="23" t="str">
        <x:v>HOLD</x:v>
      </x:c>
    </x:row>
    <x:row r="1362">
      <x:c r="B1362" s="21" t="str">
        <x:v>AR-01356</x:v>
      </x:c>
      <x:c r="C1362" s="21" t="str">
        <x:v>F34-I4</x:v>
      </x:c>
      <x:c r="D1362" s="21" t="str">
        <x:v>F34</x:v>
      </x:c>
      <x:c r="E1362" s="21" t="n">
        <x:v>6</x:v>
      </x:c>
      <x:c r="F1362" s="21" t="str">
        <x:v>Representative mission result</x:v>
      </x:c>
      <x:c r="G1362" s="21" t="n">
        <x:v>23</x:v>
      </x:c>
      <x:c r="H1362" s="21" t="str">
        <x:v>Receiving Service Authority</x:v>
      </x:c>
      <x:c r="I1362" s="44" t="n">
        <x:f>Lifecycle!G12</x:f>
        <x:v>0.250345872587127</x:v>
      </x:c>
      <x:c r="J1362" s="44" t="n">
        <x:v>0.08499999999999999</x:v>
      </x:c>
      <x:c r="K1362" s="44" t="n">
        <x:f>I1362*J1362</x:f>
        <x:v>0.021279399169905792</x:v>
      </x:c>
      <x:c r="L1362" s="46" t="n">
        <x:v>0</x:v>
      </x:c>
      <x:c r="M1362" s="46" t="n">
        <x:v>0</x:v>
      </x:c>
      <x:c r="N1362" s="21" t="n">
        <x:f>IF(AND(L1361=1,M1361=1,P1361&gt;0),1,0)</x:f>
        <x:v>0</x:v>
      </x:c>
      <x:c r="O1362" s="21" t="n">
        <x:f>MIN('Root Data'!I412:I414)</x:f>
        <x:v>0</x:v>
      </x:c>
      <x:c r="P1362" s="44" t="n">
        <x:f>IF(AND(L1362=1,M1362=1,N1362=1,O1362&gt;=G1362),K1362,0)</x:f>
        <x:v>0</x:v>
      </x:c>
      <x:c r="Q1362" s="21" t="str">
        <x:v>OPEN</x:v>
      </x:c>
      <x:c r="R1362" s="23" t="str">
        <x:v>HOLD</x:v>
      </x:c>
    </x:row>
    <x:row r="1363">
      <x:c r="B1363" s="21" t="str">
        <x:v>AR-01357</x:v>
      </x:c>
      <x:c r="C1363" s="21" t="str">
        <x:v>F34-I4</x:v>
      </x:c>
      <x:c r="D1363" s="21" t="str">
        <x:v>F34</x:v>
      </x:c>
      <x:c r="E1363" s="21" t="n">
        <x:v>7</x:v>
      </x:c>
      <x:c r="F1363" s="21" t="str">
        <x:v>Independent reproduction</x:v>
      </x:c>
      <x:c r="G1363" s="21" t="n">
        <x:v>28</x:v>
      </x:c>
      <x:c r="H1363" s="21" t="str">
        <x:v>Independent Evidence and Data Authority</x:v>
      </x:c>
      <x:c r="I1363" s="44" t="n">
        <x:f>Lifecycle!G13</x:f>
        <x:v>0.21740562619408393</x:v>
      </x:c>
      <x:c r="J1363" s="44" t="n">
        <x:v>0.08499999999999999</x:v>
      </x:c>
      <x:c r="K1363" s="44" t="n">
        <x:f>I1363*J1363</x:f>
        <x:v>0.018479478226497134</x:v>
      </x:c>
      <x:c r="L1363" s="46" t="n">
        <x:v>0</x:v>
      </x:c>
      <x:c r="M1363" s="46" t="n">
        <x:v>0</x:v>
      </x:c>
      <x:c r="N1363" s="21" t="n">
        <x:f>IF(AND(L1362=1,M1362=1,P1362&gt;0),1,0)</x:f>
        <x:v>0</x:v>
      </x:c>
      <x:c r="O1363" s="21" t="n">
        <x:f>MIN('Root Data'!I412:I414)</x:f>
        <x:v>0</x:v>
      </x:c>
      <x:c r="P1363" s="44" t="n">
        <x:f>IF(AND(L1363=1,M1363=1,N1363=1,O1363&gt;=G1363),K1363,0)</x:f>
        <x:v>0</x:v>
      </x:c>
      <x:c r="Q1363" s="21" t="str">
        <x:v>OPEN</x:v>
      </x:c>
      <x:c r="R1363" s="23" t="str">
        <x:v>HOLD</x:v>
      </x:c>
    </x:row>
    <x:row r="1364">
      <x:c r="B1364" s="21" t="str">
        <x:v>AR-01358</x:v>
      </x:c>
      <x:c r="C1364" s="21" t="str">
        <x:v>F34-I4</x:v>
      </x:c>
      <x:c r="D1364" s="21" t="str">
        <x:v>F34</x:v>
      </x:c>
      <x:c r="E1364" s="21" t="n">
        <x:v>8</x:v>
      </x:c>
      <x:c r="F1364" s="21" t="str">
        <x:v>Pilot-process qualification</x:v>
      </x:c>
      <x:c r="G1364" s="21" t="n">
        <x:v>28</x:v>
      </x:c>
      <x:c r="H1364" s="21" t="str">
        <x:v>AIMC Industrial Mobilization Authority</x:v>
      </x:c>
      <x:c r="I1364" s="44" t="n">
        <x:f>Lifecycle!G14</x:f>
        <x:v>0.03952829567165163</x:v>
      </x:c>
      <x:c r="J1364" s="44" t="n">
        <x:v>0.08499999999999999</x:v>
      </x:c>
      <x:c r="K1364" s="44" t="n">
        <x:f>I1364*J1364</x:f>
        <x:v>0.003359905132090388</x:v>
      </x:c>
      <x:c r="L1364" s="46" t="n">
        <x:v>0</x:v>
      </x:c>
      <x:c r="M1364" s="46" t="n">
        <x:v>0</x:v>
      </x:c>
      <x:c r="N1364" s="21" t="n">
        <x:f>IF(AND(L1363=1,M1363=1,P1363&gt;0),1,0)</x:f>
        <x:v>0</x:v>
      </x:c>
      <x:c r="O1364" s="21" t="n">
        <x:f>MIN('Root Data'!I412:I414)</x:f>
        <x:v>0</x:v>
      </x:c>
      <x:c r="P1364" s="44" t="n">
        <x:f>IF(AND(L1364=1,M1364=1,N1364=1,O1364&gt;=G1364),K1364,0)</x:f>
        <x:v>0</x:v>
      </x:c>
      <x:c r="Q1364" s="21" t="str">
        <x:v>OPEN</x:v>
      </x:c>
      <x:c r="R1364" s="23" t="str">
        <x:v>HOLD</x:v>
      </x:c>
    </x:row>
    <x:row r="1365">
      <x:c r="B1365" s="21" t="str">
        <x:v>AR-01359</x:v>
      </x:c>
      <x:c r="C1365" s="21" t="str">
        <x:v>F34-I4</x:v>
      </x:c>
      <x:c r="D1365" s="21" t="str">
        <x:v>F34</x:v>
      </x:c>
      <x:c r="E1365" s="21" t="n">
        <x:v>9</x:v>
      </x:c>
      <x:c r="F1365" s="21" t="str">
        <x:v>Production release package</x:v>
      </x:c>
      <x:c r="G1365" s="21" t="n">
        <x:v>28</x:v>
      </x:c>
      <x:c r="H1365" s="21" t="str">
        <x:v>Production Release Board</x:v>
      </x:c>
      <x:c r="I1365" s="44" t="n">
        <x:f>Lifecycle!G15</x:f>
        <x:v>0.01647012319652151</x:v>
      </x:c>
      <x:c r="J1365" s="44" t="n">
        <x:v>0.08499999999999999</x:v>
      </x:c>
      <x:c r="K1365" s="44" t="n">
        <x:f>I1365*J1365</x:f>
        <x:v>0.0013999604717043282</x:v>
      </x:c>
      <x:c r="L1365" s="46" t="n">
        <x:v>0</x:v>
      </x:c>
      <x:c r="M1365" s="46" t="n">
        <x:v>0</x:v>
      </x:c>
      <x:c r="N1365" s="21" t="n">
        <x:f>IF(AND(L1364=1,M1364=1,P1364&gt;0),1,0)</x:f>
        <x:v>0</x:v>
      </x:c>
      <x:c r="O1365" s="21" t="n">
        <x:f>MIN('Root Data'!I412:I414)</x:f>
        <x:v>0</x:v>
      </x:c>
      <x:c r="P1365" s="44" t="n">
        <x:f>IF(AND(L1365=1,M1365=1,N1365=1,O1365&gt;=G1365),K1365,0)</x:f>
        <x:v>0</x:v>
      </x:c>
      <x:c r="Q1365" s="21" t="str">
        <x:v>OPEN</x:v>
      </x:c>
      <x:c r="R1365" s="23" t="str">
        <x:v>HOLD</x:v>
      </x:c>
    </x:row>
    <x:row r="1366">
      <x:c r="B1366" s="21" t="str">
        <x:v>AR-01360</x:v>
      </x:c>
      <x:c r="C1366" s="21" t="str">
        <x:v>F34-I4</x:v>
      </x:c>
      <x:c r="D1366" s="21" t="str">
        <x:v>F34</x:v>
      </x:c>
      <x:c r="E1366" s="21" t="n">
        <x:v>10</x:v>
      </x:c>
      <x:c r="F1366" s="21" t="str">
        <x:v>Mobilization activation</x:v>
      </x:c>
      <x:c r="G1366" s="21" t="n">
        <x:v>28</x:v>
      </x:c>
      <x:c r="H1366" s="21" t="str">
        <x:v>Production Release Board</x:v>
      </x:c>
      <x:c r="I1366" s="44" t="n">
        <x:f>Lifecycle!G16</x:f>
        <x:v>0.028262731405230914</x:v>
      </x:c>
      <x:c r="J1366" s="44" t="n">
        <x:v>0.08499999999999999</x:v>
      </x:c>
      <x:c r="K1366" s="44" t="n">
        <x:f>I1366*J1366</x:f>
        <x:v>0.0024023321694446277</x:v>
      </x:c>
      <x:c r="L1366" s="46" t="n">
        <x:v>0</x:v>
      </x:c>
      <x:c r="M1366" s="46" t="n">
        <x:v>0</x:v>
      </x:c>
      <x:c r="N1366" s="21" t="n">
        <x:f>IF(AND(L1365=1,M1365=1,P1365&gt;0),1,0)</x:f>
        <x:v>0</x:v>
      </x:c>
      <x:c r="O1366" s="21" t="n">
        <x:f>MIN('Root Data'!I412:I414)</x:f>
        <x:v>0</x:v>
      </x:c>
      <x:c r="P1366" s="44" t="n">
        <x:f>IF(AND(L1366=1,M1366=1,N1366=1,O1366&gt;=G1366),K1366,0)</x:f>
        <x:v>0</x:v>
      </x:c>
      <x:c r="Q1366" s="21" t="str">
        <x:v>OPEN</x:v>
      </x:c>
      <x:c r="R1366" s="23" t="str">
        <x:v>HOLD</x:v>
      </x:c>
    </x:row>
    <x:row r="1367">
      <x:c r="B1367" s="21" t="str">
        <x:v>AR-01361</x:v>
      </x:c>
      <x:c r="C1367" s="21" t="str">
        <x:v>F35-I1</x:v>
      </x:c>
      <x:c r="D1367" s="21" t="str">
        <x:v>F35</x:v>
      </x:c>
      <x:c r="E1367" s="21" t="n">
        <x:v>1</x:v>
      </x:c>
      <x:c r="F1367" s="21" t="str">
        <x:v>Civil effect charter</x:v>
      </x:c>
      <x:c r="G1367" s="21" t="n">
        <x:v>0</x:v>
      </x:c>
      <x:c r="H1367" s="21" t="str">
        <x:v>Civil Guarantee Authority</x:v>
      </x:c>
      <x:c r="I1367" s="44" t="n">
        <x:f>Lifecycle!G7</x:f>
        <x:v>0.04941036958956453</x:v>
      </x:c>
      <x:c r="J1367" s="44" t="n">
        <x:v>0.08499999999999999</x:v>
      </x:c>
      <x:c r="K1367" s="44" t="n">
        <x:f>I1367*J1367</x:f>
        <x:v>0.004199881415112985</x:v>
      </x:c>
      <x:c r="L1367" s="46" t="n">
        <x:v>0</x:v>
      </x:c>
      <x:c r="M1367" s="46" t="n">
        <x:v>0</x:v>
      </x:c>
      <x:c r="N1367" s="21" t="n">
        <x:f>1</x:f>
        <x:v>1</x:v>
      </x:c>
      <x:c r="O1367" s="21" t="n">
        <x:f>MIN('Root Data'!I415:I417)</x:f>
        <x:v>0</x:v>
      </x:c>
      <x:c r="P1367" s="44" t="n">
        <x:f>IF(AND(L1367=1,M1367=1,N1367=1,O1367&gt;=G1367),K1367,0)</x:f>
        <x:v>0</x:v>
      </x:c>
      <x:c r="Q1367" s="21" t="str">
        <x:v>OPEN</x:v>
      </x:c>
      <x:c r="R1367" s="23" t="str">
        <x:v>HOLD</x:v>
      </x:c>
    </x:row>
    <x:row r="1368">
      <x:c r="B1368" s="21" t="str">
        <x:v>AR-01362</x:v>
      </x:c>
      <x:c r="C1368" s="21" t="str">
        <x:v>F35-I1</x:v>
      </x:c>
      <x:c r="D1368" s="21" t="str">
        <x:v>F35</x:v>
      </x:c>
      <x:c r="E1368" s="21" t="n">
        <x:v>2</x:v>
      </x:c>
      <x:c r="F1368" s="21" t="str">
        <x:v>Requirement and root-independence package</x:v>
      </x:c>
      <x:c r="G1368" s="21" t="n">
        <x:v>8</x:v>
      </x:c>
      <x:c r="H1368" s="21" t="str">
        <x:v>Resilience Staff</x:v>
      </x:c>
      <x:c r="I1368" s="44" t="n">
        <x:f>Lifecycle!G8</x:f>
        <x:v>0.10211476381843337</x:v>
      </x:c>
      <x:c r="J1368" s="44" t="n">
        <x:v>0.08499999999999999</x:v>
      </x:c>
      <x:c r="K1368" s="44" t="n">
        <x:f>I1368*J1368</x:f>
        <x:v>0.008679754924566836</x:v>
      </x:c>
      <x:c r="L1368" s="46" t="n">
        <x:v>0</x:v>
      </x:c>
      <x:c r="M1368" s="46" t="n">
        <x:v>0</x:v>
      </x:c>
      <x:c r="N1368" s="21" t="n">
        <x:f>IF(AND(L1367=1,M1367=1,P1367&gt;0),1,0)</x:f>
        <x:v>0</x:v>
      </x:c>
      <x:c r="O1368" s="21" t="n">
        <x:f>MIN('Root Data'!I415:I417)</x:f>
        <x:v>0</x:v>
      </x:c>
      <x:c r="P1368" s="44" t="n">
        <x:f>IF(AND(L1368=1,M1368=1,N1368=1,O1368&gt;=G1368),K1368,0)</x:f>
        <x:v>0</x:v>
      </x:c>
      <x:c r="Q1368" s="21" t="str">
        <x:v>OPEN</x:v>
      </x:c>
      <x:c r="R1368" s="23" t="str">
        <x:v>HOLD</x:v>
      </x:c>
    </x:row>
    <x:row r="1369">
      <x:c r="B1369" s="21" t="str">
        <x:v>AR-01363</x:v>
      </x:c>
      <x:c r="C1369" s="21" t="str">
        <x:v>F35-I1</x:v>
      </x:c>
      <x:c r="D1369" s="21" t="str">
        <x:v>F35</x:v>
      </x:c>
      <x:c r="E1369" s="21" t="n">
        <x:v>3</x:v>
      </x:c>
      <x:c r="F1369" s="21" t="str">
        <x:v>Architecture and burden closure</x:v>
      </x:c>
      <x:c r="G1369" s="21" t="n">
        <x:v>14</x:v>
      </x:c>
      <x:c r="H1369" s="21" t="str">
        <x:v>Independent Evidence and Data Authority</x:v>
      </x:c>
      <x:c r="I1369" s="44" t="n">
        <x:f>Lifecycle!G9</x:f>
        <x:v>0.08564464062191186</x:v>
      </x:c>
      <x:c r="J1369" s="44" t="n">
        <x:v>0.08499999999999999</x:v>
      </x:c>
      <x:c r="K1369" s="44" t="n">
        <x:f>I1369*J1369</x:f>
        <x:v>0.007279794452862508</x:v>
      </x:c>
      <x:c r="L1369" s="46" t="n">
        <x:v>0</x:v>
      </x:c>
      <x:c r="M1369" s="46" t="n">
        <x:v>0</x:v>
      </x:c>
      <x:c r="N1369" s="21" t="n">
        <x:f>IF(AND(L1368=1,M1368=1,P1368&gt;0),1,0)</x:f>
        <x:v>0</x:v>
      </x:c>
      <x:c r="O1369" s="21" t="n">
        <x:f>MIN('Root Data'!I415:I417)</x:f>
        <x:v>0</x:v>
      </x:c>
      <x:c r="P1369" s="44" t="n">
        <x:f>IF(AND(L1369=1,M1369=1,N1369=1,O1369&gt;=G1369),K1369,0)</x:f>
        <x:v>0</x:v>
      </x:c>
      <x:c r="Q1369" s="21" t="str">
        <x:v>OPEN</x:v>
      </x:c>
      <x:c r="R1369" s="23" t="str">
        <x:v>HOLD</x:v>
      </x:c>
    </x:row>
    <x:row r="1370">
      <x:c r="B1370" s="21" t="str">
        <x:v>AR-01364</x:v>
      </x:c>
      <x:c r="C1370" s="21" t="str">
        <x:v>F35-I1</x:v>
      </x:c>
      <x:c r="D1370" s="21" t="str">
        <x:v>F35</x:v>
      </x:c>
      <x:c r="E1370" s="21" t="n">
        <x:v>4</x:v>
      </x:c>
      <x:c r="F1370" s="21" t="str">
        <x:v>Engineering article acceptance</x:v>
      </x:c>
      <x:c r="G1370" s="21" t="n">
        <x:v>18</x:v>
      </x:c>
      <x:c r="H1370" s="21" t="str">
        <x:v>Independent Evidence and Data Authority</x:v>
      </x:c>
      <x:c r="I1370" s="44" t="n">
        <x:f>Lifecycle!G10</x:f>
        <x:v>0.05929244350747744</x:v>
      </x:c>
      <x:c r="J1370" s="44" t="n">
        <x:v>0.08499999999999999</x:v>
      </x:c>
      <x:c r="K1370" s="44" t="n">
        <x:f>I1370*J1370</x:f>
        <x:v>0.005039857698135582</x:v>
      </x:c>
      <x:c r="L1370" s="46" t="n">
        <x:v>0</x:v>
      </x:c>
      <x:c r="M1370" s="46" t="n">
        <x:v>0</x:v>
      </x:c>
      <x:c r="N1370" s="21" t="n">
        <x:f>IF(AND(L1369=1,M1369=1,P1369&gt;0),1,0)</x:f>
        <x:v>0</x:v>
      </x:c>
      <x:c r="O1370" s="21" t="n">
        <x:f>MIN('Root Data'!I415:I417)</x:f>
        <x:v>0</x:v>
      </x:c>
      <x:c r="P1370" s="44" t="n">
        <x:f>IF(AND(L1370=1,M1370=1,N1370=1,O1370&gt;=G1370),K1370,0)</x:f>
        <x:v>0</x:v>
      </x:c>
      <x:c r="Q1370" s="21" t="str">
        <x:v>OPEN</x:v>
      </x:c>
      <x:c r="R1370" s="23" t="str">
        <x:v>HOLD</x:v>
      </x:c>
    </x:row>
    <x:row r="1371">
      <x:c r="B1371" s="21" t="str">
        <x:v>AR-01365</x:v>
      </x:c>
      <x:c r="C1371" s="21" t="str">
        <x:v>F35-I1</x:v>
      </x:c>
      <x:c r="D1371" s="21" t="str">
        <x:v>F35</x:v>
      </x:c>
      <x:c r="E1371" s="21" t="n">
        <x:v>5</x:v>
      </x:c>
      <x:c r="F1371" s="21" t="str">
        <x:v>Qualification and destructive evidence</x:v>
      </x:c>
      <x:c r="G1371" s="21" t="n">
        <x:v>21</x:v>
      </x:c>
      <x:c r="H1371" s="21" t="str">
        <x:v>Independent Evidence and Data Authority</x:v>
      </x:c>
      <x:c r="I1371" s="44" t="n">
        <x:f>Lifecycle!G11</x:f>
        <x:v>0.1515251334079979</x:v>
      </x:c>
      <x:c r="J1371" s="44" t="n">
        <x:v>0.08499999999999999</x:v>
      </x:c>
      <x:c r="K1371" s="44" t="n">
        <x:f>I1371*J1371</x:f>
        <x:v>0.012879636339679819</x:v>
      </x:c>
      <x:c r="L1371" s="46" t="n">
        <x:v>0</x:v>
      </x:c>
      <x:c r="M1371" s="46" t="n">
        <x:v>0</x:v>
      </x:c>
      <x:c r="N1371" s="21" t="n">
        <x:f>IF(AND(L1370=1,M1370=1,P1370&gt;0),1,0)</x:f>
        <x:v>0</x:v>
      </x:c>
      <x:c r="O1371" s="21" t="n">
        <x:f>MIN('Root Data'!I415:I417)</x:f>
        <x:v>0</x:v>
      </x:c>
      <x:c r="P1371" s="44" t="n">
        <x:f>IF(AND(L1371=1,M1371=1,N1371=1,O1371&gt;=G1371),K1371,0)</x:f>
        <x:v>0</x:v>
      </x:c>
      <x:c r="Q1371" s="21" t="str">
        <x:v>OPEN</x:v>
      </x:c>
      <x:c r="R1371" s="23" t="str">
        <x:v>HOLD</x:v>
      </x:c>
    </x:row>
    <x:row r="1372">
      <x:c r="B1372" s="21" t="str">
        <x:v>AR-01366</x:v>
      </x:c>
      <x:c r="C1372" s="21" t="str">
        <x:v>F35-I1</x:v>
      </x:c>
      <x:c r="D1372" s="21" t="str">
        <x:v>F35</x:v>
      </x:c>
      <x:c r="E1372" s="21" t="n">
        <x:v>6</x:v>
      </x:c>
      <x:c r="F1372" s="21" t="str">
        <x:v>Representative mission result</x:v>
      </x:c>
      <x:c r="G1372" s="21" t="n">
        <x:v>23</x:v>
      </x:c>
      <x:c r="H1372" s="21" t="str">
        <x:v>Receiving Service Authority</x:v>
      </x:c>
      <x:c r="I1372" s="44" t="n">
        <x:f>Lifecycle!G12</x:f>
        <x:v>0.250345872587127</x:v>
      </x:c>
      <x:c r="J1372" s="44" t="n">
        <x:v>0.08499999999999999</x:v>
      </x:c>
      <x:c r="K1372" s="44" t="n">
        <x:f>I1372*J1372</x:f>
        <x:v>0.021279399169905792</x:v>
      </x:c>
      <x:c r="L1372" s="46" t="n">
        <x:v>0</x:v>
      </x:c>
      <x:c r="M1372" s="46" t="n">
        <x:v>0</x:v>
      </x:c>
      <x:c r="N1372" s="21" t="n">
        <x:f>IF(AND(L1371=1,M1371=1,P1371&gt;0),1,0)</x:f>
        <x:v>0</x:v>
      </x:c>
      <x:c r="O1372" s="21" t="n">
        <x:f>MIN('Root Data'!I415:I417)</x:f>
        <x:v>0</x:v>
      </x:c>
      <x:c r="P1372" s="44" t="n">
        <x:f>IF(AND(L1372=1,M1372=1,N1372=1,O1372&gt;=G1372),K1372,0)</x:f>
        <x:v>0</x:v>
      </x:c>
      <x:c r="Q1372" s="21" t="str">
        <x:v>OPEN</x:v>
      </x:c>
      <x:c r="R1372" s="23" t="str">
        <x:v>HOLD</x:v>
      </x:c>
    </x:row>
    <x:row r="1373">
      <x:c r="B1373" s="21" t="str">
        <x:v>AR-01367</x:v>
      </x:c>
      <x:c r="C1373" s="21" t="str">
        <x:v>F35-I1</x:v>
      </x:c>
      <x:c r="D1373" s="21" t="str">
        <x:v>F35</x:v>
      </x:c>
      <x:c r="E1373" s="21" t="n">
        <x:v>7</x:v>
      </x:c>
      <x:c r="F1373" s="21" t="str">
        <x:v>Independent reproduction</x:v>
      </x:c>
      <x:c r="G1373" s="21" t="n">
        <x:v>28</x:v>
      </x:c>
      <x:c r="H1373" s="21" t="str">
        <x:v>Independent Evidence and Data Authority</x:v>
      </x:c>
      <x:c r="I1373" s="44" t="n">
        <x:f>Lifecycle!G13</x:f>
        <x:v>0.21740562619408393</x:v>
      </x:c>
      <x:c r="J1373" s="44" t="n">
        <x:v>0.08499999999999999</x:v>
      </x:c>
      <x:c r="K1373" s="44" t="n">
        <x:f>I1373*J1373</x:f>
        <x:v>0.018479478226497134</x:v>
      </x:c>
      <x:c r="L1373" s="46" t="n">
        <x:v>0</x:v>
      </x:c>
      <x:c r="M1373" s="46" t="n">
        <x:v>0</x:v>
      </x:c>
      <x:c r="N1373" s="21" t="n">
        <x:f>IF(AND(L1372=1,M1372=1,P1372&gt;0),1,0)</x:f>
        <x:v>0</x:v>
      </x:c>
      <x:c r="O1373" s="21" t="n">
        <x:f>MIN('Root Data'!I415:I417)</x:f>
        <x:v>0</x:v>
      </x:c>
      <x:c r="P1373" s="44" t="n">
        <x:f>IF(AND(L1373=1,M1373=1,N1373=1,O1373&gt;=G1373),K1373,0)</x:f>
        <x:v>0</x:v>
      </x:c>
      <x:c r="Q1373" s="21" t="str">
        <x:v>OPEN</x:v>
      </x:c>
      <x:c r="R1373" s="23" t="str">
        <x:v>HOLD</x:v>
      </x:c>
    </x:row>
    <x:row r="1374">
      <x:c r="B1374" s="21" t="str">
        <x:v>AR-01368</x:v>
      </x:c>
      <x:c r="C1374" s="21" t="str">
        <x:v>F35-I1</x:v>
      </x:c>
      <x:c r="D1374" s="21" t="str">
        <x:v>F35</x:v>
      </x:c>
      <x:c r="E1374" s="21" t="n">
        <x:v>8</x:v>
      </x:c>
      <x:c r="F1374" s="21" t="str">
        <x:v>Pilot-process qualification</x:v>
      </x:c>
      <x:c r="G1374" s="21" t="n">
        <x:v>28</x:v>
      </x:c>
      <x:c r="H1374" s="21" t="str">
        <x:v>AIMC Industrial Mobilization Authority</x:v>
      </x:c>
      <x:c r="I1374" s="44" t="n">
        <x:f>Lifecycle!G14</x:f>
        <x:v>0.03952829567165163</x:v>
      </x:c>
      <x:c r="J1374" s="44" t="n">
        <x:v>0.08499999999999999</x:v>
      </x:c>
      <x:c r="K1374" s="44" t="n">
        <x:f>I1374*J1374</x:f>
        <x:v>0.003359905132090388</x:v>
      </x:c>
      <x:c r="L1374" s="46" t="n">
        <x:v>0</x:v>
      </x:c>
      <x:c r="M1374" s="46" t="n">
        <x:v>0</x:v>
      </x:c>
      <x:c r="N1374" s="21" t="n">
        <x:f>IF(AND(L1373=1,M1373=1,P1373&gt;0),1,0)</x:f>
        <x:v>0</x:v>
      </x:c>
      <x:c r="O1374" s="21" t="n">
        <x:f>MIN('Root Data'!I415:I417)</x:f>
        <x:v>0</x:v>
      </x:c>
      <x:c r="P1374" s="44" t="n">
        <x:f>IF(AND(L1374=1,M1374=1,N1374=1,O1374&gt;=G1374),K1374,0)</x:f>
        <x:v>0</x:v>
      </x:c>
      <x:c r="Q1374" s="21" t="str">
        <x:v>OPEN</x:v>
      </x:c>
      <x:c r="R1374" s="23" t="str">
        <x:v>HOLD</x:v>
      </x:c>
    </x:row>
    <x:row r="1375">
      <x:c r="B1375" s="21" t="str">
        <x:v>AR-01369</x:v>
      </x:c>
      <x:c r="C1375" s="21" t="str">
        <x:v>F35-I1</x:v>
      </x:c>
      <x:c r="D1375" s="21" t="str">
        <x:v>F35</x:v>
      </x:c>
      <x:c r="E1375" s="21" t="n">
        <x:v>9</x:v>
      </x:c>
      <x:c r="F1375" s="21" t="str">
        <x:v>Production release package</x:v>
      </x:c>
      <x:c r="G1375" s="21" t="n">
        <x:v>28</x:v>
      </x:c>
      <x:c r="H1375" s="21" t="str">
        <x:v>Production Release Board</x:v>
      </x:c>
      <x:c r="I1375" s="44" t="n">
        <x:f>Lifecycle!G15</x:f>
        <x:v>0.01647012319652151</x:v>
      </x:c>
      <x:c r="J1375" s="44" t="n">
        <x:v>0.08499999999999999</x:v>
      </x:c>
      <x:c r="K1375" s="44" t="n">
        <x:f>I1375*J1375</x:f>
        <x:v>0.0013999604717043282</x:v>
      </x:c>
      <x:c r="L1375" s="46" t="n">
        <x:v>0</x:v>
      </x:c>
      <x:c r="M1375" s="46" t="n">
        <x:v>0</x:v>
      </x:c>
      <x:c r="N1375" s="21" t="n">
        <x:f>IF(AND(L1374=1,M1374=1,P1374&gt;0),1,0)</x:f>
        <x:v>0</x:v>
      </x:c>
      <x:c r="O1375" s="21" t="n">
        <x:f>MIN('Root Data'!I415:I417)</x:f>
        <x:v>0</x:v>
      </x:c>
      <x:c r="P1375" s="44" t="n">
        <x:f>IF(AND(L1375=1,M1375=1,N1375=1,O1375&gt;=G1375),K1375,0)</x:f>
        <x:v>0</x:v>
      </x:c>
      <x:c r="Q1375" s="21" t="str">
        <x:v>OPEN</x:v>
      </x:c>
      <x:c r="R1375" s="23" t="str">
        <x:v>HOLD</x:v>
      </x:c>
    </x:row>
    <x:row r="1376">
      <x:c r="B1376" s="21" t="str">
        <x:v>AR-01370</x:v>
      </x:c>
      <x:c r="C1376" s="21" t="str">
        <x:v>F35-I1</x:v>
      </x:c>
      <x:c r="D1376" s="21" t="str">
        <x:v>F35</x:v>
      </x:c>
      <x:c r="E1376" s="21" t="n">
        <x:v>10</x:v>
      </x:c>
      <x:c r="F1376" s="21" t="str">
        <x:v>Mobilization activation</x:v>
      </x:c>
      <x:c r="G1376" s="21" t="n">
        <x:v>28</x:v>
      </x:c>
      <x:c r="H1376" s="21" t="str">
        <x:v>Production Release Board</x:v>
      </x:c>
      <x:c r="I1376" s="44" t="n">
        <x:f>Lifecycle!G16</x:f>
        <x:v>0.028262731405230914</x:v>
      </x:c>
      <x:c r="J1376" s="44" t="n">
        <x:v>0.08499999999999999</x:v>
      </x:c>
      <x:c r="K1376" s="44" t="n">
        <x:f>I1376*J1376</x:f>
        <x:v>0.0024023321694446277</x:v>
      </x:c>
      <x:c r="L1376" s="46" t="n">
        <x:v>0</x:v>
      </x:c>
      <x:c r="M1376" s="46" t="n">
        <x:v>0</x:v>
      </x:c>
      <x:c r="N1376" s="21" t="n">
        <x:f>IF(AND(L1375=1,M1375=1,P1375&gt;0),1,0)</x:f>
        <x:v>0</x:v>
      </x:c>
      <x:c r="O1376" s="21" t="n">
        <x:f>MIN('Root Data'!I415:I417)</x:f>
        <x:v>0</x:v>
      </x:c>
      <x:c r="P1376" s="44" t="n">
        <x:f>IF(AND(L1376=1,M1376=1,N1376=1,O1376&gt;=G1376),K1376,0)</x:f>
        <x:v>0</x:v>
      </x:c>
      <x:c r="Q1376" s="21" t="str">
        <x:v>OPEN</x:v>
      </x:c>
      <x:c r="R1376" s="23" t="str">
        <x:v>HOLD</x:v>
      </x:c>
    </x:row>
    <x:row r="1377">
      <x:c r="B1377" s="21" t="str">
        <x:v>AR-01371</x:v>
      </x:c>
      <x:c r="C1377" s="21" t="str">
        <x:v>F35-I2</x:v>
      </x:c>
      <x:c r="D1377" s="21" t="str">
        <x:v>F35</x:v>
      </x:c>
      <x:c r="E1377" s="21" t="n">
        <x:v>1</x:v>
      </x:c>
      <x:c r="F1377" s="21" t="str">
        <x:v>Civil effect charter</x:v>
      </x:c>
      <x:c r="G1377" s="21" t="n">
        <x:v>0</x:v>
      </x:c>
      <x:c r="H1377" s="21" t="str">
        <x:v>Civil Guarantee Authority</x:v>
      </x:c>
      <x:c r="I1377" s="44" t="n">
        <x:f>Lifecycle!G7</x:f>
        <x:v>0.04941036958956453</x:v>
      </x:c>
      <x:c r="J1377" s="44" t="n">
        <x:v>0.08499999999999999</x:v>
      </x:c>
      <x:c r="K1377" s="44" t="n">
        <x:f>I1377*J1377</x:f>
        <x:v>0.004199881415112985</x:v>
      </x:c>
      <x:c r="L1377" s="46" t="n">
        <x:v>0</x:v>
      </x:c>
      <x:c r="M1377" s="46" t="n">
        <x:v>0</x:v>
      </x:c>
      <x:c r="N1377" s="21" t="n">
        <x:f>1</x:f>
        <x:v>1</x:v>
      </x:c>
      <x:c r="O1377" s="21" t="n">
        <x:f>MIN('Root Data'!I418:I420)</x:f>
        <x:v>0</x:v>
      </x:c>
      <x:c r="P1377" s="44" t="n">
        <x:f>IF(AND(L1377=1,M1377=1,N1377=1,O1377&gt;=G1377),K1377,0)</x:f>
        <x:v>0</x:v>
      </x:c>
      <x:c r="Q1377" s="21" t="str">
        <x:v>OPEN</x:v>
      </x:c>
      <x:c r="R1377" s="23" t="str">
        <x:v>HOLD</x:v>
      </x:c>
    </x:row>
    <x:row r="1378">
      <x:c r="B1378" s="21" t="str">
        <x:v>AR-01372</x:v>
      </x:c>
      <x:c r="C1378" s="21" t="str">
        <x:v>F35-I2</x:v>
      </x:c>
      <x:c r="D1378" s="21" t="str">
        <x:v>F35</x:v>
      </x:c>
      <x:c r="E1378" s="21" t="n">
        <x:v>2</x:v>
      </x:c>
      <x:c r="F1378" s="21" t="str">
        <x:v>Requirement and root-independence package</x:v>
      </x:c>
      <x:c r="G1378" s="21" t="n">
        <x:v>8</x:v>
      </x:c>
      <x:c r="H1378" s="21" t="str">
        <x:v>Resilience Staff</x:v>
      </x:c>
      <x:c r="I1378" s="44" t="n">
        <x:f>Lifecycle!G8</x:f>
        <x:v>0.10211476381843337</x:v>
      </x:c>
      <x:c r="J1378" s="44" t="n">
        <x:v>0.08499999999999999</x:v>
      </x:c>
      <x:c r="K1378" s="44" t="n">
        <x:f>I1378*J1378</x:f>
        <x:v>0.008679754924566836</x:v>
      </x:c>
      <x:c r="L1378" s="46" t="n">
        <x:v>0</x:v>
      </x:c>
      <x:c r="M1378" s="46" t="n">
        <x:v>0</x:v>
      </x:c>
      <x:c r="N1378" s="21" t="n">
        <x:f>IF(AND(L1377=1,M1377=1,P1377&gt;0),1,0)</x:f>
        <x:v>0</x:v>
      </x:c>
      <x:c r="O1378" s="21" t="n">
        <x:f>MIN('Root Data'!I418:I420)</x:f>
        <x:v>0</x:v>
      </x:c>
      <x:c r="P1378" s="44" t="n">
        <x:f>IF(AND(L1378=1,M1378=1,N1378=1,O1378&gt;=G1378),K1378,0)</x:f>
        <x:v>0</x:v>
      </x:c>
      <x:c r="Q1378" s="21" t="str">
        <x:v>OPEN</x:v>
      </x:c>
      <x:c r="R1378" s="23" t="str">
        <x:v>HOLD</x:v>
      </x:c>
    </x:row>
    <x:row r="1379">
      <x:c r="B1379" s="21" t="str">
        <x:v>AR-01373</x:v>
      </x:c>
      <x:c r="C1379" s="21" t="str">
        <x:v>F35-I2</x:v>
      </x:c>
      <x:c r="D1379" s="21" t="str">
        <x:v>F35</x:v>
      </x:c>
      <x:c r="E1379" s="21" t="n">
        <x:v>3</x:v>
      </x:c>
      <x:c r="F1379" s="21" t="str">
        <x:v>Architecture and burden closure</x:v>
      </x:c>
      <x:c r="G1379" s="21" t="n">
        <x:v>14</x:v>
      </x:c>
      <x:c r="H1379" s="21" t="str">
        <x:v>Independent Evidence and Data Authority</x:v>
      </x:c>
      <x:c r="I1379" s="44" t="n">
        <x:f>Lifecycle!G9</x:f>
        <x:v>0.08564464062191186</x:v>
      </x:c>
      <x:c r="J1379" s="44" t="n">
        <x:v>0.08499999999999999</x:v>
      </x:c>
      <x:c r="K1379" s="44" t="n">
        <x:f>I1379*J1379</x:f>
        <x:v>0.007279794452862508</x:v>
      </x:c>
      <x:c r="L1379" s="46" t="n">
        <x:v>0</x:v>
      </x:c>
      <x:c r="M1379" s="46" t="n">
        <x:v>0</x:v>
      </x:c>
      <x:c r="N1379" s="21" t="n">
        <x:f>IF(AND(L1378=1,M1378=1,P1378&gt;0),1,0)</x:f>
        <x:v>0</x:v>
      </x:c>
      <x:c r="O1379" s="21" t="n">
        <x:f>MIN('Root Data'!I418:I420)</x:f>
        <x:v>0</x:v>
      </x:c>
      <x:c r="P1379" s="44" t="n">
        <x:f>IF(AND(L1379=1,M1379=1,N1379=1,O1379&gt;=G1379),K1379,0)</x:f>
        <x:v>0</x:v>
      </x:c>
      <x:c r="Q1379" s="21" t="str">
        <x:v>OPEN</x:v>
      </x:c>
      <x:c r="R1379" s="23" t="str">
        <x:v>HOLD</x:v>
      </x:c>
    </x:row>
    <x:row r="1380">
      <x:c r="B1380" s="21" t="str">
        <x:v>AR-01374</x:v>
      </x:c>
      <x:c r="C1380" s="21" t="str">
        <x:v>F35-I2</x:v>
      </x:c>
      <x:c r="D1380" s="21" t="str">
        <x:v>F35</x:v>
      </x:c>
      <x:c r="E1380" s="21" t="n">
        <x:v>4</x:v>
      </x:c>
      <x:c r="F1380" s="21" t="str">
        <x:v>Engineering article acceptance</x:v>
      </x:c>
      <x:c r="G1380" s="21" t="n">
        <x:v>18</x:v>
      </x:c>
      <x:c r="H1380" s="21" t="str">
        <x:v>Independent Evidence and Data Authority</x:v>
      </x:c>
      <x:c r="I1380" s="44" t="n">
        <x:f>Lifecycle!G10</x:f>
        <x:v>0.05929244350747744</x:v>
      </x:c>
      <x:c r="J1380" s="44" t="n">
        <x:v>0.08499999999999999</x:v>
      </x:c>
      <x:c r="K1380" s="44" t="n">
        <x:f>I1380*J1380</x:f>
        <x:v>0.005039857698135582</x:v>
      </x:c>
      <x:c r="L1380" s="46" t="n">
        <x:v>0</x:v>
      </x:c>
      <x:c r="M1380" s="46" t="n">
        <x:v>0</x:v>
      </x:c>
      <x:c r="N1380" s="21" t="n">
        <x:f>IF(AND(L1379=1,M1379=1,P1379&gt;0),1,0)</x:f>
        <x:v>0</x:v>
      </x:c>
      <x:c r="O1380" s="21" t="n">
        <x:f>MIN('Root Data'!I418:I420)</x:f>
        <x:v>0</x:v>
      </x:c>
      <x:c r="P1380" s="44" t="n">
        <x:f>IF(AND(L1380=1,M1380=1,N1380=1,O1380&gt;=G1380),K1380,0)</x:f>
        <x:v>0</x:v>
      </x:c>
      <x:c r="Q1380" s="21" t="str">
        <x:v>OPEN</x:v>
      </x:c>
      <x:c r="R1380" s="23" t="str">
        <x:v>HOLD</x:v>
      </x:c>
    </x:row>
    <x:row r="1381">
      <x:c r="B1381" s="21" t="str">
        <x:v>AR-01375</x:v>
      </x:c>
      <x:c r="C1381" s="21" t="str">
        <x:v>F35-I2</x:v>
      </x:c>
      <x:c r="D1381" s="21" t="str">
        <x:v>F35</x:v>
      </x:c>
      <x:c r="E1381" s="21" t="n">
        <x:v>5</x:v>
      </x:c>
      <x:c r="F1381" s="21" t="str">
        <x:v>Qualification and destructive evidence</x:v>
      </x:c>
      <x:c r="G1381" s="21" t="n">
        <x:v>21</x:v>
      </x:c>
      <x:c r="H1381" s="21" t="str">
        <x:v>Independent Evidence and Data Authority</x:v>
      </x:c>
      <x:c r="I1381" s="44" t="n">
        <x:f>Lifecycle!G11</x:f>
        <x:v>0.1515251334079979</x:v>
      </x:c>
      <x:c r="J1381" s="44" t="n">
        <x:v>0.08499999999999999</x:v>
      </x:c>
      <x:c r="K1381" s="44" t="n">
        <x:f>I1381*J1381</x:f>
        <x:v>0.012879636339679819</x:v>
      </x:c>
      <x:c r="L1381" s="46" t="n">
        <x:v>0</x:v>
      </x:c>
      <x:c r="M1381" s="46" t="n">
        <x:v>0</x:v>
      </x:c>
      <x:c r="N1381" s="21" t="n">
        <x:f>IF(AND(L1380=1,M1380=1,P1380&gt;0),1,0)</x:f>
        <x:v>0</x:v>
      </x:c>
      <x:c r="O1381" s="21" t="n">
        <x:f>MIN('Root Data'!I418:I420)</x:f>
        <x:v>0</x:v>
      </x:c>
      <x:c r="P1381" s="44" t="n">
        <x:f>IF(AND(L1381=1,M1381=1,N1381=1,O1381&gt;=G1381),K1381,0)</x:f>
        <x:v>0</x:v>
      </x:c>
      <x:c r="Q1381" s="21" t="str">
        <x:v>OPEN</x:v>
      </x:c>
      <x:c r="R1381" s="23" t="str">
        <x:v>HOLD</x:v>
      </x:c>
    </x:row>
    <x:row r="1382">
      <x:c r="B1382" s="21" t="str">
        <x:v>AR-01376</x:v>
      </x:c>
      <x:c r="C1382" s="21" t="str">
        <x:v>F35-I2</x:v>
      </x:c>
      <x:c r="D1382" s="21" t="str">
        <x:v>F35</x:v>
      </x:c>
      <x:c r="E1382" s="21" t="n">
        <x:v>6</x:v>
      </x:c>
      <x:c r="F1382" s="21" t="str">
        <x:v>Representative mission result</x:v>
      </x:c>
      <x:c r="G1382" s="21" t="n">
        <x:v>23</x:v>
      </x:c>
      <x:c r="H1382" s="21" t="str">
        <x:v>Receiving Service Authority</x:v>
      </x:c>
      <x:c r="I1382" s="44" t="n">
        <x:f>Lifecycle!G12</x:f>
        <x:v>0.250345872587127</x:v>
      </x:c>
      <x:c r="J1382" s="44" t="n">
        <x:v>0.08499999999999999</x:v>
      </x:c>
      <x:c r="K1382" s="44" t="n">
        <x:f>I1382*J1382</x:f>
        <x:v>0.021279399169905792</x:v>
      </x:c>
      <x:c r="L1382" s="46" t="n">
        <x:v>0</x:v>
      </x:c>
      <x:c r="M1382" s="46" t="n">
        <x:v>0</x:v>
      </x:c>
      <x:c r="N1382" s="21" t="n">
        <x:f>IF(AND(L1381=1,M1381=1,P1381&gt;0),1,0)</x:f>
        <x:v>0</x:v>
      </x:c>
      <x:c r="O1382" s="21" t="n">
        <x:f>MIN('Root Data'!I418:I420)</x:f>
        <x:v>0</x:v>
      </x:c>
      <x:c r="P1382" s="44" t="n">
        <x:f>IF(AND(L1382=1,M1382=1,N1382=1,O1382&gt;=G1382),K1382,0)</x:f>
        <x:v>0</x:v>
      </x:c>
      <x:c r="Q1382" s="21" t="str">
        <x:v>OPEN</x:v>
      </x:c>
      <x:c r="R1382" s="23" t="str">
        <x:v>HOLD</x:v>
      </x:c>
    </x:row>
    <x:row r="1383">
      <x:c r="B1383" s="21" t="str">
        <x:v>AR-01377</x:v>
      </x:c>
      <x:c r="C1383" s="21" t="str">
        <x:v>F35-I2</x:v>
      </x:c>
      <x:c r="D1383" s="21" t="str">
        <x:v>F35</x:v>
      </x:c>
      <x:c r="E1383" s="21" t="n">
        <x:v>7</x:v>
      </x:c>
      <x:c r="F1383" s="21" t="str">
        <x:v>Independent reproduction</x:v>
      </x:c>
      <x:c r="G1383" s="21" t="n">
        <x:v>28</x:v>
      </x:c>
      <x:c r="H1383" s="21" t="str">
        <x:v>Independent Evidence and Data Authority</x:v>
      </x:c>
      <x:c r="I1383" s="44" t="n">
        <x:f>Lifecycle!G13</x:f>
        <x:v>0.21740562619408393</x:v>
      </x:c>
      <x:c r="J1383" s="44" t="n">
        <x:v>0.08499999999999999</x:v>
      </x:c>
      <x:c r="K1383" s="44" t="n">
        <x:f>I1383*J1383</x:f>
        <x:v>0.018479478226497134</x:v>
      </x:c>
      <x:c r="L1383" s="46" t="n">
        <x:v>0</x:v>
      </x:c>
      <x:c r="M1383" s="46" t="n">
        <x:v>0</x:v>
      </x:c>
      <x:c r="N1383" s="21" t="n">
        <x:f>IF(AND(L1382=1,M1382=1,P1382&gt;0),1,0)</x:f>
        <x:v>0</x:v>
      </x:c>
      <x:c r="O1383" s="21" t="n">
        <x:f>MIN('Root Data'!I418:I420)</x:f>
        <x:v>0</x:v>
      </x:c>
      <x:c r="P1383" s="44" t="n">
        <x:f>IF(AND(L1383=1,M1383=1,N1383=1,O1383&gt;=G1383),K1383,0)</x:f>
        <x:v>0</x:v>
      </x:c>
      <x:c r="Q1383" s="21" t="str">
        <x:v>OPEN</x:v>
      </x:c>
      <x:c r="R1383" s="23" t="str">
        <x:v>HOLD</x:v>
      </x:c>
    </x:row>
    <x:row r="1384">
      <x:c r="B1384" s="21" t="str">
        <x:v>AR-01378</x:v>
      </x:c>
      <x:c r="C1384" s="21" t="str">
        <x:v>F35-I2</x:v>
      </x:c>
      <x:c r="D1384" s="21" t="str">
        <x:v>F35</x:v>
      </x:c>
      <x:c r="E1384" s="21" t="n">
        <x:v>8</x:v>
      </x:c>
      <x:c r="F1384" s="21" t="str">
        <x:v>Pilot-process qualification</x:v>
      </x:c>
      <x:c r="G1384" s="21" t="n">
        <x:v>28</x:v>
      </x:c>
      <x:c r="H1384" s="21" t="str">
        <x:v>AIMC Industrial Mobilization Authority</x:v>
      </x:c>
      <x:c r="I1384" s="44" t="n">
        <x:f>Lifecycle!G14</x:f>
        <x:v>0.03952829567165163</x:v>
      </x:c>
      <x:c r="J1384" s="44" t="n">
        <x:v>0.08499999999999999</x:v>
      </x:c>
      <x:c r="K1384" s="44" t="n">
        <x:f>I1384*J1384</x:f>
        <x:v>0.003359905132090388</x:v>
      </x:c>
      <x:c r="L1384" s="46" t="n">
        <x:v>0</x:v>
      </x:c>
      <x:c r="M1384" s="46" t="n">
        <x:v>0</x:v>
      </x:c>
      <x:c r="N1384" s="21" t="n">
        <x:f>IF(AND(L1383=1,M1383=1,P1383&gt;0),1,0)</x:f>
        <x:v>0</x:v>
      </x:c>
      <x:c r="O1384" s="21" t="n">
        <x:f>MIN('Root Data'!I418:I420)</x:f>
        <x:v>0</x:v>
      </x:c>
      <x:c r="P1384" s="44" t="n">
        <x:f>IF(AND(L1384=1,M1384=1,N1384=1,O1384&gt;=G1384),K1384,0)</x:f>
        <x:v>0</x:v>
      </x:c>
      <x:c r="Q1384" s="21" t="str">
        <x:v>OPEN</x:v>
      </x:c>
      <x:c r="R1384" s="23" t="str">
        <x:v>HOLD</x:v>
      </x:c>
    </x:row>
    <x:row r="1385">
      <x:c r="B1385" s="21" t="str">
        <x:v>AR-01379</x:v>
      </x:c>
      <x:c r="C1385" s="21" t="str">
        <x:v>F35-I2</x:v>
      </x:c>
      <x:c r="D1385" s="21" t="str">
        <x:v>F35</x:v>
      </x:c>
      <x:c r="E1385" s="21" t="n">
        <x:v>9</x:v>
      </x:c>
      <x:c r="F1385" s="21" t="str">
        <x:v>Production release package</x:v>
      </x:c>
      <x:c r="G1385" s="21" t="n">
        <x:v>28</x:v>
      </x:c>
      <x:c r="H1385" s="21" t="str">
        <x:v>Production Release Board</x:v>
      </x:c>
      <x:c r="I1385" s="44" t="n">
        <x:f>Lifecycle!G15</x:f>
        <x:v>0.01647012319652151</x:v>
      </x:c>
      <x:c r="J1385" s="44" t="n">
        <x:v>0.08499999999999999</x:v>
      </x:c>
      <x:c r="K1385" s="44" t="n">
        <x:f>I1385*J1385</x:f>
        <x:v>0.0013999604717043282</x:v>
      </x:c>
      <x:c r="L1385" s="46" t="n">
        <x:v>0</x:v>
      </x:c>
      <x:c r="M1385" s="46" t="n">
        <x:v>0</x:v>
      </x:c>
      <x:c r="N1385" s="21" t="n">
        <x:f>IF(AND(L1384=1,M1384=1,P1384&gt;0),1,0)</x:f>
        <x:v>0</x:v>
      </x:c>
      <x:c r="O1385" s="21" t="n">
        <x:f>MIN('Root Data'!I418:I420)</x:f>
        <x:v>0</x:v>
      </x:c>
      <x:c r="P1385" s="44" t="n">
        <x:f>IF(AND(L1385=1,M1385=1,N1385=1,O1385&gt;=G1385),K1385,0)</x:f>
        <x:v>0</x:v>
      </x:c>
      <x:c r="Q1385" s="21" t="str">
        <x:v>OPEN</x:v>
      </x:c>
      <x:c r="R1385" s="23" t="str">
        <x:v>HOLD</x:v>
      </x:c>
    </x:row>
    <x:row r="1386">
      <x:c r="B1386" s="21" t="str">
        <x:v>AR-01380</x:v>
      </x:c>
      <x:c r="C1386" s="21" t="str">
        <x:v>F35-I2</x:v>
      </x:c>
      <x:c r="D1386" s="21" t="str">
        <x:v>F35</x:v>
      </x:c>
      <x:c r="E1386" s="21" t="n">
        <x:v>10</x:v>
      </x:c>
      <x:c r="F1386" s="21" t="str">
        <x:v>Mobilization activation</x:v>
      </x:c>
      <x:c r="G1386" s="21" t="n">
        <x:v>28</x:v>
      </x:c>
      <x:c r="H1386" s="21" t="str">
        <x:v>Production Release Board</x:v>
      </x:c>
      <x:c r="I1386" s="44" t="n">
        <x:f>Lifecycle!G16</x:f>
        <x:v>0.028262731405230914</x:v>
      </x:c>
      <x:c r="J1386" s="44" t="n">
        <x:v>0.08499999999999999</x:v>
      </x:c>
      <x:c r="K1386" s="44" t="n">
        <x:f>I1386*J1386</x:f>
        <x:v>0.0024023321694446277</x:v>
      </x:c>
      <x:c r="L1386" s="46" t="n">
        <x:v>0</x:v>
      </x:c>
      <x:c r="M1386" s="46" t="n">
        <x:v>0</x:v>
      </x:c>
      <x:c r="N1386" s="21" t="n">
        <x:f>IF(AND(L1385=1,M1385=1,P1385&gt;0),1,0)</x:f>
        <x:v>0</x:v>
      </x:c>
      <x:c r="O1386" s="21" t="n">
        <x:f>MIN('Root Data'!I418:I420)</x:f>
        <x:v>0</x:v>
      </x:c>
      <x:c r="P1386" s="44" t="n">
        <x:f>IF(AND(L1386=1,M1386=1,N1386=1,O1386&gt;=G1386),K1386,0)</x:f>
        <x:v>0</x:v>
      </x:c>
      <x:c r="Q1386" s="21" t="str">
        <x:v>OPEN</x:v>
      </x:c>
      <x:c r="R1386" s="23" t="str">
        <x:v>HOLD</x:v>
      </x:c>
    </x:row>
    <x:row r="1387">
      <x:c r="B1387" s="21" t="str">
        <x:v>AR-01381</x:v>
      </x:c>
      <x:c r="C1387" s="21" t="str">
        <x:v>F35-I3</x:v>
      </x:c>
      <x:c r="D1387" s="21" t="str">
        <x:v>F35</x:v>
      </x:c>
      <x:c r="E1387" s="21" t="n">
        <x:v>1</x:v>
      </x:c>
      <x:c r="F1387" s="21" t="str">
        <x:v>Civil effect charter</x:v>
      </x:c>
      <x:c r="G1387" s="21" t="n">
        <x:v>0</x:v>
      </x:c>
      <x:c r="H1387" s="21" t="str">
        <x:v>Civil Guarantee Authority</x:v>
      </x:c>
      <x:c r="I1387" s="44" t="n">
        <x:f>Lifecycle!G7</x:f>
        <x:v>0.04941036958956453</x:v>
      </x:c>
      <x:c r="J1387" s="44" t="n">
        <x:v>0.08499999999999999</x:v>
      </x:c>
      <x:c r="K1387" s="44" t="n">
        <x:f>I1387*J1387</x:f>
        <x:v>0.004199881415112985</x:v>
      </x:c>
      <x:c r="L1387" s="46" t="n">
        <x:v>0</x:v>
      </x:c>
      <x:c r="M1387" s="46" t="n">
        <x:v>0</x:v>
      </x:c>
      <x:c r="N1387" s="21" t="n">
        <x:f>1</x:f>
        <x:v>1</x:v>
      </x:c>
      <x:c r="O1387" s="21" t="n">
        <x:f>MIN('Root Data'!I421:I423)</x:f>
        <x:v>0</x:v>
      </x:c>
      <x:c r="P1387" s="44" t="n">
        <x:f>IF(AND(L1387=1,M1387=1,N1387=1,O1387&gt;=G1387),K1387,0)</x:f>
        <x:v>0</x:v>
      </x:c>
      <x:c r="Q1387" s="21" t="str">
        <x:v>OPEN</x:v>
      </x:c>
      <x:c r="R1387" s="23" t="str">
        <x:v>HOLD</x:v>
      </x:c>
    </x:row>
    <x:row r="1388">
      <x:c r="B1388" s="21" t="str">
        <x:v>AR-01382</x:v>
      </x:c>
      <x:c r="C1388" s="21" t="str">
        <x:v>F35-I3</x:v>
      </x:c>
      <x:c r="D1388" s="21" t="str">
        <x:v>F35</x:v>
      </x:c>
      <x:c r="E1388" s="21" t="n">
        <x:v>2</x:v>
      </x:c>
      <x:c r="F1388" s="21" t="str">
        <x:v>Requirement and root-independence package</x:v>
      </x:c>
      <x:c r="G1388" s="21" t="n">
        <x:v>8</x:v>
      </x:c>
      <x:c r="H1388" s="21" t="str">
        <x:v>Resilience Staff</x:v>
      </x:c>
      <x:c r="I1388" s="44" t="n">
        <x:f>Lifecycle!G8</x:f>
        <x:v>0.10211476381843337</x:v>
      </x:c>
      <x:c r="J1388" s="44" t="n">
        <x:v>0.08499999999999999</x:v>
      </x:c>
      <x:c r="K1388" s="44" t="n">
        <x:f>I1388*J1388</x:f>
        <x:v>0.008679754924566836</x:v>
      </x:c>
      <x:c r="L1388" s="46" t="n">
        <x:v>0</x:v>
      </x:c>
      <x:c r="M1388" s="46" t="n">
        <x:v>0</x:v>
      </x:c>
      <x:c r="N1388" s="21" t="n">
        <x:f>IF(AND(L1387=1,M1387=1,P1387&gt;0),1,0)</x:f>
        <x:v>0</x:v>
      </x:c>
      <x:c r="O1388" s="21" t="n">
        <x:f>MIN('Root Data'!I421:I423)</x:f>
        <x:v>0</x:v>
      </x:c>
      <x:c r="P1388" s="44" t="n">
        <x:f>IF(AND(L1388=1,M1388=1,N1388=1,O1388&gt;=G1388),K1388,0)</x:f>
        <x:v>0</x:v>
      </x:c>
      <x:c r="Q1388" s="21" t="str">
        <x:v>OPEN</x:v>
      </x:c>
      <x:c r="R1388" s="23" t="str">
        <x:v>HOLD</x:v>
      </x:c>
    </x:row>
    <x:row r="1389">
      <x:c r="B1389" s="21" t="str">
        <x:v>AR-01383</x:v>
      </x:c>
      <x:c r="C1389" s="21" t="str">
        <x:v>F35-I3</x:v>
      </x:c>
      <x:c r="D1389" s="21" t="str">
        <x:v>F35</x:v>
      </x:c>
      <x:c r="E1389" s="21" t="n">
        <x:v>3</x:v>
      </x:c>
      <x:c r="F1389" s="21" t="str">
        <x:v>Architecture and burden closure</x:v>
      </x:c>
      <x:c r="G1389" s="21" t="n">
        <x:v>14</x:v>
      </x:c>
      <x:c r="H1389" s="21" t="str">
        <x:v>Independent Evidence and Data Authority</x:v>
      </x:c>
      <x:c r="I1389" s="44" t="n">
        <x:f>Lifecycle!G9</x:f>
        <x:v>0.08564464062191186</x:v>
      </x:c>
      <x:c r="J1389" s="44" t="n">
        <x:v>0.08499999999999999</x:v>
      </x:c>
      <x:c r="K1389" s="44" t="n">
        <x:f>I1389*J1389</x:f>
        <x:v>0.007279794452862508</x:v>
      </x:c>
      <x:c r="L1389" s="46" t="n">
        <x:v>0</x:v>
      </x:c>
      <x:c r="M1389" s="46" t="n">
        <x:v>0</x:v>
      </x:c>
      <x:c r="N1389" s="21" t="n">
        <x:f>IF(AND(L1388=1,M1388=1,P1388&gt;0),1,0)</x:f>
        <x:v>0</x:v>
      </x:c>
      <x:c r="O1389" s="21" t="n">
        <x:f>MIN('Root Data'!I421:I423)</x:f>
        <x:v>0</x:v>
      </x:c>
      <x:c r="P1389" s="44" t="n">
        <x:f>IF(AND(L1389=1,M1389=1,N1389=1,O1389&gt;=G1389),K1389,0)</x:f>
        <x:v>0</x:v>
      </x:c>
      <x:c r="Q1389" s="21" t="str">
        <x:v>OPEN</x:v>
      </x:c>
      <x:c r="R1389" s="23" t="str">
        <x:v>HOLD</x:v>
      </x:c>
    </x:row>
    <x:row r="1390">
      <x:c r="B1390" s="21" t="str">
        <x:v>AR-01384</x:v>
      </x:c>
      <x:c r="C1390" s="21" t="str">
        <x:v>F35-I3</x:v>
      </x:c>
      <x:c r="D1390" s="21" t="str">
        <x:v>F35</x:v>
      </x:c>
      <x:c r="E1390" s="21" t="n">
        <x:v>4</x:v>
      </x:c>
      <x:c r="F1390" s="21" t="str">
        <x:v>Engineering article acceptance</x:v>
      </x:c>
      <x:c r="G1390" s="21" t="n">
        <x:v>18</x:v>
      </x:c>
      <x:c r="H1390" s="21" t="str">
        <x:v>Independent Evidence and Data Authority</x:v>
      </x:c>
      <x:c r="I1390" s="44" t="n">
        <x:f>Lifecycle!G10</x:f>
        <x:v>0.05929244350747744</x:v>
      </x:c>
      <x:c r="J1390" s="44" t="n">
        <x:v>0.08499999999999999</x:v>
      </x:c>
      <x:c r="K1390" s="44" t="n">
        <x:f>I1390*J1390</x:f>
        <x:v>0.005039857698135582</x:v>
      </x:c>
      <x:c r="L1390" s="46" t="n">
        <x:v>0</x:v>
      </x:c>
      <x:c r="M1390" s="46" t="n">
        <x:v>0</x:v>
      </x:c>
      <x:c r="N1390" s="21" t="n">
        <x:f>IF(AND(L1389=1,M1389=1,P1389&gt;0),1,0)</x:f>
        <x:v>0</x:v>
      </x:c>
      <x:c r="O1390" s="21" t="n">
        <x:f>MIN('Root Data'!I421:I423)</x:f>
        <x:v>0</x:v>
      </x:c>
      <x:c r="P1390" s="44" t="n">
        <x:f>IF(AND(L1390=1,M1390=1,N1390=1,O1390&gt;=G1390),K1390,0)</x:f>
        <x:v>0</x:v>
      </x:c>
      <x:c r="Q1390" s="21" t="str">
        <x:v>OPEN</x:v>
      </x:c>
      <x:c r="R1390" s="23" t="str">
        <x:v>HOLD</x:v>
      </x:c>
    </x:row>
    <x:row r="1391">
      <x:c r="B1391" s="21" t="str">
        <x:v>AR-01385</x:v>
      </x:c>
      <x:c r="C1391" s="21" t="str">
        <x:v>F35-I3</x:v>
      </x:c>
      <x:c r="D1391" s="21" t="str">
        <x:v>F35</x:v>
      </x:c>
      <x:c r="E1391" s="21" t="n">
        <x:v>5</x:v>
      </x:c>
      <x:c r="F1391" s="21" t="str">
        <x:v>Qualification and destructive evidence</x:v>
      </x:c>
      <x:c r="G1391" s="21" t="n">
        <x:v>21</x:v>
      </x:c>
      <x:c r="H1391" s="21" t="str">
        <x:v>Independent Evidence and Data Authority</x:v>
      </x:c>
      <x:c r="I1391" s="44" t="n">
        <x:f>Lifecycle!G11</x:f>
        <x:v>0.1515251334079979</x:v>
      </x:c>
      <x:c r="J1391" s="44" t="n">
        <x:v>0.08499999999999999</x:v>
      </x:c>
      <x:c r="K1391" s="44" t="n">
        <x:f>I1391*J1391</x:f>
        <x:v>0.012879636339679819</x:v>
      </x:c>
      <x:c r="L1391" s="46" t="n">
        <x:v>0</x:v>
      </x:c>
      <x:c r="M1391" s="46" t="n">
        <x:v>0</x:v>
      </x:c>
      <x:c r="N1391" s="21" t="n">
        <x:f>IF(AND(L1390=1,M1390=1,P1390&gt;0),1,0)</x:f>
        <x:v>0</x:v>
      </x:c>
      <x:c r="O1391" s="21" t="n">
        <x:f>MIN('Root Data'!I421:I423)</x:f>
        <x:v>0</x:v>
      </x:c>
      <x:c r="P1391" s="44" t="n">
        <x:f>IF(AND(L1391=1,M1391=1,N1391=1,O1391&gt;=G1391),K1391,0)</x:f>
        <x:v>0</x:v>
      </x:c>
      <x:c r="Q1391" s="21" t="str">
        <x:v>OPEN</x:v>
      </x:c>
      <x:c r="R1391" s="23" t="str">
        <x:v>HOLD</x:v>
      </x:c>
    </x:row>
    <x:row r="1392">
      <x:c r="B1392" s="21" t="str">
        <x:v>AR-01386</x:v>
      </x:c>
      <x:c r="C1392" s="21" t="str">
        <x:v>F35-I3</x:v>
      </x:c>
      <x:c r="D1392" s="21" t="str">
        <x:v>F35</x:v>
      </x:c>
      <x:c r="E1392" s="21" t="n">
        <x:v>6</x:v>
      </x:c>
      <x:c r="F1392" s="21" t="str">
        <x:v>Representative mission result</x:v>
      </x:c>
      <x:c r="G1392" s="21" t="n">
        <x:v>23</x:v>
      </x:c>
      <x:c r="H1392" s="21" t="str">
        <x:v>Receiving Service Authority</x:v>
      </x:c>
      <x:c r="I1392" s="44" t="n">
        <x:f>Lifecycle!G12</x:f>
        <x:v>0.250345872587127</x:v>
      </x:c>
      <x:c r="J1392" s="44" t="n">
        <x:v>0.08499999999999999</x:v>
      </x:c>
      <x:c r="K1392" s="44" t="n">
        <x:f>I1392*J1392</x:f>
        <x:v>0.021279399169905792</x:v>
      </x:c>
      <x:c r="L1392" s="46" t="n">
        <x:v>0</x:v>
      </x:c>
      <x:c r="M1392" s="46" t="n">
        <x:v>0</x:v>
      </x:c>
      <x:c r="N1392" s="21" t="n">
        <x:f>IF(AND(L1391=1,M1391=1,P1391&gt;0),1,0)</x:f>
        <x:v>0</x:v>
      </x:c>
      <x:c r="O1392" s="21" t="n">
        <x:f>MIN('Root Data'!I421:I423)</x:f>
        <x:v>0</x:v>
      </x:c>
      <x:c r="P1392" s="44" t="n">
        <x:f>IF(AND(L1392=1,M1392=1,N1392=1,O1392&gt;=G1392),K1392,0)</x:f>
        <x:v>0</x:v>
      </x:c>
      <x:c r="Q1392" s="21" t="str">
        <x:v>OPEN</x:v>
      </x:c>
      <x:c r="R1392" s="23" t="str">
        <x:v>HOLD</x:v>
      </x:c>
    </x:row>
    <x:row r="1393">
      <x:c r="B1393" s="21" t="str">
        <x:v>AR-01387</x:v>
      </x:c>
      <x:c r="C1393" s="21" t="str">
        <x:v>F35-I3</x:v>
      </x:c>
      <x:c r="D1393" s="21" t="str">
        <x:v>F35</x:v>
      </x:c>
      <x:c r="E1393" s="21" t="n">
        <x:v>7</x:v>
      </x:c>
      <x:c r="F1393" s="21" t="str">
        <x:v>Independent reproduction</x:v>
      </x:c>
      <x:c r="G1393" s="21" t="n">
        <x:v>28</x:v>
      </x:c>
      <x:c r="H1393" s="21" t="str">
        <x:v>Independent Evidence and Data Authority</x:v>
      </x:c>
      <x:c r="I1393" s="44" t="n">
        <x:f>Lifecycle!G13</x:f>
        <x:v>0.21740562619408393</x:v>
      </x:c>
      <x:c r="J1393" s="44" t="n">
        <x:v>0.08499999999999999</x:v>
      </x:c>
      <x:c r="K1393" s="44" t="n">
        <x:f>I1393*J1393</x:f>
        <x:v>0.018479478226497134</x:v>
      </x:c>
      <x:c r="L1393" s="46" t="n">
        <x:v>0</x:v>
      </x:c>
      <x:c r="M1393" s="46" t="n">
        <x:v>0</x:v>
      </x:c>
      <x:c r="N1393" s="21" t="n">
        <x:f>IF(AND(L1392=1,M1392=1,P1392&gt;0),1,0)</x:f>
        <x:v>0</x:v>
      </x:c>
      <x:c r="O1393" s="21" t="n">
        <x:f>MIN('Root Data'!I421:I423)</x:f>
        <x:v>0</x:v>
      </x:c>
      <x:c r="P1393" s="44" t="n">
        <x:f>IF(AND(L1393=1,M1393=1,N1393=1,O1393&gt;=G1393),K1393,0)</x:f>
        <x:v>0</x:v>
      </x:c>
      <x:c r="Q1393" s="21" t="str">
        <x:v>OPEN</x:v>
      </x:c>
      <x:c r="R1393" s="23" t="str">
        <x:v>HOLD</x:v>
      </x:c>
    </x:row>
    <x:row r="1394">
      <x:c r="B1394" s="21" t="str">
        <x:v>AR-01388</x:v>
      </x:c>
      <x:c r="C1394" s="21" t="str">
        <x:v>F35-I3</x:v>
      </x:c>
      <x:c r="D1394" s="21" t="str">
        <x:v>F35</x:v>
      </x:c>
      <x:c r="E1394" s="21" t="n">
        <x:v>8</x:v>
      </x:c>
      <x:c r="F1394" s="21" t="str">
        <x:v>Pilot-process qualification</x:v>
      </x:c>
      <x:c r="G1394" s="21" t="n">
        <x:v>28</x:v>
      </x:c>
      <x:c r="H1394" s="21" t="str">
        <x:v>AIMC Industrial Mobilization Authority</x:v>
      </x:c>
      <x:c r="I1394" s="44" t="n">
        <x:f>Lifecycle!G14</x:f>
        <x:v>0.03952829567165163</x:v>
      </x:c>
      <x:c r="J1394" s="44" t="n">
        <x:v>0.08499999999999999</x:v>
      </x:c>
      <x:c r="K1394" s="44" t="n">
        <x:f>I1394*J1394</x:f>
        <x:v>0.003359905132090388</x:v>
      </x:c>
      <x:c r="L1394" s="46" t="n">
        <x:v>0</x:v>
      </x:c>
      <x:c r="M1394" s="46" t="n">
        <x:v>0</x:v>
      </x:c>
      <x:c r="N1394" s="21" t="n">
        <x:f>IF(AND(L1393=1,M1393=1,P1393&gt;0),1,0)</x:f>
        <x:v>0</x:v>
      </x:c>
      <x:c r="O1394" s="21" t="n">
        <x:f>MIN('Root Data'!I421:I423)</x:f>
        <x:v>0</x:v>
      </x:c>
      <x:c r="P1394" s="44" t="n">
        <x:f>IF(AND(L1394=1,M1394=1,N1394=1,O1394&gt;=G1394),K1394,0)</x:f>
        <x:v>0</x:v>
      </x:c>
      <x:c r="Q1394" s="21" t="str">
        <x:v>OPEN</x:v>
      </x:c>
      <x:c r="R1394" s="23" t="str">
        <x:v>HOLD</x:v>
      </x:c>
    </x:row>
    <x:row r="1395">
      <x:c r="B1395" s="21" t="str">
        <x:v>AR-01389</x:v>
      </x:c>
      <x:c r="C1395" s="21" t="str">
        <x:v>F35-I3</x:v>
      </x:c>
      <x:c r="D1395" s="21" t="str">
        <x:v>F35</x:v>
      </x:c>
      <x:c r="E1395" s="21" t="n">
        <x:v>9</x:v>
      </x:c>
      <x:c r="F1395" s="21" t="str">
        <x:v>Production release package</x:v>
      </x:c>
      <x:c r="G1395" s="21" t="n">
        <x:v>28</x:v>
      </x:c>
      <x:c r="H1395" s="21" t="str">
        <x:v>Production Release Board</x:v>
      </x:c>
      <x:c r="I1395" s="44" t="n">
        <x:f>Lifecycle!G15</x:f>
        <x:v>0.01647012319652151</x:v>
      </x:c>
      <x:c r="J1395" s="44" t="n">
        <x:v>0.08499999999999999</x:v>
      </x:c>
      <x:c r="K1395" s="44" t="n">
        <x:f>I1395*J1395</x:f>
        <x:v>0.0013999604717043282</x:v>
      </x:c>
      <x:c r="L1395" s="46" t="n">
        <x:v>0</x:v>
      </x:c>
      <x:c r="M1395" s="46" t="n">
        <x:v>0</x:v>
      </x:c>
      <x:c r="N1395" s="21" t="n">
        <x:f>IF(AND(L1394=1,M1394=1,P1394&gt;0),1,0)</x:f>
        <x:v>0</x:v>
      </x:c>
      <x:c r="O1395" s="21" t="n">
        <x:f>MIN('Root Data'!I421:I423)</x:f>
        <x:v>0</x:v>
      </x:c>
      <x:c r="P1395" s="44" t="n">
        <x:f>IF(AND(L1395=1,M1395=1,N1395=1,O1395&gt;=G1395),K1395,0)</x:f>
        <x:v>0</x:v>
      </x:c>
      <x:c r="Q1395" s="21" t="str">
        <x:v>OPEN</x:v>
      </x:c>
      <x:c r="R1395" s="23" t="str">
        <x:v>HOLD</x:v>
      </x:c>
    </x:row>
    <x:row r="1396">
      <x:c r="B1396" s="21" t="str">
        <x:v>AR-01390</x:v>
      </x:c>
      <x:c r="C1396" s="21" t="str">
        <x:v>F35-I3</x:v>
      </x:c>
      <x:c r="D1396" s="21" t="str">
        <x:v>F35</x:v>
      </x:c>
      <x:c r="E1396" s="21" t="n">
        <x:v>10</x:v>
      </x:c>
      <x:c r="F1396" s="21" t="str">
        <x:v>Mobilization activation</x:v>
      </x:c>
      <x:c r="G1396" s="21" t="n">
        <x:v>28</x:v>
      </x:c>
      <x:c r="H1396" s="21" t="str">
        <x:v>Production Release Board</x:v>
      </x:c>
      <x:c r="I1396" s="44" t="n">
        <x:f>Lifecycle!G16</x:f>
        <x:v>0.028262731405230914</x:v>
      </x:c>
      <x:c r="J1396" s="44" t="n">
        <x:v>0.08499999999999999</x:v>
      </x:c>
      <x:c r="K1396" s="44" t="n">
        <x:f>I1396*J1396</x:f>
        <x:v>0.0024023321694446277</x:v>
      </x:c>
      <x:c r="L1396" s="46" t="n">
        <x:v>0</x:v>
      </x:c>
      <x:c r="M1396" s="46" t="n">
        <x:v>0</x:v>
      </x:c>
      <x:c r="N1396" s="21" t="n">
        <x:f>IF(AND(L1395=1,M1395=1,P1395&gt;0),1,0)</x:f>
        <x:v>0</x:v>
      </x:c>
      <x:c r="O1396" s="21" t="n">
        <x:f>MIN('Root Data'!I421:I423)</x:f>
        <x:v>0</x:v>
      </x:c>
      <x:c r="P1396" s="44" t="n">
        <x:f>IF(AND(L1396=1,M1396=1,N1396=1,O1396&gt;=G1396),K1396,0)</x:f>
        <x:v>0</x:v>
      </x:c>
      <x:c r="Q1396" s="21" t="str">
        <x:v>OPEN</x:v>
      </x:c>
      <x:c r="R1396" s="23" t="str">
        <x:v>HOLD</x:v>
      </x:c>
    </x:row>
    <x:row r="1397">
      <x:c r="B1397" s="21" t="str">
        <x:v>AR-01391</x:v>
      </x:c>
      <x:c r="C1397" s="21" t="str">
        <x:v>F35-I4</x:v>
      </x:c>
      <x:c r="D1397" s="21" t="str">
        <x:v>F35</x:v>
      </x:c>
      <x:c r="E1397" s="21" t="n">
        <x:v>1</x:v>
      </x:c>
      <x:c r="F1397" s="21" t="str">
        <x:v>Civil effect charter</x:v>
      </x:c>
      <x:c r="G1397" s="21" t="n">
        <x:v>0</x:v>
      </x:c>
      <x:c r="H1397" s="21" t="str">
        <x:v>Civil Guarantee Authority</x:v>
      </x:c>
      <x:c r="I1397" s="44" t="n">
        <x:f>Lifecycle!G7</x:f>
        <x:v>0.04941036958956453</x:v>
      </x:c>
      <x:c r="J1397" s="44" t="n">
        <x:v>0.08499999999999999</x:v>
      </x:c>
      <x:c r="K1397" s="44" t="n">
        <x:f>I1397*J1397</x:f>
        <x:v>0.004199881415112985</x:v>
      </x:c>
      <x:c r="L1397" s="46" t="n">
        <x:v>0</x:v>
      </x:c>
      <x:c r="M1397" s="46" t="n">
        <x:v>0</x:v>
      </x:c>
      <x:c r="N1397" s="21" t="n">
        <x:f>1</x:f>
        <x:v>1</x:v>
      </x:c>
      <x:c r="O1397" s="21" t="n">
        <x:f>MIN('Root Data'!I424:I426)</x:f>
        <x:v>0</x:v>
      </x:c>
      <x:c r="P1397" s="44" t="n">
        <x:f>IF(AND(L1397=1,M1397=1,N1397=1,O1397&gt;=G1397),K1397,0)</x:f>
        <x:v>0</x:v>
      </x:c>
      <x:c r="Q1397" s="21" t="str">
        <x:v>OPEN</x:v>
      </x:c>
      <x:c r="R1397" s="23" t="str">
        <x:v>HOLD</x:v>
      </x:c>
    </x:row>
    <x:row r="1398">
      <x:c r="B1398" s="21" t="str">
        <x:v>AR-01392</x:v>
      </x:c>
      <x:c r="C1398" s="21" t="str">
        <x:v>F35-I4</x:v>
      </x:c>
      <x:c r="D1398" s="21" t="str">
        <x:v>F35</x:v>
      </x:c>
      <x:c r="E1398" s="21" t="n">
        <x:v>2</x:v>
      </x:c>
      <x:c r="F1398" s="21" t="str">
        <x:v>Requirement and root-independence package</x:v>
      </x:c>
      <x:c r="G1398" s="21" t="n">
        <x:v>8</x:v>
      </x:c>
      <x:c r="H1398" s="21" t="str">
        <x:v>Resilience Staff</x:v>
      </x:c>
      <x:c r="I1398" s="44" t="n">
        <x:f>Lifecycle!G8</x:f>
        <x:v>0.10211476381843337</x:v>
      </x:c>
      <x:c r="J1398" s="44" t="n">
        <x:v>0.08499999999999999</x:v>
      </x:c>
      <x:c r="K1398" s="44" t="n">
        <x:f>I1398*J1398</x:f>
        <x:v>0.008679754924566836</x:v>
      </x:c>
      <x:c r="L1398" s="46" t="n">
        <x:v>0</x:v>
      </x:c>
      <x:c r="M1398" s="46" t="n">
        <x:v>0</x:v>
      </x:c>
      <x:c r="N1398" s="21" t="n">
        <x:f>IF(AND(L1397=1,M1397=1,P1397&gt;0),1,0)</x:f>
        <x:v>0</x:v>
      </x:c>
      <x:c r="O1398" s="21" t="n">
        <x:f>MIN('Root Data'!I424:I426)</x:f>
        <x:v>0</x:v>
      </x:c>
      <x:c r="P1398" s="44" t="n">
        <x:f>IF(AND(L1398=1,M1398=1,N1398=1,O1398&gt;=G1398),K1398,0)</x:f>
        <x:v>0</x:v>
      </x:c>
      <x:c r="Q1398" s="21" t="str">
        <x:v>OPEN</x:v>
      </x:c>
      <x:c r="R1398" s="23" t="str">
        <x:v>HOLD</x:v>
      </x:c>
    </x:row>
    <x:row r="1399">
      <x:c r="B1399" s="21" t="str">
        <x:v>AR-01393</x:v>
      </x:c>
      <x:c r="C1399" s="21" t="str">
        <x:v>F35-I4</x:v>
      </x:c>
      <x:c r="D1399" s="21" t="str">
        <x:v>F35</x:v>
      </x:c>
      <x:c r="E1399" s="21" t="n">
        <x:v>3</x:v>
      </x:c>
      <x:c r="F1399" s="21" t="str">
        <x:v>Architecture and burden closure</x:v>
      </x:c>
      <x:c r="G1399" s="21" t="n">
        <x:v>14</x:v>
      </x:c>
      <x:c r="H1399" s="21" t="str">
        <x:v>Independent Evidence and Data Authority</x:v>
      </x:c>
      <x:c r="I1399" s="44" t="n">
        <x:f>Lifecycle!G9</x:f>
        <x:v>0.08564464062191186</x:v>
      </x:c>
      <x:c r="J1399" s="44" t="n">
        <x:v>0.08499999999999999</x:v>
      </x:c>
      <x:c r="K1399" s="44" t="n">
        <x:f>I1399*J1399</x:f>
        <x:v>0.007279794452862508</x:v>
      </x:c>
      <x:c r="L1399" s="46" t="n">
        <x:v>0</x:v>
      </x:c>
      <x:c r="M1399" s="46" t="n">
        <x:v>0</x:v>
      </x:c>
      <x:c r="N1399" s="21" t="n">
        <x:f>IF(AND(L1398=1,M1398=1,P1398&gt;0),1,0)</x:f>
        <x:v>0</x:v>
      </x:c>
      <x:c r="O1399" s="21" t="n">
        <x:f>MIN('Root Data'!I424:I426)</x:f>
        <x:v>0</x:v>
      </x:c>
      <x:c r="P1399" s="44" t="n">
        <x:f>IF(AND(L1399=1,M1399=1,N1399=1,O1399&gt;=G1399),K1399,0)</x:f>
        <x:v>0</x:v>
      </x:c>
      <x:c r="Q1399" s="21" t="str">
        <x:v>OPEN</x:v>
      </x:c>
      <x:c r="R1399" s="23" t="str">
        <x:v>HOLD</x:v>
      </x:c>
    </x:row>
    <x:row r="1400">
      <x:c r="B1400" s="21" t="str">
        <x:v>AR-01394</x:v>
      </x:c>
      <x:c r="C1400" s="21" t="str">
        <x:v>F35-I4</x:v>
      </x:c>
      <x:c r="D1400" s="21" t="str">
        <x:v>F35</x:v>
      </x:c>
      <x:c r="E1400" s="21" t="n">
        <x:v>4</x:v>
      </x:c>
      <x:c r="F1400" s="21" t="str">
        <x:v>Engineering article acceptance</x:v>
      </x:c>
      <x:c r="G1400" s="21" t="n">
        <x:v>18</x:v>
      </x:c>
      <x:c r="H1400" s="21" t="str">
        <x:v>Independent Evidence and Data Authority</x:v>
      </x:c>
      <x:c r="I1400" s="44" t="n">
        <x:f>Lifecycle!G10</x:f>
        <x:v>0.05929244350747744</x:v>
      </x:c>
      <x:c r="J1400" s="44" t="n">
        <x:v>0.08499999999999999</x:v>
      </x:c>
      <x:c r="K1400" s="44" t="n">
        <x:f>I1400*J1400</x:f>
        <x:v>0.005039857698135582</x:v>
      </x:c>
      <x:c r="L1400" s="46" t="n">
        <x:v>0</x:v>
      </x:c>
      <x:c r="M1400" s="46" t="n">
        <x:v>0</x:v>
      </x:c>
      <x:c r="N1400" s="21" t="n">
        <x:f>IF(AND(L1399=1,M1399=1,P1399&gt;0),1,0)</x:f>
        <x:v>0</x:v>
      </x:c>
      <x:c r="O1400" s="21" t="n">
        <x:f>MIN('Root Data'!I424:I426)</x:f>
        <x:v>0</x:v>
      </x:c>
      <x:c r="P1400" s="44" t="n">
        <x:f>IF(AND(L1400=1,M1400=1,N1400=1,O1400&gt;=G1400),K1400,0)</x:f>
        <x:v>0</x:v>
      </x:c>
      <x:c r="Q1400" s="21" t="str">
        <x:v>OPEN</x:v>
      </x:c>
      <x:c r="R1400" s="23" t="str">
        <x:v>HOLD</x:v>
      </x:c>
    </x:row>
    <x:row r="1401">
      <x:c r="B1401" s="21" t="str">
        <x:v>AR-01395</x:v>
      </x:c>
      <x:c r="C1401" s="21" t="str">
        <x:v>F35-I4</x:v>
      </x:c>
      <x:c r="D1401" s="21" t="str">
        <x:v>F35</x:v>
      </x:c>
      <x:c r="E1401" s="21" t="n">
        <x:v>5</x:v>
      </x:c>
      <x:c r="F1401" s="21" t="str">
        <x:v>Qualification and destructive evidence</x:v>
      </x:c>
      <x:c r="G1401" s="21" t="n">
        <x:v>21</x:v>
      </x:c>
      <x:c r="H1401" s="21" t="str">
        <x:v>Independent Evidence and Data Authority</x:v>
      </x:c>
      <x:c r="I1401" s="44" t="n">
        <x:f>Lifecycle!G11</x:f>
        <x:v>0.1515251334079979</x:v>
      </x:c>
      <x:c r="J1401" s="44" t="n">
        <x:v>0.08499999999999999</x:v>
      </x:c>
      <x:c r="K1401" s="44" t="n">
        <x:f>I1401*J1401</x:f>
        <x:v>0.012879636339679819</x:v>
      </x:c>
      <x:c r="L1401" s="46" t="n">
        <x:v>0</x:v>
      </x:c>
      <x:c r="M1401" s="46" t="n">
        <x:v>0</x:v>
      </x:c>
      <x:c r="N1401" s="21" t="n">
        <x:f>IF(AND(L1400=1,M1400=1,P1400&gt;0),1,0)</x:f>
        <x:v>0</x:v>
      </x:c>
      <x:c r="O1401" s="21" t="n">
        <x:f>MIN('Root Data'!I424:I426)</x:f>
        <x:v>0</x:v>
      </x:c>
      <x:c r="P1401" s="44" t="n">
        <x:f>IF(AND(L1401=1,M1401=1,N1401=1,O1401&gt;=G1401),K1401,0)</x:f>
        <x:v>0</x:v>
      </x:c>
      <x:c r="Q1401" s="21" t="str">
        <x:v>OPEN</x:v>
      </x:c>
      <x:c r="R1401" s="23" t="str">
        <x:v>HOLD</x:v>
      </x:c>
    </x:row>
    <x:row r="1402">
      <x:c r="B1402" s="21" t="str">
        <x:v>AR-01396</x:v>
      </x:c>
      <x:c r="C1402" s="21" t="str">
        <x:v>F35-I4</x:v>
      </x:c>
      <x:c r="D1402" s="21" t="str">
        <x:v>F35</x:v>
      </x:c>
      <x:c r="E1402" s="21" t="n">
        <x:v>6</x:v>
      </x:c>
      <x:c r="F1402" s="21" t="str">
        <x:v>Representative mission result</x:v>
      </x:c>
      <x:c r="G1402" s="21" t="n">
        <x:v>23</x:v>
      </x:c>
      <x:c r="H1402" s="21" t="str">
        <x:v>Receiving Service Authority</x:v>
      </x:c>
      <x:c r="I1402" s="44" t="n">
        <x:f>Lifecycle!G12</x:f>
        <x:v>0.250345872587127</x:v>
      </x:c>
      <x:c r="J1402" s="44" t="n">
        <x:v>0.08499999999999999</x:v>
      </x:c>
      <x:c r="K1402" s="44" t="n">
        <x:f>I1402*J1402</x:f>
        <x:v>0.021279399169905792</x:v>
      </x:c>
      <x:c r="L1402" s="46" t="n">
        <x:v>0</x:v>
      </x:c>
      <x:c r="M1402" s="46" t="n">
        <x:v>0</x:v>
      </x:c>
      <x:c r="N1402" s="21" t="n">
        <x:f>IF(AND(L1401=1,M1401=1,P1401&gt;0),1,0)</x:f>
        <x:v>0</x:v>
      </x:c>
      <x:c r="O1402" s="21" t="n">
        <x:f>MIN('Root Data'!I424:I426)</x:f>
        <x:v>0</x:v>
      </x:c>
      <x:c r="P1402" s="44" t="n">
        <x:f>IF(AND(L1402=1,M1402=1,N1402=1,O1402&gt;=G1402),K1402,0)</x:f>
        <x:v>0</x:v>
      </x:c>
      <x:c r="Q1402" s="21" t="str">
        <x:v>OPEN</x:v>
      </x:c>
      <x:c r="R1402" s="23" t="str">
        <x:v>HOLD</x:v>
      </x:c>
    </x:row>
    <x:row r="1403">
      <x:c r="B1403" s="21" t="str">
        <x:v>AR-01397</x:v>
      </x:c>
      <x:c r="C1403" s="21" t="str">
        <x:v>F35-I4</x:v>
      </x:c>
      <x:c r="D1403" s="21" t="str">
        <x:v>F35</x:v>
      </x:c>
      <x:c r="E1403" s="21" t="n">
        <x:v>7</x:v>
      </x:c>
      <x:c r="F1403" s="21" t="str">
        <x:v>Independent reproduction</x:v>
      </x:c>
      <x:c r="G1403" s="21" t="n">
        <x:v>28</x:v>
      </x:c>
      <x:c r="H1403" s="21" t="str">
        <x:v>Independent Evidence and Data Authority</x:v>
      </x:c>
      <x:c r="I1403" s="44" t="n">
        <x:f>Lifecycle!G13</x:f>
        <x:v>0.21740562619408393</x:v>
      </x:c>
      <x:c r="J1403" s="44" t="n">
        <x:v>0.08499999999999999</x:v>
      </x:c>
      <x:c r="K1403" s="44" t="n">
        <x:f>I1403*J1403</x:f>
        <x:v>0.018479478226497134</x:v>
      </x:c>
      <x:c r="L1403" s="46" t="n">
        <x:v>0</x:v>
      </x:c>
      <x:c r="M1403" s="46" t="n">
        <x:v>0</x:v>
      </x:c>
      <x:c r="N1403" s="21" t="n">
        <x:f>IF(AND(L1402=1,M1402=1,P1402&gt;0),1,0)</x:f>
        <x:v>0</x:v>
      </x:c>
      <x:c r="O1403" s="21" t="n">
        <x:f>MIN('Root Data'!I424:I426)</x:f>
        <x:v>0</x:v>
      </x:c>
      <x:c r="P1403" s="44" t="n">
        <x:f>IF(AND(L1403=1,M1403=1,N1403=1,O1403&gt;=G1403),K1403,0)</x:f>
        <x:v>0</x:v>
      </x:c>
      <x:c r="Q1403" s="21" t="str">
        <x:v>OPEN</x:v>
      </x:c>
      <x:c r="R1403" s="23" t="str">
        <x:v>HOLD</x:v>
      </x:c>
    </x:row>
    <x:row r="1404">
      <x:c r="B1404" s="21" t="str">
        <x:v>AR-01398</x:v>
      </x:c>
      <x:c r="C1404" s="21" t="str">
        <x:v>F35-I4</x:v>
      </x:c>
      <x:c r="D1404" s="21" t="str">
        <x:v>F35</x:v>
      </x:c>
      <x:c r="E1404" s="21" t="n">
        <x:v>8</x:v>
      </x:c>
      <x:c r="F1404" s="21" t="str">
        <x:v>Pilot-process qualification</x:v>
      </x:c>
      <x:c r="G1404" s="21" t="n">
        <x:v>28</x:v>
      </x:c>
      <x:c r="H1404" s="21" t="str">
        <x:v>AIMC Industrial Mobilization Authority</x:v>
      </x:c>
      <x:c r="I1404" s="44" t="n">
        <x:f>Lifecycle!G14</x:f>
        <x:v>0.03952829567165163</x:v>
      </x:c>
      <x:c r="J1404" s="44" t="n">
        <x:v>0.08499999999999999</x:v>
      </x:c>
      <x:c r="K1404" s="44" t="n">
        <x:f>I1404*J1404</x:f>
        <x:v>0.003359905132090388</x:v>
      </x:c>
      <x:c r="L1404" s="46" t="n">
        <x:v>0</x:v>
      </x:c>
      <x:c r="M1404" s="46" t="n">
        <x:v>0</x:v>
      </x:c>
      <x:c r="N1404" s="21" t="n">
        <x:f>IF(AND(L1403=1,M1403=1,P1403&gt;0),1,0)</x:f>
        <x:v>0</x:v>
      </x:c>
      <x:c r="O1404" s="21" t="n">
        <x:f>MIN('Root Data'!I424:I426)</x:f>
        <x:v>0</x:v>
      </x:c>
      <x:c r="P1404" s="44" t="n">
        <x:f>IF(AND(L1404=1,M1404=1,N1404=1,O1404&gt;=G1404),K1404,0)</x:f>
        <x:v>0</x:v>
      </x:c>
      <x:c r="Q1404" s="21" t="str">
        <x:v>OPEN</x:v>
      </x:c>
      <x:c r="R1404" s="23" t="str">
        <x:v>HOLD</x:v>
      </x:c>
    </x:row>
    <x:row r="1405">
      <x:c r="B1405" s="21" t="str">
        <x:v>AR-01399</x:v>
      </x:c>
      <x:c r="C1405" s="21" t="str">
        <x:v>F35-I4</x:v>
      </x:c>
      <x:c r="D1405" s="21" t="str">
        <x:v>F35</x:v>
      </x:c>
      <x:c r="E1405" s="21" t="n">
        <x:v>9</x:v>
      </x:c>
      <x:c r="F1405" s="21" t="str">
        <x:v>Production release package</x:v>
      </x:c>
      <x:c r="G1405" s="21" t="n">
        <x:v>28</x:v>
      </x:c>
      <x:c r="H1405" s="21" t="str">
        <x:v>Production Release Board</x:v>
      </x:c>
      <x:c r="I1405" s="44" t="n">
        <x:f>Lifecycle!G15</x:f>
        <x:v>0.01647012319652151</x:v>
      </x:c>
      <x:c r="J1405" s="44" t="n">
        <x:v>0.08499999999999999</x:v>
      </x:c>
      <x:c r="K1405" s="44" t="n">
        <x:f>I1405*J1405</x:f>
        <x:v>0.0013999604717043282</x:v>
      </x:c>
      <x:c r="L1405" s="46" t="n">
        <x:v>0</x:v>
      </x:c>
      <x:c r="M1405" s="46" t="n">
        <x:v>0</x:v>
      </x:c>
      <x:c r="N1405" s="21" t="n">
        <x:f>IF(AND(L1404=1,M1404=1,P1404&gt;0),1,0)</x:f>
        <x:v>0</x:v>
      </x:c>
      <x:c r="O1405" s="21" t="n">
        <x:f>MIN('Root Data'!I424:I426)</x:f>
        <x:v>0</x:v>
      </x:c>
      <x:c r="P1405" s="44" t="n">
        <x:f>IF(AND(L1405=1,M1405=1,N1405=1,O1405&gt;=G1405),K1405,0)</x:f>
        <x:v>0</x:v>
      </x:c>
      <x:c r="Q1405" s="21" t="str">
        <x:v>OPEN</x:v>
      </x:c>
      <x:c r="R1405" s="23" t="str">
        <x:v>HOLD</x:v>
      </x:c>
    </x:row>
    <x:row r="1406">
      <x:c r="B1406" s="21" t="str">
        <x:v>AR-01400</x:v>
      </x:c>
      <x:c r="C1406" s="21" t="str">
        <x:v>F35-I4</x:v>
      </x:c>
      <x:c r="D1406" s="21" t="str">
        <x:v>F35</x:v>
      </x:c>
      <x:c r="E1406" s="21" t="n">
        <x:v>10</x:v>
      </x:c>
      <x:c r="F1406" s="21" t="str">
        <x:v>Mobilization activation</x:v>
      </x:c>
      <x:c r="G1406" s="21" t="n">
        <x:v>28</x:v>
      </x:c>
      <x:c r="H1406" s="21" t="str">
        <x:v>Production Release Board</x:v>
      </x:c>
      <x:c r="I1406" s="44" t="n">
        <x:f>Lifecycle!G16</x:f>
        <x:v>0.028262731405230914</x:v>
      </x:c>
      <x:c r="J1406" s="44" t="n">
        <x:v>0.08499999999999999</x:v>
      </x:c>
      <x:c r="K1406" s="44" t="n">
        <x:f>I1406*J1406</x:f>
        <x:v>0.0024023321694446277</x:v>
      </x:c>
      <x:c r="L1406" s="46" t="n">
        <x:v>0</x:v>
      </x:c>
      <x:c r="M1406" s="46" t="n">
        <x:v>0</x:v>
      </x:c>
      <x:c r="N1406" s="21" t="n">
        <x:f>IF(AND(L1405=1,M1405=1,P1405&gt;0),1,0)</x:f>
        <x:v>0</x:v>
      </x:c>
      <x:c r="O1406" s="21" t="n">
        <x:f>MIN('Root Data'!I424:I426)</x:f>
        <x:v>0</x:v>
      </x:c>
      <x:c r="P1406" s="44" t="n">
        <x:f>IF(AND(L1406=1,M1406=1,N1406=1,O1406&gt;=G1406),K1406,0)</x:f>
        <x:v>0</x:v>
      </x:c>
      <x:c r="Q1406" s="21" t="str">
        <x:v>OPEN</x:v>
      </x:c>
      <x:c r="R1406" s="23" t="str">
        <x:v>HOLD</x:v>
      </x:c>
    </x:row>
    <x:row r="1407">
      <x:c r="B1407" s="21" t="str">
        <x:v>AR-01401</x:v>
      </x:c>
      <x:c r="C1407" s="21" t="str">
        <x:v>F36-I1</x:v>
      </x:c>
      <x:c r="D1407" s="21" t="str">
        <x:v>F36</x:v>
      </x:c>
      <x:c r="E1407" s="21" t="n">
        <x:v>1</x:v>
      </x:c>
      <x:c r="F1407" s="21" t="str">
        <x:v>Civil effect charter</x:v>
      </x:c>
      <x:c r="G1407" s="21" t="n">
        <x:v>0</x:v>
      </x:c>
      <x:c r="H1407" s="21" t="str">
        <x:v>Civil Guarantee Authority</x:v>
      </x:c>
      <x:c r="I1407" s="44" t="n">
        <x:f>Lifecycle!G7</x:f>
        <x:v>0.04941036958956453</x:v>
      </x:c>
      <x:c r="J1407" s="44" t="n">
        <x:v>0.08499999999999999</x:v>
      </x:c>
      <x:c r="K1407" s="44" t="n">
        <x:f>I1407*J1407</x:f>
        <x:v>0.004199881415112985</x:v>
      </x:c>
      <x:c r="L1407" s="46" t="n">
        <x:v>0</x:v>
      </x:c>
      <x:c r="M1407" s="46" t="n">
        <x:v>0</x:v>
      </x:c>
      <x:c r="N1407" s="21" t="n">
        <x:f>1</x:f>
        <x:v>1</x:v>
      </x:c>
      <x:c r="O1407" s="21" t="n">
        <x:f>MIN('Root Data'!I427:I429)</x:f>
        <x:v>0</x:v>
      </x:c>
      <x:c r="P1407" s="44" t="n">
        <x:f>IF(AND(L1407=1,M1407=1,N1407=1,O1407&gt;=G1407),K1407,0)</x:f>
        <x:v>0</x:v>
      </x:c>
      <x:c r="Q1407" s="21" t="str">
        <x:v>OPEN</x:v>
      </x:c>
      <x:c r="R1407" s="23" t="str">
        <x:v>HOLD</x:v>
      </x:c>
    </x:row>
    <x:row r="1408">
      <x:c r="B1408" s="21" t="str">
        <x:v>AR-01402</x:v>
      </x:c>
      <x:c r="C1408" s="21" t="str">
        <x:v>F36-I1</x:v>
      </x:c>
      <x:c r="D1408" s="21" t="str">
        <x:v>F36</x:v>
      </x:c>
      <x:c r="E1408" s="21" t="n">
        <x:v>2</x:v>
      </x:c>
      <x:c r="F1408" s="21" t="str">
        <x:v>Requirement and root-independence package</x:v>
      </x:c>
      <x:c r="G1408" s="21" t="n">
        <x:v>8</x:v>
      </x:c>
      <x:c r="H1408" s="21" t="str">
        <x:v>Resilience Staff</x:v>
      </x:c>
      <x:c r="I1408" s="44" t="n">
        <x:f>Lifecycle!G8</x:f>
        <x:v>0.10211476381843337</x:v>
      </x:c>
      <x:c r="J1408" s="44" t="n">
        <x:v>0.08499999999999999</x:v>
      </x:c>
      <x:c r="K1408" s="44" t="n">
        <x:f>I1408*J1408</x:f>
        <x:v>0.008679754924566836</x:v>
      </x:c>
      <x:c r="L1408" s="46" t="n">
        <x:v>0</x:v>
      </x:c>
      <x:c r="M1408" s="46" t="n">
        <x:v>0</x:v>
      </x:c>
      <x:c r="N1408" s="21" t="n">
        <x:f>IF(AND(L1407=1,M1407=1,P1407&gt;0),1,0)</x:f>
        <x:v>0</x:v>
      </x:c>
      <x:c r="O1408" s="21" t="n">
        <x:f>MIN('Root Data'!I427:I429)</x:f>
        <x:v>0</x:v>
      </x:c>
      <x:c r="P1408" s="44" t="n">
        <x:f>IF(AND(L1408=1,M1408=1,N1408=1,O1408&gt;=G1408),K1408,0)</x:f>
        <x:v>0</x:v>
      </x:c>
      <x:c r="Q1408" s="21" t="str">
        <x:v>OPEN</x:v>
      </x:c>
      <x:c r="R1408" s="23" t="str">
        <x:v>HOLD</x:v>
      </x:c>
    </x:row>
    <x:row r="1409">
      <x:c r="B1409" s="21" t="str">
        <x:v>AR-01403</x:v>
      </x:c>
      <x:c r="C1409" s="21" t="str">
        <x:v>F36-I1</x:v>
      </x:c>
      <x:c r="D1409" s="21" t="str">
        <x:v>F36</x:v>
      </x:c>
      <x:c r="E1409" s="21" t="n">
        <x:v>3</x:v>
      </x:c>
      <x:c r="F1409" s="21" t="str">
        <x:v>Architecture and burden closure</x:v>
      </x:c>
      <x:c r="G1409" s="21" t="n">
        <x:v>14</x:v>
      </x:c>
      <x:c r="H1409" s="21" t="str">
        <x:v>Independent Evidence and Data Authority</x:v>
      </x:c>
      <x:c r="I1409" s="44" t="n">
        <x:f>Lifecycle!G9</x:f>
        <x:v>0.08564464062191186</x:v>
      </x:c>
      <x:c r="J1409" s="44" t="n">
        <x:v>0.08499999999999999</x:v>
      </x:c>
      <x:c r="K1409" s="44" t="n">
        <x:f>I1409*J1409</x:f>
        <x:v>0.007279794452862508</x:v>
      </x:c>
      <x:c r="L1409" s="46" t="n">
        <x:v>0</x:v>
      </x:c>
      <x:c r="M1409" s="46" t="n">
        <x:v>0</x:v>
      </x:c>
      <x:c r="N1409" s="21" t="n">
        <x:f>IF(AND(L1408=1,M1408=1,P1408&gt;0),1,0)</x:f>
        <x:v>0</x:v>
      </x:c>
      <x:c r="O1409" s="21" t="n">
        <x:f>MIN('Root Data'!I427:I429)</x:f>
        <x:v>0</x:v>
      </x:c>
      <x:c r="P1409" s="44" t="n">
        <x:f>IF(AND(L1409=1,M1409=1,N1409=1,O1409&gt;=G1409),K1409,0)</x:f>
        <x:v>0</x:v>
      </x:c>
      <x:c r="Q1409" s="21" t="str">
        <x:v>OPEN</x:v>
      </x:c>
      <x:c r="R1409" s="23" t="str">
        <x:v>HOLD</x:v>
      </x:c>
    </x:row>
    <x:row r="1410">
      <x:c r="B1410" s="21" t="str">
        <x:v>AR-01404</x:v>
      </x:c>
      <x:c r="C1410" s="21" t="str">
        <x:v>F36-I1</x:v>
      </x:c>
      <x:c r="D1410" s="21" t="str">
        <x:v>F36</x:v>
      </x:c>
      <x:c r="E1410" s="21" t="n">
        <x:v>4</x:v>
      </x:c>
      <x:c r="F1410" s="21" t="str">
        <x:v>Engineering article acceptance</x:v>
      </x:c>
      <x:c r="G1410" s="21" t="n">
        <x:v>18</x:v>
      </x:c>
      <x:c r="H1410" s="21" t="str">
        <x:v>Independent Evidence and Data Authority</x:v>
      </x:c>
      <x:c r="I1410" s="44" t="n">
        <x:f>Lifecycle!G10</x:f>
        <x:v>0.05929244350747744</x:v>
      </x:c>
      <x:c r="J1410" s="44" t="n">
        <x:v>0.08499999999999999</x:v>
      </x:c>
      <x:c r="K1410" s="44" t="n">
        <x:f>I1410*J1410</x:f>
        <x:v>0.005039857698135582</x:v>
      </x:c>
      <x:c r="L1410" s="46" t="n">
        <x:v>0</x:v>
      </x:c>
      <x:c r="M1410" s="46" t="n">
        <x:v>0</x:v>
      </x:c>
      <x:c r="N1410" s="21" t="n">
        <x:f>IF(AND(L1409=1,M1409=1,P1409&gt;0),1,0)</x:f>
        <x:v>0</x:v>
      </x:c>
      <x:c r="O1410" s="21" t="n">
        <x:f>MIN('Root Data'!I427:I429)</x:f>
        <x:v>0</x:v>
      </x:c>
      <x:c r="P1410" s="44" t="n">
        <x:f>IF(AND(L1410=1,M1410=1,N1410=1,O1410&gt;=G1410),K1410,0)</x:f>
        <x:v>0</x:v>
      </x:c>
      <x:c r="Q1410" s="21" t="str">
        <x:v>OPEN</x:v>
      </x:c>
      <x:c r="R1410" s="23" t="str">
        <x:v>HOLD</x:v>
      </x:c>
    </x:row>
    <x:row r="1411">
      <x:c r="B1411" s="21" t="str">
        <x:v>AR-01405</x:v>
      </x:c>
      <x:c r="C1411" s="21" t="str">
        <x:v>F36-I1</x:v>
      </x:c>
      <x:c r="D1411" s="21" t="str">
        <x:v>F36</x:v>
      </x:c>
      <x:c r="E1411" s="21" t="n">
        <x:v>5</x:v>
      </x:c>
      <x:c r="F1411" s="21" t="str">
        <x:v>Qualification and destructive evidence</x:v>
      </x:c>
      <x:c r="G1411" s="21" t="n">
        <x:v>21</x:v>
      </x:c>
      <x:c r="H1411" s="21" t="str">
        <x:v>Independent Evidence and Data Authority</x:v>
      </x:c>
      <x:c r="I1411" s="44" t="n">
        <x:f>Lifecycle!G11</x:f>
        <x:v>0.1515251334079979</x:v>
      </x:c>
      <x:c r="J1411" s="44" t="n">
        <x:v>0.08499999999999999</x:v>
      </x:c>
      <x:c r="K1411" s="44" t="n">
        <x:f>I1411*J1411</x:f>
        <x:v>0.012879636339679819</x:v>
      </x:c>
      <x:c r="L1411" s="46" t="n">
        <x:v>0</x:v>
      </x:c>
      <x:c r="M1411" s="46" t="n">
        <x:v>0</x:v>
      </x:c>
      <x:c r="N1411" s="21" t="n">
        <x:f>IF(AND(L1410=1,M1410=1,P1410&gt;0),1,0)</x:f>
        <x:v>0</x:v>
      </x:c>
      <x:c r="O1411" s="21" t="n">
        <x:f>MIN('Root Data'!I427:I429)</x:f>
        <x:v>0</x:v>
      </x:c>
      <x:c r="P1411" s="44" t="n">
        <x:f>IF(AND(L1411=1,M1411=1,N1411=1,O1411&gt;=G1411),K1411,0)</x:f>
        <x:v>0</x:v>
      </x:c>
      <x:c r="Q1411" s="21" t="str">
        <x:v>OPEN</x:v>
      </x:c>
      <x:c r="R1411" s="23" t="str">
        <x:v>HOLD</x:v>
      </x:c>
    </x:row>
    <x:row r="1412">
      <x:c r="B1412" s="21" t="str">
        <x:v>AR-01406</x:v>
      </x:c>
      <x:c r="C1412" s="21" t="str">
        <x:v>F36-I1</x:v>
      </x:c>
      <x:c r="D1412" s="21" t="str">
        <x:v>F36</x:v>
      </x:c>
      <x:c r="E1412" s="21" t="n">
        <x:v>6</x:v>
      </x:c>
      <x:c r="F1412" s="21" t="str">
        <x:v>Representative mission result</x:v>
      </x:c>
      <x:c r="G1412" s="21" t="n">
        <x:v>23</x:v>
      </x:c>
      <x:c r="H1412" s="21" t="str">
        <x:v>Receiving Service Authority</x:v>
      </x:c>
      <x:c r="I1412" s="44" t="n">
        <x:f>Lifecycle!G12</x:f>
        <x:v>0.250345872587127</x:v>
      </x:c>
      <x:c r="J1412" s="44" t="n">
        <x:v>0.08499999999999999</x:v>
      </x:c>
      <x:c r="K1412" s="44" t="n">
        <x:f>I1412*J1412</x:f>
        <x:v>0.021279399169905792</x:v>
      </x:c>
      <x:c r="L1412" s="46" t="n">
        <x:v>0</x:v>
      </x:c>
      <x:c r="M1412" s="46" t="n">
        <x:v>0</x:v>
      </x:c>
      <x:c r="N1412" s="21" t="n">
        <x:f>IF(AND(L1411=1,M1411=1,P1411&gt;0),1,0)</x:f>
        <x:v>0</x:v>
      </x:c>
      <x:c r="O1412" s="21" t="n">
        <x:f>MIN('Root Data'!I427:I429)</x:f>
        <x:v>0</x:v>
      </x:c>
      <x:c r="P1412" s="44" t="n">
        <x:f>IF(AND(L1412=1,M1412=1,N1412=1,O1412&gt;=G1412),K1412,0)</x:f>
        <x:v>0</x:v>
      </x:c>
      <x:c r="Q1412" s="21" t="str">
        <x:v>OPEN</x:v>
      </x:c>
      <x:c r="R1412" s="23" t="str">
        <x:v>HOLD</x:v>
      </x:c>
    </x:row>
    <x:row r="1413">
      <x:c r="B1413" s="21" t="str">
        <x:v>AR-01407</x:v>
      </x:c>
      <x:c r="C1413" s="21" t="str">
        <x:v>F36-I1</x:v>
      </x:c>
      <x:c r="D1413" s="21" t="str">
        <x:v>F36</x:v>
      </x:c>
      <x:c r="E1413" s="21" t="n">
        <x:v>7</x:v>
      </x:c>
      <x:c r="F1413" s="21" t="str">
        <x:v>Independent reproduction</x:v>
      </x:c>
      <x:c r="G1413" s="21" t="n">
        <x:v>28</x:v>
      </x:c>
      <x:c r="H1413" s="21" t="str">
        <x:v>Independent Evidence and Data Authority</x:v>
      </x:c>
      <x:c r="I1413" s="44" t="n">
        <x:f>Lifecycle!G13</x:f>
        <x:v>0.21740562619408393</x:v>
      </x:c>
      <x:c r="J1413" s="44" t="n">
        <x:v>0.08499999999999999</x:v>
      </x:c>
      <x:c r="K1413" s="44" t="n">
        <x:f>I1413*J1413</x:f>
        <x:v>0.018479478226497134</x:v>
      </x:c>
      <x:c r="L1413" s="46" t="n">
        <x:v>0</x:v>
      </x:c>
      <x:c r="M1413" s="46" t="n">
        <x:v>0</x:v>
      </x:c>
      <x:c r="N1413" s="21" t="n">
        <x:f>IF(AND(L1412=1,M1412=1,P1412&gt;0),1,0)</x:f>
        <x:v>0</x:v>
      </x:c>
      <x:c r="O1413" s="21" t="n">
        <x:f>MIN('Root Data'!I427:I429)</x:f>
        <x:v>0</x:v>
      </x:c>
      <x:c r="P1413" s="44" t="n">
        <x:f>IF(AND(L1413=1,M1413=1,N1413=1,O1413&gt;=G1413),K1413,0)</x:f>
        <x:v>0</x:v>
      </x:c>
      <x:c r="Q1413" s="21" t="str">
        <x:v>OPEN</x:v>
      </x:c>
      <x:c r="R1413" s="23" t="str">
        <x:v>HOLD</x:v>
      </x:c>
    </x:row>
    <x:row r="1414">
      <x:c r="B1414" s="21" t="str">
        <x:v>AR-01408</x:v>
      </x:c>
      <x:c r="C1414" s="21" t="str">
        <x:v>F36-I1</x:v>
      </x:c>
      <x:c r="D1414" s="21" t="str">
        <x:v>F36</x:v>
      </x:c>
      <x:c r="E1414" s="21" t="n">
        <x:v>8</x:v>
      </x:c>
      <x:c r="F1414" s="21" t="str">
        <x:v>Pilot-process qualification</x:v>
      </x:c>
      <x:c r="G1414" s="21" t="n">
        <x:v>28</x:v>
      </x:c>
      <x:c r="H1414" s="21" t="str">
        <x:v>AIMC Industrial Mobilization Authority</x:v>
      </x:c>
      <x:c r="I1414" s="44" t="n">
        <x:f>Lifecycle!G14</x:f>
        <x:v>0.03952829567165163</x:v>
      </x:c>
      <x:c r="J1414" s="44" t="n">
        <x:v>0.08499999999999999</x:v>
      </x:c>
      <x:c r="K1414" s="44" t="n">
        <x:f>I1414*J1414</x:f>
        <x:v>0.003359905132090388</x:v>
      </x:c>
      <x:c r="L1414" s="46" t="n">
        <x:v>0</x:v>
      </x:c>
      <x:c r="M1414" s="46" t="n">
        <x:v>0</x:v>
      </x:c>
      <x:c r="N1414" s="21" t="n">
        <x:f>IF(AND(L1413=1,M1413=1,P1413&gt;0),1,0)</x:f>
        <x:v>0</x:v>
      </x:c>
      <x:c r="O1414" s="21" t="n">
        <x:f>MIN('Root Data'!I427:I429)</x:f>
        <x:v>0</x:v>
      </x:c>
      <x:c r="P1414" s="44" t="n">
        <x:f>IF(AND(L1414=1,M1414=1,N1414=1,O1414&gt;=G1414),K1414,0)</x:f>
        <x:v>0</x:v>
      </x:c>
      <x:c r="Q1414" s="21" t="str">
        <x:v>OPEN</x:v>
      </x:c>
      <x:c r="R1414" s="23" t="str">
        <x:v>HOLD</x:v>
      </x:c>
    </x:row>
    <x:row r="1415">
      <x:c r="B1415" s="21" t="str">
        <x:v>AR-01409</x:v>
      </x:c>
      <x:c r="C1415" s="21" t="str">
        <x:v>F36-I1</x:v>
      </x:c>
      <x:c r="D1415" s="21" t="str">
        <x:v>F36</x:v>
      </x:c>
      <x:c r="E1415" s="21" t="n">
        <x:v>9</x:v>
      </x:c>
      <x:c r="F1415" s="21" t="str">
        <x:v>Production release package</x:v>
      </x:c>
      <x:c r="G1415" s="21" t="n">
        <x:v>28</x:v>
      </x:c>
      <x:c r="H1415" s="21" t="str">
        <x:v>Production Release Board</x:v>
      </x:c>
      <x:c r="I1415" s="44" t="n">
        <x:f>Lifecycle!G15</x:f>
        <x:v>0.01647012319652151</x:v>
      </x:c>
      <x:c r="J1415" s="44" t="n">
        <x:v>0.08499999999999999</x:v>
      </x:c>
      <x:c r="K1415" s="44" t="n">
        <x:f>I1415*J1415</x:f>
        <x:v>0.0013999604717043282</x:v>
      </x:c>
      <x:c r="L1415" s="46" t="n">
        <x:v>0</x:v>
      </x:c>
      <x:c r="M1415" s="46" t="n">
        <x:v>0</x:v>
      </x:c>
      <x:c r="N1415" s="21" t="n">
        <x:f>IF(AND(L1414=1,M1414=1,P1414&gt;0),1,0)</x:f>
        <x:v>0</x:v>
      </x:c>
      <x:c r="O1415" s="21" t="n">
        <x:f>MIN('Root Data'!I427:I429)</x:f>
        <x:v>0</x:v>
      </x:c>
      <x:c r="P1415" s="44" t="n">
        <x:f>IF(AND(L1415=1,M1415=1,N1415=1,O1415&gt;=G1415),K1415,0)</x:f>
        <x:v>0</x:v>
      </x:c>
      <x:c r="Q1415" s="21" t="str">
        <x:v>OPEN</x:v>
      </x:c>
      <x:c r="R1415" s="23" t="str">
        <x:v>HOLD</x:v>
      </x:c>
    </x:row>
    <x:row r="1416">
      <x:c r="B1416" s="21" t="str">
        <x:v>AR-01410</x:v>
      </x:c>
      <x:c r="C1416" s="21" t="str">
        <x:v>F36-I1</x:v>
      </x:c>
      <x:c r="D1416" s="21" t="str">
        <x:v>F36</x:v>
      </x:c>
      <x:c r="E1416" s="21" t="n">
        <x:v>10</x:v>
      </x:c>
      <x:c r="F1416" s="21" t="str">
        <x:v>Mobilization activation</x:v>
      </x:c>
      <x:c r="G1416" s="21" t="n">
        <x:v>28</x:v>
      </x:c>
      <x:c r="H1416" s="21" t="str">
        <x:v>Production Release Board</x:v>
      </x:c>
      <x:c r="I1416" s="44" t="n">
        <x:f>Lifecycle!G16</x:f>
        <x:v>0.028262731405230914</x:v>
      </x:c>
      <x:c r="J1416" s="44" t="n">
        <x:v>0.08499999999999999</x:v>
      </x:c>
      <x:c r="K1416" s="44" t="n">
        <x:f>I1416*J1416</x:f>
        <x:v>0.0024023321694446277</x:v>
      </x:c>
      <x:c r="L1416" s="46" t="n">
        <x:v>0</x:v>
      </x:c>
      <x:c r="M1416" s="46" t="n">
        <x:v>0</x:v>
      </x:c>
      <x:c r="N1416" s="21" t="n">
        <x:f>IF(AND(L1415=1,M1415=1,P1415&gt;0),1,0)</x:f>
        <x:v>0</x:v>
      </x:c>
      <x:c r="O1416" s="21" t="n">
        <x:f>MIN('Root Data'!I427:I429)</x:f>
        <x:v>0</x:v>
      </x:c>
      <x:c r="P1416" s="44" t="n">
        <x:f>IF(AND(L1416=1,M1416=1,N1416=1,O1416&gt;=G1416),K1416,0)</x:f>
        <x:v>0</x:v>
      </x:c>
      <x:c r="Q1416" s="21" t="str">
        <x:v>OPEN</x:v>
      </x:c>
      <x:c r="R1416" s="23" t="str">
        <x:v>HOLD</x:v>
      </x:c>
    </x:row>
    <x:row r="1417">
      <x:c r="B1417" s="21" t="str">
        <x:v>AR-01411</x:v>
      </x:c>
      <x:c r="C1417" s="21" t="str">
        <x:v>F36-I2</x:v>
      </x:c>
      <x:c r="D1417" s="21" t="str">
        <x:v>F36</x:v>
      </x:c>
      <x:c r="E1417" s="21" t="n">
        <x:v>1</x:v>
      </x:c>
      <x:c r="F1417" s="21" t="str">
        <x:v>Civil effect charter</x:v>
      </x:c>
      <x:c r="G1417" s="21" t="n">
        <x:v>0</x:v>
      </x:c>
      <x:c r="H1417" s="21" t="str">
        <x:v>Civil Guarantee Authority</x:v>
      </x:c>
      <x:c r="I1417" s="44" t="n">
        <x:f>Lifecycle!G7</x:f>
        <x:v>0.04941036958956453</x:v>
      </x:c>
      <x:c r="J1417" s="44" t="n">
        <x:v>0.08499999999999999</x:v>
      </x:c>
      <x:c r="K1417" s="44" t="n">
        <x:f>I1417*J1417</x:f>
        <x:v>0.004199881415112985</x:v>
      </x:c>
      <x:c r="L1417" s="46" t="n">
        <x:v>0</x:v>
      </x:c>
      <x:c r="M1417" s="46" t="n">
        <x:v>0</x:v>
      </x:c>
      <x:c r="N1417" s="21" t="n">
        <x:f>1</x:f>
        <x:v>1</x:v>
      </x:c>
      <x:c r="O1417" s="21" t="n">
        <x:f>MIN('Root Data'!I430:I432)</x:f>
        <x:v>0</x:v>
      </x:c>
      <x:c r="P1417" s="44" t="n">
        <x:f>IF(AND(L1417=1,M1417=1,N1417=1,O1417&gt;=G1417),K1417,0)</x:f>
        <x:v>0</x:v>
      </x:c>
      <x:c r="Q1417" s="21" t="str">
        <x:v>OPEN</x:v>
      </x:c>
      <x:c r="R1417" s="23" t="str">
        <x:v>HOLD</x:v>
      </x:c>
    </x:row>
    <x:row r="1418">
      <x:c r="B1418" s="21" t="str">
        <x:v>AR-01412</x:v>
      </x:c>
      <x:c r="C1418" s="21" t="str">
        <x:v>F36-I2</x:v>
      </x:c>
      <x:c r="D1418" s="21" t="str">
        <x:v>F36</x:v>
      </x:c>
      <x:c r="E1418" s="21" t="n">
        <x:v>2</x:v>
      </x:c>
      <x:c r="F1418" s="21" t="str">
        <x:v>Requirement and root-independence package</x:v>
      </x:c>
      <x:c r="G1418" s="21" t="n">
        <x:v>8</x:v>
      </x:c>
      <x:c r="H1418" s="21" t="str">
        <x:v>Resilience Staff</x:v>
      </x:c>
      <x:c r="I1418" s="44" t="n">
        <x:f>Lifecycle!G8</x:f>
        <x:v>0.10211476381843337</x:v>
      </x:c>
      <x:c r="J1418" s="44" t="n">
        <x:v>0.08499999999999999</x:v>
      </x:c>
      <x:c r="K1418" s="44" t="n">
        <x:f>I1418*J1418</x:f>
        <x:v>0.008679754924566836</x:v>
      </x:c>
      <x:c r="L1418" s="46" t="n">
        <x:v>0</x:v>
      </x:c>
      <x:c r="M1418" s="46" t="n">
        <x:v>0</x:v>
      </x:c>
      <x:c r="N1418" s="21" t="n">
        <x:f>IF(AND(L1417=1,M1417=1,P1417&gt;0),1,0)</x:f>
        <x:v>0</x:v>
      </x:c>
      <x:c r="O1418" s="21" t="n">
        <x:f>MIN('Root Data'!I430:I432)</x:f>
        <x:v>0</x:v>
      </x:c>
      <x:c r="P1418" s="44" t="n">
        <x:f>IF(AND(L1418=1,M1418=1,N1418=1,O1418&gt;=G1418),K1418,0)</x:f>
        <x:v>0</x:v>
      </x:c>
      <x:c r="Q1418" s="21" t="str">
        <x:v>OPEN</x:v>
      </x:c>
      <x:c r="R1418" s="23" t="str">
        <x:v>HOLD</x:v>
      </x:c>
    </x:row>
    <x:row r="1419">
      <x:c r="B1419" s="21" t="str">
        <x:v>AR-01413</x:v>
      </x:c>
      <x:c r="C1419" s="21" t="str">
        <x:v>F36-I2</x:v>
      </x:c>
      <x:c r="D1419" s="21" t="str">
        <x:v>F36</x:v>
      </x:c>
      <x:c r="E1419" s="21" t="n">
        <x:v>3</x:v>
      </x:c>
      <x:c r="F1419" s="21" t="str">
        <x:v>Architecture and burden closure</x:v>
      </x:c>
      <x:c r="G1419" s="21" t="n">
        <x:v>14</x:v>
      </x:c>
      <x:c r="H1419" s="21" t="str">
        <x:v>Independent Evidence and Data Authority</x:v>
      </x:c>
      <x:c r="I1419" s="44" t="n">
        <x:f>Lifecycle!G9</x:f>
        <x:v>0.08564464062191186</x:v>
      </x:c>
      <x:c r="J1419" s="44" t="n">
        <x:v>0.08499999999999999</x:v>
      </x:c>
      <x:c r="K1419" s="44" t="n">
        <x:f>I1419*J1419</x:f>
        <x:v>0.007279794452862508</x:v>
      </x:c>
      <x:c r="L1419" s="46" t="n">
        <x:v>0</x:v>
      </x:c>
      <x:c r="M1419" s="46" t="n">
        <x:v>0</x:v>
      </x:c>
      <x:c r="N1419" s="21" t="n">
        <x:f>IF(AND(L1418=1,M1418=1,P1418&gt;0),1,0)</x:f>
        <x:v>0</x:v>
      </x:c>
      <x:c r="O1419" s="21" t="n">
        <x:f>MIN('Root Data'!I430:I432)</x:f>
        <x:v>0</x:v>
      </x:c>
      <x:c r="P1419" s="44" t="n">
        <x:f>IF(AND(L1419=1,M1419=1,N1419=1,O1419&gt;=G1419),K1419,0)</x:f>
        <x:v>0</x:v>
      </x:c>
      <x:c r="Q1419" s="21" t="str">
        <x:v>OPEN</x:v>
      </x:c>
      <x:c r="R1419" s="23" t="str">
        <x:v>HOLD</x:v>
      </x:c>
    </x:row>
    <x:row r="1420">
      <x:c r="B1420" s="21" t="str">
        <x:v>AR-01414</x:v>
      </x:c>
      <x:c r="C1420" s="21" t="str">
        <x:v>F36-I2</x:v>
      </x:c>
      <x:c r="D1420" s="21" t="str">
        <x:v>F36</x:v>
      </x:c>
      <x:c r="E1420" s="21" t="n">
        <x:v>4</x:v>
      </x:c>
      <x:c r="F1420" s="21" t="str">
        <x:v>Engineering article acceptance</x:v>
      </x:c>
      <x:c r="G1420" s="21" t="n">
        <x:v>18</x:v>
      </x:c>
      <x:c r="H1420" s="21" t="str">
        <x:v>Independent Evidence and Data Authority</x:v>
      </x:c>
      <x:c r="I1420" s="44" t="n">
        <x:f>Lifecycle!G10</x:f>
        <x:v>0.05929244350747744</x:v>
      </x:c>
      <x:c r="J1420" s="44" t="n">
        <x:v>0.08499999999999999</x:v>
      </x:c>
      <x:c r="K1420" s="44" t="n">
        <x:f>I1420*J1420</x:f>
        <x:v>0.005039857698135582</x:v>
      </x:c>
      <x:c r="L1420" s="46" t="n">
        <x:v>0</x:v>
      </x:c>
      <x:c r="M1420" s="46" t="n">
        <x:v>0</x:v>
      </x:c>
      <x:c r="N1420" s="21" t="n">
        <x:f>IF(AND(L1419=1,M1419=1,P1419&gt;0),1,0)</x:f>
        <x:v>0</x:v>
      </x:c>
      <x:c r="O1420" s="21" t="n">
        <x:f>MIN('Root Data'!I430:I432)</x:f>
        <x:v>0</x:v>
      </x:c>
      <x:c r="P1420" s="44" t="n">
        <x:f>IF(AND(L1420=1,M1420=1,N1420=1,O1420&gt;=G1420),K1420,0)</x:f>
        <x:v>0</x:v>
      </x:c>
      <x:c r="Q1420" s="21" t="str">
        <x:v>OPEN</x:v>
      </x:c>
      <x:c r="R1420" s="23" t="str">
        <x:v>HOLD</x:v>
      </x:c>
    </x:row>
    <x:row r="1421">
      <x:c r="B1421" s="21" t="str">
        <x:v>AR-01415</x:v>
      </x:c>
      <x:c r="C1421" s="21" t="str">
        <x:v>F36-I2</x:v>
      </x:c>
      <x:c r="D1421" s="21" t="str">
        <x:v>F36</x:v>
      </x:c>
      <x:c r="E1421" s="21" t="n">
        <x:v>5</x:v>
      </x:c>
      <x:c r="F1421" s="21" t="str">
        <x:v>Qualification and destructive evidence</x:v>
      </x:c>
      <x:c r="G1421" s="21" t="n">
        <x:v>21</x:v>
      </x:c>
      <x:c r="H1421" s="21" t="str">
        <x:v>Independent Evidence and Data Authority</x:v>
      </x:c>
      <x:c r="I1421" s="44" t="n">
        <x:f>Lifecycle!G11</x:f>
        <x:v>0.1515251334079979</x:v>
      </x:c>
      <x:c r="J1421" s="44" t="n">
        <x:v>0.08499999999999999</x:v>
      </x:c>
      <x:c r="K1421" s="44" t="n">
        <x:f>I1421*J1421</x:f>
        <x:v>0.012879636339679819</x:v>
      </x:c>
      <x:c r="L1421" s="46" t="n">
        <x:v>0</x:v>
      </x:c>
      <x:c r="M1421" s="46" t="n">
        <x:v>0</x:v>
      </x:c>
      <x:c r="N1421" s="21" t="n">
        <x:f>IF(AND(L1420=1,M1420=1,P1420&gt;0),1,0)</x:f>
        <x:v>0</x:v>
      </x:c>
      <x:c r="O1421" s="21" t="n">
        <x:f>MIN('Root Data'!I430:I432)</x:f>
        <x:v>0</x:v>
      </x:c>
      <x:c r="P1421" s="44" t="n">
        <x:f>IF(AND(L1421=1,M1421=1,N1421=1,O1421&gt;=G1421),K1421,0)</x:f>
        <x:v>0</x:v>
      </x:c>
      <x:c r="Q1421" s="21" t="str">
        <x:v>OPEN</x:v>
      </x:c>
      <x:c r="R1421" s="23" t="str">
        <x:v>HOLD</x:v>
      </x:c>
    </x:row>
    <x:row r="1422">
      <x:c r="B1422" s="21" t="str">
        <x:v>AR-01416</x:v>
      </x:c>
      <x:c r="C1422" s="21" t="str">
        <x:v>F36-I2</x:v>
      </x:c>
      <x:c r="D1422" s="21" t="str">
        <x:v>F36</x:v>
      </x:c>
      <x:c r="E1422" s="21" t="n">
        <x:v>6</x:v>
      </x:c>
      <x:c r="F1422" s="21" t="str">
        <x:v>Representative mission result</x:v>
      </x:c>
      <x:c r="G1422" s="21" t="n">
        <x:v>23</x:v>
      </x:c>
      <x:c r="H1422" s="21" t="str">
        <x:v>Receiving Service Authority</x:v>
      </x:c>
      <x:c r="I1422" s="44" t="n">
        <x:f>Lifecycle!G12</x:f>
        <x:v>0.250345872587127</x:v>
      </x:c>
      <x:c r="J1422" s="44" t="n">
        <x:v>0.08499999999999999</x:v>
      </x:c>
      <x:c r="K1422" s="44" t="n">
        <x:f>I1422*J1422</x:f>
        <x:v>0.021279399169905792</x:v>
      </x:c>
      <x:c r="L1422" s="46" t="n">
        <x:v>0</x:v>
      </x:c>
      <x:c r="M1422" s="46" t="n">
        <x:v>0</x:v>
      </x:c>
      <x:c r="N1422" s="21" t="n">
        <x:f>IF(AND(L1421=1,M1421=1,P1421&gt;0),1,0)</x:f>
        <x:v>0</x:v>
      </x:c>
      <x:c r="O1422" s="21" t="n">
        <x:f>MIN('Root Data'!I430:I432)</x:f>
        <x:v>0</x:v>
      </x:c>
      <x:c r="P1422" s="44" t="n">
        <x:f>IF(AND(L1422=1,M1422=1,N1422=1,O1422&gt;=G1422),K1422,0)</x:f>
        <x:v>0</x:v>
      </x:c>
      <x:c r="Q1422" s="21" t="str">
        <x:v>OPEN</x:v>
      </x:c>
      <x:c r="R1422" s="23" t="str">
        <x:v>HOLD</x:v>
      </x:c>
    </x:row>
    <x:row r="1423">
      <x:c r="B1423" s="21" t="str">
        <x:v>AR-01417</x:v>
      </x:c>
      <x:c r="C1423" s="21" t="str">
        <x:v>F36-I2</x:v>
      </x:c>
      <x:c r="D1423" s="21" t="str">
        <x:v>F36</x:v>
      </x:c>
      <x:c r="E1423" s="21" t="n">
        <x:v>7</x:v>
      </x:c>
      <x:c r="F1423" s="21" t="str">
        <x:v>Independent reproduction</x:v>
      </x:c>
      <x:c r="G1423" s="21" t="n">
        <x:v>28</x:v>
      </x:c>
      <x:c r="H1423" s="21" t="str">
        <x:v>Independent Evidence and Data Authority</x:v>
      </x:c>
      <x:c r="I1423" s="44" t="n">
        <x:f>Lifecycle!G13</x:f>
        <x:v>0.21740562619408393</x:v>
      </x:c>
      <x:c r="J1423" s="44" t="n">
        <x:v>0.08499999999999999</x:v>
      </x:c>
      <x:c r="K1423" s="44" t="n">
        <x:f>I1423*J1423</x:f>
        <x:v>0.018479478226497134</x:v>
      </x:c>
      <x:c r="L1423" s="46" t="n">
        <x:v>0</x:v>
      </x:c>
      <x:c r="M1423" s="46" t="n">
        <x:v>0</x:v>
      </x:c>
      <x:c r="N1423" s="21" t="n">
        <x:f>IF(AND(L1422=1,M1422=1,P1422&gt;0),1,0)</x:f>
        <x:v>0</x:v>
      </x:c>
      <x:c r="O1423" s="21" t="n">
        <x:f>MIN('Root Data'!I430:I432)</x:f>
        <x:v>0</x:v>
      </x:c>
      <x:c r="P1423" s="44" t="n">
        <x:f>IF(AND(L1423=1,M1423=1,N1423=1,O1423&gt;=G1423),K1423,0)</x:f>
        <x:v>0</x:v>
      </x:c>
      <x:c r="Q1423" s="21" t="str">
        <x:v>OPEN</x:v>
      </x:c>
      <x:c r="R1423" s="23" t="str">
        <x:v>HOLD</x:v>
      </x:c>
    </x:row>
    <x:row r="1424">
      <x:c r="B1424" s="21" t="str">
        <x:v>AR-01418</x:v>
      </x:c>
      <x:c r="C1424" s="21" t="str">
        <x:v>F36-I2</x:v>
      </x:c>
      <x:c r="D1424" s="21" t="str">
        <x:v>F36</x:v>
      </x:c>
      <x:c r="E1424" s="21" t="n">
        <x:v>8</x:v>
      </x:c>
      <x:c r="F1424" s="21" t="str">
        <x:v>Pilot-process qualification</x:v>
      </x:c>
      <x:c r="G1424" s="21" t="n">
        <x:v>28</x:v>
      </x:c>
      <x:c r="H1424" s="21" t="str">
        <x:v>AIMC Industrial Mobilization Authority</x:v>
      </x:c>
      <x:c r="I1424" s="44" t="n">
        <x:f>Lifecycle!G14</x:f>
        <x:v>0.03952829567165163</x:v>
      </x:c>
      <x:c r="J1424" s="44" t="n">
        <x:v>0.08499999999999999</x:v>
      </x:c>
      <x:c r="K1424" s="44" t="n">
        <x:f>I1424*J1424</x:f>
        <x:v>0.003359905132090388</x:v>
      </x:c>
      <x:c r="L1424" s="46" t="n">
        <x:v>0</x:v>
      </x:c>
      <x:c r="M1424" s="46" t="n">
        <x:v>0</x:v>
      </x:c>
      <x:c r="N1424" s="21" t="n">
        <x:f>IF(AND(L1423=1,M1423=1,P1423&gt;0),1,0)</x:f>
        <x:v>0</x:v>
      </x:c>
      <x:c r="O1424" s="21" t="n">
        <x:f>MIN('Root Data'!I430:I432)</x:f>
        <x:v>0</x:v>
      </x:c>
      <x:c r="P1424" s="44" t="n">
        <x:f>IF(AND(L1424=1,M1424=1,N1424=1,O1424&gt;=G1424),K1424,0)</x:f>
        <x:v>0</x:v>
      </x:c>
      <x:c r="Q1424" s="21" t="str">
        <x:v>OPEN</x:v>
      </x:c>
      <x:c r="R1424" s="23" t="str">
        <x:v>HOLD</x:v>
      </x:c>
    </x:row>
    <x:row r="1425">
      <x:c r="B1425" s="21" t="str">
        <x:v>AR-01419</x:v>
      </x:c>
      <x:c r="C1425" s="21" t="str">
        <x:v>F36-I2</x:v>
      </x:c>
      <x:c r="D1425" s="21" t="str">
        <x:v>F36</x:v>
      </x:c>
      <x:c r="E1425" s="21" t="n">
        <x:v>9</x:v>
      </x:c>
      <x:c r="F1425" s="21" t="str">
        <x:v>Production release package</x:v>
      </x:c>
      <x:c r="G1425" s="21" t="n">
        <x:v>28</x:v>
      </x:c>
      <x:c r="H1425" s="21" t="str">
        <x:v>Production Release Board</x:v>
      </x:c>
      <x:c r="I1425" s="44" t="n">
        <x:f>Lifecycle!G15</x:f>
        <x:v>0.01647012319652151</x:v>
      </x:c>
      <x:c r="J1425" s="44" t="n">
        <x:v>0.08499999999999999</x:v>
      </x:c>
      <x:c r="K1425" s="44" t="n">
        <x:f>I1425*J1425</x:f>
        <x:v>0.0013999604717043282</x:v>
      </x:c>
      <x:c r="L1425" s="46" t="n">
        <x:v>0</x:v>
      </x:c>
      <x:c r="M1425" s="46" t="n">
        <x:v>0</x:v>
      </x:c>
      <x:c r="N1425" s="21" t="n">
        <x:f>IF(AND(L1424=1,M1424=1,P1424&gt;0),1,0)</x:f>
        <x:v>0</x:v>
      </x:c>
      <x:c r="O1425" s="21" t="n">
        <x:f>MIN('Root Data'!I430:I432)</x:f>
        <x:v>0</x:v>
      </x:c>
      <x:c r="P1425" s="44" t="n">
        <x:f>IF(AND(L1425=1,M1425=1,N1425=1,O1425&gt;=G1425),K1425,0)</x:f>
        <x:v>0</x:v>
      </x:c>
      <x:c r="Q1425" s="21" t="str">
        <x:v>OPEN</x:v>
      </x:c>
      <x:c r="R1425" s="23" t="str">
        <x:v>HOLD</x:v>
      </x:c>
    </x:row>
    <x:row r="1426">
      <x:c r="B1426" s="21" t="str">
        <x:v>AR-01420</x:v>
      </x:c>
      <x:c r="C1426" s="21" t="str">
        <x:v>F36-I2</x:v>
      </x:c>
      <x:c r="D1426" s="21" t="str">
        <x:v>F36</x:v>
      </x:c>
      <x:c r="E1426" s="21" t="n">
        <x:v>10</x:v>
      </x:c>
      <x:c r="F1426" s="21" t="str">
        <x:v>Mobilization activation</x:v>
      </x:c>
      <x:c r="G1426" s="21" t="n">
        <x:v>28</x:v>
      </x:c>
      <x:c r="H1426" s="21" t="str">
        <x:v>Production Release Board</x:v>
      </x:c>
      <x:c r="I1426" s="44" t="n">
        <x:f>Lifecycle!G16</x:f>
        <x:v>0.028262731405230914</x:v>
      </x:c>
      <x:c r="J1426" s="44" t="n">
        <x:v>0.08499999999999999</x:v>
      </x:c>
      <x:c r="K1426" s="44" t="n">
        <x:f>I1426*J1426</x:f>
        <x:v>0.0024023321694446277</x:v>
      </x:c>
      <x:c r="L1426" s="46" t="n">
        <x:v>0</x:v>
      </x:c>
      <x:c r="M1426" s="46" t="n">
        <x:v>0</x:v>
      </x:c>
      <x:c r="N1426" s="21" t="n">
        <x:f>IF(AND(L1425=1,M1425=1,P1425&gt;0),1,0)</x:f>
        <x:v>0</x:v>
      </x:c>
      <x:c r="O1426" s="21" t="n">
        <x:f>MIN('Root Data'!I430:I432)</x:f>
        <x:v>0</x:v>
      </x:c>
      <x:c r="P1426" s="44" t="n">
        <x:f>IF(AND(L1426=1,M1426=1,N1426=1,O1426&gt;=G1426),K1426,0)</x:f>
        <x:v>0</x:v>
      </x:c>
      <x:c r="Q1426" s="21" t="str">
        <x:v>OPEN</x:v>
      </x:c>
      <x:c r="R1426" s="23" t="str">
        <x:v>HOLD</x:v>
      </x:c>
    </x:row>
    <x:row r="1427">
      <x:c r="B1427" s="21" t="str">
        <x:v>AR-01421</x:v>
      </x:c>
      <x:c r="C1427" s="21" t="str">
        <x:v>F36-I3</x:v>
      </x:c>
      <x:c r="D1427" s="21" t="str">
        <x:v>F36</x:v>
      </x:c>
      <x:c r="E1427" s="21" t="n">
        <x:v>1</x:v>
      </x:c>
      <x:c r="F1427" s="21" t="str">
        <x:v>Civil effect charter</x:v>
      </x:c>
      <x:c r="G1427" s="21" t="n">
        <x:v>0</x:v>
      </x:c>
      <x:c r="H1427" s="21" t="str">
        <x:v>Civil Guarantee Authority</x:v>
      </x:c>
      <x:c r="I1427" s="44" t="n">
        <x:f>Lifecycle!G7</x:f>
        <x:v>0.04941036958956453</x:v>
      </x:c>
      <x:c r="J1427" s="44" t="n">
        <x:v>0.08499999999999999</x:v>
      </x:c>
      <x:c r="K1427" s="44" t="n">
        <x:f>I1427*J1427</x:f>
        <x:v>0.004199881415112985</x:v>
      </x:c>
      <x:c r="L1427" s="46" t="n">
        <x:v>0</x:v>
      </x:c>
      <x:c r="M1427" s="46" t="n">
        <x:v>0</x:v>
      </x:c>
      <x:c r="N1427" s="21" t="n">
        <x:f>1</x:f>
        <x:v>1</x:v>
      </x:c>
      <x:c r="O1427" s="21" t="n">
        <x:f>MIN('Root Data'!I433:I435)</x:f>
        <x:v>0</x:v>
      </x:c>
      <x:c r="P1427" s="44" t="n">
        <x:f>IF(AND(L1427=1,M1427=1,N1427=1,O1427&gt;=G1427),K1427,0)</x:f>
        <x:v>0</x:v>
      </x:c>
      <x:c r="Q1427" s="21" t="str">
        <x:v>OPEN</x:v>
      </x:c>
      <x:c r="R1427" s="23" t="str">
        <x:v>HOLD</x:v>
      </x:c>
    </x:row>
    <x:row r="1428">
      <x:c r="B1428" s="21" t="str">
        <x:v>AR-01422</x:v>
      </x:c>
      <x:c r="C1428" s="21" t="str">
        <x:v>F36-I3</x:v>
      </x:c>
      <x:c r="D1428" s="21" t="str">
        <x:v>F36</x:v>
      </x:c>
      <x:c r="E1428" s="21" t="n">
        <x:v>2</x:v>
      </x:c>
      <x:c r="F1428" s="21" t="str">
        <x:v>Requirement and root-independence package</x:v>
      </x:c>
      <x:c r="G1428" s="21" t="n">
        <x:v>8</x:v>
      </x:c>
      <x:c r="H1428" s="21" t="str">
        <x:v>Resilience Staff</x:v>
      </x:c>
      <x:c r="I1428" s="44" t="n">
        <x:f>Lifecycle!G8</x:f>
        <x:v>0.10211476381843337</x:v>
      </x:c>
      <x:c r="J1428" s="44" t="n">
        <x:v>0.08499999999999999</x:v>
      </x:c>
      <x:c r="K1428" s="44" t="n">
        <x:f>I1428*J1428</x:f>
        <x:v>0.008679754924566836</x:v>
      </x:c>
      <x:c r="L1428" s="46" t="n">
        <x:v>0</x:v>
      </x:c>
      <x:c r="M1428" s="46" t="n">
        <x:v>0</x:v>
      </x:c>
      <x:c r="N1428" s="21" t="n">
        <x:f>IF(AND(L1427=1,M1427=1,P1427&gt;0),1,0)</x:f>
        <x:v>0</x:v>
      </x:c>
      <x:c r="O1428" s="21" t="n">
        <x:f>MIN('Root Data'!I433:I435)</x:f>
        <x:v>0</x:v>
      </x:c>
      <x:c r="P1428" s="44" t="n">
        <x:f>IF(AND(L1428=1,M1428=1,N1428=1,O1428&gt;=G1428),K1428,0)</x:f>
        <x:v>0</x:v>
      </x:c>
      <x:c r="Q1428" s="21" t="str">
        <x:v>OPEN</x:v>
      </x:c>
      <x:c r="R1428" s="23" t="str">
        <x:v>HOLD</x:v>
      </x:c>
    </x:row>
    <x:row r="1429">
      <x:c r="B1429" s="21" t="str">
        <x:v>AR-01423</x:v>
      </x:c>
      <x:c r="C1429" s="21" t="str">
        <x:v>F36-I3</x:v>
      </x:c>
      <x:c r="D1429" s="21" t="str">
        <x:v>F36</x:v>
      </x:c>
      <x:c r="E1429" s="21" t="n">
        <x:v>3</x:v>
      </x:c>
      <x:c r="F1429" s="21" t="str">
        <x:v>Architecture and burden closure</x:v>
      </x:c>
      <x:c r="G1429" s="21" t="n">
        <x:v>14</x:v>
      </x:c>
      <x:c r="H1429" s="21" t="str">
        <x:v>Independent Evidence and Data Authority</x:v>
      </x:c>
      <x:c r="I1429" s="44" t="n">
        <x:f>Lifecycle!G9</x:f>
        <x:v>0.08564464062191186</x:v>
      </x:c>
      <x:c r="J1429" s="44" t="n">
        <x:v>0.08499999999999999</x:v>
      </x:c>
      <x:c r="K1429" s="44" t="n">
        <x:f>I1429*J1429</x:f>
        <x:v>0.007279794452862508</x:v>
      </x:c>
      <x:c r="L1429" s="46" t="n">
        <x:v>0</x:v>
      </x:c>
      <x:c r="M1429" s="46" t="n">
        <x:v>0</x:v>
      </x:c>
      <x:c r="N1429" s="21" t="n">
        <x:f>IF(AND(L1428=1,M1428=1,P1428&gt;0),1,0)</x:f>
        <x:v>0</x:v>
      </x:c>
      <x:c r="O1429" s="21" t="n">
        <x:f>MIN('Root Data'!I433:I435)</x:f>
        <x:v>0</x:v>
      </x:c>
      <x:c r="P1429" s="44" t="n">
        <x:f>IF(AND(L1429=1,M1429=1,N1429=1,O1429&gt;=G1429),K1429,0)</x:f>
        <x:v>0</x:v>
      </x:c>
      <x:c r="Q1429" s="21" t="str">
        <x:v>OPEN</x:v>
      </x:c>
      <x:c r="R1429" s="23" t="str">
        <x:v>HOLD</x:v>
      </x:c>
    </x:row>
    <x:row r="1430">
      <x:c r="B1430" s="21" t="str">
        <x:v>AR-01424</x:v>
      </x:c>
      <x:c r="C1430" s="21" t="str">
        <x:v>F36-I3</x:v>
      </x:c>
      <x:c r="D1430" s="21" t="str">
        <x:v>F36</x:v>
      </x:c>
      <x:c r="E1430" s="21" t="n">
        <x:v>4</x:v>
      </x:c>
      <x:c r="F1430" s="21" t="str">
        <x:v>Engineering article acceptance</x:v>
      </x:c>
      <x:c r="G1430" s="21" t="n">
        <x:v>18</x:v>
      </x:c>
      <x:c r="H1430" s="21" t="str">
        <x:v>Independent Evidence and Data Authority</x:v>
      </x:c>
      <x:c r="I1430" s="44" t="n">
        <x:f>Lifecycle!G10</x:f>
        <x:v>0.05929244350747744</x:v>
      </x:c>
      <x:c r="J1430" s="44" t="n">
        <x:v>0.08499999999999999</x:v>
      </x:c>
      <x:c r="K1430" s="44" t="n">
        <x:f>I1430*J1430</x:f>
        <x:v>0.005039857698135582</x:v>
      </x:c>
      <x:c r="L1430" s="46" t="n">
        <x:v>0</x:v>
      </x:c>
      <x:c r="M1430" s="46" t="n">
        <x:v>0</x:v>
      </x:c>
      <x:c r="N1430" s="21" t="n">
        <x:f>IF(AND(L1429=1,M1429=1,P1429&gt;0),1,0)</x:f>
        <x:v>0</x:v>
      </x:c>
      <x:c r="O1430" s="21" t="n">
        <x:f>MIN('Root Data'!I433:I435)</x:f>
        <x:v>0</x:v>
      </x:c>
      <x:c r="P1430" s="44" t="n">
        <x:f>IF(AND(L1430=1,M1430=1,N1430=1,O1430&gt;=G1430),K1430,0)</x:f>
        <x:v>0</x:v>
      </x:c>
      <x:c r="Q1430" s="21" t="str">
        <x:v>OPEN</x:v>
      </x:c>
      <x:c r="R1430" s="23" t="str">
        <x:v>HOLD</x:v>
      </x:c>
    </x:row>
    <x:row r="1431">
      <x:c r="B1431" s="21" t="str">
        <x:v>AR-01425</x:v>
      </x:c>
      <x:c r="C1431" s="21" t="str">
        <x:v>F36-I3</x:v>
      </x:c>
      <x:c r="D1431" s="21" t="str">
        <x:v>F36</x:v>
      </x:c>
      <x:c r="E1431" s="21" t="n">
        <x:v>5</x:v>
      </x:c>
      <x:c r="F1431" s="21" t="str">
        <x:v>Qualification and destructive evidence</x:v>
      </x:c>
      <x:c r="G1431" s="21" t="n">
        <x:v>21</x:v>
      </x:c>
      <x:c r="H1431" s="21" t="str">
        <x:v>Independent Evidence and Data Authority</x:v>
      </x:c>
      <x:c r="I1431" s="44" t="n">
        <x:f>Lifecycle!G11</x:f>
        <x:v>0.1515251334079979</x:v>
      </x:c>
      <x:c r="J1431" s="44" t="n">
        <x:v>0.08499999999999999</x:v>
      </x:c>
      <x:c r="K1431" s="44" t="n">
        <x:f>I1431*J1431</x:f>
        <x:v>0.012879636339679819</x:v>
      </x:c>
      <x:c r="L1431" s="46" t="n">
        <x:v>0</x:v>
      </x:c>
      <x:c r="M1431" s="46" t="n">
        <x:v>0</x:v>
      </x:c>
      <x:c r="N1431" s="21" t="n">
        <x:f>IF(AND(L1430=1,M1430=1,P1430&gt;0),1,0)</x:f>
        <x:v>0</x:v>
      </x:c>
      <x:c r="O1431" s="21" t="n">
        <x:f>MIN('Root Data'!I433:I435)</x:f>
        <x:v>0</x:v>
      </x:c>
      <x:c r="P1431" s="44" t="n">
        <x:f>IF(AND(L1431=1,M1431=1,N1431=1,O1431&gt;=G1431),K1431,0)</x:f>
        <x:v>0</x:v>
      </x:c>
      <x:c r="Q1431" s="21" t="str">
        <x:v>OPEN</x:v>
      </x:c>
      <x:c r="R1431" s="23" t="str">
        <x:v>HOLD</x:v>
      </x:c>
    </x:row>
    <x:row r="1432">
      <x:c r="B1432" s="21" t="str">
        <x:v>AR-01426</x:v>
      </x:c>
      <x:c r="C1432" s="21" t="str">
        <x:v>F36-I3</x:v>
      </x:c>
      <x:c r="D1432" s="21" t="str">
        <x:v>F36</x:v>
      </x:c>
      <x:c r="E1432" s="21" t="n">
        <x:v>6</x:v>
      </x:c>
      <x:c r="F1432" s="21" t="str">
        <x:v>Representative mission result</x:v>
      </x:c>
      <x:c r="G1432" s="21" t="n">
        <x:v>23</x:v>
      </x:c>
      <x:c r="H1432" s="21" t="str">
        <x:v>Receiving Service Authority</x:v>
      </x:c>
      <x:c r="I1432" s="44" t="n">
        <x:f>Lifecycle!G12</x:f>
        <x:v>0.250345872587127</x:v>
      </x:c>
      <x:c r="J1432" s="44" t="n">
        <x:v>0.08499999999999999</x:v>
      </x:c>
      <x:c r="K1432" s="44" t="n">
        <x:f>I1432*J1432</x:f>
        <x:v>0.021279399169905792</x:v>
      </x:c>
      <x:c r="L1432" s="46" t="n">
        <x:v>0</x:v>
      </x:c>
      <x:c r="M1432" s="46" t="n">
        <x:v>0</x:v>
      </x:c>
      <x:c r="N1432" s="21" t="n">
        <x:f>IF(AND(L1431=1,M1431=1,P1431&gt;0),1,0)</x:f>
        <x:v>0</x:v>
      </x:c>
      <x:c r="O1432" s="21" t="n">
        <x:f>MIN('Root Data'!I433:I435)</x:f>
        <x:v>0</x:v>
      </x:c>
      <x:c r="P1432" s="44" t="n">
        <x:f>IF(AND(L1432=1,M1432=1,N1432=1,O1432&gt;=G1432),K1432,0)</x:f>
        <x:v>0</x:v>
      </x:c>
      <x:c r="Q1432" s="21" t="str">
        <x:v>OPEN</x:v>
      </x:c>
      <x:c r="R1432" s="23" t="str">
        <x:v>HOLD</x:v>
      </x:c>
    </x:row>
    <x:row r="1433">
      <x:c r="B1433" s="21" t="str">
        <x:v>AR-01427</x:v>
      </x:c>
      <x:c r="C1433" s="21" t="str">
        <x:v>F36-I3</x:v>
      </x:c>
      <x:c r="D1433" s="21" t="str">
        <x:v>F36</x:v>
      </x:c>
      <x:c r="E1433" s="21" t="n">
        <x:v>7</x:v>
      </x:c>
      <x:c r="F1433" s="21" t="str">
        <x:v>Independent reproduction</x:v>
      </x:c>
      <x:c r="G1433" s="21" t="n">
        <x:v>28</x:v>
      </x:c>
      <x:c r="H1433" s="21" t="str">
        <x:v>Independent Evidence and Data Authority</x:v>
      </x:c>
      <x:c r="I1433" s="44" t="n">
        <x:f>Lifecycle!G13</x:f>
        <x:v>0.21740562619408393</x:v>
      </x:c>
      <x:c r="J1433" s="44" t="n">
        <x:v>0.08499999999999999</x:v>
      </x:c>
      <x:c r="K1433" s="44" t="n">
        <x:f>I1433*J1433</x:f>
        <x:v>0.018479478226497134</x:v>
      </x:c>
      <x:c r="L1433" s="46" t="n">
        <x:v>0</x:v>
      </x:c>
      <x:c r="M1433" s="46" t="n">
        <x:v>0</x:v>
      </x:c>
      <x:c r="N1433" s="21" t="n">
        <x:f>IF(AND(L1432=1,M1432=1,P1432&gt;0),1,0)</x:f>
        <x:v>0</x:v>
      </x:c>
      <x:c r="O1433" s="21" t="n">
        <x:f>MIN('Root Data'!I433:I435)</x:f>
        <x:v>0</x:v>
      </x:c>
      <x:c r="P1433" s="44" t="n">
        <x:f>IF(AND(L1433=1,M1433=1,N1433=1,O1433&gt;=G1433),K1433,0)</x:f>
        <x:v>0</x:v>
      </x:c>
      <x:c r="Q1433" s="21" t="str">
        <x:v>OPEN</x:v>
      </x:c>
      <x:c r="R1433" s="23" t="str">
        <x:v>HOLD</x:v>
      </x:c>
    </x:row>
    <x:row r="1434">
      <x:c r="B1434" s="21" t="str">
        <x:v>AR-01428</x:v>
      </x:c>
      <x:c r="C1434" s="21" t="str">
        <x:v>F36-I3</x:v>
      </x:c>
      <x:c r="D1434" s="21" t="str">
        <x:v>F36</x:v>
      </x:c>
      <x:c r="E1434" s="21" t="n">
        <x:v>8</x:v>
      </x:c>
      <x:c r="F1434" s="21" t="str">
        <x:v>Pilot-process qualification</x:v>
      </x:c>
      <x:c r="G1434" s="21" t="n">
        <x:v>28</x:v>
      </x:c>
      <x:c r="H1434" s="21" t="str">
        <x:v>AIMC Industrial Mobilization Authority</x:v>
      </x:c>
      <x:c r="I1434" s="44" t="n">
        <x:f>Lifecycle!G14</x:f>
        <x:v>0.03952829567165163</x:v>
      </x:c>
      <x:c r="J1434" s="44" t="n">
        <x:v>0.08499999999999999</x:v>
      </x:c>
      <x:c r="K1434" s="44" t="n">
        <x:f>I1434*J1434</x:f>
        <x:v>0.003359905132090388</x:v>
      </x:c>
      <x:c r="L1434" s="46" t="n">
        <x:v>0</x:v>
      </x:c>
      <x:c r="M1434" s="46" t="n">
        <x:v>0</x:v>
      </x:c>
      <x:c r="N1434" s="21" t="n">
        <x:f>IF(AND(L1433=1,M1433=1,P1433&gt;0),1,0)</x:f>
        <x:v>0</x:v>
      </x:c>
      <x:c r="O1434" s="21" t="n">
        <x:f>MIN('Root Data'!I433:I435)</x:f>
        <x:v>0</x:v>
      </x:c>
      <x:c r="P1434" s="44" t="n">
        <x:f>IF(AND(L1434=1,M1434=1,N1434=1,O1434&gt;=G1434),K1434,0)</x:f>
        <x:v>0</x:v>
      </x:c>
      <x:c r="Q1434" s="21" t="str">
        <x:v>OPEN</x:v>
      </x:c>
      <x:c r="R1434" s="23" t="str">
        <x:v>HOLD</x:v>
      </x:c>
    </x:row>
    <x:row r="1435">
      <x:c r="B1435" s="21" t="str">
        <x:v>AR-01429</x:v>
      </x:c>
      <x:c r="C1435" s="21" t="str">
        <x:v>F36-I3</x:v>
      </x:c>
      <x:c r="D1435" s="21" t="str">
        <x:v>F36</x:v>
      </x:c>
      <x:c r="E1435" s="21" t="n">
        <x:v>9</x:v>
      </x:c>
      <x:c r="F1435" s="21" t="str">
        <x:v>Production release package</x:v>
      </x:c>
      <x:c r="G1435" s="21" t="n">
        <x:v>28</x:v>
      </x:c>
      <x:c r="H1435" s="21" t="str">
        <x:v>Production Release Board</x:v>
      </x:c>
      <x:c r="I1435" s="44" t="n">
        <x:f>Lifecycle!G15</x:f>
        <x:v>0.01647012319652151</x:v>
      </x:c>
      <x:c r="J1435" s="44" t="n">
        <x:v>0.08499999999999999</x:v>
      </x:c>
      <x:c r="K1435" s="44" t="n">
        <x:f>I1435*J1435</x:f>
        <x:v>0.0013999604717043282</x:v>
      </x:c>
      <x:c r="L1435" s="46" t="n">
        <x:v>0</x:v>
      </x:c>
      <x:c r="M1435" s="46" t="n">
        <x:v>0</x:v>
      </x:c>
      <x:c r="N1435" s="21" t="n">
        <x:f>IF(AND(L1434=1,M1434=1,P1434&gt;0),1,0)</x:f>
        <x:v>0</x:v>
      </x:c>
      <x:c r="O1435" s="21" t="n">
        <x:f>MIN('Root Data'!I433:I435)</x:f>
        <x:v>0</x:v>
      </x:c>
      <x:c r="P1435" s="44" t="n">
        <x:f>IF(AND(L1435=1,M1435=1,N1435=1,O1435&gt;=G1435),K1435,0)</x:f>
        <x:v>0</x:v>
      </x:c>
      <x:c r="Q1435" s="21" t="str">
        <x:v>OPEN</x:v>
      </x:c>
      <x:c r="R1435" s="23" t="str">
        <x:v>HOLD</x:v>
      </x:c>
    </x:row>
    <x:row r="1436">
      <x:c r="B1436" s="21" t="str">
        <x:v>AR-01430</x:v>
      </x:c>
      <x:c r="C1436" s="21" t="str">
        <x:v>F36-I3</x:v>
      </x:c>
      <x:c r="D1436" s="21" t="str">
        <x:v>F36</x:v>
      </x:c>
      <x:c r="E1436" s="21" t="n">
        <x:v>10</x:v>
      </x:c>
      <x:c r="F1436" s="21" t="str">
        <x:v>Mobilization activation</x:v>
      </x:c>
      <x:c r="G1436" s="21" t="n">
        <x:v>28</x:v>
      </x:c>
      <x:c r="H1436" s="21" t="str">
        <x:v>Production Release Board</x:v>
      </x:c>
      <x:c r="I1436" s="44" t="n">
        <x:f>Lifecycle!G16</x:f>
        <x:v>0.028262731405230914</x:v>
      </x:c>
      <x:c r="J1436" s="44" t="n">
        <x:v>0.08499999999999999</x:v>
      </x:c>
      <x:c r="K1436" s="44" t="n">
        <x:f>I1436*J1436</x:f>
        <x:v>0.0024023321694446277</x:v>
      </x:c>
      <x:c r="L1436" s="46" t="n">
        <x:v>0</x:v>
      </x:c>
      <x:c r="M1436" s="46" t="n">
        <x:v>0</x:v>
      </x:c>
      <x:c r="N1436" s="21" t="n">
        <x:f>IF(AND(L1435=1,M1435=1,P1435&gt;0),1,0)</x:f>
        <x:v>0</x:v>
      </x:c>
      <x:c r="O1436" s="21" t="n">
        <x:f>MIN('Root Data'!I433:I435)</x:f>
        <x:v>0</x:v>
      </x:c>
      <x:c r="P1436" s="44" t="n">
        <x:f>IF(AND(L1436=1,M1436=1,N1436=1,O1436&gt;=G1436),K1436,0)</x:f>
        <x:v>0</x:v>
      </x:c>
      <x:c r="Q1436" s="21" t="str">
        <x:v>OPEN</x:v>
      </x:c>
      <x:c r="R1436" s="23" t="str">
        <x:v>HOLD</x:v>
      </x:c>
    </x:row>
    <x:row r="1437">
      <x:c r="B1437" s="21" t="str">
        <x:v>AR-01431</x:v>
      </x:c>
      <x:c r="C1437" s="21" t="str">
        <x:v>F36-I4</x:v>
      </x:c>
      <x:c r="D1437" s="21" t="str">
        <x:v>F36</x:v>
      </x:c>
      <x:c r="E1437" s="21" t="n">
        <x:v>1</x:v>
      </x:c>
      <x:c r="F1437" s="21" t="str">
        <x:v>Civil effect charter</x:v>
      </x:c>
      <x:c r="G1437" s="21" t="n">
        <x:v>0</x:v>
      </x:c>
      <x:c r="H1437" s="21" t="str">
        <x:v>Civil Guarantee Authority</x:v>
      </x:c>
      <x:c r="I1437" s="44" t="n">
        <x:f>Lifecycle!G7</x:f>
        <x:v>0.04941036958956453</x:v>
      </x:c>
      <x:c r="J1437" s="44" t="n">
        <x:v>0.08499999999999999</x:v>
      </x:c>
      <x:c r="K1437" s="44" t="n">
        <x:f>I1437*J1437</x:f>
        <x:v>0.004199881415112985</x:v>
      </x:c>
      <x:c r="L1437" s="46" t="n">
        <x:v>0</x:v>
      </x:c>
      <x:c r="M1437" s="46" t="n">
        <x:v>0</x:v>
      </x:c>
      <x:c r="N1437" s="21" t="n">
        <x:f>1</x:f>
        <x:v>1</x:v>
      </x:c>
      <x:c r="O1437" s="21" t="n">
        <x:f>MIN('Root Data'!I436:I438)</x:f>
        <x:v>0</x:v>
      </x:c>
      <x:c r="P1437" s="44" t="n">
        <x:f>IF(AND(L1437=1,M1437=1,N1437=1,O1437&gt;=G1437),K1437,0)</x:f>
        <x:v>0</x:v>
      </x:c>
      <x:c r="Q1437" s="21" t="str">
        <x:v>OPEN</x:v>
      </x:c>
      <x:c r="R1437" s="23" t="str">
        <x:v>HOLD</x:v>
      </x:c>
    </x:row>
    <x:row r="1438">
      <x:c r="B1438" s="21" t="str">
        <x:v>AR-01432</x:v>
      </x:c>
      <x:c r="C1438" s="21" t="str">
        <x:v>F36-I4</x:v>
      </x:c>
      <x:c r="D1438" s="21" t="str">
        <x:v>F36</x:v>
      </x:c>
      <x:c r="E1438" s="21" t="n">
        <x:v>2</x:v>
      </x:c>
      <x:c r="F1438" s="21" t="str">
        <x:v>Requirement and root-independence package</x:v>
      </x:c>
      <x:c r="G1438" s="21" t="n">
        <x:v>8</x:v>
      </x:c>
      <x:c r="H1438" s="21" t="str">
        <x:v>Resilience Staff</x:v>
      </x:c>
      <x:c r="I1438" s="44" t="n">
        <x:f>Lifecycle!G8</x:f>
        <x:v>0.10211476381843337</x:v>
      </x:c>
      <x:c r="J1438" s="44" t="n">
        <x:v>0.08499999999999999</x:v>
      </x:c>
      <x:c r="K1438" s="44" t="n">
        <x:f>I1438*J1438</x:f>
        <x:v>0.008679754924566836</x:v>
      </x:c>
      <x:c r="L1438" s="46" t="n">
        <x:v>0</x:v>
      </x:c>
      <x:c r="M1438" s="46" t="n">
        <x:v>0</x:v>
      </x:c>
      <x:c r="N1438" s="21" t="n">
        <x:f>IF(AND(L1437=1,M1437=1,P1437&gt;0),1,0)</x:f>
        <x:v>0</x:v>
      </x:c>
      <x:c r="O1438" s="21" t="n">
        <x:f>MIN('Root Data'!I436:I438)</x:f>
        <x:v>0</x:v>
      </x:c>
      <x:c r="P1438" s="44" t="n">
        <x:f>IF(AND(L1438=1,M1438=1,N1438=1,O1438&gt;=G1438),K1438,0)</x:f>
        <x:v>0</x:v>
      </x:c>
      <x:c r="Q1438" s="21" t="str">
        <x:v>OPEN</x:v>
      </x:c>
      <x:c r="R1438" s="23" t="str">
        <x:v>HOLD</x:v>
      </x:c>
    </x:row>
    <x:row r="1439">
      <x:c r="B1439" s="21" t="str">
        <x:v>AR-01433</x:v>
      </x:c>
      <x:c r="C1439" s="21" t="str">
        <x:v>F36-I4</x:v>
      </x:c>
      <x:c r="D1439" s="21" t="str">
        <x:v>F36</x:v>
      </x:c>
      <x:c r="E1439" s="21" t="n">
        <x:v>3</x:v>
      </x:c>
      <x:c r="F1439" s="21" t="str">
        <x:v>Architecture and burden closure</x:v>
      </x:c>
      <x:c r="G1439" s="21" t="n">
        <x:v>14</x:v>
      </x:c>
      <x:c r="H1439" s="21" t="str">
        <x:v>Independent Evidence and Data Authority</x:v>
      </x:c>
      <x:c r="I1439" s="44" t="n">
        <x:f>Lifecycle!G9</x:f>
        <x:v>0.08564464062191186</x:v>
      </x:c>
      <x:c r="J1439" s="44" t="n">
        <x:v>0.08499999999999999</x:v>
      </x:c>
      <x:c r="K1439" s="44" t="n">
        <x:f>I1439*J1439</x:f>
        <x:v>0.007279794452862508</x:v>
      </x:c>
      <x:c r="L1439" s="46" t="n">
        <x:v>0</x:v>
      </x:c>
      <x:c r="M1439" s="46" t="n">
        <x:v>0</x:v>
      </x:c>
      <x:c r="N1439" s="21" t="n">
        <x:f>IF(AND(L1438=1,M1438=1,P1438&gt;0),1,0)</x:f>
        <x:v>0</x:v>
      </x:c>
      <x:c r="O1439" s="21" t="n">
        <x:f>MIN('Root Data'!I436:I438)</x:f>
        <x:v>0</x:v>
      </x:c>
      <x:c r="P1439" s="44" t="n">
        <x:f>IF(AND(L1439=1,M1439=1,N1439=1,O1439&gt;=G1439),K1439,0)</x:f>
        <x:v>0</x:v>
      </x:c>
      <x:c r="Q1439" s="21" t="str">
        <x:v>OPEN</x:v>
      </x:c>
      <x:c r="R1439" s="23" t="str">
        <x:v>HOLD</x:v>
      </x:c>
    </x:row>
    <x:row r="1440">
      <x:c r="B1440" s="21" t="str">
        <x:v>AR-01434</x:v>
      </x:c>
      <x:c r="C1440" s="21" t="str">
        <x:v>F36-I4</x:v>
      </x:c>
      <x:c r="D1440" s="21" t="str">
        <x:v>F36</x:v>
      </x:c>
      <x:c r="E1440" s="21" t="n">
        <x:v>4</x:v>
      </x:c>
      <x:c r="F1440" s="21" t="str">
        <x:v>Engineering article acceptance</x:v>
      </x:c>
      <x:c r="G1440" s="21" t="n">
        <x:v>18</x:v>
      </x:c>
      <x:c r="H1440" s="21" t="str">
        <x:v>Independent Evidence and Data Authority</x:v>
      </x:c>
      <x:c r="I1440" s="44" t="n">
        <x:f>Lifecycle!G10</x:f>
        <x:v>0.05929244350747744</x:v>
      </x:c>
      <x:c r="J1440" s="44" t="n">
        <x:v>0.08499999999999999</x:v>
      </x:c>
      <x:c r="K1440" s="44" t="n">
        <x:f>I1440*J1440</x:f>
        <x:v>0.005039857698135582</x:v>
      </x:c>
      <x:c r="L1440" s="46" t="n">
        <x:v>0</x:v>
      </x:c>
      <x:c r="M1440" s="46" t="n">
        <x:v>0</x:v>
      </x:c>
      <x:c r="N1440" s="21" t="n">
        <x:f>IF(AND(L1439=1,M1439=1,P1439&gt;0),1,0)</x:f>
        <x:v>0</x:v>
      </x:c>
      <x:c r="O1440" s="21" t="n">
        <x:f>MIN('Root Data'!I436:I438)</x:f>
        <x:v>0</x:v>
      </x:c>
      <x:c r="P1440" s="44" t="n">
        <x:f>IF(AND(L1440=1,M1440=1,N1440=1,O1440&gt;=G1440),K1440,0)</x:f>
        <x:v>0</x:v>
      </x:c>
      <x:c r="Q1440" s="21" t="str">
        <x:v>OPEN</x:v>
      </x:c>
      <x:c r="R1440" s="23" t="str">
        <x:v>HOLD</x:v>
      </x:c>
    </x:row>
    <x:row r="1441">
      <x:c r="B1441" s="21" t="str">
        <x:v>AR-01435</x:v>
      </x:c>
      <x:c r="C1441" s="21" t="str">
        <x:v>F36-I4</x:v>
      </x:c>
      <x:c r="D1441" s="21" t="str">
        <x:v>F36</x:v>
      </x:c>
      <x:c r="E1441" s="21" t="n">
        <x:v>5</x:v>
      </x:c>
      <x:c r="F1441" s="21" t="str">
        <x:v>Qualification and destructive evidence</x:v>
      </x:c>
      <x:c r="G1441" s="21" t="n">
        <x:v>21</x:v>
      </x:c>
      <x:c r="H1441" s="21" t="str">
        <x:v>Independent Evidence and Data Authority</x:v>
      </x:c>
      <x:c r="I1441" s="44" t="n">
        <x:f>Lifecycle!G11</x:f>
        <x:v>0.1515251334079979</x:v>
      </x:c>
      <x:c r="J1441" s="44" t="n">
        <x:v>0.08499999999999999</x:v>
      </x:c>
      <x:c r="K1441" s="44" t="n">
        <x:f>I1441*J1441</x:f>
        <x:v>0.012879636339679819</x:v>
      </x:c>
      <x:c r="L1441" s="46" t="n">
        <x:v>0</x:v>
      </x:c>
      <x:c r="M1441" s="46" t="n">
        <x:v>0</x:v>
      </x:c>
      <x:c r="N1441" s="21" t="n">
        <x:f>IF(AND(L1440=1,M1440=1,P1440&gt;0),1,0)</x:f>
        <x:v>0</x:v>
      </x:c>
      <x:c r="O1441" s="21" t="n">
        <x:f>MIN('Root Data'!I436:I438)</x:f>
        <x:v>0</x:v>
      </x:c>
      <x:c r="P1441" s="44" t="n">
        <x:f>IF(AND(L1441=1,M1441=1,N1441=1,O1441&gt;=G1441),K1441,0)</x:f>
        <x:v>0</x:v>
      </x:c>
      <x:c r="Q1441" s="21" t="str">
        <x:v>OPEN</x:v>
      </x:c>
      <x:c r="R1441" s="23" t="str">
        <x:v>HOLD</x:v>
      </x:c>
    </x:row>
    <x:row r="1442">
      <x:c r="B1442" s="21" t="str">
        <x:v>AR-01436</x:v>
      </x:c>
      <x:c r="C1442" s="21" t="str">
        <x:v>F36-I4</x:v>
      </x:c>
      <x:c r="D1442" s="21" t="str">
        <x:v>F36</x:v>
      </x:c>
      <x:c r="E1442" s="21" t="n">
        <x:v>6</x:v>
      </x:c>
      <x:c r="F1442" s="21" t="str">
        <x:v>Representative mission result</x:v>
      </x:c>
      <x:c r="G1442" s="21" t="n">
        <x:v>23</x:v>
      </x:c>
      <x:c r="H1442" s="21" t="str">
        <x:v>Receiving Service Authority</x:v>
      </x:c>
      <x:c r="I1442" s="44" t="n">
        <x:f>Lifecycle!G12</x:f>
        <x:v>0.250345872587127</x:v>
      </x:c>
      <x:c r="J1442" s="44" t="n">
        <x:v>0.08499999999999999</x:v>
      </x:c>
      <x:c r="K1442" s="44" t="n">
        <x:f>I1442*J1442</x:f>
        <x:v>0.021279399169905792</x:v>
      </x:c>
      <x:c r="L1442" s="46" t="n">
        <x:v>0</x:v>
      </x:c>
      <x:c r="M1442" s="46" t="n">
        <x:v>0</x:v>
      </x:c>
      <x:c r="N1442" s="21" t="n">
        <x:f>IF(AND(L1441=1,M1441=1,P1441&gt;0),1,0)</x:f>
        <x:v>0</x:v>
      </x:c>
      <x:c r="O1442" s="21" t="n">
        <x:f>MIN('Root Data'!I436:I438)</x:f>
        <x:v>0</x:v>
      </x:c>
      <x:c r="P1442" s="44" t="n">
        <x:f>IF(AND(L1442=1,M1442=1,N1442=1,O1442&gt;=G1442),K1442,0)</x:f>
        <x:v>0</x:v>
      </x:c>
      <x:c r="Q1442" s="21" t="str">
        <x:v>OPEN</x:v>
      </x:c>
      <x:c r="R1442" s="23" t="str">
        <x:v>HOLD</x:v>
      </x:c>
    </x:row>
    <x:row r="1443">
      <x:c r="B1443" s="21" t="str">
        <x:v>AR-01437</x:v>
      </x:c>
      <x:c r="C1443" s="21" t="str">
        <x:v>F36-I4</x:v>
      </x:c>
      <x:c r="D1443" s="21" t="str">
        <x:v>F36</x:v>
      </x:c>
      <x:c r="E1443" s="21" t="n">
        <x:v>7</x:v>
      </x:c>
      <x:c r="F1443" s="21" t="str">
        <x:v>Independent reproduction</x:v>
      </x:c>
      <x:c r="G1443" s="21" t="n">
        <x:v>28</x:v>
      </x:c>
      <x:c r="H1443" s="21" t="str">
        <x:v>Independent Evidence and Data Authority</x:v>
      </x:c>
      <x:c r="I1443" s="44" t="n">
        <x:f>Lifecycle!G13</x:f>
        <x:v>0.21740562619408393</x:v>
      </x:c>
      <x:c r="J1443" s="44" t="n">
        <x:v>0.08499999999999999</x:v>
      </x:c>
      <x:c r="K1443" s="44" t="n">
        <x:f>I1443*J1443</x:f>
        <x:v>0.018479478226497134</x:v>
      </x:c>
      <x:c r="L1443" s="46" t="n">
        <x:v>0</x:v>
      </x:c>
      <x:c r="M1443" s="46" t="n">
        <x:v>0</x:v>
      </x:c>
      <x:c r="N1443" s="21" t="n">
        <x:f>IF(AND(L1442=1,M1442=1,P1442&gt;0),1,0)</x:f>
        <x:v>0</x:v>
      </x:c>
      <x:c r="O1443" s="21" t="n">
        <x:f>MIN('Root Data'!I436:I438)</x:f>
        <x:v>0</x:v>
      </x:c>
      <x:c r="P1443" s="44" t="n">
        <x:f>IF(AND(L1443=1,M1443=1,N1443=1,O1443&gt;=G1443),K1443,0)</x:f>
        <x:v>0</x:v>
      </x:c>
      <x:c r="Q1443" s="21" t="str">
        <x:v>OPEN</x:v>
      </x:c>
      <x:c r="R1443" s="23" t="str">
        <x:v>HOLD</x:v>
      </x:c>
    </x:row>
    <x:row r="1444">
      <x:c r="B1444" s="21" t="str">
        <x:v>AR-01438</x:v>
      </x:c>
      <x:c r="C1444" s="21" t="str">
        <x:v>F36-I4</x:v>
      </x:c>
      <x:c r="D1444" s="21" t="str">
        <x:v>F36</x:v>
      </x:c>
      <x:c r="E1444" s="21" t="n">
        <x:v>8</x:v>
      </x:c>
      <x:c r="F1444" s="21" t="str">
        <x:v>Pilot-process qualification</x:v>
      </x:c>
      <x:c r="G1444" s="21" t="n">
        <x:v>28</x:v>
      </x:c>
      <x:c r="H1444" s="21" t="str">
        <x:v>AIMC Industrial Mobilization Authority</x:v>
      </x:c>
      <x:c r="I1444" s="44" t="n">
        <x:f>Lifecycle!G14</x:f>
        <x:v>0.03952829567165163</x:v>
      </x:c>
      <x:c r="J1444" s="44" t="n">
        <x:v>0.08499999999999999</x:v>
      </x:c>
      <x:c r="K1444" s="44" t="n">
        <x:f>I1444*J1444</x:f>
        <x:v>0.003359905132090388</x:v>
      </x:c>
      <x:c r="L1444" s="46" t="n">
        <x:v>0</x:v>
      </x:c>
      <x:c r="M1444" s="46" t="n">
        <x:v>0</x:v>
      </x:c>
      <x:c r="N1444" s="21" t="n">
        <x:f>IF(AND(L1443=1,M1443=1,P1443&gt;0),1,0)</x:f>
        <x:v>0</x:v>
      </x:c>
      <x:c r="O1444" s="21" t="n">
        <x:f>MIN('Root Data'!I436:I438)</x:f>
        <x:v>0</x:v>
      </x:c>
      <x:c r="P1444" s="44" t="n">
        <x:f>IF(AND(L1444=1,M1444=1,N1444=1,O1444&gt;=G1444),K1444,0)</x:f>
        <x:v>0</x:v>
      </x:c>
      <x:c r="Q1444" s="21" t="str">
        <x:v>OPEN</x:v>
      </x:c>
      <x:c r="R1444" s="23" t="str">
        <x:v>HOLD</x:v>
      </x:c>
    </x:row>
    <x:row r="1445">
      <x:c r="B1445" s="21" t="str">
        <x:v>AR-01439</x:v>
      </x:c>
      <x:c r="C1445" s="21" t="str">
        <x:v>F36-I4</x:v>
      </x:c>
      <x:c r="D1445" s="21" t="str">
        <x:v>F36</x:v>
      </x:c>
      <x:c r="E1445" s="21" t="n">
        <x:v>9</x:v>
      </x:c>
      <x:c r="F1445" s="21" t="str">
        <x:v>Production release package</x:v>
      </x:c>
      <x:c r="G1445" s="21" t="n">
        <x:v>28</x:v>
      </x:c>
      <x:c r="H1445" s="21" t="str">
        <x:v>Production Release Board</x:v>
      </x:c>
      <x:c r="I1445" s="44" t="n">
        <x:f>Lifecycle!G15</x:f>
        <x:v>0.01647012319652151</x:v>
      </x:c>
      <x:c r="J1445" s="44" t="n">
        <x:v>0.08499999999999999</x:v>
      </x:c>
      <x:c r="K1445" s="44" t="n">
        <x:f>I1445*J1445</x:f>
        <x:v>0.0013999604717043282</x:v>
      </x:c>
      <x:c r="L1445" s="46" t="n">
        <x:v>0</x:v>
      </x:c>
      <x:c r="M1445" s="46" t="n">
        <x:v>0</x:v>
      </x:c>
      <x:c r="N1445" s="21" t="n">
        <x:f>IF(AND(L1444=1,M1444=1,P1444&gt;0),1,0)</x:f>
        <x:v>0</x:v>
      </x:c>
      <x:c r="O1445" s="21" t="n">
        <x:f>MIN('Root Data'!I436:I438)</x:f>
        <x:v>0</x:v>
      </x:c>
      <x:c r="P1445" s="44" t="n">
        <x:f>IF(AND(L1445=1,M1445=1,N1445=1,O1445&gt;=G1445),K1445,0)</x:f>
        <x:v>0</x:v>
      </x:c>
      <x:c r="Q1445" s="21" t="str">
        <x:v>OPEN</x:v>
      </x:c>
      <x:c r="R1445" s="23" t="str">
        <x:v>HOLD</x:v>
      </x:c>
    </x:row>
    <x:row r="1446">
      <x:c r="B1446" s="21" t="str">
        <x:v>AR-01440</x:v>
      </x:c>
      <x:c r="C1446" s="21" t="str">
        <x:v>F36-I4</x:v>
      </x:c>
      <x:c r="D1446" s="21" t="str">
        <x:v>F36</x:v>
      </x:c>
      <x:c r="E1446" s="21" t="n">
        <x:v>10</x:v>
      </x:c>
      <x:c r="F1446" s="21" t="str">
        <x:v>Mobilization activation</x:v>
      </x:c>
      <x:c r="G1446" s="21" t="n">
        <x:v>28</x:v>
      </x:c>
      <x:c r="H1446" s="21" t="str">
        <x:v>Production Release Board</x:v>
      </x:c>
      <x:c r="I1446" s="44" t="n">
        <x:f>Lifecycle!G16</x:f>
        <x:v>0.028262731405230914</x:v>
      </x:c>
      <x:c r="J1446" s="44" t="n">
        <x:v>0.08499999999999999</x:v>
      </x:c>
      <x:c r="K1446" s="44" t="n">
        <x:f>I1446*J1446</x:f>
        <x:v>0.0024023321694446277</x:v>
      </x:c>
      <x:c r="L1446" s="46" t="n">
        <x:v>0</x:v>
      </x:c>
      <x:c r="M1446" s="46" t="n">
        <x:v>0</x:v>
      </x:c>
      <x:c r="N1446" s="21" t="n">
        <x:f>IF(AND(L1445=1,M1445=1,P1445&gt;0),1,0)</x:f>
        <x:v>0</x:v>
      </x:c>
      <x:c r="O1446" s="21" t="n">
        <x:f>MIN('Root Data'!I436:I438)</x:f>
        <x:v>0</x:v>
      </x:c>
      <x:c r="P1446" s="44" t="n">
        <x:f>IF(AND(L1446=1,M1446=1,N1446=1,O1446&gt;=G1446),K1446,0)</x:f>
        <x:v>0</x:v>
      </x:c>
      <x:c r="Q1446" s="21" t="str">
        <x:v>OPEN</x:v>
      </x:c>
      <x:c r="R1446" s="23" t="str">
        <x:v>HOLD</x:v>
      </x:c>
    </x:row>
    <x:row r="1447">
      <x:c r="B1447" s="21" t="str">
        <x:v>AR-01441</x:v>
      </x:c>
      <x:c r="C1447" s="21" t="str">
        <x:v>F37-I1</x:v>
      </x:c>
      <x:c r="D1447" s="21" t="str">
        <x:v>F37</x:v>
      </x:c>
      <x:c r="E1447" s="21" t="n">
        <x:v>1</x:v>
      </x:c>
      <x:c r="F1447" s="21" t="str">
        <x:v>Civil effect charter</x:v>
      </x:c>
      <x:c r="G1447" s="21" t="n">
        <x:v>0</x:v>
      </x:c>
      <x:c r="H1447" s="21" t="str">
        <x:v>Civil Guarantee Authority</x:v>
      </x:c>
      <x:c r="I1447" s="44" t="n">
        <x:f>Lifecycle!G7</x:f>
        <x:v>0.04941036958956453</x:v>
      </x:c>
      <x:c r="J1447" s="44" t="n">
        <x:v>0.08499999999999999</x:v>
      </x:c>
      <x:c r="K1447" s="44" t="n">
        <x:f>I1447*J1447</x:f>
        <x:v>0.004199881415112985</x:v>
      </x:c>
      <x:c r="L1447" s="46" t="n">
        <x:v>0</x:v>
      </x:c>
      <x:c r="M1447" s="46" t="n">
        <x:v>0</x:v>
      </x:c>
      <x:c r="N1447" s="21" t="n">
        <x:f>1</x:f>
        <x:v>1</x:v>
      </x:c>
      <x:c r="O1447" s="21" t="n">
        <x:f>MIN('Root Data'!I439:I441)</x:f>
        <x:v>0</x:v>
      </x:c>
      <x:c r="P1447" s="44" t="n">
        <x:f>IF(AND(L1447=1,M1447=1,N1447=1,O1447&gt;=G1447),K1447,0)</x:f>
        <x:v>0</x:v>
      </x:c>
      <x:c r="Q1447" s="21" t="str">
        <x:v>OPEN</x:v>
      </x:c>
      <x:c r="R1447" s="23" t="str">
        <x:v>HOLD</x:v>
      </x:c>
    </x:row>
    <x:row r="1448">
      <x:c r="B1448" s="21" t="str">
        <x:v>AR-01442</x:v>
      </x:c>
      <x:c r="C1448" s="21" t="str">
        <x:v>F37-I1</x:v>
      </x:c>
      <x:c r="D1448" s="21" t="str">
        <x:v>F37</x:v>
      </x:c>
      <x:c r="E1448" s="21" t="n">
        <x:v>2</x:v>
      </x:c>
      <x:c r="F1448" s="21" t="str">
        <x:v>Requirement and root-independence package</x:v>
      </x:c>
      <x:c r="G1448" s="21" t="n">
        <x:v>8</x:v>
      </x:c>
      <x:c r="H1448" s="21" t="str">
        <x:v>Resilience Staff</x:v>
      </x:c>
      <x:c r="I1448" s="44" t="n">
        <x:f>Lifecycle!G8</x:f>
        <x:v>0.10211476381843337</x:v>
      </x:c>
      <x:c r="J1448" s="44" t="n">
        <x:v>0.08499999999999999</x:v>
      </x:c>
      <x:c r="K1448" s="44" t="n">
        <x:f>I1448*J1448</x:f>
        <x:v>0.008679754924566836</x:v>
      </x:c>
      <x:c r="L1448" s="46" t="n">
        <x:v>0</x:v>
      </x:c>
      <x:c r="M1448" s="46" t="n">
        <x:v>0</x:v>
      </x:c>
      <x:c r="N1448" s="21" t="n">
        <x:f>IF(AND(L1447=1,M1447=1,P1447&gt;0),1,0)</x:f>
        <x:v>0</x:v>
      </x:c>
      <x:c r="O1448" s="21" t="n">
        <x:f>MIN('Root Data'!I439:I441)</x:f>
        <x:v>0</x:v>
      </x:c>
      <x:c r="P1448" s="44" t="n">
        <x:f>IF(AND(L1448=1,M1448=1,N1448=1,O1448&gt;=G1448),K1448,0)</x:f>
        <x:v>0</x:v>
      </x:c>
      <x:c r="Q1448" s="21" t="str">
        <x:v>OPEN</x:v>
      </x:c>
      <x:c r="R1448" s="23" t="str">
        <x:v>HOLD</x:v>
      </x:c>
    </x:row>
    <x:row r="1449">
      <x:c r="B1449" s="21" t="str">
        <x:v>AR-01443</x:v>
      </x:c>
      <x:c r="C1449" s="21" t="str">
        <x:v>F37-I1</x:v>
      </x:c>
      <x:c r="D1449" s="21" t="str">
        <x:v>F37</x:v>
      </x:c>
      <x:c r="E1449" s="21" t="n">
        <x:v>3</x:v>
      </x:c>
      <x:c r="F1449" s="21" t="str">
        <x:v>Architecture and burden closure</x:v>
      </x:c>
      <x:c r="G1449" s="21" t="n">
        <x:v>14</x:v>
      </x:c>
      <x:c r="H1449" s="21" t="str">
        <x:v>Independent Evidence and Data Authority</x:v>
      </x:c>
      <x:c r="I1449" s="44" t="n">
        <x:f>Lifecycle!G9</x:f>
        <x:v>0.08564464062191186</x:v>
      </x:c>
      <x:c r="J1449" s="44" t="n">
        <x:v>0.08499999999999999</x:v>
      </x:c>
      <x:c r="K1449" s="44" t="n">
        <x:f>I1449*J1449</x:f>
        <x:v>0.007279794452862508</x:v>
      </x:c>
      <x:c r="L1449" s="46" t="n">
        <x:v>0</x:v>
      </x:c>
      <x:c r="M1449" s="46" t="n">
        <x:v>0</x:v>
      </x:c>
      <x:c r="N1449" s="21" t="n">
        <x:f>IF(AND(L1448=1,M1448=1,P1448&gt;0),1,0)</x:f>
        <x:v>0</x:v>
      </x:c>
      <x:c r="O1449" s="21" t="n">
        <x:f>MIN('Root Data'!I439:I441)</x:f>
        <x:v>0</x:v>
      </x:c>
      <x:c r="P1449" s="44" t="n">
        <x:f>IF(AND(L1449=1,M1449=1,N1449=1,O1449&gt;=G1449),K1449,0)</x:f>
        <x:v>0</x:v>
      </x:c>
      <x:c r="Q1449" s="21" t="str">
        <x:v>OPEN</x:v>
      </x:c>
      <x:c r="R1449" s="23" t="str">
        <x:v>HOLD</x:v>
      </x:c>
    </x:row>
    <x:row r="1450">
      <x:c r="B1450" s="21" t="str">
        <x:v>AR-01444</x:v>
      </x:c>
      <x:c r="C1450" s="21" t="str">
        <x:v>F37-I1</x:v>
      </x:c>
      <x:c r="D1450" s="21" t="str">
        <x:v>F37</x:v>
      </x:c>
      <x:c r="E1450" s="21" t="n">
        <x:v>4</x:v>
      </x:c>
      <x:c r="F1450" s="21" t="str">
        <x:v>Engineering article acceptance</x:v>
      </x:c>
      <x:c r="G1450" s="21" t="n">
        <x:v>18</x:v>
      </x:c>
      <x:c r="H1450" s="21" t="str">
        <x:v>Independent Evidence and Data Authority</x:v>
      </x:c>
      <x:c r="I1450" s="44" t="n">
        <x:f>Lifecycle!G10</x:f>
        <x:v>0.05929244350747744</x:v>
      </x:c>
      <x:c r="J1450" s="44" t="n">
        <x:v>0.08499999999999999</x:v>
      </x:c>
      <x:c r="K1450" s="44" t="n">
        <x:f>I1450*J1450</x:f>
        <x:v>0.005039857698135582</x:v>
      </x:c>
      <x:c r="L1450" s="46" t="n">
        <x:v>0</x:v>
      </x:c>
      <x:c r="M1450" s="46" t="n">
        <x:v>0</x:v>
      </x:c>
      <x:c r="N1450" s="21" t="n">
        <x:f>IF(AND(L1449=1,M1449=1,P1449&gt;0),1,0)</x:f>
        <x:v>0</x:v>
      </x:c>
      <x:c r="O1450" s="21" t="n">
        <x:f>MIN('Root Data'!I439:I441)</x:f>
        <x:v>0</x:v>
      </x:c>
      <x:c r="P1450" s="44" t="n">
        <x:f>IF(AND(L1450=1,M1450=1,N1450=1,O1450&gt;=G1450),K1450,0)</x:f>
        <x:v>0</x:v>
      </x:c>
      <x:c r="Q1450" s="21" t="str">
        <x:v>OPEN</x:v>
      </x:c>
      <x:c r="R1450" s="23" t="str">
        <x:v>HOLD</x:v>
      </x:c>
    </x:row>
    <x:row r="1451">
      <x:c r="B1451" s="21" t="str">
        <x:v>AR-01445</x:v>
      </x:c>
      <x:c r="C1451" s="21" t="str">
        <x:v>F37-I1</x:v>
      </x:c>
      <x:c r="D1451" s="21" t="str">
        <x:v>F37</x:v>
      </x:c>
      <x:c r="E1451" s="21" t="n">
        <x:v>5</x:v>
      </x:c>
      <x:c r="F1451" s="21" t="str">
        <x:v>Qualification and destructive evidence</x:v>
      </x:c>
      <x:c r="G1451" s="21" t="n">
        <x:v>21</x:v>
      </x:c>
      <x:c r="H1451" s="21" t="str">
        <x:v>Independent Evidence and Data Authority</x:v>
      </x:c>
      <x:c r="I1451" s="44" t="n">
        <x:f>Lifecycle!G11</x:f>
        <x:v>0.1515251334079979</x:v>
      </x:c>
      <x:c r="J1451" s="44" t="n">
        <x:v>0.08499999999999999</x:v>
      </x:c>
      <x:c r="K1451" s="44" t="n">
        <x:f>I1451*J1451</x:f>
        <x:v>0.012879636339679819</x:v>
      </x:c>
      <x:c r="L1451" s="46" t="n">
        <x:v>0</x:v>
      </x:c>
      <x:c r="M1451" s="46" t="n">
        <x:v>0</x:v>
      </x:c>
      <x:c r="N1451" s="21" t="n">
        <x:f>IF(AND(L1450=1,M1450=1,P1450&gt;0),1,0)</x:f>
        <x:v>0</x:v>
      </x:c>
      <x:c r="O1451" s="21" t="n">
        <x:f>MIN('Root Data'!I439:I441)</x:f>
        <x:v>0</x:v>
      </x:c>
      <x:c r="P1451" s="44" t="n">
        <x:f>IF(AND(L1451=1,M1451=1,N1451=1,O1451&gt;=G1451),K1451,0)</x:f>
        <x:v>0</x:v>
      </x:c>
      <x:c r="Q1451" s="21" t="str">
        <x:v>OPEN</x:v>
      </x:c>
      <x:c r="R1451" s="23" t="str">
        <x:v>HOLD</x:v>
      </x:c>
    </x:row>
    <x:row r="1452">
      <x:c r="B1452" s="21" t="str">
        <x:v>AR-01446</x:v>
      </x:c>
      <x:c r="C1452" s="21" t="str">
        <x:v>F37-I1</x:v>
      </x:c>
      <x:c r="D1452" s="21" t="str">
        <x:v>F37</x:v>
      </x:c>
      <x:c r="E1452" s="21" t="n">
        <x:v>6</x:v>
      </x:c>
      <x:c r="F1452" s="21" t="str">
        <x:v>Representative mission result</x:v>
      </x:c>
      <x:c r="G1452" s="21" t="n">
        <x:v>23</x:v>
      </x:c>
      <x:c r="H1452" s="21" t="str">
        <x:v>Receiving Service Authority</x:v>
      </x:c>
      <x:c r="I1452" s="44" t="n">
        <x:f>Lifecycle!G12</x:f>
        <x:v>0.250345872587127</x:v>
      </x:c>
      <x:c r="J1452" s="44" t="n">
        <x:v>0.08499999999999999</x:v>
      </x:c>
      <x:c r="K1452" s="44" t="n">
        <x:f>I1452*J1452</x:f>
        <x:v>0.021279399169905792</x:v>
      </x:c>
      <x:c r="L1452" s="46" t="n">
        <x:v>0</x:v>
      </x:c>
      <x:c r="M1452" s="46" t="n">
        <x:v>0</x:v>
      </x:c>
      <x:c r="N1452" s="21" t="n">
        <x:f>IF(AND(L1451=1,M1451=1,P1451&gt;0),1,0)</x:f>
        <x:v>0</x:v>
      </x:c>
      <x:c r="O1452" s="21" t="n">
        <x:f>MIN('Root Data'!I439:I441)</x:f>
        <x:v>0</x:v>
      </x:c>
      <x:c r="P1452" s="44" t="n">
        <x:f>IF(AND(L1452=1,M1452=1,N1452=1,O1452&gt;=G1452),K1452,0)</x:f>
        <x:v>0</x:v>
      </x:c>
      <x:c r="Q1452" s="21" t="str">
        <x:v>OPEN</x:v>
      </x:c>
      <x:c r="R1452" s="23" t="str">
        <x:v>HOLD</x:v>
      </x:c>
    </x:row>
    <x:row r="1453">
      <x:c r="B1453" s="21" t="str">
        <x:v>AR-01447</x:v>
      </x:c>
      <x:c r="C1453" s="21" t="str">
        <x:v>F37-I1</x:v>
      </x:c>
      <x:c r="D1453" s="21" t="str">
        <x:v>F37</x:v>
      </x:c>
      <x:c r="E1453" s="21" t="n">
        <x:v>7</x:v>
      </x:c>
      <x:c r="F1453" s="21" t="str">
        <x:v>Independent reproduction</x:v>
      </x:c>
      <x:c r="G1453" s="21" t="n">
        <x:v>28</x:v>
      </x:c>
      <x:c r="H1453" s="21" t="str">
        <x:v>Independent Evidence and Data Authority</x:v>
      </x:c>
      <x:c r="I1453" s="44" t="n">
        <x:f>Lifecycle!G13</x:f>
        <x:v>0.21740562619408393</x:v>
      </x:c>
      <x:c r="J1453" s="44" t="n">
        <x:v>0.08499999999999999</x:v>
      </x:c>
      <x:c r="K1453" s="44" t="n">
        <x:f>I1453*J1453</x:f>
        <x:v>0.018479478226497134</x:v>
      </x:c>
      <x:c r="L1453" s="46" t="n">
        <x:v>0</x:v>
      </x:c>
      <x:c r="M1453" s="46" t="n">
        <x:v>0</x:v>
      </x:c>
      <x:c r="N1453" s="21" t="n">
        <x:f>IF(AND(L1452=1,M1452=1,P1452&gt;0),1,0)</x:f>
        <x:v>0</x:v>
      </x:c>
      <x:c r="O1453" s="21" t="n">
        <x:f>MIN('Root Data'!I439:I441)</x:f>
        <x:v>0</x:v>
      </x:c>
      <x:c r="P1453" s="44" t="n">
        <x:f>IF(AND(L1453=1,M1453=1,N1453=1,O1453&gt;=G1453),K1453,0)</x:f>
        <x:v>0</x:v>
      </x:c>
      <x:c r="Q1453" s="21" t="str">
        <x:v>OPEN</x:v>
      </x:c>
      <x:c r="R1453" s="23" t="str">
        <x:v>HOLD</x:v>
      </x:c>
    </x:row>
    <x:row r="1454">
      <x:c r="B1454" s="21" t="str">
        <x:v>AR-01448</x:v>
      </x:c>
      <x:c r="C1454" s="21" t="str">
        <x:v>F37-I1</x:v>
      </x:c>
      <x:c r="D1454" s="21" t="str">
        <x:v>F37</x:v>
      </x:c>
      <x:c r="E1454" s="21" t="n">
        <x:v>8</x:v>
      </x:c>
      <x:c r="F1454" s="21" t="str">
        <x:v>Pilot-process qualification</x:v>
      </x:c>
      <x:c r="G1454" s="21" t="n">
        <x:v>28</x:v>
      </x:c>
      <x:c r="H1454" s="21" t="str">
        <x:v>AIMC Industrial Mobilization Authority</x:v>
      </x:c>
      <x:c r="I1454" s="44" t="n">
        <x:f>Lifecycle!G14</x:f>
        <x:v>0.03952829567165163</x:v>
      </x:c>
      <x:c r="J1454" s="44" t="n">
        <x:v>0.08499999999999999</x:v>
      </x:c>
      <x:c r="K1454" s="44" t="n">
        <x:f>I1454*J1454</x:f>
        <x:v>0.003359905132090388</x:v>
      </x:c>
      <x:c r="L1454" s="46" t="n">
        <x:v>0</x:v>
      </x:c>
      <x:c r="M1454" s="46" t="n">
        <x:v>0</x:v>
      </x:c>
      <x:c r="N1454" s="21" t="n">
        <x:f>IF(AND(L1453=1,M1453=1,P1453&gt;0),1,0)</x:f>
        <x:v>0</x:v>
      </x:c>
      <x:c r="O1454" s="21" t="n">
        <x:f>MIN('Root Data'!I439:I441)</x:f>
        <x:v>0</x:v>
      </x:c>
      <x:c r="P1454" s="44" t="n">
        <x:f>IF(AND(L1454=1,M1454=1,N1454=1,O1454&gt;=G1454),K1454,0)</x:f>
        <x:v>0</x:v>
      </x:c>
      <x:c r="Q1454" s="21" t="str">
        <x:v>OPEN</x:v>
      </x:c>
      <x:c r="R1454" s="23" t="str">
        <x:v>HOLD</x:v>
      </x:c>
    </x:row>
    <x:row r="1455">
      <x:c r="B1455" s="21" t="str">
        <x:v>AR-01449</x:v>
      </x:c>
      <x:c r="C1455" s="21" t="str">
        <x:v>F37-I1</x:v>
      </x:c>
      <x:c r="D1455" s="21" t="str">
        <x:v>F37</x:v>
      </x:c>
      <x:c r="E1455" s="21" t="n">
        <x:v>9</x:v>
      </x:c>
      <x:c r="F1455" s="21" t="str">
        <x:v>Production release package</x:v>
      </x:c>
      <x:c r="G1455" s="21" t="n">
        <x:v>28</x:v>
      </x:c>
      <x:c r="H1455" s="21" t="str">
        <x:v>Production Release Board</x:v>
      </x:c>
      <x:c r="I1455" s="44" t="n">
        <x:f>Lifecycle!G15</x:f>
        <x:v>0.01647012319652151</x:v>
      </x:c>
      <x:c r="J1455" s="44" t="n">
        <x:v>0.08499999999999999</x:v>
      </x:c>
      <x:c r="K1455" s="44" t="n">
        <x:f>I1455*J1455</x:f>
        <x:v>0.0013999604717043282</x:v>
      </x:c>
      <x:c r="L1455" s="46" t="n">
        <x:v>0</x:v>
      </x:c>
      <x:c r="M1455" s="46" t="n">
        <x:v>0</x:v>
      </x:c>
      <x:c r="N1455" s="21" t="n">
        <x:f>IF(AND(L1454=1,M1454=1,P1454&gt;0),1,0)</x:f>
        <x:v>0</x:v>
      </x:c>
      <x:c r="O1455" s="21" t="n">
        <x:f>MIN('Root Data'!I439:I441)</x:f>
        <x:v>0</x:v>
      </x:c>
      <x:c r="P1455" s="44" t="n">
        <x:f>IF(AND(L1455=1,M1455=1,N1455=1,O1455&gt;=G1455),K1455,0)</x:f>
        <x:v>0</x:v>
      </x:c>
      <x:c r="Q1455" s="21" t="str">
        <x:v>OPEN</x:v>
      </x:c>
      <x:c r="R1455" s="23" t="str">
        <x:v>HOLD</x:v>
      </x:c>
    </x:row>
    <x:row r="1456">
      <x:c r="B1456" s="21" t="str">
        <x:v>AR-01450</x:v>
      </x:c>
      <x:c r="C1456" s="21" t="str">
        <x:v>F37-I1</x:v>
      </x:c>
      <x:c r="D1456" s="21" t="str">
        <x:v>F37</x:v>
      </x:c>
      <x:c r="E1456" s="21" t="n">
        <x:v>10</x:v>
      </x:c>
      <x:c r="F1456" s="21" t="str">
        <x:v>Mobilization activation</x:v>
      </x:c>
      <x:c r="G1456" s="21" t="n">
        <x:v>28</x:v>
      </x:c>
      <x:c r="H1456" s="21" t="str">
        <x:v>Production Release Board</x:v>
      </x:c>
      <x:c r="I1456" s="44" t="n">
        <x:f>Lifecycle!G16</x:f>
        <x:v>0.028262731405230914</x:v>
      </x:c>
      <x:c r="J1456" s="44" t="n">
        <x:v>0.08499999999999999</x:v>
      </x:c>
      <x:c r="K1456" s="44" t="n">
        <x:f>I1456*J1456</x:f>
        <x:v>0.0024023321694446277</x:v>
      </x:c>
      <x:c r="L1456" s="46" t="n">
        <x:v>0</x:v>
      </x:c>
      <x:c r="M1456" s="46" t="n">
        <x:v>0</x:v>
      </x:c>
      <x:c r="N1456" s="21" t="n">
        <x:f>IF(AND(L1455=1,M1455=1,P1455&gt;0),1,0)</x:f>
        <x:v>0</x:v>
      </x:c>
      <x:c r="O1456" s="21" t="n">
        <x:f>MIN('Root Data'!I439:I441)</x:f>
        <x:v>0</x:v>
      </x:c>
      <x:c r="P1456" s="44" t="n">
        <x:f>IF(AND(L1456=1,M1456=1,N1456=1,O1456&gt;=G1456),K1456,0)</x:f>
        <x:v>0</x:v>
      </x:c>
      <x:c r="Q1456" s="21" t="str">
        <x:v>OPEN</x:v>
      </x:c>
      <x:c r="R1456" s="23" t="str">
        <x:v>HOLD</x:v>
      </x:c>
    </x:row>
    <x:row r="1457">
      <x:c r="B1457" s="21" t="str">
        <x:v>AR-01451</x:v>
      </x:c>
      <x:c r="C1457" s="21" t="str">
        <x:v>F37-I2</x:v>
      </x:c>
      <x:c r="D1457" s="21" t="str">
        <x:v>F37</x:v>
      </x:c>
      <x:c r="E1457" s="21" t="n">
        <x:v>1</x:v>
      </x:c>
      <x:c r="F1457" s="21" t="str">
        <x:v>Civil effect charter</x:v>
      </x:c>
      <x:c r="G1457" s="21" t="n">
        <x:v>0</x:v>
      </x:c>
      <x:c r="H1457" s="21" t="str">
        <x:v>Civil Guarantee Authority</x:v>
      </x:c>
      <x:c r="I1457" s="44" t="n">
        <x:f>Lifecycle!G7</x:f>
        <x:v>0.04941036958956453</x:v>
      </x:c>
      <x:c r="J1457" s="44" t="n">
        <x:v>0.08499999999999999</x:v>
      </x:c>
      <x:c r="K1457" s="44" t="n">
        <x:f>I1457*J1457</x:f>
        <x:v>0.004199881415112985</x:v>
      </x:c>
      <x:c r="L1457" s="46" t="n">
        <x:v>0</x:v>
      </x:c>
      <x:c r="M1457" s="46" t="n">
        <x:v>0</x:v>
      </x:c>
      <x:c r="N1457" s="21" t="n">
        <x:f>1</x:f>
        <x:v>1</x:v>
      </x:c>
      <x:c r="O1457" s="21" t="n">
        <x:f>MIN('Root Data'!I442:I444)</x:f>
        <x:v>0</x:v>
      </x:c>
      <x:c r="P1457" s="44" t="n">
        <x:f>IF(AND(L1457=1,M1457=1,N1457=1,O1457&gt;=G1457),K1457,0)</x:f>
        <x:v>0</x:v>
      </x:c>
      <x:c r="Q1457" s="21" t="str">
        <x:v>OPEN</x:v>
      </x:c>
      <x:c r="R1457" s="23" t="str">
        <x:v>HOLD</x:v>
      </x:c>
    </x:row>
    <x:row r="1458">
      <x:c r="B1458" s="21" t="str">
        <x:v>AR-01452</x:v>
      </x:c>
      <x:c r="C1458" s="21" t="str">
        <x:v>F37-I2</x:v>
      </x:c>
      <x:c r="D1458" s="21" t="str">
        <x:v>F37</x:v>
      </x:c>
      <x:c r="E1458" s="21" t="n">
        <x:v>2</x:v>
      </x:c>
      <x:c r="F1458" s="21" t="str">
        <x:v>Requirement and root-independence package</x:v>
      </x:c>
      <x:c r="G1458" s="21" t="n">
        <x:v>8</x:v>
      </x:c>
      <x:c r="H1458" s="21" t="str">
        <x:v>Resilience Staff</x:v>
      </x:c>
      <x:c r="I1458" s="44" t="n">
        <x:f>Lifecycle!G8</x:f>
        <x:v>0.10211476381843337</x:v>
      </x:c>
      <x:c r="J1458" s="44" t="n">
        <x:v>0.08499999999999999</x:v>
      </x:c>
      <x:c r="K1458" s="44" t="n">
        <x:f>I1458*J1458</x:f>
        <x:v>0.008679754924566836</x:v>
      </x:c>
      <x:c r="L1458" s="46" t="n">
        <x:v>0</x:v>
      </x:c>
      <x:c r="M1458" s="46" t="n">
        <x:v>0</x:v>
      </x:c>
      <x:c r="N1458" s="21" t="n">
        <x:f>IF(AND(L1457=1,M1457=1,P1457&gt;0),1,0)</x:f>
        <x:v>0</x:v>
      </x:c>
      <x:c r="O1458" s="21" t="n">
        <x:f>MIN('Root Data'!I442:I444)</x:f>
        <x:v>0</x:v>
      </x:c>
      <x:c r="P1458" s="44" t="n">
        <x:f>IF(AND(L1458=1,M1458=1,N1458=1,O1458&gt;=G1458),K1458,0)</x:f>
        <x:v>0</x:v>
      </x:c>
      <x:c r="Q1458" s="21" t="str">
        <x:v>OPEN</x:v>
      </x:c>
      <x:c r="R1458" s="23" t="str">
        <x:v>HOLD</x:v>
      </x:c>
    </x:row>
    <x:row r="1459">
      <x:c r="B1459" s="21" t="str">
        <x:v>AR-01453</x:v>
      </x:c>
      <x:c r="C1459" s="21" t="str">
        <x:v>F37-I2</x:v>
      </x:c>
      <x:c r="D1459" s="21" t="str">
        <x:v>F37</x:v>
      </x:c>
      <x:c r="E1459" s="21" t="n">
        <x:v>3</x:v>
      </x:c>
      <x:c r="F1459" s="21" t="str">
        <x:v>Architecture and burden closure</x:v>
      </x:c>
      <x:c r="G1459" s="21" t="n">
        <x:v>14</x:v>
      </x:c>
      <x:c r="H1459" s="21" t="str">
        <x:v>Independent Evidence and Data Authority</x:v>
      </x:c>
      <x:c r="I1459" s="44" t="n">
        <x:f>Lifecycle!G9</x:f>
        <x:v>0.08564464062191186</x:v>
      </x:c>
      <x:c r="J1459" s="44" t="n">
        <x:v>0.08499999999999999</x:v>
      </x:c>
      <x:c r="K1459" s="44" t="n">
        <x:f>I1459*J1459</x:f>
        <x:v>0.007279794452862508</x:v>
      </x:c>
      <x:c r="L1459" s="46" t="n">
        <x:v>0</x:v>
      </x:c>
      <x:c r="M1459" s="46" t="n">
        <x:v>0</x:v>
      </x:c>
      <x:c r="N1459" s="21" t="n">
        <x:f>IF(AND(L1458=1,M1458=1,P1458&gt;0),1,0)</x:f>
        <x:v>0</x:v>
      </x:c>
      <x:c r="O1459" s="21" t="n">
        <x:f>MIN('Root Data'!I442:I444)</x:f>
        <x:v>0</x:v>
      </x:c>
      <x:c r="P1459" s="44" t="n">
        <x:f>IF(AND(L1459=1,M1459=1,N1459=1,O1459&gt;=G1459),K1459,0)</x:f>
        <x:v>0</x:v>
      </x:c>
      <x:c r="Q1459" s="21" t="str">
        <x:v>OPEN</x:v>
      </x:c>
      <x:c r="R1459" s="23" t="str">
        <x:v>HOLD</x:v>
      </x:c>
    </x:row>
    <x:row r="1460">
      <x:c r="B1460" s="21" t="str">
        <x:v>AR-01454</x:v>
      </x:c>
      <x:c r="C1460" s="21" t="str">
        <x:v>F37-I2</x:v>
      </x:c>
      <x:c r="D1460" s="21" t="str">
        <x:v>F37</x:v>
      </x:c>
      <x:c r="E1460" s="21" t="n">
        <x:v>4</x:v>
      </x:c>
      <x:c r="F1460" s="21" t="str">
        <x:v>Engineering article acceptance</x:v>
      </x:c>
      <x:c r="G1460" s="21" t="n">
        <x:v>18</x:v>
      </x:c>
      <x:c r="H1460" s="21" t="str">
        <x:v>Independent Evidence and Data Authority</x:v>
      </x:c>
      <x:c r="I1460" s="44" t="n">
        <x:f>Lifecycle!G10</x:f>
        <x:v>0.05929244350747744</x:v>
      </x:c>
      <x:c r="J1460" s="44" t="n">
        <x:v>0.08499999999999999</x:v>
      </x:c>
      <x:c r="K1460" s="44" t="n">
        <x:f>I1460*J1460</x:f>
        <x:v>0.005039857698135582</x:v>
      </x:c>
      <x:c r="L1460" s="46" t="n">
        <x:v>0</x:v>
      </x:c>
      <x:c r="M1460" s="46" t="n">
        <x:v>0</x:v>
      </x:c>
      <x:c r="N1460" s="21" t="n">
        <x:f>IF(AND(L1459=1,M1459=1,P1459&gt;0),1,0)</x:f>
        <x:v>0</x:v>
      </x:c>
      <x:c r="O1460" s="21" t="n">
        <x:f>MIN('Root Data'!I442:I444)</x:f>
        <x:v>0</x:v>
      </x:c>
      <x:c r="P1460" s="44" t="n">
        <x:f>IF(AND(L1460=1,M1460=1,N1460=1,O1460&gt;=G1460),K1460,0)</x:f>
        <x:v>0</x:v>
      </x:c>
      <x:c r="Q1460" s="21" t="str">
        <x:v>OPEN</x:v>
      </x:c>
      <x:c r="R1460" s="23" t="str">
        <x:v>HOLD</x:v>
      </x:c>
    </x:row>
    <x:row r="1461">
      <x:c r="B1461" s="21" t="str">
        <x:v>AR-01455</x:v>
      </x:c>
      <x:c r="C1461" s="21" t="str">
        <x:v>F37-I2</x:v>
      </x:c>
      <x:c r="D1461" s="21" t="str">
        <x:v>F37</x:v>
      </x:c>
      <x:c r="E1461" s="21" t="n">
        <x:v>5</x:v>
      </x:c>
      <x:c r="F1461" s="21" t="str">
        <x:v>Qualification and destructive evidence</x:v>
      </x:c>
      <x:c r="G1461" s="21" t="n">
        <x:v>21</x:v>
      </x:c>
      <x:c r="H1461" s="21" t="str">
        <x:v>Independent Evidence and Data Authority</x:v>
      </x:c>
      <x:c r="I1461" s="44" t="n">
        <x:f>Lifecycle!G11</x:f>
        <x:v>0.1515251334079979</x:v>
      </x:c>
      <x:c r="J1461" s="44" t="n">
        <x:v>0.08499999999999999</x:v>
      </x:c>
      <x:c r="K1461" s="44" t="n">
        <x:f>I1461*J1461</x:f>
        <x:v>0.012879636339679819</x:v>
      </x:c>
      <x:c r="L1461" s="46" t="n">
        <x:v>0</x:v>
      </x:c>
      <x:c r="M1461" s="46" t="n">
        <x:v>0</x:v>
      </x:c>
      <x:c r="N1461" s="21" t="n">
        <x:f>IF(AND(L1460=1,M1460=1,P1460&gt;0),1,0)</x:f>
        <x:v>0</x:v>
      </x:c>
      <x:c r="O1461" s="21" t="n">
        <x:f>MIN('Root Data'!I442:I444)</x:f>
        <x:v>0</x:v>
      </x:c>
      <x:c r="P1461" s="44" t="n">
        <x:f>IF(AND(L1461=1,M1461=1,N1461=1,O1461&gt;=G1461),K1461,0)</x:f>
        <x:v>0</x:v>
      </x:c>
      <x:c r="Q1461" s="21" t="str">
        <x:v>OPEN</x:v>
      </x:c>
      <x:c r="R1461" s="23" t="str">
        <x:v>HOLD</x:v>
      </x:c>
    </x:row>
    <x:row r="1462">
      <x:c r="B1462" s="21" t="str">
        <x:v>AR-01456</x:v>
      </x:c>
      <x:c r="C1462" s="21" t="str">
        <x:v>F37-I2</x:v>
      </x:c>
      <x:c r="D1462" s="21" t="str">
        <x:v>F37</x:v>
      </x:c>
      <x:c r="E1462" s="21" t="n">
        <x:v>6</x:v>
      </x:c>
      <x:c r="F1462" s="21" t="str">
        <x:v>Representative mission result</x:v>
      </x:c>
      <x:c r="G1462" s="21" t="n">
        <x:v>23</x:v>
      </x:c>
      <x:c r="H1462" s="21" t="str">
        <x:v>Receiving Service Authority</x:v>
      </x:c>
      <x:c r="I1462" s="44" t="n">
        <x:f>Lifecycle!G12</x:f>
        <x:v>0.250345872587127</x:v>
      </x:c>
      <x:c r="J1462" s="44" t="n">
        <x:v>0.08499999999999999</x:v>
      </x:c>
      <x:c r="K1462" s="44" t="n">
        <x:f>I1462*J1462</x:f>
        <x:v>0.021279399169905792</x:v>
      </x:c>
      <x:c r="L1462" s="46" t="n">
        <x:v>0</x:v>
      </x:c>
      <x:c r="M1462" s="46" t="n">
        <x:v>0</x:v>
      </x:c>
      <x:c r="N1462" s="21" t="n">
        <x:f>IF(AND(L1461=1,M1461=1,P1461&gt;0),1,0)</x:f>
        <x:v>0</x:v>
      </x:c>
      <x:c r="O1462" s="21" t="n">
        <x:f>MIN('Root Data'!I442:I444)</x:f>
        <x:v>0</x:v>
      </x:c>
      <x:c r="P1462" s="44" t="n">
        <x:f>IF(AND(L1462=1,M1462=1,N1462=1,O1462&gt;=G1462),K1462,0)</x:f>
        <x:v>0</x:v>
      </x:c>
      <x:c r="Q1462" s="21" t="str">
        <x:v>OPEN</x:v>
      </x:c>
      <x:c r="R1462" s="23" t="str">
        <x:v>HOLD</x:v>
      </x:c>
    </x:row>
    <x:row r="1463">
      <x:c r="B1463" s="21" t="str">
        <x:v>AR-01457</x:v>
      </x:c>
      <x:c r="C1463" s="21" t="str">
        <x:v>F37-I2</x:v>
      </x:c>
      <x:c r="D1463" s="21" t="str">
        <x:v>F37</x:v>
      </x:c>
      <x:c r="E1463" s="21" t="n">
        <x:v>7</x:v>
      </x:c>
      <x:c r="F1463" s="21" t="str">
        <x:v>Independent reproduction</x:v>
      </x:c>
      <x:c r="G1463" s="21" t="n">
        <x:v>28</x:v>
      </x:c>
      <x:c r="H1463" s="21" t="str">
        <x:v>Independent Evidence and Data Authority</x:v>
      </x:c>
      <x:c r="I1463" s="44" t="n">
        <x:f>Lifecycle!G13</x:f>
        <x:v>0.21740562619408393</x:v>
      </x:c>
      <x:c r="J1463" s="44" t="n">
        <x:v>0.08499999999999999</x:v>
      </x:c>
      <x:c r="K1463" s="44" t="n">
        <x:f>I1463*J1463</x:f>
        <x:v>0.018479478226497134</x:v>
      </x:c>
      <x:c r="L1463" s="46" t="n">
        <x:v>0</x:v>
      </x:c>
      <x:c r="M1463" s="46" t="n">
        <x:v>0</x:v>
      </x:c>
      <x:c r="N1463" s="21" t="n">
        <x:f>IF(AND(L1462=1,M1462=1,P1462&gt;0),1,0)</x:f>
        <x:v>0</x:v>
      </x:c>
      <x:c r="O1463" s="21" t="n">
        <x:f>MIN('Root Data'!I442:I444)</x:f>
        <x:v>0</x:v>
      </x:c>
      <x:c r="P1463" s="44" t="n">
        <x:f>IF(AND(L1463=1,M1463=1,N1463=1,O1463&gt;=G1463),K1463,0)</x:f>
        <x:v>0</x:v>
      </x:c>
      <x:c r="Q1463" s="21" t="str">
        <x:v>OPEN</x:v>
      </x:c>
      <x:c r="R1463" s="23" t="str">
        <x:v>HOLD</x:v>
      </x:c>
    </x:row>
    <x:row r="1464">
      <x:c r="B1464" s="21" t="str">
        <x:v>AR-01458</x:v>
      </x:c>
      <x:c r="C1464" s="21" t="str">
        <x:v>F37-I2</x:v>
      </x:c>
      <x:c r="D1464" s="21" t="str">
        <x:v>F37</x:v>
      </x:c>
      <x:c r="E1464" s="21" t="n">
        <x:v>8</x:v>
      </x:c>
      <x:c r="F1464" s="21" t="str">
        <x:v>Pilot-process qualification</x:v>
      </x:c>
      <x:c r="G1464" s="21" t="n">
        <x:v>28</x:v>
      </x:c>
      <x:c r="H1464" s="21" t="str">
        <x:v>AIMC Industrial Mobilization Authority</x:v>
      </x:c>
      <x:c r="I1464" s="44" t="n">
        <x:f>Lifecycle!G14</x:f>
        <x:v>0.03952829567165163</x:v>
      </x:c>
      <x:c r="J1464" s="44" t="n">
        <x:v>0.08499999999999999</x:v>
      </x:c>
      <x:c r="K1464" s="44" t="n">
        <x:f>I1464*J1464</x:f>
        <x:v>0.003359905132090388</x:v>
      </x:c>
      <x:c r="L1464" s="46" t="n">
        <x:v>0</x:v>
      </x:c>
      <x:c r="M1464" s="46" t="n">
        <x:v>0</x:v>
      </x:c>
      <x:c r="N1464" s="21" t="n">
        <x:f>IF(AND(L1463=1,M1463=1,P1463&gt;0),1,0)</x:f>
        <x:v>0</x:v>
      </x:c>
      <x:c r="O1464" s="21" t="n">
        <x:f>MIN('Root Data'!I442:I444)</x:f>
        <x:v>0</x:v>
      </x:c>
      <x:c r="P1464" s="44" t="n">
        <x:f>IF(AND(L1464=1,M1464=1,N1464=1,O1464&gt;=G1464),K1464,0)</x:f>
        <x:v>0</x:v>
      </x:c>
      <x:c r="Q1464" s="21" t="str">
        <x:v>OPEN</x:v>
      </x:c>
      <x:c r="R1464" s="23" t="str">
        <x:v>HOLD</x:v>
      </x:c>
    </x:row>
    <x:row r="1465">
      <x:c r="B1465" s="21" t="str">
        <x:v>AR-01459</x:v>
      </x:c>
      <x:c r="C1465" s="21" t="str">
        <x:v>F37-I2</x:v>
      </x:c>
      <x:c r="D1465" s="21" t="str">
        <x:v>F37</x:v>
      </x:c>
      <x:c r="E1465" s="21" t="n">
        <x:v>9</x:v>
      </x:c>
      <x:c r="F1465" s="21" t="str">
        <x:v>Production release package</x:v>
      </x:c>
      <x:c r="G1465" s="21" t="n">
        <x:v>28</x:v>
      </x:c>
      <x:c r="H1465" s="21" t="str">
        <x:v>Production Release Board</x:v>
      </x:c>
      <x:c r="I1465" s="44" t="n">
        <x:f>Lifecycle!G15</x:f>
        <x:v>0.01647012319652151</x:v>
      </x:c>
      <x:c r="J1465" s="44" t="n">
        <x:v>0.08499999999999999</x:v>
      </x:c>
      <x:c r="K1465" s="44" t="n">
        <x:f>I1465*J1465</x:f>
        <x:v>0.0013999604717043282</x:v>
      </x:c>
      <x:c r="L1465" s="46" t="n">
        <x:v>0</x:v>
      </x:c>
      <x:c r="M1465" s="46" t="n">
        <x:v>0</x:v>
      </x:c>
      <x:c r="N1465" s="21" t="n">
        <x:f>IF(AND(L1464=1,M1464=1,P1464&gt;0),1,0)</x:f>
        <x:v>0</x:v>
      </x:c>
      <x:c r="O1465" s="21" t="n">
        <x:f>MIN('Root Data'!I442:I444)</x:f>
        <x:v>0</x:v>
      </x:c>
      <x:c r="P1465" s="44" t="n">
        <x:f>IF(AND(L1465=1,M1465=1,N1465=1,O1465&gt;=G1465),K1465,0)</x:f>
        <x:v>0</x:v>
      </x:c>
      <x:c r="Q1465" s="21" t="str">
        <x:v>OPEN</x:v>
      </x:c>
      <x:c r="R1465" s="23" t="str">
        <x:v>HOLD</x:v>
      </x:c>
    </x:row>
    <x:row r="1466">
      <x:c r="B1466" s="21" t="str">
        <x:v>AR-01460</x:v>
      </x:c>
      <x:c r="C1466" s="21" t="str">
        <x:v>F37-I2</x:v>
      </x:c>
      <x:c r="D1466" s="21" t="str">
        <x:v>F37</x:v>
      </x:c>
      <x:c r="E1466" s="21" t="n">
        <x:v>10</x:v>
      </x:c>
      <x:c r="F1466" s="21" t="str">
        <x:v>Mobilization activation</x:v>
      </x:c>
      <x:c r="G1466" s="21" t="n">
        <x:v>28</x:v>
      </x:c>
      <x:c r="H1466" s="21" t="str">
        <x:v>Production Release Board</x:v>
      </x:c>
      <x:c r="I1466" s="44" t="n">
        <x:f>Lifecycle!G16</x:f>
        <x:v>0.028262731405230914</x:v>
      </x:c>
      <x:c r="J1466" s="44" t="n">
        <x:v>0.08499999999999999</x:v>
      </x:c>
      <x:c r="K1466" s="44" t="n">
        <x:f>I1466*J1466</x:f>
        <x:v>0.0024023321694446277</x:v>
      </x:c>
      <x:c r="L1466" s="46" t="n">
        <x:v>0</x:v>
      </x:c>
      <x:c r="M1466" s="46" t="n">
        <x:v>0</x:v>
      </x:c>
      <x:c r="N1466" s="21" t="n">
        <x:f>IF(AND(L1465=1,M1465=1,P1465&gt;0),1,0)</x:f>
        <x:v>0</x:v>
      </x:c>
      <x:c r="O1466" s="21" t="n">
        <x:f>MIN('Root Data'!I442:I444)</x:f>
        <x:v>0</x:v>
      </x:c>
      <x:c r="P1466" s="44" t="n">
        <x:f>IF(AND(L1466=1,M1466=1,N1466=1,O1466&gt;=G1466),K1466,0)</x:f>
        <x:v>0</x:v>
      </x:c>
      <x:c r="Q1466" s="21" t="str">
        <x:v>OPEN</x:v>
      </x:c>
      <x:c r="R1466" s="23" t="str">
        <x:v>HOLD</x:v>
      </x:c>
    </x:row>
    <x:row r="1467">
      <x:c r="B1467" s="21" t="str">
        <x:v>AR-01461</x:v>
      </x:c>
      <x:c r="C1467" s="21" t="str">
        <x:v>F37-I3</x:v>
      </x:c>
      <x:c r="D1467" s="21" t="str">
        <x:v>F37</x:v>
      </x:c>
      <x:c r="E1467" s="21" t="n">
        <x:v>1</x:v>
      </x:c>
      <x:c r="F1467" s="21" t="str">
        <x:v>Civil effect charter</x:v>
      </x:c>
      <x:c r="G1467" s="21" t="n">
        <x:v>0</x:v>
      </x:c>
      <x:c r="H1467" s="21" t="str">
        <x:v>Civil Guarantee Authority</x:v>
      </x:c>
      <x:c r="I1467" s="44" t="n">
        <x:f>Lifecycle!G7</x:f>
        <x:v>0.04941036958956453</x:v>
      </x:c>
      <x:c r="J1467" s="44" t="n">
        <x:v>0.08499999999999999</x:v>
      </x:c>
      <x:c r="K1467" s="44" t="n">
        <x:f>I1467*J1467</x:f>
        <x:v>0.004199881415112985</x:v>
      </x:c>
      <x:c r="L1467" s="46" t="n">
        <x:v>0</x:v>
      </x:c>
      <x:c r="M1467" s="46" t="n">
        <x:v>0</x:v>
      </x:c>
      <x:c r="N1467" s="21" t="n">
        <x:f>1</x:f>
        <x:v>1</x:v>
      </x:c>
      <x:c r="O1467" s="21" t="n">
        <x:f>MIN('Root Data'!I445:I447)</x:f>
        <x:v>0</x:v>
      </x:c>
      <x:c r="P1467" s="44" t="n">
        <x:f>IF(AND(L1467=1,M1467=1,N1467=1,O1467&gt;=G1467),K1467,0)</x:f>
        <x:v>0</x:v>
      </x:c>
      <x:c r="Q1467" s="21" t="str">
        <x:v>OPEN</x:v>
      </x:c>
      <x:c r="R1467" s="23" t="str">
        <x:v>HOLD</x:v>
      </x:c>
    </x:row>
    <x:row r="1468">
      <x:c r="B1468" s="21" t="str">
        <x:v>AR-01462</x:v>
      </x:c>
      <x:c r="C1468" s="21" t="str">
        <x:v>F37-I3</x:v>
      </x:c>
      <x:c r="D1468" s="21" t="str">
        <x:v>F37</x:v>
      </x:c>
      <x:c r="E1468" s="21" t="n">
        <x:v>2</x:v>
      </x:c>
      <x:c r="F1468" s="21" t="str">
        <x:v>Requirement and root-independence package</x:v>
      </x:c>
      <x:c r="G1468" s="21" t="n">
        <x:v>8</x:v>
      </x:c>
      <x:c r="H1468" s="21" t="str">
        <x:v>Resilience Staff</x:v>
      </x:c>
      <x:c r="I1468" s="44" t="n">
        <x:f>Lifecycle!G8</x:f>
        <x:v>0.10211476381843337</x:v>
      </x:c>
      <x:c r="J1468" s="44" t="n">
        <x:v>0.08499999999999999</x:v>
      </x:c>
      <x:c r="K1468" s="44" t="n">
        <x:f>I1468*J1468</x:f>
        <x:v>0.008679754924566836</x:v>
      </x:c>
      <x:c r="L1468" s="46" t="n">
        <x:v>0</x:v>
      </x:c>
      <x:c r="M1468" s="46" t="n">
        <x:v>0</x:v>
      </x:c>
      <x:c r="N1468" s="21" t="n">
        <x:f>IF(AND(L1467=1,M1467=1,P1467&gt;0),1,0)</x:f>
        <x:v>0</x:v>
      </x:c>
      <x:c r="O1468" s="21" t="n">
        <x:f>MIN('Root Data'!I445:I447)</x:f>
        <x:v>0</x:v>
      </x:c>
      <x:c r="P1468" s="44" t="n">
        <x:f>IF(AND(L1468=1,M1468=1,N1468=1,O1468&gt;=G1468),K1468,0)</x:f>
        <x:v>0</x:v>
      </x:c>
      <x:c r="Q1468" s="21" t="str">
        <x:v>OPEN</x:v>
      </x:c>
      <x:c r="R1468" s="23" t="str">
        <x:v>HOLD</x:v>
      </x:c>
    </x:row>
    <x:row r="1469">
      <x:c r="B1469" s="21" t="str">
        <x:v>AR-01463</x:v>
      </x:c>
      <x:c r="C1469" s="21" t="str">
        <x:v>F37-I3</x:v>
      </x:c>
      <x:c r="D1469" s="21" t="str">
        <x:v>F37</x:v>
      </x:c>
      <x:c r="E1469" s="21" t="n">
        <x:v>3</x:v>
      </x:c>
      <x:c r="F1469" s="21" t="str">
        <x:v>Architecture and burden closure</x:v>
      </x:c>
      <x:c r="G1469" s="21" t="n">
        <x:v>14</x:v>
      </x:c>
      <x:c r="H1469" s="21" t="str">
        <x:v>Independent Evidence and Data Authority</x:v>
      </x:c>
      <x:c r="I1469" s="44" t="n">
        <x:f>Lifecycle!G9</x:f>
        <x:v>0.08564464062191186</x:v>
      </x:c>
      <x:c r="J1469" s="44" t="n">
        <x:v>0.08499999999999999</x:v>
      </x:c>
      <x:c r="K1469" s="44" t="n">
        <x:f>I1469*J1469</x:f>
        <x:v>0.007279794452862508</x:v>
      </x:c>
      <x:c r="L1469" s="46" t="n">
        <x:v>0</x:v>
      </x:c>
      <x:c r="M1469" s="46" t="n">
        <x:v>0</x:v>
      </x:c>
      <x:c r="N1469" s="21" t="n">
        <x:f>IF(AND(L1468=1,M1468=1,P1468&gt;0),1,0)</x:f>
        <x:v>0</x:v>
      </x:c>
      <x:c r="O1469" s="21" t="n">
        <x:f>MIN('Root Data'!I445:I447)</x:f>
        <x:v>0</x:v>
      </x:c>
      <x:c r="P1469" s="44" t="n">
        <x:f>IF(AND(L1469=1,M1469=1,N1469=1,O1469&gt;=G1469),K1469,0)</x:f>
        <x:v>0</x:v>
      </x:c>
      <x:c r="Q1469" s="21" t="str">
        <x:v>OPEN</x:v>
      </x:c>
      <x:c r="R1469" s="23" t="str">
        <x:v>HOLD</x:v>
      </x:c>
    </x:row>
    <x:row r="1470">
      <x:c r="B1470" s="21" t="str">
        <x:v>AR-01464</x:v>
      </x:c>
      <x:c r="C1470" s="21" t="str">
        <x:v>F37-I3</x:v>
      </x:c>
      <x:c r="D1470" s="21" t="str">
        <x:v>F37</x:v>
      </x:c>
      <x:c r="E1470" s="21" t="n">
        <x:v>4</x:v>
      </x:c>
      <x:c r="F1470" s="21" t="str">
        <x:v>Engineering article acceptance</x:v>
      </x:c>
      <x:c r="G1470" s="21" t="n">
        <x:v>18</x:v>
      </x:c>
      <x:c r="H1470" s="21" t="str">
        <x:v>Independent Evidence and Data Authority</x:v>
      </x:c>
      <x:c r="I1470" s="44" t="n">
        <x:f>Lifecycle!G10</x:f>
        <x:v>0.05929244350747744</x:v>
      </x:c>
      <x:c r="J1470" s="44" t="n">
        <x:v>0.08499999999999999</x:v>
      </x:c>
      <x:c r="K1470" s="44" t="n">
        <x:f>I1470*J1470</x:f>
        <x:v>0.005039857698135582</x:v>
      </x:c>
      <x:c r="L1470" s="46" t="n">
        <x:v>0</x:v>
      </x:c>
      <x:c r="M1470" s="46" t="n">
        <x:v>0</x:v>
      </x:c>
      <x:c r="N1470" s="21" t="n">
        <x:f>IF(AND(L1469=1,M1469=1,P1469&gt;0),1,0)</x:f>
        <x:v>0</x:v>
      </x:c>
      <x:c r="O1470" s="21" t="n">
        <x:f>MIN('Root Data'!I445:I447)</x:f>
        <x:v>0</x:v>
      </x:c>
      <x:c r="P1470" s="44" t="n">
        <x:f>IF(AND(L1470=1,M1470=1,N1470=1,O1470&gt;=G1470),K1470,0)</x:f>
        <x:v>0</x:v>
      </x:c>
      <x:c r="Q1470" s="21" t="str">
        <x:v>OPEN</x:v>
      </x:c>
      <x:c r="R1470" s="23" t="str">
        <x:v>HOLD</x:v>
      </x:c>
    </x:row>
    <x:row r="1471">
      <x:c r="B1471" s="21" t="str">
        <x:v>AR-01465</x:v>
      </x:c>
      <x:c r="C1471" s="21" t="str">
        <x:v>F37-I3</x:v>
      </x:c>
      <x:c r="D1471" s="21" t="str">
        <x:v>F37</x:v>
      </x:c>
      <x:c r="E1471" s="21" t="n">
        <x:v>5</x:v>
      </x:c>
      <x:c r="F1471" s="21" t="str">
        <x:v>Qualification and destructive evidence</x:v>
      </x:c>
      <x:c r="G1471" s="21" t="n">
        <x:v>21</x:v>
      </x:c>
      <x:c r="H1471" s="21" t="str">
        <x:v>Independent Evidence and Data Authority</x:v>
      </x:c>
      <x:c r="I1471" s="44" t="n">
        <x:f>Lifecycle!G11</x:f>
        <x:v>0.1515251334079979</x:v>
      </x:c>
      <x:c r="J1471" s="44" t="n">
        <x:v>0.08499999999999999</x:v>
      </x:c>
      <x:c r="K1471" s="44" t="n">
        <x:f>I1471*J1471</x:f>
        <x:v>0.012879636339679819</x:v>
      </x:c>
      <x:c r="L1471" s="46" t="n">
        <x:v>0</x:v>
      </x:c>
      <x:c r="M1471" s="46" t="n">
        <x:v>0</x:v>
      </x:c>
      <x:c r="N1471" s="21" t="n">
        <x:f>IF(AND(L1470=1,M1470=1,P1470&gt;0),1,0)</x:f>
        <x:v>0</x:v>
      </x:c>
      <x:c r="O1471" s="21" t="n">
        <x:f>MIN('Root Data'!I445:I447)</x:f>
        <x:v>0</x:v>
      </x:c>
      <x:c r="P1471" s="44" t="n">
        <x:f>IF(AND(L1471=1,M1471=1,N1471=1,O1471&gt;=G1471),K1471,0)</x:f>
        <x:v>0</x:v>
      </x:c>
      <x:c r="Q1471" s="21" t="str">
        <x:v>OPEN</x:v>
      </x:c>
      <x:c r="R1471" s="23" t="str">
        <x:v>HOLD</x:v>
      </x:c>
    </x:row>
    <x:row r="1472">
      <x:c r="B1472" s="21" t="str">
        <x:v>AR-01466</x:v>
      </x:c>
      <x:c r="C1472" s="21" t="str">
        <x:v>F37-I3</x:v>
      </x:c>
      <x:c r="D1472" s="21" t="str">
        <x:v>F37</x:v>
      </x:c>
      <x:c r="E1472" s="21" t="n">
        <x:v>6</x:v>
      </x:c>
      <x:c r="F1472" s="21" t="str">
        <x:v>Representative mission result</x:v>
      </x:c>
      <x:c r="G1472" s="21" t="n">
        <x:v>23</x:v>
      </x:c>
      <x:c r="H1472" s="21" t="str">
        <x:v>Receiving Service Authority</x:v>
      </x:c>
      <x:c r="I1472" s="44" t="n">
        <x:f>Lifecycle!G12</x:f>
        <x:v>0.250345872587127</x:v>
      </x:c>
      <x:c r="J1472" s="44" t="n">
        <x:v>0.08499999999999999</x:v>
      </x:c>
      <x:c r="K1472" s="44" t="n">
        <x:f>I1472*J1472</x:f>
        <x:v>0.021279399169905792</x:v>
      </x:c>
      <x:c r="L1472" s="46" t="n">
        <x:v>0</x:v>
      </x:c>
      <x:c r="M1472" s="46" t="n">
        <x:v>0</x:v>
      </x:c>
      <x:c r="N1472" s="21" t="n">
        <x:f>IF(AND(L1471=1,M1471=1,P1471&gt;0),1,0)</x:f>
        <x:v>0</x:v>
      </x:c>
      <x:c r="O1472" s="21" t="n">
        <x:f>MIN('Root Data'!I445:I447)</x:f>
        <x:v>0</x:v>
      </x:c>
      <x:c r="P1472" s="44" t="n">
        <x:f>IF(AND(L1472=1,M1472=1,N1472=1,O1472&gt;=G1472),K1472,0)</x:f>
        <x:v>0</x:v>
      </x:c>
      <x:c r="Q1472" s="21" t="str">
        <x:v>OPEN</x:v>
      </x:c>
      <x:c r="R1472" s="23" t="str">
        <x:v>HOLD</x:v>
      </x:c>
    </x:row>
    <x:row r="1473">
      <x:c r="B1473" s="21" t="str">
        <x:v>AR-01467</x:v>
      </x:c>
      <x:c r="C1473" s="21" t="str">
        <x:v>F37-I3</x:v>
      </x:c>
      <x:c r="D1473" s="21" t="str">
        <x:v>F37</x:v>
      </x:c>
      <x:c r="E1473" s="21" t="n">
        <x:v>7</x:v>
      </x:c>
      <x:c r="F1473" s="21" t="str">
        <x:v>Independent reproduction</x:v>
      </x:c>
      <x:c r="G1473" s="21" t="n">
        <x:v>28</x:v>
      </x:c>
      <x:c r="H1473" s="21" t="str">
        <x:v>Independent Evidence and Data Authority</x:v>
      </x:c>
      <x:c r="I1473" s="44" t="n">
        <x:f>Lifecycle!G13</x:f>
        <x:v>0.21740562619408393</x:v>
      </x:c>
      <x:c r="J1473" s="44" t="n">
        <x:v>0.08499999999999999</x:v>
      </x:c>
      <x:c r="K1473" s="44" t="n">
        <x:f>I1473*J1473</x:f>
        <x:v>0.018479478226497134</x:v>
      </x:c>
      <x:c r="L1473" s="46" t="n">
        <x:v>0</x:v>
      </x:c>
      <x:c r="M1473" s="46" t="n">
        <x:v>0</x:v>
      </x:c>
      <x:c r="N1473" s="21" t="n">
        <x:f>IF(AND(L1472=1,M1472=1,P1472&gt;0),1,0)</x:f>
        <x:v>0</x:v>
      </x:c>
      <x:c r="O1473" s="21" t="n">
        <x:f>MIN('Root Data'!I445:I447)</x:f>
        <x:v>0</x:v>
      </x:c>
      <x:c r="P1473" s="44" t="n">
        <x:f>IF(AND(L1473=1,M1473=1,N1473=1,O1473&gt;=G1473),K1473,0)</x:f>
        <x:v>0</x:v>
      </x:c>
      <x:c r="Q1473" s="21" t="str">
        <x:v>OPEN</x:v>
      </x:c>
      <x:c r="R1473" s="23" t="str">
        <x:v>HOLD</x:v>
      </x:c>
    </x:row>
    <x:row r="1474">
      <x:c r="B1474" s="21" t="str">
        <x:v>AR-01468</x:v>
      </x:c>
      <x:c r="C1474" s="21" t="str">
        <x:v>F37-I3</x:v>
      </x:c>
      <x:c r="D1474" s="21" t="str">
        <x:v>F37</x:v>
      </x:c>
      <x:c r="E1474" s="21" t="n">
        <x:v>8</x:v>
      </x:c>
      <x:c r="F1474" s="21" t="str">
        <x:v>Pilot-process qualification</x:v>
      </x:c>
      <x:c r="G1474" s="21" t="n">
        <x:v>28</x:v>
      </x:c>
      <x:c r="H1474" s="21" t="str">
        <x:v>AIMC Industrial Mobilization Authority</x:v>
      </x:c>
      <x:c r="I1474" s="44" t="n">
        <x:f>Lifecycle!G14</x:f>
        <x:v>0.03952829567165163</x:v>
      </x:c>
      <x:c r="J1474" s="44" t="n">
        <x:v>0.08499999999999999</x:v>
      </x:c>
      <x:c r="K1474" s="44" t="n">
        <x:f>I1474*J1474</x:f>
        <x:v>0.003359905132090388</x:v>
      </x:c>
      <x:c r="L1474" s="46" t="n">
        <x:v>0</x:v>
      </x:c>
      <x:c r="M1474" s="46" t="n">
        <x:v>0</x:v>
      </x:c>
      <x:c r="N1474" s="21" t="n">
        <x:f>IF(AND(L1473=1,M1473=1,P1473&gt;0),1,0)</x:f>
        <x:v>0</x:v>
      </x:c>
      <x:c r="O1474" s="21" t="n">
        <x:f>MIN('Root Data'!I445:I447)</x:f>
        <x:v>0</x:v>
      </x:c>
      <x:c r="P1474" s="44" t="n">
        <x:f>IF(AND(L1474=1,M1474=1,N1474=1,O1474&gt;=G1474),K1474,0)</x:f>
        <x:v>0</x:v>
      </x:c>
      <x:c r="Q1474" s="21" t="str">
        <x:v>OPEN</x:v>
      </x:c>
      <x:c r="R1474" s="23" t="str">
        <x:v>HOLD</x:v>
      </x:c>
    </x:row>
    <x:row r="1475">
      <x:c r="B1475" s="21" t="str">
        <x:v>AR-01469</x:v>
      </x:c>
      <x:c r="C1475" s="21" t="str">
        <x:v>F37-I3</x:v>
      </x:c>
      <x:c r="D1475" s="21" t="str">
        <x:v>F37</x:v>
      </x:c>
      <x:c r="E1475" s="21" t="n">
        <x:v>9</x:v>
      </x:c>
      <x:c r="F1475" s="21" t="str">
        <x:v>Production release package</x:v>
      </x:c>
      <x:c r="G1475" s="21" t="n">
        <x:v>28</x:v>
      </x:c>
      <x:c r="H1475" s="21" t="str">
        <x:v>Production Release Board</x:v>
      </x:c>
      <x:c r="I1475" s="44" t="n">
        <x:f>Lifecycle!G15</x:f>
        <x:v>0.01647012319652151</x:v>
      </x:c>
      <x:c r="J1475" s="44" t="n">
        <x:v>0.08499999999999999</x:v>
      </x:c>
      <x:c r="K1475" s="44" t="n">
        <x:f>I1475*J1475</x:f>
        <x:v>0.0013999604717043282</x:v>
      </x:c>
      <x:c r="L1475" s="46" t="n">
        <x:v>0</x:v>
      </x:c>
      <x:c r="M1475" s="46" t="n">
        <x:v>0</x:v>
      </x:c>
      <x:c r="N1475" s="21" t="n">
        <x:f>IF(AND(L1474=1,M1474=1,P1474&gt;0),1,0)</x:f>
        <x:v>0</x:v>
      </x:c>
      <x:c r="O1475" s="21" t="n">
        <x:f>MIN('Root Data'!I445:I447)</x:f>
        <x:v>0</x:v>
      </x:c>
      <x:c r="P1475" s="44" t="n">
        <x:f>IF(AND(L1475=1,M1475=1,N1475=1,O1475&gt;=G1475),K1475,0)</x:f>
        <x:v>0</x:v>
      </x:c>
      <x:c r="Q1475" s="21" t="str">
        <x:v>OPEN</x:v>
      </x:c>
      <x:c r="R1475" s="23" t="str">
        <x:v>HOLD</x:v>
      </x:c>
    </x:row>
    <x:row r="1476">
      <x:c r="B1476" s="21" t="str">
        <x:v>AR-01470</x:v>
      </x:c>
      <x:c r="C1476" s="21" t="str">
        <x:v>F37-I3</x:v>
      </x:c>
      <x:c r="D1476" s="21" t="str">
        <x:v>F37</x:v>
      </x:c>
      <x:c r="E1476" s="21" t="n">
        <x:v>10</x:v>
      </x:c>
      <x:c r="F1476" s="21" t="str">
        <x:v>Mobilization activation</x:v>
      </x:c>
      <x:c r="G1476" s="21" t="n">
        <x:v>28</x:v>
      </x:c>
      <x:c r="H1476" s="21" t="str">
        <x:v>Production Release Board</x:v>
      </x:c>
      <x:c r="I1476" s="44" t="n">
        <x:f>Lifecycle!G16</x:f>
        <x:v>0.028262731405230914</x:v>
      </x:c>
      <x:c r="J1476" s="44" t="n">
        <x:v>0.08499999999999999</x:v>
      </x:c>
      <x:c r="K1476" s="44" t="n">
        <x:f>I1476*J1476</x:f>
        <x:v>0.0024023321694446277</x:v>
      </x:c>
      <x:c r="L1476" s="46" t="n">
        <x:v>0</x:v>
      </x:c>
      <x:c r="M1476" s="46" t="n">
        <x:v>0</x:v>
      </x:c>
      <x:c r="N1476" s="21" t="n">
        <x:f>IF(AND(L1475=1,M1475=1,P1475&gt;0),1,0)</x:f>
        <x:v>0</x:v>
      </x:c>
      <x:c r="O1476" s="21" t="n">
        <x:f>MIN('Root Data'!I445:I447)</x:f>
        <x:v>0</x:v>
      </x:c>
      <x:c r="P1476" s="44" t="n">
        <x:f>IF(AND(L1476=1,M1476=1,N1476=1,O1476&gt;=G1476),K1476,0)</x:f>
        <x:v>0</x:v>
      </x:c>
      <x:c r="Q1476" s="21" t="str">
        <x:v>OPEN</x:v>
      </x:c>
      <x:c r="R1476" s="23" t="str">
        <x:v>HOLD</x:v>
      </x:c>
    </x:row>
    <x:row r="1477">
      <x:c r="B1477" s="21" t="str">
        <x:v>AR-01471</x:v>
      </x:c>
      <x:c r="C1477" s="21" t="str">
        <x:v>F37-I4</x:v>
      </x:c>
      <x:c r="D1477" s="21" t="str">
        <x:v>F37</x:v>
      </x:c>
      <x:c r="E1477" s="21" t="n">
        <x:v>1</x:v>
      </x:c>
      <x:c r="F1477" s="21" t="str">
        <x:v>Civil effect charter</x:v>
      </x:c>
      <x:c r="G1477" s="21" t="n">
        <x:v>0</x:v>
      </x:c>
      <x:c r="H1477" s="21" t="str">
        <x:v>Civil Guarantee Authority</x:v>
      </x:c>
      <x:c r="I1477" s="44" t="n">
        <x:f>Lifecycle!G7</x:f>
        <x:v>0.04941036958956453</x:v>
      </x:c>
      <x:c r="J1477" s="44" t="n">
        <x:v>0.08499999999999999</x:v>
      </x:c>
      <x:c r="K1477" s="44" t="n">
        <x:f>I1477*J1477</x:f>
        <x:v>0.004199881415112985</x:v>
      </x:c>
      <x:c r="L1477" s="46" t="n">
        <x:v>0</x:v>
      </x:c>
      <x:c r="M1477" s="46" t="n">
        <x:v>0</x:v>
      </x:c>
      <x:c r="N1477" s="21" t="n">
        <x:f>1</x:f>
        <x:v>1</x:v>
      </x:c>
      <x:c r="O1477" s="21" t="n">
        <x:f>MIN('Root Data'!I448:I450)</x:f>
        <x:v>0</x:v>
      </x:c>
      <x:c r="P1477" s="44" t="n">
        <x:f>IF(AND(L1477=1,M1477=1,N1477=1,O1477&gt;=G1477),K1477,0)</x:f>
        <x:v>0</x:v>
      </x:c>
      <x:c r="Q1477" s="21" t="str">
        <x:v>OPEN</x:v>
      </x:c>
      <x:c r="R1477" s="23" t="str">
        <x:v>HOLD</x:v>
      </x:c>
    </x:row>
    <x:row r="1478">
      <x:c r="B1478" s="21" t="str">
        <x:v>AR-01472</x:v>
      </x:c>
      <x:c r="C1478" s="21" t="str">
        <x:v>F37-I4</x:v>
      </x:c>
      <x:c r="D1478" s="21" t="str">
        <x:v>F37</x:v>
      </x:c>
      <x:c r="E1478" s="21" t="n">
        <x:v>2</x:v>
      </x:c>
      <x:c r="F1478" s="21" t="str">
        <x:v>Requirement and root-independence package</x:v>
      </x:c>
      <x:c r="G1478" s="21" t="n">
        <x:v>8</x:v>
      </x:c>
      <x:c r="H1478" s="21" t="str">
        <x:v>Resilience Staff</x:v>
      </x:c>
      <x:c r="I1478" s="44" t="n">
        <x:f>Lifecycle!G8</x:f>
        <x:v>0.10211476381843337</x:v>
      </x:c>
      <x:c r="J1478" s="44" t="n">
        <x:v>0.08499999999999999</x:v>
      </x:c>
      <x:c r="K1478" s="44" t="n">
        <x:f>I1478*J1478</x:f>
        <x:v>0.008679754924566836</x:v>
      </x:c>
      <x:c r="L1478" s="46" t="n">
        <x:v>0</x:v>
      </x:c>
      <x:c r="M1478" s="46" t="n">
        <x:v>0</x:v>
      </x:c>
      <x:c r="N1478" s="21" t="n">
        <x:f>IF(AND(L1477=1,M1477=1,P1477&gt;0),1,0)</x:f>
        <x:v>0</x:v>
      </x:c>
      <x:c r="O1478" s="21" t="n">
        <x:f>MIN('Root Data'!I448:I450)</x:f>
        <x:v>0</x:v>
      </x:c>
      <x:c r="P1478" s="44" t="n">
        <x:f>IF(AND(L1478=1,M1478=1,N1478=1,O1478&gt;=G1478),K1478,0)</x:f>
        <x:v>0</x:v>
      </x:c>
      <x:c r="Q1478" s="21" t="str">
        <x:v>OPEN</x:v>
      </x:c>
      <x:c r="R1478" s="23" t="str">
        <x:v>HOLD</x:v>
      </x:c>
    </x:row>
    <x:row r="1479">
      <x:c r="B1479" s="21" t="str">
        <x:v>AR-01473</x:v>
      </x:c>
      <x:c r="C1479" s="21" t="str">
        <x:v>F37-I4</x:v>
      </x:c>
      <x:c r="D1479" s="21" t="str">
        <x:v>F37</x:v>
      </x:c>
      <x:c r="E1479" s="21" t="n">
        <x:v>3</x:v>
      </x:c>
      <x:c r="F1479" s="21" t="str">
        <x:v>Architecture and burden closure</x:v>
      </x:c>
      <x:c r="G1479" s="21" t="n">
        <x:v>14</x:v>
      </x:c>
      <x:c r="H1479" s="21" t="str">
        <x:v>Independent Evidence and Data Authority</x:v>
      </x:c>
      <x:c r="I1479" s="44" t="n">
        <x:f>Lifecycle!G9</x:f>
        <x:v>0.08564464062191186</x:v>
      </x:c>
      <x:c r="J1479" s="44" t="n">
        <x:v>0.08499999999999999</x:v>
      </x:c>
      <x:c r="K1479" s="44" t="n">
        <x:f>I1479*J1479</x:f>
        <x:v>0.007279794452862508</x:v>
      </x:c>
      <x:c r="L1479" s="46" t="n">
        <x:v>0</x:v>
      </x:c>
      <x:c r="M1479" s="46" t="n">
        <x:v>0</x:v>
      </x:c>
      <x:c r="N1479" s="21" t="n">
        <x:f>IF(AND(L1478=1,M1478=1,P1478&gt;0),1,0)</x:f>
        <x:v>0</x:v>
      </x:c>
      <x:c r="O1479" s="21" t="n">
        <x:f>MIN('Root Data'!I448:I450)</x:f>
        <x:v>0</x:v>
      </x:c>
      <x:c r="P1479" s="44" t="n">
        <x:f>IF(AND(L1479=1,M1479=1,N1479=1,O1479&gt;=G1479),K1479,0)</x:f>
        <x:v>0</x:v>
      </x:c>
      <x:c r="Q1479" s="21" t="str">
        <x:v>OPEN</x:v>
      </x:c>
      <x:c r="R1479" s="23" t="str">
        <x:v>HOLD</x:v>
      </x:c>
    </x:row>
    <x:row r="1480">
      <x:c r="B1480" s="21" t="str">
        <x:v>AR-01474</x:v>
      </x:c>
      <x:c r="C1480" s="21" t="str">
        <x:v>F37-I4</x:v>
      </x:c>
      <x:c r="D1480" s="21" t="str">
        <x:v>F37</x:v>
      </x:c>
      <x:c r="E1480" s="21" t="n">
        <x:v>4</x:v>
      </x:c>
      <x:c r="F1480" s="21" t="str">
        <x:v>Engineering article acceptance</x:v>
      </x:c>
      <x:c r="G1480" s="21" t="n">
        <x:v>18</x:v>
      </x:c>
      <x:c r="H1480" s="21" t="str">
        <x:v>Independent Evidence and Data Authority</x:v>
      </x:c>
      <x:c r="I1480" s="44" t="n">
        <x:f>Lifecycle!G10</x:f>
        <x:v>0.05929244350747744</x:v>
      </x:c>
      <x:c r="J1480" s="44" t="n">
        <x:v>0.08499999999999999</x:v>
      </x:c>
      <x:c r="K1480" s="44" t="n">
        <x:f>I1480*J1480</x:f>
        <x:v>0.005039857698135582</x:v>
      </x:c>
      <x:c r="L1480" s="46" t="n">
        <x:v>0</x:v>
      </x:c>
      <x:c r="M1480" s="46" t="n">
        <x:v>0</x:v>
      </x:c>
      <x:c r="N1480" s="21" t="n">
        <x:f>IF(AND(L1479=1,M1479=1,P1479&gt;0),1,0)</x:f>
        <x:v>0</x:v>
      </x:c>
      <x:c r="O1480" s="21" t="n">
        <x:f>MIN('Root Data'!I448:I450)</x:f>
        <x:v>0</x:v>
      </x:c>
      <x:c r="P1480" s="44" t="n">
        <x:f>IF(AND(L1480=1,M1480=1,N1480=1,O1480&gt;=G1480),K1480,0)</x:f>
        <x:v>0</x:v>
      </x:c>
      <x:c r="Q1480" s="21" t="str">
        <x:v>OPEN</x:v>
      </x:c>
      <x:c r="R1480" s="23" t="str">
        <x:v>HOLD</x:v>
      </x:c>
    </x:row>
    <x:row r="1481">
      <x:c r="B1481" s="21" t="str">
        <x:v>AR-01475</x:v>
      </x:c>
      <x:c r="C1481" s="21" t="str">
        <x:v>F37-I4</x:v>
      </x:c>
      <x:c r="D1481" s="21" t="str">
        <x:v>F37</x:v>
      </x:c>
      <x:c r="E1481" s="21" t="n">
        <x:v>5</x:v>
      </x:c>
      <x:c r="F1481" s="21" t="str">
        <x:v>Qualification and destructive evidence</x:v>
      </x:c>
      <x:c r="G1481" s="21" t="n">
        <x:v>21</x:v>
      </x:c>
      <x:c r="H1481" s="21" t="str">
        <x:v>Independent Evidence and Data Authority</x:v>
      </x:c>
      <x:c r="I1481" s="44" t="n">
        <x:f>Lifecycle!G11</x:f>
        <x:v>0.1515251334079979</x:v>
      </x:c>
      <x:c r="J1481" s="44" t="n">
        <x:v>0.08499999999999999</x:v>
      </x:c>
      <x:c r="K1481" s="44" t="n">
        <x:f>I1481*J1481</x:f>
        <x:v>0.012879636339679819</x:v>
      </x:c>
      <x:c r="L1481" s="46" t="n">
        <x:v>0</x:v>
      </x:c>
      <x:c r="M1481" s="46" t="n">
        <x:v>0</x:v>
      </x:c>
      <x:c r="N1481" s="21" t="n">
        <x:f>IF(AND(L1480=1,M1480=1,P1480&gt;0),1,0)</x:f>
        <x:v>0</x:v>
      </x:c>
      <x:c r="O1481" s="21" t="n">
        <x:f>MIN('Root Data'!I448:I450)</x:f>
        <x:v>0</x:v>
      </x:c>
      <x:c r="P1481" s="44" t="n">
        <x:f>IF(AND(L1481=1,M1481=1,N1481=1,O1481&gt;=G1481),K1481,0)</x:f>
        <x:v>0</x:v>
      </x:c>
      <x:c r="Q1481" s="21" t="str">
        <x:v>OPEN</x:v>
      </x:c>
      <x:c r="R1481" s="23" t="str">
        <x:v>HOLD</x:v>
      </x:c>
    </x:row>
    <x:row r="1482">
      <x:c r="B1482" s="21" t="str">
        <x:v>AR-01476</x:v>
      </x:c>
      <x:c r="C1482" s="21" t="str">
        <x:v>F37-I4</x:v>
      </x:c>
      <x:c r="D1482" s="21" t="str">
        <x:v>F37</x:v>
      </x:c>
      <x:c r="E1482" s="21" t="n">
        <x:v>6</x:v>
      </x:c>
      <x:c r="F1482" s="21" t="str">
        <x:v>Representative mission result</x:v>
      </x:c>
      <x:c r="G1482" s="21" t="n">
        <x:v>23</x:v>
      </x:c>
      <x:c r="H1482" s="21" t="str">
        <x:v>Receiving Service Authority</x:v>
      </x:c>
      <x:c r="I1482" s="44" t="n">
        <x:f>Lifecycle!G12</x:f>
        <x:v>0.250345872587127</x:v>
      </x:c>
      <x:c r="J1482" s="44" t="n">
        <x:v>0.08499999999999999</x:v>
      </x:c>
      <x:c r="K1482" s="44" t="n">
        <x:f>I1482*J1482</x:f>
        <x:v>0.021279399169905792</x:v>
      </x:c>
      <x:c r="L1482" s="46" t="n">
        <x:v>0</x:v>
      </x:c>
      <x:c r="M1482" s="46" t="n">
        <x:v>0</x:v>
      </x:c>
      <x:c r="N1482" s="21" t="n">
        <x:f>IF(AND(L1481=1,M1481=1,P1481&gt;0),1,0)</x:f>
        <x:v>0</x:v>
      </x:c>
      <x:c r="O1482" s="21" t="n">
        <x:f>MIN('Root Data'!I448:I450)</x:f>
        <x:v>0</x:v>
      </x:c>
      <x:c r="P1482" s="44" t="n">
        <x:f>IF(AND(L1482=1,M1482=1,N1482=1,O1482&gt;=G1482),K1482,0)</x:f>
        <x:v>0</x:v>
      </x:c>
      <x:c r="Q1482" s="21" t="str">
        <x:v>OPEN</x:v>
      </x:c>
      <x:c r="R1482" s="23" t="str">
        <x:v>HOLD</x:v>
      </x:c>
    </x:row>
    <x:row r="1483">
      <x:c r="B1483" s="21" t="str">
        <x:v>AR-01477</x:v>
      </x:c>
      <x:c r="C1483" s="21" t="str">
        <x:v>F37-I4</x:v>
      </x:c>
      <x:c r="D1483" s="21" t="str">
        <x:v>F37</x:v>
      </x:c>
      <x:c r="E1483" s="21" t="n">
        <x:v>7</x:v>
      </x:c>
      <x:c r="F1483" s="21" t="str">
        <x:v>Independent reproduction</x:v>
      </x:c>
      <x:c r="G1483" s="21" t="n">
        <x:v>28</x:v>
      </x:c>
      <x:c r="H1483" s="21" t="str">
        <x:v>Independent Evidence and Data Authority</x:v>
      </x:c>
      <x:c r="I1483" s="44" t="n">
        <x:f>Lifecycle!G13</x:f>
        <x:v>0.21740562619408393</x:v>
      </x:c>
      <x:c r="J1483" s="44" t="n">
        <x:v>0.08499999999999999</x:v>
      </x:c>
      <x:c r="K1483" s="44" t="n">
        <x:f>I1483*J1483</x:f>
        <x:v>0.018479478226497134</x:v>
      </x:c>
      <x:c r="L1483" s="46" t="n">
        <x:v>0</x:v>
      </x:c>
      <x:c r="M1483" s="46" t="n">
        <x:v>0</x:v>
      </x:c>
      <x:c r="N1483" s="21" t="n">
        <x:f>IF(AND(L1482=1,M1482=1,P1482&gt;0),1,0)</x:f>
        <x:v>0</x:v>
      </x:c>
      <x:c r="O1483" s="21" t="n">
        <x:f>MIN('Root Data'!I448:I450)</x:f>
        <x:v>0</x:v>
      </x:c>
      <x:c r="P1483" s="44" t="n">
        <x:f>IF(AND(L1483=1,M1483=1,N1483=1,O1483&gt;=G1483),K1483,0)</x:f>
        <x:v>0</x:v>
      </x:c>
      <x:c r="Q1483" s="21" t="str">
        <x:v>OPEN</x:v>
      </x:c>
      <x:c r="R1483" s="23" t="str">
        <x:v>HOLD</x:v>
      </x:c>
    </x:row>
    <x:row r="1484">
      <x:c r="B1484" s="21" t="str">
        <x:v>AR-01478</x:v>
      </x:c>
      <x:c r="C1484" s="21" t="str">
        <x:v>F37-I4</x:v>
      </x:c>
      <x:c r="D1484" s="21" t="str">
        <x:v>F37</x:v>
      </x:c>
      <x:c r="E1484" s="21" t="n">
        <x:v>8</x:v>
      </x:c>
      <x:c r="F1484" s="21" t="str">
        <x:v>Pilot-process qualification</x:v>
      </x:c>
      <x:c r="G1484" s="21" t="n">
        <x:v>28</x:v>
      </x:c>
      <x:c r="H1484" s="21" t="str">
        <x:v>AIMC Industrial Mobilization Authority</x:v>
      </x:c>
      <x:c r="I1484" s="44" t="n">
        <x:f>Lifecycle!G14</x:f>
        <x:v>0.03952829567165163</x:v>
      </x:c>
      <x:c r="J1484" s="44" t="n">
        <x:v>0.08499999999999999</x:v>
      </x:c>
      <x:c r="K1484" s="44" t="n">
        <x:f>I1484*J1484</x:f>
        <x:v>0.003359905132090388</x:v>
      </x:c>
      <x:c r="L1484" s="46" t="n">
        <x:v>0</x:v>
      </x:c>
      <x:c r="M1484" s="46" t="n">
        <x:v>0</x:v>
      </x:c>
      <x:c r="N1484" s="21" t="n">
        <x:f>IF(AND(L1483=1,M1483=1,P1483&gt;0),1,0)</x:f>
        <x:v>0</x:v>
      </x:c>
      <x:c r="O1484" s="21" t="n">
        <x:f>MIN('Root Data'!I448:I450)</x:f>
        <x:v>0</x:v>
      </x:c>
      <x:c r="P1484" s="44" t="n">
        <x:f>IF(AND(L1484=1,M1484=1,N1484=1,O1484&gt;=G1484),K1484,0)</x:f>
        <x:v>0</x:v>
      </x:c>
      <x:c r="Q1484" s="21" t="str">
        <x:v>OPEN</x:v>
      </x:c>
      <x:c r="R1484" s="23" t="str">
        <x:v>HOLD</x:v>
      </x:c>
    </x:row>
    <x:row r="1485">
      <x:c r="B1485" s="21" t="str">
        <x:v>AR-01479</x:v>
      </x:c>
      <x:c r="C1485" s="21" t="str">
        <x:v>F37-I4</x:v>
      </x:c>
      <x:c r="D1485" s="21" t="str">
        <x:v>F37</x:v>
      </x:c>
      <x:c r="E1485" s="21" t="n">
        <x:v>9</x:v>
      </x:c>
      <x:c r="F1485" s="21" t="str">
        <x:v>Production release package</x:v>
      </x:c>
      <x:c r="G1485" s="21" t="n">
        <x:v>28</x:v>
      </x:c>
      <x:c r="H1485" s="21" t="str">
        <x:v>Production Release Board</x:v>
      </x:c>
      <x:c r="I1485" s="44" t="n">
        <x:f>Lifecycle!G15</x:f>
        <x:v>0.01647012319652151</x:v>
      </x:c>
      <x:c r="J1485" s="44" t="n">
        <x:v>0.08499999999999999</x:v>
      </x:c>
      <x:c r="K1485" s="44" t="n">
        <x:f>I1485*J1485</x:f>
        <x:v>0.0013999604717043282</x:v>
      </x:c>
      <x:c r="L1485" s="46" t="n">
        <x:v>0</x:v>
      </x:c>
      <x:c r="M1485" s="46" t="n">
        <x:v>0</x:v>
      </x:c>
      <x:c r="N1485" s="21" t="n">
        <x:f>IF(AND(L1484=1,M1484=1,P1484&gt;0),1,0)</x:f>
        <x:v>0</x:v>
      </x:c>
      <x:c r="O1485" s="21" t="n">
        <x:f>MIN('Root Data'!I448:I450)</x:f>
        <x:v>0</x:v>
      </x:c>
      <x:c r="P1485" s="44" t="n">
        <x:f>IF(AND(L1485=1,M1485=1,N1485=1,O1485&gt;=G1485),K1485,0)</x:f>
        <x:v>0</x:v>
      </x:c>
      <x:c r="Q1485" s="21" t="str">
        <x:v>OPEN</x:v>
      </x:c>
      <x:c r="R1485" s="23" t="str">
        <x:v>HOLD</x:v>
      </x:c>
    </x:row>
    <x:row r="1486">
      <x:c r="B1486" s="21" t="str">
        <x:v>AR-01480</x:v>
      </x:c>
      <x:c r="C1486" s="21" t="str">
        <x:v>F37-I4</x:v>
      </x:c>
      <x:c r="D1486" s="21" t="str">
        <x:v>F37</x:v>
      </x:c>
      <x:c r="E1486" s="21" t="n">
        <x:v>10</x:v>
      </x:c>
      <x:c r="F1486" s="21" t="str">
        <x:v>Mobilization activation</x:v>
      </x:c>
      <x:c r="G1486" s="21" t="n">
        <x:v>28</x:v>
      </x:c>
      <x:c r="H1486" s="21" t="str">
        <x:v>Production Release Board</x:v>
      </x:c>
      <x:c r="I1486" s="44" t="n">
        <x:f>Lifecycle!G16</x:f>
        <x:v>0.028262731405230914</x:v>
      </x:c>
      <x:c r="J1486" s="44" t="n">
        <x:v>0.08499999999999999</x:v>
      </x:c>
      <x:c r="K1486" s="44" t="n">
        <x:f>I1486*J1486</x:f>
        <x:v>0.0024023321694446277</x:v>
      </x:c>
      <x:c r="L1486" s="46" t="n">
        <x:v>0</x:v>
      </x:c>
      <x:c r="M1486" s="46" t="n">
        <x:v>0</x:v>
      </x:c>
      <x:c r="N1486" s="21" t="n">
        <x:f>IF(AND(L1485=1,M1485=1,P1485&gt;0),1,0)</x:f>
        <x:v>0</x:v>
      </x:c>
      <x:c r="O1486" s="21" t="n">
        <x:f>MIN('Root Data'!I448:I450)</x:f>
        <x:v>0</x:v>
      </x:c>
      <x:c r="P1486" s="44" t="n">
        <x:f>IF(AND(L1486=1,M1486=1,N1486=1,O1486&gt;=G1486),K1486,0)</x:f>
        <x:v>0</x:v>
      </x:c>
      <x:c r="Q1486" s="21" t="str">
        <x:v>OPEN</x:v>
      </x:c>
      <x:c r="R1486" s="23" t="str">
        <x:v>HOLD</x:v>
      </x:c>
    </x:row>
    <x:row r="1487">
      <x:c r="B1487" s="21" t="str">
        <x:v>AR-01481</x:v>
      </x:c>
      <x:c r="C1487" s="21" t="str">
        <x:v>F38-I1</x:v>
      </x:c>
      <x:c r="D1487" s="21" t="str">
        <x:v>F38</x:v>
      </x:c>
      <x:c r="E1487" s="21" t="n">
        <x:v>1</x:v>
      </x:c>
      <x:c r="F1487" s="21" t="str">
        <x:v>Civil effect charter</x:v>
      </x:c>
      <x:c r="G1487" s="21" t="n">
        <x:v>0</x:v>
      </x:c>
      <x:c r="H1487" s="21" t="str">
        <x:v>Civil Guarantee Authority</x:v>
      </x:c>
      <x:c r="I1487" s="44" t="n">
        <x:f>Lifecycle!G7</x:f>
        <x:v>0.04941036958956453</x:v>
      </x:c>
      <x:c r="J1487" s="44" t="n">
        <x:v>0.08499999999999999</x:v>
      </x:c>
      <x:c r="K1487" s="44" t="n">
        <x:f>I1487*J1487</x:f>
        <x:v>0.004199881415112985</x:v>
      </x:c>
      <x:c r="L1487" s="46" t="n">
        <x:v>0</x:v>
      </x:c>
      <x:c r="M1487" s="46" t="n">
        <x:v>0</x:v>
      </x:c>
      <x:c r="N1487" s="21" t="n">
        <x:f>1</x:f>
        <x:v>1</x:v>
      </x:c>
      <x:c r="O1487" s="21" t="n">
        <x:f>MIN('Root Data'!I451:I453)</x:f>
        <x:v>0</x:v>
      </x:c>
      <x:c r="P1487" s="44" t="n">
        <x:f>IF(AND(L1487=1,M1487=1,N1487=1,O1487&gt;=G1487),K1487,0)</x:f>
        <x:v>0</x:v>
      </x:c>
      <x:c r="Q1487" s="21" t="str">
        <x:v>OPEN</x:v>
      </x:c>
      <x:c r="R1487" s="23" t="str">
        <x:v>HOLD</x:v>
      </x:c>
    </x:row>
    <x:row r="1488">
      <x:c r="B1488" s="21" t="str">
        <x:v>AR-01482</x:v>
      </x:c>
      <x:c r="C1488" s="21" t="str">
        <x:v>F38-I1</x:v>
      </x:c>
      <x:c r="D1488" s="21" t="str">
        <x:v>F38</x:v>
      </x:c>
      <x:c r="E1488" s="21" t="n">
        <x:v>2</x:v>
      </x:c>
      <x:c r="F1488" s="21" t="str">
        <x:v>Requirement and root-independence package</x:v>
      </x:c>
      <x:c r="G1488" s="21" t="n">
        <x:v>8</x:v>
      </x:c>
      <x:c r="H1488" s="21" t="str">
        <x:v>Resilience Staff</x:v>
      </x:c>
      <x:c r="I1488" s="44" t="n">
        <x:f>Lifecycle!G8</x:f>
        <x:v>0.10211476381843337</x:v>
      </x:c>
      <x:c r="J1488" s="44" t="n">
        <x:v>0.08499999999999999</x:v>
      </x:c>
      <x:c r="K1488" s="44" t="n">
        <x:f>I1488*J1488</x:f>
        <x:v>0.008679754924566836</x:v>
      </x:c>
      <x:c r="L1488" s="46" t="n">
        <x:v>0</x:v>
      </x:c>
      <x:c r="M1488" s="46" t="n">
        <x:v>0</x:v>
      </x:c>
      <x:c r="N1488" s="21" t="n">
        <x:f>IF(AND(L1487=1,M1487=1,P1487&gt;0),1,0)</x:f>
        <x:v>0</x:v>
      </x:c>
      <x:c r="O1488" s="21" t="n">
        <x:f>MIN('Root Data'!I451:I453)</x:f>
        <x:v>0</x:v>
      </x:c>
      <x:c r="P1488" s="44" t="n">
        <x:f>IF(AND(L1488=1,M1488=1,N1488=1,O1488&gt;=G1488),K1488,0)</x:f>
        <x:v>0</x:v>
      </x:c>
      <x:c r="Q1488" s="21" t="str">
        <x:v>OPEN</x:v>
      </x:c>
      <x:c r="R1488" s="23" t="str">
        <x:v>HOLD</x:v>
      </x:c>
    </x:row>
    <x:row r="1489">
      <x:c r="B1489" s="21" t="str">
        <x:v>AR-01483</x:v>
      </x:c>
      <x:c r="C1489" s="21" t="str">
        <x:v>F38-I1</x:v>
      </x:c>
      <x:c r="D1489" s="21" t="str">
        <x:v>F38</x:v>
      </x:c>
      <x:c r="E1489" s="21" t="n">
        <x:v>3</x:v>
      </x:c>
      <x:c r="F1489" s="21" t="str">
        <x:v>Architecture and burden closure</x:v>
      </x:c>
      <x:c r="G1489" s="21" t="n">
        <x:v>14</x:v>
      </x:c>
      <x:c r="H1489" s="21" t="str">
        <x:v>Independent Evidence and Data Authority</x:v>
      </x:c>
      <x:c r="I1489" s="44" t="n">
        <x:f>Lifecycle!G9</x:f>
        <x:v>0.08564464062191186</x:v>
      </x:c>
      <x:c r="J1489" s="44" t="n">
        <x:v>0.08499999999999999</x:v>
      </x:c>
      <x:c r="K1489" s="44" t="n">
        <x:f>I1489*J1489</x:f>
        <x:v>0.007279794452862508</x:v>
      </x:c>
      <x:c r="L1489" s="46" t="n">
        <x:v>0</x:v>
      </x:c>
      <x:c r="M1489" s="46" t="n">
        <x:v>0</x:v>
      </x:c>
      <x:c r="N1489" s="21" t="n">
        <x:f>IF(AND(L1488=1,M1488=1,P1488&gt;0),1,0)</x:f>
        <x:v>0</x:v>
      </x:c>
      <x:c r="O1489" s="21" t="n">
        <x:f>MIN('Root Data'!I451:I453)</x:f>
        <x:v>0</x:v>
      </x:c>
      <x:c r="P1489" s="44" t="n">
        <x:f>IF(AND(L1489=1,M1489=1,N1489=1,O1489&gt;=G1489),K1489,0)</x:f>
        <x:v>0</x:v>
      </x:c>
      <x:c r="Q1489" s="21" t="str">
        <x:v>OPEN</x:v>
      </x:c>
      <x:c r="R1489" s="23" t="str">
        <x:v>HOLD</x:v>
      </x:c>
    </x:row>
    <x:row r="1490">
      <x:c r="B1490" s="21" t="str">
        <x:v>AR-01484</x:v>
      </x:c>
      <x:c r="C1490" s="21" t="str">
        <x:v>F38-I1</x:v>
      </x:c>
      <x:c r="D1490" s="21" t="str">
        <x:v>F38</x:v>
      </x:c>
      <x:c r="E1490" s="21" t="n">
        <x:v>4</x:v>
      </x:c>
      <x:c r="F1490" s="21" t="str">
        <x:v>Engineering article acceptance</x:v>
      </x:c>
      <x:c r="G1490" s="21" t="n">
        <x:v>18</x:v>
      </x:c>
      <x:c r="H1490" s="21" t="str">
        <x:v>Independent Evidence and Data Authority</x:v>
      </x:c>
      <x:c r="I1490" s="44" t="n">
        <x:f>Lifecycle!G10</x:f>
        <x:v>0.05929244350747744</x:v>
      </x:c>
      <x:c r="J1490" s="44" t="n">
        <x:v>0.08499999999999999</x:v>
      </x:c>
      <x:c r="K1490" s="44" t="n">
        <x:f>I1490*J1490</x:f>
        <x:v>0.005039857698135582</x:v>
      </x:c>
      <x:c r="L1490" s="46" t="n">
        <x:v>0</x:v>
      </x:c>
      <x:c r="M1490" s="46" t="n">
        <x:v>0</x:v>
      </x:c>
      <x:c r="N1490" s="21" t="n">
        <x:f>IF(AND(L1489=1,M1489=1,P1489&gt;0),1,0)</x:f>
        <x:v>0</x:v>
      </x:c>
      <x:c r="O1490" s="21" t="n">
        <x:f>MIN('Root Data'!I451:I453)</x:f>
        <x:v>0</x:v>
      </x:c>
      <x:c r="P1490" s="44" t="n">
        <x:f>IF(AND(L1490=1,M1490=1,N1490=1,O1490&gt;=G1490),K1490,0)</x:f>
        <x:v>0</x:v>
      </x:c>
      <x:c r="Q1490" s="21" t="str">
        <x:v>OPEN</x:v>
      </x:c>
      <x:c r="R1490" s="23" t="str">
        <x:v>HOLD</x:v>
      </x:c>
    </x:row>
    <x:row r="1491">
      <x:c r="B1491" s="21" t="str">
        <x:v>AR-01485</x:v>
      </x:c>
      <x:c r="C1491" s="21" t="str">
        <x:v>F38-I1</x:v>
      </x:c>
      <x:c r="D1491" s="21" t="str">
        <x:v>F38</x:v>
      </x:c>
      <x:c r="E1491" s="21" t="n">
        <x:v>5</x:v>
      </x:c>
      <x:c r="F1491" s="21" t="str">
        <x:v>Qualification and destructive evidence</x:v>
      </x:c>
      <x:c r="G1491" s="21" t="n">
        <x:v>21</x:v>
      </x:c>
      <x:c r="H1491" s="21" t="str">
        <x:v>Independent Evidence and Data Authority</x:v>
      </x:c>
      <x:c r="I1491" s="44" t="n">
        <x:f>Lifecycle!G11</x:f>
        <x:v>0.1515251334079979</x:v>
      </x:c>
      <x:c r="J1491" s="44" t="n">
        <x:v>0.08499999999999999</x:v>
      </x:c>
      <x:c r="K1491" s="44" t="n">
        <x:f>I1491*J1491</x:f>
        <x:v>0.012879636339679819</x:v>
      </x:c>
      <x:c r="L1491" s="46" t="n">
        <x:v>0</x:v>
      </x:c>
      <x:c r="M1491" s="46" t="n">
        <x:v>0</x:v>
      </x:c>
      <x:c r="N1491" s="21" t="n">
        <x:f>IF(AND(L1490=1,M1490=1,P1490&gt;0),1,0)</x:f>
        <x:v>0</x:v>
      </x:c>
      <x:c r="O1491" s="21" t="n">
        <x:f>MIN('Root Data'!I451:I453)</x:f>
        <x:v>0</x:v>
      </x:c>
      <x:c r="P1491" s="44" t="n">
        <x:f>IF(AND(L1491=1,M1491=1,N1491=1,O1491&gt;=G1491),K1491,0)</x:f>
        <x:v>0</x:v>
      </x:c>
      <x:c r="Q1491" s="21" t="str">
        <x:v>OPEN</x:v>
      </x:c>
      <x:c r="R1491" s="23" t="str">
        <x:v>HOLD</x:v>
      </x:c>
    </x:row>
    <x:row r="1492">
      <x:c r="B1492" s="21" t="str">
        <x:v>AR-01486</x:v>
      </x:c>
      <x:c r="C1492" s="21" t="str">
        <x:v>F38-I1</x:v>
      </x:c>
      <x:c r="D1492" s="21" t="str">
        <x:v>F38</x:v>
      </x:c>
      <x:c r="E1492" s="21" t="n">
        <x:v>6</x:v>
      </x:c>
      <x:c r="F1492" s="21" t="str">
        <x:v>Representative mission result</x:v>
      </x:c>
      <x:c r="G1492" s="21" t="n">
        <x:v>23</x:v>
      </x:c>
      <x:c r="H1492" s="21" t="str">
        <x:v>Receiving Service Authority</x:v>
      </x:c>
      <x:c r="I1492" s="44" t="n">
        <x:f>Lifecycle!G12</x:f>
        <x:v>0.250345872587127</x:v>
      </x:c>
      <x:c r="J1492" s="44" t="n">
        <x:v>0.08499999999999999</x:v>
      </x:c>
      <x:c r="K1492" s="44" t="n">
        <x:f>I1492*J1492</x:f>
        <x:v>0.021279399169905792</x:v>
      </x:c>
      <x:c r="L1492" s="46" t="n">
        <x:v>0</x:v>
      </x:c>
      <x:c r="M1492" s="46" t="n">
        <x:v>0</x:v>
      </x:c>
      <x:c r="N1492" s="21" t="n">
        <x:f>IF(AND(L1491=1,M1491=1,P1491&gt;0),1,0)</x:f>
        <x:v>0</x:v>
      </x:c>
      <x:c r="O1492" s="21" t="n">
        <x:f>MIN('Root Data'!I451:I453)</x:f>
        <x:v>0</x:v>
      </x:c>
      <x:c r="P1492" s="44" t="n">
        <x:f>IF(AND(L1492=1,M1492=1,N1492=1,O1492&gt;=G1492),K1492,0)</x:f>
        <x:v>0</x:v>
      </x:c>
      <x:c r="Q1492" s="21" t="str">
        <x:v>OPEN</x:v>
      </x:c>
      <x:c r="R1492" s="23" t="str">
        <x:v>HOLD</x:v>
      </x:c>
    </x:row>
    <x:row r="1493">
      <x:c r="B1493" s="21" t="str">
        <x:v>AR-01487</x:v>
      </x:c>
      <x:c r="C1493" s="21" t="str">
        <x:v>F38-I1</x:v>
      </x:c>
      <x:c r="D1493" s="21" t="str">
        <x:v>F38</x:v>
      </x:c>
      <x:c r="E1493" s="21" t="n">
        <x:v>7</x:v>
      </x:c>
      <x:c r="F1493" s="21" t="str">
        <x:v>Independent reproduction</x:v>
      </x:c>
      <x:c r="G1493" s="21" t="n">
        <x:v>28</x:v>
      </x:c>
      <x:c r="H1493" s="21" t="str">
        <x:v>Independent Evidence and Data Authority</x:v>
      </x:c>
      <x:c r="I1493" s="44" t="n">
        <x:f>Lifecycle!G13</x:f>
        <x:v>0.21740562619408393</x:v>
      </x:c>
      <x:c r="J1493" s="44" t="n">
        <x:v>0.08499999999999999</x:v>
      </x:c>
      <x:c r="K1493" s="44" t="n">
        <x:f>I1493*J1493</x:f>
        <x:v>0.018479478226497134</x:v>
      </x:c>
      <x:c r="L1493" s="46" t="n">
        <x:v>0</x:v>
      </x:c>
      <x:c r="M1493" s="46" t="n">
        <x:v>0</x:v>
      </x:c>
      <x:c r="N1493" s="21" t="n">
        <x:f>IF(AND(L1492=1,M1492=1,P1492&gt;0),1,0)</x:f>
        <x:v>0</x:v>
      </x:c>
      <x:c r="O1493" s="21" t="n">
        <x:f>MIN('Root Data'!I451:I453)</x:f>
        <x:v>0</x:v>
      </x:c>
      <x:c r="P1493" s="44" t="n">
        <x:f>IF(AND(L1493=1,M1493=1,N1493=1,O1493&gt;=G1493),K1493,0)</x:f>
        <x:v>0</x:v>
      </x:c>
      <x:c r="Q1493" s="21" t="str">
        <x:v>OPEN</x:v>
      </x:c>
      <x:c r="R1493" s="23" t="str">
        <x:v>HOLD</x:v>
      </x:c>
    </x:row>
    <x:row r="1494">
      <x:c r="B1494" s="21" t="str">
        <x:v>AR-01488</x:v>
      </x:c>
      <x:c r="C1494" s="21" t="str">
        <x:v>F38-I1</x:v>
      </x:c>
      <x:c r="D1494" s="21" t="str">
        <x:v>F38</x:v>
      </x:c>
      <x:c r="E1494" s="21" t="n">
        <x:v>8</x:v>
      </x:c>
      <x:c r="F1494" s="21" t="str">
        <x:v>Pilot-process qualification</x:v>
      </x:c>
      <x:c r="G1494" s="21" t="n">
        <x:v>28</x:v>
      </x:c>
      <x:c r="H1494" s="21" t="str">
        <x:v>AIMC Industrial Mobilization Authority</x:v>
      </x:c>
      <x:c r="I1494" s="44" t="n">
        <x:f>Lifecycle!G14</x:f>
        <x:v>0.03952829567165163</x:v>
      </x:c>
      <x:c r="J1494" s="44" t="n">
        <x:v>0.08499999999999999</x:v>
      </x:c>
      <x:c r="K1494" s="44" t="n">
        <x:f>I1494*J1494</x:f>
        <x:v>0.003359905132090388</x:v>
      </x:c>
      <x:c r="L1494" s="46" t="n">
        <x:v>0</x:v>
      </x:c>
      <x:c r="M1494" s="46" t="n">
        <x:v>0</x:v>
      </x:c>
      <x:c r="N1494" s="21" t="n">
        <x:f>IF(AND(L1493=1,M1493=1,P1493&gt;0),1,0)</x:f>
        <x:v>0</x:v>
      </x:c>
      <x:c r="O1494" s="21" t="n">
        <x:f>MIN('Root Data'!I451:I453)</x:f>
        <x:v>0</x:v>
      </x:c>
      <x:c r="P1494" s="44" t="n">
        <x:f>IF(AND(L1494=1,M1494=1,N1494=1,O1494&gt;=G1494),K1494,0)</x:f>
        <x:v>0</x:v>
      </x:c>
      <x:c r="Q1494" s="21" t="str">
        <x:v>OPEN</x:v>
      </x:c>
      <x:c r="R1494" s="23" t="str">
        <x:v>HOLD</x:v>
      </x:c>
    </x:row>
    <x:row r="1495">
      <x:c r="B1495" s="21" t="str">
        <x:v>AR-01489</x:v>
      </x:c>
      <x:c r="C1495" s="21" t="str">
        <x:v>F38-I1</x:v>
      </x:c>
      <x:c r="D1495" s="21" t="str">
        <x:v>F38</x:v>
      </x:c>
      <x:c r="E1495" s="21" t="n">
        <x:v>9</x:v>
      </x:c>
      <x:c r="F1495" s="21" t="str">
        <x:v>Production release package</x:v>
      </x:c>
      <x:c r="G1495" s="21" t="n">
        <x:v>28</x:v>
      </x:c>
      <x:c r="H1495" s="21" t="str">
        <x:v>Production Release Board</x:v>
      </x:c>
      <x:c r="I1495" s="44" t="n">
        <x:f>Lifecycle!G15</x:f>
        <x:v>0.01647012319652151</x:v>
      </x:c>
      <x:c r="J1495" s="44" t="n">
        <x:v>0.08499999999999999</x:v>
      </x:c>
      <x:c r="K1495" s="44" t="n">
        <x:f>I1495*J1495</x:f>
        <x:v>0.0013999604717043282</x:v>
      </x:c>
      <x:c r="L1495" s="46" t="n">
        <x:v>0</x:v>
      </x:c>
      <x:c r="M1495" s="46" t="n">
        <x:v>0</x:v>
      </x:c>
      <x:c r="N1495" s="21" t="n">
        <x:f>IF(AND(L1494=1,M1494=1,P1494&gt;0),1,0)</x:f>
        <x:v>0</x:v>
      </x:c>
      <x:c r="O1495" s="21" t="n">
        <x:f>MIN('Root Data'!I451:I453)</x:f>
        <x:v>0</x:v>
      </x:c>
      <x:c r="P1495" s="44" t="n">
        <x:f>IF(AND(L1495=1,M1495=1,N1495=1,O1495&gt;=G1495),K1495,0)</x:f>
        <x:v>0</x:v>
      </x:c>
      <x:c r="Q1495" s="21" t="str">
        <x:v>OPEN</x:v>
      </x:c>
      <x:c r="R1495" s="23" t="str">
        <x:v>HOLD</x:v>
      </x:c>
    </x:row>
    <x:row r="1496">
      <x:c r="B1496" s="21" t="str">
        <x:v>AR-01490</x:v>
      </x:c>
      <x:c r="C1496" s="21" t="str">
        <x:v>F38-I1</x:v>
      </x:c>
      <x:c r="D1496" s="21" t="str">
        <x:v>F38</x:v>
      </x:c>
      <x:c r="E1496" s="21" t="n">
        <x:v>10</x:v>
      </x:c>
      <x:c r="F1496" s="21" t="str">
        <x:v>Mobilization activation</x:v>
      </x:c>
      <x:c r="G1496" s="21" t="n">
        <x:v>28</x:v>
      </x:c>
      <x:c r="H1496" s="21" t="str">
        <x:v>Production Release Board</x:v>
      </x:c>
      <x:c r="I1496" s="44" t="n">
        <x:f>Lifecycle!G16</x:f>
        <x:v>0.028262731405230914</x:v>
      </x:c>
      <x:c r="J1496" s="44" t="n">
        <x:v>0.08499999999999999</x:v>
      </x:c>
      <x:c r="K1496" s="44" t="n">
        <x:f>I1496*J1496</x:f>
        <x:v>0.0024023321694446277</x:v>
      </x:c>
      <x:c r="L1496" s="46" t="n">
        <x:v>0</x:v>
      </x:c>
      <x:c r="M1496" s="46" t="n">
        <x:v>0</x:v>
      </x:c>
      <x:c r="N1496" s="21" t="n">
        <x:f>IF(AND(L1495=1,M1495=1,P1495&gt;0),1,0)</x:f>
        <x:v>0</x:v>
      </x:c>
      <x:c r="O1496" s="21" t="n">
        <x:f>MIN('Root Data'!I451:I453)</x:f>
        <x:v>0</x:v>
      </x:c>
      <x:c r="P1496" s="44" t="n">
        <x:f>IF(AND(L1496=1,M1496=1,N1496=1,O1496&gt;=G1496),K1496,0)</x:f>
        <x:v>0</x:v>
      </x:c>
      <x:c r="Q1496" s="21" t="str">
        <x:v>OPEN</x:v>
      </x:c>
      <x:c r="R1496" s="23" t="str">
        <x:v>HOLD</x:v>
      </x:c>
    </x:row>
    <x:row r="1497">
      <x:c r="B1497" s="21" t="str">
        <x:v>AR-01491</x:v>
      </x:c>
      <x:c r="C1497" s="21" t="str">
        <x:v>F38-I2</x:v>
      </x:c>
      <x:c r="D1497" s="21" t="str">
        <x:v>F38</x:v>
      </x:c>
      <x:c r="E1497" s="21" t="n">
        <x:v>1</x:v>
      </x:c>
      <x:c r="F1497" s="21" t="str">
        <x:v>Civil effect charter</x:v>
      </x:c>
      <x:c r="G1497" s="21" t="n">
        <x:v>0</x:v>
      </x:c>
      <x:c r="H1497" s="21" t="str">
        <x:v>Civil Guarantee Authority</x:v>
      </x:c>
      <x:c r="I1497" s="44" t="n">
        <x:f>Lifecycle!G7</x:f>
        <x:v>0.04941036958956453</x:v>
      </x:c>
      <x:c r="J1497" s="44" t="n">
        <x:v>0.08499999999999999</x:v>
      </x:c>
      <x:c r="K1497" s="44" t="n">
        <x:f>I1497*J1497</x:f>
        <x:v>0.004199881415112985</x:v>
      </x:c>
      <x:c r="L1497" s="46" t="n">
        <x:v>0</x:v>
      </x:c>
      <x:c r="M1497" s="46" t="n">
        <x:v>0</x:v>
      </x:c>
      <x:c r="N1497" s="21" t="n">
        <x:f>1</x:f>
        <x:v>1</x:v>
      </x:c>
      <x:c r="O1497" s="21" t="n">
        <x:f>MIN('Root Data'!I454:I456)</x:f>
        <x:v>0</x:v>
      </x:c>
      <x:c r="P1497" s="44" t="n">
        <x:f>IF(AND(L1497=1,M1497=1,N1497=1,O1497&gt;=G1497),K1497,0)</x:f>
        <x:v>0</x:v>
      </x:c>
      <x:c r="Q1497" s="21" t="str">
        <x:v>OPEN</x:v>
      </x:c>
      <x:c r="R1497" s="23" t="str">
        <x:v>HOLD</x:v>
      </x:c>
    </x:row>
    <x:row r="1498">
      <x:c r="B1498" s="21" t="str">
        <x:v>AR-01492</x:v>
      </x:c>
      <x:c r="C1498" s="21" t="str">
        <x:v>F38-I2</x:v>
      </x:c>
      <x:c r="D1498" s="21" t="str">
        <x:v>F38</x:v>
      </x:c>
      <x:c r="E1498" s="21" t="n">
        <x:v>2</x:v>
      </x:c>
      <x:c r="F1498" s="21" t="str">
        <x:v>Requirement and root-independence package</x:v>
      </x:c>
      <x:c r="G1498" s="21" t="n">
        <x:v>8</x:v>
      </x:c>
      <x:c r="H1498" s="21" t="str">
        <x:v>Resilience Staff</x:v>
      </x:c>
      <x:c r="I1498" s="44" t="n">
        <x:f>Lifecycle!G8</x:f>
        <x:v>0.10211476381843337</x:v>
      </x:c>
      <x:c r="J1498" s="44" t="n">
        <x:v>0.08499999999999999</x:v>
      </x:c>
      <x:c r="K1498" s="44" t="n">
        <x:f>I1498*J1498</x:f>
        <x:v>0.008679754924566836</x:v>
      </x:c>
      <x:c r="L1498" s="46" t="n">
        <x:v>0</x:v>
      </x:c>
      <x:c r="M1498" s="46" t="n">
        <x:v>0</x:v>
      </x:c>
      <x:c r="N1498" s="21" t="n">
        <x:f>IF(AND(L1497=1,M1497=1,P1497&gt;0),1,0)</x:f>
        <x:v>0</x:v>
      </x:c>
      <x:c r="O1498" s="21" t="n">
        <x:f>MIN('Root Data'!I454:I456)</x:f>
        <x:v>0</x:v>
      </x:c>
      <x:c r="P1498" s="44" t="n">
        <x:f>IF(AND(L1498=1,M1498=1,N1498=1,O1498&gt;=G1498),K1498,0)</x:f>
        <x:v>0</x:v>
      </x:c>
      <x:c r="Q1498" s="21" t="str">
        <x:v>OPEN</x:v>
      </x:c>
      <x:c r="R1498" s="23" t="str">
        <x:v>HOLD</x:v>
      </x:c>
    </x:row>
    <x:row r="1499">
      <x:c r="B1499" s="21" t="str">
        <x:v>AR-01493</x:v>
      </x:c>
      <x:c r="C1499" s="21" t="str">
        <x:v>F38-I2</x:v>
      </x:c>
      <x:c r="D1499" s="21" t="str">
        <x:v>F38</x:v>
      </x:c>
      <x:c r="E1499" s="21" t="n">
        <x:v>3</x:v>
      </x:c>
      <x:c r="F1499" s="21" t="str">
        <x:v>Architecture and burden closure</x:v>
      </x:c>
      <x:c r="G1499" s="21" t="n">
        <x:v>14</x:v>
      </x:c>
      <x:c r="H1499" s="21" t="str">
        <x:v>Independent Evidence and Data Authority</x:v>
      </x:c>
      <x:c r="I1499" s="44" t="n">
        <x:f>Lifecycle!G9</x:f>
        <x:v>0.08564464062191186</x:v>
      </x:c>
      <x:c r="J1499" s="44" t="n">
        <x:v>0.08499999999999999</x:v>
      </x:c>
      <x:c r="K1499" s="44" t="n">
        <x:f>I1499*J1499</x:f>
        <x:v>0.007279794452862508</x:v>
      </x:c>
      <x:c r="L1499" s="46" t="n">
        <x:v>0</x:v>
      </x:c>
      <x:c r="M1499" s="46" t="n">
        <x:v>0</x:v>
      </x:c>
      <x:c r="N1499" s="21" t="n">
        <x:f>IF(AND(L1498=1,M1498=1,P1498&gt;0),1,0)</x:f>
        <x:v>0</x:v>
      </x:c>
      <x:c r="O1499" s="21" t="n">
        <x:f>MIN('Root Data'!I454:I456)</x:f>
        <x:v>0</x:v>
      </x:c>
      <x:c r="P1499" s="44" t="n">
        <x:f>IF(AND(L1499=1,M1499=1,N1499=1,O1499&gt;=G1499),K1499,0)</x:f>
        <x:v>0</x:v>
      </x:c>
      <x:c r="Q1499" s="21" t="str">
        <x:v>OPEN</x:v>
      </x:c>
      <x:c r="R1499" s="23" t="str">
        <x:v>HOLD</x:v>
      </x:c>
    </x:row>
    <x:row r="1500">
      <x:c r="B1500" s="21" t="str">
        <x:v>AR-01494</x:v>
      </x:c>
      <x:c r="C1500" s="21" t="str">
        <x:v>F38-I2</x:v>
      </x:c>
      <x:c r="D1500" s="21" t="str">
        <x:v>F38</x:v>
      </x:c>
      <x:c r="E1500" s="21" t="n">
        <x:v>4</x:v>
      </x:c>
      <x:c r="F1500" s="21" t="str">
        <x:v>Engineering article acceptance</x:v>
      </x:c>
      <x:c r="G1500" s="21" t="n">
        <x:v>18</x:v>
      </x:c>
      <x:c r="H1500" s="21" t="str">
        <x:v>Independent Evidence and Data Authority</x:v>
      </x:c>
      <x:c r="I1500" s="44" t="n">
        <x:f>Lifecycle!G10</x:f>
        <x:v>0.05929244350747744</x:v>
      </x:c>
      <x:c r="J1500" s="44" t="n">
        <x:v>0.08499999999999999</x:v>
      </x:c>
      <x:c r="K1500" s="44" t="n">
        <x:f>I1500*J1500</x:f>
        <x:v>0.005039857698135582</x:v>
      </x:c>
      <x:c r="L1500" s="46" t="n">
        <x:v>0</x:v>
      </x:c>
      <x:c r="M1500" s="46" t="n">
        <x:v>0</x:v>
      </x:c>
      <x:c r="N1500" s="21" t="n">
        <x:f>IF(AND(L1499=1,M1499=1,P1499&gt;0),1,0)</x:f>
        <x:v>0</x:v>
      </x:c>
      <x:c r="O1500" s="21" t="n">
        <x:f>MIN('Root Data'!I454:I456)</x:f>
        <x:v>0</x:v>
      </x:c>
      <x:c r="P1500" s="44" t="n">
        <x:f>IF(AND(L1500=1,M1500=1,N1500=1,O1500&gt;=G1500),K1500,0)</x:f>
        <x:v>0</x:v>
      </x:c>
      <x:c r="Q1500" s="21" t="str">
        <x:v>OPEN</x:v>
      </x:c>
      <x:c r="R1500" s="23" t="str">
        <x:v>HOLD</x:v>
      </x:c>
    </x:row>
    <x:row r="1501">
      <x:c r="B1501" s="21" t="str">
        <x:v>AR-01495</x:v>
      </x:c>
      <x:c r="C1501" s="21" t="str">
        <x:v>F38-I2</x:v>
      </x:c>
      <x:c r="D1501" s="21" t="str">
        <x:v>F38</x:v>
      </x:c>
      <x:c r="E1501" s="21" t="n">
        <x:v>5</x:v>
      </x:c>
      <x:c r="F1501" s="21" t="str">
        <x:v>Qualification and destructive evidence</x:v>
      </x:c>
      <x:c r="G1501" s="21" t="n">
        <x:v>21</x:v>
      </x:c>
      <x:c r="H1501" s="21" t="str">
        <x:v>Independent Evidence and Data Authority</x:v>
      </x:c>
      <x:c r="I1501" s="44" t="n">
        <x:f>Lifecycle!G11</x:f>
        <x:v>0.1515251334079979</x:v>
      </x:c>
      <x:c r="J1501" s="44" t="n">
        <x:v>0.08499999999999999</x:v>
      </x:c>
      <x:c r="K1501" s="44" t="n">
        <x:f>I1501*J1501</x:f>
        <x:v>0.012879636339679819</x:v>
      </x:c>
      <x:c r="L1501" s="46" t="n">
        <x:v>0</x:v>
      </x:c>
      <x:c r="M1501" s="46" t="n">
        <x:v>0</x:v>
      </x:c>
      <x:c r="N1501" s="21" t="n">
        <x:f>IF(AND(L1500=1,M1500=1,P1500&gt;0),1,0)</x:f>
        <x:v>0</x:v>
      </x:c>
      <x:c r="O1501" s="21" t="n">
        <x:f>MIN('Root Data'!I454:I456)</x:f>
        <x:v>0</x:v>
      </x:c>
      <x:c r="P1501" s="44" t="n">
        <x:f>IF(AND(L1501=1,M1501=1,N1501=1,O1501&gt;=G1501),K1501,0)</x:f>
        <x:v>0</x:v>
      </x:c>
      <x:c r="Q1501" s="21" t="str">
        <x:v>OPEN</x:v>
      </x:c>
      <x:c r="R1501" s="23" t="str">
        <x:v>HOLD</x:v>
      </x:c>
    </x:row>
    <x:row r="1502">
      <x:c r="B1502" s="21" t="str">
        <x:v>AR-01496</x:v>
      </x:c>
      <x:c r="C1502" s="21" t="str">
        <x:v>F38-I2</x:v>
      </x:c>
      <x:c r="D1502" s="21" t="str">
        <x:v>F38</x:v>
      </x:c>
      <x:c r="E1502" s="21" t="n">
        <x:v>6</x:v>
      </x:c>
      <x:c r="F1502" s="21" t="str">
        <x:v>Representative mission result</x:v>
      </x:c>
      <x:c r="G1502" s="21" t="n">
        <x:v>23</x:v>
      </x:c>
      <x:c r="H1502" s="21" t="str">
        <x:v>Receiving Service Authority</x:v>
      </x:c>
      <x:c r="I1502" s="44" t="n">
        <x:f>Lifecycle!G12</x:f>
        <x:v>0.250345872587127</x:v>
      </x:c>
      <x:c r="J1502" s="44" t="n">
        <x:v>0.08499999999999999</x:v>
      </x:c>
      <x:c r="K1502" s="44" t="n">
        <x:f>I1502*J1502</x:f>
        <x:v>0.021279399169905792</x:v>
      </x:c>
      <x:c r="L1502" s="46" t="n">
        <x:v>0</x:v>
      </x:c>
      <x:c r="M1502" s="46" t="n">
        <x:v>0</x:v>
      </x:c>
      <x:c r="N1502" s="21" t="n">
        <x:f>IF(AND(L1501=1,M1501=1,P1501&gt;0),1,0)</x:f>
        <x:v>0</x:v>
      </x:c>
      <x:c r="O1502" s="21" t="n">
        <x:f>MIN('Root Data'!I454:I456)</x:f>
        <x:v>0</x:v>
      </x:c>
      <x:c r="P1502" s="44" t="n">
        <x:f>IF(AND(L1502=1,M1502=1,N1502=1,O1502&gt;=G1502),K1502,0)</x:f>
        <x:v>0</x:v>
      </x:c>
      <x:c r="Q1502" s="21" t="str">
        <x:v>OPEN</x:v>
      </x:c>
      <x:c r="R1502" s="23" t="str">
        <x:v>HOLD</x:v>
      </x:c>
    </x:row>
    <x:row r="1503">
      <x:c r="B1503" s="21" t="str">
        <x:v>AR-01497</x:v>
      </x:c>
      <x:c r="C1503" s="21" t="str">
        <x:v>F38-I2</x:v>
      </x:c>
      <x:c r="D1503" s="21" t="str">
        <x:v>F38</x:v>
      </x:c>
      <x:c r="E1503" s="21" t="n">
        <x:v>7</x:v>
      </x:c>
      <x:c r="F1503" s="21" t="str">
        <x:v>Independent reproduction</x:v>
      </x:c>
      <x:c r="G1503" s="21" t="n">
        <x:v>28</x:v>
      </x:c>
      <x:c r="H1503" s="21" t="str">
        <x:v>Independent Evidence and Data Authority</x:v>
      </x:c>
      <x:c r="I1503" s="44" t="n">
        <x:f>Lifecycle!G13</x:f>
        <x:v>0.21740562619408393</x:v>
      </x:c>
      <x:c r="J1503" s="44" t="n">
        <x:v>0.08499999999999999</x:v>
      </x:c>
      <x:c r="K1503" s="44" t="n">
        <x:f>I1503*J1503</x:f>
        <x:v>0.018479478226497134</x:v>
      </x:c>
      <x:c r="L1503" s="46" t="n">
        <x:v>0</x:v>
      </x:c>
      <x:c r="M1503" s="46" t="n">
        <x:v>0</x:v>
      </x:c>
      <x:c r="N1503" s="21" t="n">
        <x:f>IF(AND(L1502=1,M1502=1,P1502&gt;0),1,0)</x:f>
        <x:v>0</x:v>
      </x:c>
      <x:c r="O1503" s="21" t="n">
        <x:f>MIN('Root Data'!I454:I456)</x:f>
        <x:v>0</x:v>
      </x:c>
      <x:c r="P1503" s="44" t="n">
        <x:f>IF(AND(L1503=1,M1503=1,N1503=1,O1503&gt;=G1503),K1503,0)</x:f>
        <x:v>0</x:v>
      </x:c>
      <x:c r="Q1503" s="21" t="str">
        <x:v>OPEN</x:v>
      </x:c>
      <x:c r="R1503" s="23" t="str">
        <x:v>HOLD</x:v>
      </x:c>
    </x:row>
    <x:row r="1504">
      <x:c r="B1504" s="21" t="str">
        <x:v>AR-01498</x:v>
      </x:c>
      <x:c r="C1504" s="21" t="str">
        <x:v>F38-I2</x:v>
      </x:c>
      <x:c r="D1504" s="21" t="str">
        <x:v>F38</x:v>
      </x:c>
      <x:c r="E1504" s="21" t="n">
        <x:v>8</x:v>
      </x:c>
      <x:c r="F1504" s="21" t="str">
        <x:v>Pilot-process qualification</x:v>
      </x:c>
      <x:c r="G1504" s="21" t="n">
        <x:v>28</x:v>
      </x:c>
      <x:c r="H1504" s="21" t="str">
        <x:v>AIMC Industrial Mobilization Authority</x:v>
      </x:c>
      <x:c r="I1504" s="44" t="n">
        <x:f>Lifecycle!G14</x:f>
        <x:v>0.03952829567165163</x:v>
      </x:c>
      <x:c r="J1504" s="44" t="n">
        <x:v>0.08499999999999999</x:v>
      </x:c>
      <x:c r="K1504" s="44" t="n">
        <x:f>I1504*J1504</x:f>
        <x:v>0.003359905132090388</x:v>
      </x:c>
      <x:c r="L1504" s="46" t="n">
        <x:v>0</x:v>
      </x:c>
      <x:c r="M1504" s="46" t="n">
        <x:v>0</x:v>
      </x:c>
      <x:c r="N1504" s="21" t="n">
        <x:f>IF(AND(L1503=1,M1503=1,P1503&gt;0),1,0)</x:f>
        <x:v>0</x:v>
      </x:c>
      <x:c r="O1504" s="21" t="n">
        <x:f>MIN('Root Data'!I454:I456)</x:f>
        <x:v>0</x:v>
      </x:c>
      <x:c r="P1504" s="44" t="n">
        <x:f>IF(AND(L1504=1,M1504=1,N1504=1,O1504&gt;=G1504),K1504,0)</x:f>
        <x:v>0</x:v>
      </x:c>
      <x:c r="Q1504" s="21" t="str">
        <x:v>OPEN</x:v>
      </x:c>
      <x:c r="R1504" s="23" t="str">
        <x:v>HOLD</x:v>
      </x:c>
    </x:row>
    <x:row r="1505">
      <x:c r="B1505" s="21" t="str">
        <x:v>AR-01499</x:v>
      </x:c>
      <x:c r="C1505" s="21" t="str">
        <x:v>F38-I2</x:v>
      </x:c>
      <x:c r="D1505" s="21" t="str">
        <x:v>F38</x:v>
      </x:c>
      <x:c r="E1505" s="21" t="n">
        <x:v>9</x:v>
      </x:c>
      <x:c r="F1505" s="21" t="str">
        <x:v>Production release package</x:v>
      </x:c>
      <x:c r="G1505" s="21" t="n">
        <x:v>28</x:v>
      </x:c>
      <x:c r="H1505" s="21" t="str">
        <x:v>Production Release Board</x:v>
      </x:c>
      <x:c r="I1505" s="44" t="n">
        <x:f>Lifecycle!G15</x:f>
        <x:v>0.01647012319652151</x:v>
      </x:c>
      <x:c r="J1505" s="44" t="n">
        <x:v>0.08499999999999999</x:v>
      </x:c>
      <x:c r="K1505" s="44" t="n">
        <x:f>I1505*J1505</x:f>
        <x:v>0.0013999604717043282</x:v>
      </x:c>
      <x:c r="L1505" s="46" t="n">
        <x:v>0</x:v>
      </x:c>
      <x:c r="M1505" s="46" t="n">
        <x:v>0</x:v>
      </x:c>
      <x:c r="N1505" s="21" t="n">
        <x:f>IF(AND(L1504=1,M1504=1,P1504&gt;0),1,0)</x:f>
        <x:v>0</x:v>
      </x:c>
      <x:c r="O1505" s="21" t="n">
        <x:f>MIN('Root Data'!I454:I456)</x:f>
        <x:v>0</x:v>
      </x:c>
      <x:c r="P1505" s="44" t="n">
        <x:f>IF(AND(L1505=1,M1505=1,N1505=1,O1505&gt;=G1505),K1505,0)</x:f>
        <x:v>0</x:v>
      </x:c>
      <x:c r="Q1505" s="21" t="str">
        <x:v>OPEN</x:v>
      </x:c>
      <x:c r="R1505" s="23" t="str">
        <x:v>HOLD</x:v>
      </x:c>
    </x:row>
    <x:row r="1506">
      <x:c r="B1506" s="21" t="str">
        <x:v>AR-01500</x:v>
      </x:c>
      <x:c r="C1506" s="21" t="str">
        <x:v>F38-I2</x:v>
      </x:c>
      <x:c r="D1506" s="21" t="str">
        <x:v>F38</x:v>
      </x:c>
      <x:c r="E1506" s="21" t="n">
        <x:v>10</x:v>
      </x:c>
      <x:c r="F1506" s="21" t="str">
        <x:v>Mobilization activation</x:v>
      </x:c>
      <x:c r="G1506" s="21" t="n">
        <x:v>28</x:v>
      </x:c>
      <x:c r="H1506" s="21" t="str">
        <x:v>Production Release Board</x:v>
      </x:c>
      <x:c r="I1506" s="44" t="n">
        <x:f>Lifecycle!G16</x:f>
        <x:v>0.028262731405230914</x:v>
      </x:c>
      <x:c r="J1506" s="44" t="n">
        <x:v>0.08499999999999999</x:v>
      </x:c>
      <x:c r="K1506" s="44" t="n">
        <x:f>I1506*J1506</x:f>
        <x:v>0.0024023321694446277</x:v>
      </x:c>
      <x:c r="L1506" s="46" t="n">
        <x:v>0</x:v>
      </x:c>
      <x:c r="M1506" s="46" t="n">
        <x:v>0</x:v>
      </x:c>
      <x:c r="N1506" s="21" t="n">
        <x:f>IF(AND(L1505=1,M1505=1,P1505&gt;0),1,0)</x:f>
        <x:v>0</x:v>
      </x:c>
      <x:c r="O1506" s="21" t="n">
        <x:f>MIN('Root Data'!I454:I456)</x:f>
        <x:v>0</x:v>
      </x:c>
      <x:c r="P1506" s="44" t="n">
        <x:f>IF(AND(L1506=1,M1506=1,N1506=1,O1506&gt;=G1506),K1506,0)</x:f>
        <x:v>0</x:v>
      </x:c>
      <x:c r="Q1506" s="21" t="str">
        <x:v>OPEN</x:v>
      </x:c>
      <x:c r="R1506" s="23" t="str">
        <x:v>HOLD</x:v>
      </x:c>
    </x:row>
    <x:row r="1507">
      <x:c r="B1507" s="21" t="str">
        <x:v>AR-01501</x:v>
      </x:c>
      <x:c r="C1507" s="21" t="str">
        <x:v>F38-I3</x:v>
      </x:c>
      <x:c r="D1507" s="21" t="str">
        <x:v>F38</x:v>
      </x:c>
      <x:c r="E1507" s="21" t="n">
        <x:v>1</x:v>
      </x:c>
      <x:c r="F1507" s="21" t="str">
        <x:v>Civil effect charter</x:v>
      </x:c>
      <x:c r="G1507" s="21" t="n">
        <x:v>0</x:v>
      </x:c>
      <x:c r="H1507" s="21" t="str">
        <x:v>Civil Guarantee Authority</x:v>
      </x:c>
      <x:c r="I1507" s="44" t="n">
        <x:f>Lifecycle!G7</x:f>
        <x:v>0.04941036958956453</x:v>
      </x:c>
      <x:c r="J1507" s="44" t="n">
        <x:v>0.08499999999999999</x:v>
      </x:c>
      <x:c r="K1507" s="44" t="n">
        <x:f>I1507*J1507</x:f>
        <x:v>0.004199881415112985</x:v>
      </x:c>
      <x:c r="L1507" s="46" t="n">
        <x:v>0</x:v>
      </x:c>
      <x:c r="M1507" s="46" t="n">
        <x:v>0</x:v>
      </x:c>
      <x:c r="N1507" s="21" t="n">
        <x:f>1</x:f>
        <x:v>1</x:v>
      </x:c>
      <x:c r="O1507" s="21" t="n">
        <x:f>MIN('Root Data'!I457:I459)</x:f>
        <x:v>0</x:v>
      </x:c>
      <x:c r="P1507" s="44" t="n">
        <x:f>IF(AND(L1507=1,M1507=1,N1507=1,O1507&gt;=G1507),K1507,0)</x:f>
        <x:v>0</x:v>
      </x:c>
      <x:c r="Q1507" s="21" t="str">
        <x:v>OPEN</x:v>
      </x:c>
      <x:c r="R1507" s="23" t="str">
        <x:v>HOLD</x:v>
      </x:c>
    </x:row>
    <x:row r="1508">
      <x:c r="B1508" s="21" t="str">
        <x:v>AR-01502</x:v>
      </x:c>
      <x:c r="C1508" s="21" t="str">
        <x:v>F38-I3</x:v>
      </x:c>
      <x:c r="D1508" s="21" t="str">
        <x:v>F38</x:v>
      </x:c>
      <x:c r="E1508" s="21" t="n">
        <x:v>2</x:v>
      </x:c>
      <x:c r="F1508" s="21" t="str">
        <x:v>Requirement and root-independence package</x:v>
      </x:c>
      <x:c r="G1508" s="21" t="n">
        <x:v>8</x:v>
      </x:c>
      <x:c r="H1508" s="21" t="str">
        <x:v>Resilience Staff</x:v>
      </x:c>
      <x:c r="I1508" s="44" t="n">
        <x:f>Lifecycle!G8</x:f>
        <x:v>0.10211476381843337</x:v>
      </x:c>
      <x:c r="J1508" s="44" t="n">
        <x:v>0.08499999999999999</x:v>
      </x:c>
      <x:c r="K1508" s="44" t="n">
        <x:f>I1508*J1508</x:f>
        <x:v>0.008679754924566836</x:v>
      </x:c>
      <x:c r="L1508" s="46" t="n">
        <x:v>0</x:v>
      </x:c>
      <x:c r="M1508" s="46" t="n">
        <x:v>0</x:v>
      </x:c>
      <x:c r="N1508" s="21" t="n">
        <x:f>IF(AND(L1507=1,M1507=1,P1507&gt;0),1,0)</x:f>
        <x:v>0</x:v>
      </x:c>
      <x:c r="O1508" s="21" t="n">
        <x:f>MIN('Root Data'!I457:I459)</x:f>
        <x:v>0</x:v>
      </x:c>
      <x:c r="P1508" s="44" t="n">
        <x:f>IF(AND(L1508=1,M1508=1,N1508=1,O1508&gt;=G1508),K1508,0)</x:f>
        <x:v>0</x:v>
      </x:c>
      <x:c r="Q1508" s="21" t="str">
        <x:v>OPEN</x:v>
      </x:c>
      <x:c r="R1508" s="23" t="str">
        <x:v>HOLD</x:v>
      </x:c>
    </x:row>
    <x:row r="1509">
      <x:c r="B1509" s="21" t="str">
        <x:v>AR-01503</x:v>
      </x:c>
      <x:c r="C1509" s="21" t="str">
        <x:v>F38-I3</x:v>
      </x:c>
      <x:c r="D1509" s="21" t="str">
        <x:v>F38</x:v>
      </x:c>
      <x:c r="E1509" s="21" t="n">
        <x:v>3</x:v>
      </x:c>
      <x:c r="F1509" s="21" t="str">
        <x:v>Architecture and burden closure</x:v>
      </x:c>
      <x:c r="G1509" s="21" t="n">
        <x:v>14</x:v>
      </x:c>
      <x:c r="H1509" s="21" t="str">
        <x:v>Independent Evidence and Data Authority</x:v>
      </x:c>
      <x:c r="I1509" s="44" t="n">
        <x:f>Lifecycle!G9</x:f>
        <x:v>0.08564464062191186</x:v>
      </x:c>
      <x:c r="J1509" s="44" t="n">
        <x:v>0.08499999999999999</x:v>
      </x:c>
      <x:c r="K1509" s="44" t="n">
        <x:f>I1509*J1509</x:f>
        <x:v>0.007279794452862508</x:v>
      </x:c>
      <x:c r="L1509" s="46" t="n">
        <x:v>0</x:v>
      </x:c>
      <x:c r="M1509" s="46" t="n">
        <x:v>0</x:v>
      </x:c>
      <x:c r="N1509" s="21" t="n">
        <x:f>IF(AND(L1508=1,M1508=1,P1508&gt;0),1,0)</x:f>
        <x:v>0</x:v>
      </x:c>
      <x:c r="O1509" s="21" t="n">
        <x:f>MIN('Root Data'!I457:I459)</x:f>
        <x:v>0</x:v>
      </x:c>
      <x:c r="P1509" s="44" t="n">
        <x:f>IF(AND(L1509=1,M1509=1,N1509=1,O1509&gt;=G1509),K1509,0)</x:f>
        <x:v>0</x:v>
      </x:c>
      <x:c r="Q1509" s="21" t="str">
        <x:v>OPEN</x:v>
      </x:c>
      <x:c r="R1509" s="23" t="str">
        <x:v>HOLD</x:v>
      </x:c>
    </x:row>
    <x:row r="1510">
      <x:c r="B1510" s="21" t="str">
        <x:v>AR-01504</x:v>
      </x:c>
      <x:c r="C1510" s="21" t="str">
        <x:v>F38-I3</x:v>
      </x:c>
      <x:c r="D1510" s="21" t="str">
        <x:v>F38</x:v>
      </x:c>
      <x:c r="E1510" s="21" t="n">
        <x:v>4</x:v>
      </x:c>
      <x:c r="F1510" s="21" t="str">
        <x:v>Engineering article acceptance</x:v>
      </x:c>
      <x:c r="G1510" s="21" t="n">
        <x:v>18</x:v>
      </x:c>
      <x:c r="H1510" s="21" t="str">
        <x:v>Independent Evidence and Data Authority</x:v>
      </x:c>
      <x:c r="I1510" s="44" t="n">
        <x:f>Lifecycle!G10</x:f>
        <x:v>0.05929244350747744</x:v>
      </x:c>
      <x:c r="J1510" s="44" t="n">
        <x:v>0.08499999999999999</x:v>
      </x:c>
      <x:c r="K1510" s="44" t="n">
        <x:f>I1510*J1510</x:f>
        <x:v>0.005039857698135582</x:v>
      </x:c>
      <x:c r="L1510" s="46" t="n">
        <x:v>0</x:v>
      </x:c>
      <x:c r="M1510" s="46" t="n">
        <x:v>0</x:v>
      </x:c>
      <x:c r="N1510" s="21" t="n">
        <x:f>IF(AND(L1509=1,M1509=1,P1509&gt;0),1,0)</x:f>
        <x:v>0</x:v>
      </x:c>
      <x:c r="O1510" s="21" t="n">
        <x:f>MIN('Root Data'!I457:I459)</x:f>
        <x:v>0</x:v>
      </x:c>
      <x:c r="P1510" s="44" t="n">
        <x:f>IF(AND(L1510=1,M1510=1,N1510=1,O1510&gt;=G1510),K1510,0)</x:f>
        <x:v>0</x:v>
      </x:c>
      <x:c r="Q1510" s="21" t="str">
        <x:v>OPEN</x:v>
      </x:c>
      <x:c r="R1510" s="23" t="str">
        <x:v>HOLD</x:v>
      </x:c>
    </x:row>
    <x:row r="1511">
      <x:c r="B1511" s="21" t="str">
        <x:v>AR-01505</x:v>
      </x:c>
      <x:c r="C1511" s="21" t="str">
        <x:v>F38-I3</x:v>
      </x:c>
      <x:c r="D1511" s="21" t="str">
        <x:v>F38</x:v>
      </x:c>
      <x:c r="E1511" s="21" t="n">
        <x:v>5</x:v>
      </x:c>
      <x:c r="F1511" s="21" t="str">
        <x:v>Qualification and destructive evidence</x:v>
      </x:c>
      <x:c r="G1511" s="21" t="n">
        <x:v>21</x:v>
      </x:c>
      <x:c r="H1511" s="21" t="str">
        <x:v>Independent Evidence and Data Authority</x:v>
      </x:c>
      <x:c r="I1511" s="44" t="n">
        <x:f>Lifecycle!G11</x:f>
        <x:v>0.1515251334079979</x:v>
      </x:c>
      <x:c r="J1511" s="44" t="n">
        <x:v>0.08499999999999999</x:v>
      </x:c>
      <x:c r="K1511" s="44" t="n">
        <x:f>I1511*J1511</x:f>
        <x:v>0.012879636339679819</x:v>
      </x:c>
      <x:c r="L1511" s="46" t="n">
        <x:v>0</x:v>
      </x:c>
      <x:c r="M1511" s="46" t="n">
        <x:v>0</x:v>
      </x:c>
      <x:c r="N1511" s="21" t="n">
        <x:f>IF(AND(L1510=1,M1510=1,P1510&gt;0),1,0)</x:f>
        <x:v>0</x:v>
      </x:c>
      <x:c r="O1511" s="21" t="n">
        <x:f>MIN('Root Data'!I457:I459)</x:f>
        <x:v>0</x:v>
      </x:c>
      <x:c r="P1511" s="44" t="n">
        <x:f>IF(AND(L1511=1,M1511=1,N1511=1,O1511&gt;=G1511),K1511,0)</x:f>
        <x:v>0</x:v>
      </x:c>
      <x:c r="Q1511" s="21" t="str">
        <x:v>OPEN</x:v>
      </x:c>
      <x:c r="R1511" s="23" t="str">
        <x:v>HOLD</x:v>
      </x:c>
    </x:row>
    <x:row r="1512">
      <x:c r="B1512" s="21" t="str">
        <x:v>AR-01506</x:v>
      </x:c>
      <x:c r="C1512" s="21" t="str">
        <x:v>F38-I3</x:v>
      </x:c>
      <x:c r="D1512" s="21" t="str">
        <x:v>F38</x:v>
      </x:c>
      <x:c r="E1512" s="21" t="n">
        <x:v>6</x:v>
      </x:c>
      <x:c r="F1512" s="21" t="str">
        <x:v>Representative mission result</x:v>
      </x:c>
      <x:c r="G1512" s="21" t="n">
        <x:v>23</x:v>
      </x:c>
      <x:c r="H1512" s="21" t="str">
        <x:v>Receiving Service Authority</x:v>
      </x:c>
      <x:c r="I1512" s="44" t="n">
        <x:f>Lifecycle!G12</x:f>
        <x:v>0.250345872587127</x:v>
      </x:c>
      <x:c r="J1512" s="44" t="n">
        <x:v>0.08499999999999999</x:v>
      </x:c>
      <x:c r="K1512" s="44" t="n">
        <x:f>I1512*J1512</x:f>
        <x:v>0.021279399169905792</x:v>
      </x:c>
      <x:c r="L1512" s="46" t="n">
        <x:v>0</x:v>
      </x:c>
      <x:c r="M1512" s="46" t="n">
        <x:v>0</x:v>
      </x:c>
      <x:c r="N1512" s="21" t="n">
        <x:f>IF(AND(L1511=1,M1511=1,P1511&gt;0),1,0)</x:f>
        <x:v>0</x:v>
      </x:c>
      <x:c r="O1512" s="21" t="n">
        <x:f>MIN('Root Data'!I457:I459)</x:f>
        <x:v>0</x:v>
      </x:c>
      <x:c r="P1512" s="44" t="n">
        <x:f>IF(AND(L1512=1,M1512=1,N1512=1,O1512&gt;=G1512),K1512,0)</x:f>
        <x:v>0</x:v>
      </x:c>
      <x:c r="Q1512" s="21" t="str">
        <x:v>OPEN</x:v>
      </x:c>
      <x:c r="R1512" s="23" t="str">
        <x:v>HOLD</x:v>
      </x:c>
    </x:row>
    <x:row r="1513">
      <x:c r="B1513" s="21" t="str">
        <x:v>AR-01507</x:v>
      </x:c>
      <x:c r="C1513" s="21" t="str">
        <x:v>F38-I3</x:v>
      </x:c>
      <x:c r="D1513" s="21" t="str">
        <x:v>F38</x:v>
      </x:c>
      <x:c r="E1513" s="21" t="n">
        <x:v>7</x:v>
      </x:c>
      <x:c r="F1513" s="21" t="str">
        <x:v>Independent reproduction</x:v>
      </x:c>
      <x:c r="G1513" s="21" t="n">
        <x:v>28</x:v>
      </x:c>
      <x:c r="H1513" s="21" t="str">
        <x:v>Independent Evidence and Data Authority</x:v>
      </x:c>
      <x:c r="I1513" s="44" t="n">
        <x:f>Lifecycle!G13</x:f>
        <x:v>0.21740562619408393</x:v>
      </x:c>
      <x:c r="J1513" s="44" t="n">
        <x:v>0.08499999999999999</x:v>
      </x:c>
      <x:c r="K1513" s="44" t="n">
        <x:f>I1513*J1513</x:f>
        <x:v>0.018479478226497134</x:v>
      </x:c>
      <x:c r="L1513" s="46" t="n">
        <x:v>0</x:v>
      </x:c>
      <x:c r="M1513" s="46" t="n">
        <x:v>0</x:v>
      </x:c>
      <x:c r="N1513" s="21" t="n">
        <x:f>IF(AND(L1512=1,M1512=1,P1512&gt;0),1,0)</x:f>
        <x:v>0</x:v>
      </x:c>
      <x:c r="O1513" s="21" t="n">
        <x:f>MIN('Root Data'!I457:I459)</x:f>
        <x:v>0</x:v>
      </x:c>
      <x:c r="P1513" s="44" t="n">
        <x:f>IF(AND(L1513=1,M1513=1,N1513=1,O1513&gt;=G1513),K1513,0)</x:f>
        <x:v>0</x:v>
      </x:c>
      <x:c r="Q1513" s="21" t="str">
        <x:v>OPEN</x:v>
      </x:c>
      <x:c r="R1513" s="23" t="str">
        <x:v>HOLD</x:v>
      </x:c>
    </x:row>
    <x:row r="1514">
      <x:c r="B1514" s="21" t="str">
        <x:v>AR-01508</x:v>
      </x:c>
      <x:c r="C1514" s="21" t="str">
        <x:v>F38-I3</x:v>
      </x:c>
      <x:c r="D1514" s="21" t="str">
        <x:v>F38</x:v>
      </x:c>
      <x:c r="E1514" s="21" t="n">
        <x:v>8</x:v>
      </x:c>
      <x:c r="F1514" s="21" t="str">
        <x:v>Pilot-process qualification</x:v>
      </x:c>
      <x:c r="G1514" s="21" t="n">
        <x:v>28</x:v>
      </x:c>
      <x:c r="H1514" s="21" t="str">
        <x:v>AIMC Industrial Mobilization Authority</x:v>
      </x:c>
      <x:c r="I1514" s="44" t="n">
        <x:f>Lifecycle!G14</x:f>
        <x:v>0.03952829567165163</x:v>
      </x:c>
      <x:c r="J1514" s="44" t="n">
        <x:v>0.08499999999999999</x:v>
      </x:c>
      <x:c r="K1514" s="44" t="n">
        <x:f>I1514*J1514</x:f>
        <x:v>0.003359905132090388</x:v>
      </x:c>
      <x:c r="L1514" s="46" t="n">
        <x:v>0</x:v>
      </x:c>
      <x:c r="M1514" s="46" t="n">
        <x:v>0</x:v>
      </x:c>
      <x:c r="N1514" s="21" t="n">
        <x:f>IF(AND(L1513=1,M1513=1,P1513&gt;0),1,0)</x:f>
        <x:v>0</x:v>
      </x:c>
      <x:c r="O1514" s="21" t="n">
        <x:f>MIN('Root Data'!I457:I459)</x:f>
        <x:v>0</x:v>
      </x:c>
      <x:c r="P1514" s="44" t="n">
        <x:f>IF(AND(L1514=1,M1514=1,N1514=1,O1514&gt;=G1514),K1514,0)</x:f>
        <x:v>0</x:v>
      </x:c>
      <x:c r="Q1514" s="21" t="str">
        <x:v>OPEN</x:v>
      </x:c>
      <x:c r="R1514" s="23" t="str">
        <x:v>HOLD</x:v>
      </x:c>
    </x:row>
    <x:row r="1515">
      <x:c r="B1515" s="21" t="str">
        <x:v>AR-01509</x:v>
      </x:c>
      <x:c r="C1515" s="21" t="str">
        <x:v>F38-I3</x:v>
      </x:c>
      <x:c r="D1515" s="21" t="str">
        <x:v>F38</x:v>
      </x:c>
      <x:c r="E1515" s="21" t="n">
        <x:v>9</x:v>
      </x:c>
      <x:c r="F1515" s="21" t="str">
        <x:v>Production release package</x:v>
      </x:c>
      <x:c r="G1515" s="21" t="n">
        <x:v>28</x:v>
      </x:c>
      <x:c r="H1515" s="21" t="str">
        <x:v>Production Release Board</x:v>
      </x:c>
      <x:c r="I1515" s="44" t="n">
        <x:f>Lifecycle!G15</x:f>
        <x:v>0.01647012319652151</x:v>
      </x:c>
      <x:c r="J1515" s="44" t="n">
        <x:v>0.08499999999999999</x:v>
      </x:c>
      <x:c r="K1515" s="44" t="n">
        <x:f>I1515*J1515</x:f>
        <x:v>0.0013999604717043282</x:v>
      </x:c>
      <x:c r="L1515" s="46" t="n">
        <x:v>0</x:v>
      </x:c>
      <x:c r="M1515" s="46" t="n">
        <x:v>0</x:v>
      </x:c>
      <x:c r="N1515" s="21" t="n">
        <x:f>IF(AND(L1514=1,M1514=1,P1514&gt;0),1,0)</x:f>
        <x:v>0</x:v>
      </x:c>
      <x:c r="O1515" s="21" t="n">
        <x:f>MIN('Root Data'!I457:I459)</x:f>
        <x:v>0</x:v>
      </x:c>
      <x:c r="P1515" s="44" t="n">
        <x:f>IF(AND(L1515=1,M1515=1,N1515=1,O1515&gt;=G1515),K1515,0)</x:f>
        <x:v>0</x:v>
      </x:c>
      <x:c r="Q1515" s="21" t="str">
        <x:v>OPEN</x:v>
      </x:c>
      <x:c r="R1515" s="23" t="str">
        <x:v>HOLD</x:v>
      </x:c>
    </x:row>
    <x:row r="1516">
      <x:c r="B1516" s="21" t="str">
        <x:v>AR-01510</x:v>
      </x:c>
      <x:c r="C1516" s="21" t="str">
        <x:v>F38-I3</x:v>
      </x:c>
      <x:c r="D1516" s="21" t="str">
        <x:v>F38</x:v>
      </x:c>
      <x:c r="E1516" s="21" t="n">
        <x:v>10</x:v>
      </x:c>
      <x:c r="F1516" s="21" t="str">
        <x:v>Mobilization activation</x:v>
      </x:c>
      <x:c r="G1516" s="21" t="n">
        <x:v>28</x:v>
      </x:c>
      <x:c r="H1516" s="21" t="str">
        <x:v>Production Release Board</x:v>
      </x:c>
      <x:c r="I1516" s="44" t="n">
        <x:f>Lifecycle!G16</x:f>
        <x:v>0.028262731405230914</x:v>
      </x:c>
      <x:c r="J1516" s="44" t="n">
        <x:v>0.08499999999999999</x:v>
      </x:c>
      <x:c r="K1516" s="44" t="n">
        <x:f>I1516*J1516</x:f>
        <x:v>0.0024023321694446277</x:v>
      </x:c>
      <x:c r="L1516" s="46" t="n">
        <x:v>0</x:v>
      </x:c>
      <x:c r="M1516" s="46" t="n">
        <x:v>0</x:v>
      </x:c>
      <x:c r="N1516" s="21" t="n">
        <x:f>IF(AND(L1515=1,M1515=1,P1515&gt;0),1,0)</x:f>
        <x:v>0</x:v>
      </x:c>
      <x:c r="O1516" s="21" t="n">
        <x:f>MIN('Root Data'!I457:I459)</x:f>
        <x:v>0</x:v>
      </x:c>
      <x:c r="P1516" s="44" t="n">
        <x:f>IF(AND(L1516=1,M1516=1,N1516=1,O1516&gt;=G1516),K1516,0)</x:f>
        <x:v>0</x:v>
      </x:c>
      <x:c r="Q1516" s="21" t="str">
        <x:v>OPEN</x:v>
      </x:c>
      <x:c r="R1516" s="23" t="str">
        <x:v>HOLD</x:v>
      </x:c>
    </x:row>
    <x:row r="1517">
      <x:c r="B1517" s="21" t="str">
        <x:v>AR-01511</x:v>
      </x:c>
      <x:c r="C1517" s="21" t="str">
        <x:v>F38-I4</x:v>
      </x:c>
      <x:c r="D1517" s="21" t="str">
        <x:v>F38</x:v>
      </x:c>
      <x:c r="E1517" s="21" t="n">
        <x:v>1</x:v>
      </x:c>
      <x:c r="F1517" s="21" t="str">
        <x:v>Civil effect charter</x:v>
      </x:c>
      <x:c r="G1517" s="21" t="n">
        <x:v>0</x:v>
      </x:c>
      <x:c r="H1517" s="21" t="str">
        <x:v>Civil Guarantee Authority</x:v>
      </x:c>
      <x:c r="I1517" s="44" t="n">
        <x:f>Lifecycle!G7</x:f>
        <x:v>0.04941036958956453</x:v>
      </x:c>
      <x:c r="J1517" s="44" t="n">
        <x:v>0.08499999999999999</x:v>
      </x:c>
      <x:c r="K1517" s="44" t="n">
        <x:f>I1517*J1517</x:f>
        <x:v>0.004199881415112985</x:v>
      </x:c>
      <x:c r="L1517" s="46" t="n">
        <x:v>0</x:v>
      </x:c>
      <x:c r="M1517" s="46" t="n">
        <x:v>0</x:v>
      </x:c>
      <x:c r="N1517" s="21" t="n">
        <x:f>1</x:f>
        <x:v>1</x:v>
      </x:c>
      <x:c r="O1517" s="21" t="n">
        <x:f>MIN('Root Data'!I460:I462)</x:f>
        <x:v>0</x:v>
      </x:c>
      <x:c r="P1517" s="44" t="n">
        <x:f>IF(AND(L1517=1,M1517=1,N1517=1,O1517&gt;=G1517),K1517,0)</x:f>
        <x:v>0</x:v>
      </x:c>
      <x:c r="Q1517" s="21" t="str">
        <x:v>OPEN</x:v>
      </x:c>
      <x:c r="R1517" s="23" t="str">
        <x:v>HOLD</x:v>
      </x:c>
    </x:row>
    <x:row r="1518">
      <x:c r="B1518" s="21" t="str">
        <x:v>AR-01512</x:v>
      </x:c>
      <x:c r="C1518" s="21" t="str">
        <x:v>F38-I4</x:v>
      </x:c>
      <x:c r="D1518" s="21" t="str">
        <x:v>F38</x:v>
      </x:c>
      <x:c r="E1518" s="21" t="n">
        <x:v>2</x:v>
      </x:c>
      <x:c r="F1518" s="21" t="str">
        <x:v>Requirement and root-independence package</x:v>
      </x:c>
      <x:c r="G1518" s="21" t="n">
        <x:v>8</x:v>
      </x:c>
      <x:c r="H1518" s="21" t="str">
        <x:v>Resilience Staff</x:v>
      </x:c>
      <x:c r="I1518" s="44" t="n">
        <x:f>Lifecycle!G8</x:f>
        <x:v>0.10211476381843337</x:v>
      </x:c>
      <x:c r="J1518" s="44" t="n">
        <x:v>0.08499999999999999</x:v>
      </x:c>
      <x:c r="K1518" s="44" t="n">
        <x:f>I1518*J1518</x:f>
        <x:v>0.008679754924566836</x:v>
      </x:c>
      <x:c r="L1518" s="46" t="n">
        <x:v>0</x:v>
      </x:c>
      <x:c r="M1518" s="46" t="n">
        <x:v>0</x:v>
      </x:c>
      <x:c r="N1518" s="21" t="n">
        <x:f>IF(AND(L1517=1,M1517=1,P1517&gt;0),1,0)</x:f>
        <x:v>0</x:v>
      </x:c>
      <x:c r="O1518" s="21" t="n">
        <x:f>MIN('Root Data'!I460:I462)</x:f>
        <x:v>0</x:v>
      </x:c>
      <x:c r="P1518" s="44" t="n">
        <x:f>IF(AND(L1518=1,M1518=1,N1518=1,O1518&gt;=G1518),K1518,0)</x:f>
        <x:v>0</x:v>
      </x:c>
      <x:c r="Q1518" s="21" t="str">
        <x:v>OPEN</x:v>
      </x:c>
      <x:c r="R1518" s="23" t="str">
        <x:v>HOLD</x:v>
      </x:c>
    </x:row>
    <x:row r="1519">
      <x:c r="B1519" s="21" t="str">
        <x:v>AR-01513</x:v>
      </x:c>
      <x:c r="C1519" s="21" t="str">
        <x:v>F38-I4</x:v>
      </x:c>
      <x:c r="D1519" s="21" t="str">
        <x:v>F38</x:v>
      </x:c>
      <x:c r="E1519" s="21" t="n">
        <x:v>3</x:v>
      </x:c>
      <x:c r="F1519" s="21" t="str">
        <x:v>Architecture and burden closure</x:v>
      </x:c>
      <x:c r="G1519" s="21" t="n">
        <x:v>14</x:v>
      </x:c>
      <x:c r="H1519" s="21" t="str">
        <x:v>Independent Evidence and Data Authority</x:v>
      </x:c>
      <x:c r="I1519" s="44" t="n">
        <x:f>Lifecycle!G9</x:f>
        <x:v>0.08564464062191186</x:v>
      </x:c>
      <x:c r="J1519" s="44" t="n">
        <x:v>0.08499999999999999</x:v>
      </x:c>
      <x:c r="K1519" s="44" t="n">
        <x:f>I1519*J1519</x:f>
        <x:v>0.007279794452862508</x:v>
      </x:c>
      <x:c r="L1519" s="46" t="n">
        <x:v>0</x:v>
      </x:c>
      <x:c r="M1519" s="46" t="n">
        <x:v>0</x:v>
      </x:c>
      <x:c r="N1519" s="21" t="n">
        <x:f>IF(AND(L1518=1,M1518=1,P1518&gt;0),1,0)</x:f>
        <x:v>0</x:v>
      </x:c>
      <x:c r="O1519" s="21" t="n">
        <x:f>MIN('Root Data'!I460:I462)</x:f>
        <x:v>0</x:v>
      </x:c>
      <x:c r="P1519" s="44" t="n">
        <x:f>IF(AND(L1519=1,M1519=1,N1519=1,O1519&gt;=G1519),K1519,0)</x:f>
        <x:v>0</x:v>
      </x:c>
      <x:c r="Q1519" s="21" t="str">
        <x:v>OPEN</x:v>
      </x:c>
      <x:c r="R1519" s="23" t="str">
        <x:v>HOLD</x:v>
      </x:c>
    </x:row>
    <x:row r="1520">
      <x:c r="B1520" s="21" t="str">
        <x:v>AR-01514</x:v>
      </x:c>
      <x:c r="C1520" s="21" t="str">
        <x:v>F38-I4</x:v>
      </x:c>
      <x:c r="D1520" s="21" t="str">
        <x:v>F38</x:v>
      </x:c>
      <x:c r="E1520" s="21" t="n">
        <x:v>4</x:v>
      </x:c>
      <x:c r="F1520" s="21" t="str">
        <x:v>Engineering article acceptance</x:v>
      </x:c>
      <x:c r="G1520" s="21" t="n">
        <x:v>18</x:v>
      </x:c>
      <x:c r="H1520" s="21" t="str">
        <x:v>Independent Evidence and Data Authority</x:v>
      </x:c>
      <x:c r="I1520" s="44" t="n">
        <x:f>Lifecycle!G10</x:f>
        <x:v>0.05929244350747744</x:v>
      </x:c>
      <x:c r="J1520" s="44" t="n">
        <x:v>0.08499999999999999</x:v>
      </x:c>
      <x:c r="K1520" s="44" t="n">
        <x:f>I1520*J1520</x:f>
        <x:v>0.005039857698135582</x:v>
      </x:c>
      <x:c r="L1520" s="46" t="n">
        <x:v>0</x:v>
      </x:c>
      <x:c r="M1520" s="46" t="n">
        <x:v>0</x:v>
      </x:c>
      <x:c r="N1520" s="21" t="n">
        <x:f>IF(AND(L1519=1,M1519=1,P1519&gt;0),1,0)</x:f>
        <x:v>0</x:v>
      </x:c>
      <x:c r="O1520" s="21" t="n">
        <x:f>MIN('Root Data'!I460:I462)</x:f>
        <x:v>0</x:v>
      </x:c>
      <x:c r="P1520" s="44" t="n">
        <x:f>IF(AND(L1520=1,M1520=1,N1520=1,O1520&gt;=G1520),K1520,0)</x:f>
        <x:v>0</x:v>
      </x:c>
      <x:c r="Q1520" s="21" t="str">
        <x:v>OPEN</x:v>
      </x:c>
      <x:c r="R1520" s="23" t="str">
        <x:v>HOLD</x:v>
      </x:c>
    </x:row>
    <x:row r="1521">
      <x:c r="B1521" s="21" t="str">
        <x:v>AR-01515</x:v>
      </x:c>
      <x:c r="C1521" s="21" t="str">
        <x:v>F38-I4</x:v>
      </x:c>
      <x:c r="D1521" s="21" t="str">
        <x:v>F38</x:v>
      </x:c>
      <x:c r="E1521" s="21" t="n">
        <x:v>5</x:v>
      </x:c>
      <x:c r="F1521" s="21" t="str">
        <x:v>Qualification and destructive evidence</x:v>
      </x:c>
      <x:c r="G1521" s="21" t="n">
        <x:v>21</x:v>
      </x:c>
      <x:c r="H1521" s="21" t="str">
        <x:v>Independent Evidence and Data Authority</x:v>
      </x:c>
      <x:c r="I1521" s="44" t="n">
        <x:f>Lifecycle!G11</x:f>
        <x:v>0.1515251334079979</x:v>
      </x:c>
      <x:c r="J1521" s="44" t="n">
        <x:v>0.08499999999999999</x:v>
      </x:c>
      <x:c r="K1521" s="44" t="n">
        <x:f>I1521*J1521</x:f>
        <x:v>0.012879636339679819</x:v>
      </x:c>
      <x:c r="L1521" s="46" t="n">
        <x:v>0</x:v>
      </x:c>
      <x:c r="M1521" s="46" t="n">
        <x:v>0</x:v>
      </x:c>
      <x:c r="N1521" s="21" t="n">
        <x:f>IF(AND(L1520=1,M1520=1,P1520&gt;0),1,0)</x:f>
        <x:v>0</x:v>
      </x:c>
      <x:c r="O1521" s="21" t="n">
        <x:f>MIN('Root Data'!I460:I462)</x:f>
        <x:v>0</x:v>
      </x:c>
      <x:c r="P1521" s="44" t="n">
        <x:f>IF(AND(L1521=1,M1521=1,N1521=1,O1521&gt;=G1521),K1521,0)</x:f>
        <x:v>0</x:v>
      </x:c>
      <x:c r="Q1521" s="21" t="str">
        <x:v>OPEN</x:v>
      </x:c>
      <x:c r="R1521" s="23" t="str">
        <x:v>HOLD</x:v>
      </x:c>
    </x:row>
    <x:row r="1522">
      <x:c r="B1522" s="21" t="str">
        <x:v>AR-01516</x:v>
      </x:c>
      <x:c r="C1522" s="21" t="str">
        <x:v>F38-I4</x:v>
      </x:c>
      <x:c r="D1522" s="21" t="str">
        <x:v>F38</x:v>
      </x:c>
      <x:c r="E1522" s="21" t="n">
        <x:v>6</x:v>
      </x:c>
      <x:c r="F1522" s="21" t="str">
        <x:v>Representative mission result</x:v>
      </x:c>
      <x:c r="G1522" s="21" t="n">
        <x:v>23</x:v>
      </x:c>
      <x:c r="H1522" s="21" t="str">
        <x:v>Receiving Service Authority</x:v>
      </x:c>
      <x:c r="I1522" s="44" t="n">
        <x:f>Lifecycle!G12</x:f>
        <x:v>0.250345872587127</x:v>
      </x:c>
      <x:c r="J1522" s="44" t="n">
        <x:v>0.08499999999999999</x:v>
      </x:c>
      <x:c r="K1522" s="44" t="n">
        <x:f>I1522*J1522</x:f>
        <x:v>0.021279399169905792</x:v>
      </x:c>
      <x:c r="L1522" s="46" t="n">
        <x:v>0</x:v>
      </x:c>
      <x:c r="M1522" s="46" t="n">
        <x:v>0</x:v>
      </x:c>
      <x:c r="N1522" s="21" t="n">
        <x:f>IF(AND(L1521=1,M1521=1,P1521&gt;0),1,0)</x:f>
        <x:v>0</x:v>
      </x:c>
      <x:c r="O1522" s="21" t="n">
        <x:f>MIN('Root Data'!I460:I462)</x:f>
        <x:v>0</x:v>
      </x:c>
      <x:c r="P1522" s="44" t="n">
        <x:f>IF(AND(L1522=1,M1522=1,N1522=1,O1522&gt;=G1522),K1522,0)</x:f>
        <x:v>0</x:v>
      </x:c>
      <x:c r="Q1522" s="21" t="str">
        <x:v>OPEN</x:v>
      </x:c>
      <x:c r="R1522" s="23" t="str">
        <x:v>HOLD</x:v>
      </x:c>
    </x:row>
    <x:row r="1523">
      <x:c r="B1523" s="21" t="str">
        <x:v>AR-01517</x:v>
      </x:c>
      <x:c r="C1523" s="21" t="str">
        <x:v>F38-I4</x:v>
      </x:c>
      <x:c r="D1523" s="21" t="str">
        <x:v>F38</x:v>
      </x:c>
      <x:c r="E1523" s="21" t="n">
        <x:v>7</x:v>
      </x:c>
      <x:c r="F1523" s="21" t="str">
        <x:v>Independent reproduction</x:v>
      </x:c>
      <x:c r="G1523" s="21" t="n">
        <x:v>28</x:v>
      </x:c>
      <x:c r="H1523" s="21" t="str">
        <x:v>Independent Evidence and Data Authority</x:v>
      </x:c>
      <x:c r="I1523" s="44" t="n">
        <x:f>Lifecycle!G13</x:f>
        <x:v>0.21740562619408393</x:v>
      </x:c>
      <x:c r="J1523" s="44" t="n">
        <x:v>0.08499999999999999</x:v>
      </x:c>
      <x:c r="K1523" s="44" t="n">
        <x:f>I1523*J1523</x:f>
        <x:v>0.018479478226497134</x:v>
      </x:c>
      <x:c r="L1523" s="46" t="n">
        <x:v>0</x:v>
      </x:c>
      <x:c r="M1523" s="46" t="n">
        <x:v>0</x:v>
      </x:c>
      <x:c r="N1523" s="21" t="n">
        <x:f>IF(AND(L1522=1,M1522=1,P1522&gt;0),1,0)</x:f>
        <x:v>0</x:v>
      </x:c>
      <x:c r="O1523" s="21" t="n">
        <x:f>MIN('Root Data'!I460:I462)</x:f>
        <x:v>0</x:v>
      </x:c>
      <x:c r="P1523" s="44" t="n">
        <x:f>IF(AND(L1523=1,M1523=1,N1523=1,O1523&gt;=G1523),K1523,0)</x:f>
        <x:v>0</x:v>
      </x:c>
      <x:c r="Q1523" s="21" t="str">
        <x:v>OPEN</x:v>
      </x:c>
      <x:c r="R1523" s="23" t="str">
        <x:v>HOLD</x:v>
      </x:c>
    </x:row>
    <x:row r="1524">
      <x:c r="B1524" s="21" t="str">
        <x:v>AR-01518</x:v>
      </x:c>
      <x:c r="C1524" s="21" t="str">
        <x:v>F38-I4</x:v>
      </x:c>
      <x:c r="D1524" s="21" t="str">
        <x:v>F38</x:v>
      </x:c>
      <x:c r="E1524" s="21" t="n">
        <x:v>8</x:v>
      </x:c>
      <x:c r="F1524" s="21" t="str">
        <x:v>Pilot-process qualification</x:v>
      </x:c>
      <x:c r="G1524" s="21" t="n">
        <x:v>28</x:v>
      </x:c>
      <x:c r="H1524" s="21" t="str">
        <x:v>AIMC Industrial Mobilization Authority</x:v>
      </x:c>
      <x:c r="I1524" s="44" t="n">
        <x:f>Lifecycle!G14</x:f>
        <x:v>0.03952829567165163</x:v>
      </x:c>
      <x:c r="J1524" s="44" t="n">
        <x:v>0.08499999999999999</x:v>
      </x:c>
      <x:c r="K1524" s="44" t="n">
        <x:f>I1524*J1524</x:f>
        <x:v>0.003359905132090388</x:v>
      </x:c>
      <x:c r="L1524" s="46" t="n">
        <x:v>0</x:v>
      </x:c>
      <x:c r="M1524" s="46" t="n">
        <x:v>0</x:v>
      </x:c>
      <x:c r="N1524" s="21" t="n">
        <x:f>IF(AND(L1523=1,M1523=1,P1523&gt;0),1,0)</x:f>
        <x:v>0</x:v>
      </x:c>
      <x:c r="O1524" s="21" t="n">
        <x:f>MIN('Root Data'!I460:I462)</x:f>
        <x:v>0</x:v>
      </x:c>
      <x:c r="P1524" s="44" t="n">
        <x:f>IF(AND(L1524=1,M1524=1,N1524=1,O1524&gt;=G1524),K1524,0)</x:f>
        <x:v>0</x:v>
      </x:c>
      <x:c r="Q1524" s="21" t="str">
        <x:v>OPEN</x:v>
      </x:c>
      <x:c r="R1524" s="23" t="str">
        <x:v>HOLD</x:v>
      </x:c>
    </x:row>
    <x:row r="1525">
      <x:c r="B1525" s="21" t="str">
        <x:v>AR-01519</x:v>
      </x:c>
      <x:c r="C1525" s="21" t="str">
        <x:v>F38-I4</x:v>
      </x:c>
      <x:c r="D1525" s="21" t="str">
        <x:v>F38</x:v>
      </x:c>
      <x:c r="E1525" s="21" t="n">
        <x:v>9</x:v>
      </x:c>
      <x:c r="F1525" s="21" t="str">
        <x:v>Production release package</x:v>
      </x:c>
      <x:c r="G1525" s="21" t="n">
        <x:v>28</x:v>
      </x:c>
      <x:c r="H1525" s="21" t="str">
        <x:v>Production Release Board</x:v>
      </x:c>
      <x:c r="I1525" s="44" t="n">
        <x:f>Lifecycle!G15</x:f>
        <x:v>0.01647012319652151</x:v>
      </x:c>
      <x:c r="J1525" s="44" t="n">
        <x:v>0.08499999999999999</x:v>
      </x:c>
      <x:c r="K1525" s="44" t="n">
        <x:f>I1525*J1525</x:f>
        <x:v>0.0013999604717043282</x:v>
      </x:c>
      <x:c r="L1525" s="46" t="n">
        <x:v>0</x:v>
      </x:c>
      <x:c r="M1525" s="46" t="n">
        <x:v>0</x:v>
      </x:c>
      <x:c r="N1525" s="21" t="n">
        <x:f>IF(AND(L1524=1,M1524=1,P1524&gt;0),1,0)</x:f>
        <x:v>0</x:v>
      </x:c>
      <x:c r="O1525" s="21" t="n">
        <x:f>MIN('Root Data'!I460:I462)</x:f>
        <x:v>0</x:v>
      </x:c>
      <x:c r="P1525" s="44" t="n">
        <x:f>IF(AND(L1525=1,M1525=1,N1525=1,O1525&gt;=G1525),K1525,0)</x:f>
        <x:v>0</x:v>
      </x:c>
      <x:c r="Q1525" s="21" t="str">
        <x:v>OPEN</x:v>
      </x:c>
      <x:c r="R1525" s="23" t="str">
        <x:v>HOLD</x:v>
      </x:c>
    </x:row>
    <x:row r="1526">
      <x:c r="B1526" s="21" t="str">
        <x:v>AR-01520</x:v>
      </x:c>
      <x:c r="C1526" s="21" t="str">
        <x:v>F38-I4</x:v>
      </x:c>
      <x:c r="D1526" s="21" t="str">
        <x:v>F38</x:v>
      </x:c>
      <x:c r="E1526" s="21" t="n">
        <x:v>10</x:v>
      </x:c>
      <x:c r="F1526" s="21" t="str">
        <x:v>Mobilization activation</x:v>
      </x:c>
      <x:c r="G1526" s="21" t="n">
        <x:v>28</x:v>
      </x:c>
      <x:c r="H1526" s="21" t="str">
        <x:v>Production Release Board</x:v>
      </x:c>
      <x:c r="I1526" s="44" t="n">
        <x:f>Lifecycle!G16</x:f>
        <x:v>0.028262731405230914</x:v>
      </x:c>
      <x:c r="J1526" s="44" t="n">
        <x:v>0.08499999999999999</x:v>
      </x:c>
      <x:c r="K1526" s="44" t="n">
        <x:f>I1526*J1526</x:f>
        <x:v>0.0024023321694446277</x:v>
      </x:c>
      <x:c r="L1526" s="46" t="n">
        <x:v>0</x:v>
      </x:c>
      <x:c r="M1526" s="46" t="n">
        <x:v>0</x:v>
      </x:c>
      <x:c r="N1526" s="21" t="n">
        <x:f>IF(AND(L1525=1,M1525=1,P1525&gt;0),1,0)</x:f>
        <x:v>0</x:v>
      </x:c>
      <x:c r="O1526" s="21" t="n">
        <x:f>MIN('Root Data'!I460:I462)</x:f>
        <x:v>0</x:v>
      </x:c>
      <x:c r="P1526" s="44" t="n">
        <x:f>IF(AND(L1526=1,M1526=1,N1526=1,O1526&gt;=G1526),K1526,0)</x:f>
        <x:v>0</x:v>
      </x:c>
      <x:c r="Q1526" s="21" t="str">
        <x:v>OPEN</x:v>
      </x:c>
      <x:c r="R1526" s="23" t="str">
        <x:v>HOLD</x:v>
      </x:c>
    </x:row>
    <x:row r="1527">
      <x:c r="B1527" s="21" t="str">
        <x:v>AR-01521</x:v>
      </x:c>
      <x:c r="C1527" s="21" t="str">
        <x:v>F39-I1</x:v>
      </x:c>
      <x:c r="D1527" s="21" t="str">
        <x:v>F39</x:v>
      </x:c>
      <x:c r="E1527" s="21" t="n">
        <x:v>1</x:v>
      </x:c>
      <x:c r="F1527" s="21" t="str">
        <x:v>Civil effect charter</x:v>
      </x:c>
      <x:c r="G1527" s="21" t="n">
        <x:v>0</x:v>
      </x:c>
      <x:c r="H1527" s="21" t="str">
        <x:v>Civil Guarantee Authority</x:v>
      </x:c>
      <x:c r="I1527" s="44" t="n">
        <x:f>Lifecycle!G7</x:f>
        <x:v>0.04941036958956453</x:v>
      </x:c>
      <x:c r="J1527" s="44" t="n">
        <x:v>0.08</x:v>
      </x:c>
      <x:c r="K1527" s="44" t="n">
        <x:f>I1527*J1527</x:f>
        <x:v>0.003952829567165163</x:v>
      </x:c>
      <x:c r="L1527" s="46" t="n">
        <x:v>0</x:v>
      </x:c>
      <x:c r="M1527" s="46" t="n">
        <x:v>0</x:v>
      </x:c>
      <x:c r="N1527" s="21" t="n">
        <x:f>1</x:f>
        <x:v>1</x:v>
      </x:c>
      <x:c r="O1527" s="21" t="n">
        <x:f>MIN('Root Data'!I463:I465)</x:f>
        <x:v>0</x:v>
      </x:c>
      <x:c r="P1527" s="44" t="n">
        <x:f>IF(AND(L1527=1,M1527=1,N1527=1,O1527&gt;=G1527),K1527,0)</x:f>
        <x:v>0</x:v>
      </x:c>
      <x:c r="Q1527" s="21" t="str">
        <x:v>OPEN</x:v>
      </x:c>
      <x:c r="R1527" s="23" t="str">
        <x:v>HOLD</x:v>
      </x:c>
    </x:row>
    <x:row r="1528">
      <x:c r="B1528" s="21" t="str">
        <x:v>AR-01522</x:v>
      </x:c>
      <x:c r="C1528" s="21" t="str">
        <x:v>F39-I1</x:v>
      </x:c>
      <x:c r="D1528" s="21" t="str">
        <x:v>F39</x:v>
      </x:c>
      <x:c r="E1528" s="21" t="n">
        <x:v>2</x:v>
      </x:c>
      <x:c r="F1528" s="21" t="str">
        <x:v>Requirement and root-independence package</x:v>
      </x:c>
      <x:c r="G1528" s="21" t="n">
        <x:v>8</x:v>
      </x:c>
      <x:c r="H1528" s="21" t="str">
        <x:v>Resilience Staff</x:v>
      </x:c>
      <x:c r="I1528" s="44" t="n">
        <x:f>Lifecycle!G8</x:f>
        <x:v>0.10211476381843337</x:v>
      </x:c>
      <x:c r="J1528" s="44" t="n">
        <x:v>0.08</x:v>
      </x:c>
      <x:c r="K1528" s="44" t="n">
        <x:f>I1528*J1528</x:f>
        <x:v>0.00816918110547467</x:v>
      </x:c>
      <x:c r="L1528" s="46" t="n">
        <x:v>0</x:v>
      </x:c>
      <x:c r="M1528" s="46" t="n">
        <x:v>0</x:v>
      </x:c>
      <x:c r="N1528" s="21" t="n">
        <x:f>IF(AND(L1527=1,M1527=1,P1527&gt;0),1,0)</x:f>
        <x:v>0</x:v>
      </x:c>
      <x:c r="O1528" s="21" t="n">
        <x:f>MIN('Root Data'!I463:I465)</x:f>
        <x:v>0</x:v>
      </x:c>
      <x:c r="P1528" s="44" t="n">
        <x:f>IF(AND(L1528=1,M1528=1,N1528=1,O1528&gt;=G1528),K1528,0)</x:f>
        <x:v>0</x:v>
      </x:c>
      <x:c r="Q1528" s="21" t="str">
        <x:v>OPEN</x:v>
      </x:c>
      <x:c r="R1528" s="23" t="str">
        <x:v>HOLD</x:v>
      </x:c>
    </x:row>
    <x:row r="1529">
      <x:c r="B1529" s="21" t="str">
        <x:v>AR-01523</x:v>
      </x:c>
      <x:c r="C1529" s="21" t="str">
        <x:v>F39-I1</x:v>
      </x:c>
      <x:c r="D1529" s="21" t="str">
        <x:v>F39</x:v>
      </x:c>
      <x:c r="E1529" s="21" t="n">
        <x:v>3</x:v>
      </x:c>
      <x:c r="F1529" s="21" t="str">
        <x:v>Architecture and burden closure</x:v>
      </x:c>
      <x:c r="G1529" s="21" t="n">
        <x:v>14</x:v>
      </x:c>
      <x:c r="H1529" s="21" t="str">
        <x:v>Independent Evidence and Data Authority</x:v>
      </x:c>
      <x:c r="I1529" s="44" t="n">
        <x:f>Lifecycle!G9</x:f>
        <x:v>0.08564464062191186</x:v>
      </x:c>
      <x:c r="J1529" s="44" t="n">
        <x:v>0.08</x:v>
      </x:c>
      <x:c r="K1529" s="44" t="n">
        <x:f>I1529*J1529</x:f>
        <x:v>0.006851571249752949</x:v>
      </x:c>
      <x:c r="L1529" s="46" t="n">
        <x:v>0</x:v>
      </x:c>
      <x:c r="M1529" s="46" t="n">
        <x:v>0</x:v>
      </x:c>
      <x:c r="N1529" s="21" t="n">
        <x:f>IF(AND(L1528=1,M1528=1,P1528&gt;0),1,0)</x:f>
        <x:v>0</x:v>
      </x:c>
      <x:c r="O1529" s="21" t="n">
        <x:f>MIN('Root Data'!I463:I465)</x:f>
        <x:v>0</x:v>
      </x:c>
      <x:c r="P1529" s="44" t="n">
        <x:f>IF(AND(L1529=1,M1529=1,N1529=1,O1529&gt;=G1529),K1529,0)</x:f>
        <x:v>0</x:v>
      </x:c>
      <x:c r="Q1529" s="21" t="str">
        <x:v>OPEN</x:v>
      </x:c>
      <x:c r="R1529" s="23" t="str">
        <x:v>HOLD</x:v>
      </x:c>
    </x:row>
    <x:row r="1530">
      <x:c r="B1530" s="21" t="str">
        <x:v>AR-01524</x:v>
      </x:c>
      <x:c r="C1530" s="21" t="str">
        <x:v>F39-I1</x:v>
      </x:c>
      <x:c r="D1530" s="21" t="str">
        <x:v>F39</x:v>
      </x:c>
      <x:c r="E1530" s="21" t="n">
        <x:v>4</x:v>
      </x:c>
      <x:c r="F1530" s="21" t="str">
        <x:v>Engineering article acceptance</x:v>
      </x:c>
      <x:c r="G1530" s="21" t="n">
        <x:v>18</x:v>
      </x:c>
      <x:c r="H1530" s="21" t="str">
        <x:v>Independent Evidence and Data Authority</x:v>
      </x:c>
      <x:c r="I1530" s="44" t="n">
        <x:f>Lifecycle!G10</x:f>
        <x:v>0.05929244350747744</x:v>
      </x:c>
      <x:c r="J1530" s="44" t="n">
        <x:v>0.08</x:v>
      </x:c>
      <x:c r="K1530" s="44" t="n">
        <x:f>I1530*J1530</x:f>
        <x:v>0.004743395480598196</x:v>
      </x:c>
      <x:c r="L1530" s="46" t="n">
        <x:v>0</x:v>
      </x:c>
      <x:c r="M1530" s="46" t="n">
        <x:v>0</x:v>
      </x:c>
      <x:c r="N1530" s="21" t="n">
        <x:f>IF(AND(L1529=1,M1529=1,P1529&gt;0),1,0)</x:f>
        <x:v>0</x:v>
      </x:c>
      <x:c r="O1530" s="21" t="n">
        <x:f>MIN('Root Data'!I463:I465)</x:f>
        <x:v>0</x:v>
      </x:c>
      <x:c r="P1530" s="44" t="n">
        <x:f>IF(AND(L1530=1,M1530=1,N1530=1,O1530&gt;=G1530),K1530,0)</x:f>
        <x:v>0</x:v>
      </x:c>
      <x:c r="Q1530" s="21" t="str">
        <x:v>OPEN</x:v>
      </x:c>
      <x:c r="R1530" s="23" t="str">
        <x:v>HOLD</x:v>
      </x:c>
    </x:row>
    <x:row r="1531">
      <x:c r="B1531" s="21" t="str">
        <x:v>AR-01525</x:v>
      </x:c>
      <x:c r="C1531" s="21" t="str">
        <x:v>F39-I1</x:v>
      </x:c>
      <x:c r="D1531" s="21" t="str">
        <x:v>F39</x:v>
      </x:c>
      <x:c r="E1531" s="21" t="n">
        <x:v>5</x:v>
      </x:c>
      <x:c r="F1531" s="21" t="str">
        <x:v>Qualification and destructive evidence</x:v>
      </x:c>
      <x:c r="G1531" s="21" t="n">
        <x:v>21</x:v>
      </x:c>
      <x:c r="H1531" s="21" t="str">
        <x:v>Independent Evidence and Data Authority</x:v>
      </x:c>
      <x:c r="I1531" s="44" t="n">
        <x:f>Lifecycle!G11</x:f>
        <x:v>0.1515251334079979</x:v>
      </x:c>
      <x:c r="J1531" s="44" t="n">
        <x:v>0.08</x:v>
      </x:c>
      <x:c r="K1531" s="44" t="n">
        <x:f>I1531*J1531</x:f>
        <x:v>0.012122010672639832</x:v>
      </x:c>
      <x:c r="L1531" s="46" t="n">
        <x:v>0</x:v>
      </x:c>
      <x:c r="M1531" s="46" t="n">
        <x:v>0</x:v>
      </x:c>
      <x:c r="N1531" s="21" t="n">
        <x:f>IF(AND(L1530=1,M1530=1,P1530&gt;0),1,0)</x:f>
        <x:v>0</x:v>
      </x:c>
      <x:c r="O1531" s="21" t="n">
        <x:f>MIN('Root Data'!I463:I465)</x:f>
        <x:v>0</x:v>
      </x:c>
      <x:c r="P1531" s="44" t="n">
        <x:f>IF(AND(L1531=1,M1531=1,N1531=1,O1531&gt;=G1531),K1531,0)</x:f>
        <x:v>0</x:v>
      </x:c>
      <x:c r="Q1531" s="21" t="str">
        <x:v>OPEN</x:v>
      </x:c>
      <x:c r="R1531" s="23" t="str">
        <x:v>HOLD</x:v>
      </x:c>
    </x:row>
    <x:row r="1532">
      <x:c r="B1532" s="21" t="str">
        <x:v>AR-01526</x:v>
      </x:c>
      <x:c r="C1532" s="21" t="str">
        <x:v>F39-I1</x:v>
      </x:c>
      <x:c r="D1532" s="21" t="str">
        <x:v>F39</x:v>
      </x:c>
      <x:c r="E1532" s="21" t="n">
        <x:v>6</x:v>
      </x:c>
      <x:c r="F1532" s="21" t="str">
        <x:v>Representative mission result</x:v>
      </x:c>
      <x:c r="G1532" s="21" t="n">
        <x:v>23</x:v>
      </x:c>
      <x:c r="H1532" s="21" t="str">
        <x:v>Receiving Service Authority</x:v>
      </x:c>
      <x:c r="I1532" s="44" t="n">
        <x:f>Lifecycle!G12</x:f>
        <x:v>0.250345872587127</x:v>
      </x:c>
      <x:c r="J1532" s="44" t="n">
        <x:v>0.08</x:v>
      </x:c>
      <x:c r="K1532" s="44" t="n">
        <x:f>I1532*J1532</x:f>
        <x:v>0.02002766980697016</x:v>
      </x:c>
      <x:c r="L1532" s="46" t="n">
        <x:v>0</x:v>
      </x:c>
      <x:c r="M1532" s="46" t="n">
        <x:v>0</x:v>
      </x:c>
      <x:c r="N1532" s="21" t="n">
        <x:f>IF(AND(L1531=1,M1531=1,P1531&gt;0),1,0)</x:f>
        <x:v>0</x:v>
      </x:c>
      <x:c r="O1532" s="21" t="n">
        <x:f>MIN('Root Data'!I463:I465)</x:f>
        <x:v>0</x:v>
      </x:c>
      <x:c r="P1532" s="44" t="n">
        <x:f>IF(AND(L1532=1,M1532=1,N1532=1,O1532&gt;=G1532),K1532,0)</x:f>
        <x:v>0</x:v>
      </x:c>
      <x:c r="Q1532" s="21" t="str">
        <x:v>OPEN</x:v>
      </x:c>
      <x:c r="R1532" s="23" t="str">
        <x:v>HOLD</x:v>
      </x:c>
    </x:row>
    <x:row r="1533">
      <x:c r="B1533" s="21" t="str">
        <x:v>AR-01527</x:v>
      </x:c>
      <x:c r="C1533" s="21" t="str">
        <x:v>F39-I1</x:v>
      </x:c>
      <x:c r="D1533" s="21" t="str">
        <x:v>F39</x:v>
      </x:c>
      <x:c r="E1533" s="21" t="n">
        <x:v>7</x:v>
      </x:c>
      <x:c r="F1533" s="21" t="str">
        <x:v>Independent reproduction</x:v>
      </x:c>
      <x:c r="G1533" s="21" t="n">
        <x:v>28</x:v>
      </x:c>
      <x:c r="H1533" s="21" t="str">
        <x:v>Independent Evidence and Data Authority</x:v>
      </x:c>
      <x:c r="I1533" s="44" t="n">
        <x:f>Lifecycle!G13</x:f>
        <x:v>0.21740562619408393</x:v>
      </x:c>
      <x:c r="J1533" s="44" t="n">
        <x:v>0.08</x:v>
      </x:c>
      <x:c r="K1533" s="44" t="n">
        <x:f>I1533*J1533</x:f>
        <x:v>0.017392450095526715</x:v>
      </x:c>
      <x:c r="L1533" s="46" t="n">
        <x:v>0</x:v>
      </x:c>
      <x:c r="M1533" s="46" t="n">
        <x:v>0</x:v>
      </x:c>
      <x:c r="N1533" s="21" t="n">
        <x:f>IF(AND(L1532=1,M1532=1,P1532&gt;0),1,0)</x:f>
        <x:v>0</x:v>
      </x:c>
      <x:c r="O1533" s="21" t="n">
        <x:f>MIN('Root Data'!I463:I465)</x:f>
        <x:v>0</x:v>
      </x:c>
      <x:c r="P1533" s="44" t="n">
        <x:f>IF(AND(L1533=1,M1533=1,N1533=1,O1533&gt;=G1533),K1533,0)</x:f>
        <x:v>0</x:v>
      </x:c>
      <x:c r="Q1533" s="21" t="str">
        <x:v>OPEN</x:v>
      </x:c>
      <x:c r="R1533" s="23" t="str">
        <x:v>HOLD</x:v>
      </x:c>
    </x:row>
    <x:row r="1534">
      <x:c r="B1534" s="21" t="str">
        <x:v>AR-01528</x:v>
      </x:c>
      <x:c r="C1534" s="21" t="str">
        <x:v>F39-I1</x:v>
      </x:c>
      <x:c r="D1534" s="21" t="str">
        <x:v>F39</x:v>
      </x:c>
      <x:c r="E1534" s="21" t="n">
        <x:v>8</x:v>
      </x:c>
      <x:c r="F1534" s="21" t="str">
        <x:v>Pilot-process qualification</x:v>
      </x:c>
      <x:c r="G1534" s="21" t="n">
        <x:v>28</x:v>
      </x:c>
      <x:c r="H1534" s="21" t="str">
        <x:v>AIMC Industrial Mobilization Authority</x:v>
      </x:c>
      <x:c r="I1534" s="44" t="n">
        <x:f>Lifecycle!G14</x:f>
        <x:v>0.03952829567165163</x:v>
      </x:c>
      <x:c r="J1534" s="44" t="n">
        <x:v>0.08</x:v>
      </x:c>
      <x:c r="K1534" s="44" t="n">
        <x:f>I1534*J1534</x:f>
        <x:v>0.0031622636537321303</x:v>
      </x:c>
      <x:c r="L1534" s="46" t="n">
        <x:v>0</x:v>
      </x:c>
      <x:c r="M1534" s="46" t="n">
        <x:v>0</x:v>
      </x:c>
      <x:c r="N1534" s="21" t="n">
        <x:f>IF(AND(L1533=1,M1533=1,P1533&gt;0),1,0)</x:f>
        <x:v>0</x:v>
      </x:c>
      <x:c r="O1534" s="21" t="n">
        <x:f>MIN('Root Data'!I463:I465)</x:f>
        <x:v>0</x:v>
      </x:c>
      <x:c r="P1534" s="44" t="n">
        <x:f>IF(AND(L1534=1,M1534=1,N1534=1,O1534&gt;=G1534),K1534,0)</x:f>
        <x:v>0</x:v>
      </x:c>
      <x:c r="Q1534" s="21" t="str">
        <x:v>OPEN</x:v>
      </x:c>
      <x:c r="R1534" s="23" t="str">
        <x:v>HOLD</x:v>
      </x:c>
    </x:row>
    <x:row r="1535">
      <x:c r="B1535" s="21" t="str">
        <x:v>AR-01529</x:v>
      </x:c>
      <x:c r="C1535" s="21" t="str">
        <x:v>F39-I1</x:v>
      </x:c>
      <x:c r="D1535" s="21" t="str">
        <x:v>F39</x:v>
      </x:c>
      <x:c r="E1535" s="21" t="n">
        <x:v>9</x:v>
      </x:c>
      <x:c r="F1535" s="21" t="str">
        <x:v>Production release package</x:v>
      </x:c>
      <x:c r="G1535" s="21" t="n">
        <x:v>28</x:v>
      </x:c>
      <x:c r="H1535" s="21" t="str">
        <x:v>Production Release Board</x:v>
      </x:c>
      <x:c r="I1535" s="44" t="n">
        <x:f>Lifecycle!G15</x:f>
        <x:v>0.01647012319652151</x:v>
      </x:c>
      <x:c r="J1535" s="44" t="n">
        <x:v>0.08</x:v>
      </x:c>
      <x:c r="K1535" s="44" t="n">
        <x:f>I1535*J1535</x:f>
        <x:v>0.0013176098557217209</x:v>
      </x:c>
      <x:c r="L1535" s="46" t="n">
        <x:v>0</x:v>
      </x:c>
      <x:c r="M1535" s="46" t="n">
        <x:v>0</x:v>
      </x:c>
      <x:c r="N1535" s="21" t="n">
        <x:f>IF(AND(L1534=1,M1534=1,P1534&gt;0),1,0)</x:f>
        <x:v>0</x:v>
      </x:c>
      <x:c r="O1535" s="21" t="n">
        <x:f>MIN('Root Data'!I463:I465)</x:f>
        <x:v>0</x:v>
      </x:c>
      <x:c r="P1535" s="44" t="n">
        <x:f>IF(AND(L1535=1,M1535=1,N1535=1,O1535&gt;=G1535),K1535,0)</x:f>
        <x:v>0</x:v>
      </x:c>
      <x:c r="Q1535" s="21" t="str">
        <x:v>OPEN</x:v>
      </x:c>
      <x:c r="R1535" s="23" t="str">
        <x:v>HOLD</x:v>
      </x:c>
    </x:row>
    <x:row r="1536">
      <x:c r="B1536" s="21" t="str">
        <x:v>AR-01530</x:v>
      </x:c>
      <x:c r="C1536" s="21" t="str">
        <x:v>F39-I1</x:v>
      </x:c>
      <x:c r="D1536" s="21" t="str">
        <x:v>F39</x:v>
      </x:c>
      <x:c r="E1536" s="21" t="n">
        <x:v>10</x:v>
      </x:c>
      <x:c r="F1536" s="21" t="str">
        <x:v>Mobilization activation</x:v>
      </x:c>
      <x:c r="G1536" s="21" t="n">
        <x:v>28</x:v>
      </x:c>
      <x:c r="H1536" s="21" t="str">
        <x:v>Production Release Board</x:v>
      </x:c>
      <x:c r="I1536" s="44" t="n">
        <x:f>Lifecycle!G16</x:f>
        <x:v>0.028262731405230914</x:v>
      </x:c>
      <x:c r="J1536" s="44" t="n">
        <x:v>0.08</x:v>
      </x:c>
      <x:c r="K1536" s="44" t="n">
        <x:f>I1536*J1536</x:f>
        <x:v>0.002261018512418473</x:v>
      </x:c>
      <x:c r="L1536" s="46" t="n">
        <x:v>0</x:v>
      </x:c>
      <x:c r="M1536" s="46" t="n">
        <x:v>0</x:v>
      </x:c>
      <x:c r="N1536" s="21" t="n">
        <x:f>IF(AND(L1535=1,M1535=1,P1535&gt;0),1,0)</x:f>
        <x:v>0</x:v>
      </x:c>
      <x:c r="O1536" s="21" t="n">
        <x:f>MIN('Root Data'!I463:I465)</x:f>
        <x:v>0</x:v>
      </x:c>
      <x:c r="P1536" s="44" t="n">
        <x:f>IF(AND(L1536=1,M1536=1,N1536=1,O1536&gt;=G1536),K1536,0)</x:f>
        <x:v>0</x:v>
      </x:c>
      <x:c r="Q1536" s="21" t="str">
        <x:v>OPEN</x:v>
      </x:c>
      <x:c r="R1536" s="23" t="str">
        <x:v>HOLD</x:v>
      </x:c>
    </x:row>
    <x:row r="1537">
      <x:c r="B1537" s="21" t="str">
        <x:v>AR-01531</x:v>
      </x:c>
      <x:c r="C1537" s="21" t="str">
        <x:v>F39-I2</x:v>
      </x:c>
      <x:c r="D1537" s="21" t="str">
        <x:v>F39</x:v>
      </x:c>
      <x:c r="E1537" s="21" t="n">
        <x:v>1</x:v>
      </x:c>
      <x:c r="F1537" s="21" t="str">
        <x:v>Civil effect charter</x:v>
      </x:c>
      <x:c r="G1537" s="21" t="n">
        <x:v>0</x:v>
      </x:c>
      <x:c r="H1537" s="21" t="str">
        <x:v>Civil Guarantee Authority</x:v>
      </x:c>
      <x:c r="I1537" s="44" t="n">
        <x:f>Lifecycle!G7</x:f>
        <x:v>0.04941036958956453</x:v>
      </x:c>
      <x:c r="J1537" s="44" t="n">
        <x:v>0.08</x:v>
      </x:c>
      <x:c r="K1537" s="44" t="n">
        <x:f>I1537*J1537</x:f>
        <x:v>0.003952829567165163</x:v>
      </x:c>
      <x:c r="L1537" s="46" t="n">
        <x:v>0</x:v>
      </x:c>
      <x:c r="M1537" s="46" t="n">
        <x:v>0</x:v>
      </x:c>
      <x:c r="N1537" s="21" t="n">
        <x:f>1</x:f>
        <x:v>1</x:v>
      </x:c>
      <x:c r="O1537" s="21" t="n">
        <x:f>MIN('Root Data'!I466:I468)</x:f>
        <x:v>0</x:v>
      </x:c>
      <x:c r="P1537" s="44" t="n">
        <x:f>IF(AND(L1537=1,M1537=1,N1537=1,O1537&gt;=G1537),K1537,0)</x:f>
        <x:v>0</x:v>
      </x:c>
      <x:c r="Q1537" s="21" t="str">
        <x:v>OPEN</x:v>
      </x:c>
      <x:c r="R1537" s="23" t="str">
        <x:v>HOLD</x:v>
      </x:c>
    </x:row>
    <x:row r="1538">
      <x:c r="B1538" s="21" t="str">
        <x:v>AR-01532</x:v>
      </x:c>
      <x:c r="C1538" s="21" t="str">
        <x:v>F39-I2</x:v>
      </x:c>
      <x:c r="D1538" s="21" t="str">
        <x:v>F39</x:v>
      </x:c>
      <x:c r="E1538" s="21" t="n">
        <x:v>2</x:v>
      </x:c>
      <x:c r="F1538" s="21" t="str">
        <x:v>Requirement and root-independence package</x:v>
      </x:c>
      <x:c r="G1538" s="21" t="n">
        <x:v>8</x:v>
      </x:c>
      <x:c r="H1538" s="21" t="str">
        <x:v>Resilience Staff</x:v>
      </x:c>
      <x:c r="I1538" s="44" t="n">
        <x:f>Lifecycle!G8</x:f>
        <x:v>0.10211476381843337</x:v>
      </x:c>
      <x:c r="J1538" s="44" t="n">
        <x:v>0.08</x:v>
      </x:c>
      <x:c r="K1538" s="44" t="n">
        <x:f>I1538*J1538</x:f>
        <x:v>0.00816918110547467</x:v>
      </x:c>
      <x:c r="L1538" s="46" t="n">
        <x:v>0</x:v>
      </x:c>
      <x:c r="M1538" s="46" t="n">
        <x:v>0</x:v>
      </x:c>
      <x:c r="N1538" s="21" t="n">
        <x:f>IF(AND(L1537=1,M1537=1,P1537&gt;0),1,0)</x:f>
        <x:v>0</x:v>
      </x:c>
      <x:c r="O1538" s="21" t="n">
        <x:f>MIN('Root Data'!I466:I468)</x:f>
        <x:v>0</x:v>
      </x:c>
      <x:c r="P1538" s="44" t="n">
        <x:f>IF(AND(L1538=1,M1538=1,N1538=1,O1538&gt;=G1538),K1538,0)</x:f>
        <x:v>0</x:v>
      </x:c>
      <x:c r="Q1538" s="21" t="str">
        <x:v>OPEN</x:v>
      </x:c>
      <x:c r="R1538" s="23" t="str">
        <x:v>HOLD</x:v>
      </x:c>
    </x:row>
    <x:row r="1539">
      <x:c r="B1539" s="21" t="str">
        <x:v>AR-01533</x:v>
      </x:c>
      <x:c r="C1539" s="21" t="str">
        <x:v>F39-I2</x:v>
      </x:c>
      <x:c r="D1539" s="21" t="str">
        <x:v>F39</x:v>
      </x:c>
      <x:c r="E1539" s="21" t="n">
        <x:v>3</x:v>
      </x:c>
      <x:c r="F1539" s="21" t="str">
        <x:v>Architecture and burden closure</x:v>
      </x:c>
      <x:c r="G1539" s="21" t="n">
        <x:v>14</x:v>
      </x:c>
      <x:c r="H1539" s="21" t="str">
        <x:v>Independent Evidence and Data Authority</x:v>
      </x:c>
      <x:c r="I1539" s="44" t="n">
        <x:f>Lifecycle!G9</x:f>
        <x:v>0.08564464062191186</x:v>
      </x:c>
      <x:c r="J1539" s="44" t="n">
        <x:v>0.08</x:v>
      </x:c>
      <x:c r="K1539" s="44" t="n">
        <x:f>I1539*J1539</x:f>
        <x:v>0.006851571249752949</x:v>
      </x:c>
      <x:c r="L1539" s="46" t="n">
        <x:v>0</x:v>
      </x:c>
      <x:c r="M1539" s="46" t="n">
        <x:v>0</x:v>
      </x:c>
      <x:c r="N1539" s="21" t="n">
        <x:f>IF(AND(L1538=1,M1538=1,P1538&gt;0),1,0)</x:f>
        <x:v>0</x:v>
      </x:c>
      <x:c r="O1539" s="21" t="n">
        <x:f>MIN('Root Data'!I466:I468)</x:f>
        <x:v>0</x:v>
      </x:c>
      <x:c r="P1539" s="44" t="n">
        <x:f>IF(AND(L1539=1,M1539=1,N1539=1,O1539&gt;=G1539),K1539,0)</x:f>
        <x:v>0</x:v>
      </x:c>
      <x:c r="Q1539" s="21" t="str">
        <x:v>OPEN</x:v>
      </x:c>
      <x:c r="R1539" s="23" t="str">
        <x:v>HOLD</x:v>
      </x:c>
    </x:row>
    <x:row r="1540">
      <x:c r="B1540" s="21" t="str">
        <x:v>AR-01534</x:v>
      </x:c>
      <x:c r="C1540" s="21" t="str">
        <x:v>F39-I2</x:v>
      </x:c>
      <x:c r="D1540" s="21" t="str">
        <x:v>F39</x:v>
      </x:c>
      <x:c r="E1540" s="21" t="n">
        <x:v>4</x:v>
      </x:c>
      <x:c r="F1540" s="21" t="str">
        <x:v>Engineering article acceptance</x:v>
      </x:c>
      <x:c r="G1540" s="21" t="n">
        <x:v>18</x:v>
      </x:c>
      <x:c r="H1540" s="21" t="str">
        <x:v>Independent Evidence and Data Authority</x:v>
      </x:c>
      <x:c r="I1540" s="44" t="n">
        <x:f>Lifecycle!G10</x:f>
        <x:v>0.05929244350747744</x:v>
      </x:c>
      <x:c r="J1540" s="44" t="n">
        <x:v>0.08</x:v>
      </x:c>
      <x:c r="K1540" s="44" t="n">
        <x:f>I1540*J1540</x:f>
        <x:v>0.004743395480598196</x:v>
      </x:c>
      <x:c r="L1540" s="46" t="n">
        <x:v>0</x:v>
      </x:c>
      <x:c r="M1540" s="46" t="n">
        <x:v>0</x:v>
      </x:c>
      <x:c r="N1540" s="21" t="n">
        <x:f>IF(AND(L1539=1,M1539=1,P1539&gt;0),1,0)</x:f>
        <x:v>0</x:v>
      </x:c>
      <x:c r="O1540" s="21" t="n">
        <x:f>MIN('Root Data'!I466:I468)</x:f>
        <x:v>0</x:v>
      </x:c>
      <x:c r="P1540" s="44" t="n">
        <x:f>IF(AND(L1540=1,M1540=1,N1540=1,O1540&gt;=G1540),K1540,0)</x:f>
        <x:v>0</x:v>
      </x:c>
      <x:c r="Q1540" s="21" t="str">
        <x:v>OPEN</x:v>
      </x:c>
      <x:c r="R1540" s="23" t="str">
        <x:v>HOLD</x:v>
      </x:c>
    </x:row>
    <x:row r="1541">
      <x:c r="B1541" s="21" t="str">
        <x:v>AR-01535</x:v>
      </x:c>
      <x:c r="C1541" s="21" t="str">
        <x:v>F39-I2</x:v>
      </x:c>
      <x:c r="D1541" s="21" t="str">
        <x:v>F39</x:v>
      </x:c>
      <x:c r="E1541" s="21" t="n">
        <x:v>5</x:v>
      </x:c>
      <x:c r="F1541" s="21" t="str">
        <x:v>Qualification and destructive evidence</x:v>
      </x:c>
      <x:c r="G1541" s="21" t="n">
        <x:v>21</x:v>
      </x:c>
      <x:c r="H1541" s="21" t="str">
        <x:v>Independent Evidence and Data Authority</x:v>
      </x:c>
      <x:c r="I1541" s="44" t="n">
        <x:f>Lifecycle!G11</x:f>
        <x:v>0.1515251334079979</x:v>
      </x:c>
      <x:c r="J1541" s="44" t="n">
        <x:v>0.08</x:v>
      </x:c>
      <x:c r="K1541" s="44" t="n">
        <x:f>I1541*J1541</x:f>
        <x:v>0.012122010672639832</x:v>
      </x:c>
      <x:c r="L1541" s="46" t="n">
        <x:v>0</x:v>
      </x:c>
      <x:c r="M1541" s="46" t="n">
        <x:v>0</x:v>
      </x:c>
      <x:c r="N1541" s="21" t="n">
        <x:f>IF(AND(L1540=1,M1540=1,P1540&gt;0),1,0)</x:f>
        <x:v>0</x:v>
      </x:c>
      <x:c r="O1541" s="21" t="n">
        <x:f>MIN('Root Data'!I466:I468)</x:f>
        <x:v>0</x:v>
      </x:c>
      <x:c r="P1541" s="44" t="n">
        <x:f>IF(AND(L1541=1,M1541=1,N1541=1,O1541&gt;=G1541),K1541,0)</x:f>
        <x:v>0</x:v>
      </x:c>
      <x:c r="Q1541" s="21" t="str">
        <x:v>OPEN</x:v>
      </x:c>
      <x:c r="R1541" s="23" t="str">
        <x:v>HOLD</x:v>
      </x:c>
    </x:row>
    <x:row r="1542">
      <x:c r="B1542" s="21" t="str">
        <x:v>AR-01536</x:v>
      </x:c>
      <x:c r="C1542" s="21" t="str">
        <x:v>F39-I2</x:v>
      </x:c>
      <x:c r="D1542" s="21" t="str">
        <x:v>F39</x:v>
      </x:c>
      <x:c r="E1542" s="21" t="n">
        <x:v>6</x:v>
      </x:c>
      <x:c r="F1542" s="21" t="str">
        <x:v>Representative mission result</x:v>
      </x:c>
      <x:c r="G1542" s="21" t="n">
        <x:v>23</x:v>
      </x:c>
      <x:c r="H1542" s="21" t="str">
        <x:v>Receiving Service Authority</x:v>
      </x:c>
      <x:c r="I1542" s="44" t="n">
        <x:f>Lifecycle!G12</x:f>
        <x:v>0.250345872587127</x:v>
      </x:c>
      <x:c r="J1542" s="44" t="n">
        <x:v>0.08</x:v>
      </x:c>
      <x:c r="K1542" s="44" t="n">
        <x:f>I1542*J1542</x:f>
        <x:v>0.02002766980697016</x:v>
      </x:c>
      <x:c r="L1542" s="46" t="n">
        <x:v>0</x:v>
      </x:c>
      <x:c r="M1542" s="46" t="n">
        <x:v>0</x:v>
      </x:c>
      <x:c r="N1542" s="21" t="n">
        <x:f>IF(AND(L1541=1,M1541=1,P1541&gt;0),1,0)</x:f>
        <x:v>0</x:v>
      </x:c>
      <x:c r="O1542" s="21" t="n">
        <x:f>MIN('Root Data'!I466:I468)</x:f>
        <x:v>0</x:v>
      </x:c>
      <x:c r="P1542" s="44" t="n">
        <x:f>IF(AND(L1542=1,M1542=1,N1542=1,O1542&gt;=G1542),K1542,0)</x:f>
        <x:v>0</x:v>
      </x:c>
      <x:c r="Q1542" s="21" t="str">
        <x:v>OPEN</x:v>
      </x:c>
      <x:c r="R1542" s="23" t="str">
        <x:v>HOLD</x:v>
      </x:c>
    </x:row>
    <x:row r="1543">
      <x:c r="B1543" s="21" t="str">
        <x:v>AR-01537</x:v>
      </x:c>
      <x:c r="C1543" s="21" t="str">
        <x:v>F39-I2</x:v>
      </x:c>
      <x:c r="D1543" s="21" t="str">
        <x:v>F39</x:v>
      </x:c>
      <x:c r="E1543" s="21" t="n">
        <x:v>7</x:v>
      </x:c>
      <x:c r="F1543" s="21" t="str">
        <x:v>Independent reproduction</x:v>
      </x:c>
      <x:c r="G1543" s="21" t="n">
        <x:v>28</x:v>
      </x:c>
      <x:c r="H1543" s="21" t="str">
        <x:v>Independent Evidence and Data Authority</x:v>
      </x:c>
      <x:c r="I1543" s="44" t="n">
        <x:f>Lifecycle!G13</x:f>
        <x:v>0.21740562619408393</x:v>
      </x:c>
      <x:c r="J1543" s="44" t="n">
        <x:v>0.08</x:v>
      </x:c>
      <x:c r="K1543" s="44" t="n">
        <x:f>I1543*J1543</x:f>
        <x:v>0.017392450095526715</x:v>
      </x:c>
      <x:c r="L1543" s="46" t="n">
        <x:v>0</x:v>
      </x:c>
      <x:c r="M1543" s="46" t="n">
        <x:v>0</x:v>
      </x:c>
      <x:c r="N1543" s="21" t="n">
        <x:f>IF(AND(L1542=1,M1542=1,P1542&gt;0),1,0)</x:f>
        <x:v>0</x:v>
      </x:c>
      <x:c r="O1543" s="21" t="n">
        <x:f>MIN('Root Data'!I466:I468)</x:f>
        <x:v>0</x:v>
      </x:c>
      <x:c r="P1543" s="44" t="n">
        <x:f>IF(AND(L1543=1,M1543=1,N1543=1,O1543&gt;=G1543),K1543,0)</x:f>
        <x:v>0</x:v>
      </x:c>
      <x:c r="Q1543" s="21" t="str">
        <x:v>OPEN</x:v>
      </x:c>
      <x:c r="R1543" s="23" t="str">
        <x:v>HOLD</x:v>
      </x:c>
    </x:row>
    <x:row r="1544">
      <x:c r="B1544" s="21" t="str">
        <x:v>AR-01538</x:v>
      </x:c>
      <x:c r="C1544" s="21" t="str">
        <x:v>F39-I2</x:v>
      </x:c>
      <x:c r="D1544" s="21" t="str">
        <x:v>F39</x:v>
      </x:c>
      <x:c r="E1544" s="21" t="n">
        <x:v>8</x:v>
      </x:c>
      <x:c r="F1544" s="21" t="str">
        <x:v>Pilot-process qualification</x:v>
      </x:c>
      <x:c r="G1544" s="21" t="n">
        <x:v>28</x:v>
      </x:c>
      <x:c r="H1544" s="21" t="str">
        <x:v>AIMC Industrial Mobilization Authority</x:v>
      </x:c>
      <x:c r="I1544" s="44" t="n">
        <x:f>Lifecycle!G14</x:f>
        <x:v>0.03952829567165163</x:v>
      </x:c>
      <x:c r="J1544" s="44" t="n">
        <x:v>0.08</x:v>
      </x:c>
      <x:c r="K1544" s="44" t="n">
        <x:f>I1544*J1544</x:f>
        <x:v>0.0031622636537321303</x:v>
      </x:c>
      <x:c r="L1544" s="46" t="n">
        <x:v>0</x:v>
      </x:c>
      <x:c r="M1544" s="46" t="n">
        <x:v>0</x:v>
      </x:c>
      <x:c r="N1544" s="21" t="n">
        <x:f>IF(AND(L1543=1,M1543=1,P1543&gt;0),1,0)</x:f>
        <x:v>0</x:v>
      </x:c>
      <x:c r="O1544" s="21" t="n">
        <x:f>MIN('Root Data'!I466:I468)</x:f>
        <x:v>0</x:v>
      </x:c>
      <x:c r="P1544" s="44" t="n">
        <x:f>IF(AND(L1544=1,M1544=1,N1544=1,O1544&gt;=G1544),K1544,0)</x:f>
        <x:v>0</x:v>
      </x:c>
      <x:c r="Q1544" s="21" t="str">
        <x:v>OPEN</x:v>
      </x:c>
      <x:c r="R1544" s="23" t="str">
        <x:v>HOLD</x:v>
      </x:c>
    </x:row>
    <x:row r="1545">
      <x:c r="B1545" s="21" t="str">
        <x:v>AR-01539</x:v>
      </x:c>
      <x:c r="C1545" s="21" t="str">
        <x:v>F39-I2</x:v>
      </x:c>
      <x:c r="D1545" s="21" t="str">
        <x:v>F39</x:v>
      </x:c>
      <x:c r="E1545" s="21" t="n">
        <x:v>9</x:v>
      </x:c>
      <x:c r="F1545" s="21" t="str">
        <x:v>Production release package</x:v>
      </x:c>
      <x:c r="G1545" s="21" t="n">
        <x:v>28</x:v>
      </x:c>
      <x:c r="H1545" s="21" t="str">
        <x:v>Production Release Board</x:v>
      </x:c>
      <x:c r="I1545" s="44" t="n">
        <x:f>Lifecycle!G15</x:f>
        <x:v>0.01647012319652151</x:v>
      </x:c>
      <x:c r="J1545" s="44" t="n">
        <x:v>0.08</x:v>
      </x:c>
      <x:c r="K1545" s="44" t="n">
        <x:f>I1545*J1545</x:f>
        <x:v>0.0013176098557217209</x:v>
      </x:c>
      <x:c r="L1545" s="46" t="n">
        <x:v>0</x:v>
      </x:c>
      <x:c r="M1545" s="46" t="n">
        <x:v>0</x:v>
      </x:c>
      <x:c r="N1545" s="21" t="n">
        <x:f>IF(AND(L1544=1,M1544=1,P1544&gt;0),1,0)</x:f>
        <x:v>0</x:v>
      </x:c>
      <x:c r="O1545" s="21" t="n">
        <x:f>MIN('Root Data'!I466:I468)</x:f>
        <x:v>0</x:v>
      </x:c>
      <x:c r="P1545" s="44" t="n">
        <x:f>IF(AND(L1545=1,M1545=1,N1545=1,O1545&gt;=G1545),K1545,0)</x:f>
        <x:v>0</x:v>
      </x:c>
      <x:c r="Q1545" s="21" t="str">
        <x:v>OPEN</x:v>
      </x:c>
      <x:c r="R1545" s="23" t="str">
        <x:v>HOLD</x:v>
      </x:c>
    </x:row>
    <x:row r="1546">
      <x:c r="B1546" s="21" t="str">
        <x:v>AR-01540</x:v>
      </x:c>
      <x:c r="C1546" s="21" t="str">
        <x:v>F39-I2</x:v>
      </x:c>
      <x:c r="D1546" s="21" t="str">
        <x:v>F39</x:v>
      </x:c>
      <x:c r="E1546" s="21" t="n">
        <x:v>10</x:v>
      </x:c>
      <x:c r="F1546" s="21" t="str">
        <x:v>Mobilization activation</x:v>
      </x:c>
      <x:c r="G1546" s="21" t="n">
        <x:v>28</x:v>
      </x:c>
      <x:c r="H1546" s="21" t="str">
        <x:v>Production Release Board</x:v>
      </x:c>
      <x:c r="I1546" s="44" t="n">
        <x:f>Lifecycle!G16</x:f>
        <x:v>0.028262731405230914</x:v>
      </x:c>
      <x:c r="J1546" s="44" t="n">
        <x:v>0.08</x:v>
      </x:c>
      <x:c r="K1546" s="44" t="n">
        <x:f>I1546*J1546</x:f>
        <x:v>0.002261018512418473</x:v>
      </x:c>
      <x:c r="L1546" s="46" t="n">
        <x:v>0</x:v>
      </x:c>
      <x:c r="M1546" s="46" t="n">
        <x:v>0</x:v>
      </x:c>
      <x:c r="N1546" s="21" t="n">
        <x:f>IF(AND(L1545=1,M1545=1,P1545&gt;0),1,0)</x:f>
        <x:v>0</x:v>
      </x:c>
      <x:c r="O1546" s="21" t="n">
        <x:f>MIN('Root Data'!I466:I468)</x:f>
        <x:v>0</x:v>
      </x:c>
      <x:c r="P1546" s="44" t="n">
        <x:f>IF(AND(L1546=1,M1546=1,N1546=1,O1546&gt;=G1546),K1546,0)</x:f>
        <x:v>0</x:v>
      </x:c>
      <x:c r="Q1546" s="21" t="str">
        <x:v>OPEN</x:v>
      </x:c>
      <x:c r="R1546" s="23" t="str">
        <x:v>HOLD</x:v>
      </x:c>
    </x:row>
    <x:row r="1547">
      <x:c r="B1547" s="21" t="str">
        <x:v>AR-01541</x:v>
      </x:c>
      <x:c r="C1547" s="21" t="str">
        <x:v>F39-I3</x:v>
      </x:c>
      <x:c r="D1547" s="21" t="str">
        <x:v>F39</x:v>
      </x:c>
      <x:c r="E1547" s="21" t="n">
        <x:v>1</x:v>
      </x:c>
      <x:c r="F1547" s="21" t="str">
        <x:v>Civil effect charter</x:v>
      </x:c>
      <x:c r="G1547" s="21" t="n">
        <x:v>0</x:v>
      </x:c>
      <x:c r="H1547" s="21" t="str">
        <x:v>Civil Guarantee Authority</x:v>
      </x:c>
      <x:c r="I1547" s="44" t="n">
        <x:f>Lifecycle!G7</x:f>
        <x:v>0.04941036958956453</x:v>
      </x:c>
      <x:c r="J1547" s="44" t="n">
        <x:v>0.08</x:v>
      </x:c>
      <x:c r="K1547" s="44" t="n">
        <x:f>I1547*J1547</x:f>
        <x:v>0.003952829567165163</x:v>
      </x:c>
      <x:c r="L1547" s="46" t="n">
        <x:v>0</x:v>
      </x:c>
      <x:c r="M1547" s="46" t="n">
        <x:v>0</x:v>
      </x:c>
      <x:c r="N1547" s="21" t="n">
        <x:f>1</x:f>
        <x:v>1</x:v>
      </x:c>
      <x:c r="O1547" s="21" t="n">
        <x:f>MIN('Root Data'!I469:I471)</x:f>
        <x:v>0</x:v>
      </x:c>
      <x:c r="P1547" s="44" t="n">
        <x:f>IF(AND(L1547=1,M1547=1,N1547=1,O1547&gt;=G1547),K1547,0)</x:f>
        <x:v>0</x:v>
      </x:c>
      <x:c r="Q1547" s="21" t="str">
        <x:v>OPEN</x:v>
      </x:c>
      <x:c r="R1547" s="23" t="str">
        <x:v>HOLD</x:v>
      </x:c>
    </x:row>
    <x:row r="1548">
      <x:c r="B1548" s="21" t="str">
        <x:v>AR-01542</x:v>
      </x:c>
      <x:c r="C1548" s="21" t="str">
        <x:v>F39-I3</x:v>
      </x:c>
      <x:c r="D1548" s="21" t="str">
        <x:v>F39</x:v>
      </x:c>
      <x:c r="E1548" s="21" t="n">
        <x:v>2</x:v>
      </x:c>
      <x:c r="F1548" s="21" t="str">
        <x:v>Requirement and root-independence package</x:v>
      </x:c>
      <x:c r="G1548" s="21" t="n">
        <x:v>8</x:v>
      </x:c>
      <x:c r="H1548" s="21" t="str">
        <x:v>Resilience Staff</x:v>
      </x:c>
      <x:c r="I1548" s="44" t="n">
        <x:f>Lifecycle!G8</x:f>
        <x:v>0.10211476381843337</x:v>
      </x:c>
      <x:c r="J1548" s="44" t="n">
        <x:v>0.08</x:v>
      </x:c>
      <x:c r="K1548" s="44" t="n">
        <x:f>I1548*J1548</x:f>
        <x:v>0.00816918110547467</x:v>
      </x:c>
      <x:c r="L1548" s="46" t="n">
        <x:v>0</x:v>
      </x:c>
      <x:c r="M1548" s="46" t="n">
        <x:v>0</x:v>
      </x:c>
      <x:c r="N1548" s="21" t="n">
        <x:f>IF(AND(L1547=1,M1547=1,P1547&gt;0),1,0)</x:f>
        <x:v>0</x:v>
      </x:c>
      <x:c r="O1548" s="21" t="n">
        <x:f>MIN('Root Data'!I469:I471)</x:f>
        <x:v>0</x:v>
      </x:c>
      <x:c r="P1548" s="44" t="n">
        <x:f>IF(AND(L1548=1,M1548=1,N1548=1,O1548&gt;=G1548),K1548,0)</x:f>
        <x:v>0</x:v>
      </x:c>
      <x:c r="Q1548" s="21" t="str">
        <x:v>OPEN</x:v>
      </x:c>
      <x:c r="R1548" s="23" t="str">
        <x:v>HOLD</x:v>
      </x:c>
    </x:row>
    <x:row r="1549">
      <x:c r="B1549" s="21" t="str">
        <x:v>AR-01543</x:v>
      </x:c>
      <x:c r="C1549" s="21" t="str">
        <x:v>F39-I3</x:v>
      </x:c>
      <x:c r="D1549" s="21" t="str">
        <x:v>F39</x:v>
      </x:c>
      <x:c r="E1549" s="21" t="n">
        <x:v>3</x:v>
      </x:c>
      <x:c r="F1549" s="21" t="str">
        <x:v>Architecture and burden closure</x:v>
      </x:c>
      <x:c r="G1549" s="21" t="n">
        <x:v>14</x:v>
      </x:c>
      <x:c r="H1549" s="21" t="str">
        <x:v>Independent Evidence and Data Authority</x:v>
      </x:c>
      <x:c r="I1549" s="44" t="n">
        <x:f>Lifecycle!G9</x:f>
        <x:v>0.08564464062191186</x:v>
      </x:c>
      <x:c r="J1549" s="44" t="n">
        <x:v>0.08</x:v>
      </x:c>
      <x:c r="K1549" s="44" t="n">
        <x:f>I1549*J1549</x:f>
        <x:v>0.006851571249752949</x:v>
      </x:c>
      <x:c r="L1549" s="46" t="n">
        <x:v>0</x:v>
      </x:c>
      <x:c r="M1549" s="46" t="n">
        <x:v>0</x:v>
      </x:c>
      <x:c r="N1549" s="21" t="n">
        <x:f>IF(AND(L1548=1,M1548=1,P1548&gt;0),1,0)</x:f>
        <x:v>0</x:v>
      </x:c>
      <x:c r="O1549" s="21" t="n">
        <x:f>MIN('Root Data'!I469:I471)</x:f>
        <x:v>0</x:v>
      </x:c>
      <x:c r="P1549" s="44" t="n">
        <x:f>IF(AND(L1549=1,M1549=1,N1549=1,O1549&gt;=G1549),K1549,0)</x:f>
        <x:v>0</x:v>
      </x:c>
      <x:c r="Q1549" s="21" t="str">
        <x:v>OPEN</x:v>
      </x:c>
      <x:c r="R1549" s="23" t="str">
        <x:v>HOLD</x:v>
      </x:c>
    </x:row>
    <x:row r="1550">
      <x:c r="B1550" s="21" t="str">
        <x:v>AR-01544</x:v>
      </x:c>
      <x:c r="C1550" s="21" t="str">
        <x:v>F39-I3</x:v>
      </x:c>
      <x:c r="D1550" s="21" t="str">
        <x:v>F39</x:v>
      </x:c>
      <x:c r="E1550" s="21" t="n">
        <x:v>4</x:v>
      </x:c>
      <x:c r="F1550" s="21" t="str">
        <x:v>Engineering article acceptance</x:v>
      </x:c>
      <x:c r="G1550" s="21" t="n">
        <x:v>18</x:v>
      </x:c>
      <x:c r="H1550" s="21" t="str">
        <x:v>Independent Evidence and Data Authority</x:v>
      </x:c>
      <x:c r="I1550" s="44" t="n">
        <x:f>Lifecycle!G10</x:f>
        <x:v>0.05929244350747744</x:v>
      </x:c>
      <x:c r="J1550" s="44" t="n">
        <x:v>0.08</x:v>
      </x:c>
      <x:c r="K1550" s="44" t="n">
        <x:f>I1550*J1550</x:f>
        <x:v>0.004743395480598196</x:v>
      </x:c>
      <x:c r="L1550" s="46" t="n">
        <x:v>0</x:v>
      </x:c>
      <x:c r="M1550" s="46" t="n">
        <x:v>0</x:v>
      </x:c>
      <x:c r="N1550" s="21" t="n">
        <x:f>IF(AND(L1549=1,M1549=1,P1549&gt;0),1,0)</x:f>
        <x:v>0</x:v>
      </x:c>
      <x:c r="O1550" s="21" t="n">
        <x:f>MIN('Root Data'!I469:I471)</x:f>
        <x:v>0</x:v>
      </x:c>
      <x:c r="P1550" s="44" t="n">
        <x:f>IF(AND(L1550=1,M1550=1,N1550=1,O1550&gt;=G1550),K1550,0)</x:f>
        <x:v>0</x:v>
      </x:c>
      <x:c r="Q1550" s="21" t="str">
        <x:v>OPEN</x:v>
      </x:c>
      <x:c r="R1550" s="23" t="str">
        <x:v>HOLD</x:v>
      </x:c>
    </x:row>
    <x:row r="1551">
      <x:c r="B1551" s="21" t="str">
        <x:v>AR-01545</x:v>
      </x:c>
      <x:c r="C1551" s="21" t="str">
        <x:v>F39-I3</x:v>
      </x:c>
      <x:c r="D1551" s="21" t="str">
        <x:v>F39</x:v>
      </x:c>
      <x:c r="E1551" s="21" t="n">
        <x:v>5</x:v>
      </x:c>
      <x:c r="F1551" s="21" t="str">
        <x:v>Qualification and destructive evidence</x:v>
      </x:c>
      <x:c r="G1551" s="21" t="n">
        <x:v>21</x:v>
      </x:c>
      <x:c r="H1551" s="21" t="str">
        <x:v>Independent Evidence and Data Authority</x:v>
      </x:c>
      <x:c r="I1551" s="44" t="n">
        <x:f>Lifecycle!G11</x:f>
        <x:v>0.1515251334079979</x:v>
      </x:c>
      <x:c r="J1551" s="44" t="n">
        <x:v>0.08</x:v>
      </x:c>
      <x:c r="K1551" s="44" t="n">
        <x:f>I1551*J1551</x:f>
        <x:v>0.012122010672639832</x:v>
      </x:c>
      <x:c r="L1551" s="46" t="n">
        <x:v>0</x:v>
      </x:c>
      <x:c r="M1551" s="46" t="n">
        <x:v>0</x:v>
      </x:c>
      <x:c r="N1551" s="21" t="n">
        <x:f>IF(AND(L1550=1,M1550=1,P1550&gt;0),1,0)</x:f>
        <x:v>0</x:v>
      </x:c>
      <x:c r="O1551" s="21" t="n">
        <x:f>MIN('Root Data'!I469:I471)</x:f>
        <x:v>0</x:v>
      </x:c>
      <x:c r="P1551" s="44" t="n">
        <x:f>IF(AND(L1551=1,M1551=1,N1551=1,O1551&gt;=G1551),K1551,0)</x:f>
        <x:v>0</x:v>
      </x:c>
      <x:c r="Q1551" s="21" t="str">
        <x:v>OPEN</x:v>
      </x:c>
      <x:c r="R1551" s="23" t="str">
        <x:v>HOLD</x:v>
      </x:c>
    </x:row>
    <x:row r="1552">
      <x:c r="B1552" s="21" t="str">
        <x:v>AR-01546</x:v>
      </x:c>
      <x:c r="C1552" s="21" t="str">
        <x:v>F39-I3</x:v>
      </x:c>
      <x:c r="D1552" s="21" t="str">
        <x:v>F39</x:v>
      </x:c>
      <x:c r="E1552" s="21" t="n">
        <x:v>6</x:v>
      </x:c>
      <x:c r="F1552" s="21" t="str">
        <x:v>Representative mission result</x:v>
      </x:c>
      <x:c r="G1552" s="21" t="n">
        <x:v>23</x:v>
      </x:c>
      <x:c r="H1552" s="21" t="str">
        <x:v>Receiving Service Authority</x:v>
      </x:c>
      <x:c r="I1552" s="44" t="n">
        <x:f>Lifecycle!G12</x:f>
        <x:v>0.250345872587127</x:v>
      </x:c>
      <x:c r="J1552" s="44" t="n">
        <x:v>0.08</x:v>
      </x:c>
      <x:c r="K1552" s="44" t="n">
        <x:f>I1552*J1552</x:f>
        <x:v>0.02002766980697016</x:v>
      </x:c>
      <x:c r="L1552" s="46" t="n">
        <x:v>0</x:v>
      </x:c>
      <x:c r="M1552" s="46" t="n">
        <x:v>0</x:v>
      </x:c>
      <x:c r="N1552" s="21" t="n">
        <x:f>IF(AND(L1551=1,M1551=1,P1551&gt;0),1,0)</x:f>
        <x:v>0</x:v>
      </x:c>
      <x:c r="O1552" s="21" t="n">
        <x:f>MIN('Root Data'!I469:I471)</x:f>
        <x:v>0</x:v>
      </x:c>
      <x:c r="P1552" s="44" t="n">
        <x:f>IF(AND(L1552=1,M1552=1,N1552=1,O1552&gt;=G1552),K1552,0)</x:f>
        <x:v>0</x:v>
      </x:c>
      <x:c r="Q1552" s="21" t="str">
        <x:v>OPEN</x:v>
      </x:c>
      <x:c r="R1552" s="23" t="str">
        <x:v>HOLD</x:v>
      </x:c>
    </x:row>
    <x:row r="1553">
      <x:c r="B1553" s="21" t="str">
        <x:v>AR-01547</x:v>
      </x:c>
      <x:c r="C1553" s="21" t="str">
        <x:v>F39-I3</x:v>
      </x:c>
      <x:c r="D1553" s="21" t="str">
        <x:v>F39</x:v>
      </x:c>
      <x:c r="E1553" s="21" t="n">
        <x:v>7</x:v>
      </x:c>
      <x:c r="F1553" s="21" t="str">
        <x:v>Independent reproduction</x:v>
      </x:c>
      <x:c r="G1553" s="21" t="n">
        <x:v>28</x:v>
      </x:c>
      <x:c r="H1553" s="21" t="str">
        <x:v>Independent Evidence and Data Authority</x:v>
      </x:c>
      <x:c r="I1553" s="44" t="n">
        <x:f>Lifecycle!G13</x:f>
        <x:v>0.21740562619408393</x:v>
      </x:c>
      <x:c r="J1553" s="44" t="n">
        <x:v>0.08</x:v>
      </x:c>
      <x:c r="K1553" s="44" t="n">
        <x:f>I1553*J1553</x:f>
        <x:v>0.017392450095526715</x:v>
      </x:c>
      <x:c r="L1553" s="46" t="n">
        <x:v>0</x:v>
      </x:c>
      <x:c r="M1553" s="46" t="n">
        <x:v>0</x:v>
      </x:c>
      <x:c r="N1553" s="21" t="n">
        <x:f>IF(AND(L1552=1,M1552=1,P1552&gt;0),1,0)</x:f>
        <x:v>0</x:v>
      </x:c>
      <x:c r="O1553" s="21" t="n">
        <x:f>MIN('Root Data'!I469:I471)</x:f>
        <x:v>0</x:v>
      </x:c>
      <x:c r="P1553" s="44" t="n">
        <x:f>IF(AND(L1553=1,M1553=1,N1553=1,O1553&gt;=G1553),K1553,0)</x:f>
        <x:v>0</x:v>
      </x:c>
      <x:c r="Q1553" s="21" t="str">
        <x:v>OPEN</x:v>
      </x:c>
      <x:c r="R1553" s="23" t="str">
        <x:v>HOLD</x:v>
      </x:c>
    </x:row>
    <x:row r="1554">
      <x:c r="B1554" s="21" t="str">
        <x:v>AR-01548</x:v>
      </x:c>
      <x:c r="C1554" s="21" t="str">
        <x:v>F39-I3</x:v>
      </x:c>
      <x:c r="D1554" s="21" t="str">
        <x:v>F39</x:v>
      </x:c>
      <x:c r="E1554" s="21" t="n">
        <x:v>8</x:v>
      </x:c>
      <x:c r="F1554" s="21" t="str">
        <x:v>Pilot-process qualification</x:v>
      </x:c>
      <x:c r="G1554" s="21" t="n">
        <x:v>28</x:v>
      </x:c>
      <x:c r="H1554" s="21" t="str">
        <x:v>AIMC Industrial Mobilization Authority</x:v>
      </x:c>
      <x:c r="I1554" s="44" t="n">
        <x:f>Lifecycle!G14</x:f>
        <x:v>0.03952829567165163</x:v>
      </x:c>
      <x:c r="J1554" s="44" t="n">
        <x:v>0.08</x:v>
      </x:c>
      <x:c r="K1554" s="44" t="n">
        <x:f>I1554*J1554</x:f>
        <x:v>0.0031622636537321303</x:v>
      </x:c>
      <x:c r="L1554" s="46" t="n">
        <x:v>0</x:v>
      </x:c>
      <x:c r="M1554" s="46" t="n">
        <x:v>0</x:v>
      </x:c>
      <x:c r="N1554" s="21" t="n">
        <x:f>IF(AND(L1553=1,M1553=1,P1553&gt;0),1,0)</x:f>
        <x:v>0</x:v>
      </x:c>
      <x:c r="O1554" s="21" t="n">
        <x:f>MIN('Root Data'!I469:I471)</x:f>
        <x:v>0</x:v>
      </x:c>
      <x:c r="P1554" s="44" t="n">
        <x:f>IF(AND(L1554=1,M1554=1,N1554=1,O1554&gt;=G1554),K1554,0)</x:f>
        <x:v>0</x:v>
      </x:c>
      <x:c r="Q1554" s="21" t="str">
        <x:v>OPEN</x:v>
      </x:c>
      <x:c r="R1554" s="23" t="str">
        <x:v>HOLD</x:v>
      </x:c>
    </x:row>
    <x:row r="1555">
      <x:c r="B1555" s="21" t="str">
        <x:v>AR-01549</x:v>
      </x:c>
      <x:c r="C1555" s="21" t="str">
        <x:v>F39-I3</x:v>
      </x:c>
      <x:c r="D1555" s="21" t="str">
        <x:v>F39</x:v>
      </x:c>
      <x:c r="E1555" s="21" t="n">
        <x:v>9</x:v>
      </x:c>
      <x:c r="F1555" s="21" t="str">
        <x:v>Production release package</x:v>
      </x:c>
      <x:c r="G1555" s="21" t="n">
        <x:v>28</x:v>
      </x:c>
      <x:c r="H1555" s="21" t="str">
        <x:v>Production Release Board</x:v>
      </x:c>
      <x:c r="I1555" s="44" t="n">
        <x:f>Lifecycle!G15</x:f>
        <x:v>0.01647012319652151</x:v>
      </x:c>
      <x:c r="J1555" s="44" t="n">
        <x:v>0.08</x:v>
      </x:c>
      <x:c r="K1555" s="44" t="n">
        <x:f>I1555*J1555</x:f>
        <x:v>0.0013176098557217209</x:v>
      </x:c>
      <x:c r="L1555" s="46" t="n">
        <x:v>0</x:v>
      </x:c>
      <x:c r="M1555" s="46" t="n">
        <x:v>0</x:v>
      </x:c>
      <x:c r="N1555" s="21" t="n">
        <x:f>IF(AND(L1554=1,M1554=1,P1554&gt;0),1,0)</x:f>
        <x:v>0</x:v>
      </x:c>
      <x:c r="O1555" s="21" t="n">
        <x:f>MIN('Root Data'!I469:I471)</x:f>
        <x:v>0</x:v>
      </x:c>
      <x:c r="P1555" s="44" t="n">
        <x:f>IF(AND(L1555=1,M1555=1,N1555=1,O1555&gt;=G1555),K1555,0)</x:f>
        <x:v>0</x:v>
      </x:c>
      <x:c r="Q1555" s="21" t="str">
        <x:v>OPEN</x:v>
      </x:c>
      <x:c r="R1555" s="23" t="str">
        <x:v>HOLD</x:v>
      </x:c>
    </x:row>
    <x:row r="1556">
      <x:c r="B1556" s="21" t="str">
        <x:v>AR-01550</x:v>
      </x:c>
      <x:c r="C1556" s="21" t="str">
        <x:v>F39-I3</x:v>
      </x:c>
      <x:c r="D1556" s="21" t="str">
        <x:v>F39</x:v>
      </x:c>
      <x:c r="E1556" s="21" t="n">
        <x:v>10</x:v>
      </x:c>
      <x:c r="F1556" s="21" t="str">
        <x:v>Mobilization activation</x:v>
      </x:c>
      <x:c r="G1556" s="21" t="n">
        <x:v>28</x:v>
      </x:c>
      <x:c r="H1556" s="21" t="str">
        <x:v>Production Release Board</x:v>
      </x:c>
      <x:c r="I1556" s="44" t="n">
        <x:f>Lifecycle!G16</x:f>
        <x:v>0.028262731405230914</x:v>
      </x:c>
      <x:c r="J1556" s="44" t="n">
        <x:v>0.08</x:v>
      </x:c>
      <x:c r="K1556" s="44" t="n">
        <x:f>I1556*J1556</x:f>
        <x:v>0.002261018512418473</x:v>
      </x:c>
      <x:c r="L1556" s="46" t="n">
        <x:v>0</x:v>
      </x:c>
      <x:c r="M1556" s="46" t="n">
        <x:v>0</x:v>
      </x:c>
      <x:c r="N1556" s="21" t="n">
        <x:f>IF(AND(L1555=1,M1555=1,P1555&gt;0),1,0)</x:f>
        <x:v>0</x:v>
      </x:c>
      <x:c r="O1556" s="21" t="n">
        <x:f>MIN('Root Data'!I469:I471)</x:f>
        <x:v>0</x:v>
      </x:c>
      <x:c r="P1556" s="44" t="n">
        <x:f>IF(AND(L1556=1,M1556=1,N1556=1,O1556&gt;=G1556),K1556,0)</x:f>
        <x:v>0</x:v>
      </x:c>
      <x:c r="Q1556" s="21" t="str">
        <x:v>OPEN</x:v>
      </x:c>
      <x:c r="R1556" s="23" t="str">
        <x:v>HOLD</x:v>
      </x:c>
    </x:row>
    <x:row r="1557">
      <x:c r="B1557" s="21" t="str">
        <x:v>AR-01551</x:v>
      </x:c>
      <x:c r="C1557" s="21" t="str">
        <x:v>F39-I4</x:v>
      </x:c>
      <x:c r="D1557" s="21" t="str">
        <x:v>F39</x:v>
      </x:c>
      <x:c r="E1557" s="21" t="n">
        <x:v>1</x:v>
      </x:c>
      <x:c r="F1557" s="21" t="str">
        <x:v>Civil effect charter</x:v>
      </x:c>
      <x:c r="G1557" s="21" t="n">
        <x:v>0</x:v>
      </x:c>
      <x:c r="H1557" s="21" t="str">
        <x:v>Civil Guarantee Authority</x:v>
      </x:c>
      <x:c r="I1557" s="44" t="n">
        <x:f>Lifecycle!G7</x:f>
        <x:v>0.04941036958956453</x:v>
      </x:c>
      <x:c r="J1557" s="44" t="n">
        <x:v>0.08</x:v>
      </x:c>
      <x:c r="K1557" s="44" t="n">
        <x:f>I1557*J1557</x:f>
        <x:v>0.003952829567165163</x:v>
      </x:c>
      <x:c r="L1557" s="46" t="n">
        <x:v>0</x:v>
      </x:c>
      <x:c r="M1557" s="46" t="n">
        <x:v>0</x:v>
      </x:c>
      <x:c r="N1557" s="21" t="n">
        <x:f>1</x:f>
        <x:v>1</x:v>
      </x:c>
      <x:c r="O1557" s="21" t="n">
        <x:f>MIN('Root Data'!I472:I474)</x:f>
        <x:v>0</x:v>
      </x:c>
      <x:c r="P1557" s="44" t="n">
        <x:f>IF(AND(L1557=1,M1557=1,N1557=1,O1557&gt;=G1557),K1557,0)</x:f>
        <x:v>0</x:v>
      </x:c>
      <x:c r="Q1557" s="21" t="str">
        <x:v>OPEN</x:v>
      </x:c>
      <x:c r="R1557" s="23" t="str">
        <x:v>HOLD</x:v>
      </x:c>
    </x:row>
    <x:row r="1558">
      <x:c r="B1558" s="21" t="str">
        <x:v>AR-01552</x:v>
      </x:c>
      <x:c r="C1558" s="21" t="str">
        <x:v>F39-I4</x:v>
      </x:c>
      <x:c r="D1558" s="21" t="str">
        <x:v>F39</x:v>
      </x:c>
      <x:c r="E1558" s="21" t="n">
        <x:v>2</x:v>
      </x:c>
      <x:c r="F1558" s="21" t="str">
        <x:v>Requirement and root-independence package</x:v>
      </x:c>
      <x:c r="G1558" s="21" t="n">
        <x:v>8</x:v>
      </x:c>
      <x:c r="H1558" s="21" t="str">
        <x:v>Resilience Staff</x:v>
      </x:c>
      <x:c r="I1558" s="44" t="n">
        <x:f>Lifecycle!G8</x:f>
        <x:v>0.10211476381843337</x:v>
      </x:c>
      <x:c r="J1558" s="44" t="n">
        <x:v>0.08</x:v>
      </x:c>
      <x:c r="K1558" s="44" t="n">
        <x:f>I1558*J1558</x:f>
        <x:v>0.00816918110547467</x:v>
      </x:c>
      <x:c r="L1558" s="46" t="n">
        <x:v>0</x:v>
      </x:c>
      <x:c r="M1558" s="46" t="n">
        <x:v>0</x:v>
      </x:c>
      <x:c r="N1558" s="21" t="n">
        <x:f>IF(AND(L1557=1,M1557=1,P1557&gt;0),1,0)</x:f>
        <x:v>0</x:v>
      </x:c>
      <x:c r="O1558" s="21" t="n">
        <x:f>MIN('Root Data'!I472:I474)</x:f>
        <x:v>0</x:v>
      </x:c>
      <x:c r="P1558" s="44" t="n">
        <x:f>IF(AND(L1558=1,M1558=1,N1558=1,O1558&gt;=G1558),K1558,0)</x:f>
        <x:v>0</x:v>
      </x:c>
      <x:c r="Q1558" s="21" t="str">
        <x:v>OPEN</x:v>
      </x:c>
      <x:c r="R1558" s="23" t="str">
        <x:v>HOLD</x:v>
      </x:c>
    </x:row>
    <x:row r="1559">
      <x:c r="B1559" s="21" t="str">
        <x:v>AR-01553</x:v>
      </x:c>
      <x:c r="C1559" s="21" t="str">
        <x:v>F39-I4</x:v>
      </x:c>
      <x:c r="D1559" s="21" t="str">
        <x:v>F39</x:v>
      </x:c>
      <x:c r="E1559" s="21" t="n">
        <x:v>3</x:v>
      </x:c>
      <x:c r="F1559" s="21" t="str">
        <x:v>Architecture and burden closure</x:v>
      </x:c>
      <x:c r="G1559" s="21" t="n">
        <x:v>14</x:v>
      </x:c>
      <x:c r="H1559" s="21" t="str">
        <x:v>Independent Evidence and Data Authority</x:v>
      </x:c>
      <x:c r="I1559" s="44" t="n">
        <x:f>Lifecycle!G9</x:f>
        <x:v>0.08564464062191186</x:v>
      </x:c>
      <x:c r="J1559" s="44" t="n">
        <x:v>0.08</x:v>
      </x:c>
      <x:c r="K1559" s="44" t="n">
        <x:f>I1559*J1559</x:f>
        <x:v>0.006851571249752949</x:v>
      </x:c>
      <x:c r="L1559" s="46" t="n">
        <x:v>0</x:v>
      </x:c>
      <x:c r="M1559" s="46" t="n">
        <x:v>0</x:v>
      </x:c>
      <x:c r="N1559" s="21" t="n">
        <x:f>IF(AND(L1558=1,M1558=1,P1558&gt;0),1,0)</x:f>
        <x:v>0</x:v>
      </x:c>
      <x:c r="O1559" s="21" t="n">
        <x:f>MIN('Root Data'!I472:I474)</x:f>
        <x:v>0</x:v>
      </x:c>
      <x:c r="P1559" s="44" t="n">
        <x:f>IF(AND(L1559=1,M1559=1,N1559=1,O1559&gt;=G1559),K1559,0)</x:f>
        <x:v>0</x:v>
      </x:c>
      <x:c r="Q1559" s="21" t="str">
        <x:v>OPEN</x:v>
      </x:c>
      <x:c r="R1559" s="23" t="str">
        <x:v>HOLD</x:v>
      </x:c>
    </x:row>
    <x:row r="1560">
      <x:c r="B1560" s="21" t="str">
        <x:v>AR-01554</x:v>
      </x:c>
      <x:c r="C1560" s="21" t="str">
        <x:v>F39-I4</x:v>
      </x:c>
      <x:c r="D1560" s="21" t="str">
        <x:v>F39</x:v>
      </x:c>
      <x:c r="E1560" s="21" t="n">
        <x:v>4</x:v>
      </x:c>
      <x:c r="F1560" s="21" t="str">
        <x:v>Engineering article acceptance</x:v>
      </x:c>
      <x:c r="G1560" s="21" t="n">
        <x:v>18</x:v>
      </x:c>
      <x:c r="H1560" s="21" t="str">
        <x:v>Independent Evidence and Data Authority</x:v>
      </x:c>
      <x:c r="I1560" s="44" t="n">
        <x:f>Lifecycle!G10</x:f>
        <x:v>0.05929244350747744</x:v>
      </x:c>
      <x:c r="J1560" s="44" t="n">
        <x:v>0.08</x:v>
      </x:c>
      <x:c r="K1560" s="44" t="n">
        <x:f>I1560*J1560</x:f>
        <x:v>0.004743395480598196</x:v>
      </x:c>
      <x:c r="L1560" s="46" t="n">
        <x:v>0</x:v>
      </x:c>
      <x:c r="M1560" s="46" t="n">
        <x:v>0</x:v>
      </x:c>
      <x:c r="N1560" s="21" t="n">
        <x:f>IF(AND(L1559=1,M1559=1,P1559&gt;0),1,0)</x:f>
        <x:v>0</x:v>
      </x:c>
      <x:c r="O1560" s="21" t="n">
        <x:f>MIN('Root Data'!I472:I474)</x:f>
        <x:v>0</x:v>
      </x:c>
      <x:c r="P1560" s="44" t="n">
        <x:f>IF(AND(L1560=1,M1560=1,N1560=1,O1560&gt;=G1560),K1560,0)</x:f>
        <x:v>0</x:v>
      </x:c>
      <x:c r="Q1560" s="21" t="str">
        <x:v>OPEN</x:v>
      </x:c>
      <x:c r="R1560" s="23" t="str">
        <x:v>HOLD</x:v>
      </x:c>
    </x:row>
    <x:row r="1561">
      <x:c r="B1561" s="21" t="str">
        <x:v>AR-01555</x:v>
      </x:c>
      <x:c r="C1561" s="21" t="str">
        <x:v>F39-I4</x:v>
      </x:c>
      <x:c r="D1561" s="21" t="str">
        <x:v>F39</x:v>
      </x:c>
      <x:c r="E1561" s="21" t="n">
        <x:v>5</x:v>
      </x:c>
      <x:c r="F1561" s="21" t="str">
        <x:v>Qualification and destructive evidence</x:v>
      </x:c>
      <x:c r="G1561" s="21" t="n">
        <x:v>21</x:v>
      </x:c>
      <x:c r="H1561" s="21" t="str">
        <x:v>Independent Evidence and Data Authority</x:v>
      </x:c>
      <x:c r="I1561" s="44" t="n">
        <x:f>Lifecycle!G11</x:f>
        <x:v>0.1515251334079979</x:v>
      </x:c>
      <x:c r="J1561" s="44" t="n">
        <x:v>0.08</x:v>
      </x:c>
      <x:c r="K1561" s="44" t="n">
        <x:f>I1561*J1561</x:f>
        <x:v>0.012122010672639832</x:v>
      </x:c>
      <x:c r="L1561" s="46" t="n">
        <x:v>0</x:v>
      </x:c>
      <x:c r="M1561" s="46" t="n">
        <x:v>0</x:v>
      </x:c>
      <x:c r="N1561" s="21" t="n">
        <x:f>IF(AND(L1560=1,M1560=1,P1560&gt;0),1,0)</x:f>
        <x:v>0</x:v>
      </x:c>
      <x:c r="O1561" s="21" t="n">
        <x:f>MIN('Root Data'!I472:I474)</x:f>
        <x:v>0</x:v>
      </x:c>
      <x:c r="P1561" s="44" t="n">
        <x:f>IF(AND(L1561=1,M1561=1,N1561=1,O1561&gt;=G1561),K1561,0)</x:f>
        <x:v>0</x:v>
      </x:c>
      <x:c r="Q1561" s="21" t="str">
        <x:v>OPEN</x:v>
      </x:c>
      <x:c r="R1561" s="23" t="str">
        <x:v>HOLD</x:v>
      </x:c>
    </x:row>
    <x:row r="1562">
      <x:c r="B1562" s="21" t="str">
        <x:v>AR-01556</x:v>
      </x:c>
      <x:c r="C1562" s="21" t="str">
        <x:v>F39-I4</x:v>
      </x:c>
      <x:c r="D1562" s="21" t="str">
        <x:v>F39</x:v>
      </x:c>
      <x:c r="E1562" s="21" t="n">
        <x:v>6</x:v>
      </x:c>
      <x:c r="F1562" s="21" t="str">
        <x:v>Representative mission result</x:v>
      </x:c>
      <x:c r="G1562" s="21" t="n">
        <x:v>23</x:v>
      </x:c>
      <x:c r="H1562" s="21" t="str">
        <x:v>Receiving Service Authority</x:v>
      </x:c>
      <x:c r="I1562" s="44" t="n">
        <x:f>Lifecycle!G12</x:f>
        <x:v>0.250345872587127</x:v>
      </x:c>
      <x:c r="J1562" s="44" t="n">
        <x:v>0.08</x:v>
      </x:c>
      <x:c r="K1562" s="44" t="n">
        <x:f>I1562*J1562</x:f>
        <x:v>0.02002766980697016</x:v>
      </x:c>
      <x:c r="L1562" s="46" t="n">
        <x:v>0</x:v>
      </x:c>
      <x:c r="M1562" s="46" t="n">
        <x:v>0</x:v>
      </x:c>
      <x:c r="N1562" s="21" t="n">
        <x:f>IF(AND(L1561=1,M1561=1,P1561&gt;0),1,0)</x:f>
        <x:v>0</x:v>
      </x:c>
      <x:c r="O1562" s="21" t="n">
        <x:f>MIN('Root Data'!I472:I474)</x:f>
        <x:v>0</x:v>
      </x:c>
      <x:c r="P1562" s="44" t="n">
        <x:f>IF(AND(L1562=1,M1562=1,N1562=1,O1562&gt;=G1562),K1562,0)</x:f>
        <x:v>0</x:v>
      </x:c>
      <x:c r="Q1562" s="21" t="str">
        <x:v>OPEN</x:v>
      </x:c>
      <x:c r="R1562" s="23" t="str">
        <x:v>HOLD</x:v>
      </x:c>
    </x:row>
    <x:row r="1563">
      <x:c r="B1563" s="21" t="str">
        <x:v>AR-01557</x:v>
      </x:c>
      <x:c r="C1563" s="21" t="str">
        <x:v>F39-I4</x:v>
      </x:c>
      <x:c r="D1563" s="21" t="str">
        <x:v>F39</x:v>
      </x:c>
      <x:c r="E1563" s="21" t="n">
        <x:v>7</x:v>
      </x:c>
      <x:c r="F1563" s="21" t="str">
        <x:v>Independent reproduction</x:v>
      </x:c>
      <x:c r="G1563" s="21" t="n">
        <x:v>28</x:v>
      </x:c>
      <x:c r="H1563" s="21" t="str">
        <x:v>Independent Evidence and Data Authority</x:v>
      </x:c>
      <x:c r="I1563" s="44" t="n">
        <x:f>Lifecycle!G13</x:f>
        <x:v>0.21740562619408393</x:v>
      </x:c>
      <x:c r="J1563" s="44" t="n">
        <x:v>0.08</x:v>
      </x:c>
      <x:c r="K1563" s="44" t="n">
        <x:f>I1563*J1563</x:f>
        <x:v>0.017392450095526715</x:v>
      </x:c>
      <x:c r="L1563" s="46" t="n">
        <x:v>0</x:v>
      </x:c>
      <x:c r="M1563" s="46" t="n">
        <x:v>0</x:v>
      </x:c>
      <x:c r="N1563" s="21" t="n">
        <x:f>IF(AND(L1562=1,M1562=1,P1562&gt;0),1,0)</x:f>
        <x:v>0</x:v>
      </x:c>
      <x:c r="O1563" s="21" t="n">
        <x:f>MIN('Root Data'!I472:I474)</x:f>
        <x:v>0</x:v>
      </x:c>
      <x:c r="P1563" s="44" t="n">
        <x:f>IF(AND(L1563=1,M1563=1,N1563=1,O1563&gt;=G1563),K1563,0)</x:f>
        <x:v>0</x:v>
      </x:c>
      <x:c r="Q1563" s="21" t="str">
        <x:v>OPEN</x:v>
      </x:c>
      <x:c r="R1563" s="23" t="str">
        <x:v>HOLD</x:v>
      </x:c>
    </x:row>
    <x:row r="1564">
      <x:c r="B1564" s="21" t="str">
        <x:v>AR-01558</x:v>
      </x:c>
      <x:c r="C1564" s="21" t="str">
        <x:v>F39-I4</x:v>
      </x:c>
      <x:c r="D1564" s="21" t="str">
        <x:v>F39</x:v>
      </x:c>
      <x:c r="E1564" s="21" t="n">
        <x:v>8</x:v>
      </x:c>
      <x:c r="F1564" s="21" t="str">
        <x:v>Pilot-process qualification</x:v>
      </x:c>
      <x:c r="G1564" s="21" t="n">
        <x:v>28</x:v>
      </x:c>
      <x:c r="H1564" s="21" t="str">
        <x:v>AIMC Industrial Mobilization Authority</x:v>
      </x:c>
      <x:c r="I1564" s="44" t="n">
        <x:f>Lifecycle!G14</x:f>
        <x:v>0.03952829567165163</x:v>
      </x:c>
      <x:c r="J1564" s="44" t="n">
        <x:v>0.08</x:v>
      </x:c>
      <x:c r="K1564" s="44" t="n">
        <x:f>I1564*J1564</x:f>
        <x:v>0.0031622636537321303</x:v>
      </x:c>
      <x:c r="L1564" s="46" t="n">
        <x:v>0</x:v>
      </x:c>
      <x:c r="M1564" s="46" t="n">
        <x:v>0</x:v>
      </x:c>
      <x:c r="N1564" s="21" t="n">
        <x:f>IF(AND(L1563=1,M1563=1,P1563&gt;0),1,0)</x:f>
        <x:v>0</x:v>
      </x:c>
      <x:c r="O1564" s="21" t="n">
        <x:f>MIN('Root Data'!I472:I474)</x:f>
        <x:v>0</x:v>
      </x:c>
      <x:c r="P1564" s="44" t="n">
        <x:f>IF(AND(L1564=1,M1564=1,N1564=1,O1564&gt;=G1564),K1564,0)</x:f>
        <x:v>0</x:v>
      </x:c>
      <x:c r="Q1564" s="21" t="str">
        <x:v>OPEN</x:v>
      </x:c>
      <x:c r="R1564" s="23" t="str">
        <x:v>HOLD</x:v>
      </x:c>
    </x:row>
    <x:row r="1565">
      <x:c r="B1565" s="21" t="str">
        <x:v>AR-01559</x:v>
      </x:c>
      <x:c r="C1565" s="21" t="str">
        <x:v>F39-I4</x:v>
      </x:c>
      <x:c r="D1565" s="21" t="str">
        <x:v>F39</x:v>
      </x:c>
      <x:c r="E1565" s="21" t="n">
        <x:v>9</x:v>
      </x:c>
      <x:c r="F1565" s="21" t="str">
        <x:v>Production release package</x:v>
      </x:c>
      <x:c r="G1565" s="21" t="n">
        <x:v>28</x:v>
      </x:c>
      <x:c r="H1565" s="21" t="str">
        <x:v>Production Release Board</x:v>
      </x:c>
      <x:c r="I1565" s="44" t="n">
        <x:f>Lifecycle!G15</x:f>
        <x:v>0.01647012319652151</x:v>
      </x:c>
      <x:c r="J1565" s="44" t="n">
        <x:v>0.08</x:v>
      </x:c>
      <x:c r="K1565" s="44" t="n">
        <x:f>I1565*J1565</x:f>
        <x:v>0.0013176098557217209</x:v>
      </x:c>
      <x:c r="L1565" s="46" t="n">
        <x:v>0</x:v>
      </x:c>
      <x:c r="M1565" s="46" t="n">
        <x:v>0</x:v>
      </x:c>
      <x:c r="N1565" s="21" t="n">
        <x:f>IF(AND(L1564=1,M1564=1,P1564&gt;0),1,0)</x:f>
        <x:v>0</x:v>
      </x:c>
      <x:c r="O1565" s="21" t="n">
        <x:f>MIN('Root Data'!I472:I474)</x:f>
        <x:v>0</x:v>
      </x:c>
      <x:c r="P1565" s="44" t="n">
        <x:f>IF(AND(L1565=1,M1565=1,N1565=1,O1565&gt;=G1565),K1565,0)</x:f>
        <x:v>0</x:v>
      </x:c>
      <x:c r="Q1565" s="21" t="str">
        <x:v>OPEN</x:v>
      </x:c>
      <x:c r="R1565" s="23" t="str">
        <x:v>HOLD</x:v>
      </x:c>
    </x:row>
    <x:row r="1566">
      <x:c r="B1566" s="21" t="str">
        <x:v>AR-01560</x:v>
      </x:c>
      <x:c r="C1566" s="21" t="str">
        <x:v>F39-I4</x:v>
      </x:c>
      <x:c r="D1566" s="21" t="str">
        <x:v>F39</x:v>
      </x:c>
      <x:c r="E1566" s="21" t="n">
        <x:v>10</x:v>
      </x:c>
      <x:c r="F1566" s="21" t="str">
        <x:v>Mobilization activation</x:v>
      </x:c>
      <x:c r="G1566" s="21" t="n">
        <x:v>28</x:v>
      </x:c>
      <x:c r="H1566" s="21" t="str">
        <x:v>Production Release Board</x:v>
      </x:c>
      <x:c r="I1566" s="44" t="n">
        <x:f>Lifecycle!G16</x:f>
        <x:v>0.028262731405230914</x:v>
      </x:c>
      <x:c r="J1566" s="44" t="n">
        <x:v>0.08</x:v>
      </x:c>
      <x:c r="K1566" s="44" t="n">
        <x:f>I1566*J1566</x:f>
        <x:v>0.002261018512418473</x:v>
      </x:c>
      <x:c r="L1566" s="46" t="n">
        <x:v>0</x:v>
      </x:c>
      <x:c r="M1566" s="46" t="n">
        <x:v>0</x:v>
      </x:c>
      <x:c r="N1566" s="21" t="n">
        <x:f>IF(AND(L1565=1,M1565=1,P1565&gt;0),1,0)</x:f>
        <x:v>0</x:v>
      </x:c>
      <x:c r="O1566" s="21" t="n">
        <x:f>MIN('Root Data'!I472:I474)</x:f>
        <x:v>0</x:v>
      </x:c>
      <x:c r="P1566" s="44" t="n">
        <x:f>IF(AND(L1566=1,M1566=1,N1566=1,O1566&gt;=G1566),K1566,0)</x:f>
        <x:v>0</x:v>
      </x:c>
      <x:c r="Q1566" s="21" t="str">
        <x:v>OPEN</x:v>
      </x:c>
      <x:c r="R1566" s="23" t="str">
        <x:v>HOLD</x:v>
      </x:c>
    </x:row>
    <x:row r="1567">
      <x:c r="B1567" s="21" t="str">
        <x:v>AR-01561</x:v>
      </x:c>
      <x:c r="C1567" s="21" t="str">
        <x:v>F40-I1</x:v>
      </x:c>
      <x:c r="D1567" s="21" t="str">
        <x:v>F40</x:v>
      </x:c>
      <x:c r="E1567" s="21" t="n">
        <x:v>1</x:v>
      </x:c>
      <x:c r="F1567" s="21" t="str">
        <x:v>Civil effect charter</x:v>
      </x:c>
      <x:c r="G1567" s="21" t="n">
        <x:v>0</x:v>
      </x:c>
      <x:c r="H1567" s="21" t="str">
        <x:v>Civil Guarantee Authority</x:v>
      </x:c>
      <x:c r="I1567" s="44" t="n">
        <x:f>Lifecycle!G7</x:f>
        <x:v>0.04941036958956453</x:v>
      </x:c>
      <x:c r="J1567" s="44" t="n">
        <x:v>0.08</x:v>
      </x:c>
      <x:c r="K1567" s="44" t="n">
        <x:f>I1567*J1567</x:f>
        <x:v>0.003952829567165163</x:v>
      </x:c>
      <x:c r="L1567" s="46" t="n">
        <x:v>0</x:v>
      </x:c>
      <x:c r="M1567" s="46" t="n">
        <x:v>0</x:v>
      </x:c>
      <x:c r="N1567" s="21" t="n">
        <x:f>1</x:f>
        <x:v>1</x:v>
      </x:c>
      <x:c r="O1567" s="21" t="n">
        <x:f>MIN('Root Data'!I475:I477)</x:f>
        <x:v>0</x:v>
      </x:c>
      <x:c r="P1567" s="44" t="n">
        <x:f>IF(AND(L1567=1,M1567=1,N1567=1,O1567&gt;=G1567),K1567,0)</x:f>
        <x:v>0</x:v>
      </x:c>
      <x:c r="Q1567" s="21" t="str">
        <x:v>OPEN</x:v>
      </x:c>
      <x:c r="R1567" s="23" t="str">
        <x:v>HOLD</x:v>
      </x:c>
    </x:row>
    <x:row r="1568">
      <x:c r="B1568" s="21" t="str">
        <x:v>AR-01562</x:v>
      </x:c>
      <x:c r="C1568" s="21" t="str">
        <x:v>F40-I1</x:v>
      </x:c>
      <x:c r="D1568" s="21" t="str">
        <x:v>F40</x:v>
      </x:c>
      <x:c r="E1568" s="21" t="n">
        <x:v>2</x:v>
      </x:c>
      <x:c r="F1568" s="21" t="str">
        <x:v>Requirement and root-independence package</x:v>
      </x:c>
      <x:c r="G1568" s="21" t="n">
        <x:v>8</x:v>
      </x:c>
      <x:c r="H1568" s="21" t="str">
        <x:v>Resilience Staff</x:v>
      </x:c>
      <x:c r="I1568" s="44" t="n">
        <x:f>Lifecycle!G8</x:f>
        <x:v>0.10211476381843337</x:v>
      </x:c>
      <x:c r="J1568" s="44" t="n">
        <x:v>0.08</x:v>
      </x:c>
      <x:c r="K1568" s="44" t="n">
        <x:f>I1568*J1568</x:f>
        <x:v>0.00816918110547467</x:v>
      </x:c>
      <x:c r="L1568" s="46" t="n">
        <x:v>0</x:v>
      </x:c>
      <x:c r="M1568" s="46" t="n">
        <x:v>0</x:v>
      </x:c>
      <x:c r="N1568" s="21" t="n">
        <x:f>IF(AND(L1567=1,M1567=1,P1567&gt;0),1,0)</x:f>
        <x:v>0</x:v>
      </x:c>
      <x:c r="O1568" s="21" t="n">
        <x:f>MIN('Root Data'!I475:I477)</x:f>
        <x:v>0</x:v>
      </x:c>
      <x:c r="P1568" s="44" t="n">
        <x:f>IF(AND(L1568=1,M1568=1,N1568=1,O1568&gt;=G1568),K1568,0)</x:f>
        <x:v>0</x:v>
      </x:c>
      <x:c r="Q1568" s="21" t="str">
        <x:v>OPEN</x:v>
      </x:c>
      <x:c r="R1568" s="23" t="str">
        <x:v>HOLD</x:v>
      </x:c>
    </x:row>
    <x:row r="1569">
      <x:c r="B1569" s="21" t="str">
        <x:v>AR-01563</x:v>
      </x:c>
      <x:c r="C1569" s="21" t="str">
        <x:v>F40-I1</x:v>
      </x:c>
      <x:c r="D1569" s="21" t="str">
        <x:v>F40</x:v>
      </x:c>
      <x:c r="E1569" s="21" t="n">
        <x:v>3</x:v>
      </x:c>
      <x:c r="F1569" s="21" t="str">
        <x:v>Architecture and burden closure</x:v>
      </x:c>
      <x:c r="G1569" s="21" t="n">
        <x:v>14</x:v>
      </x:c>
      <x:c r="H1569" s="21" t="str">
        <x:v>Independent Evidence and Data Authority</x:v>
      </x:c>
      <x:c r="I1569" s="44" t="n">
        <x:f>Lifecycle!G9</x:f>
        <x:v>0.08564464062191186</x:v>
      </x:c>
      <x:c r="J1569" s="44" t="n">
        <x:v>0.08</x:v>
      </x:c>
      <x:c r="K1569" s="44" t="n">
        <x:f>I1569*J1569</x:f>
        <x:v>0.006851571249752949</x:v>
      </x:c>
      <x:c r="L1569" s="46" t="n">
        <x:v>0</x:v>
      </x:c>
      <x:c r="M1569" s="46" t="n">
        <x:v>0</x:v>
      </x:c>
      <x:c r="N1569" s="21" t="n">
        <x:f>IF(AND(L1568=1,M1568=1,P1568&gt;0),1,0)</x:f>
        <x:v>0</x:v>
      </x:c>
      <x:c r="O1569" s="21" t="n">
        <x:f>MIN('Root Data'!I475:I477)</x:f>
        <x:v>0</x:v>
      </x:c>
      <x:c r="P1569" s="44" t="n">
        <x:f>IF(AND(L1569=1,M1569=1,N1569=1,O1569&gt;=G1569),K1569,0)</x:f>
        <x:v>0</x:v>
      </x:c>
      <x:c r="Q1569" s="21" t="str">
        <x:v>OPEN</x:v>
      </x:c>
      <x:c r="R1569" s="23" t="str">
        <x:v>HOLD</x:v>
      </x:c>
    </x:row>
    <x:row r="1570">
      <x:c r="B1570" s="21" t="str">
        <x:v>AR-01564</x:v>
      </x:c>
      <x:c r="C1570" s="21" t="str">
        <x:v>F40-I1</x:v>
      </x:c>
      <x:c r="D1570" s="21" t="str">
        <x:v>F40</x:v>
      </x:c>
      <x:c r="E1570" s="21" t="n">
        <x:v>4</x:v>
      </x:c>
      <x:c r="F1570" s="21" t="str">
        <x:v>Engineering article acceptance</x:v>
      </x:c>
      <x:c r="G1570" s="21" t="n">
        <x:v>18</x:v>
      </x:c>
      <x:c r="H1570" s="21" t="str">
        <x:v>Independent Evidence and Data Authority</x:v>
      </x:c>
      <x:c r="I1570" s="44" t="n">
        <x:f>Lifecycle!G10</x:f>
        <x:v>0.05929244350747744</x:v>
      </x:c>
      <x:c r="J1570" s="44" t="n">
        <x:v>0.08</x:v>
      </x:c>
      <x:c r="K1570" s="44" t="n">
        <x:f>I1570*J1570</x:f>
        <x:v>0.004743395480598196</x:v>
      </x:c>
      <x:c r="L1570" s="46" t="n">
        <x:v>0</x:v>
      </x:c>
      <x:c r="M1570" s="46" t="n">
        <x:v>0</x:v>
      </x:c>
      <x:c r="N1570" s="21" t="n">
        <x:f>IF(AND(L1569=1,M1569=1,P1569&gt;0),1,0)</x:f>
        <x:v>0</x:v>
      </x:c>
      <x:c r="O1570" s="21" t="n">
        <x:f>MIN('Root Data'!I475:I477)</x:f>
        <x:v>0</x:v>
      </x:c>
      <x:c r="P1570" s="44" t="n">
        <x:f>IF(AND(L1570=1,M1570=1,N1570=1,O1570&gt;=G1570),K1570,0)</x:f>
        <x:v>0</x:v>
      </x:c>
      <x:c r="Q1570" s="21" t="str">
        <x:v>OPEN</x:v>
      </x:c>
      <x:c r="R1570" s="23" t="str">
        <x:v>HOLD</x:v>
      </x:c>
    </x:row>
    <x:row r="1571">
      <x:c r="B1571" s="21" t="str">
        <x:v>AR-01565</x:v>
      </x:c>
      <x:c r="C1571" s="21" t="str">
        <x:v>F40-I1</x:v>
      </x:c>
      <x:c r="D1571" s="21" t="str">
        <x:v>F40</x:v>
      </x:c>
      <x:c r="E1571" s="21" t="n">
        <x:v>5</x:v>
      </x:c>
      <x:c r="F1571" s="21" t="str">
        <x:v>Qualification and destructive evidence</x:v>
      </x:c>
      <x:c r="G1571" s="21" t="n">
        <x:v>21</x:v>
      </x:c>
      <x:c r="H1571" s="21" t="str">
        <x:v>Independent Evidence and Data Authority</x:v>
      </x:c>
      <x:c r="I1571" s="44" t="n">
        <x:f>Lifecycle!G11</x:f>
        <x:v>0.1515251334079979</x:v>
      </x:c>
      <x:c r="J1571" s="44" t="n">
        <x:v>0.08</x:v>
      </x:c>
      <x:c r="K1571" s="44" t="n">
        <x:f>I1571*J1571</x:f>
        <x:v>0.012122010672639832</x:v>
      </x:c>
      <x:c r="L1571" s="46" t="n">
        <x:v>0</x:v>
      </x:c>
      <x:c r="M1571" s="46" t="n">
        <x:v>0</x:v>
      </x:c>
      <x:c r="N1571" s="21" t="n">
        <x:f>IF(AND(L1570=1,M1570=1,P1570&gt;0),1,0)</x:f>
        <x:v>0</x:v>
      </x:c>
      <x:c r="O1571" s="21" t="n">
        <x:f>MIN('Root Data'!I475:I477)</x:f>
        <x:v>0</x:v>
      </x:c>
      <x:c r="P1571" s="44" t="n">
        <x:f>IF(AND(L1571=1,M1571=1,N1571=1,O1571&gt;=G1571),K1571,0)</x:f>
        <x:v>0</x:v>
      </x:c>
      <x:c r="Q1571" s="21" t="str">
        <x:v>OPEN</x:v>
      </x:c>
      <x:c r="R1571" s="23" t="str">
        <x:v>HOLD</x:v>
      </x:c>
    </x:row>
    <x:row r="1572">
      <x:c r="B1572" s="21" t="str">
        <x:v>AR-01566</x:v>
      </x:c>
      <x:c r="C1572" s="21" t="str">
        <x:v>F40-I1</x:v>
      </x:c>
      <x:c r="D1572" s="21" t="str">
        <x:v>F40</x:v>
      </x:c>
      <x:c r="E1572" s="21" t="n">
        <x:v>6</x:v>
      </x:c>
      <x:c r="F1572" s="21" t="str">
        <x:v>Representative mission result</x:v>
      </x:c>
      <x:c r="G1572" s="21" t="n">
        <x:v>23</x:v>
      </x:c>
      <x:c r="H1572" s="21" t="str">
        <x:v>Receiving Service Authority</x:v>
      </x:c>
      <x:c r="I1572" s="44" t="n">
        <x:f>Lifecycle!G12</x:f>
        <x:v>0.250345872587127</x:v>
      </x:c>
      <x:c r="J1572" s="44" t="n">
        <x:v>0.08</x:v>
      </x:c>
      <x:c r="K1572" s="44" t="n">
        <x:f>I1572*J1572</x:f>
        <x:v>0.02002766980697016</x:v>
      </x:c>
      <x:c r="L1572" s="46" t="n">
        <x:v>0</x:v>
      </x:c>
      <x:c r="M1572" s="46" t="n">
        <x:v>0</x:v>
      </x:c>
      <x:c r="N1572" s="21" t="n">
        <x:f>IF(AND(L1571=1,M1571=1,P1571&gt;0),1,0)</x:f>
        <x:v>0</x:v>
      </x:c>
      <x:c r="O1572" s="21" t="n">
        <x:f>MIN('Root Data'!I475:I477)</x:f>
        <x:v>0</x:v>
      </x:c>
      <x:c r="P1572" s="44" t="n">
        <x:f>IF(AND(L1572=1,M1572=1,N1572=1,O1572&gt;=G1572),K1572,0)</x:f>
        <x:v>0</x:v>
      </x:c>
      <x:c r="Q1572" s="21" t="str">
        <x:v>OPEN</x:v>
      </x:c>
      <x:c r="R1572" s="23" t="str">
        <x:v>HOLD</x:v>
      </x:c>
    </x:row>
    <x:row r="1573">
      <x:c r="B1573" s="21" t="str">
        <x:v>AR-01567</x:v>
      </x:c>
      <x:c r="C1573" s="21" t="str">
        <x:v>F40-I1</x:v>
      </x:c>
      <x:c r="D1573" s="21" t="str">
        <x:v>F40</x:v>
      </x:c>
      <x:c r="E1573" s="21" t="n">
        <x:v>7</x:v>
      </x:c>
      <x:c r="F1573" s="21" t="str">
        <x:v>Independent reproduction</x:v>
      </x:c>
      <x:c r="G1573" s="21" t="n">
        <x:v>28</x:v>
      </x:c>
      <x:c r="H1573" s="21" t="str">
        <x:v>Independent Evidence and Data Authority</x:v>
      </x:c>
      <x:c r="I1573" s="44" t="n">
        <x:f>Lifecycle!G13</x:f>
        <x:v>0.21740562619408393</x:v>
      </x:c>
      <x:c r="J1573" s="44" t="n">
        <x:v>0.08</x:v>
      </x:c>
      <x:c r="K1573" s="44" t="n">
        <x:f>I1573*J1573</x:f>
        <x:v>0.017392450095526715</x:v>
      </x:c>
      <x:c r="L1573" s="46" t="n">
        <x:v>0</x:v>
      </x:c>
      <x:c r="M1573" s="46" t="n">
        <x:v>0</x:v>
      </x:c>
      <x:c r="N1573" s="21" t="n">
        <x:f>IF(AND(L1572=1,M1572=1,P1572&gt;0),1,0)</x:f>
        <x:v>0</x:v>
      </x:c>
      <x:c r="O1573" s="21" t="n">
        <x:f>MIN('Root Data'!I475:I477)</x:f>
        <x:v>0</x:v>
      </x:c>
      <x:c r="P1573" s="44" t="n">
        <x:f>IF(AND(L1573=1,M1573=1,N1573=1,O1573&gt;=G1573),K1573,0)</x:f>
        <x:v>0</x:v>
      </x:c>
      <x:c r="Q1573" s="21" t="str">
        <x:v>OPEN</x:v>
      </x:c>
      <x:c r="R1573" s="23" t="str">
        <x:v>HOLD</x:v>
      </x:c>
    </x:row>
    <x:row r="1574">
      <x:c r="B1574" s="21" t="str">
        <x:v>AR-01568</x:v>
      </x:c>
      <x:c r="C1574" s="21" t="str">
        <x:v>F40-I1</x:v>
      </x:c>
      <x:c r="D1574" s="21" t="str">
        <x:v>F40</x:v>
      </x:c>
      <x:c r="E1574" s="21" t="n">
        <x:v>8</x:v>
      </x:c>
      <x:c r="F1574" s="21" t="str">
        <x:v>Pilot-process qualification</x:v>
      </x:c>
      <x:c r="G1574" s="21" t="n">
        <x:v>28</x:v>
      </x:c>
      <x:c r="H1574" s="21" t="str">
        <x:v>AIMC Industrial Mobilization Authority</x:v>
      </x:c>
      <x:c r="I1574" s="44" t="n">
        <x:f>Lifecycle!G14</x:f>
        <x:v>0.03952829567165163</x:v>
      </x:c>
      <x:c r="J1574" s="44" t="n">
        <x:v>0.08</x:v>
      </x:c>
      <x:c r="K1574" s="44" t="n">
        <x:f>I1574*J1574</x:f>
        <x:v>0.0031622636537321303</x:v>
      </x:c>
      <x:c r="L1574" s="46" t="n">
        <x:v>0</x:v>
      </x:c>
      <x:c r="M1574" s="46" t="n">
        <x:v>0</x:v>
      </x:c>
      <x:c r="N1574" s="21" t="n">
        <x:f>IF(AND(L1573=1,M1573=1,P1573&gt;0),1,0)</x:f>
        <x:v>0</x:v>
      </x:c>
      <x:c r="O1574" s="21" t="n">
        <x:f>MIN('Root Data'!I475:I477)</x:f>
        <x:v>0</x:v>
      </x:c>
      <x:c r="P1574" s="44" t="n">
        <x:f>IF(AND(L1574=1,M1574=1,N1574=1,O1574&gt;=G1574),K1574,0)</x:f>
        <x:v>0</x:v>
      </x:c>
      <x:c r="Q1574" s="21" t="str">
        <x:v>OPEN</x:v>
      </x:c>
      <x:c r="R1574" s="23" t="str">
        <x:v>HOLD</x:v>
      </x:c>
    </x:row>
    <x:row r="1575">
      <x:c r="B1575" s="21" t="str">
        <x:v>AR-01569</x:v>
      </x:c>
      <x:c r="C1575" s="21" t="str">
        <x:v>F40-I1</x:v>
      </x:c>
      <x:c r="D1575" s="21" t="str">
        <x:v>F40</x:v>
      </x:c>
      <x:c r="E1575" s="21" t="n">
        <x:v>9</x:v>
      </x:c>
      <x:c r="F1575" s="21" t="str">
        <x:v>Production release package</x:v>
      </x:c>
      <x:c r="G1575" s="21" t="n">
        <x:v>28</x:v>
      </x:c>
      <x:c r="H1575" s="21" t="str">
        <x:v>Production Release Board</x:v>
      </x:c>
      <x:c r="I1575" s="44" t="n">
        <x:f>Lifecycle!G15</x:f>
        <x:v>0.01647012319652151</x:v>
      </x:c>
      <x:c r="J1575" s="44" t="n">
        <x:v>0.08</x:v>
      </x:c>
      <x:c r="K1575" s="44" t="n">
        <x:f>I1575*J1575</x:f>
        <x:v>0.0013176098557217209</x:v>
      </x:c>
      <x:c r="L1575" s="46" t="n">
        <x:v>0</x:v>
      </x:c>
      <x:c r="M1575" s="46" t="n">
        <x:v>0</x:v>
      </x:c>
      <x:c r="N1575" s="21" t="n">
        <x:f>IF(AND(L1574=1,M1574=1,P1574&gt;0),1,0)</x:f>
        <x:v>0</x:v>
      </x:c>
      <x:c r="O1575" s="21" t="n">
        <x:f>MIN('Root Data'!I475:I477)</x:f>
        <x:v>0</x:v>
      </x:c>
      <x:c r="P1575" s="44" t="n">
        <x:f>IF(AND(L1575=1,M1575=1,N1575=1,O1575&gt;=G1575),K1575,0)</x:f>
        <x:v>0</x:v>
      </x:c>
      <x:c r="Q1575" s="21" t="str">
        <x:v>OPEN</x:v>
      </x:c>
      <x:c r="R1575" s="23" t="str">
        <x:v>HOLD</x:v>
      </x:c>
    </x:row>
    <x:row r="1576">
      <x:c r="B1576" s="21" t="str">
        <x:v>AR-01570</x:v>
      </x:c>
      <x:c r="C1576" s="21" t="str">
        <x:v>F40-I1</x:v>
      </x:c>
      <x:c r="D1576" s="21" t="str">
        <x:v>F40</x:v>
      </x:c>
      <x:c r="E1576" s="21" t="n">
        <x:v>10</x:v>
      </x:c>
      <x:c r="F1576" s="21" t="str">
        <x:v>Mobilization activation</x:v>
      </x:c>
      <x:c r="G1576" s="21" t="n">
        <x:v>28</x:v>
      </x:c>
      <x:c r="H1576" s="21" t="str">
        <x:v>Production Release Board</x:v>
      </x:c>
      <x:c r="I1576" s="44" t="n">
        <x:f>Lifecycle!G16</x:f>
        <x:v>0.028262731405230914</x:v>
      </x:c>
      <x:c r="J1576" s="44" t="n">
        <x:v>0.08</x:v>
      </x:c>
      <x:c r="K1576" s="44" t="n">
        <x:f>I1576*J1576</x:f>
        <x:v>0.002261018512418473</x:v>
      </x:c>
      <x:c r="L1576" s="46" t="n">
        <x:v>0</x:v>
      </x:c>
      <x:c r="M1576" s="46" t="n">
        <x:v>0</x:v>
      </x:c>
      <x:c r="N1576" s="21" t="n">
        <x:f>IF(AND(L1575=1,M1575=1,P1575&gt;0),1,0)</x:f>
        <x:v>0</x:v>
      </x:c>
      <x:c r="O1576" s="21" t="n">
        <x:f>MIN('Root Data'!I475:I477)</x:f>
        <x:v>0</x:v>
      </x:c>
      <x:c r="P1576" s="44" t="n">
        <x:f>IF(AND(L1576=1,M1576=1,N1576=1,O1576&gt;=G1576),K1576,0)</x:f>
        <x:v>0</x:v>
      </x:c>
      <x:c r="Q1576" s="21" t="str">
        <x:v>OPEN</x:v>
      </x:c>
      <x:c r="R1576" s="23" t="str">
        <x:v>HOLD</x:v>
      </x:c>
    </x:row>
    <x:row r="1577">
      <x:c r="B1577" s="21" t="str">
        <x:v>AR-01571</x:v>
      </x:c>
      <x:c r="C1577" s="21" t="str">
        <x:v>F40-I2</x:v>
      </x:c>
      <x:c r="D1577" s="21" t="str">
        <x:v>F40</x:v>
      </x:c>
      <x:c r="E1577" s="21" t="n">
        <x:v>1</x:v>
      </x:c>
      <x:c r="F1577" s="21" t="str">
        <x:v>Civil effect charter</x:v>
      </x:c>
      <x:c r="G1577" s="21" t="n">
        <x:v>0</x:v>
      </x:c>
      <x:c r="H1577" s="21" t="str">
        <x:v>Civil Guarantee Authority</x:v>
      </x:c>
      <x:c r="I1577" s="44" t="n">
        <x:f>Lifecycle!G7</x:f>
        <x:v>0.04941036958956453</x:v>
      </x:c>
      <x:c r="J1577" s="44" t="n">
        <x:v>0.08</x:v>
      </x:c>
      <x:c r="K1577" s="44" t="n">
        <x:f>I1577*J1577</x:f>
        <x:v>0.003952829567165163</x:v>
      </x:c>
      <x:c r="L1577" s="46" t="n">
        <x:v>0</x:v>
      </x:c>
      <x:c r="M1577" s="46" t="n">
        <x:v>0</x:v>
      </x:c>
      <x:c r="N1577" s="21" t="n">
        <x:f>1</x:f>
        <x:v>1</x:v>
      </x:c>
      <x:c r="O1577" s="21" t="n">
        <x:f>MIN('Root Data'!I478:I480)</x:f>
        <x:v>0</x:v>
      </x:c>
      <x:c r="P1577" s="44" t="n">
        <x:f>IF(AND(L1577=1,M1577=1,N1577=1,O1577&gt;=G1577),K1577,0)</x:f>
        <x:v>0</x:v>
      </x:c>
      <x:c r="Q1577" s="21" t="str">
        <x:v>OPEN</x:v>
      </x:c>
      <x:c r="R1577" s="23" t="str">
        <x:v>HOLD</x:v>
      </x:c>
    </x:row>
    <x:row r="1578">
      <x:c r="B1578" s="21" t="str">
        <x:v>AR-01572</x:v>
      </x:c>
      <x:c r="C1578" s="21" t="str">
        <x:v>F40-I2</x:v>
      </x:c>
      <x:c r="D1578" s="21" t="str">
        <x:v>F40</x:v>
      </x:c>
      <x:c r="E1578" s="21" t="n">
        <x:v>2</x:v>
      </x:c>
      <x:c r="F1578" s="21" t="str">
        <x:v>Requirement and root-independence package</x:v>
      </x:c>
      <x:c r="G1578" s="21" t="n">
        <x:v>8</x:v>
      </x:c>
      <x:c r="H1578" s="21" t="str">
        <x:v>Resilience Staff</x:v>
      </x:c>
      <x:c r="I1578" s="44" t="n">
        <x:f>Lifecycle!G8</x:f>
        <x:v>0.10211476381843337</x:v>
      </x:c>
      <x:c r="J1578" s="44" t="n">
        <x:v>0.08</x:v>
      </x:c>
      <x:c r="K1578" s="44" t="n">
        <x:f>I1578*J1578</x:f>
        <x:v>0.00816918110547467</x:v>
      </x:c>
      <x:c r="L1578" s="46" t="n">
        <x:v>0</x:v>
      </x:c>
      <x:c r="M1578" s="46" t="n">
        <x:v>0</x:v>
      </x:c>
      <x:c r="N1578" s="21" t="n">
        <x:f>IF(AND(L1577=1,M1577=1,P1577&gt;0),1,0)</x:f>
        <x:v>0</x:v>
      </x:c>
      <x:c r="O1578" s="21" t="n">
        <x:f>MIN('Root Data'!I478:I480)</x:f>
        <x:v>0</x:v>
      </x:c>
      <x:c r="P1578" s="44" t="n">
        <x:f>IF(AND(L1578=1,M1578=1,N1578=1,O1578&gt;=G1578),K1578,0)</x:f>
        <x:v>0</x:v>
      </x:c>
      <x:c r="Q1578" s="21" t="str">
        <x:v>OPEN</x:v>
      </x:c>
      <x:c r="R1578" s="23" t="str">
        <x:v>HOLD</x:v>
      </x:c>
    </x:row>
    <x:row r="1579">
      <x:c r="B1579" s="21" t="str">
        <x:v>AR-01573</x:v>
      </x:c>
      <x:c r="C1579" s="21" t="str">
        <x:v>F40-I2</x:v>
      </x:c>
      <x:c r="D1579" s="21" t="str">
        <x:v>F40</x:v>
      </x:c>
      <x:c r="E1579" s="21" t="n">
        <x:v>3</x:v>
      </x:c>
      <x:c r="F1579" s="21" t="str">
        <x:v>Architecture and burden closure</x:v>
      </x:c>
      <x:c r="G1579" s="21" t="n">
        <x:v>14</x:v>
      </x:c>
      <x:c r="H1579" s="21" t="str">
        <x:v>Independent Evidence and Data Authority</x:v>
      </x:c>
      <x:c r="I1579" s="44" t="n">
        <x:f>Lifecycle!G9</x:f>
        <x:v>0.08564464062191186</x:v>
      </x:c>
      <x:c r="J1579" s="44" t="n">
        <x:v>0.08</x:v>
      </x:c>
      <x:c r="K1579" s="44" t="n">
        <x:f>I1579*J1579</x:f>
        <x:v>0.006851571249752949</x:v>
      </x:c>
      <x:c r="L1579" s="46" t="n">
        <x:v>0</x:v>
      </x:c>
      <x:c r="M1579" s="46" t="n">
        <x:v>0</x:v>
      </x:c>
      <x:c r="N1579" s="21" t="n">
        <x:f>IF(AND(L1578=1,M1578=1,P1578&gt;0),1,0)</x:f>
        <x:v>0</x:v>
      </x:c>
      <x:c r="O1579" s="21" t="n">
        <x:f>MIN('Root Data'!I478:I480)</x:f>
        <x:v>0</x:v>
      </x:c>
      <x:c r="P1579" s="44" t="n">
        <x:f>IF(AND(L1579=1,M1579=1,N1579=1,O1579&gt;=G1579),K1579,0)</x:f>
        <x:v>0</x:v>
      </x:c>
      <x:c r="Q1579" s="21" t="str">
        <x:v>OPEN</x:v>
      </x:c>
      <x:c r="R1579" s="23" t="str">
        <x:v>HOLD</x:v>
      </x:c>
    </x:row>
    <x:row r="1580">
      <x:c r="B1580" s="21" t="str">
        <x:v>AR-01574</x:v>
      </x:c>
      <x:c r="C1580" s="21" t="str">
        <x:v>F40-I2</x:v>
      </x:c>
      <x:c r="D1580" s="21" t="str">
        <x:v>F40</x:v>
      </x:c>
      <x:c r="E1580" s="21" t="n">
        <x:v>4</x:v>
      </x:c>
      <x:c r="F1580" s="21" t="str">
        <x:v>Engineering article acceptance</x:v>
      </x:c>
      <x:c r="G1580" s="21" t="n">
        <x:v>18</x:v>
      </x:c>
      <x:c r="H1580" s="21" t="str">
        <x:v>Independent Evidence and Data Authority</x:v>
      </x:c>
      <x:c r="I1580" s="44" t="n">
        <x:f>Lifecycle!G10</x:f>
        <x:v>0.05929244350747744</x:v>
      </x:c>
      <x:c r="J1580" s="44" t="n">
        <x:v>0.08</x:v>
      </x:c>
      <x:c r="K1580" s="44" t="n">
        <x:f>I1580*J1580</x:f>
        <x:v>0.004743395480598196</x:v>
      </x:c>
      <x:c r="L1580" s="46" t="n">
        <x:v>0</x:v>
      </x:c>
      <x:c r="M1580" s="46" t="n">
        <x:v>0</x:v>
      </x:c>
      <x:c r="N1580" s="21" t="n">
        <x:f>IF(AND(L1579=1,M1579=1,P1579&gt;0),1,0)</x:f>
        <x:v>0</x:v>
      </x:c>
      <x:c r="O1580" s="21" t="n">
        <x:f>MIN('Root Data'!I478:I480)</x:f>
        <x:v>0</x:v>
      </x:c>
      <x:c r="P1580" s="44" t="n">
        <x:f>IF(AND(L1580=1,M1580=1,N1580=1,O1580&gt;=G1580),K1580,0)</x:f>
        <x:v>0</x:v>
      </x:c>
      <x:c r="Q1580" s="21" t="str">
        <x:v>OPEN</x:v>
      </x:c>
      <x:c r="R1580" s="23" t="str">
        <x:v>HOLD</x:v>
      </x:c>
    </x:row>
    <x:row r="1581">
      <x:c r="B1581" s="21" t="str">
        <x:v>AR-01575</x:v>
      </x:c>
      <x:c r="C1581" s="21" t="str">
        <x:v>F40-I2</x:v>
      </x:c>
      <x:c r="D1581" s="21" t="str">
        <x:v>F40</x:v>
      </x:c>
      <x:c r="E1581" s="21" t="n">
        <x:v>5</x:v>
      </x:c>
      <x:c r="F1581" s="21" t="str">
        <x:v>Qualification and destructive evidence</x:v>
      </x:c>
      <x:c r="G1581" s="21" t="n">
        <x:v>21</x:v>
      </x:c>
      <x:c r="H1581" s="21" t="str">
        <x:v>Independent Evidence and Data Authority</x:v>
      </x:c>
      <x:c r="I1581" s="44" t="n">
        <x:f>Lifecycle!G11</x:f>
        <x:v>0.1515251334079979</x:v>
      </x:c>
      <x:c r="J1581" s="44" t="n">
        <x:v>0.08</x:v>
      </x:c>
      <x:c r="K1581" s="44" t="n">
        <x:f>I1581*J1581</x:f>
        <x:v>0.012122010672639832</x:v>
      </x:c>
      <x:c r="L1581" s="46" t="n">
        <x:v>0</x:v>
      </x:c>
      <x:c r="M1581" s="46" t="n">
        <x:v>0</x:v>
      </x:c>
      <x:c r="N1581" s="21" t="n">
        <x:f>IF(AND(L1580=1,M1580=1,P1580&gt;0),1,0)</x:f>
        <x:v>0</x:v>
      </x:c>
      <x:c r="O1581" s="21" t="n">
        <x:f>MIN('Root Data'!I478:I480)</x:f>
        <x:v>0</x:v>
      </x:c>
      <x:c r="P1581" s="44" t="n">
        <x:f>IF(AND(L1581=1,M1581=1,N1581=1,O1581&gt;=G1581),K1581,0)</x:f>
        <x:v>0</x:v>
      </x:c>
      <x:c r="Q1581" s="21" t="str">
        <x:v>OPEN</x:v>
      </x:c>
      <x:c r="R1581" s="23" t="str">
        <x:v>HOLD</x:v>
      </x:c>
    </x:row>
    <x:row r="1582">
      <x:c r="B1582" s="21" t="str">
        <x:v>AR-01576</x:v>
      </x:c>
      <x:c r="C1582" s="21" t="str">
        <x:v>F40-I2</x:v>
      </x:c>
      <x:c r="D1582" s="21" t="str">
        <x:v>F40</x:v>
      </x:c>
      <x:c r="E1582" s="21" t="n">
        <x:v>6</x:v>
      </x:c>
      <x:c r="F1582" s="21" t="str">
        <x:v>Representative mission result</x:v>
      </x:c>
      <x:c r="G1582" s="21" t="n">
        <x:v>23</x:v>
      </x:c>
      <x:c r="H1582" s="21" t="str">
        <x:v>Receiving Service Authority</x:v>
      </x:c>
      <x:c r="I1582" s="44" t="n">
        <x:f>Lifecycle!G12</x:f>
        <x:v>0.250345872587127</x:v>
      </x:c>
      <x:c r="J1582" s="44" t="n">
        <x:v>0.08</x:v>
      </x:c>
      <x:c r="K1582" s="44" t="n">
        <x:f>I1582*J1582</x:f>
        <x:v>0.02002766980697016</x:v>
      </x:c>
      <x:c r="L1582" s="46" t="n">
        <x:v>0</x:v>
      </x:c>
      <x:c r="M1582" s="46" t="n">
        <x:v>0</x:v>
      </x:c>
      <x:c r="N1582" s="21" t="n">
        <x:f>IF(AND(L1581=1,M1581=1,P1581&gt;0),1,0)</x:f>
        <x:v>0</x:v>
      </x:c>
      <x:c r="O1582" s="21" t="n">
        <x:f>MIN('Root Data'!I478:I480)</x:f>
        <x:v>0</x:v>
      </x:c>
      <x:c r="P1582" s="44" t="n">
        <x:f>IF(AND(L1582=1,M1582=1,N1582=1,O1582&gt;=G1582),K1582,0)</x:f>
        <x:v>0</x:v>
      </x:c>
      <x:c r="Q1582" s="21" t="str">
        <x:v>OPEN</x:v>
      </x:c>
      <x:c r="R1582" s="23" t="str">
        <x:v>HOLD</x:v>
      </x:c>
    </x:row>
    <x:row r="1583">
      <x:c r="B1583" s="21" t="str">
        <x:v>AR-01577</x:v>
      </x:c>
      <x:c r="C1583" s="21" t="str">
        <x:v>F40-I2</x:v>
      </x:c>
      <x:c r="D1583" s="21" t="str">
        <x:v>F40</x:v>
      </x:c>
      <x:c r="E1583" s="21" t="n">
        <x:v>7</x:v>
      </x:c>
      <x:c r="F1583" s="21" t="str">
        <x:v>Independent reproduction</x:v>
      </x:c>
      <x:c r="G1583" s="21" t="n">
        <x:v>28</x:v>
      </x:c>
      <x:c r="H1583" s="21" t="str">
        <x:v>Independent Evidence and Data Authority</x:v>
      </x:c>
      <x:c r="I1583" s="44" t="n">
        <x:f>Lifecycle!G13</x:f>
        <x:v>0.21740562619408393</x:v>
      </x:c>
      <x:c r="J1583" s="44" t="n">
        <x:v>0.08</x:v>
      </x:c>
      <x:c r="K1583" s="44" t="n">
        <x:f>I1583*J1583</x:f>
        <x:v>0.017392450095526715</x:v>
      </x:c>
      <x:c r="L1583" s="46" t="n">
        <x:v>0</x:v>
      </x:c>
      <x:c r="M1583" s="46" t="n">
        <x:v>0</x:v>
      </x:c>
      <x:c r="N1583" s="21" t="n">
        <x:f>IF(AND(L1582=1,M1582=1,P1582&gt;0),1,0)</x:f>
        <x:v>0</x:v>
      </x:c>
      <x:c r="O1583" s="21" t="n">
        <x:f>MIN('Root Data'!I478:I480)</x:f>
        <x:v>0</x:v>
      </x:c>
      <x:c r="P1583" s="44" t="n">
        <x:f>IF(AND(L1583=1,M1583=1,N1583=1,O1583&gt;=G1583),K1583,0)</x:f>
        <x:v>0</x:v>
      </x:c>
      <x:c r="Q1583" s="21" t="str">
        <x:v>OPEN</x:v>
      </x:c>
      <x:c r="R1583" s="23" t="str">
        <x:v>HOLD</x:v>
      </x:c>
    </x:row>
    <x:row r="1584">
      <x:c r="B1584" s="21" t="str">
        <x:v>AR-01578</x:v>
      </x:c>
      <x:c r="C1584" s="21" t="str">
        <x:v>F40-I2</x:v>
      </x:c>
      <x:c r="D1584" s="21" t="str">
        <x:v>F40</x:v>
      </x:c>
      <x:c r="E1584" s="21" t="n">
        <x:v>8</x:v>
      </x:c>
      <x:c r="F1584" s="21" t="str">
        <x:v>Pilot-process qualification</x:v>
      </x:c>
      <x:c r="G1584" s="21" t="n">
        <x:v>28</x:v>
      </x:c>
      <x:c r="H1584" s="21" t="str">
        <x:v>AIMC Industrial Mobilization Authority</x:v>
      </x:c>
      <x:c r="I1584" s="44" t="n">
        <x:f>Lifecycle!G14</x:f>
        <x:v>0.03952829567165163</x:v>
      </x:c>
      <x:c r="J1584" s="44" t="n">
        <x:v>0.08</x:v>
      </x:c>
      <x:c r="K1584" s="44" t="n">
        <x:f>I1584*J1584</x:f>
        <x:v>0.0031622636537321303</x:v>
      </x:c>
      <x:c r="L1584" s="46" t="n">
        <x:v>0</x:v>
      </x:c>
      <x:c r="M1584" s="46" t="n">
        <x:v>0</x:v>
      </x:c>
      <x:c r="N1584" s="21" t="n">
        <x:f>IF(AND(L1583=1,M1583=1,P1583&gt;0),1,0)</x:f>
        <x:v>0</x:v>
      </x:c>
      <x:c r="O1584" s="21" t="n">
        <x:f>MIN('Root Data'!I478:I480)</x:f>
        <x:v>0</x:v>
      </x:c>
      <x:c r="P1584" s="44" t="n">
        <x:f>IF(AND(L1584=1,M1584=1,N1584=1,O1584&gt;=G1584),K1584,0)</x:f>
        <x:v>0</x:v>
      </x:c>
      <x:c r="Q1584" s="21" t="str">
        <x:v>OPEN</x:v>
      </x:c>
      <x:c r="R1584" s="23" t="str">
        <x:v>HOLD</x:v>
      </x:c>
    </x:row>
    <x:row r="1585">
      <x:c r="B1585" s="21" t="str">
        <x:v>AR-01579</x:v>
      </x:c>
      <x:c r="C1585" s="21" t="str">
        <x:v>F40-I2</x:v>
      </x:c>
      <x:c r="D1585" s="21" t="str">
        <x:v>F40</x:v>
      </x:c>
      <x:c r="E1585" s="21" t="n">
        <x:v>9</x:v>
      </x:c>
      <x:c r="F1585" s="21" t="str">
        <x:v>Production release package</x:v>
      </x:c>
      <x:c r="G1585" s="21" t="n">
        <x:v>28</x:v>
      </x:c>
      <x:c r="H1585" s="21" t="str">
        <x:v>Production Release Board</x:v>
      </x:c>
      <x:c r="I1585" s="44" t="n">
        <x:f>Lifecycle!G15</x:f>
        <x:v>0.01647012319652151</x:v>
      </x:c>
      <x:c r="J1585" s="44" t="n">
        <x:v>0.08</x:v>
      </x:c>
      <x:c r="K1585" s="44" t="n">
        <x:f>I1585*J1585</x:f>
        <x:v>0.0013176098557217209</x:v>
      </x:c>
      <x:c r="L1585" s="46" t="n">
        <x:v>0</x:v>
      </x:c>
      <x:c r="M1585" s="46" t="n">
        <x:v>0</x:v>
      </x:c>
      <x:c r="N1585" s="21" t="n">
        <x:f>IF(AND(L1584=1,M1584=1,P1584&gt;0),1,0)</x:f>
        <x:v>0</x:v>
      </x:c>
      <x:c r="O1585" s="21" t="n">
        <x:f>MIN('Root Data'!I478:I480)</x:f>
        <x:v>0</x:v>
      </x:c>
      <x:c r="P1585" s="44" t="n">
        <x:f>IF(AND(L1585=1,M1585=1,N1585=1,O1585&gt;=G1585),K1585,0)</x:f>
        <x:v>0</x:v>
      </x:c>
      <x:c r="Q1585" s="21" t="str">
        <x:v>OPEN</x:v>
      </x:c>
      <x:c r="R1585" s="23" t="str">
        <x:v>HOLD</x:v>
      </x:c>
    </x:row>
    <x:row r="1586">
      <x:c r="B1586" s="21" t="str">
        <x:v>AR-01580</x:v>
      </x:c>
      <x:c r="C1586" s="21" t="str">
        <x:v>F40-I2</x:v>
      </x:c>
      <x:c r="D1586" s="21" t="str">
        <x:v>F40</x:v>
      </x:c>
      <x:c r="E1586" s="21" t="n">
        <x:v>10</x:v>
      </x:c>
      <x:c r="F1586" s="21" t="str">
        <x:v>Mobilization activation</x:v>
      </x:c>
      <x:c r="G1586" s="21" t="n">
        <x:v>28</x:v>
      </x:c>
      <x:c r="H1586" s="21" t="str">
        <x:v>Production Release Board</x:v>
      </x:c>
      <x:c r="I1586" s="44" t="n">
        <x:f>Lifecycle!G16</x:f>
        <x:v>0.028262731405230914</x:v>
      </x:c>
      <x:c r="J1586" s="44" t="n">
        <x:v>0.08</x:v>
      </x:c>
      <x:c r="K1586" s="44" t="n">
        <x:f>I1586*J1586</x:f>
        <x:v>0.002261018512418473</x:v>
      </x:c>
      <x:c r="L1586" s="46" t="n">
        <x:v>0</x:v>
      </x:c>
      <x:c r="M1586" s="46" t="n">
        <x:v>0</x:v>
      </x:c>
      <x:c r="N1586" s="21" t="n">
        <x:f>IF(AND(L1585=1,M1585=1,P1585&gt;0),1,0)</x:f>
        <x:v>0</x:v>
      </x:c>
      <x:c r="O1586" s="21" t="n">
        <x:f>MIN('Root Data'!I478:I480)</x:f>
        <x:v>0</x:v>
      </x:c>
      <x:c r="P1586" s="44" t="n">
        <x:f>IF(AND(L1586=1,M1586=1,N1586=1,O1586&gt;=G1586),K1586,0)</x:f>
        <x:v>0</x:v>
      </x:c>
      <x:c r="Q1586" s="21" t="str">
        <x:v>OPEN</x:v>
      </x:c>
      <x:c r="R1586" s="23" t="str">
        <x:v>HOLD</x:v>
      </x:c>
    </x:row>
    <x:row r="1587">
      <x:c r="B1587" s="21" t="str">
        <x:v>AR-01581</x:v>
      </x:c>
      <x:c r="C1587" s="21" t="str">
        <x:v>F40-I3</x:v>
      </x:c>
      <x:c r="D1587" s="21" t="str">
        <x:v>F40</x:v>
      </x:c>
      <x:c r="E1587" s="21" t="n">
        <x:v>1</x:v>
      </x:c>
      <x:c r="F1587" s="21" t="str">
        <x:v>Civil effect charter</x:v>
      </x:c>
      <x:c r="G1587" s="21" t="n">
        <x:v>0</x:v>
      </x:c>
      <x:c r="H1587" s="21" t="str">
        <x:v>Civil Guarantee Authority</x:v>
      </x:c>
      <x:c r="I1587" s="44" t="n">
        <x:f>Lifecycle!G7</x:f>
        <x:v>0.04941036958956453</x:v>
      </x:c>
      <x:c r="J1587" s="44" t="n">
        <x:v>0.08</x:v>
      </x:c>
      <x:c r="K1587" s="44" t="n">
        <x:f>I1587*J1587</x:f>
        <x:v>0.003952829567165163</x:v>
      </x:c>
      <x:c r="L1587" s="46" t="n">
        <x:v>0</x:v>
      </x:c>
      <x:c r="M1587" s="46" t="n">
        <x:v>0</x:v>
      </x:c>
      <x:c r="N1587" s="21" t="n">
        <x:f>1</x:f>
        <x:v>1</x:v>
      </x:c>
      <x:c r="O1587" s="21" t="n">
        <x:f>MIN('Root Data'!I481:I483)</x:f>
        <x:v>0</x:v>
      </x:c>
      <x:c r="P1587" s="44" t="n">
        <x:f>IF(AND(L1587=1,M1587=1,N1587=1,O1587&gt;=G1587),K1587,0)</x:f>
        <x:v>0</x:v>
      </x:c>
      <x:c r="Q1587" s="21" t="str">
        <x:v>OPEN</x:v>
      </x:c>
      <x:c r="R1587" s="23" t="str">
        <x:v>HOLD</x:v>
      </x:c>
    </x:row>
    <x:row r="1588">
      <x:c r="B1588" s="21" t="str">
        <x:v>AR-01582</x:v>
      </x:c>
      <x:c r="C1588" s="21" t="str">
        <x:v>F40-I3</x:v>
      </x:c>
      <x:c r="D1588" s="21" t="str">
        <x:v>F40</x:v>
      </x:c>
      <x:c r="E1588" s="21" t="n">
        <x:v>2</x:v>
      </x:c>
      <x:c r="F1588" s="21" t="str">
        <x:v>Requirement and root-independence package</x:v>
      </x:c>
      <x:c r="G1588" s="21" t="n">
        <x:v>8</x:v>
      </x:c>
      <x:c r="H1588" s="21" t="str">
        <x:v>Resilience Staff</x:v>
      </x:c>
      <x:c r="I1588" s="44" t="n">
        <x:f>Lifecycle!G8</x:f>
        <x:v>0.10211476381843337</x:v>
      </x:c>
      <x:c r="J1588" s="44" t="n">
        <x:v>0.08</x:v>
      </x:c>
      <x:c r="K1588" s="44" t="n">
        <x:f>I1588*J1588</x:f>
        <x:v>0.00816918110547467</x:v>
      </x:c>
      <x:c r="L1588" s="46" t="n">
        <x:v>0</x:v>
      </x:c>
      <x:c r="M1588" s="46" t="n">
        <x:v>0</x:v>
      </x:c>
      <x:c r="N1588" s="21" t="n">
        <x:f>IF(AND(L1587=1,M1587=1,P1587&gt;0),1,0)</x:f>
        <x:v>0</x:v>
      </x:c>
      <x:c r="O1588" s="21" t="n">
        <x:f>MIN('Root Data'!I481:I483)</x:f>
        <x:v>0</x:v>
      </x:c>
      <x:c r="P1588" s="44" t="n">
        <x:f>IF(AND(L1588=1,M1588=1,N1588=1,O1588&gt;=G1588),K1588,0)</x:f>
        <x:v>0</x:v>
      </x:c>
      <x:c r="Q1588" s="21" t="str">
        <x:v>OPEN</x:v>
      </x:c>
      <x:c r="R1588" s="23" t="str">
        <x:v>HOLD</x:v>
      </x:c>
    </x:row>
    <x:row r="1589">
      <x:c r="B1589" s="21" t="str">
        <x:v>AR-01583</x:v>
      </x:c>
      <x:c r="C1589" s="21" t="str">
        <x:v>F40-I3</x:v>
      </x:c>
      <x:c r="D1589" s="21" t="str">
        <x:v>F40</x:v>
      </x:c>
      <x:c r="E1589" s="21" t="n">
        <x:v>3</x:v>
      </x:c>
      <x:c r="F1589" s="21" t="str">
        <x:v>Architecture and burden closure</x:v>
      </x:c>
      <x:c r="G1589" s="21" t="n">
        <x:v>14</x:v>
      </x:c>
      <x:c r="H1589" s="21" t="str">
        <x:v>Independent Evidence and Data Authority</x:v>
      </x:c>
      <x:c r="I1589" s="44" t="n">
        <x:f>Lifecycle!G9</x:f>
        <x:v>0.08564464062191186</x:v>
      </x:c>
      <x:c r="J1589" s="44" t="n">
        <x:v>0.08</x:v>
      </x:c>
      <x:c r="K1589" s="44" t="n">
        <x:f>I1589*J1589</x:f>
        <x:v>0.006851571249752949</x:v>
      </x:c>
      <x:c r="L1589" s="46" t="n">
        <x:v>0</x:v>
      </x:c>
      <x:c r="M1589" s="46" t="n">
        <x:v>0</x:v>
      </x:c>
      <x:c r="N1589" s="21" t="n">
        <x:f>IF(AND(L1588=1,M1588=1,P1588&gt;0),1,0)</x:f>
        <x:v>0</x:v>
      </x:c>
      <x:c r="O1589" s="21" t="n">
        <x:f>MIN('Root Data'!I481:I483)</x:f>
        <x:v>0</x:v>
      </x:c>
      <x:c r="P1589" s="44" t="n">
        <x:f>IF(AND(L1589=1,M1589=1,N1589=1,O1589&gt;=G1589),K1589,0)</x:f>
        <x:v>0</x:v>
      </x:c>
      <x:c r="Q1589" s="21" t="str">
        <x:v>OPEN</x:v>
      </x:c>
      <x:c r="R1589" s="23" t="str">
        <x:v>HOLD</x:v>
      </x:c>
    </x:row>
    <x:row r="1590">
      <x:c r="B1590" s="21" t="str">
        <x:v>AR-01584</x:v>
      </x:c>
      <x:c r="C1590" s="21" t="str">
        <x:v>F40-I3</x:v>
      </x:c>
      <x:c r="D1590" s="21" t="str">
        <x:v>F40</x:v>
      </x:c>
      <x:c r="E1590" s="21" t="n">
        <x:v>4</x:v>
      </x:c>
      <x:c r="F1590" s="21" t="str">
        <x:v>Engineering article acceptance</x:v>
      </x:c>
      <x:c r="G1590" s="21" t="n">
        <x:v>18</x:v>
      </x:c>
      <x:c r="H1590" s="21" t="str">
        <x:v>Independent Evidence and Data Authority</x:v>
      </x:c>
      <x:c r="I1590" s="44" t="n">
        <x:f>Lifecycle!G10</x:f>
        <x:v>0.05929244350747744</x:v>
      </x:c>
      <x:c r="J1590" s="44" t="n">
        <x:v>0.08</x:v>
      </x:c>
      <x:c r="K1590" s="44" t="n">
        <x:f>I1590*J1590</x:f>
        <x:v>0.004743395480598196</x:v>
      </x:c>
      <x:c r="L1590" s="46" t="n">
        <x:v>0</x:v>
      </x:c>
      <x:c r="M1590" s="46" t="n">
        <x:v>0</x:v>
      </x:c>
      <x:c r="N1590" s="21" t="n">
        <x:f>IF(AND(L1589=1,M1589=1,P1589&gt;0),1,0)</x:f>
        <x:v>0</x:v>
      </x:c>
      <x:c r="O1590" s="21" t="n">
        <x:f>MIN('Root Data'!I481:I483)</x:f>
        <x:v>0</x:v>
      </x:c>
      <x:c r="P1590" s="44" t="n">
        <x:f>IF(AND(L1590=1,M1590=1,N1590=1,O1590&gt;=G1590),K1590,0)</x:f>
        <x:v>0</x:v>
      </x:c>
      <x:c r="Q1590" s="21" t="str">
        <x:v>OPEN</x:v>
      </x:c>
      <x:c r="R1590" s="23" t="str">
        <x:v>HOLD</x:v>
      </x:c>
    </x:row>
    <x:row r="1591">
      <x:c r="B1591" s="21" t="str">
        <x:v>AR-01585</x:v>
      </x:c>
      <x:c r="C1591" s="21" t="str">
        <x:v>F40-I3</x:v>
      </x:c>
      <x:c r="D1591" s="21" t="str">
        <x:v>F40</x:v>
      </x:c>
      <x:c r="E1591" s="21" t="n">
        <x:v>5</x:v>
      </x:c>
      <x:c r="F1591" s="21" t="str">
        <x:v>Qualification and destructive evidence</x:v>
      </x:c>
      <x:c r="G1591" s="21" t="n">
        <x:v>21</x:v>
      </x:c>
      <x:c r="H1591" s="21" t="str">
        <x:v>Independent Evidence and Data Authority</x:v>
      </x:c>
      <x:c r="I1591" s="44" t="n">
        <x:f>Lifecycle!G11</x:f>
        <x:v>0.1515251334079979</x:v>
      </x:c>
      <x:c r="J1591" s="44" t="n">
        <x:v>0.08</x:v>
      </x:c>
      <x:c r="K1591" s="44" t="n">
        <x:f>I1591*J1591</x:f>
        <x:v>0.012122010672639832</x:v>
      </x:c>
      <x:c r="L1591" s="46" t="n">
        <x:v>0</x:v>
      </x:c>
      <x:c r="M1591" s="46" t="n">
        <x:v>0</x:v>
      </x:c>
      <x:c r="N1591" s="21" t="n">
        <x:f>IF(AND(L1590=1,M1590=1,P1590&gt;0),1,0)</x:f>
        <x:v>0</x:v>
      </x:c>
      <x:c r="O1591" s="21" t="n">
        <x:f>MIN('Root Data'!I481:I483)</x:f>
        <x:v>0</x:v>
      </x:c>
      <x:c r="P1591" s="44" t="n">
        <x:f>IF(AND(L1591=1,M1591=1,N1591=1,O1591&gt;=G1591),K1591,0)</x:f>
        <x:v>0</x:v>
      </x:c>
      <x:c r="Q1591" s="21" t="str">
        <x:v>OPEN</x:v>
      </x:c>
      <x:c r="R1591" s="23" t="str">
        <x:v>HOLD</x:v>
      </x:c>
    </x:row>
    <x:row r="1592">
      <x:c r="B1592" s="21" t="str">
        <x:v>AR-01586</x:v>
      </x:c>
      <x:c r="C1592" s="21" t="str">
        <x:v>F40-I3</x:v>
      </x:c>
      <x:c r="D1592" s="21" t="str">
        <x:v>F40</x:v>
      </x:c>
      <x:c r="E1592" s="21" t="n">
        <x:v>6</x:v>
      </x:c>
      <x:c r="F1592" s="21" t="str">
        <x:v>Representative mission result</x:v>
      </x:c>
      <x:c r="G1592" s="21" t="n">
        <x:v>23</x:v>
      </x:c>
      <x:c r="H1592" s="21" t="str">
        <x:v>Receiving Service Authority</x:v>
      </x:c>
      <x:c r="I1592" s="44" t="n">
        <x:f>Lifecycle!G12</x:f>
        <x:v>0.250345872587127</x:v>
      </x:c>
      <x:c r="J1592" s="44" t="n">
        <x:v>0.08</x:v>
      </x:c>
      <x:c r="K1592" s="44" t="n">
        <x:f>I1592*J1592</x:f>
        <x:v>0.02002766980697016</x:v>
      </x:c>
      <x:c r="L1592" s="46" t="n">
        <x:v>0</x:v>
      </x:c>
      <x:c r="M1592" s="46" t="n">
        <x:v>0</x:v>
      </x:c>
      <x:c r="N1592" s="21" t="n">
        <x:f>IF(AND(L1591=1,M1591=1,P1591&gt;0),1,0)</x:f>
        <x:v>0</x:v>
      </x:c>
      <x:c r="O1592" s="21" t="n">
        <x:f>MIN('Root Data'!I481:I483)</x:f>
        <x:v>0</x:v>
      </x:c>
      <x:c r="P1592" s="44" t="n">
        <x:f>IF(AND(L1592=1,M1592=1,N1592=1,O1592&gt;=G1592),K1592,0)</x:f>
        <x:v>0</x:v>
      </x:c>
      <x:c r="Q1592" s="21" t="str">
        <x:v>OPEN</x:v>
      </x:c>
      <x:c r="R1592" s="23" t="str">
        <x:v>HOLD</x:v>
      </x:c>
    </x:row>
    <x:row r="1593">
      <x:c r="B1593" s="21" t="str">
        <x:v>AR-01587</x:v>
      </x:c>
      <x:c r="C1593" s="21" t="str">
        <x:v>F40-I3</x:v>
      </x:c>
      <x:c r="D1593" s="21" t="str">
        <x:v>F40</x:v>
      </x:c>
      <x:c r="E1593" s="21" t="n">
        <x:v>7</x:v>
      </x:c>
      <x:c r="F1593" s="21" t="str">
        <x:v>Independent reproduction</x:v>
      </x:c>
      <x:c r="G1593" s="21" t="n">
        <x:v>28</x:v>
      </x:c>
      <x:c r="H1593" s="21" t="str">
        <x:v>Independent Evidence and Data Authority</x:v>
      </x:c>
      <x:c r="I1593" s="44" t="n">
        <x:f>Lifecycle!G13</x:f>
        <x:v>0.21740562619408393</x:v>
      </x:c>
      <x:c r="J1593" s="44" t="n">
        <x:v>0.08</x:v>
      </x:c>
      <x:c r="K1593" s="44" t="n">
        <x:f>I1593*J1593</x:f>
        <x:v>0.017392450095526715</x:v>
      </x:c>
      <x:c r="L1593" s="46" t="n">
        <x:v>0</x:v>
      </x:c>
      <x:c r="M1593" s="46" t="n">
        <x:v>0</x:v>
      </x:c>
      <x:c r="N1593" s="21" t="n">
        <x:f>IF(AND(L1592=1,M1592=1,P1592&gt;0),1,0)</x:f>
        <x:v>0</x:v>
      </x:c>
      <x:c r="O1593" s="21" t="n">
        <x:f>MIN('Root Data'!I481:I483)</x:f>
        <x:v>0</x:v>
      </x:c>
      <x:c r="P1593" s="44" t="n">
        <x:f>IF(AND(L1593=1,M1593=1,N1593=1,O1593&gt;=G1593),K1593,0)</x:f>
        <x:v>0</x:v>
      </x:c>
      <x:c r="Q1593" s="21" t="str">
        <x:v>OPEN</x:v>
      </x:c>
      <x:c r="R1593" s="23" t="str">
        <x:v>HOLD</x:v>
      </x:c>
    </x:row>
    <x:row r="1594">
      <x:c r="B1594" s="21" t="str">
        <x:v>AR-01588</x:v>
      </x:c>
      <x:c r="C1594" s="21" t="str">
        <x:v>F40-I3</x:v>
      </x:c>
      <x:c r="D1594" s="21" t="str">
        <x:v>F40</x:v>
      </x:c>
      <x:c r="E1594" s="21" t="n">
        <x:v>8</x:v>
      </x:c>
      <x:c r="F1594" s="21" t="str">
        <x:v>Pilot-process qualification</x:v>
      </x:c>
      <x:c r="G1594" s="21" t="n">
        <x:v>28</x:v>
      </x:c>
      <x:c r="H1594" s="21" t="str">
        <x:v>AIMC Industrial Mobilization Authority</x:v>
      </x:c>
      <x:c r="I1594" s="44" t="n">
        <x:f>Lifecycle!G14</x:f>
        <x:v>0.03952829567165163</x:v>
      </x:c>
      <x:c r="J1594" s="44" t="n">
        <x:v>0.08</x:v>
      </x:c>
      <x:c r="K1594" s="44" t="n">
        <x:f>I1594*J1594</x:f>
        <x:v>0.0031622636537321303</x:v>
      </x:c>
      <x:c r="L1594" s="46" t="n">
        <x:v>0</x:v>
      </x:c>
      <x:c r="M1594" s="46" t="n">
        <x:v>0</x:v>
      </x:c>
      <x:c r="N1594" s="21" t="n">
        <x:f>IF(AND(L1593=1,M1593=1,P1593&gt;0),1,0)</x:f>
        <x:v>0</x:v>
      </x:c>
      <x:c r="O1594" s="21" t="n">
        <x:f>MIN('Root Data'!I481:I483)</x:f>
        <x:v>0</x:v>
      </x:c>
      <x:c r="P1594" s="44" t="n">
        <x:f>IF(AND(L1594=1,M1594=1,N1594=1,O1594&gt;=G1594),K1594,0)</x:f>
        <x:v>0</x:v>
      </x:c>
      <x:c r="Q1594" s="21" t="str">
        <x:v>OPEN</x:v>
      </x:c>
      <x:c r="R1594" s="23" t="str">
        <x:v>HOLD</x:v>
      </x:c>
    </x:row>
    <x:row r="1595">
      <x:c r="B1595" s="21" t="str">
        <x:v>AR-01589</x:v>
      </x:c>
      <x:c r="C1595" s="21" t="str">
        <x:v>F40-I3</x:v>
      </x:c>
      <x:c r="D1595" s="21" t="str">
        <x:v>F40</x:v>
      </x:c>
      <x:c r="E1595" s="21" t="n">
        <x:v>9</x:v>
      </x:c>
      <x:c r="F1595" s="21" t="str">
        <x:v>Production release package</x:v>
      </x:c>
      <x:c r="G1595" s="21" t="n">
        <x:v>28</x:v>
      </x:c>
      <x:c r="H1595" s="21" t="str">
        <x:v>Production Release Board</x:v>
      </x:c>
      <x:c r="I1595" s="44" t="n">
        <x:f>Lifecycle!G15</x:f>
        <x:v>0.01647012319652151</x:v>
      </x:c>
      <x:c r="J1595" s="44" t="n">
        <x:v>0.08</x:v>
      </x:c>
      <x:c r="K1595" s="44" t="n">
        <x:f>I1595*J1595</x:f>
        <x:v>0.0013176098557217209</x:v>
      </x:c>
      <x:c r="L1595" s="46" t="n">
        <x:v>0</x:v>
      </x:c>
      <x:c r="M1595" s="46" t="n">
        <x:v>0</x:v>
      </x:c>
      <x:c r="N1595" s="21" t="n">
        <x:f>IF(AND(L1594=1,M1594=1,P1594&gt;0),1,0)</x:f>
        <x:v>0</x:v>
      </x:c>
      <x:c r="O1595" s="21" t="n">
        <x:f>MIN('Root Data'!I481:I483)</x:f>
        <x:v>0</x:v>
      </x:c>
      <x:c r="P1595" s="44" t="n">
        <x:f>IF(AND(L1595=1,M1595=1,N1595=1,O1595&gt;=G1595),K1595,0)</x:f>
        <x:v>0</x:v>
      </x:c>
      <x:c r="Q1595" s="21" t="str">
        <x:v>OPEN</x:v>
      </x:c>
      <x:c r="R1595" s="23" t="str">
        <x:v>HOLD</x:v>
      </x:c>
    </x:row>
    <x:row r="1596">
      <x:c r="B1596" s="21" t="str">
        <x:v>AR-01590</x:v>
      </x:c>
      <x:c r="C1596" s="21" t="str">
        <x:v>F40-I3</x:v>
      </x:c>
      <x:c r="D1596" s="21" t="str">
        <x:v>F40</x:v>
      </x:c>
      <x:c r="E1596" s="21" t="n">
        <x:v>10</x:v>
      </x:c>
      <x:c r="F1596" s="21" t="str">
        <x:v>Mobilization activation</x:v>
      </x:c>
      <x:c r="G1596" s="21" t="n">
        <x:v>28</x:v>
      </x:c>
      <x:c r="H1596" s="21" t="str">
        <x:v>Production Release Board</x:v>
      </x:c>
      <x:c r="I1596" s="44" t="n">
        <x:f>Lifecycle!G16</x:f>
        <x:v>0.028262731405230914</x:v>
      </x:c>
      <x:c r="J1596" s="44" t="n">
        <x:v>0.08</x:v>
      </x:c>
      <x:c r="K1596" s="44" t="n">
        <x:f>I1596*J1596</x:f>
        <x:v>0.002261018512418473</x:v>
      </x:c>
      <x:c r="L1596" s="46" t="n">
        <x:v>0</x:v>
      </x:c>
      <x:c r="M1596" s="46" t="n">
        <x:v>0</x:v>
      </x:c>
      <x:c r="N1596" s="21" t="n">
        <x:f>IF(AND(L1595=1,M1595=1,P1595&gt;0),1,0)</x:f>
        <x:v>0</x:v>
      </x:c>
      <x:c r="O1596" s="21" t="n">
        <x:f>MIN('Root Data'!I481:I483)</x:f>
        <x:v>0</x:v>
      </x:c>
      <x:c r="P1596" s="44" t="n">
        <x:f>IF(AND(L1596=1,M1596=1,N1596=1,O1596&gt;=G1596),K1596,0)</x:f>
        <x:v>0</x:v>
      </x:c>
      <x:c r="Q1596" s="21" t="str">
        <x:v>OPEN</x:v>
      </x:c>
      <x:c r="R1596" s="23" t="str">
        <x:v>HOLD</x:v>
      </x:c>
    </x:row>
    <x:row r="1597">
      <x:c r="B1597" s="21" t="str">
        <x:v>AR-01591</x:v>
      </x:c>
      <x:c r="C1597" s="21" t="str">
        <x:v>F40-I4</x:v>
      </x:c>
      <x:c r="D1597" s="21" t="str">
        <x:v>F40</x:v>
      </x:c>
      <x:c r="E1597" s="21" t="n">
        <x:v>1</x:v>
      </x:c>
      <x:c r="F1597" s="21" t="str">
        <x:v>Civil effect charter</x:v>
      </x:c>
      <x:c r="G1597" s="21" t="n">
        <x:v>0</x:v>
      </x:c>
      <x:c r="H1597" s="21" t="str">
        <x:v>Civil Guarantee Authority</x:v>
      </x:c>
      <x:c r="I1597" s="44" t="n">
        <x:f>Lifecycle!G7</x:f>
        <x:v>0.04941036958956453</x:v>
      </x:c>
      <x:c r="J1597" s="44" t="n">
        <x:v>0.08</x:v>
      </x:c>
      <x:c r="K1597" s="44" t="n">
        <x:f>I1597*J1597</x:f>
        <x:v>0.003952829567165163</x:v>
      </x:c>
      <x:c r="L1597" s="46" t="n">
        <x:v>0</x:v>
      </x:c>
      <x:c r="M1597" s="46" t="n">
        <x:v>0</x:v>
      </x:c>
      <x:c r="N1597" s="21" t="n">
        <x:f>1</x:f>
        <x:v>1</x:v>
      </x:c>
      <x:c r="O1597" s="21" t="n">
        <x:f>MIN('Root Data'!I484:I486)</x:f>
        <x:v>0</x:v>
      </x:c>
      <x:c r="P1597" s="44" t="n">
        <x:f>IF(AND(L1597=1,M1597=1,N1597=1,O1597&gt;=G1597),K1597,0)</x:f>
        <x:v>0</x:v>
      </x:c>
      <x:c r="Q1597" s="21" t="str">
        <x:v>OPEN</x:v>
      </x:c>
      <x:c r="R1597" s="23" t="str">
        <x:v>HOLD</x:v>
      </x:c>
    </x:row>
    <x:row r="1598">
      <x:c r="B1598" s="21" t="str">
        <x:v>AR-01592</x:v>
      </x:c>
      <x:c r="C1598" s="21" t="str">
        <x:v>F40-I4</x:v>
      </x:c>
      <x:c r="D1598" s="21" t="str">
        <x:v>F40</x:v>
      </x:c>
      <x:c r="E1598" s="21" t="n">
        <x:v>2</x:v>
      </x:c>
      <x:c r="F1598" s="21" t="str">
        <x:v>Requirement and root-independence package</x:v>
      </x:c>
      <x:c r="G1598" s="21" t="n">
        <x:v>8</x:v>
      </x:c>
      <x:c r="H1598" s="21" t="str">
        <x:v>Resilience Staff</x:v>
      </x:c>
      <x:c r="I1598" s="44" t="n">
        <x:f>Lifecycle!G8</x:f>
        <x:v>0.10211476381843337</x:v>
      </x:c>
      <x:c r="J1598" s="44" t="n">
        <x:v>0.08</x:v>
      </x:c>
      <x:c r="K1598" s="44" t="n">
        <x:f>I1598*J1598</x:f>
        <x:v>0.00816918110547467</x:v>
      </x:c>
      <x:c r="L1598" s="46" t="n">
        <x:v>0</x:v>
      </x:c>
      <x:c r="M1598" s="46" t="n">
        <x:v>0</x:v>
      </x:c>
      <x:c r="N1598" s="21" t="n">
        <x:f>IF(AND(L1597=1,M1597=1,P1597&gt;0),1,0)</x:f>
        <x:v>0</x:v>
      </x:c>
      <x:c r="O1598" s="21" t="n">
        <x:f>MIN('Root Data'!I484:I486)</x:f>
        <x:v>0</x:v>
      </x:c>
      <x:c r="P1598" s="44" t="n">
        <x:f>IF(AND(L1598=1,M1598=1,N1598=1,O1598&gt;=G1598),K1598,0)</x:f>
        <x:v>0</x:v>
      </x:c>
      <x:c r="Q1598" s="21" t="str">
        <x:v>OPEN</x:v>
      </x:c>
      <x:c r="R1598" s="23" t="str">
        <x:v>HOLD</x:v>
      </x:c>
    </x:row>
    <x:row r="1599">
      <x:c r="B1599" s="21" t="str">
        <x:v>AR-01593</x:v>
      </x:c>
      <x:c r="C1599" s="21" t="str">
        <x:v>F40-I4</x:v>
      </x:c>
      <x:c r="D1599" s="21" t="str">
        <x:v>F40</x:v>
      </x:c>
      <x:c r="E1599" s="21" t="n">
        <x:v>3</x:v>
      </x:c>
      <x:c r="F1599" s="21" t="str">
        <x:v>Architecture and burden closure</x:v>
      </x:c>
      <x:c r="G1599" s="21" t="n">
        <x:v>14</x:v>
      </x:c>
      <x:c r="H1599" s="21" t="str">
        <x:v>Independent Evidence and Data Authority</x:v>
      </x:c>
      <x:c r="I1599" s="44" t="n">
        <x:f>Lifecycle!G9</x:f>
        <x:v>0.08564464062191186</x:v>
      </x:c>
      <x:c r="J1599" s="44" t="n">
        <x:v>0.08</x:v>
      </x:c>
      <x:c r="K1599" s="44" t="n">
        <x:f>I1599*J1599</x:f>
        <x:v>0.006851571249752949</x:v>
      </x:c>
      <x:c r="L1599" s="46" t="n">
        <x:v>0</x:v>
      </x:c>
      <x:c r="M1599" s="46" t="n">
        <x:v>0</x:v>
      </x:c>
      <x:c r="N1599" s="21" t="n">
        <x:f>IF(AND(L1598=1,M1598=1,P1598&gt;0),1,0)</x:f>
        <x:v>0</x:v>
      </x:c>
      <x:c r="O1599" s="21" t="n">
        <x:f>MIN('Root Data'!I484:I486)</x:f>
        <x:v>0</x:v>
      </x:c>
      <x:c r="P1599" s="44" t="n">
        <x:f>IF(AND(L1599=1,M1599=1,N1599=1,O1599&gt;=G1599),K1599,0)</x:f>
        <x:v>0</x:v>
      </x:c>
      <x:c r="Q1599" s="21" t="str">
        <x:v>OPEN</x:v>
      </x:c>
      <x:c r="R1599" s="23" t="str">
        <x:v>HOLD</x:v>
      </x:c>
    </x:row>
    <x:row r="1600">
      <x:c r="B1600" s="21" t="str">
        <x:v>AR-01594</x:v>
      </x:c>
      <x:c r="C1600" s="21" t="str">
        <x:v>F40-I4</x:v>
      </x:c>
      <x:c r="D1600" s="21" t="str">
        <x:v>F40</x:v>
      </x:c>
      <x:c r="E1600" s="21" t="n">
        <x:v>4</x:v>
      </x:c>
      <x:c r="F1600" s="21" t="str">
        <x:v>Engineering article acceptance</x:v>
      </x:c>
      <x:c r="G1600" s="21" t="n">
        <x:v>18</x:v>
      </x:c>
      <x:c r="H1600" s="21" t="str">
        <x:v>Independent Evidence and Data Authority</x:v>
      </x:c>
      <x:c r="I1600" s="44" t="n">
        <x:f>Lifecycle!G10</x:f>
        <x:v>0.05929244350747744</x:v>
      </x:c>
      <x:c r="J1600" s="44" t="n">
        <x:v>0.08</x:v>
      </x:c>
      <x:c r="K1600" s="44" t="n">
        <x:f>I1600*J1600</x:f>
        <x:v>0.004743395480598196</x:v>
      </x:c>
      <x:c r="L1600" s="46" t="n">
        <x:v>0</x:v>
      </x:c>
      <x:c r="M1600" s="46" t="n">
        <x:v>0</x:v>
      </x:c>
      <x:c r="N1600" s="21" t="n">
        <x:f>IF(AND(L1599=1,M1599=1,P1599&gt;0),1,0)</x:f>
        <x:v>0</x:v>
      </x:c>
      <x:c r="O1600" s="21" t="n">
        <x:f>MIN('Root Data'!I484:I486)</x:f>
        <x:v>0</x:v>
      </x:c>
      <x:c r="P1600" s="44" t="n">
        <x:f>IF(AND(L1600=1,M1600=1,N1600=1,O1600&gt;=G1600),K1600,0)</x:f>
        <x:v>0</x:v>
      </x:c>
      <x:c r="Q1600" s="21" t="str">
        <x:v>OPEN</x:v>
      </x:c>
      <x:c r="R1600" s="23" t="str">
        <x:v>HOLD</x:v>
      </x:c>
    </x:row>
    <x:row r="1601">
      <x:c r="B1601" s="21" t="str">
        <x:v>AR-01595</x:v>
      </x:c>
      <x:c r="C1601" s="21" t="str">
        <x:v>F40-I4</x:v>
      </x:c>
      <x:c r="D1601" s="21" t="str">
        <x:v>F40</x:v>
      </x:c>
      <x:c r="E1601" s="21" t="n">
        <x:v>5</x:v>
      </x:c>
      <x:c r="F1601" s="21" t="str">
        <x:v>Qualification and destructive evidence</x:v>
      </x:c>
      <x:c r="G1601" s="21" t="n">
        <x:v>21</x:v>
      </x:c>
      <x:c r="H1601" s="21" t="str">
        <x:v>Independent Evidence and Data Authority</x:v>
      </x:c>
      <x:c r="I1601" s="44" t="n">
        <x:f>Lifecycle!G11</x:f>
        <x:v>0.1515251334079979</x:v>
      </x:c>
      <x:c r="J1601" s="44" t="n">
        <x:v>0.08</x:v>
      </x:c>
      <x:c r="K1601" s="44" t="n">
        <x:f>I1601*J1601</x:f>
        <x:v>0.012122010672639832</x:v>
      </x:c>
      <x:c r="L1601" s="46" t="n">
        <x:v>0</x:v>
      </x:c>
      <x:c r="M1601" s="46" t="n">
        <x:v>0</x:v>
      </x:c>
      <x:c r="N1601" s="21" t="n">
        <x:f>IF(AND(L1600=1,M1600=1,P1600&gt;0),1,0)</x:f>
        <x:v>0</x:v>
      </x:c>
      <x:c r="O1601" s="21" t="n">
        <x:f>MIN('Root Data'!I484:I486)</x:f>
        <x:v>0</x:v>
      </x:c>
      <x:c r="P1601" s="44" t="n">
        <x:f>IF(AND(L1601=1,M1601=1,N1601=1,O1601&gt;=G1601),K1601,0)</x:f>
        <x:v>0</x:v>
      </x:c>
      <x:c r="Q1601" s="21" t="str">
        <x:v>OPEN</x:v>
      </x:c>
      <x:c r="R1601" s="23" t="str">
        <x:v>HOLD</x:v>
      </x:c>
    </x:row>
    <x:row r="1602">
      <x:c r="B1602" s="21" t="str">
        <x:v>AR-01596</x:v>
      </x:c>
      <x:c r="C1602" s="21" t="str">
        <x:v>F40-I4</x:v>
      </x:c>
      <x:c r="D1602" s="21" t="str">
        <x:v>F40</x:v>
      </x:c>
      <x:c r="E1602" s="21" t="n">
        <x:v>6</x:v>
      </x:c>
      <x:c r="F1602" s="21" t="str">
        <x:v>Representative mission result</x:v>
      </x:c>
      <x:c r="G1602" s="21" t="n">
        <x:v>23</x:v>
      </x:c>
      <x:c r="H1602" s="21" t="str">
        <x:v>Receiving Service Authority</x:v>
      </x:c>
      <x:c r="I1602" s="44" t="n">
        <x:f>Lifecycle!G12</x:f>
        <x:v>0.250345872587127</x:v>
      </x:c>
      <x:c r="J1602" s="44" t="n">
        <x:v>0.08</x:v>
      </x:c>
      <x:c r="K1602" s="44" t="n">
        <x:f>I1602*J1602</x:f>
        <x:v>0.02002766980697016</x:v>
      </x:c>
      <x:c r="L1602" s="46" t="n">
        <x:v>0</x:v>
      </x:c>
      <x:c r="M1602" s="46" t="n">
        <x:v>0</x:v>
      </x:c>
      <x:c r="N1602" s="21" t="n">
        <x:f>IF(AND(L1601=1,M1601=1,P1601&gt;0),1,0)</x:f>
        <x:v>0</x:v>
      </x:c>
      <x:c r="O1602" s="21" t="n">
        <x:f>MIN('Root Data'!I484:I486)</x:f>
        <x:v>0</x:v>
      </x:c>
      <x:c r="P1602" s="44" t="n">
        <x:f>IF(AND(L1602=1,M1602=1,N1602=1,O1602&gt;=G1602),K1602,0)</x:f>
        <x:v>0</x:v>
      </x:c>
      <x:c r="Q1602" s="21" t="str">
        <x:v>OPEN</x:v>
      </x:c>
      <x:c r="R1602" s="23" t="str">
        <x:v>HOLD</x:v>
      </x:c>
    </x:row>
    <x:row r="1603">
      <x:c r="B1603" s="21" t="str">
        <x:v>AR-01597</x:v>
      </x:c>
      <x:c r="C1603" s="21" t="str">
        <x:v>F40-I4</x:v>
      </x:c>
      <x:c r="D1603" s="21" t="str">
        <x:v>F40</x:v>
      </x:c>
      <x:c r="E1603" s="21" t="n">
        <x:v>7</x:v>
      </x:c>
      <x:c r="F1603" s="21" t="str">
        <x:v>Independent reproduction</x:v>
      </x:c>
      <x:c r="G1603" s="21" t="n">
        <x:v>28</x:v>
      </x:c>
      <x:c r="H1603" s="21" t="str">
        <x:v>Independent Evidence and Data Authority</x:v>
      </x:c>
      <x:c r="I1603" s="44" t="n">
        <x:f>Lifecycle!G13</x:f>
        <x:v>0.21740562619408393</x:v>
      </x:c>
      <x:c r="J1603" s="44" t="n">
        <x:v>0.08</x:v>
      </x:c>
      <x:c r="K1603" s="44" t="n">
        <x:f>I1603*J1603</x:f>
        <x:v>0.017392450095526715</x:v>
      </x:c>
      <x:c r="L1603" s="46" t="n">
        <x:v>0</x:v>
      </x:c>
      <x:c r="M1603" s="46" t="n">
        <x:v>0</x:v>
      </x:c>
      <x:c r="N1603" s="21" t="n">
        <x:f>IF(AND(L1602=1,M1602=1,P1602&gt;0),1,0)</x:f>
        <x:v>0</x:v>
      </x:c>
      <x:c r="O1603" s="21" t="n">
        <x:f>MIN('Root Data'!I484:I486)</x:f>
        <x:v>0</x:v>
      </x:c>
      <x:c r="P1603" s="44" t="n">
        <x:f>IF(AND(L1603=1,M1603=1,N1603=1,O1603&gt;=G1603),K1603,0)</x:f>
        <x:v>0</x:v>
      </x:c>
      <x:c r="Q1603" s="21" t="str">
        <x:v>OPEN</x:v>
      </x:c>
      <x:c r="R1603" s="23" t="str">
        <x:v>HOLD</x:v>
      </x:c>
    </x:row>
    <x:row r="1604">
      <x:c r="B1604" s="21" t="str">
        <x:v>AR-01598</x:v>
      </x:c>
      <x:c r="C1604" s="21" t="str">
        <x:v>F40-I4</x:v>
      </x:c>
      <x:c r="D1604" s="21" t="str">
        <x:v>F40</x:v>
      </x:c>
      <x:c r="E1604" s="21" t="n">
        <x:v>8</x:v>
      </x:c>
      <x:c r="F1604" s="21" t="str">
        <x:v>Pilot-process qualification</x:v>
      </x:c>
      <x:c r="G1604" s="21" t="n">
        <x:v>28</x:v>
      </x:c>
      <x:c r="H1604" s="21" t="str">
        <x:v>AIMC Industrial Mobilization Authority</x:v>
      </x:c>
      <x:c r="I1604" s="44" t="n">
        <x:f>Lifecycle!G14</x:f>
        <x:v>0.03952829567165163</x:v>
      </x:c>
      <x:c r="J1604" s="44" t="n">
        <x:v>0.08</x:v>
      </x:c>
      <x:c r="K1604" s="44" t="n">
        <x:f>I1604*J1604</x:f>
        <x:v>0.0031622636537321303</x:v>
      </x:c>
      <x:c r="L1604" s="46" t="n">
        <x:v>0</x:v>
      </x:c>
      <x:c r="M1604" s="46" t="n">
        <x:v>0</x:v>
      </x:c>
      <x:c r="N1604" s="21" t="n">
        <x:f>IF(AND(L1603=1,M1603=1,P1603&gt;0),1,0)</x:f>
        <x:v>0</x:v>
      </x:c>
      <x:c r="O1604" s="21" t="n">
        <x:f>MIN('Root Data'!I484:I486)</x:f>
        <x:v>0</x:v>
      </x:c>
      <x:c r="P1604" s="44" t="n">
        <x:f>IF(AND(L1604=1,M1604=1,N1604=1,O1604&gt;=G1604),K1604,0)</x:f>
        <x:v>0</x:v>
      </x:c>
      <x:c r="Q1604" s="21" t="str">
        <x:v>OPEN</x:v>
      </x:c>
      <x:c r="R1604" s="23" t="str">
        <x:v>HOLD</x:v>
      </x:c>
    </x:row>
    <x:row r="1605">
      <x:c r="B1605" s="21" t="str">
        <x:v>AR-01599</x:v>
      </x:c>
      <x:c r="C1605" s="21" t="str">
        <x:v>F40-I4</x:v>
      </x:c>
      <x:c r="D1605" s="21" t="str">
        <x:v>F40</x:v>
      </x:c>
      <x:c r="E1605" s="21" t="n">
        <x:v>9</x:v>
      </x:c>
      <x:c r="F1605" s="21" t="str">
        <x:v>Production release package</x:v>
      </x:c>
      <x:c r="G1605" s="21" t="n">
        <x:v>28</x:v>
      </x:c>
      <x:c r="H1605" s="21" t="str">
        <x:v>Production Release Board</x:v>
      </x:c>
      <x:c r="I1605" s="44" t="n">
        <x:f>Lifecycle!G15</x:f>
        <x:v>0.01647012319652151</x:v>
      </x:c>
      <x:c r="J1605" s="44" t="n">
        <x:v>0.08</x:v>
      </x:c>
      <x:c r="K1605" s="44" t="n">
        <x:f>I1605*J1605</x:f>
        <x:v>0.0013176098557217209</x:v>
      </x:c>
      <x:c r="L1605" s="46" t="n">
        <x:v>0</x:v>
      </x:c>
      <x:c r="M1605" s="46" t="n">
        <x:v>0</x:v>
      </x:c>
      <x:c r="N1605" s="21" t="n">
        <x:f>IF(AND(L1604=1,M1604=1,P1604&gt;0),1,0)</x:f>
        <x:v>0</x:v>
      </x:c>
      <x:c r="O1605" s="21" t="n">
        <x:f>MIN('Root Data'!I484:I486)</x:f>
        <x:v>0</x:v>
      </x:c>
      <x:c r="P1605" s="44" t="n">
        <x:f>IF(AND(L1605=1,M1605=1,N1605=1,O1605&gt;=G1605),K1605,0)</x:f>
        <x:v>0</x:v>
      </x:c>
      <x:c r="Q1605" s="21" t="str">
        <x:v>OPEN</x:v>
      </x:c>
      <x:c r="R1605" s="23" t="str">
        <x:v>HOLD</x:v>
      </x:c>
    </x:row>
    <x:row r="1606">
      <x:c r="B1606" s="21" t="str">
        <x:v>AR-01600</x:v>
      </x:c>
      <x:c r="C1606" s="21" t="str">
        <x:v>F40-I4</x:v>
      </x:c>
      <x:c r="D1606" s="21" t="str">
        <x:v>F40</x:v>
      </x:c>
      <x:c r="E1606" s="21" t="n">
        <x:v>10</x:v>
      </x:c>
      <x:c r="F1606" s="21" t="str">
        <x:v>Mobilization activation</x:v>
      </x:c>
      <x:c r="G1606" s="21" t="n">
        <x:v>28</x:v>
      </x:c>
      <x:c r="H1606" s="21" t="str">
        <x:v>Production Release Board</x:v>
      </x:c>
      <x:c r="I1606" s="44" t="n">
        <x:f>Lifecycle!G16</x:f>
        <x:v>0.028262731405230914</x:v>
      </x:c>
      <x:c r="J1606" s="44" t="n">
        <x:v>0.08</x:v>
      </x:c>
      <x:c r="K1606" s="44" t="n">
        <x:f>I1606*J1606</x:f>
        <x:v>0.002261018512418473</x:v>
      </x:c>
      <x:c r="L1606" s="46" t="n">
        <x:v>0</x:v>
      </x:c>
      <x:c r="M1606" s="46" t="n">
        <x:v>0</x:v>
      </x:c>
      <x:c r="N1606" s="21" t="n">
        <x:f>IF(AND(L1605=1,M1605=1,P1605&gt;0),1,0)</x:f>
        <x:v>0</x:v>
      </x:c>
      <x:c r="O1606" s="21" t="n">
        <x:f>MIN('Root Data'!I484:I486)</x:f>
        <x:v>0</x:v>
      </x:c>
      <x:c r="P1606" s="44" t="n">
        <x:f>IF(AND(L1606=1,M1606=1,N1606=1,O1606&gt;=G1606),K1606,0)</x:f>
        <x:v>0</x:v>
      </x:c>
      <x:c r="Q1606" s="21" t="str">
        <x:v>OPEN</x:v>
      </x:c>
      <x:c r="R1606" s="23" t="str">
        <x:v>HOLD</x:v>
      </x:c>
    </x:row>
    <x:row r="1607">
      <x:c r="B1607" s="21" t="str">
        <x:v>AR-01601</x:v>
      </x:c>
      <x:c r="C1607" s="21" t="str">
        <x:v>F41-I1</x:v>
      </x:c>
      <x:c r="D1607" s="21" t="str">
        <x:v>F41</x:v>
      </x:c>
      <x:c r="E1607" s="21" t="n">
        <x:v>1</x:v>
      </x:c>
      <x:c r="F1607" s="21" t="str">
        <x:v>Civil effect charter</x:v>
      </x:c>
      <x:c r="G1607" s="21" t="n">
        <x:v>0</x:v>
      </x:c>
      <x:c r="H1607" s="21" t="str">
        <x:v>Civil Guarantee Authority</x:v>
      </x:c>
      <x:c r="I1607" s="44" t="n">
        <x:f>Lifecycle!G7</x:f>
        <x:v>0.04941036958956453</x:v>
      </x:c>
      <x:c r="J1607" s="44" t="n">
        <x:v>0.08</x:v>
      </x:c>
      <x:c r="K1607" s="44" t="n">
        <x:f>I1607*J1607</x:f>
        <x:v>0.003952829567165163</x:v>
      </x:c>
      <x:c r="L1607" s="46" t="n">
        <x:v>0</x:v>
      </x:c>
      <x:c r="M1607" s="46" t="n">
        <x:v>0</x:v>
      </x:c>
      <x:c r="N1607" s="21" t="n">
        <x:f>1</x:f>
        <x:v>1</x:v>
      </x:c>
      <x:c r="O1607" s="21" t="n">
        <x:f>MIN('Root Data'!I487:I489)</x:f>
        <x:v>0</x:v>
      </x:c>
      <x:c r="P1607" s="44" t="n">
        <x:f>IF(AND(L1607=1,M1607=1,N1607=1,O1607&gt;=G1607),K1607,0)</x:f>
        <x:v>0</x:v>
      </x:c>
      <x:c r="Q1607" s="21" t="str">
        <x:v>OPEN</x:v>
      </x:c>
      <x:c r="R1607" s="23" t="str">
        <x:v>HOLD</x:v>
      </x:c>
    </x:row>
    <x:row r="1608">
      <x:c r="B1608" s="21" t="str">
        <x:v>AR-01602</x:v>
      </x:c>
      <x:c r="C1608" s="21" t="str">
        <x:v>F41-I1</x:v>
      </x:c>
      <x:c r="D1608" s="21" t="str">
        <x:v>F41</x:v>
      </x:c>
      <x:c r="E1608" s="21" t="n">
        <x:v>2</x:v>
      </x:c>
      <x:c r="F1608" s="21" t="str">
        <x:v>Requirement and root-independence package</x:v>
      </x:c>
      <x:c r="G1608" s="21" t="n">
        <x:v>8</x:v>
      </x:c>
      <x:c r="H1608" s="21" t="str">
        <x:v>Resilience Staff</x:v>
      </x:c>
      <x:c r="I1608" s="44" t="n">
        <x:f>Lifecycle!G8</x:f>
        <x:v>0.10211476381843337</x:v>
      </x:c>
      <x:c r="J1608" s="44" t="n">
        <x:v>0.08</x:v>
      </x:c>
      <x:c r="K1608" s="44" t="n">
        <x:f>I1608*J1608</x:f>
        <x:v>0.00816918110547467</x:v>
      </x:c>
      <x:c r="L1608" s="46" t="n">
        <x:v>0</x:v>
      </x:c>
      <x:c r="M1608" s="46" t="n">
        <x:v>0</x:v>
      </x:c>
      <x:c r="N1608" s="21" t="n">
        <x:f>IF(AND(L1607=1,M1607=1,P1607&gt;0),1,0)</x:f>
        <x:v>0</x:v>
      </x:c>
      <x:c r="O1608" s="21" t="n">
        <x:f>MIN('Root Data'!I487:I489)</x:f>
        <x:v>0</x:v>
      </x:c>
      <x:c r="P1608" s="44" t="n">
        <x:f>IF(AND(L1608=1,M1608=1,N1608=1,O1608&gt;=G1608),K1608,0)</x:f>
        <x:v>0</x:v>
      </x:c>
      <x:c r="Q1608" s="21" t="str">
        <x:v>OPEN</x:v>
      </x:c>
      <x:c r="R1608" s="23" t="str">
        <x:v>HOLD</x:v>
      </x:c>
    </x:row>
    <x:row r="1609">
      <x:c r="B1609" s="21" t="str">
        <x:v>AR-01603</x:v>
      </x:c>
      <x:c r="C1609" s="21" t="str">
        <x:v>F41-I1</x:v>
      </x:c>
      <x:c r="D1609" s="21" t="str">
        <x:v>F41</x:v>
      </x:c>
      <x:c r="E1609" s="21" t="n">
        <x:v>3</x:v>
      </x:c>
      <x:c r="F1609" s="21" t="str">
        <x:v>Architecture and burden closure</x:v>
      </x:c>
      <x:c r="G1609" s="21" t="n">
        <x:v>14</x:v>
      </x:c>
      <x:c r="H1609" s="21" t="str">
        <x:v>Independent Evidence and Data Authority</x:v>
      </x:c>
      <x:c r="I1609" s="44" t="n">
        <x:f>Lifecycle!G9</x:f>
        <x:v>0.08564464062191186</x:v>
      </x:c>
      <x:c r="J1609" s="44" t="n">
        <x:v>0.08</x:v>
      </x:c>
      <x:c r="K1609" s="44" t="n">
        <x:f>I1609*J1609</x:f>
        <x:v>0.006851571249752949</x:v>
      </x:c>
      <x:c r="L1609" s="46" t="n">
        <x:v>0</x:v>
      </x:c>
      <x:c r="M1609" s="46" t="n">
        <x:v>0</x:v>
      </x:c>
      <x:c r="N1609" s="21" t="n">
        <x:f>IF(AND(L1608=1,M1608=1,P1608&gt;0),1,0)</x:f>
        <x:v>0</x:v>
      </x:c>
      <x:c r="O1609" s="21" t="n">
        <x:f>MIN('Root Data'!I487:I489)</x:f>
        <x:v>0</x:v>
      </x:c>
      <x:c r="P1609" s="44" t="n">
        <x:f>IF(AND(L1609=1,M1609=1,N1609=1,O1609&gt;=G1609),K1609,0)</x:f>
        <x:v>0</x:v>
      </x:c>
      <x:c r="Q1609" s="21" t="str">
        <x:v>OPEN</x:v>
      </x:c>
      <x:c r="R1609" s="23" t="str">
        <x:v>HOLD</x:v>
      </x:c>
    </x:row>
    <x:row r="1610">
      <x:c r="B1610" s="21" t="str">
        <x:v>AR-01604</x:v>
      </x:c>
      <x:c r="C1610" s="21" t="str">
        <x:v>F41-I1</x:v>
      </x:c>
      <x:c r="D1610" s="21" t="str">
        <x:v>F41</x:v>
      </x:c>
      <x:c r="E1610" s="21" t="n">
        <x:v>4</x:v>
      </x:c>
      <x:c r="F1610" s="21" t="str">
        <x:v>Engineering article acceptance</x:v>
      </x:c>
      <x:c r="G1610" s="21" t="n">
        <x:v>18</x:v>
      </x:c>
      <x:c r="H1610" s="21" t="str">
        <x:v>Independent Evidence and Data Authority</x:v>
      </x:c>
      <x:c r="I1610" s="44" t="n">
        <x:f>Lifecycle!G10</x:f>
        <x:v>0.05929244350747744</x:v>
      </x:c>
      <x:c r="J1610" s="44" t="n">
        <x:v>0.08</x:v>
      </x:c>
      <x:c r="K1610" s="44" t="n">
        <x:f>I1610*J1610</x:f>
        <x:v>0.004743395480598196</x:v>
      </x:c>
      <x:c r="L1610" s="46" t="n">
        <x:v>0</x:v>
      </x:c>
      <x:c r="M1610" s="46" t="n">
        <x:v>0</x:v>
      </x:c>
      <x:c r="N1610" s="21" t="n">
        <x:f>IF(AND(L1609=1,M1609=1,P1609&gt;0),1,0)</x:f>
        <x:v>0</x:v>
      </x:c>
      <x:c r="O1610" s="21" t="n">
        <x:f>MIN('Root Data'!I487:I489)</x:f>
        <x:v>0</x:v>
      </x:c>
      <x:c r="P1610" s="44" t="n">
        <x:f>IF(AND(L1610=1,M1610=1,N1610=1,O1610&gt;=G1610),K1610,0)</x:f>
        <x:v>0</x:v>
      </x:c>
      <x:c r="Q1610" s="21" t="str">
        <x:v>OPEN</x:v>
      </x:c>
      <x:c r="R1610" s="23" t="str">
        <x:v>HOLD</x:v>
      </x:c>
    </x:row>
    <x:row r="1611">
      <x:c r="B1611" s="21" t="str">
        <x:v>AR-01605</x:v>
      </x:c>
      <x:c r="C1611" s="21" t="str">
        <x:v>F41-I1</x:v>
      </x:c>
      <x:c r="D1611" s="21" t="str">
        <x:v>F41</x:v>
      </x:c>
      <x:c r="E1611" s="21" t="n">
        <x:v>5</x:v>
      </x:c>
      <x:c r="F1611" s="21" t="str">
        <x:v>Qualification and destructive evidence</x:v>
      </x:c>
      <x:c r="G1611" s="21" t="n">
        <x:v>21</x:v>
      </x:c>
      <x:c r="H1611" s="21" t="str">
        <x:v>Independent Evidence and Data Authority</x:v>
      </x:c>
      <x:c r="I1611" s="44" t="n">
        <x:f>Lifecycle!G11</x:f>
        <x:v>0.1515251334079979</x:v>
      </x:c>
      <x:c r="J1611" s="44" t="n">
        <x:v>0.08</x:v>
      </x:c>
      <x:c r="K1611" s="44" t="n">
        <x:f>I1611*J1611</x:f>
        <x:v>0.012122010672639832</x:v>
      </x:c>
      <x:c r="L1611" s="46" t="n">
        <x:v>0</x:v>
      </x:c>
      <x:c r="M1611" s="46" t="n">
        <x:v>0</x:v>
      </x:c>
      <x:c r="N1611" s="21" t="n">
        <x:f>IF(AND(L1610=1,M1610=1,P1610&gt;0),1,0)</x:f>
        <x:v>0</x:v>
      </x:c>
      <x:c r="O1611" s="21" t="n">
        <x:f>MIN('Root Data'!I487:I489)</x:f>
        <x:v>0</x:v>
      </x:c>
      <x:c r="P1611" s="44" t="n">
        <x:f>IF(AND(L1611=1,M1611=1,N1611=1,O1611&gt;=G1611),K1611,0)</x:f>
        <x:v>0</x:v>
      </x:c>
      <x:c r="Q1611" s="21" t="str">
        <x:v>OPEN</x:v>
      </x:c>
      <x:c r="R1611" s="23" t="str">
        <x:v>HOLD</x:v>
      </x:c>
    </x:row>
    <x:row r="1612">
      <x:c r="B1612" s="21" t="str">
        <x:v>AR-01606</x:v>
      </x:c>
      <x:c r="C1612" s="21" t="str">
        <x:v>F41-I1</x:v>
      </x:c>
      <x:c r="D1612" s="21" t="str">
        <x:v>F41</x:v>
      </x:c>
      <x:c r="E1612" s="21" t="n">
        <x:v>6</x:v>
      </x:c>
      <x:c r="F1612" s="21" t="str">
        <x:v>Representative mission result</x:v>
      </x:c>
      <x:c r="G1612" s="21" t="n">
        <x:v>23</x:v>
      </x:c>
      <x:c r="H1612" s="21" t="str">
        <x:v>Receiving Service Authority</x:v>
      </x:c>
      <x:c r="I1612" s="44" t="n">
        <x:f>Lifecycle!G12</x:f>
        <x:v>0.250345872587127</x:v>
      </x:c>
      <x:c r="J1612" s="44" t="n">
        <x:v>0.08</x:v>
      </x:c>
      <x:c r="K1612" s="44" t="n">
        <x:f>I1612*J1612</x:f>
        <x:v>0.02002766980697016</x:v>
      </x:c>
      <x:c r="L1612" s="46" t="n">
        <x:v>0</x:v>
      </x:c>
      <x:c r="M1612" s="46" t="n">
        <x:v>0</x:v>
      </x:c>
      <x:c r="N1612" s="21" t="n">
        <x:f>IF(AND(L1611=1,M1611=1,P1611&gt;0),1,0)</x:f>
        <x:v>0</x:v>
      </x:c>
      <x:c r="O1612" s="21" t="n">
        <x:f>MIN('Root Data'!I487:I489)</x:f>
        <x:v>0</x:v>
      </x:c>
      <x:c r="P1612" s="44" t="n">
        <x:f>IF(AND(L1612=1,M1612=1,N1612=1,O1612&gt;=G1612),K1612,0)</x:f>
        <x:v>0</x:v>
      </x:c>
      <x:c r="Q1612" s="21" t="str">
        <x:v>OPEN</x:v>
      </x:c>
      <x:c r="R1612" s="23" t="str">
        <x:v>HOLD</x:v>
      </x:c>
    </x:row>
    <x:row r="1613">
      <x:c r="B1613" s="21" t="str">
        <x:v>AR-01607</x:v>
      </x:c>
      <x:c r="C1613" s="21" t="str">
        <x:v>F41-I1</x:v>
      </x:c>
      <x:c r="D1613" s="21" t="str">
        <x:v>F41</x:v>
      </x:c>
      <x:c r="E1613" s="21" t="n">
        <x:v>7</x:v>
      </x:c>
      <x:c r="F1613" s="21" t="str">
        <x:v>Independent reproduction</x:v>
      </x:c>
      <x:c r="G1613" s="21" t="n">
        <x:v>28</x:v>
      </x:c>
      <x:c r="H1613" s="21" t="str">
        <x:v>Independent Evidence and Data Authority</x:v>
      </x:c>
      <x:c r="I1613" s="44" t="n">
        <x:f>Lifecycle!G13</x:f>
        <x:v>0.21740562619408393</x:v>
      </x:c>
      <x:c r="J1613" s="44" t="n">
        <x:v>0.08</x:v>
      </x:c>
      <x:c r="K1613" s="44" t="n">
        <x:f>I1613*J1613</x:f>
        <x:v>0.017392450095526715</x:v>
      </x:c>
      <x:c r="L1613" s="46" t="n">
        <x:v>0</x:v>
      </x:c>
      <x:c r="M1613" s="46" t="n">
        <x:v>0</x:v>
      </x:c>
      <x:c r="N1613" s="21" t="n">
        <x:f>IF(AND(L1612=1,M1612=1,P1612&gt;0),1,0)</x:f>
        <x:v>0</x:v>
      </x:c>
      <x:c r="O1613" s="21" t="n">
        <x:f>MIN('Root Data'!I487:I489)</x:f>
        <x:v>0</x:v>
      </x:c>
      <x:c r="P1613" s="44" t="n">
        <x:f>IF(AND(L1613=1,M1613=1,N1613=1,O1613&gt;=G1613),K1613,0)</x:f>
        <x:v>0</x:v>
      </x:c>
      <x:c r="Q1613" s="21" t="str">
        <x:v>OPEN</x:v>
      </x:c>
      <x:c r="R1613" s="23" t="str">
        <x:v>HOLD</x:v>
      </x:c>
    </x:row>
    <x:row r="1614">
      <x:c r="B1614" s="21" t="str">
        <x:v>AR-01608</x:v>
      </x:c>
      <x:c r="C1614" s="21" t="str">
        <x:v>F41-I1</x:v>
      </x:c>
      <x:c r="D1614" s="21" t="str">
        <x:v>F41</x:v>
      </x:c>
      <x:c r="E1614" s="21" t="n">
        <x:v>8</x:v>
      </x:c>
      <x:c r="F1614" s="21" t="str">
        <x:v>Pilot-process qualification</x:v>
      </x:c>
      <x:c r="G1614" s="21" t="n">
        <x:v>28</x:v>
      </x:c>
      <x:c r="H1614" s="21" t="str">
        <x:v>AIMC Industrial Mobilization Authority</x:v>
      </x:c>
      <x:c r="I1614" s="44" t="n">
        <x:f>Lifecycle!G14</x:f>
        <x:v>0.03952829567165163</x:v>
      </x:c>
      <x:c r="J1614" s="44" t="n">
        <x:v>0.08</x:v>
      </x:c>
      <x:c r="K1614" s="44" t="n">
        <x:f>I1614*J1614</x:f>
        <x:v>0.0031622636537321303</x:v>
      </x:c>
      <x:c r="L1614" s="46" t="n">
        <x:v>0</x:v>
      </x:c>
      <x:c r="M1614" s="46" t="n">
        <x:v>0</x:v>
      </x:c>
      <x:c r="N1614" s="21" t="n">
        <x:f>IF(AND(L1613=1,M1613=1,P1613&gt;0),1,0)</x:f>
        <x:v>0</x:v>
      </x:c>
      <x:c r="O1614" s="21" t="n">
        <x:f>MIN('Root Data'!I487:I489)</x:f>
        <x:v>0</x:v>
      </x:c>
      <x:c r="P1614" s="44" t="n">
        <x:f>IF(AND(L1614=1,M1614=1,N1614=1,O1614&gt;=G1614),K1614,0)</x:f>
        <x:v>0</x:v>
      </x:c>
      <x:c r="Q1614" s="21" t="str">
        <x:v>OPEN</x:v>
      </x:c>
      <x:c r="R1614" s="23" t="str">
        <x:v>HOLD</x:v>
      </x:c>
    </x:row>
    <x:row r="1615">
      <x:c r="B1615" s="21" t="str">
        <x:v>AR-01609</x:v>
      </x:c>
      <x:c r="C1615" s="21" t="str">
        <x:v>F41-I1</x:v>
      </x:c>
      <x:c r="D1615" s="21" t="str">
        <x:v>F41</x:v>
      </x:c>
      <x:c r="E1615" s="21" t="n">
        <x:v>9</x:v>
      </x:c>
      <x:c r="F1615" s="21" t="str">
        <x:v>Production release package</x:v>
      </x:c>
      <x:c r="G1615" s="21" t="n">
        <x:v>28</x:v>
      </x:c>
      <x:c r="H1615" s="21" t="str">
        <x:v>Production Release Board</x:v>
      </x:c>
      <x:c r="I1615" s="44" t="n">
        <x:f>Lifecycle!G15</x:f>
        <x:v>0.01647012319652151</x:v>
      </x:c>
      <x:c r="J1615" s="44" t="n">
        <x:v>0.08</x:v>
      </x:c>
      <x:c r="K1615" s="44" t="n">
        <x:f>I1615*J1615</x:f>
        <x:v>0.0013176098557217209</x:v>
      </x:c>
      <x:c r="L1615" s="46" t="n">
        <x:v>0</x:v>
      </x:c>
      <x:c r="M1615" s="46" t="n">
        <x:v>0</x:v>
      </x:c>
      <x:c r="N1615" s="21" t="n">
        <x:f>IF(AND(L1614=1,M1614=1,P1614&gt;0),1,0)</x:f>
        <x:v>0</x:v>
      </x:c>
      <x:c r="O1615" s="21" t="n">
        <x:f>MIN('Root Data'!I487:I489)</x:f>
        <x:v>0</x:v>
      </x:c>
      <x:c r="P1615" s="44" t="n">
        <x:f>IF(AND(L1615=1,M1615=1,N1615=1,O1615&gt;=G1615),K1615,0)</x:f>
        <x:v>0</x:v>
      </x:c>
      <x:c r="Q1615" s="21" t="str">
        <x:v>OPEN</x:v>
      </x:c>
      <x:c r="R1615" s="23" t="str">
        <x:v>HOLD</x:v>
      </x:c>
    </x:row>
    <x:row r="1616">
      <x:c r="B1616" s="21" t="str">
        <x:v>AR-01610</x:v>
      </x:c>
      <x:c r="C1616" s="21" t="str">
        <x:v>F41-I1</x:v>
      </x:c>
      <x:c r="D1616" s="21" t="str">
        <x:v>F41</x:v>
      </x:c>
      <x:c r="E1616" s="21" t="n">
        <x:v>10</x:v>
      </x:c>
      <x:c r="F1616" s="21" t="str">
        <x:v>Mobilization activation</x:v>
      </x:c>
      <x:c r="G1616" s="21" t="n">
        <x:v>28</x:v>
      </x:c>
      <x:c r="H1616" s="21" t="str">
        <x:v>Production Release Board</x:v>
      </x:c>
      <x:c r="I1616" s="44" t="n">
        <x:f>Lifecycle!G16</x:f>
        <x:v>0.028262731405230914</x:v>
      </x:c>
      <x:c r="J1616" s="44" t="n">
        <x:v>0.08</x:v>
      </x:c>
      <x:c r="K1616" s="44" t="n">
        <x:f>I1616*J1616</x:f>
        <x:v>0.002261018512418473</x:v>
      </x:c>
      <x:c r="L1616" s="46" t="n">
        <x:v>0</x:v>
      </x:c>
      <x:c r="M1616" s="46" t="n">
        <x:v>0</x:v>
      </x:c>
      <x:c r="N1616" s="21" t="n">
        <x:f>IF(AND(L1615=1,M1615=1,P1615&gt;0),1,0)</x:f>
        <x:v>0</x:v>
      </x:c>
      <x:c r="O1616" s="21" t="n">
        <x:f>MIN('Root Data'!I487:I489)</x:f>
        <x:v>0</x:v>
      </x:c>
      <x:c r="P1616" s="44" t="n">
        <x:f>IF(AND(L1616=1,M1616=1,N1616=1,O1616&gt;=G1616),K1616,0)</x:f>
        <x:v>0</x:v>
      </x:c>
      <x:c r="Q1616" s="21" t="str">
        <x:v>OPEN</x:v>
      </x:c>
      <x:c r="R1616" s="23" t="str">
        <x:v>HOLD</x:v>
      </x:c>
    </x:row>
    <x:row r="1617">
      <x:c r="B1617" s="21" t="str">
        <x:v>AR-01611</x:v>
      </x:c>
      <x:c r="C1617" s="21" t="str">
        <x:v>F41-I2</x:v>
      </x:c>
      <x:c r="D1617" s="21" t="str">
        <x:v>F41</x:v>
      </x:c>
      <x:c r="E1617" s="21" t="n">
        <x:v>1</x:v>
      </x:c>
      <x:c r="F1617" s="21" t="str">
        <x:v>Civil effect charter</x:v>
      </x:c>
      <x:c r="G1617" s="21" t="n">
        <x:v>0</x:v>
      </x:c>
      <x:c r="H1617" s="21" t="str">
        <x:v>Civil Guarantee Authority</x:v>
      </x:c>
      <x:c r="I1617" s="44" t="n">
        <x:f>Lifecycle!G7</x:f>
        <x:v>0.04941036958956453</x:v>
      </x:c>
      <x:c r="J1617" s="44" t="n">
        <x:v>0.08</x:v>
      </x:c>
      <x:c r="K1617" s="44" t="n">
        <x:f>I1617*J1617</x:f>
        <x:v>0.003952829567165163</x:v>
      </x:c>
      <x:c r="L1617" s="46" t="n">
        <x:v>0</x:v>
      </x:c>
      <x:c r="M1617" s="46" t="n">
        <x:v>0</x:v>
      </x:c>
      <x:c r="N1617" s="21" t="n">
        <x:f>1</x:f>
        <x:v>1</x:v>
      </x:c>
      <x:c r="O1617" s="21" t="n">
        <x:f>MIN('Root Data'!I490:I492)</x:f>
        <x:v>0</x:v>
      </x:c>
      <x:c r="P1617" s="44" t="n">
        <x:f>IF(AND(L1617=1,M1617=1,N1617=1,O1617&gt;=G1617),K1617,0)</x:f>
        <x:v>0</x:v>
      </x:c>
      <x:c r="Q1617" s="21" t="str">
        <x:v>OPEN</x:v>
      </x:c>
      <x:c r="R1617" s="23" t="str">
        <x:v>HOLD</x:v>
      </x:c>
    </x:row>
    <x:row r="1618">
      <x:c r="B1618" s="21" t="str">
        <x:v>AR-01612</x:v>
      </x:c>
      <x:c r="C1618" s="21" t="str">
        <x:v>F41-I2</x:v>
      </x:c>
      <x:c r="D1618" s="21" t="str">
        <x:v>F41</x:v>
      </x:c>
      <x:c r="E1618" s="21" t="n">
        <x:v>2</x:v>
      </x:c>
      <x:c r="F1618" s="21" t="str">
        <x:v>Requirement and root-independence package</x:v>
      </x:c>
      <x:c r="G1618" s="21" t="n">
        <x:v>8</x:v>
      </x:c>
      <x:c r="H1618" s="21" t="str">
        <x:v>Resilience Staff</x:v>
      </x:c>
      <x:c r="I1618" s="44" t="n">
        <x:f>Lifecycle!G8</x:f>
        <x:v>0.10211476381843337</x:v>
      </x:c>
      <x:c r="J1618" s="44" t="n">
        <x:v>0.08</x:v>
      </x:c>
      <x:c r="K1618" s="44" t="n">
        <x:f>I1618*J1618</x:f>
        <x:v>0.00816918110547467</x:v>
      </x:c>
      <x:c r="L1618" s="46" t="n">
        <x:v>0</x:v>
      </x:c>
      <x:c r="M1618" s="46" t="n">
        <x:v>0</x:v>
      </x:c>
      <x:c r="N1618" s="21" t="n">
        <x:f>IF(AND(L1617=1,M1617=1,P1617&gt;0),1,0)</x:f>
        <x:v>0</x:v>
      </x:c>
      <x:c r="O1618" s="21" t="n">
        <x:f>MIN('Root Data'!I490:I492)</x:f>
        <x:v>0</x:v>
      </x:c>
      <x:c r="P1618" s="44" t="n">
        <x:f>IF(AND(L1618=1,M1618=1,N1618=1,O1618&gt;=G1618),K1618,0)</x:f>
        <x:v>0</x:v>
      </x:c>
      <x:c r="Q1618" s="21" t="str">
        <x:v>OPEN</x:v>
      </x:c>
      <x:c r="R1618" s="23" t="str">
        <x:v>HOLD</x:v>
      </x:c>
    </x:row>
    <x:row r="1619">
      <x:c r="B1619" s="21" t="str">
        <x:v>AR-01613</x:v>
      </x:c>
      <x:c r="C1619" s="21" t="str">
        <x:v>F41-I2</x:v>
      </x:c>
      <x:c r="D1619" s="21" t="str">
        <x:v>F41</x:v>
      </x:c>
      <x:c r="E1619" s="21" t="n">
        <x:v>3</x:v>
      </x:c>
      <x:c r="F1619" s="21" t="str">
        <x:v>Architecture and burden closure</x:v>
      </x:c>
      <x:c r="G1619" s="21" t="n">
        <x:v>14</x:v>
      </x:c>
      <x:c r="H1619" s="21" t="str">
        <x:v>Independent Evidence and Data Authority</x:v>
      </x:c>
      <x:c r="I1619" s="44" t="n">
        <x:f>Lifecycle!G9</x:f>
        <x:v>0.08564464062191186</x:v>
      </x:c>
      <x:c r="J1619" s="44" t="n">
        <x:v>0.08</x:v>
      </x:c>
      <x:c r="K1619" s="44" t="n">
        <x:f>I1619*J1619</x:f>
        <x:v>0.006851571249752949</x:v>
      </x:c>
      <x:c r="L1619" s="46" t="n">
        <x:v>0</x:v>
      </x:c>
      <x:c r="M1619" s="46" t="n">
        <x:v>0</x:v>
      </x:c>
      <x:c r="N1619" s="21" t="n">
        <x:f>IF(AND(L1618=1,M1618=1,P1618&gt;0),1,0)</x:f>
        <x:v>0</x:v>
      </x:c>
      <x:c r="O1619" s="21" t="n">
        <x:f>MIN('Root Data'!I490:I492)</x:f>
        <x:v>0</x:v>
      </x:c>
      <x:c r="P1619" s="44" t="n">
        <x:f>IF(AND(L1619=1,M1619=1,N1619=1,O1619&gt;=G1619),K1619,0)</x:f>
        <x:v>0</x:v>
      </x:c>
      <x:c r="Q1619" s="21" t="str">
        <x:v>OPEN</x:v>
      </x:c>
      <x:c r="R1619" s="23" t="str">
        <x:v>HOLD</x:v>
      </x:c>
    </x:row>
    <x:row r="1620">
      <x:c r="B1620" s="21" t="str">
        <x:v>AR-01614</x:v>
      </x:c>
      <x:c r="C1620" s="21" t="str">
        <x:v>F41-I2</x:v>
      </x:c>
      <x:c r="D1620" s="21" t="str">
        <x:v>F41</x:v>
      </x:c>
      <x:c r="E1620" s="21" t="n">
        <x:v>4</x:v>
      </x:c>
      <x:c r="F1620" s="21" t="str">
        <x:v>Engineering article acceptance</x:v>
      </x:c>
      <x:c r="G1620" s="21" t="n">
        <x:v>18</x:v>
      </x:c>
      <x:c r="H1620" s="21" t="str">
        <x:v>Independent Evidence and Data Authority</x:v>
      </x:c>
      <x:c r="I1620" s="44" t="n">
        <x:f>Lifecycle!G10</x:f>
        <x:v>0.05929244350747744</x:v>
      </x:c>
      <x:c r="J1620" s="44" t="n">
        <x:v>0.08</x:v>
      </x:c>
      <x:c r="K1620" s="44" t="n">
        <x:f>I1620*J1620</x:f>
        <x:v>0.004743395480598196</x:v>
      </x:c>
      <x:c r="L1620" s="46" t="n">
        <x:v>0</x:v>
      </x:c>
      <x:c r="M1620" s="46" t="n">
        <x:v>0</x:v>
      </x:c>
      <x:c r="N1620" s="21" t="n">
        <x:f>IF(AND(L1619=1,M1619=1,P1619&gt;0),1,0)</x:f>
        <x:v>0</x:v>
      </x:c>
      <x:c r="O1620" s="21" t="n">
        <x:f>MIN('Root Data'!I490:I492)</x:f>
        <x:v>0</x:v>
      </x:c>
      <x:c r="P1620" s="44" t="n">
        <x:f>IF(AND(L1620=1,M1620=1,N1620=1,O1620&gt;=G1620),K1620,0)</x:f>
        <x:v>0</x:v>
      </x:c>
      <x:c r="Q1620" s="21" t="str">
        <x:v>OPEN</x:v>
      </x:c>
      <x:c r="R1620" s="23" t="str">
        <x:v>HOLD</x:v>
      </x:c>
    </x:row>
    <x:row r="1621">
      <x:c r="B1621" s="21" t="str">
        <x:v>AR-01615</x:v>
      </x:c>
      <x:c r="C1621" s="21" t="str">
        <x:v>F41-I2</x:v>
      </x:c>
      <x:c r="D1621" s="21" t="str">
        <x:v>F41</x:v>
      </x:c>
      <x:c r="E1621" s="21" t="n">
        <x:v>5</x:v>
      </x:c>
      <x:c r="F1621" s="21" t="str">
        <x:v>Qualification and destructive evidence</x:v>
      </x:c>
      <x:c r="G1621" s="21" t="n">
        <x:v>21</x:v>
      </x:c>
      <x:c r="H1621" s="21" t="str">
        <x:v>Independent Evidence and Data Authority</x:v>
      </x:c>
      <x:c r="I1621" s="44" t="n">
        <x:f>Lifecycle!G11</x:f>
        <x:v>0.1515251334079979</x:v>
      </x:c>
      <x:c r="J1621" s="44" t="n">
        <x:v>0.08</x:v>
      </x:c>
      <x:c r="K1621" s="44" t="n">
        <x:f>I1621*J1621</x:f>
        <x:v>0.012122010672639832</x:v>
      </x:c>
      <x:c r="L1621" s="46" t="n">
        <x:v>0</x:v>
      </x:c>
      <x:c r="M1621" s="46" t="n">
        <x:v>0</x:v>
      </x:c>
      <x:c r="N1621" s="21" t="n">
        <x:f>IF(AND(L1620=1,M1620=1,P1620&gt;0),1,0)</x:f>
        <x:v>0</x:v>
      </x:c>
      <x:c r="O1621" s="21" t="n">
        <x:f>MIN('Root Data'!I490:I492)</x:f>
        <x:v>0</x:v>
      </x:c>
      <x:c r="P1621" s="44" t="n">
        <x:f>IF(AND(L1621=1,M1621=1,N1621=1,O1621&gt;=G1621),K1621,0)</x:f>
        <x:v>0</x:v>
      </x:c>
      <x:c r="Q1621" s="21" t="str">
        <x:v>OPEN</x:v>
      </x:c>
      <x:c r="R1621" s="23" t="str">
        <x:v>HOLD</x:v>
      </x:c>
    </x:row>
    <x:row r="1622">
      <x:c r="B1622" s="21" t="str">
        <x:v>AR-01616</x:v>
      </x:c>
      <x:c r="C1622" s="21" t="str">
        <x:v>F41-I2</x:v>
      </x:c>
      <x:c r="D1622" s="21" t="str">
        <x:v>F41</x:v>
      </x:c>
      <x:c r="E1622" s="21" t="n">
        <x:v>6</x:v>
      </x:c>
      <x:c r="F1622" s="21" t="str">
        <x:v>Representative mission result</x:v>
      </x:c>
      <x:c r="G1622" s="21" t="n">
        <x:v>23</x:v>
      </x:c>
      <x:c r="H1622" s="21" t="str">
        <x:v>Receiving Service Authority</x:v>
      </x:c>
      <x:c r="I1622" s="44" t="n">
        <x:f>Lifecycle!G12</x:f>
        <x:v>0.250345872587127</x:v>
      </x:c>
      <x:c r="J1622" s="44" t="n">
        <x:v>0.08</x:v>
      </x:c>
      <x:c r="K1622" s="44" t="n">
        <x:f>I1622*J1622</x:f>
        <x:v>0.02002766980697016</x:v>
      </x:c>
      <x:c r="L1622" s="46" t="n">
        <x:v>0</x:v>
      </x:c>
      <x:c r="M1622" s="46" t="n">
        <x:v>0</x:v>
      </x:c>
      <x:c r="N1622" s="21" t="n">
        <x:f>IF(AND(L1621=1,M1621=1,P1621&gt;0),1,0)</x:f>
        <x:v>0</x:v>
      </x:c>
      <x:c r="O1622" s="21" t="n">
        <x:f>MIN('Root Data'!I490:I492)</x:f>
        <x:v>0</x:v>
      </x:c>
      <x:c r="P1622" s="44" t="n">
        <x:f>IF(AND(L1622=1,M1622=1,N1622=1,O1622&gt;=G1622),K1622,0)</x:f>
        <x:v>0</x:v>
      </x:c>
      <x:c r="Q1622" s="21" t="str">
        <x:v>OPEN</x:v>
      </x:c>
      <x:c r="R1622" s="23" t="str">
        <x:v>HOLD</x:v>
      </x:c>
    </x:row>
    <x:row r="1623">
      <x:c r="B1623" s="21" t="str">
        <x:v>AR-01617</x:v>
      </x:c>
      <x:c r="C1623" s="21" t="str">
        <x:v>F41-I2</x:v>
      </x:c>
      <x:c r="D1623" s="21" t="str">
        <x:v>F41</x:v>
      </x:c>
      <x:c r="E1623" s="21" t="n">
        <x:v>7</x:v>
      </x:c>
      <x:c r="F1623" s="21" t="str">
        <x:v>Independent reproduction</x:v>
      </x:c>
      <x:c r="G1623" s="21" t="n">
        <x:v>28</x:v>
      </x:c>
      <x:c r="H1623" s="21" t="str">
        <x:v>Independent Evidence and Data Authority</x:v>
      </x:c>
      <x:c r="I1623" s="44" t="n">
        <x:f>Lifecycle!G13</x:f>
        <x:v>0.21740562619408393</x:v>
      </x:c>
      <x:c r="J1623" s="44" t="n">
        <x:v>0.08</x:v>
      </x:c>
      <x:c r="K1623" s="44" t="n">
        <x:f>I1623*J1623</x:f>
        <x:v>0.017392450095526715</x:v>
      </x:c>
      <x:c r="L1623" s="46" t="n">
        <x:v>0</x:v>
      </x:c>
      <x:c r="M1623" s="46" t="n">
        <x:v>0</x:v>
      </x:c>
      <x:c r="N1623" s="21" t="n">
        <x:f>IF(AND(L1622=1,M1622=1,P1622&gt;0),1,0)</x:f>
        <x:v>0</x:v>
      </x:c>
      <x:c r="O1623" s="21" t="n">
        <x:f>MIN('Root Data'!I490:I492)</x:f>
        <x:v>0</x:v>
      </x:c>
      <x:c r="P1623" s="44" t="n">
        <x:f>IF(AND(L1623=1,M1623=1,N1623=1,O1623&gt;=G1623),K1623,0)</x:f>
        <x:v>0</x:v>
      </x:c>
      <x:c r="Q1623" s="21" t="str">
        <x:v>OPEN</x:v>
      </x:c>
      <x:c r="R1623" s="23" t="str">
        <x:v>HOLD</x:v>
      </x:c>
    </x:row>
    <x:row r="1624">
      <x:c r="B1624" s="21" t="str">
        <x:v>AR-01618</x:v>
      </x:c>
      <x:c r="C1624" s="21" t="str">
        <x:v>F41-I2</x:v>
      </x:c>
      <x:c r="D1624" s="21" t="str">
        <x:v>F41</x:v>
      </x:c>
      <x:c r="E1624" s="21" t="n">
        <x:v>8</x:v>
      </x:c>
      <x:c r="F1624" s="21" t="str">
        <x:v>Pilot-process qualification</x:v>
      </x:c>
      <x:c r="G1624" s="21" t="n">
        <x:v>28</x:v>
      </x:c>
      <x:c r="H1624" s="21" t="str">
        <x:v>AIMC Industrial Mobilization Authority</x:v>
      </x:c>
      <x:c r="I1624" s="44" t="n">
        <x:f>Lifecycle!G14</x:f>
        <x:v>0.03952829567165163</x:v>
      </x:c>
      <x:c r="J1624" s="44" t="n">
        <x:v>0.08</x:v>
      </x:c>
      <x:c r="K1624" s="44" t="n">
        <x:f>I1624*J1624</x:f>
        <x:v>0.0031622636537321303</x:v>
      </x:c>
      <x:c r="L1624" s="46" t="n">
        <x:v>0</x:v>
      </x:c>
      <x:c r="M1624" s="46" t="n">
        <x:v>0</x:v>
      </x:c>
      <x:c r="N1624" s="21" t="n">
        <x:f>IF(AND(L1623=1,M1623=1,P1623&gt;0),1,0)</x:f>
        <x:v>0</x:v>
      </x:c>
      <x:c r="O1624" s="21" t="n">
        <x:f>MIN('Root Data'!I490:I492)</x:f>
        <x:v>0</x:v>
      </x:c>
      <x:c r="P1624" s="44" t="n">
        <x:f>IF(AND(L1624=1,M1624=1,N1624=1,O1624&gt;=G1624),K1624,0)</x:f>
        <x:v>0</x:v>
      </x:c>
      <x:c r="Q1624" s="21" t="str">
        <x:v>OPEN</x:v>
      </x:c>
      <x:c r="R1624" s="23" t="str">
        <x:v>HOLD</x:v>
      </x:c>
    </x:row>
    <x:row r="1625">
      <x:c r="B1625" s="21" t="str">
        <x:v>AR-01619</x:v>
      </x:c>
      <x:c r="C1625" s="21" t="str">
        <x:v>F41-I2</x:v>
      </x:c>
      <x:c r="D1625" s="21" t="str">
        <x:v>F41</x:v>
      </x:c>
      <x:c r="E1625" s="21" t="n">
        <x:v>9</x:v>
      </x:c>
      <x:c r="F1625" s="21" t="str">
        <x:v>Production release package</x:v>
      </x:c>
      <x:c r="G1625" s="21" t="n">
        <x:v>28</x:v>
      </x:c>
      <x:c r="H1625" s="21" t="str">
        <x:v>Production Release Board</x:v>
      </x:c>
      <x:c r="I1625" s="44" t="n">
        <x:f>Lifecycle!G15</x:f>
        <x:v>0.01647012319652151</x:v>
      </x:c>
      <x:c r="J1625" s="44" t="n">
        <x:v>0.08</x:v>
      </x:c>
      <x:c r="K1625" s="44" t="n">
        <x:f>I1625*J1625</x:f>
        <x:v>0.0013176098557217209</x:v>
      </x:c>
      <x:c r="L1625" s="46" t="n">
        <x:v>0</x:v>
      </x:c>
      <x:c r="M1625" s="46" t="n">
        <x:v>0</x:v>
      </x:c>
      <x:c r="N1625" s="21" t="n">
        <x:f>IF(AND(L1624=1,M1624=1,P1624&gt;0),1,0)</x:f>
        <x:v>0</x:v>
      </x:c>
      <x:c r="O1625" s="21" t="n">
        <x:f>MIN('Root Data'!I490:I492)</x:f>
        <x:v>0</x:v>
      </x:c>
      <x:c r="P1625" s="44" t="n">
        <x:f>IF(AND(L1625=1,M1625=1,N1625=1,O1625&gt;=G1625),K1625,0)</x:f>
        <x:v>0</x:v>
      </x:c>
      <x:c r="Q1625" s="21" t="str">
        <x:v>OPEN</x:v>
      </x:c>
      <x:c r="R1625" s="23" t="str">
        <x:v>HOLD</x:v>
      </x:c>
    </x:row>
    <x:row r="1626">
      <x:c r="B1626" s="21" t="str">
        <x:v>AR-01620</x:v>
      </x:c>
      <x:c r="C1626" s="21" t="str">
        <x:v>F41-I2</x:v>
      </x:c>
      <x:c r="D1626" s="21" t="str">
        <x:v>F41</x:v>
      </x:c>
      <x:c r="E1626" s="21" t="n">
        <x:v>10</x:v>
      </x:c>
      <x:c r="F1626" s="21" t="str">
        <x:v>Mobilization activation</x:v>
      </x:c>
      <x:c r="G1626" s="21" t="n">
        <x:v>28</x:v>
      </x:c>
      <x:c r="H1626" s="21" t="str">
        <x:v>Production Release Board</x:v>
      </x:c>
      <x:c r="I1626" s="44" t="n">
        <x:f>Lifecycle!G16</x:f>
        <x:v>0.028262731405230914</x:v>
      </x:c>
      <x:c r="J1626" s="44" t="n">
        <x:v>0.08</x:v>
      </x:c>
      <x:c r="K1626" s="44" t="n">
        <x:f>I1626*J1626</x:f>
        <x:v>0.002261018512418473</x:v>
      </x:c>
      <x:c r="L1626" s="46" t="n">
        <x:v>0</x:v>
      </x:c>
      <x:c r="M1626" s="46" t="n">
        <x:v>0</x:v>
      </x:c>
      <x:c r="N1626" s="21" t="n">
        <x:f>IF(AND(L1625=1,M1625=1,P1625&gt;0),1,0)</x:f>
        <x:v>0</x:v>
      </x:c>
      <x:c r="O1626" s="21" t="n">
        <x:f>MIN('Root Data'!I490:I492)</x:f>
        <x:v>0</x:v>
      </x:c>
      <x:c r="P1626" s="44" t="n">
        <x:f>IF(AND(L1626=1,M1626=1,N1626=1,O1626&gt;=G1626),K1626,0)</x:f>
        <x:v>0</x:v>
      </x:c>
      <x:c r="Q1626" s="21" t="str">
        <x:v>OPEN</x:v>
      </x:c>
      <x:c r="R1626" s="23" t="str">
        <x:v>HOLD</x:v>
      </x:c>
    </x:row>
    <x:row r="1627">
      <x:c r="B1627" s="21" t="str">
        <x:v>AR-01621</x:v>
      </x:c>
      <x:c r="C1627" s="21" t="str">
        <x:v>F41-I3</x:v>
      </x:c>
      <x:c r="D1627" s="21" t="str">
        <x:v>F41</x:v>
      </x:c>
      <x:c r="E1627" s="21" t="n">
        <x:v>1</x:v>
      </x:c>
      <x:c r="F1627" s="21" t="str">
        <x:v>Civil effect charter</x:v>
      </x:c>
      <x:c r="G1627" s="21" t="n">
        <x:v>0</x:v>
      </x:c>
      <x:c r="H1627" s="21" t="str">
        <x:v>Civil Guarantee Authority</x:v>
      </x:c>
      <x:c r="I1627" s="44" t="n">
        <x:f>Lifecycle!G7</x:f>
        <x:v>0.04941036958956453</x:v>
      </x:c>
      <x:c r="J1627" s="44" t="n">
        <x:v>0.08</x:v>
      </x:c>
      <x:c r="K1627" s="44" t="n">
        <x:f>I1627*J1627</x:f>
        <x:v>0.003952829567165163</x:v>
      </x:c>
      <x:c r="L1627" s="46" t="n">
        <x:v>0</x:v>
      </x:c>
      <x:c r="M1627" s="46" t="n">
        <x:v>0</x:v>
      </x:c>
      <x:c r="N1627" s="21" t="n">
        <x:f>1</x:f>
        <x:v>1</x:v>
      </x:c>
      <x:c r="O1627" s="21" t="n">
        <x:f>MIN('Root Data'!I493:I495)</x:f>
        <x:v>0</x:v>
      </x:c>
      <x:c r="P1627" s="44" t="n">
        <x:f>IF(AND(L1627=1,M1627=1,N1627=1,O1627&gt;=G1627),K1627,0)</x:f>
        <x:v>0</x:v>
      </x:c>
      <x:c r="Q1627" s="21" t="str">
        <x:v>OPEN</x:v>
      </x:c>
      <x:c r="R1627" s="23" t="str">
        <x:v>HOLD</x:v>
      </x:c>
    </x:row>
    <x:row r="1628">
      <x:c r="B1628" s="21" t="str">
        <x:v>AR-01622</x:v>
      </x:c>
      <x:c r="C1628" s="21" t="str">
        <x:v>F41-I3</x:v>
      </x:c>
      <x:c r="D1628" s="21" t="str">
        <x:v>F41</x:v>
      </x:c>
      <x:c r="E1628" s="21" t="n">
        <x:v>2</x:v>
      </x:c>
      <x:c r="F1628" s="21" t="str">
        <x:v>Requirement and root-independence package</x:v>
      </x:c>
      <x:c r="G1628" s="21" t="n">
        <x:v>8</x:v>
      </x:c>
      <x:c r="H1628" s="21" t="str">
        <x:v>Resilience Staff</x:v>
      </x:c>
      <x:c r="I1628" s="44" t="n">
        <x:f>Lifecycle!G8</x:f>
        <x:v>0.10211476381843337</x:v>
      </x:c>
      <x:c r="J1628" s="44" t="n">
        <x:v>0.08</x:v>
      </x:c>
      <x:c r="K1628" s="44" t="n">
        <x:f>I1628*J1628</x:f>
        <x:v>0.00816918110547467</x:v>
      </x:c>
      <x:c r="L1628" s="46" t="n">
        <x:v>0</x:v>
      </x:c>
      <x:c r="M1628" s="46" t="n">
        <x:v>0</x:v>
      </x:c>
      <x:c r="N1628" s="21" t="n">
        <x:f>IF(AND(L1627=1,M1627=1,P1627&gt;0),1,0)</x:f>
        <x:v>0</x:v>
      </x:c>
      <x:c r="O1628" s="21" t="n">
        <x:f>MIN('Root Data'!I493:I495)</x:f>
        <x:v>0</x:v>
      </x:c>
      <x:c r="P1628" s="44" t="n">
        <x:f>IF(AND(L1628=1,M1628=1,N1628=1,O1628&gt;=G1628),K1628,0)</x:f>
        <x:v>0</x:v>
      </x:c>
      <x:c r="Q1628" s="21" t="str">
        <x:v>OPEN</x:v>
      </x:c>
      <x:c r="R1628" s="23" t="str">
        <x:v>HOLD</x:v>
      </x:c>
    </x:row>
    <x:row r="1629">
      <x:c r="B1629" s="21" t="str">
        <x:v>AR-01623</x:v>
      </x:c>
      <x:c r="C1629" s="21" t="str">
        <x:v>F41-I3</x:v>
      </x:c>
      <x:c r="D1629" s="21" t="str">
        <x:v>F41</x:v>
      </x:c>
      <x:c r="E1629" s="21" t="n">
        <x:v>3</x:v>
      </x:c>
      <x:c r="F1629" s="21" t="str">
        <x:v>Architecture and burden closure</x:v>
      </x:c>
      <x:c r="G1629" s="21" t="n">
        <x:v>14</x:v>
      </x:c>
      <x:c r="H1629" s="21" t="str">
        <x:v>Independent Evidence and Data Authority</x:v>
      </x:c>
      <x:c r="I1629" s="44" t="n">
        <x:f>Lifecycle!G9</x:f>
        <x:v>0.08564464062191186</x:v>
      </x:c>
      <x:c r="J1629" s="44" t="n">
        <x:v>0.08</x:v>
      </x:c>
      <x:c r="K1629" s="44" t="n">
        <x:f>I1629*J1629</x:f>
        <x:v>0.006851571249752949</x:v>
      </x:c>
      <x:c r="L1629" s="46" t="n">
        <x:v>0</x:v>
      </x:c>
      <x:c r="M1629" s="46" t="n">
        <x:v>0</x:v>
      </x:c>
      <x:c r="N1629" s="21" t="n">
        <x:f>IF(AND(L1628=1,M1628=1,P1628&gt;0),1,0)</x:f>
        <x:v>0</x:v>
      </x:c>
      <x:c r="O1629" s="21" t="n">
        <x:f>MIN('Root Data'!I493:I495)</x:f>
        <x:v>0</x:v>
      </x:c>
      <x:c r="P1629" s="44" t="n">
        <x:f>IF(AND(L1629=1,M1629=1,N1629=1,O1629&gt;=G1629),K1629,0)</x:f>
        <x:v>0</x:v>
      </x:c>
      <x:c r="Q1629" s="21" t="str">
        <x:v>OPEN</x:v>
      </x:c>
      <x:c r="R1629" s="23" t="str">
        <x:v>HOLD</x:v>
      </x:c>
    </x:row>
    <x:row r="1630">
      <x:c r="B1630" s="21" t="str">
        <x:v>AR-01624</x:v>
      </x:c>
      <x:c r="C1630" s="21" t="str">
        <x:v>F41-I3</x:v>
      </x:c>
      <x:c r="D1630" s="21" t="str">
        <x:v>F41</x:v>
      </x:c>
      <x:c r="E1630" s="21" t="n">
        <x:v>4</x:v>
      </x:c>
      <x:c r="F1630" s="21" t="str">
        <x:v>Engineering article acceptance</x:v>
      </x:c>
      <x:c r="G1630" s="21" t="n">
        <x:v>18</x:v>
      </x:c>
      <x:c r="H1630" s="21" t="str">
        <x:v>Independent Evidence and Data Authority</x:v>
      </x:c>
      <x:c r="I1630" s="44" t="n">
        <x:f>Lifecycle!G10</x:f>
        <x:v>0.05929244350747744</x:v>
      </x:c>
      <x:c r="J1630" s="44" t="n">
        <x:v>0.08</x:v>
      </x:c>
      <x:c r="K1630" s="44" t="n">
        <x:f>I1630*J1630</x:f>
        <x:v>0.004743395480598196</x:v>
      </x:c>
      <x:c r="L1630" s="46" t="n">
        <x:v>0</x:v>
      </x:c>
      <x:c r="M1630" s="46" t="n">
        <x:v>0</x:v>
      </x:c>
      <x:c r="N1630" s="21" t="n">
        <x:f>IF(AND(L1629=1,M1629=1,P1629&gt;0),1,0)</x:f>
        <x:v>0</x:v>
      </x:c>
      <x:c r="O1630" s="21" t="n">
        <x:f>MIN('Root Data'!I493:I495)</x:f>
        <x:v>0</x:v>
      </x:c>
      <x:c r="P1630" s="44" t="n">
        <x:f>IF(AND(L1630=1,M1630=1,N1630=1,O1630&gt;=G1630),K1630,0)</x:f>
        <x:v>0</x:v>
      </x:c>
      <x:c r="Q1630" s="21" t="str">
        <x:v>OPEN</x:v>
      </x:c>
      <x:c r="R1630" s="23" t="str">
        <x:v>HOLD</x:v>
      </x:c>
    </x:row>
    <x:row r="1631">
      <x:c r="B1631" s="21" t="str">
        <x:v>AR-01625</x:v>
      </x:c>
      <x:c r="C1631" s="21" t="str">
        <x:v>F41-I3</x:v>
      </x:c>
      <x:c r="D1631" s="21" t="str">
        <x:v>F41</x:v>
      </x:c>
      <x:c r="E1631" s="21" t="n">
        <x:v>5</x:v>
      </x:c>
      <x:c r="F1631" s="21" t="str">
        <x:v>Qualification and destructive evidence</x:v>
      </x:c>
      <x:c r="G1631" s="21" t="n">
        <x:v>21</x:v>
      </x:c>
      <x:c r="H1631" s="21" t="str">
        <x:v>Independent Evidence and Data Authority</x:v>
      </x:c>
      <x:c r="I1631" s="44" t="n">
        <x:f>Lifecycle!G11</x:f>
        <x:v>0.1515251334079979</x:v>
      </x:c>
      <x:c r="J1631" s="44" t="n">
        <x:v>0.08</x:v>
      </x:c>
      <x:c r="K1631" s="44" t="n">
        <x:f>I1631*J1631</x:f>
        <x:v>0.012122010672639832</x:v>
      </x:c>
      <x:c r="L1631" s="46" t="n">
        <x:v>0</x:v>
      </x:c>
      <x:c r="M1631" s="46" t="n">
        <x:v>0</x:v>
      </x:c>
      <x:c r="N1631" s="21" t="n">
        <x:f>IF(AND(L1630=1,M1630=1,P1630&gt;0),1,0)</x:f>
        <x:v>0</x:v>
      </x:c>
      <x:c r="O1631" s="21" t="n">
        <x:f>MIN('Root Data'!I493:I495)</x:f>
        <x:v>0</x:v>
      </x:c>
      <x:c r="P1631" s="44" t="n">
        <x:f>IF(AND(L1631=1,M1631=1,N1631=1,O1631&gt;=G1631),K1631,0)</x:f>
        <x:v>0</x:v>
      </x:c>
      <x:c r="Q1631" s="21" t="str">
        <x:v>OPEN</x:v>
      </x:c>
      <x:c r="R1631" s="23" t="str">
        <x:v>HOLD</x:v>
      </x:c>
    </x:row>
    <x:row r="1632">
      <x:c r="B1632" s="21" t="str">
        <x:v>AR-01626</x:v>
      </x:c>
      <x:c r="C1632" s="21" t="str">
        <x:v>F41-I3</x:v>
      </x:c>
      <x:c r="D1632" s="21" t="str">
        <x:v>F41</x:v>
      </x:c>
      <x:c r="E1632" s="21" t="n">
        <x:v>6</x:v>
      </x:c>
      <x:c r="F1632" s="21" t="str">
        <x:v>Representative mission result</x:v>
      </x:c>
      <x:c r="G1632" s="21" t="n">
        <x:v>23</x:v>
      </x:c>
      <x:c r="H1632" s="21" t="str">
        <x:v>Receiving Service Authority</x:v>
      </x:c>
      <x:c r="I1632" s="44" t="n">
        <x:f>Lifecycle!G12</x:f>
        <x:v>0.250345872587127</x:v>
      </x:c>
      <x:c r="J1632" s="44" t="n">
        <x:v>0.08</x:v>
      </x:c>
      <x:c r="K1632" s="44" t="n">
        <x:f>I1632*J1632</x:f>
        <x:v>0.02002766980697016</x:v>
      </x:c>
      <x:c r="L1632" s="46" t="n">
        <x:v>0</x:v>
      </x:c>
      <x:c r="M1632" s="46" t="n">
        <x:v>0</x:v>
      </x:c>
      <x:c r="N1632" s="21" t="n">
        <x:f>IF(AND(L1631=1,M1631=1,P1631&gt;0),1,0)</x:f>
        <x:v>0</x:v>
      </x:c>
      <x:c r="O1632" s="21" t="n">
        <x:f>MIN('Root Data'!I493:I495)</x:f>
        <x:v>0</x:v>
      </x:c>
      <x:c r="P1632" s="44" t="n">
        <x:f>IF(AND(L1632=1,M1632=1,N1632=1,O1632&gt;=G1632),K1632,0)</x:f>
        <x:v>0</x:v>
      </x:c>
      <x:c r="Q1632" s="21" t="str">
        <x:v>OPEN</x:v>
      </x:c>
      <x:c r="R1632" s="23" t="str">
        <x:v>HOLD</x:v>
      </x:c>
    </x:row>
    <x:row r="1633">
      <x:c r="B1633" s="21" t="str">
        <x:v>AR-01627</x:v>
      </x:c>
      <x:c r="C1633" s="21" t="str">
        <x:v>F41-I3</x:v>
      </x:c>
      <x:c r="D1633" s="21" t="str">
        <x:v>F41</x:v>
      </x:c>
      <x:c r="E1633" s="21" t="n">
        <x:v>7</x:v>
      </x:c>
      <x:c r="F1633" s="21" t="str">
        <x:v>Independent reproduction</x:v>
      </x:c>
      <x:c r="G1633" s="21" t="n">
        <x:v>28</x:v>
      </x:c>
      <x:c r="H1633" s="21" t="str">
        <x:v>Independent Evidence and Data Authority</x:v>
      </x:c>
      <x:c r="I1633" s="44" t="n">
        <x:f>Lifecycle!G13</x:f>
        <x:v>0.21740562619408393</x:v>
      </x:c>
      <x:c r="J1633" s="44" t="n">
        <x:v>0.08</x:v>
      </x:c>
      <x:c r="K1633" s="44" t="n">
        <x:f>I1633*J1633</x:f>
        <x:v>0.017392450095526715</x:v>
      </x:c>
      <x:c r="L1633" s="46" t="n">
        <x:v>0</x:v>
      </x:c>
      <x:c r="M1633" s="46" t="n">
        <x:v>0</x:v>
      </x:c>
      <x:c r="N1633" s="21" t="n">
        <x:f>IF(AND(L1632=1,M1632=1,P1632&gt;0),1,0)</x:f>
        <x:v>0</x:v>
      </x:c>
      <x:c r="O1633" s="21" t="n">
        <x:f>MIN('Root Data'!I493:I495)</x:f>
        <x:v>0</x:v>
      </x:c>
      <x:c r="P1633" s="44" t="n">
        <x:f>IF(AND(L1633=1,M1633=1,N1633=1,O1633&gt;=G1633),K1633,0)</x:f>
        <x:v>0</x:v>
      </x:c>
      <x:c r="Q1633" s="21" t="str">
        <x:v>OPEN</x:v>
      </x:c>
      <x:c r="R1633" s="23" t="str">
        <x:v>HOLD</x:v>
      </x:c>
    </x:row>
    <x:row r="1634">
      <x:c r="B1634" s="21" t="str">
        <x:v>AR-01628</x:v>
      </x:c>
      <x:c r="C1634" s="21" t="str">
        <x:v>F41-I3</x:v>
      </x:c>
      <x:c r="D1634" s="21" t="str">
        <x:v>F41</x:v>
      </x:c>
      <x:c r="E1634" s="21" t="n">
        <x:v>8</x:v>
      </x:c>
      <x:c r="F1634" s="21" t="str">
        <x:v>Pilot-process qualification</x:v>
      </x:c>
      <x:c r="G1634" s="21" t="n">
        <x:v>28</x:v>
      </x:c>
      <x:c r="H1634" s="21" t="str">
        <x:v>AIMC Industrial Mobilization Authority</x:v>
      </x:c>
      <x:c r="I1634" s="44" t="n">
        <x:f>Lifecycle!G14</x:f>
        <x:v>0.03952829567165163</x:v>
      </x:c>
      <x:c r="J1634" s="44" t="n">
        <x:v>0.08</x:v>
      </x:c>
      <x:c r="K1634" s="44" t="n">
        <x:f>I1634*J1634</x:f>
        <x:v>0.0031622636537321303</x:v>
      </x:c>
      <x:c r="L1634" s="46" t="n">
        <x:v>0</x:v>
      </x:c>
      <x:c r="M1634" s="46" t="n">
        <x:v>0</x:v>
      </x:c>
      <x:c r="N1634" s="21" t="n">
        <x:f>IF(AND(L1633=1,M1633=1,P1633&gt;0),1,0)</x:f>
        <x:v>0</x:v>
      </x:c>
      <x:c r="O1634" s="21" t="n">
        <x:f>MIN('Root Data'!I493:I495)</x:f>
        <x:v>0</x:v>
      </x:c>
      <x:c r="P1634" s="44" t="n">
        <x:f>IF(AND(L1634=1,M1634=1,N1634=1,O1634&gt;=G1634),K1634,0)</x:f>
        <x:v>0</x:v>
      </x:c>
      <x:c r="Q1634" s="21" t="str">
        <x:v>OPEN</x:v>
      </x:c>
      <x:c r="R1634" s="23" t="str">
        <x:v>HOLD</x:v>
      </x:c>
    </x:row>
    <x:row r="1635">
      <x:c r="B1635" s="21" t="str">
        <x:v>AR-01629</x:v>
      </x:c>
      <x:c r="C1635" s="21" t="str">
        <x:v>F41-I3</x:v>
      </x:c>
      <x:c r="D1635" s="21" t="str">
        <x:v>F41</x:v>
      </x:c>
      <x:c r="E1635" s="21" t="n">
        <x:v>9</x:v>
      </x:c>
      <x:c r="F1635" s="21" t="str">
        <x:v>Production release package</x:v>
      </x:c>
      <x:c r="G1635" s="21" t="n">
        <x:v>28</x:v>
      </x:c>
      <x:c r="H1635" s="21" t="str">
        <x:v>Production Release Board</x:v>
      </x:c>
      <x:c r="I1635" s="44" t="n">
        <x:f>Lifecycle!G15</x:f>
        <x:v>0.01647012319652151</x:v>
      </x:c>
      <x:c r="J1635" s="44" t="n">
        <x:v>0.08</x:v>
      </x:c>
      <x:c r="K1635" s="44" t="n">
        <x:f>I1635*J1635</x:f>
        <x:v>0.0013176098557217209</x:v>
      </x:c>
      <x:c r="L1635" s="46" t="n">
        <x:v>0</x:v>
      </x:c>
      <x:c r="M1635" s="46" t="n">
        <x:v>0</x:v>
      </x:c>
      <x:c r="N1635" s="21" t="n">
        <x:f>IF(AND(L1634=1,M1634=1,P1634&gt;0),1,0)</x:f>
        <x:v>0</x:v>
      </x:c>
      <x:c r="O1635" s="21" t="n">
        <x:f>MIN('Root Data'!I493:I495)</x:f>
        <x:v>0</x:v>
      </x:c>
      <x:c r="P1635" s="44" t="n">
        <x:f>IF(AND(L1635=1,M1635=1,N1635=1,O1635&gt;=G1635),K1635,0)</x:f>
        <x:v>0</x:v>
      </x:c>
      <x:c r="Q1635" s="21" t="str">
        <x:v>OPEN</x:v>
      </x:c>
      <x:c r="R1635" s="23" t="str">
        <x:v>HOLD</x:v>
      </x:c>
    </x:row>
    <x:row r="1636">
      <x:c r="B1636" s="21" t="str">
        <x:v>AR-01630</x:v>
      </x:c>
      <x:c r="C1636" s="21" t="str">
        <x:v>F41-I3</x:v>
      </x:c>
      <x:c r="D1636" s="21" t="str">
        <x:v>F41</x:v>
      </x:c>
      <x:c r="E1636" s="21" t="n">
        <x:v>10</x:v>
      </x:c>
      <x:c r="F1636" s="21" t="str">
        <x:v>Mobilization activation</x:v>
      </x:c>
      <x:c r="G1636" s="21" t="n">
        <x:v>28</x:v>
      </x:c>
      <x:c r="H1636" s="21" t="str">
        <x:v>Production Release Board</x:v>
      </x:c>
      <x:c r="I1636" s="44" t="n">
        <x:f>Lifecycle!G16</x:f>
        <x:v>0.028262731405230914</x:v>
      </x:c>
      <x:c r="J1636" s="44" t="n">
        <x:v>0.08</x:v>
      </x:c>
      <x:c r="K1636" s="44" t="n">
        <x:f>I1636*J1636</x:f>
        <x:v>0.002261018512418473</x:v>
      </x:c>
      <x:c r="L1636" s="46" t="n">
        <x:v>0</x:v>
      </x:c>
      <x:c r="M1636" s="46" t="n">
        <x:v>0</x:v>
      </x:c>
      <x:c r="N1636" s="21" t="n">
        <x:f>IF(AND(L1635=1,M1635=1,P1635&gt;0),1,0)</x:f>
        <x:v>0</x:v>
      </x:c>
      <x:c r="O1636" s="21" t="n">
        <x:f>MIN('Root Data'!I493:I495)</x:f>
        <x:v>0</x:v>
      </x:c>
      <x:c r="P1636" s="44" t="n">
        <x:f>IF(AND(L1636=1,M1636=1,N1636=1,O1636&gt;=G1636),K1636,0)</x:f>
        <x:v>0</x:v>
      </x:c>
      <x:c r="Q1636" s="21" t="str">
        <x:v>OPEN</x:v>
      </x:c>
      <x:c r="R1636" s="23" t="str">
        <x:v>HOLD</x:v>
      </x:c>
    </x:row>
    <x:row r="1637">
      <x:c r="B1637" s="21" t="str">
        <x:v>AR-01631</x:v>
      </x:c>
      <x:c r="C1637" s="21" t="str">
        <x:v>F41-I4</x:v>
      </x:c>
      <x:c r="D1637" s="21" t="str">
        <x:v>F41</x:v>
      </x:c>
      <x:c r="E1637" s="21" t="n">
        <x:v>1</x:v>
      </x:c>
      <x:c r="F1637" s="21" t="str">
        <x:v>Civil effect charter</x:v>
      </x:c>
      <x:c r="G1637" s="21" t="n">
        <x:v>0</x:v>
      </x:c>
      <x:c r="H1637" s="21" t="str">
        <x:v>Civil Guarantee Authority</x:v>
      </x:c>
      <x:c r="I1637" s="44" t="n">
        <x:f>Lifecycle!G7</x:f>
        <x:v>0.04941036958956453</x:v>
      </x:c>
      <x:c r="J1637" s="44" t="n">
        <x:v>0.08</x:v>
      </x:c>
      <x:c r="K1637" s="44" t="n">
        <x:f>I1637*J1637</x:f>
        <x:v>0.003952829567165163</x:v>
      </x:c>
      <x:c r="L1637" s="46" t="n">
        <x:v>0</x:v>
      </x:c>
      <x:c r="M1637" s="46" t="n">
        <x:v>0</x:v>
      </x:c>
      <x:c r="N1637" s="21" t="n">
        <x:f>1</x:f>
        <x:v>1</x:v>
      </x:c>
      <x:c r="O1637" s="21" t="n">
        <x:f>MIN('Root Data'!I496:I498)</x:f>
        <x:v>0</x:v>
      </x:c>
      <x:c r="P1637" s="44" t="n">
        <x:f>IF(AND(L1637=1,M1637=1,N1637=1,O1637&gt;=G1637),K1637,0)</x:f>
        <x:v>0</x:v>
      </x:c>
      <x:c r="Q1637" s="21" t="str">
        <x:v>OPEN</x:v>
      </x:c>
      <x:c r="R1637" s="23" t="str">
        <x:v>HOLD</x:v>
      </x:c>
    </x:row>
    <x:row r="1638">
      <x:c r="B1638" s="21" t="str">
        <x:v>AR-01632</x:v>
      </x:c>
      <x:c r="C1638" s="21" t="str">
        <x:v>F41-I4</x:v>
      </x:c>
      <x:c r="D1638" s="21" t="str">
        <x:v>F41</x:v>
      </x:c>
      <x:c r="E1638" s="21" t="n">
        <x:v>2</x:v>
      </x:c>
      <x:c r="F1638" s="21" t="str">
        <x:v>Requirement and root-independence package</x:v>
      </x:c>
      <x:c r="G1638" s="21" t="n">
        <x:v>8</x:v>
      </x:c>
      <x:c r="H1638" s="21" t="str">
        <x:v>Resilience Staff</x:v>
      </x:c>
      <x:c r="I1638" s="44" t="n">
        <x:f>Lifecycle!G8</x:f>
        <x:v>0.10211476381843337</x:v>
      </x:c>
      <x:c r="J1638" s="44" t="n">
        <x:v>0.08</x:v>
      </x:c>
      <x:c r="K1638" s="44" t="n">
        <x:f>I1638*J1638</x:f>
        <x:v>0.00816918110547467</x:v>
      </x:c>
      <x:c r="L1638" s="46" t="n">
        <x:v>0</x:v>
      </x:c>
      <x:c r="M1638" s="46" t="n">
        <x:v>0</x:v>
      </x:c>
      <x:c r="N1638" s="21" t="n">
        <x:f>IF(AND(L1637=1,M1637=1,P1637&gt;0),1,0)</x:f>
        <x:v>0</x:v>
      </x:c>
      <x:c r="O1638" s="21" t="n">
        <x:f>MIN('Root Data'!I496:I498)</x:f>
        <x:v>0</x:v>
      </x:c>
      <x:c r="P1638" s="44" t="n">
        <x:f>IF(AND(L1638=1,M1638=1,N1638=1,O1638&gt;=G1638),K1638,0)</x:f>
        <x:v>0</x:v>
      </x:c>
      <x:c r="Q1638" s="21" t="str">
        <x:v>OPEN</x:v>
      </x:c>
      <x:c r="R1638" s="23" t="str">
        <x:v>HOLD</x:v>
      </x:c>
    </x:row>
    <x:row r="1639">
      <x:c r="B1639" s="21" t="str">
        <x:v>AR-01633</x:v>
      </x:c>
      <x:c r="C1639" s="21" t="str">
        <x:v>F41-I4</x:v>
      </x:c>
      <x:c r="D1639" s="21" t="str">
        <x:v>F41</x:v>
      </x:c>
      <x:c r="E1639" s="21" t="n">
        <x:v>3</x:v>
      </x:c>
      <x:c r="F1639" s="21" t="str">
        <x:v>Architecture and burden closure</x:v>
      </x:c>
      <x:c r="G1639" s="21" t="n">
        <x:v>14</x:v>
      </x:c>
      <x:c r="H1639" s="21" t="str">
        <x:v>Independent Evidence and Data Authority</x:v>
      </x:c>
      <x:c r="I1639" s="44" t="n">
        <x:f>Lifecycle!G9</x:f>
        <x:v>0.08564464062191186</x:v>
      </x:c>
      <x:c r="J1639" s="44" t="n">
        <x:v>0.08</x:v>
      </x:c>
      <x:c r="K1639" s="44" t="n">
        <x:f>I1639*J1639</x:f>
        <x:v>0.006851571249752949</x:v>
      </x:c>
      <x:c r="L1639" s="46" t="n">
        <x:v>0</x:v>
      </x:c>
      <x:c r="M1639" s="46" t="n">
        <x:v>0</x:v>
      </x:c>
      <x:c r="N1639" s="21" t="n">
        <x:f>IF(AND(L1638=1,M1638=1,P1638&gt;0),1,0)</x:f>
        <x:v>0</x:v>
      </x:c>
      <x:c r="O1639" s="21" t="n">
        <x:f>MIN('Root Data'!I496:I498)</x:f>
        <x:v>0</x:v>
      </x:c>
      <x:c r="P1639" s="44" t="n">
        <x:f>IF(AND(L1639=1,M1639=1,N1639=1,O1639&gt;=G1639),K1639,0)</x:f>
        <x:v>0</x:v>
      </x:c>
      <x:c r="Q1639" s="21" t="str">
        <x:v>OPEN</x:v>
      </x:c>
      <x:c r="R1639" s="23" t="str">
        <x:v>HOLD</x:v>
      </x:c>
    </x:row>
    <x:row r="1640">
      <x:c r="B1640" s="21" t="str">
        <x:v>AR-01634</x:v>
      </x:c>
      <x:c r="C1640" s="21" t="str">
        <x:v>F41-I4</x:v>
      </x:c>
      <x:c r="D1640" s="21" t="str">
        <x:v>F41</x:v>
      </x:c>
      <x:c r="E1640" s="21" t="n">
        <x:v>4</x:v>
      </x:c>
      <x:c r="F1640" s="21" t="str">
        <x:v>Engineering article acceptance</x:v>
      </x:c>
      <x:c r="G1640" s="21" t="n">
        <x:v>18</x:v>
      </x:c>
      <x:c r="H1640" s="21" t="str">
        <x:v>Independent Evidence and Data Authority</x:v>
      </x:c>
      <x:c r="I1640" s="44" t="n">
        <x:f>Lifecycle!G10</x:f>
        <x:v>0.05929244350747744</x:v>
      </x:c>
      <x:c r="J1640" s="44" t="n">
        <x:v>0.08</x:v>
      </x:c>
      <x:c r="K1640" s="44" t="n">
        <x:f>I1640*J1640</x:f>
        <x:v>0.004743395480598196</x:v>
      </x:c>
      <x:c r="L1640" s="46" t="n">
        <x:v>0</x:v>
      </x:c>
      <x:c r="M1640" s="46" t="n">
        <x:v>0</x:v>
      </x:c>
      <x:c r="N1640" s="21" t="n">
        <x:f>IF(AND(L1639=1,M1639=1,P1639&gt;0),1,0)</x:f>
        <x:v>0</x:v>
      </x:c>
      <x:c r="O1640" s="21" t="n">
        <x:f>MIN('Root Data'!I496:I498)</x:f>
        <x:v>0</x:v>
      </x:c>
      <x:c r="P1640" s="44" t="n">
        <x:f>IF(AND(L1640=1,M1640=1,N1640=1,O1640&gt;=G1640),K1640,0)</x:f>
        <x:v>0</x:v>
      </x:c>
      <x:c r="Q1640" s="21" t="str">
        <x:v>OPEN</x:v>
      </x:c>
      <x:c r="R1640" s="23" t="str">
        <x:v>HOLD</x:v>
      </x:c>
    </x:row>
    <x:row r="1641">
      <x:c r="B1641" s="21" t="str">
        <x:v>AR-01635</x:v>
      </x:c>
      <x:c r="C1641" s="21" t="str">
        <x:v>F41-I4</x:v>
      </x:c>
      <x:c r="D1641" s="21" t="str">
        <x:v>F41</x:v>
      </x:c>
      <x:c r="E1641" s="21" t="n">
        <x:v>5</x:v>
      </x:c>
      <x:c r="F1641" s="21" t="str">
        <x:v>Qualification and destructive evidence</x:v>
      </x:c>
      <x:c r="G1641" s="21" t="n">
        <x:v>21</x:v>
      </x:c>
      <x:c r="H1641" s="21" t="str">
        <x:v>Independent Evidence and Data Authority</x:v>
      </x:c>
      <x:c r="I1641" s="44" t="n">
        <x:f>Lifecycle!G11</x:f>
        <x:v>0.1515251334079979</x:v>
      </x:c>
      <x:c r="J1641" s="44" t="n">
        <x:v>0.08</x:v>
      </x:c>
      <x:c r="K1641" s="44" t="n">
        <x:f>I1641*J1641</x:f>
        <x:v>0.012122010672639832</x:v>
      </x:c>
      <x:c r="L1641" s="46" t="n">
        <x:v>0</x:v>
      </x:c>
      <x:c r="M1641" s="46" t="n">
        <x:v>0</x:v>
      </x:c>
      <x:c r="N1641" s="21" t="n">
        <x:f>IF(AND(L1640=1,M1640=1,P1640&gt;0),1,0)</x:f>
        <x:v>0</x:v>
      </x:c>
      <x:c r="O1641" s="21" t="n">
        <x:f>MIN('Root Data'!I496:I498)</x:f>
        <x:v>0</x:v>
      </x:c>
      <x:c r="P1641" s="44" t="n">
        <x:f>IF(AND(L1641=1,M1641=1,N1641=1,O1641&gt;=G1641),K1641,0)</x:f>
        <x:v>0</x:v>
      </x:c>
      <x:c r="Q1641" s="21" t="str">
        <x:v>OPEN</x:v>
      </x:c>
      <x:c r="R1641" s="23" t="str">
        <x:v>HOLD</x:v>
      </x:c>
    </x:row>
    <x:row r="1642">
      <x:c r="B1642" s="21" t="str">
        <x:v>AR-01636</x:v>
      </x:c>
      <x:c r="C1642" s="21" t="str">
        <x:v>F41-I4</x:v>
      </x:c>
      <x:c r="D1642" s="21" t="str">
        <x:v>F41</x:v>
      </x:c>
      <x:c r="E1642" s="21" t="n">
        <x:v>6</x:v>
      </x:c>
      <x:c r="F1642" s="21" t="str">
        <x:v>Representative mission result</x:v>
      </x:c>
      <x:c r="G1642" s="21" t="n">
        <x:v>23</x:v>
      </x:c>
      <x:c r="H1642" s="21" t="str">
        <x:v>Receiving Service Authority</x:v>
      </x:c>
      <x:c r="I1642" s="44" t="n">
        <x:f>Lifecycle!G12</x:f>
        <x:v>0.250345872587127</x:v>
      </x:c>
      <x:c r="J1642" s="44" t="n">
        <x:v>0.08</x:v>
      </x:c>
      <x:c r="K1642" s="44" t="n">
        <x:f>I1642*J1642</x:f>
        <x:v>0.02002766980697016</x:v>
      </x:c>
      <x:c r="L1642" s="46" t="n">
        <x:v>0</x:v>
      </x:c>
      <x:c r="M1642" s="46" t="n">
        <x:v>0</x:v>
      </x:c>
      <x:c r="N1642" s="21" t="n">
        <x:f>IF(AND(L1641=1,M1641=1,P1641&gt;0),1,0)</x:f>
        <x:v>0</x:v>
      </x:c>
      <x:c r="O1642" s="21" t="n">
        <x:f>MIN('Root Data'!I496:I498)</x:f>
        <x:v>0</x:v>
      </x:c>
      <x:c r="P1642" s="44" t="n">
        <x:f>IF(AND(L1642=1,M1642=1,N1642=1,O1642&gt;=G1642),K1642,0)</x:f>
        <x:v>0</x:v>
      </x:c>
      <x:c r="Q1642" s="21" t="str">
        <x:v>OPEN</x:v>
      </x:c>
      <x:c r="R1642" s="23" t="str">
        <x:v>HOLD</x:v>
      </x:c>
    </x:row>
    <x:row r="1643">
      <x:c r="B1643" s="21" t="str">
        <x:v>AR-01637</x:v>
      </x:c>
      <x:c r="C1643" s="21" t="str">
        <x:v>F41-I4</x:v>
      </x:c>
      <x:c r="D1643" s="21" t="str">
        <x:v>F41</x:v>
      </x:c>
      <x:c r="E1643" s="21" t="n">
        <x:v>7</x:v>
      </x:c>
      <x:c r="F1643" s="21" t="str">
        <x:v>Independent reproduction</x:v>
      </x:c>
      <x:c r="G1643" s="21" t="n">
        <x:v>28</x:v>
      </x:c>
      <x:c r="H1643" s="21" t="str">
        <x:v>Independent Evidence and Data Authority</x:v>
      </x:c>
      <x:c r="I1643" s="44" t="n">
        <x:f>Lifecycle!G13</x:f>
        <x:v>0.21740562619408393</x:v>
      </x:c>
      <x:c r="J1643" s="44" t="n">
        <x:v>0.08</x:v>
      </x:c>
      <x:c r="K1643" s="44" t="n">
        <x:f>I1643*J1643</x:f>
        <x:v>0.017392450095526715</x:v>
      </x:c>
      <x:c r="L1643" s="46" t="n">
        <x:v>0</x:v>
      </x:c>
      <x:c r="M1643" s="46" t="n">
        <x:v>0</x:v>
      </x:c>
      <x:c r="N1643" s="21" t="n">
        <x:f>IF(AND(L1642=1,M1642=1,P1642&gt;0),1,0)</x:f>
        <x:v>0</x:v>
      </x:c>
      <x:c r="O1643" s="21" t="n">
        <x:f>MIN('Root Data'!I496:I498)</x:f>
        <x:v>0</x:v>
      </x:c>
      <x:c r="P1643" s="44" t="n">
        <x:f>IF(AND(L1643=1,M1643=1,N1643=1,O1643&gt;=G1643),K1643,0)</x:f>
        <x:v>0</x:v>
      </x:c>
      <x:c r="Q1643" s="21" t="str">
        <x:v>OPEN</x:v>
      </x:c>
      <x:c r="R1643" s="23" t="str">
        <x:v>HOLD</x:v>
      </x:c>
    </x:row>
    <x:row r="1644">
      <x:c r="B1644" s="21" t="str">
        <x:v>AR-01638</x:v>
      </x:c>
      <x:c r="C1644" s="21" t="str">
        <x:v>F41-I4</x:v>
      </x:c>
      <x:c r="D1644" s="21" t="str">
        <x:v>F41</x:v>
      </x:c>
      <x:c r="E1644" s="21" t="n">
        <x:v>8</x:v>
      </x:c>
      <x:c r="F1644" s="21" t="str">
        <x:v>Pilot-process qualification</x:v>
      </x:c>
      <x:c r="G1644" s="21" t="n">
        <x:v>28</x:v>
      </x:c>
      <x:c r="H1644" s="21" t="str">
        <x:v>AIMC Industrial Mobilization Authority</x:v>
      </x:c>
      <x:c r="I1644" s="44" t="n">
        <x:f>Lifecycle!G14</x:f>
        <x:v>0.03952829567165163</x:v>
      </x:c>
      <x:c r="J1644" s="44" t="n">
        <x:v>0.08</x:v>
      </x:c>
      <x:c r="K1644" s="44" t="n">
        <x:f>I1644*J1644</x:f>
        <x:v>0.0031622636537321303</x:v>
      </x:c>
      <x:c r="L1644" s="46" t="n">
        <x:v>0</x:v>
      </x:c>
      <x:c r="M1644" s="46" t="n">
        <x:v>0</x:v>
      </x:c>
      <x:c r="N1644" s="21" t="n">
        <x:f>IF(AND(L1643=1,M1643=1,P1643&gt;0),1,0)</x:f>
        <x:v>0</x:v>
      </x:c>
      <x:c r="O1644" s="21" t="n">
        <x:f>MIN('Root Data'!I496:I498)</x:f>
        <x:v>0</x:v>
      </x:c>
      <x:c r="P1644" s="44" t="n">
        <x:f>IF(AND(L1644=1,M1644=1,N1644=1,O1644&gt;=G1644),K1644,0)</x:f>
        <x:v>0</x:v>
      </x:c>
      <x:c r="Q1644" s="21" t="str">
        <x:v>OPEN</x:v>
      </x:c>
      <x:c r="R1644" s="23" t="str">
        <x:v>HOLD</x:v>
      </x:c>
    </x:row>
    <x:row r="1645">
      <x:c r="B1645" s="21" t="str">
        <x:v>AR-01639</x:v>
      </x:c>
      <x:c r="C1645" s="21" t="str">
        <x:v>F41-I4</x:v>
      </x:c>
      <x:c r="D1645" s="21" t="str">
        <x:v>F41</x:v>
      </x:c>
      <x:c r="E1645" s="21" t="n">
        <x:v>9</x:v>
      </x:c>
      <x:c r="F1645" s="21" t="str">
        <x:v>Production release package</x:v>
      </x:c>
      <x:c r="G1645" s="21" t="n">
        <x:v>28</x:v>
      </x:c>
      <x:c r="H1645" s="21" t="str">
        <x:v>Production Release Board</x:v>
      </x:c>
      <x:c r="I1645" s="44" t="n">
        <x:f>Lifecycle!G15</x:f>
        <x:v>0.01647012319652151</x:v>
      </x:c>
      <x:c r="J1645" s="44" t="n">
        <x:v>0.08</x:v>
      </x:c>
      <x:c r="K1645" s="44" t="n">
        <x:f>I1645*J1645</x:f>
        <x:v>0.0013176098557217209</x:v>
      </x:c>
      <x:c r="L1645" s="46" t="n">
        <x:v>0</x:v>
      </x:c>
      <x:c r="M1645" s="46" t="n">
        <x:v>0</x:v>
      </x:c>
      <x:c r="N1645" s="21" t="n">
        <x:f>IF(AND(L1644=1,M1644=1,P1644&gt;0),1,0)</x:f>
        <x:v>0</x:v>
      </x:c>
      <x:c r="O1645" s="21" t="n">
        <x:f>MIN('Root Data'!I496:I498)</x:f>
        <x:v>0</x:v>
      </x:c>
      <x:c r="P1645" s="44" t="n">
        <x:f>IF(AND(L1645=1,M1645=1,N1645=1,O1645&gt;=G1645),K1645,0)</x:f>
        <x:v>0</x:v>
      </x:c>
      <x:c r="Q1645" s="21" t="str">
        <x:v>OPEN</x:v>
      </x:c>
      <x:c r="R1645" s="23" t="str">
        <x:v>HOLD</x:v>
      </x:c>
    </x:row>
    <x:row r="1646">
      <x:c r="B1646" s="21" t="str">
        <x:v>AR-01640</x:v>
      </x:c>
      <x:c r="C1646" s="21" t="str">
        <x:v>F41-I4</x:v>
      </x:c>
      <x:c r="D1646" s="21" t="str">
        <x:v>F41</x:v>
      </x:c>
      <x:c r="E1646" s="21" t="n">
        <x:v>10</x:v>
      </x:c>
      <x:c r="F1646" s="21" t="str">
        <x:v>Mobilization activation</x:v>
      </x:c>
      <x:c r="G1646" s="21" t="n">
        <x:v>28</x:v>
      </x:c>
      <x:c r="H1646" s="21" t="str">
        <x:v>Production Release Board</x:v>
      </x:c>
      <x:c r="I1646" s="44" t="n">
        <x:f>Lifecycle!G16</x:f>
        <x:v>0.028262731405230914</x:v>
      </x:c>
      <x:c r="J1646" s="44" t="n">
        <x:v>0.08</x:v>
      </x:c>
      <x:c r="K1646" s="44" t="n">
        <x:f>I1646*J1646</x:f>
        <x:v>0.002261018512418473</x:v>
      </x:c>
      <x:c r="L1646" s="46" t="n">
        <x:v>0</x:v>
      </x:c>
      <x:c r="M1646" s="46" t="n">
        <x:v>0</x:v>
      </x:c>
      <x:c r="N1646" s="21" t="n">
        <x:f>IF(AND(L1645=1,M1645=1,P1645&gt;0),1,0)</x:f>
        <x:v>0</x:v>
      </x:c>
      <x:c r="O1646" s="21" t="n">
        <x:f>MIN('Root Data'!I496:I498)</x:f>
        <x:v>0</x:v>
      </x:c>
      <x:c r="P1646" s="44" t="n">
        <x:f>IF(AND(L1646=1,M1646=1,N1646=1,O1646&gt;=G1646),K1646,0)</x:f>
        <x:v>0</x:v>
      </x:c>
      <x:c r="Q1646" s="21" t="str">
        <x:v>OPEN</x:v>
      </x:c>
      <x:c r="R1646" s="23" t="str">
        <x:v>HOLD</x:v>
      </x:c>
    </x:row>
    <x:row r="1647">
      <x:c r="B1647" s="21" t="str">
        <x:v>AR-01641</x:v>
      </x:c>
      <x:c r="C1647" s="21" t="str">
        <x:v>F42-I1</x:v>
      </x:c>
      <x:c r="D1647" s="21" t="str">
        <x:v>F42</x:v>
      </x:c>
      <x:c r="E1647" s="21" t="n">
        <x:v>1</x:v>
      </x:c>
      <x:c r="F1647" s="21" t="str">
        <x:v>Civil effect charter</x:v>
      </x:c>
      <x:c r="G1647" s="21" t="n">
        <x:v>0</x:v>
      </x:c>
      <x:c r="H1647" s="21" t="str">
        <x:v>Civil Guarantee Authority</x:v>
      </x:c>
      <x:c r="I1647" s="44" t="n">
        <x:f>Lifecycle!G7</x:f>
        <x:v>0.04941036958956453</x:v>
      </x:c>
      <x:c r="J1647" s="44" t="n">
        <x:v>0.08</x:v>
      </x:c>
      <x:c r="K1647" s="44" t="n">
        <x:f>I1647*J1647</x:f>
        <x:v>0.003952829567165163</x:v>
      </x:c>
      <x:c r="L1647" s="46" t="n">
        <x:v>0</x:v>
      </x:c>
      <x:c r="M1647" s="46" t="n">
        <x:v>0</x:v>
      </x:c>
      <x:c r="N1647" s="21" t="n">
        <x:f>1</x:f>
        <x:v>1</x:v>
      </x:c>
      <x:c r="O1647" s="21" t="n">
        <x:f>MIN('Root Data'!I499:I501)</x:f>
        <x:v>0</x:v>
      </x:c>
      <x:c r="P1647" s="44" t="n">
        <x:f>IF(AND(L1647=1,M1647=1,N1647=1,O1647&gt;=G1647),K1647,0)</x:f>
        <x:v>0</x:v>
      </x:c>
      <x:c r="Q1647" s="21" t="str">
        <x:v>OPEN</x:v>
      </x:c>
      <x:c r="R1647" s="23" t="str">
        <x:v>HOLD</x:v>
      </x:c>
    </x:row>
    <x:row r="1648">
      <x:c r="B1648" s="21" t="str">
        <x:v>AR-01642</x:v>
      </x:c>
      <x:c r="C1648" s="21" t="str">
        <x:v>F42-I1</x:v>
      </x:c>
      <x:c r="D1648" s="21" t="str">
        <x:v>F42</x:v>
      </x:c>
      <x:c r="E1648" s="21" t="n">
        <x:v>2</x:v>
      </x:c>
      <x:c r="F1648" s="21" t="str">
        <x:v>Requirement and root-independence package</x:v>
      </x:c>
      <x:c r="G1648" s="21" t="n">
        <x:v>8</x:v>
      </x:c>
      <x:c r="H1648" s="21" t="str">
        <x:v>Resilience Staff</x:v>
      </x:c>
      <x:c r="I1648" s="44" t="n">
        <x:f>Lifecycle!G8</x:f>
        <x:v>0.10211476381843337</x:v>
      </x:c>
      <x:c r="J1648" s="44" t="n">
        <x:v>0.08</x:v>
      </x:c>
      <x:c r="K1648" s="44" t="n">
        <x:f>I1648*J1648</x:f>
        <x:v>0.00816918110547467</x:v>
      </x:c>
      <x:c r="L1648" s="46" t="n">
        <x:v>0</x:v>
      </x:c>
      <x:c r="M1648" s="46" t="n">
        <x:v>0</x:v>
      </x:c>
      <x:c r="N1648" s="21" t="n">
        <x:f>IF(AND(L1647=1,M1647=1,P1647&gt;0),1,0)</x:f>
        <x:v>0</x:v>
      </x:c>
      <x:c r="O1648" s="21" t="n">
        <x:f>MIN('Root Data'!I499:I501)</x:f>
        <x:v>0</x:v>
      </x:c>
      <x:c r="P1648" s="44" t="n">
        <x:f>IF(AND(L1648=1,M1648=1,N1648=1,O1648&gt;=G1648),K1648,0)</x:f>
        <x:v>0</x:v>
      </x:c>
      <x:c r="Q1648" s="21" t="str">
        <x:v>OPEN</x:v>
      </x:c>
      <x:c r="R1648" s="23" t="str">
        <x:v>HOLD</x:v>
      </x:c>
    </x:row>
    <x:row r="1649">
      <x:c r="B1649" s="21" t="str">
        <x:v>AR-01643</x:v>
      </x:c>
      <x:c r="C1649" s="21" t="str">
        <x:v>F42-I1</x:v>
      </x:c>
      <x:c r="D1649" s="21" t="str">
        <x:v>F42</x:v>
      </x:c>
      <x:c r="E1649" s="21" t="n">
        <x:v>3</x:v>
      </x:c>
      <x:c r="F1649" s="21" t="str">
        <x:v>Architecture and burden closure</x:v>
      </x:c>
      <x:c r="G1649" s="21" t="n">
        <x:v>14</x:v>
      </x:c>
      <x:c r="H1649" s="21" t="str">
        <x:v>Independent Evidence and Data Authority</x:v>
      </x:c>
      <x:c r="I1649" s="44" t="n">
        <x:f>Lifecycle!G9</x:f>
        <x:v>0.08564464062191186</x:v>
      </x:c>
      <x:c r="J1649" s="44" t="n">
        <x:v>0.08</x:v>
      </x:c>
      <x:c r="K1649" s="44" t="n">
        <x:f>I1649*J1649</x:f>
        <x:v>0.006851571249752949</x:v>
      </x:c>
      <x:c r="L1649" s="46" t="n">
        <x:v>0</x:v>
      </x:c>
      <x:c r="M1649" s="46" t="n">
        <x:v>0</x:v>
      </x:c>
      <x:c r="N1649" s="21" t="n">
        <x:f>IF(AND(L1648=1,M1648=1,P1648&gt;0),1,0)</x:f>
        <x:v>0</x:v>
      </x:c>
      <x:c r="O1649" s="21" t="n">
        <x:f>MIN('Root Data'!I499:I501)</x:f>
        <x:v>0</x:v>
      </x:c>
      <x:c r="P1649" s="44" t="n">
        <x:f>IF(AND(L1649=1,M1649=1,N1649=1,O1649&gt;=G1649),K1649,0)</x:f>
        <x:v>0</x:v>
      </x:c>
      <x:c r="Q1649" s="21" t="str">
        <x:v>OPEN</x:v>
      </x:c>
      <x:c r="R1649" s="23" t="str">
        <x:v>HOLD</x:v>
      </x:c>
    </x:row>
    <x:row r="1650">
      <x:c r="B1650" s="21" t="str">
        <x:v>AR-01644</x:v>
      </x:c>
      <x:c r="C1650" s="21" t="str">
        <x:v>F42-I1</x:v>
      </x:c>
      <x:c r="D1650" s="21" t="str">
        <x:v>F42</x:v>
      </x:c>
      <x:c r="E1650" s="21" t="n">
        <x:v>4</x:v>
      </x:c>
      <x:c r="F1650" s="21" t="str">
        <x:v>Engineering article acceptance</x:v>
      </x:c>
      <x:c r="G1650" s="21" t="n">
        <x:v>18</x:v>
      </x:c>
      <x:c r="H1650" s="21" t="str">
        <x:v>Independent Evidence and Data Authority</x:v>
      </x:c>
      <x:c r="I1650" s="44" t="n">
        <x:f>Lifecycle!G10</x:f>
        <x:v>0.05929244350747744</x:v>
      </x:c>
      <x:c r="J1650" s="44" t="n">
        <x:v>0.08</x:v>
      </x:c>
      <x:c r="K1650" s="44" t="n">
        <x:f>I1650*J1650</x:f>
        <x:v>0.004743395480598196</x:v>
      </x:c>
      <x:c r="L1650" s="46" t="n">
        <x:v>0</x:v>
      </x:c>
      <x:c r="M1650" s="46" t="n">
        <x:v>0</x:v>
      </x:c>
      <x:c r="N1650" s="21" t="n">
        <x:f>IF(AND(L1649=1,M1649=1,P1649&gt;0),1,0)</x:f>
        <x:v>0</x:v>
      </x:c>
      <x:c r="O1650" s="21" t="n">
        <x:f>MIN('Root Data'!I499:I501)</x:f>
        <x:v>0</x:v>
      </x:c>
      <x:c r="P1650" s="44" t="n">
        <x:f>IF(AND(L1650=1,M1650=1,N1650=1,O1650&gt;=G1650),K1650,0)</x:f>
        <x:v>0</x:v>
      </x:c>
      <x:c r="Q1650" s="21" t="str">
        <x:v>OPEN</x:v>
      </x:c>
      <x:c r="R1650" s="23" t="str">
        <x:v>HOLD</x:v>
      </x:c>
    </x:row>
    <x:row r="1651">
      <x:c r="B1651" s="21" t="str">
        <x:v>AR-01645</x:v>
      </x:c>
      <x:c r="C1651" s="21" t="str">
        <x:v>F42-I1</x:v>
      </x:c>
      <x:c r="D1651" s="21" t="str">
        <x:v>F42</x:v>
      </x:c>
      <x:c r="E1651" s="21" t="n">
        <x:v>5</x:v>
      </x:c>
      <x:c r="F1651" s="21" t="str">
        <x:v>Qualification and destructive evidence</x:v>
      </x:c>
      <x:c r="G1651" s="21" t="n">
        <x:v>21</x:v>
      </x:c>
      <x:c r="H1651" s="21" t="str">
        <x:v>Independent Evidence and Data Authority</x:v>
      </x:c>
      <x:c r="I1651" s="44" t="n">
        <x:f>Lifecycle!G11</x:f>
        <x:v>0.1515251334079979</x:v>
      </x:c>
      <x:c r="J1651" s="44" t="n">
        <x:v>0.08</x:v>
      </x:c>
      <x:c r="K1651" s="44" t="n">
        <x:f>I1651*J1651</x:f>
        <x:v>0.012122010672639832</x:v>
      </x:c>
      <x:c r="L1651" s="46" t="n">
        <x:v>0</x:v>
      </x:c>
      <x:c r="M1651" s="46" t="n">
        <x:v>0</x:v>
      </x:c>
      <x:c r="N1651" s="21" t="n">
        <x:f>IF(AND(L1650=1,M1650=1,P1650&gt;0),1,0)</x:f>
        <x:v>0</x:v>
      </x:c>
      <x:c r="O1651" s="21" t="n">
        <x:f>MIN('Root Data'!I499:I501)</x:f>
        <x:v>0</x:v>
      </x:c>
      <x:c r="P1651" s="44" t="n">
        <x:f>IF(AND(L1651=1,M1651=1,N1651=1,O1651&gt;=G1651),K1651,0)</x:f>
        <x:v>0</x:v>
      </x:c>
      <x:c r="Q1651" s="21" t="str">
        <x:v>OPEN</x:v>
      </x:c>
      <x:c r="R1651" s="23" t="str">
        <x:v>HOLD</x:v>
      </x:c>
    </x:row>
    <x:row r="1652">
      <x:c r="B1652" s="21" t="str">
        <x:v>AR-01646</x:v>
      </x:c>
      <x:c r="C1652" s="21" t="str">
        <x:v>F42-I1</x:v>
      </x:c>
      <x:c r="D1652" s="21" t="str">
        <x:v>F42</x:v>
      </x:c>
      <x:c r="E1652" s="21" t="n">
        <x:v>6</x:v>
      </x:c>
      <x:c r="F1652" s="21" t="str">
        <x:v>Representative mission result</x:v>
      </x:c>
      <x:c r="G1652" s="21" t="n">
        <x:v>23</x:v>
      </x:c>
      <x:c r="H1652" s="21" t="str">
        <x:v>Receiving Service Authority</x:v>
      </x:c>
      <x:c r="I1652" s="44" t="n">
        <x:f>Lifecycle!G12</x:f>
        <x:v>0.250345872587127</x:v>
      </x:c>
      <x:c r="J1652" s="44" t="n">
        <x:v>0.08</x:v>
      </x:c>
      <x:c r="K1652" s="44" t="n">
        <x:f>I1652*J1652</x:f>
        <x:v>0.02002766980697016</x:v>
      </x:c>
      <x:c r="L1652" s="46" t="n">
        <x:v>0</x:v>
      </x:c>
      <x:c r="M1652" s="46" t="n">
        <x:v>0</x:v>
      </x:c>
      <x:c r="N1652" s="21" t="n">
        <x:f>IF(AND(L1651=1,M1651=1,P1651&gt;0),1,0)</x:f>
        <x:v>0</x:v>
      </x:c>
      <x:c r="O1652" s="21" t="n">
        <x:f>MIN('Root Data'!I499:I501)</x:f>
        <x:v>0</x:v>
      </x:c>
      <x:c r="P1652" s="44" t="n">
        <x:f>IF(AND(L1652=1,M1652=1,N1652=1,O1652&gt;=G1652),K1652,0)</x:f>
        <x:v>0</x:v>
      </x:c>
      <x:c r="Q1652" s="21" t="str">
        <x:v>OPEN</x:v>
      </x:c>
      <x:c r="R1652" s="23" t="str">
        <x:v>HOLD</x:v>
      </x:c>
    </x:row>
    <x:row r="1653">
      <x:c r="B1653" s="21" t="str">
        <x:v>AR-01647</x:v>
      </x:c>
      <x:c r="C1653" s="21" t="str">
        <x:v>F42-I1</x:v>
      </x:c>
      <x:c r="D1653" s="21" t="str">
        <x:v>F42</x:v>
      </x:c>
      <x:c r="E1653" s="21" t="n">
        <x:v>7</x:v>
      </x:c>
      <x:c r="F1653" s="21" t="str">
        <x:v>Independent reproduction</x:v>
      </x:c>
      <x:c r="G1653" s="21" t="n">
        <x:v>28</x:v>
      </x:c>
      <x:c r="H1653" s="21" t="str">
        <x:v>Independent Evidence and Data Authority</x:v>
      </x:c>
      <x:c r="I1653" s="44" t="n">
        <x:f>Lifecycle!G13</x:f>
        <x:v>0.21740562619408393</x:v>
      </x:c>
      <x:c r="J1653" s="44" t="n">
        <x:v>0.08</x:v>
      </x:c>
      <x:c r="K1653" s="44" t="n">
        <x:f>I1653*J1653</x:f>
        <x:v>0.017392450095526715</x:v>
      </x:c>
      <x:c r="L1653" s="46" t="n">
        <x:v>0</x:v>
      </x:c>
      <x:c r="M1653" s="46" t="n">
        <x:v>0</x:v>
      </x:c>
      <x:c r="N1653" s="21" t="n">
        <x:f>IF(AND(L1652=1,M1652=1,P1652&gt;0),1,0)</x:f>
        <x:v>0</x:v>
      </x:c>
      <x:c r="O1653" s="21" t="n">
        <x:f>MIN('Root Data'!I499:I501)</x:f>
        <x:v>0</x:v>
      </x:c>
      <x:c r="P1653" s="44" t="n">
        <x:f>IF(AND(L1653=1,M1653=1,N1653=1,O1653&gt;=G1653),K1653,0)</x:f>
        <x:v>0</x:v>
      </x:c>
      <x:c r="Q1653" s="21" t="str">
        <x:v>OPEN</x:v>
      </x:c>
      <x:c r="R1653" s="23" t="str">
        <x:v>HOLD</x:v>
      </x:c>
    </x:row>
    <x:row r="1654">
      <x:c r="B1654" s="21" t="str">
        <x:v>AR-01648</x:v>
      </x:c>
      <x:c r="C1654" s="21" t="str">
        <x:v>F42-I1</x:v>
      </x:c>
      <x:c r="D1654" s="21" t="str">
        <x:v>F42</x:v>
      </x:c>
      <x:c r="E1654" s="21" t="n">
        <x:v>8</x:v>
      </x:c>
      <x:c r="F1654" s="21" t="str">
        <x:v>Pilot-process qualification</x:v>
      </x:c>
      <x:c r="G1654" s="21" t="n">
        <x:v>28</x:v>
      </x:c>
      <x:c r="H1654" s="21" t="str">
        <x:v>AIMC Industrial Mobilization Authority</x:v>
      </x:c>
      <x:c r="I1654" s="44" t="n">
        <x:f>Lifecycle!G14</x:f>
        <x:v>0.03952829567165163</x:v>
      </x:c>
      <x:c r="J1654" s="44" t="n">
        <x:v>0.08</x:v>
      </x:c>
      <x:c r="K1654" s="44" t="n">
        <x:f>I1654*J1654</x:f>
        <x:v>0.0031622636537321303</x:v>
      </x:c>
      <x:c r="L1654" s="46" t="n">
        <x:v>0</x:v>
      </x:c>
      <x:c r="M1654" s="46" t="n">
        <x:v>0</x:v>
      </x:c>
      <x:c r="N1654" s="21" t="n">
        <x:f>IF(AND(L1653=1,M1653=1,P1653&gt;0),1,0)</x:f>
        <x:v>0</x:v>
      </x:c>
      <x:c r="O1654" s="21" t="n">
        <x:f>MIN('Root Data'!I499:I501)</x:f>
        <x:v>0</x:v>
      </x:c>
      <x:c r="P1654" s="44" t="n">
        <x:f>IF(AND(L1654=1,M1654=1,N1654=1,O1654&gt;=G1654),K1654,0)</x:f>
        <x:v>0</x:v>
      </x:c>
      <x:c r="Q1654" s="21" t="str">
        <x:v>OPEN</x:v>
      </x:c>
      <x:c r="R1654" s="23" t="str">
        <x:v>HOLD</x:v>
      </x:c>
    </x:row>
    <x:row r="1655">
      <x:c r="B1655" s="21" t="str">
        <x:v>AR-01649</x:v>
      </x:c>
      <x:c r="C1655" s="21" t="str">
        <x:v>F42-I1</x:v>
      </x:c>
      <x:c r="D1655" s="21" t="str">
        <x:v>F42</x:v>
      </x:c>
      <x:c r="E1655" s="21" t="n">
        <x:v>9</x:v>
      </x:c>
      <x:c r="F1655" s="21" t="str">
        <x:v>Production release package</x:v>
      </x:c>
      <x:c r="G1655" s="21" t="n">
        <x:v>28</x:v>
      </x:c>
      <x:c r="H1655" s="21" t="str">
        <x:v>Production Release Board</x:v>
      </x:c>
      <x:c r="I1655" s="44" t="n">
        <x:f>Lifecycle!G15</x:f>
        <x:v>0.01647012319652151</x:v>
      </x:c>
      <x:c r="J1655" s="44" t="n">
        <x:v>0.08</x:v>
      </x:c>
      <x:c r="K1655" s="44" t="n">
        <x:f>I1655*J1655</x:f>
        <x:v>0.0013176098557217209</x:v>
      </x:c>
      <x:c r="L1655" s="46" t="n">
        <x:v>0</x:v>
      </x:c>
      <x:c r="M1655" s="46" t="n">
        <x:v>0</x:v>
      </x:c>
      <x:c r="N1655" s="21" t="n">
        <x:f>IF(AND(L1654=1,M1654=1,P1654&gt;0),1,0)</x:f>
        <x:v>0</x:v>
      </x:c>
      <x:c r="O1655" s="21" t="n">
        <x:f>MIN('Root Data'!I499:I501)</x:f>
        <x:v>0</x:v>
      </x:c>
      <x:c r="P1655" s="44" t="n">
        <x:f>IF(AND(L1655=1,M1655=1,N1655=1,O1655&gt;=G1655),K1655,0)</x:f>
        <x:v>0</x:v>
      </x:c>
      <x:c r="Q1655" s="21" t="str">
        <x:v>OPEN</x:v>
      </x:c>
      <x:c r="R1655" s="23" t="str">
        <x:v>HOLD</x:v>
      </x:c>
    </x:row>
    <x:row r="1656">
      <x:c r="B1656" s="21" t="str">
        <x:v>AR-01650</x:v>
      </x:c>
      <x:c r="C1656" s="21" t="str">
        <x:v>F42-I1</x:v>
      </x:c>
      <x:c r="D1656" s="21" t="str">
        <x:v>F42</x:v>
      </x:c>
      <x:c r="E1656" s="21" t="n">
        <x:v>10</x:v>
      </x:c>
      <x:c r="F1656" s="21" t="str">
        <x:v>Mobilization activation</x:v>
      </x:c>
      <x:c r="G1656" s="21" t="n">
        <x:v>28</x:v>
      </x:c>
      <x:c r="H1656" s="21" t="str">
        <x:v>Production Release Board</x:v>
      </x:c>
      <x:c r="I1656" s="44" t="n">
        <x:f>Lifecycle!G16</x:f>
        <x:v>0.028262731405230914</x:v>
      </x:c>
      <x:c r="J1656" s="44" t="n">
        <x:v>0.08</x:v>
      </x:c>
      <x:c r="K1656" s="44" t="n">
        <x:f>I1656*J1656</x:f>
        <x:v>0.002261018512418473</x:v>
      </x:c>
      <x:c r="L1656" s="46" t="n">
        <x:v>0</x:v>
      </x:c>
      <x:c r="M1656" s="46" t="n">
        <x:v>0</x:v>
      </x:c>
      <x:c r="N1656" s="21" t="n">
        <x:f>IF(AND(L1655=1,M1655=1,P1655&gt;0),1,0)</x:f>
        <x:v>0</x:v>
      </x:c>
      <x:c r="O1656" s="21" t="n">
        <x:f>MIN('Root Data'!I499:I501)</x:f>
        <x:v>0</x:v>
      </x:c>
      <x:c r="P1656" s="44" t="n">
        <x:f>IF(AND(L1656=1,M1656=1,N1656=1,O1656&gt;=G1656),K1656,0)</x:f>
        <x:v>0</x:v>
      </x:c>
      <x:c r="Q1656" s="21" t="str">
        <x:v>OPEN</x:v>
      </x:c>
      <x:c r="R1656" s="23" t="str">
        <x:v>HOLD</x:v>
      </x:c>
    </x:row>
    <x:row r="1657">
      <x:c r="B1657" s="21" t="str">
        <x:v>AR-01651</x:v>
      </x:c>
      <x:c r="C1657" s="21" t="str">
        <x:v>F42-I2</x:v>
      </x:c>
      <x:c r="D1657" s="21" t="str">
        <x:v>F42</x:v>
      </x:c>
      <x:c r="E1657" s="21" t="n">
        <x:v>1</x:v>
      </x:c>
      <x:c r="F1657" s="21" t="str">
        <x:v>Civil effect charter</x:v>
      </x:c>
      <x:c r="G1657" s="21" t="n">
        <x:v>0</x:v>
      </x:c>
      <x:c r="H1657" s="21" t="str">
        <x:v>Civil Guarantee Authority</x:v>
      </x:c>
      <x:c r="I1657" s="44" t="n">
        <x:f>Lifecycle!G7</x:f>
        <x:v>0.04941036958956453</x:v>
      </x:c>
      <x:c r="J1657" s="44" t="n">
        <x:v>0.08</x:v>
      </x:c>
      <x:c r="K1657" s="44" t="n">
        <x:f>I1657*J1657</x:f>
        <x:v>0.003952829567165163</x:v>
      </x:c>
      <x:c r="L1657" s="46" t="n">
        <x:v>0</x:v>
      </x:c>
      <x:c r="M1657" s="46" t="n">
        <x:v>0</x:v>
      </x:c>
      <x:c r="N1657" s="21" t="n">
        <x:f>1</x:f>
        <x:v>1</x:v>
      </x:c>
      <x:c r="O1657" s="21" t="n">
        <x:f>MIN('Root Data'!I502:I504)</x:f>
        <x:v>0</x:v>
      </x:c>
      <x:c r="P1657" s="44" t="n">
        <x:f>IF(AND(L1657=1,M1657=1,N1657=1,O1657&gt;=G1657),K1657,0)</x:f>
        <x:v>0</x:v>
      </x:c>
      <x:c r="Q1657" s="21" t="str">
        <x:v>OPEN</x:v>
      </x:c>
      <x:c r="R1657" s="23" t="str">
        <x:v>HOLD</x:v>
      </x:c>
    </x:row>
    <x:row r="1658">
      <x:c r="B1658" s="21" t="str">
        <x:v>AR-01652</x:v>
      </x:c>
      <x:c r="C1658" s="21" t="str">
        <x:v>F42-I2</x:v>
      </x:c>
      <x:c r="D1658" s="21" t="str">
        <x:v>F42</x:v>
      </x:c>
      <x:c r="E1658" s="21" t="n">
        <x:v>2</x:v>
      </x:c>
      <x:c r="F1658" s="21" t="str">
        <x:v>Requirement and root-independence package</x:v>
      </x:c>
      <x:c r="G1658" s="21" t="n">
        <x:v>8</x:v>
      </x:c>
      <x:c r="H1658" s="21" t="str">
        <x:v>Resilience Staff</x:v>
      </x:c>
      <x:c r="I1658" s="44" t="n">
        <x:f>Lifecycle!G8</x:f>
        <x:v>0.10211476381843337</x:v>
      </x:c>
      <x:c r="J1658" s="44" t="n">
        <x:v>0.08</x:v>
      </x:c>
      <x:c r="K1658" s="44" t="n">
        <x:f>I1658*J1658</x:f>
        <x:v>0.00816918110547467</x:v>
      </x:c>
      <x:c r="L1658" s="46" t="n">
        <x:v>0</x:v>
      </x:c>
      <x:c r="M1658" s="46" t="n">
        <x:v>0</x:v>
      </x:c>
      <x:c r="N1658" s="21" t="n">
        <x:f>IF(AND(L1657=1,M1657=1,P1657&gt;0),1,0)</x:f>
        <x:v>0</x:v>
      </x:c>
      <x:c r="O1658" s="21" t="n">
        <x:f>MIN('Root Data'!I502:I504)</x:f>
        <x:v>0</x:v>
      </x:c>
      <x:c r="P1658" s="44" t="n">
        <x:f>IF(AND(L1658=1,M1658=1,N1658=1,O1658&gt;=G1658),K1658,0)</x:f>
        <x:v>0</x:v>
      </x:c>
      <x:c r="Q1658" s="21" t="str">
        <x:v>OPEN</x:v>
      </x:c>
      <x:c r="R1658" s="23" t="str">
        <x:v>HOLD</x:v>
      </x:c>
    </x:row>
    <x:row r="1659">
      <x:c r="B1659" s="21" t="str">
        <x:v>AR-01653</x:v>
      </x:c>
      <x:c r="C1659" s="21" t="str">
        <x:v>F42-I2</x:v>
      </x:c>
      <x:c r="D1659" s="21" t="str">
        <x:v>F42</x:v>
      </x:c>
      <x:c r="E1659" s="21" t="n">
        <x:v>3</x:v>
      </x:c>
      <x:c r="F1659" s="21" t="str">
        <x:v>Architecture and burden closure</x:v>
      </x:c>
      <x:c r="G1659" s="21" t="n">
        <x:v>14</x:v>
      </x:c>
      <x:c r="H1659" s="21" t="str">
        <x:v>Independent Evidence and Data Authority</x:v>
      </x:c>
      <x:c r="I1659" s="44" t="n">
        <x:f>Lifecycle!G9</x:f>
        <x:v>0.08564464062191186</x:v>
      </x:c>
      <x:c r="J1659" s="44" t="n">
        <x:v>0.08</x:v>
      </x:c>
      <x:c r="K1659" s="44" t="n">
        <x:f>I1659*J1659</x:f>
        <x:v>0.006851571249752949</x:v>
      </x:c>
      <x:c r="L1659" s="46" t="n">
        <x:v>0</x:v>
      </x:c>
      <x:c r="M1659" s="46" t="n">
        <x:v>0</x:v>
      </x:c>
      <x:c r="N1659" s="21" t="n">
        <x:f>IF(AND(L1658=1,M1658=1,P1658&gt;0),1,0)</x:f>
        <x:v>0</x:v>
      </x:c>
      <x:c r="O1659" s="21" t="n">
        <x:f>MIN('Root Data'!I502:I504)</x:f>
        <x:v>0</x:v>
      </x:c>
      <x:c r="P1659" s="44" t="n">
        <x:f>IF(AND(L1659=1,M1659=1,N1659=1,O1659&gt;=G1659),K1659,0)</x:f>
        <x:v>0</x:v>
      </x:c>
      <x:c r="Q1659" s="21" t="str">
        <x:v>OPEN</x:v>
      </x:c>
      <x:c r="R1659" s="23" t="str">
        <x:v>HOLD</x:v>
      </x:c>
    </x:row>
    <x:row r="1660">
      <x:c r="B1660" s="21" t="str">
        <x:v>AR-01654</x:v>
      </x:c>
      <x:c r="C1660" s="21" t="str">
        <x:v>F42-I2</x:v>
      </x:c>
      <x:c r="D1660" s="21" t="str">
        <x:v>F42</x:v>
      </x:c>
      <x:c r="E1660" s="21" t="n">
        <x:v>4</x:v>
      </x:c>
      <x:c r="F1660" s="21" t="str">
        <x:v>Engineering article acceptance</x:v>
      </x:c>
      <x:c r="G1660" s="21" t="n">
        <x:v>18</x:v>
      </x:c>
      <x:c r="H1660" s="21" t="str">
        <x:v>Independent Evidence and Data Authority</x:v>
      </x:c>
      <x:c r="I1660" s="44" t="n">
        <x:f>Lifecycle!G10</x:f>
        <x:v>0.05929244350747744</x:v>
      </x:c>
      <x:c r="J1660" s="44" t="n">
        <x:v>0.08</x:v>
      </x:c>
      <x:c r="K1660" s="44" t="n">
        <x:f>I1660*J1660</x:f>
        <x:v>0.004743395480598196</x:v>
      </x:c>
      <x:c r="L1660" s="46" t="n">
        <x:v>0</x:v>
      </x:c>
      <x:c r="M1660" s="46" t="n">
        <x:v>0</x:v>
      </x:c>
      <x:c r="N1660" s="21" t="n">
        <x:f>IF(AND(L1659=1,M1659=1,P1659&gt;0),1,0)</x:f>
        <x:v>0</x:v>
      </x:c>
      <x:c r="O1660" s="21" t="n">
        <x:f>MIN('Root Data'!I502:I504)</x:f>
        <x:v>0</x:v>
      </x:c>
      <x:c r="P1660" s="44" t="n">
        <x:f>IF(AND(L1660=1,M1660=1,N1660=1,O1660&gt;=G1660),K1660,0)</x:f>
        <x:v>0</x:v>
      </x:c>
      <x:c r="Q1660" s="21" t="str">
        <x:v>OPEN</x:v>
      </x:c>
      <x:c r="R1660" s="23" t="str">
        <x:v>HOLD</x:v>
      </x:c>
    </x:row>
    <x:row r="1661">
      <x:c r="B1661" s="21" t="str">
        <x:v>AR-01655</x:v>
      </x:c>
      <x:c r="C1661" s="21" t="str">
        <x:v>F42-I2</x:v>
      </x:c>
      <x:c r="D1661" s="21" t="str">
        <x:v>F42</x:v>
      </x:c>
      <x:c r="E1661" s="21" t="n">
        <x:v>5</x:v>
      </x:c>
      <x:c r="F1661" s="21" t="str">
        <x:v>Qualification and destructive evidence</x:v>
      </x:c>
      <x:c r="G1661" s="21" t="n">
        <x:v>21</x:v>
      </x:c>
      <x:c r="H1661" s="21" t="str">
        <x:v>Independent Evidence and Data Authority</x:v>
      </x:c>
      <x:c r="I1661" s="44" t="n">
        <x:f>Lifecycle!G11</x:f>
        <x:v>0.1515251334079979</x:v>
      </x:c>
      <x:c r="J1661" s="44" t="n">
        <x:v>0.08</x:v>
      </x:c>
      <x:c r="K1661" s="44" t="n">
        <x:f>I1661*J1661</x:f>
        <x:v>0.012122010672639832</x:v>
      </x:c>
      <x:c r="L1661" s="46" t="n">
        <x:v>0</x:v>
      </x:c>
      <x:c r="M1661" s="46" t="n">
        <x:v>0</x:v>
      </x:c>
      <x:c r="N1661" s="21" t="n">
        <x:f>IF(AND(L1660=1,M1660=1,P1660&gt;0),1,0)</x:f>
        <x:v>0</x:v>
      </x:c>
      <x:c r="O1661" s="21" t="n">
        <x:f>MIN('Root Data'!I502:I504)</x:f>
        <x:v>0</x:v>
      </x:c>
      <x:c r="P1661" s="44" t="n">
        <x:f>IF(AND(L1661=1,M1661=1,N1661=1,O1661&gt;=G1661),K1661,0)</x:f>
        <x:v>0</x:v>
      </x:c>
      <x:c r="Q1661" s="21" t="str">
        <x:v>OPEN</x:v>
      </x:c>
      <x:c r="R1661" s="23" t="str">
        <x:v>HOLD</x:v>
      </x:c>
    </x:row>
    <x:row r="1662">
      <x:c r="B1662" s="21" t="str">
        <x:v>AR-01656</x:v>
      </x:c>
      <x:c r="C1662" s="21" t="str">
        <x:v>F42-I2</x:v>
      </x:c>
      <x:c r="D1662" s="21" t="str">
        <x:v>F42</x:v>
      </x:c>
      <x:c r="E1662" s="21" t="n">
        <x:v>6</x:v>
      </x:c>
      <x:c r="F1662" s="21" t="str">
        <x:v>Representative mission result</x:v>
      </x:c>
      <x:c r="G1662" s="21" t="n">
        <x:v>23</x:v>
      </x:c>
      <x:c r="H1662" s="21" t="str">
        <x:v>Receiving Service Authority</x:v>
      </x:c>
      <x:c r="I1662" s="44" t="n">
        <x:f>Lifecycle!G12</x:f>
        <x:v>0.250345872587127</x:v>
      </x:c>
      <x:c r="J1662" s="44" t="n">
        <x:v>0.08</x:v>
      </x:c>
      <x:c r="K1662" s="44" t="n">
        <x:f>I1662*J1662</x:f>
        <x:v>0.02002766980697016</x:v>
      </x:c>
      <x:c r="L1662" s="46" t="n">
        <x:v>0</x:v>
      </x:c>
      <x:c r="M1662" s="46" t="n">
        <x:v>0</x:v>
      </x:c>
      <x:c r="N1662" s="21" t="n">
        <x:f>IF(AND(L1661=1,M1661=1,P1661&gt;0),1,0)</x:f>
        <x:v>0</x:v>
      </x:c>
      <x:c r="O1662" s="21" t="n">
        <x:f>MIN('Root Data'!I502:I504)</x:f>
        <x:v>0</x:v>
      </x:c>
      <x:c r="P1662" s="44" t="n">
        <x:f>IF(AND(L1662=1,M1662=1,N1662=1,O1662&gt;=G1662),K1662,0)</x:f>
        <x:v>0</x:v>
      </x:c>
      <x:c r="Q1662" s="21" t="str">
        <x:v>OPEN</x:v>
      </x:c>
      <x:c r="R1662" s="23" t="str">
        <x:v>HOLD</x:v>
      </x:c>
    </x:row>
    <x:row r="1663">
      <x:c r="B1663" s="21" t="str">
        <x:v>AR-01657</x:v>
      </x:c>
      <x:c r="C1663" s="21" t="str">
        <x:v>F42-I2</x:v>
      </x:c>
      <x:c r="D1663" s="21" t="str">
        <x:v>F42</x:v>
      </x:c>
      <x:c r="E1663" s="21" t="n">
        <x:v>7</x:v>
      </x:c>
      <x:c r="F1663" s="21" t="str">
        <x:v>Independent reproduction</x:v>
      </x:c>
      <x:c r="G1663" s="21" t="n">
        <x:v>28</x:v>
      </x:c>
      <x:c r="H1663" s="21" t="str">
        <x:v>Independent Evidence and Data Authority</x:v>
      </x:c>
      <x:c r="I1663" s="44" t="n">
        <x:f>Lifecycle!G13</x:f>
        <x:v>0.21740562619408393</x:v>
      </x:c>
      <x:c r="J1663" s="44" t="n">
        <x:v>0.08</x:v>
      </x:c>
      <x:c r="K1663" s="44" t="n">
        <x:f>I1663*J1663</x:f>
        <x:v>0.017392450095526715</x:v>
      </x:c>
      <x:c r="L1663" s="46" t="n">
        <x:v>0</x:v>
      </x:c>
      <x:c r="M1663" s="46" t="n">
        <x:v>0</x:v>
      </x:c>
      <x:c r="N1663" s="21" t="n">
        <x:f>IF(AND(L1662=1,M1662=1,P1662&gt;0),1,0)</x:f>
        <x:v>0</x:v>
      </x:c>
      <x:c r="O1663" s="21" t="n">
        <x:f>MIN('Root Data'!I502:I504)</x:f>
        <x:v>0</x:v>
      </x:c>
      <x:c r="P1663" s="44" t="n">
        <x:f>IF(AND(L1663=1,M1663=1,N1663=1,O1663&gt;=G1663),K1663,0)</x:f>
        <x:v>0</x:v>
      </x:c>
      <x:c r="Q1663" s="21" t="str">
        <x:v>OPEN</x:v>
      </x:c>
      <x:c r="R1663" s="23" t="str">
        <x:v>HOLD</x:v>
      </x:c>
    </x:row>
    <x:row r="1664">
      <x:c r="B1664" s="21" t="str">
        <x:v>AR-01658</x:v>
      </x:c>
      <x:c r="C1664" s="21" t="str">
        <x:v>F42-I2</x:v>
      </x:c>
      <x:c r="D1664" s="21" t="str">
        <x:v>F42</x:v>
      </x:c>
      <x:c r="E1664" s="21" t="n">
        <x:v>8</x:v>
      </x:c>
      <x:c r="F1664" s="21" t="str">
        <x:v>Pilot-process qualification</x:v>
      </x:c>
      <x:c r="G1664" s="21" t="n">
        <x:v>28</x:v>
      </x:c>
      <x:c r="H1664" s="21" t="str">
        <x:v>AIMC Industrial Mobilization Authority</x:v>
      </x:c>
      <x:c r="I1664" s="44" t="n">
        <x:f>Lifecycle!G14</x:f>
        <x:v>0.03952829567165163</x:v>
      </x:c>
      <x:c r="J1664" s="44" t="n">
        <x:v>0.08</x:v>
      </x:c>
      <x:c r="K1664" s="44" t="n">
        <x:f>I1664*J1664</x:f>
        <x:v>0.0031622636537321303</x:v>
      </x:c>
      <x:c r="L1664" s="46" t="n">
        <x:v>0</x:v>
      </x:c>
      <x:c r="M1664" s="46" t="n">
        <x:v>0</x:v>
      </x:c>
      <x:c r="N1664" s="21" t="n">
        <x:f>IF(AND(L1663=1,M1663=1,P1663&gt;0),1,0)</x:f>
        <x:v>0</x:v>
      </x:c>
      <x:c r="O1664" s="21" t="n">
        <x:f>MIN('Root Data'!I502:I504)</x:f>
        <x:v>0</x:v>
      </x:c>
      <x:c r="P1664" s="44" t="n">
        <x:f>IF(AND(L1664=1,M1664=1,N1664=1,O1664&gt;=G1664),K1664,0)</x:f>
        <x:v>0</x:v>
      </x:c>
      <x:c r="Q1664" s="21" t="str">
        <x:v>OPEN</x:v>
      </x:c>
      <x:c r="R1664" s="23" t="str">
        <x:v>HOLD</x:v>
      </x:c>
    </x:row>
    <x:row r="1665">
      <x:c r="B1665" s="21" t="str">
        <x:v>AR-01659</x:v>
      </x:c>
      <x:c r="C1665" s="21" t="str">
        <x:v>F42-I2</x:v>
      </x:c>
      <x:c r="D1665" s="21" t="str">
        <x:v>F42</x:v>
      </x:c>
      <x:c r="E1665" s="21" t="n">
        <x:v>9</x:v>
      </x:c>
      <x:c r="F1665" s="21" t="str">
        <x:v>Production release package</x:v>
      </x:c>
      <x:c r="G1665" s="21" t="n">
        <x:v>28</x:v>
      </x:c>
      <x:c r="H1665" s="21" t="str">
        <x:v>Production Release Board</x:v>
      </x:c>
      <x:c r="I1665" s="44" t="n">
        <x:f>Lifecycle!G15</x:f>
        <x:v>0.01647012319652151</x:v>
      </x:c>
      <x:c r="J1665" s="44" t="n">
        <x:v>0.08</x:v>
      </x:c>
      <x:c r="K1665" s="44" t="n">
        <x:f>I1665*J1665</x:f>
        <x:v>0.0013176098557217209</x:v>
      </x:c>
      <x:c r="L1665" s="46" t="n">
        <x:v>0</x:v>
      </x:c>
      <x:c r="M1665" s="46" t="n">
        <x:v>0</x:v>
      </x:c>
      <x:c r="N1665" s="21" t="n">
        <x:f>IF(AND(L1664=1,M1664=1,P1664&gt;0),1,0)</x:f>
        <x:v>0</x:v>
      </x:c>
      <x:c r="O1665" s="21" t="n">
        <x:f>MIN('Root Data'!I502:I504)</x:f>
        <x:v>0</x:v>
      </x:c>
      <x:c r="P1665" s="44" t="n">
        <x:f>IF(AND(L1665=1,M1665=1,N1665=1,O1665&gt;=G1665),K1665,0)</x:f>
        <x:v>0</x:v>
      </x:c>
      <x:c r="Q1665" s="21" t="str">
        <x:v>OPEN</x:v>
      </x:c>
      <x:c r="R1665" s="23" t="str">
        <x:v>HOLD</x:v>
      </x:c>
    </x:row>
    <x:row r="1666">
      <x:c r="B1666" s="21" t="str">
        <x:v>AR-01660</x:v>
      </x:c>
      <x:c r="C1666" s="21" t="str">
        <x:v>F42-I2</x:v>
      </x:c>
      <x:c r="D1666" s="21" t="str">
        <x:v>F42</x:v>
      </x:c>
      <x:c r="E1666" s="21" t="n">
        <x:v>10</x:v>
      </x:c>
      <x:c r="F1666" s="21" t="str">
        <x:v>Mobilization activation</x:v>
      </x:c>
      <x:c r="G1666" s="21" t="n">
        <x:v>28</x:v>
      </x:c>
      <x:c r="H1666" s="21" t="str">
        <x:v>Production Release Board</x:v>
      </x:c>
      <x:c r="I1666" s="44" t="n">
        <x:f>Lifecycle!G16</x:f>
        <x:v>0.028262731405230914</x:v>
      </x:c>
      <x:c r="J1666" s="44" t="n">
        <x:v>0.08</x:v>
      </x:c>
      <x:c r="K1666" s="44" t="n">
        <x:f>I1666*J1666</x:f>
        <x:v>0.002261018512418473</x:v>
      </x:c>
      <x:c r="L1666" s="46" t="n">
        <x:v>0</x:v>
      </x:c>
      <x:c r="M1666" s="46" t="n">
        <x:v>0</x:v>
      </x:c>
      <x:c r="N1666" s="21" t="n">
        <x:f>IF(AND(L1665=1,M1665=1,P1665&gt;0),1,0)</x:f>
        <x:v>0</x:v>
      </x:c>
      <x:c r="O1666" s="21" t="n">
        <x:f>MIN('Root Data'!I502:I504)</x:f>
        <x:v>0</x:v>
      </x:c>
      <x:c r="P1666" s="44" t="n">
        <x:f>IF(AND(L1666=1,M1666=1,N1666=1,O1666&gt;=G1666),K1666,0)</x:f>
        <x:v>0</x:v>
      </x:c>
      <x:c r="Q1666" s="21" t="str">
        <x:v>OPEN</x:v>
      </x:c>
      <x:c r="R1666" s="23" t="str">
        <x:v>HOLD</x:v>
      </x:c>
    </x:row>
    <x:row r="1667">
      <x:c r="B1667" s="21" t="str">
        <x:v>AR-01661</x:v>
      </x:c>
      <x:c r="C1667" s="21" t="str">
        <x:v>F42-I3</x:v>
      </x:c>
      <x:c r="D1667" s="21" t="str">
        <x:v>F42</x:v>
      </x:c>
      <x:c r="E1667" s="21" t="n">
        <x:v>1</x:v>
      </x:c>
      <x:c r="F1667" s="21" t="str">
        <x:v>Civil effect charter</x:v>
      </x:c>
      <x:c r="G1667" s="21" t="n">
        <x:v>0</x:v>
      </x:c>
      <x:c r="H1667" s="21" t="str">
        <x:v>Civil Guarantee Authority</x:v>
      </x:c>
      <x:c r="I1667" s="44" t="n">
        <x:f>Lifecycle!G7</x:f>
        <x:v>0.04941036958956453</x:v>
      </x:c>
      <x:c r="J1667" s="44" t="n">
        <x:v>0.08</x:v>
      </x:c>
      <x:c r="K1667" s="44" t="n">
        <x:f>I1667*J1667</x:f>
        <x:v>0.003952829567165163</x:v>
      </x:c>
      <x:c r="L1667" s="46" t="n">
        <x:v>0</x:v>
      </x:c>
      <x:c r="M1667" s="46" t="n">
        <x:v>0</x:v>
      </x:c>
      <x:c r="N1667" s="21" t="n">
        <x:f>1</x:f>
        <x:v>1</x:v>
      </x:c>
      <x:c r="O1667" s="21" t="n">
        <x:f>MIN('Root Data'!I505:I507)</x:f>
        <x:v>0</x:v>
      </x:c>
      <x:c r="P1667" s="44" t="n">
        <x:f>IF(AND(L1667=1,M1667=1,N1667=1,O1667&gt;=G1667),K1667,0)</x:f>
        <x:v>0</x:v>
      </x:c>
      <x:c r="Q1667" s="21" t="str">
        <x:v>OPEN</x:v>
      </x:c>
      <x:c r="R1667" s="23" t="str">
        <x:v>HOLD</x:v>
      </x:c>
    </x:row>
    <x:row r="1668">
      <x:c r="B1668" s="21" t="str">
        <x:v>AR-01662</x:v>
      </x:c>
      <x:c r="C1668" s="21" t="str">
        <x:v>F42-I3</x:v>
      </x:c>
      <x:c r="D1668" s="21" t="str">
        <x:v>F42</x:v>
      </x:c>
      <x:c r="E1668" s="21" t="n">
        <x:v>2</x:v>
      </x:c>
      <x:c r="F1668" s="21" t="str">
        <x:v>Requirement and root-independence package</x:v>
      </x:c>
      <x:c r="G1668" s="21" t="n">
        <x:v>8</x:v>
      </x:c>
      <x:c r="H1668" s="21" t="str">
        <x:v>Resilience Staff</x:v>
      </x:c>
      <x:c r="I1668" s="44" t="n">
        <x:f>Lifecycle!G8</x:f>
        <x:v>0.10211476381843337</x:v>
      </x:c>
      <x:c r="J1668" s="44" t="n">
        <x:v>0.08</x:v>
      </x:c>
      <x:c r="K1668" s="44" t="n">
        <x:f>I1668*J1668</x:f>
        <x:v>0.00816918110547467</x:v>
      </x:c>
      <x:c r="L1668" s="46" t="n">
        <x:v>0</x:v>
      </x:c>
      <x:c r="M1668" s="46" t="n">
        <x:v>0</x:v>
      </x:c>
      <x:c r="N1668" s="21" t="n">
        <x:f>IF(AND(L1667=1,M1667=1,P1667&gt;0),1,0)</x:f>
        <x:v>0</x:v>
      </x:c>
      <x:c r="O1668" s="21" t="n">
        <x:f>MIN('Root Data'!I505:I507)</x:f>
        <x:v>0</x:v>
      </x:c>
      <x:c r="P1668" s="44" t="n">
        <x:f>IF(AND(L1668=1,M1668=1,N1668=1,O1668&gt;=G1668),K1668,0)</x:f>
        <x:v>0</x:v>
      </x:c>
      <x:c r="Q1668" s="21" t="str">
        <x:v>OPEN</x:v>
      </x:c>
      <x:c r="R1668" s="23" t="str">
        <x:v>HOLD</x:v>
      </x:c>
    </x:row>
    <x:row r="1669">
      <x:c r="B1669" s="21" t="str">
        <x:v>AR-01663</x:v>
      </x:c>
      <x:c r="C1669" s="21" t="str">
        <x:v>F42-I3</x:v>
      </x:c>
      <x:c r="D1669" s="21" t="str">
        <x:v>F42</x:v>
      </x:c>
      <x:c r="E1669" s="21" t="n">
        <x:v>3</x:v>
      </x:c>
      <x:c r="F1669" s="21" t="str">
        <x:v>Architecture and burden closure</x:v>
      </x:c>
      <x:c r="G1669" s="21" t="n">
        <x:v>14</x:v>
      </x:c>
      <x:c r="H1669" s="21" t="str">
        <x:v>Independent Evidence and Data Authority</x:v>
      </x:c>
      <x:c r="I1669" s="44" t="n">
        <x:f>Lifecycle!G9</x:f>
        <x:v>0.08564464062191186</x:v>
      </x:c>
      <x:c r="J1669" s="44" t="n">
        <x:v>0.08</x:v>
      </x:c>
      <x:c r="K1669" s="44" t="n">
        <x:f>I1669*J1669</x:f>
        <x:v>0.006851571249752949</x:v>
      </x:c>
      <x:c r="L1669" s="46" t="n">
        <x:v>0</x:v>
      </x:c>
      <x:c r="M1669" s="46" t="n">
        <x:v>0</x:v>
      </x:c>
      <x:c r="N1669" s="21" t="n">
        <x:f>IF(AND(L1668=1,M1668=1,P1668&gt;0),1,0)</x:f>
        <x:v>0</x:v>
      </x:c>
      <x:c r="O1669" s="21" t="n">
        <x:f>MIN('Root Data'!I505:I507)</x:f>
        <x:v>0</x:v>
      </x:c>
      <x:c r="P1669" s="44" t="n">
        <x:f>IF(AND(L1669=1,M1669=1,N1669=1,O1669&gt;=G1669),K1669,0)</x:f>
        <x:v>0</x:v>
      </x:c>
      <x:c r="Q1669" s="21" t="str">
        <x:v>OPEN</x:v>
      </x:c>
      <x:c r="R1669" s="23" t="str">
        <x:v>HOLD</x:v>
      </x:c>
    </x:row>
    <x:row r="1670">
      <x:c r="B1670" s="21" t="str">
        <x:v>AR-01664</x:v>
      </x:c>
      <x:c r="C1670" s="21" t="str">
        <x:v>F42-I3</x:v>
      </x:c>
      <x:c r="D1670" s="21" t="str">
        <x:v>F42</x:v>
      </x:c>
      <x:c r="E1670" s="21" t="n">
        <x:v>4</x:v>
      </x:c>
      <x:c r="F1670" s="21" t="str">
        <x:v>Engineering article acceptance</x:v>
      </x:c>
      <x:c r="G1670" s="21" t="n">
        <x:v>18</x:v>
      </x:c>
      <x:c r="H1670" s="21" t="str">
        <x:v>Independent Evidence and Data Authority</x:v>
      </x:c>
      <x:c r="I1670" s="44" t="n">
        <x:f>Lifecycle!G10</x:f>
        <x:v>0.05929244350747744</x:v>
      </x:c>
      <x:c r="J1670" s="44" t="n">
        <x:v>0.08</x:v>
      </x:c>
      <x:c r="K1670" s="44" t="n">
        <x:f>I1670*J1670</x:f>
        <x:v>0.004743395480598196</x:v>
      </x:c>
      <x:c r="L1670" s="46" t="n">
        <x:v>0</x:v>
      </x:c>
      <x:c r="M1670" s="46" t="n">
        <x:v>0</x:v>
      </x:c>
      <x:c r="N1670" s="21" t="n">
        <x:f>IF(AND(L1669=1,M1669=1,P1669&gt;0),1,0)</x:f>
        <x:v>0</x:v>
      </x:c>
      <x:c r="O1670" s="21" t="n">
        <x:f>MIN('Root Data'!I505:I507)</x:f>
        <x:v>0</x:v>
      </x:c>
      <x:c r="P1670" s="44" t="n">
        <x:f>IF(AND(L1670=1,M1670=1,N1670=1,O1670&gt;=G1670),K1670,0)</x:f>
        <x:v>0</x:v>
      </x:c>
      <x:c r="Q1670" s="21" t="str">
        <x:v>OPEN</x:v>
      </x:c>
      <x:c r="R1670" s="23" t="str">
        <x:v>HOLD</x:v>
      </x:c>
    </x:row>
    <x:row r="1671">
      <x:c r="B1671" s="21" t="str">
        <x:v>AR-01665</x:v>
      </x:c>
      <x:c r="C1671" s="21" t="str">
        <x:v>F42-I3</x:v>
      </x:c>
      <x:c r="D1671" s="21" t="str">
        <x:v>F42</x:v>
      </x:c>
      <x:c r="E1671" s="21" t="n">
        <x:v>5</x:v>
      </x:c>
      <x:c r="F1671" s="21" t="str">
        <x:v>Qualification and destructive evidence</x:v>
      </x:c>
      <x:c r="G1671" s="21" t="n">
        <x:v>21</x:v>
      </x:c>
      <x:c r="H1671" s="21" t="str">
        <x:v>Independent Evidence and Data Authority</x:v>
      </x:c>
      <x:c r="I1671" s="44" t="n">
        <x:f>Lifecycle!G11</x:f>
        <x:v>0.1515251334079979</x:v>
      </x:c>
      <x:c r="J1671" s="44" t="n">
        <x:v>0.08</x:v>
      </x:c>
      <x:c r="K1671" s="44" t="n">
        <x:f>I1671*J1671</x:f>
        <x:v>0.012122010672639832</x:v>
      </x:c>
      <x:c r="L1671" s="46" t="n">
        <x:v>0</x:v>
      </x:c>
      <x:c r="M1671" s="46" t="n">
        <x:v>0</x:v>
      </x:c>
      <x:c r="N1671" s="21" t="n">
        <x:f>IF(AND(L1670=1,M1670=1,P1670&gt;0),1,0)</x:f>
        <x:v>0</x:v>
      </x:c>
      <x:c r="O1671" s="21" t="n">
        <x:f>MIN('Root Data'!I505:I507)</x:f>
        <x:v>0</x:v>
      </x:c>
      <x:c r="P1671" s="44" t="n">
        <x:f>IF(AND(L1671=1,M1671=1,N1671=1,O1671&gt;=G1671),K1671,0)</x:f>
        <x:v>0</x:v>
      </x:c>
      <x:c r="Q1671" s="21" t="str">
        <x:v>OPEN</x:v>
      </x:c>
      <x:c r="R1671" s="23" t="str">
        <x:v>HOLD</x:v>
      </x:c>
    </x:row>
    <x:row r="1672">
      <x:c r="B1672" s="21" t="str">
        <x:v>AR-01666</x:v>
      </x:c>
      <x:c r="C1672" s="21" t="str">
        <x:v>F42-I3</x:v>
      </x:c>
      <x:c r="D1672" s="21" t="str">
        <x:v>F42</x:v>
      </x:c>
      <x:c r="E1672" s="21" t="n">
        <x:v>6</x:v>
      </x:c>
      <x:c r="F1672" s="21" t="str">
        <x:v>Representative mission result</x:v>
      </x:c>
      <x:c r="G1672" s="21" t="n">
        <x:v>23</x:v>
      </x:c>
      <x:c r="H1672" s="21" t="str">
        <x:v>Receiving Service Authority</x:v>
      </x:c>
      <x:c r="I1672" s="44" t="n">
        <x:f>Lifecycle!G12</x:f>
        <x:v>0.250345872587127</x:v>
      </x:c>
      <x:c r="J1672" s="44" t="n">
        <x:v>0.08</x:v>
      </x:c>
      <x:c r="K1672" s="44" t="n">
        <x:f>I1672*J1672</x:f>
        <x:v>0.02002766980697016</x:v>
      </x:c>
      <x:c r="L1672" s="46" t="n">
        <x:v>0</x:v>
      </x:c>
      <x:c r="M1672" s="46" t="n">
        <x:v>0</x:v>
      </x:c>
      <x:c r="N1672" s="21" t="n">
        <x:f>IF(AND(L1671=1,M1671=1,P1671&gt;0),1,0)</x:f>
        <x:v>0</x:v>
      </x:c>
      <x:c r="O1672" s="21" t="n">
        <x:f>MIN('Root Data'!I505:I507)</x:f>
        <x:v>0</x:v>
      </x:c>
      <x:c r="P1672" s="44" t="n">
        <x:f>IF(AND(L1672=1,M1672=1,N1672=1,O1672&gt;=G1672),K1672,0)</x:f>
        <x:v>0</x:v>
      </x:c>
      <x:c r="Q1672" s="21" t="str">
        <x:v>OPEN</x:v>
      </x:c>
      <x:c r="R1672" s="23" t="str">
        <x:v>HOLD</x:v>
      </x:c>
    </x:row>
    <x:row r="1673">
      <x:c r="B1673" s="21" t="str">
        <x:v>AR-01667</x:v>
      </x:c>
      <x:c r="C1673" s="21" t="str">
        <x:v>F42-I3</x:v>
      </x:c>
      <x:c r="D1673" s="21" t="str">
        <x:v>F42</x:v>
      </x:c>
      <x:c r="E1673" s="21" t="n">
        <x:v>7</x:v>
      </x:c>
      <x:c r="F1673" s="21" t="str">
        <x:v>Independent reproduction</x:v>
      </x:c>
      <x:c r="G1673" s="21" t="n">
        <x:v>28</x:v>
      </x:c>
      <x:c r="H1673" s="21" t="str">
        <x:v>Independent Evidence and Data Authority</x:v>
      </x:c>
      <x:c r="I1673" s="44" t="n">
        <x:f>Lifecycle!G13</x:f>
        <x:v>0.21740562619408393</x:v>
      </x:c>
      <x:c r="J1673" s="44" t="n">
        <x:v>0.08</x:v>
      </x:c>
      <x:c r="K1673" s="44" t="n">
        <x:f>I1673*J1673</x:f>
        <x:v>0.017392450095526715</x:v>
      </x:c>
      <x:c r="L1673" s="46" t="n">
        <x:v>0</x:v>
      </x:c>
      <x:c r="M1673" s="46" t="n">
        <x:v>0</x:v>
      </x:c>
      <x:c r="N1673" s="21" t="n">
        <x:f>IF(AND(L1672=1,M1672=1,P1672&gt;0),1,0)</x:f>
        <x:v>0</x:v>
      </x:c>
      <x:c r="O1673" s="21" t="n">
        <x:f>MIN('Root Data'!I505:I507)</x:f>
        <x:v>0</x:v>
      </x:c>
      <x:c r="P1673" s="44" t="n">
        <x:f>IF(AND(L1673=1,M1673=1,N1673=1,O1673&gt;=G1673),K1673,0)</x:f>
        <x:v>0</x:v>
      </x:c>
      <x:c r="Q1673" s="21" t="str">
        <x:v>OPEN</x:v>
      </x:c>
      <x:c r="R1673" s="23" t="str">
        <x:v>HOLD</x:v>
      </x:c>
    </x:row>
    <x:row r="1674">
      <x:c r="B1674" s="21" t="str">
        <x:v>AR-01668</x:v>
      </x:c>
      <x:c r="C1674" s="21" t="str">
        <x:v>F42-I3</x:v>
      </x:c>
      <x:c r="D1674" s="21" t="str">
        <x:v>F42</x:v>
      </x:c>
      <x:c r="E1674" s="21" t="n">
        <x:v>8</x:v>
      </x:c>
      <x:c r="F1674" s="21" t="str">
        <x:v>Pilot-process qualification</x:v>
      </x:c>
      <x:c r="G1674" s="21" t="n">
        <x:v>28</x:v>
      </x:c>
      <x:c r="H1674" s="21" t="str">
        <x:v>AIMC Industrial Mobilization Authority</x:v>
      </x:c>
      <x:c r="I1674" s="44" t="n">
        <x:f>Lifecycle!G14</x:f>
        <x:v>0.03952829567165163</x:v>
      </x:c>
      <x:c r="J1674" s="44" t="n">
        <x:v>0.08</x:v>
      </x:c>
      <x:c r="K1674" s="44" t="n">
        <x:f>I1674*J1674</x:f>
        <x:v>0.0031622636537321303</x:v>
      </x:c>
      <x:c r="L1674" s="46" t="n">
        <x:v>0</x:v>
      </x:c>
      <x:c r="M1674" s="46" t="n">
        <x:v>0</x:v>
      </x:c>
      <x:c r="N1674" s="21" t="n">
        <x:f>IF(AND(L1673=1,M1673=1,P1673&gt;0),1,0)</x:f>
        <x:v>0</x:v>
      </x:c>
      <x:c r="O1674" s="21" t="n">
        <x:f>MIN('Root Data'!I505:I507)</x:f>
        <x:v>0</x:v>
      </x:c>
      <x:c r="P1674" s="44" t="n">
        <x:f>IF(AND(L1674=1,M1674=1,N1674=1,O1674&gt;=G1674),K1674,0)</x:f>
        <x:v>0</x:v>
      </x:c>
      <x:c r="Q1674" s="21" t="str">
        <x:v>OPEN</x:v>
      </x:c>
      <x:c r="R1674" s="23" t="str">
        <x:v>HOLD</x:v>
      </x:c>
    </x:row>
    <x:row r="1675">
      <x:c r="B1675" s="21" t="str">
        <x:v>AR-01669</x:v>
      </x:c>
      <x:c r="C1675" s="21" t="str">
        <x:v>F42-I3</x:v>
      </x:c>
      <x:c r="D1675" s="21" t="str">
        <x:v>F42</x:v>
      </x:c>
      <x:c r="E1675" s="21" t="n">
        <x:v>9</x:v>
      </x:c>
      <x:c r="F1675" s="21" t="str">
        <x:v>Production release package</x:v>
      </x:c>
      <x:c r="G1675" s="21" t="n">
        <x:v>28</x:v>
      </x:c>
      <x:c r="H1675" s="21" t="str">
        <x:v>Production Release Board</x:v>
      </x:c>
      <x:c r="I1675" s="44" t="n">
        <x:f>Lifecycle!G15</x:f>
        <x:v>0.01647012319652151</x:v>
      </x:c>
      <x:c r="J1675" s="44" t="n">
        <x:v>0.08</x:v>
      </x:c>
      <x:c r="K1675" s="44" t="n">
        <x:f>I1675*J1675</x:f>
        <x:v>0.0013176098557217209</x:v>
      </x:c>
      <x:c r="L1675" s="46" t="n">
        <x:v>0</x:v>
      </x:c>
      <x:c r="M1675" s="46" t="n">
        <x:v>0</x:v>
      </x:c>
      <x:c r="N1675" s="21" t="n">
        <x:f>IF(AND(L1674=1,M1674=1,P1674&gt;0),1,0)</x:f>
        <x:v>0</x:v>
      </x:c>
      <x:c r="O1675" s="21" t="n">
        <x:f>MIN('Root Data'!I505:I507)</x:f>
        <x:v>0</x:v>
      </x:c>
      <x:c r="P1675" s="44" t="n">
        <x:f>IF(AND(L1675=1,M1675=1,N1675=1,O1675&gt;=G1675),K1675,0)</x:f>
        <x:v>0</x:v>
      </x:c>
      <x:c r="Q1675" s="21" t="str">
        <x:v>OPEN</x:v>
      </x:c>
      <x:c r="R1675" s="23" t="str">
        <x:v>HOLD</x:v>
      </x:c>
    </x:row>
    <x:row r="1676">
      <x:c r="B1676" s="21" t="str">
        <x:v>AR-01670</x:v>
      </x:c>
      <x:c r="C1676" s="21" t="str">
        <x:v>F42-I3</x:v>
      </x:c>
      <x:c r="D1676" s="21" t="str">
        <x:v>F42</x:v>
      </x:c>
      <x:c r="E1676" s="21" t="n">
        <x:v>10</x:v>
      </x:c>
      <x:c r="F1676" s="21" t="str">
        <x:v>Mobilization activation</x:v>
      </x:c>
      <x:c r="G1676" s="21" t="n">
        <x:v>28</x:v>
      </x:c>
      <x:c r="H1676" s="21" t="str">
        <x:v>Production Release Board</x:v>
      </x:c>
      <x:c r="I1676" s="44" t="n">
        <x:f>Lifecycle!G16</x:f>
        <x:v>0.028262731405230914</x:v>
      </x:c>
      <x:c r="J1676" s="44" t="n">
        <x:v>0.08</x:v>
      </x:c>
      <x:c r="K1676" s="44" t="n">
        <x:f>I1676*J1676</x:f>
        <x:v>0.002261018512418473</x:v>
      </x:c>
      <x:c r="L1676" s="46" t="n">
        <x:v>0</x:v>
      </x:c>
      <x:c r="M1676" s="46" t="n">
        <x:v>0</x:v>
      </x:c>
      <x:c r="N1676" s="21" t="n">
        <x:f>IF(AND(L1675=1,M1675=1,P1675&gt;0),1,0)</x:f>
        <x:v>0</x:v>
      </x:c>
      <x:c r="O1676" s="21" t="n">
        <x:f>MIN('Root Data'!I505:I507)</x:f>
        <x:v>0</x:v>
      </x:c>
      <x:c r="P1676" s="44" t="n">
        <x:f>IF(AND(L1676=1,M1676=1,N1676=1,O1676&gt;=G1676),K1676,0)</x:f>
        <x:v>0</x:v>
      </x:c>
      <x:c r="Q1676" s="21" t="str">
        <x:v>OPEN</x:v>
      </x:c>
      <x:c r="R1676" s="23" t="str">
        <x:v>HOLD</x:v>
      </x:c>
    </x:row>
    <x:row r="1677">
      <x:c r="B1677" s="21" t="str">
        <x:v>AR-01671</x:v>
      </x:c>
      <x:c r="C1677" s="21" t="str">
        <x:v>F42-I4</x:v>
      </x:c>
      <x:c r="D1677" s="21" t="str">
        <x:v>F42</x:v>
      </x:c>
      <x:c r="E1677" s="21" t="n">
        <x:v>1</x:v>
      </x:c>
      <x:c r="F1677" s="21" t="str">
        <x:v>Civil effect charter</x:v>
      </x:c>
      <x:c r="G1677" s="21" t="n">
        <x:v>0</x:v>
      </x:c>
      <x:c r="H1677" s="21" t="str">
        <x:v>Civil Guarantee Authority</x:v>
      </x:c>
      <x:c r="I1677" s="44" t="n">
        <x:f>Lifecycle!G7</x:f>
        <x:v>0.04941036958956453</x:v>
      </x:c>
      <x:c r="J1677" s="44" t="n">
        <x:v>0.08</x:v>
      </x:c>
      <x:c r="K1677" s="44" t="n">
        <x:f>I1677*J1677</x:f>
        <x:v>0.003952829567165163</x:v>
      </x:c>
      <x:c r="L1677" s="46" t="n">
        <x:v>0</x:v>
      </x:c>
      <x:c r="M1677" s="46" t="n">
        <x:v>0</x:v>
      </x:c>
      <x:c r="N1677" s="21" t="n">
        <x:f>1</x:f>
        <x:v>1</x:v>
      </x:c>
      <x:c r="O1677" s="21" t="n">
        <x:f>MIN('Root Data'!I508:I510)</x:f>
        <x:v>0</x:v>
      </x:c>
      <x:c r="P1677" s="44" t="n">
        <x:f>IF(AND(L1677=1,M1677=1,N1677=1,O1677&gt;=G1677),K1677,0)</x:f>
        <x:v>0</x:v>
      </x:c>
      <x:c r="Q1677" s="21" t="str">
        <x:v>OPEN</x:v>
      </x:c>
      <x:c r="R1677" s="23" t="str">
        <x:v>HOLD</x:v>
      </x:c>
    </x:row>
    <x:row r="1678">
      <x:c r="B1678" s="21" t="str">
        <x:v>AR-01672</x:v>
      </x:c>
      <x:c r="C1678" s="21" t="str">
        <x:v>F42-I4</x:v>
      </x:c>
      <x:c r="D1678" s="21" t="str">
        <x:v>F42</x:v>
      </x:c>
      <x:c r="E1678" s="21" t="n">
        <x:v>2</x:v>
      </x:c>
      <x:c r="F1678" s="21" t="str">
        <x:v>Requirement and root-independence package</x:v>
      </x:c>
      <x:c r="G1678" s="21" t="n">
        <x:v>8</x:v>
      </x:c>
      <x:c r="H1678" s="21" t="str">
        <x:v>Resilience Staff</x:v>
      </x:c>
      <x:c r="I1678" s="44" t="n">
        <x:f>Lifecycle!G8</x:f>
        <x:v>0.10211476381843337</x:v>
      </x:c>
      <x:c r="J1678" s="44" t="n">
        <x:v>0.08</x:v>
      </x:c>
      <x:c r="K1678" s="44" t="n">
        <x:f>I1678*J1678</x:f>
        <x:v>0.00816918110547467</x:v>
      </x:c>
      <x:c r="L1678" s="46" t="n">
        <x:v>0</x:v>
      </x:c>
      <x:c r="M1678" s="46" t="n">
        <x:v>0</x:v>
      </x:c>
      <x:c r="N1678" s="21" t="n">
        <x:f>IF(AND(L1677=1,M1677=1,P1677&gt;0),1,0)</x:f>
        <x:v>0</x:v>
      </x:c>
      <x:c r="O1678" s="21" t="n">
        <x:f>MIN('Root Data'!I508:I510)</x:f>
        <x:v>0</x:v>
      </x:c>
      <x:c r="P1678" s="44" t="n">
        <x:f>IF(AND(L1678=1,M1678=1,N1678=1,O1678&gt;=G1678),K1678,0)</x:f>
        <x:v>0</x:v>
      </x:c>
      <x:c r="Q1678" s="21" t="str">
        <x:v>OPEN</x:v>
      </x:c>
      <x:c r="R1678" s="23" t="str">
        <x:v>HOLD</x:v>
      </x:c>
    </x:row>
    <x:row r="1679">
      <x:c r="B1679" s="21" t="str">
        <x:v>AR-01673</x:v>
      </x:c>
      <x:c r="C1679" s="21" t="str">
        <x:v>F42-I4</x:v>
      </x:c>
      <x:c r="D1679" s="21" t="str">
        <x:v>F42</x:v>
      </x:c>
      <x:c r="E1679" s="21" t="n">
        <x:v>3</x:v>
      </x:c>
      <x:c r="F1679" s="21" t="str">
        <x:v>Architecture and burden closure</x:v>
      </x:c>
      <x:c r="G1679" s="21" t="n">
        <x:v>14</x:v>
      </x:c>
      <x:c r="H1679" s="21" t="str">
        <x:v>Independent Evidence and Data Authority</x:v>
      </x:c>
      <x:c r="I1679" s="44" t="n">
        <x:f>Lifecycle!G9</x:f>
        <x:v>0.08564464062191186</x:v>
      </x:c>
      <x:c r="J1679" s="44" t="n">
        <x:v>0.08</x:v>
      </x:c>
      <x:c r="K1679" s="44" t="n">
        <x:f>I1679*J1679</x:f>
        <x:v>0.006851571249752949</x:v>
      </x:c>
      <x:c r="L1679" s="46" t="n">
        <x:v>0</x:v>
      </x:c>
      <x:c r="M1679" s="46" t="n">
        <x:v>0</x:v>
      </x:c>
      <x:c r="N1679" s="21" t="n">
        <x:f>IF(AND(L1678=1,M1678=1,P1678&gt;0),1,0)</x:f>
        <x:v>0</x:v>
      </x:c>
      <x:c r="O1679" s="21" t="n">
        <x:f>MIN('Root Data'!I508:I510)</x:f>
        <x:v>0</x:v>
      </x:c>
      <x:c r="P1679" s="44" t="n">
        <x:f>IF(AND(L1679=1,M1679=1,N1679=1,O1679&gt;=G1679),K1679,0)</x:f>
        <x:v>0</x:v>
      </x:c>
      <x:c r="Q1679" s="21" t="str">
        <x:v>OPEN</x:v>
      </x:c>
      <x:c r="R1679" s="23" t="str">
        <x:v>HOLD</x:v>
      </x:c>
    </x:row>
    <x:row r="1680">
      <x:c r="B1680" s="21" t="str">
        <x:v>AR-01674</x:v>
      </x:c>
      <x:c r="C1680" s="21" t="str">
        <x:v>F42-I4</x:v>
      </x:c>
      <x:c r="D1680" s="21" t="str">
        <x:v>F42</x:v>
      </x:c>
      <x:c r="E1680" s="21" t="n">
        <x:v>4</x:v>
      </x:c>
      <x:c r="F1680" s="21" t="str">
        <x:v>Engineering article acceptance</x:v>
      </x:c>
      <x:c r="G1680" s="21" t="n">
        <x:v>18</x:v>
      </x:c>
      <x:c r="H1680" s="21" t="str">
        <x:v>Independent Evidence and Data Authority</x:v>
      </x:c>
      <x:c r="I1680" s="44" t="n">
        <x:f>Lifecycle!G10</x:f>
        <x:v>0.05929244350747744</x:v>
      </x:c>
      <x:c r="J1680" s="44" t="n">
        <x:v>0.08</x:v>
      </x:c>
      <x:c r="K1680" s="44" t="n">
        <x:f>I1680*J1680</x:f>
        <x:v>0.004743395480598196</x:v>
      </x:c>
      <x:c r="L1680" s="46" t="n">
        <x:v>0</x:v>
      </x:c>
      <x:c r="M1680" s="46" t="n">
        <x:v>0</x:v>
      </x:c>
      <x:c r="N1680" s="21" t="n">
        <x:f>IF(AND(L1679=1,M1679=1,P1679&gt;0),1,0)</x:f>
        <x:v>0</x:v>
      </x:c>
      <x:c r="O1680" s="21" t="n">
        <x:f>MIN('Root Data'!I508:I510)</x:f>
        <x:v>0</x:v>
      </x:c>
      <x:c r="P1680" s="44" t="n">
        <x:f>IF(AND(L1680=1,M1680=1,N1680=1,O1680&gt;=G1680),K1680,0)</x:f>
        <x:v>0</x:v>
      </x:c>
      <x:c r="Q1680" s="21" t="str">
        <x:v>OPEN</x:v>
      </x:c>
      <x:c r="R1680" s="23" t="str">
        <x:v>HOLD</x:v>
      </x:c>
    </x:row>
    <x:row r="1681">
      <x:c r="B1681" s="21" t="str">
        <x:v>AR-01675</x:v>
      </x:c>
      <x:c r="C1681" s="21" t="str">
        <x:v>F42-I4</x:v>
      </x:c>
      <x:c r="D1681" s="21" t="str">
        <x:v>F42</x:v>
      </x:c>
      <x:c r="E1681" s="21" t="n">
        <x:v>5</x:v>
      </x:c>
      <x:c r="F1681" s="21" t="str">
        <x:v>Qualification and destructive evidence</x:v>
      </x:c>
      <x:c r="G1681" s="21" t="n">
        <x:v>21</x:v>
      </x:c>
      <x:c r="H1681" s="21" t="str">
        <x:v>Independent Evidence and Data Authority</x:v>
      </x:c>
      <x:c r="I1681" s="44" t="n">
        <x:f>Lifecycle!G11</x:f>
        <x:v>0.1515251334079979</x:v>
      </x:c>
      <x:c r="J1681" s="44" t="n">
        <x:v>0.08</x:v>
      </x:c>
      <x:c r="K1681" s="44" t="n">
        <x:f>I1681*J1681</x:f>
        <x:v>0.012122010672639832</x:v>
      </x:c>
      <x:c r="L1681" s="46" t="n">
        <x:v>0</x:v>
      </x:c>
      <x:c r="M1681" s="46" t="n">
        <x:v>0</x:v>
      </x:c>
      <x:c r="N1681" s="21" t="n">
        <x:f>IF(AND(L1680=1,M1680=1,P1680&gt;0),1,0)</x:f>
        <x:v>0</x:v>
      </x:c>
      <x:c r="O1681" s="21" t="n">
        <x:f>MIN('Root Data'!I508:I510)</x:f>
        <x:v>0</x:v>
      </x:c>
      <x:c r="P1681" s="44" t="n">
        <x:f>IF(AND(L1681=1,M1681=1,N1681=1,O1681&gt;=G1681),K1681,0)</x:f>
        <x:v>0</x:v>
      </x:c>
      <x:c r="Q1681" s="21" t="str">
        <x:v>OPEN</x:v>
      </x:c>
      <x:c r="R1681" s="23" t="str">
        <x:v>HOLD</x:v>
      </x:c>
    </x:row>
    <x:row r="1682">
      <x:c r="B1682" s="21" t="str">
        <x:v>AR-01676</x:v>
      </x:c>
      <x:c r="C1682" s="21" t="str">
        <x:v>F42-I4</x:v>
      </x:c>
      <x:c r="D1682" s="21" t="str">
        <x:v>F42</x:v>
      </x:c>
      <x:c r="E1682" s="21" t="n">
        <x:v>6</x:v>
      </x:c>
      <x:c r="F1682" s="21" t="str">
        <x:v>Representative mission result</x:v>
      </x:c>
      <x:c r="G1682" s="21" t="n">
        <x:v>23</x:v>
      </x:c>
      <x:c r="H1682" s="21" t="str">
        <x:v>Receiving Service Authority</x:v>
      </x:c>
      <x:c r="I1682" s="44" t="n">
        <x:f>Lifecycle!G12</x:f>
        <x:v>0.250345872587127</x:v>
      </x:c>
      <x:c r="J1682" s="44" t="n">
        <x:v>0.08</x:v>
      </x:c>
      <x:c r="K1682" s="44" t="n">
        <x:f>I1682*J1682</x:f>
        <x:v>0.02002766980697016</x:v>
      </x:c>
      <x:c r="L1682" s="46" t="n">
        <x:v>0</x:v>
      </x:c>
      <x:c r="M1682" s="46" t="n">
        <x:v>0</x:v>
      </x:c>
      <x:c r="N1682" s="21" t="n">
        <x:f>IF(AND(L1681=1,M1681=1,P1681&gt;0),1,0)</x:f>
        <x:v>0</x:v>
      </x:c>
      <x:c r="O1682" s="21" t="n">
        <x:f>MIN('Root Data'!I508:I510)</x:f>
        <x:v>0</x:v>
      </x:c>
      <x:c r="P1682" s="44" t="n">
        <x:f>IF(AND(L1682=1,M1682=1,N1682=1,O1682&gt;=G1682),K1682,0)</x:f>
        <x:v>0</x:v>
      </x:c>
      <x:c r="Q1682" s="21" t="str">
        <x:v>OPEN</x:v>
      </x:c>
      <x:c r="R1682" s="23" t="str">
        <x:v>HOLD</x:v>
      </x:c>
    </x:row>
    <x:row r="1683">
      <x:c r="B1683" s="21" t="str">
        <x:v>AR-01677</x:v>
      </x:c>
      <x:c r="C1683" s="21" t="str">
        <x:v>F42-I4</x:v>
      </x:c>
      <x:c r="D1683" s="21" t="str">
        <x:v>F42</x:v>
      </x:c>
      <x:c r="E1683" s="21" t="n">
        <x:v>7</x:v>
      </x:c>
      <x:c r="F1683" s="21" t="str">
        <x:v>Independent reproduction</x:v>
      </x:c>
      <x:c r="G1683" s="21" t="n">
        <x:v>28</x:v>
      </x:c>
      <x:c r="H1683" s="21" t="str">
        <x:v>Independent Evidence and Data Authority</x:v>
      </x:c>
      <x:c r="I1683" s="44" t="n">
        <x:f>Lifecycle!G13</x:f>
        <x:v>0.21740562619408393</x:v>
      </x:c>
      <x:c r="J1683" s="44" t="n">
        <x:v>0.08</x:v>
      </x:c>
      <x:c r="K1683" s="44" t="n">
        <x:f>I1683*J1683</x:f>
        <x:v>0.017392450095526715</x:v>
      </x:c>
      <x:c r="L1683" s="46" t="n">
        <x:v>0</x:v>
      </x:c>
      <x:c r="M1683" s="46" t="n">
        <x:v>0</x:v>
      </x:c>
      <x:c r="N1683" s="21" t="n">
        <x:f>IF(AND(L1682=1,M1682=1,P1682&gt;0),1,0)</x:f>
        <x:v>0</x:v>
      </x:c>
      <x:c r="O1683" s="21" t="n">
        <x:f>MIN('Root Data'!I508:I510)</x:f>
        <x:v>0</x:v>
      </x:c>
      <x:c r="P1683" s="44" t="n">
        <x:f>IF(AND(L1683=1,M1683=1,N1683=1,O1683&gt;=G1683),K1683,0)</x:f>
        <x:v>0</x:v>
      </x:c>
      <x:c r="Q1683" s="21" t="str">
        <x:v>OPEN</x:v>
      </x:c>
      <x:c r="R1683" s="23" t="str">
        <x:v>HOLD</x:v>
      </x:c>
    </x:row>
    <x:row r="1684">
      <x:c r="B1684" s="21" t="str">
        <x:v>AR-01678</x:v>
      </x:c>
      <x:c r="C1684" s="21" t="str">
        <x:v>F42-I4</x:v>
      </x:c>
      <x:c r="D1684" s="21" t="str">
        <x:v>F42</x:v>
      </x:c>
      <x:c r="E1684" s="21" t="n">
        <x:v>8</x:v>
      </x:c>
      <x:c r="F1684" s="21" t="str">
        <x:v>Pilot-process qualification</x:v>
      </x:c>
      <x:c r="G1684" s="21" t="n">
        <x:v>28</x:v>
      </x:c>
      <x:c r="H1684" s="21" t="str">
        <x:v>AIMC Industrial Mobilization Authority</x:v>
      </x:c>
      <x:c r="I1684" s="44" t="n">
        <x:f>Lifecycle!G14</x:f>
        <x:v>0.03952829567165163</x:v>
      </x:c>
      <x:c r="J1684" s="44" t="n">
        <x:v>0.08</x:v>
      </x:c>
      <x:c r="K1684" s="44" t="n">
        <x:f>I1684*J1684</x:f>
        <x:v>0.0031622636537321303</x:v>
      </x:c>
      <x:c r="L1684" s="46" t="n">
        <x:v>0</x:v>
      </x:c>
      <x:c r="M1684" s="46" t="n">
        <x:v>0</x:v>
      </x:c>
      <x:c r="N1684" s="21" t="n">
        <x:f>IF(AND(L1683=1,M1683=1,P1683&gt;0),1,0)</x:f>
        <x:v>0</x:v>
      </x:c>
      <x:c r="O1684" s="21" t="n">
        <x:f>MIN('Root Data'!I508:I510)</x:f>
        <x:v>0</x:v>
      </x:c>
      <x:c r="P1684" s="44" t="n">
        <x:f>IF(AND(L1684=1,M1684=1,N1684=1,O1684&gt;=G1684),K1684,0)</x:f>
        <x:v>0</x:v>
      </x:c>
      <x:c r="Q1684" s="21" t="str">
        <x:v>OPEN</x:v>
      </x:c>
      <x:c r="R1684" s="23" t="str">
        <x:v>HOLD</x:v>
      </x:c>
    </x:row>
    <x:row r="1685">
      <x:c r="B1685" s="21" t="str">
        <x:v>AR-01679</x:v>
      </x:c>
      <x:c r="C1685" s="21" t="str">
        <x:v>F42-I4</x:v>
      </x:c>
      <x:c r="D1685" s="21" t="str">
        <x:v>F42</x:v>
      </x:c>
      <x:c r="E1685" s="21" t="n">
        <x:v>9</x:v>
      </x:c>
      <x:c r="F1685" s="21" t="str">
        <x:v>Production release package</x:v>
      </x:c>
      <x:c r="G1685" s="21" t="n">
        <x:v>28</x:v>
      </x:c>
      <x:c r="H1685" s="21" t="str">
        <x:v>Production Release Board</x:v>
      </x:c>
      <x:c r="I1685" s="44" t="n">
        <x:f>Lifecycle!G15</x:f>
        <x:v>0.01647012319652151</x:v>
      </x:c>
      <x:c r="J1685" s="44" t="n">
        <x:v>0.08</x:v>
      </x:c>
      <x:c r="K1685" s="44" t="n">
        <x:f>I1685*J1685</x:f>
        <x:v>0.0013176098557217209</x:v>
      </x:c>
      <x:c r="L1685" s="46" t="n">
        <x:v>0</x:v>
      </x:c>
      <x:c r="M1685" s="46" t="n">
        <x:v>0</x:v>
      </x:c>
      <x:c r="N1685" s="21" t="n">
        <x:f>IF(AND(L1684=1,M1684=1,P1684&gt;0),1,0)</x:f>
        <x:v>0</x:v>
      </x:c>
      <x:c r="O1685" s="21" t="n">
        <x:f>MIN('Root Data'!I508:I510)</x:f>
        <x:v>0</x:v>
      </x:c>
      <x:c r="P1685" s="44" t="n">
        <x:f>IF(AND(L1685=1,M1685=1,N1685=1,O1685&gt;=G1685),K1685,0)</x:f>
        <x:v>0</x:v>
      </x:c>
      <x:c r="Q1685" s="21" t="str">
        <x:v>OPEN</x:v>
      </x:c>
      <x:c r="R1685" s="23" t="str">
        <x:v>HOLD</x:v>
      </x:c>
    </x:row>
    <x:row r="1686">
      <x:c r="B1686" s="21" t="str">
        <x:v>AR-01680</x:v>
      </x:c>
      <x:c r="C1686" s="21" t="str">
        <x:v>F42-I4</x:v>
      </x:c>
      <x:c r="D1686" s="21" t="str">
        <x:v>F42</x:v>
      </x:c>
      <x:c r="E1686" s="21" t="n">
        <x:v>10</x:v>
      </x:c>
      <x:c r="F1686" s="21" t="str">
        <x:v>Mobilization activation</x:v>
      </x:c>
      <x:c r="G1686" s="21" t="n">
        <x:v>28</x:v>
      </x:c>
      <x:c r="H1686" s="21" t="str">
        <x:v>Production Release Board</x:v>
      </x:c>
      <x:c r="I1686" s="44" t="n">
        <x:f>Lifecycle!G16</x:f>
        <x:v>0.028262731405230914</x:v>
      </x:c>
      <x:c r="J1686" s="44" t="n">
        <x:v>0.08</x:v>
      </x:c>
      <x:c r="K1686" s="44" t="n">
        <x:f>I1686*J1686</x:f>
        <x:v>0.002261018512418473</x:v>
      </x:c>
      <x:c r="L1686" s="46" t="n">
        <x:v>0</x:v>
      </x:c>
      <x:c r="M1686" s="46" t="n">
        <x:v>0</x:v>
      </x:c>
      <x:c r="N1686" s="21" t="n">
        <x:f>IF(AND(L1685=1,M1685=1,P1685&gt;0),1,0)</x:f>
        <x:v>0</x:v>
      </x:c>
      <x:c r="O1686" s="21" t="n">
        <x:f>MIN('Root Data'!I508:I510)</x:f>
        <x:v>0</x:v>
      </x:c>
      <x:c r="P1686" s="44" t="n">
        <x:f>IF(AND(L1686=1,M1686=1,N1686=1,O1686&gt;=G1686),K1686,0)</x:f>
        <x:v>0</x:v>
      </x:c>
      <x:c r="Q1686" s="21" t="str">
        <x:v>OPEN</x:v>
      </x:c>
      <x:c r="R1686" s="23" t="str">
        <x:v>HOLD</x:v>
      </x:c>
    </x:row>
    <x:row r="1687">
      <x:c r="B1687" s="21" t="str">
        <x:v>AR-01681</x:v>
      </x:c>
      <x:c r="C1687" s="21" t="str">
        <x:v>F43-I1</x:v>
      </x:c>
      <x:c r="D1687" s="21" t="str">
        <x:v>F43</x:v>
      </x:c>
      <x:c r="E1687" s="21" t="n">
        <x:v>1</x:v>
      </x:c>
      <x:c r="F1687" s="21" t="str">
        <x:v>Civil effect charter</x:v>
      </x:c>
      <x:c r="G1687" s="21" t="n">
        <x:v>0</x:v>
      </x:c>
      <x:c r="H1687" s="21" t="str">
        <x:v>Civil Guarantee Authority</x:v>
      </x:c>
      <x:c r="I1687" s="44" t="n">
        <x:f>Lifecycle!G7</x:f>
        <x:v>0.04941036958956453</x:v>
      </x:c>
      <x:c r="J1687" s="44" t="n">
        <x:v>0.08</x:v>
      </x:c>
      <x:c r="K1687" s="44" t="n">
        <x:f>I1687*J1687</x:f>
        <x:v>0.003952829567165163</x:v>
      </x:c>
      <x:c r="L1687" s="46" t="n">
        <x:v>0</x:v>
      </x:c>
      <x:c r="M1687" s="46" t="n">
        <x:v>0</x:v>
      </x:c>
      <x:c r="N1687" s="21" t="n">
        <x:f>1</x:f>
        <x:v>1</x:v>
      </x:c>
      <x:c r="O1687" s="21" t="n">
        <x:f>MIN('Root Data'!I511:I513)</x:f>
        <x:v>0</x:v>
      </x:c>
      <x:c r="P1687" s="44" t="n">
        <x:f>IF(AND(L1687=1,M1687=1,N1687=1,O1687&gt;=G1687),K1687,0)</x:f>
        <x:v>0</x:v>
      </x:c>
      <x:c r="Q1687" s="21" t="str">
        <x:v>OPEN</x:v>
      </x:c>
      <x:c r="R1687" s="23" t="str">
        <x:v>HOLD</x:v>
      </x:c>
    </x:row>
    <x:row r="1688">
      <x:c r="B1688" s="21" t="str">
        <x:v>AR-01682</x:v>
      </x:c>
      <x:c r="C1688" s="21" t="str">
        <x:v>F43-I1</x:v>
      </x:c>
      <x:c r="D1688" s="21" t="str">
        <x:v>F43</x:v>
      </x:c>
      <x:c r="E1688" s="21" t="n">
        <x:v>2</x:v>
      </x:c>
      <x:c r="F1688" s="21" t="str">
        <x:v>Requirement and root-independence package</x:v>
      </x:c>
      <x:c r="G1688" s="21" t="n">
        <x:v>8</x:v>
      </x:c>
      <x:c r="H1688" s="21" t="str">
        <x:v>Resilience Staff</x:v>
      </x:c>
      <x:c r="I1688" s="44" t="n">
        <x:f>Lifecycle!G8</x:f>
        <x:v>0.10211476381843337</x:v>
      </x:c>
      <x:c r="J1688" s="44" t="n">
        <x:v>0.08</x:v>
      </x:c>
      <x:c r="K1688" s="44" t="n">
        <x:f>I1688*J1688</x:f>
        <x:v>0.00816918110547467</x:v>
      </x:c>
      <x:c r="L1688" s="46" t="n">
        <x:v>0</x:v>
      </x:c>
      <x:c r="M1688" s="46" t="n">
        <x:v>0</x:v>
      </x:c>
      <x:c r="N1688" s="21" t="n">
        <x:f>IF(AND(L1687=1,M1687=1,P1687&gt;0),1,0)</x:f>
        <x:v>0</x:v>
      </x:c>
      <x:c r="O1688" s="21" t="n">
        <x:f>MIN('Root Data'!I511:I513)</x:f>
        <x:v>0</x:v>
      </x:c>
      <x:c r="P1688" s="44" t="n">
        <x:f>IF(AND(L1688=1,M1688=1,N1688=1,O1688&gt;=G1688),K1688,0)</x:f>
        <x:v>0</x:v>
      </x:c>
      <x:c r="Q1688" s="21" t="str">
        <x:v>OPEN</x:v>
      </x:c>
      <x:c r="R1688" s="23" t="str">
        <x:v>HOLD</x:v>
      </x:c>
    </x:row>
    <x:row r="1689">
      <x:c r="B1689" s="21" t="str">
        <x:v>AR-01683</x:v>
      </x:c>
      <x:c r="C1689" s="21" t="str">
        <x:v>F43-I1</x:v>
      </x:c>
      <x:c r="D1689" s="21" t="str">
        <x:v>F43</x:v>
      </x:c>
      <x:c r="E1689" s="21" t="n">
        <x:v>3</x:v>
      </x:c>
      <x:c r="F1689" s="21" t="str">
        <x:v>Architecture and burden closure</x:v>
      </x:c>
      <x:c r="G1689" s="21" t="n">
        <x:v>14</x:v>
      </x:c>
      <x:c r="H1689" s="21" t="str">
        <x:v>Independent Evidence and Data Authority</x:v>
      </x:c>
      <x:c r="I1689" s="44" t="n">
        <x:f>Lifecycle!G9</x:f>
        <x:v>0.08564464062191186</x:v>
      </x:c>
      <x:c r="J1689" s="44" t="n">
        <x:v>0.08</x:v>
      </x:c>
      <x:c r="K1689" s="44" t="n">
        <x:f>I1689*J1689</x:f>
        <x:v>0.006851571249752949</x:v>
      </x:c>
      <x:c r="L1689" s="46" t="n">
        <x:v>0</x:v>
      </x:c>
      <x:c r="M1689" s="46" t="n">
        <x:v>0</x:v>
      </x:c>
      <x:c r="N1689" s="21" t="n">
        <x:f>IF(AND(L1688=1,M1688=1,P1688&gt;0),1,0)</x:f>
        <x:v>0</x:v>
      </x:c>
      <x:c r="O1689" s="21" t="n">
        <x:f>MIN('Root Data'!I511:I513)</x:f>
        <x:v>0</x:v>
      </x:c>
      <x:c r="P1689" s="44" t="n">
        <x:f>IF(AND(L1689=1,M1689=1,N1689=1,O1689&gt;=G1689),K1689,0)</x:f>
        <x:v>0</x:v>
      </x:c>
      <x:c r="Q1689" s="21" t="str">
        <x:v>OPEN</x:v>
      </x:c>
      <x:c r="R1689" s="23" t="str">
        <x:v>HOLD</x:v>
      </x:c>
    </x:row>
    <x:row r="1690">
      <x:c r="B1690" s="21" t="str">
        <x:v>AR-01684</x:v>
      </x:c>
      <x:c r="C1690" s="21" t="str">
        <x:v>F43-I1</x:v>
      </x:c>
      <x:c r="D1690" s="21" t="str">
        <x:v>F43</x:v>
      </x:c>
      <x:c r="E1690" s="21" t="n">
        <x:v>4</x:v>
      </x:c>
      <x:c r="F1690" s="21" t="str">
        <x:v>Engineering article acceptance</x:v>
      </x:c>
      <x:c r="G1690" s="21" t="n">
        <x:v>18</x:v>
      </x:c>
      <x:c r="H1690" s="21" t="str">
        <x:v>Independent Evidence and Data Authority</x:v>
      </x:c>
      <x:c r="I1690" s="44" t="n">
        <x:f>Lifecycle!G10</x:f>
        <x:v>0.05929244350747744</x:v>
      </x:c>
      <x:c r="J1690" s="44" t="n">
        <x:v>0.08</x:v>
      </x:c>
      <x:c r="K1690" s="44" t="n">
        <x:f>I1690*J1690</x:f>
        <x:v>0.004743395480598196</x:v>
      </x:c>
      <x:c r="L1690" s="46" t="n">
        <x:v>0</x:v>
      </x:c>
      <x:c r="M1690" s="46" t="n">
        <x:v>0</x:v>
      </x:c>
      <x:c r="N1690" s="21" t="n">
        <x:f>IF(AND(L1689=1,M1689=1,P1689&gt;0),1,0)</x:f>
        <x:v>0</x:v>
      </x:c>
      <x:c r="O1690" s="21" t="n">
        <x:f>MIN('Root Data'!I511:I513)</x:f>
        <x:v>0</x:v>
      </x:c>
      <x:c r="P1690" s="44" t="n">
        <x:f>IF(AND(L1690=1,M1690=1,N1690=1,O1690&gt;=G1690),K1690,0)</x:f>
        <x:v>0</x:v>
      </x:c>
      <x:c r="Q1690" s="21" t="str">
        <x:v>OPEN</x:v>
      </x:c>
      <x:c r="R1690" s="23" t="str">
        <x:v>HOLD</x:v>
      </x:c>
    </x:row>
    <x:row r="1691">
      <x:c r="B1691" s="21" t="str">
        <x:v>AR-01685</x:v>
      </x:c>
      <x:c r="C1691" s="21" t="str">
        <x:v>F43-I1</x:v>
      </x:c>
      <x:c r="D1691" s="21" t="str">
        <x:v>F43</x:v>
      </x:c>
      <x:c r="E1691" s="21" t="n">
        <x:v>5</x:v>
      </x:c>
      <x:c r="F1691" s="21" t="str">
        <x:v>Qualification and destructive evidence</x:v>
      </x:c>
      <x:c r="G1691" s="21" t="n">
        <x:v>21</x:v>
      </x:c>
      <x:c r="H1691" s="21" t="str">
        <x:v>Independent Evidence and Data Authority</x:v>
      </x:c>
      <x:c r="I1691" s="44" t="n">
        <x:f>Lifecycle!G11</x:f>
        <x:v>0.1515251334079979</x:v>
      </x:c>
      <x:c r="J1691" s="44" t="n">
        <x:v>0.08</x:v>
      </x:c>
      <x:c r="K1691" s="44" t="n">
        <x:f>I1691*J1691</x:f>
        <x:v>0.012122010672639832</x:v>
      </x:c>
      <x:c r="L1691" s="46" t="n">
        <x:v>0</x:v>
      </x:c>
      <x:c r="M1691" s="46" t="n">
        <x:v>0</x:v>
      </x:c>
      <x:c r="N1691" s="21" t="n">
        <x:f>IF(AND(L1690=1,M1690=1,P1690&gt;0),1,0)</x:f>
        <x:v>0</x:v>
      </x:c>
      <x:c r="O1691" s="21" t="n">
        <x:f>MIN('Root Data'!I511:I513)</x:f>
        <x:v>0</x:v>
      </x:c>
      <x:c r="P1691" s="44" t="n">
        <x:f>IF(AND(L1691=1,M1691=1,N1691=1,O1691&gt;=G1691),K1691,0)</x:f>
        <x:v>0</x:v>
      </x:c>
      <x:c r="Q1691" s="21" t="str">
        <x:v>OPEN</x:v>
      </x:c>
      <x:c r="R1691" s="23" t="str">
        <x:v>HOLD</x:v>
      </x:c>
    </x:row>
    <x:row r="1692">
      <x:c r="B1692" s="21" t="str">
        <x:v>AR-01686</x:v>
      </x:c>
      <x:c r="C1692" s="21" t="str">
        <x:v>F43-I1</x:v>
      </x:c>
      <x:c r="D1692" s="21" t="str">
        <x:v>F43</x:v>
      </x:c>
      <x:c r="E1692" s="21" t="n">
        <x:v>6</x:v>
      </x:c>
      <x:c r="F1692" s="21" t="str">
        <x:v>Representative mission result</x:v>
      </x:c>
      <x:c r="G1692" s="21" t="n">
        <x:v>23</x:v>
      </x:c>
      <x:c r="H1692" s="21" t="str">
        <x:v>Receiving Service Authority</x:v>
      </x:c>
      <x:c r="I1692" s="44" t="n">
        <x:f>Lifecycle!G12</x:f>
        <x:v>0.250345872587127</x:v>
      </x:c>
      <x:c r="J1692" s="44" t="n">
        <x:v>0.08</x:v>
      </x:c>
      <x:c r="K1692" s="44" t="n">
        <x:f>I1692*J1692</x:f>
        <x:v>0.02002766980697016</x:v>
      </x:c>
      <x:c r="L1692" s="46" t="n">
        <x:v>0</x:v>
      </x:c>
      <x:c r="M1692" s="46" t="n">
        <x:v>0</x:v>
      </x:c>
      <x:c r="N1692" s="21" t="n">
        <x:f>IF(AND(L1691=1,M1691=1,P1691&gt;0),1,0)</x:f>
        <x:v>0</x:v>
      </x:c>
      <x:c r="O1692" s="21" t="n">
        <x:f>MIN('Root Data'!I511:I513)</x:f>
        <x:v>0</x:v>
      </x:c>
      <x:c r="P1692" s="44" t="n">
        <x:f>IF(AND(L1692=1,M1692=1,N1692=1,O1692&gt;=G1692),K1692,0)</x:f>
        <x:v>0</x:v>
      </x:c>
      <x:c r="Q1692" s="21" t="str">
        <x:v>OPEN</x:v>
      </x:c>
      <x:c r="R1692" s="23" t="str">
        <x:v>HOLD</x:v>
      </x:c>
    </x:row>
    <x:row r="1693">
      <x:c r="B1693" s="21" t="str">
        <x:v>AR-01687</x:v>
      </x:c>
      <x:c r="C1693" s="21" t="str">
        <x:v>F43-I1</x:v>
      </x:c>
      <x:c r="D1693" s="21" t="str">
        <x:v>F43</x:v>
      </x:c>
      <x:c r="E1693" s="21" t="n">
        <x:v>7</x:v>
      </x:c>
      <x:c r="F1693" s="21" t="str">
        <x:v>Independent reproduction</x:v>
      </x:c>
      <x:c r="G1693" s="21" t="n">
        <x:v>28</x:v>
      </x:c>
      <x:c r="H1693" s="21" t="str">
        <x:v>Independent Evidence and Data Authority</x:v>
      </x:c>
      <x:c r="I1693" s="44" t="n">
        <x:f>Lifecycle!G13</x:f>
        <x:v>0.21740562619408393</x:v>
      </x:c>
      <x:c r="J1693" s="44" t="n">
        <x:v>0.08</x:v>
      </x:c>
      <x:c r="K1693" s="44" t="n">
        <x:f>I1693*J1693</x:f>
        <x:v>0.017392450095526715</x:v>
      </x:c>
      <x:c r="L1693" s="46" t="n">
        <x:v>0</x:v>
      </x:c>
      <x:c r="M1693" s="46" t="n">
        <x:v>0</x:v>
      </x:c>
      <x:c r="N1693" s="21" t="n">
        <x:f>IF(AND(L1692=1,M1692=1,P1692&gt;0),1,0)</x:f>
        <x:v>0</x:v>
      </x:c>
      <x:c r="O1693" s="21" t="n">
        <x:f>MIN('Root Data'!I511:I513)</x:f>
        <x:v>0</x:v>
      </x:c>
      <x:c r="P1693" s="44" t="n">
        <x:f>IF(AND(L1693=1,M1693=1,N1693=1,O1693&gt;=G1693),K1693,0)</x:f>
        <x:v>0</x:v>
      </x:c>
      <x:c r="Q1693" s="21" t="str">
        <x:v>OPEN</x:v>
      </x:c>
      <x:c r="R1693" s="23" t="str">
        <x:v>HOLD</x:v>
      </x:c>
    </x:row>
    <x:row r="1694">
      <x:c r="B1694" s="21" t="str">
        <x:v>AR-01688</x:v>
      </x:c>
      <x:c r="C1694" s="21" t="str">
        <x:v>F43-I1</x:v>
      </x:c>
      <x:c r="D1694" s="21" t="str">
        <x:v>F43</x:v>
      </x:c>
      <x:c r="E1694" s="21" t="n">
        <x:v>8</x:v>
      </x:c>
      <x:c r="F1694" s="21" t="str">
        <x:v>Pilot-process qualification</x:v>
      </x:c>
      <x:c r="G1694" s="21" t="n">
        <x:v>28</x:v>
      </x:c>
      <x:c r="H1694" s="21" t="str">
        <x:v>AIMC Industrial Mobilization Authority</x:v>
      </x:c>
      <x:c r="I1694" s="44" t="n">
        <x:f>Lifecycle!G14</x:f>
        <x:v>0.03952829567165163</x:v>
      </x:c>
      <x:c r="J1694" s="44" t="n">
        <x:v>0.08</x:v>
      </x:c>
      <x:c r="K1694" s="44" t="n">
        <x:f>I1694*J1694</x:f>
        <x:v>0.0031622636537321303</x:v>
      </x:c>
      <x:c r="L1694" s="46" t="n">
        <x:v>0</x:v>
      </x:c>
      <x:c r="M1694" s="46" t="n">
        <x:v>0</x:v>
      </x:c>
      <x:c r="N1694" s="21" t="n">
        <x:f>IF(AND(L1693=1,M1693=1,P1693&gt;0),1,0)</x:f>
        <x:v>0</x:v>
      </x:c>
      <x:c r="O1694" s="21" t="n">
        <x:f>MIN('Root Data'!I511:I513)</x:f>
        <x:v>0</x:v>
      </x:c>
      <x:c r="P1694" s="44" t="n">
        <x:f>IF(AND(L1694=1,M1694=1,N1694=1,O1694&gt;=G1694),K1694,0)</x:f>
        <x:v>0</x:v>
      </x:c>
      <x:c r="Q1694" s="21" t="str">
        <x:v>OPEN</x:v>
      </x:c>
      <x:c r="R1694" s="23" t="str">
        <x:v>HOLD</x:v>
      </x:c>
    </x:row>
    <x:row r="1695">
      <x:c r="B1695" s="21" t="str">
        <x:v>AR-01689</x:v>
      </x:c>
      <x:c r="C1695" s="21" t="str">
        <x:v>F43-I1</x:v>
      </x:c>
      <x:c r="D1695" s="21" t="str">
        <x:v>F43</x:v>
      </x:c>
      <x:c r="E1695" s="21" t="n">
        <x:v>9</x:v>
      </x:c>
      <x:c r="F1695" s="21" t="str">
        <x:v>Production release package</x:v>
      </x:c>
      <x:c r="G1695" s="21" t="n">
        <x:v>28</x:v>
      </x:c>
      <x:c r="H1695" s="21" t="str">
        <x:v>Production Release Board</x:v>
      </x:c>
      <x:c r="I1695" s="44" t="n">
        <x:f>Lifecycle!G15</x:f>
        <x:v>0.01647012319652151</x:v>
      </x:c>
      <x:c r="J1695" s="44" t="n">
        <x:v>0.08</x:v>
      </x:c>
      <x:c r="K1695" s="44" t="n">
        <x:f>I1695*J1695</x:f>
        <x:v>0.0013176098557217209</x:v>
      </x:c>
      <x:c r="L1695" s="46" t="n">
        <x:v>0</x:v>
      </x:c>
      <x:c r="M1695" s="46" t="n">
        <x:v>0</x:v>
      </x:c>
      <x:c r="N1695" s="21" t="n">
        <x:f>IF(AND(L1694=1,M1694=1,P1694&gt;0),1,0)</x:f>
        <x:v>0</x:v>
      </x:c>
      <x:c r="O1695" s="21" t="n">
        <x:f>MIN('Root Data'!I511:I513)</x:f>
        <x:v>0</x:v>
      </x:c>
      <x:c r="P1695" s="44" t="n">
        <x:f>IF(AND(L1695=1,M1695=1,N1695=1,O1695&gt;=G1695),K1695,0)</x:f>
        <x:v>0</x:v>
      </x:c>
      <x:c r="Q1695" s="21" t="str">
        <x:v>OPEN</x:v>
      </x:c>
      <x:c r="R1695" s="23" t="str">
        <x:v>HOLD</x:v>
      </x:c>
    </x:row>
    <x:row r="1696">
      <x:c r="B1696" s="21" t="str">
        <x:v>AR-01690</x:v>
      </x:c>
      <x:c r="C1696" s="21" t="str">
        <x:v>F43-I1</x:v>
      </x:c>
      <x:c r="D1696" s="21" t="str">
        <x:v>F43</x:v>
      </x:c>
      <x:c r="E1696" s="21" t="n">
        <x:v>10</x:v>
      </x:c>
      <x:c r="F1696" s="21" t="str">
        <x:v>Mobilization activation</x:v>
      </x:c>
      <x:c r="G1696" s="21" t="n">
        <x:v>28</x:v>
      </x:c>
      <x:c r="H1696" s="21" t="str">
        <x:v>Production Release Board</x:v>
      </x:c>
      <x:c r="I1696" s="44" t="n">
        <x:f>Lifecycle!G16</x:f>
        <x:v>0.028262731405230914</x:v>
      </x:c>
      <x:c r="J1696" s="44" t="n">
        <x:v>0.08</x:v>
      </x:c>
      <x:c r="K1696" s="44" t="n">
        <x:f>I1696*J1696</x:f>
        <x:v>0.002261018512418473</x:v>
      </x:c>
      <x:c r="L1696" s="46" t="n">
        <x:v>0</x:v>
      </x:c>
      <x:c r="M1696" s="46" t="n">
        <x:v>0</x:v>
      </x:c>
      <x:c r="N1696" s="21" t="n">
        <x:f>IF(AND(L1695=1,M1695=1,P1695&gt;0),1,0)</x:f>
        <x:v>0</x:v>
      </x:c>
      <x:c r="O1696" s="21" t="n">
        <x:f>MIN('Root Data'!I511:I513)</x:f>
        <x:v>0</x:v>
      </x:c>
      <x:c r="P1696" s="44" t="n">
        <x:f>IF(AND(L1696=1,M1696=1,N1696=1,O1696&gt;=G1696),K1696,0)</x:f>
        <x:v>0</x:v>
      </x:c>
      <x:c r="Q1696" s="21" t="str">
        <x:v>OPEN</x:v>
      </x:c>
      <x:c r="R1696" s="23" t="str">
        <x:v>HOLD</x:v>
      </x:c>
    </x:row>
    <x:row r="1697">
      <x:c r="B1697" s="21" t="str">
        <x:v>AR-01691</x:v>
      </x:c>
      <x:c r="C1697" s="21" t="str">
        <x:v>F43-I2</x:v>
      </x:c>
      <x:c r="D1697" s="21" t="str">
        <x:v>F43</x:v>
      </x:c>
      <x:c r="E1697" s="21" t="n">
        <x:v>1</x:v>
      </x:c>
      <x:c r="F1697" s="21" t="str">
        <x:v>Civil effect charter</x:v>
      </x:c>
      <x:c r="G1697" s="21" t="n">
        <x:v>0</x:v>
      </x:c>
      <x:c r="H1697" s="21" t="str">
        <x:v>Civil Guarantee Authority</x:v>
      </x:c>
      <x:c r="I1697" s="44" t="n">
        <x:f>Lifecycle!G7</x:f>
        <x:v>0.04941036958956453</x:v>
      </x:c>
      <x:c r="J1697" s="44" t="n">
        <x:v>0.08</x:v>
      </x:c>
      <x:c r="K1697" s="44" t="n">
        <x:f>I1697*J1697</x:f>
        <x:v>0.003952829567165163</x:v>
      </x:c>
      <x:c r="L1697" s="46" t="n">
        <x:v>0</x:v>
      </x:c>
      <x:c r="M1697" s="46" t="n">
        <x:v>0</x:v>
      </x:c>
      <x:c r="N1697" s="21" t="n">
        <x:f>1</x:f>
        <x:v>1</x:v>
      </x:c>
      <x:c r="O1697" s="21" t="n">
        <x:f>MIN('Root Data'!I514:I516)</x:f>
        <x:v>0</x:v>
      </x:c>
      <x:c r="P1697" s="44" t="n">
        <x:f>IF(AND(L1697=1,M1697=1,N1697=1,O1697&gt;=G1697),K1697,0)</x:f>
        <x:v>0</x:v>
      </x:c>
      <x:c r="Q1697" s="21" t="str">
        <x:v>OPEN</x:v>
      </x:c>
      <x:c r="R1697" s="23" t="str">
        <x:v>HOLD</x:v>
      </x:c>
    </x:row>
    <x:row r="1698">
      <x:c r="B1698" s="21" t="str">
        <x:v>AR-01692</x:v>
      </x:c>
      <x:c r="C1698" s="21" t="str">
        <x:v>F43-I2</x:v>
      </x:c>
      <x:c r="D1698" s="21" t="str">
        <x:v>F43</x:v>
      </x:c>
      <x:c r="E1698" s="21" t="n">
        <x:v>2</x:v>
      </x:c>
      <x:c r="F1698" s="21" t="str">
        <x:v>Requirement and root-independence package</x:v>
      </x:c>
      <x:c r="G1698" s="21" t="n">
        <x:v>8</x:v>
      </x:c>
      <x:c r="H1698" s="21" t="str">
        <x:v>Resilience Staff</x:v>
      </x:c>
      <x:c r="I1698" s="44" t="n">
        <x:f>Lifecycle!G8</x:f>
        <x:v>0.10211476381843337</x:v>
      </x:c>
      <x:c r="J1698" s="44" t="n">
        <x:v>0.08</x:v>
      </x:c>
      <x:c r="K1698" s="44" t="n">
        <x:f>I1698*J1698</x:f>
        <x:v>0.00816918110547467</x:v>
      </x:c>
      <x:c r="L1698" s="46" t="n">
        <x:v>0</x:v>
      </x:c>
      <x:c r="M1698" s="46" t="n">
        <x:v>0</x:v>
      </x:c>
      <x:c r="N1698" s="21" t="n">
        <x:f>IF(AND(L1697=1,M1697=1,P1697&gt;0),1,0)</x:f>
        <x:v>0</x:v>
      </x:c>
      <x:c r="O1698" s="21" t="n">
        <x:f>MIN('Root Data'!I514:I516)</x:f>
        <x:v>0</x:v>
      </x:c>
      <x:c r="P1698" s="44" t="n">
        <x:f>IF(AND(L1698=1,M1698=1,N1698=1,O1698&gt;=G1698),K1698,0)</x:f>
        <x:v>0</x:v>
      </x:c>
      <x:c r="Q1698" s="21" t="str">
        <x:v>OPEN</x:v>
      </x:c>
      <x:c r="R1698" s="23" t="str">
        <x:v>HOLD</x:v>
      </x:c>
    </x:row>
    <x:row r="1699">
      <x:c r="B1699" s="21" t="str">
        <x:v>AR-01693</x:v>
      </x:c>
      <x:c r="C1699" s="21" t="str">
        <x:v>F43-I2</x:v>
      </x:c>
      <x:c r="D1699" s="21" t="str">
        <x:v>F43</x:v>
      </x:c>
      <x:c r="E1699" s="21" t="n">
        <x:v>3</x:v>
      </x:c>
      <x:c r="F1699" s="21" t="str">
        <x:v>Architecture and burden closure</x:v>
      </x:c>
      <x:c r="G1699" s="21" t="n">
        <x:v>14</x:v>
      </x:c>
      <x:c r="H1699" s="21" t="str">
        <x:v>Independent Evidence and Data Authority</x:v>
      </x:c>
      <x:c r="I1699" s="44" t="n">
        <x:f>Lifecycle!G9</x:f>
        <x:v>0.08564464062191186</x:v>
      </x:c>
      <x:c r="J1699" s="44" t="n">
        <x:v>0.08</x:v>
      </x:c>
      <x:c r="K1699" s="44" t="n">
        <x:f>I1699*J1699</x:f>
        <x:v>0.006851571249752949</x:v>
      </x:c>
      <x:c r="L1699" s="46" t="n">
        <x:v>0</x:v>
      </x:c>
      <x:c r="M1699" s="46" t="n">
        <x:v>0</x:v>
      </x:c>
      <x:c r="N1699" s="21" t="n">
        <x:f>IF(AND(L1698=1,M1698=1,P1698&gt;0),1,0)</x:f>
        <x:v>0</x:v>
      </x:c>
      <x:c r="O1699" s="21" t="n">
        <x:f>MIN('Root Data'!I514:I516)</x:f>
        <x:v>0</x:v>
      </x:c>
      <x:c r="P1699" s="44" t="n">
        <x:f>IF(AND(L1699=1,M1699=1,N1699=1,O1699&gt;=G1699),K1699,0)</x:f>
        <x:v>0</x:v>
      </x:c>
      <x:c r="Q1699" s="21" t="str">
        <x:v>OPEN</x:v>
      </x:c>
      <x:c r="R1699" s="23" t="str">
        <x:v>HOLD</x:v>
      </x:c>
    </x:row>
    <x:row r="1700">
      <x:c r="B1700" s="21" t="str">
        <x:v>AR-01694</x:v>
      </x:c>
      <x:c r="C1700" s="21" t="str">
        <x:v>F43-I2</x:v>
      </x:c>
      <x:c r="D1700" s="21" t="str">
        <x:v>F43</x:v>
      </x:c>
      <x:c r="E1700" s="21" t="n">
        <x:v>4</x:v>
      </x:c>
      <x:c r="F1700" s="21" t="str">
        <x:v>Engineering article acceptance</x:v>
      </x:c>
      <x:c r="G1700" s="21" t="n">
        <x:v>18</x:v>
      </x:c>
      <x:c r="H1700" s="21" t="str">
        <x:v>Independent Evidence and Data Authority</x:v>
      </x:c>
      <x:c r="I1700" s="44" t="n">
        <x:f>Lifecycle!G10</x:f>
        <x:v>0.05929244350747744</x:v>
      </x:c>
      <x:c r="J1700" s="44" t="n">
        <x:v>0.08</x:v>
      </x:c>
      <x:c r="K1700" s="44" t="n">
        <x:f>I1700*J1700</x:f>
        <x:v>0.004743395480598196</x:v>
      </x:c>
      <x:c r="L1700" s="46" t="n">
        <x:v>0</x:v>
      </x:c>
      <x:c r="M1700" s="46" t="n">
        <x:v>0</x:v>
      </x:c>
      <x:c r="N1700" s="21" t="n">
        <x:f>IF(AND(L1699=1,M1699=1,P1699&gt;0),1,0)</x:f>
        <x:v>0</x:v>
      </x:c>
      <x:c r="O1700" s="21" t="n">
        <x:f>MIN('Root Data'!I514:I516)</x:f>
        <x:v>0</x:v>
      </x:c>
      <x:c r="P1700" s="44" t="n">
        <x:f>IF(AND(L1700=1,M1700=1,N1700=1,O1700&gt;=G1700),K1700,0)</x:f>
        <x:v>0</x:v>
      </x:c>
      <x:c r="Q1700" s="21" t="str">
        <x:v>OPEN</x:v>
      </x:c>
      <x:c r="R1700" s="23" t="str">
        <x:v>HOLD</x:v>
      </x:c>
    </x:row>
    <x:row r="1701">
      <x:c r="B1701" s="21" t="str">
        <x:v>AR-01695</x:v>
      </x:c>
      <x:c r="C1701" s="21" t="str">
        <x:v>F43-I2</x:v>
      </x:c>
      <x:c r="D1701" s="21" t="str">
        <x:v>F43</x:v>
      </x:c>
      <x:c r="E1701" s="21" t="n">
        <x:v>5</x:v>
      </x:c>
      <x:c r="F1701" s="21" t="str">
        <x:v>Qualification and destructive evidence</x:v>
      </x:c>
      <x:c r="G1701" s="21" t="n">
        <x:v>21</x:v>
      </x:c>
      <x:c r="H1701" s="21" t="str">
        <x:v>Independent Evidence and Data Authority</x:v>
      </x:c>
      <x:c r="I1701" s="44" t="n">
        <x:f>Lifecycle!G11</x:f>
        <x:v>0.1515251334079979</x:v>
      </x:c>
      <x:c r="J1701" s="44" t="n">
        <x:v>0.08</x:v>
      </x:c>
      <x:c r="K1701" s="44" t="n">
        <x:f>I1701*J1701</x:f>
        <x:v>0.012122010672639832</x:v>
      </x:c>
      <x:c r="L1701" s="46" t="n">
        <x:v>0</x:v>
      </x:c>
      <x:c r="M1701" s="46" t="n">
        <x:v>0</x:v>
      </x:c>
      <x:c r="N1701" s="21" t="n">
        <x:f>IF(AND(L1700=1,M1700=1,P1700&gt;0),1,0)</x:f>
        <x:v>0</x:v>
      </x:c>
      <x:c r="O1701" s="21" t="n">
        <x:f>MIN('Root Data'!I514:I516)</x:f>
        <x:v>0</x:v>
      </x:c>
      <x:c r="P1701" s="44" t="n">
        <x:f>IF(AND(L1701=1,M1701=1,N1701=1,O1701&gt;=G1701),K1701,0)</x:f>
        <x:v>0</x:v>
      </x:c>
      <x:c r="Q1701" s="21" t="str">
        <x:v>OPEN</x:v>
      </x:c>
      <x:c r="R1701" s="23" t="str">
        <x:v>HOLD</x:v>
      </x:c>
    </x:row>
    <x:row r="1702">
      <x:c r="B1702" s="21" t="str">
        <x:v>AR-01696</x:v>
      </x:c>
      <x:c r="C1702" s="21" t="str">
        <x:v>F43-I2</x:v>
      </x:c>
      <x:c r="D1702" s="21" t="str">
        <x:v>F43</x:v>
      </x:c>
      <x:c r="E1702" s="21" t="n">
        <x:v>6</x:v>
      </x:c>
      <x:c r="F1702" s="21" t="str">
        <x:v>Representative mission result</x:v>
      </x:c>
      <x:c r="G1702" s="21" t="n">
        <x:v>23</x:v>
      </x:c>
      <x:c r="H1702" s="21" t="str">
        <x:v>Receiving Service Authority</x:v>
      </x:c>
      <x:c r="I1702" s="44" t="n">
        <x:f>Lifecycle!G12</x:f>
        <x:v>0.250345872587127</x:v>
      </x:c>
      <x:c r="J1702" s="44" t="n">
        <x:v>0.08</x:v>
      </x:c>
      <x:c r="K1702" s="44" t="n">
        <x:f>I1702*J1702</x:f>
        <x:v>0.02002766980697016</x:v>
      </x:c>
      <x:c r="L1702" s="46" t="n">
        <x:v>0</x:v>
      </x:c>
      <x:c r="M1702" s="46" t="n">
        <x:v>0</x:v>
      </x:c>
      <x:c r="N1702" s="21" t="n">
        <x:f>IF(AND(L1701=1,M1701=1,P1701&gt;0),1,0)</x:f>
        <x:v>0</x:v>
      </x:c>
      <x:c r="O1702" s="21" t="n">
        <x:f>MIN('Root Data'!I514:I516)</x:f>
        <x:v>0</x:v>
      </x:c>
      <x:c r="P1702" s="44" t="n">
        <x:f>IF(AND(L1702=1,M1702=1,N1702=1,O1702&gt;=G1702),K1702,0)</x:f>
        <x:v>0</x:v>
      </x:c>
      <x:c r="Q1702" s="21" t="str">
        <x:v>OPEN</x:v>
      </x:c>
      <x:c r="R1702" s="23" t="str">
        <x:v>HOLD</x:v>
      </x:c>
    </x:row>
    <x:row r="1703">
      <x:c r="B1703" s="21" t="str">
        <x:v>AR-01697</x:v>
      </x:c>
      <x:c r="C1703" s="21" t="str">
        <x:v>F43-I2</x:v>
      </x:c>
      <x:c r="D1703" s="21" t="str">
        <x:v>F43</x:v>
      </x:c>
      <x:c r="E1703" s="21" t="n">
        <x:v>7</x:v>
      </x:c>
      <x:c r="F1703" s="21" t="str">
        <x:v>Independent reproduction</x:v>
      </x:c>
      <x:c r="G1703" s="21" t="n">
        <x:v>28</x:v>
      </x:c>
      <x:c r="H1703" s="21" t="str">
        <x:v>Independent Evidence and Data Authority</x:v>
      </x:c>
      <x:c r="I1703" s="44" t="n">
        <x:f>Lifecycle!G13</x:f>
        <x:v>0.21740562619408393</x:v>
      </x:c>
      <x:c r="J1703" s="44" t="n">
        <x:v>0.08</x:v>
      </x:c>
      <x:c r="K1703" s="44" t="n">
        <x:f>I1703*J1703</x:f>
        <x:v>0.017392450095526715</x:v>
      </x:c>
      <x:c r="L1703" s="46" t="n">
        <x:v>0</x:v>
      </x:c>
      <x:c r="M1703" s="46" t="n">
        <x:v>0</x:v>
      </x:c>
      <x:c r="N1703" s="21" t="n">
        <x:f>IF(AND(L1702=1,M1702=1,P1702&gt;0),1,0)</x:f>
        <x:v>0</x:v>
      </x:c>
      <x:c r="O1703" s="21" t="n">
        <x:f>MIN('Root Data'!I514:I516)</x:f>
        <x:v>0</x:v>
      </x:c>
      <x:c r="P1703" s="44" t="n">
        <x:f>IF(AND(L1703=1,M1703=1,N1703=1,O1703&gt;=G1703),K1703,0)</x:f>
        <x:v>0</x:v>
      </x:c>
      <x:c r="Q1703" s="21" t="str">
        <x:v>OPEN</x:v>
      </x:c>
      <x:c r="R1703" s="23" t="str">
        <x:v>HOLD</x:v>
      </x:c>
    </x:row>
    <x:row r="1704">
      <x:c r="B1704" s="21" t="str">
        <x:v>AR-01698</x:v>
      </x:c>
      <x:c r="C1704" s="21" t="str">
        <x:v>F43-I2</x:v>
      </x:c>
      <x:c r="D1704" s="21" t="str">
        <x:v>F43</x:v>
      </x:c>
      <x:c r="E1704" s="21" t="n">
        <x:v>8</x:v>
      </x:c>
      <x:c r="F1704" s="21" t="str">
        <x:v>Pilot-process qualification</x:v>
      </x:c>
      <x:c r="G1704" s="21" t="n">
        <x:v>28</x:v>
      </x:c>
      <x:c r="H1704" s="21" t="str">
        <x:v>AIMC Industrial Mobilization Authority</x:v>
      </x:c>
      <x:c r="I1704" s="44" t="n">
        <x:f>Lifecycle!G14</x:f>
        <x:v>0.03952829567165163</x:v>
      </x:c>
      <x:c r="J1704" s="44" t="n">
        <x:v>0.08</x:v>
      </x:c>
      <x:c r="K1704" s="44" t="n">
        <x:f>I1704*J1704</x:f>
        <x:v>0.0031622636537321303</x:v>
      </x:c>
      <x:c r="L1704" s="46" t="n">
        <x:v>0</x:v>
      </x:c>
      <x:c r="M1704" s="46" t="n">
        <x:v>0</x:v>
      </x:c>
      <x:c r="N1704" s="21" t="n">
        <x:f>IF(AND(L1703=1,M1703=1,P1703&gt;0),1,0)</x:f>
        <x:v>0</x:v>
      </x:c>
      <x:c r="O1704" s="21" t="n">
        <x:f>MIN('Root Data'!I514:I516)</x:f>
        <x:v>0</x:v>
      </x:c>
      <x:c r="P1704" s="44" t="n">
        <x:f>IF(AND(L1704=1,M1704=1,N1704=1,O1704&gt;=G1704),K1704,0)</x:f>
        <x:v>0</x:v>
      </x:c>
      <x:c r="Q1704" s="21" t="str">
        <x:v>OPEN</x:v>
      </x:c>
      <x:c r="R1704" s="23" t="str">
        <x:v>HOLD</x:v>
      </x:c>
    </x:row>
    <x:row r="1705">
      <x:c r="B1705" s="21" t="str">
        <x:v>AR-01699</x:v>
      </x:c>
      <x:c r="C1705" s="21" t="str">
        <x:v>F43-I2</x:v>
      </x:c>
      <x:c r="D1705" s="21" t="str">
        <x:v>F43</x:v>
      </x:c>
      <x:c r="E1705" s="21" t="n">
        <x:v>9</x:v>
      </x:c>
      <x:c r="F1705" s="21" t="str">
        <x:v>Production release package</x:v>
      </x:c>
      <x:c r="G1705" s="21" t="n">
        <x:v>28</x:v>
      </x:c>
      <x:c r="H1705" s="21" t="str">
        <x:v>Production Release Board</x:v>
      </x:c>
      <x:c r="I1705" s="44" t="n">
        <x:f>Lifecycle!G15</x:f>
        <x:v>0.01647012319652151</x:v>
      </x:c>
      <x:c r="J1705" s="44" t="n">
        <x:v>0.08</x:v>
      </x:c>
      <x:c r="K1705" s="44" t="n">
        <x:f>I1705*J1705</x:f>
        <x:v>0.0013176098557217209</x:v>
      </x:c>
      <x:c r="L1705" s="46" t="n">
        <x:v>0</x:v>
      </x:c>
      <x:c r="M1705" s="46" t="n">
        <x:v>0</x:v>
      </x:c>
      <x:c r="N1705" s="21" t="n">
        <x:f>IF(AND(L1704=1,M1704=1,P1704&gt;0),1,0)</x:f>
        <x:v>0</x:v>
      </x:c>
      <x:c r="O1705" s="21" t="n">
        <x:f>MIN('Root Data'!I514:I516)</x:f>
        <x:v>0</x:v>
      </x:c>
      <x:c r="P1705" s="44" t="n">
        <x:f>IF(AND(L1705=1,M1705=1,N1705=1,O1705&gt;=G1705),K1705,0)</x:f>
        <x:v>0</x:v>
      </x:c>
      <x:c r="Q1705" s="21" t="str">
        <x:v>OPEN</x:v>
      </x:c>
      <x:c r="R1705" s="23" t="str">
        <x:v>HOLD</x:v>
      </x:c>
    </x:row>
    <x:row r="1706">
      <x:c r="B1706" s="21" t="str">
        <x:v>AR-01700</x:v>
      </x:c>
      <x:c r="C1706" s="21" t="str">
        <x:v>F43-I2</x:v>
      </x:c>
      <x:c r="D1706" s="21" t="str">
        <x:v>F43</x:v>
      </x:c>
      <x:c r="E1706" s="21" t="n">
        <x:v>10</x:v>
      </x:c>
      <x:c r="F1706" s="21" t="str">
        <x:v>Mobilization activation</x:v>
      </x:c>
      <x:c r="G1706" s="21" t="n">
        <x:v>28</x:v>
      </x:c>
      <x:c r="H1706" s="21" t="str">
        <x:v>Production Release Board</x:v>
      </x:c>
      <x:c r="I1706" s="44" t="n">
        <x:f>Lifecycle!G16</x:f>
        <x:v>0.028262731405230914</x:v>
      </x:c>
      <x:c r="J1706" s="44" t="n">
        <x:v>0.08</x:v>
      </x:c>
      <x:c r="K1706" s="44" t="n">
        <x:f>I1706*J1706</x:f>
        <x:v>0.002261018512418473</x:v>
      </x:c>
      <x:c r="L1706" s="46" t="n">
        <x:v>0</x:v>
      </x:c>
      <x:c r="M1706" s="46" t="n">
        <x:v>0</x:v>
      </x:c>
      <x:c r="N1706" s="21" t="n">
        <x:f>IF(AND(L1705=1,M1705=1,P1705&gt;0),1,0)</x:f>
        <x:v>0</x:v>
      </x:c>
      <x:c r="O1706" s="21" t="n">
        <x:f>MIN('Root Data'!I514:I516)</x:f>
        <x:v>0</x:v>
      </x:c>
      <x:c r="P1706" s="44" t="n">
        <x:f>IF(AND(L1706=1,M1706=1,N1706=1,O1706&gt;=G1706),K1706,0)</x:f>
        <x:v>0</x:v>
      </x:c>
      <x:c r="Q1706" s="21" t="str">
        <x:v>OPEN</x:v>
      </x:c>
      <x:c r="R1706" s="23" t="str">
        <x:v>HOLD</x:v>
      </x:c>
    </x:row>
    <x:row r="1707">
      <x:c r="B1707" s="21" t="str">
        <x:v>AR-01701</x:v>
      </x:c>
      <x:c r="C1707" s="21" t="str">
        <x:v>F43-I3</x:v>
      </x:c>
      <x:c r="D1707" s="21" t="str">
        <x:v>F43</x:v>
      </x:c>
      <x:c r="E1707" s="21" t="n">
        <x:v>1</x:v>
      </x:c>
      <x:c r="F1707" s="21" t="str">
        <x:v>Civil effect charter</x:v>
      </x:c>
      <x:c r="G1707" s="21" t="n">
        <x:v>0</x:v>
      </x:c>
      <x:c r="H1707" s="21" t="str">
        <x:v>Civil Guarantee Authority</x:v>
      </x:c>
      <x:c r="I1707" s="44" t="n">
        <x:f>Lifecycle!G7</x:f>
        <x:v>0.04941036958956453</x:v>
      </x:c>
      <x:c r="J1707" s="44" t="n">
        <x:v>0.08</x:v>
      </x:c>
      <x:c r="K1707" s="44" t="n">
        <x:f>I1707*J1707</x:f>
        <x:v>0.003952829567165163</x:v>
      </x:c>
      <x:c r="L1707" s="46" t="n">
        <x:v>0</x:v>
      </x:c>
      <x:c r="M1707" s="46" t="n">
        <x:v>0</x:v>
      </x:c>
      <x:c r="N1707" s="21" t="n">
        <x:f>1</x:f>
        <x:v>1</x:v>
      </x:c>
      <x:c r="O1707" s="21" t="n">
        <x:f>MIN('Root Data'!I517:I519)</x:f>
        <x:v>0</x:v>
      </x:c>
      <x:c r="P1707" s="44" t="n">
        <x:f>IF(AND(L1707=1,M1707=1,N1707=1,O1707&gt;=G1707),K1707,0)</x:f>
        <x:v>0</x:v>
      </x:c>
      <x:c r="Q1707" s="21" t="str">
        <x:v>OPEN</x:v>
      </x:c>
      <x:c r="R1707" s="23" t="str">
        <x:v>HOLD</x:v>
      </x:c>
    </x:row>
    <x:row r="1708">
      <x:c r="B1708" s="21" t="str">
        <x:v>AR-01702</x:v>
      </x:c>
      <x:c r="C1708" s="21" t="str">
        <x:v>F43-I3</x:v>
      </x:c>
      <x:c r="D1708" s="21" t="str">
        <x:v>F43</x:v>
      </x:c>
      <x:c r="E1708" s="21" t="n">
        <x:v>2</x:v>
      </x:c>
      <x:c r="F1708" s="21" t="str">
        <x:v>Requirement and root-independence package</x:v>
      </x:c>
      <x:c r="G1708" s="21" t="n">
        <x:v>8</x:v>
      </x:c>
      <x:c r="H1708" s="21" t="str">
        <x:v>Resilience Staff</x:v>
      </x:c>
      <x:c r="I1708" s="44" t="n">
        <x:f>Lifecycle!G8</x:f>
        <x:v>0.10211476381843337</x:v>
      </x:c>
      <x:c r="J1708" s="44" t="n">
        <x:v>0.08</x:v>
      </x:c>
      <x:c r="K1708" s="44" t="n">
        <x:f>I1708*J1708</x:f>
        <x:v>0.00816918110547467</x:v>
      </x:c>
      <x:c r="L1708" s="46" t="n">
        <x:v>0</x:v>
      </x:c>
      <x:c r="M1708" s="46" t="n">
        <x:v>0</x:v>
      </x:c>
      <x:c r="N1708" s="21" t="n">
        <x:f>IF(AND(L1707=1,M1707=1,P1707&gt;0),1,0)</x:f>
        <x:v>0</x:v>
      </x:c>
      <x:c r="O1708" s="21" t="n">
        <x:f>MIN('Root Data'!I517:I519)</x:f>
        <x:v>0</x:v>
      </x:c>
      <x:c r="P1708" s="44" t="n">
        <x:f>IF(AND(L1708=1,M1708=1,N1708=1,O1708&gt;=G1708),K1708,0)</x:f>
        <x:v>0</x:v>
      </x:c>
      <x:c r="Q1708" s="21" t="str">
        <x:v>OPEN</x:v>
      </x:c>
      <x:c r="R1708" s="23" t="str">
        <x:v>HOLD</x:v>
      </x:c>
    </x:row>
    <x:row r="1709">
      <x:c r="B1709" s="21" t="str">
        <x:v>AR-01703</x:v>
      </x:c>
      <x:c r="C1709" s="21" t="str">
        <x:v>F43-I3</x:v>
      </x:c>
      <x:c r="D1709" s="21" t="str">
        <x:v>F43</x:v>
      </x:c>
      <x:c r="E1709" s="21" t="n">
        <x:v>3</x:v>
      </x:c>
      <x:c r="F1709" s="21" t="str">
        <x:v>Architecture and burden closure</x:v>
      </x:c>
      <x:c r="G1709" s="21" t="n">
        <x:v>14</x:v>
      </x:c>
      <x:c r="H1709" s="21" t="str">
        <x:v>Independent Evidence and Data Authority</x:v>
      </x:c>
      <x:c r="I1709" s="44" t="n">
        <x:f>Lifecycle!G9</x:f>
        <x:v>0.08564464062191186</x:v>
      </x:c>
      <x:c r="J1709" s="44" t="n">
        <x:v>0.08</x:v>
      </x:c>
      <x:c r="K1709" s="44" t="n">
        <x:f>I1709*J1709</x:f>
        <x:v>0.006851571249752949</x:v>
      </x:c>
      <x:c r="L1709" s="46" t="n">
        <x:v>0</x:v>
      </x:c>
      <x:c r="M1709" s="46" t="n">
        <x:v>0</x:v>
      </x:c>
      <x:c r="N1709" s="21" t="n">
        <x:f>IF(AND(L1708=1,M1708=1,P1708&gt;0),1,0)</x:f>
        <x:v>0</x:v>
      </x:c>
      <x:c r="O1709" s="21" t="n">
        <x:f>MIN('Root Data'!I517:I519)</x:f>
        <x:v>0</x:v>
      </x:c>
      <x:c r="P1709" s="44" t="n">
        <x:f>IF(AND(L1709=1,M1709=1,N1709=1,O1709&gt;=G1709),K1709,0)</x:f>
        <x:v>0</x:v>
      </x:c>
      <x:c r="Q1709" s="21" t="str">
        <x:v>OPEN</x:v>
      </x:c>
      <x:c r="R1709" s="23" t="str">
        <x:v>HOLD</x:v>
      </x:c>
    </x:row>
    <x:row r="1710">
      <x:c r="B1710" s="21" t="str">
        <x:v>AR-01704</x:v>
      </x:c>
      <x:c r="C1710" s="21" t="str">
        <x:v>F43-I3</x:v>
      </x:c>
      <x:c r="D1710" s="21" t="str">
        <x:v>F43</x:v>
      </x:c>
      <x:c r="E1710" s="21" t="n">
        <x:v>4</x:v>
      </x:c>
      <x:c r="F1710" s="21" t="str">
        <x:v>Engineering article acceptance</x:v>
      </x:c>
      <x:c r="G1710" s="21" t="n">
        <x:v>18</x:v>
      </x:c>
      <x:c r="H1710" s="21" t="str">
        <x:v>Independent Evidence and Data Authority</x:v>
      </x:c>
      <x:c r="I1710" s="44" t="n">
        <x:f>Lifecycle!G10</x:f>
        <x:v>0.05929244350747744</x:v>
      </x:c>
      <x:c r="J1710" s="44" t="n">
        <x:v>0.08</x:v>
      </x:c>
      <x:c r="K1710" s="44" t="n">
        <x:f>I1710*J1710</x:f>
        <x:v>0.004743395480598196</x:v>
      </x:c>
      <x:c r="L1710" s="46" t="n">
        <x:v>0</x:v>
      </x:c>
      <x:c r="M1710" s="46" t="n">
        <x:v>0</x:v>
      </x:c>
      <x:c r="N1710" s="21" t="n">
        <x:f>IF(AND(L1709=1,M1709=1,P1709&gt;0),1,0)</x:f>
        <x:v>0</x:v>
      </x:c>
      <x:c r="O1710" s="21" t="n">
        <x:f>MIN('Root Data'!I517:I519)</x:f>
        <x:v>0</x:v>
      </x:c>
      <x:c r="P1710" s="44" t="n">
        <x:f>IF(AND(L1710=1,M1710=1,N1710=1,O1710&gt;=G1710),K1710,0)</x:f>
        <x:v>0</x:v>
      </x:c>
      <x:c r="Q1710" s="21" t="str">
        <x:v>OPEN</x:v>
      </x:c>
      <x:c r="R1710" s="23" t="str">
        <x:v>HOLD</x:v>
      </x:c>
    </x:row>
    <x:row r="1711">
      <x:c r="B1711" s="21" t="str">
        <x:v>AR-01705</x:v>
      </x:c>
      <x:c r="C1711" s="21" t="str">
        <x:v>F43-I3</x:v>
      </x:c>
      <x:c r="D1711" s="21" t="str">
        <x:v>F43</x:v>
      </x:c>
      <x:c r="E1711" s="21" t="n">
        <x:v>5</x:v>
      </x:c>
      <x:c r="F1711" s="21" t="str">
        <x:v>Qualification and destructive evidence</x:v>
      </x:c>
      <x:c r="G1711" s="21" t="n">
        <x:v>21</x:v>
      </x:c>
      <x:c r="H1711" s="21" t="str">
        <x:v>Independent Evidence and Data Authority</x:v>
      </x:c>
      <x:c r="I1711" s="44" t="n">
        <x:f>Lifecycle!G11</x:f>
        <x:v>0.1515251334079979</x:v>
      </x:c>
      <x:c r="J1711" s="44" t="n">
        <x:v>0.08</x:v>
      </x:c>
      <x:c r="K1711" s="44" t="n">
        <x:f>I1711*J1711</x:f>
        <x:v>0.012122010672639832</x:v>
      </x:c>
      <x:c r="L1711" s="46" t="n">
        <x:v>0</x:v>
      </x:c>
      <x:c r="M1711" s="46" t="n">
        <x:v>0</x:v>
      </x:c>
      <x:c r="N1711" s="21" t="n">
        <x:f>IF(AND(L1710=1,M1710=1,P1710&gt;0),1,0)</x:f>
        <x:v>0</x:v>
      </x:c>
      <x:c r="O1711" s="21" t="n">
        <x:f>MIN('Root Data'!I517:I519)</x:f>
        <x:v>0</x:v>
      </x:c>
      <x:c r="P1711" s="44" t="n">
        <x:f>IF(AND(L1711=1,M1711=1,N1711=1,O1711&gt;=G1711),K1711,0)</x:f>
        <x:v>0</x:v>
      </x:c>
      <x:c r="Q1711" s="21" t="str">
        <x:v>OPEN</x:v>
      </x:c>
      <x:c r="R1711" s="23" t="str">
        <x:v>HOLD</x:v>
      </x:c>
    </x:row>
    <x:row r="1712">
      <x:c r="B1712" s="21" t="str">
        <x:v>AR-01706</x:v>
      </x:c>
      <x:c r="C1712" s="21" t="str">
        <x:v>F43-I3</x:v>
      </x:c>
      <x:c r="D1712" s="21" t="str">
        <x:v>F43</x:v>
      </x:c>
      <x:c r="E1712" s="21" t="n">
        <x:v>6</x:v>
      </x:c>
      <x:c r="F1712" s="21" t="str">
        <x:v>Representative mission result</x:v>
      </x:c>
      <x:c r="G1712" s="21" t="n">
        <x:v>23</x:v>
      </x:c>
      <x:c r="H1712" s="21" t="str">
        <x:v>Receiving Service Authority</x:v>
      </x:c>
      <x:c r="I1712" s="44" t="n">
        <x:f>Lifecycle!G12</x:f>
        <x:v>0.250345872587127</x:v>
      </x:c>
      <x:c r="J1712" s="44" t="n">
        <x:v>0.08</x:v>
      </x:c>
      <x:c r="K1712" s="44" t="n">
        <x:f>I1712*J1712</x:f>
        <x:v>0.02002766980697016</x:v>
      </x:c>
      <x:c r="L1712" s="46" t="n">
        <x:v>0</x:v>
      </x:c>
      <x:c r="M1712" s="46" t="n">
        <x:v>0</x:v>
      </x:c>
      <x:c r="N1712" s="21" t="n">
        <x:f>IF(AND(L1711=1,M1711=1,P1711&gt;0),1,0)</x:f>
        <x:v>0</x:v>
      </x:c>
      <x:c r="O1712" s="21" t="n">
        <x:f>MIN('Root Data'!I517:I519)</x:f>
        <x:v>0</x:v>
      </x:c>
      <x:c r="P1712" s="44" t="n">
        <x:f>IF(AND(L1712=1,M1712=1,N1712=1,O1712&gt;=G1712),K1712,0)</x:f>
        <x:v>0</x:v>
      </x:c>
      <x:c r="Q1712" s="21" t="str">
        <x:v>OPEN</x:v>
      </x:c>
      <x:c r="R1712" s="23" t="str">
        <x:v>HOLD</x:v>
      </x:c>
    </x:row>
    <x:row r="1713">
      <x:c r="B1713" s="21" t="str">
        <x:v>AR-01707</x:v>
      </x:c>
      <x:c r="C1713" s="21" t="str">
        <x:v>F43-I3</x:v>
      </x:c>
      <x:c r="D1713" s="21" t="str">
        <x:v>F43</x:v>
      </x:c>
      <x:c r="E1713" s="21" t="n">
        <x:v>7</x:v>
      </x:c>
      <x:c r="F1713" s="21" t="str">
        <x:v>Independent reproduction</x:v>
      </x:c>
      <x:c r="G1713" s="21" t="n">
        <x:v>28</x:v>
      </x:c>
      <x:c r="H1713" s="21" t="str">
        <x:v>Independent Evidence and Data Authority</x:v>
      </x:c>
      <x:c r="I1713" s="44" t="n">
        <x:f>Lifecycle!G13</x:f>
        <x:v>0.21740562619408393</x:v>
      </x:c>
      <x:c r="J1713" s="44" t="n">
        <x:v>0.08</x:v>
      </x:c>
      <x:c r="K1713" s="44" t="n">
        <x:f>I1713*J1713</x:f>
        <x:v>0.017392450095526715</x:v>
      </x:c>
      <x:c r="L1713" s="46" t="n">
        <x:v>0</x:v>
      </x:c>
      <x:c r="M1713" s="46" t="n">
        <x:v>0</x:v>
      </x:c>
      <x:c r="N1713" s="21" t="n">
        <x:f>IF(AND(L1712=1,M1712=1,P1712&gt;0),1,0)</x:f>
        <x:v>0</x:v>
      </x:c>
      <x:c r="O1713" s="21" t="n">
        <x:f>MIN('Root Data'!I517:I519)</x:f>
        <x:v>0</x:v>
      </x:c>
      <x:c r="P1713" s="44" t="n">
        <x:f>IF(AND(L1713=1,M1713=1,N1713=1,O1713&gt;=G1713),K1713,0)</x:f>
        <x:v>0</x:v>
      </x:c>
      <x:c r="Q1713" s="21" t="str">
        <x:v>OPEN</x:v>
      </x:c>
      <x:c r="R1713" s="23" t="str">
        <x:v>HOLD</x:v>
      </x:c>
    </x:row>
    <x:row r="1714">
      <x:c r="B1714" s="21" t="str">
        <x:v>AR-01708</x:v>
      </x:c>
      <x:c r="C1714" s="21" t="str">
        <x:v>F43-I3</x:v>
      </x:c>
      <x:c r="D1714" s="21" t="str">
        <x:v>F43</x:v>
      </x:c>
      <x:c r="E1714" s="21" t="n">
        <x:v>8</x:v>
      </x:c>
      <x:c r="F1714" s="21" t="str">
        <x:v>Pilot-process qualification</x:v>
      </x:c>
      <x:c r="G1714" s="21" t="n">
        <x:v>28</x:v>
      </x:c>
      <x:c r="H1714" s="21" t="str">
        <x:v>AIMC Industrial Mobilization Authority</x:v>
      </x:c>
      <x:c r="I1714" s="44" t="n">
        <x:f>Lifecycle!G14</x:f>
        <x:v>0.03952829567165163</x:v>
      </x:c>
      <x:c r="J1714" s="44" t="n">
        <x:v>0.08</x:v>
      </x:c>
      <x:c r="K1714" s="44" t="n">
        <x:f>I1714*J1714</x:f>
        <x:v>0.0031622636537321303</x:v>
      </x:c>
      <x:c r="L1714" s="46" t="n">
        <x:v>0</x:v>
      </x:c>
      <x:c r="M1714" s="46" t="n">
        <x:v>0</x:v>
      </x:c>
      <x:c r="N1714" s="21" t="n">
        <x:f>IF(AND(L1713=1,M1713=1,P1713&gt;0),1,0)</x:f>
        <x:v>0</x:v>
      </x:c>
      <x:c r="O1714" s="21" t="n">
        <x:f>MIN('Root Data'!I517:I519)</x:f>
        <x:v>0</x:v>
      </x:c>
      <x:c r="P1714" s="44" t="n">
        <x:f>IF(AND(L1714=1,M1714=1,N1714=1,O1714&gt;=G1714),K1714,0)</x:f>
        <x:v>0</x:v>
      </x:c>
      <x:c r="Q1714" s="21" t="str">
        <x:v>OPEN</x:v>
      </x:c>
      <x:c r="R1714" s="23" t="str">
        <x:v>HOLD</x:v>
      </x:c>
    </x:row>
    <x:row r="1715">
      <x:c r="B1715" s="21" t="str">
        <x:v>AR-01709</x:v>
      </x:c>
      <x:c r="C1715" s="21" t="str">
        <x:v>F43-I3</x:v>
      </x:c>
      <x:c r="D1715" s="21" t="str">
        <x:v>F43</x:v>
      </x:c>
      <x:c r="E1715" s="21" t="n">
        <x:v>9</x:v>
      </x:c>
      <x:c r="F1715" s="21" t="str">
        <x:v>Production release package</x:v>
      </x:c>
      <x:c r="G1715" s="21" t="n">
        <x:v>28</x:v>
      </x:c>
      <x:c r="H1715" s="21" t="str">
        <x:v>Production Release Board</x:v>
      </x:c>
      <x:c r="I1715" s="44" t="n">
        <x:f>Lifecycle!G15</x:f>
        <x:v>0.01647012319652151</x:v>
      </x:c>
      <x:c r="J1715" s="44" t="n">
        <x:v>0.08</x:v>
      </x:c>
      <x:c r="K1715" s="44" t="n">
        <x:f>I1715*J1715</x:f>
        <x:v>0.0013176098557217209</x:v>
      </x:c>
      <x:c r="L1715" s="46" t="n">
        <x:v>0</x:v>
      </x:c>
      <x:c r="M1715" s="46" t="n">
        <x:v>0</x:v>
      </x:c>
      <x:c r="N1715" s="21" t="n">
        <x:f>IF(AND(L1714=1,M1714=1,P1714&gt;0),1,0)</x:f>
        <x:v>0</x:v>
      </x:c>
      <x:c r="O1715" s="21" t="n">
        <x:f>MIN('Root Data'!I517:I519)</x:f>
        <x:v>0</x:v>
      </x:c>
      <x:c r="P1715" s="44" t="n">
        <x:f>IF(AND(L1715=1,M1715=1,N1715=1,O1715&gt;=G1715),K1715,0)</x:f>
        <x:v>0</x:v>
      </x:c>
      <x:c r="Q1715" s="21" t="str">
        <x:v>OPEN</x:v>
      </x:c>
      <x:c r="R1715" s="23" t="str">
        <x:v>HOLD</x:v>
      </x:c>
    </x:row>
    <x:row r="1716">
      <x:c r="B1716" s="21" t="str">
        <x:v>AR-01710</x:v>
      </x:c>
      <x:c r="C1716" s="21" t="str">
        <x:v>F43-I3</x:v>
      </x:c>
      <x:c r="D1716" s="21" t="str">
        <x:v>F43</x:v>
      </x:c>
      <x:c r="E1716" s="21" t="n">
        <x:v>10</x:v>
      </x:c>
      <x:c r="F1716" s="21" t="str">
        <x:v>Mobilization activation</x:v>
      </x:c>
      <x:c r="G1716" s="21" t="n">
        <x:v>28</x:v>
      </x:c>
      <x:c r="H1716" s="21" t="str">
        <x:v>Production Release Board</x:v>
      </x:c>
      <x:c r="I1716" s="44" t="n">
        <x:f>Lifecycle!G16</x:f>
        <x:v>0.028262731405230914</x:v>
      </x:c>
      <x:c r="J1716" s="44" t="n">
        <x:v>0.08</x:v>
      </x:c>
      <x:c r="K1716" s="44" t="n">
        <x:f>I1716*J1716</x:f>
        <x:v>0.002261018512418473</x:v>
      </x:c>
      <x:c r="L1716" s="46" t="n">
        <x:v>0</x:v>
      </x:c>
      <x:c r="M1716" s="46" t="n">
        <x:v>0</x:v>
      </x:c>
      <x:c r="N1716" s="21" t="n">
        <x:f>IF(AND(L1715=1,M1715=1,P1715&gt;0),1,0)</x:f>
        <x:v>0</x:v>
      </x:c>
      <x:c r="O1716" s="21" t="n">
        <x:f>MIN('Root Data'!I517:I519)</x:f>
        <x:v>0</x:v>
      </x:c>
      <x:c r="P1716" s="44" t="n">
        <x:f>IF(AND(L1716=1,M1716=1,N1716=1,O1716&gt;=G1716),K1716,0)</x:f>
        <x:v>0</x:v>
      </x:c>
      <x:c r="Q1716" s="21" t="str">
        <x:v>OPEN</x:v>
      </x:c>
      <x:c r="R1716" s="23" t="str">
        <x:v>HOLD</x:v>
      </x:c>
    </x:row>
    <x:row r="1717">
      <x:c r="B1717" s="21" t="str">
        <x:v>AR-01711</x:v>
      </x:c>
      <x:c r="C1717" s="21" t="str">
        <x:v>F43-I4</x:v>
      </x:c>
      <x:c r="D1717" s="21" t="str">
        <x:v>F43</x:v>
      </x:c>
      <x:c r="E1717" s="21" t="n">
        <x:v>1</x:v>
      </x:c>
      <x:c r="F1717" s="21" t="str">
        <x:v>Civil effect charter</x:v>
      </x:c>
      <x:c r="G1717" s="21" t="n">
        <x:v>0</x:v>
      </x:c>
      <x:c r="H1717" s="21" t="str">
        <x:v>Civil Guarantee Authority</x:v>
      </x:c>
      <x:c r="I1717" s="44" t="n">
        <x:f>Lifecycle!G7</x:f>
        <x:v>0.04941036958956453</x:v>
      </x:c>
      <x:c r="J1717" s="44" t="n">
        <x:v>0.08</x:v>
      </x:c>
      <x:c r="K1717" s="44" t="n">
        <x:f>I1717*J1717</x:f>
        <x:v>0.003952829567165163</x:v>
      </x:c>
      <x:c r="L1717" s="46" t="n">
        <x:v>0</x:v>
      </x:c>
      <x:c r="M1717" s="46" t="n">
        <x:v>0</x:v>
      </x:c>
      <x:c r="N1717" s="21" t="n">
        <x:f>1</x:f>
        <x:v>1</x:v>
      </x:c>
      <x:c r="O1717" s="21" t="n">
        <x:f>MIN('Root Data'!I520:I522)</x:f>
        <x:v>0</x:v>
      </x:c>
      <x:c r="P1717" s="44" t="n">
        <x:f>IF(AND(L1717=1,M1717=1,N1717=1,O1717&gt;=G1717),K1717,0)</x:f>
        <x:v>0</x:v>
      </x:c>
      <x:c r="Q1717" s="21" t="str">
        <x:v>OPEN</x:v>
      </x:c>
      <x:c r="R1717" s="23" t="str">
        <x:v>HOLD</x:v>
      </x:c>
    </x:row>
    <x:row r="1718">
      <x:c r="B1718" s="21" t="str">
        <x:v>AR-01712</x:v>
      </x:c>
      <x:c r="C1718" s="21" t="str">
        <x:v>F43-I4</x:v>
      </x:c>
      <x:c r="D1718" s="21" t="str">
        <x:v>F43</x:v>
      </x:c>
      <x:c r="E1718" s="21" t="n">
        <x:v>2</x:v>
      </x:c>
      <x:c r="F1718" s="21" t="str">
        <x:v>Requirement and root-independence package</x:v>
      </x:c>
      <x:c r="G1718" s="21" t="n">
        <x:v>8</x:v>
      </x:c>
      <x:c r="H1718" s="21" t="str">
        <x:v>Resilience Staff</x:v>
      </x:c>
      <x:c r="I1718" s="44" t="n">
        <x:f>Lifecycle!G8</x:f>
        <x:v>0.10211476381843337</x:v>
      </x:c>
      <x:c r="J1718" s="44" t="n">
        <x:v>0.08</x:v>
      </x:c>
      <x:c r="K1718" s="44" t="n">
        <x:f>I1718*J1718</x:f>
        <x:v>0.00816918110547467</x:v>
      </x:c>
      <x:c r="L1718" s="46" t="n">
        <x:v>0</x:v>
      </x:c>
      <x:c r="M1718" s="46" t="n">
        <x:v>0</x:v>
      </x:c>
      <x:c r="N1718" s="21" t="n">
        <x:f>IF(AND(L1717=1,M1717=1,P1717&gt;0),1,0)</x:f>
        <x:v>0</x:v>
      </x:c>
      <x:c r="O1718" s="21" t="n">
        <x:f>MIN('Root Data'!I520:I522)</x:f>
        <x:v>0</x:v>
      </x:c>
      <x:c r="P1718" s="44" t="n">
        <x:f>IF(AND(L1718=1,M1718=1,N1718=1,O1718&gt;=G1718),K1718,0)</x:f>
        <x:v>0</x:v>
      </x:c>
      <x:c r="Q1718" s="21" t="str">
        <x:v>OPEN</x:v>
      </x:c>
      <x:c r="R1718" s="23" t="str">
        <x:v>HOLD</x:v>
      </x:c>
    </x:row>
    <x:row r="1719">
      <x:c r="B1719" s="21" t="str">
        <x:v>AR-01713</x:v>
      </x:c>
      <x:c r="C1719" s="21" t="str">
        <x:v>F43-I4</x:v>
      </x:c>
      <x:c r="D1719" s="21" t="str">
        <x:v>F43</x:v>
      </x:c>
      <x:c r="E1719" s="21" t="n">
        <x:v>3</x:v>
      </x:c>
      <x:c r="F1719" s="21" t="str">
        <x:v>Architecture and burden closure</x:v>
      </x:c>
      <x:c r="G1719" s="21" t="n">
        <x:v>14</x:v>
      </x:c>
      <x:c r="H1719" s="21" t="str">
        <x:v>Independent Evidence and Data Authority</x:v>
      </x:c>
      <x:c r="I1719" s="44" t="n">
        <x:f>Lifecycle!G9</x:f>
        <x:v>0.08564464062191186</x:v>
      </x:c>
      <x:c r="J1719" s="44" t="n">
        <x:v>0.08</x:v>
      </x:c>
      <x:c r="K1719" s="44" t="n">
        <x:f>I1719*J1719</x:f>
        <x:v>0.006851571249752949</x:v>
      </x:c>
      <x:c r="L1719" s="46" t="n">
        <x:v>0</x:v>
      </x:c>
      <x:c r="M1719" s="46" t="n">
        <x:v>0</x:v>
      </x:c>
      <x:c r="N1719" s="21" t="n">
        <x:f>IF(AND(L1718=1,M1718=1,P1718&gt;0),1,0)</x:f>
        <x:v>0</x:v>
      </x:c>
      <x:c r="O1719" s="21" t="n">
        <x:f>MIN('Root Data'!I520:I522)</x:f>
        <x:v>0</x:v>
      </x:c>
      <x:c r="P1719" s="44" t="n">
        <x:f>IF(AND(L1719=1,M1719=1,N1719=1,O1719&gt;=G1719),K1719,0)</x:f>
        <x:v>0</x:v>
      </x:c>
      <x:c r="Q1719" s="21" t="str">
        <x:v>OPEN</x:v>
      </x:c>
      <x:c r="R1719" s="23" t="str">
        <x:v>HOLD</x:v>
      </x:c>
    </x:row>
    <x:row r="1720">
      <x:c r="B1720" s="21" t="str">
        <x:v>AR-01714</x:v>
      </x:c>
      <x:c r="C1720" s="21" t="str">
        <x:v>F43-I4</x:v>
      </x:c>
      <x:c r="D1720" s="21" t="str">
        <x:v>F43</x:v>
      </x:c>
      <x:c r="E1720" s="21" t="n">
        <x:v>4</x:v>
      </x:c>
      <x:c r="F1720" s="21" t="str">
        <x:v>Engineering article acceptance</x:v>
      </x:c>
      <x:c r="G1720" s="21" t="n">
        <x:v>18</x:v>
      </x:c>
      <x:c r="H1720" s="21" t="str">
        <x:v>Independent Evidence and Data Authority</x:v>
      </x:c>
      <x:c r="I1720" s="44" t="n">
        <x:f>Lifecycle!G10</x:f>
        <x:v>0.05929244350747744</x:v>
      </x:c>
      <x:c r="J1720" s="44" t="n">
        <x:v>0.08</x:v>
      </x:c>
      <x:c r="K1720" s="44" t="n">
        <x:f>I1720*J1720</x:f>
        <x:v>0.004743395480598196</x:v>
      </x:c>
      <x:c r="L1720" s="46" t="n">
        <x:v>0</x:v>
      </x:c>
      <x:c r="M1720" s="46" t="n">
        <x:v>0</x:v>
      </x:c>
      <x:c r="N1720" s="21" t="n">
        <x:f>IF(AND(L1719=1,M1719=1,P1719&gt;0),1,0)</x:f>
        <x:v>0</x:v>
      </x:c>
      <x:c r="O1720" s="21" t="n">
        <x:f>MIN('Root Data'!I520:I522)</x:f>
        <x:v>0</x:v>
      </x:c>
      <x:c r="P1720" s="44" t="n">
        <x:f>IF(AND(L1720=1,M1720=1,N1720=1,O1720&gt;=G1720),K1720,0)</x:f>
        <x:v>0</x:v>
      </x:c>
      <x:c r="Q1720" s="21" t="str">
        <x:v>OPEN</x:v>
      </x:c>
      <x:c r="R1720" s="23" t="str">
        <x:v>HOLD</x:v>
      </x:c>
    </x:row>
    <x:row r="1721">
      <x:c r="B1721" s="21" t="str">
        <x:v>AR-01715</x:v>
      </x:c>
      <x:c r="C1721" s="21" t="str">
        <x:v>F43-I4</x:v>
      </x:c>
      <x:c r="D1721" s="21" t="str">
        <x:v>F43</x:v>
      </x:c>
      <x:c r="E1721" s="21" t="n">
        <x:v>5</x:v>
      </x:c>
      <x:c r="F1721" s="21" t="str">
        <x:v>Qualification and destructive evidence</x:v>
      </x:c>
      <x:c r="G1721" s="21" t="n">
        <x:v>21</x:v>
      </x:c>
      <x:c r="H1721" s="21" t="str">
        <x:v>Independent Evidence and Data Authority</x:v>
      </x:c>
      <x:c r="I1721" s="44" t="n">
        <x:f>Lifecycle!G11</x:f>
        <x:v>0.1515251334079979</x:v>
      </x:c>
      <x:c r="J1721" s="44" t="n">
        <x:v>0.08</x:v>
      </x:c>
      <x:c r="K1721" s="44" t="n">
        <x:f>I1721*J1721</x:f>
        <x:v>0.012122010672639832</x:v>
      </x:c>
      <x:c r="L1721" s="46" t="n">
        <x:v>0</x:v>
      </x:c>
      <x:c r="M1721" s="46" t="n">
        <x:v>0</x:v>
      </x:c>
      <x:c r="N1721" s="21" t="n">
        <x:f>IF(AND(L1720=1,M1720=1,P1720&gt;0),1,0)</x:f>
        <x:v>0</x:v>
      </x:c>
      <x:c r="O1721" s="21" t="n">
        <x:f>MIN('Root Data'!I520:I522)</x:f>
        <x:v>0</x:v>
      </x:c>
      <x:c r="P1721" s="44" t="n">
        <x:f>IF(AND(L1721=1,M1721=1,N1721=1,O1721&gt;=G1721),K1721,0)</x:f>
        <x:v>0</x:v>
      </x:c>
      <x:c r="Q1721" s="21" t="str">
        <x:v>OPEN</x:v>
      </x:c>
      <x:c r="R1721" s="23" t="str">
        <x:v>HOLD</x:v>
      </x:c>
    </x:row>
    <x:row r="1722">
      <x:c r="B1722" s="21" t="str">
        <x:v>AR-01716</x:v>
      </x:c>
      <x:c r="C1722" s="21" t="str">
        <x:v>F43-I4</x:v>
      </x:c>
      <x:c r="D1722" s="21" t="str">
        <x:v>F43</x:v>
      </x:c>
      <x:c r="E1722" s="21" t="n">
        <x:v>6</x:v>
      </x:c>
      <x:c r="F1722" s="21" t="str">
        <x:v>Representative mission result</x:v>
      </x:c>
      <x:c r="G1722" s="21" t="n">
        <x:v>23</x:v>
      </x:c>
      <x:c r="H1722" s="21" t="str">
        <x:v>Receiving Service Authority</x:v>
      </x:c>
      <x:c r="I1722" s="44" t="n">
        <x:f>Lifecycle!G12</x:f>
        <x:v>0.250345872587127</x:v>
      </x:c>
      <x:c r="J1722" s="44" t="n">
        <x:v>0.08</x:v>
      </x:c>
      <x:c r="K1722" s="44" t="n">
        <x:f>I1722*J1722</x:f>
        <x:v>0.02002766980697016</x:v>
      </x:c>
      <x:c r="L1722" s="46" t="n">
        <x:v>0</x:v>
      </x:c>
      <x:c r="M1722" s="46" t="n">
        <x:v>0</x:v>
      </x:c>
      <x:c r="N1722" s="21" t="n">
        <x:f>IF(AND(L1721=1,M1721=1,P1721&gt;0),1,0)</x:f>
        <x:v>0</x:v>
      </x:c>
      <x:c r="O1722" s="21" t="n">
        <x:f>MIN('Root Data'!I520:I522)</x:f>
        <x:v>0</x:v>
      </x:c>
      <x:c r="P1722" s="44" t="n">
        <x:f>IF(AND(L1722=1,M1722=1,N1722=1,O1722&gt;=G1722),K1722,0)</x:f>
        <x:v>0</x:v>
      </x:c>
      <x:c r="Q1722" s="21" t="str">
        <x:v>OPEN</x:v>
      </x:c>
      <x:c r="R1722" s="23" t="str">
        <x:v>HOLD</x:v>
      </x:c>
    </x:row>
    <x:row r="1723">
      <x:c r="B1723" s="21" t="str">
        <x:v>AR-01717</x:v>
      </x:c>
      <x:c r="C1723" s="21" t="str">
        <x:v>F43-I4</x:v>
      </x:c>
      <x:c r="D1723" s="21" t="str">
        <x:v>F43</x:v>
      </x:c>
      <x:c r="E1723" s="21" t="n">
        <x:v>7</x:v>
      </x:c>
      <x:c r="F1723" s="21" t="str">
        <x:v>Independent reproduction</x:v>
      </x:c>
      <x:c r="G1723" s="21" t="n">
        <x:v>28</x:v>
      </x:c>
      <x:c r="H1723" s="21" t="str">
        <x:v>Independent Evidence and Data Authority</x:v>
      </x:c>
      <x:c r="I1723" s="44" t="n">
        <x:f>Lifecycle!G13</x:f>
        <x:v>0.21740562619408393</x:v>
      </x:c>
      <x:c r="J1723" s="44" t="n">
        <x:v>0.08</x:v>
      </x:c>
      <x:c r="K1723" s="44" t="n">
        <x:f>I1723*J1723</x:f>
        <x:v>0.017392450095526715</x:v>
      </x:c>
      <x:c r="L1723" s="46" t="n">
        <x:v>0</x:v>
      </x:c>
      <x:c r="M1723" s="46" t="n">
        <x:v>0</x:v>
      </x:c>
      <x:c r="N1723" s="21" t="n">
        <x:f>IF(AND(L1722=1,M1722=1,P1722&gt;0),1,0)</x:f>
        <x:v>0</x:v>
      </x:c>
      <x:c r="O1723" s="21" t="n">
        <x:f>MIN('Root Data'!I520:I522)</x:f>
        <x:v>0</x:v>
      </x:c>
      <x:c r="P1723" s="44" t="n">
        <x:f>IF(AND(L1723=1,M1723=1,N1723=1,O1723&gt;=G1723),K1723,0)</x:f>
        <x:v>0</x:v>
      </x:c>
      <x:c r="Q1723" s="21" t="str">
        <x:v>OPEN</x:v>
      </x:c>
      <x:c r="R1723" s="23" t="str">
        <x:v>HOLD</x:v>
      </x:c>
    </x:row>
    <x:row r="1724">
      <x:c r="B1724" s="21" t="str">
        <x:v>AR-01718</x:v>
      </x:c>
      <x:c r="C1724" s="21" t="str">
        <x:v>F43-I4</x:v>
      </x:c>
      <x:c r="D1724" s="21" t="str">
        <x:v>F43</x:v>
      </x:c>
      <x:c r="E1724" s="21" t="n">
        <x:v>8</x:v>
      </x:c>
      <x:c r="F1724" s="21" t="str">
        <x:v>Pilot-process qualification</x:v>
      </x:c>
      <x:c r="G1724" s="21" t="n">
        <x:v>28</x:v>
      </x:c>
      <x:c r="H1724" s="21" t="str">
        <x:v>AIMC Industrial Mobilization Authority</x:v>
      </x:c>
      <x:c r="I1724" s="44" t="n">
        <x:f>Lifecycle!G14</x:f>
        <x:v>0.03952829567165163</x:v>
      </x:c>
      <x:c r="J1724" s="44" t="n">
        <x:v>0.08</x:v>
      </x:c>
      <x:c r="K1724" s="44" t="n">
        <x:f>I1724*J1724</x:f>
        <x:v>0.0031622636537321303</x:v>
      </x:c>
      <x:c r="L1724" s="46" t="n">
        <x:v>0</x:v>
      </x:c>
      <x:c r="M1724" s="46" t="n">
        <x:v>0</x:v>
      </x:c>
      <x:c r="N1724" s="21" t="n">
        <x:f>IF(AND(L1723=1,M1723=1,P1723&gt;0),1,0)</x:f>
        <x:v>0</x:v>
      </x:c>
      <x:c r="O1724" s="21" t="n">
        <x:f>MIN('Root Data'!I520:I522)</x:f>
        <x:v>0</x:v>
      </x:c>
      <x:c r="P1724" s="44" t="n">
        <x:f>IF(AND(L1724=1,M1724=1,N1724=1,O1724&gt;=G1724),K1724,0)</x:f>
        <x:v>0</x:v>
      </x:c>
      <x:c r="Q1724" s="21" t="str">
        <x:v>OPEN</x:v>
      </x:c>
      <x:c r="R1724" s="23" t="str">
        <x:v>HOLD</x:v>
      </x:c>
    </x:row>
    <x:row r="1725">
      <x:c r="B1725" s="21" t="str">
        <x:v>AR-01719</x:v>
      </x:c>
      <x:c r="C1725" s="21" t="str">
        <x:v>F43-I4</x:v>
      </x:c>
      <x:c r="D1725" s="21" t="str">
        <x:v>F43</x:v>
      </x:c>
      <x:c r="E1725" s="21" t="n">
        <x:v>9</x:v>
      </x:c>
      <x:c r="F1725" s="21" t="str">
        <x:v>Production release package</x:v>
      </x:c>
      <x:c r="G1725" s="21" t="n">
        <x:v>28</x:v>
      </x:c>
      <x:c r="H1725" s="21" t="str">
        <x:v>Production Release Board</x:v>
      </x:c>
      <x:c r="I1725" s="44" t="n">
        <x:f>Lifecycle!G15</x:f>
        <x:v>0.01647012319652151</x:v>
      </x:c>
      <x:c r="J1725" s="44" t="n">
        <x:v>0.08</x:v>
      </x:c>
      <x:c r="K1725" s="44" t="n">
        <x:f>I1725*J1725</x:f>
        <x:v>0.0013176098557217209</x:v>
      </x:c>
      <x:c r="L1725" s="46" t="n">
        <x:v>0</x:v>
      </x:c>
      <x:c r="M1725" s="46" t="n">
        <x:v>0</x:v>
      </x:c>
      <x:c r="N1725" s="21" t="n">
        <x:f>IF(AND(L1724=1,M1724=1,P1724&gt;0),1,0)</x:f>
        <x:v>0</x:v>
      </x:c>
      <x:c r="O1725" s="21" t="n">
        <x:f>MIN('Root Data'!I520:I522)</x:f>
        <x:v>0</x:v>
      </x:c>
      <x:c r="P1725" s="44" t="n">
        <x:f>IF(AND(L1725=1,M1725=1,N1725=1,O1725&gt;=G1725),K1725,0)</x:f>
        <x:v>0</x:v>
      </x:c>
      <x:c r="Q1725" s="21" t="str">
        <x:v>OPEN</x:v>
      </x:c>
      <x:c r="R1725" s="23" t="str">
        <x:v>HOLD</x:v>
      </x:c>
    </x:row>
    <x:row r="1726">
      <x:c r="B1726" s="21" t="str">
        <x:v>AR-01720</x:v>
      </x:c>
      <x:c r="C1726" s="21" t="str">
        <x:v>F43-I4</x:v>
      </x:c>
      <x:c r="D1726" s="21" t="str">
        <x:v>F43</x:v>
      </x:c>
      <x:c r="E1726" s="21" t="n">
        <x:v>10</x:v>
      </x:c>
      <x:c r="F1726" s="21" t="str">
        <x:v>Mobilization activation</x:v>
      </x:c>
      <x:c r="G1726" s="21" t="n">
        <x:v>28</x:v>
      </x:c>
      <x:c r="H1726" s="21" t="str">
        <x:v>Production Release Board</x:v>
      </x:c>
      <x:c r="I1726" s="44" t="n">
        <x:f>Lifecycle!G16</x:f>
        <x:v>0.028262731405230914</x:v>
      </x:c>
      <x:c r="J1726" s="44" t="n">
        <x:v>0.08</x:v>
      </x:c>
      <x:c r="K1726" s="44" t="n">
        <x:f>I1726*J1726</x:f>
        <x:v>0.002261018512418473</x:v>
      </x:c>
      <x:c r="L1726" s="46" t="n">
        <x:v>0</x:v>
      </x:c>
      <x:c r="M1726" s="46" t="n">
        <x:v>0</x:v>
      </x:c>
      <x:c r="N1726" s="21" t="n">
        <x:f>IF(AND(L1725=1,M1725=1,P1725&gt;0),1,0)</x:f>
        <x:v>0</x:v>
      </x:c>
      <x:c r="O1726" s="21" t="n">
        <x:f>MIN('Root Data'!I520:I522)</x:f>
        <x:v>0</x:v>
      </x:c>
      <x:c r="P1726" s="44" t="n">
        <x:f>IF(AND(L1726=1,M1726=1,N1726=1,O1726&gt;=G1726),K1726,0)</x:f>
        <x:v>0</x:v>
      </x:c>
      <x:c r="Q1726" s="21" t="str">
        <x:v>OPEN</x:v>
      </x:c>
      <x:c r="R1726" s="23" t="str">
        <x:v>HOLD</x:v>
      </x:c>
    </x:row>
    <x:row r="1727">
      <x:c r="B1727" s="21" t="str">
        <x:v>AR-01721</x:v>
      </x:c>
      <x:c r="C1727" s="21" t="str">
        <x:v>F44-I1</x:v>
      </x:c>
      <x:c r="D1727" s="21" t="str">
        <x:v>F44</x:v>
      </x:c>
      <x:c r="E1727" s="21" t="n">
        <x:v>1</x:v>
      </x:c>
      <x:c r="F1727" s="21" t="str">
        <x:v>Civil effect charter</x:v>
      </x:c>
      <x:c r="G1727" s="21" t="n">
        <x:v>0</x:v>
      </x:c>
      <x:c r="H1727" s="21" t="str">
        <x:v>Civil Guarantee Authority</x:v>
      </x:c>
      <x:c r="I1727" s="44" t="n">
        <x:f>Lifecycle!G7</x:f>
        <x:v>0.04941036958956453</x:v>
      </x:c>
      <x:c r="J1727" s="44" t="n">
        <x:v>0.06895</x:v>
      </x:c>
      <x:c r="K1727" s="44" t="n">
        <x:f>I1727*J1727</x:f>
        <x:v>0.003406844983200474</x:v>
      </x:c>
      <x:c r="L1727" s="46" t="n">
        <x:v>0</x:v>
      </x:c>
      <x:c r="M1727" s="46" t="n">
        <x:v>0</x:v>
      </x:c>
      <x:c r="N1727" s="21" t="n">
        <x:f>1</x:f>
        <x:v>1</x:v>
      </x:c>
      <x:c r="O1727" s="21" t="n">
        <x:f>MIN('Root Data'!I523:I525)</x:f>
        <x:v>0</x:v>
      </x:c>
      <x:c r="P1727" s="44" t="n">
        <x:f>IF(AND(L1727=1,M1727=1,N1727=1,O1727&gt;=G1727),K1727,0)</x:f>
        <x:v>0</x:v>
      </x:c>
      <x:c r="Q1727" s="21" t="str">
        <x:v>OPEN</x:v>
      </x:c>
      <x:c r="R1727" s="23" t="str">
        <x:v>HOLD</x:v>
      </x:c>
    </x:row>
    <x:row r="1728">
      <x:c r="B1728" s="21" t="str">
        <x:v>AR-01722</x:v>
      </x:c>
      <x:c r="C1728" s="21" t="str">
        <x:v>F44-I1</x:v>
      </x:c>
      <x:c r="D1728" s="21" t="str">
        <x:v>F44</x:v>
      </x:c>
      <x:c r="E1728" s="21" t="n">
        <x:v>2</x:v>
      </x:c>
      <x:c r="F1728" s="21" t="str">
        <x:v>Requirement and root-independence package</x:v>
      </x:c>
      <x:c r="G1728" s="21" t="n">
        <x:v>8</x:v>
      </x:c>
      <x:c r="H1728" s="21" t="str">
        <x:v>Resilience Staff</x:v>
      </x:c>
      <x:c r="I1728" s="44" t="n">
        <x:f>Lifecycle!G8</x:f>
        <x:v>0.10211476381843337</x:v>
      </x:c>
      <x:c r="J1728" s="44" t="n">
        <x:v>0.06895</x:v>
      </x:c>
      <x:c r="K1728" s="44" t="n">
        <x:f>I1728*J1728</x:f>
        <x:v>0.007040812965280981</x:v>
      </x:c>
      <x:c r="L1728" s="46" t="n">
        <x:v>0</x:v>
      </x:c>
      <x:c r="M1728" s="46" t="n">
        <x:v>0</x:v>
      </x:c>
      <x:c r="N1728" s="21" t="n">
        <x:f>IF(AND(L1727=1,M1727=1,P1727&gt;0),1,0)</x:f>
        <x:v>0</x:v>
      </x:c>
      <x:c r="O1728" s="21" t="n">
        <x:f>MIN('Root Data'!I523:I525)</x:f>
        <x:v>0</x:v>
      </x:c>
      <x:c r="P1728" s="44" t="n">
        <x:f>IF(AND(L1728=1,M1728=1,N1728=1,O1728&gt;=G1728),K1728,0)</x:f>
        <x:v>0</x:v>
      </x:c>
      <x:c r="Q1728" s="21" t="str">
        <x:v>OPEN</x:v>
      </x:c>
      <x:c r="R1728" s="23" t="str">
        <x:v>HOLD</x:v>
      </x:c>
    </x:row>
    <x:row r="1729">
      <x:c r="B1729" s="21" t="str">
        <x:v>AR-01723</x:v>
      </x:c>
      <x:c r="C1729" s="21" t="str">
        <x:v>F44-I1</x:v>
      </x:c>
      <x:c r="D1729" s="21" t="str">
        <x:v>F44</x:v>
      </x:c>
      <x:c r="E1729" s="21" t="n">
        <x:v>3</x:v>
      </x:c>
      <x:c r="F1729" s="21" t="str">
        <x:v>Architecture and burden closure</x:v>
      </x:c>
      <x:c r="G1729" s="21" t="n">
        <x:v>14</x:v>
      </x:c>
      <x:c r="H1729" s="21" t="str">
        <x:v>Independent Evidence and Data Authority</x:v>
      </x:c>
      <x:c r="I1729" s="44" t="n">
        <x:f>Lifecycle!G9</x:f>
        <x:v>0.08564464062191186</x:v>
      </x:c>
      <x:c r="J1729" s="44" t="n">
        <x:v>0.06895</x:v>
      </x:c>
      <x:c r="K1729" s="44" t="n">
        <x:f>I1729*J1729</x:f>
        <x:v>0.005905197970880823</x:v>
      </x:c>
      <x:c r="L1729" s="46" t="n">
        <x:v>0</x:v>
      </x:c>
      <x:c r="M1729" s="46" t="n">
        <x:v>0</x:v>
      </x:c>
      <x:c r="N1729" s="21" t="n">
        <x:f>IF(AND(L1728=1,M1728=1,P1728&gt;0),1,0)</x:f>
        <x:v>0</x:v>
      </x:c>
      <x:c r="O1729" s="21" t="n">
        <x:f>MIN('Root Data'!I523:I525)</x:f>
        <x:v>0</x:v>
      </x:c>
      <x:c r="P1729" s="44" t="n">
        <x:f>IF(AND(L1729=1,M1729=1,N1729=1,O1729&gt;=G1729),K1729,0)</x:f>
        <x:v>0</x:v>
      </x:c>
      <x:c r="Q1729" s="21" t="str">
        <x:v>OPEN</x:v>
      </x:c>
      <x:c r="R1729" s="23" t="str">
        <x:v>HOLD</x:v>
      </x:c>
    </x:row>
    <x:row r="1730">
      <x:c r="B1730" s="21" t="str">
        <x:v>AR-01724</x:v>
      </x:c>
      <x:c r="C1730" s="21" t="str">
        <x:v>F44-I1</x:v>
      </x:c>
      <x:c r="D1730" s="21" t="str">
        <x:v>F44</x:v>
      </x:c>
      <x:c r="E1730" s="21" t="n">
        <x:v>4</x:v>
      </x:c>
      <x:c r="F1730" s="21" t="str">
        <x:v>Engineering article acceptance</x:v>
      </x:c>
      <x:c r="G1730" s="21" t="n">
        <x:v>18</x:v>
      </x:c>
      <x:c r="H1730" s="21" t="str">
        <x:v>Independent Evidence and Data Authority</x:v>
      </x:c>
      <x:c r="I1730" s="44" t="n">
        <x:f>Lifecycle!G10</x:f>
        <x:v>0.05929244350747744</x:v>
      </x:c>
      <x:c r="J1730" s="44" t="n">
        <x:v>0.06895</x:v>
      </x:c>
      <x:c r="K1730" s="44" t="n">
        <x:f>I1730*J1730</x:f>
        <x:v>0.004088213979840569</x:v>
      </x:c>
      <x:c r="L1730" s="46" t="n">
        <x:v>0</x:v>
      </x:c>
      <x:c r="M1730" s="46" t="n">
        <x:v>0</x:v>
      </x:c>
      <x:c r="N1730" s="21" t="n">
        <x:f>IF(AND(L1729=1,M1729=1,P1729&gt;0),1,0)</x:f>
        <x:v>0</x:v>
      </x:c>
      <x:c r="O1730" s="21" t="n">
        <x:f>MIN('Root Data'!I523:I525)</x:f>
        <x:v>0</x:v>
      </x:c>
      <x:c r="P1730" s="44" t="n">
        <x:f>IF(AND(L1730=1,M1730=1,N1730=1,O1730&gt;=G1730),K1730,0)</x:f>
        <x:v>0</x:v>
      </x:c>
      <x:c r="Q1730" s="21" t="str">
        <x:v>OPEN</x:v>
      </x:c>
      <x:c r="R1730" s="23" t="str">
        <x:v>HOLD</x:v>
      </x:c>
    </x:row>
    <x:row r="1731">
      <x:c r="B1731" s="21" t="str">
        <x:v>AR-01725</x:v>
      </x:c>
      <x:c r="C1731" s="21" t="str">
        <x:v>F44-I1</x:v>
      </x:c>
      <x:c r="D1731" s="21" t="str">
        <x:v>F44</x:v>
      </x:c>
      <x:c r="E1731" s="21" t="n">
        <x:v>5</x:v>
      </x:c>
      <x:c r="F1731" s="21" t="str">
        <x:v>Qualification and destructive evidence</x:v>
      </x:c>
      <x:c r="G1731" s="21" t="n">
        <x:v>21</x:v>
      </x:c>
      <x:c r="H1731" s="21" t="str">
        <x:v>Independent Evidence and Data Authority</x:v>
      </x:c>
      <x:c r="I1731" s="44" t="n">
        <x:f>Lifecycle!G11</x:f>
        <x:v>0.1515251334079979</x:v>
      </x:c>
      <x:c r="J1731" s="44" t="n">
        <x:v>0.06895</x:v>
      </x:c>
      <x:c r="K1731" s="44" t="n">
        <x:f>I1731*J1731</x:f>
        <x:v>0.010447657948481454</x:v>
      </x:c>
      <x:c r="L1731" s="46" t="n">
        <x:v>0</x:v>
      </x:c>
      <x:c r="M1731" s="46" t="n">
        <x:v>0</x:v>
      </x:c>
      <x:c r="N1731" s="21" t="n">
        <x:f>IF(AND(L1730=1,M1730=1,P1730&gt;0),1,0)</x:f>
        <x:v>0</x:v>
      </x:c>
      <x:c r="O1731" s="21" t="n">
        <x:f>MIN('Root Data'!I523:I525)</x:f>
        <x:v>0</x:v>
      </x:c>
      <x:c r="P1731" s="44" t="n">
        <x:f>IF(AND(L1731=1,M1731=1,N1731=1,O1731&gt;=G1731),K1731,0)</x:f>
        <x:v>0</x:v>
      </x:c>
      <x:c r="Q1731" s="21" t="str">
        <x:v>OPEN</x:v>
      </x:c>
      <x:c r="R1731" s="23" t="str">
        <x:v>HOLD</x:v>
      </x:c>
    </x:row>
    <x:row r="1732">
      <x:c r="B1732" s="21" t="str">
        <x:v>AR-01726</x:v>
      </x:c>
      <x:c r="C1732" s="21" t="str">
        <x:v>F44-I1</x:v>
      </x:c>
      <x:c r="D1732" s="21" t="str">
        <x:v>F44</x:v>
      </x:c>
      <x:c r="E1732" s="21" t="n">
        <x:v>6</x:v>
      </x:c>
      <x:c r="F1732" s="21" t="str">
        <x:v>Representative mission result</x:v>
      </x:c>
      <x:c r="G1732" s="21" t="n">
        <x:v>23</x:v>
      </x:c>
      <x:c r="H1732" s="21" t="str">
        <x:v>Receiving Service Authority</x:v>
      </x:c>
      <x:c r="I1732" s="44" t="n">
        <x:f>Lifecycle!G12</x:f>
        <x:v>0.250345872587127</x:v>
      </x:c>
      <x:c r="J1732" s="44" t="n">
        <x:v>0.06895</x:v>
      </x:c>
      <x:c r="K1732" s="44" t="n">
        <x:f>I1732*J1732</x:f>
        <x:v>0.017261347914882406</x:v>
      </x:c>
      <x:c r="L1732" s="46" t="n">
        <x:v>0</x:v>
      </x:c>
      <x:c r="M1732" s="46" t="n">
        <x:v>0</x:v>
      </x:c>
      <x:c r="N1732" s="21" t="n">
        <x:f>IF(AND(L1731=1,M1731=1,P1731&gt;0),1,0)</x:f>
        <x:v>0</x:v>
      </x:c>
      <x:c r="O1732" s="21" t="n">
        <x:f>MIN('Root Data'!I523:I525)</x:f>
        <x:v>0</x:v>
      </x:c>
      <x:c r="P1732" s="44" t="n">
        <x:f>IF(AND(L1732=1,M1732=1,N1732=1,O1732&gt;=G1732),K1732,0)</x:f>
        <x:v>0</x:v>
      </x:c>
      <x:c r="Q1732" s="21" t="str">
        <x:v>OPEN</x:v>
      </x:c>
      <x:c r="R1732" s="23" t="str">
        <x:v>HOLD</x:v>
      </x:c>
    </x:row>
    <x:row r="1733">
      <x:c r="B1733" s="21" t="str">
        <x:v>AR-01727</x:v>
      </x:c>
      <x:c r="C1733" s="21" t="str">
        <x:v>F44-I1</x:v>
      </x:c>
      <x:c r="D1733" s="21" t="str">
        <x:v>F44</x:v>
      </x:c>
      <x:c r="E1733" s="21" t="n">
        <x:v>7</x:v>
      </x:c>
      <x:c r="F1733" s="21" t="str">
        <x:v>Independent reproduction</x:v>
      </x:c>
      <x:c r="G1733" s="21" t="n">
        <x:v>28</x:v>
      </x:c>
      <x:c r="H1733" s="21" t="str">
        <x:v>Independent Evidence and Data Authority</x:v>
      </x:c>
      <x:c r="I1733" s="44" t="n">
        <x:f>Lifecycle!G13</x:f>
        <x:v>0.21740562619408393</x:v>
      </x:c>
      <x:c r="J1733" s="44" t="n">
        <x:v>0.06895</x:v>
      </x:c>
      <x:c r="K1733" s="44" t="n">
        <x:f>I1733*J1733</x:f>
        <x:v>0.014990117926082087</x:v>
      </x:c>
      <x:c r="L1733" s="46" t="n">
        <x:v>0</x:v>
      </x:c>
      <x:c r="M1733" s="46" t="n">
        <x:v>0</x:v>
      </x:c>
      <x:c r="N1733" s="21" t="n">
        <x:f>IF(AND(L1732=1,M1732=1,P1732&gt;0),1,0)</x:f>
        <x:v>0</x:v>
      </x:c>
      <x:c r="O1733" s="21" t="n">
        <x:f>MIN('Root Data'!I523:I525)</x:f>
        <x:v>0</x:v>
      </x:c>
      <x:c r="P1733" s="44" t="n">
        <x:f>IF(AND(L1733=1,M1733=1,N1733=1,O1733&gt;=G1733),K1733,0)</x:f>
        <x:v>0</x:v>
      </x:c>
      <x:c r="Q1733" s="21" t="str">
        <x:v>OPEN</x:v>
      </x:c>
      <x:c r="R1733" s="23" t="str">
        <x:v>HOLD</x:v>
      </x:c>
    </x:row>
    <x:row r="1734">
      <x:c r="B1734" s="21" t="str">
        <x:v>AR-01728</x:v>
      </x:c>
      <x:c r="C1734" s="21" t="str">
        <x:v>F44-I1</x:v>
      </x:c>
      <x:c r="D1734" s="21" t="str">
        <x:v>F44</x:v>
      </x:c>
      <x:c r="E1734" s="21" t="n">
        <x:v>8</x:v>
      </x:c>
      <x:c r="F1734" s="21" t="str">
        <x:v>Pilot-process qualification</x:v>
      </x:c>
      <x:c r="G1734" s="21" t="n">
        <x:v>28</x:v>
      </x:c>
      <x:c r="H1734" s="21" t="str">
        <x:v>AIMC Industrial Mobilization Authority</x:v>
      </x:c>
      <x:c r="I1734" s="44" t="n">
        <x:f>Lifecycle!G14</x:f>
        <x:v>0.03952829567165163</x:v>
      </x:c>
      <x:c r="J1734" s="44" t="n">
        <x:v>0.06895</x:v>
      </x:c>
      <x:c r="K1734" s="44" t="n">
        <x:f>I1734*J1734</x:f>
        <x:v>0.0027254759865603796</x:v>
      </x:c>
      <x:c r="L1734" s="46" t="n">
        <x:v>0</x:v>
      </x:c>
      <x:c r="M1734" s="46" t="n">
        <x:v>0</x:v>
      </x:c>
      <x:c r="N1734" s="21" t="n">
        <x:f>IF(AND(L1733=1,M1733=1,P1733&gt;0),1,0)</x:f>
        <x:v>0</x:v>
      </x:c>
      <x:c r="O1734" s="21" t="n">
        <x:f>MIN('Root Data'!I523:I525)</x:f>
        <x:v>0</x:v>
      </x:c>
      <x:c r="P1734" s="44" t="n">
        <x:f>IF(AND(L1734=1,M1734=1,N1734=1,O1734&gt;=G1734),K1734,0)</x:f>
        <x:v>0</x:v>
      </x:c>
      <x:c r="Q1734" s="21" t="str">
        <x:v>OPEN</x:v>
      </x:c>
      <x:c r="R1734" s="23" t="str">
        <x:v>HOLD</x:v>
      </x:c>
    </x:row>
    <x:row r="1735">
      <x:c r="B1735" s="21" t="str">
        <x:v>AR-01729</x:v>
      </x:c>
      <x:c r="C1735" s="21" t="str">
        <x:v>F44-I1</x:v>
      </x:c>
      <x:c r="D1735" s="21" t="str">
        <x:v>F44</x:v>
      </x:c>
      <x:c r="E1735" s="21" t="n">
        <x:v>9</x:v>
      </x:c>
      <x:c r="F1735" s="21" t="str">
        <x:v>Production release package</x:v>
      </x:c>
      <x:c r="G1735" s="21" t="n">
        <x:v>28</x:v>
      </x:c>
      <x:c r="H1735" s="21" t="str">
        <x:v>Production Release Board</x:v>
      </x:c>
      <x:c r="I1735" s="44" t="n">
        <x:f>Lifecycle!G15</x:f>
        <x:v>0.01647012319652151</x:v>
      </x:c>
      <x:c r="J1735" s="44" t="n">
        <x:v>0.06895</x:v>
      </x:c>
      <x:c r="K1735" s="44" t="n">
        <x:f>I1735*J1735</x:f>
        <x:v>0.0011356149944001582</x:v>
      </x:c>
      <x:c r="L1735" s="46" t="n">
        <x:v>0</x:v>
      </x:c>
      <x:c r="M1735" s="46" t="n">
        <x:v>0</x:v>
      </x:c>
      <x:c r="N1735" s="21" t="n">
        <x:f>IF(AND(L1734=1,M1734=1,P1734&gt;0),1,0)</x:f>
        <x:v>0</x:v>
      </x:c>
      <x:c r="O1735" s="21" t="n">
        <x:f>MIN('Root Data'!I523:I525)</x:f>
        <x:v>0</x:v>
      </x:c>
      <x:c r="P1735" s="44" t="n">
        <x:f>IF(AND(L1735=1,M1735=1,N1735=1,O1735&gt;=G1735),K1735,0)</x:f>
        <x:v>0</x:v>
      </x:c>
      <x:c r="Q1735" s="21" t="str">
        <x:v>OPEN</x:v>
      </x:c>
      <x:c r="R1735" s="23" t="str">
        <x:v>HOLD</x:v>
      </x:c>
    </x:row>
    <x:row r="1736">
      <x:c r="B1736" s="21" t="str">
        <x:v>AR-01730</x:v>
      </x:c>
      <x:c r="C1736" s="21" t="str">
        <x:v>F44-I1</x:v>
      </x:c>
      <x:c r="D1736" s="21" t="str">
        <x:v>F44</x:v>
      </x:c>
      <x:c r="E1736" s="21" t="n">
        <x:v>10</x:v>
      </x:c>
      <x:c r="F1736" s="21" t="str">
        <x:v>Mobilization activation</x:v>
      </x:c>
      <x:c r="G1736" s="21" t="n">
        <x:v>28</x:v>
      </x:c>
      <x:c r="H1736" s="21" t="str">
        <x:v>Production Release Board</x:v>
      </x:c>
      <x:c r="I1736" s="44" t="n">
        <x:f>Lifecycle!G16</x:f>
        <x:v>0.028262731405230914</x:v>
      </x:c>
      <x:c r="J1736" s="44" t="n">
        <x:v>0.06895</x:v>
      </x:c>
      <x:c r="K1736" s="44" t="n">
        <x:f>I1736*J1736</x:f>
        <x:v>0.0019487153303906714</x:v>
      </x:c>
      <x:c r="L1736" s="46" t="n">
        <x:v>0</x:v>
      </x:c>
      <x:c r="M1736" s="46" t="n">
        <x:v>0</x:v>
      </x:c>
      <x:c r="N1736" s="21" t="n">
        <x:f>IF(AND(L1735=1,M1735=1,P1735&gt;0),1,0)</x:f>
        <x:v>0</x:v>
      </x:c>
      <x:c r="O1736" s="21" t="n">
        <x:f>MIN('Root Data'!I523:I525)</x:f>
        <x:v>0</x:v>
      </x:c>
      <x:c r="P1736" s="44" t="n">
        <x:f>IF(AND(L1736=1,M1736=1,N1736=1,O1736&gt;=G1736),K1736,0)</x:f>
        <x:v>0</x:v>
      </x:c>
      <x:c r="Q1736" s="21" t="str">
        <x:v>OPEN</x:v>
      </x:c>
      <x:c r="R1736" s="23" t="str">
        <x:v>HOLD</x:v>
      </x:c>
    </x:row>
    <x:row r="1737">
      <x:c r="B1737" s="21" t="str">
        <x:v>AR-01731</x:v>
      </x:c>
      <x:c r="C1737" s="21" t="str">
        <x:v>F44-I2</x:v>
      </x:c>
      <x:c r="D1737" s="21" t="str">
        <x:v>F44</x:v>
      </x:c>
      <x:c r="E1737" s="21" t="n">
        <x:v>1</x:v>
      </x:c>
      <x:c r="F1737" s="21" t="str">
        <x:v>Civil effect charter</x:v>
      </x:c>
      <x:c r="G1737" s="21" t="n">
        <x:v>0</x:v>
      </x:c>
      <x:c r="H1737" s="21" t="str">
        <x:v>Civil Guarantee Authority</x:v>
      </x:c>
      <x:c r="I1737" s="44" t="n">
        <x:f>Lifecycle!G7</x:f>
        <x:v>0.04941036958956453</x:v>
      </x:c>
      <x:c r="J1737" s="44" t="n">
        <x:v>0.06895</x:v>
      </x:c>
      <x:c r="K1737" s="44" t="n">
        <x:f>I1737*J1737</x:f>
        <x:v>0.003406844983200474</x:v>
      </x:c>
      <x:c r="L1737" s="46" t="n">
        <x:v>0</x:v>
      </x:c>
      <x:c r="M1737" s="46" t="n">
        <x:v>0</x:v>
      </x:c>
      <x:c r="N1737" s="21" t="n">
        <x:f>1</x:f>
        <x:v>1</x:v>
      </x:c>
      <x:c r="O1737" s="21" t="n">
        <x:f>MIN('Root Data'!I526:I528)</x:f>
        <x:v>0</x:v>
      </x:c>
      <x:c r="P1737" s="44" t="n">
        <x:f>IF(AND(L1737=1,M1737=1,N1737=1,O1737&gt;=G1737),K1737,0)</x:f>
        <x:v>0</x:v>
      </x:c>
      <x:c r="Q1737" s="21" t="str">
        <x:v>OPEN</x:v>
      </x:c>
      <x:c r="R1737" s="23" t="str">
        <x:v>HOLD</x:v>
      </x:c>
    </x:row>
    <x:row r="1738">
      <x:c r="B1738" s="21" t="str">
        <x:v>AR-01732</x:v>
      </x:c>
      <x:c r="C1738" s="21" t="str">
        <x:v>F44-I2</x:v>
      </x:c>
      <x:c r="D1738" s="21" t="str">
        <x:v>F44</x:v>
      </x:c>
      <x:c r="E1738" s="21" t="n">
        <x:v>2</x:v>
      </x:c>
      <x:c r="F1738" s="21" t="str">
        <x:v>Requirement and root-independence package</x:v>
      </x:c>
      <x:c r="G1738" s="21" t="n">
        <x:v>8</x:v>
      </x:c>
      <x:c r="H1738" s="21" t="str">
        <x:v>Resilience Staff</x:v>
      </x:c>
      <x:c r="I1738" s="44" t="n">
        <x:f>Lifecycle!G8</x:f>
        <x:v>0.10211476381843337</x:v>
      </x:c>
      <x:c r="J1738" s="44" t="n">
        <x:v>0.06895</x:v>
      </x:c>
      <x:c r="K1738" s="44" t="n">
        <x:f>I1738*J1738</x:f>
        <x:v>0.007040812965280981</x:v>
      </x:c>
      <x:c r="L1738" s="46" t="n">
        <x:v>0</x:v>
      </x:c>
      <x:c r="M1738" s="46" t="n">
        <x:v>0</x:v>
      </x:c>
      <x:c r="N1738" s="21" t="n">
        <x:f>IF(AND(L1737=1,M1737=1,P1737&gt;0),1,0)</x:f>
        <x:v>0</x:v>
      </x:c>
      <x:c r="O1738" s="21" t="n">
        <x:f>MIN('Root Data'!I526:I528)</x:f>
        <x:v>0</x:v>
      </x:c>
      <x:c r="P1738" s="44" t="n">
        <x:f>IF(AND(L1738=1,M1738=1,N1738=1,O1738&gt;=G1738),K1738,0)</x:f>
        <x:v>0</x:v>
      </x:c>
      <x:c r="Q1738" s="21" t="str">
        <x:v>OPEN</x:v>
      </x:c>
      <x:c r="R1738" s="23" t="str">
        <x:v>HOLD</x:v>
      </x:c>
    </x:row>
    <x:row r="1739">
      <x:c r="B1739" s="21" t="str">
        <x:v>AR-01733</x:v>
      </x:c>
      <x:c r="C1739" s="21" t="str">
        <x:v>F44-I2</x:v>
      </x:c>
      <x:c r="D1739" s="21" t="str">
        <x:v>F44</x:v>
      </x:c>
      <x:c r="E1739" s="21" t="n">
        <x:v>3</x:v>
      </x:c>
      <x:c r="F1739" s="21" t="str">
        <x:v>Architecture and burden closure</x:v>
      </x:c>
      <x:c r="G1739" s="21" t="n">
        <x:v>14</x:v>
      </x:c>
      <x:c r="H1739" s="21" t="str">
        <x:v>Independent Evidence and Data Authority</x:v>
      </x:c>
      <x:c r="I1739" s="44" t="n">
        <x:f>Lifecycle!G9</x:f>
        <x:v>0.08564464062191186</x:v>
      </x:c>
      <x:c r="J1739" s="44" t="n">
        <x:v>0.06895</x:v>
      </x:c>
      <x:c r="K1739" s="44" t="n">
        <x:f>I1739*J1739</x:f>
        <x:v>0.005905197970880823</x:v>
      </x:c>
      <x:c r="L1739" s="46" t="n">
        <x:v>0</x:v>
      </x:c>
      <x:c r="M1739" s="46" t="n">
        <x:v>0</x:v>
      </x:c>
      <x:c r="N1739" s="21" t="n">
        <x:f>IF(AND(L1738=1,M1738=1,P1738&gt;0),1,0)</x:f>
        <x:v>0</x:v>
      </x:c>
      <x:c r="O1739" s="21" t="n">
        <x:f>MIN('Root Data'!I526:I528)</x:f>
        <x:v>0</x:v>
      </x:c>
      <x:c r="P1739" s="44" t="n">
        <x:f>IF(AND(L1739=1,M1739=1,N1739=1,O1739&gt;=G1739),K1739,0)</x:f>
        <x:v>0</x:v>
      </x:c>
      <x:c r="Q1739" s="21" t="str">
        <x:v>OPEN</x:v>
      </x:c>
      <x:c r="R1739" s="23" t="str">
        <x:v>HOLD</x:v>
      </x:c>
    </x:row>
    <x:row r="1740">
      <x:c r="B1740" s="21" t="str">
        <x:v>AR-01734</x:v>
      </x:c>
      <x:c r="C1740" s="21" t="str">
        <x:v>F44-I2</x:v>
      </x:c>
      <x:c r="D1740" s="21" t="str">
        <x:v>F44</x:v>
      </x:c>
      <x:c r="E1740" s="21" t="n">
        <x:v>4</x:v>
      </x:c>
      <x:c r="F1740" s="21" t="str">
        <x:v>Engineering article acceptance</x:v>
      </x:c>
      <x:c r="G1740" s="21" t="n">
        <x:v>18</x:v>
      </x:c>
      <x:c r="H1740" s="21" t="str">
        <x:v>Independent Evidence and Data Authority</x:v>
      </x:c>
      <x:c r="I1740" s="44" t="n">
        <x:f>Lifecycle!G10</x:f>
        <x:v>0.05929244350747744</x:v>
      </x:c>
      <x:c r="J1740" s="44" t="n">
        <x:v>0.06895</x:v>
      </x:c>
      <x:c r="K1740" s="44" t="n">
        <x:f>I1740*J1740</x:f>
        <x:v>0.004088213979840569</x:v>
      </x:c>
      <x:c r="L1740" s="46" t="n">
        <x:v>0</x:v>
      </x:c>
      <x:c r="M1740" s="46" t="n">
        <x:v>0</x:v>
      </x:c>
      <x:c r="N1740" s="21" t="n">
        <x:f>IF(AND(L1739=1,M1739=1,P1739&gt;0),1,0)</x:f>
        <x:v>0</x:v>
      </x:c>
      <x:c r="O1740" s="21" t="n">
        <x:f>MIN('Root Data'!I526:I528)</x:f>
        <x:v>0</x:v>
      </x:c>
      <x:c r="P1740" s="44" t="n">
        <x:f>IF(AND(L1740=1,M1740=1,N1740=1,O1740&gt;=G1740),K1740,0)</x:f>
        <x:v>0</x:v>
      </x:c>
      <x:c r="Q1740" s="21" t="str">
        <x:v>OPEN</x:v>
      </x:c>
      <x:c r="R1740" s="23" t="str">
        <x:v>HOLD</x:v>
      </x:c>
    </x:row>
    <x:row r="1741">
      <x:c r="B1741" s="21" t="str">
        <x:v>AR-01735</x:v>
      </x:c>
      <x:c r="C1741" s="21" t="str">
        <x:v>F44-I2</x:v>
      </x:c>
      <x:c r="D1741" s="21" t="str">
        <x:v>F44</x:v>
      </x:c>
      <x:c r="E1741" s="21" t="n">
        <x:v>5</x:v>
      </x:c>
      <x:c r="F1741" s="21" t="str">
        <x:v>Qualification and destructive evidence</x:v>
      </x:c>
      <x:c r="G1741" s="21" t="n">
        <x:v>21</x:v>
      </x:c>
      <x:c r="H1741" s="21" t="str">
        <x:v>Independent Evidence and Data Authority</x:v>
      </x:c>
      <x:c r="I1741" s="44" t="n">
        <x:f>Lifecycle!G11</x:f>
        <x:v>0.1515251334079979</x:v>
      </x:c>
      <x:c r="J1741" s="44" t="n">
        <x:v>0.06895</x:v>
      </x:c>
      <x:c r="K1741" s="44" t="n">
        <x:f>I1741*J1741</x:f>
        <x:v>0.010447657948481454</x:v>
      </x:c>
      <x:c r="L1741" s="46" t="n">
        <x:v>0</x:v>
      </x:c>
      <x:c r="M1741" s="46" t="n">
        <x:v>0</x:v>
      </x:c>
      <x:c r="N1741" s="21" t="n">
        <x:f>IF(AND(L1740=1,M1740=1,P1740&gt;0),1,0)</x:f>
        <x:v>0</x:v>
      </x:c>
      <x:c r="O1741" s="21" t="n">
        <x:f>MIN('Root Data'!I526:I528)</x:f>
        <x:v>0</x:v>
      </x:c>
      <x:c r="P1741" s="44" t="n">
        <x:f>IF(AND(L1741=1,M1741=1,N1741=1,O1741&gt;=G1741),K1741,0)</x:f>
        <x:v>0</x:v>
      </x:c>
      <x:c r="Q1741" s="21" t="str">
        <x:v>OPEN</x:v>
      </x:c>
      <x:c r="R1741" s="23" t="str">
        <x:v>HOLD</x:v>
      </x:c>
    </x:row>
    <x:row r="1742">
      <x:c r="B1742" s="21" t="str">
        <x:v>AR-01736</x:v>
      </x:c>
      <x:c r="C1742" s="21" t="str">
        <x:v>F44-I2</x:v>
      </x:c>
      <x:c r="D1742" s="21" t="str">
        <x:v>F44</x:v>
      </x:c>
      <x:c r="E1742" s="21" t="n">
        <x:v>6</x:v>
      </x:c>
      <x:c r="F1742" s="21" t="str">
        <x:v>Representative mission result</x:v>
      </x:c>
      <x:c r="G1742" s="21" t="n">
        <x:v>23</x:v>
      </x:c>
      <x:c r="H1742" s="21" t="str">
        <x:v>Receiving Service Authority</x:v>
      </x:c>
      <x:c r="I1742" s="44" t="n">
        <x:f>Lifecycle!G12</x:f>
        <x:v>0.250345872587127</x:v>
      </x:c>
      <x:c r="J1742" s="44" t="n">
        <x:v>0.06895</x:v>
      </x:c>
      <x:c r="K1742" s="44" t="n">
        <x:f>I1742*J1742</x:f>
        <x:v>0.017261347914882406</x:v>
      </x:c>
      <x:c r="L1742" s="46" t="n">
        <x:v>0</x:v>
      </x:c>
      <x:c r="M1742" s="46" t="n">
        <x:v>0</x:v>
      </x:c>
      <x:c r="N1742" s="21" t="n">
        <x:f>IF(AND(L1741=1,M1741=1,P1741&gt;0),1,0)</x:f>
        <x:v>0</x:v>
      </x:c>
      <x:c r="O1742" s="21" t="n">
        <x:f>MIN('Root Data'!I526:I528)</x:f>
        <x:v>0</x:v>
      </x:c>
      <x:c r="P1742" s="44" t="n">
        <x:f>IF(AND(L1742=1,M1742=1,N1742=1,O1742&gt;=G1742),K1742,0)</x:f>
        <x:v>0</x:v>
      </x:c>
      <x:c r="Q1742" s="21" t="str">
        <x:v>OPEN</x:v>
      </x:c>
      <x:c r="R1742" s="23" t="str">
        <x:v>HOLD</x:v>
      </x:c>
    </x:row>
    <x:row r="1743">
      <x:c r="B1743" s="21" t="str">
        <x:v>AR-01737</x:v>
      </x:c>
      <x:c r="C1743" s="21" t="str">
        <x:v>F44-I2</x:v>
      </x:c>
      <x:c r="D1743" s="21" t="str">
        <x:v>F44</x:v>
      </x:c>
      <x:c r="E1743" s="21" t="n">
        <x:v>7</x:v>
      </x:c>
      <x:c r="F1743" s="21" t="str">
        <x:v>Independent reproduction</x:v>
      </x:c>
      <x:c r="G1743" s="21" t="n">
        <x:v>28</x:v>
      </x:c>
      <x:c r="H1743" s="21" t="str">
        <x:v>Independent Evidence and Data Authority</x:v>
      </x:c>
      <x:c r="I1743" s="44" t="n">
        <x:f>Lifecycle!G13</x:f>
        <x:v>0.21740562619408393</x:v>
      </x:c>
      <x:c r="J1743" s="44" t="n">
        <x:v>0.06895</x:v>
      </x:c>
      <x:c r="K1743" s="44" t="n">
        <x:f>I1743*J1743</x:f>
        <x:v>0.014990117926082087</x:v>
      </x:c>
      <x:c r="L1743" s="46" t="n">
        <x:v>0</x:v>
      </x:c>
      <x:c r="M1743" s="46" t="n">
        <x:v>0</x:v>
      </x:c>
      <x:c r="N1743" s="21" t="n">
        <x:f>IF(AND(L1742=1,M1742=1,P1742&gt;0),1,0)</x:f>
        <x:v>0</x:v>
      </x:c>
      <x:c r="O1743" s="21" t="n">
        <x:f>MIN('Root Data'!I526:I528)</x:f>
        <x:v>0</x:v>
      </x:c>
      <x:c r="P1743" s="44" t="n">
        <x:f>IF(AND(L1743=1,M1743=1,N1743=1,O1743&gt;=G1743),K1743,0)</x:f>
        <x:v>0</x:v>
      </x:c>
      <x:c r="Q1743" s="21" t="str">
        <x:v>OPEN</x:v>
      </x:c>
      <x:c r="R1743" s="23" t="str">
        <x:v>HOLD</x:v>
      </x:c>
    </x:row>
    <x:row r="1744">
      <x:c r="B1744" s="21" t="str">
        <x:v>AR-01738</x:v>
      </x:c>
      <x:c r="C1744" s="21" t="str">
        <x:v>F44-I2</x:v>
      </x:c>
      <x:c r="D1744" s="21" t="str">
        <x:v>F44</x:v>
      </x:c>
      <x:c r="E1744" s="21" t="n">
        <x:v>8</x:v>
      </x:c>
      <x:c r="F1744" s="21" t="str">
        <x:v>Pilot-process qualification</x:v>
      </x:c>
      <x:c r="G1744" s="21" t="n">
        <x:v>28</x:v>
      </x:c>
      <x:c r="H1744" s="21" t="str">
        <x:v>AIMC Industrial Mobilization Authority</x:v>
      </x:c>
      <x:c r="I1744" s="44" t="n">
        <x:f>Lifecycle!G14</x:f>
        <x:v>0.03952829567165163</x:v>
      </x:c>
      <x:c r="J1744" s="44" t="n">
        <x:v>0.06895</x:v>
      </x:c>
      <x:c r="K1744" s="44" t="n">
        <x:f>I1744*J1744</x:f>
        <x:v>0.0027254759865603796</x:v>
      </x:c>
      <x:c r="L1744" s="46" t="n">
        <x:v>0</x:v>
      </x:c>
      <x:c r="M1744" s="46" t="n">
        <x:v>0</x:v>
      </x:c>
      <x:c r="N1744" s="21" t="n">
        <x:f>IF(AND(L1743=1,M1743=1,P1743&gt;0),1,0)</x:f>
        <x:v>0</x:v>
      </x:c>
      <x:c r="O1744" s="21" t="n">
        <x:f>MIN('Root Data'!I526:I528)</x:f>
        <x:v>0</x:v>
      </x:c>
      <x:c r="P1744" s="44" t="n">
        <x:f>IF(AND(L1744=1,M1744=1,N1744=1,O1744&gt;=G1744),K1744,0)</x:f>
        <x:v>0</x:v>
      </x:c>
      <x:c r="Q1744" s="21" t="str">
        <x:v>OPEN</x:v>
      </x:c>
      <x:c r="R1744" s="23" t="str">
        <x:v>HOLD</x:v>
      </x:c>
    </x:row>
    <x:row r="1745">
      <x:c r="B1745" s="21" t="str">
        <x:v>AR-01739</x:v>
      </x:c>
      <x:c r="C1745" s="21" t="str">
        <x:v>F44-I2</x:v>
      </x:c>
      <x:c r="D1745" s="21" t="str">
        <x:v>F44</x:v>
      </x:c>
      <x:c r="E1745" s="21" t="n">
        <x:v>9</x:v>
      </x:c>
      <x:c r="F1745" s="21" t="str">
        <x:v>Production release package</x:v>
      </x:c>
      <x:c r="G1745" s="21" t="n">
        <x:v>28</x:v>
      </x:c>
      <x:c r="H1745" s="21" t="str">
        <x:v>Production Release Board</x:v>
      </x:c>
      <x:c r="I1745" s="44" t="n">
        <x:f>Lifecycle!G15</x:f>
        <x:v>0.01647012319652151</x:v>
      </x:c>
      <x:c r="J1745" s="44" t="n">
        <x:v>0.06895</x:v>
      </x:c>
      <x:c r="K1745" s="44" t="n">
        <x:f>I1745*J1745</x:f>
        <x:v>0.0011356149944001582</x:v>
      </x:c>
      <x:c r="L1745" s="46" t="n">
        <x:v>0</x:v>
      </x:c>
      <x:c r="M1745" s="46" t="n">
        <x:v>0</x:v>
      </x:c>
      <x:c r="N1745" s="21" t="n">
        <x:f>IF(AND(L1744=1,M1744=1,P1744&gt;0),1,0)</x:f>
        <x:v>0</x:v>
      </x:c>
      <x:c r="O1745" s="21" t="n">
        <x:f>MIN('Root Data'!I526:I528)</x:f>
        <x:v>0</x:v>
      </x:c>
      <x:c r="P1745" s="44" t="n">
        <x:f>IF(AND(L1745=1,M1745=1,N1745=1,O1745&gt;=G1745),K1745,0)</x:f>
        <x:v>0</x:v>
      </x:c>
      <x:c r="Q1745" s="21" t="str">
        <x:v>OPEN</x:v>
      </x:c>
      <x:c r="R1745" s="23" t="str">
        <x:v>HOLD</x:v>
      </x:c>
    </x:row>
    <x:row r="1746">
      <x:c r="B1746" s="21" t="str">
        <x:v>AR-01740</x:v>
      </x:c>
      <x:c r="C1746" s="21" t="str">
        <x:v>F44-I2</x:v>
      </x:c>
      <x:c r="D1746" s="21" t="str">
        <x:v>F44</x:v>
      </x:c>
      <x:c r="E1746" s="21" t="n">
        <x:v>10</x:v>
      </x:c>
      <x:c r="F1746" s="21" t="str">
        <x:v>Mobilization activation</x:v>
      </x:c>
      <x:c r="G1746" s="21" t="n">
        <x:v>28</x:v>
      </x:c>
      <x:c r="H1746" s="21" t="str">
        <x:v>Production Release Board</x:v>
      </x:c>
      <x:c r="I1746" s="44" t="n">
        <x:f>Lifecycle!G16</x:f>
        <x:v>0.028262731405230914</x:v>
      </x:c>
      <x:c r="J1746" s="44" t="n">
        <x:v>0.06895</x:v>
      </x:c>
      <x:c r="K1746" s="44" t="n">
        <x:f>I1746*J1746</x:f>
        <x:v>0.0019487153303906714</x:v>
      </x:c>
      <x:c r="L1746" s="46" t="n">
        <x:v>0</x:v>
      </x:c>
      <x:c r="M1746" s="46" t="n">
        <x:v>0</x:v>
      </x:c>
      <x:c r="N1746" s="21" t="n">
        <x:f>IF(AND(L1745=1,M1745=1,P1745&gt;0),1,0)</x:f>
        <x:v>0</x:v>
      </x:c>
      <x:c r="O1746" s="21" t="n">
        <x:f>MIN('Root Data'!I526:I528)</x:f>
        <x:v>0</x:v>
      </x:c>
      <x:c r="P1746" s="44" t="n">
        <x:f>IF(AND(L1746=1,M1746=1,N1746=1,O1746&gt;=G1746),K1746,0)</x:f>
        <x:v>0</x:v>
      </x:c>
      <x:c r="Q1746" s="21" t="str">
        <x:v>OPEN</x:v>
      </x:c>
      <x:c r="R1746" s="23" t="str">
        <x:v>HOLD</x:v>
      </x:c>
    </x:row>
    <x:row r="1747">
      <x:c r="B1747" s="21" t="str">
        <x:v>AR-01741</x:v>
      </x:c>
      <x:c r="C1747" s="21" t="str">
        <x:v>F44-I3</x:v>
      </x:c>
      <x:c r="D1747" s="21" t="str">
        <x:v>F44</x:v>
      </x:c>
      <x:c r="E1747" s="21" t="n">
        <x:v>1</x:v>
      </x:c>
      <x:c r="F1747" s="21" t="str">
        <x:v>Civil effect charter</x:v>
      </x:c>
      <x:c r="G1747" s="21" t="n">
        <x:v>0</x:v>
      </x:c>
      <x:c r="H1747" s="21" t="str">
        <x:v>Civil Guarantee Authority</x:v>
      </x:c>
      <x:c r="I1747" s="44" t="n">
        <x:f>Lifecycle!G7</x:f>
        <x:v>0.04941036958956453</x:v>
      </x:c>
      <x:c r="J1747" s="44" t="n">
        <x:v>0.06895</x:v>
      </x:c>
      <x:c r="K1747" s="44" t="n">
        <x:f>I1747*J1747</x:f>
        <x:v>0.003406844983200474</x:v>
      </x:c>
      <x:c r="L1747" s="46" t="n">
        <x:v>0</x:v>
      </x:c>
      <x:c r="M1747" s="46" t="n">
        <x:v>0</x:v>
      </x:c>
      <x:c r="N1747" s="21" t="n">
        <x:f>1</x:f>
        <x:v>1</x:v>
      </x:c>
      <x:c r="O1747" s="21" t="n">
        <x:f>MIN('Root Data'!I529:I531)</x:f>
        <x:v>0</x:v>
      </x:c>
      <x:c r="P1747" s="44" t="n">
        <x:f>IF(AND(L1747=1,M1747=1,N1747=1,O1747&gt;=G1747),K1747,0)</x:f>
        <x:v>0</x:v>
      </x:c>
      <x:c r="Q1747" s="21" t="str">
        <x:v>OPEN</x:v>
      </x:c>
      <x:c r="R1747" s="23" t="str">
        <x:v>HOLD</x:v>
      </x:c>
    </x:row>
    <x:row r="1748">
      <x:c r="B1748" s="21" t="str">
        <x:v>AR-01742</x:v>
      </x:c>
      <x:c r="C1748" s="21" t="str">
        <x:v>F44-I3</x:v>
      </x:c>
      <x:c r="D1748" s="21" t="str">
        <x:v>F44</x:v>
      </x:c>
      <x:c r="E1748" s="21" t="n">
        <x:v>2</x:v>
      </x:c>
      <x:c r="F1748" s="21" t="str">
        <x:v>Requirement and root-independence package</x:v>
      </x:c>
      <x:c r="G1748" s="21" t="n">
        <x:v>8</x:v>
      </x:c>
      <x:c r="H1748" s="21" t="str">
        <x:v>Resilience Staff</x:v>
      </x:c>
      <x:c r="I1748" s="44" t="n">
        <x:f>Lifecycle!G8</x:f>
        <x:v>0.10211476381843337</x:v>
      </x:c>
      <x:c r="J1748" s="44" t="n">
        <x:v>0.06895</x:v>
      </x:c>
      <x:c r="K1748" s="44" t="n">
        <x:f>I1748*J1748</x:f>
        <x:v>0.007040812965280981</x:v>
      </x:c>
      <x:c r="L1748" s="46" t="n">
        <x:v>0</x:v>
      </x:c>
      <x:c r="M1748" s="46" t="n">
        <x:v>0</x:v>
      </x:c>
      <x:c r="N1748" s="21" t="n">
        <x:f>IF(AND(L1747=1,M1747=1,P1747&gt;0),1,0)</x:f>
        <x:v>0</x:v>
      </x:c>
      <x:c r="O1748" s="21" t="n">
        <x:f>MIN('Root Data'!I529:I531)</x:f>
        <x:v>0</x:v>
      </x:c>
      <x:c r="P1748" s="44" t="n">
        <x:f>IF(AND(L1748=1,M1748=1,N1748=1,O1748&gt;=G1748),K1748,0)</x:f>
        <x:v>0</x:v>
      </x:c>
      <x:c r="Q1748" s="21" t="str">
        <x:v>OPEN</x:v>
      </x:c>
      <x:c r="R1748" s="23" t="str">
        <x:v>HOLD</x:v>
      </x:c>
    </x:row>
    <x:row r="1749">
      <x:c r="B1749" s="21" t="str">
        <x:v>AR-01743</x:v>
      </x:c>
      <x:c r="C1749" s="21" t="str">
        <x:v>F44-I3</x:v>
      </x:c>
      <x:c r="D1749" s="21" t="str">
        <x:v>F44</x:v>
      </x:c>
      <x:c r="E1749" s="21" t="n">
        <x:v>3</x:v>
      </x:c>
      <x:c r="F1749" s="21" t="str">
        <x:v>Architecture and burden closure</x:v>
      </x:c>
      <x:c r="G1749" s="21" t="n">
        <x:v>14</x:v>
      </x:c>
      <x:c r="H1749" s="21" t="str">
        <x:v>Independent Evidence and Data Authority</x:v>
      </x:c>
      <x:c r="I1749" s="44" t="n">
        <x:f>Lifecycle!G9</x:f>
        <x:v>0.08564464062191186</x:v>
      </x:c>
      <x:c r="J1749" s="44" t="n">
        <x:v>0.06895</x:v>
      </x:c>
      <x:c r="K1749" s="44" t="n">
        <x:f>I1749*J1749</x:f>
        <x:v>0.005905197970880823</x:v>
      </x:c>
      <x:c r="L1749" s="46" t="n">
        <x:v>0</x:v>
      </x:c>
      <x:c r="M1749" s="46" t="n">
        <x:v>0</x:v>
      </x:c>
      <x:c r="N1749" s="21" t="n">
        <x:f>IF(AND(L1748=1,M1748=1,P1748&gt;0),1,0)</x:f>
        <x:v>0</x:v>
      </x:c>
      <x:c r="O1749" s="21" t="n">
        <x:f>MIN('Root Data'!I529:I531)</x:f>
        <x:v>0</x:v>
      </x:c>
      <x:c r="P1749" s="44" t="n">
        <x:f>IF(AND(L1749=1,M1749=1,N1749=1,O1749&gt;=G1749),K1749,0)</x:f>
        <x:v>0</x:v>
      </x:c>
      <x:c r="Q1749" s="21" t="str">
        <x:v>OPEN</x:v>
      </x:c>
      <x:c r="R1749" s="23" t="str">
        <x:v>HOLD</x:v>
      </x:c>
    </x:row>
    <x:row r="1750">
      <x:c r="B1750" s="21" t="str">
        <x:v>AR-01744</x:v>
      </x:c>
      <x:c r="C1750" s="21" t="str">
        <x:v>F44-I3</x:v>
      </x:c>
      <x:c r="D1750" s="21" t="str">
        <x:v>F44</x:v>
      </x:c>
      <x:c r="E1750" s="21" t="n">
        <x:v>4</x:v>
      </x:c>
      <x:c r="F1750" s="21" t="str">
        <x:v>Engineering article acceptance</x:v>
      </x:c>
      <x:c r="G1750" s="21" t="n">
        <x:v>18</x:v>
      </x:c>
      <x:c r="H1750" s="21" t="str">
        <x:v>Independent Evidence and Data Authority</x:v>
      </x:c>
      <x:c r="I1750" s="44" t="n">
        <x:f>Lifecycle!G10</x:f>
        <x:v>0.05929244350747744</x:v>
      </x:c>
      <x:c r="J1750" s="44" t="n">
        <x:v>0.06895</x:v>
      </x:c>
      <x:c r="K1750" s="44" t="n">
        <x:f>I1750*J1750</x:f>
        <x:v>0.004088213979840569</x:v>
      </x:c>
      <x:c r="L1750" s="46" t="n">
        <x:v>0</x:v>
      </x:c>
      <x:c r="M1750" s="46" t="n">
        <x:v>0</x:v>
      </x:c>
      <x:c r="N1750" s="21" t="n">
        <x:f>IF(AND(L1749=1,M1749=1,P1749&gt;0),1,0)</x:f>
        <x:v>0</x:v>
      </x:c>
      <x:c r="O1750" s="21" t="n">
        <x:f>MIN('Root Data'!I529:I531)</x:f>
        <x:v>0</x:v>
      </x:c>
      <x:c r="P1750" s="44" t="n">
        <x:f>IF(AND(L1750=1,M1750=1,N1750=1,O1750&gt;=G1750),K1750,0)</x:f>
        <x:v>0</x:v>
      </x:c>
      <x:c r="Q1750" s="21" t="str">
        <x:v>OPEN</x:v>
      </x:c>
      <x:c r="R1750" s="23" t="str">
        <x:v>HOLD</x:v>
      </x:c>
    </x:row>
    <x:row r="1751">
      <x:c r="B1751" s="21" t="str">
        <x:v>AR-01745</x:v>
      </x:c>
      <x:c r="C1751" s="21" t="str">
        <x:v>F44-I3</x:v>
      </x:c>
      <x:c r="D1751" s="21" t="str">
        <x:v>F44</x:v>
      </x:c>
      <x:c r="E1751" s="21" t="n">
        <x:v>5</x:v>
      </x:c>
      <x:c r="F1751" s="21" t="str">
        <x:v>Qualification and destructive evidence</x:v>
      </x:c>
      <x:c r="G1751" s="21" t="n">
        <x:v>21</x:v>
      </x:c>
      <x:c r="H1751" s="21" t="str">
        <x:v>Independent Evidence and Data Authority</x:v>
      </x:c>
      <x:c r="I1751" s="44" t="n">
        <x:f>Lifecycle!G11</x:f>
        <x:v>0.1515251334079979</x:v>
      </x:c>
      <x:c r="J1751" s="44" t="n">
        <x:v>0.06895</x:v>
      </x:c>
      <x:c r="K1751" s="44" t="n">
        <x:f>I1751*J1751</x:f>
        <x:v>0.010447657948481454</x:v>
      </x:c>
      <x:c r="L1751" s="46" t="n">
        <x:v>0</x:v>
      </x:c>
      <x:c r="M1751" s="46" t="n">
        <x:v>0</x:v>
      </x:c>
      <x:c r="N1751" s="21" t="n">
        <x:f>IF(AND(L1750=1,M1750=1,P1750&gt;0),1,0)</x:f>
        <x:v>0</x:v>
      </x:c>
      <x:c r="O1751" s="21" t="n">
        <x:f>MIN('Root Data'!I529:I531)</x:f>
        <x:v>0</x:v>
      </x:c>
      <x:c r="P1751" s="44" t="n">
        <x:f>IF(AND(L1751=1,M1751=1,N1751=1,O1751&gt;=G1751),K1751,0)</x:f>
        <x:v>0</x:v>
      </x:c>
      <x:c r="Q1751" s="21" t="str">
        <x:v>OPEN</x:v>
      </x:c>
      <x:c r="R1751" s="23" t="str">
        <x:v>HOLD</x:v>
      </x:c>
    </x:row>
    <x:row r="1752">
      <x:c r="B1752" s="21" t="str">
        <x:v>AR-01746</x:v>
      </x:c>
      <x:c r="C1752" s="21" t="str">
        <x:v>F44-I3</x:v>
      </x:c>
      <x:c r="D1752" s="21" t="str">
        <x:v>F44</x:v>
      </x:c>
      <x:c r="E1752" s="21" t="n">
        <x:v>6</x:v>
      </x:c>
      <x:c r="F1752" s="21" t="str">
        <x:v>Representative mission result</x:v>
      </x:c>
      <x:c r="G1752" s="21" t="n">
        <x:v>23</x:v>
      </x:c>
      <x:c r="H1752" s="21" t="str">
        <x:v>Receiving Service Authority</x:v>
      </x:c>
      <x:c r="I1752" s="44" t="n">
        <x:f>Lifecycle!G12</x:f>
        <x:v>0.250345872587127</x:v>
      </x:c>
      <x:c r="J1752" s="44" t="n">
        <x:v>0.06895</x:v>
      </x:c>
      <x:c r="K1752" s="44" t="n">
        <x:f>I1752*J1752</x:f>
        <x:v>0.017261347914882406</x:v>
      </x:c>
      <x:c r="L1752" s="46" t="n">
        <x:v>0</x:v>
      </x:c>
      <x:c r="M1752" s="46" t="n">
        <x:v>0</x:v>
      </x:c>
      <x:c r="N1752" s="21" t="n">
        <x:f>IF(AND(L1751=1,M1751=1,P1751&gt;0),1,0)</x:f>
        <x:v>0</x:v>
      </x:c>
      <x:c r="O1752" s="21" t="n">
        <x:f>MIN('Root Data'!I529:I531)</x:f>
        <x:v>0</x:v>
      </x:c>
      <x:c r="P1752" s="44" t="n">
        <x:f>IF(AND(L1752=1,M1752=1,N1752=1,O1752&gt;=G1752),K1752,0)</x:f>
        <x:v>0</x:v>
      </x:c>
      <x:c r="Q1752" s="21" t="str">
        <x:v>OPEN</x:v>
      </x:c>
      <x:c r="R1752" s="23" t="str">
        <x:v>HOLD</x:v>
      </x:c>
    </x:row>
    <x:row r="1753">
      <x:c r="B1753" s="21" t="str">
        <x:v>AR-01747</x:v>
      </x:c>
      <x:c r="C1753" s="21" t="str">
        <x:v>F44-I3</x:v>
      </x:c>
      <x:c r="D1753" s="21" t="str">
        <x:v>F44</x:v>
      </x:c>
      <x:c r="E1753" s="21" t="n">
        <x:v>7</x:v>
      </x:c>
      <x:c r="F1753" s="21" t="str">
        <x:v>Independent reproduction</x:v>
      </x:c>
      <x:c r="G1753" s="21" t="n">
        <x:v>28</x:v>
      </x:c>
      <x:c r="H1753" s="21" t="str">
        <x:v>Independent Evidence and Data Authority</x:v>
      </x:c>
      <x:c r="I1753" s="44" t="n">
        <x:f>Lifecycle!G13</x:f>
        <x:v>0.21740562619408393</x:v>
      </x:c>
      <x:c r="J1753" s="44" t="n">
        <x:v>0.06895</x:v>
      </x:c>
      <x:c r="K1753" s="44" t="n">
        <x:f>I1753*J1753</x:f>
        <x:v>0.014990117926082087</x:v>
      </x:c>
      <x:c r="L1753" s="46" t="n">
        <x:v>0</x:v>
      </x:c>
      <x:c r="M1753" s="46" t="n">
        <x:v>0</x:v>
      </x:c>
      <x:c r="N1753" s="21" t="n">
        <x:f>IF(AND(L1752=1,M1752=1,P1752&gt;0),1,0)</x:f>
        <x:v>0</x:v>
      </x:c>
      <x:c r="O1753" s="21" t="n">
        <x:f>MIN('Root Data'!I529:I531)</x:f>
        <x:v>0</x:v>
      </x:c>
      <x:c r="P1753" s="44" t="n">
        <x:f>IF(AND(L1753=1,M1753=1,N1753=1,O1753&gt;=G1753),K1753,0)</x:f>
        <x:v>0</x:v>
      </x:c>
      <x:c r="Q1753" s="21" t="str">
        <x:v>OPEN</x:v>
      </x:c>
      <x:c r="R1753" s="23" t="str">
        <x:v>HOLD</x:v>
      </x:c>
    </x:row>
    <x:row r="1754">
      <x:c r="B1754" s="21" t="str">
        <x:v>AR-01748</x:v>
      </x:c>
      <x:c r="C1754" s="21" t="str">
        <x:v>F44-I3</x:v>
      </x:c>
      <x:c r="D1754" s="21" t="str">
        <x:v>F44</x:v>
      </x:c>
      <x:c r="E1754" s="21" t="n">
        <x:v>8</x:v>
      </x:c>
      <x:c r="F1754" s="21" t="str">
        <x:v>Pilot-process qualification</x:v>
      </x:c>
      <x:c r="G1754" s="21" t="n">
        <x:v>28</x:v>
      </x:c>
      <x:c r="H1754" s="21" t="str">
        <x:v>AIMC Industrial Mobilization Authority</x:v>
      </x:c>
      <x:c r="I1754" s="44" t="n">
        <x:f>Lifecycle!G14</x:f>
        <x:v>0.03952829567165163</x:v>
      </x:c>
      <x:c r="J1754" s="44" t="n">
        <x:v>0.06895</x:v>
      </x:c>
      <x:c r="K1754" s="44" t="n">
        <x:f>I1754*J1754</x:f>
        <x:v>0.0027254759865603796</x:v>
      </x:c>
      <x:c r="L1754" s="46" t="n">
        <x:v>0</x:v>
      </x:c>
      <x:c r="M1754" s="46" t="n">
        <x:v>0</x:v>
      </x:c>
      <x:c r="N1754" s="21" t="n">
        <x:f>IF(AND(L1753=1,M1753=1,P1753&gt;0),1,0)</x:f>
        <x:v>0</x:v>
      </x:c>
      <x:c r="O1754" s="21" t="n">
        <x:f>MIN('Root Data'!I529:I531)</x:f>
        <x:v>0</x:v>
      </x:c>
      <x:c r="P1754" s="44" t="n">
        <x:f>IF(AND(L1754=1,M1754=1,N1754=1,O1754&gt;=G1754),K1754,0)</x:f>
        <x:v>0</x:v>
      </x:c>
      <x:c r="Q1754" s="21" t="str">
        <x:v>OPEN</x:v>
      </x:c>
      <x:c r="R1754" s="23" t="str">
        <x:v>HOLD</x:v>
      </x:c>
    </x:row>
    <x:row r="1755">
      <x:c r="B1755" s="21" t="str">
        <x:v>AR-01749</x:v>
      </x:c>
      <x:c r="C1755" s="21" t="str">
        <x:v>F44-I3</x:v>
      </x:c>
      <x:c r="D1755" s="21" t="str">
        <x:v>F44</x:v>
      </x:c>
      <x:c r="E1755" s="21" t="n">
        <x:v>9</x:v>
      </x:c>
      <x:c r="F1755" s="21" t="str">
        <x:v>Production release package</x:v>
      </x:c>
      <x:c r="G1755" s="21" t="n">
        <x:v>28</x:v>
      </x:c>
      <x:c r="H1755" s="21" t="str">
        <x:v>Production Release Board</x:v>
      </x:c>
      <x:c r="I1755" s="44" t="n">
        <x:f>Lifecycle!G15</x:f>
        <x:v>0.01647012319652151</x:v>
      </x:c>
      <x:c r="J1755" s="44" t="n">
        <x:v>0.06895</x:v>
      </x:c>
      <x:c r="K1755" s="44" t="n">
        <x:f>I1755*J1755</x:f>
        <x:v>0.0011356149944001582</x:v>
      </x:c>
      <x:c r="L1755" s="46" t="n">
        <x:v>0</x:v>
      </x:c>
      <x:c r="M1755" s="46" t="n">
        <x:v>0</x:v>
      </x:c>
      <x:c r="N1755" s="21" t="n">
        <x:f>IF(AND(L1754=1,M1754=1,P1754&gt;0),1,0)</x:f>
        <x:v>0</x:v>
      </x:c>
      <x:c r="O1755" s="21" t="n">
        <x:f>MIN('Root Data'!I529:I531)</x:f>
        <x:v>0</x:v>
      </x:c>
      <x:c r="P1755" s="44" t="n">
        <x:f>IF(AND(L1755=1,M1755=1,N1755=1,O1755&gt;=G1755),K1755,0)</x:f>
        <x:v>0</x:v>
      </x:c>
      <x:c r="Q1755" s="21" t="str">
        <x:v>OPEN</x:v>
      </x:c>
      <x:c r="R1755" s="23" t="str">
        <x:v>HOLD</x:v>
      </x:c>
    </x:row>
    <x:row r="1756">
      <x:c r="B1756" s="21" t="str">
        <x:v>AR-01750</x:v>
      </x:c>
      <x:c r="C1756" s="21" t="str">
        <x:v>F44-I3</x:v>
      </x:c>
      <x:c r="D1756" s="21" t="str">
        <x:v>F44</x:v>
      </x:c>
      <x:c r="E1756" s="21" t="n">
        <x:v>10</x:v>
      </x:c>
      <x:c r="F1756" s="21" t="str">
        <x:v>Mobilization activation</x:v>
      </x:c>
      <x:c r="G1756" s="21" t="n">
        <x:v>28</x:v>
      </x:c>
      <x:c r="H1756" s="21" t="str">
        <x:v>Production Release Board</x:v>
      </x:c>
      <x:c r="I1756" s="44" t="n">
        <x:f>Lifecycle!G16</x:f>
        <x:v>0.028262731405230914</x:v>
      </x:c>
      <x:c r="J1756" s="44" t="n">
        <x:v>0.06895</x:v>
      </x:c>
      <x:c r="K1756" s="44" t="n">
        <x:f>I1756*J1756</x:f>
        <x:v>0.0019487153303906714</x:v>
      </x:c>
      <x:c r="L1756" s="46" t="n">
        <x:v>0</x:v>
      </x:c>
      <x:c r="M1756" s="46" t="n">
        <x:v>0</x:v>
      </x:c>
      <x:c r="N1756" s="21" t="n">
        <x:f>IF(AND(L1755=1,M1755=1,P1755&gt;0),1,0)</x:f>
        <x:v>0</x:v>
      </x:c>
      <x:c r="O1756" s="21" t="n">
        <x:f>MIN('Root Data'!I529:I531)</x:f>
        <x:v>0</x:v>
      </x:c>
      <x:c r="P1756" s="44" t="n">
        <x:f>IF(AND(L1756=1,M1756=1,N1756=1,O1756&gt;=G1756),K1756,0)</x:f>
        <x:v>0</x:v>
      </x:c>
      <x:c r="Q1756" s="21" t="str">
        <x:v>OPEN</x:v>
      </x:c>
      <x:c r="R1756" s="23" t="str">
        <x:v>HOLD</x:v>
      </x:c>
    </x:row>
    <x:row r="1757">
      <x:c r="B1757" s="21" t="str">
        <x:v>AR-01751</x:v>
      </x:c>
      <x:c r="C1757" s="21" t="str">
        <x:v>F44-I4</x:v>
      </x:c>
      <x:c r="D1757" s="21" t="str">
        <x:v>F44</x:v>
      </x:c>
      <x:c r="E1757" s="21" t="n">
        <x:v>1</x:v>
      </x:c>
      <x:c r="F1757" s="21" t="str">
        <x:v>Civil effect charter</x:v>
      </x:c>
      <x:c r="G1757" s="21" t="n">
        <x:v>0</x:v>
      </x:c>
      <x:c r="H1757" s="21" t="str">
        <x:v>Civil Guarantee Authority</x:v>
      </x:c>
      <x:c r="I1757" s="44" t="n">
        <x:f>Lifecycle!G7</x:f>
        <x:v>0.04941036958956453</x:v>
      </x:c>
      <x:c r="J1757" s="44" t="n">
        <x:v>0.06895</x:v>
      </x:c>
      <x:c r="K1757" s="44" t="n">
        <x:f>I1757*J1757</x:f>
        <x:v>0.003406844983200474</x:v>
      </x:c>
      <x:c r="L1757" s="46" t="n">
        <x:v>0</x:v>
      </x:c>
      <x:c r="M1757" s="46" t="n">
        <x:v>0</x:v>
      </x:c>
      <x:c r="N1757" s="21" t="n">
        <x:f>1</x:f>
        <x:v>1</x:v>
      </x:c>
      <x:c r="O1757" s="21" t="n">
        <x:f>MIN('Root Data'!I532:I534)</x:f>
        <x:v>0</x:v>
      </x:c>
      <x:c r="P1757" s="44" t="n">
        <x:f>IF(AND(L1757=1,M1757=1,N1757=1,O1757&gt;=G1757),K1757,0)</x:f>
        <x:v>0</x:v>
      </x:c>
      <x:c r="Q1757" s="21" t="str">
        <x:v>OPEN</x:v>
      </x:c>
      <x:c r="R1757" s="23" t="str">
        <x:v>HOLD</x:v>
      </x:c>
    </x:row>
    <x:row r="1758">
      <x:c r="B1758" s="21" t="str">
        <x:v>AR-01752</x:v>
      </x:c>
      <x:c r="C1758" s="21" t="str">
        <x:v>F44-I4</x:v>
      </x:c>
      <x:c r="D1758" s="21" t="str">
        <x:v>F44</x:v>
      </x:c>
      <x:c r="E1758" s="21" t="n">
        <x:v>2</x:v>
      </x:c>
      <x:c r="F1758" s="21" t="str">
        <x:v>Requirement and root-independence package</x:v>
      </x:c>
      <x:c r="G1758" s="21" t="n">
        <x:v>8</x:v>
      </x:c>
      <x:c r="H1758" s="21" t="str">
        <x:v>Resilience Staff</x:v>
      </x:c>
      <x:c r="I1758" s="44" t="n">
        <x:f>Lifecycle!G8</x:f>
        <x:v>0.10211476381843337</x:v>
      </x:c>
      <x:c r="J1758" s="44" t="n">
        <x:v>0.06895</x:v>
      </x:c>
      <x:c r="K1758" s="44" t="n">
        <x:f>I1758*J1758</x:f>
        <x:v>0.007040812965280981</x:v>
      </x:c>
      <x:c r="L1758" s="46" t="n">
        <x:v>0</x:v>
      </x:c>
      <x:c r="M1758" s="46" t="n">
        <x:v>0</x:v>
      </x:c>
      <x:c r="N1758" s="21" t="n">
        <x:f>IF(AND(L1757=1,M1757=1,P1757&gt;0),1,0)</x:f>
        <x:v>0</x:v>
      </x:c>
      <x:c r="O1758" s="21" t="n">
        <x:f>MIN('Root Data'!I532:I534)</x:f>
        <x:v>0</x:v>
      </x:c>
      <x:c r="P1758" s="44" t="n">
        <x:f>IF(AND(L1758=1,M1758=1,N1758=1,O1758&gt;=G1758),K1758,0)</x:f>
        <x:v>0</x:v>
      </x:c>
      <x:c r="Q1758" s="21" t="str">
        <x:v>OPEN</x:v>
      </x:c>
      <x:c r="R1758" s="23" t="str">
        <x:v>HOLD</x:v>
      </x:c>
    </x:row>
    <x:row r="1759">
      <x:c r="B1759" s="21" t="str">
        <x:v>AR-01753</x:v>
      </x:c>
      <x:c r="C1759" s="21" t="str">
        <x:v>F44-I4</x:v>
      </x:c>
      <x:c r="D1759" s="21" t="str">
        <x:v>F44</x:v>
      </x:c>
      <x:c r="E1759" s="21" t="n">
        <x:v>3</x:v>
      </x:c>
      <x:c r="F1759" s="21" t="str">
        <x:v>Architecture and burden closure</x:v>
      </x:c>
      <x:c r="G1759" s="21" t="n">
        <x:v>14</x:v>
      </x:c>
      <x:c r="H1759" s="21" t="str">
        <x:v>Independent Evidence and Data Authority</x:v>
      </x:c>
      <x:c r="I1759" s="44" t="n">
        <x:f>Lifecycle!G9</x:f>
        <x:v>0.08564464062191186</x:v>
      </x:c>
      <x:c r="J1759" s="44" t="n">
        <x:v>0.06895</x:v>
      </x:c>
      <x:c r="K1759" s="44" t="n">
        <x:f>I1759*J1759</x:f>
        <x:v>0.005905197970880823</x:v>
      </x:c>
      <x:c r="L1759" s="46" t="n">
        <x:v>0</x:v>
      </x:c>
      <x:c r="M1759" s="46" t="n">
        <x:v>0</x:v>
      </x:c>
      <x:c r="N1759" s="21" t="n">
        <x:f>IF(AND(L1758=1,M1758=1,P1758&gt;0),1,0)</x:f>
        <x:v>0</x:v>
      </x:c>
      <x:c r="O1759" s="21" t="n">
        <x:f>MIN('Root Data'!I532:I534)</x:f>
        <x:v>0</x:v>
      </x:c>
      <x:c r="P1759" s="44" t="n">
        <x:f>IF(AND(L1759=1,M1759=1,N1759=1,O1759&gt;=G1759),K1759,0)</x:f>
        <x:v>0</x:v>
      </x:c>
      <x:c r="Q1759" s="21" t="str">
        <x:v>OPEN</x:v>
      </x:c>
      <x:c r="R1759" s="23" t="str">
        <x:v>HOLD</x:v>
      </x:c>
    </x:row>
    <x:row r="1760">
      <x:c r="B1760" s="21" t="str">
        <x:v>AR-01754</x:v>
      </x:c>
      <x:c r="C1760" s="21" t="str">
        <x:v>F44-I4</x:v>
      </x:c>
      <x:c r="D1760" s="21" t="str">
        <x:v>F44</x:v>
      </x:c>
      <x:c r="E1760" s="21" t="n">
        <x:v>4</x:v>
      </x:c>
      <x:c r="F1760" s="21" t="str">
        <x:v>Engineering article acceptance</x:v>
      </x:c>
      <x:c r="G1760" s="21" t="n">
        <x:v>18</x:v>
      </x:c>
      <x:c r="H1760" s="21" t="str">
        <x:v>Independent Evidence and Data Authority</x:v>
      </x:c>
      <x:c r="I1760" s="44" t="n">
        <x:f>Lifecycle!G10</x:f>
        <x:v>0.05929244350747744</x:v>
      </x:c>
      <x:c r="J1760" s="44" t="n">
        <x:v>0.06895</x:v>
      </x:c>
      <x:c r="K1760" s="44" t="n">
        <x:f>I1760*J1760</x:f>
        <x:v>0.004088213979840569</x:v>
      </x:c>
      <x:c r="L1760" s="46" t="n">
        <x:v>0</x:v>
      </x:c>
      <x:c r="M1760" s="46" t="n">
        <x:v>0</x:v>
      </x:c>
      <x:c r="N1760" s="21" t="n">
        <x:f>IF(AND(L1759=1,M1759=1,P1759&gt;0),1,0)</x:f>
        <x:v>0</x:v>
      </x:c>
      <x:c r="O1760" s="21" t="n">
        <x:f>MIN('Root Data'!I532:I534)</x:f>
        <x:v>0</x:v>
      </x:c>
      <x:c r="P1760" s="44" t="n">
        <x:f>IF(AND(L1760=1,M1760=1,N1760=1,O1760&gt;=G1760),K1760,0)</x:f>
        <x:v>0</x:v>
      </x:c>
      <x:c r="Q1760" s="21" t="str">
        <x:v>OPEN</x:v>
      </x:c>
      <x:c r="R1760" s="23" t="str">
        <x:v>HOLD</x:v>
      </x:c>
    </x:row>
    <x:row r="1761">
      <x:c r="B1761" s="21" t="str">
        <x:v>AR-01755</x:v>
      </x:c>
      <x:c r="C1761" s="21" t="str">
        <x:v>F44-I4</x:v>
      </x:c>
      <x:c r="D1761" s="21" t="str">
        <x:v>F44</x:v>
      </x:c>
      <x:c r="E1761" s="21" t="n">
        <x:v>5</x:v>
      </x:c>
      <x:c r="F1761" s="21" t="str">
        <x:v>Qualification and destructive evidence</x:v>
      </x:c>
      <x:c r="G1761" s="21" t="n">
        <x:v>21</x:v>
      </x:c>
      <x:c r="H1761" s="21" t="str">
        <x:v>Independent Evidence and Data Authority</x:v>
      </x:c>
      <x:c r="I1761" s="44" t="n">
        <x:f>Lifecycle!G11</x:f>
        <x:v>0.1515251334079979</x:v>
      </x:c>
      <x:c r="J1761" s="44" t="n">
        <x:v>0.06895</x:v>
      </x:c>
      <x:c r="K1761" s="44" t="n">
        <x:f>I1761*J1761</x:f>
        <x:v>0.010447657948481454</x:v>
      </x:c>
      <x:c r="L1761" s="46" t="n">
        <x:v>0</x:v>
      </x:c>
      <x:c r="M1761" s="46" t="n">
        <x:v>0</x:v>
      </x:c>
      <x:c r="N1761" s="21" t="n">
        <x:f>IF(AND(L1760=1,M1760=1,P1760&gt;0),1,0)</x:f>
        <x:v>0</x:v>
      </x:c>
      <x:c r="O1761" s="21" t="n">
        <x:f>MIN('Root Data'!I532:I534)</x:f>
        <x:v>0</x:v>
      </x:c>
      <x:c r="P1761" s="44" t="n">
        <x:f>IF(AND(L1761=1,M1761=1,N1761=1,O1761&gt;=G1761),K1761,0)</x:f>
        <x:v>0</x:v>
      </x:c>
      <x:c r="Q1761" s="21" t="str">
        <x:v>OPEN</x:v>
      </x:c>
      <x:c r="R1761" s="23" t="str">
        <x:v>HOLD</x:v>
      </x:c>
    </x:row>
    <x:row r="1762">
      <x:c r="B1762" s="21" t="str">
        <x:v>AR-01756</x:v>
      </x:c>
      <x:c r="C1762" s="21" t="str">
        <x:v>F44-I4</x:v>
      </x:c>
      <x:c r="D1762" s="21" t="str">
        <x:v>F44</x:v>
      </x:c>
      <x:c r="E1762" s="21" t="n">
        <x:v>6</x:v>
      </x:c>
      <x:c r="F1762" s="21" t="str">
        <x:v>Representative mission result</x:v>
      </x:c>
      <x:c r="G1762" s="21" t="n">
        <x:v>23</x:v>
      </x:c>
      <x:c r="H1762" s="21" t="str">
        <x:v>Receiving Service Authority</x:v>
      </x:c>
      <x:c r="I1762" s="44" t="n">
        <x:f>Lifecycle!G12</x:f>
        <x:v>0.250345872587127</x:v>
      </x:c>
      <x:c r="J1762" s="44" t="n">
        <x:v>0.06895</x:v>
      </x:c>
      <x:c r="K1762" s="44" t="n">
        <x:f>I1762*J1762</x:f>
        <x:v>0.017261347914882406</x:v>
      </x:c>
      <x:c r="L1762" s="46" t="n">
        <x:v>0</x:v>
      </x:c>
      <x:c r="M1762" s="46" t="n">
        <x:v>0</x:v>
      </x:c>
      <x:c r="N1762" s="21" t="n">
        <x:f>IF(AND(L1761=1,M1761=1,P1761&gt;0),1,0)</x:f>
        <x:v>0</x:v>
      </x:c>
      <x:c r="O1762" s="21" t="n">
        <x:f>MIN('Root Data'!I532:I534)</x:f>
        <x:v>0</x:v>
      </x:c>
      <x:c r="P1762" s="44" t="n">
        <x:f>IF(AND(L1762=1,M1762=1,N1762=1,O1762&gt;=G1762),K1762,0)</x:f>
        <x:v>0</x:v>
      </x:c>
      <x:c r="Q1762" s="21" t="str">
        <x:v>OPEN</x:v>
      </x:c>
      <x:c r="R1762" s="23" t="str">
        <x:v>HOLD</x:v>
      </x:c>
    </x:row>
    <x:row r="1763">
      <x:c r="B1763" s="21" t="str">
        <x:v>AR-01757</x:v>
      </x:c>
      <x:c r="C1763" s="21" t="str">
        <x:v>F44-I4</x:v>
      </x:c>
      <x:c r="D1763" s="21" t="str">
        <x:v>F44</x:v>
      </x:c>
      <x:c r="E1763" s="21" t="n">
        <x:v>7</x:v>
      </x:c>
      <x:c r="F1763" s="21" t="str">
        <x:v>Independent reproduction</x:v>
      </x:c>
      <x:c r="G1763" s="21" t="n">
        <x:v>28</x:v>
      </x:c>
      <x:c r="H1763" s="21" t="str">
        <x:v>Independent Evidence and Data Authority</x:v>
      </x:c>
      <x:c r="I1763" s="44" t="n">
        <x:f>Lifecycle!G13</x:f>
        <x:v>0.21740562619408393</x:v>
      </x:c>
      <x:c r="J1763" s="44" t="n">
        <x:v>0.06895</x:v>
      </x:c>
      <x:c r="K1763" s="44" t="n">
        <x:f>I1763*J1763</x:f>
        <x:v>0.014990117926082087</x:v>
      </x:c>
      <x:c r="L1763" s="46" t="n">
        <x:v>0</x:v>
      </x:c>
      <x:c r="M1763" s="46" t="n">
        <x:v>0</x:v>
      </x:c>
      <x:c r="N1763" s="21" t="n">
        <x:f>IF(AND(L1762=1,M1762=1,P1762&gt;0),1,0)</x:f>
        <x:v>0</x:v>
      </x:c>
      <x:c r="O1763" s="21" t="n">
        <x:f>MIN('Root Data'!I532:I534)</x:f>
        <x:v>0</x:v>
      </x:c>
      <x:c r="P1763" s="44" t="n">
        <x:f>IF(AND(L1763=1,M1763=1,N1763=1,O1763&gt;=G1763),K1763,0)</x:f>
        <x:v>0</x:v>
      </x:c>
      <x:c r="Q1763" s="21" t="str">
        <x:v>OPEN</x:v>
      </x:c>
      <x:c r="R1763" s="23" t="str">
        <x:v>HOLD</x:v>
      </x:c>
    </x:row>
    <x:row r="1764">
      <x:c r="B1764" s="21" t="str">
        <x:v>AR-01758</x:v>
      </x:c>
      <x:c r="C1764" s="21" t="str">
        <x:v>F44-I4</x:v>
      </x:c>
      <x:c r="D1764" s="21" t="str">
        <x:v>F44</x:v>
      </x:c>
      <x:c r="E1764" s="21" t="n">
        <x:v>8</x:v>
      </x:c>
      <x:c r="F1764" s="21" t="str">
        <x:v>Pilot-process qualification</x:v>
      </x:c>
      <x:c r="G1764" s="21" t="n">
        <x:v>28</x:v>
      </x:c>
      <x:c r="H1764" s="21" t="str">
        <x:v>AIMC Industrial Mobilization Authority</x:v>
      </x:c>
      <x:c r="I1764" s="44" t="n">
        <x:f>Lifecycle!G14</x:f>
        <x:v>0.03952829567165163</x:v>
      </x:c>
      <x:c r="J1764" s="44" t="n">
        <x:v>0.06895</x:v>
      </x:c>
      <x:c r="K1764" s="44" t="n">
        <x:f>I1764*J1764</x:f>
        <x:v>0.0027254759865603796</x:v>
      </x:c>
      <x:c r="L1764" s="46" t="n">
        <x:v>0</x:v>
      </x:c>
      <x:c r="M1764" s="46" t="n">
        <x:v>0</x:v>
      </x:c>
      <x:c r="N1764" s="21" t="n">
        <x:f>IF(AND(L1763=1,M1763=1,P1763&gt;0),1,0)</x:f>
        <x:v>0</x:v>
      </x:c>
      <x:c r="O1764" s="21" t="n">
        <x:f>MIN('Root Data'!I532:I534)</x:f>
        <x:v>0</x:v>
      </x:c>
      <x:c r="P1764" s="44" t="n">
        <x:f>IF(AND(L1764=1,M1764=1,N1764=1,O1764&gt;=G1764),K1764,0)</x:f>
        <x:v>0</x:v>
      </x:c>
      <x:c r="Q1764" s="21" t="str">
        <x:v>OPEN</x:v>
      </x:c>
      <x:c r="R1764" s="23" t="str">
        <x:v>HOLD</x:v>
      </x:c>
    </x:row>
    <x:row r="1765">
      <x:c r="B1765" s="21" t="str">
        <x:v>AR-01759</x:v>
      </x:c>
      <x:c r="C1765" s="21" t="str">
        <x:v>F44-I4</x:v>
      </x:c>
      <x:c r="D1765" s="21" t="str">
        <x:v>F44</x:v>
      </x:c>
      <x:c r="E1765" s="21" t="n">
        <x:v>9</x:v>
      </x:c>
      <x:c r="F1765" s="21" t="str">
        <x:v>Production release package</x:v>
      </x:c>
      <x:c r="G1765" s="21" t="n">
        <x:v>28</x:v>
      </x:c>
      <x:c r="H1765" s="21" t="str">
        <x:v>Production Release Board</x:v>
      </x:c>
      <x:c r="I1765" s="44" t="n">
        <x:f>Lifecycle!G15</x:f>
        <x:v>0.01647012319652151</x:v>
      </x:c>
      <x:c r="J1765" s="44" t="n">
        <x:v>0.06895</x:v>
      </x:c>
      <x:c r="K1765" s="44" t="n">
        <x:f>I1765*J1765</x:f>
        <x:v>0.0011356149944001582</x:v>
      </x:c>
      <x:c r="L1765" s="46" t="n">
        <x:v>0</x:v>
      </x:c>
      <x:c r="M1765" s="46" t="n">
        <x:v>0</x:v>
      </x:c>
      <x:c r="N1765" s="21" t="n">
        <x:f>IF(AND(L1764=1,M1764=1,P1764&gt;0),1,0)</x:f>
        <x:v>0</x:v>
      </x:c>
      <x:c r="O1765" s="21" t="n">
        <x:f>MIN('Root Data'!I532:I534)</x:f>
        <x:v>0</x:v>
      </x:c>
      <x:c r="P1765" s="44" t="n">
        <x:f>IF(AND(L1765=1,M1765=1,N1765=1,O1765&gt;=G1765),K1765,0)</x:f>
        <x:v>0</x:v>
      </x:c>
      <x:c r="Q1765" s="21" t="str">
        <x:v>OPEN</x:v>
      </x:c>
      <x:c r="R1765" s="23" t="str">
        <x:v>HOLD</x:v>
      </x:c>
    </x:row>
    <x:row r="1766">
      <x:c r="B1766" s="21" t="str">
        <x:v>AR-01760</x:v>
      </x:c>
      <x:c r="C1766" s="21" t="str">
        <x:v>F44-I4</x:v>
      </x:c>
      <x:c r="D1766" s="21" t="str">
        <x:v>F44</x:v>
      </x:c>
      <x:c r="E1766" s="21" t="n">
        <x:v>10</x:v>
      </x:c>
      <x:c r="F1766" s="21" t="str">
        <x:v>Mobilization activation</x:v>
      </x:c>
      <x:c r="G1766" s="21" t="n">
        <x:v>28</x:v>
      </x:c>
      <x:c r="H1766" s="21" t="str">
        <x:v>Production Release Board</x:v>
      </x:c>
      <x:c r="I1766" s="44" t="n">
        <x:f>Lifecycle!G16</x:f>
        <x:v>0.028262731405230914</x:v>
      </x:c>
      <x:c r="J1766" s="44" t="n">
        <x:v>0.06895</x:v>
      </x:c>
      <x:c r="K1766" s="44" t="n">
        <x:f>I1766*J1766</x:f>
        <x:v>0.0019487153303906714</x:v>
      </x:c>
      <x:c r="L1766" s="46" t="n">
        <x:v>0</x:v>
      </x:c>
      <x:c r="M1766" s="46" t="n">
        <x:v>0</x:v>
      </x:c>
      <x:c r="N1766" s="21" t="n">
        <x:f>IF(AND(L1765=1,M1765=1,P1765&gt;0),1,0)</x:f>
        <x:v>0</x:v>
      </x:c>
      <x:c r="O1766" s="21" t="n">
        <x:f>MIN('Root Data'!I532:I534)</x:f>
        <x:v>0</x:v>
      </x:c>
      <x:c r="P1766" s="44" t="n">
        <x:f>IF(AND(L1766=1,M1766=1,N1766=1,O1766&gt;=G1766),K1766,0)</x:f>
        <x:v>0</x:v>
      </x:c>
      <x:c r="Q1766" s="21" t="str">
        <x:v>OPEN</x:v>
      </x:c>
      <x:c r="R1766" s="23" t="str">
        <x:v>HOLD</x:v>
      </x:c>
    </x:row>
    <x:row r="1767">
      <x:c r="B1767" s="21" t="str">
        <x:v>AR-01761</x:v>
      </x:c>
      <x:c r="C1767" s="21" t="str">
        <x:v>F45-I1</x:v>
      </x:c>
      <x:c r="D1767" s="21" t="str">
        <x:v>F45</x:v>
      </x:c>
      <x:c r="E1767" s="21" t="n">
        <x:v>1</x:v>
      </x:c>
      <x:c r="F1767" s="21" t="str">
        <x:v>Civil effect charter</x:v>
      </x:c>
      <x:c r="G1767" s="21" t="n">
        <x:v>0</x:v>
      </x:c>
      <x:c r="H1767" s="21" t="str">
        <x:v>Civil Guarantee Authority</x:v>
      </x:c>
      <x:c r="I1767" s="44" t="n">
        <x:f>Lifecycle!G7</x:f>
        <x:v>0.04941036958956453</x:v>
      </x:c>
      <x:c r="J1767" s="44" t="n">
        <x:v>0.06895</x:v>
      </x:c>
      <x:c r="K1767" s="44" t="n">
        <x:f>I1767*J1767</x:f>
        <x:v>0.003406844983200474</x:v>
      </x:c>
      <x:c r="L1767" s="46" t="n">
        <x:v>0</x:v>
      </x:c>
      <x:c r="M1767" s="46" t="n">
        <x:v>0</x:v>
      </x:c>
      <x:c r="N1767" s="21" t="n">
        <x:f>1</x:f>
        <x:v>1</x:v>
      </x:c>
      <x:c r="O1767" s="21" t="n">
        <x:f>MIN('Root Data'!I535:I537)</x:f>
        <x:v>0</x:v>
      </x:c>
      <x:c r="P1767" s="44" t="n">
        <x:f>IF(AND(L1767=1,M1767=1,N1767=1,O1767&gt;=G1767),K1767,0)</x:f>
        <x:v>0</x:v>
      </x:c>
      <x:c r="Q1767" s="21" t="str">
        <x:v>OPEN</x:v>
      </x:c>
      <x:c r="R1767" s="23" t="str">
        <x:v>HOLD</x:v>
      </x:c>
    </x:row>
    <x:row r="1768">
      <x:c r="B1768" s="21" t="str">
        <x:v>AR-01762</x:v>
      </x:c>
      <x:c r="C1768" s="21" t="str">
        <x:v>F45-I1</x:v>
      </x:c>
      <x:c r="D1768" s="21" t="str">
        <x:v>F45</x:v>
      </x:c>
      <x:c r="E1768" s="21" t="n">
        <x:v>2</x:v>
      </x:c>
      <x:c r="F1768" s="21" t="str">
        <x:v>Requirement and root-independence package</x:v>
      </x:c>
      <x:c r="G1768" s="21" t="n">
        <x:v>8</x:v>
      </x:c>
      <x:c r="H1768" s="21" t="str">
        <x:v>Resilience Staff</x:v>
      </x:c>
      <x:c r="I1768" s="44" t="n">
        <x:f>Lifecycle!G8</x:f>
        <x:v>0.10211476381843337</x:v>
      </x:c>
      <x:c r="J1768" s="44" t="n">
        <x:v>0.06895</x:v>
      </x:c>
      <x:c r="K1768" s="44" t="n">
        <x:f>I1768*J1768</x:f>
        <x:v>0.007040812965280981</x:v>
      </x:c>
      <x:c r="L1768" s="46" t="n">
        <x:v>0</x:v>
      </x:c>
      <x:c r="M1768" s="46" t="n">
        <x:v>0</x:v>
      </x:c>
      <x:c r="N1768" s="21" t="n">
        <x:f>IF(AND(L1767=1,M1767=1,P1767&gt;0),1,0)</x:f>
        <x:v>0</x:v>
      </x:c>
      <x:c r="O1768" s="21" t="n">
        <x:f>MIN('Root Data'!I535:I537)</x:f>
        <x:v>0</x:v>
      </x:c>
      <x:c r="P1768" s="44" t="n">
        <x:f>IF(AND(L1768=1,M1768=1,N1768=1,O1768&gt;=G1768),K1768,0)</x:f>
        <x:v>0</x:v>
      </x:c>
      <x:c r="Q1768" s="21" t="str">
        <x:v>OPEN</x:v>
      </x:c>
      <x:c r="R1768" s="23" t="str">
        <x:v>HOLD</x:v>
      </x:c>
    </x:row>
    <x:row r="1769">
      <x:c r="B1769" s="21" t="str">
        <x:v>AR-01763</x:v>
      </x:c>
      <x:c r="C1769" s="21" t="str">
        <x:v>F45-I1</x:v>
      </x:c>
      <x:c r="D1769" s="21" t="str">
        <x:v>F45</x:v>
      </x:c>
      <x:c r="E1769" s="21" t="n">
        <x:v>3</x:v>
      </x:c>
      <x:c r="F1769" s="21" t="str">
        <x:v>Architecture and burden closure</x:v>
      </x:c>
      <x:c r="G1769" s="21" t="n">
        <x:v>14</x:v>
      </x:c>
      <x:c r="H1769" s="21" t="str">
        <x:v>Independent Evidence and Data Authority</x:v>
      </x:c>
      <x:c r="I1769" s="44" t="n">
        <x:f>Lifecycle!G9</x:f>
        <x:v>0.08564464062191186</x:v>
      </x:c>
      <x:c r="J1769" s="44" t="n">
        <x:v>0.06895</x:v>
      </x:c>
      <x:c r="K1769" s="44" t="n">
        <x:f>I1769*J1769</x:f>
        <x:v>0.005905197970880823</x:v>
      </x:c>
      <x:c r="L1769" s="46" t="n">
        <x:v>0</x:v>
      </x:c>
      <x:c r="M1769" s="46" t="n">
        <x:v>0</x:v>
      </x:c>
      <x:c r="N1769" s="21" t="n">
        <x:f>IF(AND(L1768=1,M1768=1,P1768&gt;0),1,0)</x:f>
        <x:v>0</x:v>
      </x:c>
      <x:c r="O1769" s="21" t="n">
        <x:f>MIN('Root Data'!I535:I537)</x:f>
        <x:v>0</x:v>
      </x:c>
      <x:c r="P1769" s="44" t="n">
        <x:f>IF(AND(L1769=1,M1769=1,N1769=1,O1769&gt;=G1769),K1769,0)</x:f>
        <x:v>0</x:v>
      </x:c>
      <x:c r="Q1769" s="21" t="str">
        <x:v>OPEN</x:v>
      </x:c>
      <x:c r="R1769" s="23" t="str">
        <x:v>HOLD</x:v>
      </x:c>
    </x:row>
    <x:row r="1770">
      <x:c r="B1770" s="21" t="str">
        <x:v>AR-01764</x:v>
      </x:c>
      <x:c r="C1770" s="21" t="str">
        <x:v>F45-I1</x:v>
      </x:c>
      <x:c r="D1770" s="21" t="str">
        <x:v>F45</x:v>
      </x:c>
      <x:c r="E1770" s="21" t="n">
        <x:v>4</x:v>
      </x:c>
      <x:c r="F1770" s="21" t="str">
        <x:v>Engineering article acceptance</x:v>
      </x:c>
      <x:c r="G1770" s="21" t="n">
        <x:v>18</x:v>
      </x:c>
      <x:c r="H1770" s="21" t="str">
        <x:v>Independent Evidence and Data Authority</x:v>
      </x:c>
      <x:c r="I1770" s="44" t="n">
        <x:f>Lifecycle!G10</x:f>
        <x:v>0.05929244350747744</x:v>
      </x:c>
      <x:c r="J1770" s="44" t="n">
        <x:v>0.06895</x:v>
      </x:c>
      <x:c r="K1770" s="44" t="n">
        <x:f>I1770*J1770</x:f>
        <x:v>0.004088213979840569</x:v>
      </x:c>
      <x:c r="L1770" s="46" t="n">
        <x:v>0</x:v>
      </x:c>
      <x:c r="M1770" s="46" t="n">
        <x:v>0</x:v>
      </x:c>
      <x:c r="N1770" s="21" t="n">
        <x:f>IF(AND(L1769=1,M1769=1,P1769&gt;0),1,0)</x:f>
        <x:v>0</x:v>
      </x:c>
      <x:c r="O1770" s="21" t="n">
        <x:f>MIN('Root Data'!I535:I537)</x:f>
        <x:v>0</x:v>
      </x:c>
      <x:c r="P1770" s="44" t="n">
        <x:f>IF(AND(L1770=1,M1770=1,N1770=1,O1770&gt;=G1770),K1770,0)</x:f>
        <x:v>0</x:v>
      </x:c>
      <x:c r="Q1770" s="21" t="str">
        <x:v>OPEN</x:v>
      </x:c>
      <x:c r="R1770" s="23" t="str">
        <x:v>HOLD</x:v>
      </x:c>
    </x:row>
    <x:row r="1771">
      <x:c r="B1771" s="21" t="str">
        <x:v>AR-01765</x:v>
      </x:c>
      <x:c r="C1771" s="21" t="str">
        <x:v>F45-I1</x:v>
      </x:c>
      <x:c r="D1771" s="21" t="str">
        <x:v>F45</x:v>
      </x:c>
      <x:c r="E1771" s="21" t="n">
        <x:v>5</x:v>
      </x:c>
      <x:c r="F1771" s="21" t="str">
        <x:v>Qualification and destructive evidence</x:v>
      </x:c>
      <x:c r="G1771" s="21" t="n">
        <x:v>21</x:v>
      </x:c>
      <x:c r="H1771" s="21" t="str">
        <x:v>Independent Evidence and Data Authority</x:v>
      </x:c>
      <x:c r="I1771" s="44" t="n">
        <x:f>Lifecycle!G11</x:f>
        <x:v>0.1515251334079979</x:v>
      </x:c>
      <x:c r="J1771" s="44" t="n">
        <x:v>0.06895</x:v>
      </x:c>
      <x:c r="K1771" s="44" t="n">
        <x:f>I1771*J1771</x:f>
        <x:v>0.010447657948481454</x:v>
      </x:c>
      <x:c r="L1771" s="46" t="n">
        <x:v>0</x:v>
      </x:c>
      <x:c r="M1771" s="46" t="n">
        <x:v>0</x:v>
      </x:c>
      <x:c r="N1771" s="21" t="n">
        <x:f>IF(AND(L1770=1,M1770=1,P1770&gt;0),1,0)</x:f>
        <x:v>0</x:v>
      </x:c>
      <x:c r="O1771" s="21" t="n">
        <x:f>MIN('Root Data'!I535:I537)</x:f>
        <x:v>0</x:v>
      </x:c>
      <x:c r="P1771" s="44" t="n">
        <x:f>IF(AND(L1771=1,M1771=1,N1771=1,O1771&gt;=G1771),K1771,0)</x:f>
        <x:v>0</x:v>
      </x:c>
      <x:c r="Q1771" s="21" t="str">
        <x:v>OPEN</x:v>
      </x:c>
      <x:c r="R1771" s="23" t="str">
        <x:v>HOLD</x:v>
      </x:c>
    </x:row>
    <x:row r="1772">
      <x:c r="B1772" s="21" t="str">
        <x:v>AR-01766</x:v>
      </x:c>
      <x:c r="C1772" s="21" t="str">
        <x:v>F45-I1</x:v>
      </x:c>
      <x:c r="D1772" s="21" t="str">
        <x:v>F45</x:v>
      </x:c>
      <x:c r="E1772" s="21" t="n">
        <x:v>6</x:v>
      </x:c>
      <x:c r="F1772" s="21" t="str">
        <x:v>Representative mission result</x:v>
      </x:c>
      <x:c r="G1772" s="21" t="n">
        <x:v>23</x:v>
      </x:c>
      <x:c r="H1772" s="21" t="str">
        <x:v>Receiving Service Authority</x:v>
      </x:c>
      <x:c r="I1772" s="44" t="n">
        <x:f>Lifecycle!G12</x:f>
        <x:v>0.250345872587127</x:v>
      </x:c>
      <x:c r="J1772" s="44" t="n">
        <x:v>0.06895</x:v>
      </x:c>
      <x:c r="K1772" s="44" t="n">
        <x:f>I1772*J1772</x:f>
        <x:v>0.017261347914882406</x:v>
      </x:c>
      <x:c r="L1772" s="46" t="n">
        <x:v>0</x:v>
      </x:c>
      <x:c r="M1772" s="46" t="n">
        <x:v>0</x:v>
      </x:c>
      <x:c r="N1772" s="21" t="n">
        <x:f>IF(AND(L1771=1,M1771=1,P1771&gt;0),1,0)</x:f>
        <x:v>0</x:v>
      </x:c>
      <x:c r="O1772" s="21" t="n">
        <x:f>MIN('Root Data'!I535:I537)</x:f>
        <x:v>0</x:v>
      </x:c>
      <x:c r="P1772" s="44" t="n">
        <x:f>IF(AND(L1772=1,M1772=1,N1772=1,O1772&gt;=G1772),K1772,0)</x:f>
        <x:v>0</x:v>
      </x:c>
      <x:c r="Q1772" s="21" t="str">
        <x:v>OPEN</x:v>
      </x:c>
      <x:c r="R1772" s="23" t="str">
        <x:v>HOLD</x:v>
      </x:c>
    </x:row>
    <x:row r="1773">
      <x:c r="B1773" s="21" t="str">
        <x:v>AR-01767</x:v>
      </x:c>
      <x:c r="C1773" s="21" t="str">
        <x:v>F45-I1</x:v>
      </x:c>
      <x:c r="D1773" s="21" t="str">
        <x:v>F45</x:v>
      </x:c>
      <x:c r="E1773" s="21" t="n">
        <x:v>7</x:v>
      </x:c>
      <x:c r="F1773" s="21" t="str">
        <x:v>Independent reproduction</x:v>
      </x:c>
      <x:c r="G1773" s="21" t="n">
        <x:v>28</x:v>
      </x:c>
      <x:c r="H1773" s="21" t="str">
        <x:v>Independent Evidence and Data Authority</x:v>
      </x:c>
      <x:c r="I1773" s="44" t="n">
        <x:f>Lifecycle!G13</x:f>
        <x:v>0.21740562619408393</x:v>
      </x:c>
      <x:c r="J1773" s="44" t="n">
        <x:v>0.06895</x:v>
      </x:c>
      <x:c r="K1773" s="44" t="n">
        <x:f>I1773*J1773</x:f>
        <x:v>0.014990117926082087</x:v>
      </x:c>
      <x:c r="L1773" s="46" t="n">
        <x:v>0</x:v>
      </x:c>
      <x:c r="M1773" s="46" t="n">
        <x:v>0</x:v>
      </x:c>
      <x:c r="N1773" s="21" t="n">
        <x:f>IF(AND(L1772=1,M1772=1,P1772&gt;0),1,0)</x:f>
        <x:v>0</x:v>
      </x:c>
      <x:c r="O1773" s="21" t="n">
        <x:f>MIN('Root Data'!I535:I537)</x:f>
        <x:v>0</x:v>
      </x:c>
      <x:c r="P1773" s="44" t="n">
        <x:f>IF(AND(L1773=1,M1773=1,N1773=1,O1773&gt;=G1773),K1773,0)</x:f>
        <x:v>0</x:v>
      </x:c>
      <x:c r="Q1773" s="21" t="str">
        <x:v>OPEN</x:v>
      </x:c>
      <x:c r="R1773" s="23" t="str">
        <x:v>HOLD</x:v>
      </x:c>
    </x:row>
    <x:row r="1774">
      <x:c r="B1774" s="21" t="str">
        <x:v>AR-01768</x:v>
      </x:c>
      <x:c r="C1774" s="21" t="str">
        <x:v>F45-I1</x:v>
      </x:c>
      <x:c r="D1774" s="21" t="str">
        <x:v>F45</x:v>
      </x:c>
      <x:c r="E1774" s="21" t="n">
        <x:v>8</x:v>
      </x:c>
      <x:c r="F1774" s="21" t="str">
        <x:v>Pilot-process qualification</x:v>
      </x:c>
      <x:c r="G1774" s="21" t="n">
        <x:v>28</x:v>
      </x:c>
      <x:c r="H1774" s="21" t="str">
        <x:v>AIMC Industrial Mobilization Authority</x:v>
      </x:c>
      <x:c r="I1774" s="44" t="n">
        <x:f>Lifecycle!G14</x:f>
        <x:v>0.03952829567165163</x:v>
      </x:c>
      <x:c r="J1774" s="44" t="n">
        <x:v>0.06895</x:v>
      </x:c>
      <x:c r="K1774" s="44" t="n">
        <x:f>I1774*J1774</x:f>
        <x:v>0.0027254759865603796</x:v>
      </x:c>
      <x:c r="L1774" s="46" t="n">
        <x:v>0</x:v>
      </x:c>
      <x:c r="M1774" s="46" t="n">
        <x:v>0</x:v>
      </x:c>
      <x:c r="N1774" s="21" t="n">
        <x:f>IF(AND(L1773=1,M1773=1,P1773&gt;0),1,0)</x:f>
        <x:v>0</x:v>
      </x:c>
      <x:c r="O1774" s="21" t="n">
        <x:f>MIN('Root Data'!I535:I537)</x:f>
        <x:v>0</x:v>
      </x:c>
      <x:c r="P1774" s="44" t="n">
        <x:f>IF(AND(L1774=1,M1774=1,N1774=1,O1774&gt;=G1774),K1774,0)</x:f>
        <x:v>0</x:v>
      </x:c>
      <x:c r="Q1774" s="21" t="str">
        <x:v>OPEN</x:v>
      </x:c>
      <x:c r="R1774" s="23" t="str">
        <x:v>HOLD</x:v>
      </x:c>
    </x:row>
    <x:row r="1775">
      <x:c r="B1775" s="21" t="str">
        <x:v>AR-01769</x:v>
      </x:c>
      <x:c r="C1775" s="21" t="str">
        <x:v>F45-I1</x:v>
      </x:c>
      <x:c r="D1775" s="21" t="str">
        <x:v>F45</x:v>
      </x:c>
      <x:c r="E1775" s="21" t="n">
        <x:v>9</x:v>
      </x:c>
      <x:c r="F1775" s="21" t="str">
        <x:v>Production release package</x:v>
      </x:c>
      <x:c r="G1775" s="21" t="n">
        <x:v>28</x:v>
      </x:c>
      <x:c r="H1775" s="21" t="str">
        <x:v>Production Release Board</x:v>
      </x:c>
      <x:c r="I1775" s="44" t="n">
        <x:f>Lifecycle!G15</x:f>
        <x:v>0.01647012319652151</x:v>
      </x:c>
      <x:c r="J1775" s="44" t="n">
        <x:v>0.06895</x:v>
      </x:c>
      <x:c r="K1775" s="44" t="n">
        <x:f>I1775*J1775</x:f>
        <x:v>0.0011356149944001582</x:v>
      </x:c>
      <x:c r="L1775" s="46" t="n">
        <x:v>0</x:v>
      </x:c>
      <x:c r="M1775" s="46" t="n">
        <x:v>0</x:v>
      </x:c>
      <x:c r="N1775" s="21" t="n">
        <x:f>IF(AND(L1774=1,M1774=1,P1774&gt;0),1,0)</x:f>
        <x:v>0</x:v>
      </x:c>
      <x:c r="O1775" s="21" t="n">
        <x:f>MIN('Root Data'!I535:I537)</x:f>
        <x:v>0</x:v>
      </x:c>
      <x:c r="P1775" s="44" t="n">
        <x:f>IF(AND(L1775=1,M1775=1,N1775=1,O1775&gt;=G1775),K1775,0)</x:f>
        <x:v>0</x:v>
      </x:c>
      <x:c r="Q1775" s="21" t="str">
        <x:v>OPEN</x:v>
      </x:c>
      <x:c r="R1775" s="23" t="str">
        <x:v>HOLD</x:v>
      </x:c>
    </x:row>
    <x:row r="1776">
      <x:c r="B1776" s="21" t="str">
        <x:v>AR-01770</x:v>
      </x:c>
      <x:c r="C1776" s="21" t="str">
        <x:v>F45-I1</x:v>
      </x:c>
      <x:c r="D1776" s="21" t="str">
        <x:v>F45</x:v>
      </x:c>
      <x:c r="E1776" s="21" t="n">
        <x:v>10</x:v>
      </x:c>
      <x:c r="F1776" s="21" t="str">
        <x:v>Mobilization activation</x:v>
      </x:c>
      <x:c r="G1776" s="21" t="n">
        <x:v>28</x:v>
      </x:c>
      <x:c r="H1776" s="21" t="str">
        <x:v>Production Release Board</x:v>
      </x:c>
      <x:c r="I1776" s="44" t="n">
        <x:f>Lifecycle!G16</x:f>
        <x:v>0.028262731405230914</x:v>
      </x:c>
      <x:c r="J1776" s="44" t="n">
        <x:v>0.06895</x:v>
      </x:c>
      <x:c r="K1776" s="44" t="n">
        <x:f>I1776*J1776</x:f>
        <x:v>0.0019487153303906714</x:v>
      </x:c>
      <x:c r="L1776" s="46" t="n">
        <x:v>0</x:v>
      </x:c>
      <x:c r="M1776" s="46" t="n">
        <x:v>0</x:v>
      </x:c>
      <x:c r="N1776" s="21" t="n">
        <x:f>IF(AND(L1775=1,M1775=1,P1775&gt;0),1,0)</x:f>
        <x:v>0</x:v>
      </x:c>
      <x:c r="O1776" s="21" t="n">
        <x:f>MIN('Root Data'!I535:I537)</x:f>
        <x:v>0</x:v>
      </x:c>
      <x:c r="P1776" s="44" t="n">
        <x:f>IF(AND(L1776=1,M1776=1,N1776=1,O1776&gt;=G1776),K1776,0)</x:f>
        <x:v>0</x:v>
      </x:c>
      <x:c r="Q1776" s="21" t="str">
        <x:v>OPEN</x:v>
      </x:c>
      <x:c r="R1776" s="23" t="str">
        <x:v>HOLD</x:v>
      </x:c>
    </x:row>
    <x:row r="1777">
      <x:c r="B1777" s="21" t="str">
        <x:v>AR-01771</x:v>
      </x:c>
      <x:c r="C1777" s="21" t="str">
        <x:v>F45-I2</x:v>
      </x:c>
      <x:c r="D1777" s="21" t="str">
        <x:v>F45</x:v>
      </x:c>
      <x:c r="E1777" s="21" t="n">
        <x:v>1</x:v>
      </x:c>
      <x:c r="F1777" s="21" t="str">
        <x:v>Civil effect charter</x:v>
      </x:c>
      <x:c r="G1777" s="21" t="n">
        <x:v>0</x:v>
      </x:c>
      <x:c r="H1777" s="21" t="str">
        <x:v>Civil Guarantee Authority</x:v>
      </x:c>
      <x:c r="I1777" s="44" t="n">
        <x:f>Lifecycle!G7</x:f>
        <x:v>0.04941036958956453</x:v>
      </x:c>
      <x:c r="J1777" s="44" t="n">
        <x:v>0.06895</x:v>
      </x:c>
      <x:c r="K1777" s="44" t="n">
        <x:f>I1777*J1777</x:f>
        <x:v>0.003406844983200474</x:v>
      </x:c>
      <x:c r="L1777" s="46" t="n">
        <x:v>0</x:v>
      </x:c>
      <x:c r="M1777" s="46" t="n">
        <x:v>0</x:v>
      </x:c>
      <x:c r="N1777" s="21" t="n">
        <x:f>1</x:f>
        <x:v>1</x:v>
      </x:c>
      <x:c r="O1777" s="21" t="n">
        <x:f>MIN('Root Data'!I538:I540)</x:f>
        <x:v>0</x:v>
      </x:c>
      <x:c r="P1777" s="44" t="n">
        <x:f>IF(AND(L1777=1,M1777=1,N1777=1,O1777&gt;=G1777),K1777,0)</x:f>
        <x:v>0</x:v>
      </x:c>
      <x:c r="Q1777" s="21" t="str">
        <x:v>OPEN</x:v>
      </x:c>
      <x:c r="R1777" s="23" t="str">
        <x:v>HOLD</x:v>
      </x:c>
    </x:row>
    <x:row r="1778">
      <x:c r="B1778" s="21" t="str">
        <x:v>AR-01772</x:v>
      </x:c>
      <x:c r="C1778" s="21" t="str">
        <x:v>F45-I2</x:v>
      </x:c>
      <x:c r="D1778" s="21" t="str">
        <x:v>F45</x:v>
      </x:c>
      <x:c r="E1778" s="21" t="n">
        <x:v>2</x:v>
      </x:c>
      <x:c r="F1778" s="21" t="str">
        <x:v>Requirement and root-independence package</x:v>
      </x:c>
      <x:c r="G1778" s="21" t="n">
        <x:v>8</x:v>
      </x:c>
      <x:c r="H1778" s="21" t="str">
        <x:v>Resilience Staff</x:v>
      </x:c>
      <x:c r="I1778" s="44" t="n">
        <x:f>Lifecycle!G8</x:f>
        <x:v>0.10211476381843337</x:v>
      </x:c>
      <x:c r="J1778" s="44" t="n">
        <x:v>0.06895</x:v>
      </x:c>
      <x:c r="K1778" s="44" t="n">
        <x:f>I1778*J1778</x:f>
        <x:v>0.007040812965280981</x:v>
      </x:c>
      <x:c r="L1778" s="46" t="n">
        <x:v>0</x:v>
      </x:c>
      <x:c r="M1778" s="46" t="n">
        <x:v>0</x:v>
      </x:c>
      <x:c r="N1778" s="21" t="n">
        <x:f>IF(AND(L1777=1,M1777=1,P1777&gt;0),1,0)</x:f>
        <x:v>0</x:v>
      </x:c>
      <x:c r="O1778" s="21" t="n">
        <x:f>MIN('Root Data'!I538:I540)</x:f>
        <x:v>0</x:v>
      </x:c>
      <x:c r="P1778" s="44" t="n">
        <x:f>IF(AND(L1778=1,M1778=1,N1778=1,O1778&gt;=G1778),K1778,0)</x:f>
        <x:v>0</x:v>
      </x:c>
      <x:c r="Q1778" s="21" t="str">
        <x:v>OPEN</x:v>
      </x:c>
      <x:c r="R1778" s="23" t="str">
        <x:v>HOLD</x:v>
      </x:c>
    </x:row>
    <x:row r="1779">
      <x:c r="B1779" s="21" t="str">
        <x:v>AR-01773</x:v>
      </x:c>
      <x:c r="C1779" s="21" t="str">
        <x:v>F45-I2</x:v>
      </x:c>
      <x:c r="D1779" s="21" t="str">
        <x:v>F45</x:v>
      </x:c>
      <x:c r="E1779" s="21" t="n">
        <x:v>3</x:v>
      </x:c>
      <x:c r="F1779" s="21" t="str">
        <x:v>Architecture and burden closure</x:v>
      </x:c>
      <x:c r="G1779" s="21" t="n">
        <x:v>14</x:v>
      </x:c>
      <x:c r="H1779" s="21" t="str">
        <x:v>Independent Evidence and Data Authority</x:v>
      </x:c>
      <x:c r="I1779" s="44" t="n">
        <x:f>Lifecycle!G9</x:f>
        <x:v>0.08564464062191186</x:v>
      </x:c>
      <x:c r="J1779" s="44" t="n">
        <x:v>0.06895</x:v>
      </x:c>
      <x:c r="K1779" s="44" t="n">
        <x:f>I1779*J1779</x:f>
        <x:v>0.005905197970880823</x:v>
      </x:c>
      <x:c r="L1779" s="46" t="n">
        <x:v>0</x:v>
      </x:c>
      <x:c r="M1779" s="46" t="n">
        <x:v>0</x:v>
      </x:c>
      <x:c r="N1779" s="21" t="n">
        <x:f>IF(AND(L1778=1,M1778=1,P1778&gt;0),1,0)</x:f>
        <x:v>0</x:v>
      </x:c>
      <x:c r="O1779" s="21" t="n">
        <x:f>MIN('Root Data'!I538:I540)</x:f>
        <x:v>0</x:v>
      </x:c>
      <x:c r="P1779" s="44" t="n">
        <x:f>IF(AND(L1779=1,M1779=1,N1779=1,O1779&gt;=G1779),K1779,0)</x:f>
        <x:v>0</x:v>
      </x:c>
      <x:c r="Q1779" s="21" t="str">
        <x:v>OPEN</x:v>
      </x:c>
      <x:c r="R1779" s="23" t="str">
        <x:v>HOLD</x:v>
      </x:c>
    </x:row>
    <x:row r="1780">
      <x:c r="B1780" s="21" t="str">
        <x:v>AR-01774</x:v>
      </x:c>
      <x:c r="C1780" s="21" t="str">
        <x:v>F45-I2</x:v>
      </x:c>
      <x:c r="D1780" s="21" t="str">
        <x:v>F45</x:v>
      </x:c>
      <x:c r="E1780" s="21" t="n">
        <x:v>4</x:v>
      </x:c>
      <x:c r="F1780" s="21" t="str">
        <x:v>Engineering article acceptance</x:v>
      </x:c>
      <x:c r="G1780" s="21" t="n">
        <x:v>18</x:v>
      </x:c>
      <x:c r="H1780" s="21" t="str">
        <x:v>Independent Evidence and Data Authority</x:v>
      </x:c>
      <x:c r="I1780" s="44" t="n">
        <x:f>Lifecycle!G10</x:f>
        <x:v>0.05929244350747744</x:v>
      </x:c>
      <x:c r="J1780" s="44" t="n">
        <x:v>0.06895</x:v>
      </x:c>
      <x:c r="K1780" s="44" t="n">
        <x:f>I1780*J1780</x:f>
        <x:v>0.004088213979840569</x:v>
      </x:c>
      <x:c r="L1780" s="46" t="n">
        <x:v>0</x:v>
      </x:c>
      <x:c r="M1780" s="46" t="n">
        <x:v>0</x:v>
      </x:c>
      <x:c r="N1780" s="21" t="n">
        <x:f>IF(AND(L1779=1,M1779=1,P1779&gt;0),1,0)</x:f>
        <x:v>0</x:v>
      </x:c>
      <x:c r="O1780" s="21" t="n">
        <x:f>MIN('Root Data'!I538:I540)</x:f>
        <x:v>0</x:v>
      </x:c>
      <x:c r="P1780" s="44" t="n">
        <x:f>IF(AND(L1780=1,M1780=1,N1780=1,O1780&gt;=G1780),K1780,0)</x:f>
        <x:v>0</x:v>
      </x:c>
      <x:c r="Q1780" s="21" t="str">
        <x:v>OPEN</x:v>
      </x:c>
      <x:c r="R1780" s="23" t="str">
        <x:v>HOLD</x:v>
      </x:c>
    </x:row>
    <x:row r="1781">
      <x:c r="B1781" s="21" t="str">
        <x:v>AR-01775</x:v>
      </x:c>
      <x:c r="C1781" s="21" t="str">
        <x:v>F45-I2</x:v>
      </x:c>
      <x:c r="D1781" s="21" t="str">
        <x:v>F45</x:v>
      </x:c>
      <x:c r="E1781" s="21" t="n">
        <x:v>5</x:v>
      </x:c>
      <x:c r="F1781" s="21" t="str">
        <x:v>Qualification and destructive evidence</x:v>
      </x:c>
      <x:c r="G1781" s="21" t="n">
        <x:v>21</x:v>
      </x:c>
      <x:c r="H1781" s="21" t="str">
        <x:v>Independent Evidence and Data Authority</x:v>
      </x:c>
      <x:c r="I1781" s="44" t="n">
        <x:f>Lifecycle!G11</x:f>
        <x:v>0.1515251334079979</x:v>
      </x:c>
      <x:c r="J1781" s="44" t="n">
        <x:v>0.06895</x:v>
      </x:c>
      <x:c r="K1781" s="44" t="n">
        <x:f>I1781*J1781</x:f>
        <x:v>0.010447657948481454</x:v>
      </x:c>
      <x:c r="L1781" s="46" t="n">
        <x:v>0</x:v>
      </x:c>
      <x:c r="M1781" s="46" t="n">
        <x:v>0</x:v>
      </x:c>
      <x:c r="N1781" s="21" t="n">
        <x:f>IF(AND(L1780=1,M1780=1,P1780&gt;0),1,0)</x:f>
        <x:v>0</x:v>
      </x:c>
      <x:c r="O1781" s="21" t="n">
        <x:f>MIN('Root Data'!I538:I540)</x:f>
        <x:v>0</x:v>
      </x:c>
      <x:c r="P1781" s="44" t="n">
        <x:f>IF(AND(L1781=1,M1781=1,N1781=1,O1781&gt;=G1781),K1781,0)</x:f>
        <x:v>0</x:v>
      </x:c>
      <x:c r="Q1781" s="21" t="str">
        <x:v>OPEN</x:v>
      </x:c>
      <x:c r="R1781" s="23" t="str">
        <x:v>HOLD</x:v>
      </x:c>
    </x:row>
    <x:row r="1782">
      <x:c r="B1782" s="21" t="str">
        <x:v>AR-01776</x:v>
      </x:c>
      <x:c r="C1782" s="21" t="str">
        <x:v>F45-I2</x:v>
      </x:c>
      <x:c r="D1782" s="21" t="str">
        <x:v>F45</x:v>
      </x:c>
      <x:c r="E1782" s="21" t="n">
        <x:v>6</x:v>
      </x:c>
      <x:c r="F1782" s="21" t="str">
        <x:v>Representative mission result</x:v>
      </x:c>
      <x:c r="G1782" s="21" t="n">
        <x:v>23</x:v>
      </x:c>
      <x:c r="H1782" s="21" t="str">
        <x:v>Receiving Service Authority</x:v>
      </x:c>
      <x:c r="I1782" s="44" t="n">
        <x:f>Lifecycle!G12</x:f>
        <x:v>0.250345872587127</x:v>
      </x:c>
      <x:c r="J1782" s="44" t="n">
        <x:v>0.06895</x:v>
      </x:c>
      <x:c r="K1782" s="44" t="n">
        <x:f>I1782*J1782</x:f>
        <x:v>0.017261347914882406</x:v>
      </x:c>
      <x:c r="L1782" s="46" t="n">
        <x:v>0</x:v>
      </x:c>
      <x:c r="M1782" s="46" t="n">
        <x:v>0</x:v>
      </x:c>
      <x:c r="N1782" s="21" t="n">
        <x:f>IF(AND(L1781=1,M1781=1,P1781&gt;0),1,0)</x:f>
        <x:v>0</x:v>
      </x:c>
      <x:c r="O1782" s="21" t="n">
        <x:f>MIN('Root Data'!I538:I540)</x:f>
        <x:v>0</x:v>
      </x:c>
      <x:c r="P1782" s="44" t="n">
        <x:f>IF(AND(L1782=1,M1782=1,N1782=1,O1782&gt;=G1782),K1782,0)</x:f>
        <x:v>0</x:v>
      </x:c>
      <x:c r="Q1782" s="21" t="str">
        <x:v>OPEN</x:v>
      </x:c>
      <x:c r="R1782" s="23" t="str">
        <x:v>HOLD</x:v>
      </x:c>
    </x:row>
    <x:row r="1783">
      <x:c r="B1783" s="21" t="str">
        <x:v>AR-01777</x:v>
      </x:c>
      <x:c r="C1783" s="21" t="str">
        <x:v>F45-I2</x:v>
      </x:c>
      <x:c r="D1783" s="21" t="str">
        <x:v>F45</x:v>
      </x:c>
      <x:c r="E1783" s="21" t="n">
        <x:v>7</x:v>
      </x:c>
      <x:c r="F1783" s="21" t="str">
        <x:v>Independent reproduction</x:v>
      </x:c>
      <x:c r="G1783" s="21" t="n">
        <x:v>28</x:v>
      </x:c>
      <x:c r="H1783" s="21" t="str">
        <x:v>Independent Evidence and Data Authority</x:v>
      </x:c>
      <x:c r="I1783" s="44" t="n">
        <x:f>Lifecycle!G13</x:f>
        <x:v>0.21740562619408393</x:v>
      </x:c>
      <x:c r="J1783" s="44" t="n">
        <x:v>0.06895</x:v>
      </x:c>
      <x:c r="K1783" s="44" t="n">
        <x:f>I1783*J1783</x:f>
        <x:v>0.014990117926082087</x:v>
      </x:c>
      <x:c r="L1783" s="46" t="n">
        <x:v>0</x:v>
      </x:c>
      <x:c r="M1783" s="46" t="n">
        <x:v>0</x:v>
      </x:c>
      <x:c r="N1783" s="21" t="n">
        <x:f>IF(AND(L1782=1,M1782=1,P1782&gt;0),1,0)</x:f>
        <x:v>0</x:v>
      </x:c>
      <x:c r="O1783" s="21" t="n">
        <x:f>MIN('Root Data'!I538:I540)</x:f>
        <x:v>0</x:v>
      </x:c>
      <x:c r="P1783" s="44" t="n">
        <x:f>IF(AND(L1783=1,M1783=1,N1783=1,O1783&gt;=G1783),K1783,0)</x:f>
        <x:v>0</x:v>
      </x:c>
      <x:c r="Q1783" s="21" t="str">
        <x:v>OPEN</x:v>
      </x:c>
      <x:c r="R1783" s="23" t="str">
        <x:v>HOLD</x:v>
      </x:c>
    </x:row>
    <x:row r="1784">
      <x:c r="B1784" s="21" t="str">
        <x:v>AR-01778</x:v>
      </x:c>
      <x:c r="C1784" s="21" t="str">
        <x:v>F45-I2</x:v>
      </x:c>
      <x:c r="D1784" s="21" t="str">
        <x:v>F45</x:v>
      </x:c>
      <x:c r="E1784" s="21" t="n">
        <x:v>8</x:v>
      </x:c>
      <x:c r="F1784" s="21" t="str">
        <x:v>Pilot-process qualification</x:v>
      </x:c>
      <x:c r="G1784" s="21" t="n">
        <x:v>28</x:v>
      </x:c>
      <x:c r="H1784" s="21" t="str">
        <x:v>AIMC Industrial Mobilization Authority</x:v>
      </x:c>
      <x:c r="I1784" s="44" t="n">
        <x:f>Lifecycle!G14</x:f>
        <x:v>0.03952829567165163</x:v>
      </x:c>
      <x:c r="J1784" s="44" t="n">
        <x:v>0.06895</x:v>
      </x:c>
      <x:c r="K1784" s="44" t="n">
        <x:f>I1784*J1784</x:f>
        <x:v>0.0027254759865603796</x:v>
      </x:c>
      <x:c r="L1784" s="46" t="n">
        <x:v>0</x:v>
      </x:c>
      <x:c r="M1784" s="46" t="n">
        <x:v>0</x:v>
      </x:c>
      <x:c r="N1784" s="21" t="n">
        <x:f>IF(AND(L1783=1,M1783=1,P1783&gt;0),1,0)</x:f>
        <x:v>0</x:v>
      </x:c>
      <x:c r="O1784" s="21" t="n">
        <x:f>MIN('Root Data'!I538:I540)</x:f>
        <x:v>0</x:v>
      </x:c>
      <x:c r="P1784" s="44" t="n">
        <x:f>IF(AND(L1784=1,M1784=1,N1784=1,O1784&gt;=G1784),K1784,0)</x:f>
        <x:v>0</x:v>
      </x:c>
      <x:c r="Q1784" s="21" t="str">
        <x:v>OPEN</x:v>
      </x:c>
      <x:c r="R1784" s="23" t="str">
        <x:v>HOLD</x:v>
      </x:c>
    </x:row>
    <x:row r="1785">
      <x:c r="B1785" s="21" t="str">
        <x:v>AR-01779</x:v>
      </x:c>
      <x:c r="C1785" s="21" t="str">
        <x:v>F45-I2</x:v>
      </x:c>
      <x:c r="D1785" s="21" t="str">
        <x:v>F45</x:v>
      </x:c>
      <x:c r="E1785" s="21" t="n">
        <x:v>9</x:v>
      </x:c>
      <x:c r="F1785" s="21" t="str">
        <x:v>Production release package</x:v>
      </x:c>
      <x:c r="G1785" s="21" t="n">
        <x:v>28</x:v>
      </x:c>
      <x:c r="H1785" s="21" t="str">
        <x:v>Production Release Board</x:v>
      </x:c>
      <x:c r="I1785" s="44" t="n">
        <x:f>Lifecycle!G15</x:f>
        <x:v>0.01647012319652151</x:v>
      </x:c>
      <x:c r="J1785" s="44" t="n">
        <x:v>0.06895</x:v>
      </x:c>
      <x:c r="K1785" s="44" t="n">
        <x:f>I1785*J1785</x:f>
        <x:v>0.0011356149944001582</x:v>
      </x:c>
      <x:c r="L1785" s="46" t="n">
        <x:v>0</x:v>
      </x:c>
      <x:c r="M1785" s="46" t="n">
        <x:v>0</x:v>
      </x:c>
      <x:c r="N1785" s="21" t="n">
        <x:f>IF(AND(L1784=1,M1784=1,P1784&gt;0),1,0)</x:f>
        <x:v>0</x:v>
      </x:c>
      <x:c r="O1785" s="21" t="n">
        <x:f>MIN('Root Data'!I538:I540)</x:f>
        <x:v>0</x:v>
      </x:c>
      <x:c r="P1785" s="44" t="n">
        <x:f>IF(AND(L1785=1,M1785=1,N1785=1,O1785&gt;=G1785),K1785,0)</x:f>
        <x:v>0</x:v>
      </x:c>
      <x:c r="Q1785" s="21" t="str">
        <x:v>OPEN</x:v>
      </x:c>
      <x:c r="R1785" s="23" t="str">
        <x:v>HOLD</x:v>
      </x:c>
    </x:row>
    <x:row r="1786">
      <x:c r="B1786" s="21" t="str">
        <x:v>AR-01780</x:v>
      </x:c>
      <x:c r="C1786" s="21" t="str">
        <x:v>F45-I2</x:v>
      </x:c>
      <x:c r="D1786" s="21" t="str">
        <x:v>F45</x:v>
      </x:c>
      <x:c r="E1786" s="21" t="n">
        <x:v>10</x:v>
      </x:c>
      <x:c r="F1786" s="21" t="str">
        <x:v>Mobilization activation</x:v>
      </x:c>
      <x:c r="G1786" s="21" t="n">
        <x:v>28</x:v>
      </x:c>
      <x:c r="H1786" s="21" t="str">
        <x:v>Production Release Board</x:v>
      </x:c>
      <x:c r="I1786" s="44" t="n">
        <x:f>Lifecycle!G16</x:f>
        <x:v>0.028262731405230914</x:v>
      </x:c>
      <x:c r="J1786" s="44" t="n">
        <x:v>0.06895</x:v>
      </x:c>
      <x:c r="K1786" s="44" t="n">
        <x:f>I1786*J1786</x:f>
        <x:v>0.0019487153303906714</x:v>
      </x:c>
      <x:c r="L1786" s="46" t="n">
        <x:v>0</x:v>
      </x:c>
      <x:c r="M1786" s="46" t="n">
        <x:v>0</x:v>
      </x:c>
      <x:c r="N1786" s="21" t="n">
        <x:f>IF(AND(L1785=1,M1785=1,P1785&gt;0),1,0)</x:f>
        <x:v>0</x:v>
      </x:c>
      <x:c r="O1786" s="21" t="n">
        <x:f>MIN('Root Data'!I538:I540)</x:f>
        <x:v>0</x:v>
      </x:c>
      <x:c r="P1786" s="44" t="n">
        <x:f>IF(AND(L1786=1,M1786=1,N1786=1,O1786&gt;=G1786),K1786,0)</x:f>
        <x:v>0</x:v>
      </x:c>
      <x:c r="Q1786" s="21" t="str">
        <x:v>OPEN</x:v>
      </x:c>
      <x:c r="R1786" s="23" t="str">
        <x:v>HOLD</x:v>
      </x:c>
    </x:row>
    <x:row r="1787">
      <x:c r="B1787" s="21" t="str">
        <x:v>AR-01781</x:v>
      </x:c>
      <x:c r="C1787" s="21" t="str">
        <x:v>F45-I3</x:v>
      </x:c>
      <x:c r="D1787" s="21" t="str">
        <x:v>F45</x:v>
      </x:c>
      <x:c r="E1787" s="21" t="n">
        <x:v>1</x:v>
      </x:c>
      <x:c r="F1787" s="21" t="str">
        <x:v>Civil effect charter</x:v>
      </x:c>
      <x:c r="G1787" s="21" t="n">
        <x:v>0</x:v>
      </x:c>
      <x:c r="H1787" s="21" t="str">
        <x:v>Civil Guarantee Authority</x:v>
      </x:c>
      <x:c r="I1787" s="44" t="n">
        <x:f>Lifecycle!G7</x:f>
        <x:v>0.04941036958956453</x:v>
      </x:c>
      <x:c r="J1787" s="44" t="n">
        <x:v>0.06895</x:v>
      </x:c>
      <x:c r="K1787" s="44" t="n">
        <x:f>I1787*J1787</x:f>
        <x:v>0.003406844983200474</x:v>
      </x:c>
      <x:c r="L1787" s="46" t="n">
        <x:v>0</x:v>
      </x:c>
      <x:c r="M1787" s="46" t="n">
        <x:v>0</x:v>
      </x:c>
      <x:c r="N1787" s="21" t="n">
        <x:f>1</x:f>
        <x:v>1</x:v>
      </x:c>
      <x:c r="O1787" s="21" t="n">
        <x:f>MIN('Root Data'!I541:I543)</x:f>
        <x:v>0</x:v>
      </x:c>
      <x:c r="P1787" s="44" t="n">
        <x:f>IF(AND(L1787=1,M1787=1,N1787=1,O1787&gt;=G1787),K1787,0)</x:f>
        <x:v>0</x:v>
      </x:c>
      <x:c r="Q1787" s="21" t="str">
        <x:v>OPEN</x:v>
      </x:c>
      <x:c r="R1787" s="23" t="str">
        <x:v>HOLD</x:v>
      </x:c>
    </x:row>
    <x:row r="1788">
      <x:c r="B1788" s="21" t="str">
        <x:v>AR-01782</x:v>
      </x:c>
      <x:c r="C1788" s="21" t="str">
        <x:v>F45-I3</x:v>
      </x:c>
      <x:c r="D1788" s="21" t="str">
        <x:v>F45</x:v>
      </x:c>
      <x:c r="E1788" s="21" t="n">
        <x:v>2</x:v>
      </x:c>
      <x:c r="F1788" s="21" t="str">
        <x:v>Requirement and root-independence package</x:v>
      </x:c>
      <x:c r="G1788" s="21" t="n">
        <x:v>8</x:v>
      </x:c>
      <x:c r="H1788" s="21" t="str">
        <x:v>Resilience Staff</x:v>
      </x:c>
      <x:c r="I1788" s="44" t="n">
        <x:f>Lifecycle!G8</x:f>
        <x:v>0.10211476381843337</x:v>
      </x:c>
      <x:c r="J1788" s="44" t="n">
        <x:v>0.06895</x:v>
      </x:c>
      <x:c r="K1788" s="44" t="n">
        <x:f>I1788*J1788</x:f>
        <x:v>0.007040812965280981</x:v>
      </x:c>
      <x:c r="L1788" s="46" t="n">
        <x:v>0</x:v>
      </x:c>
      <x:c r="M1788" s="46" t="n">
        <x:v>0</x:v>
      </x:c>
      <x:c r="N1788" s="21" t="n">
        <x:f>IF(AND(L1787=1,M1787=1,P1787&gt;0),1,0)</x:f>
        <x:v>0</x:v>
      </x:c>
      <x:c r="O1788" s="21" t="n">
        <x:f>MIN('Root Data'!I541:I543)</x:f>
        <x:v>0</x:v>
      </x:c>
      <x:c r="P1788" s="44" t="n">
        <x:f>IF(AND(L1788=1,M1788=1,N1788=1,O1788&gt;=G1788),K1788,0)</x:f>
        <x:v>0</x:v>
      </x:c>
      <x:c r="Q1788" s="21" t="str">
        <x:v>OPEN</x:v>
      </x:c>
      <x:c r="R1788" s="23" t="str">
        <x:v>HOLD</x:v>
      </x:c>
    </x:row>
    <x:row r="1789">
      <x:c r="B1789" s="21" t="str">
        <x:v>AR-01783</x:v>
      </x:c>
      <x:c r="C1789" s="21" t="str">
        <x:v>F45-I3</x:v>
      </x:c>
      <x:c r="D1789" s="21" t="str">
        <x:v>F45</x:v>
      </x:c>
      <x:c r="E1789" s="21" t="n">
        <x:v>3</x:v>
      </x:c>
      <x:c r="F1789" s="21" t="str">
        <x:v>Architecture and burden closure</x:v>
      </x:c>
      <x:c r="G1789" s="21" t="n">
        <x:v>14</x:v>
      </x:c>
      <x:c r="H1789" s="21" t="str">
        <x:v>Independent Evidence and Data Authority</x:v>
      </x:c>
      <x:c r="I1789" s="44" t="n">
        <x:f>Lifecycle!G9</x:f>
        <x:v>0.08564464062191186</x:v>
      </x:c>
      <x:c r="J1789" s="44" t="n">
        <x:v>0.06895</x:v>
      </x:c>
      <x:c r="K1789" s="44" t="n">
        <x:f>I1789*J1789</x:f>
        <x:v>0.005905197970880823</x:v>
      </x:c>
      <x:c r="L1789" s="46" t="n">
        <x:v>0</x:v>
      </x:c>
      <x:c r="M1789" s="46" t="n">
        <x:v>0</x:v>
      </x:c>
      <x:c r="N1789" s="21" t="n">
        <x:f>IF(AND(L1788=1,M1788=1,P1788&gt;0),1,0)</x:f>
        <x:v>0</x:v>
      </x:c>
      <x:c r="O1789" s="21" t="n">
        <x:f>MIN('Root Data'!I541:I543)</x:f>
        <x:v>0</x:v>
      </x:c>
      <x:c r="P1789" s="44" t="n">
        <x:f>IF(AND(L1789=1,M1789=1,N1789=1,O1789&gt;=G1789),K1789,0)</x:f>
        <x:v>0</x:v>
      </x:c>
      <x:c r="Q1789" s="21" t="str">
        <x:v>OPEN</x:v>
      </x:c>
      <x:c r="R1789" s="23" t="str">
        <x:v>HOLD</x:v>
      </x:c>
    </x:row>
    <x:row r="1790">
      <x:c r="B1790" s="21" t="str">
        <x:v>AR-01784</x:v>
      </x:c>
      <x:c r="C1790" s="21" t="str">
        <x:v>F45-I3</x:v>
      </x:c>
      <x:c r="D1790" s="21" t="str">
        <x:v>F45</x:v>
      </x:c>
      <x:c r="E1790" s="21" t="n">
        <x:v>4</x:v>
      </x:c>
      <x:c r="F1790" s="21" t="str">
        <x:v>Engineering article acceptance</x:v>
      </x:c>
      <x:c r="G1790" s="21" t="n">
        <x:v>18</x:v>
      </x:c>
      <x:c r="H1790" s="21" t="str">
        <x:v>Independent Evidence and Data Authority</x:v>
      </x:c>
      <x:c r="I1790" s="44" t="n">
        <x:f>Lifecycle!G10</x:f>
        <x:v>0.05929244350747744</x:v>
      </x:c>
      <x:c r="J1790" s="44" t="n">
        <x:v>0.06895</x:v>
      </x:c>
      <x:c r="K1790" s="44" t="n">
        <x:f>I1790*J1790</x:f>
        <x:v>0.004088213979840569</x:v>
      </x:c>
      <x:c r="L1790" s="46" t="n">
        <x:v>0</x:v>
      </x:c>
      <x:c r="M1790" s="46" t="n">
        <x:v>0</x:v>
      </x:c>
      <x:c r="N1790" s="21" t="n">
        <x:f>IF(AND(L1789=1,M1789=1,P1789&gt;0),1,0)</x:f>
        <x:v>0</x:v>
      </x:c>
      <x:c r="O1790" s="21" t="n">
        <x:f>MIN('Root Data'!I541:I543)</x:f>
        <x:v>0</x:v>
      </x:c>
      <x:c r="P1790" s="44" t="n">
        <x:f>IF(AND(L1790=1,M1790=1,N1790=1,O1790&gt;=G1790),K1790,0)</x:f>
        <x:v>0</x:v>
      </x:c>
      <x:c r="Q1790" s="21" t="str">
        <x:v>OPEN</x:v>
      </x:c>
      <x:c r="R1790" s="23" t="str">
        <x:v>HOLD</x:v>
      </x:c>
    </x:row>
    <x:row r="1791">
      <x:c r="B1791" s="21" t="str">
        <x:v>AR-01785</x:v>
      </x:c>
      <x:c r="C1791" s="21" t="str">
        <x:v>F45-I3</x:v>
      </x:c>
      <x:c r="D1791" s="21" t="str">
        <x:v>F45</x:v>
      </x:c>
      <x:c r="E1791" s="21" t="n">
        <x:v>5</x:v>
      </x:c>
      <x:c r="F1791" s="21" t="str">
        <x:v>Qualification and destructive evidence</x:v>
      </x:c>
      <x:c r="G1791" s="21" t="n">
        <x:v>21</x:v>
      </x:c>
      <x:c r="H1791" s="21" t="str">
        <x:v>Independent Evidence and Data Authority</x:v>
      </x:c>
      <x:c r="I1791" s="44" t="n">
        <x:f>Lifecycle!G11</x:f>
        <x:v>0.1515251334079979</x:v>
      </x:c>
      <x:c r="J1791" s="44" t="n">
        <x:v>0.06895</x:v>
      </x:c>
      <x:c r="K1791" s="44" t="n">
        <x:f>I1791*J1791</x:f>
        <x:v>0.010447657948481454</x:v>
      </x:c>
      <x:c r="L1791" s="46" t="n">
        <x:v>0</x:v>
      </x:c>
      <x:c r="M1791" s="46" t="n">
        <x:v>0</x:v>
      </x:c>
      <x:c r="N1791" s="21" t="n">
        <x:f>IF(AND(L1790=1,M1790=1,P1790&gt;0),1,0)</x:f>
        <x:v>0</x:v>
      </x:c>
      <x:c r="O1791" s="21" t="n">
        <x:f>MIN('Root Data'!I541:I543)</x:f>
        <x:v>0</x:v>
      </x:c>
      <x:c r="P1791" s="44" t="n">
        <x:f>IF(AND(L1791=1,M1791=1,N1791=1,O1791&gt;=G1791),K1791,0)</x:f>
        <x:v>0</x:v>
      </x:c>
      <x:c r="Q1791" s="21" t="str">
        <x:v>OPEN</x:v>
      </x:c>
      <x:c r="R1791" s="23" t="str">
        <x:v>HOLD</x:v>
      </x:c>
    </x:row>
    <x:row r="1792">
      <x:c r="B1792" s="21" t="str">
        <x:v>AR-01786</x:v>
      </x:c>
      <x:c r="C1792" s="21" t="str">
        <x:v>F45-I3</x:v>
      </x:c>
      <x:c r="D1792" s="21" t="str">
        <x:v>F45</x:v>
      </x:c>
      <x:c r="E1792" s="21" t="n">
        <x:v>6</x:v>
      </x:c>
      <x:c r="F1792" s="21" t="str">
        <x:v>Representative mission result</x:v>
      </x:c>
      <x:c r="G1792" s="21" t="n">
        <x:v>23</x:v>
      </x:c>
      <x:c r="H1792" s="21" t="str">
        <x:v>Receiving Service Authority</x:v>
      </x:c>
      <x:c r="I1792" s="44" t="n">
        <x:f>Lifecycle!G12</x:f>
        <x:v>0.250345872587127</x:v>
      </x:c>
      <x:c r="J1792" s="44" t="n">
        <x:v>0.06895</x:v>
      </x:c>
      <x:c r="K1792" s="44" t="n">
        <x:f>I1792*J1792</x:f>
        <x:v>0.017261347914882406</x:v>
      </x:c>
      <x:c r="L1792" s="46" t="n">
        <x:v>0</x:v>
      </x:c>
      <x:c r="M1792" s="46" t="n">
        <x:v>0</x:v>
      </x:c>
      <x:c r="N1792" s="21" t="n">
        <x:f>IF(AND(L1791=1,M1791=1,P1791&gt;0),1,0)</x:f>
        <x:v>0</x:v>
      </x:c>
      <x:c r="O1792" s="21" t="n">
        <x:f>MIN('Root Data'!I541:I543)</x:f>
        <x:v>0</x:v>
      </x:c>
      <x:c r="P1792" s="44" t="n">
        <x:f>IF(AND(L1792=1,M1792=1,N1792=1,O1792&gt;=G1792),K1792,0)</x:f>
        <x:v>0</x:v>
      </x:c>
      <x:c r="Q1792" s="21" t="str">
        <x:v>OPEN</x:v>
      </x:c>
      <x:c r="R1792" s="23" t="str">
        <x:v>HOLD</x:v>
      </x:c>
    </x:row>
    <x:row r="1793">
      <x:c r="B1793" s="21" t="str">
        <x:v>AR-01787</x:v>
      </x:c>
      <x:c r="C1793" s="21" t="str">
        <x:v>F45-I3</x:v>
      </x:c>
      <x:c r="D1793" s="21" t="str">
        <x:v>F45</x:v>
      </x:c>
      <x:c r="E1793" s="21" t="n">
        <x:v>7</x:v>
      </x:c>
      <x:c r="F1793" s="21" t="str">
        <x:v>Independent reproduction</x:v>
      </x:c>
      <x:c r="G1793" s="21" t="n">
        <x:v>28</x:v>
      </x:c>
      <x:c r="H1793" s="21" t="str">
        <x:v>Independent Evidence and Data Authority</x:v>
      </x:c>
      <x:c r="I1793" s="44" t="n">
        <x:f>Lifecycle!G13</x:f>
        <x:v>0.21740562619408393</x:v>
      </x:c>
      <x:c r="J1793" s="44" t="n">
        <x:v>0.06895</x:v>
      </x:c>
      <x:c r="K1793" s="44" t="n">
        <x:f>I1793*J1793</x:f>
        <x:v>0.014990117926082087</x:v>
      </x:c>
      <x:c r="L1793" s="46" t="n">
        <x:v>0</x:v>
      </x:c>
      <x:c r="M1793" s="46" t="n">
        <x:v>0</x:v>
      </x:c>
      <x:c r="N1793" s="21" t="n">
        <x:f>IF(AND(L1792=1,M1792=1,P1792&gt;0),1,0)</x:f>
        <x:v>0</x:v>
      </x:c>
      <x:c r="O1793" s="21" t="n">
        <x:f>MIN('Root Data'!I541:I543)</x:f>
        <x:v>0</x:v>
      </x:c>
      <x:c r="P1793" s="44" t="n">
        <x:f>IF(AND(L1793=1,M1793=1,N1793=1,O1793&gt;=G1793),K1793,0)</x:f>
        <x:v>0</x:v>
      </x:c>
      <x:c r="Q1793" s="21" t="str">
        <x:v>OPEN</x:v>
      </x:c>
      <x:c r="R1793" s="23" t="str">
        <x:v>HOLD</x:v>
      </x:c>
    </x:row>
    <x:row r="1794">
      <x:c r="B1794" s="21" t="str">
        <x:v>AR-01788</x:v>
      </x:c>
      <x:c r="C1794" s="21" t="str">
        <x:v>F45-I3</x:v>
      </x:c>
      <x:c r="D1794" s="21" t="str">
        <x:v>F45</x:v>
      </x:c>
      <x:c r="E1794" s="21" t="n">
        <x:v>8</x:v>
      </x:c>
      <x:c r="F1794" s="21" t="str">
        <x:v>Pilot-process qualification</x:v>
      </x:c>
      <x:c r="G1794" s="21" t="n">
        <x:v>28</x:v>
      </x:c>
      <x:c r="H1794" s="21" t="str">
        <x:v>AIMC Industrial Mobilization Authority</x:v>
      </x:c>
      <x:c r="I1794" s="44" t="n">
        <x:f>Lifecycle!G14</x:f>
        <x:v>0.03952829567165163</x:v>
      </x:c>
      <x:c r="J1794" s="44" t="n">
        <x:v>0.06895</x:v>
      </x:c>
      <x:c r="K1794" s="44" t="n">
        <x:f>I1794*J1794</x:f>
        <x:v>0.0027254759865603796</x:v>
      </x:c>
      <x:c r="L1794" s="46" t="n">
        <x:v>0</x:v>
      </x:c>
      <x:c r="M1794" s="46" t="n">
        <x:v>0</x:v>
      </x:c>
      <x:c r="N1794" s="21" t="n">
        <x:f>IF(AND(L1793=1,M1793=1,P1793&gt;0),1,0)</x:f>
        <x:v>0</x:v>
      </x:c>
      <x:c r="O1794" s="21" t="n">
        <x:f>MIN('Root Data'!I541:I543)</x:f>
        <x:v>0</x:v>
      </x:c>
      <x:c r="P1794" s="44" t="n">
        <x:f>IF(AND(L1794=1,M1794=1,N1794=1,O1794&gt;=G1794),K1794,0)</x:f>
        <x:v>0</x:v>
      </x:c>
      <x:c r="Q1794" s="21" t="str">
        <x:v>OPEN</x:v>
      </x:c>
      <x:c r="R1794" s="23" t="str">
        <x:v>HOLD</x:v>
      </x:c>
    </x:row>
    <x:row r="1795">
      <x:c r="B1795" s="21" t="str">
        <x:v>AR-01789</x:v>
      </x:c>
      <x:c r="C1795" s="21" t="str">
        <x:v>F45-I3</x:v>
      </x:c>
      <x:c r="D1795" s="21" t="str">
        <x:v>F45</x:v>
      </x:c>
      <x:c r="E1795" s="21" t="n">
        <x:v>9</x:v>
      </x:c>
      <x:c r="F1795" s="21" t="str">
        <x:v>Production release package</x:v>
      </x:c>
      <x:c r="G1795" s="21" t="n">
        <x:v>28</x:v>
      </x:c>
      <x:c r="H1795" s="21" t="str">
        <x:v>Production Release Board</x:v>
      </x:c>
      <x:c r="I1795" s="44" t="n">
        <x:f>Lifecycle!G15</x:f>
        <x:v>0.01647012319652151</x:v>
      </x:c>
      <x:c r="J1795" s="44" t="n">
        <x:v>0.06895</x:v>
      </x:c>
      <x:c r="K1795" s="44" t="n">
        <x:f>I1795*J1795</x:f>
        <x:v>0.0011356149944001582</x:v>
      </x:c>
      <x:c r="L1795" s="46" t="n">
        <x:v>0</x:v>
      </x:c>
      <x:c r="M1795" s="46" t="n">
        <x:v>0</x:v>
      </x:c>
      <x:c r="N1795" s="21" t="n">
        <x:f>IF(AND(L1794=1,M1794=1,P1794&gt;0),1,0)</x:f>
        <x:v>0</x:v>
      </x:c>
      <x:c r="O1795" s="21" t="n">
        <x:f>MIN('Root Data'!I541:I543)</x:f>
        <x:v>0</x:v>
      </x:c>
      <x:c r="P1795" s="44" t="n">
        <x:f>IF(AND(L1795=1,M1795=1,N1795=1,O1795&gt;=G1795),K1795,0)</x:f>
        <x:v>0</x:v>
      </x:c>
      <x:c r="Q1795" s="21" t="str">
        <x:v>OPEN</x:v>
      </x:c>
      <x:c r="R1795" s="23" t="str">
        <x:v>HOLD</x:v>
      </x:c>
    </x:row>
    <x:row r="1796">
      <x:c r="B1796" s="21" t="str">
        <x:v>AR-01790</x:v>
      </x:c>
      <x:c r="C1796" s="21" t="str">
        <x:v>F45-I3</x:v>
      </x:c>
      <x:c r="D1796" s="21" t="str">
        <x:v>F45</x:v>
      </x:c>
      <x:c r="E1796" s="21" t="n">
        <x:v>10</x:v>
      </x:c>
      <x:c r="F1796" s="21" t="str">
        <x:v>Mobilization activation</x:v>
      </x:c>
      <x:c r="G1796" s="21" t="n">
        <x:v>28</x:v>
      </x:c>
      <x:c r="H1796" s="21" t="str">
        <x:v>Production Release Board</x:v>
      </x:c>
      <x:c r="I1796" s="44" t="n">
        <x:f>Lifecycle!G16</x:f>
        <x:v>0.028262731405230914</x:v>
      </x:c>
      <x:c r="J1796" s="44" t="n">
        <x:v>0.06895</x:v>
      </x:c>
      <x:c r="K1796" s="44" t="n">
        <x:f>I1796*J1796</x:f>
        <x:v>0.0019487153303906714</x:v>
      </x:c>
      <x:c r="L1796" s="46" t="n">
        <x:v>0</x:v>
      </x:c>
      <x:c r="M1796" s="46" t="n">
        <x:v>0</x:v>
      </x:c>
      <x:c r="N1796" s="21" t="n">
        <x:f>IF(AND(L1795=1,M1795=1,P1795&gt;0),1,0)</x:f>
        <x:v>0</x:v>
      </x:c>
      <x:c r="O1796" s="21" t="n">
        <x:f>MIN('Root Data'!I541:I543)</x:f>
        <x:v>0</x:v>
      </x:c>
      <x:c r="P1796" s="44" t="n">
        <x:f>IF(AND(L1796=1,M1796=1,N1796=1,O1796&gt;=G1796),K1796,0)</x:f>
        <x:v>0</x:v>
      </x:c>
      <x:c r="Q1796" s="21" t="str">
        <x:v>OPEN</x:v>
      </x:c>
      <x:c r="R1796" s="23" t="str">
        <x:v>HOLD</x:v>
      </x:c>
    </x:row>
    <x:row r="1797">
      <x:c r="B1797" s="21" t="str">
        <x:v>AR-01791</x:v>
      </x:c>
      <x:c r="C1797" s="21" t="str">
        <x:v>F45-I4</x:v>
      </x:c>
      <x:c r="D1797" s="21" t="str">
        <x:v>F45</x:v>
      </x:c>
      <x:c r="E1797" s="21" t="n">
        <x:v>1</x:v>
      </x:c>
      <x:c r="F1797" s="21" t="str">
        <x:v>Civil effect charter</x:v>
      </x:c>
      <x:c r="G1797" s="21" t="n">
        <x:v>0</x:v>
      </x:c>
      <x:c r="H1797" s="21" t="str">
        <x:v>Civil Guarantee Authority</x:v>
      </x:c>
      <x:c r="I1797" s="44" t="n">
        <x:f>Lifecycle!G7</x:f>
        <x:v>0.04941036958956453</x:v>
      </x:c>
      <x:c r="J1797" s="44" t="n">
        <x:v>0.06895</x:v>
      </x:c>
      <x:c r="K1797" s="44" t="n">
        <x:f>I1797*J1797</x:f>
        <x:v>0.003406844983200474</x:v>
      </x:c>
      <x:c r="L1797" s="46" t="n">
        <x:v>0</x:v>
      </x:c>
      <x:c r="M1797" s="46" t="n">
        <x:v>0</x:v>
      </x:c>
      <x:c r="N1797" s="21" t="n">
        <x:f>1</x:f>
        <x:v>1</x:v>
      </x:c>
      <x:c r="O1797" s="21" t="n">
        <x:f>MIN('Root Data'!I544:I546)</x:f>
        <x:v>0</x:v>
      </x:c>
      <x:c r="P1797" s="44" t="n">
        <x:f>IF(AND(L1797=1,M1797=1,N1797=1,O1797&gt;=G1797),K1797,0)</x:f>
        <x:v>0</x:v>
      </x:c>
      <x:c r="Q1797" s="21" t="str">
        <x:v>OPEN</x:v>
      </x:c>
      <x:c r="R1797" s="23" t="str">
        <x:v>HOLD</x:v>
      </x:c>
    </x:row>
    <x:row r="1798">
      <x:c r="B1798" s="21" t="str">
        <x:v>AR-01792</x:v>
      </x:c>
      <x:c r="C1798" s="21" t="str">
        <x:v>F45-I4</x:v>
      </x:c>
      <x:c r="D1798" s="21" t="str">
        <x:v>F45</x:v>
      </x:c>
      <x:c r="E1798" s="21" t="n">
        <x:v>2</x:v>
      </x:c>
      <x:c r="F1798" s="21" t="str">
        <x:v>Requirement and root-independence package</x:v>
      </x:c>
      <x:c r="G1798" s="21" t="n">
        <x:v>8</x:v>
      </x:c>
      <x:c r="H1798" s="21" t="str">
        <x:v>Resilience Staff</x:v>
      </x:c>
      <x:c r="I1798" s="44" t="n">
        <x:f>Lifecycle!G8</x:f>
        <x:v>0.10211476381843337</x:v>
      </x:c>
      <x:c r="J1798" s="44" t="n">
        <x:v>0.06895</x:v>
      </x:c>
      <x:c r="K1798" s="44" t="n">
        <x:f>I1798*J1798</x:f>
        <x:v>0.007040812965280981</x:v>
      </x:c>
      <x:c r="L1798" s="46" t="n">
        <x:v>0</x:v>
      </x:c>
      <x:c r="M1798" s="46" t="n">
        <x:v>0</x:v>
      </x:c>
      <x:c r="N1798" s="21" t="n">
        <x:f>IF(AND(L1797=1,M1797=1,P1797&gt;0),1,0)</x:f>
        <x:v>0</x:v>
      </x:c>
      <x:c r="O1798" s="21" t="n">
        <x:f>MIN('Root Data'!I544:I546)</x:f>
        <x:v>0</x:v>
      </x:c>
      <x:c r="P1798" s="44" t="n">
        <x:f>IF(AND(L1798=1,M1798=1,N1798=1,O1798&gt;=G1798),K1798,0)</x:f>
        <x:v>0</x:v>
      </x:c>
      <x:c r="Q1798" s="21" t="str">
        <x:v>OPEN</x:v>
      </x:c>
      <x:c r="R1798" s="23" t="str">
        <x:v>HOLD</x:v>
      </x:c>
    </x:row>
    <x:row r="1799">
      <x:c r="B1799" s="21" t="str">
        <x:v>AR-01793</x:v>
      </x:c>
      <x:c r="C1799" s="21" t="str">
        <x:v>F45-I4</x:v>
      </x:c>
      <x:c r="D1799" s="21" t="str">
        <x:v>F45</x:v>
      </x:c>
      <x:c r="E1799" s="21" t="n">
        <x:v>3</x:v>
      </x:c>
      <x:c r="F1799" s="21" t="str">
        <x:v>Architecture and burden closure</x:v>
      </x:c>
      <x:c r="G1799" s="21" t="n">
        <x:v>14</x:v>
      </x:c>
      <x:c r="H1799" s="21" t="str">
        <x:v>Independent Evidence and Data Authority</x:v>
      </x:c>
      <x:c r="I1799" s="44" t="n">
        <x:f>Lifecycle!G9</x:f>
        <x:v>0.08564464062191186</x:v>
      </x:c>
      <x:c r="J1799" s="44" t="n">
        <x:v>0.06895</x:v>
      </x:c>
      <x:c r="K1799" s="44" t="n">
        <x:f>I1799*J1799</x:f>
        <x:v>0.005905197970880823</x:v>
      </x:c>
      <x:c r="L1799" s="46" t="n">
        <x:v>0</x:v>
      </x:c>
      <x:c r="M1799" s="46" t="n">
        <x:v>0</x:v>
      </x:c>
      <x:c r="N1799" s="21" t="n">
        <x:f>IF(AND(L1798=1,M1798=1,P1798&gt;0),1,0)</x:f>
        <x:v>0</x:v>
      </x:c>
      <x:c r="O1799" s="21" t="n">
        <x:f>MIN('Root Data'!I544:I546)</x:f>
        <x:v>0</x:v>
      </x:c>
      <x:c r="P1799" s="44" t="n">
        <x:f>IF(AND(L1799=1,M1799=1,N1799=1,O1799&gt;=G1799),K1799,0)</x:f>
        <x:v>0</x:v>
      </x:c>
      <x:c r="Q1799" s="21" t="str">
        <x:v>OPEN</x:v>
      </x:c>
      <x:c r="R1799" s="23" t="str">
        <x:v>HOLD</x:v>
      </x:c>
    </x:row>
    <x:row r="1800">
      <x:c r="B1800" s="21" t="str">
        <x:v>AR-01794</x:v>
      </x:c>
      <x:c r="C1800" s="21" t="str">
        <x:v>F45-I4</x:v>
      </x:c>
      <x:c r="D1800" s="21" t="str">
        <x:v>F45</x:v>
      </x:c>
      <x:c r="E1800" s="21" t="n">
        <x:v>4</x:v>
      </x:c>
      <x:c r="F1800" s="21" t="str">
        <x:v>Engineering article acceptance</x:v>
      </x:c>
      <x:c r="G1800" s="21" t="n">
        <x:v>18</x:v>
      </x:c>
      <x:c r="H1800" s="21" t="str">
        <x:v>Independent Evidence and Data Authority</x:v>
      </x:c>
      <x:c r="I1800" s="44" t="n">
        <x:f>Lifecycle!G10</x:f>
        <x:v>0.05929244350747744</x:v>
      </x:c>
      <x:c r="J1800" s="44" t="n">
        <x:v>0.06895</x:v>
      </x:c>
      <x:c r="K1800" s="44" t="n">
        <x:f>I1800*J1800</x:f>
        <x:v>0.004088213979840569</x:v>
      </x:c>
      <x:c r="L1800" s="46" t="n">
        <x:v>0</x:v>
      </x:c>
      <x:c r="M1800" s="46" t="n">
        <x:v>0</x:v>
      </x:c>
      <x:c r="N1800" s="21" t="n">
        <x:f>IF(AND(L1799=1,M1799=1,P1799&gt;0),1,0)</x:f>
        <x:v>0</x:v>
      </x:c>
      <x:c r="O1800" s="21" t="n">
        <x:f>MIN('Root Data'!I544:I546)</x:f>
        <x:v>0</x:v>
      </x:c>
      <x:c r="P1800" s="44" t="n">
        <x:f>IF(AND(L1800=1,M1800=1,N1800=1,O1800&gt;=G1800),K1800,0)</x:f>
        <x:v>0</x:v>
      </x:c>
      <x:c r="Q1800" s="21" t="str">
        <x:v>OPEN</x:v>
      </x:c>
      <x:c r="R1800" s="23" t="str">
        <x:v>HOLD</x:v>
      </x:c>
    </x:row>
    <x:row r="1801">
      <x:c r="B1801" s="21" t="str">
        <x:v>AR-01795</x:v>
      </x:c>
      <x:c r="C1801" s="21" t="str">
        <x:v>F45-I4</x:v>
      </x:c>
      <x:c r="D1801" s="21" t="str">
        <x:v>F45</x:v>
      </x:c>
      <x:c r="E1801" s="21" t="n">
        <x:v>5</x:v>
      </x:c>
      <x:c r="F1801" s="21" t="str">
        <x:v>Qualification and destructive evidence</x:v>
      </x:c>
      <x:c r="G1801" s="21" t="n">
        <x:v>21</x:v>
      </x:c>
      <x:c r="H1801" s="21" t="str">
        <x:v>Independent Evidence and Data Authority</x:v>
      </x:c>
      <x:c r="I1801" s="44" t="n">
        <x:f>Lifecycle!G11</x:f>
        <x:v>0.1515251334079979</x:v>
      </x:c>
      <x:c r="J1801" s="44" t="n">
        <x:v>0.06895</x:v>
      </x:c>
      <x:c r="K1801" s="44" t="n">
        <x:f>I1801*J1801</x:f>
        <x:v>0.010447657948481454</x:v>
      </x:c>
      <x:c r="L1801" s="46" t="n">
        <x:v>0</x:v>
      </x:c>
      <x:c r="M1801" s="46" t="n">
        <x:v>0</x:v>
      </x:c>
      <x:c r="N1801" s="21" t="n">
        <x:f>IF(AND(L1800=1,M1800=1,P1800&gt;0),1,0)</x:f>
        <x:v>0</x:v>
      </x:c>
      <x:c r="O1801" s="21" t="n">
        <x:f>MIN('Root Data'!I544:I546)</x:f>
        <x:v>0</x:v>
      </x:c>
      <x:c r="P1801" s="44" t="n">
        <x:f>IF(AND(L1801=1,M1801=1,N1801=1,O1801&gt;=G1801),K1801,0)</x:f>
        <x:v>0</x:v>
      </x:c>
      <x:c r="Q1801" s="21" t="str">
        <x:v>OPEN</x:v>
      </x:c>
      <x:c r="R1801" s="23" t="str">
        <x:v>HOLD</x:v>
      </x:c>
    </x:row>
    <x:row r="1802">
      <x:c r="B1802" s="21" t="str">
        <x:v>AR-01796</x:v>
      </x:c>
      <x:c r="C1802" s="21" t="str">
        <x:v>F45-I4</x:v>
      </x:c>
      <x:c r="D1802" s="21" t="str">
        <x:v>F45</x:v>
      </x:c>
      <x:c r="E1802" s="21" t="n">
        <x:v>6</x:v>
      </x:c>
      <x:c r="F1802" s="21" t="str">
        <x:v>Representative mission result</x:v>
      </x:c>
      <x:c r="G1802" s="21" t="n">
        <x:v>23</x:v>
      </x:c>
      <x:c r="H1802" s="21" t="str">
        <x:v>Receiving Service Authority</x:v>
      </x:c>
      <x:c r="I1802" s="44" t="n">
        <x:f>Lifecycle!G12</x:f>
        <x:v>0.250345872587127</x:v>
      </x:c>
      <x:c r="J1802" s="44" t="n">
        <x:v>0.06895</x:v>
      </x:c>
      <x:c r="K1802" s="44" t="n">
        <x:f>I1802*J1802</x:f>
        <x:v>0.017261347914882406</x:v>
      </x:c>
      <x:c r="L1802" s="46" t="n">
        <x:v>0</x:v>
      </x:c>
      <x:c r="M1802" s="46" t="n">
        <x:v>0</x:v>
      </x:c>
      <x:c r="N1802" s="21" t="n">
        <x:f>IF(AND(L1801=1,M1801=1,P1801&gt;0),1,0)</x:f>
        <x:v>0</x:v>
      </x:c>
      <x:c r="O1802" s="21" t="n">
        <x:f>MIN('Root Data'!I544:I546)</x:f>
        <x:v>0</x:v>
      </x:c>
      <x:c r="P1802" s="44" t="n">
        <x:f>IF(AND(L1802=1,M1802=1,N1802=1,O1802&gt;=G1802),K1802,0)</x:f>
        <x:v>0</x:v>
      </x:c>
      <x:c r="Q1802" s="21" t="str">
        <x:v>OPEN</x:v>
      </x:c>
      <x:c r="R1802" s="23" t="str">
        <x:v>HOLD</x:v>
      </x:c>
    </x:row>
    <x:row r="1803">
      <x:c r="B1803" s="21" t="str">
        <x:v>AR-01797</x:v>
      </x:c>
      <x:c r="C1803" s="21" t="str">
        <x:v>F45-I4</x:v>
      </x:c>
      <x:c r="D1803" s="21" t="str">
        <x:v>F45</x:v>
      </x:c>
      <x:c r="E1803" s="21" t="n">
        <x:v>7</x:v>
      </x:c>
      <x:c r="F1803" s="21" t="str">
        <x:v>Independent reproduction</x:v>
      </x:c>
      <x:c r="G1803" s="21" t="n">
        <x:v>28</x:v>
      </x:c>
      <x:c r="H1803" s="21" t="str">
        <x:v>Independent Evidence and Data Authority</x:v>
      </x:c>
      <x:c r="I1803" s="44" t="n">
        <x:f>Lifecycle!G13</x:f>
        <x:v>0.21740562619408393</x:v>
      </x:c>
      <x:c r="J1803" s="44" t="n">
        <x:v>0.06895</x:v>
      </x:c>
      <x:c r="K1803" s="44" t="n">
        <x:f>I1803*J1803</x:f>
        <x:v>0.014990117926082087</x:v>
      </x:c>
      <x:c r="L1803" s="46" t="n">
        <x:v>0</x:v>
      </x:c>
      <x:c r="M1803" s="46" t="n">
        <x:v>0</x:v>
      </x:c>
      <x:c r="N1803" s="21" t="n">
        <x:f>IF(AND(L1802=1,M1802=1,P1802&gt;0),1,0)</x:f>
        <x:v>0</x:v>
      </x:c>
      <x:c r="O1803" s="21" t="n">
        <x:f>MIN('Root Data'!I544:I546)</x:f>
        <x:v>0</x:v>
      </x:c>
      <x:c r="P1803" s="44" t="n">
        <x:f>IF(AND(L1803=1,M1803=1,N1803=1,O1803&gt;=G1803),K1803,0)</x:f>
        <x:v>0</x:v>
      </x:c>
      <x:c r="Q1803" s="21" t="str">
        <x:v>OPEN</x:v>
      </x:c>
      <x:c r="R1803" s="23" t="str">
        <x:v>HOLD</x:v>
      </x:c>
    </x:row>
    <x:row r="1804">
      <x:c r="B1804" s="21" t="str">
        <x:v>AR-01798</x:v>
      </x:c>
      <x:c r="C1804" s="21" t="str">
        <x:v>F45-I4</x:v>
      </x:c>
      <x:c r="D1804" s="21" t="str">
        <x:v>F45</x:v>
      </x:c>
      <x:c r="E1804" s="21" t="n">
        <x:v>8</x:v>
      </x:c>
      <x:c r="F1804" s="21" t="str">
        <x:v>Pilot-process qualification</x:v>
      </x:c>
      <x:c r="G1804" s="21" t="n">
        <x:v>28</x:v>
      </x:c>
      <x:c r="H1804" s="21" t="str">
        <x:v>AIMC Industrial Mobilization Authority</x:v>
      </x:c>
      <x:c r="I1804" s="44" t="n">
        <x:f>Lifecycle!G14</x:f>
        <x:v>0.03952829567165163</x:v>
      </x:c>
      <x:c r="J1804" s="44" t="n">
        <x:v>0.06895</x:v>
      </x:c>
      <x:c r="K1804" s="44" t="n">
        <x:f>I1804*J1804</x:f>
        <x:v>0.0027254759865603796</x:v>
      </x:c>
      <x:c r="L1804" s="46" t="n">
        <x:v>0</x:v>
      </x:c>
      <x:c r="M1804" s="46" t="n">
        <x:v>0</x:v>
      </x:c>
      <x:c r="N1804" s="21" t="n">
        <x:f>IF(AND(L1803=1,M1803=1,P1803&gt;0),1,0)</x:f>
        <x:v>0</x:v>
      </x:c>
      <x:c r="O1804" s="21" t="n">
        <x:f>MIN('Root Data'!I544:I546)</x:f>
        <x:v>0</x:v>
      </x:c>
      <x:c r="P1804" s="44" t="n">
        <x:f>IF(AND(L1804=1,M1804=1,N1804=1,O1804&gt;=G1804),K1804,0)</x:f>
        <x:v>0</x:v>
      </x:c>
      <x:c r="Q1804" s="21" t="str">
        <x:v>OPEN</x:v>
      </x:c>
      <x:c r="R1804" s="23" t="str">
        <x:v>HOLD</x:v>
      </x:c>
    </x:row>
    <x:row r="1805">
      <x:c r="B1805" s="21" t="str">
        <x:v>AR-01799</x:v>
      </x:c>
      <x:c r="C1805" s="21" t="str">
        <x:v>F45-I4</x:v>
      </x:c>
      <x:c r="D1805" s="21" t="str">
        <x:v>F45</x:v>
      </x:c>
      <x:c r="E1805" s="21" t="n">
        <x:v>9</x:v>
      </x:c>
      <x:c r="F1805" s="21" t="str">
        <x:v>Production release package</x:v>
      </x:c>
      <x:c r="G1805" s="21" t="n">
        <x:v>28</x:v>
      </x:c>
      <x:c r="H1805" s="21" t="str">
        <x:v>Production Release Board</x:v>
      </x:c>
      <x:c r="I1805" s="44" t="n">
        <x:f>Lifecycle!G15</x:f>
        <x:v>0.01647012319652151</x:v>
      </x:c>
      <x:c r="J1805" s="44" t="n">
        <x:v>0.06895</x:v>
      </x:c>
      <x:c r="K1805" s="44" t="n">
        <x:f>I1805*J1805</x:f>
        <x:v>0.0011356149944001582</x:v>
      </x:c>
      <x:c r="L1805" s="46" t="n">
        <x:v>0</x:v>
      </x:c>
      <x:c r="M1805" s="46" t="n">
        <x:v>0</x:v>
      </x:c>
      <x:c r="N1805" s="21" t="n">
        <x:f>IF(AND(L1804=1,M1804=1,P1804&gt;0),1,0)</x:f>
        <x:v>0</x:v>
      </x:c>
      <x:c r="O1805" s="21" t="n">
        <x:f>MIN('Root Data'!I544:I546)</x:f>
        <x:v>0</x:v>
      </x:c>
      <x:c r="P1805" s="44" t="n">
        <x:f>IF(AND(L1805=1,M1805=1,N1805=1,O1805&gt;=G1805),K1805,0)</x:f>
        <x:v>0</x:v>
      </x:c>
      <x:c r="Q1805" s="21" t="str">
        <x:v>OPEN</x:v>
      </x:c>
      <x:c r="R1805" s="23" t="str">
        <x:v>HOLD</x:v>
      </x:c>
    </x:row>
    <x:row r="1806">
      <x:c r="B1806" s="21" t="str">
        <x:v>AR-01800</x:v>
      </x:c>
      <x:c r="C1806" s="21" t="str">
        <x:v>F45-I4</x:v>
      </x:c>
      <x:c r="D1806" s="21" t="str">
        <x:v>F45</x:v>
      </x:c>
      <x:c r="E1806" s="21" t="n">
        <x:v>10</x:v>
      </x:c>
      <x:c r="F1806" s="21" t="str">
        <x:v>Mobilization activation</x:v>
      </x:c>
      <x:c r="G1806" s="21" t="n">
        <x:v>28</x:v>
      </x:c>
      <x:c r="H1806" s="21" t="str">
        <x:v>Production Release Board</x:v>
      </x:c>
      <x:c r="I1806" s="44" t="n">
        <x:f>Lifecycle!G16</x:f>
        <x:v>0.028262731405230914</x:v>
      </x:c>
      <x:c r="J1806" s="44" t="n">
        <x:v>0.06895</x:v>
      </x:c>
      <x:c r="K1806" s="44" t="n">
        <x:f>I1806*J1806</x:f>
        <x:v>0.0019487153303906714</x:v>
      </x:c>
      <x:c r="L1806" s="46" t="n">
        <x:v>0</x:v>
      </x:c>
      <x:c r="M1806" s="46" t="n">
        <x:v>0</x:v>
      </x:c>
      <x:c r="N1806" s="21" t="n">
        <x:f>IF(AND(L1805=1,M1805=1,P1805&gt;0),1,0)</x:f>
        <x:v>0</x:v>
      </x:c>
      <x:c r="O1806" s="21" t="n">
        <x:f>MIN('Root Data'!I544:I546)</x:f>
        <x:v>0</x:v>
      </x:c>
      <x:c r="P1806" s="44" t="n">
        <x:f>IF(AND(L1806=1,M1806=1,N1806=1,O1806&gt;=G1806),K1806,0)</x:f>
        <x:v>0</x:v>
      </x:c>
      <x:c r="Q1806" s="21" t="str">
        <x:v>OPEN</x:v>
      </x:c>
      <x:c r="R1806" s="23" t="str">
        <x:v>HOLD</x:v>
      </x:c>
    </x:row>
    <x:row r="1807">
      <x:c r="B1807" s="21" t="str">
        <x:v>AR-01801</x:v>
      </x:c>
      <x:c r="C1807" s="21" t="str">
        <x:v>F46-I1</x:v>
      </x:c>
      <x:c r="D1807" s="21" t="str">
        <x:v>F46</x:v>
      </x:c>
      <x:c r="E1807" s="21" t="n">
        <x:v>1</x:v>
      </x:c>
      <x:c r="F1807" s="21" t="str">
        <x:v>Civil effect charter</x:v>
      </x:c>
      <x:c r="G1807" s="21" t="n">
        <x:v>0</x:v>
      </x:c>
      <x:c r="H1807" s="21" t="str">
        <x:v>Civil Guarantee Authority</x:v>
      </x:c>
      <x:c r="I1807" s="44" t="n">
        <x:f>Lifecycle!G7</x:f>
        <x:v>0.04941036958956453</x:v>
      </x:c>
      <x:c r="J1807" s="44" t="n">
        <x:v>0.06895</x:v>
      </x:c>
      <x:c r="K1807" s="44" t="n">
        <x:f>I1807*J1807</x:f>
        <x:v>0.003406844983200474</x:v>
      </x:c>
      <x:c r="L1807" s="46" t="n">
        <x:v>0</x:v>
      </x:c>
      <x:c r="M1807" s="46" t="n">
        <x:v>0</x:v>
      </x:c>
      <x:c r="N1807" s="21" t="n">
        <x:f>1</x:f>
        <x:v>1</x:v>
      </x:c>
      <x:c r="O1807" s="21" t="n">
        <x:f>MIN('Root Data'!I547:I549)</x:f>
        <x:v>0</x:v>
      </x:c>
      <x:c r="P1807" s="44" t="n">
        <x:f>IF(AND(L1807=1,M1807=1,N1807=1,O1807&gt;=G1807),K1807,0)</x:f>
        <x:v>0</x:v>
      </x:c>
      <x:c r="Q1807" s="21" t="str">
        <x:v>OPEN</x:v>
      </x:c>
      <x:c r="R1807" s="23" t="str">
        <x:v>HOLD</x:v>
      </x:c>
    </x:row>
    <x:row r="1808">
      <x:c r="B1808" s="21" t="str">
        <x:v>AR-01802</x:v>
      </x:c>
      <x:c r="C1808" s="21" t="str">
        <x:v>F46-I1</x:v>
      </x:c>
      <x:c r="D1808" s="21" t="str">
        <x:v>F46</x:v>
      </x:c>
      <x:c r="E1808" s="21" t="n">
        <x:v>2</x:v>
      </x:c>
      <x:c r="F1808" s="21" t="str">
        <x:v>Requirement and root-independence package</x:v>
      </x:c>
      <x:c r="G1808" s="21" t="n">
        <x:v>8</x:v>
      </x:c>
      <x:c r="H1808" s="21" t="str">
        <x:v>Resilience Staff</x:v>
      </x:c>
      <x:c r="I1808" s="44" t="n">
        <x:f>Lifecycle!G8</x:f>
        <x:v>0.10211476381843337</x:v>
      </x:c>
      <x:c r="J1808" s="44" t="n">
        <x:v>0.06895</x:v>
      </x:c>
      <x:c r="K1808" s="44" t="n">
        <x:f>I1808*J1808</x:f>
        <x:v>0.007040812965280981</x:v>
      </x:c>
      <x:c r="L1808" s="46" t="n">
        <x:v>0</x:v>
      </x:c>
      <x:c r="M1808" s="46" t="n">
        <x:v>0</x:v>
      </x:c>
      <x:c r="N1808" s="21" t="n">
        <x:f>IF(AND(L1807=1,M1807=1,P1807&gt;0),1,0)</x:f>
        <x:v>0</x:v>
      </x:c>
      <x:c r="O1808" s="21" t="n">
        <x:f>MIN('Root Data'!I547:I549)</x:f>
        <x:v>0</x:v>
      </x:c>
      <x:c r="P1808" s="44" t="n">
        <x:f>IF(AND(L1808=1,M1808=1,N1808=1,O1808&gt;=G1808),K1808,0)</x:f>
        <x:v>0</x:v>
      </x:c>
      <x:c r="Q1808" s="21" t="str">
        <x:v>OPEN</x:v>
      </x:c>
      <x:c r="R1808" s="23" t="str">
        <x:v>HOLD</x:v>
      </x:c>
    </x:row>
    <x:row r="1809">
      <x:c r="B1809" s="21" t="str">
        <x:v>AR-01803</x:v>
      </x:c>
      <x:c r="C1809" s="21" t="str">
        <x:v>F46-I1</x:v>
      </x:c>
      <x:c r="D1809" s="21" t="str">
        <x:v>F46</x:v>
      </x:c>
      <x:c r="E1809" s="21" t="n">
        <x:v>3</x:v>
      </x:c>
      <x:c r="F1809" s="21" t="str">
        <x:v>Architecture and burden closure</x:v>
      </x:c>
      <x:c r="G1809" s="21" t="n">
        <x:v>14</x:v>
      </x:c>
      <x:c r="H1809" s="21" t="str">
        <x:v>Independent Evidence and Data Authority</x:v>
      </x:c>
      <x:c r="I1809" s="44" t="n">
        <x:f>Lifecycle!G9</x:f>
        <x:v>0.08564464062191186</x:v>
      </x:c>
      <x:c r="J1809" s="44" t="n">
        <x:v>0.06895</x:v>
      </x:c>
      <x:c r="K1809" s="44" t="n">
        <x:f>I1809*J1809</x:f>
        <x:v>0.005905197970880823</x:v>
      </x:c>
      <x:c r="L1809" s="46" t="n">
        <x:v>0</x:v>
      </x:c>
      <x:c r="M1809" s="46" t="n">
        <x:v>0</x:v>
      </x:c>
      <x:c r="N1809" s="21" t="n">
        <x:f>IF(AND(L1808=1,M1808=1,P1808&gt;0),1,0)</x:f>
        <x:v>0</x:v>
      </x:c>
      <x:c r="O1809" s="21" t="n">
        <x:f>MIN('Root Data'!I547:I549)</x:f>
        <x:v>0</x:v>
      </x:c>
      <x:c r="P1809" s="44" t="n">
        <x:f>IF(AND(L1809=1,M1809=1,N1809=1,O1809&gt;=G1809),K1809,0)</x:f>
        <x:v>0</x:v>
      </x:c>
      <x:c r="Q1809" s="21" t="str">
        <x:v>OPEN</x:v>
      </x:c>
      <x:c r="R1809" s="23" t="str">
        <x:v>HOLD</x:v>
      </x:c>
    </x:row>
    <x:row r="1810">
      <x:c r="B1810" s="21" t="str">
        <x:v>AR-01804</x:v>
      </x:c>
      <x:c r="C1810" s="21" t="str">
        <x:v>F46-I1</x:v>
      </x:c>
      <x:c r="D1810" s="21" t="str">
        <x:v>F46</x:v>
      </x:c>
      <x:c r="E1810" s="21" t="n">
        <x:v>4</x:v>
      </x:c>
      <x:c r="F1810" s="21" t="str">
        <x:v>Engineering article acceptance</x:v>
      </x:c>
      <x:c r="G1810" s="21" t="n">
        <x:v>18</x:v>
      </x:c>
      <x:c r="H1810" s="21" t="str">
        <x:v>Independent Evidence and Data Authority</x:v>
      </x:c>
      <x:c r="I1810" s="44" t="n">
        <x:f>Lifecycle!G10</x:f>
        <x:v>0.05929244350747744</x:v>
      </x:c>
      <x:c r="J1810" s="44" t="n">
        <x:v>0.06895</x:v>
      </x:c>
      <x:c r="K1810" s="44" t="n">
        <x:f>I1810*J1810</x:f>
        <x:v>0.004088213979840569</x:v>
      </x:c>
      <x:c r="L1810" s="46" t="n">
        <x:v>0</x:v>
      </x:c>
      <x:c r="M1810" s="46" t="n">
        <x:v>0</x:v>
      </x:c>
      <x:c r="N1810" s="21" t="n">
        <x:f>IF(AND(L1809=1,M1809=1,P1809&gt;0),1,0)</x:f>
        <x:v>0</x:v>
      </x:c>
      <x:c r="O1810" s="21" t="n">
        <x:f>MIN('Root Data'!I547:I549)</x:f>
        <x:v>0</x:v>
      </x:c>
      <x:c r="P1810" s="44" t="n">
        <x:f>IF(AND(L1810=1,M1810=1,N1810=1,O1810&gt;=G1810),K1810,0)</x:f>
        <x:v>0</x:v>
      </x:c>
      <x:c r="Q1810" s="21" t="str">
        <x:v>OPEN</x:v>
      </x:c>
      <x:c r="R1810" s="23" t="str">
        <x:v>HOLD</x:v>
      </x:c>
    </x:row>
    <x:row r="1811">
      <x:c r="B1811" s="21" t="str">
        <x:v>AR-01805</x:v>
      </x:c>
      <x:c r="C1811" s="21" t="str">
        <x:v>F46-I1</x:v>
      </x:c>
      <x:c r="D1811" s="21" t="str">
        <x:v>F46</x:v>
      </x:c>
      <x:c r="E1811" s="21" t="n">
        <x:v>5</x:v>
      </x:c>
      <x:c r="F1811" s="21" t="str">
        <x:v>Qualification and destructive evidence</x:v>
      </x:c>
      <x:c r="G1811" s="21" t="n">
        <x:v>21</x:v>
      </x:c>
      <x:c r="H1811" s="21" t="str">
        <x:v>Independent Evidence and Data Authority</x:v>
      </x:c>
      <x:c r="I1811" s="44" t="n">
        <x:f>Lifecycle!G11</x:f>
        <x:v>0.1515251334079979</x:v>
      </x:c>
      <x:c r="J1811" s="44" t="n">
        <x:v>0.06895</x:v>
      </x:c>
      <x:c r="K1811" s="44" t="n">
        <x:f>I1811*J1811</x:f>
        <x:v>0.010447657948481454</x:v>
      </x:c>
      <x:c r="L1811" s="46" t="n">
        <x:v>0</x:v>
      </x:c>
      <x:c r="M1811" s="46" t="n">
        <x:v>0</x:v>
      </x:c>
      <x:c r="N1811" s="21" t="n">
        <x:f>IF(AND(L1810=1,M1810=1,P1810&gt;0),1,0)</x:f>
        <x:v>0</x:v>
      </x:c>
      <x:c r="O1811" s="21" t="n">
        <x:f>MIN('Root Data'!I547:I549)</x:f>
        <x:v>0</x:v>
      </x:c>
      <x:c r="P1811" s="44" t="n">
        <x:f>IF(AND(L1811=1,M1811=1,N1811=1,O1811&gt;=G1811),K1811,0)</x:f>
        <x:v>0</x:v>
      </x:c>
      <x:c r="Q1811" s="21" t="str">
        <x:v>OPEN</x:v>
      </x:c>
      <x:c r="R1811" s="23" t="str">
        <x:v>HOLD</x:v>
      </x:c>
    </x:row>
    <x:row r="1812">
      <x:c r="B1812" s="21" t="str">
        <x:v>AR-01806</x:v>
      </x:c>
      <x:c r="C1812" s="21" t="str">
        <x:v>F46-I1</x:v>
      </x:c>
      <x:c r="D1812" s="21" t="str">
        <x:v>F46</x:v>
      </x:c>
      <x:c r="E1812" s="21" t="n">
        <x:v>6</x:v>
      </x:c>
      <x:c r="F1812" s="21" t="str">
        <x:v>Representative mission result</x:v>
      </x:c>
      <x:c r="G1812" s="21" t="n">
        <x:v>23</x:v>
      </x:c>
      <x:c r="H1812" s="21" t="str">
        <x:v>Receiving Service Authority</x:v>
      </x:c>
      <x:c r="I1812" s="44" t="n">
        <x:f>Lifecycle!G12</x:f>
        <x:v>0.250345872587127</x:v>
      </x:c>
      <x:c r="J1812" s="44" t="n">
        <x:v>0.06895</x:v>
      </x:c>
      <x:c r="K1812" s="44" t="n">
        <x:f>I1812*J1812</x:f>
        <x:v>0.017261347914882406</x:v>
      </x:c>
      <x:c r="L1812" s="46" t="n">
        <x:v>0</x:v>
      </x:c>
      <x:c r="M1812" s="46" t="n">
        <x:v>0</x:v>
      </x:c>
      <x:c r="N1812" s="21" t="n">
        <x:f>IF(AND(L1811=1,M1811=1,P1811&gt;0),1,0)</x:f>
        <x:v>0</x:v>
      </x:c>
      <x:c r="O1812" s="21" t="n">
        <x:f>MIN('Root Data'!I547:I549)</x:f>
        <x:v>0</x:v>
      </x:c>
      <x:c r="P1812" s="44" t="n">
        <x:f>IF(AND(L1812=1,M1812=1,N1812=1,O1812&gt;=G1812),K1812,0)</x:f>
        <x:v>0</x:v>
      </x:c>
      <x:c r="Q1812" s="21" t="str">
        <x:v>OPEN</x:v>
      </x:c>
      <x:c r="R1812" s="23" t="str">
        <x:v>HOLD</x:v>
      </x:c>
    </x:row>
    <x:row r="1813">
      <x:c r="B1813" s="21" t="str">
        <x:v>AR-01807</x:v>
      </x:c>
      <x:c r="C1813" s="21" t="str">
        <x:v>F46-I1</x:v>
      </x:c>
      <x:c r="D1813" s="21" t="str">
        <x:v>F46</x:v>
      </x:c>
      <x:c r="E1813" s="21" t="n">
        <x:v>7</x:v>
      </x:c>
      <x:c r="F1813" s="21" t="str">
        <x:v>Independent reproduction</x:v>
      </x:c>
      <x:c r="G1813" s="21" t="n">
        <x:v>28</x:v>
      </x:c>
      <x:c r="H1813" s="21" t="str">
        <x:v>Independent Evidence and Data Authority</x:v>
      </x:c>
      <x:c r="I1813" s="44" t="n">
        <x:f>Lifecycle!G13</x:f>
        <x:v>0.21740562619408393</x:v>
      </x:c>
      <x:c r="J1813" s="44" t="n">
        <x:v>0.06895</x:v>
      </x:c>
      <x:c r="K1813" s="44" t="n">
        <x:f>I1813*J1813</x:f>
        <x:v>0.014990117926082087</x:v>
      </x:c>
      <x:c r="L1813" s="46" t="n">
        <x:v>0</x:v>
      </x:c>
      <x:c r="M1813" s="46" t="n">
        <x:v>0</x:v>
      </x:c>
      <x:c r="N1813" s="21" t="n">
        <x:f>IF(AND(L1812=1,M1812=1,P1812&gt;0),1,0)</x:f>
        <x:v>0</x:v>
      </x:c>
      <x:c r="O1813" s="21" t="n">
        <x:f>MIN('Root Data'!I547:I549)</x:f>
        <x:v>0</x:v>
      </x:c>
      <x:c r="P1813" s="44" t="n">
        <x:f>IF(AND(L1813=1,M1813=1,N1813=1,O1813&gt;=G1813),K1813,0)</x:f>
        <x:v>0</x:v>
      </x:c>
      <x:c r="Q1813" s="21" t="str">
        <x:v>OPEN</x:v>
      </x:c>
      <x:c r="R1813" s="23" t="str">
        <x:v>HOLD</x:v>
      </x:c>
    </x:row>
    <x:row r="1814">
      <x:c r="B1814" s="21" t="str">
        <x:v>AR-01808</x:v>
      </x:c>
      <x:c r="C1814" s="21" t="str">
        <x:v>F46-I1</x:v>
      </x:c>
      <x:c r="D1814" s="21" t="str">
        <x:v>F46</x:v>
      </x:c>
      <x:c r="E1814" s="21" t="n">
        <x:v>8</x:v>
      </x:c>
      <x:c r="F1814" s="21" t="str">
        <x:v>Pilot-process qualification</x:v>
      </x:c>
      <x:c r="G1814" s="21" t="n">
        <x:v>28</x:v>
      </x:c>
      <x:c r="H1814" s="21" t="str">
        <x:v>AIMC Industrial Mobilization Authority</x:v>
      </x:c>
      <x:c r="I1814" s="44" t="n">
        <x:f>Lifecycle!G14</x:f>
        <x:v>0.03952829567165163</x:v>
      </x:c>
      <x:c r="J1814" s="44" t="n">
        <x:v>0.06895</x:v>
      </x:c>
      <x:c r="K1814" s="44" t="n">
        <x:f>I1814*J1814</x:f>
        <x:v>0.0027254759865603796</x:v>
      </x:c>
      <x:c r="L1814" s="46" t="n">
        <x:v>0</x:v>
      </x:c>
      <x:c r="M1814" s="46" t="n">
        <x:v>0</x:v>
      </x:c>
      <x:c r="N1814" s="21" t="n">
        <x:f>IF(AND(L1813=1,M1813=1,P1813&gt;0),1,0)</x:f>
        <x:v>0</x:v>
      </x:c>
      <x:c r="O1814" s="21" t="n">
        <x:f>MIN('Root Data'!I547:I549)</x:f>
        <x:v>0</x:v>
      </x:c>
      <x:c r="P1814" s="44" t="n">
        <x:f>IF(AND(L1814=1,M1814=1,N1814=1,O1814&gt;=G1814),K1814,0)</x:f>
        <x:v>0</x:v>
      </x:c>
      <x:c r="Q1814" s="21" t="str">
        <x:v>OPEN</x:v>
      </x:c>
      <x:c r="R1814" s="23" t="str">
        <x:v>HOLD</x:v>
      </x:c>
    </x:row>
    <x:row r="1815">
      <x:c r="B1815" s="21" t="str">
        <x:v>AR-01809</x:v>
      </x:c>
      <x:c r="C1815" s="21" t="str">
        <x:v>F46-I1</x:v>
      </x:c>
      <x:c r="D1815" s="21" t="str">
        <x:v>F46</x:v>
      </x:c>
      <x:c r="E1815" s="21" t="n">
        <x:v>9</x:v>
      </x:c>
      <x:c r="F1815" s="21" t="str">
        <x:v>Production release package</x:v>
      </x:c>
      <x:c r="G1815" s="21" t="n">
        <x:v>28</x:v>
      </x:c>
      <x:c r="H1815" s="21" t="str">
        <x:v>Production Release Board</x:v>
      </x:c>
      <x:c r="I1815" s="44" t="n">
        <x:f>Lifecycle!G15</x:f>
        <x:v>0.01647012319652151</x:v>
      </x:c>
      <x:c r="J1815" s="44" t="n">
        <x:v>0.06895</x:v>
      </x:c>
      <x:c r="K1815" s="44" t="n">
        <x:f>I1815*J1815</x:f>
        <x:v>0.0011356149944001582</x:v>
      </x:c>
      <x:c r="L1815" s="46" t="n">
        <x:v>0</x:v>
      </x:c>
      <x:c r="M1815" s="46" t="n">
        <x:v>0</x:v>
      </x:c>
      <x:c r="N1815" s="21" t="n">
        <x:f>IF(AND(L1814=1,M1814=1,P1814&gt;0),1,0)</x:f>
        <x:v>0</x:v>
      </x:c>
      <x:c r="O1815" s="21" t="n">
        <x:f>MIN('Root Data'!I547:I549)</x:f>
        <x:v>0</x:v>
      </x:c>
      <x:c r="P1815" s="44" t="n">
        <x:f>IF(AND(L1815=1,M1815=1,N1815=1,O1815&gt;=G1815),K1815,0)</x:f>
        <x:v>0</x:v>
      </x:c>
      <x:c r="Q1815" s="21" t="str">
        <x:v>OPEN</x:v>
      </x:c>
      <x:c r="R1815" s="23" t="str">
        <x:v>HOLD</x:v>
      </x:c>
    </x:row>
    <x:row r="1816">
      <x:c r="B1816" s="21" t="str">
        <x:v>AR-01810</x:v>
      </x:c>
      <x:c r="C1816" s="21" t="str">
        <x:v>F46-I1</x:v>
      </x:c>
      <x:c r="D1816" s="21" t="str">
        <x:v>F46</x:v>
      </x:c>
      <x:c r="E1816" s="21" t="n">
        <x:v>10</x:v>
      </x:c>
      <x:c r="F1816" s="21" t="str">
        <x:v>Mobilization activation</x:v>
      </x:c>
      <x:c r="G1816" s="21" t="n">
        <x:v>28</x:v>
      </x:c>
      <x:c r="H1816" s="21" t="str">
        <x:v>Production Release Board</x:v>
      </x:c>
      <x:c r="I1816" s="44" t="n">
        <x:f>Lifecycle!G16</x:f>
        <x:v>0.028262731405230914</x:v>
      </x:c>
      <x:c r="J1816" s="44" t="n">
        <x:v>0.06895</x:v>
      </x:c>
      <x:c r="K1816" s="44" t="n">
        <x:f>I1816*J1816</x:f>
        <x:v>0.0019487153303906714</x:v>
      </x:c>
      <x:c r="L1816" s="46" t="n">
        <x:v>0</x:v>
      </x:c>
      <x:c r="M1816" s="46" t="n">
        <x:v>0</x:v>
      </x:c>
      <x:c r="N1816" s="21" t="n">
        <x:f>IF(AND(L1815=1,M1815=1,P1815&gt;0),1,0)</x:f>
        <x:v>0</x:v>
      </x:c>
      <x:c r="O1816" s="21" t="n">
        <x:f>MIN('Root Data'!I547:I549)</x:f>
        <x:v>0</x:v>
      </x:c>
      <x:c r="P1816" s="44" t="n">
        <x:f>IF(AND(L1816=1,M1816=1,N1816=1,O1816&gt;=G1816),K1816,0)</x:f>
        <x:v>0</x:v>
      </x:c>
      <x:c r="Q1816" s="21" t="str">
        <x:v>OPEN</x:v>
      </x:c>
      <x:c r="R1816" s="23" t="str">
        <x:v>HOLD</x:v>
      </x:c>
    </x:row>
    <x:row r="1817">
      <x:c r="B1817" s="21" t="str">
        <x:v>AR-01811</x:v>
      </x:c>
      <x:c r="C1817" s="21" t="str">
        <x:v>F46-I2</x:v>
      </x:c>
      <x:c r="D1817" s="21" t="str">
        <x:v>F46</x:v>
      </x:c>
      <x:c r="E1817" s="21" t="n">
        <x:v>1</x:v>
      </x:c>
      <x:c r="F1817" s="21" t="str">
        <x:v>Civil effect charter</x:v>
      </x:c>
      <x:c r="G1817" s="21" t="n">
        <x:v>0</x:v>
      </x:c>
      <x:c r="H1817" s="21" t="str">
        <x:v>Civil Guarantee Authority</x:v>
      </x:c>
      <x:c r="I1817" s="44" t="n">
        <x:f>Lifecycle!G7</x:f>
        <x:v>0.04941036958956453</x:v>
      </x:c>
      <x:c r="J1817" s="44" t="n">
        <x:v>0.06895</x:v>
      </x:c>
      <x:c r="K1817" s="44" t="n">
        <x:f>I1817*J1817</x:f>
        <x:v>0.003406844983200474</x:v>
      </x:c>
      <x:c r="L1817" s="46" t="n">
        <x:v>0</x:v>
      </x:c>
      <x:c r="M1817" s="46" t="n">
        <x:v>0</x:v>
      </x:c>
      <x:c r="N1817" s="21" t="n">
        <x:f>1</x:f>
        <x:v>1</x:v>
      </x:c>
      <x:c r="O1817" s="21" t="n">
        <x:f>MIN('Root Data'!I550:I552)</x:f>
        <x:v>0</x:v>
      </x:c>
      <x:c r="P1817" s="44" t="n">
        <x:f>IF(AND(L1817=1,M1817=1,N1817=1,O1817&gt;=G1817),K1817,0)</x:f>
        <x:v>0</x:v>
      </x:c>
      <x:c r="Q1817" s="21" t="str">
        <x:v>OPEN</x:v>
      </x:c>
      <x:c r="R1817" s="23" t="str">
        <x:v>HOLD</x:v>
      </x:c>
    </x:row>
    <x:row r="1818">
      <x:c r="B1818" s="21" t="str">
        <x:v>AR-01812</x:v>
      </x:c>
      <x:c r="C1818" s="21" t="str">
        <x:v>F46-I2</x:v>
      </x:c>
      <x:c r="D1818" s="21" t="str">
        <x:v>F46</x:v>
      </x:c>
      <x:c r="E1818" s="21" t="n">
        <x:v>2</x:v>
      </x:c>
      <x:c r="F1818" s="21" t="str">
        <x:v>Requirement and root-independence package</x:v>
      </x:c>
      <x:c r="G1818" s="21" t="n">
        <x:v>8</x:v>
      </x:c>
      <x:c r="H1818" s="21" t="str">
        <x:v>Resilience Staff</x:v>
      </x:c>
      <x:c r="I1818" s="44" t="n">
        <x:f>Lifecycle!G8</x:f>
        <x:v>0.10211476381843337</x:v>
      </x:c>
      <x:c r="J1818" s="44" t="n">
        <x:v>0.06895</x:v>
      </x:c>
      <x:c r="K1818" s="44" t="n">
        <x:f>I1818*J1818</x:f>
        <x:v>0.007040812965280981</x:v>
      </x:c>
      <x:c r="L1818" s="46" t="n">
        <x:v>0</x:v>
      </x:c>
      <x:c r="M1818" s="46" t="n">
        <x:v>0</x:v>
      </x:c>
      <x:c r="N1818" s="21" t="n">
        <x:f>IF(AND(L1817=1,M1817=1,P1817&gt;0),1,0)</x:f>
        <x:v>0</x:v>
      </x:c>
      <x:c r="O1818" s="21" t="n">
        <x:f>MIN('Root Data'!I550:I552)</x:f>
        <x:v>0</x:v>
      </x:c>
      <x:c r="P1818" s="44" t="n">
        <x:f>IF(AND(L1818=1,M1818=1,N1818=1,O1818&gt;=G1818),K1818,0)</x:f>
        <x:v>0</x:v>
      </x:c>
      <x:c r="Q1818" s="21" t="str">
        <x:v>OPEN</x:v>
      </x:c>
      <x:c r="R1818" s="23" t="str">
        <x:v>HOLD</x:v>
      </x:c>
    </x:row>
    <x:row r="1819">
      <x:c r="B1819" s="21" t="str">
        <x:v>AR-01813</x:v>
      </x:c>
      <x:c r="C1819" s="21" t="str">
        <x:v>F46-I2</x:v>
      </x:c>
      <x:c r="D1819" s="21" t="str">
        <x:v>F46</x:v>
      </x:c>
      <x:c r="E1819" s="21" t="n">
        <x:v>3</x:v>
      </x:c>
      <x:c r="F1819" s="21" t="str">
        <x:v>Architecture and burden closure</x:v>
      </x:c>
      <x:c r="G1819" s="21" t="n">
        <x:v>14</x:v>
      </x:c>
      <x:c r="H1819" s="21" t="str">
        <x:v>Independent Evidence and Data Authority</x:v>
      </x:c>
      <x:c r="I1819" s="44" t="n">
        <x:f>Lifecycle!G9</x:f>
        <x:v>0.08564464062191186</x:v>
      </x:c>
      <x:c r="J1819" s="44" t="n">
        <x:v>0.06895</x:v>
      </x:c>
      <x:c r="K1819" s="44" t="n">
        <x:f>I1819*J1819</x:f>
        <x:v>0.005905197970880823</x:v>
      </x:c>
      <x:c r="L1819" s="46" t="n">
        <x:v>0</x:v>
      </x:c>
      <x:c r="M1819" s="46" t="n">
        <x:v>0</x:v>
      </x:c>
      <x:c r="N1819" s="21" t="n">
        <x:f>IF(AND(L1818=1,M1818=1,P1818&gt;0),1,0)</x:f>
        <x:v>0</x:v>
      </x:c>
      <x:c r="O1819" s="21" t="n">
        <x:f>MIN('Root Data'!I550:I552)</x:f>
        <x:v>0</x:v>
      </x:c>
      <x:c r="P1819" s="44" t="n">
        <x:f>IF(AND(L1819=1,M1819=1,N1819=1,O1819&gt;=G1819),K1819,0)</x:f>
        <x:v>0</x:v>
      </x:c>
      <x:c r="Q1819" s="21" t="str">
        <x:v>OPEN</x:v>
      </x:c>
      <x:c r="R1819" s="23" t="str">
        <x:v>HOLD</x:v>
      </x:c>
    </x:row>
    <x:row r="1820">
      <x:c r="B1820" s="21" t="str">
        <x:v>AR-01814</x:v>
      </x:c>
      <x:c r="C1820" s="21" t="str">
        <x:v>F46-I2</x:v>
      </x:c>
      <x:c r="D1820" s="21" t="str">
        <x:v>F46</x:v>
      </x:c>
      <x:c r="E1820" s="21" t="n">
        <x:v>4</x:v>
      </x:c>
      <x:c r="F1820" s="21" t="str">
        <x:v>Engineering article acceptance</x:v>
      </x:c>
      <x:c r="G1820" s="21" t="n">
        <x:v>18</x:v>
      </x:c>
      <x:c r="H1820" s="21" t="str">
        <x:v>Independent Evidence and Data Authority</x:v>
      </x:c>
      <x:c r="I1820" s="44" t="n">
        <x:f>Lifecycle!G10</x:f>
        <x:v>0.05929244350747744</x:v>
      </x:c>
      <x:c r="J1820" s="44" t="n">
        <x:v>0.06895</x:v>
      </x:c>
      <x:c r="K1820" s="44" t="n">
        <x:f>I1820*J1820</x:f>
        <x:v>0.004088213979840569</x:v>
      </x:c>
      <x:c r="L1820" s="46" t="n">
        <x:v>0</x:v>
      </x:c>
      <x:c r="M1820" s="46" t="n">
        <x:v>0</x:v>
      </x:c>
      <x:c r="N1820" s="21" t="n">
        <x:f>IF(AND(L1819=1,M1819=1,P1819&gt;0),1,0)</x:f>
        <x:v>0</x:v>
      </x:c>
      <x:c r="O1820" s="21" t="n">
        <x:f>MIN('Root Data'!I550:I552)</x:f>
        <x:v>0</x:v>
      </x:c>
      <x:c r="P1820" s="44" t="n">
        <x:f>IF(AND(L1820=1,M1820=1,N1820=1,O1820&gt;=G1820),K1820,0)</x:f>
        <x:v>0</x:v>
      </x:c>
      <x:c r="Q1820" s="21" t="str">
        <x:v>OPEN</x:v>
      </x:c>
      <x:c r="R1820" s="23" t="str">
        <x:v>HOLD</x:v>
      </x:c>
    </x:row>
    <x:row r="1821">
      <x:c r="B1821" s="21" t="str">
        <x:v>AR-01815</x:v>
      </x:c>
      <x:c r="C1821" s="21" t="str">
        <x:v>F46-I2</x:v>
      </x:c>
      <x:c r="D1821" s="21" t="str">
        <x:v>F46</x:v>
      </x:c>
      <x:c r="E1821" s="21" t="n">
        <x:v>5</x:v>
      </x:c>
      <x:c r="F1821" s="21" t="str">
        <x:v>Qualification and destructive evidence</x:v>
      </x:c>
      <x:c r="G1821" s="21" t="n">
        <x:v>21</x:v>
      </x:c>
      <x:c r="H1821" s="21" t="str">
        <x:v>Independent Evidence and Data Authority</x:v>
      </x:c>
      <x:c r="I1821" s="44" t="n">
        <x:f>Lifecycle!G11</x:f>
        <x:v>0.1515251334079979</x:v>
      </x:c>
      <x:c r="J1821" s="44" t="n">
        <x:v>0.06895</x:v>
      </x:c>
      <x:c r="K1821" s="44" t="n">
        <x:f>I1821*J1821</x:f>
        <x:v>0.010447657948481454</x:v>
      </x:c>
      <x:c r="L1821" s="46" t="n">
        <x:v>0</x:v>
      </x:c>
      <x:c r="M1821" s="46" t="n">
        <x:v>0</x:v>
      </x:c>
      <x:c r="N1821" s="21" t="n">
        <x:f>IF(AND(L1820=1,M1820=1,P1820&gt;0),1,0)</x:f>
        <x:v>0</x:v>
      </x:c>
      <x:c r="O1821" s="21" t="n">
        <x:f>MIN('Root Data'!I550:I552)</x:f>
        <x:v>0</x:v>
      </x:c>
      <x:c r="P1821" s="44" t="n">
        <x:f>IF(AND(L1821=1,M1821=1,N1821=1,O1821&gt;=G1821),K1821,0)</x:f>
        <x:v>0</x:v>
      </x:c>
      <x:c r="Q1821" s="21" t="str">
        <x:v>OPEN</x:v>
      </x:c>
      <x:c r="R1821" s="23" t="str">
        <x:v>HOLD</x:v>
      </x:c>
    </x:row>
    <x:row r="1822">
      <x:c r="B1822" s="21" t="str">
        <x:v>AR-01816</x:v>
      </x:c>
      <x:c r="C1822" s="21" t="str">
        <x:v>F46-I2</x:v>
      </x:c>
      <x:c r="D1822" s="21" t="str">
        <x:v>F46</x:v>
      </x:c>
      <x:c r="E1822" s="21" t="n">
        <x:v>6</x:v>
      </x:c>
      <x:c r="F1822" s="21" t="str">
        <x:v>Representative mission result</x:v>
      </x:c>
      <x:c r="G1822" s="21" t="n">
        <x:v>23</x:v>
      </x:c>
      <x:c r="H1822" s="21" t="str">
        <x:v>Receiving Service Authority</x:v>
      </x:c>
      <x:c r="I1822" s="44" t="n">
        <x:f>Lifecycle!G12</x:f>
        <x:v>0.250345872587127</x:v>
      </x:c>
      <x:c r="J1822" s="44" t="n">
        <x:v>0.06895</x:v>
      </x:c>
      <x:c r="K1822" s="44" t="n">
        <x:f>I1822*J1822</x:f>
        <x:v>0.017261347914882406</x:v>
      </x:c>
      <x:c r="L1822" s="46" t="n">
        <x:v>0</x:v>
      </x:c>
      <x:c r="M1822" s="46" t="n">
        <x:v>0</x:v>
      </x:c>
      <x:c r="N1822" s="21" t="n">
        <x:f>IF(AND(L1821=1,M1821=1,P1821&gt;0),1,0)</x:f>
        <x:v>0</x:v>
      </x:c>
      <x:c r="O1822" s="21" t="n">
        <x:f>MIN('Root Data'!I550:I552)</x:f>
        <x:v>0</x:v>
      </x:c>
      <x:c r="P1822" s="44" t="n">
        <x:f>IF(AND(L1822=1,M1822=1,N1822=1,O1822&gt;=G1822),K1822,0)</x:f>
        <x:v>0</x:v>
      </x:c>
      <x:c r="Q1822" s="21" t="str">
        <x:v>OPEN</x:v>
      </x:c>
      <x:c r="R1822" s="23" t="str">
        <x:v>HOLD</x:v>
      </x:c>
    </x:row>
    <x:row r="1823">
      <x:c r="B1823" s="21" t="str">
        <x:v>AR-01817</x:v>
      </x:c>
      <x:c r="C1823" s="21" t="str">
        <x:v>F46-I2</x:v>
      </x:c>
      <x:c r="D1823" s="21" t="str">
        <x:v>F46</x:v>
      </x:c>
      <x:c r="E1823" s="21" t="n">
        <x:v>7</x:v>
      </x:c>
      <x:c r="F1823" s="21" t="str">
        <x:v>Independent reproduction</x:v>
      </x:c>
      <x:c r="G1823" s="21" t="n">
        <x:v>28</x:v>
      </x:c>
      <x:c r="H1823" s="21" t="str">
        <x:v>Independent Evidence and Data Authority</x:v>
      </x:c>
      <x:c r="I1823" s="44" t="n">
        <x:f>Lifecycle!G13</x:f>
        <x:v>0.21740562619408393</x:v>
      </x:c>
      <x:c r="J1823" s="44" t="n">
        <x:v>0.06895</x:v>
      </x:c>
      <x:c r="K1823" s="44" t="n">
        <x:f>I1823*J1823</x:f>
        <x:v>0.014990117926082087</x:v>
      </x:c>
      <x:c r="L1823" s="46" t="n">
        <x:v>0</x:v>
      </x:c>
      <x:c r="M1823" s="46" t="n">
        <x:v>0</x:v>
      </x:c>
      <x:c r="N1823" s="21" t="n">
        <x:f>IF(AND(L1822=1,M1822=1,P1822&gt;0),1,0)</x:f>
        <x:v>0</x:v>
      </x:c>
      <x:c r="O1823" s="21" t="n">
        <x:f>MIN('Root Data'!I550:I552)</x:f>
        <x:v>0</x:v>
      </x:c>
      <x:c r="P1823" s="44" t="n">
        <x:f>IF(AND(L1823=1,M1823=1,N1823=1,O1823&gt;=G1823),K1823,0)</x:f>
        <x:v>0</x:v>
      </x:c>
      <x:c r="Q1823" s="21" t="str">
        <x:v>OPEN</x:v>
      </x:c>
      <x:c r="R1823" s="23" t="str">
        <x:v>HOLD</x:v>
      </x:c>
    </x:row>
    <x:row r="1824">
      <x:c r="B1824" s="21" t="str">
        <x:v>AR-01818</x:v>
      </x:c>
      <x:c r="C1824" s="21" t="str">
        <x:v>F46-I2</x:v>
      </x:c>
      <x:c r="D1824" s="21" t="str">
        <x:v>F46</x:v>
      </x:c>
      <x:c r="E1824" s="21" t="n">
        <x:v>8</x:v>
      </x:c>
      <x:c r="F1824" s="21" t="str">
        <x:v>Pilot-process qualification</x:v>
      </x:c>
      <x:c r="G1824" s="21" t="n">
        <x:v>28</x:v>
      </x:c>
      <x:c r="H1824" s="21" t="str">
        <x:v>AIMC Industrial Mobilization Authority</x:v>
      </x:c>
      <x:c r="I1824" s="44" t="n">
        <x:f>Lifecycle!G14</x:f>
        <x:v>0.03952829567165163</x:v>
      </x:c>
      <x:c r="J1824" s="44" t="n">
        <x:v>0.06895</x:v>
      </x:c>
      <x:c r="K1824" s="44" t="n">
        <x:f>I1824*J1824</x:f>
        <x:v>0.0027254759865603796</x:v>
      </x:c>
      <x:c r="L1824" s="46" t="n">
        <x:v>0</x:v>
      </x:c>
      <x:c r="M1824" s="46" t="n">
        <x:v>0</x:v>
      </x:c>
      <x:c r="N1824" s="21" t="n">
        <x:f>IF(AND(L1823=1,M1823=1,P1823&gt;0),1,0)</x:f>
        <x:v>0</x:v>
      </x:c>
      <x:c r="O1824" s="21" t="n">
        <x:f>MIN('Root Data'!I550:I552)</x:f>
        <x:v>0</x:v>
      </x:c>
      <x:c r="P1824" s="44" t="n">
        <x:f>IF(AND(L1824=1,M1824=1,N1824=1,O1824&gt;=G1824),K1824,0)</x:f>
        <x:v>0</x:v>
      </x:c>
      <x:c r="Q1824" s="21" t="str">
        <x:v>OPEN</x:v>
      </x:c>
      <x:c r="R1824" s="23" t="str">
        <x:v>HOLD</x:v>
      </x:c>
    </x:row>
    <x:row r="1825">
      <x:c r="B1825" s="21" t="str">
        <x:v>AR-01819</x:v>
      </x:c>
      <x:c r="C1825" s="21" t="str">
        <x:v>F46-I2</x:v>
      </x:c>
      <x:c r="D1825" s="21" t="str">
        <x:v>F46</x:v>
      </x:c>
      <x:c r="E1825" s="21" t="n">
        <x:v>9</x:v>
      </x:c>
      <x:c r="F1825" s="21" t="str">
        <x:v>Production release package</x:v>
      </x:c>
      <x:c r="G1825" s="21" t="n">
        <x:v>28</x:v>
      </x:c>
      <x:c r="H1825" s="21" t="str">
        <x:v>Production Release Board</x:v>
      </x:c>
      <x:c r="I1825" s="44" t="n">
        <x:f>Lifecycle!G15</x:f>
        <x:v>0.01647012319652151</x:v>
      </x:c>
      <x:c r="J1825" s="44" t="n">
        <x:v>0.06895</x:v>
      </x:c>
      <x:c r="K1825" s="44" t="n">
        <x:f>I1825*J1825</x:f>
        <x:v>0.0011356149944001582</x:v>
      </x:c>
      <x:c r="L1825" s="46" t="n">
        <x:v>0</x:v>
      </x:c>
      <x:c r="M1825" s="46" t="n">
        <x:v>0</x:v>
      </x:c>
      <x:c r="N1825" s="21" t="n">
        <x:f>IF(AND(L1824=1,M1824=1,P1824&gt;0),1,0)</x:f>
        <x:v>0</x:v>
      </x:c>
      <x:c r="O1825" s="21" t="n">
        <x:f>MIN('Root Data'!I550:I552)</x:f>
        <x:v>0</x:v>
      </x:c>
      <x:c r="P1825" s="44" t="n">
        <x:f>IF(AND(L1825=1,M1825=1,N1825=1,O1825&gt;=G1825),K1825,0)</x:f>
        <x:v>0</x:v>
      </x:c>
      <x:c r="Q1825" s="21" t="str">
        <x:v>OPEN</x:v>
      </x:c>
      <x:c r="R1825" s="23" t="str">
        <x:v>HOLD</x:v>
      </x:c>
    </x:row>
    <x:row r="1826">
      <x:c r="B1826" s="21" t="str">
        <x:v>AR-01820</x:v>
      </x:c>
      <x:c r="C1826" s="21" t="str">
        <x:v>F46-I2</x:v>
      </x:c>
      <x:c r="D1826" s="21" t="str">
        <x:v>F46</x:v>
      </x:c>
      <x:c r="E1826" s="21" t="n">
        <x:v>10</x:v>
      </x:c>
      <x:c r="F1826" s="21" t="str">
        <x:v>Mobilization activation</x:v>
      </x:c>
      <x:c r="G1826" s="21" t="n">
        <x:v>28</x:v>
      </x:c>
      <x:c r="H1826" s="21" t="str">
        <x:v>Production Release Board</x:v>
      </x:c>
      <x:c r="I1826" s="44" t="n">
        <x:f>Lifecycle!G16</x:f>
        <x:v>0.028262731405230914</x:v>
      </x:c>
      <x:c r="J1826" s="44" t="n">
        <x:v>0.06895</x:v>
      </x:c>
      <x:c r="K1826" s="44" t="n">
        <x:f>I1826*J1826</x:f>
        <x:v>0.0019487153303906714</x:v>
      </x:c>
      <x:c r="L1826" s="46" t="n">
        <x:v>0</x:v>
      </x:c>
      <x:c r="M1826" s="46" t="n">
        <x:v>0</x:v>
      </x:c>
      <x:c r="N1826" s="21" t="n">
        <x:f>IF(AND(L1825=1,M1825=1,P1825&gt;0),1,0)</x:f>
        <x:v>0</x:v>
      </x:c>
      <x:c r="O1826" s="21" t="n">
        <x:f>MIN('Root Data'!I550:I552)</x:f>
        <x:v>0</x:v>
      </x:c>
      <x:c r="P1826" s="44" t="n">
        <x:f>IF(AND(L1826=1,M1826=1,N1826=1,O1826&gt;=G1826),K1826,0)</x:f>
        <x:v>0</x:v>
      </x:c>
      <x:c r="Q1826" s="21" t="str">
        <x:v>OPEN</x:v>
      </x:c>
      <x:c r="R1826" s="23" t="str">
        <x:v>HOLD</x:v>
      </x:c>
    </x:row>
    <x:row r="1827">
      <x:c r="B1827" s="21" t="str">
        <x:v>AR-01821</x:v>
      </x:c>
      <x:c r="C1827" s="21" t="str">
        <x:v>F46-I3</x:v>
      </x:c>
      <x:c r="D1827" s="21" t="str">
        <x:v>F46</x:v>
      </x:c>
      <x:c r="E1827" s="21" t="n">
        <x:v>1</x:v>
      </x:c>
      <x:c r="F1827" s="21" t="str">
        <x:v>Civil effect charter</x:v>
      </x:c>
      <x:c r="G1827" s="21" t="n">
        <x:v>0</x:v>
      </x:c>
      <x:c r="H1827" s="21" t="str">
        <x:v>Civil Guarantee Authority</x:v>
      </x:c>
      <x:c r="I1827" s="44" t="n">
        <x:f>Lifecycle!G7</x:f>
        <x:v>0.04941036958956453</x:v>
      </x:c>
      <x:c r="J1827" s="44" t="n">
        <x:v>0.06895</x:v>
      </x:c>
      <x:c r="K1827" s="44" t="n">
        <x:f>I1827*J1827</x:f>
        <x:v>0.003406844983200474</x:v>
      </x:c>
      <x:c r="L1827" s="46" t="n">
        <x:v>0</x:v>
      </x:c>
      <x:c r="M1827" s="46" t="n">
        <x:v>0</x:v>
      </x:c>
      <x:c r="N1827" s="21" t="n">
        <x:f>1</x:f>
        <x:v>1</x:v>
      </x:c>
      <x:c r="O1827" s="21" t="n">
        <x:f>MIN('Root Data'!I553:I555)</x:f>
        <x:v>0</x:v>
      </x:c>
      <x:c r="P1827" s="44" t="n">
        <x:f>IF(AND(L1827=1,M1827=1,N1827=1,O1827&gt;=G1827),K1827,0)</x:f>
        <x:v>0</x:v>
      </x:c>
      <x:c r="Q1827" s="21" t="str">
        <x:v>OPEN</x:v>
      </x:c>
      <x:c r="R1827" s="23" t="str">
        <x:v>HOLD</x:v>
      </x:c>
    </x:row>
    <x:row r="1828">
      <x:c r="B1828" s="21" t="str">
        <x:v>AR-01822</x:v>
      </x:c>
      <x:c r="C1828" s="21" t="str">
        <x:v>F46-I3</x:v>
      </x:c>
      <x:c r="D1828" s="21" t="str">
        <x:v>F46</x:v>
      </x:c>
      <x:c r="E1828" s="21" t="n">
        <x:v>2</x:v>
      </x:c>
      <x:c r="F1828" s="21" t="str">
        <x:v>Requirement and root-independence package</x:v>
      </x:c>
      <x:c r="G1828" s="21" t="n">
        <x:v>8</x:v>
      </x:c>
      <x:c r="H1828" s="21" t="str">
        <x:v>Resilience Staff</x:v>
      </x:c>
      <x:c r="I1828" s="44" t="n">
        <x:f>Lifecycle!G8</x:f>
        <x:v>0.10211476381843337</x:v>
      </x:c>
      <x:c r="J1828" s="44" t="n">
        <x:v>0.06895</x:v>
      </x:c>
      <x:c r="K1828" s="44" t="n">
        <x:f>I1828*J1828</x:f>
        <x:v>0.007040812965280981</x:v>
      </x:c>
      <x:c r="L1828" s="46" t="n">
        <x:v>0</x:v>
      </x:c>
      <x:c r="M1828" s="46" t="n">
        <x:v>0</x:v>
      </x:c>
      <x:c r="N1828" s="21" t="n">
        <x:f>IF(AND(L1827=1,M1827=1,P1827&gt;0),1,0)</x:f>
        <x:v>0</x:v>
      </x:c>
      <x:c r="O1828" s="21" t="n">
        <x:f>MIN('Root Data'!I553:I555)</x:f>
        <x:v>0</x:v>
      </x:c>
      <x:c r="P1828" s="44" t="n">
        <x:f>IF(AND(L1828=1,M1828=1,N1828=1,O1828&gt;=G1828),K1828,0)</x:f>
        <x:v>0</x:v>
      </x:c>
      <x:c r="Q1828" s="21" t="str">
        <x:v>OPEN</x:v>
      </x:c>
      <x:c r="R1828" s="23" t="str">
        <x:v>HOLD</x:v>
      </x:c>
    </x:row>
    <x:row r="1829">
      <x:c r="B1829" s="21" t="str">
        <x:v>AR-01823</x:v>
      </x:c>
      <x:c r="C1829" s="21" t="str">
        <x:v>F46-I3</x:v>
      </x:c>
      <x:c r="D1829" s="21" t="str">
        <x:v>F46</x:v>
      </x:c>
      <x:c r="E1829" s="21" t="n">
        <x:v>3</x:v>
      </x:c>
      <x:c r="F1829" s="21" t="str">
        <x:v>Architecture and burden closure</x:v>
      </x:c>
      <x:c r="G1829" s="21" t="n">
        <x:v>14</x:v>
      </x:c>
      <x:c r="H1829" s="21" t="str">
        <x:v>Independent Evidence and Data Authority</x:v>
      </x:c>
      <x:c r="I1829" s="44" t="n">
        <x:f>Lifecycle!G9</x:f>
        <x:v>0.08564464062191186</x:v>
      </x:c>
      <x:c r="J1829" s="44" t="n">
        <x:v>0.06895</x:v>
      </x:c>
      <x:c r="K1829" s="44" t="n">
        <x:f>I1829*J1829</x:f>
        <x:v>0.005905197970880823</x:v>
      </x:c>
      <x:c r="L1829" s="46" t="n">
        <x:v>0</x:v>
      </x:c>
      <x:c r="M1829" s="46" t="n">
        <x:v>0</x:v>
      </x:c>
      <x:c r="N1829" s="21" t="n">
        <x:f>IF(AND(L1828=1,M1828=1,P1828&gt;0),1,0)</x:f>
        <x:v>0</x:v>
      </x:c>
      <x:c r="O1829" s="21" t="n">
        <x:f>MIN('Root Data'!I553:I555)</x:f>
        <x:v>0</x:v>
      </x:c>
      <x:c r="P1829" s="44" t="n">
        <x:f>IF(AND(L1829=1,M1829=1,N1829=1,O1829&gt;=G1829),K1829,0)</x:f>
        <x:v>0</x:v>
      </x:c>
      <x:c r="Q1829" s="21" t="str">
        <x:v>OPEN</x:v>
      </x:c>
      <x:c r="R1829" s="23" t="str">
        <x:v>HOLD</x:v>
      </x:c>
    </x:row>
    <x:row r="1830">
      <x:c r="B1830" s="21" t="str">
        <x:v>AR-01824</x:v>
      </x:c>
      <x:c r="C1830" s="21" t="str">
        <x:v>F46-I3</x:v>
      </x:c>
      <x:c r="D1830" s="21" t="str">
        <x:v>F46</x:v>
      </x:c>
      <x:c r="E1830" s="21" t="n">
        <x:v>4</x:v>
      </x:c>
      <x:c r="F1830" s="21" t="str">
        <x:v>Engineering article acceptance</x:v>
      </x:c>
      <x:c r="G1830" s="21" t="n">
        <x:v>18</x:v>
      </x:c>
      <x:c r="H1830" s="21" t="str">
        <x:v>Independent Evidence and Data Authority</x:v>
      </x:c>
      <x:c r="I1830" s="44" t="n">
        <x:f>Lifecycle!G10</x:f>
        <x:v>0.05929244350747744</x:v>
      </x:c>
      <x:c r="J1830" s="44" t="n">
        <x:v>0.06895</x:v>
      </x:c>
      <x:c r="K1830" s="44" t="n">
        <x:f>I1830*J1830</x:f>
        <x:v>0.004088213979840569</x:v>
      </x:c>
      <x:c r="L1830" s="46" t="n">
        <x:v>0</x:v>
      </x:c>
      <x:c r="M1830" s="46" t="n">
        <x:v>0</x:v>
      </x:c>
      <x:c r="N1830" s="21" t="n">
        <x:f>IF(AND(L1829=1,M1829=1,P1829&gt;0),1,0)</x:f>
        <x:v>0</x:v>
      </x:c>
      <x:c r="O1830" s="21" t="n">
        <x:f>MIN('Root Data'!I553:I555)</x:f>
        <x:v>0</x:v>
      </x:c>
      <x:c r="P1830" s="44" t="n">
        <x:f>IF(AND(L1830=1,M1830=1,N1830=1,O1830&gt;=G1830),K1830,0)</x:f>
        <x:v>0</x:v>
      </x:c>
      <x:c r="Q1830" s="21" t="str">
        <x:v>OPEN</x:v>
      </x:c>
      <x:c r="R1830" s="23" t="str">
        <x:v>HOLD</x:v>
      </x:c>
    </x:row>
    <x:row r="1831">
      <x:c r="B1831" s="21" t="str">
        <x:v>AR-01825</x:v>
      </x:c>
      <x:c r="C1831" s="21" t="str">
        <x:v>F46-I3</x:v>
      </x:c>
      <x:c r="D1831" s="21" t="str">
        <x:v>F46</x:v>
      </x:c>
      <x:c r="E1831" s="21" t="n">
        <x:v>5</x:v>
      </x:c>
      <x:c r="F1831" s="21" t="str">
        <x:v>Qualification and destructive evidence</x:v>
      </x:c>
      <x:c r="G1831" s="21" t="n">
        <x:v>21</x:v>
      </x:c>
      <x:c r="H1831" s="21" t="str">
        <x:v>Independent Evidence and Data Authority</x:v>
      </x:c>
      <x:c r="I1831" s="44" t="n">
        <x:f>Lifecycle!G11</x:f>
        <x:v>0.1515251334079979</x:v>
      </x:c>
      <x:c r="J1831" s="44" t="n">
        <x:v>0.06895</x:v>
      </x:c>
      <x:c r="K1831" s="44" t="n">
        <x:f>I1831*J1831</x:f>
        <x:v>0.010447657948481454</x:v>
      </x:c>
      <x:c r="L1831" s="46" t="n">
        <x:v>0</x:v>
      </x:c>
      <x:c r="M1831" s="46" t="n">
        <x:v>0</x:v>
      </x:c>
      <x:c r="N1831" s="21" t="n">
        <x:f>IF(AND(L1830=1,M1830=1,P1830&gt;0),1,0)</x:f>
        <x:v>0</x:v>
      </x:c>
      <x:c r="O1831" s="21" t="n">
        <x:f>MIN('Root Data'!I553:I555)</x:f>
        <x:v>0</x:v>
      </x:c>
      <x:c r="P1831" s="44" t="n">
        <x:f>IF(AND(L1831=1,M1831=1,N1831=1,O1831&gt;=G1831),K1831,0)</x:f>
        <x:v>0</x:v>
      </x:c>
      <x:c r="Q1831" s="21" t="str">
        <x:v>OPEN</x:v>
      </x:c>
      <x:c r="R1831" s="23" t="str">
        <x:v>HOLD</x:v>
      </x:c>
    </x:row>
    <x:row r="1832">
      <x:c r="B1832" s="21" t="str">
        <x:v>AR-01826</x:v>
      </x:c>
      <x:c r="C1832" s="21" t="str">
        <x:v>F46-I3</x:v>
      </x:c>
      <x:c r="D1832" s="21" t="str">
        <x:v>F46</x:v>
      </x:c>
      <x:c r="E1832" s="21" t="n">
        <x:v>6</x:v>
      </x:c>
      <x:c r="F1832" s="21" t="str">
        <x:v>Representative mission result</x:v>
      </x:c>
      <x:c r="G1832" s="21" t="n">
        <x:v>23</x:v>
      </x:c>
      <x:c r="H1832" s="21" t="str">
        <x:v>Receiving Service Authority</x:v>
      </x:c>
      <x:c r="I1832" s="44" t="n">
        <x:f>Lifecycle!G12</x:f>
        <x:v>0.250345872587127</x:v>
      </x:c>
      <x:c r="J1832" s="44" t="n">
        <x:v>0.06895</x:v>
      </x:c>
      <x:c r="K1832" s="44" t="n">
        <x:f>I1832*J1832</x:f>
        <x:v>0.017261347914882406</x:v>
      </x:c>
      <x:c r="L1832" s="46" t="n">
        <x:v>0</x:v>
      </x:c>
      <x:c r="M1832" s="46" t="n">
        <x:v>0</x:v>
      </x:c>
      <x:c r="N1832" s="21" t="n">
        <x:f>IF(AND(L1831=1,M1831=1,P1831&gt;0),1,0)</x:f>
        <x:v>0</x:v>
      </x:c>
      <x:c r="O1832" s="21" t="n">
        <x:f>MIN('Root Data'!I553:I555)</x:f>
        <x:v>0</x:v>
      </x:c>
      <x:c r="P1832" s="44" t="n">
        <x:f>IF(AND(L1832=1,M1832=1,N1832=1,O1832&gt;=G1832),K1832,0)</x:f>
        <x:v>0</x:v>
      </x:c>
      <x:c r="Q1832" s="21" t="str">
        <x:v>OPEN</x:v>
      </x:c>
      <x:c r="R1832" s="23" t="str">
        <x:v>HOLD</x:v>
      </x:c>
    </x:row>
    <x:row r="1833">
      <x:c r="B1833" s="21" t="str">
        <x:v>AR-01827</x:v>
      </x:c>
      <x:c r="C1833" s="21" t="str">
        <x:v>F46-I3</x:v>
      </x:c>
      <x:c r="D1833" s="21" t="str">
        <x:v>F46</x:v>
      </x:c>
      <x:c r="E1833" s="21" t="n">
        <x:v>7</x:v>
      </x:c>
      <x:c r="F1833" s="21" t="str">
        <x:v>Independent reproduction</x:v>
      </x:c>
      <x:c r="G1833" s="21" t="n">
        <x:v>28</x:v>
      </x:c>
      <x:c r="H1833" s="21" t="str">
        <x:v>Independent Evidence and Data Authority</x:v>
      </x:c>
      <x:c r="I1833" s="44" t="n">
        <x:f>Lifecycle!G13</x:f>
        <x:v>0.21740562619408393</x:v>
      </x:c>
      <x:c r="J1833" s="44" t="n">
        <x:v>0.06895</x:v>
      </x:c>
      <x:c r="K1833" s="44" t="n">
        <x:f>I1833*J1833</x:f>
        <x:v>0.014990117926082087</x:v>
      </x:c>
      <x:c r="L1833" s="46" t="n">
        <x:v>0</x:v>
      </x:c>
      <x:c r="M1833" s="46" t="n">
        <x:v>0</x:v>
      </x:c>
      <x:c r="N1833" s="21" t="n">
        <x:f>IF(AND(L1832=1,M1832=1,P1832&gt;0),1,0)</x:f>
        <x:v>0</x:v>
      </x:c>
      <x:c r="O1833" s="21" t="n">
        <x:f>MIN('Root Data'!I553:I555)</x:f>
        <x:v>0</x:v>
      </x:c>
      <x:c r="P1833" s="44" t="n">
        <x:f>IF(AND(L1833=1,M1833=1,N1833=1,O1833&gt;=G1833),K1833,0)</x:f>
        <x:v>0</x:v>
      </x:c>
      <x:c r="Q1833" s="21" t="str">
        <x:v>OPEN</x:v>
      </x:c>
      <x:c r="R1833" s="23" t="str">
        <x:v>HOLD</x:v>
      </x:c>
    </x:row>
    <x:row r="1834">
      <x:c r="B1834" s="21" t="str">
        <x:v>AR-01828</x:v>
      </x:c>
      <x:c r="C1834" s="21" t="str">
        <x:v>F46-I3</x:v>
      </x:c>
      <x:c r="D1834" s="21" t="str">
        <x:v>F46</x:v>
      </x:c>
      <x:c r="E1834" s="21" t="n">
        <x:v>8</x:v>
      </x:c>
      <x:c r="F1834" s="21" t="str">
        <x:v>Pilot-process qualification</x:v>
      </x:c>
      <x:c r="G1834" s="21" t="n">
        <x:v>28</x:v>
      </x:c>
      <x:c r="H1834" s="21" t="str">
        <x:v>AIMC Industrial Mobilization Authority</x:v>
      </x:c>
      <x:c r="I1834" s="44" t="n">
        <x:f>Lifecycle!G14</x:f>
        <x:v>0.03952829567165163</x:v>
      </x:c>
      <x:c r="J1834" s="44" t="n">
        <x:v>0.06895</x:v>
      </x:c>
      <x:c r="K1834" s="44" t="n">
        <x:f>I1834*J1834</x:f>
        <x:v>0.0027254759865603796</x:v>
      </x:c>
      <x:c r="L1834" s="46" t="n">
        <x:v>0</x:v>
      </x:c>
      <x:c r="M1834" s="46" t="n">
        <x:v>0</x:v>
      </x:c>
      <x:c r="N1834" s="21" t="n">
        <x:f>IF(AND(L1833=1,M1833=1,P1833&gt;0),1,0)</x:f>
        <x:v>0</x:v>
      </x:c>
      <x:c r="O1834" s="21" t="n">
        <x:f>MIN('Root Data'!I553:I555)</x:f>
        <x:v>0</x:v>
      </x:c>
      <x:c r="P1834" s="44" t="n">
        <x:f>IF(AND(L1834=1,M1834=1,N1834=1,O1834&gt;=G1834),K1834,0)</x:f>
        <x:v>0</x:v>
      </x:c>
      <x:c r="Q1834" s="21" t="str">
        <x:v>OPEN</x:v>
      </x:c>
      <x:c r="R1834" s="23" t="str">
        <x:v>HOLD</x:v>
      </x:c>
    </x:row>
    <x:row r="1835">
      <x:c r="B1835" s="21" t="str">
        <x:v>AR-01829</x:v>
      </x:c>
      <x:c r="C1835" s="21" t="str">
        <x:v>F46-I3</x:v>
      </x:c>
      <x:c r="D1835" s="21" t="str">
        <x:v>F46</x:v>
      </x:c>
      <x:c r="E1835" s="21" t="n">
        <x:v>9</x:v>
      </x:c>
      <x:c r="F1835" s="21" t="str">
        <x:v>Production release package</x:v>
      </x:c>
      <x:c r="G1835" s="21" t="n">
        <x:v>28</x:v>
      </x:c>
      <x:c r="H1835" s="21" t="str">
        <x:v>Production Release Board</x:v>
      </x:c>
      <x:c r="I1835" s="44" t="n">
        <x:f>Lifecycle!G15</x:f>
        <x:v>0.01647012319652151</x:v>
      </x:c>
      <x:c r="J1835" s="44" t="n">
        <x:v>0.06895</x:v>
      </x:c>
      <x:c r="K1835" s="44" t="n">
        <x:f>I1835*J1835</x:f>
        <x:v>0.0011356149944001582</x:v>
      </x:c>
      <x:c r="L1835" s="46" t="n">
        <x:v>0</x:v>
      </x:c>
      <x:c r="M1835" s="46" t="n">
        <x:v>0</x:v>
      </x:c>
      <x:c r="N1835" s="21" t="n">
        <x:f>IF(AND(L1834=1,M1834=1,P1834&gt;0),1,0)</x:f>
        <x:v>0</x:v>
      </x:c>
      <x:c r="O1835" s="21" t="n">
        <x:f>MIN('Root Data'!I553:I555)</x:f>
        <x:v>0</x:v>
      </x:c>
      <x:c r="P1835" s="44" t="n">
        <x:f>IF(AND(L1835=1,M1835=1,N1835=1,O1835&gt;=G1835),K1835,0)</x:f>
        <x:v>0</x:v>
      </x:c>
      <x:c r="Q1835" s="21" t="str">
        <x:v>OPEN</x:v>
      </x:c>
      <x:c r="R1835" s="23" t="str">
        <x:v>HOLD</x:v>
      </x:c>
    </x:row>
    <x:row r="1836">
      <x:c r="B1836" s="21" t="str">
        <x:v>AR-01830</x:v>
      </x:c>
      <x:c r="C1836" s="21" t="str">
        <x:v>F46-I3</x:v>
      </x:c>
      <x:c r="D1836" s="21" t="str">
        <x:v>F46</x:v>
      </x:c>
      <x:c r="E1836" s="21" t="n">
        <x:v>10</x:v>
      </x:c>
      <x:c r="F1836" s="21" t="str">
        <x:v>Mobilization activation</x:v>
      </x:c>
      <x:c r="G1836" s="21" t="n">
        <x:v>28</x:v>
      </x:c>
      <x:c r="H1836" s="21" t="str">
        <x:v>Production Release Board</x:v>
      </x:c>
      <x:c r="I1836" s="44" t="n">
        <x:f>Lifecycle!G16</x:f>
        <x:v>0.028262731405230914</x:v>
      </x:c>
      <x:c r="J1836" s="44" t="n">
        <x:v>0.06895</x:v>
      </x:c>
      <x:c r="K1836" s="44" t="n">
        <x:f>I1836*J1836</x:f>
        <x:v>0.0019487153303906714</x:v>
      </x:c>
      <x:c r="L1836" s="46" t="n">
        <x:v>0</x:v>
      </x:c>
      <x:c r="M1836" s="46" t="n">
        <x:v>0</x:v>
      </x:c>
      <x:c r="N1836" s="21" t="n">
        <x:f>IF(AND(L1835=1,M1835=1,P1835&gt;0),1,0)</x:f>
        <x:v>0</x:v>
      </x:c>
      <x:c r="O1836" s="21" t="n">
        <x:f>MIN('Root Data'!I553:I555)</x:f>
        <x:v>0</x:v>
      </x:c>
      <x:c r="P1836" s="44" t="n">
        <x:f>IF(AND(L1836=1,M1836=1,N1836=1,O1836&gt;=G1836),K1836,0)</x:f>
        <x:v>0</x:v>
      </x:c>
      <x:c r="Q1836" s="21" t="str">
        <x:v>OPEN</x:v>
      </x:c>
      <x:c r="R1836" s="23" t="str">
        <x:v>HOLD</x:v>
      </x:c>
    </x:row>
    <x:row r="1837">
      <x:c r="B1837" s="21" t="str">
        <x:v>AR-01831</x:v>
      </x:c>
      <x:c r="C1837" s="21" t="str">
        <x:v>F46-I4</x:v>
      </x:c>
      <x:c r="D1837" s="21" t="str">
        <x:v>F46</x:v>
      </x:c>
      <x:c r="E1837" s="21" t="n">
        <x:v>1</x:v>
      </x:c>
      <x:c r="F1837" s="21" t="str">
        <x:v>Civil effect charter</x:v>
      </x:c>
      <x:c r="G1837" s="21" t="n">
        <x:v>0</x:v>
      </x:c>
      <x:c r="H1837" s="21" t="str">
        <x:v>Civil Guarantee Authority</x:v>
      </x:c>
      <x:c r="I1837" s="44" t="n">
        <x:f>Lifecycle!G7</x:f>
        <x:v>0.04941036958956453</x:v>
      </x:c>
      <x:c r="J1837" s="44" t="n">
        <x:v>0.06895</x:v>
      </x:c>
      <x:c r="K1837" s="44" t="n">
        <x:f>I1837*J1837</x:f>
        <x:v>0.003406844983200474</x:v>
      </x:c>
      <x:c r="L1837" s="46" t="n">
        <x:v>0</x:v>
      </x:c>
      <x:c r="M1837" s="46" t="n">
        <x:v>0</x:v>
      </x:c>
      <x:c r="N1837" s="21" t="n">
        <x:f>1</x:f>
        <x:v>1</x:v>
      </x:c>
      <x:c r="O1837" s="21" t="n">
        <x:f>MIN('Root Data'!I556:I558)</x:f>
        <x:v>0</x:v>
      </x:c>
      <x:c r="P1837" s="44" t="n">
        <x:f>IF(AND(L1837=1,M1837=1,N1837=1,O1837&gt;=G1837),K1837,0)</x:f>
        <x:v>0</x:v>
      </x:c>
      <x:c r="Q1837" s="21" t="str">
        <x:v>OPEN</x:v>
      </x:c>
      <x:c r="R1837" s="23" t="str">
        <x:v>HOLD</x:v>
      </x:c>
    </x:row>
    <x:row r="1838">
      <x:c r="B1838" s="21" t="str">
        <x:v>AR-01832</x:v>
      </x:c>
      <x:c r="C1838" s="21" t="str">
        <x:v>F46-I4</x:v>
      </x:c>
      <x:c r="D1838" s="21" t="str">
        <x:v>F46</x:v>
      </x:c>
      <x:c r="E1838" s="21" t="n">
        <x:v>2</x:v>
      </x:c>
      <x:c r="F1838" s="21" t="str">
        <x:v>Requirement and root-independence package</x:v>
      </x:c>
      <x:c r="G1838" s="21" t="n">
        <x:v>8</x:v>
      </x:c>
      <x:c r="H1838" s="21" t="str">
        <x:v>Resilience Staff</x:v>
      </x:c>
      <x:c r="I1838" s="44" t="n">
        <x:f>Lifecycle!G8</x:f>
        <x:v>0.10211476381843337</x:v>
      </x:c>
      <x:c r="J1838" s="44" t="n">
        <x:v>0.06895</x:v>
      </x:c>
      <x:c r="K1838" s="44" t="n">
        <x:f>I1838*J1838</x:f>
        <x:v>0.007040812965280981</x:v>
      </x:c>
      <x:c r="L1838" s="46" t="n">
        <x:v>0</x:v>
      </x:c>
      <x:c r="M1838" s="46" t="n">
        <x:v>0</x:v>
      </x:c>
      <x:c r="N1838" s="21" t="n">
        <x:f>IF(AND(L1837=1,M1837=1,P1837&gt;0),1,0)</x:f>
        <x:v>0</x:v>
      </x:c>
      <x:c r="O1838" s="21" t="n">
        <x:f>MIN('Root Data'!I556:I558)</x:f>
        <x:v>0</x:v>
      </x:c>
      <x:c r="P1838" s="44" t="n">
        <x:f>IF(AND(L1838=1,M1838=1,N1838=1,O1838&gt;=G1838),K1838,0)</x:f>
        <x:v>0</x:v>
      </x:c>
      <x:c r="Q1838" s="21" t="str">
        <x:v>OPEN</x:v>
      </x:c>
      <x:c r="R1838" s="23" t="str">
        <x:v>HOLD</x:v>
      </x:c>
    </x:row>
    <x:row r="1839">
      <x:c r="B1839" s="21" t="str">
        <x:v>AR-01833</x:v>
      </x:c>
      <x:c r="C1839" s="21" t="str">
        <x:v>F46-I4</x:v>
      </x:c>
      <x:c r="D1839" s="21" t="str">
        <x:v>F46</x:v>
      </x:c>
      <x:c r="E1839" s="21" t="n">
        <x:v>3</x:v>
      </x:c>
      <x:c r="F1839" s="21" t="str">
        <x:v>Architecture and burden closure</x:v>
      </x:c>
      <x:c r="G1839" s="21" t="n">
        <x:v>14</x:v>
      </x:c>
      <x:c r="H1839" s="21" t="str">
        <x:v>Independent Evidence and Data Authority</x:v>
      </x:c>
      <x:c r="I1839" s="44" t="n">
        <x:f>Lifecycle!G9</x:f>
        <x:v>0.08564464062191186</x:v>
      </x:c>
      <x:c r="J1839" s="44" t="n">
        <x:v>0.06895</x:v>
      </x:c>
      <x:c r="K1839" s="44" t="n">
        <x:f>I1839*J1839</x:f>
        <x:v>0.005905197970880823</x:v>
      </x:c>
      <x:c r="L1839" s="46" t="n">
        <x:v>0</x:v>
      </x:c>
      <x:c r="M1839" s="46" t="n">
        <x:v>0</x:v>
      </x:c>
      <x:c r="N1839" s="21" t="n">
        <x:f>IF(AND(L1838=1,M1838=1,P1838&gt;0),1,0)</x:f>
        <x:v>0</x:v>
      </x:c>
      <x:c r="O1839" s="21" t="n">
        <x:f>MIN('Root Data'!I556:I558)</x:f>
        <x:v>0</x:v>
      </x:c>
      <x:c r="P1839" s="44" t="n">
        <x:f>IF(AND(L1839=1,M1839=1,N1839=1,O1839&gt;=G1839),K1839,0)</x:f>
        <x:v>0</x:v>
      </x:c>
      <x:c r="Q1839" s="21" t="str">
        <x:v>OPEN</x:v>
      </x:c>
      <x:c r="R1839" s="23" t="str">
        <x:v>HOLD</x:v>
      </x:c>
    </x:row>
    <x:row r="1840">
      <x:c r="B1840" s="21" t="str">
        <x:v>AR-01834</x:v>
      </x:c>
      <x:c r="C1840" s="21" t="str">
        <x:v>F46-I4</x:v>
      </x:c>
      <x:c r="D1840" s="21" t="str">
        <x:v>F46</x:v>
      </x:c>
      <x:c r="E1840" s="21" t="n">
        <x:v>4</x:v>
      </x:c>
      <x:c r="F1840" s="21" t="str">
        <x:v>Engineering article acceptance</x:v>
      </x:c>
      <x:c r="G1840" s="21" t="n">
        <x:v>18</x:v>
      </x:c>
      <x:c r="H1840" s="21" t="str">
        <x:v>Independent Evidence and Data Authority</x:v>
      </x:c>
      <x:c r="I1840" s="44" t="n">
        <x:f>Lifecycle!G10</x:f>
        <x:v>0.05929244350747744</x:v>
      </x:c>
      <x:c r="J1840" s="44" t="n">
        <x:v>0.06895</x:v>
      </x:c>
      <x:c r="K1840" s="44" t="n">
        <x:f>I1840*J1840</x:f>
        <x:v>0.004088213979840569</x:v>
      </x:c>
      <x:c r="L1840" s="46" t="n">
        <x:v>0</x:v>
      </x:c>
      <x:c r="M1840" s="46" t="n">
        <x:v>0</x:v>
      </x:c>
      <x:c r="N1840" s="21" t="n">
        <x:f>IF(AND(L1839=1,M1839=1,P1839&gt;0),1,0)</x:f>
        <x:v>0</x:v>
      </x:c>
      <x:c r="O1840" s="21" t="n">
        <x:f>MIN('Root Data'!I556:I558)</x:f>
        <x:v>0</x:v>
      </x:c>
      <x:c r="P1840" s="44" t="n">
        <x:f>IF(AND(L1840=1,M1840=1,N1840=1,O1840&gt;=G1840),K1840,0)</x:f>
        <x:v>0</x:v>
      </x:c>
      <x:c r="Q1840" s="21" t="str">
        <x:v>OPEN</x:v>
      </x:c>
      <x:c r="R1840" s="23" t="str">
        <x:v>HOLD</x:v>
      </x:c>
    </x:row>
    <x:row r="1841">
      <x:c r="B1841" s="21" t="str">
        <x:v>AR-01835</x:v>
      </x:c>
      <x:c r="C1841" s="21" t="str">
        <x:v>F46-I4</x:v>
      </x:c>
      <x:c r="D1841" s="21" t="str">
        <x:v>F46</x:v>
      </x:c>
      <x:c r="E1841" s="21" t="n">
        <x:v>5</x:v>
      </x:c>
      <x:c r="F1841" s="21" t="str">
        <x:v>Qualification and destructive evidence</x:v>
      </x:c>
      <x:c r="G1841" s="21" t="n">
        <x:v>21</x:v>
      </x:c>
      <x:c r="H1841" s="21" t="str">
        <x:v>Independent Evidence and Data Authority</x:v>
      </x:c>
      <x:c r="I1841" s="44" t="n">
        <x:f>Lifecycle!G11</x:f>
        <x:v>0.1515251334079979</x:v>
      </x:c>
      <x:c r="J1841" s="44" t="n">
        <x:v>0.06895</x:v>
      </x:c>
      <x:c r="K1841" s="44" t="n">
        <x:f>I1841*J1841</x:f>
        <x:v>0.010447657948481454</x:v>
      </x:c>
      <x:c r="L1841" s="46" t="n">
        <x:v>0</x:v>
      </x:c>
      <x:c r="M1841" s="46" t="n">
        <x:v>0</x:v>
      </x:c>
      <x:c r="N1841" s="21" t="n">
        <x:f>IF(AND(L1840=1,M1840=1,P1840&gt;0),1,0)</x:f>
        <x:v>0</x:v>
      </x:c>
      <x:c r="O1841" s="21" t="n">
        <x:f>MIN('Root Data'!I556:I558)</x:f>
        <x:v>0</x:v>
      </x:c>
      <x:c r="P1841" s="44" t="n">
        <x:f>IF(AND(L1841=1,M1841=1,N1841=1,O1841&gt;=G1841),K1841,0)</x:f>
        <x:v>0</x:v>
      </x:c>
      <x:c r="Q1841" s="21" t="str">
        <x:v>OPEN</x:v>
      </x:c>
      <x:c r="R1841" s="23" t="str">
        <x:v>HOLD</x:v>
      </x:c>
    </x:row>
    <x:row r="1842">
      <x:c r="B1842" s="21" t="str">
        <x:v>AR-01836</x:v>
      </x:c>
      <x:c r="C1842" s="21" t="str">
        <x:v>F46-I4</x:v>
      </x:c>
      <x:c r="D1842" s="21" t="str">
        <x:v>F46</x:v>
      </x:c>
      <x:c r="E1842" s="21" t="n">
        <x:v>6</x:v>
      </x:c>
      <x:c r="F1842" s="21" t="str">
        <x:v>Representative mission result</x:v>
      </x:c>
      <x:c r="G1842" s="21" t="n">
        <x:v>23</x:v>
      </x:c>
      <x:c r="H1842" s="21" t="str">
        <x:v>Receiving Service Authority</x:v>
      </x:c>
      <x:c r="I1842" s="44" t="n">
        <x:f>Lifecycle!G12</x:f>
        <x:v>0.250345872587127</x:v>
      </x:c>
      <x:c r="J1842" s="44" t="n">
        <x:v>0.06895</x:v>
      </x:c>
      <x:c r="K1842" s="44" t="n">
        <x:f>I1842*J1842</x:f>
        <x:v>0.017261347914882406</x:v>
      </x:c>
      <x:c r="L1842" s="46" t="n">
        <x:v>0</x:v>
      </x:c>
      <x:c r="M1842" s="46" t="n">
        <x:v>0</x:v>
      </x:c>
      <x:c r="N1842" s="21" t="n">
        <x:f>IF(AND(L1841=1,M1841=1,P1841&gt;0),1,0)</x:f>
        <x:v>0</x:v>
      </x:c>
      <x:c r="O1842" s="21" t="n">
        <x:f>MIN('Root Data'!I556:I558)</x:f>
        <x:v>0</x:v>
      </x:c>
      <x:c r="P1842" s="44" t="n">
        <x:f>IF(AND(L1842=1,M1842=1,N1842=1,O1842&gt;=G1842),K1842,0)</x:f>
        <x:v>0</x:v>
      </x:c>
      <x:c r="Q1842" s="21" t="str">
        <x:v>OPEN</x:v>
      </x:c>
      <x:c r="R1842" s="23" t="str">
        <x:v>HOLD</x:v>
      </x:c>
    </x:row>
    <x:row r="1843">
      <x:c r="B1843" s="21" t="str">
        <x:v>AR-01837</x:v>
      </x:c>
      <x:c r="C1843" s="21" t="str">
        <x:v>F46-I4</x:v>
      </x:c>
      <x:c r="D1843" s="21" t="str">
        <x:v>F46</x:v>
      </x:c>
      <x:c r="E1843" s="21" t="n">
        <x:v>7</x:v>
      </x:c>
      <x:c r="F1843" s="21" t="str">
        <x:v>Independent reproduction</x:v>
      </x:c>
      <x:c r="G1843" s="21" t="n">
        <x:v>28</x:v>
      </x:c>
      <x:c r="H1843" s="21" t="str">
        <x:v>Independent Evidence and Data Authority</x:v>
      </x:c>
      <x:c r="I1843" s="44" t="n">
        <x:f>Lifecycle!G13</x:f>
        <x:v>0.21740562619408393</x:v>
      </x:c>
      <x:c r="J1843" s="44" t="n">
        <x:v>0.06895</x:v>
      </x:c>
      <x:c r="K1843" s="44" t="n">
        <x:f>I1843*J1843</x:f>
        <x:v>0.014990117926082087</x:v>
      </x:c>
      <x:c r="L1843" s="46" t="n">
        <x:v>0</x:v>
      </x:c>
      <x:c r="M1843" s="46" t="n">
        <x:v>0</x:v>
      </x:c>
      <x:c r="N1843" s="21" t="n">
        <x:f>IF(AND(L1842=1,M1842=1,P1842&gt;0),1,0)</x:f>
        <x:v>0</x:v>
      </x:c>
      <x:c r="O1843" s="21" t="n">
        <x:f>MIN('Root Data'!I556:I558)</x:f>
        <x:v>0</x:v>
      </x:c>
      <x:c r="P1843" s="44" t="n">
        <x:f>IF(AND(L1843=1,M1843=1,N1843=1,O1843&gt;=G1843),K1843,0)</x:f>
        <x:v>0</x:v>
      </x:c>
      <x:c r="Q1843" s="21" t="str">
        <x:v>OPEN</x:v>
      </x:c>
      <x:c r="R1843" s="23" t="str">
        <x:v>HOLD</x:v>
      </x:c>
    </x:row>
    <x:row r="1844">
      <x:c r="B1844" s="21" t="str">
        <x:v>AR-01838</x:v>
      </x:c>
      <x:c r="C1844" s="21" t="str">
        <x:v>F46-I4</x:v>
      </x:c>
      <x:c r="D1844" s="21" t="str">
        <x:v>F46</x:v>
      </x:c>
      <x:c r="E1844" s="21" t="n">
        <x:v>8</x:v>
      </x:c>
      <x:c r="F1844" s="21" t="str">
        <x:v>Pilot-process qualification</x:v>
      </x:c>
      <x:c r="G1844" s="21" t="n">
        <x:v>28</x:v>
      </x:c>
      <x:c r="H1844" s="21" t="str">
        <x:v>AIMC Industrial Mobilization Authority</x:v>
      </x:c>
      <x:c r="I1844" s="44" t="n">
        <x:f>Lifecycle!G14</x:f>
        <x:v>0.03952829567165163</x:v>
      </x:c>
      <x:c r="J1844" s="44" t="n">
        <x:v>0.06895</x:v>
      </x:c>
      <x:c r="K1844" s="44" t="n">
        <x:f>I1844*J1844</x:f>
        <x:v>0.0027254759865603796</x:v>
      </x:c>
      <x:c r="L1844" s="46" t="n">
        <x:v>0</x:v>
      </x:c>
      <x:c r="M1844" s="46" t="n">
        <x:v>0</x:v>
      </x:c>
      <x:c r="N1844" s="21" t="n">
        <x:f>IF(AND(L1843=1,M1843=1,P1843&gt;0),1,0)</x:f>
        <x:v>0</x:v>
      </x:c>
      <x:c r="O1844" s="21" t="n">
        <x:f>MIN('Root Data'!I556:I558)</x:f>
        <x:v>0</x:v>
      </x:c>
      <x:c r="P1844" s="44" t="n">
        <x:f>IF(AND(L1844=1,M1844=1,N1844=1,O1844&gt;=G1844),K1844,0)</x:f>
        <x:v>0</x:v>
      </x:c>
      <x:c r="Q1844" s="21" t="str">
        <x:v>OPEN</x:v>
      </x:c>
      <x:c r="R1844" s="23" t="str">
        <x:v>HOLD</x:v>
      </x:c>
    </x:row>
    <x:row r="1845">
      <x:c r="B1845" s="21" t="str">
        <x:v>AR-01839</x:v>
      </x:c>
      <x:c r="C1845" s="21" t="str">
        <x:v>F46-I4</x:v>
      </x:c>
      <x:c r="D1845" s="21" t="str">
        <x:v>F46</x:v>
      </x:c>
      <x:c r="E1845" s="21" t="n">
        <x:v>9</x:v>
      </x:c>
      <x:c r="F1845" s="21" t="str">
        <x:v>Production release package</x:v>
      </x:c>
      <x:c r="G1845" s="21" t="n">
        <x:v>28</x:v>
      </x:c>
      <x:c r="H1845" s="21" t="str">
        <x:v>Production Release Board</x:v>
      </x:c>
      <x:c r="I1845" s="44" t="n">
        <x:f>Lifecycle!G15</x:f>
        <x:v>0.01647012319652151</x:v>
      </x:c>
      <x:c r="J1845" s="44" t="n">
        <x:v>0.06895</x:v>
      </x:c>
      <x:c r="K1845" s="44" t="n">
        <x:f>I1845*J1845</x:f>
        <x:v>0.0011356149944001582</x:v>
      </x:c>
      <x:c r="L1845" s="46" t="n">
        <x:v>0</x:v>
      </x:c>
      <x:c r="M1845" s="46" t="n">
        <x:v>0</x:v>
      </x:c>
      <x:c r="N1845" s="21" t="n">
        <x:f>IF(AND(L1844=1,M1844=1,P1844&gt;0),1,0)</x:f>
        <x:v>0</x:v>
      </x:c>
      <x:c r="O1845" s="21" t="n">
        <x:f>MIN('Root Data'!I556:I558)</x:f>
        <x:v>0</x:v>
      </x:c>
      <x:c r="P1845" s="44" t="n">
        <x:f>IF(AND(L1845=1,M1845=1,N1845=1,O1845&gt;=G1845),K1845,0)</x:f>
        <x:v>0</x:v>
      </x:c>
      <x:c r="Q1845" s="21" t="str">
        <x:v>OPEN</x:v>
      </x:c>
      <x:c r="R1845" s="23" t="str">
        <x:v>HOLD</x:v>
      </x:c>
    </x:row>
    <x:row r="1846">
      <x:c r="B1846" s="21" t="str">
        <x:v>AR-01840</x:v>
      </x:c>
      <x:c r="C1846" s="21" t="str">
        <x:v>F46-I4</x:v>
      </x:c>
      <x:c r="D1846" s="21" t="str">
        <x:v>F46</x:v>
      </x:c>
      <x:c r="E1846" s="21" t="n">
        <x:v>10</x:v>
      </x:c>
      <x:c r="F1846" s="21" t="str">
        <x:v>Mobilization activation</x:v>
      </x:c>
      <x:c r="G1846" s="21" t="n">
        <x:v>28</x:v>
      </x:c>
      <x:c r="H1846" s="21" t="str">
        <x:v>Production Release Board</x:v>
      </x:c>
      <x:c r="I1846" s="44" t="n">
        <x:f>Lifecycle!G16</x:f>
        <x:v>0.028262731405230914</x:v>
      </x:c>
      <x:c r="J1846" s="44" t="n">
        <x:v>0.06895</x:v>
      </x:c>
      <x:c r="K1846" s="44" t="n">
        <x:f>I1846*J1846</x:f>
        <x:v>0.0019487153303906714</x:v>
      </x:c>
      <x:c r="L1846" s="46" t="n">
        <x:v>0</x:v>
      </x:c>
      <x:c r="M1846" s="46" t="n">
        <x:v>0</x:v>
      </x:c>
      <x:c r="N1846" s="21" t="n">
        <x:f>IF(AND(L1845=1,M1845=1,P1845&gt;0),1,0)</x:f>
        <x:v>0</x:v>
      </x:c>
      <x:c r="O1846" s="21" t="n">
        <x:f>MIN('Root Data'!I556:I558)</x:f>
        <x:v>0</x:v>
      </x:c>
      <x:c r="P1846" s="44" t="n">
        <x:f>IF(AND(L1846=1,M1846=1,N1846=1,O1846&gt;=G1846),K1846,0)</x:f>
        <x:v>0</x:v>
      </x:c>
      <x:c r="Q1846" s="21" t="str">
        <x:v>OPEN</x:v>
      </x:c>
      <x:c r="R1846" s="23" t="str">
        <x:v>HOLD</x:v>
      </x:c>
    </x:row>
    <x:row r="1847">
      <x:c r="B1847" s="21" t="str">
        <x:v>AR-01841</x:v>
      </x:c>
      <x:c r="C1847" s="21" t="str">
        <x:v>F47-I1</x:v>
      </x:c>
      <x:c r="D1847" s="21" t="str">
        <x:v>F47</x:v>
      </x:c>
      <x:c r="E1847" s="21" t="n">
        <x:v>1</x:v>
      </x:c>
      <x:c r="F1847" s="21" t="str">
        <x:v>Civil effect charter</x:v>
      </x:c>
      <x:c r="G1847" s="21" t="n">
        <x:v>0</x:v>
      </x:c>
      <x:c r="H1847" s="21" t="str">
        <x:v>Civil Guarantee Authority</x:v>
      </x:c>
      <x:c r="I1847" s="44" t="n">
        <x:f>Lifecycle!G7</x:f>
        <x:v>0.04941036958956453</x:v>
      </x:c>
      <x:c r="J1847" s="44" t="n">
        <x:v>0.06895</x:v>
      </x:c>
      <x:c r="K1847" s="44" t="n">
        <x:f>I1847*J1847</x:f>
        <x:v>0.003406844983200474</x:v>
      </x:c>
      <x:c r="L1847" s="46" t="n">
        <x:v>0</x:v>
      </x:c>
      <x:c r="M1847" s="46" t="n">
        <x:v>0</x:v>
      </x:c>
      <x:c r="N1847" s="21" t="n">
        <x:f>1</x:f>
        <x:v>1</x:v>
      </x:c>
      <x:c r="O1847" s="21" t="n">
        <x:f>MIN('Root Data'!I559:I561)</x:f>
        <x:v>0</x:v>
      </x:c>
      <x:c r="P1847" s="44" t="n">
        <x:f>IF(AND(L1847=1,M1847=1,N1847=1,O1847&gt;=G1847),K1847,0)</x:f>
        <x:v>0</x:v>
      </x:c>
      <x:c r="Q1847" s="21" t="str">
        <x:v>OPEN</x:v>
      </x:c>
      <x:c r="R1847" s="23" t="str">
        <x:v>HOLD</x:v>
      </x:c>
    </x:row>
    <x:row r="1848">
      <x:c r="B1848" s="21" t="str">
        <x:v>AR-01842</x:v>
      </x:c>
      <x:c r="C1848" s="21" t="str">
        <x:v>F47-I1</x:v>
      </x:c>
      <x:c r="D1848" s="21" t="str">
        <x:v>F47</x:v>
      </x:c>
      <x:c r="E1848" s="21" t="n">
        <x:v>2</x:v>
      </x:c>
      <x:c r="F1848" s="21" t="str">
        <x:v>Requirement and root-independence package</x:v>
      </x:c>
      <x:c r="G1848" s="21" t="n">
        <x:v>8</x:v>
      </x:c>
      <x:c r="H1848" s="21" t="str">
        <x:v>Resilience Staff</x:v>
      </x:c>
      <x:c r="I1848" s="44" t="n">
        <x:f>Lifecycle!G8</x:f>
        <x:v>0.10211476381843337</x:v>
      </x:c>
      <x:c r="J1848" s="44" t="n">
        <x:v>0.06895</x:v>
      </x:c>
      <x:c r="K1848" s="44" t="n">
        <x:f>I1848*J1848</x:f>
        <x:v>0.007040812965280981</x:v>
      </x:c>
      <x:c r="L1848" s="46" t="n">
        <x:v>0</x:v>
      </x:c>
      <x:c r="M1848" s="46" t="n">
        <x:v>0</x:v>
      </x:c>
      <x:c r="N1848" s="21" t="n">
        <x:f>IF(AND(L1847=1,M1847=1,P1847&gt;0),1,0)</x:f>
        <x:v>0</x:v>
      </x:c>
      <x:c r="O1848" s="21" t="n">
        <x:f>MIN('Root Data'!I559:I561)</x:f>
        <x:v>0</x:v>
      </x:c>
      <x:c r="P1848" s="44" t="n">
        <x:f>IF(AND(L1848=1,M1848=1,N1848=1,O1848&gt;=G1848),K1848,0)</x:f>
        <x:v>0</x:v>
      </x:c>
      <x:c r="Q1848" s="21" t="str">
        <x:v>OPEN</x:v>
      </x:c>
      <x:c r="R1848" s="23" t="str">
        <x:v>HOLD</x:v>
      </x:c>
    </x:row>
    <x:row r="1849">
      <x:c r="B1849" s="21" t="str">
        <x:v>AR-01843</x:v>
      </x:c>
      <x:c r="C1849" s="21" t="str">
        <x:v>F47-I1</x:v>
      </x:c>
      <x:c r="D1849" s="21" t="str">
        <x:v>F47</x:v>
      </x:c>
      <x:c r="E1849" s="21" t="n">
        <x:v>3</x:v>
      </x:c>
      <x:c r="F1849" s="21" t="str">
        <x:v>Architecture and burden closure</x:v>
      </x:c>
      <x:c r="G1849" s="21" t="n">
        <x:v>14</x:v>
      </x:c>
      <x:c r="H1849" s="21" t="str">
        <x:v>Independent Evidence and Data Authority</x:v>
      </x:c>
      <x:c r="I1849" s="44" t="n">
        <x:f>Lifecycle!G9</x:f>
        <x:v>0.08564464062191186</x:v>
      </x:c>
      <x:c r="J1849" s="44" t="n">
        <x:v>0.06895</x:v>
      </x:c>
      <x:c r="K1849" s="44" t="n">
        <x:f>I1849*J1849</x:f>
        <x:v>0.005905197970880823</x:v>
      </x:c>
      <x:c r="L1849" s="46" t="n">
        <x:v>0</x:v>
      </x:c>
      <x:c r="M1849" s="46" t="n">
        <x:v>0</x:v>
      </x:c>
      <x:c r="N1849" s="21" t="n">
        <x:f>IF(AND(L1848=1,M1848=1,P1848&gt;0),1,0)</x:f>
        <x:v>0</x:v>
      </x:c>
      <x:c r="O1849" s="21" t="n">
        <x:f>MIN('Root Data'!I559:I561)</x:f>
        <x:v>0</x:v>
      </x:c>
      <x:c r="P1849" s="44" t="n">
        <x:f>IF(AND(L1849=1,M1849=1,N1849=1,O1849&gt;=G1849),K1849,0)</x:f>
        <x:v>0</x:v>
      </x:c>
      <x:c r="Q1849" s="21" t="str">
        <x:v>OPEN</x:v>
      </x:c>
      <x:c r="R1849" s="23" t="str">
        <x:v>HOLD</x:v>
      </x:c>
    </x:row>
    <x:row r="1850">
      <x:c r="B1850" s="21" t="str">
        <x:v>AR-01844</x:v>
      </x:c>
      <x:c r="C1850" s="21" t="str">
        <x:v>F47-I1</x:v>
      </x:c>
      <x:c r="D1850" s="21" t="str">
        <x:v>F47</x:v>
      </x:c>
      <x:c r="E1850" s="21" t="n">
        <x:v>4</x:v>
      </x:c>
      <x:c r="F1850" s="21" t="str">
        <x:v>Engineering article acceptance</x:v>
      </x:c>
      <x:c r="G1850" s="21" t="n">
        <x:v>18</x:v>
      </x:c>
      <x:c r="H1850" s="21" t="str">
        <x:v>Independent Evidence and Data Authority</x:v>
      </x:c>
      <x:c r="I1850" s="44" t="n">
        <x:f>Lifecycle!G10</x:f>
        <x:v>0.05929244350747744</x:v>
      </x:c>
      <x:c r="J1850" s="44" t="n">
        <x:v>0.06895</x:v>
      </x:c>
      <x:c r="K1850" s="44" t="n">
        <x:f>I1850*J1850</x:f>
        <x:v>0.004088213979840569</x:v>
      </x:c>
      <x:c r="L1850" s="46" t="n">
        <x:v>0</x:v>
      </x:c>
      <x:c r="M1850" s="46" t="n">
        <x:v>0</x:v>
      </x:c>
      <x:c r="N1850" s="21" t="n">
        <x:f>IF(AND(L1849=1,M1849=1,P1849&gt;0),1,0)</x:f>
        <x:v>0</x:v>
      </x:c>
      <x:c r="O1850" s="21" t="n">
        <x:f>MIN('Root Data'!I559:I561)</x:f>
        <x:v>0</x:v>
      </x:c>
      <x:c r="P1850" s="44" t="n">
        <x:f>IF(AND(L1850=1,M1850=1,N1850=1,O1850&gt;=G1850),K1850,0)</x:f>
        <x:v>0</x:v>
      </x:c>
      <x:c r="Q1850" s="21" t="str">
        <x:v>OPEN</x:v>
      </x:c>
      <x:c r="R1850" s="23" t="str">
        <x:v>HOLD</x:v>
      </x:c>
    </x:row>
    <x:row r="1851">
      <x:c r="B1851" s="21" t="str">
        <x:v>AR-01845</x:v>
      </x:c>
      <x:c r="C1851" s="21" t="str">
        <x:v>F47-I1</x:v>
      </x:c>
      <x:c r="D1851" s="21" t="str">
        <x:v>F47</x:v>
      </x:c>
      <x:c r="E1851" s="21" t="n">
        <x:v>5</x:v>
      </x:c>
      <x:c r="F1851" s="21" t="str">
        <x:v>Qualification and destructive evidence</x:v>
      </x:c>
      <x:c r="G1851" s="21" t="n">
        <x:v>21</x:v>
      </x:c>
      <x:c r="H1851" s="21" t="str">
        <x:v>Independent Evidence and Data Authority</x:v>
      </x:c>
      <x:c r="I1851" s="44" t="n">
        <x:f>Lifecycle!G11</x:f>
        <x:v>0.1515251334079979</x:v>
      </x:c>
      <x:c r="J1851" s="44" t="n">
        <x:v>0.06895</x:v>
      </x:c>
      <x:c r="K1851" s="44" t="n">
        <x:f>I1851*J1851</x:f>
        <x:v>0.010447657948481454</x:v>
      </x:c>
      <x:c r="L1851" s="46" t="n">
        <x:v>0</x:v>
      </x:c>
      <x:c r="M1851" s="46" t="n">
        <x:v>0</x:v>
      </x:c>
      <x:c r="N1851" s="21" t="n">
        <x:f>IF(AND(L1850=1,M1850=1,P1850&gt;0),1,0)</x:f>
        <x:v>0</x:v>
      </x:c>
      <x:c r="O1851" s="21" t="n">
        <x:f>MIN('Root Data'!I559:I561)</x:f>
        <x:v>0</x:v>
      </x:c>
      <x:c r="P1851" s="44" t="n">
        <x:f>IF(AND(L1851=1,M1851=1,N1851=1,O1851&gt;=G1851),K1851,0)</x:f>
        <x:v>0</x:v>
      </x:c>
      <x:c r="Q1851" s="21" t="str">
        <x:v>OPEN</x:v>
      </x:c>
      <x:c r="R1851" s="23" t="str">
        <x:v>HOLD</x:v>
      </x:c>
    </x:row>
    <x:row r="1852">
      <x:c r="B1852" s="21" t="str">
        <x:v>AR-01846</x:v>
      </x:c>
      <x:c r="C1852" s="21" t="str">
        <x:v>F47-I1</x:v>
      </x:c>
      <x:c r="D1852" s="21" t="str">
        <x:v>F47</x:v>
      </x:c>
      <x:c r="E1852" s="21" t="n">
        <x:v>6</x:v>
      </x:c>
      <x:c r="F1852" s="21" t="str">
        <x:v>Representative mission result</x:v>
      </x:c>
      <x:c r="G1852" s="21" t="n">
        <x:v>23</x:v>
      </x:c>
      <x:c r="H1852" s="21" t="str">
        <x:v>Receiving Service Authority</x:v>
      </x:c>
      <x:c r="I1852" s="44" t="n">
        <x:f>Lifecycle!G12</x:f>
        <x:v>0.250345872587127</x:v>
      </x:c>
      <x:c r="J1852" s="44" t="n">
        <x:v>0.06895</x:v>
      </x:c>
      <x:c r="K1852" s="44" t="n">
        <x:f>I1852*J1852</x:f>
        <x:v>0.017261347914882406</x:v>
      </x:c>
      <x:c r="L1852" s="46" t="n">
        <x:v>0</x:v>
      </x:c>
      <x:c r="M1852" s="46" t="n">
        <x:v>0</x:v>
      </x:c>
      <x:c r="N1852" s="21" t="n">
        <x:f>IF(AND(L1851=1,M1851=1,P1851&gt;0),1,0)</x:f>
        <x:v>0</x:v>
      </x:c>
      <x:c r="O1852" s="21" t="n">
        <x:f>MIN('Root Data'!I559:I561)</x:f>
        <x:v>0</x:v>
      </x:c>
      <x:c r="P1852" s="44" t="n">
        <x:f>IF(AND(L1852=1,M1852=1,N1852=1,O1852&gt;=G1852),K1852,0)</x:f>
        <x:v>0</x:v>
      </x:c>
      <x:c r="Q1852" s="21" t="str">
        <x:v>OPEN</x:v>
      </x:c>
      <x:c r="R1852" s="23" t="str">
        <x:v>HOLD</x:v>
      </x:c>
    </x:row>
    <x:row r="1853">
      <x:c r="B1853" s="21" t="str">
        <x:v>AR-01847</x:v>
      </x:c>
      <x:c r="C1853" s="21" t="str">
        <x:v>F47-I1</x:v>
      </x:c>
      <x:c r="D1853" s="21" t="str">
        <x:v>F47</x:v>
      </x:c>
      <x:c r="E1853" s="21" t="n">
        <x:v>7</x:v>
      </x:c>
      <x:c r="F1853" s="21" t="str">
        <x:v>Independent reproduction</x:v>
      </x:c>
      <x:c r="G1853" s="21" t="n">
        <x:v>28</x:v>
      </x:c>
      <x:c r="H1853" s="21" t="str">
        <x:v>Independent Evidence and Data Authority</x:v>
      </x:c>
      <x:c r="I1853" s="44" t="n">
        <x:f>Lifecycle!G13</x:f>
        <x:v>0.21740562619408393</x:v>
      </x:c>
      <x:c r="J1853" s="44" t="n">
        <x:v>0.06895</x:v>
      </x:c>
      <x:c r="K1853" s="44" t="n">
        <x:f>I1853*J1853</x:f>
        <x:v>0.014990117926082087</x:v>
      </x:c>
      <x:c r="L1853" s="46" t="n">
        <x:v>0</x:v>
      </x:c>
      <x:c r="M1853" s="46" t="n">
        <x:v>0</x:v>
      </x:c>
      <x:c r="N1853" s="21" t="n">
        <x:f>IF(AND(L1852=1,M1852=1,P1852&gt;0),1,0)</x:f>
        <x:v>0</x:v>
      </x:c>
      <x:c r="O1853" s="21" t="n">
        <x:f>MIN('Root Data'!I559:I561)</x:f>
        <x:v>0</x:v>
      </x:c>
      <x:c r="P1853" s="44" t="n">
        <x:f>IF(AND(L1853=1,M1853=1,N1853=1,O1853&gt;=G1853),K1853,0)</x:f>
        <x:v>0</x:v>
      </x:c>
      <x:c r="Q1853" s="21" t="str">
        <x:v>OPEN</x:v>
      </x:c>
      <x:c r="R1853" s="23" t="str">
        <x:v>HOLD</x:v>
      </x:c>
    </x:row>
    <x:row r="1854">
      <x:c r="B1854" s="21" t="str">
        <x:v>AR-01848</x:v>
      </x:c>
      <x:c r="C1854" s="21" t="str">
        <x:v>F47-I1</x:v>
      </x:c>
      <x:c r="D1854" s="21" t="str">
        <x:v>F47</x:v>
      </x:c>
      <x:c r="E1854" s="21" t="n">
        <x:v>8</x:v>
      </x:c>
      <x:c r="F1854" s="21" t="str">
        <x:v>Pilot-process qualification</x:v>
      </x:c>
      <x:c r="G1854" s="21" t="n">
        <x:v>28</x:v>
      </x:c>
      <x:c r="H1854" s="21" t="str">
        <x:v>AIMC Industrial Mobilization Authority</x:v>
      </x:c>
      <x:c r="I1854" s="44" t="n">
        <x:f>Lifecycle!G14</x:f>
        <x:v>0.03952829567165163</x:v>
      </x:c>
      <x:c r="J1854" s="44" t="n">
        <x:v>0.06895</x:v>
      </x:c>
      <x:c r="K1854" s="44" t="n">
        <x:f>I1854*J1854</x:f>
        <x:v>0.0027254759865603796</x:v>
      </x:c>
      <x:c r="L1854" s="46" t="n">
        <x:v>0</x:v>
      </x:c>
      <x:c r="M1854" s="46" t="n">
        <x:v>0</x:v>
      </x:c>
      <x:c r="N1854" s="21" t="n">
        <x:f>IF(AND(L1853=1,M1853=1,P1853&gt;0),1,0)</x:f>
        <x:v>0</x:v>
      </x:c>
      <x:c r="O1854" s="21" t="n">
        <x:f>MIN('Root Data'!I559:I561)</x:f>
        <x:v>0</x:v>
      </x:c>
      <x:c r="P1854" s="44" t="n">
        <x:f>IF(AND(L1854=1,M1854=1,N1854=1,O1854&gt;=G1854),K1854,0)</x:f>
        <x:v>0</x:v>
      </x:c>
      <x:c r="Q1854" s="21" t="str">
        <x:v>OPEN</x:v>
      </x:c>
      <x:c r="R1854" s="23" t="str">
        <x:v>HOLD</x:v>
      </x:c>
    </x:row>
    <x:row r="1855">
      <x:c r="B1855" s="21" t="str">
        <x:v>AR-01849</x:v>
      </x:c>
      <x:c r="C1855" s="21" t="str">
        <x:v>F47-I1</x:v>
      </x:c>
      <x:c r="D1855" s="21" t="str">
        <x:v>F47</x:v>
      </x:c>
      <x:c r="E1855" s="21" t="n">
        <x:v>9</x:v>
      </x:c>
      <x:c r="F1855" s="21" t="str">
        <x:v>Production release package</x:v>
      </x:c>
      <x:c r="G1855" s="21" t="n">
        <x:v>28</x:v>
      </x:c>
      <x:c r="H1855" s="21" t="str">
        <x:v>Production Release Board</x:v>
      </x:c>
      <x:c r="I1855" s="44" t="n">
        <x:f>Lifecycle!G15</x:f>
        <x:v>0.01647012319652151</x:v>
      </x:c>
      <x:c r="J1855" s="44" t="n">
        <x:v>0.06895</x:v>
      </x:c>
      <x:c r="K1855" s="44" t="n">
        <x:f>I1855*J1855</x:f>
        <x:v>0.0011356149944001582</x:v>
      </x:c>
      <x:c r="L1855" s="46" t="n">
        <x:v>0</x:v>
      </x:c>
      <x:c r="M1855" s="46" t="n">
        <x:v>0</x:v>
      </x:c>
      <x:c r="N1855" s="21" t="n">
        <x:f>IF(AND(L1854=1,M1854=1,P1854&gt;0),1,0)</x:f>
        <x:v>0</x:v>
      </x:c>
      <x:c r="O1855" s="21" t="n">
        <x:f>MIN('Root Data'!I559:I561)</x:f>
        <x:v>0</x:v>
      </x:c>
      <x:c r="P1855" s="44" t="n">
        <x:f>IF(AND(L1855=1,M1855=1,N1855=1,O1855&gt;=G1855),K1855,0)</x:f>
        <x:v>0</x:v>
      </x:c>
      <x:c r="Q1855" s="21" t="str">
        <x:v>OPEN</x:v>
      </x:c>
      <x:c r="R1855" s="23" t="str">
        <x:v>HOLD</x:v>
      </x:c>
    </x:row>
    <x:row r="1856">
      <x:c r="B1856" s="21" t="str">
        <x:v>AR-01850</x:v>
      </x:c>
      <x:c r="C1856" s="21" t="str">
        <x:v>F47-I1</x:v>
      </x:c>
      <x:c r="D1856" s="21" t="str">
        <x:v>F47</x:v>
      </x:c>
      <x:c r="E1856" s="21" t="n">
        <x:v>10</x:v>
      </x:c>
      <x:c r="F1856" s="21" t="str">
        <x:v>Mobilization activation</x:v>
      </x:c>
      <x:c r="G1856" s="21" t="n">
        <x:v>28</x:v>
      </x:c>
      <x:c r="H1856" s="21" t="str">
        <x:v>Production Release Board</x:v>
      </x:c>
      <x:c r="I1856" s="44" t="n">
        <x:f>Lifecycle!G16</x:f>
        <x:v>0.028262731405230914</x:v>
      </x:c>
      <x:c r="J1856" s="44" t="n">
        <x:v>0.06895</x:v>
      </x:c>
      <x:c r="K1856" s="44" t="n">
        <x:f>I1856*J1856</x:f>
        <x:v>0.0019487153303906714</x:v>
      </x:c>
      <x:c r="L1856" s="46" t="n">
        <x:v>0</x:v>
      </x:c>
      <x:c r="M1856" s="46" t="n">
        <x:v>0</x:v>
      </x:c>
      <x:c r="N1856" s="21" t="n">
        <x:f>IF(AND(L1855=1,M1855=1,P1855&gt;0),1,0)</x:f>
        <x:v>0</x:v>
      </x:c>
      <x:c r="O1856" s="21" t="n">
        <x:f>MIN('Root Data'!I559:I561)</x:f>
        <x:v>0</x:v>
      </x:c>
      <x:c r="P1856" s="44" t="n">
        <x:f>IF(AND(L1856=1,M1856=1,N1856=1,O1856&gt;=G1856),K1856,0)</x:f>
        <x:v>0</x:v>
      </x:c>
      <x:c r="Q1856" s="21" t="str">
        <x:v>OPEN</x:v>
      </x:c>
      <x:c r="R1856" s="23" t="str">
        <x:v>HOLD</x:v>
      </x:c>
    </x:row>
    <x:row r="1857">
      <x:c r="B1857" s="21" t="str">
        <x:v>AR-01851</x:v>
      </x:c>
      <x:c r="C1857" s="21" t="str">
        <x:v>F47-I2</x:v>
      </x:c>
      <x:c r="D1857" s="21" t="str">
        <x:v>F47</x:v>
      </x:c>
      <x:c r="E1857" s="21" t="n">
        <x:v>1</x:v>
      </x:c>
      <x:c r="F1857" s="21" t="str">
        <x:v>Civil effect charter</x:v>
      </x:c>
      <x:c r="G1857" s="21" t="n">
        <x:v>0</x:v>
      </x:c>
      <x:c r="H1857" s="21" t="str">
        <x:v>Civil Guarantee Authority</x:v>
      </x:c>
      <x:c r="I1857" s="44" t="n">
        <x:f>Lifecycle!G7</x:f>
        <x:v>0.04941036958956453</x:v>
      </x:c>
      <x:c r="J1857" s="44" t="n">
        <x:v>0.06895</x:v>
      </x:c>
      <x:c r="K1857" s="44" t="n">
        <x:f>I1857*J1857</x:f>
        <x:v>0.003406844983200474</x:v>
      </x:c>
      <x:c r="L1857" s="46" t="n">
        <x:v>0</x:v>
      </x:c>
      <x:c r="M1857" s="46" t="n">
        <x:v>0</x:v>
      </x:c>
      <x:c r="N1857" s="21" t="n">
        <x:f>1</x:f>
        <x:v>1</x:v>
      </x:c>
      <x:c r="O1857" s="21" t="n">
        <x:f>MIN('Root Data'!I562:I564)</x:f>
        <x:v>0</x:v>
      </x:c>
      <x:c r="P1857" s="44" t="n">
        <x:f>IF(AND(L1857=1,M1857=1,N1857=1,O1857&gt;=G1857),K1857,0)</x:f>
        <x:v>0</x:v>
      </x:c>
      <x:c r="Q1857" s="21" t="str">
        <x:v>OPEN</x:v>
      </x:c>
      <x:c r="R1857" s="23" t="str">
        <x:v>HOLD</x:v>
      </x:c>
    </x:row>
    <x:row r="1858">
      <x:c r="B1858" s="21" t="str">
        <x:v>AR-01852</x:v>
      </x:c>
      <x:c r="C1858" s="21" t="str">
        <x:v>F47-I2</x:v>
      </x:c>
      <x:c r="D1858" s="21" t="str">
        <x:v>F47</x:v>
      </x:c>
      <x:c r="E1858" s="21" t="n">
        <x:v>2</x:v>
      </x:c>
      <x:c r="F1858" s="21" t="str">
        <x:v>Requirement and root-independence package</x:v>
      </x:c>
      <x:c r="G1858" s="21" t="n">
        <x:v>8</x:v>
      </x:c>
      <x:c r="H1858" s="21" t="str">
        <x:v>Resilience Staff</x:v>
      </x:c>
      <x:c r="I1858" s="44" t="n">
        <x:f>Lifecycle!G8</x:f>
        <x:v>0.10211476381843337</x:v>
      </x:c>
      <x:c r="J1858" s="44" t="n">
        <x:v>0.06895</x:v>
      </x:c>
      <x:c r="K1858" s="44" t="n">
        <x:f>I1858*J1858</x:f>
        <x:v>0.007040812965280981</x:v>
      </x:c>
      <x:c r="L1858" s="46" t="n">
        <x:v>0</x:v>
      </x:c>
      <x:c r="M1858" s="46" t="n">
        <x:v>0</x:v>
      </x:c>
      <x:c r="N1858" s="21" t="n">
        <x:f>IF(AND(L1857=1,M1857=1,P1857&gt;0),1,0)</x:f>
        <x:v>0</x:v>
      </x:c>
      <x:c r="O1858" s="21" t="n">
        <x:f>MIN('Root Data'!I562:I564)</x:f>
        <x:v>0</x:v>
      </x:c>
      <x:c r="P1858" s="44" t="n">
        <x:f>IF(AND(L1858=1,M1858=1,N1858=1,O1858&gt;=G1858),K1858,0)</x:f>
        <x:v>0</x:v>
      </x:c>
      <x:c r="Q1858" s="21" t="str">
        <x:v>OPEN</x:v>
      </x:c>
      <x:c r="R1858" s="23" t="str">
        <x:v>HOLD</x:v>
      </x:c>
    </x:row>
    <x:row r="1859">
      <x:c r="B1859" s="21" t="str">
        <x:v>AR-01853</x:v>
      </x:c>
      <x:c r="C1859" s="21" t="str">
        <x:v>F47-I2</x:v>
      </x:c>
      <x:c r="D1859" s="21" t="str">
        <x:v>F47</x:v>
      </x:c>
      <x:c r="E1859" s="21" t="n">
        <x:v>3</x:v>
      </x:c>
      <x:c r="F1859" s="21" t="str">
        <x:v>Architecture and burden closure</x:v>
      </x:c>
      <x:c r="G1859" s="21" t="n">
        <x:v>14</x:v>
      </x:c>
      <x:c r="H1859" s="21" t="str">
        <x:v>Independent Evidence and Data Authority</x:v>
      </x:c>
      <x:c r="I1859" s="44" t="n">
        <x:f>Lifecycle!G9</x:f>
        <x:v>0.08564464062191186</x:v>
      </x:c>
      <x:c r="J1859" s="44" t="n">
        <x:v>0.06895</x:v>
      </x:c>
      <x:c r="K1859" s="44" t="n">
        <x:f>I1859*J1859</x:f>
        <x:v>0.005905197970880823</x:v>
      </x:c>
      <x:c r="L1859" s="46" t="n">
        <x:v>0</x:v>
      </x:c>
      <x:c r="M1859" s="46" t="n">
        <x:v>0</x:v>
      </x:c>
      <x:c r="N1859" s="21" t="n">
        <x:f>IF(AND(L1858=1,M1858=1,P1858&gt;0),1,0)</x:f>
        <x:v>0</x:v>
      </x:c>
      <x:c r="O1859" s="21" t="n">
        <x:f>MIN('Root Data'!I562:I564)</x:f>
        <x:v>0</x:v>
      </x:c>
      <x:c r="P1859" s="44" t="n">
        <x:f>IF(AND(L1859=1,M1859=1,N1859=1,O1859&gt;=G1859),K1859,0)</x:f>
        <x:v>0</x:v>
      </x:c>
      <x:c r="Q1859" s="21" t="str">
        <x:v>OPEN</x:v>
      </x:c>
      <x:c r="R1859" s="23" t="str">
        <x:v>HOLD</x:v>
      </x:c>
    </x:row>
    <x:row r="1860">
      <x:c r="B1860" s="21" t="str">
        <x:v>AR-01854</x:v>
      </x:c>
      <x:c r="C1860" s="21" t="str">
        <x:v>F47-I2</x:v>
      </x:c>
      <x:c r="D1860" s="21" t="str">
        <x:v>F47</x:v>
      </x:c>
      <x:c r="E1860" s="21" t="n">
        <x:v>4</x:v>
      </x:c>
      <x:c r="F1860" s="21" t="str">
        <x:v>Engineering article acceptance</x:v>
      </x:c>
      <x:c r="G1860" s="21" t="n">
        <x:v>18</x:v>
      </x:c>
      <x:c r="H1860" s="21" t="str">
        <x:v>Independent Evidence and Data Authority</x:v>
      </x:c>
      <x:c r="I1860" s="44" t="n">
        <x:f>Lifecycle!G10</x:f>
        <x:v>0.05929244350747744</x:v>
      </x:c>
      <x:c r="J1860" s="44" t="n">
        <x:v>0.06895</x:v>
      </x:c>
      <x:c r="K1860" s="44" t="n">
        <x:f>I1860*J1860</x:f>
        <x:v>0.004088213979840569</x:v>
      </x:c>
      <x:c r="L1860" s="46" t="n">
        <x:v>0</x:v>
      </x:c>
      <x:c r="M1860" s="46" t="n">
        <x:v>0</x:v>
      </x:c>
      <x:c r="N1860" s="21" t="n">
        <x:f>IF(AND(L1859=1,M1859=1,P1859&gt;0),1,0)</x:f>
        <x:v>0</x:v>
      </x:c>
      <x:c r="O1860" s="21" t="n">
        <x:f>MIN('Root Data'!I562:I564)</x:f>
        <x:v>0</x:v>
      </x:c>
      <x:c r="P1860" s="44" t="n">
        <x:f>IF(AND(L1860=1,M1860=1,N1860=1,O1860&gt;=G1860),K1860,0)</x:f>
        <x:v>0</x:v>
      </x:c>
      <x:c r="Q1860" s="21" t="str">
        <x:v>OPEN</x:v>
      </x:c>
      <x:c r="R1860" s="23" t="str">
        <x:v>HOLD</x:v>
      </x:c>
    </x:row>
    <x:row r="1861">
      <x:c r="B1861" s="21" t="str">
        <x:v>AR-01855</x:v>
      </x:c>
      <x:c r="C1861" s="21" t="str">
        <x:v>F47-I2</x:v>
      </x:c>
      <x:c r="D1861" s="21" t="str">
        <x:v>F47</x:v>
      </x:c>
      <x:c r="E1861" s="21" t="n">
        <x:v>5</x:v>
      </x:c>
      <x:c r="F1861" s="21" t="str">
        <x:v>Qualification and destructive evidence</x:v>
      </x:c>
      <x:c r="G1861" s="21" t="n">
        <x:v>21</x:v>
      </x:c>
      <x:c r="H1861" s="21" t="str">
        <x:v>Independent Evidence and Data Authority</x:v>
      </x:c>
      <x:c r="I1861" s="44" t="n">
        <x:f>Lifecycle!G11</x:f>
        <x:v>0.1515251334079979</x:v>
      </x:c>
      <x:c r="J1861" s="44" t="n">
        <x:v>0.06895</x:v>
      </x:c>
      <x:c r="K1861" s="44" t="n">
        <x:f>I1861*J1861</x:f>
        <x:v>0.010447657948481454</x:v>
      </x:c>
      <x:c r="L1861" s="46" t="n">
        <x:v>0</x:v>
      </x:c>
      <x:c r="M1861" s="46" t="n">
        <x:v>0</x:v>
      </x:c>
      <x:c r="N1861" s="21" t="n">
        <x:f>IF(AND(L1860=1,M1860=1,P1860&gt;0),1,0)</x:f>
        <x:v>0</x:v>
      </x:c>
      <x:c r="O1861" s="21" t="n">
        <x:f>MIN('Root Data'!I562:I564)</x:f>
        <x:v>0</x:v>
      </x:c>
      <x:c r="P1861" s="44" t="n">
        <x:f>IF(AND(L1861=1,M1861=1,N1861=1,O1861&gt;=G1861),K1861,0)</x:f>
        <x:v>0</x:v>
      </x:c>
      <x:c r="Q1861" s="21" t="str">
        <x:v>OPEN</x:v>
      </x:c>
      <x:c r="R1861" s="23" t="str">
        <x:v>HOLD</x:v>
      </x:c>
    </x:row>
    <x:row r="1862">
      <x:c r="B1862" s="21" t="str">
        <x:v>AR-01856</x:v>
      </x:c>
      <x:c r="C1862" s="21" t="str">
        <x:v>F47-I2</x:v>
      </x:c>
      <x:c r="D1862" s="21" t="str">
        <x:v>F47</x:v>
      </x:c>
      <x:c r="E1862" s="21" t="n">
        <x:v>6</x:v>
      </x:c>
      <x:c r="F1862" s="21" t="str">
        <x:v>Representative mission result</x:v>
      </x:c>
      <x:c r="G1862" s="21" t="n">
        <x:v>23</x:v>
      </x:c>
      <x:c r="H1862" s="21" t="str">
        <x:v>Receiving Service Authority</x:v>
      </x:c>
      <x:c r="I1862" s="44" t="n">
        <x:f>Lifecycle!G12</x:f>
        <x:v>0.250345872587127</x:v>
      </x:c>
      <x:c r="J1862" s="44" t="n">
        <x:v>0.06895</x:v>
      </x:c>
      <x:c r="K1862" s="44" t="n">
        <x:f>I1862*J1862</x:f>
        <x:v>0.017261347914882406</x:v>
      </x:c>
      <x:c r="L1862" s="46" t="n">
        <x:v>0</x:v>
      </x:c>
      <x:c r="M1862" s="46" t="n">
        <x:v>0</x:v>
      </x:c>
      <x:c r="N1862" s="21" t="n">
        <x:f>IF(AND(L1861=1,M1861=1,P1861&gt;0),1,0)</x:f>
        <x:v>0</x:v>
      </x:c>
      <x:c r="O1862" s="21" t="n">
        <x:f>MIN('Root Data'!I562:I564)</x:f>
        <x:v>0</x:v>
      </x:c>
      <x:c r="P1862" s="44" t="n">
        <x:f>IF(AND(L1862=1,M1862=1,N1862=1,O1862&gt;=G1862),K1862,0)</x:f>
        <x:v>0</x:v>
      </x:c>
      <x:c r="Q1862" s="21" t="str">
        <x:v>OPEN</x:v>
      </x:c>
      <x:c r="R1862" s="23" t="str">
        <x:v>HOLD</x:v>
      </x:c>
    </x:row>
    <x:row r="1863">
      <x:c r="B1863" s="21" t="str">
        <x:v>AR-01857</x:v>
      </x:c>
      <x:c r="C1863" s="21" t="str">
        <x:v>F47-I2</x:v>
      </x:c>
      <x:c r="D1863" s="21" t="str">
        <x:v>F47</x:v>
      </x:c>
      <x:c r="E1863" s="21" t="n">
        <x:v>7</x:v>
      </x:c>
      <x:c r="F1863" s="21" t="str">
        <x:v>Independent reproduction</x:v>
      </x:c>
      <x:c r="G1863" s="21" t="n">
        <x:v>28</x:v>
      </x:c>
      <x:c r="H1863" s="21" t="str">
        <x:v>Independent Evidence and Data Authority</x:v>
      </x:c>
      <x:c r="I1863" s="44" t="n">
        <x:f>Lifecycle!G13</x:f>
        <x:v>0.21740562619408393</x:v>
      </x:c>
      <x:c r="J1863" s="44" t="n">
        <x:v>0.06895</x:v>
      </x:c>
      <x:c r="K1863" s="44" t="n">
        <x:f>I1863*J1863</x:f>
        <x:v>0.014990117926082087</x:v>
      </x:c>
      <x:c r="L1863" s="46" t="n">
        <x:v>0</x:v>
      </x:c>
      <x:c r="M1863" s="46" t="n">
        <x:v>0</x:v>
      </x:c>
      <x:c r="N1863" s="21" t="n">
        <x:f>IF(AND(L1862=1,M1862=1,P1862&gt;0),1,0)</x:f>
        <x:v>0</x:v>
      </x:c>
      <x:c r="O1863" s="21" t="n">
        <x:f>MIN('Root Data'!I562:I564)</x:f>
        <x:v>0</x:v>
      </x:c>
      <x:c r="P1863" s="44" t="n">
        <x:f>IF(AND(L1863=1,M1863=1,N1863=1,O1863&gt;=G1863),K1863,0)</x:f>
        <x:v>0</x:v>
      </x:c>
      <x:c r="Q1863" s="21" t="str">
        <x:v>OPEN</x:v>
      </x:c>
      <x:c r="R1863" s="23" t="str">
        <x:v>HOLD</x:v>
      </x:c>
    </x:row>
    <x:row r="1864">
      <x:c r="B1864" s="21" t="str">
        <x:v>AR-01858</x:v>
      </x:c>
      <x:c r="C1864" s="21" t="str">
        <x:v>F47-I2</x:v>
      </x:c>
      <x:c r="D1864" s="21" t="str">
        <x:v>F47</x:v>
      </x:c>
      <x:c r="E1864" s="21" t="n">
        <x:v>8</x:v>
      </x:c>
      <x:c r="F1864" s="21" t="str">
        <x:v>Pilot-process qualification</x:v>
      </x:c>
      <x:c r="G1864" s="21" t="n">
        <x:v>28</x:v>
      </x:c>
      <x:c r="H1864" s="21" t="str">
        <x:v>AIMC Industrial Mobilization Authority</x:v>
      </x:c>
      <x:c r="I1864" s="44" t="n">
        <x:f>Lifecycle!G14</x:f>
        <x:v>0.03952829567165163</x:v>
      </x:c>
      <x:c r="J1864" s="44" t="n">
        <x:v>0.06895</x:v>
      </x:c>
      <x:c r="K1864" s="44" t="n">
        <x:f>I1864*J1864</x:f>
        <x:v>0.0027254759865603796</x:v>
      </x:c>
      <x:c r="L1864" s="46" t="n">
        <x:v>0</x:v>
      </x:c>
      <x:c r="M1864" s="46" t="n">
        <x:v>0</x:v>
      </x:c>
      <x:c r="N1864" s="21" t="n">
        <x:f>IF(AND(L1863=1,M1863=1,P1863&gt;0),1,0)</x:f>
        <x:v>0</x:v>
      </x:c>
      <x:c r="O1864" s="21" t="n">
        <x:f>MIN('Root Data'!I562:I564)</x:f>
        <x:v>0</x:v>
      </x:c>
      <x:c r="P1864" s="44" t="n">
        <x:f>IF(AND(L1864=1,M1864=1,N1864=1,O1864&gt;=G1864),K1864,0)</x:f>
        <x:v>0</x:v>
      </x:c>
      <x:c r="Q1864" s="21" t="str">
        <x:v>OPEN</x:v>
      </x:c>
      <x:c r="R1864" s="23" t="str">
        <x:v>HOLD</x:v>
      </x:c>
    </x:row>
    <x:row r="1865">
      <x:c r="B1865" s="21" t="str">
        <x:v>AR-01859</x:v>
      </x:c>
      <x:c r="C1865" s="21" t="str">
        <x:v>F47-I2</x:v>
      </x:c>
      <x:c r="D1865" s="21" t="str">
        <x:v>F47</x:v>
      </x:c>
      <x:c r="E1865" s="21" t="n">
        <x:v>9</x:v>
      </x:c>
      <x:c r="F1865" s="21" t="str">
        <x:v>Production release package</x:v>
      </x:c>
      <x:c r="G1865" s="21" t="n">
        <x:v>28</x:v>
      </x:c>
      <x:c r="H1865" s="21" t="str">
        <x:v>Production Release Board</x:v>
      </x:c>
      <x:c r="I1865" s="44" t="n">
        <x:f>Lifecycle!G15</x:f>
        <x:v>0.01647012319652151</x:v>
      </x:c>
      <x:c r="J1865" s="44" t="n">
        <x:v>0.06895</x:v>
      </x:c>
      <x:c r="K1865" s="44" t="n">
        <x:f>I1865*J1865</x:f>
        <x:v>0.0011356149944001582</x:v>
      </x:c>
      <x:c r="L1865" s="46" t="n">
        <x:v>0</x:v>
      </x:c>
      <x:c r="M1865" s="46" t="n">
        <x:v>0</x:v>
      </x:c>
      <x:c r="N1865" s="21" t="n">
        <x:f>IF(AND(L1864=1,M1864=1,P1864&gt;0),1,0)</x:f>
        <x:v>0</x:v>
      </x:c>
      <x:c r="O1865" s="21" t="n">
        <x:f>MIN('Root Data'!I562:I564)</x:f>
        <x:v>0</x:v>
      </x:c>
      <x:c r="P1865" s="44" t="n">
        <x:f>IF(AND(L1865=1,M1865=1,N1865=1,O1865&gt;=G1865),K1865,0)</x:f>
        <x:v>0</x:v>
      </x:c>
      <x:c r="Q1865" s="21" t="str">
        <x:v>OPEN</x:v>
      </x:c>
      <x:c r="R1865" s="23" t="str">
        <x:v>HOLD</x:v>
      </x:c>
    </x:row>
    <x:row r="1866">
      <x:c r="B1866" s="21" t="str">
        <x:v>AR-01860</x:v>
      </x:c>
      <x:c r="C1866" s="21" t="str">
        <x:v>F47-I2</x:v>
      </x:c>
      <x:c r="D1866" s="21" t="str">
        <x:v>F47</x:v>
      </x:c>
      <x:c r="E1866" s="21" t="n">
        <x:v>10</x:v>
      </x:c>
      <x:c r="F1866" s="21" t="str">
        <x:v>Mobilization activation</x:v>
      </x:c>
      <x:c r="G1866" s="21" t="n">
        <x:v>28</x:v>
      </x:c>
      <x:c r="H1866" s="21" t="str">
        <x:v>Production Release Board</x:v>
      </x:c>
      <x:c r="I1866" s="44" t="n">
        <x:f>Lifecycle!G16</x:f>
        <x:v>0.028262731405230914</x:v>
      </x:c>
      <x:c r="J1866" s="44" t="n">
        <x:v>0.06895</x:v>
      </x:c>
      <x:c r="K1866" s="44" t="n">
        <x:f>I1866*J1866</x:f>
        <x:v>0.0019487153303906714</x:v>
      </x:c>
      <x:c r="L1866" s="46" t="n">
        <x:v>0</x:v>
      </x:c>
      <x:c r="M1866" s="46" t="n">
        <x:v>0</x:v>
      </x:c>
      <x:c r="N1866" s="21" t="n">
        <x:f>IF(AND(L1865=1,M1865=1,P1865&gt;0),1,0)</x:f>
        <x:v>0</x:v>
      </x:c>
      <x:c r="O1866" s="21" t="n">
        <x:f>MIN('Root Data'!I562:I564)</x:f>
        <x:v>0</x:v>
      </x:c>
      <x:c r="P1866" s="44" t="n">
        <x:f>IF(AND(L1866=1,M1866=1,N1866=1,O1866&gt;=G1866),K1866,0)</x:f>
        <x:v>0</x:v>
      </x:c>
      <x:c r="Q1866" s="21" t="str">
        <x:v>OPEN</x:v>
      </x:c>
      <x:c r="R1866" s="23" t="str">
        <x:v>HOLD</x:v>
      </x:c>
    </x:row>
    <x:row r="1867">
      <x:c r="B1867" s="21" t="str">
        <x:v>AR-01861</x:v>
      </x:c>
      <x:c r="C1867" s="21" t="str">
        <x:v>F47-I3</x:v>
      </x:c>
      <x:c r="D1867" s="21" t="str">
        <x:v>F47</x:v>
      </x:c>
      <x:c r="E1867" s="21" t="n">
        <x:v>1</x:v>
      </x:c>
      <x:c r="F1867" s="21" t="str">
        <x:v>Civil effect charter</x:v>
      </x:c>
      <x:c r="G1867" s="21" t="n">
        <x:v>0</x:v>
      </x:c>
      <x:c r="H1867" s="21" t="str">
        <x:v>Civil Guarantee Authority</x:v>
      </x:c>
      <x:c r="I1867" s="44" t="n">
        <x:f>Lifecycle!G7</x:f>
        <x:v>0.04941036958956453</x:v>
      </x:c>
      <x:c r="J1867" s="44" t="n">
        <x:v>0.06895</x:v>
      </x:c>
      <x:c r="K1867" s="44" t="n">
        <x:f>I1867*J1867</x:f>
        <x:v>0.003406844983200474</x:v>
      </x:c>
      <x:c r="L1867" s="46" t="n">
        <x:v>0</x:v>
      </x:c>
      <x:c r="M1867" s="46" t="n">
        <x:v>0</x:v>
      </x:c>
      <x:c r="N1867" s="21" t="n">
        <x:f>1</x:f>
        <x:v>1</x:v>
      </x:c>
      <x:c r="O1867" s="21" t="n">
        <x:f>MIN('Root Data'!I565:I567)</x:f>
        <x:v>0</x:v>
      </x:c>
      <x:c r="P1867" s="44" t="n">
        <x:f>IF(AND(L1867=1,M1867=1,N1867=1,O1867&gt;=G1867),K1867,0)</x:f>
        <x:v>0</x:v>
      </x:c>
      <x:c r="Q1867" s="21" t="str">
        <x:v>OPEN</x:v>
      </x:c>
      <x:c r="R1867" s="23" t="str">
        <x:v>HOLD</x:v>
      </x:c>
    </x:row>
    <x:row r="1868">
      <x:c r="B1868" s="21" t="str">
        <x:v>AR-01862</x:v>
      </x:c>
      <x:c r="C1868" s="21" t="str">
        <x:v>F47-I3</x:v>
      </x:c>
      <x:c r="D1868" s="21" t="str">
        <x:v>F47</x:v>
      </x:c>
      <x:c r="E1868" s="21" t="n">
        <x:v>2</x:v>
      </x:c>
      <x:c r="F1868" s="21" t="str">
        <x:v>Requirement and root-independence package</x:v>
      </x:c>
      <x:c r="G1868" s="21" t="n">
        <x:v>8</x:v>
      </x:c>
      <x:c r="H1868" s="21" t="str">
        <x:v>Resilience Staff</x:v>
      </x:c>
      <x:c r="I1868" s="44" t="n">
        <x:f>Lifecycle!G8</x:f>
        <x:v>0.10211476381843337</x:v>
      </x:c>
      <x:c r="J1868" s="44" t="n">
        <x:v>0.06895</x:v>
      </x:c>
      <x:c r="K1868" s="44" t="n">
        <x:f>I1868*J1868</x:f>
        <x:v>0.007040812965280981</x:v>
      </x:c>
      <x:c r="L1868" s="46" t="n">
        <x:v>0</x:v>
      </x:c>
      <x:c r="M1868" s="46" t="n">
        <x:v>0</x:v>
      </x:c>
      <x:c r="N1868" s="21" t="n">
        <x:f>IF(AND(L1867=1,M1867=1,P1867&gt;0),1,0)</x:f>
        <x:v>0</x:v>
      </x:c>
      <x:c r="O1868" s="21" t="n">
        <x:f>MIN('Root Data'!I565:I567)</x:f>
        <x:v>0</x:v>
      </x:c>
      <x:c r="P1868" s="44" t="n">
        <x:f>IF(AND(L1868=1,M1868=1,N1868=1,O1868&gt;=G1868),K1868,0)</x:f>
        <x:v>0</x:v>
      </x:c>
      <x:c r="Q1868" s="21" t="str">
        <x:v>OPEN</x:v>
      </x:c>
      <x:c r="R1868" s="23" t="str">
        <x:v>HOLD</x:v>
      </x:c>
    </x:row>
    <x:row r="1869">
      <x:c r="B1869" s="21" t="str">
        <x:v>AR-01863</x:v>
      </x:c>
      <x:c r="C1869" s="21" t="str">
        <x:v>F47-I3</x:v>
      </x:c>
      <x:c r="D1869" s="21" t="str">
        <x:v>F47</x:v>
      </x:c>
      <x:c r="E1869" s="21" t="n">
        <x:v>3</x:v>
      </x:c>
      <x:c r="F1869" s="21" t="str">
        <x:v>Architecture and burden closure</x:v>
      </x:c>
      <x:c r="G1869" s="21" t="n">
        <x:v>14</x:v>
      </x:c>
      <x:c r="H1869" s="21" t="str">
        <x:v>Independent Evidence and Data Authority</x:v>
      </x:c>
      <x:c r="I1869" s="44" t="n">
        <x:f>Lifecycle!G9</x:f>
        <x:v>0.08564464062191186</x:v>
      </x:c>
      <x:c r="J1869" s="44" t="n">
        <x:v>0.06895</x:v>
      </x:c>
      <x:c r="K1869" s="44" t="n">
        <x:f>I1869*J1869</x:f>
        <x:v>0.005905197970880823</x:v>
      </x:c>
      <x:c r="L1869" s="46" t="n">
        <x:v>0</x:v>
      </x:c>
      <x:c r="M1869" s="46" t="n">
        <x:v>0</x:v>
      </x:c>
      <x:c r="N1869" s="21" t="n">
        <x:f>IF(AND(L1868=1,M1868=1,P1868&gt;0),1,0)</x:f>
        <x:v>0</x:v>
      </x:c>
      <x:c r="O1869" s="21" t="n">
        <x:f>MIN('Root Data'!I565:I567)</x:f>
        <x:v>0</x:v>
      </x:c>
      <x:c r="P1869" s="44" t="n">
        <x:f>IF(AND(L1869=1,M1869=1,N1869=1,O1869&gt;=G1869),K1869,0)</x:f>
        <x:v>0</x:v>
      </x:c>
      <x:c r="Q1869" s="21" t="str">
        <x:v>OPEN</x:v>
      </x:c>
      <x:c r="R1869" s="23" t="str">
        <x:v>HOLD</x:v>
      </x:c>
    </x:row>
    <x:row r="1870">
      <x:c r="B1870" s="21" t="str">
        <x:v>AR-01864</x:v>
      </x:c>
      <x:c r="C1870" s="21" t="str">
        <x:v>F47-I3</x:v>
      </x:c>
      <x:c r="D1870" s="21" t="str">
        <x:v>F47</x:v>
      </x:c>
      <x:c r="E1870" s="21" t="n">
        <x:v>4</x:v>
      </x:c>
      <x:c r="F1870" s="21" t="str">
        <x:v>Engineering article acceptance</x:v>
      </x:c>
      <x:c r="G1870" s="21" t="n">
        <x:v>18</x:v>
      </x:c>
      <x:c r="H1870" s="21" t="str">
        <x:v>Independent Evidence and Data Authority</x:v>
      </x:c>
      <x:c r="I1870" s="44" t="n">
        <x:f>Lifecycle!G10</x:f>
        <x:v>0.05929244350747744</x:v>
      </x:c>
      <x:c r="J1870" s="44" t="n">
        <x:v>0.06895</x:v>
      </x:c>
      <x:c r="K1870" s="44" t="n">
        <x:f>I1870*J1870</x:f>
        <x:v>0.004088213979840569</x:v>
      </x:c>
      <x:c r="L1870" s="46" t="n">
        <x:v>0</x:v>
      </x:c>
      <x:c r="M1870" s="46" t="n">
        <x:v>0</x:v>
      </x:c>
      <x:c r="N1870" s="21" t="n">
        <x:f>IF(AND(L1869=1,M1869=1,P1869&gt;0),1,0)</x:f>
        <x:v>0</x:v>
      </x:c>
      <x:c r="O1870" s="21" t="n">
        <x:f>MIN('Root Data'!I565:I567)</x:f>
        <x:v>0</x:v>
      </x:c>
      <x:c r="P1870" s="44" t="n">
        <x:f>IF(AND(L1870=1,M1870=1,N1870=1,O1870&gt;=G1870),K1870,0)</x:f>
        <x:v>0</x:v>
      </x:c>
      <x:c r="Q1870" s="21" t="str">
        <x:v>OPEN</x:v>
      </x:c>
      <x:c r="R1870" s="23" t="str">
        <x:v>HOLD</x:v>
      </x:c>
    </x:row>
    <x:row r="1871">
      <x:c r="B1871" s="21" t="str">
        <x:v>AR-01865</x:v>
      </x:c>
      <x:c r="C1871" s="21" t="str">
        <x:v>F47-I3</x:v>
      </x:c>
      <x:c r="D1871" s="21" t="str">
        <x:v>F47</x:v>
      </x:c>
      <x:c r="E1871" s="21" t="n">
        <x:v>5</x:v>
      </x:c>
      <x:c r="F1871" s="21" t="str">
        <x:v>Qualification and destructive evidence</x:v>
      </x:c>
      <x:c r="G1871" s="21" t="n">
        <x:v>21</x:v>
      </x:c>
      <x:c r="H1871" s="21" t="str">
        <x:v>Independent Evidence and Data Authority</x:v>
      </x:c>
      <x:c r="I1871" s="44" t="n">
        <x:f>Lifecycle!G11</x:f>
        <x:v>0.1515251334079979</x:v>
      </x:c>
      <x:c r="J1871" s="44" t="n">
        <x:v>0.06895</x:v>
      </x:c>
      <x:c r="K1871" s="44" t="n">
        <x:f>I1871*J1871</x:f>
        <x:v>0.010447657948481454</x:v>
      </x:c>
      <x:c r="L1871" s="46" t="n">
        <x:v>0</x:v>
      </x:c>
      <x:c r="M1871" s="46" t="n">
        <x:v>0</x:v>
      </x:c>
      <x:c r="N1871" s="21" t="n">
        <x:f>IF(AND(L1870=1,M1870=1,P1870&gt;0),1,0)</x:f>
        <x:v>0</x:v>
      </x:c>
      <x:c r="O1871" s="21" t="n">
        <x:f>MIN('Root Data'!I565:I567)</x:f>
        <x:v>0</x:v>
      </x:c>
      <x:c r="P1871" s="44" t="n">
        <x:f>IF(AND(L1871=1,M1871=1,N1871=1,O1871&gt;=G1871),K1871,0)</x:f>
        <x:v>0</x:v>
      </x:c>
      <x:c r="Q1871" s="21" t="str">
        <x:v>OPEN</x:v>
      </x:c>
      <x:c r="R1871" s="23" t="str">
        <x:v>HOLD</x:v>
      </x:c>
    </x:row>
    <x:row r="1872">
      <x:c r="B1872" s="21" t="str">
        <x:v>AR-01866</x:v>
      </x:c>
      <x:c r="C1872" s="21" t="str">
        <x:v>F47-I3</x:v>
      </x:c>
      <x:c r="D1872" s="21" t="str">
        <x:v>F47</x:v>
      </x:c>
      <x:c r="E1872" s="21" t="n">
        <x:v>6</x:v>
      </x:c>
      <x:c r="F1872" s="21" t="str">
        <x:v>Representative mission result</x:v>
      </x:c>
      <x:c r="G1872" s="21" t="n">
        <x:v>23</x:v>
      </x:c>
      <x:c r="H1872" s="21" t="str">
        <x:v>Receiving Service Authority</x:v>
      </x:c>
      <x:c r="I1872" s="44" t="n">
        <x:f>Lifecycle!G12</x:f>
        <x:v>0.250345872587127</x:v>
      </x:c>
      <x:c r="J1872" s="44" t="n">
        <x:v>0.06895</x:v>
      </x:c>
      <x:c r="K1872" s="44" t="n">
        <x:f>I1872*J1872</x:f>
        <x:v>0.017261347914882406</x:v>
      </x:c>
      <x:c r="L1872" s="46" t="n">
        <x:v>0</x:v>
      </x:c>
      <x:c r="M1872" s="46" t="n">
        <x:v>0</x:v>
      </x:c>
      <x:c r="N1872" s="21" t="n">
        <x:f>IF(AND(L1871=1,M1871=1,P1871&gt;0),1,0)</x:f>
        <x:v>0</x:v>
      </x:c>
      <x:c r="O1872" s="21" t="n">
        <x:f>MIN('Root Data'!I565:I567)</x:f>
        <x:v>0</x:v>
      </x:c>
      <x:c r="P1872" s="44" t="n">
        <x:f>IF(AND(L1872=1,M1872=1,N1872=1,O1872&gt;=G1872),K1872,0)</x:f>
        <x:v>0</x:v>
      </x:c>
      <x:c r="Q1872" s="21" t="str">
        <x:v>OPEN</x:v>
      </x:c>
      <x:c r="R1872" s="23" t="str">
        <x:v>HOLD</x:v>
      </x:c>
    </x:row>
    <x:row r="1873">
      <x:c r="B1873" s="21" t="str">
        <x:v>AR-01867</x:v>
      </x:c>
      <x:c r="C1873" s="21" t="str">
        <x:v>F47-I3</x:v>
      </x:c>
      <x:c r="D1873" s="21" t="str">
        <x:v>F47</x:v>
      </x:c>
      <x:c r="E1873" s="21" t="n">
        <x:v>7</x:v>
      </x:c>
      <x:c r="F1873" s="21" t="str">
        <x:v>Independent reproduction</x:v>
      </x:c>
      <x:c r="G1873" s="21" t="n">
        <x:v>28</x:v>
      </x:c>
      <x:c r="H1873" s="21" t="str">
        <x:v>Independent Evidence and Data Authority</x:v>
      </x:c>
      <x:c r="I1873" s="44" t="n">
        <x:f>Lifecycle!G13</x:f>
        <x:v>0.21740562619408393</x:v>
      </x:c>
      <x:c r="J1873" s="44" t="n">
        <x:v>0.06895</x:v>
      </x:c>
      <x:c r="K1873" s="44" t="n">
        <x:f>I1873*J1873</x:f>
        <x:v>0.014990117926082087</x:v>
      </x:c>
      <x:c r="L1873" s="46" t="n">
        <x:v>0</x:v>
      </x:c>
      <x:c r="M1873" s="46" t="n">
        <x:v>0</x:v>
      </x:c>
      <x:c r="N1873" s="21" t="n">
        <x:f>IF(AND(L1872=1,M1872=1,P1872&gt;0),1,0)</x:f>
        <x:v>0</x:v>
      </x:c>
      <x:c r="O1873" s="21" t="n">
        <x:f>MIN('Root Data'!I565:I567)</x:f>
        <x:v>0</x:v>
      </x:c>
      <x:c r="P1873" s="44" t="n">
        <x:f>IF(AND(L1873=1,M1873=1,N1873=1,O1873&gt;=G1873),K1873,0)</x:f>
        <x:v>0</x:v>
      </x:c>
      <x:c r="Q1873" s="21" t="str">
        <x:v>OPEN</x:v>
      </x:c>
      <x:c r="R1873" s="23" t="str">
        <x:v>HOLD</x:v>
      </x:c>
    </x:row>
    <x:row r="1874">
      <x:c r="B1874" s="21" t="str">
        <x:v>AR-01868</x:v>
      </x:c>
      <x:c r="C1874" s="21" t="str">
        <x:v>F47-I3</x:v>
      </x:c>
      <x:c r="D1874" s="21" t="str">
        <x:v>F47</x:v>
      </x:c>
      <x:c r="E1874" s="21" t="n">
        <x:v>8</x:v>
      </x:c>
      <x:c r="F1874" s="21" t="str">
        <x:v>Pilot-process qualification</x:v>
      </x:c>
      <x:c r="G1874" s="21" t="n">
        <x:v>28</x:v>
      </x:c>
      <x:c r="H1874" s="21" t="str">
        <x:v>AIMC Industrial Mobilization Authority</x:v>
      </x:c>
      <x:c r="I1874" s="44" t="n">
        <x:f>Lifecycle!G14</x:f>
        <x:v>0.03952829567165163</x:v>
      </x:c>
      <x:c r="J1874" s="44" t="n">
        <x:v>0.06895</x:v>
      </x:c>
      <x:c r="K1874" s="44" t="n">
        <x:f>I1874*J1874</x:f>
        <x:v>0.0027254759865603796</x:v>
      </x:c>
      <x:c r="L1874" s="46" t="n">
        <x:v>0</x:v>
      </x:c>
      <x:c r="M1874" s="46" t="n">
        <x:v>0</x:v>
      </x:c>
      <x:c r="N1874" s="21" t="n">
        <x:f>IF(AND(L1873=1,M1873=1,P1873&gt;0),1,0)</x:f>
        <x:v>0</x:v>
      </x:c>
      <x:c r="O1874" s="21" t="n">
        <x:f>MIN('Root Data'!I565:I567)</x:f>
        <x:v>0</x:v>
      </x:c>
      <x:c r="P1874" s="44" t="n">
        <x:f>IF(AND(L1874=1,M1874=1,N1874=1,O1874&gt;=G1874),K1874,0)</x:f>
        <x:v>0</x:v>
      </x:c>
      <x:c r="Q1874" s="21" t="str">
        <x:v>OPEN</x:v>
      </x:c>
      <x:c r="R1874" s="23" t="str">
        <x:v>HOLD</x:v>
      </x:c>
    </x:row>
    <x:row r="1875">
      <x:c r="B1875" s="21" t="str">
        <x:v>AR-01869</x:v>
      </x:c>
      <x:c r="C1875" s="21" t="str">
        <x:v>F47-I3</x:v>
      </x:c>
      <x:c r="D1875" s="21" t="str">
        <x:v>F47</x:v>
      </x:c>
      <x:c r="E1875" s="21" t="n">
        <x:v>9</x:v>
      </x:c>
      <x:c r="F1875" s="21" t="str">
        <x:v>Production release package</x:v>
      </x:c>
      <x:c r="G1875" s="21" t="n">
        <x:v>28</x:v>
      </x:c>
      <x:c r="H1875" s="21" t="str">
        <x:v>Production Release Board</x:v>
      </x:c>
      <x:c r="I1875" s="44" t="n">
        <x:f>Lifecycle!G15</x:f>
        <x:v>0.01647012319652151</x:v>
      </x:c>
      <x:c r="J1875" s="44" t="n">
        <x:v>0.06895</x:v>
      </x:c>
      <x:c r="K1875" s="44" t="n">
        <x:f>I1875*J1875</x:f>
        <x:v>0.0011356149944001582</x:v>
      </x:c>
      <x:c r="L1875" s="46" t="n">
        <x:v>0</x:v>
      </x:c>
      <x:c r="M1875" s="46" t="n">
        <x:v>0</x:v>
      </x:c>
      <x:c r="N1875" s="21" t="n">
        <x:f>IF(AND(L1874=1,M1874=1,P1874&gt;0),1,0)</x:f>
        <x:v>0</x:v>
      </x:c>
      <x:c r="O1875" s="21" t="n">
        <x:f>MIN('Root Data'!I565:I567)</x:f>
        <x:v>0</x:v>
      </x:c>
      <x:c r="P1875" s="44" t="n">
        <x:f>IF(AND(L1875=1,M1875=1,N1875=1,O1875&gt;=G1875),K1875,0)</x:f>
        <x:v>0</x:v>
      </x:c>
      <x:c r="Q1875" s="21" t="str">
        <x:v>OPEN</x:v>
      </x:c>
      <x:c r="R1875" s="23" t="str">
        <x:v>HOLD</x:v>
      </x:c>
    </x:row>
    <x:row r="1876">
      <x:c r="B1876" s="21" t="str">
        <x:v>AR-01870</x:v>
      </x:c>
      <x:c r="C1876" s="21" t="str">
        <x:v>F47-I3</x:v>
      </x:c>
      <x:c r="D1876" s="21" t="str">
        <x:v>F47</x:v>
      </x:c>
      <x:c r="E1876" s="21" t="n">
        <x:v>10</x:v>
      </x:c>
      <x:c r="F1876" s="21" t="str">
        <x:v>Mobilization activation</x:v>
      </x:c>
      <x:c r="G1876" s="21" t="n">
        <x:v>28</x:v>
      </x:c>
      <x:c r="H1876" s="21" t="str">
        <x:v>Production Release Board</x:v>
      </x:c>
      <x:c r="I1876" s="44" t="n">
        <x:f>Lifecycle!G16</x:f>
        <x:v>0.028262731405230914</x:v>
      </x:c>
      <x:c r="J1876" s="44" t="n">
        <x:v>0.06895</x:v>
      </x:c>
      <x:c r="K1876" s="44" t="n">
        <x:f>I1876*J1876</x:f>
        <x:v>0.0019487153303906714</x:v>
      </x:c>
      <x:c r="L1876" s="46" t="n">
        <x:v>0</x:v>
      </x:c>
      <x:c r="M1876" s="46" t="n">
        <x:v>0</x:v>
      </x:c>
      <x:c r="N1876" s="21" t="n">
        <x:f>IF(AND(L1875=1,M1875=1,P1875&gt;0),1,0)</x:f>
        <x:v>0</x:v>
      </x:c>
      <x:c r="O1876" s="21" t="n">
        <x:f>MIN('Root Data'!I565:I567)</x:f>
        <x:v>0</x:v>
      </x:c>
      <x:c r="P1876" s="44" t="n">
        <x:f>IF(AND(L1876=1,M1876=1,N1876=1,O1876&gt;=G1876),K1876,0)</x:f>
        <x:v>0</x:v>
      </x:c>
      <x:c r="Q1876" s="21" t="str">
        <x:v>OPEN</x:v>
      </x:c>
      <x:c r="R1876" s="23" t="str">
        <x:v>HOLD</x:v>
      </x:c>
    </x:row>
    <x:row r="1877">
      <x:c r="B1877" s="21" t="str">
        <x:v>AR-01871</x:v>
      </x:c>
      <x:c r="C1877" s="21" t="str">
        <x:v>F47-I4</x:v>
      </x:c>
      <x:c r="D1877" s="21" t="str">
        <x:v>F47</x:v>
      </x:c>
      <x:c r="E1877" s="21" t="n">
        <x:v>1</x:v>
      </x:c>
      <x:c r="F1877" s="21" t="str">
        <x:v>Civil effect charter</x:v>
      </x:c>
      <x:c r="G1877" s="21" t="n">
        <x:v>0</x:v>
      </x:c>
      <x:c r="H1877" s="21" t="str">
        <x:v>Civil Guarantee Authority</x:v>
      </x:c>
      <x:c r="I1877" s="44" t="n">
        <x:f>Lifecycle!G7</x:f>
        <x:v>0.04941036958956453</x:v>
      </x:c>
      <x:c r="J1877" s="44" t="n">
        <x:v>0.06895</x:v>
      </x:c>
      <x:c r="K1877" s="44" t="n">
        <x:f>I1877*J1877</x:f>
        <x:v>0.003406844983200474</x:v>
      </x:c>
      <x:c r="L1877" s="46" t="n">
        <x:v>0</x:v>
      </x:c>
      <x:c r="M1877" s="46" t="n">
        <x:v>0</x:v>
      </x:c>
      <x:c r="N1877" s="21" t="n">
        <x:f>1</x:f>
        <x:v>1</x:v>
      </x:c>
      <x:c r="O1877" s="21" t="n">
        <x:f>MIN('Root Data'!I568:I570)</x:f>
        <x:v>0</x:v>
      </x:c>
      <x:c r="P1877" s="44" t="n">
        <x:f>IF(AND(L1877=1,M1877=1,N1877=1,O1877&gt;=G1877),K1877,0)</x:f>
        <x:v>0</x:v>
      </x:c>
      <x:c r="Q1877" s="21" t="str">
        <x:v>OPEN</x:v>
      </x:c>
      <x:c r="R1877" s="23" t="str">
        <x:v>HOLD</x:v>
      </x:c>
    </x:row>
    <x:row r="1878">
      <x:c r="B1878" s="21" t="str">
        <x:v>AR-01872</x:v>
      </x:c>
      <x:c r="C1878" s="21" t="str">
        <x:v>F47-I4</x:v>
      </x:c>
      <x:c r="D1878" s="21" t="str">
        <x:v>F47</x:v>
      </x:c>
      <x:c r="E1878" s="21" t="n">
        <x:v>2</x:v>
      </x:c>
      <x:c r="F1878" s="21" t="str">
        <x:v>Requirement and root-independence package</x:v>
      </x:c>
      <x:c r="G1878" s="21" t="n">
        <x:v>8</x:v>
      </x:c>
      <x:c r="H1878" s="21" t="str">
        <x:v>Resilience Staff</x:v>
      </x:c>
      <x:c r="I1878" s="44" t="n">
        <x:f>Lifecycle!G8</x:f>
        <x:v>0.10211476381843337</x:v>
      </x:c>
      <x:c r="J1878" s="44" t="n">
        <x:v>0.06895</x:v>
      </x:c>
      <x:c r="K1878" s="44" t="n">
        <x:f>I1878*J1878</x:f>
        <x:v>0.007040812965280981</x:v>
      </x:c>
      <x:c r="L1878" s="46" t="n">
        <x:v>0</x:v>
      </x:c>
      <x:c r="M1878" s="46" t="n">
        <x:v>0</x:v>
      </x:c>
      <x:c r="N1878" s="21" t="n">
        <x:f>IF(AND(L1877=1,M1877=1,P1877&gt;0),1,0)</x:f>
        <x:v>0</x:v>
      </x:c>
      <x:c r="O1878" s="21" t="n">
        <x:f>MIN('Root Data'!I568:I570)</x:f>
        <x:v>0</x:v>
      </x:c>
      <x:c r="P1878" s="44" t="n">
        <x:f>IF(AND(L1878=1,M1878=1,N1878=1,O1878&gt;=G1878),K1878,0)</x:f>
        <x:v>0</x:v>
      </x:c>
      <x:c r="Q1878" s="21" t="str">
        <x:v>OPEN</x:v>
      </x:c>
      <x:c r="R1878" s="23" t="str">
        <x:v>HOLD</x:v>
      </x:c>
    </x:row>
    <x:row r="1879">
      <x:c r="B1879" s="21" t="str">
        <x:v>AR-01873</x:v>
      </x:c>
      <x:c r="C1879" s="21" t="str">
        <x:v>F47-I4</x:v>
      </x:c>
      <x:c r="D1879" s="21" t="str">
        <x:v>F47</x:v>
      </x:c>
      <x:c r="E1879" s="21" t="n">
        <x:v>3</x:v>
      </x:c>
      <x:c r="F1879" s="21" t="str">
        <x:v>Architecture and burden closure</x:v>
      </x:c>
      <x:c r="G1879" s="21" t="n">
        <x:v>14</x:v>
      </x:c>
      <x:c r="H1879" s="21" t="str">
        <x:v>Independent Evidence and Data Authority</x:v>
      </x:c>
      <x:c r="I1879" s="44" t="n">
        <x:f>Lifecycle!G9</x:f>
        <x:v>0.08564464062191186</x:v>
      </x:c>
      <x:c r="J1879" s="44" t="n">
        <x:v>0.06895</x:v>
      </x:c>
      <x:c r="K1879" s="44" t="n">
        <x:f>I1879*J1879</x:f>
        <x:v>0.005905197970880823</x:v>
      </x:c>
      <x:c r="L1879" s="46" t="n">
        <x:v>0</x:v>
      </x:c>
      <x:c r="M1879" s="46" t="n">
        <x:v>0</x:v>
      </x:c>
      <x:c r="N1879" s="21" t="n">
        <x:f>IF(AND(L1878=1,M1878=1,P1878&gt;0),1,0)</x:f>
        <x:v>0</x:v>
      </x:c>
      <x:c r="O1879" s="21" t="n">
        <x:f>MIN('Root Data'!I568:I570)</x:f>
        <x:v>0</x:v>
      </x:c>
      <x:c r="P1879" s="44" t="n">
        <x:f>IF(AND(L1879=1,M1879=1,N1879=1,O1879&gt;=G1879),K1879,0)</x:f>
        <x:v>0</x:v>
      </x:c>
      <x:c r="Q1879" s="21" t="str">
        <x:v>OPEN</x:v>
      </x:c>
      <x:c r="R1879" s="23" t="str">
        <x:v>HOLD</x:v>
      </x:c>
    </x:row>
    <x:row r="1880">
      <x:c r="B1880" s="21" t="str">
        <x:v>AR-01874</x:v>
      </x:c>
      <x:c r="C1880" s="21" t="str">
        <x:v>F47-I4</x:v>
      </x:c>
      <x:c r="D1880" s="21" t="str">
        <x:v>F47</x:v>
      </x:c>
      <x:c r="E1880" s="21" t="n">
        <x:v>4</x:v>
      </x:c>
      <x:c r="F1880" s="21" t="str">
        <x:v>Engineering article acceptance</x:v>
      </x:c>
      <x:c r="G1880" s="21" t="n">
        <x:v>18</x:v>
      </x:c>
      <x:c r="H1880" s="21" t="str">
        <x:v>Independent Evidence and Data Authority</x:v>
      </x:c>
      <x:c r="I1880" s="44" t="n">
        <x:f>Lifecycle!G10</x:f>
        <x:v>0.05929244350747744</x:v>
      </x:c>
      <x:c r="J1880" s="44" t="n">
        <x:v>0.06895</x:v>
      </x:c>
      <x:c r="K1880" s="44" t="n">
        <x:f>I1880*J1880</x:f>
        <x:v>0.004088213979840569</x:v>
      </x:c>
      <x:c r="L1880" s="46" t="n">
        <x:v>0</x:v>
      </x:c>
      <x:c r="M1880" s="46" t="n">
        <x:v>0</x:v>
      </x:c>
      <x:c r="N1880" s="21" t="n">
        <x:f>IF(AND(L1879=1,M1879=1,P1879&gt;0),1,0)</x:f>
        <x:v>0</x:v>
      </x:c>
      <x:c r="O1880" s="21" t="n">
        <x:f>MIN('Root Data'!I568:I570)</x:f>
        <x:v>0</x:v>
      </x:c>
      <x:c r="P1880" s="44" t="n">
        <x:f>IF(AND(L1880=1,M1880=1,N1880=1,O1880&gt;=G1880),K1880,0)</x:f>
        <x:v>0</x:v>
      </x:c>
      <x:c r="Q1880" s="21" t="str">
        <x:v>OPEN</x:v>
      </x:c>
      <x:c r="R1880" s="23" t="str">
        <x:v>HOLD</x:v>
      </x:c>
    </x:row>
    <x:row r="1881">
      <x:c r="B1881" s="21" t="str">
        <x:v>AR-01875</x:v>
      </x:c>
      <x:c r="C1881" s="21" t="str">
        <x:v>F47-I4</x:v>
      </x:c>
      <x:c r="D1881" s="21" t="str">
        <x:v>F47</x:v>
      </x:c>
      <x:c r="E1881" s="21" t="n">
        <x:v>5</x:v>
      </x:c>
      <x:c r="F1881" s="21" t="str">
        <x:v>Qualification and destructive evidence</x:v>
      </x:c>
      <x:c r="G1881" s="21" t="n">
        <x:v>21</x:v>
      </x:c>
      <x:c r="H1881" s="21" t="str">
        <x:v>Independent Evidence and Data Authority</x:v>
      </x:c>
      <x:c r="I1881" s="44" t="n">
        <x:f>Lifecycle!G11</x:f>
        <x:v>0.1515251334079979</x:v>
      </x:c>
      <x:c r="J1881" s="44" t="n">
        <x:v>0.06895</x:v>
      </x:c>
      <x:c r="K1881" s="44" t="n">
        <x:f>I1881*J1881</x:f>
        <x:v>0.010447657948481454</x:v>
      </x:c>
      <x:c r="L1881" s="46" t="n">
        <x:v>0</x:v>
      </x:c>
      <x:c r="M1881" s="46" t="n">
        <x:v>0</x:v>
      </x:c>
      <x:c r="N1881" s="21" t="n">
        <x:f>IF(AND(L1880=1,M1880=1,P1880&gt;0),1,0)</x:f>
        <x:v>0</x:v>
      </x:c>
      <x:c r="O1881" s="21" t="n">
        <x:f>MIN('Root Data'!I568:I570)</x:f>
        <x:v>0</x:v>
      </x:c>
      <x:c r="P1881" s="44" t="n">
        <x:f>IF(AND(L1881=1,M1881=1,N1881=1,O1881&gt;=G1881),K1881,0)</x:f>
        <x:v>0</x:v>
      </x:c>
      <x:c r="Q1881" s="21" t="str">
        <x:v>OPEN</x:v>
      </x:c>
      <x:c r="R1881" s="23" t="str">
        <x:v>HOLD</x:v>
      </x:c>
    </x:row>
    <x:row r="1882">
      <x:c r="B1882" s="21" t="str">
        <x:v>AR-01876</x:v>
      </x:c>
      <x:c r="C1882" s="21" t="str">
        <x:v>F47-I4</x:v>
      </x:c>
      <x:c r="D1882" s="21" t="str">
        <x:v>F47</x:v>
      </x:c>
      <x:c r="E1882" s="21" t="n">
        <x:v>6</x:v>
      </x:c>
      <x:c r="F1882" s="21" t="str">
        <x:v>Representative mission result</x:v>
      </x:c>
      <x:c r="G1882" s="21" t="n">
        <x:v>23</x:v>
      </x:c>
      <x:c r="H1882" s="21" t="str">
        <x:v>Receiving Service Authority</x:v>
      </x:c>
      <x:c r="I1882" s="44" t="n">
        <x:f>Lifecycle!G12</x:f>
        <x:v>0.250345872587127</x:v>
      </x:c>
      <x:c r="J1882" s="44" t="n">
        <x:v>0.06895</x:v>
      </x:c>
      <x:c r="K1882" s="44" t="n">
        <x:f>I1882*J1882</x:f>
        <x:v>0.017261347914882406</x:v>
      </x:c>
      <x:c r="L1882" s="46" t="n">
        <x:v>0</x:v>
      </x:c>
      <x:c r="M1882" s="46" t="n">
        <x:v>0</x:v>
      </x:c>
      <x:c r="N1882" s="21" t="n">
        <x:f>IF(AND(L1881=1,M1881=1,P1881&gt;0),1,0)</x:f>
        <x:v>0</x:v>
      </x:c>
      <x:c r="O1882" s="21" t="n">
        <x:f>MIN('Root Data'!I568:I570)</x:f>
        <x:v>0</x:v>
      </x:c>
      <x:c r="P1882" s="44" t="n">
        <x:f>IF(AND(L1882=1,M1882=1,N1882=1,O1882&gt;=G1882),K1882,0)</x:f>
        <x:v>0</x:v>
      </x:c>
      <x:c r="Q1882" s="21" t="str">
        <x:v>OPEN</x:v>
      </x:c>
      <x:c r="R1882" s="23" t="str">
        <x:v>HOLD</x:v>
      </x:c>
    </x:row>
    <x:row r="1883">
      <x:c r="B1883" s="21" t="str">
        <x:v>AR-01877</x:v>
      </x:c>
      <x:c r="C1883" s="21" t="str">
        <x:v>F47-I4</x:v>
      </x:c>
      <x:c r="D1883" s="21" t="str">
        <x:v>F47</x:v>
      </x:c>
      <x:c r="E1883" s="21" t="n">
        <x:v>7</x:v>
      </x:c>
      <x:c r="F1883" s="21" t="str">
        <x:v>Independent reproduction</x:v>
      </x:c>
      <x:c r="G1883" s="21" t="n">
        <x:v>28</x:v>
      </x:c>
      <x:c r="H1883" s="21" t="str">
        <x:v>Independent Evidence and Data Authority</x:v>
      </x:c>
      <x:c r="I1883" s="44" t="n">
        <x:f>Lifecycle!G13</x:f>
        <x:v>0.21740562619408393</x:v>
      </x:c>
      <x:c r="J1883" s="44" t="n">
        <x:v>0.06895</x:v>
      </x:c>
      <x:c r="K1883" s="44" t="n">
        <x:f>I1883*J1883</x:f>
        <x:v>0.014990117926082087</x:v>
      </x:c>
      <x:c r="L1883" s="46" t="n">
        <x:v>0</x:v>
      </x:c>
      <x:c r="M1883" s="46" t="n">
        <x:v>0</x:v>
      </x:c>
      <x:c r="N1883" s="21" t="n">
        <x:f>IF(AND(L1882=1,M1882=1,P1882&gt;0),1,0)</x:f>
        <x:v>0</x:v>
      </x:c>
      <x:c r="O1883" s="21" t="n">
        <x:f>MIN('Root Data'!I568:I570)</x:f>
        <x:v>0</x:v>
      </x:c>
      <x:c r="P1883" s="44" t="n">
        <x:f>IF(AND(L1883=1,M1883=1,N1883=1,O1883&gt;=G1883),K1883,0)</x:f>
        <x:v>0</x:v>
      </x:c>
      <x:c r="Q1883" s="21" t="str">
        <x:v>OPEN</x:v>
      </x:c>
      <x:c r="R1883" s="23" t="str">
        <x:v>HOLD</x:v>
      </x:c>
    </x:row>
    <x:row r="1884">
      <x:c r="B1884" s="21" t="str">
        <x:v>AR-01878</x:v>
      </x:c>
      <x:c r="C1884" s="21" t="str">
        <x:v>F47-I4</x:v>
      </x:c>
      <x:c r="D1884" s="21" t="str">
        <x:v>F47</x:v>
      </x:c>
      <x:c r="E1884" s="21" t="n">
        <x:v>8</x:v>
      </x:c>
      <x:c r="F1884" s="21" t="str">
        <x:v>Pilot-process qualification</x:v>
      </x:c>
      <x:c r="G1884" s="21" t="n">
        <x:v>28</x:v>
      </x:c>
      <x:c r="H1884" s="21" t="str">
        <x:v>AIMC Industrial Mobilization Authority</x:v>
      </x:c>
      <x:c r="I1884" s="44" t="n">
        <x:f>Lifecycle!G14</x:f>
        <x:v>0.03952829567165163</x:v>
      </x:c>
      <x:c r="J1884" s="44" t="n">
        <x:v>0.06895</x:v>
      </x:c>
      <x:c r="K1884" s="44" t="n">
        <x:f>I1884*J1884</x:f>
        <x:v>0.0027254759865603796</x:v>
      </x:c>
      <x:c r="L1884" s="46" t="n">
        <x:v>0</x:v>
      </x:c>
      <x:c r="M1884" s="46" t="n">
        <x:v>0</x:v>
      </x:c>
      <x:c r="N1884" s="21" t="n">
        <x:f>IF(AND(L1883=1,M1883=1,P1883&gt;0),1,0)</x:f>
        <x:v>0</x:v>
      </x:c>
      <x:c r="O1884" s="21" t="n">
        <x:f>MIN('Root Data'!I568:I570)</x:f>
        <x:v>0</x:v>
      </x:c>
      <x:c r="P1884" s="44" t="n">
        <x:f>IF(AND(L1884=1,M1884=1,N1884=1,O1884&gt;=G1884),K1884,0)</x:f>
        <x:v>0</x:v>
      </x:c>
      <x:c r="Q1884" s="21" t="str">
        <x:v>OPEN</x:v>
      </x:c>
      <x:c r="R1884" s="23" t="str">
        <x:v>HOLD</x:v>
      </x:c>
    </x:row>
    <x:row r="1885">
      <x:c r="B1885" s="21" t="str">
        <x:v>AR-01879</x:v>
      </x:c>
      <x:c r="C1885" s="21" t="str">
        <x:v>F47-I4</x:v>
      </x:c>
      <x:c r="D1885" s="21" t="str">
        <x:v>F47</x:v>
      </x:c>
      <x:c r="E1885" s="21" t="n">
        <x:v>9</x:v>
      </x:c>
      <x:c r="F1885" s="21" t="str">
        <x:v>Production release package</x:v>
      </x:c>
      <x:c r="G1885" s="21" t="n">
        <x:v>28</x:v>
      </x:c>
      <x:c r="H1885" s="21" t="str">
        <x:v>Production Release Board</x:v>
      </x:c>
      <x:c r="I1885" s="44" t="n">
        <x:f>Lifecycle!G15</x:f>
        <x:v>0.01647012319652151</x:v>
      </x:c>
      <x:c r="J1885" s="44" t="n">
        <x:v>0.06895</x:v>
      </x:c>
      <x:c r="K1885" s="44" t="n">
        <x:f>I1885*J1885</x:f>
        <x:v>0.0011356149944001582</x:v>
      </x:c>
      <x:c r="L1885" s="46" t="n">
        <x:v>0</x:v>
      </x:c>
      <x:c r="M1885" s="46" t="n">
        <x:v>0</x:v>
      </x:c>
      <x:c r="N1885" s="21" t="n">
        <x:f>IF(AND(L1884=1,M1884=1,P1884&gt;0),1,0)</x:f>
        <x:v>0</x:v>
      </x:c>
      <x:c r="O1885" s="21" t="n">
        <x:f>MIN('Root Data'!I568:I570)</x:f>
        <x:v>0</x:v>
      </x:c>
      <x:c r="P1885" s="44" t="n">
        <x:f>IF(AND(L1885=1,M1885=1,N1885=1,O1885&gt;=G1885),K1885,0)</x:f>
        <x:v>0</x:v>
      </x:c>
      <x:c r="Q1885" s="21" t="str">
        <x:v>OPEN</x:v>
      </x:c>
      <x:c r="R1885" s="23" t="str">
        <x:v>HOLD</x:v>
      </x:c>
    </x:row>
    <x:row r="1886">
      <x:c r="B1886" s="21" t="str">
        <x:v>AR-01880</x:v>
      </x:c>
      <x:c r="C1886" s="21" t="str">
        <x:v>F47-I4</x:v>
      </x:c>
      <x:c r="D1886" s="21" t="str">
        <x:v>F47</x:v>
      </x:c>
      <x:c r="E1886" s="21" t="n">
        <x:v>10</x:v>
      </x:c>
      <x:c r="F1886" s="21" t="str">
        <x:v>Mobilization activation</x:v>
      </x:c>
      <x:c r="G1886" s="21" t="n">
        <x:v>28</x:v>
      </x:c>
      <x:c r="H1886" s="21" t="str">
        <x:v>Production Release Board</x:v>
      </x:c>
      <x:c r="I1886" s="44" t="n">
        <x:f>Lifecycle!G16</x:f>
        <x:v>0.028262731405230914</x:v>
      </x:c>
      <x:c r="J1886" s="44" t="n">
        <x:v>0.06895</x:v>
      </x:c>
      <x:c r="K1886" s="44" t="n">
        <x:f>I1886*J1886</x:f>
        <x:v>0.0019487153303906714</x:v>
      </x:c>
      <x:c r="L1886" s="46" t="n">
        <x:v>0</x:v>
      </x:c>
      <x:c r="M1886" s="46" t="n">
        <x:v>0</x:v>
      </x:c>
      <x:c r="N1886" s="21" t="n">
        <x:f>IF(AND(L1885=1,M1885=1,P1885&gt;0),1,0)</x:f>
        <x:v>0</x:v>
      </x:c>
      <x:c r="O1886" s="21" t="n">
        <x:f>MIN('Root Data'!I568:I570)</x:f>
        <x:v>0</x:v>
      </x:c>
      <x:c r="P1886" s="44" t="n">
        <x:f>IF(AND(L1886=1,M1886=1,N1886=1,O1886&gt;=G1886),K1886,0)</x:f>
        <x:v>0</x:v>
      </x:c>
      <x:c r="Q1886" s="21" t="str">
        <x:v>OPEN</x:v>
      </x:c>
      <x:c r="R1886" s="23" t="str">
        <x:v>HOLD</x:v>
      </x:c>
    </x:row>
    <x:row r="1887">
      <x:c r="B1887" s="21" t="str">
        <x:v>AR-01881</x:v>
      </x:c>
      <x:c r="C1887" s="21" t="str">
        <x:v>F48-I1</x:v>
      </x:c>
      <x:c r="D1887" s="21" t="str">
        <x:v>F48</x:v>
      </x:c>
      <x:c r="E1887" s="21" t="n">
        <x:v>1</x:v>
      </x:c>
      <x:c r="F1887" s="21" t="str">
        <x:v>Civil effect charter</x:v>
      </x:c>
      <x:c r="G1887" s="21" t="n">
        <x:v>0</x:v>
      </x:c>
      <x:c r="H1887" s="21" t="str">
        <x:v>Civil Guarantee Authority</x:v>
      </x:c>
      <x:c r="I1887" s="44" t="n">
        <x:f>Lifecycle!G7</x:f>
        <x:v>0.04941036958956453</x:v>
      </x:c>
      <x:c r="J1887" s="44" t="n">
        <x:v>0.06895</x:v>
      </x:c>
      <x:c r="K1887" s="44" t="n">
        <x:f>I1887*J1887</x:f>
        <x:v>0.003406844983200474</x:v>
      </x:c>
      <x:c r="L1887" s="46" t="n">
        <x:v>0</x:v>
      </x:c>
      <x:c r="M1887" s="46" t="n">
        <x:v>0</x:v>
      </x:c>
      <x:c r="N1887" s="21" t="n">
        <x:f>1</x:f>
        <x:v>1</x:v>
      </x:c>
      <x:c r="O1887" s="21" t="n">
        <x:f>MIN('Root Data'!I571:I573)</x:f>
        <x:v>0</x:v>
      </x:c>
      <x:c r="P1887" s="44" t="n">
        <x:f>IF(AND(L1887=1,M1887=1,N1887=1,O1887&gt;=G1887),K1887,0)</x:f>
        <x:v>0</x:v>
      </x:c>
      <x:c r="Q1887" s="21" t="str">
        <x:v>OPEN</x:v>
      </x:c>
      <x:c r="R1887" s="23" t="str">
        <x:v>HOLD</x:v>
      </x:c>
    </x:row>
    <x:row r="1888">
      <x:c r="B1888" s="21" t="str">
        <x:v>AR-01882</x:v>
      </x:c>
      <x:c r="C1888" s="21" t="str">
        <x:v>F48-I1</x:v>
      </x:c>
      <x:c r="D1888" s="21" t="str">
        <x:v>F48</x:v>
      </x:c>
      <x:c r="E1888" s="21" t="n">
        <x:v>2</x:v>
      </x:c>
      <x:c r="F1888" s="21" t="str">
        <x:v>Requirement and root-independence package</x:v>
      </x:c>
      <x:c r="G1888" s="21" t="n">
        <x:v>8</x:v>
      </x:c>
      <x:c r="H1888" s="21" t="str">
        <x:v>Resilience Staff</x:v>
      </x:c>
      <x:c r="I1888" s="44" t="n">
        <x:f>Lifecycle!G8</x:f>
        <x:v>0.10211476381843337</x:v>
      </x:c>
      <x:c r="J1888" s="44" t="n">
        <x:v>0.06895</x:v>
      </x:c>
      <x:c r="K1888" s="44" t="n">
        <x:f>I1888*J1888</x:f>
        <x:v>0.007040812965280981</x:v>
      </x:c>
      <x:c r="L1888" s="46" t="n">
        <x:v>0</x:v>
      </x:c>
      <x:c r="M1888" s="46" t="n">
        <x:v>0</x:v>
      </x:c>
      <x:c r="N1888" s="21" t="n">
        <x:f>IF(AND(L1887=1,M1887=1,P1887&gt;0),1,0)</x:f>
        <x:v>0</x:v>
      </x:c>
      <x:c r="O1888" s="21" t="n">
        <x:f>MIN('Root Data'!I571:I573)</x:f>
        <x:v>0</x:v>
      </x:c>
      <x:c r="P1888" s="44" t="n">
        <x:f>IF(AND(L1888=1,M1888=1,N1888=1,O1888&gt;=G1888),K1888,0)</x:f>
        <x:v>0</x:v>
      </x:c>
      <x:c r="Q1888" s="21" t="str">
        <x:v>OPEN</x:v>
      </x:c>
      <x:c r="R1888" s="23" t="str">
        <x:v>HOLD</x:v>
      </x:c>
    </x:row>
    <x:row r="1889">
      <x:c r="B1889" s="21" t="str">
        <x:v>AR-01883</x:v>
      </x:c>
      <x:c r="C1889" s="21" t="str">
        <x:v>F48-I1</x:v>
      </x:c>
      <x:c r="D1889" s="21" t="str">
        <x:v>F48</x:v>
      </x:c>
      <x:c r="E1889" s="21" t="n">
        <x:v>3</x:v>
      </x:c>
      <x:c r="F1889" s="21" t="str">
        <x:v>Architecture and burden closure</x:v>
      </x:c>
      <x:c r="G1889" s="21" t="n">
        <x:v>14</x:v>
      </x:c>
      <x:c r="H1889" s="21" t="str">
        <x:v>Independent Evidence and Data Authority</x:v>
      </x:c>
      <x:c r="I1889" s="44" t="n">
        <x:f>Lifecycle!G9</x:f>
        <x:v>0.08564464062191186</x:v>
      </x:c>
      <x:c r="J1889" s="44" t="n">
        <x:v>0.06895</x:v>
      </x:c>
      <x:c r="K1889" s="44" t="n">
        <x:f>I1889*J1889</x:f>
        <x:v>0.005905197970880823</x:v>
      </x:c>
      <x:c r="L1889" s="46" t="n">
        <x:v>0</x:v>
      </x:c>
      <x:c r="M1889" s="46" t="n">
        <x:v>0</x:v>
      </x:c>
      <x:c r="N1889" s="21" t="n">
        <x:f>IF(AND(L1888=1,M1888=1,P1888&gt;0),1,0)</x:f>
        <x:v>0</x:v>
      </x:c>
      <x:c r="O1889" s="21" t="n">
        <x:f>MIN('Root Data'!I571:I573)</x:f>
        <x:v>0</x:v>
      </x:c>
      <x:c r="P1889" s="44" t="n">
        <x:f>IF(AND(L1889=1,M1889=1,N1889=1,O1889&gt;=G1889),K1889,0)</x:f>
        <x:v>0</x:v>
      </x:c>
      <x:c r="Q1889" s="21" t="str">
        <x:v>OPEN</x:v>
      </x:c>
      <x:c r="R1889" s="23" t="str">
        <x:v>HOLD</x:v>
      </x:c>
    </x:row>
    <x:row r="1890">
      <x:c r="B1890" s="21" t="str">
        <x:v>AR-01884</x:v>
      </x:c>
      <x:c r="C1890" s="21" t="str">
        <x:v>F48-I1</x:v>
      </x:c>
      <x:c r="D1890" s="21" t="str">
        <x:v>F48</x:v>
      </x:c>
      <x:c r="E1890" s="21" t="n">
        <x:v>4</x:v>
      </x:c>
      <x:c r="F1890" s="21" t="str">
        <x:v>Engineering article acceptance</x:v>
      </x:c>
      <x:c r="G1890" s="21" t="n">
        <x:v>18</x:v>
      </x:c>
      <x:c r="H1890" s="21" t="str">
        <x:v>Independent Evidence and Data Authority</x:v>
      </x:c>
      <x:c r="I1890" s="44" t="n">
        <x:f>Lifecycle!G10</x:f>
        <x:v>0.05929244350747744</x:v>
      </x:c>
      <x:c r="J1890" s="44" t="n">
        <x:v>0.06895</x:v>
      </x:c>
      <x:c r="K1890" s="44" t="n">
        <x:f>I1890*J1890</x:f>
        <x:v>0.004088213979840569</x:v>
      </x:c>
      <x:c r="L1890" s="46" t="n">
        <x:v>0</x:v>
      </x:c>
      <x:c r="M1890" s="46" t="n">
        <x:v>0</x:v>
      </x:c>
      <x:c r="N1890" s="21" t="n">
        <x:f>IF(AND(L1889=1,M1889=1,P1889&gt;0),1,0)</x:f>
        <x:v>0</x:v>
      </x:c>
      <x:c r="O1890" s="21" t="n">
        <x:f>MIN('Root Data'!I571:I573)</x:f>
        <x:v>0</x:v>
      </x:c>
      <x:c r="P1890" s="44" t="n">
        <x:f>IF(AND(L1890=1,M1890=1,N1890=1,O1890&gt;=G1890),K1890,0)</x:f>
        <x:v>0</x:v>
      </x:c>
      <x:c r="Q1890" s="21" t="str">
        <x:v>OPEN</x:v>
      </x:c>
      <x:c r="R1890" s="23" t="str">
        <x:v>HOLD</x:v>
      </x:c>
    </x:row>
    <x:row r="1891">
      <x:c r="B1891" s="21" t="str">
        <x:v>AR-01885</x:v>
      </x:c>
      <x:c r="C1891" s="21" t="str">
        <x:v>F48-I1</x:v>
      </x:c>
      <x:c r="D1891" s="21" t="str">
        <x:v>F48</x:v>
      </x:c>
      <x:c r="E1891" s="21" t="n">
        <x:v>5</x:v>
      </x:c>
      <x:c r="F1891" s="21" t="str">
        <x:v>Qualification and destructive evidence</x:v>
      </x:c>
      <x:c r="G1891" s="21" t="n">
        <x:v>21</x:v>
      </x:c>
      <x:c r="H1891" s="21" t="str">
        <x:v>Independent Evidence and Data Authority</x:v>
      </x:c>
      <x:c r="I1891" s="44" t="n">
        <x:f>Lifecycle!G11</x:f>
        <x:v>0.1515251334079979</x:v>
      </x:c>
      <x:c r="J1891" s="44" t="n">
        <x:v>0.06895</x:v>
      </x:c>
      <x:c r="K1891" s="44" t="n">
        <x:f>I1891*J1891</x:f>
        <x:v>0.010447657948481454</x:v>
      </x:c>
      <x:c r="L1891" s="46" t="n">
        <x:v>0</x:v>
      </x:c>
      <x:c r="M1891" s="46" t="n">
        <x:v>0</x:v>
      </x:c>
      <x:c r="N1891" s="21" t="n">
        <x:f>IF(AND(L1890=1,M1890=1,P1890&gt;0),1,0)</x:f>
        <x:v>0</x:v>
      </x:c>
      <x:c r="O1891" s="21" t="n">
        <x:f>MIN('Root Data'!I571:I573)</x:f>
        <x:v>0</x:v>
      </x:c>
      <x:c r="P1891" s="44" t="n">
        <x:f>IF(AND(L1891=1,M1891=1,N1891=1,O1891&gt;=G1891),K1891,0)</x:f>
        <x:v>0</x:v>
      </x:c>
      <x:c r="Q1891" s="21" t="str">
        <x:v>OPEN</x:v>
      </x:c>
      <x:c r="R1891" s="23" t="str">
        <x:v>HOLD</x:v>
      </x:c>
    </x:row>
    <x:row r="1892">
      <x:c r="B1892" s="21" t="str">
        <x:v>AR-01886</x:v>
      </x:c>
      <x:c r="C1892" s="21" t="str">
        <x:v>F48-I1</x:v>
      </x:c>
      <x:c r="D1892" s="21" t="str">
        <x:v>F48</x:v>
      </x:c>
      <x:c r="E1892" s="21" t="n">
        <x:v>6</x:v>
      </x:c>
      <x:c r="F1892" s="21" t="str">
        <x:v>Representative mission result</x:v>
      </x:c>
      <x:c r="G1892" s="21" t="n">
        <x:v>23</x:v>
      </x:c>
      <x:c r="H1892" s="21" t="str">
        <x:v>Receiving Service Authority</x:v>
      </x:c>
      <x:c r="I1892" s="44" t="n">
        <x:f>Lifecycle!G12</x:f>
        <x:v>0.250345872587127</x:v>
      </x:c>
      <x:c r="J1892" s="44" t="n">
        <x:v>0.06895</x:v>
      </x:c>
      <x:c r="K1892" s="44" t="n">
        <x:f>I1892*J1892</x:f>
        <x:v>0.017261347914882406</x:v>
      </x:c>
      <x:c r="L1892" s="46" t="n">
        <x:v>0</x:v>
      </x:c>
      <x:c r="M1892" s="46" t="n">
        <x:v>0</x:v>
      </x:c>
      <x:c r="N1892" s="21" t="n">
        <x:f>IF(AND(L1891=1,M1891=1,P1891&gt;0),1,0)</x:f>
        <x:v>0</x:v>
      </x:c>
      <x:c r="O1892" s="21" t="n">
        <x:f>MIN('Root Data'!I571:I573)</x:f>
        <x:v>0</x:v>
      </x:c>
      <x:c r="P1892" s="44" t="n">
        <x:f>IF(AND(L1892=1,M1892=1,N1892=1,O1892&gt;=G1892),K1892,0)</x:f>
        <x:v>0</x:v>
      </x:c>
      <x:c r="Q1892" s="21" t="str">
        <x:v>OPEN</x:v>
      </x:c>
      <x:c r="R1892" s="23" t="str">
        <x:v>HOLD</x:v>
      </x:c>
    </x:row>
    <x:row r="1893">
      <x:c r="B1893" s="21" t="str">
        <x:v>AR-01887</x:v>
      </x:c>
      <x:c r="C1893" s="21" t="str">
        <x:v>F48-I1</x:v>
      </x:c>
      <x:c r="D1893" s="21" t="str">
        <x:v>F48</x:v>
      </x:c>
      <x:c r="E1893" s="21" t="n">
        <x:v>7</x:v>
      </x:c>
      <x:c r="F1893" s="21" t="str">
        <x:v>Independent reproduction</x:v>
      </x:c>
      <x:c r="G1893" s="21" t="n">
        <x:v>28</x:v>
      </x:c>
      <x:c r="H1893" s="21" t="str">
        <x:v>Independent Evidence and Data Authority</x:v>
      </x:c>
      <x:c r="I1893" s="44" t="n">
        <x:f>Lifecycle!G13</x:f>
        <x:v>0.21740562619408393</x:v>
      </x:c>
      <x:c r="J1893" s="44" t="n">
        <x:v>0.06895</x:v>
      </x:c>
      <x:c r="K1893" s="44" t="n">
        <x:f>I1893*J1893</x:f>
        <x:v>0.014990117926082087</x:v>
      </x:c>
      <x:c r="L1893" s="46" t="n">
        <x:v>0</x:v>
      </x:c>
      <x:c r="M1893" s="46" t="n">
        <x:v>0</x:v>
      </x:c>
      <x:c r="N1893" s="21" t="n">
        <x:f>IF(AND(L1892=1,M1892=1,P1892&gt;0),1,0)</x:f>
        <x:v>0</x:v>
      </x:c>
      <x:c r="O1893" s="21" t="n">
        <x:f>MIN('Root Data'!I571:I573)</x:f>
        <x:v>0</x:v>
      </x:c>
      <x:c r="P1893" s="44" t="n">
        <x:f>IF(AND(L1893=1,M1893=1,N1893=1,O1893&gt;=G1893),K1893,0)</x:f>
        <x:v>0</x:v>
      </x:c>
      <x:c r="Q1893" s="21" t="str">
        <x:v>OPEN</x:v>
      </x:c>
      <x:c r="R1893" s="23" t="str">
        <x:v>HOLD</x:v>
      </x:c>
    </x:row>
    <x:row r="1894">
      <x:c r="B1894" s="21" t="str">
        <x:v>AR-01888</x:v>
      </x:c>
      <x:c r="C1894" s="21" t="str">
        <x:v>F48-I1</x:v>
      </x:c>
      <x:c r="D1894" s="21" t="str">
        <x:v>F48</x:v>
      </x:c>
      <x:c r="E1894" s="21" t="n">
        <x:v>8</x:v>
      </x:c>
      <x:c r="F1894" s="21" t="str">
        <x:v>Pilot-process qualification</x:v>
      </x:c>
      <x:c r="G1894" s="21" t="n">
        <x:v>28</x:v>
      </x:c>
      <x:c r="H1894" s="21" t="str">
        <x:v>AIMC Industrial Mobilization Authority</x:v>
      </x:c>
      <x:c r="I1894" s="44" t="n">
        <x:f>Lifecycle!G14</x:f>
        <x:v>0.03952829567165163</x:v>
      </x:c>
      <x:c r="J1894" s="44" t="n">
        <x:v>0.06895</x:v>
      </x:c>
      <x:c r="K1894" s="44" t="n">
        <x:f>I1894*J1894</x:f>
        <x:v>0.0027254759865603796</x:v>
      </x:c>
      <x:c r="L1894" s="46" t="n">
        <x:v>0</x:v>
      </x:c>
      <x:c r="M1894" s="46" t="n">
        <x:v>0</x:v>
      </x:c>
      <x:c r="N1894" s="21" t="n">
        <x:f>IF(AND(L1893=1,M1893=1,P1893&gt;0),1,0)</x:f>
        <x:v>0</x:v>
      </x:c>
      <x:c r="O1894" s="21" t="n">
        <x:f>MIN('Root Data'!I571:I573)</x:f>
        <x:v>0</x:v>
      </x:c>
      <x:c r="P1894" s="44" t="n">
        <x:f>IF(AND(L1894=1,M1894=1,N1894=1,O1894&gt;=G1894),K1894,0)</x:f>
        <x:v>0</x:v>
      </x:c>
      <x:c r="Q1894" s="21" t="str">
        <x:v>OPEN</x:v>
      </x:c>
      <x:c r="R1894" s="23" t="str">
        <x:v>HOLD</x:v>
      </x:c>
    </x:row>
    <x:row r="1895">
      <x:c r="B1895" s="21" t="str">
        <x:v>AR-01889</x:v>
      </x:c>
      <x:c r="C1895" s="21" t="str">
        <x:v>F48-I1</x:v>
      </x:c>
      <x:c r="D1895" s="21" t="str">
        <x:v>F48</x:v>
      </x:c>
      <x:c r="E1895" s="21" t="n">
        <x:v>9</x:v>
      </x:c>
      <x:c r="F1895" s="21" t="str">
        <x:v>Production release package</x:v>
      </x:c>
      <x:c r="G1895" s="21" t="n">
        <x:v>28</x:v>
      </x:c>
      <x:c r="H1895" s="21" t="str">
        <x:v>Production Release Board</x:v>
      </x:c>
      <x:c r="I1895" s="44" t="n">
        <x:f>Lifecycle!G15</x:f>
        <x:v>0.01647012319652151</x:v>
      </x:c>
      <x:c r="J1895" s="44" t="n">
        <x:v>0.06895</x:v>
      </x:c>
      <x:c r="K1895" s="44" t="n">
        <x:f>I1895*J1895</x:f>
        <x:v>0.0011356149944001582</x:v>
      </x:c>
      <x:c r="L1895" s="46" t="n">
        <x:v>0</x:v>
      </x:c>
      <x:c r="M1895" s="46" t="n">
        <x:v>0</x:v>
      </x:c>
      <x:c r="N1895" s="21" t="n">
        <x:f>IF(AND(L1894=1,M1894=1,P1894&gt;0),1,0)</x:f>
        <x:v>0</x:v>
      </x:c>
      <x:c r="O1895" s="21" t="n">
        <x:f>MIN('Root Data'!I571:I573)</x:f>
        <x:v>0</x:v>
      </x:c>
      <x:c r="P1895" s="44" t="n">
        <x:f>IF(AND(L1895=1,M1895=1,N1895=1,O1895&gt;=G1895),K1895,0)</x:f>
        <x:v>0</x:v>
      </x:c>
      <x:c r="Q1895" s="21" t="str">
        <x:v>OPEN</x:v>
      </x:c>
      <x:c r="R1895" s="23" t="str">
        <x:v>HOLD</x:v>
      </x:c>
    </x:row>
    <x:row r="1896">
      <x:c r="B1896" s="21" t="str">
        <x:v>AR-01890</x:v>
      </x:c>
      <x:c r="C1896" s="21" t="str">
        <x:v>F48-I1</x:v>
      </x:c>
      <x:c r="D1896" s="21" t="str">
        <x:v>F48</x:v>
      </x:c>
      <x:c r="E1896" s="21" t="n">
        <x:v>10</x:v>
      </x:c>
      <x:c r="F1896" s="21" t="str">
        <x:v>Mobilization activation</x:v>
      </x:c>
      <x:c r="G1896" s="21" t="n">
        <x:v>28</x:v>
      </x:c>
      <x:c r="H1896" s="21" t="str">
        <x:v>Production Release Board</x:v>
      </x:c>
      <x:c r="I1896" s="44" t="n">
        <x:f>Lifecycle!G16</x:f>
        <x:v>0.028262731405230914</x:v>
      </x:c>
      <x:c r="J1896" s="44" t="n">
        <x:v>0.06895</x:v>
      </x:c>
      <x:c r="K1896" s="44" t="n">
        <x:f>I1896*J1896</x:f>
        <x:v>0.0019487153303906714</x:v>
      </x:c>
      <x:c r="L1896" s="46" t="n">
        <x:v>0</x:v>
      </x:c>
      <x:c r="M1896" s="46" t="n">
        <x:v>0</x:v>
      </x:c>
      <x:c r="N1896" s="21" t="n">
        <x:f>IF(AND(L1895=1,M1895=1,P1895&gt;0),1,0)</x:f>
        <x:v>0</x:v>
      </x:c>
      <x:c r="O1896" s="21" t="n">
        <x:f>MIN('Root Data'!I571:I573)</x:f>
        <x:v>0</x:v>
      </x:c>
      <x:c r="P1896" s="44" t="n">
        <x:f>IF(AND(L1896=1,M1896=1,N1896=1,O1896&gt;=G1896),K1896,0)</x:f>
        <x:v>0</x:v>
      </x:c>
      <x:c r="Q1896" s="21" t="str">
        <x:v>OPEN</x:v>
      </x:c>
      <x:c r="R1896" s="23" t="str">
        <x:v>HOLD</x:v>
      </x:c>
    </x:row>
    <x:row r="1897">
      <x:c r="B1897" s="21" t="str">
        <x:v>AR-01891</x:v>
      </x:c>
      <x:c r="C1897" s="21" t="str">
        <x:v>F48-I2</x:v>
      </x:c>
      <x:c r="D1897" s="21" t="str">
        <x:v>F48</x:v>
      </x:c>
      <x:c r="E1897" s="21" t="n">
        <x:v>1</x:v>
      </x:c>
      <x:c r="F1897" s="21" t="str">
        <x:v>Civil effect charter</x:v>
      </x:c>
      <x:c r="G1897" s="21" t="n">
        <x:v>0</x:v>
      </x:c>
      <x:c r="H1897" s="21" t="str">
        <x:v>Civil Guarantee Authority</x:v>
      </x:c>
      <x:c r="I1897" s="44" t="n">
        <x:f>Lifecycle!G7</x:f>
        <x:v>0.04941036958956453</x:v>
      </x:c>
      <x:c r="J1897" s="44" t="n">
        <x:v>0.06895</x:v>
      </x:c>
      <x:c r="K1897" s="44" t="n">
        <x:f>I1897*J1897</x:f>
        <x:v>0.003406844983200474</x:v>
      </x:c>
      <x:c r="L1897" s="46" t="n">
        <x:v>0</x:v>
      </x:c>
      <x:c r="M1897" s="46" t="n">
        <x:v>0</x:v>
      </x:c>
      <x:c r="N1897" s="21" t="n">
        <x:f>1</x:f>
        <x:v>1</x:v>
      </x:c>
      <x:c r="O1897" s="21" t="n">
        <x:f>MIN('Root Data'!I574:I576)</x:f>
        <x:v>0</x:v>
      </x:c>
      <x:c r="P1897" s="44" t="n">
        <x:f>IF(AND(L1897=1,M1897=1,N1897=1,O1897&gt;=G1897),K1897,0)</x:f>
        <x:v>0</x:v>
      </x:c>
      <x:c r="Q1897" s="21" t="str">
        <x:v>OPEN</x:v>
      </x:c>
      <x:c r="R1897" s="23" t="str">
        <x:v>HOLD</x:v>
      </x:c>
    </x:row>
    <x:row r="1898">
      <x:c r="B1898" s="21" t="str">
        <x:v>AR-01892</x:v>
      </x:c>
      <x:c r="C1898" s="21" t="str">
        <x:v>F48-I2</x:v>
      </x:c>
      <x:c r="D1898" s="21" t="str">
        <x:v>F48</x:v>
      </x:c>
      <x:c r="E1898" s="21" t="n">
        <x:v>2</x:v>
      </x:c>
      <x:c r="F1898" s="21" t="str">
        <x:v>Requirement and root-independence package</x:v>
      </x:c>
      <x:c r="G1898" s="21" t="n">
        <x:v>8</x:v>
      </x:c>
      <x:c r="H1898" s="21" t="str">
        <x:v>Resilience Staff</x:v>
      </x:c>
      <x:c r="I1898" s="44" t="n">
        <x:f>Lifecycle!G8</x:f>
        <x:v>0.10211476381843337</x:v>
      </x:c>
      <x:c r="J1898" s="44" t="n">
        <x:v>0.06895</x:v>
      </x:c>
      <x:c r="K1898" s="44" t="n">
        <x:f>I1898*J1898</x:f>
        <x:v>0.007040812965280981</x:v>
      </x:c>
      <x:c r="L1898" s="46" t="n">
        <x:v>0</x:v>
      </x:c>
      <x:c r="M1898" s="46" t="n">
        <x:v>0</x:v>
      </x:c>
      <x:c r="N1898" s="21" t="n">
        <x:f>IF(AND(L1897=1,M1897=1,P1897&gt;0),1,0)</x:f>
        <x:v>0</x:v>
      </x:c>
      <x:c r="O1898" s="21" t="n">
        <x:f>MIN('Root Data'!I574:I576)</x:f>
        <x:v>0</x:v>
      </x:c>
      <x:c r="P1898" s="44" t="n">
        <x:f>IF(AND(L1898=1,M1898=1,N1898=1,O1898&gt;=G1898),K1898,0)</x:f>
        <x:v>0</x:v>
      </x:c>
      <x:c r="Q1898" s="21" t="str">
        <x:v>OPEN</x:v>
      </x:c>
      <x:c r="R1898" s="23" t="str">
        <x:v>HOLD</x:v>
      </x:c>
    </x:row>
    <x:row r="1899">
      <x:c r="B1899" s="21" t="str">
        <x:v>AR-01893</x:v>
      </x:c>
      <x:c r="C1899" s="21" t="str">
        <x:v>F48-I2</x:v>
      </x:c>
      <x:c r="D1899" s="21" t="str">
        <x:v>F48</x:v>
      </x:c>
      <x:c r="E1899" s="21" t="n">
        <x:v>3</x:v>
      </x:c>
      <x:c r="F1899" s="21" t="str">
        <x:v>Architecture and burden closure</x:v>
      </x:c>
      <x:c r="G1899" s="21" t="n">
        <x:v>14</x:v>
      </x:c>
      <x:c r="H1899" s="21" t="str">
        <x:v>Independent Evidence and Data Authority</x:v>
      </x:c>
      <x:c r="I1899" s="44" t="n">
        <x:f>Lifecycle!G9</x:f>
        <x:v>0.08564464062191186</x:v>
      </x:c>
      <x:c r="J1899" s="44" t="n">
        <x:v>0.06895</x:v>
      </x:c>
      <x:c r="K1899" s="44" t="n">
        <x:f>I1899*J1899</x:f>
        <x:v>0.005905197970880823</x:v>
      </x:c>
      <x:c r="L1899" s="46" t="n">
        <x:v>0</x:v>
      </x:c>
      <x:c r="M1899" s="46" t="n">
        <x:v>0</x:v>
      </x:c>
      <x:c r="N1899" s="21" t="n">
        <x:f>IF(AND(L1898=1,M1898=1,P1898&gt;0),1,0)</x:f>
        <x:v>0</x:v>
      </x:c>
      <x:c r="O1899" s="21" t="n">
        <x:f>MIN('Root Data'!I574:I576)</x:f>
        <x:v>0</x:v>
      </x:c>
      <x:c r="P1899" s="44" t="n">
        <x:f>IF(AND(L1899=1,M1899=1,N1899=1,O1899&gt;=G1899),K1899,0)</x:f>
        <x:v>0</x:v>
      </x:c>
      <x:c r="Q1899" s="21" t="str">
        <x:v>OPEN</x:v>
      </x:c>
      <x:c r="R1899" s="23" t="str">
        <x:v>HOLD</x:v>
      </x:c>
    </x:row>
    <x:row r="1900">
      <x:c r="B1900" s="21" t="str">
        <x:v>AR-01894</x:v>
      </x:c>
      <x:c r="C1900" s="21" t="str">
        <x:v>F48-I2</x:v>
      </x:c>
      <x:c r="D1900" s="21" t="str">
        <x:v>F48</x:v>
      </x:c>
      <x:c r="E1900" s="21" t="n">
        <x:v>4</x:v>
      </x:c>
      <x:c r="F1900" s="21" t="str">
        <x:v>Engineering article acceptance</x:v>
      </x:c>
      <x:c r="G1900" s="21" t="n">
        <x:v>18</x:v>
      </x:c>
      <x:c r="H1900" s="21" t="str">
        <x:v>Independent Evidence and Data Authority</x:v>
      </x:c>
      <x:c r="I1900" s="44" t="n">
        <x:f>Lifecycle!G10</x:f>
        <x:v>0.05929244350747744</x:v>
      </x:c>
      <x:c r="J1900" s="44" t="n">
        <x:v>0.06895</x:v>
      </x:c>
      <x:c r="K1900" s="44" t="n">
        <x:f>I1900*J1900</x:f>
        <x:v>0.004088213979840569</x:v>
      </x:c>
      <x:c r="L1900" s="46" t="n">
        <x:v>0</x:v>
      </x:c>
      <x:c r="M1900" s="46" t="n">
        <x:v>0</x:v>
      </x:c>
      <x:c r="N1900" s="21" t="n">
        <x:f>IF(AND(L1899=1,M1899=1,P1899&gt;0),1,0)</x:f>
        <x:v>0</x:v>
      </x:c>
      <x:c r="O1900" s="21" t="n">
        <x:f>MIN('Root Data'!I574:I576)</x:f>
        <x:v>0</x:v>
      </x:c>
      <x:c r="P1900" s="44" t="n">
        <x:f>IF(AND(L1900=1,M1900=1,N1900=1,O1900&gt;=G1900),K1900,0)</x:f>
        <x:v>0</x:v>
      </x:c>
      <x:c r="Q1900" s="21" t="str">
        <x:v>OPEN</x:v>
      </x:c>
      <x:c r="R1900" s="23" t="str">
        <x:v>HOLD</x:v>
      </x:c>
    </x:row>
    <x:row r="1901">
      <x:c r="B1901" s="21" t="str">
        <x:v>AR-01895</x:v>
      </x:c>
      <x:c r="C1901" s="21" t="str">
        <x:v>F48-I2</x:v>
      </x:c>
      <x:c r="D1901" s="21" t="str">
        <x:v>F48</x:v>
      </x:c>
      <x:c r="E1901" s="21" t="n">
        <x:v>5</x:v>
      </x:c>
      <x:c r="F1901" s="21" t="str">
        <x:v>Qualification and destructive evidence</x:v>
      </x:c>
      <x:c r="G1901" s="21" t="n">
        <x:v>21</x:v>
      </x:c>
      <x:c r="H1901" s="21" t="str">
        <x:v>Independent Evidence and Data Authority</x:v>
      </x:c>
      <x:c r="I1901" s="44" t="n">
        <x:f>Lifecycle!G11</x:f>
        <x:v>0.1515251334079979</x:v>
      </x:c>
      <x:c r="J1901" s="44" t="n">
        <x:v>0.06895</x:v>
      </x:c>
      <x:c r="K1901" s="44" t="n">
        <x:f>I1901*J1901</x:f>
        <x:v>0.010447657948481454</x:v>
      </x:c>
      <x:c r="L1901" s="46" t="n">
        <x:v>0</x:v>
      </x:c>
      <x:c r="M1901" s="46" t="n">
        <x:v>0</x:v>
      </x:c>
      <x:c r="N1901" s="21" t="n">
        <x:f>IF(AND(L1900=1,M1900=1,P1900&gt;0),1,0)</x:f>
        <x:v>0</x:v>
      </x:c>
      <x:c r="O1901" s="21" t="n">
        <x:f>MIN('Root Data'!I574:I576)</x:f>
        <x:v>0</x:v>
      </x:c>
      <x:c r="P1901" s="44" t="n">
        <x:f>IF(AND(L1901=1,M1901=1,N1901=1,O1901&gt;=G1901),K1901,0)</x:f>
        <x:v>0</x:v>
      </x:c>
      <x:c r="Q1901" s="21" t="str">
        <x:v>OPEN</x:v>
      </x:c>
      <x:c r="R1901" s="23" t="str">
        <x:v>HOLD</x:v>
      </x:c>
    </x:row>
    <x:row r="1902">
      <x:c r="B1902" s="21" t="str">
        <x:v>AR-01896</x:v>
      </x:c>
      <x:c r="C1902" s="21" t="str">
        <x:v>F48-I2</x:v>
      </x:c>
      <x:c r="D1902" s="21" t="str">
        <x:v>F48</x:v>
      </x:c>
      <x:c r="E1902" s="21" t="n">
        <x:v>6</x:v>
      </x:c>
      <x:c r="F1902" s="21" t="str">
        <x:v>Representative mission result</x:v>
      </x:c>
      <x:c r="G1902" s="21" t="n">
        <x:v>23</x:v>
      </x:c>
      <x:c r="H1902" s="21" t="str">
        <x:v>Receiving Service Authority</x:v>
      </x:c>
      <x:c r="I1902" s="44" t="n">
        <x:f>Lifecycle!G12</x:f>
        <x:v>0.250345872587127</x:v>
      </x:c>
      <x:c r="J1902" s="44" t="n">
        <x:v>0.06895</x:v>
      </x:c>
      <x:c r="K1902" s="44" t="n">
        <x:f>I1902*J1902</x:f>
        <x:v>0.017261347914882406</x:v>
      </x:c>
      <x:c r="L1902" s="46" t="n">
        <x:v>0</x:v>
      </x:c>
      <x:c r="M1902" s="46" t="n">
        <x:v>0</x:v>
      </x:c>
      <x:c r="N1902" s="21" t="n">
        <x:f>IF(AND(L1901=1,M1901=1,P1901&gt;0),1,0)</x:f>
        <x:v>0</x:v>
      </x:c>
      <x:c r="O1902" s="21" t="n">
        <x:f>MIN('Root Data'!I574:I576)</x:f>
        <x:v>0</x:v>
      </x:c>
      <x:c r="P1902" s="44" t="n">
        <x:f>IF(AND(L1902=1,M1902=1,N1902=1,O1902&gt;=G1902),K1902,0)</x:f>
        <x:v>0</x:v>
      </x:c>
      <x:c r="Q1902" s="21" t="str">
        <x:v>OPEN</x:v>
      </x:c>
      <x:c r="R1902" s="23" t="str">
        <x:v>HOLD</x:v>
      </x:c>
    </x:row>
    <x:row r="1903">
      <x:c r="B1903" s="21" t="str">
        <x:v>AR-01897</x:v>
      </x:c>
      <x:c r="C1903" s="21" t="str">
        <x:v>F48-I2</x:v>
      </x:c>
      <x:c r="D1903" s="21" t="str">
        <x:v>F48</x:v>
      </x:c>
      <x:c r="E1903" s="21" t="n">
        <x:v>7</x:v>
      </x:c>
      <x:c r="F1903" s="21" t="str">
        <x:v>Independent reproduction</x:v>
      </x:c>
      <x:c r="G1903" s="21" t="n">
        <x:v>28</x:v>
      </x:c>
      <x:c r="H1903" s="21" t="str">
        <x:v>Independent Evidence and Data Authority</x:v>
      </x:c>
      <x:c r="I1903" s="44" t="n">
        <x:f>Lifecycle!G13</x:f>
        <x:v>0.21740562619408393</x:v>
      </x:c>
      <x:c r="J1903" s="44" t="n">
        <x:v>0.06895</x:v>
      </x:c>
      <x:c r="K1903" s="44" t="n">
        <x:f>I1903*J1903</x:f>
        <x:v>0.014990117926082087</x:v>
      </x:c>
      <x:c r="L1903" s="46" t="n">
        <x:v>0</x:v>
      </x:c>
      <x:c r="M1903" s="46" t="n">
        <x:v>0</x:v>
      </x:c>
      <x:c r="N1903" s="21" t="n">
        <x:f>IF(AND(L1902=1,M1902=1,P1902&gt;0),1,0)</x:f>
        <x:v>0</x:v>
      </x:c>
      <x:c r="O1903" s="21" t="n">
        <x:f>MIN('Root Data'!I574:I576)</x:f>
        <x:v>0</x:v>
      </x:c>
      <x:c r="P1903" s="44" t="n">
        <x:f>IF(AND(L1903=1,M1903=1,N1903=1,O1903&gt;=G1903),K1903,0)</x:f>
        <x:v>0</x:v>
      </x:c>
      <x:c r="Q1903" s="21" t="str">
        <x:v>OPEN</x:v>
      </x:c>
      <x:c r="R1903" s="23" t="str">
        <x:v>HOLD</x:v>
      </x:c>
    </x:row>
    <x:row r="1904">
      <x:c r="B1904" s="21" t="str">
        <x:v>AR-01898</x:v>
      </x:c>
      <x:c r="C1904" s="21" t="str">
        <x:v>F48-I2</x:v>
      </x:c>
      <x:c r="D1904" s="21" t="str">
        <x:v>F48</x:v>
      </x:c>
      <x:c r="E1904" s="21" t="n">
        <x:v>8</x:v>
      </x:c>
      <x:c r="F1904" s="21" t="str">
        <x:v>Pilot-process qualification</x:v>
      </x:c>
      <x:c r="G1904" s="21" t="n">
        <x:v>28</x:v>
      </x:c>
      <x:c r="H1904" s="21" t="str">
        <x:v>AIMC Industrial Mobilization Authority</x:v>
      </x:c>
      <x:c r="I1904" s="44" t="n">
        <x:f>Lifecycle!G14</x:f>
        <x:v>0.03952829567165163</x:v>
      </x:c>
      <x:c r="J1904" s="44" t="n">
        <x:v>0.06895</x:v>
      </x:c>
      <x:c r="K1904" s="44" t="n">
        <x:f>I1904*J1904</x:f>
        <x:v>0.0027254759865603796</x:v>
      </x:c>
      <x:c r="L1904" s="46" t="n">
        <x:v>0</x:v>
      </x:c>
      <x:c r="M1904" s="46" t="n">
        <x:v>0</x:v>
      </x:c>
      <x:c r="N1904" s="21" t="n">
        <x:f>IF(AND(L1903=1,M1903=1,P1903&gt;0),1,0)</x:f>
        <x:v>0</x:v>
      </x:c>
      <x:c r="O1904" s="21" t="n">
        <x:f>MIN('Root Data'!I574:I576)</x:f>
        <x:v>0</x:v>
      </x:c>
      <x:c r="P1904" s="44" t="n">
        <x:f>IF(AND(L1904=1,M1904=1,N1904=1,O1904&gt;=G1904),K1904,0)</x:f>
        <x:v>0</x:v>
      </x:c>
      <x:c r="Q1904" s="21" t="str">
        <x:v>OPEN</x:v>
      </x:c>
      <x:c r="R1904" s="23" t="str">
        <x:v>HOLD</x:v>
      </x:c>
    </x:row>
    <x:row r="1905">
      <x:c r="B1905" s="21" t="str">
        <x:v>AR-01899</x:v>
      </x:c>
      <x:c r="C1905" s="21" t="str">
        <x:v>F48-I2</x:v>
      </x:c>
      <x:c r="D1905" s="21" t="str">
        <x:v>F48</x:v>
      </x:c>
      <x:c r="E1905" s="21" t="n">
        <x:v>9</x:v>
      </x:c>
      <x:c r="F1905" s="21" t="str">
        <x:v>Production release package</x:v>
      </x:c>
      <x:c r="G1905" s="21" t="n">
        <x:v>28</x:v>
      </x:c>
      <x:c r="H1905" s="21" t="str">
        <x:v>Production Release Board</x:v>
      </x:c>
      <x:c r="I1905" s="44" t="n">
        <x:f>Lifecycle!G15</x:f>
        <x:v>0.01647012319652151</x:v>
      </x:c>
      <x:c r="J1905" s="44" t="n">
        <x:v>0.06895</x:v>
      </x:c>
      <x:c r="K1905" s="44" t="n">
        <x:f>I1905*J1905</x:f>
        <x:v>0.0011356149944001582</x:v>
      </x:c>
      <x:c r="L1905" s="46" t="n">
        <x:v>0</x:v>
      </x:c>
      <x:c r="M1905" s="46" t="n">
        <x:v>0</x:v>
      </x:c>
      <x:c r="N1905" s="21" t="n">
        <x:f>IF(AND(L1904=1,M1904=1,P1904&gt;0),1,0)</x:f>
        <x:v>0</x:v>
      </x:c>
      <x:c r="O1905" s="21" t="n">
        <x:f>MIN('Root Data'!I574:I576)</x:f>
        <x:v>0</x:v>
      </x:c>
      <x:c r="P1905" s="44" t="n">
        <x:f>IF(AND(L1905=1,M1905=1,N1905=1,O1905&gt;=G1905),K1905,0)</x:f>
        <x:v>0</x:v>
      </x:c>
      <x:c r="Q1905" s="21" t="str">
        <x:v>OPEN</x:v>
      </x:c>
      <x:c r="R1905" s="23" t="str">
        <x:v>HOLD</x:v>
      </x:c>
    </x:row>
    <x:row r="1906">
      <x:c r="B1906" s="21" t="str">
        <x:v>AR-01900</x:v>
      </x:c>
      <x:c r="C1906" s="21" t="str">
        <x:v>F48-I2</x:v>
      </x:c>
      <x:c r="D1906" s="21" t="str">
        <x:v>F48</x:v>
      </x:c>
      <x:c r="E1906" s="21" t="n">
        <x:v>10</x:v>
      </x:c>
      <x:c r="F1906" s="21" t="str">
        <x:v>Mobilization activation</x:v>
      </x:c>
      <x:c r="G1906" s="21" t="n">
        <x:v>28</x:v>
      </x:c>
      <x:c r="H1906" s="21" t="str">
        <x:v>Production Release Board</x:v>
      </x:c>
      <x:c r="I1906" s="44" t="n">
        <x:f>Lifecycle!G16</x:f>
        <x:v>0.028262731405230914</x:v>
      </x:c>
      <x:c r="J1906" s="44" t="n">
        <x:v>0.06895</x:v>
      </x:c>
      <x:c r="K1906" s="44" t="n">
        <x:f>I1906*J1906</x:f>
        <x:v>0.0019487153303906714</x:v>
      </x:c>
      <x:c r="L1906" s="46" t="n">
        <x:v>0</x:v>
      </x:c>
      <x:c r="M1906" s="46" t="n">
        <x:v>0</x:v>
      </x:c>
      <x:c r="N1906" s="21" t="n">
        <x:f>IF(AND(L1905=1,M1905=1,P1905&gt;0),1,0)</x:f>
        <x:v>0</x:v>
      </x:c>
      <x:c r="O1906" s="21" t="n">
        <x:f>MIN('Root Data'!I574:I576)</x:f>
        <x:v>0</x:v>
      </x:c>
      <x:c r="P1906" s="44" t="n">
        <x:f>IF(AND(L1906=1,M1906=1,N1906=1,O1906&gt;=G1906),K1906,0)</x:f>
        <x:v>0</x:v>
      </x:c>
      <x:c r="Q1906" s="21" t="str">
        <x:v>OPEN</x:v>
      </x:c>
      <x:c r="R1906" s="23" t="str">
        <x:v>HOLD</x:v>
      </x:c>
    </x:row>
    <x:row r="1907">
      <x:c r="B1907" s="21" t="str">
        <x:v>AR-01901</x:v>
      </x:c>
      <x:c r="C1907" s="21" t="str">
        <x:v>F48-I3</x:v>
      </x:c>
      <x:c r="D1907" s="21" t="str">
        <x:v>F48</x:v>
      </x:c>
      <x:c r="E1907" s="21" t="n">
        <x:v>1</x:v>
      </x:c>
      <x:c r="F1907" s="21" t="str">
        <x:v>Civil effect charter</x:v>
      </x:c>
      <x:c r="G1907" s="21" t="n">
        <x:v>0</x:v>
      </x:c>
      <x:c r="H1907" s="21" t="str">
        <x:v>Civil Guarantee Authority</x:v>
      </x:c>
      <x:c r="I1907" s="44" t="n">
        <x:f>Lifecycle!G7</x:f>
        <x:v>0.04941036958956453</x:v>
      </x:c>
      <x:c r="J1907" s="44" t="n">
        <x:v>0.06895</x:v>
      </x:c>
      <x:c r="K1907" s="44" t="n">
        <x:f>I1907*J1907</x:f>
        <x:v>0.003406844983200474</x:v>
      </x:c>
      <x:c r="L1907" s="46" t="n">
        <x:v>0</x:v>
      </x:c>
      <x:c r="M1907" s="46" t="n">
        <x:v>0</x:v>
      </x:c>
      <x:c r="N1907" s="21" t="n">
        <x:f>1</x:f>
        <x:v>1</x:v>
      </x:c>
      <x:c r="O1907" s="21" t="n">
        <x:f>MIN('Root Data'!I577:I579)</x:f>
        <x:v>0</x:v>
      </x:c>
      <x:c r="P1907" s="44" t="n">
        <x:f>IF(AND(L1907=1,M1907=1,N1907=1,O1907&gt;=G1907),K1907,0)</x:f>
        <x:v>0</x:v>
      </x:c>
      <x:c r="Q1907" s="21" t="str">
        <x:v>OPEN</x:v>
      </x:c>
      <x:c r="R1907" s="23" t="str">
        <x:v>HOLD</x:v>
      </x:c>
    </x:row>
    <x:row r="1908">
      <x:c r="B1908" s="21" t="str">
        <x:v>AR-01902</x:v>
      </x:c>
      <x:c r="C1908" s="21" t="str">
        <x:v>F48-I3</x:v>
      </x:c>
      <x:c r="D1908" s="21" t="str">
        <x:v>F48</x:v>
      </x:c>
      <x:c r="E1908" s="21" t="n">
        <x:v>2</x:v>
      </x:c>
      <x:c r="F1908" s="21" t="str">
        <x:v>Requirement and root-independence package</x:v>
      </x:c>
      <x:c r="G1908" s="21" t="n">
        <x:v>8</x:v>
      </x:c>
      <x:c r="H1908" s="21" t="str">
        <x:v>Resilience Staff</x:v>
      </x:c>
      <x:c r="I1908" s="44" t="n">
        <x:f>Lifecycle!G8</x:f>
        <x:v>0.10211476381843337</x:v>
      </x:c>
      <x:c r="J1908" s="44" t="n">
        <x:v>0.06895</x:v>
      </x:c>
      <x:c r="K1908" s="44" t="n">
        <x:f>I1908*J1908</x:f>
        <x:v>0.007040812965280981</x:v>
      </x:c>
      <x:c r="L1908" s="46" t="n">
        <x:v>0</x:v>
      </x:c>
      <x:c r="M1908" s="46" t="n">
        <x:v>0</x:v>
      </x:c>
      <x:c r="N1908" s="21" t="n">
        <x:f>IF(AND(L1907=1,M1907=1,P1907&gt;0),1,0)</x:f>
        <x:v>0</x:v>
      </x:c>
      <x:c r="O1908" s="21" t="n">
        <x:f>MIN('Root Data'!I577:I579)</x:f>
        <x:v>0</x:v>
      </x:c>
      <x:c r="P1908" s="44" t="n">
        <x:f>IF(AND(L1908=1,M1908=1,N1908=1,O1908&gt;=G1908),K1908,0)</x:f>
        <x:v>0</x:v>
      </x:c>
      <x:c r="Q1908" s="21" t="str">
        <x:v>OPEN</x:v>
      </x:c>
      <x:c r="R1908" s="23" t="str">
        <x:v>HOLD</x:v>
      </x:c>
    </x:row>
    <x:row r="1909">
      <x:c r="B1909" s="21" t="str">
        <x:v>AR-01903</x:v>
      </x:c>
      <x:c r="C1909" s="21" t="str">
        <x:v>F48-I3</x:v>
      </x:c>
      <x:c r="D1909" s="21" t="str">
        <x:v>F48</x:v>
      </x:c>
      <x:c r="E1909" s="21" t="n">
        <x:v>3</x:v>
      </x:c>
      <x:c r="F1909" s="21" t="str">
        <x:v>Architecture and burden closure</x:v>
      </x:c>
      <x:c r="G1909" s="21" t="n">
        <x:v>14</x:v>
      </x:c>
      <x:c r="H1909" s="21" t="str">
        <x:v>Independent Evidence and Data Authority</x:v>
      </x:c>
      <x:c r="I1909" s="44" t="n">
        <x:f>Lifecycle!G9</x:f>
        <x:v>0.08564464062191186</x:v>
      </x:c>
      <x:c r="J1909" s="44" t="n">
        <x:v>0.06895</x:v>
      </x:c>
      <x:c r="K1909" s="44" t="n">
        <x:f>I1909*J1909</x:f>
        <x:v>0.005905197970880823</x:v>
      </x:c>
      <x:c r="L1909" s="46" t="n">
        <x:v>0</x:v>
      </x:c>
      <x:c r="M1909" s="46" t="n">
        <x:v>0</x:v>
      </x:c>
      <x:c r="N1909" s="21" t="n">
        <x:f>IF(AND(L1908=1,M1908=1,P1908&gt;0),1,0)</x:f>
        <x:v>0</x:v>
      </x:c>
      <x:c r="O1909" s="21" t="n">
        <x:f>MIN('Root Data'!I577:I579)</x:f>
        <x:v>0</x:v>
      </x:c>
      <x:c r="P1909" s="44" t="n">
        <x:f>IF(AND(L1909=1,M1909=1,N1909=1,O1909&gt;=G1909),K1909,0)</x:f>
        <x:v>0</x:v>
      </x:c>
      <x:c r="Q1909" s="21" t="str">
        <x:v>OPEN</x:v>
      </x:c>
      <x:c r="R1909" s="23" t="str">
        <x:v>HOLD</x:v>
      </x:c>
    </x:row>
    <x:row r="1910">
      <x:c r="B1910" s="21" t="str">
        <x:v>AR-01904</x:v>
      </x:c>
      <x:c r="C1910" s="21" t="str">
        <x:v>F48-I3</x:v>
      </x:c>
      <x:c r="D1910" s="21" t="str">
        <x:v>F48</x:v>
      </x:c>
      <x:c r="E1910" s="21" t="n">
        <x:v>4</x:v>
      </x:c>
      <x:c r="F1910" s="21" t="str">
        <x:v>Engineering article acceptance</x:v>
      </x:c>
      <x:c r="G1910" s="21" t="n">
        <x:v>18</x:v>
      </x:c>
      <x:c r="H1910" s="21" t="str">
        <x:v>Independent Evidence and Data Authority</x:v>
      </x:c>
      <x:c r="I1910" s="44" t="n">
        <x:f>Lifecycle!G10</x:f>
        <x:v>0.05929244350747744</x:v>
      </x:c>
      <x:c r="J1910" s="44" t="n">
        <x:v>0.06895</x:v>
      </x:c>
      <x:c r="K1910" s="44" t="n">
        <x:f>I1910*J1910</x:f>
        <x:v>0.004088213979840569</x:v>
      </x:c>
      <x:c r="L1910" s="46" t="n">
        <x:v>0</x:v>
      </x:c>
      <x:c r="M1910" s="46" t="n">
        <x:v>0</x:v>
      </x:c>
      <x:c r="N1910" s="21" t="n">
        <x:f>IF(AND(L1909=1,M1909=1,P1909&gt;0),1,0)</x:f>
        <x:v>0</x:v>
      </x:c>
      <x:c r="O1910" s="21" t="n">
        <x:f>MIN('Root Data'!I577:I579)</x:f>
        <x:v>0</x:v>
      </x:c>
      <x:c r="P1910" s="44" t="n">
        <x:f>IF(AND(L1910=1,M1910=1,N1910=1,O1910&gt;=G1910),K1910,0)</x:f>
        <x:v>0</x:v>
      </x:c>
      <x:c r="Q1910" s="21" t="str">
        <x:v>OPEN</x:v>
      </x:c>
      <x:c r="R1910" s="23" t="str">
        <x:v>HOLD</x:v>
      </x:c>
    </x:row>
    <x:row r="1911">
      <x:c r="B1911" s="21" t="str">
        <x:v>AR-01905</x:v>
      </x:c>
      <x:c r="C1911" s="21" t="str">
        <x:v>F48-I3</x:v>
      </x:c>
      <x:c r="D1911" s="21" t="str">
        <x:v>F48</x:v>
      </x:c>
      <x:c r="E1911" s="21" t="n">
        <x:v>5</x:v>
      </x:c>
      <x:c r="F1911" s="21" t="str">
        <x:v>Qualification and destructive evidence</x:v>
      </x:c>
      <x:c r="G1911" s="21" t="n">
        <x:v>21</x:v>
      </x:c>
      <x:c r="H1911" s="21" t="str">
        <x:v>Independent Evidence and Data Authority</x:v>
      </x:c>
      <x:c r="I1911" s="44" t="n">
        <x:f>Lifecycle!G11</x:f>
        <x:v>0.1515251334079979</x:v>
      </x:c>
      <x:c r="J1911" s="44" t="n">
        <x:v>0.06895</x:v>
      </x:c>
      <x:c r="K1911" s="44" t="n">
        <x:f>I1911*J1911</x:f>
        <x:v>0.010447657948481454</x:v>
      </x:c>
      <x:c r="L1911" s="46" t="n">
        <x:v>0</x:v>
      </x:c>
      <x:c r="M1911" s="46" t="n">
        <x:v>0</x:v>
      </x:c>
      <x:c r="N1911" s="21" t="n">
        <x:f>IF(AND(L1910=1,M1910=1,P1910&gt;0),1,0)</x:f>
        <x:v>0</x:v>
      </x:c>
      <x:c r="O1911" s="21" t="n">
        <x:f>MIN('Root Data'!I577:I579)</x:f>
        <x:v>0</x:v>
      </x:c>
      <x:c r="P1911" s="44" t="n">
        <x:f>IF(AND(L1911=1,M1911=1,N1911=1,O1911&gt;=G1911),K1911,0)</x:f>
        <x:v>0</x:v>
      </x:c>
      <x:c r="Q1911" s="21" t="str">
        <x:v>OPEN</x:v>
      </x:c>
      <x:c r="R1911" s="23" t="str">
        <x:v>HOLD</x:v>
      </x:c>
    </x:row>
    <x:row r="1912">
      <x:c r="B1912" s="21" t="str">
        <x:v>AR-01906</x:v>
      </x:c>
      <x:c r="C1912" s="21" t="str">
        <x:v>F48-I3</x:v>
      </x:c>
      <x:c r="D1912" s="21" t="str">
        <x:v>F48</x:v>
      </x:c>
      <x:c r="E1912" s="21" t="n">
        <x:v>6</x:v>
      </x:c>
      <x:c r="F1912" s="21" t="str">
        <x:v>Representative mission result</x:v>
      </x:c>
      <x:c r="G1912" s="21" t="n">
        <x:v>23</x:v>
      </x:c>
      <x:c r="H1912" s="21" t="str">
        <x:v>Receiving Service Authority</x:v>
      </x:c>
      <x:c r="I1912" s="44" t="n">
        <x:f>Lifecycle!G12</x:f>
        <x:v>0.250345872587127</x:v>
      </x:c>
      <x:c r="J1912" s="44" t="n">
        <x:v>0.06895</x:v>
      </x:c>
      <x:c r="K1912" s="44" t="n">
        <x:f>I1912*J1912</x:f>
        <x:v>0.017261347914882406</x:v>
      </x:c>
      <x:c r="L1912" s="46" t="n">
        <x:v>0</x:v>
      </x:c>
      <x:c r="M1912" s="46" t="n">
        <x:v>0</x:v>
      </x:c>
      <x:c r="N1912" s="21" t="n">
        <x:f>IF(AND(L1911=1,M1911=1,P1911&gt;0),1,0)</x:f>
        <x:v>0</x:v>
      </x:c>
      <x:c r="O1912" s="21" t="n">
        <x:f>MIN('Root Data'!I577:I579)</x:f>
        <x:v>0</x:v>
      </x:c>
      <x:c r="P1912" s="44" t="n">
        <x:f>IF(AND(L1912=1,M1912=1,N1912=1,O1912&gt;=G1912),K1912,0)</x:f>
        <x:v>0</x:v>
      </x:c>
      <x:c r="Q1912" s="21" t="str">
        <x:v>OPEN</x:v>
      </x:c>
      <x:c r="R1912" s="23" t="str">
        <x:v>HOLD</x:v>
      </x:c>
    </x:row>
    <x:row r="1913">
      <x:c r="B1913" s="21" t="str">
        <x:v>AR-01907</x:v>
      </x:c>
      <x:c r="C1913" s="21" t="str">
        <x:v>F48-I3</x:v>
      </x:c>
      <x:c r="D1913" s="21" t="str">
        <x:v>F48</x:v>
      </x:c>
      <x:c r="E1913" s="21" t="n">
        <x:v>7</x:v>
      </x:c>
      <x:c r="F1913" s="21" t="str">
        <x:v>Independent reproduction</x:v>
      </x:c>
      <x:c r="G1913" s="21" t="n">
        <x:v>28</x:v>
      </x:c>
      <x:c r="H1913" s="21" t="str">
        <x:v>Independent Evidence and Data Authority</x:v>
      </x:c>
      <x:c r="I1913" s="44" t="n">
        <x:f>Lifecycle!G13</x:f>
        <x:v>0.21740562619408393</x:v>
      </x:c>
      <x:c r="J1913" s="44" t="n">
        <x:v>0.06895</x:v>
      </x:c>
      <x:c r="K1913" s="44" t="n">
        <x:f>I1913*J1913</x:f>
        <x:v>0.014990117926082087</x:v>
      </x:c>
      <x:c r="L1913" s="46" t="n">
        <x:v>0</x:v>
      </x:c>
      <x:c r="M1913" s="46" t="n">
        <x:v>0</x:v>
      </x:c>
      <x:c r="N1913" s="21" t="n">
        <x:f>IF(AND(L1912=1,M1912=1,P1912&gt;0),1,0)</x:f>
        <x:v>0</x:v>
      </x:c>
      <x:c r="O1913" s="21" t="n">
        <x:f>MIN('Root Data'!I577:I579)</x:f>
        <x:v>0</x:v>
      </x:c>
      <x:c r="P1913" s="44" t="n">
        <x:f>IF(AND(L1913=1,M1913=1,N1913=1,O1913&gt;=G1913),K1913,0)</x:f>
        <x:v>0</x:v>
      </x:c>
      <x:c r="Q1913" s="21" t="str">
        <x:v>OPEN</x:v>
      </x:c>
      <x:c r="R1913" s="23" t="str">
        <x:v>HOLD</x:v>
      </x:c>
    </x:row>
    <x:row r="1914">
      <x:c r="B1914" s="21" t="str">
        <x:v>AR-01908</x:v>
      </x:c>
      <x:c r="C1914" s="21" t="str">
        <x:v>F48-I3</x:v>
      </x:c>
      <x:c r="D1914" s="21" t="str">
        <x:v>F48</x:v>
      </x:c>
      <x:c r="E1914" s="21" t="n">
        <x:v>8</x:v>
      </x:c>
      <x:c r="F1914" s="21" t="str">
        <x:v>Pilot-process qualification</x:v>
      </x:c>
      <x:c r="G1914" s="21" t="n">
        <x:v>28</x:v>
      </x:c>
      <x:c r="H1914" s="21" t="str">
        <x:v>AIMC Industrial Mobilization Authority</x:v>
      </x:c>
      <x:c r="I1914" s="44" t="n">
        <x:f>Lifecycle!G14</x:f>
        <x:v>0.03952829567165163</x:v>
      </x:c>
      <x:c r="J1914" s="44" t="n">
        <x:v>0.06895</x:v>
      </x:c>
      <x:c r="K1914" s="44" t="n">
        <x:f>I1914*J1914</x:f>
        <x:v>0.0027254759865603796</x:v>
      </x:c>
      <x:c r="L1914" s="46" t="n">
        <x:v>0</x:v>
      </x:c>
      <x:c r="M1914" s="46" t="n">
        <x:v>0</x:v>
      </x:c>
      <x:c r="N1914" s="21" t="n">
        <x:f>IF(AND(L1913=1,M1913=1,P1913&gt;0),1,0)</x:f>
        <x:v>0</x:v>
      </x:c>
      <x:c r="O1914" s="21" t="n">
        <x:f>MIN('Root Data'!I577:I579)</x:f>
        <x:v>0</x:v>
      </x:c>
      <x:c r="P1914" s="44" t="n">
        <x:f>IF(AND(L1914=1,M1914=1,N1914=1,O1914&gt;=G1914),K1914,0)</x:f>
        <x:v>0</x:v>
      </x:c>
      <x:c r="Q1914" s="21" t="str">
        <x:v>OPEN</x:v>
      </x:c>
      <x:c r="R1914" s="23" t="str">
        <x:v>HOLD</x:v>
      </x:c>
    </x:row>
    <x:row r="1915">
      <x:c r="B1915" s="21" t="str">
        <x:v>AR-01909</x:v>
      </x:c>
      <x:c r="C1915" s="21" t="str">
        <x:v>F48-I3</x:v>
      </x:c>
      <x:c r="D1915" s="21" t="str">
        <x:v>F48</x:v>
      </x:c>
      <x:c r="E1915" s="21" t="n">
        <x:v>9</x:v>
      </x:c>
      <x:c r="F1915" s="21" t="str">
        <x:v>Production release package</x:v>
      </x:c>
      <x:c r="G1915" s="21" t="n">
        <x:v>28</x:v>
      </x:c>
      <x:c r="H1915" s="21" t="str">
        <x:v>Production Release Board</x:v>
      </x:c>
      <x:c r="I1915" s="44" t="n">
        <x:f>Lifecycle!G15</x:f>
        <x:v>0.01647012319652151</x:v>
      </x:c>
      <x:c r="J1915" s="44" t="n">
        <x:v>0.06895</x:v>
      </x:c>
      <x:c r="K1915" s="44" t="n">
        <x:f>I1915*J1915</x:f>
        <x:v>0.0011356149944001582</x:v>
      </x:c>
      <x:c r="L1915" s="46" t="n">
        <x:v>0</x:v>
      </x:c>
      <x:c r="M1915" s="46" t="n">
        <x:v>0</x:v>
      </x:c>
      <x:c r="N1915" s="21" t="n">
        <x:f>IF(AND(L1914=1,M1914=1,P1914&gt;0),1,0)</x:f>
        <x:v>0</x:v>
      </x:c>
      <x:c r="O1915" s="21" t="n">
        <x:f>MIN('Root Data'!I577:I579)</x:f>
        <x:v>0</x:v>
      </x:c>
      <x:c r="P1915" s="44" t="n">
        <x:f>IF(AND(L1915=1,M1915=1,N1915=1,O1915&gt;=G1915),K1915,0)</x:f>
        <x:v>0</x:v>
      </x:c>
      <x:c r="Q1915" s="21" t="str">
        <x:v>OPEN</x:v>
      </x:c>
      <x:c r="R1915" s="23" t="str">
        <x:v>HOLD</x:v>
      </x:c>
    </x:row>
    <x:row r="1916">
      <x:c r="B1916" s="21" t="str">
        <x:v>AR-01910</x:v>
      </x:c>
      <x:c r="C1916" s="21" t="str">
        <x:v>F48-I3</x:v>
      </x:c>
      <x:c r="D1916" s="21" t="str">
        <x:v>F48</x:v>
      </x:c>
      <x:c r="E1916" s="21" t="n">
        <x:v>10</x:v>
      </x:c>
      <x:c r="F1916" s="21" t="str">
        <x:v>Mobilization activation</x:v>
      </x:c>
      <x:c r="G1916" s="21" t="n">
        <x:v>28</x:v>
      </x:c>
      <x:c r="H1916" s="21" t="str">
        <x:v>Production Release Board</x:v>
      </x:c>
      <x:c r="I1916" s="44" t="n">
        <x:f>Lifecycle!G16</x:f>
        <x:v>0.028262731405230914</x:v>
      </x:c>
      <x:c r="J1916" s="44" t="n">
        <x:v>0.06895</x:v>
      </x:c>
      <x:c r="K1916" s="44" t="n">
        <x:f>I1916*J1916</x:f>
        <x:v>0.0019487153303906714</x:v>
      </x:c>
      <x:c r="L1916" s="46" t="n">
        <x:v>0</x:v>
      </x:c>
      <x:c r="M1916" s="46" t="n">
        <x:v>0</x:v>
      </x:c>
      <x:c r="N1916" s="21" t="n">
        <x:f>IF(AND(L1915=1,M1915=1,P1915&gt;0),1,0)</x:f>
        <x:v>0</x:v>
      </x:c>
      <x:c r="O1916" s="21" t="n">
        <x:f>MIN('Root Data'!I577:I579)</x:f>
        <x:v>0</x:v>
      </x:c>
      <x:c r="P1916" s="44" t="n">
        <x:f>IF(AND(L1916=1,M1916=1,N1916=1,O1916&gt;=G1916),K1916,0)</x:f>
        <x:v>0</x:v>
      </x:c>
      <x:c r="Q1916" s="21" t="str">
        <x:v>OPEN</x:v>
      </x:c>
      <x:c r="R1916" s="23" t="str">
        <x:v>HOLD</x:v>
      </x:c>
    </x:row>
    <x:row r="1917">
      <x:c r="B1917" s="21" t="str">
        <x:v>AR-01911</x:v>
      </x:c>
      <x:c r="C1917" s="21" t="str">
        <x:v>F48-I4</x:v>
      </x:c>
      <x:c r="D1917" s="21" t="str">
        <x:v>F48</x:v>
      </x:c>
      <x:c r="E1917" s="21" t="n">
        <x:v>1</x:v>
      </x:c>
      <x:c r="F1917" s="21" t="str">
        <x:v>Civil effect charter</x:v>
      </x:c>
      <x:c r="G1917" s="21" t="n">
        <x:v>0</x:v>
      </x:c>
      <x:c r="H1917" s="21" t="str">
        <x:v>Civil Guarantee Authority</x:v>
      </x:c>
      <x:c r="I1917" s="44" t="n">
        <x:f>Lifecycle!G7</x:f>
        <x:v>0.04941036958956453</x:v>
      </x:c>
      <x:c r="J1917" s="44" t="n">
        <x:v>0.06895</x:v>
      </x:c>
      <x:c r="K1917" s="44" t="n">
        <x:f>I1917*J1917</x:f>
        <x:v>0.003406844983200474</x:v>
      </x:c>
      <x:c r="L1917" s="46" t="n">
        <x:v>0</x:v>
      </x:c>
      <x:c r="M1917" s="46" t="n">
        <x:v>0</x:v>
      </x:c>
      <x:c r="N1917" s="21" t="n">
        <x:f>1</x:f>
        <x:v>1</x:v>
      </x:c>
      <x:c r="O1917" s="21" t="n">
        <x:f>MIN('Root Data'!I580:I582)</x:f>
        <x:v>0</x:v>
      </x:c>
      <x:c r="P1917" s="44" t="n">
        <x:f>IF(AND(L1917=1,M1917=1,N1917=1,O1917&gt;=G1917),K1917,0)</x:f>
        <x:v>0</x:v>
      </x:c>
      <x:c r="Q1917" s="21" t="str">
        <x:v>OPEN</x:v>
      </x:c>
      <x:c r="R1917" s="23" t="str">
        <x:v>HOLD</x:v>
      </x:c>
    </x:row>
    <x:row r="1918">
      <x:c r="B1918" s="21" t="str">
        <x:v>AR-01912</x:v>
      </x:c>
      <x:c r="C1918" s="21" t="str">
        <x:v>F48-I4</x:v>
      </x:c>
      <x:c r="D1918" s="21" t="str">
        <x:v>F48</x:v>
      </x:c>
      <x:c r="E1918" s="21" t="n">
        <x:v>2</x:v>
      </x:c>
      <x:c r="F1918" s="21" t="str">
        <x:v>Requirement and root-independence package</x:v>
      </x:c>
      <x:c r="G1918" s="21" t="n">
        <x:v>8</x:v>
      </x:c>
      <x:c r="H1918" s="21" t="str">
        <x:v>Resilience Staff</x:v>
      </x:c>
      <x:c r="I1918" s="44" t="n">
        <x:f>Lifecycle!G8</x:f>
        <x:v>0.10211476381843337</x:v>
      </x:c>
      <x:c r="J1918" s="44" t="n">
        <x:v>0.06895</x:v>
      </x:c>
      <x:c r="K1918" s="44" t="n">
        <x:f>I1918*J1918</x:f>
        <x:v>0.007040812965280981</x:v>
      </x:c>
      <x:c r="L1918" s="46" t="n">
        <x:v>0</x:v>
      </x:c>
      <x:c r="M1918" s="46" t="n">
        <x:v>0</x:v>
      </x:c>
      <x:c r="N1918" s="21" t="n">
        <x:f>IF(AND(L1917=1,M1917=1,P1917&gt;0),1,0)</x:f>
        <x:v>0</x:v>
      </x:c>
      <x:c r="O1918" s="21" t="n">
        <x:f>MIN('Root Data'!I580:I582)</x:f>
        <x:v>0</x:v>
      </x:c>
      <x:c r="P1918" s="44" t="n">
        <x:f>IF(AND(L1918=1,M1918=1,N1918=1,O1918&gt;=G1918),K1918,0)</x:f>
        <x:v>0</x:v>
      </x:c>
      <x:c r="Q1918" s="21" t="str">
        <x:v>OPEN</x:v>
      </x:c>
      <x:c r="R1918" s="23" t="str">
        <x:v>HOLD</x:v>
      </x:c>
    </x:row>
    <x:row r="1919">
      <x:c r="B1919" s="21" t="str">
        <x:v>AR-01913</x:v>
      </x:c>
      <x:c r="C1919" s="21" t="str">
        <x:v>F48-I4</x:v>
      </x:c>
      <x:c r="D1919" s="21" t="str">
        <x:v>F48</x:v>
      </x:c>
      <x:c r="E1919" s="21" t="n">
        <x:v>3</x:v>
      </x:c>
      <x:c r="F1919" s="21" t="str">
        <x:v>Architecture and burden closure</x:v>
      </x:c>
      <x:c r="G1919" s="21" t="n">
        <x:v>14</x:v>
      </x:c>
      <x:c r="H1919" s="21" t="str">
        <x:v>Independent Evidence and Data Authority</x:v>
      </x:c>
      <x:c r="I1919" s="44" t="n">
        <x:f>Lifecycle!G9</x:f>
        <x:v>0.08564464062191186</x:v>
      </x:c>
      <x:c r="J1919" s="44" t="n">
        <x:v>0.06895</x:v>
      </x:c>
      <x:c r="K1919" s="44" t="n">
        <x:f>I1919*J1919</x:f>
        <x:v>0.005905197970880823</x:v>
      </x:c>
      <x:c r="L1919" s="46" t="n">
        <x:v>0</x:v>
      </x:c>
      <x:c r="M1919" s="46" t="n">
        <x:v>0</x:v>
      </x:c>
      <x:c r="N1919" s="21" t="n">
        <x:f>IF(AND(L1918=1,M1918=1,P1918&gt;0),1,0)</x:f>
        <x:v>0</x:v>
      </x:c>
      <x:c r="O1919" s="21" t="n">
        <x:f>MIN('Root Data'!I580:I582)</x:f>
        <x:v>0</x:v>
      </x:c>
      <x:c r="P1919" s="44" t="n">
        <x:f>IF(AND(L1919=1,M1919=1,N1919=1,O1919&gt;=G1919),K1919,0)</x:f>
        <x:v>0</x:v>
      </x:c>
      <x:c r="Q1919" s="21" t="str">
        <x:v>OPEN</x:v>
      </x:c>
      <x:c r="R1919" s="23" t="str">
        <x:v>HOLD</x:v>
      </x:c>
    </x:row>
    <x:row r="1920">
      <x:c r="B1920" s="21" t="str">
        <x:v>AR-01914</x:v>
      </x:c>
      <x:c r="C1920" s="21" t="str">
        <x:v>F48-I4</x:v>
      </x:c>
      <x:c r="D1920" s="21" t="str">
        <x:v>F48</x:v>
      </x:c>
      <x:c r="E1920" s="21" t="n">
        <x:v>4</x:v>
      </x:c>
      <x:c r="F1920" s="21" t="str">
        <x:v>Engineering article acceptance</x:v>
      </x:c>
      <x:c r="G1920" s="21" t="n">
        <x:v>18</x:v>
      </x:c>
      <x:c r="H1920" s="21" t="str">
        <x:v>Independent Evidence and Data Authority</x:v>
      </x:c>
      <x:c r="I1920" s="44" t="n">
        <x:f>Lifecycle!G10</x:f>
        <x:v>0.05929244350747744</x:v>
      </x:c>
      <x:c r="J1920" s="44" t="n">
        <x:v>0.06895</x:v>
      </x:c>
      <x:c r="K1920" s="44" t="n">
        <x:f>I1920*J1920</x:f>
        <x:v>0.004088213979840569</x:v>
      </x:c>
      <x:c r="L1920" s="46" t="n">
        <x:v>0</x:v>
      </x:c>
      <x:c r="M1920" s="46" t="n">
        <x:v>0</x:v>
      </x:c>
      <x:c r="N1920" s="21" t="n">
        <x:f>IF(AND(L1919=1,M1919=1,P1919&gt;0),1,0)</x:f>
        <x:v>0</x:v>
      </x:c>
      <x:c r="O1920" s="21" t="n">
        <x:f>MIN('Root Data'!I580:I582)</x:f>
        <x:v>0</x:v>
      </x:c>
      <x:c r="P1920" s="44" t="n">
        <x:f>IF(AND(L1920=1,M1920=1,N1920=1,O1920&gt;=G1920),K1920,0)</x:f>
        <x:v>0</x:v>
      </x:c>
      <x:c r="Q1920" s="21" t="str">
        <x:v>OPEN</x:v>
      </x:c>
      <x:c r="R1920" s="23" t="str">
        <x:v>HOLD</x:v>
      </x:c>
    </x:row>
    <x:row r="1921">
      <x:c r="B1921" s="21" t="str">
        <x:v>AR-01915</x:v>
      </x:c>
      <x:c r="C1921" s="21" t="str">
        <x:v>F48-I4</x:v>
      </x:c>
      <x:c r="D1921" s="21" t="str">
        <x:v>F48</x:v>
      </x:c>
      <x:c r="E1921" s="21" t="n">
        <x:v>5</x:v>
      </x:c>
      <x:c r="F1921" s="21" t="str">
        <x:v>Qualification and destructive evidence</x:v>
      </x:c>
      <x:c r="G1921" s="21" t="n">
        <x:v>21</x:v>
      </x:c>
      <x:c r="H1921" s="21" t="str">
        <x:v>Independent Evidence and Data Authority</x:v>
      </x:c>
      <x:c r="I1921" s="44" t="n">
        <x:f>Lifecycle!G11</x:f>
        <x:v>0.1515251334079979</x:v>
      </x:c>
      <x:c r="J1921" s="44" t="n">
        <x:v>0.06895</x:v>
      </x:c>
      <x:c r="K1921" s="44" t="n">
        <x:f>I1921*J1921</x:f>
        <x:v>0.010447657948481454</x:v>
      </x:c>
      <x:c r="L1921" s="46" t="n">
        <x:v>0</x:v>
      </x:c>
      <x:c r="M1921" s="46" t="n">
        <x:v>0</x:v>
      </x:c>
      <x:c r="N1921" s="21" t="n">
        <x:f>IF(AND(L1920=1,M1920=1,P1920&gt;0),1,0)</x:f>
        <x:v>0</x:v>
      </x:c>
      <x:c r="O1921" s="21" t="n">
        <x:f>MIN('Root Data'!I580:I582)</x:f>
        <x:v>0</x:v>
      </x:c>
      <x:c r="P1921" s="44" t="n">
        <x:f>IF(AND(L1921=1,M1921=1,N1921=1,O1921&gt;=G1921),K1921,0)</x:f>
        <x:v>0</x:v>
      </x:c>
      <x:c r="Q1921" s="21" t="str">
        <x:v>OPEN</x:v>
      </x:c>
      <x:c r="R1921" s="23" t="str">
        <x:v>HOLD</x:v>
      </x:c>
    </x:row>
    <x:row r="1922">
      <x:c r="B1922" s="21" t="str">
        <x:v>AR-01916</x:v>
      </x:c>
      <x:c r="C1922" s="21" t="str">
        <x:v>F48-I4</x:v>
      </x:c>
      <x:c r="D1922" s="21" t="str">
        <x:v>F48</x:v>
      </x:c>
      <x:c r="E1922" s="21" t="n">
        <x:v>6</x:v>
      </x:c>
      <x:c r="F1922" s="21" t="str">
        <x:v>Representative mission result</x:v>
      </x:c>
      <x:c r="G1922" s="21" t="n">
        <x:v>23</x:v>
      </x:c>
      <x:c r="H1922" s="21" t="str">
        <x:v>Receiving Service Authority</x:v>
      </x:c>
      <x:c r="I1922" s="44" t="n">
        <x:f>Lifecycle!G12</x:f>
        <x:v>0.250345872587127</x:v>
      </x:c>
      <x:c r="J1922" s="44" t="n">
        <x:v>0.06895</x:v>
      </x:c>
      <x:c r="K1922" s="44" t="n">
        <x:f>I1922*J1922</x:f>
        <x:v>0.017261347914882406</x:v>
      </x:c>
      <x:c r="L1922" s="46" t="n">
        <x:v>0</x:v>
      </x:c>
      <x:c r="M1922" s="46" t="n">
        <x:v>0</x:v>
      </x:c>
      <x:c r="N1922" s="21" t="n">
        <x:f>IF(AND(L1921=1,M1921=1,P1921&gt;0),1,0)</x:f>
        <x:v>0</x:v>
      </x:c>
      <x:c r="O1922" s="21" t="n">
        <x:f>MIN('Root Data'!I580:I582)</x:f>
        <x:v>0</x:v>
      </x:c>
      <x:c r="P1922" s="44" t="n">
        <x:f>IF(AND(L1922=1,M1922=1,N1922=1,O1922&gt;=G1922),K1922,0)</x:f>
        <x:v>0</x:v>
      </x:c>
      <x:c r="Q1922" s="21" t="str">
        <x:v>OPEN</x:v>
      </x:c>
      <x:c r="R1922" s="23" t="str">
        <x:v>HOLD</x:v>
      </x:c>
    </x:row>
    <x:row r="1923">
      <x:c r="B1923" s="21" t="str">
        <x:v>AR-01917</x:v>
      </x:c>
      <x:c r="C1923" s="21" t="str">
        <x:v>F48-I4</x:v>
      </x:c>
      <x:c r="D1923" s="21" t="str">
        <x:v>F48</x:v>
      </x:c>
      <x:c r="E1923" s="21" t="n">
        <x:v>7</x:v>
      </x:c>
      <x:c r="F1923" s="21" t="str">
        <x:v>Independent reproduction</x:v>
      </x:c>
      <x:c r="G1923" s="21" t="n">
        <x:v>28</x:v>
      </x:c>
      <x:c r="H1923" s="21" t="str">
        <x:v>Independent Evidence and Data Authority</x:v>
      </x:c>
      <x:c r="I1923" s="44" t="n">
        <x:f>Lifecycle!G13</x:f>
        <x:v>0.21740562619408393</x:v>
      </x:c>
      <x:c r="J1923" s="44" t="n">
        <x:v>0.06895</x:v>
      </x:c>
      <x:c r="K1923" s="44" t="n">
        <x:f>I1923*J1923</x:f>
        <x:v>0.014990117926082087</x:v>
      </x:c>
      <x:c r="L1923" s="46" t="n">
        <x:v>0</x:v>
      </x:c>
      <x:c r="M1923" s="46" t="n">
        <x:v>0</x:v>
      </x:c>
      <x:c r="N1923" s="21" t="n">
        <x:f>IF(AND(L1922=1,M1922=1,P1922&gt;0),1,0)</x:f>
        <x:v>0</x:v>
      </x:c>
      <x:c r="O1923" s="21" t="n">
        <x:f>MIN('Root Data'!I580:I582)</x:f>
        <x:v>0</x:v>
      </x:c>
      <x:c r="P1923" s="44" t="n">
        <x:f>IF(AND(L1923=1,M1923=1,N1923=1,O1923&gt;=G1923),K1923,0)</x:f>
        <x:v>0</x:v>
      </x:c>
      <x:c r="Q1923" s="21" t="str">
        <x:v>OPEN</x:v>
      </x:c>
      <x:c r="R1923" s="23" t="str">
        <x:v>HOLD</x:v>
      </x:c>
    </x:row>
    <x:row r="1924">
      <x:c r="B1924" s="21" t="str">
        <x:v>AR-01918</x:v>
      </x:c>
      <x:c r="C1924" s="21" t="str">
        <x:v>F48-I4</x:v>
      </x:c>
      <x:c r="D1924" s="21" t="str">
        <x:v>F48</x:v>
      </x:c>
      <x:c r="E1924" s="21" t="n">
        <x:v>8</x:v>
      </x:c>
      <x:c r="F1924" s="21" t="str">
        <x:v>Pilot-process qualification</x:v>
      </x:c>
      <x:c r="G1924" s="21" t="n">
        <x:v>28</x:v>
      </x:c>
      <x:c r="H1924" s="21" t="str">
        <x:v>AIMC Industrial Mobilization Authority</x:v>
      </x:c>
      <x:c r="I1924" s="44" t="n">
        <x:f>Lifecycle!G14</x:f>
        <x:v>0.03952829567165163</x:v>
      </x:c>
      <x:c r="J1924" s="44" t="n">
        <x:v>0.06895</x:v>
      </x:c>
      <x:c r="K1924" s="44" t="n">
        <x:f>I1924*J1924</x:f>
        <x:v>0.0027254759865603796</x:v>
      </x:c>
      <x:c r="L1924" s="46" t="n">
        <x:v>0</x:v>
      </x:c>
      <x:c r="M1924" s="46" t="n">
        <x:v>0</x:v>
      </x:c>
      <x:c r="N1924" s="21" t="n">
        <x:f>IF(AND(L1923=1,M1923=1,P1923&gt;0),1,0)</x:f>
        <x:v>0</x:v>
      </x:c>
      <x:c r="O1924" s="21" t="n">
        <x:f>MIN('Root Data'!I580:I582)</x:f>
        <x:v>0</x:v>
      </x:c>
      <x:c r="P1924" s="44" t="n">
        <x:f>IF(AND(L1924=1,M1924=1,N1924=1,O1924&gt;=G1924),K1924,0)</x:f>
        <x:v>0</x:v>
      </x:c>
      <x:c r="Q1924" s="21" t="str">
        <x:v>OPEN</x:v>
      </x:c>
      <x:c r="R1924" s="23" t="str">
        <x:v>HOLD</x:v>
      </x:c>
    </x:row>
    <x:row r="1925">
      <x:c r="B1925" s="21" t="str">
        <x:v>AR-01919</x:v>
      </x:c>
      <x:c r="C1925" s="21" t="str">
        <x:v>F48-I4</x:v>
      </x:c>
      <x:c r="D1925" s="21" t="str">
        <x:v>F48</x:v>
      </x:c>
      <x:c r="E1925" s="21" t="n">
        <x:v>9</x:v>
      </x:c>
      <x:c r="F1925" s="21" t="str">
        <x:v>Production release package</x:v>
      </x:c>
      <x:c r="G1925" s="21" t="n">
        <x:v>28</x:v>
      </x:c>
      <x:c r="H1925" s="21" t="str">
        <x:v>Production Release Board</x:v>
      </x:c>
      <x:c r="I1925" s="44" t="n">
        <x:f>Lifecycle!G15</x:f>
        <x:v>0.01647012319652151</x:v>
      </x:c>
      <x:c r="J1925" s="44" t="n">
        <x:v>0.06895</x:v>
      </x:c>
      <x:c r="K1925" s="44" t="n">
        <x:f>I1925*J1925</x:f>
        <x:v>0.0011356149944001582</x:v>
      </x:c>
      <x:c r="L1925" s="46" t="n">
        <x:v>0</x:v>
      </x:c>
      <x:c r="M1925" s="46" t="n">
        <x:v>0</x:v>
      </x:c>
      <x:c r="N1925" s="21" t="n">
        <x:f>IF(AND(L1924=1,M1924=1,P1924&gt;0),1,0)</x:f>
        <x:v>0</x:v>
      </x:c>
      <x:c r="O1925" s="21" t="n">
        <x:f>MIN('Root Data'!I580:I582)</x:f>
        <x:v>0</x:v>
      </x:c>
      <x:c r="P1925" s="44" t="n">
        <x:f>IF(AND(L1925=1,M1925=1,N1925=1,O1925&gt;=G1925),K1925,0)</x:f>
        <x:v>0</x:v>
      </x:c>
      <x:c r="Q1925" s="21" t="str">
        <x:v>OPEN</x:v>
      </x:c>
      <x:c r="R1925" s="23" t="str">
        <x:v>HOLD</x:v>
      </x:c>
    </x:row>
    <x:row r="1926">
      <x:c r="B1926" s="24" t="str">
        <x:v>AR-01920</x:v>
      </x:c>
      <x:c r="C1926" s="24" t="str">
        <x:v>F48-I4</x:v>
      </x:c>
      <x:c r="D1926" s="24" t="str">
        <x:v>F48</x:v>
      </x:c>
      <x:c r="E1926" s="24" t="n">
        <x:v>10</x:v>
      </x:c>
      <x:c r="F1926" s="24" t="str">
        <x:v>Mobilization activation</x:v>
      </x:c>
      <x:c r="G1926" s="24" t="n">
        <x:v>28</x:v>
      </x:c>
      <x:c r="H1926" s="24" t="str">
        <x:v>Production Release Board</x:v>
      </x:c>
      <x:c r="I1926" s="45" t="n">
        <x:f>Lifecycle!G16</x:f>
        <x:v>0.028262731405230914</x:v>
      </x:c>
      <x:c r="J1926" s="45" t="n">
        <x:v>0.06895</x:v>
      </x:c>
      <x:c r="K1926" s="45" t="n">
        <x:f>I1926*J1926</x:f>
        <x:v>0.0019487153303906714</x:v>
      </x:c>
      <x:c r="L1926" s="47" t="n">
        <x:v>0</x:v>
      </x:c>
      <x:c r="M1926" s="47" t="n">
        <x:v>0</x:v>
      </x:c>
      <x:c r="N1926" s="24" t="n">
        <x:f>IF(AND(L1925=1,M1925=1,P1925&gt;0),1,0)</x:f>
        <x:v>0</x:v>
      </x:c>
      <x:c r="O1926" s="24" t="n">
        <x:f>MIN('Root Data'!I580:I582)</x:f>
        <x:v>0</x:v>
      </x:c>
      <x:c r="P1926" s="45" t="n">
        <x:f>IF(AND(L1926=1,M1926=1,N1926=1,O1926&gt;=G1926),K1926,0)</x:f>
        <x:v>0</x:v>
      </x:c>
      <x:c r="Q1926" s="24" t="str">
        <x:v>OPEN</x:v>
      </x:c>
      <x:c r="R1926" s="26" t="str">
        <x:v>HOLD</x:v>
      </x:c>
    </x:row>
    <x:row r="1927">
      <x:c r="B1927" s="2"/>
      <x:c r="C1927" s="2"/>
      <x:c r="D1927" s="2"/>
      <x:c r="E1927" s="2"/>
      <x:c r="F1927" s="2"/>
      <x:c r="G1927" s="2"/>
      <x:c r="H1927" s="2"/>
      <x:c r="I1927" s="2"/>
      <x:c r="J1927" s="2"/>
      <x:c r="K1927" s="2"/>
      <x:c r="L1927" s="2"/>
      <x:c r="M1927" s="2"/>
      <x:c r="N1927" s="2"/>
      <x:c r="O1927" s="2"/>
      <x:c r="P1927" s="2"/>
      <x:c r="Q1927" s="2"/>
      <x:c r="R1927" s="2"/>
    </x:row>
    <x:row r="1928">
      <x:c r="B1928" s="2"/>
      <x:c r="C1928" s="2"/>
      <x:c r="D1928" s="2"/>
      <x:c r="E1928" s="2"/>
      <x:c r="F1928" s="2"/>
      <x:c r="G1928" s="2"/>
      <x:c r="H1928" s="2"/>
      <x:c r="I1928" s="2"/>
      <x:c r="J1928" s="2"/>
      <x:c r="K1928" s="2"/>
      <x:c r="L1928" s="2"/>
      <x:c r="M1928" s="2"/>
      <x:c r="N1928" s="2"/>
      <x:c r="O1928" s="2"/>
      <x:c r="P1928" s="2"/>
      <x:c r="Q1928" s="2"/>
      <x:c r="R1928" s="2"/>
    </x:row>
    <x:row r="1929">
      <x:c r="B1929" s="2"/>
      <x:c r="C1929" s="2"/>
      <x:c r="D1929" s="2"/>
      <x:c r="E1929" s="2"/>
      <x:c r="F1929" s="2"/>
      <x:c r="G1929" s="2"/>
      <x:c r="H1929" s="2"/>
      <x:c r="I1929" s="2"/>
      <x:c r="J1929" s="2"/>
      <x:c r="K1929" s="2"/>
      <x:c r="L1929" s="2"/>
      <x:c r="M1929" s="2"/>
      <x:c r="N1929" s="2"/>
      <x:c r="O1929" s="2"/>
      <x:c r="P1929" s="2"/>
      <x:c r="Q1929" s="2"/>
      <x:c r="R1929" s="2"/>
    </x:row>
    <x:row r="1930">
      <x:c r="B1930" s="2"/>
      <x:c r="C1930" s="2"/>
      <x:c r="D1930" s="2"/>
      <x:c r="E1930" s="2"/>
      <x:c r="F1930" s="2"/>
      <x:c r="G1930" s="2"/>
      <x:c r="H1930" s="2"/>
      <x:c r="I1930" s="2"/>
      <x:c r="J1930" s="2"/>
      <x:c r="K1930" s="2"/>
      <x:c r="L1930" s="2"/>
      <x:c r="M1930" s="2"/>
      <x:c r="N1930" s="2"/>
      <x:c r="O1930" s="2"/>
      <x:c r="P1930" s="2"/>
      <x:c r="Q1930" s="2"/>
      <x:c r="R1930" s="2"/>
    </x:row>
    <x:row r="1931">
      <x:c r="B1931" s="2"/>
      <x:c r="C1931" s="2"/>
      <x:c r="D1931" s="2"/>
      <x:c r="E1931" s="2"/>
      <x:c r="F1931" s="2"/>
      <x:c r="G1931" s="2"/>
      <x:c r="H1931" s="2"/>
      <x:c r="I1931" s="2"/>
      <x:c r="J1931" s="2"/>
      <x:c r="K1931" s="2"/>
      <x:c r="L1931" s="2"/>
      <x:c r="M1931" s="2"/>
      <x:c r="N1931" s="2"/>
      <x:c r="O1931" s="2"/>
      <x:c r="P1931" s="2"/>
      <x:c r="Q1931" s="2"/>
      <x:c r="R1931" s="2"/>
    </x:row>
    <x:row r="1932">
      <x:c r="B1932" s="2"/>
      <x:c r="C1932" s="2"/>
      <x:c r="D1932" s="2"/>
      <x:c r="E1932" s="2"/>
      <x:c r="F1932" s="2"/>
      <x:c r="G1932" s="2"/>
      <x:c r="H1932" s="2"/>
      <x:c r="I1932" s="2"/>
      <x:c r="J1932" s="2"/>
      <x:c r="K1932" s="2"/>
      <x:c r="L1932" s="2"/>
      <x:c r="M1932" s="2"/>
      <x:c r="N1932" s="2"/>
      <x:c r="O1932" s="2"/>
      <x:c r="P1932" s="2"/>
      <x:c r="Q1932" s="2"/>
      <x:c r="R1932" s="2"/>
    </x:row>
  </x:sheetData>
  <x:mergeCells>
    <x:mergeCell ref="B3:R3"/>
  </x:mergeCells>
  <x:conditionalFormatting sqref="Q7:R1926">
    <x:cfRule type="containsText" dxfId="20" priority="1" operator="containsText" text="OPEN"/>
    <x:cfRule type="containsText" dxfId="21" priority="2" operator="containsText" text="HOLD"/>
    <x:cfRule type="containsText" dxfId="22" priority="3" operator="containsText" text="BLOCKED"/>
    <x:cfRule type="containsText" dxfId="23" priority="4" operator="containsText" text="FAIL"/>
    <x:cfRule type="containsText" dxfId="24" priority="5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21" hidden="0" customWidth="1"/>
    <x:col min="5" max="5" width="35" hidden="0" customWidth="1"/>
    <x:col min="6" max="6" width="18" hidden="0" customWidth="1"/>
    <x:col min="7" max="7" width="20" hidden="0" customWidth="1"/>
    <x:col min="8" max="8" width="54" hidden="0" customWidth="1"/>
  </x:cols>
  <x:sheetData>
    <x:row r="2">
      <x:c r="B2" s="3" t="str">
        <x:v>Complete Technical Data Package map</x:v>
      </x:c>
      <x:c r="C2" s="2"/>
      <x:c r="D2" s="2"/>
      <x:c r="E2" s="2"/>
      <x:c r="F2" s="2"/>
      <x:c r="G2" s="2"/>
      <x:c r="H2" s="2"/>
    </x:row>
    <x:row r="3">
      <x:c r="B3" s="4" t="str">
        <x:v>Twenty-eight data classes make each technical root inspectable, reproducible, supportable, substitutable, and legally usable without the original builder.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Class</x:v>
      </x:c>
      <x:c r="C6" s="20" t="str">
        <x:v>Data object</x:v>
      </x:c>
      <x:c r="D6" s="20" t="str">
        <x:v>First required artifact</x:v>
      </x:c>
      <x:c r="E6" s="20" t="str">
        <x:v>Custodian</x:v>
      </x:c>
      <x:c r="F6" s="20" t="str">
        <x:v>Required per root</x:v>
      </x:c>
      <x:c r="G6" s="20" t="str">
        <x:v>Logical obligations</x:v>
      </x:c>
      <x:c r="H6" s="20" t="str">
        <x:v>Acceptance rule</x:v>
      </x:c>
    </x:row>
    <x:row r="7">
      <x:c r="B7" s="21" t="n">
        <x:v>1</x:v>
      </x:c>
      <x:c r="C7" s="21" t="str">
        <x:v>Civil effect charter</x:v>
      </x:c>
      <x:c r="D7" s="21" t="n">
        <x:v>1</x:v>
      </x:c>
      <x:c r="E7" s="21" t="str">
        <x:v>Civil Guarantee Authority</x:v>
      </x:c>
      <x:c r="F7" s="21" t="n">
        <x:v>1</x:v>
      </x:c>
      <x:c r="G7" s="21" t="n">
        <x:f>F7*Assumptions!C7*Assumptions!C8*Assumptions!C9</x:f>
        <x:v>576</x:v>
      </x:c>
      <x:c r="H7" s="23" t="str">
        <x:v>serialized immutable original + independent completeness finding</x:v>
      </x:c>
    </x:row>
    <x:row r="8">
      <x:c r="B8" s="21" t="n">
        <x:v>2</x:v>
      </x:c>
      <x:c r="C8" s="21" t="str">
        <x:v>Damage-world set</x:v>
      </x:c>
      <x:c r="D8" s="21" t="n">
        <x:v>1</x:v>
      </x:c>
      <x:c r="E8" s="21" t="str">
        <x:v>Resilience Staff</x:v>
      </x:c>
      <x:c r="F8" s="21" t="n">
        <x:v>1</x:v>
      </x:c>
      <x:c r="G8" s="21" t="n">
        <x:f>F8*Assumptions!C7*Assumptions!C8*Assumptions!C9</x:f>
        <x:v>576</x:v>
      </x:c>
      <x:c r="H8" s="23" t="str">
        <x:v>serialized immutable original + independent completeness finding</x:v>
      </x:c>
    </x:row>
    <x:row r="9">
      <x:c r="B9" s="21" t="n">
        <x:v>3</x:v>
      </x:c>
      <x:c r="C9" s="21" t="str">
        <x:v>Receiving and operational-suitability statement</x:v>
      </x:c>
      <x:c r="D9" s="21" t="n">
        <x:v>1</x:v>
      </x:c>
      <x:c r="E9" s="21" t="str">
        <x:v>Receiving Service Authority</x:v>
      </x:c>
      <x:c r="F9" s="21" t="n">
        <x:v>1</x:v>
      </x:c>
      <x:c r="G9" s="21" t="n">
        <x:f>F9*Assumptions!C7*Assumptions!C8*Assumptions!C9</x:f>
        <x:v>576</x:v>
      </x:c>
      <x:c r="H9" s="23" t="str">
        <x:v>serialized immutable original + independent completeness finding</x:v>
      </x:c>
    </x:row>
    <x:row r="10">
      <x:c r="B10" s="21" t="n">
        <x:v>4</x:v>
      </x:c>
      <x:c r="C10" s="21" t="str">
        <x:v>Invalid-state grammar</x:v>
      </x:c>
      <x:c r="D10" s="21" t="n">
        <x:v>1</x:v>
      </x:c>
      <x:c r="E10" s="21" t="str">
        <x:v>Resilience Staff</x:v>
      </x:c>
      <x:c r="F10" s="21" t="n">
        <x:v>1</x:v>
      </x:c>
      <x:c r="G10" s="21" t="n">
        <x:f>F10*Assumptions!C7*Assumptions!C8*Assumptions!C9</x:f>
        <x:v>576</x:v>
      </x:c>
      <x:c r="H10" s="23" t="str">
        <x:v>serialized immutable original + independent completeness finding</x:v>
      </x:c>
    </x:row>
    <x:row r="11">
      <x:c r="B11" s="21" t="n">
        <x:v>5</x:v>
      </x:c>
      <x:c r="C11" s="21" t="str">
        <x:v>System architecture and boundary definition</x:v>
      </x:c>
      <x:c r="D11" s="21" t="n">
        <x:v>2</x:v>
      </x:c>
      <x:c r="E11" s="21" t="str">
        <x:v>AIMC configuration authority</x:v>
      </x:c>
      <x:c r="F11" s="21" t="n">
        <x:v>1</x:v>
      </x:c>
      <x:c r="G11" s="21" t="n">
        <x:f>F11*Assumptions!C7*Assumptions!C8*Assumptions!C9</x:f>
        <x:v>576</x:v>
      </x:c>
      <x:c r="H11" s="23" t="str">
        <x:v>serialized immutable original + independent completeness finding</x:v>
      </x:c>
    </x:row>
    <x:row r="12">
      <x:c r="B12" s="21" t="n">
        <x:v>6</x:v>
      </x:c>
      <x:c r="C12" s="21" t="str">
        <x:v>Interface-control definition</x:v>
      </x:c>
      <x:c r="D12" s="21" t="n">
        <x:v>2</x:v>
      </x:c>
      <x:c r="E12" s="21" t="str">
        <x:v>AIMC configuration authority</x:v>
      </x:c>
      <x:c r="F12" s="21" t="n">
        <x:v>1</x:v>
      </x:c>
      <x:c r="G12" s="21" t="n">
        <x:f>F12*Assumptions!C7*Assumptions!C8*Assumptions!C9</x:f>
        <x:v>576</x:v>
      </x:c>
      <x:c r="H12" s="23" t="str">
        <x:v>serialized immutable original + independent completeness finding</x:v>
      </x:c>
    </x:row>
    <x:row r="13">
      <x:c r="B13" s="21" t="n">
        <x:v>7</x:v>
      </x:c>
      <x:c r="C13" s="21" t="str">
        <x:v>Mass volume energy heat and flow budgets</x:v>
      </x:c>
      <x:c r="D13" s="21" t="n">
        <x:v>3</x:v>
      </x:c>
      <x:c r="E13" s="21" t="str">
        <x:v>AIMC systems authority</x:v>
      </x:c>
      <x:c r="F13" s="21" t="n">
        <x:v>1</x:v>
      </x:c>
      <x:c r="G13" s="21" t="n">
        <x:f>F13*Assumptions!C7*Assumptions!C8*Assumptions!C9</x:f>
        <x:v>576</x:v>
      </x:c>
      <x:c r="H13" s="23" t="str">
        <x:v>serialized immutable original + independent completeness finding</x:v>
      </x:c>
    </x:row>
    <x:row r="14">
      <x:c r="B14" s="21" t="n">
        <x:v>8</x:v>
      </x:c>
      <x:c r="C14" s="21" t="str">
        <x:v>Hazard and safety case</x:v>
      </x:c>
      <x:c r="D14" s="21" t="n">
        <x:v>2</x:v>
      </x:c>
      <x:c r="E14" s="21" t="str">
        <x:v>Independent evidence authority</x:v>
      </x:c>
      <x:c r="F14" s="21" t="n">
        <x:v>1</x:v>
      </x:c>
      <x:c r="G14" s="21" t="n">
        <x:f>F14*Assumptions!C7*Assumptions!C8*Assumptions!C9</x:f>
        <x:v>576</x:v>
      </x:c>
      <x:c r="H14" s="23" t="str">
        <x:v>serialized immutable original + independent completeness finding</x:v>
      </x:c>
    </x:row>
    <x:row r="15">
      <x:c r="B15" s="21" t="n">
        <x:v>9</x:v>
      </x:c>
      <x:c r="C15" s="21" t="str">
        <x:v>Full bill of materials</x:v>
      </x:c>
      <x:c r="D15" s="21" t="n">
        <x:v>3</x:v>
      </x:c>
      <x:c r="E15" s="21" t="str">
        <x:v>Public data custodian</x:v>
      </x:c>
      <x:c r="F15" s="21" t="n">
        <x:v>1</x:v>
      </x:c>
      <x:c r="G15" s="21" t="n">
        <x:f>F15*Assumptions!C7*Assumptions!C8*Assumptions!C9</x:f>
        <x:v>576</x:v>
      </x:c>
      <x:c r="H15" s="23" t="str">
        <x:v>serialized immutable original + independent completeness finding</x:v>
      </x:c>
    </x:row>
    <x:row r="16">
      <x:c r="B16" s="21" t="n">
        <x:v>10</x:v>
      </x:c>
      <x:c r="C16" s="21" t="str">
        <x:v>Bill of process and facility identity</x:v>
      </x:c>
      <x:c r="D16" s="21" t="n">
        <x:v>3</x:v>
      </x:c>
      <x:c r="E16" s="21" t="str">
        <x:v>Public data custodian</x:v>
      </x:c>
      <x:c r="F16" s="21" t="n">
        <x:v>1</x:v>
      </x:c>
      <x:c r="G16" s="21" t="n">
        <x:f>F16*Assumptions!C7*Assumptions!C8*Assumptions!C9</x:f>
        <x:v>576</x:v>
      </x:c>
      <x:c r="H16" s="23" t="str">
        <x:v>serialized immutable original + independent completeness finding</x:v>
      </x:c>
    </x:row>
    <x:row r="17">
      <x:c r="B17" s="21" t="n">
        <x:v>11</x:v>
      </x:c>
      <x:c r="C17" s="21" t="str">
        <x:v>Source code software bill and executable models</x:v>
      </x:c>
      <x:c r="D17" s="21" t="n">
        <x:v>3</x:v>
      </x:c>
      <x:c r="E17" s="21" t="str">
        <x:v>Public data custodian</x:v>
      </x:c>
      <x:c r="F17" s="21" t="n">
        <x:v>1</x:v>
      </x:c>
      <x:c r="G17" s="21" t="n">
        <x:f>F17*Assumptions!C7*Assumptions!C8*Assumptions!C9</x:f>
        <x:v>576</x:v>
      </x:c>
      <x:c r="H17" s="23" t="str">
        <x:v>serialized immutable original + independent completeness finding</x:v>
      </x:c>
    </x:row>
    <x:row r="18">
      <x:c r="B18" s="21" t="n">
        <x:v>12</x:v>
      </x:c>
      <x:c r="C18" s="21" t="str">
        <x:v>Material and process specifications</x:v>
      </x:c>
      <x:c r="D18" s="21" t="n">
        <x:v>3</x:v>
      </x:c>
      <x:c r="E18" s="21" t="str">
        <x:v>Public data custodian</x:v>
      </x:c>
      <x:c r="F18" s="21" t="n">
        <x:v>1</x:v>
      </x:c>
      <x:c r="G18" s="21" t="n">
        <x:f>F18*Assumptions!C7*Assumptions!C8*Assumptions!C9</x:f>
        <x:v>576</x:v>
      </x:c>
      <x:c r="H18" s="23" t="str">
        <x:v>serialized immutable original + independent completeness finding</x:v>
      </x:c>
    </x:row>
    <x:row r="19">
      <x:c r="B19" s="21" t="n">
        <x:v>13</x:v>
      </x:c>
      <x:c r="C19" s="21" t="str">
        <x:v>Drawings tolerances and three-dimensional definition</x:v>
      </x:c>
      <x:c r="D19" s="21" t="n">
        <x:v>3</x:v>
      </x:c>
      <x:c r="E19" s="21" t="str">
        <x:v>Public data custodian</x:v>
      </x:c>
      <x:c r="F19" s="21" t="n">
        <x:v>1</x:v>
      </x:c>
      <x:c r="G19" s="21" t="n">
        <x:f>F19*Assumptions!C7*Assumptions!C8*Assumptions!C9</x:f>
        <x:v>576</x:v>
      </x:c>
      <x:c r="H19" s="23" t="str">
        <x:v>serialized immutable original + independent completeness finding</x:v>
      </x:c>
    </x:row>
    <x:row r="20">
      <x:c r="B20" s="21" t="n">
        <x:v>14</x:v>
      </x:c>
      <x:c r="C20" s="21" t="str">
        <x:v>Calibration genealogy</x:v>
      </x:c>
      <x:c r="D20" s="21" t="n">
        <x:v>3</x:v>
      </x:c>
      <x:c r="E20" s="21" t="str">
        <x:v>Public metrology authority</x:v>
      </x:c>
      <x:c r="F20" s="21" t="n">
        <x:v>1</x:v>
      </x:c>
      <x:c r="G20" s="21" t="n">
        <x:f>F20*Assumptions!C7*Assumptions!C8*Assumptions!C9</x:f>
        <x:v>576</x:v>
      </x:c>
      <x:c r="H20" s="23" t="str">
        <x:v>serialized immutable original + independent completeness finding</x:v>
      </x:c>
    </x:row>
    <x:row r="21">
      <x:c r="B21" s="21" t="n">
        <x:v>15</x:v>
      </x:c>
      <x:c r="C21" s="21" t="str">
        <x:v>Test methods instruments and uncertainty</x:v>
      </x:c>
      <x:c r="D21" s="21" t="n">
        <x:v>4</x:v>
      </x:c>
      <x:c r="E21" s="21" t="str">
        <x:v>Independent evidence authority</x:v>
      </x:c>
      <x:c r="F21" s="21" t="n">
        <x:v>1</x:v>
      </x:c>
      <x:c r="G21" s="21" t="n">
        <x:f>F21*Assumptions!C7*Assumptions!C8*Assumptions!C9</x:f>
        <x:v>576</x:v>
      </x:c>
      <x:c r="H21" s="23" t="str">
        <x:v>serialized immutable original + independent completeness finding</x:v>
      </x:c>
    </x:row>
    <x:row r="22">
      <x:c r="B22" s="21" t="n">
        <x:v>16</x:v>
      </x:c>
      <x:c r="C22" s="21" t="str">
        <x:v>Serial lot and as-built record</x:v>
      </x:c>
      <x:c r="D22" s="21" t="n">
        <x:v>4</x:v>
      </x:c>
      <x:c r="E22" s="21" t="str">
        <x:v>Independent evidence authority</x:v>
      </x:c>
      <x:c r="F22" s="21" t="n">
        <x:v>1</x:v>
      </x:c>
      <x:c r="G22" s="21" t="n">
        <x:f>F22*Assumptions!C7*Assumptions!C8*Assumptions!C9</x:f>
        <x:v>576</x:v>
      </x:c>
      <x:c r="H22" s="23" t="str">
        <x:v>serialized immutable original + independent completeness finding</x:v>
      </x:c>
    </x:row>
    <x:row r="23">
      <x:c r="B23" s="21" t="n">
        <x:v>17</x:v>
      </x:c>
      <x:c r="C23" s="21" t="str">
        <x:v>Deviation and waiver record</x:v>
      </x:c>
      <x:c r="D23" s="21" t="n">
        <x:v>4</x:v>
      </x:c>
      <x:c r="E23" s="21" t="str">
        <x:v>Configuration control board</x:v>
      </x:c>
      <x:c r="F23" s="21" t="n">
        <x:v>1</x:v>
      </x:c>
      <x:c r="G23" s="21" t="n">
        <x:f>F23*Assumptions!C7*Assumptions!C8*Assumptions!C9</x:f>
        <x:v>576</x:v>
      </x:c>
      <x:c r="H23" s="23" t="str">
        <x:v>serialized immutable original + independent completeness finding</x:v>
      </x:c>
    </x:row>
    <x:row r="24">
      <x:c r="B24" s="21" t="n">
        <x:v>18</x:v>
      </x:c>
      <x:c r="C24" s="21" t="str">
        <x:v>Production route tooling fixtures and acceptance</x:v>
      </x:c>
      <x:c r="D24" s="21" t="n">
        <x:v>4</x:v>
      </x:c>
      <x:c r="E24" s="21" t="str">
        <x:v>Industrial mobilization authority</x:v>
      </x:c>
      <x:c r="F24" s="21" t="n">
        <x:v>1</x:v>
      </x:c>
      <x:c r="G24" s="21" t="n">
        <x:f>F24*Assumptions!C7*Assumptions!C8*Assumptions!C9</x:f>
        <x:v>576</x:v>
      </x:c>
      <x:c r="H24" s="23" t="str">
        <x:v>serialized immutable original + independent completeness finding</x:v>
      </x:c>
    </x:row>
    <x:row r="25">
      <x:c r="B25" s="21" t="n">
        <x:v>19</x:v>
      </x:c>
      <x:c r="C25" s="21" t="str">
        <x:v>Supplier ownership and ancestry</x:v>
      </x:c>
      <x:c r="D25" s="21" t="n">
        <x:v>2</x:v>
      </x:c>
      <x:c r="E25" s="21" t="str">
        <x:v>Source-independence authority</x:v>
      </x:c>
      <x:c r="F25" s="21" t="n">
        <x:v>1</x:v>
      </x:c>
      <x:c r="G25" s="21" t="n">
        <x:f>F25*Assumptions!C7*Assumptions!C8*Assumptions!C9</x:f>
        <x:v>576</x:v>
      </x:c>
      <x:c r="H25" s="23" t="str">
        <x:v>serialized immutable original + independent completeness finding</x:v>
      </x:c>
    </x:row>
    <x:row r="26">
      <x:c r="B26" s="21" t="n">
        <x:v>20</x:v>
      </x:c>
      <x:c r="C26" s="21" t="str">
        <x:v>Alternates and substitution qualification</x:v>
      </x:c>
      <x:c r="D26" s="21" t="n">
        <x:v>5</x:v>
      </x:c>
      <x:c r="E26" s="21" t="str">
        <x:v>Independent evidence authority</x:v>
      </x:c>
      <x:c r="F26" s="21" t="n">
        <x:v>1</x:v>
      </x:c>
      <x:c r="G26" s="21" t="n">
        <x:f>F26*Assumptions!C7*Assumptions!C8*Assumptions!C9</x:f>
        <x:v>576</x:v>
      </x:c>
      <x:c r="H26" s="23" t="str">
        <x:v>serialized immutable original + independent completeness finding</x:v>
      </x:c>
    </x:row>
    <x:row r="27">
      <x:c r="B27" s="21" t="n">
        <x:v>21</x:v>
      </x:c>
      <x:c r="C27" s="21" t="str">
        <x:v>Capacity and readiness plan</x:v>
      </x:c>
      <x:c r="D27" s="21" t="n">
        <x:v>5</x:v>
      </x:c>
      <x:c r="E27" s="21" t="str">
        <x:v>Independent cost and capacity authority</x:v>
      </x:c>
      <x:c r="F27" s="21" t="n">
        <x:v>1</x:v>
      </x:c>
      <x:c r="G27" s="21" t="n">
        <x:f>F27*Assumptions!C7*Assumptions!C8*Assumptions!C9</x:f>
        <x:v>576</x:v>
      </x:c>
      <x:c r="H27" s="23" t="str">
        <x:v>serialized immutable original + independent completeness finding</x:v>
      </x:c>
    </x:row>
    <x:row r="28">
      <x:c r="B28" s="21" t="n">
        <x:v>22</x:v>
      </x:c>
      <x:c r="C28" s="21" t="str">
        <x:v>Packaging transport and storage definition</x:v>
      </x:c>
      <x:c r="D28" s="21" t="n">
        <x:v>5</x:v>
      </x:c>
      <x:c r="E28" s="21" t="str">
        <x:v>Receiving Service Authority</x:v>
      </x:c>
      <x:c r="F28" s="21" t="n">
        <x:v>1</x:v>
      </x:c>
      <x:c r="G28" s="21" t="n">
        <x:f>F28*Assumptions!C7*Assumptions!C8*Assumptions!C9</x:f>
        <x:v>576</x:v>
      </x:c>
      <x:c r="H28" s="23" t="str">
        <x:v>serialized immutable original + independent completeness finding</x:v>
      </x:c>
    </x:row>
    <x:row r="29">
      <x:c r="B29" s="21" t="n">
        <x:v>23</x:v>
      </x:c>
      <x:c r="C29" s="21" t="str">
        <x:v>Maintenance repair diagnostics and spares</x:v>
      </x:c>
      <x:c r="D29" s="21" t="n">
        <x:v>5</x:v>
      </x:c>
      <x:c r="E29" s="21" t="str">
        <x:v>Receiving Service Authority</x:v>
      </x:c>
      <x:c r="F29" s="21" t="n">
        <x:v>1</x:v>
      </x:c>
      <x:c r="G29" s="21" t="n">
        <x:f>F29*Assumptions!C7*Assumptions!C8*Assumptions!C9</x:f>
        <x:v>576</x:v>
      </x:c>
      <x:c r="H29" s="23" t="str">
        <x:v>serialized immutable original + independent completeness finding</x:v>
      </x:c>
    </x:row>
    <x:row r="30">
      <x:c r="B30" s="21" t="n">
        <x:v>24</x:v>
      </x:c>
      <x:c r="C30" s="21" t="str">
        <x:v>Training human factors and accessibility</x:v>
      </x:c>
      <x:c r="D30" s="21" t="n">
        <x:v>5</x:v>
      </x:c>
      <x:c r="E30" s="21" t="str">
        <x:v>Receiving Service Authority</x:v>
      </x:c>
      <x:c r="F30" s="21" t="n">
        <x:v>1</x:v>
      </x:c>
      <x:c r="G30" s="21" t="n">
        <x:f>F30*Assumptions!C7*Assumptions!C8*Assumptions!C9</x:f>
        <x:v>576</x:v>
      </x:c>
      <x:c r="H30" s="23" t="str">
        <x:v>serialized immutable original + independent completeness finding</x:v>
      </x:c>
    </x:row>
    <x:row r="31">
      <x:c r="B31" s="21" t="n">
        <x:v>25</x:v>
      </x:c>
      <x:c r="C31" s="21" t="str">
        <x:v>Cyber offline and failure behavior</x:v>
      </x:c>
      <x:c r="D31" s="21" t="n">
        <x:v>5</x:v>
      </x:c>
      <x:c r="E31" s="21" t="str">
        <x:v>Independent evidence authority</x:v>
      </x:c>
      <x:c r="F31" s="21" t="n">
        <x:v>1</x:v>
      </x:c>
      <x:c r="G31" s="21" t="n">
        <x:f>F31*Assumptions!C7*Assumptions!C8*Assumptions!C9</x:f>
        <x:v>576</x:v>
      </x:c>
      <x:c r="H31" s="23" t="str">
        <x:v>serialized immutable original + independent completeness finding</x:v>
      </x:c>
    </x:row>
    <x:row r="32">
      <x:c r="B32" s="21" t="n">
        <x:v>26</x:v>
      </x:c>
      <x:c r="C32" s="21" t="str">
        <x:v>Residual waste and decommissioning plan</x:v>
      </x:c>
      <x:c r="D32" s="21" t="n">
        <x:v>5</x:v>
      </x:c>
      <x:c r="E32" s="21" t="str">
        <x:v>Civil Guarantee Authority</x:v>
      </x:c>
      <x:c r="F32" s="21" t="n">
        <x:v>1</x:v>
      </x:c>
      <x:c r="G32" s="21" t="n">
        <x:f>F32*Assumptions!C7*Assumptions!C8*Assumptions!C9</x:f>
        <x:v>576</x:v>
      </x:c>
      <x:c r="H32" s="23" t="str">
        <x:v>serialized immutable original + independent completeness finding</x:v>
      </x:c>
    </x:row>
    <x:row r="33">
      <x:c r="B33" s="21" t="n">
        <x:v>27</x:v>
      </x:c>
      <x:c r="C33" s="21" t="str">
        <x:v>Rights license and continuity escrow</x:v>
      </x:c>
      <x:c r="D33" s="21" t="n">
        <x:v>2</x:v>
      </x:c>
      <x:c r="E33" s="21" t="str">
        <x:v>Public data custodian</x:v>
      </x:c>
      <x:c r="F33" s="21" t="n">
        <x:v>1</x:v>
      </x:c>
      <x:c r="G33" s="21" t="n">
        <x:f>F33*Assumptions!C7*Assumptions!C8*Assumptions!C9</x:f>
        <x:v>576</x:v>
      </x:c>
      <x:c r="H33" s="23" t="str">
        <x:v>serialized immutable original + independent completeness finding</x:v>
      </x:c>
    </x:row>
    <x:row r="34">
      <x:c r="B34" s="24" t="n">
        <x:v>28</x:v>
      </x:c>
      <x:c r="C34" s="24" t="str">
        <x:v>Independent reproduction artifact</x:v>
      </x:c>
      <x:c r="D34" s="24" t="n">
        <x:v>7</x:v>
      </x:c>
      <x:c r="E34" s="24" t="str">
        <x:v>Independent evidence authority</x:v>
      </x:c>
      <x:c r="F34" s="24" t="n">
        <x:v>1</x:v>
      </x:c>
      <x:c r="G34" s="24" t="n">
        <x:f>F34*Assumptions!C7*Assumptions!C8*Assumptions!C9</x:f>
        <x:v>576</x:v>
      </x:c>
      <x:c r="H34" s="26" t="str">
        <x:v>serialized immutable original + independent completeness finding</x:v>
      </x:c>
    </x:row>
    <x:row r="35">
      <x:c r="B35" s="2"/>
      <x:c r="C35" s="2"/>
      <x:c r="D35" s="2"/>
      <x:c r="E35" s="2"/>
      <x:c r="F35" s="2"/>
      <x:c r="G35" s="2"/>
      <x:c r="H35" s="2"/>
    </x:row>
    <x:row r="36">
      <x:c r="B36" s="2"/>
      <x:c r="C36" s="2"/>
      <x:c r="D36" s="2"/>
      <x:c r="E36" s="2"/>
      <x:c r="F36" s="2"/>
      <x:c r="G36" s="2"/>
      <x:c r="H36" s="2"/>
    </x:row>
    <x:row r="37">
      <x:c r="B37" s="2"/>
      <x:c r="C37" s="2"/>
      <x:c r="D37" s="2"/>
      <x:c r="E37" s="2"/>
      <x:c r="F37" s="2"/>
      <x:c r="G37" s="2"/>
      <x:c r="H37" s="2"/>
    </x:row>
    <x:row r="38">
      <x:c r="B38" s="2"/>
      <x:c r="C38" s="2"/>
      <x:c r="D38" s="2"/>
      <x:c r="E38" s="2"/>
      <x:c r="F38" s="2"/>
      <x:c r="G38" s="2"/>
      <x:c r="H38" s="2"/>
    </x:row>
    <x:row r="39">
      <x:c r="B39" s="2"/>
      <x:c r="C39" s="2"/>
      <x:c r="D39" s="2"/>
      <x:c r="E39" s="2"/>
      <x:c r="F39" s="2"/>
      <x:c r="G39" s="2"/>
      <x:c r="H39" s="2"/>
    </x:row>
    <x:row r="40">
      <x:c r="B40" s="2"/>
      <x:c r="C40" s="2"/>
      <x:c r="D40" s="2"/>
      <x:c r="E40" s="2"/>
      <x:c r="F40" s="2"/>
      <x:c r="G40" s="2"/>
      <x:c r="H40" s="2"/>
    </x:row>
  </x:sheetData>
  <x:mergeCells>
    <x:mergeCell ref="B3:H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0" hidden="0" customWidth="1"/>
    <x:col min="5" max="5" width="13" hidden="0" customWidth="1"/>
    <x:col min="6" max="6" width="34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18" hidden="0" customWidth="1"/>
    <x:col min="12" max="12" width="13" hidden="0" customWidth="1"/>
    <x:col min="13" max="13" width="14" hidden="0" customWidth="1"/>
    <x:col min="14" max="14" width="14" hidden="0" customWidth="1"/>
  </x:cols>
  <x:sheetData>
    <x:row r="2">
      <x:c r="B2" s="3" t="str">
        <x:v>Technical-root data constitution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Each root carries a complete technical-data obligation. Counts are deliberately zero until independently accepted; registration, delivery, and acceptance remain distinct.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19" t="str">
        <x:v>Root</x:v>
      </x:c>
      <x:c r="C6" s="20" t="str">
        <x:v>Program</x:v>
      </x:c>
      <x:c r="D6" s="20" t="str">
        <x:v>Family</x:v>
      </x:c>
      <x:c r="E6" s="20" t="str">
        <x:v>Path</x:v>
      </x:c>
      <x:c r="F6" s="20" t="str">
        <x:v>Owner</x:v>
      </x:c>
      <x:c r="G6" s="20" t="str">
        <x:v>Required CTDP classes</x:v>
      </x:c>
      <x:c r="H6" s="20" t="str">
        <x:v>Submitted</x:v>
      </x:c>
      <x:c r="I6" s="20" t="str">
        <x:v>Accepted</x:v>
      </x:c>
      <x:c r="J6" s="20" t="str">
        <x:v>Rights required</x:v>
      </x:c>
      <x:c r="K6" s="20" t="str">
        <x:v>Rights delivered</x:v>
      </x:c>
      <x:c r="L6" s="20" t="str">
        <x:v>Evidence</x:v>
      </x:c>
      <x:c r="M6" s="20" t="str">
        <x:v>Release</x:v>
      </x:c>
      <x:c r="N6" s="20" t="str">
        <x:v>Root data audit</x:v>
      </x:c>
    </x:row>
    <x:row r="7">
      <x:c r="B7" s="21" t="str">
        <x:v>F01-I1-A</x:v>
      </x:c>
      <x:c r="C7" s="21" t="str">
        <x:v>F01-I1</x:v>
      </x:c>
      <x:c r="D7" s="21" t="str">
        <x:v>F01</x:v>
      </x:c>
      <x:c r="E7" s="21" t="str">
        <x:v>BUILD A</x:v>
      </x:c>
      <x:c r="F7" s="21" t="str">
        <x:v>Independent build ecosystem 01</x:v>
      </x:c>
      <x:c r="G7" s="21" t="n">
        <x:v>28</x:v>
      </x:c>
      <x:c r="H7" s="46" t="n">
        <x:v>0</x:v>
      </x:c>
      <x:c r="I7" s="46" t="n">
        <x:v>0</x:v>
      </x:c>
      <x:c r="J7" s="46" t="n">
        <x:v>8</x:v>
      </x:c>
      <x:c r="K7" s="46" t="n">
        <x:v>0</x:v>
      </x:c>
      <x:c r="L7" s="21" t="str">
        <x:v>OPEN</x:v>
      </x:c>
      <x:c r="M7" s="21" t="str">
        <x:v>BLOCKED</x:v>
      </x:c>
      <x:c r="N7" s="23" t="str">
        <x:f>IF(AND(H7&lt;=G7,I7&lt;=H7,K7&lt;=J7),"PASS","FAIL")</x:f>
        <x:v>PASS</x:v>
      </x:c>
    </x:row>
    <x:row r="8">
      <x:c r="B8" s="21" t="str">
        <x:v>F01-I1-B</x:v>
      </x:c>
      <x:c r="C8" s="21" t="str">
        <x:v>F01-I1</x:v>
      </x:c>
      <x:c r="D8" s="21" t="str">
        <x:v>F01</x:v>
      </x:c>
      <x:c r="E8" s="21" t="str">
        <x:v>BUILD B</x:v>
      </x:c>
      <x:c r="F8" s="21" t="str">
        <x:v>Independent build ecosystem 03</x:v>
      </x:c>
      <x:c r="G8" s="21" t="n">
        <x:v>28</x:v>
      </x:c>
      <x:c r="H8" s="46" t="n">
        <x:v>0</x:v>
      </x:c>
      <x:c r="I8" s="46" t="n">
        <x:v>0</x:v>
      </x:c>
      <x:c r="J8" s="46" t="n">
        <x:v>8</x:v>
      </x:c>
      <x:c r="K8" s="46" t="n">
        <x:v>0</x:v>
      </x:c>
      <x:c r="L8" s="21" t="str">
        <x:v>OPEN</x:v>
      </x:c>
      <x:c r="M8" s="21" t="str">
        <x:v>BLOCKED</x:v>
      </x:c>
      <x:c r="N8" s="23" t="str">
        <x:f>IF(AND(H8&lt;=G8,I8&lt;=H8,K8&lt;=J8),"PASS","FAIL")</x:f>
        <x:v>PASS</x:v>
      </x:c>
    </x:row>
    <x:row r="9">
      <x:c r="B9" s="21" t="str">
        <x:v>F01-I1-C</x:v>
      </x:c>
      <x:c r="C9" s="21" t="str">
        <x:v>F01-I1</x:v>
      </x:c>
      <x:c r="D9" s="21" t="str">
        <x:v>F01</x:v>
      </x:c>
      <x:c r="E9" s="21" t="str">
        <x:v>CHALLENGE</x:v>
      </x:c>
      <x:c r="F9" s="21" t="str">
        <x:v>Sovereign challenge cell TIO-01</x:v>
      </x:c>
      <x:c r="G9" s="21" t="n">
        <x:v>28</x:v>
      </x:c>
      <x:c r="H9" s="46" t="n">
        <x:v>0</x:v>
      </x:c>
      <x:c r="I9" s="46" t="n">
        <x:v>0</x:v>
      </x:c>
      <x:c r="J9" s="46" t="n">
        <x:v>8</x:v>
      </x:c>
      <x:c r="K9" s="46" t="n">
        <x:v>0</x:v>
      </x:c>
      <x:c r="L9" s="21" t="str">
        <x:v>OPEN</x:v>
      </x:c>
      <x:c r="M9" s="21" t="str">
        <x:v>BLOCKED</x:v>
      </x:c>
      <x:c r="N9" s="23" t="str">
        <x:f>IF(AND(H9&lt;=G9,I9&lt;=H9,K9&lt;=J9),"PASS","FAIL")</x:f>
        <x:v>PASS</x:v>
      </x:c>
    </x:row>
    <x:row r="10">
      <x:c r="B10" s="21" t="str">
        <x:v>F01-I2-A</x:v>
      </x:c>
      <x:c r="C10" s="21" t="str">
        <x:v>F01-I2</x:v>
      </x:c>
      <x:c r="D10" s="21" t="str">
        <x:v>F01</x:v>
      </x:c>
      <x:c r="E10" s="21" t="str">
        <x:v>BUILD A</x:v>
      </x:c>
      <x:c r="F10" s="21" t="str">
        <x:v>Independent build ecosystem 04</x:v>
      </x:c>
      <x:c r="G10" s="21" t="n">
        <x:v>28</x:v>
      </x:c>
      <x:c r="H10" s="46" t="n">
        <x:v>0</x:v>
      </x:c>
      <x:c r="I10" s="46" t="n">
        <x:v>0</x:v>
      </x:c>
      <x:c r="J10" s="46" t="n">
        <x:v>8</x:v>
      </x:c>
      <x:c r="K10" s="46" t="n">
        <x:v>0</x:v>
      </x:c>
      <x:c r="L10" s="21" t="str">
        <x:v>OPEN</x:v>
      </x:c>
      <x:c r="M10" s="21" t="str">
        <x:v>BLOCKED</x:v>
      </x:c>
      <x:c r="N10" s="23" t="str">
        <x:f>IF(AND(H10&lt;=G10,I10&lt;=H10,K10&lt;=J10),"PASS","FAIL")</x:f>
        <x:v>PASS</x:v>
      </x:c>
    </x:row>
    <x:row r="11">
      <x:c r="B11" s="21" t="str">
        <x:v>F01-I2-B</x:v>
      </x:c>
      <x:c r="C11" s="21" t="str">
        <x:v>F01-I2</x:v>
      </x:c>
      <x:c r="D11" s="21" t="str">
        <x:v>F01</x:v>
      </x:c>
      <x:c r="E11" s="21" t="str">
        <x:v>BUILD B</x:v>
      </x:c>
      <x:c r="F11" s="21" t="str">
        <x:v>Independent build ecosystem 06</x:v>
      </x:c>
      <x:c r="G11" s="21" t="n">
        <x:v>28</x:v>
      </x:c>
      <x:c r="H11" s="46" t="n">
        <x:v>0</x:v>
      </x:c>
      <x:c r="I11" s="46" t="n">
        <x:v>0</x:v>
      </x:c>
      <x:c r="J11" s="46" t="n">
        <x:v>8</x:v>
      </x:c>
      <x:c r="K11" s="46" t="n">
        <x:v>0</x:v>
      </x:c>
      <x:c r="L11" s="21" t="str">
        <x:v>OPEN</x:v>
      </x:c>
      <x:c r="M11" s="21" t="str">
        <x:v>BLOCKED</x:v>
      </x:c>
      <x:c r="N11" s="23" t="str">
        <x:f>IF(AND(H11&lt;=G11,I11&lt;=H11,K11&lt;=J11),"PASS","FAIL")</x:f>
        <x:v>PASS</x:v>
      </x:c>
    </x:row>
    <x:row r="12">
      <x:c r="B12" s="21" t="str">
        <x:v>F01-I2-C</x:v>
      </x:c>
      <x:c r="C12" s="21" t="str">
        <x:v>F01-I2</x:v>
      </x:c>
      <x:c r="D12" s="21" t="str">
        <x:v>F01</x:v>
      </x:c>
      <x:c r="E12" s="21" t="str">
        <x:v>CHALLENGE</x:v>
      </x:c>
      <x:c r="F12" s="21" t="str">
        <x:v>Sovereign challenge cell TIO-02</x:v>
      </x:c>
      <x:c r="G12" s="21" t="n">
        <x:v>28</x:v>
      </x:c>
      <x:c r="H12" s="46" t="n">
        <x:v>0</x:v>
      </x:c>
      <x:c r="I12" s="46" t="n">
        <x:v>0</x:v>
      </x:c>
      <x:c r="J12" s="46" t="n">
        <x:v>8</x:v>
      </x:c>
      <x:c r="K12" s="46" t="n">
        <x:v>0</x:v>
      </x:c>
      <x:c r="L12" s="21" t="str">
        <x:v>OPEN</x:v>
      </x:c>
      <x:c r="M12" s="21" t="str">
        <x:v>BLOCKED</x:v>
      </x:c>
      <x:c r="N12" s="23" t="str">
        <x:f>IF(AND(H12&lt;=G12,I12&lt;=H12,K12&lt;=J12),"PASS","FAIL")</x:f>
        <x:v>PASS</x:v>
      </x:c>
    </x:row>
    <x:row r="13">
      <x:c r="B13" s="21" t="str">
        <x:v>F01-I3-A</x:v>
      </x:c>
      <x:c r="C13" s="21" t="str">
        <x:v>F01-I3</x:v>
      </x:c>
      <x:c r="D13" s="21" t="str">
        <x:v>F01</x:v>
      </x:c>
      <x:c r="E13" s="21" t="str">
        <x:v>BUILD A</x:v>
      </x:c>
      <x:c r="F13" s="21" t="str">
        <x:v>Independent build ecosystem 07</x:v>
      </x:c>
      <x:c r="G13" s="21" t="n">
        <x:v>28</x:v>
      </x:c>
      <x:c r="H13" s="46" t="n">
        <x:v>0</x:v>
      </x:c>
      <x:c r="I13" s="46" t="n">
        <x:v>0</x:v>
      </x:c>
      <x:c r="J13" s="46" t="n">
        <x:v>8</x:v>
      </x:c>
      <x:c r="K13" s="46" t="n">
        <x:v>0</x:v>
      </x:c>
      <x:c r="L13" s="21" t="str">
        <x:v>OPEN</x:v>
      </x:c>
      <x:c r="M13" s="21" t="str">
        <x:v>BLOCKED</x:v>
      </x:c>
      <x:c r="N13" s="23" t="str">
        <x:f>IF(AND(H13&lt;=G13,I13&lt;=H13,K13&lt;=J13),"PASS","FAIL")</x:f>
        <x:v>PASS</x:v>
      </x:c>
    </x:row>
    <x:row r="14">
      <x:c r="B14" s="21" t="str">
        <x:v>F01-I3-B</x:v>
      </x:c>
      <x:c r="C14" s="21" t="str">
        <x:v>F01-I3</x:v>
      </x:c>
      <x:c r="D14" s="21" t="str">
        <x:v>F01</x:v>
      </x:c>
      <x:c r="E14" s="21" t="str">
        <x:v>BUILD B</x:v>
      </x:c>
      <x:c r="F14" s="21" t="str">
        <x:v>Independent build ecosystem 09</x:v>
      </x:c>
      <x:c r="G14" s="21" t="n">
        <x:v>28</x:v>
      </x:c>
      <x:c r="H14" s="46" t="n">
        <x:v>0</x:v>
      </x:c>
      <x:c r="I14" s="46" t="n">
        <x:v>0</x:v>
      </x:c>
      <x:c r="J14" s="46" t="n">
        <x:v>8</x:v>
      </x:c>
      <x:c r="K14" s="46" t="n">
        <x:v>0</x:v>
      </x:c>
      <x:c r="L14" s="21" t="str">
        <x:v>OPEN</x:v>
      </x:c>
      <x:c r="M14" s="21" t="str">
        <x:v>BLOCKED</x:v>
      </x:c>
      <x:c r="N14" s="23" t="str">
        <x:f>IF(AND(H14&lt;=G14,I14&lt;=H14,K14&lt;=J14),"PASS","FAIL")</x:f>
        <x:v>PASS</x:v>
      </x:c>
    </x:row>
    <x:row r="15">
      <x:c r="B15" s="21" t="str">
        <x:v>F01-I3-C</x:v>
      </x:c>
      <x:c r="C15" s="21" t="str">
        <x:v>F01-I3</x:v>
      </x:c>
      <x:c r="D15" s="21" t="str">
        <x:v>F01</x:v>
      </x:c>
      <x:c r="E15" s="21" t="str">
        <x:v>CHALLENGE</x:v>
      </x:c>
      <x:c r="F15" s="21" t="str">
        <x:v>Sovereign challenge cell TIO-03</x:v>
      </x:c>
      <x:c r="G15" s="21" t="n">
        <x:v>28</x:v>
      </x:c>
      <x:c r="H15" s="46" t="n">
        <x:v>0</x:v>
      </x:c>
      <x:c r="I15" s="46" t="n">
        <x:v>0</x:v>
      </x:c>
      <x:c r="J15" s="46" t="n">
        <x:v>8</x:v>
      </x:c>
      <x:c r="K15" s="46" t="n">
        <x:v>0</x:v>
      </x:c>
      <x:c r="L15" s="21" t="str">
        <x:v>OPEN</x:v>
      </x:c>
      <x:c r="M15" s="21" t="str">
        <x:v>BLOCKED</x:v>
      </x:c>
      <x:c r="N15" s="23" t="str">
        <x:f>IF(AND(H15&lt;=G15,I15&lt;=H15,K15&lt;=J15),"PASS","FAIL")</x:f>
        <x:v>PASS</x:v>
      </x:c>
    </x:row>
    <x:row r="16">
      <x:c r="B16" s="21" t="str">
        <x:v>F01-I4-A</x:v>
      </x:c>
      <x:c r="C16" s="21" t="str">
        <x:v>F01-I4</x:v>
      </x:c>
      <x:c r="D16" s="21" t="str">
        <x:v>F01</x:v>
      </x:c>
      <x:c r="E16" s="21" t="str">
        <x:v>BUILD A</x:v>
      </x:c>
      <x:c r="F16" s="21" t="str">
        <x:v>Independent build ecosystem 10</x:v>
      </x:c>
      <x:c r="G16" s="21" t="n">
        <x:v>28</x:v>
      </x:c>
      <x:c r="H16" s="46" t="n">
        <x:v>0</x:v>
      </x:c>
      <x:c r="I16" s="46" t="n">
        <x:v>0</x:v>
      </x:c>
      <x:c r="J16" s="46" t="n">
        <x:v>8</x:v>
      </x:c>
      <x:c r="K16" s="46" t="n">
        <x:v>0</x:v>
      </x:c>
      <x:c r="L16" s="21" t="str">
        <x:v>OPEN</x:v>
      </x:c>
      <x:c r="M16" s="21" t="str">
        <x:v>BLOCKED</x:v>
      </x:c>
      <x:c r="N16" s="23" t="str">
        <x:f>IF(AND(H16&lt;=G16,I16&lt;=H16,K16&lt;=J16),"PASS","FAIL")</x:f>
        <x:v>PASS</x:v>
      </x:c>
    </x:row>
    <x:row r="17">
      <x:c r="B17" s="21" t="str">
        <x:v>F01-I4-B</x:v>
      </x:c>
      <x:c r="C17" s="21" t="str">
        <x:v>F01-I4</x:v>
      </x:c>
      <x:c r="D17" s="21" t="str">
        <x:v>F01</x:v>
      </x:c>
      <x:c r="E17" s="21" t="str">
        <x:v>BUILD B</x:v>
      </x:c>
      <x:c r="F17" s="21" t="str">
        <x:v>Independent build ecosystem 12</x:v>
      </x:c>
      <x:c r="G17" s="21" t="n">
        <x:v>28</x:v>
      </x:c>
      <x:c r="H17" s="46" t="n">
        <x:v>0</x:v>
      </x:c>
      <x:c r="I17" s="46" t="n">
        <x:v>0</x:v>
      </x:c>
      <x:c r="J17" s="46" t="n">
        <x:v>8</x:v>
      </x:c>
      <x:c r="K17" s="46" t="n">
        <x:v>0</x:v>
      </x:c>
      <x:c r="L17" s="21" t="str">
        <x:v>OPEN</x:v>
      </x:c>
      <x:c r="M17" s="21" t="str">
        <x:v>BLOCKED</x:v>
      </x:c>
      <x:c r="N17" s="23" t="str">
        <x:f>IF(AND(H17&lt;=G17,I17&lt;=H17,K17&lt;=J17),"PASS","FAIL")</x:f>
        <x:v>PASS</x:v>
      </x:c>
    </x:row>
    <x:row r="18">
      <x:c r="B18" s="21" t="str">
        <x:v>F01-I4-C</x:v>
      </x:c>
      <x:c r="C18" s="21" t="str">
        <x:v>F01-I4</x:v>
      </x:c>
      <x:c r="D18" s="21" t="str">
        <x:v>F01</x:v>
      </x:c>
      <x:c r="E18" s="21" t="str">
        <x:v>CHALLENGE</x:v>
      </x:c>
      <x:c r="F18" s="21" t="str">
        <x:v>Sovereign challenge cell TIO-04</x:v>
      </x:c>
      <x:c r="G18" s="21" t="n">
        <x:v>28</x:v>
      </x:c>
      <x:c r="H18" s="46" t="n">
        <x:v>0</x:v>
      </x:c>
      <x:c r="I18" s="46" t="n">
        <x:v>0</x:v>
      </x:c>
      <x:c r="J18" s="46" t="n">
        <x:v>8</x:v>
      </x:c>
      <x:c r="K18" s="46" t="n">
        <x:v>0</x:v>
      </x:c>
      <x:c r="L18" s="21" t="str">
        <x:v>OPEN</x:v>
      </x:c>
      <x:c r="M18" s="21" t="str">
        <x:v>BLOCKED</x:v>
      </x:c>
      <x:c r="N18" s="23" t="str">
        <x:f>IF(AND(H18&lt;=G18,I18&lt;=H18,K18&lt;=J18),"PASS","FAIL")</x:f>
        <x:v>PASS</x:v>
      </x:c>
    </x:row>
    <x:row r="19">
      <x:c r="B19" s="21" t="str">
        <x:v>F02-I1-A</x:v>
      </x:c>
      <x:c r="C19" s="21" t="str">
        <x:v>F02-I1</x:v>
      </x:c>
      <x:c r="D19" s="21" t="str">
        <x:v>F02</x:v>
      </x:c>
      <x:c r="E19" s="21" t="str">
        <x:v>BUILD A</x:v>
      </x:c>
      <x:c r="F19" s="21" t="str">
        <x:v>Independent build ecosystem 13</x:v>
      </x:c>
      <x:c r="G19" s="21" t="n">
        <x:v>28</x:v>
      </x:c>
      <x:c r="H19" s="46" t="n">
        <x:v>0</x:v>
      </x:c>
      <x:c r="I19" s="46" t="n">
        <x:v>0</x:v>
      </x:c>
      <x:c r="J19" s="46" t="n">
        <x:v>8</x:v>
      </x:c>
      <x:c r="K19" s="46" t="n">
        <x:v>0</x:v>
      </x:c>
      <x:c r="L19" s="21" t="str">
        <x:v>OPEN</x:v>
      </x:c>
      <x:c r="M19" s="21" t="str">
        <x:v>BLOCKED</x:v>
      </x:c>
      <x:c r="N19" s="23" t="str">
        <x:f>IF(AND(H19&lt;=G19,I19&lt;=H19,K19&lt;=J19),"PASS","FAIL")</x:f>
        <x:v>PASS</x:v>
      </x:c>
    </x:row>
    <x:row r="20">
      <x:c r="B20" s="21" t="str">
        <x:v>F02-I1-B</x:v>
      </x:c>
      <x:c r="C20" s="21" t="str">
        <x:v>F02-I1</x:v>
      </x:c>
      <x:c r="D20" s="21" t="str">
        <x:v>F02</x:v>
      </x:c>
      <x:c r="E20" s="21" t="str">
        <x:v>BUILD B</x:v>
      </x:c>
      <x:c r="F20" s="21" t="str">
        <x:v>Independent build ecosystem 15</x:v>
      </x:c>
      <x:c r="G20" s="21" t="n">
        <x:v>28</x:v>
      </x:c>
      <x:c r="H20" s="46" t="n">
        <x:v>0</x:v>
      </x:c>
      <x:c r="I20" s="46" t="n">
        <x:v>0</x:v>
      </x:c>
      <x:c r="J20" s="46" t="n">
        <x:v>8</x:v>
      </x:c>
      <x:c r="K20" s="46" t="n">
        <x:v>0</x:v>
      </x:c>
      <x:c r="L20" s="21" t="str">
        <x:v>OPEN</x:v>
      </x:c>
      <x:c r="M20" s="21" t="str">
        <x:v>BLOCKED</x:v>
      </x:c>
      <x:c r="N20" s="23" t="str">
        <x:f>IF(AND(H20&lt;=G20,I20&lt;=H20,K20&lt;=J20),"PASS","FAIL")</x:f>
        <x:v>PASS</x:v>
      </x:c>
    </x:row>
    <x:row r="21">
      <x:c r="B21" s="21" t="str">
        <x:v>F02-I1-C</x:v>
      </x:c>
      <x:c r="C21" s="21" t="str">
        <x:v>F02-I1</x:v>
      </x:c>
      <x:c r="D21" s="21" t="str">
        <x:v>F02</x:v>
      </x:c>
      <x:c r="E21" s="21" t="str">
        <x:v>CHALLENGE</x:v>
      </x:c>
      <x:c r="F21" s="21" t="str">
        <x:v>Sovereign challenge cell TIO-05</x:v>
      </x:c>
      <x:c r="G21" s="21" t="n">
        <x:v>28</x:v>
      </x:c>
      <x:c r="H21" s="46" t="n">
        <x:v>0</x:v>
      </x:c>
      <x:c r="I21" s="46" t="n">
        <x:v>0</x:v>
      </x:c>
      <x:c r="J21" s="46" t="n">
        <x:v>8</x:v>
      </x:c>
      <x:c r="K21" s="46" t="n">
        <x:v>0</x:v>
      </x:c>
      <x:c r="L21" s="21" t="str">
        <x:v>OPEN</x:v>
      </x:c>
      <x:c r="M21" s="21" t="str">
        <x:v>BLOCKED</x:v>
      </x:c>
      <x:c r="N21" s="23" t="str">
        <x:f>IF(AND(H21&lt;=G21,I21&lt;=H21,K21&lt;=J21),"PASS","FAIL")</x:f>
        <x:v>PASS</x:v>
      </x:c>
    </x:row>
    <x:row r="22">
      <x:c r="B22" s="21" t="str">
        <x:v>F02-I2-A</x:v>
      </x:c>
      <x:c r="C22" s="21" t="str">
        <x:v>F02-I2</x:v>
      </x:c>
      <x:c r="D22" s="21" t="str">
        <x:v>F02</x:v>
      </x:c>
      <x:c r="E22" s="21" t="str">
        <x:v>BUILD A</x:v>
      </x:c>
      <x:c r="F22" s="21" t="str">
        <x:v>Independent build ecosystem 16</x:v>
      </x:c>
      <x:c r="G22" s="21" t="n">
        <x:v>28</x:v>
      </x:c>
      <x:c r="H22" s="46" t="n">
        <x:v>0</x:v>
      </x:c>
      <x:c r="I22" s="46" t="n">
        <x:v>0</x:v>
      </x:c>
      <x:c r="J22" s="46" t="n">
        <x:v>8</x:v>
      </x:c>
      <x:c r="K22" s="46" t="n">
        <x:v>0</x:v>
      </x:c>
      <x:c r="L22" s="21" t="str">
        <x:v>OPEN</x:v>
      </x:c>
      <x:c r="M22" s="21" t="str">
        <x:v>BLOCKED</x:v>
      </x:c>
      <x:c r="N22" s="23" t="str">
        <x:f>IF(AND(H22&lt;=G22,I22&lt;=H22,K22&lt;=J22),"PASS","FAIL")</x:f>
        <x:v>PASS</x:v>
      </x:c>
    </x:row>
    <x:row r="23">
      <x:c r="B23" s="21" t="str">
        <x:v>F02-I2-B</x:v>
      </x:c>
      <x:c r="C23" s="21" t="str">
        <x:v>F02-I2</x:v>
      </x:c>
      <x:c r="D23" s="21" t="str">
        <x:v>F02</x:v>
      </x:c>
      <x:c r="E23" s="21" t="str">
        <x:v>BUILD B</x:v>
      </x:c>
      <x:c r="F23" s="21" t="str">
        <x:v>Independent build ecosystem 02</x:v>
      </x:c>
      <x:c r="G23" s="21" t="n">
        <x:v>28</x:v>
      </x:c>
      <x:c r="H23" s="46" t="n">
        <x:v>0</x:v>
      </x:c>
      <x:c r="I23" s="46" t="n">
        <x:v>0</x:v>
      </x:c>
      <x:c r="J23" s="46" t="n">
        <x:v>8</x:v>
      </x:c>
      <x:c r="K23" s="46" t="n">
        <x:v>0</x:v>
      </x:c>
      <x:c r="L23" s="21" t="str">
        <x:v>OPEN</x:v>
      </x:c>
      <x:c r="M23" s="21" t="str">
        <x:v>BLOCKED</x:v>
      </x:c>
      <x:c r="N23" s="23" t="str">
        <x:f>IF(AND(H23&lt;=G23,I23&lt;=H23,K23&lt;=J23),"PASS","FAIL")</x:f>
        <x:v>PASS</x:v>
      </x:c>
    </x:row>
    <x:row r="24">
      <x:c r="B24" s="21" t="str">
        <x:v>F02-I2-C</x:v>
      </x:c>
      <x:c r="C24" s="21" t="str">
        <x:v>F02-I2</x:v>
      </x:c>
      <x:c r="D24" s="21" t="str">
        <x:v>F02</x:v>
      </x:c>
      <x:c r="E24" s="21" t="str">
        <x:v>CHALLENGE</x:v>
      </x:c>
      <x:c r="F24" s="21" t="str">
        <x:v>Sovereign challenge cell TIO-06</x:v>
      </x:c>
      <x:c r="G24" s="21" t="n">
        <x:v>28</x:v>
      </x:c>
      <x:c r="H24" s="46" t="n">
        <x:v>0</x:v>
      </x:c>
      <x:c r="I24" s="46" t="n">
        <x:v>0</x:v>
      </x:c>
      <x:c r="J24" s="46" t="n">
        <x:v>8</x:v>
      </x:c>
      <x:c r="K24" s="46" t="n">
        <x:v>0</x:v>
      </x:c>
      <x:c r="L24" s="21" t="str">
        <x:v>OPEN</x:v>
      </x:c>
      <x:c r="M24" s="21" t="str">
        <x:v>BLOCKED</x:v>
      </x:c>
      <x:c r="N24" s="23" t="str">
        <x:f>IF(AND(H24&lt;=G24,I24&lt;=H24,K24&lt;=J24),"PASS","FAIL")</x:f>
        <x:v>PASS</x:v>
      </x:c>
    </x:row>
    <x:row r="25">
      <x:c r="B25" s="21" t="str">
        <x:v>F02-I3-A</x:v>
      </x:c>
      <x:c r="C25" s="21" t="str">
        <x:v>F02-I3</x:v>
      </x:c>
      <x:c r="D25" s="21" t="str">
        <x:v>F02</x:v>
      </x:c>
      <x:c r="E25" s="21" t="str">
        <x:v>BUILD A</x:v>
      </x:c>
      <x:c r="F25" s="21" t="str">
        <x:v>Independent build ecosystem 03</x:v>
      </x:c>
      <x:c r="G25" s="21" t="n">
        <x:v>28</x:v>
      </x:c>
      <x:c r="H25" s="46" t="n">
        <x:v>0</x:v>
      </x:c>
      <x:c r="I25" s="46" t="n">
        <x:v>0</x:v>
      </x:c>
      <x:c r="J25" s="46" t="n">
        <x:v>8</x:v>
      </x:c>
      <x:c r="K25" s="46" t="n">
        <x:v>0</x:v>
      </x:c>
      <x:c r="L25" s="21" t="str">
        <x:v>OPEN</x:v>
      </x:c>
      <x:c r="M25" s="21" t="str">
        <x:v>BLOCKED</x:v>
      </x:c>
      <x:c r="N25" s="23" t="str">
        <x:f>IF(AND(H25&lt;=G25,I25&lt;=H25,K25&lt;=J25),"PASS","FAIL")</x:f>
        <x:v>PASS</x:v>
      </x:c>
    </x:row>
    <x:row r="26">
      <x:c r="B26" s="21" t="str">
        <x:v>F02-I3-B</x:v>
      </x:c>
      <x:c r="C26" s="21" t="str">
        <x:v>F02-I3</x:v>
      </x:c>
      <x:c r="D26" s="21" t="str">
        <x:v>F02</x:v>
      </x:c>
      <x:c r="E26" s="21" t="str">
        <x:v>BUILD B</x:v>
      </x:c>
      <x:c r="F26" s="21" t="str">
        <x:v>Independent build ecosystem 05</x:v>
      </x:c>
      <x:c r="G26" s="21" t="n">
        <x:v>28</x:v>
      </x:c>
      <x:c r="H26" s="46" t="n">
        <x:v>0</x:v>
      </x:c>
      <x:c r="I26" s="46" t="n">
        <x:v>0</x:v>
      </x:c>
      <x:c r="J26" s="46" t="n">
        <x:v>8</x:v>
      </x:c>
      <x:c r="K26" s="46" t="n">
        <x:v>0</x:v>
      </x:c>
      <x:c r="L26" s="21" t="str">
        <x:v>OPEN</x:v>
      </x:c>
      <x:c r="M26" s="21" t="str">
        <x:v>BLOCKED</x:v>
      </x:c>
      <x:c r="N26" s="23" t="str">
        <x:f>IF(AND(H26&lt;=G26,I26&lt;=H26,K26&lt;=J26),"PASS","FAIL")</x:f>
        <x:v>PASS</x:v>
      </x:c>
    </x:row>
    <x:row r="27">
      <x:c r="B27" s="21" t="str">
        <x:v>F02-I3-C</x:v>
      </x:c>
      <x:c r="C27" s="21" t="str">
        <x:v>F02-I3</x:v>
      </x:c>
      <x:c r="D27" s="21" t="str">
        <x:v>F02</x:v>
      </x:c>
      <x:c r="E27" s="21" t="str">
        <x:v>CHALLENGE</x:v>
      </x:c>
      <x:c r="F27" s="21" t="str">
        <x:v>Sovereign challenge cell TIO-07</x:v>
      </x:c>
      <x:c r="G27" s="21" t="n">
        <x:v>28</x:v>
      </x:c>
      <x:c r="H27" s="46" t="n">
        <x:v>0</x:v>
      </x:c>
      <x:c r="I27" s="46" t="n">
        <x:v>0</x:v>
      </x:c>
      <x:c r="J27" s="46" t="n">
        <x:v>8</x:v>
      </x:c>
      <x:c r="K27" s="46" t="n">
        <x:v>0</x:v>
      </x:c>
      <x:c r="L27" s="21" t="str">
        <x:v>OPEN</x:v>
      </x:c>
      <x:c r="M27" s="21" t="str">
        <x:v>BLOCKED</x:v>
      </x:c>
      <x:c r="N27" s="23" t="str">
        <x:f>IF(AND(H27&lt;=G27,I27&lt;=H27,K27&lt;=J27),"PASS","FAIL")</x:f>
        <x:v>PASS</x:v>
      </x:c>
    </x:row>
    <x:row r="28">
      <x:c r="B28" s="21" t="str">
        <x:v>F02-I4-A</x:v>
      </x:c>
      <x:c r="C28" s="21" t="str">
        <x:v>F02-I4</x:v>
      </x:c>
      <x:c r="D28" s="21" t="str">
        <x:v>F02</x:v>
      </x:c>
      <x:c r="E28" s="21" t="str">
        <x:v>BUILD A</x:v>
      </x:c>
      <x:c r="F28" s="21" t="str">
        <x:v>Independent build ecosystem 06</x:v>
      </x:c>
      <x:c r="G28" s="21" t="n">
        <x:v>28</x:v>
      </x:c>
      <x:c r="H28" s="46" t="n">
        <x:v>0</x:v>
      </x:c>
      <x:c r="I28" s="46" t="n">
        <x:v>0</x:v>
      </x:c>
      <x:c r="J28" s="46" t="n">
        <x:v>8</x:v>
      </x:c>
      <x:c r="K28" s="46" t="n">
        <x:v>0</x:v>
      </x:c>
      <x:c r="L28" s="21" t="str">
        <x:v>OPEN</x:v>
      </x:c>
      <x:c r="M28" s="21" t="str">
        <x:v>BLOCKED</x:v>
      </x:c>
      <x:c r="N28" s="23" t="str">
        <x:f>IF(AND(H28&lt;=G28,I28&lt;=H28,K28&lt;=J28),"PASS","FAIL")</x:f>
        <x:v>PASS</x:v>
      </x:c>
    </x:row>
    <x:row r="29">
      <x:c r="B29" s="21" t="str">
        <x:v>F02-I4-B</x:v>
      </x:c>
      <x:c r="C29" s="21" t="str">
        <x:v>F02-I4</x:v>
      </x:c>
      <x:c r="D29" s="21" t="str">
        <x:v>F02</x:v>
      </x:c>
      <x:c r="E29" s="21" t="str">
        <x:v>BUILD B</x:v>
      </x:c>
      <x:c r="F29" s="21" t="str">
        <x:v>Independent build ecosystem 08</x:v>
      </x:c>
      <x:c r="G29" s="21" t="n">
        <x:v>28</x:v>
      </x:c>
      <x:c r="H29" s="46" t="n">
        <x:v>0</x:v>
      </x:c>
      <x:c r="I29" s="46" t="n">
        <x:v>0</x:v>
      </x:c>
      <x:c r="J29" s="46" t="n">
        <x:v>8</x:v>
      </x:c>
      <x:c r="K29" s="46" t="n">
        <x:v>0</x:v>
      </x:c>
      <x:c r="L29" s="21" t="str">
        <x:v>OPEN</x:v>
      </x:c>
      <x:c r="M29" s="21" t="str">
        <x:v>BLOCKED</x:v>
      </x:c>
      <x:c r="N29" s="23" t="str">
        <x:f>IF(AND(H29&lt;=G29,I29&lt;=H29,K29&lt;=J29),"PASS","FAIL")</x:f>
        <x:v>PASS</x:v>
      </x:c>
    </x:row>
    <x:row r="30">
      <x:c r="B30" s="21" t="str">
        <x:v>F02-I4-C</x:v>
      </x:c>
      <x:c r="C30" s="21" t="str">
        <x:v>F02-I4</x:v>
      </x:c>
      <x:c r="D30" s="21" t="str">
        <x:v>F02</x:v>
      </x:c>
      <x:c r="E30" s="21" t="str">
        <x:v>CHALLENGE</x:v>
      </x:c>
      <x:c r="F30" s="21" t="str">
        <x:v>Sovereign challenge cell TIO-08</x:v>
      </x:c>
      <x:c r="G30" s="21" t="n">
        <x:v>28</x:v>
      </x:c>
      <x:c r="H30" s="46" t="n">
        <x:v>0</x:v>
      </x:c>
      <x:c r="I30" s="46" t="n">
        <x:v>0</x:v>
      </x:c>
      <x:c r="J30" s="46" t="n">
        <x:v>8</x:v>
      </x:c>
      <x:c r="K30" s="46" t="n">
        <x:v>0</x:v>
      </x:c>
      <x:c r="L30" s="21" t="str">
        <x:v>OPEN</x:v>
      </x:c>
      <x:c r="M30" s="21" t="str">
        <x:v>BLOCKED</x:v>
      </x:c>
      <x:c r="N30" s="23" t="str">
        <x:f>IF(AND(H30&lt;=G30,I30&lt;=H30,K30&lt;=J30),"PASS","FAIL")</x:f>
        <x:v>PASS</x:v>
      </x:c>
    </x:row>
    <x:row r="31">
      <x:c r="B31" s="21" t="str">
        <x:v>F03-I1-A</x:v>
      </x:c>
      <x:c r="C31" s="21" t="str">
        <x:v>F03-I1</x:v>
      </x:c>
      <x:c r="D31" s="21" t="str">
        <x:v>F03</x:v>
      </x:c>
      <x:c r="E31" s="21" t="str">
        <x:v>BUILD A</x:v>
      </x:c>
      <x:c r="F31" s="21" t="str">
        <x:v>Independent build ecosystem 09</x:v>
      </x:c>
      <x:c r="G31" s="21" t="n">
        <x:v>28</x:v>
      </x:c>
      <x:c r="H31" s="46" t="n">
        <x:v>0</x:v>
      </x:c>
      <x:c r="I31" s="46" t="n">
        <x:v>0</x:v>
      </x:c>
      <x:c r="J31" s="46" t="n">
        <x:v>8</x:v>
      </x:c>
      <x:c r="K31" s="46" t="n">
        <x:v>0</x:v>
      </x:c>
      <x:c r="L31" s="21" t="str">
        <x:v>OPEN</x:v>
      </x:c>
      <x:c r="M31" s="21" t="str">
        <x:v>BLOCKED</x:v>
      </x:c>
      <x:c r="N31" s="23" t="str">
        <x:f>IF(AND(H31&lt;=G31,I31&lt;=H31,K31&lt;=J31),"PASS","FAIL")</x:f>
        <x:v>PASS</x:v>
      </x:c>
    </x:row>
    <x:row r="32">
      <x:c r="B32" s="21" t="str">
        <x:v>F03-I1-B</x:v>
      </x:c>
      <x:c r="C32" s="21" t="str">
        <x:v>F03-I1</x:v>
      </x:c>
      <x:c r="D32" s="21" t="str">
        <x:v>F03</x:v>
      </x:c>
      <x:c r="E32" s="21" t="str">
        <x:v>BUILD B</x:v>
      </x:c>
      <x:c r="F32" s="21" t="str">
        <x:v>Independent build ecosystem 11</x:v>
      </x:c>
      <x:c r="G32" s="21" t="n">
        <x:v>28</x:v>
      </x:c>
      <x:c r="H32" s="46" t="n">
        <x:v>0</x:v>
      </x:c>
      <x:c r="I32" s="46" t="n">
        <x:v>0</x:v>
      </x:c>
      <x:c r="J32" s="46" t="n">
        <x:v>8</x:v>
      </x:c>
      <x:c r="K32" s="46" t="n">
        <x:v>0</x:v>
      </x:c>
      <x:c r="L32" s="21" t="str">
        <x:v>OPEN</x:v>
      </x:c>
      <x:c r="M32" s="21" t="str">
        <x:v>BLOCKED</x:v>
      </x:c>
      <x:c r="N32" s="23" t="str">
        <x:f>IF(AND(H32&lt;=G32,I32&lt;=H32,K32&lt;=J32),"PASS","FAIL")</x:f>
        <x:v>PASS</x:v>
      </x:c>
    </x:row>
    <x:row r="33">
      <x:c r="B33" s="21" t="str">
        <x:v>F03-I1-C</x:v>
      </x:c>
      <x:c r="C33" s="21" t="str">
        <x:v>F03-I1</x:v>
      </x:c>
      <x:c r="D33" s="21" t="str">
        <x:v>F03</x:v>
      </x:c>
      <x:c r="E33" s="21" t="str">
        <x:v>CHALLENGE</x:v>
      </x:c>
      <x:c r="F33" s="21" t="str">
        <x:v>Sovereign challenge cell TIO-09</x:v>
      </x:c>
      <x:c r="G33" s="21" t="n">
        <x:v>28</x:v>
      </x:c>
      <x:c r="H33" s="46" t="n">
        <x:v>0</x:v>
      </x:c>
      <x:c r="I33" s="46" t="n">
        <x:v>0</x:v>
      </x:c>
      <x:c r="J33" s="46" t="n">
        <x:v>8</x:v>
      </x:c>
      <x:c r="K33" s="46" t="n">
        <x:v>0</x:v>
      </x:c>
      <x:c r="L33" s="21" t="str">
        <x:v>OPEN</x:v>
      </x:c>
      <x:c r="M33" s="21" t="str">
        <x:v>BLOCKED</x:v>
      </x:c>
      <x:c r="N33" s="23" t="str">
        <x:f>IF(AND(H33&lt;=G33,I33&lt;=H33,K33&lt;=J33),"PASS","FAIL")</x:f>
        <x:v>PASS</x:v>
      </x:c>
    </x:row>
    <x:row r="34">
      <x:c r="B34" s="21" t="str">
        <x:v>F03-I2-A</x:v>
      </x:c>
      <x:c r="C34" s="21" t="str">
        <x:v>F03-I2</x:v>
      </x:c>
      <x:c r="D34" s="21" t="str">
        <x:v>F03</x:v>
      </x:c>
      <x:c r="E34" s="21" t="str">
        <x:v>BUILD A</x:v>
      </x:c>
      <x:c r="F34" s="21" t="str">
        <x:v>Independent build ecosystem 12</x:v>
      </x:c>
      <x:c r="G34" s="21" t="n">
        <x:v>28</x:v>
      </x:c>
      <x:c r="H34" s="46" t="n">
        <x:v>0</x:v>
      </x:c>
      <x:c r="I34" s="46" t="n">
        <x:v>0</x:v>
      </x:c>
      <x:c r="J34" s="46" t="n">
        <x:v>8</x:v>
      </x:c>
      <x:c r="K34" s="46" t="n">
        <x:v>0</x:v>
      </x:c>
      <x:c r="L34" s="21" t="str">
        <x:v>OPEN</x:v>
      </x:c>
      <x:c r="M34" s="21" t="str">
        <x:v>BLOCKED</x:v>
      </x:c>
      <x:c r="N34" s="23" t="str">
        <x:f>IF(AND(H34&lt;=G34,I34&lt;=H34,K34&lt;=J34),"PASS","FAIL")</x:f>
        <x:v>PASS</x:v>
      </x:c>
    </x:row>
    <x:row r="35">
      <x:c r="B35" s="21" t="str">
        <x:v>F03-I2-B</x:v>
      </x:c>
      <x:c r="C35" s="21" t="str">
        <x:v>F03-I2</x:v>
      </x:c>
      <x:c r="D35" s="21" t="str">
        <x:v>F03</x:v>
      </x:c>
      <x:c r="E35" s="21" t="str">
        <x:v>BUILD B</x:v>
      </x:c>
      <x:c r="F35" s="21" t="str">
        <x:v>Independent build ecosystem 14</x:v>
      </x:c>
      <x:c r="G35" s="21" t="n">
        <x:v>28</x:v>
      </x:c>
      <x:c r="H35" s="46" t="n">
        <x:v>0</x:v>
      </x:c>
      <x:c r="I35" s="46" t="n">
        <x:v>0</x:v>
      </x:c>
      <x:c r="J35" s="46" t="n">
        <x:v>8</x:v>
      </x:c>
      <x:c r="K35" s="46" t="n">
        <x:v>0</x:v>
      </x:c>
      <x:c r="L35" s="21" t="str">
        <x:v>OPEN</x:v>
      </x:c>
      <x:c r="M35" s="21" t="str">
        <x:v>BLOCKED</x:v>
      </x:c>
      <x:c r="N35" s="23" t="str">
        <x:f>IF(AND(H35&lt;=G35,I35&lt;=H35,K35&lt;=J35),"PASS","FAIL")</x:f>
        <x:v>PASS</x:v>
      </x:c>
    </x:row>
    <x:row r="36">
      <x:c r="B36" s="21" t="str">
        <x:v>F03-I2-C</x:v>
      </x:c>
      <x:c r="C36" s="21" t="str">
        <x:v>F03-I2</x:v>
      </x:c>
      <x:c r="D36" s="21" t="str">
        <x:v>F03</x:v>
      </x:c>
      <x:c r="E36" s="21" t="str">
        <x:v>CHALLENGE</x:v>
      </x:c>
      <x:c r="F36" s="21" t="str">
        <x:v>Sovereign challenge cell TIO-10</x:v>
      </x:c>
      <x:c r="G36" s="21" t="n">
        <x:v>28</x:v>
      </x:c>
      <x:c r="H36" s="46" t="n">
        <x:v>0</x:v>
      </x:c>
      <x:c r="I36" s="46" t="n">
        <x:v>0</x:v>
      </x:c>
      <x:c r="J36" s="46" t="n">
        <x:v>8</x:v>
      </x:c>
      <x:c r="K36" s="46" t="n">
        <x:v>0</x:v>
      </x:c>
      <x:c r="L36" s="21" t="str">
        <x:v>OPEN</x:v>
      </x:c>
      <x:c r="M36" s="21" t="str">
        <x:v>BLOCKED</x:v>
      </x:c>
      <x:c r="N36" s="23" t="str">
        <x:f>IF(AND(H36&lt;=G36,I36&lt;=H36,K36&lt;=J36),"PASS","FAIL")</x:f>
        <x:v>PASS</x:v>
      </x:c>
    </x:row>
    <x:row r="37">
      <x:c r="B37" s="21" t="str">
        <x:v>F03-I3-A</x:v>
      </x:c>
      <x:c r="C37" s="21" t="str">
        <x:v>F03-I3</x:v>
      </x:c>
      <x:c r="D37" s="21" t="str">
        <x:v>F03</x:v>
      </x:c>
      <x:c r="E37" s="21" t="str">
        <x:v>BUILD A</x:v>
      </x:c>
      <x:c r="F37" s="21" t="str">
        <x:v>Independent build ecosystem 15</x:v>
      </x:c>
      <x:c r="G37" s="21" t="n">
        <x:v>28</x:v>
      </x:c>
      <x:c r="H37" s="46" t="n">
        <x:v>0</x:v>
      </x:c>
      <x:c r="I37" s="46" t="n">
        <x:v>0</x:v>
      </x:c>
      <x:c r="J37" s="46" t="n">
        <x:v>8</x:v>
      </x:c>
      <x:c r="K37" s="46" t="n">
        <x:v>0</x:v>
      </x:c>
      <x:c r="L37" s="21" t="str">
        <x:v>OPEN</x:v>
      </x:c>
      <x:c r="M37" s="21" t="str">
        <x:v>BLOCKED</x:v>
      </x:c>
      <x:c r="N37" s="23" t="str">
        <x:f>IF(AND(H37&lt;=G37,I37&lt;=H37,K37&lt;=J37),"PASS","FAIL")</x:f>
        <x:v>PASS</x:v>
      </x:c>
    </x:row>
    <x:row r="38">
      <x:c r="B38" s="21" t="str">
        <x:v>F03-I3-B</x:v>
      </x:c>
      <x:c r="C38" s="21" t="str">
        <x:v>F03-I3</x:v>
      </x:c>
      <x:c r="D38" s="21" t="str">
        <x:v>F03</x:v>
      </x:c>
      <x:c r="E38" s="21" t="str">
        <x:v>BUILD B</x:v>
      </x:c>
      <x:c r="F38" s="21" t="str">
        <x:v>Independent build ecosystem 01</x:v>
      </x:c>
      <x:c r="G38" s="21" t="n">
        <x:v>28</x:v>
      </x:c>
      <x:c r="H38" s="46" t="n">
        <x:v>0</x:v>
      </x:c>
      <x:c r="I38" s="46" t="n">
        <x:v>0</x:v>
      </x:c>
      <x:c r="J38" s="46" t="n">
        <x:v>8</x:v>
      </x:c>
      <x:c r="K38" s="46" t="n">
        <x:v>0</x:v>
      </x:c>
      <x:c r="L38" s="21" t="str">
        <x:v>OPEN</x:v>
      </x:c>
      <x:c r="M38" s="21" t="str">
        <x:v>BLOCKED</x:v>
      </x:c>
      <x:c r="N38" s="23" t="str">
        <x:f>IF(AND(H38&lt;=G38,I38&lt;=H38,K38&lt;=J38),"PASS","FAIL")</x:f>
        <x:v>PASS</x:v>
      </x:c>
    </x:row>
    <x:row r="39">
      <x:c r="B39" s="21" t="str">
        <x:v>F03-I3-C</x:v>
      </x:c>
      <x:c r="C39" s="21" t="str">
        <x:v>F03-I3</x:v>
      </x:c>
      <x:c r="D39" s="21" t="str">
        <x:v>F03</x:v>
      </x:c>
      <x:c r="E39" s="21" t="str">
        <x:v>CHALLENGE</x:v>
      </x:c>
      <x:c r="F39" s="21" t="str">
        <x:v>Sovereign challenge cell TIO-11</x:v>
      </x:c>
      <x:c r="G39" s="21" t="n">
        <x:v>28</x:v>
      </x:c>
      <x:c r="H39" s="46" t="n">
        <x:v>0</x:v>
      </x:c>
      <x:c r="I39" s="46" t="n">
        <x:v>0</x:v>
      </x:c>
      <x:c r="J39" s="46" t="n">
        <x:v>8</x:v>
      </x:c>
      <x:c r="K39" s="46" t="n">
        <x:v>0</x:v>
      </x:c>
      <x:c r="L39" s="21" t="str">
        <x:v>OPEN</x:v>
      </x:c>
      <x:c r="M39" s="21" t="str">
        <x:v>BLOCKED</x:v>
      </x:c>
      <x:c r="N39" s="23" t="str">
        <x:f>IF(AND(H39&lt;=G39,I39&lt;=H39,K39&lt;=J39),"PASS","FAIL")</x:f>
        <x:v>PASS</x:v>
      </x:c>
    </x:row>
    <x:row r="40">
      <x:c r="B40" s="21" t="str">
        <x:v>F03-I4-A</x:v>
      </x:c>
      <x:c r="C40" s="21" t="str">
        <x:v>F03-I4</x:v>
      </x:c>
      <x:c r="D40" s="21" t="str">
        <x:v>F03</x:v>
      </x:c>
      <x:c r="E40" s="21" t="str">
        <x:v>BUILD A</x:v>
      </x:c>
      <x:c r="F40" s="21" t="str">
        <x:v>Independent build ecosystem 02</x:v>
      </x:c>
      <x:c r="G40" s="21" t="n">
        <x:v>28</x:v>
      </x:c>
      <x:c r="H40" s="46" t="n">
        <x:v>0</x:v>
      </x:c>
      <x:c r="I40" s="46" t="n">
        <x:v>0</x:v>
      </x:c>
      <x:c r="J40" s="46" t="n">
        <x:v>8</x:v>
      </x:c>
      <x:c r="K40" s="46" t="n">
        <x:v>0</x:v>
      </x:c>
      <x:c r="L40" s="21" t="str">
        <x:v>OPEN</x:v>
      </x:c>
      <x:c r="M40" s="21" t="str">
        <x:v>BLOCKED</x:v>
      </x:c>
      <x:c r="N40" s="23" t="str">
        <x:f>IF(AND(H40&lt;=G40,I40&lt;=H40,K40&lt;=J40),"PASS","FAIL")</x:f>
        <x:v>PASS</x:v>
      </x:c>
    </x:row>
    <x:row r="41">
      <x:c r="B41" s="21" t="str">
        <x:v>F03-I4-B</x:v>
      </x:c>
      <x:c r="C41" s="21" t="str">
        <x:v>F03-I4</x:v>
      </x:c>
      <x:c r="D41" s="21" t="str">
        <x:v>F03</x:v>
      </x:c>
      <x:c r="E41" s="21" t="str">
        <x:v>BUILD B</x:v>
      </x:c>
      <x:c r="F41" s="21" t="str">
        <x:v>Independent build ecosystem 04</x:v>
      </x:c>
      <x:c r="G41" s="21" t="n">
        <x:v>28</x:v>
      </x:c>
      <x:c r="H41" s="46" t="n">
        <x:v>0</x:v>
      </x:c>
      <x:c r="I41" s="46" t="n">
        <x:v>0</x:v>
      </x:c>
      <x:c r="J41" s="46" t="n">
        <x:v>8</x:v>
      </x:c>
      <x:c r="K41" s="46" t="n">
        <x:v>0</x:v>
      </x:c>
      <x:c r="L41" s="21" t="str">
        <x:v>OPEN</x:v>
      </x:c>
      <x:c r="M41" s="21" t="str">
        <x:v>BLOCKED</x:v>
      </x:c>
      <x:c r="N41" s="23" t="str">
        <x:f>IF(AND(H41&lt;=G41,I41&lt;=H41,K41&lt;=J41),"PASS","FAIL")</x:f>
        <x:v>PASS</x:v>
      </x:c>
    </x:row>
    <x:row r="42">
      <x:c r="B42" s="21" t="str">
        <x:v>F03-I4-C</x:v>
      </x:c>
      <x:c r="C42" s="21" t="str">
        <x:v>F03-I4</x:v>
      </x:c>
      <x:c r="D42" s="21" t="str">
        <x:v>F03</x:v>
      </x:c>
      <x:c r="E42" s="21" t="str">
        <x:v>CHALLENGE</x:v>
      </x:c>
      <x:c r="F42" s="21" t="str">
        <x:v>Sovereign challenge cell TIO-12</x:v>
      </x:c>
      <x:c r="G42" s="21" t="n">
        <x:v>28</x:v>
      </x:c>
      <x:c r="H42" s="46" t="n">
        <x:v>0</x:v>
      </x:c>
      <x:c r="I42" s="46" t="n">
        <x:v>0</x:v>
      </x:c>
      <x:c r="J42" s="46" t="n">
        <x:v>8</x:v>
      </x:c>
      <x:c r="K42" s="46" t="n">
        <x:v>0</x:v>
      </x:c>
      <x:c r="L42" s="21" t="str">
        <x:v>OPEN</x:v>
      </x:c>
      <x:c r="M42" s="21" t="str">
        <x:v>BLOCKED</x:v>
      </x:c>
      <x:c r="N42" s="23" t="str">
        <x:f>IF(AND(H42&lt;=G42,I42&lt;=H42,K42&lt;=J42),"PASS","FAIL")</x:f>
        <x:v>PASS</x:v>
      </x:c>
    </x:row>
    <x:row r="43">
      <x:c r="B43" s="21" t="str">
        <x:v>F04-I1-A</x:v>
      </x:c>
      <x:c r="C43" s="21" t="str">
        <x:v>F04-I1</x:v>
      </x:c>
      <x:c r="D43" s="21" t="str">
        <x:v>F04</x:v>
      </x:c>
      <x:c r="E43" s="21" t="str">
        <x:v>BUILD A</x:v>
      </x:c>
      <x:c r="F43" s="21" t="str">
        <x:v>Independent build ecosystem 05</x:v>
      </x:c>
      <x:c r="G43" s="21" t="n">
        <x:v>28</x:v>
      </x:c>
      <x:c r="H43" s="46" t="n">
        <x:v>0</x:v>
      </x:c>
      <x:c r="I43" s="46" t="n">
        <x:v>0</x:v>
      </x:c>
      <x:c r="J43" s="46" t="n">
        <x:v>8</x:v>
      </x:c>
      <x:c r="K43" s="46" t="n">
        <x:v>0</x:v>
      </x:c>
      <x:c r="L43" s="21" t="str">
        <x:v>OPEN</x:v>
      </x:c>
      <x:c r="M43" s="21" t="str">
        <x:v>BLOCKED</x:v>
      </x:c>
      <x:c r="N43" s="23" t="str">
        <x:f>IF(AND(H43&lt;=G43,I43&lt;=H43,K43&lt;=J43),"PASS","FAIL")</x:f>
        <x:v>PASS</x:v>
      </x:c>
    </x:row>
    <x:row r="44">
      <x:c r="B44" s="21" t="str">
        <x:v>F04-I1-B</x:v>
      </x:c>
      <x:c r="C44" s="21" t="str">
        <x:v>F04-I1</x:v>
      </x:c>
      <x:c r="D44" s="21" t="str">
        <x:v>F04</x:v>
      </x:c>
      <x:c r="E44" s="21" t="str">
        <x:v>BUILD B</x:v>
      </x:c>
      <x:c r="F44" s="21" t="str">
        <x:v>Independent build ecosystem 07</x:v>
      </x:c>
      <x:c r="G44" s="21" t="n">
        <x:v>28</x:v>
      </x:c>
      <x:c r="H44" s="46" t="n">
        <x:v>0</x:v>
      </x:c>
      <x:c r="I44" s="46" t="n">
        <x:v>0</x:v>
      </x:c>
      <x:c r="J44" s="46" t="n">
        <x:v>8</x:v>
      </x:c>
      <x:c r="K44" s="46" t="n">
        <x:v>0</x:v>
      </x:c>
      <x:c r="L44" s="21" t="str">
        <x:v>OPEN</x:v>
      </x:c>
      <x:c r="M44" s="21" t="str">
        <x:v>BLOCKED</x:v>
      </x:c>
      <x:c r="N44" s="23" t="str">
        <x:f>IF(AND(H44&lt;=G44,I44&lt;=H44,K44&lt;=J44),"PASS","FAIL")</x:f>
        <x:v>PASS</x:v>
      </x:c>
    </x:row>
    <x:row r="45">
      <x:c r="B45" s="21" t="str">
        <x:v>F04-I1-C</x:v>
      </x:c>
      <x:c r="C45" s="21" t="str">
        <x:v>F04-I1</x:v>
      </x:c>
      <x:c r="D45" s="21" t="str">
        <x:v>F04</x:v>
      </x:c>
      <x:c r="E45" s="21" t="str">
        <x:v>CHALLENGE</x:v>
      </x:c>
      <x:c r="F45" s="21" t="str">
        <x:v>Sovereign challenge cell TIO-13</x:v>
      </x:c>
      <x:c r="G45" s="21" t="n">
        <x:v>28</x:v>
      </x:c>
      <x:c r="H45" s="46" t="n">
        <x:v>0</x:v>
      </x:c>
      <x:c r="I45" s="46" t="n">
        <x:v>0</x:v>
      </x:c>
      <x:c r="J45" s="46" t="n">
        <x:v>8</x:v>
      </x:c>
      <x:c r="K45" s="46" t="n">
        <x:v>0</x:v>
      </x:c>
      <x:c r="L45" s="21" t="str">
        <x:v>OPEN</x:v>
      </x:c>
      <x:c r="M45" s="21" t="str">
        <x:v>BLOCKED</x:v>
      </x:c>
      <x:c r="N45" s="23" t="str">
        <x:f>IF(AND(H45&lt;=G45,I45&lt;=H45,K45&lt;=J45),"PASS","FAIL")</x:f>
        <x:v>PASS</x:v>
      </x:c>
    </x:row>
    <x:row r="46">
      <x:c r="B46" s="21" t="str">
        <x:v>F04-I2-A</x:v>
      </x:c>
      <x:c r="C46" s="21" t="str">
        <x:v>F04-I2</x:v>
      </x:c>
      <x:c r="D46" s="21" t="str">
        <x:v>F04</x:v>
      </x:c>
      <x:c r="E46" s="21" t="str">
        <x:v>BUILD A</x:v>
      </x:c>
      <x:c r="F46" s="21" t="str">
        <x:v>Independent build ecosystem 08</x:v>
      </x:c>
      <x:c r="G46" s="21" t="n">
        <x:v>28</x:v>
      </x:c>
      <x:c r="H46" s="46" t="n">
        <x:v>0</x:v>
      </x:c>
      <x:c r="I46" s="46" t="n">
        <x:v>0</x:v>
      </x:c>
      <x:c r="J46" s="46" t="n">
        <x:v>8</x:v>
      </x:c>
      <x:c r="K46" s="46" t="n">
        <x:v>0</x:v>
      </x:c>
      <x:c r="L46" s="21" t="str">
        <x:v>OPEN</x:v>
      </x:c>
      <x:c r="M46" s="21" t="str">
        <x:v>BLOCKED</x:v>
      </x:c>
      <x:c r="N46" s="23" t="str">
        <x:f>IF(AND(H46&lt;=G46,I46&lt;=H46,K46&lt;=J46),"PASS","FAIL")</x:f>
        <x:v>PASS</x:v>
      </x:c>
    </x:row>
    <x:row r="47">
      <x:c r="B47" s="21" t="str">
        <x:v>F04-I2-B</x:v>
      </x:c>
      <x:c r="C47" s="21" t="str">
        <x:v>F04-I2</x:v>
      </x:c>
      <x:c r="D47" s="21" t="str">
        <x:v>F04</x:v>
      </x:c>
      <x:c r="E47" s="21" t="str">
        <x:v>BUILD B</x:v>
      </x:c>
      <x:c r="F47" s="21" t="str">
        <x:v>Independent build ecosystem 10</x:v>
      </x:c>
      <x:c r="G47" s="21" t="n">
        <x:v>28</x:v>
      </x:c>
      <x:c r="H47" s="46" t="n">
        <x:v>0</x:v>
      </x:c>
      <x:c r="I47" s="46" t="n">
        <x:v>0</x:v>
      </x:c>
      <x:c r="J47" s="46" t="n">
        <x:v>8</x:v>
      </x:c>
      <x:c r="K47" s="46" t="n">
        <x:v>0</x:v>
      </x:c>
      <x:c r="L47" s="21" t="str">
        <x:v>OPEN</x:v>
      </x:c>
      <x:c r="M47" s="21" t="str">
        <x:v>BLOCKED</x:v>
      </x:c>
      <x:c r="N47" s="23" t="str">
        <x:f>IF(AND(H47&lt;=G47,I47&lt;=H47,K47&lt;=J47),"PASS","FAIL")</x:f>
        <x:v>PASS</x:v>
      </x:c>
    </x:row>
    <x:row r="48">
      <x:c r="B48" s="21" t="str">
        <x:v>F04-I2-C</x:v>
      </x:c>
      <x:c r="C48" s="21" t="str">
        <x:v>F04-I2</x:v>
      </x:c>
      <x:c r="D48" s="21" t="str">
        <x:v>F04</x:v>
      </x:c>
      <x:c r="E48" s="21" t="str">
        <x:v>CHALLENGE</x:v>
      </x:c>
      <x:c r="F48" s="21" t="str">
        <x:v>Sovereign challenge cell TIO-14</x:v>
      </x:c>
      <x:c r="G48" s="21" t="n">
        <x:v>28</x:v>
      </x:c>
      <x:c r="H48" s="46" t="n">
        <x:v>0</x:v>
      </x:c>
      <x:c r="I48" s="46" t="n">
        <x:v>0</x:v>
      </x:c>
      <x:c r="J48" s="46" t="n">
        <x:v>8</x:v>
      </x:c>
      <x:c r="K48" s="46" t="n">
        <x:v>0</x:v>
      </x:c>
      <x:c r="L48" s="21" t="str">
        <x:v>OPEN</x:v>
      </x:c>
      <x:c r="M48" s="21" t="str">
        <x:v>BLOCKED</x:v>
      </x:c>
      <x:c r="N48" s="23" t="str">
        <x:f>IF(AND(H48&lt;=G48,I48&lt;=H48,K48&lt;=J48),"PASS","FAIL")</x:f>
        <x:v>PASS</x:v>
      </x:c>
    </x:row>
    <x:row r="49">
      <x:c r="B49" s="21" t="str">
        <x:v>F04-I3-A</x:v>
      </x:c>
      <x:c r="C49" s="21" t="str">
        <x:v>F04-I3</x:v>
      </x:c>
      <x:c r="D49" s="21" t="str">
        <x:v>F04</x:v>
      </x:c>
      <x:c r="E49" s="21" t="str">
        <x:v>BUILD A</x:v>
      </x:c>
      <x:c r="F49" s="21" t="str">
        <x:v>Independent build ecosystem 11</x:v>
      </x:c>
      <x:c r="G49" s="21" t="n">
        <x:v>28</x:v>
      </x:c>
      <x:c r="H49" s="46" t="n">
        <x:v>0</x:v>
      </x:c>
      <x:c r="I49" s="46" t="n">
        <x:v>0</x:v>
      </x:c>
      <x:c r="J49" s="46" t="n">
        <x:v>8</x:v>
      </x:c>
      <x:c r="K49" s="46" t="n">
        <x:v>0</x:v>
      </x:c>
      <x:c r="L49" s="21" t="str">
        <x:v>OPEN</x:v>
      </x:c>
      <x:c r="M49" s="21" t="str">
        <x:v>BLOCKED</x:v>
      </x:c>
      <x:c r="N49" s="23" t="str">
        <x:f>IF(AND(H49&lt;=G49,I49&lt;=H49,K49&lt;=J49),"PASS","FAIL")</x:f>
        <x:v>PASS</x:v>
      </x:c>
    </x:row>
    <x:row r="50">
      <x:c r="B50" s="21" t="str">
        <x:v>F04-I3-B</x:v>
      </x:c>
      <x:c r="C50" s="21" t="str">
        <x:v>F04-I3</x:v>
      </x:c>
      <x:c r="D50" s="21" t="str">
        <x:v>F04</x:v>
      </x:c>
      <x:c r="E50" s="21" t="str">
        <x:v>BUILD B</x:v>
      </x:c>
      <x:c r="F50" s="21" t="str">
        <x:v>Independent build ecosystem 13</x:v>
      </x:c>
      <x:c r="G50" s="21" t="n">
        <x:v>28</x:v>
      </x:c>
      <x:c r="H50" s="46" t="n">
        <x:v>0</x:v>
      </x:c>
      <x:c r="I50" s="46" t="n">
        <x:v>0</x:v>
      </x:c>
      <x:c r="J50" s="46" t="n">
        <x:v>8</x:v>
      </x:c>
      <x:c r="K50" s="46" t="n">
        <x:v>0</x:v>
      </x:c>
      <x:c r="L50" s="21" t="str">
        <x:v>OPEN</x:v>
      </x:c>
      <x:c r="M50" s="21" t="str">
        <x:v>BLOCKED</x:v>
      </x:c>
      <x:c r="N50" s="23" t="str">
        <x:f>IF(AND(H50&lt;=G50,I50&lt;=H50,K50&lt;=J50),"PASS","FAIL")</x:f>
        <x:v>PASS</x:v>
      </x:c>
    </x:row>
    <x:row r="51">
      <x:c r="B51" s="21" t="str">
        <x:v>F04-I3-C</x:v>
      </x:c>
      <x:c r="C51" s="21" t="str">
        <x:v>F04-I3</x:v>
      </x:c>
      <x:c r="D51" s="21" t="str">
        <x:v>F04</x:v>
      </x:c>
      <x:c r="E51" s="21" t="str">
        <x:v>CHALLENGE</x:v>
      </x:c>
      <x:c r="F51" s="21" t="str">
        <x:v>Sovereign challenge cell TIO-15</x:v>
      </x:c>
      <x:c r="G51" s="21" t="n">
        <x:v>28</x:v>
      </x:c>
      <x:c r="H51" s="46" t="n">
        <x:v>0</x:v>
      </x:c>
      <x:c r="I51" s="46" t="n">
        <x:v>0</x:v>
      </x:c>
      <x:c r="J51" s="46" t="n">
        <x:v>8</x:v>
      </x:c>
      <x:c r="K51" s="46" t="n">
        <x:v>0</x:v>
      </x:c>
      <x:c r="L51" s="21" t="str">
        <x:v>OPEN</x:v>
      </x:c>
      <x:c r="M51" s="21" t="str">
        <x:v>BLOCKED</x:v>
      </x:c>
      <x:c r="N51" s="23" t="str">
        <x:f>IF(AND(H51&lt;=G51,I51&lt;=H51,K51&lt;=J51),"PASS","FAIL")</x:f>
        <x:v>PASS</x:v>
      </x:c>
    </x:row>
    <x:row r="52">
      <x:c r="B52" s="21" t="str">
        <x:v>F04-I4-A</x:v>
      </x:c>
      <x:c r="C52" s="21" t="str">
        <x:v>F04-I4</x:v>
      </x:c>
      <x:c r="D52" s="21" t="str">
        <x:v>F04</x:v>
      </x:c>
      <x:c r="E52" s="21" t="str">
        <x:v>BUILD A</x:v>
      </x:c>
      <x:c r="F52" s="21" t="str">
        <x:v>Independent build ecosystem 14</x:v>
      </x:c>
      <x:c r="G52" s="21" t="n">
        <x:v>28</x:v>
      </x:c>
      <x:c r="H52" s="46" t="n">
        <x:v>0</x:v>
      </x:c>
      <x:c r="I52" s="46" t="n">
        <x:v>0</x:v>
      </x:c>
      <x:c r="J52" s="46" t="n">
        <x:v>8</x:v>
      </x:c>
      <x:c r="K52" s="46" t="n">
        <x:v>0</x:v>
      </x:c>
      <x:c r="L52" s="21" t="str">
        <x:v>OPEN</x:v>
      </x:c>
      <x:c r="M52" s="21" t="str">
        <x:v>BLOCKED</x:v>
      </x:c>
      <x:c r="N52" s="23" t="str">
        <x:f>IF(AND(H52&lt;=G52,I52&lt;=H52,K52&lt;=J52),"PASS","FAIL")</x:f>
        <x:v>PASS</x:v>
      </x:c>
    </x:row>
    <x:row r="53">
      <x:c r="B53" s="21" t="str">
        <x:v>F04-I4-B</x:v>
      </x:c>
      <x:c r="C53" s="21" t="str">
        <x:v>F04-I4</x:v>
      </x:c>
      <x:c r="D53" s="21" t="str">
        <x:v>F04</x:v>
      </x:c>
      <x:c r="E53" s="21" t="str">
        <x:v>BUILD B</x:v>
      </x:c>
      <x:c r="F53" s="21" t="str">
        <x:v>Independent build ecosystem 16</x:v>
      </x:c>
      <x:c r="G53" s="21" t="n">
        <x:v>28</x:v>
      </x:c>
      <x:c r="H53" s="46" t="n">
        <x:v>0</x:v>
      </x:c>
      <x:c r="I53" s="46" t="n">
        <x:v>0</x:v>
      </x:c>
      <x:c r="J53" s="46" t="n">
        <x:v>8</x:v>
      </x:c>
      <x:c r="K53" s="46" t="n">
        <x:v>0</x:v>
      </x:c>
      <x:c r="L53" s="21" t="str">
        <x:v>OPEN</x:v>
      </x:c>
      <x:c r="M53" s="21" t="str">
        <x:v>BLOCKED</x:v>
      </x:c>
      <x:c r="N53" s="23" t="str">
        <x:f>IF(AND(H53&lt;=G53,I53&lt;=H53,K53&lt;=J53),"PASS","FAIL")</x:f>
        <x:v>PASS</x:v>
      </x:c>
    </x:row>
    <x:row r="54">
      <x:c r="B54" s="21" t="str">
        <x:v>F04-I4-C</x:v>
      </x:c>
      <x:c r="C54" s="21" t="str">
        <x:v>F04-I4</x:v>
      </x:c>
      <x:c r="D54" s="21" t="str">
        <x:v>F04</x:v>
      </x:c>
      <x:c r="E54" s="21" t="str">
        <x:v>CHALLENGE</x:v>
      </x:c>
      <x:c r="F54" s="21" t="str">
        <x:v>Sovereign challenge cell TIO-16</x:v>
      </x:c>
      <x:c r="G54" s="21" t="n">
        <x:v>28</x:v>
      </x:c>
      <x:c r="H54" s="46" t="n">
        <x:v>0</x:v>
      </x:c>
      <x:c r="I54" s="46" t="n">
        <x:v>0</x:v>
      </x:c>
      <x:c r="J54" s="46" t="n">
        <x:v>8</x:v>
      </x:c>
      <x:c r="K54" s="46" t="n">
        <x:v>0</x:v>
      </x:c>
      <x:c r="L54" s="21" t="str">
        <x:v>OPEN</x:v>
      </x:c>
      <x:c r="M54" s="21" t="str">
        <x:v>BLOCKED</x:v>
      </x:c>
      <x:c r="N54" s="23" t="str">
        <x:f>IF(AND(H54&lt;=G54,I54&lt;=H54,K54&lt;=J54),"PASS","FAIL")</x:f>
        <x:v>PASS</x:v>
      </x:c>
    </x:row>
    <x:row r="55">
      <x:c r="B55" s="21" t="str">
        <x:v>F05-I1-A</x:v>
      </x:c>
      <x:c r="C55" s="21" t="str">
        <x:v>F05-I1</x:v>
      </x:c>
      <x:c r="D55" s="21" t="str">
        <x:v>F05</x:v>
      </x:c>
      <x:c r="E55" s="21" t="str">
        <x:v>BUILD A</x:v>
      </x:c>
      <x:c r="F55" s="21" t="str">
        <x:v>Independent build ecosystem 01</x:v>
      </x:c>
      <x:c r="G55" s="21" t="n">
        <x:v>28</x:v>
      </x:c>
      <x:c r="H55" s="46" t="n">
        <x:v>0</x:v>
      </x:c>
      <x:c r="I55" s="46" t="n">
        <x:v>0</x:v>
      </x:c>
      <x:c r="J55" s="46" t="n">
        <x:v>8</x:v>
      </x:c>
      <x:c r="K55" s="46" t="n">
        <x:v>0</x:v>
      </x:c>
      <x:c r="L55" s="21" t="str">
        <x:v>OPEN</x:v>
      </x:c>
      <x:c r="M55" s="21" t="str">
        <x:v>BLOCKED</x:v>
      </x:c>
      <x:c r="N55" s="23" t="str">
        <x:f>IF(AND(H55&lt;=G55,I55&lt;=H55,K55&lt;=J55),"PASS","FAIL")</x:f>
        <x:v>PASS</x:v>
      </x:c>
    </x:row>
    <x:row r="56">
      <x:c r="B56" s="21" t="str">
        <x:v>F05-I1-B</x:v>
      </x:c>
      <x:c r="C56" s="21" t="str">
        <x:v>F05-I1</x:v>
      </x:c>
      <x:c r="D56" s="21" t="str">
        <x:v>F05</x:v>
      </x:c>
      <x:c r="E56" s="21" t="str">
        <x:v>BUILD B</x:v>
      </x:c>
      <x:c r="F56" s="21" t="str">
        <x:v>Independent build ecosystem 03</x:v>
      </x:c>
      <x:c r="G56" s="21" t="n">
        <x:v>28</x:v>
      </x:c>
      <x:c r="H56" s="46" t="n">
        <x:v>0</x:v>
      </x:c>
      <x:c r="I56" s="46" t="n">
        <x:v>0</x:v>
      </x:c>
      <x:c r="J56" s="46" t="n">
        <x:v>8</x:v>
      </x:c>
      <x:c r="K56" s="46" t="n">
        <x:v>0</x:v>
      </x:c>
      <x:c r="L56" s="21" t="str">
        <x:v>OPEN</x:v>
      </x:c>
      <x:c r="M56" s="21" t="str">
        <x:v>BLOCKED</x:v>
      </x:c>
      <x:c r="N56" s="23" t="str">
        <x:f>IF(AND(H56&lt;=G56,I56&lt;=H56,K56&lt;=J56),"PASS","FAIL")</x:f>
        <x:v>PASS</x:v>
      </x:c>
    </x:row>
    <x:row r="57">
      <x:c r="B57" s="21" t="str">
        <x:v>F05-I1-C</x:v>
      </x:c>
      <x:c r="C57" s="21" t="str">
        <x:v>F05-I1</x:v>
      </x:c>
      <x:c r="D57" s="21" t="str">
        <x:v>F05</x:v>
      </x:c>
      <x:c r="E57" s="21" t="str">
        <x:v>CHALLENGE</x:v>
      </x:c>
      <x:c r="F57" s="21" t="str">
        <x:v>Sovereign challenge cell TIO-01</x:v>
      </x:c>
      <x:c r="G57" s="21" t="n">
        <x:v>28</x:v>
      </x:c>
      <x:c r="H57" s="46" t="n">
        <x:v>0</x:v>
      </x:c>
      <x:c r="I57" s="46" t="n">
        <x:v>0</x:v>
      </x:c>
      <x:c r="J57" s="46" t="n">
        <x:v>8</x:v>
      </x:c>
      <x:c r="K57" s="46" t="n">
        <x:v>0</x:v>
      </x:c>
      <x:c r="L57" s="21" t="str">
        <x:v>OPEN</x:v>
      </x:c>
      <x:c r="M57" s="21" t="str">
        <x:v>BLOCKED</x:v>
      </x:c>
      <x:c r="N57" s="23" t="str">
        <x:f>IF(AND(H57&lt;=G57,I57&lt;=H57,K57&lt;=J57),"PASS","FAIL")</x:f>
        <x:v>PASS</x:v>
      </x:c>
    </x:row>
    <x:row r="58">
      <x:c r="B58" s="21" t="str">
        <x:v>F05-I2-A</x:v>
      </x:c>
      <x:c r="C58" s="21" t="str">
        <x:v>F05-I2</x:v>
      </x:c>
      <x:c r="D58" s="21" t="str">
        <x:v>F05</x:v>
      </x:c>
      <x:c r="E58" s="21" t="str">
        <x:v>BUILD A</x:v>
      </x:c>
      <x:c r="F58" s="21" t="str">
        <x:v>Independent build ecosystem 04</x:v>
      </x:c>
      <x:c r="G58" s="21" t="n">
        <x:v>28</x:v>
      </x:c>
      <x:c r="H58" s="46" t="n">
        <x:v>0</x:v>
      </x:c>
      <x:c r="I58" s="46" t="n">
        <x:v>0</x:v>
      </x:c>
      <x:c r="J58" s="46" t="n">
        <x:v>8</x:v>
      </x:c>
      <x:c r="K58" s="46" t="n">
        <x:v>0</x:v>
      </x:c>
      <x:c r="L58" s="21" t="str">
        <x:v>OPEN</x:v>
      </x:c>
      <x:c r="M58" s="21" t="str">
        <x:v>BLOCKED</x:v>
      </x:c>
      <x:c r="N58" s="23" t="str">
        <x:f>IF(AND(H58&lt;=G58,I58&lt;=H58,K58&lt;=J58),"PASS","FAIL")</x:f>
        <x:v>PASS</x:v>
      </x:c>
    </x:row>
    <x:row r="59">
      <x:c r="B59" s="21" t="str">
        <x:v>F05-I2-B</x:v>
      </x:c>
      <x:c r="C59" s="21" t="str">
        <x:v>F05-I2</x:v>
      </x:c>
      <x:c r="D59" s="21" t="str">
        <x:v>F05</x:v>
      </x:c>
      <x:c r="E59" s="21" t="str">
        <x:v>BUILD B</x:v>
      </x:c>
      <x:c r="F59" s="21" t="str">
        <x:v>Independent build ecosystem 06</x:v>
      </x:c>
      <x:c r="G59" s="21" t="n">
        <x:v>28</x:v>
      </x:c>
      <x:c r="H59" s="46" t="n">
        <x:v>0</x:v>
      </x:c>
      <x:c r="I59" s="46" t="n">
        <x:v>0</x:v>
      </x:c>
      <x:c r="J59" s="46" t="n">
        <x:v>8</x:v>
      </x:c>
      <x:c r="K59" s="46" t="n">
        <x:v>0</x:v>
      </x:c>
      <x:c r="L59" s="21" t="str">
        <x:v>OPEN</x:v>
      </x:c>
      <x:c r="M59" s="21" t="str">
        <x:v>BLOCKED</x:v>
      </x:c>
      <x:c r="N59" s="23" t="str">
        <x:f>IF(AND(H59&lt;=G59,I59&lt;=H59,K59&lt;=J59),"PASS","FAIL")</x:f>
        <x:v>PASS</x:v>
      </x:c>
    </x:row>
    <x:row r="60">
      <x:c r="B60" s="21" t="str">
        <x:v>F05-I2-C</x:v>
      </x:c>
      <x:c r="C60" s="21" t="str">
        <x:v>F05-I2</x:v>
      </x:c>
      <x:c r="D60" s="21" t="str">
        <x:v>F05</x:v>
      </x:c>
      <x:c r="E60" s="21" t="str">
        <x:v>CHALLENGE</x:v>
      </x:c>
      <x:c r="F60" s="21" t="str">
        <x:v>Sovereign challenge cell TIO-02</x:v>
      </x:c>
      <x:c r="G60" s="21" t="n">
        <x:v>28</x:v>
      </x:c>
      <x:c r="H60" s="46" t="n">
        <x:v>0</x:v>
      </x:c>
      <x:c r="I60" s="46" t="n">
        <x:v>0</x:v>
      </x:c>
      <x:c r="J60" s="46" t="n">
        <x:v>8</x:v>
      </x:c>
      <x:c r="K60" s="46" t="n">
        <x:v>0</x:v>
      </x:c>
      <x:c r="L60" s="21" t="str">
        <x:v>OPEN</x:v>
      </x:c>
      <x:c r="M60" s="21" t="str">
        <x:v>BLOCKED</x:v>
      </x:c>
      <x:c r="N60" s="23" t="str">
        <x:f>IF(AND(H60&lt;=G60,I60&lt;=H60,K60&lt;=J60),"PASS","FAIL")</x:f>
        <x:v>PASS</x:v>
      </x:c>
    </x:row>
    <x:row r="61">
      <x:c r="B61" s="21" t="str">
        <x:v>F05-I3-A</x:v>
      </x:c>
      <x:c r="C61" s="21" t="str">
        <x:v>F05-I3</x:v>
      </x:c>
      <x:c r="D61" s="21" t="str">
        <x:v>F05</x:v>
      </x:c>
      <x:c r="E61" s="21" t="str">
        <x:v>BUILD A</x:v>
      </x:c>
      <x:c r="F61" s="21" t="str">
        <x:v>Independent build ecosystem 07</x:v>
      </x:c>
      <x:c r="G61" s="21" t="n">
        <x:v>28</x:v>
      </x:c>
      <x:c r="H61" s="46" t="n">
        <x:v>0</x:v>
      </x:c>
      <x:c r="I61" s="46" t="n">
        <x:v>0</x:v>
      </x:c>
      <x:c r="J61" s="46" t="n">
        <x:v>8</x:v>
      </x:c>
      <x:c r="K61" s="46" t="n">
        <x:v>0</x:v>
      </x:c>
      <x:c r="L61" s="21" t="str">
        <x:v>OPEN</x:v>
      </x:c>
      <x:c r="M61" s="21" t="str">
        <x:v>BLOCKED</x:v>
      </x:c>
      <x:c r="N61" s="23" t="str">
        <x:f>IF(AND(H61&lt;=G61,I61&lt;=H61,K61&lt;=J61),"PASS","FAIL")</x:f>
        <x:v>PASS</x:v>
      </x:c>
    </x:row>
    <x:row r="62">
      <x:c r="B62" s="21" t="str">
        <x:v>F05-I3-B</x:v>
      </x:c>
      <x:c r="C62" s="21" t="str">
        <x:v>F05-I3</x:v>
      </x:c>
      <x:c r="D62" s="21" t="str">
        <x:v>F05</x:v>
      </x:c>
      <x:c r="E62" s="21" t="str">
        <x:v>BUILD B</x:v>
      </x:c>
      <x:c r="F62" s="21" t="str">
        <x:v>Independent build ecosystem 09</x:v>
      </x:c>
      <x:c r="G62" s="21" t="n">
        <x:v>28</x:v>
      </x:c>
      <x:c r="H62" s="46" t="n">
        <x:v>0</x:v>
      </x:c>
      <x:c r="I62" s="46" t="n">
        <x:v>0</x:v>
      </x:c>
      <x:c r="J62" s="46" t="n">
        <x:v>8</x:v>
      </x:c>
      <x:c r="K62" s="46" t="n">
        <x:v>0</x:v>
      </x:c>
      <x:c r="L62" s="21" t="str">
        <x:v>OPEN</x:v>
      </x:c>
      <x:c r="M62" s="21" t="str">
        <x:v>BLOCKED</x:v>
      </x:c>
      <x:c r="N62" s="23" t="str">
        <x:f>IF(AND(H62&lt;=G62,I62&lt;=H62,K62&lt;=J62),"PASS","FAIL")</x:f>
        <x:v>PASS</x:v>
      </x:c>
    </x:row>
    <x:row r="63">
      <x:c r="B63" s="21" t="str">
        <x:v>F05-I3-C</x:v>
      </x:c>
      <x:c r="C63" s="21" t="str">
        <x:v>F05-I3</x:v>
      </x:c>
      <x:c r="D63" s="21" t="str">
        <x:v>F05</x:v>
      </x:c>
      <x:c r="E63" s="21" t="str">
        <x:v>CHALLENGE</x:v>
      </x:c>
      <x:c r="F63" s="21" t="str">
        <x:v>Sovereign challenge cell TIO-03</x:v>
      </x:c>
      <x:c r="G63" s="21" t="n">
        <x:v>28</x:v>
      </x:c>
      <x:c r="H63" s="46" t="n">
        <x:v>0</x:v>
      </x:c>
      <x:c r="I63" s="46" t="n">
        <x:v>0</x:v>
      </x:c>
      <x:c r="J63" s="46" t="n">
        <x:v>8</x:v>
      </x:c>
      <x:c r="K63" s="46" t="n">
        <x:v>0</x:v>
      </x:c>
      <x:c r="L63" s="21" t="str">
        <x:v>OPEN</x:v>
      </x:c>
      <x:c r="M63" s="21" t="str">
        <x:v>BLOCKED</x:v>
      </x:c>
      <x:c r="N63" s="23" t="str">
        <x:f>IF(AND(H63&lt;=G63,I63&lt;=H63,K63&lt;=J63),"PASS","FAIL")</x:f>
        <x:v>PASS</x:v>
      </x:c>
    </x:row>
    <x:row r="64">
      <x:c r="B64" s="21" t="str">
        <x:v>F05-I4-A</x:v>
      </x:c>
      <x:c r="C64" s="21" t="str">
        <x:v>F05-I4</x:v>
      </x:c>
      <x:c r="D64" s="21" t="str">
        <x:v>F05</x:v>
      </x:c>
      <x:c r="E64" s="21" t="str">
        <x:v>BUILD A</x:v>
      </x:c>
      <x:c r="F64" s="21" t="str">
        <x:v>Independent build ecosystem 10</x:v>
      </x:c>
      <x:c r="G64" s="21" t="n">
        <x:v>28</x:v>
      </x:c>
      <x:c r="H64" s="46" t="n">
        <x:v>0</x:v>
      </x:c>
      <x:c r="I64" s="46" t="n">
        <x:v>0</x:v>
      </x:c>
      <x:c r="J64" s="46" t="n">
        <x:v>8</x:v>
      </x:c>
      <x:c r="K64" s="46" t="n">
        <x:v>0</x:v>
      </x:c>
      <x:c r="L64" s="21" t="str">
        <x:v>OPEN</x:v>
      </x:c>
      <x:c r="M64" s="21" t="str">
        <x:v>BLOCKED</x:v>
      </x:c>
      <x:c r="N64" s="23" t="str">
        <x:f>IF(AND(H64&lt;=G64,I64&lt;=H64,K64&lt;=J64),"PASS","FAIL")</x:f>
        <x:v>PASS</x:v>
      </x:c>
    </x:row>
    <x:row r="65">
      <x:c r="B65" s="21" t="str">
        <x:v>F05-I4-B</x:v>
      </x:c>
      <x:c r="C65" s="21" t="str">
        <x:v>F05-I4</x:v>
      </x:c>
      <x:c r="D65" s="21" t="str">
        <x:v>F05</x:v>
      </x:c>
      <x:c r="E65" s="21" t="str">
        <x:v>BUILD B</x:v>
      </x:c>
      <x:c r="F65" s="21" t="str">
        <x:v>Independent build ecosystem 12</x:v>
      </x:c>
      <x:c r="G65" s="21" t="n">
        <x:v>28</x:v>
      </x:c>
      <x:c r="H65" s="46" t="n">
        <x:v>0</x:v>
      </x:c>
      <x:c r="I65" s="46" t="n">
        <x:v>0</x:v>
      </x:c>
      <x:c r="J65" s="46" t="n">
        <x:v>8</x:v>
      </x:c>
      <x:c r="K65" s="46" t="n">
        <x:v>0</x:v>
      </x:c>
      <x:c r="L65" s="21" t="str">
        <x:v>OPEN</x:v>
      </x:c>
      <x:c r="M65" s="21" t="str">
        <x:v>BLOCKED</x:v>
      </x:c>
      <x:c r="N65" s="23" t="str">
        <x:f>IF(AND(H65&lt;=G65,I65&lt;=H65,K65&lt;=J65),"PASS","FAIL")</x:f>
        <x:v>PASS</x:v>
      </x:c>
    </x:row>
    <x:row r="66">
      <x:c r="B66" s="21" t="str">
        <x:v>F05-I4-C</x:v>
      </x:c>
      <x:c r="C66" s="21" t="str">
        <x:v>F05-I4</x:v>
      </x:c>
      <x:c r="D66" s="21" t="str">
        <x:v>F05</x:v>
      </x:c>
      <x:c r="E66" s="21" t="str">
        <x:v>CHALLENGE</x:v>
      </x:c>
      <x:c r="F66" s="21" t="str">
        <x:v>Sovereign challenge cell TIO-04</x:v>
      </x:c>
      <x:c r="G66" s="21" t="n">
        <x:v>28</x:v>
      </x:c>
      <x:c r="H66" s="46" t="n">
        <x:v>0</x:v>
      </x:c>
      <x:c r="I66" s="46" t="n">
        <x:v>0</x:v>
      </x:c>
      <x:c r="J66" s="46" t="n">
        <x:v>8</x:v>
      </x:c>
      <x:c r="K66" s="46" t="n">
        <x:v>0</x:v>
      </x:c>
      <x:c r="L66" s="21" t="str">
        <x:v>OPEN</x:v>
      </x:c>
      <x:c r="M66" s="21" t="str">
        <x:v>BLOCKED</x:v>
      </x:c>
      <x:c r="N66" s="23" t="str">
        <x:f>IF(AND(H66&lt;=G66,I66&lt;=H66,K66&lt;=J66),"PASS","FAIL")</x:f>
        <x:v>PASS</x:v>
      </x:c>
    </x:row>
    <x:row r="67">
      <x:c r="B67" s="21" t="str">
        <x:v>F06-I1-A</x:v>
      </x:c>
      <x:c r="C67" s="21" t="str">
        <x:v>F06-I1</x:v>
      </x:c>
      <x:c r="D67" s="21" t="str">
        <x:v>F06</x:v>
      </x:c>
      <x:c r="E67" s="21" t="str">
        <x:v>BUILD A</x:v>
      </x:c>
      <x:c r="F67" s="21" t="str">
        <x:v>Independent build ecosystem 13</x:v>
      </x:c>
      <x:c r="G67" s="21" t="n">
        <x:v>28</x:v>
      </x:c>
      <x:c r="H67" s="46" t="n">
        <x:v>0</x:v>
      </x:c>
      <x:c r="I67" s="46" t="n">
        <x:v>0</x:v>
      </x:c>
      <x:c r="J67" s="46" t="n">
        <x:v>8</x:v>
      </x:c>
      <x:c r="K67" s="46" t="n">
        <x:v>0</x:v>
      </x:c>
      <x:c r="L67" s="21" t="str">
        <x:v>OPEN</x:v>
      </x:c>
      <x:c r="M67" s="21" t="str">
        <x:v>BLOCKED</x:v>
      </x:c>
      <x:c r="N67" s="23" t="str">
        <x:f>IF(AND(H67&lt;=G67,I67&lt;=H67,K67&lt;=J67),"PASS","FAIL")</x:f>
        <x:v>PASS</x:v>
      </x:c>
    </x:row>
    <x:row r="68">
      <x:c r="B68" s="21" t="str">
        <x:v>F06-I1-B</x:v>
      </x:c>
      <x:c r="C68" s="21" t="str">
        <x:v>F06-I1</x:v>
      </x:c>
      <x:c r="D68" s="21" t="str">
        <x:v>F06</x:v>
      </x:c>
      <x:c r="E68" s="21" t="str">
        <x:v>BUILD B</x:v>
      </x:c>
      <x:c r="F68" s="21" t="str">
        <x:v>Independent build ecosystem 15</x:v>
      </x:c>
      <x:c r="G68" s="21" t="n">
        <x:v>28</x:v>
      </x:c>
      <x:c r="H68" s="46" t="n">
        <x:v>0</x:v>
      </x:c>
      <x:c r="I68" s="46" t="n">
        <x:v>0</x:v>
      </x:c>
      <x:c r="J68" s="46" t="n">
        <x:v>8</x:v>
      </x:c>
      <x:c r="K68" s="46" t="n">
        <x:v>0</x:v>
      </x:c>
      <x:c r="L68" s="21" t="str">
        <x:v>OPEN</x:v>
      </x:c>
      <x:c r="M68" s="21" t="str">
        <x:v>BLOCKED</x:v>
      </x:c>
      <x:c r="N68" s="23" t="str">
        <x:f>IF(AND(H68&lt;=G68,I68&lt;=H68,K68&lt;=J68),"PASS","FAIL")</x:f>
        <x:v>PASS</x:v>
      </x:c>
    </x:row>
    <x:row r="69">
      <x:c r="B69" s="21" t="str">
        <x:v>F06-I1-C</x:v>
      </x:c>
      <x:c r="C69" s="21" t="str">
        <x:v>F06-I1</x:v>
      </x:c>
      <x:c r="D69" s="21" t="str">
        <x:v>F06</x:v>
      </x:c>
      <x:c r="E69" s="21" t="str">
        <x:v>CHALLENGE</x:v>
      </x:c>
      <x:c r="F69" s="21" t="str">
        <x:v>Sovereign challenge cell TIO-05</x:v>
      </x:c>
      <x:c r="G69" s="21" t="n">
        <x:v>28</x:v>
      </x:c>
      <x:c r="H69" s="46" t="n">
        <x:v>0</x:v>
      </x:c>
      <x:c r="I69" s="46" t="n">
        <x:v>0</x:v>
      </x:c>
      <x:c r="J69" s="46" t="n">
        <x:v>8</x:v>
      </x:c>
      <x:c r="K69" s="46" t="n">
        <x:v>0</x:v>
      </x:c>
      <x:c r="L69" s="21" t="str">
        <x:v>OPEN</x:v>
      </x:c>
      <x:c r="M69" s="21" t="str">
        <x:v>BLOCKED</x:v>
      </x:c>
      <x:c r="N69" s="23" t="str">
        <x:f>IF(AND(H69&lt;=G69,I69&lt;=H69,K69&lt;=J69),"PASS","FAIL")</x:f>
        <x:v>PASS</x:v>
      </x:c>
    </x:row>
    <x:row r="70">
      <x:c r="B70" s="21" t="str">
        <x:v>F06-I2-A</x:v>
      </x:c>
      <x:c r="C70" s="21" t="str">
        <x:v>F06-I2</x:v>
      </x:c>
      <x:c r="D70" s="21" t="str">
        <x:v>F06</x:v>
      </x:c>
      <x:c r="E70" s="21" t="str">
        <x:v>BUILD A</x:v>
      </x:c>
      <x:c r="F70" s="21" t="str">
        <x:v>Independent build ecosystem 16</x:v>
      </x:c>
      <x:c r="G70" s="21" t="n">
        <x:v>28</x:v>
      </x:c>
      <x:c r="H70" s="46" t="n">
        <x:v>0</x:v>
      </x:c>
      <x:c r="I70" s="46" t="n">
        <x:v>0</x:v>
      </x:c>
      <x:c r="J70" s="46" t="n">
        <x:v>8</x:v>
      </x:c>
      <x:c r="K70" s="46" t="n">
        <x:v>0</x:v>
      </x:c>
      <x:c r="L70" s="21" t="str">
        <x:v>OPEN</x:v>
      </x:c>
      <x:c r="M70" s="21" t="str">
        <x:v>BLOCKED</x:v>
      </x:c>
      <x:c r="N70" s="23" t="str">
        <x:f>IF(AND(H70&lt;=G70,I70&lt;=H70,K70&lt;=J70),"PASS","FAIL")</x:f>
        <x:v>PASS</x:v>
      </x:c>
    </x:row>
    <x:row r="71">
      <x:c r="B71" s="21" t="str">
        <x:v>F06-I2-B</x:v>
      </x:c>
      <x:c r="C71" s="21" t="str">
        <x:v>F06-I2</x:v>
      </x:c>
      <x:c r="D71" s="21" t="str">
        <x:v>F06</x:v>
      </x:c>
      <x:c r="E71" s="21" t="str">
        <x:v>BUILD B</x:v>
      </x:c>
      <x:c r="F71" s="21" t="str">
        <x:v>Independent build ecosystem 02</x:v>
      </x:c>
      <x:c r="G71" s="21" t="n">
        <x:v>28</x:v>
      </x:c>
      <x:c r="H71" s="46" t="n">
        <x:v>0</x:v>
      </x:c>
      <x:c r="I71" s="46" t="n">
        <x:v>0</x:v>
      </x:c>
      <x:c r="J71" s="46" t="n">
        <x:v>8</x:v>
      </x:c>
      <x:c r="K71" s="46" t="n">
        <x:v>0</x:v>
      </x:c>
      <x:c r="L71" s="21" t="str">
        <x:v>OPEN</x:v>
      </x:c>
      <x:c r="M71" s="21" t="str">
        <x:v>BLOCKED</x:v>
      </x:c>
      <x:c r="N71" s="23" t="str">
        <x:f>IF(AND(H71&lt;=G71,I71&lt;=H71,K71&lt;=J71),"PASS","FAIL")</x:f>
        <x:v>PASS</x:v>
      </x:c>
    </x:row>
    <x:row r="72">
      <x:c r="B72" s="21" t="str">
        <x:v>F06-I2-C</x:v>
      </x:c>
      <x:c r="C72" s="21" t="str">
        <x:v>F06-I2</x:v>
      </x:c>
      <x:c r="D72" s="21" t="str">
        <x:v>F06</x:v>
      </x:c>
      <x:c r="E72" s="21" t="str">
        <x:v>CHALLENGE</x:v>
      </x:c>
      <x:c r="F72" s="21" t="str">
        <x:v>Sovereign challenge cell TIO-06</x:v>
      </x:c>
      <x:c r="G72" s="21" t="n">
        <x:v>28</x:v>
      </x:c>
      <x:c r="H72" s="46" t="n">
        <x:v>0</x:v>
      </x:c>
      <x:c r="I72" s="46" t="n">
        <x:v>0</x:v>
      </x:c>
      <x:c r="J72" s="46" t="n">
        <x:v>8</x:v>
      </x:c>
      <x:c r="K72" s="46" t="n">
        <x:v>0</x:v>
      </x:c>
      <x:c r="L72" s="21" t="str">
        <x:v>OPEN</x:v>
      </x:c>
      <x:c r="M72" s="21" t="str">
        <x:v>BLOCKED</x:v>
      </x:c>
      <x:c r="N72" s="23" t="str">
        <x:f>IF(AND(H72&lt;=G72,I72&lt;=H72,K72&lt;=J72),"PASS","FAIL")</x:f>
        <x:v>PASS</x:v>
      </x:c>
    </x:row>
    <x:row r="73">
      <x:c r="B73" s="21" t="str">
        <x:v>F06-I3-A</x:v>
      </x:c>
      <x:c r="C73" s="21" t="str">
        <x:v>F06-I3</x:v>
      </x:c>
      <x:c r="D73" s="21" t="str">
        <x:v>F06</x:v>
      </x:c>
      <x:c r="E73" s="21" t="str">
        <x:v>BUILD A</x:v>
      </x:c>
      <x:c r="F73" s="21" t="str">
        <x:v>Independent build ecosystem 03</x:v>
      </x:c>
      <x:c r="G73" s="21" t="n">
        <x:v>28</x:v>
      </x:c>
      <x:c r="H73" s="46" t="n">
        <x:v>0</x:v>
      </x:c>
      <x:c r="I73" s="46" t="n">
        <x:v>0</x:v>
      </x:c>
      <x:c r="J73" s="46" t="n">
        <x:v>8</x:v>
      </x:c>
      <x:c r="K73" s="46" t="n">
        <x:v>0</x:v>
      </x:c>
      <x:c r="L73" s="21" t="str">
        <x:v>OPEN</x:v>
      </x:c>
      <x:c r="M73" s="21" t="str">
        <x:v>BLOCKED</x:v>
      </x:c>
      <x:c r="N73" s="23" t="str">
        <x:f>IF(AND(H73&lt;=G73,I73&lt;=H73,K73&lt;=J73),"PASS","FAIL")</x:f>
        <x:v>PASS</x:v>
      </x:c>
    </x:row>
    <x:row r="74">
      <x:c r="B74" s="21" t="str">
        <x:v>F06-I3-B</x:v>
      </x:c>
      <x:c r="C74" s="21" t="str">
        <x:v>F06-I3</x:v>
      </x:c>
      <x:c r="D74" s="21" t="str">
        <x:v>F06</x:v>
      </x:c>
      <x:c r="E74" s="21" t="str">
        <x:v>BUILD B</x:v>
      </x:c>
      <x:c r="F74" s="21" t="str">
        <x:v>Independent build ecosystem 05</x:v>
      </x:c>
      <x:c r="G74" s="21" t="n">
        <x:v>28</x:v>
      </x:c>
      <x:c r="H74" s="46" t="n">
        <x:v>0</x:v>
      </x:c>
      <x:c r="I74" s="46" t="n">
        <x:v>0</x:v>
      </x:c>
      <x:c r="J74" s="46" t="n">
        <x:v>8</x:v>
      </x:c>
      <x:c r="K74" s="46" t="n">
        <x:v>0</x:v>
      </x:c>
      <x:c r="L74" s="21" t="str">
        <x:v>OPEN</x:v>
      </x:c>
      <x:c r="M74" s="21" t="str">
        <x:v>BLOCKED</x:v>
      </x:c>
      <x:c r="N74" s="23" t="str">
        <x:f>IF(AND(H74&lt;=G74,I74&lt;=H74,K74&lt;=J74),"PASS","FAIL")</x:f>
        <x:v>PASS</x:v>
      </x:c>
    </x:row>
    <x:row r="75">
      <x:c r="B75" s="21" t="str">
        <x:v>F06-I3-C</x:v>
      </x:c>
      <x:c r="C75" s="21" t="str">
        <x:v>F06-I3</x:v>
      </x:c>
      <x:c r="D75" s="21" t="str">
        <x:v>F06</x:v>
      </x:c>
      <x:c r="E75" s="21" t="str">
        <x:v>CHALLENGE</x:v>
      </x:c>
      <x:c r="F75" s="21" t="str">
        <x:v>Sovereign challenge cell TIO-07</x:v>
      </x:c>
      <x:c r="G75" s="21" t="n">
        <x:v>28</x:v>
      </x:c>
      <x:c r="H75" s="46" t="n">
        <x:v>0</x:v>
      </x:c>
      <x:c r="I75" s="46" t="n">
        <x:v>0</x:v>
      </x:c>
      <x:c r="J75" s="46" t="n">
        <x:v>8</x:v>
      </x:c>
      <x:c r="K75" s="46" t="n">
        <x:v>0</x:v>
      </x:c>
      <x:c r="L75" s="21" t="str">
        <x:v>OPEN</x:v>
      </x:c>
      <x:c r="M75" s="21" t="str">
        <x:v>BLOCKED</x:v>
      </x:c>
      <x:c r="N75" s="23" t="str">
        <x:f>IF(AND(H75&lt;=G75,I75&lt;=H75,K75&lt;=J75),"PASS","FAIL")</x:f>
        <x:v>PASS</x:v>
      </x:c>
    </x:row>
    <x:row r="76">
      <x:c r="B76" s="21" t="str">
        <x:v>F06-I4-A</x:v>
      </x:c>
      <x:c r="C76" s="21" t="str">
        <x:v>F06-I4</x:v>
      </x:c>
      <x:c r="D76" s="21" t="str">
        <x:v>F06</x:v>
      </x:c>
      <x:c r="E76" s="21" t="str">
        <x:v>BUILD A</x:v>
      </x:c>
      <x:c r="F76" s="21" t="str">
        <x:v>Independent build ecosystem 06</x:v>
      </x:c>
      <x:c r="G76" s="21" t="n">
        <x:v>28</x:v>
      </x:c>
      <x:c r="H76" s="46" t="n">
        <x:v>0</x:v>
      </x:c>
      <x:c r="I76" s="46" t="n">
        <x:v>0</x:v>
      </x:c>
      <x:c r="J76" s="46" t="n">
        <x:v>8</x:v>
      </x:c>
      <x:c r="K76" s="46" t="n">
        <x:v>0</x:v>
      </x:c>
      <x:c r="L76" s="21" t="str">
        <x:v>OPEN</x:v>
      </x:c>
      <x:c r="M76" s="21" t="str">
        <x:v>BLOCKED</x:v>
      </x:c>
      <x:c r="N76" s="23" t="str">
        <x:f>IF(AND(H76&lt;=G76,I76&lt;=H76,K76&lt;=J76),"PASS","FAIL")</x:f>
        <x:v>PASS</x:v>
      </x:c>
    </x:row>
    <x:row r="77">
      <x:c r="B77" s="21" t="str">
        <x:v>F06-I4-B</x:v>
      </x:c>
      <x:c r="C77" s="21" t="str">
        <x:v>F06-I4</x:v>
      </x:c>
      <x:c r="D77" s="21" t="str">
        <x:v>F06</x:v>
      </x:c>
      <x:c r="E77" s="21" t="str">
        <x:v>BUILD B</x:v>
      </x:c>
      <x:c r="F77" s="21" t="str">
        <x:v>Independent build ecosystem 08</x:v>
      </x:c>
      <x:c r="G77" s="21" t="n">
        <x:v>28</x:v>
      </x:c>
      <x:c r="H77" s="46" t="n">
        <x:v>0</x:v>
      </x:c>
      <x:c r="I77" s="46" t="n">
        <x:v>0</x:v>
      </x:c>
      <x:c r="J77" s="46" t="n">
        <x:v>8</x:v>
      </x:c>
      <x:c r="K77" s="46" t="n">
        <x:v>0</x:v>
      </x:c>
      <x:c r="L77" s="21" t="str">
        <x:v>OPEN</x:v>
      </x:c>
      <x:c r="M77" s="21" t="str">
        <x:v>BLOCKED</x:v>
      </x:c>
      <x:c r="N77" s="23" t="str">
        <x:f>IF(AND(H77&lt;=G77,I77&lt;=H77,K77&lt;=J77),"PASS","FAIL")</x:f>
        <x:v>PASS</x:v>
      </x:c>
    </x:row>
    <x:row r="78">
      <x:c r="B78" s="21" t="str">
        <x:v>F06-I4-C</x:v>
      </x:c>
      <x:c r="C78" s="21" t="str">
        <x:v>F06-I4</x:v>
      </x:c>
      <x:c r="D78" s="21" t="str">
        <x:v>F06</x:v>
      </x:c>
      <x:c r="E78" s="21" t="str">
        <x:v>CHALLENGE</x:v>
      </x:c>
      <x:c r="F78" s="21" t="str">
        <x:v>Sovereign challenge cell TIO-08</x:v>
      </x:c>
      <x:c r="G78" s="21" t="n">
        <x:v>28</x:v>
      </x:c>
      <x:c r="H78" s="46" t="n">
        <x:v>0</x:v>
      </x:c>
      <x:c r="I78" s="46" t="n">
        <x:v>0</x:v>
      </x:c>
      <x:c r="J78" s="46" t="n">
        <x:v>8</x:v>
      </x:c>
      <x:c r="K78" s="46" t="n">
        <x:v>0</x:v>
      </x:c>
      <x:c r="L78" s="21" t="str">
        <x:v>OPEN</x:v>
      </x:c>
      <x:c r="M78" s="21" t="str">
        <x:v>BLOCKED</x:v>
      </x:c>
      <x:c r="N78" s="23" t="str">
        <x:f>IF(AND(H78&lt;=G78,I78&lt;=H78,K78&lt;=J78),"PASS","FAIL")</x:f>
        <x:v>PASS</x:v>
      </x:c>
    </x:row>
    <x:row r="79">
      <x:c r="B79" s="21" t="str">
        <x:v>F07-I1-A</x:v>
      </x:c>
      <x:c r="C79" s="21" t="str">
        <x:v>F07-I1</x:v>
      </x:c>
      <x:c r="D79" s="21" t="str">
        <x:v>F07</x:v>
      </x:c>
      <x:c r="E79" s="21" t="str">
        <x:v>BUILD A</x:v>
      </x:c>
      <x:c r="F79" s="21" t="str">
        <x:v>Independent build ecosystem 09</x:v>
      </x:c>
      <x:c r="G79" s="21" t="n">
        <x:v>28</x:v>
      </x:c>
      <x:c r="H79" s="46" t="n">
        <x:v>0</x:v>
      </x:c>
      <x:c r="I79" s="46" t="n">
        <x:v>0</x:v>
      </x:c>
      <x:c r="J79" s="46" t="n">
        <x:v>8</x:v>
      </x:c>
      <x:c r="K79" s="46" t="n">
        <x:v>0</x:v>
      </x:c>
      <x:c r="L79" s="21" t="str">
        <x:v>OPEN</x:v>
      </x:c>
      <x:c r="M79" s="21" t="str">
        <x:v>BLOCKED</x:v>
      </x:c>
      <x:c r="N79" s="23" t="str">
        <x:f>IF(AND(H79&lt;=G79,I79&lt;=H79,K79&lt;=J79),"PASS","FAIL")</x:f>
        <x:v>PASS</x:v>
      </x:c>
    </x:row>
    <x:row r="80">
      <x:c r="B80" s="21" t="str">
        <x:v>F07-I1-B</x:v>
      </x:c>
      <x:c r="C80" s="21" t="str">
        <x:v>F07-I1</x:v>
      </x:c>
      <x:c r="D80" s="21" t="str">
        <x:v>F07</x:v>
      </x:c>
      <x:c r="E80" s="21" t="str">
        <x:v>BUILD B</x:v>
      </x:c>
      <x:c r="F80" s="21" t="str">
        <x:v>Independent build ecosystem 11</x:v>
      </x:c>
      <x:c r="G80" s="21" t="n">
        <x:v>28</x:v>
      </x:c>
      <x:c r="H80" s="46" t="n">
        <x:v>0</x:v>
      </x:c>
      <x:c r="I80" s="46" t="n">
        <x:v>0</x:v>
      </x:c>
      <x:c r="J80" s="46" t="n">
        <x:v>8</x:v>
      </x:c>
      <x:c r="K80" s="46" t="n">
        <x:v>0</x:v>
      </x:c>
      <x:c r="L80" s="21" t="str">
        <x:v>OPEN</x:v>
      </x:c>
      <x:c r="M80" s="21" t="str">
        <x:v>BLOCKED</x:v>
      </x:c>
      <x:c r="N80" s="23" t="str">
        <x:f>IF(AND(H80&lt;=G80,I80&lt;=H80,K80&lt;=J80),"PASS","FAIL")</x:f>
        <x:v>PASS</x:v>
      </x:c>
    </x:row>
    <x:row r="81">
      <x:c r="B81" s="21" t="str">
        <x:v>F07-I1-C</x:v>
      </x:c>
      <x:c r="C81" s="21" t="str">
        <x:v>F07-I1</x:v>
      </x:c>
      <x:c r="D81" s="21" t="str">
        <x:v>F07</x:v>
      </x:c>
      <x:c r="E81" s="21" t="str">
        <x:v>CHALLENGE</x:v>
      </x:c>
      <x:c r="F81" s="21" t="str">
        <x:v>Sovereign challenge cell TIO-09</x:v>
      </x:c>
      <x:c r="G81" s="21" t="n">
        <x:v>28</x:v>
      </x:c>
      <x:c r="H81" s="46" t="n">
        <x:v>0</x:v>
      </x:c>
      <x:c r="I81" s="46" t="n">
        <x:v>0</x:v>
      </x:c>
      <x:c r="J81" s="46" t="n">
        <x:v>8</x:v>
      </x:c>
      <x:c r="K81" s="46" t="n">
        <x:v>0</x:v>
      </x:c>
      <x:c r="L81" s="21" t="str">
        <x:v>OPEN</x:v>
      </x:c>
      <x:c r="M81" s="21" t="str">
        <x:v>BLOCKED</x:v>
      </x:c>
      <x:c r="N81" s="23" t="str">
        <x:f>IF(AND(H81&lt;=G81,I81&lt;=H81,K81&lt;=J81),"PASS","FAIL")</x:f>
        <x:v>PASS</x:v>
      </x:c>
    </x:row>
    <x:row r="82">
      <x:c r="B82" s="21" t="str">
        <x:v>F07-I2-A</x:v>
      </x:c>
      <x:c r="C82" s="21" t="str">
        <x:v>F07-I2</x:v>
      </x:c>
      <x:c r="D82" s="21" t="str">
        <x:v>F07</x:v>
      </x:c>
      <x:c r="E82" s="21" t="str">
        <x:v>BUILD A</x:v>
      </x:c>
      <x:c r="F82" s="21" t="str">
        <x:v>Independent build ecosystem 12</x:v>
      </x:c>
      <x:c r="G82" s="21" t="n">
        <x:v>28</x:v>
      </x:c>
      <x:c r="H82" s="46" t="n">
        <x:v>0</x:v>
      </x:c>
      <x:c r="I82" s="46" t="n">
        <x:v>0</x:v>
      </x:c>
      <x:c r="J82" s="46" t="n">
        <x:v>8</x:v>
      </x:c>
      <x:c r="K82" s="46" t="n">
        <x:v>0</x:v>
      </x:c>
      <x:c r="L82" s="21" t="str">
        <x:v>OPEN</x:v>
      </x:c>
      <x:c r="M82" s="21" t="str">
        <x:v>BLOCKED</x:v>
      </x:c>
      <x:c r="N82" s="23" t="str">
        <x:f>IF(AND(H82&lt;=G82,I82&lt;=H82,K82&lt;=J82),"PASS","FAIL")</x:f>
        <x:v>PASS</x:v>
      </x:c>
    </x:row>
    <x:row r="83">
      <x:c r="B83" s="21" t="str">
        <x:v>F07-I2-B</x:v>
      </x:c>
      <x:c r="C83" s="21" t="str">
        <x:v>F07-I2</x:v>
      </x:c>
      <x:c r="D83" s="21" t="str">
        <x:v>F07</x:v>
      </x:c>
      <x:c r="E83" s="21" t="str">
        <x:v>BUILD B</x:v>
      </x:c>
      <x:c r="F83" s="21" t="str">
        <x:v>Independent build ecosystem 14</x:v>
      </x:c>
      <x:c r="G83" s="21" t="n">
        <x:v>28</x:v>
      </x:c>
      <x:c r="H83" s="46" t="n">
        <x:v>0</x:v>
      </x:c>
      <x:c r="I83" s="46" t="n">
        <x:v>0</x:v>
      </x:c>
      <x:c r="J83" s="46" t="n">
        <x:v>8</x:v>
      </x:c>
      <x:c r="K83" s="46" t="n">
        <x:v>0</x:v>
      </x:c>
      <x:c r="L83" s="21" t="str">
        <x:v>OPEN</x:v>
      </x:c>
      <x:c r="M83" s="21" t="str">
        <x:v>BLOCKED</x:v>
      </x:c>
      <x:c r="N83" s="23" t="str">
        <x:f>IF(AND(H83&lt;=G83,I83&lt;=H83,K83&lt;=J83),"PASS","FAIL")</x:f>
        <x:v>PASS</x:v>
      </x:c>
    </x:row>
    <x:row r="84">
      <x:c r="B84" s="21" t="str">
        <x:v>F07-I2-C</x:v>
      </x:c>
      <x:c r="C84" s="21" t="str">
        <x:v>F07-I2</x:v>
      </x:c>
      <x:c r="D84" s="21" t="str">
        <x:v>F07</x:v>
      </x:c>
      <x:c r="E84" s="21" t="str">
        <x:v>CHALLENGE</x:v>
      </x:c>
      <x:c r="F84" s="21" t="str">
        <x:v>Sovereign challenge cell TIO-10</x:v>
      </x:c>
      <x:c r="G84" s="21" t="n">
        <x:v>28</x:v>
      </x:c>
      <x:c r="H84" s="46" t="n">
        <x:v>0</x:v>
      </x:c>
      <x:c r="I84" s="46" t="n">
        <x:v>0</x:v>
      </x:c>
      <x:c r="J84" s="46" t="n">
        <x:v>8</x:v>
      </x:c>
      <x:c r="K84" s="46" t="n">
        <x:v>0</x:v>
      </x:c>
      <x:c r="L84" s="21" t="str">
        <x:v>OPEN</x:v>
      </x:c>
      <x:c r="M84" s="21" t="str">
        <x:v>BLOCKED</x:v>
      </x:c>
      <x:c r="N84" s="23" t="str">
        <x:f>IF(AND(H84&lt;=G84,I84&lt;=H84,K84&lt;=J84),"PASS","FAIL")</x:f>
        <x:v>PASS</x:v>
      </x:c>
    </x:row>
    <x:row r="85">
      <x:c r="B85" s="21" t="str">
        <x:v>F07-I3-A</x:v>
      </x:c>
      <x:c r="C85" s="21" t="str">
        <x:v>F07-I3</x:v>
      </x:c>
      <x:c r="D85" s="21" t="str">
        <x:v>F07</x:v>
      </x:c>
      <x:c r="E85" s="21" t="str">
        <x:v>BUILD A</x:v>
      </x:c>
      <x:c r="F85" s="21" t="str">
        <x:v>Independent build ecosystem 15</x:v>
      </x:c>
      <x:c r="G85" s="21" t="n">
        <x:v>28</x:v>
      </x:c>
      <x:c r="H85" s="46" t="n">
        <x:v>0</x:v>
      </x:c>
      <x:c r="I85" s="46" t="n">
        <x:v>0</x:v>
      </x:c>
      <x:c r="J85" s="46" t="n">
        <x:v>8</x:v>
      </x:c>
      <x:c r="K85" s="46" t="n">
        <x:v>0</x:v>
      </x:c>
      <x:c r="L85" s="21" t="str">
        <x:v>OPEN</x:v>
      </x:c>
      <x:c r="M85" s="21" t="str">
        <x:v>BLOCKED</x:v>
      </x:c>
      <x:c r="N85" s="23" t="str">
        <x:f>IF(AND(H85&lt;=G85,I85&lt;=H85,K85&lt;=J85),"PASS","FAIL")</x:f>
        <x:v>PASS</x:v>
      </x:c>
    </x:row>
    <x:row r="86">
      <x:c r="B86" s="21" t="str">
        <x:v>F07-I3-B</x:v>
      </x:c>
      <x:c r="C86" s="21" t="str">
        <x:v>F07-I3</x:v>
      </x:c>
      <x:c r="D86" s="21" t="str">
        <x:v>F07</x:v>
      </x:c>
      <x:c r="E86" s="21" t="str">
        <x:v>BUILD B</x:v>
      </x:c>
      <x:c r="F86" s="21" t="str">
        <x:v>Independent build ecosystem 01</x:v>
      </x:c>
      <x:c r="G86" s="21" t="n">
        <x:v>28</x:v>
      </x:c>
      <x:c r="H86" s="46" t="n">
        <x:v>0</x:v>
      </x:c>
      <x:c r="I86" s="46" t="n">
        <x:v>0</x:v>
      </x:c>
      <x:c r="J86" s="46" t="n">
        <x:v>8</x:v>
      </x:c>
      <x:c r="K86" s="46" t="n">
        <x:v>0</x:v>
      </x:c>
      <x:c r="L86" s="21" t="str">
        <x:v>OPEN</x:v>
      </x:c>
      <x:c r="M86" s="21" t="str">
        <x:v>BLOCKED</x:v>
      </x:c>
      <x:c r="N86" s="23" t="str">
        <x:f>IF(AND(H86&lt;=G86,I86&lt;=H86,K86&lt;=J86),"PASS","FAIL")</x:f>
        <x:v>PASS</x:v>
      </x:c>
    </x:row>
    <x:row r="87">
      <x:c r="B87" s="21" t="str">
        <x:v>F07-I3-C</x:v>
      </x:c>
      <x:c r="C87" s="21" t="str">
        <x:v>F07-I3</x:v>
      </x:c>
      <x:c r="D87" s="21" t="str">
        <x:v>F07</x:v>
      </x:c>
      <x:c r="E87" s="21" t="str">
        <x:v>CHALLENGE</x:v>
      </x:c>
      <x:c r="F87" s="21" t="str">
        <x:v>Sovereign challenge cell TIO-11</x:v>
      </x:c>
      <x:c r="G87" s="21" t="n">
        <x:v>28</x:v>
      </x:c>
      <x:c r="H87" s="46" t="n">
        <x:v>0</x:v>
      </x:c>
      <x:c r="I87" s="46" t="n">
        <x:v>0</x:v>
      </x:c>
      <x:c r="J87" s="46" t="n">
        <x:v>8</x:v>
      </x:c>
      <x:c r="K87" s="46" t="n">
        <x:v>0</x:v>
      </x:c>
      <x:c r="L87" s="21" t="str">
        <x:v>OPEN</x:v>
      </x:c>
      <x:c r="M87" s="21" t="str">
        <x:v>BLOCKED</x:v>
      </x:c>
      <x:c r="N87" s="23" t="str">
        <x:f>IF(AND(H87&lt;=G87,I87&lt;=H87,K87&lt;=J87),"PASS","FAIL")</x:f>
        <x:v>PASS</x:v>
      </x:c>
    </x:row>
    <x:row r="88">
      <x:c r="B88" s="21" t="str">
        <x:v>F07-I4-A</x:v>
      </x:c>
      <x:c r="C88" s="21" t="str">
        <x:v>F07-I4</x:v>
      </x:c>
      <x:c r="D88" s="21" t="str">
        <x:v>F07</x:v>
      </x:c>
      <x:c r="E88" s="21" t="str">
        <x:v>BUILD A</x:v>
      </x:c>
      <x:c r="F88" s="21" t="str">
        <x:v>Independent build ecosystem 02</x:v>
      </x:c>
      <x:c r="G88" s="21" t="n">
        <x:v>28</x:v>
      </x:c>
      <x:c r="H88" s="46" t="n">
        <x:v>0</x:v>
      </x:c>
      <x:c r="I88" s="46" t="n">
        <x:v>0</x:v>
      </x:c>
      <x:c r="J88" s="46" t="n">
        <x:v>8</x:v>
      </x:c>
      <x:c r="K88" s="46" t="n">
        <x:v>0</x:v>
      </x:c>
      <x:c r="L88" s="21" t="str">
        <x:v>OPEN</x:v>
      </x:c>
      <x:c r="M88" s="21" t="str">
        <x:v>BLOCKED</x:v>
      </x:c>
      <x:c r="N88" s="23" t="str">
        <x:f>IF(AND(H88&lt;=G88,I88&lt;=H88,K88&lt;=J88),"PASS","FAIL")</x:f>
        <x:v>PASS</x:v>
      </x:c>
    </x:row>
    <x:row r="89">
      <x:c r="B89" s="21" t="str">
        <x:v>F07-I4-B</x:v>
      </x:c>
      <x:c r="C89" s="21" t="str">
        <x:v>F07-I4</x:v>
      </x:c>
      <x:c r="D89" s="21" t="str">
        <x:v>F07</x:v>
      </x:c>
      <x:c r="E89" s="21" t="str">
        <x:v>BUILD B</x:v>
      </x:c>
      <x:c r="F89" s="21" t="str">
        <x:v>Independent build ecosystem 04</x:v>
      </x:c>
      <x:c r="G89" s="21" t="n">
        <x:v>28</x:v>
      </x:c>
      <x:c r="H89" s="46" t="n">
        <x:v>0</x:v>
      </x:c>
      <x:c r="I89" s="46" t="n">
        <x:v>0</x:v>
      </x:c>
      <x:c r="J89" s="46" t="n">
        <x:v>8</x:v>
      </x:c>
      <x:c r="K89" s="46" t="n">
        <x:v>0</x:v>
      </x:c>
      <x:c r="L89" s="21" t="str">
        <x:v>OPEN</x:v>
      </x:c>
      <x:c r="M89" s="21" t="str">
        <x:v>BLOCKED</x:v>
      </x:c>
      <x:c r="N89" s="23" t="str">
        <x:f>IF(AND(H89&lt;=G89,I89&lt;=H89,K89&lt;=J89),"PASS","FAIL")</x:f>
        <x:v>PASS</x:v>
      </x:c>
    </x:row>
    <x:row r="90">
      <x:c r="B90" s="21" t="str">
        <x:v>F07-I4-C</x:v>
      </x:c>
      <x:c r="C90" s="21" t="str">
        <x:v>F07-I4</x:v>
      </x:c>
      <x:c r="D90" s="21" t="str">
        <x:v>F07</x:v>
      </x:c>
      <x:c r="E90" s="21" t="str">
        <x:v>CHALLENGE</x:v>
      </x:c>
      <x:c r="F90" s="21" t="str">
        <x:v>Sovereign challenge cell TIO-12</x:v>
      </x:c>
      <x:c r="G90" s="21" t="n">
        <x:v>28</x:v>
      </x:c>
      <x:c r="H90" s="46" t="n">
        <x:v>0</x:v>
      </x:c>
      <x:c r="I90" s="46" t="n">
        <x:v>0</x:v>
      </x:c>
      <x:c r="J90" s="46" t="n">
        <x:v>8</x:v>
      </x:c>
      <x:c r="K90" s="46" t="n">
        <x:v>0</x:v>
      </x:c>
      <x:c r="L90" s="21" t="str">
        <x:v>OPEN</x:v>
      </x:c>
      <x:c r="M90" s="21" t="str">
        <x:v>BLOCKED</x:v>
      </x:c>
      <x:c r="N90" s="23" t="str">
        <x:f>IF(AND(H90&lt;=G90,I90&lt;=H90,K90&lt;=J90),"PASS","FAIL")</x:f>
        <x:v>PASS</x:v>
      </x:c>
    </x:row>
    <x:row r="91">
      <x:c r="B91" s="21" t="str">
        <x:v>F08-I1-A</x:v>
      </x:c>
      <x:c r="C91" s="21" t="str">
        <x:v>F08-I1</x:v>
      </x:c>
      <x:c r="D91" s="21" t="str">
        <x:v>F08</x:v>
      </x:c>
      <x:c r="E91" s="21" t="str">
        <x:v>BUILD A</x:v>
      </x:c>
      <x:c r="F91" s="21" t="str">
        <x:v>Independent build ecosystem 05</x:v>
      </x:c>
      <x:c r="G91" s="21" t="n">
        <x:v>28</x:v>
      </x:c>
      <x:c r="H91" s="46" t="n">
        <x:v>0</x:v>
      </x:c>
      <x:c r="I91" s="46" t="n">
        <x:v>0</x:v>
      </x:c>
      <x:c r="J91" s="46" t="n">
        <x:v>8</x:v>
      </x:c>
      <x:c r="K91" s="46" t="n">
        <x:v>0</x:v>
      </x:c>
      <x:c r="L91" s="21" t="str">
        <x:v>OPEN</x:v>
      </x:c>
      <x:c r="M91" s="21" t="str">
        <x:v>BLOCKED</x:v>
      </x:c>
      <x:c r="N91" s="23" t="str">
        <x:f>IF(AND(H91&lt;=G91,I91&lt;=H91,K91&lt;=J91),"PASS","FAIL")</x:f>
        <x:v>PASS</x:v>
      </x:c>
    </x:row>
    <x:row r="92">
      <x:c r="B92" s="21" t="str">
        <x:v>F08-I1-B</x:v>
      </x:c>
      <x:c r="C92" s="21" t="str">
        <x:v>F08-I1</x:v>
      </x:c>
      <x:c r="D92" s="21" t="str">
        <x:v>F08</x:v>
      </x:c>
      <x:c r="E92" s="21" t="str">
        <x:v>BUILD B</x:v>
      </x:c>
      <x:c r="F92" s="21" t="str">
        <x:v>Independent build ecosystem 07</x:v>
      </x:c>
      <x:c r="G92" s="21" t="n">
        <x:v>28</x:v>
      </x:c>
      <x:c r="H92" s="46" t="n">
        <x:v>0</x:v>
      </x:c>
      <x:c r="I92" s="46" t="n">
        <x:v>0</x:v>
      </x:c>
      <x:c r="J92" s="46" t="n">
        <x:v>8</x:v>
      </x:c>
      <x:c r="K92" s="46" t="n">
        <x:v>0</x:v>
      </x:c>
      <x:c r="L92" s="21" t="str">
        <x:v>OPEN</x:v>
      </x:c>
      <x:c r="M92" s="21" t="str">
        <x:v>BLOCKED</x:v>
      </x:c>
      <x:c r="N92" s="23" t="str">
        <x:f>IF(AND(H92&lt;=G92,I92&lt;=H92,K92&lt;=J92),"PASS","FAIL")</x:f>
        <x:v>PASS</x:v>
      </x:c>
    </x:row>
    <x:row r="93">
      <x:c r="B93" s="21" t="str">
        <x:v>F08-I1-C</x:v>
      </x:c>
      <x:c r="C93" s="21" t="str">
        <x:v>F08-I1</x:v>
      </x:c>
      <x:c r="D93" s="21" t="str">
        <x:v>F08</x:v>
      </x:c>
      <x:c r="E93" s="21" t="str">
        <x:v>CHALLENGE</x:v>
      </x:c>
      <x:c r="F93" s="21" t="str">
        <x:v>Sovereign challenge cell TIO-13</x:v>
      </x:c>
      <x:c r="G93" s="21" t="n">
        <x:v>28</x:v>
      </x:c>
      <x:c r="H93" s="46" t="n">
        <x:v>0</x:v>
      </x:c>
      <x:c r="I93" s="46" t="n">
        <x:v>0</x:v>
      </x:c>
      <x:c r="J93" s="46" t="n">
        <x:v>8</x:v>
      </x:c>
      <x:c r="K93" s="46" t="n">
        <x:v>0</x:v>
      </x:c>
      <x:c r="L93" s="21" t="str">
        <x:v>OPEN</x:v>
      </x:c>
      <x:c r="M93" s="21" t="str">
        <x:v>BLOCKED</x:v>
      </x:c>
      <x:c r="N93" s="23" t="str">
        <x:f>IF(AND(H93&lt;=G93,I93&lt;=H93,K93&lt;=J93),"PASS","FAIL")</x:f>
        <x:v>PASS</x:v>
      </x:c>
    </x:row>
    <x:row r="94">
      <x:c r="B94" s="21" t="str">
        <x:v>F08-I2-A</x:v>
      </x:c>
      <x:c r="C94" s="21" t="str">
        <x:v>F08-I2</x:v>
      </x:c>
      <x:c r="D94" s="21" t="str">
        <x:v>F08</x:v>
      </x:c>
      <x:c r="E94" s="21" t="str">
        <x:v>BUILD A</x:v>
      </x:c>
      <x:c r="F94" s="21" t="str">
        <x:v>Independent build ecosystem 08</x:v>
      </x:c>
      <x:c r="G94" s="21" t="n">
        <x:v>28</x:v>
      </x:c>
      <x:c r="H94" s="46" t="n">
        <x:v>0</x:v>
      </x:c>
      <x:c r="I94" s="46" t="n">
        <x:v>0</x:v>
      </x:c>
      <x:c r="J94" s="46" t="n">
        <x:v>8</x:v>
      </x:c>
      <x:c r="K94" s="46" t="n">
        <x:v>0</x:v>
      </x:c>
      <x:c r="L94" s="21" t="str">
        <x:v>OPEN</x:v>
      </x:c>
      <x:c r="M94" s="21" t="str">
        <x:v>BLOCKED</x:v>
      </x:c>
      <x:c r="N94" s="23" t="str">
        <x:f>IF(AND(H94&lt;=G94,I94&lt;=H94,K94&lt;=J94),"PASS","FAIL")</x:f>
        <x:v>PASS</x:v>
      </x:c>
    </x:row>
    <x:row r="95">
      <x:c r="B95" s="21" t="str">
        <x:v>F08-I2-B</x:v>
      </x:c>
      <x:c r="C95" s="21" t="str">
        <x:v>F08-I2</x:v>
      </x:c>
      <x:c r="D95" s="21" t="str">
        <x:v>F08</x:v>
      </x:c>
      <x:c r="E95" s="21" t="str">
        <x:v>BUILD B</x:v>
      </x:c>
      <x:c r="F95" s="21" t="str">
        <x:v>Independent build ecosystem 10</x:v>
      </x:c>
      <x:c r="G95" s="21" t="n">
        <x:v>28</x:v>
      </x:c>
      <x:c r="H95" s="46" t="n">
        <x:v>0</x:v>
      </x:c>
      <x:c r="I95" s="46" t="n">
        <x:v>0</x:v>
      </x:c>
      <x:c r="J95" s="46" t="n">
        <x:v>8</x:v>
      </x:c>
      <x:c r="K95" s="46" t="n">
        <x:v>0</x:v>
      </x:c>
      <x:c r="L95" s="21" t="str">
        <x:v>OPEN</x:v>
      </x:c>
      <x:c r="M95" s="21" t="str">
        <x:v>BLOCKED</x:v>
      </x:c>
      <x:c r="N95" s="23" t="str">
        <x:f>IF(AND(H95&lt;=G95,I95&lt;=H95,K95&lt;=J95),"PASS","FAIL")</x:f>
        <x:v>PASS</x:v>
      </x:c>
    </x:row>
    <x:row r="96">
      <x:c r="B96" s="21" t="str">
        <x:v>F08-I2-C</x:v>
      </x:c>
      <x:c r="C96" s="21" t="str">
        <x:v>F08-I2</x:v>
      </x:c>
      <x:c r="D96" s="21" t="str">
        <x:v>F08</x:v>
      </x:c>
      <x:c r="E96" s="21" t="str">
        <x:v>CHALLENGE</x:v>
      </x:c>
      <x:c r="F96" s="21" t="str">
        <x:v>Sovereign challenge cell TIO-14</x:v>
      </x:c>
      <x:c r="G96" s="21" t="n">
        <x:v>28</x:v>
      </x:c>
      <x:c r="H96" s="46" t="n">
        <x:v>0</x:v>
      </x:c>
      <x:c r="I96" s="46" t="n">
        <x:v>0</x:v>
      </x:c>
      <x:c r="J96" s="46" t="n">
        <x:v>8</x:v>
      </x:c>
      <x:c r="K96" s="46" t="n">
        <x:v>0</x:v>
      </x:c>
      <x:c r="L96" s="21" t="str">
        <x:v>OPEN</x:v>
      </x:c>
      <x:c r="M96" s="21" t="str">
        <x:v>BLOCKED</x:v>
      </x:c>
      <x:c r="N96" s="23" t="str">
        <x:f>IF(AND(H96&lt;=G96,I96&lt;=H96,K96&lt;=J96),"PASS","FAIL")</x:f>
        <x:v>PASS</x:v>
      </x:c>
    </x:row>
    <x:row r="97">
      <x:c r="B97" s="21" t="str">
        <x:v>F08-I3-A</x:v>
      </x:c>
      <x:c r="C97" s="21" t="str">
        <x:v>F08-I3</x:v>
      </x:c>
      <x:c r="D97" s="21" t="str">
        <x:v>F08</x:v>
      </x:c>
      <x:c r="E97" s="21" t="str">
        <x:v>BUILD A</x:v>
      </x:c>
      <x:c r="F97" s="21" t="str">
        <x:v>Independent build ecosystem 11</x:v>
      </x:c>
      <x:c r="G97" s="21" t="n">
        <x:v>28</x:v>
      </x:c>
      <x:c r="H97" s="46" t="n">
        <x:v>0</x:v>
      </x:c>
      <x:c r="I97" s="46" t="n">
        <x:v>0</x:v>
      </x:c>
      <x:c r="J97" s="46" t="n">
        <x:v>8</x:v>
      </x:c>
      <x:c r="K97" s="46" t="n">
        <x:v>0</x:v>
      </x:c>
      <x:c r="L97" s="21" t="str">
        <x:v>OPEN</x:v>
      </x:c>
      <x:c r="M97" s="21" t="str">
        <x:v>BLOCKED</x:v>
      </x:c>
      <x:c r="N97" s="23" t="str">
        <x:f>IF(AND(H97&lt;=G97,I97&lt;=H97,K97&lt;=J97),"PASS","FAIL")</x:f>
        <x:v>PASS</x:v>
      </x:c>
    </x:row>
    <x:row r="98">
      <x:c r="B98" s="21" t="str">
        <x:v>F08-I3-B</x:v>
      </x:c>
      <x:c r="C98" s="21" t="str">
        <x:v>F08-I3</x:v>
      </x:c>
      <x:c r="D98" s="21" t="str">
        <x:v>F08</x:v>
      </x:c>
      <x:c r="E98" s="21" t="str">
        <x:v>BUILD B</x:v>
      </x:c>
      <x:c r="F98" s="21" t="str">
        <x:v>Independent build ecosystem 13</x:v>
      </x:c>
      <x:c r="G98" s="21" t="n">
        <x:v>28</x:v>
      </x:c>
      <x:c r="H98" s="46" t="n">
        <x:v>0</x:v>
      </x:c>
      <x:c r="I98" s="46" t="n">
        <x:v>0</x:v>
      </x:c>
      <x:c r="J98" s="46" t="n">
        <x:v>8</x:v>
      </x:c>
      <x:c r="K98" s="46" t="n">
        <x:v>0</x:v>
      </x:c>
      <x:c r="L98" s="21" t="str">
        <x:v>OPEN</x:v>
      </x:c>
      <x:c r="M98" s="21" t="str">
        <x:v>BLOCKED</x:v>
      </x:c>
      <x:c r="N98" s="23" t="str">
        <x:f>IF(AND(H98&lt;=G98,I98&lt;=H98,K98&lt;=J98),"PASS","FAIL")</x:f>
        <x:v>PASS</x:v>
      </x:c>
    </x:row>
    <x:row r="99">
      <x:c r="B99" s="21" t="str">
        <x:v>F08-I3-C</x:v>
      </x:c>
      <x:c r="C99" s="21" t="str">
        <x:v>F08-I3</x:v>
      </x:c>
      <x:c r="D99" s="21" t="str">
        <x:v>F08</x:v>
      </x:c>
      <x:c r="E99" s="21" t="str">
        <x:v>CHALLENGE</x:v>
      </x:c>
      <x:c r="F99" s="21" t="str">
        <x:v>Sovereign challenge cell TIO-15</x:v>
      </x:c>
      <x:c r="G99" s="21" t="n">
        <x:v>28</x:v>
      </x:c>
      <x:c r="H99" s="46" t="n">
        <x:v>0</x:v>
      </x:c>
      <x:c r="I99" s="46" t="n">
        <x:v>0</x:v>
      </x:c>
      <x:c r="J99" s="46" t="n">
        <x:v>8</x:v>
      </x:c>
      <x:c r="K99" s="46" t="n">
        <x:v>0</x:v>
      </x:c>
      <x:c r="L99" s="21" t="str">
        <x:v>OPEN</x:v>
      </x:c>
      <x:c r="M99" s="21" t="str">
        <x:v>BLOCKED</x:v>
      </x:c>
      <x:c r="N99" s="23" t="str">
        <x:f>IF(AND(H99&lt;=G99,I99&lt;=H99,K99&lt;=J99),"PASS","FAIL")</x:f>
        <x:v>PASS</x:v>
      </x:c>
    </x:row>
    <x:row r="100">
      <x:c r="B100" s="21" t="str">
        <x:v>F08-I4-A</x:v>
      </x:c>
      <x:c r="C100" s="21" t="str">
        <x:v>F08-I4</x:v>
      </x:c>
      <x:c r="D100" s="21" t="str">
        <x:v>F08</x:v>
      </x:c>
      <x:c r="E100" s="21" t="str">
        <x:v>BUILD A</x:v>
      </x:c>
      <x:c r="F100" s="21" t="str">
        <x:v>Independent build ecosystem 14</x:v>
      </x:c>
      <x:c r="G100" s="21" t="n">
        <x:v>28</x:v>
      </x:c>
      <x:c r="H100" s="46" t="n">
        <x:v>0</x:v>
      </x:c>
      <x:c r="I100" s="46" t="n">
        <x:v>0</x:v>
      </x:c>
      <x:c r="J100" s="46" t="n">
        <x:v>8</x:v>
      </x:c>
      <x:c r="K100" s="46" t="n">
        <x:v>0</x:v>
      </x:c>
      <x:c r="L100" s="21" t="str">
        <x:v>OPEN</x:v>
      </x:c>
      <x:c r="M100" s="21" t="str">
        <x:v>BLOCKED</x:v>
      </x:c>
      <x:c r="N100" s="23" t="str">
        <x:f>IF(AND(H100&lt;=G100,I100&lt;=H100,K100&lt;=J100),"PASS","FAIL")</x:f>
        <x:v>PASS</x:v>
      </x:c>
    </x:row>
    <x:row r="101">
      <x:c r="B101" s="21" t="str">
        <x:v>F08-I4-B</x:v>
      </x:c>
      <x:c r="C101" s="21" t="str">
        <x:v>F08-I4</x:v>
      </x:c>
      <x:c r="D101" s="21" t="str">
        <x:v>F08</x:v>
      </x:c>
      <x:c r="E101" s="21" t="str">
        <x:v>BUILD B</x:v>
      </x:c>
      <x:c r="F101" s="21" t="str">
        <x:v>Independent build ecosystem 16</x:v>
      </x:c>
      <x:c r="G101" s="21" t="n">
        <x:v>28</x:v>
      </x:c>
      <x:c r="H101" s="46" t="n">
        <x:v>0</x:v>
      </x:c>
      <x:c r="I101" s="46" t="n">
        <x:v>0</x:v>
      </x:c>
      <x:c r="J101" s="46" t="n">
        <x:v>8</x:v>
      </x:c>
      <x:c r="K101" s="46" t="n">
        <x:v>0</x:v>
      </x:c>
      <x:c r="L101" s="21" t="str">
        <x:v>OPEN</x:v>
      </x:c>
      <x:c r="M101" s="21" t="str">
        <x:v>BLOCKED</x:v>
      </x:c>
      <x:c r="N101" s="23" t="str">
        <x:f>IF(AND(H101&lt;=G101,I101&lt;=H101,K101&lt;=J101),"PASS","FAIL")</x:f>
        <x:v>PASS</x:v>
      </x:c>
    </x:row>
    <x:row r="102">
      <x:c r="B102" s="21" t="str">
        <x:v>F08-I4-C</x:v>
      </x:c>
      <x:c r="C102" s="21" t="str">
        <x:v>F08-I4</x:v>
      </x:c>
      <x:c r="D102" s="21" t="str">
        <x:v>F08</x:v>
      </x:c>
      <x:c r="E102" s="21" t="str">
        <x:v>CHALLENGE</x:v>
      </x:c>
      <x:c r="F102" s="21" t="str">
        <x:v>Sovereign challenge cell TIO-16</x:v>
      </x:c>
      <x:c r="G102" s="21" t="n">
        <x:v>28</x:v>
      </x:c>
      <x:c r="H102" s="46" t="n">
        <x:v>0</x:v>
      </x:c>
      <x:c r="I102" s="46" t="n">
        <x:v>0</x:v>
      </x:c>
      <x:c r="J102" s="46" t="n">
        <x:v>8</x:v>
      </x:c>
      <x:c r="K102" s="46" t="n">
        <x:v>0</x:v>
      </x:c>
      <x:c r="L102" s="21" t="str">
        <x:v>OPEN</x:v>
      </x:c>
      <x:c r="M102" s="21" t="str">
        <x:v>BLOCKED</x:v>
      </x:c>
      <x:c r="N102" s="23" t="str">
        <x:f>IF(AND(H102&lt;=G102,I102&lt;=H102,K102&lt;=J102),"PASS","FAIL")</x:f>
        <x:v>PASS</x:v>
      </x:c>
    </x:row>
    <x:row r="103">
      <x:c r="B103" s="21" t="str">
        <x:v>F09-I1-A</x:v>
      </x:c>
      <x:c r="C103" s="21" t="str">
        <x:v>F09-I1</x:v>
      </x:c>
      <x:c r="D103" s="21" t="str">
        <x:v>F09</x:v>
      </x:c>
      <x:c r="E103" s="21" t="str">
        <x:v>BUILD A</x:v>
      </x:c>
      <x:c r="F103" s="21" t="str">
        <x:v>Independent build ecosystem 01</x:v>
      </x:c>
      <x:c r="G103" s="21" t="n">
        <x:v>28</x:v>
      </x:c>
      <x:c r="H103" s="46" t="n">
        <x:v>0</x:v>
      </x:c>
      <x:c r="I103" s="46" t="n">
        <x:v>0</x:v>
      </x:c>
      <x:c r="J103" s="46" t="n">
        <x:v>8</x:v>
      </x:c>
      <x:c r="K103" s="46" t="n">
        <x:v>0</x:v>
      </x:c>
      <x:c r="L103" s="21" t="str">
        <x:v>OPEN</x:v>
      </x:c>
      <x:c r="M103" s="21" t="str">
        <x:v>BLOCKED</x:v>
      </x:c>
      <x:c r="N103" s="23" t="str">
        <x:f>IF(AND(H103&lt;=G103,I103&lt;=H103,K103&lt;=J103),"PASS","FAIL")</x:f>
        <x:v>PASS</x:v>
      </x:c>
    </x:row>
    <x:row r="104">
      <x:c r="B104" s="21" t="str">
        <x:v>F09-I1-B</x:v>
      </x:c>
      <x:c r="C104" s="21" t="str">
        <x:v>F09-I1</x:v>
      </x:c>
      <x:c r="D104" s="21" t="str">
        <x:v>F09</x:v>
      </x:c>
      <x:c r="E104" s="21" t="str">
        <x:v>BUILD B</x:v>
      </x:c>
      <x:c r="F104" s="21" t="str">
        <x:v>Independent build ecosystem 03</x:v>
      </x:c>
      <x:c r="G104" s="21" t="n">
        <x:v>28</x:v>
      </x:c>
      <x:c r="H104" s="46" t="n">
        <x:v>0</x:v>
      </x:c>
      <x:c r="I104" s="46" t="n">
        <x:v>0</x:v>
      </x:c>
      <x:c r="J104" s="46" t="n">
        <x:v>8</x:v>
      </x:c>
      <x:c r="K104" s="46" t="n">
        <x:v>0</x:v>
      </x:c>
      <x:c r="L104" s="21" t="str">
        <x:v>OPEN</x:v>
      </x:c>
      <x:c r="M104" s="21" t="str">
        <x:v>BLOCKED</x:v>
      </x:c>
      <x:c r="N104" s="23" t="str">
        <x:f>IF(AND(H104&lt;=G104,I104&lt;=H104,K104&lt;=J104),"PASS","FAIL")</x:f>
        <x:v>PASS</x:v>
      </x:c>
    </x:row>
    <x:row r="105">
      <x:c r="B105" s="21" t="str">
        <x:v>F09-I1-C</x:v>
      </x:c>
      <x:c r="C105" s="21" t="str">
        <x:v>F09-I1</x:v>
      </x:c>
      <x:c r="D105" s="21" t="str">
        <x:v>F09</x:v>
      </x:c>
      <x:c r="E105" s="21" t="str">
        <x:v>CHALLENGE</x:v>
      </x:c>
      <x:c r="F105" s="21" t="str">
        <x:v>Sovereign challenge cell TIO-01</x:v>
      </x:c>
      <x:c r="G105" s="21" t="n">
        <x:v>28</x:v>
      </x:c>
      <x:c r="H105" s="46" t="n">
        <x:v>0</x:v>
      </x:c>
      <x:c r="I105" s="46" t="n">
        <x:v>0</x:v>
      </x:c>
      <x:c r="J105" s="46" t="n">
        <x:v>8</x:v>
      </x:c>
      <x:c r="K105" s="46" t="n">
        <x:v>0</x:v>
      </x:c>
      <x:c r="L105" s="21" t="str">
        <x:v>OPEN</x:v>
      </x:c>
      <x:c r="M105" s="21" t="str">
        <x:v>BLOCKED</x:v>
      </x:c>
      <x:c r="N105" s="23" t="str">
        <x:f>IF(AND(H105&lt;=G105,I105&lt;=H105,K105&lt;=J105),"PASS","FAIL")</x:f>
        <x:v>PASS</x:v>
      </x:c>
    </x:row>
    <x:row r="106">
      <x:c r="B106" s="21" t="str">
        <x:v>F09-I2-A</x:v>
      </x:c>
      <x:c r="C106" s="21" t="str">
        <x:v>F09-I2</x:v>
      </x:c>
      <x:c r="D106" s="21" t="str">
        <x:v>F09</x:v>
      </x:c>
      <x:c r="E106" s="21" t="str">
        <x:v>BUILD A</x:v>
      </x:c>
      <x:c r="F106" s="21" t="str">
        <x:v>Independent build ecosystem 04</x:v>
      </x:c>
      <x:c r="G106" s="21" t="n">
        <x:v>28</x:v>
      </x:c>
      <x:c r="H106" s="46" t="n">
        <x:v>0</x:v>
      </x:c>
      <x:c r="I106" s="46" t="n">
        <x:v>0</x:v>
      </x:c>
      <x:c r="J106" s="46" t="n">
        <x:v>8</x:v>
      </x:c>
      <x:c r="K106" s="46" t="n">
        <x:v>0</x:v>
      </x:c>
      <x:c r="L106" s="21" t="str">
        <x:v>OPEN</x:v>
      </x:c>
      <x:c r="M106" s="21" t="str">
        <x:v>BLOCKED</x:v>
      </x:c>
      <x:c r="N106" s="23" t="str">
        <x:f>IF(AND(H106&lt;=G106,I106&lt;=H106,K106&lt;=J106),"PASS","FAIL")</x:f>
        <x:v>PASS</x:v>
      </x:c>
    </x:row>
    <x:row r="107">
      <x:c r="B107" s="21" t="str">
        <x:v>F09-I2-B</x:v>
      </x:c>
      <x:c r="C107" s="21" t="str">
        <x:v>F09-I2</x:v>
      </x:c>
      <x:c r="D107" s="21" t="str">
        <x:v>F09</x:v>
      </x:c>
      <x:c r="E107" s="21" t="str">
        <x:v>BUILD B</x:v>
      </x:c>
      <x:c r="F107" s="21" t="str">
        <x:v>Independent build ecosystem 06</x:v>
      </x:c>
      <x:c r="G107" s="21" t="n">
        <x:v>28</x:v>
      </x:c>
      <x:c r="H107" s="46" t="n">
        <x:v>0</x:v>
      </x:c>
      <x:c r="I107" s="46" t="n">
        <x:v>0</x:v>
      </x:c>
      <x:c r="J107" s="46" t="n">
        <x:v>8</x:v>
      </x:c>
      <x:c r="K107" s="46" t="n">
        <x:v>0</x:v>
      </x:c>
      <x:c r="L107" s="21" t="str">
        <x:v>OPEN</x:v>
      </x:c>
      <x:c r="M107" s="21" t="str">
        <x:v>BLOCKED</x:v>
      </x:c>
      <x:c r="N107" s="23" t="str">
        <x:f>IF(AND(H107&lt;=G107,I107&lt;=H107,K107&lt;=J107),"PASS","FAIL")</x:f>
        <x:v>PASS</x:v>
      </x:c>
    </x:row>
    <x:row r="108">
      <x:c r="B108" s="21" t="str">
        <x:v>F09-I2-C</x:v>
      </x:c>
      <x:c r="C108" s="21" t="str">
        <x:v>F09-I2</x:v>
      </x:c>
      <x:c r="D108" s="21" t="str">
        <x:v>F09</x:v>
      </x:c>
      <x:c r="E108" s="21" t="str">
        <x:v>CHALLENGE</x:v>
      </x:c>
      <x:c r="F108" s="21" t="str">
        <x:v>Sovereign challenge cell TIO-02</x:v>
      </x:c>
      <x:c r="G108" s="21" t="n">
        <x:v>28</x:v>
      </x:c>
      <x:c r="H108" s="46" t="n">
        <x:v>0</x:v>
      </x:c>
      <x:c r="I108" s="46" t="n">
        <x:v>0</x:v>
      </x:c>
      <x:c r="J108" s="46" t="n">
        <x:v>8</x:v>
      </x:c>
      <x:c r="K108" s="46" t="n">
        <x:v>0</x:v>
      </x:c>
      <x:c r="L108" s="21" t="str">
        <x:v>OPEN</x:v>
      </x:c>
      <x:c r="M108" s="21" t="str">
        <x:v>BLOCKED</x:v>
      </x:c>
      <x:c r="N108" s="23" t="str">
        <x:f>IF(AND(H108&lt;=G108,I108&lt;=H108,K108&lt;=J108),"PASS","FAIL")</x:f>
        <x:v>PASS</x:v>
      </x:c>
    </x:row>
    <x:row r="109">
      <x:c r="B109" s="21" t="str">
        <x:v>F09-I3-A</x:v>
      </x:c>
      <x:c r="C109" s="21" t="str">
        <x:v>F09-I3</x:v>
      </x:c>
      <x:c r="D109" s="21" t="str">
        <x:v>F09</x:v>
      </x:c>
      <x:c r="E109" s="21" t="str">
        <x:v>BUILD A</x:v>
      </x:c>
      <x:c r="F109" s="21" t="str">
        <x:v>Independent build ecosystem 07</x:v>
      </x:c>
      <x:c r="G109" s="21" t="n">
        <x:v>28</x:v>
      </x:c>
      <x:c r="H109" s="46" t="n">
        <x:v>0</x:v>
      </x:c>
      <x:c r="I109" s="46" t="n">
        <x:v>0</x:v>
      </x:c>
      <x:c r="J109" s="46" t="n">
        <x:v>8</x:v>
      </x:c>
      <x:c r="K109" s="46" t="n">
        <x:v>0</x:v>
      </x:c>
      <x:c r="L109" s="21" t="str">
        <x:v>OPEN</x:v>
      </x:c>
      <x:c r="M109" s="21" t="str">
        <x:v>BLOCKED</x:v>
      </x:c>
      <x:c r="N109" s="23" t="str">
        <x:f>IF(AND(H109&lt;=G109,I109&lt;=H109,K109&lt;=J109),"PASS","FAIL")</x:f>
        <x:v>PASS</x:v>
      </x:c>
    </x:row>
    <x:row r="110">
      <x:c r="B110" s="21" t="str">
        <x:v>F09-I3-B</x:v>
      </x:c>
      <x:c r="C110" s="21" t="str">
        <x:v>F09-I3</x:v>
      </x:c>
      <x:c r="D110" s="21" t="str">
        <x:v>F09</x:v>
      </x:c>
      <x:c r="E110" s="21" t="str">
        <x:v>BUILD B</x:v>
      </x:c>
      <x:c r="F110" s="21" t="str">
        <x:v>Independent build ecosystem 09</x:v>
      </x:c>
      <x:c r="G110" s="21" t="n">
        <x:v>28</x:v>
      </x:c>
      <x:c r="H110" s="46" t="n">
        <x:v>0</x:v>
      </x:c>
      <x:c r="I110" s="46" t="n">
        <x:v>0</x:v>
      </x:c>
      <x:c r="J110" s="46" t="n">
        <x:v>8</x:v>
      </x:c>
      <x:c r="K110" s="46" t="n">
        <x:v>0</x:v>
      </x:c>
      <x:c r="L110" s="21" t="str">
        <x:v>OPEN</x:v>
      </x:c>
      <x:c r="M110" s="21" t="str">
        <x:v>BLOCKED</x:v>
      </x:c>
      <x:c r="N110" s="23" t="str">
        <x:f>IF(AND(H110&lt;=G110,I110&lt;=H110,K110&lt;=J110),"PASS","FAIL")</x:f>
        <x:v>PASS</x:v>
      </x:c>
    </x:row>
    <x:row r="111">
      <x:c r="B111" s="21" t="str">
        <x:v>F09-I3-C</x:v>
      </x:c>
      <x:c r="C111" s="21" t="str">
        <x:v>F09-I3</x:v>
      </x:c>
      <x:c r="D111" s="21" t="str">
        <x:v>F09</x:v>
      </x:c>
      <x:c r="E111" s="21" t="str">
        <x:v>CHALLENGE</x:v>
      </x:c>
      <x:c r="F111" s="21" t="str">
        <x:v>Sovereign challenge cell TIO-03</x:v>
      </x:c>
      <x:c r="G111" s="21" t="n">
        <x:v>28</x:v>
      </x:c>
      <x:c r="H111" s="46" t="n">
        <x:v>0</x:v>
      </x:c>
      <x:c r="I111" s="46" t="n">
        <x:v>0</x:v>
      </x:c>
      <x:c r="J111" s="46" t="n">
        <x:v>8</x:v>
      </x:c>
      <x:c r="K111" s="46" t="n">
        <x:v>0</x:v>
      </x:c>
      <x:c r="L111" s="21" t="str">
        <x:v>OPEN</x:v>
      </x:c>
      <x:c r="M111" s="21" t="str">
        <x:v>BLOCKED</x:v>
      </x:c>
      <x:c r="N111" s="23" t="str">
        <x:f>IF(AND(H111&lt;=G111,I111&lt;=H111,K111&lt;=J111),"PASS","FAIL")</x:f>
        <x:v>PASS</x:v>
      </x:c>
    </x:row>
    <x:row r="112">
      <x:c r="B112" s="21" t="str">
        <x:v>F09-I4-A</x:v>
      </x:c>
      <x:c r="C112" s="21" t="str">
        <x:v>F09-I4</x:v>
      </x:c>
      <x:c r="D112" s="21" t="str">
        <x:v>F09</x:v>
      </x:c>
      <x:c r="E112" s="21" t="str">
        <x:v>BUILD A</x:v>
      </x:c>
      <x:c r="F112" s="21" t="str">
        <x:v>Independent build ecosystem 10</x:v>
      </x:c>
      <x:c r="G112" s="21" t="n">
        <x:v>28</x:v>
      </x:c>
      <x:c r="H112" s="46" t="n">
        <x:v>0</x:v>
      </x:c>
      <x:c r="I112" s="46" t="n">
        <x:v>0</x:v>
      </x:c>
      <x:c r="J112" s="46" t="n">
        <x:v>8</x:v>
      </x:c>
      <x:c r="K112" s="46" t="n">
        <x:v>0</x:v>
      </x:c>
      <x:c r="L112" s="21" t="str">
        <x:v>OPEN</x:v>
      </x:c>
      <x:c r="M112" s="21" t="str">
        <x:v>BLOCKED</x:v>
      </x:c>
      <x:c r="N112" s="23" t="str">
        <x:f>IF(AND(H112&lt;=G112,I112&lt;=H112,K112&lt;=J112),"PASS","FAIL")</x:f>
        <x:v>PASS</x:v>
      </x:c>
    </x:row>
    <x:row r="113">
      <x:c r="B113" s="21" t="str">
        <x:v>F09-I4-B</x:v>
      </x:c>
      <x:c r="C113" s="21" t="str">
        <x:v>F09-I4</x:v>
      </x:c>
      <x:c r="D113" s="21" t="str">
        <x:v>F09</x:v>
      </x:c>
      <x:c r="E113" s="21" t="str">
        <x:v>BUILD B</x:v>
      </x:c>
      <x:c r="F113" s="21" t="str">
        <x:v>Independent build ecosystem 12</x:v>
      </x:c>
      <x:c r="G113" s="21" t="n">
        <x:v>28</x:v>
      </x:c>
      <x:c r="H113" s="46" t="n">
        <x:v>0</x:v>
      </x:c>
      <x:c r="I113" s="46" t="n">
        <x:v>0</x:v>
      </x:c>
      <x:c r="J113" s="46" t="n">
        <x:v>8</x:v>
      </x:c>
      <x:c r="K113" s="46" t="n">
        <x:v>0</x:v>
      </x:c>
      <x:c r="L113" s="21" t="str">
        <x:v>OPEN</x:v>
      </x:c>
      <x:c r="M113" s="21" t="str">
        <x:v>BLOCKED</x:v>
      </x:c>
      <x:c r="N113" s="23" t="str">
        <x:f>IF(AND(H113&lt;=G113,I113&lt;=H113,K113&lt;=J113),"PASS","FAIL")</x:f>
        <x:v>PASS</x:v>
      </x:c>
    </x:row>
    <x:row r="114">
      <x:c r="B114" s="21" t="str">
        <x:v>F09-I4-C</x:v>
      </x:c>
      <x:c r="C114" s="21" t="str">
        <x:v>F09-I4</x:v>
      </x:c>
      <x:c r="D114" s="21" t="str">
        <x:v>F09</x:v>
      </x:c>
      <x:c r="E114" s="21" t="str">
        <x:v>CHALLENGE</x:v>
      </x:c>
      <x:c r="F114" s="21" t="str">
        <x:v>Sovereign challenge cell TIO-04</x:v>
      </x:c>
      <x:c r="G114" s="21" t="n">
        <x:v>28</x:v>
      </x:c>
      <x:c r="H114" s="46" t="n">
        <x:v>0</x:v>
      </x:c>
      <x:c r="I114" s="46" t="n">
        <x:v>0</x:v>
      </x:c>
      <x:c r="J114" s="46" t="n">
        <x:v>8</x:v>
      </x:c>
      <x:c r="K114" s="46" t="n">
        <x:v>0</x:v>
      </x:c>
      <x:c r="L114" s="21" t="str">
        <x:v>OPEN</x:v>
      </x:c>
      <x:c r="M114" s="21" t="str">
        <x:v>BLOCKED</x:v>
      </x:c>
      <x:c r="N114" s="23" t="str">
        <x:f>IF(AND(H114&lt;=G114,I114&lt;=H114,K114&lt;=J114),"PASS","FAIL")</x:f>
        <x:v>PASS</x:v>
      </x:c>
    </x:row>
    <x:row r="115">
      <x:c r="B115" s="21" t="str">
        <x:v>F10-I1-A</x:v>
      </x:c>
      <x:c r="C115" s="21" t="str">
        <x:v>F10-I1</x:v>
      </x:c>
      <x:c r="D115" s="21" t="str">
        <x:v>F10</x:v>
      </x:c>
      <x:c r="E115" s="21" t="str">
        <x:v>BUILD A</x:v>
      </x:c>
      <x:c r="F115" s="21" t="str">
        <x:v>Independent build ecosystem 13</x:v>
      </x:c>
      <x:c r="G115" s="21" t="n">
        <x:v>28</x:v>
      </x:c>
      <x:c r="H115" s="46" t="n">
        <x:v>0</x:v>
      </x:c>
      <x:c r="I115" s="46" t="n">
        <x:v>0</x:v>
      </x:c>
      <x:c r="J115" s="46" t="n">
        <x:v>8</x:v>
      </x:c>
      <x:c r="K115" s="46" t="n">
        <x:v>0</x:v>
      </x:c>
      <x:c r="L115" s="21" t="str">
        <x:v>OPEN</x:v>
      </x:c>
      <x:c r="M115" s="21" t="str">
        <x:v>BLOCKED</x:v>
      </x:c>
      <x:c r="N115" s="23" t="str">
        <x:f>IF(AND(H115&lt;=G115,I115&lt;=H115,K115&lt;=J115),"PASS","FAIL")</x:f>
        <x:v>PASS</x:v>
      </x:c>
    </x:row>
    <x:row r="116">
      <x:c r="B116" s="21" t="str">
        <x:v>F10-I1-B</x:v>
      </x:c>
      <x:c r="C116" s="21" t="str">
        <x:v>F10-I1</x:v>
      </x:c>
      <x:c r="D116" s="21" t="str">
        <x:v>F10</x:v>
      </x:c>
      <x:c r="E116" s="21" t="str">
        <x:v>BUILD B</x:v>
      </x:c>
      <x:c r="F116" s="21" t="str">
        <x:v>Independent build ecosystem 15</x:v>
      </x:c>
      <x:c r="G116" s="21" t="n">
        <x:v>28</x:v>
      </x:c>
      <x:c r="H116" s="46" t="n">
        <x:v>0</x:v>
      </x:c>
      <x:c r="I116" s="46" t="n">
        <x:v>0</x:v>
      </x:c>
      <x:c r="J116" s="46" t="n">
        <x:v>8</x:v>
      </x:c>
      <x:c r="K116" s="46" t="n">
        <x:v>0</x:v>
      </x:c>
      <x:c r="L116" s="21" t="str">
        <x:v>OPEN</x:v>
      </x:c>
      <x:c r="M116" s="21" t="str">
        <x:v>BLOCKED</x:v>
      </x:c>
      <x:c r="N116" s="23" t="str">
        <x:f>IF(AND(H116&lt;=G116,I116&lt;=H116,K116&lt;=J116),"PASS","FAIL")</x:f>
        <x:v>PASS</x:v>
      </x:c>
    </x:row>
    <x:row r="117">
      <x:c r="B117" s="21" t="str">
        <x:v>F10-I1-C</x:v>
      </x:c>
      <x:c r="C117" s="21" t="str">
        <x:v>F10-I1</x:v>
      </x:c>
      <x:c r="D117" s="21" t="str">
        <x:v>F10</x:v>
      </x:c>
      <x:c r="E117" s="21" t="str">
        <x:v>CHALLENGE</x:v>
      </x:c>
      <x:c r="F117" s="21" t="str">
        <x:v>Sovereign challenge cell TIO-05</x:v>
      </x:c>
      <x:c r="G117" s="21" t="n">
        <x:v>28</x:v>
      </x:c>
      <x:c r="H117" s="46" t="n">
        <x:v>0</x:v>
      </x:c>
      <x:c r="I117" s="46" t="n">
        <x:v>0</x:v>
      </x:c>
      <x:c r="J117" s="46" t="n">
        <x:v>8</x:v>
      </x:c>
      <x:c r="K117" s="46" t="n">
        <x:v>0</x:v>
      </x:c>
      <x:c r="L117" s="21" t="str">
        <x:v>OPEN</x:v>
      </x:c>
      <x:c r="M117" s="21" t="str">
        <x:v>BLOCKED</x:v>
      </x:c>
      <x:c r="N117" s="23" t="str">
        <x:f>IF(AND(H117&lt;=G117,I117&lt;=H117,K117&lt;=J117),"PASS","FAIL")</x:f>
        <x:v>PASS</x:v>
      </x:c>
    </x:row>
    <x:row r="118">
      <x:c r="B118" s="21" t="str">
        <x:v>F10-I2-A</x:v>
      </x:c>
      <x:c r="C118" s="21" t="str">
        <x:v>F10-I2</x:v>
      </x:c>
      <x:c r="D118" s="21" t="str">
        <x:v>F10</x:v>
      </x:c>
      <x:c r="E118" s="21" t="str">
        <x:v>BUILD A</x:v>
      </x:c>
      <x:c r="F118" s="21" t="str">
        <x:v>Independent build ecosystem 16</x:v>
      </x:c>
      <x:c r="G118" s="21" t="n">
        <x:v>28</x:v>
      </x:c>
      <x:c r="H118" s="46" t="n">
        <x:v>0</x:v>
      </x:c>
      <x:c r="I118" s="46" t="n">
        <x:v>0</x:v>
      </x:c>
      <x:c r="J118" s="46" t="n">
        <x:v>8</x:v>
      </x:c>
      <x:c r="K118" s="46" t="n">
        <x:v>0</x:v>
      </x:c>
      <x:c r="L118" s="21" t="str">
        <x:v>OPEN</x:v>
      </x:c>
      <x:c r="M118" s="21" t="str">
        <x:v>BLOCKED</x:v>
      </x:c>
      <x:c r="N118" s="23" t="str">
        <x:f>IF(AND(H118&lt;=G118,I118&lt;=H118,K118&lt;=J118),"PASS","FAIL")</x:f>
        <x:v>PASS</x:v>
      </x:c>
    </x:row>
    <x:row r="119">
      <x:c r="B119" s="21" t="str">
        <x:v>F10-I2-B</x:v>
      </x:c>
      <x:c r="C119" s="21" t="str">
        <x:v>F10-I2</x:v>
      </x:c>
      <x:c r="D119" s="21" t="str">
        <x:v>F10</x:v>
      </x:c>
      <x:c r="E119" s="21" t="str">
        <x:v>BUILD B</x:v>
      </x:c>
      <x:c r="F119" s="21" t="str">
        <x:v>Independent build ecosystem 02</x:v>
      </x:c>
      <x:c r="G119" s="21" t="n">
        <x:v>28</x:v>
      </x:c>
      <x:c r="H119" s="46" t="n">
        <x:v>0</x:v>
      </x:c>
      <x:c r="I119" s="46" t="n">
        <x:v>0</x:v>
      </x:c>
      <x:c r="J119" s="46" t="n">
        <x:v>8</x:v>
      </x:c>
      <x:c r="K119" s="46" t="n">
        <x:v>0</x:v>
      </x:c>
      <x:c r="L119" s="21" t="str">
        <x:v>OPEN</x:v>
      </x:c>
      <x:c r="M119" s="21" t="str">
        <x:v>BLOCKED</x:v>
      </x:c>
      <x:c r="N119" s="23" t="str">
        <x:f>IF(AND(H119&lt;=G119,I119&lt;=H119,K119&lt;=J119),"PASS","FAIL")</x:f>
        <x:v>PASS</x:v>
      </x:c>
    </x:row>
    <x:row r="120">
      <x:c r="B120" s="21" t="str">
        <x:v>F10-I2-C</x:v>
      </x:c>
      <x:c r="C120" s="21" t="str">
        <x:v>F10-I2</x:v>
      </x:c>
      <x:c r="D120" s="21" t="str">
        <x:v>F10</x:v>
      </x:c>
      <x:c r="E120" s="21" t="str">
        <x:v>CHALLENGE</x:v>
      </x:c>
      <x:c r="F120" s="21" t="str">
        <x:v>Sovereign challenge cell TIO-06</x:v>
      </x:c>
      <x:c r="G120" s="21" t="n">
        <x:v>28</x:v>
      </x:c>
      <x:c r="H120" s="46" t="n">
        <x:v>0</x:v>
      </x:c>
      <x:c r="I120" s="46" t="n">
        <x:v>0</x:v>
      </x:c>
      <x:c r="J120" s="46" t="n">
        <x:v>8</x:v>
      </x:c>
      <x:c r="K120" s="46" t="n">
        <x:v>0</x:v>
      </x:c>
      <x:c r="L120" s="21" t="str">
        <x:v>OPEN</x:v>
      </x:c>
      <x:c r="M120" s="21" t="str">
        <x:v>BLOCKED</x:v>
      </x:c>
      <x:c r="N120" s="23" t="str">
        <x:f>IF(AND(H120&lt;=G120,I120&lt;=H120,K120&lt;=J120),"PASS","FAIL")</x:f>
        <x:v>PASS</x:v>
      </x:c>
    </x:row>
    <x:row r="121">
      <x:c r="B121" s="21" t="str">
        <x:v>F10-I3-A</x:v>
      </x:c>
      <x:c r="C121" s="21" t="str">
        <x:v>F10-I3</x:v>
      </x:c>
      <x:c r="D121" s="21" t="str">
        <x:v>F10</x:v>
      </x:c>
      <x:c r="E121" s="21" t="str">
        <x:v>BUILD A</x:v>
      </x:c>
      <x:c r="F121" s="21" t="str">
        <x:v>Independent build ecosystem 03</x:v>
      </x:c>
      <x:c r="G121" s="21" t="n">
        <x:v>28</x:v>
      </x:c>
      <x:c r="H121" s="46" t="n">
        <x:v>0</x:v>
      </x:c>
      <x:c r="I121" s="46" t="n">
        <x:v>0</x:v>
      </x:c>
      <x:c r="J121" s="46" t="n">
        <x:v>8</x:v>
      </x:c>
      <x:c r="K121" s="46" t="n">
        <x:v>0</x:v>
      </x:c>
      <x:c r="L121" s="21" t="str">
        <x:v>OPEN</x:v>
      </x:c>
      <x:c r="M121" s="21" t="str">
        <x:v>BLOCKED</x:v>
      </x:c>
      <x:c r="N121" s="23" t="str">
        <x:f>IF(AND(H121&lt;=G121,I121&lt;=H121,K121&lt;=J121),"PASS","FAIL")</x:f>
        <x:v>PASS</x:v>
      </x:c>
    </x:row>
    <x:row r="122">
      <x:c r="B122" s="21" t="str">
        <x:v>F10-I3-B</x:v>
      </x:c>
      <x:c r="C122" s="21" t="str">
        <x:v>F10-I3</x:v>
      </x:c>
      <x:c r="D122" s="21" t="str">
        <x:v>F10</x:v>
      </x:c>
      <x:c r="E122" s="21" t="str">
        <x:v>BUILD B</x:v>
      </x:c>
      <x:c r="F122" s="21" t="str">
        <x:v>Independent build ecosystem 05</x:v>
      </x:c>
      <x:c r="G122" s="21" t="n">
        <x:v>28</x:v>
      </x:c>
      <x:c r="H122" s="46" t="n">
        <x:v>0</x:v>
      </x:c>
      <x:c r="I122" s="46" t="n">
        <x:v>0</x:v>
      </x:c>
      <x:c r="J122" s="46" t="n">
        <x:v>8</x:v>
      </x:c>
      <x:c r="K122" s="46" t="n">
        <x:v>0</x:v>
      </x:c>
      <x:c r="L122" s="21" t="str">
        <x:v>OPEN</x:v>
      </x:c>
      <x:c r="M122" s="21" t="str">
        <x:v>BLOCKED</x:v>
      </x:c>
      <x:c r="N122" s="23" t="str">
        <x:f>IF(AND(H122&lt;=G122,I122&lt;=H122,K122&lt;=J122),"PASS","FAIL")</x:f>
        <x:v>PASS</x:v>
      </x:c>
    </x:row>
    <x:row r="123">
      <x:c r="B123" s="21" t="str">
        <x:v>F10-I3-C</x:v>
      </x:c>
      <x:c r="C123" s="21" t="str">
        <x:v>F10-I3</x:v>
      </x:c>
      <x:c r="D123" s="21" t="str">
        <x:v>F10</x:v>
      </x:c>
      <x:c r="E123" s="21" t="str">
        <x:v>CHALLENGE</x:v>
      </x:c>
      <x:c r="F123" s="21" t="str">
        <x:v>Sovereign challenge cell TIO-07</x:v>
      </x:c>
      <x:c r="G123" s="21" t="n">
        <x:v>28</x:v>
      </x:c>
      <x:c r="H123" s="46" t="n">
        <x:v>0</x:v>
      </x:c>
      <x:c r="I123" s="46" t="n">
        <x:v>0</x:v>
      </x:c>
      <x:c r="J123" s="46" t="n">
        <x:v>8</x:v>
      </x:c>
      <x:c r="K123" s="46" t="n">
        <x:v>0</x:v>
      </x:c>
      <x:c r="L123" s="21" t="str">
        <x:v>OPEN</x:v>
      </x:c>
      <x:c r="M123" s="21" t="str">
        <x:v>BLOCKED</x:v>
      </x:c>
      <x:c r="N123" s="23" t="str">
        <x:f>IF(AND(H123&lt;=G123,I123&lt;=H123,K123&lt;=J123),"PASS","FAIL")</x:f>
        <x:v>PASS</x:v>
      </x:c>
    </x:row>
    <x:row r="124">
      <x:c r="B124" s="21" t="str">
        <x:v>F10-I4-A</x:v>
      </x:c>
      <x:c r="C124" s="21" t="str">
        <x:v>F10-I4</x:v>
      </x:c>
      <x:c r="D124" s="21" t="str">
        <x:v>F10</x:v>
      </x:c>
      <x:c r="E124" s="21" t="str">
        <x:v>BUILD A</x:v>
      </x:c>
      <x:c r="F124" s="21" t="str">
        <x:v>Independent build ecosystem 06</x:v>
      </x:c>
      <x:c r="G124" s="21" t="n">
        <x:v>28</x:v>
      </x:c>
      <x:c r="H124" s="46" t="n">
        <x:v>0</x:v>
      </x:c>
      <x:c r="I124" s="46" t="n">
        <x:v>0</x:v>
      </x:c>
      <x:c r="J124" s="46" t="n">
        <x:v>8</x:v>
      </x:c>
      <x:c r="K124" s="46" t="n">
        <x:v>0</x:v>
      </x:c>
      <x:c r="L124" s="21" t="str">
        <x:v>OPEN</x:v>
      </x:c>
      <x:c r="M124" s="21" t="str">
        <x:v>BLOCKED</x:v>
      </x:c>
      <x:c r="N124" s="23" t="str">
        <x:f>IF(AND(H124&lt;=G124,I124&lt;=H124,K124&lt;=J124),"PASS","FAIL")</x:f>
        <x:v>PASS</x:v>
      </x:c>
    </x:row>
    <x:row r="125">
      <x:c r="B125" s="21" t="str">
        <x:v>F10-I4-B</x:v>
      </x:c>
      <x:c r="C125" s="21" t="str">
        <x:v>F10-I4</x:v>
      </x:c>
      <x:c r="D125" s="21" t="str">
        <x:v>F10</x:v>
      </x:c>
      <x:c r="E125" s="21" t="str">
        <x:v>BUILD B</x:v>
      </x:c>
      <x:c r="F125" s="21" t="str">
        <x:v>Independent build ecosystem 08</x:v>
      </x:c>
      <x:c r="G125" s="21" t="n">
        <x:v>28</x:v>
      </x:c>
      <x:c r="H125" s="46" t="n">
        <x:v>0</x:v>
      </x:c>
      <x:c r="I125" s="46" t="n">
        <x:v>0</x:v>
      </x:c>
      <x:c r="J125" s="46" t="n">
        <x:v>8</x:v>
      </x:c>
      <x:c r="K125" s="46" t="n">
        <x:v>0</x:v>
      </x:c>
      <x:c r="L125" s="21" t="str">
        <x:v>OPEN</x:v>
      </x:c>
      <x:c r="M125" s="21" t="str">
        <x:v>BLOCKED</x:v>
      </x:c>
      <x:c r="N125" s="23" t="str">
        <x:f>IF(AND(H125&lt;=G125,I125&lt;=H125,K125&lt;=J125),"PASS","FAIL")</x:f>
        <x:v>PASS</x:v>
      </x:c>
    </x:row>
    <x:row r="126">
      <x:c r="B126" s="21" t="str">
        <x:v>F10-I4-C</x:v>
      </x:c>
      <x:c r="C126" s="21" t="str">
        <x:v>F10-I4</x:v>
      </x:c>
      <x:c r="D126" s="21" t="str">
        <x:v>F10</x:v>
      </x:c>
      <x:c r="E126" s="21" t="str">
        <x:v>CHALLENGE</x:v>
      </x:c>
      <x:c r="F126" s="21" t="str">
        <x:v>Sovereign challenge cell TIO-08</x:v>
      </x:c>
      <x:c r="G126" s="21" t="n">
        <x:v>28</x:v>
      </x:c>
      <x:c r="H126" s="46" t="n">
        <x:v>0</x:v>
      </x:c>
      <x:c r="I126" s="46" t="n">
        <x:v>0</x:v>
      </x:c>
      <x:c r="J126" s="46" t="n">
        <x:v>8</x:v>
      </x:c>
      <x:c r="K126" s="46" t="n">
        <x:v>0</x:v>
      </x:c>
      <x:c r="L126" s="21" t="str">
        <x:v>OPEN</x:v>
      </x:c>
      <x:c r="M126" s="21" t="str">
        <x:v>BLOCKED</x:v>
      </x:c>
      <x:c r="N126" s="23" t="str">
        <x:f>IF(AND(H126&lt;=G126,I126&lt;=H126,K126&lt;=J126),"PASS","FAIL")</x:f>
        <x:v>PASS</x:v>
      </x:c>
    </x:row>
    <x:row r="127">
      <x:c r="B127" s="21" t="str">
        <x:v>F11-I1-A</x:v>
      </x:c>
      <x:c r="C127" s="21" t="str">
        <x:v>F11-I1</x:v>
      </x:c>
      <x:c r="D127" s="21" t="str">
        <x:v>F11</x:v>
      </x:c>
      <x:c r="E127" s="21" t="str">
        <x:v>BUILD A</x:v>
      </x:c>
      <x:c r="F127" s="21" t="str">
        <x:v>Independent build ecosystem 09</x:v>
      </x:c>
      <x:c r="G127" s="21" t="n">
        <x:v>28</x:v>
      </x:c>
      <x:c r="H127" s="46" t="n">
        <x:v>0</x:v>
      </x:c>
      <x:c r="I127" s="46" t="n">
        <x:v>0</x:v>
      </x:c>
      <x:c r="J127" s="46" t="n">
        <x:v>8</x:v>
      </x:c>
      <x:c r="K127" s="46" t="n">
        <x:v>0</x:v>
      </x:c>
      <x:c r="L127" s="21" t="str">
        <x:v>OPEN</x:v>
      </x:c>
      <x:c r="M127" s="21" t="str">
        <x:v>BLOCKED</x:v>
      </x:c>
      <x:c r="N127" s="23" t="str">
        <x:f>IF(AND(H127&lt;=G127,I127&lt;=H127,K127&lt;=J127),"PASS","FAIL")</x:f>
        <x:v>PASS</x:v>
      </x:c>
    </x:row>
    <x:row r="128">
      <x:c r="B128" s="21" t="str">
        <x:v>F11-I1-B</x:v>
      </x:c>
      <x:c r="C128" s="21" t="str">
        <x:v>F11-I1</x:v>
      </x:c>
      <x:c r="D128" s="21" t="str">
        <x:v>F11</x:v>
      </x:c>
      <x:c r="E128" s="21" t="str">
        <x:v>BUILD B</x:v>
      </x:c>
      <x:c r="F128" s="21" t="str">
        <x:v>Independent build ecosystem 11</x:v>
      </x:c>
      <x:c r="G128" s="21" t="n">
        <x:v>28</x:v>
      </x:c>
      <x:c r="H128" s="46" t="n">
        <x:v>0</x:v>
      </x:c>
      <x:c r="I128" s="46" t="n">
        <x:v>0</x:v>
      </x:c>
      <x:c r="J128" s="46" t="n">
        <x:v>8</x:v>
      </x:c>
      <x:c r="K128" s="46" t="n">
        <x:v>0</x:v>
      </x:c>
      <x:c r="L128" s="21" t="str">
        <x:v>OPEN</x:v>
      </x:c>
      <x:c r="M128" s="21" t="str">
        <x:v>BLOCKED</x:v>
      </x:c>
      <x:c r="N128" s="23" t="str">
        <x:f>IF(AND(H128&lt;=G128,I128&lt;=H128,K128&lt;=J128),"PASS","FAIL")</x:f>
        <x:v>PASS</x:v>
      </x:c>
    </x:row>
    <x:row r="129">
      <x:c r="B129" s="21" t="str">
        <x:v>F11-I1-C</x:v>
      </x:c>
      <x:c r="C129" s="21" t="str">
        <x:v>F11-I1</x:v>
      </x:c>
      <x:c r="D129" s="21" t="str">
        <x:v>F11</x:v>
      </x:c>
      <x:c r="E129" s="21" t="str">
        <x:v>CHALLENGE</x:v>
      </x:c>
      <x:c r="F129" s="21" t="str">
        <x:v>Sovereign challenge cell TIO-09</x:v>
      </x:c>
      <x:c r="G129" s="21" t="n">
        <x:v>28</x:v>
      </x:c>
      <x:c r="H129" s="46" t="n">
        <x:v>0</x:v>
      </x:c>
      <x:c r="I129" s="46" t="n">
        <x:v>0</x:v>
      </x:c>
      <x:c r="J129" s="46" t="n">
        <x:v>8</x:v>
      </x:c>
      <x:c r="K129" s="46" t="n">
        <x:v>0</x:v>
      </x:c>
      <x:c r="L129" s="21" t="str">
        <x:v>OPEN</x:v>
      </x:c>
      <x:c r="M129" s="21" t="str">
        <x:v>BLOCKED</x:v>
      </x:c>
      <x:c r="N129" s="23" t="str">
        <x:f>IF(AND(H129&lt;=G129,I129&lt;=H129,K129&lt;=J129),"PASS","FAIL")</x:f>
        <x:v>PASS</x:v>
      </x:c>
    </x:row>
    <x:row r="130">
      <x:c r="B130" s="21" t="str">
        <x:v>F11-I2-A</x:v>
      </x:c>
      <x:c r="C130" s="21" t="str">
        <x:v>F11-I2</x:v>
      </x:c>
      <x:c r="D130" s="21" t="str">
        <x:v>F11</x:v>
      </x:c>
      <x:c r="E130" s="21" t="str">
        <x:v>BUILD A</x:v>
      </x:c>
      <x:c r="F130" s="21" t="str">
        <x:v>Independent build ecosystem 12</x:v>
      </x:c>
      <x:c r="G130" s="21" t="n">
        <x:v>28</x:v>
      </x:c>
      <x:c r="H130" s="46" t="n">
        <x:v>0</x:v>
      </x:c>
      <x:c r="I130" s="46" t="n">
        <x:v>0</x:v>
      </x:c>
      <x:c r="J130" s="46" t="n">
        <x:v>8</x:v>
      </x:c>
      <x:c r="K130" s="46" t="n">
        <x:v>0</x:v>
      </x:c>
      <x:c r="L130" s="21" t="str">
        <x:v>OPEN</x:v>
      </x:c>
      <x:c r="M130" s="21" t="str">
        <x:v>BLOCKED</x:v>
      </x:c>
      <x:c r="N130" s="23" t="str">
        <x:f>IF(AND(H130&lt;=G130,I130&lt;=H130,K130&lt;=J130),"PASS","FAIL")</x:f>
        <x:v>PASS</x:v>
      </x:c>
    </x:row>
    <x:row r="131">
      <x:c r="B131" s="21" t="str">
        <x:v>F11-I2-B</x:v>
      </x:c>
      <x:c r="C131" s="21" t="str">
        <x:v>F11-I2</x:v>
      </x:c>
      <x:c r="D131" s="21" t="str">
        <x:v>F11</x:v>
      </x:c>
      <x:c r="E131" s="21" t="str">
        <x:v>BUILD B</x:v>
      </x:c>
      <x:c r="F131" s="21" t="str">
        <x:v>Independent build ecosystem 14</x:v>
      </x:c>
      <x:c r="G131" s="21" t="n">
        <x:v>28</x:v>
      </x:c>
      <x:c r="H131" s="46" t="n">
        <x:v>0</x:v>
      </x:c>
      <x:c r="I131" s="46" t="n">
        <x:v>0</x:v>
      </x:c>
      <x:c r="J131" s="46" t="n">
        <x:v>8</x:v>
      </x:c>
      <x:c r="K131" s="46" t="n">
        <x:v>0</x:v>
      </x:c>
      <x:c r="L131" s="21" t="str">
        <x:v>OPEN</x:v>
      </x:c>
      <x:c r="M131" s="21" t="str">
        <x:v>BLOCKED</x:v>
      </x:c>
      <x:c r="N131" s="23" t="str">
        <x:f>IF(AND(H131&lt;=G131,I131&lt;=H131,K131&lt;=J131),"PASS","FAIL")</x:f>
        <x:v>PASS</x:v>
      </x:c>
    </x:row>
    <x:row r="132">
      <x:c r="B132" s="21" t="str">
        <x:v>F11-I2-C</x:v>
      </x:c>
      <x:c r="C132" s="21" t="str">
        <x:v>F11-I2</x:v>
      </x:c>
      <x:c r="D132" s="21" t="str">
        <x:v>F11</x:v>
      </x:c>
      <x:c r="E132" s="21" t="str">
        <x:v>CHALLENGE</x:v>
      </x:c>
      <x:c r="F132" s="21" t="str">
        <x:v>Sovereign challenge cell TIO-10</x:v>
      </x:c>
      <x:c r="G132" s="21" t="n">
        <x:v>28</x:v>
      </x:c>
      <x:c r="H132" s="46" t="n">
        <x:v>0</x:v>
      </x:c>
      <x:c r="I132" s="46" t="n">
        <x:v>0</x:v>
      </x:c>
      <x:c r="J132" s="46" t="n">
        <x:v>8</x:v>
      </x:c>
      <x:c r="K132" s="46" t="n">
        <x:v>0</x:v>
      </x:c>
      <x:c r="L132" s="21" t="str">
        <x:v>OPEN</x:v>
      </x:c>
      <x:c r="M132" s="21" t="str">
        <x:v>BLOCKED</x:v>
      </x:c>
      <x:c r="N132" s="23" t="str">
        <x:f>IF(AND(H132&lt;=G132,I132&lt;=H132,K132&lt;=J132),"PASS","FAIL")</x:f>
        <x:v>PASS</x:v>
      </x:c>
    </x:row>
    <x:row r="133">
      <x:c r="B133" s="21" t="str">
        <x:v>F11-I3-A</x:v>
      </x:c>
      <x:c r="C133" s="21" t="str">
        <x:v>F11-I3</x:v>
      </x:c>
      <x:c r="D133" s="21" t="str">
        <x:v>F11</x:v>
      </x:c>
      <x:c r="E133" s="21" t="str">
        <x:v>BUILD A</x:v>
      </x:c>
      <x:c r="F133" s="21" t="str">
        <x:v>Independent build ecosystem 15</x:v>
      </x:c>
      <x:c r="G133" s="21" t="n">
        <x:v>28</x:v>
      </x:c>
      <x:c r="H133" s="46" t="n">
        <x:v>0</x:v>
      </x:c>
      <x:c r="I133" s="46" t="n">
        <x:v>0</x:v>
      </x:c>
      <x:c r="J133" s="46" t="n">
        <x:v>8</x:v>
      </x:c>
      <x:c r="K133" s="46" t="n">
        <x:v>0</x:v>
      </x:c>
      <x:c r="L133" s="21" t="str">
        <x:v>OPEN</x:v>
      </x:c>
      <x:c r="M133" s="21" t="str">
        <x:v>BLOCKED</x:v>
      </x:c>
      <x:c r="N133" s="23" t="str">
        <x:f>IF(AND(H133&lt;=G133,I133&lt;=H133,K133&lt;=J133),"PASS","FAIL")</x:f>
        <x:v>PASS</x:v>
      </x:c>
    </x:row>
    <x:row r="134">
      <x:c r="B134" s="21" t="str">
        <x:v>F11-I3-B</x:v>
      </x:c>
      <x:c r="C134" s="21" t="str">
        <x:v>F11-I3</x:v>
      </x:c>
      <x:c r="D134" s="21" t="str">
        <x:v>F11</x:v>
      </x:c>
      <x:c r="E134" s="21" t="str">
        <x:v>BUILD B</x:v>
      </x:c>
      <x:c r="F134" s="21" t="str">
        <x:v>Independent build ecosystem 01</x:v>
      </x:c>
      <x:c r="G134" s="21" t="n">
        <x:v>28</x:v>
      </x:c>
      <x:c r="H134" s="46" t="n">
        <x:v>0</x:v>
      </x:c>
      <x:c r="I134" s="46" t="n">
        <x:v>0</x:v>
      </x:c>
      <x:c r="J134" s="46" t="n">
        <x:v>8</x:v>
      </x:c>
      <x:c r="K134" s="46" t="n">
        <x:v>0</x:v>
      </x:c>
      <x:c r="L134" s="21" t="str">
        <x:v>OPEN</x:v>
      </x:c>
      <x:c r="M134" s="21" t="str">
        <x:v>BLOCKED</x:v>
      </x:c>
      <x:c r="N134" s="23" t="str">
        <x:f>IF(AND(H134&lt;=G134,I134&lt;=H134,K134&lt;=J134),"PASS","FAIL")</x:f>
        <x:v>PASS</x:v>
      </x:c>
    </x:row>
    <x:row r="135">
      <x:c r="B135" s="21" t="str">
        <x:v>F11-I3-C</x:v>
      </x:c>
      <x:c r="C135" s="21" t="str">
        <x:v>F11-I3</x:v>
      </x:c>
      <x:c r="D135" s="21" t="str">
        <x:v>F11</x:v>
      </x:c>
      <x:c r="E135" s="21" t="str">
        <x:v>CHALLENGE</x:v>
      </x:c>
      <x:c r="F135" s="21" t="str">
        <x:v>Sovereign challenge cell TIO-11</x:v>
      </x:c>
      <x:c r="G135" s="21" t="n">
        <x:v>28</x:v>
      </x:c>
      <x:c r="H135" s="46" t="n">
        <x:v>0</x:v>
      </x:c>
      <x:c r="I135" s="46" t="n">
        <x:v>0</x:v>
      </x:c>
      <x:c r="J135" s="46" t="n">
        <x:v>8</x:v>
      </x:c>
      <x:c r="K135" s="46" t="n">
        <x:v>0</x:v>
      </x:c>
      <x:c r="L135" s="21" t="str">
        <x:v>OPEN</x:v>
      </x:c>
      <x:c r="M135" s="21" t="str">
        <x:v>BLOCKED</x:v>
      </x:c>
      <x:c r="N135" s="23" t="str">
        <x:f>IF(AND(H135&lt;=G135,I135&lt;=H135,K135&lt;=J135),"PASS","FAIL")</x:f>
        <x:v>PASS</x:v>
      </x:c>
    </x:row>
    <x:row r="136">
      <x:c r="B136" s="21" t="str">
        <x:v>F11-I4-A</x:v>
      </x:c>
      <x:c r="C136" s="21" t="str">
        <x:v>F11-I4</x:v>
      </x:c>
      <x:c r="D136" s="21" t="str">
        <x:v>F11</x:v>
      </x:c>
      <x:c r="E136" s="21" t="str">
        <x:v>BUILD A</x:v>
      </x:c>
      <x:c r="F136" s="21" t="str">
        <x:v>Independent build ecosystem 02</x:v>
      </x:c>
      <x:c r="G136" s="21" t="n">
        <x:v>28</x:v>
      </x:c>
      <x:c r="H136" s="46" t="n">
        <x:v>0</x:v>
      </x:c>
      <x:c r="I136" s="46" t="n">
        <x:v>0</x:v>
      </x:c>
      <x:c r="J136" s="46" t="n">
        <x:v>8</x:v>
      </x:c>
      <x:c r="K136" s="46" t="n">
        <x:v>0</x:v>
      </x:c>
      <x:c r="L136" s="21" t="str">
        <x:v>OPEN</x:v>
      </x:c>
      <x:c r="M136" s="21" t="str">
        <x:v>BLOCKED</x:v>
      </x:c>
      <x:c r="N136" s="23" t="str">
        <x:f>IF(AND(H136&lt;=G136,I136&lt;=H136,K136&lt;=J136),"PASS","FAIL")</x:f>
        <x:v>PASS</x:v>
      </x:c>
    </x:row>
    <x:row r="137">
      <x:c r="B137" s="21" t="str">
        <x:v>F11-I4-B</x:v>
      </x:c>
      <x:c r="C137" s="21" t="str">
        <x:v>F11-I4</x:v>
      </x:c>
      <x:c r="D137" s="21" t="str">
        <x:v>F11</x:v>
      </x:c>
      <x:c r="E137" s="21" t="str">
        <x:v>BUILD B</x:v>
      </x:c>
      <x:c r="F137" s="21" t="str">
        <x:v>Independent build ecosystem 04</x:v>
      </x:c>
      <x:c r="G137" s="21" t="n">
        <x:v>28</x:v>
      </x:c>
      <x:c r="H137" s="46" t="n">
        <x:v>0</x:v>
      </x:c>
      <x:c r="I137" s="46" t="n">
        <x:v>0</x:v>
      </x:c>
      <x:c r="J137" s="46" t="n">
        <x:v>8</x:v>
      </x:c>
      <x:c r="K137" s="46" t="n">
        <x:v>0</x:v>
      </x:c>
      <x:c r="L137" s="21" t="str">
        <x:v>OPEN</x:v>
      </x:c>
      <x:c r="M137" s="21" t="str">
        <x:v>BLOCKED</x:v>
      </x:c>
      <x:c r="N137" s="23" t="str">
        <x:f>IF(AND(H137&lt;=G137,I137&lt;=H137,K137&lt;=J137),"PASS","FAIL")</x:f>
        <x:v>PASS</x:v>
      </x:c>
    </x:row>
    <x:row r="138">
      <x:c r="B138" s="21" t="str">
        <x:v>F11-I4-C</x:v>
      </x:c>
      <x:c r="C138" s="21" t="str">
        <x:v>F11-I4</x:v>
      </x:c>
      <x:c r="D138" s="21" t="str">
        <x:v>F11</x:v>
      </x:c>
      <x:c r="E138" s="21" t="str">
        <x:v>CHALLENGE</x:v>
      </x:c>
      <x:c r="F138" s="21" t="str">
        <x:v>Sovereign challenge cell TIO-12</x:v>
      </x:c>
      <x:c r="G138" s="21" t="n">
        <x:v>28</x:v>
      </x:c>
      <x:c r="H138" s="46" t="n">
        <x:v>0</x:v>
      </x:c>
      <x:c r="I138" s="46" t="n">
        <x:v>0</x:v>
      </x:c>
      <x:c r="J138" s="46" t="n">
        <x:v>8</x:v>
      </x:c>
      <x:c r="K138" s="46" t="n">
        <x:v>0</x:v>
      </x:c>
      <x:c r="L138" s="21" t="str">
        <x:v>OPEN</x:v>
      </x:c>
      <x:c r="M138" s="21" t="str">
        <x:v>BLOCKED</x:v>
      </x:c>
      <x:c r="N138" s="23" t="str">
        <x:f>IF(AND(H138&lt;=G138,I138&lt;=H138,K138&lt;=J138),"PASS","FAIL")</x:f>
        <x:v>PASS</x:v>
      </x:c>
    </x:row>
    <x:row r="139">
      <x:c r="B139" s="21" t="str">
        <x:v>F12-I1-A</x:v>
      </x:c>
      <x:c r="C139" s="21" t="str">
        <x:v>F12-I1</x:v>
      </x:c>
      <x:c r="D139" s="21" t="str">
        <x:v>F12</x:v>
      </x:c>
      <x:c r="E139" s="21" t="str">
        <x:v>BUILD A</x:v>
      </x:c>
      <x:c r="F139" s="21" t="str">
        <x:v>Independent build ecosystem 05</x:v>
      </x:c>
      <x:c r="G139" s="21" t="n">
        <x:v>28</x:v>
      </x:c>
      <x:c r="H139" s="46" t="n">
        <x:v>0</x:v>
      </x:c>
      <x:c r="I139" s="46" t="n">
        <x:v>0</x:v>
      </x:c>
      <x:c r="J139" s="46" t="n">
        <x:v>8</x:v>
      </x:c>
      <x:c r="K139" s="46" t="n">
        <x:v>0</x:v>
      </x:c>
      <x:c r="L139" s="21" t="str">
        <x:v>OPEN</x:v>
      </x:c>
      <x:c r="M139" s="21" t="str">
        <x:v>BLOCKED</x:v>
      </x:c>
      <x:c r="N139" s="23" t="str">
        <x:f>IF(AND(H139&lt;=G139,I139&lt;=H139,K139&lt;=J139),"PASS","FAIL")</x:f>
        <x:v>PASS</x:v>
      </x:c>
    </x:row>
    <x:row r="140">
      <x:c r="B140" s="21" t="str">
        <x:v>F12-I1-B</x:v>
      </x:c>
      <x:c r="C140" s="21" t="str">
        <x:v>F12-I1</x:v>
      </x:c>
      <x:c r="D140" s="21" t="str">
        <x:v>F12</x:v>
      </x:c>
      <x:c r="E140" s="21" t="str">
        <x:v>BUILD B</x:v>
      </x:c>
      <x:c r="F140" s="21" t="str">
        <x:v>Independent build ecosystem 07</x:v>
      </x:c>
      <x:c r="G140" s="21" t="n">
        <x:v>28</x:v>
      </x:c>
      <x:c r="H140" s="46" t="n">
        <x:v>0</x:v>
      </x:c>
      <x:c r="I140" s="46" t="n">
        <x:v>0</x:v>
      </x:c>
      <x:c r="J140" s="46" t="n">
        <x:v>8</x:v>
      </x:c>
      <x:c r="K140" s="46" t="n">
        <x:v>0</x:v>
      </x:c>
      <x:c r="L140" s="21" t="str">
        <x:v>OPEN</x:v>
      </x:c>
      <x:c r="M140" s="21" t="str">
        <x:v>BLOCKED</x:v>
      </x:c>
      <x:c r="N140" s="23" t="str">
        <x:f>IF(AND(H140&lt;=G140,I140&lt;=H140,K140&lt;=J140),"PASS","FAIL")</x:f>
        <x:v>PASS</x:v>
      </x:c>
    </x:row>
    <x:row r="141">
      <x:c r="B141" s="21" t="str">
        <x:v>F12-I1-C</x:v>
      </x:c>
      <x:c r="C141" s="21" t="str">
        <x:v>F12-I1</x:v>
      </x:c>
      <x:c r="D141" s="21" t="str">
        <x:v>F12</x:v>
      </x:c>
      <x:c r="E141" s="21" t="str">
        <x:v>CHALLENGE</x:v>
      </x:c>
      <x:c r="F141" s="21" t="str">
        <x:v>Sovereign challenge cell TIO-13</x:v>
      </x:c>
      <x:c r="G141" s="21" t="n">
        <x:v>28</x:v>
      </x:c>
      <x:c r="H141" s="46" t="n">
        <x:v>0</x:v>
      </x:c>
      <x:c r="I141" s="46" t="n">
        <x:v>0</x:v>
      </x:c>
      <x:c r="J141" s="46" t="n">
        <x:v>8</x:v>
      </x:c>
      <x:c r="K141" s="46" t="n">
        <x:v>0</x:v>
      </x:c>
      <x:c r="L141" s="21" t="str">
        <x:v>OPEN</x:v>
      </x:c>
      <x:c r="M141" s="21" t="str">
        <x:v>BLOCKED</x:v>
      </x:c>
      <x:c r="N141" s="23" t="str">
        <x:f>IF(AND(H141&lt;=G141,I141&lt;=H141,K141&lt;=J141),"PASS","FAIL")</x:f>
        <x:v>PASS</x:v>
      </x:c>
    </x:row>
    <x:row r="142">
      <x:c r="B142" s="21" t="str">
        <x:v>F12-I2-A</x:v>
      </x:c>
      <x:c r="C142" s="21" t="str">
        <x:v>F12-I2</x:v>
      </x:c>
      <x:c r="D142" s="21" t="str">
        <x:v>F12</x:v>
      </x:c>
      <x:c r="E142" s="21" t="str">
        <x:v>BUILD A</x:v>
      </x:c>
      <x:c r="F142" s="21" t="str">
        <x:v>Independent build ecosystem 08</x:v>
      </x:c>
      <x:c r="G142" s="21" t="n">
        <x:v>28</x:v>
      </x:c>
      <x:c r="H142" s="46" t="n">
        <x:v>0</x:v>
      </x:c>
      <x:c r="I142" s="46" t="n">
        <x:v>0</x:v>
      </x:c>
      <x:c r="J142" s="46" t="n">
        <x:v>8</x:v>
      </x:c>
      <x:c r="K142" s="46" t="n">
        <x:v>0</x:v>
      </x:c>
      <x:c r="L142" s="21" t="str">
        <x:v>OPEN</x:v>
      </x:c>
      <x:c r="M142" s="21" t="str">
        <x:v>BLOCKED</x:v>
      </x:c>
      <x:c r="N142" s="23" t="str">
        <x:f>IF(AND(H142&lt;=G142,I142&lt;=H142,K142&lt;=J142),"PASS","FAIL")</x:f>
        <x:v>PASS</x:v>
      </x:c>
    </x:row>
    <x:row r="143">
      <x:c r="B143" s="21" t="str">
        <x:v>F12-I2-B</x:v>
      </x:c>
      <x:c r="C143" s="21" t="str">
        <x:v>F12-I2</x:v>
      </x:c>
      <x:c r="D143" s="21" t="str">
        <x:v>F12</x:v>
      </x:c>
      <x:c r="E143" s="21" t="str">
        <x:v>BUILD B</x:v>
      </x:c>
      <x:c r="F143" s="21" t="str">
        <x:v>Independent build ecosystem 10</x:v>
      </x:c>
      <x:c r="G143" s="21" t="n">
        <x:v>28</x:v>
      </x:c>
      <x:c r="H143" s="46" t="n">
        <x:v>0</x:v>
      </x:c>
      <x:c r="I143" s="46" t="n">
        <x:v>0</x:v>
      </x:c>
      <x:c r="J143" s="46" t="n">
        <x:v>8</x:v>
      </x:c>
      <x:c r="K143" s="46" t="n">
        <x:v>0</x:v>
      </x:c>
      <x:c r="L143" s="21" t="str">
        <x:v>OPEN</x:v>
      </x:c>
      <x:c r="M143" s="21" t="str">
        <x:v>BLOCKED</x:v>
      </x:c>
      <x:c r="N143" s="23" t="str">
        <x:f>IF(AND(H143&lt;=G143,I143&lt;=H143,K143&lt;=J143),"PASS","FAIL")</x:f>
        <x:v>PASS</x:v>
      </x:c>
    </x:row>
    <x:row r="144">
      <x:c r="B144" s="21" t="str">
        <x:v>F12-I2-C</x:v>
      </x:c>
      <x:c r="C144" s="21" t="str">
        <x:v>F12-I2</x:v>
      </x:c>
      <x:c r="D144" s="21" t="str">
        <x:v>F12</x:v>
      </x:c>
      <x:c r="E144" s="21" t="str">
        <x:v>CHALLENGE</x:v>
      </x:c>
      <x:c r="F144" s="21" t="str">
        <x:v>Sovereign challenge cell TIO-14</x:v>
      </x:c>
      <x:c r="G144" s="21" t="n">
        <x:v>28</x:v>
      </x:c>
      <x:c r="H144" s="46" t="n">
        <x:v>0</x:v>
      </x:c>
      <x:c r="I144" s="46" t="n">
        <x:v>0</x:v>
      </x:c>
      <x:c r="J144" s="46" t="n">
        <x:v>8</x:v>
      </x:c>
      <x:c r="K144" s="46" t="n">
        <x:v>0</x:v>
      </x:c>
      <x:c r="L144" s="21" t="str">
        <x:v>OPEN</x:v>
      </x:c>
      <x:c r="M144" s="21" t="str">
        <x:v>BLOCKED</x:v>
      </x:c>
      <x:c r="N144" s="23" t="str">
        <x:f>IF(AND(H144&lt;=G144,I144&lt;=H144,K144&lt;=J144),"PASS","FAIL")</x:f>
        <x:v>PASS</x:v>
      </x:c>
    </x:row>
    <x:row r="145">
      <x:c r="B145" s="21" t="str">
        <x:v>F12-I3-A</x:v>
      </x:c>
      <x:c r="C145" s="21" t="str">
        <x:v>F12-I3</x:v>
      </x:c>
      <x:c r="D145" s="21" t="str">
        <x:v>F12</x:v>
      </x:c>
      <x:c r="E145" s="21" t="str">
        <x:v>BUILD A</x:v>
      </x:c>
      <x:c r="F145" s="21" t="str">
        <x:v>Independent build ecosystem 11</x:v>
      </x:c>
      <x:c r="G145" s="21" t="n">
        <x:v>28</x:v>
      </x:c>
      <x:c r="H145" s="46" t="n">
        <x:v>0</x:v>
      </x:c>
      <x:c r="I145" s="46" t="n">
        <x:v>0</x:v>
      </x:c>
      <x:c r="J145" s="46" t="n">
        <x:v>8</x:v>
      </x:c>
      <x:c r="K145" s="46" t="n">
        <x:v>0</x:v>
      </x:c>
      <x:c r="L145" s="21" t="str">
        <x:v>OPEN</x:v>
      </x:c>
      <x:c r="M145" s="21" t="str">
        <x:v>BLOCKED</x:v>
      </x:c>
      <x:c r="N145" s="23" t="str">
        <x:f>IF(AND(H145&lt;=G145,I145&lt;=H145,K145&lt;=J145),"PASS","FAIL")</x:f>
        <x:v>PASS</x:v>
      </x:c>
    </x:row>
    <x:row r="146">
      <x:c r="B146" s="21" t="str">
        <x:v>F12-I3-B</x:v>
      </x:c>
      <x:c r="C146" s="21" t="str">
        <x:v>F12-I3</x:v>
      </x:c>
      <x:c r="D146" s="21" t="str">
        <x:v>F12</x:v>
      </x:c>
      <x:c r="E146" s="21" t="str">
        <x:v>BUILD B</x:v>
      </x:c>
      <x:c r="F146" s="21" t="str">
        <x:v>Independent build ecosystem 13</x:v>
      </x:c>
      <x:c r="G146" s="21" t="n">
        <x:v>28</x:v>
      </x:c>
      <x:c r="H146" s="46" t="n">
        <x:v>0</x:v>
      </x:c>
      <x:c r="I146" s="46" t="n">
        <x:v>0</x:v>
      </x:c>
      <x:c r="J146" s="46" t="n">
        <x:v>8</x:v>
      </x:c>
      <x:c r="K146" s="46" t="n">
        <x:v>0</x:v>
      </x:c>
      <x:c r="L146" s="21" t="str">
        <x:v>OPEN</x:v>
      </x:c>
      <x:c r="M146" s="21" t="str">
        <x:v>BLOCKED</x:v>
      </x:c>
      <x:c r="N146" s="23" t="str">
        <x:f>IF(AND(H146&lt;=G146,I146&lt;=H146,K146&lt;=J146),"PASS","FAIL")</x:f>
        <x:v>PASS</x:v>
      </x:c>
    </x:row>
    <x:row r="147">
      <x:c r="B147" s="21" t="str">
        <x:v>F12-I3-C</x:v>
      </x:c>
      <x:c r="C147" s="21" t="str">
        <x:v>F12-I3</x:v>
      </x:c>
      <x:c r="D147" s="21" t="str">
        <x:v>F12</x:v>
      </x:c>
      <x:c r="E147" s="21" t="str">
        <x:v>CHALLENGE</x:v>
      </x:c>
      <x:c r="F147" s="21" t="str">
        <x:v>Sovereign challenge cell TIO-15</x:v>
      </x:c>
      <x:c r="G147" s="21" t="n">
        <x:v>28</x:v>
      </x:c>
      <x:c r="H147" s="46" t="n">
        <x:v>0</x:v>
      </x:c>
      <x:c r="I147" s="46" t="n">
        <x:v>0</x:v>
      </x:c>
      <x:c r="J147" s="46" t="n">
        <x:v>8</x:v>
      </x:c>
      <x:c r="K147" s="46" t="n">
        <x:v>0</x:v>
      </x:c>
      <x:c r="L147" s="21" t="str">
        <x:v>OPEN</x:v>
      </x:c>
      <x:c r="M147" s="21" t="str">
        <x:v>BLOCKED</x:v>
      </x:c>
      <x:c r="N147" s="23" t="str">
        <x:f>IF(AND(H147&lt;=G147,I147&lt;=H147,K147&lt;=J147),"PASS","FAIL")</x:f>
        <x:v>PASS</x:v>
      </x:c>
    </x:row>
    <x:row r="148">
      <x:c r="B148" s="21" t="str">
        <x:v>F12-I4-A</x:v>
      </x:c>
      <x:c r="C148" s="21" t="str">
        <x:v>F12-I4</x:v>
      </x:c>
      <x:c r="D148" s="21" t="str">
        <x:v>F12</x:v>
      </x:c>
      <x:c r="E148" s="21" t="str">
        <x:v>BUILD A</x:v>
      </x:c>
      <x:c r="F148" s="21" t="str">
        <x:v>Independent build ecosystem 14</x:v>
      </x:c>
      <x:c r="G148" s="21" t="n">
        <x:v>28</x:v>
      </x:c>
      <x:c r="H148" s="46" t="n">
        <x:v>0</x:v>
      </x:c>
      <x:c r="I148" s="46" t="n">
        <x:v>0</x:v>
      </x:c>
      <x:c r="J148" s="46" t="n">
        <x:v>8</x:v>
      </x:c>
      <x:c r="K148" s="46" t="n">
        <x:v>0</x:v>
      </x:c>
      <x:c r="L148" s="21" t="str">
        <x:v>OPEN</x:v>
      </x:c>
      <x:c r="M148" s="21" t="str">
        <x:v>BLOCKED</x:v>
      </x:c>
      <x:c r="N148" s="23" t="str">
        <x:f>IF(AND(H148&lt;=G148,I148&lt;=H148,K148&lt;=J148),"PASS","FAIL")</x:f>
        <x:v>PASS</x:v>
      </x:c>
    </x:row>
    <x:row r="149">
      <x:c r="B149" s="21" t="str">
        <x:v>F12-I4-B</x:v>
      </x:c>
      <x:c r="C149" s="21" t="str">
        <x:v>F12-I4</x:v>
      </x:c>
      <x:c r="D149" s="21" t="str">
        <x:v>F12</x:v>
      </x:c>
      <x:c r="E149" s="21" t="str">
        <x:v>BUILD B</x:v>
      </x:c>
      <x:c r="F149" s="21" t="str">
        <x:v>Independent build ecosystem 16</x:v>
      </x:c>
      <x:c r="G149" s="21" t="n">
        <x:v>28</x:v>
      </x:c>
      <x:c r="H149" s="46" t="n">
        <x:v>0</x:v>
      </x:c>
      <x:c r="I149" s="46" t="n">
        <x:v>0</x:v>
      </x:c>
      <x:c r="J149" s="46" t="n">
        <x:v>8</x:v>
      </x:c>
      <x:c r="K149" s="46" t="n">
        <x:v>0</x:v>
      </x:c>
      <x:c r="L149" s="21" t="str">
        <x:v>OPEN</x:v>
      </x:c>
      <x:c r="M149" s="21" t="str">
        <x:v>BLOCKED</x:v>
      </x:c>
      <x:c r="N149" s="23" t="str">
        <x:f>IF(AND(H149&lt;=G149,I149&lt;=H149,K149&lt;=J149),"PASS","FAIL")</x:f>
        <x:v>PASS</x:v>
      </x:c>
    </x:row>
    <x:row r="150">
      <x:c r="B150" s="21" t="str">
        <x:v>F12-I4-C</x:v>
      </x:c>
      <x:c r="C150" s="21" t="str">
        <x:v>F12-I4</x:v>
      </x:c>
      <x:c r="D150" s="21" t="str">
        <x:v>F12</x:v>
      </x:c>
      <x:c r="E150" s="21" t="str">
        <x:v>CHALLENGE</x:v>
      </x:c>
      <x:c r="F150" s="21" t="str">
        <x:v>Sovereign challenge cell TIO-16</x:v>
      </x:c>
      <x:c r="G150" s="21" t="n">
        <x:v>28</x:v>
      </x:c>
      <x:c r="H150" s="46" t="n">
        <x:v>0</x:v>
      </x:c>
      <x:c r="I150" s="46" t="n">
        <x:v>0</x:v>
      </x:c>
      <x:c r="J150" s="46" t="n">
        <x:v>8</x:v>
      </x:c>
      <x:c r="K150" s="46" t="n">
        <x:v>0</x:v>
      </x:c>
      <x:c r="L150" s="21" t="str">
        <x:v>OPEN</x:v>
      </x:c>
      <x:c r="M150" s="21" t="str">
        <x:v>BLOCKED</x:v>
      </x:c>
      <x:c r="N150" s="23" t="str">
        <x:f>IF(AND(H150&lt;=G150,I150&lt;=H150,K150&lt;=J150),"PASS","FAIL")</x:f>
        <x:v>PASS</x:v>
      </x:c>
    </x:row>
    <x:row r="151">
      <x:c r="B151" s="21" t="str">
        <x:v>F13-I1-A</x:v>
      </x:c>
      <x:c r="C151" s="21" t="str">
        <x:v>F13-I1</x:v>
      </x:c>
      <x:c r="D151" s="21" t="str">
        <x:v>F13</x:v>
      </x:c>
      <x:c r="E151" s="21" t="str">
        <x:v>BUILD A</x:v>
      </x:c>
      <x:c r="F151" s="21" t="str">
        <x:v>Independent build ecosystem 01</x:v>
      </x:c>
      <x:c r="G151" s="21" t="n">
        <x:v>28</x:v>
      </x:c>
      <x:c r="H151" s="46" t="n">
        <x:v>0</x:v>
      </x:c>
      <x:c r="I151" s="46" t="n">
        <x:v>0</x:v>
      </x:c>
      <x:c r="J151" s="46" t="n">
        <x:v>8</x:v>
      </x:c>
      <x:c r="K151" s="46" t="n">
        <x:v>0</x:v>
      </x:c>
      <x:c r="L151" s="21" t="str">
        <x:v>OPEN</x:v>
      </x:c>
      <x:c r="M151" s="21" t="str">
        <x:v>BLOCKED</x:v>
      </x:c>
      <x:c r="N151" s="23" t="str">
        <x:f>IF(AND(H151&lt;=G151,I151&lt;=H151,K151&lt;=J151),"PASS","FAIL")</x:f>
        <x:v>PASS</x:v>
      </x:c>
    </x:row>
    <x:row r="152">
      <x:c r="B152" s="21" t="str">
        <x:v>F13-I1-B</x:v>
      </x:c>
      <x:c r="C152" s="21" t="str">
        <x:v>F13-I1</x:v>
      </x:c>
      <x:c r="D152" s="21" t="str">
        <x:v>F13</x:v>
      </x:c>
      <x:c r="E152" s="21" t="str">
        <x:v>BUILD B</x:v>
      </x:c>
      <x:c r="F152" s="21" t="str">
        <x:v>Independent build ecosystem 03</x:v>
      </x:c>
      <x:c r="G152" s="21" t="n">
        <x:v>28</x:v>
      </x:c>
      <x:c r="H152" s="46" t="n">
        <x:v>0</x:v>
      </x:c>
      <x:c r="I152" s="46" t="n">
        <x:v>0</x:v>
      </x:c>
      <x:c r="J152" s="46" t="n">
        <x:v>8</x:v>
      </x:c>
      <x:c r="K152" s="46" t="n">
        <x:v>0</x:v>
      </x:c>
      <x:c r="L152" s="21" t="str">
        <x:v>OPEN</x:v>
      </x:c>
      <x:c r="M152" s="21" t="str">
        <x:v>BLOCKED</x:v>
      </x:c>
      <x:c r="N152" s="23" t="str">
        <x:f>IF(AND(H152&lt;=G152,I152&lt;=H152,K152&lt;=J152),"PASS","FAIL")</x:f>
        <x:v>PASS</x:v>
      </x:c>
    </x:row>
    <x:row r="153">
      <x:c r="B153" s="21" t="str">
        <x:v>F13-I1-C</x:v>
      </x:c>
      <x:c r="C153" s="21" t="str">
        <x:v>F13-I1</x:v>
      </x:c>
      <x:c r="D153" s="21" t="str">
        <x:v>F13</x:v>
      </x:c>
      <x:c r="E153" s="21" t="str">
        <x:v>CHALLENGE</x:v>
      </x:c>
      <x:c r="F153" s="21" t="str">
        <x:v>Sovereign challenge cell TIO-01</x:v>
      </x:c>
      <x:c r="G153" s="21" t="n">
        <x:v>28</x:v>
      </x:c>
      <x:c r="H153" s="46" t="n">
        <x:v>0</x:v>
      </x:c>
      <x:c r="I153" s="46" t="n">
        <x:v>0</x:v>
      </x:c>
      <x:c r="J153" s="46" t="n">
        <x:v>8</x:v>
      </x:c>
      <x:c r="K153" s="46" t="n">
        <x:v>0</x:v>
      </x:c>
      <x:c r="L153" s="21" t="str">
        <x:v>OPEN</x:v>
      </x:c>
      <x:c r="M153" s="21" t="str">
        <x:v>BLOCKED</x:v>
      </x:c>
      <x:c r="N153" s="23" t="str">
        <x:f>IF(AND(H153&lt;=G153,I153&lt;=H153,K153&lt;=J153),"PASS","FAIL")</x:f>
        <x:v>PASS</x:v>
      </x:c>
    </x:row>
    <x:row r="154">
      <x:c r="B154" s="21" t="str">
        <x:v>F13-I2-A</x:v>
      </x:c>
      <x:c r="C154" s="21" t="str">
        <x:v>F13-I2</x:v>
      </x:c>
      <x:c r="D154" s="21" t="str">
        <x:v>F13</x:v>
      </x:c>
      <x:c r="E154" s="21" t="str">
        <x:v>BUILD A</x:v>
      </x:c>
      <x:c r="F154" s="21" t="str">
        <x:v>Independent build ecosystem 04</x:v>
      </x:c>
      <x:c r="G154" s="21" t="n">
        <x:v>28</x:v>
      </x:c>
      <x:c r="H154" s="46" t="n">
        <x:v>0</x:v>
      </x:c>
      <x:c r="I154" s="46" t="n">
        <x:v>0</x:v>
      </x:c>
      <x:c r="J154" s="46" t="n">
        <x:v>8</x:v>
      </x:c>
      <x:c r="K154" s="46" t="n">
        <x:v>0</x:v>
      </x:c>
      <x:c r="L154" s="21" t="str">
        <x:v>OPEN</x:v>
      </x:c>
      <x:c r="M154" s="21" t="str">
        <x:v>BLOCKED</x:v>
      </x:c>
      <x:c r="N154" s="23" t="str">
        <x:f>IF(AND(H154&lt;=G154,I154&lt;=H154,K154&lt;=J154),"PASS","FAIL")</x:f>
        <x:v>PASS</x:v>
      </x:c>
    </x:row>
    <x:row r="155">
      <x:c r="B155" s="21" t="str">
        <x:v>F13-I2-B</x:v>
      </x:c>
      <x:c r="C155" s="21" t="str">
        <x:v>F13-I2</x:v>
      </x:c>
      <x:c r="D155" s="21" t="str">
        <x:v>F13</x:v>
      </x:c>
      <x:c r="E155" s="21" t="str">
        <x:v>BUILD B</x:v>
      </x:c>
      <x:c r="F155" s="21" t="str">
        <x:v>Independent build ecosystem 06</x:v>
      </x:c>
      <x:c r="G155" s="21" t="n">
        <x:v>28</x:v>
      </x:c>
      <x:c r="H155" s="46" t="n">
        <x:v>0</x:v>
      </x:c>
      <x:c r="I155" s="46" t="n">
        <x:v>0</x:v>
      </x:c>
      <x:c r="J155" s="46" t="n">
        <x:v>8</x:v>
      </x:c>
      <x:c r="K155" s="46" t="n">
        <x:v>0</x:v>
      </x:c>
      <x:c r="L155" s="21" t="str">
        <x:v>OPEN</x:v>
      </x:c>
      <x:c r="M155" s="21" t="str">
        <x:v>BLOCKED</x:v>
      </x:c>
      <x:c r="N155" s="23" t="str">
        <x:f>IF(AND(H155&lt;=G155,I155&lt;=H155,K155&lt;=J155),"PASS","FAIL")</x:f>
        <x:v>PASS</x:v>
      </x:c>
    </x:row>
    <x:row r="156">
      <x:c r="B156" s="21" t="str">
        <x:v>F13-I2-C</x:v>
      </x:c>
      <x:c r="C156" s="21" t="str">
        <x:v>F13-I2</x:v>
      </x:c>
      <x:c r="D156" s="21" t="str">
        <x:v>F13</x:v>
      </x:c>
      <x:c r="E156" s="21" t="str">
        <x:v>CHALLENGE</x:v>
      </x:c>
      <x:c r="F156" s="21" t="str">
        <x:v>Sovereign challenge cell TIO-02</x:v>
      </x:c>
      <x:c r="G156" s="21" t="n">
        <x:v>28</x:v>
      </x:c>
      <x:c r="H156" s="46" t="n">
        <x:v>0</x:v>
      </x:c>
      <x:c r="I156" s="46" t="n">
        <x:v>0</x:v>
      </x:c>
      <x:c r="J156" s="46" t="n">
        <x:v>8</x:v>
      </x:c>
      <x:c r="K156" s="46" t="n">
        <x:v>0</x:v>
      </x:c>
      <x:c r="L156" s="21" t="str">
        <x:v>OPEN</x:v>
      </x:c>
      <x:c r="M156" s="21" t="str">
        <x:v>BLOCKED</x:v>
      </x:c>
      <x:c r="N156" s="23" t="str">
        <x:f>IF(AND(H156&lt;=G156,I156&lt;=H156,K156&lt;=J156),"PASS","FAIL")</x:f>
        <x:v>PASS</x:v>
      </x:c>
    </x:row>
    <x:row r="157">
      <x:c r="B157" s="21" t="str">
        <x:v>F13-I3-A</x:v>
      </x:c>
      <x:c r="C157" s="21" t="str">
        <x:v>F13-I3</x:v>
      </x:c>
      <x:c r="D157" s="21" t="str">
        <x:v>F13</x:v>
      </x:c>
      <x:c r="E157" s="21" t="str">
        <x:v>BUILD A</x:v>
      </x:c>
      <x:c r="F157" s="21" t="str">
        <x:v>Independent build ecosystem 07</x:v>
      </x:c>
      <x:c r="G157" s="21" t="n">
        <x:v>28</x:v>
      </x:c>
      <x:c r="H157" s="46" t="n">
        <x:v>0</x:v>
      </x:c>
      <x:c r="I157" s="46" t="n">
        <x:v>0</x:v>
      </x:c>
      <x:c r="J157" s="46" t="n">
        <x:v>8</x:v>
      </x:c>
      <x:c r="K157" s="46" t="n">
        <x:v>0</x:v>
      </x:c>
      <x:c r="L157" s="21" t="str">
        <x:v>OPEN</x:v>
      </x:c>
      <x:c r="M157" s="21" t="str">
        <x:v>BLOCKED</x:v>
      </x:c>
      <x:c r="N157" s="23" t="str">
        <x:f>IF(AND(H157&lt;=G157,I157&lt;=H157,K157&lt;=J157),"PASS","FAIL")</x:f>
        <x:v>PASS</x:v>
      </x:c>
    </x:row>
    <x:row r="158">
      <x:c r="B158" s="21" t="str">
        <x:v>F13-I3-B</x:v>
      </x:c>
      <x:c r="C158" s="21" t="str">
        <x:v>F13-I3</x:v>
      </x:c>
      <x:c r="D158" s="21" t="str">
        <x:v>F13</x:v>
      </x:c>
      <x:c r="E158" s="21" t="str">
        <x:v>BUILD B</x:v>
      </x:c>
      <x:c r="F158" s="21" t="str">
        <x:v>Independent build ecosystem 09</x:v>
      </x:c>
      <x:c r="G158" s="21" t="n">
        <x:v>28</x:v>
      </x:c>
      <x:c r="H158" s="46" t="n">
        <x:v>0</x:v>
      </x:c>
      <x:c r="I158" s="46" t="n">
        <x:v>0</x:v>
      </x:c>
      <x:c r="J158" s="46" t="n">
        <x:v>8</x:v>
      </x:c>
      <x:c r="K158" s="46" t="n">
        <x:v>0</x:v>
      </x:c>
      <x:c r="L158" s="21" t="str">
        <x:v>OPEN</x:v>
      </x:c>
      <x:c r="M158" s="21" t="str">
        <x:v>BLOCKED</x:v>
      </x:c>
      <x:c r="N158" s="23" t="str">
        <x:f>IF(AND(H158&lt;=G158,I158&lt;=H158,K158&lt;=J158),"PASS","FAIL")</x:f>
        <x:v>PASS</x:v>
      </x:c>
    </x:row>
    <x:row r="159">
      <x:c r="B159" s="21" t="str">
        <x:v>F13-I3-C</x:v>
      </x:c>
      <x:c r="C159" s="21" t="str">
        <x:v>F13-I3</x:v>
      </x:c>
      <x:c r="D159" s="21" t="str">
        <x:v>F13</x:v>
      </x:c>
      <x:c r="E159" s="21" t="str">
        <x:v>CHALLENGE</x:v>
      </x:c>
      <x:c r="F159" s="21" t="str">
        <x:v>Sovereign challenge cell TIO-03</x:v>
      </x:c>
      <x:c r="G159" s="21" t="n">
        <x:v>28</x:v>
      </x:c>
      <x:c r="H159" s="46" t="n">
        <x:v>0</x:v>
      </x:c>
      <x:c r="I159" s="46" t="n">
        <x:v>0</x:v>
      </x:c>
      <x:c r="J159" s="46" t="n">
        <x:v>8</x:v>
      </x:c>
      <x:c r="K159" s="46" t="n">
        <x:v>0</x:v>
      </x:c>
      <x:c r="L159" s="21" t="str">
        <x:v>OPEN</x:v>
      </x:c>
      <x:c r="M159" s="21" t="str">
        <x:v>BLOCKED</x:v>
      </x:c>
      <x:c r="N159" s="23" t="str">
        <x:f>IF(AND(H159&lt;=G159,I159&lt;=H159,K159&lt;=J159),"PASS","FAIL")</x:f>
        <x:v>PASS</x:v>
      </x:c>
    </x:row>
    <x:row r="160">
      <x:c r="B160" s="21" t="str">
        <x:v>F13-I4-A</x:v>
      </x:c>
      <x:c r="C160" s="21" t="str">
        <x:v>F13-I4</x:v>
      </x:c>
      <x:c r="D160" s="21" t="str">
        <x:v>F13</x:v>
      </x:c>
      <x:c r="E160" s="21" t="str">
        <x:v>BUILD A</x:v>
      </x:c>
      <x:c r="F160" s="21" t="str">
        <x:v>Independent build ecosystem 10</x:v>
      </x:c>
      <x:c r="G160" s="21" t="n">
        <x:v>28</x:v>
      </x:c>
      <x:c r="H160" s="46" t="n">
        <x:v>0</x:v>
      </x:c>
      <x:c r="I160" s="46" t="n">
        <x:v>0</x:v>
      </x:c>
      <x:c r="J160" s="46" t="n">
        <x:v>8</x:v>
      </x:c>
      <x:c r="K160" s="46" t="n">
        <x:v>0</x:v>
      </x:c>
      <x:c r="L160" s="21" t="str">
        <x:v>OPEN</x:v>
      </x:c>
      <x:c r="M160" s="21" t="str">
        <x:v>BLOCKED</x:v>
      </x:c>
      <x:c r="N160" s="23" t="str">
        <x:f>IF(AND(H160&lt;=G160,I160&lt;=H160,K160&lt;=J160),"PASS","FAIL")</x:f>
        <x:v>PASS</x:v>
      </x:c>
    </x:row>
    <x:row r="161">
      <x:c r="B161" s="21" t="str">
        <x:v>F13-I4-B</x:v>
      </x:c>
      <x:c r="C161" s="21" t="str">
        <x:v>F13-I4</x:v>
      </x:c>
      <x:c r="D161" s="21" t="str">
        <x:v>F13</x:v>
      </x:c>
      <x:c r="E161" s="21" t="str">
        <x:v>BUILD B</x:v>
      </x:c>
      <x:c r="F161" s="21" t="str">
        <x:v>Independent build ecosystem 12</x:v>
      </x:c>
      <x:c r="G161" s="21" t="n">
        <x:v>28</x:v>
      </x:c>
      <x:c r="H161" s="46" t="n">
        <x:v>0</x:v>
      </x:c>
      <x:c r="I161" s="46" t="n">
        <x:v>0</x:v>
      </x:c>
      <x:c r="J161" s="46" t="n">
        <x:v>8</x:v>
      </x:c>
      <x:c r="K161" s="46" t="n">
        <x:v>0</x:v>
      </x:c>
      <x:c r="L161" s="21" t="str">
        <x:v>OPEN</x:v>
      </x:c>
      <x:c r="M161" s="21" t="str">
        <x:v>BLOCKED</x:v>
      </x:c>
      <x:c r="N161" s="23" t="str">
        <x:f>IF(AND(H161&lt;=G161,I161&lt;=H161,K161&lt;=J161),"PASS","FAIL")</x:f>
        <x:v>PASS</x:v>
      </x:c>
    </x:row>
    <x:row r="162">
      <x:c r="B162" s="21" t="str">
        <x:v>F13-I4-C</x:v>
      </x:c>
      <x:c r="C162" s="21" t="str">
        <x:v>F13-I4</x:v>
      </x:c>
      <x:c r="D162" s="21" t="str">
        <x:v>F13</x:v>
      </x:c>
      <x:c r="E162" s="21" t="str">
        <x:v>CHALLENGE</x:v>
      </x:c>
      <x:c r="F162" s="21" t="str">
        <x:v>Sovereign challenge cell TIO-04</x:v>
      </x:c>
      <x:c r="G162" s="21" t="n">
        <x:v>28</x:v>
      </x:c>
      <x:c r="H162" s="46" t="n">
        <x:v>0</x:v>
      </x:c>
      <x:c r="I162" s="46" t="n">
        <x:v>0</x:v>
      </x:c>
      <x:c r="J162" s="46" t="n">
        <x:v>8</x:v>
      </x:c>
      <x:c r="K162" s="46" t="n">
        <x:v>0</x:v>
      </x:c>
      <x:c r="L162" s="21" t="str">
        <x:v>OPEN</x:v>
      </x:c>
      <x:c r="M162" s="21" t="str">
        <x:v>BLOCKED</x:v>
      </x:c>
      <x:c r="N162" s="23" t="str">
        <x:f>IF(AND(H162&lt;=G162,I162&lt;=H162,K162&lt;=J162),"PASS","FAIL")</x:f>
        <x:v>PASS</x:v>
      </x:c>
    </x:row>
    <x:row r="163">
      <x:c r="B163" s="21" t="str">
        <x:v>F14-I1-A</x:v>
      </x:c>
      <x:c r="C163" s="21" t="str">
        <x:v>F14-I1</x:v>
      </x:c>
      <x:c r="D163" s="21" t="str">
        <x:v>F14</x:v>
      </x:c>
      <x:c r="E163" s="21" t="str">
        <x:v>BUILD A</x:v>
      </x:c>
      <x:c r="F163" s="21" t="str">
        <x:v>Independent build ecosystem 13</x:v>
      </x:c>
      <x:c r="G163" s="21" t="n">
        <x:v>28</x:v>
      </x:c>
      <x:c r="H163" s="46" t="n">
        <x:v>0</x:v>
      </x:c>
      <x:c r="I163" s="46" t="n">
        <x:v>0</x:v>
      </x:c>
      <x:c r="J163" s="46" t="n">
        <x:v>8</x:v>
      </x:c>
      <x:c r="K163" s="46" t="n">
        <x:v>0</x:v>
      </x:c>
      <x:c r="L163" s="21" t="str">
        <x:v>OPEN</x:v>
      </x:c>
      <x:c r="M163" s="21" t="str">
        <x:v>BLOCKED</x:v>
      </x:c>
      <x:c r="N163" s="23" t="str">
        <x:f>IF(AND(H163&lt;=G163,I163&lt;=H163,K163&lt;=J163),"PASS","FAIL")</x:f>
        <x:v>PASS</x:v>
      </x:c>
    </x:row>
    <x:row r="164">
      <x:c r="B164" s="21" t="str">
        <x:v>F14-I1-B</x:v>
      </x:c>
      <x:c r="C164" s="21" t="str">
        <x:v>F14-I1</x:v>
      </x:c>
      <x:c r="D164" s="21" t="str">
        <x:v>F14</x:v>
      </x:c>
      <x:c r="E164" s="21" t="str">
        <x:v>BUILD B</x:v>
      </x:c>
      <x:c r="F164" s="21" t="str">
        <x:v>Independent build ecosystem 15</x:v>
      </x:c>
      <x:c r="G164" s="21" t="n">
        <x:v>28</x:v>
      </x:c>
      <x:c r="H164" s="46" t="n">
        <x:v>0</x:v>
      </x:c>
      <x:c r="I164" s="46" t="n">
        <x:v>0</x:v>
      </x:c>
      <x:c r="J164" s="46" t="n">
        <x:v>8</x:v>
      </x:c>
      <x:c r="K164" s="46" t="n">
        <x:v>0</x:v>
      </x:c>
      <x:c r="L164" s="21" t="str">
        <x:v>OPEN</x:v>
      </x:c>
      <x:c r="M164" s="21" t="str">
        <x:v>BLOCKED</x:v>
      </x:c>
      <x:c r="N164" s="23" t="str">
        <x:f>IF(AND(H164&lt;=G164,I164&lt;=H164,K164&lt;=J164),"PASS","FAIL")</x:f>
        <x:v>PASS</x:v>
      </x:c>
    </x:row>
    <x:row r="165">
      <x:c r="B165" s="21" t="str">
        <x:v>F14-I1-C</x:v>
      </x:c>
      <x:c r="C165" s="21" t="str">
        <x:v>F14-I1</x:v>
      </x:c>
      <x:c r="D165" s="21" t="str">
        <x:v>F14</x:v>
      </x:c>
      <x:c r="E165" s="21" t="str">
        <x:v>CHALLENGE</x:v>
      </x:c>
      <x:c r="F165" s="21" t="str">
        <x:v>Sovereign challenge cell TIO-05</x:v>
      </x:c>
      <x:c r="G165" s="21" t="n">
        <x:v>28</x:v>
      </x:c>
      <x:c r="H165" s="46" t="n">
        <x:v>0</x:v>
      </x:c>
      <x:c r="I165" s="46" t="n">
        <x:v>0</x:v>
      </x:c>
      <x:c r="J165" s="46" t="n">
        <x:v>8</x:v>
      </x:c>
      <x:c r="K165" s="46" t="n">
        <x:v>0</x:v>
      </x:c>
      <x:c r="L165" s="21" t="str">
        <x:v>OPEN</x:v>
      </x:c>
      <x:c r="M165" s="21" t="str">
        <x:v>BLOCKED</x:v>
      </x:c>
      <x:c r="N165" s="23" t="str">
        <x:f>IF(AND(H165&lt;=G165,I165&lt;=H165,K165&lt;=J165),"PASS","FAIL")</x:f>
        <x:v>PASS</x:v>
      </x:c>
    </x:row>
    <x:row r="166">
      <x:c r="B166" s="21" t="str">
        <x:v>F14-I2-A</x:v>
      </x:c>
      <x:c r="C166" s="21" t="str">
        <x:v>F14-I2</x:v>
      </x:c>
      <x:c r="D166" s="21" t="str">
        <x:v>F14</x:v>
      </x:c>
      <x:c r="E166" s="21" t="str">
        <x:v>BUILD A</x:v>
      </x:c>
      <x:c r="F166" s="21" t="str">
        <x:v>Independent build ecosystem 16</x:v>
      </x:c>
      <x:c r="G166" s="21" t="n">
        <x:v>28</x:v>
      </x:c>
      <x:c r="H166" s="46" t="n">
        <x:v>0</x:v>
      </x:c>
      <x:c r="I166" s="46" t="n">
        <x:v>0</x:v>
      </x:c>
      <x:c r="J166" s="46" t="n">
        <x:v>8</x:v>
      </x:c>
      <x:c r="K166" s="46" t="n">
        <x:v>0</x:v>
      </x:c>
      <x:c r="L166" s="21" t="str">
        <x:v>OPEN</x:v>
      </x:c>
      <x:c r="M166" s="21" t="str">
        <x:v>BLOCKED</x:v>
      </x:c>
      <x:c r="N166" s="23" t="str">
        <x:f>IF(AND(H166&lt;=G166,I166&lt;=H166,K166&lt;=J166),"PASS","FAIL")</x:f>
        <x:v>PASS</x:v>
      </x:c>
    </x:row>
    <x:row r="167">
      <x:c r="B167" s="21" t="str">
        <x:v>F14-I2-B</x:v>
      </x:c>
      <x:c r="C167" s="21" t="str">
        <x:v>F14-I2</x:v>
      </x:c>
      <x:c r="D167" s="21" t="str">
        <x:v>F14</x:v>
      </x:c>
      <x:c r="E167" s="21" t="str">
        <x:v>BUILD B</x:v>
      </x:c>
      <x:c r="F167" s="21" t="str">
        <x:v>Independent build ecosystem 02</x:v>
      </x:c>
      <x:c r="G167" s="21" t="n">
        <x:v>28</x:v>
      </x:c>
      <x:c r="H167" s="46" t="n">
        <x:v>0</x:v>
      </x:c>
      <x:c r="I167" s="46" t="n">
        <x:v>0</x:v>
      </x:c>
      <x:c r="J167" s="46" t="n">
        <x:v>8</x:v>
      </x:c>
      <x:c r="K167" s="46" t="n">
        <x:v>0</x:v>
      </x:c>
      <x:c r="L167" s="21" t="str">
        <x:v>OPEN</x:v>
      </x:c>
      <x:c r="M167" s="21" t="str">
        <x:v>BLOCKED</x:v>
      </x:c>
      <x:c r="N167" s="23" t="str">
        <x:f>IF(AND(H167&lt;=G167,I167&lt;=H167,K167&lt;=J167),"PASS","FAIL")</x:f>
        <x:v>PASS</x:v>
      </x:c>
    </x:row>
    <x:row r="168">
      <x:c r="B168" s="21" t="str">
        <x:v>F14-I2-C</x:v>
      </x:c>
      <x:c r="C168" s="21" t="str">
        <x:v>F14-I2</x:v>
      </x:c>
      <x:c r="D168" s="21" t="str">
        <x:v>F14</x:v>
      </x:c>
      <x:c r="E168" s="21" t="str">
        <x:v>CHALLENGE</x:v>
      </x:c>
      <x:c r="F168" s="21" t="str">
        <x:v>Sovereign challenge cell TIO-06</x:v>
      </x:c>
      <x:c r="G168" s="21" t="n">
        <x:v>28</x:v>
      </x:c>
      <x:c r="H168" s="46" t="n">
        <x:v>0</x:v>
      </x:c>
      <x:c r="I168" s="46" t="n">
        <x:v>0</x:v>
      </x:c>
      <x:c r="J168" s="46" t="n">
        <x:v>8</x:v>
      </x:c>
      <x:c r="K168" s="46" t="n">
        <x:v>0</x:v>
      </x:c>
      <x:c r="L168" s="21" t="str">
        <x:v>OPEN</x:v>
      </x:c>
      <x:c r="M168" s="21" t="str">
        <x:v>BLOCKED</x:v>
      </x:c>
      <x:c r="N168" s="23" t="str">
        <x:f>IF(AND(H168&lt;=G168,I168&lt;=H168,K168&lt;=J168),"PASS","FAIL")</x:f>
        <x:v>PASS</x:v>
      </x:c>
    </x:row>
    <x:row r="169">
      <x:c r="B169" s="21" t="str">
        <x:v>F14-I3-A</x:v>
      </x:c>
      <x:c r="C169" s="21" t="str">
        <x:v>F14-I3</x:v>
      </x:c>
      <x:c r="D169" s="21" t="str">
        <x:v>F14</x:v>
      </x:c>
      <x:c r="E169" s="21" t="str">
        <x:v>BUILD A</x:v>
      </x:c>
      <x:c r="F169" s="21" t="str">
        <x:v>Independent build ecosystem 03</x:v>
      </x:c>
      <x:c r="G169" s="21" t="n">
        <x:v>28</x:v>
      </x:c>
      <x:c r="H169" s="46" t="n">
        <x:v>0</x:v>
      </x:c>
      <x:c r="I169" s="46" t="n">
        <x:v>0</x:v>
      </x:c>
      <x:c r="J169" s="46" t="n">
        <x:v>8</x:v>
      </x:c>
      <x:c r="K169" s="46" t="n">
        <x:v>0</x:v>
      </x:c>
      <x:c r="L169" s="21" t="str">
        <x:v>OPEN</x:v>
      </x:c>
      <x:c r="M169" s="21" t="str">
        <x:v>BLOCKED</x:v>
      </x:c>
      <x:c r="N169" s="23" t="str">
        <x:f>IF(AND(H169&lt;=G169,I169&lt;=H169,K169&lt;=J169),"PASS","FAIL")</x:f>
        <x:v>PASS</x:v>
      </x:c>
    </x:row>
    <x:row r="170">
      <x:c r="B170" s="21" t="str">
        <x:v>F14-I3-B</x:v>
      </x:c>
      <x:c r="C170" s="21" t="str">
        <x:v>F14-I3</x:v>
      </x:c>
      <x:c r="D170" s="21" t="str">
        <x:v>F14</x:v>
      </x:c>
      <x:c r="E170" s="21" t="str">
        <x:v>BUILD B</x:v>
      </x:c>
      <x:c r="F170" s="21" t="str">
        <x:v>Independent build ecosystem 05</x:v>
      </x:c>
      <x:c r="G170" s="21" t="n">
        <x:v>28</x:v>
      </x:c>
      <x:c r="H170" s="46" t="n">
        <x:v>0</x:v>
      </x:c>
      <x:c r="I170" s="46" t="n">
        <x:v>0</x:v>
      </x:c>
      <x:c r="J170" s="46" t="n">
        <x:v>8</x:v>
      </x:c>
      <x:c r="K170" s="46" t="n">
        <x:v>0</x:v>
      </x:c>
      <x:c r="L170" s="21" t="str">
        <x:v>OPEN</x:v>
      </x:c>
      <x:c r="M170" s="21" t="str">
        <x:v>BLOCKED</x:v>
      </x:c>
      <x:c r="N170" s="23" t="str">
        <x:f>IF(AND(H170&lt;=G170,I170&lt;=H170,K170&lt;=J170),"PASS","FAIL")</x:f>
        <x:v>PASS</x:v>
      </x:c>
    </x:row>
    <x:row r="171">
      <x:c r="B171" s="21" t="str">
        <x:v>F14-I3-C</x:v>
      </x:c>
      <x:c r="C171" s="21" t="str">
        <x:v>F14-I3</x:v>
      </x:c>
      <x:c r="D171" s="21" t="str">
        <x:v>F14</x:v>
      </x:c>
      <x:c r="E171" s="21" t="str">
        <x:v>CHALLENGE</x:v>
      </x:c>
      <x:c r="F171" s="21" t="str">
        <x:v>Sovereign challenge cell TIO-07</x:v>
      </x:c>
      <x:c r="G171" s="21" t="n">
        <x:v>28</x:v>
      </x:c>
      <x:c r="H171" s="46" t="n">
        <x:v>0</x:v>
      </x:c>
      <x:c r="I171" s="46" t="n">
        <x:v>0</x:v>
      </x:c>
      <x:c r="J171" s="46" t="n">
        <x:v>8</x:v>
      </x:c>
      <x:c r="K171" s="46" t="n">
        <x:v>0</x:v>
      </x:c>
      <x:c r="L171" s="21" t="str">
        <x:v>OPEN</x:v>
      </x:c>
      <x:c r="M171" s="21" t="str">
        <x:v>BLOCKED</x:v>
      </x:c>
      <x:c r="N171" s="23" t="str">
        <x:f>IF(AND(H171&lt;=G171,I171&lt;=H171,K171&lt;=J171),"PASS","FAIL")</x:f>
        <x:v>PASS</x:v>
      </x:c>
    </x:row>
    <x:row r="172">
      <x:c r="B172" s="21" t="str">
        <x:v>F14-I4-A</x:v>
      </x:c>
      <x:c r="C172" s="21" t="str">
        <x:v>F14-I4</x:v>
      </x:c>
      <x:c r="D172" s="21" t="str">
        <x:v>F14</x:v>
      </x:c>
      <x:c r="E172" s="21" t="str">
        <x:v>BUILD A</x:v>
      </x:c>
      <x:c r="F172" s="21" t="str">
        <x:v>Independent build ecosystem 06</x:v>
      </x:c>
      <x:c r="G172" s="21" t="n">
        <x:v>28</x:v>
      </x:c>
      <x:c r="H172" s="46" t="n">
        <x:v>0</x:v>
      </x:c>
      <x:c r="I172" s="46" t="n">
        <x:v>0</x:v>
      </x:c>
      <x:c r="J172" s="46" t="n">
        <x:v>8</x:v>
      </x:c>
      <x:c r="K172" s="46" t="n">
        <x:v>0</x:v>
      </x:c>
      <x:c r="L172" s="21" t="str">
        <x:v>OPEN</x:v>
      </x:c>
      <x:c r="M172" s="21" t="str">
        <x:v>BLOCKED</x:v>
      </x:c>
      <x:c r="N172" s="23" t="str">
        <x:f>IF(AND(H172&lt;=G172,I172&lt;=H172,K172&lt;=J172),"PASS","FAIL")</x:f>
        <x:v>PASS</x:v>
      </x:c>
    </x:row>
    <x:row r="173">
      <x:c r="B173" s="21" t="str">
        <x:v>F14-I4-B</x:v>
      </x:c>
      <x:c r="C173" s="21" t="str">
        <x:v>F14-I4</x:v>
      </x:c>
      <x:c r="D173" s="21" t="str">
        <x:v>F14</x:v>
      </x:c>
      <x:c r="E173" s="21" t="str">
        <x:v>BUILD B</x:v>
      </x:c>
      <x:c r="F173" s="21" t="str">
        <x:v>Independent build ecosystem 08</x:v>
      </x:c>
      <x:c r="G173" s="21" t="n">
        <x:v>28</x:v>
      </x:c>
      <x:c r="H173" s="46" t="n">
        <x:v>0</x:v>
      </x:c>
      <x:c r="I173" s="46" t="n">
        <x:v>0</x:v>
      </x:c>
      <x:c r="J173" s="46" t="n">
        <x:v>8</x:v>
      </x:c>
      <x:c r="K173" s="46" t="n">
        <x:v>0</x:v>
      </x:c>
      <x:c r="L173" s="21" t="str">
        <x:v>OPEN</x:v>
      </x:c>
      <x:c r="M173" s="21" t="str">
        <x:v>BLOCKED</x:v>
      </x:c>
      <x:c r="N173" s="23" t="str">
        <x:f>IF(AND(H173&lt;=G173,I173&lt;=H173,K173&lt;=J173),"PASS","FAIL")</x:f>
        <x:v>PASS</x:v>
      </x:c>
    </x:row>
    <x:row r="174">
      <x:c r="B174" s="21" t="str">
        <x:v>F14-I4-C</x:v>
      </x:c>
      <x:c r="C174" s="21" t="str">
        <x:v>F14-I4</x:v>
      </x:c>
      <x:c r="D174" s="21" t="str">
        <x:v>F14</x:v>
      </x:c>
      <x:c r="E174" s="21" t="str">
        <x:v>CHALLENGE</x:v>
      </x:c>
      <x:c r="F174" s="21" t="str">
        <x:v>Sovereign challenge cell TIO-08</x:v>
      </x:c>
      <x:c r="G174" s="21" t="n">
        <x:v>28</x:v>
      </x:c>
      <x:c r="H174" s="46" t="n">
        <x:v>0</x:v>
      </x:c>
      <x:c r="I174" s="46" t="n">
        <x:v>0</x:v>
      </x:c>
      <x:c r="J174" s="46" t="n">
        <x:v>8</x:v>
      </x:c>
      <x:c r="K174" s="46" t="n">
        <x:v>0</x:v>
      </x:c>
      <x:c r="L174" s="21" t="str">
        <x:v>OPEN</x:v>
      </x:c>
      <x:c r="M174" s="21" t="str">
        <x:v>BLOCKED</x:v>
      </x:c>
      <x:c r="N174" s="23" t="str">
        <x:f>IF(AND(H174&lt;=G174,I174&lt;=H174,K174&lt;=J174),"PASS","FAIL")</x:f>
        <x:v>PASS</x:v>
      </x:c>
    </x:row>
    <x:row r="175">
      <x:c r="B175" s="21" t="str">
        <x:v>F15-I1-A</x:v>
      </x:c>
      <x:c r="C175" s="21" t="str">
        <x:v>F15-I1</x:v>
      </x:c>
      <x:c r="D175" s="21" t="str">
        <x:v>F15</x:v>
      </x:c>
      <x:c r="E175" s="21" t="str">
        <x:v>BUILD A</x:v>
      </x:c>
      <x:c r="F175" s="21" t="str">
        <x:v>Independent build ecosystem 09</x:v>
      </x:c>
      <x:c r="G175" s="21" t="n">
        <x:v>28</x:v>
      </x:c>
      <x:c r="H175" s="46" t="n">
        <x:v>0</x:v>
      </x:c>
      <x:c r="I175" s="46" t="n">
        <x:v>0</x:v>
      </x:c>
      <x:c r="J175" s="46" t="n">
        <x:v>8</x:v>
      </x:c>
      <x:c r="K175" s="46" t="n">
        <x:v>0</x:v>
      </x:c>
      <x:c r="L175" s="21" t="str">
        <x:v>OPEN</x:v>
      </x:c>
      <x:c r="M175" s="21" t="str">
        <x:v>BLOCKED</x:v>
      </x:c>
      <x:c r="N175" s="23" t="str">
        <x:f>IF(AND(H175&lt;=G175,I175&lt;=H175,K175&lt;=J175),"PASS","FAIL")</x:f>
        <x:v>PASS</x:v>
      </x:c>
    </x:row>
    <x:row r="176">
      <x:c r="B176" s="21" t="str">
        <x:v>F15-I1-B</x:v>
      </x:c>
      <x:c r="C176" s="21" t="str">
        <x:v>F15-I1</x:v>
      </x:c>
      <x:c r="D176" s="21" t="str">
        <x:v>F15</x:v>
      </x:c>
      <x:c r="E176" s="21" t="str">
        <x:v>BUILD B</x:v>
      </x:c>
      <x:c r="F176" s="21" t="str">
        <x:v>Independent build ecosystem 11</x:v>
      </x:c>
      <x:c r="G176" s="21" t="n">
        <x:v>28</x:v>
      </x:c>
      <x:c r="H176" s="46" t="n">
        <x:v>0</x:v>
      </x:c>
      <x:c r="I176" s="46" t="n">
        <x:v>0</x:v>
      </x:c>
      <x:c r="J176" s="46" t="n">
        <x:v>8</x:v>
      </x:c>
      <x:c r="K176" s="46" t="n">
        <x:v>0</x:v>
      </x:c>
      <x:c r="L176" s="21" t="str">
        <x:v>OPEN</x:v>
      </x:c>
      <x:c r="M176" s="21" t="str">
        <x:v>BLOCKED</x:v>
      </x:c>
      <x:c r="N176" s="23" t="str">
        <x:f>IF(AND(H176&lt;=G176,I176&lt;=H176,K176&lt;=J176),"PASS","FAIL")</x:f>
        <x:v>PASS</x:v>
      </x:c>
    </x:row>
    <x:row r="177">
      <x:c r="B177" s="21" t="str">
        <x:v>F15-I1-C</x:v>
      </x:c>
      <x:c r="C177" s="21" t="str">
        <x:v>F15-I1</x:v>
      </x:c>
      <x:c r="D177" s="21" t="str">
        <x:v>F15</x:v>
      </x:c>
      <x:c r="E177" s="21" t="str">
        <x:v>CHALLENGE</x:v>
      </x:c>
      <x:c r="F177" s="21" t="str">
        <x:v>Sovereign challenge cell TIO-09</x:v>
      </x:c>
      <x:c r="G177" s="21" t="n">
        <x:v>28</x:v>
      </x:c>
      <x:c r="H177" s="46" t="n">
        <x:v>0</x:v>
      </x:c>
      <x:c r="I177" s="46" t="n">
        <x:v>0</x:v>
      </x:c>
      <x:c r="J177" s="46" t="n">
        <x:v>8</x:v>
      </x:c>
      <x:c r="K177" s="46" t="n">
        <x:v>0</x:v>
      </x:c>
      <x:c r="L177" s="21" t="str">
        <x:v>OPEN</x:v>
      </x:c>
      <x:c r="M177" s="21" t="str">
        <x:v>BLOCKED</x:v>
      </x:c>
      <x:c r="N177" s="23" t="str">
        <x:f>IF(AND(H177&lt;=G177,I177&lt;=H177,K177&lt;=J177),"PASS","FAIL")</x:f>
        <x:v>PASS</x:v>
      </x:c>
    </x:row>
    <x:row r="178">
      <x:c r="B178" s="21" t="str">
        <x:v>F15-I2-A</x:v>
      </x:c>
      <x:c r="C178" s="21" t="str">
        <x:v>F15-I2</x:v>
      </x:c>
      <x:c r="D178" s="21" t="str">
        <x:v>F15</x:v>
      </x:c>
      <x:c r="E178" s="21" t="str">
        <x:v>BUILD A</x:v>
      </x:c>
      <x:c r="F178" s="21" t="str">
        <x:v>Independent build ecosystem 12</x:v>
      </x:c>
      <x:c r="G178" s="21" t="n">
        <x:v>28</x:v>
      </x:c>
      <x:c r="H178" s="46" t="n">
        <x:v>0</x:v>
      </x:c>
      <x:c r="I178" s="46" t="n">
        <x:v>0</x:v>
      </x:c>
      <x:c r="J178" s="46" t="n">
        <x:v>8</x:v>
      </x:c>
      <x:c r="K178" s="46" t="n">
        <x:v>0</x:v>
      </x:c>
      <x:c r="L178" s="21" t="str">
        <x:v>OPEN</x:v>
      </x:c>
      <x:c r="M178" s="21" t="str">
        <x:v>BLOCKED</x:v>
      </x:c>
      <x:c r="N178" s="23" t="str">
        <x:f>IF(AND(H178&lt;=G178,I178&lt;=H178,K178&lt;=J178),"PASS","FAIL")</x:f>
        <x:v>PASS</x:v>
      </x:c>
    </x:row>
    <x:row r="179">
      <x:c r="B179" s="21" t="str">
        <x:v>F15-I2-B</x:v>
      </x:c>
      <x:c r="C179" s="21" t="str">
        <x:v>F15-I2</x:v>
      </x:c>
      <x:c r="D179" s="21" t="str">
        <x:v>F15</x:v>
      </x:c>
      <x:c r="E179" s="21" t="str">
        <x:v>BUILD B</x:v>
      </x:c>
      <x:c r="F179" s="21" t="str">
        <x:v>Independent build ecosystem 14</x:v>
      </x:c>
      <x:c r="G179" s="21" t="n">
        <x:v>28</x:v>
      </x:c>
      <x:c r="H179" s="46" t="n">
        <x:v>0</x:v>
      </x:c>
      <x:c r="I179" s="46" t="n">
        <x:v>0</x:v>
      </x:c>
      <x:c r="J179" s="46" t="n">
        <x:v>8</x:v>
      </x:c>
      <x:c r="K179" s="46" t="n">
        <x:v>0</x:v>
      </x:c>
      <x:c r="L179" s="21" t="str">
        <x:v>OPEN</x:v>
      </x:c>
      <x:c r="M179" s="21" t="str">
        <x:v>BLOCKED</x:v>
      </x:c>
      <x:c r="N179" s="23" t="str">
        <x:f>IF(AND(H179&lt;=G179,I179&lt;=H179,K179&lt;=J179),"PASS","FAIL")</x:f>
        <x:v>PASS</x:v>
      </x:c>
    </x:row>
    <x:row r="180">
      <x:c r="B180" s="21" t="str">
        <x:v>F15-I2-C</x:v>
      </x:c>
      <x:c r="C180" s="21" t="str">
        <x:v>F15-I2</x:v>
      </x:c>
      <x:c r="D180" s="21" t="str">
        <x:v>F15</x:v>
      </x:c>
      <x:c r="E180" s="21" t="str">
        <x:v>CHALLENGE</x:v>
      </x:c>
      <x:c r="F180" s="21" t="str">
        <x:v>Sovereign challenge cell TIO-10</x:v>
      </x:c>
      <x:c r="G180" s="21" t="n">
        <x:v>28</x:v>
      </x:c>
      <x:c r="H180" s="46" t="n">
        <x:v>0</x:v>
      </x:c>
      <x:c r="I180" s="46" t="n">
        <x:v>0</x:v>
      </x:c>
      <x:c r="J180" s="46" t="n">
        <x:v>8</x:v>
      </x:c>
      <x:c r="K180" s="46" t="n">
        <x:v>0</x:v>
      </x:c>
      <x:c r="L180" s="21" t="str">
        <x:v>OPEN</x:v>
      </x:c>
      <x:c r="M180" s="21" t="str">
        <x:v>BLOCKED</x:v>
      </x:c>
      <x:c r="N180" s="23" t="str">
        <x:f>IF(AND(H180&lt;=G180,I180&lt;=H180,K180&lt;=J180),"PASS","FAIL")</x:f>
        <x:v>PASS</x:v>
      </x:c>
    </x:row>
    <x:row r="181">
      <x:c r="B181" s="21" t="str">
        <x:v>F15-I3-A</x:v>
      </x:c>
      <x:c r="C181" s="21" t="str">
        <x:v>F15-I3</x:v>
      </x:c>
      <x:c r="D181" s="21" t="str">
        <x:v>F15</x:v>
      </x:c>
      <x:c r="E181" s="21" t="str">
        <x:v>BUILD A</x:v>
      </x:c>
      <x:c r="F181" s="21" t="str">
        <x:v>Independent build ecosystem 15</x:v>
      </x:c>
      <x:c r="G181" s="21" t="n">
        <x:v>28</x:v>
      </x:c>
      <x:c r="H181" s="46" t="n">
        <x:v>0</x:v>
      </x:c>
      <x:c r="I181" s="46" t="n">
        <x:v>0</x:v>
      </x:c>
      <x:c r="J181" s="46" t="n">
        <x:v>8</x:v>
      </x:c>
      <x:c r="K181" s="46" t="n">
        <x:v>0</x:v>
      </x:c>
      <x:c r="L181" s="21" t="str">
        <x:v>OPEN</x:v>
      </x:c>
      <x:c r="M181" s="21" t="str">
        <x:v>BLOCKED</x:v>
      </x:c>
      <x:c r="N181" s="23" t="str">
        <x:f>IF(AND(H181&lt;=G181,I181&lt;=H181,K181&lt;=J181),"PASS","FAIL")</x:f>
        <x:v>PASS</x:v>
      </x:c>
    </x:row>
    <x:row r="182">
      <x:c r="B182" s="21" t="str">
        <x:v>F15-I3-B</x:v>
      </x:c>
      <x:c r="C182" s="21" t="str">
        <x:v>F15-I3</x:v>
      </x:c>
      <x:c r="D182" s="21" t="str">
        <x:v>F15</x:v>
      </x:c>
      <x:c r="E182" s="21" t="str">
        <x:v>BUILD B</x:v>
      </x:c>
      <x:c r="F182" s="21" t="str">
        <x:v>Independent build ecosystem 01</x:v>
      </x:c>
      <x:c r="G182" s="21" t="n">
        <x:v>28</x:v>
      </x:c>
      <x:c r="H182" s="46" t="n">
        <x:v>0</x:v>
      </x:c>
      <x:c r="I182" s="46" t="n">
        <x:v>0</x:v>
      </x:c>
      <x:c r="J182" s="46" t="n">
        <x:v>8</x:v>
      </x:c>
      <x:c r="K182" s="46" t="n">
        <x:v>0</x:v>
      </x:c>
      <x:c r="L182" s="21" t="str">
        <x:v>OPEN</x:v>
      </x:c>
      <x:c r="M182" s="21" t="str">
        <x:v>BLOCKED</x:v>
      </x:c>
      <x:c r="N182" s="23" t="str">
        <x:f>IF(AND(H182&lt;=G182,I182&lt;=H182,K182&lt;=J182),"PASS","FAIL")</x:f>
        <x:v>PASS</x:v>
      </x:c>
    </x:row>
    <x:row r="183">
      <x:c r="B183" s="21" t="str">
        <x:v>F15-I3-C</x:v>
      </x:c>
      <x:c r="C183" s="21" t="str">
        <x:v>F15-I3</x:v>
      </x:c>
      <x:c r="D183" s="21" t="str">
        <x:v>F15</x:v>
      </x:c>
      <x:c r="E183" s="21" t="str">
        <x:v>CHALLENGE</x:v>
      </x:c>
      <x:c r="F183" s="21" t="str">
        <x:v>Sovereign challenge cell TIO-11</x:v>
      </x:c>
      <x:c r="G183" s="21" t="n">
        <x:v>28</x:v>
      </x:c>
      <x:c r="H183" s="46" t="n">
        <x:v>0</x:v>
      </x:c>
      <x:c r="I183" s="46" t="n">
        <x:v>0</x:v>
      </x:c>
      <x:c r="J183" s="46" t="n">
        <x:v>8</x:v>
      </x:c>
      <x:c r="K183" s="46" t="n">
        <x:v>0</x:v>
      </x:c>
      <x:c r="L183" s="21" t="str">
        <x:v>OPEN</x:v>
      </x:c>
      <x:c r="M183" s="21" t="str">
        <x:v>BLOCKED</x:v>
      </x:c>
      <x:c r="N183" s="23" t="str">
        <x:f>IF(AND(H183&lt;=G183,I183&lt;=H183,K183&lt;=J183),"PASS","FAIL")</x:f>
        <x:v>PASS</x:v>
      </x:c>
    </x:row>
    <x:row r="184">
      <x:c r="B184" s="21" t="str">
        <x:v>F15-I4-A</x:v>
      </x:c>
      <x:c r="C184" s="21" t="str">
        <x:v>F15-I4</x:v>
      </x:c>
      <x:c r="D184" s="21" t="str">
        <x:v>F15</x:v>
      </x:c>
      <x:c r="E184" s="21" t="str">
        <x:v>BUILD A</x:v>
      </x:c>
      <x:c r="F184" s="21" t="str">
        <x:v>Independent build ecosystem 02</x:v>
      </x:c>
      <x:c r="G184" s="21" t="n">
        <x:v>28</x:v>
      </x:c>
      <x:c r="H184" s="46" t="n">
        <x:v>0</x:v>
      </x:c>
      <x:c r="I184" s="46" t="n">
        <x:v>0</x:v>
      </x:c>
      <x:c r="J184" s="46" t="n">
        <x:v>8</x:v>
      </x:c>
      <x:c r="K184" s="46" t="n">
        <x:v>0</x:v>
      </x:c>
      <x:c r="L184" s="21" t="str">
        <x:v>OPEN</x:v>
      </x:c>
      <x:c r="M184" s="21" t="str">
        <x:v>BLOCKED</x:v>
      </x:c>
      <x:c r="N184" s="23" t="str">
        <x:f>IF(AND(H184&lt;=G184,I184&lt;=H184,K184&lt;=J184),"PASS","FAIL")</x:f>
        <x:v>PASS</x:v>
      </x:c>
    </x:row>
    <x:row r="185">
      <x:c r="B185" s="21" t="str">
        <x:v>F15-I4-B</x:v>
      </x:c>
      <x:c r="C185" s="21" t="str">
        <x:v>F15-I4</x:v>
      </x:c>
      <x:c r="D185" s="21" t="str">
        <x:v>F15</x:v>
      </x:c>
      <x:c r="E185" s="21" t="str">
        <x:v>BUILD B</x:v>
      </x:c>
      <x:c r="F185" s="21" t="str">
        <x:v>Independent build ecosystem 04</x:v>
      </x:c>
      <x:c r="G185" s="21" t="n">
        <x:v>28</x:v>
      </x:c>
      <x:c r="H185" s="46" t="n">
        <x:v>0</x:v>
      </x:c>
      <x:c r="I185" s="46" t="n">
        <x:v>0</x:v>
      </x:c>
      <x:c r="J185" s="46" t="n">
        <x:v>8</x:v>
      </x:c>
      <x:c r="K185" s="46" t="n">
        <x:v>0</x:v>
      </x:c>
      <x:c r="L185" s="21" t="str">
        <x:v>OPEN</x:v>
      </x:c>
      <x:c r="M185" s="21" t="str">
        <x:v>BLOCKED</x:v>
      </x:c>
      <x:c r="N185" s="23" t="str">
        <x:f>IF(AND(H185&lt;=G185,I185&lt;=H185,K185&lt;=J185),"PASS","FAIL")</x:f>
        <x:v>PASS</x:v>
      </x:c>
    </x:row>
    <x:row r="186">
      <x:c r="B186" s="21" t="str">
        <x:v>F15-I4-C</x:v>
      </x:c>
      <x:c r="C186" s="21" t="str">
        <x:v>F15-I4</x:v>
      </x:c>
      <x:c r="D186" s="21" t="str">
        <x:v>F15</x:v>
      </x:c>
      <x:c r="E186" s="21" t="str">
        <x:v>CHALLENGE</x:v>
      </x:c>
      <x:c r="F186" s="21" t="str">
        <x:v>Sovereign challenge cell TIO-12</x:v>
      </x:c>
      <x:c r="G186" s="21" t="n">
        <x:v>28</x:v>
      </x:c>
      <x:c r="H186" s="46" t="n">
        <x:v>0</x:v>
      </x:c>
      <x:c r="I186" s="46" t="n">
        <x:v>0</x:v>
      </x:c>
      <x:c r="J186" s="46" t="n">
        <x:v>8</x:v>
      </x:c>
      <x:c r="K186" s="46" t="n">
        <x:v>0</x:v>
      </x:c>
      <x:c r="L186" s="21" t="str">
        <x:v>OPEN</x:v>
      </x:c>
      <x:c r="M186" s="21" t="str">
        <x:v>BLOCKED</x:v>
      </x:c>
      <x:c r="N186" s="23" t="str">
        <x:f>IF(AND(H186&lt;=G186,I186&lt;=H186,K186&lt;=J186),"PASS","FAIL")</x:f>
        <x:v>PASS</x:v>
      </x:c>
    </x:row>
    <x:row r="187">
      <x:c r="B187" s="21" t="str">
        <x:v>F16-I1-A</x:v>
      </x:c>
      <x:c r="C187" s="21" t="str">
        <x:v>F16-I1</x:v>
      </x:c>
      <x:c r="D187" s="21" t="str">
        <x:v>F16</x:v>
      </x:c>
      <x:c r="E187" s="21" t="str">
        <x:v>BUILD A</x:v>
      </x:c>
      <x:c r="F187" s="21" t="str">
        <x:v>Independent build ecosystem 05</x:v>
      </x:c>
      <x:c r="G187" s="21" t="n">
        <x:v>28</x:v>
      </x:c>
      <x:c r="H187" s="46" t="n">
        <x:v>0</x:v>
      </x:c>
      <x:c r="I187" s="46" t="n">
        <x:v>0</x:v>
      </x:c>
      <x:c r="J187" s="46" t="n">
        <x:v>8</x:v>
      </x:c>
      <x:c r="K187" s="46" t="n">
        <x:v>0</x:v>
      </x:c>
      <x:c r="L187" s="21" t="str">
        <x:v>OPEN</x:v>
      </x:c>
      <x:c r="M187" s="21" t="str">
        <x:v>BLOCKED</x:v>
      </x:c>
      <x:c r="N187" s="23" t="str">
        <x:f>IF(AND(H187&lt;=G187,I187&lt;=H187,K187&lt;=J187),"PASS","FAIL")</x:f>
        <x:v>PASS</x:v>
      </x:c>
    </x:row>
    <x:row r="188">
      <x:c r="B188" s="21" t="str">
        <x:v>F16-I1-B</x:v>
      </x:c>
      <x:c r="C188" s="21" t="str">
        <x:v>F16-I1</x:v>
      </x:c>
      <x:c r="D188" s="21" t="str">
        <x:v>F16</x:v>
      </x:c>
      <x:c r="E188" s="21" t="str">
        <x:v>BUILD B</x:v>
      </x:c>
      <x:c r="F188" s="21" t="str">
        <x:v>Independent build ecosystem 07</x:v>
      </x:c>
      <x:c r="G188" s="21" t="n">
        <x:v>28</x:v>
      </x:c>
      <x:c r="H188" s="46" t="n">
        <x:v>0</x:v>
      </x:c>
      <x:c r="I188" s="46" t="n">
        <x:v>0</x:v>
      </x:c>
      <x:c r="J188" s="46" t="n">
        <x:v>8</x:v>
      </x:c>
      <x:c r="K188" s="46" t="n">
        <x:v>0</x:v>
      </x:c>
      <x:c r="L188" s="21" t="str">
        <x:v>OPEN</x:v>
      </x:c>
      <x:c r="M188" s="21" t="str">
        <x:v>BLOCKED</x:v>
      </x:c>
      <x:c r="N188" s="23" t="str">
        <x:f>IF(AND(H188&lt;=G188,I188&lt;=H188,K188&lt;=J188),"PASS","FAIL")</x:f>
        <x:v>PASS</x:v>
      </x:c>
    </x:row>
    <x:row r="189">
      <x:c r="B189" s="21" t="str">
        <x:v>F16-I1-C</x:v>
      </x:c>
      <x:c r="C189" s="21" t="str">
        <x:v>F16-I1</x:v>
      </x:c>
      <x:c r="D189" s="21" t="str">
        <x:v>F16</x:v>
      </x:c>
      <x:c r="E189" s="21" t="str">
        <x:v>CHALLENGE</x:v>
      </x:c>
      <x:c r="F189" s="21" t="str">
        <x:v>Sovereign challenge cell TIO-13</x:v>
      </x:c>
      <x:c r="G189" s="21" t="n">
        <x:v>28</x:v>
      </x:c>
      <x:c r="H189" s="46" t="n">
        <x:v>0</x:v>
      </x:c>
      <x:c r="I189" s="46" t="n">
        <x:v>0</x:v>
      </x:c>
      <x:c r="J189" s="46" t="n">
        <x:v>8</x:v>
      </x:c>
      <x:c r="K189" s="46" t="n">
        <x:v>0</x:v>
      </x:c>
      <x:c r="L189" s="21" t="str">
        <x:v>OPEN</x:v>
      </x:c>
      <x:c r="M189" s="21" t="str">
        <x:v>BLOCKED</x:v>
      </x:c>
      <x:c r="N189" s="23" t="str">
        <x:f>IF(AND(H189&lt;=G189,I189&lt;=H189,K189&lt;=J189),"PASS","FAIL")</x:f>
        <x:v>PASS</x:v>
      </x:c>
    </x:row>
    <x:row r="190">
      <x:c r="B190" s="21" t="str">
        <x:v>F16-I2-A</x:v>
      </x:c>
      <x:c r="C190" s="21" t="str">
        <x:v>F16-I2</x:v>
      </x:c>
      <x:c r="D190" s="21" t="str">
        <x:v>F16</x:v>
      </x:c>
      <x:c r="E190" s="21" t="str">
        <x:v>BUILD A</x:v>
      </x:c>
      <x:c r="F190" s="21" t="str">
        <x:v>Independent build ecosystem 08</x:v>
      </x:c>
      <x:c r="G190" s="21" t="n">
        <x:v>28</x:v>
      </x:c>
      <x:c r="H190" s="46" t="n">
        <x:v>0</x:v>
      </x:c>
      <x:c r="I190" s="46" t="n">
        <x:v>0</x:v>
      </x:c>
      <x:c r="J190" s="46" t="n">
        <x:v>8</x:v>
      </x:c>
      <x:c r="K190" s="46" t="n">
        <x:v>0</x:v>
      </x:c>
      <x:c r="L190" s="21" t="str">
        <x:v>OPEN</x:v>
      </x:c>
      <x:c r="M190" s="21" t="str">
        <x:v>BLOCKED</x:v>
      </x:c>
      <x:c r="N190" s="23" t="str">
        <x:f>IF(AND(H190&lt;=G190,I190&lt;=H190,K190&lt;=J190),"PASS","FAIL")</x:f>
        <x:v>PASS</x:v>
      </x:c>
    </x:row>
    <x:row r="191">
      <x:c r="B191" s="21" t="str">
        <x:v>F16-I2-B</x:v>
      </x:c>
      <x:c r="C191" s="21" t="str">
        <x:v>F16-I2</x:v>
      </x:c>
      <x:c r="D191" s="21" t="str">
        <x:v>F16</x:v>
      </x:c>
      <x:c r="E191" s="21" t="str">
        <x:v>BUILD B</x:v>
      </x:c>
      <x:c r="F191" s="21" t="str">
        <x:v>Independent build ecosystem 10</x:v>
      </x:c>
      <x:c r="G191" s="21" t="n">
        <x:v>28</x:v>
      </x:c>
      <x:c r="H191" s="46" t="n">
        <x:v>0</x:v>
      </x:c>
      <x:c r="I191" s="46" t="n">
        <x:v>0</x:v>
      </x:c>
      <x:c r="J191" s="46" t="n">
        <x:v>8</x:v>
      </x:c>
      <x:c r="K191" s="46" t="n">
        <x:v>0</x:v>
      </x:c>
      <x:c r="L191" s="21" t="str">
        <x:v>OPEN</x:v>
      </x:c>
      <x:c r="M191" s="21" t="str">
        <x:v>BLOCKED</x:v>
      </x:c>
      <x:c r="N191" s="23" t="str">
        <x:f>IF(AND(H191&lt;=G191,I191&lt;=H191,K191&lt;=J191),"PASS","FAIL")</x:f>
        <x:v>PASS</x:v>
      </x:c>
    </x:row>
    <x:row r="192">
      <x:c r="B192" s="21" t="str">
        <x:v>F16-I2-C</x:v>
      </x:c>
      <x:c r="C192" s="21" t="str">
        <x:v>F16-I2</x:v>
      </x:c>
      <x:c r="D192" s="21" t="str">
        <x:v>F16</x:v>
      </x:c>
      <x:c r="E192" s="21" t="str">
        <x:v>CHALLENGE</x:v>
      </x:c>
      <x:c r="F192" s="21" t="str">
        <x:v>Sovereign challenge cell TIO-14</x:v>
      </x:c>
      <x:c r="G192" s="21" t="n">
        <x:v>28</x:v>
      </x:c>
      <x:c r="H192" s="46" t="n">
        <x:v>0</x:v>
      </x:c>
      <x:c r="I192" s="46" t="n">
        <x:v>0</x:v>
      </x:c>
      <x:c r="J192" s="46" t="n">
        <x:v>8</x:v>
      </x:c>
      <x:c r="K192" s="46" t="n">
        <x:v>0</x:v>
      </x:c>
      <x:c r="L192" s="21" t="str">
        <x:v>OPEN</x:v>
      </x:c>
      <x:c r="M192" s="21" t="str">
        <x:v>BLOCKED</x:v>
      </x:c>
      <x:c r="N192" s="23" t="str">
        <x:f>IF(AND(H192&lt;=G192,I192&lt;=H192,K192&lt;=J192),"PASS","FAIL")</x:f>
        <x:v>PASS</x:v>
      </x:c>
    </x:row>
    <x:row r="193">
      <x:c r="B193" s="21" t="str">
        <x:v>F16-I3-A</x:v>
      </x:c>
      <x:c r="C193" s="21" t="str">
        <x:v>F16-I3</x:v>
      </x:c>
      <x:c r="D193" s="21" t="str">
        <x:v>F16</x:v>
      </x:c>
      <x:c r="E193" s="21" t="str">
        <x:v>BUILD A</x:v>
      </x:c>
      <x:c r="F193" s="21" t="str">
        <x:v>Independent build ecosystem 11</x:v>
      </x:c>
      <x:c r="G193" s="21" t="n">
        <x:v>28</x:v>
      </x:c>
      <x:c r="H193" s="46" t="n">
        <x:v>0</x:v>
      </x:c>
      <x:c r="I193" s="46" t="n">
        <x:v>0</x:v>
      </x:c>
      <x:c r="J193" s="46" t="n">
        <x:v>8</x:v>
      </x:c>
      <x:c r="K193" s="46" t="n">
        <x:v>0</x:v>
      </x:c>
      <x:c r="L193" s="21" t="str">
        <x:v>OPEN</x:v>
      </x:c>
      <x:c r="M193" s="21" t="str">
        <x:v>BLOCKED</x:v>
      </x:c>
      <x:c r="N193" s="23" t="str">
        <x:f>IF(AND(H193&lt;=G193,I193&lt;=H193,K193&lt;=J193),"PASS","FAIL")</x:f>
        <x:v>PASS</x:v>
      </x:c>
    </x:row>
    <x:row r="194">
      <x:c r="B194" s="21" t="str">
        <x:v>F16-I3-B</x:v>
      </x:c>
      <x:c r="C194" s="21" t="str">
        <x:v>F16-I3</x:v>
      </x:c>
      <x:c r="D194" s="21" t="str">
        <x:v>F16</x:v>
      </x:c>
      <x:c r="E194" s="21" t="str">
        <x:v>BUILD B</x:v>
      </x:c>
      <x:c r="F194" s="21" t="str">
        <x:v>Independent build ecosystem 13</x:v>
      </x:c>
      <x:c r="G194" s="21" t="n">
        <x:v>28</x:v>
      </x:c>
      <x:c r="H194" s="46" t="n">
        <x:v>0</x:v>
      </x:c>
      <x:c r="I194" s="46" t="n">
        <x:v>0</x:v>
      </x:c>
      <x:c r="J194" s="46" t="n">
        <x:v>8</x:v>
      </x:c>
      <x:c r="K194" s="46" t="n">
        <x:v>0</x:v>
      </x:c>
      <x:c r="L194" s="21" t="str">
        <x:v>OPEN</x:v>
      </x:c>
      <x:c r="M194" s="21" t="str">
        <x:v>BLOCKED</x:v>
      </x:c>
      <x:c r="N194" s="23" t="str">
        <x:f>IF(AND(H194&lt;=G194,I194&lt;=H194,K194&lt;=J194),"PASS","FAIL")</x:f>
        <x:v>PASS</x:v>
      </x:c>
    </x:row>
    <x:row r="195">
      <x:c r="B195" s="21" t="str">
        <x:v>F16-I3-C</x:v>
      </x:c>
      <x:c r="C195" s="21" t="str">
        <x:v>F16-I3</x:v>
      </x:c>
      <x:c r="D195" s="21" t="str">
        <x:v>F16</x:v>
      </x:c>
      <x:c r="E195" s="21" t="str">
        <x:v>CHALLENGE</x:v>
      </x:c>
      <x:c r="F195" s="21" t="str">
        <x:v>Sovereign challenge cell TIO-15</x:v>
      </x:c>
      <x:c r="G195" s="21" t="n">
        <x:v>28</x:v>
      </x:c>
      <x:c r="H195" s="46" t="n">
        <x:v>0</x:v>
      </x:c>
      <x:c r="I195" s="46" t="n">
        <x:v>0</x:v>
      </x:c>
      <x:c r="J195" s="46" t="n">
        <x:v>8</x:v>
      </x:c>
      <x:c r="K195" s="46" t="n">
        <x:v>0</x:v>
      </x:c>
      <x:c r="L195" s="21" t="str">
        <x:v>OPEN</x:v>
      </x:c>
      <x:c r="M195" s="21" t="str">
        <x:v>BLOCKED</x:v>
      </x:c>
      <x:c r="N195" s="23" t="str">
        <x:f>IF(AND(H195&lt;=G195,I195&lt;=H195,K195&lt;=J195),"PASS","FAIL")</x:f>
        <x:v>PASS</x:v>
      </x:c>
    </x:row>
    <x:row r="196">
      <x:c r="B196" s="21" t="str">
        <x:v>F16-I4-A</x:v>
      </x:c>
      <x:c r="C196" s="21" t="str">
        <x:v>F16-I4</x:v>
      </x:c>
      <x:c r="D196" s="21" t="str">
        <x:v>F16</x:v>
      </x:c>
      <x:c r="E196" s="21" t="str">
        <x:v>BUILD A</x:v>
      </x:c>
      <x:c r="F196" s="21" t="str">
        <x:v>Independent build ecosystem 14</x:v>
      </x:c>
      <x:c r="G196" s="21" t="n">
        <x:v>28</x:v>
      </x:c>
      <x:c r="H196" s="46" t="n">
        <x:v>0</x:v>
      </x:c>
      <x:c r="I196" s="46" t="n">
        <x:v>0</x:v>
      </x:c>
      <x:c r="J196" s="46" t="n">
        <x:v>8</x:v>
      </x:c>
      <x:c r="K196" s="46" t="n">
        <x:v>0</x:v>
      </x:c>
      <x:c r="L196" s="21" t="str">
        <x:v>OPEN</x:v>
      </x:c>
      <x:c r="M196" s="21" t="str">
        <x:v>BLOCKED</x:v>
      </x:c>
      <x:c r="N196" s="23" t="str">
        <x:f>IF(AND(H196&lt;=G196,I196&lt;=H196,K196&lt;=J196),"PASS","FAIL")</x:f>
        <x:v>PASS</x:v>
      </x:c>
    </x:row>
    <x:row r="197">
      <x:c r="B197" s="21" t="str">
        <x:v>F16-I4-B</x:v>
      </x:c>
      <x:c r="C197" s="21" t="str">
        <x:v>F16-I4</x:v>
      </x:c>
      <x:c r="D197" s="21" t="str">
        <x:v>F16</x:v>
      </x:c>
      <x:c r="E197" s="21" t="str">
        <x:v>BUILD B</x:v>
      </x:c>
      <x:c r="F197" s="21" t="str">
        <x:v>Independent build ecosystem 16</x:v>
      </x:c>
      <x:c r="G197" s="21" t="n">
        <x:v>28</x:v>
      </x:c>
      <x:c r="H197" s="46" t="n">
        <x:v>0</x:v>
      </x:c>
      <x:c r="I197" s="46" t="n">
        <x:v>0</x:v>
      </x:c>
      <x:c r="J197" s="46" t="n">
        <x:v>8</x:v>
      </x:c>
      <x:c r="K197" s="46" t="n">
        <x:v>0</x:v>
      </x:c>
      <x:c r="L197" s="21" t="str">
        <x:v>OPEN</x:v>
      </x:c>
      <x:c r="M197" s="21" t="str">
        <x:v>BLOCKED</x:v>
      </x:c>
      <x:c r="N197" s="23" t="str">
        <x:f>IF(AND(H197&lt;=G197,I197&lt;=H197,K197&lt;=J197),"PASS","FAIL")</x:f>
        <x:v>PASS</x:v>
      </x:c>
    </x:row>
    <x:row r="198">
      <x:c r="B198" s="21" t="str">
        <x:v>F16-I4-C</x:v>
      </x:c>
      <x:c r="C198" s="21" t="str">
        <x:v>F16-I4</x:v>
      </x:c>
      <x:c r="D198" s="21" t="str">
        <x:v>F16</x:v>
      </x:c>
      <x:c r="E198" s="21" t="str">
        <x:v>CHALLENGE</x:v>
      </x:c>
      <x:c r="F198" s="21" t="str">
        <x:v>Sovereign challenge cell TIO-16</x:v>
      </x:c>
      <x:c r="G198" s="21" t="n">
        <x:v>28</x:v>
      </x:c>
      <x:c r="H198" s="46" t="n">
        <x:v>0</x:v>
      </x:c>
      <x:c r="I198" s="46" t="n">
        <x:v>0</x:v>
      </x:c>
      <x:c r="J198" s="46" t="n">
        <x:v>8</x:v>
      </x:c>
      <x:c r="K198" s="46" t="n">
        <x:v>0</x:v>
      </x:c>
      <x:c r="L198" s="21" t="str">
        <x:v>OPEN</x:v>
      </x:c>
      <x:c r="M198" s="21" t="str">
        <x:v>BLOCKED</x:v>
      </x:c>
      <x:c r="N198" s="23" t="str">
        <x:f>IF(AND(H198&lt;=G198,I198&lt;=H198,K198&lt;=J198),"PASS","FAIL")</x:f>
        <x:v>PASS</x:v>
      </x:c>
    </x:row>
    <x:row r="199">
      <x:c r="B199" s="21" t="str">
        <x:v>F17-I1-A</x:v>
      </x:c>
      <x:c r="C199" s="21" t="str">
        <x:v>F17-I1</x:v>
      </x:c>
      <x:c r="D199" s="21" t="str">
        <x:v>F17</x:v>
      </x:c>
      <x:c r="E199" s="21" t="str">
        <x:v>BUILD A</x:v>
      </x:c>
      <x:c r="F199" s="21" t="str">
        <x:v>Independent build ecosystem 01</x:v>
      </x:c>
      <x:c r="G199" s="21" t="n">
        <x:v>28</x:v>
      </x:c>
      <x:c r="H199" s="46" t="n">
        <x:v>0</x:v>
      </x:c>
      <x:c r="I199" s="46" t="n">
        <x:v>0</x:v>
      </x:c>
      <x:c r="J199" s="46" t="n">
        <x:v>8</x:v>
      </x:c>
      <x:c r="K199" s="46" t="n">
        <x:v>0</x:v>
      </x:c>
      <x:c r="L199" s="21" t="str">
        <x:v>OPEN</x:v>
      </x:c>
      <x:c r="M199" s="21" t="str">
        <x:v>BLOCKED</x:v>
      </x:c>
      <x:c r="N199" s="23" t="str">
        <x:f>IF(AND(H199&lt;=G199,I199&lt;=H199,K199&lt;=J199),"PASS","FAIL")</x:f>
        <x:v>PASS</x:v>
      </x:c>
    </x:row>
    <x:row r="200">
      <x:c r="B200" s="21" t="str">
        <x:v>F17-I1-B</x:v>
      </x:c>
      <x:c r="C200" s="21" t="str">
        <x:v>F17-I1</x:v>
      </x:c>
      <x:c r="D200" s="21" t="str">
        <x:v>F17</x:v>
      </x:c>
      <x:c r="E200" s="21" t="str">
        <x:v>BUILD B</x:v>
      </x:c>
      <x:c r="F200" s="21" t="str">
        <x:v>Independent build ecosystem 03</x:v>
      </x:c>
      <x:c r="G200" s="21" t="n">
        <x:v>28</x:v>
      </x:c>
      <x:c r="H200" s="46" t="n">
        <x:v>0</x:v>
      </x:c>
      <x:c r="I200" s="46" t="n">
        <x:v>0</x:v>
      </x:c>
      <x:c r="J200" s="46" t="n">
        <x:v>8</x:v>
      </x:c>
      <x:c r="K200" s="46" t="n">
        <x:v>0</x:v>
      </x:c>
      <x:c r="L200" s="21" t="str">
        <x:v>OPEN</x:v>
      </x:c>
      <x:c r="M200" s="21" t="str">
        <x:v>BLOCKED</x:v>
      </x:c>
      <x:c r="N200" s="23" t="str">
        <x:f>IF(AND(H200&lt;=G200,I200&lt;=H200,K200&lt;=J200),"PASS","FAIL")</x:f>
        <x:v>PASS</x:v>
      </x:c>
    </x:row>
    <x:row r="201">
      <x:c r="B201" s="21" t="str">
        <x:v>F17-I1-C</x:v>
      </x:c>
      <x:c r="C201" s="21" t="str">
        <x:v>F17-I1</x:v>
      </x:c>
      <x:c r="D201" s="21" t="str">
        <x:v>F17</x:v>
      </x:c>
      <x:c r="E201" s="21" t="str">
        <x:v>CHALLENGE</x:v>
      </x:c>
      <x:c r="F201" s="21" t="str">
        <x:v>Sovereign challenge cell TIO-01</x:v>
      </x:c>
      <x:c r="G201" s="21" t="n">
        <x:v>28</x:v>
      </x:c>
      <x:c r="H201" s="46" t="n">
        <x:v>0</x:v>
      </x:c>
      <x:c r="I201" s="46" t="n">
        <x:v>0</x:v>
      </x:c>
      <x:c r="J201" s="46" t="n">
        <x:v>8</x:v>
      </x:c>
      <x:c r="K201" s="46" t="n">
        <x:v>0</x:v>
      </x:c>
      <x:c r="L201" s="21" t="str">
        <x:v>OPEN</x:v>
      </x:c>
      <x:c r="M201" s="21" t="str">
        <x:v>BLOCKED</x:v>
      </x:c>
      <x:c r="N201" s="23" t="str">
        <x:f>IF(AND(H201&lt;=G201,I201&lt;=H201,K201&lt;=J201),"PASS","FAIL")</x:f>
        <x:v>PASS</x:v>
      </x:c>
    </x:row>
    <x:row r="202">
      <x:c r="B202" s="21" t="str">
        <x:v>F17-I2-A</x:v>
      </x:c>
      <x:c r="C202" s="21" t="str">
        <x:v>F17-I2</x:v>
      </x:c>
      <x:c r="D202" s="21" t="str">
        <x:v>F17</x:v>
      </x:c>
      <x:c r="E202" s="21" t="str">
        <x:v>BUILD A</x:v>
      </x:c>
      <x:c r="F202" s="21" t="str">
        <x:v>Independent build ecosystem 04</x:v>
      </x:c>
      <x:c r="G202" s="21" t="n">
        <x:v>28</x:v>
      </x:c>
      <x:c r="H202" s="46" t="n">
        <x:v>0</x:v>
      </x:c>
      <x:c r="I202" s="46" t="n">
        <x:v>0</x:v>
      </x:c>
      <x:c r="J202" s="46" t="n">
        <x:v>8</x:v>
      </x:c>
      <x:c r="K202" s="46" t="n">
        <x:v>0</x:v>
      </x:c>
      <x:c r="L202" s="21" t="str">
        <x:v>OPEN</x:v>
      </x:c>
      <x:c r="M202" s="21" t="str">
        <x:v>BLOCKED</x:v>
      </x:c>
      <x:c r="N202" s="23" t="str">
        <x:f>IF(AND(H202&lt;=G202,I202&lt;=H202,K202&lt;=J202),"PASS","FAIL")</x:f>
        <x:v>PASS</x:v>
      </x:c>
    </x:row>
    <x:row r="203">
      <x:c r="B203" s="21" t="str">
        <x:v>F17-I2-B</x:v>
      </x:c>
      <x:c r="C203" s="21" t="str">
        <x:v>F17-I2</x:v>
      </x:c>
      <x:c r="D203" s="21" t="str">
        <x:v>F17</x:v>
      </x:c>
      <x:c r="E203" s="21" t="str">
        <x:v>BUILD B</x:v>
      </x:c>
      <x:c r="F203" s="21" t="str">
        <x:v>Independent build ecosystem 06</x:v>
      </x:c>
      <x:c r="G203" s="21" t="n">
        <x:v>28</x:v>
      </x:c>
      <x:c r="H203" s="46" t="n">
        <x:v>0</x:v>
      </x:c>
      <x:c r="I203" s="46" t="n">
        <x:v>0</x:v>
      </x:c>
      <x:c r="J203" s="46" t="n">
        <x:v>8</x:v>
      </x:c>
      <x:c r="K203" s="46" t="n">
        <x:v>0</x:v>
      </x:c>
      <x:c r="L203" s="21" t="str">
        <x:v>OPEN</x:v>
      </x:c>
      <x:c r="M203" s="21" t="str">
        <x:v>BLOCKED</x:v>
      </x:c>
      <x:c r="N203" s="23" t="str">
        <x:f>IF(AND(H203&lt;=G203,I203&lt;=H203,K203&lt;=J203),"PASS","FAIL")</x:f>
        <x:v>PASS</x:v>
      </x:c>
    </x:row>
    <x:row r="204">
      <x:c r="B204" s="21" t="str">
        <x:v>F17-I2-C</x:v>
      </x:c>
      <x:c r="C204" s="21" t="str">
        <x:v>F17-I2</x:v>
      </x:c>
      <x:c r="D204" s="21" t="str">
        <x:v>F17</x:v>
      </x:c>
      <x:c r="E204" s="21" t="str">
        <x:v>CHALLENGE</x:v>
      </x:c>
      <x:c r="F204" s="21" t="str">
        <x:v>Sovereign challenge cell TIO-02</x:v>
      </x:c>
      <x:c r="G204" s="21" t="n">
        <x:v>28</x:v>
      </x:c>
      <x:c r="H204" s="46" t="n">
        <x:v>0</x:v>
      </x:c>
      <x:c r="I204" s="46" t="n">
        <x:v>0</x:v>
      </x:c>
      <x:c r="J204" s="46" t="n">
        <x:v>8</x:v>
      </x:c>
      <x:c r="K204" s="46" t="n">
        <x:v>0</x:v>
      </x:c>
      <x:c r="L204" s="21" t="str">
        <x:v>OPEN</x:v>
      </x:c>
      <x:c r="M204" s="21" t="str">
        <x:v>BLOCKED</x:v>
      </x:c>
      <x:c r="N204" s="23" t="str">
        <x:f>IF(AND(H204&lt;=G204,I204&lt;=H204,K204&lt;=J204),"PASS","FAIL")</x:f>
        <x:v>PASS</x:v>
      </x:c>
    </x:row>
    <x:row r="205">
      <x:c r="B205" s="21" t="str">
        <x:v>F17-I3-A</x:v>
      </x:c>
      <x:c r="C205" s="21" t="str">
        <x:v>F17-I3</x:v>
      </x:c>
      <x:c r="D205" s="21" t="str">
        <x:v>F17</x:v>
      </x:c>
      <x:c r="E205" s="21" t="str">
        <x:v>BUILD A</x:v>
      </x:c>
      <x:c r="F205" s="21" t="str">
        <x:v>Independent build ecosystem 07</x:v>
      </x:c>
      <x:c r="G205" s="21" t="n">
        <x:v>28</x:v>
      </x:c>
      <x:c r="H205" s="46" t="n">
        <x:v>0</x:v>
      </x:c>
      <x:c r="I205" s="46" t="n">
        <x:v>0</x:v>
      </x:c>
      <x:c r="J205" s="46" t="n">
        <x:v>8</x:v>
      </x:c>
      <x:c r="K205" s="46" t="n">
        <x:v>0</x:v>
      </x:c>
      <x:c r="L205" s="21" t="str">
        <x:v>OPEN</x:v>
      </x:c>
      <x:c r="M205" s="21" t="str">
        <x:v>BLOCKED</x:v>
      </x:c>
      <x:c r="N205" s="23" t="str">
        <x:f>IF(AND(H205&lt;=G205,I205&lt;=H205,K205&lt;=J205),"PASS","FAIL")</x:f>
        <x:v>PASS</x:v>
      </x:c>
    </x:row>
    <x:row r="206">
      <x:c r="B206" s="21" t="str">
        <x:v>F17-I3-B</x:v>
      </x:c>
      <x:c r="C206" s="21" t="str">
        <x:v>F17-I3</x:v>
      </x:c>
      <x:c r="D206" s="21" t="str">
        <x:v>F17</x:v>
      </x:c>
      <x:c r="E206" s="21" t="str">
        <x:v>BUILD B</x:v>
      </x:c>
      <x:c r="F206" s="21" t="str">
        <x:v>Independent build ecosystem 09</x:v>
      </x:c>
      <x:c r="G206" s="21" t="n">
        <x:v>28</x:v>
      </x:c>
      <x:c r="H206" s="46" t="n">
        <x:v>0</x:v>
      </x:c>
      <x:c r="I206" s="46" t="n">
        <x:v>0</x:v>
      </x:c>
      <x:c r="J206" s="46" t="n">
        <x:v>8</x:v>
      </x:c>
      <x:c r="K206" s="46" t="n">
        <x:v>0</x:v>
      </x:c>
      <x:c r="L206" s="21" t="str">
        <x:v>OPEN</x:v>
      </x:c>
      <x:c r="M206" s="21" t="str">
        <x:v>BLOCKED</x:v>
      </x:c>
      <x:c r="N206" s="23" t="str">
        <x:f>IF(AND(H206&lt;=G206,I206&lt;=H206,K206&lt;=J206),"PASS","FAIL")</x:f>
        <x:v>PASS</x:v>
      </x:c>
    </x:row>
    <x:row r="207">
      <x:c r="B207" s="21" t="str">
        <x:v>F17-I3-C</x:v>
      </x:c>
      <x:c r="C207" s="21" t="str">
        <x:v>F17-I3</x:v>
      </x:c>
      <x:c r="D207" s="21" t="str">
        <x:v>F17</x:v>
      </x:c>
      <x:c r="E207" s="21" t="str">
        <x:v>CHALLENGE</x:v>
      </x:c>
      <x:c r="F207" s="21" t="str">
        <x:v>Sovereign challenge cell TIO-03</x:v>
      </x:c>
      <x:c r="G207" s="21" t="n">
        <x:v>28</x:v>
      </x:c>
      <x:c r="H207" s="46" t="n">
        <x:v>0</x:v>
      </x:c>
      <x:c r="I207" s="46" t="n">
        <x:v>0</x:v>
      </x:c>
      <x:c r="J207" s="46" t="n">
        <x:v>8</x:v>
      </x:c>
      <x:c r="K207" s="46" t="n">
        <x:v>0</x:v>
      </x:c>
      <x:c r="L207" s="21" t="str">
        <x:v>OPEN</x:v>
      </x:c>
      <x:c r="M207" s="21" t="str">
        <x:v>BLOCKED</x:v>
      </x:c>
      <x:c r="N207" s="23" t="str">
        <x:f>IF(AND(H207&lt;=G207,I207&lt;=H207,K207&lt;=J207),"PASS","FAIL")</x:f>
        <x:v>PASS</x:v>
      </x:c>
    </x:row>
    <x:row r="208">
      <x:c r="B208" s="21" t="str">
        <x:v>F17-I4-A</x:v>
      </x:c>
      <x:c r="C208" s="21" t="str">
        <x:v>F17-I4</x:v>
      </x:c>
      <x:c r="D208" s="21" t="str">
        <x:v>F17</x:v>
      </x:c>
      <x:c r="E208" s="21" t="str">
        <x:v>BUILD A</x:v>
      </x:c>
      <x:c r="F208" s="21" t="str">
        <x:v>Independent build ecosystem 10</x:v>
      </x:c>
      <x:c r="G208" s="21" t="n">
        <x:v>28</x:v>
      </x:c>
      <x:c r="H208" s="46" t="n">
        <x:v>0</x:v>
      </x:c>
      <x:c r="I208" s="46" t="n">
        <x:v>0</x:v>
      </x:c>
      <x:c r="J208" s="46" t="n">
        <x:v>8</x:v>
      </x:c>
      <x:c r="K208" s="46" t="n">
        <x:v>0</x:v>
      </x:c>
      <x:c r="L208" s="21" t="str">
        <x:v>OPEN</x:v>
      </x:c>
      <x:c r="M208" s="21" t="str">
        <x:v>BLOCKED</x:v>
      </x:c>
      <x:c r="N208" s="23" t="str">
        <x:f>IF(AND(H208&lt;=G208,I208&lt;=H208,K208&lt;=J208),"PASS","FAIL")</x:f>
        <x:v>PASS</x:v>
      </x:c>
    </x:row>
    <x:row r="209">
      <x:c r="B209" s="21" t="str">
        <x:v>F17-I4-B</x:v>
      </x:c>
      <x:c r="C209" s="21" t="str">
        <x:v>F17-I4</x:v>
      </x:c>
      <x:c r="D209" s="21" t="str">
        <x:v>F17</x:v>
      </x:c>
      <x:c r="E209" s="21" t="str">
        <x:v>BUILD B</x:v>
      </x:c>
      <x:c r="F209" s="21" t="str">
        <x:v>Independent build ecosystem 12</x:v>
      </x:c>
      <x:c r="G209" s="21" t="n">
        <x:v>28</x:v>
      </x:c>
      <x:c r="H209" s="46" t="n">
        <x:v>0</x:v>
      </x:c>
      <x:c r="I209" s="46" t="n">
        <x:v>0</x:v>
      </x:c>
      <x:c r="J209" s="46" t="n">
        <x:v>8</x:v>
      </x:c>
      <x:c r="K209" s="46" t="n">
        <x:v>0</x:v>
      </x:c>
      <x:c r="L209" s="21" t="str">
        <x:v>OPEN</x:v>
      </x:c>
      <x:c r="M209" s="21" t="str">
        <x:v>BLOCKED</x:v>
      </x:c>
      <x:c r="N209" s="23" t="str">
        <x:f>IF(AND(H209&lt;=G209,I209&lt;=H209,K209&lt;=J209),"PASS","FAIL")</x:f>
        <x:v>PASS</x:v>
      </x:c>
    </x:row>
    <x:row r="210">
      <x:c r="B210" s="21" t="str">
        <x:v>F17-I4-C</x:v>
      </x:c>
      <x:c r="C210" s="21" t="str">
        <x:v>F17-I4</x:v>
      </x:c>
      <x:c r="D210" s="21" t="str">
        <x:v>F17</x:v>
      </x:c>
      <x:c r="E210" s="21" t="str">
        <x:v>CHALLENGE</x:v>
      </x:c>
      <x:c r="F210" s="21" t="str">
        <x:v>Sovereign challenge cell TIO-04</x:v>
      </x:c>
      <x:c r="G210" s="21" t="n">
        <x:v>28</x:v>
      </x:c>
      <x:c r="H210" s="46" t="n">
        <x:v>0</x:v>
      </x:c>
      <x:c r="I210" s="46" t="n">
        <x:v>0</x:v>
      </x:c>
      <x:c r="J210" s="46" t="n">
        <x:v>8</x:v>
      </x:c>
      <x:c r="K210" s="46" t="n">
        <x:v>0</x:v>
      </x:c>
      <x:c r="L210" s="21" t="str">
        <x:v>OPEN</x:v>
      </x:c>
      <x:c r="M210" s="21" t="str">
        <x:v>BLOCKED</x:v>
      </x:c>
      <x:c r="N210" s="23" t="str">
        <x:f>IF(AND(H210&lt;=G210,I210&lt;=H210,K210&lt;=J210),"PASS","FAIL")</x:f>
        <x:v>PASS</x:v>
      </x:c>
    </x:row>
    <x:row r="211">
      <x:c r="B211" s="21" t="str">
        <x:v>F18-I1-A</x:v>
      </x:c>
      <x:c r="C211" s="21" t="str">
        <x:v>F18-I1</x:v>
      </x:c>
      <x:c r="D211" s="21" t="str">
        <x:v>F18</x:v>
      </x:c>
      <x:c r="E211" s="21" t="str">
        <x:v>BUILD A</x:v>
      </x:c>
      <x:c r="F211" s="21" t="str">
        <x:v>Independent build ecosystem 13</x:v>
      </x:c>
      <x:c r="G211" s="21" t="n">
        <x:v>28</x:v>
      </x:c>
      <x:c r="H211" s="46" t="n">
        <x:v>0</x:v>
      </x:c>
      <x:c r="I211" s="46" t="n">
        <x:v>0</x:v>
      </x:c>
      <x:c r="J211" s="46" t="n">
        <x:v>8</x:v>
      </x:c>
      <x:c r="K211" s="46" t="n">
        <x:v>0</x:v>
      </x:c>
      <x:c r="L211" s="21" t="str">
        <x:v>OPEN</x:v>
      </x:c>
      <x:c r="M211" s="21" t="str">
        <x:v>BLOCKED</x:v>
      </x:c>
      <x:c r="N211" s="23" t="str">
        <x:f>IF(AND(H211&lt;=G211,I211&lt;=H211,K211&lt;=J211),"PASS","FAIL")</x:f>
        <x:v>PASS</x:v>
      </x:c>
    </x:row>
    <x:row r="212">
      <x:c r="B212" s="21" t="str">
        <x:v>F18-I1-B</x:v>
      </x:c>
      <x:c r="C212" s="21" t="str">
        <x:v>F18-I1</x:v>
      </x:c>
      <x:c r="D212" s="21" t="str">
        <x:v>F18</x:v>
      </x:c>
      <x:c r="E212" s="21" t="str">
        <x:v>BUILD B</x:v>
      </x:c>
      <x:c r="F212" s="21" t="str">
        <x:v>Independent build ecosystem 15</x:v>
      </x:c>
      <x:c r="G212" s="21" t="n">
        <x:v>28</x:v>
      </x:c>
      <x:c r="H212" s="46" t="n">
        <x:v>0</x:v>
      </x:c>
      <x:c r="I212" s="46" t="n">
        <x:v>0</x:v>
      </x:c>
      <x:c r="J212" s="46" t="n">
        <x:v>8</x:v>
      </x:c>
      <x:c r="K212" s="46" t="n">
        <x:v>0</x:v>
      </x:c>
      <x:c r="L212" s="21" t="str">
        <x:v>OPEN</x:v>
      </x:c>
      <x:c r="M212" s="21" t="str">
        <x:v>BLOCKED</x:v>
      </x:c>
      <x:c r="N212" s="23" t="str">
        <x:f>IF(AND(H212&lt;=G212,I212&lt;=H212,K212&lt;=J212),"PASS","FAIL")</x:f>
        <x:v>PASS</x:v>
      </x:c>
    </x:row>
    <x:row r="213">
      <x:c r="B213" s="21" t="str">
        <x:v>F18-I1-C</x:v>
      </x:c>
      <x:c r="C213" s="21" t="str">
        <x:v>F18-I1</x:v>
      </x:c>
      <x:c r="D213" s="21" t="str">
        <x:v>F18</x:v>
      </x:c>
      <x:c r="E213" s="21" t="str">
        <x:v>CHALLENGE</x:v>
      </x:c>
      <x:c r="F213" s="21" t="str">
        <x:v>Sovereign challenge cell TIO-05</x:v>
      </x:c>
      <x:c r="G213" s="21" t="n">
        <x:v>28</x:v>
      </x:c>
      <x:c r="H213" s="46" t="n">
        <x:v>0</x:v>
      </x:c>
      <x:c r="I213" s="46" t="n">
        <x:v>0</x:v>
      </x:c>
      <x:c r="J213" s="46" t="n">
        <x:v>8</x:v>
      </x:c>
      <x:c r="K213" s="46" t="n">
        <x:v>0</x:v>
      </x:c>
      <x:c r="L213" s="21" t="str">
        <x:v>OPEN</x:v>
      </x:c>
      <x:c r="M213" s="21" t="str">
        <x:v>BLOCKED</x:v>
      </x:c>
      <x:c r="N213" s="23" t="str">
        <x:f>IF(AND(H213&lt;=G213,I213&lt;=H213,K213&lt;=J213),"PASS","FAIL")</x:f>
        <x:v>PASS</x:v>
      </x:c>
    </x:row>
    <x:row r="214">
      <x:c r="B214" s="21" t="str">
        <x:v>F18-I2-A</x:v>
      </x:c>
      <x:c r="C214" s="21" t="str">
        <x:v>F18-I2</x:v>
      </x:c>
      <x:c r="D214" s="21" t="str">
        <x:v>F18</x:v>
      </x:c>
      <x:c r="E214" s="21" t="str">
        <x:v>BUILD A</x:v>
      </x:c>
      <x:c r="F214" s="21" t="str">
        <x:v>Independent build ecosystem 16</x:v>
      </x:c>
      <x:c r="G214" s="21" t="n">
        <x:v>28</x:v>
      </x:c>
      <x:c r="H214" s="46" t="n">
        <x:v>0</x:v>
      </x:c>
      <x:c r="I214" s="46" t="n">
        <x:v>0</x:v>
      </x:c>
      <x:c r="J214" s="46" t="n">
        <x:v>8</x:v>
      </x:c>
      <x:c r="K214" s="46" t="n">
        <x:v>0</x:v>
      </x:c>
      <x:c r="L214" s="21" t="str">
        <x:v>OPEN</x:v>
      </x:c>
      <x:c r="M214" s="21" t="str">
        <x:v>BLOCKED</x:v>
      </x:c>
      <x:c r="N214" s="23" t="str">
        <x:f>IF(AND(H214&lt;=G214,I214&lt;=H214,K214&lt;=J214),"PASS","FAIL")</x:f>
        <x:v>PASS</x:v>
      </x:c>
    </x:row>
    <x:row r="215">
      <x:c r="B215" s="21" t="str">
        <x:v>F18-I2-B</x:v>
      </x:c>
      <x:c r="C215" s="21" t="str">
        <x:v>F18-I2</x:v>
      </x:c>
      <x:c r="D215" s="21" t="str">
        <x:v>F18</x:v>
      </x:c>
      <x:c r="E215" s="21" t="str">
        <x:v>BUILD B</x:v>
      </x:c>
      <x:c r="F215" s="21" t="str">
        <x:v>Independent build ecosystem 02</x:v>
      </x:c>
      <x:c r="G215" s="21" t="n">
        <x:v>28</x:v>
      </x:c>
      <x:c r="H215" s="46" t="n">
        <x:v>0</x:v>
      </x:c>
      <x:c r="I215" s="46" t="n">
        <x:v>0</x:v>
      </x:c>
      <x:c r="J215" s="46" t="n">
        <x:v>8</x:v>
      </x:c>
      <x:c r="K215" s="46" t="n">
        <x:v>0</x:v>
      </x:c>
      <x:c r="L215" s="21" t="str">
        <x:v>OPEN</x:v>
      </x:c>
      <x:c r="M215" s="21" t="str">
        <x:v>BLOCKED</x:v>
      </x:c>
      <x:c r="N215" s="23" t="str">
        <x:f>IF(AND(H215&lt;=G215,I215&lt;=H215,K215&lt;=J215),"PASS","FAIL")</x:f>
        <x:v>PASS</x:v>
      </x:c>
    </x:row>
    <x:row r="216">
      <x:c r="B216" s="21" t="str">
        <x:v>F18-I2-C</x:v>
      </x:c>
      <x:c r="C216" s="21" t="str">
        <x:v>F18-I2</x:v>
      </x:c>
      <x:c r="D216" s="21" t="str">
        <x:v>F18</x:v>
      </x:c>
      <x:c r="E216" s="21" t="str">
        <x:v>CHALLENGE</x:v>
      </x:c>
      <x:c r="F216" s="21" t="str">
        <x:v>Sovereign challenge cell TIO-06</x:v>
      </x:c>
      <x:c r="G216" s="21" t="n">
        <x:v>28</x:v>
      </x:c>
      <x:c r="H216" s="46" t="n">
        <x:v>0</x:v>
      </x:c>
      <x:c r="I216" s="46" t="n">
        <x:v>0</x:v>
      </x:c>
      <x:c r="J216" s="46" t="n">
        <x:v>8</x:v>
      </x:c>
      <x:c r="K216" s="46" t="n">
        <x:v>0</x:v>
      </x:c>
      <x:c r="L216" s="21" t="str">
        <x:v>OPEN</x:v>
      </x:c>
      <x:c r="M216" s="21" t="str">
        <x:v>BLOCKED</x:v>
      </x:c>
      <x:c r="N216" s="23" t="str">
        <x:f>IF(AND(H216&lt;=G216,I216&lt;=H216,K216&lt;=J216),"PASS","FAIL")</x:f>
        <x:v>PASS</x:v>
      </x:c>
    </x:row>
    <x:row r="217">
      <x:c r="B217" s="21" t="str">
        <x:v>F18-I3-A</x:v>
      </x:c>
      <x:c r="C217" s="21" t="str">
        <x:v>F18-I3</x:v>
      </x:c>
      <x:c r="D217" s="21" t="str">
        <x:v>F18</x:v>
      </x:c>
      <x:c r="E217" s="21" t="str">
        <x:v>BUILD A</x:v>
      </x:c>
      <x:c r="F217" s="21" t="str">
        <x:v>Independent build ecosystem 03</x:v>
      </x:c>
      <x:c r="G217" s="21" t="n">
        <x:v>28</x:v>
      </x:c>
      <x:c r="H217" s="46" t="n">
        <x:v>0</x:v>
      </x:c>
      <x:c r="I217" s="46" t="n">
        <x:v>0</x:v>
      </x:c>
      <x:c r="J217" s="46" t="n">
        <x:v>8</x:v>
      </x:c>
      <x:c r="K217" s="46" t="n">
        <x:v>0</x:v>
      </x:c>
      <x:c r="L217" s="21" t="str">
        <x:v>OPEN</x:v>
      </x:c>
      <x:c r="M217" s="21" t="str">
        <x:v>BLOCKED</x:v>
      </x:c>
      <x:c r="N217" s="23" t="str">
        <x:f>IF(AND(H217&lt;=G217,I217&lt;=H217,K217&lt;=J217),"PASS","FAIL")</x:f>
        <x:v>PASS</x:v>
      </x:c>
    </x:row>
    <x:row r="218">
      <x:c r="B218" s="21" t="str">
        <x:v>F18-I3-B</x:v>
      </x:c>
      <x:c r="C218" s="21" t="str">
        <x:v>F18-I3</x:v>
      </x:c>
      <x:c r="D218" s="21" t="str">
        <x:v>F18</x:v>
      </x:c>
      <x:c r="E218" s="21" t="str">
        <x:v>BUILD B</x:v>
      </x:c>
      <x:c r="F218" s="21" t="str">
        <x:v>Independent build ecosystem 05</x:v>
      </x:c>
      <x:c r="G218" s="21" t="n">
        <x:v>28</x:v>
      </x:c>
      <x:c r="H218" s="46" t="n">
        <x:v>0</x:v>
      </x:c>
      <x:c r="I218" s="46" t="n">
        <x:v>0</x:v>
      </x:c>
      <x:c r="J218" s="46" t="n">
        <x:v>8</x:v>
      </x:c>
      <x:c r="K218" s="46" t="n">
        <x:v>0</x:v>
      </x:c>
      <x:c r="L218" s="21" t="str">
        <x:v>OPEN</x:v>
      </x:c>
      <x:c r="M218" s="21" t="str">
        <x:v>BLOCKED</x:v>
      </x:c>
      <x:c r="N218" s="23" t="str">
        <x:f>IF(AND(H218&lt;=G218,I218&lt;=H218,K218&lt;=J218),"PASS","FAIL")</x:f>
        <x:v>PASS</x:v>
      </x:c>
    </x:row>
    <x:row r="219">
      <x:c r="B219" s="21" t="str">
        <x:v>F18-I3-C</x:v>
      </x:c>
      <x:c r="C219" s="21" t="str">
        <x:v>F18-I3</x:v>
      </x:c>
      <x:c r="D219" s="21" t="str">
        <x:v>F18</x:v>
      </x:c>
      <x:c r="E219" s="21" t="str">
        <x:v>CHALLENGE</x:v>
      </x:c>
      <x:c r="F219" s="21" t="str">
        <x:v>Sovereign challenge cell TIO-07</x:v>
      </x:c>
      <x:c r="G219" s="21" t="n">
        <x:v>28</x:v>
      </x:c>
      <x:c r="H219" s="46" t="n">
        <x:v>0</x:v>
      </x:c>
      <x:c r="I219" s="46" t="n">
        <x:v>0</x:v>
      </x:c>
      <x:c r="J219" s="46" t="n">
        <x:v>8</x:v>
      </x:c>
      <x:c r="K219" s="46" t="n">
        <x:v>0</x:v>
      </x:c>
      <x:c r="L219" s="21" t="str">
        <x:v>OPEN</x:v>
      </x:c>
      <x:c r="M219" s="21" t="str">
        <x:v>BLOCKED</x:v>
      </x:c>
      <x:c r="N219" s="23" t="str">
        <x:f>IF(AND(H219&lt;=G219,I219&lt;=H219,K219&lt;=J219),"PASS","FAIL")</x:f>
        <x:v>PASS</x:v>
      </x:c>
    </x:row>
    <x:row r="220">
      <x:c r="B220" s="21" t="str">
        <x:v>F18-I4-A</x:v>
      </x:c>
      <x:c r="C220" s="21" t="str">
        <x:v>F18-I4</x:v>
      </x:c>
      <x:c r="D220" s="21" t="str">
        <x:v>F18</x:v>
      </x:c>
      <x:c r="E220" s="21" t="str">
        <x:v>BUILD A</x:v>
      </x:c>
      <x:c r="F220" s="21" t="str">
        <x:v>Independent build ecosystem 06</x:v>
      </x:c>
      <x:c r="G220" s="21" t="n">
        <x:v>28</x:v>
      </x:c>
      <x:c r="H220" s="46" t="n">
        <x:v>0</x:v>
      </x:c>
      <x:c r="I220" s="46" t="n">
        <x:v>0</x:v>
      </x:c>
      <x:c r="J220" s="46" t="n">
        <x:v>8</x:v>
      </x:c>
      <x:c r="K220" s="46" t="n">
        <x:v>0</x:v>
      </x:c>
      <x:c r="L220" s="21" t="str">
        <x:v>OPEN</x:v>
      </x:c>
      <x:c r="M220" s="21" t="str">
        <x:v>BLOCKED</x:v>
      </x:c>
      <x:c r="N220" s="23" t="str">
        <x:f>IF(AND(H220&lt;=G220,I220&lt;=H220,K220&lt;=J220),"PASS","FAIL")</x:f>
        <x:v>PASS</x:v>
      </x:c>
    </x:row>
    <x:row r="221">
      <x:c r="B221" s="21" t="str">
        <x:v>F18-I4-B</x:v>
      </x:c>
      <x:c r="C221" s="21" t="str">
        <x:v>F18-I4</x:v>
      </x:c>
      <x:c r="D221" s="21" t="str">
        <x:v>F18</x:v>
      </x:c>
      <x:c r="E221" s="21" t="str">
        <x:v>BUILD B</x:v>
      </x:c>
      <x:c r="F221" s="21" t="str">
        <x:v>Independent build ecosystem 08</x:v>
      </x:c>
      <x:c r="G221" s="21" t="n">
        <x:v>28</x:v>
      </x:c>
      <x:c r="H221" s="46" t="n">
        <x:v>0</x:v>
      </x:c>
      <x:c r="I221" s="46" t="n">
        <x:v>0</x:v>
      </x:c>
      <x:c r="J221" s="46" t="n">
        <x:v>8</x:v>
      </x:c>
      <x:c r="K221" s="46" t="n">
        <x:v>0</x:v>
      </x:c>
      <x:c r="L221" s="21" t="str">
        <x:v>OPEN</x:v>
      </x:c>
      <x:c r="M221" s="21" t="str">
        <x:v>BLOCKED</x:v>
      </x:c>
      <x:c r="N221" s="23" t="str">
        <x:f>IF(AND(H221&lt;=G221,I221&lt;=H221,K221&lt;=J221),"PASS","FAIL")</x:f>
        <x:v>PASS</x:v>
      </x:c>
    </x:row>
    <x:row r="222">
      <x:c r="B222" s="21" t="str">
        <x:v>F18-I4-C</x:v>
      </x:c>
      <x:c r="C222" s="21" t="str">
        <x:v>F18-I4</x:v>
      </x:c>
      <x:c r="D222" s="21" t="str">
        <x:v>F18</x:v>
      </x:c>
      <x:c r="E222" s="21" t="str">
        <x:v>CHALLENGE</x:v>
      </x:c>
      <x:c r="F222" s="21" t="str">
        <x:v>Sovereign challenge cell TIO-08</x:v>
      </x:c>
      <x:c r="G222" s="21" t="n">
        <x:v>28</x:v>
      </x:c>
      <x:c r="H222" s="46" t="n">
        <x:v>0</x:v>
      </x:c>
      <x:c r="I222" s="46" t="n">
        <x:v>0</x:v>
      </x:c>
      <x:c r="J222" s="46" t="n">
        <x:v>8</x:v>
      </x:c>
      <x:c r="K222" s="46" t="n">
        <x:v>0</x:v>
      </x:c>
      <x:c r="L222" s="21" t="str">
        <x:v>OPEN</x:v>
      </x:c>
      <x:c r="M222" s="21" t="str">
        <x:v>BLOCKED</x:v>
      </x:c>
      <x:c r="N222" s="23" t="str">
        <x:f>IF(AND(H222&lt;=G222,I222&lt;=H222,K222&lt;=J222),"PASS","FAIL")</x:f>
        <x:v>PASS</x:v>
      </x:c>
    </x:row>
    <x:row r="223">
      <x:c r="B223" s="21" t="str">
        <x:v>F19-I1-A</x:v>
      </x:c>
      <x:c r="C223" s="21" t="str">
        <x:v>F19-I1</x:v>
      </x:c>
      <x:c r="D223" s="21" t="str">
        <x:v>F19</x:v>
      </x:c>
      <x:c r="E223" s="21" t="str">
        <x:v>BUILD A</x:v>
      </x:c>
      <x:c r="F223" s="21" t="str">
        <x:v>Independent build ecosystem 09</x:v>
      </x:c>
      <x:c r="G223" s="21" t="n">
        <x:v>28</x:v>
      </x:c>
      <x:c r="H223" s="46" t="n">
        <x:v>0</x:v>
      </x:c>
      <x:c r="I223" s="46" t="n">
        <x:v>0</x:v>
      </x:c>
      <x:c r="J223" s="46" t="n">
        <x:v>8</x:v>
      </x:c>
      <x:c r="K223" s="46" t="n">
        <x:v>0</x:v>
      </x:c>
      <x:c r="L223" s="21" t="str">
        <x:v>OPEN</x:v>
      </x:c>
      <x:c r="M223" s="21" t="str">
        <x:v>BLOCKED</x:v>
      </x:c>
      <x:c r="N223" s="23" t="str">
        <x:f>IF(AND(H223&lt;=G223,I223&lt;=H223,K223&lt;=J223),"PASS","FAIL")</x:f>
        <x:v>PASS</x:v>
      </x:c>
    </x:row>
    <x:row r="224">
      <x:c r="B224" s="21" t="str">
        <x:v>F19-I1-B</x:v>
      </x:c>
      <x:c r="C224" s="21" t="str">
        <x:v>F19-I1</x:v>
      </x:c>
      <x:c r="D224" s="21" t="str">
        <x:v>F19</x:v>
      </x:c>
      <x:c r="E224" s="21" t="str">
        <x:v>BUILD B</x:v>
      </x:c>
      <x:c r="F224" s="21" t="str">
        <x:v>Independent build ecosystem 11</x:v>
      </x:c>
      <x:c r="G224" s="21" t="n">
        <x:v>28</x:v>
      </x:c>
      <x:c r="H224" s="46" t="n">
        <x:v>0</x:v>
      </x:c>
      <x:c r="I224" s="46" t="n">
        <x:v>0</x:v>
      </x:c>
      <x:c r="J224" s="46" t="n">
        <x:v>8</x:v>
      </x:c>
      <x:c r="K224" s="46" t="n">
        <x:v>0</x:v>
      </x:c>
      <x:c r="L224" s="21" t="str">
        <x:v>OPEN</x:v>
      </x:c>
      <x:c r="M224" s="21" t="str">
        <x:v>BLOCKED</x:v>
      </x:c>
      <x:c r="N224" s="23" t="str">
        <x:f>IF(AND(H224&lt;=G224,I224&lt;=H224,K224&lt;=J224),"PASS","FAIL")</x:f>
        <x:v>PASS</x:v>
      </x:c>
    </x:row>
    <x:row r="225">
      <x:c r="B225" s="21" t="str">
        <x:v>F19-I1-C</x:v>
      </x:c>
      <x:c r="C225" s="21" t="str">
        <x:v>F19-I1</x:v>
      </x:c>
      <x:c r="D225" s="21" t="str">
        <x:v>F19</x:v>
      </x:c>
      <x:c r="E225" s="21" t="str">
        <x:v>CHALLENGE</x:v>
      </x:c>
      <x:c r="F225" s="21" t="str">
        <x:v>Sovereign challenge cell TIO-09</x:v>
      </x:c>
      <x:c r="G225" s="21" t="n">
        <x:v>28</x:v>
      </x:c>
      <x:c r="H225" s="46" t="n">
        <x:v>0</x:v>
      </x:c>
      <x:c r="I225" s="46" t="n">
        <x:v>0</x:v>
      </x:c>
      <x:c r="J225" s="46" t="n">
        <x:v>8</x:v>
      </x:c>
      <x:c r="K225" s="46" t="n">
        <x:v>0</x:v>
      </x:c>
      <x:c r="L225" s="21" t="str">
        <x:v>OPEN</x:v>
      </x:c>
      <x:c r="M225" s="21" t="str">
        <x:v>BLOCKED</x:v>
      </x:c>
      <x:c r="N225" s="23" t="str">
        <x:f>IF(AND(H225&lt;=G225,I225&lt;=H225,K225&lt;=J225),"PASS","FAIL")</x:f>
        <x:v>PASS</x:v>
      </x:c>
    </x:row>
    <x:row r="226">
      <x:c r="B226" s="21" t="str">
        <x:v>F19-I2-A</x:v>
      </x:c>
      <x:c r="C226" s="21" t="str">
        <x:v>F19-I2</x:v>
      </x:c>
      <x:c r="D226" s="21" t="str">
        <x:v>F19</x:v>
      </x:c>
      <x:c r="E226" s="21" t="str">
        <x:v>BUILD A</x:v>
      </x:c>
      <x:c r="F226" s="21" t="str">
        <x:v>Independent build ecosystem 12</x:v>
      </x:c>
      <x:c r="G226" s="21" t="n">
        <x:v>28</x:v>
      </x:c>
      <x:c r="H226" s="46" t="n">
        <x:v>0</x:v>
      </x:c>
      <x:c r="I226" s="46" t="n">
        <x:v>0</x:v>
      </x:c>
      <x:c r="J226" s="46" t="n">
        <x:v>8</x:v>
      </x:c>
      <x:c r="K226" s="46" t="n">
        <x:v>0</x:v>
      </x:c>
      <x:c r="L226" s="21" t="str">
        <x:v>OPEN</x:v>
      </x:c>
      <x:c r="M226" s="21" t="str">
        <x:v>BLOCKED</x:v>
      </x:c>
      <x:c r="N226" s="23" t="str">
        <x:f>IF(AND(H226&lt;=G226,I226&lt;=H226,K226&lt;=J226),"PASS","FAIL")</x:f>
        <x:v>PASS</x:v>
      </x:c>
    </x:row>
    <x:row r="227">
      <x:c r="B227" s="21" t="str">
        <x:v>F19-I2-B</x:v>
      </x:c>
      <x:c r="C227" s="21" t="str">
        <x:v>F19-I2</x:v>
      </x:c>
      <x:c r="D227" s="21" t="str">
        <x:v>F19</x:v>
      </x:c>
      <x:c r="E227" s="21" t="str">
        <x:v>BUILD B</x:v>
      </x:c>
      <x:c r="F227" s="21" t="str">
        <x:v>Independent build ecosystem 14</x:v>
      </x:c>
      <x:c r="G227" s="21" t="n">
        <x:v>28</x:v>
      </x:c>
      <x:c r="H227" s="46" t="n">
        <x:v>0</x:v>
      </x:c>
      <x:c r="I227" s="46" t="n">
        <x:v>0</x:v>
      </x:c>
      <x:c r="J227" s="46" t="n">
        <x:v>8</x:v>
      </x:c>
      <x:c r="K227" s="46" t="n">
        <x:v>0</x:v>
      </x:c>
      <x:c r="L227" s="21" t="str">
        <x:v>OPEN</x:v>
      </x:c>
      <x:c r="M227" s="21" t="str">
        <x:v>BLOCKED</x:v>
      </x:c>
      <x:c r="N227" s="23" t="str">
        <x:f>IF(AND(H227&lt;=G227,I227&lt;=H227,K227&lt;=J227),"PASS","FAIL")</x:f>
        <x:v>PASS</x:v>
      </x:c>
    </x:row>
    <x:row r="228">
      <x:c r="B228" s="21" t="str">
        <x:v>F19-I2-C</x:v>
      </x:c>
      <x:c r="C228" s="21" t="str">
        <x:v>F19-I2</x:v>
      </x:c>
      <x:c r="D228" s="21" t="str">
        <x:v>F19</x:v>
      </x:c>
      <x:c r="E228" s="21" t="str">
        <x:v>CHALLENGE</x:v>
      </x:c>
      <x:c r="F228" s="21" t="str">
        <x:v>Sovereign challenge cell TIO-10</x:v>
      </x:c>
      <x:c r="G228" s="21" t="n">
        <x:v>28</x:v>
      </x:c>
      <x:c r="H228" s="46" t="n">
        <x:v>0</x:v>
      </x:c>
      <x:c r="I228" s="46" t="n">
        <x:v>0</x:v>
      </x:c>
      <x:c r="J228" s="46" t="n">
        <x:v>8</x:v>
      </x:c>
      <x:c r="K228" s="46" t="n">
        <x:v>0</x:v>
      </x:c>
      <x:c r="L228" s="21" t="str">
        <x:v>OPEN</x:v>
      </x:c>
      <x:c r="M228" s="21" t="str">
        <x:v>BLOCKED</x:v>
      </x:c>
      <x:c r="N228" s="23" t="str">
        <x:f>IF(AND(H228&lt;=G228,I228&lt;=H228,K228&lt;=J228),"PASS","FAIL")</x:f>
        <x:v>PASS</x:v>
      </x:c>
    </x:row>
    <x:row r="229">
      <x:c r="B229" s="21" t="str">
        <x:v>F19-I3-A</x:v>
      </x:c>
      <x:c r="C229" s="21" t="str">
        <x:v>F19-I3</x:v>
      </x:c>
      <x:c r="D229" s="21" t="str">
        <x:v>F19</x:v>
      </x:c>
      <x:c r="E229" s="21" t="str">
        <x:v>BUILD A</x:v>
      </x:c>
      <x:c r="F229" s="21" t="str">
        <x:v>Independent build ecosystem 15</x:v>
      </x:c>
      <x:c r="G229" s="21" t="n">
        <x:v>28</x:v>
      </x:c>
      <x:c r="H229" s="46" t="n">
        <x:v>0</x:v>
      </x:c>
      <x:c r="I229" s="46" t="n">
        <x:v>0</x:v>
      </x:c>
      <x:c r="J229" s="46" t="n">
        <x:v>8</x:v>
      </x:c>
      <x:c r="K229" s="46" t="n">
        <x:v>0</x:v>
      </x:c>
      <x:c r="L229" s="21" t="str">
        <x:v>OPEN</x:v>
      </x:c>
      <x:c r="M229" s="21" t="str">
        <x:v>BLOCKED</x:v>
      </x:c>
      <x:c r="N229" s="23" t="str">
        <x:f>IF(AND(H229&lt;=G229,I229&lt;=H229,K229&lt;=J229),"PASS","FAIL")</x:f>
        <x:v>PASS</x:v>
      </x:c>
    </x:row>
    <x:row r="230">
      <x:c r="B230" s="21" t="str">
        <x:v>F19-I3-B</x:v>
      </x:c>
      <x:c r="C230" s="21" t="str">
        <x:v>F19-I3</x:v>
      </x:c>
      <x:c r="D230" s="21" t="str">
        <x:v>F19</x:v>
      </x:c>
      <x:c r="E230" s="21" t="str">
        <x:v>BUILD B</x:v>
      </x:c>
      <x:c r="F230" s="21" t="str">
        <x:v>Independent build ecosystem 01</x:v>
      </x:c>
      <x:c r="G230" s="21" t="n">
        <x:v>28</x:v>
      </x:c>
      <x:c r="H230" s="46" t="n">
        <x:v>0</x:v>
      </x:c>
      <x:c r="I230" s="46" t="n">
        <x:v>0</x:v>
      </x:c>
      <x:c r="J230" s="46" t="n">
        <x:v>8</x:v>
      </x:c>
      <x:c r="K230" s="46" t="n">
        <x:v>0</x:v>
      </x:c>
      <x:c r="L230" s="21" t="str">
        <x:v>OPEN</x:v>
      </x:c>
      <x:c r="M230" s="21" t="str">
        <x:v>BLOCKED</x:v>
      </x:c>
      <x:c r="N230" s="23" t="str">
        <x:f>IF(AND(H230&lt;=G230,I230&lt;=H230,K230&lt;=J230),"PASS","FAIL")</x:f>
        <x:v>PASS</x:v>
      </x:c>
    </x:row>
    <x:row r="231">
      <x:c r="B231" s="21" t="str">
        <x:v>F19-I3-C</x:v>
      </x:c>
      <x:c r="C231" s="21" t="str">
        <x:v>F19-I3</x:v>
      </x:c>
      <x:c r="D231" s="21" t="str">
        <x:v>F19</x:v>
      </x:c>
      <x:c r="E231" s="21" t="str">
        <x:v>CHALLENGE</x:v>
      </x:c>
      <x:c r="F231" s="21" t="str">
        <x:v>Sovereign challenge cell TIO-11</x:v>
      </x:c>
      <x:c r="G231" s="21" t="n">
        <x:v>28</x:v>
      </x:c>
      <x:c r="H231" s="46" t="n">
        <x:v>0</x:v>
      </x:c>
      <x:c r="I231" s="46" t="n">
        <x:v>0</x:v>
      </x:c>
      <x:c r="J231" s="46" t="n">
        <x:v>8</x:v>
      </x:c>
      <x:c r="K231" s="46" t="n">
        <x:v>0</x:v>
      </x:c>
      <x:c r="L231" s="21" t="str">
        <x:v>OPEN</x:v>
      </x:c>
      <x:c r="M231" s="21" t="str">
        <x:v>BLOCKED</x:v>
      </x:c>
      <x:c r="N231" s="23" t="str">
        <x:f>IF(AND(H231&lt;=G231,I231&lt;=H231,K231&lt;=J231),"PASS","FAIL")</x:f>
        <x:v>PASS</x:v>
      </x:c>
    </x:row>
    <x:row r="232">
      <x:c r="B232" s="21" t="str">
        <x:v>F19-I4-A</x:v>
      </x:c>
      <x:c r="C232" s="21" t="str">
        <x:v>F19-I4</x:v>
      </x:c>
      <x:c r="D232" s="21" t="str">
        <x:v>F19</x:v>
      </x:c>
      <x:c r="E232" s="21" t="str">
        <x:v>BUILD A</x:v>
      </x:c>
      <x:c r="F232" s="21" t="str">
        <x:v>Independent build ecosystem 02</x:v>
      </x:c>
      <x:c r="G232" s="21" t="n">
        <x:v>28</x:v>
      </x:c>
      <x:c r="H232" s="46" t="n">
        <x:v>0</x:v>
      </x:c>
      <x:c r="I232" s="46" t="n">
        <x:v>0</x:v>
      </x:c>
      <x:c r="J232" s="46" t="n">
        <x:v>8</x:v>
      </x:c>
      <x:c r="K232" s="46" t="n">
        <x:v>0</x:v>
      </x:c>
      <x:c r="L232" s="21" t="str">
        <x:v>OPEN</x:v>
      </x:c>
      <x:c r="M232" s="21" t="str">
        <x:v>BLOCKED</x:v>
      </x:c>
      <x:c r="N232" s="23" t="str">
        <x:f>IF(AND(H232&lt;=G232,I232&lt;=H232,K232&lt;=J232),"PASS","FAIL")</x:f>
        <x:v>PASS</x:v>
      </x:c>
    </x:row>
    <x:row r="233">
      <x:c r="B233" s="21" t="str">
        <x:v>F19-I4-B</x:v>
      </x:c>
      <x:c r="C233" s="21" t="str">
        <x:v>F19-I4</x:v>
      </x:c>
      <x:c r="D233" s="21" t="str">
        <x:v>F19</x:v>
      </x:c>
      <x:c r="E233" s="21" t="str">
        <x:v>BUILD B</x:v>
      </x:c>
      <x:c r="F233" s="21" t="str">
        <x:v>Independent build ecosystem 04</x:v>
      </x:c>
      <x:c r="G233" s="21" t="n">
        <x:v>28</x:v>
      </x:c>
      <x:c r="H233" s="46" t="n">
        <x:v>0</x:v>
      </x:c>
      <x:c r="I233" s="46" t="n">
        <x:v>0</x:v>
      </x:c>
      <x:c r="J233" s="46" t="n">
        <x:v>8</x:v>
      </x:c>
      <x:c r="K233" s="46" t="n">
        <x:v>0</x:v>
      </x:c>
      <x:c r="L233" s="21" t="str">
        <x:v>OPEN</x:v>
      </x:c>
      <x:c r="M233" s="21" t="str">
        <x:v>BLOCKED</x:v>
      </x:c>
      <x:c r="N233" s="23" t="str">
        <x:f>IF(AND(H233&lt;=G233,I233&lt;=H233,K233&lt;=J233),"PASS","FAIL")</x:f>
        <x:v>PASS</x:v>
      </x:c>
    </x:row>
    <x:row r="234">
      <x:c r="B234" s="21" t="str">
        <x:v>F19-I4-C</x:v>
      </x:c>
      <x:c r="C234" s="21" t="str">
        <x:v>F19-I4</x:v>
      </x:c>
      <x:c r="D234" s="21" t="str">
        <x:v>F19</x:v>
      </x:c>
      <x:c r="E234" s="21" t="str">
        <x:v>CHALLENGE</x:v>
      </x:c>
      <x:c r="F234" s="21" t="str">
        <x:v>Sovereign challenge cell TIO-12</x:v>
      </x:c>
      <x:c r="G234" s="21" t="n">
        <x:v>28</x:v>
      </x:c>
      <x:c r="H234" s="46" t="n">
        <x:v>0</x:v>
      </x:c>
      <x:c r="I234" s="46" t="n">
        <x:v>0</x:v>
      </x:c>
      <x:c r="J234" s="46" t="n">
        <x:v>8</x:v>
      </x:c>
      <x:c r="K234" s="46" t="n">
        <x:v>0</x:v>
      </x:c>
      <x:c r="L234" s="21" t="str">
        <x:v>OPEN</x:v>
      </x:c>
      <x:c r="M234" s="21" t="str">
        <x:v>BLOCKED</x:v>
      </x:c>
      <x:c r="N234" s="23" t="str">
        <x:f>IF(AND(H234&lt;=G234,I234&lt;=H234,K234&lt;=J234),"PASS","FAIL")</x:f>
        <x:v>PASS</x:v>
      </x:c>
    </x:row>
    <x:row r="235">
      <x:c r="B235" s="21" t="str">
        <x:v>F20-I1-A</x:v>
      </x:c>
      <x:c r="C235" s="21" t="str">
        <x:v>F20-I1</x:v>
      </x:c>
      <x:c r="D235" s="21" t="str">
        <x:v>F20</x:v>
      </x:c>
      <x:c r="E235" s="21" t="str">
        <x:v>BUILD A</x:v>
      </x:c>
      <x:c r="F235" s="21" t="str">
        <x:v>Independent build ecosystem 05</x:v>
      </x:c>
      <x:c r="G235" s="21" t="n">
        <x:v>28</x:v>
      </x:c>
      <x:c r="H235" s="46" t="n">
        <x:v>0</x:v>
      </x:c>
      <x:c r="I235" s="46" t="n">
        <x:v>0</x:v>
      </x:c>
      <x:c r="J235" s="46" t="n">
        <x:v>8</x:v>
      </x:c>
      <x:c r="K235" s="46" t="n">
        <x:v>0</x:v>
      </x:c>
      <x:c r="L235" s="21" t="str">
        <x:v>OPEN</x:v>
      </x:c>
      <x:c r="M235" s="21" t="str">
        <x:v>BLOCKED</x:v>
      </x:c>
      <x:c r="N235" s="23" t="str">
        <x:f>IF(AND(H235&lt;=G235,I235&lt;=H235,K235&lt;=J235),"PASS","FAIL")</x:f>
        <x:v>PASS</x:v>
      </x:c>
    </x:row>
    <x:row r="236">
      <x:c r="B236" s="21" t="str">
        <x:v>F20-I1-B</x:v>
      </x:c>
      <x:c r="C236" s="21" t="str">
        <x:v>F20-I1</x:v>
      </x:c>
      <x:c r="D236" s="21" t="str">
        <x:v>F20</x:v>
      </x:c>
      <x:c r="E236" s="21" t="str">
        <x:v>BUILD B</x:v>
      </x:c>
      <x:c r="F236" s="21" t="str">
        <x:v>Independent build ecosystem 07</x:v>
      </x:c>
      <x:c r="G236" s="21" t="n">
        <x:v>28</x:v>
      </x:c>
      <x:c r="H236" s="46" t="n">
        <x:v>0</x:v>
      </x:c>
      <x:c r="I236" s="46" t="n">
        <x:v>0</x:v>
      </x:c>
      <x:c r="J236" s="46" t="n">
        <x:v>8</x:v>
      </x:c>
      <x:c r="K236" s="46" t="n">
        <x:v>0</x:v>
      </x:c>
      <x:c r="L236" s="21" t="str">
        <x:v>OPEN</x:v>
      </x:c>
      <x:c r="M236" s="21" t="str">
        <x:v>BLOCKED</x:v>
      </x:c>
      <x:c r="N236" s="23" t="str">
        <x:f>IF(AND(H236&lt;=G236,I236&lt;=H236,K236&lt;=J236),"PASS","FAIL")</x:f>
        <x:v>PASS</x:v>
      </x:c>
    </x:row>
    <x:row r="237">
      <x:c r="B237" s="21" t="str">
        <x:v>F20-I1-C</x:v>
      </x:c>
      <x:c r="C237" s="21" t="str">
        <x:v>F20-I1</x:v>
      </x:c>
      <x:c r="D237" s="21" t="str">
        <x:v>F20</x:v>
      </x:c>
      <x:c r="E237" s="21" t="str">
        <x:v>CHALLENGE</x:v>
      </x:c>
      <x:c r="F237" s="21" t="str">
        <x:v>Sovereign challenge cell TIO-13</x:v>
      </x:c>
      <x:c r="G237" s="21" t="n">
        <x:v>28</x:v>
      </x:c>
      <x:c r="H237" s="46" t="n">
        <x:v>0</x:v>
      </x:c>
      <x:c r="I237" s="46" t="n">
        <x:v>0</x:v>
      </x:c>
      <x:c r="J237" s="46" t="n">
        <x:v>8</x:v>
      </x:c>
      <x:c r="K237" s="46" t="n">
        <x:v>0</x:v>
      </x:c>
      <x:c r="L237" s="21" t="str">
        <x:v>OPEN</x:v>
      </x:c>
      <x:c r="M237" s="21" t="str">
        <x:v>BLOCKED</x:v>
      </x:c>
      <x:c r="N237" s="23" t="str">
        <x:f>IF(AND(H237&lt;=G237,I237&lt;=H237,K237&lt;=J237),"PASS","FAIL")</x:f>
        <x:v>PASS</x:v>
      </x:c>
    </x:row>
    <x:row r="238">
      <x:c r="B238" s="21" t="str">
        <x:v>F20-I2-A</x:v>
      </x:c>
      <x:c r="C238" s="21" t="str">
        <x:v>F20-I2</x:v>
      </x:c>
      <x:c r="D238" s="21" t="str">
        <x:v>F20</x:v>
      </x:c>
      <x:c r="E238" s="21" t="str">
        <x:v>BUILD A</x:v>
      </x:c>
      <x:c r="F238" s="21" t="str">
        <x:v>Independent build ecosystem 08</x:v>
      </x:c>
      <x:c r="G238" s="21" t="n">
        <x:v>28</x:v>
      </x:c>
      <x:c r="H238" s="46" t="n">
        <x:v>0</x:v>
      </x:c>
      <x:c r="I238" s="46" t="n">
        <x:v>0</x:v>
      </x:c>
      <x:c r="J238" s="46" t="n">
        <x:v>8</x:v>
      </x:c>
      <x:c r="K238" s="46" t="n">
        <x:v>0</x:v>
      </x:c>
      <x:c r="L238" s="21" t="str">
        <x:v>OPEN</x:v>
      </x:c>
      <x:c r="M238" s="21" t="str">
        <x:v>BLOCKED</x:v>
      </x:c>
      <x:c r="N238" s="23" t="str">
        <x:f>IF(AND(H238&lt;=G238,I238&lt;=H238,K238&lt;=J238),"PASS","FAIL")</x:f>
        <x:v>PASS</x:v>
      </x:c>
    </x:row>
    <x:row r="239">
      <x:c r="B239" s="21" t="str">
        <x:v>F20-I2-B</x:v>
      </x:c>
      <x:c r="C239" s="21" t="str">
        <x:v>F20-I2</x:v>
      </x:c>
      <x:c r="D239" s="21" t="str">
        <x:v>F20</x:v>
      </x:c>
      <x:c r="E239" s="21" t="str">
        <x:v>BUILD B</x:v>
      </x:c>
      <x:c r="F239" s="21" t="str">
        <x:v>Independent build ecosystem 10</x:v>
      </x:c>
      <x:c r="G239" s="21" t="n">
        <x:v>28</x:v>
      </x:c>
      <x:c r="H239" s="46" t="n">
        <x:v>0</x:v>
      </x:c>
      <x:c r="I239" s="46" t="n">
        <x:v>0</x:v>
      </x:c>
      <x:c r="J239" s="46" t="n">
        <x:v>8</x:v>
      </x:c>
      <x:c r="K239" s="46" t="n">
        <x:v>0</x:v>
      </x:c>
      <x:c r="L239" s="21" t="str">
        <x:v>OPEN</x:v>
      </x:c>
      <x:c r="M239" s="21" t="str">
        <x:v>BLOCKED</x:v>
      </x:c>
      <x:c r="N239" s="23" t="str">
        <x:f>IF(AND(H239&lt;=G239,I239&lt;=H239,K239&lt;=J239),"PASS","FAIL")</x:f>
        <x:v>PASS</x:v>
      </x:c>
    </x:row>
    <x:row r="240">
      <x:c r="B240" s="21" t="str">
        <x:v>F20-I2-C</x:v>
      </x:c>
      <x:c r="C240" s="21" t="str">
        <x:v>F20-I2</x:v>
      </x:c>
      <x:c r="D240" s="21" t="str">
        <x:v>F20</x:v>
      </x:c>
      <x:c r="E240" s="21" t="str">
        <x:v>CHALLENGE</x:v>
      </x:c>
      <x:c r="F240" s="21" t="str">
        <x:v>Sovereign challenge cell TIO-14</x:v>
      </x:c>
      <x:c r="G240" s="21" t="n">
        <x:v>28</x:v>
      </x:c>
      <x:c r="H240" s="46" t="n">
        <x:v>0</x:v>
      </x:c>
      <x:c r="I240" s="46" t="n">
        <x:v>0</x:v>
      </x:c>
      <x:c r="J240" s="46" t="n">
        <x:v>8</x:v>
      </x:c>
      <x:c r="K240" s="46" t="n">
        <x:v>0</x:v>
      </x:c>
      <x:c r="L240" s="21" t="str">
        <x:v>OPEN</x:v>
      </x:c>
      <x:c r="M240" s="21" t="str">
        <x:v>BLOCKED</x:v>
      </x:c>
      <x:c r="N240" s="23" t="str">
        <x:f>IF(AND(H240&lt;=G240,I240&lt;=H240,K240&lt;=J240),"PASS","FAIL")</x:f>
        <x:v>PASS</x:v>
      </x:c>
    </x:row>
    <x:row r="241">
      <x:c r="B241" s="21" t="str">
        <x:v>F20-I3-A</x:v>
      </x:c>
      <x:c r="C241" s="21" t="str">
        <x:v>F20-I3</x:v>
      </x:c>
      <x:c r="D241" s="21" t="str">
        <x:v>F20</x:v>
      </x:c>
      <x:c r="E241" s="21" t="str">
        <x:v>BUILD A</x:v>
      </x:c>
      <x:c r="F241" s="21" t="str">
        <x:v>Independent build ecosystem 11</x:v>
      </x:c>
      <x:c r="G241" s="21" t="n">
        <x:v>28</x:v>
      </x:c>
      <x:c r="H241" s="46" t="n">
        <x:v>0</x:v>
      </x:c>
      <x:c r="I241" s="46" t="n">
        <x:v>0</x:v>
      </x:c>
      <x:c r="J241" s="46" t="n">
        <x:v>8</x:v>
      </x:c>
      <x:c r="K241" s="46" t="n">
        <x:v>0</x:v>
      </x:c>
      <x:c r="L241" s="21" t="str">
        <x:v>OPEN</x:v>
      </x:c>
      <x:c r="M241" s="21" t="str">
        <x:v>BLOCKED</x:v>
      </x:c>
      <x:c r="N241" s="23" t="str">
        <x:f>IF(AND(H241&lt;=G241,I241&lt;=H241,K241&lt;=J241),"PASS","FAIL")</x:f>
        <x:v>PASS</x:v>
      </x:c>
    </x:row>
    <x:row r="242">
      <x:c r="B242" s="21" t="str">
        <x:v>F20-I3-B</x:v>
      </x:c>
      <x:c r="C242" s="21" t="str">
        <x:v>F20-I3</x:v>
      </x:c>
      <x:c r="D242" s="21" t="str">
        <x:v>F20</x:v>
      </x:c>
      <x:c r="E242" s="21" t="str">
        <x:v>BUILD B</x:v>
      </x:c>
      <x:c r="F242" s="21" t="str">
        <x:v>Independent build ecosystem 13</x:v>
      </x:c>
      <x:c r="G242" s="21" t="n">
        <x:v>28</x:v>
      </x:c>
      <x:c r="H242" s="46" t="n">
        <x:v>0</x:v>
      </x:c>
      <x:c r="I242" s="46" t="n">
        <x:v>0</x:v>
      </x:c>
      <x:c r="J242" s="46" t="n">
        <x:v>8</x:v>
      </x:c>
      <x:c r="K242" s="46" t="n">
        <x:v>0</x:v>
      </x:c>
      <x:c r="L242" s="21" t="str">
        <x:v>OPEN</x:v>
      </x:c>
      <x:c r="M242" s="21" t="str">
        <x:v>BLOCKED</x:v>
      </x:c>
      <x:c r="N242" s="23" t="str">
        <x:f>IF(AND(H242&lt;=G242,I242&lt;=H242,K242&lt;=J242),"PASS","FAIL")</x:f>
        <x:v>PASS</x:v>
      </x:c>
    </x:row>
    <x:row r="243">
      <x:c r="B243" s="21" t="str">
        <x:v>F20-I3-C</x:v>
      </x:c>
      <x:c r="C243" s="21" t="str">
        <x:v>F20-I3</x:v>
      </x:c>
      <x:c r="D243" s="21" t="str">
        <x:v>F20</x:v>
      </x:c>
      <x:c r="E243" s="21" t="str">
        <x:v>CHALLENGE</x:v>
      </x:c>
      <x:c r="F243" s="21" t="str">
        <x:v>Sovereign challenge cell TIO-15</x:v>
      </x:c>
      <x:c r="G243" s="21" t="n">
        <x:v>28</x:v>
      </x:c>
      <x:c r="H243" s="46" t="n">
        <x:v>0</x:v>
      </x:c>
      <x:c r="I243" s="46" t="n">
        <x:v>0</x:v>
      </x:c>
      <x:c r="J243" s="46" t="n">
        <x:v>8</x:v>
      </x:c>
      <x:c r="K243" s="46" t="n">
        <x:v>0</x:v>
      </x:c>
      <x:c r="L243" s="21" t="str">
        <x:v>OPEN</x:v>
      </x:c>
      <x:c r="M243" s="21" t="str">
        <x:v>BLOCKED</x:v>
      </x:c>
      <x:c r="N243" s="23" t="str">
        <x:f>IF(AND(H243&lt;=G243,I243&lt;=H243,K243&lt;=J243),"PASS","FAIL")</x:f>
        <x:v>PASS</x:v>
      </x:c>
    </x:row>
    <x:row r="244">
      <x:c r="B244" s="21" t="str">
        <x:v>F20-I4-A</x:v>
      </x:c>
      <x:c r="C244" s="21" t="str">
        <x:v>F20-I4</x:v>
      </x:c>
      <x:c r="D244" s="21" t="str">
        <x:v>F20</x:v>
      </x:c>
      <x:c r="E244" s="21" t="str">
        <x:v>BUILD A</x:v>
      </x:c>
      <x:c r="F244" s="21" t="str">
        <x:v>Independent build ecosystem 14</x:v>
      </x:c>
      <x:c r="G244" s="21" t="n">
        <x:v>28</x:v>
      </x:c>
      <x:c r="H244" s="46" t="n">
        <x:v>0</x:v>
      </x:c>
      <x:c r="I244" s="46" t="n">
        <x:v>0</x:v>
      </x:c>
      <x:c r="J244" s="46" t="n">
        <x:v>8</x:v>
      </x:c>
      <x:c r="K244" s="46" t="n">
        <x:v>0</x:v>
      </x:c>
      <x:c r="L244" s="21" t="str">
        <x:v>OPEN</x:v>
      </x:c>
      <x:c r="M244" s="21" t="str">
        <x:v>BLOCKED</x:v>
      </x:c>
      <x:c r="N244" s="23" t="str">
        <x:f>IF(AND(H244&lt;=G244,I244&lt;=H244,K244&lt;=J244),"PASS","FAIL")</x:f>
        <x:v>PASS</x:v>
      </x:c>
    </x:row>
    <x:row r="245">
      <x:c r="B245" s="21" t="str">
        <x:v>F20-I4-B</x:v>
      </x:c>
      <x:c r="C245" s="21" t="str">
        <x:v>F20-I4</x:v>
      </x:c>
      <x:c r="D245" s="21" t="str">
        <x:v>F20</x:v>
      </x:c>
      <x:c r="E245" s="21" t="str">
        <x:v>BUILD B</x:v>
      </x:c>
      <x:c r="F245" s="21" t="str">
        <x:v>Independent build ecosystem 16</x:v>
      </x:c>
      <x:c r="G245" s="21" t="n">
        <x:v>28</x:v>
      </x:c>
      <x:c r="H245" s="46" t="n">
        <x:v>0</x:v>
      </x:c>
      <x:c r="I245" s="46" t="n">
        <x:v>0</x:v>
      </x:c>
      <x:c r="J245" s="46" t="n">
        <x:v>8</x:v>
      </x:c>
      <x:c r="K245" s="46" t="n">
        <x:v>0</x:v>
      </x:c>
      <x:c r="L245" s="21" t="str">
        <x:v>OPEN</x:v>
      </x:c>
      <x:c r="M245" s="21" t="str">
        <x:v>BLOCKED</x:v>
      </x:c>
      <x:c r="N245" s="23" t="str">
        <x:f>IF(AND(H245&lt;=G245,I245&lt;=H245,K245&lt;=J245),"PASS","FAIL")</x:f>
        <x:v>PASS</x:v>
      </x:c>
    </x:row>
    <x:row r="246">
      <x:c r="B246" s="21" t="str">
        <x:v>F20-I4-C</x:v>
      </x:c>
      <x:c r="C246" s="21" t="str">
        <x:v>F20-I4</x:v>
      </x:c>
      <x:c r="D246" s="21" t="str">
        <x:v>F20</x:v>
      </x:c>
      <x:c r="E246" s="21" t="str">
        <x:v>CHALLENGE</x:v>
      </x:c>
      <x:c r="F246" s="21" t="str">
        <x:v>Sovereign challenge cell TIO-16</x:v>
      </x:c>
      <x:c r="G246" s="21" t="n">
        <x:v>28</x:v>
      </x:c>
      <x:c r="H246" s="46" t="n">
        <x:v>0</x:v>
      </x:c>
      <x:c r="I246" s="46" t="n">
        <x:v>0</x:v>
      </x:c>
      <x:c r="J246" s="46" t="n">
        <x:v>8</x:v>
      </x:c>
      <x:c r="K246" s="46" t="n">
        <x:v>0</x:v>
      </x:c>
      <x:c r="L246" s="21" t="str">
        <x:v>OPEN</x:v>
      </x:c>
      <x:c r="M246" s="21" t="str">
        <x:v>BLOCKED</x:v>
      </x:c>
      <x:c r="N246" s="23" t="str">
        <x:f>IF(AND(H246&lt;=G246,I246&lt;=H246,K246&lt;=J246),"PASS","FAIL")</x:f>
        <x:v>PASS</x:v>
      </x:c>
    </x:row>
    <x:row r="247">
      <x:c r="B247" s="21" t="str">
        <x:v>F21-I1-A</x:v>
      </x:c>
      <x:c r="C247" s="21" t="str">
        <x:v>F21-I1</x:v>
      </x:c>
      <x:c r="D247" s="21" t="str">
        <x:v>F21</x:v>
      </x:c>
      <x:c r="E247" s="21" t="str">
        <x:v>BUILD A</x:v>
      </x:c>
      <x:c r="F247" s="21" t="str">
        <x:v>Independent build ecosystem 01</x:v>
      </x:c>
      <x:c r="G247" s="21" t="n">
        <x:v>28</x:v>
      </x:c>
      <x:c r="H247" s="46" t="n">
        <x:v>0</x:v>
      </x:c>
      <x:c r="I247" s="46" t="n">
        <x:v>0</x:v>
      </x:c>
      <x:c r="J247" s="46" t="n">
        <x:v>8</x:v>
      </x:c>
      <x:c r="K247" s="46" t="n">
        <x:v>0</x:v>
      </x:c>
      <x:c r="L247" s="21" t="str">
        <x:v>OPEN</x:v>
      </x:c>
      <x:c r="M247" s="21" t="str">
        <x:v>BLOCKED</x:v>
      </x:c>
      <x:c r="N247" s="23" t="str">
        <x:f>IF(AND(H247&lt;=G247,I247&lt;=H247,K247&lt;=J247),"PASS","FAIL")</x:f>
        <x:v>PASS</x:v>
      </x:c>
    </x:row>
    <x:row r="248">
      <x:c r="B248" s="21" t="str">
        <x:v>F21-I1-B</x:v>
      </x:c>
      <x:c r="C248" s="21" t="str">
        <x:v>F21-I1</x:v>
      </x:c>
      <x:c r="D248" s="21" t="str">
        <x:v>F21</x:v>
      </x:c>
      <x:c r="E248" s="21" t="str">
        <x:v>BUILD B</x:v>
      </x:c>
      <x:c r="F248" s="21" t="str">
        <x:v>Independent build ecosystem 03</x:v>
      </x:c>
      <x:c r="G248" s="21" t="n">
        <x:v>28</x:v>
      </x:c>
      <x:c r="H248" s="46" t="n">
        <x:v>0</x:v>
      </x:c>
      <x:c r="I248" s="46" t="n">
        <x:v>0</x:v>
      </x:c>
      <x:c r="J248" s="46" t="n">
        <x:v>8</x:v>
      </x:c>
      <x:c r="K248" s="46" t="n">
        <x:v>0</x:v>
      </x:c>
      <x:c r="L248" s="21" t="str">
        <x:v>OPEN</x:v>
      </x:c>
      <x:c r="M248" s="21" t="str">
        <x:v>BLOCKED</x:v>
      </x:c>
      <x:c r="N248" s="23" t="str">
        <x:f>IF(AND(H248&lt;=G248,I248&lt;=H248,K248&lt;=J248),"PASS","FAIL")</x:f>
        <x:v>PASS</x:v>
      </x:c>
    </x:row>
    <x:row r="249">
      <x:c r="B249" s="21" t="str">
        <x:v>F21-I1-C</x:v>
      </x:c>
      <x:c r="C249" s="21" t="str">
        <x:v>F21-I1</x:v>
      </x:c>
      <x:c r="D249" s="21" t="str">
        <x:v>F21</x:v>
      </x:c>
      <x:c r="E249" s="21" t="str">
        <x:v>CHALLENGE</x:v>
      </x:c>
      <x:c r="F249" s="21" t="str">
        <x:v>Sovereign challenge cell TIO-01</x:v>
      </x:c>
      <x:c r="G249" s="21" t="n">
        <x:v>28</x:v>
      </x:c>
      <x:c r="H249" s="46" t="n">
        <x:v>0</x:v>
      </x:c>
      <x:c r="I249" s="46" t="n">
        <x:v>0</x:v>
      </x:c>
      <x:c r="J249" s="46" t="n">
        <x:v>8</x:v>
      </x:c>
      <x:c r="K249" s="46" t="n">
        <x:v>0</x:v>
      </x:c>
      <x:c r="L249" s="21" t="str">
        <x:v>OPEN</x:v>
      </x:c>
      <x:c r="M249" s="21" t="str">
        <x:v>BLOCKED</x:v>
      </x:c>
      <x:c r="N249" s="23" t="str">
        <x:f>IF(AND(H249&lt;=G249,I249&lt;=H249,K249&lt;=J249),"PASS","FAIL")</x:f>
        <x:v>PASS</x:v>
      </x:c>
    </x:row>
    <x:row r="250">
      <x:c r="B250" s="21" t="str">
        <x:v>F21-I2-A</x:v>
      </x:c>
      <x:c r="C250" s="21" t="str">
        <x:v>F21-I2</x:v>
      </x:c>
      <x:c r="D250" s="21" t="str">
        <x:v>F21</x:v>
      </x:c>
      <x:c r="E250" s="21" t="str">
        <x:v>BUILD A</x:v>
      </x:c>
      <x:c r="F250" s="21" t="str">
        <x:v>Independent build ecosystem 04</x:v>
      </x:c>
      <x:c r="G250" s="21" t="n">
        <x:v>28</x:v>
      </x:c>
      <x:c r="H250" s="46" t="n">
        <x:v>0</x:v>
      </x:c>
      <x:c r="I250" s="46" t="n">
        <x:v>0</x:v>
      </x:c>
      <x:c r="J250" s="46" t="n">
        <x:v>8</x:v>
      </x:c>
      <x:c r="K250" s="46" t="n">
        <x:v>0</x:v>
      </x:c>
      <x:c r="L250" s="21" t="str">
        <x:v>OPEN</x:v>
      </x:c>
      <x:c r="M250" s="21" t="str">
        <x:v>BLOCKED</x:v>
      </x:c>
      <x:c r="N250" s="23" t="str">
        <x:f>IF(AND(H250&lt;=G250,I250&lt;=H250,K250&lt;=J250),"PASS","FAIL")</x:f>
        <x:v>PASS</x:v>
      </x:c>
    </x:row>
    <x:row r="251">
      <x:c r="B251" s="21" t="str">
        <x:v>F21-I2-B</x:v>
      </x:c>
      <x:c r="C251" s="21" t="str">
        <x:v>F21-I2</x:v>
      </x:c>
      <x:c r="D251" s="21" t="str">
        <x:v>F21</x:v>
      </x:c>
      <x:c r="E251" s="21" t="str">
        <x:v>BUILD B</x:v>
      </x:c>
      <x:c r="F251" s="21" t="str">
        <x:v>Independent build ecosystem 06</x:v>
      </x:c>
      <x:c r="G251" s="21" t="n">
        <x:v>28</x:v>
      </x:c>
      <x:c r="H251" s="46" t="n">
        <x:v>0</x:v>
      </x:c>
      <x:c r="I251" s="46" t="n">
        <x:v>0</x:v>
      </x:c>
      <x:c r="J251" s="46" t="n">
        <x:v>8</x:v>
      </x:c>
      <x:c r="K251" s="46" t="n">
        <x:v>0</x:v>
      </x:c>
      <x:c r="L251" s="21" t="str">
        <x:v>OPEN</x:v>
      </x:c>
      <x:c r="M251" s="21" t="str">
        <x:v>BLOCKED</x:v>
      </x:c>
      <x:c r="N251" s="23" t="str">
        <x:f>IF(AND(H251&lt;=G251,I251&lt;=H251,K251&lt;=J251),"PASS","FAIL")</x:f>
        <x:v>PASS</x:v>
      </x:c>
    </x:row>
    <x:row r="252">
      <x:c r="B252" s="21" t="str">
        <x:v>F21-I2-C</x:v>
      </x:c>
      <x:c r="C252" s="21" t="str">
        <x:v>F21-I2</x:v>
      </x:c>
      <x:c r="D252" s="21" t="str">
        <x:v>F21</x:v>
      </x:c>
      <x:c r="E252" s="21" t="str">
        <x:v>CHALLENGE</x:v>
      </x:c>
      <x:c r="F252" s="21" t="str">
        <x:v>Sovereign challenge cell TIO-02</x:v>
      </x:c>
      <x:c r="G252" s="21" t="n">
        <x:v>28</x:v>
      </x:c>
      <x:c r="H252" s="46" t="n">
        <x:v>0</x:v>
      </x:c>
      <x:c r="I252" s="46" t="n">
        <x:v>0</x:v>
      </x:c>
      <x:c r="J252" s="46" t="n">
        <x:v>8</x:v>
      </x:c>
      <x:c r="K252" s="46" t="n">
        <x:v>0</x:v>
      </x:c>
      <x:c r="L252" s="21" t="str">
        <x:v>OPEN</x:v>
      </x:c>
      <x:c r="M252" s="21" t="str">
        <x:v>BLOCKED</x:v>
      </x:c>
      <x:c r="N252" s="23" t="str">
        <x:f>IF(AND(H252&lt;=G252,I252&lt;=H252,K252&lt;=J252),"PASS","FAIL")</x:f>
        <x:v>PASS</x:v>
      </x:c>
    </x:row>
    <x:row r="253">
      <x:c r="B253" s="21" t="str">
        <x:v>F21-I3-A</x:v>
      </x:c>
      <x:c r="C253" s="21" t="str">
        <x:v>F21-I3</x:v>
      </x:c>
      <x:c r="D253" s="21" t="str">
        <x:v>F21</x:v>
      </x:c>
      <x:c r="E253" s="21" t="str">
        <x:v>BUILD A</x:v>
      </x:c>
      <x:c r="F253" s="21" t="str">
        <x:v>Independent build ecosystem 07</x:v>
      </x:c>
      <x:c r="G253" s="21" t="n">
        <x:v>28</x:v>
      </x:c>
      <x:c r="H253" s="46" t="n">
        <x:v>0</x:v>
      </x:c>
      <x:c r="I253" s="46" t="n">
        <x:v>0</x:v>
      </x:c>
      <x:c r="J253" s="46" t="n">
        <x:v>8</x:v>
      </x:c>
      <x:c r="K253" s="46" t="n">
        <x:v>0</x:v>
      </x:c>
      <x:c r="L253" s="21" t="str">
        <x:v>OPEN</x:v>
      </x:c>
      <x:c r="M253" s="21" t="str">
        <x:v>BLOCKED</x:v>
      </x:c>
      <x:c r="N253" s="23" t="str">
        <x:f>IF(AND(H253&lt;=G253,I253&lt;=H253,K253&lt;=J253),"PASS","FAIL")</x:f>
        <x:v>PASS</x:v>
      </x:c>
    </x:row>
    <x:row r="254">
      <x:c r="B254" s="21" t="str">
        <x:v>F21-I3-B</x:v>
      </x:c>
      <x:c r="C254" s="21" t="str">
        <x:v>F21-I3</x:v>
      </x:c>
      <x:c r="D254" s="21" t="str">
        <x:v>F21</x:v>
      </x:c>
      <x:c r="E254" s="21" t="str">
        <x:v>BUILD B</x:v>
      </x:c>
      <x:c r="F254" s="21" t="str">
        <x:v>Independent build ecosystem 09</x:v>
      </x:c>
      <x:c r="G254" s="21" t="n">
        <x:v>28</x:v>
      </x:c>
      <x:c r="H254" s="46" t="n">
        <x:v>0</x:v>
      </x:c>
      <x:c r="I254" s="46" t="n">
        <x:v>0</x:v>
      </x:c>
      <x:c r="J254" s="46" t="n">
        <x:v>8</x:v>
      </x:c>
      <x:c r="K254" s="46" t="n">
        <x:v>0</x:v>
      </x:c>
      <x:c r="L254" s="21" t="str">
        <x:v>OPEN</x:v>
      </x:c>
      <x:c r="M254" s="21" t="str">
        <x:v>BLOCKED</x:v>
      </x:c>
      <x:c r="N254" s="23" t="str">
        <x:f>IF(AND(H254&lt;=G254,I254&lt;=H254,K254&lt;=J254),"PASS","FAIL")</x:f>
        <x:v>PASS</x:v>
      </x:c>
    </x:row>
    <x:row r="255">
      <x:c r="B255" s="21" t="str">
        <x:v>F21-I3-C</x:v>
      </x:c>
      <x:c r="C255" s="21" t="str">
        <x:v>F21-I3</x:v>
      </x:c>
      <x:c r="D255" s="21" t="str">
        <x:v>F21</x:v>
      </x:c>
      <x:c r="E255" s="21" t="str">
        <x:v>CHALLENGE</x:v>
      </x:c>
      <x:c r="F255" s="21" t="str">
        <x:v>Sovereign challenge cell TIO-03</x:v>
      </x:c>
      <x:c r="G255" s="21" t="n">
        <x:v>28</x:v>
      </x:c>
      <x:c r="H255" s="46" t="n">
        <x:v>0</x:v>
      </x:c>
      <x:c r="I255" s="46" t="n">
        <x:v>0</x:v>
      </x:c>
      <x:c r="J255" s="46" t="n">
        <x:v>8</x:v>
      </x:c>
      <x:c r="K255" s="46" t="n">
        <x:v>0</x:v>
      </x:c>
      <x:c r="L255" s="21" t="str">
        <x:v>OPEN</x:v>
      </x:c>
      <x:c r="M255" s="21" t="str">
        <x:v>BLOCKED</x:v>
      </x:c>
      <x:c r="N255" s="23" t="str">
        <x:f>IF(AND(H255&lt;=G255,I255&lt;=H255,K255&lt;=J255),"PASS","FAIL")</x:f>
        <x:v>PASS</x:v>
      </x:c>
    </x:row>
    <x:row r="256">
      <x:c r="B256" s="21" t="str">
        <x:v>F21-I4-A</x:v>
      </x:c>
      <x:c r="C256" s="21" t="str">
        <x:v>F21-I4</x:v>
      </x:c>
      <x:c r="D256" s="21" t="str">
        <x:v>F21</x:v>
      </x:c>
      <x:c r="E256" s="21" t="str">
        <x:v>BUILD A</x:v>
      </x:c>
      <x:c r="F256" s="21" t="str">
        <x:v>Independent build ecosystem 10</x:v>
      </x:c>
      <x:c r="G256" s="21" t="n">
        <x:v>28</x:v>
      </x:c>
      <x:c r="H256" s="46" t="n">
        <x:v>0</x:v>
      </x:c>
      <x:c r="I256" s="46" t="n">
        <x:v>0</x:v>
      </x:c>
      <x:c r="J256" s="46" t="n">
        <x:v>8</x:v>
      </x:c>
      <x:c r="K256" s="46" t="n">
        <x:v>0</x:v>
      </x:c>
      <x:c r="L256" s="21" t="str">
        <x:v>OPEN</x:v>
      </x:c>
      <x:c r="M256" s="21" t="str">
        <x:v>BLOCKED</x:v>
      </x:c>
      <x:c r="N256" s="23" t="str">
        <x:f>IF(AND(H256&lt;=G256,I256&lt;=H256,K256&lt;=J256),"PASS","FAIL")</x:f>
        <x:v>PASS</x:v>
      </x:c>
    </x:row>
    <x:row r="257">
      <x:c r="B257" s="21" t="str">
        <x:v>F21-I4-B</x:v>
      </x:c>
      <x:c r="C257" s="21" t="str">
        <x:v>F21-I4</x:v>
      </x:c>
      <x:c r="D257" s="21" t="str">
        <x:v>F21</x:v>
      </x:c>
      <x:c r="E257" s="21" t="str">
        <x:v>BUILD B</x:v>
      </x:c>
      <x:c r="F257" s="21" t="str">
        <x:v>Independent build ecosystem 12</x:v>
      </x:c>
      <x:c r="G257" s="21" t="n">
        <x:v>28</x:v>
      </x:c>
      <x:c r="H257" s="46" t="n">
        <x:v>0</x:v>
      </x:c>
      <x:c r="I257" s="46" t="n">
        <x:v>0</x:v>
      </x:c>
      <x:c r="J257" s="46" t="n">
        <x:v>8</x:v>
      </x:c>
      <x:c r="K257" s="46" t="n">
        <x:v>0</x:v>
      </x:c>
      <x:c r="L257" s="21" t="str">
        <x:v>OPEN</x:v>
      </x:c>
      <x:c r="M257" s="21" t="str">
        <x:v>BLOCKED</x:v>
      </x:c>
      <x:c r="N257" s="23" t="str">
        <x:f>IF(AND(H257&lt;=G257,I257&lt;=H257,K257&lt;=J257),"PASS","FAIL")</x:f>
        <x:v>PASS</x:v>
      </x:c>
    </x:row>
    <x:row r="258">
      <x:c r="B258" s="21" t="str">
        <x:v>F21-I4-C</x:v>
      </x:c>
      <x:c r="C258" s="21" t="str">
        <x:v>F21-I4</x:v>
      </x:c>
      <x:c r="D258" s="21" t="str">
        <x:v>F21</x:v>
      </x:c>
      <x:c r="E258" s="21" t="str">
        <x:v>CHALLENGE</x:v>
      </x:c>
      <x:c r="F258" s="21" t="str">
        <x:v>Sovereign challenge cell TIO-04</x:v>
      </x:c>
      <x:c r="G258" s="21" t="n">
        <x:v>28</x:v>
      </x:c>
      <x:c r="H258" s="46" t="n">
        <x:v>0</x:v>
      </x:c>
      <x:c r="I258" s="46" t="n">
        <x:v>0</x:v>
      </x:c>
      <x:c r="J258" s="46" t="n">
        <x:v>8</x:v>
      </x:c>
      <x:c r="K258" s="46" t="n">
        <x:v>0</x:v>
      </x:c>
      <x:c r="L258" s="21" t="str">
        <x:v>OPEN</x:v>
      </x:c>
      <x:c r="M258" s="21" t="str">
        <x:v>BLOCKED</x:v>
      </x:c>
      <x:c r="N258" s="23" t="str">
        <x:f>IF(AND(H258&lt;=G258,I258&lt;=H258,K258&lt;=J258),"PASS","FAIL")</x:f>
        <x:v>PASS</x:v>
      </x:c>
    </x:row>
    <x:row r="259">
      <x:c r="B259" s="21" t="str">
        <x:v>F22-I1-A</x:v>
      </x:c>
      <x:c r="C259" s="21" t="str">
        <x:v>F22-I1</x:v>
      </x:c>
      <x:c r="D259" s="21" t="str">
        <x:v>F22</x:v>
      </x:c>
      <x:c r="E259" s="21" t="str">
        <x:v>BUILD A</x:v>
      </x:c>
      <x:c r="F259" s="21" t="str">
        <x:v>Independent build ecosystem 13</x:v>
      </x:c>
      <x:c r="G259" s="21" t="n">
        <x:v>28</x:v>
      </x:c>
      <x:c r="H259" s="46" t="n">
        <x:v>0</x:v>
      </x:c>
      <x:c r="I259" s="46" t="n">
        <x:v>0</x:v>
      </x:c>
      <x:c r="J259" s="46" t="n">
        <x:v>8</x:v>
      </x:c>
      <x:c r="K259" s="46" t="n">
        <x:v>0</x:v>
      </x:c>
      <x:c r="L259" s="21" t="str">
        <x:v>OPEN</x:v>
      </x:c>
      <x:c r="M259" s="21" t="str">
        <x:v>BLOCKED</x:v>
      </x:c>
      <x:c r="N259" s="23" t="str">
        <x:f>IF(AND(H259&lt;=G259,I259&lt;=H259,K259&lt;=J259),"PASS","FAIL")</x:f>
        <x:v>PASS</x:v>
      </x:c>
    </x:row>
    <x:row r="260">
      <x:c r="B260" s="21" t="str">
        <x:v>F22-I1-B</x:v>
      </x:c>
      <x:c r="C260" s="21" t="str">
        <x:v>F22-I1</x:v>
      </x:c>
      <x:c r="D260" s="21" t="str">
        <x:v>F22</x:v>
      </x:c>
      <x:c r="E260" s="21" t="str">
        <x:v>BUILD B</x:v>
      </x:c>
      <x:c r="F260" s="21" t="str">
        <x:v>Independent build ecosystem 15</x:v>
      </x:c>
      <x:c r="G260" s="21" t="n">
        <x:v>28</x:v>
      </x:c>
      <x:c r="H260" s="46" t="n">
        <x:v>0</x:v>
      </x:c>
      <x:c r="I260" s="46" t="n">
        <x:v>0</x:v>
      </x:c>
      <x:c r="J260" s="46" t="n">
        <x:v>8</x:v>
      </x:c>
      <x:c r="K260" s="46" t="n">
        <x:v>0</x:v>
      </x:c>
      <x:c r="L260" s="21" t="str">
        <x:v>OPEN</x:v>
      </x:c>
      <x:c r="M260" s="21" t="str">
        <x:v>BLOCKED</x:v>
      </x:c>
      <x:c r="N260" s="23" t="str">
        <x:f>IF(AND(H260&lt;=G260,I260&lt;=H260,K260&lt;=J260),"PASS","FAIL")</x:f>
        <x:v>PASS</x:v>
      </x:c>
    </x:row>
    <x:row r="261">
      <x:c r="B261" s="21" t="str">
        <x:v>F22-I1-C</x:v>
      </x:c>
      <x:c r="C261" s="21" t="str">
        <x:v>F22-I1</x:v>
      </x:c>
      <x:c r="D261" s="21" t="str">
        <x:v>F22</x:v>
      </x:c>
      <x:c r="E261" s="21" t="str">
        <x:v>CHALLENGE</x:v>
      </x:c>
      <x:c r="F261" s="21" t="str">
        <x:v>Sovereign challenge cell TIO-05</x:v>
      </x:c>
      <x:c r="G261" s="21" t="n">
        <x:v>28</x:v>
      </x:c>
      <x:c r="H261" s="46" t="n">
        <x:v>0</x:v>
      </x:c>
      <x:c r="I261" s="46" t="n">
        <x:v>0</x:v>
      </x:c>
      <x:c r="J261" s="46" t="n">
        <x:v>8</x:v>
      </x:c>
      <x:c r="K261" s="46" t="n">
        <x:v>0</x:v>
      </x:c>
      <x:c r="L261" s="21" t="str">
        <x:v>OPEN</x:v>
      </x:c>
      <x:c r="M261" s="21" t="str">
        <x:v>BLOCKED</x:v>
      </x:c>
      <x:c r="N261" s="23" t="str">
        <x:f>IF(AND(H261&lt;=G261,I261&lt;=H261,K261&lt;=J261),"PASS","FAIL")</x:f>
        <x:v>PASS</x:v>
      </x:c>
    </x:row>
    <x:row r="262">
      <x:c r="B262" s="21" t="str">
        <x:v>F22-I2-A</x:v>
      </x:c>
      <x:c r="C262" s="21" t="str">
        <x:v>F22-I2</x:v>
      </x:c>
      <x:c r="D262" s="21" t="str">
        <x:v>F22</x:v>
      </x:c>
      <x:c r="E262" s="21" t="str">
        <x:v>BUILD A</x:v>
      </x:c>
      <x:c r="F262" s="21" t="str">
        <x:v>Independent build ecosystem 16</x:v>
      </x:c>
      <x:c r="G262" s="21" t="n">
        <x:v>28</x:v>
      </x:c>
      <x:c r="H262" s="46" t="n">
        <x:v>0</x:v>
      </x:c>
      <x:c r="I262" s="46" t="n">
        <x:v>0</x:v>
      </x:c>
      <x:c r="J262" s="46" t="n">
        <x:v>8</x:v>
      </x:c>
      <x:c r="K262" s="46" t="n">
        <x:v>0</x:v>
      </x:c>
      <x:c r="L262" s="21" t="str">
        <x:v>OPEN</x:v>
      </x:c>
      <x:c r="M262" s="21" t="str">
        <x:v>BLOCKED</x:v>
      </x:c>
      <x:c r="N262" s="23" t="str">
        <x:f>IF(AND(H262&lt;=G262,I262&lt;=H262,K262&lt;=J262),"PASS","FAIL")</x:f>
        <x:v>PASS</x:v>
      </x:c>
    </x:row>
    <x:row r="263">
      <x:c r="B263" s="21" t="str">
        <x:v>F22-I2-B</x:v>
      </x:c>
      <x:c r="C263" s="21" t="str">
        <x:v>F22-I2</x:v>
      </x:c>
      <x:c r="D263" s="21" t="str">
        <x:v>F22</x:v>
      </x:c>
      <x:c r="E263" s="21" t="str">
        <x:v>BUILD B</x:v>
      </x:c>
      <x:c r="F263" s="21" t="str">
        <x:v>Independent build ecosystem 02</x:v>
      </x:c>
      <x:c r="G263" s="21" t="n">
        <x:v>28</x:v>
      </x:c>
      <x:c r="H263" s="46" t="n">
        <x:v>0</x:v>
      </x:c>
      <x:c r="I263" s="46" t="n">
        <x:v>0</x:v>
      </x:c>
      <x:c r="J263" s="46" t="n">
        <x:v>8</x:v>
      </x:c>
      <x:c r="K263" s="46" t="n">
        <x:v>0</x:v>
      </x:c>
      <x:c r="L263" s="21" t="str">
        <x:v>OPEN</x:v>
      </x:c>
      <x:c r="M263" s="21" t="str">
        <x:v>BLOCKED</x:v>
      </x:c>
      <x:c r="N263" s="23" t="str">
        <x:f>IF(AND(H263&lt;=G263,I263&lt;=H263,K263&lt;=J263),"PASS","FAIL")</x:f>
        <x:v>PASS</x:v>
      </x:c>
    </x:row>
    <x:row r="264">
      <x:c r="B264" s="21" t="str">
        <x:v>F22-I2-C</x:v>
      </x:c>
      <x:c r="C264" s="21" t="str">
        <x:v>F22-I2</x:v>
      </x:c>
      <x:c r="D264" s="21" t="str">
        <x:v>F22</x:v>
      </x:c>
      <x:c r="E264" s="21" t="str">
        <x:v>CHALLENGE</x:v>
      </x:c>
      <x:c r="F264" s="21" t="str">
        <x:v>Sovereign challenge cell TIO-06</x:v>
      </x:c>
      <x:c r="G264" s="21" t="n">
        <x:v>28</x:v>
      </x:c>
      <x:c r="H264" s="46" t="n">
        <x:v>0</x:v>
      </x:c>
      <x:c r="I264" s="46" t="n">
        <x:v>0</x:v>
      </x:c>
      <x:c r="J264" s="46" t="n">
        <x:v>8</x:v>
      </x:c>
      <x:c r="K264" s="46" t="n">
        <x:v>0</x:v>
      </x:c>
      <x:c r="L264" s="21" t="str">
        <x:v>OPEN</x:v>
      </x:c>
      <x:c r="M264" s="21" t="str">
        <x:v>BLOCKED</x:v>
      </x:c>
      <x:c r="N264" s="23" t="str">
        <x:f>IF(AND(H264&lt;=G264,I264&lt;=H264,K264&lt;=J264),"PASS","FAIL")</x:f>
        <x:v>PASS</x:v>
      </x:c>
    </x:row>
    <x:row r="265">
      <x:c r="B265" s="21" t="str">
        <x:v>F22-I3-A</x:v>
      </x:c>
      <x:c r="C265" s="21" t="str">
        <x:v>F22-I3</x:v>
      </x:c>
      <x:c r="D265" s="21" t="str">
        <x:v>F22</x:v>
      </x:c>
      <x:c r="E265" s="21" t="str">
        <x:v>BUILD A</x:v>
      </x:c>
      <x:c r="F265" s="21" t="str">
        <x:v>Independent build ecosystem 03</x:v>
      </x:c>
      <x:c r="G265" s="21" t="n">
        <x:v>28</x:v>
      </x:c>
      <x:c r="H265" s="46" t="n">
        <x:v>0</x:v>
      </x:c>
      <x:c r="I265" s="46" t="n">
        <x:v>0</x:v>
      </x:c>
      <x:c r="J265" s="46" t="n">
        <x:v>8</x:v>
      </x:c>
      <x:c r="K265" s="46" t="n">
        <x:v>0</x:v>
      </x:c>
      <x:c r="L265" s="21" t="str">
        <x:v>OPEN</x:v>
      </x:c>
      <x:c r="M265" s="21" t="str">
        <x:v>BLOCKED</x:v>
      </x:c>
      <x:c r="N265" s="23" t="str">
        <x:f>IF(AND(H265&lt;=G265,I265&lt;=H265,K265&lt;=J265),"PASS","FAIL")</x:f>
        <x:v>PASS</x:v>
      </x:c>
    </x:row>
    <x:row r="266">
      <x:c r="B266" s="21" t="str">
        <x:v>F22-I3-B</x:v>
      </x:c>
      <x:c r="C266" s="21" t="str">
        <x:v>F22-I3</x:v>
      </x:c>
      <x:c r="D266" s="21" t="str">
        <x:v>F22</x:v>
      </x:c>
      <x:c r="E266" s="21" t="str">
        <x:v>BUILD B</x:v>
      </x:c>
      <x:c r="F266" s="21" t="str">
        <x:v>Independent build ecosystem 05</x:v>
      </x:c>
      <x:c r="G266" s="21" t="n">
        <x:v>28</x:v>
      </x:c>
      <x:c r="H266" s="46" t="n">
        <x:v>0</x:v>
      </x:c>
      <x:c r="I266" s="46" t="n">
        <x:v>0</x:v>
      </x:c>
      <x:c r="J266" s="46" t="n">
        <x:v>8</x:v>
      </x:c>
      <x:c r="K266" s="46" t="n">
        <x:v>0</x:v>
      </x:c>
      <x:c r="L266" s="21" t="str">
        <x:v>OPEN</x:v>
      </x:c>
      <x:c r="M266" s="21" t="str">
        <x:v>BLOCKED</x:v>
      </x:c>
      <x:c r="N266" s="23" t="str">
        <x:f>IF(AND(H266&lt;=G266,I266&lt;=H266,K266&lt;=J266),"PASS","FAIL")</x:f>
        <x:v>PASS</x:v>
      </x:c>
    </x:row>
    <x:row r="267">
      <x:c r="B267" s="21" t="str">
        <x:v>F22-I3-C</x:v>
      </x:c>
      <x:c r="C267" s="21" t="str">
        <x:v>F22-I3</x:v>
      </x:c>
      <x:c r="D267" s="21" t="str">
        <x:v>F22</x:v>
      </x:c>
      <x:c r="E267" s="21" t="str">
        <x:v>CHALLENGE</x:v>
      </x:c>
      <x:c r="F267" s="21" t="str">
        <x:v>Sovereign challenge cell TIO-07</x:v>
      </x:c>
      <x:c r="G267" s="21" t="n">
        <x:v>28</x:v>
      </x:c>
      <x:c r="H267" s="46" t="n">
        <x:v>0</x:v>
      </x:c>
      <x:c r="I267" s="46" t="n">
        <x:v>0</x:v>
      </x:c>
      <x:c r="J267" s="46" t="n">
        <x:v>8</x:v>
      </x:c>
      <x:c r="K267" s="46" t="n">
        <x:v>0</x:v>
      </x:c>
      <x:c r="L267" s="21" t="str">
        <x:v>OPEN</x:v>
      </x:c>
      <x:c r="M267" s="21" t="str">
        <x:v>BLOCKED</x:v>
      </x:c>
      <x:c r="N267" s="23" t="str">
        <x:f>IF(AND(H267&lt;=G267,I267&lt;=H267,K267&lt;=J267),"PASS","FAIL")</x:f>
        <x:v>PASS</x:v>
      </x:c>
    </x:row>
    <x:row r="268">
      <x:c r="B268" s="21" t="str">
        <x:v>F22-I4-A</x:v>
      </x:c>
      <x:c r="C268" s="21" t="str">
        <x:v>F22-I4</x:v>
      </x:c>
      <x:c r="D268" s="21" t="str">
        <x:v>F22</x:v>
      </x:c>
      <x:c r="E268" s="21" t="str">
        <x:v>BUILD A</x:v>
      </x:c>
      <x:c r="F268" s="21" t="str">
        <x:v>Independent build ecosystem 06</x:v>
      </x:c>
      <x:c r="G268" s="21" t="n">
        <x:v>28</x:v>
      </x:c>
      <x:c r="H268" s="46" t="n">
        <x:v>0</x:v>
      </x:c>
      <x:c r="I268" s="46" t="n">
        <x:v>0</x:v>
      </x:c>
      <x:c r="J268" s="46" t="n">
        <x:v>8</x:v>
      </x:c>
      <x:c r="K268" s="46" t="n">
        <x:v>0</x:v>
      </x:c>
      <x:c r="L268" s="21" t="str">
        <x:v>OPEN</x:v>
      </x:c>
      <x:c r="M268" s="21" t="str">
        <x:v>BLOCKED</x:v>
      </x:c>
      <x:c r="N268" s="23" t="str">
        <x:f>IF(AND(H268&lt;=G268,I268&lt;=H268,K268&lt;=J268),"PASS","FAIL")</x:f>
        <x:v>PASS</x:v>
      </x:c>
    </x:row>
    <x:row r="269">
      <x:c r="B269" s="21" t="str">
        <x:v>F22-I4-B</x:v>
      </x:c>
      <x:c r="C269" s="21" t="str">
        <x:v>F22-I4</x:v>
      </x:c>
      <x:c r="D269" s="21" t="str">
        <x:v>F22</x:v>
      </x:c>
      <x:c r="E269" s="21" t="str">
        <x:v>BUILD B</x:v>
      </x:c>
      <x:c r="F269" s="21" t="str">
        <x:v>Independent build ecosystem 08</x:v>
      </x:c>
      <x:c r="G269" s="21" t="n">
        <x:v>28</x:v>
      </x:c>
      <x:c r="H269" s="46" t="n">
        <x:v>0</x:v>
      </x:c>
      <x:c r="I269" s="46" t="n">
        <x:v>0</x:v>
      </x:c>
      <x:c r="J269" s="46" t="n">
        <x:v>8</x:v>
      </x:c>
      <x:c r="K269" s="46" t="n">
        <x:v>0</x:v>
      </x:c>
      <x:c r="L269" s="21" t="str">
        <x:v>OPEN</x:v>
      </x:c>
      <x:c r="M269" s="21" t="str">
        <x:v>BLOCKED</x:v>
      </x:c>
      <x:c r="N269" s="23" t="str">
        <x:f>IF(AND(H269&lt;=G269,I269&lt;=H269,K269&lt;=J269),"PASS","FAIL")</x:f>
        <x:v>PASS</x:v>
      </x:c>
    </x:row>
    <x:row r="270">
      <x:c r="B270" s="21" t="str">
        <x:v>F22-I4-C</x:v>
      </x:c>
      <x:c r="C270" s="21" t="str">
        <x:v>F22-I4</x:v>
      </x:c>
      <x:c r="D270" s="21" t="str">
        <x:v>F22</x:v>
      </x:c>
      <x:c r="E270" s="21" t="str">
        <x:v>CHALLENGE</x:v>
      </x:c>
      <x:c r="F270" s="21" t="str">
        <x:v>Sovereign challenge cell TIO-08</x:v>
      </x:c>
      <x:c r="G270" s="21" t="n">
        <x:v>28</x:v>
      </x:c>
      <x:c r="H270" s="46" t="n">
        <x:v>0</x:v>
      </x:c>
      <x:c r="I270" s="46" t="n">
        <x:v>0</x:v>
      </x:c>
      <x:c r="J270" s="46" t="n">
        <x:v>8</x:v>
      </x:c>
      <x:c r="K270" s="46" t="n">
        <x:v>0</x:v>
      </x:c>
      <x:c r="L270" s="21" t="str">
        <x:v>OPEN</x:v>
      </x:c>
      <x:c r="M270" s="21" t="str">
        <x:v>BLOCKED</x:v>
      </x:c>
      <x:c r="N270" s="23" t="str">
        <x:f>IF(AND(H270&lt;=G270,I270&lt;=H270,K270&lt;=J270),"PASS","FAIL")</x:f>
        <x:v>PASS</x:v>
      </x:c>
    </x:row>
    <x:row r="271">
      <x:c r="B271" s="21" t="str">
        <x:v>F23-I1-A</x:v>
      </x:c>
      <x:c r="C271" s="21" t="str">
        <x:v>F23-I1</x:v>
      </x:c>
      <x:c r="D271" s="21" t="str">
        <x:v>F23</x:v>
      </x:c>
      <x:c r="E271" s="21" t="str">
        <x:v>BUILD A</x:v>
      </x:c>
      <x:c r="F271" s="21" t="str">
        <x:v>Independent build ecosystem 09</x:v>
      </x:c>
      <x:c r="G271" s="21" t="n">
        <x:v>28</x:v>
      </x:c>
      <x:c r="H271" s="46" t="n">
        <x:v>0</x:v>
      </x:c>
      <x:c r="I271" s="46" t="n">
        <x:v>0</x:v>
      </x:c>
      <x:c r="J271" s="46" t="n">
        <x:v>8</x:v>
      </x:c>
      <x:c r="K271" s="46" t="n">
        <x:v>0</x:v>
      </x:c>
      <x:c r="L271" s="21" t="str">
        <x:v>OPEN</x:v>
      </x:c>
      <x:c r="M271" s="21" t="str">
        <x:v>BLOCKED</x:v>
      </x:c>
      <x:c r="N271" s="23" t="str">
        <x:f>IF(AND(H271&lt;=G271,I271&lt;=H271,K271&lt;=J271),"PASS","FAIL")</x:f>
        <x:v>PASS</x:v>
      </x:c>
    </x:row>
    <x:row r="272">
      <x:c r="B272" s="21" t="str">
        <x:v>F23-I1-B</x:v>
      </x:c>
      <x:c r="C272" s="21" t="str">
        <x:v>F23-I1</x:v>
      </x:c>
      <x:c r="D272" s="21" t="str">
        <x:v>F23</x:v>
      </x:c>
      <x:c r="E272" s="21" t="str">
        <x:v>BUILD B</x:v>
      </x:c>
      <x:c r="F272" s="21" t="str">
        <x:v>Independent build ecosystem 11</x:v>
      </x:c>
      <x:c r="G272" s="21" t="n">
        <x:v>28</x:v>
      </x:c>
      <x:c r="H272" s="46" t="n">
        <x:v>0</x:v>
      </x:c>
      <x:c r="I272" s="46" t="n">
        <x:v>0</x:v>
      </x:c>
      <x:c r="J272" s="46" t="n">
        <x:v>8</x:v>
      </x:c>
      <x:c r="K272" s="46" t="n">
        <x:v>0</x:v>
      </x:c>
      <x:c r="L272" s="21" t="str">
        <x:v>OPEN</x:v>
      </x:c>
      <x:c r="M272" s="21" t="str">
        <x:v>BLOCKED</x:v>
      </x:c>
      <x:c r="N272" s="23" t="str">
        <x:f>IF(AND(H272&lt;=G272,I272&lt;=H272,K272&lt;=J272),"PASS","FAIL")</x:f>
        <x:v>PASS</x:v>
      </x:c>
    </x:row>
    <x:row r="273">
      <x:c r="B273" s="21" t="str">
        <x:v>F23-I1-C</x:v>
      </x:c>
      <x:c r="C273" s="21" t="str">
        <x:v>F23-I1</x:v>
      </x:c>
      <x:c r="D273" s="21" t="str">
        <x:v>F23</x:v>
      </x:c>
      <x:c r="E273" s="21" t="str">
        <x:v>CHALLENGE</x:v>
      </x:c>
      <x:c r="F273" s="21" t="str">
        <x:v>Sovereign challenge cell TIO-09</x:v>
      </x:c>
      <x:c r="G273" s="21" t="n">
        <x:v>28</x:v>
      </x:c>
      <x:c r="H273" s="46" t="n">
        <x:v>0</x:v>
      </x:c>
      <x:c r="I273" s="46" t="n">
        <x:v>0</x:v>
      </x:c>
      <x:c r="J273" s="46" t="n">
        <x:v>8</x:v>
      </x:c>
      <x:c r="K273" s="46" t="n">
        <x:v>0</x:v>
      </x:c>
      <x:c r="L273" s="21" t="str">
        <x:v>OPEN</x:v>
      </x:c>
      <x:c r="M273" s="21" t="str">
        <x:v>BLOCKED</x:v>
      </x:c>
      <x:c r="N273" s="23" t="str">
        <x:f>IF(AND(H273&lt;=G273,I273&lt;=H273,K273&lt;=J273),"PASS","FAIL")</x:f>
        <x:v>PASS</x:v>
      </x:c>
    </x:row>
    <x:row r="274">
      <x:c r="B274" s="21" t="str">
        <x:v>F23-I2-A</x:v>
      </x:c>
      <x:c r="C274" s="21" t="str">
        <x:v>F23-I2</x:v>
      </x:c>
      <x:c r="D274" s="21" t="str">
        <x:v>F23</x:v>
      </x:c>
      <x:c r="E274" s="21" t="str">
        <x:v>BUILD A</x:v>
      </x:c>
      <x:c r="F274" s="21" t="str">
        <x:v>Independent build ecosystem 12</x:v>
      </x:c>
      <x:c r="G274" s="21" t="n">
        <x:v>28</x:v>
      </x:c>
      <x:c r="H274" s="46" t="n">
        <x:v>0</x:v>
      </x:c>
      <x:c r="I274" s="46" t="n">
        <x:v>0</x:v>
      </x:c>
      <x:c r="J274" s="46" t="n">
        <x:v>8</x:v>
      </x:c>
      <x:c r="K274" s="46" t="n">
        <x:v>0</x:v>
      </x:c>
      <x:c r="L274" s="21" t="str">
        <x:v>OPEN</x:v>
      </x:c>
      <x:c r="M274" s="21" t="str">
        <x:v>BLOCKED</x:v>
      </x:c>
      <x:c r="N274" s="23" t="str">
        <x:f>IF(AND(H274&lt;=G274,I274&lt;=H274,K274&lt;=J274),"PASS","FAIL")</x:f>
        <x:v>PASS</x:v>
      </x:c>
    </x:row>
    <x:row r="275">
      <x:c r="B275" s="21" t="str">
        <x:v>F23-I2-B</x:v>
      </x:c>
      <x:c r="C275" s="21" t="str">
        <x:v>F23-I2</x:v>
      </x:c>
      <x:c r="D275" s="21" t="str">
        <x:v>F23</x:v>
      </x:c>
      <x:c r="E275" s="21" t="str">
        <x:v>BUILD B</x:v>
      </x:c>
      <x:c r="F275" s="21" t="str">
        <x:v>Independent build ecosystem 14</x:v>
      </x:c>
      <x:c r="G275" s="21" t="n">
        <x:v>28</x:v>
      </x:c>
      <x:c r="H275" s="46" t="n">
        <x:v>0</x:v>
      </x:c>
      <x:c r="I275" s="46" t="n">
        <x:v>0</x:v>
      </x:c>
      <x:c r="J275" s="46" t="n">
        <x:v>8</x:v>
      </x:c>
      <x:c r="K275" s="46" t="n">
        <x:v>0</x:v>
      </x:c>
      <x:c r="L275" s="21" t="str">
        <x:v>OPEN</x:v>
      </x:c>
      <x:c r="M275" s="21" t="str">
        <x:v>BLOCKED</x:v>
      </x:c>
      <x:c r="N275" s="23" t="str">
        <x:f>IF(AND(H275&lt;=G275,I275&lt;=H275,K275&lt;=J275),"PASS","FAIL")</x:f>
        <x:v>PASS</x:v>
      </x:c>
    </x:row>
    <x:row r="276">
      <x:c r="B276" s="21" t="str">
        <x:v>F23-I2-C</x:v>
      </x:c>
      <x:c r="C276" s="21" t="str">
        <x:v>F23-I2</x:v>
      </x:c>
      <x:c r="D276" s="21" t="str">
        <x:v>F23</x:v>
      </x:c>
      <x:c r="E276" s="21" t="str">
        <x:v>CHALLENGE</x:v>
      </x:c>
      <x:c r="F276" s="21" t="str">
        <x:v>Sovereign challenge cell TIO-10</x:v>
      </x:c>
      <x:c r="G276" s="21" t="n">
        <x:v>28</x:v>
      </x:c>
      <x:c r="H276" s="46" t="n">
        <x:v>0</x:v>
      </x:c>
      <x:c r="I276" s="46" t="n">
        <x:v>0</x:v>
      </x:c>
      <x:c r="J276" s="46" t="n">
        <x:v>8</x:v>
      </x:c>
      <x:c r="K276" s="46" t="n">
        <x:v>0</x:v>
      </x:c>
      <x:c r="L276" s="21" t="str">
        <x:v>OPEN</x:v>
      </x:c>
      <x:c r="M276" s="21" t="str">
        <x:v>BLOCKED</x:v>
      </x:c>
      <x:c r="N276" s="23" t="str">
        <x:f>IF(AND(H276&lt;=G276,I276&lt;=H276,K276&lt;=J276),"PASS","FAIL")</x:f>
        <x:v>PASS</x:v>
      </x:c>
    </x:row>
    <x:row r="277">
      <x:c r="B277" s="21" t="str">
        <x:v>F23-I3-A</x:v>
      </x:c>
      <x:c r="C277" s="21" t="str">
        <x:v>F23-I3</x:v>
      </x:c>
      <x:c r="D277" s="21" t="str">
        <x:v>F23</x:v>
      </x:c>
      <x:c r="E277" s="21" t="str">
        <x:v>BUILD A</x:v>
      </x:c>
      <x:c r="F277" s="21" t="str">
        <x:v>Independent build ecosystem 15</x:v>
      </x:c>
      <x:c r="G277" s="21" t="n">
        <x:v>28</x:v>
      </x:c>
      <x:c r="H277" s="46" t="n">
        <x:v>0</x:v>
      </x:c>
      <x:c r="I277" s="46" t="n">
        <x:v>0</x:v>
      </x:c>
      <x:c r="J277" s="46" t="n">
        <x:v>8</x:v>
      </x:c>
      <x:c r="K277" s="46" t="n">
        <x:v>0</x:v>
      </x:c>
      <x:c r="L277" s="21" t="str">
        <x:v>OPEN</x:v>
      </x:c>
      <x:c r="M277" s="21" t="str">
        <x:v>BLOCKED</x:v>
      </x:c>
      <x:c r="N277" s="23" t="str">
        <x:f>IF(AND(H277&lt;=G277,I277&lt;=H277,K277&lt;=J277),"PASS","FAIL")</x:f>
        <x:v>PASS</x:v>
      </x:c>
    </x:row>
    <x:row r="278">
      <x:c r="B278" s="21" t="str">
        <x:v>F23-I3-B</x:v>
      </x:c>
      <x:c r="C278" s="21" t="str">
        <x:v>F23-I3</x:v>
      </x:c>
      <x:c r="D278" s="21" t="str">
        <x:v>F23</x:v>
      </x:c>
      <x:c r="E278" s="21" t="str">
        <x:v>BUILD B</x:v>
      </x:c>
      <x:c r="F278" s="21" t="str">
        <x:v>Independent build ecosystem 01</x:v>
      </x:c>
      <x:c r="G278" s="21" t="n">
        <x:v>28</x:v>
      </x:c>
      <x:c r="H278" s="46" t="n">
        <x:v>0</x:v>
      </x:c>
      <x:c r="I278" s="46" t="n">
        <x:v>0</x:v>
      </x:c>
      <x:c r="J278" s="46" t="n">
        <x:v>8</x:v>
      </x:c>
      <x:c r="K278" s="46" t="n">
        <x:v>0</x:v>
      </x:c>
      <x:c r="L278" s="21" t="str">
        <x:v>OPEN</x:v>
      </x:c>
      <x:c r="M278" s="21" t="str">
        <x:v>BLOCKED</x:v>
      </x:c>
      <x:c r="N278" s="23" t="str">
        <x:f>IF(AND(H278&lt;=G278,I278&lt;=H278,K278&lt;=J278),"PASS","FAIL")</x:f>
        <x:v>PASS</x:v>
      </x:c>
    </x:row>
    <x:row r="279">
      <x:c r="B279" s="21" t="str">
        <x:v>F23-I3-C</x:v>
      </x:c>
      <x:c r="C279" s="21" t="str">
        <x:v>F23-I3</x:v>
      </x:c>
      <x:c r="D279" s="21" t="str">
        <x:v>F23</x:v>
      </x:c>
      <x:c r="E279" s="21" t="str">
        <x:v>CHALLENGE</x:v>
      </x:c>
      <x:c r="F279" s="21" t="str">
        <x:v>Sovereign challenge cell TIO-11</x:v>
      </x:c>
      <x:c r="G279" s="21" t="n">
        <x:v>28</x:v>
      </x:c>
      <x:c r="H279" s="46" t="n">
        <x:v>0</x:v>
      </x:c>
      <x:c r="I279" s="46" t="n">
        <x:v>0</x:v>
      </x:c>
      <x:c r="J279" s="46" t="n">
        <x:v>8</x:v>
      </x:c>
      <x:c r="K279" s="46" t="n">
        <x:v>0</x:v>
      </x:c>
      <x:c r="L279" s="21" t="str">
        <x:v>OPEN</x:v>
      </x:c>
      <x:c r="M279" s="21" t="str">
        <x:v>BLOCKED</x:v>
      </x:c>
      <x:c r="N279" s="23" t="str">
        <x:f>IF(AND(H279&lt;=G279,I279&lt;=H279,K279&lt;=J279),"PASS","FAIL")</x:f>
        <x:v>PASS</x:v>
      </x:c>
    </x:row>
    <x:row r="280">
      <x:c r="B280" s="21" t="str">
        <x:v>F23-I4-A</x:v>
      </x:c>
      <x:c r="C280" s="21" t="str">
        <x:v>F23-I4</x:v>
      </x:c>
      <x:c r="D280" s="21" t="str">
        <x:v>F23</x:v>
      </x:c>
      <x:c r="E280" s="21" t="str">
        <x:v>BUILD A</x:v>
      </x:c>
      <x:c r="F280" s="21" t="str">
        <x:v>Independent build ecosystem 02</x:v>
      </x:c>
      <x:c r="G280" s="21" t="n">
        <x:v>28</x:v>
      </x:c>
      <x:c r="H280" s="46" t="n">
        <x:v>0</x:v>
      </x:c>
      <x:c r="I280" s="46" t="n">
        <x:v>0</x:v>
      </x:c>
      <x:c r="J280" s="46" t="n">
        <x:v>8</x:v>
      </x:c>
      <x:c r="K280" s="46" t="n">
        <x:v>0</x:v>
      </x:c>
      <x:c r="L280" s="21" t="str">
        <x:v>OPEN</x:v>
      </x:c>
      <x:c r="M280" s="21" t="str">
        <x:v>BLOCKED</x:v>
      </x:c>
      <x:c r="N280" s="23" t="str">
        <x:f>IF(AND(H280&lt;=G280,I280&lt;=H280,K280&lt;=J280),"PASS","FAIL")</x:f>
        <x:v>PASS</x:v>
      </x:c>
    </x:row>
    <x:row r="281">
      <x:c r="B281" s="21" t="str">
        <x:v>F23-I4-B</x:v>
      </x:c>
      <x:c r="C281" s="21" t="str">
        <x:v>F23-I4</x:v>
      </x:c>
      <x:c r="D281" s="21" t="str">
        <x:v>F23</x:v>
      </x:c>
      <x:c r="E281" s="21" t="str">
        <x:v>BUILD B</x:v>
      </x:c>
      <x:c r="F281" s="21" t="str">
        <x:v>Independent build ecosystem 04</x:v>
      </x:c>
      <x:c r="G281" s="21" t="n">
        <x:v>28</x:v>
      </x:c>
      <x:c r="H281" s="46" t="n">
        <x:v>0</x:v>
      </x:c>
      <x:c r="I281" s="46" t="n">
        <x:v>0</x:v>
      </x:c>
      <x:c r="J281" s="46" t="n">
        <x:v>8</x:v>
      </x:c>
      <x:c r="K281" s="46" t="n">
        <x:v>0</x:v>
      </x:c>
      <x:c r="L281" s="21" t="str">
        <x:v>OPEN</x:v>
      </x:c>
      <x:c r="M281" s="21" t="str">
        <x:v>BLOCKED</x:v>
      </x:c>
      <x:c r="N281" s="23" t="str">
        <x:f>IF(AND(H281&lt;=G281,I281&lt;=H281,K281&lt;=J281),"PASS","FAIL")</x:f>
        <x:v>PASS</x:v>
      </x:c>
    </x:row>
    <x:row r="282">
      <x:c r="B282" s="21" t="str">
        <x:v>F23-I4-C</x:v>
      </x:c>
      <x:c r="C282" s="21" t="str">
        <x:v>F23-I4</x:v>
      </x:c>
      <x:c r="D282" s="21" t="str">
        <x:v>F23</x:v>
      </x:c>
      <x:c r="E282" s="21" t="str">
        <x:v>CHALLENGE</x:v>
      </x:c>
      <x:c r="F282" s="21" t="str">
        <x:v>Sovereign challenge cell TIO-12</x:v>
      </x:c>
      <x:c r="G282" s="21" t="n">
        <x:v>28</x:v>
      </x:c>
      <x:c r="H282" s="46" t="n">
        <x:v>0</x:v>
      </x:c>
      <x:c r="I282" s="46" t="n">
        <x:v>0</x:v>
      </x:c>
      <x:c r="J282" s="46" t="n">
        <x:v>8</x:v>
      </x:c>
      <x:c r="K282" s="46" t="n">
        <x:v>0</x:v>
      </x:c>
      <x:c r="L282" s="21" t="str">
        <x:v>OPEN</x:v>
      </x:c>
      <x:c r="M282" s="21" t="str">
        <x:v>BLOCKED</x:v>
      </x:c>
      <x:c r="N282" s="23" t="str">
        <x:f>IF(AND(H282&lt;=G282,I282&lt;=H282,K282&lt;=J282),"PASS","FAIL")</x:f>
        <x:v>PASS</x:v>
      </x:c>
    </x:row>
    <x:row r="283">
      <x:c r="B283" s="21" t="str">
        <x:v>F24-I1-A</x:v>
      </x:c>
      <x:c r="C283" s="21" t="str">
        <x:v>F24-I1</x:v>
      </x:c>
      <x:c r="D283" s="21" t="str">
        <x:v>F24</x:v>
      </x:c>
      <x:c r="E283" s="21" t="str">
        <x:v>BUILD A</x:v>
      </x:c>
      <x:c r="F283" s="21" t="str">
        <x:v>Independent build ecosystem 05</x:v>
      </x:c>
      <x:c r="G283" s="21" t="n">
        <x:v>28</x:v>
      </x:c>
      <x:c r="H283" s="46" t="n">
        <x:v>0</x:v>
      </x:c>
      <x:c r="I283" s="46" t="n">
        <x:v>0</x:v>
      </x:c>
      <x:c r="J283" s="46" t="n">
        <x:v>8</x:v>
      </x:c>
      <x:c r="K283" s="46" t="n">
        <x:v>0</x:v>
      </x:c>
      <x:c r="L283" s="21" t="str">
        <x:v>OPEN</x:v>
      </x:c>
      <x:c r="M283" s="21" t="str">
        <x:v>BLOCKED</x:v>
      </x:c>
      <x:c r="N283" s="23" t="str">
        <x:f>IF(AND(H283&lt;=G283,I283&lt;=H283,K283&lt;=J283),"PASS","FAIL")</x:f>
        <x:v>PASS</x:v>
      </x:c>
    </x:row>
    <x:row r="284">
      <x:c r="B284" s="21" t="str">
        <x:v>F24-I1-B</x:v>
      </x:c>
      <x:c r="C284" s="21" t="str">
        <x:v>F24-I1</x:v>
      </x:c>
      <x:c r="D284" s="21" t="str">
        <x:v>F24</x:v>
      </x:c>
      <x:c r="E284" s="21" t="str">
        <x:v>BUILD B</x:v>
      </x:c>
      <x:c r="F284" s="21" t="str">
        <x:v>Independent build ecosystem 07</x:v>
      </x:c>
      <x:c r="G284" s="21" t="n">
        <x:v>28</x:v>
      </x:c>
      <x:c r="H284" s="46" t="n">
        <x:v>0</x:v>
      </x:c>
      <x:c r="I284" s="46" t="n">
        <x:v>0</x:v>
      </x:c>
      <x:c r="J284" s="46" t="n">
        <x:v>8</x:v>
      </x:c>
      <x:c r="K284" s="46" t="n">
        <x:v>0</x:v>
      </x:c>
      <x:c r="L284" s="21" t="str">
        <x:v>OPEN</x:v>
      </x:c>
      <x:c r="M284" s="21" t="str">
        <x:v>BLOCKED</x:v>
      </x:c>
      <x:c r="N284" s="23" t="str">
        <x:f>IF(AND(H284&lt;=G284,I284&lt;=H284,K284&lt;=J284),"PASS","FAIL")</x:f>
        <x:v>PASS</x:v>
      </x:c>
    </x:row>
    <x:row r="285">
      <x:c r="B285" s="21" t="str">
        <x:v>F24-I1-C</x:v>
      </x:c>
      <x:c r="C285" s="21" t="str">
        <x:v>F24-I1</x:v>
      </x:c>
      <x:c r="D285" s="21" t="str">
        <x:v>F24</x:v>
      </x:c>
      <x:c r="E285" s="21" t="str">
        <x:v>CHALLENGE</x:v>
      </x:c>
      <x:c r="F285" s="21" t="str">
        <x:v>Sovereign challenge cell TIO-13</x:v>
      </x:c>
      <x:c r="G285" s="21" t="n">
        <x:v>28</x:v>
      </x:c>
      <x:c r="H285" s="46" t="n">
        <x:v>0</x:v>
      </x:c>
      <x:c r="I285" s="46" t="n">
        <x:v>0</x:v>
      </x:c>
      <x:c r="J285" s="46" t="n">
        <x:v>8</x:v>
      </x:c>
      <x:c r="K285" s="46" t="n">
        <x:v>0</x:v>
      </x:c>
      <x:c r="L285" s="21" t="str">
        <x:v>OPEN</x:v>
      </x:c>
      <x:c r="M285" s="21" t="str">
        <x:v>BLOCKED</x:v>
      </x:c>
      <x:c r="N285" s="23" t="str">
        <x:f>IF(AND(H285&lt;=G285,I285&lt;=H285,K285&lt;=J285),"PASS","FAIL")</x:f>
        <x:v>PASS</x:v>
      </x:c>
    </x:row>
    <x:row r="286">
      <x:c r="B286" s="21" t="str">
        <x:v>F24-I2-A</x:v>
      </x:c>
      <x:c r="C286" s="21" t="str">
        <x:v>F24-I2</x:v>
      </x:c>
      <x:c r="D286" s="21" t="str">
        <x:v>F24</x:v>
      </x:c>
      <x:c r="E286" s="21" t="str">
        <x:v>BUILD A</x:v>
      </x:c>
      <x:c r="F286" s="21" t="str">
        <x:v>Independent build ecosystem 08</x:v>
      </x:c>
      <x:c r="G286" s="21" t="n">
        <x:v>28</x:v>
      </x:c>
      <x:c r="H286" s="46" t="n">
        <x:v>0</x:v>
      </x:c>
      <x:c r="I286" s="46" t="n">
        <x:v>0</x:v>
      </x:c>
      <x:c r="J286" s="46" t="n">
        <x:v>8</x:v>
      </x:c>
      <x:c r="K286" s="46" t="n">
        <x:v>0</x:v>
      </x:c>
      <x:c r="L286" s="21" t="str">
        <x:v>OPEN</x:v>
      </x:c>
      <x:c r="M286" s="21" t="str">
        <x:v>BLOCKED</x:v>
      </x:c>
      <x:c r="N286" s="23" t="str">
        <x:f>IF(AND(H286&lt;=G286,I286&lt;=H286,K286&lt;=J286),"PASS","FAIL")</x:f>
        <x:v>PASS</x:v>
      </x:c>
    </x:row>
    <x:row r="287">
      <x:c r="B287" s="21" t="str">
        <x:v>F24-I2-B</x:v>
      </x:c>
      <x:c r="C287" s="21" t="str">
        <x:v>F24-I2</x:v>
      </x:c>
      <x:c r="D287" s="21" t="str">
        <x:v>F24</x:v>
      </x:c>
      <x:c r="E287" s="21" t="str">
        <x:v>BUILD B</x:v>
      </x:c>
      <x:c r="F287" s="21" t="str">
        <x:v>Independent build ecosystem 10</x:v>
      </x:c>
      <x:c r="G287" s="21" t="n">
        <x:v>28</x:v>
      </x:c>
      <x:c r="H287" s="46" t="n">
        <x:v>0</x:v>
      </x:c>
      <x:c r="I287" s="46" t="n">
        <x:v>0</x:v>
      </x:c>
      <x:c r="J287" s="46" t="n">
        <x:v>8</x:v>
      </x:c>
      <x:c r="K287" s="46" t="n">
        <x:v>0</x:v>
      </x:c>
      <x:c r="L287" s="21" t="str">
        <x:v>OPEN</x:v>
      </x:c>
      <x:c r="M287" s="21" t="str">
        <x:v>BLOCKED</x:v>
      </x:c>
      <x:c r="N287" s="23" t="str">
        <x:f>IF(AND(H287&lt;=G287,I287&lt;=H287,K287&lt;=J287),"PASS","FAIL")</x:f>
        <x:v>PASS</x:v>
      </x:c>
    </x:row>
    <x:row r="288">
      <x:c r="B288" s="21" t="str">
        <x:v>F24-I2-C</x:v>
      </x:c>
      <x:c r="C288" s="21" t="str">
        <x:v>F24-I2</x:v>
      </x:c>
      <x:c r="D288" s="21" t="str">
        <x:v>F24</x:v>
      </x:c>
      <x:c r="E288" s="21" t="str">
        <x:v>CHALLENGE</x:v>
      </x:c>
      <x:c r="F288" s="21" t="str">
        <x:v>Sovereign challenge cell TIO-14</x:v>
      </x:c>
      <x:c r="G288" s="21" t="n">
        <x:v>28</x:v>
      </x:c>
      <x:c r="H288" s="46" t="n">
        <x:v>0</x:v>
      </x:c>
      <x:c r="I288" s="46" t="n">
        <x:v>0</x:v>
      </x:c>
      <x:c r="J288" s="46" t="n">
        <x:v>8</x:v>
      </x:c>
      <x:c r="K288" s="46" t="n">
        <x:v>0</x:v>
      </x:c>
      <x:c r="L288" s="21" t="str">
        <x:v>OPEN</x:v>
      </x:c>
      <x:c r="M288" s="21" t="str">
        <x:v>BLOCKED</x:v>
      </x:c>
      <x:c r="N288" s="23" t="str">
        <x:f>IF(AND(H288&lt;=G288,I288&lt;=H288,K288&lt;=J288),"PASS","FAIL")</x:f>
        <x:v>PASS</x:v>
      </x:c>
    </x:row>
    <x:row r="289">
      <x:c r="B289" s="21" t="str">
        <x:v>F24-I3-A</x:v>
      </x:c>
      <x:c r="C289" s="21" t="str">
        <x:v>F24-I3</x:v>
      </x:c>
      <x:c r="D289" s="21" t="str">
        <x:v>F24</x:v>
      </x:c>
      <x:c r="E289" s="21" t="str">
        <x:v>BUILD A</x:v>
      </x:c>
      <x:c r="F289" s="21" t="str">
        <x:v>Independent build ecosystem 11</x:v>
      </x:c>
      <x:c r="G289" s="21" t="n">
        <x:v>28</x:v>
      </x:c>
      <x:c r="H289" s="46" t="n">
        <x:v>0</x:v>
      </x:c>
      <x:c r="I289" s="46" t="n">
        <x:v>0</x:v>
      </x:c>
      <x:c r="J289" s="46" t="n">
        <x:v>8</x:v>
      </x:c>
      <x:c r="K289" s="46" t="n">
        <x:v>0</x:v>
      </x:c>
      <x:c r="L289" s="21" t="str">
        <x:v>OPEN</x:v>
      </x:c>
      <x:c r="M289" s="21" t="str">
        <x:v>BLOCKED</x:v>
      </x:c>
      <x:c r="N289" s="23" t="str">
        <x:f>IF(AND(H289&lt;=G289,I289&lt;=H289,K289&lt;=J289),"PASS","FAIL")</x:f>
        <x:v>PASS</x:v>
      </x:c>
    </x:row>
    <x:row r="290">
      <x:c r="B290" s="21" t="str">
        <x:v>F24-I3-B</x:v>
      </x:c>
      <x:c r="C290" s="21" t="str">
        <x:v>F24-I3</x:v>
      </x:c>
      <x:c r="D290" s="21" t="str">
        <x:v>F24</x:v>
      </x:c>
      <x:c r="E290" s="21" t="str">
        <x:v>BUILD B</x:v>
      </x:c>
      <x:c r="F290" s="21" t="str">
        <x:v>Independent build ecosystem 13</x:v>
      </x:c>
      <x:c r="G290" s="21" t="n">
        <x:v>28</x:v>
      </x:c>
      <x:c r="H290" s="46" t="n">
        <x:v>0</x:v>
      </x:c>
      <x:c r="I290" s="46" t="n">
        <x:v>0</x:v>
      </x:c>
      <x:c r="J290" s="46" t="n">
        <x:v>8</x:v>
      </x:c>
      <x:c r="K290" s="46" t="n">
        <x:v>0</x:v>
      </x:c>
      <x:c r="L290" s="21" t="str">
        <x:v>OPEN</x:v>
      </x:c>
      <x:c r="M290" s="21" t="str">
        <x:v>BLOCKED</x:v>
      </x:c>
      <x:c r="N290" s="23" t="str">
        <x:f>IF(AND(H290&lt;=G290,I290&lt;=H290,K290&lt;=J290),"PASS","FAIL")</x:f>
        <x:v>PASS</x:v>
      </x:c>
    </x:row>
    <x:row r="291">
      <x:c r="B291" s="21" t="str">
        <x:v>F24-I3-C</x:v>
      </x:c>
      <x:c r="C291" s="21" t="str">
        <x:v>F24-I3</x:v>
      </x:c>
      <x:c r="D291" s="21" t="str">
        <x:v>F24</x:v>
      </x:c>
      <x:c r="E291" s="21" t="str">
        <x:v>CHALLENGE</x:v>
      </x:c>
      <x:c r="F291" s="21" t="str">
        <x:v>Sovereign challenge cell TIO-15</x:v>
      </x:c>
      <x:c r="G291" s="21" t="n">
        <x:v>28</x:v>
      </x:c>
      <x:c r="H291" s="46" t="n">
        <x:v>0</x:v>
      </x:c>
      <x:c r="I291" s="46" t="n">
        <x:v>0</x:v>
      </x:c>
      <x:c r="J291" s="46" t="n">
        <x:v>8</x:v>
      </x:c>
      <x:c r="K291" s="46" t="n">
        <x:v>0</x:v>
      </x:c>
      <x:c r="L291" s="21" t="str">
        <x:v>OPEN</x:v>
      </x:c>
      <x:c r="M291" s="21" t="str">
        <x:v>BLOCKED</x:v>
      </x:c>
      <x:c r="N291" s="23" t="str">
        <x:f>IF(AND(H291&lt;=G291,I291&lt;=H291,K291&lt;=J291),"PASS","FAIL")</x:f>
        <x:v>PASS</x:v>
      </x:c>
    </x:row>
    <x:row r="292">
      <x:c r="B292" s="21" t="str">
        <x:v>F24-I4-A</x:v>
      </x:c>
      <x:c r="C292" s="21" t="str">
        <x:v>F24-I4</x:v>
      </x:c>
      <x:c r="D292" s="21" t="str">
        <x:v>F24</x:v>
      </x:c>
      <x:c r="E292" s="21" t="str">
        <x:v>BUILD A</x:v>
      </x:c>
      <x:c r="F292" s="21" t="str">
        <x:v>Independent build ecosystem 14</x:v>
      </x:c>
      <x:c r="G292" s="21" t="n">
        <x:v>28</x:v>
      </x:c>
      <x:c r="H292" s="46" t="n">
        <x:v>0</x:v>
      </x:c>
      <x:c r="I292" s="46" t="n">
        <x:v>0</x:v>
      </x:c>
      <x:c r="J292" s="46" t="n">
        <x:v>8</x:v>
      </x:c>
      <x:c r="K292" s="46" t="n">
        <x:v>0</x:v>
      </x:c>
      <x:c r="L292" s="21" t="str">
        <x:v>OPEN</x:v>
      </x:c>
      <x:c r="M292" s="21" t="str">
        <x:v>BLOCKED</x:v>
      </x:c>
      <x:c r="N292" s="23" t="str">
        <x:f>IF(AND(H292&lt;=G292,I292&lt;=H292,K292&lt;=J292),"PASS","FAIL")</x:f>
        <x:v>PASS</x:v>
      </x:c>
    </x:row>
    <x:row r="293">
      <x:c r="B293" s="21" t="str">
        <x:v>F24-I4-B</x:v>
      </x:c>
      <x:c r="C293" s="21" t="str">
        <x:v>F24-I4</x:v>
      </x:c>
      <x:c r="D293" s="21" t="str">
        <x:v>F24</x:v>
      </x:c>
      <x:c r="E293" s="21" t="str">
        <x:v>BUILD B</x:v>
      </x:c>
      <x:c r="F293" s="21" t="str">
        <x:v>Independent build ecosystem 16</x:v>
      </x:c>
      <x:c r="G293" s="21" t="n">
        <x:v>28</x:v>
      </x:c>
      <x:c r="H293" s="46" t="n">
        <x:v>0</x:v>
      </x:c>
      <x:c r="I293" s="46" t="n">
        <x:v>0</x:v>
      </x:c>
      <x:c r="J293" s="46" t="n">
        <x:v>8</x:v>
      </x:c>
      <x:c r="K293" s="46" t="n">
        <x:v>0</x:v>
      </x:c>
      <x:c r="L293" s="21" t="str">
        <x:v>OPEN</x:v>
      </x:c>
      <x:c r="M293" s="21" t="str">
        <x:v>BLOCKED</x:v>
      </x:c>
      <x:c r="N293" s="23" t="str">
        <x:f>IF(AND(H293&lt;=G293,I293&lt;=H293,K293&lt;=J293),"PASS","FAIL")</x:f>
        <x:v>PASS</x:v>
      </x:c>
    </x:row>
    <x:row r="294">
      <x:c r="B294" s="21" t="str">
        <x:v>F24-I4-C</x:v>
      </x:c>
      <x:c r="C294" s="21" t="str">
        <x:v>F24-I4</x:v>
      </x:c>
      <x:c r="D294" s="21" t="str">
        <x:v>F24</x:v>
      </x:c>
      <x:c r="E294" s="21" t="str">
        <x:v>CHALLENGE</x:v>
      </x:c>
      <x:c r="F294" s="21" t="str">
        <x:v>Sovereign challenge cell TIO-16</x:v>
      </x:c>
      <x:c r="G294" s="21" t="n">
        <x:v>28</x:v>
      </x:c>
      <x:c r="H294" s="46" t="n">
        <x:v>0</x:v>
      </x:c>
      <x:c r="I294" s="46" t="n">
        <x:v>0</x:v>
      </x:c>
      <x:c r="J294" s="46" t="n">
        <x:v>8</x:v>
      </x:c>
      <x:c r="K294" s="46" t="n">
        <x:v>0</x:v>
      </x:c>
      <x:c r="L294" s="21" t="str">
        <x:v>OPEN</x:v>
      </x:c>
      <x:c r="M294" s="21" t="str">
        <x:v>BLOCKED</x:v>
      </x:c>
      <x:c r="N294" s="23" t="str">
        <x:f>IF(AND(H294&lt;=G294,I294&lt;=H294,K294&lt;=J294),"PASS","FAIL")</x:f>
        <x:v>PASS</x:v>
      </x:c>
    </x:row>
    <x:row r="295">
      <x:c r="B295" s="21" t="str">
        <x:v>F25-I1-A</x:v>
      </x:c>
      <x:c r="C295" s="21" t="str">
        <x:v>F25-I1</x:v>
      </x:c>
      <x:c r="D295" s="21" t="str">
        <x:v>F25</x:v>
      </x:c>
      <x:c r="E295" s="21" t="str">
        <x:v>BUILD A</x:v>
      </x:c>
      <x:c r="F295" s="21" t="str">
        <x:v>Independent build ecosystem 01</x:v>
      </x:c>
      <x:c r="G295" s="21" t="n">
        <x:v>28</x:v>
      </x:c>
      <x:c r="H295" s="46" t="n">
        <x:v>0</x:v>
      </x:c>
      <x:c r="I295" s="46" t="n">
        <x:v>0</x:v>
      </x:c>
      <x:c r="J295" s="46" t="n">
        <x:v>8</x:v>
      </x:c>
      <x:c r="K295" s="46" t="n">
        <x:v>0</x:v>
      </x:c>
      <x:c r="L295" s="21" t="str">
        <x:v>OPEN</x:v>
      </x:c>
      <x:c r="M295" s="21" t="str">
        <x:v>BLOCKED</x:v>
      </x:c>
      <x:c r="N295" s="23" t="str">
        <x:f>IF(AND(H295&lt;=G295,I295&lt;=H295,K295&lt;=J295),"PASS","FAIL")</x:f>
        <x:v>PASS</x:v>
      </x:c>
    </x:row>
    <x:row r="296">
      <x:c r="B296" s="21" t="str">
        <x:v>F25-I1-B</x:v>
      </x:c>
      <x:c r="C296" s="21" t="str">
        <x:v>F25-I1</x:v>
      </x:c>
      <x:c r="D296" s="21" t="str">
        <x:v>F25</x:v>
      </x:c>
      <x:c r="E296" s="21" t="str">
        <x:v>BUILD B</x:v>
      </x:c>
      <x:c r="F296" s="21" t="str">
        <x:v>Independent build ecosystem 03</x:v>
      </x:c>
      <x:c r="G296" s="21" t="n">
        <x:v>28</x:v>
      </x:c>
      <x:c r="H296" s="46" t="n">
        <x:v>0</x:v>
      </x:c>
      <x:c r="I296" s="46" t="n">
        <x:v>0</x:v>
      </x:c>
      <x:c r="J296" s="46" t="n">
        <x:v>8</x:v>
      </x:c>
      <x:c r="K296" s="46" t="n">
        <x:v>0</x:v>
      </x:c>
      <x:c r="L296" s="21" t="str">
        <x:v>OPEN</x:v>
      </x:c>
      <x:c r="M296" s="21" t="str">
        <x:v>BLOCKED</x:v>
      </x:c>
      <x:c r="N296" s="23" t="str">
        <x:f>IF(AND(H296&lt;=G296,I296&lt;=H296,K296&lt;=J296),"PASS","FAIL")</x:f>
        <x:v>PASS</x:v>
      </x:c>
    </x:row>
    <x:row r="297">
      <x:c r="B297" s="21" t="str">
        <x:v>F25-I1-C</x:v>
      </x:c>
      <x:c r="C297" s="21" t="str">
        <x:v>F25-I1</x:v>
      </x:c>
      <x:c r="D297" s="21" t="str">
        <x:v>F25</x:v>
      </x:c>
      <x:c r="E297" s="21" t="str">
        <x:v>CHALLENGE</x:v>
      </x:c>
      <x:c r="F297" s="21" t="str">
        <x:v>Sovereign challenge cell TIO-01</x:v>
      </x:c>
      <x:c r="G297" s="21" t="n">
        <x:v>28</x:v>
      </x:c>
      <x:c r="H297" s="46" t="n">
        <x:v>0</x:v>
      </x:c>
      <x:c r="I297" s="46" t="n">
        <x:v>0</x:v>
      </x:c>
      <x:c r="J297" s="46" t="n">
        <x:v>8</x:v>
      </x:c>
      <x:c r="K297" s="46" t="n">
        <x:v>0</x:v>
      </x:c>
      <x:c r="L297" s="21" t="str">
        <x:v>OPEN</x:v>
      </x:c>
      <x:c r="M297" s="21" t="str">
        <x:v>BLOCKED</x:v>
      </x:c>
      <x:c r="N297" s="23" t="str">
        <x:f>IF(AND(H297&lt;=G297,I297&lt;=H297,K297&lt;=J297),"PASS","FAIL")</x:f>
        <x:v>PASS</x:v>
      </x:c>
    </x:row>
    <x:row r="298">
      <x:c r="B298" s="21" t="str">
        <x:v>F25-I2-A</x:v>
      </x:c>
      <x:c r="C298" s="21" t="str">
        <x:v>F25-I2</x:v>
      </x:c>
      <x:c r="D298" s="21" t="str">
        <x:v>F25</x:v>
      </x:c>
      <x:c r="E298" s="21" t="str">
        <x:v>BUILD A</x:v>
      </x:c>
      <x:c r="F298" s="21" t="str">
        <x:v>Independent build ecosystem 04</x:v>
      </x:c>
      <x:c r="G298" s="21" t="n">
        <x:v>28</x:v>
      </x:c>
      <x:c r="H298" s="46" t="n">
        <x:v>0</x:v>
      </x:c>
      <x:c r="I298" s="46" t="n">
        <x:v>0</x:v>
      </x:c>
      <x:c r="J298" s="46" t="n">
        <x:v>8</x:v>
      </x:c>
      <x:c r="K298" s="46" t="n">
        <x:v>0</x:v>
      </x:c>
      <x:c r="L298" s="21" t="str">
        <x:v>OPEN</x:v>
      </x:c>
      <x:c r="M298" s="21" t="str">
        <x:v>BLOCKED</x:v>
      </x:c>
      <x:c r="N298" s="23" t="str">
        <x:f>IF(AND(H298&lt;=G298,I298&lt;=H298,K298&lt;=J298),"PASS","FAIL")</x:f>
        <x:v>PASS</x:v>
      </x:c>
    </x:row>
    <x:row r="299">
      <x:c r="B299" s="21" t="str">
        <x:v>F25-I2-B</x:v>
      </x:c>
      <x:c r="C299" s="21" t="str">
        <x:v>F25-I2</x:v>
      </x:c>
      <x:c r="D299" s="21" t="str">
        <x:v>F25</x:v>
      </x:c>
      <x:c r="E299" s="21" t="str">
        <x:v>BUILD B</x:v>
      </x:c>
      <x:c r="F299" s="21" t="str">
        <x:v>Independent build ecosystem 06</x:v>
      </x:c>
      <x:c r="G299" s="21" t="n">
        <x:v>28</x:v>
      </x:c>
      <x:c r="H299" s="46" t="n">
        <x:v>0</x:v>
      </x:c>
      <x:c r="I299" s="46" t="n">
        <x:v>0</x:v>
      </x:c>
      <x:c r="J299" s="46" t="n">
        <x:v>8</x:v>
      </x:c>
      <x:c r="K299" s="46" t="n">
        <x:v>0</x:v>
      </x:c>
      <x:c r="L299" s="21" t="str">
        <x:v>OPEN</x:v>
      </x:c>
      <x:c r="M299" s="21" t="str">
        <x:v>BLOCKED</x:v>
      </x:c>
      <x:c r="N299" s="23" t="str">
        <x:f>IF(AND(H299&lt;=G299,I299&lt;=H299,K299&lt;=J299),"PASS","FAIL")</x:f>
        <x:v>PASS</x:v>
      </x:c>
    </x:row>
    <x:row r="300">
      <x:c r="B300" s="21" t="str">
        <x:v>F25-I2-C</x:v>
      </x:c>
      <x:c r="C300" s="21" t="str">
        <x:v>F25-I2</x:v>
      </x:c>
      <x:c r="D300" s="21" t="str">
        <x:v>F25</x:v>
      </x:c>
      <x:c r="E300" s="21" t="str">
        <x:v>CHALLENGE</x:v>
      </x:c>
      <x:c r="F300" s="21" t="str">
        <x:v>Sovereign challenge cell TIO-02</x:v>
      </x:c>
      <x:c r="G300" s="21" t="n">
        <x:v>28</x:v>
      </x:c>
      <x:c r="H300" s="46" t="n">
        <x:v>0</x:v>
      </x:c>
      <x:c r="I300" s="46" t="n">
        <x:v>0</x:v>
      </x:c>
      <x:c r="J300" s="46" t="n">
        <x:v>8</x:v>
      </x:c>
      <x:c r="K300" s="46" t="n">
        <x:v>0</x:v>
      </x:c>
      <x:c r="L300" s="21" t="str">
        <x:v>OPEN</x:v>
      </x:c>
      <x:c r="M300" s="21" t="str">
        <x:v>BLOCKED</x:v>
      </x:c>
      <x:c r="N300" s="23" t="str">
        <x:f>IF(AND(H300&lt;=G300,I300&lt;=H300,K300&lt;=J300),"PASS","FAIL")</x:f>
        <x:v>PASS</x:v>
      </x:c>
    </x:row>
    <x:row r="301">
      <x:c r="B301" s="21" t="str">
        <x:v>F25-I3-A</x:v>
      </x:c>
      <x:c r="C301" s="21" t="str">
        <x:v>F25-I3</x:v>
      </x:c>
      <x:c r="D301" s="21" t="str">
        <x:v>F25</x:v>
      </x:c>
      <x:c r="E301" s="21" t="str">
        <x:v>BUILD A</x:v>
      </x:c>
      <x:c r="F301" s="21" t="str">
        <x:v>Independent build ecosystem 07</x:v>
      </x:c>
      <x:c r="G301" s="21" t="n">
        <x:v>28</x:v>
      </x:c>
      <x:c r="H301" s="46" t="n">
        <x:v>0</x:v>
      </x:c>
      <x:c r="I301" s="46" t="n">
        <x:v>0</x:v>
      </x:c>
      <x:c r="J301" s="46" t="n">
        <x:v>8</x:v>
      </x:c>
      <x:c r="K301" s="46" t="n">
        <x:v>0</x:v>
      </x:c>
      <x:c r="L301" s="21" t="str">
        <x:v>OPEN</x:v>
      </x:c>
      <x:c r="M301" s="21" t="str">
        <x:v>BLOCKED</x:v>
      </x:c>
      <x:c r="N301" s="23" t="str">
        <x:f>IF(AND(H301&lt;=G301,I301&lt;=H301,K301&lt;=J301),"PASS","FAIL")</x:f>
        <x:v>PASS</x:v>
      </x:c>
    </x:row>
    <x:row r="302">
      <x:c r="B302" s="21" t="str">
        <x:v>F25-I3-B</x:v>
      </x:c>
      <x:c r="C302" s="21" t="str">
        <x:v>F25-I3</x:v>
      </x:c>
      <x:c r="D302" s="21" t="str">
        <x:v>F25</x:v>
      </x:c>
      <x:c r="E302" s="21" t="str">
        <x:v>BUILD B</x:v>
      </x:c>
      <x:c r="F302" s="21" t="str">
        <x:v>Independent build ecosystem 09</x:v>
      </x:c>
      <x:c r="G302" s="21" t="n">
        <x:v>28</x:v>
      </x:c>
      <x:c r="H302" s="46" t="n">
        <x:v>0</x:v>
      </x:c>
      <x:c r="I302" s="46" t="n">
        <x:v>0</x:v>
      </x:c>
      <x:c r="J302" s="46" t="n">
        <x:v>8</x:v>
      </x:c>
      <x:c r="K302" s="46" t="n">
        <x:v>0</x:v>
      </x:c>
      <x:c r="L302" s="21" t="str">
        <x:v>OPEN</x:v>
      </x:c>
      <x:c r="M302" s="21" t="str">
        <x:v>BLOCKED</x:v>
      </x:c>
      <x:c r="N302" s="23" t="str">
        <x:f>IF(AND(H302&lt;=G302,I302&lt;=H302,K302&lt;=J302),"PASS","FAIL")</x:f>
        <x:v>PASS</x:v>
      </x:c>
    </x:row>
    <x:row r="303">
      <x:c r="B303" s="21" t="str">
        <x:v>F25-I3-C</x:v>
      </x:c>
      <x:c r="C303" s="21" t="str">
        <x:v>F25-I3</x:v>
      </x:c>
      <x:c r="D303" s="21" t="str">
        <x:v>F25</x:v>
      </x:c>
      <x:c r="E303" s="21" t="str">
        <x:v>CHALLENGE</x:v>
      </x:c>
      <x:c r="F303" s="21" t="str">
        <x:v>Sovereign challenge cell TIO-03</x:v>
      </x:c>
      <x:c r="G303" s="21" t="n">
        <x:v>28</x:v>
      </x:c>
      <x:c r="H303" s="46" t="n">
        <x:v>0</x:v>
      </x:c>
      <x:c r="I303" s="46" t="n">
        <x:v>0</x:v>
      </x:c>
      <x:c r="J303" s="46" t="n">
        <x:v>8</x:v>
      </x:c>
      <x:c r="K303" s="46" t="n">
        <x:v>0</x:v>
      </x:c>
      <x:c r="L303" s="21" t="str">
        <x:v>OPEN</x:v>
      </x:c>
      <x:c r="M303" s="21" t="str">
        <x:v>BLOCKED</x:v>
      </x:c>
      <x:c r="N303" s="23" t="str">
        <x:f>IF(AND(H303&lt;=G303,I303&lt;=H303,K303&lt;=J303),"PASS","FAIL")</x:f>
        <x:v>PASS</x:v>
      </x:c>
    </x:row>
    <x:row r="304">
      <x:c r="B304" s="21" t="str">
        <x:v>F25-I4-A</x:v>
      </x:c>
      <x:c r="C304" s="21" t="str">
        <x:v>F25-I4</x:v>
      </x:c>
      <x:c r="D304" s="21" t="str">
        <x:v>F25</x:v>
      </x:c>
      <x:c r="E304" s="21" t="str">
        <x:v>BUILD A</x:v>
      </x:c>
      <x:c r="F304" s="21" t="str">
        <x:v>Independent build ecosystem 10</x:v>
      </x:c>
      <x:c r="G304" s="21" t="n">
        <x:v>28</x:v>
      </x:c>
      <x:c r="H304" s="46" t="n">
        <x:v>0</x:v>
      </x:c>
      <x:c r="I304" s="46" t="n">
        <x:v>0</x:v>
      </x:c>
      <x:c r="J304" s="46" t="n">
        <x:v>8</x:v>
      </x:c>
      <x:c r="K304" s="46" t="n">
        <x:v>0</x:v>
      </x:c>
      <x:c r="L304" s="21" t="str">
        <x:v>OPEN</x:v>
      </x:c>
      <x:c r="M304" s="21" t="str">
        <x:v>BLOCKED</x:v>
      </x:c>
      <x:c r="N304" s="23" t="str">
        <x:f>IF(AND(H304&lt;=G304,I304&lt;=H304,K304&lt;=J304),"PASS","FAIL")</x:f>
        <x:v>PASS</x:v>
      </x:c>
    </x:row>
    <x:row r="305">
      <x:c r="B305" s="21" t="str">
        <x:v>F25-I4-B</x:v>
      </x:c>
      <x:c r="C305" s="21" t="str">
        <x:v>F25-I4</x:v>
      </x:c>
      <x:c r="D305" s="21" t="str">
        <x:v>F25</x:v>
      </x:c>
      <x:c r="E305" s="21" t="str">
        <x:v>BUILD B</x:v>
      </x:c>
      <x:c r="F305" s="21" t="str">
        <x:v>Independent build ecosystem 12</x:v>
      </x:c>
      <x:c r="G305" s="21" t="n">
        <x:v>28</x:v>
      </x:c>
      <x:c r="H305" s="46" t="n">
        <x:v>0</x:v>
      </x:c>
      <x:c r="I305" s="46" t="n">
        <x:v>0</x:v>
      </x:c>
      <x:c r="J305" s="46" t="n">
        <x:v>8</x:v>
      </x:c>
      <x:c r="K305" s="46" t="n">
        <x:v>0</x:v>
      </x:c>
      <x:c r="L305" s="21" t="str">
        <x:v>OPEN</x:v>
      </x:c>
      <x:c r="M305" s="21" t="str">
        <x:v>BLOCKED</x:v>
      </x:c>
      <x:c r="N305" s="23" t="str">
        <x:f>IF(AND(H305&lt;=G305,I305&lt;=H305,K305&lt;=J305),"PASS","FAIL")</x:f>
        <x:v>PASS</x:v>
      </x:c>
    </x:row>
    <x:row r="306">
      <x:c r="B306" s="21" t="str">
        <x:v>F25-I4-C</x:v>
      </x:c>
      <x:c r="C306" s="21" t="str">
        <x:v>F25-I4</x:v>
      </x:c>
      <x:c r="D306" s="21" t="str">
        <x:v>F25</x:v>
      </x:c>
      <x:c r="E306" s="21" t="str">
        <x:v>CHALLENGE</x:v>
      </x:c>
      <x:c r="F306" s="21" t="str">
        <x:v>Sovereign challenge cell TIO-04</x:v>
      </x:c>
      <x:c r="G306" s="21" t="n">
        <x:v>28</x:v>
      </x:c>
      <x:c r="H306" s="46" t="n">
        <x:v>0</x:v>
      </x:c>
      <x:c r="I306" s="46" t="n">
        <x:v>0</x:v>
      </x:c>
      <x:c r="J306" s="46" t="n">
        <x:v>8</x:v>
      </x:c>
      <x:c r="K306" s="46" t="n">
        <x:v>0</x:v>
      </x:c>
      <x:c r="L306" s="21" t="str">
        <x:v>OPEN</x:v>
      </x:c>
      <x:c r="M306" s="21" t="str">
        <x:v>BLOCKED</x:v>
      </x:c>
      <x:c r="N306" s="23" t="str">
        <x:f>IF(AND(H306&lt;=G306,I306&lt;=H306,K306&lt;=J306),"PASS","FAIL")</x:f>
        <x:v>PASS</x:v>
      </x:c>
    </x:row>
    <x:row r="307">
      <x:c r="B307" s="21" t="str">
        <x:v>F26-I1-A</x:v>
      </x:c>
      <x:c r="C307" s="21" t="str">
        <x:v>F26-I1</x:v>
      </x:c>
      <x:c r="D307" s="21" t="str">
        <x:v>F26</x:v>
      </x:c>
      <x:c r="E307" s="21" t="str">
        <x:v>BUILD A</x:v>
      </x:c>
      <x:c r="F307" s="21" t="str">
        <x:v>Independent build ecosystem 13</x:v>
      </x:c>
      <x:c r="G307" s="21" t="n">
        <x:v>28</x:v>
      </x:c>
      <x:c r="H307" s="46" t="n">
        <x:v>0</x:v>
      </x:c>
      <x:c r="I307" s="46" t="n">
        <x:v>0</x:v>
      </x:c>
      <x:c r="J307" s="46" t="n">
        <x:v>8</x:v>
      </x:c>
      <x:c r="K307" s="46" t="n">
        <x:v>0</x:v>
      </x:c>
      <x:c r="L307" s="21" t="str">
        <x:v>OPEN</x:v>
      </x:c>
      <x:c r="M307" s="21" t="str">
        <x:v>BLOCKED</x:v>
      </x:c>
      <x:c r="N307" s="23" t="str">
        <x:f>IF(AND(H307&lt;=G307,I307&lt;=H307,K307&lt;=J307),"PASS","FAIL")</x:f>
        <x:v>PASS</x:v>
      </x:c>
    </x:row>
    <x:row r="308">
      <x:c r="B308" s="21" t="str">
        <x:v>F26-I1-B</x:v>
      </x:c>
      <x:c r="C308" s="21" t="str">
        <x:v>F26-I1</x:v>
      </x:c>
      <x:c r="D308" s="21" t="str">
        <x:v>F26</x:v>
      </x:c>
      <x:c r="E308" s="21" t="str">
        <x:v>BUILD B</x:v>
      </x:c>
      <x:c r="F308" s="21" t="str">
        <x:v>Independent build ecosystem 15</x:v>
      </x:c>
      <x:c r="G308" s="21" t="n">
        <x:v>28</x:v>
      </x:c>
      <x:c r="H308" s="46" t="n">
        <x:v>0</x:v>
      </x:c>
      <x:c r="I308" s="46" t="n">
        <x:v>0</x:v>
      </x:c>
      <x:c r="J308" s="46" t="n">
        <x:v>8</x:v>
      </x:c>
      <x:c r="K308" s="46" t="n">
        <x:v>0</x:v>
      </x:c>
      <x:c r="L308" s="21" t="str">
        <x:v>OPEN</x:v>
      </x:c>
      <x:c r="M308" s="21" t="str">
        <x:v>BLOCKED</x:v>
      </x:c>
      <x:c r="N308" s="23" t="str">
        <x:f>IF(AND(H308&lt;=G308,I308&lt;=H308,K308&lt;=J308),"PASS","FAIL")</x:f>
        <x:v>PASS</x:v>
      </x:c>
    </x:row>
    <x:row r="309">
      <x:c r="B309" s="21" t="str">
        <x:v>F26-I1-C</x:v>
      </x:c>
      <x:c r="C309" s="21" t="str">
        <x:v>F26-I1</x:v>
      </x:c>
      <x:c r="D309" s="21" t="str">
        <x:v>F26</x:v>
      </x:c>
      <x:c r="E309" s="21" t="str">
        <x:v>CHALLENGE</x:v>
      </x:c>
      <x:c r="F309" s="21" t="str">
        <x:v>Sovereign challenge cell TIO-05</x:v>
      </x:c>
      <x:c r="G309" s="21" t="n">
        <x:v>28</x:v>
      </x:c>
      <x:c r="H309" s="46" t="n">
        <x:v>0</x:v>
      </x:c>
      <x:c r="I309" s="46" t="n">
        <x:v>0</x:v>
      </x:c>
      <x:c r="J309" s="46" t="n">
        <x:v>8</x:v>
      </x:c>
      <x:c r="K309" s="46" t="n">
        <x:v>0</x:v>
      </x:c>
      <x:c r="L309" s="21" t="str">
        <x:v>OPEN</x:v>
      </x:c>
      <x:c r="M309" s="21" t="str">
        <x:v>BLOCKED</x:v>
      </x:c>
      <x:c r="N309" s="23" t="str">
        <x:f>IF(AND(H309&lt;=G309,I309&lt;=H309,K309&lt;=J309),"PASS","FAIL")</x:f>
        <x:v>PASS</x:v>
      </x:c>
    </x:row>
    <x:row r="310">
      <x:c r="B310" s="21" t="str">
        <x:v>F26-I2-A</x:v>
      </x:c>
      <x:c r="C310" s="21" t="str">
        <x:v>F26-I2</x:v>
      </x:c>
      <x:c r="D310" s="21" t="str">
        <x:v>F26</x:v>
      </x:c>
      <x:c r="E310" s="21" t="str">
        <x:v>BUILD A</x:v>
      </x:c>
      <x:c r="F310" s="21" t="str">
        <x:v>Independent build ecosystem 16</x:v>
      </x:c>
      <x:c r="G310" s="21" t="n">
        <x:v>28</x:v>
      </x:c>
      <x:c r="H310" s="46" t="n">
        <x:v>0</x:v>
      </x:c>
      <x:c r="I310" s="46" t="n">
        <x:v>0</x:v>
      </x:c>
      <x:c r="J310" s="46" t="n">
        <x:v>8</x:v>
      </x:c>
      <x:c r="K310" s="46" t="n">
        <x:v>0</x:v>
      </x:c>
      <x:c r="L310" s="21" t="str">
        <x:v>OPEN</x:v>
      </x:c>
      <x:c r="M310" s="21" t="str">
        <x:v>BLOCKED</x:v>
      </x:c>
      <x:c r="N310" s="23" t="str">
        <x:f>IF(AND(H310&lt;=G310,I310&lt;=H310,K310&lt;=J310),"PASS","FAIL")</x:f>
        <x:v>PASS</x:v>
      </x:c>
    </x:row>
    <x:row r="311">
      <x:c r="B311" s="21" t="str">
        <x:v>F26-I2-B</x:v>
      </x:c>
      <x:c r="C311" s="21" t="str">
        <x:v>F26-I2</x:v>
      </x:c>
      <x:c r="D311" s="21" t="str">
        <x:v>F26</x:v>
      </x:c>
      <x:c r="E311" s="21" t="str">
        <x:v>BUILD B</x:v>
      </x:c>
      <x:c r="F311" s="21" t="str">
        <x:v>Independent build ecosystem 02</x:v>
      </x:c>
      <x:c r="G311" s="21" t="n">
        <x:v>28</x:v>
      </x:c>
      <x:c r="H311" s="46" t="n">
        <x:v>0</x:v>
      </x:c>
      <x:c r="I311" s="46" t="n">
        <x:v>0</x:v>
      </x:c>
      <x:c r="J311" s="46" t="n">
        <x:v>8</x:v>
      </x:c>
      <x:c r="K311" s="46" t="n">
        <x:v>0</x:v>
      </x:c>
      <x:c r="L311" s="21" t="str">
        <x:v>OPEN</x:v>
      </x:c>
      <x:c r="M311" s="21" t="str">
        <x:v>BLOCKED</x:v>
      </x:c>
      <x:c r="N311" s="23" t="str">
        <x:f>IF(AND(H311&lt;=G311,I311&lt;=H311,K311&lt;=J311),"PASS","FAIL")</x:f>
        <x:v>PASS</x:v>
      </x:c>
    </x:row>
    <x:row r="312">
      <x:c r="B312" s="21" t="str">
        <x:v>F26-I2-C</x:v>
      </x:c>
      <x:c r="C312" s="21" t="str">
        <x:v>F26-I2</x:v>
      </x:c>
      <x:c r="D312" s="21" t="str">
        <x:v>F26</x:v>
      </x:c>
      <x:c r="E312" s="21" t="str">
        <x:v>CHALLENGE</x:v>
      </x:c>
      <x:c r="F312" s="21" t="str">
        <x:v>Sovereign challenge cell TIO-06</x:v>
      </x:c>
      <x:c r="G312" s="21" t="n">
        <x:v>28</x:v>
      </x:c>
      <x:c r="H312" s="46" t="n">
        <x:v>0</x:v>
      </x:c>
      <x:c r="I312" s="46" t="n">
        <x:v>0</x:v>
      </x:c>
      <x:c r="J312" s="46" t="n">
        <x:v>8</x:v>
      </x:c>
      <x:c r="K312" s="46" t="n">
        <x:v>0</x:v>
      </x:c>
      <x:c r="L312" s="21" t="str">
        <x:v>OPEN</x:v>
      </x:c>
      <x:c r="M312" s="21" t="str">
        <x:v>BLOCKED</x:v>
      </x:c>
      <x:c r="N312" s="23" t="str">
        <x:f>IF(AND(H312&lt;=G312,I312&lt;=H312,K312&lt;=J312),"PASS","FAIL")</x:f>
        <x:v>PASS</x:v>
      </x:c>
    </x:row>
    <x:row r="313">
      <x:c r="B313" s="21" t="str">
        <x:v>F26-I3-A</x:v>
      </x:c>
      <x:c r="C313" s="21" t="str">
        <x:v>F26-I3</x:v>
      </x:c>
      <x:c r="D313" s="21" t="str">
        <x:v>F26</x:v>
      </x:c>
      <x:c r="E313" s="21" t="str">
        <x:v>BUILD A</x:v>
      </x:c>
      <x:c r="F313" s="21" t="str">
        <x:v>Independent build ecosystem 03</x:v>
      </x:c>
      <x:c r="G313" s="21" t="n">
        <x:v>28</x:v>
      </x:c>
      <x:c r="H313" s="46" t="n">
        <x:v>0</x:v>
      </x:c>
      <x:c r="I313" s="46" t="n">
        <x:v>0</x:v>
      </x:c>
      <x:c r="J313" s="46" t="n">
        <x:v>8</x:v>
      </x:c>
      <x:c r="K313" s="46" t="n">
        <x:v>0</x:v>
      </x:c>
      <x:c r="L313" s="21" t="str">
        <x:v>OPEN</x:v>
      </x:c>
      <x:c r="M313" s="21" t="str">
        <x:v>BLOCKED</x:v>
      </x:c>
      <x:c r="N313" s="23" t="str">
        <x:f>IF(AND(H313&lt;=G313,I313&lt;=H313,K313&lt;=J313),"PASS","FAIL")</x:f>
        <x:v>PASS</x:v>
      </x:c>
    </x:row>
    <x:row r="314">
      <x:c r="B314" s="21" t="str">
        <x:v>F26-I3-B</x:v>
      </x:c>
      <x:c r="C314" s="21" t="str">
        <x:v>F26-I3</x:v>
      </x:c>
      <x:c r="D314" s="21" t="str">
        <x:v>F26</x:v>
      </x:c>
      <x:c r="E314" s="21" t="str">
        <x:v>BUILD B</x:v>
      </x:c>
      <x:c r="F314" s="21" t="str">
        <x:v>Independent build ecosystem 05</x:v>
      </x:c>
      <x:c r="G314" s="21" t="n">
        <x:v>28</x:v>
      </x:c>
      <x:c r="H314" s="46" t="n">
        <x:v>0</x:v>
      </x:c>
      <x:c r="I314" s="46" t="n">
        <x:v>0</x:v>
      </x:c>
      <x:c r="J314" s="46" t="n">
        <x:v>8</x:v>
      </x:c>
      <x:c r="K314" s="46" t="n">
        <x:v>0</x:v>
      </x:c>
      <x:c r="L314" s="21" t="str">
        <x:v>OPEN</x:v>
      </x:c>
      <x:c r="M314" s="21" t="str">
        <x:v>BLOCKED</x:v>
      </x:c>
      <x:c r="N314" s="23" t="str">
        <x:f>IF(AND(H314&lt;=G314,I314&lt;=H314,K314&lt;=J314),"PASS","FAIL")</x:f>
        <x:v>PASS</x:v>
      </x:c>
    </x:row>
    <x:row r="315">
      <x:c r="B315" s="21" t="str">
        <x:v>F26-I3-C</x:v>
      </x:c>
      <x:c r="C315" s="21" t="str">
        <x:v>F26-I3</x:v>
      </x:c>
      <x:c r="D315" s="21" t="str">
        <x:v>F26</x:v>
      </x:c>
      <x:c r="E315" s="21" t="str">
        <x:v>CHALLENGE</x:v>
      </x:c>
      <x:c r="F315" s="21" t="str">
        <x:v>Sovereign challenge cell TIO-07</x:v>
      </x:c>
      <x:c r="G315" s="21" t="n">
        <x:v>28</x:v>
      </x:c>
      <x:c r="H315" s="46" t="n">
        <x:v>0</x:v>
      </x:c>
      <x:c r="I315" s="46" t="n">
        <x:v>0</x:v>
      </x:c>
      <x:c r="J315" s="46" t="n">
        <x:v>8</x:v>
      </x:c>
      <x:c r="K315" s="46" t="n">
        <x:v>0</x:v>
      </x:c>
      <x:c r="L315" s="21" t="str">
        <x:v>OPEN</x:v>
      </x:c>
      <x:c r="M315" s="21" t="str">
        <x:v>BLOCKED</x:v>
      </x:c>
      <x:c r="N315" s="23" t="str">
        <x:f>IF(AND(H315&lt;=G315,I315&lt;=H315,K315&lt;=J315),"PASS","FAIL")</x:f>
        <x:v>PASS</x:v>
      </x:c>
    </x:row>
    <x:row r="316">
      <x:c r="B316" s="21" t="str">
        <x:v>F26-I4-A</x:v>
      </x:c>
      <x:c r="C316" s="21" t="str">
        <x:v>F26-I4</x:v>
      </x:c>
      <x:c r="D316" s="21" t="str">
        <x:v>F26</x:v>
      </x:c>
      <x:c r="E316" s="21" t="str">
        <x:v>BUILD A</x:v>
      </x:c>
      <x:c r="F316" s="21" t="str">
        <x:v>Independent build ecosystem 06</x:v>
      </x:c>
      <x:c r="G316" s="21" t="n">
        <x:v>28</x:v>
      </x:c>
      <x:c r="H316" s="46" t="n">
        <x:v>0</x:v>
      </x:c>
      <x:c r="I316" s="46" t="n">
        <x:v>0</x:v>
      </x:c>
      <x:c r="J316" s="46" t="n">
        <x:v>8</x:v>
      </x:c>
      <x:c r="K316" s="46" t="n">
        <x:v>0</x:v>
      </x:c>
      <x:c r="L316" s="21" t="str">
        <x:v>OPEN</x:v>
      </x:c>
      <x:c r="M316" s="21" t="str">
        <x:v>BLOCKED</x:v>
      </x:c>
      <x:c r="N316" s="23" t="str">
        <x:f>IF(AND(H316&lt;=G316,I316&lt;=H316,K316&lt;=J316),"PASS","FAIL")</x:f>
        <x:v>PASS</x:v>
      </x:c>
    </x:row>
    <x:row r="317">
      <x:c r="B317" s="21" t="str">
        <x:v>F26-I4-B</x:v>
      </x:c>
      <x:c r="C317" s="21" t="str">
        <x:v>F26-I4</x:v>
      </x:c>
      <x:c r="D317" s="21" t="str">
        <x:v>F26</x:v>
      </x:c>
      <x:c r="E317" s="21" t="str">
        <x:v>BUILD B</x:v>
      </x:c>
      <x:c r="F317" s="21" t="str">
        <x:v>Independent build ecosystem 08</x:v>
      </x:c>
      <x:c r="G317" s="21" t="n">
        <x:v>28</x:v>
      </x:c>
      <x:c r="H317" s="46" t="n">
        <x:v>0</x:v>
      </x:c>
      <x:c r="I317" s="46" t="n">
        <x:v>0</x:v>
      </x:c>
      <x:c r="J317" s="46" t="n">
        <x:v>8</x:v>
      </x:c>
      <x:c r="K317" s="46" t="n">
        <x:v>0</x:v>
      </x:c>
      <x:c r="L317" s="21" t="str">
        <x:v>OPEN</x:v>
      </x:c>
      <x:c r="M317" s="21" t="str">
        <x:v>BLOCKED</x:v>
      </x:c>
      <x:c r="N317" s="23" t="str">
        <x:f>IF(AND(H317&lt;=G317,I317&lt;=H317,K317&lt;=J317),"PASS","FAIL")</x:f>
        <x:v>PASS</x:v>
      </x:c>
    </x:row>
    <x:row r="318">
      <x:c r="B318" s="21" t="str">
        <x:v>F26-I4-C</x:v>
      </x:c>
      <x:c r="C318" s="21" t="str">
        <x:v>F26-I4</x:v>
      </x:c>
      <x:c r="D318" s="21" t="str">
        <x:v>F26</x:v>
      </x:c>
      <x:c r="E318" s="21" t="str">
        <x:v>CHALLENGE</x:v>
      </x:c>
      <x:c r="F318" s="21" t="str">
        <x:v>Sovereign challenge cell TIO-08</x:v>
      </x:c>
      <x:c r="G318" s="21" t="n">
        <x:v>28</x:v>
      </x:c>
      <x:c r="H318" s="46" t="n">
        <x:v>0</x:v>
      </x:c>
      <x:c r="I318" s="46" t="n">
        <x:v>0</x:v>
      </x:c>
      <x:c r="J318" s="46" t="n">
        <x:v>8</x:v>
      </x:c>
      <x:c r="K318" s="46" t="n">
        <x:v>0</x:v>
      </x:c>
      <x:c r="L318" s="21" t="str">
        <x:v>OPEN</x:v>
      </x:c>
      <x:c r="M318" s="21" t="str">
        <x:v>BLOCKED</x:v>
      </x:c>
      <x:c r="N318" s="23" t="str">
        <x:f>IF(AND(H318&lt;=G318,I318&lt;=H318,K318&lt;=J318),"PASS","FAIL")</x:f>
        <x:v>PASS</x:v>
      </x:c>
    </x:row>
    <x:row r="319">
      <x:c r="B319" s="21" t="str">
        <x:v>F27-I1-A</x:v>
      </x:c>
      <x:c r="C319" s="21" t="str">
        <x:v>F27-I1</x:v>
      </x:c>
      <x:c r="D319" s="21" t="str">
        <x:v>F27</x:v>
      </x:c>
      <x:c r="E319" s="21" t="str">
        <x:v>BUILD A</x:v>
      </x:c>
      <x:c r="F319" s="21" t="str">
        <x:v>Independent build ecosystem 09</x:v>
      </x:c>
      <x:c r="G319" s="21" t="n">
        <x:v>28</x:v>
      </x:c>
      <x:c r="H319" s="46" t="n">
        <x:v>0</x:v>
      </x:c>
      <x:c r="I319" s="46" t="n">
        <x:v>0</x:v>
      </x:c>
      <x:c r="J319" s="46" t="n">
        <x:v>8</x:v>
      </x:c>
      <x:c r="K319" s="46" t="n">
        <x:v>0</x:v>
      </x:c>
      <x:c r="L319" s="21" t="str">
        <x:v>OPEN</x:v>
      </x:c>
      <x:c r="M319" s="21" t="str">
        <x:v>BLOCKED</x:v>
      </x:c>
      <x:c r="N319" s="23" t="str">
        <x:f>IF(AND(H319&lt;=G319,I319&lt;=H319,K319&lt;=J319),"PASS","FAIL")</x:f>
        <x:v>PASS</x:v>
      </x:c>
    </x:row>
    <x:row r="320">
      <x:c r="B320" s="21" t="str">
        <x:v>F27-I1-B</x:v>
      </x:c>
      <x:c r="C320" s="21" t="str">
        <x:v>F27-I1</x:v>
      </x:c>
      <x:c r="D320" s="21" t="str">
        <x:v>F27</x:v>
      </x:c>
      <x:c r="E320" s="21" t="str">
        <x:v>BUILD B</x:v>
      </x:c>
      <x:c r="F320" s="21" t="str">
        <x:v>Independent build ecosystem 11</x:v>
      </x:c>
      <x:c r="G320" s="21" t="n">
        <x:v>28</x:v>
      </x:c>
      <x:c r="H320" s="46" t="n">
        <x:v>0</x:v>
      </x:c>
      <x:c r="I320" s="46" t="n">
        <x:v>0</x:v>
      </x:c>
      <x:c r="J320" s="46" t="n">
        <x:v>8</x:v>
      </x:c>
      <x:c r="K320" s="46" t="n">
        <x:v>0</x:v>
      </x:c>
      <x:c r="L320" s="21" t="str">
        <x:v>OPEN</x:v>
      </x:c>
      <x:c r="M320" s="21" t="str">
        <x:v>BLOCKED</x:v>
      </x:c>
      <x:c r="N320" s="23" t="str">
        <x:f>IF(AND(H320&lt;=G320,I320&lt;=H320,K320&lt;=J320),"PASS","FAIL")</x:f>
        <x:v>PASS</x:v>
      </x:c>
    </x:row>
    <x:row r="321">
      <x:c r="B321" s="21" t="str">
        <x:v>F27-I1-C</x:v>
      </x:c>
      <x:c r="C321" s="21" t="str">
        <x:v>F27-I1</x:v>
      </x:c>
      <x:c r="D321" s="21" t="str">
        <x:v>F27</x:v>
      </x:c>
      <x:c r="E321" s="21" t="str">
        <x:v>CHALLENGE</x:v>
      </x:c>
      <x:c r="F321" s="21" t="str">
        <x:v>Sovereign challenge cell TIO-09</x:v>
      </x:c>
      <x:c r="G321" s="21" t="n">
        <x:v>28</x:v>
      </x:c>
      <x:c r="H321" s="46" t="n">
        <x:v>0</x:v>
      </x:c>
      <x:c r="I321" s="46" t="n">
        <x:v>0</x:v>
      </x:c>
      <x:c r="J321" s="46" t="n">
        <x:v>8</x:v>
      </x:c>
      <x:c r="K321" s="46" t="n">
        <x:v>0</x:v>
      </x:c>
      <x:c r="L321" s="21" t="str">
        <x:v>OPEN</x:v>
      </x:c>
      <x:c r="M321" s="21" t="str">
        <x:v>BLOCKED</x:v>
      </x:c>
      <x:c r="N321" s="23" t="str">
        <x:f>IF(AND(H321&lt;=G321,I321&lt;=H321,K321&lt;=J321),"PASS","FAIL")</x:f>
        <x:v>PASS</x:v>
      </x:c>
    </x:row>
    <x:row r="322">
      <x:c r="B322" s="21" t="str">
        <x:v>F27-I2-A</x:v>
      </x:c>
      <x:c r="C322" s="21" t="str">
        <x:v>F27-I2</x:v>
      </x:c>
      <x:c r="D322" s="21" t="str">
        <x:v>F27</x:v>
      </x:c>
      <x:c r="E322" s="21" t="str">
        <x:v>BUILD A</x:v>
      </x:c>
      <x:c r="F322" s="21" t="str">
        <x:v>Independent build ecosystem 12</x:v>
      </x:c>
      <x:c r="G322" s="21" t="n">
        <x:v>28</x:v>
      </x:c>
      <x:c r="H322" s="46" t="n">
        <x:v>0</x:v>
      </x:c>
      <x:c r="I322" s="46" t="n">
        <x:v>0</x:v>
      </x:c>
      <x:c r="J322" s="46" t="n">
        <x:v>8</x:v>
      </x:c>
      <x:c r="K322" s="46" t="n">
        <x:v>0</x:v>
      </x:c>
      <x:c r="L322" s="21" t="str">
        <x:v>OPEN</x:v>
      </x:c>
      <x:c r="M322" s="21" t="str">
        <x:v>BLOCKED</x:v>
      </x:c>
      <x:c r="N322" s="23" t="str">
        <x:f>IF(AND(H322&lt;=G322,I322&lt;=H322,K322&lt;=J322),"PASS","FAIL")</x:f>
        <x:v>PASS</x:v>
      </x:c>
    </x:row>
    <x:row r="323">
      <x:c r="B323" s="21" t="str">
        <x:v>F27-I2-B</x:v>
      </x:c>
      <x:c r="C323" s="21" t="str">
        <x:v>F27-I2</x:v>
      </x:c>
      <x:c r="D323" s="21" t="str">
        <x:v>F27</x:v>
      </x:c>
      <x:c r="E323" s="21" t="str">
        <x:v>BUILD B</x:v>
      </x:c>
      <x:c r="F323" s="21" t="str">
        <x:v>Independent build ecosystem 14</x:v>
      </x:c>
      <x:c r="G323" s="21" t="n">
        <x:v>28</x:v>
      </x:c>
      <x:c r="H323" s="46" t="n">
        <x:v>0</x:v>
      </x:c>
      <x:c r="I323" s="46" t="n">
        <x:v>0</x:v>
      </x:c>
      <x:c r="J323" s="46" t="n">
        <x:v>8</x:v>
      </x:c>
      <x:c r="K323" s="46" t="n">
        <x:v>0</x:v>
      </x:c>
      <x:c r="L323" s="21" t="str">
        <x:v>OPEN</x:v>
      </x:c>
      <x:c r="M323" s="21" t="str">
        <x:v>BLOCKED</x:v>
      </x:c>
      <x:c r="N323" s="23" t="str">
        <x:f>IF(AND(H323&lt;=G323,I323&lt;=H323,K323&lt;=J323),"PASS","FAIL")</x:f>
        <x:v>PASS</x:v>
      </x:c>
    </x:row>
    <x:row r="324">
      <x:c r="B324" s="21" t="str">
        <x:v>F27-I2-C</x:v>
      </x:c>
      <x:c r="C324" s="21" t="str">
        <x:v>F27-I2</x:v>
      </x:c>
      <x:c r="D324" s="21" t="str">
        <x:v>F27</x:v>
      </x:c>
      <x:c r="E324" s="21" t="str">
        <x:v>CHALLENGE</x:v>
      </x:c>
      <x:c r="F324" s="21" t="str">
        <x:v>Sovereign challenge cell TIO-10</x:v>
      </x:c>
      <x:c r="G324" s="21" t="n">
        <x:v>28</x:v>
      </x:c>
      <x:c r="H324" s="46" t="n">
        <x:v>0</x:v>
      </x:c>
      <x:c r="I324" s="46" t="n">
        <x:v>0</x:v>
      </x:c>
      <x:c r="J324" s="46" t="n">
        <x:v>8</x:v>
      </x:c>
      <x:c r="K324" s="46" t="n">
        <x:v>0</x:v>
      </x:c>
      <x:c r="L324" s="21" t="str">
        <x:v>OPEN</x:v>
      </x:c>
      <x:c r="M324" s="21" t="str">
        <x:v>BLOCKED</x:v>
      </x:c>
      <x:c r="N324" s="23" t="str">
        <x:f>IF(AND(H324&lt;=G324,I324&lt;=H324,K324&lt;=J324),"PASS","FAIL")</x:f>
        <x:v>PASS</x:v>
      </x:c>
    </x:row>
    <x:row r="325">
      <x:c r="B325" s="21" t="str">
        <x:v>F27-I3-A</x:v>
      </x:c>
      <x:c r="C325" s="21" t="str">
        <x:v>F27-I3</x:v>
      </x:c>
      <x:c r="D325" s="21" t="str">
        <x:v>F27</x:v>
      </x:c>
      <x:c r="E325" s="21" t="str">
        <x:v>BUILD A</x:v>
      </x:c>
      <x:c r="F325" s="21" t="str">
        <x:v>Independent build ecosystem 15</x:v>
      </x:c>
      <x:c r="G325" s="21" t="n">
        <x:v>28</x:v>
      </x:c>
      <x:c r="H325" s="46" t="n">
        <x:v>0</x:v>
      </x:c>
      <x:c r="I325" s="46" t="n">
        <x:v>0</x:v>
      </x:c>
      <x:c r="J325" s="46" t="n">
        <x:v>8</x:v>
      </x:c>
      <x:c r="K325" s="46" t="n">
        <x:v>0</x:v>
      </x:c>
      <x:c r="L325" s="21" t="str">
        <x:v>OPEN</x:v>
      </x:c>
      <x:c r="M325" s="21" t="str">
        <x:v>BLOCKED</x:v>
      </x:c>
      <x:c r="N325" s="23" t="str">
        <x:f>IF(AND(H325&lt;=G325,I325&lt;=H325,K325&lt;=J325),"PASS","FAIL")</x:f>
        <x:v>PASS</x:v>
      </x:c>
    </x:row>
    <x:row r="326">
      <x:c r="B326" s="21" t="str">
        <x:v>F27-I3-B</x:v>
      </x:c>
      <x:c r="C326" s="21" t="str">
        <x:v>F27-I3</x:v>
      </x:c>
      <x:c r="D326" s="21" t="str">
        <x:v>F27</x:v>
      </x:c>
      <x:c r="E326" s="21" t="str">
        <x:v>BUILD B</x:v>
      </x:c>
      <x:c r="F326" s="21" t="str">
        <x:v>Independent build ecosystem 01</x:v>
      </x:c>
      <x:c r="G326" s="21" t="n">
        <x:v>28</x:v>
      </x:c>
      <x:c r="H326" s="46" t="n">
        <x:v>0</x:v>
      </x:c>
      <x:c r="I326" s="46" t="n">
        <x:v>0</x:v>
      </x:c>
      <x:c r="J326" s="46" t="n">
        <x:v>8</x:v>
      </x:c>
      <x:c r="K326" s="46" t="n">
        <x:v>0</x:v>
      </x:c>
      <x:c r="L326" s="21" t="str">
        <x:v>OPEN</x:v>
      </x:c>
      <x:c r="M326" s="21" t="str">
        <x:v>BLOCKED</x:v>
      </x:c>
      <x:c r="N326" s="23" t="str">
        <x:f>IF(AND(H326&lt;=G326,I326&lt;=H326,K326&lt;=J326),"PASS","FAIL")</x:f>
        <x:v>PASS</x:v>
      </x:c>
    </x:row>
    <x:row r="327">
      <x:c r="B327" s="21" t="str">
        <x:v>F27-I3-C</x:v>
      </x:c>
      <x:c r="C327" s="21" t="str">
        <x:v>F27-I3</x:v>
      </x:c>
      <x:c r="D327" s="21" t="str">
        <x:v>F27</x:v>
      </x:c>
      <x:c r="E327" s="21" t="str">
        <x:v>CHALLENGE</x:v>
      </x:c>
      <x:c r="F327" s="21" t="str">
        <x:v>Sovereign challenge cell TIO-11</x:v>
      </x:c>
      <x:c r="G327" s="21" t="n">
        <x:v>28</x:v>
      </x:c>
      <x:c r="H327" s="46" t="n">
        <x:v>0</x:v>
      </x:c>
      <x:c r="I327" s="46" t="n">
        <x:v>0</x:v>
      </x:c>
      <x:c r="J327" s="46" t="n">
        <x:v>8</x:v>
      </x:c>
      <x:c r="K327" s="46" t="n">
        <x:v>0</x:v>
      </x:c>
      <x:c r="L327" s="21" t="str">
        <x:v>OPEN</x:v>
      </x:c>
      <x:c r="M327" s="21" t="str">
        <x:v>BLOCKED</x:v>
      </x:c>
      <x:c r="N327" s="23" t="str">
        <x:f>IF(AND(H327&lt;=G327,I327&lt;=H327,K327&lt;=J327),"PASS","FAIL")</x:f>
        <x:v>PASS</x:v>
      </x:c>
    </x:row>
    <x:row r="328">
      <x:c r="B328" s="21" t="str">
        <x:v>F27-I4-A</x:v>
      </x:c>
      <x:c r="C328" s="21" t="str">
        <x:v>F27-I4</x:v>
      </x:c>
      <x:c r="D328" s="21" t="str">
        <x:v>F27</x:v>
      </x:c>
      <x:c r="E328" s="21" t="str">
        <x:v>BUILD A</x:v>
      </x:c>
      <x:c r="F328" s="21" t="str">
        <x:v>Independent build ecosystem 02</x:v>
      </x:c>
      <x:c r="G328" s="21" t="n">
        <x:v>28</x:v>
      </x:c>
      <x:c r="H328" s="46" t="n">
        <x:v>0</x:v>
      </x:c>
      <x:c r="I328" s="46" t="n">
        <x:v>0</x:v>
      </x:c>
      <x:c r="J328" s="46" t="n">
        <x:v>8</x:v>
      </x:c>
      <x:c r="K328" s="46" t="n">
        <x:v>0</x:v>
      </x:c>
      <x:c r="L328" s="21" t="str">
        <x:v>OPEN</x:v>
      </x:c>
      <x:c r="M328" s="21" t="str">
        <x:v>BLOCKED</x:v>
      </x:c>
      <x:c r="N328" s="23" t="str">
        <x:f>IF(AND(H328&lt;=G328,I328&lt;=H328,K328&lt;=J328),"PASS","FAIL")</x:f>
        <x:v>PASS</x:v>
      </x:c>
    </x:row>
    <x:row r="329">
      <x:c r="B329" s="21" t="str">
        <x:v>F27-I4-B</x:v>
      </x:c>
      <x:c r="C329" s="21" t="str">
        <x:v>F27-I4</x:v>
      </x:c>
      <x:c r="D329" s="21" t="str">
        <x:v>F27</x:v>
      </x:c>
      <x:c r="E329" s="21" t="str">
        <x:v>BUILD B</x:v>
      </x:c>
      <x:c r="F329" s="21" t="str">
        <x:v>Independent build ecosystem 04</x:v>
      </x:c>
      <x:c r="G329" s="21" t="n">
        <x:v>28</x:v>
      </x:c>
      <x:c r="H329" s="46" t="n">
        <x:v>0</x:v>
      </x:c>
      <x:c r="I329" s="46" t="n">
        <x:v>0</x:v>
      </x:c>
      <x:c r="J329" s="46" t="n">
        <x:v>8</x:v>
      </x:c>
      <x:c r="K329" s="46" t="n">
        <x:v>0</x:v>
      </x:c>
      <x:c r="L329" s="21" t="str">
        <x:v>OPEN</x:v>
      </x:c>
      <x:c r="M329" s="21" t="str">
        <x:v>BLOCKED</x:v>
      </x:c>
      <x:c r="N329" s="23" t="str">
        <x:f>IF(AND(H329&lt;=G329,I329&lt;=H329,K329&lt;=J329),"PASS","FAIL")</x:f>
        <x:v>PASS</x:v>
      </x:c>
    </x:row>
    <x:row r="330">
      <x:c r="B330" s="21" t="str">
        <x:v>F27-I4-C</x:v>
      </x:c>
      <x:c r="C330" s="21" t="str">
        <x:v>F27-I4</x:v>
      </x:c>
      <x:c r="D330" s="21" t="str">
        <x:v>F27</x:v>
      </x:c>
      <x:c r="E330" s="21" t="str">
        <x:v>CHALLENGE</x:v>
      </x:c>
      <x:c r="F330" s="21" t="str">
        <x:v>Sovereign challenge cell TIO-12</x:v>
      </x:c>
      <x:c r="G330" s="21" t="n">
        <x:v>28</x:v>
      </x:c>
      <x:c r="H330" s="46" t="n">
        <x:v>0</x:v>
      </x:c>
      <x:c r="I330" s="46" t="n">
        <x:v>0</x:v>
      </x:c>
      <x:c r="J330" s="46" t="n">
        <x:v>8</x:v>
      </x:c>
      <x:c r="K330" s="46" t="n">
        <x:v>0</x:v>
      </x:c>
      <x:c r="L330" s="21" t="str">
        <x:v>OPEN</x:v>
      </x:c>
      <x:c r="M330" s="21" t="str">
        <x:v>BLOCKED</x:v>
      </x:c>
      <x:c r="N330" s="23" t="str">
        <x:f>IF(AND(H330&lt;=G330,I330&lt;=H330,K330&lt;=J330),"PASS","FAIL")</x:f>
        <x:v>PASS</x:v>
      </x:c>
    </x:row>
    <x:row r="331">
      <x:c r="B331" s="21" t="str">
        <x:v>F28-I1-A</x:v>
      </x:c>
      <x:c r="C331" s="21" t="str">
        <x:v>F28-I1</x:v>
      </x:c>
      <x:c r="D331" s="21" t="str">
        <x:v>F28</x:v>
      </x:c>
      <x:c r="E331" s="21" t="str">
        <x:v>BUILD A</x:v>
      </x:c>
      <x:c r="F331" s="21" t="str">
        <x:v>Independent build ecosystem 05</x:v>
      </x:c>
      <x:c r="G331" s="21" t="n">
        <x:v>28</x:v>
      </x:c>
      <x:c r="H331" s="46" t="n">
        <x:v>0</x:v>
      </x:c>
      <x:c r="I331" s="46" t="n">
        <x:v>0</x:v>
      </x:c>
      <x:c r="J331" s="46" t="n">
        <x:v>8</x:v>
      </x:c>
      <x:c r="K331" s="46" t="n">
        <x:v>0</x:v>
      </x:c>
      <x:c r="L331" s="21" t="str">
        <x:v>OPEN</x:v>
      </x:c>
      <x:c r="M331" s="21" t="str">
        <x:v>BLOCKED</x:v>
      </x:c>
      <x:c r="N331" s="23" t="str">
        <x:f>IF(AND(H331&lt;=G331,I331&lt;=H331,K331&lt;=J331),"PASS","FAIL")</x:f>
        <x:v>PASS</x:v>
      </x:c>
    </x:row>
    <x:row r="332">
      <x:c r="B332" s="21" t="str">
        <x:v>F28-I1-B</x:v>
      </x:c>
      <x:c r="C332" s="21" t="str">
        <x:v>F28-I1</x:v>
      </x:c>
      <x:c r="D332" s="21" t="str">
        <x:v>F28</x:v>
      </x:c>
      <x:c r="E332" s="21" t="str">
        <x:v>BUILD B</x:v>
      </x:c>
      <x:c r="F332" s="21" t="str">
        <x:v>Independent build ecosystem 07</x:v>
      </x:c>
      <x:c r="G332" s="21" t="n">
        <x:v>28</x:v>
      </x:c>
      <x:c r="H332" s="46" t="n">
        <x:v>0</x:v>
      </x:c>
      <x:c r="I332" s="46" t="n">
        <x:v>0</x:v>
      </x:c>
      <x:c r="J332" s="46" t="n">
        <x:v>8</x:v>
      </x:c>
      <x:c r="K332" s="46" t="n">
        <x:v>0</x:v>
      </x:c>
      <x:c r="L332" s="21" t="str">
        <x:v>OPEN</x:v>
      </x:c>
      <x:c r="M332" s="21" t="str">
        <x:v>BLOCKED</x:v>
      </x:c>
      <x:c r="N332" s="23" t="str">
        <x:f>IF(AND(H332&lt;=G332,I332&lt;=H332,K332&lt;=J332),"PASS","FAIL")</x:f>
        <x:v>PASS</x:v>
      </x:c>
    </x:row>
    <x:row r="333">
      <x:c r="B333" s="21" t="str">
        <x:v>F28-I1-C</x:v>
      </x:c>
      <x:c r="C333" s="21" t="str">
        <x:v>F28-I1</x:v>
      </x:c>
      <x:c r="D333" s="21" t="str">
        <x:v>F28</x:v>
      </x:c>
      <x:c r="E333" s="21" t="str">
        <x:v>CHALLENGE</x:v>
      </x:c>
      <x:c r="F333" s="21" t="str">
        <x:v>Sovereign challenge cell TIO-13</x:v>
      </x:c>
      <x:c r="G333" s="21" t="n">
        <x:v>28</x:v>
      </x:c>
      <x:c r="H333" s="46" t="n">
        <x:v>0</x:v>
      </x:c>
      <x:c r="I333" s="46" t="n">
        <x:v>0</x:v>
      </x:c>
      <x:c r="J333" s="46" t="n">
        <x:v>8</x:v>
      </x:c>
      <x:c r="K333" s="46" t="n">
        <x:v>0</x:v>
      </x:c>
      <x:c r="L333" s="21" t="str">
        <x:v>OPEN</x:v>
      </x:c>
      <x:c r="M333" s="21" t="str">
        <x:v>BLOCKED</x:v>
      </x:c>
      <x:c r="N333" s="23" t="str">
        <x:f>IF(AND(H333&lt;=G333,I333&lt;=H333,K333&lt;=J333),"PASS","FAIL")</x:f>
        <x:v>PASS</x:v>
      </x:c>
    </x:row>
    <x:row r="334">
      <x:c r="B334" s="21" t="str">
        <x:v>F28-I2-A</x:v>
      </x:c>
      <x:c r="C334" s="21" t="str">
        <x:v>F28-I2</x:v>
      </x:c>
      <x:c r="D334" s="21" t="str">
        <x:v>F28</x:v>
      </x:c>
      <x:c r="E334" s="21" t="str">
        <x:v>BUILD A</x:v>
      </x:c>
      <x:c r="F334" s="21" t="str">
        <x:v>Independent build ecosystem 08</x:v>
      </x:c>
      <x:c r="G334" s="21" t="n">
        <x:v>28</x:v>
      </x:c>
      <x:c r="H334" s="46" t="n">
        <x:v>0</x:v>
      </x:c>
      <x:c r="I334" s="46" t="n">
        <x:v>0</x:v>
      </x:c>
      <x:c r="J334" s="46" t="n">
        <x:v>8</x:v>
      </x:c>
      <x:c r="K334" s="46" t="n">
        <x:v>0</x:v>
      </x:c>
      <x:c r="L334" s="21" t="str">
        <x:v>OPEN</x:v>
      </x:c>
      <x:c r="M334" s="21" t="str">
        <x:v>BLOCKED</x:v>
      </x:c>
      <x:c r="N334" s="23" t="str">
        <x:f>IF(AND(H334&lt;=G334,I334&lt;=H334,K334&lt;=J334),"PASS","FAIL")</x:f>
        <x:v>PASS</x:v>
      </x:c>
    </x:row>
    <x:row r="335">
      <x:c r="B335" s="21" t="str">
        <x:v>F28-I2-B</x:v>
      </x:c>
      <x:c r="C335" s="21" t="str">
        <x:v>F28-I2</x:v>
      </x:c>
      <x:c r="D335" s="21" t="str">
        <x:v>F28</x:v>
      </x:c>
      <x:c r="E335" s="21" t="str">
        <x:v>BUILD B</x:v>
      </x:c>
      <x:c r="F335" s="21" t="str">
        <x:v>Independent build ecosystem 10</x:v>
      </x:c>
      <x:c r="G335" s="21" t="n">
        <x:v>28</x:v>
      </x:c>
      <x:c r="H335" s="46" t="n">
        <x:v>0</x:v>
      </x:c>
      <x:c r="I335" s="46" t="n">
        <x:v>0</x:v>
      </x:c>
      <x:c r="J335" s="46" t="n">
        <x:v>8</x:v>
      </x:c>
      <x:c r="K335" s="46" t="n">
        <x:v>0</x:v>
      </x:c>
      <x:c r="L335" s="21" t="str">
        <x:v>OPEN</x:v>
      </x:c>
      <x:c r="M335" s="21" t="str">
        <x:v>BLOCKED</x:v>
      </x:c>
      <x:c r="N335" s="23" t="str">
        <x:f>IF(AND(H335&lt;=G335,I335&lt;=H335,K335&lt;=J335),"PASS","FAIL")</x:f>
        <x:v>PASS</x:v>
      </x:c>
    </x:row>
    <x:row r="336">
      <x:c r="B336" s="21" t="str">
        <x:v>F28-I2-C</x:v>
      </x:c>
      <x:c r="C336" s="21" t="str">
        <x:v>F28-I2</x:v>
      </x:c>
      <x:c r="D336" s="21" t="str">
        <x:v>F28</x:v>
      </x:c>
      <x:c r="E336" s="21" t="str">
        <x:v>CHALLENGE</x:v>
      </x:c>
      <x:c r="F336" s="21" t="str">
        <x:v>Sovereign challenge cell TIO-14</x:v>
      </x:c>
      <x:c r="G336" s="21" t="n">
        <x:v>28</x:v>
      </x:c>
      <x:c r="H336" s="46" t="n">
        <x:v>0</x:v>
      </x:c>
      <x:c r="I336" s="46" t="n">
        <x:v>0</x:v>
      </x:c>
      <x:c r="J336" s="46" t="n">
        <x:v>8</x:v>
      </x:c>
      <x:c r="K336" s="46" t="n">
        <x:v>0</x:v>
      </x:c>
      <x:c r="L336" s="21" t="str">
        <x:v>OPEN</x:v>
      </x:c>
      <x:c r="M336" s="21" t="str">
        <x:v>BLOCKED</x:v>
      </x:c>
      <x:c r="N336" s="23" t="str">
        <x:f>IF(AND(H336&lt;=G336,I336&lt;=H336,K336&lt;=J336),"PASS","FAIL")</x:f>
        <x:v>PASS</x:v>
      </x:c>
    </x:row>
    <x:row r="337">
      <x:c r="B337" s="21" t="str">
        <x:v>F28-I3-A</x:v>
      </x:c>
      <x:c r="C337" s="21" t="str">
        <x:v>F28-I3</x:v>
      </x:c>
      <x:c r="D337" s="21" t="str">
        <x:v>F28</x:v>
      </x:c>
      <x:c r="E337" s="21" t="str">
        <x:v>BUILD A</x:v>
      </x:c>
      <x:c r="F337" s="21" t="str">
        <x:v>Independent build ecosystem 11</x:v>
      </x:c>
      <x:c r="G337" s="21" t="n">
        <x:v>28</x:v>
      </x:c>
      <x:c r="H337" s="46" t="n">
        <x:v>0</x:v>
      </x:c>
      <x:c r="I337" s="46" t="n">
        <x:v>0</x:v>
      </x:c>
      <x:c r="J337" s="46" t="n">
        <x:v>8</x:v>
      </x:c>
      <x:c r="K337" s="46" t="n">
        <x:v>0</x:v>
      </x:c>
      <x:c r="L337" s="21" t="str">
        <x:v>OPEN</x:v>
      </x:c>
      <x:c r="M337" s="21" t="str">
        <x:v>BLOCKED</x:v>
      </x:c>
      <x:c r="N337" s="23" t="str">
        <x:f>IF(AND(H337&lt;=G337,I337&lt;=H337,K337&lt;=J337),"PASS","FAIL")</x:f>
        <x:v>PASS</x:v>
      </x:c>
    </x:row>
    <x:row r="338">
      <x:c r="B338" s="21" t="str">
        <x:v>F28-I3-B</x:v>
      </x:c>
      <x:c r="C338" s="21" t="str">
        <x:v>F28-I3</x:v>
      </x:c>
      <x:c r="D338" s="21" t="str">
        <x:v>F28</x:v>
      </x:c>
      <x:c r="E338" s="21" t="str">
        <x:v>BUILD B</x:v>
      </x:c>
      <x:c r="F338" s="21" t="str">
        <x:v>Independent build ecosystem 13</x:v>
      </x:c>
      <x:c r="G338" s="21" t="n">
        <x:v>28</x:v>
      </x:c>
      <x:c r="H338" s="46" t="n">
        <x:v>0</x:v>
      </x:c>
      <x:c r="I338" s="46" t="n">
        <x:v>0</x:v>
      </x:c>
      <x:c r="J338" s="46" t="n">
        <x:v>8</x:v>
      </x:c>
      <x:c r="K338" s="46" t="n">
        <x:v>0</x:v>
      </x:c>
      <x:c r="L338" s="21" t="str">
        <x:v>OPEN</x:v>
      </x:c>
      <x:c r="M338" s="21" t="str">
        <x:v>BLOCKED</x:v>
      </x:c>
      <x:c r="N338" s="23" t="str">
        <x:f>IF(AND(H338&lt;=G338,I338&lt;=H338,K338&lt;=J338),"PASS","FAIL")</x:f>
        <x:v>PASS</x:v>
      </x:c>
    </x:row>
    <x:row r="339">
      <x:c r="B339" s="21" t="str">
        <x:v>F28-I3-C</x:v>
      </x:c>
      <x:c r="C339" s="21" t="str">
        <x:v>F28-I3</x:v>
      </x:c>
      <x:c r="D339" s="21" t="str">
        <x:v>F28</x:v>
      </x:c>
      <x:c r="E339" s="21" t="str">
        <x:v>CHALLENGE</x:v>
      </x:c>
      <x:c r="F339" s="21" t="str">
        <x:v>Sovereign challenge cell TIO-15</x:v>
      </x:c>
      <x:c r="G339" s="21" t="n">
        <x:v>28</x:v>
      </x:c>
      <x:c r="H339" s="46" t="n">
        <x:v>0</x:v>
      </x:c>
      <x:c r="I339" s="46" t="n">
        <x:v>0</x:v>
      </x:c>
      <x:c r="J339" s="46" t="n">
        <x:v>8</x:v>
      </x:c>
      <x:c r="K339" s="46" t="n">
        <x:v>0</x:v>
      </x:c>
      <x:c r="L339" s="21" t="str">
        <x:v>OPEN</x:v>
      </x:c>
      <x:c r="M339" s="21" t="str">
        <x:v>BLOCKED</x:v>
      </x:c>
      <x:c r="N339" s="23" t="str">
        <x:f>IF(AND(H339&lt;=G339,I339&lt;=H339,K339&lt;=J339),"PASS","FAIL")</x:f>
        <x:v>PASS</x:v>
      </x:c>
    </x:row>
    <x:row r="340">
      <x:c r="B340" s="21" t="str">
        <x:v>F28-I4-A</x:v>
      </x:c>
      <x:c r="C340" s="21" t="str">
        <x:v>F28-I4</x:v>
      </x:c>
      <x:c r="D340" s="21" t="str">
        <x:v>F28</x:v>
      </x:c>
      <x:c r="E340" s="21" t="str">
        <x:v>BUILD A</x:v>
      </x:c>
      <x:c r="F340" s="21" t="str">
        <x:v>Independent build ecosystem 14</x:v>
      </x:c>
      <x:c r="G340" s="21" t="n">
        <x:v>28</x:v>
      </x:c>
      <x:c r="H340" s="46" t="n">
        <x:v>0</x:v>
      </x:c>
      <x:c r="I340" s="46" t="n">
        <x:v>0</x:v>
      </x:c>
      <x:c r="J340" s="46" t="n">
        <x:v>8</x:v>
      </x:c>
      <x:c r="K340" s="46" t="n">
        <x:v>0</x:v>
      </x:c>
      <x:c r="L340" s="21" t="str">
        <x:v>OPEN</x:v>
      </x:c>
      <x:c r="M340" s="21" t="str">
        <x:v>BLOCKED</x:v>
      </x:c>
      <x:c r="N340" s="23" t="str">
        <x:f>IF(AND(H340&lt;=G340,I340&lt;=H340,K340&lt;=J340),"PASS","FAIL")</x:f>
        <x:v>PASS</x:v>
      </x:c>
    </x:row>
    <x:row r="341">
      <x:c r="B341" s="21" t="str">
        <x:v>F28-I4-B</x:v>
      </x:c>
      <x:c r="C341" s="21" t="str">
        <x:v>F28-I4</x:v>
      </x:c>
      <x:c r="D341" s="21" t="str">
        <x:v>F28</x:v>
      </x:c>
      <x:c r="E341" s="21" t="str">
        <x:v>BUILD B</x:v>
      </x:c>
      <x:c r="F341" s="21" t="str">
        <x:v>Independent build ecosystem 16</x:v>
      </x:c>
      <x:c r="G341" s="21" t="n">
        <x:v>28</x:v>
      </x:c>
      <x:c r="H341" s="46" t="n">
        <x:v>0</x:v>
      </x:c>
      <x:c r="I341" s="46" t="n">
        <x:v>0</x:v>
      </x:c>
      <x:c r="J341" s="46" t="n">
        <x:v>8</x:v>
      </x:c>
      <x:c r="K341" s="46" t="n">
        <x:v>0</x:v>
      </x:c>
      <x:c r="L341" s="21" t="str">
        <x:v>OPEN</x:v>
      </x:c>
      <x:c r="M341" s="21" t="str">
        <x:v>BLOCKED</x:v>
      </x:c>
      <x:c r="N341" s="23" t="str">
        <x:f>IF(AND(H341&lt;=G341,I341&lt;=H341,K341&lt;=J341),"PASS","FAIL")</x:f>
        <x:v>PASS</x:v>
      </x:c>
    </x:row>
    <x:row r="342">
      <x:c r="B342" s="21" t="str">
        <x:v>F28-I4-C</x:v>
      </x:c>
      <x:c r="C342" s="21" t="str">
        <x:v>F28-I4</x:v>
      </x:c>
      <x:c r="D342" s="21" t="str">
        <x:v>F28</x:v>
      </x:c>
      <x:c r="E342" s="21" t="str">
        <x:v>CHALLENGE</x:v>
      </x:c>
      <x:c r="F342" s="21" t="str">
        <x:v>Sovereign challenge cell TIO-16</x:v>
      </x:c>
      <x:c r="G342" s="21" t="n">
        <x:v>28</x:v>
      </x:c>
      <x:c r="H342" s="46" t="n">
        <x:v>0</x:v>
      </x:c>
      <x:c r="I342" s="46" t="n">
        <x:v>0</x:v>
      </x:c>
      <x:c r="J342" s="46" t="n">
        <x:v>8</x:v>
      </x:c>
      <x:c r="K342" s="46" t="n">
        <x:v>0</x:v>
      </x:c>
      <x:c r="L342" s="21" t="str">
        <x:v>OPEN</x:v>
      </x:c>
      <x:c r="M342" s="21" t="str">
        <x:v>BLOCKED</x:v>
      </x:c>
      <x:c r="N342" s="23" t="str">
        <x:f>IF(AND(H342&lt;=G342,I342&lt;=H342,K342&lt;=J342),"PASS","FAIL")</x:f>
        <x:v>PASS</x:v>
      </x:c>
    </x:row>
    <x:row r="343">
      <x:c r="B343" s="21" t="str">
        <x:v>F29-I1-A</x:v>
      </x:c>
      <x:c r="C343" s="21" t="str">
        <x:v>F29-I1</x:v>
      </x:c>
      <x:c r="D343" s="21" t="str">
        <x:v>F29</x:v>
      </x:c>
      <x:c r="E343" s="21" t="str">
        <x:v>BUILD A</x:v>
      </x:c>
      <x:c r="F343" s="21" t="str">
        <x:v>Independent build ecosystem 01</x:v>
      </x:c>
      <x:c r="G343" s="21" t="n">
        <x:v>28</x:v>
      </x:c>
      <x:c r="H343" s="46" t="n">
        <x:v>0</x:v>
      </x:c>
      <x:c r="I343" s="46" t="n">
        <x:v>0</x:v>
      </x:c>
      <x:c r="J343" s="46" t="n">
        <x:v>8</x:v>
      </x:c>
      <x:c r="K343" s="46" t="n">
        <x:v>0</x:v>
      </x:c>
      <x:c r="L343" s="21" t="str">
        <x:v>OPEN</x:v>
      </x:c>
      <x:c r="M343" s="21" t="str">
        <x:v>BLOCKED</x:v>
      </x:c>
      <x:c r="N343" s="23" t="str">
        <x:f>IF(AND(H343&lt;=G343,I343&lt;=H343,K343&lt;=J343),"PASS","FAIL")</x:f>
        <x:v>PASS</x:v>
      </x:c>
    </x:row>
    <x:row r="344">
      <x:c r="B344" s="21" t="str">
        <x:v>F29-I1-B</x:v>
      </x:c>
      <x:c r="C344" s="21" t="str">
        <x:v>F29-I1</x:v>
      </x:c>
      <x:c r="D344" s="21" t="str">
        <x:v>F29</x:v>
      </x:c>
      <x:c r="E344" s="21" t="str">
        <x:v>BUILD B</x:v>
      </x:c>
      <x:c r="F344" s="21" t="str">
        <x:v>Independent build ecosystem 03</x:v>
      </x:c>
      <x:c r="G344" s="21" t="n">
        <x:v>28</x:v>
      </x:c>
      <x:c r="H344" s="46" t="n">
        <x:v>0</x:v>
      </x:c>
      <x:c r="I344" s="46" t="n">
        <x:v>0</x:v>
      </x:c>
      <x:c r="J344" s="46" t="n">
        <x:v>8</x:v>
      </x:c>
      <x:c r="K344" s="46" t="n">
        <x:v>0</x:v>
      </x:c>
      <x:c r="L344" s="21" t="str">
        <x:v>OPEN</x:v>
      </x:c>
      <x:c r="M344" s="21" t="str">
        <x:v>BLOCKED</x:v>
      </x:c>
      <x:c r="N344" s="23" t="str">
        <x:f>IF(AND(H344&lt;=G344,I344&lt;=H344,K344&lt;=J344),"PASS","FAIL")</x:f>
        <x:v>PASS</x:v>
      </x:c>
    </x:row>
    <x:row r="345">
      <x:c r="B345" s="21" t="str">
        <x:v>F29-I1-C</x:v>
      </x:c>
      <x:c r="C345" s="21" t="str">
        <x:v>F29-I1</x:v>
      </x:c>
      <x:c r="D345" s="21" t="str">
        <x:v>F29</x:v>
      </x:c>
      <x:c r="E345" s="21" t="str">
        <x:v>CHALLENGE</x:v>
      </x:c>
      <x:c r="F345" s="21" t="str">
        <x:v>Sovereign challenge cell TIO-01</x:v>
      </x:c>
      <x:c r="G345" s="21" t="n">
        <x:v>28</x:v>
      </x:c>
      <x:c r="H345" s="46" t="n">
        <x:v>0</x:v>
      </x:c>
      <x:c r="I345" s="46" t="n">
        <x:v>0</x:v>
      </x:c>
      <x:c r="J345" s="46" t="n">
        <x:v>8</x:v>
      </x:c>
      <x:c r="K345" s="46" t="n">
        <x:v>0</x:v>
      </x:c>
      <x:c r="L345" s="21" t="str">
        <x:v>OPEN</x:v>
      </x:c>
      <x:c r="M345" s="21" t="str">
        <x:v>BLOCKED</x:v>
      </x:c>
      <x:c r="N345" s="23" t="str">
        <x:f>IF(AND(H345&lt;=G345,I345&lt;=H345,K345&lt;=J345),"PASS","FAIL")</x:f>
        <x:v>PASS</x:v>
      </x:c>
    </x:row>
    <x:row r="346">
      <x:c r="B346" s="21" t="str">
        <x:v>F29-I2-A</x:v>
      </x:c>
      <x:c r="C346" s="21" t="str">
        <x:v>F29-I2</x:v>
      </x:c>
      <x:c r="D346" s="21" t="str">
        <x:v>F29</x:v>
      </x:c>
      <x:c r="E346" s="21" t="str">
        <x:v>BUILD A</x:v>
      </x:c>
      <x:c r="F346" s="21" t="str">
        <x:v>Independent build ecosystem 04</x:v>
      </x:c>
      <x:c r="G346" s="21" t="n">
        <x:v>28</x:v>
      </x:c>
      <x:c r="H346" s="46" t="n">
        <x:v>0</x:v>
      </x:c>
      <x:c r="I346" s="46" t="n">
        <x:v>0</x:v>
      </x:c>
      <x:c r="J346" s="46" t="n">
        <x:v>8</x:v>
      </x:c>
      <x:c r="K346" s="46" t="n">
        <x:v>0</x:v>
      </x:c>
      <x:c r="L346" s="21" t="str">
        <x:v>OPEN</x:v>
      </x:c>
      <x:c r="M346" s="21" t="str">
        <x:v>BLOCKED</x:v>
      </x:c>
      <x:c r="N346" s="23" t="str">
        <x:f>IF(AND(H346&lt;=G346,I346&lt;=H346,K346&lt;=J346),"PASS","FAIL")</x:f>
        <x:v>PASS</x:v>
      </x:c>
    </x:row>
    <x:row r="347">
      <x:c r="B347" s="21" t="str">
        <x:v>F29-I2-B</x:v>
      </x:c>
      <x:c r="C347" s="21" t="str">
        <x:v>F29-I2</x:v>
      </x:c>
      <x:c r="D347" s="21" t="str">
        <x:v>F29</x:v>
      </x:c>
      <x:c r="E347" s="21" t="str">
        <x:v>BUILD B</x:v>
      </x:c>
      <x:c r="F347" s="21" t="str">
        <x:v>Independent build ecosystem 06</x:v>
      </x:c>
      <x:c r="G347" s="21" t="n">
        <x:v>28</x:v>
      </x:c>
      <x:c r="H347" s="46" t="n">
        <x:v>0</x:v>
      </x:c>
      <x:c r="I347" s="46" t="n">
        <x:v>0</x:v>
      </x:c>
      <x:c r="J347" s="46" t="n">
        <x:v>8</x:v>
      </x:c>
      <x:c r="K347" s="46" t="n">
        <x:v>0</x:v>
      </x:c>
      <x:c r="L347" s="21" t="str">
        <x:v>OPEN</x:v>
      </x:c>
      <x:c r="M347" s="21" t="str">
        <x:v>BLOCKED</x:v>
      </x:c>
      <x:c r="N347" s="23" t="str">
        <x:f>IF(AND(H347&lt;=G347,I347&lt;=H347,K347&lt;=J347),"PASS","FAIL")</x:f>
        <x:v>PASS</x:v>
      </x:c>
    </x:row>
    <x:row r="348">
      <x:c r="B348" s="21" t="str">
        <x:v>F29-I2-C</x:v>
      </x:c>
      <x:c r="C348" s="21" t="str">
        <x:v>F29-I2</x:v>
      </x:c>
      <x:c r="D348" s="21" t="str">
        <x:v>F29</x:v>
      </x:c>
      <x:c r="E348" s="21" t="str">
        <x:v>CHALLENGE</x:v>
      </x:c>
      <x:c r="F348" s="21" t="str">
        <x:v>Sovereign challenge cell TIO-02</x:v>
      </x:c>
      <x:c r="G348" s="21" t="n">
        <x:v>28</x:v>
      </x:c>
      <x:c r="H348" s="46" t="n">
        <x:v>0</x:v>
      </x:c>
      <x:c r="I348" s="46" t="n">
        <x:v>0</x:v>
      </x:c>
      <x:c r="J348" s="46" t="n">
        <x:v>8</x:v>
      </x:c>
      <x:c r="K348" s="46" t="n">
        <x:v>0</x:v>
      </x:c>
      <x:c r="L348" s="21" t="str">
        <x:v>OPEN</x:v>
      </x:c>
      <x:c r="M348" s="21" t="str">
        <x:v>BLOCKED</x:v>
      </x:c>
      <x:c r="N348" s="23" t="str">
        <x:f>IF(AND(H348&lt;=G348,I348&lt;=H348,K348&lt;=J348),"PASS","FAIL")</x:f>
        <x:v>PASS</x:v>
      </x:c>
    </x:row>
    <x:row r="349">
      <x:c r="B349" s="21" t="str">
        <x:v>F29-I3-A</x:v>
      </x:c>
      <x:c r="C349" s="21" t="str">
        <x:v>F29-I3</x:v>
      </x:c>
      <x:c r="D349" s="21" t="str">
        <x:v>F29</x:v>
      </x:c>
      <x:c r="E349" s="21" t="str">
        <x:v>BUILD A</x:v>
      </x:c>
      <x:c r="F349" s="21" t="str">
        <x:v>Independent build ecosystem 07</x:v>
      </x:c>
      <x:c r="G349" s="21" t="n">
        <x:v>28</x:v>
      </x:c>
      <x:c r="H349" s="46" t="n">
        <x:v>0</x:v>
      </x:c>
      <x:c r="I349" s="46" t="n">
        <x:v>0</x:v>
      </x:c>
      <x:c r="J349" s="46" t="n">
        <x:v>8</x:v>
      </x:c>
      <x:c r="K349" s="46" t="n">
        <x:v>0</x:v>
      </x:c>
      <x:c r="L349" s="21" t="str">
        <x:v>OPEN</x:v>
      </x:c>
      <x:c r="M349" s="21" t="str">
        <x:v>BLOCKED</x:v>
      </x:c>
      <x:c r="N349" s="23" t="str">
        <x:f>IF(AND(H349&lt;=G349,I349&lt;=H349,K349&lt;=J349),"PASS","FAIL")</x:f>
        <x:v>PASS</x:v>
      </x:c>
    </x:row>
    <x:row r="350">
      <x:c r="B350" s="21" t="str">
        <x:v>F29-I3-B</x:v>
      </x:c>
      <x:c r="C350" s="21" t="str">
        <x:v>F29-I3</x:v>
      </x:c>
      <x:c r="D350" s="21" t="str">
        <x:v>F29</x:v>
      </x:c>
      <x:c r="E350" s="21" t="str">
        <x:v>BUILD B</x:v>
      </x:c>
      <x:c r="F350" s="21" t="str">
        <x:v>Independent build ecosystem 09</x:v>
      </x:c>
      <x:c r="G350" s="21" t="n">
        <x:v>28</x:v>
      </x:c>
      <x:c r="H350" s="46" t="n">
        <x:v>0</x:v>
      </x:c>
      <x:c r="I350" s="46" t="n">
        <x:v>0</x:v>
      </x:c>
      <x:c r="J350" s="46" t="n">
        <x:v>8</x:v>
      </x:c>
      <x:c r="K350" s="46" t="n">
        <x:v>0</x:v>
      </x:c>
      <x:c r="L350" s="21" t="str">
        <x:v>OPEN</x:v>
      </x:c>
      <x:c r="M350" s="21" t="str">
        <x:v>BLOCKED</x:v>
      </x:c>
      <x:c r="N350" s="23" t="str">
        <x:f>IF(AND(H350&lt;=G350,I350&lt;=H350,K350&lt;=J350),"PASS","FAIL")</x:f>
        <x:v>PASS</x:v>
      </x:c>
    </x:row>
    <x:row r="351">
      <x:c r="B351" s="21" t="str">
        <x:v>F29-I3-C</x:v>
      </x:c>
      <x:c r="C351" s="21" t="str">
        <x:v>F29-I3</x:v>
      </x:c>
      <x:c r="D351" s="21" t="str">
        <x:v>F29</x:v>
      </x:c>
      <x:c r="E351" s="21" t="str">
        <x:v>CHALLENGE</x:v>
      </x:c>
      <x:c r="F351" s="21" t="str">
        <x:v>Sovereign challenge cell TIO-03</x:v>
      </x:c>
      <x:c r="G351" s="21" t="n">
        <x:v>28</x:v>
      </x:c>
      <x:c r="H351" s="46" t="n">
        <x:v>0</x:v>
      </x:c>
      <x:c r="I351" s="46" t="n">
        <x:v>0</x:v>
      </x:c>
      <x:c r="J351" s="46" t="n">
        <x:v>8</x:v>
      </x:c>
      <x:c r="K351" s="46" t="n">
        <x:v>0</x:v>
      </x:c>
      <x:c r="L351" s="21" t="str">
        <x:v>OPEN</x:v>
      </x:c>
      <x:c r="M351" s="21" t="str">
        <x:v>BLOCKED</x:v>
      </x:c>
      <x:c r="N351" s="23" t="str">
        <x:f>IF(AND(H351&lt;=G351,I351&lt;=H351,K351&lt;=J351),"PASS","FAIL")</x:f>
        <x:v>PASS</x:v>
      </x:c>
    </x:row>
    <x:row r="352">
      <x:c r="B352" s="21" t="str">
        <x:v>F29-I4-A</x:v>
      </x:c>
      <x:c r="C352" s="21" t="str">
        <x:v>F29-I4</x:v>
      </x:c>
      <x:c r="D352" s="21" t="str">
        <x:v>F29</x:v>
      </x:c>
      <x:c r="E352" s="21" t="str">
        <x:v>BUILD A</x:v>
      </x:c>
      <x:c r="F352" s="21" t="str">
        <x:v>Independent build ecosystem 10</x:v>
      </x:c>
      <x:c r="G352" s="21" t="n">
        <x:v>28</x:v>
      </x:c>
      <x:c r="H352" s="46" t="n">
        <x:v>0</x:v>
      </x:c>
      <x:c r="I352" s="46" t="n">
        <x:v>0</x:v>
      </x:c>
      <x:c r="J352" s="46" t="n">
        <x:v>8</x:v>
      </x:c>
      <x:c r="K352" s="46" t="n">
        <x:v>0</x:v>
      </x:c>
      <x:c r="L352" s="21" t="str">
        <x:v>OPEN</x:v>
      </x:c>
      <x:c r="M352" s="21" t="str">
        <x:v>BLOCKED</x:v>
      </x:c>
      <x:c r="N352" s="23" t="str">
        <x:f>IF(AND(H352&lt;=G352,I352&lt;=H352,K352&lt;=J352),"PASS","FAIL")</x:f>
        <x:v>PASS</x:v>
      </x:c>
    </x:row>
    <x:row r="353">
      <x:c r="B353" s="21" t="str">
        <x:v>F29-I4-B</x:v>
      </x:c>
      <x:c r="C353" s="21" t="str">
        <x:v>F29-I4</x:v>
      </x:c>
      <x:c r="D353" s="21" t="str">
        <x:v>F29</x:v>
      </x:c>
      <x:c r="E353" s="21" t="str">
        <x:v>BUILD B</x:v>
      </x:c>
      <x:c r="F353" s="21" t="str">
        <x:v>Independent build ecosystem 12</x:v>
      </x:c>
      <x:c r="G353" s="21" t="n">
        <x:v>28</x:v>
      </x:c>
      <x:c r="H353" s="46" t="n">
        <x:v>0</x:v>
      </x:c>
      <x:c r="I353" s="46" t="n">
        <x:v>0</x:v>
      </x:c>
      <x:c r="J353" s="46" t="n">
        <x:v>8</x:v>
      </x:c>
      <x:c r="K353" s="46" t="n">
        <x:v>0</x:v>
      </x:c>
      <x:c r="L353" s="21" t="str">
        <x:v>OPEN</x:v>
      </x:c>
      <x:c r="M353" s="21" t="str">
        <x:v>BLOCKED</x:v>
      </x:c>
      <x:c r="N353" s="23" t="str">
        <x:f>IF(AND(H353&lt;=G353,I353&lt;=H353,K353&lt;=J353),"PASS","FAIL")</x:f>
        <x:v>PASS</x:v>
      </x:c>
    </x:row>
    <x:row r="354">
      <x:c r="B354" s="21" t="str">
        <x:v>F29-I4-C</x:v>
      </x:c>
      <x:c r="C354" s="21" t="str">
        <x:v>F29-I4</x:v>
      </x:c>
      <x:c r="D354" s="21" t="str">
        <x:v>F29</x:v>
      </x:c>
      <x:c r="E354" s="21" t="str">
        <x:v>CHALLENGE</x:v>
      </x:c>
      <x:c r="F354" s="21" t="str">
        <x:v>Sovereign challenge cell TIO-04</x:v>
      </x:c>
      <x:c r="G354" s="21" t="n">
        <x:v>28</x:v>
      </x:c>
      <x:c r="H354" s="46" t="n">
        <x:v>0</x:v>
      </x:c>
      <x:c r="I354" s="46" t="n">
        <x:v>0</x:v>
      </x:c>
      <x:c r="J354" s="46" t="n">
        <x:v>8</x:v>
      </x:c>
      <x:c r="K354" s="46" t="n">
        <x:v>0</x:v>
      </x:c>
      <x:c r="L354" s="21" t="str">
        <x:v>OPEN</x:v>
      </x:c>
      <x:c r="M354" s="21" t="str">
        <x:v>BLOCKED</x:v>
      </x:c>
      <x:c r="N354" s="23" t="str">
        <x:f>IF(AND(H354&lt;=G354,I354&lt;=H354,K354&lt;=J354),"PASS","FAIL")</x:f>
        <x:v>PASS</x:v>
      </x:c>
    </x:row>
    <x:row r="355">
      <x:c r="B355" s="21" t="str">
        <x:v>F30-I1-A</x:v>
      </x:c>
      <x:c r="C355" s="21" t="str">
        <x:v>F30-I1</x:v>
      </x:c>
      <x:c r="D355" s="21" t="str">
        <x:v>F30</x:v>
      </x:c>
      <x:c r="E355" s="21" t="str">
        <x:v>BUILD A</x:v>
      </x:c>
      <x:c r="F355" s="21" t="str">
        <x:v>Independent build ecosystem 13</x:v>
      </x:c>
      <x:c r="G355" s="21" t="n">
        <x:v>28</x:v>
      </x:c>
      <x:c r="H355" s="46" t="n">
        <x:v>0</x:v>
      </x:c>
      <x:c r="I355" s="46" t="n">
        <x:v>0</x:v>
      </x:c>
      <x:c r="J355" s="46" t="n">
        <x:v>8</x:v>
      </x:c>
      <x:c r="K355" s="46" t="n">
        <x:v>0</x:v>
      </x:c>
      <x:c r="L355" s="21" t="str">
        <x:v>OPEN</x:v>
      </x:c>
      <x:c r="M355" s="21" t="str">
        <x:v>BLOCKED</x:v>
      </x:c>
      <x:c r="N355" s="23" t="str">
        <x:f>IF(AND(H355&lt;=G355,I355&lt;=H355,K355&lt;=J355),"PASS","FAIL")</x:f>
        <x:v>PASS</x:v>
      </x:c>
    </x:row>
    <x:row r="356">
      <x:c r="B356" s="21" t="str">
        <x:v>F30-I1-B</x:v>
      </x:c>
      <x:c r="C356" s="21" t="str">
        <x:v>F30-I1</x:v>
      </x:c>
      <x:c r="D356" s="21" t="str">
        <x:v>F30</x:v>
      </x:c>
      <x:c r="E356" s="21" t="str">
        <x:v>BUILD B</x:v>
      </x:c>
      <x:c r="F356" s="21" t="str">
        <x:v>Independent build ecosystem 15</x:v>
      </x:c>
      <x:c r="G356" s="21" t="n">
        <x:v>28</x:v>
      </x:c>
      <x:c r="H356" s="46" t="n">
        <x:v>0</x:v>
      </x:c>
      <x:c r="I356" s="46" t="n">
        <x:v>0</x:v>
      </x:c>
      <x:c r="J356" s="46" t="n">
        <x:v>8</x:v>
      </x:c>
      <x:c r="K356" s="46" t="n">
        <x:v>0</x:v>
      </x:c>
      <x:c r="L356" s="21" t="str">
        <x:v>OPEN</x:v>
      </x:c>
      <x:c r="M356" s="21" t="str">
        <x:v>BLOCKED</x:v>
      </x:c>
      <x:c r="N356" s="23" t="str">
        <x:f>IF(AND(H356&lt;=G356,I356&lt;=H356,K356&lt;=J356),"PASS","FAIL")</x:f>
        <x:v>PASS</x:v>
      </x:c>
    </x:row>
    <x:row r="357">
      <x:c r="B357" s="21" t="str">
        <x:v>F30-I1-C</x:v>
      </x:c>
      <x:c r="C357" s="21" t="str">
        <x:v>F30-I1</x:v>
      </x:c>
      <x:c r="D357" s="21" t="str">
        <x:v>F30</x:v>
      </x:c>
      <x:c r="E357" s="21" t="str">
        <x:v>CHALLENGE</x:v>
      </x:c>
      <x:c r="F357" s="21" t="str">
        <x:v>Sovereign challenge cell TIO-05</x:v>
      </x:c>
      <x:c r="G357" s="21" t="n">
        <x:v>28</x:v>
      </x:c>
      <x:c r="H357" s="46" t="n">
        <x:v>0</x:v>
      </x:c>
      <x:c r="I357" s="46" t="n">
        <x:v>0</x:v>
      </x:c>
      <x:c r="J357" s="46" t="n">
        <x:v>8</x:v>
      </x:c>
      <x:c r="K357" s="46" t="n">
        <x:v>0</x:v>
      </x:c>
      <x:c r="L357" s="21" t="str">
        <x:v>OPEN</x:v>
      </x:c>
      <x:c r="M357" s="21" t="str">
        <x:v>BLOCKED</x:v>
      </x:c>
      <x:c r="N357" s="23" t="str">
        <x:f>IF(AND(H357&lt;=G357,I357&lt;=H357,K357&lt;=J357),"PASS","FAIL")</x:f>
        <x:v>PASS</x:v>
      </x:c>
    </x:row>
    <x:row r="358">
      <x:c r="B358" s="21" t="str">
        <x:v>F30-I2-A</x:v>
      </x:c>
      <x:c r="C358" s="21" t="str">
        <x:v>F30-I2</x:v>
      </x:c>
      <x:c r="D358" s="21" t="str">
        <x:v>F30</x:v>
      </x:c>
      <x:c r="E358" s="21" t="str">
        <x:v>BUILD A</x:v>
      </x:c>
      <x:c r="F358" s="21" t="str">
        <x:v>Independent build ecosystem 16</x:v>
      </x:c>
      <x:c r="G358" s="21" t="n">
        <x:v>28</x:v>
      </x:c>
      <x:c r="H358" s="46" t="n">
        <x:v>0</x:v>
      </x:c>
      <x:c r="I358" s="46" t="n">
        <x:v>0</x:v>
      </x:c>
      <x:c r="J358" s="46" t="n">
        <x:v>8</x:v>
      </x:c>
      <x:c r="K358" s="46" t="n">
        <x:v>0</x:v>
      </x:c>
      <x:c r="L358" s="21" t="str">
        <x:v>OPEN</x:v>
      </x:c>
      <x:c r="M358" s="21" t="str">
        <x:v>BLOCKED</x:v>
      </x:c>
      <x:c r="N358" s="23" t="str">
        <x:f>IF(AND(H358&lt;=G358,I358&lt;=H358,K358&lt;=J358),"PASS","FAIL")</x:f>
        <x:v>PASS</x:v>
      </x:c>
    </x:row>
    <x:row r="359">
      <x:c r="B359" s="21" t="str">
        <x:v>F30-I2-B</x:v>
      </x:c>
      <x:c r="C359" s="21" t="str">
        <x:v>F30-I2</x:v>
      </x:c>
      <x:c r="D359" s="21" t="str">
        <x:v>F30</x:v>
      </x:c>
      <x:c r="E359" s="21" t="str">
        <x:v>BUILD B</x:v>
      </x:c>
      <x:c r="F359" s="21" t="str">
        <x:v>Independent build ecosystem 02</x:v>
      </x:c>
      <x:c r="G359" s="21" t="n">
        <x:v>28</x:v>
      </x:c>
      <x:c r="H359" s="46" t="n">
        <x:v>0</x:v>
      </x:c>
      <x:c r="I359" s="46" t="n">
        <x:v>0</x:v>
      </x:c>
      <x:c r="J359" s="46" t="n">
        <x:v>8</x:v>
      </x:c>
      <x:c r="K359" s="46" t="n">
        <x:v>0</x:v>
      </x:c>
      <x:c r="L359" s="21" t="str">
        <x:v>OPEN</x:v>
      </x:c>
      <x:c r="M359" s="21" t="str">
        <x:v>BLOCKED</x:v>
      </x:c>
      <x:c r="N359" s="23" t="str">
        <x:f>IF(AND(H359&lt;=G359,I359&lt;=H359,K359&lt;=J359),"PASS","FAIL")</x:f>
        <x:v>PASS</x:v>
      </x:c>
    </x:row>
    <x:row r="360">
      <x:c r="B360" s="21" t="str">
        <x:v>F30-I2-C</x:v>
      </x:c>
      <x:c r="C360" s="21" t="str">
        <x:v>F30-I2</x:v>
      </x:c>
      <x:c r="D360" s="21" t="str">
        <x:v>F30</x:v>
      </x:c>
      <x:c r="E360" s="21" t="str">
        <x:v>CHALLENGE</x:v>
      </x:c>
      <x:c r="F360" s="21" t="str">
        <x:v>Sovereign challenge cell TIO-06</x:v>
      </x:c>
      <x:c r="G360" s="21" t="n">
        <x:v>28</x:v>
      </x:c>
      <x:c r="H360" s="46" t="n">
        <x:v>0</x:v>
      </x:c>
      <x:c r="I360" s="46" t="n">
        <x:v>0</x:v>
      </x:c>
      <x:c r="J360" s="46" t="n">
        <x:v>8</x:v>
      </x:c>
      <x:c r="K360" s="46" t="n">
        <x:v>0</x:v>
      </x:c>
      <x:c r="L360" s="21" t="str">
        <x:v>OPEN</x:v>
      </x:c>
      <x:c r="M360" s="21" t="str">
        <x:v>BLOCKED</x:v>
      </x:c>
      <x:c r="N360" s="23" t="str">
        <x:f>IF(AND(H360&lt;=G360,I360&lt;=H360,K360&lt;=J360),"PASS","FAIL")</x:f>
        <x:v>PASS</x:v>
      </x:c>
    </x:row>
    <x:row r="361">
      <x:c r="B361" s="21" t="str">
        <x:v>F30-I3-A</x:v>
      </x:c>
      <x:c r="C361" s="21" t="str">
        <x:v>F30-I3</x:v>
      </x:c>
      <x:c r="D361" s="21" t="str">
        <x:v>F30</x:v>
      </x:c>
      <x:c r="E361" s="21" t="str">
        <x:v>BUILD A</x:v>
      </x:c>
      <x:c r="F361" s="21" t="str">
        <x:v>Independent build ecosystem 03</x:v>
      </x:c>
      <x:c r="G361" s="21" t="n">
        <x:v>28</x:v>
      </x:c>
      <x:c r="H361" s="46" t="n">
        <x:v>0</x:v>
      </x:c>
      <x:c r="I361" s="46" t="n">
        <x:v>0</x:v>
      </x:c>
      <x:c r="J361" s="46" t="n">
        <x:v>8</x:v>
      </x:c>
      <x:c r="K361" s="46" t="n">
        <x:v>0</x:v>
      </x:c>
      <x:c r="L361" s="21" t="str">
        <x:v>OPEN</x:v>
      </x:c>
      <x:c r="M361" s="21" t="str">
        <x:v>BLOCKED</x:v>
      </x:c>
      <x:c r="N361" s="23" t="str">
        <x:f>IF(AND(H361&lt;=G361,I361&lt;=H361,K361&lt;=J361),"PASS","FAIL")</x:f>
        <x:v>PASS</x:v>
      </x:c>
    </x:row>
    <x:row r="362">
      <x:c r="B362" s="21" t="str">
        <x:v>F30-I3-B</x:v>
      </x:c>
      <x:c r="C362" s="21" t="str">
        <x:v>F30-I3</x:v>
      </x:c>
      <x:c r="D362" s="21" t="str">
        <x:v>F30</x:v>
      </x:c>
      <x:c r="E362" s="21" t="str">
        <x:v>BUILD B</x:v>
      </x:c>
      <x:c r="F362" s="21" t="str">
        <x:v>Independent build ecosystem 05</x:v>
      </x:c>
      <x:c r="G362" s="21" t="n">
        <x:v>28</x:v>
      </x:c>
      <x:c r="H362" s="46" t="n">
        <x:v>0</x:v>
      </x:c>
      <x:c r="I362" s="46" t="n">
        <x:v>0</x:v>
      </x:c>
      <x:c r="J362" s="46" t="n">
        <x:v>8</x:v>
      </x:c>
      <x:c r="K362" s="46" t="n">
        <x:v>0</x:v>
      </x:c>
      <x:c r="L362" s="21" t="str">
        <x:v>OPEN</x:v>
      </x:c>
      <x:c r="M362" s="21" t="str">
        <x:v>BLOCKED</x:v>
      </x:c>
      <x:c r="N362" s="23" t="str">
        <x:f>IF(AND(H362&lt;=G362,I362&lt;=H362,K362&lt;=J362),"PASS","FAIL")</x:f>
        <x:v>PASS</x:v>
      </x:c>
    </x:row>
    <x:row r="363">
      <x:c r="B363" s="21" t="str">
        <x:v>F30-I3-C</x:v>
      </x:c>
      <x:c r="C363" s="21" t="str">
        <x:v>F30-I3</x:v>
      </x:c>
      <x:c r="D363" s="21" t="str">
        <x:v>F30</x:v>
      </x:c>
      <x:c r="E363" s="21" t="str">
        <x:v>CHALLENGE</x:v>
      </x:c>
      <x:c r="F363" s="21" t="str">
        <x:v>Sovereign challenge cell TIO-07</x:v>
      </x:c>
      <x:c r="G363" s="21" t="n">
        <x:v>28</x:v>
      </x:c>
      <x:c r="H363" s="46" t="n">
        <x:v>0</x:v>
      </x:c>
      <x:c r="I363" s="46" t="n">
        <x:v>0</x:v>
      </x:c>
      <x:c r="J363" s="46" t="n">
        <x:v>8</x:v>
      </x:c>
      <x:c r="K363" s="46" t="n">
        <x:v>0</x:v>
      </x:c>
      <x:c r="L363" s="21" t="str">
        <x:v>OPEN</x:v>
      </x:c>
      <x:c r="M363" s="21" t="str">
        <x:v>BLOCKED</x:v>
      </x:c>
      <x:c r="N363" s="23" t="str">
        <x:f>IF(AND(H363&lt;=G363,I363&lt;=H363,K363&lt;=J363),"PASS","FAIL")</x:f>
        <x:v>PASS</x:v>
      </x:c>
    </x:row>
    <x:row r="364">
      <x:c r="B364" s="21" t="str">
        <x:v>F30-I4-A</x:v>
      </x:c>
      <x:c r="C364" s="21" t="str">
        <x:v>F30-I4</x:v>
      </x:c>
      <x:c r="D364" s="21" t="str">
        <x:v>F30</x:v>
      </x:c>
      <x:c r="E364" s="21" t="str">
        <x:v>BUILD A</x:v>
      </x:c>
      <x:c r="F364" s="21" t="str">
        <x:v>Independent build ecosystem 06</x:v>
      </x:c>
      <x:c r="G364" s="21" t="n">
        <x:v>28</x:v>
      </x:c>
      <x:c r="H364" s="46" t="n">
        <x:v>0</x:v>
      </x:c>
      <x:c r="I364" s="46" t="n">
        <x:v>0</x:v>
      </x:c>
      <x:c r="J364" s="46" t="n">
        <x:v>8</x:v>
      </x:c>
      <x:c r="K364" s="46" t="n">
        <x:v>0</x:v>
      </x:c>
      <x:c r="L364" s="21" t="str">
        <x:v>OPEN</x:v>
      </x:c>
      <x:c r="M364" s="21" t="str">
        <x:v>BLOCKED</x:v>
      </x:c>
      <x:c r="N364" s="23" t="str">
        <x:f>IF(AND(H364&lt;=G364,I364&lt;=H364,K364&lt;=J364),"PASS","FAIL")</x:f>
        <x:v>PASS</x:v>
      </x:c>
    </x:row>
    <x:row r="365">
      <x:c r="B365" s="21" t="str">
        <x:v>F30-I4-B</x:v>
      </x:c>
      <x:c r="C365" s="21" t="str">
        <x:v>F30-I4</x:v>
      </x:c>
      <x:c r="D365" s="21" t="str">
        <x:v>F30</x:v>
      </x:c>
      <x:c r="E365" s="21" t="str">
        <x:v>BUILD B</x:v>
      </x:c>
      <x:c r="F365" s="21" t="str">
        <x:v>Independent build ecosystem 08</x:v>
      </x:c>
      <x:c r="G365" s="21" t="n">
        <x:v>28</x:v>
      </x:c>
      <x:c r="H365" s="46" t="n">
        <x:v>0</x:v>
      </x:c>
      <x:c r="I365" s="46" t="n">
        <x:v>0</x:v>
      </x:c>
      <x:c r="J365" s="46" t="n">
        <x:v>8</x:v>
      </x:c>
      <x:c r="K365" s="46" t="n">
        <x:v>0</x:v>
      </x:c>
      <x:c r="L365" s="21" t="str">
        <x:v>OPEN</x:v>
      </x:c>
      <x:c r="M365" s="21" t="str">
        <x:v>BLOCKED</x:v>
      </x:c>
      <x:c r="N365" s="23" t="str">
        <x:f>IF(AND(H365&lt;=G365,I365&lt;=H365,K365&lt;=J365),"PASS","FAIL")</x:f>
        <x:v>PASS</x:v>
      </x:c>
    </x:row>
    <x:row r="366">
      <x:c r="B366" s="21" t="str">
        <x:v>F30-I4-C</x:v>
      </x:c>
      <x:c r="C366" s="21" t="str">
        <x:v>F30-I4</x:v>
      </x:c>
      <x:c r="D366" s="21" t="str">
        <x:v>F30</x:v>
      </x:c>
      <x:c r="E366" s="21" t="str">
        <x:v>CHALLENGE</x:v>
      </x:c>
      <x:c r="F366" s="21" t="str">
        <x:v>Sovereign challenge cell TIO-08</x:v>
      </x:c>
      <x:c r="G366" s="21" t="n">
        <x:v>28</x:v>
      </x:c>
      <x:c r="H366" s="46" t="n">
        <x:v>0</x:v>
      </x:c>
      <x:c r="I366" s="46" t="n">
        <x:v>0</x:v>
      </x:c>
      <x:c r="J366" s="46" t="n">
        <x:v>8</x:v>
      </x:c>
      <x:c r="K366" s="46" t="n">
        <x:v>0</x:v>
      </x:c>
      <x:c r="L366" s="21" t="str">
        <x:v>OPEN</x:v>
      </x:c>
      <x:c r="M366" s="21" t="str">
        <x:v>BLOCKED</x:v>
      </x:c>
      <x:c r="N366" s="23" t="str">
        <x:f>IF(AND(H366&lt;=G366,I366&lt;=H366,K366&lt;=J366),"PASS","FAIL")</x:f>
        <x:v>PASS</x:v>
      </x:c>
    </x:row>
    <x:row r="367">
      <x:c r="B367" s="21" t="str">
        <x:v>F31-I1-A</x:v>
      </x:c>
      <x:c r="C367" s="21" t="str">
        <x:v>F31-I1</x:v>
      </x:c>
      <x:c r="D367" s="21" t="str">
        <x:v>F31</x:v>
      </x:c>
      <x:c r="E367" s="21" t="str">
        <x:v>BUILD A</x:v>
      </x:c>
      <x:c r="F367" s="21" t="str">
        <x:v>Independent build ecosystem 09</x:v>
      </x:c>
      <x:c r="G367" s="21" t="n">
        <x:v>28</x:v>
      </x:c>
      <x:c r="H367" s="46" t="n">
        <x:v>0</x:v>
      </x:c>
      <x:c r="I367" s="46" t="n">
        <x:v>0</x:v>
      </x:c>
      <x:c r="J367" s="46" t="n">
        <x:v>8</x:v>
      </x:c>
      <x:c r="K367" s="46" t="n">
        <x:v>0</x:v>
      </x:c>
      <x:c r="L367" s="21" t="str">
        <x:v>OPEN</x:v>
      </x:c>
      <x:c r="M367" s="21" t="str">
        <x:v>BLOCKED</x:v>
      </x:c>
      <x:c r="N367" s="23" t="str">
        <x:f>IF(AND(H367&lt;=G367,I367&lt;=H367,K367&lt;=J367),"PASS","FAIL")</x:f>
        <x:v>PASS</x:v>
      </x:c>
    </x:row>
    <x:row r="368">
      <x:c r="B368" s="21" t="str">
        <x:v>F31-I1-B</x:v>
      </x:c>
      <x:c r="C368" s="21" t="str">
        <x:v>F31-I1</x:v>
      </x:c>
      <x:c r="D368" s="21" t="str">
        <x:v>F31</x:v>
      </x:c>
      <x:c r="E368" s="21" t="str">
        <x:v>BUILD B</x:v>
      </x:c>
      <x:c r="F368" s="21" t="str">
        <x:v>Independent build ecosystem 11</x:v>
      </x:c>
      <x:c r="G368" s="21" t="n">
        <x:v>28</x:v>
      </x:c>
      <x:c r="H368" s="46" t="n">
        <x:v>0</x:v>
      </x:c>
      <x:c r="I368" s="46" t="n">
        <x:v>0</x:v>
      </x:c>
      <x:c r="J368" s="46" t="n">
        <x:v>8</x:v>
      </x:c>
      <x:c r="K368" s="46" t="n">
        <x:v>0</x:v>
      </x:c>
      <x:c r="L368" s="21" t="str">
        <x:v>OPEN</x:v>
      </x:c>
      <x:c r="M368" s="21" t="str">
        <x:v>BLOCKED</x:v>
      </x:c>
      <x:c r="N368" s="23" t="str">
        <x:f>IF(AND(H368&lt;=G368,I368&lt;=H368,K368&lt;=J368),"PASS","FAIL")</x:f>
        <x:v>PASS</x:v>
      </x:c>
    </x:row>
    <x:row r="369">
      <x:c r="B369" s="21" t="str">
        <x:v>F31-I1-C</x:v>
      </x:c>
      <x:c r="C369" s="21" t="str">
        <x:v>F31-I1</x:v>
      </x:c>
      <x:c r="D369" s="21" t="str">
        <x:v>F31</x:v>
      </x:c>
      <x:c r="E369" s="21" t="str">
        <x:v>CHALLENGE</x:v>
      </x:c>
      <x:c r="F369" s="21" t="str">
        <x:v>Sovereign challenge cell TIO-09</x:v>
      </x:c>
      <x:c r="G369" s="21" t="n">
        <x:v>28</x:v>
      </x:c>
      <x:c r="H369" s="46" t="n">
        <x:v>0</x:v>
      </x:c>
      <x:c r="I369" s="46" t="n">
        <x:v>0</x:v>
      </x:c>
      <x:c r="J369" s="46" t="n">
        <x:v>8</x:v>
      </x:c>
      <x:c r="K369" s="46" t="n">
        <x:v>0</x:v>
      </x:c>
      <x:c r="L369" s="21" t="str">
        <x:v>OPEN</x:v>
      </x:c>
      <x:c r="M369" s="21" t="str">
        <x:v>BLOCKED</x:v>
      </x:c>
      <x:c r="N369" s="23" t="str">
        <x:f>IF(AND(H369&lt;=G369,I369&lt;=H369,K369&lt;=J369),"PASS","FAIL")</x:f>
        <x:v>PASS</x:v>
      </x:c>
    </x:row>
    <x:row r="370">
      <x:c r="B370" s="21" t="str">
        <x:v>F31-I2-A</x:v>
      </x:c>
      <x:c r="C370" s="21" t="str">
        <x:v>F31-I2</x:v>
      </x:c>
      <x:c r="D370" s="21" t="str">
        <x:v>F31</x:v>
      </x:c>
      <x:c r="E370" s="21" t="str">
        <x:v>BUILD A</x:v>
      </x:c>
      <x:c r="F370" s="21" t="str">
        <x:v>Independent build ecosystem 12</x:v>
      </x:c>
      <x:c r="G370" s="21" t="n">
        <x:v>28</x:v>
      </x:c>
      <x:c r="H370" s="46" t="n">
        <x:v>0</x:v>
      </x:c>
      <x:c r="I370" s="46" t="n">
        <x:v>0</x:v>
      </x:c>
      <x:c r="J370" s="46" t="n">
        <x:v>8</x:v>
      </x:c>
      <x:c r="K370" s="46" t="n">
        <x:v>0</x:v>
      </x:c>
      <x:c r="L370" s="21" t="str">
        <x:v>OPEN</x:v>
      </x:c>
      <x:c r="M370" s="21" t="str">
        <x:v>BLOCKED</x:v>
      </x:c>
      <x:c r="N370" s="23" t="str">
        <x:f>IF(AND(H370&lt;=G370,I370&lt;=H370,K370&lt;=J370),"PASS","FAIL")</x:f>
        <x:v>PASS</x:v>
      </x:c>
    </x:row>
    <x:row r="371">
      <x:c r="B371" s="21" t="str">
        <x:v>F31-I2-B</x:v>
      </x:c>
      <x:c r="C371" s="21" t="str">
        <x:v>F31-I2</x:v>
      </x:c>
      <x:c r="D371" s="21" t="str">
        <x:v>F31</x:v>
      </x:c>
      <x:c r="E371" s="21" t="str">
        <x:v>BUILD B</x:v>
      </x:c>
      <x:c r="F371" s="21" t="str">
        <x:v>Independent build ecosystem 14</x:v>
      </x:c>
      <x:c r="G371" s="21" t="n">
        <x:v>28</x:v>
      </x:c>
      <x:c r="H371" s="46" t="n">
        <x:v>0</x:v>
      </x:c>
      <x:c r="I371" s="46" t="n">
        <x:v>0</x:v>
      </x:c>
      <x:c r="J371" s="46" t="n">
        <x:v>8</x:v>
      </x:c>
      <x:c r="K371" s="46" t="n">
        <x:v>0</x:v>
      </x:c>
      <x:c r="L371" s="21" t="str">
        <x:v>OPEN</x:v>
      </x:c>
      <x:c r="M371" s="21" t="str">
        <x:v>BLOCKED</x:v>
      </x:c>
      <x:c r="N371" s="23" t="str">
        <x:f>IF(AND(H371&lt;=G371,I371&lt;=H371,K371&lt;=J371),"PASS","FAIL")</x:f>
        <x:v>PASS</x:v>
      </x:c>
    </x:row>
    <x:row r="372">
      <x:c r="B372" s="21" t="str">
        <x:v>F31-I2-C</x:v>
      </x:c>
      <x:c r="C372" s="21" t="str">
        <x:v>F31-I2</x:v>
      </x:c>
      <x:c r="D372" s="21" t="str">
        <x:v>F31</x:v>
      </x:c>
      <x:c r="E372" s="21" t="str">
        <x:v>CHALLENGE</x:v>
      </x:c>
      <x:c r="F372" s="21" t="str">
        <x:v>Sovereign challenge cell TIO-10</x:v>
      </x:c>
      <x:c r="G372" s="21" t="n">
        <x:v>28</x:v>
      </x:c>
      <x:c r="H372" s="46" t="n">
        <x:v>0</x:v>
      </x:c>
      <x:c r="I372" s="46" t="n">
        <x:v>0</x:v>
      </x:c>
      <x:c r="J372" s="46" t="n">
        <x:v>8</x:v>
      </x:c>
      <x:c r="K372" s="46" t="n">
        <x:v>0</x:v>
      </x:c>
      <x:c r="L372" s="21" t="str">
        <x:v>OPEN</x:v>
      </x:c>
      <x:c r="M372" s="21" t="str">
        <x:v>BLOCKED</x:v>
      </x:c>
      <x:c r="N372" s="23" t="str">
        <x:f>IF(AND(H372&lt;=G372,I372&lt;=H372,K372&lt;=J372),"PASS","FAIL")</x:f>
        <x:v>PASS</x:v>
      </x:c>
    </x:row>
    <x:row r="373">
      <x:c r="B373" s="21" t="str">
        <x:v>F31-I3-A</x:v>
      </x:c>
      <x:c r="C373" s="21" t="str">
        <x:v>F31-I3</x:v>
      </x:c>
      <x:c r="D373" s="21" t="str">
        <x:v>F31</x:v>
      </x:c>
      <x:c r="E373" s="21" t="str">
        <x:v>BUILD A</x:v>
      </x:c>
      <x:c r="F373" s="21" t="str">
        <x:v>Independent build ecosystem 15</x:v>
      </x:c>
      <x:c r="G373" s="21" t="n">
        <x:v>28</x:v>
      </x:c>
      <x:c r="H373" s="46" t="n">
        <x:v>0</x:v>
      </x:c>
      <x:c r="I373" s="46" t="n">
        <x:v>0</x:v>
      </x:c>
      <x:c r="J373" s="46" t="n">
        <x:v>8</x:v>
      </x:c>
      <x:c r="K373" s="46" t="n">
        <x:v>0</x:v>
      </x:c>
      <x:c r="L373" s="21" t="str">
        <x:v>OPEN</x:v>
      </x:c>
      <x:c r="M373" s="21" t="str">
        <x:v>BLOCKED</x:v>
      </x:c>
      <x:c r="N373" s="23" t="str">
        <x:f>IF(AND(H373&lt;=G373,I373&lt;=H373,K373&lt;=J373),"PASS","FAIL")</x:f>
        <x:v>PASS</x:v>
      </x:c>
    </x:row>
    <x:row r="374">
      <x:c r="B374" s="21" t="str">
        <x:v>F31-I3-B</x:v>
      </x:c>
      <x:c r="C374" s="21" t="str">
        <x:v>F31-I3</x:v>
      </x:c>
      <x:c r="D374" s="21" t="str">
        <x:v>F31</x:v>
      </x:c>
      <x:c r="E374" s="21" t="str">
        <x:v>BUILD B</x:v>
      </x:c>
      <x:c r="F374" s="21" t="str">
        <x:v>Independent build ecosystem 01</x:v>
      </x:c>
      <x:c r="G374" s="21" t="n">
        <x:v>28</x:v>
      </x:c>
      <x:c r="H374" s="46" t="n">
        <x:v>0</x:v>
      </x:c>
      <x:c r="I374" s="46" t="n">
        <x:v>0</x:v>
      </x:c>
      <x:c r="J374" s="46" t="n">
        <x:v>8</x:v>
      </x:c>
      <x:c r="K374" s="46" t="n">
        <x:v>0</x:v>
      </x:c>
      <x:c r="L374" s="21" t="str">
        <x:v>OPEN</x:v>
      </x:c>
      <x:c r="M374" s="21" t="str">
        <x:v>BLOCKED</x:v>
      </x:c>
      <x:c r="N374" s="23" t="str">
        <x:f>IF(AND(H374&lt;=G374,I374&lt;=H374,K374&lt;=J374),"PASS","FAIL")</x:f>
        <x:v>PASS</x:v>
      </x:c>
    </x:row>
    <x:row r="375">
      <x:c r="B375" s="21" t="str">
        <x:v>F31-I3-C</x:v>
      </x:c>
      <x:c r="C375" s="21" t="str">
        <x:v>F31-I3</x:v>
      </x:c>
      <x:c r="D375" s="21" t="str">
        <x:v>F31</x:v>
      </x:c>
      <x:c r="E375" s="21" t="str">
        <x:v>CHALLENGE</x:v>
      </x:c>
      <x:c r="F375" s="21" t="str">
        <x:v>Sovereign challenge cell TIO-11</x:v>
      </x:c>
      <x:c r="G375" s="21" t="n">
        <x:v>28</x:v>
      </x:c>
      <x:c r="H375" s="46" t="n">
        <x:v>0</x:v>
      </x:c>
      <x:c r="I375" s="46" t="n">
        <x:v>0</x:v>
      </x:c>
      <x:c r="J375" s="46" t="n">
        <x:v>8</x:v>
      </x:c>
      <x:c r="K375" s="46" t="n">
        <x:v>0</x:v>
      </x:c>
      <x:c r="L375" s="21" t="str">
        <x:v>OPEN</x:v>
      </x:c>
      <x:c r="M375" s="21" t="str">
        <x:v>BLOCKED</x:v>
      </x:c>
      <x:c r="N375" s="23" t="str">
        <x:f>IF(AND(H375&lt;=G375,I375&lt;=H375,K375&lt;=J375),"PASS","FAIL")</x:f>
        <x:v>PASS</x:v>
      </x:c>
    </x:row>
    <x:row r="376">
      <x:c r="B376" s="21" t="str">
        <x:v>F31-I4-A</x:v>
      </x:c>
      <x:c r="C376" s="21" t="str">
        <x:v>F31-I4</x:v>
      </x:c>
      <x:c r="D376" s="21" t="str">
        <x:v>F31</x:v>
      </x:c>
      <x:c r="E376" s="21" t="str">
        <x:v>BUILD A</x:v>
      </x:c>
      <x:c r="F376" s="21" t="str">
        <x:v>Independent build ecosystem 02</x:v>
      </x:c>
      <x:c r="G376" s="21" t="n">
        <x:v>28</x:v>
      </x:c>
      <x:c r="H376" s="46" t="n">
        <x:v>0</x:v>
      </x:c>
      <x:c r="I376" s="46" t="n">
        <x:v>0</x:v>
      </x:c>
      <x:c r="J376" s="46" t="n">
        <x:v>8</x:v>
      </x:c>
      <x:c r="K376" s="46" t="n">
        <x:v>0</x:v>
      </x:c>
      <x:c r="L376" s="21" t="str">
        <x:v>OPEN</x:v>
      </x:c>
      <x:c r="M376" s="21" t="str">
        <x:v>BLOCKED</x:v>
      </x:c>
      <x:c r="N376" s="23" t="str">
        <x:f>IF(AND(H376&lt;=G376,I376&lt;=H376,K376&lt;=J376),"PASS","FAIL")</x:f>
        <x:v>PASS</x:v>
      </x:c>
    </x:row>
    <x:row r="377">
      <x:c r="B377" s="21" t="str">
        <x:v>F31-I4-B</x:v>
      </x:c>
      <x:c r="C377" s="21" t="str">
        <x:v>F31-I4</x:v>
      </x:c>
      <x:c r="D377" s="21" t="str">
        <x:v>F31</x:v>
      </x:c>
      <x:c r="E377" s="21" t="str">
        <x:v>BUILD B</x:v>
      </x:c>
      <x:c r="F377" s="21" t="str">
        <x:v>Independent build ecosystem 04</x:v>
      </x:c>
      <x:c r="G377" s="21" t="n">
        <x:v>28</x:v>
      </x:c>
      <x:c r="H377" s="46" t="n">
        <x:v>0</x:v>
      </x:c>
      <x:c r="I377" s="46" t="n">
        <x:v>0</x:v>
      </x:c>
      <x:c r="J377" s="46" t="n">
        <x:v>8</x:v>
      </x:c>
      <x:c r="K377" s="46" t="n">
        <x:v>0</x:v>
      </x:c>
      <x:c r="L377" s="21" t="str">
        <x:v>OPEN</x:v>
      </x:c>
      <x:c r="M377" s="21" t="str">
        <x:v>BLOCKED</x:v>
      </x:c>
      <x:c r="N377" s="23" t="str">
        <x:f>IF(AND(H377&lt;=G377,I377&lt;=H377,K377&lt;=J377),"PASS","FAIL")</x:f>
        <x:v>PASS</x:v>
      </x:c>
    </x:row>
    <x:row r="378">
      <x:c r="B378" s="21" t="str">
        <x:v>F31-I4-C</x:v>
      </x:c>
      <x:c r="C378" s="21" t="str">
        <x:v>F31-I4</x:v>
      </x:c>
      <x:c r="D378" s="21" t="str">
        <x:v>F31</x:v>
      </x:c>
      <x:c r="E378" s="21" t="str">
        <x:v>CHALLENGE</x:v>
      </x:c>
      <x:c r="F378" s="21" t="str">
        <x:v>Sovereign challenge cell TIO-12</x:v>
      </x:c>
      <x:c r="G378" s="21" t="n">
        <x:v>28</x:v>
      </x:c>
      <x:c r="H378" s="46" t="n">
        <x:v>0</x:v>
      </x:c>
      <x:c r="I378" s="46" t="n">
        <x:v>0</x:v>
      </x:c>
      <x:c r="J378" s="46" t="n">
        <x:v>8</x:v>
      </x:c>
      <x:c r="K378" s="46" t="n">
        <x:v>0</x:v>
      </x:c>
      <x:c r="L378" s="21" t="str">
        <x:v>OPEN</x:v>
      </x:c>
      <x:c r="M378" s="21" t="str">
        <x:v>BLOCKED</x:v>
      </x:c>
      <x:c r="N378" s="23" t="str">
        <x:f>IF(AND(H378&lt;=G378,I378&lt;=H378,K378&lt;=J378),"PASS","FAIL")</x:f>
        <x:v>PASS</x:v>
      </x:c>
    </x:row>
    <x:row r="379">
      <x:c r="B379" s="21" t="str">
        <x:v>F32-I1-A</x:v>
      </x:c>
      <x:c r="C379" s="21" t="str">
        <x:v>F32-I1</x:v>
      </x:c>
      <x:c r="D379" s="21" t="str">
        <x:v>F32</x:v>
      </x:c>
      <x:c r="E379" s="21" t="str">
        <x:v>BUILD A</x:v>
      </x:c>
      <x:c r="F379" s="21" t="str">
        <x:v>Independent build ecosystem 05</x:v>
      </x:c>
      <x:c r="G379" s="21" t="n">
        <x:v>28</x:v>
      </x:c>
      <x:c r="H379" s="46" t="n">
        <x:v>0</x:v>
      </x:c>
      <x:c r="I379" s="46" t="n">
        <x:v>0</x:v>
      </x:c>
      <x:c r="J379" s="46" t="n">
        <x:v>8</x:v>
      </x:c>
      <x:c r="K379" s="46" t="n">
        <x:v>0</x:v>
      </x:c>
      <x:c r="L379" s="21" t="str">
        <x:v>OPEN</x:v>
      </x:c>
      <x:c r="M379" s="21" t="str">
        <x:v>BLOCKED</x:v>
      </x:c>
      <x:c r="N379" s="23" t="str">
        <x:f>IF(AND(H379&lt;=G379,I379&lt;=H379,K379&lt;=J379),"PASS","FAIL")</x:f>
        <x:v>PASS</x:v>
      </x:c>
    </x:row>
    <x:row r="380">
      <x:c r="B380" s="21" t="str">
        <x:v>F32-I1-B</x:v>
      </x:c>
      <x:c r="C380" s="21" t="str">
        <x:v>F32-I1</x:v>
      </x:c>
      <x:c r="D380" s="21" t="str">
        <x:v>F32</x:v>
      </x:c>
      <x:c r="E380" s="21" t="str">
        <x:v>BUILD B</x:v>
      </x:c>
      <x:c r="F380" s="21" t="str">
        <x:v>Independent build ecosystem 07</x:v>
      </x:c>
      <x:c r="G380" s="21" t="n">
        <x:v>28</x:v>
      </x:c>
      <x:c r="H380" s="46" t="n">
        <x:v>0</x:v>
      </x:c>
      <x:c r="I380" s="46" t="n">
        <x:v>0</x:v>
      </x:c>
      <x:c r="J380" s="46" t="n">
        <x:v>8</x:v>
      </x:c>
      <x:c r="K380" s="46" t="n">
        <x:v>0</x:v>
      </x:c>
      <x:c r="L380" s="21" t="str">
        <x:v>OPEN</x:v>
      </x:c>
      <x:c r="M380" s="21" t="str">
        <x:v>BLOCKED</x:v>
      </x:c>
      <x:c r="N380" s="23" t="str">
        <x:f>IF(AND(H380&lt;=G380,I380&lt;=H380,K380&lt;=J380),"PASS","FAIL")</x:f>
        <x:v>PASS</x:v>
      </x:c>
    </x:row>
    <x:row r="381">
      <x:c r="B381" s="21" t="str">
        <x:v>F32-I1-C</x:v>
      </x:c>
      <x:c r="C381" s="21" t="str">
        <x:v>F32-I1</x:v>
      </x:c>
      <x:c r="D381" s="21" t="str">
        <x:v>F32</x:v>
      </x:c>
      <x:c r="E381" s="21" t="str">
        <x:v>CHALLENGE</x:v>
      </x:c>
      <x:c r="F381" s="21" t="str">
        <x:v>Sovereign challenge cell TIO-13</x:v>
      </x:c>
      <x:c r="G381" s="21" t="n">
        <x:v>28</x:v>
      </x:c>
      <x:c r="H381" s="46" t="n">
        <x:v>0</x:v>
      </x:c>
      <x:c r="I381" s="46" t="n">
        <x:v>0</x:v>
      </x:c>
      <x:c r="J381" s="46" t="n">
        <x:v>8</x:v>
      </x:c>
      <x:c r="K381" s="46" t="n">
        <x:v>0</x:v>
      </x:c>
      <x:c r="L381" s="21" t="str">
        <x:v>OPEN</x:v>
      </x:c>
      <x:c r="M381" s="21" t="str">
        <x:v>BLOCKED</x:v>
      </x:c>
      <x:c r="N381" s="23" t="str">
        <x:f>IF(AND(H381&lt;=G381,I381&lt;=H381,K381&lt;=J381),"PASS","FAIL")</x:f>
        <x:v>PASS</x:v>
      </x:c>
    </x:row>
    <x:row r="382">
      <x:c r="B382" s="21" t="str">
        <x:v>F32-I2-A</x:v>
      </x:c>
      <x:c r="C382" s="21" t="str">
        <x:v>F32-I2</x:v>
      </x:c>
      <x:c r="D382" s="21" t="str">
        <x:v>F32</x:v>
      </x:c>
      <x:c r="E382" s="21" t="str">
        <x:v>BUILD A</x:v>
      </x:c>
      <x:c r="F382" s="21" t="str">
        <x:v>Independent build ecosystem 08</x:v>
      </x:c>
      <x:c r="G382" s="21" t="n">
        <x:v>28</x:v>
      </x:c>
      <x:c r="H382" s="46" t="n">
        <x:v>0</x:v>
      </x:c>
      <x:c r="I382" s="46" t="n">
        <x:v>0</x:v>
      </x:c>
      <x:c r="J382" s="46" t="n">
        <x:v>8</x:v>
      </x:c>
      <x:c r="K382" s="46" t="n">
        <x:v>0</x:v>
      </x:c>
      <x:c r="L382" s="21" t="str">
        <x:v>OPEN</x:v>
      </x:c>
      <x:c r="M382" s="21" t="str">
        <x:v>BLOCKED</x:v>
      </x:c>
      <x:c r="N382" s="23" t="str">
        <x:f>IF(AND(H382&lt;=G382,I382&lt;=H382,K382&lt;=J382),"PASS","FAIL")</x:f>
        <x:v>PASS</x:v>
      </x:c>
    </x:row>
    <x:row r="383">
      <x:c r="B383" s="21" t="str">
        <x:v>F32-I2-B</x:v>
      </x:c>
      <x:c r="C383" s="21" t="str">
        <x:v>F32-I2</x:v>
      </x:c>
      <x:c r="D383" s="21" t="str">
        <x:v>F32</x:v>
      </x:c>
      <x:c r="E383" s="21" t="str">
        <x:v>BUILD B</x:v>
      </x:c>
      <x:c r="F383" s="21" t="str">
        <x:v>Independent build ecosystem 10</x:v>
      </x:c>
      <x:c r="G383" s="21" t="n">
        <x:v>28</x:v>
      </x:c>
      <x:c r="H383" s="46" t="n">
        <x:v>0</x:v>
      </x:c>
      <x:c r="I383" s="46" t="n">
        <x:v>0</x:v>
      </x:c>
      <x:c r="J383" s="46" t="n">
        <x:v>8</x:v>
      </x:c>
      <x:c r="K383" s="46" t="n">
        <x:v>0</x:v>
      </x:c>
      <x:c r="L383" s="21" t="str">
        <x:v>OPEN</x:v>
      </x:c>
      <x:c r="M383" s="21" t="str">
        <x:v>BLOCKED</x:v>
      </x:c>
      <x:c r="N383" s="23" t="str">
        <x:f>IF(AND(H383&lt;=G383,I383&lt;=H383,K383&lt;=J383),"PASS","FAIL")</x:f>
        <x:v>PASS</x:v>
      </x:c>
    </x:row>
    <x:row r="384">
      <x:c r="B384" s="21" t="str">
        <x:v>F32-I2-C</x:v>
      </x:c>
      <x:c r="C384" s="21" t="str">
        <x:v>F32-I2</x:v>
      </x:c>
      <x:c r="D384" s="21" t="str">
        <x:v>F32</x:v>
      </x:c>
      <x:c r="E384" s="21" t="str">
        <x:v>CHALLENGE</x:v>
      </x:c>
      <x:c r="F384" s="21" t="str">
        <x:v>Sovereign challenge cell TIO-14</x:v>
      </x:c>
      <x:c r="G384" s="21" t="n">
        <x:v>28</x:v>
      </x:c>
      <x:c r="H384" s="46" t="n">
        <x:v>0</x:v>
      </x:c>
      <x:c r="I384" s="46" t="n">
        <x:v>0</x:v>
      </x:c>
      <x:c r="J384" s="46" t="n">
        <x:v>8</x:v>
      </x:c>
      <x:c r="K384" s="46" t="n">
        <x:v>0</x:v>
      </x:c>
      <x:c r="L384" s="21" t="str">
        <x:v>OPEN</x:v>
      </x:c>
      <x:c r="M384" s="21" t="str">
        <x:v>BLOCKED</x:v>
      </x:c>
      <x:c r="N384" s="23" t="str">
        <x:f>IF(AND(H384&lt;=G384,I384&lt;=H384,K384&lt;=J384),"PASS","FAIL")</x:f>
        <x:v>PASS</x:v>
      </x:c>
    </x:row>
    <x:row r="385">
      <x:c r="B385" s="21" t="str">
        <x:v>F32-I3-A</x:v>
      </x:c>
      <x:c r="C385" s="21" t="str">
        <x:v>F32-I3</x:v>
      </x:c>
      <x:c r="D385" s="21" t="str">
        <x:v>F32</x:v>
      </x:c>
      <x:c r="E385" s="21" t="str">
        <x:v>BUILD A</x:v>
      </x:c>
      <x:c r="F385" s="21" t="str">
        <x:v>Independent build ecosystem 11</x:v>
      </x:c>
      <x:c r="G385" s="21" t="n">
        <x:v>28</x:v>
      </x:c>
      <x:c r="H385" s="46" t="n">
        <x:v>0</x:v>
      </x:c>
      <x:c r="I385" s="46" t="n">
        <x:v>0</x:v>
      </x:c>
      <x:c r="J385" s="46" t="n">
        <x:v>8</x:v>
      </x:c>
      <x:c r="K385" s="46" t="n">
        <x:v>0</x:v>
      </x:c>
      <x:c r="L385" s="21" t="str">
        <x:v>OPEN</x:v>
      </x:c>
      <x:c r="M385" s="21" t="str">
        <x:v>BLOCKED</x:v>
      </x:c>
      <x:c r="N385" s="23" t="str">
        <x:f>IF(AND(H385&lt;=G385,I385&lt;=H385,K385&lt;=J385),"PASS","FAIL")</x:f>
        <x:v>PASS</x:v>
      </x:c>
    </x:row>
    <x:row r="386">
      <x:c r="B386" s="21" t="str">
        <x:v>F32-I3-B</x:v>
      </x:c>
      <x:c r="C386" s="21" t="str">
        <x:v>F32-I3</x:v>
      </x:c>
      <x:c r="D386" s="21" t="str">
        <x:v>F32</x:v>
      </x:c>
      <x:c r="E386" s="21" t="str">
        <x:v>BUILD B</x:v>
      </x:c>
      <x:c r="F386" s="21" t="str">
        <x:v>Independent build ecosystem 13</x:v>
      </x:c>
      <x:c r="G386" s="21" t="n">
        <x:v>28</x:v>
      </x:c>
      <x:c r="H386" s="46" t="n">
        <x:v>0</x:v>
      </x:c>
      <x:c r="I386" s="46" t="n">
        <x:v>0</x:v>
      </x:c>
      <x:c r="J386" s="46" t="n">
        <x:v>8</x:v>
      </x:c>
      <x:c r="K386" s="46" t="n">
        <x:v>0</x:v>
      </x:c>
      <x:c r="L386" s="21" t="str">
        <x:v>OPEN</x:v>
      </x:c>
      <x:c r="M386" s="21" t="str">
        <x:v>BLOCKED</x:v>
      </x:c>
      <x:c r="N386" s="23" t="str">
        <x:f>IF(AND(H386&lt;=G386,I386&lt;=H386,K386&lt;=J386),"PASS","FAIL")</x:f>
        <x:v>PASS</x:v>
      </x:c>
    </x:row>
    <x:row r="387">
      <x:c r="B387" s="21" t="str">
        <x:v>F32-I3-C</x:v>
      </x:c>
      <x:c r="C387" s="21" t="str">
        <x:v>F32-I3</x:v>
      </x:c>
      <x:c r="D387" s="21" t="str">
        <x:v>F32</x:v>
      </x:c>
      <x:c r="E387" s="21" t="str">
        <x:v>CHALLENGE</x:v>
      </x:c>
      <x:c r="F387" s="21" t="str">
        <x:v>Sovereign challenge cell TIO-15</x:v>
      </x:c>
      <x:c r="G387" s="21" t="n">
        <x:v>28</x:v>
      </x:c>
      <x:c r="H387" s="46" t="n">
        <x:v>0</x:v>
      </x:c>
      <x:c r="I387" s="46" t="n">
        <x:v>0</x:v>
      </x:c>
      <x:c r="J387" s="46" t="n">
        <x:v>8</x:v>
      </x:c>
      <x:c r="K387" s="46" t="n">
        <x:v>0</x:v>
      </x:c>
      <x:c r="L387" s="21" t="str">
        <x:v>OPEN</x:v>
      </x:c>
      <x:c r="M387" s="21" t="str">
        <x:v>BLOCKED</x:v>
      </x:c>
      <x:c r="N387" s="23" t="str">
        <x:f>IF(AND(H387&lt;=G387,I387&lt;=H387,K387&lt;=J387),"PASS","FAIL")</x:f>
        <x:v>PASS</x:v>
      </x:c>
    </x:row>
    <x:row r="388">
      <x:c r="B388" s="21" t="str">
        <x:v>F32-I4-A</x:v>
      </x:c>
      <x:c r="C388" s="21" t="str">
        <x:v>F32-I4</x:v>
      </x:c>
      <x:c r="D388" s="21" t="str">
        <x:v>F32</x:v>
      </x:c>
      <x:c r="E388" s="21" t="str">
        <x:v>BUILD A</x:v>
      </x:c>
      <x:c r="F388" s="21" t="str">
        <x:v>Independent build ecosystem 14</x:v>
      </x:c>
      <x:c r="G388" s="21" t="n">
        <x:v>28</x:v>
      </x:c>
      <x:c r="H388" s="46" t="n">
        <x:v>0</x:v>
      </x:c>
      <x:c r="I388" s="46" t="n">
        <x:v>0</x:v>
      </x:c>
      <x:c r="J388" s="46" t="n">
        <x:v>8</x:v>
      </x:c>
      <x:c r="K388" s="46" t="n">
        <x:v>0</x:v>
      </x:c>
      <x:c r="L388" s="21" t="str">
        <x:v>OPEN</x:v>
      </x:c>
      <x:c r="M388" s="21" t="str">
        <x:v>BLOCKED</x:v>
      </x:c>
      <x:c r="N388" s="23" t="str">
        <x:f>IF(AND(H388&lt;=G388,I388&lt;=H388,K388&lt;=J388),"PASS","FAIL")</x:f>
        <x:v>PASS</x:v>
      </x:c>
    </x:row>
    <x:row r="389">
      <x:c r="B389" s="21" t="str">
        <x:v>F32-I4-B</x:v>
      </x:c>
      <x:c r="C389" s="21" t="str">
        <x:v>F32-I4</x:v>
      </x:c>
      <x:c r="D389" s="21" t="str">
        <x:v>F32</x:v>
      </x:c>
      <x:c r="E389" s="21" t="str">
        <x:v>BUILD B</x:v>
      </x:c>
      <x:c r="F389" s="21" t="str">
        <x:v>Independent build ecosystem 16</x:v>
      </x:c>
      <x:c r="G389" s="21" t="n">
        <x:v>28</x:v>
      </x:c>
      <x:c r="H389" s="46" t="n">
        <x:v>0</x:v>
      </x:c>
      <x:c r="I389" s="46" t="n">
        <x:v>0</x:v>
      </x:c>
      <x:c r="J389" s="46" t="n">
        <x:v>8</x:v>
      </x:c>
      <x:c r="K389" s="46" t="n">
        <x:v>0</x:v>
      </x:c>
      <x:c r="L389" s="21" t="str">
        <x:v>OPEN</x:v>
      </x:c>
      <x:c r="M389" s="21" t="str">
        <x:v>BLOCKED</x:v>
      </x:c>
      <x:c r="N389" s="23" t="str">
        <x:f>IF(AND(H389&lt;=G389,I389&lt;=H389,K389&lt;=J389),"PASS","FAIL")</x:f>
        <x:v>PASS</x:v>
      </x:c>
    </x:row>
    <x:row r="390">
      <x:c r="B390" s="21" t="str">
        <x:v>F32-I4-C</x:v>
      </x:c>
      <x:c r="C390" s="21" t="str">
        <x:v>F32-I4</x:v>
      </x:c>
      <x:c r="D390" s="21" t="str">
        <x:v>F32</x:v>
      </x:c>
      <x:c r="E390" s="21" t="str">
        <x:v>CHALLENGE</x:v>
      </x:c>
      <x:c r="F390" s="21" t="str">
        <x:v>Sovereign challenge cell TIO-16</x:v>
      </x:c>
      <x:c r="G390" s="21" t="n">
        <x:v>28</x:v>
      </x:c>
      <x:c r="H390" s="46" t="n">
        <x:v>0</x:v>
      </x:c>
      <x:c r="I390" s="46" t="n">
        <x:v>0</x:v>
      </x:c>
      <x:c r="J390" s="46" t="n">
        <x:v>8</x:v>
      </x:c>
      <x:c r="K390" s="46" t="n">
        <x:v>0</x:v>
      </x:c>
      <x:c r="L390" s="21" t="str">
        <x:v>OPEN</x:v>
      </x:c>
      <x:c r="M390" s="21" t="str">
        <x:v>BLOCKED</x:v>
      </x:c>
      <x:c r="N390" s="23" t="str">
        <x:f>IF(AND(H390&lt;=G390,I390&lt;=H390,K390&lt;=J390),"PASS","FAIL")</x:f>
        <x:v>PASS</x:v>
      </x:c>
    </x:row>
    <x:row r="391">
      <x:c r="B391" s="21" t="str">
        <x:v>F33-I1-A</x:v>
      </x:c>
      <x:c r="C391" s="21" t="str">
        <x:v>F33-I1</x:v>
      </x:c>
      <x:c r="D391" s="21" t="str">
        <x:v>F33</x:v>
      </x:c>
      <x:c r="E391" s="21" t="str">
        <x:v>BUILD A</x:v>
      </x:c>
      <x:c r="F391" s="21" t="str">
        <x:v>Independent build ecosystem 01</x:v>
      </x:c>
      <x:c r="G391" s="21" t="n">
        <x:v>28</x:v>
      </x:c>
      <x:c r="H391" s="46" t="n">
        <x:v>0</x:v>
      </x:c>
      <x:c r="I391" s="46" t="n">
        <x:v>0</x:v>
      </x:c>
      <x:c r="J391" s="46" t="n">
        <x:v>8</x:v>
      </x:c>
      <x:c r="K391" s="46" t="n">
        <x:v>0</x:v>
      </x:c>
      <x:c r="L391" s="21" t="str">
        <x:v>OPEN</x:v>
      </x:c>
      <x:c r="M391" s="21" t="str">
        <x:v>BLOCKED</x:v>
      </x:c>
      <x:c r="N391" s="23" t="str">
        <x:f>IF(AND(H391&lt;=G391,I391&lt;=H391,K391&lt;=J391),"PASS","FAIL")</x:f>
        <x:v>PASS</x:v>
      </x:c>
    </x:row>
    <x:row r="392">
      <x:c r="B392" s="21" t="str">
        <x:v>F33-I1-B</x:v>
      </x:c>
      <x:c r="C392" s="21" t="str">
        <x:v>F33-I1</x:v>
      </x:c>
      <x:c r="D392" s="21" t="str">
        <x:v>F33</x:v>
      </x:c>
      <x:c r="E392" s="21" t="str">
        <x:v>BUILD B</x:v>
      </x:c>
      <x:c r="F392" s="21" t="str">
        <x:v>Independent build ecosystem 03</x:v>
      </x:c>
      <x:c r="G392" s="21" t="n">
        <x:v>28</x:v>
      </x:c>
      <x:c r="H392" s="46" t="n">
        <x:v>0</x:v>
      </x:c>
      <x:c r="I392" s="46" t="n">
        <x:v>0</x:v>
      </x:c>
      <x:c r="J392" s="46" t="n">
        <x:v>8</x:v>
      </x:c>
      <x:c r="K392" s="46" t="n">
        <x:v>0</x:v>
      </x:c>
      <x:c r="L392" s="21" t="str">
        <x:v>OPEN</x:v>
      </x:c>
      <x:c r="M392" s="21" t="str">
        <x:v>BLOCKED</x:v>
      </x:c>
      <x:c r="N392" s="23" t="str">
        <x:f>IF(AND(H392&lt;=G392,I392&lt;=H392,K392&lt;=J392),"PASS","FAIL")</x:f>
        <x:v>PASS</x:v>
      </x:c>
    </x:row>
    <x:row r="393">
      <x:c r="B393" s="21" t="str">
        <x:v>F33-I1-C</x:v>
      </x:c>
      <x:c r="C393" s="21" t="str">
        <x:v>F33-I1</x:v>
      </x:c>
      <x:c r="D393" s="21" t="str">
        <x:v>F33</x:v>
      </x:c>
      <x:c r="E393" s="21" t="str">
        <x:v>CHALLENGE</x:v>
      </x:c>
      <x:c r="F393" s="21" t="str">
        <x:v>Sovereign challenge cell TIO-01</x:v>
      </x:c>
      <x:c r="G393" s="21" t="n">
        <x:v>28</x:v>
      </x:c>
      <x:c r="H393" s="46" t="n">
        <x:v>0</x:v>
      </x:c>
      <x:c r="I393" s="46" t="n">
        <x:v>0</x:v>
      </x:c>
      <x:c r="J393" s="46" t="n">
        <x:v>8</x:v>
      </x:c>
      <x:c r="K393" s="46" t="n">
        <x:v>0</x:v>
      </x:c>
      <x:c r="L393" s="21" t="str">
        <x:v>OPEN</x:v>
      </x:c>
      <x:c r="M393" s="21" t="str">
        <x:v>BLOCKED</x:v>
      </x:c>
      <x:c r="N393" s="23" t="str">
        <x:f>IF(AND(H393&lt;=G393,I393&lt;=H393,K393&lt;=J393),"PASS","FAIL")</x:f>
        <x:v>PASS</x:v>
      </x:c>
    </x:row>
    <x:row r="394">
      <x:c r="B394" s="21" t="str">
        <x:v>F33-I2-A</x:v>
      </x:c>
      <x:c r="C394" s="21" t="str">
        <x:v>F33-I2</x:v>
      </x:c>
      <x:c r="D394" s="21" t="str">
        <x:v>F33</x:v>
      </x:c>
      <x:c r="E394" s="21" t="str">
        <x:v>BUILD A</x:v>
      </x:c>
      <x:c r="F394" s="21" t="str">
        <x:v>Independent build ecosystem 04</x:v>
      </x:c>
      <x:c r="G394" s="21" t="n">
        <x:v>28</x:v>
      </x:c>
      <x:c r="H394" s="46" t="n">
        <x:v>0</x:v>
      </x:c>
      <x:c r="I394" s="46" t="n">
        <x:v>0</x:v>
      </x:c>
      <x:c r="J394" s="46" t="n">
        <x:v>8</x:v>
      </x:c>
      <x:c r="K394" s="46" t="n">
        <x:v>0</x:v>
      </x:c>
      <x:c r="L394" s="21" t="str">
        <x:v>OPEN</x:v>
      </x:c>
      <x:c r="M394" s="21" t="str">
        <x:v>BLOCKED</x:v>
      </x:c>
      <x:c r="N394" s="23" t="str">
        <x:f>IF(AND(H394&lt;=G394,I394&lt;=H394,K394&lt;=J394),"PASS","FAIL")</x:f>
        <x:v>PASS</x:v>
      </x:c>
    </x:row>
    <x:row r="395">
      <x:c r="B395" s="21" t="str">
        <x:v>F33-I2-B</x:v>
      </x:c>
      <x:c r="C395" s="21" t="str">
        <x:v>F33-I2</x:v>
      </x:c>
      <x:c r="D395" s="21" t="str">
        <x:v>F33</x:v>
      </x:c>
      <x:c r="E395" s="21" t="str">
        <x:v>BUILD B</x:v>
      </x:c>
      <x:c r="F395" s="21" t="str">
        <x:v>Independent build ecosystem 06</x:v>
      </x:c>
      <x:c r="G395" s="21" t="n">
        <x:v>28</x:v>
      </x:c>
      <x:c r="H395" s="46" t="n">
        <x:v>0</x:v>
      </x:c>
      <x:c r="I395" s="46" t="n">
        <x:v>0</x:v>
      </x:c>
      <x:c r="J395" s="46" t="n">
        <x:v>8</x:v>
      </x:c>
      <x:c r="K395" s="46" t="n">
        <x:v>0</x:v>
      </x:c>
      <x:c r="L395" s="21" t="str">
        <x:v>OPEN</x:v>
      </x:c>
      <x:c r="M395" s="21" t="str">
        <x:v>BLOCKED</x:v>
      </x:c>
      <x:c r="N395" s="23" t="str">
        <x:f>IF(AND(H395&lt;=G395,I395&lt;=H395,K395&lt;=J395),"PASS","FAIL")</x:f>
        <x:v>PASS</x:v>
      </x:c>
    </x:row>
    <x:row r="396">
      <x:c r="B396" s="21" t="str">
        <x:v>F33-I2-C</x:v>
      </x:c>
      <x:c r="C396" s="21" t="str">
        <x:v>F33-I2</x:v>
      </x:c>
      <x:c r="D396" s="21" t="str">
        <x:v>F33</x:v>
      </x:c>
      <x:c r="E396" s="21" t="str">
        <x:v>CHALLENGE</x:v>
      </x:c>
      <x:c r="F396" s="21" t="str">
        <x:v>Sovereign challenge cell TIO-02</x:v>
      </x:c>
      <x:c r="G396" s="21" t="n">
        <x:v>28</x:v>
      </x:c>
      <x:c r="H396" s="46" t="n">
        <x:v>0</x:v>
      </x:c>
      <x:c r="I396" s="46" t="n">
        <x:v>0</x:v>
      </x:c>
      <x:c r="J396" s="46" t="n">
        <x:v>8</x:v>
      </x:c>
      <x:c r="K396" s="46" t="n">
        <x:v>0</x:v>
      </x:c>
      <x:c r="L396" s="21" t="str">
        <x:v>OPEN</x:v>
      </x:c>
      <x:c r="M396" s="21" t="str">
        <x:v>BLOCKED</x:v>
      </x:c>
      <x:c r="N396" s="23" t="str">
        <x:f>IF(AND(H396&lt;=G396,I396&lt;=H396,K396&lt;=J396),"PASS","FAIL")</x:f>
        <x:v>PASS</x:v>
      </x:c>
    </x:row>
    <x:row r="397">
      <x:c r="B397" s="21" t="str">
        <x:v>F33-I3-A</x:v>
      </x:c>
      <x:c r="C397" s="21" t="str">
        <x:v>F33-I3</x:v>
      </x:c>
      <x:c r="D397" s="21" t="str">
        <x:v>F33</x:v>
      </x:c>
      <x:c r="E397" s="21" t="str">
        <x:v>BUILD A</x:v>
      </x:c>
      <x:c r="F397" s="21" t="str">
        <x:v>Independent build ecosystem 07</x:v>
      </x:c>
      <x:c r="G397" s="21" t="n">
        <x:v>28</x:v>
      </x:c>
      <x:c r="H397" s="46" t="n">
        <x:v>0</x:v>
      </x:c>
      <x:c r="I397" s="46" t="n">
        <x:v>0</x:v>
      </x:c>
      <x:c r="J397" s="46" t="n">
        <x:v>8</x:v>
      </x:c>
      <x:c r="K397" s="46" t="n">
        <x:v>0</x:v>
      </x:c>
      <x:c r="L397" s="21" t="str">
        <x:v>OPEN</x:v>
      </x:c>
      <x:c r="M397" s="21" t="str">
        <x:v>BLOCKED</x:v>
      </x:c>
      <x:c r="N397" s="23" t="str">
        <x:f>IF(AND(H397&lt;=G397,I397&lt;=H397,K397&lt;=J397),"PASS","FAIL")</x:f>
        <x:v>PASS</x:v>
      </x:c>
    </x:row>
    <x:row r="398">
      <x:c r="B398" s="21" t="str">
        <x:v>F33-I3-B</x:v>
      </x:c>
      <x:c r="C398" s="21" t="str">
        <x:v>F33-I3</x:v>
      </x:c>
      <x:c r="D398" s="21" t="str">
        <x:v>F33</x:v>
      </x:c>
      <x:c r="E398" s="21" t="str">
        <x:v>BUILD B</x:v>
      </x:c>
      <x:c r="F398" s="21" t="str">
        <x:v>Independent build ecosystem 09</x:v>
      </x:c>
      <x:c r="G398" s="21" t="n">
        <x:v>28</x:v>
      </x:c>
      <x:c r="H398" s="46" t="n">
        <x:v>0</x:v>
      </x:c>
      <x:c r="I398" s="46" t="n">
        <x:v>0</x:v>
      </x:c>
      <x:c r="J398" s="46" t="n">
        <x:v>8</x:v>
      </x:c>
      <x:c r="K398" s="46" t="n">
        <x:v>0</x:v>
      </x:c>
      <x:c r="L398" s="21" t="str">
        <x:v>OPEN</x:v>
      </x:c>
      <x:c r="M398" s="21" t="str">
        <x:v>BLOCKED</x:v>
      </x:c>
      <x:c r="N398" s="23" t="str">
        <x:f>IF(AND(H398&lt;=G398,I398&lt;=H398,K398&lt;=J398),"PASS","FAIL")</x:f>
        <x:v>PASS</x:v>
      </x:c>
    </x:row>
    <x:row r="399">
      <x:c r="B399" s="21" t="str">
        <x:v>F33-I3-C</x:v>
      </x:c>
      <x:c r="C399" s="21" t="str">
        <x:v>F33-I3</x:v>
      </x:c>
      <x:c r="D399" s="21" t="str">
        <x:v>F33</x:v>
      </x:c>
      <x:c r="E399" s="21" t="str">
        <x:v>CHALLENGE</x:v>
      </x:c>
      <x:c r="F399" s="21" t="str">
        <x:v>Sovereign challenge cell TIO-03</x:v>
      </x:c>
      <x:c r="G399" s="21" t="n">
        <x:v>28</x:v>
      </x:c>
      <x:c r="H399" s="46" t="n">
        <x:v>0</x:v>
      </x:c>
      <x:c r="I399" s="46" t="n">
        <x:v>0</x:v>
      </x:c>
      <x:c r="J399" s="46" t="n">
        <x:v>8</x:v>
      </x:c>
      <x:c r="K399" s="46" t="n">
        <x:v>0</x:v>
      </x:c>
      <x:c r="L399" s="21" t="str">
        <x:v>OPEN</x:v>
      </x:c>
      <x:c r="M399" s="21" t="str">
        <x:v>BLOCKED</x:v>
      </x:c>
      <x:c r="N399" s="23" t="str">
        <x:f>IF(AND(H399&lt;=G399,I399&lt;=H399,K399&lt;=J399),"PASS","FAIL")</x:f>
        <x:v>PASS</x:v>
      </x:c>
    </x:row>
    <x:row r="400">
      <x:c r="B400" s="21" t="str">
        <x:v>F33-I4-A</x:v>
      </x:c>
      <x:c r="C400" s="21" t="str">
        <x:v>F33-I4</x:v>
      </x:c>
      <x:c r="D400" s="21" t="str">
        <x:v>F33</x:v>
      </x:c>
      <x:c r="E400" s="21" t="str">
        <x:v>BUILD A</x:v>
      </x:c>
      <x:c r="F400" s="21" t="str">
        <x:v>Independent build ecosystem 10</x:v>
      </x:c>
      <x:c r="G400" s="21" t="n">
        <x:v>28</x:v>
      </x:c>
      <x:c r="H400" s="46" t="n">
        <x:v>0</x:v>
      </x:c>
      <x:c r="I400" s="46" t="n">
        <x:v>0</x:v>
      </x:c>
      <x:c r="J400" s="46" t="n">
        <x:v>8</x:v>
      </x:c>
      <x:c r="K400" s="46" t="n">
        <x:v>0</x:v>
      </x:c>
      <x:c r="L400" s="21" t="str">
        <x:v>OPEN</x:v>
      </x:c>
      <x:c r="M400" s="21" t="str">
        <x:v>BLOCKED</x:v>
      </x:c>
      <x:c r="N400" s="23" t="str">
        <x:f>IF(AND(H400&lt;=G400,I400&lt;=H400,K400&lt;=J400),"PASS","FAIL")</x:f>
        <x:v>PASS</x:v>
      </x:c>
    </x:row>
    <x:row r="401">
      <x:c r="B401" s="21" t="str">
        <x:v>F33-I4-B</x:v>
      </x:c>
      <x:c r="C401" s="21" t="str">
        <x:v>F33-I4</x:v>
      </x:c>
      <x:c r="D401" s="21" t="str">
        <x:v>F33</x:v>
      </x:c>
      <x:c r="E401" s="21" t="str">
        <x:v>BUILD B</x:v>
      </x:c>
      <x:c r="F401" s="21" t="str">
        <x:v>Independent build ecosystem 12</x:v>
      </x:c>
      <x:c r="G401" s="21" t="n">
        <x:v>28</x:v>
      </x:c>
      <x:c r="H401" s="46" t="n">
        <x:v>0</x:v>
      </x:c>
      <x:c r="I401" s="46" t="n">
        <x:v>0</x:v>
      </x:c>
      <x:c r="J401" s="46" t="n">
        <x:v>8</x:v>
      </x:c>
      <x:c r="K401" s="46" t="n">
        <x:v>0</x:v>
      </x:c>
      <x:c r="L401" s="21" t="str">
        <x:v>OPEN</x:v>
      </x:c>
      <x:c r="M401" s="21" t="str">
        <x:v>BLOCKED</x:v>
      </x:c>
      <x:c r="N401" s="23" t="str">
        <x:f>IF(AND(H401&lt;=G401,I401&lt;=H401,K401&lt;=J401),"PASS","FAIL")</x:f>
        <x:v>PASS</x:v>
      </x:c>
    </x:row>
    <x:row r="402">
      <x:c r="B402" s="21" t="str">
        <x:v>F33-I4-C</x:v>
      </x:c>
      <x:c r="C402" s="21" t="str">
        <x:v>F33-I4</x:v>
      </x:c>
      <x:c r="D402" s="21" t="str">
        <x:v>F33</x:v>
      </x:c>
      <x:c r="E402" s="21" t="str">
        <x:v>CHALLENGE</x:v>
      </x:c>
      <x:c r="F402" s="21" t="str">
        <x:v>Sovereign challenge cell TIO-04</x:v>
      </x:c>
      <x:c r="G402" s="21" t="n">
        <x:v>28</x:v>
      </x:c>
      <x:c r="H402" s="46" t="n">
        <x:v>0</x:v>
      </x:c>
      <x:c r="I402" s="46" t="n">
        <x:v>0</x:v>
      </x:c>
      <x:c r="J402" s="46" t="n">
        <x:v>8</x:v>
      </x:c>
      <x:c r="K402" s="46" t="n">
        <x:v>0</x:v>
      </x:c>
      <x:c r="L402" s="21" t="str">
        <x:v>OPEN</x:v>
      </x:c>
      <x:c r="M402" s="21" t="str">
        <x:v>BLOCKED</x:v>
      </x:c>
      <x:c r="N402" s="23" t="str">
        <x:f>IF(AND(H402&lt;=G402,I402&lt;=H402,K402&lt;=J402),"PASS","FAIL")</x:f>
        <x:v>PASS</x:v>
      </x:c>
    </x:row>
    <x:row r="403">
      <x:c r="B403" s="21" t="str">
        <x:v>F34-I1-A</x:v>
      </x:c>
      <x:c r="C403" s="21" t="str">
        <x:v>F34-I1</x:v>
      </x:c>
      <x:c r="D403" s="21" t="str">
        <x:v>F34</x:v>
      </x:c>
      <x:c r="E403" s="21" t="str">
        <x:v>BUILD A</x:v>
      </x:c>
      <x:c r="F403" s="21" t="str">
        <x:v>Independent build ecosystem 13</x:v>
      </x:c>
      <x:c r="G403" s="21" t="n">
        <x:v>28</x:v>
      </x:c>
      <x:c r="H403" s="46" t="n">
        <x:v>0</x:v>
      </x:c>
      <x:c r="I403" s="46" t="n">
        <x:v>0</x:v>
      </x:c>
      <x:c r="J403" s="46" t="n">
        <x:v>8</x:v>
      </x:c>
      <x:c r="K403" s="46" t="n">
        <x:v>0</x:v>
      </x:c>
      <x:c r="L403" s="21" t="str">
        <x:v>OPEN</x:v>
      </x:c>
      <x:c r="M403" s="21" t="str">
        <x:v>BLOCKED</x:v>
      </x:c>
      <x:c r="N403" s="23" t="str">
        <x:f>IF(AND(H403&lt;=G403,I403&lt;=H403,K403&lt;=J403),"PASS","FAIL")</x:f>
        <x:v>PASS</x:v>
      </x:c>
    </x:row>
    <x:row r="404">
      <x:c r="B404" s="21" t="str">
        <x:v>F34-I1-B</x:v>
      </x:c>
      <x:c r="C404" s="21" t="str">
        <x:v>F34-I1</x:v>
      </x:c>
      <x:c r="D404" s="21" t="str">
        <x:v>F34</x:v>
      </x:c>
      <x:c r="E404" s="21" t="str">
        <x:v>BUILD B</x:v>
      </x:c>
      <x:c r="F404" s="21" t="str">
        <x:v>Independent build ecosystem 15</x:v>
      </x:c>
      <x:c r="G404" s="21" t="n">
        <x:v>28</x:v>
      </x:c>
      <x:c r="H404" s="46" t="n">
        <x:v>0</x:v>
      </x:c>
      <x:c r="I404" s="46" t="n">
        <x:v>0</x:v>
      </x:c>
      <x:c r="J404" s="46" t="n">
        <x:v>8</x:v>
      </x:c>
      <x:c r="K404" s="46" t="n">
        <x:v>0</x:v>
      </x:c>
      <x:c r="L404" s="21" t="str">
        <x:v>OPEN</x:v>
      </x:c>
      <x:c r="M404" s="21" t="str">
        <x:v>BLOCKED</x:v>
      </x:c>
      <x:c r="N404" s="23" t="str">
        <x:f>IF(AND(H404&lt;=G404,I404&lt;=H404,K404&lt;=J404),"PASS","FAIL")</x:f>
        <x:v>PASS</x:v>
      </x:c>
    </x:row>
    <x:row r="405">
      <x:c r="B405" s="21" t="str">
        <x:v>F34-I1-C</x:v>
      </x:c>
      <x:c r="C405" s="21" t="str">
        <x:v>F34-I1</x:v>
      </x:c>
      <x:c r="D405" s="21" t="str">
        <x:v>F34</x:v>
      </x:c>
      <x:c r="E405" s="21" t="str">
        <x:v>CHALLENGE</x:v>
      </x:c>
      <x:c r="F405" s="21" t="str">
        <x:v>Sovereign challenge cell TIO-05</x:v>
      </x:c>
      <x:c r="G405" s="21" t="n">
        <x:v>28</x:v>
      </x:c>
      <x:c r="H405" s="46" t="n">
        <x:v>0</x:v>
      </x:c>
      <x:c r="I405" s="46" t="n">
        <x:v>0</x:v>
      </x:c>
      <x:c r="J405" s="46" t="n">
        <x:v>8</x:v>
      </x:c>
      <x:c r="K405" s="46" t="n">
        <x:v>0</x:v>
      </x:c>
      <x:c r="L405" s="21" t="str">
        <x:v>OPEN</x:v>
      </x:c>
      <x:c r="M405" s="21" t="str">
        <x:v>BLOCKED</x:v>
      </x:c>
      <x:c r="N405" s="23" t="str">
        <x:f>IF(AND(H405&lt;=G405,I405&lt;=H405,K405&lt;=J405),"PASS","FAIL")</x:f>
        <x:v>PASS</x:v>
      </x:c>
    </x:row>
    <x:row r="406">
      <x:c r="B406" s="21" t="str">
        <x:v>F34-I2-A</x:v>
      </x:c>
      <x:c r="C406" s="21" t="str">
        <x:v>F34-I2</x:v>
      </x:c>
      <x:c r="D406" s="21" t="str">
        <x:v>F34</x:v>
      </x:c>
      <x:c r="E406" s="21" t="str">
        <x:v>BUILD A</x:v>
      </x:c>
      <x:c r="F406" s="21" t="str">
        <x:v>Independent build ecosystem 16</x:v>
      </x:c>
      <x:c r="G406" s="21" t="n">
        <x:v>28</x:v>
      </x:c>
      <x:c r="H406" s="46" t="n">
        <x:v>0</x:v>
      </x:c>
      <x:c r="I406" s="46" t="n">
        <x:v>0</x:v>
      </x:c>
      <x:c r="J406" s="46" t="n">
        <x:v>8</x:v>
      </x:c>
      <x:c r="K406" s="46" t="n">
        <x:v>0</x:v>
      </x:c>
      <x:c r="L406" s="21" t="str">
        <x:v>OPEN</x:v>
      </x:c>
      <x:c r="M406" s="21" t="str">
        <x:v>BLOCKED</x:v>
      </x:c>
      <x:c r="N406" s="23" t="str">
        <x:f>IF(AND(H406&lt;=G406,I406&lt;=H406,K406&lt;=J406),"PASS","FAIL")</x:f>
        <x:v>PASS</x:v>
      </x:c>
    </x:row>
    <x:row r="407">
      <x:c r="B407" s="21" t="str">
        <x:v>F34-I2-B</x:v>
      </x:c>
      <x:c r="C407" s="21" t="str">
        <x:v>F34-I2</x:v>
      </x:c>
      <x:c r="D407" s="21" t="str">
        <x:v>F34</x:v>
      </x:c>
      <x:c r="E407" s="21" t="str">
        <x:v>BUILD B</x:v>
      </x:c>
      <x:c r="F407" s="21" t="str">
        <x:v>Independent build ecosystem 02</x:v>
      </x:c>
      <x:c r="G407" s="21" t="n">
        <x:v>28</x:v>
      </x:c>
      <x:c r="H407" s="46" t="n">
        <x:v>0</x:v>
      </x:c>
      <x:c r="I407" s="46" t="n">
        <x:v>0</x:v>
      </x:c>
      <x:c r="J407" s="46" t="n">
        <x:v>8</x:v>
      </x:c>
      <x:c r="K407" s="46" t="n">
        <x:v>0</x:v>
      </x:c>
      <x:c r="L407" s="21" t="str">
        <x:v>OPEN</x:v>
      </x:c>
      <x:c r="M407" s="21" t="str">
        <x:v>BLOCKED</x:v>
      </x:c>
      <x:c r="N407" s="23" t="str">
        <x:f>IF(AND(H407&lt;=G407,I407&lt;=H407,K407&lt;=J407),"PASS","FAIL")</x:f>
        <x:v>PASS</x:v>
      </x:c>
    </x:row>
    <x:row r="408">
      <x:c r="B408" s="21" t="str">
        <x:v>F34-I2-C</x:v>
      </x:c>
      <x:c r="C408" s="21" t="str">
        <x:v>F34-I2</x:v>
      </x:c>
      <x:c r="D408" s="21" t="str">
        <x:v>F34</x:v>
      </x:c>
      <x:c r="E408" s="21" t="str">
        <x:v>CHALLENGE</x:v>
      </x:c>
      <x:c r="F408" s="21" t="str">
        <x:v>Sovereign challenge cell TIO-06</x:v>
      </x:c>
      <x:c r="G408" s="21" t="n">
        <x:v>28</x:v>
      </x:c>
      <x:c r="H408" s="46" t="n">
        <x:v>0</x:v>
      </x:c>
      <x:c r="I408" s="46" t="n">
        <x:v>0</x:v>
      </x:c>
      <x:c r="J408" s="46" t="n">
        <x:v>8</x:v>
      </x:c>
      <x:c r="K408" s="46" t="n">
        <x:v>0</x:v>
      </x:c>
      <x:c r="L408" s="21" t="str">
        <x:v>OPEN</x:v>
      </x:c>
      <x:c r="M408" s="21" t="str">
        <x:v>BLOCKED</x:v>
      </x:c>
      <x:c r="N408" s="23" t="str">
        <x:f>IF(AND(H408&lt;=G408,I408&lt;=H408,K408&lt;=J408),"PASS","FAIL")</x:f>
        <x:v>PASS</x:v>
      </x:c>
    </x:row>
    <x:row r="409">
      <x:c r="B409" s="21" t="str">
        <x:v>F34-I3-A</x:v>
      </x:c>
      <x:c r="C409" s="21" t="str">
        <x:v>F34-I3</x:v>
      </x:c>
      <x:c r="D409" s="21" t="str">
        <x:v>F34</x:v>
      </x:c>
      <x:c r="E409" s="21" t="str">
        <x:v>BUILD A</x:v>
      </x:c>
      <x:c r="F409" s="21" t="str">
        <x:v>Independent build ecosystem 03</x:v>
      </x:c>
      <x:c r="G409" s="21" t="n">
        <x:v>28</x:v>
      </x:c>
      <x:c r="H409" s="46" t="n">
        <x:v>0</x:v>
      </x:c>
      <x:c r="I409" s="46" t="n">
        <x:v>0</x:v>
      </x:c>
      <x:c r="J409" s="46" t="n">
        <x:v>8</x:v>
      </x:c>
      <x:c r="K409" s="46" t="n">
        <x:v>0</x:v>
      </x:c>
      <x:c r="L409" s="21" t="str">
        <x:v>OPEN</x:v>
      </x:c>
      <x:c r="M409" s="21" t="str">
        <x:v>BLOCKED</x:v>
      </x:c>
      <x:c r="N409" s="23" t="str">
        <x:f>IF(AND(H409&lt;=G409,I409&lt;=H409,K409&lt;=J409),"PASS","FAIL")</x:f>
        <x:v>PASS</x:v>
      </x:c>
    </x:row>
    <x:row r="410">
      <x:c r="B410" s="21" t="str">
        <x:v>F34-I3-B</x:v>
      </x:c>
      <x:c r="C410" s="21" t="str">
        <x:v>F34-I3</x:v>
      </x:c>
      <x:c r="D410" s="21" t="str">
        <x:v>F34</x:v>
      </x:c>
      <x:c r="E410" s="21" t="str">
        <x:v>BUILD B</x:v>
      </x:c>
      <x:c r="F410" s="21" t="str">
        <x:v>Independent build ecosystem 05</x:v>
      </x:c>
      <x:c r="G410" s="21" t="n">
        <x:v>28</x:v>
      </x:c>
      <x:c r="H410" s="46" t="n">
        <x:v>0</x:v>
      </x:c>
      <x:c r="I410" s="46" t="n">
        <x:v>0</x:v>
      </x:c>
      <x:c r="J410" s="46" t="n">
        <x:v>8</x:v>
      </x:c>
      <x:c r="K410" s="46" t="n">
        <x:v>0</x:v>
      </x:c>
      <x:c r="L410" s="21" t="str">
        <x:v>OPEN</x:v>
      </x:c>
      <x:c r="M410" s="21" t="str">
        <x:v>BLOCKED</x:v>
      </x:c>
      <x:c r="N410" s="23" t="str">
        <x:f>IF(AND(H410&lt;=G410,I410&lt;=H410,K410&lt;=J410),"PASS","FAIL")</x:f>
        <x:v>PASS</x:v>
      </x:c>
    </x:row>
    <x:row r="411">
      <x:c r="B411" s="21" t="str">
        <x:v>F34-I3-C</x:v>
      </x:c>
      <x:c r="C411" s="21" t="str">
        <x:v>F34-I3</x:v>
      </x:c>
      <x:c r="D411" s="21" t="str">
        <x:v>F34</x:v>
      </x:c>
      <x:c r="E411" s="21" t="str">
        <x:v>CHALLENGE</x:v>
      </x:c>
      <x:c r="F411" s="21" t="str">
        <x:v>Sovereign challenge cell TIO-07</x:v>
      </x:c>
      <x:c r="G411" s="21" t="n">
        <x:v>28</x:v>
      </x:c>
      <x:c r="H411" s="46" t="n">
        <x:v>0</x:v>
      </x:c>
      <x:c r="I411" s="46" t="n">
        <x:v>0</x:v>
      </x:c>
      <x:c r="J411" s="46" t="n">
        <x:v>8</x:v>
      </x:c>
      <x:c r="K411" s="46" t="n">
        <x:v>0</x:v>
      </x:c>
      <x:c r="L411" s="21" t="str">
        <x:v>OPEN</x:v>
      </x:c>
      <x:c r="M411" s="21" t="str">
        <x:v>BLOCKED</x:v>
      </x:c>
      <x:c r="N411" s="23" t="str">
        <x:f>IF(AND(H411&lt;=G411,I411&lt;=H411,K411&lt;=J411),"PASS","FAIL")</x:f>
        <x:v>PASS</x:v>
      </x:c>
    </x:row>
    <x:row r="412">
      <x:c r="B412" s="21" t="str">
        <x:v>F34-I4-A</x:v>
      </x:c>
      <x:c r="C412" s="21" t="str">
        <x:v>F34-I4</x:v>
      </x:c>
      <x:c r="D412" s="21" t="str">
        <x:v>F34</x:v>
      </x:c>
      <x:c r="E412" s="21" t="str">
        <x:v>BUILD A</x:v>
      </x:c>
      <x:c r="F412" s="21" t="str">
        <x:v>Independent build ecosystem 06</x:v>
      </x:c>
      <x:c r="G412" s="21" t="n">
        <x:v>28</x:v>
      </x:c>
      <x:c r="H412" s="46" t="n">
        <x:v>0</x:v>
      </x:c>
      <x:c r="I412" s="46" t="n">
        <x:v>0</x:v>
      </x:c>
      <x:c r="J412" s="46" t="n">
        <x:v>8</x:v>
      </x:c>
      <x:c r="K412" s="46" t="n">
        <x:v>0</x:v>
      </x:c>
      <x:c r="L412" s="21" t="str">
        <x:v>OPEN</x:v>
      </x:c>
      <x:c r="M412" s="21" t="str">
        <x:v>BLOCKED</x:v>
      </x:c>
      <x:c r="N412" s="23" t="str">
        <x:f>IF(AND(H412&lt;=G412,I412&lt;=H412,K412&lt;=J412),"PASS","FAIL")</x:f>
        <x:v>PASS</x:v>
      </x:c>
    </x:row>
    <x:row r="413">
      <x:c r="B413" s="21" t="str">
        <x:v>F34-I4-B</x:v>
      </x:c>
      <x:c r="C413" s="21" t="str">
        <x:v>F34-I4</x:v>
      </x:c>
      <x:c r="D413" s="21" t="str">
        <x:v>F34</x:v>
      </x:c>
      <x:c r="E413" s="21" t="str">
        <x:v>BUILD B</x:v>
      </x:c>
      <x:c r="F413" s="21" t="str">
        <x:v>Independent build ecosystem 08</x:v>
      </x:c>
      <x:c r="G413" s="21" t="n">
        <x:v>28</x:v>
      </x:c>
      <x:c r="H413" s="46" t="n">
        <x:v>0</x:v>
      </x:c>
      <x:c r="I413" s="46" t="n">
        <x:v>0</x:v>
      </x:c>
      <x:c r="J413" s="46" t="n">
        <x:v>8</x:v>
      </x:c>
      <x:c r="K413" s="46" t="n">
        <x:v>0</x:v>
      </x:c>
      <x:c r="L413" s="21" t="str">
        <x:v>OPEN</x:v>
      </x:c>
      <x:c r="M413" s="21" t="str">
        <x:v>BLOCKED</x:v>
      </x:c>
      <x:c r="N413" s="23" t="str">
        <x:f>IF(AND(H413&lt;=G413,I413&lt;=H413,K413&lt;=J413),"PASS","FAIL")</x:f>
        <x:v>PASS</x:v>
      </x:c>
    </x:row>
    <x:row r="414">
      <x:c r="B414" s="21" t="str">
        <x:v>F34-I4-C</x:v>
      </x:c>
      <x:c r="C414" s="21" t="str">
        <x:v>F34-I4</x:v>
      </x:c>
      <x:c r="D414" s="21" t="str">
        <x:v>F34</x:v>
      </x:c>
      <x:c r="E414" s="21" t="str">
        <x:v>CHALLENGE</x:v>
      </x:c>
      <x:c r="F414" s="21" t="str">
        <x:v>Sovereign challenge cell TIO-08</x:v>
      </x:c>
      <x:c r="G414" s="21" t="n">
        <x:v>28</x:v>
      </x:c>
      <x:c r="H414" s="46" t="n">
        <x:v>0</x:v>
      </x:c>
      <x:c r="I414" s="46" t="n">
        <x:v>0</x:v>
      </x:c>
      <x:c r="J414" s="46" t="n">
        <x:v>8</x:v>
      </x:c>
      <x:c r="K414" s="46" t="n">
        <x:v>0</x:v>
      </x:c>
      <x:c r="L414" s="21" t="str">
        <x:v>OPEN</x:v>
      </x:c>
      <x:c r="M414" s="21" t="str">
        <x:v>BLOCKED</x:v>
      </x:c>
      <x:c r="N414" s="23" t="str">
        <x:f>IF(AND(H414&lt;=G414,I414&lt;=H414,K414&lt;=J414),"PASS","FAIL")</x:f>
        <x:v>PASS</x:v>
      </x:c>
    </x:row>
    <x:row r="415">
      <x:c r="B415" s="21" t="str">
        <x:v>F35-I1-A</x:v>
      </x:c>
      <x:c r="C415" s="21" t="str">
        <x:v>F35-I1</x:v>
      </x:c>
      <x:c r="D415" s="21" t="str">
        <x:v>F35</x:v>
      </x:c>
      <x:c r="E415" s="21" t="str">
        <x:v>BUILD A</x:v>
      </x:c>
      <x:c r="F415" s="21" t="str">
        <x:v>Independent build ecosystem 09</x:v>
      </x:c>
      <x:c r="G415" s="21" t="n">
        <x:v>28</x:v>
      </x:c>
      <x:c r="H415" s="46" t="n">
        <x:v>0</x:v>
      </x:c>
      <x:c r="I415" s="46" t="n">
        <x:v>0</x:v>
      </x:c>
      <x:c r="J415" s="46" t="n">
        <x:v>8</x:v>
      </x:c>
      <x:c r="K415" s="46" t="n">
        <x:v>0</x:v>
      </x:c>
      <x:c r="L415" s="21" t="str">
        <x:v>OPEN</x:v>
      </x:c>
      <x:c r="M415" s="21" t="str">
        <x:v>BLOCKED</x:v>
      </x:c>
      <x:c r="N415" s="23" t="str">
        <x:f>IF(AND(H415&lt;=G415,I415&lt;=H415,K415&lt;=J415),"PASS","FAIL")</x:f>
        <x:v>PASS</x:v>
      </x:c>
    </x:row>
    <x:row r="416">
      <x:c r="B416" s="21" t="str">
        <x:v>F35-I1-B</x:v>
      </x:c>
      <x:c r="C416" s="21" t="str">
        <x:v>F35-I1</x:v>
      </x:c>
      <x:c r="D416" s="21" t="str">
        <x:v>F35</x:v>
      </x:c>
      <x:c r="E416" s="21" t="str">
        <x:v>BUILD B</x:v>
      </x:c>
      <x:c r="F416" s="21" t="str">
        <x:v>Independent build ecosystem 11</x:v>
      </x:c>
      <x:c r="G416" s="21" t="n">
        <x:v>28</x:v>
      </x:c>
      <x:c r="H416" s="46" t="n">
        <x:v>0</x:v>
      </x:c>
      <x:c r="I416" s="46" t="n">
        <x:v>0</x:v>
      </x:c>
      <x:c r="J416" s="46" t="n">
        <x:v>8</x:v>
      </x:c>
      <x:c r="K416" s="46" t="n">
        <x:v>0</x:v>
      </x:c>
      <x:c r="L416" s="21" t="str">
        <x:v>OPEN</x:v>
      </x:c>
      <x:c r="M416" s="21" t="str">
        <x:v>BLOCKED</x:v>
      </x:c>
      <x:c r="N416" s="23" t="str">
        <x:f>IF(AND(H416&lt;=G416,I416&lt;=H416,K416&lt;=J416),"PASS","FAIL")</x:f>
        <x:v>PASS</x:v>
      </x:c>
    </x:row>
    <x:row r="417">
      <x:c r="B417" s="21" t="str">
        <x:v>F35-I1-C</x:v>
      </x:c>
      <x:c r="C417" s="21" t="str">
        <x:v>F35-I1</x:v>
      </x:c>
      <x:c r="D417" s="21" t="str">
        <x:v>F35</x:v>
      </x:c>
      <x:c r="E417" s="21" t="str">
        <x:v>CHALLENGE</x:v>
      </x:c>
      <x:c r="F417" s="21" t="str">
        <x:v>Sovereign challenge cell TIO-09</x:v>
      </x:c>
      <x:c r="G417" s="21" t="n">
        <x:v>28</x:v>
      </x:c>
      <x:c r="H417" s="46" t="n">
        <x:v>0</x:v>
      </x:c>
      <x:c r="I417" s="46" t="n">
        <x:v>0</x:v>
      </x:c>
      <x:c r="J417" s="46" t="n">
        <x:v>8</x:v>
      </x:c>
      <x:c r="K417" s="46" t="n">
        <x:v>0</x:v>
      </x:c>
      <x:c r="L417" s="21" t="str">
        <x:v>OPEN</x:v>
      </x:c>
      <x:c r="M417" s="21" t="str">
        <x:v>BLOCKED</x:v>
      </x:c>
      <x:c r="N417" s="23" t="str">
        <x:f>IF(AND(H417&lt;=G417,I417&lt;=H417,K417&lt;=J417),"PASS","FAIL")</x:f>
        <x:v>PASS</x:v>
      </x:c>
    </x:row>
    <x:row r="418">
      <x:c r="B418" s="21" t="str">
        <x:v>F35-I2-A</x:v>
      </x:c>
      <x:c r="C418" s="21" t="str">
        <x:v>F35-I2</x:v>
      </x:c>
      <x:c r="D418" s="21" t="str">
        <x:v>F35</x:v>
      </x:c>
      <x:c r="E418" s="21" t="str">
        <x:v>BUILD A</x:v>
      </x:c>
      <x:c r="F418" s="21" t="str">
        <x:v>Independent build ecosystem 12</x:v>
      </x:c>
      <x:c r="G418" s="21" t="n">
        <x:v>28</x:v>
      </x:c>
      <x:c r="H418" s="46" t="n">
        <x:v>0</x:v>
      </x:c>
      <x:c r="I418" s="46" t="n">
        <x:v>0</x:v>
      </x:c>
      <x:c r="J418" s="46" t="n">
        <x:v>8</x:v>
      </x:c>
      <x:c r="K418" s="46" t="n">
        <x:v>0</x:v>
      </x:c>
      <x:c r="L418" s="21" t="str">
        <x:v>OPEN</x:v>
      </x:c>
      <x:c r="M418" s="21" t="str">
        <x:v>BLOCKED</x:v>
      </x:c>
      <x:c r="N418" s="23" t="str">
        <x:f>IF(AND(H418&lt;=G418,I418&lt;=H418,K418&lt;=J418),"PASS","FAIL")</x:f>
        <x:v>PASS</x:v>
      </x:c>
    </x:row>
    <x:row r="419">
      <x:c r="B419" s="21" t="str">
        <x:v>F35-I2-B</x:v>
      </x:c>
      <x:c r="C419" s="21" t="str">
        <x:v>F35-I2</x:v>
      </x:c>
      <x:c r="D419" s="21" t="str">
        <x:v>F35</x:v>
      </x:c>
      <x:c r="E419" s="21" t="str">
        <x:v>BUILD B</x:v>
      </x:c>
      <x:c r="F419" s="21" t="str">
        <x:v>Independent build ecosystem 14</x:v>
      </x:c>
      <x:c r="G419" s="21" t="n">
        <x:v>28</x:v>
      </x:c>
      <x:c r="H419" s="46" t="n">
        <x:v>0</x:v>
      </x:c>
      <x:c r="I419" s="46" t="n">
        <x:v>0</x:v>
      </x:c>
      <x:c r="J419" s="46" t="n">
        <x:v>8</x:v>
      </x:c>
      <x:c r="K419" s="46" t="n">
        <x:v>0</x:v>
      </x:c>
      <x:c r="L419" s="21" t="str">
        <x:v>OPEN</x:v>
      </x:c>
      <x:c r="M419" s="21" t="str">
        <x:v>BLOCKED</x:v>
      </x:c>
      <x:c r="N419" s="23" t="str">
        <x:f>IF(AND(H419&lt;=G419,I419&lt;=H419,K419&lt;=J419),"PASS","FAIL")</x:f>
        <x:v>PASS</x:v>
      </x:c>
    </x:row>
    <x:row r="420">
      <x:c r="B420" s="21" t="str">
        <x:v>F35-I2-C</x:v>
      </x:c>
      <x:c r="C420" s="21" t="str">
        <x:v>F35-I2</x:v>
      </x:c>
      <x:c r="D420" s="21" t="str">
        <x:v>F35</x:v>
      </x:c>
      <x:c r="E420" s="21" t="str">
        <x:v>CHALLENGE</x:v>
      </x:c>
      <x:c r="F420" s="21" t="str">
        <x:v>Sovereign challenge cell TIO-10</x:v>
      </x:c>
      <x:c r="G420" s="21" t="n">
        <x:v>28</x:v>
      </x:c>
      <x:c r="H420" s="46" t="n">
        <x:v>0</x:v>
      </x:c>
      <x:c r="I420" s="46" t="n">
        <x:v>0</x:v>
      </x:c>
      <x:c r="J420" s="46" t="n">
        <x:v>8</x:v>
      </x:c>
      <x:c r="K420" s="46" t="n">
        <x:v>0</x:v>
      </x:c>
      <x:c r="L420" s="21" t="str">
        <x:v>OPEN</x:v>
      </x:c>
      <x:c r="M420" s="21" t="str">
        <x:v>BLOCKED</x:v>
      </x:c>
      <x:c r="N420" s="23" t="str">
        <x:f>IF(AND(H420&lt;=G420,I420&lt;=H420,K420&lt;=J420),"PASS","FAIL")</x:f>
        <x:v>PASS</x:v>
      </x:c>
    </x:row>
    <x:row r="421">
      <x:c r="B421" s="21" t="str">
        <x:v>F35-I3-A</x:v>
      </x:c>
      <x:c r="C421" s="21" t="str">
        <x:v>F35-I3</x:v>
      </x:c>
      <x:c r="D421" s="21" t="str">
        <x:v>F35</x:v>
      </x:c>
      <x:c r="E421" s="21" t="str">
        <x:v>BUILD A</x:v>
      </x:c>
      <x:c r="F421" s="21" t="str">
        <x:v>Independent build ecosystem 15</x:v>
      </x:c>
      <x:c r="G421" s="21" t="n">
        <x:v>28</x:v>
      </x:c>
      <x:c r="H421" s="46" t="n">
        <x:v>0</x:v>
      </x:c>
      <x:c r="I421" s="46" t="n">
        <x:v>0</x:v>
      </x:c>
      <x:c r="J421" s="46" t="n">
        <x:v>8</x:v>
      </x:c>
      <x:c r="K421" s="46" t="n">
        <x:v>0</x:v>
      </x:c>
      <x:c r="L421" s="21" t="str">
        <x:v>OPEN</x:v>
      </x:c>
      <x:c r="M421" s="21" t="str">
        <x:v>BLOCKED</x:v>
      </x:c>
      <x:c r="N421" s="23" t="str">
        <x:f>IF(AND(H421&lt;=G421,I421&lt;=H421,K421&lt;=J421),"PASS","FAIL")</x:f>
        <x:v>PASS</x:v>
      </x:c>
    </x:row>
    <x:row r="422">
      <x:c r="B422" s="21" t="str">
        <x:v>F35-I3-B</x:v>
      </x:c>
      <x:c r="C422" s="21" t="str">
        <x:v>F35-I3</x:v>
      </x:c>
      <x:c r="D422" s="21" t="str">
        <x:v>F35</x:v>
      </x:c>
      <x:c r="E422" s="21" t="str">
        <x:v>BUILD B</x:v>
      </x:c>
      <x:c r="F422" s="21" t="str">
        <x:v>Independent build ecosystem 01</x:v>
      </x:c>
      <x:c r="G422" s="21" t="n">
        <x:v>28</x:v>
      </x:c>
      <x:c r="H422" s="46" t="n">
        <x:v>0</x:v>
      </x:c>
      <x:c r="I422" s="46" t="n">
        <x:v>0</x:v>
      </x:c>
      <x:c r="J422" s="46" t="n">
        <x:v>8</x:v>
      </x:c>
      <x:c r="K422" s="46" t="n">
        <x:v>0</x:v>
      </x:c>
      <x:c r="L422" s="21" t="str">
        <x:v>OPEN</x:v>
      </x:c>
      <x:c r="M422" s="21" t="str">
        <x:v>BLOCKED</x:v>
      </x:c>
      <x:c r="N422" s="23" t="str">
        <x:f>IF(AND(H422&lt;=G422,I422&lt;=H422,K422&lt;=J422),"PASS","FAIL")</x:f>
        <x:v>PASS</x:v>
      </x:c>
    </x:row>
    <x:row r="423">
      <x:c r="B423" s="21" t="str">
        <x:v>F35-I3-C</x:v>
      </x:c>
      <x:c r="C423" s="21" t="str">
        <x:v>F35-I3</x:v>
      </x:c>
      <x:c r="D423" s="21" t="str">
        <x:v>F35</x:v>
      </x:c>
      <x:c r="E423" s="21" t="str">
        <x:v>CHALLENGE</x:v>
      </x:c>
      <x:c r="F423" s="21" t="str">
        <x:v>Sovereign challenge cell TIO-11</x:v>
      </x:c>
      <x:c r="G423" s="21" t="n">
        <x:v>28</x:v>
      </x:c>
      <x:c r="H423" s="46" t="n">
        <x:v>0</x:v>
      </x:c>
      <x:c r="I423" s="46" t="n">
        <x:v>0</x:v>
      </x:c>
      <x:c r="J423" s="46" t="n">
        <x:v>8</x:v>
      </x:c>
      <x:c r="K423" s="46" t="n">
        <x:v>0</x:v>
      </x:c>
      <x:c r="L423" s="21" t="str">
        <x:v>OPEN</x:v>
      </x:c>
      <x:c r="M423" s="21" t="str">
        <x:v>BLOCKED</x:v>
      </x:c>
      <x:c r="N423" s="23" t="str">
        <x:f>IF(AND(H423&lt;=G423,I423&lt;=H423,K423&lt;=J423),"PASS","FAIL")</x:f>
        <x:v>PASS</x:v>
      </x:c>
    </x:row>
    <x:row r="424">
      <x:c r="B424" s="21" t="str">
        <x:v>F35-I4-A</x:v>
      </x:c>
      <x:c r="C424" s="21" t="str">
        <x:v>F35-I4</x:v>
      </x:c>
      <x:c r="D424" s="21" t="str">
        <x:v>F35</x:v>
      </x:c>
      <x:c r="E424" s="21" t="str">
        <x:v>BUILD A</x:v>
      </x:c>
      <x:c r="F424" s="21" t="str">
        <x:v>Independent build ecosystem 02</x:v>
      </x:c>
      <x:c r="G424" s="21" t="n">
        <x:v>28</x:v>
      </x:c>
      <x:c r="H424" s="46" t="n">
        <x:v>0</x:v>
      </x:c>
      <x:c r="I424" s="46" t="n">
        <x:v>0</x:v>
      </x:c>
      <x:c r="J424" s="46" t="n">
        <x:v>8</x:v>
      </x:c>
      <x:c r="K424" s="46" t="n">
        <x:v>0</x:v>
      </x:c>
      <x:c r="L424" s="21" t="str">
        <x:v>OPEN</x:v>
      </x:c>
      <x:c r="M424" s="21" t="str">
        <x:v>BLOCKED</x:v>
      </x:c>
      <x:c r="N424" s="23" t="str">
        <x:f>IF(AND(H424&lt;=G424,I424&lt;=H424,K424&lt;=J424),"PASS","FAIL")</x:f>
        <x:v>PASS</x:v>
      </x:c>
    </x:row>
    <x:row r="425">
      <x:c r="B425" s="21" t="str">
        <x:v>F35-I4-B</x:v>
      </x:c>
      <x:c r="C425" s="21" t="str">
        <x:v>F35-I4</x:v>
      </x:c>
      <x:c r="D425" s="21" t="str">
        <x:v>F35</x:v>
      </x:c>
      <x:c r="E425" s="21" t="str">
        <x:v>BUILD B</x:v>
      </x:c>
      <x:c r="F425" s="21" t="str">
        <x:v>Independent build ecosystem 04</x:v>
      </x:c>
      <x:c r="G425" s="21" t="n">
        <x:v>28</x:v>
      </x:c>
      <x:c r="H425" s="46" t="n">
        <x:v>0</x:v>
      </x:c>
      <x:c r="I425" s="46" t="n">
        <x:v>0</x:v>
      </x:c>
      <x:c r="J425" s="46" t="n">
        <x:v>8</x:v>
      </x:c>
      <x:c r="K425" s="46" t="n">
        <x:v>0</x:v>
      </x:c>
      <x:c r="L425" s="21" t="str">
        <x:v>OPEN</x:v>
      </x:c>
      <x:c r="M425" s="21" t="str">
        <x:v>BLOCKED</x:v>
      </x:c>
      <x:c r="N425" s="23" t="str">
        <x:f>IF(AND(H425&lt;=G425,I425&lt;=H425,K425&lt;=J425),"PASS","FAIL")</x:f>
        <x:v>PASS</x:v>
      </x:c>
    </x:row>
    <x:row r="426">
      <x:c r="B426" s="21" t="str">
        <x:v>F35-I4-C</x:v>
      </x:c>
      <x:c r="C426" s="21" t="str">
        <x:v>F35-I4</x:v>
      </x:c>
      <x:c r="D426" s="21" t="str">
        <x:v>F35</x:v>
      </x:c>
      <x:c r="E426" s="21" t="str">
        <x:v>CHALLENGE</x:v>
      </x:c>
      <x:c r="F426" s="21" t="str">
        <x:v>Sovereign challenge cell TIO-12</x:v>
      </x:c>
      <x:c r="G426" s="21" t="n">
        <x:v>28</x:v>
      </x:c>
      <x:c r="H426" s="46" t="n">
        <x:v>0</x:v>
      </x:c>
      <x:c r="I426" s="46" t="n">
        <x:v>0</x:v>
      </x:c>
      <x:c r="J426" s="46" t="n">
        <x:v>8</x:v>
      </x:c>
      <x:c r="K426" s="46" t="n">
        <x:v>0</x:v>
      </x:c>
      <x:c r="L426" s="21" t="str">
        <x:v>OPEN</x:v>
      </x:c>
      <x:c r="M426" s="21" t="str">
        <x:v>BLOCKED</x:v>
      </x:c>
      <x:c r="N426" s="23" t="str">
        <x:f>IF(AND(H426&lt;=G426,I426&lt;=H426,K426&lt;=J426),"PASS","FAIL")</x:f>
        <x:v>PASS</x:v>
      </x:c>
    </x:row>
    <x:row r="427">
      <x:c r="B427" s="21" t="str">
        <x:v>F36-I1-A</x:v>
      </x:c>
      <x:c r="C427" s="21" t="str">
        <x:v>F36-I1</x:v>
      </x:c>
      <x:c r="D427" s="21" t="str">
        <x:v>F36</x:v>
      </x:c>
      <x:c r="E427" s="21" t="str">
        <x:v>BUILD A</x:v>
      </x:c>
      <x:c r="F427" s="21" t="str">
        <x:v>Independent build ecosystem 05</x:v>
      </x:c>
      <x:c r="G427" s="21" t="n">
        <x:v>28</x:v>
      </x:c>
      <x:c r="H427" s="46" t="n">
        <x:v>0</x:v>
      </x:c>
      <x:c r="I427" s="46" t="n">
        <x:v>0</x:v>
      </x:c>
      <x:c r="J427" s="46" t="n">
        <x:v>8</x:v>
      </x:c>
      <x:c r="K427" s="46" t="n">
        <x:v>0</x:v>
      </x:c>
      <x:c r="L427" s="21" t="str">
        <x:v>OPEN</x:v>
      </x:c>
      <x:c r="M427" s="21" t="str">
        <x:v>BLOCKED</x:v>
      </x:c>
      <x:c r="N427" s="23" t="str">
        <x:f>IF(AND(H427&lt;=G427,I427&lt;=H427,K427&lt;=J427),"PASS","FAIL")</x:f>
        <x:v>PASS</x:v>
      </x:c>
    </x:row>
    <x:row r="428">
      <x:c r="B428" s="21" t="str">
        <x:v>F36-I1-B</x:v>
      </x:c>
      <x:c r="C428" s="21" t="str">
        <x:v>F36-I1</x:v>
      </x:c>
      <x:c r="D428" s="21" t="str">
        <x:v>F36</x:v>
      </x:c>
      <x:c r="E428" s="21" t="str">
        <x:v>BUILD B</x:v>
      </x:c>
      <x:c r="F428" s="21" t="str">
        <x:v>Independent build ecosystem 07</x:v>
      </x:c>
      <x:c r="G428" s="21" t="n">
        <x:v>28</x:v>
      </x:c>
      <x:c r="H428" s="46" t="n">
        <x:v>0</x:v>
      </x:c>
      <x:c r="I428" s="46" t="n">
        <x:v>0</x:v>
      </x:c>
      <x:c r="J428" s="46" t="n">
        <x:v>8</x:v>
      </x:c>
      <x:c r="K428" s="46" t="n">
        <x:v>0</x:v>
      </x:c>
      <x:c r="L428" s="21" t="str">
        <x:v>OPEN</x:v>
      </x:c>
      <x:c r="M428" s="21" t="str">
        <x:v>BLOCKED</x:v>
      </x:c>
      <x:c r="N428" s="23" t="str">
        <x:f>IF(AND(H428&lt;=G428,I428&lt;=H428,K428&lt;=J428),"PASS","FAIL")</x:f>
        <x:v>PASS</x:v>
      </x:c>
    </x:row>
    <x:row r="429">
      <x:c r="B429" s="21" t="str">
        <x:v>F36-I1-C</x:v>
      </x:c>
      <x:c r="C429" s="21" t="str">
        <x:v>F36-I1</x:v>
      </x:c>
      <x:c r="D429" s="21" t="str">
        <x:v>F36</x:v>
      </x:c>
      <x:c r="E429" s="21" t="str">
        <x:v>CHALLENGE</x:v>
      </x:c>
      <x:c r="F429" s="21" t="str">
        <x:v>Sovereign challenge cell TIO-13</x:v>
      </x:c>
      <x:c r="G429" s="21" t="n">
        <x:v>28</x:v>
      </x:c>
      <x:c r="H429" s="46" t="n">
        <x:v>0</x:v>
      </x:c>
      <x:c r="I429" s="46" t="n">
        <x:v>0</x:v>
      </x:c>
      <x:c r="J429" s="46" t="n">
        <x:v>8</x:v>
      </x:c>
      <x:c r="K429" s="46" t="n">
        <x:v>0</x:v>
      </x:c>
      <x:c r="L429" s="21" t="str">
        <x:v>OPEN</x:v>
      </x:c>
      <x:c r="M429" s="21" t="str">
        <x:v>BLOCKED</x:v>
      </x:c>
      <x:c r="N429" s="23" t="str">
        <x:f>IF(AND(H429&lt;=G429,I429&lt;=H429,K429&lt;=J429),"PASS","FAIL")</x:f>
        <x:v>PASS</x:v>
      </x:c>
    </x:row>
    <x:row r="430">
      <x:c r="B430" s="21" t="str">
        <x:v>F36-I2-A</x:v>
      </x:c>
      <x:c r="C430" s="21" t="str">
        <x:v>F36-I2</x:v>
      </x:c>
      <x:c r="D430" s="21" t="str">
        <x:v>F36</x:v>
      </x:c>
      <x:c r="E430" s="21" t="str">
        <x:v>BUILD A</x:v>
      </x:c>
      <x:c r="F430" s="21" t="str">
        <x:v>Independent build ecosystem 08</x:v>
      </x:c>
      <x:c r="G430" s="21" t="n">
        <x:v>28</x:v>
      </x:c>
      <x:c r="H430" s="46" t="n">
        <x:v>0</x:v>
      </x:c>
      <x:c r="I430" s="46" t="n">
        <x:v>0</x:v>
      </x:c>
      <x:c r="J430" s="46" t="n">
        <x:v>8</x:v>
      </x:c>
      <x:c r="K430" s="46" t="n">
        <x:v>0</x:v>
      </x:c>
      <x:c r="L430" s="21" t="str">
        <x:v>OPEN</x:v>
      </x:c>
      <x:c r="M430" s="21" t="str">
        <x:v>BLOCKED</x:v>
      </x:c>
      <x:c r="N430" s="23" t="str">
        <x:f>IF(AND(H430&lt;=G430,I430&lt;=H430,K430&lt;=J430),"PASS","FAIL")</x:f>
        <x:v>PASS</x:v>
      </x:c>
    </x:row>
    <x:row r="431">
      <x:c r="B431" s="21" t="str">
        <x:v>F36-I2-B</x:v>
      </x:c>
      <x:c r="C431" s="21" t="str">
        <x:v>F36-I2</x:v>
      </x:c>
      <x:c r="D431" s="21" t="str">
        <x:v>F36</x:v>
      </x:c>
      <x:c r="E431" s="21" t="str">
        <x:v>BUILD B</x:v>
      </x:c>
      <x:c r="F431" s="21" t="str">
        <x:v>Independent build ecosystem 10</x:v>
      </x:c>
      <x:c r="G431" s="21" t="n">
        <x:v>28</x:v>
      </x:c>
      <x:c r="H431" s="46" t="n">
        <x:v>0</x:v>
      </x:c>
      <x:c r="I431" s="46" t="n">
        <x:v>0</x:v>
      </x:c>
      <x:c r="J431" s="46" t="n">
        <x:v>8</x:v>
      </x:c>
      <x:c r="K431" s="46" t="n">
        <x:v>0</x:v>
      </x:c>
      <x:c r="L431" s="21" t="str">
        <x:v>OPEN</x:v>
      </x:c>
      <x:c r="M431" s="21" t="str">
        <x:v>BLOCKED</x:v>
      </x:c>
      <x:c r="N431" s="23" t="str">
        <x:f>IF(AND(H431&lt;=G431,I431&lt;=H431,K431&lt;=J431),"PASS","FAIL")</x:f>
        <x:v>PASS</x:v>
      </x:c>
    </x:row>
    <x:row r="432">
      <x:c r="B432" s="21" t="str">
        <x:v>F36-I2-C</x:v>
      </x:c>
      <x:c r="C432" s="21" t="str">
        <x:v>F36-I2</x:v>
      </x:c>
      <x:c r="D432" s="21" t="str">
        <x:v>F36</x:v>
      </x:c>
      <x:c r="E432" s="21" t="str">
        <x:v>CHALLENGE</x:v>
      </x:c>
      <x:c r="F432" s="21" t="str">
        <x:v>Sovereign challenge cell TIO-14</x:v>
      </x:c>
      <x:c r="G432" s="21" t="n">
        <x:v>28</x:v>
      </x:c>
      <x:c r="H432" s="46" t="n">
        <x:v>0</x:v>
      </x:c>
      <x:c r="I432" s="46" t="n">
        <x:v>0</x:v>
      </x:c>
      <x:c r="J432" s="46" t="n">
        <x:v>8</x:v>
      </x:c>
      <x:c r="K432" s="46" t="n">
        <x:v>0</x:v>
      </x:c>
      <x:c r="L432" s="21" t="str">
        <x:v>OPEN</x:v>
      </x:c>
      <x:c r="M432" s="21" t="str">
        <x:v>BLOCKED</x:v>
      </x:c>
      <x:c r="N432" s="23" t="str">
        <x:f>IF(AND(H432&lt;=G432,I432&lt;=H432,K432&lt;=J432),"PASS","FAIL")</x:f>
        <x:v>PASS</x:v>
      </x:c>
    </x:row>
    <x:row r="433">
      <x:c r="B433" s="21" t="str">
        <x:v>F36-I3-A</x:v>
      </x:c>
      <x:c r="C433" s="21" t="str">
        <x:v>F36-I3</x:v>
      </x:c>
      <x:c r="D433" s="21" t="str">
        <x:v>F36</x:v>
      </x:c>
      <x:c r="E433" s="21" t="str">
        <x:v>BUILD A</x:v>
      </x:c>
      <x:c r="F433" s="21" t="str">
        <x:v>Independent build ecosystem 11</x:v>
      </x:c>
      <x:c r="G433" s="21" t="n">
        <x:v>28</x:v>
      </x:c>
      <x:c r="H433" s="46" t="n">
        <x:v>0</x:v>
      </x:c>
      <x:c r="I433" s="46" t="n">
        <x:v>0</x:v>
      </x:c>
      <x:c r="J433" s="46" t="n">
        <x:v>8</x:v>
      </x:c>
      <x:c r="K433" s="46" t="n">
        <x:v>0</x:v>
      </x:c>
      <x:c r="L433" s="21" t="str">
        <x:v>OPEN</x:v>
      </x:c>
      <x:c r="M433" s="21" t="str">
        <x:v>BLOCKED</x:v>
      </x:c>
      <x:c r="N433" s="23" t="str">
        <x:f>IF(AND(H433&lt;=G433,I433&lt;=H433,K433&lt;=J433),"PASS","FAIL")</x:f>
        <x:v>PASS</x:v>
      </x:c>
    </x:row>
    <x:row r="434">
      <x:c r="B434" s="21" t="str">
        <x:v>F36-I3-B</x:v>
      </x:c>
      <x:c r="C434" s="21" t="str">
        <x:v>F36-I3</x:v>
      </x:c>
      <x:c r="D434" s="21" t="str">
        <x:v>F36</x:v>
      </x:c>
      <x:c r="E434" s="21" t="str">
        <x:v>BUILD B</x:v>
      </x:c>
      <x:c r="F434" s="21" t="str">
        <x:v>Independent build ecosystem 13</x:v>
      </x:c>
      <x:c r="G434" s="21" t="n">
        <x:v>28</x:v>
      </x:c>
      <x:c r="H434" s="46" t="n">
        <x:v>0</x:v>
      </x:c>
      <x:c r="I434" s="46" t="n">
        <x:v>0</x:v>
      </x:c>
      <x:c r="J434" s="46" t="n">
        <x:v>8</x:v>
      </x:c>
      <x:c r="K434" s="46" t="n">
        <x:v>0</x:v>
      </x:c>
      <x:c r="L434" s="21" t="str">
        <x:v>OPEN</x:v>
      </x:c>
      <x:c r="M434" s="21" t="str">
        <x:v>BLOCKED</x:v>
      </x:c>
      <x:c r="N434" s="23" t="str">
        <x:f>IF(AND(H434&lt;=G434,I434&lt;=H434,K434&lt;=J434),"PASS","FAIL")</x:f>
        <x:v>PASS</x:v>
      </x:c>
    </x:row>
    <x:row r="435">
      <x:c r="B435" s="21" t="str">
        <x:v>F36-I3-C</x:v>
      </x:c>
      <x:c r="C435" s="21" t="str">
        <x:v>F36-I3</x:v>
      </x:c>
      <x:c r="D435" s="21" t="str">
        <x:v>F36</x:v>
      </x:c>
      <x:c r="E435" s="21" t="str">
        <x:v>CHALLENGE</x:v>
      </x:c>
      <x:c r="F435" s="21" t="str">
        <x:v>Sovereign challenge cell TIO-15</x:v>
      </x:c>
      <x:c r="G435" s="21" t="n">
        <x:v>28</x:v>
      </x:c>
      <x:c r="H435" s="46" t="n">
        <x:v>0</x:v>
      </x:c>
      <x:c r="I435" s="46" t="n">
        <x:v>0</x:v>
      </x:c>
      <x:c r="J435" s="46" t="n">
        <x:v>8</x:v>
      </x:c>
      <x:c r="K435" s="46" t="n">
        <x:v>0</x:v>
      </x:c>
      <x:c r="L435" s="21" t="str">
        <x:v>OPEN</x:v>
      </x:c>
      <x:c r="M435" s="21" t="str">
        <x:v>BLOCKED</x:v>
      </x:c>
      <x:c r="N435" s="23" t="str">
        <x:f>IF(AND(H435&lt;=G435,I435&lt;=H435,K435&lt;=J435),"PASS","FAIL")</x:f>
        <x:v>PASS</x:v>
      </x:c>
    </x:row>
    <x:row r="436">
      <x:c r="B436" s="21" t="str">
        <x:v>F36-I4-A</x:v>
      </x:c>
      <x:c r="C436" s="21" t="str">
        <x:v>F36-I4</x:v>
      </x:c>
      <x:c r="D436" s="21" t="str">
        <x:v>F36</x:v>
      </x:c>
      <x:c r="E436" s="21" t="str">
        <x:v>BUILD A</x:v>
      </x:c>
      <x:c r="F436" s="21" t="str">
        <x:v>Independent build ecosystem 14</x:v>
      </x:c>
      <x:c r="G436" s="21" t="n">
        <x:v>28</x:v>
      </x:c>
      <x:c r="H436" s="46" t="n">
        <x:v>0</x:v>
      </x:c>
      <x:c r="I436" s="46" t="n">
        <x:v>0</x:v>
      </x:c>
      <x:c r="J436" s="46" t="n">
        <x:v>8</x:v>
      </x:c>
      <x:c r="K436" s="46" t="n">
        <x:v>0</x:v>
      </x:c>
      <x:c r="L436" s="21" t="str">
        <x:v>OPEN</x:v>
      </x:c>
      <x:c r="M436" s="21" t="str">
        <x:v>BLOCKED</x:v>
      </x:c>
      <x:c r="N436" s="23" t="str">
        <x:f>IF(AND(H436&lt;=G436,I436&lt;=H436,K436&lt;=J436),"PASS","FAIL")</x:f>
        <x:v>PASS</x:v>
      </x:c>
    </x:row>
    <x:row r="437">
      <x:c r="B437" s="21" t="str">
        <x:v>F36-I4-B</x:v>
      </x:c>
      <x:c r="C437" s="21" t="str">
        <x:v>F36-I4</x:v>
      </x:c>
      <x:c r="D437" s="21" t="str">
        <x:v>F36</x:v>
      </x:c>
      <x:c r="E437" s="21" t="str">
        <x:v>BUILD B</x:v>
      </x:c>
      <x:c r="F437" s="21" t="str">
        <x:v>Independent build ecosystem 16</x:v>
      </x:c>
      <x:c r="G437" s="21" t="n">
        <x:v>28</x:v>
      </x:c>
      <x:c r="H437" s="46" t="n">
        <x:v>0</x:v>
      </x:c>
      <x:c r="I437" s="46" t="n">
        <x:v>0</x:v>
      </x:c>
      <x:c r="J437" s="46" t="n">
        <x:v>8</x:v>
      </x:c>
      <x:c r="K437" s="46" t="n">
        <x:v>0</x:v>
      </x:c>
      <x:c r="L437" s="21" t="str">
        <x:v>OPEN</x:v>
      </x:c>
      <x:c r="M437" s="21" t="str">
        <x:v>BLOCKED</x:v>
      </x:c>
      <x:c r="N437" s="23" t="str">
        <x:f>IF(AND(H437&lt;=G437,I437&lt;=H437,K437&lt;=J437),"PASS","FAIL")</x:f>
        <x:v>PASS</x:v>
      </x:c>
    </x:row>
    <x:row r="438">
      <x:c r="B438" s="21" t="str">
        <x:v>F36-I4-C</x:v>
      </x:c>
      <x:c r="C438" s="21" t="str">
        <x:v>F36-I4</x:v>
      </x:c>
      <x:c r="D438" s="21" t="str">
        <x:v>F36</x:v>
      </x:c>
      <x:c r="E438" s="21" t="str">
        <x:v>CHALLENGE</x:v>
      </x:c>
      <x:c r="F438" s="21" t="str">
        <x:v>Sovereign challenge cell TIO-16</x:v>
      </x:c>
      <x:c r="G438" s="21" t="n">
        <x:v>28</x:v>
      </x:c>
      <x:c r="H438" s="46" t="n">
        <x:v>0</x:v>
      </x:c>
      <x:c r="I438" s="46" t="n">
        <x:v>0</x:v>
      </x:c>
      <x:c r="J438" s="46" t="n">
        <x:v>8</x:v>
      </x:c>
      <x:c r="K438" s="46" t="n">
        <x:v>0</x:v>
      </x:c>
      <x:c r="L438" s="21" t="str">
        <x:v>OPEN</x:v>
      </x:c>
      <x:c r="M438" s="21" t="str">
        <x:v>BLOCKED</x:v>
      </x:c>
      <x:c r="N438" s="23" t="str">
        <x:f>IF(AND(H438&lt;=G438,I438&lt;=H438,K438&lt;=J438),"PASS","FAIL")</x:f>
        <x:v>PASS</x:v>
      </x:c>
    </x:row>
    <x:row r="439">
      <x:c r="B439" s="21" t="str">
        <x:v>F37-I1-A</x:v>
      </x:c>
      <x:c r="C439" s="21" t="str">
        <x:v>F37-I1</x:v>
      </x:c>
      <x:c r="D439" s="21" t="str">
        <x:v>F37</x:v>
      </x:c>
      <x:c r="E439" s="21" t="str">
        <x:v>BUILD A</x:v>
      </x:c>
      <x:c r="F439" s="21" t="str">
        <x:v>Independent build ecosystem 01</x:v>
      </x:c>
      <x:c r="G439" s="21" t="n">
        <x:v>28</x:v>
      </x:c>
      <x:c r="H439" s="46" t="n">
        <x:v>0</x:v>
      </x:c>
      <x:c r="I439" s="46" t="n">
        <x:v>0</x:v>
      </x:c>
      <x:c r="J439" s="46" t="n">
        <x:v>8</x:v>
      </x:c>
      <x:c r="K439" s="46" t="n">
        <x:v>0</x:v>
      </x:c>
      <x:c r="L439" s="21" t="str">
        <x:v>OPEN</x:v>
      </x:c>
      <x:c r="M439" s="21" t="str">
        <x:v>BLOCKED</x:v>
      </x:c>
      <x:c r="N439" s="23" t="str">
        <x:f>IF(AND(H439&lt;=G439,I439&lt;=H439,K439&lt;=J439),"PASS","FAIL")</x:f>
        <x:v>PASS</x:v>
      </x:c>
    </x:row>
    <x:row r="440">
      <x:c r="B440" s="21" t="str">
        <x:v>F37-I1-B</x:v>
      </x:c>
      <x:c r="C440" s="21" t="str">
        <x:v>F37-I1</x:v>
      </x:c>
      <x:c r="D440" s="21" t="str">
        <x:v>F37</x:v>
      </x:c>
      <x:c r="E440" s="21" t="str">
        <x:v>BUILD B</x:v>
      </x:c>
      <x:c r="F440" s="21" t="str">
        <x:v>Independent build ecosystem 03</x:v>
      </x:c>
      <x:c r="G440" s="21" t="n">
        <x:v>28</x:v>
      </x:c>
      <x:c r="H440" s="46" t="n">
        <x:v>0</x:v>
      </x:c>
      <x:c r="I440" s="46" t="n">
        <x:v>0</x:v>
      </x:c>
      <x:c r="J440" s="46" t="n">
        <x:v>8</x:v>
      </x:c>
      <x:c r="K440" s="46" t="n">
        <x:v>0</x:v>
      </x:c>
      <x:c r="L440" s="21" t="str">
        <x:v>OPEN</x:v>
      </x:c>
      <x:c r="M440" s="21" t="str">
        <x:v>BLOCKED</x:v>
      </x:c>
      <x:c r="N440" s="23" t="str">
        <x:f>IF(AND(H440&lt;=G440,I440&lt;=H440,K440&lt;=J440),"PASS","FAIL")</x:f>
        <x:v>PASS</x:v>
      </x:c>
    </x:row>
    <x:row r="441">
      <x:c r="B441" s="21" t="str">
        <x:v>F37-I1-C</x:v>
      </x:c>
      <x:c r="C441" s="21" t="str">
        <x:v>F37-I1</x:v>
      </x:c>
      <x:c r="D441" s="21" t="str">
        <x:v>F37</x:v>
      </x:c>
      <x:c r="E441" s="21" t="str">
        <x:v>CHALLENGE</x:v>
      </x:c>
      <x:c r="F441" s="21" t="str">
        <x:v>Sovereign challenge cell TIO-01</x:v>
      </x:c>
      <x:c r="G441" s="21" t="n">
        <x:v>28</x:v>
      </x:c>
      <x:c r="H441" s="46" t="n">
        <x:v>0</x:v>
      </x:c>
      <x:c r="I441" s="46" t="n">
        <x:v>0</x:v>
      </x:c>
      <x:c r="J441" s="46" t="n">
        <x:v>8</x:v>
      </x:c>
      <x:c r="K441" s="46" t="n">
        <x:v>0</x:v>
      </x:c>
      <x:c r="L441" s="21" t="str">
        <x:v>OPEN</x:v>
      </x:c>
      <x:c r="M441" s="21" t="str">
        <x:v>BLOCKED</x:v>
      </x:c>
      <x:c r="N441" s="23" t="str">
        <x:f>IF(AND(H441&lt;=G441,I441&lt;=H441,K441&lt;=J441),"PASS","FAIL")</x:f>
        <x:v>PASS</x:v>
      </x:c>
    </x:row>
    <x:row r="442">
      <x:c r="B442" s="21" t="str">
        <x:v>F37-I2-A</x:v>
      </x:c>
      <x:c r="C442" s="21" t="str">
        <x:v>F37-I2</x:v>
      </x:c>
      <x:c r="D442" s="21" t="str">
        <x:v>F37</x:v>
      </x:c>
      <x:c r="E442" s="21" t="str">
        <x:v>BUILD A</x:v>
      </x:c>
      <x:c r="F442" s="21" t="str">
        <x:v>Independent build ecosystem 04</x:v>
      </x:c>
      <x:c r="G442" s="21" t="n">
        <x:v>28</x:v>
      </x:c>
      <x:c r="H442" s="46" t="n">
        <x:v>0</x:v>
      </x:c>
      <x:c r="I442" s="46" t="n">
        <x:v>0</x:v>
      </x:c>
      <x:c r="J442" s="46" t="n">
        <x:v>8</x:v>
      </x:c>
      <x:c r="K442" s="46" t="n">
        <x:v>0</x:v>
      </x:c>
      <x:c r="L442" s="21" t="str">
        <x:v>OPEN</x:v>
      </x:c>
      <x:c r="M442" s="21" t="str">
        <x:v>BLOCKED</x:v>
      </x:c>
      <x:c r="N442" s="23" t="str">
        <x:f>IF(AND(H442&lt;=G442,I442&lt;=H442,K442&lt;=J442),"PASS","FAIL")</x:f>
        <x:v>PASS</x:v>
      </x:c>
    </x:row>
    <x:row r="443">
      <x:c r="B443" s="21" t="str">
        <x:v>F37-I2-B</x:v>
      </x:c>
      <x:c r="C443" s="21" t="str">
        <x:v>F37-I2</x:v>
      </x:c>
      <x:c r="D443" s="21" t="str">
        <x:v>F37</x:v>
      </x:c>
      <x:c r="E443" s="21" t="str">
        <x:v>BUILD B</x:v>
      </x:c>
      <x:c r="F443" s="21" t="str">
        <x:v>Independent build ecosystem 06</x:v>
      </x:c>
      <x:c r="G443" s="21" t="n">
        <x:v>28</x:v>
      </x:c>
      <x:c r="H443" s="46" t="n">
        <x:v>0</x:v>
      </x:c>
      <x:c r="I443" s="46" t="n">
        <x:v>0</x:v>
      </x:c>
      <x:c r="J443" s="46" t="n">
        <x:v>8</x:v>
      </x:c>
      <x:c r="K443" s="46" t="n">
        <x:v>0</x:v>
      </x:c>
      <x:c r="L443" s="21" t="str">
        <x:v>OPEN</x:v>
      </x:c>
      <x:c r="M443" s="21" t="str">
        <x:v>BLOCKED</x:v>
      </x:c>
      <x:c r="N443" s="23" t="str">
        <x:f>IF(AND(H443&lt;=G443,I443&lt;=H443,K443&lt;=J443),"PASS","FAIL")</x:f>
        <x:v>PASS</x:v>
      </x:c>
    </x:row>
    <x:row r="444">
      <x:c r="B444" s="21" t="str">
        <x:v>F37-I2-C</x:v>
      </x:c>
      <x:c r="C444" s="21" t="str">
        <x:v>F37-I2</x:v>
      </x:c>
      <x:c r="D444" s="21" t="str">
        <x:v>F37</x:v>
      </x:c>
      <x:c r="E444" s="21" t="str">
        <x:v>CHALLENGE</x:v>
      </x:c>
      <x:c r="F444" s="21" t="str">
        <x:v>Sovereign challenge cell TIO-02</x:v>
      </x:c>
      <x:c r="G444" s="21" t="n">
        <x:v>28</x:v>
      </x:c>
      <x:c r="H444" s="46" t="n">
        <x:v>0</x:v>
      </x:c>
      <x:c r="I444" s="46" t="n">
        <x:v>0</x:v>
      </x:c>
      <x:c r="J444" s="46" t="n">
        <x:v>8</x:v>
      </x:c>
      <x:c r="K444" s="46" t="n">
        <x:v>0</x:v>
      </x:c>
      <x:c r="L444" s="21" t="str">
        <x:v>OPEN</x:v>
      </x:c>
      <x:c r="M444" s="21" t="str">
        <x:v>BLOCKED</x:v>
      </x:c>
      <x:c r="N444" s="23" t="str">
        <x:f>IF(AND(H444&lt;=G444,I444&lt;=H444,K444&lt;=J444),"PASS","FAIL")</x:f>
        <x:v>PASS</x:v>
      </x:c>
    </x:row>
    <x:row r="445">
      <x:c r="B445" s="21" t="str">
        <x:v>F37-I3-A</x:v>
      </x:c>
      <x:c r="C445" s="21" t="str">
        <x:v>F37-I3</x:v>
      </x:c>
      <x:c r="D445" s="21" t="str">
        <x:v>F37</x:v>
      </x:c>
      <x:c r="E445" s="21" t="str">
        <x:v>BUILD A</x:v>
      </x:c>
      <x:c r="F445" s="21" t="str">
        <x:v>Independent build ecosystem 07</x:v>
      </x:c>
      <x:c r="G445" s="21" t="n">
        <x:v>28</x:v>
      </x:c>
      <x:c r="H445" s="46" t="n">
        <x:v>0</x:v>
      </x:c>
      <x:c r="I445" s="46" t="n">
        <x:v>0</x:v>
      </x:c>
      <x:c r="J445" s="46" t="n">
        <x:v>8</x:v>
      </x:c>
      <x:c r="K445" s="46" t="n">
        <x:v>0</x:v>
      </x:c>
      <x:c r="L445" s="21" t="str">
        <x:v>OPEN</x:v>
      </x:c>
      <x:c r="M445" s="21" t="str">
        <x:v>BLOCKED</x:v>
      </x:c>
      <x:c r="N445" s="23" t="str">
        <x:f>IF(AND(H445&lt;=G445,I445&lt;=H445,K445&lt;=J445),"PASS","FAIL")</x:f>
        <x:v>PASS</x:v>
      </x:c>
    </x:row>
    <x:row r="446">
      <x:c r="B446" s="21" t="str">
        <x:v>F37-I3-B</x:v>
      </x:c>
      <x:c r="C446" s="21" t="str">
        <x:v>F37-I3</x:v>
      </x:c>
      <x:c r="D446" s="21" t="str">
        <x:v>F37</x:v>
      </x:c>
      <x:c r="E446" s="21" t="str">
        <x:v>BUILD B</x:v>
      </x:c>
      <x:c r="F446" s="21" t="str">
        <x:v>Independent build ecosystem 09</x:v>
      </x:c>
      <x:c r="G446" s="21" t="n">
        <x:v>28</x:v>
      </x:c>
      <x:c r="H446" s="46" t="n">
        <x:v>0</x:v>
      </x:c>
      <x:c r="I446" s="46" t="n">
        <x:v>0</x:v>
      </x:c>
      <x:c r="J446" s="46" t="n">
        <x:v>8</x:v>
      </x:c>
      <x:c r="K446" s="46" t="n">
        <x:v>0</x:v>
      </x:c>
      <x:c r="L446" s="21" t="str">
        <x:v>OPEN</x:v>
      </x:c>
      <x:c r="M446" s="21" t="str">
        <x:v>BLOCKED</x:v>
      </x:c>
      <x:c r="N446" s="23" t="str">
        <x:f>IF(AND(H446&lt;=G446,I446&lt;=H446,K446&lt;=J446),"PASS","FAIL")</x:f>
        <x:v>PASS</x:v>
      </x:c>
    </x:row>
    <x:row r="447">
      <x:c r="B447" s="21" t="str">
        <x:v>F37-I3-C</x:v>
      </x:c>
      <x:c r="C447" s="21" t="str">
        <x:v>F37-I3</x:v>
      </x:c>
      <x:c r="D447" s="21" t="str">
        <x:v>F37</x:v>
      </x:c>
      <x:c r="E447" s="21" t="str">
        <x:v>CHALLENGE</x:v>
      </x:c>
      <x:c r="F447" s="21" t="str">
        <x:v>Sovereign challenge cell TIO-03</x:v>
      </x:c>
      <x:c r="G447" s="21" t="n">
        <x:v>28</x:v>
      </x:c>
      <x:c r="H447" s="46" t="n">
        <x:v>0</x:v>
      </x:c>
      <x:c r="I447" s="46" t="n">
        <x:v>0</x:v>
      </x:c>
      <x:c r="J447" s="46" t="n">
        <x:v>8</x:v>
      </x:c>
      <x:c r="K447" s="46" t="n">
        <x:v>0</x:v>
      </x:c>
      <x:c r="L447" s="21" t="str">
        <x:v>OPEN</x:v>
      </x:c>
      <x:c r="M447" s="21" t="str">
        <x:v>BLOCKED</x:v>
      </x:c>
      <x:c r="N447" s="23" t="str">
        <x:f>IF(AND(H447&lt;=G447,I447&lt;=H447,K447&lt;=J447),"PASS","FAIL")</x:f>
        <x:v>PASS</x:v>
      </x:c>
    </x:row>
    <x:row r="448">
      <x:c r="B448" s="21" t="str">
        <x:v>F37-I4-A</x:v>
      </x:c>
      <x:c r="C448" s="21" t="str">
        <x:v>F37-I4</x:v>
      </x:c>
      <x:c r="D448" s="21" t="str">
        <x:v>F37</x:v>
      </x:c>
      <x:c r="E448" s="21" t="str">
        <x:v>BUILD A</x:v>
      </x:c>
      <x:c r="F448" s="21" t="str">
        <x:v>Independent build ecosystem 10</x:v>
      </x:c>
      <x:c r="G448" s="21" t="n">
        <x:v>28</x:v>
      </x:c>
      <x:c r="H448" s="46" t="n">
        <x:v>0</x:v>
      </x:c>
      <x:c r="I448" s="46" t="n">
        <x:v>0</x:v>
      </x:c>
      <x:c r="J448" s="46" t="n">
        <x:v>8</x:v>
      </x:c>
      <x:c r="K448" s="46" t="n">
        <x:v>0</x:v>
      </x:c>
      <x:c r="L448" s="21" t="str">
        <x:v>OPEN</x:v>
      </x:c>
      <x:c r="M448" s="21" t="str">
        <x:v>BLOCKED</x:v>
      </x:c>
      <x:c r="N448" s="23" t="str">
        <x:f>IF(AND(H448&lt;=G448,I448&lt;=H448,K448&lt;=J448),"PASS","FAIL")</x:f>
        <x:v>PASS</x:v>
      </x:c>
    </x:row>
    <x:row r="449">
      <x:c r="B449" s="21" t="str">
        <x:v>F37-I4-B</x:v>
      </x:c>
      <x:c r="C449" s="21" t="str">
        <x:v>F37-I4</x:v>
      </x:c>
      <x:c r="D449" s="21" t="str">
        <x:v>F37</x:v>
      </x:c>
      <x:c r="E449" s="21" t="str">
        <x:v>BUILD B</x:v>
      </x:c>
      <x:c r="F449" s="21" t="str">
        <x:v>Independent build ecosystem 12</x:v>
      </x:c>
      <x:c r="G449" s="21" t="n">
        <x:v>28</x:v>
      </x:c>
      <x:c r="H449" s="46" t="n">
        <x:v>0</x:v>
      </x:c>
      <x:c r="I449" s="46" t="n">
        <x:v>0</x:v>
      </x:c>
      <x:c r="J449" s="46" t="n">
        <x:v>8</x:v>
      </x:c>
      <x:c r="K449" s="46" t="n">
        <x:v>0</x:v>
      </x:c>
      <x:c r="L449" s="21" t="str">
        <x:v>OPEN</x:v>
      </x:c>
      <x:c r="M449" s="21" t="str">
        <x:v>BLOCKED</x:v>
      </x:c>
      <x:c r="N449" s="23" t="str">
        <x:f>IF(AND(H449&lt;=G449,I449&lt;=H449,K449&lt;=J449),"PASS","FAIL")</x:f>
        <x:v>PASS</x:v>
      </x:c>
    </x:row>
    <x:row r="450">
      <x:c r="B450" s="21" t="str">
        <x:v>F37-I4-C</x:v>
      </x:c>
      <x:c r="C450" s="21" t="str">
        <x:v>F37-I4</x:v>
      </x:c>
      <x:c r="D450" s="21" t="str">
        <x:v>F37</x:v>
      </x:c>
      <x:c r="E450" s="21" t="str">
        <x:v>CHALLENGE</x:v>
      </x:c>
      <x:c r="F450" s="21" t="str">
        <x:v>Sovereign challenge cell TIO-04</x:v>
      </x:c>
      <x:c r="G450" s="21" t="n">
        <x:v>28</x:v>
      </x:c>
      <x:c r="H450" s="46" t="n">
        <x:v>0</x:v>
      </x:c>
      <x:c r="I450" s="46" t="n">
        <x:v>0</x:v>
      </x:c>
      <x:c r="J450" s="46" t="n">
        <x:v>8</x:v>
      </x:c>
      <x:c r="K450" s="46" t="n">
        <x:v>0</x:v>
      </x:c>
      <x:c r="L450" s="21" t="str">
        <x:v>OPEN</x:v>
      </x:c>
      <x:c r="M450" s="21" t="str">
        <x:v>BLOCKED</x:v>
      </x:c>
      <x:c r="N450" s="23" t="str">
        <x:f>IF(AND(H450&lt;=G450,I450&lt;=H450,K450&lt;=J450),"PASS","FAIL")</x:f>
        <x:v>PASS</x:v>
      </x:c>
    </x:row>
    <x:row r="451">
      <x:c r="B451" s="21" t="str">
        <x:v>F38-I1-A</x:v>
      </x:c>
      <x:c r="C451" s="21" t="str">
        <x:v>F38-I1</x:v>
      </x:c>
      <x:c r="D451" s="21" t="str">
        <x:v>F38</x:v>
      </x:c>
      <x:c r="E451" s="21" t="str">
        <x:v>BUILD A</x:v>
      </x:c>
      <x:c r="F451" s="21" t="str">
        <x:v>Independent build ecosystem 13</x:v>
      </x:c>
      <x:c r="G451" s="21" t="n">
        <x:v>28</x:v>
      </x:c>
      <x:c r="H451" s="46" t="n">
        <x:v>0</x:v>
      </x:c>
      <x:c r="I451" s="46" t="n">
        <x:v>0</x:v>
      </x:c>
      <x:c r="J451" s="46" t="n">
        <x:v>8</x:v>
      </x:c>
      <x:c r="K451" s="46" t="n">
        <x:v>0</x:v>
      </x:c>
      <x:c r="L451" s="21" t="str">
        <x:v>OPEN</x:v>
      </x:c>
      <x:c r="M451" s="21" t="str">
        <x:v>BLOCKED</x:v>
      </x:c>
      <x:c r="N451" s="23" t="str">
        <x:f>IF(AND(H451&lt;=G451,I451&lt;=H451,K451&lt;=J451),"PASS","FAIL")</x:f>
        <x:v>PASS</x:v>
      </x:c>
    </x:row>
    <x:row r="452">
      <x:c r="B452" s="21" t="str">
        <x:v>F38-I1-B</x:v>
      </x:c>
      <x:c r="C452" s="21" t="str">
        <x:v>F38-I1</x:v>
      </x:c>
      <x:c r="D452" s="21" t="str">
        <x:v>F38</x:v>
      </x:c>
      <x:c r="E452" s="21" t="str">
        <x:v>BUILD B</x:v>
      </x:c>
      <x:c r="F452" s="21" t="str">
        <x:v>Independent build ecosystem 15</x:v>
      </x:c>
      <x:c r="G452" s="21" t="n">
        <x:v>28</x:v>
      </x:c>
      <x:c r="H452" s="46" t="n">
        <x:v>0</x:v>
      </x:c>
      <x:c r="I452" s="46" t="n">
        <x:v>0</x:v>
      </x:c>
      <x:c r="J452" s="46" t="n">
        <x:v>8</x:v>
      </x:c>
      <x:c r="K452" s="46" t="n">
        <x:v>0</x:v>
      </x:c>
      <x:c r="L452" s="21" t="str">
        <x:v>OPEN</x:v>
      </x:c>
      <x:c r="M452" s="21" t="str">
        <x:v>BLOCKED</x:v>
      </x:c>
      <x:c r="N452" s="23" t="str">
        <x:f>IF(AND(H452&lt;=G452,I452&lt;=H452,K452&lt;=J452),"PASS","FAIL")</x:f>
        <x:v>PASS</x:v>
      </x:c>
    </x:row>
    <x:row r="453">
      <x:c r="B453" s="21" t="str">
        <x:v>F38-I1-C</x:v>
      </x:c>
      <x:c r="C453" s="21" t="str">
        <x:v>F38-I1</x:v>
      </x:c>
      <x:c r="D453" s="21" t="str">
        <x:v>F38</x:v>
      </x:c>
      <x:c r="E453" s="21" t="str">
        <x:v>CHALLENGE</x:v>
      </x:c>
      <x:c r="F453" s="21" t="str">
        <x:v>Sovereign challenge cell TIO-05</x:v>
      </x:c>
      <x:c r="G453" s="21" t="n">
        <x:v>28</x:v>
      </x:c>
      <x:c r="H453" s="46" t="n">
        <x:v>0</x:v>
      </x:c>
      <x:c r="I453" s="46" t="n">
        <x:v>0</x:v>
      </x:c>
      <x:c r="J453" s="46" t="n">
        <x:v>8</x:v>
      </x:c>
      <x:c r="K453" s="46" t="n">
        <x:v>0</x:v>
      </x:c>
      <x:c r="L453" s="21" t="str">
        <x:v>OPEN</x:v>
      </x:c>
      <x:c r="M453" s="21" t="str">
        <x:v>BLOCKED</x:v>
      </x:c>
      <x:c r="N453" s="23" t="str">
        <x:f>IF(AND(H453&lt;=G453,I453&lt;=H453,K453&lt;=J453),"PASS","FAIL")</x:f>
        <x:v>PASS</x:v>
      </x:c>
    </x:row>
    <x:row r="454">
      <x:c r="B454" s="21" t="str">
        <x:v>F38-I2-A</x:v>
      </x:c>
      <x:c r="C454" s="21" t="str">
        <x:v>F38-I2</x:v>
      </x:c>
      <x:c r="D454" s="21" t="str">
        <x:v>F38</x:v>
      </x:c>
      <x:c r="E454" s="21" t="str">
        <x:v>BUILD A</x:v>
      </x:c>
      <x:c r="F454" s="21" t="str">
        <x:v>Independent build ecosystem 16</x:v>
      </x:c>
      <x:c r="G454" s="21" t="n">
        <x:v>28</x:v>
      </x:c>
      <x:c r="H454" s="46" t="n">
        <x:v>0</x:v>
      </x:c>
      <x:c r="I454" s="46" t="n">
        <x:v>0</x:v>
      </x:c>
      <x:c r="J454" s="46" t="n">
        <x:v>8</x:v>
      </x:c>
      <x:c r="K454" s="46" t="n">
        <x:v>0</x:v>
      </x:c>
      <x:c r="L454" s="21" t="str">
        <x:v>OPEN</x:v>
      </x:c>
      <x:c r="M454" s="21" t="str">
        <x:v>BLOCKED</x:v>
      </x:c>
      <x:c r="N454" s="23" t="str">
        <x:f>IF(AND(H454&lt;=G454,I454&lt;=H454,K454&lt;=J454),"PASS","FAIL")</x:f>
        <x:v>PASS</x:v>
      </x:c>
    </x:row>
    <x:row r="455">
      <x:c r="B455" s="21" t="str">
        <x:v>F38-I2-B</x:v>
      </x:c>
      <x:c r="C455" s="21" t="str">
        <x:v>F38-I2</x:v>
      </x:c>
      <x:c r="D455" s="21" t="str">
        <x:v>F38</x:v>
      </x:c>
      <x:c r="E455" s="21" t="str">
        <x:v>BUILD B</x:v>
      </x:c>
      <x:c r="F455" s="21" t="str">
        <x:v>Independent build ecosystem 02</x:v>
      </x:c>
      <x:c r="G455" s="21" t="n">
        <x:v>28</x:v>
      </x:c>
      <x:c r="H455" s="46" t="n">
        <x:v>0</x:v>
      </x:c>
      <x:c r="I455" s="46" t="n">
        <x:v>0</x:v>
      </x:c>
      <x:c r="J455" s="46" t="n">
        <x:v>8</x:v>
      </x:c>
      <x:c r="K455" s="46" t="n">
        <x:v>0</x:v>
      </x:c>
      <x:c r="L455" s="21" t="str">
        <x:v>OPEN</x:v>
      </x:c>
      <x:c r="M455" s="21" t="str">
        <x:v>BLOCKED</x:v>
      </x:c>
      <x:c r="N455" s="23" t="str">
        <x:f>IF(AND(H455&lt;=G455,I455&lt;=H455,K455&lt;=J455),"PASS","FAIL")</x:f>
        <x:v>PASS</x:v>
      </x:c>
    </x:row>
    <x:row r="456">
      <x:c r="B456" s="21" t="str">
        <x:v>F38-I2-C</x:v>
      </x:c>
      <x:c r="C456" s="21" t="str">
        <x:v>F38-I2</x:v>
      </x:c>
      <x:c r="D456" s="21" t="str">
        <x:v>F38</x:v>
      </x:c>
      <x:c r="E456" s="21" t="str">
        <x:v>CHALLENGE</x:v>
      </x:c>
      <x:c r="F456" s="21" t="str">
        <x:v>Sovereign challenge cell TIO-06</x:v>
      </x:c>
      <x:c r="G456" s="21" t="n">
        <x:v>28</x:v>
      </x:c>
      <x:c r="H456" s="46" t="n">
        <x:v>0</x:v>
      </x:c>
      <x:c r="I456" s="46" t="n">
        <x:v>0</x:v>
      </x:c>
      <x:c r="J456" s="46" t="n">
        <x:v>8</x:v>
      </x:c>
      <x:c r="K456" s="46" t="n">
        <x:v>0</x:v>
      </x:c>
      <x:c r="L456" s="21" t="str">
        <x:v>OPEN</x:v>
      </x:c>
      <x:c r="M456" s="21" t="str">
        <x:v>BLOCKED</x:v>
      </x:c>
      <x:c r="N456" s="23" t="str">
        <x:f>IF(AND(H456&lt;=G456,I456&lt;=H456,K456&lt;=J456),"PASS","FAIL")</x:f>
        <x:v>PASS</x:v>
      </x:c>
    </x:row>
    <x:row r="457">
      <x:c r="B457" s="21" t="str">
        <x:v>F38-I3-A</x:v>
      </x:c>
      <x:c r="C457" s="21" t="str">
        <x:v>F38-I3</x:v>
      </x:c>
      <x:c r="D457" s="21" t="str">
        <x:v>F38</x:v>
      </x:c>
      <x:c r="E457" s="21" t="str">
        <x:v>BUILD A</x:v>
      </x:c>
      <x:c r="F457" s="21" t="str">
        <x:v>Independent build ecosystem 03</x:v>
      </x:c>
      <x:c r="G457" s="21" t="n">
        <x:v>28</x:v>
      </x:c>
      <x:c r="H457" s="46" t="n">
        <x:v>0</x:v>
      </x:c>
      <x:c r="I457" s="46" t="n">
        <x:v>0</x:v>
      </x:c>
      <x:c r="J457" s="46" t="n">
        <x:v>8</x:v>
      </x:c>
      <x:c r="K457" s="46" t="n">
        <x:v>0</x:v>
      </x:c>
      <x:c r="L457" s="21" t="str">
        <x:v>OPEN</x:v>
      </x:c>
      <x:c r="M457" s="21" t="str">
        <x:v>BLOCKED</x:v>
      </x:c>
      <x:c r="N457" s="23" t="str">
        <x:f>IF(AND(H457&lt;=G457,I457&lt;=H457,K457&lt;=J457),"PASS","FAIL")</x:f>
        <x:v>PASS</x:v>
      </x:c>
    </x:row>
    <x:row r="458">
      <x:c r="B458" s="21" t="str">
        <x:v>F38-I3-B</x:v>
      </x:c>
      <x:c r="C458" s="21" t="str">
        <x:v>F38-I3</x:v>
      </x:c>
      <x:c r="D458" s="21" t="str">
        <x:v>F38</x:v>
      </x:c>
      <x:c r="E458" s="21" t="str">
        <x:v>BUILD B</x:v>
      </x:c>
      <x:c r="F458" s="21" t="str">
        <x:v>Independent build ecosystem 05</x:v>
      </x:c>
      <x:c r="G458" s="21" t="n">
        <x:v>28</x:v>
      </x:c>
      <x:c r="H458" s="46" t="n">
        <x:v>0</x:v>
      </x:c>
      <x:c r="I458" s="46" t="n">
        <x:v>0</x:v>
      </x:c>
      <x:c r="J458" s="46" t="n">
        <x:v>8</x:v>
      </x:c>
      <x:c r="K458" s="46" t="n">
        <x:v>0</x:v>
      </x:c>
      <x:c r="L458" s="21" t="str">
        <x:v>OPEN</x:v>
      </x:c>
      <x:c r="M458" s="21" t="str">
        <x:v>BLOCKED</x:v>
      </x:c>
      <x:c r="N458" s="23" t="str">
        <x:f>IF(AND(H458&lt;=G458,I458&lt;=H458,K458&lt;=J458),"PASS","FAIL")</x:f>
        <x:v>PASS</x:v>
      </x:c>
    </x:row>
    <x:row r="459">
      <x:c r="B459" s="21" t="str">
        <x:v>F38-I3-C</x:v>
      </x:c>
      <x:c r="C459" s="21" t="str">
        <x:v>F38-I3</x:v>
      </x:c>
      <x:c r="D459" s="21" t="str">
        <x:v>F38</x:v>
      </x:c>
      <x:c r="E459" s="21" t="str">
        <x:v>CHALLENGE</x:v>
      </x:c>
      <x:c r="F459" s="21" t="str">
        <x:v>Sovereign challenge cell TIO-07</x:v>
      </x:c>
      <x:c r="G459" s="21" t="n">
        <x:v>28</x:v>
      </x:c>
      <x:c r="H459" s="46" t="n">
        <x:v>0</x:v>
      </x:c>
      <x:c r="I459" s="46" t="n">
        <x:v>0</x:v>
      </x:c>
      <x:c r="J459" s="46" t="n">
        <x:v>8</x:v>
      </x:c>
      <x:c r="K459" s="46" t="n">
        <x:v>0</x:v>
      </x:c>
      <x:c r="L459" s="21" t="str">
        <x:v>OPEN</x:v>
      </x:c>
      <x:c r="M459" s="21" t="str">
        <x:v>BLOCKED</x:v>
      </x:c>
      <x:c r="N459" s="23" t="str">
        <x:f>IF(AND(H459&lt;=G459,I459&lt;=H459,K459&lt;=J459),"PASS","FAIL")</x:f>
        <x:v>PASS</x:v>
      </x:c>
    </x:row>
    <x:row r="460">
      <x:c r="B460" s="21" t="str">
        <x:v>F38-I4-A</x:v>
      </x:c>
      <x:c r="C460" s="21" t="str">
        <x:v>F38-I4</x:v>
      </x:c>
      <x:c r="D460" s="21" t="str">
        <x:v>F38</x:v>
      </x:c>
      <x:c r="E460" s="21" t="str">
        <x:v>BUILD A</x:v>
      </x:c>
      <x:c r="F460" s="21" t="str">
        <x:v>Independent build ecosystem 06</x:v>
      </x:c>
      <x:c r="G460" s="21" t="n">
        <x:v>28</x:v>
      </x:c>
      <x:c r="H460" s="46" t="n">
        <x:v>0</x:v>
      </x:c>
      <x:c r="I460" s="46" t="n">
        <x:v>0</x:v>
      </x:c>
      <x:c r="J460" s="46" t="n">
        <x:v>8</x:v>
      </x:c>
      <x:c r="K460" s="46" t="n">
        <x:v>0</x:v>
      </x:c>
      <x:c r="L460" s="21" t="str">
        <x:v>OPEN</x:v>
      </x:c>
      <x:c r="M460" s="21" t="str">
        <x:v>BLOCKED</x:v>
      </x:c>
      <x:c r="N460" s="23" t="str">
        <x:f>IF(AND(H460&lt;=G460,I460&lt;=H460,K460&lt;=J460),"PASS","FAIL")</x:f>
        <x:v>PASS</x:v>
      </x:c>
    </x:row>
    <x:row r="461">
      <x:c r="B461" s="21" t="str">
        <x:v>F38-I4-B</x:v>
      </x:c>
      <x:c r="C461" s="21" t="str">
        <x:v>F38-I4</x:v>
      </x:c>
      <x:c r="D461" s="21" t="str">
        <x:v>F38</x:v>
      </x:c>
      <x:c r="E461" s="21" t="str">
        <x:v>BUILD B</x:v>
      </x:c>
      <x:c r="F461" s="21" t="str">
        <x:v>Independent build ecosystem 08</x:v>
      </x:c>
      <x:c r="G461" s="21" t="n">
        <x:v>28</x:v>
      </x:c>
      <x:c r="H461" s="46" t="n">
        <x:v>0</x:v>
      </x:c>
      <x:c r="I461" s="46" t="n">
        <x:v>0</x:v>
      </x:c>
      <x:c r="J461" s="46" t="n">
        <x:v>8</x:v>
      </x:c>
      <x:c r="K461" s="46" t="n">
        <x:v>0</x:v>
      </x:c>
      <x:c r="L461" s="21" t="str">
        <x:v>OPEN</x:v>
      </x:c>
      <x:c r="M461" s="21" t="str">
        <x:v>BLOCKED</x:v>
      </x:c>
      <x:c r="N461" s="23" t="str">
        <x:f>IF(AND(H461&lt;=G461,I461&lt;=H461,K461&lt;=J461),"PASS","FAIL")</x:f>
        <x:v>PASS</x:v>
      </x:c>
    </x:row>
    <x:row r="462">
      <x:c r="B462" s="21" t="str">
        <x:v>F38-I4-C</x:v>
      </x:c>
      <x:c r="C462" s="21" t="str">
        <x:v>F38-I4</x:v>
      </x:c>
      <x:c r="D462" s="21" t="str">
        <x:v>F38</x:v>
      </x:c>
      <x:c r="E462" s="21" t="str">
        <x:v>CHALLENGE</x:v>
      </x:c>
      <x:c r="F462" s="21" t="str">
        <x:v>Sovereign challenge cell TIO-08</x:v>
      </x:c>
      <x:c r="G462" s="21" t="n">
        <x:v>28</x:v>
      </x:c>
      <x:c r="H462" s="46" t="n">
        <x:v>0</x:v>
      </x:c>
      <x:c r="I462" s="46" t="n">
        <x:v>0</x:v>
      </x:c>
      <x:c r="J462" s="46" t="n">
        <x:v>8</x:v>
      </x:c>
      <x:c r="K462" s="46" t="n">
        <x:v>0</x:v>
      </x:c>
      <x:c r="L462" s="21" t="str">
        <x:v>OPEN</x:v>
      </x:c>
      <x:c r="M462" s="21" t="str">
        <x:v>BLOCKED</x:v>
      </x:c>
      <x:c r="N462" s="23" t="str">
        <x:f>IF(AND(H462&lt;=G462,I462&lt;=H462,K462&lt;=J462),"PASS","FAIL")</x:f>
        <x:v>PASS</x:v>
      </x:c>
    </x:row>
    <x:row r="463">
      <x:c r="B463" s="21" t="str">
        <x:v>F39-I1-A</x:v>
      </x:c>
      <x:c r="C463" s="21" t="str">
        <x:v>F39-I1</x:v>
      </x:c>
      <x:c r="D463" s="21" t="str">
        <x:v>F39</x:v>
      </x:c>
      <x:c r="E463" s="21" t="str">
        <x:v>BUILD A</x:v>
      </x:c>
      <x:c r="F463" s="21" t="str">
        <x:v>Independent build ecosystem 09</x:v>
      </x:c>
      <x:c r="G463" s="21" t="n">
        <x:v>28</x:v>
      </x:c>
      <x:c r="H463" s="46" t="n">
        <x:v>0</x:v>
      </x:c>
      <x:c r="I463" s="46" t="n">
        <x:v>0</x:v>
      </x:c>
      <x:c r="J463" s="46" t="n">
        <x:v>8</x:v>
      </x:c>
      <x:c r="K463" s="46" t="n">
        <x:v>0</x:v>
      </x:c>
      <x:c r="L463" s="21" t="str">
        <x:v>OPEN</x:v>
      </x:c>
      <x:c r="M463" s="21" t="str">
        <x:v>BLOCKED</x:v>
      </x:c>
      <x:c r="N463" s="23" t="str">
        <x:f>IF(AND(H463&lt;=G463,I463&lt;=H463,K463&lt;=J463),"PASS","FAIL")</x:f>
        <x:v>PASS</x:v>
      </x:c>
    </x:row>
    <x:row r="464">
      <x:c r="B464" s="21" t="str">
        <x:v>F39-I1-B</x:v>
      </x:c>
      <x:c r="C464" s="21" t="str">
        <x:v>F39-I1</x:v>
      </x:c>
      <x:c r="D464" s="21" t="str">
        <x:v>F39</x:v>
      </x:c>
      <x:c r="E464" s="21" t="str">
        <x:v>BUILD B</x:v>
      </x:c>
      <x:c r="F464" s="21" t="str">
        <x:v>Independent build ecosystem 11</x:v>
      </x:c>
      <x:c r="G464" s="21" t="n">
        <x:v>28</x:v>
      </x:c>
      <x:c r="H464" s="46" t="n">
        <x:v>0</x:v>
      </x:c>
      <x:c r="I464" s="46" t="n">
        <x:v>0</x:v>
      </x:c>
      <x:c r="J464" s="46" t="n">
        <x:v>8</x:v>
      </x:c>
      <x:c r="K464" s="46" t="n">
        <x:v>0</x:v>
      </x:c>
      <x:c r="L464" s="21" t="str">
        <x:v>OPEN</x:v>
      </x:c>
      <x:c r="M464" s="21" t="str">
        <x:v>BLOCKED</x:v>
      </x:c>
      <x:c r="N464" s="23" t="str">
        <x:f>IF(AND(H464&lt;=G464,I464&lt;=H464,K464&lt;=J464),"PASS","FAIL")</x:f>
        <x:v>PASS</x:v>
      </x:c>
    </x:row>
    <x:row r="465">
      <x:c r="B465" s="21" t="str">
        <x:v>F39-I1-C</x:v>
      </x:c>
      <x:c r="C465" s="21" t="str">
        <x:v>F39-I1</x:v>
      </x:c>
      <x:c r="D465" s="21" t="str">
        <x:v>F39</x:v>
      </x:c>
      <x:c r="E465" s="21" t="str">
        <x:v>CHALLENGE</x:v>
      </x:c>
      <x:c r="F465" s="21" t="str">
        <x:v>Sovereign challenge cell TIO-09</x:v>
      </x:c>
      <x:c r="G465" s="21" t="n">
        <x:v>28</x:v>
      </x:c>
      <x:c r="H465" s="46" t="n">
        <x:v>0</x:v>
      </x:c>
      <x:c r="I465" s="46" t="n">
        <x:v>0</x:v>
      </x:c>
      <x:c r="J465" s="46" t="n">
        <x:v>8</x:v>
      </x:c>
      <x:c r="K465" s="46" t="n">
        <x:v>0</x:v>
      </x:c>
      <x:c r="L465" s="21" t="str">
        <x:v>OPEN</x:v>
      </x:c>
      <x:c r="M465" s="21" t="str">
        <x:v>BLOCKED</x:v>
      </x:c>
      <x:c r="N465" s="23" t="str">
        <x:f>IF(AND(H465&lt;=G465,I465&lt;=H465,K465&lt;=J465),"PASS","FAIL")</x:f>
        <x:v>PASS</x:v>
      </x:c>
    </x:row>
    <x:row r="466">
      <x:c r="B466" s="21" t="str">
        <x:v>F39-I2-A</x:v>
      </x:c>
      <x:c r="C466" s="21" t="str">
        <x:v>F39-I2</x:v>
      </x:c>
      <x:c r="D466" s="21" t="str">
        <x:v>F39</x:v>
      </x:c>
      <x:c r="E466" s="21" t="str">
        <x:v>BUILD A</x:v>
      </x:c>
      <x:c r="F466" s="21" t="str">
        <x:v>Independent build ecosystem 12</x:v>
      </x:c>
      <x:c r="G466" s="21" t="n">
        <x:v>28</x:v>
      </x:c>
      <x:c r="H466" s="46" t="n">
        <x:v>0</x:v>
      </x:c>
      <x:c r="I466" s="46" t="n">
        <x:v>0</x:v>
      </x:c>
      <x:c r="J466" s="46" t="n">
        <x:v>8</x:v>
      </x:c>
      <x:c r="K466" s="46" t="n">
        <x:v>0</x:v>
      </x:c>
      <x:c r="L466" s="21" t="str">
        <x:v>OPEN</x:v>
      </x:c>
      <x:c r="M466" s="21" t="str">
        <x:v>BLOCKED</x:v>
      </x:c>
      <x:c r="N466" s="23" t="str">
        <x:f>IF(AND(H466&lt;=G466,I466&lt;=H466,K466&lt;=J466),"PASS","FAIL")</x:f>
        <x:v>PASS</x:v>
      </x:c>
    </x:row>
    <x:row r="467">
      <x:c r="B467" s="21" t="str">
        <x:v>F39-I2-B</x:v>
      </x:c>
      <x:c r="C467" s="21" t="str">
        <x:v>F39-I2</x:v>
      </x:c>
      <x:c r="D467" s="21" t="str">
        <x:v>F39</x:v>
      </x:c>
      <x:c r="E467" s="21" t="str">
        <x:v>BUILD B</x:v>
      </x:c>
      <x:c r="F467" s="21" t="str">
        <x:v>Independent build ecosystem 14</x:v>
      </x:c>
      <x:c r="G467" s="21" t="n">
        <x:v>28</x:v>
      </x:c>
      <x:c r="H467" s="46" t="n">
        <x:v>0</x:v>
      </x:c>
      <x:c r="I467" s="46" t="n">
        <x:v>0</x:v>
      </x:c>
      <x:c r="J467" s="46" t="n">
        <x:v>8</x:v>
      </x:c>
      <x:c r="K467" s="46" t="n">
        <x:v>0</x:v>
      </x:c>
      <x:c r="L467" s="21" t="str">
        <x:v>OPEN</x:v>
      </x:c>
      <x:c r="M467" s="21" t="str">
        <x:v>BLOCKED</x:v>
      </x:c>
      <x:c r="N467" s="23" t="str">
        <x:f>IF(AND(H467&lt;=G467,I467&lt;=H467,K467&lt;=J467),"PASS","FAIL")</x:f>
        <x:v>PASS</x:v>
      </x:c>
    </x:row>
    <x:row r="468">
      <x:c r="B468" s="21" t="str">
        <x:v>F39-I2-C</x:v>
      </x:c>
      <x:c r="C468" s="21" t="str">
        <x:v>F39-I2</x:v>
      </x:c>
      <x:c r="D468" s="21" t="str">
        <x:v>F39</x:v>
      </x:c>
      <x:c r="E468" s="21" t="str">
        <x:v>CHALLENGE</x:v>
      </x:c>
      <x:c r="F468" s="21" t="str">
        <x:v>Sovereign challenge cell TIO-10</x:v>
      </x:c>
      <x:c r="G468" s="21" t="n">
        <x:v>28</x:v>
      </x:c>
      <x:c r="H468" s="46" t="n">
        <x:v>0</x:v>
      </x:c>
      <x:c r="I468" s="46" t="n">
        <x:v>0</x:v>
      </x:c>
      <x:c r="J468" s="46" t="n">
        <x:v>8</x:v>
      </x:c>
      <x:c r="K468" s="46" t="n">
        <x:v>0</x:v>
      </x:c>
      <x:c r="L468" s="21" t="str">
        <x:v>OPEN</x:v>
      </x:c>
      <x:c r="M468" s="21" t="str">
        <x:v>BLOCKED</x:v>
      </x:c>
      <x:c r="N468" s="23" t="str">
        <x:f>IF(AND(H468&lt;=G468,I468&lt;=H468,K468&lt;=J468),"PASS","FAIL")</x:f>
        <x:v>PASS</x:v>
      </x:c>
    </x:row>
    <x:row r="469">
      <x:c r="B469" s="21" t="str">
        <x:v>F39-I3-A</x:v>
      </x:c>
      <x:c r="C469" s="21" t="str">
        <x:v>F39-I3</x:v>
      </x:c>
      <x:c r="D469" s="21" t="str">
        <x:v>F39</x:v>
      </x:c>
      <x:c r="E469" s="21" t="str">
        <x:v>BUILD A</x:v>
      </x:c>
      <x:c r="F469" s="21" t="str">
        <x:v>Independent build ecosystem 15</x:v>
      </x:c>
      <x:c r="G469" s="21" t="n">
        <x:v>28</x:v>
      </x:c>
      <x:c r="H469" s="46" t="n">
        <x:v>0</x:v>
      </x:c>
      <x:c r="I469" s="46" t="n">
        <x:v>0</x:v>
      </x:c>
      <x:c r="J469" s="46" t="n">
        <x:v>8</x:v>
      </x:c>
      <x:c r="K469" s="46" t="n">
        <x:v>0</x:v>
      </x:c>
      <x:c r="L469" s="21" t="str">
        <x:v>OPEN</x:v>
      </x:c>
      <x:c r="M469" s="21" t="str">
        <x:v>BLOCKED</x:v>
      </x:c>
      <x:c r="N469" s="23" t="str">
        <x:f>IF(AND(H469&lt;=G469,I469&lt;=H469,K469&lt;=J469),"PASS","FAIL")</x:f>
        <x:v>PASS</x:v>
      </x:c>
    </x:row>
    <x:row r="470">
      <x:c r="B470" s="21" t="str">
        <x:v>F39-I3-B</x:v>
      </x:c>
      <x:c r="C470" s="21" t="str">
        <x:v>F39-I3</x:v>
      </x:c>
      <x:c r="D470" s="21" t="str">
        <x:v>F39</x:v>
      </x:c>
      <x:c r="E470" s="21" t="str">
        <x:v>BUILD B</x:v>
      </x:c>
      <x:c r="F470" s="21" t="str">
        <x:v>Independent build ecosystem 01</x:v>
      </x:c>
      <x:c r="G470" s="21" t="n">
        <x:v>28</x:v>
      </x:c>
      <x:c r="H470" s="46" t="n">
        <x:v>0</x:v>
      </x:c>
      <x:c r="I470" s="46" t="n">
        <x:v>0</x:v>
      </x:c>
      <x:c r="J470" s="46" t="n">
        <x:v>8</x:v>
      </x:c>
      <x:c r="K470" s="46" t="n">
        <x:v>0</x:v>
      </x:c>
      <x:c r="L470" s="21" t="str">
        <x:v>OPEN</x:v>
      </x:c>
      <x:c r="M470" s="21" t="str">
        <x:v>BLOCKED</x:v>
      </x:c>
      <x:c r="N470" s="23" t="str">
        <x:f>IF(AND(H470&lt;=G470,I470&lt;=H470,K470&lt;=J470),"PASS","FAIL")</x:f>
        <x:v>PASS</x:v>
      </x:c>
    </x:row>
    <x:row r="471">
      <x:c r="B471" s="21" t="str">
        <x:v>F39-I3-C</x:v>
      </x:c>
      <x:c r="C471" s="21" t="str">
        <x:v>F39-I3</x:v>
      </x:c>
      <x:c r="D471" s="21" t="str">
        <x:v>F39</x:v>
      </x:c>
      <x:c r="E471" s="21" t="str">
        <x:v>CHALLENGE</x:v>
      </x:c>
      <x:c r="F471" s="21" t="str">
        <x:v>Sovereign challenge cell TIO-11</x:v>
      </x:c>
      <x:c r="G471" s="21" t="n">
        <x:v>28</x:v>
      </x:c>
      <x:c r="H471" s="46" t="n">
        <x:v>0</x:v>
      </x:c>
      <x:c r="I471" s="46" t="n">
        <x:v>0</x:v>
      </x:c>
      <x:c r="J471" s="46" t="n">
        <x:v>8</x:v>
      </x:c>
      <x:c r="K471" s="46" t="n">
        <x:v>0</x:v>
      </x:c>
      <x:c r="L471" s="21" t="str">
        <x:v>OPEN</x:v>
      </x:c>
      <x:c r="M471" s="21" t="str">
        <x:v>BLOCKED</x:v>
      </x:c>
      <x:c r="N471" s="23" t="str">
        <x:f>IF(AND(H471&lt;=G471,I471&lt;=H471,K471&lt;=J471),"PASS","FAIL")</x:f>
        <x:v>PASS</x:v>
      </x:c>
    </x:row>
    <x:row r="472">
      <x:c r="B472" s="21" t="str">
        <x:v>F39-I4-A</x:v>
      </x:c>
      <x:c r="C472" s="21" t="str">
        <x:v>F39-I4</x:v>
      </x:c>
      <x:c r="D472" s="21" t="str">
        <x:v>F39</x:v>
      </x:c>
      <x:c r="E472" s="21" t="str">
        <x:v>BUILD A</x:v>
      </x:c>
      <x:c r="F472" s="21" t="str">
        <x:v>Independent build ecosystem 02</x:v>
      </x:c>
      <x:c r="G472" s="21" t="n">
        <x:v>28</x:v>
      </x:c>
      <x:c r="H472" s="46" t="n">
        <x:v>0</x:v>
      </x:c>
      <x:c r="I472" s="46" t="n">
        <x:v>0</x:v>
      </x:c>
      <x:c r="J472" s="46" t="n">
        <x:v>8</x:v>
      </x:c>
      <x:c r="K472" s="46" t="n">
        <x:v>0</x:v>
      </x:c>
      <x:c r="L472" s="21" t="str">
        <x:v>OPEN</x:v>
      </x:c>
      <x:c r="M472" s="21" t="str">
        <x:v>BLOCKED</x:v>
      </x:c>
      <x:c r="N472" s="23" t="str">
        <x:f>IF(AND(H472&lt;=G472,I472&lt;=H472,K472&lt;=J472),"PASS","FAIL")</x:f>
        <x:v>PASS</x:v>
      </x:c>
    </x:row>
    <x:row r="473">
      <x:c r="B473" s="21" t="str">
        <x:v>F39-I4-B</x:v>
      </x:c>
      <x:c r="C473" s="21" t="str">
        <x:v>F39-I4</x:v>
      </x:c>
      <x:c r="D473" s="21" t="str">
        <x:v>F39</x:v>
      </x:c>
      <x:c r="E473" s="21" t="str">
        <x:v>BUILD B</x:v>
      </x:c>
      <x:c r="F473" s="21" t="str">
        <x:v>Independent build ecosystem 04</x:v>
      </x:c>
      <x:c r="G473" s="21" t="n">
        <x:v>28</x:v>
      </x:c>
      <x:c r="H473" s="46" t="n">
        <x:v>0</x:v>
      </x:c>
      <x:c r="I473" s="46" t="n">
        <x:v>0</x:v>
      </x:c>
      <x:c r="J473" s="46" t="n">
        <x:v>8</x:v>
      </x:c>
      <x:c r="K473" s="46" t="n">
        <x:v>0</x:v>
      </x:c>
      <x:c r="L473" s="21" t="str">
        <x:v>OPEN</x:v>
      </x:c>
      <x:c r="M473" s="21" t="str">
        <x:v>BLOCKED</x:v>
      </x:c>
      <x:c r="N473" s="23" t="str">
        <x:f>IF(AND(H473&lt;=G473,I473&lt;=H473,K473&lt;=J473),"PASS","FAIL")</x:f>
        <x:v>PASS</x:v>
      </x:c>
    </x:row>
    <x:row r="474">
      <x:c r="B474" s="21" t="str">
        <x:v>F39-I4-C</x:v>
      </x:c>
      <x:c r="C474" s="21" t="str">
        <x:v>F39-I4</x:v>
      </x:c>
      <x:c r="D474" s="21" t="str">
        <x:v>F39</x:v>
      </x:c>
      <x:c r="E474" s="21" t="str">
        <x:v>CHALLENGE</x:v>
      </x:c>
      <x:c r="F474" s="21" t="str">
        <x:v>Sovereign challenge cell TIO-12</x:v>
      </x:c>
      <x:c r="G474" s="21" t="n">
        <x:v>28</x:v>
      </x:c>
      <x:c r="H474" s="46" t="n">
        <x:v>0</x:v>
      </x:c>
      <x:c r="I474" s="46" t="n">
        <x:v>0</x:v>
      </x:c>
      <x:c r="J474" s="46" t="n">
        <x:v>8</x:v>
      </x:c>
      <x:c r="K474" s="46" t="n">
        <x:v>0</x:v>
      </x:c>
      <x:c r="L474" s="21" t="str">
        <x:v>OPEN</x:v>
      </x:c>
      <x:c r="M474" s="21" t="str">
        <x:v>BLOCKED</x:v>
      </x:c>
      <x:c r="N474" s="23" t="str">
        <x:f>IF(AND(H474&lt;=G474,I474&lt;=H474,K474&lt;=J474),"PASS","FAIL")</x:f>
        <x:v>PASS</x:v>
      </x:c>
    </x:row>
    <x:row r="475">
      <x:c r="B475" s="21" t="str">
        <x:v>F40-I1-A</x:v>
      </x:c>
      <x:c r="C475" s="21" t="str">
        <x:v>F40-I1</x:v>
      </x:c>
      <x:c r="D475" s="21" t="str">
        <x:v>F40</x:v>
      </x:c>
      <x:c r="E475" s="21" t="str">
        <x:v>BUILD A</x:v>
      </x:c>
      <x:c r="F475" s="21" t="str">
        <x:v>Independent build ecosystem 05</x:v>
      </x:c>
      <x:c r="G475" s="21" t="n">
        <x:v>28</x:v>
      </x:c>
      <x:c r="H475" s="46" t="n">
        <x:v>0</x:v>
      </x:c>
      <x:c r="I475" s="46" t="n">
        <x:v>0</x:v>
      </x:c>
      <x:c r="J475" s="46" t="n">
        <x:v>8</x:v>
      </x:c>
      <x:c r="K475" s="46" t="n">
        <x:v>0</x:v>
      </x:c>
      <x:c r="L475" s="21" t="str">
        <x:v>OPEN</x:v>
      </x:c>
      <x:c r="M475" s="21" t="str">
        <x:v>BLOCKED</x:v>
      </x:c>
      <x:c r="N475" s="23" t="str">
        <x:f>IF(AND(H475&lt;=G475,I475&lt;=H475,K475&lt;=J475),"PASS","FAIL")</x:f>
        <x:v>PASS</x:v>
      </x:c>
    </x:row>
    <x:row r="476">
      <x:c r="B476" s="21" t="str">
        <x:v>F40-I1-B</x:v>
      </x:c>
      <x:c r="C476" s="21" t="str">
        <x:v>F40-I1</x:v>
      </x:c>
      <x:c r="D476" s="21" t="str">
        <x:v>F40</x:v>
      </x:c>
      <x:c r="E476" s="21" t="str">
        <x:v>BUILD B</x:v>
      </x:c>
      <x:c r="F476" s="21" t="str">
        <x:v>Independent build ecosystem 07</x:v>
      </x:c>
      <x:c r="G476" s="21" t="n">
        <x:v>28</x:v>
      </x:c>
      <x:c r="H476" s="46" t="n">
        <x:v>0</x:v>
      </x:c>
      <x:c r="I476" s="46" t="n">
        <x:v>0</x:v>
      </x:c>
      <x:c r="J476" s="46" t="n">
        <x:v>8</x:v>
      </x:c>
      <x:c r="K476" s="46" t="n">
        <x:v>0</x:v>
      </x:c>
      <x:c r="L476" s="21" t="str">
        <x:v>OPEN</x:v>
      </x:c>
      <x:c r="M476" s="21" t="str">
        <x:v>BLOCKED</x:v>
      </x:c>
      <x:c r="N476" s="23" t="str">
        <x:f>IF(AND(H476&lt;=G476,I476&lt;=H476,K476&lt;=J476),"PASS","FAIL")</x:f>
        <x:v>PASS</x:v>
      </x:c>
    </x:row>
    <x:row r="477">
      <x:c r="B477" s="21" t="str">
        <x:v>F40-I1-C</x:v>
      </x:c>
      <x:c r="C477" s="21" t="str">
        <x:v>F40-I1</x:v>
      </x:c>
      <x:c r="D477" s="21" t="str">
        <x:v>F40</x:v>
      </x:c>
      <x:c r="E477" s="21" t="str">
        <x:v>CHALLENGE</x:v>
      </x:c>
      <x:c r="F477" s="21" t="str">
        <x:v>Sovereign challenge cell TIO-13</x:v>
      </x:c>
      <x:c r="G477" s="21" t="n">
        <x:v>28</x:v>
      </x:c>
      <x:c r="H477" s="46" t="n">
        <x:v>0</x:v>
      </x:c>
      <x:c r="I477" s="46" t="n">
        <x:v>0</x:v>
      </x:c>
      <x:c r="J477" s="46" t="n">
        <x:v>8</x:v>
      </x:c>
      <x:c r="K477" s="46" t="n">
        <x:v>0</x:v>
      </x:c>
      <x:c r="L477" s="21" t="str">
        <x:v>OPEN</x:v>
      </x:c>
      <x:c r="M477" s="21" t="str">
        <x:v>BLOCKED</x:v>
      </x:c>
      <x:c r="N477" s="23" t="str">
        <x:f>IF(AND(H477&lt;=G477,I477&lt;=H477,K477&lt;=J477),"PASS","FAIL")</x:f>
        <x:v>PASS</x:v>
      </x:c>
    </x:row>
    <x:row r="478">
      <x:c r="B478" s="21" t="str">
        <x:v>F40-I2-A</x:v>
      </x:c>
      <x:c r="C478" s="21" t="str">
        <x:v>F40-I2</x:v>
      </x:c>
      <x:c r="D478" s="21" t="str">
        <x:v>F40</x:v>
      </x:c>
      <x:c r="E478" s="21" t="str">
        <x:v>BUILD A</x:v>
      </x:c>
      <x:c r="F478" s="21" t="str">
        <x:v>Independent build ecosystem 08</x:v>
      </x:c>
      <x:c r="G478" s="21" t="n">
        <x:v>28</x:v>
      </x:c>
      <x:c r="H478" s="46" t="n">
        <x:v>0</x:v>
      </x:c>
      <x:c r="I478" s="46" t="n">
        <x:v>0</x:v>
      </x:c>
      <x:c r="J478" s="46" t="n">
        <x:v>8</x:v>
      </x:c>
      <x:c r="K478" s="46" t="n">
        <x:v>0</x:v>
      </x:c>
      <x:c r="L478" s="21" t="str">
        <x:v>OPEN</x:v>
      </x:c>
      <x:c r="M478" s="21" t="str">
        <x:v>BLOCKED</x:v>
      </x:c>
      <x:c r="N478" s="23" t="str">
        <x:f>IF(AND(H478&lt;=G478,I478&lt;=H478,K478&lt;=J478),"PASS","FAIL")</x:f>
        <x:v>PASS</x:v>
      </x:c>
    </x:row>
    <x:row r="479">
      <x:c r="B479" s="21" t="str">
        <x:v>F40-I2-B</x:v>
      </x:c>
      <x:c r="C479" s="21" t="str">
        <x:v>F40-I2</x:v>
      </x:c>
      <x:c r="D479" s="21" t="str">
        <x:v>F40</x:v>
      </x:c>
      <x:c r="E479" s="21" t="str">
        <x:v>BUILD B</x:v>
      </x:c>
      <x:c r="F479" s="21" t="str">
        <x:v>Independent build ecosystem 10</x:v>
      </x:c>
      <x:c r="G479" s="21" t="n">
        <x:v>28</x:v>
      </x:c>
      <x:c r="H479" s="46" t="n">
        <x:v>0</x:v>
      </x:c>
      <x:c r="I479" s="46" t="n">
        <x:v>0</x:v>
      </x:c>
      <x:c r="J479" s="46" t="n">
        <x:v>8</x:v>
      </x:c>
      <x:c r="K479" s="46" t="n">
        <x:v>0</x:v>
      </x:c>
      <x:c r="L479" s="21" t="str">
        <x:v>OPEN</x:v>
      </x:c>
      <x:c r="M479" s="21" t="str">
        <x:v>BLOCKED</x:v>
      </x:c>
      <x:c r="N479" s="23" t="str">
        <x:f>IF(AND(H479&lt;=G479,I479&lt;=H479,K479&lt;=J479),"PASS","FAIL")</x:f>
        <x:v>PASS</x:v>
      </x:c>
    </x:row>
    <x:row r="480">
      <x:c r="B480" s="21" t="str">
        <x:v>F40-I2-C</x:v>
      </x:c>
      <x:c r="C480" s="21" t="str">
        <x:v>F40-I2</x:v>
      </x:c>
      <x:c r="D480" s="21" t="str">
        <x:v>F40</x:v>
      </x:c>
      <x:c r="E480" s="21" t="str">
        <x:v>CHALLENGE</x:v>
      </x:c>
      <x:c r="F480" s="21" t="str">
        <x:v>Sovereign challenge cell TIO-14</x:v>
      </x:c>
      <x:c r="G480" s="21" t="n">
        <x:v>28</x:v>
      </x:c>
      <x:c r="H480" s="46" t="n">
        <x:v>0</x:v>
      </x:c>
      <x:c r="I480" s="46" t="n">
        <x:v>0</x:v>
      </x:c>
      <x:c r="J480" s="46" t="n">
        <x:v>8</x:v>
      </x:c>
      <x:c r="K480" s="46" t="n">
        <x:v>0</x:v>
      </x:c>
      <x:c r="L480" s="21" t="str">
        <x:v>OPEN</x:v>
      </x:c>
      <x:c r="M480" s="21" t="str">
        <x:v>BLOCKED</x:v>
      </x:c>
      <x:c r="N480" s="23" t="str">
        <x:f>IF(AND(H480&lt;=G480,I480&lt;=H480,K480&lt;=J480),"PASS","FAIL")</x:f>
        <x:v>PASS</x:v>
      </x:c>
    </x:row>
    <x:row r="481">
      <x:c r="B481" s="21" t="str">
        <x:v>F40-I3-A</x:v>
      </x:c>
      <x:c r="C481" s="21" t="str">
        <x:v>F40-I3</x:v>
      </x:c>
      <x:c r="D481" s="21" t="str">
        <x:v>F40</x:v>
      </x:c>
      <x:c r="E481" s="21" t="str">
        <x:v>BUILD A</x:v>
      </x:c>
      <x:c r="F481" s="21" t="str">
        <x:v>Independent build ecosystem 11</x:v>
      </x:c>
      <x:c r="G481" s="21" t="n">
        <x:v>28</x:v>
      </x:c>
      <x:c r="H481" s="46" t="n">
        <x:v>0</x:v>
      </x:c>
      <x:c r="I481" s="46" t="n">
        <x:v>0</x:v>
      </x:c>
      <x:c r="J481" s="46" t="n">
        <x:v>8</x:v>
      </x:c>
      <x:c r="K481" s="46" t="n">
        <x:v>0</x:v>
      </x:c>
      <x:c r="L481" s="21" t="str">
        <x:v>OPEN</x:v>
      </x:c>
      <x:c r="M481" s="21" t="str">
        <x:v>BLOCKED</x:v>
      </x:c>
      <x:c r="N481" s="23" t="str">
        <x:f>IF(AND(H481&lt;=G481,I481&lt;=H481,K481&lt;=J481),"PASS","FAIL")</x:f>
        <x:v>PASS</x:v>
      </x:c>
    </x:row>
    <x:row r="482">
      <x:c r="B482" s="21" t="str">
        <x:v>F40-I3-B</x:v>
      </x:c>
      <x:c r="C482" s="21" t="str">
        <x:v>F40-I3</x:v>
      </x:c>
      <x:c r="D482" s="21" t="str">
        <x:v>F40</x:v>
      </x:c>
      <x:c r="E482" s="21" t="str">
        <x:v>BUILD B</x:v>
      </x:c>
      <x:c r="F482" s="21" t="str">
        <x:v>Independent build ecosystem 13</x:v>
      </x:c>
      <x:c r="G482" s="21" t="n">
        <x:v>28</x:v>
      </x:c>
      <x:c r="H482" s="46" t="n">
        <x:v>0</x:v>
      </x:c>
      <x:c r="I482" s="46" t="n">
        <x:v>0</x:v>
      </x:c>
      <x:c r="J482" s="46" t="n">
        <x:v>8</x:v>
      </x:c>
      <x:c r="K482" s="46" t="n">
        <x:v>0</x:v>
      </x:c>
      <x:c r="L482" s="21" t="str">
        <x:v>OPEN</x:v>
      </x:c>
      <x:c r="M482" s="21" t="str">
        <x:v>BLOCKED</x:v>
      </x:c>
      <x:c r="N482" s="23" t="str">
        <x:f>IF(AND(H482&lt;=G482,I482&lt;=H482,K482&lt;=J482),"PASS","FAIL")</x:f>
        <x:v>PASS</x:v>
      </x:c>
    </x:row>
    <x:row r="483">
      <x:c r="B483" s="21" t="str">
        <x:v>F40-I3-C</x:v>
      </x:c>
      <x:c r="C483" s="21" t="str">
        <x:v>F40-I3</x:v>
      </x:c>
      <x:c r="D483" s="21" t="str">
        <x:v>F40</x:v>
      </x:c>
      <x:c r="E483" s="21" t="str">
        <x:v>CHALLENGE</x:v>
      </x:c>
      <x:c r="F483" s="21" t="str">
        <x:v>Sovereign challenge cell TIO-15</x:v>
      </x:c>
      <x:c r="G483" s="21" t="n">
        <x:v>28</x:v>
      </x:c>
      <x:c r="H483" s="46" t="n">
        <x:v>0</x:v>
      </x:c>
      <x:c r="I483" s="46" t="n">
        <x:v>0</x:v>
      </x:c>
      <x:c r="J483" s="46" t="n">
        <x:v>8</x:v>
      </x:c>
      <x:c r="K483" s="46" t="n">
        <x:v>0</x:v>
      </x:c>
      <x:c r="L483" s="21" t="str">
        <x:v>OPEN</x:v>
      </x:c>
      <x:c r="M483" s="21" t="str">
        <x:v>BLOCKED</x:v>
      </x:c>
      <x:c r="N483" s="23" t="str">
        <x:f>IF(AND(H483&lt;=G483,I483&lt;=H483,K483&lt;=J483),"PASS","FAIL")</x:f>
        <x:v>PASS</x:v>
      </x:c>
    </x:row>
    <x:row r="484">
      <x:c r="B484" s="21" t="str">
        <x:v>F40-I4-A</x:v>
      </x:c>
      <x:c r="C484" s="21" t="str">
        <x:v>F40-I4</x:v>
      </x:c>
      <x:c r="D484" s="21" t="str">
        <x:v>F40</x:v>
      </x:c>
      <x:c r="E484" s="21" t="str">
        <x:v>BUILD A</x:v>
      </x:c>
      <x:c r="F484" s="21" t="str">
        <x:v>Independent build ecosystem 14</x:v>
      </x:c>
      <x:c r="G484" s="21" t="n">
        <x:v>28</x:v>
      </x:c>
      <x:c r="H484" s="46" t="n">
        <x:v>0</x:v>
      </x:c>
      <x:c r="I484" s="46" t="n">
        <x:v>0</x:v>
      </x:c>
      <x:c r="J484" s="46" t="n">
        <x:v>8</x:v>
      </x:c>
      <x:c r="K484" s="46" t="n">
        <x:v>0</x:v>
      </x:c>
      <x:c r="L484" s="21" t="str">
        <x:v>OPEN</x:v>
      </x:c>
      <x:c r="M484" s="21" t="str">
        <x:v>BLOCKED</x:v>
      </x:c>
      <x:c r="N484" s="23" t="str">
        <x:f>IF(AND(H484&lt;=G484,I484&lt;=H484,K484&lt;=J484),"PASS","FAIL")</x:f>
        <x:v>PASS</x:v>
      </x:c>
    </x:row>
    <x:row r="485">
      <x:c r="B485" s="21" t="str">
        <x:v>F40-I4-B</x:v>
      </x:c>
      <x:c r="C485" s="21" t="str">
        <x:v>F40-I4</x:v>
      </x:c>
      <x:c r="D485" s="21" t="str">
        <x:v>F40</x:v>
      </x:c>
      <x:c r="E485" s="21" t="str">
        <x:v>BUILD B</x:v>
      </x:c>
      <x:c r="F485" s="21" t="str">
        <x:v>Independent build ecosystem 16</x:v>
      </x:c>
      <x:c r="G485" s="21" t="n">
        <x:v>28</x:v>
      </x:c>
      <x:c r="H485" s="46" t="n">
        <x:v>0</x:v>
      </x:c>
      <x:c r="I485" s="46" t="n">
        <x:v>0</x:v>
      </x:c>
      <x:c r="J485" s="46" t="n">
        <x:v>8</x:v>
      </x:c>
      <x:c r="K485" s="46" t="n">
        <x:v>0</x:v>
      </x:c>
      <x:c r="L485" s="21" t="str">
        <x:v>OPEN</x:v>
      </x:c>
      <x:c r="M485" s="21" t="str">
        <x:v>BLOCKED</x:v>
      </x:c>
      <x:c r="N485" s="23" t="str">
        <x:f>IF(AND(H485&lt;=G485,I485&lt;=H485,K485&lt;=J485),"PASS","FAIL")</x:f>
        <x:v>PASS</x:v>
      </x:c>
    </x:row>
    <x:row r="486">
      <x:c r="B486" s="21" t="str">
        <x:v>F40-I4-C</x:v>
      </x:c>
      <x:c r="C486" s="21" t="str">
        <x:v>F40-I4</x:v>
      </x:c>
      <x:c r="D486" s="21" t="str">
        <x:v>F40</x:v>
      </x:c>
      <x:c r="E486" s="21" t="str">
        <x:v>CHALLENGE</x:v>
      </x:c>
      <x:c r="F486" s="21" t="str">
        <x:v>Sovereign challenge cell TIO-16</x:v>
      </x:c>
      <x:c r="G486" s="21" t="n">
        <x:v>28</x:v>
      </x:c>
      <x:c r="H486" s="46" t="n">
        <x:v>0</x:v>
      </x:c>
      <x:c r="I486" s="46" t="n">
        <x:v>0</x:v>
      </x:c>
      <x:c r="J486" s="46" t="n">
        <x:v>8</x:v>
      </x:c>
      <x:c r="K486" s="46" t="n">
        <x:v>0</x:v>
      </x:c>
      <x:c r="L486" s="21" t="str">
        <x:v>OPEN</x:v>
      </x:c>
      <x:c r="M486" s="21" t="str">
        <x:v>BLOCKED</x:v>
      </x:c>
      <x:c r="N486" s="23" t="str">
        <x:f>IF(AND(H486&lt;=G486,I486&lt;=H486,K486&lt;=J486),"PASS","FAIL")</x:f>
        <x:v>PASS</x:v>
      </x:c>
    </x:row>
    <x:row r="487">
      <x:c r="B487" s="21" t="str">
        <x:v>F41-I1-A</x:v>
      </x:c>
      <x:c r="C487" s="21" t="str">
        <x:v>F41-I1</x:v>
      </x:c>
      <x:c r="D487" s="21" t="str">
        <x:v>F41</x:v>
      </x:c>
      <x:c r="E487" s="21" t="str">
        <x:v>BUILD A</x:v>
      </x:c>
      <x:c r="F487" s="21" t="str">
        <x:v>Independent build ecosystem 01</x:v>
      </x:c>
      <x:c r="G487" s="21" t="n">
        <x:v>28</x:v>
      </x:c>
      <x:c r="H487" s="46" t="n">
        <x:v>0</x:v>
      </x:c>
      <x:c r="I487" s="46" t="n">
        <x:v>0</x:v>
      </x:c>
      <x:c r="J487" s="46" t="n">
        <x:v>8</x:v>
      </x:c>
      <x:c r="K487" s="46" t="n">
        <x:v>0</x:v>
      </x:c>
      <x:c r="L487" s="21" t="str">
        <x:v>OPEN</x:v>
      </x:c>
      <x:c r="M487" s="21" t="str">
        <x:v>BLOCKED</x:v>
      </x:c>
      <x:c r="N487" s="23" t="str">
        <x:f>IF(AND(H487&lt;=G487,I487&lt;=H487,K487&lt;=J487),"PASS","FAIL")</x:f>
        <x:v>PASS</x:v>
      </x:c>
    </x:row>
    <x:row r="488">
      <x:c r="B488" s="21" t="str">
        <x:v>F41-I1-B</x:v>
      </x:c>
      <x:c r="C488" s="21" t="str">
        <x:v>F41-I1</x:v>
      </x:c>
      <x:c r="D488" s="21" t="str">
        <x:v>F41</x:v>
      </x:c>
      <x:c r="E488" s="21" t="str">
        <x:v>BUILD B</x:v>
      </x:c>
      <x:c r="F488" s="21" t="str">
        <x:v>Independent build ecosystem 03</x:v>
      </x:c>
      <x:c r="G488" s="21" t="n">
        <x:v>28</x:v>
      </x:c>
      <x:c r="H488" s="46" t="n">
        <x:v>0</x:v>
      </x:c>
      <x:c r="I488" s="46" t="n">
        <x:v>0</x:v>
      </x:c>
      <x:c r="J488" s="46" t="n">
        <x:v>8</x:v>
      </x:c>
      <x:c r="K488" s="46" t="n">
        <x:v>0</x:v>
      </x:c>
      <x:c r="L488" s="21" t="str">
        <x:v>OPEN</x:v>
      </x:c>
      <x:c r="M488" s="21" t="str">
        <x:v>BLOCKED</x:v>
      </x:c>
      <x:c r="N488" s="23" t="str">
        <x:f>IF(AND(H488&lt;=G488,I488&lt;=H488,K488&lt;=J488),"PASS","FAIL")</x:f>
        <x:v>PASS</x:v>
      </x:c>
    </x:row>
    <x:row r="489">
      <x:c r="B489" s="21" t="str">
        <x:v>F41-I1-C</x:v>
      </x:c>
      <x:c r="C489" s="21" t="str">
        <x:v>F41-I1</x:v>
      </x:c>
      <x:c r="D489" s="21" t="str">
        <x:v>F41</x:v>
      </x:c>
      <x:c r="E489" s="21" t="str">
        <x:v>CHALLENGE</x:v>
      </x:c>
      <x:c r="F489" s="21" t="str">
        <x:v>Sovereign challenge cell TIO-01</x:v>
      </x:c>
      <x:c r="G489" s="21" t="n">
        <x:v>28</x:v>
      </x:c>
      <x:c r="H489" s="46" t="n">
        <x:v>0</x:v>
      </x:c>
      <x:c r="I489" s="46" t="n">
        <x:v>0</x:v>
      </x:c>
      <x:c r="J489" s="46" t="n">
        <x:v>8</x:v>
      </x:c>
      <x:c r="K489" s="46" t="n">
        <x:v>0</x:v>
      </x:c>
      <x:c r="L489" s="21" t="str">
        <x:v>OPEN</x:v>
      </x:c>
      <x:c r="M489" s="21" t="str">
        <x:v>BLOCKED</x:v>
      </x:c>
      <x:c r="N489" s="23" t="str">
        <x:f>IF(AND(H489&lt;=G489,I489&lt;=H489,K489&lt;=J489),"PASS","FAIL")</x:f>
        <x:v>PASS</x:v>
      </x:c>
    </x:row>
    <x:row r="490">
      <x:c r="B490" s="21" t="str">
        <x:v>F41-I2-A</x:v>
      </x:c>
      <x:c r="C490" s="21" t="str">
        <x:v>F41-I2</x:v>
      </x:c>
      <x:c r="D490" s="21" t="str">
        <x:v>F41</x:v>
      </x:c>
      <x:c r="E490" s="21" t="str">
        <x:v>BUILD A</x:v>
      </x:c>
      <x:c r="F490" s="21" t="str">
        <x:v>Independent build ecosystem 04</x:v>
      </x:c>
      <x:c r="G490" s="21" t="n">
        <x:v>28</x:v>
      </x:c>
      <x:c r="H490" s="46" t="n">
        <x:v>0</x:v>
      </x:c>
      <x:c r="I490" s="46" t="n">
        <x:v>0</x:v>
      </x:c>
      <x:c r="J490" s="46" t="n">
        <x:v>8</x:v>
      </x:c>
      <x:c r="K490" s="46" t="n">
        <x:v>0</x:v>
      </x:c>
      <x:c r="L490" s="21" t="str">
        <x:v>OPEN</x:v>
      </x:c>
      <x:c r="M490" s="21" t="str">
        <x:v>BLOCKED</x:v>
      </x:c>
      <x:c r="N490" s="23" t="str">
        <x:f>IF(AND(H490&lt;=G490,I490&lt;=H490,K490&lt;=J490),"PASS","FAIL")</x:f>
        <x:v>PASS</x:v>
      </x:c>
    </x:row>
    <x:row r="491">
      <x:c r="B491" s="21" t="str">
        <x:v>F41-I2-B</x:v>
      </x:c>
      <x:c r="C491" s="21" t="str">
        <x:v>F41-I2</x:v>
      </x:c>
      <x:c r="D491" s="21" t="str">
        <x:v>F41</x:v>
      </x:c>
      <x:c r="E491" s="21" t="str">
        <x:v>BUILD B</x:v>
      </x:c>
      <x:c r="F491" s="21" t="str">
        <x:v>Independent build ecosystem 06</x:v>
      </x:c>
      <x:c r="G491" s="21" t="n">
        <x:v>28</x:v>
      </x:c>
      <x:c r="H491" s="46" t="n">
        <x:v>0</x:v>
      </x:c>
      <x:c r="I491" s="46" t="n">
        <x:v>0</x:v>
      </x:c>
      <x:c r="J491" s="46" t="n">
        <x:v>8</x:v>
      </x:c>
      <x:c r="K491" s="46" t="n">
        <x:v>0</x:v>
      </x:c>
      <x:c r="L491" s="21" t="str">
        <x:v>OPEN</x:v>
      </x:c>
      <x:c r="M491" s="21" t="str">
        <x:v>BLOCKED</x:v>
      </x:c>
      <x:c r="N491" s="23" t="str">
        <x:f>IF(AND(H491&lt;=G491,I491&lt;=H491,K491&lt;=J491),"PASS","FAIL")</x:f>
        <x:v>PASS</x:v>
      </x:c>
    </x:row>
    <x:row r="492">
      <x:c r="B492" s="21" t="str">
        <x:v>F41-I2-C</x:v>
      </x:c>
      <x:c r="C492" s="21" t="str">
        <x:v>F41-I2</x:v>
      </x:c>
      <x:c r="D492" s="21" t="str">
        <x:v>F41</x:v>
      </x:c>
      <x:c r="E492" s="21" t="str">
        <x:v>CHALLENGE</x:v>
      </x:c>
      <x:c r="F492" s="21" t="str">
        <x:v>Sovereign challenge cell TIO-02</x:v>
      </x:c>
      <x:c r="G492" s="21" t="n">
        <x:v>28</x:v>
      </x:c>
      <x:c r="H492" s="46" t="n">
        <x:v>0</x:v>
      </x:c>
      <x:c r="I492" s="46" t="n">
        <x:v>0</x:v>
      </x:c>
      <x:c r="J492" s="46" t="n">
        <x:v>8</x:v>
      </x:c>
      <x:c r="K492" s="46" t="n">
        <x:v>0</x:v>
      </x:c>
      <x:c r="L492" s="21" t="str">
        <x:v>OPEN</x:v>
      </x:c>
      <x:c r="M492" s="21" t="str">
        <x:v>BLOCKED</x:v>
      </x:c>
      <x:c r="N492" s="23" t="str">
        <x:f>IF(AND(H492&lt;=G492,I492&lt;=H492,K492&lt;=J492),"PASS","FAIL")</x:f>
        <x:v>PASS</x:v>
      </x:c>
    </x:row>
    <x:row r="493">
      <x:c r="B493" s="21" t="str">
        <x:v>F41-I3-A</x:v>
      </x:c>
      <x:c r="C493" s="21" t="str">
        <x:v>F41-I3</x:v>
      </x:c>
      <x:c r="D493" s="21" t="str">
        <x:v>F41</x:v>
      </x:c>
      <x:c r="E493" s="21" t="str">
        <x:v>BUILD A</x:v>
      </x:c>
      <x:c r="F493" s="21" t="str">
        <x:v>Independent build ecosystem 07</x:v>
      </x:c>
      <x:c r="G493" s="21" t="n">
        <x:v>28</x:v>
      </x:c>
      <x:c r="H493" s="46" t="n">
        <x:v>0</x:v>
      </x:c>
      <x:c r="I493" s="46" t="n">
        <x:v>0</x:v>
      </x:c>
      <x:c r="J493" s="46" t="n">
        <x:v>8</x:v>
      </x:c>
      <x:c r="K493" s="46" t="n">
        <x:v>0</x:v>
      </x:c>
      <x:c r="L493" s="21" t="str">
        <x:v>OPEN</x:v>
      </x:c>
      <x:c r="M493" s="21" t="str">
        <x:v>BLOCKED</x:v>
      </x:c>
      <x:c r="N493" s="23" t="str">
        <x:f>IF(AND(H493&lt;=G493,I493&lt;=H493,K493&lt;=J493),"PASS","FAIL")</x:f>
        <x:v>PASS</x:v>
      </x:c>
    </x:row>
    <x:row r="494">
      <x:c r="B494" s="21" t="str">
        <x:v>F41-I3-B</x:v>
      </x:c>
      <x:c r="C494" s="21" t="str">
        <x:v>F41-I3</x:v>
      </x:c>
      <x:c r="D494" s="21" t="str">
        <x:v>F41</x:v>
      </x:c>
      <x:c r="E494" s="21" t="str">
        <x:v>BUILD B</x:v>
      </x:c>
      <x:c r="F494" s="21" t="str">
        <x:v>Independent build ecosystem 09</x:v>
      </x:c>
      <x:c r="G494" s="21" t="n">
        <x:v>28</x:v>
      </x:c>
      <x:c r="H494" s="46" t="n">
        <x:v>0</x:v>
      </x:c>
      <x:c r="I494" s="46" t="n">
        <x:v>0</x:v>
      </x:c>
      <x:c r="J494" s="46" t="n">
        <x:v>8</x:v>
      </x:c>
      <x:c r="K494" s="46" t="n">
        <x:v>0</x:v>
      </x:c>
      <x:c r="L494" s="21" t="str">
        <x:v>OPEN</x:v>
      </x:c>
      <x:c r="M494" s="21" t="str">
        <x:v>BLOCKED</x:v>
      </x:c>
      <x:c r="N494" s="23" t="str">
        <x:f>IF(AND(H494&lt;=G494,I494&lt;=H494,K494&lt;=J494),"PASS","FAIL")</x:f>
        <x:v>PASS</x:v>
      </x:c>
    </x:row>
    <x:row r="495">
      <x:c r="B495" s="21" t="str">
        <x:v>F41-I3-C</x:v>
      </x:c>
      <x:c r="C495" s="21" t="str">
        <x:v>F41-I3</x:v>
      </x:c>
      <x:c r="D495" s="21" t="str">
        <x:v>F41</x:v>
      </x:c>
      <x:c r="E495" s="21" t="str">
        <x:v>CHALLENGE</x:v>
      </x:c>
      <x:c r="F495" s="21" t="str">
        <x:v>Sovereign challenge cell TIO-03</x:v>
      </x:c>
      <x:c r="G495" s="21" t="n">
        <x:v>28</x:v>
      </x:c>
      <x:c r="H495" s="46" t="n">
        <x:v>0</x:v>
      </x:c>
      <x:c r="I495" s="46" t="n">
        <x:v>0</x:v>
      </x:c>
      <x:c r="J495" s="46" t="n">
        <x:v>8</x:v>
      </x:c>
      <x:c r="K495" s="46" t="n">
        <x:v>0</x:v>
      </x:c>
      <x:c r="L495" s="21" t="str">
        <x:v>OPEN</x:v>
      </x:c>
      <x:c r="M495" s="21" t="str">
        <x:v>BLOCKED</x:v>
      </x:c>
      <x:c r="N495" s="23" t="str">
        <x:f>IF(AND(H495&lt;=G495,I495&lt;=H495,K495&lt;=J495),"PASS","FAIL")</x:f>
        <x:v>PASS</x:v>
      </x:c>
    </x:row>
    <x:row r="496">
      <x:c r="B496" s="21" t="str">
        <x:v>F41-I4-A</x:v>
      </x:c>
      <x:c r="C496" s="21" t="str">
        <x:v>F41-I4</x:v>
      </x:c>
      <x:c r="D496" s="21" t="str">
        <x:v>F41</x:v>
      </x:c>
      <x:c r="E496" s="21" t="str">
        <x:v>BUILD A</x:v>
      </x:c>
      <x:c r="F496" s="21" t="str">
        <x:v>Independent build ecosystem 10</x:v>
      </x:c>
      <x:c r="G496" s="21" t="n">
        <x:v>28</x:v>
      </x:c>
      <x:c r="H496" s="46" t="n">
        <x:v>0</x:v>
      </x:c>
      <x:c r="I496" s="46" t="n">
        <x:v>0</x:v>
      </x:c>
      <x:c r="J496" s="46" t="n">
        <x:v>8</x:v>
      </x:c>
      <x:c r="K496" s="46" t="n">
        <x:v>0</x:v>
      </x:c>
      <x:c r="L496" s="21" t="str">
        <x:v>OPEN</x:v>
      </x:c>
      <x:c r="M496" s="21" t="str">
        <x:v>BLOCKED</x:v>
      </x:c>
      <x:c r="N496" s="23" t="str">
        <x:f>IF(AND(H496&lt;=G496,I496&lt;=H496,K496&lt;=J496),"PASS","FAIL")</x:f>
        <x:v>PASS</x:v>
      </x:c>
    </x:row>
    <x:row r="497">
      <x:c r="B497" s="21" t="str">
        <x:v>F41-I4-B</x:v>
      </x:c>
      <x:c r="C497" s="21" t="str">
        <x:v>F41-I4</x:v>
      </x:c>
      <x:c r="D497" s="21" t="str">
        <x:v>F41</x:v>
      </x:c>
      <x:c r="E497" s="21" t="str">
        <x:v>BUILD B</x:v>
      </x:c>
      <x:c r="F497" s="21" t="str">
        <x:v>Independent build ecosystem 12</x:v>
      </x:c>
      <x:c r="G497" s="21" t="n">
        <x:v>28</x:v>
      </x:c>
      <x:c r="H497" s="46" t="n">
        <x:v>0</x:v>
      </x:c>
      <x:c r="I497" s="46" t="n">
        <x:v>0</x:v>
      </x:c>
      <x:c r="J497" s="46" t="n">
        <x:v>8</x:v>
      </x:c>
      <x:c r="K497" s="46" t="n">
        <x:v>0</x:v>
      </x:c>
      <x:c r="L497" s="21" t="str">
        <x:v>OPEN</x:v>
      </x:c>
      <x:c r="M497" s="21" t="str">
        <x:v>BLOCKED</x:v>
      </x:c>
      <x:c r="N497" s="23" t="str">
        <x:f>IF(AND(H497&lt;=G497,I497&lt;=H497,K497&lt;=J497),"PASS","FAIL")</x:f>
        <x:v>PASS</x:v>
      </x:c>
    </x:row>
    <x:row r="498">
      <x:c r="B498" s="21" t="str">
        <x:v>F41-I4-C</x:v>
      </x:c>
      <x:c r="C498" s="21" t="str">
        <x:v>F41-I4</x:v>
      </x:c>
      <x:c r="D498" s="21" t="str">
        <x:v>F41</x:v>
      </x:c>
      <x:c r="E498" s="21" t="str">
        <x:v>CHALLENGE</x:v>
      </x:c>
      <x:c r="F498" s="21" t="str">
        <x:v>Sovereign challenge cell TIO-04</x:v>
      </x:c>
      <x:c r="G498" s="21" t="n">
        <x:v>28</x:v>
      </x:c>
      <x:c r="H498" s="46" t="n">
        <x:v>0</x:v>
      </x:c>
      <x:c r="I498" s="46" t="n">
        <x:v>0</x:v>
      </x:c>
      <x:c r="J498" s="46" t="n">
        <x:v>8</x:v>
      </x:c>
      <x:c r="K498" s="46" t="n">
        <x:v>0</x:v>
      </x:c>
      <x:c r="L498" s="21" t="str">
        <x:v>OPEN</x:v>
      </x:c>
      <x:c r="M498" s="21" t="str">
        <x:v>BLOCKED</x:v>
      </x:c>
      <x:c r="N498" s="23" t="str">
        <x:f>IF(AND(H498&lt;=G498,I498&lt;=H498,K498&lt;=J498),"PASS","FAIL")</x:f>
        <x:v>PASS</x:v>
      </x:c>
    </x:row>
    <x:row r="499">
      <x:c r="B499" s="21" t="str">
        <x:v>F42-I1-A</x:v>
      </x:c>
      <x:c r="C499" s="21" t="str">
        <x:v>F42-I1</x:v>
      </x:c>
      <x:c r="D499" s="21" t="str">
        <x:v>F42</x:v>
      </x:c>
      <x:c r="E499" s="21" t="str">
        <x:v>BUILD A</x:v>
      </x:c>
      <x:c r="F499" s="21" t="str">
        <x:v>Independent build ecosystem 13</x:v>
      </x:c>
      <x:c r="G499" s="21" t="n">
        <x:v>28</x:v>
      </x:c>
      <x:c r="H499" s="46" t="n">
        <x:v>0</x:v>
      </x:c>
      <x:c r="I499" s="46" t="n">
        <x:v>0</x:v>
      </x:c>
      <x:c r="J499" s="46" t="n">
        <x:v>8</x:v>
      </x:c>
      <x:c r="K499" s="46" t="n">
        <x:v>0</x:v>
      </x:c>
      <x:c r="L499" s="21" t="str">
        <x:v>OPEN</x:v>
      </x:c>
      <x:c r="M499" s="21" t="str">
        <x:v>BLOCKED</x:v>
      </x:c>
      <x:c r="N499" s="23" t="str">
        <x:f>IF(AND(H499&lt;=G499,I499&lt;=H499,K499&lt;=J499),"PASS","FAIL")</x:f>
        <x:v>PASS</x:v>
      </x:c>
    </x:row>
    <x:row r="500">
      <x:c r="B500" s="21" t="str">
        <x:v>F42-I1-B</x:v>
      </x:c>
      <x:c r="C500" s="21" t="str">
        <x:v>F42-I1</x:v>
      </x:c>
      <x:c r="D500" s="21" t="str">
        <x:v>F42</x:v>
      </x:c>
      <x:c r="E500" s="21" t="str">
        <x:v>BUILD B</x:v>
      </x:c>
      <x:c r="F500" s="21" t="str">
        <x:v>Independent build ecosystem 15</x:v>
      </x:c>
      <x:c r="G500" s="21" t="n">
        <x:v>28</x:v>
      </x:c>
      <x:c r="H500" s="46" t="n">
        <x:v>0</x:v>
      </x:c>
      <x:c r="I500" s="46" t="n">
        <x:v>0</x:v>
      </x:c>
      <x:c r="J500" s="46" t="n">
        <x:v>8</x:v>
      </x:c>
      <x:c r="K500" s="46" t="n">
        <x:v>0</x:v>
      </x:c>
      <x:c r="L500" s="21" t="str">
        <x:v>OPEN</x:v>
      </x:c>
      <x:c r="M500" s="21" t="str">
        <x:v>BLOCKED</x:v>
      </x:c>
      <x:c r="N500" s="23" t="str">
        <x:f>IF(AND(H500&lt;=G500,I500&lt;=H500,K500&lt;=J500),"PASS","FAIL")</x:f>
        <x:v>PASS</x:v>
      </x:c>
    </x:row>
    <x:row r="501">
      <x:c r="B501" s="21" t="str">
        <x:v>F42-I1-C</x:v>
      </x:c>
      <x:c r="C501" s="21" t="str">
        <x:v>F42-I1</x:v>
      </x:c>
      <x:c r="D501" s="21" t="str">
        <x:v>F42</x:v>
      </x:c>
      <x:c r="E501" s="21" t="str">
        <x:v>CHALLENGE</x:v>
      </x:c>
      <x:c r="F501" s="21" t="str">
        <x:v>Sovereign challenge cell TIO-05</x:v>
      </x:c>
      <x:c r="G501" s="21" t="n">
        <x:v>28</x:v>
      </x:c>
      <x:c r="H501" s="46" t="n">
        <x:v>0</x:v>
      </x:c>
      <x:c r="I501" s="46" t="n">
        <x:v>0</x:v>
      </x:c>
      <x:c r="J501" s="46" t="n">
        <x:v>8</x:v>
      </x:c>
      <x:c r="K501" s="46" t="n">
        <x:v>0</x:v>
      </x:c>
      <x:c r="L501" s="21" t="str">
        <x:v>OPEN</x:v>
      </x:c>
      <x:c r="M501" s="21" t="str">
        <x:v>BLOCKED</x:v>
      </x:c>
      <x:c r="N501" s="23" t="str">
        <x:f>IF(AND(H501&lt;=G501,I501&lt;=H501,K501&lt;=J501),"PASS","FAIL")</x:f>
        <x:v>PASS</x:v>
      </x:c>
    </x:row>
    <x:row r="502">
      <x:c r="B502" s="21" t="str">
        <x:v>F42-I2-A</x:v>
      </x:c>
      <x:c r="C502" s="21" t="str">
        <x:v>F42-I2</x:v>
      </x:c>
      <x:c r="D502" s="21" t="str">
        <x:v>F42</x:v>
      </x:c>
      <x:c r="E502" s="21" t="str">
        <x:v>BUILD A</x:v>
      </x:c>
      <x:c r="F502" s="21" t="str">
        <x:v>Independent build ecosystem 16</x:v>
      </x:c>
      <x:c r="G502" s="21" t="n">
        <x:v>28</x:v>
      </x:c>
      <x:c r="H502" s="46" t="n">
        <x:v>0</x:v>
      </x:c>
      <x:c r="I502" s="46" t="n">
        <x:v>0</x:v>
      </x:c>
      <x:c r="J502" s="46" t="n">
        <x:v>8</x:v>
      </x:c>
      <x:c r="K502" s="46" t="n">
        <x:v>0</x:v>
      </x:c>
      <x:c r="L502" s="21" t="str">
        <x:v>OPEN</x:v>
      </x:c>
      <x:c r="M502" s="21" t="str">
        <x:v>BLOCKED</x:v>
      </x:c>
      <x:c r="N502" s="23" t="str">
        <x:f>IF(AND(H502&lt;=G502,I502&lt;=H502,K502&lt;=J502),"PASS","FAIL")</x:f>
        <x:v>PASS</x:v>
      </x:c>
    </x:row>
    <x:row r="503">
      <x:c r="B503" s="21" t="str">
        <x:v>F42-I2-B</x:v>
      </x:c>
      <x:c r="C503" s="21" t="str">
        <x:v>F42-I2</x:v>
      </x:c>
      <x:c r="D503" s="21" t="str">
        <x:v>F42</x:v>
      </x:c>
      <x:c r="E503" s="21" t="str">
        <x:v>BUILD B</x:v>
      </x:c>
      <x:c r="F503" s="21" t="str">
        <x:v>Independent build ecosystem 02</x:v>
      </x:c>
      <x:c r="G503" s="21" t="n">
        <x:v>28</x:v>
      </x:c>
      <x:c r="H503" s="46" t="n">
        <x:v>0</x:v>
      </x:c>
      <x:c r="I503" s="46" t="n">
        <x:v>0</x:v>
      </x:c>
      <x:c r="J503" s="46" t="n">
        <x:v>8</x:v>
      </x:c>
      <x:c r="K503" s="46" t="n">
        <x:v>0</x:v>
      </x:c>
      <x:c r="L503" s="21" t="str">
        <x:v>OPEN</x:v>
      </x:c>
      <x:c r="M503" s="21" t="str">
        <x:v>BLOCKED</x:v>
      </x:c>
      <x:c r="N503" s="23" t="str">
        <x:f>IF(AND(H503&lt;=G503,I503&lt;=H503,K503&lt;=J503),"PASS","FAIL")</x:f>
        <x:v>PASS</x:v>
      </x:c>
    </x:row>
    <x:row r="504">
      <x:c r="B504" s="21" t="str">
        <x:v>F42-I2-C</x:v>
      </x:c>
      <x:c r="C504" s="21" t="str">
        <x:v>F42-I2</x:v>
      </x:c>
      <x:c r="D504" s="21" t="str">
        <x:v>F42</x:v>
      </x:c>
      <x:c r="E504" s="21" t="str">
        <x:v>CHALLENGE</x:v>
      </x:c>
      <x:c r="F504" s="21" t="str">
        <x:v>Sovereign challenge cell TIO-06</x:v>
      </x:c>
      <x:c r="G504" s="21" t="n">
        <x:v>28</x:v>
      </x:c>
      <x:c r="H504" s="46" t="n">
        <x:v>0</x:v>
      </x:c>
      <x:c r="I504" s="46" t="n">
        <x:v>0</x:v>
      </x:c>
      <x:c r="J504" s="46" t="n">
        <x:v>8</x:v>
      </x:c>
      <x:c r="K504" s="46" t="n">
        <x:v>0</x:v>
      </x:c>
      <x:c r="L504" s="21" t="str">
        <x:v>OPEN</x:v>
      </x:c>
      <x:c r="M504" s="21" t="str">
        <x:v>BLOCKED</x:v>
      </x:c>
      <x:c r="N504" s="23" t="str">
        <x:f>IF(AND(H504&lt;=G504,I504&lt;=H504,K504&lt;=J504),"PASS","FAIL")</x:f>
        <x:v>PASS</x:v>
      </x:c>
    </x:row>
    <x:row r="505">
      <x:c r="B505" s="21" t="str">
        <x:v>F42-I3-A</x:v>
      </x:c>
      <x:c r="C505" s="21" t="str">
        <x:v>F42-I3</x:v>
      </x:c>
      <x:c r="D505" s="21" t="str">
        <x:v>F42</x:v>
      </x:c>
      <x:c r="E505" s="21" t="str">
        <x:v>BUILD A</x:v>
      </x:c>
      <x:c r="F505" s="21" t="str">
        <x:v>Independent build ecosystem 03</x:v>
      </x:c>
      <x:c r="G505" s="21" t="n">
        <x:v>28</x:v>
      </x:c>
      <x:c r="H505" s="46" t="n">
        <x:v>0</x:v>
      </x:c>
      <x:c r="I505" s="46" t="n">
        <x:v>0</x:v>
      </x:c>
      <x:c r="J505" s="46" t="n">
        <x:v>8</x:v>
      </x:c>
      <x:c r="K505" s="46" t="n">
        <x:v>0</x:v>
      </x:c>
      <x:c r="L505" s="21" t="str">
        <x:v>OPEN</x:v>
      </x:c>
      <x:c r="M505" s="21" t="str">
        <x:v>BLOCKED</x:v>
      </x:c>
      <x:c r="N505" s="23" t="str">
        <x:f>IF(AND(H505&lt;=G505,I505&lt;=H505,K505&lt;=J505),"PASS","FAIL")</x:f>
        <x:v>PASS</x:v>
      </x:c>
    </x:row>
    <x:row r="506">
      <x:c r="B506" s="21" t="str">
        <x:v>F42-I3-B</x:v>
      </x:c>
      <x:c r="C506" s="21" t="str">
        <x:v>F42-I3</x:v>
      </x:c>
      <x:c r="D506" s="21" t="str">
        <x:v>F42</x:v>
      </x:c>
      <x:c r="E506" s="21" t="str">
        <x:v>BUILD B</x:v>
      </x:c>
      <x:c r="F506" s="21" t="str">
        <x:v>Independent build ecosystem 05</x:v>
      </x:c>
      <x:c r="G506" s="21" t="n">
        <x:v>28</x:v>
      </x:c>
      <x:c r="H506" s="46" t="n">
        <x:v>0</x:v>
      </x:c>
      <x:c r="I506" s="46" t="n">
        <x:v>0</x:v>
      </x:c>
      <x:c r="J506" s="46" t="n">
        <x:v>8</x:v>
      </x:c>
      <x:c r="K506" s="46" t="n">
        <x:v>0</x:v>
      </x:c>
      <x:c r="L506" s="21" t="str">
        <x:v>OPEN</x:v>
      </x:c>
      <x:c r="M506" s="21" t="str">
        <x:v>BLOCKED</x:v>
      </x:c>
      <x:c r="N506" s="23" t="str">
        <x:f>IF(AND(H506&lt;=G506,I506&lt;=H506,K506&lt;=J506),"PASS","FAIL")</x:f>
        <x:v>PASS</x:v>
      </x:c>
    </x:row>
    <x:row r="507">
      <x:c r="B507" s="21" t="str">
        <x:v>F42-I3-C</x:v>
      </x:c>
      <x:c r="C507" s="21" t="str">
        <x:v>F42-I3</x:v>
      </x:c>
      <x:c r="D507" s="21" t="str">
        <x:v>F42</x:v>
      </x:c>
      <x:c r="E507" s="21" t="str">
        <x:v>CHALLENGE</x:v>
      </x:c>
      <x:c r="F507" s="21" t="str">
        <x:v>Sovereign challenge cell TIO-07</x:v>
      </x:c>
      <x:c r="G507" s="21" t="n">
        <x:v>28</x:v>
      </x:c>
      <x:c r="H507" s="46" t="n">
        <x:v>0</x:v>
      </x:c>
      <x:c r="I507" s="46" t="n">
        <x:v>0</x:v>
      </x:c>
      <x:c r="J507" s="46" t="n">
        <x:v>8</x:v>
      </x:c>
      <x:c r="K507" s="46" t="n">
        <x:v>0</x:v>
      </x:c>
      <x:c r="L507" s="21" t="str">
        <x:v>OPEN</x:v>
      </x:c>
      <x:c r="M507" s="21" t="str">
        <x:v>BLOCKED</x:v>
      </x:c>
      <x:c r="N507" s="23" t="str">
        <x:f>IF(AND(H507&lt;=G507,I507&lt;=H507,K507&lt;=J507),"PASS","FAIL")</x:f>
        <x:v>PASS</x:v>
      </x:c>
    </x:row>
    <x:row r="508">
      <x:c r="B508" s="21" t="str">
        <x:v>F42-I4-A</x:v>
      </x:c>
      <x:c r="C508" s="21" t="str">
        <x:v>F42-I4</x:v>
      </x:c>
      <x:c r="D508" s="21" t="str">
        <x:v>F42</x:v>
      </x:c>
      <x:c r="E508" s="21" t="str">
        <x:v>BUILD A</x:v>
      </x:c>
      <x:c r="F508" s="21" t="str">
        <x:v>Independent build ecosystem 06</x:v>
      </x:c>
      <x:c r="G508" s="21" t="n">
        <x:v>28</x:v>
      </x:c>
      <x:c r="H508" s="46" t="n">
        <x:v>0</x:v>
      </x:c>
      <x:c r="I508" s="46" t="n">
        <x:v>0</x:v>
      </x:c>
      <x:c r="J508" s="46" t="n">
        <x:v>8</x:v>
      </x:c>
      <x:c r="K508" s="46" t="n">
        <x:v>0</x:v>
      </x:c>
      <x:c r="L508" s="21" t="str">
        <x:v>OPEN</x:v>
      </x:c>
      <x:c r="M508" s="21" t="str">
        <x:v>BLOCKED</x:v>
      </x:c>
      <x:c r="N508" s="23" t="str">
        <x:f>IF(AND(H508&lt;=G508,I508&lt;=H508,K508&lt;=J508),"PASS","FAIL")</x:f>
        <x:v>PASS</x:v>
      </x:c>
    </x:row>
    <x:row r="509">
      <x:c r="B509" s="21" t="str">
        <x:v>F42-I4-B</x:v>
      </x:c>
      <x:c r="C509" s="21" t="str">
        <x:v>F42-I4</x:v>
      </x:c>
      <x:c r="D509" s="21" t="str">
        <x:v>F42</x:v>
      </x:c>
      <x:c r="E509" s="21" t="str">
        <x:v>BUILD B</x:v>
      </x:c>
      <x:c r="F509" s="21" t="str">
        <x:v>Independent build ecosystem 08</x:v>
      </x:c>
      <x:c r="G509" s="21" t="n">
        <x:v>28</x:v>
      </x:c>
      <x:c r="H509" s="46" t="n">
        <x:v>0</x:v>
      </x:c>
      <x:c r="I509" s="46" t="n">
        <x:v>0</x:v>
      </x:c>
      <x:c r="J509" s="46" t="n">
        <x:v>8</x:v>
      </x:c>
      <x:c r="K509" s="46" t="n">
        <x:v>0</x:v>
      </x:c>
      <x:c r="L509" s="21" t="str">
        <x:v>OPEN</x:v>
      </x:c>
      <x:c r="M509" s="21" t="str">
        <x:v>BLOCKED</x:v>
      </x:c>
      <x:c r="N509" s="23" t="str">
        <x:f>IF(AND(H509&lt;=G509,I509&lt;=H509,K509&lt;=J509),"PASS","FAIL")</x:f>
        <x:v>PASS</x:v>
      </x:c>
    </x:row>
    <x:row r="510">
      <x:c r="B510" s="21" t="str">
        <x:v>F42-I4-C</x:v>
      </x:c>
      <x:c r="C510" s="21" t="str">
        <x:v>F42-I4</x:v>
      </x:c>
      <x:c r="D510" s="21" t="str">
        <x:v>F42</x:v>
      </x:c>
      <x:c r="E510" s="21" t="str">
        <x:v>CHALLENGE</x:v>
      </x:c>
      <x:c r="F510" s="21" t="str">
        <x:v>Sovereign challenge cell TIO-08</x:v>
      </x:c>
      <x:c r="G510" s="21" t="n">
        <x:v>28</x:v>
      </x:c>
      <x:c r="H510" s="46" t="n">
        <x:v>0</x:v>
      </x:c>
      <x:c r="I510" s="46" t="n">
        <x:v>0</x:v>
      </x:c>
      <x:c r="J510" s="46" t="n">
        <x:v>8</x:v>
      </x:c>
      <x:c r="K510" s="46" t="n">
        <x:v>0</x:v>
      </x:c>
      <x:c r="L510" s="21" t="str">
        <x:v>OPEN</x:v>
      </x:c>
      <x:c r="M510" s="21" t="str">
        <x:v>BLOCKED</x:v>
      </x:c>
      <x:c r="N510" s="23" t="str">
        <x:f>IF(AND(H510&lt;=G510,I510&lt;=H510,K510&lt;=J510),"PASS","FAIL")</x:f>
        <x:v>PASS</x:v>
      </x:c>
    </x:row>
    <x:row r="511">
      <x:c r="B511" s="21" t="str">
        <x:v>F43-I1-A</x:v>
      </x:c>
      <x:c r="C511" s="21" t="str">
        <x:v>F43-I1</x:v>
      </x:c>
      <x:c r="D511" s="21" t="str">
        <x:v>F43</x:v>
      </x:c>
      <x:c r="E511" s="21" t="str">
        <x:v>BUILD A</x:v>
      </x:c>
      <x:c r="F511" s="21" t="str">
        <x:v>Independent build ecosystem 09</x:v>
      </x:c>
      <x:c r="G511" s="21" t="n">
        <x:v>28</x:v>
      </x:c>
      <x:c r="H511" s="46" t="n">
        <x:v>0</x:v>
      </x:c>
      <x:c r="I511" s="46" t="n">
        <x:v>0</x:v>
      </x:c>
      <x:c r="J511" s="46" t="n">
        <x:v>8</x:v>
      </x:c>
      <x:c r="K511" s="46" t="n">
        <x:v>0</x:v>
      </x:c>
      <x:c r="L511" s="21" t="str">
        <x:v>OPEN</x:v>
      </x:c>
      <x:c r="M511" s="21" t="str">
        <x:v>BLOCKED</x:v>
      </x:c>
      <x:c r="N511" s="23" t="str">
        <x:f>IF(AND(H511&lt;=G511,I511&lt;=H511,K511&lt;=J511),"PASS","FAIL")</x:f>
        <x:v>PASS</x:v>
      </x:c>
    </x:row>
    <x:row r="512">
      <x:c r="B512" s="21" t="str">
        <x:v>F43-I1-B</x:v>
      </x:c>
      <x:c r="C512" s="21" t="str">
        <x:v>F43-I1</x:v>
      </x:c>
      <x:c r="D512" s="21" t="str">
        <x:v>F43</x:v>
      </x:c>
      <x:c r="E512" s="21" t="str">
        <x:v>BUILD B</x:v>
      </x:c>
      <x:c r="F512" s="21" t="str">
        <x:v>Independent build ecosystem 11</x:v>
      </x:c>
      <x:c r="G512" s="21" t="n">
        <x:v>28</x:v>
      </x:c>
      <x:c r="H512" s="46" t="n">
        <x:v>0</x:v>
      </x:c>
      <x:c r="I512" s="46" t="n">
        <x:v>0</x:v>
      </x:c>
      <x:c r="J512" s="46" t="n">
        <x:v>8</x:v>
      </x:c>
      <x:c r="K512" s="46" t="n">
        <x:v>0</x:v>
      </x:c>
      <x:c r="L512" s="21" t="str">
        <x:v>OPEN</x:v>
      </x:c>
      <x:c r="M512" s="21" t="str">
        <x:v>BLOCKED</x:v>
      </x:c>
      <x:c r="N512" s="23" t="str">
        <x:f>IF(AND(H512&lt;=G512,I512&lt;=H512,K512&lt;=J512),"PASS","FAIL")</x:f>
        <x:v>PASS</x:v>
      </x:c>
    </x:row>
    <x:row r="513">
      <x:c r="B513" s="21" t="str">
        <x:v>F43-I1-C</x:v>
      </x:c>
      <x:c r="C513" s="21" t="str">
        <x:v>F43-I1</x:v>
      </x:c>
      <x:c r="D513" s="21" t="str">
        <x:v>F43</x:v>
      </x:c>
      <x:c r="E513" s="21" t="str">
        <x:v>CHALLENGE</x:v>
      </x:c>
      <x:c r="F513" s="21" t="str">
        <x:v>Sovereign challenge cell TIO-09</x:v>
      </x:c>
      <x:c r="G513" s="21" t="n">
        <x:v>28</x:v>
      </x:c>
      <x:c r="H513" s="46" t="n">
        <x:v>0</x:v>
      </x:c>
      <x:c r="I513" s="46" t="n">
        <x:v>0</x:v>
      </x:c>
      <x:c r="J513" s="46" t="n">
        <x:v>8</x:v>
      </x:c>
      <x:c r="K513" s="46" t="n">
        <x:v>0</x:v>
      </x:c>
      <x:c r="L513" s="21" t="str">
        <x:v>OPEN</x:v>
      </x:c>
      <x:c r="M513" s="21" t="str">
        <x:v>BLOCKED</x:v>
      </x:c>
      <x:c r="N513" s="23" t="str">
        <x:f>IF(AND(H513&lt;=G513,I513&lt;=H513,K513&lt;=J513),"PASS","FAIL")</x:f>
        <x:v>PASS</x:v>
      </x:c>
    </x:row>
    <x:row r="514">
      <x:c r="B514" s="21" t="str">
        <x:v>F43-I2-A</x:v>
      </x:c>
      <x:c r="C514" s="21" t="str">
        <x:v>F43-I2</x:v>
      </x:c>
      <x:c r="D514" s="21" t="str">
        <x:v>F43</x:v>
      </x:c>
      <x:c r="E514" s="21" t="str">
        <x:v>BUILD A</x:v>
      </x:c>
      <x:c r="F514" s="21" t="str">
        <x:v>Independent build ecosystem 12</x:v>
      </x:c>
      <x:c r="G514" s="21" t="n">
        <x:v>28</x:v>
      </x:c>
      <x:c r="H514" s="46" t="n">
        <x:v>0</x:v>
      </x:c>
      <x:c r="I514" s="46" t="n">
        <x:v>0</x:v>
      </x:c>
      <x:c r="J514" s="46" t="n">
        <x:v>8</x:v>
      </x:c>
      <x:c r="K514" s="46" t="n">
        <x:v>0</x:v>
      </x:c>
      <x:c r="L514" s="21" t="str">
        <x:v>OPEN</x:v>
      </x:c>
      <x:c r="M514" s="21" t="str">
        <x:v>BLOCKED</x:v>
      </x:c>
      <x:c r="N514" s="23" t="str">
        <x:f>IF(AND(H514&lt;=G514,I514&lt;=H514,K514&lt;=J514),"PASS","FAIL")</x:f>
        <x:v>PASS</x:v>
      </x:c>
    </x:row>
    <x:row r="515">
      <x:c r="B515" s="21" t="str">
        <x:v>F43-I2-B</x:v>
      </x:c>
      <x:c r="C515" s="21" t="str">
        <x:v>F43-I2</x:v>
      </x:c>
      <x:c r="D515" s="21" t="str">
        <x:v>F43</x:v>
      </x:c>
      <x:c r="E515" s="21" t="str">
        <x:v>BUILD B</x:v>
      </x:c>
      <x:c r="F515" s="21" t="str">
        <x:v>Independent build ecosystem 14</x:v>
      </x:c>
      <x:c r="G515" s="21" t="n">
        <x:v>28</x:v>
      </x:c>
      <x:c r="H515" s="46" t="n">
        <x:v>0</x:v>
      </x:c>
      <x:c r="I515" s="46" t="n">
        <x:v>0</x:v>
      </x:c>
      <x:c r="J515" s="46" t="n">
        <x:v>8</x:v>
      </x:c>
      <x:c r="K515" s="46" t="n">
        <x:v>0</x:v>
      </x:c>
      <x:c r="L515" s="21" t="str">
        <x:v>OPEN</x:v>
      </x:c>
      <x:c r="M515" s="21" t="str">
        <x:v>BLOCKED</x:v>
      </x:c>
      <x:c r="N515" s="23" t="str">
        <x:f>IF(AND(H515&lt;=G515,I515&lt;=H515,K515&lt;=J515),"PASS","FAIL")</x:f>
        <x:v>PASS</x:v>
      </x:c>
    </x:row>
    <x:row r="516">
      <x:c r="B516" s="21" t="str">
        <x:v>F43-I2-C</x:v>
      </x:c>
      <x:c r="C516" s="21" t="str">
        <x:v>F43-I2</x:v>
      </x:c>
      <x:c r="D516" s="21" t="str">
        <x:v>F43</x:v>
      </x:c>
      <x:c r="E516" s="21" t="str">
        <x:v>CHALLENGE</x:v>
      </x:c>
      <x:c r="F516" s="21" t="str">
        <x:v>Sovereign challenge cell TIO-10</x:v>
      </x:c>
      <x:c r="G516" s="21" t="n">
        <x:v>28</x:v>
      </x:c>
      <x:c r="H516" s="46" t="n">
        <x:v>0</x:v>
      </x:c>
      <x:c r="I516" s="46" t="n">
        <x:v>0</x:v>
      </x:c>
      <x:c r="J516" s="46" t="n">
        <x:v>8</x:v>
      </x:c>
      <x:c r="K516" s="46" t="n">
        <x:v>0</x:v>
      </x:c>
      <x:c r="L516" s="21" t="str">
        <x:v>OPEN</x:v>
      </x:c>
      <x:c r="M516" s="21" t="str">
        <x:v>BLOCKED</x:v>
      </x:c>
      <x:c r="N516" s="23" t="str">
        <x:f>IF(AND(H516&lt;=G516,I516&lt;=H516,K516&lt;=J516),"PASS","FAIL")</x:f>
        <x:v>PASS</x:v>
      </x:c>
    </x:row>
    <x:row r="517">
      <x:c r="B517" s="21" t="str">
        <x:v>F43-I3-A</x:v>
      </x:c>
      <x:c r="C517" s="21" t="str">
        <x:v>F43-I3</x:v>
      </x:c>
      <x:c r="D517" s="21" t="str">
        <x:v>F43</x:v>
      </x:c>
      <x:c r="E517" s="21" t="str">
        <x:v>BUILD A</x:v>
      </x:c>
      <x:c r="F517" s="21" t="str">
        <x:v>Independent build ecosystem 15</x:v>
      </x:c>
      <x:c r="G517" s="21" t="n">
        <x:v>28</x:v>
      </x:c>
      <x:c r="H517" s="46" t="n">
        <x:v>0</x:v>
      </x:c>
      <x:c r="I517" s="46" t="n">
        <x:v>0</x:v>
      </x:c>
      <x:c r="J517" s="46" t="n">
        <x:v>8</x:v>
      </x:c>
      <x:c r="K517" s="46" t="n">
        <x:v>0</x:v>
      </x:c>
      <x:c r="L517" s="21" t="str">
        <x:v>OPEN</x:v>
      </x:c>
      <x:c r="M517" s="21" t="str">
        <x:v>BLOCKED</x:v>
      </x:c>
      <x:c r="N517" s="23" t="str">
        <x:f>IF(AND(H517&lt;=G517,I517&lt;=H517,K517&lt;=J517),"PASS","FAIL")</x:f>
        <x:v>PASS</x:v>
      </x:c>
    </x:row>
    <x:row r="518">
      <x:c r="B518" s="21" t="str">
        <x:v>F43-I3-B</x:v>
      </x:c>
      <x:c r="C518" s="21" t="str">
        <x:v>F43-I3</x:v>
      </x:c>
      <x:c r="D518" s="21" t="str">
        <x:v>F43</x:v>
      </x:c>
      <x:c r="E518" s="21" t="str">
        <x:v>BUILD B</x:v>
      </x:c>
      <x:c r="F518" s="21" t="str">
        <x:v>Independent build ecosystem 01</x:v>
      </x:c>
      <x:c r="G518" s="21" t="n">
        <x:v>28</x:v>
      </x:c>
      <x:c r="H518" s="46" t="n">
        <x:v>0</x:v>
      </x:c>
      <x:c r="I518" s="46" t="n">
        <x:v>0</x:v>
      </x:c>
      <x:c r="J518" s="46" t="n">
        <x:v>8</x:v>
      </x:c>
      <x:c r="K518" s="46" t="n">
        <x:v>0</x:v>
      </x:c>
      <x:c r="L518" s="21" t="str">
        <x:v>OPEN</x:v>
      </x:c>
      <x:c r="M518" s="21" t="str">
        <x:v>BLOCKED</x:v>
      </x:c>
      <x:c r="N518" s="23" t="str">
        <x:f>IF(AND(H518&lt;=G518,I518&lt;=H518,K518&lt;=J518),"PASS","FAIL")</x:f>
        <x:v>PASS</x:v>
      </x:c>
    </x:row>
    <x:row r="519">
      <x:c r="B519" s="21" t="str">
        <x:v>F43-I3-C</x:v>
      </x:c>
      <x:c r="C519" s="21" t="str">
        <x:v>F43-I3</x:v>
      </x:c>
      <x:c r="D519" s="21" t="str">
        <x:v>F43</x:v>
      </x:c>
      <x:c r="E519" s="21" t="str">
        <x:v>CHALLENGE</x:v>
      </x:c>
      <x:c r="F519" s="21" t="str">
        <x:v>Sovereign challenge cell TIO-11</x:v>
      </x:c>
      <x:c r="G519" s="21" t="n">
        <x:v>28</x:v>
      </x:c>
      <x:c r="H519" s="46" t="n">
        <x:v>0</x:v>
      </x:c>
      <x:c r="I519" s="46" t="n">
        <x:v>0</x:v>
      </x:c>
      <x:c r="J519" s="46" t="n">
        <x:v>8</x:v>
      </x:c>
      <x:c r="K519" s="46" t="n">
        <x:v>0</x:v>
      </x:c>
      <x:c r="L519" s="21" t="str">
        <x:v>OPEN</x:v>
      </x:c>
      <x:c r="M519" s="21" t="str">
        <x:v>BLOCKED</x:v>
      </x:c>
      <x:c r="N519" s="23" t="str">
        <x:f>IF(AND(H519&lt;=G519,I519&lt;=H519,K519&lt;=J519),"PASS","FAIL")</x:f>
        <x:v>PASS</x:v>
      </x:c>
    </x:row>
    <x:row r="520">
      <x:c r="B520" s="21" t="str">
        <x:v>F43-I4-A</x:v>
      </x:c>
      <x:c r="C520" s="21" t="str">
        <x:v>F43-I4</x:v>
      </x:c>
      <x:c r="D520" s="21" t="str">
        <x:v>F43</x:v>
      </x:c>
      <x:c r="E520" s="21" t="str">
        <x:v>BUILD A</x:v>
      </x:c>
      <x:c r="F520" s="21" t="str">
        <x:v>Independent build ecosystem 02</x:v>
      </x:c>
      <x:c r="G520" s="21" t="n">
        <x:v>28</x:v>
      </x:c>
      <x:c r="H520" s="46" t="n">
        <x:v>0</x:v>
      </x:c>
      <x:c r="I520" s="46" t="n">
        <x:v>0</x:v>
      </x:c>
      <x:c r="J520" s="46" t="n">
        <x:v>8</x:v>
      </x:c>
      <x:c r="K520" s="46" t="n">
        <x:v>0</x:v>
      </x:c>
      <x:c r="L520" s="21" t="str">
        <x:v>OPEN</x:v>
      </x:c>
      <x:c r="M520" s="21" t="str">
        <x:v>BLOCKED</x:v>
      </x:c>
      <x:c r="N520" s="23" t="str">
        <x:f>IF(AND(H520&lt;=G520,I520&lt;=H520,K520&lt;=J520),"PASS","FAIL")</x:f>
        <x:v>PASS</x:v>
      </x:c>
    </x:row>
    <x:row r="521">
      <x:c r="B521" s="21" t="str">
        <x:v>F43-I4-B</x:v>
      </x:c>
      <x:c r="C521" s="21" t="str">
        <x:v>F43-I4</x:v>
      </x:c>
      <x:c r="D521" s="21" t="str">
        <x:v>F43</x:v>
      </x:c>
      <x:c r="E521" s="21" t="str">
        <x:v>BUILD B</x:v>
      </x:c>
      <x:c r="F521" s="21" t="str">
        <x:v>Independent build ecosystem 04</x:v>
      </x:c>
      <x:c r="G521" s="21" t="n">
        <x:v>28</x:v>
      </x:c>
      <x:c r="H521" s="46" t="n">
        <x:v>0</x:v>
      </x:c>
      <x:c r="I521" s="46" t="n">
        <x:v>0</x:v>
      </x:c>
      <x:c r="J521" s="46" t="n">
        <x:v>8</x:v>
      </x:c>
      <x:c r="K521" s="46" t="n">
        <x:v>0</x:v>
      </x:c>
      <x:c r="L521" s="21" t="str">
        <x:v>OPEN</x:v>
      </x:c>
      <x:c r="M521" s="21" t="str">
        <x:v>BLOCKED</x:v>
      </x:c>
      <x:c r="N521" s="23" t="str">
        <x:f>IF(AND(H521&lt;=G521,I521&lt;=H521,K521&lt;=J521),"PASS","FAIL")</x:f>
        <x:v>PASS</x:v>
      </x:c>
    </x:row>
    <x:row r="522">
      <x:c r="B522" s="21" t="str">
        <x:v>F43-I4-C</x:v>
      </x:c>
      <x:c r="C522" s="21" t="str">
        <x:v>F43-I4</x:v>
      </x:c>
      <x:c r="D522" s="21" t="str">
        <x:v>F43</x:v>
      </x:c>
      <x:c r="E522" s="21" t="str">
        <x:v>CHALLENGE</x:v>
      </x:c>
      <x:c r="F522" s="21" t="str">
        <x:v>Sovereign challenge cell TIO-12</x:v>
      </x:c>
      <x:c r="G522" s="21" t="n">
        <x:v>28</x:v>
      </x:c>
      <x:c r="H522" s="46" t="n">
        <x:v>0</x:v>
      </x:c>
      <x:c r="I522" s="46" t="n">
        <x:v>0</x:v>
      </x:c>
      <x:c r="J522" s="46" t="n">
        <x:v>8</x:v>
      </x:c>
      <x:c r="K522" s="46" t="n">
        <x:v>0</x:v>
      </x:c>
      <x:c r="L522" s="21" t="str">
        <x:v>OPEN</x:v>
      </x:c>
      <x:c r="M522" s="21" t="str">
        <x:v>BLOCKED</x:v>
      </x:c>
      <x:c r="N522" s="23" t="str">
        <x:f>IF(AND(H522&lt;=G522,I522&lt;=H522,K522&lt;=J522),"PASS","FAIL")</x:f>
        <x:v>PASS</x:v>
      </x:c>
    </x:row>
    <x:row r="523">
      <x:c r="B523" s="21" t="str">
        <x:v>F44-I1-A</x:v>
      </x:c>
      <x:c r="C523" s="21" t="str">
        <x:v>F44-I1</x:v>
      </x:c>
      <x:c r="D523" s="21" t="str">
        <x:v>F44</x:v>
      </x:c>
      <x:c r="E523" s="21" t="str">
        <x:v>BUILD A</x:v>
      </x:c>
      <x:c r="F523" s="21" t="str">
        <x:v>Independent build ecosystem 05</x:v>
      </x:c>
      <x:c r="G523" s="21" t="n">
        <x:v>28</x:v>
      </x:c>
      <x:c r="H523" s="46" t="n">
        <x:v>0</x:v>
      </x:c>
      <x:c r="I523" s="46" t="n">
        <x:v>0</x:v>
      </x:c>
      <x:c r="J523" s="46" t="n">
        <x:v>8</x:v>
      </x:c>
      <x:c r="K523" s="46" t="n">
        <x:v>0</x:v>
      </x:c>
      <x:c r="L523" s="21" t="str">
        <x:v>OPEN</x:v>
      </x:c>
      <x:c r="M523" s="21" t="str">
        <x:v>BLOCKED</x:v>
      </x:c>
      <x:c r="N523" s="23" t="str">
        <x:f>IF(AND(H523&lt;=G523,I523&lt;=H523,K523&lt;=J523),"PASS","FAIL")</x:f>
        <x:v>PASS</x:v>
      </x:c>
    </x:row>
    <x:row r="524">
      <x:c r="B524" s="21" t="str">
        <x:v>F44-I1-B</x:v>
      </x:c>
      <x:c r="C524" s="21" t="str">
        <x:v>F44-I1</x:v>
      </x:c>
      <x:c r="D524" s="21" t="str">
        <x:v>F44</x:v>
      </x:c>
      <x:c r="E524" s="21" t="str">
        <x:v>BUILD B</x:v>
      </x:c>
      <x:c r="F524" s="21" t="str">
        <x:v>Independent build ecosystem 07</x:v>
      </x:c>
      <x:c r="G524" s="21" t="n">
        <x:v>28</x:v>
      </x:c>
      <x:c r="H524" s="46" t="n">
        <x:v>0</x:v>
      </x:c>
      <x:c r="I524" s="46" t="n">
        <x:v>0</x:v>
      </x:c>
      <x:c r="J524" s="46" t="n">
        <x:v>8</x:v>
      </x:c>
      <x:c r="K524" s="46" t="n">
        <x:v>0</x:v>
      </x:c>
      <x:c r="L524" s="21" t="str">
        <x:v>OPEN</x:v>
      </x:c>
      <x:c r="M524" s="21" t="str">
        <x:v>BLOCKED</x:v>
      </x:c>
      <x:c r="N524" s="23" t="str">
        <x:f>IF(AND(H524&lt;=G524,I524&lt;=H524,K524&lt;=J524),"PASS","FAIL")</x:f>
        <x:v>PASS</x:v>
      </x:c>
    </x:row>
    <x:row r="525">
      <x:c r="B525" s="21" t="str">
        <x:v>F44-I1-C</x:v>
      </x:c>
      <x:c r="C525" s="21" t="str">
        <x:v>F44-I1</x:v>
      </x:c>
      <x:c r="D525" s="21" t="str">
        <x:v>F44</x:v>
      </x:c>
      <x:c r="E525" s="21" t="str">
        <x:v>CHALLENGE</x:v>
      </x:c>
      <x:c r="F525" s="21" t="str">
        <x:v>Sovereign challenge cell TIO-13</x:v>
      </x:c>
      <x:c r="G525" s="21" t="n">
        <x:v>28</x:v>
      </x:c>
      <x:c r="H525" s="46" t="n">
        <x:v>0</x:v>
      </x:c>
      <x:c r="I525" s="46" t="n">
        <x:v>0</x:v>
      </x:c>
      <x:c r="J525" s="46" t="n">
        <x:v>8</x:v>
      </x:c>
      <x:c r="K525" s="46" t="n">
        <x:v>0</x:v>
      </x:c>
      <x:c r="L525" s="21" t="str">
        <x:v>OPEN</x:v>
      </x:c>
      <x:c r="M525" s="21" t="str">
        <x:v>BLOCKED</x:v>
      </x:c>
      <x:c r="N525" s="23" t="str">
        <x:f>IF(AND(H525&lt;=G525,I525&lt;=H525,K525&lt;=J525),"PASS","FAIL")</x:f>
        <x:v>PASS</x:v>
      </x:c>
    </x:row>
    <x:row r="526">
      <x:c r="B526" s="21" t="str">
        <x:v>F44-I2-A</x:v>
      </x:c>
      <x:c r="C526" s="21" t="str">
        <x:v>F44-I2</x:v>
      </x:c>
      <x:c r="D526" s="21" t="str">
        <x:v>F44</x:v>
      </x:c>
      <x:c r="E526" s="21" t="str">
        <x:v>BUILD A</x:v>
      </x:c>
      <x:c r="F526" s="21" t="str">
        <x:v>Independent build ecosystem 08</x:v>
      </x:c>
      <x:c r="G526" s="21" t="n">
        <x:v>28</x:v>
      </x:c>
      <x:c r="H526" s="46" t="n">
        <x:v>0</x:v>
      </x:c>
      <x:c r="I526" s="46" t="n">
        <x:v>0</x:v>
      </x:c>
      <x:c r="J526" s="46" t="n">
        <x:v>8</x:v>
      </x:c>
      <x:c r="K526" s="46" t="n">
        <x:v>0</x:v>
      </x:c>
      <x:c r="L526" s="21" t="str">
        <x:v>OPEN</x:v>
      </x:c>
      <x:c r="M526" s="21" t="str">
        <x:v>BLOCKED</x:v>
      </x:c>
      <x:c r="N526" s="23" t="str">
        <x:f>IF(AND(H526&lt;=G526,I526&lt;=H526,K526&lt;=J526),"PASS","FAIL")</x:f>
        <x:v>PASS</x:v>
      </x:c>
    </x:row>
    <x:row r="527">
      <x:c r="B527" s="21" t="str">
        <x:v>F44-I2-B</x:v>
      </x:c>
      <x:c r="C527" s="21" t="str">
        <x:v>F44-I2</x:v>
      </x:c>
      <x:c r="D527" s="21" t="str">
        <x:v>F44</x:v>
      </x:c>
      <x:c r="E527" s="21" t="str">
        <x:v>BUILD B</x:v>
      </x:c>
      <x:c r="F527" s="21" t="str">
        <x:v>Independent build ecosystem 10</x:v>
      </x:c>
      <x:c r="G527" s="21" t="n">
        <x:v>28</x:v>
      </x:c>
      <x:c r="H527" s="46" t="n">
        <x:v>0</x:v>
      </x:c>
      <x:c r="I527" s="46" t="n">
        <x:v>0</x:v>
      </x:c>
      <x:c r="J527" s="46" t="n">
        <x:v>8</x:v>
      </x:c>
      <x:c r="K527" s="46" t="n">
        <x:v>0</x:v>
      </x:c>
      <x:c r="L527" s="21" t="str">
        <x:v>OPEN</x:v>
      </x:c>
      <x:c r="M527" s="21" t="str">
        <x:v>BLOCKED</x:v>
      </x:c>
      <x:c r="N527" s="23" t="str">
        <x:f>IF(AND(H527&lt;=G527,I527&lt;=H527,K527&lt;=J527),"PASS","FAIL")</x:f>
        <x:v>PASS</x:v>
      </x:c>
    </x:row>
    <x:row r="528">
      <x:c r="B528" s="21" t="str">
        <x:v>F44-I2-C</x:v>
      </x:c>
      <x:c r="C528" s="21" t="str">
        <x:v>F44-I2</x:v>
      </x:c>
      <x:c r="D528" s="21" t="str">
        <x:v>F44</x:v>
      </x:c>
      <x:c r="E528" s="21" t="str">
        <x:v>CHALLENGE</x:v>
      </x:c>
      <x:c r="F528" s="21" t="str">
        <x:v>Sovereign challenge cell TIO-14</x:v>
      </x:c>
      <x:c r="G528" s="21" t="n">
        <x:v>28</x:v>
      </x:c>
      <x:c r="H528" s="46" t="n">
        <x:v>0</x:v>
      </x:c>
      <x:c r="I528" s="46" t="n">
        <x:v>0</x:v>
      </x:c>
      <x:c r="J528" s="46" t="n">
        <x:v>8</x:v>
      </x:c>
      <x:c r="K528" s="46" t="n">
        <x:v>0</x:v>
      </x:c>
      <x:c r="L528" s="21" t="str">
        <x:v>OPEN</x:v>
      </x:c>
      <x:c r="M528" s="21" t="str">
        <x:v>BLOCKED</x:v>
      </x:c>
      <x:c r="N528" s="23" t="str">
        <x:f>IF(AND(H528&lt;=G528,I528&lt;=H528,K528&lt;=J528),"PASS","FAIL")</x:f>
        <x:v>PASS</x:v>
      </x:c>
    </x:row>
    <x:row r="529">
      <x:c r="B529" s="21" t="str">
        <x:v>F44-I3-A</x:v>
      </x:c>
      <x:c r="C529" s="21" t="str">
        <x:v>F44-I3</x:v>
      </x:c>
      <x:c r="D529" s="21" t="str">
        <x:v>F44</x:v>
      </x:c>
      <x:c r="E529" s="21" t="str">
        <x:v>BUILD A</x:v>
      </x:c>
      <x:c r="F529" s="21" t="str">
        <x:v>Independent build ecosystem 11</x:v>
      </x:c>
      <x:c r="G529" s="21" t="n">
        <x:v>28</x:v>
      </x:c>
      <x:c r="H529" s="46" t="n">
        <x:v>0</x:v>
      </x:c>
      <x:c r="I529" s="46" t="n">
        <x:v>0</x:v>
      </x:c>
      <x:c r="J529" s="46" t="n">
        <x:v>8</x:v>
      </x:c>
      <x:c r="K529" s="46" t="n">
        <x:v>0</x:v>
      </x:c>
      <x:c r="L529" s="21" t="str">
        <x:v>OPEN</x:v>
      </x:c>
      <x:c r="M529" s="21" t="str">
        <x:v>BLOCKED</x:v>
      </x:c>
      <x:c r="N529" s="23" t="str">
        <x:f>IF(AND(H529&lt;=G529,I529&lt;=H529,K529&lt;=J529),"PASS","FAIL")</x:f>
        <x:v>PASS</x:v>
      </x:c>
    </x:row>
    <x:row r="530">
      <x:c r="B530" s="21" t="str">
        <x:v>F44-I3-B</x:v>
      </x:c>
      <x:c r="C530" s="21" t="str">
        <x:v>F44-I3</x:v>
      </x:c>
      <x:c r="D530" s="21" t="str">
        <x:v>F44</x:v>
      </x:c>
      <x:c r="E530" s="21" t="str">
        <x:v>BUILD B</x:v>
      </x:c>
      <x:c r="F530" s="21" t="str">
        <x:v>Independent build ecosystem 13</x:v>
      </x:c>
      <x:c r="G530" s="21" t="n">
        <x:v>28</x:v>
      </x:c>
      <x:c r="H530" s="46" t="n">
        <x:v>0</x:v>
      </x:c>
      <x:c r="I530" s="46" t="n">
        <x:v>0</x:v>
      </x:c>
      <x:c r="J530" s="46" t="n">
        <x:v>8</x:v>
      </x:c>
      <x:c r="K530" s="46" t="n">
        <x:v>0</x:v>
      </x:c>
      <x:c r="L530" s="21" t="str">
        <x:v>OPEN</x:v>
      </x:c>
      <x:c r="M530" s="21" t="str">
        <x:v>BLOCKED</x:v>
      </x:c>
      <x:c r="N530" s="23" t="str">
        <x:f>IF(AND(H530&lt;=G530,I530&lt;=H530,K530&lt;=J530),"PASS","FAIL")</x:f>
        <x:v>PASS</x:v>
      </x:c>
    </x:row>
    <x:row r="531">
      <x:c r="B531" s="21" t="str">
        <x:v>F44-I3-C</x:v>
      </x:c>
      <x:c r="C531" s="21" t="str">
        <x:v>F44-I3</x:v>
      </x:c>
      <x:c r="D531" s="21" t="str">
        <x:v>F44</x:v>
      </x:c>
      <x:c r="E531" s="21" t="str">
        <x:v>CHALLENGE</x:v>
      </x:c>
      <x:c r="F531" s="21" t="str">
        <x:v>Sovereign challenge cell TIO-15</x:v>
      </x:c>
      <x:c r="G531" s="21" t="n">
        <x:v>28</x:v>
      </x:c>
      <x:c r="H531" s="46" t="n">
        <x:v>0</x:v>
      </x:c>
      <x:c r="I531" s="46" t="n">
        <x:v>0</x:v>
      </x:c>
      <x:c r="J531" s="46" t="n">
        <x:v>8</x:v>
      </x:c>
      <x:c r="K531" s="46" t="n">
        <x:v>0</x:v>
      </x:c>
      <x:c r="L531" s="21" t="str">
        <x:v>OPEN</x:v>
      </x:c>
      <x:c r="M531" s="21" t="str">
        <x:v>BLOCKED</x:v>
      </x:c>
      <x:c r="N531" s="23" t="str">
        <x:f>IF(AND(H531&lt;=G531,I531&lt;=H531,K531&lt;=J531),"PASS","FAIL")</x:f>
        <x:v>PASS</x:v>
      </x:c>
    </x:row>
    <x:row r="532">
      <x:c r="B532" s="21" t="str">
        <x:v>F44-I4-A</x:v>
      </x:c>
      <x:c r="C532" s="21" t="str">
        <x:v>F44-I4</x:v>
      </x:c>
      <x:c r="D532" s="21" t="str">
        <x:v>F44</x:v>
      </x:c>
      <x:c r="E532" s="21" t="str">
        <x:v>BUILD A</x:v>
      </x:c>
      <x:c r="F532" s="21" t="str">
        <x:v>Independent build ecosystem 14</x:v>
      </x:c>
      <x:c r="G532" s="21" t="n">
        <x:v>28</x:v>
      </x:c>
      <x:c r="H532" s="46" t="n">
        <x:v>0</x:v>
      </x:c>
      <x:c r="I532" s="46" t="n">
        <x:v>0</x:v>
      </x:c>
      <x:c r="J532" s="46" t="n">
        <x:v>8</x:v>
      </x:c>
      <x:c r="K532" s="46" t="n">
        <x:v>0</x:v>
      </x:c>
      <x:c r="L532" s="21" t="str">
        <x:v>OPEN</x:v>
      </x:c>
      <x:c r="M532" s="21" t="str">
        <x:v>BLOCKED</x:v>
      </x:c>
      <x:c r="N532" s="23" t="str">
        <x:f>IF(AND(H532&lt;=G532,I532&lt;=H532,K532&lt;=J532),"PASS","FAIL")</x:f>
        <x:v>PASS</x:v>
      </x:c>
    </x:row>
    <x:row r="533">
      <x:c r="B533" s="21" t="str">
        <x:v>F44-I4-B</x:v>
      </x:c>
      <x:c r="C533" s="21" t="str">
        <x:v>F44-I4</x:v>
      </x:c>
      <x:c r="D533" s="21" t="str">
        <x:v>F44</x:v>
      </x:c>
      <x:c r="E533" s="21" t="str">
        <x:v>BUILD B</x:v>
      </x:c>
      <x:c r="F533" s="21" t="str">
        <x:v>Independent build ecosystem 16</x:v>
      </x:c>
      <x:c r="G533" s="21" t="n">
        <x:v>28</x:v>
      </x:c>
      <x:c r="H533" s="46" t="n">
        <x:v>0</x:v>
      </x:c>
      <x:c r="I533" s="46" t="n">
        <x:v>0</x:v>
      </x:c>
      <x:c r="J533" s="46" t="n">
        <x:v>8</x:v>
      </x:c>
      <x:c r="K533" s="46" t="n">
        <x:v>0</x:v>
      </x:c>
      <x:c r="L533" s="21" t="str">
        <x:v>OPEN</x:v>
      </x:c>
      <x:c r="M533" s="21" t="str">
        <x:v>BLOCKED</x:v>
      </x:c>
      <x:c r="N533" s="23" t="str">
        <x:f>IF(AND(H533&lt;=G533,I533&lt;=H533,K533&lt;=J533),"PASS","FAIL")</x:f>
        <x:v>PASS</x:v>
      </x:c>
    </x:row>
    <x:row r="534">
      <x:c r="B534" s="21" t="str">
        <x:v>F44-I4-C</x:v>
      </x:c>
      <x:c r="C534" s="21" t="str">
        <x:v>F44-I4</x:v>
      </x:c>
      <x:c r="D534" s="21" t="str">
        <x:v>F44</x:v>
      </x:c>
      <x:c r="E534" s="21" t="str">
        <x:v>CHALLENGE</x:v>
      </x:c>
      <x:c r="F534" s="21" t="str">
        <x:v>Sovereign challenge cell TIO-16</x:v>
      </x:c>
      <x:c r="G534" s="21" t="n">
        <x:v>28</x:v>
      </x:c>
      <x:c r="H534" s="46" t="n">
        <x:v>0</x:v>
      </x:c>
      <x:c r="I534" s="46" t="n">
        <x:v>0</x:v>
      </x:c>
      <x:c r="J534" s="46" t="n">
        <x:v>8</x:v>
      </x:c>
      <x:c r="K534" s="46" t="n">
        <x:v>0</x:v>
      </x:c>
      <x:c r="L534" s="21" t="str">
        <x:v>OPEN</x:v>
      </x:c>
      <x:c r="M534" s="21" t="str">
        <x:v>BLOCKED</x:v>
      </x:c>
      <x:c r="N534" s="23" t="str">
        <x:f>IF(AND(H534&lt;=G534,I534&lt;=H534,K534&lt;=J534),"PASS","FAIL")</x:f>
        <x:v>PASS</x:v>
      </x:c>
    </x:row>
    <x:row r="535">
      <x:c r="B535" s="21" t="str">
        <x:v>F45-I1-A</x:v>
      </x:c>
      <x:c r="C535" s="21" t="str">
        <x:v>F45-I1</x:v>
      </x:c>
      <x:c r="D535" s="21" t="str">
        <x:v>F45</x:v>
      </x:c>
      <x:c r="E535" s="21" t="str">
        <x:v>BUILD A</x:v>
      </x:c>
      <x:c r="F535" s="21" t="str">
        <x:v>Independent build ecosystem 01</x:v>
      </x:c>
      <x:c r="G535" s="21" t="n">
        <x:v>28</x:v>
      </x:c>
      <x:c r="H535" s="46" t="n">
        <x:v>0</x:v>
      </x:c>
      <x:c r="I535" s="46" t="n">
        <x:v>0</x:v>
      </x:c>
      <x:c r="J535" s="46" t="n">
        <x:v>8</x:v>
      </x:c>
      <x:c r="K535" s="46" t="n">
        <x:v>0</x:v>
      </x:c>
      <x:c r="L535" s="21" t="str">
        <x:v>OPEN</x:v>
      </x:c>
      <x:c r="M535" s="21" t="str">
        <x:v>BLOCKED</x:v>
      </x:c>
      <x:c r="N535" s="23" t="str">
        <x:f>IF(AND(H535&lt;=G535,I535&lt;=H535,K535&lt;=J535),"PASS","FAIL")</x:f>
        <x:v>PASS</x:v>
      </x:c>
    </x:row>
    <x:row r="536">
      <x:c r="B536" s="21" t="str">
        <x:v>F45-I1-B</x:v>
      </x:c>
      <x:c r="C536" s="21" t="str">
        <x:v>F45-I1</x:v>
      </x:c>
      <x:c r="D536" s="21" t="str">
        <x:v>F45</x:v>
      </x:c>
      <x:c r="E536" s="21" t="str">
        <x:v>BUILD B</x:v>
      </x:c>
      <x:c r="F536" s="21" t="str">
        <x:v>Independent build ecosystem 03</x:v>
      </x:c>
      <x:c r="G536" s="21" t="n">
        <x:v>28</x:v>
      </x:c>
      <x:c r="H536" s="46" t="n">
        <x:v>0</x:v>
      </x:c>
      <x:c r="I536" s="46" t="n">
        <x:v>0</x:v>
      </x:c>
      <x:c r="J536" s="46" t="n">
        <x:v>8</x:v>
      </x:c>
      <x:c r="K536" s="46" t="n">
        <x:v>0</x:v>
      </x:c>
      <x:c r="L536" s="21" t="str">
        <x:v>OPEN</x:v>
      </x:c>
      <x:c r="M536" s="21" t="str">
        <x:v>BLOCKED</x:v>
      </x:c>
      <x:c r="N536" s="23" t="str">
        <x:f>IF(AND(H536&lt;=G536,I536&lt;=H536,K536&lt;=J536),"PASS","FAIL")</x:f>
        <x:v>PASS</x:v>
      </x:c>
    </x:row>
    <x:row r="537">
      <x:c r="B537" s="21" t="str">
        <x:v>F45-I1-C</x:v>
      </x:c>
      <x:c r="C537" s="21" t="str">
        <x:v>F45-I1</x:v>
      </x:c>
      <x:c r="D537" s="21" t="str">
        <x:v>F45</x:v>
      </x:c>
      <x:c r="E537" s="21" t="str">
        <x:v>CHALLENGE</x:v>
      </x:c>
      <x:c r="F537" s="21" t="str">
        <x:v>Sovereign challenge cell TIO-01</x:v>
      </x:c>
      <x:c r="G537" s="21" t="n">
        <x:v>28</x:v>
      </x:c>
      <x:c r="H537" s="46" t="n">
        <x:v>0</x:v>
      </x:c>
      <x:c r="I537" s="46" t="n">
        <x:v>0</x:v>
      </x:c>
      <x:c r="J537" s="46" t="n">
        <x:v>8</x:v>
      </x:c>
      <x:c r="K537" s="46" t="n">
        <x:v>0</x:v>
      </x:c>
      <x:c r="L537" s="21" t="str">
        <x:v>OPEN</x:v>
      </x:c>
      <x:c r="M537" s="21" t="str">
        <x:v>BLOCKED</x:v>
      </x:c>
      <x:c r="N537" s="23" t="str">
        <x:f>IF(AND(H537&lt;=G537,I537&lt;=H537,K537&lt;=J537),"PASS","FAIL")</x:f>
        <x:v>PASS</x:v>
      </x:c>
    </x:row>
    <x:row r="538">
      <x:c r="B538" s="21" t="str">
        <x:v>F45-I2-A</x:v>
      </x:c>
      <x:c r="C538" s="21" t="str">
        <x:v>F45-I2</x:v>
      </x:c>
      <x:c r="D538" s="21" t="str">
        <x:v>F45</x:v>
      </x:c>
      <x:c r="E538" s="21" t="str">
        <x:v>BUILD A</x:v>
      </x:c>
      <x:c r="F538" s="21" t="str">
        <x:v>Independent build ecosystem 04</x:v>
      </x:c>
      <x:c r="G538" s="21" t="n">
        <x:v>28</x:v>
      </x:c>
      <x:c r="H538" s="46" t="n">
        <x:v>0</x:v>
      </x:c>
      <x:c r="I538" s="46" t="n">
        <x:v>0</x:v>
      </x:c>
      <x:c r="J538" s="46" t="n">
        <x:v>8</x:v>
      </x:c>
      <x:c r="K538" s="46" t="n">
        <x:v>0</x:v>
      </x:c>
      <x:c r="L538" s="21" t="str">
        <x:v>OPEN</x:v>
      </x:c>
      <x:c r="M538" s="21" t="str">
        <x:v>BLOCKED</x:v>
      </x:c>
      <x:c r="N538" s="23" t="str">
        <x:f>IF(AND(H538&lt;=G538,I538&lt;=H538,K538&lt;=J538),"PASS","FAIL")</x:f>
        <x:v>PASS</x:v>
      </x:c>
    </x:row>
    <x:row r="539">
      <x:c r="B539" s="21" t="str">
        <x:v>F45-I2-B</x:v>
      </x:c>
      <x:c r="C539" s="21" t="str">
        <x:v>F45-I2</x:v>
      </x:c>
      <x:c r="D539" s="21" t="str">
        <x:v>F45</x:v>
      </x:c>
      <x:c r="E539" s="21" t="str">
        <x:v>BUILD B</x:v>
      </x:c>
      <x:c r="F539" s="21" t="str">
        <x:v>Independent build ecosystem 06</x:v>
      </x:c>
      <x:c r="G539" s="21" t="n">
        <x:v>28</x:v>
      </x:c>
      <x:c r="H539" s="46" t="n">
        <x:v>0</x:v>
      </x:c>
      <x:c r="I539" s="46" t="n">
        <x:v>0</x:v>
      </x:c>
      <x:c r="J539" s="46" t="n">
        <x:v>8</x:v>
      </x:c>
      <x:c r="K539" s="46" t="n">
        <x:v>0</x:v>
      </x:c>
      <x:c r="L539" s="21" t="str">
        <x:v>OPEN</x:v>
      </x:c>
      <x:c r="M539" s="21" t="str">
        <x:v>BLOCKED</x:v>
      </x:c>
      <x:c r="N539" s="23" t="str">
        <x:f>IF(AND(H539&lt;=G539,I539&lt;=H539,K539&lt;=J539),"PASS","FAIL")</x:f>
        <x:v>PASS</x:v>
      </x:c>
    </x:row>
    <x:row r="540">
      <x:c r="B540" s="21" t="str">
        <x:v>F45-I2-C</x:v>
      </x:c>
      <x:c r="C540" s="21" t="str">
        <x:v>F45-I2</x:v>
      </x:c>
      <x:c r="D540" s="21" t="str">
        <x:v>F45</x:v>
      </x:c>
      <x:c r="E540" s="21" t="str">
        <x:v>CHALLENGE</x:v>
      </x:c>
      <x:c r="F540" s="21" t="str">
        <x:v>Sovereign challenge cell TIO-02</x:v>
      </x:c>
      <x:c r="G540" s="21" t="n">
        <x:v>28</x:v>
      </x:c>
      <x:c r="H540" s="46" t="n">
        <x:v>0</x:v>
      </x:c>
      <x:c r="I540" s="46" t="n">
        <x:v>0</x:v>
      </x:c>
      <x:c r="J540" s="46" t="n">
        <x:v>8</x:v>
      </x:c>
      <x:c r="K540" s="46" t="n">
        <x:v>0</x:v>
      </x:c>
      <x:c r="L540" s="21" t="str">
        <x:v>OPEN</x:v>
      </x:c>
      <x:c r="M540" s="21" t="str">
        <x:v>BLOCKED</x:v>
      </x:c>
      <x:c r="N540" s="23" t="str">
        <x:f>IF(AND(H540&lt;=G540,I540&lt;=H540,K540&lt;=J540),"PASS","FAIL")</x:f>
        <x:v>PASS</x:v>
      </x:c>
    </x:row>
    <x:row r="541">
      <x:c r="B541" s="21" t="str">
        <x:v>F45-I3-A</x:v>
      </x:c>
      <x:c r="C541" s="21" t="str">
        <x:v>F45-I3</x:v>
      </x:c>
      <x:c r="D541" s="21" t="str">
        <x:v>F45</x:v>
      </x:c>
      <x:c r="E541" s="21" t="str">
        <x:v>BUILD A</x:v>
      </x:c>
      <x:c r="F541" s="21" t="str">
        <x:v>Independent build ecosystem 07</x:v>
      </x:c>
      <x:c r="G541" s="21" t="n">
        <x:v>28</x:v>
      </x:c>
      <x:c r="H541" s="46" t="n">
        <x:v>0</x:v>
      </x:c>
      <x:c r="I541" s="46" t="n">
        <x:v>0</x:v>
      </x:c>
      <x:c r="J541" s="46" t="n">
        <x:v>8</x:v>
      </x:c>
      <x:c r="K541" s="46" t="n">
        <x:v>0</x:v>
      </x:c>
      <x:c r="L541" s="21" t="str">
        <x:v>OPEN</x:v>
      </x:c>
      <x:c r="M541" s="21" t="str">
        <x:v>BLOCKED</x:v>
      </x:c>
      <x:c r="N541" s="23" t="str">
        <x:f>IF(AND(H541&lt;=G541,I541&lt;=H541,K541&lt;=J541),"PASS","FAIL")</x:f>
        <x:v>PASS</x:v>
      </x:c>
    </x:row>
    <x:row r="542">
      <x:c r="B542" s="21" t="str">
        <x:v>F45-I3-B</x:v>
      </x:c>
      <x:c r="C542" s="21" t="str">
        <x:v>F45-I3</x:v>
      </x:c>
      <x:c r="D542" s="21" t="str">
        <x:v>F45</x:v>
      </x:c>
      <x:c r="E542" s="21" t="str">
        <x:v>BUILD B</x:v>
      </x:c>
      <x:c r="F542" s="21" t="str">
        <x:v>Independent build ecosystem 09</x:v>
      </x:c>
      <x:c r="G542" s="21" t="n">
        <x:v>28</x:v>
      </x:c>
      <x:c r="H542" s="46" t="n">
        <x:v>0</x:v>
      </x:c>
      <x:c r="I542" s="46" t="n">
        <x:v>0</x:v>
      </x:c>
      <x:c r="J542" s="46" t="n">
        <x:v>8</x:v>
      </x:c>
      <x:c r="K542" s="46" t="n">
        <x:v>0</x:v>
      </x:c>
      <x:c r="L542" s="21" t="str">
        <x:v>OPEN</x:v>
      </x:c>
      <x:c r="M542" s="21" t="str">
        <x:v>BLOCKED</x:v>
      </x:c>
      <x:c r="N542" s="23" t="str">
        <x:f>IF(AND(H542&lt;=G542,I542&lt;=H542,K542&lt;=J542),"PASS","FAIL")</x:f>
        <x:v>PASS</x:v>
      </x:c>
    </x:row>
    <x:row r="543">
      <x:c r="B543" s="21" t="str">
        <x:v>F45-I3-C</x:v>
      </x:c>
      <x:c r="C543" s="21" t="str">
        <x:v>F45-I3</x:v>
      </x:c>
      <x:c r="D543" s="21" t="str">
        <x:v>F45</x:v>
      </x:c>
      <x:c r="E543" s="21" t="str">
        <x:v>CHALLENGE</x:v>
      </x:c>
      <x:c r="F543" s="21" t="str">
        <x:v>Sovereign challenge cell TIO-03</x:v>
      </x:c>
      <x:c r="G543" s="21" t="n">
        <x:v>28</x:v>
      </x:c>
      <x:c r="H543" s="46" t="n">
        <x:v>0</x:v>
      </x:c>
      <x:c r="I543" s="46" t="n">
        <x:v>0</x:v>
      </x:c>
      <x:c r="J543" s="46" t="n">
        <x:v>8</x:v>
      </x:c>
      <x:c r="K543" s="46" t="n">
        <x:v>0</x:v>
      </x:c>
      <x:c r="L543" s="21" t="str">
        <x:v>OPEN</x:v>
      </x:c>
      <x:c r="M543" s="21" t="str">
        <x:v>BLOCKED</x:v>
      </x:c>
      <x:c r="N543" s="23" t="str">
        <x:f>IF(AND(H543&lt;=G543,I543&lt;=H543,K543&lt;=J543),"PASS","FAIL")</x:f>
        <x:v>PASS</x:v>
      </x:c>
    </x:row>
    <x:row r="544">
      <x:c r="B544" s="21" t="str">
        <x:v>F45-I4-A</x:v>
      </x:c>
      <x:c r="C544" s="21" t="str">
        <x:v>F45-I4</x:v>
      </x:c>
      <x:c r="D544" s="21" t="str">
        <x:v>F45</x:v>
      </x:c>
      <x:c r="E544" s="21" t="str">
        <x:v>BUILD A</x:v>
      </x:c>
      <x:c r="F544" s="21" t="str">
        <x:v>Independent build ecosystem 10</x:v>
      </x:c>
      <x:c r="G544" s="21" t="n">
        <x:v>28</x:v>
      </x:c>
      <x:c r="H544" s="46" t="n">
        <x:v>0</x:v>
      </x:c>
      <x:c r="I544" s="46" t="n">
        <x:v>0</x:v>
      </x:c>
      <x:c r="J544" s="46" t="n">
        <x:v>8</x:v>
      </x:c>
      <x:c r="K544" s="46" t="n">
        <x:v>0</x:v>
      </x:c>
      <x:c r="L544" s="21" t="str">
        <x:v>OPEN</x:v>
      </x:c>
      <x:c r="M544" s="21" t="str">
        <x:v>BLOCKED</x:v>
      </x:c>
      <x:c r="N544" s="23" t="str">
        <x:f>IF(AND(H544&lt;=G544,I544&lt;=H544,K544&lt;=J544),"PASS","FAIL")</x:f>
        <x:v>PASS</x:v>
      </x:c>
    </x:row>
    <x:row r="545">
      <x:c r="B545" s="21" t="str">
        <x:v>F45-I4-B</x:v>
      </x:c>
      <x:c r="C545" s="21" t="str">
        <x:v>F45-I4</x:v>
      </x:c>
      <x:c r="D545" s="21" t="str">
        <x:v>F45</x:v>
      </x:c>
      <x:c r="E545" s="21" t="str">
        <x:v>BUILD B</x:v>
      </x:c>
      <x:c r="F545" s="21" t="str">
        <x:v>Independent build ecosystem 12</x:v>
      </x:c>
      <x:c r="G545" s="21" t="n">
        <x:v>28</x:v>
      </x:c>
      <x:c r="H545" s="46" t="n">
        <x:v>0</x:v>
      </x:c>
      <x:c r="I545" s="46" t="n">
        <x:v>0</x:v>
      </x:c>
      <x:c r="J545" s="46" t="n">
        <x:v>8</x:v>
      </x:c>
      <x:c r="K545" s="46" t="n">
        <x:v>0</x:v>
      </x:c>
      <x:c r="L545" s="21" t="str">
        <x:v>OPEN</x:v>
      </x:c>
      <x:c r="M545" s="21" t="str">
        <x:v>BLOCKED</x:v>
      </x:c>
      <x:c r="N545" s="23" t="str">
        <x:f>IF(AND(H545&lt;=G545,I545&lt;=H545,K545&lt;=J545),"PASS","FAIL")</x:f>
        <x:v>PASS</x:v>
      </x:c>
    </x:row>
    <x:row r="546">
      <x:c r="B546" s="21" t="str">
        <x:v>F45-I4-C</x:v>
      </x:c>
      <x:c r="C546" s="21" t="str">
        <x:v>F45-I4</x:v>
      </x:c>
      <x:c r="D546" s="21" t="str">
        <x:v>F45</x:v>
      </x:c>
      <x:c r="E546" s="21" t="str">
        <x:v>CHALLENGE</x:v>
      </x:c>
      <x:c r="F546" s="21" t="str">
        <x:v>Sovereign challenge cell TIO-04</x:v>
      </x:c>
      <x:c r="G546" s="21" t="n">
        <x:v>28</x:v>
      </x:c>
      <x:c r="H546" s="46" t="n">
        <x:v>0</x:v>
      </x:c>
      <x:c r="I546" s="46" t="n">
        <x:v>0</x:v>
      </x:c>
      <x:c r="J546" s="46" t="n">
        <x:v>8</x:v>
      </x:c>
      <x:c r="K546" s="46" t="n">
        <x:v>0</x:v>
      </x:c>
      <x:c r="L546" s="21" t="str">
        <x:v>OPEN</x:v>
      </x:c>
      <x:c r="M546" s="21" t="str">
        <x:v>BLOCKED</x:v>
      </x:c>
      <x:c r="N546" s="23" t="str">
        <x:f>IF(AND(H546&lt;=G546,I546&lt;=H546,K546&lt;=J546),"PASS","FAIL")</x:f>
        <x:v>PASS</x:v>
      </x:c>
    </x:row>
    <x:row r="547">
      <x:c r="B547" s="21" t="str">
        <x:v>F46-I1-A</x:v>
      </x:c>
      <x:c r="C547" s="21" t="str">
        <x:v>F46-I1</x:v>
      </x:c>
      <x:c r="D547" s="21" t="str">
        <x:v>F46</x:v>
      </x:c>
      <x:c r="E547" s="21" t="str">
        <x:v>BUILD A</x:v>
      </x:c>
      <x:c r="F547" s="21" t="str">
        <x:v>Independent build ecosystem 13</x:v>
      </x:c>
      <x:c r="G547" s="21" t="n">
        <x:v>28</x:v>
      </x:c>
      <x:c r="H547" s="46" t="n">
        <x:v>0</x:v>
      </x:c>
      <x:c r="I547" s="46" t="n">
        <x:v>0</x:v>
      </x:c>
      <x:c r="J547" s="46" t="n">
        <x:v>8</x:v>
      </x:c>
      <x:c r="K547" s="46" t="n">
        <x:v>0</x:v>
      </x:c>
      <x:c r="L547" s="21" t="str">
        <x:v>OPEN</x:v>
      </x:c>
      <x:c r="M547" s="21" t="str">
        <x:v>BLOCKED</x:v>
      </x:c>
      <x:c r="N547" s="23" t="str">
        <x:f>IF(AND(H547&lt;=G547,I547&lt;=H547,K547&lt;=J547),"PASS","FAIL")</x:f>
        <x:v>PASS</x:v>
      </x:c>
    </x:row>
    <x:row r="548">
      <x:c r="B548" s="21" t="str">
        <x:v>F46-I1-B</x:v>
      </x:c>
      <x:c r="C548" s="21" t="str">
        <x:v>F46-I1</x:v>
      </x:c>
      <x:c r="D548" s="21" t="str">
        <x:v>F46</x:v>
      </x:c>
      <x:c r="E548" s="21" t="str">
        <x:v>BUILD B</x:v>
      </x:c>
      <x:c r="F548" s="21" t="str">
        <x:v>Independent build ecosystem 15</x:v>
      </x:c>
      <x:c r="G548" s="21" t="n">
        <x:v>28</x:v>
      </x:c>
      <x:c r="H548" s="46" t="n">
        <x:v>0</x:v>
      </x:c>
      <x:c r="I548" s="46" t="n">
        <x:v>0</x:v>
      </x:c>
      <x:c r="J548" s="46" t="n">
        <x:v>8</x:v>
      </x:c>
      <x:c r="K548" s="46" t="n">
        <x:v>0</x:v>
      </x:c>
      <x:c r="L548" s="21" t="str">
        <x:v>OPEN</x:v>
      </x:c>
      <x:c r="M548" s="21" t="str">
        <x:v>BLOCKED</x:v>
      </x:c>
      <x:c r="N548" s="23" t="str">
        <x:f>IF(AND(H548&lt;=G548,I548&lt;=H548,K548&lt;=J548),"PASS","FAIL")</x:f>
        <x:v>PASS</x:v>
      </x:c>
    </x:row>
    <x:row r="549">
      <x:c r="B549" s="21" t="str">
        <x:v>F46-I1-C</x:v>
      </x:c>
      <x:c r="C549" s="21" t="str">
        <x:v>F46-I1</x:v>
      </x:c>
      <x:c r="D549" s="21" t="str">
        <x:v>F46</x:v>
      </x:c>
      <x:c r="E549" s="21" t="str">
        <x:v>CHALLENGE</x:v>
      </x:c>
      <x:c r="F549" s="21" t="str">
        <x:v>Sovereign challenge cell TIO-05</x:v>
      </x:c>
      <x:c r="G549" s="21" t="n">
        <x:v>28</x:v>
      </x:c>
      <x:c r="H549" s="46" t="n">
        <x:v>0</x:v>
      </x:c>
      <x:c r="I549" s="46" t="n">
        <x:v>0</x:v>
      </x:c>
      <x:c r="J549" s="46" t="n">
        <x:v>8</x:v>
      </x:c>
      <x:c r="K549" s="46" t="n">
        <x:v>0</x:v>
      </x:c>
      <x:c r="L549" s="21" t="str">
        <x:v>OPEN</x:v>
      </x:c>
      <x:c r="M549" s="21" t="str">
        <x:v>BLOCKED</x:v>
      </x:c>
      <x:c r="N549" s="23" t="str">
        <x:f>IF(AND(H549&lt;=G549,I549&lt;=H549,K549&lt;=J549),"PASS","FAIL")</x:f>
        <x:v>PASS</x:v>
      </x:c>
    </x:row>
    <x:row r="550">
      <x:c r="B550" s="21" t="str">
        <x:v>F46-I2-A</x:v>
      </x:c>
      <x:c r="C550" s="21" t="str">
        <x:v>F46-I2</x:v>
      </x:c>
      <x:c r="D550" s="21" t="str">
        <x:v>F46</x:v>
      </x:c>
      <x:c r="E550" s="21" t="str">
        <x:v>BUILD A</x:v>
      </x:c>
      <x:c r="F550" s="21" t="str">
        <x:v>Independent build ecosystem 16</x:v>
      </x:c>
      <x:c r="G550" s="21" t="n">
        <x:v>28</x:v>
      </x:c>
      <x:c r="H550" s="46" t="n">
        <x:v>0</x:v>
      </x:c>
      <x:c r="I550" s="46" t="n">
        <x:v>0</x:v>
      </x:c>
      <x:c r="J550" s="46" t="n">
        <x:v>8</x:v>
      </x:c>
      <x:c r="K550" s="46" t="n">
        <x:v>0</x:v>
      </x:c>
      <x:c r="L550" s="21" t="str">
        <x:v>OPEN</x:v>
      </x:c>
      <x:c r="M550" s="21" t="str">
        <x:v>BLOCKED</x:v>
      </x:c>
      <x:c r="N550" s="23" t="str">
        <x:f>IF(AND(H550&lt;=G550,I550&lt;=H550,K550&lt;=J550),"PASS","FAIL")</x:f>
        <x:v>PASS</x:v>
      </x:c>
    </x:row>
    <x:row r="551">
      <x:c r="B551" s="21" t="str">
        <x:v>F46-I2-B</x:v>
      </x:c>
      <x:c r="C551" s="21" t="str">
        <x:v>F46-I2</x:v>
      </x:c>
      <x:c r="D551" s="21" t="str">
        <x:v>F46</x:v>
      </x:c>
      <x:c r="E551" s="21" t="str">
        <x:v>BUILD B</x:v>
      </x:c>
      <x:c r="F551" s="21" t="str">
        <x:v>Independent build ecosystem 02</x:v>
      </x:c>
      <x:c r="G551" s="21" t="n">
        <x:v>28</x:v>
      </x:c>
      <x:c r="H551" s="46" t="n">
        <x:v>0</x:v>
      </x:c>
      <x:c r="I551" s="46" t="n">
        <x:v>0</x:v>
      </x:c>
      <x:c r="J551" s="46" t="n">
        <x:v>8</x:v>
      </x:c>
      <x:c r="K551" s="46" t="n">
        <x:v>0</x:v>
      </x:c>
      <x:c r="L551" s="21" t="str">
        <x:v>OPEN</x:v>
      </x:c>
      <x:c r="M551" s="21" t="str">
        <x:v>BLOCKED</x:v>
      </x:c>
      <x:c r="N551" s="23" t="str">
        <x:f>IF(AND(H551&lt;=G551,I551&lt;=H551,K551&lt;=J551),"PASS","FAIL")</x:f>
        <x:v>PASS</x:v>
      </x:c>
    </x:row>
    <x:row r="552">
      <x:c r="B552" s="21" t="str">
        <x:v>F46-I2-C</x:v>
      </x:c>
      <x:c r="C552" s="21" t="str">
        <x:v>F46-I2</x:v>
      </x:c>
      <x:c r="D552" s="21" t="str">
        <x:v>F46</x:v>
      </x:c>
      <x:c r="E552" s="21" t="str">
        <x:v>CHALLENGE</x:v>
      </x:c>
      <x:c r="F552" s="21" t="str">
        <x:v>Sovereign challenge cell TIO-06</x:v>
      </x:c>
      <x:c r="G552" s="21" t="n">
        <x:v>28</x:v>
      </x:c>
      <x:c r="H552" s="46" t="n">
        <x:v>0</x:v>
      </x:c>
      <x:c r="I552" s="46" t="n">
        <x:v>0</x:v>
      </x:c>
      <x:c r="J552" s="46" t="n">
        <x:v>8</x:v>
      </x:c>
      <x:c r="K552" s="46" t="n">
        <x:v>0</x:v>
      </x:c>
      <x:c r="L552" s="21" t="str">
        <x:v>OPEN</x:v>
      </x:c>
      <x:c r="M552" s="21" t="str">
        <x:v>BLOCKED</x:v>
      </x:c>
      <x:c r="N552" s="23" t="str">
        <x:f>IF(AND(H552&lt;=G552,I552&lt;=H552,K552&lt;=J552),"PASS","FAIL")</x:f>
        <x:v>PASS</x:v>
      </x:c>
    </x:row>
    <x:row r="553">
      <x:c r="B553" s="21" t="str">
        <x:v>F46-I3-A</x:v>
      </x:c>
      <x:c r="C553" s="21" t="str">
        <x:v>F46-I3</x:v>
      </x:c>
      <x:c r="D553" s="21" t="str">
        <x:v>F46</x:v>
      </x:c>
      <x:c r="E553" s="21" t="str">
        <x:v>BUILD A</x:v>
      </x:c>
      <x:c r="F553" s="21" t="str">
        <x:v>Independent build ecosystem 03</x:v>
      </x:c>
      <x:c r="G553" s="21" t="n">
        <x:v>28</x:v>
      </x:c>
      <x:c r="H553" s="46" t="n">
        <x:v>0</x:v>
      </x:c>
      <x:c r="I553" s="46" t="n">
        <x:v>0</x:v>
      </x:c>
      <x:c r="J553" s="46" t="n">
        <x:v>8</x:v>
      </x:c>
      <x:c r="K553" s="46" t="n">
        <x:v>0</x:v>
      </x:c>
      <x:c r="L553" s="21" t="str">
        <x:v>OPEN</x:v>
      </x:c>
      <x:c r="M553" s="21" t="str">
        <x:v>BLOCKED</x:v>
      </x:c>
      <x:c r="N553" s="23" t="str">
        <x:f>IF(AND(H553&lt;=G553,I553&lt;=H553,K553&lt;=J553),"PASS","FAIL")</x:f>
        <x:v>PASS</x:v>
      </x:c>
    </x:row>
    <x:row r="554">
      <x:c r="B554" s="21" t="str">
        <x:v>F46-I3-B</x:v>
      </x:c>
      <x:c r="C554" s="21" t="str">
        <x:v>F46-I3</x:v>
      </x:c>
      <x:c r="D554" s="21" t="str">
        <x:v>F46</x:v>
      </x:c>
      <x:c r="E554" s="21" t="str">
        <x:v>BUILD B</x:v>
      </x:c>
      <x:c r="F554" s="21" t="str">
        <x:v>Independent build ecosystem 05</x:v>
      </x:c>
      <x:c r="G554" s="21" t="n">
        <x:v>28</x:v>
      </x:c>
      <x:c r="H554" s="46" t="n">
        <x:v>0</x:v>
      </x:c>
      <x:c r="I554" s="46" t="n">
        <x:v>0</x:v>
      </x:c>
      <x:c r="J554" s="46" t="n">
        <x:v>8</x:v>
      </x:c>
      <x:c r="K554" s="46" t="n">
        <x:v>0</x:v>
      </x:c>
      <x:c r="L554" s="21" t="str">
        <x:v>OPEN</x:v>
      </x:c>
      <x:c r="M554" s="21" t="str">
        <x:v>BLOCKED</x:v>
      </x:c>
      <x:c r="N554" s="23" t="str">
        <x:f>IF(AND(H554&lt;=G554,I554&lt;=H554,K554&lt;=J554),"PASS","FAIL")</x:f>
        <x:v>PASS</x:v>
      </x:c>
    </x:row>
    <x:row r="555">
      <x:c r="B555" s="21" t="str">
        <x:v>F46-I3-C</x:v>
      </x:c>
      <x:c r="C555" s="21" t="str">
        <x:v>F46-I3</x:v>
      </x:c>
      <x:c r="D555" s="21" t="str">
        <x:v>F46</x:v>
      </x:c>
      <x:c r="E555" s="21" t="str">
        <x:v>CHALLENGE</x:v>
      </x:c>
      <x:c r="F555" s="21" t="str">
        <x:v>Sovereign challenge cell TIO-07</x:v>
      </x:c>
      <x:c r="G555" s="21" t="n">
        <x:v>28</x:v>
      </x:c>
      <x:c r="H555" s="46" t="n">
        <x:v>0</x:v>
      </x:c>
      <x:c r="I555" s="46" t="n">
        <x:v>0</x:v>
      </x:c>
      <x:c r="J555" s="46" t="n">
        <x:v>8</x:v>
      </x:c>
      <x:c r="K555" s="46" t="n">
        <x:v>0</x:v>
      </x:c>
      <x:c r="L555" s="21" t="str">
        <x:v>OPEN</x:v>
      </x:c>
      <x:c r="M555" s="21" t="str">
        <x:v>BLOCKED</x:v>
      </x:c>
      <x:c r="N555" s="23" t="str">
        <x:f>IF(AND(H555&lt;=G555,I555&lt;=H555,K555&lt;=J555),"PASS","FAIL")</x:f>
        <x:v>PASS</x:v>
      </x:c>
    </x:row>
    <x:row r="556">
      <x:c r="B556" s="21" t="str">
        <x:v>F46-I4-A</x:v>
      </x:c>
      <x:c r="C556" s="21" t="str">
        <x:v>F46-I4</x:v>
      </x:c>
      <x:c r="D556" s="21" t="str">
        <x:v>F46</x:v>
      </x:c>
      <x:c r="E556" s="21" t="str">
        <x:v>BUILD A</x:v>
      </x:c>
      <x:c r="F556" s="21" t="str">
        <x:v>Independent build ecosystem 06</x:v>
      </x:c>
      <x:c r="G556" s="21" t="n">
        <x:v>28</x:v>
      </x:c>
      <x:c r="H556" s="46" t="n">
        <x:v>0</x:v>
      </x:c>
      <x:c r="I556" s="46" t="n">
        <x:v>0</x:v>
      </x:c>
      <x:c r="J556" s="46" t="n">
        <x:v>8</x:v>
      </x:c>
      <x:c r="K556" s="46" t="n">
        <x:v>0</x:v>
      </x:c>
      <x:c r="L556" s="21" t="str">
        <x:v>OPEN</x:v>
      </x:c>
      <x:c r="M556" s="21" t="str">
        <x:v>BLOCKED</x:v>
      </x:c>
      <x:c r="N556" s="23" t="str">
        <x:f>IF(AND(H556&lt;=G556,I556&lt;=H556,K556&lt;=J556),"PASS","FAIL")</x:f>
        <x:v>PASS</x:v>
      </x:c>
    </x:row>
    <x:row r="557">
      <x:c r="B557" s="21" t="str">
        <x:v>F46-I4-B</x:v>
      </x:c>
      <x:c r="C557" s="21" t="str">
        <x:v>F46-I4</x:v>
      </x:c>
      <x:c r="D557" s="21" t="str">
        <x:v>F46</x:v>
      </x:c>
      <x:c r="E557" s="21" t="str">
        <x:v>BUILD B</x:v>
      </x:c>
      <x:c r="F557" s="21" t="str">
        <x:v>Independent build ecosystem 08</x:v>
      </x:c>
      <x:c r="G557" s="21" t="n">
        <x:v>28</x:v>
      </x:c>
      <x:c r="H557" s="46" t="n">
        <x:v>0</x:v>
      </x:c>
      <x:c r="I557" s="46" t="n">
        <x:v>0</x:v>
      </x:c>
      <x:c r="J557" s="46" t="n">
        <x:v>8</x:v>
      </x:c>
      <x:c r="K557" s="46" t="n">
        <x:v>0</x:v>
      </x:c>
      <x:c r="L557" s="21" t="str">
        <x:v>OPEN</x:v>
      </x:c>
      <x:c r="M557" s="21" t="str">
        <x:v>BLOCKED</x:v>
      </x:c>
      <x:c r="N557" s="23" t="str">
        <x:f>IF(AND(H557&lt;=G557,I557&lt;=H557,K557&lt;=J557),"PASS","FAIL")</x:f>
        <x:v>PASS</x:v>
      </x:c>
    </x:row>
    <x:row r="558">
      <x:c r="B558" s="21" t="str">
        <x:v>F46-I4-C</x:v>
      </x:c>
      <x:c r="C558" s="21" t="str">
        <x:v>F46-I4</x:v>
      </x:c>
      <x:c r="D558" s="21" t="str">
        <x:v>F46</x:v>
      </x:c>
      <x:c r="E558" s="21" t="str">
        <x:v>CHALLENGE</x:v>
      </x:c>
      <x:c r="F558" s="21" t="str">
        <x:v>Sovereign challenge cell TIO-08</x:v>
      </x:c>
      <x:c r="G558" s="21" t="n">
        <x:v>28</x:v>
      </x:c>
      <x:c r="H558" s="46" t="n">
        <x:v>0</x:v>
      </x:c>
      <x:c r="I558" s="46" t="n">
        <x:v>0</x:v>
      </x:c>
      <x:c r="J558" s="46" t="n">
        <x:v>8</x:v>
      </x:c>
      <x:c r="K558" s="46" t="n">
        <x:v>0</x:v>
      </x:c>
      <x:c r="L558" s="21" t="str">
        <x:v>OPEN</x:v>
      </x:c>
      <x:c r="M558" s="21" t="str">
        <x:v>BLOCKED</x:v>
      </x:c>
      <x:c r="N558" s="23" t="str">
        <x:f>IF(AND(H558&lt;=G558,I558&lt;=H558,K558&lt;=J558),"PASS","FAIL")</x:f>
        <x:v>PASS</x:v>
      </x:c>
    </x:row>
    <x:row r="559">
      <x:c r="B559" s="21" t="str">
        <x:v>F47-I1-A</x:v>
      </x:c>
      <x:c r="C559" s="21" t="str">
        <x:v>F47-I1</x:v>
      </x:c>
      <x:c r="D559" s="21" t="str">
        <x:v>F47</x:v>
      </x:c>
      <x:c r="E559" s="21" t="str">
        <x:v>BUILD A</x:v>
      </x:c>
      <x:c r="F559" s="21" t="str">
        <x:v>Independent build ecosystem 09</x:v>
      </x:c>
      <x:c r="G559" s="21" t="n">
        <x:v>28</x:v>
      </x:c>
      <x:c r="H559" s="46" t="n">
        <x:v>0</x:v>
      </x:c>
      <x:c r="I559" s="46" t="n">
        <x:v>0</x:v>
      </x:c>
      <x:c r="J559" s="46" t="n">
        <x:v>8</x:v>
      </x:c>
      <x:c r="K559" s="46" t="n">
        <x:v>0</x:v>
      </x:c>
      <x:c r="L559" s="21" t="str">
        <x:v>OPEN</x:v>
      </x:c>
      <x:c r="M559" s="21" t="str">
        <x:v>BLOCKED</x:v>
      </x:c>
      <x:c r="N559" s="23" t="str">
        <x:f>IF(AND(H559&lt;=G559,I559&lt;=H559,K559&lt;=J559),"PASS","FAIL")</x:f>
        <x:v>PASS</x:v>
      </x:c>
    </x:row>
    <x:row r="560">
      <x:c r="B560" s="21" t="str">
        <x:v>F47-I1-B</x:v>
      </x:c>
      <x:c r="C560" s="21" t="str">
        <x:v>F47-I1</x:v>
      </x:c>
      <x:c r="D560" s="21" t="str">
        <x:v>F47</x:v>
      </x:c>
      <x:c r="E560" s="21" t="str">
        <x:v>BUILD B</x:v>
      </x:c>
      <x:c r="F560" s="21" t="str">
        <x:v>Independent build ecosystem 11</x:v>
      </x:c>
      <x:c r="G560" s="21" t="n">
        <x:v>28</x:v>
      </x:c>
      <x:c r="H560" s="46" t="n">
        <x:v>0</x:v>
      </x:c>
      <x:c r="I560" s="46" t="n">
        <x:v>0</x:v>
      </x:c>
      <x:c r="J560" s="46" t="n">
        <x:v>8</x:v>
      </x:c>
      <x:c r="K560" s="46" t="n">
        <x:v>0</x:v>
      </x:c>
      <x:c r="L560" s="21" t="str">
        <x:v>OPEN</x:v>
      </x:c>
      <x:c r="M560" s="21" t="str">
        <x:v>BLOCKED</x:v>
      </x:c>
      <x:c r="N560" s="23" t="str">
        <x:f>IF(AND(H560&lt;=G560,I560&lt;=H560,K560&lt;=J560),"PASS","FAIL")</x:f>
        <x:v>PASS</x:v>
      </x:c>
    </x:row>
    <x:row r="561">
      <x:c r="B561" s="21" t="str">
        <x:v>F47-I1-C</x:v>
      </x:c>
      <x:c r="C561" s="21" t="str">
        <x:v>F47-I1</x:v>
      </x:c>
      <x:c r="D561" s="21" t="str">
        <x:v>F47</x:v>
      </x:c>
      <x:c r="E561" s="21" t="str">
        <x:v>CHALLENGE</x:v>
      </x:c>
      <x:c r="F561" s="21" t="str">
        <x:v>Sovereign challenge cell TIO-09</x:v>
      </x:c>
      <x:c r="G561" s="21" t="n">
        <x:v>28</x:v>
      </x:c>
      <x:c r="H561" s="46" t="n">
        <x:v>0</x:v>
      </x:c>
      <x:c r="I561" s="46" t="n">
        <x:v>0</x:v>
      </x:c>
      <x:c r="J561" s="46" t="n">
        <x:v>8</x:v>
      </x:c>
      <x:c r="K561" s="46" t="n">
        <x:v>0</x:v>
      </x:c>
      <x:c r="L561" s="21" t="str">
        <x:v>OPEN</x:v>
      </x:c>
      <x:c r="M561" s="21" t="str">
        <x:v>BLOCKED</x:v>
      </x:c>
      <x:c r="N561" s="23" t="str">
        <x:f>IF(AND(H561&lt;=G561,I561&lt;=H561,K561&lt;=J561),"PASS","FAIL")</x:f>
        <x:v>PASS</x:v>
      </x:c>
    </x:row>
    <x:row r="562">
      <x:c r="B562" s="21" t="str">
        <x:v>F47-I2-A</x:v>
      </x:c>
      <x:c r="C562" s="21" t="str">
        <x:v>F47-I2</x:v>
      </x:c>
      <x:c r="D562" s="21" t="str">
        <x:v>F47</x:v>
      </x:c>
      <x:c r="E562" s="21" t="str">
        <x:v>BUILD A</x:v>
      </x:c>
      <x:c r="F562" s="21" t="str">
        <x:v>Independent build ecosystem 12</x:v>
      </x:c>
      <x:c r="G562" s="21" t="n">
        <x:v>28</x:v>
      </x:c>
      <x:c r="H562" s="46" t="n">
        <x:v>0</x:v>
      </x:c>
      <x:c r="I562" s="46" t="n">
        <x:v>0</x:v>
      </x:c>
      <x:c r="J562" s="46" t="n">
        <x:v>8</x:v>
      </x:c>
      <x:c r="K562" s="46" t="n">
        <x:v>0</x:v>
      </x:c>
      <x:c r="L562" s="21" t="str">
        <x:v>OPEN</x:v>
      </x:c>
      <x:c r="M562" s="21" t="str">
        <x:v>BLOCKED</x:v>
      </x:c>
      <x:c r="N562" s="23" t="str">
        <x:f>IF(AND(H562&lt;=G562,I562&lt;=H562,K562&lt;=J562),"PASS","FAIL")</x:f>
        <x:v>PASS</x:v>
      </x:c>
    </x:row>
    <x:row r="563">
      <x:c r="B563" s="21" t="str">
        <x:v>F47-I2-B</x:v>
      </x:c>
      <x:c r="C563" s="21" t="str">
        <x:v>F47-I2</x:v>
      </x:c>
      <x:c r="D563" s="21" t="str">
        <x:v>F47</x:v>
      </x:c>
      <x:c r="E563" s="21" t="str">
        <x:v>BUILD B</x:v>
      </x:c>
      <x:c r="F563" s="21" t="str">
        <x:v>Independent build ecosystem 14</x:v>
      </x:c>
      <x:c r="G563" s="21" t="n">
        <x:v>28</x:v>
      </x:c>
      <x:c r="H563" s="46" t="n">
        <x:v>0</x:v>
      </x:c>
      <x:c r="I563" s="46" t="n">
        <x:v>0</x:v>
      </x:c>
      <x:c r="J563" s="46" t="n">
        <x:v>8</x:v>
      </x:c>
      <x:c r="K563" s="46" t="n">
        <x:v>0</x:v>
      </x:c>
      <x:c r="L563" s="21" t="str">
        <x:v>OPEN</x:v>
      </x:c>
      <x:c r="M563" s="21" t="str">
        <x:v>BLOCKED</x:v>
      </x:c>
      <x:c r="N563" s="23" t="str">
        <x:f>IF(AND(H563&lt;=G563,I563&lt;=H563,K563&lt;=J563),"PASS","FAIL")</x:f>
        <x:v>PASS</x:v>
      </x:c>
    </x:row>
    <x:row r="564">
      <x:c r="B564" s="21" t="str">
        <x:v>F47-I2-C</x:v>
      </x:c>
      <x:c r="C564" s="21" t="str">
        <x:v>F47-I2</x:v>
      </x:c>
      <x:c r="D564" s="21" t="str">
        <x:v>F47</x:v>
      </x:c>
      <x:c r="E564" s="21" t="str">
        <x:v>CHALLENGE</x:v>
      </x:c>
      <x:c r="F564" s="21" t="str">
        <x:v>Sovereign challenge cell TIO-10</x:v>
      </x:c>
      <x:c r="G564" s="21" t="n">
        <x:v>28</x:v>
      </x:c>
      <x:c r="H564" s="46" t="n">
        <x:v>0</x:v>
      </x:c>
      <x:c r="I564" s="46" t="n">
        <x:v>0</x:v>
      </x:c>
      <x:c r="J564" s="46" t="n">
        <x:v>8</x:v>
      </x:c>
      <x:c r="K564" s="46" t="n">
        <x:v>0</x:v>
      </x:c>
      <x:c r="L564" s="21" t="str">
        <x:v>OPEN</x:v>
      </x:c>
      <x:c r="M564" s="21" t="str">
        <x:v>BLOCKED</x:v>
      </x:c>
      <x:c r="N564" s="23" t="str">
        <x:f>IF(AND(H564&lt;=G564,I564&lt;=H564,K564&lt;=J564),"PASS","FAIL")</x:f>
        <x:v>PASS</x:v>
      </x:c>
    </x:row>
    <x:row r="565">
      <x:c r="B565" s="21" t="str">
        <x:v>F47-I3-A</x:v>
      </x:c>
      <x:c r="C565" s="21" t="str">
        <x:v>F47-I3</x:v>
      </x:c>
      <x:c r="D565" s="21" t="str">
        <x:v>F47</x:v>
      </x:c>
      <x:c r="E565" s="21" t="str">
        <x:v>BUILD A</x:v>
      </x:c>
      <x:c r="F565" s="21" t="str">
        <x:v>Independent build ecosystem 15</x:v>
      </x:c>
      <x:c r="G565" s="21" t="n">
        <x:v>28</x:v>
      </x:c>
      <x:c r="H565" s="46" t="n">
        <x:v>0</x:v>
      </x:c>
      <x:c r="I565" s="46" t="n">
        <x:v>0</x:v>
      </x:c>
      <x:c r="J565" s="46" t="n">
        <x:v>8</x:v>
      </x:c>
      <x:c r="K565" s="46" t="n">
        <x:v>0</x:v>
      </x:c>
      <x:c r="L565" s="21" t="str">
        <x:v>OPEN</x:v>
      </x:c>
      <x:c r="M565" s="21" t="str">
        <x:v>BLOCKED</x:v>
      </x:c>
      <x:c r="N565" s="23" t="str">
        <x:f>IF(AND(H565&lt;=G565,I565&lt;=H565,K565&lt;=J565),"PASS","FAIL")</x:f>
        <x:v>PASS</x:v>
      </x:c>
    </x:row>
    <x:row r="566">
      <x:c r="B566" s="21" t="str">
        <x:v>F47-I3-B</x:v>
      </x:c>
      <x:c r="C566" s="21" t="str">
        <x:v>F47-I3</x:v>
      </x:c>
      <x:c r="D566" s="21" t="str">
        <x:v>F47</x:v>
      </x:c>
      <x:c r="E566" s="21" t="str">
        <x:v>BUILD B</x:v>
      </x:c>
      <x:c r="F566" s="21" t="str">
        <x:v>Independent build ecosystem 01</x:v>
      </x:c>
      <x:c r="G566" s="21" t="n">
        <x:v>28</x:v>
      </x:c>
      <x:c r="H566" s="46" t="n">
        <x:v>0</x:v>
      </x:c>
      <x:c r="I566" s="46" t="n">
        <x:v>0</x:v>
      </x:c>
      <x:c r="J566" s="46" t="n">
        <x:v>8</x:v>
      </x:c>
      <x:c r="K566" s="46" t="n">
        <x:v>0</x:v>
      </x:c>
      <x:c r="L566" s="21" t="str">
        <x:v>OPEN</x:v>
      </x:c>
      <x:c r="M566" s="21" t="str">
        <x:v>BLOCKED</x:v>
      </x:c>
      <x:c r="N566" s="23" t="str">
        <x:f>IF(AND(H566&lt;=G566,I566&lt;=H566,K566&lt;=J566),"PASS","FAIL")</x:f>
        <x:v>PASS</x:v>
      </x:c>
    </x:row>
    <x:row r="567">
      <x:c r="B567" s="21" t="str">
        <x:v>F47-I3-C</x:v>
      </x:c>
      <x:c r="C567" s="21" t="str">
        <x:v>F47-I3</x:v>
      </x:c>
      <x:c r="D567" s="21" t="str">
        <x:v>F47</x:v>
      </x:c>
      <x:c r="E567" s="21" t="str">
        <x:v>CHALLENGE</x:v>
      </x:c>
      <x:c r="F567" s="21" t="str">
        <x:v>Sovereign challenge cell TIO-11</x:v>
      </x:c>
      <x:c r="G567" s="21" t="n">
        <x:v>28</x:v>
      </x:c>
      <x:c r="H567" s="46" t="n">
        <x:v>0</x:v>
      </x:c>
      <x:c r="I567" s="46" t="n">
        <x:v>0</x:v>
      </x:c>
      <x:c r="J567" s="46" t="n">
        <x:v>8</x:v>
      </x:c>
      <x:c r="K567" s="46" t="n">
        <x:v>0</x:v>
      </x:c>
      <x:c r="L567" s="21" t="str">
        <x:v>OPEN</x:v>
      </x:c>
      <x:c r="M567" s="21" t="str">
        <x:v>BLOCKED</x:v>
      </x:c>
      <x:c r="N567" s="23" t="str">
        <x:f>IF(AND(H567&lt;=G567,I567&lt;=H567,K567&lt;=J567),"PASS","FAIL")</x:f>
        <x:v>PASS</x:v>
      </x:c>
    </x:row>
    <x:row r="568">
      <x:c r="B568" s="21" t="str">
        <x:v>F47-I4-A</x:v>
      </x:c>
      <x:c r="C568" s="21" t="str">
        <x:v>F47-I4</x:v>
      </x:c>
      <x:c r="D568" s="21" t="str">
        <x:v>F47</x:v>
      </x:c>
      <x:c r="E568" s="21" t="str">
        <x:v>BUILD A</x:v>
      </x:c>
      <x:c r="F568" s="21" t="str">
        <x:v>Independent build ecosystem 02</x:v>
      </x:c>
      <x:c r="G568" s="21" t="n">
        <x:v>28</x:v>
      </x:c>
      <x:c r="H568" s="46" t="n">
        <x:v>0</x:v>
      </x:c>
      <x:c r="I568" s="46" t="n">
        <x:v>0</x:v>
      </x:c>
      <x:c r="J568" s="46" t="n">
        <x:v>8</x:v>
      </x:c>
      <x:c r="K568" s="46" t="n">
        <x:v>0</x:v>
      </x:c>
      <x:c r="L568" s="21" t="str">
        <x:v>OPEN</x:v>
      </x:c>
      <x:c r="M568" s="21" t="str">
        <x:v>BLOCKED</x:v>
      </x:c>
      <x:c r="N568" s="23" t="str">
        <x:f>IF(AND(H568&lt;=G568,I568&lt;=H568,K568&lt;=J568),"PASS","FAIL")</x:f>
        <x:v>PASS</x:v>
      </x:c>
    </x:row>
    <x:row r="569">
      <x:c r="B569" s="21" t="str">
        <x:v>F47-I4-B</x:v>
      </x:c>
      <x:c r="C569" s="21" t="str">
        <x:v>F47-I4</x:v>
      </x:c>
      <x:c r="D569" s="21" t="str">
        <x:v>F47</x:v>
      </x:c>
      <x:c r="E569" s="21" t="str">
        <x:v>BUILD B</x:v>
      </x:c>
      <x:c r="F569" s="21" t="str">
        <x:v>Independent build ecosystem 04</x:v>
      </x:c>
      <x:c r="G569" s="21" t="n">
        <x:v>28</x:v>
      </x:c>
      <x:c r="H569" s="46" t="n">
        <x:v>0</x:v>
      </x:c>
      <x:c r="I569" s="46" t="n">
        <x:v>0</x:v>
      </x:c>
      <x:c r="J569" s="46" t="n">
        <x:v>8</x:v>
      </x:c>
      <x:c r="K569" s="46" t="n">
        <x:v>0</x:v>
      </x:c>
      <x:c r="L569" s="21" t="str">
        <x:v>OPEN</x:v>
      </x:c>
      <x:c r="M569" s="21" t="str">
        <x:v>BLOCKED</x:v>
      </x:c>
      <x:c r="N569" s="23" t="str">
        <x:f>IF(AND(H569&lt;=G569,I569&lt;=H569,K569&lt;=J569),"PASS","FAIL")</x:f>
        <x:v>PASS</x:v>
      </x:c>
    </x:row>
    <x:row r="570">
      <x:c r="B570" s="21" t="str">
        <x:v>F47-I4-C</x:v>
      </x:c>
      <x:c r="C570" s="21" t="str">
        <x:v>F47-I4</x:v>
      </x:c>
      <x:c r="D570" s="21" t="str">
        <x:v>F47</x:v>
      </x:c>
      <x:c r="E570" s="21" t="str">
        <x:v>CHALLENGE</x:v>
      </x:c>
      <x:c r="F570" s="21" t="str">
        <x:v>Sovereign challenge cell TIO-12</x:v>
      </x:c>
      <x:c r="G570" s="21" t="n">
        <x:v>28</x:v>
      </x:c>
      <x:c r="H570" s="46" t="n">
        <x:v>0</x:v>
      </x:c>
      <x:c r="I570" s="46" t="n">
        <x:v>0</x:v>
      </x:c>
      <x:c r="J570" s="46" t="n">
        <x:v>8</x:v>
      </x:c>
      <x:c r="K570" s="46" t="n">
        <x:v>0</x:v>
      </x:c>
      <x:c r="L570" s="21" t="str">
        <x:v>OPEN</x:v>
      </x:c>
      <x:c r="M570" s="21" t="str">
        <x:v>BLOCKED</x:v>
      </x:c>
      <x:c r="N570" s="23" t="str">
        <x:f>IF(AND(H570&lt;=G570,I570&lt;=H570,K570&lt;=J570),"PASS","FAIL")</x:f>
        <x:v>PASS</x:v>
      </x:c>
    </x:row>
    <x:row r="571">
      <x:c r="B571" s="21" t="str">
        <x:v>F48-I1-A</x:v>
      </x:c>
      <x:c r="C571" s="21" t="str">
        <x:v>F48-I1</x:v>
      </x:c>
      <x:c r="D571" s="21" t="str">
        <x:v>F48</x:v>
      </x:c>
      <x:c r="E571" s="21" t="str">
        <x:v>BUILD A</x:v>
      </x:c>
      <x:c r="F571" s="21" t="str">
        <x:v>Independent build ecosystem 05</x:v>
      </x:c>
      <x:c r="G571" s="21" t="n">
        <x:v>28</x:v>
      </x:c>
      <x:c r="H571" s="46" t="n">
        <x:v>0</x:v>
      </x:c>
      <x:c r="I571" s="46" t="n">
        <x:v>0</x:v>
      </x:c>
      <x:c r="J571" s="46" t="n">
        <x:v>8</x:v>
      </x:c>
      <x:c r="K571" s="46" t="n">
        <x:v>0</x:v>
      </x:c>
      <x:c r="L571" s="21" t="str">
        <x:v>OPEN</x:v>
      </x:c>
      <x:c r="M571" s="21" t="str">
        <x:v>BLOCKED</x:v>
      </x:c>
      <x:c r="N571" s="23" t="str">
        <x:f>IF(AND(H571&lt;=G571,I571&lt;=H571,K571&lt;=J571),"PASS","FAIL")</x:f>
        <x:v>PASS</x:v>
      </x:c>
    </x:row>
    <x:row r="572">
      <x:c r="B572" s="21" t="str">
        <x:v>F48-I1-B</x:v>
      </x:c>
      <x:c r="C572" s="21" t="str">
        <x:v>F48-I1</x:v>
      </x:c>
      <x:c r="D572" s="21" t="str">
        <x:v>F48</x:v>
      </x:c>
      <x:c r="E572" s="21" t="str">
        <x:v>BUILD B</x:v>
      </x:c>
      <x:c r="F572" s="21" t="str">
        <x:v>Independent build ecosystem 07</x:v>
      </x:c>
      <x:c r="G572" s="21" t="n">
        <x:v>28</x:v>
      </x:c>
      <x:c r="H572" s="46" t="n">
        <x:v>0</x:v>
      </x:c>
      <x:c r="I572" s="46" t="n">
        <x:v>0</x:v>
      </x:c>
      <x:c r="J572" s="46" t="n">
        <x:v>8</x:v>
      </x:c>
      <x:c r="K572" s="46" t="n">
        <x:v>0</x:v>
      </x:c>
      <x:c r="L572" s="21" t="str">
        <x:v>OPEN</x:v>
      </x:c>
      <x:c r="M572" s="21" t="str">
        <x:v>BLOCKED</x:v>
      </x:c>
      <x:c r="N572" s="23" t="str">
        <x:f>IF(AND(H572&lt;=G572,I572&lt;=H572,K572&lt;=J572),"PASS","FAIL")</x:f>
        <x:v>PASS</x:v>
      </x:c>
    </x:row>
    <x:row r="573">
      <x:c r="B573" s="21" t="str">
        <x:v>F48-I1-C</x:v>
      </x:c>
      <x:c r="C573" s="21" t="str">
        <x:v>F48-I1</x:v>
      </x:c>
      <x:c r="D573" s="21" t="str">
        <x:v>F48</x:v>
      </x:c>
      <x:c r="E573" s="21" t="str">
        <x:v>CHALLENGE</x:v>
      </x:c>
      <x:c r="F573" s="21" t="str">
        <x:v>Sovereign challenge cell TIO-13</x:v>
      </x:c>
      <x:c r="G573" s="21" t="n">
        <x:v>28</x:v>
      </x:c>
      <x:c r="H573" s="46" t="n">
        <x:v>0</x:v>
      </x:c>
      <x:c r="I573" s="46" t="n">
        <x:v>0</x:v>
      </x:c>
      <x:c r="J573" s="46" t="n">
        <x:v>8</x:v>
      </x:c>
      <x:c r="K573" s="46" t="n">
        <x:v>0</x:v>
      </x:c>
      <x:c r="L573" s="21" t="str">
        <x:v>OPEN</x:v>
      </x:c>
      <x:c r="M573" s="21" t="str">
        <x:v>BLOCKED</x:v>
      </x:c>
      <x:c r="N573" s="23" t="str">
        <x:f>IF(AND(H573&lt;=G573,I573&lt;=H573,K573&lt;=J573),"PASS","FAIL")</x:f>
        <x:v>PASS</x:v>
      </x:c>
    </x:row>
    <x:row r="574">
      <x:c r="B574" s="21" t="str">
        <x:v>F48-I2-A</x:v>
      </x:c>
      <x:c r="C574" s="21" t="str">
        <x:v>F48-I2</x:v>
      </x:c>
      <x:c r="D574" s="21" t="str">
        <x:v>F48</x:v>
      </x:c>
      <x:c r="E574" s="21" t="str">
        <x:v>BUILD A</x:v>
      </x:c>
      <x:c r="F574" s="21" t="str">
        <x:v>Independent build ecosystem 08</x:v>
      </x:c>
      <x:c r="G574" s="21" t="n">
        <x:v>28</x:v>
      </x:c>
      <x:c r="H574" s="46" t="n">
        <x:v>0</x:v>
      </x:c>
      <x:c r="I574" s="46" t="n">
        <x:v>0</x:v>
      </x:c>
      <x:c r="J574" s="46" t="n">
        <x:v>8</x:v>
      </x:c>
      <x:c r="K574" s="46" t="n">
        <x:v>0</x:v>
      </x:c>
      <x:c r="L574" s="21" t="str">
        <x:v>OPEN</x:v>
      </x:c>
      <x:c r="M574" s="21" t="str">
        <x:v>BLOCKED</x:v>
      </x:c>
      <x:c r="N574" s="23" t="str">
        <x:f>IF(AND(H574&lt;=G574,I574&lt;=H574,K574&lt;=J574),"PASS","FAIL")</x:f>
        <x:v>PASS</x:v>
      </x:c>
    </x:row>
    <x:row r="575">
      <x:c r="B575" s="21" t="str">
        <x:v>F48-I2-B</x:v>
      </x:c>
      <x:c r="C575" s="21" t="str">
        <x:v>F48-I2</x:v>
      </x:c>
      <x:c r="D575" s="21" t="str">
        <x:v>F48</x:v>
      </x:c>
      <x:c r="E575" s="21" t="str">
        <x:v>BUILD B</x:v>
      </x:c>
      <x:c r="F575" s="21" t="str">
        <x:v>Independent build ecosystem 10</x:v>
      </x:c>
      <x:c r="G575" s="21" t="n">
        <x:v>28</x:v>
      </x:c>
      <x:c r="H575" s="46" t="n">
        <x:v>0</x:v>
      </x:c>
      <x:c r="I575" s="46" t="n">
        <x:v>0</x:v>
      </x:c>
      <x:c r="J575" s="46" t="n">
        <x:v>8</x:v>
      </x:c>
      <x:c r="K575" s="46" t="n">
        <x:v>0</x:v>
      </x:c>
      <x:c r="L575" s="21" t="str">
        <x:v>OPEN</x:v>
      </x:c>
      <x:c r="M575" s="21" t="str">
        <x:v>BLOCKED</x:v>
      </x:c>
      <x:c r="N575" s="23" t="str">
        <x:f>IF(AND(H575&lt;=G575,I575&lt;=H575,K575&lt;=J575),"PASS","FAIL")</x:f>
        <x:v>PASS</x:v>
      </x:c>
    </x:row>
    <x:row r="576">
      <x:c r="B576" s="21" t="str">
        <x:v>F48-I2-C</x:v>
      </x:c>
      <x:c r="C576" s="21" t="str">
        <x:v>F48-I2</x:v>
      </x:c>
      <x:c r="D576" s="21" t="str">
        <x:v>F48</x:v>
      </x:c>
      <x:c r="E576" s="21" t="str">
        <x:v>CHALLENGE</x:v>
      </x:c>
      <x:c r="F576" s="21" t="str">
        <x:v>Sovereign challenge cell TIO-14</x:v>
      </x:c>
      <x:c r="G576" s="21" t="n">
        <x:v>28</x:v>
      </x:c>
      <x:c r="H576" s="46" t="n">
        <x:v>0</x:v>
      </x:c>
      <x:c r="I576" s="46" t="n">
        <x:v>0</x:v>
      </x:c>
      <x:c r="J576" s="46" t="n">
        <x:v>8</x:v>
      </x:c>
      <x:c r="K576" s="46" t="n">
        <x:v>0</x:v>
      </x:c>
      <x:c r="L576" s="21" t="str">
        <x:v>OPEN</x:v>
      </x:c>
      <x:c r="M576" s="21" t="str">
        <x:v>BLOCKED</x:v>
      </x:c>
      <x:c r="N576" s="23" t="str">
        <x:f>IF(AND(H576&lt;=G576,I576&lt;=H576,K576&lt;=J576),"PASS","FAIL")</x:f>
        <x:v>PASS</x:v>
      </x:c>
    </x:row>
    <x:row r="577">
      <x:c r="B577" s="21" t="str">
        <x:v>F48-I3-A</x:v>
      </x:c>
      <x:c r="C577" s="21" t="str">
        <x:v>F48-I3</x:v>
      </x:c>
      <x:c r="D577" s="21" t="str">
        <x:v>F48</x:v>
      </x:c>
      <x:c r="E577" s="21" t="str">
        <x:v>BUILD A</x:v>
      </x:c>
      <x:c r="F577" s="21" t="str">
        <x:v>Independent build ecosystem 11</x:v>
      </x:c>
      <x:c r="G577" s="21" t="n">
        <x:v>28</x:v>
      </x:c>
      <x:c r="H577" s="46" t="n">
        <x:v>0</x:v>
      </x:c>
      <x:c r="I577" s="46" t="n">
        <x:v>0</x:v>
      </x:c>
      <x:c r="J577" s="46" t="n">
        <x:v>8</x:v>
      </x:c>
      <x:c r="K577" s="46" t="n">
        <x:v>0</x:v>
      </x:c>
      <x:c r="L577" s="21" t="str">
        <x:v>OPEN</x:v>
      </x:c>
      <x:c r="M577" s="21" t="str">
        <x:v>BLOCKED</x:v>
      </x:c>
      <x:c r="N577" s="23" t="str">
        <x:f>IF(AND(H577&lt;=G577,I577&lt;=H577,K577&lt;=J577),"PASS","FAIL")</x:f>
        <x:v>PASS</x:v>
      </x:c>
    </x:row>
    <x:row r="578">
      <x:c r="B578" s="21" t="str">
        <x:v>F48-I3-B</x:v>
      </x:c>
      <x:c r="C578" s="21" t="str">
        <x:v>F48-I3</x:v>
      </x:c>
      <x:c r="D578" s="21" t="str">
        <x:v>F48</x:v>
      </x:c>
      <x:c r="E578" s="21" t="str">
        <x:v>BUILD B</x:v>
      </x:c>
      <x:c r="F578" s="21" t="str">
        <x:v>Independent build ecosystem 13</x:v>
      </x:c>
      <x:c r="G578" s="21" t="n">
        <x:v>28</x:v>
      </x:c>
      <x:c r="H578" s="46" t="n">
        <x:v>0</x:v>
      </x:c>
      <x:c r="I578" s="46" t="n">
        <x:v>0</x:v>
      </x:c>
      <x:c r="J578" s="46" t="n">
        <x:v>8</x:v>
      </x:c>
      <x:c r="K578" s="46" t="n">
        <x:v>0</x:v>
      </x:c>
      <x:c r="L578" s="21" t="str">
        <x:v>OPEN</x:v>
      </x:c>
      <x:c r="M578" s="21" t="str">
        <x:v>BLOCKED</x:v>
      </x:c>
      <x:c r="N578" s="23" t="str">
        <x:f>IF(AND(H578&lt;=G578,I578&lt;=H578,K578&lt;=J578),"PASS","FAIL")</x:f>
        <x:v>PASS</x:v>
      </x:c>
    </x:row>
    <x:row r="579">
      <x:c r="B579" s="21" t="str">
        <x:v>F48-I3-C</x:v>
      </x:c>
      <x:c r="C579" s="21" t="str">
        <x:v>F48-I3</x:v>
      </x:c>
      <x:c r="D579" s="21" t="str">
        <x:v>F48</x:v>
      </x:c>
      <x:c r="E579" s="21" t="str">
        <x:v>CHALLENGE</x:v>
      </x:c>
      <x:c r="F579" s="21" t="str">
        <x:v>Sovereign challenge cell TIO-15</x:v>
      </x:c>
      <x:c r="G579" s="21" t="n">
        <x:v>28</x:v>
      </x:c>
      <x:c r="H579" s="46" t="n">
        <x:v>0</x:v>
      </x:c>
      <x:c r="I579" s="46" t="n">
        <x:v>0</x:v>
      </x:c>
      <x:c r="J579" s="46" t="n">
        <x:v>8</x:v>
      </x:c>
      <x:c r="K579" s="46" t="n">
        <x:v>0</x:v>
      </x:c>
      <x:c r="L579" s="21" t="str">
        <x:v>OPEN</x:v>
      </x:c>
      <x:c r="M579" s="21" t="str">
        <x:v>BLOCKED</x:v>
      </x:c>
      <x:c r="N579" s="23" t="str">
        <x:f>IF(AND(H579&lt;=G579,I579&lt;=H579,K579&lt;=J579),"PASS","FAIL")</x:f>
        <x:v>PASS</x:v>
      </x:c>
    </x:row>
    <x:row r="580">
      <x:c r="B580" s="21" t="str">
        <x:v>F48-I4-A</x:v>
      </x:c>
      <x:c r="C580" s="21" t="str">
        <x:v>F48-I4</x:v>
      </x:c>
      <x:c r="D580" s="21" t="str">
        <x:v>F48</x:v>
      </x:c>
      <x:c r="E580" s="21" t="str">
        <x:v>BUILD A</x:v>
      </x:c>
      <x:c r="F580" s="21" t="str">
        <x:v>Independent build ecosystem 14</x:v>
      </x:c>
      <x:c r="G580" s="21" t="n">
        <x:v>28</x:v>
      </x:c>
      <x:c r="H580" s="46" t="n">
        <x:v>0</x:v>
      </x:c>
      <x:c r="I580" s="46" t="n">
        <x:v>0</x:v>
      </x:c>
      <x:c r="J580" s="46" t="n">
        <x:v>8</x:v>
      </x:c>
      <x:c r="K580" s="46" t="n">
        <x:v>0</x:v>
      </x:c>
      <x:c r="L580" s="21" t="str">
        <x:v>OPEN</x:v>
      </x:c>
      <x:c r="M580" s="21" t="str">
        <x:v>BLOCKED</x:v>
      </x:c>
      <x:c r="N580" s="23" t="str">
        <x:f>IF(AND(H580&lt;=G580,I580&lt;=H580,K580&lt;=J580),"PASS","FAIL")</x:f>
        <x:v>PASS</x:v>
      </x:c>
    </x:row>
    <x:row r="581">
      <x:c r="B581" s="21" t="str">
        <x:v>F48-I4-B</x:v>
      </x:c>
      <x:c r="C581" s="21" t="str">
        <x:v>F48-I4</x:v>
      </x:c>
      <x:c r="D581" s="21" t="str">
        <x:v>F48</x:v>
      </x:c>
      <x:c r="E581" s="21" t="str">
        <x:v>BUILD B</x:v>
      </x:c>
      <x:c r="F581" s="21" t="str">
        <x:v>Independent build ecosystem 16</x:v>
      </x:c>
      <x:c r="G581" s="21" t="n">
        <x:v>28</x:v>
      </x:c>
      <x:c r="H581" s="46" t="n">
        <x:v>0</x:v>
      </x:c>
      <x:c r="I581" s="46" t="n">
        <x:v>0</x:v>
      </x:c>
      <x:c r="J581" s="46" t="n">
        <x:v>8</x:v>
      </x:c>
      <x:c r="K581" s="46" t="n">
        <x:v>0</x:v>
      </x:c>
      <x:c r="L581" s="21" t="str">
        <x:v>OPEN</x:v>
      </x:c>
      <x:c r="M581" s="21" t="str">
        <x:v>BLOCKED</x:v>
      </x:c>
      <x:c r="N581" s="23" t="str">
        <x:f>IF(AND(H581&lt;=G581,I581&lt;=H581,K581&lt;=J581),"PASS","FAIL")</x:f>
        <x:v>PASS</x:v>
      </x:c>
    </x:row>
    <x:row r="582">
      <x:c r="B582" s="24" t="str">
        <x:v>F48-I4-C</x:v>
      </x:c>
      <x:c r="C582" s="24" t="str">
        <x:v>F48-I4</x:v>
      </x:c>
      <x:c r="D582" s="24" t="str">
        <x:v>F48</x:v>
      </x:c>
      <x:c r="E582" s="24" t="str">
        <x:v>CHALLENGE</x:v>
      </x:c>
      <x:c r="F582" s="24" t="str">
        <x:v>Sovereign challenge cell TIO-16</x:v>
      </x:c>
      <x:c r="G582" s="24" t="n">
        <x:v>28</x:v>
      </x:c>
      <x:c r="H582" s="47" t="n">
        <x:v>0</x:v>
      </x:c>
      <x:c r="I582" s="47" t="n">
        <x:v>0</x:v>
      </x:c>
      <x:c r="J582" s="47" t="n">
        <x:v>8</x:v>
      </x:c>
      <x:c r="K582" s="47" t="n">
        <x:v>0</x:v>
      </x:c>
      <x:c r="L582" s="24" t="str">
        <x:v>OPEN</x:v>
      </x:c>
      <x:c r="M582" s="24" t="str">
        <x:v>BLOCKED</x:v>
      </x:c>
      <x:c r="N582" s="26" t="str">
        <x:f>IF(AND(H582&lt;=G582,I582&lt;=H582,K582&lt;=J582),"PASS","FAIL")</x:f>
        <x:v>PASS</x:v>
      </x:c>
    </x:row>
    <x:row r="583"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</x:row>
    <x:row r="584"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</x:row>
    <x:row r="585"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</x:row>
    <x:row r="586"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</x:row>
  </x:sheetData>
  <x:mergeCells>
    <x:mergeCell ref="B3:N3"/>
  </x:mergeCells>
  <x:conditionalFormatting sqref="L7:N582">
    <x:cfRule type="containsText" dxfId="15" priority="1" operator="containsText" text="OPEN"/>
    <x:cfRule type="containsText" dxfId="16" priority="2" operator="containsText" text="HOLD"/>
    <x:cfRule type="containsText" dxfId="17" priority="3" operator="containsText" text="BLOCKED"/>
    <x:cfRule type="containsText" dxfId="18" priority="4" operator="containsText" text="FAIL"/>
    <x:cfRule type="containsText" dxfId="19" priority="5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7" hidden="0" customWidth="1"/>
    <x:col min="3" max="3" width="13" hidden="0" customWidth="1"/>
    <x:col min="4" max="4" width="10" hidden="0" customWidth="1"/>
    <x:col min="5" max="5" width="11" hidden="0" customWidth="1"/>
    <x:col min="6" max="6" width="19" hidden="0" customWidth="1"/>
    <x:col min="7" max="7" width="13" hidden="0" customWidth="1"/>
    <x:col min="8" max="8" width="36" hidden="0" customWidth="1"/>
    <x:col min="9" max="9" width="12" hidden="0" customWidth="1"/>
    <x:col min="10" max="10" width="12" hidden="0" customWidth="1"/>
    <x:col min="11" max="11" width="62" hidden="0" customWidth="1"/>
  </x:cols>
  <x:sheetData>
    <x:row r="2">
      <x:c r="B2" s="3" t="str">
        <x:v>Configuration baseline register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Every finding is attached to a versioned object. Baselines remain at 0.0.0 and OPEN/HOLD until evidence is accepted; planning prose cannot silently promote configuration.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Baseline record</x:v>
      </x:c>
      <x:c r="C6" s="20" t="str">
        <x:v>Program</x:v>
      </x:c>
      <x:c r="D6" s="20" t="str">
        <x:v>Family</x:v>
      </x:c>
      <x:c r="E6" s="20" t="str">
        <x:v>Baseline</x:v>
      </x:c>
      <x:c r="F6" s="20" t="str">
        <x:v>Object</x:v>
      </x:c>
      <x:c r="G6" s="20" t="str">
        <x:v>Version</x:v>
      </x:c>
      <x:c r="H6" s="20" t="str">
        <x:v>Custodian</x:v>
      </x:c>
      <x:c r="I6" s="20" t="str">
        <x:v>Evidence</x:v>
      </x:c>
      <x:c r="J6" s="20" t="str">
        <x:v>Decision</x:v>
      </x:c>
      <x:c r="K6" s="20" t="str">
        <x:v>Release consequence</x:v>
      </x:c>
    </x:row>
    <x:row r="7">
      <x:c r="B7" s="21" t="str">
        <x:v>BL-00001</x:v>
      </x:c>
      <x:c r="C7" s="21" t="str">
        <x:v>F01-I1</x:v>
      </x:c>
      <x:c r="D7" s="21" t="str">
        <x:v>F01</x:v>
      </x:c>
      <x:c r="E7" s="21" t="str">
        <x:v>B0</x:v>
      </x:c>
      <x:c r="F7" s="21" t="str">
        <x:v>Effect</x:v>
      </x:c>
      <x:c r="G7" s="21" t="str">
        <x:v>0.0.0</x:v>
      </x:c>
      <x:c r="H7" s="21" t="str">
        <x:v>Independent Evidence and Data Authority</x:v>
      </x:c>
      <x:c r="I7" s="21" t="str">
        <x:v>OPEN</x:v>
      </x:c>
      <x:c r="J7" s="21" t="str">
        <x:v>HOLD</x:v>
      </x:c>
      <x:c r="K7" s="23" t="str">
        <x:v>what public condition must exist must be accepted before downstream release</x:v>
      </x:c>
    </x:row>
    <x:row r="8">
      <x:c r="B8" s="21" t="str">
        <x:v>BL-00002</x:v>
      </x:c>
      <x:c r="C8" s="21" t="str">
        <x:v>F01-I1</x:v>
      </x:c>
      <x:c r="D8" s="21" t="str">
        <x:v>F01</x:v>
      </x:c>
      <x:c r="E8" s="21" t="str">
        <x:v>B1</x:v>
      </x:c>
      <x:c r="F8" s="21" t="str">
        <x:v>Requirements</x:v>
      </x:c>
      <x:c r="G8" s="21" t="str">
        <x:v>0.0.0</x:v>
      </x:c>
      <x:c r="H8" s="21" t="str">
        <x:v>Independent Evidence and Data Authority</x:v>
      </x:c>
      <x:c r="I8" s="21" t="str">
        <x:v>OPEN</x:v>
      </x:c>
      <x:c r="J8" s="21" t="str">
        <x:v>HOLD</x:v>
      </x:c>
      <x:c r="K8" s="23" t="str">
        <x:v>what burdens and invalid states bound the effect must be accepted before downstream release</x:v>
      </x:c>
    </x:row>
    <x:row r="9">
      <x:c r="B9" s="21" t="str">
        <x:v>BL-00003</x:v>
      </x:c>
      <x:c r="C9" s="21" t="str">
        <x:v>F01-I1</x:v>
      </x:c>
      <x:c r="D9" s="21" t="str">
        <x:v>F01</x:v>
      </x:c>
      <x:c r="E9" s="21" t="str">
        <x:v>B2</x:v>
      </x:c>
      <x:c r="F9" s="21" t="str">
        <x:v>Architecture</x:v>
      </x:c>
      <x:c r="G9" s="21" t="str">
        <x:v>0.0.0</x:v>
      </x:c>
      <x:c r="H9" s="21" t="str">
        <x:v>Independent Evidence and Data Authority</x:v>
      </x:c>
      <x:c r="I9" s="21" t="str">
        <x:v>OPEN</x:v>
      </x:c>
      <x:c r="J9" s="21" t="str">
        <x:v>HOLD</x:v>
      </x:c>
      <x:c r="K9" s="23" t="str">
        <x:v>what interfaces and budgets govern the system must be accepted before downstream release</x:v>
      </x:c>
    </x:row>
    <x:row r="10">
      <x:c r="B10" s="21" t="str">
        <x:v>BL-00004</x:v>
      </x:c>
      <x:c r="C10" s="21" t="str">
        <x:v>F01-I1</x:v>
      </x:c>
      <x:c r="D10" s="21" t="str">
        <x:v>F01</x:v>
      </x:c>
      <x:c r="E10" s="21" t="str">
        <x:v>B3</x:v>
      </x:c>
      <x:c r="F10" s="21" t="str">
        <x:v>Build</x:v>
      </x:c>
      <x:c r="G10" s="21" t="str">
        <x:v>0.0.0</x:v>
      </x:c>
      <x:c r="H10" s="21" t="str">
        <x:v>Independent Evidence and Data Authority</x:v>
      </x:c>
      <x:c r="I10" s="21" t="str">
        <x:v>OPEN</x:v>
      </x:c>
      <x:c r="J10" s="21" t="str">
        <x:v>HOLD</x:v>
      </x:c>
      <x:c r="K10" s="23" t="str">
        <x:v>what exact configuration produced the article must be accepted before downstream release</x:v>
      </x:c>
    </x:row>
    <x:row r="11">
      <x:c r="B11" s="21" t="str">
        <x:v>BL-00005</x:v>
      </x:c>
      <x:c r="C11" s="21" t="str">
        <x:v>F01-I1</x:v>
      </x:c>
      <x:c r="D11" s="21" t="str">
        <x:v>F01</x:v>
      </x:c>
      <x:c r="E11" s="21" t="str">
        <x:v>B4</x:v>
      </x:c>
      <x:c r="F11" s="21" t="str">
        <x:v>Trial</x:v>
      </x:c>
      <x:c r="G11" s="21" t="str">
        <x:v>0.0.0</x:v>
      </x:c>
      <x:c r="H11" s="21" t="str">
        <x:v>Independent Evidence and Data Authority</x:v>
      </x:c>
      <x:c r="I11" s="21" t="str">
        <x:v>OPEN</x:v>
      </x:c>
      <x:c r="J11" s="21" t="str">
        <x:v>HOLD</x:v>
      </x:c>
      <x:c r="K11" s="23" t="str">
        <x:v>what configuration method and damage world produced evidence must be accepted before downstream release</x:v>
      </x:c>
    </x:row>
    <x:row r="12">
      <x:c r="B12" s="21" t="str">
        <x:v>BL-00006</x:v>
      </x:c>
      <x:c r="C12" s="21" t="str">
        <x:v>F01-I1</x:v>
      </x:c>
      <x:c r="D12" s="21" t="str">
        <x:v>F01</x:v>
      </x:c>
      <x:c r="E12" s="21" t="str">
        <x:v>B5</x:v>
      </x:c>
      <x:c r="F12" s="21" t="str">
        <x:v>Production</x:v>
      </x:c>
      <x:c r="G12" s="21" t="str">
        <x:v>0.0.0</x:v>
      </x:c>
      <x:c r="H12" s="21" t="str">
        <x:v>Independent Evidence and Data Authority</x:v>
      </x:c>
      <x:c r="I12" s="21" t="str">
        <x:v>OPEN</x:v>
      </x:c>
      <x:c r="J12" s="21" t="str">
        <x:v>HOLD</x:v>
      </x:c>
      <x:c r="K12" s="23" t="str">
        <x:v>what process configuration and acceptance define serial output must be accepted before downstream release</x:v>
      </x:c>
    </x:row>
    <x:row r="13">
      <x:c r="B13" s="21" t="str">
        <x:v>BL-00007</x:v>
      </x:c>
      <x:c r="C13" s="21" t="str">
        <x:v>F01-I1</x:v>
      </x:c>
      <x:c r="D13" s="21" t="str">
        <x:v>F01</x:v>
      </x:c>
      <x:c r="E13" s="21" t="str">
        <x:v>B6</x:v>
      </x:c>
      <x:c r="F13" s="21" t="str">
        <x:v>Mobilization</x:v>
      </x:c>
      <x:c r="G13" s="21" t="str">
        <x:v>0.0.0</x:v>
      </x:c>
      <x:c r="H13" s="21" t="str">
        <x:v>Independent Evidence and Data Authority</x:v>
      </x:c>
      <x:c r="I13" s="21" t="str">
        <x:v>OPEN</x:v>
      </x:c>
      <x:c r="J13" s="21" t="str">
        <x:v>HOLD</x:v>
      </x:c>
      <x:c r="K13" s="23" t="str">
        <x:v>what people tools suppliers and routes reproduce conforming service must be accepted before downstream release</x:v>
      </x:c>
    </x:row>
    <x:row r="14">
      <x:c r="B14" s="21" t="str">
        <x:v>BL-00008</x:v>
      </x:c>
      <x:c r="C14" s="21" t="str">
        <x:v>F01-I2</x:v>
      </x:c>
      <x:c r="D14" s="21" t="str">
        <x:v>F01</x:v>
      </x:c>
      <x:c r="E14" s="21" t="str">
        <x:v>B0</x:v>
      </x:c>
      <x:c r="F14" s="21" t="str">
        <x:v>Effect</x:v>
      </x:c>
      <x:c r="G14" s="21" t="str">
        <x:v>0.0.0</x:v>
      </x:c>
      <x:c r="H14" s="21" t="str">
        <x:v>Independent Evidence and Data Authority</x:v>
      </x:c>
      <x:c r="I14" s="21" t="str">
        <x:v>OPEN</x:v>
      </x:c>
      <x:c r="J14" s="21" t="str">
        <x:v>HOLD</x:v>
      </x:c>
      <x:c r="K14" s="23" t="str">
        <x:v>what public condition must exist must be accepted before downstream release</x:v>
      </x:c>
    </x:row>
    <x:row r="15">
      <x:c r="B15" s="21" t="str">
        <x:v>BL-00009</x:v>
      </x:c>
      <x:c r="C15" s="21" t="str">
        <x:v>F01-I2</x:v>
      </x:c>
      <x:c r="D15" s="21" t="str">
        <x:v>F01</x:v>
      </x:c>
      <x:c r="E15" s="21" t="str">
        <x:v>B1</x:v>
      </x:c>
      <x:c r="F15" s="21" t="str">
        <x:v>Requirements</x:v>
      </x:c>
      <x:c r="G15" s="21" t="str">
        <x:v>0.0.0</x:v>
      </x:c>
      <x:c r="H15" s="21" t="str">
        <x:v>Independent Evidence and Data Authority</x:v>
      </x:c>
      <x:c r="I15" s="21" t="str">
        <x:v>OPEN</x:v>
      </x:c>
      <x:c r="J15" s="21" t="str">
        <x:v>HOLD</x:v>
      </x:c>
      <x:c r="K15" s="23" t="str">
        <x:v>what burdens and invalid states bound the effect must be accepted before downstream release</x:v>
      </x:c>
    </x:row>
    <x:row r="16">
      <x:c r="B16" s="21" t="str">
        <x:v>BL-00010</x:v>
      </x:c>
      <x:c r="C16" s="21" t="str">
        <x:v>F01-I2</x:v>
      </x:c>
      <x:c r="D16" s="21" t="str">
        <x:v>F01</x:v>
      </x:c>
      <x:c r="E16" s="21" t="str">
        <x:v>B2</x:v>
      </x:c>
      <x:c r="F16" s="21" t="str">
        <x:v>Architecture</x:v>
      </x:c>
      <x:c r="G16" s="21" t="str">
        <x:v>0.0.0</x:v>
      </x:c>
      <x:c r="H16" s="21" t="str">
        <x:v>Independent Evidence and Data Authority</x:v>
      </x:c>
      <x:c r="I16" s="21" t="str">
        <x:v>OPEN</x:v>
      </x:c>
      <x:c r="J16" s="21" t="str">
        <x:v>HOLD</x:v>
      </x:c>
      <x:c r="K16" s="23" t="str">
        <x:v>what interfaces and budgets govern the system must be accepted before downstream release</x:v>
      </x:c>
    </x:row>
    <x:row r="17">
      <x:c r="B17" s="21" t="str">
        <x:v>BL-00011</x:v>
      </x:c>
      <x:c r="C17" s="21" t="str">
        <x:v>F01-I2</x:v>
      </x:c>
      <x:c r="D17" s="21" t="str">
        <x:v>F01</x:v>
      </x:c>
      <x:c r="E17" s="21" t="str">
        <x:v>B3</x:v>
      </x:c>
      <x:c r="F17" s="21" t="str">
        <x:v>Build</x:v>
      </x:c>
      <x:c r="G17" s="21" t="str">
        <x:v>0.0.0</x:v>
      </x:c>
      <x:c r="H17" s="21" t="str">
        <x:v>Independent Evidence and Data Authority</x:v>
      </x:c>
      <x:c r="I17" s="21" t="str">
        <x:v>OPEN</x:v>
      </x:c>
      <x:c r="J17" s="21" t="str">
        <x:v>HOLD</x:v>
      </x:c>
      <x:c r="K17" s="23" t="str">
        <x:v>what exact configuration produced the article must be accepted before downstream release</x:v>
      </x:c>
    </x:row>
    <x:row r="18">
      <x:c r="B18" s="21" t="str">
        <x:v>BL-00012</x:v>
      </x:c>
      <x:c r="C18" s="21" t="str">
        <x:v>F01-I2</x:v>
      </x:c>
      <x:c r="D18" s="21" t="str">
        <x:v>F01</x:v>
      </x:c>
      <x:c r="E18" s="21" t="str">
        <x:v>B4</x:v>
      </x:c>
      <x:c r="F18" s="21" t="str">
        <x:v>Trial</x:v>
      </x:c>
      <x:c r="G18" s="21" t="str">
        <x:v>0.0.0</x:v>
      </x:c>
      <x:c r="H18" s="21" t="str">
        <x:v>Independent Evidence and Data Authority</x:v>
      </x:c>
      <x:c r="I18" s="21" t="str">
        <x:v>OPEN</x:v>
      </x:c>
      <x:c r="J18" s="21" t="str">
        <x:v>HOLD</x:v>
      </x:c>
      <x:c r="K18" s="23" t="str">
        <x:v>what configuration method and damage world produced evidence must be accepted before downstream release</x:v>
      </x:c>
    </x:row>
    <x:row r="19">
      <x:c r="B19" s="21" t="str">
        <x:v>BL-00013</x:v>
      </x:c>
      <x:c r="C19" s="21" t="str">
        <x:v>F01-I2</x:v>
      </x:c>
      <x:c r="D19" s="21" t="str">
        <x:v>F01</x:v>
      </x:c>
      <x:c r="E19" s="21" t="str">
        <x:v>B5</x:v>
      </x:c>
      <x:c r="F19" s="21" t="str">
        <x:v>Production</x:v>
      </x:c>
      <x:c r="G19" s="21" t="str">
        <x:v>0.0.0</x:v>
      </x:c>
      <x:c r="H19" s="21" t="str">
        <x:v>Independent Evidence and Data Authority</x:v>
      </x:c>
      <x:c r="I19" s="21" t="str">
        <x:v>OPEN</x:v>
      </x:c>
      <x:c r="J19" s="21" t="str">
        <x:v>HOLD</x:v>
      </x:c>
      <x:c r="K19" s="23" t="str">
        <x:v>what process configuration and acceptance define serial output must be accepted before downstream release</x:v>
      </x:c>
    </x:row>
    <x:row r="20">
      <x:c r="B20" s="21" t="str">
        <x:v>BL-00014</x:v>
      </x:c>
      <x:c r="C20" s="21" t="str">
        <x:v>F01-I2</x:v>
      </x:c>
      <x:c r="D20" s="21" t="str">
        <x:v>F01</x:v>
      </x:c>
      <x:c r="E20" s="21" t="str">
        <x:v>B6</x:v>
      </x:c>
      <x:c r="F20" s="21" t="str">
        <x:v>Mobilization</x:v>
      </x:c>
      <x:c r="G20" s="21" t="str">
        <x:v>0.0.0</x:v>
      </x:c>
      <x:c r="H20" s="21" t="str">
        <x:v>Independent Evidence and Data Authority</x:v>
      </x:c>
      <x:c r="I20" s="21" t="str">
        <x:v>OPEN</x:v>
      </x:c>
      <x:c r="J20" s="21" t="str">
        <x:v>HOLD</x:v>
      </x:c>
      <x:c r="K20" s="23" t="str">
        <x:v>what people tools suppliers and routes reproduce conforming service must be accepted before downstream release</x:v>
      </x:c>
    </x:row>
    <x:row r="21">
      <x:c r="B21" s="21" t="str">
        <x:v>BL-00015</x:v>
      </x:c>
      <x:c r="C21" s="21" t="str">
        <x:v>F01-I3</x:v>
      </x:c>
      <x:c r="D21" s="21" t="str">
        <x:v>F01</x:v>
      </x:c>
      <x:c r="E21" s="21" t="str">
        <x:v>B0</x:v>
      </x:c>
      <x:c r="F21" s="21" t="str">
        <x:v>Effect</x:v>
      </x:c>
      <x:c r="G21" s="21" t="str">
        <x:v>0.0.0</x:v>
      </x:c>
      <x:c r="H21" s="21" t="str">
        <x:v>Independent Evidence and Data Authority</x:v>
      </x:c>
      <x:c r="I21" s="21" t="str">
        <x:v>OPEN</x:v>
      </x:c>
      <x:c r="J21" s="21" t="str">
        <x:v>HOLD</x:v>
      </x:c>
      <x:c r="K21" s="23" t="str">
        <x:v>what public condition must exist must be accepted before downstream release</x:v>
      </x:c>
    </x:row>
    <x:row r="22">
      <x:c r="B22" s="21" t="str">
        <x:v>BL-00016</x:v>
      </x:c>
      <x:c r="C22" s="21" t="str">
        <x:v>F01-I3</x:v>
      </x:c>
      <x:c r="D22" s="21" t="str">
        <x:v>F01</x:v>
      </x:c>
      <x:c r="E22" s="21" t="str">
        <x:v>B1</x:v>
      </x:c>
      <x:c r="F22" s="21" t="str">
        <x:v>Requirements</x:v>
      </x:c>
      <x:c r="G22" s="21" t="str">
        <x:v>0.0.0</x:v>
      </x:c>
      <x:c r="H22" s="21" t="str">
        <x:v>Independent Evidence and Data Authority</x:v>
      </x:c>
      <x:c r="I22" s="21" t="str">
        <x:v>OPEN</x:v>
      </x:c>
      <x:c r="J22" s="21" t="str">
        <x:v>HOLD</x:v>
      </x:c>
      <x:c r="K22" s="23" t="str">
        <x:v>what burdens and invalid states bound the effect must be accepted before downstream release</x:v>
      </x:c>
    </x:row>
    <x:row r="23">
      <x:c r="B23" s="21" t="str">
        <x:v>BL-00017</x:v>
      </x:c>
      <x:c r="C23" s="21" t="str">
        <x:v>F01-I3</x:v>
      </x:c>
      <x:c r="D23" s="21" t="str">
        <x:v>F01</x:v>
      </x:c>
      <x:c r="E23" s="21" t="str">
        <x:v>B2</x:v>
      </x:c>
      <x:c r="F23" s="21" t="str">
        <x:v>Architecture</x:v>
      </x:c>
      <x:c r="G23" s="21" t="str">
        <x:v>0.0.0</x:v>
      </x:c>
      <x:c r="H23" s="21" t="str">
        <x:v>Independent Evidence and Data Authority</x:v>
      </x:c>
      <x:c r="I23" s="21" t="str">
        <x:v>OPEN</x:v>
      </x:c>
      <x:c r="J23" s="21" t="str">
        <x:v>HOLD</x:v>
      </x:c>
      <x:c r="K23" s="23" t="str">
        <x:v>what interfaces and budgets govern the system must be accepted before downstream release</x:v>
      </x:c>
    </x:row>
    <x:row r="24">
      <x:c r="B24" s="21" t="str">
        <x:v>BL-00018</x:v>
      </x:c>
      <x:c r="C24" s="21" t="str">
        <x:v>F01-I3</x:v>
      </x:c>
      <x:c r="D24" s="21" t="str">
        <x:v>F01</x:v>
      </x:c>
      <x:c r="E24" s="21" t="str">
        <x:v>B3</x:v>
      </x:c>
      <x:c r="F24" s="21" t="str">
        <x:v>Build</x:v>
      </x:c>
      <x:c r="G24" s="21" t="str">
        <x:v>0.0.0</x:v>
      </x:c>
      <x:c r="H24" s="21" t="str">
        <x:v>Independent Evidence and Data Authority</x:v>
      </x:c>
      <x:c r="I24" s="21" t="str">
        <x:v>OPEN</x:v>
      </x:c>
      <x:c r="J24" s="21" t="str">
        <x:v>HOLD</x:v>
      </x:c>
      <x:c r="K24" s="23" t="str">
        <x:v>what exact configuration produced the article must be accepted before downstream release</x:v>
      </x:c>
    </x:row>
    <x:row r="25">
      <x:c r="B25" s="21" t="str">
        <x:v>BL-00019</x:v>
      </x:c>
      <x:c r="C25" s="21" t="str">
        <x:v>F01-I3</x:v>
      </x:c>
      <x:c r="D25" s="21" t="str">
        <x:v>F01</x:v>
      </x:c>
      <x:c r="E25" s="21" t="str">
        <x:v>B4</x:v>
      </x:c>
      <x:c r="F25" s="21" t="str">
        <x:v>Trial</x:v>
      </x:c>
      <x:c r="G25" s="21" t="str">
        <x:v>0.0.0</x:v>
      </x:c>
      <x:c r="H25" s="21" t="str">
        <x:v>Independent Evidence and Data Authority</x:v>
      </x:c>
      <x:c r="I25" s="21" t="str">
        <x:v>OPEN</x:v>
      </x:c>
      <x:c r="J25" s="21" t="str">
        <x:v>HOLD</x:v>
      </x:c>
      <x:c r="K25" s="23" t="str">
        <x:v>what configuration method and damage world produced evidence must be accepted before downstream release</x:v>
      </x:c>
    </x:row>
    <x:row r="26">
      <x:c r="B26" s="21" t="str">
        <x:v>BL-00020</x:v>
      </x:c>
      <x:c r="C26" s="21" t="str">
        <x:v>F01-I3</x:v>
      </x:c>
      <x:c r="D26" s="21" t="str">
        <x:v>F01</x:v>
      </x:c>
      <x:c r="E26" s="21" t="str">
        <x:v>B5</x:v>
      </x:c>
      <x:c r="F26" s="21" t="str">
        <x:v>Production</x:v>
      </x:c>
      <x:c r="G26" s="21" t="str">
        <x:v>0.0.0</x:v>
      </x:c>
      <x:c r="H26" s="21" t="str">
        <x:v>Independent Evidence and Data Authority</x:v>
      </x:c>
      <x:c r="I26" s="21" t="str">
        <x:v>OPEN</x:v>
      </x:c>
      <x:c r="J26" s="21" t="str">
        <x:v>HOLD</x:v>
      </x:c>
      <x:c r="K26" s="23" t="str">
        <x:v>what process configuration and acceptance define serial output must be accepted before downstream release</x:v>
      </x:c>
    </x:row>
    <x:row r="27">
      <x:c r="B27" s="21" t="str">
        <x:v>BL-00021</x:v>
      </x:c>
      <x:c r="C27" s="21" t="str">
        <x:v>F01-I3</x:v>
      </x:c>
      <x:c r="D27" s="21" t="str">
        <x:v>F01</x:v>
      </x:c>
      <x:c r="E27" s="21" t="str">
        <x:v>B6</x:v>
      </x:c>
      <x:c r="F27" s="21" t="str">
        <x:v>Mobilization</x:v>
      </x:c>
      <x:c r="G27" s="21" t="str">
        <x:v>0.0.0</x:v>
      </x:c>
      <x:c r="H27" s="21" t="str">
        <x:v>Independent Evidence and Data Authority</x:v>
      </x:c>
      <x:c r="I27" s="21" t="str">
        <x:v>OPEN</x:v>
      </x:c>
      <x:c r="J27" s="21" t="str">
        <x:v>HOLD</x:v>
      </x:c>
      <x:c r="K27" s="23" t="str">
        <x:v>what people tools suppliers and routes reproduce conforming service must be accepted before downstream release</x:v>
      </x:c>
    </x:row>
    <x:row r="28">
      <x:c r="B28" s="21" t="str">
        <x:v>BL-00022</x:v>
      </x:c>
      <x:c r="C28" s="21" t="str">
        <x:v>F01-I4</x:v>
      </x:c>
      <x:c r="D28" s="21" t="str">
        <x:v>F01</x:v>
      </x:c>
      <x:c r="E28" s="21" t="str">
        <x:v>B0</x:v>
      </x:c>
      <x:c r="F28" s="21" t="str">
        <x:v>Effect</x:v>
      </x:c>
      <x:c r="G28" s="21" t="str">
        <x:v>0.0.0</x:v>
      </x:c>
      <x:c r="H28" s="21" t="str">
        <x:v>Independent Evidence and Data Authority</x:v>
      </x:c>
      <x:c r="I28" s="21" t="str">
        <x:v>OPEN</x:v>
      </x:c>
      <x:c r="J28" s="21" t="str">
        <x:v>HOLD</x:v>
      </x:c>
      <x:c r="K28" s="23" t="str">
        <x:v>what public condition must exist must be accepted before downstream release</x:v>
      </x:c>
    </x:row>
    <x:row r="29">
      <x:c r="B29" s="21" t="str">
        <x:v>BL-00023</x:v>
      </x:c>
      <x:c r="C29" s="21" t="str">
        <x:v>F01-I4</x:v>
      </x:c>
      <x:c r="D29" s="21" t="str">
        <x:v>F01</x:v>
      </x:c>
      <x:c r="E29" s="21" t="str">
        <x:v>B1</x:v>
      </x:c>
      <x:c r="F29" s="21" t="str">
        <x:v>Requirements</x:v>
      </x:c>
      <x:c r="G29" s="21" t="str">
        <x:v>0.0.0</x:v>
      </x:c>
      <x:c r="H29" s="21" t="str">
        <x:v>Independent Evidence and Data Authority</x:v>
      </x:c>
      <x:c r="I29" s="21" t="str">
        <x:v>OPEN</x:v>
      </x:c>
      <x:c r="J29" s="21" t="str">
        <x:v>HOLD</x:v>
      </x:c>
      <x:c r="K29" s="23" t="str">
        <x:v>what burdens and invalid states bound the effect must be accepted before downstream release</x:v>
      </x:c>
    </x:row>
    <x:row r="30">
      <x:c r="B30" s="21" t="str">
        <x:v>BL-00024</x:v>
      </x:c>
      <x:c r="C30" s="21" t="str">
        <x:v>F01-I4</x:v>
      </x:c>
      <x:c r="D30" s="21" t="str">
        <x:v>F01</x:v>
      </x:c>
      <x:c r="E30" s="21" t="str">
        <x:v>B2</x:v>
      </x:c>
      <x:c r="F30" s="21" t="str">
        <x:v>Architecture</x:v>
      </x:c>
      <x:c r="G30" s="21" t="str">
        <x:v>0.0.0</x:v>
      </x:c>
      <x:c r="H30" s="21" t="str">
        <x:v>Independent Evidence and Data Authority</x:v>
      </x:c>
      <x:c r="I30" s="21" t="str">
        <x:v>OPEN</x:v>
      </x:c>
      <x:c r="J30" s="21" t="str">
        <x:v>HOLD</x:v>
      </x:c>
      <x:c r="K30" s="23" t="str">
        <x:v>what interfaces and budgets govern the system must be accepted before downstream release</x:v>
      </x:c>
    </x:row>
    <x:row r="31">
      <x:c r="B31" s="21" t="str">
        <x:v>BL-00025</x:v>
      </x:c>
      <x:c r="C31" s="21" t="str">
        <x:v>F01-I4</x:v>
      </x:c>
      <x:c r="D31" s="21" t="str">
        <x:v>F01</x:v>
      </x:c>
      <x:c r="E31" s="21" t="str">
        <x:v>B3</x:v>
      </x:c>
      <x:c r="F31" s="21" t="str">
        <x:v>Build</x:v>
      </x:c>
      <x:c r="G31" s="21" t="str">
        <x:v>0.0.0</x:v>
      </x:c>
      <x:c r="H31" s="21" t="str">
        <x:v>Independent Evidence and Data Authority</x:v>
      </x:c>
      <x:c r="I31" s="21" t="str">
        <x:v>OPEN</x:v>
      </x:c>
      <x:c r="J31" s="21" t="str">
        <x:v>HOLD</x:v>
      </x:c>
      <x:c r="K31" s="23" t="str">
        <x:v>what exact configuration produced the article must be accepted before downstream release</x:v>
      </x:c>
    </x:row>
    <x:row r="32">
      <x:c r="B32" s="21" t="str">
        <x:v>BL-00026</x:v>
      </x:c>
      <x:c r="C32" s="21" t="str">
        <x:v>F01-I4</x:v>
      </x:c>
      <x:c r="D32" s="21" t="str">
        <x:v>F01</x:v>
      </x:c>
      <x:c r="E32" s="21" t="str">
        <x:v>B4</x:v>
      </x:c>
      <x:c r="F32" s="21" t="str">
        <x:v>Trial</x:v>
      </x:c>
      <x:c r="G32" s="21" t="str">
        <x:v>0.0.0</x:v>
      </x:c>
      <x:c r="H32" s="21" t="str">
        <x:v>Independent Evidence and Data Authority</x:v>
      </x:c>
      <x:c r="I32" s="21" t="str">
        <x:v>OPEN</x:v>
      </x:c>
      <x:c r="J32" s="21" t="str">
        <x:v>HOLD</x:v>
      </x:c>
      <x:c r="K32" s="23" t="str">
        <x:v>what configuration method and damage world produced evidence must be accepted before downstream release</x:v>
      </x:c>
    </x:row>
    <x:row r="33">
      <x:c r="B33" s="21" t="str">
        <x:v>BL-00027</x:v>
      </x:c>
      <x:c r="C33" s="21" t="str">
        <x:v>F01-I4</x:v>
      </x:c>
      <x:c r="D33" s="21" t="str">
        <x:v>F01</x:v>
      </x:c>
      <x:c r="E33" s="21" t="str">
        <x:v>B5</x:v>
      </x:c>
      <x:c r="F33" s="21" t="str">
        <x:v>Production</x:v>
      </x:c>
      <x:c r="G33" s="21" t="str">
        <x:v>0.0.0</x:v>
      </x:c>
      <x:c r="H33" s="21" t="str">
        <x:v>Independent Evidence and Data Authority</x:v>
      </x:c>
      <x:c r="I33" s="21" t="str">
        <x:v>OPEN</x:v>
      </x:c>
      <x:c r="J33" s="21" t="str">
        <x:v>HOLD</x:v>
      </x:c>
      <x:c r="K33" s="23" t="str">
        <x:v>what process configuration and acceptance define serial output must be accepted before downstream release</x:v>
      </x:c>
    </x:row>
    <x:row r="34">
      <x:c r="B34" s="21" t="str">
        <x:v>BL-00028</x:v>
      </x:c>
      <x:c r="C34" s="21" t="str">
        <x:v>F01-I4</x:v>
      </x:c>
      <x:c r="D34" s="21" t="str">
        <x:v>F01</x:v>
      </x:c>
      <x:c r="E34" s="21" t="str">
        <x:v>B6</x:v>
      </x:c>
      <x:c r="F34" s="21" t="str">
        <x:v>Mobilization</x:v>
      </x:c>
      <x:c r="G34" s="21" t="str">
        <x:v>0.0.0</x:v>
      </x:c>
      <x:c r="H34" s="21" t="str">
        <x:v>Independent Evidence and Data Authority</x:v>
      </x:c>
      <x:c r="I34" s="21" t="str">
        <x:v>OPEN</x:v>
      </x:c>
      <x:c r="J34" s="21" t="str">
        <x:v>HOLD</x:v>
      </x:c>
      <x:c r="K34" s="23" t="str">
        <x:v>what people tools suppliers and routes reproduce conforming service must be accepted before downstream release</x:v>
      </x:c>
    </x:row>
    <x:row r="35">
      <x:c r="B35" s="21" t="str">
        <x:v>BL-00029</x:v>
      </x:c>
      <x:c r="C35" s="21" t="str">
        <x:v>F02-I1</x:v>
      </x:c>
      <x:c r="D35" s="21" t="str">
        <x:v>F02</x:v>
      </x:c>
      <x:c r="E35" s="21" t="str">
        <x:v>B0</x:v>
      </x:c>
      <x:c r="F35" s="21" t="str">
        <x:v>Effect</x:v>
      </x:c>
      <x:c r="G35" s="21" t="str">
        <x:v>0.0.0</x:v>
      </x:c>
      <x:c r="H35" s="21" t="str">
        <x:v>Independent Evidence and Data Authority</x:v>
      </x:c>
      <x:c r="I35" s="21" t="str">
        <x:v>OPEN</x:v>
      </x:c>
      <x:c r="J35" s="21" t="str">
        <x:v>HOLD</x:v>
      </x:c>
      <x:c r="K35" s="23" t="str">
        <x:v>what public condition must exist must be accepted before downstream release</x:v>
      </x:c>
    </x:row>
    <x:row r="36">
      <x:c r="B36" s="21" t="str">
        <x:v>BL-00030</x:v>
      </x:c>
      <x:c r="C36" s="21" t="str">
        <x:v>F02-I1</x:v>
      </x:c>
      <x:c r="D36" s="21" t="str">
        <x:v>F02</x:v>
      </x:c>
      <x:c r="E36" s="21" t="str">
        <x:v>B1</x:v>
      </x:c>
      <x:c r="F36" s="21" t="str">
        <x:v>Requirements</x:v>
      </x:c>
      <x:c r="G36" s="21" t="str">
        <x:v>0.0.0</x:v>
      </x:c>
      <x:c r="H36" s="21" t="str">
        <x:v>Independent Evidence and Data Authority</x:v>
      </x:c>
      <x:c r="I36" s="21" t="str">
        <x:v>OPEN</x:v>
      </x:c>
      <x:c r="J36" s="21" t="str">
        <x:v>HOLD</x:v>
      </x:c>
      <x:c r="K36" s="23" t="str">
        <x:v>what burdens and invalid states bound the effect must be accepted before downstream release</x:v>
      </x:c>
    </x:row>
    <x:row r="37">
      <x:c r="B37" s="21" t="str">
        <x:v>BL-00031</x:v>
      </x:c>
      <x:c r="C37" s="21" t="str">
        <x:v>F02-I1</x:v>
      </x:c>
      <x:c r="D37" s="21" t="str">
        <x:v>F02</x:v>
      </x:c>
      <x:c r="E37" s="21" t="str">
        <x:v>B2</x:v>
      </x:c>
      <x:c r="F37" s="21" t="str">
        <x:v>Architecture</x:v>
      </x:c>
      <x:c r="G37" s="21" t="str">
        <x:v>0.0.0</x:v>
      </x:c>
      <x:c r="H37" s="21" t="str">
        <x:v>Independent Evidence and Data Authority</x:v>
      </x:c>
      <x:c r="I37" s="21" t="str">
        <x:v>OPEN</x:v>
      </x:c>
      <x:c r="J37" s="21" t="str">
        <x:v>HOLD</x:v>
      </x:c>
      <x:c r="K37" s="23" t="str">
        <x:v>what interfaces and budgets govern the system must be accepted before downstream release</x:v>
      </x:c>
    </x:row>
    <x:row r="38">
      <x:c r="B38" s="21" t="str">
        <x:v>BL-00032</x:v>
      </x:c>
      <x:c r="C38" s="21" t="str">
        <x:v>F02-I1</x:v>
      </x:c>
      <x:c r="D38" s="21" t="str">
        <x:v>F02</x:v>
      </x:c>
      <x:c r="E38" s="21" t="str">
        <x:v>B3</x:v>
      </x:c>
      <x:c r="F38" s="21" t="str">
        <x:v>Build</x:v>
      </x:c>
      <x:c r="G38" s="21" t="str">
        <x:v>0.0.0</x:v>
      </x:c>
      <x:c r="H38" s="21" t="str">
        <x:v>Independent Evidence and Data Authority</x:v>
      </x:c>
      <x:c r="I38" s="21" t="str">
        <x:v>OPEN</x:v>
      </x:c>
      <x:c r="J38" s="21" t="str">
        <x:v>HOLD</x:v>
      </x:c>
      <x:c r="K38" s="23" t="str">
        <x:v>what exact configuration produced the article must be accepted before downstream release</x:v>
      </x:c>
    </x:row>
    <x:row r="39">
      <x:c r="B39" s="21" t="str">
        <x:v>BL-00033</x:v>
      </x:c>
      <x:c r="C39" s="21" t="str">
        <x:v>F02-I1</x:v>
      </x:c>
      <x:c r="D39" s="21" t="str">
        <x:v>F02</x:v>
      </x:c>
      <x:c r="E39" s="21" t="str">
        <x:v>B4</x:v>
      </x:c>
      <x:c r="F39" s="21" t="str">
        <x:v>Trial</x:v>
      </x:c>
      <x:c r="G39" s="21" t="str">
        <x:v>0.0.0</x:v>
      </x:c>
      <x:c r="H39" s="21" t="str">
        <x:v>Independent Evidence and Data Authority</x:v>
      </x:c>
      <x:c r="I39" s="21" t="str">
        <x:v>OPEN</x:v>
      </x:c>
      <x:c r="J39" s="21" t="str">
        <x:v>HOLD</x:v>
      </x:c>
      <x:c r="K39" s="23" t="str">
        <x:v>what configuration method and damage world produced evidence must be accepted before downstream release</x:v>
      </x:c>
    </x:row>
    <x:row r="40">
      <x:c r="B40" s="21" t="str">
        <x:v>BL-00034</x:v>
      </x:c>
      <x:c r="C40" s="21" t="str">
        <x:v>F02-I1</x:v>
      </x:c>
      <x:c r="D40" s="21" t="str">
        <x:v>F02</x:v>
      </x:c>
      <x:c r="E40" s="21" t="str">
        <x:v>B5</x:v>
      </x:c>
      <x:c r="F40" s="21" t="str">
        <x:v>Production</x:v>
      </x:c>
      <x:c r="G40" s="21" t="str">
        <x:v>0.0.0</x:v>
      </x:c>
      <x:c r="H40" s="21" t="str">
        <x:v>Independent Evidence and Data Authority</x:v>
      </x:c>
      <x:c r="I40" s="21" t="str">
        <x:v>OPEN</x:v>
      </x:c>
      <x:c r="J40" s="21" t="str">
        <x:v>HOLD</x:v>
      </x:c>
      <x:c r="K40" s="23" t="str">
        <x:v>what process configuration and acceptance define serial output must be accepted before downstream release</x:v>
      </x:c>
    </x:row>
    <x:row r="41">
      <x:c r="B41" s="21" t="str">
        <x:v>BL-00035</x:v>
      </x:c>
      <x:c r="C41" s="21" t="str">
        <x:v>F02-I1</x:v>
      </x:c>
      <x:c r="D41" s="21" t="str">
        <x:v>F02</x:v>
      </x:c>
      <x:c r="E41" s="21" t="str">
        <x:v>B6</x:v>
      </x:c>
      <x:c r="F41" s="21" t="str">
        <x:v>Mobilization</x:v>
      </x:c>
      <x:c r="G41" s="21" t="str">
        <x:v>0.0.0</x:v>
      </x:c>
      <x:c r="H41" s="21" t="str">
        <x:v>Independent Evidence and Data Authority</x:v>
      </x:c>
      <x:c r="I41" s="21" t="str">
        <x:v>OPEN</x:v>
      </x:c>
      <x:c r="J41" s="21" t="str">
        <x:v>HOLD</x:v>
      </x:c>
      <x:c r="K41" s="23" t="str">
        <x:v>what people tools suppliers and routes reproduce conforming service must be accepted before downstream release</x:v>
      </x:c>
    </x:row>
    <x:row r="42">
      <x:c r="B42" s="21" t="str">
        <x:v>BL-00036</x:v>
      </x:c>
      <x:c r="C42" s="21" t="str">
        <x:v>F02-I2</x:v>
      </x:c>
      <x:c r="D42" s="21" t="str">
        <x:v>F02</x:v>
      </x:c>
      <x:c r="E42" s="21" t="str">
        <x:v>B0</x:v>
      </x:c>
      <x:c r="F42" s="21" t="str">
        <x:v>Effect</x:v>
      </x:c>
      <x:c r="G42" s="21" t="str">
        <x:v>0.0.0</x:v>
      </x:c>
      <x:c r="H42" s="21" t="str">
        <x:v>Independent Evidence and Data Authority</x:v>
      </x:c>
      <x:c r="I42" s="21" t="str">
        <x:v>OPEN</x:v>
      </x:c>
      <x:c r="J42" s="21" t="str">
        <x:v>HOLD</x:v>
      </x:c>
      <x:c r="K42" s="23" t="str">
        <x:v>what public condition must exist must be accepted before downstream release</x:v>
      </x:c>
    </x:row>
    <x:row r="43">
      <x:c r="B43" s="21" t="str">
        <x:v>BL-00037</x:v>
      </x:c>
      <x:c r="C43" s="21" t="str">
        <x:v>F02-I2</x:v>
      </x:c>
      <x:c r="D43" s="21" t="str">
        <x:v>F02</x:v>
      </x:c>
      <x:c r="E43" s="21" t="str">
        <x:v>B1</x:v>
      </x:c>
      <x:c r="F43" s="21" t="str">
        <x:v>Requirements</x:v>
      </x:c>
      <x:c r="G43" s="21" t="str">
        <x:v>0.0.0</x:v>
      </x:c>
      <x:c r="H43" s="21" t="str">
        <x:v>Independent Evidence and Data Authority</x:v>
      </x:c>
      <x:c r="I43" s="21" t="str">
        <x:v>OPEN</x:v>
      </x:c>
      <x:c r="J43" s="21" t="str">
        <x:v>HOLD</x:v>
      </x:c>
      <x:c r="K43" s="23" t="str">
        <x:v>what burdens and invalid states bound the effect must be accepted before downstream release</x:v>
      </x:c>
    </x:row>
    <x:row r="44">
      <x:c r="B44" s="21" t="str">
        <x:v>BL-00038</x:v>
      </x:c>
      <x:c r="C44" s="21" t="str">
        <x:v>F02-I2</x:v>
      </x:c>
      <x:c r="D44" s="21" t="str">
        <x:v>F02</x:v>
      </x:c>
      <x:c r="E44" s="21" t="str">
        <x:v>B2</x:v>
      </x:c>
      <x:c r="F44" s="21" t="str">
        <x:v>Architecture</x:v>
      </x:c>
      <x:c r="G44" s="21" t="str">
        <x:v>0.0.0</x:v>
      </x:c>
      <x:c r="H44" s="21" t="str">
        <x:v>Independent Evidence and Data Authority</x:v>
      </x:c>
      <x:c r="I44" s="21" t="str">
        <x:v>OPEN</x:v>
      </x:c>
      <x:c r="J44" s="21" t="str">
        <x:v>HOLD</x:v>
      </x:c>
      <x:c r="K44" s="23" t="str">
        <x:v>what interfaces and budgets govern the system must be accepted before downstream release</x:v>
      </x:c>
    </x:row>
    <x:row r="45">
      <x:c r="B45" s="21" t="str">
        <x:v>BL-00039</x:v>
      </x:c>
      <x:c r="C45" s="21" t="str">
        <x:v>F02-I2</x:v>
      </x:c>
      <x:c r="D45" s="21" t="str">
        <x:v>F02</x:v>
      </x:c>
      <x:c r="E45" s="21" t="str">
        <x:v>B3</x:v>
      </x:c>
      <x:c r="F45" s="21" t="str">
        <x:v>Build</x:v>
      </x:c>
      <x:c r="G45" s="21" t="str">
        <x:v>0.0.0</x:v>
      </x:c>
      <x:c r="H45" s="21" t="str">
        <x:v>Independent Evidence and Data Authority</x:v>
      </x:c>
      <x:c r="I45" s="21" t="str">
        <x:v>OPEN</x:v>
      </x:c>
      <x:c r="J45" s="21" t="str">
        <x:v>HOLD</x:v>
      </x:c>
      <x:c r="K45" s="23" t="str">
        <x:v>what exact configuration produced the article must be accepted before downstream release</x:v>
      </x:c>
    </x:row>
    <x:row r="46">
      <x:c r="B46" s="21" t="str">
        <x:v>BL-00040</x:v>
      </x:c>
      <x:c r="C46" s="21" t="str">
        <x:v>F02-I2</x:v>
      </x:c>
      <x:c r="D46" s="21" t="str">
        <x:v>F02</x:v>
      </x:c>
      <x:c r="E46" s="21" t="str">
        <x:v>B4</x:v>
      </x:c>
      <x:c r="F46" s="21" t="str">
        <x:v>Trial</x:v>
      </x:c>
      <x:c r="G46" s="21" t="str">
        <x:v>0.0.0</x:v>
      </x:c>
      <x:c r="H46" s="21" t="str">
        <x:v>Independent Evidence and Data Authority</x:v>
      </x:c>
      <x:c r="I46" s="21" t="str">
        <x:v>OPEN</x:v>
      </x:c>
      <x:c r="J46" s="21" t="str">
        <x:v>HOLD</x:v>
      </x:c>
      <x:c r="K46" s="23" t="str">
        <x:v>what configuration method and damage world produced evidence must be accepted before downstream release</x:v>
      </x:c>
    </x:row>
    <x:row r="47">
      <x:c r="B47" s="21" t="str">
        <x:v>BL-00041</x:v>
      </x:c>
      <x:c r="C47" s="21" t="str">
        <x:v>F02-I2</x:v>
      </x:c>
      <x:c r="D47" s="21" t="str">
        <x:v>F02</x:v>
      </x:c>
      <x:c r="E47" s="21" t="str">
        <x:v>B5</x:v>
      </x:c>
      <x:c r="F47" s="21" t="str">
        <x:v>Production</x:v>
      </x:c>
      <x:c r="G47" s="21" t="str">
        <x:v>0.0.0</x:v>
      </x:c>
      <x:c r="H47" s="21" t="str">
        <x:v>Independent Evidence and Data Authority</x:v>
      </x:c>
      <x:c r="I47" s="21" t="str">
        <x:v>OPEN</x:v>
      </x:c>
      <x:c r="J47" s="21" t="str">
        <x:v>HOLD</x:v>
      </x:c>
      <x:c r="K47" s="23" t="str">
        <x:v>what process configuration and acceptance define serial output must be accepted before downstream release</x:v>
      </x:c>
    </x:row>
    <x:row r="48">
      <x:c r="B48" s="21" t="str">
        <x:v>BL-00042</x:v>
      </x:c>
      <x:c r="C48" s="21" t="str">
        <x:v>F02-I2</x:v>
      </x:c>
      <x:c r="D48" s="21" t="str">
        <x:v>F02</x:v>
      </x:c>
      <x:c r="E48" s="21" t="str">
        <x:v>B6</x:v>
      </x:c>
      <x:c r="F48" s="21" t="str">
        <x:v>Mobilization</x:v>
      </x:c>
      <x:c r="G48" s="21" t="str">
        <x:v>0.0.0</x:v>
      </x:c>
      <x:c r="H48" s="21" t="str">
        <x:v>Independent Evidence and Data Authority</x:v>
      </x:c>
      <x:c r="I48" s="21" t="str">
        <x:v>OPEN</x:v>
      </x:c>
      <x:c r="J48" s="21" t="str">
        <x:v>HOLD</x:v>
      </x:c>
      <x:c r="K48" s="23" t="str">
        <x:v>what people tools suppliers and routes reproduce conforming service must be accepted before downstream release</x:v>
      </x:c>
    </x:row>
    <x:row r="49">
      <x:c r="B49" s="21" t="str">
        <x:v>BL-00043</x:v>
      </x:c>
      <x:c r="C49" s="21" t="str">
        <x:v>F02-I3</x:v>
      </x:c>
      <x:c r="D49" s="21" t="str">
        <x:v>F02</x:v>
      </x:c>
      <x:c r="E49" s="21" t="str">
        <x:v>B0</x:v>
      </x:c>
      <x:c r="F49" s="21" t="str">
        <x:v>Effect</x:v>
      </x:c>
      <x:c r="G49" s="21" t="str">
        <x:v>0.0.0</x:v>
      </x:c>
      <x:c r="H49" s="21" t="str">
        <x:v>Independent Evidence and Data Authority</x:v>
      </x:c>
      <x:c r="I49" s="21" t="str">
        <x:v>OPEN</x:v>
      </x:c>
      <x:c r="J49" s="21" t="str">
        <x:v>HOLD</x:v>
      </x:c>
      <x:c r="K49" s="23" t="str">
        <x:v>what public condition must exist must be accepted before downstream release</x:v>
      </x:c>
    </x:row>
    <x:row r="50">
      <x:c r="B50" s="21" t="str">
        <x:v>BL-00044</x:v>
      </x:c>
      <x:c r="C50" s="21" t="str">
        <x:v>F02-I3</x:v>
      </x:c>
      <x:c r="D50" s="21" t="str">
        <x:v>F02</x:v>
      </x:c>
      <x:c r="E50" s="21" t="str">
        <x:v>B1</x:v>
      </x:c>
      <x:c r="F50" s="21" t="str">
        <x:v>Requirements</x:v>
      </x:c>
      <x:c r="G50" s="21" t="str">
        <x:v>0.0.0</x:v>
      </x:c>
      <x:c r="H50" s="21" t="str">
        <x:v>Independent Evidence and Data Authority</x:v>
      </x:c>
      <x:c r="I50" s="21" t="str">
        <x:v>OPEN</x:v>
      </x:c>
      <x:c r="J50" s="21" t="str">
        <x:v>HOLD</x:v>
      </x:c>
      <x:c r="K50" s="23" t="str">
        <x:v>what burdens and invalid states bound the effect must be accepted before downstream release</x:v>
      </x:c>
    </x:row>
    <x:row r="51">
      <x:c r="B51" s="21" t="str">
        <x:v>BL-00045</x:v>
      </x:c>
      <x:c r="C51" s="21" t="str">
        <x:v>F02-I3</x:v>
      </x:c>
      <x:c r="D51" s="21" t="str">
        <x:v>F02</x:v>
      </x:c>
      <x:c r="E51" s="21" t="str">
        <x:v>B2</x:v>
      </x:c>
      <x:c r="F51" s="21" t="str">
        <x:v>Architecture</x:v>
      </x:c>
      <x:c r="G51" s="21" t="str">
        <x:v>0.0.0</x:v>
      </x:c>
      <x:c r="H51" s="21" t="str">
        <x:v>Independent Evidence and Data Authority</x:v>
      </x:c>
      <x:c r="I51" s="21" t="str">
        <x:v>OPEN</x:v>
      </x:c>
      <x:c r="J51" s="21" t="str">
        <x:v>HOLD</x:v>
      </x:c>
      <x:c r="K51" s="23" t="str">
        <x:v>what interfaces and budgets govern the system must be accepted before downstream release</x:v>
      </x:c>
    </x:row>
    <x:row r="52">
      <x:c r="B52" s="21" t="str">
        <x:v>BL-00046</x:v>
      </x:c>
      <x:c r="C52" s="21" t="str">
        <x:v>F02-I3</x:v>
      </x:c>
      <x:c r="D52" s="21" t="str">
        <x:v>F02</x:v>
      </x:c>
      <x:c r="E52" s="21" t="str">
        <x:v>B3</x:v>
      </x:c>
      <x:c r="F52" s="21" t="str">
        <x:v>Build</x:v>
      </x:c>
      <x:c r="G52" s="21" t="str">
        <x:v>0.0.0</x:v>
      </x:c>
      <x:c r="H52" s="21" t="str">
        <x:v>Independent Evidence and Data Authority</x:v>
      </x:c>
      <x:c r="I52" s="21" t="str">
        <x:v>OPEN</x:v>
      </x:c>
      <x:c r="J52" s="21" t="str">
        <x:v>HOLD</x:v>
      </x:c>
      <x:c r="K52" s="23" t="str">
        <x:v>what exact configuration produced the article must be accepted before downstream release</x:v>
      </x:c>
    </x:row>
    <x:row r="53">
      <x:c r="B53" s="21" t="str">
        <x:v>BL-00047</x:v>
      </x:c>
      <x:c r="C53" s="21" t="str">
        <x:v>F02-I3</x:v>
      </x:c>
      <x:c r="D53" s="21" t="str">
        <x:v>F02</x:v>
      </x:c>
      <x:c r="E53" s="21" t="str">
        <x:v>B4</x:v>
      </x:c>
      <x:c r="F53" s="21" t="str">
        <x:v>Trial</x:v>
      </x:c>
      <x:c r="G53" s="21" t="str">
        <x:v>0.0.0</x:v>
      </x:c>
      <x:c r="H53" s="21" t="str">
        <x:v>Independent Evidence and Data Authority</x:v>
      </x:c>
      <x:c r="I53" s="21" t="str">
        <x:v>OPEN</x:v>
      </x:c>
      <x:c r="J53" s="21" t="str">
        <x:v>HOLD</x:v>
      </x:c>
      <x:c r="K53" s="23" t="str">
        <x:v>what configuration method and damage world produced evidence must be accepted before downstream release</x:v>
      </x:c>
    </x:row>
    <x:row r="54">
      <x:c r="B54" s="21" t="str">
        <x:v>BL-00048</x:v>
      </x:c>
      <x:c r="C54" s="21" t="str">
        <x:v>F02-I3</x:v>
      </x:c>
      <x:c r="D54" s="21" t="str">
        <x:v>F02</x:v>
      </x:c>
      <x:c r="E54" s="21" t="str">
        <x:v>B5</x:v>
      </x:c>
      <x:c r="F54" s="21" t="str">
        <x:v>Production</x:v>
      </x:c>
      <x:c r="G54" s="21" t="str">
        <x:v>0.0.0</x:v>
      </x:c>
      <x:c r="H54" s="21" t="str">
        <x:v>Independent Evidence and Data Authority</x:v>
      </x:c>
      <x:c r="I54" s="21" t="str">
        <x:v>OPEN</x:v>
      </x:c>
      <x:c r="J54" s="21" t="str">
        <x:v>HOLD</x:v>
      </x:c>
      <x:c r="K54" s="23" t="str">
        <x:v>what process configuration and acceptance define serial output must be accepted before downstream release</x:v>
      </x:c>
    </x:row>
    <x:row r="55">
      <x:c r="B55" s="21" t="str">
        <x:v>BL-00049</x:v>
      </x:c>
      <x:c r="C55" s="21" t="str">
        <x:v>F02-I3</x:v>
      </x:c>
      <x:c r="D55" s="21" t="str">
        <x:v>F02</x:v>
      </x:c>
      <x:c r="E55" s="21" t="str">
        <x:v>B6</x:v>
      </x:c>
      <x:c r="F55" s="21" t="str">
        <x:v>Mobilization</x:v>
      </x:c>
      <x:c r="G55" s="21" t="str">
        <x:v>0.0.0</x:v>
      </x:c>
      <x:c r="H55" s="21" t="str">
        <x:v>Independent Evidence and Data Authority</x:v>
      </x:c>
      <x:c r="I55" s="21" t="str">
        <x:v>OPEN</x:v>
      </x:c>
      <x:c r="J55" s="21" t="str">
        <x:v>HOLD</x:v>
      </x:c>
      <x:c r="K55" s="23" t="str">
        <x:v>what people tools suppliers and routes reproduce conforming service must be accepted before downstream release</x:v>
      </x:c>
    </x:row>
    <x:row r="56">
      <x:c r="B56" s="21" t="str">
        <x:v>BL-00050</x:v>
      </x:c>
      <x:c r="C56" s="21" t="str">
        <x:v>F02-I4</x:v>
      </x:c>
      <x:c r="D56" s="21" t="str">
        <x:v>F02</x:v>
      </x:c>
      <x:c r="E56" s="21" t="str">
        <x:v>B0</x:v>
      </x:c>
      <x:c r="F56" s="21" t="str">
        <x:v>Effect</x:v>
      </x:c>
      <x:c r="G56" s="21" t="str">
        <x:v>0.0.0</x:v>
      </x:c>
      <x:c r="H56" s="21" t="str">
        <x:v>Independent Evidence and Data Authority</x:v>
      </x:c>
      <x:c r="I56" s="21" t="str">
        <x:v>OPEN</x:v>
      </x:c>
      <x:c r="J56" s="21" t="str">
        <x:v>HOLD</x:v>
      </x:c>
      <x:c r="K56" s="23" t="str">
        <x:v>what public condition must exist must be accepted before downstream release</x:v>
      </x:c>
    </x:row>
    <x:row r="57">
      <x:c r="B57" s="21" t="str">
        <x:v>BL-00051</x:v>
      </x:c>
      <x:c r="C57" s="21" t="str">
        <x:v>F02-I4</x:v>
      </x:c>
      <x:c r="D57" s="21" t="str">
        <x:v>F02</x:v>
      </x:c>
      <x:c r="E57" s="21" t="str">
        <x:v>B1</x:v>
      </x:c>
      <x:c r="F57" s="21" t="str">
        <x:v>Requirements</x:v>
      </x:c>
      <x:c r="G57" s="21" t="str">
        <x:v>0.0.0</x:v>
      </x:c>
      <x:c r="H57" s="21" t="str">
        <x:v>Independent Evidence and Data Authority</x:v>
      </x:c>
      <x:c r="I57" s="21" t="str">
        <x:v>OPEN</x:v>
      </x:c>
      <x:c r="J57" s="21" t="str">
        <x:v>HOLD</x:v>
      </x:c>
      <x:c r="K57" s="23" t="str">
        <x:v>what burdens and invalid states bound the effect must be accepted before downstream release</x:v>
      </x:c>
    </x:row>
    <x:row r="58">
      <x:c r="B58" s="21" t="str">
        <x:v>BL-00052</x:v>
      </x:c>
      <x:c r="C58" s="21" t="str">
        <x:v>F02-I4</x:v>
      </x:c>
      <x:c r="D58" s="21" t="str">
        <x:v>F02</x:v>
      </x:c>
      <x:c r="E58" s="21" t="str">
        <x:v>B2</x:v>
      </x:c>
      <x:c r="F58" s="21" t="str">
        <x:v>Architecture</x:v>
      </x:c>
      <x:c r="G58" s="21" t="str">
        <x:v>0.0.0</x:v>
      </x:c>
      <x:c r="H58" s="21" t="str">
        <x:v>Independent Evidence and Data Authority</x:v>
      </x:c>
      <x:c r="I58" s="21" t="str">
        <x:v>OPEN</x:v>
      </x:c>
      <x:c r="J58" s="21" t="str">
        <x:v>HOLD</x:v>
      </x:c>
      <x:c r="K58" s="23" t="str">
        <x:v>what interfaces and budgets govern the system must be accepted before downstream release</x:v>
      </x:c>
    </x:row>
    <x:row r="59">
      <x:c r="B59" s="21" t="str">
        <x:v>BL-00053</x:v>
      </x:c>
      <x:c r="C59" s="21" t="str">
        <x:v>F02-I4</x:v>
      </x:c>
      <x:c r="D59" s="21" t="str">
        <x:v>F02</x:v>
      </x:c>
      <x:c r="E59" s="21" t="str">
        <x:v>B3</x:v>
      </x:c>
      <x:c r="F59" s="21" t="str">
        <x:v>Build</x:v>
      </x:c>
      <x:c r="G59" s="21" t="str">
        <x:v>0.0.0</x:v>
      </x:c>
      <x:c r="H59" s="21" t="str">
        <x:v>Independent Evidence and Data Authority</x:v>
      </x:c>
      <x:c r="I59" s="21" t="str">
        <x:v>OPEN</x:v>
      </x:c>
      <x:c r="J59" s="21" t="str">
        <x:v>HOLD</x:v>
      </x:c>
      <x:c r="K59" s="23" t="str">
        <x:v>what exact configuration produced the article must be accepted before downstream release</x:v>
      </x:c>
    </x:row>
    <x:row r="60">
      <x:c r="B60" s="21" t="str">
        <x:v>BL-00054</x:v>
      </x:c>
      <x:c r="C60" s="21" t="str">
        <x:v>F02-I4</x:v>
      </x:c>
      <x:c r="D60" s="21" t="str">
        <x:v>F02</x:v>
      </x:c>
      <x:c r="E60" s="21" t="str">
        <x:v>B4</x:v>
      </x:c>
      <x:c r="F60" s="21" t="str">
        <x:v>Trial</x:v>
      </x:c>
      <x:c r="G60" s="21" t="str">
        <x:v>0.0.0</x:v>
      </x:c>
      <x:c r="H60" s="21" t="str">
        <x:v>Independent Evidence and Data Authority</x:v>
      </x:c>
      <x:c r="I60" s="21" t="str">
        <x:v>OPEN</x:v>
      </x:c>
      <x:c r="J60" s="21" t="str">
        <x:v>HOLD</x:v>
      </x:c>
      <x:c r="K60" s="23" t="str">
        <x:v>what configuration method and damage world produced evidence must be accepted before downstream release</x:v>
      </x:c>
    </x:row>
    <x:row r="61">
      <x:c r="B61" s="21" t="str">
        <x:v>BL-00055</x:v>
      </x:c>
      <x:c r="C61" s="21" t="str">
        <x:v>F02-I4</x:v>
      </x:c>
      <x:c r="D61" s="21" t="str">
        <x:v>F02</x:v>
      </x:c>
      <x:c r="E61" s="21" t="str">
        <x:v>B5</x:v>
      </x:c>
      <x:c r="F61" s="21" t="str">
        <x:v>Production</x:v>
      </x:c>
      <x:c r="G61" s="21" t="str">
        <x:v>0.0.0</x:v>
      </x:c>
      <x:c r="H61" s="21" t="str">
        <x:v>Independent Evidence and Data Authority</x:v>
      </x:c>
      <x:c r="I61" s="21" t="str">
        <x:v>OPEN</x:v>
      </x:c>
      <x:c r="J61" s="21" t="str">
        <x:v>HOLD</x:v>
      </x:c>
      <x:c r="K61" s="23" t="str">
        <x:v>what process configuration and acceptance define serial output must be accepted before downstream release</x:v>
      </x:c>
    </x:row>
    <x:row r="62">
      <x:c r="B62" s="21" t="str">
        <x:v>BL-00056</x:v>
      </x:c>
      <x:c r="C62" s="21" t="str">
        <x:v>F02-I4</x:v>
      </x:c>
      <x:c r="D62" s="21" t="str">
        <x:v>F02</x:v>
      </x:c>
      <x:c r="E62" s="21" t="str">
        <x:v>B6</x:v>
      </x:c>
      <x:c r="F62" s="21" t="str">
        <x:v>Mobilization</x:v>
      </x:c>
      <x:c r="G62" s="21" t="str">
        <x:v>0.0.0</x:v>
      </x:c>
      <x:c r="H62" s="21" t="str">
        <x:v>Independent Evidence and Data Authority</x:v>
      </x:c>
      <x:c r="I62" s="21" t="str">
        <x:v>OPEN</x:v>
      </x:c>
      <x:c r="J62" s="21" t="str">
        <x:v>HOLD</x:v>
      </x:c>
      <x:c r="K62" s="23" t="str">
        <x:v>what people tools suppliers and routes reproduce conforming service must be accepted before downstream release</x:v>
      </x:c>
    </x:row>
    <x:row r="63">
      <x:c r="B63" s="21" t="str">
        <x:v>BL-00057</x:v>
      </x:c>
      <x:c r="C63" s="21" t="str">
        <x:v>F03-I1</x:v>
      </x:c>
      <x:c r="D63" s="21" t="str">
        <x:v>F03</x:v>
      </x:c>
      <x:c r="E63" s="21" t="str">
        <x:v>B0</x:v>
      </x:c>
      <x:c r="F63" s="21" t="str">
        <x:v>Effect</x:v>
      </x:c>
      <x:c r="G63" s="21" t="str">
        <x:v>0.0.0</x:v>
      </x:c>
      <x:c r="H63" s="21" t="str">
        <x:v>Independent Evidence and Data Authority</x:v>
      </x:c>
      <x:c r="I63" s="21" t="str">
        <x:v>OPEN</x:v>
      </x:c>
      <x:c r="J63" s="21" t="str">
        <x:v>HOLD</x:v>
      </x:c>
      <x:c r="K63" s="23" t="str">
        <x:v>what public condition must exist must be accepted before downstream release</x:v>
      </x:c>
    </x:row>
    <x:row r="64">
      <x:c r="B64" s="21" t="str">
        <x:v>BL-00058</x:v>
      </x:c>
      <x:c r="C64" s="21" t="str">
        <x:v>F03-I1</x:v>
      </x:c>
      <x:c r="D64" s="21" t="str">
        <x:v>F03</x:v>
      </x:c>
      <x:c r="E64" s="21" t="str">
        <x:v>B1</x:v>
      </x:c>
      <x:c r="F64" s="21" t="str">
        <x:v>Requirements</x:v>
      </x:c>
      <x:c r="G64" s="21" t="str">
        <x:v>0.0.0</x:v>
      </x:c>
      <x:c r="H64" s="21" t="str">
        <x:v>Independent Evidence and Data Authority</x:v>
      </x:c>
      <x:c r="I64" s="21" t="str">
        <x:v>OPEN</x:v>
      </x:c>
      <x:c r="J64" s="21" t="str">
        <x:v>HOLD</x:v>
      </x:c>
      <x:c r="K64" s="23" t="str">
        <x:v>what burdens and invalid states bound the effect must be accepted before downstream release</x:v>
      </x:c>
    </x:row>
    <x:row r="65">
      <x:c r="B65" s="21" t="str">
        <x:v>BL-00059</x:v>
      </x:c>
      <x:c r="C65" s="21" t="str">
        <x:v>F03-I1</x:v>
      </x:c>
      <x:c r="D65" s="21" t="str">
        <x:v>F03</x:v>
      </x:c>
      <x:c r="E65" s="21" t="str">
        <x:v>B2</x:v>
      </x:c>
      <x:c r="F65" s="21" t="str">
        <x:v>Architecture</x:v>
      </x:c>
      <x:c r="G65" s="21" t="str">
        <x:v>0.0.0</x:v>
      </x:c>
      <x:c r="H65" s="21" t="str">
        <x:v>Independent Evidence and Data Authority</x:v>
      </x:c>
      <x:c r="I65" s="21" t="str">
        <x:v>OPEN</x:v>
      </x:c>
      <x:c r="J65" s="21" t="str">
        <x:v>HOLD</x:v>
      </x:c>
      <x:c r="K65" s="23" t="str">
        <x:v>what interfaces and budgets govern the system must be accepted before downstream release</x:v>
      </x:c>
    </x:row>
    <x:row r="66">
      <x:c r="B66" s="21" t="str">
        <x:v>BL-00060</x:v>
      </x:c>
      <x:c r="C66" s="21" t="str">
        <x:v>F03-I1</x:v>
      </x:c>
      <x:c r="D66" s="21" t="str">
        <x:v>F03</x:v>
      </x:c>
      <x:c r="E66" s="21" t="str">
        <x:v>B3</x:v>
      </x:c>
      <x:c r="F66" s="21" t="str">
        <x:v>Build</x:v>
      </x:c>
      <x:c r="G66" s="21" t="str">
        <x:v>0.0.0</x:v>
      </x:c>
      <x:c r="H66" s="21" t="str">
        <x:v>Independent Evidence and Data Authority</x:v>
      </x:c>
      <x:c r="I66" s="21" t="str">
        <x:v>OPEN</x:v>
      </x:c>
      <x:c r="J66" s="21" t="str">
        <x:v>HOLD</x:v>
      </x:c>
      <x:c r="K66" s="23" t="str">
        <x:v>what exact configuration produced the article must be accepted before downstream release</x:v>
      </x:c>
    </x:row>
    <x:row r="67">
      <x:c r="B67" s="21" t="str">
        <x:v>BL-00061</x:v>
      </x:c>
      <x:c r="C67" s="21" t="str">
        <x:v>F03-I1</x:v>
      </x:c>
      <x:c r="D67" s="21" t="str">
        <x:v>F03</x:v>
      </x:c>
      <x:c r="E67" s="21" t="str">
        <x:v>B4</x:v>
      </x:c>
      <x:c r="F67" s="21" t="str">
        <x:v>Trial</x:v>
      </x:c>
      <x:c r="G67" s="21" t="str">
        <x:v>0.0.0</x:v>
      </x:c>
      <x:c r="H67" s="21" t="str">
        <x:v>Independent Evidence and Data Authority</x:v>
      </x:c>
      <x:c r="I67" s="21" t="str">
        <x:v>OPEN</x:v>
      </x:c>
      <x:c r="J67" s="21" t="str">
        <x:v>HOLD</x:v>
      </x:c>
      <x:c r="K67" s="23" t="str">
        <x:v>what configuration method and damage world produced evidence must be accepted before downstream release</x:v>
      </x:c>
    </x:row>
    <x:row r="68">
      <x:c r="B68" s="21" t="str">
        <x:v>BL-00062</x:v>
      </x:c>
      <x:c r="C68" s="21" t="str">
        <x:v>F03-I1</x:v>
      </x:c>
      <x:c r="D68" s="21" t="str">
        <x:v>F03</x:v>
      </x:c>
      <x:c r="E68" s="21" t="str">
        <x:v>B5</x:v>
      </x:c>
      <x:c r="F68" s="21" t="str">
        <x:v>Production</x:v>
      </x:c>
      <x:c r="G68" s="21" t="str">
        <x:v>0.0.0</x:v>
      </x:c>
      <x:c r="H68" s="21" t="str">
        <x:v>Independent Evidence and Data Authority</x:v>
      </x:c>
      <x:c r="I68" s="21" t="str">
        <x:v>OPEN</x:v>
      </x:c>
      <x:c r="J68" s="21" t="str">
        <x:v>HOLD</x:v>
      </x:c>
      <x:c r="K68" s="23" t="str">
        <x:v>what process configuration and acceptance define serial output must be accepted before downstream release</x:v>
      </x:c>
    </x:row>
    <x:row r="69">
      <x:c r="B69" s="21" t="str">
        <x:v>BL-00063</x:v>
      </x:c>
      <x:c r="C69" s="21" t="str">
        <x:v>F03-I1</x:v>
      </x:c>
      <x:c r="D69" s="21" t="str">
        <x:v>F03</x:v>
      </x:c>
      <x:c r="E69" s="21" t="str">
        <x:v>B6</x:v>
      </x:c>
      <x:c r="F69" s="21" t="str">
        <x:v>Mobilization</x:v>
      </x:c>
      <x:c r="G69" s="21" t="str">
        <x:v>0.0.0</x:v>
      </x:c>
      <x:c r="H69" s="21" t="str">
        <x:v>Independent Evidence and Data Authority</x:v>
      </x:c>
      <x:c r="I69" s="21" t="str">
        <x:v>OPEN</x:v>
      </x:c>
      <x:c r="J69" s="21" t="str">
        <x:v>HOLD</x:v>
      </x:c>
      <x:c r="K69" s="23" t="str">
        <x:v>what people tools suppliers and routes reproduce conforming service must be accepted before downstream release</x:v>
      </x:c>
    </x:row>
    <x:row r="70">
      <x:c r="B70" s="21" t="str">
        <x:v>BL-00064</x:v>
      </x:c>
      <x:c r="C70" s="21" t="str">
        <x:v>F03-I2</x:v>
      </x:c>
      <x:c r="D70" s="21" t="str">
        <x:v>F03</x:v>
      </x:c>
      <x:c r="E70" s="21" t="str">
        <x:v>B0</x:v>
      </x:c>
      <x:c r="F70" s="21" t="str">
        <x:v>Effect</x:v>
      </x:c>
      <x:c r="G70" s="21" t="str">
        <x:v>0.0.0</x:v>
      </x:c>
      <x:c r="H70" s="21" t="str">
        <x:v>Independent Evidence and Data Authority</x:v>
      </x:c>
      <x:c r="I70" s="21" t="str">
        <x:v>OPEN</x:v>
      </x:c>
      <x:c r="J70" s="21" t="str">
        <x:v>HOLD</x:v>
      </x:c>
      <x:c r="K70" s="23" t="str">
        <x:v>what public condition must exist must be accepted before downstream release</x:v>
      </x:c>
    </x:row>
    <x:row r="71">
      <x:c r="B71" s="21" t="str">
        <x:v>BL-00065</x:v>
      </x:c>
      <x:c r="C71" s="21" t="str">
        <x:v>F03-I2</x:v>
      </x:c>
      <x:c r="D71" s="21" t="str">
        <x:v>F03</x:v>
      </x:c>
      <x:c r="E71" s="21" t="str">
        <x:v>B1</x:v>
      </x:c>
      <x:c r="F71" s="21" t="str">
        <x:v>Requirements</x:v>
      </x:c>
      <x:c r="G71" s="21" t="str">
        <x:v>0.0.0</x:v>
      </x:c>
      <x:c r="H71" s="21" t="str">
        <x:v>Independent Evidence and Data Authority</x:v>
      </x:c>
      <x:c r="I71" s="21" t="str">
        <x:v>OPEN</x:v>
      </x:c>
      <x:c r="J71" s="21" t="str">
        <x:v>HOLD</x:v>
      </x:c>
      <x:c r="K71" s="23" t="str">
        <x:v>what burdens and invalid states bound the effect must be accepted before downstream release</x:v>
      </x:c>
    </x:row>
    <x:row r="72">
      <x:c r="B72" s="21" t="str">
        <x:v>BL-00066</x:v>
      </x:c>
      <x:c r="C72" s="21" t="str">
        <x:v>F03-I2</x:v>
      </x:c>
      <x:c r="D72" s="21" t="str">
        <x:v>F03</x:v>
      </x:c>
      <x:c r="E72" s="21" t="str">
        <x:v>B2</x:v>
      </x:c>
      <x:c r="F72" s="21" t="str">
        <x:v>Architecture</x:v>
      </x:c>
      <x:c r="G72" s="21" t="str">
        <x:v>0.0.0</x:v>
      </x:c>
      <x:c r="H72" s="21" t="str">
        <x:v>Independent Evidence and Data Authority</x:v>
      </x:c>
      <x:c r="I72" s="21" t="str">
        <x:v>OPEN</x:v>
      </x:c>
      <x:c r="J72" s="21" t="str">
        <x:v>HOLD</x:v>
      </x:c>
      <x:c r="K72" s="23" t="str">
        <x:v>what interfaces and budgets govern the system must be accepted before downstream release</x:v>
      </x:c>
    </x:row>
    <x:row r="73">
      <x:c r="B73" s="21" t="str">
        <x:v>BL-00067</x:v>
      </x:c>
      <x:c r="C73" s="21" t="str">
        <x:v>F03-I2</x:v>
      </x:c>
      <x:c r="D73" s="21" t="str">
        <x:v>F03</x:v>
      </x:c>
      <x:c r="E73" s="21" t="str">
        <x:v>B3</x:v>
      </x:c>
      <x:c r="F73" s="21" t="str">
        <x:v>Build</x:v>
      </x:c>
      <x:c r="G73" s="21" t="str">
        <x:v>0.0.0</x:v>
      </x:c>
      <x:c r="H73" s="21" t="str">
        <x:v>Independent Evidence and Data Authority</x:v>
      </x:c>
      <x:c r="I73" s="21" t="str">
        <x:v>OPEN</x:v>
      </x:c>
      <x:c r="J73" s="21" t="str">
        <x:v>HOLD</x:v>
      </x:c>
      <x:c r="K73" s="23" t="str">
        <x:v>what exact configuration produced the article must be accepted before downstream release</x:v>
      </x:c>
    </x:row>
    <x:row r="74">
      <x:c r="B74" s="21" t="str">
        <x:v>BL-00068</x:v>
      </x:c>
      <x:c r="C74" s="21" t="str">
        <x:v>F03-I2</x:v>
      </x:c>
      <x:c r="D74" s="21" t="str">
        <x:v>F03</x:v>
      </x:c>
      <x:c r="E74" s="21" t="str">
        <x:v>B4</x:v>
      </x:c>
      <x:c r="F74" s="21" t="str">
        <x:v>Trial</x:v>
      </x:c>
      <x:c r="G74" s="21" t="str">
        <x:v>0.0.0</x:v>
      </x:c>
      <x:c r="H74" s="21" t="str">
        <x:v>Independent Evidence and Data Authority</x:v>
      </x:c>
      <x:c r="I74" s="21" t="str">
        <x:v>OPEN</x:v>
      </x:c>
      <x:c r="J74" s="21" t="str">
        <x:v>HOLD</x:v>
      </x:c>
      <x:c r="K74" s="23" t="str">
        <x:v>what configuration method and damage world produced evidence must be accepted before downstream release</x:v>
      </x:c>
    </x:row>
    <x:row r="75">
      <x:c r="B75" s="21" t="str">
        <x:v>BL-00069</x:v>
      </x:c>
      <x:c r="C75" s="21" t="str">
        <x:v>F03-I2</x:v>
      </x:c>
      <x:c r="D75" s="21" t="str">
        <x:v>F03</x:v>
      </x:c>
      <x:c r="E75" s="21" t="str">
        <x:v>B5</x:v>
      </x:c>
      <x:c r="F75" s="21" t="str">
        <x:v>Production</x:v>
      </x:c>
      <x:c r="G75" s="21" t="str">
        <x:v>0.0.0</x:v>
      </x:c>
      <x:c r="H75" s="21" t="str">
        <x:v>Independent Evidence and Data Authority</x:v>
      </x:c>
      <x:c r="I75" s="21" t="str">
        <x:v>OPEN</x:v>
      </x:c>
      <x:c r="J75" s="21" t="str">
        <x:v>HOLD</x:v>
      </x:c>
      <x:c r="K75" s="23" t="str">
        <x:v>what process configuration and acceptance define serial output must be accepted before downstream release</x:v>
      </x:c>
    </x:row>
    <x:row r="76">
      <x:c r="B76" s="21" t="str">
        <x:v>BL-00070</x:v>
      </x:c>
      <x:c r="C76" s="21" t="str">
        <x:v>F03-I2</x:v>
      </x:c>
      <x:c r="D76" s="21" t="str">
        <x:v>F03</x:v>
      </x:c>
      <x:c r="E76" s="21" t="str">
        <x:v>B6</x:v>
      </x:c>
      <x:c r="F76" s="21" t="str">
        <x:v>Mobilization</x:v>
      </x:c>
      <x:c r="G76" s="21" t="str">
        <x:v>0.0.0</x:v>
      </x:c>
      <x:c r="H76" s="21" t="str">
        <x:v>Independent Evidence and Data Authority</x:v>
      </x:c>
      <x:c r="I76" s="21" t="str">
        <x:v>OPEN</x:v>
      </x:c>
      <x:c r="J76" s="21" t="str">
        <x:v>HOLD</x:v>
      </x:c>
      <x:c r="K76" s="23" t="str">
        <x:v>what people tools suppliers and routes reproduce conforming service must be accepted before downstream release</x:v>
      </x:c>
    </x:row>
    <x:row r="77">
      <x:c r="B77" s="21" t="str">
        <x:v>BL-00071</x:v>
      </x:c>
      <x:c r="C77" s="21" t="str">
        <x:v>F03-I3</x:v>
      </x:c>
      <x:c r="D77" s="21" t="str">
        <x:v>F03</x:v>
      </x:c>
      <x:c r="E77" s="21" t="str">
        <x:v>B0</x:v>
      </x:c>
      <x:c r="F77" s="21" t="str">
        <x:v>Effect</x:v>
      </x:c>
      <x:c r="G77" s="21" t="str">
        <x:v>0.0.0</x:v>
      </x:c>
      <x:c r="H77" s="21" t="str">
        <x:v>Independent Evidence and Data Authority</x:v>
      </x:c>
      <x:c r="I77" s="21" t="str">
        <x:v>OPEN</x:v>
      </x:c>
      <x:c r="J77" s="21" t="str">
        <x:v>HOLD</x:v>
      </x:c>
      <x:c r="K77" s="23" t="str">
        <x:v>what public condition must exist must be accepted before downstream release</x:v>
      </x:c>
    </x:row>
    <x:row r="78">
      <x:c r="B78" s="21" t="str">
        <x:v>BL-00072</x:v>
      </x:c>
      <x:c r="C78" s="21" t="str">
        <x:v>F03-I3</x:v>
      </x:c>
      <x:c r="D78" s="21" t="str">
        <x:v>F03</x:v>
      </x:c>
      <x:c r="E78" s="21" t="str">
        <x:v>B1</x:v>
      </x:c>
      <x:c r="F78" s="21" t="str">
        <x:v>Requirements</x:v>
      </x:c>
      <x:c r="G78" s="21" t="str">
        <x:v>0.0.0</x:v>
      </x:c>
      <x:c r="H78" s="21" t="str">
        <x:v>Independent Evidence and Data Authority</x:v>
      </x:c>
      <x:c r="I78" s="21" t="str">
        <x:v>OPEN</x:v>
      </x:c>
      <x:c r="J78" s="21" t="str">
        <x:v>HOLD</x:v>
      </x:c>
      <x:c r="K78" s="23" t="str">
        <x:v>what burdens and invalid states bound the effect must be accepted before downstream release</x:v>
      </x:c>
    </x:row>
    <x:row r="79">
      <x:c r="B79" s="21" t="str">
        <x:v>BL-00073</x:v>
      </x:c>
      <x:c r="C79" s="21" t="str">
        <x:v>F03-I3</x:v>
      </x:c>
      <x:c r="D79" s="21" t="str">
        <x:v>F03</x:v>
      </x:c>
      <x:c r="E79" s="21" t="str">
        <x:v>B2</x:v>
      </x:c>
      <x:c r="F79" s="21" t="str">
        <x:v>Architecture</x:v>
      </x:c>
      <x:c r="G79" s="21" t="str">
        <x:v>0.0.0</x:v>
      </x:c>
      <x:c r="H79" s="21" t="str">
        <x:v>Independent Evidence and Data Authority</x:v>
      </x:c>
      <x:c r="I79" s="21" t="str">
        <x:v>OPEN</x:v>
      </x:c>
      <x:c r="J79" s="21" t="str">
        <x:v>HOLD</x:v>
      </x:c>
      <x:c r="K79" s="23" t="str">
        <x:v>what interfaces and budgets govern the system must be accepted before downstream release</x:v>
      </x:c>
    </x:row>
    <x:row r="80">
      <x:c r="B80" s="21" t="str">
        <x:v>BL-00074</x:v>
      </x:c>
      <x:c r="C80" s="21" t="str">
        <x:v>F03-I3</x:v>
      </x:c>
      <x:c r="D80" s="21" t="str">
        <x:v>F03</x:v>
      </x:c>
      <x:c r="E80" s="21" t="str">
        <x:v>B3</x:v>
      </x:c>
      <x:c r="F80" s="21" t="str">
        <x:v>Build</x:v>
      </x:c>
      <x:c r="G80" s="21" t="str">
        <x:v>0.0.0</x:v>
      </x:c>
      <x:c r="H80" s="21" t="str">
        <x:v>Independent Evidence and Data Authority</x:v>
      </x:c>
      <x:c r="I80" s="21" t="str">
        <x:v>OPEN</x:v>
      </x:c>
      <x:c r="J80" s="21" t="str">
        <x:v>HOLD</x:v>
      </x:c>
      <x:c r="K80" s="23" t="str">
        <x:v>what exact configuration produced the article must be accepted before downstream release</x:v>
      </x:c>
    </x:row>
    <x:row r="81">
      <x:c r="B81" s="21" t="str">
        <x:v>BL-00075</x:v>
      </x:c>
      <x:c r="C81" s="21" t="str">
        <x:v>F03-I3</x:v>
      </x:c>
      <x:c r="D81" s="21" t="str">
        <x:v>F03</x:v>
      </x:c>
      <x:c r="E81" s="21" t="str">
        <x:v>B4</x:v>
      </x:c>
      <x:c r="F81" s="21" t="str">
        <x:v>Trial</x:v>
      </x:c>
      <x:c r="G81" s="21" t="str">
        <x:v>0.0.0</x:v>
      </x:c>
      <x:c r="H81" s="21" t="str">
        <x:v>Independent Evidence and Data Authority</x:v>
      </x:c>
      <x:c r="I81" s="21" t="str">
        <x:v>OPEN</x:v>
      </x:c>
      <x:c r="J81" s="21" t="str">
        <x:v>HOLD</x:v>
      </x:c>
      <x:c r="K81" s="23" t="str">
        <x:v>what configuration method and damage world produced evidence must be accepted before downstream release</x:v>
      </x:c>
    </x:row>
    <x:row r="82">
      <x:c r="B82" s="21" t="str">
        <x:v>BL-00076</x:v>
      </x:c>
      <x:c r="C82" s="21" t="str">
        <x:v>F03-I3</x:v>
      </x:c>
      <x:c r="D82" s="21" t="str">
        <x:v>F03</x:v>
      </x:c>
      <x:c r="E82" s="21" t="str">
        <x:v>B5</x:v>
      </x:c>
      <x:c r="F82" s="21" t="str">
        <x:v>Production</x:v>
      </x:c>
      <x:c r="G82" s="21" t="str">
        <x:v>0.0.0</x:v>
      </x:c>
      <x:c r="H82" s="21" t="str">
        <x:v>Independent Evidence and Data Authority</x:v>
      </x:c>
      <x:c r="I82" s="21" t="str">
        <x:v>OPEN</x:v>
      </x:c>
      <x:c r="J82" s="21" t="str">
        <x:v>HOLD</x:v>
      </x:c>
      <x:c r="K82" s="23" t="str">
        <x:v>what process configuration and acceptance define serial output must be accepted before downstream release</x:v>
      </x:c>
    </x:row>
    <x:row r="83">
      <x:c r="B83" s="21" t="str">
        <x:v>BL-00077</x:v>
      </x:c>
      <x:c r="C83" s="21" t="str">
        <x:v>F03-I3</x:v>
      </x:c>
      <x:c r="D83" s="21" t="str">
        <x:v>F03</x:v>
      </x:c>
      <x:c r="E83" s="21" t="str">
        <x:v>B6</x:v>
      </x:c>
      <x:c r="F83" s="21" t="str">
        <x:v>Mobilization</x:v>
      </x:c>
      <x:c r="G83" s="21" t="str">
        <x:v>0.0.0</x:v>
      </x:c>
      <x:c r="H83" s="21" t="str">
        <x:v>Independent Evidence and Data Authority</x:v>
      </x:c>
      <x:c r="I83" s="21" t="str">
        <x:v>OPEN</x:v>
      </x:c>
      <x:c r="J83" s="21" t="str">
        <x:v>HOLD</x:v>
      </x:c>
      <x:c r="K83" s="23" t="str">
        <x:v>what people tools suppliers and routes reproduce conforming service must be accepted before downstream release</x:v>
      </x:c>
    </x:row>
    <x:row r="84">
      <x:c r="B84" s="21" t="str">
        <x:v>BL-00078</x:v>
      </x:c>
      <x:c r="C84" s="21" t="str">
        <x:v>F03-I4</x:v>
      </x:c>
      <x:c r="D84" s="21" t="str">
        <x:v>F03</x:v>
      </x:c>
      <x:c r="E84" s="21" t="str">
        <x:v>B0</x:v>
      </x:c>
      <x:c r="F84" s="21" t="str">
        <x:v>Effect</x:v>
      </x:c>
      <x:c r="G84" s="21" t="str">
        <x:v>0.0.0</x:v>
      </x:c>
      <x:c r="H84" s="21" t="str">
        <x:v>Independent Evidence and Data Authority</x:v>
      </x:c>
      <x:c r="I84" s="21" t="str">
        <x:v>OPEN</x:v>
      </x:c>
      <x:c r="J84" s="21" t="str">
        <x:v>HOLD</x:v>
      </x:c>
      <x:c r="K84" s="23" t="str">
        <x:v>what public condition must exist must be accepted before downstream release</x:v>
      </x:c>
    </x:row>
    <x:row r="85">
      <x:c r="B85" s="21" t="str">
        <x:v>BL-00079</x:v>
      </x:c>
      <x:c r="C85" s="21" t="str">
        <x:v>F03-I4</x:v>
      </x:c>
      <x:c r="D85" s="21" t="str">
        <x:v>F03</x:v>
      </x:c>
      <x:c r="E85" s="21" t="str">
        <x:v>B1</x:v>
      </x:c>
      <x:c r="F85" s="21" t="str">
        <x:v>Requirements</x:v>
      </x:c>
      <x:c r="G85" s="21" t="str">
        <x:v>0.0.0</x:v>
      </x:c>
      <x:c r="H85" s="21" t="str">
        <x:v>Independent Evidence and Data Authority</x:v>
      </x:c>
      <x:c r="I85" s="21" t="str">
        <x:v>OPEN</x:v>
      </x:c>
      <x:c r="J85" s="21" t="str">
        <x:v>HOLD</x:v>
      </x:c>
      <x:c r="K85" s="23" t="str">
        <x:v>what burdens and invalid states bound the effect must be accepted before downstream release</x:v>
      </x:c>
    </x:row>
    <x:row r="86">
      <x:c r="B86" s="21" t="str">
        <x:v>BL-00080</x:v>
      </x:c>
      <x:c r="C86" s="21" t="str">
        <x:v>F03-I4</x:v>
      </x:c>
      <x:c r="D86" s="21" t="str">
        <x:v>F03</x:v>
      </x:c>
      <x:c r="E86" s="21" t="str">
        <x:v>B2</x:v>
      </x:c>
      <x:c r="F86" s="21" t="str">
        <x:v>Architecture</x:v>
      </x:c>
      <x:c r="G86" s="21" t="str">
        <x:v>0.0.0</x:v>
      </x:c>
      <x:c r="H86" s="21" t="str">
        <x:v>Independent Evidence and Data Authority</x:v>
      </x:c>
      <x:c r="I86" s="21" t="str">
        <x:v>OPEN</x:v>
      </x:c>
      <x:c r="J86" s="21" t="str">
        <x:v>HOLD</x:v>
      </x:c>
      <x:c r="K86" s="23" t="str">
        <x:v>what interfaces and budgets govern the system must be accepted before downstream release</x:v>
      </x:c>
    </x:row>
    <x:row r="87">
      <x:c r="B87" s="21" t="str">
        <x:v>BL-00081</x:v>
      </x:c>
      <x:c r="C87" s="21" t="str">
        <x:v>F03-I4</x:v>
      </x:c>
      <x:c r="D87" s="21" t="str">
        <x:v>F03</x:v>
      </x:c>
      <x:c r="E87" s="21" t="str">
        <x:v>B3</x:v>
      </x:c>
      <x:c r="F87" s="21" t="str">
        <x:v>Build</x:v>
      </x:c>
      <x:c r="G87" s="21" t="str">
        <x:v>0.0.0</x:v>
      </x:c>
      <x:c r="H87" s="21" t="str">
        <x:v>Independent Evidence and Data Authority</x:v>
      </x:c>
      <x:c r="I87" s="21" t="str">
        <x:v>OPEN</x:v>
      </x:c>
      <x:c r="J87" s="21" t="str">
        <x:v>HOLD</x:v>
      </x:c>
      <x:c r="K87" s="23" t="str">
        <x:v>what exact configuration produced the article must be accepted before downstream release</x:v>
      </x:c>
    </x:row>
    <x:row r="88">
      <x:c r="B88" s="21" t="str">
        <x:v>BL-00082</x:v>
      </x:c>
      <x:c r="C88" s="21" t="str">
        <x:v>F03-I4</x:v>
      </x:c>
      <x:c r="D88" s="21" t="str">
        <x:v>F03</x:v>
      </x:c>
      <x:c r="E88" s="21" t="str">
        <x:v>B4</x:v>
      </x:c>
      <x:c r="F88" s="21" t="str">
        <x:v>Trial</x:v>
      </x:c>
      <x:c r="G88" s="21" t="str">
        <x:v>0.0.0</x:v>
      </x:c>
      <x:c r="H88" s="21" t="str">
        <x:v>Independent Evidence and Data Authority</x:v>
      </x:c>
      <x:c r="I88" s="21" t="str">
        <x:v>OPEN</x:v>
      </x:c>
      <x:c r="J88" s="21" t="str">
        <x:v>HOLD</x:v>
      </x:c>
      <x:c r="K88" s="23" t="str">
        <x:v>what configuration method and damage world produced evidence must be accepted before downstream release</x:v>
      </x:c>
    </x:row>
    <x:row r="89">
      <x:c r="B89" s="21" t="str">
        <x:v>BL-00083</x:v>
      </x:c>
      <x:c r="C89" s="21" t="str">
        <x:v>F03-I4</x:v>
      </x:c>
      <x:c r="D89" s="21" t="str">
        <x:v>F03</x:v>
      </x:c>
      <x:c r="E89" s="21" t="str">
        <x:v>B5</x:v>
      </x:c>
      <x:c r="F89" s="21" t="str">
        <x:v>Production</x:v>
      </x:c>
      <x:c r="G89" s="21" t="str">
        <x:v>0.0.0</x:v>
      </x:c>
      <x:c r="H89" s="21" t="str">
        <x:v>Independent Evidence and Data Authority</x:v>
      </x:c>
      <x:c r="I89" s="21" t="str">
        <x:v>OPEN</x:v>
      </x:c>
      <x:c r="J89" s="21" t="str">
        <x:v>HOLD</x:v>
      </x:c>
      <x:c r="K89" s="23" t="str">
        <x:v>what process configuration and acceptance define serial output must be accepted before downstream release</x:v>
      </x:c>
    </x:row>
    <x:row r="90">
      <x:c r="B90" s="21" t="str">
        <x:v>BL-00084</x:v>
      </x:c>
      <x:c r="C90" s="21" t="str">
        <x:v>F03-I4</x:v>
      </x:c>
      <x:c r="D90" s="21" t="str">
        <x:v>F03</x:v>
      </x:c>
      <x:c r="E90" s="21" t="str">
        <x:v>B6</x:v>
      </x:c>
      <x:c r="F90" s="21" t="str">
        <x:v>Mobilization</x:v>
      </x:c>
      <x:c r="G90" s="21" t="str">
        <x:v>0.0.0</x:v>
      </x:c>
      <x:c r="H90" s="21" t="str">
        <x:v>Independent Evidence and Data Authority</x:v>
      </x:c>
      <x:c r="I90" s="21" t="str">
        <x:v>OPEN</x:v>
      </x:c>
      <x:c r="J90" s="21" t="str">
        <x:v>HOLD</x:v>
      </x:c>
      <x:c r="K90" s="23" t="str">
        <x:v>what people tools suppliers and routes reproduce conforming service must be accepted before downstream release</x:v>
      </x:c>
    </x:row>
    <x:row r="91">
      <x:c r="B91" s="21" t="str">
        <x:v>BL-00085</x:v>
      </x:c>
      <x:c r="C91" s="21" t="str">
        <x:v>F04-I1</x:v>
      </x:c>
      <x:c r="D91" s="21" t="str">
        <x:v>F04</x:v>
      </x:c>
      <x:c r="E91" s="21" t="str">
        <x:v>B0</x:v>
      </x:c>
      <x:c r="F91" s="21" t="str">
        <x:v>Effect</x:v>
      </x:c>
      <x:c r="G91" s="21" t="str">
        <x:v>0.0.0</x:v>
      </x:c>
      <x:c r="H91" s="21" t="str">
        <x:v>Independent Evidence and Data Authority</x:v>
      </x:c>
      <x:c r="I91" s="21" t="str">
        <x:v>OPEN</x:v>
      </x:c>
      <x:c r="J91" s="21" t="str">
        <x:v>HOLD</x:v>
      </x:c>
      <x:c r="K91" s="23" t="str">
        <x:v>what public condition must exist must be accepted before downstream release</x:v>
      </x:c>
    </x:row>
    <x:row r="92">
      <x:c r="B92" s="21" t="str">
        <x:v>BL-00086</x:v>
      </x:c>
      <x:c r="C92" s="21" t="str">
        <x:v>F04-I1</x:v>
      </x:c>
      <x:c r="D92" s="21" t="str">
        <x:v>F04</x:v>
      </x:c>
      <x:c r="E92" s="21" t="str">
        <x:v>B1</x:v>
      </x:c>
      <x:c r="F92" s="21" t="str">
        <x:v>Requirements</x:v>
      </x:c>
      <x:c r="G92" s="21" t="str">
        <x:v>0.0.0</x:v>
      </x:c>
      <x:c r="H92" s="21" t="str">
        <x:v>Independent Evidence and Data Authority</x:v>
      </x:c>
      <x:c r="I92" s="21" t="str">
        <x:v>OPEN</x:v>
      </x:c>
      <x:c r="J92" s="21" t="str">
        <x:v>HOLD</x:v>
      </x:c>
      <x:c r="K92" s="23" t="str">
        <x:v>what burdens and invalid states bound the effect must be accepted before downstream release</x:v>
      </x:c>
    </x:row>
    <x:row r="93">
      <x:c r="B93" s="21" t="str">
        <x:v>BL-00087</x:v>
      </x:c>
      <x:c r="C93" s="21" t="str">
        <x:v>F04-I1</x:v>
      </x:c>
      <x:c r="D93" s="21" t="str">
        <x:v>F04</x:v>
      </x:c>
      <x:c r="E93" s="21" t="str">
        <x:v>B2</x:v>
      </x:c>
      <x:c r="F93" s="21" t="str">
        <x:v>Architecture</x:v>
      </x:c>
      <x:c r="G93" s="21" t="str">
        <x:v>0.0.0</x:v>
      </x:c>
      <x:c r="H93" s="21" t="str">
        <x:v>Independent Evidence and Data Authority</x:v>
      </x:c>
      <x:c r="I93" s="21" t="str">
        <x:v>OPEN</x:v>
      </x:c>
      <x:c r="J93" s="21" t="str">
        <x:v>HOLD</x:v>
      </x:c>
      <x:c r="K93" s="23" t="str">
        <x:v>what interfaces and budgets govern the system must be accepted before downstream release</x:v>
      </x:c>
    </x:row>
    <x:row r="94">
      <x:c r="B94" s="21" t="str">
        <x:v>BL-00088</x:v>
      </x:c>
      <x:c r="C94" s="21" t="str">
        <x:v>F04-I1</x:v>
      </x:c>
      <x:c r="D94" s="21" t="str">
        <x:v>F04</x:v>
      </x:c>
      <x:c r="E94" s="21" t="str">
        <x:v>B3</x:v>
      </x:c>
      <x:c r="F94" s="21" t="str">
        <x:v>Build</x:v>
      </x:c>
      <x:c r="G94" s="21" t="str">
        <x:v>0.0.0</x:v>
      </x:c>
      <x:c r="H94" s="21" t="str">
        <x:v>Independent Evidence and Data Authority</x:v>
      </x:c>
      <x:c r="I94" s="21" t="str">
        <x:v>OPEN</x:v>
      </x:c>
      <x:c r="J94" s="21" t="str">
        <x:v>HOLD</x:v>
      </x:c>
      <x:c r="K94" s="23" t="str">
        <x:v>what exact configuration produced the article must be accepted before downstream release</x:v>
      </x:c>
    </x:row>
    <x:row r="95">
      <x:c r="B95" s="21" t="str">
        <x:v>BL-00089</x:v>
      </x:c>
      <x:c r="C95" s="21" t="str">
        <x:v>F04-I1</x:v>
      </x:c>
      <x:c r="D95" s="21" t="str">
        <x:v>F04</x:v>
      </x:c>
      <x:c r="E95" s="21" t="str">
        <x:v>B4</x:v>
      </x:c>
      <x:c r="F95" s="21" t="str">
        <x:v>Trial</x:v>
      </x:c>
      <x:c r="G95" s="21" t="str">
        <x:v>0.0.0</x:v>
      </x:c>
      <x:c r="H95" s="21" t="str">
        <x:v>Independent Evidence and Data Authority</x:v>
      </x:c>
      <x:c r="I95" s="21" t="str">
        <x:v>OPEN</x:v>
      </x:c>
      <x:c r="J95" s="21" t="str">
        <x:v>HOLD</x:v>
      </x:c>
      <x:c r="K95" s="23" t="str">
        <x:v>what configuration method and damage world produced evidence must be accepted before downstream release</x:v>
      </x:c>
    </x:row>
    <x:row r="96">
      <x:c r="B96" s="21" t="str">
        <x:v>BL-00090</x:v>
      </x:c>
      <x:c r="C96" s="21" t="str">
        <x:v>F04-I1</x:v>
      </x:c>
      <x:c r="D96" s="21" t="str">
        <x:v>F04</x:v>
      </x:c>
      <x:c r="E96" s="21" t="str">
        <x:v>B5</x:v>
      </x:c>
      <x:c r="F96" s="21" t="str">
        <x:v>Production</x:v>
      </x:c>
      <x:c r="G96" s="21" t="str">
        <x:v>0.0.0</x:v>
      </x:c>
      <x:c r="H96" s="21" t="str">
        <x:v>Independent Evidence and Data Authority</x:v>
      </x:c>
      <x:c r="I96" s="21" t="str">
        <x:v>OPEN</x:v>
      </x:c>
      <x:c r="J96" s="21" t="str">
        <x:v>HOLD</x:v>
      </x:c>
      <x:c r="K96" s="23" t="str">
        <x:v>what process configuration and acceptance define serial output must be accepted before downstream release</x:v>
      </x:c>
    </x:row>
    <x:row r="97">
      <x:c r="B97" s="21" t="str">
        <x:v>BL-00091</x:v>
      </x:c>
      <x:c r="C97" s="21" t="str">
        <x:v>F04-I1</x:v>
      </x:c>
      <x:c r="D97" s="21" t="str">
        <x:v>F04</x:v>
      </x:c>
      <x:c r="E97" s="21" t="str">
        <x:v>B6</x:v>
      </x:c>
      <x:c r="F97" s="21" t="str">
        <x:v>Mobilization</x:v>
      </x:c>
      <x:c r="G97" s="21" t="str">
        <x:v>0.0.0</x:v>
      </x:c>
      <x:c r="H97" s="21" t="str">
        <x:v>Independent Evidence and Data Authority</x:v>
      </x:c>
      <x:c r="I97" s="21" t="str">
        <x:v>OPEN</x:v>
      </x:c>
      <x:c r="J97" s="21" t="str">
        <x:v>HOLD</x:v>
      </x:c>
      <x:c r="K97" s="23" t="str">
        <x:v>what people tools suppliers and routes reproduce conforming service must be accepted before downstream release</x:v>
      </x:c>
    </x:row>
    <x:row r="98">
      <x:c r="B98" s="21" t="str">
        <x:v>BL-00092</x:v>
      </x:c>
      <x:c r="C98" s="21" t="str">
        <x:v>F04-I2</x:v>
      </x:c>
      <x:c r="D98" s="21" t="str">
        <x:v>F04</x:v>
      </x:c>
      <x:c r="E98" s="21" t="str">
        <x:v>B0</x:v>
      </x:c>
      <x:c r="F98" s="21" t="str">
        <x:v>Effect</x:v>
      </x:c>
      <x:c r="G98" s="21" t="str">
        <x:v>0.0.0</x:v>
      </x:c>
      <x:c r="H98" s="21" t="str">
        <x:v>Independent Evidence and Data Authority</x:v>
      </x:c>
      <x:c r="I98" s="21" t="str">
        <x:v>OPEN</x:v>
      </x:c>
      <x:c r="J98" s="21" t="str">
        <x:v>HOLD</x:v>
      </x:c>
      <x:c r="K98" s="23" t="str">
        <x:v>what public condition must exist must be accepted before downstream release</x:v>
      </x:c>
    </x:row>
    <x:row r="99">
      <x:c r="B99" s="21" t="str">
        <x:v>BL-00093</x:v>
      </x:c>
      <x:c r="C99" s="21" t="str">
        <x:v>F04-I2</x:v>
      </x:c>
      <x:c r="D99" s="21" t="str">
        <x:v>F04</x:v>
      </x:c>
      <x:c r="E99" s="21" t="str">
        <x:v>B1</x:v>
      </x:c>
      <x:c r="F99" s="21" t="str">
        <x:v>Requirements</x:v>
      </x:c>
      <x:c r="G99" s="21" t="str">
        <x:v>0.0.0</x:v>
      </x:c>
      <x:c r="H99" s="21" t="str">
        <x:v>Independent Evidence and Data Authority</x:v>
      </x:c>
      <x:c r="I99" s="21" t="str">
        <x:v>OPEN</x:v>
      </x:c>
      <x:c r="J99" s="21" t="str">
        <x:v>HOLD</x:v>
      </x:c>
      <x:c r="K99" s="23" t="str">
        <x:v>what burdens and invalid states bound the effect must be accepted before downstream release</x:v>
      </x:c>
    </x:row>
    <x:row r="100">
      <x:c r="B100" s="21" t="str">
        <x:v>BL-00094</x:v>
      </x:c>
      <x:c r="C100" s="21" t="str">
        <x:v>F04-I2</x:v>
      </x:c>
      <x:c r="D100" s="21" t="str">
        <x:v>F04</x:v>
      </x:c>
      <x:c r="E100" s="21" t="str">
        <x:v>B2</x:v>
      </x:c>
      <x:c r="F100" s="21" t="str">
        <x:v>Architecture</x:v>
      </x:c>
      <x:c r="G100" s="21" t="str">
        <x:v>0.0.0</x:v>
      </x:c>
      <x:c r="H100" s="21" t="str">
        <x:v>Independent Evidence and Data Authority</x:v>
      </x:c>
      <x:c r="I100" s="21" t="str">
        <x:v>OPEN</x:v>
      </x:c>
      <x:c r="J100" s="21" t="str">
        <x:v>HOLD</x:v>
      </x:c>
      <x:c r="K100" s="23" t="str">
        <x:v>what interfaces and budgets govern the system must be accepted before downstream release</x:v>
      </x:c>
    </x:row>
    <x:row r="101">
      <x:c r="B101" s="21" t="str">
        <x:v>BL-00095</x:v>
      </x:c>
      <x:c r="C101" s="21" t="str">
        <x:v>F04-I2</x:v>
      </x:c>
      <x:c r="D101" s="21" t="str">
        <x:v>F04</x:v>
      </x:c>
      <x:c r="E101" s="21" t="str">
        <x:v>B3</x:v>
      </x:c>
      <x:c r="F101" s="21" t="str">
        <x:v>Build</x:v>
      </x:c>
      <x:c r="G101" s="21" t="str">
        <x:v>0.0.0</x:v>
      </x:c>
      <x:c r="H101" s="21" t="str">
        <x:v>Independent Evidence and Data Authority</x:v>
      </x:c>
      <x:c r="I101" s="21" t="str">
        <x:v>OPEN</x:v>
      </x:c>
      <x:c r="J101" s="21" t="str">
        <x:v>HOLD</x:v>
      </x:c>
      <x:c r="K101" s="23" t="str">
        <x:v>what exact configuration produced the article must be accepted before downstream release</x:v>
      </x:c>
    </x:row>
    <x:row r="102">
      <x:c r="B102" s="21" t="str">
        <x:v>BL-00096</x:v>
      </x:c>
      <x:c r="C102" s="21" t="str">
        <x:v>F04-I2</x:v>
      </x:c>
      <x:c r="D102" s="21" t="str">
        <x:v>F04</x:v>
      </x:c>
      <x:c r="E102" s="21" t="str">
        <x:v>B4</x:v>
      </x:c>
      <x:c r="F102" s="21" t="str">
        <x:v>Trial</x:v>
      </x:c>
      <x:c r="G102" s="21" t="str">
        <x:v>0.0.0</x:v>
      </x:c>
      <x:c r="H102" s="21" t="str">
        <x:v>Independent Evidence and Data Authority</x:v>
      </x:c>
      <x:c r="I102" s="21" t="str">
        <x:v>OPEN</x:v>
      </x:c>
      <x:c r="J102" s="21" t="str">
        <x:v>HOLD</x:v>
      </x:c>
      <x:c r="K102" s="23" t="str">
        <x:v>what configuration method and damage world produced evidence must be accepted before downstream release</x:v>
      </x:c>
    </x:row>
    <x:row r="103">
      <x:c r="B103" s="21" t="str">
        <x:v>BL-00097</x:v>
      </x:c>
      <x:c r="C103" s="21" t="str">
        <x:v>F04-I2</x:v>
      </x:c>
      <x:c r="D103" s="21" t="str">
        <x:v>F04</x:v>
      </x:c>
      <x:c r="E103" s="21" t="str">
        <x:v>B5</x:v>
      </x:c>
      <x:c r="F103" s="21" t="str">
        <x:v>Production</x:v>
      </x:c>
      <x:c r="G103" s="21" t="str">
        <x:v>0.0.0</x:v>
      </x:c>
      <x:c r="H103" s="21" t="str">
        <x:v>Independent Evidence and Data Authority</x:v>
      </x:c>
      <x:c r="I103" s="21" t="str">
        <x:v>OPEN</x:v>
      </x:c>
      <x:c r="J103" s="21" t="str">
        <x:v>HOLD</x:v>
      </x:c>
      <x:c r="K103" s="23" t="str">
        <x:v>what process configuration and acceptance define serial output must be accepted before downstream release</x:v>
      </x:c>
    </x:row>
    <x:row r="104">
      <x:c r="B104" s="21" t="str">
        <x:v>BL-00098</x:v>
      </x:c>
      <x:c r="C104" s="21" t="str">
        <x:v>F04-I2</x:v>
      </x:c>
      <x:c r="D104" s="21" t="str">
        <x:v>F04</x:v>
      </x:c>
      <x:c r="E104" s="21" t="str">
        <x:v>B6</x:v>
      </x:c>
      <x:c r="F104" s="21" t="str">
        <x:v>Mobilization</x:v>
      </x:c>
      <x:c r="G104" s="21" t="str">
        <x:v>0.0.0</x:v>
      </x:c>
      <x:c r="H104" s="21" t="str">
        <x:v>Independent Evidence and Data Authority</x:v>
      </x:c>
      <x:c r="I104" s="21" t="str">
        <x:v>OPEN</x:v>
      </x:c>
      <x:c r="J104" s="21" t="str">
        <x:v>HOLD</x:v>
      </x:c>
      <x:c r="K104" s="23" t="str">
        <x:v>what people tools suppliers and routes reproduce conforming service must be accepted before downstream release</x:v>
      </x:c>
    </x:row>
    <x:row r="105">
      <x:c r="B105" s="21" t="str">
        <x:v>BL-00099</x:v>
      </x:c>
      <x:c r="C105" s="21" t="str">
        <x:v>F04-I3</x:v>
      </x:c>
      <x:c r="D105" s="21" t="str">
        <x:v>F04</x:v>
      </x:c>
      <x:c r="E105" s="21" t="str">
        <x:v>B0</x:v>
      </x:c>
      <x:c r="F105" s="21" t="str">
        <x:v>Effect</x:v>
      </x:c>
      <x:c r="G105" s="21" t="str">
        <x:v>0.0.0</x:v>
      </x:c>
      <x:c r="H105" s="21" t="str">
        <x:v>Independent Evidence and Data Authority</x:v>
      </x:c>
      <x:c r="I105" s="21" t="str">
        <x:v>OPEN</x:v>
      </x:c>
      <x:c r="J105" s="21" t="str">
        <x:v>HOLD</x:v>
      </x:c>
      <x:c r="K105" s="23" t="str">
        <x:v>what public condition must exist must be accepted before downstream release</x:v>
      </x:c>
    </x:row>
    <x:row r="106">
      <x:c r="B106" s="21" t="str">
        <x:v>BL-00100</x:v>
      </x:c>
      <x:c r="C106" s="21" t="str">
        <x:v>F04-I3</x:v>
      </x:c>
      <x:c r="D106" s="21" t="str">
        <x:v>F04</x:v>
      </x:c>
      <x:c r="E106" s="21" t="str">
        <x:v>B1</x:v>
      </x:c>
      <x:c r="F106" s="21" t="str">
        <x:v>Requirements</x:v>
      </x:c>
      <x:c r="G106" s="21" t="str">
        <x:v>0.0.0</x:v>
      </x:c>
      <x:c r="H106" s="21" t="str">
        <x:v>Independent Evidence and Data Authority</x:v>
      </x:c>
      <x:c r="I106" s="21" t="str">
        <x:v>OPEN</x:v>
      </x:c>
      <x:c r="J106" s="21" t="str">
        <x:v>HOLD</x:v>
      </x:c>
      <x:c r="K106" s="23" t="str">
        <x:v>what burdens and invalid states bound the effect must be accepted before downstream release</x:v>
      </x:c>
    </x:row>
    <x:row r="107">
      <x:c r="B107" s="21" t="str">
        <x:v>BL-00101</x:v>
      </x:c>
      <x:c r="C107" s="21" t="str">
        <x:v>F04-I3</x:v>
      </x:c>
      <x:c r="D107" s="21" t="str">
        <x:v>F04</x:v>
      </x:c>
      <x:c r="E107" s="21" t="str">
        <x:v>B2</x:v>
      </x:c>
      <x:c r="F107" s="21" t="str">
        <x:v>Architecture</x:v>
      </x:c>
      <x:c r="G107" s="21" t="str">
        <x:v>0.0.0</x:v>
      </x:c>
      <x:c r="H107" s="21" t="str">
        <x:v>Independent Evidence and Data Authority</x:v>
      </x:c>
      <x:c r="I107" s="21" t="str">
        <x:v>OPEN</x:v>
      </x:c>
      <x:c r="J107" s="21" t="str">
        <x:v>HOLD</x:v>
      </x:c>
      <x:c r="K107" s="23" t="str">
        <x:v>what interfaces and budgets govern the system must be accepted before downstream release</x:v>
      </x:c>
    </x:row>
    <x:row r="108">
      <x:c r="B108" s="21" t="str">
        <x:v>BL-00102</x:v>
      </x:c>
      <x:c r="C108" s="21" t="str">
        <x:v>F04-I3</x:v>
      </x:c>
      <x:c r="D108" s="21" t="str">
        <x:v>F04</x:v>
      </x:c>
      <x:c r="E108" s="21" t="str">
        <x:v>B3</x:v>
      </x:c>
      <x:c r="F108" s="21" t="str">
        <x:v>Build</x:v>
      </x:c>
      <x:c r="G108" s="21" t="str">
        <x:v>0.0.0</x:v>
      </x:c>
      <x:c r="H108" s="21" t="str">
        <x:v>Independent Evidence and Data Authority</x:v>
      </x:c>
      <x:c r="I108" s="21" t="str">
        <x:v>OPEN</x:v>
      </x:c>
      <x:c r="J108" s="21" t="str">
        <x:v>HOLD</x:v>
      </x:c>
      <x:c r="K108" s="23" t="str">
        <x:v>what exact configuration produced the article must be accepted before downstream release</x:v>
      </x:c>
    </x:row>
    <x:row r="109">
      <x:c r="B109" s="21" t="str">
        <x:v>BL-00103</x:v>
      </x:c>
      <x:c r="C109" s="21" t="str">
        <x:v>F04-I3</x:v>
      </x:c>
      <x:c r="D109" s="21" t="str">
        <x:v>F04</x:v>
      </x:c>
      <x:c r="E109" s="21" t="str">
        <x:v>B4</x:v>
      </x:c>
      <x:c r="F109" s="21" t="str">
        <x:v>Trial</x:v>
      </x:c>
      <x:c r="G109" s="21" t="str">
        <x:v>0.0.0</x:v>
      </x:c>
      <x:c r="H109" s="21" t="str">
        <x:v>Independent Evidence and Data Authority</x:v>
      </x:c>
      <x:c r="I109" s="21" t="str">
        <x:v>OPEN</x:v>
      </x:c>
      <x:c r="J109" s="21" t="str">
        <x:v>HOLD</x:v>
      </x:c>
      <x:c r="K109" s="23" t="str">
        <x:v>what configuration method and damage world produced evidence must be accepted before downstream release</x:v>
      </x:c>
    </x:row>
    <x:row r="110">
      <x:c r="B110" s="21" t="str">
        <x:v>BL-00104</x:v>
      </x:c>
      <x:c r="C110" s="21" t="str">
        <x:v>F04-I3</x:v>
      </x:c>
      <x:c r="D110" s="21" t="str">
        <x:v>F04</x:v>
      </x:c>
      <x:c r="E110" s="21" t="str">
        <x:v>B5</x:v>
      </x:c>
      <x:c r="F110" s="21" t="str">
        <x:v>Production</x:v>
      </x:c>
      <x:c r="G110" s="21" t="str">
        <x:v>0.0.0</x:v>
      </x:c>
      <x:c r="H110" s="21" t="str">
        <x:v>Independent Evidence and Data Authority</x:v>
      </x:c>
      <x:c r="I110" s="21" t="str">
        <x:v>OPEN</x:v>
      </x:c>
      <x:c r="J110" s="21" t="str">
        <x:v>HOLD</x:v>
      </x:c>
      <x:c r="K110" s="23" t="str">
        <x:v>what process configuration and acceptance define serial output must be accepted before downstream release</x:v>
      </x:c>
    </x:row>
    <x:row r="111">
      <x:c r="B111" s="21" t="str">
        <x:v>BL-00105</x:v>
      </x:c>
      <x:c r="C111" s="21" t="str">
        <x:v>F04-I3</x:v>
      </x:c>
      <x:c r="D111" s="21" t="str">
        <x:v>F04</x:v>
      </x:c>
      <x:c r="E111" s="21" t="str">
        <x:v>B6</x:v>
      </x:c>
      <x:c r="F111" s="21" t="str">
        <x:v>Mobilization</x:v>
      </x:c>
      <x:c r="G111" s="21" t="str">
        <x:v>0.0.0</x:v>
      </x:c>
      <x:c r="H111" s="21" t="str">
        <x:v>Independent Evidence and Data Authority</x:v>
      </x:c>
      <x:c r="I111" s="21" t="str">
        <x:v>OPEN</x:v>
      </x:c>
      <x:c r="J111" s="21" t="str">
        <x:v>HOLD</x:v>
      </x:c>
      <x:c r="K111" s="23" t="str">
        <x:v>what people tools suppliers and routes reproduce conforming service must be accepted before downstream release</x:v>
      </x:c>
    </x:row>
    <x:row r="112">
      <x:c r="B112" s="21" t="str">
        <x:v>BL-00106</x:v>
      </x:c>
      <x:c r="C112" s="21" t="str">
        <x:v>F04-I4</x:v>
      </x:c>
      <x:c r="D112" s="21" t="str">
        <x:v>F04</x:v>
      </x:c>
      <x:c r="E112" s="21" t="str">
        <x:v>B0</x:v>
      </x:c>
      <x:c r="F112" s="21" t="str">
        <x:v>Effect</x:v>
      </x:c>
      <x:c r="G112" s="21" t="str">
        <x:v>0.0.0</x:v>
      </x:c>
      <x:c r="H112" s="21" t="str">
        <x:v>Independent Evidence and Data Authority</x:v>
      </x:c>
      <x:c r="I112" s="21" t="str">
        <x:v>OPEN</x:v>
      </x:c>
      <x:c r="J112" s="21" t="str">
        <x:v>HOLD</x:v>
      </x:c>
      <x:c r="K112" s="23" t="str">
        <x:v>what public condition must exist must be accepted before downstream release</x:v>
      </x:c>
    </x:row>
    <x:row r="113">
      <x:c r="B113" s="21" t="str">
        <x:v>BL-00107</x:v>
      </x:c>
      <x:c r="C113" s="21" t="str">
        <x:v>F04-I4</x:v>
      </x:c>
      <x:c r="D113" s="21" t="str">
        <x:v>F04</x:v>
      </x:c>
      <x:c r="E113" s="21" t="str">
        <x:v>B1</x:v>
      </x:c>
      <x:c r="F113" s="21" t="str">
        <x:v>Requirements</x:v>
      </x:c>
      <x:c r="G113" s="21" t="str">
        <x:v>0.0.0</x:v>
      </x:c>
      <x:c r="H113" s="21" t="str">
        <x:v>Independent Evidence and Data Authority</x:v>
      </x:c>
      <x:c r="I113" s="21" t="str">
        <x:v>OPEN</x:v>
      </x:c>
      <x:c r="J113" s="21" t="str">
        <x:v>HOLD</x:v>
      </x:c>
      <x:c r="K113" s="23" t="str">
        <x:v>what burdens and invalid states bound the effect must be accepted before downstream release</x:v>
      </x:c>
    </x:row>
    <x:row r="114">
      <x:c r="B114" s="21" t="str">
        <x:v>BL-00108</x:v>
      </x:c>
      <x:c r="C114" s="21" t="str">
        <x:v>F04-I4</x:v>
      </x:c>
      <x:c r="D114" s="21" t="str">
        <x:v>F04</x:v>
      </x:c>
      <x:c r="E114" s="21" t="str">
        <x:v>B2</x:v>
      </x:c>
      <x:c r="F114" s="21" t="str">
        <x:v>Architecture</x:v>
      </x:c>
      <x:c r="G114" s="21" t="str">
        <x:v>0.0.0</x:v>
      </x:c>
      <x:c r="H114" s="21" t="str">
        <x:v>Independent Evidence and Data Authority</x:v>
      </x:c>
      <x:c r="I114" s="21" t="str">
        <x:v>OPEN</x:v>
      </x:c>
      <x:c r="J114" s="21" t="str">
        <x:v>HOLD</x:v>
      </x:c>
      <x:c r="K114" s="23" t="str">
        <x:v>what interfaces and budgets govern the system must be accepted before downstream release</x:v>
      </x:c>
    </x:row>
    <x:row r="115">
      <x:c r="B115" s="21" t="str">
        <x:v>BL-00109</x:v>
      </x:c>
      <x:c r="C115" s="21" t="str">
        <x:v>F04-I4</x:v>
      </x:c>
      <x:c r="D115" s="21" t="str">
        <x:v>F04</x:v>
      </x:c>
      <x:c r="E115" s="21" t="str">
        <x:v>B3</x:v>
      </x:c>
      <x:c r="F115" s="21" t="str">
        <x:v>Build</x:v>
      </x:c>
      <x:c r="G115" s="21" t="str">
        <x:v>0.0.0</x:v>
      </x:c>
      <x:c r="H115" s="21" t="str">
        <x:v>Independent Evidence and Data Authority</x:v>
      </x:c>
      <x:c r="I115" s="21" t="str">
        <x:v>OPEN</x:v>
      </x:c>
      <x:c r="J115" s="21" t="str">
        <x:v>HOLD</x:v>
      </x:c>
      <x:c r="K115" s="23" t="str">
        <x:v>what exact configuration produced the article must be accepted before downstream release</x:v>
      </x:c>
    </x:row>
    <x:row r="116">
      <x:c r="B116" s="21" t="str">
        <x:v>BL-00110</x:v>
      </x:c>
      <x:c r="C116" s="21" t="str">
        <x:v>F04-I4</x:v>
      </x:c>
      <x:c r="D116" s="21" t="str">
        <x:v>F04</x:v>
      </x:c>
      <x:c r="E116" s="21" t="str">
        <x:v>B4</x:v>
      </x:c>
      <x:c r="F116" s="21" t="str">
        <x:v>Trial</x:v>
      </x:c>
      <x:c r="G116" s="21" t="str">
        <x:v>0.0.0</x:v>
      </x:c>
      <x:c r="H116" s="21" t="str">
        <x:v>Independent Evidence and Data Authority</x:v>
      </x:c>
      <x:c r="I116" s="21" t="str">
        <x:v>OPEN</x:v>
      </x:c>
      <x:c r="J116" s="21" t="str">
        <x:v>HOLD</x:v>
      </x:c>
      <x:c r="K116" s="23" t="str">
        <x:v>what configuration method and damage world produced evidence must be accepted before downstream release</x:v>
      </x:c>
    </x:row>
    <x:row r="117">
      <x:c r="B117" s="21" t="str">
        <x:v>BL-00111</x:v>
      </x:c>
      <x:c r="C117" s="21" t="str">
        <x:v>F04-I4</x:v>
      </x:c>
      <x:c r="D117" s="21" t="str">
        <x:v>F04</x:v>
      </x:c>
      <x:c r="E117" s="21" t="str">
        <x:v>B5</x:v>
      </x:c>
      <x:c r="F117" s="21" t="str">
        <x:v>Production</x:v>
      </x:c>
      <x:c r="G117" s="21" t="str">
        <x:v>0.0.0</x:v>
      </x:c>
      <x:c r="H117" s="21" t="str">
        <x:v>Independent Evidence and Data Authority</x:v>
      </x:c>
      <x:c r="I117" s="21" t="str">
        <x:v>OPEN</x:v>
      </x:c>
      <x:c r="J117" s="21" t="str">
        <x:v>HOLD</x:v>
      </x:c>
      <x:c r="K117" s="23" t="str">
        <x:v>what process configuration and acceptance define serial output must be accepted before downstream release</x:v>
      </x:c>
    </x:row>
    <x:row r="118">
      <x:c r="B118" s="21" t="str">
        <x:v>BL-00112</x:v>
      </x:c>
      <x:c r="C118" s="21" t="str">
        <x:v>F04-I4</x:v>
      </x:c>
      <x:c r="D118" s="21" t="str">
        <x:v>F04</x:v>
      </x:c>
      <x:c r="E118" s="21" t="str">
        <x:v>B6</x:v>
      </x:c>
      <x:c r="F118" s="21" t="str">
        <x:v>Mobilization</x:v>
      </x:c>
      <x:c r="G118" s="21" t="str">
        <x:v>0.0.0</x:v>
      </x:c>
      <x:c r="H118" s="21" t="str">
        <x:v>Independent Evidence and Data Authority</x:v>
      </x:c>
      <x:c r="I118" s="21" t="str">
        <x:v>OPEN</x:v>
      </x:c>
      <x:c r="J118" s="21" t="str">
        <x:v>HOLD</x:v>
      </x:c>
      <x:c r="K118" s="23" t="str">
        <x:v>what people tools suppliers and routes reproduce conforming service must be accepted before downstream release</x:v>
      </x:c>
    </x:row>
    <x:row r="119">
      <x:c r="B119" s="21" t="str">
        <x:v>BL-00113</x:v>
      </x:c>
      <x:c r="C119" s="21" t="str">
        <x:v>F05-I1</x:v>
      </x:c>
      <x:c r="D119" s="21" t="str">
        <x:v>F05</x:v>
      </x:c>
      <x:c r="E119" s="21" t="str">
        <x:v>B0</x:v>
      </x:c>
      <x:c r="F119" s="21" t="str">
        <x:v>Effect</x:v>
      </x:c>
      <x:c r="G119" s="21" t="str">
        <x:v>0.0.0</x:v>
      </x:c>
      <x:c r="H119" s="21" t="str">
        <x:v>Independent Evidence and Data Authority</x:v>
      </x:c>
      <x:c r="I119" s="21" t="str">
        <x:v>OPEN</x:v>
      </x:c>
      <x:c r="J119" s="21" t="str">
        <x:v>HOLD</x:v>
      </x:c>
      <x:c r="K119" s="23" t="str">
        <x:v>what public condition must exist must be accepted before downstream release</x:v>
      </x:c>
    </x:row>
    <x:row r="120">
      <x:c r="B120" s="21" t="str">
        <x:v>BL-00114</x:v>
      </x:c>
      <x:c r="C120" s="21" t="str">
        <x:v>F05-I1</x:v>
      </x:c>
      <x:c r="D120" s="21" t="str">
        <x:v>F05</x:v>
      </x:c>
      <x:c r="E120" s="21" t="str">
        <x:v>B1</x:v>
      </x:c>
      <x:c r="F120" s="21" t="str">
        <x:v>Requirements</x:v>
      </x:c>
      <x:c r="G120" s="21" t="str">
        <x:v>0.0.0</x:v>
      </x:c>
      <x:c r="H120" s="21" t="str">
        <x:v>Independent Evidence and Data Authority</x:v>
      </x:c>
      <x:c r="I120" s="21" t="str">
        <x:v>OPEN</x:v>
      </x:c>
      <x:c r="J120" s="21" t="str">
        <x:v>HOLD</x:v>
      </x:c>
      <x:c r="K120" s="23" t="str">
        <x:v>what burdens and invalid states bound the effect must be accepted before downstream release</x:v>
      </x:c>
    </x:row>
    <x:row r="121">
      <x:c r="B121" s="21" t="str">
        <x:v>BL-00115</x:v>
      </x:c>
      <x:c r="C121" s="21" t="str">
        <x:v>F05-I1</x:v>
      </x:c>
      <x:c r="D121" s="21" t="str">
        <x:v>F05</x:v>
      </x:c>
      <x:c r="E121" s="21" t="str">
        <x:v>B2</x:v>
      </x:c>
      <x:c r="F121" s="21" t="str">
        <x:v>Architecture</x:v>
      </x:c>
      <x:c r="G121" s="21" t="str">
        <x:v>0.0.0</x:v>
      </x:c>
      <x:c r="H121" s="21" t="str">
        <x:v>Independent Evidence and Data Authority</x:v>
      </x:c>
      <x:c r="I121" s="21" t="str">
        <x:v>OPEN</x:v>
      </x:c>
      <x:c r="J121" s="21" t="str">
        <x:v>HOLD</x:v>
      </x:c>
      <x:c r="K121" s="23" t="str">
        <x:v>what interfaces and budgets govern the system must be accepted before downstream release</x:v>
      </x:c>
    </x:row>
    <x:row r="122">
      <x:c r="B122" s="21" t="str">
        <x:v>BL-00116</x:v>
      </x:c>
      <x:c r="C122" s="21" t="str">
        <x:v>F05-I1</x:v>
      </x:c>
      <x:c r="D122" s="21" t="str">
        <x:v>F05</x:v>
      </x:c>
      <x:c r="E122" s="21" t="str">
        <x:v>B3</x:v>
      </x:c>
      <x:c r="F122" s="21" t="str">
        <x:v>Build</x:v>
      </x:c>
      <x:c r="G122" s="21" t="str">
        <x:v>0.0.0</x:v>
      </x:c>
      <x:c r="H122" s="21" t="str">
        <x:v>Independent Evidence and Data Authority</x:v>
      </x:c>
      <x:c r="I122" s="21" t="str">
        <x:v>OPEN</x:v>
      </x:c>
      <x:c r="J122" s="21" t="str">
        <x:v>HOLD</x:v>
      </x:c>
      <x:c r="K122" s="23" t="str">
        <x:v>what exact configuration produced the article must be accepted before downstream release</x:v>
      </x:c>
    </x:row>
    <x:row r="123">
      <x:c r="B123" s="21" t="str">
        <x:v>BL-00117</x:v>
      </x:c>
      <x:c r="C123" s="21" t="str">
        <x:v>F05-I1</x:v>
      </x:c>
      <x:c r="D123" s="21" t="str">
        <x:v>F05</x:v>
      </x:c>
      <x:c r="E123" s="21" t="str">
        <x:v>B4</x:v>
      </x:c>
      <x:c r="F123" s="21" t="str">
        <x:v>Trial</x:v>
      </x:c>
      <x:c r="G123" s="21" t="str">
        <x:v>0.0.0</x:v>
      </x:c>
      <x:c r="H123" s="21" t="str">
        <x:v>Independent Evidence and Data Authority</x:v>
      </x:c>
      <x:c r="I123" s="21" t="str">
        <x:v>OPEN</x:v>
      </x:c>
      <x:c r="J123" s="21" t="str">
        <x:v>HOLD</x:v>
      </x:c>
      <x:c r="K123" s="23" t="str">
        <x:v>what configuration method and damage world produced evidence must be accepted before downstream release</x:v>
      </x:c>
    </x:row>
    <x:row r="124">
      <x:c r="B124" s="21" t="str">
        <x:v>BL-00118</x:v>
      </x:c>
      <x:c r="C124" s="21" t="str">
        <x:v>F05-I1</x:v>
      </x:c>
      <x:c r="D124" s="21" t="str">
        <x:v>F05</x:v>
      </x:c>
      <x:c r="E124" s="21" t="str">
        <x:v>B5</x:v>
      </x:c>
      <x:c r="F124" s="21" t="str">
        <x:v>Production</x:v>
      </x:c>
      <x:c r="G124" s="21" t="str">
        <x:v>0.0.0</x:v>
      </x:c>
      <x:c r="H124" s="21" t="str">
        <x:v>Independent Evidence and Data Authority</x:v>
      </x:c>
      <x:c r="I124" s="21" t="str">
        <x:v>OPEN</x:v>
      </x:c>
      <x:c r="J124" s="21" t="str">
        <x:v>HOLD</x:v>
      </x:c>
      <x:c r="K124" s="23" t="str">
        <x:v>what process configuration and acceptance define serial output must be accepted before downstream release</x:v>
      </x:c>
    </x:row>
    <x:row r="125">
      <x:c r="B125" s="21" t="str">
        <x:v>BL-00119</x:v>
      </x:c>
      <x:c r="C125" s="21" t="str">
        <x:v>F05-I1</x:v>
      </x:c>
      <x:c r="D125" s="21" t="str">
        <x:v>F05</x:v>
      </x:c>
      <x:c r="E125" s="21" t="str">
        <x:v>B6</x:v>
      </x:c>
      <x:c r="F125" s="21" t="str">
        <x:v>Mobilization</x:v>
      </x:c>
      <x:c r="G125" s="21" t="str">
        <x:v>0.0.0</x:v>
      </x:c>
      <x:c r="H125" s="21" t="str">
        <x:v>Independent Evidence and Data Authority</x:v>
      </x:c>
      <x:c r="I125" s="21" t="str">
        <x:v>OPEN</x:v>
      </x:c>
      <x:c r="J125" s="21" t="str">
        <x:v>HOLD</x:v>
      </x:c>
      <x:c r="K125" s="23" t="str">
        <x:v>what people tools suppliers and routes reproduce conforming service must be accepted before downstream release</x:v>
      </x:c>
    </x:row>
    <x:row r="126">
      <x:c r="B126" s="21" t="str">
        <x:v>BL-00120</x:v>
      </x:c>
      <x:c r="C126" s="21" t="str">
        <x:v>F05-I2</x:v>
      </x:c>
      <x:c r="D126" s="21" t="str">
        <x:v>F05</x:v>
      </x:c>
      <x:c r="E126" s="21" t="str">
        <x:v>B0</x:v>
      </x:c>
      <x:c r="F126" s="21" t="str">
        <x:v>Effect</x:v>
      </x:c>
      <x:c r="G126" s="21" t="str">
        <x:v>0.0.0</x:v>
      </x:c>
      <x:c r="H126" s="21" t="str">
        <x:v>Independent Evidence and Data Authority</x:v>
      </x:c>
      <x:c r="I126" s="21" t="str">
        <x:v>OPEN</x:v>
      </x:c>
      <x:c r="J126" s="21" t="str">
        <x:v>HOLD</x:v>
      </x:c>
      <x:c r="K126" s="23" t="str">
        <x:v>what public condition must exist must be accepted before downstream release</x:v>
      </x:c>
    </x:row>
    <x:row r="127">
      <x:c r="B127" s="21" t="str">
        <x:v>BL-00121</x:v>
      </x:c>
      <x:c r="C127" s="21" t="str">
        <x:v>F05-I2</x:v>
      </x:c>
      <x:c r="D127" s="21" t="str">
        <x:v>F05</x:v>
      </x:c>
      <x:c r="E127" s="21" t="str">
        <x:v>B1</x:v>
      </x:c>
      <x:c r="F127" s="21" t="str">
        <x:v>Requirements</x:v>
      </x:c>
      <x:c r="G127" s="21" t="str">
        <x:v>0.0.0</x:v>
      </x:c>
      <x:c r="H127" s="21" t="str">
        <x:v>Independent Evidence and Data Authority</x:v>
      </x:c>
      <x:c r="I127" s="21" t="str">
        <x:v>OPEN</x:v>
      </x:c>
      <x:c r="J127" s="21" t="str">
        <x:v>HOLD</x:v>
      </x:c>
      <x:c r="K127" s="23" t="str">
        <x:v>what burdens and invalid states bound the effect must be accepted before downstream release</x:v>
      </x:c>
    </x:row>
    <x:row r="128">
      <x:c r="B128" s="21" t="str">
        <x:v>BL-00122</x:v>
      </x:c>
      <x:c r="C128" s="21" t="str">
        <x:v>F05-I2</x:v>
      </x:c>
      <x:c r="D128" s="21" t="str">
        <x:v>F05</x:v>
      </x:c>
      <x:c r="E128" s="21" t="str">
        <x:v>B2</x:v>
      </x:c>
      <x:c r="F128" s="21" t="str">
        <x:v>Architecture</x:v>
      </x:c>
      <x:c r="G128" s="21" t="str">
        <x:v>0.0.0</x:v>
      </x:c>
      <x:c r="H128" s="21" t="str">
        <x:v>Independent Evidence and Data Authority</x:v>
      </x:c>
      <x:c r="I128" s="21" t="str">
        <x:v>OPEN</x:v>
      </x:c>
      <x:c r="J128" s="21" t="str">
        <x:v>HOLD</x:v>
      </x:c>
      <x:c r="K128" s="23" t="str">
        <x:v>what interfaces and budgets govern the system must be accepted before downstream release</x:v>
      </x:c>
    </x:row>
    <x:row r="129">
      <x:c r="B129" s="21" t="str">
        <x:v>BL-00123</x:v>
      </x:c>
      <x:c r="C129" s="21" t="str">
        <x:v>F05-I2</x:v>
      </x:c>
      <x:c r="D129" s="21" t="str">
        <x:v>F05</x:v>
      </x:c>
      <x:c r="E129" s="21" t="str">
        <x:v>B3</x:v>
      </x:c>
      <x:c r="F129" s="21" t="str">
        <x:v>Build</x:v>
      </x:c>
      <x:c r="G129" s="21" t="str">
        <x:v>0.0.0</x:v>
      </x:c>
      <x:c r="H129" s="21" t="str">
        <x:v>Independent Evidence and Data Authority</x:v>
      </x:c>
      <x:c r="I129" s="21" t="str">
        <x:v>OPEN</x:v>
      </x:c>
      <x:c r="J129" s="21" t="str">
        <x:v>HOLD</x:v>
      </x:c>
      <x:c r="K129" s="23" t="str">
        <x:v>what exact configuration produced the article must be accepted before downstream release</x:v>
      </x:c>
    </x:row>
    <x:row r="130">
      <x:c r="B130" s="21" t="str">
        <x:v>BL-00124</x:v>
      </x:c>
      <x:c r="C130" s="21" t="str">
        <x:v>F05-I2</x:v>
      </x:c>
      <x:c r="D130" s="21" t="str">
        <x:v>F05</x:v>
      </x:c>
      <x:c r="E130" s="21" t="str">
        <x:v>B4</x:v>
      </x:c>
      <x:c r="F130" s="21" t="str">
        <x:v>Trial</x:v>
      </x:c>
      <x:c r="G130" s="21" t="str">
        <x:v>0.0.0</x:v>
      </x:c>
      <x:c r="H130" s="21" t="str">
        <x:v>Independent Evidence and Data Authority</x:v>
      </x:c>
      <x:c r="I130" s="21" t="str">
        <x:v>OPEN</x:v>
      </x:c>
      <x:c r="J130" s="21" t="str">
        <x:v>HOLD</x:v>
      </x:c>
      <x:c r="K130" s="23" t="str">
        <x:v>what configuration method and damage world produced evidence must be accepted before downstream release</x:v>
      </x:c>
    </x:row>
    <x:row r="131">
      <x:c r="B131" s="21" t="str">
        <x:v>BL-00125</x:v>
      </x:c>
      <x:c r="C131" s="21" t="str">
        <x:v>F05-I2</x:v>
      </x:c>
      <x:c r="D131" s="21" t="str">
        <x:v>F05</x:v>
      </x:c>
      <x:c r="E131" s="21" t="str">
        <x:v>B5</x:v>
      </x:c>
      <x:c r="F131" s="21" t="str">
        <x:v>Production</x:v>
      </x:c>
      <x:c r="G131" s="21" t="str">
        <x:v>0.0.0</x:v>
      </x:c>
      <x:c r="H131" s="21" t="str">
        <x:v>Independent Evidence and Data Authority</x:v>
      </x:c>
      <x:c r="I131" s="21" t="str">
        <x:v>OPEN</x:v>
      </x:c>
      <x:c r="J131" s="21" t="str">
        <x:v>HOLD</x:v>
      </x:c>
      <x:c r="K131" s="23" t="str">
        <x:v>what process configuration and acceptance define serial output must be accepted before downstream release</x:v>
      </x:c>
    </x:row>
    <x:row r="132">
      <x:c r="B132" s="21" t="str">
        <x:v>BL-00126</x:v>
      </x:c>
      <x:c r="C132" s="21" t="str">
        <x:v>F05-I2</x:v>
      </x:c>
      <x:c r="D132" s="21" t="str">
        <x:v>F05</x:v>
      </x:c>
      <x:c r="E132" s="21" t="str">
        <x:v>B6</x:v>
      </x:c>
      <x:c r="F132" s="21" t="str">
        <x:v>Mobilization</x:v>
      </x:c>
      <x:c r="G132" s="21" t="str">
        <x:v>0.0.0</x:v>
      </x:c>
      <x:c r="H132" s="21" t="str">
        <x:v>Independent Evidence and Data Authority</x:v>
      </x:c>
      <x:c r="I132" s="21" t="str">
        <x:v>OPEN</x:v>
      </x:c>
      <x:c r="J132" s="21" t="str">
        <x:v>HOLD</x:v>
      </x:c>
      <x:c r="K132" s="23" t="str">
        <x:v>what people tools suppliers and routes reproduce conforming service must be accepted before downstream release</x:v>
      </x:c>
    </x:row>
    <x:row r="133">
      <x:c r="B133" s="21" t="str">
        <x:v>BL-00127</x:v>
      </x:c>
      <x:c r="C133" s="21" t="str">
        <x:v>F05-I3</x:v>
      </x:c>
      <x:c r="D133" s="21" t="str">
        <x:v>F05</x:v>
      </x:c>
      <x:c r="E133" s="21" t="str">
        <x:v>B0</x:v>
      </x:c>
      <x:c r="F133" s="21" t="str">
        <x:v>Effect</x:v>
      </x:c>
      <x:c r="G133" s="21" t="str">
        <x:v>0.0.0</x:v>
      </x:c>
      <x:c r="H133" s="21" t="str">
        <x:v>Independent Evidence and Data Authority</x:v>
      </x:c>
      <x:c r="I133" s="21" t="str">
        <x:v>OPEN</x:v>
      </x:c>
      <x:c r="J133" s="21" t="str">
        <x:v>HOLD</x:v>
      </x:c>
      <x:c r="K133" s="23" t="str">
        <x:v>what public condition must exist must be accepted before downstream release</x:v>
      </x:c>
    </x:row>
    <x:row r="134">
      <x:c r="B134" s="21" t="str">
        <x:v>BL-00128</x:v>
      </x:c>
      <x:c r="C134" s="21" t="str">
        <x:v>F05-I3</x:v>
      </x:c>
      <x:c r="D134" s="21" t="str">
        <x:v>F05</x:v>
      </x:c>
      <x:c r="E134" s="21" t="str">
        <x:v>B1</x:v>
      </x:c>
      <x:c r="F134" s="21" t="str">
        <x:v>Requirements</x:v>
      </x:c>
      <x:c r="G134" s="21" t="str">
        <x:v>0.0.0</x:v>
      </x:c>
      <x:c r="H134" s="21" t="str">
        <x:v>Independent Evidence and Data Authority</x:v>
      </x:c>
      <x:c r="I134" s="21" t="str">
        <x:v>OPEN</x:v>
      </x:c>
      <x:c r="J134" s="21" t="str">
        <x:v>HOLD</x:v>
      </x:c>
      <x:c r="K134" s="23" t="str">
        <x:v>what burdens and invalid states bound the effect must be accepted before downstream release</x:v>
      </x:c>
    </x:row>
    <x:row r="135">
      <x:c r="B135" s="21" t="str">
        <x:v>BL-00129</x:v>
      </x:c>
      <x:c r="C135" s="21" t="str">
        <x:v>F05-I3</x:v>
      </x:c>
      <x:c r="D135" s="21" t="str">
        <x:v>F05</x:v>
      </x:c>
      <x:c r="E135" s="21" t="str">
        <x:v>B2</x:v>
      </x:c>
      <x:c r="F135" s="21" t="str">
        <x:v>Architecture</x:v>
      </x:c>
      <x:c r="G135" s="21" t="str">
        <x:v>0.0.0</x:v>
      </x:c>
      <x:c r="H135" s="21" t="str">
        <x:v>Independent Evidence and Data Authority</x:v>
      </x:c>
      <x:c r="I135" s="21" t="str">
        <x:v>OPEN</x:v>
      </x:c>
      <x:c r="J135" s="21" t="str">
        <x:v>HOLD</x:v>
      </x:c>
      <x:c r="K135" s="23" t="str">
        <x:v>what interfaces and budgets govern the system must be accepted before downstream release</x:v>
      </x:c>
    </x:row>
    <x:row r="136">
      <x:c r="B136" s="21" t="str">
        <x:v>BL-00130</x:v>
      </x:c>
      <x:c r="C136" s="21" t="str">
        <x:v>F05-I3</x:v>
      </x:c>
      <x:c r="D136" s="21" t="str">
        <x:v>F05</x:v>
      </x:c>
      <x:c r="E136" s="21" t="str">
        <x:v>B3</x:v>
      </x:c>
      <x:c r="F136" s="21" t="str">
        <x:v>Build</x:v>
      </x:c>
      <x:c r="G136" s="21" t="str">
        <x:v>0.0.0</x:v>
      </x:c>
      <x:c r="H136" s="21" t="str">
        <x:v>Independent Evidence and Data Authority</x:v>
      </x:c>
      <x:c r="I136" s="21" t="str">
        <x:v>OPEN</x:v>
      </x:c>
      <x:c r="J136" s="21" t="str">
        <x:v>HOLD</x:v>
      </x:c>
      <x:c r="K136" s="23" t="str">
        <x:v>what exact configuration produced the article must be accepted before downstream release</x:v>
      </x:c>
    </x:row>
    <x:row r="137">
      <x:c r="B137" s="21" t="str">
        <x:v>BL-00131</x:v>
      </x:c>
      <x:c r="C137" s="21" t="str">
        <x:v>F05-I3</x:v>
      </x:c>
      <x:c r="D137" s="21" t="str">
        <x:v>F05</x:v>
      </x:c>
      <x:c r="E137" s="21" t="str">
        <x:v>B4</x:v>
      </x:c>
      <x:c r="F137" s="21" t="str">
        <x:v>Trial</x:v>
      </x:c>
      <x:c r="G137" s="21" t="str">
        <x:v>0.0.0</x:v>
      </x:c>
      <x:c r="H137" s="21" t="str">
        <x:v>Independent Evidence and Data Authority</x:v>
      </x:c>
      <x:c r="I137" s="21" t="str">
        <x:v>OPEN</x:v>
      </x:c>
      <x:c r="J137" s="21" t="str">
        <x:v>HOLD</x:v>
      </x:c>
      <x:c r="K137" s="23" t="str">
        <x:v>what configuration method and damage world produced evidence must be accepted before downstream release</x:v>
      </x:c>
    </x:row>
    <x:row r="138">
      <x:c r="B138" s="21" t="str">
        <x:v>BL-00132</x:v>
      </x:c>
      <x:c r="C138" s="21" t="str">
        <x:v>F05-I3</x:v>
      </x:c>
      <x:c r="D138" s="21" t="str">
        <x:v>F05</x:v>
      </x:c>
      <x:c r="E138" s="21" t="str">
        <x:v>B5</x:v>
      </x:c>
      <x:c r="F138" s="21" t="str">
        <x:v>Production</x:v>
      </x:c>
      <x:c r="G138" s="21" t="str">
        <x:v>0.0.0</x:v>
      </x:c>
      <x:c r="H138" s="21" t="str">
        <x:v>Independent Evidence and Data Authority</x:v>
      </x:c>
      <x:c r="I138" s="21" t="str">
        <x:v>OPEN</x:v>
      </x:c>
      <x:c r="J138" s="21" t="str">
        <x:v>HOLD</x:v>
      </x:c>
      <x:c r="K138" s="23" t="str">
        <x:v>what process configuration and acceptance define serial output must be accepted before downstream release</x:v>
      </x:c>
    </x:row>
    <x:row r="139">
      <x:c r="B139" s="21" t="str">
        <x:v>BL-00133</x:v>
      </x:c>
      <x:c r="C139" s="21" t="str">
        <x:v>F05-I3</x:v>
      </x:c>
      <x:c r="D139" s="21" t="str">
        <x:v>F05</x:v>
      </x:c>
      <x:c r="E139" s="21" t="str">
        <x:v>B6</x:v>
      </x:c>
      <x:c r="F139" s="21" t="str">
        <x:v>Mobilization</x:v>
      </x:c>
      <x:c r="G139" s="21" t="str">
        <x:v>0.0.0</x:v>
      </x:c>
      <x:c r="H139" s="21" t="str">
        <x:v>Independent Evidence and Data Authority</x:v>
      </x:c>
      <x:c r="I139" s="21" t="str">
        <x:v>OPEN</x:v>
      </x:c>
      <x:c r="J139" s="21" t="str">
        <x:v>HOLD</x:v>
      </x:c>
      <x:c r="K139" s="23" t="str">
        <x:v>what people tools suppliers and routes reproduce conforming service must be accepted before downstream release</x:v>
      </x:c>
    </x:row>
    <x:row r="140">
      <x:c r="B140" s="21" t="str">
        <x:v>BL-00134</x:v>
      </x:c>
      <x:c r="C140" s="21" t="str">
        <x:v>F05-I4</x:v>
      </x:c>
      <x:c r="D140" s="21" t="str">
        <x:v>F05</x:v>
      </x:c>
      <x:c r="E140" s="21" t="str">
        <x:v>B0</x:v>
      </x:c>
      <x:c r="F140" s="21" t="str">
        <x:v>Effect</x:v>
      </x:c>
      <x:c r="G140" s="21" t="str">
        <x:v>0.0.0</x:v>
      </x:c>
      <x:c r="H140" s="21" t="str">
        <x:v>Independent Evidence and Data Authority</x:v>
      </x:c>
      <x:c r="I140" s="21" t="str">
        <x:v>OPEN</x:v>
      </x:c>
      <x:c r="J140" s="21" t="str">
        <x:v>HOLD</x:v>
      </x:c>
      <x:c r="K140" s="23" t="str">
        <x:v>what public condition must exist must be accepted before downstream release</x:v>
      </x:c>
    </x:row>
    <x:row r="141">
      <x:c r="B141" s="21" t="str">
        <x:v>BL-00135</x:v>
      </x:c>
      <x:c r="C141" s="21" t="str">
        <x:v>F05-I4</x:v>
      </x:c>
      <x:c r="D141" s="21" t="str">
        <x:v>F05</x:v>
      </x:c>
      <x:c r="E141" s="21" t="str">
        <x:v>B1</x:v>
      </x:c>
      <x:c r="F141" s="21" t="str">
        <x:v>Requirements</x:v>
      </x:c>
      <x:c r="G141" s="21" t="str">
        <x:v>0.0.0</x:v>
      </x:c>
      <x:c r="H141" s="21" t="str">
        <x:v>Independent Evidence and Data Authority</x:v>
      </x:c>
      <x:c r="I141" s="21" t="str">
        <x:v>OPEN</x:v>
      </x:c>
      <x:c r="J141" s="21" t="str">
        <x:v>HOLD</x:v>
      </x:c>
      <x:c r="K141" s="23" t="str">
        <x:v>what burdens and invalid states bound the effect must be accepted before downstream release</x:v>
      </x:c>
    </x:row>
    <x:row r="142">
      <x:c r="B142" s="21" t="str">
        <x:v>BL-00136</x:v>
      </x:c>
      <x:c r="C142" s="21" t="str">
        <x:v>F05-I4</x:v>
      </x:c>
      <x:c r="D142" s="21" t="str">
        <x:v>F05</x:v>
      </x:c>
      <x:c r="E142" s="21" t="str">
        <x:v>B2</x:v>
      </x:c>
      <x:c r="F142" s="21" t="str">
        <x:v>Architecture</x:v>
      </x:c>
      <x:c r="G142" s="21" t="str">
        <x:v>0.0.0</x:v>
      </x:c>
      <x:c r="H142" s="21" t="str">
        <x:v>Independent Evidence and Data Authority</x:v>
      </x:c>
      <x:c r="I142" s="21" t="str">
        <x:v>OPEN</x:v>
      </x:c>
      <x:c r="J142" s="21" t="str">
        <x:v>HOLD</x:v>
      </x:c>
      <x:c r="K142" s="23" t="str">
        <x:v>what interfaces and budgets govern the system must be accepted before downstream release</x:v>
      </x:c>
    </x:row>
    <x:row r="143">
      <x:c r="B143" s="21" t="str">
        <x:v>BL-00137</x:v>
      </x:c>
      <x:c r="C143" s="21" t="str">
        <x:v>F05-I4</x:v>
      </x:c>
      <x:c r="D143" s="21" t="str">
        <x:v>F05</x:v>
      </x:c>
      <x:c r="E143" s="21" t="str">
        <x:v>B3</x:v>
      </x:c>
      <x:c r="F143" s="21" t="str">
        <x:v>Build</x:v>
      </x:c>
      <x:c r="G143" s="21" t="str">
        <x:v>0.0.0</x:v>
      </x:c>
      <x:c r="H143" s="21" t="str">
        <x:v>Independent Evidence and Data Authority</x:v>
      </x:c>
      <x:c r="I143" s="21" t="str">
        <x:v>OPEN</x:v>
      </x:c>
      <x:c r="J143" s="21" t="str">
        <x:v>HOLD</x:v>
      </x:c>
      <x:c r="K143" s="23" t="str">
        <x:v>what exact configuration produced the article must be accepted before downstream release</x:v>
      </x:c>
    </x:row>
    <x:row r="144">
      <x:c r="B144" s="21" t="str">
        <x:v>BL-00138</x:v>
      </x:c>
      <x:c r="C144" s="21" t="str">
        <x:v>F05-I4</x:v>
      </x:c>
      <x:c r="D144" s="21" t="str">
        <x:v>F05</x:v>
      </x:c>
      <x:c r="E144" s="21" t="str">
        <x:v>B4</x:v>
      </x:c>
      <x:c r="F144" s="21" t="str">
        <x:v>Trial</x:v>
      </x:c>
      <x:c r="G144" s="21" t="str">
        <x:v>0.0.0</x:v>
      </x:c>
      <x:c r="H144" s="21" t="str">
        <x:v>Independent Evidence and Data Authority</x:v>
      </x:c>
      <x:c r="I144" s="21" t="str">
        <x:v>OPEN</x:v>
      </x:c>
      <x:c r="J144" s="21" t="str">
        <x:v>HOLD</x:v>
      </x:c>
      <x:c r="K144" s="23" t="str">
        <x:v>what configuration method and damage world produced evidence must be accepted before downstream release</x:v>
      </x:c>
    </x:row>
    <x:row r="145">
      <x:c r="B145" s="21" t="str">
        <x:v>BL-00139</x:v>
      </x:c>
      <x:c r="C145" s="21" t="str">
        <x:v>F05-I4</x:v>
      </x:c>
      <x:c r="D145" s="21" t="str">
        <x:v>F05</x:v>
      </x:c>
      <x:c r="E145" s="21" t="str">
        <x:v>B5</x:v>
      </x:c>
      <x:c r="F145" s="21" t="str">
        <x:v>Production</x:v>
      </x:c>
      <x:c r="G145" s="21" t="str">
        <x:v>0.0.0</x:v>
      </x:c>
      <x:c r="H145" s="21" t="str">
        <x:v>Independent Evidence and Data Authority</x:v>
      </x:c>
      <x:c r="I145" s="21" t="str">
        <x:v>OPEN</x:v>
      </x:c>
      <x:c r="J145" s="21" t="str">
        <x:v>HOLD</x:v>
      </x:c>
      <x:c r="K145" s="23" t="str">
        <x:v>what process configuration and acceptance define serial output must be accepted before downstream release</x:v>
      </x:c>
    </x:row>
    <x:row r="146">
      <x:c r="B146" s="21" t="str">
        <x:v>BL-00140</x:v>
      </x:c>
      <x:c r="C146" s="21" t="str">
        <x:v>F05-I4</x:v>
      </x:c>
      <x:c r="D146" s="21" t="str">
        <x:v>F05</x:v>
      </x:c>
      <x:c r="E146" s="21" t="str">
        <x:v>B6</x:v>
      </x:c>
      <x:c r="F146" s="21" t="str">
        <x:v>Mobilization</x:v>
      </x:c>
      <x:c r="G146" s="21" t="str">
        <x:v>0.0.0</x:v>
      </x:c>
      <x:c r="H146" s="21" t="str">
        <x:v>Independent Evidence and Data Authority</x:v>
      </x:c>
      <x:c r="I146" s="21" t="str">
        <x:v>OPEN</x:v>
      </x:c>
      <x:c r="J146" s="21" t="str">
        <x:v>HOLD</x:v>
      </x:c>
      <x:c r="K146" s="23" t="str">
        <x:v>what people tools suppliers and routes reproduce conforming service must be accepted before downstream release</x:v>
      </x:c>
    </x:row>
    <x:row r="147">
      <x:c r="B147" s="21" t="str">
        <x:v>BL-00141</x:v>
      </x:c>
      <x:c r="C147" s="21" t="str">
        <x:v>F06-I1</x:v>
      </x:c>
      <x:c r="D147" s="21" t="str">
        <x:v>F06</x:v>
      </x:c>
      <x:c r="E147" s="21" t="str">
        <x:v>B0</x:v>
      </x:c>
      <x:c r="F147" s="21" t="str">
        <x:v>Effect</x:v>
      </x:c>
      <x:c r="G147" s="21" t="str">
        <x:v>0.0.0</x:v>
      </x:c>
      <x:c r="H147" s="21" t="str">
        <x:v>Independent Evidence and Data Authority</x:v>
      </x:c>
      <x:c r="I147" s="21" t="str">
        <x:v>OPEN</x:v>
      </x:c>
      <x:c r="J147" s="21" t="str">
        <x:v>HOLD</x:v>
      </x:c>
      <x:c r="K147" s="23" t="str">
        <x:v>what public condition must exist must be accepted before downstream release</x:v>
      </x:c>
    </x:row>
    <x:row r="148">
      <x:c r="B148" s="21" t="str">
        <x:v>BL-00142</x:v>
      </x:c>
      <x:c r="C148" s="21" t="str">
        <x:v>F06-I1</x:v>
      </x:c>
      <x:c r="D148" s="21" t="str">
        <x:v>F06</x:v>
      </x:c>
      <x:c r="E148" s="21" t="str">
        <x:v>B1</x:v>
      </x:c>
      <x:c r="F148" s="21" t="str">
        <x:v>Requirements</x:v>
      </x:c>
      <x:c r="G148" s="21" t="str">
        <x:v>0.0.0</x:v>
      </x:c>
      <x:c r="H148" s="21" t="str">
        <x:v>Independent Evidence and Data Authority</x:v>
      </x:c>
      <x:c r="I148" s="21" t="str">
        <x:v>OPEN</x:v>
      </x:c>
      <x:c r="J148" s="21" t="str">
        <x:v>HOLD</x:v>
      </x:c>
      <x:c r="K148" s="23" t="str">
        <x:v>what burdens and invalid states bound the effect must be accepted before downstream release</x:v>
      </x:c>
    </x:row>
    <x:row r="149">
      <x:c r="B149" s="21" t="str">
        <x:v>BL-00143</x:v>
      </x:c>
      <x:c r="C149" s="21" t="str">
        <x:v>F06-I1</x:v>
      </x:c>
      <x:c r="D149" s="21" t="str">
        <x:v>F06</x:v>
      </x:c>
      <x:c r="E149" s="21" t="str">
        <x:v>B2</x:v>
      </x:c>
      <x:c r="F149" s="21" t="str">
        <x:v>Architecture</x:v>
      </x:c>
      <x:c r="G149" s="21" t="str">
        <x:v>0.0.0</x:v>
      </x:c>
      <x:c r="H149" s="21" t="str">
        <x:v>Independent Evidence and Data Authority</x:v>
      </x:c>
      <x:c r="I149" s="21" t="str">
        <x:v>OPEN</x:v>
      </x:c>
      <x:c r="J149" s="21" t="str">
        <x:v>HOLD</x:v>
      </x:c>
      <x:c r="K149" s="23" t="str">
        <x:v>what interfaces and budgets govern the system must be accepted before downstream release</x:v>
      </x:c>
    </x:row>
    <x:row r="150">
      <x:c r="B150" s="21" t="str">
        <x:v>BL-00144</x:v>
      </x:c>
      <x:c r="C150" s="21" t="str">
        <x:v>F06-I1</x:v>
      </x:c>
      <x:c r="D150" s="21" t="str">
        <x:v>F06</x:v>
      </x:c>
      <x:c r="E150" s="21" t="str">
        <x:v>B3</x:v>
      </x:c>
      <x:c r="F150" s="21" t="str">
        <x:v>Build</x:v>
      </x:c>
      <x:c r="G150" s="21" t="str">
        <x:v>0.0.0</x:v>
      </x:c>
      <x:c r="H150" s="21" t="str">
        <x:v>Independent Evidence and Data Authority</x:v>
      </x:c>
      <x:c r="I150" s="21" t="str">
        <x:v>OPEN</x:v>
      </x:c>
      <x:c r="J150" s="21" t="str">
        <x:v>HOLD</x:v>
      </x:c>
      <x:c r="K150" s="23" t="str">
        <x:v>what exact configuration produced the article must be accepted before downstream release</x:v>
      </x:c>
    </x:row>
    <x:row r="151">
      <x:c r="B151" s="21" t="str">
        <x:v>BL-00145</x:v>
      </x:c>
      <x:c r="C151" s="21" t="str">
        <x:v>F06-I1</x:v>
      </x:c>
      <x:c r="D151" s="21" t="str">
        <x:v>F06</x:v>
      </x:c>
      <x:c r="E151" s="21" t="str">
        <x:v>B4</x:v>
      </x:c>
      <x:c r="F151" s="21" t="str">
        <x:v>Trial</x:v>
      </x:c>
      <x:c r="G151" s="21" t="str">
        <x:v>0.0.0</x:v>
      </x:c>
      <x:c r="H151" s="21" t="str">
        <x:v>Independent Evidence and Data Authority</x:v>
      </x:c>
      <x:c r="I151" s="21" t="str">
        <x:v>OPEN</x:v>
      </x:c>
      <x:c r="J151" s="21" t="str">
        <x:v>HOLD</x:v>
      </x:c>
      <x:c r="K151" s="23" t="str">
        <x:v>what configuration method and damage world produced evidence must be accepted before downstream release</x:v>
      </x:c>
    </x:row>
    <x:row r="152">
      <x:c r="B152" s="21" t="str">
        <x:v>BL-00146</x:v>
      </x:c>
      <x:c r="C152" s="21" t="str">
        <x:v>F06-I1</x:v>
      </x:c>
      <x:c r="D152" s="21" t="str">
        <x:v>F06</x:v>
      </x:c>
      <x:c r="E152" s="21" t="str">
        <x:v>B5</x:v>
      </x:c>
      <x:c r="F152" s="21" t="str">
        <x:v>Production</x:v>
      </x:c>
      <x:c r="G152" s="21" t="str">
        <x:v>0.0.0</x:v>
      </x:c>
      <x:c r="H152" s="21" t="str">
        <x:v>Independent Evidence and Data Authority</x:v>
      </x:c>
      <x:c r="I152" s="21" t="str">
        <x:v>OPEN</x:v>
      </x:c>
      <x:c r="J152" s="21" t="str">
        <x:v>HOLD</x:v>
      </x:c>
      <x:c r="K152" s="23" t="str">
        <x:v>what process configuration and acceptance define serial output must be accepted before downstream release</x:v>
      </x:c>
    </x:row>
    <x:row r="153">
      <x:c r="B153" s="21" t="str">
        <x:v>BL-00147</x:v>
      </x:c>
      <x:c r="C153" s="21" t="str">
        <x:v>F06-I1</x:v>
      </x:c>
      <x:c r="D153" s="21" t="str">
        <x:v>F06</x:v>
      </x:c>
      <x:c r="E153" s="21" t="str">
        <x:v>B6</x:v>
      </x:c>
      <x:c r="F153" s="21" t="str">
        <x:v>Mobilization</x:v>
      </x:c>
      <x:c r="G153" s="21" t="str">
        <x:v>0.0.0</x:v>
      </x:c>
      <x:c r="H153" s="21" t="str">
        <x:v>Independent Evidence and Data Authority</x:v>
      </x:c>
      <x:c r="I153" s="21" t="str">
        <x:v>OPEN</x:v>
      </x:c>
      <x:c r="J153" s="21" t="str">
        <x:v>HOLD</x:v>
      </x:c>
      <x:c r="K153" s="23" t="str">
        <x:v>what people tools suppliers and routes reproduce conforming service must be accepted before downstream release</x:v>
      </x:c>
    </x:row>
    <x:row r="154">
      <x:c r="B154" s="21" t="str">
        <x:v>BL-00148</x:v>
      </x:c>
      <x:c r="C154" s="21" t="str">
        <x:v>F06-I2</x:v>
      </x:c>
      <x:c r="D154" s="21" t="str">
        <x:v>F06</x:v>
      </x:c>
      <x:c r="E154" s="21" t="str">
        <x:v>B0</x:v>
      </x:c>
      <x:c r="F154" s="21" t="str">
        <x:v>Effect</x:v>
      </x:c>
      <x:c r="G154" s="21" t="str">
        <x:v>0.0.0</x:v>
      </x:c>
      <x:c r="H154" s="21" t="str">
        <x:v>Independent Evidence and Data Authority</x:v>
      </x:c>
      <x:c r="I154" s="21" t="str">
        <x:v>OPEN</x:v>
      </x:c>
      <x:c r="J154" s="21" t="str">
        <x:v>HOLD</x:v>
      </x:c>
      <x:c r="K154" s="23" t="str">
        <x:v>what public condition must exist must be accepted before downstream release</x:v>
      </x:c>
    </x:row>
    <x:row r="155">
      <x:c r="B155" s="21" t="str">
        <x:v>BL-00149</x:v>
      </x:c>
      <x:c r="C155" s="21" t="str">
        <x:v>F06-I2</x:v>
      </x:c>
      <x:c r="D155" s="21" t="str">
        <x:v>F06</x:v>
      </x:c>
      <x:c r="E155" s="21" t="str">
        <x:v>B1</x:v>
      </x:c>
      <x:c r="F155" s="21" t="str">
        <x:v>Requirements</x:v>
      </x:c>
      <x:c r="G155" s="21" t="str">
        <x:v>0.0.0</x:v>
      </x:c>
      <x:c r="H155" s="21" t="str">
        <x:v>Independent Evidence and Data Authority</x:v>
      </x:c>
      <x:c r="I155" s="21" t="str">
        <x:v>OPEN</x:v>
      </x:c>
      <x:c r="J155" s="21" t="str">
        <x:v>HOLD</x:v>
      </x:c>
      <x:c r="K155" s="23" t="str">
        <x:v>what burdens and invalid states bound the effect must be accepted before downstream release</x:v>
      </x:c>
    </x:row>
    <x:row r="156">
      <x:c r="B156" s="21" t="str">
        <x:v>BL-00150</x:v>
      </x:c>
      <x:c r="C156" s="21" t="str">
        <x:v>F06-I2</x:v>
      </x:c>
      <x:c r="D156" s="21" t="str">
        <x:v>F06</x:v>
      </x:c>
      <x:c r="E156" s="21" t="str">
        <x:v>B2</x:v>
      </x:c>
      <x:c r="F156" s="21" t="str">
        <x:v>Architecture</x:v>
      </x:c>
      <x:c r="G156" s="21" t="str">
        <x:v>0.0.0</x:v>
      </x:c>
      <x:c r="H156" s="21" t="str">
        <x:v>Independent Evidence and Data Authority</x:v>
      </x:c>
      <x:c r="I156" s="21" t="str">
        <x:v>OPEN</x:v>
      </x:c>
      <x:c r="J156" s="21" t="str">
        <x:v>HOLD</x:v>
      </x:c>
      <x:c r="K156" s="23" t="str">
        <x:v>what interfaces and budgets govern the system must be accepted before downstream release</x:v>
      </x:c>
    </x:row>
    <x:row r="157">
      <x:c r="B157" s="21" t="str">
        <x:v>BL-00151</x:v>
      </x:c>
      <x:c r="C157" s="21" t="str">
        <x:v>F06-I2</x:v>
      </x:c>
      <x:c r="D157" s="21" t="str">
        <x:v>F06</x:v>
      </x:c>
      <x:c r="E157" s="21" t="str">
        <x:v>B3</x:v>
      </x:c>
      <x:c r="F157" s="21" t="str">
        <x:v>Build</x:v>
      </x:c>
      <x:c r="G157" s="21" t="str">
        <x:v>0.0.0</x:v>
      </x:c>
      <x:c r="H157" s="21" t="str">
        <x:v>Independent Evidence and Data Authority</x:v>
      </x:c>
      <x:c r="I157" s="21" t="str">
        <x:v>OPEN</x:v>
      </x:c>
      <x:c r="J157" s="21" t="str">
        <x:v>HOLD</x:v>
      </x:c>
      <x:c r="K157" s="23" t="str">
        <x:v>what exact configuration produced the article must be accepted before downstream release</x:v>
      </x:c>
    </x:row>
    <x:row r="158">
      <x:c r="B158" s="21" t="str">
        <x:v>BL-00152</x:v>
      </x:c>
      <x:c r="C158" s="21" t="str">
        <x:v>F06-I2</x:v>
      </x:c>
      <x:c r="D158" s="21" t="str">
        <x:v>F06</x:v>
      </x:c>
      <x:c r="E158" s="21" t="str">
        <x:v>B4</x:v>
      </x:c>
      <x:c r="F158" s="21" t="str">
        <x:v>Trial</x:v>
      </x:c>
      <x:c r="G158" s="21" t="str">
        <x:v>0.0.0</x:v>
      </x:c>
      <x:c r="H158" s="21" t="str">
        <x:v>Independent Evidence and Data Authority</x:v>
      </x:c>
      <x:c r="I158" s="21" t="str">
        <x:v>OPEN</x:v>
      </x:c>
      <x:c r="J158" s="21" t="str">
        <x:v>HOLD</x:v>
      </x:c>
      <x:c r="K158" s="23" t="str">
        <x:v>what configuration method and damage world produced evidence must be accepted before downstream release</x:v>
      </x:c>
    </x:row>
    <x:row r="159">
      <x:c r="B159" s="21" t="str">
        <x:v>BL-00153</x:v>
      </x:c>
      <x:c r="C159" s="21" t="str">
        <x:v>F06-I2</x:v>
      </x:c>
      <x:c r="D159" s="21" t="str">
        <x:v>F06</x:v>
      </x:c>
      <x:c r="E159" s="21" t="str">
        <x:v>B5</x:v>
      </x:c>
      <x:c r="F159" s="21" t="str">
        <x:v>Production</x:v>
      </x:c>
      <x:c r="G159" s="21" t="str">
        <x:v>0.0.0</x:v>
      </x:c>
      <x:c r="H159" s="21" t="str">
        <x:v>Independent Evidence and Data Authority</x:v>
      </x:c>
      <x:c r="I159" s="21" t="str">
        <x:v>OPEN</x:v>
      </x:c>
      <x:c r="J159" s="21" t="str">
        <x:v>HOLD</x:v>
      </x:c>
      <x:c r="K159" s="23" t="str">
        <x:v>what process configuration and acceptance define serial output must be accepted before downstream release</x:v>
      </x:c>
    </x:row>
    <x:row r="160">
      <x:c r="B160" s="21" t="str">
        <x:v>BL-00154</x:v>
      </x:c>
      <x:c r="C160" s="21" t="str">
        <x:v>F06-I2</x:v>
      </x:c>
      <x:c r="D160" s="21" t="str">
        <x:v>F06</x:v>
      </x:c>
      <x:c r="E160" s="21" t="str">
        <x:v>B6</x:v>
      </x:c>
      <x:c r="F160" s="21" t="str">
        <x:v>Mobilization</x:v>
      </x:c>
      <x:c r="G160" s="21" t="str">
        <x:v>0.0.0</x:v>
      </x:c>
      <x:c r="H160" s="21" t="str">
        <x:v>Independent Evidence and Data Authority</x:v>
      </x:c>
      <x:c r="I160" s="21" t="str">
        <x:v>OPEN</x:v>
      </x:c>
      <x:c r="J160" s="21" t="str">
        <x:v>HOLD</x:v>
      </x:c>
      <x:c r="K160" s="23" t="str">
        <x:v>what people tools suppliers and routes reproduce conforming service must be accepted before downstream release</x:v>
      </x:c>
    </x:row>
    <x:row r="161">
      <x:c r="B161" s="21" t="str">
        <x:v>BL-00155</x:v>
      </x:c>
      <x:c r="C161" s="21" t="str">
        <x:v>F06-I3</x:v>
      </x:c>
      <x:c r="D161" s="21" t="str">
        <x:v>F06</x:v>
      </x:c>
      <x:c r="E161" s="21" t="str">
        <x:v>B0</x:v>
      </x:c>
      <x:c r="F161" s="21" t="str">
        <x:v>Effect</x:v>
      </x:c>
      <x:c r="G161" s="21" t="str">
        <x:v>0.0.0</x:v>
      </x:c>
      <x:c r="H161" s="21" t="str">
        <x:v>Independent Evidence and Data Authority</x:v>
      </x:c>
      <x:c r="I161" s="21" t="str">
        <x:v>OPEN</x:v>
      </x:c>
      <x:c r="J161" s="21" t="str">
        <x:v>HOLD</x:v>
      </x:c>
      <x:c r="K161" s="23" t="str">
        <x:v>what public condition must exist must be accepted before downstream release</x:v>
      </x:c>
    </x:row>
    <x:row r="162">
      <x:c r="B162" s="21" t="str">
        <x:v>BL-00156</x:v>
      </x:c>
      <x:c r="C162" s="21" t="str">
        <x:v>F06-I3</x:v>
      </x:c>
      <x:c r="D162" s="21" t="str">
        <x:v>F06</x:v>
      </x:c>
      <x:c r="E162" s="21" t="str">
        <x:v>B1</x:v>
      </x:c>
      <x:c r="F162" s="21" t="str">
        <x:v>Requirements</x:v>
      </x:c>
      <x:c r="G162" s="21" t="str">
        <x:v>0.0.0</x:v>
      </x:c>
      <x:c r="H162" s="21" t="str">
        <x:v>Independent Evidence and Data Authority</x:v>
      </x:c>
      <x:c r="I162" s="21" t="str">
        <x:v>OPEN</x:v>
      </x:c>
      <x:c r="J162" s="21" t="str">
        <x:v>HOLD</x:v>
      </x:c>
      <x:c r="K162" s="23" t="str">
        <x:v>what burdens and invalid states bound the effect must be accepted before downstream release</x:v>
      </x:c>
    </x:row>
    <x:row r="163">
      <x:c r="B163" s="21" t="str">
        <x:v>BL-00157</x:v>
      </x:c>
      <x:c r="C163" s="21" t="str">
        <x:v>F06-I3</x:v>
      </x:c>
      <x:c r="D163" s="21" t="str">
        <x:v>F06</x:v>
      </x:c>
      <x:c r="E163" s="21" t="str">
        <x:v>B2</x:v>
      </x:c>
      <x:c r="F163" s="21" t="str">
        <x:v>Architecture</x:v>
      </x:c>
      <x:c r="G163" s="21" t="str">
        <x:v>0.0.0</x:v>
      </x:c>
      <x:c r="H163" s="21" t="str">
        <x:v>Independent Evidence and Data Authority</x:v>
      </x:c>
      <x:c r="I163" s="21" t="str">
        <x:v>OPEN</x:v>
      </x:c>
      <x:c r="J163" s="21" t="str">
        <x:v>HOLD</x:v>
      </x:c>
      <x:c r="K163" s="23" t="str">
        <x:v>what interfaces and budgets govern the system must be accepted before downstream release</x:v>
      </x:c>
    </x:row>
    <x:row r="164">
      <x:c r="B164" s="21" t="str">
        <x:v>BL-00158</x:v>
      </x:c>
      <x:c r="C164" s="21" t="str">
        <x:v>F06-I3</x:v>
      </x:c>
      <x:c r="D164" s="21" t="str">
        <x:v>F06</x:v>
      </x:c>
      <x:c r="E164" s="21" t="str">
        <x:v>B3</x:v>
      </x:c>
      <x:c r="F164" s="21" t="str">
        <x:v>Build</x:v>
      </x:c>
      <x:c r="G164" s="21" t="str">
        <x:v>0.0.0</x:v>
      </x:c>
      <x:c r="H164" s="21" t="str">
        <x:v>Independent Evidence and Data Authority</x:v>
      </x:c>
      <x:c r="I164" s="21" t="str">
        <x:v>OPEN</x:v>
      </x:c>
      <x:c r="J164" s="21" t="str">
        <x:v>HOLD</x:v>
      </x:c>
      <x:c r="K164" s="23" t="str">
        <x:v>what exact configuration produced the article must be accepted before downstream release</x:v>
      </x:c>
    </x:row>
    <x:row r="165">
      <x:c r="B165" s="21" t="str">
        <x:v>BL-00159</x:v>
      </x:c>
      <x:c r="C165" s="21" t="str">
        <x:v>F06-I3</x:v>
      </x:c>
      <x:c r="D165" s="21" t="str">
        <x:v>F06</x:v>
      </x:c>
      <x:c r="E165" s="21" t="str">
        <x:v>B4</x:v>
      </x:c>
      <x:c r="F165" s="21" t="str">
        <x:v>Trial</x:v>
      </x:c>
      <x:c r="G165" s="21" t="str">
        <x:v>0.0.0</x:v>
      </x:c>
      <x:c r="H165" s="21" t="str">
        <x:v>Independent Evidence and Data Authority</x:v>
      </x:c>
      <x:c r="I165" s="21" t="str">
        <x:v>OPEN</x:v>
      </x:c>
      <x:c r="J165" s="21" t="str">
        <x:v>HOLD</x:v>
      </x:c>
      <x:c r="K165" s="23" t="str">
        <x:v>what configuration method and damage world produced evidence must be accepted before downstream release</x:v>
      </x:c>
    </x:row>
    <x:row r="166">
      <x:c r="B166" s="21" t="str">
        <x:v>BL-00160</x:v>
      </x:c>
      <x:c r="C166" s="21" t="str">
        <x:v>F06-I3</x:v>
      </x:c>
      <x:c r="D166" s="21" t="str">
        <x:v>F06</x:v>
      </x:c>
      <x:c r="E166" s="21" t="str">
        <x:v>B5</x:v>
      </x:c>
      <x:c r="F166" s="21" t="str">
        <x:v>Production</x:v>
      </x:c>
      <x:c r="G166" s="21" t="str">
        <x:v>0.0.0</x:v>
      </x:c>
      <x:c r="H166" s="21" t="str">
        <x:v>Independent Evidence and Data Authority</x:v>
      </x:c>
      <x:c r="I166" s="21" t="str">
        <x:v>OPEN</x:v>
      </x:c>
      <x:c r="J166" s="21" t="str">
        <x:v>HOLD</x:v>
      </x:c>
      <x:c r="K166" s="23" t="str">
        <x:v>what process configuration and acceptance define serial output must be accepted before downstream release</x:v>
      </x:c>
    </x:row>
    <x:row r="167">
      <x:c r="B167" s="21" t="str">
        <x:v>BL-00161</x:v>
      </x:c>
      <x:c r="C167" s="21" t="str">
        <x:v>F06-I3</x:v>
      </x:c>
      <x:c r="D167" s="21" t="str">
        <x:v>F06</x:v>
      </x:c>
      <x:c r="E167" s="21" t="str">
        <x:v>B6</x:v>
      </x:c>
      <x:c r="F167" s="21" t="str">
        <x:v>Mobilization</x:v>
      </x:c>
      <x:c r="G167" s="21" t="str">
        <x:v>0.0.0</x:v>
      </x:c>
      <x:c r="H167" s="21" t="str">
        <x:v>Independent Evidence and Data Authority</x:v>
      </x:c>
      <x:c r="I167" s="21" t="str">
        <x:v>OPEN</x:v>
      </x:c>
      <x:c r="J167" s="21" t="str">
        <x:v>HOLD</x:v>
      </x:c>
      <x:c r="K167" s="23" t="str">
        <x:v>what people tools suppliers and routes reproduce conforming service must be accepted before downstream release</x:v>
      </x:c>
    </x:row>
    <x:row r="168">
      <x:c r="B168" s="21" t="str">
        <x:v>BL-00162</x:v>
      </x:c>
      <x:c r="C168" s="21" t="str">
        <x:v>F06-I4</x:v>
      </x:c>
      <x:c r="D168" s="21" t="str">
        <x:v>F06</x:v>
      </x:c>
      <x:c r="E168" s="21" t="str">
        <x:v>B0</x:v>
      </x:c>
      <x:c r="F168" s="21" t="str">
        <x:v>Effect</x:v>
      </x:c>
      <x:c r="G168" s="21" t="str">
        <x:v>0.0.0</x:v>
      </x:c>
      <x:c r="H168" s="21" t="str">
        <x:v>Independent Evidence and Data Authority</x:v>
      </x:c>
      <x:c r="I168" s="21" t="str">
        <x:v>OPEN</x:v>
      </x:c>
      <x:c r="J168" s="21" t="str">
        <x:v>HOLD</x:v>
      </x:c>
      <x:c r="K168" s="23" t="str">
        <x:v>what public condition must exist must be accepted before downstream release</x:v>
      </x:c>
    </x:row>
    <x:row r="169">
      <x:c r="B169" s="21" t="str">
        <x:v>BL-00163</x:v>
      </x:c>
      <x:c r="C169" s="21" t="str">
        <x:v>F06-I4</x:v>
      </x:c>
      <x:c r="D169" s="21" t="str">
        <x:v>F06</x:v>
      </x:c>
      <x:c r="E169" s="21" t="str">
        <x:v>B1</x:v>
      </x:c>
      <x:c r="F169" s="21" t="str">
        <x:v>Requirements</x:v>
      </x:c>
      <x:c r="G169" s="21" t="str">
        <x:v>0.0.0</x:v>
      </x:c>
      <x:c r="H169" s="21" t="str">
        <x:v>Independent Evidence and Data Authority</x:v>
      </x:c>
      <x:c r="I169" s="21" t="str">
        <x:v>OPEN</x:v>
      </x:c>
      <x:c r="J169" s="21" t="str">
        <x:v>HOLD</x:v>
      </x:c>
      <x:c r="K169" s="23" t="str">
        <x:v>what burdens and invalid states bound the effect must be accepted before downstream release</x:v>
      </x:c>
    </x:row>
    <x:row r="170">
      <x:c r="B170" s="21" t="str">
        <x:v>BL-00164</x:v>
      </x:c>
      <x:c r="C170" s="21" t="str">
        <x:v>F06-I4</x:v>
      </x:c>
      <x:c r="D170" s="21" t="str">
        <x:v>F06</x:v>
      </x:c>
      <x:c r="E170" s="21" t="str">
        <x:v>B2</x:v>
      </x:c>
      <x:c r="F170" s="21" t="str">
        <x:v>Architecture</x:v>
      </x:c>
      <x:c r="G170" s="21" t="str">
        <x:v>0.0.0</x:v>
      </x:c>
      <x:c r="H170" s="21" t="str">
        <x:v>Independent Evidence and Data Authority</x:v>
      </x:c>
      <x:c r="I170" s="21" t="str">
        <x:v>OPEN</x:v>
      </x:c>
      <x:c r="J170" s="21" t="str">
        <x:v>HOLD</x:v>
      </x:c>
      <x:c r="K170" s="23" t="str">
        <x:v>what interfaces and budgets govern the system must be accepted before downstream release</x:v>
      </x:c>
    </x:row>
    <x:row r="171">
      <x:c r="B171" s="21" t="str">
        <x:v>BL-00165</x:v>
      </x:c>
      <x:c r="C171" s="21" t="str">
        <x:v>F06-I4</x:v>
      </x:c>
      <x:c r="D171" s="21" t="str">
        <x:v>F06</x:v>
      </x:c>
      <x:c r="E171" s="21" t="str">
        <x:v>B3</x:v>
      </x:c>
      <x:c r="F171" s="21" t="str">
        <x:v>Build</x:v>
      </x:c>
      <x:c r="G171" s="21" t="str">
        <x:v>0.0.0</x:v>
      </x:c>
      <x:c r="H171" s="21" t="str">
        <x:v>Independent Evidence and Data Authority</x:v>
      </x:c>
      <x:c r="I171" s="21" t="str">
        <x:v>OPEN</x:v>
      </x:c>
      <x:c r="J171" s="21" t="str">
        <x:v>HOLD</x:v>
      </x:c>
      <x:c r="K171" s="23" t="str">
        <x:v>what exact configuration produced the article must be accepted before downstream release</x:v>
      </x:c>
    </x:row>
    <x:row r="172">
      <x:c r="B172" s="21" t="str">
        <x:v>BL-00166</x:v>
      </x:c>
      <x:c r="C172" s="21" t="str">
        <x:v>F06-I4</x:v>
      </x:c>
      <x:c r="D172" s="21" t="str">
        <x:v>F06</x:v>
      </x:c>
      <x:c r="E172" s="21" t="str">
        <x:v>B4</x:v>
      </x:c>
      <x:c r="F172" s="21" t="str">
        <x:v>Trial</x:v>
      </x:c>
      <x:c r="G172" s="21" t="str">
        <x:v>0.0.0</x:v>
      </x:c>
      <x:c r="H172" s="21" t="str">
        <x:v>Independent Evidence and Data Authority</x:v>
      </x:c>
      <x:c r="I172" s="21" t="str">
        <x:v>OPEN</x:v>
      </x:c>
      <x:c r="J172" s="21" t="str">
        <x:v>HOLD</x:v>
      </x:c>
      <x:c r="K172" s="23" t="str">
        <x:v>what configuration method and damage world produced evidence must be accepted before downstream release</x:v>
      </x:c>
    </x:row>
    <x:row r="173">
      <x:c r="B173" s="21" t="str">
        <x:v>BL-00167</x:v>
      </x:c>
      <x:c r="C173" s="21" t="str">
        <x:v>F06-I4</x:v>
      </x:c>
      <x:c r="D173" s="21" t="str">
        <x:v>F06</x:v>
      </x:c>
      <x:c r="E173" s="21" t="str">
        <x:v>B5</x:v>
      </x:c>
      <x:c r="F173" s="21" t="str">
        <x:v>Production</x:v>
      </x:c>
      <x:c r="G173" s="21" t="str">
        <x:v>0.0.0</x:v>
      </x:c>
      <x:c r="H173" s="21" t="str">
        <x:v>Independent Evidence and Data Authority</x:v>
      </x:c>
      <x:c r="I173" s="21" t="str">
        <x:v>OPEN</x:v>
      </x:c>
      <x:c r="J173" s="21" t="str">
        <x:v>HOLD</x:v>
      </x:c>
      <x:c r="K173" s="23" t="str">
        <x:v>what process configuration and acceptance define serial output must be accepted before downstream release</x:v>
      </x:c>
    </x:row>
    <x:row r="174">
      <x:c r="B174" s="21" t="str">
        <x:v>BL-00168</x:v>
      </x:c>
      <x:c r="C174" s="21" t="str">
        <x:v>F06-I4</x:v>
      </x:c>
      <x:c r="D174" s="21" t="str">
        <x:v>F06</x:v>
      </x:c>
      <x:c r="E174" s="21" t="str">
        <x:v>B6</x:v>
      </x:c>
      <x:c r="F174" s="21" t="str">
        <x:v>Mobilization</x:v>
      </x:c>
      <x:c r="G174" s="21" t="str">
        <x:v>0.0.0</x:v>
      </x:c>
      <x:c r="H174" s="21" t="str">
        <x:v>Independent Evidence and Data Authority</x:v>
      </x:c>
      <x:c r="I174" s="21" t="str">
        <x:v>OPEN</x:v>
      </x:c>
      <x:c r="J174" s="21" t="str">
        <x:v>HOLD</x:v>
      </x:c>
      <x:c r="K174" s="23" t="str">
        <x:v>what people tools suppliers and routes reproduce conforming service must be accepted before downstream release</x:v>
      </x:c>
    </x:row>
    <x:row r="175">
      <x:c r="B175" s="21" t="str">
        <x:v>BL-00169</x:v>
      </x:c>
      <x:c r="C175" s="21" t="str">
        <x:v>F07-I1</x:v>
      </x:c>
      <x:c r="D175" s="21" t="str">
        <x:v>F07</x:v>
      </x:c>
      <x:c r="E175" s="21" t="str">
        <x:v>B0</x:v>
      </x:c>
      <x:c r="F175" s="21" t="str">
        <x:v>Effect</x:v>
      </x:c>
      <x:c r="G175" s="21" t="str">
        <x:v>0.0.0</x:v>
      </x:c>
      <x:c r="H175" s="21" t="str">
        <x:v>Independent Evidence and Data Authority</x:v>
      </x:c>
      <x:c r="I175" s="21" t="str">
        <x:v>OPEN</x:v>
      </x:c>
      <x:c r="J175" s="21" t="str">
        <x:v>HOLD</x:v>
      </x:c>
      <x:c r="K175" s="23" t="str">
        <x:v>what public condition must exist must be accepted before downstream release</x:v>
      </x:c>
    </x:row>
    <x:row r="176">
      <x:c r="B176" s="21" t="str">
        <x:v>BL-00170</x:v>
      </x:c>
      <x:c r="C176" s="21" t="str">
        <x:v>F07-I1</x:v>
      </x:c>
      <x:c r="D176" s="21" t="str">
        <x:v>F07</x:v>
      </x:c>
      <x:c r="E176" s="21" t="str">
        <x:v>B1</x:v>
      </x:c>
      <x:c r="F176" s="21" t="str">
        <x:v>Requirements</x:v>
      </x:c>
      <x:c r="G176" s="21" t="str">
        <x:v>0.0.0</x:v>
      </x:c>
      <x:c r="H176" s="21" t="str">
        <x:v>Independent Evidence and Data Authority</x:v>
      </x:c>
      <x:c r="I176" s="21" t="str">
        <x:v>OPEN</x:v>
      </x:c>
      <x:c r="J176" s="21" t="str">
        <x:v>HOLD</x:v>
      </x:c>
      <x:c r="K176" s="23" t="str">
        <x:v>what burdens and invalid states bound the effect must be accepted before downstream release</x:v>
      </x:c>
    </x:row>
    <x:row r="177">
      <x:c r="B177" s="21" t="str">
        <x:v>BL-00171</x:v>
      </x:c>
      <x:c r="C177" s="21" t="str">
        <x:v>F07-I1</x:v>
      </x:c>
      <x:c r="D177" s="21" t="str">
        <x:v>F07</x:v>
      </x:c>
      <x:c r="E177" s="21" t="str">
        <x:v>B2</x:v>
      </x:c>
      <x:c r="F177" s="21" t="str">
        <x:v>Architecture</x:v>
      </x:c>
      <x:c r="G177" s="21" t="str">
        <x:v>0.0.0</x:v>
      </x:c>
      <x:c r="H177" s="21" t="str">
        <x:v>Independent Evidence and Data Authority</x:v>
      </x:c>
      <x:c r="I177" s="21" t="str">
        <x:v>OPEN</x:v>
      </x:c>
      <x:c r="J177" s="21" t="str">
        <x:v>HOLD</x:v>
      </x:c>
      <x:c r="K177" s="23" t="str">
        <x:v>what interfaces and budgets govern the system must be accepted before downstream release</x:v>
      </x:c>
    </x:row>
    <x:row r="178">
      <x:c r="B178" s="21" t="str">
        <x:v>BL-00172</x:v>
      </x:c>
      <x:c r="C178" s="21" t="str">
        <x:v>F07-I1</x:v>
      </x:c>
      <x:c r="D178" s="21" t="str">
        <x:v>F07</x:v>
      </x:c>
      <x:c r="E178" s="21" t="str">
        <x:v>B3</x:v>
      </x:c>
      <x:c r="F178" s="21" t="str">
        <x:v>Build</x:v>
      </x:c>
      <x:c r="G178" s="21" t="str">
        <x:v>0.0.0</x:v>
      </x:c>
      <x:c r="H178" s="21" t="str">
        <x:v>Independent Evidence and Data Authority</x:v>
      </x:c>
      <x:c r="I178" s="21" t="str">
        <x:v>OPEN</x:v>
      </x:c>
      <x:c r="J178" s="21" t="str">
        <x:v>HOLD</x:v>
      </x:c>
      <x:c r="K178" s="23" t="str">
        <x:v>what exact configuration produced the article must be accepted before downstream release</x:v>
      </x:c>
    </x:row>
    <x:row r="179">
      <x:c r="B179" s="21" t="str">
        <x:v>BL-00173</x:v>
      </x:c>
      <x:c r="C179" s="21" t="str">
        <x:v>F07-I1</x:v>
      </x:c>
      <x:c r="D179" s="21" t="str">
        <x:v>F07</x:v>
      </x:c>
      <x:c r="E179" s="21" t="str">
        <x:v>B4</x:v>
      </x:c>
      <x:c r="F179" s="21" t="str">
        <x:v>Trial</x:v>
      </x:c>
      <x:c r="G179" s="21" t="str">
        <x:v>0.0.0</x:v>
      </x:c>
      <x:c r="H179" s="21" t="str">
        <x:v>Independent Evidence and Data Authority</x:v>
      </x:c>
      <x:c r="I179" s="21" t="str">
        <x:v>OPEN</x:v>
      </x:c>
      <x:c r="J179" s="21" t="str">
        <x:v>HOLD</x:v>
      </x:c>
      <x:c r="K179" s="23" t="str">
        <x:v>what configuration method and damage world produced evidence must be accepted before downstream release</x:v>
      </x:c>
    </x:row>
    <x:row r="180">
      <x:c r="B180" s="21" t="str">
        <x:v>BL-00174</x:v>
      </x:c>
      <x:c r="C180" s="21" t="str">
        <x:v>F07-I1</x:v>
      </x:c>
      <x:c r="D180" s="21" t="str">
        <x:v>F07</x:v>
      </x:c>
      <x:c r="E180" s="21" t="str">
        <x:v>B5</x:v>
      </x:c>
      <x:c r="F180" s="21" t="str">
        <x:v>Production</x:v>
      </x:c>
      <x:c r="G180" s="21" t="str">
        <x:v>0.0.0</x:v>
      </x:c>
      <x:c r="H180" s="21" t="str">
        <x:v>Independent Evidence and Data Authority</x:v>
      </x:c>
      <x:c r="I180" s="21" t="str">
        <x:v>OPEN</x:v>
      </x:c>
      <x:c r="J180" s="21" t="str">
        <x:v>HOLD</x:v>
      </x:c>
      <x:c r="K180" s="23" t="str">
        <x:v>what process configuration and acceptance define serial output must be accepted before downstream release</x:v>
      </x:c>
    </x:row>
    <x:row r="181">
      <x:c r="B181" s="21" t="str">
        <x:v>BL-00175</x:v>
      </x:c>
      <x:c r="C181" s="21" t="str">
        <x:v>F07-I1</x:v>
      </x:c>
      <x:c r="D181" s="21" t="str">
        <x:v>F07</x:v>
      </x:c>
      <x:c r="E181" s="21" t="str">
        <x:v>B6</x:v>
      </x:c>
      <x:c r="F181" s="21" t="str">
        <x:v>Mobilization</x:v>
      </x:c>
      <x:c r="G181" s="21" t="str">
        <x:v>0.0.0</x:v>
      </x:c>
      <x:c r="H181" s="21" t="str">
        <x:v>Independent Evidence and Data Authority</x:v>
      </x:c>
      <x:c r="I181" s="21" t="str">
        <x:v>OPEN</x:v>
      </x:c>
      <x:c r="J181" s="21" t="str">
        <x:v>HOLD</x:v>
      </x:c>
      <x:c r="K181" s="23" t="str">
        <x:v>what people tools suppliers and routes reproduce conforming service must be accepted before downstream release</x:v>
      </x:c>
    </x:row>
    <x:row r="182">
      <x:c r="B182" s="21" t="str">
        <x:v>BL-00176</x:v>
      </x:c>
      <x:c r="C182" s="21" t="str">
        <x:v>F07-I2</x:v>
      </x:c>
      <x:c r="D182" s="21" t="str">
        <x:v>F07</x:v>
      </x:c>
      <x:c r="E182" s="21" t="str">
        <x:v>B0</x:v>
      </x:c>
      <x:c r="F182" s="21" t="str">
        <x:v>Effect</x:v>
      </x:c>
      <x:c r="G182" s="21" t="str">
        <x:v>0.0.0</x:v>
      </x:c>
      <x:c r="H182" s="21" t="str">
        <x:v>Independent Evidence and Data Authority</x:v>
      </x:c>
      <x:c r="I182" s="21" t="str">
        <x:v>OPEN</x:v>
      </x:c>
      <x:c r="J182" s="21" t="str">
        <x:v>HOLD</x:v>
      </x:c>
      <x:c r="K182" s="23" t="str">
        <x:v>what public condition must exist must be accepted before downstream release</x:v>
      </x:c>
    </x:row>
    <x:row r="183">
      <x:c r="B183" s="21" t="str">
        <x:v>BL-00177</x:v>
      </x:c>
      <x:c r="C183" s="21" t="str">
        <x:v>F07-I2</x:v>
      </x:c>
      <x:c r="D183" s="21" t="str">
        <x:v>F07</x:v>
      </x:c>
      <x:c r="E183" s="21" t="str">
        <x:v>B1</x:v>
      </x:c>
      <x:c r="F183" s="21" t="str">
        <x:v>Requirements</x:v>
      </x:c>
      <x:c r="G183" s="21" t="str">
        <x:v>0.0.0</x:v>
      </x:c>
      <x:c r="H183" s="21" t="str">
        <x:v>Independent Evidence and Data Authority</x:v>
      </x:c>
      <x:c r="I183" s="21" t="str">
        <x:v>OPEN</x:v>
      </x:c>
      <x:c r="J183" s="21" t="str">
        <x:v>HOLD</x:v>
      </x:c>
      <x:c r="K183" s="23" t="str">
        <x:v>what burdens and invalid states bound the effect must be accepted before downstream release</x:v>
      </x:c>
    </x:row>
    <x:row r="184">
      <x:c r="B184" s="21" t="str">
        <x:v>BL-00178</x:v>
      </x:c>
      <x:c r="C184" s="21" t="str">
        <x:v>F07-I2</x:v>
      </x:c>
      <x:c r="D184" s="21" t="str">
        <x:v>F07</x:v>
      </x:c>
      <x:c r="E184" s="21" t="str">
        <x:v>B2</x:v>
      </x:c>
      <x:c r="F184" s="21" t="str">
        <x:v>Architecture</x:v>
      </x:c>
      <x:c r="G184" s="21" t="str">
        <x:v>0.0.0</x:v>
      </x:c>
      <x:c r="H184" s="21" t="str">
        <x:v>Independent Evidence and Data Authority</x:v>
      </x:c>
      <x:c r="I184" s="21" t="str">
        <x:v>OPEN</x:v>
      </x:c>
      <x:c r="J184" s="21" t="str">
        <x:v>HOLD</x:v>
      </x:c>
      <x:c r="K184" s="23" t="str">
        <x:v>what interfaces and budgets govern the system must be accepted before downstream release</x:v>
      </x:c>
    </x:row>
    <x:row r="185">
      <x:c r="B185" s="21" t="str">
        <x:v>BL-00179</x:v>
      </x:c>
      <x:c r="C185" s="21" t="str">
        <x:v>F07-I2</x:v>
      </x:c>
      <x:c r="D185" s="21" t="str">
        <x:v>F07</x:v>
      </x:c>
      <x:c r="E185" s="21" t="str">
        <x:v>B3</x:v>
      </x:c>
      <x:c r="F185" s="21" t="str">
        <x:v>Build</x:v>
      </x:c>
      <x:c r="G185" s="21" t="str">
        <x:v>0.0.0</x:v>
      </x:c>
      <x:c r="H185" s="21" t="str">
        <x:v>Independent Evidence and Data Authority</x:v>
      </x:c>
      <x:c r="I185" s="21" t="str">
        <x:v>OPEN</x:v>
      </x:c>
      <x:c r="J185" s="21" t="str">
        <x:v>HOLD</x:v>
      </x:c>
      <x:c r="K185" s="23" t="str">
        <x:v>what exact configuration produced the article must be accepted before downstream release</x:v>
      </x:c>
    </x:row>
    <x:row r="186">
      <x:c r="B186" s="21" t="str">
        <x:v>BL-00180</x:v>
      </x:c>
      <x:c r="C186" s="21" t="str">
        <x:v>F07-I2</x:v>
      </x:c>
      <x:c r="D186" s="21" t="str">
        <x:v>F07</x:v>
      </x:c>
      <x:c r="E186" s="21" t="str">
        <x:v>B4</x:v>
      </x:c>
      <x:c r="F186" s="21" t="str">
        <x:v>Trial</x:v>
      </x:c>
      <x:c r="G186" s="21" t="str">
        <x:v>0.0.0</x:v>
      </x:c>
      <x:c r="H186" s="21" t="str">
        <x:v>Independent Evidence and Data Authority</x:v>
      </x:c>
      <x:c r="I186" s="21" t="str">
        <x:v>OPEN</x:v>
      </x:c>
      <x:c r="J186" s="21" t="str">
        <x:v>HOLD</x:v>
      </x:c>
      <x:c r="K186" s="23" t="str">
        <x:v>what configuration method and damage world produced evidence must be accepted before downstream release</x:v>
      </x:c>
    </x:row>
    <x:row r="187">
      <x:c r="B187" s="21" t="str">
        <x:v>BL-00181</x:v>
      </x:c>
      <x:c r="C187" s="21" t="str">
        <x:v>F07-I2</x:v>
      </x:c>
      <x:c r="D187" s="21" t="str">
        <x:v>F07</x:v>
      </x:c>
      <x:c r="E187" s="21" t="str">
        <x:v>B5</x:v>
      </x:c>
      <x:c r="F187" s="21" t="str">
        <x:v>Production</x:v>
      </x:c>
      <x:c r="G187" s="21" t="str">
        <x:v>0.0.0</x:v>
      </x:c>
      <x:c r="H187" s="21" t="str">
        <x:v>Independent Evidence and Data Authority</x:v>
      </x:c>
      <x:c r="I187" s="21" t="str">
        <x:v>OPEN</x:v>
      </x:c>
      <x:c r="J187" s="21" t="str">
        <x:v>HOLD</x:v>
      </x:c>
      <x:c r="K187" s="23" t="str">
        <x:v>what process configuration and acceptance define serial output must be accepted before downstream release</x:v>
      </x:c>
    </x:row>
    <x:row r="188">
      <x:c r="B188" s="21" t="str">
        <x:v>BL-00182</x:v>
      </x:c>
      <x:c r="C188" s="21" t="str">
        <x:v>F07-I2</x:v>
      </x:c>
      <x:c r="D188" s="21" t="str">
        <x:v>F07</x:v>
      </x:c>
      <x:c r="E188" s="21" t="str">
        <x:v>B6</x:v>
      </x:c>
      <x:c r="F188" s="21" t="str">
        <x:v>Mobilization</x:v>
      </x:c>
      <x:c r="G188" s="21" t="str">
        <x:v>0.0.0</x:v>
      </x:c>
      <x:c r="H188" s="21" t="str">
        <x:v>Independent Evidence and Data Authority</x:v>
      </x:c>
      <x:c r="I188" s="21" t="str">
        <x:v>OPEN</x:v>
      </x:c>
      <x:c r="J188" s="21" t="str">
        <x:v>HOLD</x:v>
      </x:c>
      <x:c r="K188" s="23" t="str">
        <x:v>what people tools suppliers and routes reproduce conforming service must be accepted before downstream release</x:v>
      </x:c>
    </x:row>
    <x:row r="189">
      <x:c r="B189" s="21" t="str">
        <x:v>BL-00183</x:v>
      </x:c>
      <x:c r="C189" s="21" t="str">
        <x:v>F07-I3</x:v>
      </x:c>
      <x:c r="D189" s="21" t="str">
        <x:v>F07</x:v>
      </x:c>
      <x:c r="E189" s="21" t="str">
        <x:v>B0</x:v>
      </x:c>
      <x:c r="F189" s="21" t="str">
        <x:v>Effect</x:v>
      </x:c>
      <x:c r="G189" s="21" t="str">
        <x:v>0.0.0</x:v>
      </x:c>
      <x:c r="H189" s="21" t="str">
        <x:v>Independent Evidence and Data Authority</x:v>
      </x:c>
      <x:c r="I189" s="21" t="str">
        <x:v>OPEN</x:v>
      </x:c>
      <x:c r="J189" s="21" t="str">
        <x:v>HOLD</x:v>
      </x:c>
      <x:c r="K189" s="23" t="str">
        <x:v>what public condition must exist must be accepted before downstream release</x:v>
      </x:c>
    </x:row>
    <x:row r="190">
      <x:c r="B190" s="21" t="str">
        <x:v>BL-00184</x:v>
      </x:c>
      <x:c r="C190" s="21" t="str">
        <x:v>F07-I3</x:v>
      </x:c>
      <x:c r="D190" s="21" t="str">
        <x:v>F07</x:v>
      </x:c>
      <x:c r="E190" s="21" t="str">
        <x:v>B1</x:v>
      </x:c>
      <x:c r="F190" s="21" t="str">
        <x:v>Requirements</x:v>
      </x:c>
      <x:c r="G190" s="21" t="str">
        <x:v>0.0.0</x:v>
      </x:c>
      <x:c r="H190" s="21" t="str">
        <x:v>Independent Evidence and Data Authority</x:v>
      </x:c>
      <x:c r="I190" s="21" t="str">
        <x:v>OPEN</x:v>
      </x:c>
      <x:c r="J190" s="21" t="str">
        <x:v>HOLD</x:v>
      </x:c>
      <x:c r="K190" s="23" t="str">
        <x:v>what burdens and invalid states bound the effect must be accepted before downstream release</x:v>
      </x:c>
    </x:row>
    <x:row r="191">
      <x:c r="B191" s="21" t="str">
        <x:v>BL-00185</x:v>
      </x:c>
      <x:c r="C191" s="21" t="str">
        <x:v>F07-I3</x:v>
      </x:c>
      <x:c r="D191" s="21" t="str">
        <x:v>F07</x:v>
      </x:c>
      <x:c r="E191" s="21" t="str">
        <x:v>B2</x:v>
      </x:c>
      <x:c r="F191" s="21" t="str">
        <x:v>Architecture</x:v>
      </x:c>
      <x:c r="G191" s="21" t="str">
        <x:v>0.0.0</x:v>
      </x:c>
      <x:c r="H191" s="21" t="str">
        <x:v>Independent Evidence and Data Authority</x:v>
      </x:c>
      <x:c r="I191" s="21" t="str">
        <x:v>OPEN</x:v>
      </x:c>
      <x:c r="J191" s="21" t="str">
        <x:v>HOLD</x:v>
      </x:c>
      <x:c r="K191" s="23" t="str">
        <x:v>what interfaces and budgets govern the system must be accepted before downstream release</x:v>
      </x:c>
    </x:row>
    <x:row r="192">
      <x:c r="B192" s="21" t="str">
        <x:v>BL-00186</x:v>
      </x:c>
      <x:c r="C192" s="21" t="str">
        <x:v>F07-I3</x:v>
      </x:c>
      <x:c r="D192" s="21" t="str">
        <x:v>F07</x:v>
      </x:c>
      <x:c r="E192" s="21" t="str">
        <x:v>B3</x:v>
      </x:c>
      <x:c r="F192" s="21" t="str">
        <x:v>Build</x:v>
      </x:c>
      <x:c r="G192" s="21" t="str">
        <x:v>0.0.0</x:v>
      </x:c>
      <x:c r="H192" s="21" t="str">
        <x:v>Independent Evidence and Data Authority</x:v>
      </x:c>
      <x:c r="I192" s="21" t="str">
        <x:v>OPEN</x:v>
      </x:c>
      <x:c r="J192" s="21" t="str">
        <x:v>HOLD</x:v>
      </x:c>
      <x:c r="K192" s="23" t="str">
        <x:v>what exact configuration produced the article must be accepted before downstream release</x:v>
      </x:c>
    </x:row>
    <x:row r="193">
      <x:c r="B193" s="21" t="str">
        <x:v>BL-00187</x:v>
      </x:c>
      <x:c r="C193" s="21" t="str">
        <x:v>F07-I3</x:v>
      </x:c>
      <x:c r="D193" s="21" t="str">
        <x:v>F07</x:v>
      </x:c>
      <x:c r="E193" s="21" t="str">
        <x:v>B4</x:v>
      </x:c>
      <x:c r="F193" s="21" t="str">
        <x:v>Trial</x:v>
      </x:c>
      <x:c r="G193" s="21" t="str">
        <x:v>0.0.0</x:v>
      </x:c>
      <x:c r="H193" s="21" t="str">
        <x:v>Independent Evidence and Data Authority</x:v>
      </x:c>
      <x:c r="I193" s="21" t="str">
        <x:v>OPEN</x:v>
      </x:c>
      <x:c r="J193" s="21" t="str">
        <x:v>HOLD</x:v>
      </x:c>
      <x:c r="K193" s="23" t="str">
        <x:v>what configuration method and damage world produced evidence must be accepted before downstream release</x:v>
      </x:c>
    </x:row>
    <x:row r="194">
      <x:c r="B194" s="21" t="str">
        <x:v>BL-00188</x:v>
      </x:c>
      <x:c r="C194" s="21" t="str">
        <x:v>F07-I3</x:v>
      </x:c>
      <x:c r="D194" s="21" t="str">
        <x:v>F07</x:v>
      </x:c>
      <x:c r="E194" s="21" t="str">
        <x:v>B5</x:v>
      </x:c>
      <x:c r="F194" s="21" t="str">
        <x:v>Production</x:v>
      </x:c>
      <x:c r="G194" s="21" t="str">
        <x:v>0.0.0</x:v>
      </x:c>
      <x:c r="H194" s="21" t="str">
        <x:v>Independent Evidence and Data Authority</x:v>
      </x:c>
      <x:c r="I194" s="21" t="str">
        <x:v>OPEN</x:v>
      </x:c>
      <x:c r="J194" s="21" t="str">
        <x:v>HOLD</x:v>
      </x:c>
      <x:c r="K194" s="23" t="str">
        <x:v>what process configuration and acceptance define serial output must be accepted before downstream release</x:v>
      </x:c>
    </x:row>
    <x:row r="195">
      <x:c r="B195" s="21" t="str">
        <x:v>BL-00189</x:v>
      </x:c>
      <x:c r="C195" s="21" t="str">
        <x:v>F07-I3</x:v>
      </x:c>
      <x:c r="D195" s="21" t="str">
        <x:v>F07</x:v>
      </x:c>
      <x:c r="E195" s="21" t="str">
        <x:v>B6</x:v>
      </x:c>
      <x:c r="F195" s="21" t="str">
        <x:v>Mobilization</x:v>
      </x:c>
      <x:c r="G195" s="21" t="str">
        <x:v>0.0.0</x:v>
      </x:c>
      <x:c r="H195" s="21" t="str">
        <x:v>Independent Evidence and Data Authority</x:v>
      </x:c>
      <x:c r="I195" s="21" t="str">
        <x:v>OPEN</x:v>
      </x:c>
      <x:c r="J195" s="21" t="str">
        <x:v>HOLD</x:v>
      </x:c>
      <x:c r="K195" s="23" t="str">
        <x:v>what people tools suppliers and routes reproduce conforming service must be accepted before downstream release</x:v>
      </x:c>
    </x:row>
    <x:row r="196">
      <x:c r="B196" s="21" t="str">
        <x:v>BL-00190</x:v>
      </x:c>
      <x:c r="C196" s="21" t="str">
        <x:v>F07-I4</x:v>
      </x:c>
      <x:c r="D196" s="21" t="str">
        <x:v>F07</x:v>
      </x:c>
      <x:c r="E196" s="21" t="str">
        <x:v>B0</x:v>
      </x:c>
      <x:c r="F196" s="21" t="str">
        <x:v>Effect</x:v>
      </x:c>
      <x:c r="G196" s="21" t="str">
        <x:v>0.0.0</x:v>
      </x:c>
      <x:c r="H196" s="21" t="str">
        <x:v>Independent Evidence and Data Authority</x:v>
      </x:c>
      <x:c r="I196" s="21" t="str">
        <x:v>OPEN</x:v>
      </x:c>
      <x:c r="J196" s="21" t="str">
        <x:v>HOLD</x:v>
      </x:c>
      <x:c r="K196" s="23" t="str">
        <x:v>what public condition must exist must be accepted before downstream release</x:v>
      </x:c>
    </x:row>
    <x:row r="197">
      <x:c r="B197" s="21" t="str">
        <x:v>BL-00191</x:v>
      </x:c>
      <x:c r="C197" s="21" t="str">
        <x:v>F07-I4</x:v>
      </x:c>
      <x:c r="D197" s="21" t="str">
        <x:v>F07</x:v>
      </x:c>
      <x:c r="E197" s="21" t="str">
        <x:v>B1</x:v>
      </x:c>
      <x:c r="F197" s="21" t="str">
        <x:v>Requirements</x:v>
      </x:c>
      <x:c r="G197" s="21" t="str">
        <x:v>0.0.0</x:v>
      </x:c>
      <x:c r="H197" s="21" t="str">
        <x:v>Independent Evidence and Data Authority</x:v>
      </x:c>
      <x:c r="I197" s="21" t="str">
        <x:v>OPEN</x:v>
      </x:c>
      <x:c r="J197" s="21" t="str">
        <x:v>HOLD</x:v>
      </x:c>
      <x:c r="K197" s="23" t="str">
        <x:v>what burdens and invalid states bound the effect must be accepted before downstream release</x:v>
      </x:c>
    </x:row>
    <x:row r="198">
      <x:c r="B198" s="21" t="str">
        <x:v>BL-00192</x:v>
      </x:c>
      <x:c r="C198" s="21" t="str">
        <x:v>F07-I4</x:v>
      </x:c>
      <x:c r="D198" s="21" t="str">
        <x:v>F07</x:v>
      </x:c>
      <x:c r="E198" s="21" t="str">
        <x:v>B2</x:v>
      </x:c>
      <x:c r="F198" s="21" t="str">
        <x:v>Architecture</x:v>
      </x:c>
      <x:c r="G198" s="21" t="str">
        <x:v>0.0.0</x:v>
      </x:c>
      <x:c r="H198" s="21" t="str">
        <x:v>Independent Evidence and Data Authority</x:v>
      </x:c>
      <x:c r="I198" s="21" t="str">
        <x:v>OPEN</x:v>
      </x:c>
      <x:c r="J198" s="21" t="str">
        <x:v>HOLD</x:v>
      </x:c>
      <x:c r="K198" s="23" t="str">
        <x:v>what interfaces and budgets govern the system must be accepted before downstream release</x:v>
      </x:c>
    </x:row>
    <x:row r="199">
      <x:c r="B199" s="21" t="str">
        <x:v>BL-00193</x:v>
      </x:c>
      <x:c r="C199" s="21" t="str">
        <x:v>F07-I4</x:v>
      </x:c>
      <x:c r="D199" s="21" t="str">
        <x:v>F07</x:v>
      </x:c>
      <x:c r="E199" s="21" t="str">
        <x:v>B3</x:v>
      </x:c>
      <x:c r="F199" s="21" t="str">
        <x:v>Build</x:v>
      </x:c>
      <x:c r="G199" s="21" t="str">
        <x:v>0.0.0</x:v>
      </x:c>
      <x:c r="H199" s="21" t="str">
        <x:v>Independent Evidence and Data Authority</x:v>
      </x:c>
      <x:c r="I199" s="21" t="str">
        <x:v>OPEN</x:v>
      </x:c>
      <x:c r="J199" s="21" t="str">
        <x:v>HOLD</x:v>
      </x:c>
      <x:c r="K199" s="23" t="str">
        <x:v>what exact configuration produced the article must be accepted before downstream release</x:v>
      </x:c>
    </x:row>
    <x:row r="200">
      <x:c r="B200" s="21" t="str">
        <x:v>BL-00194</x:v>
      </x:c>
      <x:c r="C200" s="21" t="str">
        <x:v>F07-I4</x:v>
      </x:c>
      <x:c r="D200" s="21" t="str">
        <x:v>F07</x:v>
      </x:c>
      <x:c r="E200" s="21" t="str">
        <x:v>B4</x:v>
      </x:c>
      <x:c r="F200" s="21" t="str">
        <x:v>Trial</x:v>
      </x:c>
      <x:c r="G200" s="21" t="str">
        <x:v>0.0.0</x:v>
      </x:c>
      <x:c r="H200" s="21" t="str">
        <x:v>Independent Evidence and Data Authority</x:v>
      </x:c>
      <x:c r="I200" s="21" t="str">
        <x:v>OPEN</x:v>
      </x:c>
      <x:c r="J200" s="21" t="str">
        <x:v>HOLD</x:v>
      </x:c>
      <x:c r="K200" s="23" t="str">
        <x:v>what configuration method and damage world produced evidence must be accepted before downstream release</x:v>
      </x:c>
    </x:row>
    <x:row r="201">
      <x:c r="B201" s="21" t="str">
        <x:v>BL-00195</x:v>
      </x:c>
      <x:c r="C201" s="21" t="str">
        <x:v>F07-I4</x:v>
      </x:c>
      <x:c r="D201" s="21" t="str">
        <x:v>F07</x:v>
      </x:c>
      <x:c r="E201" s="21" t="str">
        <x:v>B5</x:v>
      </x:c>
      <x:c r="F201" s="21" t="str">
        <x:v>Production</x:v>
      </x:c>
      <x:c r="G201" s="21" t="str">
        <x:v>0.0.0</x:v>
      </x:c>
      <x:c r="H201" s="21" t="str">
        <x:v>Independent Evidence and Data Authority</x:v>
      </x:c>
      <x:c r="I201" s="21" t="str">
        <x:v>OPEN</x:v>
      </x:c>
      <x:c r="J201" s="21" t="str">
        <x:v>HOLD</x:v>
      </x:c>
      <x:c r="K201" s="23" t="str">
        <x:v>what process configuration and acceptance define serial output must be accepted before downstream release</x:v>
      </x:c>
    </x:row>
    <x:row r="202">
      <x:c r="B202" s="21" t="str">
        <x:v>BL-00196</x:v>
      </x:c>
      <x:c r="C202" s="21" t="str">
        <x:v>F07-I4</x:v>
      </x:c>
      <x:c r="D202" s="21" t="str">
        <x:v>F07</x:v>
      </x:c>
      <x:c r="E202" s="21" t="str">
        <x:v>B6</x:v>
      </x:c>
      <x:c r="F202" s="21" t="str">
        <x:v>Mobilization</x:v>
      </x:c>
      <x:c r="G202" s="21" t="str">
        <x:v>0.0.0</x:v>
      </x:c>
      <x:c r="H202" s="21" t="str">
        <x:v>Independent Evidence and Data Authority</x:v>
      </x:c>
      <x:c r="I202" s="21" t="str">
        <x:v>OPEN</x:v>
      </x:c>
      <x:c r="J202" s="21" t="str">
        <x:v>HOLD</x:v>
      </x:c>
      <x:c r="K202" s="23" t="str">
        <x:v>what people tools suppliers and routes reproduce conforming service must be accepted before downstream release</x:v>
      </x:c>
    </x:row>
    <x:row r="203">
      <x:c r="B203" s="21" t="str">
        <x:v>BL-00197</x:v>
      </x:c>
      <x:c r="C203" s="21" t="str">
        <x:v>F08-I1</x:v>
      </x:c>
      <x:c r="D203" s="21" t="str">
        <x:v>F08</x:v>
      </x:c>
      <x:c r="E203" s="21" t="str">
        <x:v>B0</x:v>
      </x:c>
      <x:c r="F203" s="21" t="str">
        <x:v>Effect</x:v>
      </x:c>
      <x:c r="G203" s="21" t="str">
        <x:v>0.0.0</x:v>
      </x:c>
      <x:c r="H203" s="21" t="str">
        <x:v>Independent Evidence and Data Authority</x:v>
      </x:c>
      <x:c r="I203" s="21" t="str">
        <x:v>OPEN</x:v>
      </x:c>
      <x:c r="J203" s="21" t="str">
        <x:v>HOLD</x:v>
      </x:c>
      <x:c r="K203" s="23" t="str">
        <x:v>what public condition must exist must be accepted before downstream release</x:v>
      </x:c>
    </x:row>
    <x:row r="204">
      <x:c r="B204" s="21" t="str">
        <x:v>BL-00198</x:v>
      </x:c>
      <x:c r="C204" s="21" t="str">
        <x:v>F08-I1</x:v>
      </x:c>
      <x:c r="D204" s="21" t="str">
        <x:v>F08</x:v>
      </x:c>
      <x:c r="E204" s="21" t="str">
        <x:v>B1</x:v>
      </x:c>
      <x:c r="F204" s="21" t="str">
        <x:v>Requirements</x:v>
      </x:c>
      <x:c r="G204" s="21" t="str">
        <x:v>0.0.0</x:v>
      </x:c>
      <x:c r="H204" s="21" t="str">
        <x:v>Independent Evidence and Data Authority</x:v>
      </x:c>
      <x:c r="I204" s="21" t="str">
        <x:v>OPEN</x:v>
      </x:c>
      <x:c r="J204" s="21" t="str">
        <x:v>HOLD</x:v>
      </x:c>
      <x:c r="K204" s="23" t="str">
        <x:v>what burdens and invalid states bound the effect must be accepted before downstream release</x:v>
      </x:c>
    </x:row>
    <x:row r="205">
      <x:c r="B205" s="21" t="str">
        <x:v>BL-00199</x:v>
      </x:c>
      <x:c r="C205" s="21" t="str">
        <x:v>F08-I1</x:v>
      </x:c>
      <x:c r="D205" s="21" t="str">
        <x:v>F08</x:v>
      </x:c>
      <x:c r="E205" s="21" t="str">
        <x:v>B2</x:v>
      </x:c>
      <x:c r="F205" s="21" t="str">
        <x:v>Architecture</x:v>
      </x:c>
      <x:c r="G205" s="21" t="str">
        <x:v>0.0.0</x:v>
      </x:c>
      <x:c r="H205" s="21" t="str">
        <x:v>Independent Evidence and Data Authority</x:v>
      </x:c>
      <x:c r="I205" s="21" t="str">
        <x:v>OPEN</x:v>
      </x:c>
      <x:c r="J205" s="21" t="str">
        <x:v>HOLD</x:v>
      </x:c>
      <x:c r="K205" s="23" t="str">
        <x:v>what interfaces and budgets govern the system must be accepted before downstream release</x:v>
      </x:c>
    </x:row>
    <x:row r="206">
      <x:c r="B206" s="21" t="str">
        <x:v>BL-00200</x:v>
      </x:c>
      <x:c r="C206" s="21" t="str">
        <x:v>F08-I1</x:v>
      </x:c>
      <x:c r="D206" s="21" t="str">
        <x:v>F08</x:v>
      </x:c>
      <x:c r="E206" s="21" t="str">
        <x:v>B3</x:v>
      </x:c>
      <x:c r="F206" s="21" t="str">
        <x:v>Build</x:v>
      </x:c>
      <x:c r="G206" s="21" t="str">
        <x:v>0.0.0</x:v>
      </x:c>
      <x:c r="H206" s="21" t="str">
        <x:v>Independent Evidence and Data Authority</x:v>
      </x:c>
      <x:c r="I206" s="21" t="str">
        <x:v>OPEN</x:v>
      </x:c>
      <x:c r="J206" s="21" t="str">
        <x:v>HOLD</x:v>
      </x:c>
      <x:c r="K206" s="23" t="str">
        <x:v>what exact configuration produced the article must be accepted before downstream release</x:v>
      </x:c>
    </x:row>
    <x:row r="207">
      <x:c r="B207" s="21" t="str">
        <x:v>BL-00201</x:v>
      </x:c>
      <x:c r="C207" s="21" t="str">
        <x:v>F08-I1</x:v>
      </x:c>
      <x:c r="D207" s="21" t="str">
        <x:v>F08</x:v>
      </x:c>
      <x:c r="E207" s="21" t="str">
        <x:v>B4</x:v>
      </x:c>
      <x:c r="F207" s="21" t="str">
        <x:v>Trial</x:v>
      </x:c>
      <x:c r="G207" s="21" t="str">
        <x:v>0.0.0</x:v>
      </x:c>
      <x:c r="H207" s="21" t="str">
        <x:v>Independent Evidence and Data Authority</x:v>
      </x:c>
      <x:c r="I207" s="21" t="str">
        <x:v>OPEN</x:v>
      </x:c>
      <x:c r="J207" s="21" t="str">
        <x:v>HOLD</x:v>
      </x:c>
      <x:c r="K207" s="23" t="str">
        <x:v>what configuration method and damage world produced evidence must be accepted before downstream release</x:v>
      </x:c>
    </x:row>
    <x:row r="208">
      <x:c r="B208" s="21" t="str">
        <x:v>BL-00202</x:v>
      </x:c>
      <x:c r="C208" s="21" t="str">
        <x:v>F08-I1</x:v>
      </x:c>
      <x:c r="D208" s="21" t="str">
        <x:v>F08</x:v>
      </x:c>
      <x:c r="E208" s="21" t="str">
        <x:v>B5</x:v>
      </x:c>
      <x:c r="F208" s="21" t="str">
        <x:v>Production</x:v>
      </x:c>
      <x:c r="G208" s="21" t="str">
        <x:v>0.0.0</x:v>
      </x:c>
      <x:c r="H208" s="21" t="str">
        <x:v>Independent Evidence and Data Authority</x:v>
      </x:c>
      <x:c r="I208" s="21" t="str">
        <x:v>OPEN</x:v>
      </x:c>
      <x:c r="J208" s="21" t="str">
        <x:v>HOLD</x:v>
      </x:c>
      <x:c r="K208" s="23" t="str">
        <x:v>what process configuration and acceptance define serial output must be accepted before downstream release</x:v>
      </x:c>
    </x:row>
    <x:row r="209">
      <x:c r="B209" s="21" t="str">
        <x:v>BL-00203</x:v>
      </x:c>
      <x:c r="C209" s="21" t="str">
        <x:v>F08-I1</x:v>
      </x:c>
      <x:c r="D209" s="21" t="str">
        <x:v>F08</x:v>
      </x:c>
      <x:c r="E209" s="21" t="str">
        <x:v>B6</x:v>
      </x:c>
      <x:c r="F209" s="21" t="str">
        <x:v>Mobilization</x:v>
      </x:c>
      <x:c r="G209" s="21" t="str">
        <x:v>0.0.0</x:v>
      </x:c>
      <x:c r="H209" s="21" t="str">
        <x:v>Independent Evidence and Data Authority</x:v>
      </x:c>
      <x:c r="I209" s="21" t="str">
        <x:v>OPEN</x:v>
      </x:c>
      <x:c r="J209" s="21" t="str">
        <x:v>HOLD</x:v>
      </x:c>
      <x:c r="K209" s="23" t="str">
        <x:v>what people tools suppliers and routes reproduce conforming service must be accepted before downstream release</x:v>
      </x:c>
    </x:row>
    <x:row r="210">
      <x:c r="B210" s="21" t="str">
        <x:v>BL-00204</x:v>
      </x:c>
      <x:c r="C210" s="21" t="str">
        <x:v>F08-I2</x:v>
      </x:c>
      <x:c r="D210" s="21" t="str">
        <x:v>F08</x:v>
      </x:c>
      <x:c r="E210" s="21" t="str">
        <x:v>B0</x:v>
      </x:c>
      <x:c r="F210" s="21" t="str">
        <x:v>Effect</x:v>
      </x:c>
      <x:c r="G210" s="21" t="str">
        <x:v>0.0.0</x:v>
      </x:c>
      <x:c r="H210" s="21" t="str">
        <x:v>Independent Evidence and Data Authority</x:v>
      </x:c>
      <x:c r="I210" s="21" t="str">
        <x:v>OPEN</x:v>
      </x:c>
      <x:c r="J210" s="21" t="str">
        <x:v>HOLD</x:v>
      </x:c>
      <x:c r="K210" s="23" t="str">
        <x:v>what public condition must exist must be accepted before downstream release</x:v>
      </x:c>
    </x:row>
    <x:row r="211">
      <x:c r="B211" s="21" t="str">
        <x:v>BL-00205</x:v>
      </x:c>
      <x:c r="C211" s="21" t="str">
        <x:v>F08-I2</x:v>
      </x:c>
      <x:c r="D211" s="21" t="str">
        <x:v>F08</x:v>
      </x:c>
      <x:c r="E211" s="21" t="str">
        <x:v>B1</x:v>
      </x:c>
      <x:c r="F211" s="21" t="str">
        <x:v>Requirements</x:v>
      </x:c>
      <x:c r="G211" s="21" t="str">
        <x:v>0.0.0</x:v>
      </x:c>
      <x:c r="H211" s="21" t="str">
        <x:v>Independent Evidence and Data Authority</x:v>
      </x:c>
      <x:c r="I211" s="21" t="str">
        <x:v>OPEN</x:v>
      </x:c>
      <x:c r="J211" s="21" t="str">
        <x:v>HOLD</x:v>
      </x:c>
      <x:c r="K211" s="23" t="str">
        <x:v>what burdens and invalid states bound the effect must be accepted before downstream release</x:v>
      </x:c>
    </x:row>
    <x:row r="212">
      <x:c r="B212" s="21" t="str">
        <x:v>BL-00206</x:v>
      </x:c>
      <x:c r="C212" s="21" t="str">
        <x:v>F08-I2</x:v>
      </x:c>
      <x:c r="D212" s="21" t="str">
        <x:v>F08</x:v>
      </x:c>
      <x:c r="E212" s="21" t="str">
        <x:v>B2</x:v>
      </x:c>
      <x:c r="F212" s="21" t="str">
        <x:v>Architecture</x:v>
      </x:c>
      <x:c r="G212" s="21" t="str">
        <x:v>0.0.0</x:v>
      </x:c>
      <x:c r="H212" s="21" t="str">
        <x:v>Independent Evidence and Data Authority</x:v>
      </x:c>
      <x:c r="I212" s="21" t="str">
        <x:v>OPEN</x:v>
      </x:c>
      <x:c r="J212" s="21" t="str">
        <x:v>HOLD</x:v>
      </x:c>
      <x:c r="K212" s="23" t="str">
        <x:v>what interfaces and budgets govern the system must be accepted before downstream release</x:v>
      </x:c>
    </x:row>
    <x:row r="213">
      <x:c r="B213" s="21" t="str">
        <x:v>BL-00207</x:v>
      </x:c>
      <x:c r="C213" s="21" t="str">
        <x:v>F08-I2</x:v>
      </x:c>
      <x:c r="D213" s="21" t="str">
        <x:v>F08</x:v>
      </x:c>
      <x:c r="E213" s="21" t="str">
        <x:v>B3</x:v>
      </x:c>
      <x:c r="F213" s="21" t="str">
        <x:v>Build</x:v>
      </x:c>
      <x:c r="G213" s="21" t="str">
        <x:v>0.0.0</x:v>
      </x:c>
      <x:c r="H213" s="21" t="str">
        <x:v>Independent Evidence and Data Authority</x:v>
      </x:c>
      <x:c r="I213" s="21" t="str">
        <x:v>OPEN</x:v>
      </x:c>
      <x:c r="J213" s="21" t="str">
        <x:v>HOLD</x:v>
      </x:c>
      <x:c r="K213" s="23" t="str">
        <x:v>what exact configuration produced the article must be accepted before downstream release</x:v>
      </x:c>
    </x:row>
    <x:row r="214">
      <x:c r="B214" s="21" t="str">
        <x:v>BL-00208</x:v>
      </x:c>
      <x:c r="C214" s="21" t="str">
        <x:v>F08-I2</x:v>
      </x:c>
      <x:c r="D214" s="21" t="str">
        <x:v>F08</x:v>
      </x:c>
      <x:c r="E214" s="21" t="str">
        <x:v>B4</x:v>
      </x:c>
      <x:c r="F214" s="21" t="str">
        <x:v>Trial</x:v>
      </x:c>
      <x:c r="G214" s="21" t="str">
        <x:v>0.0.0</x:v>
      </x:c>
      <x:c r="H214" s="21" t="str">
        <x:v>Independent Evidence and Data Authority</x:v>
      </x:c>
      <x:c r="I214" s="21" t="str">
        <x:v>OPEN</x:v>
      </x:c>
      <x:c r="J214" s="21" t="str">
        <x:v>HOLD</x:v>
      </x:c>
      <x:c r="K214" s="23" t="str">
        <x:v>what configuration method and damage world produced evidence must be accepted before downstream release</x:v>
      </x:c>
    </x:row>
    <x:row r="215">
      <x:c r="B215" s="21" t="str">
        <x:v>BL-00209</x:v>
      </x:c>
      <x:c r="C215" s="21" t="str">
        <x:v>F08-I2</x:v>
      </x:c>
      <x:c r="D215" s="21" t="str">
        <x:v>F08</x:v>
      </x:c>
      <x:c r="E215" s="21" t="str">
        <x:v>B5</x:v>
      </x:c>
      <x:c r="F215" s="21" t="str">
        <x:v>Production</x:v>
      </x:c>
      <x:c r="G215" s="21" t="str">
        <x:v>0.0.0</x:v>
      </x:c>
      <x:c r="H215" s="21" t="str">
        <x:v>Independent Evidence and Data Authority</x:v>
      </x:c>
      <x:c r="I215" s="21" t="str">
        <x:v>OPEN</x:v>
      </x:c>
      <x:c r="J215" s="21" t="str">
        <x:v>HOLD</x:v>
      </x:c>
      <x:c r="K215" s="23" t="str">
        <x:v>what process configuration and acceptance define serial output must be accepted before downstream release</x:v>
      </x:c>
    </x:row>
    <x:row r="216">
      <x:c r="B216" s="21" t="str">
        <x:v>BL-00210</x:v>
      </x:c>
      <x:c r="C216" s="21" t="str">
        <x:v>F08-I2</x:v>
      </x:c>
      <x:c r="D216" s="21" t="str">
        <x:v>F08</x:v>
      </x:c>
      <x:c r="E216" s="21" t="str">
        <x:v>B6</x:v>
      </x:c>
      <x:c r="F216" s="21" t="str">
        <x:v>Mobilization</x:v>
      </x:c>
      <x:c r="G216" s="21" t="str">
        <x:v>0.0.0</x:v>
      </x:c>
      <x:c r="H216" s="21" t="str">
        <x:v>Independent Evidence and Data Authority</x:v>
      </x:c>
      <x:c r="I216" s="21" t="str">
        <x:v>OPEN</x:v>
      </x:c>
      <x:c r="J216" s="21" t="str">
        <x:v>HOLD</x:v>
      </x:c>
      <x:c r="K216" s="23" t="str">
        <x:v>what people tools suppliers and routes reproduce conforming service must be accepted before downstream release</x:v>
      </x:c>
    </x:row>
    <x:row r="217">
      <x:c r="B217" s="21" t="str">
        <x:v>BL-00211</x:v>
      </x:c>
      <x:c r="C217" s="21" t="str">
        <x:v>F08-I3</x:v>
      </x:c>
      <x:c r="D217" s="21" t="str">
        <x:v>F08</x:v>
      </x:c>
      <x:c r="E217" s="21" t="str">
        <x:v>B0</x:v>
      </x:c>
      <x:c r="F217" s="21" t="str">
        <x:v>Effect</x:v>
      </x:c>
      <x:c r="G217" s="21" t="str">
        <x:v>0.0.0</x:v>
      </x:c>
      <x:c r="H217" s="21" t="str">
        <x:v>Independent Evidence and Data Authority</x:v>
      </x:c>
      <x:c r="I217" s="21" t="str">
        <x:v>OPEN</x:v>
      </x:c>
      <x:c r="J217" s="21" t="str">
        <x:v>HOLD</x:v>
      </x:c>
      <x:c r="K217" s="23" t="str">
        <x:v>what public condition must exist must be accepted before downstream release</x:v>
      </x:c>
    </x:row>
    <x:row r="218">
      <x:c r="B218" s="21" t="str">
        <x:v>BL-00212</x:v>
      </x:c>
      <x:c r="C218" s="21" t="str">
        <x:v>F08-I3</x:v>
      </x:c>
      <x:c r="D218" s="21" t="str">
        <x:v>F08</x:v>
      </x:c>
      <x:c r="E218" s="21" t="str">
        <x:v>B1</x:v>
      </x:c>
      <x:c r="F218" s="21" t="str">
        <x:v>Requirements</x:v>
      </x:c>
      <x:c r="G218" s="21" t="str">
        <x:v>0.0.0</x:v>
      </x:c>
      <x:c r="H218" s="21" t="str">
        <x:v>Independent Evidence and Data Authority</x:v>
      </x:c>
      <x:c r="I218" s="21" t="str">
        <x:v>OPEN</x:v>
      </x:c>
      <x:c r="J218" s="21" t="str">
        <x:v>HOLD</x:v>
      </x:c>
      <x:c r="K218" s="23" t="str">
        <x:v>what burdens and invalid states bound the effect must be accepted before downstream release</x:v>
      </x:c>
    </x:row>
    <x:row r="219">
      <x:c r="B219" s="21" t="str">
        <x:v>BL-00213</x:v>
      </x:c>
      <x:c r="C219" s="21" t="str">
        <x:v>F08-I3</x:v>
      </x:c>
      <x:c r="D219" s="21" t="str">
        <x:v>F08</x:v>
      </x:c>
      <x:c r="E219" s="21" t="str">
        <x:v>B2</x:v>
      </x:c>
      <x:c r="F219" s="21" t="str">
        <x:v>Architecture</x:v>
      </x:c>
      <x:c r="G219" s="21" t="str">
        <x:v>0.0.0</x:v>
      </x:c>
      <x:c r="H219" s="21" t="str">
        <x:v>Independent Evidence and Data Authority</x:v>
      </x:c>
      <x:c r="I219" s="21" t="str">
        <x:v>OPEN</x:v>
      </x:c>
      <x:c r="J219" s="21" t="str">
        <x:v>HOLD</x:v>
      </x:c>
      <x:c r="K219" s="23" t="str">
        <x:v>what interfaces and budgets govern the system must be accepted before downstream release</x:v>
      </x:c>
    </x:row>
    <x:row r="220">
      <x:c r="B220" s="21" t="str">
        <x:v>BL-00214</x:v>
      </x:c>
      <x:c r="C220" s="21" t="str">
        <x:v>F08-I3</x:v>
      </x:c>
      <x:c r="D220" s="21" t="str">
        <x:v>F08</x:v>
      </x:c>
      <x:c r="E220" s="21" t="str">
        <x:v>B3</x:v>
      </x:c>
      <x:c r="F220" s="21" t="str">
        <x:v>Build</x:v>
      </x:c>
      <x:c r="G220" s="21" t="str">
        <x:v>0.0.0</x:v>
      </x:c>
      <x:c r="H220" s="21" t="str">
        <x:v>Independent Evidence and Data Authority</x:v>
      </x:c>
      <x:c r="I220" s="21" t="str">
        <x:v>OPEN</x:v>
      </x:c>
      <x:c r="J220" s="21" t="str">
        <x:v>HOLD</x:v>
      </x:c>
      <x:c r="K220" s="23" t="str">
        <x:v>what exact configuration produced the article must be accepted before downstream release</x:v>
      </x:c>
    </x:row>
    <x:row r="221">
      <x:c r="B221" s="21" t="str">
        <x:v>BL-00215</x:v>
      </x:c>
      <x:c r="C221" s="21" t="str">
        <x:v>F08-I3</x:v>
      </x:c>
      <x:c r="D221" s="21" t="str">
        <x:v>F08</x:v>
      </x:c>
      <x:c r="E221" s="21" t="str">
        <x:v>B4</x:v>
      </x:c>
      <x:c r="F221" s="21" t="str">
        <x:v>Trial</x:v>
      </x:c>
      <x:c r="G221" s="21" t="str">
        <x:v>0.0.0</x:v>
      </x:c>
      <x:c r="H221" s="21" t="str">
        <x:v>Independent Evidence and Data Authority</x:v>
      </x:c>
      <x:c r="I221" s="21" t="str">
        <x:v>OPEN</x:v>
      </x:c>
      <x:c r="J221" s="21" t="str">
        <x:v>HOLD</x:v>
      </x:c>
      <x:c r="K221" s="23" t="str">
        <x:v>what configuration method and damage world produced evidence must be accepted before downstream release</x:v>
      </x:c>
    </x:row>
    <x:row r="222">
      <x:c r="B222" s="21" t="str">
        <x:v>BL-00216</x:v>
      </x:c>
      <x:c r="C222" s="21" t="str">
        <x:v>F08-I3</x:v>
      </x:c>
      <x:c r="D222" s="21" t="str">
        <x:v>F08</x:v>
      </x:c>
      <x:c r="E222" s="21" t="str">
        <x:v>B5</x:v>
      </x:c>
      <x:c r="F222" s="21" t="str">
        <x:v>Production</x:v>
      </x:c>
      <x:c r="G222" s="21" t="str">
        <x:v>0.0.0</x:v>
      </x:c>
      <x:c r="H222" s="21" t="str">
        <x:v>Independent Evidence and Data Authority</x:v>
      </x:c>
      <x:c r="I222" s="21" t="str">
        <x:v>OPEN</x:v>
      </x:c>
      <x:c r="J222" s="21" t="str">
        <x:v>HOLD</x:v>
      </x:c>
      <x:c r="K222" s="23" t="str">
        <x:v>what process configuration and acceptance define serial output must be accepted before downstream release</x:v>
      </x:c>
    </x:row>
    <x:row r="223">
      <x:c r="B223" s="21" t="str">
        <x:v>BL-00217</x:v>
      </x:c>
      <x:c r="C223" s="21" t="str">
        <x:v>F08-I3</x:v>
      </x:c>
      <x:c r="D223" s="21" t="str">
        <x:v>F08</x:v>
      </x:c>
      <x:c r="E223" s="21" t="str">
        <x:v>B6</x:v>
      </x:c>
      <x:c r="F223" s="21" t="str">
        <x:v>Mobilization</x:v>
      </x:c>
      <x:c r="G223" s="21" t="str">
        <x:v>0.0.0</x:v>
      </x:c>
      <x:c r="H223" s="21" t="str">
        <x:v>Independent Evidence and Data Authority</x:v>
      </x:c>
      <x:c r="I223" s="21" t="str">
        <x:v>OPEN</x:v>
      </x:c>
      <x:c r="J223" s="21" t="str">
        <x:v>HOLD</x:v>
      </x:c>
      <x:c r="K223" s="23" t="str">
        <x:v>what people tools suppliers and routes reproduce conforming service must be accepted before downstream release</x:v>
      </x:c>
    </x:row>
    <x:row r="224">
      <x:c r="B224" s="21" t="str">
        <x:v>BL-00218</x:v>
      </x:c>
      <x:c r="C224" s="21" t="str">
        <x:v>F08-I4</x:v>
      </x:c>
      <x:c r="D224" s="21" t="str">
        <x:v>F08</x:v>
      </x:c>
      <x:c r="E224" s="21" t="str">
        <x:v>B0</x:v>
      </x:c>
      <x:c r="F224" s="21" t="str">
        <x:v>Effect</x:v>
      </x:c>
      <x:c r="G224" s="21" t="str">
        <x:v>0.0.0</x:v>
      </x:c>
      <x:c r="H224" s="21" t="str">
        <x:v>Independent Evidence and Data Authority</x:v>
      </x:c>
      <x:c r="I224" s="21" t="str">
        <x:v>OPEN</x:v>
      </x:c>
      <x:c r="J224" s="21" t="str">
        <x:v>HOLD</x:v>
      </x:c>
      <x:c r="K224" s="23" t="str">
        <x:v>what public condition must exist must be accepted before downstream release</x:v>
      </x:c>
    </x:row>
    <x:row r="225">
      <x:c r="B225" s="21" t="str">
        <x:v>BL-00219</x:v>
      </x:c>
      <x:c r="C225" s="21" t="str">
        <x:v>F08-I4</x:v>
      </x:c>
      <x:c r="D225" s="21" t="str">
        <x:v>F08</x:v>
      </x:c>
      <x:c r="E225" s="21" t="str">
        <x:v>B1</x:v>
      </x:c>
      <x:c r="F225" s="21" t="str">
        <x:v>Requirements</x:v>
      </x:c>
      <x:c r="G225" s="21" t="str">
        <x:v>0.0.0</x:v>
      </x:c>
      <x:c r="H225" s="21" t="str">
        <x:v>Independent Evidence and Data Authority</x:v>
      </x:c>
      <x:c r="I225" s="21" t="str">
        <x:v>OPEN</x:v>
      </x:c>
      <x:c r="J225" s="21" t="str">
        <x:v>HOLD</x:v>
      </x:c>
      <x:c r="K225" s="23" t="str">
        <x:v>what burdens and invalid states bound the effect must be accepted before downstream release</x:v>
      </x:c>
    </x:row>
    <x:row r="226">
      <x:c r="B226" s="21" t="str">
        <x:v>BL-00220</x:v>
      </x:c>
      <x:c r="C226" s="21" t="str">
        <x:v>F08-I4</x:v>
      </x:c>
      <x:c r="D226" s="21" t="str">
        <x:v>F08</x:v>
      </x:c>
      <x:c r="E226" s="21" t="str">
        <x:v>B2</x:v>
      </x:c>
      <x:c r="F226" s="21" t="str">
        <x:v>Architecture</x:v>
      </x:c>
      <x:c r="G226" s="21" t="str">
        <x:v>0.0.0</x:v>
      </x:c>
      <x:c r="H226" s="21" t="str">
        <x:v>Independent Evidence and Data Authority</x:v>
      </x:c>
      <x:c r="I226" s="21" t="str">
        <x:v>OPEN</x:v>
      </x:c>
      <x:c r="J226" s="21" t="str">
        <x:v>HOLD</x:v>
      </x:c>
      <x:c r="K226" s="23" t="str">
        <x:v>what interfaces and budgets govern the system must be accepted before downstream release</x:v>
      </x:c>
    </x:row>
    <x:row r="227">
      <x:c r="B227" s="21" t="str">
        <x:v>BL-00221</x:v>
      </x:c>
      <x:c r="C227" s="21" t="str">
        <x:v>F08-I4</x:v>
      </x:c>
      <x:c r="D227" s="21" t="str">
        <x:v>F08</x:v>
      </x:c>
      <x:c r="E227" s="21" t="str">
        <x:v>B3</x:v>
      </x:c>
      <x:c r="F227" s="21" t="str">
        <x:v>Build</x:v>
      </x:c>
      <x:c r="G227" s="21" t="str">
        <x:v>0.0.0</x:v>
      </x:c>
      <x:c r="H227" s="21" t="str">
        <x:v>Independent Evidence and Data Authority</x:v>
      </x:c>
      <x:c r="I227" s="21" t="str">
        <x:v>OPEN</x:v>
      </x:c>
      <x:c r="J227" s="21" t="str">
        <x:v>HOLD</x:v>
      </x:c>
      <x:c r="K227" s="23" t="str">
        <x:v>what exact configuration produced the article must be accepted before downstream release</x:v>
      </x:c>
    </x:row>
    <x:row r="228">
      <x:c r="B228" s="21" t="str">
        <x:v>BL-00222</x:v>
      </x:c>
      <x:c r="C228" s="21" t="str">
        <x:v>F08-I4</x:v>
      </x:c>
      <x:c r="D228" s="21" t="str">
        <x:v>F08</x:v>
      </x:c>
      <x:c r="E228" s="21" t="str">
        <x:v>B4</x:v>
      </x:c>
      <x:c r="F228" s="21" t="str">
        <x:v>Trial</x:v>
      </x:c>
      <x:c r="G228" s="21" t="str">
        <x:v>0.0.0</x:v>
      </x:c>
      <x:c r="H228" s="21" t="str">
        <x:v>Independent Evidence and Data Authority</x:v>
      </x:c>
      <x:c r="I228" s="21" t="str">
        <x:v>OPEN</x:v>
      </x:c>
      <x:c r="J228" s="21" t="str">
        <x:v>HOLD</x:v>
      </x:c>
      <x:c r="K228" s="23" t="str">
        <x:v>what configuration method and damage world produced evidence must be accepted before downstream release</x:v>
      </x:c>
    </x:row>
    <x:row r="229">
      <x:c r="B229" s="21" t="str">
        <x:v>BL-00223</x:v>
      </x:c>
      <x:c r="C229" s="21" t="str">
        <x:v>F08-I4</x:v>
      </x:c>
      <x:c r="D229" s="21" t="str">
        <x:v>F08</x:v>
      </x:c>
      <x:c r="E229" s="21" t="str">
        <x:v>B5</x:v>
      </x:c>
      <x:c r="F229" s="21" t="str">
        <x:v>Production</x:v>
      </x:c>
      <x:c r="G229" s="21" t="str">
        <x:v>0.0.0</x:v>
      </x:c>
      <x:c r="H229" s="21" t="str">
        <x:v>Independent Evidence and Data Authority</x:v>
      </x:c>
      <x:c r="I229" s="21" t="str">
        <x:v>OPEN</x:v>
      </x:c>
      <x:c r="J229" s="21" t="str">
        <x:v>HOLD</x:v>
      </x:c>
      <x:c r="K229" s="23" t="str">
        <x:v>what process configuration and acceptance define serial output must be accepted before downstream release</x:v>
      </x:c>
    </x:row>
    <x:row r="230">
      <x:c r="B230" s="21" t="str">
        <x:v>BL-00224</x:v>
      </x:c>
      <x:c r="C230" s="21" t="str">
        <x:v>F08-I4</x:v>
      </x:c>
      <x:c r="D230" s="21" t="str">
        <x:v>F08</x:v>
      </x:c>
      <x:c r="E230" s="21" t="str">
        <x:v>B6</x:v>
      </x:c>
      <x:c r="F230" s="21" t="str">
        <x:v>Mobilization</x:v>
      </x:c>
      <x:c r="G230" s="21" t="str">
        <x:v>0.0.0</x:v>
      </x:c>
      <x:c r="H230" s="21" t="str">
        <x:v>Independent Evidence and Data Authority</x:v>
      </x:c>
      <x:c r="I230" s="21" t="str">
        <x:v>OPEN</x:v>
      </x:c>
      <x:c r="J230" s="21" t="str">
        <x:v>HOLD</x:v>
      </x:c>
      <x:c r="K230" s="23" t="str">
        <x:v>what people tools suppliers and routes reproduce conforming service must be accepted before downstream release</x:v>
      </x:c>
    </x:row>
    <x:row r="231">
      <x:c r="B231" s="21" t="str">
        <x:v>BL-00225</x:v>
      </x:c>
      <x:c r="C231" s="21" t="str">
        <x:v>F09-I1</x:v>
      </x:c>
      <x:c r="D231" s="21" t="str">
        <x:v>F09</x:v>
      </x:c>
      <x:c r="E231" s="21" t="str">
        <x:v>B0</x:v>
      </x:c>
      <x:c r="F231" s="21" t="str">
        <x:v>Effect</x:v>
      </x:c>
      <x:c r="G231" s="21" t="str">
        <x:v>0.0.0</x:v>
      </x:c>
      <x:c r="H231" s="21" t="str">
        <x:v>Independent Evidence and Data Authority</x:v>
      </x:c>
      <x:c r="I231" s="21" t="str">
        <x:v>OPEN</x:v>
      </x:c>
      <x:c r="J231" s="21" t="str">
        <x:v>HOLD</x:v>
      </x:c>
      <x:c r="K231" s="23" t="str">
        <x:v>what public condition must exist must be accepted before downstream release</x:v>
      </x:c>
    </x:row>
    <x:row r="232">
      <x:c r="B232" s="21" t="str">
        <x:v>BL-00226</x:v>
      </x:c>
      <x:c r="C232" s="21" t="str">
        <x:v>F09-I1</x:v>
      </x:c>
      <x:c r="D232" s="21" t="str">
        <x:v>F09</x:v>
      </x:c>
      <x:c r="E232" s="21" t="str">
        <x:v>B1</x:v>
      </x:c>
      <x:c r="F232" s="21" t="str">
        <x:v>Requirements</x:v>
      </x:c>
      <x:c r="G232" s="21" t="str">
        <x:v>0.0.0</x:v>
      </x:c>
      <x:c r="H232" s="21" t="str">
        <x:v>Independent Evidence and Data Authority</x:v>
      </x:c>
      <x:c r="I232" s="21" t="str">
        <x:v>OPEN</x:v>
      </x:c>
      <x:c r="J232" s="21" t="str">
        <x:v>HOLD</x:v>
      </x:c>
      <x:c r="K232" s="23" t="str">
        <x:v>what burdens and invalid states bound the effect must be accepted before downstream release</x:v>
      </x:c>
    </x:row>
    <x:row r="233">
      <x:c r="B233" s="21" t="str">
        <x:v>BL-00227</x:v>
      </x:c>
      <x:c r="C233" s="21" t="str">
        <x:v>F09-I1</x:v>
      </x:c>
      <x:c r="D233" s="21" t="str">
        <x:v>F09</x:v>
      </x:c>
      <x:c r="E233" s="21" t="str">
        <x:v>B2</x:v>
      </x:c>
      <x:c r="F233" s="21" t="str">
        <x:v>Architecture</x:v>
      </x:c>
      <x:c r="G233" s="21" t="str">
        <x:v>0.0.0</x:v>
      </x:c>
      <x:c r="H233" s="21" t="str">
        <x:v>Independent Evidence and Data Authority</x:v>
      </x:c>
      <x:c r="I233" s="21" t="str">
        <x:v>OPEN</x:v>
      </x:c>
      <x:c r="J233" s="21" t="str">
        <x:v>HOLD</x:v>
      </x:c>
      <x:c r="K233" s="23" t="str">
        <x:v>what interfaces and budgets govern the system must be accepted before downstream release</x:v>
      </x:c>
    </x:row>
    <x:row r="234">
      <x:c r="B234" s="21" t="str">
        <x:v>BL-00228</x:v>
      </x:c>
      <x:c r="C234" s="21" t="str">
        <x:v>F09-I1</x:v>
      </x:c>
      <x:c r="D234" s="21" t="str">
        <x:v>F09</x:v>
      </x:c>
      <x:c r="E234" s="21" t="str">
        <x:v>B3</x:v>
      </x:c>
      <x:c r="F234" s="21" t="str">
        <x:v>Build</x:v>
      </x:c>
      <x:c r="G234" s="21" t="str">
        <x:v>0.0.0</x:v>
      </x:c>
      <x:c r="H234" s="21" t="str">
        <x:v>Independent Evidence and Data Authority</x:v>
      </x:c>
      <x:c r="I234" s="21" t="str">
        <x:v>OPEN</x:v>
      </x:c>
      <x:c r="J234" s="21" t="str">
        <x:v>HOLD</x:v>
      </x:c>
      <x:c r="K234" s="23" t="str">
        <x:v>what exact configuration produced the article must be accepted before downstream release</x:v>
      </x:c>
    </x:row>
    <x:row r="235">
      <x:c r="B235" s="21" t="str">
        <x:v>BL-00229</x:v>
      </x:c>
      <x:c r="C235" s="21" t="str">
        <x:v>F09-I1</x:v>
      </x:c>
      <x:c r="D235" s="21" t="str">
        <x:v>F09</x:v>
      </x:c>
      <x:c r="E235" s="21" t="str">
        <x:v>B4</x:v>
      </x:c>
      <x:c r="F235" s="21" t="str">
        <x:v>Trial</x:v>
      </x:c>
      <x:c r="G235" s="21" t="str">
        <x:v>0.0.0</x:v>
      </x:c>
      <x:c r="H235" s="21" t="str">
        <x:v>Independent Evidence and Data Authority</x:v>
      </x:c>
      <x:c r="I235" s="21" t="str">
        <x:v>OPEN</x:v>
      </x:c>
      <x:c r="J235" s="21" t="str">
        <x:v>HOLD</x:v>
      </x:c>
      <x:c r="K235" s="23" t="str">
        <x:v>what configuration method and damage world produced evidence must be accepted before downstream release</x:v>
      </x:c>
    </x:row>
    <x:row r="236">
      <x:c r="B236" s="21" t="str">
        <x:v>BL-00230</x:v>
      </x:c>
      <x:c r="C236" s="21" t="str">
        <x:v>F09-I1</x:v>
      </x:c>
      <x:c r="D236" s="21" t="str">
        <x:v>F09</x:v>
      </x:c>
      <x:c r="E236" s="21" t="str">
        <x:v>B5</x:v>
      </x:c>
      <x:c r="F236" s="21" t="str">
        <x:v>Production</x:v>
      </x:c>
      <x:c r="G236" s="21" t="str">
        <x:v>0.0.0</x:v>
      </x:c>
      <x:c r="H236" s="21" t="str">
        <x:v>Independent Evidence and Data Authority</x:v>
      </x:c>
      <x:c r="I236" s="21" t="str">
        <x:v>OPEN</x:v>
      </x:c>
      <x:c r="J236" s="21" t="str">
        <x:v>HOLD</x:v>
      </x:c>
      <x:c r="K236" s="23" t="str">
        <x:v>what process configuration and acceptance define serial output must be accepted before downstream release</x:v>
      </x:c>
    </x:row>
    <x:row r="237">
      <x:c r="B237" s="21" t="str">
        <x:v>BL-00231</x:v>
      </x:c>
      <x:c r="C237" s="21" t="str">
        <x:v>F09-I1</x:v>
      </x:c>
      <x:c r="D237" s="21" t="str">
        <x:v>F09</x:v>
      </x:c>
      <x:c r="E237" s="21" t="str">
        <x:v>B6</x:v>
      </x:c>
      <x:c r="F237" s="21" t="str">
        <x:v>Mobilization</x:v>
      </x:c>
      <x:c r="G237" s="21" t="str">
        <x:v>0.0.0</x:v>
      </x:c>
      <x:c r="H237" s="21" t="str">
        <x:v>Independent Evidence and Data Authority</x:v>
      </x:c>
      <x:c r="I237" s="21" t="str">
        <x:v>OPEN</x:v>
      </x:c>
      <x:c r="J237" s="21" t="str">
        <x:v>HOLD</x:v>
      </x:c>
      <x:c r="K237" s="23" t="str">
        <x:v>what people tools suppliers and routes reproduce conforming service must be accepted before downstream release</x:v>
      </x:c>
    </x:row>
    <x:row r="238">
      <x:c r="B238" s="21" t="str">
        <x:v>BL-00232</x:v>
      </x:c>
      <x:c r="C238" s="21" t="str">
        <x:v>F09-I2</x:v>
      </x:c>
      <x:c r="D238" s="21" t="str">
        <x:v>F09</x:v>
      </x:c>
      <x:c r="E238" s="21" t="str">
        <x:v>B0</x:v>
      </x:c>
      <x:c r="F238" s="21" t="str">
        <x:v>Effect</x:v>
      </x:c>
      <x:c r="G238" s="21" t="str">
        <x:v>0.0.0</x:v>
      </x:c>
      <x:c r="H238" s="21" t="str">
        <x:v>Independent Evidence and Data Authority</x:v>
      </x:c>
      <x:c r="I238" s="21" t="str">
        <x:v>OPEN</x:v>
      </x:c>
      <x:c r="J238" s="21" t="str">
        <x:v>HOLD</x:v>
      </x:c>
      <x:c r="K238" s="23" t="str">
        <x:v>what public condition must exist must be accepted before downstream release</x:v>
      </x:c>
    </x:row>
    <x:row r="239">
      <x:c r="B239" s="21" t="str">
        <x:v>BL-00233</x:v>
      </x:c>
      <x:c r="C239" s="21" t="str">
        <x:v>F09-I2</x:v>
      </x:c>
      <x:c r="D239" s="21" t="str">
        <x:v>F09</x:v>
      </x:c>
      <x:c r="E239" s="21" t="str">
        <x:v>B1</x:v>
      </x:c>
      <x:c r="F239" s="21" t="str">
        <x:v>Requirements</x:v>
      </x:c>
      <x:c r="G239" s="21" t="str">
        <x:v>0.0.0</x:v>
      </x:c>
      <x:c r="H239" s="21" t="str">
        <x:v>Independent Evidence and Data Authority</x:v>
      </x:c>
      <x:c r="I239" s="21" t="str">
        <x:v>OPEN</x:v>
      </x:c>
      <x:c r="J239" s="21" t="str">
        <x:v>HOLD</x:v>
      </x:c>
      <x:c r="K239" s="23" t="str">
        <x:v>what burdens and invalid states bound the effect must be accepted before downstream release</x:v>
      </x:c>
    </x:row>
    <x:row r="240">
      <x:c r="B240" s="21" t="str">
        <x:v>BL-00234</x:v>
      </x:c>
      <x:c r="C240" s="21" t="str">
        <x:v>F09-I2</x:v>
      </x:c>
      <x:c r="D240" s="21" t="str">
        <x:v>F09</x:v>
      </x:c>
      <x:c r="E240" s="21" t="str">
        <x:v>B2</x:v>
      </x:c>
      <x:c r="F240" s="21" t="str">
        <x:v>Architecture</x:v>
      </x:c>
      <x:c r="G240" s="21" t="str">
        <x:v>0.0.0</x:v>
      </x:c>
      <x:c r="H240" s="21" t="str">
        <x:v>Independent Evidence and Data Authority</x:v>
      </x:c>
      <x:c r="I240" s="21" t="str">
        <x:v>OPEN</x:v>
      </x:c>
      <x:c r="J240" s="21" t="str">
        <x:v>HOLD</x:v>
      </x:c>
      <x:c r="K240" s="23" t="str">
        <x:v>what interfaces and budgets govern the system must be accepted before downstream release</x:v>
      </x:c>
    </x:row>
    <x:row r="241">
      <x:c r="B241" s="21" t="str">
        <x:v>BL-00235</x:v>
      </x:c>
      <x:c r="C241" s="21" t="str">
        <x:v>F09-I2</x:v>
      </x:c>
      <x:c r="D241" s="21" t="str">
        <x:v>F09</x:v>
      </x:c>
      <x:c r="E241" s="21" t="str">
        <x:v>B3</x:v>
      </x:c>
      <x:c r="F241" s="21" t="str">
        <x:v>Build</x:v>
      </x:c>
      <x:c r="G241" s="21" t="str">
        <x:v>0.0.0</x:v>
      </x:c>
      <x:c r="H241" s="21" t="str">
        <x:v>Independent Evidence and Data Authority</x:v>
      </x:c>
      <x:c r="I241" s="21" t="str">
        <x:v>OPEN</x:v>
      </x:c>
      <x:c r="J241" s="21" t="str">
        <x:v>HOLD</x:v>
      </x:c>
      <x:c r="K241" s="23" t="str">
        <x:v>what exact configuration produced the article must be accepted before downstream release</x:v>
      </x:c>
    </x:row>
    <x:row r="242">
      <x:c r="B242" s="21" t="str">
        <x:v>BL-00236</x:v>
      </x:c>
      <x:c r="C242" s="21" t="str">
        <x:v>F09-I2</x:v>
      </x:c>
      <x:c r="D242" s="21" t="str">
        <x:v>F09</x:v>
      </x:c>
      <x:c r="E242" s="21" t="str">
        <x:v>B4</x:v>
      </x:c>
      <x:c r="F242" s="21" t="str">
        <x:v>Trial</x:v>
      </x:c>
      <x:c r="G242" s="21" t="str">
        <x:v>0.0.0</x:v>
      </x:c>
      <x:c r="H242" s="21" t="str">
        <x:v>Independent Evidence and Data Authority</x:v>
      </x:c>
      <x:c r="I242" s="21" t="str">
        <x:v>OPEN</x:v>
      </x:c>
      <x:c r="J242" s="21" t="str">
        <x:v>HOLD</x:v>
      </x:c>
      <x:c r="K242" s="23" t="str">
        <x:v>what configuration method and damage world produced evidence must be accepted before downstream release</x:v>
      </x:c>
    </x:row>
    <x:row r="243">
      <x:c r="B243" s="21" t="str">
        <x:v>BL-00237</x:v>
      </x:c>
      <x:c r="C243" s="21" t="str">
        <x:v>F09-I2</x:v>
      </x:c>
      <x:c r="D243" s="21" t="str">
        <x:v>F09</x:v>
      </x:c>
      <x:c r="E243" s="21" t="str">
        <x:v>B5</x:v>
      </x:c>
      <x:c r="F243" s="21" t="str">
        <x:v>Production</x:v>
      </x:c>
      <x:c r="G243" s="21" t="str">
        <x:v>0.0.0</x:v>
      </x:c>
      <x:c r="H243" s="21" t="str">
        <x:v>Independent Evidence and Data Authority</x:v>
      </x:c>
      <x:c r="I243" s="21" t="str">
        <x:v>OPEN</x:v>
      </x:c>
      <x:c r="J243" s="21" t="str">
        <x:v>HOLD</x:v>
      </x:c>
      <x:c r="K243" s="23" t="str">
        <x:v>what process configuration and acceptance define serial output must be accepted before downstream release</x:v>
      </x:c>
    </x:row>
    <x:row r="244">
      <x:c r="B244" s="21" t="str">
        <x:v>BL-00238</x:v>
      </x:c>
      <x:c r="C244" s="21" t="str">
        <x:v>F09-I2</x:v>
      </x:c>
      <x:c r="D244" s="21" t="str">
        <x:v>F09</x:v>
      </x:c>
      <x:c r="E244" s="21" t="str">
        <x:v>B6</x:v>
      </x:c>
      <x:c r="F244" s="21" t="str">
        <x:v>Mobilization</x:v>
      </x:c>
      <x:c r="G244" s="21" t="str">
        <x:v>0.0.0</x:v>
      </x:c>
      <x:c r="H244" s="21" t="str">
        <x:v>Independent Evidence and Data Authority</x:v>
      </x:c>
      <x:c r="I244" s="21" t="str">
        <x:v>OPEN</x:v>
      </x:c>
      <x:c r="J244" s="21" t="str">
        <x:v>HOLD</x:v>
      </x:c>
      <x:c r="K244" s="23" t="str">
        <x:v>what people tools suppliers and routes reproduce conforming service must be accepted before downstream release</x:v>
      </x:c>
    </x:row>
    <x:row r="245">
      <x:c r="B245" s="21" t="str">
        <x:v>BL-00239</x:v>
      </x:c>
      <x:c r="C245" s="21" t="str">
        <x:v>F09-I3</x:v>
      </x:c>
      <x:c r="D245" s="21" t="str">
        <x:v>F09</x:v>
      </x:c>
      <x:c r="E245" s="21" t="str">
        <x:v>B0</x:v>
      </x:c>
      <x:c r="F245" s="21" t="str">
        <x:v>Effect</x:v>
      </x:c>
      <x:c r="G245" s="21" t="str">
        <x:v>0.0.0</x:v>
      </x:c>
      <x:c r="H245" s="21" t="str">
        <x:v>Independent Evidence and Data Authority</x:v>
      </x:c>
      <x:c r="I245" s="21" t="str">
        <x:v>OPEN</x:v>
      </x:c>
      <x:c r="J245" s="21" t="str">
        <x:v>HOLD</x:v>
      </x:c>
      <x:c r="K245" s="23" t="str">
        <x:v>what public condition must exist must be accepted before downstream release</x:v>
      </x:c>
    </x:row>
    <x:row r="246">
      <x:c r="B246" s="21" t="str">
        <x:v>BL-00240</x:v>
      </x:c>
      <x:c r="C246" s="21" t="str">
        <x:v>F09-I3</x:v>
      </x:c>
      <x:c r="D246" s="21" t="str">
        <x:v>F09</x:v>
      </x:c>
      <x:c r="E246" s="21" t="str">
        <x:v>B1</x:v>
      </x:c>
      <x:c r="F246" s="21" t="str">
        <x:v>Requirements</x:v>
      </x:c>
      <x:c r="G246" s="21" t="str">
        <x:v>0.0.0</x:v>
      </x:c>
      <x:c r="H246" s="21" t="str">
        <x:v>Independent Evidence and Data Authority</x:v>
      </x:c>
      <x:c r="I246" s="21" t="str">
        <x:v>OPEN</x:v>
      </x:c>
      <x:c r="J246" s="21" t="str">
        <x:v>HOLD</x:v>
      </x:c>
      <x:c r="K246" s="23" t="str">
        <x:v>what burdens and invalid states bound the effect must be accepted before downstream release</x:v>
      </x:c>
    </x:row>
    <x:row r="247">
      <x:c r="B247" s="21" t="str">
        <x:v>BL-00241</x:v>
      </x:c>
      <x:c r="C247" s="21" t="str">
        <x:v>F09-I3</x:v>
      </x:c>
      <x:c r="D247" s="21" t="str">
        <x:v>F09</x:v>
      </x:c>
      <x:c r="E247" s="21" t="str">
        <x:v>B2</x:v>
      </x:c>
      <x:c r="F247" s="21" t="str">
        <x:v>Architecture</x:v>
      </x:c>
      <x:c r="G247" s="21" t="str">
        <x:v>0.0.0</x:v>
      </x:c>
      <x:c r="H247" s="21" t="str">
        <x:v>Independent Evidence and Data Authority</x:v>
      </x:c>
      <x:c r="I247" s="21" t="str">
        <x:v>OPEN</x:v>
      </x:c>
      <x:c r="J247" s="21" t="str">
        <x:v>HOLD</x:v>
      </x:c>
      <x:c r="K247" s="23" t="str">
        <x:v>what interfaces and budgets govern the system must be accepted before downstream release</x:v>
      </x:c>
    </x:row>
    <x:row r="248">
      <x:c r="B248" s="21" t="str">
        <x:v>BL-00242</x:v>
      </x:c>
      <x:c r="C248" s="21" t="str">
        <x:v>F09-I3</x:v>
      </x:c>
      <x:c r="D248" s="21" t="str">
        <x:v>F09</x:v>
      </x:c>
      <x:c r="E248" s="21" t="str">
        <x:v>B3</x:v>
      </x:c>
      <x:c r="F248" s="21" t="str">
        <x:v>Build</x:v>
      </x:c>
      <x:c r="G248" s="21" t="str">
        <x:v>0.0.0</x:v>
      </x:c>
      <x:c r="H248" s="21" t="str">
        <x:v>Independent Evidence and Data Authority</x:v>
      </x:c>
      <x:c r="I248" s="21" t="str">
        <x:v>OPEN</x:v>
      </x:c>
      <x:c r="J248" s="21" t="str">
        <x:v>HOLD</x:v>
      </x:c>
      <x:c r="K248" s="23" t="str">
        <x:v>what exact configuration produced the article must be accepted before downstream release</x:v>
      </x:c>
    </x:row>
    <x:row r="249">
      <x:c r="B249" s="21" t="str">
        <x:v>BL-00243</x:v>
      </x:c>
      <x:c r="C249" s="21" t="str">
        <x:v>F09-I3</x:v>
      </x:c>
      <x:c r="D249" s="21" t="str">
        <x:v>F09</x:v>
      </x:c>
      <x:c r="E249" s="21" t="str">
        <x:v>B4</x:v>
      </x:c>
      <x:c r="F249" s="21" t="str">
        <x:v>Trial</x:v>
      </x:c>
      <x:c r="G249" s="21" t="str">
        <x:v>0.0.0</x:v>
      </x:c>
      <x:c r="H249" s="21" t="str">
        <x:v>Independent Evidence and Data Authority</x:v>
      </x:c>
      <x:c r="I249" s="21" t="str">
        <x:v>OPEN</x:v>
      </x:c>
      <x:c r="J249" s="21" t="str">
        <x:v>HOLD</x:v>
      </x:c>
      <x:c r="K249" s="23" t="str">
        <x:v>what configuration method and damage world produced evidence must be accepted before downstream release</x:v>
      </x:c>
    </x:row>
    <x:row r="250">
      <x:c r="B250" s="21" t="str">
        <x:v>BL-00244</x:v>
      </x:c>
      <x:c r="C250" s="21" t="str">
        <x:v>F09-I3</x:v>
      </x:c>
      <x:c r="D250" s="21" t="str">
        <x:v>F09</x:v>
      </x:c>
      <x:c r="E250" s="21" t="str">
        <x:v>B5</x:v>
      </x:c>
      <x:c r="F250" s="21" t="str">
        <x:v>Production</x:v>
      </x:c>
      <x:c r="G250" s="21" t="str">
        <x:v>0.0.0</x:v>
      </x:c>
      <x:c r="H250" s="21" t="str">
        <x:v>Independent Evidence and Data Authority</x:v>
      </x:c>
      <x:c r="I250" s="21" t="str">
        <x:v>OPEN</x:v>
      </x:c>
      <x:c r="J250" s="21" t="str">
        <x:v>HOLD</x:v>
      </x:c>
      <x:c r="K250" s="23" t="str">
        <x:v>what process configuration and acceptance define serial output must be accepted before downstream release</x:v>
      </x:c>
    </x:row>
    <x:row r="251">
      <x:c r="B251" s="21" t="str">
        <x:v>BL-00245</x:v>
      </x:c>
      <x:c r="C251" s="21" t="str">
        <x:v>F09-I3</x:v>
      </x:c>
      <x:c r="D251" s="21" t="str">
        <x:v>F09</x:v>
      </x:c>
      <x:c r="E251" s="21" t="str">
        <x:v>B6</x:v>
      </x:c>
      <x:c r="F251" s="21" t="str">
        <x:v>Mobilization</x:v>
      </x:c>
      <x:c r="G251" s="21" t="str">
        <x:v>0.0.0</x:v>
      </x:c>
      <x:c r="H251" s="21" t="str">
        <x:v>Independent Evidence and Data Authority</x:v>
      </x:c>
      <x:c r="I251" s="21" t="str">
        <x:v>OPEN</x:v>
      </x:c>
      <x:c r="J251" s="21" t="str">
        <x:v>HOLD</x:v>
      </x:c>
      <x:c r="K251" s="23" t="str">
        <x:v>what people tools suppliers and routes reproduce conforming service must be accepted before downstream release</x:v>
      </x:c>
    </x:row>
    <x:row r="252">
      <x:c r="B252" s="21" t="str">
        <x:v>BL-00246</x:v>
      </x:c>
      <x:c r="C252" s="21" t="str">
        <x:v>F09-I4</x:v>
      </x:c>
      <x:c r="D252" s="21" t="str">
        <x:v>F09</x:v>
      </x:c>
      <x:c r="E252" s="21" t="str">
        <x:v>B0</x:v>
      </x:c>
      <x:c r="F252" s="21" t="str">
        <x:v>Effect</x:v>
      </x:c>
      <x:c r="G252" s="21" t="str">
        <x:v>0.0.0</x:v>
      </x:c>
      <x:c r="H252" s="21" t="str">
        <x:v>Independent Evidence and Data Authority</x:v>
      </x:c>
      <x:c r="I252" s="21" t="str">
        <x:v>OPEN</x:v>
      </x:c>
      <x:c r="J252" s="21" t="str">
        <x:v>HOLD</x:v>
      </x:c>
      <x:c r="K252" s="23" t="str">
        <x:v>what public condition must exist must be accepted before downstream release</x:v>
      </x:c>
    </x:row>
    <x:row r="253">
      <x:c r="B253" s="21" t="str">
        <x:v>BL-00247</x:v>
      </x:c>
      <x:c r="C253" s="21" t="str">
        <x:v>F09-I4</x:v>
      </x:c>
      <x:c r="D253" s="21" t="str">
        <x:v>F09</x:v>
      </x:c>
      <x:c r="E253" s="21" t="str">
        <x:v>B1</x:v>
      </x:c>
      <x:c r="F253" s="21" t="str">
        <x:v>Requirements</x:v>
      </x:c>
      <x:c r="G253" s="21" t="str">
        <x:v>0.0.0</x:v>
      </x:c>
      <x:c r="H253" s="21" t="str">
        <x:v>Independent Evidence and Data Authority</x:v>
      </x:c>
      <x:c r="I253" s="21" t="str">
        <x:v>OPEN</x:v>
      </x:c>
      <x:c r="J253" s="21" t="str">
        <x:v>HOLD</x:v>
      </x:c>
      <x:c r="K253" s="23" t="str">
        <x:v>what burdens and invalid states bound the effect must be accepted before downstream release</x:v>
      </x:c>
    </x:row>
    <x:row r="254">
      <x:c r="B254" s="21" t="str">
        <x:v>BL-00248</x:v>
      </x:c>
      <x:c r="C254" s="21" t="str">
        <x:v>F09-I4</x:v>
      </x:c>
      <x:c r="D254" s="21" t="str">
        <x:v>F09</x:v>
      </x:c>
      <x:c r="E254" s="21" t="str">
        <x:v>B2</x:v>
      </x:c>
      <x:c r="F254" s="21" t="str">
        <x:v>Architecture</x:v>
      </x:c>
      <x:c r="G254" s="21" t="str">
        <x:v>0.0.0</x:v>
      </x:c>
      <x:c r="H254" s="21" t="str">
        <x:v>Independent Evidence and Data Authority</x:v>
      </x:c>
      <x:c r="I254" s="21" t="str">
        <x:v>OPEN</x:v>
      </x:c>
      <x:c r="J254" s="21" t="str">
        <x:v>HOLD</x:v>
      </x:c>
      <x:c r="K254" s="23" t="str">
        <x:v>what interfaces and budgets govern the system must be accepted before downstream release</x:v>
      </x:c>
    </x:row>
    <x:row r="255">
      <x:c r="B255" s="21" t="str">
        <x:v>BL-00249</x:v>
      </x:c>
      <x:c r="C255" s="21" t="str">
        <x:v>F09-I4</x:v>
      </x:c>
      <x:c r="D255" s="21" t="str">
        <x:v>F09</x:v>
      </x:c>
      <x:c r="E255" s="21" t="str">
        <x:v>B3</x:v>
      </x:c>
      <x:c r="F255" s="21" t="str">
        <x:v>Build</x:v>
      </x:c>
      <x:c r="G255" s="21" t="str">
        <x:v>0.0.0</x:v>
      </x:c>
      <x:c r="H255" s="21" t="str">
        <x:v>Independent Evidence and Data Authority</x:v>
      </x:c>
      <x:c r="I255" s="21" t="str">
        <x:v>OPEN</x:v>
      </x:c>
      <x:c r="J255" s="21" t="str">
        <x:v>HOLD</x:v>
      </x:c>
      <x:c r="K255" s="23" t="str">
        <x:v>what exact configuration produced the article must be accepted before downstream release</x:v>
      </x:c>
    </x:row>
    <x:row r="256">
      <x:c r="B256" s="21" t="str">
        <x:v>BL-00250</x:v>
      </x:c>
      <x:c r="C256" s="21" t="str">
        <x:v>F09-I4</x:v>
      </x:c>
      <x:c r="D256" s="21" t="str">
        <x:v>F09</x:v>
      </x:c>
      <x:c r="E256" s="21" t="str">
        <x:v>B4</x:v>
      </x:c>
      <x:c r="F256" s="21" t="str">
        <x:v>Trial</x:v>
      </x:c>
      <x:c r="G256" s="21" t="str">
        <x:v>0.0.0</x:v>
      </x:c>
      <x:c r="H256" s="21" t="str">
        <x:v>Independent Evidence and Data Authority</x:v>
      </x:c>
      <x:c r="I256" s="21" t="str">
        <x:v>OPEN</x:v>
      </x:c>
      <x:c r="J256" s="21" t="str">
        <x:v>HOLD</x:v>
      </x:c>
      <x:c r="K256" s="23" t="str">
        <x:v>what configuration method and damage world produced evidence must be accepted before downstream release</x:v>
      </x:c>
    </x:row>
    <x:row r="257">
      <x:c r="B257" s="21" t="str">
        <x:v>BL-00251</x:v>
      </x:c>
      <x:c r="C257" s="21" t="str">
        <x:v>F09-I4</x:v>
      </x:c>
      <x:c r="D257" s="21" t="str">
        <x:v>F09</x:v>
      </x:c>
      <x:c r="E257" s="21" t="str">
        <x:v>B5</x:v>
      </x:c>
      <x:c r="F257" s="21" t="str">
        <x:v>Production</x:v>
      </x:c>
      <x:c r="G257" s="21" t="str">
        <x:v>0.0.0</x:v>
      </x:c>
      <x:c r="H257" s="21" t="str">
        <x:v>Independent Evidence and Data Authority</x:v>
      </x:c>
      <x:c r="I257" s="21" t="str">
        <x:v>OPEN</x:v>
      </x:c>
      <x:c r="J257" s="21" t="str">
        <x:v>HOLD</x:v>
      </x:c>
      <x:c r="K257" s="23" t="str">
        <x:v>what process configuration and acceptance define serial output must be accepted before downstream release</x:v>
      </x:c>
    </x:row>
    <x:row r="258">
      <x:c r="B258" s="21" t="str">
        <x:v>BL-00252</x:v>
      </x:c>
      <x:c r="C258" s="21" t="str">
        <x:v>F09-I4</x:v>
      </x:c>
      <x:c r="D258" s="21" t="str">
        <x:v>F09</x:v>
      </x:c>
      <x:c r="E258" s="21" t="str">
        <x:v>B6</x:v>
      </x:c>
      <x:c r="F258" s="21" t="str">
        <x:v>Mobilization</x:v>
      </x:c>
      <x:c r="G258" s="21" t="str">
        <x:v>0.0.0</x:v>
      </x:c>
      <x:c r="H258" s="21" t="str">
        <x:v>Independent Evidence and Data Authority</x:v>
      </x:c>
      <x:c r="I258" s="21" t="str">
        <x:v>OPEN</x:v>
      </x:c>
      <x:c r="J258" s="21" t="str">
        <x:v>HOLD</x:v>
      </x:c>
      <x:c r="K258" s="23" t="str">
        <x:v>what people tools suppliers and routes reproduce conforming service must be accepted before downstream release</x:v>
      </x:c>
    </x:row>
    <x:row r="259">
      <x:c r="B259" s="21" t="str">
        <x:v>BL-00253</x:v>
      </x:c>
      <x:c r="C259" s="21" t="str">
        <x:v>F10-I1</x:v>
      </x:c>
      <x:c r="D259" s="21" t="str">
        <x:v>F10</x:v>
      </x:c>
      <x:c r="E259" s="21" t="str">
        <x:v>B0</x:v>
      </x:c>
      <x:c r="F259" s="21" t="str">
        <x:v>Effect</x:v>
      </x:c>
      <x:c r="G259" s="21" t="str">
        <x:v>0.0.0</x:v>
      </x:c>
      <x:c r="H259" s="21" t="str">
        <x:v>Independent Evidence and Data Authority</x:v>
      </x:c>
      <x:c r="I259" s="21" t="str">
        <x:v>OPEN</x:v>
      </x:c>
      <x:c r="J259" s="21" t="str">
        <x:v>HOLD</x:v>
      </x:c>
      <x:c r="K259" s="23" t="str">
        <x:v>what public condition must exist must be accepted before downstream release</x:v>
      </x:c>
    </x:row>
    <x:row r="260">
      <x:c r="B260" s="21" t="str">
        <x:v>BL-00254</x:v>
      </x:c>
      <x:c r="C260" s="21" t="str">
        <x:v>F10-I1</x:v>
      </x:c>
      <x:c r="D260" s="21" t="str">
        <x:v>F10</x:v>
      </x:c>
      <x:c r="E260" s="21" t="str">
        <x:v>B1</x:v>
      </x:c>
      <x:c r="F260" s="21" t="str">
        <x:v>Requirements</x:v>
      </x:c>
      <x:c r="G260" s="21" t="str">
        <x:v>0.0.0</x:v>
      </x:c>
      <x:c r="H260" s="21" t="str">
        <x:v>Independent Evidence and Data Authority</x:v>
      </x:c>
      <x:c r="I260" s="21" t="str">
        <x:v>OPEN</x:v>
      </x:c>
      <x:c r="J260" s="21" t="str">
        <x:v>HOLD</x:v>
      </x:c>
      <x:c r="K260" s="23" t="str">
        <x:v>what burdens and invalid states bound the effect must be accepted before downstream release</x:v>
      </x:c>
    </x:row>
    <x:row r="261">
      <x:c r="B261" s="21" t="str">
        <x:v>BL-00255</x:v>
      </x:c>
      <x:c r="C261" s="21" t="str">
        <x:v>F10-I1</x:v>
      </x:c>
      <x:c r="D261" s="21" t="str">
        <x:v>F10</x:v>
      </x:c>
      <x:c r="E261" s="21" t="str">
        <x:v>B2</x:v>
      </x:c>
      <x:c r="F261" s="21" t="str">
        <x:v>Architecture</x:v>
      </x:c>
      <x:c r="G261" s="21" t="str">
        <x:v>0.0.0</x:v>
      </x:c>
      <x:c r="H261" s="21" t="str">
        <x:v>Independent Evidence and Data Authority</x:v>
      </x:c>
      <x:c r="I261" s="21" t="str">
        <x:v>OPEN</x:v>
      </x:c>
      <x:c r="J261" s="21" t="str">
        <x:v>HOLD</x:v>
      </x:c>
      <x:c r="K261" s="23" t="str">
        <x:v>what interfaces and budgets govern the system must be accepted before downstream release</x:v>
      </x:c>
    </x:row>
    <x:row r="262">
      <x:c r="B262" s="21" t="str">
        <x:v>BL-00256</x:v>
      </x:c>
      <x:c r="C262" s="21" t="str">
        <x:v>F10-I1</x:v>
      </x:c>
      <x:c r="D262" s="21" t="str">
        <x:v>F10</x:v>
      </x:c>
      <x:c r="E262" s="21" t="str">
        <x:v>B3</x:v>
      </x:c>
      <x:c r="F262" s="21" t="str">
        <x:v>Build</x:v>
      </x:c>
      <x:c r="G262" s="21" t="str">
        <x:v>0.0.0</x:v>
      </x:c>
      <x:c r="H262" s="21" t="str">
        <x:v>Independent Evidence and Data Authority</x:v>
      </x:c>
      <x:c r="I262" s="21" t="str">
        <x:v>OPEN</x:v>
      </x:c>
      <x:c r="J262" s="21" t="str">
        <x:v>HOLD</x:v>
      </x:c>
      <x:c r="K262" s="23" t="str">
        <x:v>what exact configuration produced the article must be accepted before downstream release</x:v>
      </x:c>
    </x:row>
    <x:row r="263">
      <x:c r="B263" s="21" t="str">
        <x:v>BL-00257</x:v>
      </x:c>
      <x:c r="C263" s="21" t="str">
        <x:v>F10-I1</x:v>
      </x:c>
      <x:c r="D263" s="21" t="str">
        <x:v>F10</x:v>
      </x:c>
      <x:c r="E263" s="21" t="str">
        <x:v>B4</x:v>
      </x:c>
      <x:c r="F263" s="21" t="str">
        <x:v>Trial</x:v>
      </x:c>
      <x:c r="G263" s="21" t="str">
        <x:v>0.0.0</x:v>
      </x:c>
      <x:c r="H263" s="21" t="str">
        <x:v>Independent Evidence and Data Authority</x:v>
      </x:c>
      <x:c r="I263" s="21" t="str">
        <x:v>OPEN</x:v>
      </x:c>
      <x:c r="J263" s="21" t="str">
        <x:v>HOLD</x:v>
      </x:c>
      <x:c r="K263" s="23" t="str">
        <x:v>what configuration method and damage world produced evidence must be accepted before downstream release</x:v>
      </x:c>
    </x:row>
    <x:row r="264">
      <x:c r="B264" s="21" t="str">
        <x:v>BL-00258</x:v>
      </x:c>
      <x:c r="C264" s="21" t="str">
        <x:v>F10-I1</x:v>
      </x:c>
      <x:c r="D264" s="21" t="str">
        <x:v>F10</x:v>
      </x:c>
      <x:c r="E264" s="21" t="str">
        <x:v>B5</x:v>
      </x:c>
      <x:c r="F264" s="21" t="str">
        <x:v>Production</x:v>
      </x:c>
      <x:c r="G264" s="21" t="str">
        <x:v>0.0.0</x:v>
      </x:c>
      <x:c r="H264" s="21" t="str">
        <x:v>Independent Evidence and Data Authority</x:v>
      </x:c>
      <x:c r="I264" s="21" t="str">
        <x:v>OPEN</x:v>
      </x:c>
      <x:c r="J264" s="21" t="str">
        <x:v>HOLD</x:v>
      </x:c>
      <x:c r="K264" s="23" t="str">
        <x:v>what process configuration and acceptance define serial output must be accepted before downstream release</x:v>
      </x:c>
    </x:row>
    <x:row r="265">
      <x:c r="B265" s="21" t="str">
        <x:v>BL-00259</x:v>
      </x:c>
      <x:c r="C265" s="21" t="str">
        <x:v>F10-I1</x:v>
      </x:c>
      <x:c r="D265" s="21" t="str">
        <x:v>F10</x:v>
      </x:c>
      <x:c r="E265" s="21" t="str">
        <x:v>B6</x:v>
      </x:c>
      <x:c r="F265" s="21" t="str">
        <x:v>Mobilization</x:v>
      </x:c>
      <x:c r="G265" s="21" t="str">
        <x:v>0.0.0</x:v>
      </x:c>
      <x:c r="H265" s="21" t="str">
        <x:v>Independent Evidence and Data Authority</x:v>
      </x:c>
      <x:c r="I265" s="21" t="str">
        <x:v>OPEN</x:v>
      </x:c>
      <x:c r="J265" s="21" t="str">
        <x:v>HOLD</x:v>
      </x:c>
      <x:c r="K265" s="23" t="str">
        <x:v>what people tools suppliers and routes reproduce conforming service must be accepted before downstream release</x:v>
      </x:c>
    </x:row>
    <x:row r="266">
      <x:c r="B266" s="21" t="str">
        <x:v>BL-00260</x:v>
      </x:c>
      <x:c r="C266" s="21" t="str">
        <x:v>F10-I2</x:v>
      </x:c>
      <x:c r="D266" s="21" t="str">
        <x:v>F10</x:v>
      </x:c>
      <x:c r="E266" s="21" t="str">
        <x:v>B0</x:v>
      </x:c>
      <x:c r="F266" s="21" t="str">
        <x:v>Effect</x:v>
      </x:c>
      <x:c r="G266" s="21" t="str">
        <x:v>0.0.0</x:v>
      </x:c>
      <x:c r="H266" s="21" t="str">
        <x:v>Independent Evidence and Data Authority</x:v>
      </x:c>
      <x:c r="I266" s="21" t="str">
        <x:v>OPEN</x:v>
      </x:c>
      <x:c r="J266" s="21" t="str">
        <x:v>HOLD</x:v>
      </x:c>
      <x:c r="K266" s="23" t="str">
        <x:v>what public condition must exist must be accepted before downstream release</x:v>
      </x:c>
    </x:row>
    <x:row r="267">
      <x:c r="B267" s="21" t="str">
        <x:v>BL-00261</x:v>
      </x:c>
      <x:c r="C267" s="21" t="str">
        <x:v>F10-I2</x:v>
      </x:c>
      <x:c r="D267" s="21" t="str">
        <x:v>F10</x:v>
      </x:c>
      <x:c r="E267" s="21" t="str">
        <x:v>B1</x:v>
      </x:c>
      <x:c r="F267" s="21" t="str">
        <x:v>Requirements</x:v>
      </x:c>
      <x:c r="G267" s="21" t="str">
        <x:v>0.0.0</x:v>
      </x:c>
      <x:c r="H267" s="21" t="str">
        <x:v>Independent Evidence and Data Authority</x:v>
      </x:c>
      <x:c r="I267" s="21" t="str">
        <x:v>OPEN</x:v>
      </x:c>
      <x:c r="J267" s="21" t="str">
        <x:v>HOLD</x:v>
      </x:c>
      <x:c r="K267" s="23" t="str">
        <x:v>what burdens and invalid states bound the effect must be accepted before downstream release</x:v>
      </x:c>
    </x:row>
    <x:row r="268">
      <x:c r="B268" s="21" t="str">
        <x:v>BL-00262</x:v>
      </x:c>
      <x:c r="C268" s="21" t="str">
        <x:v>F10-I2</x:v>
      </x:c>
      <x:c r="D268" s="21" t="str">
        <x:v>F10</x:v>
      </x:c>
      <x:c r="E268" s="21" t="str">
        <x:v>B2</x:v>
      </x:c>
      <x:c r="F268" s="21" t="str">
        <x:v>Architecture</x:v>
      </x:c>
      <x:c r="G268" s="21" t="str">
        <x:v>0.0.0</x:v>
      </x:c>
      <x:c r="H268" s="21" t="str">
        <x:v>Independent Evidence and Data Authority</x:v>
      </x:c>
      <x:c r="I268" s="21" t="str">
        <x:v>OPEN</x:v>
      </x:c>
      <x:c r="J268" s="21" t="str">
        <x:v>HOLD</x:v>
      </x:c>
      <x:c r="K268" s="23" t="str">
        <x:v>what interfaces and budgets govern the system must be accepted before downstream release</x:v>
      </x:c>
    </x:row>
    <x:row r="269">
      <x:c r="B269" s="21" t="str">
        <x:v>BL-00263</x:v>
      </x:c>
      <x:c r="C269" s="21" t="str">
        <x:v>F10-I2</x:v>
      </x:c>
      <x:c r="D269" s="21" t="str">
        <x:v>F10</x:v>
      </x:c>
      <x:c r="E269" s="21" t="str">
        <x:v>B3</x:v>
      </x:c>
      <x:c r="F269" s="21" t="str">
        <x:v>Build</x:v>
      </x:c>
      <x:c r="G269" s="21" t="str">
        <x:v>0.0.0</x:v>
      </x:c>
      <x:c r="H269" s="21" t="str">
        <x:v>Independent Evidence and Data Authority</x:v>
      </x:c>
      <x:c r="I269" s="21" t="str">
        <x:v>OPEN</x:v>
      </x:c>
      <x:c r="J269" s="21" t="str">
        <x:v>HOLD</x:v>
      </x:c>
      <x:c r="K269" s="23" t="str">
        <x:v>what exact configuration produced the article must be accepted before downstream release</x:v>
      </x:c>
    </x:row>
    <x:row r="270">
      <x:c r="B270" s="21" t="str">
        <x:v>BL-00264</x:v>
      </x:c>
      <x:c r="C270" s="21" t="str">
        <x:v>F10-I2</x:v>
      </x:c>
      <x:c r="D270" s="21" t="str">
        <x:v>F10</x:v>
      </x:c>
      <x:c r="E270" s="21" t="str">
        <x:v>B4</x:v>
      </x:c>
      <x:c r="F270" s="21" t="str">
        <x:v>Trial</x:v>
      </x:c>
      <x:c r="G270" s="21" t="str">
        <x:v>0.0.0</x:v>
      </x:c>
      <x:c r="H270" s="21" t="str">
        <x:v>Independent Evidence and Data Authority</x:v>
      </x:c>
      <x:c r="I270" s="21" t="str">
        <x:v>OPEN</x:v>
      </x:c>
      <x:c r="J270" s="21" t="str">
        <x:v>HOLD</x:v>
      </x:c>
      <x:c r="K270" s="23" t="str">
        <x:v>what configuration method and damage world produced evidence must be accepted before downstream release</x:v>
      </x:c>
    </x:row>
    <x:row r="271">
      <x:c r="B271" s="21" t="str">
        <x:v>BL-00265</x:v>
      </x:c>
      <x:c r="C271" s="21" t="str">
        <x:v>F10-I2</x:v>
      </x:c>
      <x:c r="D271" s="21" t="str">
        <x:v>F10</x:v>
      </x:c>
      <x:c r="E271" s="21" t="str">
        <x:v>B5</x:v>
      </x:c>
      <x:c r="F271" s="21" t="str">
        <x:v>Production</x:v>
      </x:c>
      <x:c r="G271" s="21" t="str">
        <x:v>0.0.0</x:v>
      </x:c>
      <x:c r="H271" s="21" t="str">
        <x:v>Independent Evidence and Data Authority</x:v>
      </x:c>
      <x:c r="I271" s="21" t="str">
        <x:v>OPEN</x:v>
      </x:c>
      <x:c r="J271" s="21" t="str">
        <x:v>HOLD</x:v>
      </x:c>
      <x:c r="K271" s="23" t="str">
        <x:v>what process configuration and acceptance define serial output must be accepted before downstream release</x:v>
      </x:c>
    </x:row>
    <x:row r="272">
      <x:c r="B272" s="21" t="str">
        <x:v>BL-00266</x:v>
      </x:c>
      <x:c r="C272" s="21" t="str">
        <x:v>F10-I2</x:v>
      </x:c>
      <x:c r="D272" s="21" t="str">
        <x:v>F10</x:v>
      </x:c>
      <x:c r="E272" s="21" t="str">
        <x:v>B6</x:v>
      </x:c>
      <x:c r="F272" s="21" t="str">
        <x:v>Mobilization</x:v>
      </x:c>
      <x:c r="G272" s="21" t="str">
        <x:v>0.0.0</x:v>
      </x:c>
      <x:c r="H272" s="21" t="str">
        <x:v>Independent Evidence and Data Authority</x:v>
      </x:c>
      <x:c r="I272" s="21" t="str">
        <x:v>OPEN</x:v>
      </x:c>
      <x:c r="J272" s="21" t="str">
        <x:v>HOLD</x:v>
      </x:c>
      <x:c r="K272" s="23" t="str">
        <x:v>what people tools suppliers and routes reproduce conforming service must be accepted before downstream release</x:v>
      </x:c>
    </x:row>
    <x:row r="273">
      <x:c r="B273" s="21" t="str">
        <x:v>BL-00267</x:v>
      </x:c>
      <x:c r="C273" s="21" t="str">
        <x:v>F10-I3</x:v>
      </x:c>
      <x:c r="D273" s="21" t="str">
        <x:v>F10</x:v>
      </x:c>
      <x:c r="E273" s="21" t="str">
        <x:v>B0</x:v>
      </x:c>
      <x:c r="F273" s="21" t="str">
        <x:v>Effect</x:v>
      </x:c>
      <x:c r="G273" s="21" t="str">
        <x:v>0.0.0</x:v>
      </x:c>
      <x:c r="H273" s="21" t="str">
        <x:v>Independent Evidence and Data Authority</x:v>
      </x:c>
      <x:c r="I273" s="21" t="str">
        <x:v>OPEN</x:v>
      </x:c>
      <x:c r="J273" s="21" t="str">
        <x:v>HOLD</x:v>
      </x:c>
      <x:c r="K273" s="23" t="str">
        <x:v>what public condition must exist must be accepted before downstream release</x:v>
      </x:c>
    </x:row>
    <x:row r="274">
      <x:c r="B274" s="21" t="str">
        <x:v>BL-00268</x:v>
      </x:c>
      <x:c r="C274" s="21" t="str">
        <x:v>F10-I3</x:v>
      </x:c>
      <x:c r="D274" s="21" t="str">
        <x:v>F10</x:v>
      </x:c>
      <x:c r="E274" s="21" t="str">
        <x:v>B1</x:v>
      </x:c>
      <x:c r="F274" s="21" t="str">
        <x:v>Requirements</x:v>
      </x:c>
      <x:c r="G274" s="21" t="str">
        <x:v>0.0.0</x:v>
      </x:c>
      <x:c r="H274" s="21" t="str">
        <x:v>Independent Evidence and Data Authority</x:v>
      </x:c>
      <x:c r="I274" s="21" t="str">
        <x:v>OPEN</x:v>
      </x:c>
      <x:c r="J274" s="21" t="str">
        <x:v>HOLD</x:v>
      </x:c>
      <x:c r="K274" s="23" t="str">
        <x:v>what burdens and invalid states bound the effect must be accepted before downstream release</x:v>
      </x:c>
    </x:row>
    <x:row r="275">
      <x:c r="B275" s="21" t="str">
        <x:v>BL-00269</x:v>
      </x:c>
      <x:c r="C275" s="21" t="str">
        <x:v>F10-I3</x:v>
      </x:c>
      <x:c r="D275" s="21" t="str">
        <x:v>F10</x:v>
      </x:c>
      <x:c r="E275" s="21" t="str">
        <x:v>B2</x:v>
      </x:c>
      <x:c r="F275" s="21" t="str">
        <x:v>Architecture</x:v>
      </x:c>
      <x:c r="G275" s="21" t="str">
        <x:v>0.0.0</x:v>
      </x:c>
      <x:c r="H275" s="21" t="str">
        <x:v>Independent Evidence and Data Authority</x:v>
      </x:c>
      <x:c r="I275" s="21" t="str">
        <x:v>OPEN</x:v>
      </x:c>
      <x:c r="J275" s="21" t="str">
        <x:v>HOLD</x:v>
      </x:c>
      <x:c r="K275" s="23" t="str">
        <x:v>what interfaces and budgets govern the system must be accepted before downstream release</x:v>
      </x:c>
    </x:row>
    <x:row r="276">
      <x:c r="B276" s="21" t="str">
        <x:v>BL-00270</x:v>
      </x:c>
      <x:c r="C276" s="21" t="str">
        <x:v>F10-I3</x:v>
      </x:c>
      <x:c r="D276" s="21" t="str">
        <x:v>F10</x:v>
      </x:c>
      <x:c r="E276" s="21" t="str">
        <x:v>B3</x:v>
      </x:c>
      <x:c r="F276" s="21" t="str">
        <x:v>Build</x:v>
      </x:c>
      <x:c r="G276" s="21" t="str">
        <x:v>0.0.0</x:v>
      </x:c>
      <x:c r="H276" s="21" t="str">
        <x:v>Independent Evidence and Data Authority</x:v>
      </x:c>
      <x:c r="I276" s="21" t="str">
        <x:v>OPEN</x:v>
      </x:c>
      <x:c r="J276" s="21" t="str">
        <x:v>HOLD</x:v>
      </x:c>
      <x:c r="K276" s="23" t="str">
        <x:v>what exact configuration produced the article must be accepted before downstream release</x:v>
      </x:c>
    </x:row>
    <x:row r="277">
      <x:c r="B277" s="21" t="str">
        <x:v>BL-00271</x:v>
      </x:c>
      <x:c r="C277" s="21" t="str">
        <x:v>F10-I3</x:v>
      </x:c>
      <x:c r="D277" s="21" t="str">
        <x:v>F10</x:v>
      </x:c>
      <x:c r="E277" s="21" t="str">
        <x:v>B4</x:v>
      </x:c>
      <x:c r="F277" s="21" t="str">
        <x:v>Trial</x:v>
      </x:c>
      <x:c r="G277" s="21" t="str">
        <x:v>0.0.0</x:v>
      </x:c>
      <x:c r="H277" s="21" t="str">
        <x:v>Independent Evidence and Data Authority</x:v>
      </x:c>
      <x:c r="I277" s="21" t="str">
        <x:v>OPEN</x:v>
      </x:c>
      <x:c r="J277" s="21" t="str">
        <x:v>HOLD</x:v>
      </x:c>
      <x:c r="K277" s="23" t="str">
        <x:v>what configuration method and damage world produced evidence must be accepted before downstream release</x:v>
      </x:c>
    </x:row>
    <x:row r="278">
      <x:c r="B278" s="21" t="str">
        <x:v>BL-00272</x:v>
      </x:c>
      <x:c r="C278" s="21" t="str">
        <x:v>F10-I3</x:v>
      </x:c>
      <x:c r="D278" s="21" t="str">
        <x:v>F10</x:v>
      </x:c>
      <x:c r="E278" s="21" t="str">
        <x:v>B5</x:v>
      </x:c>
      <x:c r="F278" s="21" t="str">
        <x:v>Production</x:v>
      </x:c>
      <x:c r="G278" s="21" t="str">
        <x:v>0.0.0</x:v>
      </x:c>
      <x:c r="H278" s="21" t="str">
        <x:v>Independent Evidence and Data Authority</x:v>
      </x:c>
      <x:c r="I278" s="21" t="str">
        <x:v>OPEN</x:v>
      </x:c>
      <x:c r="J278" s="21" t="str">
        <x:v>HOLD</x:v>
      </x:c>
      <x:c r="K278" s="23" t="str">
        <x:v>what process configuration and acceptance define serial output must be accepted before downstream release</x:v>
      </x:c>
    </x:row>
    <x:row r="279">
      <x:c r="B279" s="21" t="str">
        <x:v>BL-00273</x:v>
      </x:c>
      <x:c r="C279" s="21" t="str">
        <x:v>F10-I3</x:v>
      </x:c>
      <x:c r="D279" s="21" t="str">
        <x:v>F10</x:v>
      </x:c>
      <x:c r="E279" s="21" t="str">
        <x:v>B6</x:v>
      </x:c>
      <x:c r="F279" s="21" t="str">
        <x:v>Mobilization</x:v>
      </x:c>
      <x:c r="G279" s="21" t="str">
        <x:v>0.0.0</x:v>
      </x:c>
      <x:c r="H279" s="21" t="str">
        <x:v>Independent Evidence and Data Authority</x:v>
      </x:c>
      <x:c r="I279" s="21" t="str">
        <x:v>OPEN</x:v>
      </x:c>
      <x:c r="J279" s="21" t="str">
        <x:v>HOLD</x:v>
      </x:c>
      <x:c r="K279" s="23" t="str">
        <x:v>what people tools suppliers and routes reproduce conforming service must be accepted before downstream release</x:v>
      </x:c>
    </x:row>
    <x:row r="280">
      <x:c r="B280" s="21" t="str">
        <x:v>BL-00274</x:v>
      </x:c>
      <x:c r="C280" s="21" t="str">
        <x:v>F10-I4</x:v>
      </x:c>
      <x:c r="D280" s="21" t="str">
        <x:v>F10</x:v>
      </x:c>
      <x:c r="E280" s="21" t="str">
        <x:v>B0</x:v>
      </x:c>
      <x:c r="F280" s="21" t="str">
        <x:v>Effect</x:v>
      </x:c>
      <x:c r="G280" s="21" t="str">
        <x:v>0.0.0</x:v>
      </x:c>
      <x:c r="H280" s="21" t="str">
        <x:v>Independent Evidence and Data Authority</x:v>
      </x:c>
      <x:c r="I280" s="21" t="str">
        <x:v>OPEN</x:v>
      </x:c>
      <x:c r="J280" s="21" t="str">
        <x:v>HOLD</x:v>
      </x:c>
      <x:c r="K280" s="23" t="str">
        <x:v>what public condition must exist must be accepted before downstream release</x:v>
      </x:c>
    </x:row>
    <x:row r="281">
      <x:c r="B281" s="21" t="str">
        <x:v>BL-00275</x:v>
      </x:c>
      <x:c r="C281" s="21" t="str">
        <x:v>F10-I4</x:v>
      </x:c>
      <x:c r="D281" s="21" t="str">
        <x:v>F10</x:v>
      </x:c>
      <x:c r="E281" s="21" t="str">
        <x:v>B1</x:v>
      </x:c>
      <x:c r="F281" s="21" t="str">
        <x:v>Requirements</x:v>
      </x:c>
      <x:c r="G281" s="21" t="str">
        <x:v>0.0.0</x:v>
      </x:c>
      <x:c r="H281" s="21" t="str">
        <x:v>Independent Evidence and Data Authority</x:v>
      </x:c>
      <x:c r="I281" s="21" t="str">
        <x:v>OPEN</x:v>
      </x:c>
      <x:c r="J281" s="21" t="str">
        <x:v>HOLD</x:v>
      </x:c>
      <x:c r="K281" s="23" t="str">
        <x:v>what burdens and invalid states bound the effect must be accepted before downstream release</x:v>
      </x:c>
    </x:row>
    <x:row r="282">
      <x:c r="B282" s="21" t="str">
        <x:v>BL-00276</x:v>
      </x:c>
      <x:c r="C282" s="21" t="str">
        <x:v>F10-I4</x:v>
      </x:c>
      <x:c r="D282" s="21" t="str">
        <x:v>F10</x:v>
      </x:c>
      <x:c r="E282" s="21" t="str">
        <x:v>B2</x:v>
      </x:c>
      <x:c r="F282" s="21" t="str">
        <x:v>Architecture</x:v>
      </x:c>
      <x:c r="G282" s="21" t="str">
        <x:v>0.0.0</x:v>
      </x:c>
      <x:c r="H282" s="21" t="str">
        <x:v>Independent Evidence and Data Authority</x:v>
      </x:c>
      <x:c r="I282" s="21" t="str">
        <x:v>OPEN</x:v>
      </x:c>
      <x:c r="J282" s="21" t="str">
        <x:v>HOLD</x:v>
      </x:c>
      <x:c r="K282" s="23" t="str">
        <x:v>what interfaces and budgets govern the system must be accepted before downstream release</x:v>
      </x:c>
    </x:row>
    <x:row r="283">
      <x:c r="B283" s="21" t="str">
        <x:v>BL-00277</x:v>
      </x:c>
      <x:c r="C283" s="21" t="str">
        <x:v>F10-I4</x:v>
      </x:c>
      <x:c r="D283" s="21" t="str">
        <x:v>F10</x:v>
      </x:c>
      <x:c r="E283" s="21" t="str">
        <x:v>B3</x:v>
      </x:c>
      <x:c r="F283" s="21" t="str">
        <x:v>Build</x:v>
      </x:c>
      <x:c r="G283" s="21" t="str">
        <x:v>0.0.0</x:v>
      </x:c>
      <x:c r="H283" s="21" t="str">
        <x:v>Independent Evidence and Data Authority</x:v>
      </x:c>
      <x:c r="I283" s="21" t="str">
        <x:v>OPEN</x:v>
      </x:c>
      <x:c r="J283" s="21" t="str">
        <x:v>HOLD</x:v>
      </x:c>
      <x:c r="K283" s="23" t="str">
        <x:v>what exact configuration produced the article must be accepted before downstream release</x:v>
      </x:c>
    </x:row>
    <x:row r="284">
      <x:c r="B284" s="21" t="str">
        <x:v>BL-00278</x:v>
      </x:c>
      <x:c r="C284" s="21" t="str">
        <x:v>F10-I4</x:v>
      </x:c>
      <x:c r="D284" s="21" t="str">
        <x:v>F10</x:v>
      </x:c>
      <x:c r="E284" s="21" t="str">
        <x:v>B4</x:v>
      </x:c>
      <x:c r="F284" s="21" t="str">
        <x:v>Trial</x:v>
      </x:c>
      <x:c r="G284" s="21" t="str">
        <x:v>0.0.0</x:v>
      </x:c>
      <x:c r="H284" s="21" t="str">
        <x:v>Independent Evidence and Data Authority</x:v>
      </x:c>
      <x:c r="I284" s="21" t="str">
        <x:v>OPEN</x:v>
      </x:c>
      <x:c r="J284" s="21" t="str">
        <x:v>HOLD</x:v>
      </x:c>
      <x:c r="K284" s="23" t="str">
        <x:v>what configuration method and damage world produced evidence must be accepted before downstream release</x:v>
      </x:c>
    </x:row>
    <x:row r="285">
      <x:c r="B285" s="21" t="str">
        <x:v>BL-00279</x:v>
      </x:c>
      <x:c r="C285" s="21" t="str">
        <x:v>F10-I4</x:v>
      </x:c>
      <x:c r="D285" s="21" t="str">
        <x:v>F10</x:v>
      </x:c>
      <x:c r="E285" s="21" t="str">
        <x:v>B5</x:v>
      </x:c>
      <x:c r="F285" s="21" t="str">
        <x:v>Production</x:v>
      </x:c>
      <x:c r="G285" s="21" t="str">
        <x:v>0.0.0</x:v>
      </x:c>
      <x:c r="H285" s="21" t="str">
        <x:v>Independent Evidence and Data Authority</x:v>
      </x:c>
      <x:c r="I285" s="21" t="str">
        <x:v>OPEN</x:v>
      </x:c>
      <x:c r="J285" s="21" t="str">
        <x:v>HOLD</x:v>
      </x:c>
      <x:c r="K285" s="23" t="str">
        <x:v>what process configuration and acceptance define serial output must be accepted before downstream release</x:v>
      </x:c>
    </x:row>
    <x:row r="286">
      <x:c r="B286" s="21" t="str">
        <x:v>BL-00280</x:v>
      </x:c>
      <x:c r="C286" s="21" t="str">
        <x:v>F10-I4</x:v>
      </x:c>
      <x:c r="D286" s="21" t="str">
        <x:v>F10</x:v>
      </x:c>
      <x:c r="E286" s="21" t="str">
        <x:v>B6</x:v>
      </x:c>
      <x:c r="F286" s="21" t="str">
        <x:v>Mobilization</x:v>
      </x:c>
      <x:c r="G286" s="21" t="str">
        <x:v>0.0.0</x:v>
      </x:c>
      <x:c r="H286" s="21" t="str">
        <x:v>Independent Evidence and Data Authority</x:v>
      </x:c>
      <x:c r="I286" s="21" t="str">
        <x:v>OPEN</x:v>
      </x:c>
      <x:c r="J286" s="21" t="str">
        <x:v>HOLD</x:v>
      </x:c>
      <x:c r="K286" s="23" t="str">
        <x:v>what people tools suppliers and routes reproduce conforming service must be accepted before downstream release</x:v>
      </x:c>
    </x:row>
    <x:row r="287">
      <x:c r="B287" s="21" t="str">
        <x:v>BL-00281</x:v>
      </x:c>
      <x:c r="C287" s="21" t="str">
        <x:v>F11-I1</x:v>
      </x:c>
      <x:c r="D287" s="21" t="str">
        <x:v>F11</x:v>
      </x:c>
      <x:c r="E287" s="21" t="str">
        <x:v>B0</x:v>
      </x:c>
      <x:c r="F287" s="21" t="str">
        <x:v>Effect</x:v>
      </x:c>
      <x:c r="G287" s="21" t="str">
        <x:v>0.0.0</x:v>
      </x:c>
      <x:c r="H287" s="21" t="str">
        <x:v>Independent Evidence and Data Authority</x:v>
      </x:c>
      <x:c r="I287" s="21" t="str">
        <x:v>OPEN</x:v>
      </x:c>
      <x:c r="J287" s="21" t="str">
        <x:v>HOLD</x:v>
      </x:c>
      <x:c r="K287" s="23" t="str">
        <x:v>what public condition must exist must be accepted before downstream release</x:v>
      </x:c>
    </x:row>
    <x:row r="288">
      <x:c r="B288" s="21" t="str">
        <x:v>BL-00282</x:v>
      </x:c>
      <x:c r="C288" s="21" t="str">
        <x:v>F11-I1</x:v>
      </x:c>
      <x:c r="D288" s="21" t="str">
        <x:v>F11</x:v>
      </x:c>
      <x:c r="E288" s="21" t="str">
        <x:v>B1</x:v>
      </x:c>
      <x:c r="F288" s="21" t="str">
        <x:v>Requirements</x:v>
      </x:c>
      <x:c r="G288" s="21" t="str">
        <x:v>0.0.0</x:v>
      </x:c>
      <x:c r="H288" s="21" t="str">
        <x:v>Independent Evidence and Data Authority</x:v>
      </x:c>
      <x:c r="I288" s="21" t="str">
        <x:v>OPEN</x:v>
      </x:c>
      <x:c r="J288" s="21" t="str">
        <x:v>HOLD</x:v>
      </x:c>
      <x:c r="K288" s="23" t="str">
        <x:v>what burdens and invalid states bound the effect must be accepted before downstream release</x:v>
      </x:c>
    </x:row>
    <x:row r="289">
      <x:c r="B289" s="21" t="str">
        <x:v>BL-00283</x:v>
      </x:c>
      <x:c r="C289" s="21" t="str">
        <x:v>F11-I1</x:v>
      </x:c>
      <x:c r="D289" s="21" t="str">
        <x:v>F11</x:v>
      </x:c>
      <x:c r="E289" s="21" t="str">
        <x:v>B2</x:v>
      </x:c>
      <x:c r="F289" s="21" t="str">
        <x:v>Architecture</x:v>
      </x:c>
      <x:c r="G289" s="21" t="str">
        <x:v>0.0.0</x:v>
      </x:c>
      <x:c r="H289" s="21" t="str">
        <x:v>Independent Evidence and Data Authority</x:v>
      </x:c>
      <x:c r="I289" s="21" t="str">
        <x:v>OPEN</x:v>
      </x:c>
      <x:c r="J289" s="21" t="str">
        <x:v>HOLD</x:v>
      </x:c>
      <x:c r="K289" s="23" t="str">
        <x:v>what interfaces and budgets govern the system must be accepted before downstream release</x:v>
      </x:c>
    </x:row>
    <x:row r="290">
      <x:c r="B290" s="21" t="str">
        <x:v>BL-00284</x:v>
      </x:c>
      <x:c r="C290" s="21" t="str">
        <x:v>F11-I1</x:v>
      </x:c>
      <x:c r="D290" s="21" t="str">
        <x:v>F11</x:v>
      </x:c>
      <x:c r="E290" s="21" t="str">
        <x:v>B3</x:v>
      </x:c>
      <x:c r="F290" s="21" t="str">
        <x:v>Build</x:v>
      </x:c>
      <x:c r="G290" s="21" t="str">
        <x:v>0.0.0</x:v>
      </x:c>
      <x:c r="H290" s="21" t="str">
        <x:v>Independent Evidence and Data Authority</x:v>
      </x:c>
      <x:c r="I290" s="21" t="str">
        <x:v>OPEN</x:v>
      </x:c>
      <x:c r="J290" s="21" t="str">
        <x:v>HOLD</x:v>
      </x:c>
      <x:c r="K290" s="23" t="str">
        <x:v>what exact configuration produced the article must be accepted before downstream release</x:v>
      </x:c>
    </x:row>
    <x:row r="291">
      <x:c r="B291" s="21" t="str">
        <x:v>BL-00285</x:v>
      </x:c>
      <x:c r="C291" s="21" t="str">
        <x:v>F11-I1</x:v>
      </x:c>
      <x:c r="D291" s="21" t="str">
        <x:v>F11</x:v>
      </x:c>
      <x:c r="E291" s="21" t="str">
        <x:v>B4</x:v>
      </x:c>
      <x:c r="F291" s="21" t="str">
        <x:v>Trial</x:v>
      </x:c>
      <x:c r="G291" s="21" t="str">
        <x:v>0.0.0</x:v>
      </x:c>
      <x:c r="H291" s="21" t="str">
        <x:v>Independent Evidence and Data Authority</x:v>
      </x:c>
      <x:c r="I291" s="21" t="str">
        <x:v>OPEN</x:v>
      </x:c>
      <x:c r="J291" s="21" t="str">
        <x:v>HOLD</x:v>
      </x:c>
      <x:c r="K291" s="23" t="str">
        <x:v>what configuration method and damage world produced evidence must be accepted before downstream release</x:v>
      </x:c>
    </x:row>
    <x:row r="292">
      <x:c r="B292" s="21" t="str">
        <x:v>BL-00286</x:v>
      </x:c>
      <x:c r="C292" s="21" t="str">
        <x:v>F11-I1</x:v>
      </x:c>
      <x:c r="D292" s="21" t="str">
        <x:v>F11</x:v>
      </x:c>
      <x:c r="E292" s="21" t="str">
        <x:v>B5</x:v>
      </x:c>
      <x:c r="F292" s="21" t="str">
        <x:v>Production</x:v>
      </x:c>
      <x:c r="G292" s="21" t="str">
        <x:v>0.0.0</x:v>
      </x:c>
      <x:c r="H292" s="21" t="str">
        <x:v>Independent Evidence and Data Authority</x:v>
      </x:c>
      <x:c r="I292" s="21" t="str">
        <x:v>OPEN</x:v>
      </x:c>
      <x:c r="J292" s="21" t="str">
        <x:v>HOLD</x:v>
      </x:c>
      <x:c r="K292" s="23" t="str">
        <x:v>what process configuration and acceptance define serial output must be accepted before downstream release</x:v>
      </x:c>
    </x:row>
    <x:row r="293">
      <x:c r="B293" s="21" t="str">
        <x:v>BL-00287</x:v>
      </x:c>
      <x:c r="C293" s="21" t="str">
        <x:v>F11-I1</x:v>
      </x:c>
      <x:c r="D293" s="21" t="str">
        <x:v>F11</x:v>
      </x:c>
      <x:c r="E293" s="21" t="str">
        <x:v>B6</x:v>
      </x:c>
      <x:c r="F293" s="21" t="str">
        <x:v>Mobilization</x:v>
      </x:c>
      <x:c r="G293" s="21" t="str">
        <x:v>0.0.0</x:v>
      </x:c>
      <x:c r="H293" s="21" t="str">
        <x:v>Independent Evidence and Data Authority</x:v>
      </x:c>
      <x:c r="I293" s="21" t="str">
        <x:v>OPEN</x:v>
      </x:c>
      <x:c r="J293" s="21" t="str">
        <x:v>HOLD</x:v>
      </x:c>
      <x:c r="K293" s="23" t="str">
        <x:v>what people tools suppliers and routes reproduce conforming service must be accepted before downstream release</x:v>
      </x:c>
    </x:row>
    <x:row r="294">
      <x:c r="B294" s="21" t="str">
        <x:v>BL-00288</x:v>
      </x:c>
      <x:c r="C294" s="21" t="str">
        <x:v>F11-I2</x:v>
      </x:c>
      <x:c r="D294" s="21" t="str">
        <x:v>F11</x:v>
      </x:c>
      <x:c r="E294" s="21" t="str">
        <x:v>B0</x:v>
      </x:c>
      <x:c r="F294" s="21" t="str">
        <x:v>Effect</x:v>
      </x:c>
      <x:c r="G294" s="21" t="str">
        <x:v>0.0.0</x:v>
      </x:c>
      <x:c r="H294" s="21" t="str">
        <x:v>Independent Evidence and Data Authority</x:v>
      </x:c>
      <x:c r="I294" s="21" t="str">
        <x:v>OPEN</x:v>
      </x:c>
      <x:c r="J294" s="21" t="str">
        <x:v>HOLD</x:v>
      </x:c>
      <x:c r="K294" s="23" t="str">
        <x:v>what public condition must exist must be accepted before downstream release</x:v>
      </x:c>
    </x:row>
    <x:row r="295">
      <x:c r="B295" s="21" t="str">
        <x:v>BL-00289</x:v>
      </x:c>
      <x:c r="C295" s="21" t="str">
        <x:v>F11-I2</x:v>
      </x:c>
      <x:c r="D295" s="21" t="str">
        <x:v>F11</x:v>
      </x:c>
      <x:c r="E295" s="21" t="str">
        <x:v>B1</x:v>
      </x:c>
      <x:c r="F295" s="21" t="str">
        <x:v>Requirements</x:v>
      </x:c>
      <x:c r="G295" s="21" t="str">
        <x:v>0.0.0</x:v>
      </x:c>
      <x:c r="H295" s="21" t="str">
        <x:v>Independent Evidence and Data Authority</x:v>
      </x:c>
      <x:c r="I295" s="21" t="str">
        <x:v>OPEN</x:v>
      </x:c>
      <x:c r="J295" s="21" t="str">
        <x:v>HOLD</x:v>
      </x:c>
      <x:c r="K295" s="23" t="str">
        <x:v>what burdens and invalid states bound the effect must be accepted before downstream release</x:v>
      </x:c>
    </x:row>
    <x:row r="296">
      <x:c r="B296" s="21" t="str">
        <x:v>BL-00290</x:v>
      </x:c>
      <x:c r="C296" s="21" t="str">
        <x:v>F11-I2</x:v>
      </x:c>
      <x:c r="D296" s="21" t="str">
        <x:v>F11</x:v>
      </x:c>
      <x:c r="E296" s="21" t="str">
        <x:v>B2</x:v>
      </x:c>
      <x:c r="F296" s="21" t="str">
        <x:v>Architecture</x:v>
      </x:c>
      <x:c r="G296" s="21" t="str">
        <x:v>0.0.0</x:v>
      </x:c>
      <x:c r="H296" s="21" t="str">
        <x:v>Independent Evidence and Data Authority</x:v>
      </x:c>
      <x:c r="I296" s="21" t="str">
        <x:v>OPEN</x:v>
      </x:c>
      <x:c r="J296" s="21" t="str">
        <x:v>HOLD</x:v>
      </x:c>
      <x:c r="K296" s="23" t="str">
        <x:v>what interfaces and budgets govern the system must be accepted before downstream release</x:v>
      </x:c>
    </x:row>
    <x:row r="297">
      <x:c r="B297" s="21" t="str">
        <x:v>BL-00291</x:v>
      </x:c>
      <x:c r="C297" s="21" t="str">
        <x:v>F11-I2</x:v>
      </x:c>
      <x:c r="D297" s="21" t="str">
        <x:v>F11</x:v>
      </x:c>
      <x:c r="E297" s="21" t="str">
        <x:v>B3</x:v>
      </x:c>
      <x:c r="F297" s="21" t="str">
        <x:v>Build</x:v>
      </x:c>
      <x:c r="G297" s="21" t="str">
        <x:v>0.0.0</x:v>
      </x:c>
      <x:c r="H297" s="21" t="str">
        <x:v>Independent Evidence and Data Authority</x:v>
      </x:c>
      <x:c r="I297" s="21" t="str">
        <x:v>OPEN</x:v>
      </x:c>
      <x:c r="J297" s="21" t="str">
        <x:v>HOLD</x:v>
      </x:c>
      <x:c r="K297" s="23" t="str">
        <x:v>what exact configuration produced the article must be accepted before downstream release</x:v>
      </x:c>
    </x:row>
    <x:row r="298">
      <x:c r="B298" s="21" t="str">
        <x:v>BL-00292</x:v>
      </x:c>
      <x:c r="C298" s="21" t="str">
        <x:v>F11-I2</x:v>
      </x:c>
      <x:c r="D298" s="21" t="str">
        <x:v>F11</x:v>
      </x:c>
      <x:c r="E298" s="21" t="str">
        <x:v>B4</x:v>
      </x:c>
      <x:c r="F298" s="21" t="str">
        <x:v>Trial</x:v>
      </x:c>
      <x:c r="G298" s="21" t="str">
        <x:v>0.0.0</x:v>
      </x:c>
      <x:c r="H298" s="21" t="str">
        <x:v>Independent Evidence and Data Authority</x:v>
      </x:c>
      <x:c r="I298" s="21" t="str">
        <x:v>OPEN</x:v>
      </x:c>
      <x:c r="J298" s="21" t="str">
        <x:v>HOLD</x:v>
      </x:c>
      <x:c r="K298" s="23" t="str">
        <x:v>what configuration method and damage world produced evidence must be accepted before downstream release</x:v>
      </x:c>
    </x:row>
    <x:row r="299">
      <x:c r="B299" s="21" t="str">
        <x:v>BL-00293</x:v>
      </x:c>
      <x:c r="C299" s="21" t="str">
        <x:v>F11-I2</x:v>
      </x:c>
      <x:c r="D299" s="21" t="str">
        <x:v>F11</x:v>
      </x:c>
      <x:c r="E299" s="21" t="str">
        <x:v>B5</x:v>
      </x:c>
      <x:c r="F299" s="21" t="str">
        <x:v>Production</x:v>
      </x:c>
      <x:c r="G299" s="21" t="str">
        <x:v>0.0.0</x:v>
      </x:c>
      <x:c r="H299" s="21" t="str">
        <x:v>Independent Evidence and Data Authority</x:v>
      </x:c>
      <x:c r="I299" s="21" t="str">
        <x:v>OPEN</x:v>
      </x:c>
      <x:c r="J299" s="21" t="str">
        <x:v>HOLD</x:v>
      </x:c>
      <x:c r="K299" s="23" t="str">
        <x:v>what process configuration and acceptance define serial output must be accepted before downstream release</x:v>
      </x:c>
    </x:row>
    <x:row r="300">
      <x:c r="B300" s="21" t="str">
        <x:v>BL-00294</x:v>
      </x:c>
      <x:c r="C300" s="21" t="str">
        <x:v>F11-I2</x:v>
      </x:c>
      <x:c r="D300" s="21" t="str">
        <x:v>F11</x:v>
      </x:c>
      <x:c r="E300" s="21" t="str">
        <x:v>B6</x:v>
      </x:c>
      <x:c r="F300" s="21" t="str">
        <x:v>Mobilization</x:v>
      </x:c>
      <x:c r="G300" s="21" t="str">
        <x:v>0.0.0</x:v>
      </x:c>
      <x:c r="H300" s="21" t="str">
        <x:v>Independent Evidence and Data Authority</x:v>
      </x:c>
      <x:c r="I300" s="21" t="str">
        <x:v>OPEN</x:v>
      </x:c>
      <x:c r="J300" s="21" t="str">
        <x:v>HOLD</x:v>
      </x:c>
      <x:c r="K300" s="23" t="str">
        <x:v>what people tools suppliers and routes reproduce conforming service must be accepted before downstream release</x:v>
      </x:c>
    </x:row>
    <x:row r="301">
      <x:c r="B301" s="21" t="str">
        <x:v>BL-00295</x:v>
      </x:c>
      <x:c r="C301" s="21" t="str">
        <x:v>F11-I3</x:v>
      </x:c>
      <x:c r="D301" s="21" t="str">
        <x:v>F11</x:v>
      </x:c>
      <x:c r="E301" s="21" t="str">
        <x:v>B0</x:v>
      </x:c>
      <x:c r="F301" s="21" t="str">
        <x:v>Effect</x:v>
      </x:c>
      <x:c r="G301" s="21" t="str">
        <x:v>0.0.0</x:v>
      </x:c>
      <x:c r="H301" s="21" t="str">
        <x:v>Independent Evidence and Data Authority</x:v>
      </x:c>
      <x:c r="I301" s="21" t="str">
        <x:v>OPEN</x:v>
      </x:c>
      <x:c r="J301" s="21" t="str">
        <x:v>HOLD</x:v>
      </x:c>
      <x:c r="K301" s="23" t="str">
        <x:v>what public condition must exist must be accepted before downstream release</x:v>
      </x:c>
    </x:row>
    <x:row r="302">
      <x:c r="B302" s="21" t="str">
        <x:v>BL-00296</x:v>
      </x:c>
      <x:c r="C302" s="21" t="str">
        <x:v>F11-I3</x:v>
      </x:c>
      <x:c r="D302" s="21" t="str">
        <x:v>F11</x:v>
      </x:c>
      <x:c r="E302" s="21" t="str">
        <x:v>B1</x:v>
      </x:c>
      <x:c r="F302" s="21" t="str">
        <x:v>Requirements</x:v>
      </x:c>
      <x:c r="G302" s="21" t="str">
        <x:v>0.0.0</x:v>
      </x:c>
      <x:c r="H302" s="21" t="str">
        <x:v>Independent Evidence and Data Authority</x:v>
      </x:c>
      <x:c r="I302" s="21" t="str">
        <x:v>OPEN</x:v>
      </x:c>
      <x:c r="J302" s="21" t="str">
        <x:v>HOLD</x:v>
      </x:c>
      <x:c r="K302" s="23" t="str">
        <x:v>what burdens and invalid states bound the effect must be accepted before downstream release</x:v>
      </x:c>
    </x:row>
    <x:row r="303">
      <x:c r="B303" s="21" t="str">
        <x:v>BL-00297</x:v>
      </x:c>
      <x:c r="C303" s="21" t="str">
        <x:v>F11-I3</x:v>
      </x:c>
      <x:c r="D303" s="21" t="str">
        <x:v>F11</x:v>
      </x:c>
      <x:c r="E303" s="21" t="str">
        <x:v>B2</x:v>
      </x:c>
      <x:c r="F303" s="21" t="str">
        <x:v>Architecture</x:v>
      </x:c>
      <x:c r="G303" s="21" t="str">
        <x:v>0.0.0</x:v>
      </x:c>
      <x:c r="H303" s="21" t="str">
        <x:v>Independent Evidence and Data Authority</x:v>
      </x:c>
      <x:c r="I303" s="21" t="str">
        <x:v>OPEN</x:v>
      </x:c>
      <x:c r="J303" s="21" t="str">
        <x:v>HOLD</x:v>
      </x:c>
      <x:c r="K303" s="23" t="str">
        <x:v>what interfaces and budgets govern the system must be accepted before downstream release</x:v>
      </x:c>
    </x:row>
    <x:row r="304">
      <x:c r="B304" s="21" t="str">
        <x:v>BL-00298</x:v>
      </x:c>
      <x:c r="C304" s="21" t="str">
        <x:v>F11-I3</x:v>
      </x:c>
      <x:c r="D304" s="21" t="str">
        <x:v>F11</x:v>
      </x:c>
      <x:c r="E304" s="21" t="str">
        <x:v>B3</x:v>
      </x:c>
      <x:c r="F304" s="21" t="str">
        <x:v>Build</x:v>
      </x:c>
      <x:c r="G304" s="21" t="str">
        <x:v>0.0.0</x:v>
      </x:c>
      <x:c r="H304" s="21" t="str">
        <x:v>Independent Evidence and Data Authority</x:v>
      </x:c>
      <x:c r="I304" s="21" t="str">
        <x:v>OPEN</x:v>
      </x:c>
      <x:c r="J304" s="21" t="str">
        <x:v>HOLD</x:v>
      </x:c>
      <x:c r="K304" s="23" t="str">
        <x:v>what exact configuration produced the article must be accepted before downstream release</x:v>
      </x:c>
    </x:row>
    <x:row r="305">
      <x:c r="B305" s="21" t="str">
        <x:v>BL-00299</x:v>
      </x:c>
      <x:c r="C305" s="21" t="str">
        <x:v>F11-I3</x:v>
      </x:c>
      <x:c r="D305" s="21" t="str">
        <x:v>F11</x:v>
      </x:c>
      <x:c r="E305" s="21" t="str">
        <x:v>B4</x:v>
      </x:c>
      <x:c r="F305" s="21" t="str">
        <x:v>Trial</x:v>
      </x:c>
      <x:c r="G305" s="21" t="str">
        <x:v>0.0.0</x:v>
      </x:c>
      <x:c r="H305" s="21" t="str">
        <x:v>Independent Evidence and Data Authority</x:v>
      </x:c>
      <x:c r="I305" s="21" t="str">
        <x:v>OPEN</x:v>
      </x:c>
      <x:c r="J305" s="21" t="str">
        <x:v>HOLD</x:v>
      </x:c>
      <x:c r="K305" s="23" t="str">
        <x:v>what configuration method and damage world produced evidence must be accepted before downstream release</x:v>
      </x:c>
    </x:row>
    <x:row r="306">
      <x:c r="B306" s="21" t="str">
        <x:v>BL-00300</x:v>
      </x:c>
      <x:c r="C306" s="21" t="str">
        <x:v>F11-I3</x:v>
      </x:c>
      <x:c r="D306" s="21" t="str">
        <x:v>F11</x:v>
      </x:c>
      <x:c r="E306" s="21" t="str">
        <x:v>B5</x:v>
      </x:c>
      <x:c r="F306" s="21" t="str">
        <x:v>Production</x:v>
      </x:c>
      <x:c r="G306" s="21" t="str">
        <x:v>0.0.0</x:v>
      </x:c>
      <x:c r="H306" s="21" t="str">
        <x:v>Independent Evidence and Data Authority</x:v>
      </x:c>
      <x:c r="I306" s="21" t="str">
        <x:v>OPEN</x:v>
      </x:c>
      <x:c r="J306" s="21" t="str">
        <x:v>HOLD</x:v>
      </x:c>
      <x:c r="K306" s="23" t="str">
        <x:v>what process configuration and acceptance define serial output must be accepted before downstream release</x:v>
      </x:c>
    </x:row>
    <x:row r="307">
      <x:c r="B307" s="21" t="str">
        <x:v>BL-00301</x:v>
      </x:c>
      <x:c r="C307" s="21" t="str">
        <x:v>F11-I3</x:v>
      </x:c>
      <x:c r="D307" s="21" t="str">
        <x:v>F11</x:v>
      </x:c>
      <x:c r="E307" s="21" t="str">
        <x:v>B6</x:v>
      </x:c>
      <x:c r="F307" s="21" t="str">
        <x:v>Mobilization</x:v>
      </x:c>
      <x:c r="G307" s="21" t="str">
        <x:v>0.0.0</x:v>
      </x:c>
      <x:c r="H307" s="21" t="str">
        <x:v>Independent Evidence and Data Authority</x:v>
      </x:c>
      <x:c r="I307" s="21" t="str">
        <x:v>OPEN</x:v>
      </x:c>
      <x:c r="J307" s="21" t="str">
        <x:v>HOLD</x:v>
      </x:c>
      <x:c r="K307" s="23" t="str">
        <x:v>what people tools suppliers and routes reproduce conforming service must be accepted before downstream release</x:v>
      </x:c>
    </x:row>
    <x:row r="308">
      <x:c r="B308" s="21" t="str">
        <x:v>BL-00302</x:v>
      </x:c>
      <x:c r="C308" s="21" t="str">
        <x:v>F11-I4</x:v>
      </x:c>
      <x:c r="D308" s="21" t="str">
        <x:v>F11</x:v>
      </x:c>
      <x:c r="E308" s="21" t="str">
        <x:v>B0</x:v>
      </x:c>
      <x:c r="F308" s="21" t="str">
        <x:v>Effect</x:v>
      </x:c>
      <x:c r="G308" s="21" t="str">
        <x:v>0.0.0</x:v>
      </x:c>
      <x:c r="H308" s="21" t="str">
        <x:v>Independent Evidence and Data Authority</x:v>
      </x:c>
      <x:c r="I308" s="21" t="str">
        <x:v>OPEN</x:v>
      </x:c>
      <x:c r="J308" s="21" t="str">
        <x:v>HOLD</x:v>
      </x:c>
      <x:c r="K308" s="23" t="str">
        <x:v>what public condition must exist must be accepted before downstream release</x:v>
      </x:c>
    </x:row>
    <x:row r="309">
      <x:c r="B309" s="21" t="str">
        <x:v>BL-00303</x:v>
      </x:c>
      <x:c r="C309" s="21" t="str">
        <x:v>F11-I4</x:v>
      </x:c>
      <x:c r="D309" s="21" t="str">
        <x:v>F11</x:v>
      </x:c>
      <x:c r="E309" s="21" t="str">
        <x:v>B1</x:v>
      </x:c>
      <x:c r="F309" s="21" t="str">
        <x:v>Requirements</x:v>
      </x:c>
      <x:c r="G309" s="21" t="str">
        <x:v>0.0.0</x:v>
      </x:c>
      <x:c r="H309" s="21" t="str">
        <x:v>Independent Evidence and Data Authority</x:v>
      </x:c>
      <x:c r="I309" s="21" t="str">
        <x:v>OPEN</x:v>
      </x:c>
      <x:c r="J309" s="21" t="str">
        <x:v>HOLD</x:v>
      </x:c>
      <x:c r="K309" s="23" t="str">
        <x:v>what burdens and invalid states bound the effect must be accepted before downstream release</x:v>
      </x:c>
    </x:row>
    <x:row r="310">
      <x:c r="B310" s="21" t="str">
        <x:v>BL-00304</x:v>
      </x:c>
      <x:c r="C310" s="21" t="str">
        <x:v>F11-I4</x:v>
      </x:c>
      <x:c r="D310" s="21" t="str">
        <x:v>F11</x:v>
      </x:c>
      <x:c r="E310" s="21" t="str">
        <x:v>B2</x:v>
      </x:c>
      <x:c r="F310" s="21" t="str">
        <x:v>Architecture</x:v>
      </x:c>
      <x:c r="G310" s="21" t="str">
        <x:v>0.0.0</x:v>
      </x:c>
      <x:c r="H310" s="21" t="str">
        <x:v>Independent Evidence and Data Authority</x:v>
      </x:c>
      <x:c r="I310" s="21" t="str">
        <x:v>OPEN</x:v>
      </x:c>
      <x:c r="J310" s="21" t="str">
        <x:v>HOLD</x:v>
      </x:c>
      <x:c r="K310" s="23" t="str">
        <x:v>what interfaces and budgets govern the system must be accepted before downstream release</x:v>
      </x:c>
    </x:row>
    <x:row r="311">
      <x:c r="B311" s="21" t="str">
        <x:v>BL-00305</x:v>
      </x:c>
      <x:c r="C311" s="21" t="str">
        <x:v>F11-I4</x:v>
      </x:c>
      <x:c r="D311" s="21" t="str">
        <x:v>F11</x:v>
      </x:c>
      <x:c r="E311" s="21" t="str">
        <x:v>B3</x:v>
      </x:c>
      <x:c r="F311" s="21" t="str">
        <x:v>Build</x:v>
      </x:c>
      <x:c r="G311" s="21" t="str">
        <x:v>0.0.0</x:v>
      </x:c>
      <x:c r="H311" s="21" t="str">
        <x:v>Independent Evidence and Data Authority</x:v>
      </x:c>
      <x:c r="I311" s="21" t="str">
        <x:v>OPEN</x:v>
      </x:c>
      <x:c r="J311" s="21" t="str">
        <x:v>HOLD</x:v>
      </x:c>
      <x:c r="K311" s="23" t="str">
        <x:v>what exact configuration produced the article must be accepted before downstream release</x:v>
      </x:c>
    </x:row>
    <x:row r="312">
      <x:c r="B312" s="21" t="str">
        <x:v>BL-00306</x:v>
      </x:c>
      <x:c r="C312" s="21" t="str">
        <x:v>F11-I4</x:v>
      </x:c>
      <x:c r="D312" s="21" t="str">
        <x:v>F11</x:v>
      </x:c>
      <x:c r="E312" s="21" t="str">
        <x:v>B4</x:v>
      </x:c>
      <x:c r="F312" s="21" t="str">
        <x:v>Trial</x:v>
      </x:c>
      <x:c r="G312" s="21" t="str">
        <x:v>0.0.0</x:v>
      </x:c>
      <x:c r="H312" s="21" t="str">
        <x:v>Independent Evidence and Data Authority</x:v>
      </x:c>
      <x:c r="I312" s="21" t="str">
        <x:v>OPEN</x:v>
      </x:c>
      <x:c r="J312" s="21" t="str">
        <x:v>HOLD</x:v>
      </x:c>
      <x:c r="K312" s="23" t="str">
        <x:v>what configuration method and damage world produced evidence must be accepted before downstream release</x:v>
      </x:c>
    </x:row>
    <x:row r="313">
      <x:c r="B313" s="21" t="str">
        <x:v>BL-00307</x:v>
      </x:c>
      <x:c r="C313" s="21" t="str">
        <x:v>F11-I4</x:v>
      </x:c>
      <x:c r="D313" s="21" t="str">
        <x:v>F11</x:v>
      </x:c>
      <x:c r="E313" s="21" t="str">
        <x:v>B5</x:v>
      </x:c>
      <x:c r="F313" s="21" t="str">
        <x:v>Production</x:v>
      </x:c>
      <x:c r="G313" s="21" t="str">
        <x:v>0.0.0</x:v>
      </x:c>
      <x:c r="H313" s="21" t="str">
        <x:v>Independent Evidence and Data Authority</x:v>
      </x:c>
      <x:c r="I313" s="21" t="str">
        <x:v>OPEN</x:v>
      </x:c>
      <x:c r="J313" s="21" t="str">
        <x:v>HOLD</x:v>
      </x:c>
      <x:c r="K313" s="23" t="str">
        <x:v>what process configuration and acceptance define serial output must be accepted before downstream release</x:v>
      </x:c>
    </x:row>
    <x:row r="314">
      <x:c r="B314" s="21" t="str">
        <x:v>BL-00308</x:v>
      </x:c>
      <x:c r="C314" s="21" t="str">
        <x:v>F11-I4</x:v>
      </x:c>
      <x:c r="D314" s="21" t="str">
        <x:v>F11</x:v>
      </x:c>
      <x:c r="E314" s="21" t="str">
        <x:v>B6</x:v>
      </x:c>
      <x:c r="F314" s="21" t="str">
        <x:v>Mobilization</x:v>
      </x:c>
      <x:c r="G314" s="21" t="str">
        <x:v>0.0.0</x:v>
      </x:c>
      <x:c r="H314" s="21" t="str">
        <x:v>Independent Evidence and Data Authority</x:v>
      </x:c>
      <x:c r="I314" s="21" t="str">
        <x:v>OPEN</x:v>
      </x:c>
      <x:c r="J314" s="21" t="str">
        <x:v>HOLD</x:v>
      </x:c>
      <x:c r="K314" s="23" t="str">
        <x:v>what people tools suppliers and routes reproduce conforming service must be accepted before downstream release</x:v>
      </x:c>
    </x:row>
    <x:row r="315">
      <x:c r="B315" s="21" t="str">
        <x:v>BL-00309</x:v>
      </x:c>
      <x:c r="C315" s="21" t="str">
        <x:v>F12-I1</x:v>
      </x:c>
      <x:c r="D315" s="21" t="str">
        <x:v>F12</x:v>
      </x:c>
      <x:c r="E315" s="21" t="str">
        <x:v>B0</x:v>
      </x:c>
      <x:c r="F315" s="21" t="str">
        <x:v>Effect</x:v>
      </x:c>
      <x:c r="G315" s="21" t="str">
        <x:v>0.0.0</x:v>
      </x:c>
      <x:c r="H315" s="21" t="str">
        <x:v>Independent Evidence and Data Authority</x:v>
      </x:c>
      <x:c r="I315" s="21" t="str">
        <x:v>OPEN</x:v>
      </x:c>
      <x:c r="J315" s="21" t="str">
        <x:v>HOLD</x:v>
      </x:c>
      <x:c r="K315" s="23" t="str">
        <x:v>what public condition must exist must be accepted before downstream release</x:v>
      </x:c>
    </x:row>
    <x:row r="316">
      <x:c r="B316" s="21" t="str">
        <x:v>BL-00310</x:v>
      </x:c>
      <x:c r="C316" s="21" t="str">
        <x:v>F12-I1</x:v>
      </x:c>
      <x:c r="D316" s="21" t="str">
        <x:v>F12</x:v>
      </x:c>
      <x:c r="E316" s="21" t="str">
        <x:v>B1</x:v>
      </x:c>
      <x:c r="F316" s="21" t="str">
        <x:v>Requirements</x:v>
      </x:c>
      <x:c r="G316" s="21" t="str">
        <x:v>0.0.0</x:v>
      </x:c>
      <x:c r="H316" s="21" t="str">
        <x:v>Independent Evidence and Data Authority</x:v>
      </x:c>
      <x:c r="I316" s="21" t="str">
        <x:v>OPEN</x:v>
      </x:c>
      <x:c r="J316" s="21" t="str">
        <x:v>HOLD</x:v>
      </x:c>
      <x:c r="K316" s="23" t="str">
        <x:v>what burdens and invalid states bound the effect must be accepted before downstream release</x:v>
      </x:c>
    </x:row>
    <x:row r="317">
      <x:c r="B317" s="21" t="str">
        <x:v>BL-00311</x:v>
      </x:c>
      <x:c r="C317" s="21" t="str">
        <x:v>F12-I1</x:v>
      </x:c>
      <x:c r="D317" s="21" t="str">
        <x:v>F12</x:v>
      </x:c>
      <x:c r="E317" s="21" t="str">
        <x:v>B2</x:v>
      </x:c>
      <x:c r="F317" s="21" t="str">
        <x:v>Architecture</x:v>
      </x:c>
      <x:c r="G317" s="21" t="str">
        <x:v>0.0.0</x:v>
      </x:c>
      <x:c r="H317" s="21" t="str">
        <x:v>Independent Evidence and Data Authority</x:v>
      </x:c>
      <x:c r="I317" s="21" t="str">
        <x:v>OPEN</x:v>
      </x:c>
      <x:c r="J317" s="21" t="str">
        <x:v>HOLD</x:v>
      </x:c>
      <x:c r="K317" s="23" t="str">
        <x:v>what interfaces and budgets govern the system must be accepted before downstream release</x:v>
      </x:c>
    </x:row>
    <x:row r="318">
      <x:c r="B318" s="21" t="str">
        <x:v>BL-00312</x:v>
      </x:c>
      <x:c r="C318" s="21" t="str">
        <x:v>F12-I1</x:v>
      </x:c>
      <x:c r="D318" s="21" t="str">
        <x:v>F12</x:v>
      </x:c>
      <x:c r="E318" s="21" t="str">
        <x:v>B3</x:v>
      </x:c>
      <x:c r="F318" s="21" t="str">
        <x:v>Build</x:v>
      </x:c>
      <x:c r="G318" s="21" t="str">
        <x:v>0.0.0</x:v>
      </x:c>
      <x:c r="H318" s="21" t="str">
        <x:v>Independent Evidence and Data Authority</x:v>
      </x:c>
      <x:c r="I318" s="21" t="str">
        <x:v>OPEN</x:v>
      </x:c>
      <x:c r="J318" s="21" t="str">
        <x:v>HOLD</x:v>
      </x:c>
      <x:c r="K318" s="23" t="str">
        <x:v>what exact configuration produced the article must be accepted before downstream release</x:v>
      </x:c>
    </x:row>
    <x:row r="319">
      <x:c r="B319" s="21" t="str">
        <x:v>BL-00313</x:v>
      </x:c>
      <x:c r="C319" s="21" t="str">
        <x:v>F12-I1</x:v>
      </x:c>
      <x:c r="D319" s="21" t="str">
        <x:v>F12</x:v>
      </x:c>
      <x:c r="E319" s="21" t="str">
        <x:v>B4</x:v>
      </x:c>
      <x:c r="F319" s="21" t="str">
        <x:v>Trial</x:v>
      </x:c>
      <x:c r="G319" s="21" t="str">
        <x:v>0.0.0</x:v>
      </x:c>
      <x:c r="H319" s="21" t="str">
        <x:v>Independent Evidence and Data Authority</x:v>
      </x:c>
      <x:c r="I319" s="21" t="str">
        <x:v>OPEN</x:v>
      </x:c>
      <x:c r="J319" s="21" t="str">
        <x:v>HOLD</x:v>
      </x:c>
      <x:c r="K319" s="23" t="str">
        <x:v>what configuration method and damage world produced evidence must be accepted before downstream release</x:v>
      </x:c>
    </x:row>
    <x:row r="320">
      <x:c r="B320" s="21" t="str">
        <x:v>BL-00314</x:v>
      </x:c>
      <x:c r="C320" s="21" t="str">
        <x:v>F12-I1</x:v>
      </x:c>
      <x:c r="D320" s="21" t="str">
        <x:v>F12</x:v>
      </x:c>
      <x:c r="E320" s="21" t="str">
        <x:v>B5</x:v>
      </x:c>
      <x:c r="F320" s="21" t="str">
        <x:v>Production</x:v>
      </x:c>
      <x:c r="G320" s="21" t="str">
        <x:v>0.0.0</x:v>
      </x:c>
      <x:c r="H320" s="21" t="str">
        <x:v>Independent Evidence and Data Authority</x:v>
      </x:c>
      <x:c r="I320" s="21" t="str">
        <x:v>OPEN</x:v>
      </x:c>
      <x:c r="J320" s="21" t="str">
        <x:v>HOLD</x:v>
      </x:c>
      <x:c r="K320" s="23" t="str">
        <x:v>what process configuration and acceptance define serial output must be accepted before downstream release</x:v>
      </x:c>
    </x:row>
    <x:row r="321">
      <x:c r="B321" s="21" t="str">
        <x:v>BL-00315</x:v>
      </x:c>
      <x:c r="C321" s="21" t="str">
        <x:v>F12-I1</x:v>
      </x:c>
      <x:c r="D321" s="21" t="str">
        <x:v>F12</x:v>
      </x:c>
      <x:c r="E321" s="21" t="str">
        <x:v>B6</x:v>
      </x:c>
      <x:c r="F321" s="21" t="str">
        <x:v>Mobilization</x:v>
      </x:c>
      <x:c r="G321" s="21" t="str">
        <x:v>0.0.0</x:v>
      </x:c>
      <x:c r="H321" s="21" t="str">
        <x:v>Independent Evidence and Data Authority</x:v>
      </x:c>
      <x:c r="I321" s="21" t="str">
        <x:v>OPEN</x:v>
      </x:c>
      <x:c r="J321" s="21" t="str">
        <x:v>HOLD</x:v>
      </x:c>
      <x:c r="K321" s="23" t="str">
        <x:v>what people tools suppliers and routes reproduce conforming service must be accepted before downstream release</x:v>
      </x:c>
    </x:row>
    <x:row r="322">
      <x:c r="B322" s="21" t="str">
        <x:v>BL-00316</x:v>
      </x:c>
      <x:c r="C322" s="21" t="str">
        <x:v>F12-I2</x:v>
      </x:c>
      <x:c r="D322" s="21" t="str">
        <x:v>F12</x:v>
      </x:c>
      <x:c r="E322" s="21" t="str">
        <x:v>B0</x:v>
      </x:c>
      <x:c r="F322" s="21" t="str">
        <x:v>Effect</x:v>
      </x:c>
      <x:c r="G322" s="21" t="str">
        <x:v>0.0.0</x:v>
      </x:c>
      <x:c r="H322" s="21" t="str">
        <x:v>Independent Evidence and Data Authority</x:v>
      </x:c>
      <x:c r="I322" s="21" t="str">
        <x:v>OPEN</x:v>
      </x:c>
      <x:c r="J322" s="21" t="str">
        <x:v>HOLD</x:v>
      </x:c>
      <x:c r="K322" s="23" t="str">
        <x:v>what public condition must exist must be accepted before downstream release</x:v>
      </x:c>
    </x:row>
    <x:row r="323">
      <x:c r="B323" s="21" t="str">
        <x:v>BL-00317</x:v>
      </x:c>
      <x:c r="C323" s="21" t="str">
        <x:v>F12-I2</x:v>
      </x:c>
      <x:c r="D323" s="21" t="str">
        <x:v>F12</x:v>
      </x:c>
      <x:c r="E323" s="21" t="str">
        <x:v>B1</x:v>
      </x:c>
      <x:c r="F323" s="21" t="str">
        <x:v>Requirements</x:v>
      </x:c>
      <x:c r="G323" s="21" t="str">
        <x:v>0.0.0</x:v>
      </x:c>
      <x:c r="H323" s="21" t="str">
        <x:v>Independent Evidence and Data Authority</x:v>
      </x:c>
      <x:c r="I323" s="21" t="str">
        <x:v>OPEN</x:v>
      </x:c>
      <x:c r="J323" s="21" t="str">
        <x:v>HOLD</x:v>
      </x:c>
      <x:c r="K323" s="23" t="str">
        <x:v>what burdens and invalid states bound the effect must be accepted before downstream release</x:v>
      </x:c>
    </x:row>
    <x:row r="324">
      <x:c r="B324" s="21" t="str">
        <x:v>BL-00318</x:v>
      </x:c>
      <x:c r="C324" s="21" t="str">
        <x:v>F12-I2</x:v>
      </x:c>
      <x:c r="D324" s="21" t="str">
        <x:v>F12</x:v>
      </x:c>
      <x:c r="E324" s="21" t="str">
        <x:v>B2</x:v>
      </x:c>
      <x:c r="F324" s="21" t="str">
        <x:v>Architecture</x:v>
      </x:c>
      <x:c r="G324" s="21" t="str">
        <x:v>0.0.0</x:v>
      </x:c>
      <x:c r="H324" s="21" t="str">
        <x:v>Independent Evidence and Data Authority</x:v>
      </x:c>
      <x:c r="I324" s="21" t="str">
        <x:v>OPEN</x:v>
      </x:c>
      <x:c r="J324" s="21" t="str">
        <x:v>HOLD</x:v>
      </x:c>
      <x:c r="K324" s="23" t="str">
        <x:v>what interfaces and budgets govern the system must be accepted before downstream release</x:v>
      </x:c>
    </x:row>
    <x:row r="325">
      <x:c r="B325" s="21" t="str">
        <x:v>BL-00319</x:v>
      </x:c>
      <x:c r="C325" s="21" t="str">
        <x:v>F12-I2</x:v>
      </x:c>
      <x:c r="D325" s="21" t="str">
        <x:v>F12</x:v>
      </x:c>
      <x:c r="E325" s="21" t="str">
        <x:v>B3</x:v>
      </x:c>
      <x:c r="F325" s="21" t="str">
        <x:v>Build</x:v>
      </x:c>
      <x:c r="G325" s="21" t="str">
        <x:v>0.0.0</x:v>
      </x:c>
      <x:c r="H325" s="21" t="str">
        <x:v>Independent Evidence and Data Authority</x:v>
      </x:c>
      <x:c r="I325" s="21" t="str">
        <x:v>OPEN</x:v>
      </x:c>
      <x:c r="J325" s="21" t="str">
        <x:v>HOLD</x:v>
      </x:c>
      <x:c r="K325" s="23" t="str">
        <x:v>what exact configuration produced the article must be accepted before downstream release</x:v>
      </x:c>
    </x:row>
    <x:row r="326">
      <x:c r="B326" s="21" t="str">
        <x:v>BL-00320</x:v>
      </x:c>
      <x:c r="C326" s="21" t="str">
        <x:v>F12-I2</x:v>
      </x:c>
      <x:c r="D326" s="21" t="str">
        <x:v>F12</x:v>
      </x:c>
      <x:c r="E326" s="21" t="str">
        <x:v>B4</x:v>
      </x:c>
      <x:c r="F326" s="21" t="str">
        <x:v>Trial</x:v>
      </x:c>
      <x:c r="G326" s="21" t="str">
        <x:v>0.0.0</x:v>
      </x:c>
      <x:c r="H326" s="21" t="str">
        <x:v>Independent Evidence and Data Authority</x:v>
      </x:c>
      <x:c r="I326" s="21" t="str">
        <x:v>OPEN</x:v>
      </x:c>
      <x:c r="J326" s="21" t="str">
        <x:v>HOLD</x:v>
      </x:c>
      <x:c r="K326" s="23" t="str">
        <x:v>what configuration method and damage world produced evidence must be accepted before downstream release</x:v>
      </x:c>
    </x:row>
    <x:row r="327">
      <x:c r="B327" s="21" t="str">
        <x:v>BL-00321</x:v>
      </x:c>
      <x:c r="C327" s="21" t="str">
        <x:v>F12-I2</x:v>
      </x:c>
      <x:c r="D327" s="21" t="str">
        <x:v>F12</x:v>
      </x:c>
      <x:c r="E327" s="21" t="str">
        <x:v>B5</x:v>
      </x:c>
      <x:c r="F327" s="21" t="str">
        <x:v>Production</x:v>
      </x:c>
      <x:c r="G327" s="21" t="str">
        <x:v>0.0.0</x:v>
      </x:c>
      <x:c r="H327" s="21" t="str">
        <x:v>Independent Evidence and Data Authority</x:v>
      </x:c>
      <x:c r="I327" s="21" t="str">
        <x:v>OPEN</x:v>
      </x:c>
      <x:c r="J327" s="21" t="str">
        <x:v>HOLD</x:v>
      </x:c>
      <x:c r="K327" s="23" t="str">
        <x:v>what process configuration and acceptance define serial output must be accepted before downstream release</x:v>
      </x:c>
    </x:row>
    <x:row r="328">
      <x:c r="B328" s="21" t="str">
        <x:v>BL-00322</x:v>
      </x:c>
      <x:c r="C328" s="21" t="str">
        <x:v>F12-I2</x:v>
      </x:c>
      <x:c r="D328" s="21" t="str">
        <x:v>F12</x:v>
      </x:c>
      <x:c r="E328" s="21" t="str">
        <x:v>B6</x:v>
      </x:c>
      <x:c r="F328" s="21" t="str">
        <x:v>Mobilization</x:v>
      </x:c>
      <x:c r="G328" s="21" t="str">
        <x:v>0.0.0</x:v>
      </x:c>
      <x:c r="H328" s="21" t="str">
        <x:v>Independent Evidence and Data Authority</x:v>
      </x:c>
      <x:c r="I328" s="21" t="str">
        <x:v>OPEN</x:v>
      </x:c>
      <x:c r="J328" s="21" t="str">
        <x:v>HOLD</x:v>
      </x:c>
      <x:c r="K328" s="23" t="str">
        <x:v>what people tools suppliers and routes reproduce conforming service must be accepted before downstream release</x:v>
      </x:c>
    </x:row>
    <x:row r="329">
      <x:c r="B329" s="21" t="str">
        <x:v>BL-00323</x:v>
      </x:c>
      <x:c r="C329" s="21" t="str">
        <x:v>F12-I3</x:v>
      </x:c>
      <x:c r="D329" s="21" t="str">
        <x:v>F12</x:v>
      </x:c>
      <x:c r="E329" s="21" t="str">
        <x:v>B0</x:v>
      </x:c>
      <x:c r="F329" s="21" t="str">
        <x:v>Effect</x:v>
      </x:c>
      <x:c r="G329" s="21" t="str">
        <x:v>0.0.0</x:v>
      </x:c>
      <x:c r="H329" s="21" t="str">
        <x:v>Independent Evidence and Data Authority</x:v>
      </x:c>
      <x:c r="I329" s="21" t="str">
        <x:v>OPEN</x:v>
      </x:c>
      <x:c r="J329" s="21" t="str">
        <x:v>HOLD</x:v>
      </x:c>
      <x:c r="K329" s="23" t="str">
        <x:v>what public condition must exist must be accepted before downstream release</x:v>
      </x:c>
    </x:row>
    <x:row r="330">
      <x:c r="B330" s="21" t="str">
        <x:v>BL-00324</x:v>
      </x:c>
      <x:c r="C330" s="21" t="str">
        <x:v>F12-I3</x:v>
      </x:c>
      <x:c r="D330" s="21" t="str">
        <x:v>F12</x:v>
      </x:c>
      <x:c r="E330" s="21" t="str">
        <x:v>B1</x:v>
      </x:c>
      <x:c r="F330" s="21" t="str">
        <x:v>Requirements</x:v>
      </x:c>
      <x:c r="G330" s="21" t="str">
        <x:v>0.0.0</x:v>
      </x:c>
      <x:c r="H330" s="21" t="str">
        <x:v>Independent Evidence and Data Authority</x:v>
      </x:c>
      <x:c r="I330" s="21" t="str">
        <x:v>OPEN</x:v>
      </x:c>
      <x:c r="J330" s="21" t="str">
        <x:v>HOLD</x:v>
      </x:c>
      <x:c r="K330" s="23" t="str">
        <x:v>what burdens and invalid states bound the effect must be accepted before downstream release</x:v>
      </x:c>
    </x:row>
    <x:row r="331">
      <x:c r="B331" s="21" t="str">
        <x:v>BL-00325</x:v>
      </x:c>
      <x:c r="C331" s="21" t="str">
        <x:v>F12-I3</x:v>
      </x:c>
      <x:c r="D331" s="21" t="str">
        <x:v>F12</x:v>
      </x:c>
      <x:c r="E331" s="21" t="str">
        <x:v>B2</x:v>
      </x:c>
      <x:c r="F331" s="21" t="str">
        <x:v>Architecture</x:v>
      </x:c>
      <x:c r="G331" s="21" t="str">
        <x:v>0.0.0</x:v>
      </x:c>
      <x:c r="H331" s="21" t="str">
        <x:v>Independent Evidence and Data Authority</x:v>
      </x:c>
      <x:c r="I331" s="21" t="str">
        <x:v>OPEN</x:v>
      </x:c>
      <x:c r="J331" s="21" t="str">
        <x:v>HOLD</x:v>
      </x:c>
      <x:c r="K331" s="23" t="str">
        <x:v>what interfaces and budgets govern the system must be accepted before downstream release</x:v>
      </x:c>
    </x:row>
    <x:row r="332">
      <x:c r="B332" s="21" t="str">
        <x:v>BL-00326</x:v>
      </x:c>
      <x:c r="C332" s="21" t="str">
        <x:v>F12-I3</x:v>
      </x:c>
      <x:c r="D332" s="21" t="str">
        <x:v>F12</x:v>
      </x:c>
      <x:c r="E332" s="21" t="str">
        <x:v>B3</x:v>
      </x:c>
      <x:c r="F332" s="21" t="str">
        <x:v>Build</x:v>
      </x:c>
      <x:c r="G332" s="21" t="str">
        <x:v>0.0.0</x:v>
      </x:c>
      <x:c r="H332" s="21" t="str">
        <x:v>Independent Evidence and Data Authority</x:v>
      </x:c>
      <x:c r="I332" s="21" t="str">
        <x:v>OPEN</x:v>
      </x:c>
      <x:c r="J332" s="21" t="str">
        <x:v>HOLD</x:v>
      </x:c>
      <x:c r="K332" s="23" t="str">
        <x:v>what exact configuration produced the article must be accepted before downstream release</x:v>
      </x:c>
    </x:row>
    <x:row r="333">
      <x:c r="B333" s="21" t="str">
        <x:v>BL-00327</x:v>
      </x:c>
      <x:c r="C333" s="21" t="str">
        <x:v>F12-I3</x:v>
      </x:c>
      <x:c r="D333" s="21" t="str">
        <x:v>F12</x:v>
      </x:c>
      <x:c r="E333" s="21" t="str">
        <x:v>B4</x:v>
      </x:c>
      <x:c r="F333" s="21" t="str">
        <x:v>Trial</x:v>
      </x:c>
      <x:c r="G333" s="21" t="str">
        <x:v>0.0.0</x:v>
      </x:c>
      <x:c r="H333" s="21" t="str">
        <x:v>Independent Evidence and Data Authority</x:v>
      </x:c>
      <x:c r="I333" s="21" t="str">
        <x:v>OPEN</x:v>
      </x:c>
      <x:c r="J333" s="21" t="str">
        <x:v>HOLD</x:v>
      </x:c>
      <x:c r="K333" s="23" t="str">
        <x:v>what configuration method and damage world produced evidence must be accepted before downstream release</x:v>
      </x:c>
    </x:row>
    <x:row r="334">
      <x:c r="B334" s="21" t="str">
        <x:v>BL-00328</x:v>
      </x:c>
      <x:c r="C334" s="21" t="str">
        <x:v>F12-I3</x:v>
      </x:c>
      <x:c r="D334" s="21" t="str">
        <x:v>F12</x:v>
      </x:c>
      <x:c r="E334" s="21" t="str">
        <x:v>B5</x:v>
      </x:c>
      <x:c r="F334" s="21" t="str">
        <x:v>Production</x:v>
      </x:c>
      <x:c r="G334" s="21" t="str">
        <x:v>0.0.0</x:v>
      </x:c>
      <x:c r="H334" s="21" t="str">
        <x:v>Independent Evidence and Data Authority</x:v>
      </x:c>
      <x:c r="I334" s="21" t="str">
        <x:v>OPEN</x:v>
      </x:c>
      <x:c r="J334" s="21" t="str">
        <x:v>HOLD</x:v>
      </x:c>
      <x:c r="K334" s="23" t="str">
        <x:v>what process configuration and acceptance define serial output must be accepted before downstream release</x:v>
      </x:c>
    </x:row>
    <x:row r="335">
      <x:c r="B335" s="21" t="str">
        <x:v>BL-00329</x:v>
      </x:c>
      <x:c r="C335" s="21" t="str">
        <x:v>F12-I3</x:v>
      </x:c>
      <x:c r="D335" s="21" t="str">
        <x:v>F12</x:v>
      </x:c>
      <x:c r="E335" s="21" t="str">
        <x:v>B6</x:v>
      </x:c>
      <x:c r="F335" s="21" t="str">
        <x:v>Mobilization</x:v>
      </x:c>
      <x:c r="G335" s="21" t="str">
        <x:v>0.0.0</x:v>
      </x:c>
      <x:c r="H335" s="21" t="str">
        <x:v>Independent Evidence and Data Authority</x:v>
      </x:c>
      <x:c r="I335" s="21" t="str">
        <x:v>OPEN</x:v>
      </x:c>
      <x:c r="J335" s="21" t="str">
        <x:v>HOLD</x:v>
      </x:c>
      <x:c r="K335" s="23" t="str">
        <x:v>what people tools suppliers and routes reproduce conforming service must be accepted before downstream release</x:v>
      </x:c>
    </x:row>
    <x:row r="336">
      <x:c r="B336" s="21" t="str">
        <x:v>BL-00330</x:v>
      </x:c>
      <x:c r="C336" s="21" t="str">
        <x:v>F12-I4</x:v>
      </x:c>
      <x:c r="D336" s="21" t="str">
        <x:v>F12</x:v>
      </x:c>
      <x:c r="E336" s="21" t="str">
        <x:v>B0</x:v>
      </x:c>
      <x:c r="F336" s="21" t="str">
        <x:v>Effect</x:v>
      </x:c>
      <x:c r="G336" s="21" t="str">
        <x:v>0.0.0</x:v>
      </x:c>
      <x:c r="H336" s="21" t="str">
        <x:v>Independent Evidence and Data Authority</x:v>
      </x:c>
      <x:c r="I336" s="21" t="str">
        <x:v>OPEN</x:v>
      </x:c>
      <x:c r="J336" s="21" t="str">
        <x:v>HOLD</x:v>
      </x:c>
      <x:c r="K336" s="23" t="str">
        <x:v>what public condition must exist must be accepted before downstream release</x:v>
      </x:c>
    </x:row>
    <x:row r="337">
      <x:c r="B337" s="21" t="str">
        <x:v>BL-00331</x:v>
      </x:c>
      <x:c r="C337" s="21" t="str">
        <x:v>F12-I4</x:v>
      </x:c>
      <x:c r="D337" s="21" t="str">
        <x:v>F12</x:v>
      </x:c>
      <x:c r="E337" s="21" t="str">
        <x:v>B1</x:v>
      </x:c>
      <x:c r="F337" s="21" t="str">
        <x:v>Requirements</x:v>
      </x:c>
      <x:c r="G337" s="21" t="str">
        <x:v>0.0.0</x:v>
      </x:c>
      <x:c r="H337" s="21" t="str">
        <x:v>Independent Evidence and Data Authority</x:v>
      </x:c>
      <x:c r="I337" s="21" t="str">
        <x:v>OPEN</x:v>
      </x:c>
      <x:c r="J337" s="21" t="str">
        <x:v>HOLD</x:v>
      </x:c>
      <x:c r="K337" s="23" t="str">
        <x:v>what burdens and invalid states bound the effect must be accepted before downstream release</x:v>
      </x:c>
    </x:row>
    <x:row r="338">
      <x:c r="B338" s="21" t="str">
        <x:v>BL-00332</x:v>
      </x:c>
      <x:c r="C338" s="21" t="str">
        <x:v>F12-I4</x:v>
      </x:c>
      <x:c r="D338" s="21" t="str">
        <x:v>F12</x:v>
      </x:c>
      <x:c r="E338" s="21" t="str">
        <x:v>B2</x:v>
      </x:c>
      <x:c r="F338" s="21" t="str">
        <x:v>Architecture</x:v>
      </x:c>
      <x:c r="G338" s="21" t="str">
        <x:v>0.0.0</x:v>
      </x:c>
      <x:c r="H338" s="21" t="str">
        <x:v>Independent Evidence and Data Authority</x:v>
      </x:c>
      <x:c r="I338" s="21" t="str">
        <x:v>OPEN</x:v>
      </x:c>
      <x:c r="J338" s="21" t="str">
        <x:v>HOLD</x:v>
      </x:c>
      <x:c r="K338" s="23" t="str">
        <x:v>what interfaces and budgets govern the system must be accepted before downstream release</x:v>
      </x:c>
    </x:row>
    <x:row r="339">
      <x:c r="B339" s="21" t="str">
        <x:v>BL-00333</x:v>
      </x:c>
      <x:c r="C339" s="21" t="str">
        <x:v>F12-I4</x:v>
      </x:c>
      <x:c r="D339" s="21" t="str">
        <x:v>F12</x:v>
      </x:c>
      <x:c r="E339" s="21" t="str">
        <x:v>B3</x:v>
      </x:c>
      <x:c r="F339" s="21" t="str">
        <x:v>Build</x:v>
      </x:c>
      <x:c r="G339" s="21" t="str">
        <x:v>0.0.0</x:v>
      </x:c>
      <x:c r="H339" s="21" t="str">
        <x:v>Independent Evidence and Data Authority</x:v>
      </x:c>
      <x:c r="I339" s="21" t="str">
        <x:v>OPEN</x:v>
      </x:c>
      <x:c r="J339" s="21" t="str">
        <x:v>HOLD</x:v>
      </x:c>
      <x:c r="K339" s="23" t="str">
        <x:v>what exact configuration produced the article must be accepted before downstream release</x:v>
      </x:c>
    </x:row>
    <x:row r="340">
      <x:c r="B340" s="21" t="str">
        <x:v>BL-00334</x:v>
      </x:c>
      <x:c r="C340" s="21" t="str">
        <x:v>F12-I4</x:v>
      </x:c>
      <x:c r="D340" s="21" t="str">
        <x:v>F12</x:v>
      </x:c>
      <x:c r="E340" s="21" t="str">
        <x:v>B4</x:v>
      </x:c>
      <x:c r="F340" s="21" t="str">
        <x:v>Trial</x:v>
      </x:c>
      <x:c r="G340" s="21" t="str">
        <x:v>0.0.0</x:v>
      </x:c>
      <x:c r="H340" s="21" t="str">
        <x:v>Independent Evidence and Data Authority</x:v>
      </x:c>
      <x:c r="I340" s="21" t="str">
        <x:v>OPEN</x:v>
      </x:c>
      <x:c r="J340" s="21" t="str">
        <x:v>HOLD</x:v>
      </x:c>
      <x:c r="K340" s="23" t="str">
        <x:v>what configuration method and damage world produced evidence must be accepted before downstream release</x:v>
      </x:c>
    </x:row>
    <x:row r="341">
      <x:c r="B341" s="21" t="str">
        <x:v>BL-00335</x:v>
      </x:c>
      <x:c r="C341" s="21" t="str">
        <x:v>F12-I4</x:v>
      </x:c>
      <x:c r="D341" s="21" t="str">
        <x:v>F12</x:v>
      </x:c>
      <x:c r="E341" s="21" t="str">
        <x:v>B5</x:v>
      </x:c>
      <x:c r="F341" s="21" t="str">
        <x:v>Production</x:v>
      </x:c>
      <x:c r="G341" s="21" t="str">
        <x:v>0.0.0</x:v>
      </x:c>
      <x:c r="H341" s="21" t="str">
        <x:v>Independent Evidence and Data Authority</x:v>
      </x:c>
      <x:c r="I341" s="21" t="str">
        <x:v>OPEN</x:v>
      </x:c>
      <x:c r="J341" s="21" t="str">
        <x:v>HOLD</x:v>
      </x:c>
      <x:c r="K341" s="23" t="str">
        <x:v>what process configuration and acceptance define serial output must be accepted before downstream release</x:v>
      </x:c>
    </x:row>
    <x:row r="342">
      <x:c r="B342" s="21" t="str">
        <x:v>BL-00336</x:v>
      </x:c>
      <x:c r="C342" s="21" t="str">
        <x:v>F12-I4</x:v>
      </x:c>
      <x:c r="D342" s="21" t="str">
        <x:v>F12</x:v>
      </x:c>
      <x:c r="E342" s="21" t="str">
        <x:v>B6</x:v>
      </x:c>
      <x:c r="F342" s="21" t="str">
        <x:v>Mobilization</x:v>
      </x:c>
      <x:c r="G342" s="21" t="str">
        <x:v>0.0.0</x:v>
      </x:c>
      <x:c r="H342" s="21" t="str">
        <x:v>Independent Evidence and Data Authority</x:v>
      </x:c>
      <x:c r="I342" s="21" t="str">
        <x:v>OPEN</x:v>
      </x:c>
      <x:c r="J342" s="21" t="str">
        <x:v>HOLD</x:v>
      </x:c>
      <x:c r="K342" s="23" t="str">
        <x:v>what people tools suppliers and routes reproduce conforming service must be accepted before downstream release</x:v>
      </x:c>
    </x:row>
    <x:row r="343">
      <x:c r="B343" s="21" t="str">
        <x:v>BL-00337</x:v>
      </x:c>
      <x:c r="C343" s="21" t="str">
        <x:v>F13-I1</x:v>
      </x:c>
      <x:c r="D343" s="21" t="str">
        <x:v>F13</x:v>
      </x:c>
      <x:c r="E343" s="21" t="str">
        <x:v>B0</x:v>
      </x:c>
      <x:c r="F343" s="21" t="str">
        <x:v>Effect</x:v>
      </x:c>
      <x:c r="G343" s="21" t="str">
        <x:v>0.0.0</x:v>
      </x:c>
      <x:c r="H343" s="21" t="str">
        <x:v>Independent Evidence and Data Authority</x:v>
      </x:c>
      <x:c r="I343" s="21" t="str">
        <x:v>OPEN</x:v>
      </x:c>
      <x:c r="J343" s="21" t="str">
        <x:v>HOLD</x:v>
      </x:c>
      <x:c r="K343" s="23" t="str">
        <x:v>what public condition must exist must be accepted before downstream release</x:v>
      </x:c>
    </x:row>
    <x:row r="344">
      <x:c r="B344" s="21" t="str">
        <x:v>BL-00338</x:v>
      </x:c>
      <x:c r="C344" s="21" t="str">
        <x:v>F13-I1</x:v>
      </x:c>
      <x:c r="D344" s="21" t="str">
        <x:v>F13</x:v>
      </x:c>
      <x:c r="E344" s="21" t="str">
        <x:v>B1</x:v>
      </x:c>
      <x:c r="F344" s="21" t="str">
        <x:v>Requirements</x:v>
      </x:c>
      <x:c r="G344" s="21" t="str">
        <x:v>0.0.0</x:v>
      </x:c>
      <x:c r="H344" s="21" t="str">
        <x:v>Independent Evidence and Data Authority</x:v>
      </x:c>
      <x:c r="I344" s="21" t="str">
        <x:v>OPEN</x:v>
      </x:c>
      <x:c r="J344" s="21" t="str">
        <x:v>HOLD</x:v>
      </x:c>
      <x:c r="K344" s="23" t="str">
        <x:v>what burdens and invalid states bound the effect must be accepted before downstream release</x:v>
      </x:c>
    </x:row>
    <x:row r="345">
      <x:c r="B345" s="21" t="str">
        <x:v>BL-00339</x:v>
      </x:c>
      <x:c r="C345" s="21" t="str">
        <x:v>F13-I1</x:v>
      </x:c>
      <x:c r="D345" s="21" t="str">
        <x:v>F13</x:v>
      </x:c>
      <x:c r="E345" s="21" t="str">
        <x:v>B2</x:v>
      </x:c>
      <x:c r="F345" s="21" t="str">
        <x:v>Architecture</x:v>
      </x:c>
      <x:c r="G345" s="21" t="str">
        <x:v>0.0.0</x:v>
      </x:c>
      <x:c r="H345" s="21" t="str">
        <x:v>Independent Evidence and Data Authority</x:v>
      </x:c>
      <x:c r="I345" s="21" t="str">
        <x:v>OPEN</x:v>
      </x:c>
      <x:c r="J345" s="21" t="str">
        <x:v>HOLD</x:v>
      </x:c>
      <x:c r="K345" s="23" t="str">
        <x:v>what interfaces and budgets govern the system must be accepted before downstream release</x:v>
      </x:c>
    </x:row>
    <x:row r="346">
      <x:c r="B346" s="21" t="str">
        <x:v>BL-00340</x:v>
      </x:c>
      <x:c r="C346" s="21" t="str">
        <x:v>F13-I1</x:v>
      </x:c>
      <x:c r="D346" s="21" t="str">
        <x:v>F13</x:v>
      </x:c>
      <x:c r="E346" s="21" t="str">
        <x:v>B3</x:v>
      </x:c>
      <x:c r="F346" s="21" t="str">
        <x:v>Build</x:v>
      </x:c>
      <x:c r="G346" s="21" t="str">
        <x:v>0.0.0</x:v>
      </x:c>
      <x:c r="H346" s="21" t="str">
        <x:v>Independent Evidence and Data Authority</x:v>
      </x:c>
      <x:c r="I346" s="21" t="str">
        <x:v>OPEN</x:v>
      </x:c>
      <x:c r="J346" s="21" t="str">
        <x:v>HOLD</x:v>
      </x:c>
      <x:c r="K346" s="23" t="str">
        <x:v>what exact configuration produced the article must be accepted before downstream release</x:v>
      </x:c>
    </x:row>
    <x:row r="347">
      <x:c r="B347" s="21" t="str">
        <x:v>BL-00341</x:v>
      </x:c>
      <x:c r="C347" s="21" t="str">
        <x:v>F13-I1</x:v>
      </x:c>
      <x:c r="D347" s="21" t="str">
        <x:v>F13</x:v>
      </x:c>
      <x:c r="E347" s="21" t="str">
        <x:v>B4</x:v>
      </x:c>
      <x:c r="F347" s="21" t="str">
        <x:v>Trial</x:v>
      </x:c>
      <x:c r="G347" s="21" t="str">
        <x:v>0.0.0</x:v>
      </x:c>
      <x:c r="H347" s="21" t="str">
        <x:v>Independent Evidence and Data Authority</x:v>
      </x:c>
      <x:c r="I347" s="21" t="str">
        <x:v>OPEN</x:v>
      </x:c>
      <x:c r="J347" s="21" t="str">
        <x:v>HOLD</x:v>
      </x:c>
      <x:c r="K347" s="23" t="str">
        <x:v>what configuration method and damage world produced evidence must be accepted before downstream release</x:v>
      </x:c>
    </x:row>
    <x:row r="348">
      <x:c r="B348" s="21" t="str">
        <x:v>BL-00342</x:v>
      </x:c>
      <x:c r="C348" s="21" t="str">
        <x:v>F13-I1</x:v>
      </x:c>
      <x:c r="D348" s="21" t="str">
        <x:v>F13</x:v>
      </x:c>
      <x:c r="E348" s="21" t="str">
        <x:v>B5</x:v>
      </x:c>
      <x:c r="F348" s="21" t="str">
        <x:v>Production</x:v>
      </x:c>
      <x:c r="G348" s="21" t="str">
        <x:v>0.0.0</x:v>
      </x:c>
      <x:c r="H348" s="21" t="str">
        <x:v>Independent Evidence and Data Authority</x:v>
      </x:c>
      <x:c r="I348" s="21" t="str">
        <x:v>OPEN</x:v>
      </x:c>
      <x:c r="J348" s="21" t="str">
        <x:v>HOLD</x:v>
      </x:c>
      <x:c r="K348" s="23" t="str">
        <x:v>what process configuration and acceptance define serial output must be accepted before downstream release</x:v>
      </x:c>
    </x:row>
    <x:row r="349">
      <x:c r="B349" s="21" t="str">
        <x:v>BL-00343</x:v>
      </x:c>
      <x:c r="C349" s="21" t="str">
        <x:v>F13-I1</x:v>
      </x:c>
      <x:c r="D349" s="21" t="str">
        <x:v>F13</x:v>
      </x:c>
      <x:c r="E349" s="21" t="str">
        <x:v>B6</x:v>
      </x:c>
      <x:c r="F349" s="21" t="str">
        <x:v>Mobilization</x:v>
      </x:c>
      <x:c r="G349" s="21" t="str">
        <x:v>0.0.0</x:v>
      </x:c>
      <x:c r="H349" s="21" t="str">
        <x:v>Independent Evidence and Data Authority</x:v>
      </x:c>
      <x:c r="I349" s="21" t="str">
        <x:v>OPEN</x:v>
      </x:c>
      <x:c r="J349" s="21" t="str">
        <x:v>HOLD</x:v>
      </x:c>
      <x:c r="K349" s="23" t="str">
        <x:v>what people tools suppliers and routes reproduce conforming service must be accepted before downstream release</x:v>
      </x:c>
    </x:row>
    <x:row r="350">
      <x:c r="B350" s="21" t="str">
        <x:v>BL-00344</x:v>
      </x:c>
      <x:c r="C350" s="21" t="str">
        <x:v>F13-I2</x:v>
      </x:c>
      <x:c r="D350" s="21" t="str">
        <x:v>F13</x:v>
      </x:c>
      <x:c r="E350" s="21" t="str">
        <x:v>B0</x:v>
      </x:c>
      <x:c r="F350" s="21" t="str">
        <x:v>Effect</x:v>
      </x:c>
      <x:c r="G350" s="21" t="str">
        <x:v>0.0.0</x:v>
      </x:c>
      <x:c r="H350" s="21" t="str">
        <x:v>Independent Evidence and Data Authority</x:v>
      </x:c>
      <x:c r="I350" s="21" t="str">
        <x:v>OPEN</x:v>
      </x:c>
      <x:c r="J350" s="21" t="str">
        <x:v>HOLD</x:v>
      </x:c>
      <x:c r="K350" s="23" t="str">
        <x:v>what public condition must exist must be accepted before downstream release</x:v>
      </x:c>
    </x:row>
    <x:row r="351">
      <x:c r="B351" s="21" t="str">
        <x:v>BL-00345</x:v>
      </x:c>
      <x:c r="C351" s="21" t="str">
        <x:v>F13-I2</x:v>
      </x:c>
      <x:c r="D351" s="21" t="str">
        <x:v>F13</x:v>
      </x:c>
      <x:c r="E351" s="21" t="str">
        <x:v>B1</x:v>
      </x:c>
      <x:c r="F351" s="21" t="str">
        <x:v>Requirements</x:v>
      </x:c>
      <x:c r="G351" s="21" t="str">
        <x:v>0.0.0</x:v>
      </x:c>
      <x:c r="H351" s="21" t="str">
        <x:v>Independent Evidence and Data Authority</x:v>
      </x:c>
      <x:c r="I351" s="21" t="str">
        <x:v>OPEN</x:v>
      </x:c>
      <x:c r="J351" s="21" t="str">
        <x:v>HOLD</x:v>
      </x:c>
      <x:c r="K351" s="23" t="str">
        <x:v>what burdens and invalid states bound the effect must be accepted before downstream release</x:v>
      </x:c>
    </x:row>
    <x:row r="352">
      <x:c r="B352" s="21" t="str">
        <x:v>BL-00346</x:v>
      </x:c>
      <x:c r="C352" s="21" t="str">
        <x:v>F13-I2</x:v>
      </x:c>
      <x:c r="D352" s="21" t="str">
        <x:v>F13</x:v>
      </x:c>
      <x:c r="E352" s="21" t="str">
        <x:v>B2</x:v>
      </x:c>
      <x:c r="F352" s="21" t="str">
        <x:v>Architecture</x:v>
      </x:c>
      <x:c r="G352" s="21" t="str">
        <x:v>0.0.0</x:v>
      </x:c>
      <x:c r="H352" s="21" t="str">
        <x:v>Independent Evidence and Data Authority</x:v>
      </x:c>
      <x:c r="I352" s="21" t="str">
        <x:v>OPEN</x:v>
      </x:c>
      <x:c r="J352" s="21" t="str">
        <x:v>HOLD</x:v>
      </x:c>
      <x:c r="K352" s="23" t="str">
        <x:v>what interfaces and budgets govern the system must be accepted before downstream release</x:v>
      </x:c>
    </x:row>
    <x:row r="353">
      <x:c r="B353" s="21" t="str">
        <x:v>BL-00347</x:v>
      </x:c>
      <x:c r="C353" s="21" t="str">
        <x:v>F13-I2</x:v>
      </x:c>
      <x:c r="D353" s="21" t="str">
        <x:v>F13</x:v>
      </x:c>
      <x:c r="E353" s="21" t="str">
        <x:v>B3</x:v>
      </x:c>
      <x:c r="F353" s="21" t="str">
        <x:v>Build</x:v>
      </x:c>
      <x:c r="G353" s="21" t="str">
        <x:v>0.0.0</x:v>
      </x:c>
      <x:c r="H353" s="21" t="str">
        <x:v>Independent Evidence and Data Authority</x:v>
      </x:c>
      <x:c r="I353" s="21" t="str">
        <x:v>OPEN</x:v>
      </x:c>
      <x:c r="J353" s="21" t="str">
        <x:v>HOLD</x:v>
      </x:c>
      <x:c r="K353" s="23" t="str">
        <x:v>what exact configuration produced the article must be accepted before downstream release</x:v>
      </x:c>
    </x:row>
    <x:row r="354">
      <x:c r="B354" s="21" t="str">
        <x:v>BL-00348</x:v>
      </x:c>
      <x:c r="C354" s="21" t="str">
        <x:v>F13-I2</x:v>
      </x:c>
      <x:c r="D354" s="21" t="str">
        <x:v>F13</x:v>
      </x:c>
      <x:c r="E354" s="21" t="str">
        <x:v>B4</x:v>
      </x:c>
      <x:c r="F354" s="21" t="str">
        <x:v>Trial</x:v>
      </x:c>
      <x:c r="G354" s="21" t="str">
        <x:v>0.0.0</x:v>
      </x:c>
      <x:c r="H354" s="21" t="str">
        <x:v>Independent Evidence and Data Authority</x:v>
      </x:c>
      <x:c r="I354" s="21" t="str">
        <x:v>OPEN</x:v>
      </x:c>
      <x:c r="J354" s="21" t="str">
        <x:v>HOLD</x:v>
      </x:c>
      <x:c r="K354" s="23" t="str">
        <x:v>what configuration method and damage world produced evidence must be accepted before downstream release</x:v>
      </x:c>
    </x:row>
    <x:row r="355">
      <x:c r="B355" s="21" t="str">
        <x:v>BL-00349</x:v>
      </x:c>
      <x:c r="C355" s="21" t="str">
        <x:v>F13-I2</x:v>
      </x:c>
      <x:c r="D355" s="21" t="str">
        <x:v>F13</x:v>
      </x:c>
      <x:c r="E355" s="21" t="str">
        <x:v>B5</x:v>
      </x:c>
      <x:c r="F355" s="21" t="str">
        <x:v>Production</x:v>
      </x:c>
      <x:c r="G355" s="21" t="str">
        <x:v>0.0.0</x:v>
      </x:c>
      <x:c r="H355" s="21" t="str">
        <x:v>Independent Evidence and Data Authority</x:v>
      </x:c>
      <x:c r="I355" s="21" t="str">
        <x:v>OPEN</x:v>
      </x:c>
      <x:c r="J355" s="21" t="str">
        <x:v>HOLD</x:v>
      </x:c>
      <x:c r="K355" s="23" t="str">
        <x:v>what process configuration and acceptance define serial output must be accepted before downstream release</x:v>
      </x:c>
    </x:row>
    <x:row r="356">
      <x:c r="B356" s="21" t="str">
        <x:v>BL-00350</x:v>
      </x:c>
      <x:c r="C356" s="21" t="str">
        <x:v>F13-I2</x:v>
      </x:c>
      <x:c r="D356" s="21" t="str">
        <x:v>F13</x:v>
      </x:c>
      <x:c r="E356" s="21" t="str">
        <x:v>B6</x:v>
      </x:c>
      <x:c r="F356" s="21" t="str">
        <x:v>Mobilization</x:v>
      </x:c>
      <x:c r="G356" s="21" t="str">
        <x:v>0.0.0</x:v>
      </x:c>
      <x:c r="H356" s="21" t="str">
        <x:v>Independent Evidence and Data Authority</x:v>
      </x:c>
      <x:c r="I356" s="21" t="str">
        <x:v>OPEN</x:v>
      </x:c>
      <x:c r="J356" s="21" t="str">
        <x:v>HOLD</x:v>
      </x:c>
      <x:c r="K356" s="23" t="str">
        <x:v>what people tools suppliers and routes reproduce conforming service must be accepted before downstream release</x:v>
      </x:c>
    </x:row>
    <x:row r="357">
      <x:c r="B357" s="21" t="str">
        <x:v>BL-00351</x:v>
      </x:c>
      <x:c r="C357" s="21" t="str">
        <x:v>F13-I3</x:v>
      </x:c>
      <x:c r="D357" s="21" t="str">
        <x:v>F13</x:v>
      </x:c>
      <x:c r="E357" s="21" t="str">
        <x:v>B0</x:v>
      </x:c>
      <x:c r="F357" s="21" t="str">
        <x:v>Effect</x:v>
      </x:c>
      <x:c r="G357" s="21" t="str">
        <x:v>0.0.0</x:v>
      </x:c>
      <x:c r="H357" s="21" t="str">
        <x:v>Independent Evidence and Data Authority</x:v>
      </x:c>
      <x:c r="I357" s="21" t="str">
        <x:v>OPEN</x:v>
      </x:c>
      <x:c r="J357" s="21" t="str">
        <x:v>HOLD</x:v>
      </x:c>
      <x:c r="K357" s="23" t="str">
        <x:v>what public condition must exist must be accepted before downstream release</x:v>
      </x:c>
    </x:row>
    <x:row r="358">
      <x:c r="B358" s="21" t="str">
        <x:v>BL-00352</x:v>
      </x:c>
      <x:c r="C358" s="21" t="str">
        <x:v>F13-I3</x:v>
      </x:c>
      <x:c r="D358" s="21" t="str">
        <x:v>F13</x:v>
      </x:c>
      <x:c r="E358" s="21" t="str">
        <x:v>B1</x:v>
      </x:c>
      <x:c r="F358" s="21" t="str">
        <x:v>Requirements</x:v>
      </x:c>
      <x:c r="G358" s="21" t="str">
        <x:v>0.0.0</x:v>
      </x:c>
      <x:c r="H358" s="21" t="str">
        <x:v>Independent Evidence and Data Authority</x:v>
      </x:c>
      <x:c r="I358" s="21" t="str">
        <x:v>OPEN</x:v>
      </x:c>
      <x:c r="J358" s="21" t="str">
        <x:v>HOLD</x:v>
      </x:c>
      <x:c r="K358" s="23" t="str">
        <x:v>what burdens and invalid states bound the effect must be accepted before downstream release</x:v>
      </x:c>
    </x:row>
    <x:row r="359">
      <x:c r="B359" s="21" t="str">
        <x:v>BL-00353</x:v>
      </x:c>
      <x:c r="C359" s="21" t="str">
        <x:v>F13-I3</x:v>
      </x:c>
      <x:c r="D359" s="21" t="str">
        <x:v>F13</x:v>
      </x:c>
      <x:c r="E359" s="21" t="str">
        <x:v>B2</x:v>
      </x:c>
      <x:c r="F359" s="21" t="str">
        <x:v>Architecture</x:v>
      </x:c>
      <x:c r="G359" s="21" t="str">
        <x:v>0.0.0</x:v>
      </x:c>
      <x:c r="H359" s="21" t="str">
        <x:v>Independent Evidence and Data Authority</x:v>
      </x:c>
      <x:c r="I359" s="21" t="str">
        <x:v>OPEN</x:v>
      </x:c>
      <x:c r="J359" s="21" t="str">
        <x:v>HOLD</x:v>
      </x:c>
      <x:c r="K359" s="23" t="str">
        <x:v>what interfaces and budgets govern the system must be accepted before downstream release</x:v>
      </x:c>
    </x:row>
    <x:row r="360">
      <x:c r="B360" s="21" t="str">
        <x:v>BL-00354</x:v>
      </x:c>
      <x:c r="C360" s="21" t="str">
        <x:v>F13-I3</x:v>
      </x:c>
      <x:c r="D360" s="21" t="str">
        <x:v>F13</x:v>
      </x:c>
      <x:c r="E360" s="21" t="str">
        <x:v>B3</x:v>
      </x:c>
      <x:c r="F360" s="21" t="str">
        <x:v>Build</x:v>
      </x:c>
      <x:c r="G360" s="21" t="str">
        <x:v>0.0.0</x:v>
      </x:c>
      <x:c r="H360" s="21" t="str">
        <x:v>Independent Evidence and Data Authority</x:v>
      </x:c>
      <x:c r="I360" s="21" t="str">
        <x:v>OPEN</x:v>
      </x:c>
      <x:c r="J360" s="21" t="str">
        <x:v>HOLD</x:v>
      </x:c>
      <x:c r="K360" s="23" t="str">
        <x:v>what exact configuration produced the article must be accepted before downstream release</x:v>
      </x:c>
    </x:row>
    <x:row r="361">
      <x:c r="B361" s="21" t="str">
        <x:v>BL-00355</x:v>
      </x:c>
      <x:c r="C361" s="21" t="str">
        <x:v>F13-I3</x:v>
      </x:c>
      <x:c r="D361" s="21" t="str">
        <x:v>F13</x:v>
      </x:c>
      <x:c r="E361" s="21" t="str">
        <x:v>B4</x:v>
      </x:c>
      <x:c r="F361" s="21" t="str">
        <x:v>Trial</x:v>
      </x:c>
      <x:c r="G361" s="21" t="str">
        <x:v>0.0.0</x:v>
      </x:c>
      <x:c r="H361" s="21" t="str">
        <x:v>Independent Evidence and Data Authority</x:v>
      </x:c>
      <x:c r="I361" s="21" t="str">
        <x:v>OPEN</x:v>
      </x:c>
      <x:c r="J361" s="21" t="str">
        <x:v>HOLD</x:v>
      </x:c>
      <x:c r="K361" s="23" t="str">
        <x:v>what configuration method and damage world produced evidence must be accepted before downstream release</x:v>
      </x:c>
    </x:row>
    <x:row r="362">
      <x:c r="B362" s="21" t="str">
        <x:v>BL-00356</x:v>
      </x:c>
      <x:c r="C362" s="21" t="str">
        <x:v>F13-I3</x:v>
      </x:c>
      <x:c r="D362" s="21" t="str">
        <x:v>F13</x:v>
      </x:c>
      <x:c r="E362" s="21" t="str">
        <x:v>B5</x:v>
      </x:c>
      <x:c r="F362" s="21" t="str">
        <x:v>Production</x:v>
      </x:c>
      <x:c r="G362" s="21" t="str">
        <x:v>0.0.0</x:v>
      </x:c>
      <x:c r="H362" s="21" t="str">
        <x:v>Independent Evidence and Data Authority</x:v>
      </x:c>
      <x:c r="I362" s="21" t="str">
        <x:v>OPEN</x:v>
      </x:c>
      <x:c r="J362" s="21" t="str">
        <x:v>HOLD</x:v>
      </x:c>
      <x:c r="K362" s="23" t="str">
        <x:v>what process configuration and acceptance define serial output must be accepted before downstream release</x:v>
      </x:c>
    </x:row>
    <x:row r="363">
      <x:c r="B363" s="21" t="str">
        <x:v>BL-00357</x:v>
      </x:c>
      <x:c r="C363" s="21" t="str">
        <x:v>F13-I3</x:v>
      </x:c>
      <x:c r="D363" s="21" t="str">
        <x:v>F13</x:v>
      </x:c>
      <x:c r="E363" s="21" t="str">
        <x:v>B6</x:v>
      </x:c>
      <x:c r="F363" s="21" t="str">
        <x:v>Mobilization</x:v>
      </x:c>
      <x:c r="G363" s="21" t="str">
        <x:v>0.0.0</x:v>
      </x:c>
      <x:c r="H363" s="21" t="str">
        <x:v>Independent Evidence and Data Authority</x:v>
      </x:c>
      <x:c r="I363" s="21" t="str">
        <x:v>OPEN</x:v>
      </x:c>
      <x:c r="J363" s="21" t="str">
        <x:v>HOLD</x:v>
      </x:c>
      <x:c r="K363" s="23" t="str">
        <x:v>what people tools suppliers and routes reproduce conforming service must be accepted before downstream release</x:v>
      </x:c>
    </x:row>
    <x:row r="364">
      <x:c r="B364" s="21" t="str">
        <x:v>BL-00358</x:v>
      </x:c>
      <x:c r="C364" s="21" t="str">
        <x:v>F13-I4</x:v>
      </x:c>
      <x:c r="D364" s="21" t="str">
        <x:v>F13</x:v>
      </x:c>
      <x:c r="E364" s="21" t="str">
        <x:v>B0</x:v>
      </x:c>
      <x:c r="F364" s="21" t="str">
        <x:v>Effect</x:v>
      </x:c>
      <x:c r="G364" s="21" t="str">
        <x:v>0.0.0</x:v>
      </x:c>
      <x:c r="H364" s="21" t="str">
        <x:v>Independent Evidence and Data Authority</x:v>
      </x:c>
      <x:c r="I364" s="21" t="str">
        <x:v>OPEN</x:v>
      </x:c>
      <x:c r="J364" s="21" t="str">
        <x:v>HOLD</x:v>
      </x:c>
      <x:c r="K364" s="23" t="str">
        <x:v>what public condition must exist must be accepted before downstream release</x:v>
      </x:c>
    </x:row>
    <x:row r="365">
      <x:c r="B365" s="21" t="str">
        <x:v>BL-00359</x:v>
      </x:c>
      <x:c r="C365" s="21" t="str">
        <x:v>F13-I4</x:v>
      </x:c>
      <x:c r="D365" s="21" t="str">
        <x:v>F13</x:v>
      </x:c>
      <x:c r="E365" s="21" t="str">
        <x:v>B1</x:v>
      </x:c>
      <x:c r="F365" s="21" t="str">
        <x:v>Requirements</x:v>
      </x:c>
      <x:c r="G365" s="21" t="str">
        <x:v>0.0.0</x:v>
      </x:c>
      <x:c r="H365" s="21" t="str">
        <x:v>Independent Evidence and Data Authority</x:v>
      </x:c>
      <x:c r="I365" s="21" t="str">
        <x:v>OPEN</x:v>
      </x:c>
      <x:c r="J365" s="21" t="str">
        <x:v>HOLD</x:v>
      </x:c>
      <x:c r="K365" s="23" t="str">
        <x:v>what burdens and invalid states bound the effect must be accepted before downstream release</x:v>
      </x:c>
    </x:row>
    <x:row r="366">
      <x:c r="B366" s="21" t="str">
        <x:v>BL-00360</x:v>
      </x:c>
      <x:c r="C366" s="21" t="str">
        <x:v>F13-I4</x:v>
      </x:c>
      <x:c r="D366" s="21" t="str">
        <x:v>F13</x:v>
      </x:c>
      <x:c r="E366" s="21" t="str">
        <x:v>B2</x:v>
      </x:c>
      <x:c r="F366" s="21" t="str">
        <x:v>Architecture</x:v>
      </x:c>
      <x:c r="G366" s="21" t="str">
        <x:v>0.0.0</x:v>
      </x:c>
      <x:c r="H366" s="21" t="str">
        <x:v>Independent Evidence and Data Authority</x:v>
      </x:c>
      <x:c r="I366" s="21" t="str">
        <x:v>OPEN</x:v>
      </x:c>
      <x:c r="J366" s="21" t="str">
        <x:v>HOLD</x:v>
      </x:c>
      <x:c r="K366" s="23" t="str">
        <x:v>what interfaces and budgets govern the system must be accepted before downstream release</x:v>
      </x:c>
    </x:row>
    <x:row r="367">
      <x:c r="B367" s="21" t="str">
        <x:v>BL-00361</x:v>
      </x:c>
      <x:c r="C367" s="21" t="str">
        <x:v>F13-I4</x:v>
      </x:c>
      <x:c r="D367" s="21" t="str">
        <x:v>F13</x:v>
      </x:c>
      <x:c r="E367" s="21" t="str">
        <x:v>B3</x:v>
      </x:c>
      <x:c r="F367" s="21" t="str">
        <x:v>Build</x:v>
      </x:c>
      <x:c r="G367" s="21" t="str">
        <x:v>0.0.0</x:v>
      </x:c>
      <x:c r="H367" s="21" t="str">
        <x:v>Independent Evidence and Data Authority</x:v>
      </x:c>
      <x:c r="I367" s="21" t="str">
        <x:v>OPEN</x:v>
      </x:c>
      <x:c r="J367" s="21" t="str">
        <x:v>HOLD</x:v>
      </x:c>
      <x:c r="K367" s="23" t="str">
        <x:v>what exact configuration produced the article must be accepted before downstream release</x:v>
      </x:c>
    </x:row>
    <x:row r="368">
      <x:c r="B368" s="21" t="str">
        <x:v>BL-00362</x:v>
      </x:c>
      <x:c r="C368" s="21" t="str">
        <x:v>F13-I4</x:v>
      </x:c>
      <x:c r="D368" s="21" t="str">
        <x:v>F13</x:v>
      </x:c>
      <x:c r="E368" s="21" t="str">
        <x:v>B4</x:v>
      </x:c>
      <x:c r="F368" s="21" t="str">
        <x:v>Trial</x:v>
      </x:c>
      <x:c r="G368" s="21" t="str">
        <x:v>0.0.0</x:v>
      </x:c>
      <x:c r="H368" s="21" t="str">
        <x:v>Independent Evidence and Data Authority</x:v>
      </x:c>
      <x:c r="I368" s="21" t="str">
        <x:v>OPEN</x:v>
      </x:c>
      <x:c r="J368" s="21" t="str">
        <x:v>HOLD</x:v>
      </x:c>
      <x:c r="K368" s="23" t="str">
        <x:v>what configuration method and damage world produced evidence must be accepted before downstream release</x:v>
      </x:c>
    </x:row>
    <x:row r="369">
      <x:c r="B369" s="21" t="str">
        <x:v>BL-00363</x:v>
      </x:c>
      <x:c r="C369" s="21" t="str">
        <x:v>F13-I4</x:v>
      </x:c>
      <x:c r="D369" s="21" t="str">
        <x:v>F13</x:v>
      </x:c>
      <x:c r="E369" s="21" t="str">
        <x:v>B5</x:v>
      </x:c>
      <x:c r="F369" s="21" t="str">
        <x:v>Production</x:v>
      </x:c>
      <x:c r="G369" s="21" t="str">
        <x:v>0.0.0</x:v>
      </x:c>
      <x:c r="H369" s="21" t="str">
        <x:v>Independent Evidence and Data Authority</x:v>
      </x:c>
      <x:c r="I369" s="21" t="str">
        <x:v>OPEN</x:v>
      </x:c>
      <x:c r="J369" s="21" t="str">
        <x:v>HOLD</x:v>
      </x:c>
      <x:c r="K369" s="23" t="str">
        <x:v>what process configuration and acceptance define serial output must be accepted before downstream release</x:v>
      </x:c>
    </x:row>
    <x:row r="370">
      <x:c r="B370" s="21" t="str">
        <x:v>BL-00364</x:v>
      </x:c>
      <x:c r="C370" s="21" t="str">
        <x:v>F13-I4</x:v>
      </x:c>
      <x:c r="D370" s="21" t="str">
        <x:v>F13</x:v>
      </x:c>
      <x:c r="E370" s="21" t="str">
        <x:v>B6</x:v>
      </x:c>
      <x:c r="F370" s="21" t="str">
        <x:v>Mobilization</x:v>
      </x:c>
      <x:c r="G370" s="21" t="str">
        <x:v>0.0.0</x:v>
      </x:c>
      <x:c r="H370" s="21" t="str">
        <x:v>Independent Evidence and Data Authority</x:v>
      </x:c>
      <x:c r="I370" s="21" t="str">
        <x:v>OPEN</x:v>
      </x:c>
      <x:c r="J370" s="21" t="str">
        <x:v>HOLD</x:v>
      </x:c>
      <x:c r="K370" s="23" t="str">
        <x:v>what people tools suppliers and routes reproduce conforming service must be accepted before downstream release</x:v>
      </x:c>
    </x:row>
    <x:row r="371">
      <x:c r="B371" s="21" t="str">
        <x:v>BL-00365</x:v>
      </x:c>
      <x:c r="C371" s="21" t="str">
        <x:v>F14-I1</x:v>
      </x:c>
      <x:c r="D371" s="21" t="str">
        <x:v>F14</x:v>
      </x:c>
      <x:c r="E371" s="21" t="str">
        <x:v>B0</x:v>
      </x:c>
      <x:c r="F371" s="21" t="str">
        <x:v>Effect</x:v>
      </x:c>
      <x:c r="G371" s="21" t="str">
        <x:v>0.0.0</x:v>
      </x:c>
      <x:c r="H371" s="21" t="str">
        <x:v>Independent Evidence and Data Authority</x:v>
      </x:c>
      <x:c r="I371" s="21" t="str">
        <x:v>OPEN</x:v>
      </x:c>
      <x:c r="J371" s="21" t="str">
        <x:v>HOLD</x:v>
      </x:c>
      <x:c r="K371" s="23" t="str">
        <x:v>what public condition must exist must be accepted before downstream release</x:v>
      </x:c>
    </x:row>
    <x:row r="372">
      <x:c r="B372" s="21" t="str">
        <x:v>BL-00366</x:v>
      </x:c>
      <x:c r="C372" s="21" t="str">
        <x:v>F14-I1</x:v>
      </x:c>
      <x:c r="D372" s="21" t="str">
        <x:v>F14</x:v>
      </x:c>
      <x:c r="E372" s="21" t="str">
        <x:v>B1</x:v>
      </x:c>
      <x:c r="F372" s="21" t="str">
        <x:v>Requirements</x:v>
      </x:c>
      <x:c r="G372" s="21" t="str">
        <x:v>0.0.0</x:v>
      </x:c>
      <x:c r="H372" s="21" t="str">
        <x:v>Independent Evidence and Data Authority</x:v>
      </x:c>
      <x:c r="I372" s="21" t="str">
        <x:v>OPEN</x:v>
      </x:c>
      <x:c r="J372" s="21" t="str">
        <x:v>HOLD</x:v>
      </x:c>
      <x:c r="K372" s="23" t="str">
        <x:v>what burdens and invalid states bound the effect must be accepted before downstream release</x:v>
      </x:c>
    </x:row>
    <x:row r="373">
      <x:c r="B373" s="21" t="str">
        <x:v>BL-00367</x:v>
      </x:c>
      <x:c r="C373" s="21" t="str">
        <x:v>F14-I1</x:v>
      </x:c>
      <x:c r="D373" s="21" t="str">
        <x:v>F14</x:v>
      </x:c>
      <x:c r="E373" s="21" t="str">
        <x:v>B2</x:v>
      </x:c>
      <x:c r="F373" s="21" t="str">
        <x:v>Architecture</x:v>
      </x:c>
      <x:c r="G373" s="21" t="str">
        <x:v>0.0.0</x:v>
      </x:c>
      <x:c r="H373" s="21" t="str">
        <x:v>Independent Evidence and Data Authority</x:v>
      </x:c>
      <x:c r="I373" s="21" t="str">
        <x:v>OPEN</x:v>
      </x:c>
      <x:c r="J373" s="21" t="str">
        <x:v>HOLD</x:v>
      </x:c>
      <x:c r="K373" s="23" t="str">
        <x:v>what interfaces and budgets govern the system must be accepted before downstream release</x:v>
      </x:c>
    </x:row>
    <x:row r="374">
      <x:c r="B374" s="21" t="str">
        <x:v>BL-00368</x:v>
      </x:c>
      <x:c r="C374" s="21" t="str">
        <x:v>F14-I1</x:v>
      </x:c>
      <x:c r="D374" s="21" t="str">
        <x:v>F14</x:v>
      </x:c>
      <x:c r="E374" s="21" t="str">
        <x:v>B3</x:v>
      </x:c>
      <x:c r="F374" s="21" t="str">
        <x:v>Build</x:v>
      </x:c>
      <x:c r="G374" s="21" t="str">
        <x:v>0.0.0</x:v>
      </x:c>
      <x:c r="H374" s="21" t="str">
        <x:v>Independent Evidence and Data Authority</x:v>
      </x:c>
      <x:c r="I374" s="21" t="str">
        <x:v>OPEN</x:v>
      </x:c>
      <x:c r="J374" s="21" t="str">
        <x:v>HOLD</x:v>
      </x:c>
      <x:c r="K374" s="23" t="str">
        <x:v>what exact configuration produced the article must be accepted before downstream release</x:v>
      </x:c>
    </x:row>
    <x:row r="375">
      <x:c r="B375" s="21" t="str">
        <x:v>BL-00369</x:v>
      </x:c>
      <x:c r="C375" s="21" t="str">
        <x:v>F14-I1</x:v>
      </x:c>
      <x:c r="D375" s="21" t="str">
        <x:v>F14</x:v>
      </x:c>
      <x:c r="E375" s="21" t="str">
        <x:v>B4</x:v>
      </x:c>
      <x:c r="F375" s="21" t="str">
        <x:v>Trial</x:v>
      </x:c>
      <x:c r="G375" s="21" t="str">
        <x:v>0.0.0</x:v>
      </x:c>
      <x:c r="H375" s="21" t="str">
        <x:v>Independent Evidence and Data Authority</x:v>
      </x:c>
      <x:c r="I375" s="21" t="str">
        <x:v>OPEN</x:v>
      </x:c>
      <x:c r="J375" s="21" t="str">
        <x:v>HOLD</x:v>
      </x:c>
      <x:c r="K375" s="23" t="str">
        <x:v>what configuration method and damage world produced evidence must be accepted before downstream release</x:v>
      </x:c>
    </x:row>
    <x:row r="376">
      <x:c r="B376" s="21" t="str">
        <x:v>BL-00370</x:v>
      </x:c>
      <x:c r="C376" s="21" t="str">
        <x:v>F14-I1</x:v>
      </x:c>
      <x:c r="D376" s="21" t="str">
        <x:v>F14</x:v>
      </x:c>
      <x:c r="E376" s="21" t="str">
        <x:v>B5</x:v>
      </x:c>
      <x:c r="F376" s="21" t="str">
        <x:v>Production</x:v>
      </x:c>
      <x:c r="G376" s="21" t="str">
        <x:v>0.0.0</x:v>
      </x:c>
      <x:c r="H376" s="21" t="str">
        <x:v>Independent Evidence and Data Authority</x:v>
      </x:c>
      <x:c r="I376" s="21" t="str">
        <x:v>OPEN</x:v>
      </x:c>
      <x:c r="J376" s="21" t="str">
        <x:v>HOLD</x:v>
      </x:c>
      <x:c r="K376" s="23" t="str">
        <x:v>what process configuration and acceptance define serial output must be accepted before downstream release</x:v>
      </x:c>
    </x:row>
    <x:row r="377">
      <x:c r="B377" s="21" t="str">
        <x:v>BL-00371</x:v>
      </x:c>
      <x:c r="C377" s="21" t="str">
        <x:v>F14-I1</x:v>
      </x:c>
      <x:c r="D377" s="21" t="str">
        <x:v>F14</x:v>
      </x:c>
      <x:c r="E377" s="21" t="str">
        <x:v>B6</x:v>
      </x:c>
      <x:c r="F377" s="21" t="str">
        <x:v>Mobilization</x:v>
      </x:c>
      <x:c r="G377" s="21" t="str">
        <x:v>0.0.0</x:v>
      </x:c>
      <x:c r="H377" s="21" t="str">
        <x:v>Independent Evidence and Data Authority</x:v>
      </x:c>
      <x:c r="I377" s="21" t="str">
        <x:v>OPEN</x:v>
      </x:c>
      <x:c r="J377" s="21" t="str">
        <x:v>HOLD</x:v>
      </x:c>
      <x:c r="K377" s="23" t="str">
        <x:v>what people tools suppliers and routes reproduce conforming service must be accepted before downstream release</x:v>
      </x:c>
    </x:row>
    <x:row r="378">
      <x:c r="B378" s="21" t="str">
        <x:v>BL-00372</x:v>
      </x:c>
      <x:c r="C378" s="21" t="str">
        <x:v>F14-I2</x:v>
      </x:c>
      <x:c r="D378" s="21" t="str">
        <x:v>F14</x:v>
      </x:c>
      <x:c r="E378" s="21" t="str">
        <x:v>B0</x:v>
      </x:c>
      <x:c r="F378" s="21" t="str">
        <x:v>Effect</x:v>
      </x:c>
      <x:c r="G378" s="21" t="str">
        <x:v>0.0.0</x:v>
      </x:c>
      <x:c r="H378" s="21" t="str">
        <x:v>Independent Evidence and Data Authority</x:v>
      </x:c>
      <x:c r="I378" s="21" t="str">
        <x:v>OPEN</x:v>
      </x:c>
      <x:c r="J378" s="21" t="str">
        <x:v>HOLD</x:v>
      </x:c>
      <x:c r="K378" s="23" t="str">
        <x:v>what public condition must exist must be accepted before downstream release</x:v>
      </x:c>
    </x:row>
    <x:row r="379">
      <x:c r="B379" s="21" t="str">
        <x:v>BL-00373</x:v>
      </x:c>
      <x:c r="C379" s="21" t="str">
        <x:v>F14-I2</x:v>
      </x:c>
      <x:c r="D379" s="21" t="str">
        <x:v>F14</x:v>
      </x:c>
      <x:c r="E379" s="21" t="str">
        <x:v>B1</x:v>
      </x:c>
      <x:c r="F379" s="21" t="str">
        <x:v>Requirements</x:v>
      </x:c>
      <x:c r="G379" s="21" t="str">
        <x:v>0.0.0</x:v>
      </x:c>
      <x:c r="H379" s="21" t="str">
        <x:v>Independent Evidence and Data Authority</x:v>
      </x:c>
      <x:c r="I379" s="21" t="str">
        <x:v>OPEN</x:v>
      </x:c>
      <x:c r="J379" s="21" t="str">
        <x:v>HOLD</x:v>
      </x:c>
      <x:c r="K379" s="23" t="str">
        <x:v>what burdens and invalid states bound the effect must be accepted before downstream release</x:v>
      </x:c>
    </x:row>
    <x:row r="380">
      <x:c r="B380" s="21" t="str">
        <x:v>BL-00374</x:v>
      </x:c>
      <x:c r="C380" s="21" t="str">
        <x:v>F14-I2</x:v>
      </x:c>
      <x:c r="D380" s="21" t="str">
        <x:v>F14</x:v>
      </x:c>
      <x:c r="E380" s="21" t="str">
        <x:v>B2</x:v>
      </x:c>
      <x:c r="F380" s="21" t="str">
        <x:v>Architecture</x:v>
      </x:c>
      <x:c r="G380" s="21" t="str">
        <x:v>0.0.0</x:v>
      </x:c>
      <x:c r="H380" s="21" t="str">
        <x:v>Independent Evidence and Data Authority</x:v>
      </x:c>
      <x:c r="I380" s="21" t="str">
        <x:v>OPEN</x:v>
      </x:c>
      <x:c r="J380" s="21" t="str">
        <x:v>HOLD</x:v>
      </x:c>
      <x:c r="K380" s="23" t="str">
        <x:v>what interfaces and budgets govern the system must be accepted before downstream release</x:v>
      </x:c>
    </x:row>
    <x:row r="381">
      <x:c r="B381" s="21" t="str">
        <x:v>BL-00375</x:v>
      </x:c>
      <x:c r="C381" s="21" t="str">
        <x:v>F14-I2</x:v>
      </x:c>
      <x:c r="D381" s="21" t="str">
        <x:v>F14</x:v>
      </x:c>
      <x:c r="E381" s="21" t="str">
        <x:v>B3</x:v>
      </x:c>
      <x:c r="F381" s="21" t="str">
        <x:v>Build</x:v>
      </x:c>
      <x:c r="G381" s="21" t="str">
        <x:v>0.0.0</x:v>
      </x:c>
      <x:c r="H381" s="21" t="str">
        <x:v>Independent Evidence and Data Authority</x:v>
      </x:c>
      <x:c r="I381" s="21" t="str">
        <x:v>OPEN</x:v>
      </x:c>
      <x:c r="J381" s="21" t="str">
        <x:v>HOLD</x:v>
      </x:c>
      <x:c r="K381" s="23" t="str">
        <x:v>what exact configuration produced the article must be accepted before downstream release</x:v>
      </x:c>
    </x:row>
    <x:row r="382">
      <x:c r="B382" s="21" t="str">
        <x:v>BL-00376</x:v>
      </x:c>
      <x:c r="C382" s="21" t="str">
        <x:v>F14-I2</x:v>
      </x:c>
      <x:c r="D382" s="21" t="str">
        <x:v>F14</x:v>
      </x:c>
      <x:c r="E382" s="21" t="str">
        <x:v>B4</x:v>
      </x:c>
      <x:c r="F382" s="21" t="str">
        <x:v>Trial</x:v>
      </x:c>
      <x:c r="G382" s="21" t="str">
        <x:v>0.0.0</x:v>
      </x:c>
      <x:c r="H382" s="21" t="str">
        <x:v>Independent Evidence and Data Authority</x:v>
      </x:c>
      <x:c r="I382" s="21" t="str">
        <x:v>OPEN</x:v>
      </x:c>
      <x:c r="J382" s="21" t="str">
        <x:v>HOLD</x:v>
      </x:c>
      <x:c r="K382" s="23" t="str">
        <x:v>what configuration method and damage world produced evidence must be accepted before downstream release</x:v>
      </x:c>
    </x:row>
    <x:row r="383">
      <x:c r="B383" s="21" t="str">
        <x:v>BL-00377</x:v>
      </x:c>
      <x:c r="C383" s="21" t="str">
        <x:v>F14-I2</x:v>
      </x:c>
      <x:c r="D383" s="21" t="str">
        <x:v>F14</x:v>
      </x:c>
      <x:c r="E383" s="21" t="str">
        <x:v>B5</x:v>
      </x:c>
      <x:c r="F383" s="21" t="str">
        <x:v>Production</x:v>
      </x:c>
      <x:c r="G383" s="21" t="str">
        <x:v>0.0.0</x:v>
      </x:c>
      <x:c r="H383" s="21" t="str">
        <x:v>Independent Evidence and Data Authority</x:v>
      </x:c>
      <x:c r="I383" s="21" t="str">
        <x:v>OPEN</x:v>
      </x:c>
      <x:c r="J383" s="21" t="str">
        <x:v>HOLD</x:v>
      </x:c>
      <x:c r="K383" s="23" t="str">
        <x:v>what process configuration and acceptance define serial output must be accepted before downstream release</x:v>
      </x:c>
    </x:row>
    <x:row r="384">
      <x:c r="B384" s="21" t="str">
        <x:v>BL-00378</x:v>
      </x:c>
      <x:c r="C384" s="21" t="str">
        <x:v>F14-I2</x:v>
      </x:c>
      <x:c r="D384" s="21" t="str">
        <x:v>F14</x:v>
      </x:c>
      <x:c r="E384" s="21" t="str">
        <x:v>B6</x:v>
      </x:c>
      <x:c r="F384" s="21" t="str">
        <x:v>Mobilization</x:v>
      </x:c>
      <x:c r="G384" s="21" t="str">
        <x:v>0.0.0</x:v>
      </x:c>
      <x:c r="H384" s="21" t="str">
        <x:v>Independent Evidence and Data Authority</x:v>
      </x:c>
      <x:c r="I384" s="21" t="str">
        <x:v>OPEN</x:v>
      </x:c>
      <x:c r="J384" s="21" t="str">
        <x:v>HOLD</x:v>
      </x:c>
      <x:c r="K384" s="23" t="str">
        <x:v>what people tools suppliers and routes reproduce conforming service must be accepted before downstream release</x:v>
      </x:c>
    </x:row>
    <x:row r="385">
      <x:c r="B385" s="21" t="str">
        <x:v>BL-00379</x:v>
      </x:c>
      <x:c r="C385" s="21" t="str">
        <x:v>F14-I3</x:v>
      </x:c>
      <x:c r="D385" s="21" t="str">
        <x:v>F14</x:v>
      </x:c>
      <x:c r="E385" s="21" t="str">
        <x:v>B0</x:v>
      </x:c>
      <x:c r="F385" s="21" t="str">
        <x:v>Effect</x:v>
      </x:c>
      <x:c r="G385" s="21" t="str">
        <x:v>0.0.0</x:v>
      </x:c>
      <x:c r="H385" s="21" t="str">
        <x:v>Independent Evidence and Data Authority</x:v>
      </x:c>
      <x:c r="I385" s="21" t="str">
        <x:v>OPEN</x:v>
      </x:c>
      <x:c r="J385" s="21" t="str">
        <x:v>HOLD</x:v>
      </x:c>
      <x:c r="K385" s="23" t="str">
        <x:v>what public condition must exist must be accepted before downstream release</x:v>
      </x:c>
    </x:row>
    <x:row r="386">
      <x:c r="B386" s="21" t="str">
        <x:v>BL-00380</x:v>
      </x:c>
      <x:c r="C386" s="21" t="str">
        <x:v>F14-I3</x:v>
      </x:c>
      <x:c r="D386" s="21" t="str">
        <x:v>F14</x:v>
      </x:c>
      <x:c r="E386" s="21" t="str">
        <x:v>B1</x:v>
      </x:c>
      <x:c r="F386" s="21" t="str">
        <x:v>Requirements</x:v>
      </x:c>
      <x:c r="G386" s="21" t="str">
        <x:v>0.0.0</x:v>
      </x:c>
      <x:c r="H386" s="21" t="str">
        <x:v>Independent Evidence and Data Authority</x:v>
      </x:c>
      <x:c r="I386" s="21" t="str">
        <x:v>OPEN</x:v>
      </x:c>
      <x:c r="J386" s="21" t="str">
        <x:v>HOLD</x:v>
      </x:c>
      <x:c r="K386" s="23" t="str">
        <x:v>what burdens and invalid states bound the effect must be accepted before downstream release</x:v>
      </x:c>
    </x:row>
    <x:row r="387">
      <x:c r="B387" s="21" t="str">
        <x:v>BL-00381</x:v>
      </x:c>
      <x:c r="C387" s="21" t="str">
        <x:v>F14-I3</x:v>
      </x:c>
      <x:c r="D387" s="21" t="str">
        <x:v>F14</x:v>
      </x:c>
      <x:c r="E387" s="21" t="str">
        <x:v>B2</x:v>
      </x:c>
      <x:c r="F387" s="21" t="str">
        <x:v>Architecture</x:v>
      </x:c>
      <x:c r="G387" s="21" t="str">
        <x:v>0.0.0</x:v>
      </x:c>
      <x:c r="H387" s="21" t="str">
        <x:v>Independent Evidence and Data Authority</x:v>
      </x:c>
      <x:c r="I387" s="21" t="str">
        <x:v>OPEN</x:v>
      </x:c>
      <x:c r="J387" s="21" t="str">
        <x:v>HOLD</x:v>
      </x:c>
      <x:c r="K387" s="23" t="str">
        <x:v>what interfaces and budgets govern the system must be accepted before downstream release</x:v>
      </x:c>
    </x:row>
    <x:row r="388">
      <x:c r="B388" s="21" t="str">
        <x:v>BL-00382</x:v>
      </x:c>
      <x:c r="C388" s="21" t="str">
        <x:v>F14-I3</x:v>
      </x:c>
      <x:c r="D388" s="21" t="str">
        <x:v>F14</x:v>
      </x:c>
      <x:c r="E388" s="21" t="str">
        <x:v>B3</x:v>
      </x:c>
      <x:c r="F388" s="21" t="str">
        <x:v>Build</x:v>
      </x:c>
      <x:c r="G388" s="21" t="str">
        <x:v>0.0.0</x:v>
      </x:c>
      <x:c r="H388" s="21" t="str">
        <x:v>Independent Evidence and Data Authority</x:v>
      </x:c>
      <x:c r="I388" s="21" t="str">
        <x:v>OPEN</x:v>
      </x:c>
      <x:c r="J388" s="21" t="str">
        <x:v>HOLD</x:v>
      </x:c>
      <x:c r="K388" s="23" t="str">
        <x:v>what exact configuration produced the article must be accepted before downstream release</x:v>
      </x:c>
    </x:row>
    <x:row r="389">
      <x:c r="B389" s="21" t="str">
        <x:v>BL-00383</x:v>
      </x:c>
      <x:c r="C389" s="21" t="str">
        <x:v>F14-I3</x:v>
      </x:c>
      <x:c r="D389" s="21" t="str">
        <x:v>F14</x:v>
      </x:c>
      <x:c r="E389" s="21" t="str">
        <x:v>B4</x:v>
      </x:c>
      <x:c r="F389" s="21" t="str">
        <x:v>Trial</x:v>
      </x:c>
      <x:c r="G389" s="21" t="str">
        <x:v>0.0.0</x:v>
      </x:c>
      <x:c r="H389" s="21" t="str">
        <x:v>Independent Evidence and Data Authority</x:v>
      </x:c>
      <x:c r="I389" s="21" t="str">
        <x:v>OPEN</x:v>
      </x:c>
      <x:c r="J389" s="21" t="str">
        <x:v>HOLD</x:v>
      </x:c>
      <x:c r="K389" s="23" t="str">
        <x:v>what configuration method and damage world produced evidence must be accepted before downstream release</x:v>
      </x:c>
    </x:row>
    <x:row r="390">
      <x:c r="B390" s="21" t="str">
        <x:v>BL-00384</x:v>
      </x:c>
      <x:c r="C390" s="21" t="str">
        <x:v>F14-I3</x:v>
      </x:c>
      <x:c r="D390" s="21" t="str">
        <x:v>F14</x:v>
      </x:c>
      <x:c r="E390" s="21" t="str">
        <x:v>B5</x:v>
      </x:c>
      <x:c r="F390" s="21" t="str">
        <x:v>Production</x:v>
      </x:c>
      <x:c r="G390" s="21" t="str">
        <x:v>0.0.0</x:v>
      </x:c>
      <x:c r="H390" s="21" t="str">
        <x:v>Independent Evidence and Data Authority</x:v>
      </x:c>
      <x:c r="I390" s="21" t="str">
        <x:v>OPEN</x:v>
      </x:c>
      <x:c r="J390" s="21" t="str">
        <x:v>HOLD</x:v>
      </x:c>
      <x:c r="K390" s="23" t="str">
        <x:v>what process configuration and acceptance define serial output must be accepted before downstream release</x:v>
      </x:c>
    </x:row>
    <x:row r="391">
      <x:c r="B391" s="21" t="str">
        <x:v>BL-00385</x:v>
      </x:c>
      <x:c r="C391" s="21" t="str">
        <x:v>F14-I3</x:v>
      </x:c>
      <x:c r="D391" s="21" t="str">
        <x:v>F14</x:v>
      </x:c>
      <x:c r="E391" s="21" t="str">
        <x:v>B6</x:v>
      </x:c>
      <x:c r="F391" s="21" t="str">
        <x:v>Mobilization</x:v>
      </x:c>
      <x:c r="G391" s="21" t="str">
        <x:v>0.0.0</x:v>
      </x:c>
      <x:c r="H391" s="21" t="str">
        <x:v>Independent Evidence and Data Authority</x:v>
      </x:c>
      <x:c r="I391" s="21" t="str">
        <x:v>OPEN</x:v>
      </x:c>
      <x:c r="J391" s="21" t="str">
        <x:v>HOLD</x:v>
      </x:c>
      <x:c r="K391" s="23" t="str">
        <x:v>what people tools suppliers and routes reproduce conforming service must be accepted before downstream release</x:v>
      </x:c>
    </x:row>
    <x:row r="392">
      <x:c r="B392" s="21" t="str">
        <x:v>BL-00386</x:v>
      </x:c>
      <x:c r="C392" s="21" t="str">
        <x:v>F14-I4</x:v>
      </x:c>
      <x:c r="D392" s="21" t="str">
        <x:v>F14</x:v>
      </x:c>
      <x:c r="E392" s="21" t="str">
        <x:v>B0</x:v>
      </x:c>
      <x:c r="F392" s="21" t="str">
        <x:v>Effect</x:v>
      </x:c>
      <x:c r="G392" s="21" t="str">
        <x:v>0.0.0</x:v>
      </x:c>
      <x:c r="H392" s="21" t="str">
        <x:v>Independent Evidence and Data Authority</x:v>
      </x:c>
      <x:c r="I392" s="21" t="str">
        <x:v>OPEN</x:v>
      </x:c>
      <x:c r="J392" s="21" t="str">
        <x:v>HOLD</x:v>
      </x:c>
      <x:c r="K392" s="23" t="str">
        <x:v>what public condition must exist must be accepted before downstream release</x:v>
      </x:c>
    </x:row>
    <x:row r="393">
      <x:c r="B393" s="21" t="str">
        <x:v>BL-00387</x:v>
      </x:c>
      <x:c r="C393" s="21" t="str">
        <x:v>F14-I4</x:v>
      </x:c>
      <x:c r="D393" s="21" t="str">
        <x:v>F14</x:v>
      </x:c>
      <x:c r="E393" s="21" t="str">
        <x:v>B1</x:v>
      </x:c>
      <x:c r="F393" s="21" t="str">
        <x:v>Requirements</x:v>
      </x:c>
      <x:c r="G393" s="21" t="str">
        <x:v>0.0.0</x:v>
      </x:c>
      <x:c r="H393" s="21" t="str">
        <x:v>Independent Evidence and Data Authority</x:v>
      </x:c>
      <x:c r="I393" s="21" t="str">
        <x:v>OPEN</x:v>
      </x:c>
      <x:c r="J393" s="21" t="str">
        <x:v>HOLD</x:v>
      </x:c>
      <x:c r="K393" s="23" t="str">
        <x:v>what burdens and invalid states bound the effect must be accepted before downstream release</x:v>
      </x:c>
    </x:row>
    <x:row r="394">
      <x:c r="B394" s="21" t="str">
        <x:v>BL-00388</x:v>
      </x:c>
      <x:c r="C394" s="21" t="str">
        <x:v>F14-I4</x:v>
      </x:c>
      <x:c r="D394" s="21" t="str">
        <x:v>F14</x:v>
      </x:c>
      <x:c r="E394" s="21" t="str">
        <x:v>B2</x:v>
      </x:c>
      <x:c r="F394" s="21" t="str">
        <x:v>Architecture</x:v>
      </x:c>
      <x:c r="G394" s="21" t="str">
        <x:v>0.0.0</x:v>
      </x:c>
      <x:c r="H394" s="21" t="str">
        <x:v>Independent Evidence and Data Authority</x:v>
      </x:c>
      <x:c r="I394" s="21" t="str">
        <x:v>OPEN</x:v>
      </x:c>
      <x:c r="J394" s="21" t="str">
        <x:v>HOLD</x:v>
      </x:c>
      <x:c r="K394" s="23" t="str">
        <x:v>what interfaces and budgets govern the system must be accepted before downstream release</x:v>
      </x:c>
    </x:row>
    <x:row r="395">
      <x:c r="B395" s="21" t="str">
        <x:v>BL-00389</x:v>
      </x:c>
      <x:c r="C395" s="21" t="str">
        <x:v>F14-I4</x:v>
      </x:c>
      <x:c r="D395" s="21" t="str">
        <x:v>F14</x:v>
      </x:c>
      <x:c r="E395" s="21" t="str">
        <x:v>B3</x:v>
      </x:c>
      <x:c r="F395" s="21" t="str">
        <x:v>Build</x:v>
      </x:c>
      <x:c r="G395" s="21" t="str">
        <x:v>0.0.0</x:v>
      </x:c>
      <x:c r="H395" s="21" t="str">
        <x:v>Independent Evidence and Data Authority</x:v>
      </x:c>
      <x:c r="I395" s="21" t="str">
        <x:v>OPEN</x:v>
      </x:c>
      <x:c r="J395" s="21" t="str">
        <x:v>HOLD</x:v>
      </x:c>
      <x:c r="K395" s="23" t="str">
        <x:v>what exact configuration produced the article must be accepted before downstream release</x:v>
      </x:c>
    </x:row>
    <x:row r="396">
      <x:c r="B396" s="21" t="str">
        <x:v>BL-00390</x:v>
      </x:c>
      <x:c r="C396" s="21" t="str">
        <x:v>F14-I4</x:v>
      </x:c>
      <x:c r="D396" s="21" t="str">
        <x:v>F14</x:v>
      </x:c>
      <x:c r="E396" s="21" t="str">
        <x:v>B4</x:v>
      </x:c>
      <x:c r="F396" s="21" t="str">
        <x:v>Trial</x:v>
      </x:c>
      <x:c r="G396" s="21" t="str">
        <x:v>0.0.0</x:v>
      </x:c>
      <x:c r="H396" s="21" t="str">
        <x:v>Independent Evidence and Data Authority</x:v>
      </x:c>
      <x:c r="I396" s="21" t="str">
        <x:v>OPEN</x:v>
      </x:c>
      <x:c r="J396" s="21" t="str">
        <x:v>HOLD</x:v>
      </x:c>
      <x:c r="K396" s="23" t="str">
        <x:v>what configuration method and damage world produced evidence must be accepted before downstream release</x:v>
      </x:c>
    </x:row>
    <x:row r="397">
      <x:c r="B397" s="21" t="str">
        <x:v>BL-00391</x:v>
      </x:c>
      <x:c r="C397" s="21" t="str">
        <x:v>F14-I4</x:v>
      </x:c>
      <x:c r="D397" s="21" t="str">
        <x:v>F14</x:v>
      </x:c>
      <x:c r="E397" s="21" t="str">
        <x:v>B5</x:v>
      </x:c>
      <x:c r="F397" s="21" t="str">
        <x:v>Production</x:v>
      </x:c>
      <x:c r="G397" s="21" t="str">
        <x:v>0.0.0</x:v>
      </x:c>
      <x:c r="H397" s="21" t="str">
        <x:v>Independent Evidence and Data Authority</x:v>
      </x:c>
      <x:c r="I397" s="21" t="str">
        <x:v>OPEN</x:v>
      </x:c>
      <x:c r="J397" s="21" t="str">
        <x:v>HOLD</x:v>
      </x:c>
      <x:c r="K397" s="23" t="str">
        <x:v>what process configuration and acceptance define serial output must be accepted before downstream release</x:v>
      </x:c>
    </x:row>
    <x:row r="398">
      <x:c r="B398" s="21" t="str">
        <x:v>BL-00392</x:v>
      </x:c>
      <x:c r="C398" s="21" t="str">
        <x:v>F14-I4</x:v>
      </x:c>
      <x:c r="D398" s="21" t="str">
        <x:v>F14</x:v>
      </x:c>
      <x:c r="E398" s="21" t="str">
        <x:v>B6</x:v>
      </x:c>
      <x:c r="F398" s="21" t="str">
        <x:v>Mobilization</x:v>
      </x:c>
      <x:c r="G398" s="21" t="str">
        <x:v>0.0.0</x:v>
      </x:c>
      <x:c r="H398" s="21" t="str">
        <x:v>Independent Evidence and Data Authority</x:v>
      </x:c>
      <x:c r="I398" s="21" t="str">
        <x:v>OPEN</x:v>
      </x:c>
      <x:c r="J398" s="21" t="str">
        <x:v>HOLD</x:v>
      </x:c>
      <x:c r="K398" s="23" t="str">
        <x:v>what people tools suppliers and routes reproduce conforming service must be accepted before downstream release</x:v>
      </x:c>
    </x:row>
    <x:row r="399">
      <x:c r="B399" s="21" t="str">
        <x:v>BL-00393</x:v>
      </x:c>
      <x:c r="C399" s="21" t="str">
        <x:v>F15-I1</x:v>
      </x:c>
      <x:c r="D399" s="21" t="str">
        <x:v>F15</x:v>
      </x:c>
      <x:c r="E399" s="21" t="str">
        <x:v>B0</x:v>
      </x:c>
      <x:c r="F399" s="21" t="str">
        <x:v>Effect</x:v>
      </x:c>
      <x:c r="G399" s="21" t="str">
        <x:v>0.0.0</x:v>
      </x:c>
      <x:c r="H399" s="21" t="str">
        <x:v>Independent Evidence and Data Authority</x:v>
      </x:c>
      <x:c r="I399" s="21" t="str">
        <x:v>OPEN</x:v>
      </x:c>
      <x:c r="J399" s="21" t="str">
        <x:v>HOLD</x:v>
      </x:c>
      <x:c r="K399" s="23" t="str">
        <x:v>what public condition must exist must be accepted before downstream release</x:v>
      </x:c>
    </x:row>
    <x:row r="400">
      <x:c r="B400" s="21" t="str">
        <x:v>BL-00394</x:v>
      </x:c>
      <x:c r="C400" s="21" t="str">
        <x:v>F15-I1</x:v>
      </x:c>
      <x:c r="D400" s="21" t="str">
        <x:v>F15</x:v>
      </x:c>
      <x:c r="E400" s="21" t="str">
        <x:v>B1</x:v>
      </x:c>
      <x:c r="F400" s="21" t="str">
        <x:v>Requirements</x:v>
      </x:c>
      <x:c r="G400" s="21" t="str">
        <x:v>0.0.0</x:v>
      </x:c>
      <x:c r="H400" s="21" t="str">
        <x:v>Independent Evidence and Data Authority</x:v>
      </x:c>
      <x:c r="I400" s="21" t="str">
        <x:v>OPEN</x:v>
      </x:c>
      <x:c r="J400" s="21" t="str">
        <x:v>HOLD</x:v>
      </x:c>
      <x:c r="K400" s="23" t="str">
        <x:v>what burdens and invalid states bound the effect must be accepted before downstream release</x:v>
      </x:c>
    </x:row>
    <x:row r="401">
      <x:c r="B401" s="21" t="str">
        <x:v>BL-00395</x:v>
      </x:c>
      <x:c r="C401" s="21" t="str">
        <x:v>F15-I1</x:v>
      </x:c>
      <x:c r="D401" s="21" t="str">
        <x:v>F15</x:v>
      </x:c>
      <x:c r="E401" s="21" t="str">
        <x:v>B2</x:v>
      </x:c>
      <x:c r="F401" s="21" t="str">
        <x:v>Architecture</x:v>
      </x:c>
      <x:c r="G401" s="21" t="str">
        <x:v>0.0.0</x:v>
      </x:c>
      <x:c r="H401" s="21" t="str">
        <x:v>Independent Evidence and Data Authority</x:v>
      </x:c>
      <x:c r="I401" s="21" t="str">
        <x:v>OPEN</x:v>
      </x:c>
      <x:c r="J401" s="21" t="str">
        <x:v>HOLD</x:v>
      </x:c>
      <x:c r="K401" s="23" t="str">
        <x:v>what interfaces and budgets govern the system must be accepted before downstream release</x:v>
      </x:c>
    </x:row>
    <x:row r="402">
      <x:c r="B402" s="21" t="str">
        <x:v>BL-00396</x:v>
      </x:c>
      <x:c r="C402" s="21" t="str">
        <x:v>F15-I1</x:v>
      </x:c>
      <x:c r="D402" s="21" t="str">
        <x:v>F15</x:v>
      </x:c>
      <x:c r="E402" s="21" t="str">
        <x:v>B3</x:v>
      </x:c>
      <x:c r="F402" s="21" t="str">
        <x:v>Build</x:v>
      </x:c>
      <x:c r="G402" s="21" t="str">
        <x:v>0.0.0</x:v>
      </x:c>
      <x:c r="H402" s="21" t="str">
        <x:v>Independent Evidence and Data Authority</x:v>
      </x:c>
      <x:c r="I402" s="21" t="str">
        <x:v>OPEN</x:v>
      </x:c>
      <x:c r="J402" s="21" t="str">
        <x:v>HOLD</x:v>
      </x:c>
      <x:c r="K402" s="23" t="str">
        <x:v>what exact configuration produced the article must be accepted before downstream release</x:v>
      </x:c>
    </x:row>
    <x:row r="403">
      <x:c r="B403" s="21" t="str">
        <x:v>BL-00397</x:v>
      </x:c>
      <x:c r="C403" s="21" t="str">
        <x:v>F15-I1</x:v>
      </x:c>
      <x:c r="D403" s="21" t="str">
        <x:v>F15</x:v>
      </x:c>
      <x:c r="E403" s="21" t="str">
        <x:v>B4</x:v>
      </x:c>
      <x:c r="F403" s="21" t="str">
        <x:v>Trial</x:v>
      </x:c>
      <x:c r="G403" s="21" t="str">
        <x:v>0.0.0</x:v>
      </x:c>
      <x:c r="H403" s="21" t="str">
        <x:v>Independent Evidence and Data Authority</x:v>
      </x:c>
      <x:c r="I403" s="21" t="str">
        <x:v>OPEN</x:v>
      </x:c>
      <x:c r="J403" s="21" t="str">
        <x:v>HOLD</x:v>
      </x:c>
      <x:c r="K403" s="23" t="str">
        <x:v>what configuration method and damage world produced evidence must be accepted before downstream release</x:v>
      </x:c>
    </x:row>
    <x:row r="404">
      <x:c r="B404" s="21" t="str">
        <x:v>BL-00398</x:v>
      </x:c>
      <x:c r="C404" s="21" t="str">
        <x:v>F15-I1</x:v>
      </x:c>
      <x:c r="D404" s="21" t="str">
        <x:v>F15</x:v>
      </x:c>
      <x:c r="E404" s="21" t="str">
        <x:v>B5</x:v>
      </x:c>
      <x:c r="F404" s="21" t="str">
        <x:v>Production</x:v>
      </x:c>
      <x:c r="G404" s="21" t="str">
        <x:v>0.0.0</x:v>
      </x:c>
      <x:c r="H404" s="21" t="str">
        <x:v>Independent Evidence and Data Authority</x:v>
      </x:c>
      <x:c r="I404" s="21" t="str">
        <x:v>OPEN</x:v>
      </x:c>
      <x:c r="J404" s="21" t="str">
        <x:v>HOLD</x:v>
      </x:c>
      <x:c r="K404" s="23" t="str">
        <x:v>what process configuration and acceptance define serial output must be accepted before downstream release</x:v>
      </x:c>
    </x:row>
    <x:row r="405">
      <x:c r="B405" s="21" t="str">
        <x:v>BL-00399</x:v>
      </x:c>
      <x:c r="C405" s="21" t="str">
        <x:v>F15-I1</x:v>
      </x:c>
      <x:c r="D405" s="21" t="str">
        <x:v>F15</x:v>
      </x:c>
      <x:c r="E405" s="21" t="str">
        <x:v>B6</x:v>
      </x:c>
      <x:c r="F405" s="21" t="str">
        <x:v>Mobilization</x:v>
      </x:c>
      <x:c r="G405" s="21" t="str">
        <x:v>0.0.0</x:v>
      </x:c>
      <x:c r="H405" s="21" t="str">
        <x:v>Independent Evidence and Data Authority</x:v>
      </x:c>
      <x:c r="I405" s="21" t="str">
        <x:v>OPEN</x:v>
      </x:c>
      <x:c r="J405" s="21" t="str">
        <x:v>HOLD</x:v>
      </x:c>
      <x:c r="K405" s="23" t="str">
        <x:v>what people tools suppliers and routes reproduce conforming service must be accepted before downstream release</x:v>
      </x:c>
    </x:row>
    <x:row r="406">
      <x:c r="B406" s="21" t="str">
        <x:v>BL-00400</x:v>
      </x:c>
      <x:c r="C406" s="21" t="str">
        <x:v>F15-I2</x:v>
      </x:c>
      <x:c r="D406" s="21" t="str">
        <x:v>F15</x:v>
      </x:c>
      <x:c r="E406" s="21" t="str">
        <x:v>B0</x:v>
      </x:c>
      <x:c r="F406" s="21" t="str">
        <x:v>Effect</x:v>
      </x:c>
      <x:c r="G406" s="21" t="str">
        <x:v>0.0.0</x:v>
      </x:c>
      <x:c r="H406" s="21" t="str">
        <x:v>Independent Evidence and Data Authority</x:v>
      </x:c>
      <x:c r="I406" s="21" t="str">
        <x:v>OPEN</x:v>
      </x:c>
      <x:c r="J406" s="21" t="str">
        <x:v>HOLD</x:v>
      </x:c>
      <x:c r="K406" s="23" t="str">
        <x:v>what public condition must exist must be accepted before downstream release</x:v>
      </x:c>
    </x:row>
    <x:row r="407">
      <x:c r="B407" s="21" t="str">
        <x:v>BL-00401</x:v>
      </x:c>
      <x:c r="C407" s="21" t="str">
        <x:v>F15-I2</x:v>
      </x:c>
      <x:c r="D407" s="21" t="str">
        <x:v>F15</x:v>
      </x:c>
      <x:c r="E407" s="21" t="str">
        <x:v>B1</x:v>
      </x:c>
      <x:c r="F407" s="21" t="str">
        <x:v>Requirements</x:v>
      </x:c>
      <x:c r="G407" s="21" t="str">
        <x:v>0.0.0</x:v>
      </x:c>
      <x:c r="H407" s="21" t="str">
        <x:v>Independent Evidence and Data Authority</x:v>
      </x:c>
      <x:c r="I407" s="21" t="str">
        <x:v>OPEN</x:v>
      </x:c>
      <x:c r="J407" s="21" t="str">
        <x:v>HOLD</x:v>
      </x:c>
      <x:c r="K407" s="23" t="str">
        <x:v>what burdens and invalid states bound the effect must be accepted before downstream release</x:v>
      </x:c>
    </x:row>
    <x:row r="408">
      <x:c r="B408" s="21" t="str">
        <x:v>BL-00402</x:v>
      </x:c>
      <x:c r="C408" s="21" t="str">
        <x:v>F15-I2</x:v>
      </x:c>
      <x:c r="D408" s="21" t="str">
        <x:v>F15</x:v>
      </x:c>
      <x:c r="E408" s="21" t="str">
        <x:v>B2</x:v>
      </x:c>
      <x:c r="F408" s="21" t="str">
        <x:v>Architecture</x:v>
      </x:c>
      <x:c r="G408" s="21" t="str">
        <x:v>0.0.0</x:v>
      </x:c>
      <x:c r="H408" s="21" t="str">
        <x:v>Independent Evidence and Data Authority</x:v>
      </x:c>
      <x:c r="I408" s="21" t="str">
        <x:v>OPEN</x:v>
      </x:c>
      <x:c r="J408" s="21" t="str">
        <x:v>HOLD</x:v>
      </x:c>
      <x:c r="K408" s="23" t="str">
        <x:v>what interfaces and budgets govern the system must be accepted before downstream release</x:v>
      </x:c>
    </x:row>
    <x:row r="409">
      <x:c r="B409" s="21" t="str">
        <x:v>BL-00403</x:v>
      </x:c>
      <x:c r="C409" s="21" t="str">
        <x:v>F15-I2</x:v>
      </x:c>
      <x:c r="D409" s="21" t="str">
        <x:v>F15</x:v>
      </x:c>
      <x:c r="E409" s="21" t="str">
        <x:v>B3</x:v>
      </x:c>
      <x:c r="F409" s="21" t="str">
        <x:v>Build</x:v>
      </x:c>
      <x:c r="G409" s="21" t="str">
        <x:v>0.0.0</x:v>
      </x:c>
      <x:c r="H409" s="21" t="str">
        <x:v>Independent Evidence and Data Authority</x:v>
      </x:c>
      <x:c r="I409" s="21" t="str">
        <x:v>OPEN</x:v>
      </x:c>
      <x:c r="J409" s="21" t="str">
        <x:v>HOLD</x:v>
      </x:c>
      <x:c r="K409" s="23" t="str">
        <x:v>what exact configuration produced the article must be accepted before downstream release</x:v>
      </x:c>
    </x:row>
    <x:row r="410">
      <x:c r="B410" s="21" t="str">
        <x:v>BL-00404</x:v>
      </x:c>
      <x:c r="C410" s="21" t="str">
        <x:v>F15-I2</x:v>
      </x:c>
      <x:c r="D410" s="21" t="str">
        <x:v>F15</x:v>
      </x:c>
      <x:c r="E410" s="21" t="str">
        <x:v>B4</x:v>
      </x:c>
      <x:c r="F410" s="21" t="str">
        <x:v>Trial</x:v>
      </x:c>
      <x:c r="G410" s="21" t="str">
        <x:v>0.0.0</x:v>
      </x:c>
      <x:c r="H410" s="21" t="str">
        <x:v>Independent Evidence and Data Authority</x:v>
      </x:c>
      <x:c r="I410" s="21" t="str">
        <x:v>OPEN</x:v>
      </x:c>
      <x:c r="J410" s="21" t="str">
        <x:v>HOLD</x:v>
      </x:c>
      <x:c r="K410" s="23" t="str">
        <x:v>what configuration method and damage world produced evidence must be accepted before downstream release</x:v>
      </x:c>
    </x:row>
    <x:row r="411">
      <x:c r="B411" s="21" t="str">
        <x:v>BL-00405</x:v>
      </x:c>
      <x:c r="C411" s="21" t="str">
        <x:v>F15-I2</x:v>
      </x:c>
      <x:c r="D411" s="21" t="str">
        <x:v>F15</x:v>
      </x:c>
      <x:c r="E411" s="21" t="str">
        <x:v>B5</x:v>
      </x:c>
      <x:c r="F411" s="21" t="str">
        <x:v>Production</x:v>
      </x:c>
      <x:c r="G411" s="21" t="str">
        <x:v>0.0.0</x:v>
      </x:c>
      <x:c r="H411" s="21" t="str">
        <x:v>Independent Evidence and Data Authority</x:v>
      </x:c>
      <x:c r="I411" s="21" t="str">
        <x:v>OPEN</x:v>
      </x:c>
      <x:c r="J411" s="21" t="str">
        <x:v>HOLD</x:v>
      </x:c>
      <x:c r="K411" s="23" t="str">
        <x:v>what process configuration and acceptance define serial output must be accepted before downstream release</x:v>
      </x:c>
    </x:row>
    <x:row r="412">
      <x:c r="B412" s="21" t="str">
        <x:v>BL-00406</x:v>
      </x:c>
      <x:c r="C412" s="21" t="str">
        <x:v>F15-I2</x:v>
      </x:c>
      <x:c r="D412" s="21" t="str">
        <x:v>F15</x:v>
      </x:c>
      <x:c r="E412" s="21" t="str">
        <x:v>B6</x:v>
      </x:c>
      <x:c r="F412" s="21" t="str">
        <x:v>Mobilization</x:v>
      </x:c>
      <x:c r="G412" s="21" t="str">
        <x:v>0.0.0</x:v>
      </x:c>
      <x:c r="H412" s="21" t="str">
        <x:v>Independent Evidence and Data Authority</x:v>
      </x:c>
      <x:c r="I412" s="21" t="str">
        <x:v>OPEN</x:v>
      </x:c>
      <x:c r="J412" s="21" t="str">
        <x:v>HOLD</x:v>
      </x:c>
      <x:c r="K412" s="23" t="str">
        <x:v>what people tools suppliers and routes reproduce conforming service must be accepted before downstream release</x:v>
      </x:c>
    </x:row>
    <x:row r="413">
      <x:c r="B413" s="21" t="str">
        <x:v>BL-00407</x:v>
      </x:c>
      <x:c r="C413" s="21" t="str">
        <x:v>F15-I3</x:v>
      </x:c>
      <x:c r="D413" s="21" t="str">
        <x:v>F15</x:v>
      </x:c>
      <x:c r="E413" s="21" t="str">
        <x:v>B0</x:v>
      </x:c>
      <x:c r="F413" s="21" t="str">
        <x:v>Effect</x:v>
      </x:c>
      <x:c r="G413" s="21" t="str">
        <x:v>0.0.0</x:v>
      </x:c>
      <x:c r="H413" s="21" t="str">
        <x:v>Independent Evidence and Data Authority</x:v>
      </x:c>
      <x:c r="I413" s="21" t="str">
        <x:v>OPEN</x:v>
      </x:c>
      <x:c r="J413" s="21" t="str">
        <x:v>HOLD</x:v>
      </x:c>
      <x:c r="K413" s="23" t="str">
        <x:v>what public condition must exist must be accepted before downstream release</x:v>
      </x:c>
    </x:row>
    <x:row r="414">
      <x:c r="B414" s="21" t="str">
        <x:v>BL-00408</x:v>
      </x:c>
      <x:c r="C414" s="21" t="str">
        <x:v>F15-I3</x:v>
      </x:c>
      <x:c r="D414" s="21" t="str">
        <x:v>F15</x:v>
      </x:c>
      <x:c r="E414" s="21" t="str">
        <x:v>B1</x:v>
      </x:c>
      <x:c r="F414" s="21" t="str">
        <x:v>Requirements</x:v>
      </x:c>
      <x:c r="G414" s="21" t="str">
        <x:v>0.0.0</x:v>
      </x:c>
      <x:c r="H414" s="21" t="str">
        <x:v>Independent Evidence and Data Authority</x:v>
      </x:c>
      <x:c r="I414" s="21" t="str">
        <x:v>OPEN</x:v>
      </x:c>
      <x:c r="J414" s="21" t="str">
        <x:v>HOLD</x:v>
      </x:c>
      <x:c r="K414" s="23" t="str">
        <x:v>what burdens and invalid states bound the effect must be accepted before downstream release</x:v>
      </x:c>
    </x:row>
    <x:row r="415">
      <x:c r="B415" s="21" t="str">
        <x:v>BL-00409</x:v>
      </x:c>
      <x:c r="C415" s="21" t="str">
        <x:v>F15-I3</x:v>
      </x:c>
      <x:c r="D415" s="21" t="str">
        <x:v>F15</x:v>
      </x:c>
      <x:c r="E415" s="21" t="str">
        <x:v>B2</x:v>
      </x:c>
      <x:c r="F415" s="21" t="str">
        <x:v>Architecture</x:v>
      </x:c>
      <x:c r="G415" s="21" t="str">
        <x:v>0.0.0</x:v>
      </x:c>
      <x:c r="H415" s="21" t="str">
        <x:v>Independent Evidence and Data Authority</x:v>
      </x:c>
      <x:c r="I415" s="21" t="str">
        <x:v>OPEN</x:v>
      </x:c>
      <x:c r="J415" s="21" t="str">
        <x:v>HOLD</x:v>
      </x:c>
      <x:c r="K415" s="23" t="str">
        <x:v>what interfaces and budgets govern the system must be accepted before downstream release</x:v>
      </x:c>
    </x:row>
    <x:row r="416">
      <x:c r="B416" s="21" t="str">
        <x:v>BL-00410</x:v>
      </x:c>
      <x:c r="C416" s="21" t="str">
        <x:v>F15-I3</x:v>
      </x:c>
      <x:c r="D416" s="21" t="str">
        <x:v>F15</x:v>
      </x:c>
      <x:c r="E416" s="21" t="str">
        <x:v>B3</x:v>
      </x:c>
      <x:c r="F416" s="21" t="str">
        <x:v>Build</x:v>
      </x:c>
      <x:c r="G416" s="21" t="str">
        <x:v>0.0.0</x:v>
      </x:c>
      <x:c r="H416" s="21" t="str">
        <x:v>Independent Evidence and Data Authority</x:v>
      </x:c>
      <x:c r="I416" s="21" t="str">
        <x:v>OPEN</x:v>
      </x:c>
      <x:c r="J416" s="21" t="str">
        <x:v>HOLD</x:v>
      </x:c>
      <x:c r="K416" s="23" t="str">
        <x:v>what exact configuration produced the article must be accepted before downstream release</x:v>
      </x:c>
    </x:row>
    <x:row r="417">
      <x:c r="B417" s="21" t="str">
        <x:v>BL-00411</x:v>
      </x:c>
      <x:c r="C417" s="21" t="str">
        <x:v>F15-I3</x:v>
      </x:c>
      <x:c r="D417" s="21" t="str">
        <x:v>F15</x:v>
      </x:c>
      <x:c r="E417" s="21" t="str">
        <x:v>B4</x:v>
      </x:c>
      <x:c r="F417" s="21" t="str">
        <x:v>Trial</x:v>
      </x:c>
      <x:c r="G417" s="21" t="str">
        <x:v>0.0.0</x:v>
      </x:c>
      <x:c r="H417" s="21" t="str">
        <x:v>Independent Evidence and Data Authority</x:v>
      </x:c>
      <x:c r="I417" s="21" t="str">
        <x:v>OPEN</x:v>
      </x:c>
      <x:c r="J417" s="21" t="str">
        <x:v>HOLD</x:v>
      </x:c>
      <x:c r="K417" s="23" t="str">
        <x:v>what configuration method and damage world produced evidence must be accepted before downstream release</x:v>
      </x:c>
    </x:row>
    <x:row r="418">
      <x:c r="B418" s="21" t="str">
        <x:v>BL-00412</x:v>
      </x:c>
      <x:c r="C418" s="21" t="str">
        <x:v>F15-I3</x:v>
      </x:c>
      <x:c r="D418" s="21" t="str">
        <x:v>F15</x:v>
      </x:c>
      <x:c r="E418" s="21" t="str">
        <x:v>B5</x:v>
      </x:c>
      <x:c r="F418" s="21" t="str">
        <x:v>Production</x:v>
      </x:c>
      <x:c r="G418" s="21" t="str">
        <x:v>0.0.0</x:v>
      </x:c>
      <x:c r="H418" s="21" t="str">
        <x:v>Independent Evidence and Data Authority</x:v>
      </x:c>
      <x:c r="I418" s="21" t="str">
        <x:v>OPEN</x:v>
      </x:c>
      <x:c r="J418" s="21" t="str">
        <x:v>HOLD</x:v>
      </x:c>
      <x:c r="K418" s="23" t="str">
        <x:v>what process configuration and acceptance define serial output must be accepted before downstream release</x:v>
      </x:c>
    </x:row>
    <x:row r="419">
      <x:c r="B419" s="21" t="str">
        <x:v>BL-00413</x:v>
      </x:c>
      <x:c r="C419" s="21" t="str">
        <x:v>F15-I3</x:v>
      </x:c>
      <x:c r="D419" s="21" t="str">
        <x:v>F15</x:v>
      </x:c>
      <x:c r="E419" s="21" t="str">
        <x:v>B6</x:v>
      </x:c>
      <x:c r="F419" s="21" t="str">
        <x:v>Mobilization</x:v>
      </x:c>
      <x:c r="G419" s="21" t="str">
        <x:v>0.0.0</x:v>
      </x:c>
      <x:c r="H419" s="21" t="str">
        <x:v>Independent Evidence and Data Authority</x:v>
      </x:c>
      <x:c r="I419" s="21" t="str">
        <x:v>OPEN</x:v>
      </x:c>
      <x:c r="J419" s="21" t="str">
        <x:v>HOLD</x:v>
      </x:c>
      <x:c r="K419" s="23" t="str">
        <x:v>what people tools suppliers and routes reproduce conforming service must be accepted before downstream release</x:v>
      </x:c>
    </x:row>
    <x:row r="420">
      <x:c r="B420" s="21" t="str">
        <x:v>BL-00414</x:v>
      </x:c>
      <x:c r="C420" s="21" t="str">
        <x:v>F15-I4</x:v>
      </x:c>
      <x:c r="D420" s="21" t="str">
        <x:v>F15</x:v>
      </x:c>
      <x:c r="E420" s="21" t="str">
        <x:v>B0</x:v>
      </x:c>
      <x:c r="F420" s="21" t="str">
        <x:v>Effect</x:v>
      </x:c>
      <x:c r="G420" s="21" t="str">
        <x:v>0.0.0</x:v>
      </x:c>
      <x:c r="H420" s="21" t="str">
        <x:v>Independent Evidence and Data Authority</x:v>
      </x:c>
      <x:c r="I420" s="21" t="str">
        <x:v>OPEN</x:v>
      </x:c>
      <x:c r="J420" s="21" t="str">
        <x:v>HOLD</x:v>
      </x:c>
      <x:c r="K420" s="23" t="str">
        <x:v>what public condition must exist must be accepted before downstream release</x:v>
      </x:c>
    </x:row>
    <x:row r="421">
      <x:c r="B421" s="21" t="str">
        <x:v>BL-00415</x:v>
      </x:c>
      <x:c r="C421" s="21" t="str">
        <x:v>F15-I4</x:v>
      </x:c>
      <x:c r="D421" s="21" t="str">
        <x:v>F15</x:v>
      </x:c>
      <x:c r="E421" s="21" t="str">
        <x:v>B1</x:v>
      </x:c>
      <x:c r="F421" s="21" t="str">
        <x:v>Requirements</x:v>
      </x:c>
      <x:c r="G421" s="21" t="str">
        <x:v>0.0.0</x:v>
      </x:c>
      <x:c r="H421" s="21" t="str">
        <x:v>Independent Evidence and Data Authority</x:v>
      </x:c>
      <x:c r="I421" s="21" t="str">
        <x:v>OPEN</x:v>
      </x:c>
      <x:c r="J421" s="21" t="str">
        <x:v>HOLD</x:v>
      </x:c>
      <x:c r="K421" s="23" t="str">
        <x:v>what burdens and invalid states bound the effect must be accepted before downstream release</x:v>
      </x:c>
    </x:row>
    <x:row r="422">
      <x:c r="B422" s="21" t="str">
        <x:v>BL-00416</x:v>
      </x:c>
      <x:c r="C422" s="21" t="str">
        <x:v>F15-I4</x:v>
      </x:c>
      <x:c r="D422" s="21" t="str">
        <x:v>F15</x:v>
      </x:c>
      <x:c r="E422" s="21" t="str">
        <x:v>B2</x:v>
      </x:c>
      <x:c r="F422" s="21" t="str">
        <x:v>Architecture</x:v>
      </x:c>
      <x:c r="G422" s="21" t="str">
        <x:v>0.0.0</x:v>
      </x:c>
      <x:c r="H422" s="21" t="str">
        <x:v>Independent Evidence and Data Authority</x:v>
      </x:c>
      <x:c r="I422" s="21" t="str">
        <x:v>OPEN</x:v>
      </x:c>
      <x:c r="J422" s="21" t="str">
        <x:v>HOLD</x:v>
      </x:c>
      <x:c r="K422" s="23" t="str">
        <x:v>what interfaces and budgets govern the system must be accepted before downstream release</x:v>
      </x:c>
    </x:row>
    <x:row r="423">
      <x:c r="B423" s="21" t="str">
        <x:v>BL-00417</x:v>
      </x:c>
      <x:c r="C423" s="21" t="str">
        <x:v>F15-I4</x:v>
      </x:c>
      <x:c r="D423" s="21" t="str">
        <x:v>F15</x:v>
      </x:c>
      <x:c r="E423" s="21" t="str">
        <x:v>B3</x:v>
      </x:c>
      <x:c r="F423" s="21" t="str">
        <x:v>Build</x:v>
      </x:c>
      <x:c r="G423" s="21" t="str">
        <x:v>0.0.0</x:v>
      </x:c>
      <x:c r="H423" s="21" t="str">
        <x:v>Independent Evidence and Data Authority</x:v>
      </x:c>
      <x:c r="I423" s="21" t="str">
        <x:v>OPEN</x:v>
      </x:c>
      <x:c r="J423" s="21" t="str">
        <x:v>HOLD</x:v>
      </x:c>
      <x:c r="K423" s="23" t="str">
        <x:v>what exact configuration produced the article must be accepted before downstream release</x:v>
      </x:c>
    </x:row>
    <x:row r="424">
      <x:c r="B424" s="21" t="str">
        <x:v>BL-00418</x:v>
      </x:c>
      <x:c r="C424" s="21" t="str">
        <x:v>F15-I4</x:v>
      </x:c>
      <x:c r="D424" s="21" t="str">
        <x:v>F15</x:v>
      </x:c>
      <x:c r="E424" s="21" t="str">
        <x:v>B4</x:v>
      </x:c>
      <x:c r="F424" s="21" t="str">
        <x:v>Trial</x:v>
      </x:c>
      <x:c r="G424" s="21" t="str">
        <x:v>0.0.0</x:v>
      </x:c>
      <x:c r="H424" s="21" t="str">
        <x:v>Independent Evidence and Data Authority</x:v>
      </x:c>
      <x:c r="I424" s="21" t="str">
        <x:v>OPEN</x:v>
      </x:c>
      <x:c r="J424" s="21" t="str">
        <x:v>HOLD</x:v>
      </x:c>
      <x:c r="K424" s="23" t="str">
        <x:v>what configuration method and damage world produced evidence must be accepted before downstream release</x:v>
      </x:c>
    </x:row>
    <x:row r="425">
      <x:c r="B425" s="21" t="str">
        <x:v>BL-00419</x:v>
      </x:c>
      <x:c r="C425" s="21" t="str">
        <x:v>F15-I4</x:v>
      </x:c>
      <x:c r="D425" s="21" t="str">
        <x:v>F15</x:v>
      </x:c>
      <x:c r="E425" s="21" t="str">
        <x:v>B5</x:v>
      </x:c>
      <x:c r="F425" s="21" t="str">
        <x:v>Production</x:v>
      </x:c>
      <x:c r="G425" s="21" t="str">
        <x:v>0.0.0</x:v>
      </x:c>
      <x:c r="H425" s="21" t="str">
        <x:v>Independent Evidence and Data Authority</x:v>
      </x:c>
      <x:c r="I425" s="21" t="str">
        <x:v>OPEN</x:v>
      </x:c>
      <x:c r="J425" s="21" t="str">
        <x:v>HOLD</x:v>
      </x:c>
      <x:c r="K425" s="23" t="str">
        <x:v>what process configuration and acceptance define serial output must be accepted before downstream release</x:v>
      </x:c>
    </x:row>
    <x:row r="426">
      <x:c r="B426" s="21" t="str">
        <x:v>BL-00420</x:v>
      </x:c>
      <x:c r="C426" s="21" t="str">
        <x:v>F15-I4</x:v>
      </x:c>
      <x:c r="D426" s="21" t="str">
        <x:v>F15</x:v>
      </x:c>
      <x:c r="E426" s="21" t="str">
        <x:v>B6</x:v>
      </x:c>
      <x:c r="F426" s="21" t="str">
        <x:v>Mobilization</x:v>
      </x:c>
      <x:c r="G426" s="21" t="str">
        <x:v>0.0.0</x:v>
      </x:c>
      <x:c r="H426" s="21" t="str">
        <x:v>Independent Evidence and Data Authority</x:v>
      </x:c>
      <x:c r="I426" s="21" t="str">
        <x:v>OPEN</x:v>
      </x:c>
      <x:c r="J426" s="21" t="str">
        <x:v>HOLD</x:v>
      </x:c>
      <x:c r="K426" s="23" t="str">
        <x:v>what people tools suppliers and routes reproduce conforming service must be accepted before downstream release</x:v>
      </x:c>
    </x:row>
    <x:row r="427">
      <x:c r="B427" s="21" t="str">
        <x:v>BL-00421</x:v>
      </x:c>
      <x:c r="C427" s="21" t="str">
        <x:v>F16-I1</x:v>
      </x:c>
      <x:c r="D427" s="21" t="str">
        <x:v>F16</x:v>
      </x:c>
      <x:c r="E427" s="21" t="str">
        <x:v>B0</x:v>
      </x:c>
      <x:c r="F427" s="21" t="str">
        <x:v>Effect</x:v>
      </x:c>
      <x:c r="G427" s="21" t="str">
        <x:v>0.0.0</x:v>
      </x:c>
      <x:c r="H427" s="21" t="str">
        <x:v>Independent Evidence and Data Authority</x:v>
      </x:c>
      <x:c r="I427" s="21" t="str">
        <x:v>OPEN</x:v>
      </x:c>
      <x:c r="J427" s="21" t="str">
        <x:v>HOLD</x:v>
      </x:c>
      <x:c r="K427" s="23" t="str">
        <x:v>what public condition must exist must be accepted before downstream release</x:v>
      </x:c>
    </x:row>
    <x:row r="428">
      <x:c r="B428" s="21" t="str">
        <x:v>BL-00422</x:v>
      </x:c>
      <x:c r="C428" s="21" t="str">
        <x:v>F16-I1</x:v>
      </x:c>
      <x:c r="D428" s="21" t="str">
        <x:v>F16</x:v>
      </x:c>
      <x:c r="E428" s="21" t="str">
        <x:v>B1</x:v>
      </x:c>
      <x:c r="F428" s="21" t="str">
        <x:v>Requirements</x:v>
      </x:c>
      <x:c r="G428" s="21" t="str">
        <x:v>0.0.0</x:v>
      </x:c>
      <x:c r="H428" s="21" t="str">
        <x:v>Independent Evidence and Data Authority</x:v>
      </x:c>
      <x:c r="I428" s="21" t="str">
        <x:v>OPEN</x:v>
      </x:c>
      <x:c r="J428" s="21" t="str">
        <x:v>HOLD</x:v>
      </x:c>
      <x:c r="K428" s="23" t="str">
        <x:v>what burdens and invalid states bound the effect must be accepted before downstream release</x:v>
      </x:c>
    </x:row>
    <x:row r="429">
      <x:c r="B429" s="21" t="str">
        <x:v>BL-00423</x:v>
      </x:c>
      <x:c r="C429" s="21" t="str">
        <x:v>F16-I1</x:v>
      </x:c>
      <x:c r="D429" s="21" t="str">
        <x:v>F16</x:v>
      </x:c>
      <x:c r="E429" s="21" t="str">
        <x:v>B2</x:v>
      </x:c>
      <x:c r="F429" s="21" t="str">
        <x:v>Architecture</x:v>
      </x:c>
      <x:c r="G429" s="21" t="str">
        <x:v>0.0.0</x:v>
      </x:c>
      <x:c r="H429" s="21" t="str">
        <x:v>Independent Evidence and Data Authority</x:v>
      </x:c>
      <x:c r="I429" s="21" t="str">
        <x:v>OPEN</x:v>
      </x:c>
      <x:c r="J429" s="21" t="str">
        <x:v>HOLD</x:v>
      </x:c>
      <x:c r="K429" s="23" t="str">
        <x:v>what interfaces and budgets govern the system must be accepted before downstream release</x:v>
      </x:c>
    </x:row>
    <x:row r="430">
      <x:c r="B430" s="21" t="str">
        <x:v>BL-00424</x:v>
      </x:c>
      <x:c r="C430" s="21" t="str">
        <x:v>F16-I1</x:v>
      </x:c>
      <x:c r="D430" s="21" t="str">
        <x:v>F16</x:v>
      </x:c>
      <x:c r="E430" s="21" t="str">
        <x:v>B3</x:v>
      </x:c>
      <x:c r="F430" s="21" t="str">
        <x:v>Build</x:v>
      </x:c>
      <x:c r="G430" s="21" t="str">
        <x:v>0.0.0</x:v>
      </x:c>
      <x:c r="H430" s="21" t="str">
        <x:v>Independent Evidence and Data Authority</x:v>
      </x:c>
      <x:c r="I430" s="21" t="str">
        <x:v>OPEN</x:v>
      </x:c>
      <x:c r="J430" s="21" t="str">
        <x:v>HOLD</x:v>
      </x:c>
      <x:c r="K430" s="23" t="str">
        <x:v>what exact configuration produced the article must be accepted before downstream release</x:v>
      </x:c>
    </x:row>
    <x:row r="431">
      <x:c r="B431" s="21" t="str">
        <x:v>BL-00425</x:v>
      </x:c>
      <x:c r="C431" s="21" t="str">
        <x:v>F16-I1</x:v>
      </x:c>
      <x:c r="D431" s="21" t="str">
        <x:v>F16</x:v>
      </x:c>
      <x:c r="E431" s="21" t="str">
        <x:v>B4</x:v>
      </x:c>
      <x:c r="F431" s="21" t="str">
        <x:v>Trial</x:v>
      </x:c>
      <x:c r="G431" s="21" t="str">
        <x:v>0.0.0</x:v>
      </x:c>
      <x:c r="H431" s="21" t="str">
        <x:v>Independent Evidence and Data Authority</x:v>
      </x:c>
      <x:c r="I431" s="21" t="str">
        <x:v>OPEN</x:v>
      </x:c>
      <x:c r="J431" s="21" t="str">
        <x:v>HOLD</x:v>
      </x:c>
      <x:c r="K431" s="23" t="str">
        <x:v>what configuration method and damage world produced evidence must be accepted before downstream release</x:v>
      </x:c>
    </x:row>
    <x:row r="432">
      <x:c r="B432" s="21" t="str">
        <x:v>BL-00426</x:v>
      </x:c>
      <x:c r="C432" s="21" t="str">
        <x:v>F16-I1</x:v>
      </x:c>
      <x:c r="D432" s="21" t="str">
        <x:v>F16</x:v>
      </x:c>
      <x:c r="E432" s="21" t="str">
        <x:v>B5</x:v>
      </x:c>
      <x:c r="F432" s="21" t="str">
        <x:v>Production</x:v>
      </x:c>
      <x:c r="G432" s="21" t="str">
        <x:v>0.0.0</x:v>
      </x:c>
      <x:c r="H432" s="21" t="str">
        <x:v>Independent Evidence and Data Authority</x:v>
      </x:c>
      <x:c r="I432" s="21" t="str">
        <x:v>OPEN</x:v>
      </x:c>
      <x:c r="J432" s="21" t="str">
        <x:v>HOLD</x:v>
      </x:c>
      <x:c r="K432" s="23" t="str">
        <x:v>what process configuration and acceptance define serial output must be accepted before downstream release</x:v>
      </x:c>
    </x:row>
    <x:row r="433">
      <x:c r="B433" s="21" t="str">
        <x:v>BL-00427</x:v>
      </x:c>
      <x:c r="C433" s="21" t="str">
        <x:v>F16-I1</x:v>
      </x:c>
      <x:c r="D433" s="21" t="str">
        <x:v>F16</x:v>
      </x:c>
      <x:c r="E433" s="21" t="str">
        <x:v>B6</x:v>
      </x:c>
      <x:c r="F433" s="21" t="str">
        <x:v>Mobilization</x:v>
      </x:c>
      <x:c r="G433" s="21" t="str">
        <x:v>0.0.0</x:v>
      </x:c>
      <x:c r="H433" s="21" t="str">
        <x:v>Independent Evidence and Data Authority</x:v>
      </x:c>
      <x:c r="I433" s="21" t="str">
        <x:v>OPEN</x:v>
      </x:c>
      <x:c r="J433" s="21" t="str">
        <x:v>HOLD</x:v>
      </x:c>
      <x:c r="K433" s="23" t="str">
        <x:v>what people tools suppliers and routes reproduce conforming service must be accepted before downstream release</x:v>
      </x:c>
    </x:row>
    <x:row r="434">
      <x:c r="B434" s="21" t="str">
        <x:v>BL-00428</x:v>
      </x:c>
      <x:c r="C434" s="21" t="str">
        <x:v>F16-I2</x:v>
      </x:c>
      <x:c r="D434" s="21" t="str">
        <x:v>F16</x:v>
      </x:c>
      <x:c r="E434" s="21" t="str">
        <x:v>B0</x:v>
      </x:c>
      <x:c r="F434" s="21" t="str">
        <x:v>Effect</x:v>
      </x:c>
      <x:c r="G434" s="21" t="str">
        <x:v>0.0.0</x:v>
      </x:c>
      <x:c r="H434" s="21" t="str">
        <x:v>Independent Evidence and Data Authority</x:v>
      </x:c>
      <x:c r="I434" s="21" t="str">
        <x:v>OPEN</x:v>
      </x:c>
      <x:c r="J434" s="21" t="str">
        <x:v>HOLD</x:v>
      </x:c>
      <x:c r="K434" s="23" t="str">
        <x:v>what public condition must exist must be accepted before downstream release</x:v>
      </x:c>
    </x:row>
    <x:row r="435">
      <x:c r="B435" s="21" t="str">
        <x:v>BL-00429</x:v>
      </x:c>
      <x:c r="C435" s="21" t="str">
        <x:v>F16-I2</x:v>
      </x:c>
      <x:c r="D435" s="21" t="str">
        <x:v>F16</x:v>
      </x:c>
      <x:c r="E435" s="21" t="str">
        <x:v>B1</x:v>
      </x:c>
      <x:c r="F435" s="21" t="str">
        <x:v>Requirements</x:v>
      </x:c>
      <x:c r="G435" s="21" t="str">
        <x:v>0.0.0</x:v>
      </x:c>
      <x:c r="H435" s="21" t="str">
        <x:v>Independent Evidence and Data Authority</x:v>
      </x:c>
      <x:c r="I435" s="21" t="str">
        <x:v>OPEN</x:v>
      </x:c>
      <x:c r="J435" s="21" t="str">
        <x:v>HOLD</x:v>
      </x:c>
      <x:c r="K435" s="23" t="str">
        <x:v>what burdens and invalid states bound the effect must be accepted before downstream release</x:v>
      </x:c>
    </x:row>
    <x:row r="436">
      <x:c r="B436" s="21" t="str">
        <x:v>BL-00430</x:v>
      </x:c>
      <x:c r="C436" s="21" t="str">
        <x:v>F16-I2</x:v>
      </x:c>
      <x:c r="D436" s="21" t="str">
        <x:v>F16</x:v>
      </x:c>
      <x:c r="E436" s="21" t="str">
        <x:v>B2</x:v>
      </x:c>
      <x:c r="F436" s="21" t="str">
        <x:v>Architecture</x:v>
      </x:c>
      <x:c r="G436" s="21" t="str">
        <x:v>0.0.0</x:v>
      </x:c>
      <x:c r="H436" s="21" t="str">
        <x:v>Independent Evidence and Data Authority</x:v>
      </x:c>
      <x:c r="I436" s="21" t="str">
        <x:v>OPEN</x:v>
      </x:c>
      <x:c r="J436" s="21" t="str">
        <x:v>HOLD</x:v>
      </x:c>
      <x:c r="K436" s="23" t="str">
        <x:v>what interfaces and budgets govern the system must be accepted before downstream release</x:v>
      </x:c>
    </x:row>
    <x:row r="437">
      <x:c r="B437" s="21" t="str">
        <x:v>BL-00431</x:v>
      </x:c>
      <x:c r="C437" s="21" t="str">
        <x:v>F16-I2</x:v>
      </x:c>
      <x:c r="D437" s="21" t="str">
        <x:v>F16</x:v>
      </x:c>
      <x:c r="E437" s="21" t="str">
        <x:v>B3</x:v>
      </x:c>
      <x:c r="F437" s="21" t="str">
        <x:v>Build</x:v>
      </x:c>
      <x:c r="G437" s="21" t="str">
        <x:v>0.0.0</x:v>
      </x:c>
      <x:c r="H437" s="21" t="str">
        <x:v>Independent Evidence and Data Authority</x:v>
      </x:c>
      <x:c r="I437" s="21" t="str">
        <x:v>OPEN</x:v>
      </x:c>
      <x:c r="J437" s="21" t="str">
        <x:v>HOLD</x:v>
      </x:c>
      <x:c r="K437" s="23" t="str">
        <x:v>what exact configuration produced the article must be accepted before downstream release</x:v>
      </x:c>
    </x:row>
    <x:row r="438">
      <x:c r="B438" s="21" t="str">
        <x:v>BL-00432</x:v>
      </x:c>
      <x:c r="C438" s="21" t="str">
        <x:v>F16-I2</x:v>
      </x:c>
      <x:c r="D438" s="21" t="str">
        <x:v>F16</x:v>
      </x:c>
      <x:c r="E438" s="21" t="str">
        <x:v>B4</x:v>
      </x:c>
      <x:c r="F438" s="21" t="str">
        <x:v>Trial</x:v>
      </x:c>
      <x:c r="G438" s="21" t="str">
        <x:v>0.0.0</x:v>
      </x:c>
      <x:c r="H438" s="21" t="str">
        <x:v>Independent Evidence and Data Authority</x:v>
      </x:c>
      <x:c r="I438" s="21" t="str">
        <x:v>OPEN</x:v>
      </x:c>
      <x:c r="J438" s="21" t="str">
        <x:v>HOLD</x:v>
      </x:c>
      <x:c r="K438" s="23" t="str">
        <x:v>what configuration method and damage world produced evidence must be accepted before downstream release</x:v>
      </x:c>
    </x:row>
    <x:row r="439">
      <x:c r="B439" s="21" t="str">
        <x:v>BL-00433</x:v>
      </x:c>
      <x:c r="C439" s="21" t="str">
        <x:v>F16-I2</x:v>
      </x:c>
      <x:c r="D439" s="21" t="str">
        <x:v>F16</x:v>
      </x:c>
      <x:c r="E439" s="21" t="str">
        <x:v>B5</x:v>
      </x:c>
      <x:c r="F439" s="21" t="str">
        <x:v>Production</x:v>
      </x:c>
      <x:c r="G439" s="21" t="str">
        <x:v>0.0.0</x:v>
      </x:c>
      <x:c r="H439" s="21" t="str">
        <x:v>Independent Evidence and Data Authority</x:v>
      </x:c>
      <x:c r="I439" s="21" t="str">
        <x:v>OPEN</x:v>
      </x:c>
      <x:c r="J439" s="21" t="str">
        <x:v>HOLD</x:v>
      </x:c>
      <x:c r="K439" s="23" t="str">
        <x:v>what process configuration and acceptance define serial output must be accepted before downstream release</x:v>
      </x:c>
    </x:row>
    <x:row r="440">
      <x:c r="B440" s="21" t="str">
        <x:v>BL-00434</x:v>
      </x:c>
      <x:c r="C440" s="21" t="str">
        <x:v>F16-I2</x:v>
      </x:c>
      <x:c r="D440" s="21" t="str">
        <x:v>F16</x:v>
      </x:c>
      <x:c r="E440" s="21" t="str">
        <x:v>B6</x:v>
      </x:c>
      <x:c r="F440" s="21" t="str">
        <x:v>Mobilization</x:v>
      </x:c>
      <x:c r="G440" s="21" t="str">
        <x:v>0.0.0</x:v>
      </x:c>
      <x:c r="H440" s="21" t="str">
        <x:v>Independent Evidence and Data Authority</x:v>
      </x:c>
      <x:c r="I440" s="21" t="str">
        <x:v>OPEN</x:v>
      </x:c>
      <x:c r="J440" s="21" t="str">
        <x:v>HOLD</x:v>
      </x:c>
      <x:c r="K440" s="23" t="str">
        <x:v>what people tools suppliers and routes reproduce conforming service must be accepted before downstream release</x:v>
      </x:c>
    </x:row>
    <x:row r="441">
      <x:c r="B441" s="21" t="str">
        <x:v>BL-00435</x:v>
      </x:c>
      <x:c r="C441" s="21" t="str">
        <x:v>F16-I3</x:v>
      </x:c>
      <x:c r="D441" s="21" t="str">
        <x:v>F16</x:v>
      </x:c>
      <x:c r="E441" s="21" t="str">
        <x:v>B0</x:v>
      </x:c>
      <x:c r="F441" s="21" t="str">
        <x:v>Effect</x:v>
      </x:c>
      <x:c r="G441" s="21" t="str">
        <x:v>0.0.0</x:v>
      </x:c>
      <x:c r="H441" s="21" t="str">
        <x:v>Independent Evidence and Data Authority</x:v>
      </x:c>
      <x:c r="I441" s="21" t="str">
        <x:v>OPEN</x:v>
      </x:c>
      <x:c r="J441" s="21" t="str">
        <x:v>HOLD</x:v>
      </x:c>
      <x:c r="K441" s="23" t="str">
        <x:v>what public condition must exist must be accepted before downstream release</x:v>
      </x:c>
    </x:row>
    <x:row r="442">
      <x:c r="B442" s="21" t="str">
        <x:v>BL-00436</x:v>
      </x:c>
      <x:c r="C442" s="21" t="str">
        <x:v>F16-I3</x:v>
      </x:c>
      <x:c r="D442" s="21" t="str">
        <x:v>F16</x:v>
      </x:c>
      <x:c r="E442" s="21" t="str">
        <x:v>B1</x:v>
      </x:c>
      <x:c r="F442" s="21" t="str">
        <x:v>Requirements</x:v>
      </x:c>
      <x:c r="G442" s="21" t="str">
        <x:v>0.0.0</x:v>
      </x:c>
      <x:c r="H442" s="21" t="str">
        <x:v>Independent Evidence and Data Authority</x:v>
      </x:c>
      <x:c r="I442" s="21" t="str">
        <x:v>OPEN</x:v>
      </x:c>
      <x:c r="J442" s="21" t="str">
        <x:v>HOLD</x:v>
      </x:c>
      <x:c r="K442" s="23" t="str">
        <x:v>what burdens and invalid states bound the effect must be accepted before downstream release</x:v>
      </x:c>
    </x:row>
    <x:row r="443">
      <x:c r="B443" s="21" t="str">
        <x:v>BL-00437</x:v>
      </x:c>
      <x:c r="C443" s="21" t="str">
        <x:v>F16-I3</x:v>
      </x:c>
      <x:c r="D443" s="21" t="str">
        <x:v>F16</x:v>
      </x:c>
      <x:c r="E443" s="21" t="str">
        <x:v>B2</x:v>
      </x:c>
      <x:c r="F443" s="21" t="str">
        <x:v>Architecture</x:v>
      </x:c>
      <x:c r="G443" s="21" t="str">
        <x:v>0.0.0</x:v>
      </x:c>
      <x:c r="H443" s="21" t="str">
        <x:v>Independent Evidence and Data Authority</x:v>
      </x:c>
      <x:c r="I443" s="21" t="str">
        <x:v>OPEN</x:v>
      </x:c>
      <x:c r="J443" s="21" t="str">
        <x:v>HOLD</x:v>
      </x:c>
      <x:c r="K443" s="23" t="str">
        <x:v>what interfaces and budgets govern the system must be accepted before downstream release</x:v>
      </x:c>
    </x:row>
    <x:row r="444">
      <x:c r="B444" s="21" t="str">
        <x:v>BL-00438</x:v>
      </x:c>
      <x:c r="C444" s="21" t="str">
        <x:v>F16-I3</x:v>
      </x:c>
      <x:c r="D444" s="21" t="str">
        <x:v>F16</x:v>
      </x:c>
      <x:c r="E444" s="21" t="str">
        <x:v>B3</x:v>
      </x:c>
      <x:c r="F444" s="21" t="str">
        <x:v>Build</x:v>
      </x:c>
      <x:c r="G444" s="21" t="str">
        <x:v>0.0.0</x:v>
      </x:c>
      <x:c r="H444" s="21" t="str">
        <x:v>Independent Evidence and Data Authority</x:v>
      </x:c>
      <x:c r="I444" s="21" t="str">
        <x:v>OPEN</x:v>
      </x:c>
      <x:c r="J444" s="21" t="str">
        <x:v>HOLD</x:v>
      </x:c>
      <x:c r="K444" s="23" t="str">
        <x:v>what exact configuration produced the article must be accepted before downstream release</x:v>
      </x:c>
    </x:row>
    <x:row r="445">
      <x:c r="B445" s="21" t="str">
        <x:v>BL-00439</x:v>
      </x:c>
      <x:c r="C445" s="21" t="str">
        <x:v>F16-I3</x:v>
      </x:c>
      <x:c r="D445" s="21" t="str">
        <x:v>F16</x:v>
      </x:c>
      <x:c r="E445" s="21" t="str">
        <x:v>B4</x:v>
      </x:c>
      <x:c r="F445" s="21" t="str">
        <x:v>Trial</x:v>
      </x:c>
      <x:c r="G445" s="21" t="str">
        <x:v>0.0.0</x:v>
      </x:c>
      <x:c r="H445" s="21" t="str">
        <x:v>Independent Evidence and Data Authority</x:v>
      </x:c>
      <x:c r="I445" s="21" t="str">
        <x:v>OPEN</x:v>
      </x:c>
      <x:c r="J445" s="21" t="str">
        <x:v>HOLD</x:v>
      </x:c>
      <x:c r="K445" s="23" t="str">
        <x:v>what configuration method and damage world produced evidence must be accepted before downstream release</x:v>
      </x:c>
    </x:row>
    <x:row r="446">
      <x:c r="B446" s="21" t="str">
        <x:v>BL-00440</x:v>
      </x:c>
      <x:c r="C446" s="21" t="str">
        <x:v>F16-I3</x:v>
      </x:c>
      <x:c r="D446" s="21" t="str">
        <x:v>F16</x:v>
      </x:c>
      <x:c r="E446" s="21" t="str">
        <x:v>B5</x:v>
      </x:c>
      <x:c r="F446" s="21" t="str">
        <x:v>Production</x:v>
      </x:c>
      <x:c r="G446" s="21" t="str">
        <x:v>0.0.0</x:v>
      </x:c>
      <x:c r="H446" s="21" t="str">
        <x:v>Independent Evidence and Data Authority</x:v>
      </x:c>
      <x:c r="I446" s="21" t="str">
        <x:v>OPEN</x:v>
      </x:c>
      <x:c r="J446" s="21" t="str">
        <x:v>HOLD</x:v>
      </x:c>
      <x:c r="K446" s="23" t="str">
        <x:v>what process configuration and acceptance define serial output must be accepted before downstream release</x:v>
      </x:c>
    </x:row>
    <x:row r="447">
      <x:c r="B447" s="21" t="str">
        <x:v>BL-00441</x:v>
      </x:c>
      <x:c r="C447" s="21" t="str">
        <x:v>F16-I3</x:v>
      </x:c>
      <x:c r="D447" s="21" t="str">
        <x:v>F16</x:v>
      </x:c>
      <x:c r="E447" s="21" t="str">
        <x:v>B6</x:v>
      </x:c>
      <x:c r="F447" s="21" t="str">
        <x:v>Mobilization</x:v>
      </x:c>
      <x:c r="G447" s="21" t="str">
        <x:v>0.0.0</x:v>
      </x:c>
      <x:c r="H447" s="21" t="str">
        <x:v>Independent Evidence and Data Authority</x:v>
      </x:c>
      <x:c r="I447" s="21" t="str">
        <x:v>OPEN</x:v>
      </x:c>
      <x:c r="J447" s="21" t="str">
        <x:v>HOLD</x:v>
      </x:c>
      <x:c r="K447" s="23" t="str">
        <x:v>what people tools suppliers and routes reproduce conforming service must be accepted before downstream release</x:v>
      </x:c>
    </x:row>
    <x:row r="448">
      <x:c r="B448" s="21" t="str">
        <x:v>BL-00442</x:v>
      </x:c>
      <x:c r="C448" s="21" t="str">
        <x:v>F16-I4</x:v>
      </x:c>
      <x:c r="D448" s="21" t="str">
        <x:v>F16</x:v>
      </x:c>
      <x:c r="E448" s="21" t="str">
        <x:v>B0</x:v>
      </x:c>
      <x:c r="F448" s="21" t="str">
        <x:v>Effect</x:v>
      </x:c>
      <x:c r="G448" s="21" t="str">
        <x:v>0.0.0</x:v>
      </x:c>
      <x:c r="H448" s="21" t="str">
        <x:v>Independent Evidence and Data Authority</x:v>
      </x:c>
      <x:c r="I448" s="21" t="str">
        <x:v>OPEN</x:v>
      </x:c>
      <x:c r="J448" s="21" t="str">
        <x:v>HOLD</x:v>
      </x:c>
      <x:c r="K448" s="23" t="str">
        <x:v>what public condition must exist must be accepted before downstream release</x:v>
      </x:c>
    </x:row>
    <x:row r="449">
      <x:c r="B449" s="21" t="str">
        <x:v>BL-00443</x:v>
      </x:c>
      <x:c r="C449" s="21" t="str">
        <x:v>F16-I4</x:v>
      </x:c>
      <x:c r="D449" s="21" t="str">
        <x:v>F16</x:v>
      </x:c>
      <x:c r="E449" s="21" t="str">
        <x:v>B1</x:v>
      </x:c>
      <x:c r="F449" s="21" t="str">
        <x:v>Requirements</x:v>
      </x:c>
      <x:c r="G449" s="21" t="str">
        <x:v>0.0.0</x:v>
      </x:c>
      <x:c r="H449" s="21" t="str">
        <x:v>Independent Evidence and Data Authority</x:v>
      </x:c>
      <x:c r="I449" s="21" t="str">
        <x:v>OPEN</x:v>
      </x:c>
      <x:c r="J449" s="21" t="str">
        <x:v>HOLD</x:v>
      </x:c>
      <x:c r="K449" s="23" t="str">
        <x:v>what burdens and invalid states bound the effect must be accepted before downstream release</x:v>
      </x:c>
    </x:row>
    <x:row r="450">
      <x:c r="B450" s="21" t="str">
        <x:v>BL-00444</x:v>
      </x:c>
      <x:c r="C450" s="21" t="str">
        <x:v>F16-I4</x:v>
      </x:c>
      <x:c r="D450" s="21" t="str">
        <x:v>F16</x:v>
      </x:c>
      <x:c r="E450" s="21" t="str">
        <x:v>B2</x:v>
      </x:c>
      <x:c r="F450" s="21" t="str">
        <x:v>Architecture</x:v>
      </x:c>
      <x:c r="G450" s="21" t="str">
        <x:v>0.0.0</x:v>
      </x:c>
      <x:c r="H450" s="21" t="str">
        <x:v>Independent Evidence and Data Authority</x:v>
      </x:c>
      <x:c r="I450" s="21" t="str">
        <x:v>OPEN</x:v>
      </x:c>
      <x:c r="J450" s="21" t="str">
        <x:v>HOLD</x:v>
      </x:c>
      <x:c r="K450" s="23" t="str">
        <x:v>what interfaces and budgets govern the system must be accepted before downstream release</x:v>
      </x:c>
    </x:row>
    <x:row r="451">
      <x:c r="B451" s="21" t="str">
        <x:v>BL-00445</x:v>
      </x:c>
      <x:c r="C451" s="21" t="str">
        <x:v>F16-I4</x:v>
      </x:c>
      <x:c r="D451" s="21" t="str">
        <x:v>F16</x:v>
      </x:c>
      <x:c r="E451" s="21" t="str">
        <x:v>B3</x:v>
      </x:c>
      <x:c r="F451" s="21" t="str">
        <x:v>Build</x:v>
      </x:c>
      <x:c r="G451" s="21" t="str">
        <x:v>0.0.0</x:v>
      </x:c>
      <x:c r="H451" s="21" t="str">
        <x:v>Independent Evidence and Data Authority</x:v>
      </x:c>
      <x:c r="I451" s="21" t="str">
        <x:v>OPEN</x:v>
      </x:c>
      <x:c r="J451" s="21" t="str">
        <x:v>HOLD</x:v>
      </x:c>
      <x:c r="K451" s="23" t="str">
        <x:v>what exact configuration produced the article must be accepted before downstream release</x:v>
      </x:c>
    </x:row>
    <x:row r="452">
      <x:c r="B452" s="21" t="str">
        <x:v>BL-00446</x:v>
      </x:c>
      <x:c r="C452" s="21" t="str">
        <x:v>F16-I4</x:v>
      </x:c>
      <x:c r="D452" s="21" t="str">
        <x:v>F16</x:v>
      </x:c>
      <x:c r="E452" s="21" t="str">
        <x:v>B4</x:v>
      </x:c>
      <x:c r="F452" s="21" t="str">
        <x:v>Trial</x:v>
      </x:c>
      <x:c r="G452" s="21" t="str">
        <x:v>0.0.0</x:v>
      </x:c>
      <x:c r="H452" s="21" t="str">
        <x:v>Independent Evidence and Data Authority</x:v>
      </x:c>
      <x:c r="I452" s="21" t="str">
        <x:v>OPEN</x:v>
      </x:c>
      <x:c r="J452" s="21" t="str">
        <x:v>HOLD</x:v>
      </x:c>
      <x:c r="K452" s="23" t="str">
        <x:v>what configuration method and damage world produced evidence must be accepted before downstream release</x:v>
      </x:c>
    </x:row>
    <x:row r="453">
      <x:c r="B453" s="21" t="str">
        <x:v>BL-00447</x:v>
      </x:c>
      <x:c r="C453" s="21" t="str">
        <x:v>F16-I4</x:v>
      </x:c>
      <x:c r="D453" s="21" t="str">
        <x:v>F16</x:v>
      </x:c>
      <x:c r="E453" s="21" t="str">
        <x:v>B5</x:v>
      </x:c>
      <x:c r="F453" s="21" t="str">
        <x:v>Production</x:v>
      </x:c>
      <x:c r="G453" s="21" t="str">
        <x:v>0.0.0</x:v>
      </x:c>
      <x:c r="H453" s="21" t="str">
        <x:v>Independent Evidence and Data Authority</x:v>
      </x:c>
      <x:c r="I453" s="21" t="str">
        <x:v>OPEN</x:v>
      </x:c>
      <x:c r="J453" s="21" t="str">
        <x:v>HOLD</x:v>
      </x:c>
      <x:c r="K453" s="23" t="str">
        <x:v>what process configuration and acceptance define serial output must be accepted before downstream release</x:v>
      </x:c>
    </x:row>
    <x:row r="454">
      <x:c r="B454" s="21" t="str">
        <x:v>BL-00448</x:v>
      </x:c>
      <x:c r="C454" s="21" t="str">
        <x:v>F16-I4</x:v>
      </x:c>
      <x:c r="D454" s="21" t="str">
        <x:v>F16</x:v>
      </x:c>
      <x:c r="E454" s="21" t="str">
        <x:v>B6</x:v>
      </x:c>
      <x:c r="F454" s="21" t="str">
        <x:v>Mobilization</x:v>
      </x:c>
      <x:c r="G454" s="21" t="str">
        <x:v>0.0.0</x:v>
      </x:c>
      <x:c r="H454" s="21" t="str">
        <x:v>Independent Evidence and Data Authority</x:v>
      </x:c>
      <x:c r="I454" s="21" t="str">
        <x:v>OPEN</x:v>
      </x:c>
      <x:c r="J454" s="21" t="str">
        <x:v>HOLD</x:v>
      </x:c>
      <x:c r="K454" s="23" t="str">
        <x:v>what people tools suppliers and routes reproduce conforming service must be accepted before downstream release</x:v>
      </x:c>
    </x:row>
    <x:row r="455">
      <x:c r="B455" s="21" t="str">
        <x:v>BL-00449</x:v>
      </x:c>
      <x:c r="C455" s="21" t="str">
        <x:v>F17-I1</x:v>
      </x:c>
      <x:c r="D455" s="21" t="str">
        <x:v>F17</x:v>
      </x:c>
      <x:c r="E455" s="21" t="str">
        <x:v>B0</x:v>
      </x:c>
      <x:c r="F455" s="21" t="str">
        <x:v>Effect</x:v>
      </x:c>
      <x:c r="G455" s="21" t="str">
        <x:v>0.0.0</x:v>
      </x:c>
      <x:c r="H455" s="21" t="str">
        <x:v>Independent Evidence and Data Authority</x:v>
      </x:c>
      <x:c r="I455" s="21" t="str">
        <x:v>OPEN</x:v>
      </x:c>
      <x:c r="J455" s="21" t="str">
        <x:v>HOLD</x:v>
      </x:c>
      <x:c r="K455" s="23" t="str">
        <x:v>what public condition must exist must be accepted before downstream release</x:v>
      </x:c>
    </x:row>
    <x:row r="456">
      <x:c r="B456" s="21" t="str">
        <x:v>BL-00450</x:v>
      </x:c>
      <x:c r="C456" s="21" t="str">
        <x:v>F17-I1</x:v>
      </x:c>
      <x:c r="D456" s="21" t="str">
        <x:v>F17</x:v>
      </x:c>
      <x:c r="E456" s="21" t="str">
        <x:v>B1</x:v>
      </x:c>
      <x:c r="F456" s="21" t="str">
        <x:v>Requirements</x:v>
      </x:c>
      <x:c r="G456" s="21" t="str">
        <x:v>0.0.0</x:v>
      </x:c>
      <x:c r="H456" s="21" t="str">
        <x:v>Independent Evidence and Data Authority</x:v>
      </x:c>
      <x:c r="I456" s="21" t="str">
        <x:v>OPEN</x:v>
      </x:c>
      <x:c r="J456" s="21" t="str">
        <x:v>HOLD</x:v>
      </x:c>
      <x:c r="K456" s="23" t="str">
        <x:v>what burdens and invalid states bound the effect must be accepted before downstream release</x:v>
      </x:c>
    </x:row>
    <x:row r="457">
      <x:c r="B457" s="21" t="str">
        <x:v>BL-00451</x:v>
      </x:c>
      <x:c r="C457" s="21" t="str">
        <x:v>F17-I1</x:v>
      </x:c>
      <x:c r="D457" s="21" t="str">
        <x:v>F17</x:v>
      </x:c>
      <x:c r="E457" s="21" t="str">
        <x:v>B2</x:v>
      </x:c>
      <x:c r="F457" s="21" t="str">
        <x:v>Architecture</x:v>
      </x:c>
      <x:c r="G457" s="21" t="str">
        <x:v>0.0.0</x:v>
      </x:c>
      <x:c r="H457" s="21" t="str">
        <x:v>Independent Evidence and Data Authority</x:v>
      </x:c>
      <x:c r="I457" s="21" t="str">
        <x:v>OPEN</x:v>
      </x:c>
      <x:c r="J457" s="21" t="str">
        <x:v>HOLD</x:v>
      </x:c>
      <x:c r="K457" s="23" t="str">
        <x:v>what interfaces and budgets govern the system must be accepted before downstream release</x:v>
      </x:c>
    </x:row>
    <x:row r="458">
      <x:c r="B458" s="21" t="str">
        <x:v>BL-00452</x:v>
      </x:c>
      <x:c r="C458" s="21" t="str">
        <x:v>F17-I1</x:v>
      </x:c>
      <x:c r="D458" s="21" t="str">
        <x:v>F17</x:v>
      </x:c>
      <x:c r="E458" s="21" t="str">
        <x:v>B3</x:v>
      </x:c>
      <x:c r="F458" s="21" t="str">
        <x:v>Build</x:v>
      </x:c>
      <x:c r="G458" s="21" t="str">
        <x:v>0.0.0</x:v>
      </x:c>
      <x:c r="H458" s="21" t="str">
        <x:v>Independent Evidence and Data Authority</x:v>
      </x:c>
      <x:c r="I458" s="21" t="str">
        <x:v>OPEN</x:v>
      </x:c>
      <x:c r="J458" s="21" t="str">
        <x:v>HOLD</x:v>
      </x:c>
      <x:c r="K458" s="23" t="str">
        <x:v>what exact configuration produced the article must be accepted before downstream release</x:v>
      </x:c>
    </x:row>
    <x:row r="459">
      <x:c r="B459" s="21" t="str">
        <x:v>BL-00453</x:v>
      </x:c>
      <x:c r="C459" s="21" t="str">
        <x:v>F17-I1</x:v>
      </x:c>
      <x:c r="D459" s="21" t="str">
        <x:v>F17</x:v>
      </x:c>
      <x:c r="E459" s="21" t="str">
        <x:v>B4</x:v>
      </x:c>
      <x:c r="F459" s="21" t="str">
        <x:v>Trial</x:v>
      </x:c>
      <x:c r="G459" s="21" t="str">
        <x:v>0.0.0</x:v>
      </x:c>
      <x:c r="H459" s="21" t="str">
        <x:v>Independent Evidence and Data Authority</x:v>
      </x:c>
      <x:c r="I459" s="21" t="str">
        <x:v>OPEN</x:v>
      </x:c>
      <x:c r="J459" s="21" t="str">
        <x:v>HOLD</x:v>
      </x:c>
      <x:c r="K459" s="23" t="str">
        <x:v>what configuration method and damage world produced evidence must be accepted before downstream release</x:v>
      </x:c>
    </x:row>
    <x:row r="460">
      <x:c r="B460" s="21" t="str">
        <x:v>BL-00454</x:v>
      </x:c>
      <x:c r="C460" s="21" t="str">
        <x:v>F17-I1</x:v>
      </x:c>
      <x:c r="D460" s="21" t="str">
        <x:v>F17</x:v>
      </x:c>
      <x:c r="E460" s="21" t="str">
        <x:v>B5</x:v>
      </x:c>
      <x:c r="F460" s="21" t="str">
        <x:v>Production</x:v>
      </x:c>
      <x:c r="G460" s="21" t="str">
        <x:v>0.0.0</x:v>
      </x:c>
      <x:c r="H460" s="21" t="str">
        <x:v>Independent Evidence and Data Authority</x:v>
      </x:c>
      <x:c r="I460" s="21" t="str">
        <x:v>OPEN</x:v>
      </x:c>
      <x:c r="J460" s="21" t="str">
        <x:v>HOLD</x:v>
      </x:c>
      <x:c r="K460" s="23" t="str">
        <x:v>what process configuration and acceptance define serial output must be accepted before downstream release</x:v>
      </x:c>
    </x:row>
    <x:row r="461">
      <x:c r="B461" s="21" t="str">
        <x:v>BL-00455</x:v>
      </x:c>
      <x:c r="C461" s="21" t="str">
        <x:v>F17-I1</x:v>
      </x:c>
      <x:c r="D461" s="21" t="str">
        <x:v>F17</x:v>
      </x:c>
      <x:c r="E461" s="21" t="str">
        <x:v>B6</x:v>
      </x:c>
      <x:c r="F461" s="21" t="str">
        <x:v>Mobilization</x:v>
      </x:c>
      <x:c r="G461" s="21" t="str">
        <x:v>0.0.0</x:v>
      </x:c>
      <x:c r="H461" s="21" t="str">
        <x:v>Independent Evidence and Data Authority</x:v>
      </x:c>
      <x:c r="I461" s="21" t="str">
        <x:v>OPEN</x:v>
      </x:c>
      <x:c r="J461" s="21" t="str">
        <x:v>HOLD</x:v>
      </x:c>
      <x:c r="K461" s="23" t="str">
        <x:v>what people tools suppliers and routes reproduce conforming service must be accepted before downstream release</x:v>
      </x:c>
    </x:row>
    <x:row r="462">
      <x:c r="B462" s="21" t="str">
        <x:v>BL-00456</x:v>
      </x:c>
      <x:c r="C462" s="21" t="str">
        <x:v>F17-I2</x:v>
      </x:c>
      <x:c r="D462" s="21" t="str">
        <x:v>F17</x:v>
      </x:c>
      <x:c r="E462" s="21" t="str">
        <x:v>B0</x:v>
      </x:c>
      <x:c r="F462" s="21" t="str">
        <x:v>Effect</x:v>
      </x:c>
      <x:c r="G462" s="21" t="str">
        <x:v>0.0.0</x:v>
      </x:c>
      <x:c r="H462" s="21" t="str">
        <x:v>Independent Evidence and Data Authority</x:v>
      </x:c>
      <x:c r="I462" s="21" t="str">
        <x:v>OPEN</x:v>
      </x:c>
      <x:c r="J462" s="21" t="str">
        <x:v>HOLD</x:v>
      </x:c>
      <x:c r="K462" s="23" t="str">
        <x:v>what public condition must exist must be accepted before downstream release</x:v>
      </x:c>
    </x:row>
    <x:row r="463">
      <x:c r="B463" s="21" t="str">
        <x:v>BL-00457</x:v>
      </x:c>
      <x:c r="C463" s="21" t="str">
        <x:v>F17-I2</x:v>
      </x:c>
      <x:c r="D463" s="21" t="str">
        <x:v>F17</x:v>
      </x:c>
      <x:c r="E463" s="21" t="str">
        <x:v>B1</x:v>
      </x:c>
      <x:c r="F463" s="21" t="str">
        <x:v>Requirements</x:v>
      </x:c>
      <x:c r="G463" s="21" t="str">
        <x:v>0.0.0</x:v>
      </x:c>
      <x:c r="H463" s="21" t="str">
        <x:v>Independent Evidence and Data Authority</x:v>
      </x:c>
      <x:c r="I463" s="21" t="str">
        <x:v>OPEN</x:v>
      </x:c>
      <x:c r="J463" s="21" t="str">
        <x:v>HOLD</x:v>
      </x:c>
      <x:c r="K463" s="23" t="str">
        <x:v>what burdens and invalid states bound the effect must be accepted before downstream release</x:v>
      </x:c>
    </x:row>
    <x:row r="464">
      <x:c r="B464" s="21" t="str">
        <x:v>BL-00458</x:v>
      </x:c>
      <x:c r="C464" s="21" t="str">
        <x:v>F17-I2</x:v>
      </x:c>
      <x:c r="D464" s="21" t="str">
        <x:v>F17</x:v>
      </x:c>
      <x:c r="E464" s="21" t="str">
        <x:v>B2</x:v>
      </x:c>
      <x:c r="F464" s="21" t="str">
        <x:v>Architecture</x:v>
      </x:c>
      <x:c r="G464" s="21" t="str">
        <x:v>0.0.0</x:v>
      </x:c>
      <x:c r="H464" s="21" t="str">
        <x:v>Independent Evidence and Data Authority</x:v>
      </x:c>
      <x:c r="I464" s="21" t="str">
        <x:v>OPEN</x:v>
      </x:c>
      <x:c r="J464" s="21" t="str">
        <x:v>HOLD</x:v>
      </x:c>
      <x:c r="K464" s="23" t="str">
        <x:v>what interfaces and budgets govern the system must be accepted before downstream release</x:v>
      </x:c>
    </x:row>
    <x:row r="465">
      <x:c r="B465" s="21" t="str">
        <x:v>BL-00459</x:v>
      </x:c>
      <x:c r="C465" s="21" t="str">
        <x:v>F17-I2</x:v>
      </x:c>
      <x:c r="D465" s="21" t="str">
        <x:v>F17</x:v>
      </x:c>
      <x:c r="E465" s="21" t="str">
        <x:v>B3</x:v>
      </x:c>
      <x:c r="F465" s="21" t="str">
        <x:v>Build</x:v>
      </x:c>
      <x:c r="G465" s="21" t="str">
        <x:v>0.0.0</x:v>
      </x:c>
      <x:c r="H465" s="21" t="str">
        <x:v>Independent Evidence and Data Authority</x:v>
      </x:c>
      <x:c r="I465" s="21" t="str">
        <x:v>OPEN</x:v>
      </x:c>
      <x:c r="J465" s="21" t="str">
        <x:v>HOLD</x:v>
      </x:c>
      <x:c r="K465" s="23" t="str">
        <x:v>what exact configuration produced the article must be accepted before downstream release</x:v>
      </x:c>
    </x:row>
    <x:row r="466">
      <x:c r="B466" s="21" t="str">
        <x:v>BL-00460</x:v>
      </x:c>
      <x:c r="C466" s="21" t="str">
        <x:v>F17-I2</x:v>
      </x:c>
      <x:c r="D466" s="21" t="str">
        <x:v>F17</x:v>
      </x:c>
      <x:c r="E466" s="21" t="str">
        <x:v>B4</x:v>
      </x:c>
      <x:c r="F466" s="21" t="str">
        <x:v>Trial</x:v>
      </x:c>
      <x:c r="G466" s="21" t="str">
        <x:v>0.0.0</x:v>
      </x:c>
      <x:c r="H466" s="21" t="str">
        <x:v>Independent Evidence and Data Authority</x:v>
      </x:c>
      <x:c r="I466" s="21" t="str">
        <x:v>OPEN</x:v>
      </x:c>
      <x:c r="J466" s="21" t="str">
        <x:v>HOLD</x:v>
      </x:c>
      <x:c r="K466" s="23" t="str">
        <x:v>what configuration method and damage world produced evidence must be accepted before downstream release</x:v>
      </x:c>
    </x:row>
    <x:row r="467">
      <x:c r="B467" s="21" t="str">
        <x:v>BL-00461</x:v>
      </x:c>
      <x:c r="C467" s="21" t="str">
        <x:v>F17-I2</x:v>
      </x:c>
      <x:c r="D467" s="21" t="str">
        <x:v>F17</x:v>
      </x:c>
      <x:c r="E467" s="21" t="str">
        <x:v>B5</x:v>
      </x:c>
      <x:c r="F467" s="21" t="str">
        <x:v>Production</x:v>
      </x:c>
      <x:c r="G467" s="21" t="str">
        <x:v>0.0.0</x:v>
      </x:c>
      <x:c r="H467" s="21" t="str">
        <x:v>Independent Evidence and Data Authority</x:v>
      </x:c>
      <x:c r="I467" s="21" t="str">
        <x:v>OPEN</x:v>
      </x:c>
      <x:c r="J467" s="21" t="str">
        <x:v>HOLD</x:v>
      </x:c>
      <x:c r="K467" s="23" t="str">
        <x:v>what process configuration and acceptance define serial output must be accepted before downstream release</x:v>
      </x:c>
    </x:row>
    <x:row r="468">
      <x:c r="B468" s="21" t="str">
        <x:v>BL-00462</x:v>
      </x:c>
      <x:c r="C468" s="21" t="str">
        <x:v>F17-I2</x:v>
      </x:c>
      <x:c r="D468" s="21" t="str">
        <x:v>F17</x:v>
      </x:c>
      <x:c r="E468" s="21" t="str">
        <x:v>B6</x:v>
      </x:c>
      <x:c r="F468" s="21" t="str">
        <x:v>Mobilization</x:v>
      </x:c>
      <x:c r="G468" s="21" t="str">
        <x:v>0.0.0</x:v>
      </x:c>
      <x:c r="H468" s="21" t="str">
        <x:v>Independent Evidence and Data Authority</x:v>
      </x:c>
      <x:c r="I468" s="21" t="str">
        <x:v>OPEN</x:v>
      </x:c>
      <x:c r="J468" s="21" t="str">
        <x:v>HOLD</x:v>
      </x:c>
      <x:c r="K468" s="23" t="str">
        <x:v>what people tools suppliers and routes reproduce conforming service must be accepted before downstream release</x:v>
      </x:c>
    </x:row>
    <x:row r="469">
      <x:c r="B469" s="21" t="str">
        <x:v>BL-00463</x:v>
      </x:c>
      <x:c r="C469" s="21" t="str">
        <x:v>F17-I3</x:v>
      </x:c>
      <x:c r="D469" s="21" t="str">
        <x:v>F17</x:v>
      </x:c>
      <x:c r="E469" s="21" t="str">
        <x:v>B0</x:v>
      </x:c>
      <x:c r="F469" s="21" t="str">
        <x:v>Effect</x:v>
      </x:c>
      <x:c r="G469" s="21" t="str">
        <x:v>0.0.0</x:v>
      </x:c>
      <x:c r="H469" s="21" t="str">
        <x:v>Independent Evidence and Data Authority</x:v>
      </x:c>
      <x:c r="I469" s="21" t="str">
        <x:v>OPEN</x:v>
      </x:c>
      <x:c r="J469" s="21" t="str">
        <x:v>HOLD</x:v>
      </x:c>
      <x:c r="K469" s="23" t="str">
        <x:v>what public condition must exist must be accepted before downstream release</x:v>
      </x:c>
    </x:row>
    <x:row r="470">
      <x:c r="B470" s="21" t="str">
        <x:v>BL-00464</x:v>
      </x:c>
      <x:c r="C470" s="21" t="str">
        <x:v>F17-I3</x:v>
      </x:c>
      <x:c r="D470" s="21" t="str">
        <x:v>F17</x:v>
      </x:c>
      <x:c r="E470" s="21" t="str">
        <x:v>B1</x:v>
      </x:c>
      <x:c r="F470" s="21" t="str">
        <x:v>Requirements</x:v>
      </x:c>
      <x:c r="G470" s="21" t="str">
        <x:v>0.0.0</x:v>
      </x:c>
      <x:c r="H470" s="21" t="str">
        <x:v>Independent Evidence and Data Authority</x:v>
      </x:c>
      <x:c r="I470" s="21" t="str">
        <x:v>OPEN</x:v>
      </x:c>
      <x:c r="J470" s="21" t="str">
        <x:v>HOLD</x:v>
      </x:c>
      <x:c r="K470" s="23" t="str">
        <x:v>what burdens and invalid states bound the effect must be accepted before downstream release</x:v>
      </x:c>
    </x:row>
    <x:row r="471">
      <x:c r="B471" s="21" t="str">
        <x:v>BL-00465</x:v>
      </x:c>
      <x:c r="C471" s="21" t="str">
        <x:v>F17-I3</x:v>
      </x:c>
      <x:c r="D471" s="21" t="str">
        <x:v>F17</x:v>
      </x:c>
      <x:c r="E471" s="21" t="str">
        <x:v>B2</x:v>
      </x:c>
      <x:c r="F471" s="21" t="str">
        <x:v>Architecture</x:v>
      </x:c>
      <x:c r="G471" s="21" t="str">
        <x:v>0.0.0</x:v>
      </x:c>
      <x:c r="H471" s="21" t="str">
        <x:v>Independent Evidence and Data Authority</x:v>
      </x:c>
      <x:c r="I471" s="21" t="str">
        <x:v>OPEN</x:v>
      </x:c>
      <x:c r="J471" s="21" t="str">
        <x:v>HOLD</x:v>
      </x:c>
      <x:c r="K471" s="23" t="str">
        <x:v>what interfaces and budgets govern the system must be accepted before downstream release</x:v>
      </x:c>
    </x:row>
    <x:row r="472">
      <x:c r="B472" s="21" t="str">
        <x:v>BL-00466</x:v>
      </x:c>
      <x:c r="C472" s="21" t="str">
        <x:v>F17-I3</x:v>
      </x:c>
      <x:c r="D472" s="21" t="str">
        <x:v>F17</x:v>
      </x:c>
      <x:c r="E472" s="21" t="str">
        <x:v>B3</x:v>
      </x:c>
      <x:c r="F472" s="21" t="str">
        <x:v>Build</x:v>
      </x:c>
      <x:c r="G472" s="21" t="str">
        <x:v>0.0.0</x:v>
      </x:c>
      <x:c r="H472" s="21" t="str">
        <x:v>Independent Evidence and Data Authority</x:v>
      </x:c>
      <x:c r="I472" s="21" t="str">
        <x:v>OPEN</x:v>
      </x:c>
      <x:c r="J472" s="21" t="str">
        <x:v>HOLD</x:v>
      </x:c>
      <x:c r="K472" s="23" t="str">
        <x:v>what exact configuration produced the article must be accepted before downstream release</x:v>
      </x:c>
    </x:row>
    <x:row r="473">
      <x:c r="B473" s="21" t="str">
        <x:v>BL-00467</x:v>
      </x:c>
      <x:c r="C473" s="21" t="str">
        <x:v>F17-I3</x:v>
      </x:c>
      <x:c r="D473" s="21" t="str">
        <x:v>F17</x:v>
      </x:c>
      <x:c r="E473" s="21" t="str">
        <x:v>B4</x:v>
      </x:c>
      <x:c r="F473" s="21" t="str">
        <x:v>Trial</x:v>
      </x:c>
      <x:c r="G473" s="21" t="str">
        <x:v>0.0.0</x:v>
      </x:c>
      <x:c r="H473" s="21" t="str">
        <x:v>Independent Evidence and Data Authority</x:v>
      </x:c>
      <x:c r="I473" s="21" t="str">
        <x:v>OPEN</x:v>
      </x:c>
      <x:c r="J473" s="21" t="str">
        <x:v>HOLD</x:v>
      </x:c>
      <x:c r="K473" s="23" t="str">
        <x:v>what configuration method and damage world produced evidence must be accepted before downstream release</x:v>
      </x:c>
    </x:row>
    <x:row r="474">
      <x:c r="B474" s="21" t="str">
        <x:v>BL-00468</x:v>
      </x:c>
      <x:c r="C474" s="21" t="str">
        <x:v>F17-I3</x:v>
      </x:c>
      <x:c r="D474" s="21" t="str">
        <x:v>F17</x:v>
      </x:c>
      <x:c r="E474" s="21" t="str">
        <x:v>B5</x:v>
      </x:c>
      <x:c r="F474" s="21" t="str">
        <x:v>Production</x:v>
      </x:c>
      <x:c r="G474" s="21" t="str">
        <x:v>0.0.0</x:v>
      </x:c>
      <x:c r="H474" s="21" t="str">
        <x:v>Independent Evidence and Data Authority</x:v>
      </x:c>
      <x:c r="I474" s="21" t="str">
        <x:v>OPEN</x:v>
      </x:c>
      <x:c r="J474" s="21" t="str">
        <x:v>HOLD</x:v>
      </x:c>
      <x:c r="K474" s="23" t="str">
        <x:v>what process configuration and acceptance define serial output must be accepted before downstream release</x:v>
      </x:c>
    </x:row>
    <x:row r="475">
      <x:c r="B475" s="21" t="str">
        <x:v>BL-00469</x:v>
      </x:c>
      <x:c r="C475" s="21" t="str">
        <x:v>F17-I3</x:v>
      </x:c>
      <x:c r="D475" s="21" t="str">
        <x:v>F17</x:v>
      </x:c>
      <x:c r="E475" s="21" t="str">
        <x:v>B6</x:v>
      </x:c>
      <x:c r="F475" s="21" t="str">
        <x:v>Mobilization</x:v>
      </x:c>
      <x:c r="G475" s="21" t="str">
        <x:v>0.0.0</x:v>
      </x:c>
      <x:c r="H475" s="21" t="str">
        <x:v>Independent Evidence and Data Authority</x:v>
      </x:c>
      <x:c r="I475" s="21" t="str">
        <x:v>OPEN</x:v>
      </x:c>
      <x:c r="J475" s="21" t="str">
        <x:v>HOLD</x:v>
      </x:c>
      <x:c r="K475" s="23" t="str">
        <x:v>what people tools suppliers and routes reproduce conforming service must be accepted before downstream release</x:v>
      </x:c>
    </x:row>
    <x:row r="476">
      <x:c r="B476" s="21" t="str">
        <x:v>BL-00470</x:v>
      </x:c>
      <x:c r="C476" s="21" t="str">
        <x:v>F17-I4</x:v>
      </x:c>
      <x:c r="D476" s="21" t="str">
        <x:v>F17</x:v>
      </x:c>
      <x:c r="E476" s="21" t="str">
        <x:v>B0</x:v>
      </x:c>
      <x:c r="F476" s="21" t="str">
        <x:v>Effect</x:v>
      </x:c>
      <x:c r="G476" s="21" t="str">
        <x:v>0.0.0</x:v>
      </x:c>
      <x:c r="H476" s="21" t="str">
        <x:v>Independent Evidence and Data Authority</x:v>
      </x:c>
      <x:c r="I476" s="21" t="str">
        <x:v>OPEN</x:v>
      </x:c>
      <x:c r="J476" s="21" t="str">
        <x:v>HOLD</x:v>
      </x:c>
      <x:c r="K476" s="23" t="str">
        <x:v>what public condition must exist must be accepted before downstream release</x:v>
      </x:c>
    </x:row>
    <x:row r="477">
      <x:c r="B477" s="21" t="str">
        <x:v>BL-00471</x:v>
      </x:c>
      <x:c r="C477" s="21" t="str">
        <x:v>F17-I4</x:v>
      </x:c>
      <x:c r="D477" s="21" t="str">
        <x:v>F17</x:v>
      </x:c>
      <x:c r="E477" s="21" t="str">
        <x:v>B1</x:v>
      </x:c>
      <x:c r="F477" s="21" t="str">
        <x:v>Requirements</x:v>
      </x:c>
      <x:c r="G477" s="21" t="str">
        <x:v>0.0.0</x:v>
      </x:c>
      <x:c r="H477" s="21" t="str">
        <x:v>Independent Evidence and Data Authority</x:v>
      </x:c>
      <x:c r="I477" s="21" t="str">
        <x:v>OPEN</x:v>
      </x:c>
      <x:c r="J477" s="21" t="str">
        <x:v>HOLD</x:v>
      </x:c>
      <x:c r="K477" s="23" t="str">
        <x:v>what burdens and invalid states bound the effect must be accepted before downstream release</x:v>
      </x:c>
    </x:row>
    <x:row r="478">
      <x:c r="B478" s="21" t="str">
        <x:v>BL-00472</x:v>
      </x:c>
      <x:c r="C478" s="21" t="str">
        <x:v>F17-I4</x:v>
      </x:c>
      <x:c r="D478" s="21" t="str">
        <x:v>F17</x:v>
      </x:c>
      <x:c r="E478" s="21" t="str">
        <x:v>B2</x:v>
      </x:c>
      <x:c r="F478" s="21" t="str">
        <x:v>Architecture</x:v>
      </x:c>
      <x:c r="G478" s="21" t="str">
        <x:v>0.0.0</x:v>
      </x:c>
      <x:c r="H478" s="21" t="str">
        <x:v>Independent Evidence and Data Authority</x:v>
      </x:c>
      <x:c r="I478" s="21" t="str">
        <x:v>OPEN</x:v>
      </x:c>
      <x:c r="J478" s="21" t="str">
        <x:v>HOLD</x:v>
      </x:c>
      <x:c r="K478" s="23" t="str">
        <x:v>what interfaces and budgets govern the system must be accepted before downstream release</x:v>
      </x:c>
    </x:row>
    <x:row r="479">
      <x:c r="B479" s="21" t="str">
        <x:v>BL-00473</x:v>
      </x:c>
      <x:c r="C479" s="21" t="str">
        <x:v>F17-I4</x:v>
      </x:c>
      <x:c r="D479" s="21" t="str">
        <x:v>F17</x:v>
      </x:c>
      <x:c r="E479" s="21" t="str">
        <x:v>B3</x:v>
      </x:c>
      <x:c r="F479" s="21" t="str">
        <x:v>Build</x:v>
      </x:c>
      <x:c r="G479" s="21" t="str">
        <x:v>0.0.0</x:v>
      </x:c>
      <x:c r="H479" s="21" t="str">
        <x:v>Independent Evidence and Data Authority</x:v>
      </x:c>
      <x:c r="I479" s="21" t="str">
        <x:v>OPEN</x:v>
      </x:c>
      <x:c r="J479" s="21" t="str">
        <x:v>HOLD</x:v>
      </x:c>
      <x:c r="K479" s="23" t="str">
        <x:v>what exact configuration produced the article must be accepted before downstream release</x:v>
      </x:c>
    </x:row>
    <x:row r="480">
      <x:c r="B480" s="21" t="str">
        <x:v>BL-00474</x:v>
      </x:c>
      <x:c r="C480" s="21" t="str">
        <x:v>F17-I4</x:v>
      </x:c>
      <x:c r="D480" s="21" t="str">
        <x:v>F17</x:v>
      </x:c>
      <x:c r="E480" s="21" t="str">
        <x:v>B4</x:v>
      </x:c>
      <x:c r="F480" s="21" t="str">
        <x:v>Trial</x:v>
      </x:c>
      <x:c r="G480" s="21" t="str">
        <x:v>0.0.0</x:v>
      </x:c>
      <x:c r="H480" s="21" t="str">
        <x:v>Independent Evidence and Data Authority</x:v>
      </x:c>
      <x:c r="I480" s="21" t="str">
        <x:v>OPEN</x:v>
      </x:c>
      <x:c r="J480" s="21" t="str">
        <x:v>HOLD</x:v>
      </x:c>
      <x:c r="K480" s="23" t="str">
        <x:v>what configuration method and damage world produced evidence must be accepted before downstream release</x:v>
      </x:c>
    </x:row>
    <x:row r="481">
      <x:c r="B481" s="21" t="str">
        <x:v>BL-00475</x:v>
      </x:c>
      <x:c r="C481" s="21" t="str">
        <x:v>F17-I4</x:v>
      </x:c>
      <x:c r="D481" s="21" t="str">
        <x:v>F17</x:v>
      </x:c>
      <x:c r="E481" s="21" t="str">
        <x:v>B5</x:v>
      </x:c>
      <x:c r="F481" s="21" t="str">
        <x:v>Production</x:v>
      </x:c>
      <x:c r="G481" s="21" t="str">
        <x:v>0.0.0</x:v>
      </x:c>
      <x:c r="H481" s="21" t="str">
        <x:v>Independent Evidence and Data Authority</x:v>
      </x:c>
      <x:c r="I481" s="21" t="str">
        <x:v>OPEN</x:v>
      </x:c>
      <x:c r="J481" s="21" t="str">
        <x:v>HOLD</x:v>
      </x:c>
      <x:c r="K481" s="23" t="str">
        <x:v>what process configuration and acceptance define serial output must be accepted before downstream release</x:v>
      </x:c>
    </x:row>
    <x:row r="482">
      <x:c r="B482" s="21" t="str">
        <x:v>BL-00476</x:v>
      </x:c>
      <x:c r="C482" s="21" t="str">
        <x:v>F17-I4</x:v>
      </x:c>
      <x:c r="D482" s="21" t="str">
        <x:v>F17</x:v>
      </x:c>
      <x:c r="E482" s="21" t="str">
        <x:v>B6</x:v>
      </x:c>
      <x:c r="F482" s="21" t="str">
        <x:v>Mobilization</x:v>
      </x:c>
      <x:c r="G482" s="21" t="str">
        <x:v>0.0.0</x:v>
      </x:c>
      <x:c r="H482" s="21" t="str">
        <x:v>Independent Evidence and Data Authority</x:v>
      </x:c>
      <x:c r="I482" s="21" t="str">
        <x:v>OPEN</x:v>
      </x:c>
      <x:c r="J482" s="21" t="str">
        <x:v>HOLD</x:v>
      </x:c>
      <x:c r="K482" s="23" t="str">
        <x:v>what people tools suppliers and routes reproduce conforming service must be accepted before downstream release</x:v>
      </x:c>
    </x:row>
    <x:row r="483">
      <x:c r="B483" s="21" t="str">
        <x:v>BL-00477</x:v>
      </x:c>
      <x:c r="C483" s="21" t="str">
        <x:v>F18-I1</x:v>
      </x:c>
      <x:c r="D483" s="21" t="str">
        <x:v>F18</x:v>
      </x:c>
      <x:c r="E483" s="21" t="str">
        <x:v>B0</x:v>
      </x:c>
      <x:c r="F483" s="21" t="str">
        <x:v>Effect</x:v>
      </x:c>
      <x:c r="G483" s="21" t="str">
        <x:v>0.0.0</x:v>
      </x:c>
      <x:c r="H483" s="21" t="str">
        <x:v>Independent Evidence and Data Authority</x:v>
      </x:c>
      <x:c r="I483" s="21" t="str">
        <x:v>OPEN</x:v>
      </x:c>
      <x:c r="J483" s="21" t="str">
        <x:v>HOLD</x:v>
      </x:c>
      <x:c r="K483" s="23" t="str">
        <x:v>what public condition must exist must be accepted before downstream release</x:v>
      </x:c>
    </x:row>
    <x:row r="484">
      <x:c r="B484" s="21" t="str">
        <x:v>BL-00478</x:v>
      </x:c>
      <x:c r="C484" s="21" t="str">
        <x:v>F18-I1</x:v>
      </x:c>
      <x:c r="D484" s="21" t="str">
        <x:v>F18</x:v>
      </x:c>
      <x:c r="E484" s="21" t="str">
        <x:v>B1</x:v>
      </x:c>
      <x:c r="F484" s="21" t="str">
        <x:v>Requirements</x:v>
      </x:c>
      <x:c r="G484" s="21" t="str">
        <x:v>0.0.0</x:v>
      </x:c>
      <x:c r="H484" s="21" t="str">
        <x:v>Independent Evidence and Data Authority</x:v>
      </x:c>
      <x:c r="I484" s="21" t="str">
        <x:v>OPEN</x:v>
      </x:c>
      <x:c r="J484" s="21" t="str">
        <x:v>HOLD</x:v>
      </x:c>
      <x:c r="K484" s="23" t="str">
        <x:v>what burdens and invalid states bound the effect must be accepted before downstream release</x:v>
      </x:c>
    </x:row>
    <x:row r="485">
      <x:c r="B485" s="21" t="str">
        <x:v>BL-00479</x:v>
      </x:c>
      <x:c r="C485" s="21" t="str">
        <x:v>F18-I1</x:v>
      </x:c>
      <x:c r="D485" s="21" t="str">
        <x:v>F18</x:v>
      </x:c>
      <x:c r="E485" s="21" t="str">
        <x:v>B2</x:v>
      </x:c>
      <x:c r="F485" s="21" t="str">
        <x:v>Architecture</x:v>
      </x:c>
      <x:c r="G485" s="21" t="str">
        <x:v>0.0.0</x:v>
      </x:c>
      <x:c r="H485" s="21" t="str">
        <x:v>Independent Evidence and Data Authority</x:v>
      </x:c>
      <x:c r="I485" s="21" t="str">
        <x:v>OPEN</x:v>
      </x:c>
      <x:c r="J485" s="21" t="str">
        <x:v>HOLD</x:v>
      </x:c>
      <x:c r="K485" s="23" t="str">
        <x:v>what interfaces and budgets govern the system must be accepted before downstream release</x:v>
      </x:c>
    </x:row>
    <x:row r="486">
      <x:c r="B486" s="21" t="str">
        <x:v>BL-00480</x:v>
      </x:c>
      <x:c r="C486" s="21" t="str">
        <x:v>F18-I1</x:v>
      </x:c>
      <x:c r="D486" s="21" t="str">
        <x:v>F18</x:v>
      </x:c>
      <x:c r="E486" s="21" t="str">
        <x:v>B3</x:v>
      </x:c>
      <x:c r="F486" s="21" t="str">
        <x:v>Build</x:v>
      </x:c>
      <x:c r="G486" s="21" t="str">
        <x:v>0.0.0</x:v>
      </x:c>
      <x:c r="H486" s="21" t="str">
        <x:v>Independent Evidence and Data Authority</x:v>
      </x:c>
      <x:c r="I486" s="21" t="str">
        <x:v>OPEN</x:v>
      </x:c>
      <x:c r="J486" s="21" t="str">
        <x:v>HOLD</x:v>
      </x:c>
      <x:c r="K486" s="23" t="str">
        <x:v>what exact configuration produced the article must be accepted before downstream release</x:v>
      </x:c>
    </x:row>
    <x:row r="487">
      <x:c r="B487" s="21" t="str">
        <x:v>BL-00481</x:v>
      </x:c>
      <x:c r="C487" s="21" t="str">
        <x:v>F18-I1</x:v>
      </x:c>
      <x:c r="D487" s="21" t="str">
        <x:v>F18</x:v>
      </x:c>
      <x:c r="E487" s="21" t="str">
        <x:v>B4</x:v>
      </x:c>
      <x:c r="F487" s="21" t="str">
        <x:v>Trial</x:v>
      </x:c>
      <x:c r="G487" s="21" t="str">
        <x:v>0.0.0</x:v>
      </x:c>
      <x:c r="H487" s="21" t="str">
        <x:v>Independent Evidence and Data Authority</x:v>
      </x:c>
      <x:c r="I487" s="21" t="str">
        <x:v>OPEN</x:v>
      </x:c>
      <x:c r="J487" s="21" t="str">
        <x:v>HOLD</x:v>
      </x:c>
      <x:c r="K487" s="23" t="str">
        <x:v>what configuration method and damage world produced evidence must be accepted before downstream release</x:v>
      </x:c>
    </x:row>
    <x:row r="488">
      <x:c r="B488" s="21" t="str">
        <x:v>BL-00482</x:v>
      </x:c>
      <x:c r="C488" s="21" t="str">
        <x:v>F18-I1</x:v>
      </x:c>
      <x:c r="D488" s="21" t="str">
        <x:v>F18</x:v>
      </x:c>
      <x:c r="E488" s="21" t="str">
        <x:v>B5</x:v>
      </x:c>
      <x:c r="F488" s="21" t="str">
        <x:v>Production</x:v>
      </x:c>
      <x:c r="G488" s="21" t="str">
        <x:v>0.0.0</x:v>
      </x:c>
      <x:c r="H488" s="21" t="str">
        <x:v>Independent Evidence and Data Authority</x:v>
      </x:c>
      <x:c r="I488" s="21" t="str">
        <x:v>OPEN</x:v>
      </x:c>
      <x:c r="J488" s="21" t="str">
        <x:v>HOLD</x:v>
      </x:c>
      <x:c r="K488" s="23" t="str">
        <x:v>what process configuration and acceptance define serial output must be accepted before downstream release</x:v>
      </x:c>
    </x:row>
    <x:row r="489">
      <x:c r="B489" s="21" t="str">
        <x:v>BL-00483</x:v>
      </x:c>
      <x:c r="C489" s="21" t="str">
        <x:v>F18-I1</x:v>
      </x:c>
      <x:c r="D489" s="21" t="str">
        <x:v>F18</x:v>
      </x:c>
      <x:c r="E489" s="21" t="str">
        <x:v>B6</x:v>
      </x:c>
      <x:c r="F489" s="21" t="str">
        <x:v>Mobilization</x:v>
      </x:c>
      <x:c r="G489" s="21" t="str">
        <x:v>0.0.0</x:v>
      </x:c>
      <x:c r="H489" s="21" t="str">
        <x:v>Independent Evidence and Data Authority</x:v>
      </x:c>
      <x:c r="I489" s="21" t="str">
        <x:v>OPEN</x:v>
      </x:c>
      <x:c r="J489" s="21" t="str">
        <x:v>HOLD</x:v>
      </x:c>
      <x:c r="K489" s="23" t="str">
        <x:v>what people tools suppliers and routes reproduce conforming service must be accepted before downstream release</x:v>
      </x:c>
    </x:row>
    <x:row r="490">
      <x:c r="B490" s="21" t="str">
        <x:v>BL-00484</x:v>
      </x:c>
      <x:c r="C490" s="21" t="str">
        <x:v>F18-I2</x:v>
      </x:c>
      <x:c r="D490" s="21" t="str">
        <x:v>F18</x:v>
      </x:c>
      <x:c r="E490" s="21" t="str">
        <x:v>B0</x:v>
      </x:c>
      <x:c r="F490" s="21" t="str">
        <x:v>Effect</x:v>
      </x:c>
      <x:c r="G490" s="21" t="str">
        <x:v>0.0.0</x:v>
      </x:c>
      <x:c r="H490" s="21" t="str">
        <x:v>Independent Evidence and Data Authority</x:v>
      </x:c>
      <x:c r="I490" s="21" t="str">
        <x:v>OPEN</x:v>
      </x:c>
      <x:c r="J490" s="21" t="str">
        <x:v>HOLD</x:v>
      </x:c>
      <x:c r="K490" s="23" t="str">
        <x:v>what public condition must exist must be accepted before downstream release</x:v>
      </x:c>
    </x:row>
    <x:row r="491">
      <x:c r="B491" s="21" t="str">
        <x:v>BL-00485</x:v>
      </x:c>
      <x:c r="C491" s="21" t="str">
        <x:v>F18-I2</x:v>
      </x:c>
      <x:c r="D491" s="21" t="str">
        <x:v>F18</x:v>
      </x:c>
      <x:c r="E491" s="21" t="str">
        <x:v>B1</x:v>
      </x:c>
      <x:c r="F491" s="21" t="str">
        <x:v>Requirements</x:v>
      </x:c>
      <x:c r="G491" s="21" t="str">
        <x:v>0.0.0</x:v>
      </x:c>
      <x:c r="H491" s="21" t="str">
        <x:v>Independent Evidence and Data Authority</x:v>
      </x:c>
      <x:c r="I491" s="21" t="str">
        <x:v>OPEN</x:v>
      </x:c>
      <x:c r="J491" s="21" t="str">
        <x:v>HOLD</x:v>
      </x:c>
      <x:c r="K491" s="23" t="str">
        <x:v>what burdens and invalid states bound the effect must be accepted before downstream release</x:v>
      </x:c>
    </x:row>
    <x:row r="492">
      <x:c r="B492" s="21" t="str">
        <x:v>BL-00486</x:v>
      </x:c>
      <x:c r="C492" s="21" t="str">
        <x:v>F18-I2</x:v>
      </x:c>
      <x:c r="D492" s="21" t="str">
        <x:v>F18</x:v>
      </x:c>
      <x:c r="E492" s="21" t="str">
        <x:v>B2</x:v>
      </x:c>
      <x:c r="F492" s="21" t="str">
        <x:v>Architecture</x:v>
      </x:c>
      <x:c r="G492" s="21" t="str">
        <x:v>0.0.0</x:v>
      </x:c>
      <x:c r="H492" s="21" t="str">
        <x:v>Independent Evidence and Data Authority</x:v>
      </x:c>
      <x:c r="I492" s="21" t="str">
        <x:v>OPEN</x:v>
      </x:c>
      <x:c r="J492" s="21" t="str">
        <x:v>HOLD</x:v>
      </x:c>
      <x:c r="K492" s="23" t="str">
        <x:v>what interfaces and budgets govern the system must be accepted before downstream release</x:v>
      </x:c>
    </x:row>
    <x:row r="493">
      <x:c r="B493" s="21" t="str">
        <x:v>BL-00487</x:v>
      </x:c>
      <x:c r="C493" s="21" t="str">
        <x:v>F18-I2</x:v>
      </x:c>
      <x:c r="D493" s="21" t="str">
        <x:v>F18</x:v>
      </x:c>
      <x:c r="E493" s="21" t="str">
        <x:v>B3</x:v>
      </x:c>
      <x:c r="F493" s="21" t="str">
        <x:v>Build</x:v>
      </x:c>
      <x:c r="G493" s="21" t="str">
        <x:v>0.0.0</x:v>
      </x:c>
      <x:c r="H493" s="21" t="str">
        <x:v>Independent Evidence and Data Authority</x:v>
      </x:c>
      <x:c r="I493" s="21" t="str">
        <x:v>OPEN</x:v>
      </x:c>
      <x:c r="J493" s="21" t="str">
        <x:v>HOLD</x:v>
      </x:c>
      <x:c r="K493" s="23" t="str">
        <x:v>what exact configuration produced the article must be accepted before downstream release</x:v>
      </x:c>
    </x:row>
    <x:row r="494">
      <x:c r="B494" s="21" t="str">
        <x:v>BL-00488</x:v>
      </x:c>
      <x:c r="C494" s="21" t="str">
        <x:v>F18-I2</x:v>
      </x:c>
      <x:c r="D494" s="21" t="str">
        <x:v>F18</x:v>
      </x:c>
      <x:c r="E494" s="21" t="str">
        <x:v>B4</x:v>
      </x:c>
      <x:c r="F494" s="21" t="str">
        <x:v>Trial</x:v>
      </x:c>
      <x:c r="G494" s="21" t="str">
        <x:v>0.0.0</x:v>
      </x:c>
      <x:c r="H494" s="21" t="str">
        <x:v>Independent Evidence and Data Authority</x:v>
      </x:c>
      <x:c r="I494" s="21" t="str">
        <x:v>OPEN</x:v>
      </x:c>
      <x:c r="J494" s="21" t="str">
        <x:v>HOLD</x:v>
      </x:c>
      <x:c r="K494" s="23" t="str">
        <x:v>what configuration method and damage world produced evidence must be accepted before downstream release</x:v>
      </x:c>
    </x:row>
    <x:row r="495">
      <x:c r="B495" s="21" t="str">
        <x:v>BL-00489</x:v>
      </x:c>
      <x:c r="C495" s="21" t="str">
        <x:v>F18-I2</x:v>
      </x:c>
      <x:c r="D495" s="21" t="str">
        <x:v>F18</x:v>
      </x:c>
      <x:c r="E495" s="21" t="str">
        <x:v>B5</x:v>
      </x:c>
      <x:c r="F495" s="21" t="str">
        <x:v>Production</x:v>
      </x:c>
      <x:c r="G495" s="21" t="str">
        <x:v>0.0.0</x:v>
      </x:c>
      <x:c r="H495" s="21" t="str">
        <x:v>Independent Evidence and Data Authority</x:v>
      </x:c>
      <x:c r="I495" s="21" t="str">
        <x:v>OPEN</x:v>
      </x:c>
      <x:c r="J495" s="21" t="str">
        <x:v>HOLD</x:v>
      </x:c>
      <x:c r="K495" s="23" t="str">
        <x:v>what process configuration and acceptance define serial output must be accepted before downstream release</x:v>
      </x:c>
    </x:row>
    <x:row r="496">
      <x:c r="B496" s="21" t="str">
        <x:v>BL-00490</x:v>
      </x:c>
      <x:c r="C496" s="21" t="str">
        <x:v>F18-I2</x:v>
      </x:c>
      <x:c r="D496" s="21" t="str">
        <x:v>F18</x:v>
      </x:c>
      <x:c r="E496" s="21" t="str">
        <x:v>B6</x:v>
      </x:c>
      <x:c r="F496" s="21" t="str">
        <x:v>Mobilization</x:v>
      </x:c>
      <x:c r="G496" s="21" t="str">
        <x:v>0.0.0</x:v>
      </x:c>
      <x:c r="H496" s="21" t="str">
        <x:v>Independent Evidence and Data Authority</x:v>
      </x:c>
      <x:c r="I496" s="21" t="str">
        <x:v>OPEN</x:v>
      </x:c>
      <x:c r="J496" s="21" t="str">
        <x:v>HOLD</x:v>
      </x:c>
      <x:c r="K496" s="23" t="str">
        <x:v>what people tools suppliers and routes reproduce conforming service must be accepted before downstream release</x:v>
      </x:c>
    </x:row>
    <x:row r="497">
      <x:c r="B497" s="21" t="str">
        <x:v>BL-00491</x:v>
      </x:c>
      <x:c r="C497" s="21" t="str">
        <x:v>F18-I3</x:v>
      </x:c>
      <x:c r="D497" s="21" t="str">
        <x:v>F18</x:v>
      </x:c>
      <x:c r="E497" s="21" t="str">
        <x:v>B0</x:v>
      </x:c>
      <x:c r="F497" s="21" t="str">
        <x:v>Effect</x:v>
      </x:c>
      <x:c r="G497" s="21" t="str">
        <x:v>0.0.0</x:v>
      </x:c>
      <x:c r="H497" s="21" t="str">
        <x:v>Independent Evidence and Data Authority</x:v>
      </x:c>
      <x:c r="I497" s="21" t="str">
        <x:v>OPEN</x:v>
      </x:c>
      <x:c r="J497" s="21" t="str">
        <x:v>HOLD</x:v>
      </x:c>
      <x:c r="K497" s="23" t="str">
        <x:v>what public condition must exist must be accepted before downstream release</x:v>
      </x:c>
    </x:row>
    <x:row r="498">
      <x:c r="B498" s="21" t="str">
        <x:v>BL-00492</x:v>
      </x:c>
      <x:c r="C498" s="21" t="str">
        <x:v>F18-I3</x:v>
      </x:c>
      <x:c r="D498" s="21" t="str">
        <x:v>F18</x:v>
      </x:c>
      <x:c r="E498" s="21" t="str">
        <x:v>B1</x:v>
      </x:c>
      <x:c r="F498" s="21" t="str">
        <x:v>Requirements</x:v>
      </x:c>
      <x:c r="G498" s="21" t="str">
        <x:v>0.0.0</x:v>
      </x:c>
      <x:c r="H498" s="21" t="str">
        <x:v>Independent Evidence and Data Authority</x:v>
      </x:c>
      <x:c r="I498" s="21" t="str">
        <x:v>OPEN</x:v>
      </x:c>
      <x:c r="J498" s="21" t="str">
        <x:v>HOLD</x:v>
      </x:c>
      <x:c r="K498" s="23" t="str">
        <x:v>what burdens and invalid states bound the effect must be accepted before downstream release</x:v>
      </x:c>
    </x:row>
    <x:row r="499">
      <x:c r="B499" s="21" t="str">
        <x:v>BL-00493</x:v>
      </x:c>
      <x:c r="C499" s="21" t="str">
        <x:v>F18-I3</x:v>
      </x:c>
      <x:c r="D499" s="21" t="str">
        <x:v>F18</x:v>
      </x:c>
      <x:c r="E499" s="21" t="str">
        <x:v>B2</x:v>
      </x:c>
      <x:c r="F499" s="21" t="str">
        <x:v>Architecture</x:v>
      </x:c>
      <x:c r="G499" s="21" t="str">
        <x:v>0.0.0</x:v>
      </x:c>
      <x:c r="H499" s="21" t="str">
        <x:v>Independent Evidence and Data Authority</x:v>
      </x:c>
      <x:c r="I499" s="21" t="str">
        <x:v>OPEN</x:v>
      </x:c>
      <x:c r="J499" s="21" t="str">
        <x:v>HOLD</x:v>
      </x:c>
      <x:c r="K499" s="23" t="str">
        <x:v>what interfaces and budgets govern the system must be accepted before downstream release</x:v>
      </x:c>
    </x:row>
    <x:row r="500">
      <x:c r="B500" s="21" t="str">
        <x:v>BL-00494</x:v>
      </x:c>
      <x:c r="C500" s="21" t="str">
        <x:v>F18-I3</x:v>
      </x:c>
      <x:c r="D500" s="21" t="str">
        <x:v>F18</x:v>
      </x:c>
      <x:c r="E500" s="21" t="str">
        <x:v>B3</x:v>
      </x:c>
      <x:c r="F500" s="21" t="str">
        <x:v>Build</x:v>
      </x:c>
      <x:c r="G500" s="21" t="str">
        <x:v>0.0.0</x:v>
      </x:c>
      <x:c r="H500" s="21" t="str">
        <x:v>Independent Evidence and Data Authority</x:v>
      </x:c>
      <x:c r="I500" s="21" t="str">
        <x:v>OPEN</x:v>
      </x:c>
      <x:c r="J500" s="21" t="str">
        <x:v>HOLD</x:v>
      </x:c>
      <x:c r="K500" s="23" t="str">
        <x:v>what exact configuration produced the article must be accepted before downstream release</x:v>
      </x:c>
    </x:row>
    <x:row r="501">
      <x:c r="B501" s="21" t="str">
        <x:v>BL-00495</x:v>
      </x:c>
      <x:c r="C501" s="21" t="str">
        <x:v>F18-I3</x:v>
      </x:c>
      <x:c r="D501" s="21" t="str">
        <x:v>F18</x:v>
      </x:c>
      <x:c r="E501" s="21" t="str">
        <x:v>B4</x:v>
      </x:c>
      <x:c r="F501" s="21" t="str">
        <x:v>Trial</x:v>
      </x:c>
      <x:c r="G501" s="21" t="str">
        <x:v>0.0.0</x:v>
      </x:c>
      <x:c r="H501" s="21" t="str">
        <x:v>Independent Evidence and Data Authority</x:v>
      </x:c>
      <x:c r="I501" s="21" t="str">
        <x:v>OPEN</x:v>
      </x:c>
      <x:c r="J501" s="21" t="str">
        <x:v>HOLD</x:v>
      </x:c>
      <x:c r="K501" s="23" t="str">
        <x:v>what configuration method and damage world produced evidence must be accepted before downstream release</x:v>
      </x:c>
    </x:row>
    <x:row r="502">
      <x:c r="B502" s="21" t="str">
        <x:v>BL-00496</x:v>
      </x:c>
      <x:c r="C502" s="21" t="str">
        <x:v>F18-I3</x:v>
      </x:c>
      <x:c r="D502" s="21" t="str">
        <x:v>F18</x:v>
      </x:c>
      <x:c r="E502" s="21" t="str">
        <x:v>B5</x:v>
      </x:c>
      <x:c r="F502" s="21" t="str">
        <x:v>Production</x:v>
      </x:c>
      <x:c r="G502" s="21" t="str">
        <x:v>0.0.0</x:v>
      </x:c>
      <x:c r="H502" s="21" t="str">
        <x:v>Independent Evidence and Data Authority</x:v>
      </x:c>
      <x:c r="I502" s="21" t="str">
        <x:v>OPEN</x:v>
      </x:c>
      <x:c r="J502" s="21" t="str">
        <x:v>HOLD</x:v>
      </x:c>
      <x:c r="K502" s="23" t="str">
        <x:v>what process configuration and acceptance define serial output must be accepted before downstream release</x:v>
      </x:c>
    </x:row>
    <x:row r="503">
      <x:c r="B503" s="21" t="str">
        <x:v>BL-00497</x:v>
      </x:c>
      <x:c r="C503" s="21" t="str">
        <x:v>F18-I3</x:v>
      </x:c>
      <x:c r="D503" s="21" t="str">
        <x:v>F18</x:v>
      </x:c>
      <x:c r="E503" s="21" t="str">
        <x:v>B6</x:v>
      </x:c>
      <x:c r="F503" s="21" t="str">
        <x:v>Mobilization</x:v>
      </x:c>
      <x:c r="G503" s="21" t="str">
        <x:v>0.0.0</x:v>
      </x:c>
      <x:c r="H503" s="21" t="str">
        <x:v>Independent Evidence and Data Authority</x:v>
      </x:c>
      <x:c r="I503" s="21" t="str">
        <x:v>OPEN</x:v>
      </x:c>
      <x:c r="J503" s="21" t="str">
        <x:v>HOLD</x:v>
      </x:c>
      <x:c r="K503" s="23" t="str">
        <x:v>what people tools suppliers and routes reproduce conforming service must be accepted before downstream release</x:v>
      </x:c>
    </x:row>
    <x:row r="504">
      <x:c r="B504" s="21" t="str">
        <x:v>BL-00498</x:v>
      </x:c>
      <x:c r="C504" s="21" t="str">
        <x:v>F18-I4</x:v>
      </x:c>
      <x:c r="D504" s="21" t="str">
        <x:v>F18</x:v>
      </x:c>
      <x:c r="E504" s="21" t="str">
        <x:v>B0</x:v>
      </x:c>
      <x:c r="F504" s="21" t="str">
        <x:v>Effect</x:v>
      </x:c>
      <x:c r="G504" s="21" t="str">
        <x:v>0.0.0</x:v>
      </x:c>
      <x:c r="H504" s="21" t="str">
        <x:v>Independent Evidence and Data Authority</x:v>
      </x:c>
      <x:c r="I504" s="21" t="str">
        <x:v>OPEN</x:v>
      </x:c>
      <x:c r="J504" s="21" t="str">
        <x:v>HOLD</x:v>
      </x:c>
      <x:c r="K504" s="23" t="str">
        <x:v>what public condition must exist must be accepted before downstream release</x:v>
      </x:c>
    </x:row>
    <x:row r="505">
      <x:c r="B505" s="21" t="str">
        <x:v>BL-00499</x:v>
      </x:c>
      <x:c r="C505" s="21" t="str">
        <x:v>F18-I4</x:v>
      </x:c>
      <x:c r="D505" s="21" t="str">
        <x:v>F18</x:v>
      </x:c>
      <x:c r="E505" s="21" t="str">
        <x:v>B1</x:v>
      </x:c>
      <x:c r="F505" s="21" t="str">
        <x:v>Requirements</x:v>
      </x:c>
      <x:c r="G505" s="21" t="str">
        <x:v>0.0.0</x:v>
      </x:c>
      <x:c r="H505" s="21" t="str">
        <x:v>Independent Evidence and Data Authority</x:v>
      </x:c>
      <x:c r="I505" s="21" t="str">
        <x:v>OPEN</x:v>
      </x:c>
      <x:c r="J505" s="21" t="str">
        <x:v>HOLD</x:v>
      </x:c>
      <x:c r="K505" s="23" t="str">
        <x:v>what burdens and invalid states bound the effect must be accepted before downstream release</x:v>
      </x:c>
    </x:row>
    <x:row r="506">
      <x:c r="B506" s="21" t="str">
        <x:v>BL-00500</x:v>
      </x:c>
      <x:c r="C506" s="21" t="str">
        <x:v>F18-I4</x:v>
      </x:c>
      <x:c r="D506" s="21" t="str">
        <x:v>F18</x:v>
      </x:c>
      <x:c r="E506" s="21" t="str">
        <x:v>B2</x:v>
      </x:c>
      <x:c r="F506" s="21" t="str">
        <x:v>Architecture</x:v>
      </x:c>
      <x:c r="G506" s="21" t="str">
        <x:v>0.0.0</x:v>
      </x:c>
      <x:c r="H506" s="21" t="str">
        <x:v>Independent Evidence and Data Authority</x:v>
      </x:c>
      <x:c r="I506" s="21" t="str">
        <x:v>OPEN</x:v>
      </x:c>
      <x:c r="J506" s="21" t="str">
        <x:v>HOLD</x:v>
      </x:c>
      <x:c r="K506" s="23" t="str">
        <x:v>what interfaces and budgets govern the system must be accepted before downstream release</x:v>
      </x:c>
    </x:row>
    <x:row r="507">
      <x:c r="B507" s="21" t="str">
        <x:v>BL-00501</x:v>
      </x:c>
      <x:c r="C507" s="21" t="str">
        <x:v>F18-I4</x:v>
      </x:c>
      <x:c r="D507" s="21" t="str">
        <x:v>F18</x:v>
      </x:c>
      <x:c r="E507" s="21" t="str">
        <x:v>B3</x:v>
      </x:c>
      <x:c r="F507" s="21" t="str">
        <x:v>Build</x:v>
      </x:c>
      <x:c r="G507" s="21" t="str">
        <x:v>0.0.0</x:v>
      </x:c>
      <x:c r="H507" s="21" t="str">
        <x:v>Independent Evidence and Data Authority</x:v>
      </x:c>
      <x:c r="I507" s="21" t="str">
        <x:v>OPEN</x:v>
      </x:c>
      <x:c r="J507" s="21" t="str">
        <x:v>HOLD</x:v>
      </x:c>
      <x:c r="K507" s="23" t="str">
        <x:v>what exact configuration produced the article must be accepted before downstream release</x:v>
      </x:c>
    </x:row>
    <x:row r="508">
      <x:c r="B508" s="21" t="str">
        <x:v>BL-00502</x:v>
      </x:c>
      <x:c r="C508" s="21" t="str">
        <x:v>F18-I4</x:v>
      </x:c>
      <x:c r="D508" s="21" t="str">
        <x:v>F18</x:v>
      </x:c>
      <x:c r="E508" s="21" t="str">
        <x:v>B4</x:v>
      </x:c>
      <x:c r="F508" s="21" t="str">
        <x:v>Trial</x:v>
      </x:c>
      <x:c r="G508" s="21" t="str">
        <x:v>0.0.0</x:v>
      </x:c>
      <x:c r="H508" s="21" t="str">
        <x:v>Independent Evidence and Data Authority</x:v>
      </x:c>
      <x:c r="I508" s="21" t="str">
        <x:v>OPEN</x:v>
      </x:c>
      <x:c r="J508" s="21" t="str">
        <x:v>HOLD</x:v>
      </x:c>
      <x:c r="K508" s="23" t="str">
        <x:v>what configuration method and damage world produced evidence must be accepted before downstream release</x:v>
      </x:c>
    </x:row>
    <x:row r="509">
      <x:c r="B509" s="21" t="str">
        <x:v>BL-00503</x:v>
      </x:c>
      <x:c r="C509" s="21" t="str">
        <x:v>F18-I4</x:v>
      </x:c>
      <x:c r="D509" s="21" t="str">
        <x:v>F18</x:v>
      </x:c>
      <x:c r="E509" s="21" t="str">
        <x:v>B5</x:v>
      </x:c>
      <x:c r="F509" s="21" t="str">
        <x:v>Production</x:v>
      </x:c>
      <x:c r="G509" s="21" t="str">
        <x:v>0.0.0</x:v>
      </x:c>
      <x:c r="H509" s="21" t="str">
        <x:v>Independent Evidence and Data Authority</x:v>
      </x:c>
      <x:c r="I509" s="21" t="str">
        <x:v>OPEN</x:v>
      </x:c>
      <x:c r="J509" s="21" t="str">
        <x:v>HOLD</x:v>
      </x:c>
      <x:c r="K509" s="23" t="str">
        <x:v>what process configuration and acceptance define serial output must be accepted before downstream release</x:v>
      </x:c>
    </x:row>
    <x:row r="510">
      <x:c r="B510" s="21" t="str">
        <x:v>BL-00504</x:v>
      </x:c>
      <x:c r="C510" s="21" t="str">
        <x:v>F18-I4</x:v>
      </x:c>
      <x:c r="D510" s="21" t="str">
        <x:v>F18</x:v>
      </x:c>
      <x:c r="E510" s="21" t="str">
        <x:v>B6</x:v>
      </x:c>
      <x:c r="F510" s="21" t="str">
        <x:v>Mobilization</x:v>
      </x:c>
      <x:c r="G510" s="21" t="str">
        <x:v>0.0.0</x:v>
      </x:c>
      <x:c r="H510" s="21" t="str">
        <x:v>Independent Evidence and Data Authority</x:v>
      </x:c>
      <x:c r="I510" s="21" t="str">
        <x:v>OPEN</x:v>
      </x:c>
      <x:c r="J510" s="21" t="str">
        <x:v>HOLD</x:v>
      </x:c>
      <x:c r="K510" s="23" t="str">
        <x:v>what people tools suppliers and routes reproduce conforming service must be accepted before downstream release</x:v>
      </x:c>
    </x:row>
    <x:row r="511">
      <x:c r="B511" s="21" t="str">
        <x:v>BL-00505</x:v>
      </x:c>
      <x:c r="C511" s="21" t="str">
        <x:v>F19-I1</x:v>
      </x:c>
      <x:c r="D511" s="21" t="str">
        <x:v>F19</x:v>
      </x:c>
      <x:c r="E511" s="21" t="str">
        <x:v>B0</x:v>
      </x:c>
      <x:c r="F511" s="21" t="str">
        <x:v>Effect</x:v>
      </x:c>
      <x:c r="G511" s="21" t="str">
        <x:v>0.0.0</x:v>
      </x:c>
      <x:c r="H511" s="21" t="str">
        <x:v>Independent Evidence and Data Authority</x:v>
      </x:c>
      <x:c r="I511" s="21" t="str">
        <x:v>OPEN</x:v>
      </x:c>
      <x:c r="J511" s="21" t="str">
        <x:v>HOLD</x:v>
      </x:c>
      <x:c r="K511" s="23" t="str">
        <x:v>what public condition must exist must be accepted before downstream release</x:v>
      </x:c>
    </x:row>
    <x:row r="512">
      <x:c r="B512" s="21" t="str">
        <x:v>BL-00506</x:v>
      </x:c>
      <x:c r="C512" s="21" t="str">
        <x:v>F19-I1</x:v>
      </x:c>
      <x:c r="D512" s="21" t="str">
        <x:v>F19</x:v>
      </x:c>
      <x:c r="E512" s="21" t="str">
        <x:v>B1</x:v>
      </x:c>
      <x:c r="F512" s="21" t="str">
        <x:v>Requirements</x:v>
      </x:c>
      <x:c r="G512" s="21" t="str">
        <x:v>0.0.0</x:v>
      </x:c>
      <x:c r="H512" s="21" t="str">
        <x:v>Independent Evidence and Data Authority</x:v>
      </x:c>
      <x:c r="I512" s="21" t="str">
        <x:v>OPEN</x:v>
      </x:c>
      <x:c r="J512" s="21" t="str">
        <x:v>HOLD</x:v>
      </x:c>
      <x:c r="K512" s="23" t="str">
        <x:v>what burdens and invalid states bound the effect must be accepted before downstream release</x:v>
      </x:c>
    </x:row>
    <x:row r="513">
      <x:c r="B513" s="21" t="str">
        <x:v>BL-00507</x:v>
      </x:c>
      <x:c r="C513" s="21" t="str">
        <x:v>F19-I1</x:v>
      </x:c>
      <x:c r="D513" s="21" t="str">
        <x:v>F19</x:v>
      </x:c>
      <x:c r="E513" s="21" t="str">
        <x:v>B2</x:v>
      </x:c>
      <x:c r="F513" s="21" t="str">
        <x:v>Architecture</x:v>
      </x:c>
      <x:c r="G513" s="21" t="str">
        <x:v>0.0.0</x:v>
      </x:c>
      <x:c r="H513" s="21" t="str">
        <x:v>Independent Evidence and Data Authority</x:v>
      </x:c>
      <x:c r="I513" s="21" t="str">
        <x:v>OPEN</x:v>
      </x:c>
      <x:c r="J513" s="21" t="str">
        <x:v>HOLD</x:v>
      </x:c>
      <x:c r="K513" s="23" t="str">
        <x:v>what interfaces and budgets govern the system must be accepted before downstream release</x:v>
      </x:c>
    </x:row>
    <x:row r="514">
      <x:c r="B514" s="21" t="str">
        <x:v>BL-00508</x:v>
      </x:c>
      <x:c r="C514" s="21" t="str">
        <x:v>F19-I1</x:v>
      </x:c>
      <x:c r="D514" s="21" t="str">
        <x:v>F19</x:v>
      </x:c>
      <x:c r="E514" s="21" t="str">
        <x:v>B3</x:v>
      </x:c>
      <x:c r="F514" s="21" t="str">
        <x:v>Build</x:v>
      </x:c>
      <x:c r="G514" s="21" t="str">
        <x:v>0.0.0</x:v>
      </x:c>
      <x:c r="H514" s="21" t="str">
        <x:v>Independent Evidence and Data Authority</x:v>
      </x:c>
      <x:c r="I514" s="21" t="str">
        <x:v>OPEN</x:v>
      </x:c>
      <x:c r="J514" s="21" t="str">
        <x:v>HOLD</x:v>
      </x:c>
      <x:c r="K514" s="23" t="str">
        <x:v>what exact configuration produced the article must be accepted before downstream release</x:v>
      </x:c>
    </x:row>
    <x:row r="515">
      <x:c r="B515" s="21" t="str">
        <x:v>BL-00509</x:v>
      </x:c>
      <x:c r="C515" s="21" t="str">
        <x:v>F19-I1</x:v>
      </x:c>
      <x:c r="D515" s="21" t="str">
        <x:v>F19</x:v>
      </x:c>
      <x:c r="E515" s="21" t="str">
        <x:v>B4</x:v>
      </x:c>
      <x:c r="F515" s="21" t="str">
        <x:v>Trial</x:v>
      </x:c>
      <x:c r="G515" s="21" t="str">
        <x:v>0.0.0</x:v>
      </x:c>
      <x:c r="H515" s="21" t="str">
        <x:v>Independent Evidence and Data Authority</x:v>
      </x:c>
      <x:c r="I515" s="21" t="str">
        <x:v>OPEN</x:v>
      </x:c>
      <x:c r="J515" s="21" t="str">
        <x:v>HOLD</x:v>
      </x:c>
      <x:c r="K515" s="23" t="str">
        <x:v>what configuration method and damage world produced evidence must be accepted before downstream release</x:v>
      </x:c>
    </x:row>
    <x:row r="516">
      <x:c r="B516" s="21" t="str">
        <x:v>BL-00510</x:v>
      </x:c>
      <x:c r="C516" s="21" t="str">
        <x:v>F19-I1</x:v>
      </x:c>
      <x:c r="D516" s="21" t="str">
        <x:v>F19</x:v>
      </x:c>
      <x:c r="E516" s="21" t="str">
        <x:v>B5</x:v>
      </x:c>
      <x:c r="F516" s="21" t="str">
        <x:v>Production</x:v>
      </x:c>
      <x:c r="G516" s="21" t="str">
        <x:v>0.0.0</x:v>
      </x:c>
      <x:c r="H516" s="21" t="str">
        <x:v>Independent Evidence and Data Authority</x:v>
      </x:c>
      <x:c r="I516" s="21" t="str">
        <x:v>OPEN</x:v>
      </x:c>
      <x:c r="J516" s="21" t="str">
        <x:v>HOLD</x:v>
      </x:c>
      <x:c r="K516" s="23" t="str">
        <x:v>what process configuration and acceptance define serial output must be accepted before downstream release</x:v>
      </x:c>
    </x:row>
    <x:row r="517">
      <x:c r="B517" s="21" t="str">
        <x:v>BL-00511</x:v>
      </x:c>
      <x:c r="C517" s="21" t="str">
        <x:v>F19-I1</x:v>
      </x:c>
      <x:c r="D517" s="21" t="str">
        <x:v>F19</x:v>
      </x:c>
      <x:c r="E517" s="21" t="str">
        <x:v>B6</x:v>
      </x:c>
      <x:c r="F517" s="21" t="str">
        <x:v>Mobilization</x:v>
      </x:c>
      <x:c r="G517" s="21" t="str">
        <x:v>0.0.0</x:v>
      </x:c>
      <x:c r="H517" s="21" t="str">
        <x:v>Independent Evidence and Data Authority</x:v>
      </x:c>
      <x:c r="I517" s="21" t="str">
        <x:v>OPEN</x:v>
      </x:c>
      <x:c r="J517" s="21" t="str">
        <x:v>HOLD</x:v>
      </x:c>
      <x:c r="K517" s="23" t="str">
        <x:v>what people tools suppliers and routes reproduce conforming service must be accepted before downstream release</x:v>
      </x:c>
    </x:row>
    <x:row r="518">
      <x:c r="B518" s="21" t="str">
        <x:v>BL-00512</x:v>
      </x:c>
      <x:c r="C518" s="21" t="str">
        <x:v>F19-I2</x:v>
      </x:c>
      <x:c r="D518" s="21" t="str">
        <x:v>F19</x:v>
      </x:c>
      <x:c r="E518" s="21" t="str">
        <x:v>B0</x:v>
      </x:c>
      <x:c r="F518" s="21" t="str">
        <x:v>Effect</x:v>
      </x:c>
      <x:c r="G518" s="21" t="str">
        <x:v>0.0.0</x:v>
      </x:c>
      <x:c r="H518" s="21" t="str">
        <x:v>Independent Evidence and Data Authority</x:v>
      </x:c>
      <x:c r="I518" s="21" t="str">
        <x:v>OPEN</x:v>
      </x:c>
      <x:c r="J518" s="21" t="str">
        <x:v>HOLD</x:v>
      </x:c>
      <x:c r="K518" s="23" t="str">
        <x:v>what public condition must exist must be accepted before downstream release</x:v>
      </x:c>
    </x:row>
    <x:row r="519">
      <x:c r="B519" s="21" t="str">
        <x:v>BL-00513</x:v>
      </x:c>
      <x:c r="C519" s="21" t="str">
        <x:v>F19-I2</x:v>
      </x:c>
      <x:c r="D519" s="21" t="str">
        <x:v>F19</x:v>
      </x:c>
      <x:c r="E519" s="21" t="str">
        <x:v>B1</x:v>
      </x:c>
      <x:c r="F519" s="21" t="str">
        <x:v>Requirements</x:v>
      </x:c>
      <x:c r="G519" s="21" t="str">
        <x:v>0.0.0</x:v>
      </x:c>
      <x:c r="H519" s="21" t="str">
        <x:v>Independent Evidence and Data Authority</x:v>
      </x:c>
      <x:c r="I519" s="21" t="str">
        <x:v>OPEN</x:v>
      </x:c>
      <x:c r="J519" s="21" t="str">
        <x:v>HOLD</x:v>
      </x:c>
      <x:c r="K519" s="23" t="str">
        <x:v>what burdens and invalid states bound the effect must be accepted before downstream release</x:v>
      </x:c>
    </x:row>
    <x:row r="520">
      <x:c r="B520" s="21" t="str">
        <x:v>BL-00514</x:v>
      </x:c>
      <x:c r="C520" s="21" t="str">
        <x:v>F19-I2</x:v>
      </x:c>
      <x:c r="D520" s="21" t="str">
        <x:v>F19</x:v>
      </x:c>
      <x:c r="E520" s="21" t="str">
        <x:v>B2</x:v>
      </x:c>
      <x:c r="F520" s="21" t="str">
        <x:v>Architecture</x:v>
      </x:c>
      <x:c r="G520" s="21" t="str">
        <x:v>0.0.0</x:v>
      </x:c>
      <x:c r="H520" s="21" t="str">
        <x:v>Independent Evidence and Data Authority</x:v>
      </x:c>
      <x:c r="I520" s="21" t="str">
        <x:v>OPEN</x:v>
      </x:c>
      <x:c r="J520" s="21" t="str">
        <x:v>HOLD</x:v>
      </x:c>
      <x:c r="K520" s="23" t="str">
        <x:v>what interfaces and budgets govern the system must be accepted before downstream release</x:v>
      </x:c>
    </x:row>
    <x:row r="521">
      <x:c r="B521" s="21" t="str">
        <x:v>BL-00515</x:v>
      </x:c>
      <x:c r="C521" s="21" t="str">
        <x:v>F19-I2</x:v>
      </x:c>
      <x:c r="D521" s="21" t="str">
        <x:v>F19</x:v>
      </x:c>
      <x:c r="E521" s="21" t="str">
        <x:v>B3</x:v>
      </x:c>
      <x:c r="F521" s="21" t="str">
        <x:v>Build</x:v>
      </x:c>
      <x:c r="G521" s="21" t="str">
        <x:v>0.0.0</x:v>
      </x:c>
      <x:c r="H521" s="21" t="str">
        <x:v>Independent Evidence and Data Authority</x:v>
      </x:c>
      <x:c r="I521" s="21" t="str">
        <x:v>OPEN</x:v>
      </x:c>
      <x:c r="J521" s="21" t="str">
        <x:v>HOLD</x:v>
      </x:c>
      <x:c r="K521" s="23" t="str">
        <x:v>what exact configuration produced the article must be accepted before downstream release</x:v>
      </x:c>
    </x:row>
    <x:row r="522">
      <x:c r="B522" s="21" t="str">
        <x:v>BL-00516</x:v>
      </x:c>
      <x:c r="C522" s="21" t="str">
        <x:v>F19-I2</x:v>
      </x:c>
      <x:c r="D522" s="21" t="str">
        <x:v>F19</x:v>
      </x:c>
      <x:c r="E522" s="21" t="str">
        <x:v>B4</x:v>
      </x:c>
      <x:c r="F522" s="21" t="str">
        <x:v>Trial</x:v>
      </x:c>
      <x:c r="G522" s="21" t="str">
        <x:v>0.0.0</x:v>
      </x:c>
      <x:c r="H522" s="21" t="str">
        <x:v>Independent Evidence and Data Authority</x:v>
      </x:c>
      <x:c r="I522" s="21" t="str">
        <x:v>OPEN</x:v>
      </x:c>
      <x:c r="J522" s="21" t="str">
        <x:v>HOLD</x:v>
      </x:c>
      <x:c r="K522" s="23" t="str">
        <x:v>what configuration method and damage world produced evidence must be accepted before downstream release</x:v>
      </x:c>
    </x:row>
    <x:row r="523">
      <x:c r="B523" s="21" t="str">
        <x:v>BL-00517</x:v>
      </x:c>
      <x:c r="C523" s="21" t="str">
        <x:v>F19-I2</x:v>
      </x:c>
      <x:c r="D523" s="21" t="str">
        <x:v>F19</x:v>
      </x:c>
      <x:c r="E523" s="21" t="str">
        <x:v>B5</x:v>
      </x:c>
      <x:c r="F523" s="21" t="str">
        <x:v>Production</x:v>
      </x:c>
      <x:c r="G523" s="21" t="str">
        <x:v>0.0.0</x:v>
      </x:c>
      <x:c r="H523" s="21" t="str">
        <x:v>Independent Evidence and Data Authority</x:v>
      </x:c>
      <x:c r="I523" s="21" t="str">
        <x:v>OPEN</x:v>
      </x:c>
      <x:c r="J523" s="21" t="str">
        <x:v>HOLD</x:v>
      </x:c>
      <x:c r="K523" s="23" t="str">
        <x:v>what process configuration and acceptance define serial output must be accepted before downstream release</x:v>
      </x:c>
    </x:row>
    <x:row r="524">
      <x:c r="B524" s="21" t="str">
        <x:v>BL-00518</x:v>
      </x:c>
      <x:c r="C524" s="21" t="str">
        <x:v>F19-I2</x:v>
      </x:c>
      <x:c r="D524" s="21" t="str">
        <x:v>F19</x:v>
      </x:c>
      <x:c r="E524" s="21" t="str">
        <x:v>B6</x:v>
      </x:c>
      <x:c r="F524" s="21" t="str">
        <x:v>Mobilization</x:v>
      </x:c>
      <x:c r="G524" s="21" t="str">
        <x:v>0.0.0</x:v>
      </x:c>
      <x:c r="H524" s="21" t="str">
        <x:v>Independent Evidence and Data Authority</x:v>
      </x:c>
      <x:c r="I524" s="21" t="str">
        <x:v>OPEN</x:v>
      </x:c>
      <x:c r="J524" s="21" t="str">
        <x:v>HOLD</x:v>
      </x:c>
      <x:c r="K524" s="23" t="str">
        <x:v>what people tools suppliers and routes reproduce conforming service must be accepted before downstream release</x:v>
      </x:c>
    </x:row>
    <x:row r="525">
      <x:c r="B525" s="21" t="str">
        <x:v>BL-00519</x:v>
      </x:c>
      <x:c r="C525" s="21" t="str">
        <x:v>F19-I3</x:v>
      </x:c>
      <x:c r="D525" s="21" t="str">
        <x:v>F19</x:v>
      </x:c>
      <x:c r="E525" s="21" t="str">
        <x:v>B0</x:v>
      </x:c>
      <x:c r="F525" s="21" t="str">
        <x:v>Effect</x:v>
      </x:c>
      <x:c r="G525" s="21" t="str">
        <x:v>0.0.0</x:v>
      </x:c>
      <x:c r="H525" s="21" t="str">
        <x:v>Independent Evidence and Data Authority</x:v>
      </x:c>
      <x:c r="I525" s="21" t="str">
        <x:v>OPEN</x:v>
      </x:c>
      <x:c r="J525" s="21" t="str">
        <x:v>HOLD</x:v>
      </x:c>
      <x:c r="K525" s="23" t="str">
        <x:v>what public condition must exist must be accepted before downstream release</x:v>
      </x:c>
    </x:row>
    <x:row r="526">
      <x:c r="B526" s="21" t="str">
        <x:v>BL-00520</x:v>
      </x:c>
      <x:c r="C526" s="21" t="str">
        <x:v>F19-I3</x:v>
      </x:c>
      <x:c r="D526" s="21" t="str">
        <x:v>F19</x:v>
      </x:c>
      <x:c r="E526" s="21" t="str">
        <x:v>B1</x:v>
      </x:c>
      <x:c r="F526" s="21" t="str">
        <x:v>Requirements</x:v>
      </x:c>
      <x:c r="G526" s="21" t="str">
        <x:v>0.0.0</x:v>
      </x:c>
      <x:c r="H526" s="21" t="str">
        <x:v>Independent Evidence and Data Authority</x:v>
      </x:c>
      <x:c r="I526" s="21" t="str">
        <x:v>OPEN</x:v>
      </x:c>
      <x:c r="J526" s="21" t="str">
        <x:v>HOLD</x:v>
      </x:c>
      <x:c r="K526" s="23" t="str">
        <x:v>what burdens and invalid states bound the effect must be accepted before downstream release</x:v>
      </x:c>
    </x:row>
    <x:row r="527">
      <x:c r="B527" s="21" t="str">
        <x:v>BL-00521</x:v>
      </x:c>
      <x:c r="C527" s="21" t="str">
        <x:v>F19-I3</x:v>
      </x:c>
      <x:c r="D527" s="21" t="str">
        <x:v>F19</x:v>
      </x:c>
      <x:c r="E527" s="21" t="str">
        <x:v>B2</x:v>
      </x:c>
      <x:c r="F527" s="21" t="str">
        <x:v>Architecture</x:v>
      </x:c>
      <x:c r="G527" s="21" t="str">
        <x:v>0.0.0</x:v>
      </x:c>
      <x:c r="H527" s="21" t="str">
        <x:v>Independent Evidence and Data Authority</x:v>
      </x:c>
      <x:c r="I527" s="21" t="str">
        <x:v>OPEN</x:v>
      </x:c>
      <x:c r="J527" s="21" t="str">
        <x:v>HOLD</x:v>
      </x:c>
      <x:c r="K527" s="23" t="str">
        <x:v>what interfaces and budgets govern the system must be accepted before downstream release</x:v>
      </x:c>
    </x:row>
    <x:row r="528">
      <x:c r="B528" s="21" t="str">
        <x:v>BL-00522</x:v>
      </x:c>
      <x:c r="C528" s="21" t="str">
        <x:v>F19-I3</x:v>
      </x:c>
      <x:c r="D528" s="21" t="str">
        <x:v>F19</x:v>
      </x:c>
      <x:c r="E528" s="21" t="str">
        <x:v>B3</x:v>
      </x:c>
      <x:c r="F528" s="21" t="str">
        <x:v>Build</x:v>
      </x:c>
      <x:c r="G528" s="21" t="str">
        <x:v>0.0.0</x:v>
      </x:c>
      <x:c r="H528" s="21" t="str">
        <x:v>Independent Evidence and Data Authority</x:v>
      </x:c>
      <x:c r="I528" s="21" t="str">
        <x:v>OPEN</x:v>
      </x:c>
      <x:c r="J528" s="21" t="str">
        <x:v>HOLD</x:v>
      </x:c>
      <x:c r="K528" s="23" t="str">
        <x:v>what exact configuration produced the article must be accepted before downstream release</x:v>
      </x:c>
    </x:row>
    <x:row r="529">
      <x:c r="B529" s="21" t="str">
        <x:v>BL-00523</x:v>
      </x:c>
      <x:c r="C529" s="21" t="str">
        <x:v>F19-I3</x:v>
      </x:c>
      <x:c r="D529" s="21" t="str">
        <x:v>F19</x:v>
      </x:c>
      <x:c r="E529" s="21" t="str">
        <x:v>B4</x:v>
      </x:c>
      <x:c r="F529" s="21" t="str">
        <x:v>Trial</x:v>
      </x:c>
      <x:c r="G529" s="21" t="str">
        <x:v>0.0.0</x:v>
      </x:c>
      <x:c r="H529" s="21" t="str">
        <x:v>Independent Evidence and Data Authority</x:v>
      </x:c>
      <x:c r="I529" s="21" t="str">
        <x:v>OPEN</x:v>
      </x:c>
      <x:c r="J529" s="21" t="str">
        <x:v>HOLD</x:v>
      </x:c>
      <x:c r="K529" s="23" t="str">
        <x:v>what configuration method and damage world produced evidence must be accepted before downstream release</x:v>
      </x:c>
    </x:row>
    <x:row r="530">
      <x:c r="B530" s="21" t="str">
        <x:v>BL-00524</x:v>
      </x:c>
      <x:c r="C530" s="21" t="str">
        <x:v>F19-I3</x:v>
      </x:c>
      <x:c r="D530" s="21" t="str">
        <x:v>F19</x:v>
      </x:c>
      <x:c r="E530" s="21" t="str">
        <x:v>B5</x:v>
      </x:c>
      <x:c r="F530" s="21" t="str">
        <x:v>Production</x:v>
      </x:c>
      <x:c r="G530" s="21" t="str">
        <x:v>0.0.0</x:v>
      </x:c>
      <x:c r="H530" s="21" t="str">
        <x:v>Independent Evidence and Data Authority</x:v>
      </x:c>
      <x:c r="I530" s="21" t="str">
        <x:v>OPEN</x:v>
      </x:c>
      <x:c r="J530" s="21" t="str">
        <x:v>HOLD</x:v>
      </x:c>
      <x:c r="K530" s="23" t="str">
        <x:v>what process configuration and acceptance define serial output must be accepted before downstream release</x:v>
      </x:c>
    </x:row>
    <x:row r="531">
      <x:c r="B531" s="21" t="str">
        <x:v>BL-00525</x:v>
      </x:c>
      <x:c r="C531" s="21" t="str">
        <x:v>F19-I3</x:v>
      </x:c>
      <x:c r="D531" s="21" t="str">
        <x:v>F19</x:v>
      </x:c>
      <x:c r="E531" s="21" t="str">
        <x:v>B6</x:v>
      </x:c>
      <x:c r="F531" s="21" t="str">
        <x:v>Mobilization</x:v>
      </x:c>
      <x:c r="G531" s="21" t="str">
        <x:v>0.0.0</x:v>
      </x:c>
      <x:c r="H531" s="21" t="str">
        <x:v>Independent Evidence and Data Authority</x:v>
      </x:c>
      <x:c r="I531" s="21" t="str">
        <x:v>OPEN</x:v>
      </x:c>
      <x:c r="J531" s="21" t="str">
        <x:v>HOLD</x:v>
      </x:c>
      <x:c r="K531" s="23" t="str">
        <x:v>what people tools suppliers and routes reproduce conforming service must be accepted before downstream release</x:v>
      </x:c>
    </x:row>
    <x:row r="532">
      <x:c r="B532" s="21" t="str">
        <x:v>BL-00526</x:v>
      </x:c>
      <x:c r="C532" s="21" t="str">
        <x:v>F19-I4</x:v>
      </x:c>
      <x:c r="D532" s="21" t="str">
        <x:v>F19</x:v>
      </x:c>
      <x:c r="E532" s="21" t="str">
        <x:v>B0</x:v>
      </x:c>
      <x:c r="F532" s="21" t="str">
        <x:v>Effect</x:v>
      </x:c>
      <x:c r="G532" s="21" t="str">
        <x:v>0.0.0</x:v>
      </x:c>
      <x:c r="H532" s="21" t="str">
        <x:v>Independent Evidence and Data Authority</x:v>
      </x:c>
      <x:c r="I532" s="21" t="str">
        <x:v>OPEN</x:v>
      </x:c>
      <x:c r="J532" s="21" t="str">
        <x:v>HOLD</x:v>
      </x:c>
      <x:c r="K532" s="23" t="str">
        <x:v>what public condition must exist must be accepted before downstream release</x:v>
      </x:c>
    </x:row>
    <x:row r="533">
      <x:c r="B533" s="21" t="str">
        <x:v>BL-00527</x:v>
      </x:c>
      <x:c r="C533" s="21" t="str">
        <x:v>F19-I4</x:v>
      </x:c>
      <x:c r="D533" s="21" t="str">
        <x:v>F19</x:v>
      </x:c>
      <x:c r="E533" s="21" t="str">
        <x:v>B1</x:v>
      </x:c>
      <x:c r="F533" s="21" t="str">
        <x:v>Requirements</x:v>
      </x:c>
      <x:c r="G533" s="21" t="str">
        <x:v>0.0.0</x:v>
      </x:c>
      <x:c r="H533" s="21" t="str">
        <x:v>Independent Evidence and Data Authority</x:v>
      </x:c>
      <x:c r="I533" s="21" t="str">
        <x:v>OPEN</x:v>
      </x:c>
      <x:c r="J533" s="21" t="str">
        <x:v>HOLD</x:v>
      </x:c>
      <x:c r="K533" s="23" t="str">
        <x:v>what burdens and invalid states bound the effect must be accepted before downstream release</x:v>
      </x:c>
    </x:row>
    <x:row r="534">
      <x:c r="B534" s="21" t="str">
        <x:v>BL-00528</x:v>
      </x:c>
      <x:c r="C534" s="21" t="str">
        <x:v>F19-I4</x:v>
      </x:c>
      <x:c r="D534" s="21" t="str">
        <x:v>F19</x:v>
      </x:c>
      <x:c r="E534" s="21" t="str">
        <x:v>B2</x:v>
      </x:c>
      <x:c r="F534" s="21" t="str">
        <x:v>Architecture</x:v>
      </x:c>
      <x:c r="G534" s="21" t="str">
        <x:v>0.0.0</x:v>
      </x:c>
      <x:c r="H534" s="21" t="str">
        <x:v>Independent Evidence and Data Authority</x:v>
      </x:c>
      <x:c r="I534" s="21" t="str">
        <x:v>OPEN</x:v>
      </x:c>
      <x:c r="J534" s="21" t="str">
        <x:v>HOLD</x:v>
      </x:c>
      <x:c r="K534" s="23" t="str">
        <x:v>what interfaces and budgets govern the system must be accepted before downstream release</x:v>
      </x:c>
    </x:row>
    <x:row r="535">
      <x:c r="B535" s="21" t="str">
        <x:v>BL-00529</x:v>
      </x:c>
      <x:c r="C535" s="21" t="str">
        <x:v>F19-I4</x:v>
      </x:c>
      <x:c r="D535" s="21" t="str">
        <x:v>F19</x:v>
      </x:c>
      <x:c r="E535" s="21" t="str">
        <x:v>B3</x:v>
      </x:c>
      <x:c r="F535" s="21" t="str">
        <x:v>Build</x:v>
      </x:c>
      <x:c r="G535" s="21" t="str">
        <x:v>0.0.0</x:v>
      </x:c>
      <x:c r="H535" s="21" t="str">
        <x:v>Independent Evidence and Data Authority</x:v>
      </x:c>
      <x:c r="I535" s="21" t="str">
        <x:v>OPEN</x:v>
      </x:c>
      <x:c r="J535" s="21" t="str">
        <x:v>HOLD</x:v>
      </x:c>
      <x:c r="K535" s="23" t="str">
        <x:v>what exact configuration produced the article must be accepted before downstream release</x:v>
      </x:c>
    </x:row>
    <x:row r="536">
      <x:c r="B536" s="21" t="str">
        <x:v>BL-00530</x:v>
      </x:c>
      <x:c r="C536" s="21" t="str">
        <x:v>F19-I4</x:v>
      </x:c>
      <x:c r="D536" s="21" t="str">
        <x:v>F19</x:v>
      </x:c>
      <x:c r="E536" s="21" t="str">
        <x:v>B4</x:v>
      </x:c>
      <x:c r="F536" s="21" t="str">
        <x:v>Trial</x:v>
      </x:c>
      <x:c r="G536" s="21" t="str">
        <x:v>0.0.0</x:v>
      </x:c>
      <x:c r="H536" s="21" t="str">
        <x:v>Independent Evidence and Data Authority</x:v>
      </x:c>
      <x:c r="I536" s="21" t="str">
        <x:v>OPEN</x:v>
      </x:c>
      <x:c r="J536" s="21" t="str">
        <x:v>HOLD</x:v>
      </x:c>
      <x:c r="K536" s="23" t="str">
        <x:v>what configuration method and damage world produced evidence must be accepted before downstream release</x:v>
      </x:c>
    </x:row>
    <x:row r="537">
      <x:c r="B537" s="21" t="str">
        <x:v>BL-00531</x:v>
      </x:c>
      <x:c r="C537" s="21" t="str">
        <x:v>F19-I4</x:v>
      </x:c>
      <x:c r="D537" s="21" t="str">
        <x:v>F19</x:v>
      </x:c>
      <x:c r="E537" s="21" t="str">
        <x:v>B5</x:v>
      </x:c>
      <x:c r="F537" s="21" t="str">
        <x:v>Production</x:v>
      </x:c>
      <x:c r="G537" s="21" t="str">
        <x:v>0.0.0</x:v>
      </x:c>
      <x:c r="H537" s="21" t="str">
        <x:v>Independent Evidence and Data Authority</x:v>
      </x:c>
      <x:c r="I537" s="21" t="str">
        <x:v>OPEN</x:v>
      </x:c>
      <x:c r="J537" s="21" t="str">
        <x:v>HOLD</x:v>
      </x:c>
      <x:c r="K537" s="23" t="str">
        <x:v>what process configuration and acceptance define serial output must be accepted before downstream release</x:v>
      </x:c>
    </x:row>
    <x:row r="538">
      <x:c r="B538" s="21" t="str">
        <x:v>BL-00532</x:v>
      </x:c>
      <x:c r="C538" s="21" t="str">
        <x:v>F19-I4</x:v>
      </x:c>
      <x:c r="D538" s="21" t="str">
        <x:v>F19</x:v>
      </x:c>
      <x:c r="E538" s="21" t="str">
        <x:v>B6</x:v>
      </x:c>
      <x:c r="F538" s="21" t="str">
        <x:v>Mobilization</x:v>
      </x:c>
      <x:c r="G538" s="21" t="str">
        <x:v>0.0.0</x:v>
      </x:c>
      <x:c r="H538" s="21" t="str">
        <x:v>Independent Evidence and Data Authority</x:v>
      </x:c>
      <x:c r="I538" s="21" t="str">
        <x:v>OPEN</x:v>
      </x:c>
      <x:c r="J538" s="21" t="str">
        <x:v>HOLD</x:v>
      </x:c>
      <x:c r="K538" s="23" t="str">
        <x:v>what people tools suppliers and routes reproduce conforming service must be accepted before downstream release</x:v>
      </x:c>
    </x:row>
    <x:row r="539">
      <x:c r="B539" s="21" t="str">
        <x:v>BL-00533</x:v>
      </x:c>
      <x:c r="C539" s="21" t="str">
        <x:v>F20-I1</x:v>
      </x:c>
      <x:c r="D539" s="21" t="str">
        <x:v>F20</x:v>
      </x:c>
      <x:c r="E539" s="21" t="str">
        <x:v>B0</x:v>
      </x:c>
      <x:c r="F539" s="21" t="str">
        <x:v>Effect</x:v>
      </x:c>
      <x:c r="G539" s="21" t="str">
        <x:v>0.0.0</x:v>
      </x:c>
      <x:c r="H539" s="21" t="str">
        <x:v>Independent Evidence and Data Authority</x:v>
      </x:c>
      <x:c r="I539" s="21" t="str">
        <x:v>OPEN</x:v>
      </x:c>
      <x:c r="J539" s="21" t="str">
        <x:v>HOLD</x:v>
      </x:c>
      <x:c r="K539" s="23" t="str">
        <x:v>what public condition must exist must be accepted before downstream release</x:v>
      </x:c>
    </x:row>
    <x:row r="540">
      <x:c r="B540" s="21" t="str">
        <x:v>BL-00534</x:v>
      </x:c>
      <x:c r="C540" s="21" t="str">
        <x:v>F20-I1</x:v>
      </x:c>
      <x:c r="D540" s="21" t="str">
        <x:v>F20</x:v>
      </x:c>
      <x:c r="E540" s="21" t="str">
        <x:v>B1</x:v>
      </x:c>
      <x:c r="F540" s="21" t="str">
        <x:v>Requirements</x:v>
      </x:c>
      <x:c r="G540" s="21" t="str">
        <x:v>0.0.0</x:v>
      </x:c>
      <x:c r="H540" s="21" t="str">
        <x:v>Independent Evidence and Data Authority</x:v>
      </x:c>
      <x:c r="I540" s="21" t="str">
        <x:v>OPEN</x:v>
      </x:c>
      <x:c r="J540" s="21" t="str">
        <x:v>HOLD</x:v>
      </x:c>
      <x:c r="K540" s="23" t="str">
        <x:v>what burdens and invalid states bound the effect must be accepted before downstream release</x:v>
      </x:c>
    </x:row>
    <x:row r="541">
      <x:c r="B541" s="21" t="str">
        <x:v>BL-00535</x:v>
      </x:c>
      <x:c r="C541" s="21" t="str">
        <x:v>F20-I1</x:v>
      </x:c>
      <x:c r="D541" s="21" t="str">
        <x:v>F20</x:v>
      </x:c>
      <x:c r="E541" s="21" t="str">
        <x:v>B2</x:v>
      </x:c>
      <x:c r="F541" s="21" t="str">
        <x:v>Architecture</x:v>
      </x:c>
      <x:c r="G541" s="21" t="str">
        <x:v>0.0.0</x:v>
      </x:c>
      <x:c r="H541" s="21" t="str">
        <x:v>Independent Evidence and Data Authority</x:v>
      </x:c>
      <x:c r="I541" s="21" t="str">
        <x:v>OPEN</x:v>
      </x:c>
      <x:c r="J541" s="21" t="str">
        <x:v>HOLD</x:v>
      </x:c>
      <x:c r="K541" s="23" t="str">
        <x:v>what interfaces and budgets govern the system must be accepted before downstream release</x:v>
      </x:c>
    </x:row>
    <x:row r="542">
      <x:c r="B542" s="21" t="str">
        <x:v>BL-00536</x:v>
      </x:c>
      <x:c r="C542" s="21" t="str">
        <x:v>F20-I1</x:v>
      </x:c>
      <x:c r="D542" s="21" t="str">
        <x:v>F20</x:v>
      </x:c>
      <x:c r="E542" s="21" t="str">
        <x:v>B3</x:v>
      </x:c>
      <x:c r="F542" s="21" t="str">
        <x:v>Build</x:v>
      </x:c>
      <x:c r="G542" s="21" t="str">
        <x:v>0.0.0</x:v>
      </x:c>
      <x:c r="H542" s="21" t="str">
        <x:v>Independent Evidence and Data Authority</x:v>
      </x:c>
      <x:c r="I542" s="21" t="str">
        <x:v>OPEN</x:v>
      </x:c>
      <x:c r="J542" s="21" t="str">
        <x:v>HOLD</x:v>
      </x:c>
      <x:c r="K542" s="23" t="str">
        <x:v>what exact configuration produced the article must be accepted before downstream release</x:v>
      </x:c>
    </x:row>
    <x:row r="543">
      <x:c r="B543" s="21" t="str">
        <x:v>BL-00537</x:v>
      </x:c>
      <x:c r="C543" s="21" t="str">
        <x:v>F20-I1</x:v>
      </x:c>
      <x:c r="D543" s="21" t="str">
        <x:v>F20</x:v>
      </x:c>
      <x:c r="E543" s="21" t="str">
        <x:v>B4</x:v>
      </x:c>
      <x:c r="F543" s="21" t="str">
        <x:v>Trial</x:v>
      </x:c>
      <x:c r="G543" s="21" t="str">
        <x:v>0.0.0</x:v>
      </x:c>
      <x:c r="H543" s="21" t="str">
        <x:v>Independent Evidence and Data Authority</x:v>
      </x:c>
      <x:c r="I543" s="21" t="str">
        <x:v>OPEN</x:v>
      </x:c>
      <x:c r="J543" s="21" t="str">
        <x:v>HOLD</x:v>
      </x:c>
      <x:c r="K543" s="23" t="str">
        <x:v>what configuration method and damage world produced evidence must be accepted before downstream release</x:v>
      </x:c>
    </x:row>
    <x:row r="544">
      <x:c r="B544" s="21" t="str">
        <x:v>BL-00538</x:v>
      </x:c>
      <x:c r="C544" s="21" t="str">
        <x:v>F20-I1</x:v>
      </x:c>
      <x:c r="D544" s="21" t="str">
        <x:v>F20</x:v>
      </x:c>
      <x:c r="E544" s="21" t="str">
        <x:v>B5</x:v>
      </x:c>
      <x:c r="F544" s="21" t="str">
        <x:v>Production</x:v>
      </x:c>
      <x:c r="G544" s="21" t="str">
        <x:v>0.0.0</x:v>
      </x:c>
      <x:c r="H544" s="21" t="str">
        <x:v>Independent Evidence and Data Authority</x:v>
      </x:c>
      <x:c r="I544" s="21" t="str">
        <x:v>OPEN</x:v>
      </x:c>
      <x:c r="J544" s="21" t="str">
        <x:v>HOLD</x:v>
      </x:c>
      <x:c r="K544" s="23" t="str">
        <x:v>what process configuration and acceptance define serial output must be accepted before downstream release</x:v>
      </x:c>
    </x:row>
    <x:row r="545">
      <x:c r="B545" s="21" t="str">
        <x:v>BL-00539</x:v>
      </x:c>
      <x:c r="C545" s="21" t="str">
        <x:v>F20-I1</x:v>
      </x:c>
      <x:c r="D545" s="21" t="str">
        <x:v>F20</x:v>
      </x:c>
      <x:c r="E545" s="21" t="str">
        <x:v>B6</x:v>
      </x:c>
      <x:c r="F545" s="21" t="str">
        <x:v>Mobilization</x:v>
      </x:c>
      <x:c r="G545" s="21" t="str">
        <x:v>0.0.0</x:v>
      </x:c>
      <x:c r="H545" s="21" t="str">
        <x:v>Independent Evidence and Data Authority</x:v>
      </x:c>
      <x:c r="I545" s="21" t="str">
        <x:v>OPEN</x:v>
      </x:c>
      <x:c r="J545" s="21" t="str">
        <x:v>HOLD</x:v>
      </x:c>
      <x:c r="K545" s="23" t="str">
        <x:v>what people tools suppliers and routes reproduce conforming service must be accepted before downstream release</x:v>
      </x:c>
    </x:row>
    <x:row r="546">
      <x:c r="B546" s="21" t="str">
        <x:v>BL-00540</x:v>
      </x:c>
      <x:c r="C546" s="21" t="str">
        <x:v>F20-I2</x:v>
      </x:c>
      <x:c r="D546" s="21" t="str">
        <x:v>F20</x:v>
      </x:c>
      <x:c r="E546" s="21" t="str">
        <x:v>B0</x:v>
      </x:c>
      <x:c r="F546" s="21" t="str">
        <x:v>Effect</x:v>
      </x:c>
      <x:c r="G546" s="21" t="str">
        <x:v>0.0.0</x:v>
      </x:c>
      <x:c r="H546" s="21" t="str">
        <x:v>Independent Evidence and Data Authority</x:v>
      </x:c>
      <x:c r="I546" s="21" t="str">
        <x:v>OPEN</x:v>
      </x:c>
      <x:c r="J546" s="21" t="str">
        <x:v>HOLD</x:v>
      </x:c>
      <x:c r="K546" s="23" t="str">
        <x:v>what public condition must exist must be accepted before downstream release</x:v>
      </x:c>
    </x:row>
    <x:row r="547">
      <x:c r="B547" s="21" t="str">
        <x:v>BL-00541</x:v>
      </x:c>
      <x:c r="C547" s="21" t="str">
        <x:v>F20-I2</x:v>
      </x:c>
      <x:c r="D547" s="21" t="str">
        <x:v>F20</x:v>
      </x:c>
      <x:c r="E547" s="21" t="str">
        <x:v>B1</x:v>
      </x:c>
      <x:c r="F547" s="21" t="str">
        <x:v>Requirements</x:v>
      </x:c>
      <x:c r="G547" s="21" t="str">
        <x:v>0.0.0</x:v>
      </x:c>
      <x:c r="H547" s="21" t="str">
        <x:v>Independent Evidence and Data Authority</x:v>
      </x:c>
      <x:c r="I547" s="21" t="str">
        <x:v>OPEN</x:v>
      </x:c>
      <x:c r="J547" s="21" t="str">
        <x:v>HOLD</x:v>
      </x:c>
      <x:c r="K547" s="23" t="str">
        <x:v>what burdens and invalid states bound the effect must be accepted before downstream release</x:v>
      </x:c>
    </x:row>
    <x:row r="548">
      <x:c r="B548" s="21" t="str">
        <x:v>BL-00542</x:v>
      </x:c>
      <x:c r="C548" s="21" t="str">
        <x:v>F20-I2</x:v>
      </x:c>
      <x:c r="D548" s="21" t="str">
        <x:v>F20</x:v>
      </x:c>
      <x:c r="E548" s="21" t="str">
        <x:v>B2</x:v>
      </x:c>
      <x:c r="F548" s="21" t="str">
        <x:v>Architecture</x:v>
      </x:c>
      <x:c r="G548" s="21" t="str">
        <x:v>0.0.0</x:v>
      </x:c>
      <x:c r="H548" s="21" t="str">
        <x:v>Independent Evidence and Data Authority</x:v>
      </x:c>
      <x:c r="I548" s="21" t="str">
        <x:v>OPEN</x:v>
      </x:c>
      <x:c r="J548" s="21" t="str">
        <x:v>HOLD</x:v>
      </x:c>
      <x:c r="K548" s="23" t="str">
        <x:v>what interfaces and budgets govern the system must be accepted before downstream release</x:v>
      </x:c>
    </x:row>
    <x:row r="549">
      <x:c r="B549" s="21" t="str">
        <x:v>BL-00543</x:v>
      </x:c>
      <x:c r="C549" s="21" t="str">
        <x:v>F20-I2</x:v>
      </x:c>
      <x:c r="D549" s="21" t="str">
        <x:v>F20</x:v>
      </x:c>
      <x:c r="E549" s="21" t="str">
        <x:v>B3</x:v>
      </x:c>
      <x:c r="F549" s="21" t="str">
        <x:v>Build</x:v>
      </x:c>
      <x:c r="G549" s="21" t="str">
        <x:v>0.0.0</x:v>
      </x:c>
      <x:c r="H549" s="21" t="str">
        <x:v>Independent Evidence and Data Authority</x:v>
      </x:c>
      <x:c r="I549" s="21" t="str">
        <x:v>OPEN</x:v>
      </x:c>
      <x:c r="J549" s="21" t="str">
        <x:v>HOLD</x:v>
      </x:c>
      <x:c r="K549" s="23" t="str">
        <x:v>what exact configuration produced the article must be accepted before downstream release</x:v>
      </x:c>
    </x:row>
    <x:row r="550">
      <x:c r="B550" s="21" t="str">
        <x:v>BL-00544</x:v>
      </x:c>
      <x:c r="C550" s="21" t="str">
        <x:v>F20-I2</x:v>
      </x:c>
      <x:c r="D550" s="21" t="str">
        <x:v>F20</x:v>
      </x:c>
      <x:c r="E550" s="21" t="str">
        <x:v>B4</x:v>
      </x:c>
      <x:c r="F550" s="21" t="str">
        <x:v>Trial</x:v>
      </x:c>
      <x:c r="G550" s="21" t="str">
        <x:v>0.0.0</x:v>
      </x:c>
      <x:c r="H550" s="21" t="str">
        <x:v>Independent Evidence and Data Authority</x:v>
      </x:c>
      <x:c r="I550" s="21" t="str">
        <x:v>OPEN</x:v>
      </x:c>
      <x:c r="J550" s="21" t="str">
        <x:v>HOLD</x:v>
      </x:c>
      <x:c r="K550" s="23" t="str">
        <x:v>what configuration method and damage world produced evidence must be accepted before downstream release</x:v>
      </x:c>
    </x:row>
    <x:row r="551">
      <x:c r="B551" s="21" t="str">
        <x:v>BL-00545</x:v>
      </x:c>
      <x:c r="C551" s="21" t="str">
        <x:v>F20-I2</x:v>
      </x:c>
      <x:c r="D551" s="21" t="str">
        <x:v>F20</x:v>
      </x:c>
      <x:c r="E551" s="21" t="str">
        <x:v>B5</x:v>
      </x:c>
      <x:c r="F551" s="21" t="str">
        <x:v>Production</x:v>
      </x:c>
      <x:c r="G551" s="21" t="str">
        <x:v>0.0.0</x:v>
      </x:c>
      <x:c r="H551" s="21" t="str">
        <x:v>Independent Evidence and Data Authority</x:v>
      </x:c>
      <x:c r="I551" s="21" t="str">
        <x:v>OPEN</x:v>
      </x:c>
      <x:c r="J551" s="21" t="str">
        <x:v>HOLD</x:v>
      </x:c>
      <x:c r="K551" s="23" t="str">
        <x:v>what process configuration and acceptance define serial output must be accepted before downstream release</x:v>
      </x:c>
    </x:row>
    <x:row r="552">
      <x:c r="B552" s="21" t="str">
        <x:v>BL-00546</x:v>
      </x:c>
      <x:c r="C552" s="21" t="str">
        <x:v>F20-I2</x:v>
      </x:c>
      <x:c r="D552" s="21" t="str">
        <x:v>F20</x:v>
      </x:c>
      <x:c r="E552" s="21" t="str">
        <x:v>B6</x:v>
      </x:c>
      <x:c r="F552" s="21" t="str">
        <x:v>Mobilization</x:v>
      </x:c>
      <x:c r="G552" s="21" t="str">
        <x:v>0.0.0</x:v>
      </x:c>
      <x:c r="H552" s="21" t="str">
        <x:v>Independent Evidence and Data Authority</x:v>
      </x:c>
      <x:c r="I552" s="21" t="str">
        <x:v>OPEN</x:v>
      </x:c>
      <x:c r="J552" s="21" t="str">
        <x:v>HOLD</x:v>
      </x:c>
      <x:c r="K552" s="23" t="str">
        <x:v>what people tools suppliers and routes reproduce conforming service must be accepted before downstream release</x:v>
      </x:c>
    </x:row>
    <x:row r="553">
      <x:c r="B553" s="21" t="str">
        <x:v>BL-00547</x:v>
      </x:c>
      <x:c r="C553" s="21" t="str">
        <x:v>F20-I3</x:v>
      </x:c>
      <x:c r="D553" s="21" t="str">
        <x:v>F20</x:v>
      </x:c>
      <x:c r="E553" s="21" t="str">
        <x:v>B0</x:v>
      </x:c>
      <x:c r="F553" s="21" t="str">
        <x:v>Effect</x:v>
      </x:c>
      <x:c r="G553" s="21" t="str">
        <x:v>0.0.0</x:v>
      </x:c>
      <x:c r="H553" s="21" t="str">
        <x:v>Independent Evidence and Data Authority</x:v>
      </x:c>
      <x:c r="I553" s="21" t="str">
        <x:v>OPEN</x:v>
      </x:c>
      <x:c r="J553" s="21" t="str">
        <x:v>HOLD</x:v>
      </x:c>
      <x:c r="K553" s="23" t="str">
        <x:v>what public condition must exist must be accepted before downstream release</x:v>
      </x:c>
    </x:row>
    <x:row r="554">
      <x:c r="B554" s="21" t="str">
        <x:v>BL-00548</x:v>
      </x:c>
      <x:c r="C554" s="21" t="str">
        <x:v>F20-I3</x:v>
      </x:c>
      <x:c r="D554" s="21" t="str">
        <x:v>F20</x:v>
      </x:c>
      <x:c r="E554" s="21" t="str">
        <x:v>B1</x:v>
      </x:c>
      <x:c r="F554" s="21" t="str">
        <x:v>Requirements</x:v>
      </x:c>
      <x:c r="G554" s="21" t="str">
        <x:v>0.0.0</x:v>
      </x:c>
      <x:c r="H554" s="21" t="str">
        <x:v>Independent Evidence and Data Authority</x:v>
      </x:c>
      <x:c r="I554" s="21" t="str">
        <x:v>OPEN</x:v>
      </x:c>
      <x:c r="J554" s="21" t="str">
        <x:v>HOLD</x:v>
      </x:c>
      <x:c r="K554" s="23" t="str">
        <x:v>what burdens and invalid states bound the effect must be accepted before downstream release</x:v>
      </x:c>
    </x:row>
    <x:row r="555">
      <x:c r="B555" s="21" t="str">
        <x:v>BL-00549</x:v>
      </x:c>
      <x:c r="C555" s="21" t="str">
        <x:v>F20-I3</x:v>
      </x:c>
      <x:c r="D555" s="21" t="str">
        <x:v>F20</x:v>
      </x:c>
      <x:c r="E555" s="21" t="str">
        <x:v>B2</x:v>
      </x:c>
      <x:c r="F555" s="21" t="str">
        <x:v>Architecture</x:v>
      </x:c>
      <x:c r="G555" s="21" t="str">
        <x:v>0.0.0</x:v>
      </x:c>
      <x:c r="H555" s="21" t="str">
        <x:v>Independent Evidence and Data Authority</x:v>
      </x:c>
      <x:c r="I555" s="21" t="str">
        <x:v>OPEN</x:v>
      </x:c>
      <x:c r="J555" s="21" t="str">
        <x:v>HOLD</x:v>
      </x:c>
      <x:c r="K555" s="23" t="str">
        <x:v>what interfaces and budgets govern the system must be accepted before downstream release</x:v>
      </x:c>
    </x:row>
    <x:row r="556">
      <x:c r="B556" s="21" t="str">
        <x:v>BL-00550</x:v>
      </x:c>
      <x:c r="C556" s="21" t="str">
        <x:v>F20-I3</x:v>
      </x:c>
      <x:c r="D556" s="21" t="str">
        <x:v>F20</x:v>
      </x:c>
      <x:c r="E556" s="21" t="str">
        <x:v>B3</x:v>
      </x:c>
      <x:c r="F556" s="21" t="str">
        <x:v>Build</x:v>
      </x:c>
      <x:c r="G556" s="21" t="str">
        <x:v>0.0.0</x:v>
      </x:c>
      <x:c r="H556" s="21" t="str">
        <x:v>Independent Evidence and Data Authority</x:v>
      </x:c>
      <x:c r="I556" s="21" t="str">
        <x:v>OPEN</x:v>
      </x:c>
      <x:c r="J556" s="21" t="str">
        <x:v>HOLD</x:v>
      </x:c>
      <x:c r="K556" s="23" t="str">
        <x:v>what exact configuration produced the article must be accepted before downstream release</x:v>
      </x:c>
    </x:row>
    <x:row r="557">
      <x:c r="B557" s="21" t="str">
        <x:v>BL-00551</x:v>
      </x:c>
      <x:c r="C557" s="21" t="str">
        <x:v>F20-I3</x:v>
      </x:c>
      <x:c r="D557" s="21" t="str">
        <x:v>F20</x:v>
      </x:c>
      <x:c r="E557" s="21" t="str">
        <x:v>B4</x:v>
      </x:c>
      <x:c r="F557" s="21" t="str">
        <x:v>Trial</x:v>
      </x:c>
      <x:c r="G557" s="21" t="str">
        <x:v>0.0.0</x:v>
      </x:c>
      <x:c r="H557" s="21" t="str">
        <x:v>Independent Evidence and Data Authority</x:v>
      </x:c>
      <x:c r="I557" s="21" t="str">
        <x:v>OPEN</x:v>
      </x:c>
      <x:c r="J557" s="21" t="str">
        <x:v>HOLD</x:v>
      </x:c>
      <x:c r="K557" s="23" t="str">
        <x:v>what configuration method and damage world produced evidence must be accepted before downstream release</x:v>
      </x:c>
    </x:row>
    <x:row r="558">
      <x:c r="B558" s="21" t="str">
        <x:v>BL-00552</x:v>
      </x:c>
      <x:c r="C558" s="21" t="str">
        <x:v>F20-I3</x:v>
      </x:c>
      <x:c r="D558" s="21" t="str">
        <x:v>F20</x:v>
      </x:c>
      <x:c r="E558" s="21" t="str">
        <x:v>B5</x:v>
      </x:c>
      <x:c r="F558" s="21" t="str">
        <x:v>Production</x:v>
      </x:c>
      <x:c r="G558" s="21" t="str">
        <x:v>0.0.0</x:v>
      </x:c>
      <x:c r="H558" s="21" t="str">
        <x:v>Independent Evidence and Data Authority</x:v>
      </x:c>
      <x:c r="I558" s="21" t="str">
        <x:v>OPEN</x:v>
      </x:c>
      <x:c r="J558" s="21" t="str">
        <x:v>HOLD</x:v>
      </x:c>
      <x:c r="K558" s="23" t="str">
        <x:v>what process configuration and acceptance define serial output must be accepted before downstream release</x:v>
      </x:c>
    </x:row>
    <x:row r="559">
      <x:c r="B559" s="21" t="str">
        <x:v>BL-00553</x:v>
      </x:c>
      <x:c r="C559" s="21" t="str">
        <x:v>F20-I3</x:v>
      </x:c>
      <x:c r="D559" s="21" t="str">
        <x:v>F20</x:v>
      </x:c>
      <x:c r="E559" s="21" t="str">
        <x:v>B6</x:v>
      </x:c>
      <x:c r="F559" s="21" t="str">
        <x:v>Mobilization</x:v>
      </x:c>
      <x:c r="G559" s="21" t="str">
        <x:v>0.0.0</x:v>
      </x:c>
      <x:c r="H559" s="21" t="str">
        <x:v>Independent Evidence and Data Authority</x:v>
      </x:c>
      <x:c r="I559" s="21" t="str">
        <x:v>OPEN</x:v>
      </x:c>
      <x:c r="J559" s="21" t="str">
        <x:v>HOLD</x:v>
      </x:c>
      <x:c r="K559" s="23" t="str">
        <x:v>what people tools suppliers and routes reproduce conforming service must be accepted before downstream release</x:v>
      </x:c>
    </x:row>
    <x:row r="560">
      <x:c r="B560" s="21" t="str">
        <x:v>BL-00554</x:v>
      </x:c>
      <x:c r="C560" s="21" t="str">
        <x:v>F20-I4</x:v>
      </x:c>
      <x:c r="D560" s="21" t="str">
        <x:v>F20</x:v>
      </x:c>
      <x:c r="E560" s="21" t="str">
        <x:v>B0</x:v>
      </x:c>
      <x:c r="F560" s="21" t="str">
        <x:v>Effect</x:v>
      </x:c>
      <x:c r="G560" s="21" t="str">
        <x:v>0.0.0</x:v>
      </x:c>
      <x:c r="H560" s="21" t="str">
        <x:v>Independent Evidence and Data Authority</x:v>
      </x:c>
      <x:c r="I560" s="21" t="str">
        <x:v>OPEN</x:v>
      </x:c>
      <x:c r="J560" s="21" t="str">
        <x:v>HOLD</x:v>
      </x:c>
      <x:c r="K560" s="23" t="str">
        <x:v>what public condition must exist must be accepted before downstream release</x:v>
      </x:c>
    </x:row>
    <x:row r="561">
      <x:c r="B561" s="21" t="str">
        <x:v>BL-00555</x:v>
      </x:c>
      <x:c r="C561" s="21" t="str">
        <x:v>F20-I4</x:v>
      </x:c>
      <x:c r="D561" s="21" t="str">
        <x:v>F20</x:v>
      </x:c>
      <x:c r="E561" s="21" t="str">
        <x:v>B1</x:v>
      </x:c>
      <x:c r="F561" s="21" t="str">
        <x:v>Requirements</x:v>
      </x:c>
      <x:c r="G561" s="21" t="str">
        <x:v>0.0.0</x:v>
      </x:c>
      <x:c r="H561" s="21" t="str">
        <x:v>Independent Evidence and Data Authority</x:v>
      </x:c>
      <x:c r="I561" s="21" t="str">
        <x:v>OPEN</x:v>
      </x:c>
      <x:c r="J561" s="21" t="str">
        <x:v>HOLD</x:v>
      </x:c>
      <x:c r="K561" s="23" t="str">
        <x:v>what burdens and invalid states bound the effect must be accepted before downstream release</x:v>
      </x:c>
    </x:row>
    <x:row r="562">
      <x:c r="B562" s="21" t="str">
        <x:v>BL-00556</x:v>
      </x:c>
      <x:c r="C562" s="21" t="str">
        <x:v>F20-I4</x:v>
      </x:c>
      <x:c r="D562" s="21" t="str">
        <x:v>F20</x:v>
      </x:c>
      <x:c r="E562" s="21" t="str">
        <x:v>B2</x:v>
      </x:c>
      <x:c r="F562" s="21" t="str">
        <x:v>Architecture</x:v>
      </x:c>
      <x:c r="G562" s="21" t="str">
        <x:v>0.0.0</x:v>
      </x:c>
      <x:c r="H562" s="21" t="str">
        <x:v>Independent Evidence and Data Authority</x:v>
      </x:c>
      <x:c r="I562" s="21" t="str">
        <x:v>OPEN</x:v>
      </x:c>
      <x:c r="J562" s="21" t="str">
        <x:v>HOLD</x:v>
      </x:c>
      <x:c r="K562" s="23" t="str">
        <x:v>what interfaces and budgets govern the system must be accepted before downstream release</x:v>
      </x:c>
    </x:row>
    <x:row r="563">
      <x:c r="B563" s="21" t="str">
        <x:v>BL-00557</x:v>
      </x:c>
      <x:c r="C563" s="21" t="str">
        <x:v>F20-I4</x:v>
      </x:c>
      <x:c r="D563" s="21" t="str">
        <x:v>F20</x:v>
      </x:c>
      <x:c r="E563" s="21" t="str">
        <x:v>B3</x:v>
      </x:c>
      <x:c r="F563" s="21" t="str">
        <x:v>Build</x:v>
      </x:c>
      <x:c r="G563" s="21" t="str">
        <x:v>0.0.0</x:v>
      </x:c>
      <x:c r="H563" s="21" t="str">
        <x:v>Independent Evidence and Data Authority</x:v>
      </x:c>
      <x:c r="I563" s="21" t="str">
        <x:v>OPEN</x:v>
      </x:c>
      <x:c r="J563" s="21" t="str">
        <x:v>HOLD</x:v>
      </x:c>
      <x:c r="K563" s="23" t="str">
        <x:v>what exact configuration produced the article must be accepted before downstream release</x:v>
      </x:c>
    </x:row>
    <x:row r="564">
      <x:c r="B564" s="21" t="str">
        <x:v>BL-00558</x:v>
      </x:c>
      <x:c r="C564" s="21" t="str">
        <x:v>F20-I4</x:v>
      </x:c>
      <x:c r="D564" s="21" t="str">
        <x:v>F20</x:v>
      </x:c>
      <x:c r="E564" s="21" t="str">
        <x:v>B4</x:v>
      </x:c>
      <x:c r="F564" s="21" t="str">
        <x:v>Trial</x:v>
      </x:c>
      <x:c r="G564" s="21" t="str">
        <x:v>0.0.0</x:v>
      </x:c>
      <x:c r="H564" s="21" t="str">
        <x:v>Independent Evidence and Data Authority</x:v>
      </x:c>
      <x:c r="I564" s="21" t="str">
        <x:v>OPEN</x:v>
      </x:c>
      <x:c r="J564" s="21" t="str">
        <x:v>HOLD</x:v>
      </x:c>
      <x:c r="K564" s="23" t="str">
        <x:v>what configuration method and damage world produced evidence must be accepted before downstream release</x:v>
      </x:c>
    </x:row>
    <x:row r="565">
      <x:c r="B565" s="21" t="str">
        <x:v>BL-00559</x:v>
      </x:c>
      <x:c r="C565" s="21" t="str">
        <x:v>F20-I4</x:v>
      </x:c>
      <x:c r="D565" s="21" t="str">
        <x:v>F20</x:v>
      </x:c>
      <x:c r="E565" s="21" t="str">
        <x:v>B5</x:v>
      </x:c>
      <x:c r="F565" s="21" t="str">
        <x:v>Production</x:v>
      </x:c>
      <x:c r="G565" s="21" t="str">
        <x:v>0.0.0</x:v>
      </x:c>
      <x:c r="H565" s="21" t="str">
        <x:v>Independent Evidence and Data Authority</x:v>
      </x:c>
      <x:c r="I565" s="21" t="str">
        <x:v>OPEN</x:v>
      </x:c>
      <x:c r="J565" s="21" t="str">
        <x:v>HOLD</x:v>
      </x:c>
      <x:c r="K565" s="23" t="str">
        <x:v>what process configuration and acceptance define serial output must be accepted before downstream release</x:v>
      </x:c>
    </x:row>
    <x:row r="566">
      <x:c r="B566" s="21" t="str">
        <x:v>BL-00560</x:v>
      </x:c>
      <x:c r="C566" s="21" t="str">
        <x:v>F20-I4</x:v>
      </x:c>
      <x:c r="D566" s="21" t="str">
        <x:v>F20</x:v>
      </x:c>
      <x:c r="E566" s="21" t="str">
        <x:v>B6</x:v>
      </x:c>
      <x:c r="F566" s="21" t="str">
        <x:v>Mobilization</x:v>
      </x:c>
      <x:c r="G566" s="21" t="str">
        <x:v>0.0.0</x:v>
      </x:c>
      <x:c r="H566" s="21" t="str">
        <x:v>Independent Evidence and Data Authority</x:v>
      </x:c>
      <x:c r="I566" s="21" t="str">
        <x:v>OPEN</x:v>
      </x:c>
      <x:c r="J566" s="21" t="str">
        <x:v>HOLD</x:v>
      </x:c>
      <x:c r="K566" s="23" t="str">
        <x:v>what people tools suppliers and routes reproduce conforming service must be accepted before downstream release</x:v>
      </x:c>
    </x:row>
    <x:row r="567">
      <x:c r="B567" s="21" t="str">
        <x:v>BL-00561</x:v>
      </x:c>
      <x:c r="C567" s="21" t="str">
        <x:v>F21-I1</x:v>
      </x:c>
      <x:c r="D567" s="21" t="str">
        <x:v>F21</x:v>
      </x:c>
      <x:c r="E567" s="21" t="str">
        <x:v>B0</x:v>
      </x:c>
      <x:c r="F567" s="21" t="str">
        <x:v>Effect</x:v>
      </x:c>
      <x:c r="G567" s="21" t="str">
        <x:v>0.0.0</x:v>
      </x:c>
      <x:c r="H567" s="21" t="str">
        <x:v>Independent Evidence and Data Authority</x:v>
      </x:c>
      <x:c r="I567" s="21" t="str">
        <x:v>OPEN</x:v>
      </x:c>
      <x:c r="J567" s="21" t="str">
        <x:v>HOLD</x:v>
      </x:c>
      <x:c r="K567" s="23" t="str">
        <x:v>what public condition must exist must be accepted before downstream release</x:v>
      </x:c>
    </x:row>
    <x:row r="568">
      <x:c r="B568" s="21" t="str">
        <x:v>BL-00562</x:v>
      </x:c>
      <x:c r="C568" s="21" t="str">
        <x:v>F21-I1</x:v>
      </x:c>
      <x:c r="D568" s="21" t="str">
        <x:v>F21</x:v>
      </x:c>
      <x:c r="E568" s="21" t="str">
        <x:v>B1</x:v>
      </x:c>
      <x:c r="F568" s="21" t="str">
        <x:v>Requirements</x:v>
      </x:c>
      <x:c r="G568" s="21" t="str">
        <x:v>0.0.0</x:v>
      </x:c>
      <x:c r="H568" s="21" t="str">
        <x:v>Independent Evidence and Data Authority</x:v>
      </x:c>
      <x:c r="I568" s="21" t="str">
        <x:v>OPEN</x:v>
      </x:c>
      <x:c r="J568" s="21" t="str">
        <x:v>HOLD</x:v>
      </x:c>
      <x:c r="K568" s="23" t="str">
        <x:v>what burdens and invalid states bound the effect must be accepted before downstream release</x:v>
      </x:c>
    </x:row>
    <x:row r="569">
      <x:c r="B569" s="21" t="str">
        <x:v>BL-00563</x:v>
      </x:c>
      <x:c r="C569" s="21" t="str">
        <x:v>F21-I1</x:v>
      </x:c>
      <x:c r="D569" s="21" t="str">
        <x:v>F21</x:v>
      </x:c>
      <x:c r="E569" s="21" t="str">
        <x:v>B2</x:v>
      </x:c>
      <x:c r="F569" s="21" t="str">
        <x:v>Architecture</x:v>
      </x:c>
      <x:c r="G569" s="21" t="str">
        <x:v>0.0.0</x:v>
      </x:c>
      <x:c r="H569" s="21" t="str">
        <x:v>Independent Evidence and Data Authority</x:v>
      </x:c>
      <x:c r="I569" s="21" t="str">
        <x:v>OPEN</x:v>
      </x:c>
      <x:c r="J569" s="21" t="str">
        <x:v>HOLD</x:v>
      </x:c>
      <x:c r="K569" s="23" t="str">
        <x:v>what interfaces and budgets govern the system must be accepted before downstream release</x:v>
      </x:c>
    </x:row>
    <x:row r="570">
      <x:c r="B570" s="21" t="str">
        <x:v>BL-00564</x:v>
      </x:c>
      <x:c r="C570" s="21" t="str">
        <x:v>F21-I1</x:v>
      </x:c>
      <x:c r="D570" s="21" t="str">
        <x:v>F21</x:v>
      </x:c>
      <x:c r="E570" s="21" t="str">
        <x:v>B3</x:v>
      </x:c>
      <x:c r="F570" s="21" t="str">
        <x:v>Build</x:v>
      </x:c>
      <x:c r="G570" s="21" t="str">
        <x:v>0.0.0</x:v>
      </x:c>
      <x:c r="H570" s="21" t="str">
        <x:v>Independent Evidence and Data Authority</x:v>
      </x:c>
      <x:c r="I570" s="21" t="str">
        <x:v>OPEN</x:v>
      </x:c>
      <x:c r="J570" s="21" t="str">
        <x:v>HOLD</x:v>
      </x:c>
      <x:c r="K570" s="23" t="str">
        <x:v>what exact configuration produced the article must be accepted before downstream release</x:v>
      </x:c>
    </x:row>
    <x:row r="571">
      <x:c r="B571" s="21" t="str">
        <x:v>BL-00565</x:v>
      </x:c>
      <x:c r="C571" s="21" t="str">
        <x:v>F21-I1</x:v>
      </x:c>
      <x:c r="D571" s="21" t="str">
        <x:v>F21</x:v>
      </x:c>
      <x:c r="E571" s="21" t="str">
        <x:v>B4</x:v>
      </x:c>
      <x:c r="F571" s="21" t="str">
        <x:v>Trial</x:v>
      </x:c>
      <x:c r="G571" s="21" t="str">
        <x:v>0.0.0</x:v>
      </x:c>
      <x:c r="H571" s="21" t="str">
        <x:v>Independent Evidence and Data Authority</x:v>
      </x:c>
      <x:c r="I571" s="21" t="str">
        <x:v>OPEN</x:v>
      </x:c>
      <x:c r="J571" s="21" t="str">
        <x:v>HOLD</x:v>
      </x:c>
      <x:c r="K571" s="23" t="str">
        <x:v>what configuration method and damage world produced evidence must be accepted before downstream release</x:v>
      </x:c>
    </x:row>
    <x:row r="572">
      <x:c r="B572" s="21" t="str">
        <x:v>BL-00566</x:v>
      </x:c>
      <x:c r="C572" s="21" t="str">
        <x:v>F21-I1</x:v>
      </x:c>
      <x:c r="D572" s="21" t="str">
        <x:v>F21</x:v>
      </x:c>
      <x:c r="E572" s="21" t="str">
        <x:v>B5</x:v>
      </x:c>
      <x:c r="F572" s="21" t="str">
        <x:v>Production</x:v>
      </x:c>
      <x:c r="G572" s="21" t="str">
        <x:v>0.0.0</x:v>
      </x:c>
      <x:c r="H572" s="21" t="str">
        <x:v>Independent Evidence and Data Authority</x:v>
      </x:c>
      <x:c r="I572" s="21" t="str">
        <x:v>OPEN</x:v>
      </x:c>
      <x:c r="J572" s="21" t="str">
        <x:v>HOLD</x:v>
      </x:c>
      <x:c r="K572" s="23" t="str">
        <x:v>what process configuration and acceptance define serial output must be accepted before downstream release</x:v>
      </x:c>
    </x:row>
    <x:row r="573">
      <x:c r="B573" s="21" t="str">
        <x:v>BL-00567</x:v>
      </x:c>
      <x:c r="C573" s="21" t="str">
        <x:v>F21-I1</x:v>
      </x:c>
      <x:c r="D573" s="21" t="str">
        <x:v>F21</x:v>
      </x:c>
      <x:c r="E573" s="21" t="str">
        <x:v>B6</x:v>
      </x:c>
      <x:c r="F573" s="21" t="str">
        <x:v>Mobilization</x:v>
      </x:c>
      <x:c r="G573" s="21" t="str">
        <x:v>0.0.0</x:v>
      </x:c>
      <x:c r="H573" s="21" t="str">
        <x:v>Independent Evidence and Data Authority</x:v>
      </x:c>
      <x:c r="I573" s="21" t="str">
        <x:v>OPEN</x:v>
      </x:c>
      <x:c r="J573" s="21" t="str">
        <x:v>HOLD</x:v>
      </x:c>
      <x:c r="K573" s="23" t="str">
        <x:v>what people tools suppliers and routes reproduce conforming service must be accepted before downstream release</x:v>
      </x:c>
    </x:row>
    <x:row r="574">
      <x:c r="B574" s="21" t="str">
        <x:v>BL-00568</x:v>
      </x:c>
      <x:c r="C574" s="21" t="str">
        <x:v>F21-I2</x:v>
      </x:c>
      <x:c r="D574" s="21" t="str">
        <x:v>F21</x:v>
      </x:c>
      <x:c r="E574" s="21" t="str">
        <x:v>B0</x:v>
      </x:c>
      <x:c r="F574" s="21" t="str">
        <x:v>Effect</x:v>
      </x:c>
      <x:c r="G574" s="21" t="str">
        <x:v>0.0.0</x:v>
      </x:c>
      <x:c r="H574" s="21" t="str">
        <x:v>Independent Evidence and Data Authority</x:v>
      </x:c>
      <x:c r="I574" s="21" t="str">
        <x:v>OPEN</x:v>
      </x:c>
      <x:c r="J574" s="21" t="str">
        <x:v>HOLD</x:v>
      </x:c>
      <x:c r="K574" s="23" t="str">
        <x:v>what public condition must exist must be accepted before downstream release</x:v>
      </x:c>
    </x:row>
    <x:row r="575">
      <x:c r="B575" s="21" t="str">
        <x:v>BL-00569</x:v>
      </x:c>
      <x:c r="C575" s="21" t="str">
        <x:v>F21-I2</x:v>
      </x:c>
      <x:c r="D575" s="21" t="str">
        <x:v>F21</x:v>
      </x:c>
      <x:c r="E575" s="21" t="str">
        <x:v>B1</x:v>
      </x:c>
      <x:c r="F575" s="21" t="str">
        <x:v>Requirements</x:v>
      </x:c>
      <x:c r="G575" s="21" t="str">
        <x:v>0.0.0</x:v>
      </x:c>
      <x:c r="H575" s="21" t="str">
        <x:v>Independent Evidence and Data Authority</x:v>
      </x:c>
      <x:c r="I575" s="21" t="str">
        <x:v>OPEN</x:v>
      </x:c>
      <x:c r="J575" s="21" t="str">
        <x:v>HOLD</x:v>
      </x:c>
      <x:c r="K575" s="23" t="str">
        <x:v>what burdens and invalid states bound the effect must be accepted before downstream release</x:v>
      </x:c>
    </x:row>
    <x:row r="576">
      <x:c r="B576" s="21" t="str">
        <x:v>BL-00570</x:v>
      </x:c>
      <x:c r="C576" s="21" t="str">
        <x:v>F21-I2</x:v>
      </x:c>
      <x:c r="D576" s="21" t="str">
        <x:v>F21</x:v>
      </x:c>
      <x:c r="E576" s="21" t="str">
        <x:v>B2</x:v>
      </x:c>
      <x:c r="F576" s="21" t="str">
        <x:v>Architecture</x:v>
      </x:c>
      <x:c r="G576" s="21" t="str">
        <x:v>0.0.0</x:v>
      </x:c>
      <x:c r="H576" s="21" t="str">
        <x:v>Independent Evidence and Data Authority</x:v>
      </x:c>
      <x:c r="I576" s="21" t="str">
        <x:v>OPEN</x:v>
      </x:c>
      <x:c r="J576" s="21" t="str">
        <x:v>HOLD</x:v>
      </x:c>
      <x:c r="K576" s="23" t="str">
        <x:v>what interfaces and budgets govern the system must be accepted before downstream release</x:v>
      </x:c>
    </x:row>
    <x:row r="577">
      <x:c r="B577" s="21" t="str">
        <x:v>BL-00571</x:v>
      </x:c>
      <x:c r="C577" s="21" t="str">
        <x:v>F21-I2</x:v>
      </x:c>
      <x:c r="D577" s="21" t="str">
        <x:v>F21</x:v>
      </x:c>
      <x:c r="E577" s="21" t="str">
        <x:v>B3</x:v>
      </x:c>
      <x:c r="F577" s="21" t="str">
        <x:v>Build</x:v>
      </x:c>
      <x:c r="G577" s="21" t="str">
        <x:v>0.0.0</x:v>
      </x:c>
      <x:c r="H577" s="21" t="str">
        <x:v>Independent Evidence and Data Authority</x:v>
      </x:c>
      <x:c r="I577" s="21" t="str">
        <x:v>OPEN</x:v>
      </x:c>
      <x:c r="J577" s="21" t="str">
        <x:v>HOLD</x:v>
      </x:c>
      <x:c r="K577" s="23" t="str">
        <x:v>what exact configuration produced the article must be accepted before downstream release</x:v>
      </x:c>
    </x:row>
    <x:row r="578">
      <x:c r="B578" s="21" t="str">
        <x:v>BL-00572</x:v>
      </x:c>
      <x:c r="C578" s="21" t="str">
        <x:v>F21-I2</x:v>
      </x:c>
      <x:c r="D578" s="21" t="str">
        <x:v>F21</x:v>
      </x:c>
      <x:c r="E578" s="21" t="str">
        <x:v>B4</x:v>
      </x:c>
      <x:c r="F578" s="21" t="str">
        <x:v>Trial</x:v>
      </x:c>
      <x:c r="G578" s="21" t="str">
        <x:v>0.0.0</x:v>
      </x:c>
      <x:c r="H578" s="21" t="str">
        <x:v>Independent Evidence and Data Authority</x:v>
      </x:c>
      <x:c r="I578" s="21" t="str">
        <x:v>OPEN</x:v>
      </x:c>
      <x:c r="J578" s="21" t="str">
        <x:v>HOLD</x:v>
      </x:c>
      <x:c r="K578" s="23" t="str">
        <x:v>what configuration method and damage world produced evidence must be accepted before downstream release</x:v>
      </x:c>
    </x:row>
    <x:row r="579">
      <x:c r="B579" s="21" t="str">
        <x:v>BL-00573</x:v>
      </x:c>
      <x:c r="C579" s="21" t="str">
        <x:v>F21-I2</x:v>
      </x:c>
      <x:c r="D579" s="21" t="str">
        <x:v>F21</x:v>
      </x:c>
      <x:c r="E579" s="21" t="str">
        <x:v>B5</x:v>
      </x:c>
      <x:c r="F579" s="21" t="str">
        <x:v>Production</x:v>
      </x:c>
      <x:c r="G579" s="21" t="str">
        <x:v>0.0.0</x:v>
      </x:c>
      <x:c r="H579" s="21" t="str">
        <x:v>Independent Evidence and Data Authority</x:v>
      </x:c>
      <x:c r="I579" s="21" t="str">
        <x:v>OPEN</x:v>
      </x:c>
      <x:c r="J579" s="21" t="str">
        <x:v>HOLD</x:v>
      </x:c>
      <x:c r="K579" s="23" t="str">
        <x:v>what process configuration and acceptance define serial output must be accepted before downstream release</x:v>
      </x:c>
    </x:row>
    <x:row r="580">
      <x:c r="B580" s="21" t="str">
        <x:v>BL-00574</x:v>
      </x:c>
      <x:c r="C580" s="21" t="str">
        <x:v>F21-I2</x:v>
      </x:c>
      <x:c r="D580" s="21" t="str">
        <x:v>F21</x:v>
      </x:c>
      <x:c r="E580" s="21" t="str">
        <x:v>B6</x:v>
      </x:c>
      <x:c r="F580" s="21" t="str">
        <x:v>Mobilization</x:v>
      </x:c>
      <x:c r="G580" s="21" t="str">
        <x:v>0.0.0</x:v>
      </x:c>
      <x:c r="H580" s="21" t="str">
        <x:v>Independent Evidence and Data Authority</x:v>
      </x:c>
      <x:c r="I580" s="21" t="str">
        <x:v>OPEN</x:v>
      </x:c>
      <x:c r="J580" s="21" t="str">
        <x:v>HOLD</x:v>
      </x:c>
      <x:c r="K580" s="23" t="str">
        <x:v>what people tools suppliers and routes reproduce conforming service must be accepted before downstream release</x:v>
      </x:c>
    </x:row>
    <x:row r="581">
      <x:c r="B581" s="21" t="str">
        <x:v>BL-00575</x:v>
      </x:c>
      <x:c r="C581" s="21" t="str">
        <x:v>F21-I3</x:v>
      </x:c>
      <x:c r="D581" s="21" t="str">
        <x:v>F21</x:v>
      </x:c>
      <x:c r="E581" s="21" t="str">
        <x:v>B0</x:v>
      </x:c>
      <x:c r="F581" s="21" t="str">
        <x:v>Effect</x:v>
      </x:c>
      <x:c r="G581" s="21" t="str">
        <x:v>0.0.0</x:v>
      </x:c>
      <x:c r="H581" s="21" t="str">
        <x:v>Independent Evidence and Data Authority</x:v>
      </x:c>
      <x:c r="I581" s="21" t="str">
        <x:v>OPEN</x:v>
      </x:c>
      <x:c r="J581" s="21" t="str">
        <x:v>HOLD</x:v>
      </x:c>
      <x:c r="K581" s="23" t="str">
        <x:v>what public condition must exist must be accepted before downstream release</x:v>
      </x:c>
    </x:row>
    <x:row r="582">
      <x:c r="B582" s="21" t="str">
        <x:v>BL-00576</x:v>
      </x:c>
      <x:c r="C582" s="21" t="str">
        <x:v>F21-I3</x:v>
      </x:c>
      <x:c r="D582" s="21" t="str">
        <x:v>F21</x:v>
      </x:c>
      <x:c r="E582" s="21" t="str">
        <x:v>B1</x:v>
      </x:c>
      <x:c r="F582" s="21" t="str">
        <x:v>Requirements</x:v>
      </x:c>
      <x:c r="G582" s="21" t="str">
        <x:v>0.0.0</x:v>
      </x:c>
      <x:c r="H582" s="21" t="str">
        <x:v>Independent Evidence and Data Authority</x:v>
      </x:c>
      <x:c r="I582" s="21" t="str">
        <x:v>OPEN</x:v>
      </x:c>
      <x:c r="J582" s="21" t="str">
        <x:v>HOLD</x:v>
      </x:c>
      <x:c r="K582" s="23" t="str">
        <x:v>what burdens and invalid states bound the effect must be accepted before downstream release</x:v>
      </x:c>
    </x:row>
    <x:row r="583">
      <x:c r="B583" s="21" t="str">
        <x:v>BL-00577</x:v>
      </x:c>
      <x:c r="C583" s="21" t="str">
        <x:v>F21-I3</x:v>
      </x:c>
      <x:c r="D583" s="21" t="str">
        <x:v>F21</x:v>
      </x:c>
      <x:c r="E583" s="21" t="str">
        <x:v>B2</x:v>
      </x:c>
      <x:c r="F583" s="21" t="str">
        <x:v>Architecture</x:v>
      </x:c>
      <x:c r="G583" s="21" t="str">
        <x:v>0.0.0</x:v>
      </x:c>
      <x:c r="H583" s="21" t="str">
        <x:v>Independent Evidence and Data Authority</x:v>
      </x:c>
      <x:c r="I583" s="21" t="str">
        <x:v>OPEN</x:v>
      </x:c>
      <x:c r="J583" s="21" t="str">
        <x:v>HOLD</x:v>
      </x:c>
      <x:c r="K583" s="23" t="str">
        <x:v>what interfaces and budgets govern the system must be accepted before downstream release</x:v>
      </x:c>
    </x:row>
    <x:row r="584">
      <x:c r="B584" s="21" t="str">
        <x:v>BL-00578</x:v>
      </x:c>
      <x:c r="C584" s="21" t="str">
        <x:v>F21-I3</x:v>
      </x:c>
      <x:c r="D584" s="21" t="str">
        <x:v>F21</x:v>
      </x:c>
      <x:c r="E584" s="21" t="str">
        <x:v>B3</x:v>
      </x:c>
      <x:c r="F584" s="21" t="str">
        <x:v>Build</x:v>
      </x:c>
      <x:c r="G584" s="21" t="str">
        <x:v>0.0.0</x:v>
      </x:c>
      <x:c r="H584" s="21" t="str">
        <x:v>Independent Evidence and Data Authority</x:v>
      </x:c>
      <x:c r="I584" s="21" t="str">
        <x:v>OPEN</x:v>
      </x:c>
      <x:c r="J584" s="21" t="str">
        <x:v>HOLD</x:v>
      </x:c>
      <x:c r="K584" s="23" t="str">
        <x:v>what exact configuration produced the article must be accepted before downstream release</x:v>
      </x:c>
    </x:row>
    <x:row r="585">
      <x:c r="B585" s="21" t="str">
        <x:v>BL-00579</x:v>
      </x:c>
      <x:c r="C585" s="21" t="str">
        <x:v>F21-I3</x:v>
      </x:c>
      <x:c r="D585" s="21" t="str">
        <x:v>F21</x:v>
      </x:c>
      <x:c r="E585" s="21" t="str">
        <x:v>B4</x:v>
      </x:c>
      <x:c r="F585" s="21" t="str">
        <x:v>Trial</x:v>
      </x:c>
      <x:c r="G585" s="21" t="str">
        <x:v>0.0.0</x:v>
      </x:c>
      <x:c r="H585" s="21" t="str">
        <x:v>Independent Evidence and Data Authority</x:v>
      </x:c>
      <x:c r="I585" s="21" t="str">
        <x:v>OPEN</x:v>
      </x:c>
      <x:c r="J585" s="21" t="str">
        <x:v>HOLD</x:v>
      </x:c>
      <x:c r="K585" s="23" t="str">
        <x:v>what configuration method and damage world produced evidence must be accepted before downstream release</x:v>
      </x:c>
    </x:row>
    <x:row r="586">
      <x:c r="B586" s="21" t="str">
        <x:v>BL-00580</x:v>
      </x:c>
      <x:c r="C586" s="21" t="str">
        <x:v>F21-I3</x:v>
      </x:c>
      <x:c r="D586" s="21" t="str">
        <x:v>F21</x:v>
      </x:c>
      <x:c r="E586" s="21" t="str">
        <x:v>B5</x:v>
      </x:c>
      <x:c r="F586" s="21" t="str">
        <x:v>Production</x:v>
      </x:c>
      <x:c r="G586" s="21" t="str">
        <x:v>0.0.0</x:v>
      </x:c>
      <x:c r="H586" s="21" t="str">
        <x:v>Independent Evidence and Data Authority</x:v>
      </x:c>
      <x:c r="I586" s="21" t="str">
        <x:v>OPEN</x:v>
      </x:c>
      <x:c r="J586" s="21" t="str">
        <x:v>HOLD</x:v>
      </x:c>
      <x:c r="K586" s="23" t="str">
        <x:v>what process configuration and acceptance define serial output must be accepted before downstream release</x:v>
      </x:c>
    </x:row>
    <x:row r="587">
      <x:c r="B587" s="21" t="str">
        <x:v>BL-00581</x:v>
      </x:c>
      <x:c r="C587" s="21" t="str">
        <x:v>F21-I3</x:v>
      </x:c>
      <x:c r="D587" s="21" t="str">
        <x:v>F21</x:v>
      </x:c>
      <x:c r="E587" s="21" t="str">
        <x:v>B6</x:v>
      </x:c>
      <x:c r="F587" s="21" t="str">
        <x:v>Mobilization</x:v>
      </x:c>
      <x:c r="G587" s="21" t="str">
        <x:v>0.0.0</x:v>
      </x:c>
      <x:c r="H587" s="21" t="str">
        <x:v>Independent Evidence and Data Authority</x:v>
      </x:c>
      <x:c r="I587" s="21" t="str">
        <x:v>OPEN</x:v>
      </x:c>
      <x:c r="J587" s="21" t="str">
        <x:v>HOLD</x:v>
      </x:c>
      <x:c r="K587" s="23" t="str">
        <x:v>what people tools suppliers and routes reproduce conforming service must be accepted before downstream release</x:v>
      </x:c>
    </x:row>
    <x:row r="588">
      <x:c r="B588" s="21" t="str">
        <x:v>BL-00582</x:v>
      </x:c>
      <x:c r="C588" s="21" t="str">
        <x:v>F21-I4</x:v>
      </x:c>
      <x:c r="D588" s="21" t="str">
        <x:v>F21</x:v>
      </x:c>
      <x:c r="E588" s="21" t="str">
        <x:v>B0</x:v>
      </x:c>
      <x:c r="F588" s="21" t="str">
        <x:v>Effect</x:v>
      </x:c>
      <x:c r="G588" s="21" t="str">
        <x:v>0.0.0</x:v>
      </x:c>
      <x:c r="H588" s="21" t="str">
        <x:v>Independent Evidence and Data Authority</x:v>
      </x:c>
      <x:c r="I588" s="21" t="str">
        <x:v>OPEN</x:v>
      </x:c>
      <x:c r="J588" s="21" t="str">
        <x:v>HOLD</x:v>
      </x:c>
      <x:c r="K588" s="23" t="str">
        <x:v>what public condition must exist must be accepted before downstream release</x:v>
      </x:c>
    </x:row>
    <x:row r="589">
      <x:c r="B589" s="21" t="str">
        <x:v>BL-00583</x:v>
      </x:c>
      <x:c r="C589" s="21" t="str">
        <x:v>F21-I4</x:v>
      </x:c>
      <x:c r="D589" s="21" t="str">
        <x:v>F21</x:v>
      </x:c>
      <x:c r="E589" s="21" t="str">
        <x:v>B1</x:v>
      </x:c>
      <x:c r="F589" s="21" t="str">
        <x:v>Requirements</x:v>
      </x:c>
      <x:c r="G589" s="21" t="str">
        <x:v>0.0.0</x:v>
      </x:c>
      <x:c r="H589" s="21" t="str">
        <x:v>Independent Evidence and Data Authority</x:v>
      </x:c>
      <x:c r="I589" s="21" t="str">
        <x:v>OPEN</x:v>
      </x:c>
      <x:c r="J589" s="21" t="str">
        <x:v>HOLD</x:v>
      </x:c>
      <x:c r="K589" s="23" t="str">
        <x:v>what burdens and invalid states bound the effect must be accepted before downstream release</x:v>
      </x:c>
    </x:row>
    <x:row r="590">
      <x:c r="B590" s="21" t="str">
        <x:v>BL-00584</x:v>
      </x:c>
      <x:c r="C590" s="21" t="str">
        <x:v>F21-I4</x:v>
      </x:c>
      <x:c r="D590" s="21" t="str">
        <x:v>F21</x:v>
      </x:c>
      <x:c r="E590" s="21" t="str">
        <x:v>B2</x:v>
      </x:c>
      <x:c r="F590" s="21" t="str">
        <x:v>Architecture</x:v>
      </x:c>
      <x:c r="G590" s="21" t="str">
        <x:v>0.0.0</x:v>
      </x:c>
      <x:c r="H590" s="21" t="str">
        <x:v>Independent Evidence and Data Authority</x:v>
      </x:c>
      <x:c r="I590" s="21" t="str">
        <x:v>OPEN</x:v>
      </x:c>
      <x:c r="J590" s="21" t="str">
        <x:v>HOLD</x:v>
      </x:c>
      <x:c r="K590" s="23" t="str">
        <x:v>what interfaces and budgets govern the system must be accepted before downstream release</x:v>
      </x:c>
    </x:row>
    <x:row r="591">
      <x:c r="B591" s="21" t="str">
        <x:v>BL-00585</x:v>
      </x:c>
      <x:c r="C591" s="21" t="str">
        <x:v>F21-I4</x:v>
      </x:c>
      <x:c r="D591" s="21" t="str">
        <x:v>F21</x:v>
      </x:c>
      <x:c r="E591" s="21" t="str">
        <x:v>B3</x:v>
      </x:c>
      <x:c r="F591" s="21" t="str">
        <x:v>Build</x:v>
      </x:c>
      <x:c r="G591" s="21" t="str">
        <x:v>0.0.0</x:v>
      </x:c>
      <x:c r="H591" s="21" t="str">
        <x:v>Independent Evidence and Data Authority</x:v>
      </x:c>
      <x:c r="I591" s="21" t="str">
        <x:v>OPEN</x:v>
      </x:c>
      <x:c r="J591" s="21" t="str">
        <x:v>HOLD</x:v>
      </x:c>
      <x:c r="K591" s="23" t="str">
        <x:v>what exact configuration produced the article must be accepted before downstream release</x:v>
      </x:c>
    </x:row>
    <x:row r="592">
      <x:c r="B592" s="21" t="str">
        <x:v>BL-00586</x:v>
      </x:c>
      <x:c r="C592" s="21" t="str">
        <x:v>F21-I4</x:v>
      </x:c>
      <x:c r="D592" s="21" t="str">
        <x:v>F21</x:v>
      </x:c>
      <x:c r="E592" s="21" t="str">
        <x:v>B4</x:v>
      </x:c>
      <x:c r="F592" s="21" t="str">
        <x:v>Trial</x:v>
      </x:c>
      <x:c r="G592" s="21" t="str">
        <x:v>0.0.0</x:v>
      </x:c>
      <x:c r="H592" s="21" t="str">
        <x:v>Independent Evidence and Data Authority</x:v>
      </x:c>
      <x:c r="I592" s="21" t="str">
        <x:v>OPEN</x:v>
      </x:c>
      <x:c r="J592" s="21" t="str">
        <x:v>HOLD</x:v>
      </x:c>
      <x:c r="K592" s="23" t="str">
        <x:v>what configuration method and damage world produced evidence must be accepted before downstream release</x:v>
      </x:c>
    </x:row>
    <x:row r="593">
      <x:c r="B593" s="21" t="str">
        <x:v>BL-00587</x:v>
      </x:c>
      <x:c r="C593" s="21" t="str">
        <x:v>F21-I4</x:v>
      </x:c>
      <x:c r="D593" s="21" t="str">
        <x:v>F21</x:v>
      </x:c>
      <x:c r="E593" s="21" t="str">
        <x:v>B5</x:v>
      </x:c>
      <x:c r="F593" s="21" t="str">
        <x:v>Production</x:v>
      </x:c>
      <x:c r="G593" s="21" t="str">
        <x:v>0.0.0</x:v>
      </x:c>
      <x:c r="H593" s="21" t="str">
        <x:v>Independent Evidence and Data Authority</x:v>
      </x:c>
      <x:c r="I593" s="21" t="str">
        <x:v>OPEN</x:v>
      </x:c>
      <x:c r="J593" s="21" t="str">
        <x:v>HOLD</x:v>
      </x:c>
      <x:c r="K593" s="23" t="str">
        <x:v>what process configuration and acceptance define serial output must be accepted before downstream release</x:v>
      </x:c>
    </x:row>
    <x:row r="594">
      <x:c r="B594" s="21" t="str">
        <x:v>BL-00588</x:v>
      </x:c>
      <x:c r="C594" s="21" t="str">
        <x:v>F21-I4</x:v>
      </x:c>
      <x:c r="D594" s="21" t="str">
        <x:v>F21</x:v>
      </x:c>
      <x:c r="E594" s="21" t="str">
        <x:v>B6</x:v>
      </x:c>
      <x:c r="F594" s="21" t="str">
        <x:v>Mobilization</x:v>
      </x:c>
      <x:c r="G594" s="21" t="str">
        <x:v>0.0.0</x:v>
      </x:c>
      <x:c r="H594" s="21" t="str">
        <x:v>Independent Evidence and Data Authority</x:v>
      </x:c>
      <x:c r="I594" s="21" t="str">
        <x:v>OPEN</x:v>
      </x:c>
      <x:c r="J594" s="21" t="str">
        <x:v>HOLD</x:v>
      </x:c>
      <x:c r="K594" s="23" t="str">
        <x:v>what people tools suppliers and routes reproduce conforming service must be accepted before downstream release</x:v>
      </x:c>
    </x:row>
    <x:row r="595">
      <x:c r="B595" s="21" t="str">
        <x:v>BL-00589</x:v>
      </x:c>
      <x:c r="C595" s="21" t="str">
        <x:v>F22-I1</x:v>
      </x:c>
      <x:c r="D595" s="21" t="str">
        <x:v>F22</x:v>
      </x:c>
      <x:c r="E595" s="21" t="str">
        <x:v>B0</x:v>
      </x:c>
      <x:c r="F595" s="21" t="str">
        <x:v>Effect</x:v>
      </x:c>
      <x:c r="G595" s="21" t="str">
        <x:v>0.0.0</x:v>
      </x:c>
      <x:c r="H595" s="21" t="str">
        <x:v>Independent Evidence and Data Authority</x:v>
      </x:c>
      <x:c r="I595" s="21" t="str">
        <x:v>OPEN</x:v>
      </x:c>
      <x:c r="J595" s="21" t="str">
        <x:v>HOLD</x:v>
      </x:c>
      <x:c r="K595" s="23" t="str">
        <x:v>what public condition must exist must be accepted before downstream release</x:v>
      </x:c>
    </x:row>
    <x:row r="596">
      <x:c r="B596" s="21" t="str">
        <x:v>BL-00590</x:v>
      </x:c>
      <x:c r="C596" s="21" t="str">
        <x:v>F22-I1</x:v>
      </x:c>
      <x:c r="D596" s="21" t="str">
        <x:v>F22</x:v>
      </x:c>
      <x:c r="E596" s="21" t="str">
        <x:v>B1</x:v>
      </x:c>
      <x:c r="F596" s="21" t="str">
        <x:v>Requirements</x:v>
      </x:c>
      <x:c r="G596" s="21" t="str">
        <x:v>0.0.0</x:v>
      </x:c>
      <x:c r="H596" s="21" t="str">
        <x:v>Independent Evidence and Data Authority</x:v>
      </x:c>
      <x:c r="I596" s="21" t="str">
        <x:v>OPEN</x:v>
      </x:c>
      <x:c r="J596" s="21" t="str">
        <x:v>HOLD</x:v>
      </x:c>
      <x:c r="K596" s="23" t="str">
        <x:v>what burdens and invalid states bound the effect must be accepted before downstream release</x:v>
      </x:c>
    </x:row>
    <x:row r="597">
      <x:c r="B597" s="21" t="str">
        <x:v>BL-00591</x:v>
      </x:c>
      <x:c r="C597" s="21" t="str">
        <x:v>F22-I1</x:v>
      </x:c>
      <x:c r="D597" s="21" t="str">
        <x:v>F22</x:v>
      </x:c>
      <x:c r="E597" s="21" t="str">
        <x:v>B2</x:v>
      </x:c>
      <x:c r="F597" s="21" t="str">
        <x:v>Architecture</x:v>
      </x:c>
      <x:c r="G597" s="21" t="str">
        <x:v>0.0.0</x:v>
      </x:c>
      <x:c r="H597" s="21" t="str">
        <x:v>Independent Evidence and Data Authority</x:v>
      </x:c>
      <x:c r="I597" s="21" t="str">
        <x:v>OPEN</x:v>
      </x:c>
      <x:c r="J597" s="21" t="str">
        <x:v>HOLD</x:v>
      </x:c>
      <x:c r="K597" s="23" t="str">
        <x:v>what interfaces and budgets govern the system must be accepted before downstream release</x:v>
      </x:c>
    </x:row>
    <x:row r="598">
      <x:c r="B598" s="21" t="str">
        <x:v>BL-00592</x:v>
      </x:c>
      <x:c r="C598" s="21" t="str">
        <x:v>F22-I1</x:v>
      </x:c>
      <x:c r="D598" s="21" t="str">
        <x:v>F22</x:v>
      </x:c>
      <x:c r="E598" s="21" t="str">
        <x:v>B3</x:v>
      </x:c>
      <x:c r="F598" s="21" t="str">
        <x:v>Build</x:v>
      </x:c>
      <x:c r="G598" s="21" t="str">
        <x:v>0.0.0</x:v>
      </x:c>
      <x:c r="H598" s="21" t="str">
        <x:v>Independent Evidence and Data Authority</x:v>
      </x:c>
      <x:c r="I598" s="21" t="str">
        <x:v>OPEN</x:v>
      </x:c>
      <x:c r="J598" s="21" t="str">
        <x:v>HOLD</x:v>
      </x:c>
      <x:c r="K598" s="23" t="str">
        <x:v>what exact configuration produced the article must be accepted before downstream release</x:v>
      </x:c>
    </x:row>
    <x:row r="599">
      <x:c r="B599" s="21" t="str">
        <x:v>BL-00593</x:v>
      </x:c>
      <x:c r="C599" s="21" t="str">
        <x:v>F22-I1</x:v>
      </x:c>
      <x:c r="D599" s="21" t="str">
        <x:v>F22</x:v>
      </x:c>
      <x:c r="E599" s="21" t="str">
        <x:v>B4</x:v>
      </x:c>
      <x:c r="F599" s="21" t="str">
        <x:v>Trial</x:v>
      </x:c>
      <x:c r="G599" s="21" t="str">
        <x:v>0.0.0</x:v>
      </x:c>
      <x:c r="H599" s="21" t="str">
        <x:v>Independent Evidence and Data Authority</x:v>
      </x:c>
      <x:c r="I599" s="21" t="str">
        <x:v>OPEN</x:v>
      </x:c>
      <x:c r="J599" s="21" t="str">
        <x:v>HOLD</x:v>
      </x:c>
      <x:c r="K599" s="23" t="str">
        <x:v>what configuration method and damage world produced evidence must be accepted before downstream release</x:v>
      </x:c>
    </x:row>
    <x:row r="600">
      <x:c r="B600" s="21" t="str">
        <x:v>BL-00594</x:v>
      </x:c>
      <x:c r="C600" s="21" t="str">
        <x:v>F22-I1</x:v>
      </x:c>
      <x:c r="D600" s="21" t="str">
        <x:v>F22</x:v>
      </x:c>
      <x:c r="E600" s="21" t="str">
        <x:v>B5</x:v>
      </x:c>
      <x:c r="F600" s="21" t="str">
        <x:v>Production</x:v>
      </x:c>
      <x:c r="G600" s="21" t="str">
        <x:v>0.0.0</x:v>
      </x:c>
      <x:c r="H600" s="21" t="str">
        <x:v>Independent Evidence and Data Authority</x:v>
      </x:c>
      <x:c r="I600" s="21" t="str">
        <x:v>OPEN</x:v>
      </x:c>
      <x:c r="J600" s="21" t="str">
        <x:v>HOLD</x:v>
      </x:c>
      <x:c r="K600" s="23" t="str">
        <x:v>what process configuration and acceptance define serial output must be accepted before downstream release</x:v>
      </x:c>
    </x:row>
    <x:row r="601">
      <x:c r="B601" s="21" t="str">
        <x:v>BL-00595</x:v>
      </x:c>
      <x:c r="C601" s="21" t="str">
        <x:v>F22-I1</x:v>
      </x:c>
      <x:c r="D601" s="21" t="str">
        <x:v>F22</x:v>
      </x:c>
      <x:c r="E601" s="21" t="str">
        <x:v>B6</x:v>
      </x:c>
      <x:c r="F601" s="21" t="str">
        <x:v>Mobilization</x:v>
      </x:c>
      <x:c r="G601" s="21" t="str">
        <x:v>0.0.0</x:v>
      </x:c>
      <x:c r="H601" s="21" t="str">
        <x:v>Independent Evidence and Data Authority</x:v>
      </x:c>
      <x:c r="I601" s="21" t="str">
        <x:v>OPEN</x:v>
      </x:c>
      <x:c r="J601" s="21" t="str">
        <x:v>HOLD</x:v>
      </x:c>
      <x:c r="K601" s="23" t="str">
        <x:v>what people tools suppliers and routes reproduce conforming service must be accepted before downstream release</x:v>
      </x:c>
    </x:row>
    <x:row r="602">
      <x:c r="B602" s="21" t="str">
        <x:v>BL-00596</x:v>
      </x:c>
      <x:c r="C602" s="21" t="str">
        <x:v>F22-I2</x:v>
      </x:c>
      <x:c r="D602" s="21" t="str">
        <x:v>F22</x:v>
      </x:c>
      <x:c r="E602" s="21" t="str">
        <x:v>B0</x:v>
      </x:c>
      <x:c r="F602" s="21" t="str">
        <x:v>Effect</x:v>
      </x:c>
      <x:c r="G602" s="21" t="str">
        <x:v>0.0.0</x:v>
      </x:c>
      <x:c r="H602" s="21" t="str">
        <x:v>Independent Evidence and Data Authority</x:v>
      </x:c>
      <x:c r="I602" s="21" t="str">
        <x:v>OPEN</x:v>
      </x:c>
      <x:c r="J602" s="21" t="str">
        <x:v>HOLD</x:v>
      </x:c>
      <x:c r="K602" s="23" t="str">
        <x:v>what public condition must exist must be accepted before downstream release</x:v>
      </x:c>
    </x:row>
    <x:row r="603">
      <x:c r="B603" s="21" t="str">
        <x:v>BL-00597</x:v>
      </x:c>
      <x:c r="C603" s="21" t="str">
        <x:v>F22-I2</x:v>
      </x:c>
      <x:c r="D603" s="21" t="str">
        <x:v>F22</x:v>
      </x:c>
      <x:c r="E603" s="21" t="str">
        <x:v>B1</x:v>
      </x:c>
      <x:c r="F603" s="21" t="str">
        <x:v>Requirements</x:v>
      </x:c>
      <x:c r="G603" s="21" t="str">
        <x:v>0.0.0</x:v>
      </x:c>
      <x:c r="H603" s="21" t="str">
        <x:v>Independent Evidence and Data Authority</x:v>
      </x:c>
      <x:c r="I603" s="21" t="str">
        <x:v>OPEN</x:v>
      </x:c>
      <x:c r="J603" s="21" t="str">
        <x:v>HOLD</x:v>
      </x:c>
      <x:c r="K603" s="23" t="str">
        <x:v>what burdens and invalid states bound the effect must be accepted before downstream release</x:v>
      </x:c>
    </x:row>
    <x:row r="604">
      <x:c r="B604" s="21" t="str">
        <x:v>BL-00598</x:v>
      </x:c>
      <x:c r="C604" s="21" t="str">
        <x:v>F22-I2</x:v>
      </x:c>
      <x:c r="D604" s="21" t="str">
        <x:v>F22</x:v>
      </x:c>
      <x:c r="E604" s="21" t="str">
        <x:v>B2</x:v>
      </x:c>
      <x:c r="F604" s="21" t="str">
        <x:v>Architecture</x:v>
      </x:c>
      <x:c r="G604" s="21" t="str">
        <x:v>0.0.0</x:v>
      </x:c>
      <x:c r="H604" s="21" t="str">
        <x:v>Independent Evidence and Data Authority</x:v>
      </x:c>
      <x:c r="I604" s="21" t="str">
        <x:v>OPEN</x:v>
      </x:c>
      <x:c r="J604" s="21" t="str">
        <x:v>HOLD</x:v>
      </x:c>
      <x:c r="K604" s="23" t="str">
        <x:v>what interfaces and budgets govern the system must be accepted before downstream release</x:v>
      </x:c>
    </x:row>
    <x:row r="605">
      <x:c r="B605" s="21" t="str">
        <x:v>BL-00599</x:v>
      </x:c>
      <x:c r="C605" s="21" t="str">
        <x:v>F22-I2</x:v>
      </x:c>
      <x:c r="D605" s="21" t="str">
        <x:v>F22</x:v>
      </x:c>
      <x:c r="E605" s="21" t="str">
        <x:v>B3</x:v>
      </x:c>
      <x:c r="F605" s="21" t="str">
        <x:v>Build</x:v>
      </x:c>
      <x:c r="G605" s="21" t="str">
        <x:v>0.0.0</x:v>
      </x:c>
      <x:c r="H605" s="21" t="str">
        <x:v>Independent Evidence and Data Authority</x:v>
      </x:c>
      <x:c r="I605" s="21" t="str">
        <x:v>OPEN</x:v>
      </x:c>
      <x:c r="J605" s="21" t="str">
        <x:v>HOLD</x:v>
      </x:c>
      <x:c r="K605" s="23" t="str">
        <x:v>what exact configuration produced the article must be accepted before downstream release</x:v>
      </x:c>
    </x:row>
    <x:row r="606">
      <x:c r="B606" s="21" t="str">
        <x:v>BL-00600</x:v>
      </x:c>
      <x:c r="C606" s="21" t="str">
        <x:v>F22-I2</x:v>
      </x:c>
      <x:c r="D606" s="21" t="str">
        <x:v>F22</x:v>
      </x:c>
      <x:c r="E606" s="21" t="str">
        <x:v>B4</x:v>
      </x:c>
      <x:c r="F606" s="21" t="str">
        <x:v>Trial</x:v>
      </x:c>
      <x:c r="G606" s="21" t="str">
        <x:v>0.0.0</x:v>
      </x:c>
      <x:c r="H606" s="21" t="str">
        <x:v>Independent Evidence and Data Authority</x:v>
      </x:c>
      <x:c r="I606" s="21" t="str">
        <x:v>OPEN</x:v>
      </x:c>
      <x:c r="J606" s="21" t="str">
        <x:v>HOLD</x:v>
      </x:c>
      <x:c r="K606" s="23" t="str">
        <x:v>what configuration method and damage world produced evidence must be accepted before downstream release</x:v>
      </x:c>
    </x:row>
    <x:row r="607">
      <x:c r="B607" s="21" t="str">
        <x:v>BL-00601</x:v>
      </x:c>
      <x:c r="C607" s="21" t="str">
        <x:v>F22-I2</x:v>
      </x:c>
      <x:c r="D607" s="21" t="str">
        <x:v>F22</x:v>
      </x:c>
      <x:c r="E607" s="21" t="str">
        <x:v>B5</x:v>
      </x:c>
      <x:c r="F607" s="21" t="str">
        <x:v>Production</x:v>
      </x:c>
      <x:c r="G607" s="21" t="str">
        <x:v>0.0.0</x:v>
      </x:c>
      <x:c r="H607" s="21" t="str">
        <x:v>Independent Evidence and Data Authority</x:v>
      </x:c>
      <x:c r="I607" s="21" t="str">
        <x:v>OPEN</x:v>
      </x:c>
      <x:c r="J607" s="21" t="str">
        <x:v>HOLD</x:v>
      </x:c>
      <x:c r="K607" s="23" t="str">
        <x:v>what process configuration and acceptance define serial output must be accepted before downstream release</x:v>
      </x:c>
    </x:row>
    <x:row r="608">
      <x:c r="B608" s="21" t="str">
        <x:v>BL-00602</x:v>
      </x:c>
      <x:c r="C608" s="21" t="str">
        <x:v>F22-I2</x:v>
      </x:c>
      <x:c r="D608" s="21" t="str">
        <x:v>F22</x:v>
      </x:c>
      <x:c r="E608" s="21" t="str">
        <x:v>B6</x:v>
      </x:c>
      <x:c r="F608" s="21" t="str">
        <x:v>Mobilization</x:v>
      </x:c>
      <x:c r="G608" s="21" t="str">
        <x:v>0.0.0</x:v>
      </x:c>
      <x:c r="H608" s="21" t="str">
        <x:v>Independent Evidence and Data Authority</x:v>
      </x:c>
      <x:c r="I608" s="21" t="str">
        <x:v>OPEN</x:v>
      </x:c>
      <x:c r="J608" s="21" t="str">
        <x:v>HOLD</x:v>
      </x:c>
      <x:c r="K608" s="23" t="str">
        <x:v>what people tools suppliers and routes reproduce conforming service must be accepted before downstream release</x:v>
      </x:c>
    </x:row>
    <x:row r="609">
      <x:c r="B609" s="21" t="str">
        <x:v>BL-00603</x:v>
      </x:c>
      <x:c r="C609" s="21" t="str">
        <x:v>F22-I3</x:v>
      </x:c>
      <x:c r="D609" s="21" t="str">
        <x:v>F22</x:v>
      </x:c>
      <x:c r="E609" s="21" t="str">
        <x:v>B0</x:v>
      </x:c>
      <x:c r="F609" s="21" t="str">
        <x:v>Effect</x:v>
      </x:c>
      <x:c r="G609" s="21" t="str">
        <x:v>0.0.0</x:v>
      </x:c>
      <x:c r="H609" s="21" t="str">
        <x:v>Independent Evidence and Data Authority</x:v>
      </x:c>
      <x:c r="I609" s="21" t="str">
        <x:v>OPEN</x:v>
      </x:c>
      <x:c r="J609" s="21" t="str">
        <x:v>HOLD</x:v>
      </x:c>
      <x:c r="K609" s="23" t="str">
        <x:v>what public condition must exist must be accepted before downstream release</x:v>
      </x:c>
    </x:row>
    <x:row r="610">
      <x:c r="B610" s="21" t="str">
        <x:v>BL-00604</x:v>
      </x:c>
      <x:c r="C610" s="21" t="str">
        <x:v>F22-I3</x:v>
      </x:c>
      <x:c r="D610" s="21" t="str">
        <x:v>F22</x:v>
      </x:c>
      <x:c r="E610" s="21" t="str">
        <x:v>B1</x:v>
      </x:c>
      <x:c r="F610" s="21" t="str">
        <x:v>Requirements</x:v>
      </x:c>
      <x:c r="G610" s="21" t="str">
        <x:v>0.0.0</x:v>
      </x:c>
      <x:c r="H610" s="21" t="str">
        <x:v>Independent Evidence and Data Authority</x:v>
      </x:c>
      <x:c r="I610" s="21" t="str">
        <x:v>OPEN</x:v>
      </x:c>
      <x:c r="J610" s="21" t="str">
        <x:v>HOLD</x:v>
      </x:c>
      <x:c r="K610" s="23" t="str">
        <x:v>what burdens and invalid states bound the effect must be accepted before downstream release</x:v>
      </x:c>
    </x:row>
    <x:row r="611">
      <x:c r="B611" s="21" t="str">
        <x:v>BL-00605</x:v>
      </x:c>
      <x:c r="C611" s="21" t="str">
        <x:v>F22-I3</x:v>
      </x:c>
      <x:c r="D611" s="21" t="str">
        <x:v>F22</x:v>
      </x:c>
      <x:c r="E611" s="21" t="str">
        <x:v>B2</x:v>
      </x:c>
      <x:c r="F611" s="21" t="str">
        <x:v>Architecture</x:v>
      </x:c>
      <x:c r="G611" s="21" t="str">
        <x:v>0.0.0</x:v>
      </x:c>
      <x:c r="H611" s="21" t="str">
        <x:v>Independent Evidence and Data Authority</x:v>
      </x:c>
      <x:c r="I611" s="21" t="str">
        <x:v>OPEN</x:v>
      </x:c>
      <x:c r="J611" s="21" t="str">
        <x:v>HOLD</x:v>
      </x:c>
      <x:c r="K611" s="23" t="str">
        <x:v>what interfaces and budgets govern the system must be accepted before downstream release</x:v>
      </x:c>
    </x:row>
    <x:row r="612">
      <x:c r="B612" s="21" t="str">
        <x:v>BL-00606</x:v>
      </x:c>
      <x:c r="C612" s="21" t="str">
        <x:v>F22-I3</x:v>
      </x:c>
      <x:c r="D612" s="21" t="str">
        <x:v>F22</x:v>
      </x:c>
      <x:c r="E612" s="21" t="str">
        <x:v>B3</x:v>
      </x:c>
      <x:c r="F612" s="21" t="str">
        <x:v>Build</x:v>
      </x:c>
      <x:c r="G612" s="21" t="str">
        <x:v>0.0.0</x:v>
      </x:c>
      <x:c r="H612" s="21" t="str">
        <x:v>Independent Evidence and Data Authority</x:v>
      </x:c>
      <x:c r="I612" s="21" t="str">
        <x:v>OPEN</x:v>
      </x:c>
      <x:c r="J612" s="21" t="str">
        <x:v>HOLD</x:v>
      </x:c>
      <x:c r="K612" s="23" t="str">
        <x:v>what exact configuration produced the article must be accepted before downstream release</x:v>
      </x:c>
    </x:row>
    <x:row r="613">
      <x:c r="B613" s="21" t="str">
        <x:v>BL-00607</x:v>
      </x:c>
      <x:c r="C613" s="21" t="str">
        <x:v>F22-I3</x:v>
      </x:c>
      <x:c r="D613" s="21" t="str">
        <x:v>F22</x:v>
      </x:c>
      <x:c r="E613" s="21" t="str">
        <x:v>B4</x:v>
      </x:c>
      <x:c r="F613" s="21" t="str">
        <x:v>Trial</x:v>
      </x:c>
      <x:c r="G613" s="21" t="str">
        <x:v>0.0.0</x:v>
      </x:c>
      <x:c r="H613" s="21" t="str">
        <x:v>Independent Evidence and Data Authority</x:v>
      </x:c>
      <x:c r="I613" s="21" t="str">
        <x:v>OPEN</x:v>
      </x:c>
      <x:c r="J613" s="21" t="str">
        <x:v>HOLD</x:v>
      </x:c>
      <x:c r="K613" s="23" t="str">
        <x:v>what configuration method and damage world produced evidence must be accepted before downstream release</x:v>
      </x:c>
    </x:row>
    <x:row r="614">
      <x:c r="B614" s="21" t="str">
        <x:v>BL-00608</x:v>
      </x:c>
      <x:c r="C614" s="21" t="str">
        <x:v>F22-I3</x:v>
      </x:c>
      <x:c r="D614" s="21" t="str">
        <x:v>F22</x:v>
      </x:c>
      <x:c r="E614" s="21" t="str">
        <x:v>B5</x:v>
      </x:c>
      <x:c r="F614" s="21" t="str">
        <x:v>Production</x:v>
      </x:c>
      <x:c r="G614" s="21" t="str">
        <x:v>0.0.0</x:v>
      </x:c>
      <x:c r="H614" s="21" t="str">
        <x:v>Independent Evidence and Data Authority</x:v>
      </x:c>
      <x:c r="I614" s="21" t="str">
        <x:v>OPEN</x:v>
      </x:c>
      <x:c r="J614" s="21" t="str">
        <x:v>HOLD</x:v>
      </x:c>
      <x:c r="K614" s="23" t="str">
        <x:v>what process configuration and acceptance define serial output must be accepted before downstream release</x:v>
      </x:c>
    </x:row>
    <x:row r="615">
      <x:c r="B615" s="21" t="str">
        <x:v>BL-00609</x:v>
      </x:c>
      <x:c r="C615" s="21" t="str">
        <x:v>F22-I3</x:v>
      </x:c>
      <x:c r="D615" s="21" t="str">
        <x:v>F22</x:v>
      </x:c>
      <x:c r="E615" s="21" t="str">
        <x:v>B6</x:v>
      </x:c>
      <x:c r="F615" s="21" t="str">
        <x:v>Mobilization</x:v>
      </x:c>
      <x:c r="G615" s="21" t="str">
        <x:v>0.0.0</x:v>
      </x:c>
      <x:c r="H615" s="21" t="str">
        <x:v>Independent Evidence and Data Authority</x:v>
      </x:c>
      <x:c r="I615" s="21" t="str">
        <x:v>OPEN</x:v>
      </x:c>
      <x:c r="J615" s="21" t="str">
        <x:v>HOLD</x:v>
      </x:c>
      <x:c r="K615" s="23" t="str">
        <x:v>what people tools suppliers and routes reproduce conforming service must be accepted before downstream release</x:v>
      </x:c>
    </x:row>
    <x:row r="616">
      <x:c r="B616" s="21" t="str">
        <x:v>BL-00610</x:v>
      </x:c>
      <x:c r="C616" s="21" t="str">
        <x:v>F22-I4</x:v>
      </x:c>
      <x:c r="D616" s="21" t="str">
        <x:v>F22</x:v>
      </x:c>
      <x:c r="E616" s="21" t="str">
        <x:v>B0</x:v>
      </x:c>
      <x:c r="F616" s="21" t="str">
        <x:v>Effect</x:v>
      </x:c>
      <x:c r="G616" s="21" t="str">
        <x:v>0.0.0</x:v>
      </x:c>
      <x:c r="H616" s="21" t="str">
        <x:v>Independent Evidence and Data Authority</x:v>
      </x:c>
      <x:c r="I616" s="21" t="str">
        <x:v>OPEN</x:v>
      </x:c>
      <x:c r="J616" s="21" t="str">
        <x:v>HOLD</x:v>
      </x:c>
      <x:c r="K616" s="23" t="str">
        <x:v>what public condition must exist must be accepted before downstream release</x:v>
      </x:c>
    </x:row>
    <x:row r="617">
      <x:c r="B617" s="21" t="str">
        <x:v>BL-00611</x:v>
      </x:c>
      <x:c r="C617" s="21" t="str">
        <x:v>F22-I4</x:v>
      </x:c>
      <x:c r="D617" s="21" t="str">
        <x:v>F22</x:v>
      </x:c>
      <x:c r="E617" s="21" t="str">
        <x:v>B1</x:v>
      </x:c>
      <x:c r="F617" s="21" t="str">
        <x:v>Requirements</x:v>
      </x:c>
      <x:c r="G617" s="21" t="str">
        <x:v>0.0.0</x:v>
      </x:c>
      <x:c r="H617" s="21" t="str">
        <x:v>Independent Evidence and Data Authority</x:v>
      </x:c>
      <x:c r="I617" s="21" t="str">
        <x:v>OPEN</x:v>
      </x:c>
      <x:c r="J617" s="21" t="str">
        <x:v>HOLD</x:v>
      </x:c>
      <x:c r="K617" s="23" t="str">
        <x:v>what burdens and invalid states bound the effect must be accepted before downstream release</x:v>
      </x:c>
    </x:row>
    <x:row r="618">
      <x:c r="B618" s="21" t="str">
        <x:v>BL-00612</x:v>
      </x:c>
      <x:c r="C618" s="21" t="str">
        <x:v>F22-I4</x:v>
      </x:c>
      <x:c r="D618" s="21" t="str">
        <x:v>F22</x:v>
      </x:c>
      <x:c r="E618" s="21" t="str">
        <x:v>B2</x:v>
      </x:c>
      <x:c r="F618" s="21" t="str">
        <x:v>Architecture</x:v>
      </x:c>
      <x:c r="G618" s="21" t="str">
        <x:v>0.0.0</x:v>
      </x:c>
      <x:c r="H618" s="21" t="str">
        <x:v>Independent Evidence and Data Authority</x:v>
      </x:c>
      <x:c r="I618" s="21" t="str">
        <x:v>OPEN</x:v>
      </x:c>
      <x:c r="J618" s="21" t="str">
        <x:v>HOLD</x:v>
      </x:c>
      <x:c r="K618" s="23" t="str">
        <x:v>what interfaces and budgets govern the system must be accepted before downstream release</x:v>
      </x:c>
    </x:row>
    <x:row r="619">
      <x:c r="B619" s="21" t="str">
        <x:v>BL-00613</x:v>
      </x:c>
      <x:c r="C619" s="21" t="str">
        <x:v>F22-I4</x:v>
      </x:c>
      <x:c r="D619" s="21" t="str">
        <x:v>F22</x:v>
      </x:c>
      <x:c r="E619" s="21" t="str">
        <x:v>B3</x:v>
      </x:c>
      <x:c r="F619" s="21" t="str">
        <x:v>Build</x:v>
      </x:c>
      <x:c r="G619" s="21" t="str">
        <x:v>0.0.0</x:v>
      </x:c>
      <x:c r="H619" s="21" t="str">
        <x:v>Independent Evidence and Data Authority</x:v>
      </x:c>
      <x:c r="I619" s="21" t="str">
        <x:v>OPEN</x:v>
      </x:c>
      <x:c r="J619" s="21" t="str">
        <x:v>HOLD</x:v>
      </x:c>
      <x:c r="K619" s="23" t="str">
        <x:v>what exact configuration produced the article must be accepted before downstream release</x:v>
      </x:c>
    </x:row>
    <x:row r="620">
      <x:c r="B620" s="21" t="str">
        <x:v>BL-00614</x:v>
      </x:c>
      <x:c r="C620" s="21" t="str">
        <x:v>F22-I4</x:v>
      </x:c>
      <x:c r="D620" s="21" t="str">
        <x:v>F22</x:v>
      </x:c>
      <x:c r="E620" s="21" t="str">
        <x:v>B4</x:v>
      </x:c>
      <x:c r="F620" s="21" t="str">
        <x:v>Trial</x:v>
      </x:c>
      <x:c r="G620" s="21" t="str">
        <x:v>0.0.0</x:v>
      </x:c>
      <x:c r="H620" s="21" t="str">
        <x:v>Independent Evidence and Data Authority</x:v>
      </x:c>
      <x:c r="I620" s="21" t="str">
        <x:v>OPEN</x:v>
      </x:c>
      <x:c r="J620" s="21" t="str">
        <x:v>HOLD</x:v>
      </x:c>
      <x:c r="K620" s="23" t="str">
        <x:v>what configuration method and damage world produced evidence must be accepted before downstream release</x:v>
      </x:c>
    </x:row>
    <x:row r="621">
      <x:c r="B621" s="21" t="str">
        <x:v>BL-00615</x:v>
      </x:c>
      <x:c r="C621" s="21" t="str">
        <x:v>F22-I4</x:v>
      </x:c>
      <x:c r="D621" s="21" t="str">
        <x:v>F22</x:v>
      </x:c>
      <x:c r="E621" s="21" t="str">
        <x:v>B5</x:v>
      </x:c>
      <x:c r="F621" s="21" t="str">
        <x:v>Production</x:v>
      </x:c>
      <x:c r="G621" s="21" t="str">
        <x:v>0.0.0</x:v>
      </x:c>
      <x:c r="H621" s="21" t="str">
        <x:v>Independent Evidence and Data Authority</x:v>
      </x:c>
      <x:c r="I621" s="21" t="str">
        <x:v>OPEN</x:v>
      </x:c>
      <x:c r="J621" s="21" t="str">
        <x:v>HOLD</x:v>
      </x:c>
      <x:c r="K621" s="23" t="str">
        <x:v>what process configuration and acceptance define serial output must be accepted before downstream release</x:v>
      </x:c>
    </x:row>
    <x:row r="622">
      <x:c r="B622" s="21" t="str">
        <x:v>BL-00616</x:v>
      </x:c>
      <x:c r="C622" s="21" t="str">
        <x:v>F22-I4</x:v>
      </x:c>
      <x:c r="D622" s="21" t="str">
        <x:v>F22</x:v>
      </x:c>
      <x:c r="E622" s="21" t="str">
        <x:v>B6</x:v>
      </x:c>
      <x:c r="F622" s="21" t="str">
        <x:v>Mobilization</x:v>
      </x:c>
      <x:c r="G622" s="21" t="str">
        <x:v>0.0.0</x:v>
      </x:c>
      <x:c r="H622" s="21" t="str">
        <x:v>Independent Evidence and Data Authority</x:v>
      </x:c>
      <x:c r="I622" s="21" t="str">
        <x:v>OPEN</x:v>
      </x:c>
      <x:c r="J622" s="21" t="str">
        <x:v>HOLD</x:v>
      </x:c>
      <x:c r="K622" s="23" t="str">
        <x:v>what people tools suppliers and routes reproduce conforming service must be accepted before downstream release</x:v>
      </x:c>
    </x:row>
    <x:row r="623">
      <x:c r="B623" s="21" t="str">
        <x:v>BL-00617</x:v>
      </x:c>
      <x:c r="C623" s="21" t="str">
        <x:v>F23-I1</x:v>
      </x:c>
      <x:c r="D623" s="21" t="str">
        <x:v>F23</x:v>
      </x:c>
      <x:c r="E623" s="21" t="str">
        <x:v>B0</x:v>
      </x:c>
      <x:c r="F623" s="21" t="str">
        <x:v>Effect</x:v>
      </x:c>
      <x:c r="G623" s="21" t="str">
        <x:v>0.0.0</x:v>
      </x:c>
      <x:c r="H623" s="21" t="str">
        <x:v>Independent Evidence and Data Authority</x:v>
      </x:c>
      <x:c r="I623" s="21" t="str">
        <x:v>OPEN</x:v>
      </x:c>
      <x:c r="J623" s="21" t="str">
        <x:v>HOLD</x:v>
      </x:c>
      <x:c r="K623" s="23" t="str">
        <x:v>what public condition must exist must be accepted before downstream release</x:v>
      </x:c>
    </x:row>
    <x:row r="624">
      <x:c r="B624" s="21" t="str">
        <x:v>BL-00618</x:v>
      </x:c>
      <x:c r="C624" s="21" t="str">
        <x:v>F23-I1</x:v>
      </x:c>
      <x:c r="D624" s="21" t="str">
        <x:v>F23</x:v>
      </x:c>
      <x:c r="E624" s="21" t="str">
        <x:v>B1</x:v>
      </x:c>
      <x:c r="F624" s="21" t="str">
        <x:v>Requirements</x:v>
      </x:c>
      <x:c r="G624" s="21" t="str">
        <x:v>0.0.0</x:v>
      </x:c>
      <x:c r="H624" s="21" t="str">
        <x:v>Independent Evidence and Data Authority</x:v>
      </x:c>
      <x:c r="I624" s="21" t="str">
        <x:v>OPEN</x:v>
      </x:c>
      <x:c r="J624" s="21" t="str">
        <x:v>HOLD</x:v>
      </x:c>
      <x:c r="K624" s="23" t="str">
        <x:v>what burdens and invalid states bound the effect must be accepted before downstream release</x:v>
      </x:c>
    </x:row>
    <x:row r="625">
      <x:c r="B625" s="21" t="str">
        <x:v>BL-00619</x:v>
      </x:c>
      <x:c r="C625" s="21" t="str">
        <x:v>F23-I1</x:v>
      </x:c>
      <x:c r="D625" s="21" t="str">
        <x:v>F23</x:v>
      </x:c>
      <x:c r="E625" s="21" t="str">
        <x:v>B2</x:v>
      </x:c>
      <x:c r="F625" s="21" t="str">
        <x:v>Architecture</x:v>
      </x:c>
      <x:c r="G625" s="21" t="str">
        <x:v>0.0.0</x:v>
      </x:c>
      <x:c r="H625" s="21" t="str">
        <x:v>Independent Evidence and Data Authority</x:v>
      </x:c>
      <x:c r="I625" s="21" t="str">
        <x:v>OPEN</x:v>
      </x:c>
      <x:c r="J625" s="21" t="str">
        <x:v>HOLD</x:v>
      </x:c>
      <x:c r="K625" s="23" t="str">
        <x:v>what interfaces and budgets govern the system must be accepted before downstream release</x:v>
      </x:c>
    </x:row>
    <x:row r="626">
      <x:c r="B626" s="21" t="str">
        <x:v>BL-00620</x:v>
      </x:c>
      <x:c r="C626" s="21" t="str">
        <x:v>F23-I1</x:v>
      </x:c>
      <x:c r="D626" s="21" t="str">
        <x:v>F23</x:v>
      </x:c>
      <x:c r="E626" s="21" t="str">
        <x:v>B3</x:v>
      </x:c>
      <x:c r="F626" s="21" t="str">
        <x:v>Build</x:v>
      </x:c>
      <x:c r="G626" s="21" t="str">
        <x:v>0.0.0</x:v>
      </x:c>
      <x:c r="H626" s="21" t="str">
        <x:v>Independent Evidence and Data Authority</x:v>
      </x:c>
      <x:c r="I626" s="21" t="str">
        <x:v>OPEN</x:v>
      </x:c>
      <x:c r="J626" s="21" t="str">
        <x:v>HOLD</x:v>
      </x:c>
      <x:c r="K626" s="23" t="str">
        <x:v>what exact configuration produced the article must be accepted before downstream release</x:v>
      </x:c>
    </x:row>
    <x:row r="627">
      <x:c r="B627" s="21" t="str">
        <x:v>BL-00621</x:v>
      </x:c>
      <x:c r="C627" s="21" t="str">
        <x:v>F23-I1</x:v>
      </x:c>
      <x:c r="D627" s="21" t="str">
        <x:v>F23</x:v>
      </x:c>
      <x:c r="E627" s="21" t="str">
        <x:v>B4</x:v>
      </x:c>
      <x:c r="F627" s="21" t="str">
        <x:v>Trial</x:v>
      </x:c>
      <x:c r="G627" s="21" t="str">
        <x:v>0.0.0</x:v>
      </x:c>
      <x:c r="H627" s="21" t="str">
        <x:v>Independent Evidence and Data Authority</x:v>
      </x:c>
      <x:c r="I627" s="21" t="str">
        <x:v>OPEN</x:v>
      </x:c>
      <x:c r="J627" s="21" t="str">
        <x:v>HOLD</x:v>
      </x:c>
      <x:c r="K627" s="23" t="str">
        <x:v>what configuration method and damage world produced evidence must be accepted before downstream release</x:v>
      </x:c>
    </x:row>
    <x:row r="628">
      <x:c r="B628" s="21" t="str">
        <x:v>BL-00622</x:v>
      </x:c>
      <x:c r="C628" s="21" t="str">
        <x:v>F23-I1</x:v>
      </x:c>
      <x:c r="D628" s="21" t="str">
        <x:v>F23</x:v>
      </x:c>
      <x:c r="E628" s="21" t="str">
        <x:v>B5</x:v>
      </x:c>
      <x:c r="F628" s="21" t="str">
        <x:v>Production</x:v>
      </x:c>
      <x:c r="G628" s="21" t="str">
        <x:v>0.0.0</x:v>
      </x:c>
      <x:c r="H628" s="21" t="str">
        <x:v>Independent Evidence and Data Authority</x:v>
      </x:c>
      <x:c r="I628" s="21" t="str">
        <x:v>OPEN</x:v>
      </x:c>
      <x:c r="J628" s="21" t="str">
        <x:v>HOLD</x:v>
      </x:c>
      <x:c r="K628" s="23" t="str">
        <x:v>what process configuration and acceptance define serial output must be accepted before downstream release</x:v>
      </x:c>
    </x:row>
    <x:row r="629">
      <x:c r="B629" s="21" t="str">
        <x:v>BL-00623</x:v>
      </x:c>
      <x:c r="C629" s="21" t="str">
        <x:v>F23-I1</x:v>
      </x:c>
      <x:c r="D629" s="21" t="str">
        <x:v>F23</x:v>
      </x:c>
      <x:c r="E629" s="21" t="str">
        <x:v>B6</x:v>
      </x:c>
      <x:c r="F629" s="21" t="str">
        <x:v>Mobilization</x:v>
      </x:c>
      <x:c r="G629" s="21" t="str">
        <x:v>0.0.0</x:v>
      </x:c>
      <x:c r="H629" s="21" t="str">
        <x:v>Independent Evidence and Data Authority</x:v>
      </x:c>
      <x:c r="I629" s="21" t="str">
        <x:v>OPEN</x:v>
      </x:c>
      <x:c r="J629" s="21" t="str">
        <x:v>HOLD</x:v>
      </x:c>
      <x:c r="K629" s="23" t="str">
        <x:v>what people tools suppliers and routes reproduce conforming service must be accepted before downstream release</x:v>
      </x:c>
    </x:row>
    <x:row r="630">
      <x:c r="B630" s="21" t="str">
        <x:v>BL-00624</x:v>
      </x:c>
      <x:c r="C630" s="21" t="str">
        <x:v>F23-I2</x:v>
      </x:c>
      <x:c r="D630" s="21" t="str">
        <x:v>F23</x:v>
      </x:c>
      <x:c r="E630" s="21" t="str">
        <x:v>B0</x:v>
      </x:c>
      <x:c r="F630" s="21" t="str">
        <x:v>Effect</x:v>
      </x:c>
      <x:c r="G630" s="21" t="str">
        <x:v>0.0.0</x:v>
      </x:c>
      <x:c r="H630" s="21" t="str">
        <x:v>Independent Evidence and Data Authority</x:v>
      </x:c>
      <x:c r="I630" s="21" t="str">
        <x:v>OPEN</x:v>
      </x:c>
      <x:c r="J630" s="21" t="str">
        <x:v>HOLD</x:v>
      </x:c>
      <x:c r="K630" s="23" t="str">
        <x:v>what public condition must exist must be accepted before downstream release</x:v>
      </x:c>
    </x:row>
    <x:row r="631">
      <x:c r="B631" s="21" t="str">
        <x:v>BL-00625</x:v>
      </x:c>
      <x:c r="C631" s="21" t="str">
        <x:v>F23-I2</x:v>
      </x:c>
      <x:c r="D631" s="21" t="str">
        <x:v>F23</x:v>
      </x:c>
      <x:c r="E631" s="21" t="str">
        <x:v>B1</x:v>
      </x:c>
      <x:c r="F631" s="21" t="str">
        <x:v>Requirements</x:v>
      </x:c>
      <x:c r="G631" s="21" t="str">
        <x:v>0.0.0</x:v>
      </x:c>
      <x:c r="H631" s="21" t="str">
        <x:v>Independent Evidence and Data Authority</x:v>
      </x:c>
      <x:c r="I631" s="21" t="str">
        <x:v>OPEN</x:v>
      </x:c>
      <x:c r="J631" s="21" t="str">
        <x:v>HOLD</x:v>
      </x:c>
      <x:c r="K631" s="23" t="str">
        <x:v>what burdens and invalid states bound the effect must be accepted before downstream release</x:v>
      </x:c>
    </x:row>
    <x:row r="632">
      <x:c r="B632" s="21" t="str">
        <x:v>BL-00626</x:v>
      </x:c>
      <x:c r="C632" s="21" t="str">
        <x:v>F23-I2</x:v>
      </x:c>
      <x:c r="D632" s="21" t="str">
        <x:v>F23</x:v>
      </x:c>
      <x:c r="E632" s="21" t="str">
        <x:v>B2</x:v>
      </x:c>
      <x:c r="F632" s="21" t="str">
        <x:v>Architecture</x:v>
      </x:c>
      <x:c r="G632" s="21" t="str">
        <x:v>0.0.0</x:v>
      </x:c>
      <x:c r="H632" s="21" t="str">
        <x:v>Independent Evidence and Data Authority</x:v>
      </x:c>
      <x:c r="I632" s="21" t="str">
        <x:v>OPEN</x:v>
      </x:c>
      <x:c r="J632" s="21" t="str">
        <x:v>HOLD</x:v>
      </x:c>
      <x:c r="K632" s="23" t="str">
        <x:v>what interfaces and budgets govern the system must be accepted before downstream release</x:v>
      </x:c>
    </x:row>
    <x:row r="633">
      <x:c r="B633" s="21" t="str">
        <x:v>BL-00627</x:v>
      </x:c>
      <x:c r="C633" s="21" t="str">
        <x:v>F23-I2</x:v>
      </x:c>
      <x:c r="D633" s="21" t="str">
        <x:v>F23</x:v>
      </x:c>
      <x:c r="E633" s="21" t="str">
        <x:v>B3</x:v>
      </x:c>
      <x:c r="F633" s="21" t="str">
        <x:v>Build</x:v>
      </x:c>
      <x:c r="G633" s="21" t="str">
        <x:v>0.0.0</x:v>
      </x:c>
      <x:c r="H633" s="21" t="str">
        <x:v>Independent Evidence and Data Authority</x:v>
      </x:c>
      <x:c r="I633" s="21" t="str">
        <x:v>OPEN</x:v>
      </x:c>
      <x:c r="J633" s="21" t="str">
        <x:v>HOLD</x:v>
      </x:c>
      <x:c r="K633" s="23" t="str">
        <x:v>what exact configuration produced the article must be accepted before downstream release</x:v>
      </x:c>
    </x:row>
    <x:row r="634">
      <x:c r="B634" s="21" t="str">
        <x:v>BL-00628</x:v>
      </x:c>
      <x:c r="C634" s="21" t="str">
        <x:v>F23-I2</x:v>
      </x:c>
      <x:c r="D634" s="21" t="str">
        <x:v>F23</x:v>
      </x:c>
      <x:c r="E634" s="21" t="str">
        <x:v>B4</x:v>
      </x:c>
      <x:c r="F634" s="21" t="str">
        <x:v>Trial</x:v>
      </x:c>
      <x:c r="G634" s="21" t="str">
        <x:v>0.0.0</x:v>
      </x:c>
      <x:c r="H634" s="21" t="str">
        <x:v>Independent Evidence and Data Authority</x:v>
      </x:c>
      <x:c r="I634" s="21" t="str">
        <x:v>OPEN</x:v>
      </x:c>
      <x:c r="J634" s="21" t="str">
        <x:v>HOLD</x:v>
      </x:c>
      <x:c r="K634" s="23" t="str">
        <x:v>what configuration method and damage world produced evidence must be accepted before downstream release</x:v>
      </x:c>
    </x:row>
    <x:row r="635">
      <x:c r="B635" s="21" t="str">
        <x:v>BL-00629</x:v>
      </x:c>
      <x:c r="C635" s="21" t="str">
        <x:v>F23-I2</x:v>
      </x:c>
      <x:c r="D635" s="21" t="str">
        <x:v>F23</x:v>
      </x:c>
      <x:c r="E635" s="21" t="str">
        <x:v>B5</x:v>
      </x:c>
      <x:c r="F635" s="21" t="str">
        <x:v>Production</x:v>
      </x:c>
      <x:c r="G635" s="21" t="str">
        <x:v>0.0.0</x:v>
      </x:c>
      <x:c r="H635" s="21" t="str">
        <x:v>Independent Evidence and Data Authority</x:v>
      </x:c>
      <x:c r="I635" s="21" t="str">
        <x:v>OPEN</x:v>
      </x:c>
      <x:c r="J635" s="21" t="str">
        <x:v>HOLD</x:v>
      </x:c>
      <x:c r="K635" s="23" t="str">
        <x:v>what process configuration and acceptance define serial output must be accepted before downstream release</x:v>
      </x:c>
    </x:row>
    <x:row r="636">
      <x:c r="B636" s="21" t="str">
        <x:v>BL-00630</x:v>
      </x:c>
      <x:c r="C636" s="21" t="str">
        <x:v>F23-I2</x:v>
      </x:c>
      <x:c r="D636" s="21" t="str">
        <x:v>F23</x:v>
      </x:c>
      <x:c r="E636" s="21" t="str">
        <x:v>B6</x:v>
      </x:c>
      <x:c r="F636" s="21" t="str">
        <x:v>Mobilization</x:v>
      </x:c>
      <x:c r="G636" s="21" t="str">
        <x:v>0.0.0</x:v>
      </x:c>
      <x:c r="H636" s="21" t="str">
        <x:v>Independent Evidence and Data Authority</x:v>
      </x:c>
      <x:c r="I636" s="21" t="str">
        <x:v>OPEN</x:v>
      </x:c>
      <x:c r="J636" s="21" t="str">
        <x:v>HOLD</x:v>
      </x:c>
      <x:c r="K636" s="23" t="str">
        <x:v>what people tools suppliers and routes reproduce conforming service must be accepted before downstream release</x:v>
      </x:c>
    </x:row>
    <x:row r="637">
      <x:c r="B637" s="21" t="str">
        <x:v>BL-00631</x:v>
      </x:c>
      <x:c r="C637" s="21" t="str">
        <x:v>F23-I3</x:v>
      </x:c>
      <x:c r="D637" s="21" t="str">
        <x:v>F23</x:v>
      </x:c>
      <x:c r="E637" s="21" t="str">
        <x:v>B0</x:v>
      </x:c>
      <x:c r="F637" s="21" t="str">
        <x:v>Effect</x:v>
      </x:c>
      <x:c r="G637" s="21" t="str">
        <x:v>0.0.0</x:v>
      </x:c>
      <x:c r="H637" s="21" t="str">
        <x:v>Independent Evidence and Data Authority</x:v>
      </x:c>
      <x:c r="I637" s="21" t="str">
        <x:v>OPEN</x:v>
      </x:c>
      <x:c r="J637" s="21" t="str">
        <x:v>HOLD</x:v>
      </x:c>
      <x:c r="K637" s="23" t="str">
        <x:v>what public condition must exist must be accepted before downstream release</x:v>
      </x:c>
    </x:row>
    <x:row r="638">
      <x:c r="B638" s="21" t="str">
        <x:v>BL-00632</x:v>
      </x:c>
      <x:c r="C638" s="21" t="str">
        <x:v>F23-I3</x:v>
      </x:c>
      <x:c r="D638" s="21" t="str">
        <x:v>F23</x:v>
      </x:c>
      <x:c r="E638" s="21" t="str">
        <x:v>B1</x:v>
      </x:c>
      <x:c r="F638" s="21" t="str">
        <x:v>Requirements</x:v>
      </x:c>
      <x:c r="G638" s="21" t="str">
        <x:v>0.0.0</x:v>
      </x:c>
      <x:c r="H638" s="21" t="str">
        <x:v>Independent Evidence and Data Authority</x:v>
      </x:c>
      <x:c r="I638" s="21" t="str">
        <x:v>OPEN</x:v>
      </x:c>
      <x:c r="J638" s="21" t="str">
        <x:v>HOLD</x:v>
      </x:c>
      <x:c r="K638" s="23" t="str">
        <x:v>what burdens and invalid states bound the effect must be accepted before downstream release</x:v>
      </x:c>
    </x:row>
    <x:row r="639">
      <x:c r="B639" s="21" t="str">
        <x:v>BL-00633</x:v>
      </x:c>
      <x:c r="C639" s="21" t="str">
        <x:v>F23-I3</x:v>
      </x:c>
      <x:c r="D639" s="21" t="str">
        <x:v>F23</x:v>
      </x:c>
      <x:c r="E639" s="21" t="str">
        <x:v>B2</x:v>
      </x:c>
      <x:c r="F639" s="21" t="str">
        <x:v>Architecture</x:v>
      </x:c>
      <x:c r="G639" s="21" t="str">
        <x:v>0.0.0</x:v>
      </x:c>
      <x:c r="H639" s="21" t="str">
        <x:v>Independent Evidence and Data Authority</x:v>
      </x:c>
      <x:c r="I639" s="21" t="str">
        <x:v>OPEN</x:v>
      </x:c>
      <x:c r="J639" s="21" t="str">
        <x:v>HOLD</x:v>
      </x:c>
      <x:c r="K639" s="23" t="str">
        <x:v>what interfaces and budgets govern the system must be accepted before downstream release</x:v>
      </x:c>
    </x:row>
    <x:row r="640">
      <x:c r="B640" s="21" t="str">
        <x:v>BL-00634</x:v>
      </x:c>
      <x:c r="C640" s="21" t="str">
        <x:v>F23-I3</x:v>
      </x:c>
      <x:c r="D640" s="21" t="str">
        <x:v>F23</x:v>
      </x:c>
      <x:c r="E640" s="21" t="str">
        <x:v>B3</x:v>
      </x:c>
      <x:c r="F640" s="21" t="str">
        <x:v>Build</x:v>
      </x:c>
      <x:c r="G640" s="21" t="str">
        <x:v>0.0.0</x:v>
      </x:c>
      <x:c r="H640" s="21" t="str">
        <x:v>Independent Evidence and Data Authority</x:v>
      </x:c>
      <x:c r="I640" s="21" t="str">
        <x:v>OPEN</x:v>
      </x:c>
      <x:c r="J640" s="21" t="str">
        <x:v>HOLD</x:v>
      </x:c>
      <x:c r="K640" s="23" t="str">
        <x:v>what exact configuration produced the article must be accepted before downstream release</x:v>
      </x:c>
    </x:row>
    <x:row r="641">
      <x:c r="B641" s="21" t="str">
        <x:v>BL-00635</x:v>
      </x:c>
      <x:c r="C641" s="21" t="str">
        <x:v>F23-I3</x:v>
      </x:c>
      <x:c r="D641" s="21" t="str">
        <x:v>F23</x:v>
      </x:c>
      <x:c r="E641" s="21" t="str">
        <x:v>B4</x:v>
      </x:c>
      <x:c r="F641" s="21" t="str">
        <x:v>Trial</x:v>
      </x:c>
      <x:c r="G641" s="21" t="str">
        <x:v>0.0.0</x:v>
      </x:c>
      <x:c r="H641" s="21" t="str">
        <x:v>Independent Evidence and Data Authority</x:v>
      </x:c>
      <x:c r="I641" s="21" t="str">
        <x:v>OPEN</x:v>
      </x:c>
      <x:c r="J641" s="21" t="str">
        <x:v>HOLD</x:v>
      </x:c>
      <x:c r="K641" s="23" t="str">
        <x:v>what configuration method and damage world produced evidence must be accepted before downstream release</x:v>
      </x:c>
    </x:row>
    <x:row r="642">
      <x:c r="B642" s="21" t="str">
        <x:v>BL-00636</x:v>
      </x:c>
      <x:c r="C642" s="21" t="str">
        <x:v>F23-I3</x:v>
      </x:c>
      <x:c r="D642" s="21" t="str">
        <x:v>F23</x:v>
      </x:c>
      <x:c r="E642" s="21" t="str">
        <x:v>B5</x:v>
      </x:c>
      <x:c r="F642" s="21" t="str">
        <x:v>Production</x:v>
      </x:c>
      <x:c r="G642" s="21" t="str">
        <x:v>0.0.0</x:v>
      </x:c>
      <x:c r="H642" s="21" t="str">
        <x:v>Independent Evidence and Data Authority</x:v>
      </x:c>
      <x:c r="I642" s="21" t="str">
        <x:v>OPEN</x:v>
      </x:c>
      <x:c r="J642" s="21" t="str">
        <x:v>HOLD</x:v>
      </x:c>
      <x:c r="K642" s="23" t="str">
        <x:v>what process configuration and acceptance define serial output must be accepted before downstream release</x:v>
      </x:c>
    </x:row>
    <x:row r="643">
      <x:c r="B643" s="21" t="str">
        <x:v>BL-00637</x:v>
      </x:c>
      <x:c r="C643" s="21" t="str">
        <x:v>F23-I3</x:v>
      </x:c>
      <x:c r="D643" s="21" t="str">
        <x:v>F23</x:v>
      </x:c>
      <x:c r="E643" s="21" t="str">
        <x:v>B6</x:v>
      </x:c>
      <x:c r="F643" s="21" t="str">
        <x:v>Mobilization</x:v>
      </x:c>
      <x:c r="G643" s="21" t="str">
        <x:v>0.0.0</x:v>
      </x:c>
      <x:c r="H643" s="21" t="str">
        <x:v>Independent Evidence and Data Authority</x:v>
      </x:c>
      <x:c r="I643" s="21" t="str">
        <x:v>OPEN</x:v>
      </x:c>
      <x:c r="J643" s="21" t="str">
        <x:v>HOLD</x:v>
      </x:c>
      <x:c r="K643" s="23" t="str">
        <x:v>what people tools suppliers and routes reproduce conforming service must be accepted before downstream release</x:v>
      </x:c>
    </x:row>
    <x:row r="644">
      <x:c r="B644" s="21" t="str">
        <x:v>BL-00638</x:v>
      </x:c>
      <x:c r="C644" s="21" t="str">
        <x:v>F23-I4</x:v>
      </x:c>
      <x:c r="D644" s="21" t="str">
        <x:v>F23</x:v>
      </x:c>
      <x:c r="E644" s="21" t="str">
        <x:v>B0</x:v>
      </x:c>
      <x:c r="F644" s="21" t="str">
        <x:v>Effect</x:v>
      </x:c>
      <x:c r="G644" s="21" t="str">
        <x:v>0.0.0</x:v>
      </x:c>
      <x:c r="H644" s="21" t="str">
        <x:v>Independent Evidence and Data Authority</x:v>
      </x:c>
      <x:c r="I644" s="21" t="str">
        <x:v>OPEN</x:v>
      </x:c>
      <x:c r="J644" s="21" t="str">
        <x:v>HOLD</x:v>
      </x:c>
      <x:c r="K644" s="23" t="str">
        <x:v>what public condition must exist must be accepted before downstream release</x:v>
      </x:c>
    </x:row>
    <x:row r="645">
      <x:c r="B645" s="21" t="str">
        <x:v>BL-00639</x:v>
      </x:c>
      <x:c r="C645" s="21" t="str">
        <x:v>F23-I4</x:v>
      </x:c>
      <x:c r="D645" s="21" t="str">
        <x:v>F23</x:v>
      </x:c>
      <x:c r="E645" s="21" t="str">
        <x:v>B1</x:v>
      </x:c>
      <x:c r="F645" s="21" t="str">
        <x:v>Requirements</x:v>
      </x:c>
      <x:c r="G645" s="21" t="str">
        <x:v>0.0.0</x:v>
      </x:c>
      <x:c r="H645" s="21" t="str">
        <x:v>Independent Evidence and Data Authority</x:v>
      </x:c>
      <x:c r="I645" s="21" t="str">
        <x:v>OPEN</x:v>
      </x:c>
      <x:c r="J645" s="21" t="str">
        <x:v>HOLD</x:v>
      </x:c>
      <x:c r="K645" s="23" t="str">
        <x:v>what burdens and invalid states bound the effect must be accepted before downstream release</x:v>
      </x:c>
    </x:row>
    <x:row r="646">
      <x:c r="B646" s="21" t="str">
        <x:v>BL-00640</x:v>
      </x:c>
      <x:c r="C646" s="21" t="str">
        <x:v>F23-I4</x:v>
      </x:c>
      <x:c r="D646" s="21" t="str">
        <x:v>F23</x:v>
      </x:c>
      <x:c r="E646" s="21" t="str">
        <x:v>B2</x:v>
      </x:c>
      <x:c r="F646" s="21" t="str">
        <x:v>Architecture</x:v>
      </x:c>
      <x:c r="G646" s="21" t="str">
        <x:v>0.0.0</x:v>
      </x:c>
      <x:c r="H646" s="21" t="str">
        <x:v>Independent Evidence and Data Authority</x:v>
      </x:c>
      <x:c r="I646" s="21" t="str">
        <x:v>OPEN</x:v>
      </x:c>
      <x:c r="J646" s="21" t="str">
        <x:v>HOLD</x:v>
      </x:c>
      <x:c r="K646" s="23" t="str">
        <x:v>what interfaces and budgets govern the system must be accepted before downstream release</x:v>
      </x:c>
    </x:row>
    <x:row r="647">
      <x:c r="B647" s="21" t="str">
        <x:v>BL-00641</x:v>
      </x:c>
      <x:c r="C647" s="21" t="str">
        <x:v>F23-I4</x:v>
      </x:c>
      <x:c r="D647" s="21" t="str">
        <x:v>F23</x:v>
      </x:c>
      <x:c r="E647" s="21" t="str">
        <x:v>B3</x:v>
      </x:c>
      <x:c r="F647" s="21" t="str">
        <x:v>Build</x:v>
      </x:c>
      <x:c r="G647" s="21" t="str">
        <x:v>0.0.0</x:v>
      </x:c>
      <x:c r="H647" s="21" t="str">
        <x:v>Independent Evidence and Data Authority</x:v>
      </x:c>
      <x:c r="I647" s="21" t="str">
        <x:v>OPEN</x:v>
      </x:c>
      <x:c r="J647" s="21" t="str">
        <x:v>HOLD</x:v>
      </x:c>
      <x:c r="K647" s="23" t="str">
        <x:v>what exact configuration produced the article must be accepted before downstream release</x:v>
      </x:c>
    </x:row>
    <x:row r="648">
      <x:c r="B648" s="21" t="str">
        <x:v>BL-00642</x:v>
      </x:c>
      <x:c r="C648" s="21" t="str">
        <x:v>F23-I4</x:v>
      </x:c>
      <x:c r="D648" s="21" t="str">
        <x:v>F23</x:v>
      </x:c>
      <x:c r="E648" s="21" t="str">
        <x:v>B4</x:v>
      </x:c>
      <x:c r="F648" s="21" t="str">
        <x:v>Trial</x:v>
      </x:c>
      <x:c r="G648" s="21" t="str">
        <x:v>0.0.0</x:v>
      </x:c>
      <x:c r="H648" s="21" t="str">
        <x:v>Independent Evidence and Data Authority</x:v>
      </x:c>
      <x:c r="I648" s="21" t="str">
        <x:v>OPEN</x:v>
      </x:c>
      <x:c r="J648" s="21" t="str">
        <x:v>HOLD</x:v>
      </x:c>
      <x:c r="K648" s="23" t="str">
        <x:v>what configuration method and damage world produced evidence must be accepted before downstream release</x:v>
      </x:c>
    </x:row>
    <x:row r="649">
      <x:c r="B649" s="21" t="str">
        <x:v>BL-00643</x:v>
      </x:c>
      <x:c r="C649" s="21" t="str">
        <x:v>F23-I4</x:v>
      </x:c>
      <x:c r="D649" s="21" t="str">
        <x:v>F23</x:v>
      </x:c>
      <x:c r="E649" s="21" t="str">
        <x:v>B5</x:v>
      </x:c>
      <x:c r="F649" s="21" t="str">
        <x:v>Production</x:v>
      </x:c>
      <x:c r="G649" s="21" t="str">
        <x:v>0.0.0</x:v>
      </x:c>
      <x:c r="H649" s="21" t="str">
        <x:v>Independent Evidence and Data Authority</x:v>
      </x:c>
      <x:c r="I649" s="21" t="str">
        <x:v>OPEN</x:v>
      </x:c>
      <x:c r="J649" s="21" t="str">
        <x:v>HOLD</x:v>
      </x:c>
      <x:c r="K649" s="23" t="str">
        <x:v>what process configuration and acceptance define serial output must be accepted before downstream release</x:v>
      </x:c>
    </x:row>
    <x:row r="650">
      <x:c r="B650" s="21" t="str">
        <x:v>BL-00644</x:v>
      </x:c>
      <x:c r="C650" s="21" t="str">
        <x:v>F23-I4</x:v>
      </x:c>
      <x:c r="D650" s="21" t="str">
        <x:v>F23</x:v>
      </x:c>
      <x:c r="E650" s="21" t="str">
        <x:v>B6</x:v>
      </x:c>
      <x:c r="F650" s="21" t="str">
        <x:v>Mobilization</x:v>
      </x:c>
      <x:c r="G650" s="21" t="str">
        <x:v>0.0.0</x:v>
      </x:c>
      <x:c r="H650" s="21" t="str">
        <x:v>Independent Evidence and Data Authority</x:v>
      </x:c>
      <x:c r="I650" s="21" t="str">
        <x:v>OPEN</x:v>
      </x:c>
      <x:c r="J650" s="21" t="str">
        <x:v>HOLD</x:v>
      </x:c>
      <x:c r="K650" s="23" t="str">
        <x:v>what people tools suppliers and routes reproduce conforming service must be accepted before downstream release</x:v>
      </x:c>
    </x:row>
    <x:row r="651">
      <x:c r="B651" s="21" t="str">
        <x:v>BL-00645</x:v>
      </x:c>
      <x:c r="C651" s="21" t="str">
        <x:v>F24-I1</x:v>
      </x:c>
      <x:c r="D651" s="21" t="str">
        <x:v>F24</x:v>
      </x:c>
      <x:c r="E651" s="21" t="str">
        <x:v>B0</x:v>
      </x:c>
      <x:c r="F651" s="21" t="str">
        <x:v>Effect</x:v>
      </x:c>
      <x:c r="G651" s="21" t="str">
        <x:v>0.0.0</x:v>
      </x:c>
      <x:c r="H651" s="21" t="str">
        <x:v>Independent Evidence and Data Authority</x:v>
      </x:c>
      <x:c r="I651" s="21" t="str">
        <x:v>OPEN</x:v>
      </x:c>
      <x:c r="J651" s="21" t="str">
        <x:v>HOLD</x:v>
      </x:c>
      <x:c r="K651" s="23" t="str">
        <x:v>what public condition must exist must be accepted before downstream release</x:v>
      </x:c>
    </x:row>
    <x:row r="652">
      <x:c r="B652" s="21" t="str">
        <x:v>BL-00646</x:v>
      </x:c>
      <x:c r="C652" s="21" t="str">
        <x:v>F24-I1</x:v>
      </x:c>
      <x:c r="D652" s="21" t="str">
        <x:v>F24</x:v>
      </x:c>
      <x:c r="E652" s="21" t="str">
        <x:v>B1</x:v>
      </x:c>
      <x:c r="F652" s="21" t="str">
        <x:v>Requirements</x:v>
      </x:c>
      <x:c r="G652" s="21" t="str">
        <x:v>0.0.0</x:v>
      </x:c>
      <x:c r="H652" s="21" t="str">
        <x:v>Independent Evidence and Data Authority</x:v>
      </x:c>
      <x:c r="I652" s="21" t="str">
        <x:v>OPEN</x:v>
      </x:c>
      <x:c r="J652" s="21" t="str">
        <x:v>HOLD</x:v>
      </x:c>
      <x:c r="K652" s="23" t="str">
        <x:v>what burdens and invalid states bound the effect must be accepted before downstream release</x:v>
      </x:c>
    </x:row>
    <x:row r="653">
      <x:c r="B653" s="21" t="str">
        <x:v>BL-00647</x:v>
      </x:c>
      <x:c r="C653" s="21" t="str">
        <x:v>F24-I1</x:v>
      </x:c>
      <x:c r="D653" s="21" t="str">
        <x:v>F24</x:v>
      </x:c>
      <x:c r="E653" s="21" t="str">
        <x:v>B2</x:v>
      </x:c>
      <x:c r="F653" s="21" t="str">
        <x:v>Architecture</x:v>
      </x:c>
      <x:c r="G653" s="21" t="str">
        <x:v>0.0.0</x:v>
      </x:c>
      <x:c r="H653" s="21" t="str">
        <x:v>Independent Evidence and Data Authority</x:v>
      </x:c>
      <x:c r="I653" s="21" t="str">
        <x:v>OPEN</x:v>
      </x:c>
      <x:c r="J653" s="21" t="str">
        <x:v>HOLD</x:v>
      </x:c>
      <x:c r="K653" s="23" t="str">
        <x:v>what interfaces and budgets govern the system must be accepted before downstream release</x:v>
      </x:c>
    </x:row>
    <x:row r="654">
      <x:c r="B654" s="21" t="str">
        <x:v>BL-00648</x:v>
      </x:c>
      <x:c r="C654" s="21" t="str">
        <x:v>F24-I1</x:v>
      </x:c>
      <x:c r="D654" s="21" t="str">
        <x:v>F24</x:v>
      </x:c>
      <x:c r="E654" s="21" t="str">
        <x:v>B3</x:v>
      </x:c>
      <x:c r="F654" s="21" t="str">
        <x:v>Build</x:v>
      </x:c>
      <x:c r="G654" s="21" t="str">
        <x:v>0.0.0</x:v>
      </x:c>
      <x:c r="H654" s="21" t="str">
        <x:v>Independent Evidence and Data Authority</x:v>
      </x:c>
      <x:c r="I654" s="21" t="str">
        <x:v>OPEN</x:v>
      </x:c>
      <x:c r="J654" s="21" t="str">
        <x:v>HOLD</x:v>
      </x:c>
      <x:c r="K654" s="23" t="str">
        <x:v>what exact configuration produced the article must be accepted before downstream release</x:v>
      </x:c>
    </x:row>
    <x:row r="655">
      <x:c r="B655" s="21" t="str">
        <x:v>BL-00649</x:v>
      </x:c>
      <x:c r="C655" s="21" t="str">
        <x:v>F24-I1</x:v>
      </x:c>
      <x:c r="D655" s="21" t="str">
        <x:v>F24</x:v>
      </x:c>
      <x:c r="E655" s="21" t="str">
        <x:v>B4</x:v>
      </x:c>
      <x:c r="F655" s="21" t="str">
        <x:v>Trial</x:v>
      </x:c>
      <x:c r="G655" s="21" t="str">
        <x:v>0.0.0</x:v>
      </x:c>
      <x:c r="H655" s="21" t="str">
        <x:v>Independent Evidence and Data Authority</x:v>
      </x:c>
      <x:c r="I655" s="21" t="str">
        <x:v>OPEN</x:v>
      </x:c>
      <x:c r="J655" s="21" t="str">
        <x:v>HOLD</x:v>
      </x:c>
      <x:c r="K655" s="23" t="str">
        <x:v>what configuration method and damage world produced evidence must be accepted before downstream release</x:v>
      </x:c>
    </x:row>
    <x:row r="656">
      <x:c r="B656" s="21" t="str">
        <x:v>BL-00650</x:v>
      </x:c>
      <x:c r="C656" s="21" t="str">
        <x:v>F24-I1</x:v>
      </x:c>
      <x:c r="D656" s="21" t="str">
        <x:v>F24</x:v>
      </x:c>
      <x:c r="E656" s="21" t="str">
        <x:v>B5</x:v>
      </x:c>
      <x:c r="F656" s="21" t="str">
        <x:v>Production</x:v>
      </x:c>
      <x:c r="G656" s="21" t="str">
        <x:v>0.0.0</x:v>
      </x:c>
      <x:c r="H656" s="21" t="str">
        <x:v>Independent Evidence and Data Authority</x:v>
      </x:c>
      <x:c r="I656" s="21" t="str">
        <x:v>OPEN</x:v>
      </x:c>
      <x:c r="J656" s="21" t="str">
        <x:v>HOLD</x:v>
      </x:c>
      <x:c r="K656" s="23" t="str">
        <x:v>what process configuration and acceptance define serial output must be accepted before downstream release</x:v>
      </x:c>
    </x:row>
    <x:row r="657">
      <x:c r="B657" s="21" t="str">
        <x:v>BL-00651</x:v>
      </x:c>
      <x:c r="C657" s="21" t="str">
        <x:v>F24-I1</x:v>
      </x:c>
      <x:c r="D657" s="21" t="str">
        <x:v>F24</x:v>
      </x:c>
      <x:c r="E657" s="21" t="str">
        <x:v>B6</x:v>
      </x:c>
      <x:c r="F657" s="21" t="str">
        <x:v>Mobilization</x:v>
      </x:c>
      <x:c r="G657" s="21" t="str">
        <x:v>0.0.0</x:v>
      </x:c>
      <x:c r="H657" s="21" t="str">
        <x:v>Independent Evidence and Data Authority</x:v>
      </x:c>
      <x:c r="I657" s="21" t="str">
        <x:v>OPEN</x:v>
      </x:c>
      <x:c r="J657" s="21" t="str">
        <x:v>HOLD</x:v>
      </x:c>
      <x:c r="K657" s="23" t="str">
        <x:v>what people tools suppliers and routes reproduce conforming service must be accepted before downstream release</x:v>
      </x:c>
    </x:row>
    <x:row r="658">
      <x:c r="B658" s="21" t="str">
        <x:v>BL-00652</x:v>
      </x:c>
      <x:c r="C658" s="21" t="str">
        <x:v>F24-I2</x:v>
      </x:c>
      <x:c r="D658" s="21" t="str">
        <x:v>F24</x:v>
      </x:c>
      <x:c r="E658" s="21" t="str">
        <x:v>B0</x:v>
      </x:c>
      <x:c r="F658" s="21" t="str">
        <x:v>Effect</x:v>
      </x:c>
      <x:c r="G658" s="21" t="str">
        <x:v>0.0.0</x:v>
      </x:c>
      <x:c r="H658" s="21" t="str">
        <x:v>Independent Evidence and Data Authority</x:v>
      </x:c>
      <x:c r="I658" s="21" t="str">
        <x:v>OPEN</x:v>
      </x:c>
      <x:c r="J658" s="21" t="str">
        <x:v>HOLD</x:v>
      </x:c>
      <x:c r="K658" s="23" t="str">
        <x:v>what public condition must exist must be accepted before downstream release</x:v>
      </x:c>
    </x:row>
    <x:row r="659">
      <x:c r="B659" s="21" t="str">
        <x:v>BL-00653</x:v>
      </x:c>
      <x:c r="C659" s="21" t="str">
        <x:v>F24-I2</x:v>
      </x:c>
      <x:c r="D659" s="21" t="str">
        <x:v>F24</x:v>
      </x:c>
      <x:c r="E659" s="21" t="str">
        <x:v>B1</x:v>
      </x:c>
      <x:c r="F659" s="21" t="str">
        <x:v>Requirements</x:v>
      </x:c>
      <x:c r="G659" s="21" t="str">
        <x:v>0.0.0</x:v>
      </x:c>
      <x:c r="H659" s="21" t="str">
        <x:v>Independent Evidence and Data Authority</x:v>
      </x:c>
      <x:c r="I659" s="21" t="str">
        <x:v>OPEN</x:v>
      </x:c>
      <x:c r="J659" s="21" t="str">
        <x:v>HOLD</x:v>
      </x:c>
      <x:c r="K659" s="23" t="str">
        <x:v>what burdens and invalid states bound the effect must be accepted before downstream release</x:v>
      </x:c>
    </x:row>
    <x:row r="660">
      <x:c r="B660" s="21" t="str">
        <x:v>BL-00654</x:v>
      </x:c>
      <x:c r="C660" s="21" t="str">
        <x:v>F24-I2</x:v>
      </x:c>
      <x:c r="D660" s="21" t="str">
        <x:v>F24</x:v>
      </x:c>
      <x:c r="E660" s="21" t="str">
        <x:v>B2</x:v>
      </x:c>
      <x:c r="F660" s="21" t="str">
        <x:v>Architecture</x:v>
      </x:c>
      <x:c r="G660" s="21" t="str">
        <x:v>0.0.0</x:v>
      </x:c>
      <x:c r="H660" s="21" t="str">
        <x:v>Independent Evidence and Data Authority</x:v>
      </x:c>
      <x:c r="I660" s="21" t="str">
        <x:v>OPEN</x:v>
      </x:c>
      <x:c r="J660" s="21" t="str">
        <x:v>HOLD</x:v>
      </x:c>
      <x:c r="K660" s="23" t="str">
        <x:v>what interfaces and budgets govern the system must be accepted before downstream release</x:v>
      </x:c>
    </x:row>
    <x:row r="661">
      <x:c r="B661" s="21" t="str">
        <x:v>BL-00655</x:v>
      </x:c>
      <x:c r="C661" s="21" t="str">
        <x:v>F24-I2</x:v>
      </x:c>
      <x:c r="D661" s="21" t="str">
        <x:v>F24</x:v>
      </x:c>
      <x:c r="E661" s="21" t="str">
        <x:v>B3</x:v>
      </x:c>
      <x:c r="F661" s="21" t="str">
        <x:v>Build</x:v>
      </x:c>
      <x:c r="G661" s="21" t="str">
        <x:v>0.0.0</x:v>
      </x:c>
      <x:c r="H661" s="21" t="str">
        <x:v>Independent Evidence and Data Authority</x:v>
      </x:c>
      <x:c r="I661" s="21" t="str">
        <x:v>OPEN</x:v>
      </x:c>
      <x:c r="J661" s="21" t="str">
        <x:v>HOLD</x:v>
      </x:c>
      <x:c r="K661" s="23" t="str">
        <x:v>what exact configuration produced the article must be accepted before downstream release</x:v>
      </x:c>
    </x:row>
    <x:row r="662">
      <x:c r="B662" s="21" t="str">
        <x:v>BL-00656</x:v>
      </x:c>
      <x:c r="C662" s="21" t="str">
        <x:v>F24-I2</x:v>
      </x:c>
      <x:c r="D662" s="21" t="str">
        <x:v>F24</x:v>
      </x:c>
      <x:c r="E662" s="21" t="str">
        <x:v>B4</x:v>
      </x:c>
      <x:c r="F662" s="21" t="str">
        <x:v>Trial</x:v>
      </x:c>
      <x:c r="G662" s="21" t="str">
        <x:v>0.0.0</x:v>
      </x:c>
      <x:c r="H662" s="21" t="str">
        <x:v>Independent Evidence and Data Authority</x:v>
      </x:c>
      <x:c r="I662" s="21" t="str">
        <x:v>OPEN</x:v>
      </x:c>
      <x:c r="J662" s="21" t="str">
        <x:v>HOLD</x:v>
      </x:c>
      <x:c r="K662" s="23" t="str">
        <x:v>what configuration method and damage world produced evidence must be accepted before downstream release</x:v>
      </x:c>
    </x:row>
    <x:row r="663">
      <x:c r="B663" s="21" t="str">
        <x:v>BL-00657</x:v>
      </x:c>
      <x:c r="C663" s="21" t="str">
        <x:v>F24-I2</x:v>
      </x:c>
      <x:c r="D663" s="21" t="str">
        <x:v>F24</x:v>
      </x:c>
      <x:c r="E663" s="21" t="str">
        <x:v>B5</x:v>
      </x:c>
      <x:c r="F663" s="21" t="str">
        <x:v>Production</x:v>
      </x:c>
      <x:c r="G663" s="21" t="str">
        <x:v>0.0.0</x:v>
      </x:c>
      <x:c r="H663" s="21" t="str">
        <x:v>Independent Evidence and Data Authority</x:v>
      </x:c>
      <x:c r="I663" s="21" t="str">
        <x:v>OPEN</x:v>
      </x:c>
      <x:c r="J663" s="21" t="str">
        <x:v>HOLD</x:v>
      </x:c>
      <x:c r="K663" s="23" t="str">
        <x:v>what process configuration and acceptance define serial output must be accepted before downstream release</x:v>
      </x:c>
    </x:row>
    <x:row r="664">
      <x:c r="B664" s="21" t="str">
        <x:v>BL-00658</x:v>
      </x:c>
      <x:c r="C664" s="21" t="str">
        <x:v>F24-I2</x:v>
      </x:c>
      <x:c r="D664" s="21" t="str">
        <x:v>F24</x:v>
      </x:c>
      <x:c r="E664" s="21" t="str">
        <x:v>B6</x:v>
      </x:c>
      <x:c r="F664" s="21" t="str">
        <x:v>Mobilization</x:v>
      </x:c>
      <x:c r="G664" s="21" t="str">
        <x:v>0.0.0</x:v>
      </x:c>
      <x:c r="H664" s="21" t="str">
        <x:v>Independent Evidence and Data Authority</x:v>
      </x:c>
      <x:c r="I664" s="21" t="str">
        <x:v>OPEN</x:v>
      </x:c>
      <x:c r="J664" s="21" t="str">
        <x:v>HOLD</x:v>
      </x:c>
      <x:c r="K664" s="23" t="str">
        <x:v>what people tools suppliers and routes reproduce conforming service must be accepted before downstream release</x:v>
      </x:c>
    </x:row>
    <x:row r="665">
      <x:c r="B665" s="21" t="str">
        <x:v>BL-00659</x:v>
      </x:c>
      <x:c r="C665" s="21" t="str">
        <x:v>F24-I3</x:v>
      </x:c>
      <x:c r="D665" s="21" t="str">
        <x:v>F24</x:v>
      </x:c>
      <x:c r="E665" s="21" t="str">
        <x:v>B0</x:v>
      </x:c>
      <x:c r="F665" s="21" t="str">
        <x:v>Effect</x:v>
      </x:c>
      <x:c r="G665" s="21" t="str">
        <x:v>0.0.0</x:v>
      </x:c>
      <x:c r="H665" s="21" t="str">
        <x:v>Independent Evidence and Data Authority</x:v>
      </x:c>
      <x:c r="I665" s="21" t="str">
        <x:v>OPEN</x:v>
      </x:c>
      <x:c r="J665" s="21" t="str">
        <x:v>HOLD</x:v>
      </x:c>
      <x:c r="K665" s="23" t="str">
        <x:v>what public condition must exist must be accepted before downstream release</x:v>
      </x:c>
    </x:row>
    <x:row r="666">
      <x:c r="B666" s="21" t="str">
        <x:v>BL-00660</x:v>
      </x:c>
      <x:c r="C666" s="21" t="str">
        <x:v>F24-I3</x:v>
      </x:c>
      <x:c r="D666" s="21" t="str">
        <x:v>F24</x:v>
      </x:c>
      <x:c r="E666" s="21" t="str">
        <x:v>B1</x:v>
      </x:c>
      <x:c r="F666" s="21" t="str">
        <x:v>Requirements</x:v>
      </x:c>
      <x:c r="G666" s="21" t="str">
        <x:v>0.0.0</x:v>
      </x:c>
      <x:c r="H666" s="21" t="str">
        <x:v>Independent Evidence and Data Authority</x:v>
      </x:c>
      <x:c r="I666" s="21" t="str">
        <x:v>OPEN</x:v>
      </x:c>
      <x:c r="J666" s="21" t="str">
        <x:v>HOLD</x:v>
      </x:c>
      <x:c r="K666" s="23" t="str">
        <x:v>what burdens and invalid states bound the effect must be accepted before downstream release</x:v>
      </x:c>
    </x:row>
    <x:row r="667">
      <x:c r="B667" s="21" t="str">
        <x:v>BL-00661</x:v>
      </x:c>
      <x:c r="C667" s="21" t="str">
        <x:v>F24-I3</x:v>
      </x:c>
      <x:c r="D667" s="21" t="str">
        <x:v>F24</x:v>
      </x:c>
      <x:c r="E667" s="21" t="str">
        <x:v>B2</x:v>
      </x:c>
      <x:c r="F667" s="21" t="str">
        <x:v>Architecture</x:v>
      </x:c>
      <x:c r="G667" s="21" t="str">
        <x:v>0.0.0</x:v>
      </x:c>
      <x:c r="H667" s="21" t="str">
        <x:v>Independent Evidence and Data Authority</x:v>
      </x:c>
      <x:c r="I667" s="21" t="str">
        <x:v>OPEN</x:v>
      </x:c>
      <x:c r="J667" s="21" t="str">
        <x:v>HOLD</x:v>
      </x:c>
      <x:c r="K667" s="23" t="str">
        <x:v>what interfaces and budgets govern the system must be accepted before downstream release</x:v>
      </x:c>
    </x:row>
    <x:row r="668">
      <x:c r="B668" s="21" t="str">
        <x:v>BL-00662</x:v>
      </x:c>
      <x:c r="C668" s="21" t="str">
        <x:v>F24-I3</x:v>
      </x:c>
      <x:c r="D668" s="21" t="str">
        <x:v>F24</x:v>
      </x:c>
      <x:c r="E668" s="21" t="str">
        <x:v>B3</x:v>
      </x:c>
      <x:c r="F668" s="21" t="str">
        <x:v>Build</x:v>
      </x:c>
      <x:c r="G668" s="21" t="str">
        <x:v>0.0.0</x:v>
      </x:c>
      <x:c r="H668" s="21" t="str">
        <x:v>Independent Evidence and Data Authority</x:v>
      </x:c>
      <x:c r="I668" s="21" t="str">
        <x:v>OPEN</x:v>
      </x:c>
      <x:c r="J668" s="21" t="str">
        <x:v>HOLD</x:v>
      </x:c>
      <x:c r="K668" s="23" t="str">
        <x:v>what exact configuration produced the article must be accepted before downstream release</x:v>
      </x:c>
    </x:row>
    <x:row r="669">
      <x:c r="B669" s="21" t="str">
        <x:v>BL-00663</x:v>
      </x:c>
      <x:c r="C669" s="21" t="str">
        <x:v>F24-I3</x:v>
      </x:c>
      <x:c r="D669" s="21" t="str">
        <x:v>F24</x:v>
      </x:c>
      <x:c r="E669" s="21" t="str">
        <x:v>B4</x:v>
      </x:c>
      <x:c r="F669" s="21" t="str">
        <x:v>Trial</x:v>
      </x:c>
      <x:c r="G669" s="21" t="str">
        <x:v>0.0.0</x:v>
      </x:c>
      <x:c r="H669" s="21" t="str">
        <x:v>Independent Evidence and Data Authority</x:v>
      </x:c>
      <x:c r="I669" s="21" t="str">
        <x:v>OPEN</x:v>
      </x:c>
      <x:c r="J669" s="21" t="str">
        <x:v>HOLD</x:v>
      </x:c>
      <x:c r="K669" s="23" t="str">
        <x:v>what configuration method and damage world produced evidence must be accepted before downstream release</x:v>
      </x:c>
    </x:row>
    <x:row r="670">
      <x:c r="B670" s="21" t="str">
        <x:v>BL-00664</x:v>
      </x:c>
      <x:c r="C670" s="21" t="str">
        <x:v>F24-I3</x:v>
      </x:c>
      <x:c r="D670" s="21" t="str">
        <x:v>F24</x:v>
      </x:c>
      <x:c r="E670" s="21" t="str">
        <x:v>B5</x:v>
      </x:c>
      <x:c r="F670" s="21" t="str">
        <x:v>Production</x:v>
      </x:c>
      <x:c r="G670" s="21" t="str">
        <x:v>0.0.0</x:v>
      </x:c>
      <x:c r="H670" s="21" t="str">
        <x:v>Independent Evidence and Data Authority</x:v>
      </x:c>
      <x:c r="I670" s="21" t="str">
        <x:v>OPEN</x:v>
      </x:c>
      <x:c r="J670" s="21" t="str">
        <x:v>HOLD</x:v>
      </x:c>
      <x:c r="K670" s="23" t="str">
        <x:v>what process configuration and acceptance define serial output must be accepted before downstream release</x:v>
      </x:c>
    </x:row>
    <x:row r="671">
      <x:c r="B671" s="21" t="str">
        <x:v>BL-00665</x:v>
      </x:c>
      <x:c r="C671" s="21" t="str">
        <x:v>F24-I3</x:v>
      </x:c>
      <x:c r="D671" s="21" t="str">
        <x:v>F24</x:v>
      </x:c>
      <x:c r="E671" s="21" t="str">
        <x:v>B6</x:v>
      </x:c>
      <x:c r="F671" s="21" t="str">
        <x:v>Mobilization</x:v>
      </x:c>
      <x:c r="G671" s="21" t="str">
        <x:v>0.0.0</x:v>
      </x:c>
      <x:c r="H671" s="21" t="str">
        <x:v>Independent Evidence and Data Authority</x:v>
      </x:c>
      <x:c r="I671" s="21" t="str">
        <x:v>OPEN</x:v>
      </x:c>
      <x:c r="J671" s="21" t="str">
        <x:v>HOLD</x:v>
      </x:c>
      <x:c r="K671" s="23" t="str">
        <x:v>what people tools suppliers and routes reproduce conforming service must be accepted before downstream release</x:v>
      </x:c>
    </x:row>
    <x:row r="672">
      <x:c r="B672" s="21" t="str">
        <x:v>BL-00666</x:v>
      </x:c>
      <x:c r="C672" s="21" t="str">
        <x:v>F24-I4</x:v>
      </x:c>
      <x:c r="D672" s="21" t="str">
        <x:v>F24</x:v>
      </x:c>
      <x:c r="E672" s="21" t="str">
        <x:v>B0</x:v>
      </x:c>
      <x:c r="F672" s="21" t="str">
        <x:v>Effect</x:v>
      </x:c>
      <x:c r="G672" s="21" t="str">
        <x:v>0.0.0</x:v>
      </x:c>
      <x:c r="H672" s="21" t="str">
        <x:v>Independent Evidence and Data Authority</x:v>
      </x:c>
      <x:c r="I672" s="21" t="str">
        <x:v>OPEN</x:v>
      </x:c>
      <x:c r="J672" s="21" t="str">
        <x:v>HOLD</x:v>
      </x:c>
      <x:c r="K672" s="23" t="str">
        <x:v>what public condition must exist must be accepted before downstream release</x:v>
      </x:c>
    </x:row>
    <x:row r="673">
      <x:c r="B673" s="21" t="str">
        <x:v>BL-00667</x:v>
      </x:c>
      <x:c r="C673" s="21" t="str">
        <x:v>F24-I4</x:v>
      </x:c>
      <x:c r="D673" s="21" t="str">
        <x:v>F24</x:v>
      </x:c>
      <x:c r="E673" s="21" t="str">
        <x:v>B1</x:v>
      </x:c>
      <x:c r="F673" s="21" t="str">
        <x:v>Requirements</x:v>
      </x:c>
      <x:c r="G673" s="21" t="str">
        <x:v>0.0.0</x:v>
      </x:c>
      <x:c r="H673" s="21" t="str">
        <x:v>Independent Evidence and Data Authority</x:v>
      </x:c>
      <x:c r="I673" s="21" t="str">
        <x:v>OPEN</x:v>
      </x:c>
      <x:c r="J673" s="21" t="str">
        <x:v>HOLD</x:v>
      </x:c>
      <x:c r="K673" s="23" t="str">
        <x:v>what burdens and invalid states bound the effect must be accepted before downstream release</x:v>
      </x:c>
    </x:row>
    <x:row r="674">
      <x:c r="B674" s="21" t="str">
        <x:v>BL-00668</x:v>
      </x:c>
      <x:c r="C674" s="21" t="str">
        <x:v>F24-I4</x:v>
      </x:c>
      <x:c r="D674" s="21" t="str">
        <x:v>F24</x:v>
      </x:c>
      <x:c r="E674" s="21" t="str">
        <x:v>B2</x:v>
      </x:c>
      <x:c r="F674" s="21" t="str">
        <x:v>Architecture</x:v>
      </x:c>
      <x:c r="G674" s="21" t="str">
        <x:v>0.0.0</x:v>
      </x:c>
      <x:c r="H674" s="21" t="str">
        <x:v>Independent Evidence and Data Authority</x:v>
      </x:c>
      <x:c r="I674" s="21" t="str">
        <x:v>OPEN</x:v>
      </x:c>
      <x:c r="J674" s="21" t="str">
        <x:v>HOLD</x:v>
      </x:c>
      <x:c r="K674" s="23" t="str">
        <x:v>what interfaces and budgets govern the system must be accepted before downstream release</x:v>
      </x:c>
    </x:row>
    <x:row r="675">
      <x:c r="B675" s="21" t="str">
        <x:v>BL-00669</x:v>
      </x:c>
      <x:c r="C675" s="21" t="str">
        <x:v>F24-I4</x:v>
      </x:c>
      <x:c r="D675" s="21" t="str">
        <x:v>F24</x:v>
      </x:c>
      <x:c r="E675" s="21" t="str">
        <x:v>B3</x:v>
      </x:c>
      <x:c r="F675" s="21" t="str">
        <x:v>Build</x:v>
      </x:c>
      <x:c r="G675" s="21" t="str">
        <x:v>0.0.0</x:v>
      </x:c>
      <x:c r="H675" s="21" t="str">
        <x:v>Independent Evidence and Data Authority</x:v>
      </x:c>
      <x:c r="I675" s="21" t="str">
        <x:v>OPEN</x:v>
      </x:c>
      <x:c r="J675" s="21" t="str">
        <x:v>HOLD</x:v>
      </x:c>
      <x:c r="K675" s="23" t="str">
        <x:v>what exact configuration produced the article must be accepted before downstream release</x:v>
      </x:c>
    </x:row>
    <x:row r="676">
      <x:c r="B676" s="21" t="str">
        <x:v>BL-00670</x:v>
      </x:c>
      <x:c r="C676" s="21" t="str">
        <x:v>F24-I4</x:v>
      </x:c>
      <x:c r="D676" s="21" t="str">
        <x:v>F24</x:v>
      </x:c>
      <x:c r="E676" s="21" t="str">
        <x:v>B4</x:v>
      </x:c>
      <x:c r="F676" s="21" t="str">
        <x:v>Trial</x:v>
      </x:c>
      <x:c r="G676" s="21" t="str">
        <x:v>0.0.0</x:v>
      </x:c>
      <x:c r="H676" s="21" t="str">
        <x:v>Independent Evidence and Data Authority</x:v>
      </x:c>
      <x:c r="I676" s="21" t="str">
        <x:v>OPEN</x:v>
      </x:c>
      <x:c r="J676" s="21" t="str">
        <x:v>HOLD</x:v>
      </x:c>
      <x:c r="K676" s="23" t="str">
        <x:v>what configuration method and damage world produced evidence must be accepted before downstream release</x:v>
      </x:c>
    </x:row>
    <x:row r="677">
      <x:c r="B677" s="21" t="str">
        <x:v>BL-00671</x:v>
      </x:c>
      <x:c r="C677" s="21" t="str">
        <x:v>F24-I4</x:v>
      </x:c>
      <x:c r="D677" s="21" t="str">
        <x:v>F24</x:v>
      </x:c>
      <x:c r="E677" s="21" t="str">
        <x:v>B5</x:v>
      </x:c>
      <x:c r="F677" s="21" t="str">
        <x:v>Production</x:v>
      </x:c>
      <x:c r="G677" s="21" t="str">
        <x:v>0.0.0</x:v>
      </x:c>
      <x:c r="H677" s="21" t="str">
        <x:v>Independent Evidence and Data Authority</x:v>
      </x:c>
      <x:c r="I677" s="21" t="str">
        <x:v>OPEN</x:v>
      </x:c>
      <x:c r="J677" s="21" t="str">
        <x:v>HOLD</x:v>
      </x:c>
      <x:c r="K677" s="23" t="str">
        <x:v>what process configuration and acceptance define serial output must be accepted before downstream release</x:v>
      </x:c>
    </x:row>
    <x:row r="678">
      <x:c r="B678" s="21" t="str">
        <x:v>BL-00672</x:v>
      </x:c>
      <x:c r="C678" s="21" t="str">
        <x:v>F24-I4</x:v>
      </x:c>
      <x:c r="D678" s="21" t="str">
        <x:v>F24</x:v>
      </x:c>
      <x:c r="E678" s="21" t="str">
        <x:v>B6</x:v>
      </x:c>
      <x:c r="F678" s="21" t="str">
        <x:v>Mobilization</x:v>
      </x:c>
      <x:c r="G678" s="21" t="str">
        <x:v>0.0.0</x:v>
      </x:c>
      <x:c r="H678" s="21" t="str">
        <x:v>Independent Evidence and Data Authority</x:v>
      </x:c>
      <x:c r="I678" s="21" t="str">
        <x:v>OPEN</x:v>
      </x:c>
      <x:c r="J678" s="21" t="str">
        <x:v>HOLD</x:v>
      </x:c>
      <x:c r="K678" s="23" t="str">
        <x:v>what people tools suppliers and routes reproduce conforming service must be accepted before downstream release</x:v>
      </x:c>
    </x:row>
    <x:row r="679">
      <x:c r="B679" s="21" t="str">
        <x:v>BL-00673</x:v>
      </x:c>
      <x:c r="C679" s="21" t="str">
        <x:v>F25-I1</x:v>
      </x:c>
      <x:c r="D679" s="21" t="str">
        <x:v>F25</x:v>
      </x:c>
      <x:c r="E679" s="21" t="str">
        <x:v>B0</x:v>
      </x:c>
      <x:c r="F679" s="21" t="str">
        <x:v>Effect</x:v>
      </x:c>
      <x:c r="G679" s="21" t="str">
        <x:v>0.0.0</x:v>
      </x:c>
      <x:c r="H679" s="21" t="str">
        <x:v>Independent Evidence and Data Authority</x:v>
      </x:c>
      <x:c r="I679" s="21" t="str">
        <x:v>OPEN</x:v>
      </x:c>
      <x:c r="J679" s="21" t="str">
        <x:v>HOLD</x:v>
      </x:c>
      <x:c r="K679" s="23" t="str">
        <x:v>what public condition must exist must be accepted before downstream release</x:v>
      </x:c>
    </x:row>
    <x:row r="680">
      <x:c r="B680" s="21" t="str">
        <x:v>BL-00674</x:v>
      </x:c>
      <x:c r="C680" s="21" t="str">
        <x:v>F25-I1</x:v>
      </x:c>
      <x:c r="D680" s="21" t="str">
        <x:v>F25</x:v>
      </x:c>
      <x:c r="E680" s="21" t="str">
        <x:v>B1</x:v>
      </x:c>
      <x:c r="F680" s="21" t="str">
        <x:v>Requirements</x:v>
      </x:c>
      <x:c r="G680" s="21" t="str">
        <x:v>0.0.0</x:v>
      </x:c>
      <x:c r="H680" s="21" t="str">
        <x:v>Independent Evidence and Data Authority</x:v>
      </x:c>
      <x:c r="I680" s="21" t="str">
        <x:v>OPEN</x:v>
      </x:c>
      <x:c r="J680" s="21" t="str">
        <x:v>HOLD</x:v>
      </x:c>
      <x:c r="K680" s="23" t="str">
        <x:v>what burdens and invalid states bound the effect must be accepted before downstream release</x:v>
      </x:c>
    </x:row>
    <x:row r="681">
      <x:c r="B681" s="21" t="str">
        <x:v>BL-00675</x:v>
      </x:c>
      <x:c r="C681" s="21" t="str">
        <x:v>F25-I1</x:v>
      </x:c>
      <x:c r="D681" s="21" t="str">
        <x:v>F25</x:v>
      </x:c>
      <x:c r="E681" s="21" t="str">
        <x:v>B2</x:v>
      </x:c>
      <x:c r="F681" s="21" t="str">
        <x:v>Architecture</x:v>
      </x:c>
      <x:c r="G681" s="21" t="str">
        <x:v>0.0.0</x:v>
      </x:c>
      <x:c r="H681" s="21" t="str">
        <x:v>Independent Evidence and Data Authority</x:v>
      </x:c>
      <x:c r="I681" s="21" t="str">
        <x:v>OPEN</x:v>
      </x:c>
      <x:c r="J681" s="21" t="str">
        <x:v>HOLD</x:v>
      </x:c>
      <x:c r="K681" s="23" t="str">
        <x:v>what interfaces and budgets govern the system must be accepted before downstream release</x:v>
      </x:c>
    </x:row>
    <x:row r="682">
      <x:c r="B682" s="21" t="str">
        <x:v>BL-00676</x:v>
      </x:c>
      <x:c r="C682" s="21" t="str">
        <x:v>F25-I1</x:v>
      </x:c>
      <x:c r="D682" s="21" t="str">
        <x:v>F25</x:v>
      </x:c>
      <x:c r="E682" s="21" t="str">
        <x:v>B3</x:v>
      </x:c>
      <x:c r="F682" s="21" t="str">
        <x:v>Build</x:v>
      </x:c>
      <x:c r="G682" s="21" t="str">
        <x:v>0.0.0</x:v>
      </x:c>
      <x:c r="H682" s="21" t="str">
        <x:v>Independent Evidence and Data Authority</x:v>
      </x:c>
      <x:c r="I682" s="21" t="str">
        <x:v>OPEN</x:v>
      </x:c>
      <x:c r="J682" s="21" t="str">
        <x:v>HOLD</x:v>
      </x:c>
      <x:c r="K682" s="23" t="str">
        <x:v>what exact configuration produced the article must be accepted before downstream release</x:v>
      </x:c>
    </x:row>
    <x:row r="683">
      <x:c r="B683" s="21" t="str">
        <x:v>BL-00677</x:v>
      </x:c>
      <x:c r="C683" s="21" t="str">
        <x:v>F25-I1</x:v>
      </x:c>
      <x:c r="D683" s="21" t="str">
        <x:v>F25</x:v>
      </x:c>
      <x:c r="E683" s="21" t="str">
        <x:v>B4</x:v>
      </x:c>
      <x:c r="F683" s="21" t="str">
        <x:v>Trial</x:v>
      </x:c>
      <x:c r="G683" s="21" t="str">
        <x:v>0.0.0</x:v>
      </x:c>
      <x:c r="H683" s="21" t="str">
        <x:v>Independent Evidence and Data Authority</x:v>
      </x:c>
      <x:c r="I683" s="21" t="str">
        <x:v>OPEN</x:v>
      </x:c>
      <x:c r="J683" s="21" t="str">
        <x:v>HOLD</x:v>
      </x:c>
      <x:c r="K683" s="23" t="str">
        <x:v>what configuration method and damage world produced evidence must be accepted before downstream release</x:v>
      </x:c>
    </x:row>
    <x:row r="684">
      <x:c r="B684" s="21" t="str">
        <x:v>BL-00678</x:v>
      </x:c>
      <x:c r="C684" s="21" t="str">
        <x:v>F25-I1</x:v>
      </x:c>
      <x:c r="D684" s="21" t="str">
        <x:v>F25</x:v>
      </x:c>
      <x:c r="E684" s="21" t="str">
        <x:v>B5</x:v>
      </x:c>
      <x:c r="F684" s="21" t="str">
        <x:v>Production</x:v>
      </x:c>
      <x:c r="G684" s="21" t="str">
        <x:v>0.0.0</x:v>
      </x:c>
      <x:c r="H684" s="21" t="str">
        <x:v>Independent Evidence and Data Authority</x:v>
      </x:c>
      <x:c r="I684" s="21" t="str">
        <x:v>OPEN</x:v>
      </x:c>
      <x:c r="J684" s="21" t="str">
        <x:v>HOLD</x:v>
      </x:c>
      <x:c r="K684" s="23" t="str">
        <x:v>what process configuration and acceptance define serial output must be accepted before downstream release</x:v>
      </x:c>
    </x:row>
    <x:row r="685">
      <x:c r="B685" s="21" t="str">
        <x:v>BL-00679</x:v>
      </x:c>
      <x:c r="C685" s="21" t="str">
        <x:v>F25-I1</x:v>
      </x:c>
      <x:c r="D685" s="21" t="str">
        <x:v>F25</x:v>
      </x:c>
      <x:c r="E685" s="21" t="str">
        <x:v>B6</x:v>
      </x:c>
      <x:c r="F685" s="21" t="str">
        <x:v>Mobilization</x:v>
      </x:c>
      <x:c r="G685" s="21" t="str">
        <x:v>0.0.0</x:v>
      </x:c>
      <x:c r="H685" s="21" t="str">
        <x:v>Independent Evidence and Data Authority</x:v>
      </x:c>
      <x:c r="I685" s="21" t="str">
        <x:v>OPEN</x:v>
      </x:c>
      <x:c r="J685" s="21" t="str">
        <x:v>HOLD</x:v>
      </x:c>
      <x:c r="K685" s="23" t="str">
        <x:v>what people tools suppliers and routes reproduce conforming service must be accepted before downstream release</x:v>
      </x:c>
    </x:row>
    <x:row r="686">
      <x:c r="B686" s="21" t="str">
        <x:v>BL-00680</x:v>
      </x:c>
      <x:c r="C686" s="21" t="str">
        <x:v>F25-I2</x:v>
      </x:c>
      <x:c r="D686" s="21" t="str">
        <x:v>F25</x:v>
      </x:c>
      <x:c r="E686" s="21" t="str">
        <x:v>B0</x:v>
      </x:c>
      <x:c r="F686" s="21" t="str">
        <x:v>Effect</x:v>
      </x:c>
      <x:c r="G686" s="21" t="str">
        <x:v>0.0.0</x:v>
      </x:c>
      <x:c r="H686" s="21" t="str">
        <x:v>Independent Evidence and Data Authority</x:v>
      </x:c>
      <x:c r="I686" s="21" t="str">
        <x:v>OPEN</x:v>
      </x:c>
      <x:c r="J686" s="21" t="str">
        <x:v>HOLD</x:v>
      </x:c>
      <x:c r="K686" s="23" t="str">
        <x:v>what public condition must exist must be accepted before downstream release</x:v>
      </x:c>
    </x:row>
    <x:row r="687">
      <x:c r="B687" s="21" t="str">
        <x:v>BL-00681</x:v>
      </x:c>
      <x:c r="C687" s="21" t="str">
        <x:v>F25-I2</x:v>
      </x:c>
      <x:c r="D687" s="21" t="str">
        <x:v>F25</x:v>
      </x:c>
      <x:c r="E687" s="21" t="str">
        <x:v>B1</x:v>
      </x:c>
      <x:c r="F687" s="21" t="str">
        <x:v>Requirements</x:v>
      </x:c>
      <x:c r="G687" s="21" t="str">
        <x:v>0.0.0</x:v>
      </x:c>
      <x:c r="H687" s="21" t="str">
        <x:v>Independent Evidence and Data Authority</x:v>
      </x:c>
      <x:c r="I687" s="21" t="str">
        <x:v>OPEN</x:v>
      </x:c>
      <x:c r="J687" s="21" t="str">
        <x:v>HOLD</x:v>
      </x:c>
      <x:c r="K687" s="23" t="str">
        <x:v>what burdens and invalid states bound the effect must be accepted before downstream release</x:v>
      </x:c>
    </x:row>
    <x:row r="688">
      <x:c r="B688" s="21" t="str">
        <x:v>BL-00682</x:v>
      </x:c>
      <x:c r="C688" s="21" t="str">
        <x:v>F25-I2</x:v>
      </x:c>
      <x:c r="D688" s="21" t="str">
        <x:v>F25</x:v>
      </x:c>
      <x:c r="E688" s="21" t="str">
        <x:v>B2</x:v>
      </x:c>
      <x:c r="F688" s="21" t="str">
        <x:v>Architecture</x:v>
      </x:c>
      <x:c r="G688" s="21" t="str">
        <x:v>0.0.0</x:v>
      </x:c>
      <x:c r="H688" s="21" t="str">
        <x:v>Independent Evidence and Data Authority</x:v>
      </x:c>
      <x:c r="I688" s="21" t="str">
        <x:v>OPEN</x:v>
      </x:c>
      <x:c r="J688" s="21" t="str">
        <x:v>HOLD</x:v>
      </x:c>
      <x:c r="K688" s="23" t="str">
        <x:v>what interfaces and budgets govern the system must be accepted before downstream release</x:v>
      </x:c>
    </x:row>
    <x:row r="689">
      <x:c r="B689" s="21" t="str">
        <x:v>BL-00683</x:v>
      </x:c>
      <x:c r="C689" s="21" t="str">
        <x:v>F25-I2</x:v>
      </x:c>
      <x:c r="D689" s="21" t="str">
        <x:v>F25</x:v>
      </x:c>
      <x:c r="E689" s="21" t="str">
        <x:v>B3</x:v>
      </x:c>
      <x:c r="F689" s="21" t="str">
        <x:v>Build</x:v>
      </x:c>
      <x:c r="G689" s="21" t="str">
        <x:v>0.0.0</x:v>
      </x:c>
      <x:c r="H689" s="21" t="str">
        <x:v>Independent Evidence and Data Authority</x:v>
      </x:c>
      <x:c r="I689" s="21" t="str">
        <x:v>OPEN</x:v>
      </x:c>
      <x:c r="J689" s="21" t="str">
        <x:v>HOLD</x:v>
      </x:c>
      <x:c r="K689" s="23" t="str">
        <x:v>what exact configuration produced the article must be accepted before downstream release</x:v>
      </x:c>
    </x:row>
    <x:row r="690">
      <x:c r="B690" s="21" t="str">
        <x:v>BL-00684</x:v>
      </x:c>
      <x:c r="C690" s="21" t="str">
        <x:v>F25-I2</x:v>
      </x:c>
      <x:c r="D690" s="21" t="str">
        <x:v>F25</x:v>
      </x:c>
      <x:c r="E690" s="21" t="str">
        <x:v>B4</x:v>
      </x:c>
      <x:c r="F690" s="21" t="str">
        <x:v>Trial</x:v>
      </x:c>
      <x:c r="G690" s="21" t="str">
        <x:v>0.0.0</x:v>
      </x:c>
      <x:c r="H690" s="21" t="str">
        <x:v>Independent Evidence and Data Authority</x:v>
      </x:c>
      <x:c r="I690" s="21" t="str">
        <x:v>OPEN</x:v>
      </x:c>
      <x:c r="J690" s="21" t="str">
        <x:v>HOLD</x:v>
      </x:c>
      <x:c r="K690" s="23" t="str">
        <x:v>what configuration method and damage world produced evidence must be accepted before downstream release</x:v>
      </x:c>
    </x:row>
    <x:row r="691">
      <x:c r="B691" s="21" t="str">
        <x:v>BL-00685</x:v>
      </x:c>
      <x:c r="C691" s="21" t="str">
        <x:v>F25-I2</x:v>
      </x:c>
      <x:c r="D691" s="21" t="str">
        <x:v>F25</x:v>
      </x:c>
      <x:c r="E691" s="21" t="str">
        <x:v>B5</x:v>
      </x:c>
      <x:c r="F691" s="21" t="str">
        <x:v>Production</x:v>
      </x:c>
      <x:c r="G691" s="21" t="str">
        <x:v>0.0.0</x:v>
      </x:c>
      <x:c r="H691" s="21" t="str">
        <x:v>Independent Evidence and Data Authority</x:v>
      </x:c>
      <x:c r="I691" s="21" t="str">
        <x:v>OPEN</x:v>
      </x:c>
      <x:c r="J691" s="21" t="str">
        <x:v>HOLD</x:v>
      </x:c>
      <x:c r="K691" s="23" t="str">
        <x:v>what process configuration and acceptance define serial output must be accepted before downstream release</x:v>
      </x:c>
    </x:row>
    <x:row r="692">
      <x:c r="B692" s="21" t="str">
        <x:v>BL-00686</x:v>
      </x:c>
      <x:c r="C692" s="21" t="str">
        <x:v>F25-I2</x:v>
      </x:c>
      <x:c r="D692" s="21" t="str">
        <x:v>F25</x:v>
      </x:c>
      <x:c r="E692" s="21" t="str">
        <x:v>B6</x:v>
      </x:c>
      <x:c r="F692" s="21" t="str">
        <x:v>Mobilization</x:v>
      </x:c>
      <x:c r="G692" s="21" t="str">
        <x:v>0.0.0</x:v>
      </x:c>
      <x:c r="H692" s="21" t="str">
        <x:v>Independent Evidence and Data Authority</x:v>
      </x:c>
      <x:c r="I692" s="21" t="str">
        <x:v>OPEN</x:v>
      </x:c>
      <x:c r="J692" s="21" t="str">
        <x:v>HOLD</x:v>
      </x:c>
      <x:c r="K692" s="23" t="str">
        <x:v>what people tools suppliers and routes reproduce conforming service must be accepted before downstream release</x:v>
      </x:c>
    </x:row>
    <x:row r="693">
      <x:c r="B693" s="21" t="str">
        <x:v>BL-00687</x:v>
      </x:c>
      <x:c r="C693" s="21" t="str">
        <x:v>F25-I3</x:v>
      </x:c>
      <x:c r="D693" s="21" t="str">
        <x:v>F25</x:v>
      </x:c>
      <x:c r="E693" s="21" t="str">
        <x:v>B0</x:v>
      </x:c>
      <x:c r="F693" s="21" t="str">
        <x:v>Effect</x:v>
      </x:c>
      <x:c r="G693" s="21" t="str">
        <x:v>0.0.0</x:v>
      </x:c>
      <x:c r="H693" s="21" t="str">
        <x:v>Independent Evidence and Data Authority</x:v>
      </x:c>
      <x:c r="I693" s="21" t="str">
        <x:v>OPEN</x:v>
      </x:c>
      <x:c r="J693" s="21" t="str">
        <x:v>HOLD</x:v>
      </x:c>
      <x:c r="K693" s="23" t="str">
        <x:v>what public condition must exist must be accepted before downstream release</x:v>
      </x:c>
    </x:row>
    <x:row r="694">
      <x:c r="B694" s="21" t="str">
        <x:v>BL-00688</x:v>
      </x:c>
      <x:c r="C694" s="21" t="str">
        <x:v>F25-I3</x:v>
      </x:c>
      <x:c r="D694" s="21" t="str">
        <x:v>F25</x:v>
      </x:c>
      <x:c r="E694" s="21" t="str">
        <x:v>B1</x:v>
      </x:c>
      <x:c r="F694" s="21" t="str">
        <x:v>Requirements</x:v>
      </x:c>
      <x:c r="G694" s="21" t="str">
        <x:v>0.0.0</x:v>
      </x:c>
      <x:c r="H694" s="21" t="str">
        <x:v>Independent Evidence and Data Authority</x:v>
      </x:c>
      <x:c r="I694" s="21" t="str">
        <x:v>OPEN</x:v>
      </x:c>
      <x:c r="J694" s="21" t="str">
        <x:v>HOLD</x:v>
      </x:c>
      <x:c r="K694" s="23" t="str">
        <x:v>what burdens and invalid states bound the effect must be accepted before downstream release</x:v>
      </x:c>
    </x:row>
    <x:row r="695">
      <x:c r="B695" s="21" t="str">
        <x:v>BL-00689</x:v>
      </x:c>
      <x:c r="C695" s="21" t="str">
        <x:v>F25-I3</x:v>
      </x:c>
      <x:c r="D695" s="21" t="str">
        <x:v>F25</x:v>
      </x:c>
      <x:c r="E695" s="21" t="str">
        <x:v>B2</x:v>
      </x:c>
      <x:c r="F695" s="21" t="str">
        <x:v>Architecture</x:v>
      </x:c>
      <x:c r="G695" s="21" t="str">
        <x:v>0.0.0</x:v>
      </x:c>
      <x:c r="H695" s="21" t="str">
        <x:v>Independent Evidence and Data Authority</x:v>
      </x:c>
      <x:c r="I695" s="21" t="str">
        <x:v>OPEN</x:v>
      </x:c>
      <x:c r="J695" s="21" t="str">
        <x:v>HOLD</x:v>
      </x:c>
      <x:c r="K695" s="23" t="str">
        <x:v>what interfaces and budgets govern the system must be accepted before downstream release</x:v>
      </x:c>
    </x:row>
    <x:row r="696">
      <x:c r="B696" s="21" t="str">
        <x:v>BL-00690</x:v>
      </x:c>
      <x:c r="C696" s="21" t="str">
        <x:v>F25-I3</x:v>
      </x:c>
      <x:c r="D696" s="21" t="str">
        <x:v>F25</x:v>
      </x:c>
      <x:c r="E696" s="21" t="str">
        <x:v>B3</x:v>
      </x:c>
      <x:c r="F696" s="21" t="str">
        <x:v>Build</x:v>
      </x:c>
      <x:c r="G696" s="21" t="str">
        <x:v>0.0.0</x:v>
      </x:c>
      <x:c r="H696" s="21" t="str">
        <x:v>Independent Evidence and Data Authority</x:v>
      </x:c>
      <x:c r="I696" s="21" t="str">
        <x:v>OPEN</x:v>
      </x:c>
      <x:c r="J696" s="21" t="str">
        <x:v>HOLD</x:v>
      </x:c>
      <x:c r="K696" s="23" t="str">
        <x:v>what exact configuration produced the article must be accepted before downstream release</x:v>
      </x:c>
    </x:row>
    <x:row r="697">
      <x:c r="B697" s="21" t="str">
        <x:v>BL-00691</x:v>
      </x:c>
      <x:c r="C697" s="21" t="str">
        <x:v>F25-I3</x:v>
      </x:c>
      <x:c r="D697" s="21" t="str">
        <x:v>F25</x:v>
      </x:c>
      <x:c r="E697" s="21" t="str">
        <x:v>B4</x:v>
      </x:c>
      <x:c r="F697" s="21" t="str">
        <x:v>Trial</x:v>
      </x:c>
      <x:c r="G697" s="21" t="str">
        <x:v>0.0.0</x:v>
      </x:c>
      <x:c r="H697" s="21" t="str">
        <x:v>Independent Evidence and Data Authority</x:v>
      </x:c>
      <x:c r="I697" s="21" t="str">
        <x:v>OPEN</x:v>
      </x:c>
      <x:c r="J697" s="21" t="str">
        <x:v>HOLD</x:v>
      </x:c>
      <x:c r="K697" s="23" t="str">
        <x:v>what configuration method and damage world produced evidence must be accepted before downstream release</x:v>
      </x:c>
    </x:row>
    <x:row r="698">
      <x:c r="B698" s="21" t="str">
        <x:v>BL-00692</x:v>
      </x:c>
      <x:c r="C698" s="21" t="str">
        <x:v>F25-I3</x:v>
      </x:c>
      <x:c r="D698" s="21" t="str">
        <x:v>F25</x:v>
      </x:c>
      <x:c r="E698" s="21" t="str">
        <x:v>B5</x:v>
      </x:c>
      <x:c r="F698" s="21" t="str">
        <x:v>Production</x:v>
      </x:c>
      <x:c r="G698" s="21" t="str">
        <x:v>0.0.0</x:v>
      </x:c>
      <x:c r="H698" s="21" t="str">
        <x:v>Independent Evidence and Data Authority</x:v>
      </x:c>
      <x:c r="I698" s="21" t="str">
        <x:v>OPEN</x:v>
      </x:c>
      <x:c r="J698" s="21" t="str">
        <x:v>HOLD</x:v>
      </x:c>
      <x:c r="K698" s="23" t="str">
        <x:v>what process configuration and acceptance define serial output must be accepted before downstream release</x:v>
      </x:c>
    </x:row>
    <x:row r="699">
      <x:c r="B699" s="21" t="str">
        <x:v>BL-00693</x:v>
      </x:c>
      <x:c r="C699" s="21" t="str">
        <x:v>F25-I3</x:v>
      </x:c>
      <x:c r="D699" s="21" t="str">
        <x:v>F25</x:v>
      </x:c>
      <x:c r="E699" s="21" t="str">
        <x:v>B6</x:v>
      </x:c>
      <x:c r="F699" s="21" t="str">
        <x:v>Mobilization</x:v>
      </x:c>
      <x:c r="G699" s="21" t="str">
        <x:v>0.0.0</x:v>
      </x:c>
      <x:c r="H699" s="21" t="str">
        <x:v>Independent Evidence and Data Authority</x:v>
      </x:c>
      <x:c r="I699" s="21" t="str">
        <x:v>OPEN</x:v>
      </x:c>
      <x:c r="J699" s="21" t="str">
        <x:v>HOLD</x:v>
      </x:c>
      <x:c r="K699" s="23" t="str">
        <x:v>what people tools suppliers and routes reproduce conforming service must be accepted before downstream release</x:v>
      </x:c>
    </x:row>
    <x:row r="700">
      <x:c r="B700" s="21" t="str">
        <x:v>BL-00694</x:v>
      </x:c>
      <x:c r="C700" s="21" t="str">
        <x:v>F25-I4</x:v>
      </x:c>
      <x:c r="D700" s="21" t="str">
        <x:v>F25</x:v>
      </x:c>
      <x:c r="E700" s="21" t="str">
        <x:v>B0</x:v>
      </x:c>
      <x:c r="F700" s="21" t="str">
        <x:v>Effect</x:v>
      </x:c>
      <x:c r="G700" s="21" t="str">
        <x:v>0.0.0</x:v>
      </x:c>
      <x:c r="H700" s="21" t="str">
        <x:v>Independent Evidence and Data Authority</x:v>
      </x:c>
      <x:c r="I700" s="21" t="str">
        <x:v>OPEN</x:v>
      </x:c>
      <x:c r="J700" s="21" t="str">
        <x:v>HOLD</x:v>
      </x:c>
      <x:c r="K700" s="23" t="str">
        <x:v>what public condition must exist must be accepted before downstream release</x:v>
      </x:c>
    </x:row>
    <x:row r="701">
      <x:c r="B701" s="21" t="str">
        <x:v>BL-00695</x:v>
      </x:c>
      <x:c r="C701" s="21" t="str">
        <x:v>F25-I4</x:v>
      </x:c>
      <x:c r="D701" s="21" t="str">
        <x:v>F25</x:v>
      </x:c>
      <x:c r="E701" s="21" t="str">
        <x:v>B1</x:v>
      </x:c>
      <x:c r="F701" s="21" t="str">
        <x:v>Requirements</x:v>
      </x:c>
      <x:c r="G701" s="21" t="str">
        <x:v>0.0.0</x:v>
      </x:c>
      <x:c r="H701" s="21" t="str">
        <x:v>Independent Evidence and Data Authority</x:v>
      </x:c>
      <x:c r="I701" s="21" t="str">
        <x:v>OPEN</x:v>
      </x:c>
      <x:c r="J701" s="21" t="str">
        <x:v>HOLD</x:v>
      </x:c>
      <x:c r="K701" s="23" t="str">
        <x:v>what burdens and invalid states bound the effect must be accepted before downstream release</x:v>
      </x:c>
    </x:row>
    <x:row r="702">
      <x:c r="B702" s="21" t="str">
        <x:v>BL-00696</x:v>
      </x:c>
      <x:c r="C702" s="21" t="str">
        <x:v>F25-I4</x:v>
      </x:c>
      <x:c r="D702" s="21" t="str">
        <x:v>F25</x:v>
      </x:c>
      <x:c r="E702" s="21" t="str">
        <x:v>B2</x:v>
      </x:c>
      <x:c r="F702" s="21" t="str">
        <x:v>Architecture</x:v>
      </x:c>
      <x:c r="G702" s="21" t="str">
        <x:v>0.0.0</x:v>
      </x:c>
      <x:c r="H702" s="21" t="str">
        <x:v>Independent Evidence and Data Authority</x:v>
      </x:c>
      <x:c r="I702" s="21" t="str">
        <x:v>OPEN</x:v>
      </x:c>
      <x:c r="J702" s="21" t="str">
        <x:v>HOLD</x:v>
      </x:c>
      <x:c r="K702" s="23" t="str">
        <x:v>what interfaces and budgets govern the system must be accepted before downstream release</x:v>
      </x:c>
    </x:row>
    <x:row r="703">
      <x:c r="B703" s="21" t="str">
        <x:v>BL-00697</x:v>
      </x:c>
      <x:c r="C703" s="21" t="str">
        <x:v>F25-I4</x:v>
      </x:c>
      <x:c r="D703" s="21" t="str">
        <x:v>F25</x:v>
      </x:c>
      <x:c r="E703" s="21" t="str">
        <x:v>B3</x:v>
      </x:c>
      <x:c r="F703" s="21" t="str">
        <x:v>Build</x:v>
      </x:c>
      <x:c r="G703" s="21" t="str">
        <x:v>0.0.0</x:v>
      </x:c>
      <x:c r="H703" s="21" t="str">
        <x:v>Independent Evidence and Data Authority</x:v>
      </x:c>
      <x:c r="I703" s="21" t="str">
        <x:v>OPEN</x:v>
      </x:c>
      <x:c r="J703" s="21" t="str">
        <x:v>HOLD</x:v>
      </x:c>
      <x:c r="K703" s="23" t="str">
        <x:v>what exact configuration produced the article must be accepted before downstream release</x:v>
      </x:c>
    </x:row>
    <x:row r="704">
      <x:c r="B704" s="21" t="str">
        <x:v>BL-00698</x:v>
      </x:c>
      <x:c r="C704" s="21" t="str">
        <x:v>F25-I4</x:v>
      </x:c>
      <x:c r="D704" s="21" t="str">
        <x:v>F25</x:v>
      </x:c>
      <x:c r="E704" s="21" t="str">
        <x:v>B4</x:v>
      </x:c>
      <x:c r="F704" s="21" t="str">
        <x:v>Trial</x:v>
      </x:c>
      <x:c r="G704" s="21" t="str">
        <x:v>0.0.0</x:v>
      </x:c>
      <x:c r="H704" s="21" t="str">
        <x:v>Independent Evidence and Data Authority</x:v>
      </x:c>
      <x:c r="I704" s="21" t="str">
        <x:v>OPEN</x:v>
      </x:c>
      <x:c r="J704" s="21" t="str">
        <x:v>HOLD</x:v>
      </x:c>
      <x:c r="K704" s="23" t="str">
        <x:v>what configuration method and damage world produced evidence must be accepted before downstream release</x:v>
      </x:c>
    </x:row>
    <x:row r="705">
      <x:c r="B705" s="21" t="str">
        <x:v>BL-00699</x:v>
      </x:c>
      <x:c r="C705" s="21" t="str">
        <x:v>F25-I4</x:v>
      </x:c>
      <x:c r="D705" s="21" t="str">
        <x:v>F25</x:v>
      </x:c>
      <x:c r="E705" s="21" t="str">
        <x:v>B5</x:v>
      </x:c>
      <x:c r="F705" s="21" t="str">
        <x:v>Production</x:v>
      </x:c>
      <x:c r="G705" s="21" t="str">
        <x:v>0.0.0</x:v>
      </x:c>
      <x:c r="H705" s="21" t="str">
        <x:v>Independent Evidence and Data Authority</x:v>
      </x:c>
      <x:c r="I705" s="21" t="str">
        <x:v>OPEN</x:v>
      </x:c>
      <x:c r="J705" s="21" t="str">
        <x:v>HOLD</x:v>
      </x:c>
      <x:c r="K705" s="23" t="str">
        <x:v>what process configuration and acceptance define serial output must be accepted before downstream release</x:v>
      </x:c>
    </x:row>
    <x:row r="706">
      <x:c r="B706" s="21" t="str">
        <x:v>BL-00700</x:v>
      </x:c>
      <x:c r="C706" s="21" t="str">
        <x:v>F25-I4</x:v>
      </x:c>
      <x:c r="D706" s="21" t="str">
        <x:v>F25</x:v>
      </x:c>
      <x:c r="E706" s="21" t="str">
        <x:v>B6</x:v>
      </x:c>
      <x:c r="F706" s="21" t="str">
        <x:v>Mobilization</x:v>
      </x:c>
      <x:c r="G706" s="21" t="str">
        <x:v>0.0.0</x:v>
      </x:c>
      <x:c r="H706" s="21" t="str">
        <x:v>Independent Evidence and Data Authority</x:v>
      </x:c>
      <x:c r="I706" s="21" t="str">
        <x:v>OPEN</x:v>
      </x:c>
      <x:c r="J706" s="21" t="str">
        <x:v>HOLD</x:v>
      </x:c>
      <x:c r="K706" s="23" t="str">
        <x:v>what people tools suppliers and routes reproduce conforming service must be accepted before downstream release</x:v>
      </x:c>
    </x:row>
    <x:row r="707">
      <x:c r="B707" s="21" t="str">
        <x:v>BL-00701</x:v>
      </x:c>
      <x:c r="C707" s="21" t="str">
        <x:v>F26-I1</x:v>
      </x:c>
      <x:c r="D707" s="21" t="str">
        <x:v>F26</x:v>
      </x:c>
      <x:c r="E707" s="21" t="str">
        <x:v>B0</x:v>
      </x:c>
      <x:c r="F707" s="21" t="str">
        <x:v>Effect</x:v>
      </x:c>
      <x:c r="G707" s="21" t="str">
        <x:v>0.0.0</x:v>
      </x:c>
      <x:c r="H707" s="21" t="str">
        <x:v>Independent Evidence and Data Authority</x:v>
      </x:c>
      <x:c r="I707" s="21" t="str">
        <x:v>OPEN</x:v>
      </x:c>
      <x:c r="J707" s="21" t="str">
        <x:v>HOLD</x:v>
      </x:c>
      <x:c r="K707" s="23" t="str">
        <x:v>what public condition must exist must be accepted before downstream release</x:v>
      </x:c>
    </x:row>
    <x:row r="708">
      <x:c r="B708" s="21" t="str">
        <x:v>BL-00702</x:v>
      </x:c>
      <x:c r="C708" s="21" t="str">
        <x:v>F26-I1</x:v>
      </x:c>
      <x:c r="D708" s="21" t="str">
        <x:v>F26</x:v>
      </x:c>
      <x:c r="E708" s="21" t="str">
        <x:v>B1</x:v>
      </x:c>
      <x:c r="F708" s="21" t="str">
        <x:v>Requirements</x:v>
      </x:c>
      <x:c r="G708" s="21" t="str">
        <x:v>0.0.0</x:v>
      </x:c>
      <x:c r="H708" s="21" t="str">
        <x:v>Independent Evidence and Data Authority</x:v>
      </x:c>
      <x:c r="I708" s="21" t="str">
        <x:v>OPEN</x:v>
      </x:c>
      <x:c r="J708" s="21" t="str">
        <x:v>HOLD</x:v>
      </x:c>
      <x:c r="K708" s="23" t="str">
        <x:v>what burdens and invalid states bound the effect must be accepted before downstream release</x:v>
      </x:c>
    </x:row>
    <x:row r="709">
      <x:c r="B709" s="21" t="str">
        <x:v>BL-00703</x:v>
      </x:c>
      <x:c r="C709" s="21" t="str">
        <x:v>F26-I1</x:v>
      </x:c>
      <x:c r="D709" s="21" t="str">
        <x:v>F26</x:v>
      </x:c>
      <x:c r="E709" s="21" t="str">
        <x:v>B2</x:v>
      </x:c>
      <x:c r="F709" s="21" t="str">
        <x:v>Architecture</x:v>
      </x:c>
      <x:c r="G709" s="21" t="str">
        <x:v>0.0.0</x:v>
      </x:c>
      <x:c r="H709" s="21" t="str">
        <x:v>Independent Evidence and Data Authority</x:v>
      </x:c>
      <x:c r="I709" s="21" t="str">
        <x:v>OPEN</x:v>
      </x:c>
      <x:c r="J709" s="21" t="str">
        <x:v>HOLD</x:v>
      </x:c>
      <x:c r="K709" s="23" t="str">
        <x:v>what interfaces and budgets govern the system must be accepted before downstream release</x:v>
      </x:c>
    </x:row>
    <x:row r="710">
      <x:c r="B710" s="21" t="str">
        <x:v>BL-00704</x:v>
      </x:c>
      <x:c r="C710" s="21" t="str">
        <x:v>F26-I1</x:v>
      </x:c>
      <x:c r="D710" s="21" t="str">
        <x:v>F26</x:v>
      </x:c>
      <x:c r="E710" s="21" t="str">
        <x:v>B3</x:v>
      </x:c>
      <x:c r="F710" s="21" t="str">
        <x:v>Build</x:v>
      </x:c>
      <x:c r="G710" s="21" t="str">
        <x:v>0.0.0</x:v>
      </x:c>
      <x:c r="H710" s="21" t="str">
        <x:v>Independent Evidence and Data Authority</x:v>
      </x:c>
      <x:c r="I710" s="21" t="str">
        <x:v>OPEN</x:v>
      </x:c>
      <x:c r="J710" s="21" t="str">
        <x:v>HOLD</x:v>
      </x:c>
      <x:c r="K710" s="23" t="str">
        <x:v>what exact configuration produced the article must be accepted before downstream release</x:v>
      </x:c>
    </x:row>
    <x:row r="711">
      <x:c r="B711" s="21" t="str">
        <x:v>BL-00705</x:v>
      </x:c>
      <x:c r="C711" s="21" t="str">
        <x:v>F26-I1</x:v>
      </x:c>
      <x:c r="D711" s="21" t="str">
        <x:v>F26</x:v>
      </x:c>
      <x:c r="E711" s="21" t="str">
        <x:v>B4</x:v>
      </x:c>
      <x:c r="F711" s="21" t="str">
        <x:v>Trial</x:v>
      </x:c>
      <x:c r="G711" s="21" t="str">
        <x:v>0.0.0</x:v>
      </x:c>
      <x:c r="H711" s="21" t="str">
        <x:v>Independent Evidence and Data Authority</x:v>
      </x:c>
      <x:c r="I711" s="21" t="str">
        <x:v>OPEN</x:v>
      </x:c>
      <x:c r="J711" s="21" t="str">
        <x:v>HOLD</x:v>
      </x:c>
      <x:c r="K711" s="23" t="str">
        <x:v>what configuration method and damage world produced evidence must be accepted before downstream release</x:v>
      </x:c>
    </x:row>
    <x:row r="712">
      <x:c r="B712" s="21" t="str">
        <x:v>BL-00706</x:v>
      </x:c>
      <x:c r="C712" s="21" t="str">
        <x:v>F26-I1</x:v>
      </x:c>
      <x:c r="D712" s="21" t="str">
        <x:v>F26</x:v>
      </x:c>
      <x:c r="E712" s="21" t="str">
        <x:v>B5</x:v>
      </x:c>
      <x:c r="F712" s="21" t="str">
        <x:v>Production</x:v>
      </x:c>
      <x:c r="G712" s="21" t="str">
        <x:v>0.0.0</x:v>
      </x:c>
      <x:c r="H712" s="21" t="str">
        <x:v>Independent Evidence and Data Authority</x:v>
      </x:c>
      <x:c r="I712" s="21" t="str">
        <x:v>OPEN</x:v>
      </x:c>
      <x:c r="J712" s="21" t="str">
        <x:v>HOLD</x:v>
      </x:c>
      <x:c r="K712" s="23" t="str">
        <x:v>what process configuration and acceptance define serial output must be accepted before downstream release</x:v>
      </x:c>
    </x:row>
    <x:row r="713">
      <x:c r="B713" s="21" t="str">
        <x:v>BL-00707</x:v>
      </x:c>
      <x:c r="C713" s="21" t="str">
        <x:v>F26-I1</x:v>
      </x:c>
      <x:c r="D713" s="21" t="str">
        <x:v>F26</x:v>
      </x:c>
      <x:c r="E713" s="21" t="str">
        <x:v>B6</x:v>
      </x:c>
      <x:c r="F713" s="21" t="str">
        <x:v>Mobilization</x:v>
      </x:c>
      <x:c r="G713" s="21" t="str">
        <x:v>0.0.0</x:v>
      </x:c>
      <x:c r="H713" s="21" t="str">
        <x:v>Independent Evidence and Data Authority</x:v>
      </x:c>
      <x:c r="I713" s="21" t="str">
        <x:v>OPEN</x:v>
      </x:c>
      <x:c r="J713" s="21" t="str">
        <x:v>HOLD</x:v>
      </x:c>
      <x:c r="K713" s="23" t="str">
        <x:v>what people tools suppliers and routes reproduce conforming service must be accepted before downstream release</x:v>
      </x:c>
    </x:row>
    <x:row r="714">
      <x:c r="B714" s="21" t="str">
        <x:v>BL-00708</x:v>
      </x:c>
      <x:c r="C714" s="21" t="str">
        <x:v>F26-I2</x:v>
      </x:c>
      <x:c r="D714" s="21" t="str">
        <x:v>F26</x:v>
      </x:c>
      <x:c r="E714" s="21" t="str">
        <x:v>B0</x:v>
      </x:c>
      <x:c r="F714" s="21" t="str">
        <x:v>Effect</x:v>
      </x:c>
      <x:c r="G714" s="21" t="str">
        <x:v>0.0.0</x:v>
      </x:c>
      <x:c r="H714" s="21" t="str">
        <x:v>Independent Evidence and Data Authority</x:v>
      </x:c>
      <x:c r="I714" s="21" t="str">
        <x:v>OPEN</x:v>
      </x:c>
      <x:c r="J714" s="21" t="str">
        <x:v>HOLD</x:v>
      </x:c>
      <x:c r="K714" s="23" t="str">
        <x:v>what public condition must exist must be accepted before downstream release</x:v>
      </x:c>
    </x:row>
    <x:row r="715">
      <x:c r="B715" s="21" t="str">
        <x:v>BL-00709</x:v>
      </x:c>
      <x:c r="C715" s="21" t="str">
        <x:v>F26-I2</x:v>
      </x:c>
      <x:c r="D715" s="21" t="str">
        <x:v>F26</x:v>
      </x:c>
      <x:c r="E715" s="21" t="str">
        <x:v>B1</x:v>
      </x:c>
      <x:c r="F715" s="21" t="str">
        <x:v>Requirements</x:v>
      </x:c>
      <x:c r="G715" s="21" t="str">
        <x:v>0.0.0</x:v>
      </x:c>
      <x:c r="H715" s="21" t="str">
        <x:v>Independent Evidence and Data Authority</x:v>
      </x:c>
      <x:c r="I715" s="21" t="str">
        <x:v>OPEN</x:v>
      </x:c>
      <x:c r="J715" s="21" t="str">
        <x:v>HOLD</x:v>
      </x:c>
      <x:c r="K715" s="23" t="str">
        <x:v>what burdens and invalid states bound the effect must be accepted before downstream release</x:v>
      </x:c>
    </x:row>
    <x:row r="716">
      <x:c r="B716" s="21" t="str">
        <x:v>BL-00710</x:v>
      </x:c>
      <x:c r="C716" s="21" t="str">
        <x:v>F26-I2</x:v>
      </x:c>
      <x:c r="D716" s="21" t="str">
        <x:v>F26</x:v>
      </x:c>
      <x:c r="E716" s="21" t="str">
        <x:v>B2</x:v>
      </x:c>
      <x:c r="F716" s="21" t="str">
        <x:v>Architecture</x:v>
      </x:c>
      <x:c r="G716" s="21" t="str">
        <x:v>0.0.0</x:v>
      </x:c>
      <x:c r="H716" s="21" t="str">
        <x:v>Independent Evidence and Data Authority</x:v>
      </x:c>
      <x:c r="I716" s="21" t="str">
        <x:v>OPEN</x:v>
      </x:c>
      <x:c r="J716" s="21" t="str">
        <x:v>HOLD</x:v>
      </x:c>
      <x:c r="K716" s="23" t="str">
        <x:v>what interfaces and budgets govern the system must be accepted before downstream release</x:v>
      </x:c>
    </x:row>
    <x:row r="717">
      <x:c r="B717" s="21" t="str">
        <x:v>BL-00711</x:v>
      </x:c>
      <x:c r="C717" s="21" t="str">
        <x:v>F26-I2</x:v>
      </x:c>
      <x:c r="D717" s="21" t="str">
        <x:v>F26</x:v>
      </x:c>
      <x:c r="E717" s="21" t="str">
        <x:v>B3</x:v>
      </x:c>
      <x:c r="F717" s="21" t="str">
        <x:v>Build</x:v>
      </x:c>
      <x:c r="G717" s="21" t="str">
        <x:v>0.0.0</x:v>
      </x:c>
      <x:c r="H717" s="21" t="str">
        <x:v>Independent Evidence and Data Authority</x:v>
      </x:c>
      <x:c r="I717" s="21" t="str">
        <x:v>OPEN</x:v>
      </x:c>
      <x:c r="J717" s="21" t="str">
        <x:v>HOLD</x:v>
      </x:c>
      <x:c r="K717" s="23" t="str">
        <x:v>what exact configuration produced the article must be accepted before downstream release</x:v>
      </x:c>
    </x:row>
    <x:row r="718">
      <x:c r="B718" s="21" t="str">
        <x:v>BL-00712</x:v>
      </x:c>
      <x:c r="C718" s="21" t="str">
        <x:v>F26-I2</x:v>
      </x:c>
      <x:c r="D718" s="21" t="str">
        <x:v>F26</x:v>
      </x:c>
      <x:c r="E718" s="21" t="str">
        <x:v>B4</x:v>
      </x:c>
      <x:c r="F718" s="21" t="str">
        <x:v>Trial</x:v>
      </x:c>
      <x:c r="G718" s="21" t="str">
        <x:v>0.0.0</x:v>
      </x:c>
      <x:c r="H718" s="21" t="str">
        <x:v>Independent Evidence and Data Authority</x:v>
      </x:c>
      <x:c r="I718" s="21" t="str">
        <x:v>OPEN</x:v>
      </x:c>
      <x:c r="J718" s="21" t="str">
        <x:v>HOLD</x:v>
      </x:c>
      <x:c r="K718" s="23" t="str">
        <x:v>what configuration method and damage world produced evidence must be accepted before downstream release</x:v>
      </x:c>
    </x:row>
    <x:row r="719">
      <x:c r="B719" s="21" t="str">
        <x:v>BL-00713</x:v>
      </x:c>
      <x:c r="C719" s="21" t="str">
        <x:v>F26-I2</x:v>
      </x:c>
      <x:c r="D719" s="21" t="str">
        <x:v>F26</x:v>
      </x:c>
      <x:c r="E719" s="21" t="str">
        <x:v>B5</x:v>
      </x:c>
      <x:c r="F719" s="21" t="str">
        <x:v>Production</x:v>
      </x:c>
      <x:c r="G719" s="21" t="str">
        <x:v>0.0.0</x:v>
      </x:c>
      <x:c r="H719" s="21" t="str">
        <x:v>Independent Evidence and Data Authority</x:v>
      </x:c>
      <x:c r="I719" s="21" t="str">
        <x:v>OPEN</x:v>
      </x:c>
      <x:c r="J719" s="21" t="str">
        <x:v>HOLD</x:v>
      </x:c>
      <x:c r="K719" s="23" t="str">
        <x:v>what process configuration and acceptance define serial output must be accepted before downstream release</x:v>
      </x:c>
    </x:row>
    <x:row r="720">
      <x:c r="B720" s="21" t="str">
        <x:v>BL-00714</x:v>
      </x:c>
      <x:c r="C720" s="21" t="str">
        <x:v>F26-I2</x:v>
      </x:c>
      <x:c r="D720" s="21" t="str">
        <x:v>F26</x:v>
      </x:c>
      <x:c r="E720" s="21" t="str">
        <x:v>B6</x:v>
      </x:c>
      <x:c r="F720" s="21" t="str">
        <x:v>Mobilization</x:v>
      </x:c>
      <x:c r="G720" s="21" t="str">
        <x:v>0.0.0</x:v>
      </x:c>
      <x:c r="H720" s="21" t="str">
        <x:v>Independent Evidence and Data Authority</x:v>
      </x:c>
      <x:c r="I720" s="21" t="str">
        <x:v>OPEN</x:v>
      </x:c>
      <x:c r="J720" s="21" t="str">
        <x:v>HOLD</x:v>
      </x:c>
      <x:c r="K720" s="23" t="str">
        <x:v>what people tools suppliers and routes reproduce conforming service must be accepted before downstream release</x:v>
      </x:c>
    </x:row>
    <x:row r="721">
      <x:c r="B721" s="21" t="str">
        <x:v>BL-00715</x:v>
      </x:c>
      <x:c r="C721" s="21" t="str">
        <x:v>F26-I3</x:v>
      </x:c>
      <x:c r="D721" s="21" t="str">
        <x:v>F26</x:v>
      </x:c>
      <x:c r="E721" s="21" t="str">
        <x:v>B0</x:v>
      </x:c>
      <x:c r="F721" s="21" t="str">
        <x:v>Effect</x:v>
      </x:c>
      <x:c r="G721" s="21" t="str">
        <x:v>0.0.0</x:v>
      </x:c>
      <x:c r="H721" s="21" t="str">
        <x:v>Independent Evidence and Data Authority</x:v>
      </x:c>
      <x:c r="I721" s="21" t="str">
        <x:v>OPEN</x:v>
      </x:c>
      <x:c r="J721" s="21" t="str">
        <x:v>HOLD</x:v>
      </x:c>
      <x:c r="K721" s="23" t="str">
        <x:v>what public condition must exist must be accepted before downstream release</x:v>
      </x:c>
    </x:row>
    <x:row r="722">
      <x:c r="B722" s="21" t="str">
        <x:v>BL-00716</x:v>
      </x:c>
      <x:c r="C722" s="21" t="str">
        <x:v>F26-I3</x:v>
      </x:c>
      <x:c r="D722" s="21" t="str">
        <x:v>F26</x:v>
      </x:c>
      <x:c r="E722" s="21" t="str">
        <x:v>B1</x:v>
      </x:c>
      <x:c r="F722" s="21" t="str">
        <x:v>Requirements</x:v>
      </x:c>
      <x:c r="G722" s="21" t="str">
        <x:v>0.0.0</x:v>
      </x:c>
      <x:c r="H722" s="21" t="str">
        <x:v>Independent Evidence and Data Authority</x:v>
      </x:c>
      <x:c r="I722" s="21" t="str">
        <x:v>OPEN</x:v>
      </x:c>
      <x:c r="J722" s="21" t="str">
        <x:v>HOLD</x:v>
      </x:c>
      <x:c r="K722" s="23" t="str">
        <x:v>what burdens and invalid states bound the effect must be accepted before downstream release</x:v>
      </x:c>
    </x:row>
    <x:row r="723">
      <x:c r="B723" s="21" t="str">
        <x:v>BL-00717</x:v>
      </x:c>
      <x:c r="C723" s="21" t="str">
        <x:v>F26-I3</x:v>
      </x:c>
      <x:c r="D723" s="21" t="str">
        <x:v>F26</x:v>
      </x:c>
      <x:c r="E723" s="21" t="str">
        <x:v>B2</x:v>
      </x:c>
      <x:c r="F723" s="21" t="str">
        <x:v>Architecture</x:v>
      </x:c>
      <x:c r="G723" s="21" t="str">
        <x:v>0.0.0</x:v>
      </x:c>
      <x:c r="H723" s="21" t="str">
        <x:v>Independent Evidence and Data Authority</x:v>
      </x:c>
      <x:c r="I723" s="21" t="str">
        <x:v>OPEN</x:v>
      </x:c>
      <x:c r="J723" s="21" t="str">
        <x:v>HOLD</x:v>
      </x:c>
      <x:c r="K723" s="23" t="str">
        <x:v>what interfaces and budgets govern the system must be accepted before downstream release</x:v>
      </x:c>
    </x:row>
    <x:row r="724">
      <x:c r="B724" s="21" t="str">
        <x:v>BL-00718</x:v>
      </x:c>
      <x:c r="C724" s="21" t="str">
        <x:v>F26-I3</x:v>
      </x:c>
      <x:c r="D724" s="21" t="str">
        <x:v>F26</x:v>
      </x:c>
      <x:c r="E724" s="21" t="str">
        <x:v>B3</x:v>
      </x:c>
      <x:c r="F724" s="21" t="str">
        <x:v>Build</x:v>
      </x:c>
      <x:c r="G724" s="21" t="str">
        <x:v>0.0.0</x:v>
      </x:c>
      <x:c r="H724" s="21" t="str">
        <x:v>Independent Evidence and Data Authority</x:v>
      </x:c>
      <x:c r="I724" s="21" t="str">
        <x:v>OPEN</x:v>
      </x:c>
      <x:c r="J724" s="21" t="str">
        <x:v>HOLD</x:v>
      </x:c>
      <x:c r="K724" s="23" t="str">
        <x:v>what exact configuration produced the article must be accepted before downstream release</x:v>
      </x:c>
    </x:row>
    <x:row r="725">
      <x:c r="B725" s="21" t="str">
        <x:v>BL-00719</x:v>
      </x:c>
      <x:c r="C725" s="21" t="str">
        <x:v>F26-I3</x:v>
      </x:c>
      <x:c r="D725" s="21" t="str">
        <x:v>F26</x:v>
      </x:c>
      <x:c r="E725" s="21" t="str">
        <x:v>B4</x:v>
      </x:c>
      <x:c r="F725" s="21" t="str">
        <x:v>Trial</x:v>
      </x:c>
      <x:c r="G725" s="21" t="str">
        <x:v>0.0.0</x:v>
      </x:c>
      <x:c r="H725" s="21" t="str">
        <x:v>Independent Evidence and Data Authority</x:v>
      </x:c>
      <x:c r="I725" s="21" t="str">
        <x:v>OPEN</x:v>
      </x:c>
      <x:c r="J725" s="21" t="str">
        <x:v>HOLD</x:v>
      </x:c>
      <x:c r="K725" s="23" t="str">
        <x:v>what configuration method and damage world produced evidence must be accepted before downstream release</x:v>
      </x:c>
    </x:row>
    <x:row r="726">
      <x:c r="B726" s="21" t="str">
        <x:v>BL-00720</x:v>
      </x:c>
      <x:c r="C726" s="21" t="str">
        <x:v>F26-I3</x:v>
      </x:c>
      <x:c r="D726" s="21" t="str">
        <x:v>F26</x:v>
      </x:c>
      <x:c r="E726" s="21" t="str">
        <x:v>B5</x:v>
      </x:c>
      <x:c r="F726" s="21" t="str">
        <x:v>Production</x:v>
      </x:c>
      <x:c r="G726" s="21" t="str">
        <x:v>0.0.0</x:v>
      </x:c>
      <x:c r="H726" s="21" t="str">
        <x:v>Independent Evidence and Data Authority</x:v>
      </x:c>
      <x:c r="I726" s="21" t="str">
        <x:v>OPEN</x:v>
      </x:c>
      <x:c r="J726" s="21" t="str">
        <x:v>HOLD</x:v>
      </x:c>
      <x:c r="K726" s="23" t="str">
        <x:v>what process configuration and acceptance define serial output must be accepted before downstream release</x:v>
      </x:c>
    </x:row>
    <x:row r="727">
      <x:c r="B727" s="21" t="str">
        <x:v>BL-00721</x:v>
      </x:c>
      <x:c r="C727" s="21" t="str">
        <x:v>F26-I3</x:v>
      </x:c>
      <x:c r="D727" s="21" t="str">
        <x:v>F26</x:v>
      </x:c>
      <x:c r="E727" s="21" t="str">
        <x:v>B6</x:v>
      </x:c>
      <x:c r="F727" s="21" t="str">
        <x:v>Mobilization</x:v>
      </x:c>
      <x:c r="G727" s="21" t="str">
        <x:v>0.0.0</x:v>
      </x:c>
      <x:c r="H727" s="21" t="str">
        <x:v>Independent Evidence and Data Authority</x:v>
      </x:c>
      <x:c r="I727" s="21" t="str">
        <x:v>OPEN</x:v>
      </x:c>
      <x:c r="J727" s="21" t="str">
        <x:v>HOLD</x:v>
      </x:c>
      <x:c r="K727" s="23" t="str">
        <x:v>what people tools suppliers and routes reproduce conforming service must be accepted before downstream release</x:v>
      </x:c>
    </x:row>
    <x:row r="728">
      <x:c r="B728" s="21" t="str">
        <x:v>BL-00722</x:v>
      </x:c>
      <x:c r="C728" s="21" t="str">
        <x:v>F26-I4</x:v>
      </x:c>
      <x:c r="D728" s="21" t="str">
        <x:v>F26</x:v>
      </x:c>
      <x:c r="E728" s="21" t="str">
        <x:v>B0</x:v>
      </x:c>
      <x:c r="F728" s="21" t="str">
        <x:v>Effect</x:v>
      </x:c>
      <x:c r="G728" s="21" t="str">
        <x:v>0.0.0</x:v>
      </x:c>
      <x:c r="H728" s="21" t="str">
        <x:v>Independent Evidence and Data Authority</x:v>
      </x:c>
      <x:c r="I728" s="21" t="str">
        <x:v>OPEN</x:v>
      </x:c>
      <x:c r="J728" s="21" t="str">
        <x:v>HOLD</x:v>
      </x:c>
      <x:c r="K728" s="23" t="str">
        <x:v>what public condition must exist must be accepted before downstream release</x:v>
      </x:c>
    </x:row>
    <x:row r="729">
      <x:c r="B729" s="21" t="str">
        <x:v>BL-00723</x:v>
      </x:c>
      <x:c r="C729" s="21" t="str">
        <x:v>F26-I4</x:v>
      </x:c>
      <x:c r="D729" s="21" t="str">
        <x:v>F26</x:v>
      </x:c>
      <x:c r="E729" s="21" t="str">
        <x:v>B1</x:v>
      </x:c>
      <x:c r="F729" s="21" t="str">
        <x:v>Requirements</x:v>
      </x:c>
      <x:c r="G729" s="21" t="str">
        <x:v>0.0.0</x:v>
      </x:c>
      <x:c r="H729" s="21" t="str">
        <x:v>Independent Evidence and Data Authority</x:v>
      </x:c>
      <x:c r="I729" s="21" t="str">
        <x:v>OPEN</x:v>
      </x:c>
      <x:c r="J729" s="21" t="str">
        <x:v>HOLD</x:v>
      </x:c>
      <x:c r="K729" s="23" t="str">
        <x:v>what burdens and invalid states bound the effect must be accepted before downstream release</x:v>
      </x:c>
    </x:row>
    <x:row r="730">
      <x:c r="B730" s="21" t="str">
        <x:v>BL-00724</x:v>
      </x:c>
      <x:c r="C730" s="21" t="str">
        <x:v>F26-I4</x:v>
      </x:c>
      <x:c r="D730" s="21" t="str">
        <x:v>F26</x:v>
      </x:c>
      <x:c r="E730" s="21" t="str">
        <x:v>B2</x:v>
      </x:c>
      <x:c r="F730" s="21" t="str">
        <x:v>Architecture</x:v>
      </x:c>
      <x:c r="G730" s="21" t="str">
        <x:v>0.0.0</x:v>
      </x:c>
      <x:c r="H730" s="21" t="str">
        <x:v>Independent Evidence and Data Authority</x:v>
      </x:c>
      <x:c r="I730" s="21" t="str">
        <x:v>OPEN</x:v>
      </x:c>
      <x:c r="J730" s="21" t="str">
        <x:v>HOLD</x:v>
      </x:c>
      <x:c r="K730" s="23" t="str">
        <x:v>what interfaces and budgets govern the system must be accepted before downstream release</x:v>
      </x:c>
    </x:row>
    <x:row r="731">
      <x:c r="B731" s="21" t="str">
        <x:v>BL-00725</x:v>
      </x:c>
      <x:c r="C731" s="21" t="str">
        <x:v>F26-I4</x:v>
      </x:c>
      <x:c r="D731" s="21" t="str">
        <x:v>F26</x:v>
      </x:c>
      <x:c r="E731" s="21" t="str">
        <x:v>B3</x:v>
      </x:c>
      <x:c r="F731" s="21" t="str">
        <x:v>Build</x:v>
      </x:c>
      <x:c r="G731" s="21" t="str">
        <x:v>0.0.0</x:v>
      </x:c>
      <x:c r="H731" s="21" t="str">
        <x:v>Independent Evidence and Data Authority</x:v>
      </x:c>
      <x:c r="I731" s="21" t="str">
        <x:v>OPEN</x:v>
      </x:c>
      <x:c r="J731" s="21" t="str">
        <x:v>HOLD</x:v>
      </x:c>
      <x:c r="K731" s="23" t="str">
        <x:v>what exact configuration produced the article must be accepted before downstream release</x:v>
      </x:c>
    </x:row>
    <x:row r="732">
      <x:c r="B732" s="21" t="str">
        <x:v>BL-00726</x:v>
      </x:c>
      <x:c r="C732" s="21" t="str">
        <x:v>F26-I4</x:v>
      </x:c>
      <x:c r="D732" s="21" t="str">
        <x:v>F26</x:v>
      </x:c>
      <x:c r="E732" s="21" t="str">
        <x:v>B4</x:v>
      </x:c>
      <x:c r="F732" s="21" t="str">
        <x:v>Trial</x:v>
      </x:c>
      <x:c r="G732" s="21" t="str">
        <x:v>0.0.0</x:v>
      </x:c>
      <x:c r="H732" s="21" t="str">
        <x:v>Independent Evidence and Data Authority</x:v>
      </x:c>
      <x:c r="I732" s="21" t="str">
        <x:v>OPEN</x:v>
      </x:c>
      <x:c r="J732" s="21" t="str">
        <x:v>HOLD</x:v>
      </x:c>
      <x:c r="K732" s="23" t="str">
        <x:v>what configuration method and damage world produced evidence must be accepted before downstream release</x:v>
      </x:c>
    </x:row>
    <x:row r="733">
      <x:c r="B733" s="21" t="str">
        <x:v>BL-00727</x:v>
      </x:c>
      <x:c r="C733" s="21" t="str">
        <x:v>F26-I4</x:v>
      </x:c>
      <x:c r="D733" s="21" t="str">
        <x:v>F26</x:v>
      </x:c>
      <x:c r="E733" s="21" t="str">
        <x:v>B5</x:v>
      </x:c>
      <x:c r="F733" s="21" t="str">
        <x:v>Production</x:v>
      </x:c>
      <x:c r="G733" s="21" t="str">
        <x:v>0.0.0</x:v>
      </x:c>
      <x:c r="H733" s="21" t="str">
        <x:v>Independent Evidence and Data Authority</x:v>
      </x:c>
      <x:c r="I733" s="21" t="str">
        <x:v>OPEN</x:v>
      </x:c>
      <x:c r="J733" s="21" t="str">
        <x:v>HOLD</x:v>
      </x:c>
      <x:c r="K733" s="23" t="str">
        <x:v>what process configuration and acceptance define serial output must be accepted before downstream release</x:v>
      </x:c>
    </x:row>
    <x:row r="734">
      <x:c r="B734" s="21" t="str">
        <x:v>BL-00728</x:v>
      </x:c>
      <x:c r="C734" s="21" t="str">
        <x:v>F26-I4</x:v>
      </x:c>
      <x:c r="D734" s="21" t="str">
        <x:v>F26</x:v>
      </x:c>
      <x:c r="E734" s="21" t="str">
        <x:v>B6</x:v>
      </x:c>
      <x:c r="F734" s="21" t="str">
        <x:v>Mobilization</x:v>
      </x:c>
      <x:c r="G734" s="21" t="str">
        <x:v>0.0.0</x:v>
      </x:c>
      <x:c r="H734" s="21" t="str">
        <x:v>Independent Evidence and Data Authority</x:v>
      </x:c>
      <x:c r="I734" s="21" t="str">
        <x:v>OPEN</x:v>
      </x:c>
      <x:c r="J734" s="21" t="str">
        <x:v>HOLD</x:v>
      </x:c>
      <x:c r="K734" s="23" t="str">
        <x:v>what people tools suppliers and routes reproduce conforming service must be accepted before downstream release</x:v>
      </x:c>
    </x:row>
    <x:row r="735">
      <x:c r="B735" s="21" t="str">
        <x:v>BL-00729</x:v>
      </x:c>
      <x:c r="C735" s="21" t="str">
        <x:v>F27-I1</x:v>
      </x:c>
      <x:c r="D735" s="21" t="str">
        <x:v>F27</x:v>
      </x:c>
      <x:c r="E735" s="21" t="str">
        <x:v>B0</x:v>
      </x:c>
      <x:c r="F735" s="21" t="str">
        <x:v>Effect</x:v>
      </x:c>
      <x:c r="G735" s="21" t="str">
        <x:v>0.0.0</x:v>
      </x:c>
      <x:c r="H735" s="21" t="str">
        <x:v>Independent Evidence and Data Authority</x:v>
      </x:c>
      <x:c r="I735" s="21" t="str">
        <x:v>OPEN</x:v>
      </x:c>
      <x:c r="J735" s="21" t="str">
        <x:v>HOLD</x:v>
      </x:c>
      <x:c r="K735" s="23" t="str">
        <x:v>what public condition must exist must be accepted before downstream release</x:v>
      </x:c>
    </x:row>
    <x:row r="736">
      <x:c r="B736" s="21" t="str">
        <x:v>BL-00730</x:v>
      </x:c>
      <x:c r="C736" s="21" t="str">
        <x:v>F27-I1</x:v>
      </x:c>
      <x:c r="D736" s="21" t="str">
        <x:v>F27</x:v>
      </x:c>
      <x:c r="E736" s="21" t="str">
        <x:v>B1</x:v>
      </x:c>
      <x:c r="F736" s="21" t="str">
        <x:v>Requirements</x:v>
      </x:c>
      <x:c r="G736" s="21" t="str">
        <x:v>0.0.0</x:v>
      </x:c>
      <x:c r="H736" s="21" t="str">
        <x:v>Independent Evidence and Data Authority</x:v>
      </x:c>
      <x:c r="I736" s="21" t="str">
        <x:v>OPEN</x:v>
      </x:c>
      <x:c r="J736" s="21" t="str">
        <x:v>HOLD</x:v>
      </x:c>
      <x:c r="K736" s="23" t="str">
        <x:v>what burdens and invalid states bound the effect must be accepted before downstream release</x:v>
      </x:c>
    </x:row>
    <x:row r="737">
      <x:c r="B737" s="21" t="str">
        <x:v>BL-00731</x:v>
      </x:c>
      <x:c r="C737" s="21" t="str">
        <x:v>F27-I1</x:v>
      </x:c>
      <x:c r="D737" s="21" t="str">
        <x:v>F27</x:v>
      </x:c>
      <x:c r="E737" s="21" t="str">
        <x:v>B2</x:v>
      </x:c>
      <x:c r="F737" s="21" t="str">
        <x:v>Architecture</x:v>
      </x:c>
      <x:c r="G737" s="21" t="str">
        <x:v>0.0.0</x:v>
      </x:c>
      <x:c r="H737" s="21" t="str">
        <x:v>Independent Evidence and Data Authority</x:v>
      </x:c>
      <x:c r="I737" s="21" t="str">
        <x:v>OPEN</x:v>
      </x:c>
      <x:c r="J737" s="21" t="str">
        <x:v>HOLD</x:v>
      </x:c>
      <x:c r="K737" s="23" t="str">
        <x:v>what interfaces and budgets govern the system must be accepted before downstream release</x:v>
      </x:c>
    </x:row>
    <x:row r="738">
      <x:c r="B738" s="21" t="str">
        <x:v>BL-00732</x:v>
      </x:c>
      <x:c r="C738" s="21" t="str">
        <x:v>F27-I1</x:v>
      </x:c>
      <x:c r="D738" s="21" t="str">
        <x:v>F27</x:v>
      </x:c>
      <x:c r="E738" s="21" t="str">
        <x:v>B3</x:v>
      </x:c>
      <x:c r="F738" s="21" t="str">
        <x:v>Build</x:v>
      </x:c>
      <x:c r="G738" s="21" t="str">
        <x:v>0.0.0</x:v>
      </x:c>
      <x:c r="H738" s="21" t="str">
        <x:v>Independent Evidence and Data Authority</x:v>
      </x:c>
      <x:c r="I738" s="21" t="str">
        <x:v>OPEN</x:v>
      </x:c>
      <x:c r="J738" s="21" t="str">
        <x:v>HOLD</x:v>
      </x:c>
      <x:c r="K738" s="23" t="str">
        <x:v>what exact configuration produced the article must be accepted before downstream release</x:v>
      </x:c>
    </x:row>
    <x:row r="739">
      <x:c r="B739" s="21" t="str">
        <x:v>BL-00733</x:v>
      </x:c>
      <x:c r="C739" s="21" t="str">
        <x:v>F27-I1</x:v>
      </x:c>
      <x:c r="D739" s="21" t="str">
        <x:v>F27</x:v>
      </x:c>
      <x:c r="E739" s="21" t="str">
        <x:v>B4</x:v>
      </x:c>
      <x:c r="F739" s="21" t="str">
        <x:v>Trial</x:v>
      </x:c>
      <x:c r="G739" s="21" t="str">
        <x:v>0.0.0</x:v>
      </x:c>
      <x:c r="H739" s="21" t="str">
        <x:v>Independent Evidence and Data Authority</x:v>
      </x:c>
      <x:c r="I739" s="21" t="str">
        <x:v>OPEN</x:v>
      </x:c>
      <x:c r="J739" s="21" t="str">
        <x:v>HOLD</x:v>
      </x:c>
      <x:c r="K739" s="23" t="str">
        <x:v>what configuration method and damage world produced evidence must be accepted before downstream release</x:v>
      </x:c>
    </x:row>
    <x:row r="740">
      <x:c r="B740" s="21" t="str">
        <x:v>BL-00734</x:v>
      </x:c>
      <x:c r="C740" s="21" t="str">
        <x:v>F27-I1</x:v>
      </x:c>
      <x:c r="D740" s="21" t="str">
        <x:v>F27</x:v>
      </x:c>
      <x:c r="E740" s="21" t="str">
        <x:v>B5</x:v>
      </x:c>
      <x:c r="F740" s="21" t="str">
        <x:v>Production</x:v>
      </x:c>
      <x:c r="G740" s="21" t="str">
        <x:v>0.0.0</x:v>
      </x:c>
      <x:c r="H740" s="21" t="str">
        <x:v>Independent Evidence and Data Authority</x:v>
      </x:c>
      <x:c r="I740" s="21" t="str">
        <x:v>OPEN</x:v>
      </x:c>
      <x:c r="J740" s="21" t="str">
        <x:v>HOLD</x:v>
      </x:c>
      <x:c r="K740" s="23" t="str">
        <x:v>what process configuration and acceptance define serial output must be accepted before downstream release</x:v>
      </x:c>
    </x:row>
    <x:row r="741">
      <x:c r="B741" s="21" t="str">
        <x:v>BL-00735</x:v>
      </x:c>
      <x:c r="C741" s="21" t="str">
        <x:v>F27-I1</x:v>
      </x:c>
      <x:c r="D741" s="21" t="str">
        <x:v>F27</x:v>
      </x:c>
      <x:c r="E741" s="21" t="str">
        <x:v>B6</x:v>
      </x:c>
      <x:c r="F741" s="21" t="str">
        <x:v>Mobilization</x:v>
      </x:c>
      <x:c r="G741" s="21" t="str">
        <x:v>0.0.0</x:v>
      </x:c>
      <x:c r="H741" s="21" t="str">
        <x:v>Independent Evidence and Data Authority</x:v>
      </x:c>
      <x:c r="I741" s="21" t="str">
        <x:v>OPEN</x:v>
      </x:c>
      <x:c r="J741" s="21" t="str">
        <x:v>HOLD</x:v>
      </x:c>
      <x:c r="K741" s="23" t="str">
        <x:v>what people tools suppliers and routes reproduce conforming service must be accepted before downstream release</x:v>
      </x:c>
    </x:row>
    <x:row r="742">
      <x:c r="B742" s="21" t="str">
        <x:v>BL-00736</x:v>
      </x:c>
      <x:c r="C742" s="21" t="str">
        <x:v>F27-I2</x:v>
      </x:c>
      <x:c r="D742" s="21" t="str">
        <x:v>F27</x:v>
      </x:c>
      <x:c r="E742" s="21" t="str">
        <x:v>B0</x:v>
      </x:c>
      <x:c r="F742" s="21" t="str">
        <x:v>Effect</x:v>
      </x:c>
      <x:c r="G742" s="21" t="str">
        <x:v>0.0.0</x:v>
      </x:c>
      <x:c r="H742" s="21" t="str">
        <x:v>Independent Evidence and Data Authority</x:v>
      </x:c>
      <x:c r="I742" s="21" t="str">
        <x:v>OPEN</x:v>
      </x:c>
      <x:c r="J742" s="21" t="str">
        <x:v>HOLD</x:v>
      </x:c>
      <x:c r="K742" s="23" t="str">
        <x:v>what public condition must exist must be accepted before downstream release</x:v>
      </x:c>
    </x:row>
    <x:row r="743">
      <x:c r="B743" s="21" t="str">
        <x:v>BL-00737</x:v>
      </x:c>
      <x:c r="C743" s="21" t="str">
        <x:v>F27-I2</x:v>
      </x:c>
      <x:c r="D743" s="21" t="str">
        <x:v>F27</x:v>
      </x:c>
      <x:c r="E743" s="21" t="str">
        <x:v>B1</x:v>
      </x:c>
      <x:c r="F743" s="21" t="str">
        <x:v>Requirements</x:v>
      </x:c>
      <x:c r="G743" s="21" t="str">
        <x:v>0.0.0</x:v>
      </x:c>
      <x:c r="H743" s="21" t="str">
        <x:v>Independent Evidence and Data Authority</x:v>
      </x:c>
      <x:c r="I743" s="21" t="str">
        <x:v>OPEN</x:v>
      </x:c>
      <x:c r="J743" s="21" t="str">
        <x:v>HOLD</x:v>
      </x:c>
      <x:c r="K743" s="23" t="str">
        <x:v>what burdens and invalid states bound the effect must be accepted before downstream release</x:v>
      </x:c>
    </x:row>
    <x:row r="744">
      <x:c r="B744" s="21" t="str">
        <x:v>BL-00738</x:v>
      </x:c>
      <x:c r="C744" s="21" t="str">
        <x:v>F27-I2</x:v>
      </x:c>
      <x:c r="D744" s="21" t="str">
        <x:v>F27</x:v>
      </x:c>
      <x:c r="E744" s="21" t="str">
        <x:v>B2</x:v>
      </x:c>
      <x:c r="F744" s="21" t="str">
        <x:v>Architecture</x:v>
      </x:c>
      <x:c r="G744" s="21" t="str">
        <x:v>0.0.0</x:v>
      </x:c>
      <x:c r="H744" s="21" t="str">
        <x:v>Independent Evidence and Data Authority</x:v>
      </x:c>
      <x:c r="I744" s="21" t="str">
        <x:v>OPEN</x:v>
      </x:c>
      <x:c r="J744" s="21" t="str">
        <x:v>HOLD</x:v>
      </x:c>
      <x:c r="K744" s="23" t="str">
        <x:v>what interfaces and budgets govern the system must be accepted before downstream release</x:v>
      </x:c>
    </x:row>
    <x:row r="745">
      <x:c r="B745" s="21" t="str">
        <x:v>BL-00739</x:v>
      </x:c>
      <x:c r="C745" s="21" t="str">
        <x:v>F27-I2</x:v>
      </x:c>
      <x:c r="D745" s="21" t="str">
        <x:v>F27</x:v>
      </x:c>
      <x:c r="E745" s="21" t="str">
        <x:v>B3</x:v>
      </x:c>
      <x:c r="F745" s="21" t="str">
        <x:v>Build</x:v>
      </x:c>
      <x:c r="G745" s="21" t="str">
        <x:v>0.0.0</x:v>
      </x:c>
      <x:c r="H745" s="21" t="str">
        <x:v>Independent Evidence and Data Authority</x:v>
      </x:c>
      <x:c r="I745" s="21" t="str">
        <x:v>OPEN</x:v>
      </x:c>
      <x:c r="J745" s="21" t="str">
        <x:v>HOLD</x:v>
      </x:c>
      <x:c r="K745" s="23" t="str">
        <x:v>what exact configuration produced the article must be accepted before downstream release</x:v>
      </x:c>
    </x:row>
    <x:row r="746">
      <x:c r="B746" s="21" t="str">
        <x:v>BL-00740</x:v>
      </x:c>
      <x:c r="C746" s="21" t="str">
        <x:v>F27-I2</x:v>
      </x:c>
      <x:c r="D746" s="21" t="str">
        <x:v>F27</x:v>
      </x:c>
      <x:c r="E746" s="21" t="str">
        <x:v>B4</x:v>
      </x:c>
      <x:c r="F746" s="21" t="str">
        <x:v>Trial</x:v>
      </x:c>
      <x:c r="G746" s="21" t="str">
        <x:v>0.0.0</x:v>
      </x:c>
      <x:c r="H746" s="21" t="str">
        <x:v>Independent Evidence and Data Authority</x:v>
      </x:c>
      <x:c r="I746" s="21" t="str">
        <x:v>OPEN</x:v>
      </x:c>
      <x:c r="J746" s="21" t="str">
        <x:v>HOLD</x:v>
      </x:c>
      <x:c r="K746" s="23" t="str">
        <x:v>what configuration method and damage world produced evidence must be accepted before downstream release</x:v>
      </x:c>
    </x:row>
    <x:row r="747">
      <x:c r="B747" s="21" t="str">
        <x:v>BL-00741</x:v>
      </x:c>
      <x:c r="C747" s="21" t="str">
        <x:v>F27-I2</x:v>
      </x:c>
      <x:c r="D747" s="21" t="str">
        <x:v>F27</x:v>
      </x:c>
      <x:c r="E747" s="21" t="str">
        <x:v>B5</x:v>
      </x:c>
      <x:c r="F747" s="21" t="str">
        <x:v>Production</x:v>
      </x:c>
      <x:c r="G747" s="21" t="str">
        <x:v>0.0.0</x:v>
      </x:c>
      <x:c r="H747" s="21" t="str">
        <x:v>Independent Evidence and Data Authority</x:v>
      </x:c>
      <x:c r="I747" s="21" t="str">
        <x:v>OPEN</x:v>
      </x:c>
      <x:c r="J747" s="21" t="str">
        <x:v>HOLD</x:v>
      </x:c>
      <x:c r="K747" s="23" t="str">
        <x:v>what process configuration and acceptance define serial output must be accepted before downstream release</x:v>
      </x:c>
    </x:row>
    <x:row r="748">
      <x:c r="B748" s="21" t="str">
        <x:v>BL-00742</x:v>
      </x:c>
      <x:c r="C748" s="21" t="str">
        <x:v>F27-I2</x:v>
      </x:c>
      <x:c r="D748" s="21" t="str">
        <x:v>F27</x:v>
      </x:c>
      <x:c r="E748" s="21" t="str">
        <x:v>B6</x:v>
      </x:c>
      <x:c r="F748" s="21" t="str">
        <x:v>Mobilization</x:v>
      </x:c>
      <x:c r="G748" s="21" t="str">
        <x:v>0.0.0</x:v>
      </x:c>
      <x:c r="H748" s="21" t="str">
        <x:v>Independent Evidence and Data Authority</x:v>
      </x:c>
      <x:c r="I748" s="21" t="str">
        <x:v>OPEN</x:v>
      </x:c>
      <x:c r="J748" s="21" t="str">
        <x:v>HOLD</x:v>
      </x:c>
      <x:c r="K748" s="23" t="str">
        <x:v>what people tools suppliers and routes reproduce conforming service must be accepted before downstream release</x:v>
      </x:c>
    </x:row>
    <x:row r="749">
      <x:c r="B749" s="21" t="str">
        <x:v>BL-00743</x:v>
      </x:c>
      <x:c r="C749" s="21" t="str">
        <x:v>F27-I3</x:v>
      </x:c>
      <x:c r="D749" s="21" t="str">
        <x:v>F27</x:v>
      </x:c>
      <x:c r="E749" s="21" t="str">
        <x:v>B0</x:v>
      </x:c>
      <x:c r="F749" s="21" t="str">
        <x:v>Effect</x:v>
      </x:c>
      <x:c r="G749" s="21" t="str">
        <x:v>0.0.0</x:v>
      </x:c>
      <x:c r="H749" s="21" t="str">
        <x:v>Independent Evidence and Data Authority</x:v>
      </x:c>
      <x:c r="I749" s="21" t="str">
        <x:v>OPEN</x:v>
      </x:c>
      <x:c r="J749" s="21" t="str">
        <x:v>HOLD</x:v>
      </x:c>
      <x:c r="K749" s="23" t="str">
        <x:v>what public condition must exist must be accepted before downstream release</x:v>
      </x:c>
    </x:row>
    <x:row r="750">
      <x:c r="B750" s="21" t="str">
        <x:v>BL-00744</x:v>
      </x:c>
      <x:c r="C750" s="21" t="str">
        <x:v>F27-I3</x:v>
      </x:c>
      <x:c r="D750" s="21" t="str">
        <x:v>F27</x:v>
      </x:c>
      <x:c r="E750" s="21" t="str">
        <x:v>B1</x:v>
      </x:c>
      <x:c r="F750" s="21" t="str">
        <x:v>Requirements</x:v>
      </x:c>
      <x:c r="G750" s="21" t="str">
        <x:v>0.0.0</x:v>
      </x:c>
      <x:c r="H750" s="21" t="str">
        <x:v>Independent Evidence and Data Authority</x:v>
      </x:c>
      <x:c r="I750" s="21" t="str">
        <x:v>OPEN</x:v>
      </x:c>
      <x:c r="J750" s="21" t="str">
        <x:v>HOLD</x:v>
      </x:c>
      <x:c r="K750" s="23" t="str">
        <x:v>what burdens and invalid states bound the effect must be accepted before downstream release</x:v>
      </x:c>
    </x:row>
    <x:row r="751">
      <x:c r="B751" s="21" t="str">
        <x:v>BL-00745</x:v>
      </x:c>
      <x:c r="C751" s="21" t="str">
        <x:v>F27-I3</x:v>
      </x:c>
      <x:c r="D751" s="21" t="str">
        <x:v>F27</x:v>
      </x:c>
      <x:c r="E751" s="21" t="str">
        <x:v>B2</x:v>
      </x:c>
      <x:c r="F751" s="21" t="str">
        <x:v>Architecture</x:v>
      </x:c>
      <x:c r="G751" s="21" t="str">
        <x:v>0.0.0</x:v>
      </x:c>
      <x:c r="H751" s="21" t="str">
        <x:v>Independent Evidence and Data Authority</x:v>
      </x:c>
      <x:c r="I751" s="21" t="str">
        <x:v>OPEN</x:v>
      </x:c>
      <x:c r="J751" s="21" t="str">
        <x:v>HOLD</x:v>
      </x:c>
      <x:c r="K751" s="23" t="str">
        <x:v>what interfaces and budgets govern the system must be accepted before downstream release</x:v>
      </x:c>
    </x:row>
    <x:row r="752">
      <x:c r="B752" s="21" t="str">
        <x:v>BL-00746</x:v>
      </x:c>
      <x:c r="C752" s="21" t="str">
        <x:v>F27-I3</x:v>
      </x:c>
      <x:c r="D752" s="21" t="str">
        <x:v>F27</x:v>
      </x:c>
      <x:c r="E752" s="21" t="str">
        <x:v>B3</x:v>
      </x:c>
      <x:c r="F752" s="21" t="str">
        <x:v>Build</x:v>
      </x:c>
      <x:c r="G752" s="21" t="str">
        <x:v>0.0.0</x:v>
      </x:c>
      <x:c r="H752" s="21" t="str">
        <x:v>Independent Evidence and Data Authority</x:v>
      </x:c>
      <x:c r="I752" s="21" t="str">
        <x:v>OPEN</x:v>
      </x:c>
      <x:c r="J752" s="21" t="str">
        <x:v>HOLD</x:v>
      </x:c>
      <x:c r="K752" s="23" t="str">
        <x:v>what exact configuration produced the article must be accepted before downstream release</x:v>
      </x:c>
    </x:row>
    <x:row r="753">
      <x:c r="B753" s="21" t="str">
        <x:v>BL-00747</x:v>
      </x:c>
      <x:c r="C753" s="21" t="str">
        <x:v>F27-I3</x:v>
      </x:c>
      <x:c r="D753" s="21" t="str">
        <x:v>F27</x:v>
      </x:c>
      <x:c r="E753" s="21" t="str">
        <x:v>B4</x:v>
      </x:c>
      <x:c r="F753" s="21" t="str">
        <x:v>Trial</x:v>
      </x:c>
      <x:c r="G753" s="21" t="str">
        <x:v>0.0.0</x:v>
      </x:c>
      <x:c r="H753" s="21" t="str">
        <x:v>Independent Evidence and Data Authority</x:v>
      </x:c>
      <x:c r="I753" s="21" t="str">
        <x:v>OPEN</x:v>
      </x:c>
      <x:c r="J753" s="21" t="str">
        <x:v>HOLD</x:v>
      </x:c>
      <x:c r="K753" s="23" t="str">
        <x:v>what configuration method and damage world produced evidence must be accepted before downstream release</x:v>
      </x:c>
    </x:row>
    <x:row r="754">
      <x:c r="B754" s="21" t="str">
        <x:v>BL-00748</x:v>
      </x:c>
      <x:c r="C754" s="21" t="str">
        <x:v>F27-I3</x:v>
      </x:c>
      <x:c r="D754" s="21" t="str">
        <x:v>F27</x:v>
      </x:c>
      <x:c r="E754" s="21" t="str">
        <x:v>B5</x:v>
      </x:c>
      <x:c r="F754" s="21" t="str">
        <x:v>Production</x:v>
      </x:c>
      <x:c r="G754" s="21" t="str">
        <x:v>0.0.0</x:v>
      </x:c>
      <x:c r="H754" s="21" t="str">
        <x:v>Independent Evidence and Data Authority</x:v>
      </x:c>
      <x:c r="I754" s="21" t="str">
        <x:v>OPEN</x:v>
      </x:c>
      <x:c r="J754" s="21" t="str">
        <x:v>HOLD</x:v>
      </x:c>
      <x:c r="K754" s="23" t="str">
        <x:v>what process configuration and acceptance define serial output must be accepted before downstream release</x:v>
      </x:c>
    </x:row>
    <x:row r="755">
      <x:c r="B755" s="21" t="str">
        <x:v>BL-00749</x:v>
      </x:c>
      <x:c r="C755" s="21" t="str">
        <x:v>F27-I3</x:v>
      </x:c>
      <x:c r="D755" s="21" t="str">
        <x:v>F27</x:v>
      </x:c>
      <x:c r="E755" s="21" t="str">
        <x:v>B6</x:v>
      </x:c>
      <x:c r="F755" s="21" t="str">
        <x:v>Mobilization</x:v>
      </x:c>
      <x:c r="G755" s="21" t="str">
        <x:v>0.0.0</x:v>
      </x:c>
      <x:c r="H755" s="21" t="str">
        <x:v>Independent Evidence and Data Authority</x:v>
      </x:c>
      <x:c r="I755" s="21" t="str">
        <x:v>OPEN</x:v>
      </x:c>
      <x:c r="J755" s="21" t="str">
        <x:v>HOLD</x:v>
      </x:c>
      <x:c r="K755" s="23" t="str">
        <x:v>what people tools suppliers and routes reproduce conforming service must be accepted before downstream release</x:v>
      </x:c>
    </x:row>
    <x:row r="756">
      <x:c r="B756" s="21" t="str">
        <x:v>BL-00750</x:v>
      </x:c>
      <x:c r="C756" s="21" t="str">
        <x:v>F27-I4</x:v>
      </x:c>
      <x:c r="D756" s="21" t="str">
        <x:v>F27</x:v>
      </x:c>
      <x:c r="E756" s="21" t="str">
        <x:v>B0</x:v>
      </x:c>
      <x:c r="F756" s="21" t="str">
        <x:v>Effect</x:v>
      </x:c>
      <x:c r="G756" s="21" t="str">
        <x:v>0.0.0</x:v>
      </x:c>
      <x:c r="H756" s="21" t="str">
        <x:v>Independent Evidence and Data Authority</x:v>
      </x:c>
      <x:c r="I756" s="21" t="str">
        <x:v>OPEN</x:v>
      </x:c>
      <x:c r="J756" s="21" t="str">
        <x:v>HOLD</x:v>
      </x:c>
      <x:c r="K756" s="23" t="str">
        <x:v>what public condition must exist must be accepted before downstream release</x:v>
      </x:c>
    </x:row>
    <x:row r="757">
      <x:c r="B757" s="21" t="str">
        <x:v>BL-00751</x:v>
      </x:c>
      <x:c r="C757" s="21" t="str">
        <x:v>F27-I4</x:v>
      </x:c>
      <x:c r="D757" s="21" t="str">
        <x:v>F27</x:v>
      </x:c>
      <x:c r="E757" s="21" t="str">
        <x:v>B1</x:v>
      </x:c>
      <x:c r="F757" s="21" t="str">
        <x:v>Requirements</x:v>
      </x:c>
      <x:c r="G757" s="21" t="str">
        <x:v>0.0.0</x:v>
      </x:c>
      <x:c r="H757" s="21" t="str">
        <x:v>Independent Evidence and Data Authority</x:v>
      </x:c>
      <x:c r="I757" s="21" t="str">
        <x:v>OPEN</x:v>
      </x:c>
      <x:c r="J757" s="21" t="str">
        <x:v>HOLD</x:v>
      </x:c>
      <x:c r="K757" s="23" t="str">
        <x:v>what burdens and invalid states bound the effect must be accepted before downstream release</x:v>
      </x:c>
    </x:row>
    <x:row r="758">
      <x:c r="B758" s="21" t="str">
        <x:v>BL-00752</x:v>
      </x:c>
      <x:c r="C758" s="21" t="str">
        <x:v>F27-I4</x:v>
      </x:c>
      <x:c r="D758" s="21" t="str">
        <x:v>F27</x:v>
      </x:c>
      <x:c r="E758" s="21" t="str">
        <x:v>B2</x:v>
      </x:c>
      <x:c r="F758" s="21" t="str">
        <x:v>Architecture</x:v>
      </x:c>
      <x:c r="G758" s="21" t="str">
        <x:v>0.0.0</x:v>
      </x:c>
      <x:c r="H758" s="21" t="str">
        <x:v>Independent Evidence and Data Authority</x:v>
      </x:c>
      <x:c r="I758" s="21" t="str">
        <x:v>OPEN</x:v>
      </x:c>
      <x:c r="J758" s="21" t="str">
        <x:v>HOLD</x:v>
      </x:c>
      <x:c r="K758" s="23" t="str">
        <x:v>what interfaces and budgets govern the system must be accepted before downstream release</x:v>
      </x:c>
    </x:row>
    <x:row r="759">
      <x:c r="B759" s="21" t="str">
        <x:v>BL-00753</x:v>
      </x:c>
      <x:c r="C759" s="21" t="str">
        <x:v>F27-I4</x:v>
      </x:c>
      <x:c r="D759" s="21" t="str">
        <x:v>F27</x:v>
      </x:c>
      <x:c r="E759" s="21" t="str">
        <x:v>B3</x:v>
      </x:c>
      <x:c r="F759" s="21" t="str">
        <x:v>Build</x:v>
      </x:c>
      <x:c r="G759" s="21" t="str">
        <x:v>0.0.0</x:v>
      </x:c>
      <x:c r="H759" s="21" t="str">
        <x:v>Independent Evidence and Data Authority</x:v>
      </x:c>
      <x:c r="I759" s="21" t="str">
        <x:v>OPEN</x:v>
      </x:c>
      <x:c r="J759" s="21" t="str">
        <x:v>HOLD</x:v>
      </x:c>
      <x:c r="K759" s="23" t="str">
        <x:v>what exact configuration produced the article must be accepted before downstream release</x:v>
      </x:c>
    </x:row>
    <x:row r="760">
      <x:c r="B760" s="21" t="str">
        <x:v>BL-00754</x:v>
      </x:c>
      <x:c r="C760" s="21" t="str">
        <x:v>F27-I4</x:v>
      </x:c>
      <x:c r="D760" s="21" t="str">
        <x:v>F27</x:v>
      </x:c>
      <x:c r="E760" s="21" t="str">
        <x:v>B4</x:v>
      </x:c>
      <x:c r="F760" s="21" t="str">
        <x:v>Trial</x:v>
      </x:c>
      <x:c r="G760" s="21" t="str">
        <x:v>0.0.0</x:v>
      </x:c>
      <x:c r="H760" s="21" t="str">
        <x:v>Independent Evidence and Data Authority</x:v>
      </x:c>
      <x:c r="I760" s="21" t="str">
        <x:v>OPEN</x:v>
      </x:c>
      <x:c r="J760" s="21" t="str">
        <x:v>HOLD</x:v>
      </x:c>
      <x:c r="K760" s="23" t="str">
        <x:v>what configuration method and damage world produced evidence must be accepted before downstream release</x:v>
      </x:c>
    </x:row>
    <x:row r="761">
      <x:c r="B761" s="21" t="str">
        <x:v>BL-00755</x:v>
      </x:c>
      <x:c r="C761" s="21" t="str">
        <x:v>F27-I4</x:v>
      </x:c>
      <x:c r="D761" s="21" t="str">
        <x:v>F27</x:v>
      </x:c>
      <x:c r="E761" s="21" t="str">
        <x:v>B5</x:v>
      </x:c>
      <x:c r="F761" s="21" t="str">
        <x:v>Production</x:v>
      </x:c>
      <x:c r="G761" s="21" t="str">
        <x:v>0.0.0</x:v>
      </x:c>
      <x:c r="H761" s="21" t="str">
        <x:v>Independent Evidence and Data Authority</x:v>
      </x:c>
      <x:c r="I761" s="21" t="str">
        <x:v>OPEN</x:v>
      </x:c>
      <x:c r="J761" s="21" t="str">
        <x:v>HOLD</x:v>
      </x:c>
      <x:c r="K761" s="23" t="str">
        <x:v>what process configuration and acceptance define serial output must be accepted before downstream release</x:v>
      </x:c>
    </x:row>
    <x:row r="762">
      <x:c r="B762" s="21" t="str">
        <x:v>BL-00756</x:v>
      </x:c>
      <x:c r="C762" s="21" t="str">
        <x:v>F27-I4</x:v>
      </x:c>
      <x:c r="D762" s="21" t="str">
        <x:v>F27</x:v>
      </x:c>
      <x:c r="E762" s="21" t="str">
        <x:v>B6</x:v>
      </x:c>
      <x:c r="F762" s="21" t="str">
        <x:v>Mobilization</x:v>
      </x:c>
      <x:c r="G762" s="21" t="str">
        <x:v>0.0.0</x:v>
      </x:c>
      <x:c r="H762" s="21" t="str">
        <x:v>Independent Evidence and Data Authority</x:v>
      </x:c>
      <x:c r="I762" s="21" t="str">
        <x:v>OPEN</x:v>
      </x:c>
      <x:c r="J762" s="21" t="str">
        <x:v>HOLD</x:v>
      </x:c>
      <x:c r="K762" s="23" t="str">
        <x:v>what people tools suppliers and routes reproduce conforming service must be accepted before downstream release</x:v>
      </x:c>
    </x:row>
    <x:row r="763">
      <x:c r="B763" s="21" t="str">
        <x:v>BL-00757</x:v>
      </x:c>
      <x:c r="C763" s="21" t="str">
        <x:v>F28-I1</x:v>
      </x:c>
      <x:c r="D763" s="21" t="str">
        <x:v>F28</x:v>
      </x:c>
      <x:c r="E763" s="21" t="str">
        <x:v>B0</x:v>
      </x:c>
      <x:c r="F763" s="21" t="str">
        <x:v>Effect</x:v>
      </x:c>
      <x:c r="G763" s="21" t="str">
        <x:v>0.0.0</x:v>
      </x:c>
      <x:c r="H763" s="21" t="str">
        <x:v>Independent Evidence and Data Authority</x:v>
      </x:c>
      <x:c r="I763" s="21" t="str">
        <x:v>OPEN</x:v>
      </x:c>
      <x:c r="J763" s="21" t="str">
        <x:v>HOLD</x:v>
      </x:c>
      <x:c r="K763" s="23" t="str">
        <x:v>what public condition must exist must be accepted before downstream release</x:v>
      </x:c>
    </x:row>
    <x:row r="764">
      <x:c r="B764" s="21" t="str">
        <x:v>BL-00758</x:v>
      </x:c>
      <x:c r="C764" s="21" t="str">
        <x:v>F28-I1</x:v>
      </x:c>
      <x:c r="D764" s="21" t="str">
        <x:v>F28</x:v>
      </x:c>
      <x:c r="E764" s="21" t="str">
        <x:v>B1</x:v>
      </x:c>
      <x:c r="F764" s="21" t="str">
        <x:v>Requirements</x:v>
      </x:c>
      <x:c r="G764" s="21" t="str">
        <x:v>0.0.0</x:v>
      </x:c>
      <x:c r="H764" s="21" t="str">
        <x:v>Independent Evidence and Data Authority</x:v>
      </x:c>
      <x:c r="I764" s="21" t="str">
        <x:v>OPEN</x:v>
      </x:c>
      <x:c r="J764" s="21" t="str">
        <x:v>HOLD</x:v>
      </x:c>
      <x:c r="K764" s="23" t="str">
        <x:v>what burdens and invalid states bound the effect must be accepted before downstream release</x:v>
      </x:c>
    </x:row>
    <x:row r="765">
      <x:c r="B765" s="21" t="str">
        <x:v>BL-00759</x:v>
      </x:c>
      <x:c r="C765" s="21" t="str">
        <x:v>F28-I1</x:v>
      </x:c>
      <x:c r="D765" s="21" t="str">
        <x:v>F28</x:v>
      </x:c>
      <x:c r="E765" s="21" t="str">
        <x:v>B2</x:v>
      </x:c>
      <x:c r="F765" s="21" t="str">
        <x:v>Architecture</x:v>
      </x:c>
      <x:c r="G765" s="21" t="str">
        <x:v>0.0.0</x:v>
      </x:c>
      <x:c r="H765" s="21" t="str">
        <x:v>Independent Evidence and Data Authority</x:v>
      </x:c>
      <x:c r="I765" s="21" t="str">
        <x:v>OPEN</x:v>
      </x:c>
      <x:c r="J765" s="21" t="str">
        <x:v>HOLD</x:v>
      </x:c>
      <x:c r="K765" s="23" t="str">
        <x:v>what interfaces and budgets govern the system must be accepted before downstream release</x:v>
      </x:c>
    </x:row>
    <x:row r="766">
      <x:c r="B766" s="21" t="str">
        <x:v>BL-00760</x:v>
      </x:c>
      <x:c r="C766" s="21" t="str">
        <x:v>F28-I1</x:v>
      </x:c>
      <x:c r="D766" s="21" t="str">
        <x:v>F28</x:v>
      </x:c>
      <x:c r="E766" s="21" t="str">
        <x:v>B3</x:v>
      </x:c>
      <x:c r="F766" s="21" t="str">
        <x:v>Build</x:v>
      </x:c>
      <x:c r="G766" s="21" t="str">
        <x:v>0.0.0</x:v>
      </x:c>
      <x:c r="H766" s="21" t="str">
        <x:v>Independent Evidence and Data Authority</x:v>
      </x:c>
      <x:c r="I766" s="21" t="str">
        <x:v>OPEN</x:v>
      </x:c>
      <x:c r="J766" s="21" t="str">
        <x:v>HOLD</x:v>
      </x:c>
      <x:c r="K766" s="23" t="str">
        <x:v>what exact configuration produced the article must be accepted before downstream release</x:v>
      </x:c>
    </x:row>
    <x:row r="767">
      <x:c r="B767" s="21" t="str">
        <x:v>BL-00761</x:v>
      </x:c>
      <x:c r="C767" s="21" t="str">
        <x:v>F28-I1</x:v>
      </x:c>
      <x:c r="D767" s="21" t="str">
        <x:v>F28</x:v>
      </x:c>
      <x:c r="E767" s="21" t="str">
        <x:v>B4</x:v>
      </x:c>
      <x:c r="F767" s="21" t="str">
        <x:v>Trial</x:v>
      </x:c>
      <x:c r="G767" s="21" t="str">
        <x:v>0.0.0</x:v>
      </x:c>
      <x:c r="H767" s="21" t="str">
        <x:v>Independent Evidence and Data Authority</x:v>
      </x:c>
      <x:c r="I767" s="21" t="str">
        <x:v>OPEN</x:v>
      </x:c>
      <x:c r="J767" s="21" t="str">
        <x:v>HOLD</x:v>
      </x:c>
      <x:c r="K767" s="23" t="str">
        <x:v>what configuration method and damage world produced evidence must be accepted before downstream release</x:v>
      </x:c>
    </x:row>
    <x:row r="768">
      <x:c r="B768" s="21" t="str">
        <x:v>BL-00762</x:v>
      </x:c>
      <x:c r="C768" s="21" t="str">
        <x:v>F28-I1</x:v>
      </x:c>
      <x:c r="D768" s="21" t="str">
        <x:v>F28</x:v>
      </x:c>
      <x:c r="E768" s="21" t="str">
        <x:v>B5</x:v>
      </x:c>
      <x:c r="F768" s="21" t="str">
        <x:v>Production</x:v>
      </x:c>
      <x:c r="G768" s="21" t="str">
        <x:v>0.0.0</x:v>
      </x:c>
      <x:c r="H768" s="21" t="str">
        <x:v>Independent Evidence and Data Authority</x:v>
      </x:c>
      <x:c r="I768" s="21" t="str">
        <x:v>OPEN</x:v>
      </x:c>
      <x:c r="J768" s="21" t="str">
        <x:v>HOLD</x:v>
      </x:c>
      <x:c r="K768" s="23" t="str">
        <x:v>what process configuration and acceptance define serial output must be accepted before downstream release</x:v>
      </x:c>
    </x:row>
    <x:row r="769">
      <x:c r="B769" s="21" t="str">
        <x:v>BL-00763</x:v>
      </x:c>
      <x:c r="C769" s="21" t="str">
        <x:v>F28-I1</x:v>
      </x:c>
      <x:c r="D769" s="21" t="str">
        <x:v>F28</x:v>
      </x:c>
      <x:c r="E769" s="21" t="str">
        <x:v>B6</x:v>
      </x:c>
      <x:c r="F769" s="21" t="str">
        <x:v>Mobilization</x:v>
      </x:c>
      <x:c r="G769" s="21" t="str">
        <x:v>0.0.0</x:v>
      </x:c>
      <x:c r="H769" s="21" t="str">
        <x:v>Independent Evidence and Data Authority</x:v>
      </x:c>
      <x:c r="I769" s="21" t="str">
        <x:v>OPEN</x:v>
      </x:c>
      <x:c r="J769" s="21" t="str">
        <x:v>HOLD</x:v>
      </x:c>
      <x:c r="K769" s="23" t="str">
        <x:v>what people tools suppliers and routes reproduce conforming service must be accepted before downstream release</x:v>
      </x:c>
    </x:row>
    <x:row r="770">
      <x:c r="B770" s="21" t="str">
        <x:v>BL-00764</x:v>
      </x:c>
      <x:c r="C770" s="21" t="str">
        <x:v>F28-I2</x:v>
      </x:c>
      <x:c r="D770" s="21" t="str">
        <x:v>F28</x:v>
      </x:c>
      <x:c r="E770" s="21" t="str">
        <x:v>B0</x:v>
      </x:c>
      <x:c r="F770" s="21" t="str">
        <x:v>Effect</x:v>
      </x:c>
      <x:c r="G770" s="21" t="str">
        <x:v>0.0.0</x:v>
      </x:c>
      <x:c r="H770" s="21" t="str">
        <x:v>Independent Evidence and Data Authority</x:v>
      </x:c>
      <x:c r="I770" s="21" t="str">
        <x:v>OPEN</x:v>
      </x:c>
      <x:c r="J770" s="21" t="str">
        <x:v>HOLD</x:v>
      </x:c>
      <x:c r="K770" s="23" t="str">
        <x:v>what public condition must exist must be accepted before downstream release</x:v>
      </x:c>
    </x:row>
    <x:row r="771">
      <x:c r="B771" s="21" t="str">
        <x:v>BL-00765</x:v>
      </x:c>
      <x:c r="C771" s="21" t="str">
        <x:v>F28-I2</x:v>
      </x:c>
      <x:c r="D771" s="21" t="str">
        <x:v>F28</x:v>
      </x:c>
      <x:c r="E771" s="21" t="str">
        <x:v>B1</x:v>
      </x:c>
      <x:c r="F771" s="21" t="str">
        <x:v>Requirements</x:v>
      </x:c>
      <x:c r="G771" s="21" t="str">
        <x:v>0.0.0</x:v>
      </x:c>
      <x:c r="H771" s="21" t="str">
        <x:v>Independent Evidence and Data Authority</x:v>
      </x:c>
      <x:c r="I771" s="21" t="str">
        <x:v>OPEN</x:v>
      </x:c>
      <x:c r="J771" s="21" t="str">
        <x:v>HOLD</x:v>
      </x:c>
      <x:c r="K771" s="23" t="str">
        <x:v>what burdens and invalid states bound the effect must be accepted before downstream release</x:v>
      </x:c>
    </x:row>
    <x:row r="772">
      <x:c r="B772" s="21" t="str">
        <x:v>BL-00766</x:v>
      </x:c>
      <x:c r="C772" s="21" t="str">
        <x:v>F28-I2</x:v>
      </x:c>
      <x:c r="D772" s="21" t="str">
        <x:v>F28</x:v>
      </x:c>
      <x:c r="E772" s="21" t="str">
        <x:v>B2</x:v>
      </x:c>
      <x:c r="F772" s="21" t="str">
        <x:v>Architecture</x:v>
      </x:c>
      <x:c r="G772" s="21" t="str">
        <x:v>0.0.0</x:v>
      </x:c>
      <x:c r="H772" s="21" t="str">
        <x:v>Independent Evidence and Data Authority</x:v>
      </x:c>
      <x:c r="I772" s="21" t="str">
        <x:v>OPEN</x:v>
      </x:c>
      <x:c r="J772" s="21" t="str">
        <x:v>HOLD</x:v>
      </x:c>
      <x:c r="K772" s="23" t="str">
        <x:v>what interfaces and budgets govern the system must be accepted before downstream release</x:v>
      </x:c>
    </x:row>
    <x:row r="773">
      <x:c r="B773" s="21" t="str">
        <x:v>BL-00767</x:v>
      </x:c>
      <x:c r="C773" s="21" t="str">
        <x:v>F28-I2</x:v>
      </x:c>
      <x:c r="D773" s="21" t="str">
        <x:v>F28</x:v>
      </x:c>
      <x:c r="E773" s="21" t="str">
        <x:v>B3</x:v>
      </x:c>
      <x:c r="F773" s="21" t="str">
        <x:v>Build</x:v>
      </x:c>
      <x:c r="G773" s="21" t="str">
        <x:v>0.0.0</x:v>
      </x:c>
      <x:c r="H773" s="21" t="str">
        <x:v>Independent Evidence and Data Authority</x:v>
      </x:c>
      <x:c r="I773" s="21" t="str">
        <x:v>OPEN</x:v>
      </x:c>
      <x:c r="J773" s="21" t="str">
        <x:v>HOLD</x:v>
      </x:c>
      <x:c r="K773" s="23" t="str">
        <x:v>what exact configuration produced the article must be accepted before downstream release</x:v>
      </x:c>
    </x:row>
    <x:row r="774">
      <x:c r="B774" s="21" t="str">
        <x:v>BL-00768</x:v>
      </x:c>
      <x:c r="C774" s="21" t="str">
        <x:v>F28-I2</x:v>
      </x:c>
      <x:c r="D774" s="21" t="str">
        <x:v>F28</x:v>
      </x:c>
      <x:c r="E774" s="21" t="str">
        <x:v>B4</x:v>
      </x:c>
      <x:c r="F774" s="21" t="str">
        <x:v>Trial</x:v>
      </x:c>
      <x:c r="G774" s="21" t="str">
        <x:v>0.0.0</x:v>
      </x:c>
      <x:c r="H774" s="21" t="str">
        <x:v>Independent Evidence and Data Authority</x:v>
      </x:c>
      <x:c r="I774" s="21" t="str">
        <x:v>OPEN</x:v>
      </x:c>
      <x:c r="J774" s="21" t="str">
        <x:v>HOLD</x:v>
      </x:c>
      <x:c r="K774" s="23" t="str">
        <x:v>what configuration method and damage world produced evidence must be accepted before downstream release</x:v>
      </x:c>
    </x:row>
    <x:row r="775">
      <x:c r="B775" s="21" t="str">
        <x:v>BL-00769</x:v>
      </x:c>
      <x:c r="C775" s="21" t="str">
        <x:v>F28-I2</x:v>
      </x:c>
      <x:c r="D775" s="21" t="str">
        <x:v>F28</x:v>
      </x:c>
      <x:c r="E775" s="21" t="str">
        <x:v>B5</x:v>
      </x:c>
      <x:c r="F775" s="21" t="str">
        <x:v>Production</x:v>
      </x:c>
      <x:c r="G775" s="21" t="str">
        <x:v>0.0.0</x:v>
      </x:c>
      <x:c r="H775" s="21" t="str">
        <x:v>Independent Evidence and Data Authority</x:v>
      </x:c>
      <x:c r="I775" s="21" t="str">
        <x:v>OPEN</x:v>
      </x:c>
      <x:c r="J775" s="21" t="str">
        <x:v>HOLD</x:v>
      </x:c>
      <x:c r="K775" s="23" t="str">
        <x:v>what process configuration and acceptance define serial output must be accepted before downstream release</x:v>
      </x:c>
    </x:row>
    <x:row r="776">
      <x:c r="B776" s="21" t="str">
        <x:v>BL-00770</x:v>
      </x:c>
      <x:c r="C776" s="21" t="str">
        <x:v>F28-I2</x:v>
      </x:c>
      <x:c r="D776" s="21" t="str">
        <x:v>F28</x:v>
      </x:c>
      <x:c r="E776" s="21" t="str">
        <x:v>B6</x:v>
      </x:c>
      <x:c r="F776" s="21" t="str">
        <x:v>Mobilization</x:v>
      </x:c>
      <x:c r="G776" s="21" t="str">
        <x:v>0.0.0</x:v>
      </x:c>
      <x:c r="H776" s="21" t="str">
        <x:v>Independent Evidence and Data Authority</x:v>
      </x:c>
      <x:c r="I776" s="21" t="str">
        <x:v>OPEN</x:v>
      </x:c>
      <x:c r="J776" s="21" t="str">
        <x:v>HOLD</x:v>
      </x:c>
      <x:c r="K776" s="23" t="str">
        <x:v>what people tools suppliers and routes reproduce conforming service must be accepted before downstream release</x:v>
      </x:c>
    </x:row>
    <x:row r="777">
      <x:c r="B777" s="21" t="str">
        <x:v>BL-00771</x:v>
      </x:c>
      <x:c r="C777" s="21" t="str">
        <x:v>F28-I3</x:v>
      </x:c>
      <x:c r="D777" s="21" t="str">
        <x:v>F28</x:v>
      </x:c>
      <x:c r="E777" s="21" t="str">
        <x:v>B0</x:v>
      </x:c>
      <x:c r="F777" s="21" t="str">
        <x:v>Effect</x:v>
      </x:c>
      <x:c r="G777" s="21" t="str">
        <x:v>0.0.0</x:v>
      </x:c>
      <x:c r="H777" s="21" t="str">
        <x:v>Independent Evidence and Data Authority</x:v>
      </x:c>
      <x:c r="I777" s="21" t="str">
        <x:v>OPEN</x:v>
      </x:c>
      <x:c r="J777" s="21" t="str">
        <x:v>HOLD</x:v>
      </x:c>
      <x:c r="K777" s="23" t="str">
        <x:v>what public condition must exist must be accepted before downstream release</x:v>
      </x:c>
    </x:row>
    <x:row r="778">
      <x:c r="B778" s="21" t="str">
        <x:v>BL-00772</x:v>
      </x:c>
      <x:c r="C778" s="21" t="str">
        <x:v>F28-I3</x:v>
      </x:c>
      <x:c r="D778" s="21" t="str">
        <x:v>F28</x:v>
      </x:c>
      <x:c r="E778" s="21" t="str">
        <x:v>B1</x:v>
      </x:c>
      <x:c r="F778" s="21" t="str">
        <x:v>Requirements</x:v>
      </x:c>
      <x:c r="G778" s="21" t="str">
        <x:v>0.0.0</x:v>
      </x:c>
      <x:c r="H778" s="21" t="str">
        <x:v>Independent Evidence and Data Authority</x:v>
      </x:c>
      <x:c r="I778" s="21" t="str">
        <x:v>OPEN</x:v>
      </x:c>
      <x:c r="J778" s="21" t="str">
        <x:v>HOLD</x:v>
      </x:c>
      <x:c r="K778" s="23" t="str">
        <x:v>what burdens and invalid states bound the effect must be accepted before downstream release</x:v>
      </x:c>
    </x:row>
    <x:row r="779">
      <x:c r="B779" s="21" t="str">
        <x:v>BL-00773</x:v>
      </x:c>
      <x:c r="C779" s="21" t="str">
        <x:v>F28-I3</x:v>
      </x:c>
      <x:c r="D779" s="21" t="str">
        <x:v>F28</x:v>
      </x:c>
      <x:c r="E779" s="21" t="str">
        <x:v>B2</x:v>
      </x:c>
      <x:c r="F779" s="21" t="str">
        <x:v>Architecture</x:v>
      </x:c>
      <x:c r="G779" s="21" t="str">
        <x:v>0.0.0</x:v>
      </x:c>
      <x:c r="H779" s="21" t="str">
        <x:v>Independent Evidence and Data Authority</x:v>
      </x:c>
      <x:c r="I779" s="21" t="str">
        <x:v>OPEN</x:v>
      </x:c>
      <x:c r="J779" s="21" t="str">
        <x:v>HOLD</x:v>
      </x:c>
      <x:c r="K779" s="23" t="str">
        <x:v>what interfaces and budgets govern the system must be accepted before downstream release</x:v>
      </x:c>
    </x:row>
    <x:row r="780">
      <x:c r="B780" s="21" t="str">
        <x:v>BL-00774</x:v>
      </x:c>
      <x:c r="C780" s="21" t="str">
        <x:v>F28-I3</x:v>
      </x:c>
      <x:c r="D780" s="21" t="str">
        <x:v>F28</x:v>
      </x:c>
      <x:c r="E780" s="21" t="str">
        <x:v>B3</x:v>
      </x:c>
      <x:c r="F780" s="21" t="str">
        <x:v>Build</x:v>
      </x:c>
      <x:c r="G780" s="21" t="str">
        <x:v>0.0.0</x:v>
      </x:c>
      <x:c r="H780" s="21" t="str">
        <x:v>Independent Evidence and Data Authority</x:v>
      </x:c>
      <x:c r="I780" s="21" t="str">
        <x:v>OPEN</x:v>
      </x:c>
      <x:c r="J780" s="21" t="str">
        <x:v>HOLD</x:v>
      </x:c>
      <x:c r="K780" s="23" t="str">
        <x:v>what exact configuration produced the article must be accepted before downstream release</x:v>
      </x:c>
    </x:row>
    <x:row r="781">
      <x:c r="B781" s="21" t="str">
        <x:v>BL-00775</x:v>
      </x:c>
      <x:c r="C781" s="21" t="str">
        <x:v>F28-I3</x:v>
      </x:c>
      <x:c r="D781" s="21" t="str">
        <x:v>F28</x:v>
      </x:c>
      <x:c r="E781" s="21" t="str">
        <x:v>B4</x:v>
      </x:c>
      <x:c r="F781" s="21" t="str">
        <x:v>Trial</x:v>
      </x:c>
      <x:c r="G781" s="21" t="str">
        <x:v>0.0.0</x:v>
      </x:c>
      <x:c r="H781" s="21" t="str">
        <x:v>Independent Evidence and Data Authority</x:v>
      </x:c>
      <x:c r="I781" s="21" t="str">
        <x:v>OPEN</x:v>
      </x:c>
      <x:c r="J781" s="21" t="str">
        <x:v>HOLD</x:v>
      </x:c>
      <x:c r="K781" s="23" t="str">
        <x:v>what configuration method and damage world produced evidence must be accepted before downstream release</x:v>
      </x:c>
    </x:row>
    <x:row r="782">
      <x:c r="B782" s="21" t="str">
        <x:v>BL-00776</x:v>
      </x:c>
      <x:c r="C782" s="21" t="str">
        <x:v>F28-I3</x:v>
      </x:c>
      <x:c r="D782" s="21" t="str">
        <x:v>F28</x:v>
      </x:c>
      <x:c r="E782" s="21" t="str">
        <x:v>B5</x:v>
      </x:c>
      <x:c r="F782" s="21" t="str">
        <x:v>Production</x:v>
      </x:c>
      <x:c r="G782" s="21" t="str">
        <x:v>0.0.0</x:v>
      </x:c>
      <x:c r="H782" s="21" t="str">
        <x:v>Independent Evidence and Data Authority</x:v>
      </x:c>
      <x:c r="I782" s="21" t="str">
        <x:v>OPEN</x:v>
      </x:c>
      <x:c r="J782" s="21" t="str">
        <x:v>HOLD</x:v>
      </x:c>
      <x:c r="K782" s="23" t="str">
        <x:v>what process configuration and acceptance define serial output must be accepted before downstream release</x:v>
      </x:c>
    </x:row>
    <x:row r="783">
      <x:c r="B783" s="21" t="str">
        <x:v>BL-00777</x:v>
      </x:c>
      <x:c r="C783" s="21" t="str">
        <x:v>F28-I3</x:v>
      </x:c>
      <x:c r="D783" s="21" t="str">
        <x:v>F28</x:v>
      </x:c>
      <x:c r="E783" s="21" t="str">
        <x:v>B6</x:v>
      </x:c>
      <x:c r="F783" s="21" t="str">
        <x:v>Mobilization</x:v>
      </x:c>
      <x:c r="G783" s="21" t="str">
        <x:v>0.0.0</x:v>
      </x:c>
      <x:c r="H783" s="21" t="str">
        <x:v>Independent Evidence and Data Authority</x:v>
      </x:c>
      <x:c r="I783" s="21" t="str">
        <x:v>OPEN</x:v>
      </x:c>
      <x:c r="J783" s="21" t="str">
        <x:v>HOLD</x:v>
      </x:c>
      <x:c r="K783" s="23" t="str">
        <x:v>what people tools suppliers and routes reproduce conforming service must be accepted before downstream release</x:v>
      </x:c>
    </x:row>
    <x:row r="784">
      <x:c r="B784" s="21" t="str">
        <x:v>BL-00778</x:v>
      </x:c>
      <x:c r="C784" s="21" t="str">
        <x:v>F28-I4</x:v>
      </x:c>
      <x:c r="D784" s="21" t="str">
        <x:v>F28</x:v>
      </x:c>
      <x:c r="E784" s="21" t="str">
        <x:v>B0</x:v>
      </x:c>
      <x:c r="F784" s="21" t="str">
        <x:v>Effect</x:v>
      </x:c>
      <x:c r="G784" s="21" t="str">
        <x:v>0.0.0</x:v>
      </x:c>
      <x:c r="H784" s="21" t="str">
        <x:v>Independent Evidence and Data Authority</x:v>
      </x:c>
      <x:c r="I784" s="21" t="str">
        <x:v>OPEN</x:v>
      </x:c>
      <x:c r="J784" s="21" t="str">
        <x:v>HOLD</x:v>
      </x:c>
      <x:c r="K784" s="23" t="str">
        <x:v>what public condition must exist must be accepted before downstream release</x:v>
      </x:c>
    </x:row>
    <x:row r="785">
      <x:c r="B785" s="21" t="str">
        <x:v>BL-00779</x:v>
      </x:c>
      <x:c r="C785" s="21" t="str">
        <x:v>F28-I4</x:v>
      </x:c>
      <x:c r="D785" s="21" t="str">
        <x:v>F28</x:v>
      </x:c>
      <x:c r="E785" s="21" t="str">
        <x:v>B1</x:v>
      </x:c>
      <x:c r="F785" s="21" t="str">
        <x:v>Requirements</x:v>
      </x:c>
      <x:c r="G785" s="21" t="str">
        <x:v>0.0.0</x:v>
      </x:c>
      <x:c r="H785" s="21" t="str">
        <x:v>Independent Evidence and Data Authority</x:v>
      </x:c>
      <x:c r="I785" s="21" t="str">
        <x:v>OPEN</x:v>
      </x:c>
      <x:c r="J785" s="21" t="str">
        <x:v>HOLD</x:v>
      </x:c>
      <x:c r="K785" s="23" t="str">
        <x:v>what burdens and invalid states bound the effect must be accepted before downstream release</x:v>
      </x:c>
    </x:row>
    <x:row r="786">
      <x:c r="B786" s="21" t="str">
        <x:v>BL-00780</x:v>
      </x:c>
      <x:c r="C786" s="21" t="str">
        <x:v>F28-I4</x:v>
      </x:c>
      <x:c r="D786" s="21" t="str">
        <x:v>F28</x:v>
      </x:c>
      <x:c r="E786" s="21" t="str">
        <x:v>B2</x:v>
      </x:c>
      <x:c r="F786" s="21" t="str">
        <x:v>Architecture</x:v>
      </x:c>
      <x:c r="G786" s="21" t="str">
        <x:v>0.0.0</x:v>
      </x:c>
      <x:c r="H786" s="21" t="str">
        <x:v>Independent Evidence and Data Authority</x:v>
      </x:c>
      <x:c r="I786" s="21" t="str">
        <x:v>OPEN</x:v>
      </x:c>
      <x:c r="J786" s="21" t="str">
        <x:v>HOLD</x:v>
      </x:c>
      <x:c r="K786" s="23" t="str">
        <x:v>what interfaces and budgets govern the system must be accepted before downstream release</x:v>
      </x:c>
    </x:row>
    <x:row r="787">
      <x:c r="B787" s="21" t="str">
        <x:v>BL-00781</x:v>
      </x:c>
      <x:c r="C787" s="21" t="str">
        <x:v>F28-I4</x:v>
      </x:c>
      <x:c r="D787" s="21" t="str">
        <x:v>F28</x:v>
      </x:c>
      <x:c r="E787" s="21" t="str">
        <x:v>B3</x:v>
      </x:c>
      <x:c r="F787" s="21" t="str">
        <x:v>Build</x:v>
      </x:c>
      <x:c r="G787" s="21" t="str">
        <x:v>0.0.0</x:v>
      </x:c>
      <x:c r="H787" s="21" t="str">
        <x:v>Independent Evidence and Data Authority</x:v>
      </x:c>
      <x:c r="I787" s="21" t="str">
        <x:v>OPEN</x:v>
      </x:c>
      <x:c r="J787" s="21" t="str">
        <x:v>HOLD</x:v>
      </x:c>
      <x:c r="K787" s="23" t="str">
        <x:v>what exact configuration produced the article must be accepted before downstream release</x:v>
      </x:c>
    </x:row>
    <x:row r="788">
      <x:c r="B788" s="21" t="str">
        <x:v>BL-00782</x:v>
      </x:c>
      <x:c r="C788" s="21" t="str">
        <x:v>F28-I4</x:v>
      </x:c>
      <x:c r="D788" s="21" t="str">
        <x:v>F28</x:v>
      </x:c>
      <x:c r="E788" s="21" t="str">
        <x:v>B4</x:v>
      </x:c>
      <x:c r="F788" s="21" t="str">
        <x:v>Trial</x:v>
      </x:c>
      <x:c r="G788" s="21" t="str">
        <x:v>0.0.0</x:v>
      </x:c>
      <x:c r="H788" s="21" t="str">
        <x:v>Independent Evidence and Data Authority</x:v>
      </x:c>
      <x:c r="I788" s="21" t="str">
        <x:v>OPEN</x:v>
      </x:c>
      <x:c r="J788" s="21" t="str">
        <x:v>HOLD</x:v>
      </x:c>
      <x:c r="K788" s="23" t="str">
        <x:v>what configuration method and damage world produced evidence must be accepted before downstream release</x:v>
      </x:c>
    </x:row>
    <x:row r="789">
      <x:c r="B789" s="21" t="str">
        <x:v>BL-00783</x:v>
      </x:c>
      <x:c r="C789" s="21" t="str">
        <x:v>F28-I4</x:v>
      </x:c>
      <x:c r="D789" s="21" t="str">
        <x:v>F28</x:v>
      </x:c>
      <x:c r="E789" s="21" t="str">
        <x:v>B5</x:v>
      </x:c>
      <x:c r="F789" s="21" t="str">
        <x:v>Production</x:v>
      </x:c>
      <x:c r="G789" s="21" t="str">
        <x:v>0.0.0</x:v>
      </x:c>
      <x:c r="H789" s="21" t="str">
        <x:v>Independent Evidence and Data Authority</x:v>
      </x:c>
      <x:c r="I789" s="21" t="str">
        <x:v>OPEN</x:v>
      </x:c>
      <x:c r="J789" s="21" t="str">
        <x:v>HOLD</x:v>
      </x:c>
      <x:c r="K789" s="23" t="str">
        <x:v>what process configuration and acceptance define serial output must be accepted before downstream release</x:v>
      </x:c>
    </x:row>
    <x:row r="790">
      <x:c r="B790" s="21" t="str">
        <x:v>BL-00784</x:v>
      </x:c>
      <x:c r="C790" s="21" t="str">
        <x:v>F28-I4</x:v>
      </x:c>
      <x:c r="D790" s="21" t="str">
        <x:v>F28</x:v>
      </x:c>
      <x:c r="E790" s="21" t="str">
        <x:v>B6</x:v>
      </x:c>
      <x:c r="F790" s="21" t="str">
        <x:v>Mobilization</x:v>
      </x:c>
      <x:c r="G790" s="21" t="str">
        <x:v>0.0.0</x:v>
      </x:c>
      <x:c r="H790" s="21" t="str">
        <x:v>Independent Evidence and Data Authority</x:v>
      </x:c>
      <x:c r="I790" s="21" t="str">
        <x:v>OPEN</x:v>
      </x:c>
      <x:c r="J790" s="21" t="str">
        <x:v>HOLD</x:v>
      </x:c>
      <x:c r="K790" s="23" t="str">
        <x:v>what people tools suppliers and routes reproduce conforming service must be accepted before downstream release</x:v>
      </x:c>
    </x:row>
    <x:row r="791">
      <x:c r="B791" s="21" t="str">
        <x:v>BL-00785</x:v>
      </x:c>
      <x:c r="C791" s="21" t="str">
        <x:v>F29-I1</x:v>
      </x:c>
      <x:c r="D791" s="21" t="str">
        <x:v>F29</x:v>
      </x:c>
      <x:c r="E791" s="21" t="str">
        <x:v>B0</x:v>
      </x:c>
      <x:c r="F791" s="21" t="str">
        <x:v>Effect</x:v>
      </x:c>
      <x:c r="G791" s="21" t="str">
        <x:v>0.0.0</x:v>
      </x:c>
      <x:c r="H791" s="21" t="str">
        <x:v>Independent Evidence and Data Authority</x:v>
      </x:c>
      <x:c r="I791" s="21" t="str">
        <x:v>OPEN</x:v>
      </x:c>
      <x:c r="J791" s="21" t="str">
        <x:v>HOLD</x:v>
      </x:c>
      <x:c r="K791" s="23" t="str">
        <x:v>what public condition must exist must be accepted before downstream release</x:v>
      </x:c>
    </x:row>
    <x:row r="792">
      <x:c r="B792" s="21" t="str">
        <x:v>BL-00786</x:v>
      </x:c>
      <x:c r="C792" s="21" t="str">
        <x:v>F29-I1</x:v>
      </x:c>
      <x:c r="D792" s="21" t="str">
        <x:v>F29</x:v>
      </x:c>
      <x:c r="E792" s="21" t="str">
        <x:v>B1</x:v>
      </x:c>
      <x:c r="F792" s="21" t="str">
        <x:v>Requirements</x:v>
      </x:c>
      <x:c r="G792" s="21" t="str">
        <x:v>0.0.0</x:v>
      </x:c>
      <x:c r="H792" s="21" t="str">
        <x:v>Independent Evidence and Data Authority</x:v>
      </x:c>
      <x:c r="I792" s="21" t="str">
        <x:v>OPEN</x:v>
      </x:c>
      <x:c r="J792" s="21" t="str">
        <x:v>HOLD</x:v>
      </x:c>
      <x:c r="K792" s="23" t="str">
        <x:v>what burdens and invalid states bound the effect must be accepted before downstream release</x:v>
      </x:c>
    </x:row>
    <x:row r="793">
      <x:c r="B793" s="21" t="str">
        <x:v>BL-00787</x:v>
      </x:c>
      <x:c r="C793" s="21" t="str">
        <x:v>F29-I1</x:v>
      </x:c>
      <x:c r="D793" s="21" t="str">
        <x:v>F29</x:v>
      </x:c>
      <x:c r="E793" s="21" t="str">
        <x:v>B2</x:v>
      </x:c>
      <x:c r="F793" s="21" t="str">
        <x:v>Architecture</x:v>
      </x:c>
      <x:c r="G793" s="21" t="str">
        <x:v>0.0.0</x:v>
      </x:c>
      <x:c r="H793" s="21" t="str">
        <x:v>Independent Evidence and Data Authority</x:v>
      </x:c>
      <x:c r="I793" s="21" t="str">
        <x:v>OPEN</x:v>
      </x:c>
      <x:c r="J793" s="21" t="str">
        <x:v>HOLD</x:v>
      </x:c>
      <x:c r="K793" s="23" t="str">
        <x:v>what interfaces and budgets govern the system must be accepted before downstream release</x:v>
      </x:c>
    </x:row>
    <x:row r="794">
      <x:c r="B794" s="21" t="str">
        <x:v>BL-00788</x:v>
      </x:c>
      <x:c r="C794" s="21" t="str">
        <x:v>F29-I1</x:v>
      </x:c>
      <x:c r="D794" s="21" t="str">
        <x:v>F29</x:v>
      </x:c>
      <x:c r="E794" s="21" t="str">
        <x:v>B3</x:v>
      </x:c>
      <x:c r="F794" s="21" t="str">
        <x:v>Build</x:v>
      </x:c>
      <x:c r="G794" s="21" t="str">
        <x:v>0.0.0</x:v>
      </x:c>
      <x:c r="H794" s="21" t="str">
        <x:v>Independent Evidence and Data Authority</x:v>
      </x:c>
      <x:c r="I794" s="21" t="str">
        <x:v>OPEN</x:v>
      </x:c>
      <x:c r="J794" s="21" t="str">
        <x:v>HOLD</x:v>
      </x:c>
      <x:c r="K794" s="23" t="str">
        <x:v>what exact configuration produced the article must be accepted before downstream release</x:v>
      </x:c>
    </x:row>
    <x:row r="795">
      <x:c r="B795" s="21" t="str">
        <x:v>BL-00789</x:v>
      </x:c>
      <x:c r="C795" s="21" t="str">
        <x:v>F29-I1</x:v>
      </x:c>
      <x:c r="D795" s="21" t="str">
        <x:v>F29</x:v>
      </x:c>
      <x:c r="E795" s="21" t="str">
        <x:v>B4</x:v>
      </x:c>
      <x:c r="F795" s="21" t="str">
        <x:v>Trial</x:v>
      </x:c>
      <x:c r="G795" s="21" t="str">
        <x:v>0.0.0</x:v>
      </x:c>
      <x:c r="H795" s="21" t="str">
        <x:v>Independent Evidence and Data Authority</x:v>
      </x:c>
      <x:c r="I795" s="21" t="str">
        <x:v>OPEN</x:v>
      </x:c>
      <x:c r="J795" s="21" t="str">
        <x:v>HOLD</x:v>
      </x:c>
      <x:c r="K795" s="23" t="str">
        <x:v>what configuration method and damage world produced evidence must be accepted before downstream release</x:v>
      </x:c>
    </x:row>
    <x:row r="796">
      <x:c r="B796" s="21" t="str">
        <x:v>BL-00790</x:v>
      </x:c>
      <x:c r="C796" s="21" t="str">
        <x:v>F29-I1</x:v>
      </x:c>
      <x:c r="D796" s="21" t="str">
        <x:v>F29</x:v>
      </x:c>
      <x:c r="E796" s="21" t="str">
        <x:v>B5</x:v>
      </x:c>
      <x:c r="F796" s="21" t="str">
        <x:v>Production</x:v>
      </x:c>
      <x:c r="G796" s="21" t="str">
        <x:v>0.0.0</x:v>
      </x:c>
      <x:c r="H796" s="21" t="str">
        <x:v>Independent Evidence and Data Authority</x:v>
      </x:c>
      <x:c r="I796" s="21" t="str">
        <x:v>OPEN</x:v>
      </x:c>
      <x:c r="J796" s="21" t="str">
        <x:v>HOLD</x:v>
      </x:c>
      <x:c r="K796" s="23" t="str">
        <x:v>what process configuration and acceptance define serial output must be accepted before downstream release</x:v>
      </x:c>
    </x:row>
    <x:row r="797">
      <x:c r="B797" s="21" t="str">
        <x:v>BL-00791</x:v>
      </x:c>
      <x:c r="C797" s="21" t="str">
        <x:v>F29-I1</x:v>
      </x:c>
      <x:c r="D797" s="21" t="str">
        <x:v>F29</x:v>
      </x:c>
      <x:c r="E797" s="21" t="str">
        <x:v>B6</x:v>
      </x:c>
      <x:c r="F797" s="21" t="str">
        <x:v>Mobilization</x:v>
      </x:c>
      <x:c r="G797" s="21" t="str">
        <x:v>0.0.0</x:v>
      </x:c>
      <x:c r="H797" s="21" t="str">
        <x:v>Independent Evidence and Data Authority</x:v>
      </x:c>
      <x:c r="I797" s="21" t="str">
        <x:v>OPEN</x:v>
      </x:c>
      <x:c r="J797" s="21" t="str">
        <x:v>HOLD</x:v>
      </x:c>
      <x:c r="K797" s="23" t="str">
        <x:v>what people tools suppliers and routes reproduce conforming service must be accepted before downstream release</x:v>
      </x:c>
    </x:row>
    <x:row r="798">
      <x:c r="B798" s="21" t="str">
        <x:v>BL-00792</x:v>
      </x:c>
      <x:c r="C798" s="21" t="str">
        <x:v>F29-I2</x:v>
      </x:c>
      <x:c r="D798" s="21" t="str">
        <x:v>F29</x:v>
      </x:c>
      <x:c r="E798" s="21" t="str">
        <x:v>B0</x:v>
      </x:c>
      <x:c r="F798" s="21" t="str">
        <x:v>Effect</x:v>
      </x:c>
      <x:c r="G798" s="21" t="str">
        <x:v>0.0.0</x:v>
      </x:c>
      <x:c r="H798" s="21" t="str">
        <x:v>Independent Evidence and Data Authority</x:v>
      </x:c>
      <x:c r="I798" s="21" t="str">
        <x:v>OPEN</x:v>
      </x:c>
      <x:c r="J798" s="21" t="str">
        <x:v>HOLD</x:v>
      </x:c>
      <x:c r="K798" s="23" t="str">
        <x:v>what public condition must exist must be accepted before downstream release</x:v>
      </x:c>
    </x:row>
    <x:row r="799">
      <x:c r="B799" s="21" t="str">
        <x:v>BL-00793</x:v>
      </x:c>
      <x:c r="C799" s="21" t="str">
        <x:v>F29-I2</x:v>
      </x:c>
      <x:c r="D799" s="21" t="str">
        <x:v>F29</x:v>
      </x:c>
      <x:c r="E799" s="21" t="str">
        <x:v>B1</x:v>
      </x:c>
      <x:c r="F799" s="21" t="str">
        <x:v>Requirements</x:v>
      </x:c>
      <x:c r="G799" s="21" t="str">
        <x:v>0.0.0</x:v>
      </x:c>
      <x:c r="H799" s="21" t="str">
        <x:v>Independent Evidence and Data Authority</x:v>
      </x:c>
      <x:c r="I799" s="21" t="str">
        <x:v>OPEN</x:v>
      </x:c>
      <x:c r="J799" s="21" t="str">
        <x:v>HOLD</x:v>
      </x:c>
      <x:c r="K799" s="23" t="str">
        <x:v>what burdens and invalid states bound the effect must be accepted before downstream release</x:v>
      </x:c>
    </x:row>
    <x:row r="800">
      <x:c r="B800" s="21" t="str">
        <x:v>BL-00794</x:v>
      </x:c>
      <x:c r="C800" s="21" t="str">
        <x:v>F29-I2</x:v>
      </x:c>
      <x:c r="D800" s="21" t="str">
        <x:v>F29</x:v>
      </x:c>
      <x:c r="E800" s="21" t="str">
        <x:v>B2</x:v>
      </x:c>
      <x:c r="F800" s="21" t="str">
        <x:v>Architecture</x:v>
      </x:c>
      <x:c r="G800" s="21" t="str">
        <x:v>0.0.0</x:v>
      </x:c>
      <x:c r="H800" s="21" t="str">
        <x:v>Independent Evidence and Data Authority</x:v>
      </x:c>
      <x:c r="I800" s="21" t="str">
        <x:v>OPEN</x:v>
      </x:c>
      <x:c r="J800" s="21" t="str">
        <x:v>HOLD</x:v>
      </x:c>
      <x:c r="K800" s="23" t="str">
        <x:v>what interfaces and budgets govern the system must be accepted before downstream release</x:v>
      </x:c>
    </x:row>
    <x:row r="801">
      <x:c r="B801" s="21" t="str">
        <x:v>BL-00795</x:v>
      </x:c>
      <x:c r="C801" s="21" t="str">
        <x:v>F29-I2</x:v>
      </x:c>
      <x:c r="D801" s="21" t="str">
        <x:v>F29</x:v>
      </x:c>
      <x:c r="E801" s="21" t="str">
        <x:v>B3</x:v>
      </x:c>
      <x:c r="F801" s="21" t="str">
        <x:v>Build</x:v>
      </x:c>
      <x:c r="G801" s="21" t="str">
        <x:v>0.0.0</x:v>
      </x:c>
      <x:c r="H801" s="21" t="str">
        <x:v>Independent Evidence and Data Authority</x:v>
      </x:c>
      <x:c r="I801" s="21" t="str">
        <x:v>OPEN</x:v>
      </x:c>
      <x:c r="J801" s="21" t="str">
        <x:v>HOLD</x:v>
      </x:c>
      <x:c r="K801" s="23" t="str">
        <x:v>what exact configuration produced the article must be accepted before downstream release</x:v>
      </x:c>
    </x:row>
    <x:row r="802">
      <x:c r="B802" s="21" t="str">
        <x:v>BL-00796</x:v>
      </x:c>
      <x:c r="C802" s="21" t="str">
        <x:v>F29-I2</x:v>
      </x:c>
      <x:c r="D802" s="21" t="str">
        <x:v>F29</x:v>
      </x:c>
      <x:c r="E802" s="21" t="str">
        <x:v>B4</x:v>
      </x:c>
      <x:c r="F802" s="21" t="str">
        <x:v>Trial</x:v>
      </x:c>
      <x:c r="G802" s="21" t="str">
        <x:v>0.0.0</x:v>
      </x:c>
      <x:c r="H802" s="21" t="str">
        <x:v>Independent Evidence and Data Authority</x:v>
      </x:c>
      <x:c r="I802" s="21" t="str">
        <x:v>OPEN</x:v>
      </x:c>
      <x:c r="J802" s="21" t="str">
        <x:v>HOLD</x:v>
      </x:c>
      <x:c r="K802" s="23" t="str">
        <x:v>what configuration method and damage world produced evidence must be accepted before downstream release</x:v>
      </x:c>
    </x:row>
    <x:row r="803">
      <x:c r="B803" s="21" t="str">
        <x:v>BL-00797</x:v>
      </x:c>
      <x:c r="C803" s="21" t="str">
        <x:v>F29-I2</x:v>
      </x:c>
      <x:c r="D803" s="21" t="str">
        <x:v>F29</x:v>
      </x:c>
      <x:c r="E803" s="21" t="str">
        <x:v>B5</x:v>
      </x:c>
      <x:c r="F803" s="21" t="str">
        <x:v>Production</x:v>
      </x:c>
      <x:c r="G803" s="21" t="str">
        <x:v>0.0.0</x:v>
      </x:c>
      <x:c r="H803" s="21" t="str">
        <x:v>Independent Evidence and Data Authority</x:v>
      </x:c>
      <x:c r="I803" s="21" t="str">
        <x:v>OPEN</x:v>
      </x:c>
      <x:c r="J803" s="21" t="str">
        <x:v>HOLD</x:v>
      </x:c>
      <x:c r="K803" s="23" t="str">
        <x:v>what process configuration and acceptance define serial output must be accepted before downstream release</x:v>
      </x:c>
    </x:row>
    <x:row r="804">
      <x:c r="B804" s="21" t="str">
        <x:v>BL-00798</x:v>
      </x:c>
      <x:c r="C804" s="21" t="str">
        <x:v>F29-I2</x:v>
      </x:c>
      <x:c r="D804" s="21" t="str">
        <x:v>F29</x:v>
      </x:c>
      <x:c r="E804" s="21" t="str">
        <x:v>B6</x:v>
      </x:c>
      <x:c r="F804" s="21" t="str">
        <x:v>Mobilization</x:v>
      </x:c>
      <x:c r="G804" s="21" t="str">
        <x:v>0.0.0</x:v>
      </x:c>
      <x:c r="H804" s="21" t="str">
        <x:v>Independent Evidence and Data Authority</x:v>
      </x:c>
      <x:c r="I804" s="21" t="str">
        <x:v>OPEN</x:v>
      </x:c>
      <x:c r="J804" s="21" t="str">
        <x:v>HOLD</x:v>
      </x:c>
      <x:c r="K804" s="23" t="str">
        <x:v>what people tools suppliers and routes reproduce conforming service must be accepted before downstream release</x:v>
      </x:c>
    </x:row>
    <x:row r="805">
      <x:c r="B805" s="21" t="str">
        <x:v>BL-00799</x:v>
      </x:c>
      <x:c r="C805" s="21" t="str">
        <x:v>F29-I3</x:v>
      </x:c>
      <x:c r="D805" s="21" t="str">
        <x:v>F29</x:v>
      </x:c>
      <x:c r="E805" s="21" t="str">
        <x:v>B0</x:v>
      </x:c>
      <x:c r="F805" s="21" t="str">
        <x:v>Effect</x:v>
      </x:c>
      <x:c r="G805" s="21" t="str">
        <x:v>0.0.0</x:v>
      </x:c>
      <x:c r="H805" s="21" t="str">
        <x:v>Independent Evidence and Data Authority</x:v>
      </x:c>
      <x:c r="I805" s="21" t="str">
        <x:v>OPEN</x:v>
      </x:c>
      <x:c r="J805" s="21" t="str">
        <x:v>HOLD</x:v>
      </x:c>
      <x:c r="K805" s="23" t="str">
        <x:v>what public condition must exist must be accepted before downstream release</x:v>
      </x:c>
    </x:row>
    <x:row r="806">
      <x:c r="B806" s="21" t="str">
        <x:v>BL-00800</x:v>
      </x:c>
      <x:c r="C806" s="21" t="str">
        <x:v>F29-I3</x:v>
      </x:c>
      <x:c r="D806" s="21" t="str">
        <x:v>F29</x:v>
      </x:c>
      <x:c r="E806" s="21" t="str">
        <x:v>B1</x:v>
      </x:c>
      <x:c r="F806" s="21" t="str">
        <x:v>Requirements</x:v>
      </x:c>
      <x:c r="G806" s="21" t="str">
        <x:v>0.0.0</x:v>
      </x:c>
      <x:c r="H806" s="21" t="str">
        <x:v>Independent Evidence and Data Authority</x:v>
      </x:c>
      <x:c r="I806" s="21" t="str">
        <x:v>OPEN</x:v>
      </x:c>
      <x:c r="J806" s="21" t="str">
        <x:v>HOLD</x:v>
      </x:c>
      <x:c r="K806" s="23" t="str">
        <x:v>what burdens and invalid states bound the effect must be accepted before downstream release</x:v>
      </x:c>
    </x:row>
    <x:row r="807">
      <x:c r="B807" s="21" t="str">
        <x:v>BL-00801</x:v>
      </x:c>
      <x:c r="C807" s="21" t="str">
        <x:v>F29-I3</x:v>
      </x:c>
      <x:c r="D807" s="21" t="str">
        <x:v>F29</x:v>
      </x:c>
      <x:c r="E807" s="21" t="str">
        <x:v>B2</x:v>
      </x:c>
      <x:c r="F807" s="21" t="str">
        <x:v>Architecture</x:v>
      </x:c>
      <x:c r="G807" s="21" t="str">
        <x:v>0.0.0</x:v>
      </x:c>
      <x:c r="H807" s="21" t="str">
        <x:v>Independent Evidence and Data Authority</x:v>
      </x:c>
      <x:c r="I807" s="21" t="str">
        <x:v>OPEN</x:v>
      </x:c>
      <x:c r="J807" s="21" t="str">
        <x:v>HOLD</x:v>
      </x:c>
      <x:c r="K807" s="23" t="str">
        <x:v>what interfaces and budgets govern the system must be accepted before downstream release</x:v>
      </x:c>
    </x:row>
    <x:row r="808">
      <x:c r="B808" s="21" t="str">
        <x:v>BL-00802</x:v>
      </x:c>
      <x:c r="C808" s="21" t="str">
        <x:v>F29-I3</x:v>
      </x:c>
      <x:c r="D808" s="21" t="str">
        <x:v>F29</x:v>
      </x:c>
      <x:c r="E808" s="21" t="str">
        <x:v>B3</x:v>
      </x:c>
      <x:c r="F808" s="21" t="str">
        <x:v>Build</x:v>
      </x:c>
      <x:c r="G808" s="21" t="str">
        <x:v>0.0.0</x:v>
      </x:c>
      <x:c r="H808" s="21" t="str">
        <x:v>Independent Evidence and Data Authority</x:v>
      </x:c>
      <x:c r="I808" s="21" t="str">
        <x:v>OPEN</x:v>
      </x:c>
      <x:c r="J808" s="21" t="str">
        <x:v>HOLD</x:v>
      </x:c>
      <x:c r="K808" s="23" t="str">
        <x:v>what exact configuration produced the article must be accepted before downstream release</x:v>
      </x:c>
    </x:row>
    <x:row r="809">
      <x:c r="B809" s="21" t="str">
        <x:v>BL-00803</x:v>
      </x:c>
      <x:c r="C809" s="21" t="str">
        <x:v>F29-I3</x:v>
      </x:c>
      <x:c r="D809" s="21" t="str">
        <x:v>F29</x:v>
      </x:c>
      <x:c r="E809" s="21" t="str">
        <x:v>B4</x:v>
      </x:c>
      <x:c r="F809" s="21" t="str">
        <x:v>Trial</x:v>
      </x:c>
      <x:c r="G809" s="21" t="str">
        <x:v>0.0.0</x:v>
      </x:c>
      <x:c r="H809" s="21" t="str">
        <x:v>Independent Evidence and Data Authority</x:v>
      </x:c>
      <x:c r="I809" s="21" t="str">
        <x:v>OPEN</x:v>
      </x:c>
      <x:c r="J809" s="21" t="str">
        <x:v>HOLD</x:v>
      </x:c>
      <x:c r="K809" s="23" t="str">
        <x:v>what configuration method and damage world produced evidence must be accepted before downstream release</x:v>
      </x:c>
    </x:row>
    <x:row r="810">
      <x:c r="B810" s="21" t="str">
        <x:v>BL-00804</x:v>
      </x:c>
      <x:c r="C810" s="21" t="str">
        <x:v>F29-I3</x:v>
      </x:c>
      <x:c r="D810" s="21" t="str">
        <x:v>F29</x:v>
      </x:c>
      <x:c r="E810" s="21" t="str">
        <x:v>B5</x:v>
      </x:c>
      <x:c r="F810" s="21" t="str">
        <x:v>Production</x:v>
      </x:c>
      <x:c r="G810" s="21" t="str">
        <x:v>0.0.0</x:v>
      </x:c>
      <x:c r="H810" s="21" t="str">
        <x:v>Independent Evidence and Data Authority</x:v>
      </x:c>
      <x:c r="I810" s="21" t="str">
        <x:v>OPEN</x:v>
      </x:c>
      <x:c r="J810" s="21" t="str">
        <x:v>HOLD</x:v>
      </x:c>
      <x:c r="K810" s="23" t="str">
        <x:v>what process configuration and acceptance define serial output must be accepted before downstream release</x:v>
      </x:c>
    </x:row>
    <x:row r="811">
      <x:c r="B811" s="21" t="str">
        <x:v>BL-00805</x:v>
      </x:c>
      <x:c r="C811" s="21" t="str">
        <x:v>F29-I3</x:v>
      </x:c>
      <x:c r="D811" s="21" t="str">
        <x:v>F29</x:v>
      </x:c>
      <x:c r="E811" s="21" t="str">
        <x:v>B6</x:v>
      </x:c>
      <x:c r="F811" s="21" t="str">
        <x:v>Mobilization</x:v>
      </x:c>
      <x:c r="G811" s="21" t="str">
        <x:v>0.0.0</x:v>
      </x:c>
      <x:c r="H811" s="21" t="str">
        <x:v>Independent Evidence and Data Authority</x:v>
      </x:c>
      <x:c r="I811" s="21" t="str">
        <x:v>OPEN</x:v>
      </x:c>
      <x:c r="J811" s="21" t="str">
        <x:v>HOLD</x:v>
      </x:c>
      <x:c r="K811" s="23" t="str">
        <x:v>what people tools suppliers and routes reproduce conforming service must be accepted before downstream release</x:v>
      </x:c>
    </x:row>
    <x:row r="812">
      <x:c r="B812" s="21" t="str">
        <x:v>BL-00806</x:v>
      </x:c>
      <x:c r="C812" s="21" t="str">
        <x:v>F29-I4</x:v>
      </x:c>
      <x:c r="D812" s="21" t="str">
        <x:v>F29</x:v>
      </x:c>
      <x:c r="E812" s="21" t="str">
        <x:v>B0</x:v>
      </x:c>
      <x:c r="F812" s="21" t="str">
        <x:v>Effect</x:v>
      </x:c>
      <x:c r="G812" s="21" t="str">
        <x:v>0.0.0</x:v>
      </x:c>
      <x:c r="H812" s="21" t="str">
        <x:v>Independent Evidence and Data Authority</x:v>
      </x:c>
      <x:c r="I812" s="21" t="str">
        <x:v>OPEN</x:v>
      </x:c>
      <x:c r="J812" s="21" t="str">
        <x:v>HOLD</x:v>
      </x:c>
      <x:c r="K812" s="23" t="str">
        <x:v>what public condition must exist must be accepted before downstream release</x:v>
      </x:c>
    </x:row>
    <x:row r="813">
      <x:c r="B813" s="21" t="str">
        <x:v>BL-00807</x:v>
      </x:c>
      <x:c r="C813" s="21" t="str">
        <x:v>F29-I4</x:v>
      </x:c>
      <x:c r="D813" s="21" t="str">
        <x:v>F29</x:v>
      </x:c>
      <x:c r="E813" s="21" t="str">
        <x:v>B1</x:v>
      </x:c>
      <x:c r="F813" s="21" t="str">
        <x:v>Requirements</x:v>
      </x:c>
      <x:c r="G813" s="21" t="str">
        <x:v>0.0.0</x:v>
      </x:c>
      <x:c r="H813" s="21" t="str">
        <x:v>Independent Evidence and Data Authority</x:v>
      </x:c>
      <x:c r="I813" s="21" t="str">
        <x:v>OPEN</x:v>
      </x:c>
      <x:c r="J813" s="21" t="str">
        <x:v>HOLD</x:v>
      </x:c>
      <x:c r="K813" s="23" t="str">
        <x:v>what burdens and invalid states bound the effect must be accepted before downstream release</x:v>
      </x:c>
    </x:row>
    <x:row r="814">
      <x:c r="B814" s="21" t="str">
        <x:v>BL-00808</x:v>
      </x:c>
      <x:c r="C814" s="21" t="str">
        <x:v>F29-I4</x:v>
      </x:c>
      <x:c r="D814" s="21" t="str">
        <x:v>F29</x:v>
      </x:c>
      <x:c r="E814" s="21" t="str">
        <x:v>B2</x:v>
      </x:c>
      <x:c r="F814" s="21" t="str">
        <x:v>Architecture</x:v>
      </x:c>
      <x:c r="G814" s="21" t="str">
        <x:v>0.0.0</x:v>
      </x:c>
      <x:c r="H814" s="21" t="str">
        <x:v>Independent Evidence and Data Authority</x:v>
      </x:c>
      <x:c r="I814" s="21" t="str">
        <x:v>OPEN</x:v>
      </x:c>
      <x:c r="J814" s="21" t="str">
        <x:v>HOLD</x:v>
      </x:c>
      <x:c r="K814" s="23" t="str">
        <x:v>what interfaces and budgets govern the system must be accepted before downstream release</x:v>
      </x:c>
    </x:row>
    <x:row r="815">
      <x:c r="B815" s="21" t="str">
        <x:v>BL-00809</x:v>
      </x:c>
      <x:c r="C815" s="21" t="str">
        <x:v>F29-I4</x:v>
      </x:c>
      <x:c r="D815" s="21" t="str">
        <x:v>F29</x:v>
      </x:c>
      <x:c r="E815" s="21" t="str">
        <x:v>B3</x:v>
      </x:c>
      <x:c r="F815" s="21" t="str">
        <x:v>Build</x:v>
      </x:c>
      <x:c r="G815" s="21" t="str">
        <x:v>0.0.0</x:v>
      </x:c>
      <x:c r="H815" s="21" t="str">
        <x:v>Independent Evidence and Data Authority</x:v>
      </x:c>
      <x:c r="I815" s="21" t="str">
        <x:v>OPEN</x:v>
      </x:c>
      <x:c r="J815" s="21" t="str">
        <x:v>HOLD</x:v>
      </x:c>
      <x:c r="K815" s="23" t="str">
        <x:v>what exact configuration produced the article must be accepted before downstream release</x:v>
      </x:c>
    </x:row>
    <x:row r="816">
      <x:c r="B816" s="21" t="str">
        <x:v>BL-00810</x:v>
      </x:c>
      <x:c r="C816" s="21" t="str">
        <x:v>F29-I4</x:v>
      </x:c>
      <x:c r="D816" s="21" t="str">
        <x:v>F29</x:v>
      </x:c>
      <x:c r="E816" s="21" t="str">
        <x:v>B4</x:v>
      </x:c>
      <x:c r="F816" s="21" t="str">
        <x:v>Trial</x:v>
      </x:c>
      <x:c r="G816" s="21" t="str">
        <x:v>0.0.0</x:v>
      </x:c>
      <x:c r="H816" s="21" t="str">
        <x:v>Independent Evidence and Data Authority</x:v>
      </x:c>
      <x:c r="I816" s="21" t="str">
        <x:v>OPEN</x:v>
      </x:c>
      <x:c r="J816" s="21" t="str">
        <x:v>HOLD</x:v>
      </x:c>
      <x:c r="K816" s="23" t="str">
        <x:v>what configuration method and damage world produced evidence must be accepted before downstream release</x:v>
      </x:c>
    </x:row>
    <x:row r="817">
      <x:c r="B817" s="21" t="str">
        <x:v>BL-00811</x:v>
      </x:c>
      <x:c r="C817" s="21" t="str">
        <x:v>F29-I4</x:v>
      </x:c>
      <x:c r="D817" s="21" t="str">
        <x:v>F29</x:v>
      </x:c>
      <x:c r="E817" s="21" t="str">
        <x:v>B5</x:v>
      </x:c>
      <x:c r="F817" s="21" t="str">
        <x:v>Production</x:v>
      </x:c>
      <x:c r="G817" s="21" t="str">
        <x:v>0.0.0</x:v>
      </x:c>
      <x:c r="H817" s="21" t="str">
        <x:v>Independent Evidence and Data Authority</x:v>
      </x:c>
      <x:c r="I817" s="21" t="str">
        <x:v>OPEN</x:v>
      </x:c>
      <x:c r="J817" s="21" t="str">
        <x:v>HOLD</x:v>
      </x:c>
      <x:c r="K817" s="23" t="str">
        <x:v>what process configuration and acceptance define serial output must be accepted before downstream release</x:v>
      </x:c>
    </x:row>
    <x:row r="818">
      <x:c r="B818" s="21" t="str">
        <x:v>BL-00812</x:v>
      </x:c>
      <x:c r="C818" s="21" t="str">
        <x:v>F29-I4</x:v>
      </x:c>
      <x:c r="D818" s="21" t="str">
        <x:v>F29</x:v>
      </x:c>
      <x:c r="E818" s="21" t="str">
        <x:v>B6</x:v>
      </x:c>
      <x:c r="F818" s="21" t="str">
        <x:v>Mobilization</x:v>
      </x:c>
      <x:c r="G818" s="21" t="str">
        <x:v>0.0.0</x:v>
      </x:c>
      <x:c r="H818" s="21" t="str">
        <x:v>Independent Evidence and Data Authority</x:v>
      </x:c>
      <x:c r="I818" s="21" t="str">
        <x:v>OPEN</x:v>
      </x:c>
      <x:c r="J818" s="21" t="str">
        <x:v>HOLD</x:v>
      </x:c>
      <x:c r="K818" s="23" t="str">
        <x:v>what people tools suppliers and routes reproduce conforming service must be accepted before downstream release</x:v>
      </x:c>
    </x:row>
    <x:row r="819">
      <x:c r="B819" s="21" t="str">
        <x:v>BL-00813</x:v>
      </x:c>
      <x:c r="C819" s="21" t="str">
        <x:v>F30-I1</x:v>
      </x:c>
      <x:c r="D819" s="21" t="str">
        <x:v>F30</x:v>
      </x:c>
      <x:c r="E819" s="21" t="str">
        <x:v>B0</x:v>
      </x:c>
      <x:c r="F819" s="21" t="str">
        <x:v>Effect</x:v>
      </x:c>
      <x:c r="G819" s="21" t="str">
        <x:v>0.0.0</x:v>
      </x:c>
      <x:c r="H819" s="21" t="str">
        <x:v>Independent Evidence and Data Authority</x:v>
      </x:c>
      <x:c r="I819" s="21" t="str">
        <x:v>OPEN</x:v>
      </x:c>
      <x:c r="J819" s="21" t="str">
        <x:v>HOLD</x:v>
      </x:c>
      <x:c r="K819" s="23" t="str">
        <x:v>what public condition must exist must be accepted before downstream release</x:v>
      </x:c>
    </x:row>
    <x:row r="820">
      <x:c r="B820" s="21" t="str">
        <x:v>BL-00814</x:v>
      </x:c>
      <x:c r="C820" s="21" t="str">
        <x:v>F30-I1</x:v>
      </x:c>
      <x:c r="D820" s="21" t="str">
        <x:v>F30</x:v>
      </x:c>
      <x:c r="E820" s="21" t="str">
        <x:v>B1</x:v>
      </x:c>
      <x:c r="F820" s="21" t="str">
        <x:v>Requirements</x:v>
      </x:c>
      <x:c r="G820" s="21" t="str">
        <x:v>0.0.0</x:v>
      </x:c>
      <x:c r="H820" s="21" t="str">
        <x:v>Independent Evidence and Data Authority</x:v>
      </x:c>
      <x:c r="I820" s="21" t="str">
        <x:v>OPEN</x:v>
      </x:c>
      <x:c r="J820" s="21" t="str">
        <x:v>HOLD</x:v>
      </x:c>
      <x:c r="K820" s="23" t="str">
        <x:v>what burdens and invalid states bound the effect must be accepted before downstream release</x:v>
      </x:c>
    </x:row>
    <x:row r="821">
      <x:c r="B821" s="21" t="str">
        <x:v>BL-00815</x:v>
      </x:c>
      <x:c r="C821" s="21" t="str">
        <x:v>F30-I1</x:v>
      </x:c>
      <x:c r="D821" s="21" t="str">
        <x:v>F30</x:v>
      </x:c>
      <x:c r="E821" s="21" t="str">
        <x:v>B2</x:v>
      </x:c>
      <x:c r="F821" s="21" t="str">
        <x:v>Architecture</x:v>
      </x:c>
      <x:c r="G821" s="21" t="str">
        <x:v>0.0.0</x:v>
      </x:c>
      <x:c r="H821" s="21" t="str">
        <x:v>Independent Evidence and Data Authority</x:v>
      </x:c>
      <x:c r="I821" s="21" t="str">
        <x:v>OPEN</x:v>
      </x:c>
      <x:c r="J821" s="21" t="str">
        <x:v>HOLD</x:v>
      </x:c>
      <x:c r="K821" s="23" t="str">
        <x:v>what interfaces and budgets govern the system must be accepted before downstream release</x:v>
      </x:c>
    </x:row>
    <x:row r="822">
      <x:c r="B822" s="21" t="str">
        <x:v>BL-00816</x:v>
      </x:c>
      <x:c r="C822" s="21" t="str">
        <x:v>F30-I1</x:v>
      </x:c>
      <x:c r="D822" s="21" t="str">
        <x:v>F30</x:v>
      </x:c>
      <x:c r="E822" s="21" t="str">
        <x:v>B3</x:v>
      </x:c>
      <x:c r="F822" s="21" t="str">
        <x:v>Build</x:v>
      </x:c>
      <x:c r="G822" s="21" t="str">
        <x:v>0.0.0</x:v>
      </x:c>
      <x:c r="H822" s="21" t="str">
        <x:v>Independent Evidence and Data Authority</x:v>
      </x:c>
      <x:c r="I822" s="21" t="str">
        <x:v>OPEN</x:v>
      </x:c>
      <x:c r="J822" s="21" t="str">
        <x:v>HOLD</x:v>
      </x:c>
      <x:c r="K822" s="23" t="str">
        <x:v>what exact configuration produced the article must be accepted before downstream release</x:v>
      </x:c>
    </x:row>
    <x:row r="823">
      <x:c r="B823" s="21" t="str">
        <x:v>BL-00817</x:v>
      </x:c>
      <x:c r="C823" s="21" t="str">
        <x:v>F30-I1</x:v>
      </x:c>
      <x:c r="D823" s="21" t="str">
        <x:v>F30</x:v>
      </x:c>
      <x:c r="E823" s="21" t="str">
        <x:v>B4</x:v>
      </x:c>
      <x:c r="F823" s="21" t="str">
        <x:v>Trial</x:v>
      </x:c>
      <x:c r="G823" s="21" t="str">
        <x:v>0.0.0</x:v>
      </x:c>
      <x:c r="H823" s="21" t="str">
        <x:v>Independent Evidence and Data Authority</x:v>
      </x:c>
      <x:c r="I823" s="21" t="str">
        <x:v>OPEN</x:v>
      </x:c>
      <x:c r="J823" s="21" t="str">
        <x:v>HOLD</x:v>
      </x:c>
      <x:c r="K823" s="23" t="str">
        <x:v>what configuration method and damage world produced evidence must be accepted before downstream release</x:v>
      </x:c>
    </x:row>
    <x:row r="824">
      <x:c r="B824" s="21" t="str">
        <x:v>BL-00818</x:v>
      </x:c>
      <x:c r="C824" s="21" t="str">
        <x:v>F30-I1</x:v>
      </x:c>
      <x:c r="D824" s="21" t="str">
        <x:v>F30</x:v>
      </x:c>
      <x:c r="E824" s="21" t="str">
        <x:v>B5</x:v>
      </x:c>
      <x:c r="F824" s="21" t="str">
        <x:v>Production</x:v>
      </x:c>
      <x:c r="G824" s="21" t="str">
        <x:v>0.0.0</x:v>
      </x:c>
      <x:c r="H824" s="21" t="str">
        <x:v>Independent Evidence and Data Authority</x:v>
      </x:c>
      <x:c r="I824" s="21" t="str">
        <x:v>OPEN</x:v>
      </x:c>
      <x:c r="J824" s="21" t="str">
        <x:v>HOLD</x:v>
      </x:c>
      <x:c r="K824" s="23" t="str">
        <x:v>what process configuration and acceptance define serial output must be accepted before downstream release</x:v>
      </x:c>
    </x:row>
    <x:row r="825">
      <x:c r="B825" s="21" t="str">
        <x:v>BL-00819</x:v>
      </x:c>
      <x:c r="C825" s="21" t="str">
        <x:v>F30-I1</x:v>
      </x:c>
      <x:c r="D825" s="21" t="str">
        <x:v>F30</x:v>
      </x:c>
      <x:c r="E825" s="21" t="str">
        <x:v>B6</x:v>
      </x:c>
      <x:c r="F825" s="21" t="str">
        <x:v>Mobilization</x:v>
      </x:c>
      <x:c r="G825" s="21" t="str">
        <x:v>0.0.0</x:v>
      </x:c>
      <x:c r="H825" s="21" t="str">
        <x:v>Independent Evidence and Data Authority</x:v>
      </x:c>
      <x:c r="I825" s="21" t="str">
        <x:v>OPEN</x:v>
      </x:c>
      <x:c r="J825" s="21" t="str">
        <x:v>HOLD</x:v>
      </x:c>
      <x:c r="K825" s="23" t="str">
        <x:v>what people tools suppliers and routes reproduce conforming service must be accepted before downstream release</x:v>
      </x:c>
    </x:row>
    <x:row r="826">
      <x:c r="B826" s="21" t="str">
        <x:v>BL-00820</x:v>
      </x:c>
      <x:c r="C826" s="21" t="str">
        <x:v>F30-I2</x:v>
      </x:c>
      <x:c r="D826" s="21" t="str">
        <x:v>F30</x:v>
      </x:c>
      <x:c r="E826" s="21" t="str">
        <x:v>B0</x:v>
      </x:c>
      <x:c r="F826" s="21" t="str">
        <x:v>Effect</x:v>
      </x:c>
      <x:c r="G826" s="21" t="str">
        <x:v>0.0.0</x:v>
      </x:c>
      <x:c r="H826" s="21" t="str">
        <x:v>Independent Evidence and Data Authority</x:v>
      </x:c>
      <x:c r="I826" s="21" t="str">
        <x:v>OPEN</x:v>
      </x:c>
      <x:c r="J826" s="21" t="str">
        <x:v>HOLD</x:v>
      </x:c>
      <x:c r="K826" s="23" t="str">
        <x:v>what public condition must exist must be accepted before downstream release</x:v>
      </x:c>
    </x:row>
    <x:row r="827">
      <x:c r="B827" s="21" t="str">
        <x:v>BL-00821</x:v>
      </x:c>
      <x:c r="C827" s="21" t="str">
        <x:v>F30-I2</x:v>
      </x:c>
      <x:c r="D827" s="21" t="str">
        <x:v>F30</x:v>
      </x:c>
      <x:c r="E827" s="21" t="str">
        <x:v>B1</x:v>
      </x:c>
      <x:c r="F827" s="21" t="str">
        <x:v>Requirements</x:v>
      </x:c>
      <x:c r="G827" s="21" t="str">
        <x:v>0.0.0</x:v>
      </x:c>
      <x:c r="H827" s="21" t="str">
        <x:v>Independent Evidence and Data Authority</x:v>
      </x:c>
      <x:c r="I827" s="21" t="str">
        <x:v>OPEN</x:v>
      </x:c>
      <x:c r="J827" s="21" t="str">
        <x:v>HOLD</x:v>
      </x:c>
      <x:c r="K827" s="23" t="str">
        <x:v>what burdens and invalid states bound the effect must be accepted before downstream release</x:v>
      </x:c>
    </x:row>
    <x:row r="828">
      <x:c r="B828" s="21" t="str">
        <x:v>BL-00822</x:v>
      </x:c>
      <x:c r="C828" s="21" t="str">
        <x:v>F30-I2</x:v>
      </x:c>
      <x:c r="D828" s="21" t="str">
        <x:v>F30</x:v>
      </x:c>
      <x:c r="E828" s="21" t="str">
        <x:v>B2</x:v>
      </x:c>
      <x:c r="F828" s="21" t="str">
        <x:v>Architecture</x:v>
      </x:c>
      <x:c r="G828" s="21" t="str">
        <x:v>0.0.0</x:v>
      </x:c>
      <x:c r="H828" s="21" t="str">
        <x:v>Independent Evidence and Data Authority</x:v>
      </x:c>
      <x:c r="I828" s="21" t="str">
        <x:v>OPEN</x:v>
      </x:c>
      <x:c r="J828" s="21" t="str">
        <x:v>HOLD</x:v>
      </x:c>
      <x:c r="K828" s="23" t="str">
        <x:v>what interfaces and budgets govern the system must be accepted before downstream release</x:v>
      </x:c>
    </x:row>
    <x:row r="829">
      <x:c r="B829" s="21" t="str">
        <x:v>BL-00823</x:v>
      </x:c>
      <x:c r="C829" s="21" t="str">
        <x:v>F30-I2</x:v>
      </x:c>
      <x:c r="D829" s="21" t="str">
        <x:v>F30</x:v>
      </x:c>
      <x:c r="E829" s="21" t="str">
        <x:v>B3</x:v>
      </x:c>
      <x:c r="F829" s="21" t="str">
        <x:v>Build</x:v>
      </x:c>
      <x:c r="G829" s="21" t="str">
        <x:v>0.0.0</x:v>
      </x:c>
      <x:c r="H829" s="21" t="str">
        <x:v>Independent Evidence and Data Authority</x:v>
      </x:c>
      <x:c r="I829" s="21" t="str">
        <x:v>OPEN</x:v>
      </x:c>
      <x:c r="J829" s="21" t="str">
        <x:v>HOLD</x:v>
      </x:c>
      <x:c r="K829" s="23" t="str">
        <x:v>what exact configuration produced the article must be accepted before downstream release</x:v>
      </x:c>
    </x:row>
    <x:row r="830">
      <x:c r="B830" s="21" t="str">
        <x:v>BL-00824</x:v>
      </x:c>
      <x:c r="C830" s="21" t="str">
        <x:v>F30-I2</x:v>
      </x:c>
      <x:c r="D830" s="21" t="str">
        <x:v>F30</x:v>
      </x:c>
      <x:c r="E830" s="21" t="str">
        <x:v>B4</x:v>
      </x:c>
      <x:c r="F830" s="21" t="str">
        <x:v>Trial</x:v>
      </x:c>
      <x:c r="G830" s="21" t="str">
        <x:v>0.0.0</x:v>
      </x:c>
      <x:c r="H830" s="21" t="str">
        <x:v>Independent Evidence and Data Authority</x:v>
      </x:c>
      <x:c r="I830" s="21" t="str">
        <x:v>OPEN</x:v>
      </x:c>
      <x:c r="J830" s="21" t="str">
        <x:v>HOLD</x:v>
      </x:c>
      <x:c r="K830" s="23" t="str">
        <x:v>what configuration method and damage world produced evidence must be accepted before downstream release</x:v>
      </x:c>
    </x:row>
    <x:row r="831">
      <x:c r="B831" s="21" t="str">
        <x:v>BL-00825</x:v>
      </x:c>
      <x:c r="C831" s="21" t="str">
        <x:v>F30-I2</x:v>
      </x:c>
      <x:c r="D831" s="21" t="str">
        <x:v>F30</x:v>
      </x:c>
      <x:c r="E831" s="21" t="str">
        <x:v>B5</x:v>
      </x:c>
      <x:c r="F831" s="21" t="str">
        <x:v>Production</x:v>
      </x:c>
      <x:c r="G831" s="21" t="str">
        <x:v>0.0.0</x:v>
      </x:c>
      <x:c r="H831" s="21" t="str">
        <x:v>Independent Evidence and Data Authority</x:v>
      </x:c>
      <x:c r="I831" s="21" t="str">
        <x:v>OPEN</x:v>
      </x:c>
      <x:c r="J831" s="21" t="str">
        <x:v>HOLD</x:v>
      </x:c>
      <x:c r="K831" s="23" t="str">
        <x:v>what process configuration and acceptance define serial output must be accepted before downstream release</x:v>
      </x:c>
    </x:row>
    <x:row r="832">
      <x:c r="B832" s="21" t="str">
        <x:v>BL-00826</x:v>
      </x:c>
      <x:c r="C832" s="21" t="str">
        <x:v>F30-I2</x:v>
      </x:c>
      <x:c r="D832" s="21" t="str">
        <x:v>F30</x:v>
      </x:c>
      <x:c r="E832" s="21" t="str">
        <x:v>B6</x:v>
      </x:c>
      <x:c r="F832" s="21" t="str">
        <x:v>Mobilization</x:v>
      </x:c>
      <x:c r="G832" s="21" t="str">
        <x:v>0.0.0</x:v>
      </x:c>
      <x:c r="H832" s="21" t="str">
        <x:v>Independent Evidence and Data Authority</x:v>
      </x:c>
      <x:c r="I832" s="21" t="str">
        <x:v>OPEN</x:v>
      </x:c>
      <x:c r="J832" s="21" t="str">
        <x:v>HOLD</x:v>
      </x:c>
      <x:c r="K832" s="23" t="str">
        <x:v>what people tools suppliers and routes reproduce conforming service must be accepted before downstream release</x:v>
      </x:c>
    </x:row>
    <x:row r="833">
      <x:c r="B833" s="21" t="str">
        <x:v>BL-00827</x:v>
      </x:c>
      <x:c r="C833" s="21" t="str">
        <x:v>F30-I3</x:v>
      </x:c>
      <x:c r="D833" s="21" t="str">
        <x:v>F30</x:v>
      </x:c>
      <x:c r="E833" s="21" t="str">
        <x:v>B0</x:v>
      </x:c>
      <x:c r="F833" s="21" t="str">
        <x:v>Effect</x:v>
      </x:c>
      <x:c r="G833" s="21" t="str">
        <x:v>0.0.0</x:v>
      </x:c>
      <x:c r="H833" s="21" t="str">
        <x:v>Independent Evidence and Data Authority</x:v>
      </x:c>
      <x:c r="I833" s="21" t="str">
        <x:v>OPEN</x:v>
      </x:c>
      <x:c r="J833" s="21" t="str">
        <x:v>HOLD</x:v>
      </x:c>
      <x:c r="K833" s="23" t="str">
        <x:v>what public condition must exist must be accepted before downstream release</x:v>
      </x:c>
    </x:row>
    <x:row r="834">
      <x:c r="B834" s="21" t="str">
        <x:v>BL-00828</x:v>
      </x:c>
      <x:c r="C834" s="21" t="str">
        <x:v>F30-I3</x:v>
      </x:c>
      <x:c r="D834" s="21" t="str">
        <x:v>F30</x:v>
      </x:c>
      <x:c r="E834" s="21" t="str">
        <x:v>B1</x:v>
      </x:c>
      <x:c r="F834" s="21" t="str">
        <x:v>Requirements</x:v>
      </x:c>
      <x:c r="G834" s="21" t="str">
        <x:v>0.0.0</x:v>
      </x:c>
      <x:c r="H834" s="21" t="str">
        <x:v>Independent Evidence and Data Authority</x:v>
      </x:c>
      <x:c r="I834" s="21" t="str">
        <x:v>OPEN</x:v>
      </x:c>
      <x:c r="J834" s="21" t="str">
        <x:v>HOLD</x:v>
      </x:c>
      <x:c r="K834" s="23" t="str">
        <x:v>what burdens and invalid states bound the effect must be accepted before downstream release</x:v>
      </x:c>
    </x:row>
    <x:row r="835">
      <x:c r="B835" s="21" t="str">
        <x:v>BL-00829</x:v>
      </x:c>
      <x:c r="C835" s="21" t="str">
        <x:v>F30-I3</x:v>
      </x:c>
      <x:c r="D835" s="21" t="str">
        <x:v>F30</x:v>
      </x:c>
      <x:c r="E835" s="21" t="str">
        <x:v>B2</x:v>
      </x:c>
      <x:c r="F835" s="21" t="str">
        <x:v>Architecture</x:v>
      </x:c>
      <x:c r="G835" s="21" t="str">
        <x:v>0.0.0</x:v>
      </x:c>
      <x:c r="H835" s="21" t="str">
        <x:v>Independent Evidence and Data Authority</x:v>
      </x:c>
      <x:c r="I835" s="21" t="str">
        <x:v>OPEN</x:v>
      </x:c>
      <x:c r="J835" s="21" t="str">
        <x:v>HOLD</x:v>
      </x:c>
      <x:c r="K835" s="23" t="str">
        <x:v>what interfaces and budgets govern the system must be accepted before downstream release</x:v>
      </x:c>
    </x:row>
    <x:row r="836">
      <x:c r="B836" s="21" t="str">
        <x:v>BL-00830</x:v>
      </x:c>
      <x:c r="C836" s="21" t="str">
        <x:v>F30-I3</x:v>
      </x:c>
      <x:c r="D836" s="21" t="str">
        <x:v>F30</x:v>
      </x:c>
      <x:c r="E836" s="21" t="str">
        <x:v>B3</x:v>
      </x:c>
      <x:c r="F836" s="21" t="str">
        <x:v>Build</x:v>
      </x:c>
      <x:c r="G836" s="21" t="str">
        <x:v>0.0.0</x:v>
      </x:c>
      <x:c r="H836" s="21" t="str">
        <x:v>Independent Evidence and Data Authority</x:v>
      </x:c>
      <x:c r="I836" s="21" t="str">
        <x:v>OPEN</x:v>
      </x:c>
      <x:c r="J836" s="21" t="str">
        <x:v>HOLD</x:v>
      </x:c>
      <x:c r="K836" s="23" t="str">
        <x:v>what exact configuration produced the article must be accepted before downstream release</x:v>
      </x:c>
    </x:row>
    <x:row r="837">
      <x:c r="B837" s="21" t="str">
        <x:v>BL-00831</x:v>
      </x:c>
      <x:c r="C837" s="21" t="str">
        <x:v>F30-I3</x:v>
      </x:c>
      <x:c r="D837" s="21" t="str">
        <x:v>F30</x:v>
      </x:c>
      <x:c r="E837" s="21" t="str">
        <x:v>B4</x:v>
      </x:c>
      <x:c r="F837" s="21" t="str">
        <x:v>Trial</x:v>
      </x:c>
      <x:c r="G837" s="21" t="str">
        <x:v>0.0.0</x:v>
      </x:c>
      <x:c r="H837" s="21" t="str">
        <x:v>Independent Evidence and Data Authority</x:v>
      </x:c>
      <x:c r="I837" s="21" t="str">
        <x:v>OPEN</x:v>
      </x:c>
      <x:c r="J837" s="21" t="str">
        <x:v>HOLD</x:v>
      </x:c>
      <x:c r="K837" s="23" t="str">
        <x:v>what configuration method and damage world produced evidence must be accepted before downstream release</x:v>
      </x:c>
    </x:row>
    <x:row r="838">
      <x:c r="B838" s="21" t="str">
        <x:v>BL-00832</x:v>
      </x:c>
      <x:c r="C838" s="21" t="str">
        <x:v>F30-I3</x:v>
      </x:c>
      <x:c r="D838" s="21" t="str">
        <x:v>F30</x:v>
      </x:c>
      <x:c r="E838" s="21" t="str">
        <x:v>B5</x:v>
      </x:c>
      <x:c r="F838" s="21" t="str">
        <x:v>Production</x:v>
      </x:c>
      <x:c r="G838" s="21" t="str">
        <x:v>0.0.0</x:v>
      </x:c>
      <x:c r="H838" s="21" t="str">
        <x:v>Independent Evidence and Data Authority</x:v>
      </x:c>
      <x:c r="I838" s="21" t="str">
        <x:v>OPEN</x:v>
      </x:c>
      <x:c r="J838" s="21" t="str">
        <x:v>HOLD</x:v>
      </x:c>
      <x:c r="K838" s="23" t="str">
        <x:v>what process configuration and acceptance define serial output must be accepted before downstream release</x:v>
      </x:c>
    </x:row>
    <x:row r="839">
      <x:c r="B839" s="21" t="str">
        <x:v>BL-00833</x:v>
      </x:c>
      <x:c r="C839" s="21" t="str">
        <x:v>F30-I3</x:v>
      </x:c>
      <x:c r="D839" s="21" t="str">
        <x:v>F30</x:v>
      </x:c>
      <x:c r="E839" s="21" t="str">
        <x:v>B6</x:v>
      </x:c>
      <x:c r="F839" s="21" t="str">
        <x:v>Mobilization</x:v>
      </x:c>
      <x:c r="G839" s="21" t="str">
        <x:v>0.0.0</x:v>
      </x:c>
      <x:c r="H839" s="21" t="str">
        <x:v>Independent Evidence and Data Authority</x:v>
      </x:c>
      <x:c r="I839" s="21" t="str">
        <x:v>OPEN</x:v>
      </x:c>
      <x:c r="J839" s="21" t="str">
        <x:v>HOLD</x:v>
      </x:c>
      <x:c r="K839" s="23" t="str">
        <x:v>what people tools suppliers and routes reproduce conforming service must be accepted before downstream release</x:v>
      </x:c>
    </x:row>
    <x:row r="840">
      <x:c r="B840" s="21" t="str">
        <x:v>BL-00834</x:v>
      </x:c>
      <x:c r="C840" s="21" t="str">
        <x:v>F30-I4</x:v>
      </x:c>
      <x:c r="D840" s="21" t="str">
        <x:v>F30</x:v>
      </x:c>
      <x:c r="E840" s="21" t="str">
        <x:v>B0</x:v>
      </x:c>
      <x:c r="F840" s="21" t="str">
        <x:v>Effect</x:v>
      </x:c>
      <x:c r="G840" s="21" t="str">
        <x:v>0.0.0</x:v>
      </x:c>
      <x:c r="H840" s="21" t="str">
        <x:v>Independent Evidence and Data Authority</x:v>
      </x:c>
      <x:c r="I840" s="21" t="str">
        <x:v>OPEN</x:v>
      </x:c>
      <x:c r="J840" s="21" t="str">
        <x:v>HOLD</x:v>
      </x:c>
      <x:c r="K840" s="23" t="str">
        <x:v>what public condition must exist must be accepted before downstream release</x:v>
      </x:c>
    </x:row>
    <x:row r="841">
      <x:c r="B841" s="21" t="str">
        <x:v>BL-00835</x:v>
      </x:c>
      <x:c r="C841" s="21" t="str">
        <x:v>F30-I4</x:v>
      </x:c>
      <x:c r="D841" s="21" t="str">
        <x:v>F30</x:v>
      </x:c>
      <x:c r="E841" s="21" t="str">
        <x:v>B1</x:v>
      </x:c>
      <x:c r="F841" s="21" t="str">
        <x:v>Requirements</x:v>
      </x:c>
      <x:c r="G841" s="21" t="str">
        <x:v>0.0.0</x:v>
      </x:c>
      <x:c r="H841" s="21" t="str">
        <x:v>Independent Evidence and Data Authority</x:v>
      </x:c>
      <x:c r="I841" s="21" t="str">
        <x:v>OPEN</x:v>
      </x:c>
      <x:c r="J841" s="21" t="str">
        <x:v>HOLD</x:v>
      </x:c>
      <x:c r="K841" s="23" t="str">
        <x:v>what burdens and invalid states bound the effect must be accepted before downstream release</x:v>
      </x:c>
    </x:row>
    <x:row r="842">
      <x:c r="B842" s="21" t="str">
        <x:v>BL-00836</x:v>
      </x:c>
      <x:c r="C842" s="21" t="str">
        <x:v>F30-I4</x:v>
      </x:c>
      <x:c r="D842" s="21" t="str">
        <x:v>F30</x:v>
      </x:c>
      <x:c r="E842" s="21" t="str">
        <x:v>B2</x:v>
      </x:c>
      <x:c r="F842" s="21" t="str">
        <x:v>Architecture</x:v>
      </x:c>
      <x:c r="G842" s="21" t="str">
        <x:v>0.0.0</x:v>
      </x:c>
      <x:c r="H842" s="21" t="str">
        <x:v>Independent Evidence and Data Authority</x:v>
      </x:c>
      <x:c r="I842" s="21" t="str">
        <x:v>OPEN</x:v>
      </x:c>
      <x:c r="J842" s="21" t="str">
        <x:v>HOLD</x:v>
      </x:c>
      <x:c r="K842" s="23" t="str">
        <x:v>what interfaces and budgets govern the system must be accepted before downstream release</x:v>
      </x:c>
    </x:row>
    <x:row r="843">
      <x:c r="B843" s="21" t="str">
        <x:v>BL-00837</x:v>
      </x:c>
      <x:c r="C843" s="21" t="str">
        <x:v>F30-I4</x:v>
      </x:c>
      <x:c r="D843" s="21" t="str">
        <x:v>F30</x:v>
      </x:c>
      <x:c r="E843" s="21" t="str">
        <x:v>B3</x:v>
      </x:c>
      <x:c r="F843" s="21" t="str">
        <x:v>Build</x:v>
      </x:c>
      <x:c r="G843" s="21" t="str">
        <x:v>0.0.0</x:v>
      </x:c>
      <x:c r="H843" s="21" t="str">
        <x:v>Independent Evidence and Data Authority</x:v>
      </x:c>
      <x:c r="I843" s="21" t="str">
        <x:v>OPEN</x:v>
      </x:c>
      <x:c r="J843" s="21" t="str">
        <x:v>HOLD</x:v>
      </x:c>
      <x:c r="K843" s="23" t="str">
        <x:v>what exact configuration produced the article must be accepted before downstream release</x:v>
      </x:c>
    </x:row>
    <x:row r="844">
      <x:c r="B844" s="21" t="str">
        <x:v>BL-00838</x:v>
      </x:c>
      <x:c r="C844" s="21" t="str">
        <x:v>F30-I4</x:v>
      </x:c>
      <x:c r="D844" s="21" t="str">
        <x:v>F30</x:v>
      </x:c>
      <x:c r="E844" s="21" t="str">
        <x:v>B4</x:v>
      </x:c>
      <x:c r="F844" s="21" t="str">
        <x:v>Trial</x:v>
      </x:c>
      <x:c r="G844" s="21" t="str">
        <x:v>0.0.0</x:v>
      </x:c>
      <x:c r="H844" s="21" t="str">
        <x:v>Independent Evidence and Data Authority</x:v>
      </x:c>
      <x:c r="I844" s="21" t="str">
        <x:v>OPEN</x:v>
      </x:c>
      <x:c r="J844" s="21" t="str">
        <x:v>HOLD</x:v>
      </x:c>
      <x:c r="K844" s="23" t="str">
        <x:v>what configuration method and damage world produced evidence must be accepted before downstream release</x:v>
      </x:c>
    </x:row>
    <x:row r="845">
      <x:c r="B845" s="21" t="str">
        <x:v>BL-00839</x:v>
      </x:c>
      <x:c r="C845" s="21" t="str">
        <x:v>F30-I4</x:v>
      </x:c>
      <x:c r="D845" s="21" t="str">
        <x:v>F30</x:v>
      </x:c>
      <x:c r="E845" s="21" t="str">
        <x:v>B5</x:v>
      </x:c>
      <x:c r="F845" s="21" t="str">
        <x:v>Production</x:v>
      </x:c>
      <x:c r="G845" s="21" t="str">
        <x:v>0.0.0</x:v>
      </x:c>
      <x:c r="H845" s="21" t="str">
        <x:v>Independent Evidence and Data Authority</x:v>
      </x:c>
      <x:c r="I845" s="21" t="str">
        <x:v>OPEN</x:v>
      </x:c>
      <x:c r="J845" s="21" t="str">
        <x:v>HOLD</x:v>
      </x:c>
      <x:c r="K845" s="23" t="str">
        <x:v>what process configuration and acceptance define serial output must be accepted before downstream release</x:v>
      </x:c>
    </x:row>
    <x:row r="846">
      <x:c r="B846" s="21" t="str">
        <x:v>BL-00840</x:v>
      </x:c>
      <x:c r="C846" s="21" t="str">
        <x:v>F30-I4</x:v>
      </x:c>
      <x:c r="D846" s="21" t="str">
        <x:v>F30</x:v>
      </x:c>
      <x:c r="E846" s="21" t="str">
        <x:v>B6</x:v>
      </x:c>
      <x:c r="F846" s="21" t="str">
        <x:v>Mobilization</x:v>
      </x:c>
      <x:c r="G846" s="21" t="str">
        <x:v>0.0.0</x:v>
      </x:c>
      <x:c r="H846" s="21" t="str">
        <x:v>Independent Evidence and Data Authority</x:v>
      </x:c>
      <x:c r="I846" s="21" t="str">
        <x:v>OPEN</x:v>
      </x:c>
      <x:c r="J846" s="21" t="str">
        <x:v>HOLD</x:v>
      </x:c>
      <x:c r="K846" s="23" t="str">
        <x:v>what people tools suppliers and routes reproduce conforming service must be accepted before downstream release</x:v>
      </x:c>
    </x:row>
    <x:row r="847">
      <x:c r="B847" s="21" t="str">
        <x:v>BL-00841</x:v>
      </x:c>
      <x:c r="C847" s="21" t="str">
        <x:v>F31-I1</x:v>
      </x:c>
      <x:c r="D847" s="21" t="str">
        <x:v>F31</x:v>
      </x:c>
      <x:c r="E847" s="21" t="str">
        <x:v>B0</x:v>
      </x:c>
      <x:c r="F847" s="21" t="str">
        <x:v>Effect</x:v>
      </x:c>
      <x:c r="G847" s="21" t="str">
        <x:v>0.0.0</x:v>
      </x:c>
      <x:c r="H847" s="21" t="str">
        <x:v>Independent Evidence and Data Authority</x:v>
      </x:c>
      <x:c r="I847" s="21" t="str">
        <x:v>OPEN</x:v>
      </x:c>
      <x:c r="J847" s="21" t="str">
        <x:v>HOLD</x:v>
      </x:c>
      <x:c r="K847" s="23" t="str">
        <x:v>what public condition must exist must be accepted before downstream release</x:v>
      </x:c>
    </x:row>
    <x:row r="848">
      <x:c r="B848" s="21" t="str">
        <x:v>BL-00842</x:v>
      </x:c>
      <x:c r="C848" s="21" t="str">
        <x:v>F31-I1</x:v>
      </x:c>
      <x:c r="D848" s="21" t="str">
        <x:v>F31</x:v>
      </x:c>
      <x:c r="E848" s="21" t="str">
        <x:v>B1</x:v>
      </x:c>
      <x:c r="F848" s="21" t="str">
        <x:v>Requirements</x:v>
      </x:c>
      <x:c r="G848" s="21" t="str">
        <x:v>0.0.0</x:v>
      </x:c>
      <x:c r="H848" s="21" t="str">
        <x:v>Independent Evidence and Data Authority</x:v>
      </x:c>
      <x:c r="I848" s="21" t="str">
        <x:v>OPEN</x:v>
      </x:c>
      <x:c r="J848" s="21" t="str">
        <x:v>HOLD</x:v>
      </x:c>
      <x:c r="K848" s="23" t="str">
        <x:v>what burdens and invalid states bound the effect must be accepted before downstream release</x:v>
      </x:c>
    </x:row>
    <x:row r="849">
      <x:c r="B849" s="21" t="str">
        <x:v>BL-00843</x:v>
      </x:c>
      <x:c r="C849" s="21" t="str">
        <x:v>F31-I1</x:v>
      </x:c>
      <x:c r="D849" s="21" t="str">
        <x:v>F31</x:v>
      </x:c>
      <x:c r="E849" s="21" t="str">
        <x:v>B2</x:v>
      </x:c>
      <x:c r="F849" s="21" t="str">
        <x:v>Architecture</x:v>
      </x:c>
      <x:c r="G849" s="21" t="str">
        <x:v>0.0.0</x:v>
      </x:c>
      <x:c r="H849" s="21" t="str">
        <x:v>Independent Evidence and Data Authority</x:v>
      </x:c>
      <x:c r="I849" s="21" t="str">
        <x:v>OPEN</x:v>
      </x:c>
      <x:c r="J849" s="21" t="str">
        <x:v>HOLD</x:v>
      </x:c>
      <x:c r="K849" s="23" t="str">
        <x:v>what interfaces and budgets govern the system must be accepted before downstream release</x:v>
      </x:c>
    </x:row>
    <x:row r="850">
      <x:c r="B850" s="21" t="str">
        <x:v>BL-00844</x:v>
      </x:c>
      <x:c r="C850" s="21" t="str">
        <x:v>F31-I1</x:v>
      </x:c>
      <x:c r="D850" s="21" t="str">
        <x:v>F31</x:v>
      </x:c>
      <x:c r="E850" s="21" t="str">
        <x:v>B3</x:v>
      </x:c>
      <x:c r="F850" s="21" t="str">
        <x:v>Build</x:v>
      </x:c>
      <x:c r="G850" s="21" t="str">
        <x:v>0.0.0</x:v>
      </x:c>
      <x:c r="H850" s="21" t="str">
        <x:v>Independent Evidence and Data Authority</x:v>
      </x:c>
      <x:c r="I850" s="21" t="str">
        <x:v>OPEN</x:v>
      </x:c>
      <x:c r="J850" s="21" t="str">
        <x:v>HOLD</x:v>
      </x:c>
      <x:c r="K850" s="23" t="str">
        <x:v>what exact configuration produced the article must be accepted before downstream release</x:v>
      </x:c>
    </x:row>
    <x:row r="851">
      <x:c r="B851" s="21" t="str">
        <x:v>BL-00845</x:v>
      </x:c>
      <x:c r="C851" s="21" t="str">
        <x:v>F31-I1</x:v>
      </x:c>
      <x:c r="D851" s="21" t="str">
        <x:v>F31</x:v>
      </x:c>
      <x:c r="E851" s="21" t="str">
        <x:v>B4</x:v>
      </x:c>
      <x:c r="F851" s="21" t="str">
        <x:v>Trial</x:v>
      </x:c>
      <x:c r="G851" s="21" t="str">
        <x:v>0.0.0</x:v>
      </x:c>
      <x:c r="H851" s="21" t="str">
        <x:v>Independent Evidence and Data Authority</x:v>
      </x:c>
      <x:c r="I851" s="21" t="str">
        <x:v>OPEN</x:v>
      </x:c>
      <x:c r="J851" s="21" t="str">
        <x:v>HOLD</x:v>
      </x:c>
      <x:c r="K851" s="23" t="str">
        <x:v>what configuration method and damage world produced evidence must be accepted before downstream release</x:v>
      </x:c>
    </x:row>
    <x:row r="852">
      <x:c r="B852" s="21" t="str">
        <x:v>BL-00846</x:v>
      </x:c>
      <x:c r="C852" s="21" t="str">
        <x:v>F31-I1</x:v>
      </x:c>
      <x:c r="D852" s="21" t="str">
        <x:v>F31</x:v>
      </x:c>
      <x:c r="E852" s="21" t="str">
        <x:v>B5</x:v>
      </x:c>
      <x:c r="F852" s="21" t="str">
        <x:v>Production</x:v>
      </x:c>
      <x:c r="G852" s="21" t="str">
        <x:v>0.0.0</x:v>
      </x:c>
      <x:c r="H852" s="21" t="str">
        <x:v>Independent Evidence and Data Authority</x:v>
      </x:c>
      <x:c r="I852" s="21" t="str">
        <x:v>OPEN</x:v>
      </x:c>
      <x:c r="J852" s="21" t="str">
        <x:v>HOLD</x:v>
      </x:c>
      <x:c r="K852" s="23" t="str">
        <x:v>what process configuration and acceptance define serial output must be accepted before downstream release</x:v>
      </x:c>
    </x:row>
    <x:row r="853">
      <x:c r="B853" s="21" t="str">
        <x:v>BL-00847</x:v>
      </x:c>
      <x:c r="C853" s="21" t="str">
        <x:v>F31-I1</x:v>
      </x:c>
      <x:c r="D853" s="21" t="str">
        <x:v>F31</x:v>
      </x:c>
      <x:c r="E853" s="21" t="str">
        <x:v>B6</x:v>
      </x:c>
      <x:c r="F853" s="21" t="str">
        <x:v>Mobilization</x:v>
      </x:c>
      <x:c r="G853" s="21" t="str">
        <x:v>0.0.0</x:v>
      </x:c>
      <x:c r="H853" s="21" t="str">
        <x:v>Independent Evidence and Data Authority</x:v>
      </x:c>
      <x:c r="I853" s="21" t="str">
        <x:v>OPEN</x:v>
      </x:c>
      <x:c r="J853" s="21" t="str">
        <x:v>HOLD</x:v>
      </x:c>
      <x:c r="K853" s="23" t="str">
        <x:v>what people tools suppliers and routes reproduce conforming service must be accepted before downstream release</x:v>
      </x:c>
    </x:row>
    <x:row r="854">
      <x:c r="B854" s="21" t="str">
        <x:v>BL-00848</x:v>
      </x:c>
      <x:c r="C854" s="21" t="str">
        <x:v>F31-I2</x:v>
      </x:c>
      <x:c r="D854" s="21" t="str">
        <x:v>F31</x:v>
      </x:c>
      <x:c r="E854" s="21" t="str">
        <x:v>B0</x:v>
      </x:c>
      <x:c r="F854" s="21" t="str">
        <x:v>Effect</x:v>
      </x:c>
      <x:c r="G854" s="21" t="str">
        <x:v>0.0.0</x:v>
      </x:c>
      <x:c r="H854" s="21" t="str">
        <x:v>Independent Evidence and Data Authority</x:v>
      </x:c>
      <x:c r="I854" s="21" t="str">
        <x:v>OPEN</x:v>
      </x:c>
      <x:c r="J854" s="21" t="str">
        <x:v>HOLD</x:v>
      </x:c>
      <x:c r="K854" s="23" t="str">
        <x:v>what public condition must exist must be accepted before downstream release</x:v>
      </x:c>
    </x:row>
    <x:row r="855">
      <x:c r="B855" s="21" t="str">
        <x:v>BL-00849</x:v>
      </x:c>
      <x:c r="C855" s="21" t="str">
        <x:v>F31-I2</x:v>
      </x:c>
      <x:c r="D855" s="21" t="str">
        <x:v>F31</x:v>
      </x:c>
      <x:c r="E855" s="21" t="str">
        <x:v>B1</x:v>
      </x:c>
      <x:c r="F855" s="21" t="str">
        <x:v>Requirements</x:v>
      </x:c>
      <x:c r="G855" s="21" t="str">
        <x:v>0.0.0</x:v>
      </x:c>
      <x:c r="H855" s="21" t="str">
        <x:v>Independent Evidence and Data Authority</x:v>
      </x:c>
      <x:c r="I855" s="21" t="str">
        <x:v>OPEN</x:v>
      </x:c>
      <x:c r="J855" s="21" t="str">
        <x:v>HOLD</x:v>
      </x:c>
      <x:c r="K855" s="23" t="str">
        <x:v>what burdens and invalid states bound the effect must be accepted before downstream release</x:v>
      </x:c>
    </x:row>
    <x:row r="856">
      <x:c r="B856" s="21" t="str">
        <x:v>BL-00850</x:v>
      </x:c>
      <x:c r="C856" s="21" t="str">
        <x:v>F31-I2</x:v>
      </x:c>
      <x:c r="D856" s="21" t="str">
        <x:v>F31</x:v>
      </x:c>
      <x:c r="E856" s="21" t="str">
        <x:v>B2</x:v>
      </x:c>
      <x:c r="F856" s="21" t="str">
        <x:v>Architecture</x:v>
      </x:c>
      <x:c r="G856" s="21" t="str">
        <x:v>0.0.0</x:v>
      </x:c>
      <x:c r="H856" s="21" t="str">
        <x:v>Independent Evidence and Data Authority</x:v>
      </x:c>
      <x:c r="I856" s="21" t="str">
        <x:v>OPEN</x:v>
      </x:c>
      <x:c r="J856" s="21" t="str">
        <x:v>HOLD</x:v>
      </x:c>
      <x:c r="K856" s="23" t="str">
        <x:v>what interfaces and budgets govern the system must be accepted before downstream release</x:v>
      </x:c>
    </x:row>
    <x:row r="857">
      <x:c r="B857" s="21" t="str">
        <x:v>BL-00851</x:v>
      </x:c>
      <x:c r="C857" s="21" t="str">
        <x:v>F31-I2</x:v>
      </x:c>
      <x:c r="D857" s="21" t="str">
        <x:v>F31</x:v>
      </x:c>
      <x:c r="E857" s="21" t="str">
        <x:v>B3</x:v>
      </x:c>
      <x:c r="F857" s="21" t="str">
        <x:v>Build</x:v>
      </x:c>
      <x:c r="G857" s="21" t="str">
        <x:v>0.0.0</x:v>
      </x:c>
      <x:c r="H857" s="21" t="str">
        <x:v>Independent Evidence and Data Authority</x:v>
      </x:c>
      <x:c r="I857" s="21" t="str">
        <x:v>OPEN</x:v>
      </x:c>
      <x:c r="J857" s="21" t="str">
        <x:v>HOLD</x:v>
      </x:c>
      <x:c r="K857" s="23" t="str">
        <x:v>what exact configuration produced the article must be accepted before downstream release</x:v>
      </x:c>
    </x:row>
    <x:row r="858">
      <x:c r="B858" s="21" t="str">
        <x:v>BL-00852</x:v>
      </x:c>
      <x:c r="C858" s="21" t="str">
        <x:v>F31-I2</x:v>
      </x:c>
      <x:c r="D858" s="21" t="str">
        <x:v>F31</x:v>
      </x:c>
      <x:c r="E858" s="21" t="str">
        <x:v>B4</x:v>
      </x:c>
      <x:c r="F858" s="21" t="str">
        <x:v>Trial</x:v>
      </x:c>
      <x:c r="G858" s="21" t="str">
        <x:v>0.0.0</x:v>
      </x:c>
      <x:c r="H858" s="21" t="str">
        <x:v>Independent Evidence and Data Authority</x:v>
      </x:c>
      <x:c r="I858" s="21" t="str">
        <x:v>OPEN</x:v>
      </x:c>
      <x:c r="J858" s="21" t="str">
        <x:v>HOLD</x:v>
      </x:c>
      <x:c r="K858" s="23" t="str">
        <x:v>what configuration method and damage world produced evidence must be accepted before downstream release</x:v>
      </x:c>
    </x:row>
    <x:row r="859">
      <x:c r="B859" s="21" t="str">
        <x:v>BL-00853</x:v>
      </x:c>
      <x:c r="C859" s="21" t="str">
        <x:v>F31-I2</x:v>
      </x:c>
      <x:c r="D859" s="21" t="str">
        <x:v>F31</x:v>
      </x:c>
      <x:c r="E859" s="21" t="str">
        <x:v>B5</x:v>
      </x:c>
      <x:c r="F859" s="21" t="str">
        <x:v>Production</x:v>
      </x:c>
      <x:c r="G859" s="21" t="str">
        <x:v>0.0.0</x:v>
      </x:c>
      <x:c r="H859" s="21" t="str">
        <x:v>Independent Evidence and Data Authority</x:v>
      </x:c>
      <x:c r="I859" s="21" t="str">
        <x:v>OPEN</x:v>
      </x:c>
      <x:c r="J859" s="21" t="str">
        <x:v>HOLD</x:v>
      </x:c>
      <x:c r="K859" s="23" t="str">
        <x:v>what process configuration and acceptance define serial output must be accepted before downstream release</x:v>
      </x:c>
    </x:row>
    <x:row r="860">
      <x:c r="B860" s="21" t="str">
        <x:v>BL-00854</x:v>
      </x:c>
      <x:c r="C860" s="21" t="str">
        <x:v>F31-I2</x:v>
      </x:c>
      <x:c r="D860" s="21" t="str">
        <x:v>F31</x:v>
      </x:c>
      <x:c r="E860" s="21" t="str">
        <x:v>B6</x:v>
      </x:c>
      <x:c r="F860" s="21" t="str">
        <x:v>Mobilization</x:v>
      </x:c>
      <x:c r="G860" s="21" t="str">
        <x:v>0.0.0</x:v>
      </x:c>
      <x:c r="H860" s="21" t="str">
        <x:v>Independent Evidence and Data Authority</x:v>
      </x:c>
      <x:c r="I860" s="21" t="str">
        <x:v>OPEN</x:v>
      </x:c>
      <x:c r="J860" s="21" t="str">
        <x:v>HOLD</x:v>
      </x:c>
      <x:c r="K860" s="23" t="str">
        <x:v>what people tools suppliers and routes reproduce conforming service must be accepted before downstream release</x:v>
      </x:c>
    </x:row>
    <x:row r="861">
      <x:c r="B861" s="21" t="str">
        <x:v>BL-00855</x:v>
      </x:c>
      <x:c r="C861" s="21" t="str">
        <x:v>F31-I3</x:v>
      </x:c>
      <x:c r="D861" s="21" t="str">
        <x:v>F31</x:v>
      </x:c>
      <x:c r="E861" s="21" t="str">
        <x:v>B0</x:v>
      </x:c>
      <x:c r="F861" s="21" t="str">
        <x:v>Effect</x:v>
      </x:c>
      <x:c r="G861" s="21" t="str">
        <x:v>0.0.0</x:v>
      </x:c>
      <x:c r="H861" s="21" t="str">
        <x:v>Independent Evidence and Data Authority</x:v>
      </x:c>
      <x:c r="I861" s="21" t="str">
        <x:v>OPEN</x:v>
      </x:c>
      <x:c r="J861" s="21" t="str">
        <x:v>HOLD</x:v>
      </x:c>
      <x:c r="K861" s="23" t="str">
        <x:v>what public condition must exist must be accepted before downstream release</x:v>
      </x:c>
    </x:row>
    <x:row r="862">
      <x:c r="B862" s="21" t="str">
        <x:v>BL-00856</x:v>
      </x:c>
      <x:c r="C862" s="21" t="str">
        <x:v>F31-I3</x:v>
      </x:c>
      <x:c r="D862" s="21" t="str">
        <x:v>F31</x:v>
      </x:c>
      <x:c r="E862" s="21" t="str">
        <x:v>B1</x:v>
      </x:c>
      <x:c r="F862" s="21" t="str">
        <x:v>Requirements</x:v>
      </x:c>
      <x:c r="G862" s="21" t="str">
        <x:v>0.0.0</x:v>
      </x:c>
      <x:c r="H862" s="21" t="str">
        <x:v>Independent Evidence and Data Authority</x:v>
      </x:c>
      <x:c r="I862" s="21" t="str">
        <x:v>OPEN</x:v>
      </x:c>
      <x:c r="J862" s="21" t="str">
        <x:v>HOLD</x:v>
      </x:c>
      <x:c r="K862" s="23" t="str">
        <x:v>what burdens and invalid states bound the effect must be accepted before downstream release</x:v>
      </x:c>
    </x:row>
    <x:row r="863">
      <x:c r="B863" s="21" t="str">
        <x:v>BL-00857</x:v>
      </x:c>
      <x:c r="C863" s="21" t="str">
        <x:v>F31-I3</x:v>
      </x:c>
      <x:c r="D863" s="21" t="str">
        <x:v>F31</x:v>
      </x:c>
      <x:c r="E863" s="21" t="str">
        <x:v>B2</x:v>
      </x:c>
      <x:c r="F863" s="21" t="str">
        <x:v>Architecture</x:v>
      </x:c>
      <x:c r="G863" s="21" t="str">
        <x:v>0.0.0</x:v>
      </x:c>
      <x:c r="H863" s="21" t="str">
        <x:v>Independent Evidence and Data Authority</x:v>
      </x:c>
      <x:c r="I863" s="21" t="str">
        <x:v>OPEN</x:v>
      </x:c>
      <x:c r="J863" s="21" t="str">
        <x:v>HOLD</x:v>
      </x:c>
      <x:c r="K863" s="23" t="str">
        <x:v>what interfaces and budgets govern the system must be accepted before downstream release</x:v>
      </x:c>
    </x:row>
    <x:row r="864">
      <x:c r="B864" s="21" t="str">
        <x:v>BL-00858</x:v>
      </x:c>
      <x:c r="C864" s="21" t="str">
        <x:v>F31-I3</x:v>
      </x:c>
      <x:c r="D864" s="21" t="str">
        <x:v>F31</x:v>
      </x:c>
      <x:c r="E864" s="21" t="str">
        <x:v>B3</x:v>
      </x:c>
      <x:c r="F864" s="21" t="str">
        <x:v>Build</x:v>
      </x:c>
      <x:c r="G864" s="21" t="str">
        <x:v>0.0.0</x:v>
      </x:c>
      <x:c r="H864" s="21" t="str">
        <x:v>Independent Evidence and Data Authority</x:v>
      </x:c>
      <x:c r="I864" s="21" t="str">
        <x:v>OPEN</x:v>
      </x:c>
      <x:c r="J864" s="21" t="str">
        <x:v>HOLD</x:v>
      </x:c>
      <x:c r="K864" s="23" t="str">
        <x:v>what exact configuration produced the article must be accepted before downstream release</x:v>
      </x:c>
    </x:row>
    <x:row r="865">
      <x:c r="B865" s="21" t="str">
        <x:v>BL-00859</x:v>
      </x:c>
      <x:c r="C865" s="21" t="str">
        <x:v>F31-I3</x:v>
      </x:c>
      <x:c r="D865" s="21" t="str">
        <x:v>F31</x:v>
      </x:c>
      <x:c r="E865" s="21" t="str">
        <x:v>B4</x:v>
      </x:c>
      <x:c r="F865" s="21" t="str">
        <x:v>Trial</x:v>
      </x:c>
      <x:c r="G865" s="21" t="str">
        <x:v>0.0.0</x:v>
      </x:c>
      <x:c r="H865" s="21" t="str">
        <x:v>Independent Evidence and Data Authority</x:v>
      </x:c>
      <x:c r="I865" s="21" t="str">
        <x:v>OPEN</x:v>
      </x:c>
      <x:c r="J865" s="21" t="str">
        <x:v>HOLD</x:v>
      </x:c>
      <x:c r="K865" s="23" t="str">
        <x:v>what configuration method and damage world produced evidence must be accepted before downstream release</x:v>
      </x:c>
    </x:row>
    <x:row r="866">
      <x:c r="B866" s="21" t="str">
        <x:v>BL-00860</x:v>
      </x:c>
      <x:c r="C866" s="21" t="str">
        <x:v>F31-I3</x:v>
      </x:c>
      <x:c r="D866" s="21" t="str">
        <x:v>F31</x:v>
      </x:c>
      <x:c r="E866" s="21" t="str">
        <x:v>B5</x:v>
      </x:c>
      <x:c r="F866" s="21" t="str">
        <x:v>Production</x:v>
      </x:c>
      <x:c r="G866" s="21" t="str">
        <x:v>0.0.0</x:v>
      </x:c>
      <x:c r="H866" s="21" t="str">
        <x:v>Independent Evidence and Data Authority</x:v>
      </x:c>
      <x:c r="I866" s="21" t="str">
        <x:v>OPEN</x:v>
      </x:c>
      <x:c r="J866" s="21" t="str">
        <x:v>HOLD</x:v>
      </x:c>
      <x:c r="K866" s="23" t="str">
        <x:v>what process configuration and acceptance define serial output must be accepted before downstream release</x:v>
      </x:c>
    </x:row>
    <x:row r="867">
      <x:c r="B867" s="21" t="str">
        <x:v>BL-00861</x:v>
      </x:c>
      <x:c r="C867" s="21" t="str">
        <x:v>F31-I3</x:v>
      </x:c>
      <x:c r="D867" s="21" t="str">
        <x:v>F31</x:v>
      </x:c>
      <x:c r="E867" s="21" t="str">
        <x:v>B6</x:v>
      </x:c>
      <x:c r="F867" s="21" t="str">
        <x:v>Mobilization</x:v>
      </x:c>
      <x:c r="G867" s="21" t="str">
        <x:v>0.0.0</x:v>
      </x:c>
      <x:c r="H867" s="21" t="str">
        <x:v>Independent Evidence and Data Authority</x:v>
      </x:c>
      <x:c r="I867" s="21" t="str">
        <x:v>OPEN</x:v>
      </x:c>
      <x:c r="J867" s="21" t="str">
        <x:v>HOLD</x:v>
      </x:c>
      <x:c r="K867" s="23" t="str">
        <x:v>what people tools suppliers and routes reproduce conforming service must be accepted before downstream release</x:v>
      </x:c>
    </x:row>
    <x:row r="868">
      <x:c r="B868" s="21" t="str">
        <x:v>BL-00862</x:v>
      </x:c>
      <x:c r="C868" s="21" t="str">
        <x:v>F31-I4</x:v>
      </x:c>
      <x:c r="D868" s="21" t="str">
        <x:v>F31</x:v>
      </x:c>
      <x:c r="E868" s="21" t="str">
        <x:v>B0</x:v>
      </x:c>
      <x:c r="F868" s="21" t="str">
        <x:v>Effect</x:v>
      </x:c>
      <x:c r="G868" s="21" t="str">
        <x:v>0.0.0</x:v>
      </x:c>
      <x:c r="H868" s="21" t="str">
        <x:v>Independent Evidence and Data Authority</x:v>
      </x:c>
      <x:c r="I868" s="21" t="str">
        <x:v>OPEN</x:v>
      </x:c>
      <x:c r="J868" s="21" t="str">
        <x:v>HOLD</x:v>
      </x:c>
      <x:c r="K868" s="23" t="str">
        <x:v>what public condition must exist must be accepted before downstream release</x:v>
      </x:c>
    </x:row>
    <x:row r="869">
      <x:c r="B869" s="21" t="str">
        <x:v>BL-00863</x:v>
      </x:c>
      <x:c r="C869" s="21" t="str">
        <x:v>F31-I4</x:v>
      </x:c>
      <x:c r="D869" s="21" t="str">
        <x:v>F31</x:v>
      </x:c>
      <x:c r="E869" s="21" t="str">
        <x:v>B1</x:v>
      </x:c>
      <x:c r="F869" s="21" t="str">
        <x:v>Requirements</x:v>
      </x:c>
      <x:c r="G869" s="21" t="str">
        <x:v>0.0.0</x:v>
      </x:c>
      <x:c r="H869" s="21" t="str">
        <x:v>Independent Evidence and Data Authority</x:v>
      </x:c>
      <x:c r="I869" s="21" t="str">
        <x:v>OPEN</x:v>
      </x:c>
      <x:c r="J869" s="21" t="str">
        <x:v>HOLD</x:v>
      </x:c>
      <x:c r="K869" s="23" t="str">
        <x:v>what burdens and invalid states bound the effect must be accepted before downstream release</x:v>
      </x:c>
    </x:row>
    <x:row r="870">
      <x:c r="B870" s="21" t="str">
        <x:v>BL-00864</x:v>
      </x:c>
      <x:c r="C870" s="21" t="str">
        <x:v>F31-I4</x:v>
      </x:c>
      <x:c r="D870" s="21" t="str">
        <x:v>F31</x:v>
      </x:c>
      <x:c r="E870" s="21" t="str">
        <x:v>B2</x:v>
      </x:c>
      <x:c r="F870" s="21" t="str">
        <x:v>Architecture</x:v>
      </x:c>
      <x:c r="G870" s="21" t="str">
        <x:v>0.0.0</x:v>
      </x:c>
      <x:c r="H870" s="21" t="str">
        <x:v>Independent Evidence and Data Authority</x:v>
      </x:c>
      <x:c r="I870" s="21" t="str">
        <x:v>OPEN</x:v>
      </x:c>
      <x:c r="J870" s="21" t="str">
        <x:v>HOLD</x:v>
      </x:c>
      <x:c r="K870" s="23" t="str">
        <x:v>what interfaces and budgets govern the system must be accepted before downstream release</x:v>
      </x:c>
    </x:row>
    <x:row r="871">
      <x:c r="B871" s="21" t="str">
        <x:v>BL-00865</x:v>
      </x:c>
      <x:c r="C871" s="21" t="str">
        <x:v>F31-I4</x:v>
      </x:c>
      <x:c r="D871" s="21" t="str">
        <x:v>F31</x:v>
      </x:c>
      <x:c r="E871" s="21" t="str">
        <x:v>B3</x:v>
      </x:c>
      <x:c r="F871" s="21" t="str">
        <x:v>Build</x:v>
      </x:c>
      <x:c r="G871" s="21" t="str">
        <x:v>0.0.0</x:v>
      </x:c>
      <x:c r="H871" s="21" t="str">
        <x:v>Independent Evidence and Data Authority</x:v>
      </x:c>
      <x:c r="I871" s="21" t="str">
        <x:v>OPEN</x:v>
      </x:c>
      <x:c r="J871" s="21" t="str">
        <x:v>HOLD</x:v>
      </x:c>
      <x:c r="K871" s="23" t="str">
        <x:v>what exact configuration produced the article must be accepted before downstream release</x:v>
      </x:c>
    </x:row>
    <x:row r="872">
      <x:c r="B872" s="21" t="str">
        <x:v>BL-00866</x:v>
      </x:c>
      <x:c r="C872" s="21" t="str">
        <x:v>F31-I4</x:v>
      </x:c>
      <x:c r="D872" s="21" t="str">
        <x:v>F31</x:v>
      </x:c>
      <x:c r="E872" s="21" t="str">
        <x:v>B4</x:v>
      </x:c>
      <x:c r="F872" s="21" t="str">
        <x:v>Trial</x:v>
      </x:c>
      <x:c r="G872" s="21" t="str">
        <x:v>0.0.0</x:v>
      </x:c>
      <x:c r="H872" s="21" t="str">
        <x:v>Independent Evidence and Data Authority</x:v>
      </x:c>
      <x:c r="I872" s="21" t="str">
        <x:v>OPEN</x:v>
      </x:c>
      <x:c r="J872" s="21" t="str">
        <x:v>HOLD</x:v>
      </x:c>
      <x:c r="K872" s="23" t="str">
        <x:v>what configuration method and damage world produced evidence must be accepted before downstream release</x:v>
      </x:c>
    </x:row>
    <x:row r="873">
      <x:c r="B873" s="21" t="str">
        <x:v>BL-00867</x:v>
      </x:c>
      <x:c r="C873" s="21" t="str">
        <x:v>F31-I4</x:v>
      </x:c>
      <x:c r="D873" s="21" t="str">
        <x:v>F31</x:v>
      </x:c>
      <x:c r="E873" s="21" t="str">
        <x:v>B5</x:v>
      </x:c>
      <x:c r="F873" s="21" t="str">
        <x:v>Production</x:v>
      </x:c>
      <x:c r="G873" s="21" t="str">
        <x:v>0.0.0</x:v>
      </x:c>
      <x:c r="H873" s="21" t="str">
        <x:v>Independent Evidence and Data Authority</x:v>
      </x:c>
      <x:c r="I873" s="21" t="str">
        <x:v>OPEN</x:v>
      </x:c>
      <x:c r="J873" s="21" t="str">
        <x:v>HOLD</x:v>
      </x:c>
      <x:c r="K873" s="23" t="str">
        <x:v>what process configuration and acceptance define serial output must be accepted before downstream release</x:v>
      </x:c>
    </x:row>
    <x:row r="874">
      <x:c r="B874" s="21" t="str">
        <x:v>BL-00868</x:v>
      </x:c>
      <x:c r="C874" s="21" t="str">
        <x:v>F31-I4</x:v>
      </x:c>
      <x:c r="D874" s="21" t="str">
        <x:v>F31</x:v>
      </x:c>
      <x:c r="E874" s="21" t="str">
        <x:v>B6</x:v>
      </x:c>
      <x:c r="F874" s="21" t="str">
        <x:v>Mobilization</x:v>
      </x:c>
      <x:c r="G874" s="21" t="str">
        <x:v>0.0.0</x:v>
      </x:c>
      <x:c r="H874" s="21" t="str">
        <x:v>Independent Evidence and Data Authority</x:v>
      </x:c>
      <x:c r="I874" s="21" t="str">
        <x:v>OPEN</x:v>
      </x:c>
      <x:c r="J874" s="21" t="str">
        <x:v>HOLD</x:v>
      </x:c>
      <x:c r="K874" s="23" t="str">
        <x:v>what people tools suppliers and routes reproduce conforming service must be accepted before downstream release</x:v>
      </x:c>
    </x:row>
    <x:row r="875">
      <x:c r="B875" s="21" t="str">
        <x:v>BL-00869</x:v>
      </x:c>
      <x:c r="C875" s="21" t="str">
        <x:v>F32-I1</x:v>
      </x:c>
      <x:c r="D875" s="21" t="str">
        <x:v>F32</x:v>
      </x:c>
      <x:c r="E875" s="21" t="str">
        <x:v>B0</x:v>
      </x:c>
      <x:c r="F875" s="21" t="str">
        <x:v>Effect</x:v>
      </x:c>
      <x:c r="G875" s="21" t="str">
        <x:v>0.0.0</x:v>
      </x:c>
      <x:c r="H875" s="21" t="str">
        <x:v>Independent Evidence and Data Authority</x:v>
      </x:c>
      <x:c r="I875" s="21" t="str">
        <x:v>OPEN</x:v>
      </x:c>
      <x:c r="J875" s="21" t="str">
        <x:v>HOLD</x:v>
      </x:c>
      <x:c r="K875" s="23" t="str">
        <x:v>what public condition must exist must be accepted before downstream release</x:v>
      </x:c>
    </x:row>
    <x:row r="876">
      <x:c r="B876" s="21" t="str">
        <x:v>BL-00870</x:v>
      </x:c>
      <x:c r="C876" s="21" t="str">
        <x:v>F32-I1</x:v>
      </x:c>
      <x:c r="D876" s="21" t="str">
        <x:v>F32</x:v>
      </x:c>
      <x:c r="E876" s="21" t="str">
        <x:v>B1</x:v>
      </x:c>
      <x:c r="F876" s="21" t="str">
        <x:v>Requirements</x:v>
      </x:c>
      <x:c r="G876" s="21" t="str">
        <x:v>0.0.0</x:v>
      </x:c>
      <x:c r="H876" s="21" t="str">
        <x:v>Independent Evidence and Data Authority</x:v>
      </x:c>
      <x:c r="I876" s="21" t="str">
        <x:v>OPEN</x:v>
      </x:c>
      <x:c r="J876" s="21" t="str">
        <x:v>HOLD</x:v>
      </x:c>
      <x:c r="K876" s="23" t="str">
        <x:v>what burdens and invalid states bound the effect must be accepted before downstream release</x:v>
      </x:c>
    </x:row>
    <x:row r="877">
      <x:c r="B877" s="21" t="str">
        <x:v>BL-00871</x:v>
      </x:c>
      <x:c r="C877" s="21" t="str">
        <x:v>F32-I1</x:v>
      </x:c>
      <x:c r="D877" s="21" t="str">
        <x:v>F32</x:v>
      </x:c>
      <x:c r="E877" s="21" t="str">
        <x:v>B2</x:v>
      </x:c>
      <x:c r="F877" s="21" t="str">
        <x:v>Architecture</x:v>
      </x:c>
      <x:c r="G877" s="21" t="str">
        <x:v>0.0.0</x:v>
      </x:c>
      <x:c r="H877" s="21" t="str">
        <x:v>Independent Evidence and Data Authority</x:v>
      </x:c>
      <x:c r="I877" s="21" t="str">
        <x:v>OPEN</x:v>
      </x:c>
      <x:c r="J877" s="21" t="str">
        <x:v>HOLD</x:v>
      </x:c>
      <x:c r="K877" s="23" t="str">
        <x:v>what interfaces and budgets govern the system must be accepted before downstream release</x:v>
      </x:c>
    </x:row>
    <x:row r="878">
      <x:c r="B878" s="21" t="str">
        <x:v>BL-00872</x:v>
      </x:c>
      <x:c r="C878" s="21" t="str">
        <x:v>F32-I1</x:v>
      </x:c>
      <x:c r="D878" s="21" t="str">
        <x:v>F32</x:v>
      </x:c>
      <x:c r="E878" s="21" t="str">
        <x:v>B3</x:v>
      </x:c>
      <x:c r="F878" s="21" t="str">
        <x:v>Build</x:v>
      </x:c>
      <x:c r="G878" s="21" t="str">
        <x:v>0.0.0</x:v>
      </x:c>
      <x:c r="H878" s="21" t="str">
        <x:v>Independent Evidence and Data Authority</x:v>
      </x:c>
      <x:c r="I878" s="21" t="str">
        <x:v>OPEN</x:v>
      </x:c>
      <x:c r="J878" s="21" t="str">
        <x:v>HOLD</x:v>
      </x:c>
      <x:c r="K878" s="23" t="str">
        <x:v>what exact configuration produced the article must be accepted before downstream release</x:v>
      </x:c>
    </x:row>
    <x:row r="879">
      <x:c r="B879" s="21" t="str">
        <x:v>BL-00873</x:v>
      </x:c>
      <x:c r="C879" s="21" t="str">
        <x:v>F32-I1</x:v>
      </x:c>
      <x:c r="D879" s="21" t="str">
        <x:v>F32</x:v>
      </x:c>
      <x:c r="E879" s="21" t="str">
        <x:v>B4</x:v>
      </x:c>
      <x:c r="F879" s="21" t="str">
        <x:v>Trial</x:v>
      </x:c>
      <x:c r="G879" s="21" t="str">
        <x:v>0.0.0</x:v>
      </x:c>
      <x:c r="H879" s="21" t="str">
        <x:v>Independent Evidence and Data Authority</x:v>
      </x:c>
      <x:c r="I879" s="21" t="str">
        <x:v>OPEN</x:v>
      </x:c>
      <x:c r="J879" s="21" t="str">
        <x:v>HOLD</x:v>
      </x:c>
      <x:c r="K879" s="23" t="str">
        <x:v>what configuration method and damage world produced evidence must be accepted before downstream release</x:v>
      </x:c>
    </x:row>
    <x:row r="880">
      <x:c r="B880" s="21" t="str">
        <x:v>BL-00874</x:v>
      </x:c>
      <x:c r="C880" s="21" t="str">
        <x:v>F32-I1</x:v>
      </x:c>
      <x:c r="D880" s="21" t="str">
        <x:v>F32</x:v>
      </x:c>
      <x:c r="E880" s="21" t="str">
        <x:v>B5</x:v>
      </x:c>
      <x:c r="F880" s="21" t="str">
        <x:v>Production</x:v>
      </x:c>
      <x:c r="G880" s="21" t="str">
        <x:v>0.0.0</x:v>
      </x:c>
      <x:c r="H880" s="21" t="str">
        <x:v>Independent Evidence and Data Authority</x:v>
      </x:c>
      <x:c r="I880" s="21" t="str">
        <x:v>OPEN</x:v>
      </x:c>
      <x:c r="J880" s="21" t="str">
        <x:v>HOLD</x:v>
      </x:c>
      <x:c r="K880" s="23" t="str">
        <x:v>what process configuration and acceptance define serial output must be accepted before downstream release</x:v>
      </x:c>
    </x:row>
    <x:row r="881">
      <x:c r="B881" s="21" t="str">
        <x:v>BL-00875</x:v>
      </x:c>
      <x:c r="C881" s="21" t="str">
        <x:v>F32-I1</x:v>
      </x:c>
      <x:c r="D881" s="21" t="str">
        <x:v>F32</x:v>
      </x:c>
      <x:c r="E881" s="21" t="str">
        <x:v>B6</x:v>
      </x:c>
      <x:c r="F881" s="21" t="str">
        <x:v>Mobilization</x:v>
      </x:c>
      <x:c r="G881" s="21" t="str">
        <x:v>0.0.0</x:v>
      </x:c>
      <x:c r="H881" s="21" t="str">
        <x:v>Independent Evidence and Data Authority</x:v>
      </x:c>
      <x:c r="I881" s="21" t="str">
        <x:v>OPEN</x:v>
      </x:c>
      <x:c r="J881" s="21" t="str">
        <x:v>HOLD</x:v>
      </x:c>
      <x:c r="K881" s="23" t="str">
        <x:v>what people tools suppliers and routes reproduce conforming service must be accepted before downstream release</x:v>
      </x:c>
    </x:row>
    <x:row r="882">
      <x:c r="B882" s="21" t="str">
        <x:v>BL-00876</x:v>
      </x:c>
      <x:c r="C882" s="21" t="str">
        <x:v>F32-I2</x:v>
      </x:c>
      <x:c r="D882" s="21" t="str">
        <x:v>F32</x:v>
      </x:c>
      <x:c r="E882" s="21" t="str">
        <x:v>B0</x:v>
      </x:c>
      <x:c r="F882" s="21" t="str">
        <x:v>Effect</x:v>
      </x:c>
      <x:c r="G882" s="21" t="str">
        <x:v>0.0.0</x:v>
      </x:c>
      <x:c r="H882" s="21" t="str">
        <x:v>Independent Evidence and Data Authority</x:v>
      </x:c>
      <x:c r="I882" s="21" t="str">
        <x:v>OPEN</x:v>
      </x:c>
      <x:c r="J882" s="21" t="str">
        <x:v>HOLD</x:v>
      </x:c>
      <x:c r="K882" s="23" t="str">
        <x:v>what public condition must exist must be accepted before downstream release</x:v>
      </x:c>
    </x:row>
    <x:row r="883">
      <x:c r="B883" s="21" t="str">
        <x:v>BL-00877</x:v>
      </x:c>
      <x:c r="C883" s="21" t="str">
        <x:v>F32-I2</x:v>
      </x:c>
      <x:c r="D883" s="21" t="str">
        <x:v>F32</x:v>
      </x:c>
      <x:c r="E883" s="21" t="str">
        <x:v>B1</x:v>
      </x:c>
      <x:c r="F883" s="21" t="str">
        <x:v>Requirements</x:v>
      </x:c>
      <x:c r="G883" s="21" t="str">
        <x:v>0.0.0</x:v>
      </x:c>
      <x:c r="H883" s="21" t="str">
        <x:v>Independent Evidence and Data Authority</x:v>
      </x:c>
      <x:c r="I883" s="21" t="str">
        <x:v>OPEN</x:v>
      </x:c>
      <x:c r="J883" s="21" t="str">
        <x:v>HOLD</x:v>
      </x:c>
      <x:c r="K883" s="23" t="str">
        <x:v>what burdens and invalid states bound the effect must be accepted before downstream release</x:v>
      </x:c>
    </x:row>
    <x:row r="884">
      <x:c r="B884" s="21" t="str">
        <x:v>BL-00878</x:v>
      </x:c>
      <x:c r="C884" s="21" t="str">
        <x:v>F32-I2</x:v>
      </x:c>
      <x:c r="D884" s="21" t="str">
        <x:v>F32</x:v>
      </x:c>
      <x:c r="E884" s="21" t="str">
        <x:v>B2</x:v>
      </x:c>
      <x:c r="F884" s="21" t="str">
        <x:v>Architecture</x:v>
      </x:c>
      <x:c r="G884" s="21" t="str">
        <x:v>0.0.0</x:v>
      </x:c>
      <x:c r="H884" s="21" t="str">
        <x:v>Independent Evidence and Data Authority</x:v>
      </x:c>
      <x:c r="I884" s="21" t="str">
        <x:v>OPEN</x:v>
      </x:c>
      <x:c r="J884" s="21" t="str">
        <x:v>HOLD</x:v>
      </x:c>
      <x:c r="K884" s="23" t="str">
        <x:v>what interfaces and budgets govern the system must be accepted before downstream release</x:v>
      </x:c>
    </x:row>
    <x:row r="885">
      <x:c r="B885" s="21" t="str">
        <x:v>BL-00879</x:v>
      </x:c>
      <x:c r="C885" s="21" t="str">
        <x:v>F32-I2</x:v>
      </x:c>
      <x:c r="D885" s="21" t="str">
        <x:v>F32</x:v>
      </x:c>
      <x:c r="E885" s="21" t="str">
        <x:v>B3</x:v>
      </x:c>
      <x:c r="F885" s="21" t="str">
        <x:v>Build</x:v>
      </x:c>
      <x:c r="G885" s="21" t="str">
        <x:v>0.0.0</x:v>
      </x:c>
      <x:c r="H885" s="21" t="str">
        <x:v>Independent Evidence and Data Authority</x:v>
      </x:c>
      <x:c r="I885" s="21" t="str">
        <x:v>OPEN</x:v>
      </x:c>
      <x:c r="J885" s="21" t="str">
        <x:v>HOLD</x:v>
      </x:c>
      <x:c r="K885" s="23" t="str">
        <x:v>what exact configuration produced the article must be accepted before downstream release</x:v>
      </x:c>
    </x:row>
    <x:row r="886">
      <x:c r="B886" s="21" t="str">
        <x:v>BL-00880</x:v>
      </x:c>
      <x:c r="C886" s="21" t="str">
        <x:v>F32-I2</x:v>
      </x:c>
      <x:c r="D886" s="21" t="str">
        <x:v>F32</x:v>
      </x:c>
      <x:c r="E886" s="21" t="str">
        <x:v>B4</x:v>
      </x:c>
      <x:c r="F886" s="21" t="str">
        <x:v>Trial</x:v>
      </x:c>
      <x:c r="G886" s="21" t="str">
        <x:v>0.0.0</x:v>
      </x:c>
      <x:c r="H886" s="21" t="str">
        <x:v>Independent Evidence and Data Authority</x:v>
      </x:c>
      <x:c r="I886" s="21" t="str">
        <x:v>OPEN</x:v>
      </x:c>
      <x:c r="J886" s="21" t="str">
        <x:v>HOLD</x:v>
      </x:c>
      <x:c r="K886" s="23" t="str">
        <x:v>what configuration method and damage world produced evidence must be accepted before downstream release</x:v>
      </x:c>
    </x:row>
    <x:row r="887">
      <x:c r="B887" s="21" t="str">
        <x:v>BL-00881</x:v>
      </x:c>
      <x:c r="C887" s="21" t="str">
        <x:v>F32-I2</x:v>
      </x:c>
      <x:c r="D887" s="21" t="str">
        <x:v>F32</x:v>
      </x:c>
      <x:c r="E887" s="21" t="str">
        <x:v>B5</x:v>
      </x:c>
      <x:c r="F887" s="21" t="str">
        <x:v>Production</x:v>
      </x:c>
      <x:c r="G887" s="21" t="str">
        <x:v>0.0.0</x:v>
      </x:c>
      <x:c r="H887" s="21" t="str">
        <x:v>Independent Evidence and Data Authority</x:v>
      </x:c>
      <x:c r="I887" s="21" t="str">
        <x:v>OPEN</x:v>
      </x:c>
      <x:c r="J887" s="21" t="str">
        <x:v>HOLD</x:v>
      </x:c>
      <x:c r="K887" s="23" t="str">
        <x:v>what process configuration and acceptance define serial output must be accepted before downstream release</x:v>
      </x:c>
    </x:row>
    <x:row r="888">
      <x:c r="B888" s="21" t="str">
        <x:v>BL-00882</x:v>
      </x:c>
      <x:c r="C888" s="21" t="str">
        <x:v>F32-I2</x:v>
      </x:c>
      <x:c r="D888" s="21" t="str">
        <x:v>F32</x:v>
      </x:c>
      <x:c r="E888" s="21" t="str">
        <x:v>B6</x:v>
      </x:c>
      <x:c r="F888" s="21" t="str">
        <x:v>Mobilization</x:v>
      </x:c>
      <x:c r="G888" s="21" t="str">
        <x:v>0.0.0</x:v>
      </x:c>
      <x:c r="H888" s="21" t="str">
        <x:v>Independent Evidence and Data Authority</x:v>
      </x:c>
      <x:c r="I888" s="21" t="str">
        <x:v>OPEN</x:v>
      </x:c>
      <x:c r="J888" s="21" t="str">
        <x:v>HOLD</x:v>
      </x:c>
      <x:c r="K888" s="23" t="str">
        <x:v>what people tools suppliers and routes reproduce conforming service must be accepted before downstream release</x:v>
      </x:c>
    </x:row>
    <x:row r="889">
      <x:c r="B889" s="21" t="str">
        <x:v>BL-00883</x:v>
      </x:c>
      <x:c r="C889" s="21" t="str">
        <x:v>F32-I3</x:v>
      </x:c>
      <x:c r="D889" s="21" t="str">
        <x:v>F32</x:v>
      </x:c>
      <x:c r="E889" s="21" t="str">
        <x:v>B0</x:v>
      </x:c>
      <x:c r="F889" s="21" t="str">
        <x:v>Effect</x:v>
      </x:c>
      <x:c r="G889" s="21" t="str">
        <x:v>0.0.0</x:v>
      </x:c>
      <x:c r="H889" s="21" t="str">
        <x:v>Independent Evidence and Data Authority</x:v>
      </x:c>
      <x:c r="I889" s="21" t="str">
        <x:v>OPEN</x:v>
      </x:c>
      <x:c r="J889" s="21" t="str">
        <x:v>HOLD</x:v>
      </x:c>
      <x:c r="K889" s="23" t="str">
        <x:v>what public condition must exist must be accepted before downstream release</x:v>
      </x:c>
    </x:row>
    <x:row r="890">
      <x:c r="B890" s="21" t="str">
        <x:v>BL-00884</x:v>
      </x:c>
      <x:c r="C890" s="21" t="str">
        <x:v>F32-I3</x:v>
      </x:c>
      <x:c r="D890" s="21" t="str">
        <x:v>F32</x:v>
      </x:c>
      <x:c r="E890" s="21" t="str">
        <x:v>B1</x:v>
      </x:c>
      <x:c r="F890" s="21" t="str">
        <x:v>Requirements</x:v>
      </x:c>
      <x:c r="G890" s="21" t="str">
        <x:v>0.0.0</x:v>
      </x:c>
      <x:c r="H890" s="21" t="str">
        <x:v>Independent Evidence and Data Authority</x:v>
      </x:c>
      <x:c r="I890" s="21" t="str">
        <x:v>OPEN</x:v>
      </x:c>
      <x:c r="J890" s="21" t="str">
        <x:v>HOLD</x:v>
      </x:c>
      <x:c r="K890" s="23" t="str">
        <x:v>what burdens and invalid states bound the effect must be accepted before downstream release</x:v>
      </x:c>
    </x:row>
    <x:row r="891">
      <x:c r="B891" s="21" t="str">
        <x:v>BL-00885</x:v>
      </x:c>
      <x:c r="C891" s="21" t="str">
        <x:v>F32-I3</x:v>
      </x:c>
      <x:c r="D891" s="21" t="str">
        <x:v>F32</x:v>
      </x:c>
      <x:c r="E891" s="21" t="str">
        <x:v>B2</x:v>
      </x:c>
      <x:c r="F891" s="21" t="str">
        <x:v>Architecture</x:v>
      </x:c>
      <x:c r="G891" s="21" t="str">
        <x:v>0.0.0</x:v>
      </x:c>
      <x:c r="H891" s="21" t="str">
        <x:v>Independent Evidence and Data Authority</x:v>
      </x:c>
      <x:c r="I891" s="21" t="str">
        <x:v>OPEN</x:v>
      </x:c>
      <x:c r="J891" s="21" t="str">
        <x:v>HOLD</x:v>
      </x:c>
      <x:c r="K891" s="23" t="str">
        <x:v>what interfaces and budgets govern the system must be accepted before downstream release</x:v>
      </x:c>
    </x:row>
    <x:row r="892">
      <x:c r="B892" s="21" t="str">
        <x:v>BL-00886</x:v>
      </x:c>
      <x:c r="C892" s="21" t="str">
        <x:v>F32-I3</x:v>
      </x:c>
      <x:c r="D892" s="21" t="str">
        <x:v>F32</x:v>
      </x:c>
      <x:c r="E892" s="21" t="str">
        <x:v>B3</x:v>
      </x:c>
      <x:c r="F892" s="21" t="str">
        <x:v>Build</x:v>
      </x:c>
      <x:c r="G892" s="21" t="str">
        <x:v>0.0.0</x:v>
      </x:c>
      <x:c r="H892" s="21" t="str">
        <x:v>Independent Evidence and Data Authority</x:v>
      </x:c>
      <x:c r="I892" s="21" t="str">
        <x:v>OPEN</x:v>
      </x:c>
      <x:c r="J892" s="21" t="str">
        <x:v>HOLD</x:v>
      </x:c>
      <x:c r="K892" s="23" t="str">
        <x:v>what exact configuration produced the article must be accepted before downstream release</x:v>
      </x:c>
    </x:row>
    <x:row r="893">
      <x:c r="B893" s="21" t="str">
        <x:v>BL-00887</x:v>
      </x:c>
      <x:c r="C893" s="21" t="str">
        <x:v>F32-I3</x:v>
      </x:c>
      <x:c r="D893" s="21" t="str">
        <x:v>F32</x:v>
      </x:c>
      <x:c r="E893" s="21" t="str">
        <x:v>B4</x:v>
      </x:c>
      <x:c r="F893" s="21" t="str">
        <x:v>Trial</x:v>
      </x:c>
      <x:c r="G893" s="21" t="str">
        <x:v>0.0.0</x:v>
      </x:c>
      <x:c r="H893" s="21" t="str">
        <x:v>Independent Evidence and Data Authority</x:v>
      </x:c>
      <x:c r="I893" s="21" t="str">
        <x:v>OPEN</x:v>
      </x:c>
      <x:c r="J893" s="21" t="str">
        <x:v>HOLD</x:v>
      </x:c>
      <x:c r="K893" s="23" t="str">
        <x:v>what configuration method and damage world produced evidence must be accepted before downstream release</x:v>
      </x:c>
    </x:row>
    <x:row r="894">
      <x:c r="B894" s="21" t="str">
        <x:v>BL-00888</x:v>
      </x:c>
      <x:c r="C894" s="21" t="str">
        <x:v>F32-I3</x:v>
      </x:c>
      <x:c r="D894" s="21" t="str">
        <x:v>F32</x:v>
      </x:c>
      <x:c r="E894" s="21" t="str">
        <x:v>B5</x:v>
      </x:c>
      <x:c r="F894" s="21" t="str">
        <x:v>Production</x:v>
      </x:c>
      <x:c r="G894" s="21" t="str">
        <x:v>0.0.0</x:v>
      </x:c>
      <x:c r="H894" s="21" t="str">
        <x:v>Independent Evidence and Data Authority</x:v>
      </x:c>
      <x:c r="I894" s="21" t="str">
        <x:v>OPEN</x:v>
      </x:c>
      <x:c r="J894" s="21" t="str">
        <x:v>HOLD</x:v>
      </x:c>
      <x:c r="K894" s="23" t="str">
        <x:v>what process configuration and acceptance define serial output must be accepted before downstream release</x:v>
      </x:c>
    </x:row>
    <x:row r="895">
      <x:c r="B895" s="21" t="str">
        <x:v>BL-00889</x:v>
      </x:c>
      <x:c r="C895" s="21" t="str">
        <x:v>F32-I3</x:v>
      </x:c>
      <x:c r="D895" s="21" t="str">
        <x:v>F32</x:v>
      </x:c>
      <x:c r="E895" s="21" t="str">
        <x:v>B6</x:v>
      </x:c>
      <x:c r="F895" s="21" t="str">
        <x:v>Mobilization</x:v>
      </x:c>
      <x:c r="G895" s="21" t="str">
        <x:v>0.0.0</x:v>
      </x:c>
      <x:c r="H895" s="21" t="str">
        <x:v>Independent Evidence and Data Authority</x:v>
      </x:c>
      <x:c r="I895" s="21" t="str">
        <x:v>OPEN</x:v>
      </x:c>
      <x:c r="J895" s="21" t="str">
        <x:v>HOLD</x:v>
      </x:c>
      <x:c r="K895" s="23" t="str">
        <x:v>what people tools suppliers and routes reproduce conforming service must be accepted before downstream release</x:v>
      </x:c>
    </x:row>
    <x:row r="896">
      <x:c r="B896" s="21" t="str">
        <x:v>BL-00890</x:v>
      </x:c>
      <x:c r="C896" s="21" t="str">
        <x:v>F32-I4</x:v>
      </x:c>
      <x:c r="D896" s="21" t="str">
        <x:v>F32</x:v>
      </x:c>
      <x:c r="E896" s="21" t="str">
        <x:v>B0</x:v>
      </x:c>
      <x:c r="F896" s="21" t="str">
        <x:v>Effect</x:v>
      </x:c>
      <x:c r="G896" s="21" t="str">
        <x:v>0.0.0</x:v>
      </x:c>
      <x:c r="H896" s="21" t="str">
        <x:v>Independent Evidence and Data Authority</x:v>
      </x:c>
      <x:c r="I896" s="21" t="str">
        <x:v>OPEN</x:v>
      </x:c>
      <x:c r="J896" s="21" t="str">
        <x:v>HOLD</x:v>
      </x:c>
      <x:c r="K896" s="23" t="str">
        <x:v>what public condition must exist must be accepted before downstream release</x:v>
      </x:c>
    </x:row>
    <x:row r="897">
      <x:c r="B897" s="21" t="str">
        <x:v>BL-00891</x:v>
      </x:c>
      <x:c r="C897" s="21" t="str">
        <x:v>F32-I4</x:v>
      </x:c>
      <x:c r="D897" s="21" t="str">
        <x:v>F32</x:v>
      </x:c>
      <x:c r="E897" s="21" t="str">
        <x:v>B1</x:v>
      </x:c>
      <x:c r="F897" s="21" t="str">
        <x:v>Requirements</x:v>
      </x:c>
      <x:c r="G897" s="21" t="str">
        <x:v>0.0.0</x:v>
      </x:c>
      <x:c r="H897" s="21" t="str">
        <x:v>Independent Evidence and Data Authority</x:v>
      </x:c>
      <x:c r="I897" s="21" t="str">
        <x:v>OPEN</x:v>
      </x:c>
      <x:c r="J897" s="21" t="str">
        <x:v>HOLD</x:v>
      </x:c>
      <x:c r="K897" s="23" t="str">
        <x:v>what burdens and invalid states bound the effect must be accepted before downstream release</x:v>
      </x:c>
    </x:row>
    <x:row r="898">
      <x:c r="B898" s="21" t="str">
        <x:v>BL-00892</x:v>
      </x:c>
      <x:c r="C898" s="21" t="str">
        <x:v>F32-I4</x:v>
      </x:c>
      <x:c r="D898" s="21" t="str">
        <x:v>F32</x:v>
      </x:c>
      <x:c r="E898" s="21" t="str">
        <x:v>B2</x:v>
      </x:c>
      <x:c r="F898" s="21" t="str">
        <x:v>Architecture</x:v>
      </x:c>
      <x:c r="G898" s="21" t="str">
        <x:v>0.0.0</x:v>
      </x:c>
      <x:c r="H898" s="21" t="str">
        <x:v>Independent Evidence and Data Authority</x:v>
      </x:c>
      <x:c r="I898" s="21" t="str">
        <x:v>OPEN</x:v>
      </x:c>
      <x:c r="J898" s="21" t="str">
        <x:v>HOLD</x:v>
      </x:c>
      <x:c r="K898" s="23" t="str">
        <x:v>what interfaces and budgets govern the system must be accepted before downstream release</x:v>
      </x:c>
    </x:row>
    <x:row r="899">
      <x:c r="B899" s="21" t="str">
        <x:v>BL-00893</x:v>
      </x:c>
      <x:c r="C899" s="21" t="str">
        <x:v>F32-I4</x:v>
      </x:c>
      <x:c r="D899" s="21" t="str">
        <x:v>F32</x:v>
      </x:c>
      <x:c r="E899" s="21" t="str">
        <x:v>B3</x:v>
      </x:c>
      <x:c r="F899" s="21" t="str">
        <x:v>Build</x:v>
      </x:c>
      <x:c r="G899" s="21" t="str">
        <x:v>0.0.0</x:v>
      </x:c>
      <x:c r="H899" s="21" t="str">
        <x:v>Independent Evidence and Data Authority</x:v>
      </x:c>
      <x:c r="I899" s="21" t="str">
        <x:v>OPEN</x:v>
      </x:c>
      <x:c r="J899" s="21" t="str">
        <x:v>HOLD</x:v>
      </x:c>
      <x:c r="K899" s="23" t="str">
        <x:v>what exact configuration produced the article must be accepted before downstream release</x:v>
      </x:c>
    </x:row>
    <x:row r="900">
      <x:c r="B900" s="21" t="str">
        <x:v>BL-00894</x:v>
      </x:c>
      <x:c r="C900" s="21" t="str">
        <x:v>F32-I4</x:v>
      </x:c>
      <x:c r="D900" s="21" t="str">
        <x:v>F32</x:v>
      </x:c>
      <x:c r="E900" s="21" t="str">
        <x:v>B4</x:v>
      </x:c>
      <x:c r="F900" s="21" t="str">
        <x:v>Trial</x:v>
      </x:c>
      <x:c r="G900" s="21" t="str">
        <x:v>0.0.0</x:v>
      </x:c>
      <x:c r="H900" s="21" t="str">
        <x:v>Independent Evidence and Data Authority</x:v>
      </x:c>
      <x:c r="I900" s="21" t="str">
        <x:v>OPEN</x:v>
      </x:c>
      <x:c r="J900" s="21" t="str">
        <x:v>HOLD</x:v>
      </x:c>
      <x:c r="K900" s="23" t="str">
        <x:v>what configuration method and damage world produced evidence must be accepted before downstream release</x:v>
      </x:c>
    </x:row>
    <x:row r="901">
      <x:c r="B901" s="21" t="str">
        <x:v>BL-00895</x:v>
      </x:c>
      <x:c r="C901" s="21" t="str">
        <x:v>F32-I4</x:v>
      </x:c>
      <x:c r="D901" s="21" t="str">
        <x:v>F32</x:v>
      </x:c>
      <x:c r="E901" s="21" t="str">
        <x:v>B5</x:v>
      </x:c>
      <x:c r="F901" s="21" t="str">
        <x:v>Production</x:v>
      </x:c>
      <x:c r="G901" s="21" t="str">
        <x:v>0.0.0</x:v>
      </x:c>
      <x:c r="H901" s="21" t="str">
        <x:v>Independent Evidence and Data Authority</x:v>
      </x:c>
      <x:c r="I901" s="21" t="str">
        <x:v>OPEN</x:v>
      </x:c>
      <x:c r="J901" s="21" t="str">
        <x:v>HOLD</x:v>
      </x:c>
      <x:c r="K901" s="23" t="str">
        <x:v>what process configuration and acceptance define serial output must be accepted before downstream release</x:v>
      </x:c>
    </x:row>
    <x:row r="902">
      <x:c r="B902" s="21" t="str">
        <x:v>BL-00896</x:v>
      </x:c>
      <x:c r="C902" s="21" t="str">
        <x:v>F32-I4</x:v>
      </x:c>
      <x:c r="D902" s="21" t="str">
        <x:v>F32</x:v>
      </x:c>
      <x:c r="E902" s="21" t="str">
        <x:v>B6</x:v>
      </x:c>
      <x:c r="F902" s="21" t="str">
        <x:v>Mobilization</x:v>
      </x:c>
      <x:c r="G902" s="21" t="str">
        <x:v>0.0.0</x:v>
      </x:c>
      <x:c r="H902" s="21" t="str">
        <x:v>Independent Evidence and Data Authority</x:v>
      </x:c>
      <x:c r="I902" s="21" t="str">
        <x:v>OPEN</x:v>
      </x:c>
      <x:c r="J902" s="21" t="str">
        <x:v>HOLD</x:v>
      </x:c>
      <x:c r="K902" s="23" t="str">
        <x:v>what people tools suppliers and routes reproduce conforming service must be accepted before downstream release</x:v>
      </x:c>
    </x:row>
    <x:row r="903">
      <x:c r="B903" s="21" t="str">
        <x:v>BL-00897</x:v>
      </x:c>
      <x:c r="C903" s="21" t="str">
        <x:v>F33-I1</x:v>
      </x:c>
      <x:c r="D903" s="21" t="str">
        <x:v>F33</x:v>
      </x:c>
      <x:c r="E903" s="21" t="str">
        <x:v>B0</x:v>
      </x:c>
      <x:c r="F903" s="21" t="str">
        <x:v>Effect</x:v>
      </x:c>
      <x:c r="G903" s="21" t="str">
        <x:v>0.0.0</x:v>
      </x:c>
      <x:c r="H903" s="21" t="str">
        <x:v>Independent Evidence and Data Authority</x:v>
      </x:c>
      <x:c r="I903" s="21" t="str">
        <x:v>OPEN</x:v>
      </x:c>
      <x:c r="J903" s="21" t="str">
        <x:v>HOLD</x:v>
      </x:c>
      <x:c r="K903" s="23" t="str">
        <x:v>what public condition must exist must be accepted before downstream release</x:v>
      </x:c>
    </x:row>
    <x:row r="904">
      <x:c r="B904" s="21" t="str">
        <x:v>BL-00898</x:v>
      </x:c>
      <x:c r="C904" s="21" t="str">
        <x:v>F33-I1</x:v>
      </x:c>
      <x:c r="D904" s="21" t="str">
        <x:v>F33</x:v>
      </x:c>
      <x:c r="E904" s="21" t="str">
        <x:v>B1</x:v>
      </x:c>
      <x:c r="F904" s="21" t="str">
        <x:v>Requirements</x:v>
      </x:c>
      <x:c r="G904" s="21" t="str">
        <x:v>0.0.0</x:v>
      </x:c>
      <x:c r="H904" s="21" t="str">
        <x:v>Independent Evidence and Data Authority</x:v>
      </x:c>
      <x:c r="I904" s="21" t="str">
        <x:v>OPEN</x:v>
      </x:c>
      <x:c r="J904" s="21" t="str">
        <x:v>HOLD</x:v>
      </x:c>
      <x:c r="K904" s="23" t="str">
        <x:v>what burdens and invalid states bound the effect must be accepted before downstream release</x:v>
      </x:c>
    </x:row>
    <x:row r="905">
      <x:c r="B905" s="21" t="str">
        <x:v>BL-00899</x:v>
      </x:c>
      <x:c r="C905" s="21" t="str">
        <x:v>F33-I1</x:v>
      </x:c>
      <x:c r="D905" s="21" t="str">
        <x:v>F33</x:v>
      </x:c>
      <x:c r="E905" s="21" t="str">
        <x:v>B2</x:v>
      </x:c>
      <x:c r="F905" s="21" t="str">
        <x:v>Architecture</x:v>
      </x:c>
      <x:c r="G905" s="21" t="str">
        <x:v>0.0.0</x:v>
      </x:c>
      <x:c r="H905" s="21" t="str">
        <x:v>Independent Evidence and Data Authority</x:v>
      </x:c>
      <x:c r="I905" s="21" t="str">
        <x:v>OPEN</x:v>
      </x:c>
      <x:c r="J905" s="21" t="str">
        <x:v>HOLD</x:v>
      </x:c>
      <x:c r="K905" s="23" t="str">
        <x:v>what interfaces and budgets govern the system must be accepted before downstream release</x:v>
      </x:c>
    </x:row>
    <x:row r="906">
      <x:c r="B906" s="21" t="str">
        <x:v>BL-00900</x:v>
      </x:c>
      <x:c r="C906" s="21" t="str">
        <x:v>F33-I1</x:v>
      </x:c>
      <x:c r="D906" s="21" t="str">
        <x:v>F33</x:v>
      </x:c>
      <x:c r="E906" s="21" t="str">
        <x:v>B3</x:v>
      </x:c>
      <x:c r="F906" s="21" t="str">
        <x:v>Build</x:v>
      </x:c>
      <x:c r="G906" s="21" t="str">
        <x:v>0.0.0</x:v>
      </x:c>
      <x:c r="H906" s="21" t="str">
        <x:v>Independent Evidence and Data Authority</x:v>
      </x:c>
      <x:c r="I906" s="21" t="str">
        <x:v>OPEN</x:v>
      </x:c>
      <x:c r="J906" s="21" t="str">
        <x:v>HOLD</x:v>
      </x:c>
      <x:c r="K906" s="23" t="str">
        <x:v>what exact configuration produced the article must be accepted before downstream release</x:v>
      </x:c>
    </x:row>
    <x:row r="907">
      <x:c r="B907" s="21" t="str">
        <x:v>BL-00901</x:v>
      </x:c>
      <x:c r="C907" s="21" t="str">
        <x:v>F33-I1</x:v>
      </x:c>
      <x:c r="D907" s="21" t="str">
        <x:v>F33</x:v>
      </x:c>
      <x:c r="E907" s="21" t="str">
        <x:v>B4</x:v>
      </x:c>
      <x:c r="F907" s="21" t="str">
        <x:v>Trial</x:v>
      </x:c>
      <x:c r="G907" s="21" t="str">
        <x:v>0.0.0</x:v>
      </x:c>
      <x:c r="H907" s="21" t="str">
        <x:v>Independent Evidence and Data Authority</x:v>
      </x:c>
      <x:c r="I907" s="21" t="str">
        <x:v>OPEN</x:v>
      </x:c>
      <x:c r="J907" s="21" t="str">
        <x:v>HOLD</x:v>
      </x:c>
      <x:c r="K907" s="23" t="str">
        <x:v>what configuration method and damage world produced evidence must be accepted before downstream release</x:v>
      </x:c>
    </x:row>
    <x:row r="908">
      <x:c r="B908" s="21" t="str">
        <x:v>BL-00902</x:v>
      </x:c>
      <x:c r="C908" s="21" t="str">
        <x:v>F33-I1</x:v>
      </x:c>
      <x:c r="D908" s="21" t="str">
        <x:v>F33</x:v>
      </x:c>
      <x:c r="E908" s="21" t="str">
        <x:v>B5</x:v>
      </x:c>
      <x:c r="F908" s="21" t="str">
        <x:v>Production</x:v>
      </x:c>
      <x:c r="G908" s="21" t="str">
        <x:v>0.0.0</x:v>
      </x:c>
      <x:c r="H908" s="21" t="str">
        <x:v>Independent Evidence and Data Authority</x:v>
      </x:c>
      <x:c r="I908" s="21" t="str">
        <x:v>OPEN</x:v>
      </x:c>
      <x:c r="J908" s="21" t="str">
        <x:v>HOLD</x:v>
      </x:c>
      <x:c r="K908" s="23" t="str">
        <x:v>what process configuration and acceptance define serial output must be accepted before downstream release</x:v>
      </x:c>
    </x:row>
    <x:row r="909">
      <x:c r="B909" s="21" t="str">
        <x:v>BL-00903</x:v>
      </x:c>
      <x:c r="C909" s="21" t="str">
        <x:v>F33-I1</x:v>
      </x:c>
      <x:c r="D909" s="21" t="str">
        <x:v>F33</x:v>
      </x:c>
      <x:c r="E909" s="21" t="str">
        <x:v>B6</x:v>
      </x:c>
      <x:c r="F909" s="21" t="str">
        <x:v>Mobilization</x:v>
      </x:c>
      <x:c r="G909" s="21" t="str">
        <x:v>0.0.0</x:v>
      </x:c>
      <x:c r="H909" s="21" t="str">
        <x:v>Independent Evidence and Data Authority</x:v>
      </x:c>
      <x:c r="I909" s="21" t="str">
        <x:v>OPEN</x:v>
      </x:c>
      <x:c r="J909" s="21" t="str">
        <x:v>HOLD</x:v>
      </x:c>
      <x:c r="K909" s="23" t="str">
        <x:v>what people tools suppliers and routes reproduce conforming service must be accepted before downstream release</x:v>
      </x:c>
    </x:row>
    <x:row r="910">
      <x:c r="B910" s="21" t="str">
        <x:v>BL-00904</x:v>
      </x:c>
      <x:c r="C910" s="21" t="str">
        <x:v>F33-I2</x:v>
      </x:c>
      <x:c r="D910" s="21" t="str">
        <x:v>F33</x:v>
      </x:c>
      <x:c r="E910" s="21" t="str">
        <x:v>B0</x:v>
      </x:c>
      <x:c r="F910" s="21" t="str">
        <x:v>Effect</x:v>
      </x:c>
      <x:c r="G910" s="21" t="str">
        <x:v>0.0.0</x:v>
      </x:c>
      <x:c r="H910" s="21" t="str">
        <x:v>Independent Evidence and Data Authority</x:v>
      </x:c>
      <x:c r="I910" s="21" t="str">
        <x:v>OPEN</x:v>
      </x:c>
      <x:c r="J910" s="21" t="str">
        <x:v>HOLD</x:v>
      </x:c>
      <x:c r="K910" s="23" t="str">
        <x:v>what public condition must exist must be accepted before downstream release</x:v>
      </x:c>
    </x:row>
    <x:row r="911">
      <x:c r="B911" s="21" t="str">
        <x:v>BL-00905</x:v>
      </x:c>
      <x:c r="C911" s="21" t="str">
        <x:v>F33-I2</x:v>
      </x:c>
      <x:c r="D911" s="21" t="str">
        <x:v>F33</x:v>
      </x:c>
      <x:c r="E911" s="21" t="str">
        <x:v>B1</x:v>
      </x:c>
      <x:c r="F911" s="21" t="str">
        <x:v>Requirements</x:v>
      </x:c>
      <x:c r="G911" s="21" t="str">
        <x:v>0.0.0</x:v>
      </x:c>
      <x:c r="H911" s="21" t="str">
        <x:v>Independent Evidence and Data Authority</x:v>
      </x:c>
      <x:c r="I911" s="21" t="str">
        <x:v>OPEN</x:v>
      </x:c>
      <x:c r="J911" s="21" t="str">
        <x:v>HOLD</x:v>
      </x:c>
      <x:c r="K911" s="23" t="str">
        <x:v>what burdens and invalid states bound the effect must be accepted before downstream release</x:v>
      </x:c>
    </x:row>
    <x:row r="912">
      <x:c r="B912" s="21" t="str">
        <x:v>BL-00906</x:v>
      </x:c>
      <x:c r="C912" s="21" t="str">
        <x:v>F33-I2</x:v>
      </x:c>
      <x:c r="D912" s="21" t="str">
        <x:v>F33</x:v>
      </x:c>
      <x:c r="E912" s="21" t="str">
        <x:v>B2</x:v>
      </x:c>
      <x:c r="F912" s="21" t="str">
        <x:v>Architecture</x:v>
      </x:c>
      <x:c r="G912" s="21" t="str">
        <x:v>0.0.0</x:v>
      </x:c>
      <x:c r="H912" s="21" t="str">
        <x:v>Independent Evidence and Data Authority</x:v>
      </x:c>
      <x:c r="I912" s="21" t="str">
        <x:v>OPEN</x:v>
      </x:c>
      <x:c r="J912" s="21" t="str">
        <x:v>HOLD</x:v>
      </x:c>
      <x:c r="K912" s="23" t="str">
        <x:v>what interfaces and budgets govern the system must be accepted before downstream release</x:v>
      </x:c>
    </x:row>
    <x:row r="913">
      <x:c r="B913" s="21" t="str">
        <x:v>BL-00907</x:v>
      </x:c>
      <x:c r="C913" s="21" t="str">
        <x:v>F33-I2</x:v>
      </x:c>
      <x:c r="D913" s="21" t="str">
        <x:v>F33</x:v>
      </x:c>
      <x:c r="E913" s="21" t="str">
        <x:v>B3</x:v>
      </x:c>
      <x:c r="F913" s="21" t="str">
        <x:v>Build</x:v>
      </x:c>
      <x:c r="G913" s="21" t="str">
        <x:v>0.0.0</x:v>
      </x:c>
      <x:c r="H913" s="21" t="str">
        <x:v>Independent Evidence and Data Authority</x:v>
      </x:c>
      <x:c r="I913" s="21" t="str">
        <x:v>OPEN</x:v>
      </x:c>
      <x:c r="J913" s="21" t="str">
        <x:v>HOLD</x:v>
      </x:c>
      <x:c r="K913" s="23" t="str">
        <x:v>what exact configuration produced the article must be accepted before downstream release</x:v>
      </x:c>
    </x:row>
    <x:row r="914">
      <x:c r="B914" s="21" t="str">
        <x:v>BL-00908</x:v>
      </x:c>
      <x:c r="C914" s="21" t="str">
        <x:v>F33-I2</x:v>
      </x:c>
      <x:c r="D914" s="21" t="str">
        <x:v>F33</x:v>
      </x:c>
      <x:c r="E914" s="21" t="str">
        <x:v>B4</x:v>
      </x:c>
      <x:c r="F914" s="21" t="str">
        <x:v>Trial</x:v>
      </x:c>
      <x:c r="G914" s="21" t="str">
        <x:v>0.0.0</x:v>
      </x:c>
      <x:c r="H914" s="21" t="str">
        <x:v>Independent Evidence and Data Authority</x:v>
      </x:c>
      <x:c r="I914" s="21" t="str">
        <x:v>OPEN</x:v>
      </x:c>
      <x:c r="J914" s="21" t="str">
        <x:v>HOLD</x:v>
      </x:c>
      <x:c r="K914" s="23" t="str">
        <x:v>what configuration method and damage world produced evidence must be accepted before downstream release</x:v>
      </x:c>
    </x:row>
    <x:row r="915">
      <x:c r="B915" s="21" t="str">
        <x:v>BL-00909</x:v>
      </x:c>
      <x:c r="C915" s="21" t="str">
        <x:v>F33-I2</x:v>
      </x:c>
      <x:c r="D915" s="21" t="str">
        <x:v>F33</x:v>
      </x:c>
      <x:c r="E915" s="21" t="str">
        <x:v>B5</x:v>
      </x:c>
      <x:c r="F915" s="21" t="str">
        <x:v>Production</x:v>
      </x:c>
      <x:c r="G915" s="21" t="str">
        <x:v>0.0.0</x:v>
      </x:c>
      <x:c r="H915" s="21" t="str">
        <x:v>Independent Evidence and Data Authority</x:v>
      </x:c>
      <x:c r="I915" s="21" t="str">
        <x:v>OPEN</x:v>
      </x:c>
      <x:c r="J915" s="21" t="str">
        <x:v>HOLD</x:v>
      </x:c>
      <x:c r="K915" s="23" t="str">
        <x:v>what process configuration and acceptance define serial output must be accepted before downstream release</x:v>
      </x:c>
    </x:row>
    <x:row r="916">
      <x:c r="B916" s="21" t="str">
        <x:v>BL-00910</x:v>
      </x:c>
      <x:c r="C916" s="21" t="str">
        <x:v>F33-I2</x:v>
      </x:c>
      <x:c r="D916" s="21" t="str">
        <x:v>F33</x:v>
      </x:c>
      <x:c r="E916" s="21" t="str">
        <x:v>B6</x:v>
      </x:c>
      <x:c r="F916" s="21" t="str">
        <x:v>Mobilization</x:v>
      </x:c>
      <x:c r="G916" s="21" t="str">
        <x:v>0.0.0</x:v>
      </x:c>
      <x:c r="H916" s="21" t="str">
        <x:v>Independent Evidence and Data Authority</x:v>
      </x:c>
      <x:c r="I916" s="21" t="str">
        <x:v>OPEN</x:v>
      </x:c>
      <x:c r="J916" s="21" t="str">
        <x:v>HOLD</x:v>
      </x:c>
      <x:c r="K916" s="23" t="str">
        <x:v>what people tools suppliers and routes reproduce conforming service must be accepted before downstream release</x:v>
      </x:c>
    </x:row>
    <x:row r="917">
      <x:c r="B917" s="21" t="str">
        <x:v>BL-00911</x:v>
      </x:c>
      <x:c r="C917" s="21" t="str">
        <x:v>F33-I3</x:v>
      </x:c>
      <x:c r="D917" s="21" t="str">
        <x:v>F33</x:v>
      </x:c>
      <x:c r="E917" s="21" t="str">
        <x:v>B0</x:v>
      </x:c>
      <x:c r="F917" s="21" t="str">
        <x:v>Effect</x:v>
      </x:c>
      <x:c r="G917" s="21" t="str">
        <x:v>0.0.0</x:v>
      </x:c>
      <x:c r="H917" s="21" t="str">
        <x:v>Independent Evidence and Data Authority</x:v>
      </x:c>
      <x:c r="I917" s="21" t="str">
        <x:v>OPEN</x:v>
      </x:c>
      <x:c r="J917" s="21" t="str">
        <x:v>HOLD</x:v>
      </x:c>
      <x:c r="K917" s="23" t="str">
        <x:v>what public condition must exist must be accepted before downstream release</x:v>
      </x:c>
    </x:row>
    <x:row r="918">
      <x:c r="B918" s="21" t="str">
        <x:v>BL-00912</x:v>
      </x:c>
      <x:c r="C918" s="21" t="str">
        <x:v>F33-I3</x:v>
      </x:c>
      <x:c r="D918" s="21" t="str">
        <x:v>F33</x:v>
      </x:c>
      <x:c r="E918" s="21" t="str">
        <x:v>B1</x:v>
      </x:c>
      <x:c r="F918" s="21" t="str">
        <x:v>Requirements</x:v>
      </x:c>
      <x:c r="G918" s="21" t="str">
        <x:v>0.0.0</x:v>
      </x:c>
      <x:c r="H918" s="21" t="str">
        <x:v>Independent Evidence and Data Authority</x:v>
      </x:c>
      <x:c r="I918" s="21" t="str">
        <x:v>OPEN</x:v>
      </x:c>
      <x:c r="J918" s="21" t="str">
        <x:v>HOLD</x:v>
      </x:c>
      <x:c r="K918" s="23" t="str">
        <x:v>what burdens and invalid states bound the effect must be accepted before downstream release</x:v>
      </x:c>
    </x:row>
    <x:row r="919">
      <x:c r="B919" s="21" t="str">
        <x:v>BL-00913</x:v>
      </x:c>
      <x:c r="C919" s="21" t="str">
        <x:v>F33-I3</x:v>
      </x:c>
      <x:c r="D919" s="21" t="str">
        <x:v>F33</x:v>
      </x:c>
      <x:c r="E919" s="21" t="str">
        <x:v>B2</x:v>
      </x:c>
      <x:c r="F919" s="21" t="str">
        <x:v>Architecture</x:v>
      </x:c>
      <x:c r="G919" s="21" t="str">
        <x:v>0.0.0</x:v>
      </x:c>
      <x:c r="H919" s="21" t="str">
        <x:v>Independent Evidence and Data Authority</x:v>
      </x:c>
      <x:c r="I919" s="21" t="str">
        <x:v>OPEN</x:v>
      </x:c>
      <x:c r="J919" s="21" t="str">
        <x:v>HOLD</x:v>
      </x:c>
      <x:c r="K919" s="23" t="str">
        <x:v>what interfaces and budgets govern the system must be accepted before downstream release</x:v>
      </x:c>
    </x:row>
    <x:row r="920">
      <x:c r="B920" s="21" t="str">
        <x:v>BL-00914</x:v>
      </x:c>
      <x:c r="C920" s="21" t="str">
        <x:v>F33-I3</x:v>
      </x:c>
      <x:c r="D920" s="21" t="str">
        <x:v>F33</x:v>
      </x:c>
      <x:c r="E920" s="21" t="str">
        <x:v>B3</x:v>
      </x:c>
      <x:c r="F920" s="21" t="str">
        <x:v>Build</x:v>
      </x:c>
      <x:c r="G920" s="21" t="str">
        <x:v>0.0.0</x:v>
      </x:c>
      <x:c r="H920" s="21" t="str">
        <x:v>Independent Evidence and Data Authority</x:v>
      </x:c>
      <x:c r="I920" s="21" t="str">
        <x:v>OPEN</x:v>
      </x:c>
      <x:c r="J920" s="21" t="str">
        <x:v>HOLD</x:v>
      </x:c>
      <x:c r="K920" s="23" t="str">
        <x:v>what exact configuration produced the article must be accepted before downstream release</x:v>
      </x:c>
    </x:row>
    <x:row r="921">
      <x:c r="B921" s="21" t="str">
        <x:v>BL-00915</x:v>
      </x:c>
      <x:c r="C921" s="21" t="str">
        <x:v>F33-I3</x:v>
      </x:c>
      <x:c r="D921" s="21" t="str">
        <x:v>F33</x:v>
      </x:c>
      <x:c r="E921" s="21" t="str">
        <x:v>B4</x:v>
      </x:c>
      <x:c r="F921" s="21" t="str">
        <x:v>Trial</x:v>
      </x:c>
      <x:c r="G921" s="21" t="str">
        <x:v>0.0.0</x:v>
      </x:c>
      <x:c r="H921" s="21" t="str">
        <x:v>Independent Evidence and Data Authority</x:v>
      </x:c>
      <x:c r="I921" s="21" t="str">
        <x:v>OPEN</x:v>
      </x:c>
      <x:c r="J921" s="21" t="str">
        <x:v>HOLD</x:v>
      </x:c>
      <x:c r="K921" s="23" t="str">
        <x:v>what configuration method and damage world produced evidence must be accepted before downstream release</x:v>
      </x:c>
    </x:row>
    <x:row r="922">
      <x:c r="B922" s="21" t="str">
        <x:v>BL-00916</x:v>
      </x:c>
      <x:c r="C922" s="21" t="str">
        <x:v>F33-I3</x:v>
      </x:c>
      <x:c r="D922" s="21" t="str">
        <x:v>F33</x:v>
      </x:c>
      <x:c r="E922" s="21" t="str">
        <x:v>B5</x:v>
      </x:c>
      <x:c r="F922" s="21" t="str">
        <x:v>Production</x:v>
      </x:c>
      <x:c r="G922" s="21" t="str">
        <x:v>0.0.0</x:v>
      </x:c>
      <x:c r="H922" s="21" t="str">
        <x:v>Independent Evidence and Data Authority</x:v>
      </x:c>
      <x:c r="I922" s="21" t="str">
        <x:v>OPEN</x:v>
      </x:c>
      <x:c r="J922" s="21" t="str">
        <x:v>HOLD</x:v>
      </x:c>
      <x:c r="K922" s="23" t="str">
        <x:v>what process configuration and acceptance define serial output must be accepted before downstream release</x:v>
      </x:c>
    </x:row>
    <x:row r="923">
      <x:c r="B923" s="21" t="str">
        <x:v>BL-00917</x:v>
      </x:c>
      <x:c r="C923" s="21" t="str">
        <x:v>F33-I3</x:v>
      </x:c>
      <x:c r="D923" s="21" t="str">
        <x:v>F33</x:v>
      </x:c>
      <x:c r="E923" s="21" t="str">
        <x:v>B6</x:v>
      </x:c>
      <x:c r="F923" s="21" t="str">
        <x:v>Mobilization</x:v>
      </x:c>
      <x:c r="G923" s="21" t="str">
        <x:v>0.0.0</x:v>
      </x:c>
      <x:c r="H923" s="21" t="str">
        <x:v>Independent Evidence and Data Authority</x:v>
      </x:c>
      <x:c r="I923" s="21" t="str">
        <x:v>OPEN</x:v>
      </x:c>
      <x:c r="J923" s="21" t="str">
        <x:v>HOLD</x:v>
      </x:c>
      <x:c r="K923" s="23" t="str">
        <x:v>what people tools suppliers and routes reproduce conforming service must be accepted before downstream release</x:v>
      </x:c>
    </x:row>
    <x:row r="924">
      <x:c r="B924" s="21" t="str">
        <x:v>BL-00918</x:v>
      </x:c>
      <x:c r="C924" s="21" t="str">
        <x:v>F33-I4</x:v>
      </x:c>
      <x:c r="D924" s="21" t="str">
        <x:v>F33</x:v>
      </x:c>
      <x:c r="E924" s="21" t="str">
        <x:v>B0</x:v>
      </x:c>
      <x:c r="F924" s="21" t="str">
        <x:v>Effect</x:v>
      </x:c>
      <x:c r="G924" s="21" t="str">
        <x:v>0.0.0</x:v>
      </x:c>
      <x:c r="H924" s="21" t="str">
        <x:v>Independent Evidence and Data Authority</x:v>
      </x:c>
      <x:c r="I924" s="21" t="str">
        <x:v>OPEN</x:v>
      </x:c>
      <x:c r="J924" s="21" t="str">
        <x:v>HOLD</x:v>
      </x:c>
      <x:c r="K924" s="23" t="str">
        <x:v>what public condition must exist must be accepted before downstream release</x:v>
      </x:c>
    </x:row>
    <x:row r="925">
      <x:c r="B925" s="21" t="str">
        <x:v>BL-00919</x:v>
      </x:c>
      <x:c r="C925" s="21" t="str">
        <x:v>F33-I4</x:v>
      </x:c>
      <x:c r="D925" s="21" t="str">
        <x:v>F33</x:v>
      </x:c>
      <x:c r="E925" s="21" t="str">
        <x:v>B1</x:v>
      </x:c>
      <x:c r="F925" s="21" t="str">
        <x:v>Requirements</x:v>
      </x:c>
      <x:c r="G925" s="21" t="str">
        <x:v>0.0.0</x:v>
      </x:c>
      <x:c r="H925" s="21" t="str">
        <x:v>Independent Evidence and Data Authority</x:v>
      </x:c>
      <x:c r="I925" s="21" t="str">
        <x:v>OPEN</x:v>
      </x:c>
      <x:c r="J925" s="21" t="str">
        <x:v>HOLD</x:v>
      </x:c>
      <x:c r="K925" s="23" t="str">
        <x:v>what burdens and invalid states bound the effect must be accepted before downstream release</x:v>
      </x:c>
    </x:row>
    <x:row r="926">
      <x:c r="B926" s="21" t="str">
        <x:v>BL-00920</x:v>
      </x:c>
      <x:c r="C926" s="21" t="str">
        <x:v>F33-I4</x:v>
      </x:c>
      <x:c r="D926" s="21" t="str">
        <x:v>F33</x:v>
      </x:c>
      <x:c r="E926" s="21" t="str">
        <x:v>B2</x:v>
      </x:c>
      <x:c r="F926" s="21" t="str">
        <x:v>Architecture</x:v>
      </x:c>
      <x:c r="G926" s="21" t="str">
        <x:v>0.0.0</x:v>
      </x:c>
      <x:c r="H926" s="21" t="str">
        <x:v>Independent Evidence and Data Authority</x:v>
      </x:c>
      <x:c r="I926" s="21" t="str">
        <x:v>OPEN</x:v>
      </x:c>
      <x:c r="J926" s="21" t="str">
        <x:v>HOLD</x:v>
      </x:c>
      <x:c r="K926" s="23" t="str">
        <x:v>what interfaces and budgets govern the system must be accepted before downstream release</x:v>
      </x:c>
    </x:row>
    <x:row r="927">
      <x:c r="B927" s="21" t="str">
        <x:v>BL-00921</x:v>
      </x:c>
      <x:c r="C927" s="21" t="str">
        <x:v>F33-I4</x:v>
      </x:c>
      <x:c r="D927" s="21" t="str">
        <x:v>F33</x:v>
      </x:c>
      <x:c r="E927" s="21" t="str">
        <x:v>B3</x:v>
      </x:c>
      <x:c r="F927" s="21" t="str">
        <x:v>Build</x:v>
      </x:c>
      <x:c r="G927" s="21" t="str">
        <x:v>0.0.0</x:v>
      </x:c>
      <x:c r="H927" s="21" t="str">
        <x:v>Independent Evidence and Data Authority</x:v>
      </x:c>
      <x:c r="I927" s="21" t="str">
        <x:v>OPEN</x:v>
      </x:c>
      <x:c r="J927" s="21" t="str">
        <x:v>HOLD</x:v>
      </x:c>
      <x:c r="K927" s="23" t="str">
        <x:v>what exact configuration produced the article must be accepted before downstream release</x:v>
      </x:c>
    </x:row>
    <x:row r="928">
      <x:c r="B928" s="21" t="str">
        <x:v>BL-00922</x:v>
      </x:c>
      <x:c r="C928" s="21" t="str">
        <x:v>F33-I4</x:v>
      </x:c>
      <x:c r="D928" s="21" t="str">
        <x:v>F33</x:v>
      </x:c>
      <x:c r="E928" s="21" t="str">
        <x:v>B4</x:v>
      </x:c>
      <x:c r="F928" s="21" t="str">
        <x:v>Trial</x:v>
      </x:c>
      <x:c r="G928" s="21" t="str">
        <x:v>0.0.0</x:v>
      </x:c>
      <x:c r="H928" s="21" t="str">
        <x:v>Independent Evidence and Data Authority</x:v>
      </x:c>
      <x:c r="I928" s="21" t="str">
        <x:v>OPEN</x:v>
      </x:c>
      <x:c r="J928" s="21" t="str">
        <x:v>HOLD</x:v>
      </x:c>
      <x:c r="K928" s="23" t="str">
        <x:v>what configuration method and damage world produced evidence must be accepted before downstream release</x:v>
      </x:c>
    </x:row>
    <x:row r="929">
      <x:c r="B929" s="21" t="str">
        <x:v>BL-00923</x:v>
      </x:c>
      <x:c r="C929" s="21" t="str">
        <x:v>F33-I4</x:v>
      </x:c>
      <x:c r="D929" s="21" t="str">
        <x:v>F33</x:v>
      </x:c>
      <x:c r="E929" s="21" t="str">
        <x:v>B5</x:v>
      </x:c>
      <x:c r="F929" s="21" t="str">
        <x:v>Production</x:v>
      </x:c>
      <x:c r="G929" s="21" t="str">
        <x:v>0.0.0</x:v>
      </x:c>
      <x:c r="H929" s="21" t="str">
        <x:v>Independent Evidence and Data Authority</x:v>
      </x:c>
      <x:c r="I929" s="21" t="str">
        <x:v>OPEN</x:v>
      </x:c>
      <x:c r="J929" s="21" t="str">
        <x:v>HOLD</x:v>
      </x:c>
      <x:c r="K929" s="23" t="str">
        <x:v>what process configuration and acceptance define serial output must be accepted before downstream release</x:v>
      </x:c>
    </x:row>
    <x:row r="930">
      <x:c r="B930" s="21" t="str">
        <x:v>BL-00924</x:v>
      </x:c>
      <x:c r="C930" s="21" t="str">
        <x:v>F33-I4</x:v>
      </x:c>
      <x:c r="D930" s="21" t="str">
        <x:v>F33</x:v>
      </x:c>
      <x:c r="E930" s="21" t="str">
        <x:v>B6</x:v>
      </x:c>
      <x:c r="F930" s="21" t="str">
        <x:v>Mobilization</x:v>
      </x:c>
      <x:c r="G930" s="21" t="str">
        <x:v>0.0.0</x:v>
      </x:c>
      <x:c r="H930" s="21" t="str">
        <x:v>Independent Evidence and Data Authority</x:v>
      </x:c>
      <x:c r="I930" s="21" t="str">
        <x:v>OPEN</x:v>
      </x:c>
      <x:c r="J930" s="21" t="str">
        <x:v>HOLD</x:v>
      </x:c>
      <x:c r="K930" s="23" t="str">
        <x:v>what people tools suppliers and routes reproduce conforming service must be accepted before downstream release</x:v>
      </x:c>
    </x:row>
    <x:row r="931">
      <x:c r="B931" s="21" t="str">
        <x:v>BL-00925</x:v>
      </x:c>
      <x:c r="C931" s="21" t="str">
        <x:v>F34-I1</x:v>
      </x:c>
      <x:c r="D931" s="21" t="str">
        <x:v>F34</x:v>
      </x:c>
      <x:c r="E931" s="21" t="str">
        <x:v>B0</x:v>
      </x:c>
      <x:c r="F931" s="21" t="str">
        <x:v>Effect</x:v>
      </x:c>
      <x:c r="G931" s="21" t="str">
        <x:v>0.0.0</x:v>
      </x:c>
      <x:c r="H931" s="21" t="str">
        <x:v>Independent Evidence and Data Authority</x:v>
      </x:c>
      <x:c r="I931" s="21" t="str">
        <x:v>OPEN</x:v>
      </x:c>
      <x:c r="J931" s="21" t="str">
        <x:v>HOLD</x:v>
      </x:c>
      <x:c r="K931" s="23" t="str">
        <x:v>what public condition must exist must be accepted before downstream release</x:v>
      </x:c>
    </x:row>
    <x:row r="932">
      <x:c r="B932" s="21" t="str">
        <x:v>BL-00926</x:v>
      </x:c>
      <x:c r="C932" s="21" t="str">
        <x:v>F34-I1</x:v>
      </x:c>
      <x:c r="D932" s="21" t="str">
        <x:v>F34</x:v>
      </x:c>
      <x:c r="E932" s="21" t="str">
        <x:v>B1</x:v>
      </x:c>
      <x:c r="F932" s="21" t="str">
        <x:v>Requirements</x:v>
      </x:c>
      <x:c r="G932" s="21" t="str">
        <x:v>0.0.0</x:v>
      </x:c>
      <x:c r="H932" s="21" t="str">
        <x:v>Independent Evidence and Data Authority</x:v>
      </x:c>
      <x:c r="I932" s="21" t="str">
        <x:v>OPEN</x:v>
      </x:c>
      <x:c r="J932" s="21" t="str">
        <x:v>HOLD</x:v>
      </x:c>
      <x:c r="K932" s="23" t="str">
        <x:v>what burdens and invalid states bound the effect must be accepted before downstream release</x:v>
      </x:c>
    </x:row>
    <x:row r="933">
      <x:c r="B933" s="21" t="str">
        <x:v>BL-00927</x:v>
      </x:c>
      <x:c r="C933" s="21" t="str">
        <x:v>F34-I1</x:v>
      </x:c>
      <x:c r="D933" s="21" t="str">
        <x:v>F34</x:v>
      </x:c>
      <x:c r="E933" s="21" t="str">
        <x:v>B2</x:v>
      </x:c>
      <x:c r="F933" s="21" t="str">
        <x:v>Architecture</x:v>
      </x:c>
      <x:c r="G933" s="21" t="str">
        <x:v>0.0.0</x:v>
      </x:c>
      <x:c r="H933" s="21" t="str">
        <x:v>Independent Evidence and Data Authority</x:v>
      </x:c>
      <x:c r="I933" s="21" t="str">
        <x:v>OPEN</x:v>
      </x:c>
      <x:c r="J933" s="21" t="str">
        <x:v>HOLD</x:v>
      </x:c>
      <x:c r="K933" s="23" t="str">
        <x:v>what interfaces and budgets govern the system must be accepted before downstream release</x:v>
      </x:c>
    </x:row>
    <x:row r="934">
      <x:c r="B934" s="21" t="str">
        <x:v>BL-00928</x:v>
      </x:c>
      <x:c r="C934" s="21" t="str">
        <x:v>F34-I1</x:v>
      </x:c>
      <x:c r="D934" s="21" t="str">
        <x:v>F34</x:v>
      </x:c>
      <x:c r="E934" s="21" t="str">
        <x:v>B3</x:v>
      </x:c>
      <x:c r="F934" s="21" t="str">
        <x:v>Build</x:v>
      </x:c>
      <x:c r="G934" s="21" t="str">
        <x:v>0.0.0</x:v>
      </x:c>
      <x:c r="H934" s="21" t="str">
        <x:v>Independent Evidence and Data Authority</x:v>
      </x:c>
      <x:c r="I934" s="21" t="str">
        <x:v>OPEN</x:v>
      </x:c>
      <x:c r="J934" s="21" t="str">
        <x:v>HOLD</x:v>
      </x:c>
      <x:c r="K934" s="23" t="str">
        <x:v>what exact configuration produced the article must be accepted before downstream release</x:v>
      </x:c>
    </x:row>
    <x:row r="935">
      <x:c r="B935" s="21" t="str">
        <x:v>BL-00929</x:v>
      </x:c>
      <x:c r="C935" s="21" t="str">
        <x:v>F34-I1</x:v>
      </x:c>
      <x:c r="D935" s="21" t="str">
        <x:v>F34</x:v>
      </x:c>
      <x:c r="E935" s="21" t="str">
        <x:v>B4</x:v>
      </x:c>
      <x:c r="F935" s="21" t="str">
        <x:v>Trial</x:v>
      </x:c>
      <x:c r="G935" s="21" t="str">
        <x:v>0.0.0</x:v>
      </x:c>
      <x:c r="H935" s="21" t="str">
        <x:v>Independent Evidence and Data Authority</x:v>
      </x:c>
      <x:c r="I935" s="21" t="str">
        <x:v>OPEN</x:v>
      </x:c>
      <x:c r="J935" s="21" t="str">
        <x:v>HOLD</x:v>
      </x:c>
      <x:c r="K935" s="23" t="str">
        <x:v>what configuration method and damage world produced evidence must be accepted before downstream release</x:v>
      </x:c>
    </x:row>
    <x:row r="936">
      <x:c r="B936" s="21" t="str">
        <x:v>BL-00930</x:v>
      </x:c>
      <x:c r="C936" s="21" t="str">
        <x:v>F34-I1</x:v>
      </x:c>
      <x:c r="D936" s="21" t="str">
        <x:v>F34</x:v>
      </x:c>
      <x:c r="E936" s="21" t="str">
        <x:v>B5</x:v>
      </x:c>
      <x:c r="F936" s="21" t="str">
        <x:v>Production</x:v>
      </x:c>
      <x:c r="G936" s="21" t="str">
        <x:v>0.0.0</x:v>
      </x:c>
      <x:c r="H936" s="21" t="str">
        <x:v>Independent Evidence and Data Authority</x:v>
      </x:c>
      <x:c r="I936" s="21" t="str">
        <x:v>OPEN</x:v>
      </x:c>
      <x:c r="J936" s="21" t="str">
        <x:v>HOLD</x:v>
      </x:c>
      <x:c r="K936" s="23" t="str">
        <x:v>what process configuration and acceptance define serial output must be accepted before downstream release</x:v>
      </x:c>
    </x:row>
    <x:row r="937">
      <x:c r="B937" s="21" t="str">
        <x:v>BL-00931</x:v>
      </x:c>
      <x:c r="C937" s="21" t="str">
        <x:v>F34-I1</x:v>
      </x:c>
      <x:c r="D937" s="21" t="str">
        <x:v>F34</x:v>
      </x:c>
      <x:c r="E937" s="21" t="str">
        <x:v>B6</x:v>
      </x:c>
      <x:c r="F937" s="21" t="str">
        <x:v>Mobilization</x:v>
      </x:c>
      <x:c r="G937" s="21" t="str">
        <x:v>0.0.0</x:v>
      </x:c>
      <x:c r="H937" s="21" t="str">
        <x:v>Independent Evidence and Data Authority</x:v>
      </x:c>
      <x:c r="I937" s="21" t="str">
        <x:v>OPEN</x:v>
      </x:c>
      <x:c r="J937" s="21" t="str">
        <x:v>HOLD</x:v>
      </x:c>
      <x:c r="K937" s="23" t="str">
        <x:v>what people tools suppliers and routes reproduce conforming service must be accepted before downstream release</x:v>
      </x:c>
    </x:row>
    <x:row r="938">
      <x:c r="B938" s="21" t="str">
        <x:v>BL-00932</x:v>
      </x:c>
      <x:c r="C938" s="21" t="str">
        <x:v>F34-I2</x:v>
      </x:c>
      <x:c r="D938" s="21" t="str">
        <x:v>F34</x:v>
      </x:c>
      <x:c r="E938" s="21" t="str">
        <x:v>B0</x:v>
      </x:c>
      <x:c r="F938" s="21" t="str">
        <x:v>Effect</x:v>
      </x:c>
      <x:c r="G938" s="21" t="str">
        <x:v>0.0.0</x:v>
      </x:c>
      <x:c r="H938" s="21" t="str">
        <x:v>Independent Evidence and Data Authority</x:v>
      </x:c>
      <x:c r="I938" s="21" t="str">
        <x:v>OPEN</x:v>
      </x:c>
      <x:c r="J938" s="21" t="str">
        <x:v>HOLD</x:v>
      </x:c>
      <x:c r="K938" s="23" t="str">
        <x:v>what public condition must exist must be accepted before downstream release</x:v>
      </x:c>
    </x:row>
    <x:row r="939">
      <x:c r="B939" s="21" t="str">
        <x:v>BL-00933</x:v>
      </x:c>
      <x:c r="C939" s="21" t="str">
        <x:v>F34-I2</x:v>
      </x:c>
      <x:c r="D939" s="21" t="str">
        <x:v>F34</x:v>
      </x:c>
      <x:c r="E939" s="21" t="str">
        <x:v>B1</x:v>
      </x:c>
      <x:c r="F939" s="21" t="str">
        <x:v>Requirements</x:v>
      </x:c>
      <x:c r="G939" s="21" t="str">
        <x:v>0.0.0</x:v>
      </x:c>
      <x:c r="H939" s="21" t="str">
        <x:v>Independent Evidence and Data Authority</x:v>
      </x:c>
      <x:c r="I939" s="21" t="str">
        <x:v>OPEN</x:v>
      </x:c>
      <x:c r="J939" s="21" t="str">
        <x:v>HOLD</x:v>
      </x:c>
      <x:c r="K939" s="23" t="str">
        <x:v>what burdens and invalid states bound the effect must be accepted before downstream release</x:v>
      </x:c>
    </x:row>
    <x:row r="940">
      <x:c r="B940" s="21" t="str">
        <x:v>BL-00934</x:v>
      </x:c>
      <x:c r="C940" s="21" t="str">
        <x:v>F34-I2</x:v>
      </x:c>
      <x:c r="D940" s="21" t="str">
        <x:v>F34</x:v>
      </x:c>
      <x:c r="E940" s="21" t="str">
        <x:v>B2</x:v>
      </x:c>
      <x:c r="F940" s="21" t="str">
        <x:v>Architecture</x:v>
      </x:c>
      <x:c r="G940" s="21" t="str">
        <x:v>0.0.0</x:v>
      </x:c>
      <x:c r="H940" s="21" t="str">
        <x:v>Independent Evidence and Data Authority</x:v>
      </x:c>
      <x:c r="I940" s="21" t="str">
        <x:v>OPEN</x:v>
      </x:c>
      <x:c r="J940" s="21" t="str">
        <x:v>HOLD</x:v>
      </x:c>
      <x:c r="K940" s="23" t="str">
        <x:v>what interfaces and budgets govern the system must be accepted before downstream release</x:v>
      </x:c>
    </x:row>
    <x:row r="941">
      <x:c r="B941" s="21" t="str">
        <x:v>BL-00935</x:v>
      </x:c>
      <x:c r="C941" s="21" t="str">
        <x:v>F34-I2</x:v>
      </x:c>
      <x:c r="D941" s="21" t="str">
        <x:v>F34</x:v>
      </x:c>
      <x:c r="E941" s="21" t="str">
        <x:v>B3</x:v>
      </x:c>
      <x:c r="F941" s="21" t="str">
        <x:v>Build</x:v>
      </x:c>
      <x:c r="G941" s="21" t="str">
        <x:v>0.0.0</x:v>
      </x:c>
      <x:c r="H941" s="21" t="str">
        <x:v>Independent Evidence and Data Authority</x:v>
      </x:c>
      <x:c r="I941" s="21" t="str">
        <x:v>OPEN</x:v>
      </x:c>
      <x:c r="J941" s="21" t="str">
        <x:v>HOLD</x:v>
      </x:c>
      <x:c r="K941" s="23" t="str">
        <x:v>what exact configuration produced the article must be accepted before downstream release</x:v>
      </x:c>
    </x:row>
    <x:row r="942">
      <x:c r="B942" s="21" t="str">
        <x:v>BL-00936</x:v>
      </x:c>
      <x:c r="C942" s="21" t="str">
        <x:v>F34-I2</x:v>
      </x:c>
      <x:c r="D942" s="21" t="str">
        <x:v>F34</x:v>
      </x:c>
      <x:c r="E942" s="21" t="str">
        <x:v>B4</x:v>
      </x:c>
      <x:c r="F942" s="21" t="str">
        <x:v>Trial</x:v>
      </x:c>
      <x:c r="G942" s="21" t="str">
        <x:v>0.0.0</x:v>
      </x:c>
      <x:c r="H942" s="21" t="str">
        <x:v>Independent Evidence and Data Authority</x:v>
      </x:c>
      <x:c r="I942" s="21" t="str">
        <x:v>OPEN</x:v>
      </x:c>
      <x:c r="J942" s="21" t="str">
        <x:v>HOLD</x:v>
      </x:c>
      <x:c r="K942" s="23" t="str">
        <x:v>what configuration method and damage world produced evidence must be accepted before downstream release</x:v>
      </x:c>
    </x:row>
    <x:row r="943">
      <x:c r="B943" s="21" t="str">
        <x:v>BL-00937</x:v>
      </x:c>
      <x:c r="C943" s="21" t="str">
        <x:v>F34-I2</x:v>
      </x:c>
      <x:c r="D943" s="21" t="str">
        <x:v>F34</x:v>
      </x:c>
      <x:c r="E943" s="21" t="str">
        <x:v>B5</x:v>
      </x:c>
      <x:c r="F943" s="21" t="str">
        <x:v>Production</x:v>
      </x:c>
      <x:c r="G943" s="21" t="str">
        <x:v>0.0.0</x:v>
      </x:c>
      <x:c r="H943" s="21" t="str">
        <x:v>Independent Evidence and Data Authority</x:v>
      </x:c>
      <x:c r="I943" s="21" t="str">
        <x:v>OPEN</x:v>
      </x:c>
      <x:c r="J943" s="21" t="str">
        <x:v>HOLD</x:v>
      </x:c>
      <x:c r="K943" s="23" t="str">
        <x:v>what process configuration and acceptance define serial output must be accepted before downstream release</x:v>
      </x:c>
    </x:row>
    <x:row r="944">
      <x:c r="B944" s="21" t="str">
        <x:v>BL-00938</x:v>
      </x:c>
      <x:c r="C944" s="21" t="str">
        <x:v>F34-I2</x:v>
      </x:c>
      <x:c r="D944" s="21" t="str">
        <x:v>F34</x:v>
      </x:c>
      <x:c r="E944" s="21" t="str">
        <x:v>B6</x:v>
      </x:c>
      <x:c r="F944" s="21" t="str">
        <x:v>Mobilization</x:v>
      </x:c>
      <x:c r="G944" s="21" t="str">
        <x:v>0.0.0</x:v>
      </x:c>
      <x:c r="H944" s="21" t="str">
        <x:v>Independent Evidence and Data Authority</x:v>
      </x:c>
      <x:c r="I944" s="21" t="str">
        <x:v>OPEN</x:v>
      </x:c>
      <x:c r="J944" s="21" t="str">
        <x:v>HOLD</x:v>
      </x:c>
      <x:c r="K944" s="23" t="str">
        <x:v>what people tools suppliers and routes reproduce conforming service must be accepted before downstream release</x:v>
      </x:c>
    </x:row>
    <x:row r="945">
      <x:c r="B945" s="21" t="str">
        <x:v>BL-00939</x:v>
      </x:c>
      <x:c r="C945" s="21" t="str">
        <x:v>F34-I3</x:v>
      </x:c>
      <x:c r="D945" s="21" t="str">
        <x:v>F34</x:v>
      </x:c>
      <x:c r="E945" s="21" t="str">
        <x:v>B0</x:v>
      </x:c>
      <x:c r="F945" s="21" t="str">
        <x:v>Effect</x:v>
      </x:c>
      <x:c r="G945" s="21" t="str">
        <x:v>0.0.0</x:v>
      </x:c>
      <x:c r="H945" s="21" t="str">
        <x:v>Independent Evidence and Data Authority</x:v>
      </x:c>
      <x:c r="I945" s="21" t="str">
        <x:v>OPEN</x:v>
      </x:c>
      <x:c r="J945" s="21" t="str">
        <x:v>HOLD</x:v>
      </x:c>
      <x:c r="K945" s="23" t="str">
        <x:v>what public condition must exist must be accepted before downstream release</x:v>
      </x:c>
    </x:row>
    <x:row r="946">
      <x:c r="B946" s="21" t="str">
        <x:v>BL-00940</x:v>
      </x:c>
      <x:c r="C946" s="21" t="str">
        <x:v>F34-I3</x:v>
      </x:c>
      <x:c r="D946" s="21" t="str">
        <x:v>F34</x:v>
      </x:c>
      <x:c r="E946" s="21" t="str">
        <x:v>B1</x:v>
      </x:c>
      <x:c r="F946" s="21" t="str">
        <x:v>Requirements</x:v>
      </x:c>
      <x:c r="G946" s="21" t="str">
        <x:v>0.0.0</x:v>
      </x:c>
      <x:c r="H946" s="21" t="str">
        <x:v>Independent Evidence and Data Authority</x:v>
      </x:c>
      <x:c r="I946" s="21" t="str">
        <x:v>OPEN</x:v>
      </x:c>
      <x:c r="J946" s="21" t="str">
        <x:v>HOLD</x:v>
      </x:c>
      <x:c r="K946" s="23" t="str">
        <x:v>what burdens and invalid states bound the effect must be accepted before downstream release</x:v>
      </x:c>
    </x:row>
    <x:row r="947">
      <x:c r="B947" s="21" t="str">
        <x:v>BL-00941</x:v>
      </x:c>
      <x:c r="C947" s="21" t="str">
        <x:v>F34-I3</x:v>
      </x:c>
      <x:c r="D947" s="21" t="str">
        <x:v>F34</x:v>
      </x:c>
      <x:c r="E947" s="21" t="str">
        <x:v>B2</x:v>
      </x:c>
      <x:c r="F947" s="21" t="str">
        <x:v>Architecture</x:v>
      </x:c>
      <x:c r="G947" s="21" t="str">
        <x:v>0.0.0</x:v>
      </x:c>
      <x:c r="H947" s="21" t="str">
        <x:v>Independent Evidence and Data Authority</x:v>
      </x:c>
      <x:c r="I947" s="21" t="str">
        <x:v>OPEN</x:v>
      </x:c>
      <x:c r="J947" s="21" t="str">
        <x:v>HOLD</x:v>
      </x:c>
      <x:c r="K947" s="23" t="str">
        <x:v>what interfaces and budgets govern the system must be accepted before downstream release</x:v>
      </x:c>
    </x:row>
    <x:row r="948">
      <x:c r="B948" s="21" t="str">
        <x:v>BL-00942</x:v>
      </x:c>
      <x:c r="C948" s="21" t="str">
        <x:v>F34-I3</x:v>
      </x:c>
      <x:c r="D948" s="21" t="str">
        <x:v>F34</x:v>
      </x:c>
      <x:c r="E948" s="21" t="str">
        <x:v>B3</x:v>
      </x:c>
      <x:c r="F948" s="21" t="str">
        <x:v>Build</x:v>
      </x:c>
      <x:c r="G948" s="21" t="str">
        <x:v>0.0.0</x:v>
      </x:c>
      <x:c r="H948" s="21" t="str">
        <x:v>Independent Evidence and Data Authority</x:v>
      </x:c>
      <x:c r="I948" s="21" t="str">
        <x:v>OPEN</x:v>
      </x:c>
      <x:c r="J948" s="21" t="str">
        <x:v>HOLD</x:v>
      </x:c>
      <x:c r="K948" s="23" t="str">
        <x:v>what exact configuration produced the article must be accepted before downstream release</x:v>
      </x:c>
    </x:row>
    <x:row r="949">
      <x:c r="B949" s="21" t="str">
        <x:v>BL-00943</x:v>
      </x:c>
      <x:c r="C949" s="21" t="str">
        <x:v>F34-I3</x:v>
      </x:c>
      <x:c r="D949" s="21" t="str">
        <x:v>F34</x:v>
      </x:c>
      <x:c r="E949" s="21" t="str">
        <x:v>B4</x:v>
      </x:c>
      <x:c r="F949" s="21" t="str">
        <x:v>Trial</x:v>
      </x:c>
      <x:c r="G949" s="21" t="str">
        <x:v>0.0.0</x:v>
      </x:c>
      <x:c r="H949" s="21" t="str">
        <x:v>Independent Evidence and Data Authority</x:v>
      </x:c>
      <x:c r="I949" s="21" t="str">
        <x:v>OPEN</x:v>
      </x:c>
      <x:c r="J949" s="21" t="str">
        <x:v>HOLD</x:v>
      </x:c>
      <x:c r="K949" s="23" t="str">
        <x:v>what configuration method and damage world produced evidence must be accepted before downstream release</x:v>
      </x:c>
    </x:row>
    <x:row r="950">
      <x:c r="B950" s="21" t="str">
        <x:v>BL-00944</x:v>
      </x:c>
      <x:c r="C950" s="21" t="str">
        <x:v>F34-I3</x:v>
      </x:c>
      <x:c r="D950" s="21" t="str">
        <x:v>F34</x:v>
      </x:c>
      <x:c r="E950" s="21" t="str">
        <x:v>B5</x:v>
      </x:c>
      <x:c r="F950" s="21" t="str">
        <x:v>Production</x:v>
      </x:c>
      <x:c r="G950" s="21" t="str">
        <x:v>0.0.0</x:v>
      </x:c>
      <x:c r="H950" s="21" t="str">
        <x:v>Independent Evidence and Data Authority</x:v>
      </x:c>
      <x:c r="I950" s="21" t="str">
        <x:v>OPEN</x:v>
      </x:c>
      <x:c r="J950" s="21" t="str">
        <x:v>HOLD</x:v>
      </x:c>
      <x:c r="K950" s="23" t="str">
        <x:v>what process configuration and acceptance define serial output must be accepted before downstream release</x:v>
      </x:c>
    </x:row>
    <x:row r="951">
      <x:c r="B951" s="21" t="str">
        <x:v>BL-00945</x:v>
      </x:c>
      <x:c r="C951" s="21" t="str">
        <x:v>F34-I3</x:v>
      </x:c>
      <x:c r="D951" s="21" t="str">
        <x:v>F34</x:v>
      </x:c>
      <x:c r="E951" s="21" t="str">
        <x:v>B6</x:v>
      </x:c>
      <x:c r="F951" s="21" t="str">
        <x:v>Mobilization</x:v>
      </x:c>
      <x:c r="G951" s="21" t="str">
        <x:v>0.0.0</x:v>
      </x:c>
      <x:c r="H951" s="21" t="str">
        <x:v>Independent Evidence and Data Authority</x:v>
      </x:c>
      <x:c r="I951" s="21" t="str">
        <x:v>OPEN</x:v>
      </x:c>
      <x:c r="J951" s="21" t="str">
        <x:v>HOLD</x:v>
      </x:c>
      <x:c r="K951" s="23" t="str">
        <x:v>what people tools suppliers and routes reproduce conforming service must be accepted before downstream release</x:v>
      </x:c>
    </x:row>
    <x:row r="952">
      <x:c r="B952" s="21" t="str">
        <x:v>BL-00946</x:v>
      </x:c>
      <x:c r="C952" s="21" t="str">
        <x:v>F34-I4</x:v>
      </x:c>
      <x:c r="D952" s="21" t="str">
        <x:v>F34</x:v>
      </x:c>
      <x:c r="E952" s="21" t="str">
        <x:v>B0</x:v>
      </x:c>
      <x:c r="F952" s="21" t="str">
        <x:v>Effect</x:v>
      </x:c>
      <x:c r="G952" s="21" t="str">
        <x:v>0.0.0</x:v>
      </x:c>
      <x:c r="H952" s="21" t="str">
        <x:v>Independent Evidence and Data Authority</x:v>
      </x:c>
      <x:c r="I952" s="21" t="str">
        <x:v>OPEN</x:v>
      </x:c>
      <x:c r="J952" s="21" t="str">
        <x:v>HOLD</x:v>
      </x:c>
      <x:c r="K952" s="23" t="str">
        <x:v>what public condition must exist must be accepted before downstream release</x:v>
      </x:c>
    </x:row>
    <x:row r="953">
      <x:c r="B953" s="21" t="str">
        <x:v>BL-00947</x:v>
      </x:c>
      <x:c r="C953" s="21" t="str">
        <x:v>F34-I4</x:v>
      </x:c>
      <x:c r="D953" s="21" t="str">
        <x:v>F34</x:v>
      </x:c>
      <x:c r="E953" s="21" t="str">
        <x:v>B1</x:v>
      </x:c>
      <x:c r="F953" s="21" t="str">
        <x:v>Requirements</x:v>
      </x:c>
      <x:c r="G953" s="21" t="str">
        <x:v>0.0.0</x:v>
      </x:c>
      <x:c r="H953" s="21" t="str">
        <x:v>Independent Evidence and Data Authority</x:v>
      </x:c>
      <x:c r="I953" s="21" t="str">
        <x:v>OPEN</x:v>
      </x:c>
      <x:c r="J953" s="21" t="str">
        <x:v>HOLD</x:v>
      </x:c>
      <x:c r="K953" s="23" t="str">
        <x:v>what burdens and invalid states bound the effect must be accepted before downstream release</x:v>
      </x:c>
    </x:row>
    <x:row r="954">
      <x:c r="B954" s="21" t="str">
        <x:v>BL-00948</x:v>
      </x:c>
      <x:c r="C954" s="21" t="str">
        <x:v>F34-I4</x:v>
      </x:c>
      <x:c r="D954" s="21" t="str">
        <x:v>F34</x:v>
      </x:c>
      <x:c r="E954" s="21" t="str">
        <x:v>B2</x:v>
      </x:c>
      <x:c r="F954" s="21" t="str">
        <x:v>Architecture</x:v>
      </x:c>
      <x:c r="G954" s="21" t="str">
        <x:v>0.0.0</x:v>
      </x:c>
      <x:c r="H954" s="21" t="str">
        <x:v>Independent Evidence and Data Authority</x:v>
      </x:c>
      <x:c r="I954" s="21" t="str">
        <x:v>OPEN</x:v>
      </x:c>
      <x:c r="J954" s="21" t="str">
        <x:v>HOLD</x:v>
      </x:c>
      <x:c r="K954" s="23" t="str">
        <x:v>what interfaces and budgets govern the system must be accepted before downstream release</x:v>
      </x:c>
    </x:row>
    <x:row r="955">
      <x:c r="B955" s="21" t="str">
        <x:v>BL-00949</x:v>
      </x:c>
      <x:c r="C955" s="21" t="str">
        <x:v>F34-I4</x:v>
      </x:c>
      <x:c r="D955" s="21" t="str">
        <x:v>F34</x:v>
      </x:c>
      <x:c r="E955" s="21" t="str">
        <x:v>B3</x:v>
      </x:c>
      <x:c r="F955" s="21" t="str">
        <x:v>Build</x:v>
      </x:c>
      <x:c r="G955" s="21" t="str">
        <x:v>0.0.0</x:v>
      </x:c>
      <x:c r="H955" s="21" t="str">
        <x:v>Independent Evidence and Data Authority</x:v>
      </x:c>
      <x:c r="I955" s="21" t="str">
        <x:v>OPEN</x:v>
      </x:c>
      <x:c r="J955" s="21" t="str">
        <x:v>HOLD</x:v>
      </x:c>
      <x:c r="K955" s="23" t="str">
        <x:v>what exact configuration produced the article must be accepted before downstream release</x:v>
      </x:c>
    </x:row>
    <x:row r="956">
      <x:c r="B956" s="21" t="str">
        <x:v>BL-00950</x:v>
      </x:c>
      <x:c r="C956" s="21" t="str">
        <x:v>F34-I4</x:v>
      </x:c>
      <x:c r="D956" s="21" t="str">
        <x:v>F34</x:v>
      </x:c>
      <x:c r="E956" s="21" t="str">
        <x:v>B4</x:v>
      </x:c>
      <x:c r="F956" s="21" t="str">
        <x:v>Trial</x:v>
      </x:c>
      <x:c r="G956" s="21" t="str">
        <x:v>0.0.0</x:v>
      </x:c>
      <x:c r="H956" s="21" t="str">
        <x:v>Independent Evidence and Data Authority</x:v>
      </x:c>
      <x:c r="I956" s="21" t="str">
        <x:v>OPEN</x:v>
      </x:c>
      <x:c r="J956" s="21" t="str">
        <x:v>HOLD</x:v>
      </x:c>
      <x:c r="K956" s="23" t="str">
        <x:v>what configuration method and damage world produced evidence must be accepted before downstream release</x:v>
      </x:c>
    </x:row>
    <x:row r="957">
      <x:c r="B957" s="21" t="str">
        <x:v>BL-00951</x:v>
      </x:c>
      <x:c r="C957" s="21" t="str">
        <x:v>F34-I4</x:v>
      </x:c>
      <x:c r="D957" s="21" t="str">
        <x:v>F34</x:v>
      </x:c>
      <x:c r="E957" s="21" t="str">
        <x:v>B5</x:v>
      </x:c>
      <x:c r="F957" s="21" t="str">
        <x:v>Production</x:v>
      </x:c>
      <x:c r="G957" s="21" t="str">
        <x:v>0.0.0</x:v>
      </x:c>
      <x:c r="H957" s="21" t="str">
        <x:v>Independent Evidence and Data Authority</x:v>
      </x:c>
      <x:c r="I957" s="21" t="str">
        <x:v>OPEN</x:v>
      </x:c>
      <x:c r="J957" s="21" t="str">
        <x:v>HOLD</x:v>
      </x:c>
      <x:c r="K957" s="23" t="str">
        <x:v>what process configuration and acceptance define serial output must be accepted before downstream release</x:v>
      </x:c>
    </x:row>
    <x:row r="958">
      <x:c r="B958" s="21" t="str">
        <x:v>BL-00952</x:v>
      </x:c>
      <x:c r="C958" s="21" t="str">
        <x:v>F34-I4</x:v>
      </x:c>
      <x:c r="D958" s="21" t="str">
        <x:v>F34</x:v>
      </x:c>
      <x:c r="E958" s="21" t="str">
        <x:v>B6</x:v>
      </x:c>
      <x:c r="F958" s="21" t="str">
        <x:v>Mobilization</x:v>
      </x:c>
      <x:c r="G958" s="21" t="str">
        <x:v>0.0.0</x:v>
      </x:c>
      <x:c r="H958" s="21" t="str">
        <x:v>Independent Evidence and Data Authority</x:v>
      </x:c>
      <x:c r="I958" s="21" t="str">
        <x:v>OPEN</x:v>
      </x:c>
      <x:c r="J958" s="21" t="str">
        <x:v>HOLD</x:v>
      </x:c>
      <x:c r="K958" s="23" t="str">
        <x:v>what people tools suppliers and routes reproduce conforming service must be accepted before downstream release</x:v>
      </x:c>
    </x:row>
    <x:row r="959">
      <x:c r="B959" s="21" t="str">
        <x:v>BL-00953</x:v>
      </x:c>
      <x:c r="C959" s="21" t="str">
        <x:v>F35-I1</x:v>
      </x:c>
      <x:c r="D959" s="21" t="str">
        <x:v>F35</x:v>
      </x:c>
      <x:c r="E959" s="21" t="str">
        <x:v>B0</x:v>
      </x:c>
      <x:c r="F959" s="21" t="str">
        <x:v>Effect</x:v>
      </x:c>
      <x:c r="G959" s="21" t="str">
        <x:v>0.0.0</x:v>
      </x:c>
      <x:c r="H959" s="21" t="str">
        <x:v>Independent Evidence and Data Authority</x:v>
      </x:c>
      <x:c r="I959" s="21" t="str">
        <x:v>OPEN</x:v>
      </x:c>
      <x:c r="J959" s="21" t="str">
        <x:v>HOLD</x:v>
      </x:c>
      <x:c r="K959" s="23" t="str">
        <x:v>what public condition must exist must be accepted before downstream release</x:v>
      </x:c>
    </x:row>
    <x:row r="960">
      <x:c r="B960" s="21" t="str">
        <x:v>BL-00954</x:v>
      </x:c>
      <x:c r="C960" s="21" t="str">
        <x:v>F35-I1</x:v>
      </x:c>
      <x:c r="D960" s="21" t="str">
        <x:v>F35</x:v>
      </x:c>
      <x:c r="E960" s="21" t="str">
        <x:v>B1</x:v>
      </x:c>
      <x:c r="F960" s="21" t="str">
        <x:v>Requirements</x:v>
      </x:c>
      <x:c r="G960" s="21" t="str">
        <x:v>0.0.0</x:v>
      </x:c>
      <x:c r="H960" s="21" t="str">
        <x:v>Independent Evidence and Data Authority</x:v>
      </x:c>
      <x:c r="I960" s="21" t="str">
        <x:v>OPEN</x:v>
      </x:c>
      <x:c r="J960" s="21" t="str">
        <x:v>HOLD</x:v>
      </x:c>
      <x:c r="K960" s="23" t="str">
        <x:v>what burdens and invalid states bound the effect must be accepted before downstream release</x:v>
      </x:c>
    </x:row>
    <x:row r="961">
      <x:c r="B961" s="21" t="str">
        <x:v>BL-00955</x:v>
      </x:c>
      <x:c r="C961" s="21" t="str">
        <x:v>F35-I1</x:v>
      </x:c>
      <x:c r="D961" s="21" t="str">
        <x:v>F35</x:v>
      </x:c>
      <x:c r="E961" s="21" t="str">
        <x:v>B2</x:v>
      </x:c>
      <x:c r="F961" s="21" t="str">
        <x:v>Architecture</x:v>
      </x:c>
      <x:c r="G961" s="21" t="str">
        <x:v>0.0.0</x:v>
      </x:c>
      <x:c r="H961" s="21" t="str">
        <x:v>Independent Evidence and Data Authority</x:v>
      </x:c>
      <x:c r="I961" s="21" t="str">
        <x:v>OPEN</x:v>
      </x:c>
      <x:c r="J961" s="21" t="str">
        <x:v>HOLD</x:v>
      </x:c>
      <x:c r="K961" s="23" t="str">
        <x:v>what interfaces and budgets govern the system must be accepted before downstream release</x:v>
      </x:c>
    </x:row>
    <x:row r="962">
      <x:c r="B962" s="21" t="str">
        <x:v>BL-00956</x:v>
      </x:c>
      <x:c r="C962" s="21" t="str">
        <x:v>F35-I1</x:v>
      </x:c>
      <x:c r="D962" s="21" t="str">
        <x:v>F35</x:v>
      </x:c>
      <x:c r="E962" s="21" t="str">
        <x:v>B3</x:v>
      </x:c>
      <x:c r="F962" s="21" t="str">
        <x:v>Build</x:v>
      </x:c>
      <x:c r="G962" s="21" t="str">
        <x:v>0.0.0</x:v>
      </x:c>
      <x:c r="H962" s="21" t="str">
        <x:v>Independent Evidence and Data Authority</x:v>
      </x:c>
      <x:c r="I962" s="21" t="str">
        <x:v>OPEN</x:v>
      </x:c>
      <x:c r="J962" s="21" t="str">
        <x:v>HOLD</x:v>
      </x:c>
      <x:c r="K962" s="23" t="str">
        <x:v>what exact configuration produced the article must be accepted before downstream release</x:v>
      </x:c>
    </x:row>
    <x:row r="963">
      <x:c r="B963" s="21" t="str">
        <x:v>BL-00957</x:v>
      </x:c>
      <x:c r="C963" s="21" t="str">
        <x:v>F35-I1</x:v>
      </x:c>
      <x:c r="D963" s="21" t="str">
        <x:v>F35</x:v>
      </x:c>
      <x:c r="E963" s="21" t="str">
        <x:v>B4</x:v>
      </x:c>
      <x:c r="F963" s="21" t="str">
        <x:v>Trial</x:v>
      </x:c>
      <x:c r="G963" s="21" t="str">
        <x:v>0.0.0</x:v>
      </x:c>
      <x:c r="H963" s="21" t="str">
        <x:v>Independent Evidence and Data Authority</x:v>
      </x:c>
      <x:c r="I963" s="21" t="str">
        <x:v>OPEN</x:v>
      </x:c>
      <x:c r="J963" s="21" t="str">
        <x:v>HOLD</x:v>
      </x:c>
      <x:c r="K963" s="23" t="str">
        <x:v>what configuration method and damage world produced evidence must be accepted before downstream release</x:v>
      </x:c>
    </x:row>
    <x:row r="964">
      <x:c r="B964" s="21" t="str">
        <x:v>BL-00958</x:v>
      </x:c>
      <x:c r="C964" s="21" t="str">
        <x:v>F35-I1</x:v>
      </x:c>
      <x:c r="D964" s="21" t="str">
        <x:v>F35</x:v>
      </x:c>
      <x:c r="E964" s="21" t="str">
        <x:v>B5</x:v>
      </x:c>
      <x:c r="F964" s="21" t="str">
        <x:v>Production</x:v>
      </x:c>
      <x:c r="G964" s="21" t="str">
        <x:v>0.0.0</x:v>
      </x:c>
      <x:c r="H964" s="21" t="str">
        <x:v>Independent Evidence and Data Authority</x:v>
      </x:c>
      <x:c r="I964" s="21" t="str">
        <x:v>OPEN</x:v>
      </x:c>
      <x:c r="J964" s="21" t="str">
        <x:v>HOLD</x:v>
      </x:c>
      <x:c r="K964" s="23" t="str">
        <x:v>what process configuration and acceptance define serial output must be accepted before downstream release</x:v>
      </x:c>
    </x:row>
    <x:row r="965">
      <x:c r="B965" s="21" t="str">
        <x:v>BL-00959</x:v>
      </x:c>
      <x:c r="C965" s="21" t="str">
        <x:v>F35-I1</x:v>
      </x:c>
      <x:c r="D965" s="21" t="str">
        <x:v>F35</x:v>
      </x:c>
      <x:c r="E965" s="21" t="str">
        <x:v>B6</x:v>
      </x:c>
      <x:c r="F965" s="21" t="str">
        <x:v>Mobilization</x:v>
      </x:c>
      <x:c r="G965" s="21" t="str">
        <x:v>0.0.0</x:v>
      </x:c>
      <x:c r="H965" s="21" t="str">
        <x:v>Independent Evidence and Data Authority</x:v>
      </x:c>
      <x:c r="I965" s="21" t="str">
        <x:v>OPEN</x:v>
      </x:c>
      <x:c r="J965" s="21" t="str">
        <x:v>HOLD</x:v>
      </x:c>
      <x:c r="K965" s="23" t="str">
        <x:v>what people tools suppliers and routes reproduce conforming service must be accepted before downstream release</x:v>
      </x:c>
    </x:row>
    <x:row r="966">
      <x:c r="B966" s="21" t="str">
        <x:v>BL-00960</x:v>
      </x:c>
      <x:c r="C966" s="21" t="str">
        <x:v>F35-I2</x:v>
      </x:c>
      <x:c r="D966" s="21" t="str">
        <x:v>F35</x:v>
      </x:c>
      <x:c r="E966" s="21" t="str">
        <x:v>B0</x:v>
      </x:c>
      <x:c r="F966" s="21" t="str">
        <x:v>Effect</x:v>
      </x:c>
      <x:c r="G966" s="21" t="str">
        <x:v>0.0.0</x:v>
      </x:c>
      <x:c r="H966" s="21" t="str">
        <x:v>Independent Evidence and Data Authority</x:v>
      </x:c>
      <x:c r="I966" s="21" t="str">
        <x:v>OPEN</x:v>
      </x:c>
      <x:c r="J966" s="21" t="str">
        <x:v>HOLD</x:v>
      </x:c>
      <x:c r="K966" s="23" t="str">
        <x:v>what public condition must exist must be accepted before downstream release</x:v>
      </x:c>
    </x:row>
    <x:row r="967">
      <x:c r="B967" s="21" t="str">
        <x:v>BL-00961</x:v>
      </x:c>
      <x:c r="C967" s="21" t="str">
        <x:v>F35-I2</x:v>
      </x:c>
      <x:c r="D967" s="21" t="str">
        <x:v>F35</x:v>
      </x:c>
      <x:c r="E967" s="21" t="str">
        <x:v>B1</x:v>
      </x:c>
      <x:c r="F967" s="21" t="str">
        <x:v>Requirements</x:v>
      </x:c>
      <x:c r="G967" s="21" t="str">
        <x:v>0.0.0</x:v>
      </x:c>
      <x:c r="H967" s="21" t="str">
        <x:v>Independent Evidence and Data Authority</x:v>
      </x:c>
      <x:c r="I967" s="21" t="str">
        <x:v>OPEN</x:v>
      </x:c>
      <x:c r="J967" s="21" t="str">
        <x:v>HOLD</x:v>
      </x:c>
      <x:c r="K967" s="23" t="str">
        <x:v>what burdens and invalid states bound the effect must be accepted before downstream release</x:v>
      </x:c>
    </x:row>
    <x:row r="968">
      <x:c r="B968" s="21" t="str">
        <x:v>BL-00962</x:v>
      </x:c>
      <x:c r="C968" s="21" t="str">
        <x:v>F35-I2</x:v>
      </x:c>
      <x:c r="D968" s="21" t="str">
        <x:v>F35</x:v>
      </x:c>
      <x:c r="E968" s="21" t="str">
        <x:v>B2</x:v>
      </x:c>
      <x:c r="F968" s="21" t="str">
        <x:v>Architecture</x:v>
      </x:c>
      <x:c r="G968" s="21" t="str">
        <x:v>0.0.0</x:v>
      </x:c>
      <x:c r="H968" s="21" t="str">
        <x:v>Independent Evidence and Data Authority</x:v>
      </x:c>
      <x:c r="I968" s="21" t="str">
        <x:v>OPEN</x:v>
      </x:c>
      <x:c r="J968" s="21" t="str">
        <x:v>HOLD</x:v>
      </x:c>
      <x:c r="K968" s="23" t="str">
        <x:v>what interfaces and budgets govern the system must be accepted before downstream release</x:v>
      </x:c>
    </x:row>
    <x:row r="969">
      <x:c r="B969" s="21" t="str">
        <x:v>BL-00963</x:v>
      </x:c>
      <x:c r="C969" s="21" t="str">
        <x:v>F35-I2</x:v>
      </x:c>
      <x:c r="D969" s="21" t="str">
        <x:v>F35</x:v>
      </x:c>
      <x:c r="E969" s="21" t="str">
        <x:v>B3</x:v>
      </x:c>
      <x:c r="F969" s="21" t="str">
        <x:v>Build</x:v>
      </x:c>
      <x:c r="G969" s="21" t="str">
        <x:v>0.0.0</x:v>
      </x:c>
      <x:c r="H969" s="21" t="str">
        <x:v>Independent Evidence and Data Authority</x:v>
      </x:c>
      <x:c r="I969" s="21" t="str">
        <x:v>OPEN</x:v>
      </x:c>
      <x:c r="J969" s="21" t="str">
        <x:v>HOLD</x:v>
      </x:c>
      <x:c r="K969" s="23" t="str">
        <x:v>what exact configuration produced the article must be accepted before downstream release</x:v>
      </x:c>
    </x:row>
    <x:row r="970">
      <x:c r="B970" s="21" t="str">
        <x:v>BL-00964</x:v>
      </x:c>
      <x:c r="C970" s="21" t="str">
        <x:v>F35-I2</x:v>
      </x:c>
      <x:c r="D970" s="21" t="str">
        <x:v>F35</x:v>
      </x:c>
      <x:c r="E970" s="21" t="str">
        <x:v>B4</x:v>
      </x:c>
      <x:c r="F970" s="21" t="str">
        <x:v>Trial</x:v>
      </x:c>
      <x:c r="G970" s="21" t="str">
        <x:v>0.0.0</x:v>
      </x:c>
      <x:c r="H970" s="21" t="str">
        <x:v>Independent Evidence and Data Authority</x:v>
      </x:c>
      <x:c r="I970" s="21" t="str">
        <x:v>OPEN</x:v>
      </x:c>
      <x:c r="J970" s="21" t="str">
        <x:v>HOLD</x:v>
      </x:c>
      <x:c r="K970" s="23" t="str">
        <x:v>what configuration method and damage world produced evidence must be accepted before downstream release</x:v>
      </x:c>
    </x:row>
    <x:row r="971">
      <x:c r="B971" s="21" t="str">
        <x:v>BL-00965</x:v>
      </x:c>
      <x:c r="C971" s="21" t="str">
        <x:v>F35-I2</x:v>
      </x:c>
      <x:c r="D971" s="21" t="str">
        <x:v>F35</x:v>
      </x:c>
      <x:c r="E971" s="21" t="str">
        <x:v>B5</x:v>
      </x:c>
      <x:c r="F971" s="21" t="str">
        <x:v>Production</x:v>
      </x:c>
      <x:c r="G971" s="21" t="str">
        <x:v>0.0.0</x:v>
      </x:c>
      <x:c r="H971" s="21" t="str">
        <x:v>Independent Evidence and Data Authority</x:v>
      </x:c>
      <x:c r="I971" s="21" t="str">
        <x:v>OPEN</x:v>
      </x:c>
      <x:c r="J971" s="21" t="str">
        <x:v>HOLD</x:v>
      </x:c>
      <x:c r="K971" s="23" t="str">
        <x:v>what process configuration and acceptance define serial output must be accepted before downstream release</x:v>
      </x:c>
    </x:row>
    <x:row r="972">
      <x:c r="B972" s="21" t="str">
        <x:v>BL-00966</x:v>
      </x:c>
      <x:c r="C972" s="21" t="str">
        <x:v>F35-I2</x:v>
      </x:c>
      <x:c r="D972" s="21" t="str">
        <x:v>F35</x:v>
      </x:c>
      <x:c r="E972" s="21" t="str">
        <x:v>B6</x:v>
      </x:c>
      <x:c r="F972" s="21" t="str">
        <x:v>Mobilization</x:v>
      </x:c>
      <x:c r="G972" s="21" t="str">
        <x:v>0.0.0</x:v>
      </x:c>
      <x:c r="H972" s="21" t="str">
        <x:v>Independent Evidence and Data Authority</x:v>
      </x:c>
      <x:c r="I972" s="21" t="str">
        <x:v>OPEN</x:v>
      </x:c>
      <x:c r="J972" s="21" t="str">
        <x:v>HOLD</x:v>
      </x:c>
      <x:c r="K972" s="23" t="str">
        <x:v>what people tools suppliers and routes reproduce conforming service must be accepted before downstream release</x:v>
      </x:c>
    </x:row>
    <x:row r="973">
      <x:c r="B973" s="21" t="str">
        <x:v>BL-00967</x:v>
      </x:c>
      <x:c r="C973" s="21" t="str">
        <x:v>F35-I3</x:v>
      </x:c>
      <x:c r="D973" s="21" t="str">
        <x:v>F35</x:v>
      </x:c>
      <x:c r="E973" s="21" t="str">
        <x:v>B0</x:v>
      </x:c>
      <x:c r="F973" s="21" t="str">
        <x:v>Effect</x:v>
      </x:c>
      <x:c r="G973" s="21" t="str">
        <x:v>0.0.0</x:v>
      </x:c>
      <x:c r="H973" s="21" t="str">
        <x:v>Independent Evidence and Data Authority</x:v>
      </x:c>
      <x:c r="I973" s="21" t="str">
        <x:v>OPEN</x:v>
      </x:c>
      <x:c r="J973" s="21" t="str">
        <x:v>HOLD</x:v>
      </x:c>
      <x:c r="K973" s="23" t="str">
        <x:v>what public condition must exist must be accepted before downstream release</x:v>
      </x:c>
    </x:row>
    <x:row r="974">
      <x:c r="B974" s="21" t="str">
        <x:v>BL-00968</x:v>
      </x:c>
      <x:c r="C974" s="21" t="str">
        <x:v>F35-I3</x:v>
      </x:c>
      <x:c r="D974" s="21" t="str">
        <x:v>F35</x:v>
      </x:c>
      <x:c r="E974" s="21" t="str">
        <x:v>B1</x:v>
      </x:c>
      <x:c r="F974" s="21" t="str">
        <x:v>Requirements</x:v>
      </x:c>
      <x:c r="G974" s="21" t="str">
        <x:v>0.0.0</x:v>
      </x:c>
      <x:c r="H974" s="21" t="str">
        <x:v>Independent Evidence and Data Authority</x:v>
      </x:c>
      <x:c r="I974" s="21" t="str">
        <x:v>OPEN</x:v>
      </x:c>
      <x:c r="J974" s="21" t="str">
        <x:v>HOLD</x:v>
      </x:c>
      <x:c r="K974" s="23" t="str">
        <x:v>what burdens and invalid states bound the effect must be accepted before downstream release</x:v>
      </x:c>
    </x:row>
    <x:row r="975">
      <x:c r="B975" s="21" t="str">
        <x:v>BL-00969</x:v>
      </x:c>
      <x:c r="C975" s="21" t="str">
        <x:v>F35-I3</x:v>
      </x:c>
      <x:c r="D975" s="21" t="str">
        <x:v>F35</x:v>
      </x:c>
      <x:c r="E975" s="21" t="str">
        <x:v>B2</x:v>
      </x:c>
      <x:c r="F975" s="21" t="str">
        <x:v>Architecture</x:v>
      </x:c>
      <x:c r="G975" s="21" t="str">
        <x:v>0.0.0</x:v>
      </x:c>
      <x:c r="H975" s="21" t="str">
        <x:v>Independent Evidence and Data Authority</x:v>
      </x:c>
      <x:c r="I975" s="21" t="str">
        <x:v>OPEN</x:v>
      </x:c>
      <x:c r="J975" s="21" t="str">
        <x:v>HOLD</x:v>
      </x:c>
      <x:c r="K975" s="23" t="str">
        <x:v>what interfaces and budgets govern the system must be accepted before downstream release</x:v>
      </x:c>
    </x:row>
    <x:row r="976">
      <x:c r="B976" s="21" t="str">
        <x:v>BL-00970</x:v>
      </x:c>
      <x:c r="C976" s="21" t="str">
        <x:v>F35-I3</x:v>
      </x:c>
      <x:c r="D976" s="21" t="str">
        <x:v>F35</x:v>
      </x:c>
      <x:c r="E976" s="21" t="str">
        <x:v>B3</x:v>
      </x:c>
      <x:c r="F976" s="21" t="str">
        <x:v>Build</x:v>
      </x:c>
      <x:c r="G976" s="21" t="str">
        <x:v>0.0.0</x:v>
      </x:c>
      <x:c r="H976" s="21" t="str">
        <x:v>Independent Evidence and Data Authority</x:v>
      </x:c>
      <x:c r="I976" s="21" t="str">
        <x:v>OPEN</x:v>
      </x:c>
      <x:c r="J976" s="21" t="str">
        <x:v>HOLD</x:v>
      </x:c>
      <x:c r="K976" s="23" t="str">
        <x:v>what exact configuration produced the article must be accepted before downstream release</x:v>
      </x:c>
    </x:row>
    <x:row r="977">
      <x:c r="B977" s="21" t="str">
        <x:v>BL-00971</x:v>
      </x:c>
      <x:c r="C977" s="21" t="str">
        <x:v>F35-I3</x:v>
      </x:c>
      <x:c r="D977" s="21" t="str">
        <x:v>F35</x:v>
      </x:c>
      <x:c r="E977" s="21" t="str">
        <x:v>B4</x:v>
      </x:c>
      <x:c r="F977" s="21" t="str">
        <x:v>Trial</x:v>
      </x:c>
      <x:c r="G977" s="21" t="str">
        <x:v>0.0.0</x:v>
      </x:c>
      <x:c r="H977" s="21" t="str">
        <x:v>Independent Evidence and Data Authority</x:v>
      </x:c>
      <x:c r="I977" s="21" t="str">
        <x:v>OPEN</x:v>
      </x:c>
      <x:c r="J977" s="21" t="str">
        <x:v>HOLD</x:v>
      </x:c>
      <x:c r="K977" s="23" t="str">
        <x:v>what configuration method and damage world produced evidence must be accepted before downstream release</x:v>
      </x:c>
    </x:row>
    <x:row r="978">
      <x:c r="B978" s="21" t="str">
        <x:v>BL-00972</x:v>
      </x:c>
      <x:c r="C978" s="21" t="str">
        <x:v>F35-I3</x:v>
      </x:c>
      <x:c r="D978" s="21" t="str">
        <x:v>F35</x:v>
      </x:c>
      <x:c r="E978" s="21" t="str">
        <x:v>B5</x:v>
      </x:c>
      <x:c r="F978" s="21" t="str">
        <x:v>Production</x:v>
      </x:c>
      <x:c r="G978" s="21" t="str">
        <x:v>0.0.0</x:v>
      </x:c>
      <x:c r="H978" s="21" t="str">
        <x:v>Independent Evidence and Data Authority</x:v>
      </x:c>
      <x:c r="I978" s="21" t="str">
        <x:v>OPEN</x:v>
      </x:c>
      <x:c r="J978" s="21" t="str">
        <x:v>HOLD</x:v>
      </x:c>
      <x:c r="K978" s="23" t="str">
        <x:v>what process configuration and acceptance define serial output must be accepted before downstream release</x:v>
      </x:c>
    </x:row>
    <x:row r="979">
      <x:c r="B979" s="21" t="str">
        <x:v>BL-00973</x:v>
      </x:c>
      <x:c r="C979" s="21" t="str">
        <x:v>F35-I3</x:v>
      </x:c>
      <x:c r="D979" s="21" t="str">
        <x:v>F35</x:v>
      </x:c>
      <x:c r="E979" s="21" t="str">
        <x:v>B6</x:v>
      </x:c>
      <x:c r="F979" s="21" t="str">
        <x:v>Mobilization</x:v>
      </x:c>
      <x:c r="G979" s="21" t="str">
        <x:v>0.0.0</x:v>
      </x:c>
      <x:c r="H979" s="21" t="str">
        <x:v>Independent Evidence and Data Authority</x:v>
      </x:c>
      <x:c r="I979" s="21" t="str">
        <x:v>OPEN</x:v>
      </x:c>
      <x:c r="J979" s="21" t="str">
        <x:v>HOLD</x:v>
      </x:c>
      <x:c r="K979" s="23" t="str">
        <x:v>what people tools suppliers and routes reproduce conforming service must be accepted before downstream release</x:v>
      </x:c>
    </x:row>
    <x:row r="980">
      <x:c r="B980" s="21" t="str">
        <x:v>BL-00974</x:v>
      </x:c>
      <x:c r="C980" s="21" t="str">
        <x:v>F35-I4</x:v>
      </x:c>
      <x:c r="D980" s="21" t="str">
        <x:v>F35</x:v>
      </x:c>
      <x:c r="E980" s="21" t="str">
        <x:v>B0</x:v>
      </x:c>
      <x:c r="F980" s="21" t="str">
        <x:v>Effect</x:v>
      </x:c>
      <x:c r="G980" s="21" t="str">
        <x:v>0.0.0</x:v>
      </x:c>
      <x:c r="H980" s="21" t="str">
        <x:v>Independent Evidence and Data Authority</x:v>
      </x:c>
      <x:c r="I980" s="21" t="str">
        <x:v>OPEN</x:v>
      </x:c>
      <x:c r="J980" s="21" t="str">
        <x:v>HOLD</x:v>
      </x:c>
      <x:c r="K980" s="23" t="str">
        <x:v>what public condition must exist must be accepted before downstream release</x:v>
      </x:c>
    </x:row>
    <x:row r="981">
      <x:c r="B981" s="21" t="str">
        <x:v>BL-00975</x:v>
      </x:c>
      <x:c r="C981" s="21" t="str">
        <x:v>F35-I4</x:v>
      </x:c>
      <x:c r="D981" s="21" t="str">
        <x:v>F35</x:v>
      </x:c>
      <x:c r="E981" s="21" t="str">
        <x:v>B1</x:v>
      </x:c>
      <x:c r="F981" s="21" t="str">
        <x:v>Requirements</x:v>
      </x:c>
      <x:c r="G981" s="21" t="str">
        <x:v>0.0.0</x:v>
      </x:c>
      <x:c r="H981" s="21" t="str">
        <x:v>Independent Evidence and Data Authority</x:v>
      </x:c>
      <x:c r="I981" s="21" t="str">
        <x:v>OPEN</x:v>
      </x:c>
      <x:c r="J981" s="21" t="str">
        <x:v>HOLD</x:v>
      </x:c>
      <x:c r="K981" s="23" t="str">
        <x:v>what burdens and invalid states bound the effect must be accepted before downstream release</x:v>
      </x:c>
    </x:row>
    <x:row r="982">
      <x:c r="B982" s="21" t="str">
        <x:v>BL-00976</x:v>
      </x:c>
      <x:c r="C982" s="21" t="str">
        <x:v>F35-I4</x:v>
      </x:c>
      <x:c r="D982" s="21" t="str">
        <x:v>F35</x:v>
      </x:c>
      <x:c r="E982" s="21" t="str">
        <x:v>B2</x:v>
      </x:c>
      <x:c r="F982" s="21" t="str">
        <x:v>Architecture</x:v>
      </x:c>
      <x:c r="G982" s="21" t="str">
        <x:v>0.0.0</x:v>
      </x:c>
      <x:c r="H982" s="21" t="str">
        <x:v>Independent Evidence and Data Authority</x:v>
      </x:c>
      <x:c r="I982" s="21" t="str">
        <x:v>OPEN</x:v>
      </x:c>
      <x:c r="J982" s="21" t="str">
        <x:v>HOLD</x:v>
      </x:c>
      <x:c r="K982" s="23" t="str">
        <x:v>what interfaces and budgets govern the system must be accepted before downstream release</x:v>
      </x:c>
    </x:row>
    <x:row r="983">
      <x:c r="B983" s="21" t="str">
        <x:v>BL-00977</x:v>
      </x:c>
      <x:c r="C983" s="21" t="str">
        <x:v>F35-I4</x:v>
      </x:c>
      <x:c r="D983" s="21" t="str">
        <x:v>F35</x:v>
      </x:c>
      <x:c r="E983" s="21" t="str">
        <x:v>B3</x:v>
      </x:c>
      <x:c r="F983" s="21" t="str">
        <x:v>Build</x:v>
      </x:c>
      <x:c r="G983" s="21" t="str">
        <x:v>0.0.0</x:v>
      </x:c>
      <x:c r="H983" s="21" t="str">
        <x:v>Independent Evidence and Data Authority</x:v>
      </x:c>
      <x:c r="I983" s="21" t="str">
        <x:v>OPEN</x:v>
      </x:c>
      <x:c r="J983" s="21" t="str">
        <x:v>HOLD</x:v>
      </x:c>
      <x:c r="K983" s="23" t="str">
        <x:v>what exact configuration produced the article must be accepted before downstream release</x:v>
      </x:c>
    </x:row>
    <x:row r="984">
      <x:c r="B984" s="21" t="str">
        <x:v>BL-00978</x:v>
      </x:c>
      <x:c r="C984" s="21" t="str">
        <x:v>F35-I4</x:v>
      </x:c>
      <x:c r="D984" s="21" t="str">
        <x:v>F35</x:v>
      </x:c>
      <x:c r="E984" s="21" t="str">
        <x:v>B4</x:v>
      </x:c>
      <x:c r="F984" s="21" t="str">
        <x:v>Trial</x:v>
      </x:c>
      <x:c r="G984" s="21" t="str">
        <x:v>0.0.0</x:v>
      </x:c>
      <x:c r="H984" s="21" t="str">
        <x:v>Independent Evidence and Data Authority</x:v>
      </x:c>
      <x:c r="I984" s="21" t="str">
        <x:v>OPEN</x:v>
      </x:c>
      <x:c r="J984" s="21" t="str">
        <x:v>HOLD</x:v>
      </x:c>
      <x:c r="K984" s="23" t="str">
        <x:v>what configuration method and damage world produced evidence must be accepted before downstream release</x:v>
      </x:c>
    </x:row>
    <x:row r="985">
      <x:c r="B985" s="21" t="str">
        <x:v>BL-00979</x:v>
      </x:c>
      <x:c r="C985" s="21" t="str">
        <x:v>F35-I4</x:v>
      </x:c>
      <x:c r="D985" s="21" t="str">
        <x:v>F35</x:v>
      </x:c>
      <x:c r="E985" s="21" t="str">
        <x:v>B5</x:v>
      </x:c>
      <x:c r="F985" s="21" t="str">
        <x:v>Production</x:v>
      </x:c>
      <x:c r="G985" s="21" t="str">
        <x:v>0.0.0</x:v>
      </x:c>
      <x:c r="H985" s="21" t="str">
        <x:v>Independent Evidence and Data Authority</x:v>
      </x:c>
      <x:c r="I985" s="21" t="str">
        <x:v>OPEN</x:v>
      </x:c>
      <x:c r="J985" s="21" t="str">
        <x:v>HOLD</x:v>
      </x:c>
      <x:c r="K985" s="23" t="str">
        <x:v>what process configuration and acceptance define serial output must be accepted before downstream release</x:v>
      </x:c>
    </x:row>
    <x:row r="986">
      <x:c r="B986" s="21" t="str">
        <x:v>BL-00980</x:v>
      </x:c>
      <x:c r="C986" s="21" t="str">
        <x:v>F35-I4</x:v>
      </x:c>
      <x:c r="D986" s="21" t="str">
        <x:v>F35</x:v>
      </x:c>
      <x:c r="E986" s="21" t="str">
        <x:v>B6</x:v>
      </x:c>
      <x:c r="F986" s="21" t="str">
        <x:v>Mobilization</x:v>
      </x:c>
      <x:c r="G986" s="21" t="str">
        <x:v>0.0.0</x:v>
      </x:c>
      <x:c r="H986" s="21" t="str">
        <x:v>Independent Evidence and Data Authority</x:v>
      </x:c>
      <x:c r="I986" s="21" t="str">
        <x:v>OPEN</x:v>
      </x:c>
      <x:c r="J986" s="21" t="str">
        <x:v>HOLD</x:v>
      </x:c>
      <x:c r="K986" s="23" t="str">
        <x:v>what people tools suppliers and routes reproduce conforming service must be accepted before downstream release</x:v>
      </x:c>
    </x:row>
    <x:row r="987">
      <x:c r="B987" s="21" t="str">
        <x:v>BL-00981</x:v>
      </x:c>
      <x:c r="C987" s="21" t="str">
        <x:v>F36-I1</x:v>
      </x:c>
      <x:c r="D987" s="21" t="str">
        <x:v>F36</x:v>
      </x:c>
      <x:c r="E987" s="21" t="str">
        <x:v>B0</x:v>
      </x:c>
      <x:c r="F987" s="21" t="str">
        <x:v>Effect</x:v>
      </x:c>
      <x:c r="G987" s="21" t="str">
        <x:v>0.0.0</x:v>
      </x:c>
      <x:c r="H987" s="21" t="str">
        <x:v>Independent Evidence and Data Authority</x:v>
      </x:c>
      <x:c r="I987" s="21" t="str">
        <x:v>OPEN</x:v>
      </x:c>
      <x:c r="J987" s="21" t="str">
        <x:v>HOLD</x:v>
      </x:c>
      <x:c r="K987" s="23" t="str">
        <x:v>what public condition must exist must be accepted before downstream release</x:v>
      </x:c>
    </x:row>
    <x:row r="988">
      <x:c r="B988" s="21" t="str">
        <x:v>BL-00982</x:v>
      </x:c>
      <x:c r="C988" s="21" t="str">
        <x:v>F36-I1</x:v>
      </x:c>
      <x:c r="D988" s="21" t="str">
        <x:v>F36</x:v>
      </x:c>
      <x:c r="E988" s="21" t="str">
        <x:v>B1</x:v>
      </x:c>
      <x:c r="F988" s="21" t="str">
        <x:v>Requirements</x:v>
      </x:c>
      <x:c r="G988" s="21" t="str">
        <x:v>0.0.0</x:v>
      </x:c>
      <x:c r="H988" s="21" t="str">
        <x:v>Independent Evidence and Data Authority</x:v>
      </x:c>
      <x:c r="I988" s="21" t="str">
        <x:v>OPEN</x:v>
      </x:c>
      <x:c r="J988" s="21" t="str">
        <x:v>HOLD</x:v>
      </x:c>
      <x:c r="K988" s="23" t="str">
        <x:v>what burdens and invalid states bound the effect must be accepted before downstream release</x:v>
      </x:c>
    </x:row>
    <x:row r="989">
      <x:c r="B989" s="21" t="str">
        <x:v>BL-00983</x:v>
      </x:c>
      <x:c r="C989" s="21" t="str">
        <x:v>F36-I1</x:v>
      </x:c>
      <x:c r="D989" s="21" t="str">
        <x:v>F36</x:v>
      </x:c>
      <x:c r="E989" s="21" t="str">
        <x:v>B2</x:v>
      </x:c>
      <x:c r="F989" s="21" t="str">
        <x:v>Architecture</x:v>
      </x:c>
      <x:c r="G989" s="21" t="str">
        <x:v>0.0.0</x:v>
      </x:c>
      <x:c r="H989" s="21" t="str">
        <x:v>Independent Evidence and Data Authority</x:v>
      </x:c>
      <x:c r="I989" s="21" t="str">
        <x:v>OPEN</x:v>
      </x:c>
      <x:c r="J989" s="21" t="str">
        <x:v>HOLD</x:v>
      </x:c>
      <x:c r="K989" s="23" t="str">
        <x:v>what interfaces and budgets govern the system must be accepted before downstream release</x:v>
      </x:c>
    </x:row>
    <x:row r="990">
      <x:c r="B990" s="21" t="str">
        <x:v>BL-00984</x:v>
      </x:c>
      <x:c r="C990" s="21" t="str">
        <x:v>F36-I1</x:v>
      </x:c>
      <x:c r="D990" s="21" t="str">
        <x:v>F36</x:v>
      </x:c>
      <x:c r="E990" s="21" t="str">
        <x:v>B3</x:v>
      </x:c>
      <x:c r="F990" s="21" t="str">
        <x:v>Build</x:v>
      </x:c>
      <x:c r="G990" s="21" t="str">
        <x:v>0.0.0</x:v>
      </x:c>
      <x:c r="H990" s="21" t="str">
        <x:v>Independent Evidence and Data Authority</x:v>
      </x:c>
      <x:c r="I990" s="21" t="str">
        <x:v>OPEN</x:v>
      </x:c>
      <x:c r="J990" s="21" t="str">
        <x:v>HOLD</x:v>
      </x:c>
      <x:c r="K990" s="23" t="str">
        <x:v>what exact configuration produced the article must be accepted before downstream release</x:v>
      </x:c>
    </x:row>
    <x:row r="991">
      <x:c r="B991" s="21" t="str">
        <x:v>BL-00985</x:v>
      </x:c>
      <x:c r="C991" s="21" t="str">
        <x:v>F36-I1</x:v>
      </x:c>
      <x:c r="D991" s="21" t="str">
        <x:v>F36</x:v>
      </x:c>
      <x:c r="E991" s="21" t="str">
        <x:v>B4</x:v>
      </x:c>
      <x:c r="F991" s="21" t="str">
        <x:v>Trial</x:v>
      </x:c>
      <x:c r="G991" s="21" t="str">
        <x:v>0.0.0</x:v>
      </x:c>
      <x:c r="H991" s="21" t="str">
        <x:v>Independent Evidence and Data Authority</x:v>
      </x:c>
      <x:c r="I991" s="21" t="str">
        <x:v>OPEN</x:v>
      </x:c>
      <x:c r="J991" s="21" t="str">
        <x:v>HOLD</x:v>
      </x:c>
      <x:c r="K991" s="23" t="str">
        <x:v>what configuration method and damage world produced evidence must be accepted before downstream release</x:v>
      </x:c>
    </x:row>
    <x:row r="992">
      <x:c r="B992" s="21" t="str">
        <x:v>BL-00986</x:v>
      </x:c>
      <x:c r="C992" s="21" t="str">
        <x:v>F36-I1</x:v>
      </x:c>
      <x:c r="D992" s="21" t="str">
        <x:v>F36</x:v>
      </x:c>
      <x:c r="E992" s="21" t="str">
        <x:v>B5</x:v>
      </x:c>
      <x:c r="F992" s="21" t="str">
        <x:v>Production</x:v>
      </x:c>
      <x:c r="G992" s="21" t="str">
        <x:v>0.0.0</x:v>
      </x:c>
      <x:c r="H992" s="21" t="str">
        <x:v>Independent Evidence and Data Authority</x:v>
      </x:c>
      <x:c r="I992" s="21" t="str">
        <x:v>OPEN</x:v>
      </x:c>
      <x:c r="J992" s="21" t="str">
        <x:v>HOLD</x:v>
      </x:c>
      <x:c r="K992" s="23" t="str">
        <x:v>what process configuration and acceptance define serial output must be accepted before downstream release</x:v>
      </x:c>
    </x:row>
    <x:row r="993">
      <x:c r="B993" s="21" t="str">
        <x:v>BL-00987</x:v>
      </x:c>
      <x:c r="C993" s="21" t="str">
        <x:v>F36-I1</x:v>
      </x:c>
      <x:c r="D993" s="21" t="str">
        <x:v>F36</x:v>
      </x:c>
      <x:c r="E993" s="21" t="str">
        <x:v>B6</x:v>
      </x:c>
      <x:c r="F993" s="21" t="str">
        <x:v>Mobilization</x:v>
      </x:c>
      <x:c r="G993" s="21" t="str">
        <x:v>0.0.0</x:v>
      </x:c>
      <x:c r="H993" s="21" t="str">
        <x:v>Independent Evidence and Data Authority</x:v>
      </x:c>
      <x:c r="I993" s="21" t="str">
        <x:v>OPEN</x:v>
      </x:c>
      <x:c r="J993" s="21" t="str">
        <x:v>HOLD</x:v>
      </x:c>
      <x:c r="K993" s="23" t="str">
        <x:v>what people tools suppliers and routes reproduce conforming service must be accepted before downstream release</x:v>
      </x:c>
    </x:row>
    <x:row r="994">
      <x:c r="B994" s="21" t="str">
        <x:v>BL-00988</x:v>
      </x:c>
      <x:c r="C994" s="21" t="str">
        <x:v>F36-I2</x:v>
      </x:c>
      <x:c r="D994" s="21" t="str">
        <x:v>F36</x:v>
      </x:c>
      <x:c r="E994" s="21" t="str">
        <x:v>B0</x:v>
      </x:c>
      <x:c r="F994" s="21" t="str">
        <x:v>Effect</x:v>
      </x:c>
      <x:c r="G994" s="21" t="str">
        <x:v>0.0.0</x:v>
      </x:c>
      <x:c r="H994" s="21" t="str">
        <x:v>Independent Evidence and Data Authority</x:v>
      </x:c>
      <x:c r="I994" s="21" t="str">
        <x:v>OPEN</x:v>
      </x:c>
      <x:c r="J994" s="21" t="str">
        <x:v>HOLD</x:v>
      </x:c>
      <x:c r="K994" s="23" t="str">
        <x:v>what public condition must exist must be accepted before downstream release</x:v>
      </x:c>
    </x:row>
    <x:row r="995">
      <x:c r="B995" s="21" t="str">
        <x:v>BL-00989</x:v>
      </x:c>
      <x:c r="C995" s="21" t="str">
        <x:v>F36-I2</x:v>
      </x:c>
      <x:c r="D995" s="21" t="str">
        <x:v>F36</x:v>
      </x:c>
      <x:c r="E995" s="21" t="str">
        <x:v>B1</x:v>
      </x:c>
      <x:c r="F995" s="21" t="str">
        <x:v>Requirements</x:v>
      </x:c>
      <x:c r="G995" s="21" t="str">
        <x:v>0.0.0</x:v>
      </x:c>
      <x:c r="H995" s="21" t="str">
        <x:v>Independent Evidence and Data Authority</x:v>
      </x:c>
      <x:c r="I995" s="21" t="str">
        <x:v>OPEN</x:v>
      </x:c>
      <x:c r="J995" s="21" t="str">
        <x:v>HOLD</x:v>
      </x:c>
      <x:c r="K995" s="23" t="str">
        <x:v>what burdens and invalid states bound the effect must be accepted before downstream release</x:v>
      </x:c>
    </x:row>
    <x:row r="996">
      <x:c r="B996" s="21" t="str">
        <x:v>BL-00990</x:v>
      </x:c>
      <x:c r="C996" s="21" t="str">
        <x:v>F36-I2</x:v>
      </x:c>
      <x:c r="D996" s="21" t="str">
        <x:v>F36</x:v>
      </x:c>
      <x:c r="E996" s="21" t="str">
        <x:v>B2</x:v>
      </x:c>
      <x:c r="F996" s="21" t="str">
        <x:v>Architecture</x:v>
      </x:c>
      <x:c r="G996" s="21" t="str">
        <x:v>0.0.0</x:v>
      </x:c>
      <x:c r="H996" s="21" t="str">
        <x:v>Independent Evidence and Data Authority</x:v>
      </x:c>
      <x:c r="I996" s="21" t="str">
        <x:v>OPEN</x:v>
      </x:c>
      <x:c r="J996" s="21" t="str">
        <x:v>HOLD</x:v>
      </x:c>
      <x:c r="K996" s="23" t="str">
        <x:v>what interfaces and budgets govern the system must be accepted before downstream release</x:v>
      </x:c>
    </x:row>
    <x:row r="997">
      <x:c r="B997" s="21" t="str">
        <x:v>BL-00991</x:v>
      </x:c>
      <x:c r="C997" s="21" t="str">
        <x:v>F36-I2</x:v>
      </x:c>
      <x:c r="D997" s="21" t="str">
        <x:v>F36</x:v>
      </x:c>
      <x:c r="E997" s="21" t="str">
        <x:v>B3</x:v>
      </x:c>
      <x:c r="F997" s="21" t="str">
        <x:v>Build</x:v>
      </x:c>
      <x:c r="G997" s="21" t="str">
        <x:v>0.0.0</x:v>
      </x:c>
      <x:c r="H997" s="21" t="str">
        <x:v>Independent Evidence and Data Authority</x:v>
      </x:c>
      <x:c r="I997" s="21" t="str">
        <x:v>OPEN</x:v>
      </x:c>
      <x:c r="J997" s="21" t="str">
        <x:v>HOLD</x:v>
      </x:c>
      <x:c r="K997" s="23" t="str">
        <x:v>what exact configuration produced the article must be accepted before downstream release</x:v>
      </x:c>
    </x:row>
    <x:row r="998">
      <x:c r="B998" s="21" t="str">
        <x:v>BL-00992</x:v>
      </x:c>
      <x:c r="C998" s="21" t="str">
        <x:v>F36-I2</x:v>
      </x:c>
      <x:c r="D998" s="21" t="str">
        <x:v>F36</x:v>
      </x:c>
      <x:c r="E998" s="21" t="str">
        <x:v>B4</x:v>
      </x:c>
      <x:c r="F998" s="21" t="str">
        <x:v>Trial</x:v>
      </x:c>
      <x:c r="G998" s="21" t="str">
        <x:v>0.0.0</x:v>
      </x:c>
      <x:c r="H998" s="21" t="str">
        <x:v>Independent Evidence and Data Authority</x:v>
      </x:c>
      <x:c r="I998" s="21" t="str">
        <x:v>OPEN</x:v>
      </x:c>
      <x:c r="J998" s="21" t="str">
        <x:v>HOLD</x:v>
      </x:c>
      <x:c r="K998" s="23" t="str">
        <x:v>what configuration method and damage world produced evidence must be accepted before downstream release</x:v>
      </x:c>
    </x:row>
    <x:row r="999">
      <x:c r="B999" s="21" t="str">
        <x:v>BL-00993</x:v>
      </x:c>
      <x:c r="C999" s="21" t="str">
        <x:v>F36-I2</x:v>
      </x:c>
      <x:c r="D999" s="21" t="str">
        <x:v>F36</x:v>
      </x:c>
      <x:c r="E999" s="21" t="str">
        <x:v>B5</x:v>
      </x:c>
      <x:c r="F999" s="21" t="str">
        <x:v>Production</x:v>
      </x:c>
      <x:c r="G999" s="21" t="str">
        <x:v>0.0.0</x:v>
      </x:c>
      <x:c r="H999" s="21" t="str">
        <x:v>Independent Evidence and Data Authority</x:v>
      </x:c>
      <x:c r="I999" s="21" t="str">
        <x:v>OPEN</x:v>
      </x:c>
      <x:c r="J999" s="21" t="str">
        <x:v>HOLD</x:v>
      </x:c>
      <x:c r="K999" s="23" t="str">
        <x:v>what process configuration and acceptance define serial output must be accepted before downstream release</x:v>
      </x:c>
    </x:row>
    <x:row r="1000">
      <x:c r="B1000" s="21" t="str">
        <x:v>BL-00994</x:v>
      </x:c>
      <x:c r="C1000" s="21" t="str">
        <x:v>F36-I2</x:v>
      </x:c>
      <x:c r="D1000" s="21" t="str">
        <x:v>F36</x:v>
      </x:c>
      <x:c r="E1000" s="21" t="str">
        <x:v>B6</x:v>
      </x:c>
      <x:c r="F1000" s="21" t="str">
        <x:v>Mobilization</x:v>
      </x:c>
      <x:c r="G1000" s="21" t="str">
        <x:v>0.0.0</x:v>
      </x:c>
      <x:c r="H1000" s="21" t="str">
        <x:v>Independent Evidence and Data Authority</x:v>
      </x:c>
      <x:c r="I1000" s="21" t="str">
        <x:v>OPEN</x:v>
      </x:c>
      <x:c r="J1000" s="21" t="str">
        <x:v>HOLD</x:v>
      </x:c>
      <x:c r="K1000" s="23" t="str">
        <x:v>what people tools suppliers and routes reproduce conforming service must be accepted before downstream release</x:v>
      </x:c>
    </x:row>
    <x:row r="1001">
      <x:c r="B1001" s="21" t="str">
        <x:v>BL-00995</x:v>
      </x:c>
      <x:c r="C1001" s="21" t="str">
        <x:v>F36-I3</x:v>
      </x:c>
      <x:c r="D1001" s="21" t="str">
        <x:v>F36</x:v>
      </x:c>
      <x:c r="E1001" s="21" t="str">
        <x:v>B0</x:v>
      </x:c>
      <x:c r="F1001" s="21" t="str">
        <x:v>Effect</x:v>
      </x:c>
      <x:c r="G1001" s="21" t="str">
        <x:v>0.0.0</x:v>
      </x:c>
      <x:c r="H1001" s="21" t="str">
        <x:v>Independent Evidence and Data Authority</x:v>
      </x:c>
      <x:c r="I1001" s="21" t="str">
        <x:v>OPEN</x:v>
      </x:c>
      <x:c r="J1001" s="21" t="str">
        <x:v>HOLD</x:v>
      </x:c>
      <x:c r="K1001" s="23" t="str">
        <x:v>what public condition must exist must be accepted before downstream release</x:v>
      </x:c>
    </x:row>
    <x:row r="1002">
      <x:c r="B1002" s="21" t="str">
        <x:v>BL-00996</x:v>
      </x:c>
      <x:c r="C1002" s="21" t="str">
        <x:v>F36-I3</x:v>
      </x:c>
      <x:c r="D1002" s="21" t="str">
        <x:v>F36</x:v>
      </x:c>
      <x:c r="E1002" s="21" t="str">
        <x:v>B1</x:v>
      </x:c>
      <x:c r="F1002" s="21" t="str">
        <x:v>Requirements</x:v>
      </x:c>
      <x:c r="G1002" s="21" t="str">
        <x:v>0.0.0</x:v>
      </x:c>
      <x:c r="H1002" s="21" t="str">
        <x:v>Independent Evidence and Data Authority</x:v>
      </x:c>
      <x:c r="I1002" s="21" t="str">
        <x:v>OPEN</x:v>
      </x:c>
      <x:c r="J1002" s="21" t="str">
        <x:v>HOLD</x:v>
      </x:c>
      <x:c r="K1002" s="23" t="str">
        <x:v>what burdens and invalid states bound the effect must be accepted before downstream release</x:v>
      </x:c>
    </x:row>
    <x:row r="1003">
      <x:c r="B1003" s="21" t="str">
        <x:v>BL-00997</x:v>
      </x:c>
      <x:c r="C1003" s="21" t="str">
        <x:v>F36-I3</x:v>
      </x:c>
      <x:c r="D1003" s="21" t="str">
        <x:v>F36</x:v>
      </x:c>
      <x:c r="E1003" s="21" t="str">
        <x:v>B2</x:v>
      </x:c>
      <x:c r="F1003" s="21" t="str">
        <x:v>Architecture</x:v>
      </x:c>
      <x:c r="G1003" s="21" t="str">
        <x:v>0.0.0</x:v>
      </x:c>
      <x:c r="H1003" s="21" t="str">
        <x:v>Independent Evidence and Data Authority</x:v>
      </x:c>
      <x:c r="I1003" s="21" t="str">
        <x:v>OPEN</x:v>
      </x:c>
      <x:c r="J1003" s="21" t="str">
        <x:v>HOLD</x:v>
      </x:c>
      <x:c r="K1003" s="23" t="str">
        <x:v>what interfaces and budgets govern the system must be accepted before downstream release</x:v>
      </x:c>
    </x:row>
    <x:row r="1004">
      <x:c r="B1004" s="21" t="str">
        <x:v>BL-00998</x:v>
      </x:c>
      <x:c r="C1004" s="21" t="str">
        <x:v>F36-I3</x:v>
      </x:c>
      <x:c r="D1004" s="21" t="str">
        <x:v>F36</x:v>
      </x:c>
      <x:c r="E1004" s="21" t="str">
        <x:v>B3</x:v>
      </x:c>
      <x:c r="F1004" s="21" t="str">
        <x:v>Build</x:v>
      </x:c>
      <x:c r="G1004" s="21" t="str">
        <x:v>0.0.0</x:v>
      </x:c>
      <x:c r="H1004" s="21" t="str">
        <x:v>Independent Evidence and Data Authority</x:v>
      </x:c>
      <x:c r="I1004" s="21" t="str">
        <x:v>OPEN</x:v>
      </x:c>
      <x:c r="J1004" s="21" t="str">
        <x:v>HOLD</x:v>
      </x:c>
      <x:c r="K1004" s="23" t="str">
        <x:v>what exact configuration produced the article must be accepted before downstream release</x:v>
      </x:c>
    </x:row>
    <x:row r="1005">
      <x:c r="B1005" s="21" t="str">
        <x:v>BL-00999</x:v>
      </x:c>
      <x:c r="C1005" s="21" t="str">
        <x:v>F36-I3</x:v>
      </x:c>
      <x:c r="D1005" s="21" t="str">
        <x:v>F36</x:v>
      </x:c>
      <x:c r="E1005" s="21" t="str">
        <x:v>B4</x:v>
      </x:c>
      <x:c r="F1005" s="21" t="str">
        <x:v>Trial</x:v>
      </x:c>
      <x:c r="G1005" s="21" t="str">
        <x:v>0.0.0</x:v>
      </x:c>
      <x:c r="H1005" s="21" t="str">
        <x:v>Independent Evidence and Data Authority</x:v>
      </x:c>
      <x:c r="I1005" s="21" t="str">
        <x:v>OPEN</x:v>
      </x:c>
      <x:c r="J1005" s="21" t="str">
        <x:v>HOLD</x:v>
      </x:c>
      <x:c r="K1005" s="23" t="str">
        <x:v>what configuration method and damage world produced evidence must be accepted before downstream release</x:v>
      </x:c>
    </x:row>
    <x:row r="1006">
      <x:c r="B1006" s="21" t="str">
        <x:v>BL-01000</x:v>
      </x:c>
      <x:c r="C1006" s="21" t="str">
        <x:v>F36-I3</x:v>
      </x:c>
      <x:c r="D1006" s="21" t="str">
        <x:v>F36</x:v>
      </x:c>
      <x:c r="E1006" s="21" t="str">
        <x:v>B5</x:v>
      </x:c>
      <x:c r="F1006" s="21" t="str">
        <x:v>Production</x:v>
      </x:c>
      <x:c r="G1006" s="21" t="str">
        <x:v>0.0.0</x:v>
      </x:c>
      <x:c r="H1006" s="21" t="str">
        <x:v>Independent Evidence and Data Authority</x:v>
      </x:c>
      <x:c r="I1006" s="21" t="str">
        <x:v>OPEN</x:v>
      </x:c>
      <x:c r="J1006" s="21" t="str">
        <x:v>HOLD</x:v>
      </x:c>
      <x:c r="K1006" s="23" t="str">
        <x:v>what process configuration and acceptance define serial output must be accepted before downstream release</x:v>
      </x:c>
    </x:row>
    <x:row r="1007">
      <x:c r="B1007" s="21" t="str">
        <x:v>BL-01001</x:v>
      </x:c>
      <x:c r="C1007" s="21" t="str">
        <x:v>F36-I3</x:v>
      </x:c>
      <x:c r="D1007" s="21" t="str">
        <x:v>F36</x:v>
      </x:c>
      <x:c r="E1007" s="21" t="str">
        <x:v>B6</x:v>
      </x:c>
      <x:c r="F1007" s="21" t="str">
        <x:v>Mobilization</x:v>
      </x:c>
      <x:c r="G1007" s="21" t="str">
        <x:v>0.0.0</x:v>
      </x:c>
      <x:c r="H1007" s="21" t="str">
        <x:v>Independent Evidence and Data Authority</x:v>
      </x:c>
      <x:c r="I1007" s="21" t="str">
        <x:v>OPEN</x:v>
      </x:c>
      <x:c r="J1007" s="21" t="str">
        <x:v>HOLD</x:v>
      </x:c>
      <x:c r="K1007" s="23" t="str">
        <x:v>what people tools suppliers and routes reproduce conforming service must be accepted before downstream release</x:v>
      </x:c>
    </x:row>
    <x:row r="1008">
      <x:c r="B1008" s="21" t="str">
        <x:v>BL-01002</x:v>
      </x:c>
      <x:c r="C1008" s="21" t="str">
        <x:v>F36-I4</x:v>
      </x:c>
      <x:c r="D1008" s="21" t="str">
        <x:v>F36</x:v>
      </x:c>
      <x:c r="E1008" s="21" t="str">
        <x:v>B0</x:v>
      </x:c>
      <x:c r="F1008" s="21" t="str">
        <x:v>Effect</x:v>
      </x:c>
      <x:c r="G1008" s="21" t="str">
        <x:v>0.0.0</x:v>
      </x:c>
      <x:c r="H1008" s="21" t="str">
        <x:v>Independent Evidence and Data Authority</x:v>
      </x:c>
      <x:c r="I1008" s="21" t="str">
        <x:v>OPEN</x:v>
      </x:c>
      <x:c r="J1008" s="21" t="str">
        <x:v>HOLD</x:v>
      </x:c>
      <x:c r="K1008" s="23" t="str">
        <x:v>what public condition must exist must be accepted before downstream release</x:v>
      </x:c>
    </x:row>
    <x:row r="1009">
      <x:c r="B1009" s="21" t="str">
        <x:v>BL-01003</x:v>
      </x:c>
      <x:c r="C1009" s="21" t="str">
        <x:v>F36-I4</x:v>
      </x:c>
      <x:c r="D1009" s="21" t="str">
        <x:v>F36</x:v>
      </x:c>
      <x:c r="E1009" s="21" t="str">
        <x:v>B1</x:v>
      </x:c>
      <x:c r="F1009" s="21" t="str">
        <x:v>Requirements</x:v>
      </x:c>
      <x:c r="G1009" s="21" t="str">
        <x:v>0.0.0</x:v>
      </x:c>
      <x:c r="H1009" s="21" t="str">
        <x:v>Independent Evidence and Data Authority</x:v>
      </x:c>
      <x:c r="I1009" s="21" t="str">
        <x:v>OPEN</x:v>
      </x:c>
      <x:c r="J1009" s="21" t="str">
        <x:v>HOLD</x:v>
      </x:c>
      <x:c r="K1009" s="23" t="str">
        <x:v>what burdens and invalid states bound the effect must be accepted before downstream release</x:v>
      </x:c>
    </x:row>
    <x:row r="1010">
      <x:c r="B1010" s="21" t="str">
        <x:v>BL-01004</x:v>
      </x:c>
      <x:c r="C1010" s="21" t="str">
        <x:v>F36-I4</x:v>
      </x:c>
      <x:c r="D1010" s="21" t="str">
        <x:v>F36</x:v>
      </x:c>
      <x:c r="E1010" s="21" t="str">
        <x:v>B2</x:v>
      </x:c>
      <x:c r="F1010" s="21" t="str">
        <x:v>Architecture</x:v>
      </x:c>
      <x:c r="G1010" s="21" t="str">
        <x:v>0.0.0</x:v>
      </x:c>
      <x:c r="H1010" s="21" t="str">
        <x:v>Independent Evidence and Data Authority</x:v>
      </x:c>
      <x:c r="I1010" s="21" t="str">
        <x:v>OPEN</x:v>
      </x:c>
      <x:c r="J1010" s="21" t="str">
        <x:v>HOLD</x:v>
      </x:c>
      <x:c r="K1010" s="23" t="str">
        <x:v>what interfaces and budgets govern the system must be accepted before downstream release</x:v>
      </x:c>
    </x:row>
    <x:row r="1011">
      <x:c r="B1011" s="21" t="str">
        <x:v>BL-01005</x:v>
      </x:c>
      <x:c r="C1011" s="21" t="str">
        <x:v>F36-I4</x:v>
      </x:c>
      <x:c r="D1011" s="21" t="str">
        <x:v>F36</x:v>
      </x:c>
      <x:c r="E1011" s="21" t="str">
        <x:v>B3</x:v>
      </x:c>
      <x:c r="F1011" s="21" t="str">
        <x:v>Build</x:v>
      </x:c>
      <x:c r="G1011" s="21" t="str">
        <x:v>0.0.0</x:v>
      </x:c>
      <x:c r="H1011" s="21" t="str">
        <x:v>Independent Evidence and Data Authority</x:v>
      </x:c>
      <x:c r="I1011" s="21" t="str">
        <x:v>OPEN</x:v>
      </x:c>
      <x:c r="J1011" s="21" t="str">
        <x:v>HOLD</x:v>
      </x:c>
      <x:c r="K1011" s="23" t="str">
        <x:v>what exact configuration produced the article must be accepted before downstream release</x:v>
      </x:c>
    </x:row>
    <x:row r="1012">
      <x:c r="B1012" s="21" t="str">
        <x:v>BL-01006</x:v>
      </x:c>
      <x:c r="C1012" s="21" t="str">
        <x:v>F36-I4</x:v>
      </x:c>
      <x:c r="D1012" s="21" t="str">
        <x:v>F36</x:v>
      </x:c>
      <x:c r="E1012" s="21" t="str">
        <x:v>B4</x:v>
      </x:c>
      <x:c r="F1012" s="21" t="str">
        <x:v>Trial</x:v>
      </x:c>
      <x:c r="G1012" s="21" t="str">
        <x:v>0.0.0</x:v>
      </x:c>
      <x:c r="H1012" s="21" t="str">
        <x:v>Independent Evidence and Data Authority</x:v>
      </x:c>
      <x:c r="I1012" s="21" t="str">
        <x:v>OPEN</x:v>
      </x:c>
      <x:c r="J1012" s="21" t="str">
        <x:v>HOLD</x:v>
      </x:c>
      <x:c r="K1012" s="23" t="str">
        <x:v>what configuration method and damage world produced evidence must be accepted before downstream release</x:v>
      </x:c>
    </x:row>
    <x:row r="1013">
      <x:c r="B1013" s="21" t="str">
        <x:v>BL-01007</x:v>
      </x:c>
      <x:c r="C1013" s="21" t="str">
        <x:v>F36-I4</x:v>
      </x:c>
      <x:c r="D1013" s="21" t="str">
        <x:v>F36</x:v>
      </x:c>
      <x:c r="E1013" s="21" t="str">
        <x:v>B5</x:v>
      </x:c>
      <x:c r="F1013" s="21" t="str">
        <x:v>Production</x:v>
      </x:c>
      <x:c r="G1013" s="21" t="str">
        <x:v>0.0.0</x:v>
      </x:c>
      <x:c r="H1013" s="21" t="str">
        <x:v>Independent Evidence and Data Authority</x:v>
      </x:c>
      <x:c r="I1013" s="21" t="str">
        <x:v>OPEN</x:v>
      </x:c>
      <x:c r="J1013" s="21" t="str">
        <x:v>HOLD</x:v>
      </x:c>
      <x:c r="K1013" s="23" t="str">
        <x:v>what process configuration and acceptance define serial output must be accepted before downstream release</x:v>
      </x:c>
    </x:row>
    <x:row r="1014">
      <x:c r="B1014" s="21" t="str">
        <x:v>BL-01008</x:v>
      </x:c>
      <x:c r="C1014" s="21" t="str">
        <x:v>F36-I4</x:v>
      </x:c>
      <x:c r="D1014" s="21" t="str">
        <x:v>F36</x:v>
      </x:c>
      <x:c r="E1014" s="21" t="str">
        <x:v>B6</x:v>
      </x:c>
      <x:c r="F1014" s="21" t="str">
        <x:v>Mobilization</x:v>
      </x:c>
      <x:c r="G1014" s="21" t="str">
        <x:v>0.0.0</x:v>
      </x:c>
      <x:c r="H1014" s="21" t="str">
        <x:v>Independent Evidence and Data Authority</x:v>
      </x:c>
      <x:c r="I1014" s="21" t="str">
        <x:v>OPEN</x:v>
      </x:c>
      <x:c r="J1014" s="21" t="str">
        <x:v>HOLD</x:v>
      </x:c>
      <x:c r="K1014" s="23" t="str">
        <x:v>what people tools suppliers and routes reproduce conforming service must be accepted before downstream release</x:v>
      </x:c>
    </x:row>
    <x:row r="1015">
      <x:c r="B1015" s="21" t="str">
        <x:v>BL-01009</x:v>
      </x:c>
      <x:c r="C1015" s="21" t="str">
        <x:v>F37-I1</x:v>
      </x:c>
      <x:c r="D1015" s="21" t="str">
        <x:v>F37</x:v>
      </x:c>
      <x:c r="E1015" s="21" t="str">
        <x:v>B0</x:v>
      </x:c>
      <x:c r="F1015" s="21" t="str">
        <x:v>Effect</x:v>
      </x:c>
      <x:c r="G1015" s="21" t="str">
        <x:v>0.0.0</x:v>
      </x:c>
      <x:c r="H1015" s="21" t="str">
        <x:v>Independent Evidence and Data Authority</x:v>
      </x:c>
      <x:c r="I1015" s="21" t="str">
        <x:v>OPEN</x:v>
      </x:c>
      <x:c r="J1015" s="21" t="str">
        <x:v>HOLD</x:v>
      </x:c>
      <x:c r="K1015" s="23" t="str">
        <x:v>what public condition must exist must be accepted before downstream release</x:v>
      </x:c>
    </x:row>
    <x:row r="1016">
      <x:c r="B1016" s="21" t="str">
        <x:v>BL-01010</x:v>
      </x:c>
      <x:c r="C1016" s="21" t="str">
        <x:v>F37-I1</x:v>
      </x:c>
      <x:c r="D1016" s="21" t="str">
        <x:v>F37</x:v>
      </x:c>
      <x:c r="E1016" s="21" t="str">
        <x:v>B1</x:v>
      </x:c>
      <x:c r="F1016" s="21" t="str">
        <x:v>Requirements</x:v>
      </x:c>
      <x:c r="G1016" s="21" t="str">
        <x:v>0.0.0</x:v>
      </x:c>
      <x:c r="H1016" s="21" t="str">
        <x:v>Independent Evidence and Data Authority</x:v>
      </x:c>
      <x:c r="I1016" s="21" t="str">
        <x:v>OPEN</x:v>
      </x:c>
      <x:c r="J1016" s="21" t="str">
        <x:v>HOLD</x:v>
      </x:c>
      <x:c r="K1016" s="23" t="str">
        <x:v>what burdens and invalid states bound the effect must be accepted before downstream release</x:v>
      </x:c>
    </x:row>
    <x:row r="1017">
      <x:c r="B1017" s="21" t="str">
        <x:v>BL-01011</x:v>
      </x:c>
      <x:c r="C1017" s="21" t="str">
        <x:v>F37-I1</x:v>
      </x:c>
      <x:c r="D1017" s="21" t="str">
        <x:v>F37</x:v>
      </x:c>
      <x:c r="E1017" s="21" t="str">
        <x:v>B2</x:v>
      </x:c>
      <x:c r="F1017" s="21" t="str">
        <x:v>Architecture</x:v>
      </x:c>
      <x:c r="G1017" s="21" t="str">
        <x:v>0.0.0</x:v>
      </x:c>
      <x:c r="H1017" s="21" t="str">
        <x:v>Independent Evidence and Data Authority</x:v>
      </x:c>
      <x:c r="I1017" s="21" t="str">
        <x:v>OPEN</x:v>
      </x:c>
      <x:c r="J1017" s="21" t="str">
        <x:v>HOLD</x:v>
      </x:c>
      <x:c r="K1017" s="23" t="str">
        <x:v>what interfaces and budgets govern the system must be accepted before downstream release</x:v>
      </x:c>
    </x:row>
    <x:row r="1018">
      <x:c r="B1018" s="21" t="str">
        <x:v>BL-01012</x:v>
      </x:c>
      <x:c r="C1018" s="21" t="str">
        <x:v>F37-I1</x:v>
      </x:c>
      <x:c r="D1018" s="21" t="str">
        <x:v>F37</x:v>
      </x:c>
      <x:c r="E1018" s="21" t="str">
        <x:v>B3</x:v>
      </x:c>
      <x:c r="F1018" s="21" t="str">
        <x:v>Build</x:v>
      </x:c>
      <x:c r="G1018" s="21" t="str">
        <x:v>0.0.0</x:v>
      </x:c>
      <x:c r="H1018" s="21" t="str">
        <x:v>Independent Evidence and Data Authority</x:v>
      </x:c>
      <x:c r="I1018" s="21" t="str">
        <x:v>OPEN</x:v>
      </x:c>
      <x:c r="J1018" s="21" t="str">
        <x:v>HOLD</x:v>
      </x:c>
      <x:c r="K1018" s="23" t="str">
        <x:v>what exact configuration produced the article must be accepted before downstream release</x:v>
      </x:c>
    </x:row>
    <x:row r="1019">
      <x:c r="B1019" s="21" t="str">
        <x:v>BL-01013</x:v>
      </x:c>
      <x:c r="C1019" s="21" t="str">
        <x:v>F37-I1</x:v>
      </x:c>
      <x:c r="D1019" s="21" t="str">
        <x:v>F37</x:v>
      </x:c>
      <x:c r="E1019" s="21" t="str">
        <x:v>B4</x:v>
      </x:c>
      <x:c r="F1019" s="21" t="str">
        <x:v>Trial</x:v>
      </x:c>
      <x:c r="G1019" s="21" t="str">
        <x:v>0.0.0</x:v>
      </x:c>
      <x:c r="H1019" s="21" t="str">
        <x:v>Independent Evidence and Data Authority</x:v>
      </x:c>
      <x:c r="I1019" s="21" t="str">
        <x:v>OPEN</x:v>
      </x:c>
      <x:c r="J1019" s="21" t="str">
        <x:v>HOLD</x:v>
      </x:c>
      <x:c r="K1019" s="23" t="str">
        <x:v>what configuration method and damage world produced evidence must be accepted before downstream release</x:v>
      </x:c>
    </x:row>
    <x:row r="1020">
      <x:c r="B1020" s="21" t="str">
        <x:v>BL-01014</x:v>
      </x:c>
      <x:c r="C1020" s="21" t="str">
        <x:v>F37-I1</x:v>
      </x:c>
      <x:c r="D1020" s="21" t="str">
        <x:v>F37</x:v>
      </x:c>
      <x:c r="E1020" s="21" t="str">
        <x:v>B5</x:v>
      </x:c>
      <x:c r="F1020" s="21" t="str">
        <x:v>Production</x:v>
      </x:c>
      <x:c r="G1020" s="21" t="str">
        <x:v>0.0.0</x:v>
      </x:c>
      <x:c r="H1020" s="21" t="str">
        <x:v>Independent Evidence and Data Authority</x:v>
      </x:c>
      <x:c r="I1020" s="21" t="str">
        <x:v>OPEN</x:v>
      </x:c>
      <x:c r="J1020" s="21" t="str">
        <x:v>HOLD</x:v>
      </x:c>
      <x:c r="K1020" s="23" t="str">
        <x:v>what process configuration and acceptance define serial output must be accepted before downstream release</x:v>
      </x:c>
    </x:row>
    <x:row r="1021">
      <x:c r="B1021" s="21" t="str">
        <x:v>BL-01015</x:v>
      </x:c>
      <x:c r="C1021" s="21" t="str">
        <x:v>F37-I1</x:v>
      </x:c>
      <x:c r="D1021" s="21" t="str">
        <x:v>F37</x:v>
      </x:c>
      <x:c r="E1021" s="21" t="str">
        <x:v>B6</x:v>
      </x:c>
      <x:c r="F1021" s="21" t="str">
        <x:v>Mobilization</x:v>
      </x:c>
      <x:c r="G1021" s="21" t="str">
        <x:v>0.0.0</x:v>
      </x:c>
      <x:c r="H1021" s="21" t="str">
        <x:v>Independent Evidence and Data Authority</x:v>
      </x:c>
      <x:c r="I1021" s="21" t="str">
        <x:v>OPEN</x:v>
      </x:c>
      <x:c r="J1021" s="21" t="str">
        <x:v>HOLD</x:v>
      </x:c>
      <x:c r="K1021" s="23" t="str">
        <x:v>what people tools suppliers and routes reproduce conforming service must be accepted before downstream release</x:v>
      </x:c>
    </x:row>
    <x:row r="1022">
      <x:c r="B1022" s="21" t="str">
        <x:v>BL-01016</x:v>
      </x:c>
      <x:c r="C1022" s="21" t="str">
        <x:v>F37-I2</x:v>
      </x:c>
      <x:c r="D1022" s="21" t="str">
        <x:v>F37</x:v>
      </x:c>
      <x:c r="E1022" s="21" t="str">
        <x:v>B0</x:v>
      </x:c>
      <x:c r="F1022" s="21" t="str">
        <x:v>Effect</x:v>
      </x:c>
      <x:c r="G1022" s="21" t="str">
        <x:v>0.0.0</x:v>
      </x:c>
      <x:c r="H1022" s="21" t="str">
        <x:v>Independent Evidence and Data Authority</x:v>
      </x:c>
      <x:c r="I1022" s="21" t="str">
        <x:v>OPEN</x:v>
      </x:c>
      <x:c r="J1022" s="21" t="str">
        <x:v>HOLD</x:v>
      </x:c>
      <x:c r="K1022" s="23" t="str">
        <x:v>what public condition must exist must be accepted before downstream release</x:v>
      </x:c>
    </x:row>
    <x:row r="1023">
      <x:c r="B1023" s="21" t="str">
        <x:v>BL-01017</x:v>
      </x:c>
      <x:c r="C1023" s="21" t="str">
        <x:v>F37-I2</x:v>
      </x:c>
      <x:c r="D1023" s="21" t="str">
        <x:v>F37</x:v>
      </x:c>
      <x:c r="E1023" s="21" t="str">
        <x:v>B1</x:v>
      </x:c>
      <x:c r="F1023" s="21" t="str">
        <x:v>Requirements</x:v>
      </x:c>
      <x:c r="G1023" s="21" t="str">
        <x:v>0.0.0</x:v>
      </x:c>
      <x:c r="H1023" s="21" t="str">
        <x:v>Independent Evidence and Data Authority</x:v>
      </x:c>
      <x:c r="I1023" s="21" t="str">
        <x:v>OPEN</x:v>
      </x:c>
      <x:c r="J1023" s="21" t="str">
        <x:v>HOLD</x:v>
      </x:c>
      <x:c r="K1023" s="23" t="str">
        <x:v>what burdens and invalid states bound the effect must be accepted before downstream release</x:v>
      </x:c>
    </x:row>
    <x:row r="1024">
      <x:c r="B1024" s="21" t="str">
        <x:v>BL-01018</x:v>
      </x:c>
      <x:c r="C1024" s="21" t="str">
        <x:v>F37-I2</x:v>
      </x:c>
      <x:c r="D1024" s="21" t="str">
        <x:v>F37</x:v>
      </x:c>
      <x:c r="E1024" s="21" t="str">
        <x:v>B2</x:v>
      </x:c>
      <x:c r="F1024" s="21" t="str">
        <x:v>Architecture</x:v>
      </x:c>
      <x:c r="G1024" s="21" t="str">
        <x:v>0.0.0</x:v>
      </x:c>
      <x:c r="H1024" s="21" t="str">
        <x:v>Independent Evidence and Data Authority</x:v>
      </x:c>
      <x:c r="I1024" s="21" t="str">
        <x:v>OPEN</x:v>
      </x:c>
      <x:c r="J1024" s="21" t="str">
        <x:v>HOLD</x:v>
      </x:c>
      <x:c r="K1024" s="23" t="str">
        <x:v>what interfaces and budgets govern the system must be accepted before downstream release</x:v>
      </x:c>
    </x:row>
    <x:row r="1025">
      <x:c r="B1025" s="21" t="str">
        <x:v>BL-01019</x:v>
      </x:c>
      <x:c r="C1025" s="21" t="str">
        <x:v>F37-I2</x:v>
      </x:c>
      <x:c r="D1025" s="21" t="str">
        <x:v>F37</x:v>
      </x:c>
      <x:c r="E1025" s="21" t="str">
        <x:v>B3</x:v>
      </x:c>
      <x:c r="F1025" s="21" t="str">
        <x:v>Build</x:v>
      </x:c>
      <x:c r="G1025" s="21" t="str">
        <x:v>0.0.0</x:v>
      </x:c>
      <x:c r="H1025" s="21" t="str">
        <x:v>Independent Evidence and Data Authority</x:v>
      </x:c>
      <x:c r="I1025" s="21" t="str">
        <x:v>OPEN</x:v>
      </x:c>
      <x:c r="J1025" s="21" t="str">
        <x:v>HOLD</x:v>
      </x:c>
      <x:c r="K1025" s="23" t="str">
        <x:v>what exact configuration produced the article must be accepted before downstream release</x:v>
      </x:c>
    </x:row>
    <x:row r="1026">
      <x:c r="B1026" s="21" t="str">
        <x:v>BL-01020</x:v>
      </x:c>
      <x:c r="C1026" s="21" t="str">
        <x:v>F37-I2</x:v>
      </x:c>
      <x:c r="D1026" s="21" t="str">
        <x:v>F37</x:v>
      </x:c>
      <x:c r="E1026" s="21" t="str">
        <x:v>B4</x:v>
      </x:c>
      <x:c r="F1026" s="21" t="str">
        <x:v>Trial</x:v>
      </x:c>
      <x:c r="G1026" s="21" t="str">
        <x:v>0.0.0</x:v>
      </x:c>
      <x:c r="H1026" s="21" t="str">
        <x:v>Independent Evidence and Data Authority</x:v>
      </x:c>
      <x:c r="I1026" s="21" t="str">
        <x:v>OPEN</x:v>
      </x:c>
      <x:c r="J1026" s="21" t="str">
        <x:v>HOLD</x:v>
      </x:c>
      <x:c r="K1026" s="23" t="str">
        <x:v>what configuration method and damage world produced evidence must be accepted before downstream release</x:v>
      </x:c>
    </x:row>
    <x:row r="1027">
      <x:c r="B1027" s="21" t="str">
        <x:v>BL-01021</x:v>
      </x:c>
      <x:c r="C1027" s="21" t="str">
        <x:v>F37-I2</x:v>
      </x:c>
      <x:c r="D1027" s="21" t="str">
        <x:v>F37</x:v>
      </x:c>
      <x:c r="E1027" s="21" t="str">
        <x:v>B5</x:v>
      </x:c>
      <x:c r="F1027" s="21" t="str">
        <x:v>Production</x:v>
      </x:c>
      <x:c r="G1027" s="21" t="str">
        <x:v>0.0.0</x:v>
      </x:c>
      <x:c r="H1027" s="21" t="str">
        <x:v>Independent Evidence and Data Authority</x:v>
      </x:c>
      <x:c r="I1027" s="21" t="str">
        <x:v>OPEN</x:v>
      </x:c>
      <x:c r="J1027" s="21" t="str">
        <x:v>HOLD</x:v>
      </x:c>
      <x:c r="K1027" s="23" t="str">
        <x:v>what process configuration and acceptance define serial output must be accepted before downstream release</x:v>
      </x:c>
    </x:row>
    <x:row r="1028">
      <x:c r="B1028" s="21" t="str">
        <x:v>BL-01022</x:v>
      </x:c>
      <x:c r="C1028" s="21" t="str">
        <x:v>F37-I2</x:v>
      </x:c>
      <x:c r="D1028" s="21" t="str">
        <x:v>F37</x:v>
      </x:c>
      <x:c r="E1028" s="21" t="str">
        <x:v>B6</x:v>
      </x:c>
      <x:c r="F1028" s="21" t="str">
        <x:v>Mobilization</x:v>
      </x:c>
      <x:c r="G1028" s="21" t="str">
        <x:v>0.0.0</x:v>
      </x:c>
      <x:c r="H1028" s="21" t="str">
        <x:v>Independent Evidence and Data Authority</x:v>
      </x:c>
      <x:c r="I1028" s="21" t="str">
        <x:v>OPEN</x:v>
      </x:c>
      <x:c r="J1028" s="21" t="str">
        <x:v>HOLD</x:v>
      </x:c>
      <x:c r="K1028" s="23" t="str">
        <x:v>what people tools suppliers and routes reproduce conforming service must be accepted before downstream release</x:v>
      </x:c>
    </x:row>
    <x:row r="1029">
      <x:c r="B1029" s="21" t="str">
        <x:v>BL-01023</x:v>
      </x:c>
      <x:c r="C1029" s="21" t="str">
        <x:v>F37-I3</x:v>
      </x:c>
      <x:c r="D1029" s="21" t="str">
        <x:v>F37</x:v>
      </x:c>
      <x:c r="E1029" s="21" t="str">
        <x:v>B0</x:v>
      </x:c>
      <x:c r="F1029" s="21" t="str">
        <x:v>Effect</x:v>
      </x:c>
      <x:c r="G1029" s="21" t="str">
        <x:v>0.0.0</x:v>
      </x:c>
      <x:c r="H1029" s="21" t="str">
        <x:v>Independent Evidence and Data Authority</x:v>
      </x:c>
      <x:c r="I1029" s="21" t="str">
        <x:v>OPEN</x:v>
      </x:c>
      <x:c r="J1029" s="21" t="str">
        <x:v>HOLD</x:v>
      </x:c>
      <x:c r="K1029" s="23" t="str">
        <x:v>what public condition must exist must be accepted before downstream release</x:v>
      </x:c>
    </x:row>
    <x:row r="1030">
      <x:c r="B1030" s="21" t="str">
        <x:v>BL-01024</x:v>
      </x:c>
      <x:c r="C1030" s="21" t="str">
        <x:v>F37-I3</x:v>
      </x:c>
      <x:c r="D1030" s="21" t="str">
        <x:v>F37</x:v>
      </x:c>
      <x:c r="E1030" s="21" t="str">
        <x:v>B1</x:v>
      </x:c>
      <x:c r="F1030" s="21" t="str">
        <x:v>Requirements</x:v>
      </x:c>
      <x:c r="G1030" s="21" t="str">
        <x:v>0.0.0</x:v>
      </x:c>
      <x:c r="H1030" s="21" t="str">
        <x:v>Independent Evidence and Data Authority</x:v>
      </x:c>
      <x:c r="I1030" s="21" t="str">
        <x:v>OPEN</x:v>
      </x:c>
      <x:c r="J1030" s="21" t="str">
        <x:v>HOLD</x:v>
      </x:c>
      <x:c r="K1030" s="23" t="str">
        <x:v>what burdens and invalid states bound the effect must be accepted before downstream release</x:v>
      </x:c>
    </x:row>
    <x:row r="1031">
      <x:c r="B1031" s="21" t="str">
        <x:v>BL-01025</x:v>
      </x:c>
      <x:c r="C1031" s="21" t="str">
        <x:v>F37-I3</x:v>
      </x:c>
      <x:c r="D1031" s="21" t="str">
        <x:v>F37</x:v>
      </x:c>
      <x:c r="E1031" s="21" t="str">
        <x:v>B2</x:v>
      </x:c>
      <x:c r="F1031" s="21" t="str">
        <x:v>Architecture</x:v>
      </x:c>
      <x:c r="G1031" s="21" t="str">
        <x:v>0.0.0</x:v>
      </x:c>
      <x:c r="H1031" s="21" t="str">
        <x:v>Independent Evidence and Data Authority</x:v>
      </x:c>
      <x:c r="I1031" s="21" t="str">
        <x:v>OPEN</x:v>
      </x:c>
      <x:c r="J1031" s="21" t="str">
        <x:v>HOLD</x:v>
      </x:c>
      <x:c r="K1031" s="23" t="str">
        <x:v>what interfaces and budgets govern the system must be accepted before downstream release</x:v>
      </x:c>
    </x:row>
    <x:row r="1032">
      <x:c r="B1032" s="21" t="str">
        <x:v>BL-01026</x:v>
      </x:c>
      <x:c r="C1032" s="21" t="str">
        <x:v>F37-I3</x:v>
      </x:c>
      <x:c r="D1032" s="21" t="str">
        <x:v>F37</x:v>
      </x:c>
      <x:c r="E1032" s="21" t="str">
        <x:v>B3</x:v>
      </x:c>
      <x:c r="F1032" s="21" t="str">
        <x:v>Build</x:v>
      </x:c>
      <x:c r="G1032" s="21" t="str">
        <x:v>0.0.0</x:v>
      </x:c>
      <x:c r="H1032" s="21" t="str">
        <x:v>Independent Evidence and Data Authority</x:v>
      </x:c>
      <x:c r="I1032" s="21" t="str">
        <x:v>OPEN</x:v>
      </x:c>
      <x:c r="J1032" s="21" t="str">
        <x:v>HOLD</x:v>
      </x:c>
      <x:c r="K1032" s="23" t="str">
        <x:v>what exact configuration produced the article must be accepted before downstream release</x:v>
      </x:c>
    </x:row>
    <x:row r="1033">
      <x:c r="B1033" s="21" t="str">
        <x:v>BL-01027</x:v>
      </x:c>
      <x:c r="C1033" s="21" t="str">
        <x:v>F37-I3</x:v>
      </x:c>
      <x:c r="D1033" s="21" t="str">
        <x:v>F37</x:v>
      </x:c>
      <x:c r="E1033" s="21" t="str">
        <x:v>B4</x:v>
      </x:c>
      <x:c r="F1033" s="21" t="str">
        <x:v>Trial</x:v>
      </x:c>
      <x:c r="G1033" s="21" t="str">
        <x:v>0.0.0</x:v>
      </x:c>
      <x:c r="H1033" s="21" t="str">
        <x:v>Independent Evidence and Data Authority</x:v>
      </x:c>
      <x:c r="I1033" s="21" t="str">
        <x:v>OPEN</x:v>
      </x:c>
      <x:c r="J1033" s="21" t="str">
        <x:v>HOLD</x:v>
      </x:c>
      <x:c r="K1033" s="23" t="str">
        <x:v>what configuration method and damage world produced evidence must be accepted before downstream release</x:v>
      </x:c>
    </x:row>
    <x:row r="1034">
      <x:c r="B1034" s="21" t="str">
        <x:v>BL-01028</x:v>
      </x:c>
      <x:c r="C1034" s="21" t="str">
        <x:v>F37-I3</x:v>
      </x:c>
      <x:c r="D1034" s="21" t="str">
        <x:v>F37</x:v>
      </x:c>
      <x:c r="E1034" s="21" t="str">
        <x:v>B5</x:v>
      </x:c>
      <x:c r="F1034" s="21" t="str">
        <x:v>Production</x:v>
      </x:c>
      <x:c r="G1034" s="21" t="str">
        <x:v>0.0.0</x:v>
      </x:c>
      <x:c r="H1034" s="21" t="str">
        <x:v>Independent Evidence and Data Authority</x:v>
      </x:c>
      <x:c r="I1034" s="21" t="str">
        <x:v>OPEN</x:v>
      </x:c>
      <x:c r="J1034" s="21" t="str">
        <x:v>HOLD</x:v>
      </x:c>
      <x:c r="K1034" s="23" t="str">
        <x:v>what process configuration and acceptance define serial output must be accepted before downstream release</x:v>
      </x:c>
    </x:row>
    <x:row r="1035">
      <x:c r="B1035" s="21" t="str">
        <x:v>BL-01029</x:v>
      </x:c>
      <x:c r="C1035" s="21" t="str">
        <x:v>F37-I3</x:v>
      </x:c>
      <x:c r="D1035" s="21" t="str">
        <x:v>F37</x:v>
      </x:c>
      <x:c r="E1035" s="21" t="str">
        <x:v>B6</x:v>
      </x:c>
      <x:c r="F1035" s="21" t="str">
        <x:v>Mobilization</x:v>
      </x:c>
      <x:c r="G1035" s="21" t="str">
        <x:v>0.0.0</x:v>
      </x:c>
      <x:c r="H1035" s="21" t="str">
        <x:v>Independent Evidence and Data Authority</x:v>
      </x:c>
      <x:c r="I1035" s="21" t="str">
        <x:v>OPEN</x:v>
      </x:c>
      <x:c r="J1035" s="21" t="str">
        <x:v>HOLD</x:v>
      </x:c>
      <x:c r="K1035" s="23" t="str">
        <x:v>what people tools suppliers and routes reproduce conforming service must be accepted before downstream release</x:v>
      </x:c>
    </x:row>
    <x:row r="1036">
      <x:c r="B1036" s="21" t="str">
        <x:v>BL-01030</x:v>
      </x:c>
      <x:c r="C1036" s="21" t="str">
        <x:v>F37-I4</x:v>
      </x:c>
      <x:c r="D1036" s="21" t="str">
        <x:v>F37</x:v>
      </x:c>
      <x:c r="E1036" s="21" t="str">
        <x:v>B0</x:v>
      </x:c>
      <x:c r="F1036" s="21" t="str">
        <x:v>Effect</x:v>
      </x:c>
      <x:c r="G1036" s="21" t="str">
        <x:v>0.0.0</x:v>
      </x:c>
      <x:c r="H1036" s="21" t="str">
        <x:v>Independent Evidence and Data Authority</x:v>
      </x:c>
      <x:c r="I1036" s="21" t="str">
        <x:v>OPEN</x:v>
      </x:c>
      <x:c r="J1036" s="21" t="str">
        <x:v>HOLD</x:v>
      </x:c>
      <x:c r="K1036" s="23" t="str">
        <x:v>what public condition must exist must be accepted before downstream release</x:v>
      </x:c>
    </x:row>
    <x:row r="1037">
      <x:c r="B1037" s="21" t="str">
        <x:v>BL-01031</x:v>
      </x:c>
      <x:c r="C1037" s="21" t="str">
        <x:v>F37-I4</x:v>
      </x:c>
      <x:c r="D1037" s="21" t="str">
        <x:v>F37</x:v>
      </x:c>
      <x:c r="E1037" s="21" t="str">
        <x:v>B1</x:v>
      </x:c>
      <x:c r="F1037" s="21" t="str">
        <x:v>Requirements</x:v>
      </x:c>
      <x:c r="G1037" s="21" t="str">
        <x:v>0.0.0</x:v>
      </x:c>
      <x:c r="H1037" s="21" t="str">
        <x:v>Independent Evidence and Data Authority</x:v>
      </x:c>
      <x:c r="I1037" s="21" t="str">
        <x:v>OPEN</x:v>
      </x:c>
      <x:c r="J1037" s="21" t="str">
        <x:v>HOLD</x:v>
      </x:c>
      <x:c r="K1037" s="23" t="str">
        <x:v>what burdens and invalid states bound the effect must be accepted before downstream release</x:v>
      </x:c>
    </x:row>
    <x:row r="1038">
      <x:c r="B1038" s="21" t="str">
        <x:v>BL-01032</x:v>
      </x:c>
      <x:c r="C1038" s="21" t="str">
        <x:v>F37-I4</x:v>
      </x:c>
      <x:c r="D1038" s="21" t="str">
        <x:v>F37</x:v>
      </x:c>
      <x:c r="E1038" s="21" t="str">
        <x:v>B2</x:v>
      </x:c>
      <x:c r="F1038" s="21" t="str">
        <x:v>Architecture</x:v>
      </x:c>
      <x:c r="G1038" s="21" t="str">
        <x:v>0.0.0</x:v>
      </x:c>
      <x:c r="H1038" s="21" t="str">
        <x:v>Independent Evidence and Data Authority</x:v>
      </x:c>
      <x:c r="I1038" s="21" t="str">
        <x:v>OPEN</x:v>
      </x:c>
      <x:c r="J1038" s="21" t="str">
        <x:v>HOLD</x:v>
      </x:c>
      <x:c r="K1038" s="23" t="str">
        <x:v>what interfaces and budgets govern the system must be accepted before downstream release</x:v>
      </x:c>
    </x:row>
    <x:row r="1039">
      <x:c r="B1039" s="21" t="str">
        <x:v>BL-01033</x:v>
      </x:c>
      <x:c r="C1039" s="21" t="str">
        <x:v>F37-I4</x:v>
      </x:c>
      <x:c r="D1039" s="21" t="str">
        <x:v>F37</x:v>
      </x:c>
      <x:c r="E1039" s="21" t="str">
        <x:v>B3</x:v>
      </x:c>
      <x:c r="F1039" s="21" t="str">
        <x:v>Build</x:v>
      </x:c>
      <x:c r="G1039" s="21" t="str">
        <x:v>0.0.0</x:v>
      </x:c>
      <x:c r="H1039" s="21" t="str">
        <x:v>Independent Evidence and Data Authority</x:v>
      </x:c>
      <x:c r="I1039" s="21" t="str">
        <x:v>OPEN</x:v>
      </x:c>
      <x:c r="J1039" s="21" t="str">
        <x:v>HOLD</x:v>
      </x:c>
      <x:c r="K1039" s="23" t="str">
        <x:v>what exact configuration produced the article must be accepted before downstream release</x:v>
      </x:c>
    </x:row>
    <x:row r="1040">
      <x:c r="B1040" s="21" t="str">
        <x:v>BL-01034</x:v>
      </x:c>
      <x:c r="C1040" s="21" t="str">
        <x:v>F37-I4</x:v>
      </x:c>
      <x:c r="D1040" s="21" t="str">
        <x:v>F37</x:v>
      </x:c>
      <x:c r="E1040" s="21" t="str">
        <x:v>B4</x:v>
      </x:c>
      <x:c r="F1040" s="21" t="str">
        <x:v>Trial</x:v>
      </x:c>
      <x:c r="G1040" s="21" t="str">
        <x:v>0.0.0</x:v>
      </x:c>
      <x:c r="H1040" s="21" t="str">
        <x:v>Independent Evidence and Data Authority</x:v>
      </x:c>
      <x:c r="I1040" s="21" t="str">
        <x:v>OPEN</x:v>
      </x:c>
      <x:c r="J1040" s="21" t="str">
        <x:v>HOLD</x:v>
      </x:c>
      <x:c r="K1040" s="23" t="str">
        <x:v>what configuration method and damage world produced evidence must be accepted before downstream release</x:v>
      </x:c>
    </x:row>
    <x:row r="1041">
      <x:c r="B1041" s="21" t="str">
        <x:v>BL-01035</x:v>
      </x:c>
      <x:c r="C1041" s="21" t="str">
        <x:v>F37-I4</x:v>
      </x:c>
      <x:c r="D1041" s="21" t="str">
        <x:v>F37</x:v>
      </x:c>
      <x:c r="E1041" s="21" t="str">
        <x:v>B5</x:v>
      </x:c>
      <x:c r="F1041" s="21" t="str">
        <x:v>Production</x:v>
      </x:c>
      <x:c r="G1041" s="21" t="str">
        <x:v>0.0.0</x:v>
      </x:c>
      <x:c r="H1041" s="21" t="str">
        <x:v>Independent Evidence and Data Authority</x:v>
      </x:c>
      <x:c r="I1041" s="21" t="str">
        <x:v>OPEN</x:v>
      </x:c>
      <x:c r="J1041" s="21" t="str">
        <x:v>HOLD</x:v>
      </x:c>
      <x:c r="K1041" s="23" t="str">
        <x:v>what process configuration and acceptance define serial output must be accepted before downstream release</x:v>
      </x:c>
    </x:row>
    <x:row r="1042">
      <x:c r="B1042" s="21" t="str">
        <x:v>BL-01036</x:v>
      </x:c>
      <x:c r="C1042" s="21" t="str">
        <x:v>F37-I4</x:v>
      </x:c>
      <x:c r="D1042" s="21" t="str">
        <x:v>F37</x:v>
      </x:c>
      <x:c r="E1042" s="21" t="str">
        <x:v>B6</x:v>
      </x:c>
      <x:c r="F1042" s="21" t="str">
        <x:v>Mobilization</x:v>
      </x:c>
      <x:c r="G1042" s="21" t="str">
        <x:v>0.0.0</x:v>
      </x:c>
      <x:c r="H1042" s="21" t="str">
        <x:v>Independent Evidence and Data Authority</x:v>
      </x:c>
      <x:c r="I1042" s="21" t="str">
        <x:v>OPEN</x:v>
      </x:c>
      <x:c r="J1042" s="21" t="str">
        <x:v>HOLD</x:v>
      </x:c>
      <x:c r="K1042" s="23" t="str">
        <x:v>what people tools suppliers and routes reproduce conforming service must be accepted before downstream release</x:v>
      </x:c>
    </x:row>
    <x:row r="1043">
      <x:c r="B1043" s="21" t="str">
        <x:v>BL-01037</x:v>
      </x:c>
      <x:c r="C1043" s="21" t="str">
        <x:v>F38-I1</x:v>
      </x:c>
      <x:c r="D1043" s="21" t="str">
        <x:v>F38</x:v>
      </x:c>
      <x:c r="E1043" s="21" t="str">
        <x:v>B0</x:v>
      </x:c>
      <x:c r="F1043" s="21" t="str">
        <x:v>Effect</x:v>
      </x:c>
      <x:c r="G1043" s="21" t="str">
        <x:v>0.0.0</x:v>
      </x:c>
      <x:c r="H1043" s="21" t="str">
        <x:v>Independent Evidence and Data Authority</x:v>
      </x:c>
      <x:c r="I1043" s="21" t="str">
        <x:v>OPEN</x:v>
      </x:c>
      <x:c r="J1043" s="21" t="str">
        <x:v>HOLD</x:v>
      </x:c>
      <x:c r="K1043" s="23" t="str">
        <x:v>what public condition must exist must be accepted before downstream release</x:v>
      </x:c>
    </x:row>
    <x:row r="1044">
      <x:c r="B1044" s="21" t="str">
        <x:v>BL-01038</x:v>
      </x:c>
      <x:c r="C1044" s="21" t="str">
        <x:v>F38-I1</x:v>
      </x:c>
      <x:c r="D1044" s="21" t="str">
        <x:v>F38</x:v>
      </x:c>
      <x:c r="E1044" s="21" t="str">
        <x:v>B1</x:v>
      </x:c>
      <x:c r="F1044" s="21" t="str">
        <x:v>Requirements</x:v>
      </x:c>
      <x:c r="G1044" s="21" t="str">
        <x:v>0.0.0</x:v>
      </x:c>
      <x:c r="H1044" s="21" t="str">
        <x:v>Independent Evidence and Data Authority</x:v>
      </x:c>
      <x:c r="I1044" s="21" t="str">
        <x:v>OPEN</x:v>
      </x:c>
      <x:c r="J1044" s="21" t="str">
        <x:v>HOLD</x:v>
      </x:c>
      <x:c r="K1044" s="23" t="str">
        <x:v>what burdens and invalid states bound the effect must be accepted before downstream release</x:v>
      </x:c>
    </x:row>
    <x:row r="1045">
      <x:c r="B1045" s="21" t="str">
        <x:v>BL-01039</x:v>
      </x:c>
      <x:c r="C1045" s="21" t="str">
        <x:v>F38-I1</x:v>
      </x:c>
      <x:c r="D1045" s="21" t="str">
        <x:v>F38</x:v>
      </x:c>
      <x:c r="E1045" s="21" t="str">
        <x:v>B2</x:v>
      </x:c>
      <x:c r="F1045" s="21" t="str">
        <x:v>Architecture</x:v>
      </x:c>
      <x:c r="G1045" s="21" t="str">
        <x:v>0.0.0</x:v>
      </x:c>
      <x:c r="H1045" s="21" t="str">
        <x:v>Independent Evidence and Data Authority</x:v>
      </x:c>
      <x:c r="I1045" s="21" t="str">
        <x:v>OPEN</x:v>
      </x:c>
      <x:c r="J1045" s="21" t="str">
        <x:v>HOLD</x:v>
      </x:c>
      <x:c r="K1045" s="23" t="str">
        <x:v>what interfaces and budgets govern the system must be accepted before downstream release</x:v>
      </x:c>
    </x:row>
    <x:row r="1046">
      <x:c r="B1046" s="21" t="str">
        <x:v>BL-01040</x:v>
      </x:c>
      <x:c r="C1046" s="21" t="str">
        <x:v>F38-I1</x:v>
      </x:c>
      <x:c r="D1046" s="21" t="str">
        <x:v>F38</x:v>
      </x:c>
      <x:c r="E1046" s="21" t="str">
        <x:v>B3</x:v>
      </x:c>
      <x:c r="F1046" s="21" t="str">
        <x:v>Build</x:v>
      </x:c>
      <x:c r="G1046" s="21" t="str">
        <x:v>0.0.0</x:v>
      </x:c>
      <x:c r="H1046" s="21" t="str">
        <x:v>Independent Evidence and Data Authority</x:v>
      </x:c>
      <x:c r="I1046" s="21" t="str">
        <x:v>OPEN</x:v>
      </x:c>
      <x:c r="J1046" s="21" t="str">
        <x:v>HOLD</x:v>
      </x:c>
      <x:c r="K1046" s="23" t="str">
        <x:v>what exact configuration produced the article must be accepted before downstream release</x:v>
      </x:c>
    </x:row>
    <x:row r="1047">
      <x:c r="B1047" s="21" t="str">
        <x:v>BL-01041</x:v>
      </x:c>
      <x:c r="C1047" s="21" t="str">
        <x:v>F38-I1</x:v>
      </x:c>
      <x:c r="D1047" s="21" t="str">
        <x:v>F38</x:v>
      </x:c>
      <x:c r="E1047" s="21" t="str">
        <x:v>B4</x:v>
      </x:c>
      <x:c r="F1047" s="21" t="str">
        <x:v>Trial</x:v>
      </x:c>
      <x:c r="G1047" s="21" t="str">
        <x:v>0.0.0</x:v>
      </x:c>
      <x:c r="H1047" s="21" t="str">
        <x:v>Independent Evidence and Data Authority</x:v>
      </x:c>
      <x:c r="I1047" s="21" t="str">
        <x:v>OPEN</x:v>
      </x:c>
      <x:c r="J1047" s="21" t="str">
        <x:v>HOLD</x:v>
      </x:c>
      <x:c r="K1047" s="23" t="str">
        <x:v>what configuration method and damage world produced evidence must be accepted before downstream release</x:v>
      </x:c>
    </x:row>
    <x:row r="1048">
      <x:c r="B1048" s="21" t="str">
        <x:v>BL-01042</x:v>
      </x:c>
      <x:c r="C1048" s="21" t="str">
        <x:v>F38-I1</x:v>
      </x:c>
      <x:c r="D1048" s="21" t="str">
        <x:v>F38</x:v>
      </x:c>
      <x:c r="E1048" s="21" t="str">
        <x:v>B5</x:v>
      </x:c>
      <x:c r="F1048" s="21" t="str">
        <x:v>Production</x:v>
      </x:c>
      <x:c r="G1048" s="21" t="str">
        <x:v>0.0.0</x:v>
      </x:c>
      <x:c r="H1048" s="21" t="str">
        <x:v>Independent Evidence and Data Authority</x:v>
      </x:c>
      <x:c r="I1048" s="21" t="str">
        <x:v>OPEN</x:v>
      </x:c>
      <x:c r="J1048" s="21" t="str">
        <x:v>HOLD</x:v>
      </x:c>
      <x:c r="K1048" s="23" t="str">
        <x:v>what process configuration and acceptance define serial output must be accepted before downstream release</x:v>
      </x:c>
    </x:row>
    <x:row r="1049">
      <x:c r="B1049" s="21" t="str">
        <x:v>BL-01043</x:v>
      </x:c>
      <x:c r="C1049" s="21" t="str">
        <x:v>F38-I1</x:v>
      </x:c>
      <x:c r="D1049" s="21" t="str">
        <x:v>F38</x:v>
      </x:c>
      <x:c r="E1049" s="21" t="str">
        <x:v>B6</x:v>
      </x:c>
      <x:c r="F1049" s="21" t="str">
        <x:v>Mobilization</x:v>
      </x:c>
      <x:c r="G1049" s="21" t="str">
        <x:v>0.0.0</x:v>
      </x:c>
      <x:c r="H1049" s="21" t="str">
        <x:v>Independent Evidence and Data Authority</x:v>
      </x:c>
      <x:c r="I1049" s="21" t="str">
        <x:v>OPEN</x:v>
      </x:c>
      <x:c r="J1049" s="21" t="str">
        <x:v>HOLD</x:v>
      </x:c>
      <x:c r="K1049" s="23" t="str">
        <x:v>what people tools suppliers and routes reproduce conforming service must be accepted before downstream release</x:v>
      </x:c>
    </x:row>
    <x:row r="1050">
      <x:c r="B1050" s="21" t="str">
        <x:v>BL-01044</x:v>
      </x:c>
      <x:c r="C1050" s="21" t="str">
        <x:v>F38-I2</x:v>
      </x:c>
      <x:c r="D1050" s="21" t="str">
        <x:v>F38</x:v>
      </x:c>
      <x:c r="E1050" s="21" t="str">
        <x:v>B0</x:v>
      </x:c>
      <x:c r="F1050" s="21" t="str">
        <x:v>Effect</x:v>
      </x:c>
      <x:c r="G1050" s="21" t="str">
        <x:v>0.0.0</x:v>
      </x:c>
      <x:c r="H1050" s="21" t="str">
        <x:v>Independent Evidence and Data Authority</x:v>
      </x:c>
      <x:c r="I1050" s="21" t="str">
        <x:v>OPEN</x:v>
      </x:c>
      <x:c r="J1050" s="21" t="str">
        <x:v>HOLD</x:v>
      </x:c>
      <x:c r="K1050" s="23" t="str">
        <x:v>what public condition must exist must be accepted before downstream release</x:v>
      </x:c>
    </x:row>
    <x:row r="1051">
      <x:c r="B1051" s="21" t="str">
        <x:v>BL-01045</x:v>
      </x:c>
      <x:c r="C1051" s="21" t="str">
        <x:v>F38-I2</x:v>
      </x:c>
      <x:c r="D1051" s="21" t="str">
        <x:v>F38</x:v>
      </x:c>
      <x:c r="E1051" s="21" t="str">
        <x:v>B1</x:v>
      </x:c>
      <x:c r="F1051" s="21" t="str">
        <x:v>Requirements</x:v>
      </x:c>
      <x:c r="G1051" s="21" t="str">
        <x:v>0.0.0</x:v>
      </x:c>
      <x:c r="H1051" s="21" t="str">
        <x:v>Independent Evidence and Data Authority</x:v>
      </x:c>
      <x:c r="I1051" s="21" t="str">
        <x:v>OPEN</x:v>
      </x:c>
      <x:c r="J1051" s="21" t="str">
        <x:v>HOLD</x:v>
      </x:c>
      <x:c r="K1051" s="23" t="str">
        <x:v>what burdens and invalid states bound the effect must be accepted before downstream release</x:v>
      </x:c>
    </x:row>
    <x:row r="1052">
      <x:c r="B1052" s="21" t="str">
        <x:v>BL-01046</x:v>
      </x:c>
      <x:c r="C1052" s="21" t="str">
        <x:v>F38-I2</x:v>
      </x:c>
      <x:c r="D1052" s="21" t="str">
        <x:v>F38</x:v>
      </x:c>
      <x:c r="E1052" s="21" t="str">
        <x:v>B2</x:v>
      </x:c>
      <x:c r="F1052" s="21" t="str">
        <x:v>Architecture</x:v>
      </x:c>
      <x:c r="G1052" s="21" t="str">
        <x:v>0.0.0</x:v>
      </x:c>
      <x:c r="H1052" s="21" t="str">
        <x:v>Independent Evidence and Data Authority</x:v>
      </x:c>
      <x:c r="I1052" s="21" t="str">
        <x:v>OPEN</x:v>
      </x:c>
      <x:c r="J1052" s="21" t="str">
        <x:v>HOLD</x:v>
      </x:c>
      <x:c r="K1052" s="23" t="str">
        <x:v>what interfaces and budgets govern the system must be accepted before downstream release</x:v>
      </x:c>
    </x:row>
    <x:row r="1053">
      <x:c r="B1053" s="21" t="str">
        <x:v>BL-01047</x:v>
      </x:c>
      <x:c r="C1053" s="21" t="str">
        <x:v>F38-I2</x:v>
      </x:c>
      <x:c r="D1053" s="21" t="str">
        <x:v>F38</x:v>
      </x:c>
      <x:c r="E1053" s="21" t="str">
        <x:v>B3</x:v>
      </x:c>
      <x:c r="F1053" s="21" t="str">
        <x:v>Build</x:v>
      </x:c>
      <x:c r="G1053" s="21" t="str">
        <x:v>0.0.0</x:v>
      </x:c>
      <x:c r="H1053" s="21" t="str">
        <x:v>Independent Evidence and Data Authority</x:v>
      </x:c>
      <x:c r="I1053" s="21" t="str">
        <x:v>OPEN</x:v>
      </x:c>
      <x:c r="J1053" s="21" t="str">
        <x:v>HOLD</x:v>
      </x:c>
      <x:c r="K1053" s="23" t="str">
        <x:v>what exact configuration produced the article must be accepted before downstream release</x:v>
      </x:c>
    </x:row>
    <x:row r="1054">
      <x:c r="B1054" s="21" t="str">
        <x:v>BL-01048</x:v>
      </x:c>
      <x:c r="C1054" s="21" t="str">
        <x:v>F38-I2</x:v>
      </x:c>
      <x:c r="D1054" s="21" t="str">
        <x:v>F38</x:v>
      </x:c>
      <x:c r="E1054" s="21" t="str">
        <x:v>B4</x:v>
      </x:c>
      <x:c r="F1054" s="21" t="str">
        <x:v>Trial</x:v>
      </x:c>
      <x:c r="G1054" s="21" t="str">
        <x:v>0.0.0</x:v>
      </x:c>
      <x:c r="H1054" s="21" t="str">
        <x:v>Independent Evidence and Data Authority</x:v>
      </x:c>
      <x:c r="I1054" s="21" t="str">
        <x:v>OPEN</x:v>
      </x:c>
      <x:c r="J1054" s="21" t="str">
        <x:v>HOLD</x:v>
      </x:c>
      <x:c r="K1054" s="23" t="str">
        <x:v>what configuration method and damage world produced evidence must be accepted before downstream release</x:v>
      </x:c>
    </x:row>
    <x:row r="1055">
      <x:c r="B1055" s="21" t="str">
        <x:v>BL-01049</x:v>
      </x:c>
      <x:c r="C1055" s="21" t="str">
        <x:v>F38-I2</x:v>
      </x:c>
      <x:c r="D1055" s="21" t="str">
        <x:v>F38</x:v>
      </x:c>
      <x:c r="E1055" s="21" t="str">
        <x:v>B5</x:v>
      </x:c>
      <x:c r="F1055" s="21" t="str">
        <x:v>Production</x:v>
      </x:c>
      <x:c r="G1055" s="21" t="str">
        <x:v>0.0.0</x:v>
      </x:c>
      <x:c r="H1055" s="21" t="str">
        <x:v>Independent Evidence and Data Authority</x:v>
      </x:c>
      <x:c r="I1055" s="21" t="str">
        <x:v>OPEN</x:v>
      </x:c>
      <x:c r="J1055" s="21" t="str">
        <x:v>HOLD</x:v>
      </x:c>
      <x:c r="K1055" s="23" t="str">
        <x:v>what process configuration and acceptance define serial output must be accepted before downstream release</x:v>
      </x:c>
    </x:row>
    <x:row r="1056">
      <x:c r="B1056" s="21" t="str">
        <x:v>BL-01050</x:v>
      </x:c>
      <x:c r="C1056" s="21" t="str">
        <x:v>F38-I2</x:v>
      </x:c>
      <x:c r="D1056" s="21" t="str">
        <x:v>F38</x:v>
      </x:c>
      <x:c r="E1056" s="21" t="str">
        <x:v>B6</x:v>
      </x:c>
      <x:c r="F1056" s="21" t="str">
        <x:v>Mobilization</x:v>
      </x:c>
      <x:c r="G1056" s="21" t="str">
        <x:v>0.0.0</x:v>
      </x:c>
      <x:c r="H1056" s="21" t="str">
        <x:v>Independent Evidence and Data Authority</x:v>
      </x:c>
      <x:c r="I1056" s="21" t="str">
        <x:v>OPEN</x:v>
      </x:c>
      <x:c r="J1056" s="21" t="str">
        <x:v>HOLD</x:v>
      </x:c>
      <x:c r="K1056" s="23" t="str">
        <x:v>what people tools suppliers and routes reproduce conforming service must be accepted before downstream release</x:v>
      </x:c>
    </x:row>
    <x:row r="1057">
      <x:c r="B1057" s="21" t="str">
        <x:v>BL-01051</x:v>
      </x:c>
      <x:c r="C1057" s="21" t="str">
        <x:v>F38-I3</x:v>
      </x:c>
      <x:c r="D1057" s="21" t="str">
        <x:v>F38</x:v>
      </x:c>
      <x:c r="E1057" s="21" t="str">
        <x:v>B0</x:v>
      </x:c>
      <x:c r="F1057" s="21" t="str">
        <x:v>Effect</x:v>
      </x:c>
      <x:c r="G1057" s="21" t="str">
        <x:v>0.0.0</x:v>
      </x:c>
      <x:c r="H1057" s="21" t="str">
        <x:v>Independent Evidence and Data Authority</x:v>
      </x:c>
      <x:c r="I1057" s="21" t="str">
        <x:v>OPEN</x:v>
      </x:c>
      <x:c r="J1057" s="21" t="str">
        <x:v>HOLD</x:v>
      </x:c>
      <x:c r="K1057" s="23" t="str">
        <x:v>what public condition must exist must be accepted before downstream release</x:v>
      </x:c>
    </x:row>
    <x:row r="1058">
      <x:c r="B1058" s="21" t="str">
        <x:v>BL-01052</x:v>
      </x:c>
      <x:c r="C1058" s="21" t="str">
        <x:v>F38-I3</x:v>
      </x:c>
      <x:c r="D1058" s="21" t="str">
        <x:v>F38</x:v>
      </x:c>
      <x:c r="E1058" s="21" t="str">
        <x:v>B1</x:v>
      </x:c>
      <x:c r="F1058" s="21" t="str">
        <x:v>Requirements</x:v>
      </x:c>
      <x:c r="G1058" s="21" t="str">
        <x:v>0.0.0</x:v>
      </x:c>
      <x:c r="H1058" s="21" t="str">
        <x:v>Independent Evidence and Data Authority</x:v>
      </x:c>
      <x:c r="I1058" s="21" t="str">
        <x:v>OPEN</x:v>
      </x:c>
      <x:c r="J1058" s="21" t="str">
        <x:v>HOLD</x:v>
      </x:c>
      <x:c r="K1058" s="23" t="str">
        <x:v>what burdens and invalid states bound the effect must be accepted before downstream release</x:v>
      </x:c>
    </x:row>
    <x:row r="1059">
      <x:c r="B1059" s="21" t="str">
        <x:v>BL-01053</x:v>
      </x:c>
      <x:c r="C1059" s="21" t="str">
        <x:v>F38-I3</x:v>
      </x:c>
      <x:c r="D1059" s="21" t="str">
        <x:v>F38</x:v>
      </x:c>
      <x:c r="E1059" s="21" t="str">
        <x:v>B2</x:v>
      </x:c>
      <x:c r="F1059" s="21" t="str">
        <x:v>Architecture</x:v>
      </x:c>
      <x:c r="G1059" s="21" t="str">
        <x:v>0.0.0</x:v>
      </x:c>
      <x:c r="H1059" s="21" t="str">
        <x:v>Independent Evidence and Data Authority</x:v>
      </x:c>
      <x:c r="I1059" s="21" t="str">
        <x:v>OPEN</x:v>
      </x:c>
      <x:c r="J1059" s="21" t="str">
        <x:v>HOLD</x:v>
      </x:c>
      <x:c r="K1059" s="23" t="str">
        <x:v>what interfaces and budgets govern the system must be accepted before downstream release</x:v>
      </x:c>
    </x:row>
    <x:row r="1060">
      <x:c r="B1060" s="21" t="str">
        <x:v>BL-01054</x:v>
      </x:c>
      <x:c r="C1060" s="21" t="str">
        <x:v>F38-I3</x:v>
      </x:c>
      <x:c r="D1060" s="21" t="str">
        <x:v>F38</x:v>
      </x:c>
      <x:c r="E1060" s="21" t="str">
        <x:v>B3</x:v>
      </x:c>
      <x:c r="F1060" s="21" t="str">
        <x:v>Build</x:v>
      </x:c>
      <x:c r="G1060" s="21" t="str">
        <x:v>0.0.0</x:v>
      </x:c>
      <x:c r="H1060" s="21" t="str">
        <x:v>Independent Evidence and Data Authority</x:v>
      </x:c>
      <x:c r="I1060" s="21" t="str">
        <x:v>OPEN</x:v>
      </x:c>
      <x:c r="J1060" s="21" t="str">
        <x:v>HOLD</x:v>
      </x:c>
      <x:c r="K1060" s="23" t="str">
        <x:v>what exact configuration produced the article must be accepted before downstream release</x:v>
      </x:c>
    </x:row>
    <x:row r="1061">
      <x:c r="B1061" s="21" t="str">
        <x:v>BL-01055</x:v>
      </x:c>
      <x:c r="C1061" s="21" t="str">
        <x:v>F38-I3</x:v>
      </x:c>
      <x:c r="D1061" s="21" t="str">
        <x:v>F38</x:v>
      </x:c>
      <x:c r="E1061" s="21" t="str">
        <x:v>B4</x:v>
      </x:c>
      <x:c r="F1061" s="21" t="str">
        <x:v>Trial</x:v>
      </x:c>
      <x:c r="G1061" s="21" t="str">
        <x:v>0.0.0</x:v>
      </x:c>
      <x:c r="H1061" s="21" t="str">
        <x:v>Independent Evidence and Data Authority</x:v>
      </x:c>
      <x:c r="I1061" s="21" t="str">
        <x:v>OPEN</x:v>
      </x:c>
      <x:c r="J1061" s="21" t="str">
        <x:v>HOLD</x:v>
      </x:c>
      <x:c r="K1061" s="23" t="str">
        <x:v>what configuration method and damage world produced evidence must be accepted before downstream release</x:v>
      </x:c>
    </x:row>
    <x:row r="1062">
      <x:c r="B1062" s="21" t="str">
        <x:v>BL-01056</x:v>
      </x:c>
      <x:c r="C1062" s="21" t="str">
        <x:v>F38-I3</x:v>
      </x:c>
      <x:c r="D1062" s="21" t="str">
        <x:v>F38</x:v>
      </x:c>
      <x:c r="E1062" s="21" t="str">
        <x:v>B5</x:v>
      </x:c>
      <x:c r="F1062" s="21" t="str">
        <x:v>Production</x:v>
      </x:c>
      <x:c r="G1062" s="21" t="str">
        <x:v>0.0.0</x:v>
      </x:c>
      <x:c r="H1062" s="21" t="str">
        <x:v>Independent Evidence and Data Authority</x:v>
      </x:c>
      <x:c r="I1062" s="21" t="str">
        <x:v>OPEN</x:v>
      </x:c>
      <x:c r="J1062" s="21" t="str">
        <x:v>HOLD</x:v>
      </x:c>
      <x:c r="K1062" s="23" t="str">
        <x:v>what process configuration and acceptance define serial output must be accepted before downstream release</x:v>
      </x:c>
    </x:row>
    <x:row r="1063">
      <x:c r="B1063" s="21" t="str">
        <x:v>BL-01057</x:v>
      </x:c>
      <x:c r="C1063" s="21" t="str">
        <x:v>F38-I3</x:v>
      </x:c>
      <x:c r="D1063" s="21" t="str">
        <x:v>F38</x:v>
      </x:c>
      <x:c r="E1063" s="21" t="str">
        <x:v>B6</x:v>
      </x:c>
      <x:c r="F1063" s="21" t="str">
        <x:v>Mobilization</x:v>
      </x:c>
      <x:c r="G1063" s="21" t="str">
        <x:v>0.0.0</x:v>
      </x:c>
      <x:c r="H1063" s="21" t="str">
        <x:v>Independent Evidence and Data Authority</x:v>
      </x:c>
      <x:c r="I1063" s="21" t="str">
        <x:v>OPEN</x:v>
      </x:c>
      <x:c r="J1063" s="21" t="str">
        <x:v>HOLD</x:v>
      </x:c>
      <x:c r="K1063" s="23" t="str">
        <x:v>what people tools suppliers and routes reproduce conforming service must be accepted before downstream release</x:v>
      </x:c>
    </x:row>
    <x:row r="1064">
      <x:c r="B1064" s="21" t="str">
        <x:v>BL-01058</x:v>
      </x:c>
      <x:c r="C1064" s="21" t="str">
        <x:v>F38-I4</x:v>
      </x:c>
      <x:c r="D1064" s="21" t="str">
        <x:v>F38</x:v>
      </x:c>
      <x:c r="E1064" s="21" t="str">
        <x:v>B0</x:v>
      </x:c>
      <x:c r="F1064" s="21" t="str">
        <x:v>Effect</x:v>
      </x:c>
      <x:c r="G1064" s="21" t="str">
        <x:v>0.0.0</x:v>
      </x:c>
      <x:c r="H1064" s="21" t="str">
        <x:v>Independent Evidence and Data Authority</x:v>
      </x:c>
      <x:c r="I1064" s="21" t="str">
        <x:v>OPEN</x:v>
      </x:c>
      <x:c r="J1064" s="21" t="str">
        <x:v>HOLD</x:v>
      </x:c>
      <x:c r="K1064" s="23" t="str">
        <x:v>what public condition must exist must be accepted before downstream release</x:v>
      </x:c>
    </x:row>
    <x:row r="1065">
      <x:c r="B1065" s="21" t="str">
        <x:v>BL-01059</x:v>
      </x:c>
      <x:c r="C1065" s="21" t="str">
        <x:v>F38-I4</x:v>
      </x:c>
      <x:c r="D1065" s="21" t="str">
        <x:v>F38</x:v>
      </x:c>
      <x:c r="E1065" s="21" t="str">
        <x:v>B1</x:v>
      </x:c>
      <x:c r="F1065" s="21" t="str">
        <x:v>Requirements</x:v>
      </x:c>
      <x:c r="G1065" s="21" t="str">
        <x:v>0.0.0</x:v>
      </x:c>
      <x:c r="H1065" s="21" t="str">
        <x:v>Independent Evidence and Data Authority</x:v>
      </x:c>
      <x:c r="I1065" s="21" t="str">
        <x:v>OPEN</x:v>
      </x:c>
      <x:c r="J1065" s="21" t="str">
        <x:v>HOLD</x:v>
      </x:c>
      <x:c r="K1065" s="23" t="str">
        <x:v>what burdens and invalid states bound the effect must be accepted before downstream release</x:v>
      </x:c>
    </x:row>
    <x:row r="1066">
      <x:c r="B1066" s="21" t="str">
        <x:v>BL-01060</x:v>
      </x:c>
      <x:c r="C1066" s="21" t="str">
        <x:v>F38-I4</x:v>
      </x:c>
      <x:c r="D1066" s="21" t="str">
        <x:v>F38</x:v>
      </x:c>
      <x:c r="E1066" s="21" t="str">
        <x:v>B2</x:v>
      </x:c>
      <x:c r="F1066" s="21" t="str">
        <x:v>Architecture</x:v>
      </x:c>
      <x:c r="G1066" s="21" t="str">
        <x:v>0.0.0</x:v>
      </x:c>
      <x:c r="H1066" s="21" t="str">
        <x:v>Independent Evidence and Data Authority</x:v>
      </x:c>
      <x:c r="I1066" s="21" t="str">
        <x:v>OPEN</x:v>
      </x:c>
      <x:c r="J1066" s="21" t="str">
        <x:v>HOLD</x:v>
      </x:c>
      <x:c r="K1066" s="23" t="str">
        <x:v>what interfaces and budgets govern the system must be accepted before downstream release</x:v>
      </x:c>
    </x:row>
    <x:row r="1067">
      <x:c r="B1067" s="21" t="str">
        <x:v>BL-01061</x:v>
      </x:c>
      <x:c r="C1067" s="21" t="str">
        <x:v>F38-I4</x:v>
      </x:c>
      <x:c r="D1067" s="21" t="str">
        <x:v>F38</x:v>
      </x:c>
      <x:c r="E1067" s="21" t="str">
        <x:v>B3</x:v>
      </x:c>
      <x:c r="F1067" s="21" t="str">
        <x:v>Build</x:v>
      </x:c>
      <x:c r="G1067" s="21" t="str">
        <x:v>0.0.0</x:v>
      </x:c>
      <x:c r="H1067" s="21" t="str">
        <x:v>Independent Evidence and Data Authority</x:v>
      </x:c>
      <x:c r="I1067" s="21" t="str">
        <x:v>OPEN</x:v>
      </x:c>
      <x:c r="J1067" s="21" t="str">
        <x:v>HOLD</x:v>
      </x:c>
      <x:c r="K1067" s="23" t="str">
        <x:v>what exact configuration produced the article must be accepted before downstream release</x:v>
      </x:c>
    </x:row>
    <x:row r="1068">
      <x:c r="B1068" s="21" t="str">
        <x:v>BL-01062</x:v>
      </x:c>
      <x:c r="C1068" s="21" t="str">
        <x:v>F38-I4</x:v>
      </x:c>
      <x:c r="D1068" s="21" t="str">
        <x:v>F38</x:v>
      </x:c>
      <x:c r="E1068" s="21" t="str">
        <x:v>B4</x:v>
      </x:c>
      <x:c r="F1068" s="21" t="str">
        <x:v>Trial</x:v>
      </x:c>
      <x:c r="G1068" s="21" t="str">
        <x:v>0.0.0</x:v>
      </x:c>
      <x:c r="H1068" s="21" t="str">
        <x:v>Independent Evidence and Data Authority</x:v>
      </x:c>
      <x:c r="I1068" s="21" t="str">
        <x:v>OPEN</x:v>
      </x:c>
      <x:c r="J1068" s="21" t="str">
        <x:v>HOLD</x:v>
      </x:c>
      <x:c r="K1068" s="23" t="str">
        <x:v>what configuration method and damage world produced evidence must be accepted before downstream release</x:v>
      </x:c>
    </x:row>
    <x:row r="1069">
      <x:c r="B1069" s="21" t="str">
        <x:v>BL-01063</x:v>
      </x:c>
      <x:c r="C1069" s="21" t="str">
        <x:v>F38-I4</x:v>
      </x:c>
      <x:c r="D1069" s="21" t="str">
        <x:v>F38</x:v>
      </x:c>
      <x:c r="E1069" s="21" t="str">
        <x:v>B5</x:v>
      </x:c>
      <x:c r="F1069" s="21" t="str">
        <x:v>Production</x:v>
      </x:c>
      <x:c r="G1069" s="21" t="str">
        <x:v>0.0.0</x:v>
      </x:c>
      <x:c r="H1069" s="21" t="str">
        <x:v>Independent Evidence and Data Authority</x:v>
      </x:c>
      <x:c r="I1069" s="21" t="str">
        <x:v>OPEN</x:v>
      </x:c>
      <x:c r="J1069" s="21" t="str">
        <x:v>HOLD</x:v>
      </x:c>
      <x:c r="K1069" s="23" t="str">
        <x:v>what process configuration and acceptance define serial output must be accepted before downstream release</x:v>
      </x:c>
    </x:row>
    <x:row r="1070">
      <x:c r="B1070" s="21" t="str">
        <x:v>BL-01064</x:v>
      </x:c>
      <x:c r="C1070" s="21" t="str">
        <x:v>F38-I4</x:v>
      </x:c>
      <x:c r="D1070" s="21" t="str">
        <x:v>F38</x:v>
      </x:c>
      <x:c r="E1070" s="21" t="str">
        <x:v>B6</x:v>
      </x:c>
      <x:c r="F1070" s="21" t="str">
        <x:v>Mobilization</x:v>
      </x:c>
      <x:c r="G1070" s="21" t="str">
        <x:v>0.0.0</x:v>
      </x:c>
      <x:c r="H1070" s="21" t="str">
        <x:v>Independent Evidence and Data Authority</x:v>
      </x:c>
      <x:c r="I1070" s="21" t="str">
        <x:v>OPEN</x:v>
      </x:c>
      <x:c r="J1070" s="21" t="str">
        <x:v>HOLD</x:v>
      </x:c>
      <x:c r="K1070" s="23" t="str">
        <x:v>what people tools suppliers and routes reproduce conforming service must be accepted before downstream release</x:v>
      </x:c>
    </x:row>
    <x:row r="1071">
      <x:c r="B1071" s="21" t="str">
        <x:v>BL-01065</x:v>
      </x:c>
      <x:c r="C1071" s="21" t="str">
        <x:v>F39-I1</x:v>
      </x:c>
      <x:c r="D1071" s="21" t="str">
        <x:v>F39</x:v>
      </x:c>
      <x:c r="E1071" s="21" t="str">
        <x:v>B0</x:v>
      </x:c>
      <x:c r="F1071" s="21" t="str">
        <x:v>Effect</x:v>
      </x:c>
      <x:c r="G1071" s="21" t="str">
        <x:v>0.0.0</x:v>
      </x:c>
      <x:c r="H1071" s="21" t="str">
        <x:v>Independent Evidence and Data Authority</x:v>
      </x:c>
      <x:c r="I1071" s="21" t="str">
        <x:v>OPEN</x:v>
      </x:c>
      <x:c r="J1071" s="21" t="str">
        <x:v>HOLD</x:v>
      </x:c>
      <x:c r="K1071" s="23" t="str">
        <x:v>what public condition must exist must be accepted before downstream release</x:v>
      </x:c>
    </x:row>
    <x:row r="1072">
      <x:c r="B1072" s="21" t="str">
        <x:v>BL-01066</x:v>
      </x:c>
      <x:c r="C1072" s="21" t="str">
        <x:v>F39-I1</x:v>
      </x:c>
      <x:c r="D1072" s="21" t="str">
        <x:v>F39</x:v>
      </x:c>
      <x:c r="E1072" s="21" t="str">
        <x:v>B1</x:v>
      </x:c>
      <x:c r="F1072" s="21" t="str">
        <x:v>Requirements</x:v>
      </x:c>
      <x:c r="G1072" s="21" t="str">
        <x:v>0.0.0</x:v>
      </x:c>
      <x:c r="H1072" s="21" t="str">
        <x:v>Independent Evidence and Data Authority</x:v>
      </x:c>
      <x:c r="I1072" s="21" t="str">
        <x:v>OPEN</x:v>
      </x:c>
      <x:c r="J1072" s="21" t="str">
        <x:v>HOLD</x:v>
      </x:c>
      <x:c r="K1072" s="23" t="str">
        <x:v>what burdens and invalid states bound the effect must be accepted before downstream release</x:v>
      </x:c>
    </x:row>
    <x:row r="1073">
      <x:c r="B1073" s="21" t="str">
        <x:v>BL-01067</x:v>
      </x:c>
      <x:c r="C1073" s="21" t="str">
        <x:v>F39-I1</x:v>
      </x:c>
      <x:c r="D1073" s="21" t="str">
        <x:v>F39</x:v>
      </x:c>
      <x:c r="E1073" s="21" t="str">
        <x:v>B2</x:v>
      </x:c>
      <x:c r="F1073" s="21" t="str">
        <x:v>Architecture</x:v>
      </x:c>
      <x:c r="G1073" s="21" t="str">
        <x:v>0.0.0</x:v>
      </x:c>
      <x:c r="H1073" s="21" t="str">
        <x:v>Independent Evidence and Data Authority</x:v>
      </x:c>
      <x:c r="I1073" s="21" t="str">
        <x:v>OPEN</x:v>
      </x:c>
      <x:c r="J1073" s="21" t="str">
        <x:v>HOLD</x:v>
      </x:c>
      <x:c r="K1073" s="23" t="str">
        <x:v>what interfaces and budgets govern the system must be accepted before downstream release</x:v>
      </x:c>
    </x:row>
    <x:row r="1074">
      <x:c r="B1074" s="21" t="str">
        <x:v>BL-01068</x:v>
      </x:c>
      <x:c r="C1074" s="21" t="str">
        <x:v>F39-I1</x:v>
      </x:c>
      <x:c r="D1074" s="21" t="str">
        <x:v>F39</x:v>
      </x:c>
      <x:c r="E1074" s="21" t="str">
        <x:v>B3</x:v>
      </x:c>
      <x:c r="F1074" s="21" t="str">
        <x:v>Build</x:v>
      </x:c>
      <x:c r="G1074" s="21" t="str">
        <x:v>0.0.0</x:v>
      </x:c>
      <x:c r="H1074" s="21" t="str">
        <x:v>Independent Evidence and Data Authority</x:v>
      </x:c>
      <x:c r="I1074" s="21" t="str">
        <x:v>OPEN</x:v>
      </x:c>
      <x:c r="J1074" s="21" t="str">
        <x:v>HOLD</x:v>
      </x:c>
      <x:c r="K1074" s="23" t="str">
        <x:v>what exact configuration produced the article must be accepted before downstream release</x:v>
      </x:c>
    </x:row>
    <x:row r="1075">
      <x:c r="B1075" s="21" t="str">
        <x:v>BL-01069</x:v>
      </x:c>
      <x:c r="C1075" s="21" t="str">
        <x:v>F39-I1</x:v>
      </x:c>
      <x:c r="D1075" s="21" t="str">
        <x:v>F39</x:v>
      </x:c>
      <x:c r="E1075" s="21" t="str">
        <x:v>B4</x:v>
      </x:c>
      <x:c r="F1075" s="21" t="str">
        <x:v>Trial</x:v>
      </x:c>
      <x:c r="G1075" s="21" t="str">
        <x:v>0.0.0</x:v>
      </x:c>
      <x:c r="H1075" s="21" t="str">
        <x:v>Independent Evidence and Data Authority</x:v>
      </x:c>
      <x:c r="I1075" s="21" t="str">
        <x:v>OPEN</x:v>
      </x:c>
      <x:c r="J1075" s="21" t="str">
        <x:v>HOLD</x:v>
      </x:c>
      <x:c r="K1075" s="23" t="str">
        <x:v>what configuration method and damage world produced evidence must be accepted before downstream release</x:v>
      </x:c>
    </x:row>
    <x:row r="1076">
      <x:c r="B1076" s="21" t="str">
        <x:v>BL-01070</x:v>
      </x:c>
      <x:c r="C1076" s="21" t="str">
        <x:v>F39-I1</x:v>
      </x:c>
      <x:c r="D1076" s="21" t="str">
        <x:v>F39</x:v>
      </x:c>
      <x:c r="E1076" s="21" t="str">
        <x:v>B5</x:v>
      </x:c>
      <x:c r="F1076" s="21" t="str">
        <x:v>Production</x:v>
      </x:c>
      <x:c r="G1076" s="21" t="str">
        <x:v>0.0.0</x:v>
      </x:c>
      <x:c r="H1076" s="21" t="str">
        <x:v>Independent Evidence and Data Authority</x:v>
      </x:c>
      <x:c r="I1076" s="21" t="str">
        <x:v>OPEN</x:v>
      </x:c>
      <x:c r="J1076" s="21" t="str">
        <x:v>HOLD</x:v>
      </x:c>
      <x:c r="K1076" s="23" t="str">
        <x:v>what process configuration and acceptance define serial output must be accepted before downstream release</x:v>
      </x:c>
    </x:row>
    <x:row r="1077">
      <x:c r="B1077" s="21" t="str">
        <x:v>BL-01071</x:v>
      </x:c>
      <x:c r="C1077" s="21" t="str">
        <x:v>F39-I1</x:v>
      </x:c>
      <x:c r="D1077" s="21" t="str">
        <x:v>F39</x:v>
      </x:c>
      <x:c r="E1077" s="21" t="str">
        <x:v>B6</x:v>
      </x:c>
      <x:c r="F1077" s="21" t="str">
        <x:v>Mobilization</x:v>
      </x:c>
      <x:c r="G1077" s="21" t="str">
        <x:v>0.0.0</x:v>
      </x:c>
      <x:c r="H1077" s="21" t="str">
        <x:v>Independent Evidence and Data Authority</x:v>
      </x:c>
      <x:c r="I1077" s="21" t="str">
        <x:v>OPEN</x:v>
      </x:c>
      <x:c r="J1077" s="21" t="str">
        <x:v>HOLD</x:v>
      </x:c>
      <x:c r="K1077" s="23" t="str">
        <x:v>what people tools suppliers and routes reproduce conforming service must be accepted before downstream release</x:v>
      </x:c>
    </x:row>
    <x:row r="1078">
      <x:c r="B1078" s="21" t="str">
        <x:v>BL-01072</x:v>
      </x:c>
      <x:c r="C1078" s="21" t="str">
        <x:v>F39-I2</x:v>
      </x:c>
      <x:c r="D1078" s="21" t="str">
        <x:v>F39</x:v>
      </x:c>
      <x:c r="E1078" s="21" t="str">
        <x:v>B0</x:v>
      </x:c>
      <x:c r="F1078" s="21" t="str">
        <x:v>Effect</x:v>
      </x:c>
      <x:c r="G1078" s="21" t="str">
        <x:v>0.0.0</x:v>
      </x:c>
      <x:c r="H1078" s="21" t="str">
        <x:v>Independent Evidence and Data Authority</x:v>
      </x:c>
      <x:c r="I1078" s="21" t="str">
        <x:v>OPEN</x:v>
      </x:c>
      <x:c r="J1078" s="21" t="str">
        <x:v>HOLD</x:v>
      </x:c>
      <x:c r="K1078" s="23" t="str">
        <x:v>what public condition must exist must be accepted before downstream release</x:v>
      </x:c>
    </x:row>
    <x:row r="1079">
      <x:c r="B1079" s="21" t="str">
        <x:v>BL-01073</x:v>
      </x:c>
      <x:c r="C1079" s="21" t="str">
        <x:v>F39-I2</x:v>
      </x:c>
      <x:c r="D1079" s="21" t="str">
        <x:v>F39</x:v>
      </x:c>
      <x:c r="E1079" s="21" t="str">
        <x:v>B1</x:v>
      </x:c>
      <x:c r="F1079" s="21" t="str">
        <x:v>Requirements</x:v>
      </x:c>
      <x:c r="G1079" s="21" t="str">
        <x:v>0.0.0</x:v>
      </x:c>
      <x:c r="H1079" s="21" t="str">
        <x:v>Independent Evidence and Data Authority</x:v>
      </x:c>
      <x:c r="I1079" s="21" t="str">
        <x:v>OPEN</x:v>
      </x:c>
      <x:c r="J1079" s="21" t="str">
        <x:v>HOLD</x:v>
      </x:c>
      <x:c r="K1079" s="23" t="str">
        <x:v>what burdens and invalid states bound the effect must be accepted before downstream release</x:v>
      </x:c>
    </x:row>
    <x:row r="1080">
      <x:c r="B1080" s="21" t="str">
        <x:v>BL-01074</x:v>
      </x:c>
      <x:c r="C1080" s="21" t="str">
        <x:v>F39-I2</x:v>
      </x:c>
      <x:c r="D1080" s="21" t="str">
        <x:v>F39</x:v>
      </x:c>
      <x:c r="E1080" s="21" t="str">
        <x:v>B2</x:v>
      </x:c>
      <x:c r="F1080" s="21" t="str">
        <x:v>Architecture</x:v>
      </x:c>
      <x:c r="G1080" s="21" t="str">
        <x:v>0.0.0</x:v>
      </x:c>
      <x:c r="H1080" s="21" t="str">
        <x:v>Independent Evidence and Data Authority</x:v>
      </x:c>
      <x:c r="I1080" s="21" t="str">
        <x:v>OPEN</x:v>
      </x:c>
      <x:c r="J1080" s="21" t="str">
        <x:v>HOLD</x:v>
      </x:c>
      <x:c r="K1080" s="23" t="str">
        <x:v>what interfaces and budgets govern the system must be accepted before downstream release</x:v>
      </x:c>
    </x:row>
    <x:row r="1081">
      <x:c r="B1081" s="21" t="str">
        <x:v>BL-01075</x:v>
      </x:c>
      <x:c r="C1081" s="21" t="str">
        <x:v>F39-I2</x:v>
      </x:c>
      <x:c r="D1081" s="21" t="str">
        <x:v>F39</x:v>
      </x:c>
      <x:c r="E1081" s="21" t="str">
        <x:v>B3</x:v>
      </x:c>
      <x:c r="F1081" s="21" t="str">
        <x:v>Build</x:v>
      </x:c>
      <x:c r="G1081" s="21" t="str">
        <x:v>0.0.0</x:v>
      </x:c>
      <x:c r="H1081" s="21" t="str">
        <x:v>Independent Evidence and Data Authority</x:v>
      </x:c>
      <x:c r="I1081" s="21" t="str">
        <x:v>OPEN</x:v>
      </x:c>
      <x:c r="J1081" s="21" t="str">
        <x:v>HOLD</x:v>
      </x:c>
      <x:c r="K1081" s="23" t="str">
        <x:v>what exact configuration produced the article must be accepted before downstream release</x:v>
      </x:c>
    </x:row>
    <x:row r="1082">
      <x:c r="B1082" s="21" t="str">
        <x:v>BL-01076</x:v>
      </x:c>
      <x:c r="C1082" s="21" t="str">
        <x:v>F39-I2</x:v>
      </x:c>
      <x:c r="D1082" s="21" t="str">
        <x:v>F39</x:v>
      </x:c>
      <x:c r="E1082" s="21" t="str">
        <x:v>B4</x:v>
      </x:c>
      <x:c r="F1082" s="21" t="str">
        <x:v>Trial</x:v>
      </x:c>
      <x:c r="G1082" s="21" t="str">
        <x:v>0.0.0</x:v>
      </x:c>
      <x:c r="H1082" s="21" t="str">
        <x:v>Independent Evidence and Data Authority</x:v>
      </x:c>
      <x:c r="I1082" s="21" t="str">
        <x:v>OPEN</x:v>
      </x:c>
      <x:c r="J1082" s="21" t="str">
        <x:v>HOLD</x:v>
      </x:c>
      <x:c r="K1082" s="23" t="str">
        <x:v>what configuration method and damage world produced evidence must be accepted before downstream release</x:v>
      </x:c>
    </x:row>
    <x:row r="1083">
      <x:c r="B1083" s="21" t="str">
        <x:v>BL-01077</x:v>
      </x:c>
      <x:c r="C1083" s="21" t="str">
        <x:v>F39-I2</x:v>
      </x:c>
      <x:c r="D1083" s="21" t="str">
        <x:v>F39</x:v>
      </x:c>
      <x:c r="E1083" s="21" t="str">
        <x:v>B5</x:v>
      </x:c>
      <x:c r="F1083" s="21" t="str">
        <x:v>Production</x:v>
      </x:c>
      <x:c r="G1083" s="21" t="str">
        <x:v>0.0.0</x:v>
      </x:c>
      <x:c r="H1083" s="21" t="str">
        <x:v>Independent Evidence and Data Authority</x:v>
      </x:c>
      <x:c r="I1083" s="21" t="str">
        <x:v>OPEN</x:v>
      </x:c>
      <x:c r="J1083" s="21" t="str">
        <x:v>HOLD</x:v>
      </x:c>
      <x:c r="K1083" s="23" t="str">
        <x:v>what process configuration and acceptance define serial output must be accepted before downstream release</x:v>
      </x:c>
    </x:row>
    <x:row r="1084">
      <x:c r="B1084" s="21" t="str">
        <x:v>BL-01078</x:v>
      </x:c>
      <x:c r="C1084" s="21" t="str">
        <x:v>F39-I2</x:v>
      </x:c>
      <x:c r="D1084" s="21" t="str">
        <x:v>F39</x:v>
      </x:c>
      <x:c r="E1084" s="21" t="str">
        <x:v>B6</x:v>
      </x:c>
      <x:c r="F1084" s="21" t="str">
        <x:v>Mobilization</x:v>
      </x:c>
      <x:c r="G1084" s="21" t="str">
        <x:v>0.0.0</x:v>
      </x:c>
      <x:c r="H1084" s="21" t="str">
        <x:v>Independent Evidence and Data Authority</x:v>
      </x:c>
      <x:c r="I1084" s="21" t="str">
        <x:v>OPEN</x:v>
      </x:c>
      <x:c r="J1084" s="21" t="str">
        <x:v>HOLD</x:v>
      </x:c>
      <x:c r="K1084" s="23" t="str">
        <x:v>what people tools suppliers and routes reproduce conforming service must be accepted before downstream release</x:v>
      </x:c>
    </x:row>
    <x:row r="1085">
      <x:c r="B1085" s="21" t="str">
        <x:v>BL-01079</x:v>
      </x:c>
      <x:c r="C1085" s="21" t="str">
        <x:v>F39-I3</x:v>
      </x:c>
      <x:c r="D1085" s="21" t="str">
        <x:v>F39</x:v>
      </x:c>
      <x:c r="E1085" s="21" t="str">
        <x:v>B0</x:v>
      </x:c>
      <x:c r="F1085" s="21" t="str">
        <x:v>Effect</x:v>
      </x:c>
      <x:c r="G1085" s="21" t="str">
        <x:v>0.0.0</x:v>
      </x:c>
      <x:c r="H1085" s="21" t="str">
        <x:v>Independent Evidence and Data Authority</x:v>
      </x:c>
      <x:c r="I1085" s="21" t="str">
        <x:v>OPEN</x:v>
      </x:c>
      <x:c r="J1085" s="21" t="str">
        <x:v>HOLD</x:v>
      </x:c>
      <x:c r="K1085" s="23" t="str">
        <x:v>what public condition must exist must be accepted before downstream release</x:v>
      </x:c>
    </x:row>
    <x:row r="1086">
      <x:c r="B1086" s="21" t="str">
        <x:v>BL-01080</x:v>
      </x:c>
      <x:c r="C1086" s="21" t="str">
        <x:v>F39-I3</x:v>
      </x:c>
      <x:c r="D1086" s="21" t="str">
        <x:v>F39</x:v>
      </x:c>
      <x:c r="E1086" s="21" t="str">
        <x:v>B1</x:v>
      </x:c>
      <x:c r="F1086" s="21" t="str">
        <x:v>Requirements</x:v>
      </x:c>
      <x:c r="G1086" s="21" t="str">
        <x:v>0.0.0</x:v>
      </x:c>
      <x:c r="H1086" s="21" t="str">
        <x:v>Independent Evidence and Data Authority</x:v>
      </x:c>
      <x:c r="I1086" s="21" t="str">
        <x:v>OPEN</x:v>
      </x:c>
      <x:c r="J1086" s="21" t="str">
        <x:v>HOLD</x:v>
      </x:c>
      <x:c r="K1086" s="23" t="str">
        <x:v>what burdens and invalid states bound the effect must be accepted before downstream release</x:v>
      </x:c>
    </x:row>
    <x:row r="1087">
      <x:c r="B1087" s="21" t="str">
        <x:v>BL-01081</x:v>
      </x:c>
      <x:c r="C1087" s="21" t="str">
        <x:v>F39-I3</x:v>
      </x:c>
      <x:c r="D1087" s="21" t="str">
        <x:v>F39</x:v>
      </x:c>
      <x:c r="E1087" s="21" t="str">
        <x:v>B2</x:v>
      </x:c>
      <x:c r="F1087" s="21" t="str">
        <x:v>Architecture</x:v>
      </x:c>
      <x:c r="G1087" s="21" t="str">
        <x:v>0.0.0</x:v>
      </x:c>
      <x:c r="H1087" s="21" t="str">
        <x:v>Independent Evidence and Data Authority</x:v>
      </x:c>
      <x:c r="I1087" s="21" t="str">
        <x:v>OPEN</x:v>
      </x:c>
      <x:c r="J1087" s="21" t="str">
        <x:v>HOLD</x:v>
      </x:c>
      <x:c r="K1087" s="23" t="str">
        <x:v>what interfaces and budgets govern the system must be accepted before downstream release</x:v>
      </x:c>
    </x:row>
    <x:row r="1088">
      <x:c r="B1088" s="21" t="str">
        <x:v>BL-01082</x:v>
      </x:c>
      <x:c r="C1088" s="21" t="str">
        <x:v>F39-I3</x:v>
      </x:c>
      <x:c r="D1088" s="21" t="str">
        <x:v>F39</x:v>
      </x:c>
      <x:c r="E1088" s="21" t="str">
        <x:v>B3</x:v>
      </x:c>
      <x:c r="F1088" s="21" t="str">
        <x:v>Build</x:v>
      </x:c>
      <x:c r="G1088" s="21" t="str">
        <x:v>0.0.0</x:v>
      </x:c>
      <x:c r="H1088" s="21" t="str">
        <x:v>Independent Evidence and Data Authority</x:v>
      </x:c>
      <x:c r="I1088" s="21" t="str">
        <x:v>OPEN</x:v>
      </x:c>
      <x:c r="J1088" s="21" t="str">
        <x:v>HOLD</x:v>
      </x:c>
      <x:c r="K1088" s="23" t="str">
        <x:v>what exact configuration produced the article must be accepted before downstream release</x:v>
      </x:c>
    </x:row>
    <x:row r="1089">
      <x:c r="B1089" s="21" t="str">
        <x:v>BL-01083</x:v>
      </x:c>
      <x:c r="C1089" s="21" t="str">
        <x:v>F39-I3</x:v>
      </x:c>
      <x:c r="D1089" s="21" t="str">
        <x:v>F39</x:v>
      </x:c>
      <x:c r="E1089" s="21" t="str">
        <x:v>B4</x:v>
      </x:c>
      <x:c r="F1089" s="21" t="str">
        <x:v>Trial</x:v>
      </x:c>
      <x:c r="G1089" s="21" t="str">
        <x:v>0.0.0</x:v>
      </x:c>
      <x:c r="H1089" s="21" t="str">
        <x:v>Independent Evidence and Data Authority</x:v>
      </x:c>
      <x:c r="I1089" s="21" t="str">
        <x:v>OPEN</x:v>
      </x:c>
      <x:c r="J1089" s="21" t="str">
        <x:v>HOLD</x:v>
      </x:c>
      <x:c r="K1089" s="23" t="str">
        <x:v>what configuration method and damage world produced evidence must be accepted before downstream release</x:v>
      </x:c>
    </x:row>
    <x:row r="1090">
      <x:c r="B1090" s="21" t="str">
        <x:v>BL-01084</x:v>
      </x:c>
      <x:c r="C1090" s="21" t="str">
        <x:v>F39-I3</x:v>
      </x:c>
      <x:c r="D1090" s="21" t="str">
        <x:v>F39</x:v>
      </x:c>
      <x:c r="E1090" s="21" t="str">
        <x:v>B5</x:v>
      </x:c>
      <x:c r="F1090" s="21" t="str">
        <x:v>Production</x:v>
      </x:c>
      <x:c r="G1090" s="21" t="str">
        <x:v>0.0.0</x:v>
      </x:c>
      <x:c r="H1090" s="21" t="str">
        <x:v>Independent Evidence and Data Authority</x:v>
      </x:c>
      <x:c r="I1090" s="21" t="str">
        <x:v>OPEN</x:v>
      </x:c>
      <x:c r="J1090" s="21" t="str">
        <x:v>HOLD</x:v>
      </x:c>
      <x:c r="K1090" s="23" t="str">
        <x:v>what process configuration and acceptance define serial output must be accepted before downstream release</x:v>
      </x:c>
    </x:row>
    <x:row r="1091">
      <x:c r="B1091" s="21" t="str">
        <x:v>BL-01085</x:v>
      </x:c>
      <x:c r="C1091" s="21" t="str">
        <x:v>F39-I3</x:v>
      </x:c>
      <x:c r="D1091" s="21" t="str">
        <x:v>F39</x:v>
      </x:c>
      <x:c r="E1091" s="21" t="str">
        <x:v>B6</x:v>
      </x:c>
      <x:c r="F1091" s="21" t="str">
        <x:v>Mobilization</x:v>
      </x:c>
      <x:c r="G1091" s="21" t="str">
        <x:v>0.0.0</x:v>
      </x:c>
      <x:c r="H1091" s="21" t="str">
        <x:v>Independent Evidence and Data Authority</x:v>
      </x:c>
      <x:c r="I1091" s="21" t="str">
        <x:v>OPEN</x:v>
      </x:c>
      <x:c r="J1091" s="21" t="str">
        <x:v>HOLD</x:v>
      </x:c>
      <x:c r="K1091" s="23" t="str">
        <x:v>what people tools suppliers and routes reproduce conforming service must be accepted before downstream release</x:v>
      </x:c>
    </x:row>
    <x:row r="1092">
      <x:c r="B1092" s="21" t="str">
        <x:v>BL-01086</x:v>
      </x:c>
      <x:c r="C1092" s="21" t="str">
        <x:v>F39-I4</x:v>
      </x:c>
      <x:c r="D1092" s="21" t="str">
        <x:v>F39</x:v>
      </x:c>
      <x:c r="E1092" s="21" t="str">
        <x:v>B0</x:v>
      </x:c>
      <x:c r="F1092" s="21" t="str">
        <x:v>Effect</x:v>
      </x:c>
      <x:c r="G1092" s="21" t="str">
        <x:v>0.0.0</x:v>
      </x:c>
      <x:c r="H1092" s="21" t="str">
        <x:v>Independent Evidence and Data Authority</x:v>
      </x:c>
      <x:c r="I1092" s="21" t="str">
        <x:v>OPEN</x:v>
      </x:c>
      <x:c r="J1092" s="21" t="str">
        <x:v>HOLD</x:v>
      </x:c>
      <x:c r="K1092" s="23" t="str">
        <x:v>what public condition must exist must be accepted before downstream release</x:v>
      </x:c>
    </x:row>
    <x:row r="1093">
      <x:c r="B1093" s="21" t="str">
        <x:v>BL-01087</x:v>
      </x:c>
      <x:c r="C1093" s="21" t="str">
        <x:v>F39-I4</x:v>
      </x:c>
      <x:c r="D1093" s="21" t="str">
        <x:v>F39</x:v>
      </x:c>
      <x:c r="E1093" s="21" t="str">
        <x:v>B1</x:v>
      </x:c>
      <x:c r="F1093" s="21" t="str">
        <x:v>Requirements</x:v>
      </x:c>
      <x:c r="G1093" s="21" t="str">
        <x:v>0.0.0</x:v>
      </x:c>
      <x:c r="H1093" s="21" t="str">
        <x:v>Independent Evidence and Data Authority</x:v>
      </x:c>
      <x:c r="I1093" s="21" t="str">
        <x:v>OPEN</x:v>
      </x:c>
      <x:c r="J1093" s="21" t="str">
        <x:v>HOLD</x:v>
      </x:c>
      <x:c r="K1093" s="23" t="str">
        <x:v>what burdens and invalid states bound the effect must be accepted before downstream release</x:v>
      </x:c>
    </x:row>
    <x:row r="1094">
      <x:c r="B1094" s="21" t="str">
        <x:v>BL-01088</x:v>
      </x:c>
      <x:c r="C1094" s="21" t="str">
        <x:v>F39-I4</x:v>
      </x:c>
      <x:c r="D1094" s="21" t="str">
        <x:v>F39</x:v>
      </x:c>
      <x:c r="E1094" s="21" t="str">
        <x:v>B2</x:v>
      </x:c>
      <x:c r="F1094" s="21" t="str">
        <x:v>Architecture</x:v>
      </x:c>
      <x:c r="G1094" s="21" t="str">
        <x:v>0.0.0</x:v>
      </x:c>
      <x:c r="H1094" s="21" t="str">
        <x:v>Independent Evidence and Data Authority</x:v>
      </x:c>
      <x:c r="I1094" s="21" t="str">
        <x:v>OPEN</x:v>
      </x:c>
      <x:c r="J1094" s="21" t="str">
        <x:v>HOLD</x:v>
      </x:c>
      <x:c r="K1094" s="23" t="str">
        <x:v>what interfaces and budgets govern the system must be accepted before downstream release</x:v>
      </x:c>
    </x:row>
    <x:row r="1095">
      <x:c r="B1095" s="21" t="str">
        <x:v>BL-01089</x:v>
      </x:c>
      <x:c r="C1095" s="21" t="str">
        <x:v>F39-I4</x:v>
      </x:c>
      <x:c r="D1095" s="21" t="str">
        <x:v>F39</x:v>
      </x:c>
      <x:c r="E1095" s="21" t="str">
        <x:v>B3</x:v>
      </x:c>
      <x:c r="F1095" s="21" t="str">
        <x:v>Build</x:v>
      </x:c>
      <x:c r="G1095" s="21" t="str">
        <x:v>0.0.0</x:v>
      </x:c>
      <x:c r="H1095" s="21" t="str">
        <x:v>Independent Evidence and Data Authority</x:v>
      </x:c>
      <x:c r="I1095" s="21" t="str">
        <x:v>OPEN</x:v>
      </x:c>
      <x:c r="J1095" s="21" t="str">
        <x:v>HOLD</x:v>
      </x:c>
      <x:c r="K1095" s="23" t="str">
        <x:v>what exact configuration produced the article must be accepted before downstream release</x:v>
      </x:c>
    </x:row>
    <x:row r="1096">
      <x:c r="B1096" s="21" t="str">
        <x:v>BL-01090</x:v>
      </x:c>
      <x:c r="C1096" s="21" t="str">
        <x:v>F39-I4</x:v>
      </x:c>
      <x:c r="D1096" s="21" t="str">
        <x:v>F39</x:v>
      </x:c>
      <x:c r="E1096" s="21" t="str">
        <x:v>B4</x:v>
      </x:c>
      <x:c r="F1096" s="21" t="str">
        <x:v>Trial</x:v>
      </x:c>
      <x:c r="G1096" s="21" t="str">
        <x:v>0.0.0</x:v>
      </x:c>
      <x:c r="H1096" s="21" t="str">
        <x:v>Independent Evidence and Data Authority</x:v>
      </x:c>
      <x:c r="I1096" s="21" t="str">
        <x:v>OPEN</x:v>
      </x:c>
      <x:c r="J1096" s="21" t="str">
        <x:v>HOLD</x:v>
      </x:c>
      <x:c r="K1096" s="23" t="str">
        <x:v>what configuration method and damage world produced evidence must be accepted before downstream release</x:v>
      </x:c>
    </x:row>
    <x:row r="1097">
      <x:c r="B1097" s="21" t="str">
        <x:v>BL-01091</x:v>
      </x:c>
      <x:c r="C1097" s="21" t="str">
        <x:v>F39-I4</x:v>
      </x:c>
      <x:c r="D1097" s="21" t="str">
        <x:v>F39</x:v>
      </x:c>
      <x:c r="E1097" s="21" t="str">
        <x:v>B5</x:v>
      </x:c>
      <x:c r="F1097" s="21" t="str">
        <x:v>Production</x:v>
      </x:c>
      <x:c r="G1097" s="21" t="str">
        <x:v>0.0.0</x:v>
      </x:c>
      <x:c r="H1097" s="21" t="str">
        <x:v>Independent Evidence and Data Authority</x:v>
      </x:c>
      <x:c r="I1097" s="21" t="str">
        <x:v>OPEN</x:v>
      </x:c>
      <x:c r="J1097" s="21" t="str">
        <x:v>HOLD</x:v>
      </x:c>
      <x:c r="K1097" s="23" t="str">
        <x:v>what process configuration and acceptance define serial output must be accepted before downstream release</x:v>
      </x:c>
    </x:row>
    <x:row r="1098">
      <x:c r="B1098" s="21" t="str">
        <x:v>BL-01092</x:v>
      </x:c>
      <x:c r="C1098" s="21" t="str">
        <x:v>F39-I4</x:v>
      </x:c>
      <x:c r="D1098" s="21" t="str">
        <x:v>F39</x:v>
      </x:c>
      <x:c r="E1098" s="21" t="str">
        <x:v>B6</x:v>
      </x:c>
      <x:c r="F1098" s="21" t="str">
        <x:v>Mobilization</x:v>
      </x:c>
      <x:c r="G1098" s="21" t="str">
        <x:v>0.0.0</x:v>
      </x:c>
      <x:c r="H1098" s="21" t="str">
        <x:v>Independent Evidence and Data Authority</x:v>
      </x:c>
      <x:c r="I1098" s="21" t="str">
        <x:v>OPEN</x:v>
      </x:c>
      <x:c r="J1098" s="21" t="str">
        <x:v>HOLD</x:v>
      </x:c>
      <x:c r="K1098" s="23" t="str">
        <x:v>what people tools suppliers and routes reproduce conforming service must be accepted before downstream release</x:v>
      </x:c>
    </x:row>
    <x:row r="1099">
      <x:c r="B1099" s="21" t="str">
        <x:v>BL-01093</x:v>
      </x:c>
      <x:c r="C1099" s="21" t="str">
        <x:v>F40-I1</x:v>
      </x:c>
      <x:c r="D1099" s="21" t="str">
        <x:v>F40</x:v>
      </x:c>
      <x:c r="E1099" s="21" t="str">
        <x:v>B0</x:v>
      </x:c>
      <x:c r="F1099" s="21" t="str">
        <x:v>Effect</x:v>
      </x:c>
      <x:c r="G1099" s="21" t="str">
        <x:v>0.0.0</x:v>
      </x:c>
      <x:c r="H1099" s="21" t="str">
        <x:v>Independent Evidence and Data Authority</x:v>
      </x:c>
      <x:c r="I1099" s="21" t="str">
        <x:v>OPEN</x:v>
      </x:c>
      <x:c r="J1099" s="21" t="str">
        <x:v>HOLD</x:v>
      </x:c>
      <x:c r="K1099" s="23" t="str">
        <x:v>what public condition must exist must be accepted before downstream release</x:v>
      </x:c>
    </x:row>
    <x:row r="1100">
      <x:c r="B1100" s="21" t="str">
        <x:v>BL-01094</x:v>
      </x:c>
      <x:c r="C1100" s="21" t="str">
        <x:v>F40-I1</x:v>
      </x:c>
      <x:c r="D1100" s="21" t="str">
        <x:v>F40</x:v>
      </x:c>
      <x:c r="E1100" s="21" t="str">
        <x:v>B1</x:v>
      </x:c>
      <x:c r="F1100" s="21" t="str">
        <x:v>Requirements</x:v>
      </x:c>
      <x:c r="G1100" s="21" t="str">
        <x:v>0.0.0</x:v>
      </x:c>
      <x:c r="H1100" s="21" t="str">
        <x:v>Independent Evidence and Data Authority</x:v>
      </x:c>
      <x:c r="I1100" s="21" t="str">
        <x:v>OPEN</x:v>
      </x:c>
      <x:c r="J1100" s="21" t="str">
        <x:v>HOLD</x:v>
      </x:c>
      <x:c r="K1100" s="23" t="str">
        <x:v>what burdens and invalid states bound the effect must be accepted before downstream release</x:v>
      </x:c>
    </x:row>
    <x:row r="1101">
      <x:c r="B1101" s="21" t="str">
        <x:v>BL-01095</x:v>
      </x:c>
      <x:c r="C1101" s="21" t="str">
        <x:v>F40-I1</x:v>
      </x:c>
      <x:c r="D1101" s="21" t="str">
        <x:v>F40</x:v>
      </x:c>
      <x:c r="E1101" s="21" t="str">
        <x:v>B2</x:v>
      </x:c>
      <x:c r="F1101" s="21" t="str">
        <x:v>Architecture</x:v>
      </x:c>
      <x:c r="G1101" s="21" t="str">
        <x:v>0.0.0</x:v>
      </x:c>
      <x:c r="H1101" s="21" t="str">
        <x:v>Independent Evidence and Data Authority</x:v>
      </x:c>
      <x:c r="I1101" s="21" t="str">
        <x:v>OPEN</x:v>
      </x:c>
      <x:c r="J1101" s="21" t="str">
        <x:v>HOLD</x:v>
      </x:c>
      <x:c r="K1101" s="23" t="str">
        <x:v>what interfaces and budgets govern the system must be accepted before downstream release</x:v>
      </x:c>
    </x:row>
    <x:row r="1102">
      <x:c r="B1102" s="21" t="str">
        <x:v>BL-01096</x:v>
      </x:c>
      <x:c r="C1102" s="21" t="str">
        <x:v>F40-I1</x:v>
      </x:c>
      <x:c r="D1102" s="21" t="str">
        <x:v>F40</x:v>
      </x:c>
      <x:c r="E1102" s="21" t="str">
        <x:v>B3</x:v>
      </x:c>
      <x:c r="F1102" s="21" t="str">
        <x:v>Build</x:v>
      </x:c>
      <x:c r="G1102" s="21" t="str">
        <x:v>0.0.0</x:v>
      </x:c>
      <x:c r="H1102" s="21" t="str">
        <x:v>Independent Evidence and Data Authority</x:v>
      </x:c>
      <x:c r="I1102" s="21" t="str">
        <x:v>OPEN</x:v>
      </x:c>
      <x:c r="J1102" s="21" t="str">
        <x:v>HOLD</x:v>
      </x:c>
      <x:c r="K1102" s="23" t="str">
        <x:v>what exact configuration produced the article must be accepted before downstream release</x:v>
      </x:c>
    </x:row>
    <x:row r="1103">
      <x:c r="B1103" s="21" t="str">
        <x:v>BL-01097</x:v>
      </x:c>
      <x:c r="C1103" s="21" t="str">
        <x:v>F40-I1</x:v>
      </x:c>
      <x:c r="D1103" s="21" t="str">
        <x:v>F40</x:v>
      </x:c>
      <x:c r="E1103" s="21" t="str">
        <x:v>B4</x:v>
      </x:c>
      <x:c r="F1103" s="21" t="str">
        <x:v>Trial</x:v>
      </x:c>
      <x:c r="G1103" s="21" t="str">
        <x:v>0.0.0</x:v>
      </x:c>
      <x:c r="H1103" s="21" t="str">
        <x:v>Independent Evidence and Data Authority</x:v>
      </x:c>
      <x:c r="I1103" s="21" t="str">
        <x:v>OPEN</x:v>
      </x:c>
      <x:c r="J1103" s="21" t="str">
        <x:v>HOLD</x:v>
      </x:c>
      <x:c r="K1103" s="23" t="str">
        <x:v>what configuration method and damage world produced evidence must be accepted before downstream release</x:v>
      </x:c>
    </x:row>
    <x:row r="1104">
      <x:c r="B1104" s="21" t="str">
        <x:v>BL-01098</x:v>
      </x:c>
      <x:c r="C1104" s="21" t="str">
        <x:v>F40-I1</x:v>
      </x:c>
      <x:c r="D1104" s="21" t="str">
        <x:v>F40</x:v>
      </x:c>
      <x:c r="E1104" s="21" t="str">
        <x:v>B5</x:v>
      </x:c>
      <x:c r="F1104" s="21" t="str">
        <x:v>Production</x:v>
      </x:c>
      <x:c r="G1104" s="21" t="str">
        <x:v>0.0.0</x:v>
      </x:c>
      <x:c r="H1104" s="21" t="str">
        <x:v>Independent Evidence and Data Authority</x:v>
      </x:c>
      <x:c r="I1104" s="21" t="str">
        <x:v>OPEN</x:v>
      </x:c>
      <x:c r="J1104" s="21" t="str">
        <x:v>HOLD</x:v>
      </x:c>
      <x:c r="K1104" s="23" t="str">
        <x:v>what process configuration and acceptance define serial output must be accepted before downstream release</x:v>
      </x:c>
    </x:row>
    <x:row r="1105">
      <x:c r="B1105" s="21" t="str">
        <x:v>BL-01099</x:v>
      </x:c>
      <x:c r="C1105" s="21" t="str">
        <x:v>F40-I1</x:v>
      </x:c>
      <x:c r="D1105" s="21" t="str">
        <x:v>F40</x:v>
      </x:c>
      <x:c r="E1105" s="21" t="str">
        <x:v>B6</x:v>
      </x:c>
      <x:c r="F1105" s="21" t="str">
        <x:v>Mobilization</x:v>
      </x:c>
      <x:c r="G1105" s="21" t="str">
        <x:v>0.0.0</x:v>
      </x:c>
      <x:c r="H1105" s="21" t="str">
        <x:v>Independent Evidence and Data Authority</x:v>
      </x:c>
      <x:c r="I1105" s="21" t="str">
        <x:v>OPEN</x:v>
      </x:c>
      <x:c r="J1105" s="21" t="str">
        <x:v>HOLD</x:v>
      </x:c>
      <x:c r="K1105" s="23" t="str">
        <x:v>what people tools suppliers and routes reproduce conforming service must be accepted before downstream release</x:v>
      </x:c>
    </x:row>
    <x:row r="1106">
      <x:c r="B1106" s="21" t="str">
        <x:v>BL-01100</x:v>
      </x:c>
      <x:c r="C1106" s="21" t="str">
        <x:v>F40-I2</x:v>
      </x:c>
      <x:c r="D1106" s="21" t="str">
        <x:v>F40</x:v>
      </x:c>
      <x:c r="E1106" s="21" t="str">
        <x:v>B0</x:v>
      </x:c>
      <x:c r="F1106" s="21" t="str">
        <x:v>Effect</x:v>
      </x:c>
      <x:c r="G1106" s="21" t="str">
        <x:v>0.0.0</x:v>
      </x:c>
      <x:c r="H1106" s="21" t="str">
        <x:v>Independent Evidence and Data Authority</x:v>
      </x:c>
      <x:c r="I1106" s="21" t="str">
        <x:v>OPEN</x:v>
      </x:c>
      <x:c r="J1106" s="21" t="str">
        <x:v>HOLD</x:v>
      </x:c>
      <x:c r="K1106" s="23" t="str">
        <x:v>what public condition must exist must be accepted before downstream release</x:v>
      </x:c>
    </x:row>
    <x:row r="1107">
      <x:c r="B1107" s="21" t="str">
        <x:v>BL-01101</x:v>
      </x:c>
      <x:c r="C1107" s="21" t="str">
        <x:v>F40-I2</x:v>
      </x:c>
      <x:c r="D1107" s="21" t="str">
        <x:v>F40</x:v>
      </x:c>
      <x:c r="E1107" s="21" t="str">
        <x:v>B1</x:v>
      </x:c>
      <x:c r="F1107" s="21" t="str">
        <x:v>Requirements</x:v>
      </x:c>
      <x:c r="G1107" s="21" t="str">
        <x:v>0.0.0</x:v>
      </x:c>
      <x:c r="H1107" s="21" t="str">
        <x:v>Independent Evidence and Data Authority</x:v>
      </x:c>
      <x:c r="I1107" s="21" t="str">
        <x:v>OPEN</x:v>
      </x:c>
      <x:c r="J1107" s="21" t="str">
        <x:v>HOLD</x:v>
      </x:c>
      <x:c r="K1107" s="23" t="str">
        <x:v>what burdens and invalid states bound the effect must be accepted before downstream release</x:v>
      </x:c>
    </x:row>
    <x:row r="1108">
      <x:c r="B1108" s="21" t="str">
        <x:v>BL-01102</x:v>
      </x:c>
      <x:c r="C1108" s="21" t="str">
        <x:v>F40-I2</x:v>
      </x:c>
      <x:c r="D1108" s="21" t="str">
        <x:v>F40</x:v>
      </x:c>
      <x:c r="E1108" s="21" t="str">
        <x:v>B2</x:v>
      </x:c>
      <x:c r="F1108" s="21" t="str">
        <x:v>Architecture</x:v>
      </x:c>
      <x:c r="G1108" s="21" t="str">
        <x:v>0.0.0</x:v>
      </x:c>
      <x:c r="H1108" s="21" t="str">
        <x:v>Independent Evidence and Data Authority</x:v>
      </x:c>
      <x:c r="I1108" s="21" t="str">
        <x:v>OPEN</x:v>
      </x:c>
      <x:c r="J1108" s="21" t="str">
        <x:v>HOLD</x:v>
      </x:c>
      <x:c r="K1108" s="23" t="str">
        <x:v>what interfaces and budgets govern the system must be accepted before downstream release</x:v>
      </x:c>
    </x:row>
    <x:row r="1109">
      <x:c r="B1109" s="21" t="str">
        <x:v>BL-01103</x:v>
      </x:c>
      <x:c r="C1109" s="21" t="str">
        <x:v>F40-I2</x:v>
      </x:c>
      <x:c r="D1109" s="21" t="str">
        <x:v>F40</x:v>
      </x:c>
      <x:c r="E1109" s="21" t="str">
        <x:v>B3</x:v>
      </x:c>
      <x:c r="F1109" s="21" t="str">
        <x:v>Build</x:v>
      </x:c>
      <x:c r="G1109" s="21" t="str">
        <x:v>0.0.0</x:v>
      </x:c>
      <x:c r="H1109" s="21" t="str">
        <x:v>Independent Evidence and Data Authority</x:v>
      </x:c>
      <x:c r="I1109" s="21" t="str">
        <x:v>OPEN</x:v>
      </x:c>
      <x:c r="J1109" s="21" t="str">
        <x:v>HOLD</x:v>
      </x:c>
      <x:c r="K1109" s="23" t="str">
        <x:v>what exact configuration produced the article must be accepted before downstream release</x:v>
      </x:c>
    </x:row>
    <x:row r="1110">
      <x:c r="B1110" s="21" t="str">
        <x:v>BL-01104</x:v>
      </x:c>
      <x:c r="C1110" s="21" t="str">
        <x:v>F40-I2</x:v>
      </x:c>
      <x:c r="D1110" s="21" t="str">
        <x:v>F40</x:v>
      </x:c>
      <x:c r="E1110" s="21" t="str">
        <x:v>B4</x:v>
      </x:c>
      <x:c r="F1110" s="21" t="str">
        <x:v>Trial</x:v>
      </x:c>
      <x:c r="G1110" s="21" t="str">
        <x:v>0.0.0</x:v>
      </x:c>
      <x:c r="H1110" s="21" t="str">
        <x:v>Independent Evidence and Data Authority</x:v>
      </x:c>
      <x:c r="I1110" s="21" t="str">
        <x:v>OPEN</x:v>
      </x:c>
      <x:c r="J1110" s="21" t="str">
        <x:v>HOLD</x:v>
      </x:c>
      <x:c r="K1110" s="23" t="str">
        <x:v>what configuration method and damage world produced evidence must be accepted before downstream release</x:v>
      </x:c>
    </x:row>
    <x:row r="1111">
      <x:c r="B1111" s="21" t="str">
        <x:v>BL-01105</x:v>
      </x:c>
      <x:c r="C1111" s="21" t="str">
        <x:v>F40-I2</x:v>
      </x:c>
      <x:c r="D1111" s="21" t="str">
        <x:v>F40</x:v>
      </x:c>
      <x:c r="E1111" s="21" t="str">
        <x:v>B5</x:v>
      </x:c>
      <x:c r="F1111" s="21" t="str">
        <x:v>Production</x:v>
      </x:c>
      <x:c r="G1111" s="21" t="str">
        <x:v>0.0.0</x:v>
      </x:c>
      <x:c r="H1111" s="21" t="str">
        <x:v>Independent Evidence and Data Authority</x:v>
      </x:c>
      <x:c r="I1111" s="21" t="str">
        <x:v>OPEN</x:v>
      </x:c>
      <x:c r="J1111" s="21" t="str">
        <x:v>HOLD</x:v>
      </x:c>
      <x:c r="K1111" s="23" t="str">
        <x:v>what process configuration and acceptance define serial output must be accepted before downstream release</x:v>
      </x:c>
    </x:row>
    <x:row r="1112">
      <x:c r="B1112" s="21" t="str">
        <x:v>BL-01106</x:v>
      </x:c>
      <x:c r="C1112" s="21" t="str">
        <x:v>F40-I2</x:v>
      </x:c>
      <x:c r="D1112" s="21" t="str">
        <x:v>F40</x:v>
      </x:c>
      <x:c r="E1112" s="21" t="str">
        <x:v>B6</x:v>
      </x:c>
      <x:c r="F1112" s="21" t="str">
        <x:v>Mobilization</x:v>
      </x:c>
      <x:c r="G1112" s="21" t="str">
        <x:v>0.0.0</x:v>
      </x:c>
      <x:c r="H1112" s="21" t="str">
        <x:v>Independent Evidence and Data Authority</x:v>
      </x:c>
      <x:c r="I1112" s="21" t="str">
        <x:v>OPEN</x:v>
      </x:c>
      <x:c r="J1112" s="21" t="str">
        <x:v>HOLD</x:v>
      </x:c>
      <x:c r="K1112" s="23" t="str">
        <x:v>what people tools suppliers and routes reproduce conforming service must be accepted before downstream release</x:v>
      </x:c>
    </x:row>
    <x:row r="1113">
      <x:c r="B1113" s="21" t="str">
        <x:v>BL-01107</x:v>
      </x:c>
      <x:c r="C1113" s="21" t="str">
        <x:v>F40-I3</x:v>
      </x:c>
      <x:c r="D1113" s="21" t="str">
        <x:v>F40</x:v>
      </x:c>
      <x:c r="E1113" s="21" t="str">
        <x:v>B0</x:v>
      </x:c>
      <x:c r="F1113" s="21" t="str">
        <x:v>Effect</x:v>
      </x:c>
      <x:c r="G1113" s="21" t="str">
        <x:v>0.0.0</x:v>
      </x:c>
      <x:c r="H1113" s="21" t="str">
        <x:v>Independent Evidence and Data Authority</x:v>
      </x:c>
      <x:c r="I1113" s="21" t="str">
        <x:v>OPEN</x:v>
      </x:c>
      <x:c r="J1113" s="21" t="str">
        <x:v>HOLD</x:v>
      </x:c>
      <x:c r="K1113" s="23" t="str">
        <x:v>what public condition must exist must be accepted before downstream release</x:v>
      </x:c>
    </x:row>
    <x:row r="1114">
      <x:c r="B1114" s="21" t="str">
        <x:v>BL-01108</x:v>
      </x:c>
      <x:c r="C1114" s="21" t="str">
        <x:v>F40-I3</x:v>
      </x:c>
      <x:c r="D1114" s="21" t="str">
        <x:v>F40</x:v>
      </x:c>
      <x:c r="E1114" s="21" t="str">
        <x:v>B1</x:v>
      </x:c>
      <x:c r="F1114" s="21" t="str">
        <x:v>Requirements</x:v>
      </x:c>
      <x:c r="G1114" s="21" t="str">
        <x:v>0.0.0</x:v>
      </x:c>
      <x:c r="H1114" s="21" t="str">
        <x:v>Independent Evidence and Data Authority</x:v>
      </x:c>
      <x:c r="I1114" s="21" t="str">
        <x:v>OPEN</x:v>
      </x:c>
      <x:c r="J1114" s="21" t="str">
        <x:v>HOLD</x:v>
      </x:c>
      <x:c r="K1114" s="23" t="str">
        <x:v>what burdens and invalid states bound the effect must be accepted before downstream release</x:v>
      </x:c>
    </x:row>
    <x:row r="1115">
      <x:c r="B1115" s="21" t="str">
        <x:v>BL-01109</x:v>
      </x:c>
      <x:c r="C1115" s="21" t="str">
        <x:v>F40-I3</x:v>
      </x:c>
      <x:c r="D1115" s="21" t="str">
        <x:v>F40</x:v>
      </x:c>
      <x:c r="E1115" s="21" t="str">
        <x:v>B2</x:v>
      </x:c>
      <x:c r="F1115" s="21" t="str">
        <x:v>Architecture</x:v>
      </x:c>
      <x:c r="G1115" s="21" t="str">
        <x:v>0.0.0</x:v>
      </x:c>
      <x:c r="H1115" s="21" t="str">
        <x:v>Independent Evidence and Data Authority</x:v>
      </x:c>
      <x:c r="I1115" s="21" t="str">
        <x:v>OPEN</x:v>
      </x:c>
      <x:c r="J1115" s="21" t="str">
        <x:v>HOLD</x:v>
      </x:c>
      <x:c r="K1115" s="23" t="str">
        <x:v>what interfaces and budgets govern the system must be accepted before downstream release</x:v>
      </x:c>
    </x:row>
    <x:row r="1116">
      <x:c r="B1116" s="21" t="str">
        <x:v>BL-01110</x:v>
      </x:c>
      <x:c r="C1116" s="21" t="str">
        <x:v>F40-I3</x:v>
      </x:c>
      <x:c r="D1116" s="21" t="str">
        <x:v>F40</x:v>
      </x:c>
      <x:c r="E1116" s="21" t="str">
        <x:v>B3</x:v>
      </x:c>
      <x:c r="F1116" s="21" t="str">
        <x:v>Build</x:v>
      </x:c>
      <x:c r="G1116" s="21" t="str">
        <x:v>0.0.0</x:v>
      </x:c>
      <x:c r="H1116" s="21" t="str">
        <x:v>Independent Evidence and Data Authority</x:v>
      </x:c>
      <x:c r="I1116" s="21" t="str">
        <x:v>OPEN</x:v>
      </x:c>
      <x:c r="J1116" s="21" t="str">
        <x:v>HOLD</x:v>
      </x:c>
      <x:c r="K1116" s="23" t="str">
        <x:v>what exact configuration produced the article must be accepted before downstream release</x:v>
      </x:c>
    </x:row>
    <x:row r="1117">
      <x:c r="B1117" s="21" t="str">
        <x:v>BL-01111</x:v>
      </x:c>
      <x:c r="C1117" s="21" t="str">
        <x:v>F40-I3</x:v>
      </x:c>
      <x:c r="D1117" s="21" t="str">
        <x:v>F40</x:v>
      </x:c>
      <x:c r="E1117" s="21" t="str">
        <x:v>B4</x:v>
      </x:c>
      <x:c r="F1117" s="21" t="str">
        <x:v>Trial</x:v>
      </x:c>
      <x:c r="G1117" s="21" t="str">
        <x:v>0.0.0</x:v>
      </x:c>
      <x:c r="H1117" s="21" t="str">
        <x:v>Independent Evidence and Data Authority</x:v>
      </x:c>
      <x:c r="I1117" s="21" t="str">
        <x:v>OPEN</x:v>
      </x:c>
      <x:c r="J1117" s="21" t="str">
        <x:v>HOLD</x:v>
      </x:c>
      <x:c r="K1117" s="23" t="str">
        <x:v>what configuration method and damage world produced evidence must be accepted before downstream release</x:v>
      </x:c>
    </x:row>
    <x:row r="1118">
      <x:c r="B1118" s="21" t="str">
        <x:v>BL-01112</x:v>
      </x:c>
      <x:c r="C1118" s="21" t="str">
        <x:v>F40-I3</x:v>
      </x:c>
      <x:c r="D1118" s="21" t="str">
        <x:v>F40</x:v>
      </x:c>
      <x:c r="E1118" s="21" t="str">
        <x:v>B5</x:v>
      </x:c>
      <x:c r="F1118" s="21" t="str">
        <x:v>Production</x:v>
      </x:c>
      <x:c r="G1118" s="21" t="str">
        <x:v>0.0.0</x:v>
      </x:c>
      <x:c r="H1118" s="21" t="str">
        <x:v>Independent Evidence and Data Authority</x:v>
      </x:c>
      <x:c r="I1118" s="21" t="str">
        <x:v>OPEN</x:v>
      </x:c>
      <x:c r="J1118" s="21" t="str">
        <x:v>HOLD</x:v>
      </x:c>
      <x:c r="K1118" s="23" t="str">
        <x:v>what process configuration and acceptance define serial output must be accepted before downstream release</x:v>
      </x:c>
    </x:row>
    <x:row r="1119">
      <x:c r="B1119" s="21" t="str">
        <x:v>BL-01113</x:v>
      </x:c>
      <x:c r="C1119" s="21" t="str">
        <x:v>F40-I3</x:v>
      </x:c>
      <x:c r="D1119" s="21" t="str">
        <x:v>F40</x:v>
      </x:c>
      <x:c r="E1119" s="21" t="str">
        <x:v>B6</x:v>
      </x:c>
      <x:c r="F1119" s="21" t="str">
        <x:v>Mobilization</x:v>
      </x:c>
      <x:c r="G1119" s="21" t="str">
        <x:v>0.0.0</x:v>
      </x:c>
      <x:c r="H1119" s="21" t="str">
        <x:v>Independent Evidence and Data Authority</x:v>
      </x:c>
      <x:c r="I1119" s="21" t="str">
        <x:v>OPEN</x:v>
      </x:c>
      <x:c r="J1119" s="21" t="str">
        <x:v>HOLD</x:v>
      </x:c>
      <x:c r="K1119" s="23" t="str">
        <x:v>what people tools suppliers and routes reproduce conforming service must be accepted before downstream release</x:v>
      </x:c>
    </x:row>
    <x:row r="1120">
      <x:c r="B1120" s="21" t="str">
        <x:v>BL-01114</x:v>
      </x:c>
      <x:c r="C1120" s="21" t="str">
        <x:v>F40-I4</x:v>
      </x:c>
      <x:c r="D1120" s="21" t="str">
        <x:v>F40</x:v>
      </x:c>
      <x:c r="E1120" s="21" t="str">
        <x:v>B0</x:v>
      </x:c>
      <x:c r="F1120" s="21" t="str">
        <x:v>Effect</x:v>
      </x:c>
      <x:c r="G1120" s="21" t="str">
        <x:v>0.0.0</x:v>
      </x:c>
      <x:c r="H1120" s="21" t="str">
        <x:v>Independent Evidence and Data Authority</x:v>
      </x:c>
      <x:c r="I1120" s="21" t="str">
        <x:v>OPEN</x:v>
      </x:c>
      <x:c r="J1120" s="21" t="str">
        <x:v>HOLD</x:v>
      </x:c>
      <x:c r="K1120" s="23" t="str">
        <x:v>what public condition must exist must be accepted before downstream release</x:v>
      </x:c>
    </x:row>
    <x:row r="1121">
      <x:c r="B1121" s="21" t="str">
        <x:v>BL-01115</x:v>
      </x:c>
      <x:c r="C1121" s="21" t="str">
        <x:v>F40-I4</x:v>
      </x:c>
      <x:c r="D1121" s="21" t="str">
        <x:v>F40</x:v>
      </x:c>
      <x:c r="E1121" s="21" t="str">
        <x:v>B1</x:v>
      </x:c>
      <x:c r="F1121" s="21" t="str">
        <x:v>Requirements</x:v>
      </x:c>
      <x:c r="G1121" s="21" t="str">
        <x:v>0.0.0</x:v>
      </x:c>
      <x:c r="H1121" s="21" t="str">
        <x:v>Independent Evidence and Data Authority</x:v>
      </x:c>
      <x:c r="I1121" s="21" t="str">
        <x:v>OPEN</x:v>
      </x:c>
      <x:c r="J1121" s="21" t="str">
        <x:v>HOLD</x:v>
      </x:c>
      <x:c r="K1121" s="23" t="str">
        <x:v>what burdens and invalid states bound the effect must be accepted before downstream release</x:v>
      </x:c>
    </x:row>
    <x:row r="1122">
      <x:c r="B1122" s="21" t="str">
        <x:v>BL-01116</x:v>
      </x:c>
      <x:c r="C1122" s="21" t="str">
        <x:v>F40-I4</x:v>
      </x:c>
      <x:c r="D1122" s="21" t="str">
        <x:v>F40</x:v>
      </x:c>
      <x:c r="E1122" s="21" t="str">
        <x:v>B2</x:v>
      </x:c>
      <x:c r="F1122" s="21" t="str">
        <x:v>Architecture</x:v>
      </x:c>
      <x:c r="G1122" s="21" t="str">
        <x:v>0.0.0</x:v>
      </x:c>
      <x:c r="H1122" s="21" t="str">
        <x:v>Independent Evidence and Data Authority</x:v>
      </x:c>
      <x:c r="I1122" s="21" t="str">
        <x:v>OPEN</x:v>
      </x:c>
      <x:c r="J1122" s="21" t="str">
        <x:v>HOLD</x:v>
      </x:c>
      <x:c r="K1122" s="23" t="str">
        <x:v>what interfaces and budgets govern the system must be accepted before downstream release</x:v>
      </x:c>
    </x:row>
    <x:row r="1123">
      <x:c r="B1123" s="21" t="str">
        <x:v>BL-01117</x:v>
      </x:c>
      <x:c r="C1123" s="21" t="str">
        <x:v>F40-I4</x:v>
      </x:c>
      <x:c r="D1123" s="21" t="str">
        <x:v>F40</x:v>
      </x:c>
      <x:c r="E1123" s="21" t="str">
        <x:v>B3</x:v>
      </x:c>
      <x:c r="F1123" s="21" t="str">
        <x:v>Build</x:v>
      </x:c>
      <x:c r="G1123" s="21" t="str">
        <x:v>0.0.0</x:v>
      </x:c>
      <x:c r="H1123" s="21" t="str">
        <x:v>Independent Evidence and Data Authority</x:v>
      </x:c>
      <x:c r="I1123" s="21" t="str">
        <x:v>OPEN</x:v>
      </x:c>
      <x:c r="J1123" s="21" t="str">
        <x:v>HOLD</x:v>
      </x:c>
      <x:c r="K1123" s="23" t="str">
        <x:v>what exact configuration produced the article must be accepted before downstream release</x:v>
      </x:c>
    </x:row>
    <x:row r="1124">
      <x:c r="B1124" s="21" t="str">
        <x:v>BL-01118</x:v>
      </x:c>
      <x:c r="C1124" s="21" t="str">
        <x:v>F40-I4</x:v>
      </x:c>
      <x:c r="D1124" s="21" t="str">
        <x:v>F40</x:v>
      </x:c>
      <x:c r="E1124" s="21" t="str">
        <x:v>B4</x:v>
      </x:c>
      <x:c r="F1124" s="21" t="str">
        <x:v>Trial</x:v>
      </x:c>
      <x:c r="G1124" s="21" t="str">
        <x:v>0.0.0</x:v>
      </x:c>
      <x:c r="H1124" s="21" t="str">
        <x:v>Independent Evidence and Data Authority</x:v>
      </x:c>
      <x:c r="I1124" s="21" t="str">
        <x:v>OPEN</x:v>
      </x:c>
      <x:c r="J1124" s="21" t="str">
        <x:v>HOLD</x:v>
      </x:c>
      <x:c r="K1124" s="23" t="str">
        <x:v>what configuration method and damage world produced evidence must be accepted before downstream release</x:v>
      </x:c>
    </x:row>
    <x:row r="1125">
      <x:c r="B1125" s="21" t="str">
        <x:v>BL-01119</x:v>
      </x:c>
      <x:c r="C1125" s="21" t="str">
        <x:v>F40-I4</x:v>
      </x:c>
      <x:c r="D1125" s="21" t="str">
        <x:v>F40</x:v>
      </x:c>
      <x:c r="E1125" s="21" t="str">
        <x:v>B5</x:v>
      </x:c>
      <x:c r="F1125" s="21" t="str">
        <x:v>Production</x:v>
      </x:c>
      <x:c r="G1125" s="21" t="str">
        <x:v>0.0.0</x:v>
      </x:c>
      <x:c r="H1125" s="21" t="str">
        <x:v>Independent Evidence and Data Authority</x:v>
      </x:c>
      <x:c r="I1125" s="21" t="str">
        <x:v>OPEN</x:v>
      </x:c>
      <x:c r="J1125" s="21" t="str">
        <x:v>HOLD</x:v>
      </x:c>
      <x:c r="K1125" s="23" t="str">
        <x:v>what process configuration and acceptance define serial output must be accepted before downstream release</x:v>
      </x:c>
    </x:row>
    <x:row r="1126">
      <x:c r="B1126" s="21" t="str">
        <x:v>BL-01120</x:v>
      </x:c>
      <x:c r="C1126" s="21" t="str">
        <x:v>F40-I4</x:v>
      </x:c>
      <x:c r="D1126" s="21" t="str">
        <x:v>F40</x:v>
      </x:c>
      <x:c r="E1126" s="21" t="str">
        <x:v>B6</x:v>
      </x:c>
      <x:c r="F1126" s="21" t="str">
        <x:v>Mobilization</x:v>
      </x:c>
      <x:c r="G1126" s="21" t="str">
        <x:v>0.0.0</x:v>
      </x:c>
      <x:c r="H1126" s="21" t="str">
        <x:v>Independent Evidence and Data Authority</x:v>
      </x:c>
      <x:c r="I1126" s="21" t="str">
        <x:v>OPEN</x:v>
      </x:c>
      <x:c r="J1126" s="21" t="str">
        <x:v>HOLD</x:v>
      </x:c>
      <x:c r="K1126" s="23" t="str">
        <x:v>what people tools suppliers and routes reproduce conforming service must be accepted before downstream release</x:v>
      </x:c>
    </x:row>
    <x:row r="1127">
      <x:c r="B1127" s="21" t="str">
        <x:v>BL-01121</x:v>
      </x:c>
      <x:c r="C1127" s="21" t="str">
        <x:v>F41-I1</x:v>
      </x:c>
      <x:c r="D1127" s="21" t="str">
        <x:v>F41</x:v>
      </x:c>
      <x:c r="E1127" s="21" t="str">
        <x:v>B0</x:v>
      </x:c>
      <x:c r="F1127" s="21" t="str">
        <x:v>Effect</x:v>
      </x:c>
      <x:c r="G1127" s="21" t="str">
        <x:v>0.0.0</x:v>
      </x:c>
      <x:c r="H1127" s="21" t="str">
        <x:v>Independent Evidence and Data Authority</x:v>
      </x:c>
      <x:c r="I1127" s="21" t="str">
        <x:v>OPEN</x:v>
      </x:c>
      <x:c r="J1127" s="21" t="str">
        <x:v>HOLD</x:v>
      </x:c>
      <x:c r="K1127" s="23" t="str">
        <x:v>what public condition must exist must be accepted before downstream release</x:v>
      </x:c>
    </x:row>
    <x:row r="1128">
      <x:c r="B1128" s="21" t="str">
        <x:v>BL-01122</x:v>
      </x:c>
      <x:c r="C1128" s="21" t="str">
        <x:v>F41-I1</x:v>
      </x:c>
      <x:c r="D1128" s="21" t="str">
        <x:v>F41</x:v>
      </x:c>
      <x:c r="E1128" s="21" t="str">
        <x:v>B1</x:v>
      </x:c>
      <x:c r="F1128" s="21" t="str">
        <x:v>Requirements</x:v>
      </x:c>
      <x:c r="G1128" s="21" t="str">
        <x:v>0.0.0</x:v>
      </x:c>
      <x:c r="H1128" s="21" t="str">
        <x:v>Independent Evidence and Data Authority</x:v>
      </x:c>
      <x:c r="I1128" s="21" t="str">
        <x:v>OPEN</x:v>
      </x:c>
      <x:c r="J1128" s="21" t="str">
        <x:v>HOLD</x:v>
      </x:c>
      <x:c r="K1128" s="23" t="str">
        <x:v>what burdens and invalid states bound the effect must be accepted before downstream release</x:v>
      </x:c>
    </x:row>
    <x:row r="1129">
      <x:c r="B1129" s="21" t="str">
        <x:v>BL-01123</x:v>
      </x:c>
      <x:c r="C1129" s="21" t="str">
        <x:v>F41-I1</x:v>
      </x:c>
      <x:c r="D1129" s="21" t="str">
        <x:v>F41</x:v>
      </x:c>
      <x:c r="E1129" s="21" t="str">
        <x:v>B2</x:v>
      </x:c>
      <x:c r="F1129" s="21" t="str">
        <x:v>Architecture</x:v>
      </x:c>
      <x:c r="G1129" s="21" t="str">
        <x:v>0.0.0</x:v>
      </x:c>
      <x:c r="H1129" s="21" t="str">
        <x:v>Independent Evidence and Data Authority</x:v>
      </x:c>
      <x:c r="I1129" s="21" t="str">
        <x:v>OPEN</x:v>
      </x:c>
      <x:c r="J1129" s="21" t="str">
        <x:v>HOLD</x:v>
      </x:c>
      <x:c r="K1129" s="23" t="str">
        <x:v>what interfaces and budgets govern the system must be accepted before downstream release</x:v>
      </x:c>
    </x:row>
    <x:row r="1130">
      <x:c r="B1130" s="21" t="str">
        <x:v>BL-01124</x:v>
      </x:c>
      <x:c r="C1130" s="21" t="str">
        <x:v>F41-I1</x:v>
      </x:c>
      <x:c r="D1130" s="21" t="str">
        <x:v>F41</x:v>
      </x:c>
      <x:c r="E1130" s="21" t="str">
        <x:v>B3</x:v>
      </x:c>
      <x:c r="F1130" s="21" t="str">
        <x:v>Build</x:v>
      </x:c>
      <x:c r="G1130" s="21" t="str">
        <x:v>0.0.0</x:v>
      </x:c>
      <x:c r="H1130" s="21" t="str">
        <x:v>Independent Evidence and Data Authority</x:v>
      </x:c>
      <x:c r="I1130" s="21" t="str">
        <x:v>OPEN</x:v>
      </x:c>
      <x:c r="J1130" s="21" t="str">
        <x:v>HOLD</x:v>
      </x:c>
      <x:c r="K1130" s="23" t="str">
        <x:v>what exact configuration produced the article must be accepted before downstream release</x:v>
      </x:c>
    </x:row>
    <x:row r="1131">
      <x:c r="B1131" s="21" t="str">
        <x:v>BL-01125</x:v>
      </x:c>
      <x:c r="C1131" s="21" t="str">
        <x:v>F41-I1</x:v>
      </x:c>
      <x:c r="D1131" s="21" t="str">
        <x:v>F41</x:v>
      </x:c>
      <x:c r="E1131" s="21" t="str">
        <x:v>B4</x:v>
      </x:c>
      <x:c r="F1131" s="21" t="str">
        <x:v>Trial</x:v>
      </x:c>
      <x:c r="G1131" s="21" t="str">
        <x:v>0.0.0</x:v>
      </x:c>
      <x:c r="H1131" s="21" t="str">
        <x:v>Independent Evidence and Data Authority</x:v>
      </x:c>
      <x:c r="I1131" s="21" t="str">
        <x:v>OPEN</x:v>
      </x:c>
      <x:c r="J1131" s="21" t="str">
        <x:v>HOLD</x:v>
      </x:c>
      <x:c r="K1131" s="23" t="str">
        <x:v>what configuration method and damage world produced evidence must be accepted before downstream release</x:v>
      </x:c>
    </x:row>
    <x:row r="1132">
      <x:c r="B1132" s="21" t="str">
        <x:v>BL-01126</x:v>
      </x:c>
      <x:c r="C1132" s="21" t="str">
        <x:v>F41-I1</x:v>
      </x:c>
      <x:c r="D1132" s="21" t="str">
        <x:v>F41</x:v>
      </x:c>
      <x:c r="E1132" s="21" t="str">
        <x:v>B5</x:v>
      </x:c>
      <x:c r="F1132" s="21" t="str">
        <x:v>Production</x:v>
      </x:c>
      <x:c r="G1132" s="21" t="str">
        <x:v>0.0.0</x:v>
      </x:c>
      <x:c r="H1132" s="21" t="str">
        <x:v>Independent Evidence and Data Authority</x:v>
      </x:c>
      <x:c r="I1132" s="21" t="str">
        <x:v>OPEN</x:v>
      </x:c>
      <x:c r="J1132" s="21" t="str">
        <x:v>HOLD</x:v>
      </x:c>
      <x:c r="K1132" s="23" t="str">
        <x:v>what process configuration and acceptance define serial output must be accepted before downstream release</x:v>
      </x:c>
    </x:row>
    <x:row r="1133">
      <x:c r="B1133" s="21" t="str">
        <x:v>BL-01127</x:v>
      </x:c>
      <x:c r="C1133" s="21" t="str">
        <x:v>F41-I1</x:v>
      </x:c>
      <x:c r="D1133" s="21" t="str">
        <x:v>F41</x:v>
      </x:c>
      <x:c r="E1133" s="21" t="str">
        <x:v>B6</x:v>
      </x:c>
      <x:c r="F1133" s="21" t="str">
        <x:v>Mobilization</x:v>
      </x:c>
      <x:c r="G1133" s="21" t="str">
        <x:v>0.0.0</x:v>
      </x:c>
      <x:c r="H1133" s="21" t="str">
        <x:v>Independent Evidence and Data Authority</x:v>
      </x:c>
      <x:c r="I1133" s="21" t="str">
        <x:v>OPEN</x:v>
      </x:c>
      <x:c r="J1133" s="21" t="str">
        <x:v>HOLD</x:v>
      </x:c>
      <x:c r="K1133" s="23" t="str">
        <x:v>what people tools suppliers and routes reproduce conforming service must be accepted before downstream release</x:v>
      </x:c>
    </x:row>
    <x:row r="1134">
      <x:c r="B1134" s="21" t="str">
        <x:v>BL-01128</x:v>
      </x:c>
      <x:c r="C1134" s="21" t="str">
        <x:v>F41-I2</x:v>
      </x:c>
      <x:c r="D1134" s="21" t="str">
        <x:v>F41</x:v>
      </x:c>
      <x:c r="E1134" s="21" t="str">
        <x:v>B0</x:v>
      </x:c>
      <x:c r="F1134" s="21" t="str">
        <x:v>Effect</x:v>
      </x:c>
      <x:c r="G1134" s="21" t="str">
        <x:v>0.0.0</x:v>
      </x:c>
      <x:c r="H1134" s="21" t="str">
        <x:v>Independent Evidence and Data Authority</x:v>
      </x:c>
      <x:c r="I1134" s="21" t="str">
        <x:v>OPEN</x:v>
      </x:c>
      <x:c r="J1134" s="21" t="str">
        <x:v>HOLD</x:v>
      </x:c>
      <x:c r="K1134" s="23" t="str">
        <x:v>what public condition must exist must be accepted before downstream release</x:v>
      </x:c>
    </x:row>
    <x:row r="1135">
      <x:c r="B1135" s="21" t="str">
        <x:v>BL-01129</x:v>
      </x:c>
      <x:c r="C1135" s="21" t="str">
        <x:v>F41-I2</x:v>
      </x:c>
      <x:c r="D1135" s="21" t="str">
        <x:v>F41</x:v>
      </x:c>
      <x:c r="E1135" s="21" t="str">
        <x:v>B1</x:v>
      </x:c>
      <x:c r="F1135" s="21" t="str">
        <x:v>Requirements</x:v>
      </x:c>
      <x:c r="G1135" s="21" t="str">
        <x:v>0.0.0</x:v>
      </x:c>
      <x:c r="H1135" s="21" t="str">
        <x:v>Independent Evidence and Data Authority</x:v>
      </x:c>
      <x:c r="I1135" s="21" t="str">
        <x:v>OPEN</x:v>
      </x:c>
      <x:c r="J1135" s="21" t="str">
        <x:v>HOLD</x:v>
      </x:c>
      <x:c r="K1135" s="23" t="str">
        <x:v>what burdens and invalid states bound the effect must be accepted before downstream release</x:v>
      </x:c>
    </x:row>
    <x:row r="1136">
      <x:c r="B1136" s="21" t="str">
        <x:v>BL-01130</x:v>
      </x:c>
      <x:c r="C1136" s="21" t="str">
        <x:v>F41-I2</x:v>
      </x:c>
      <x:c r="D1136" s="21" t="str">
        <x:v>F41</x:v>
      </x:c>
      <x:c r="E1136" s="21" t="str">
        <x:v>B2</x:v>
      </x:c>
      <x:c r="F1136" s="21" t="str">
        <x:v>Architecture</x:v>
      </x:c>
      <x:c r="G1136" s="21" t="str">
        <x:v>0.0.0</x:v>
      </x:c>
      <x:c r="H1136" s="21" t="str">
        <x:v>Independent Evidence and Data Authority</x:v>
      </x:c>
      <x:c r="I1136" s="21" t="str">
        <x:v>OPEN</x:v>
      </x:c>
      <x:c r="J1136" s="21" t="str">
        <x:v>HOLD</x:v>
      </x:c>
      <x:c r="K1136" s="23" t="str">
        <x:v>what interfaces and budgets govern the system must be accepted before downstream release</x:v>
      </x:c>
    </x:row>
    <x:row r="1137">
      <x:c r="B1137" s="21" t="str">
        <x:v>BL-01131</x:v>
      </x:c>
      <x:c r="C1137" s="21" t="str">
        <x:v>F41-I2</x:v>
      </x:c>
      <x:c r="D1137" s="21" t="str">
        <x:v>F41</x:v>
      </x:c>
      <x:c r="E1137" s="21" t="str">
        <x:v>B3</x:v>
      </x:c>
      <x:c r="F1137" s="21" t="str">
        <x:v>Build</x:v>
      </x:c>
      <x:c r="G1137" s="21" t="str">
        <x:v>0.0.0</x:v>
      </x:c>
      <x:c r="H1137" s="21" t="str">
        <x:v>Independent Evidence and Data Authority</x:v>
      </x:c>
      <x:c r="I1137" s="21" t="str">
        <x:v>OPEN</x:v>
      </x:c>
      <x:c r="J1137" s="21" t="str">
        <x:v>HOLD</x:v>
      </x:c>
      <x:c r="K1137" s="23" t="str">
        <x:v>what exact configuration produced the article must be accepted before downstream release</x:v>
      </x:c>
    </x:row>
    <x:row r="1138">
      <x:c r="B1138" s="21" t="str">
        <x:v>BL-01132</x:v>
      </x:c>
      <x:c r="C1138" s="21" t="str">
        <x:v>F41-I2</x:v>
      </x:c>
      <x:c r="D1138" s="21" t="str">
        <x:v>F41</x:v>
      </x:c>
      <x:c r="E1138" s="21" t="str">
        <x:v>B4</x:v>
      </x:c>
      <x:c r="F1138" s="21" t="str">
        <x:v>Trial</x:v>
      </x:c>
      <x:c r="G1138" s="21" t="str">
        <x:v>0.0.0</x:v>
      </x:c>
      <x:c r="H1138" s="21" t="str">
        <x:v>Independent Evidence and Data Authority</x:v>
      </x:c>
      <x:c r="I1138" s="21" t="str">
        <x:v>OPEN</x:v>
      </x:c>
      <x:c r="J1138" s="21" t="str">
        <x:v>HOLD</x:v>
      </x:c>
      <x:c r="K1138" s="23" t="str">
        <x:v>what configuration method and damage world produced evidence must be accepted before downstream release</x:v>
      </x:c>
    </x:row>
    <x:row r="1139">
      <x:c r="B1139" s="21" t="str">
        <x:v>BL-01133</x:v>
      </x:c>
      <x:c r="C1139" s="21" t="str">
        <x:v>F41-I2</x:v>
      </x:c>
      <x:c r="D1139" s="21" t="str">
        <x:v>F41</x:v>
      </x:c>
      <x:c r="E1139" s="21" t="str">
        <x:v>B5</x:v>
      </x:c>
      <x:c r="F1139" s="21" t="str">
        <x:v>Production</x:v>
      </x:c>
      <x:c r="G1139" s="21" t="str">
        <x:v>0.0.0</x:v>
      </x:c>
      <x:c r="H1139" s="21" t="str">
        <x:v>Independent Evidence and Data Authority</x:v>
      </x:c>
      <x:c r="I1139" s="21" t="str">
        <x:v>OPEN</x:v>
      </x:c>
      <x:c r="J1139" s="21" t="str">
        <x:v>HOLD</x:v>
      </x:c>
      <x:c r="K1139" s="23" t="str">
        <x:v>what process configuration and acceptance define serial output must be accepted before downstream release</x:v>
      </x:c>
    </x:row>
    <x:row r="1140">
      <x:c r="B1140" s="21" t="str">
        <x:v>BL-01134</x:v>
      </x:c>
      <x:c r="C1140" s="21" t="str">
        <x:v>F41-I2</x:v>
      </x:c>
      <x:c r="D1140" s="21" t="str">
        <x:v>F41</x:v>
      </x:c>
      <x:c r="E1140" s="21" t="str">
        <x:v>B6</x:v>
      </x:c>
      <x:c r="F1140" s="21" t="str">
        <x:v>Mobilization</x:v>
      </x:c>
      <x:c r="G1140" s="21" t="str">
        <x:v>0.0.0</x:v>
      </x:c>
      <x:c r="H1140" s="21" t="str">
        <x:v>Independent Evidence and Data Authority</x:v>
      </x:c>
      <x:c r="I1140" s="21" t="str">
        <x:v>OPEN</x:v>
      </x:c>
      <x:c r="J1140" s="21" t="str">
        <x:v>HOLD</x:v>
      </x:c>
      <x:c r="K1140" s="23" t="str">
        <x:v>what people tools suppliers and routes reproduce conforming service must be accepted before downstream release</x:v>
      </x:c>
    </x:row>
    <x:row r="1141">
      <x:c r="B1141" s="21" t="str">
        <x:v>BL-01135</x:v>
      </x:c>
      <x:c r="C1141" s="21" t="str">
        <x:v>F41-I3</x:v>
      </x:c>
      <x:c r="D1141" s="21" t="str">
        <x:v>F41</x:v>
      </x:c>
      <x:c r="E1141" s="21" t="str">
        <x:v>B0</x:v>
      </x:c>
      <x:c r="F1141" s="21" t="str">
        <x:v>Effect</x:v>
      </x:c>
      <x:c r="G1141" s="21" t="str">
        <x:v>0.0.0</x:v>
      </x:c>
      <x:c r="H1141" s="21" t="str">
        <x:v>Independent Evidence and Data Authority</x:v>
      </x:c>
      <x:c r="I1141" s="21" t="str">
        <x:v>OPEN</x:v>
      </x:c>
      <x:c r="J1141" s="21" t="str">
        <x:v>HOLD</x:v>
      </x:c>
      <x:c r="K1141" s="23" t="str">
        <x:v>what public condition must exist must be accepted before downstream release</x:v>
      </x:c>
    </x:row>
    <x:row r="1142">
      <x:c r="B1142" s="21" t="str">
        <x:v>BL-01136</x:v>
      </x:c>
      <x:c r="C1142" s="21" t="str">
        <x:v>F41-I3</x:v>
      </x:c>
      <x:c r="D1142" s="21" t="str">
        <x:v>F41</x:v>
      </x:c>
      <x:c r="E1142" s="21" t="str">
        <x:v>B1</x:v>
      </x:c>
      <x:c r="F1142" s="21" t="str">
        <x:v>Requirements</x:v>
      </x:c>
      <x:c r="G1142" s="21" t="str">
        <x:v>0.0.0</x:v>
      </x:c>
      <x:c r="H1142" s="21" t="str">
        <x:v>Independent Evidence and Data Authority</x:v>
      </x:c>
      <x:c r="I1142" s="21" t="str">
        <x:v>OPEN</x:v>
      </x:c>
      <x:c r="J1142" s="21" t="str">
        <x:v>HOLD</x:v>
      </x:c>
      <x:c r="K1142" s="23" t="str">
        <x:v>what burdens and invalid states bound the effect must be accepted before downstream release</x:v>
      </x:c>
    </x:row>
    <x:row r="1143">
      <x:c r="B1143" s="21" t="str">
        <x:v>BL-01137</x:v>
      </x:c>
      <x:c r="C1143" s="21" t="str">
        <x:v>F41-I3</x:v>
      </x:c>
      <x:c r="D1143" s="21" t="str">
        <x:v>F41</x:v>
      </x:c>
      <x:c r="E1143" s="21" t="str">
        <x:v>B2</x:v>
      </x:c>
      <x:c r="F1143" s="21" t="str">
        <x:v>Architecture</x:v>
      </x:c>
      <x:c r="G1143" s="21" t="str">
        <x:v>0.0.0</x:v>
      </x:c>
      <x:c r="H1143" s="21" t="str">
        <x:v>Independent Evidence and Data Authority</x:v>
      </x:c>
      <x:c r="I1143" s="21" t="str">
        <x:v>OPEN</x:v>
      </x:c>
      <x:c r="J1143" s="21" t="str">
        <x:v>HOLD</x:v>
      </x:c>
      <x:c r="K1143" s="23" t="str">
        <x:v>what interfaces and budgets govern the system must be accepted before downstream release</x:v>
      </x:c>
    </x:row>
    <x:row r="1144">
      <x:c r="B1144" s="21" t="str">
        <x:v>BL-01138</x:v>
      </x:c>
      <x:c r="C1144" s="21" t="str">
        <x:v>F41-I3</x:v>
      </x:c>
      <x:c r="D1144" s="21" t="str">
        <x:v>F41</x:v>
      </x:c>
      <x:c r="E1144" s="21" t="str">
        <x:v>B3</x:v>
      </x:c>
      <x:c r="F1144" s="21" t="str">
        <x:v>Build</x:v>
      </x:c>
      <x:c r="G1144" s="21" t="str">
        <x:v>0.0.0</x:v>
      </x:c>
      <x:c r="H1144" s="21" t="str">
        <x:v>Independent Evidence and Data Authority</x:v>
      </x:c>
      <x:c r="I1144" s="21" t="str">
        <x:v>OPEN</x:v>
      </x:c>
      <x:c r="J1144" s="21" t="str">
        <x:v>HOLD</x:v>
      </x:c>
      <x:c r="K1144" s="23" t="str">
        <x:v>what exact configuration produced the article must be accepted before downstream release</x:v>
      </x:c>
    </x:row>
    <x:row r="1145">
      <x:c r="B1145" s="21" t="str">
        <x:v>BL-01139</x:v>
      </x:c>
      <x:c r="C1145" s="21" t="str">
        <x:v>F41-I3</x:v>
      </x:c>
      <x:c r="D1145" s="21" t="str">
        <x:v>F41</x:v>
      </x:c>
      <x:c r="E1145" s="21" t="str">
        <x:v>B4</x:v>
      </x:c>
      <x:c r="F1145" s="21" t="str">
        <x:v>Trial</x:v>
      </x:c>
      <x:c r="G1145" s="21" t="str">
        <x:v>0.0.0</x:v>
      </x:c>
      <x:c r="H1145" s="21" t="str">
        <x:v>Independent Evidence and Data Authority</x:v>
      </x:c>
      <x:c r="I1145" s="21" t="str">
        <x:v>OPEN</x:v>
      </x:c>
      <x:c r="J1145" s="21" t="str">
        <x:v>HOLD</x:v>
      </x:c>
      <x:c r="K1145" s="23" t="str">
        <x:v>what configuration method and damage world produced evidence must be accepted before downstream release</x:v>
      </x:c>
    </x:row>
    <x:row r="1146">
      <x:c r="B1146" s="21" t="str">
        <x:v>BL-01140</x:v>
      </x:c>
      <x:c r="C1146" s="21" t="str">
        <x:v>F41-I3</x:v>
      </x:c>
      <x:c r="D1146" s="21" t="str">
        <x:v>F41</x:v>
      </x:c>
      <x:c r="E1146" s="21" t="str">
        <x:v>B5</x:v>
      </x:c>
      <x:c r="F1146" s="21" t="str">
        <x:v>Production</x:v>
      </x:c>
      <x:c r="G1146" s="21" t="str">
        <x:v>0.0.0</x:v>
      </x:c>
      <x:c r="H1146" s="21" t="str">
        <x:v>Independent Evidence and Data Authority</x:v>
      </x:c>
      <x:c r="I1146" s="21" t="str">
        <x:v>OPEN</x:v>
      </x:c>
      <x:c r="J1146" s="21" t="str">
        <x:v>HOLD</x:v>
      </x:c>
      <x:c r="K1146" s="23" t="str">
        <x:v>what process configuration and acceptance define serial output must be accepted before downstream release</x:v>
      </x:c>
    </x:row>
    <x:row r="1147">
      <x:c r="B1147" s="21" t="str">
        <x:v>BL-01141</x:v>
      </x:c>
      <x:c r="C1147" s="21" t="str">
        <x:v>F41-I3</x:v>
      </x:c>
      <x:c r="D1147" s="21" t="str">
        <x:v>F41</x:v>
      </x:c>
      <x:c r="E1147" s="21" t="str">
        <x:v>B6</x:v>
      </x:c>
      <x:c r="F1147" s="21" t="str">
        <x:v>Mobilization</x:v>
      </x:c>
      <x:c r="G1147" s="21" t="str">
        <x:v>0.0.0</x:v>
      </x:c>
      <x:c r="H1147" s="21" t="str">
        <x:v>Independent Evidence and Data Authority</x:v>
      </x:c>
      <x:c r="I1147" s="21" t="str">
        <x:v>OPEN</x:v>
      </x:c>
      <x:c r="J1147" s="21" t="str">
        <x:v>HOLD</x:v>
      </x:c>
      <x:c r="K1147" s="23" t="str">
        <x:v>what people tools suppliers and routes reproduce conforming service must be accepted before downstream release</x:v>
      </x:c>
    </x:row>
    <x:row r="1148">
      <x:c r="B1148" s="21" t="str">
        <x:v>BL-01142</x:v>
      </x:c>
      <x:c r="C1148" s="21" t="str">
        <x:v>F41-I4</x:v>
      </x:c>
      <x:c r="D1148" s="21" t="str">
        <x:v>F41</x:v>
      </x:c>
      <x:c r="E1148" s="21" t="str">
        <x:v>B0</x:v>
      </x:c>
      <x:c r="F1148" s="21" t="str">
        <x:v>Effect</x:v>
      </x:c>
      <x:c r="G1148" s="21" t="str">
        <x:v>0.0.0</x:v>
      </x:c>
      <x:c r="H1148" s="21" t="str">
        <x:v>Independent Evidence and Data Authority</x:v>
      </x:c>
      <x:c r="I1148" s="21" t="str">
        <x:v>OPEN</x:v>
      </x:c>
      <x:c r="J1148" s="21" t="str">
        <x:v>HOLD</x:v>
      </x:c>
      <x:c r="K1148" s="23" t="str">
        <x:v>what public condition must exist must be accepted before downstream release</x:v>
      </x:c>
    </x:row>
    <x:row r="1149">
      <x:c r="B1149" s="21" t="str">
        <x:v>BL-01143</x:v>
      </x:c>
      <x:c r="C1149" s="21" t="str">
        <x:v>F41-I4</x:v>
      </x:c>
      <x:c r="D1149" s="21" t="str">
        <x:v>F41</x:v>
      </x:c>
      <x:c r="E1149" s="21" t="str">
        <x:v>B1</x:v>
      </x:c>
      <x:c r="F1149" s="21" t="str">
        <x:v>Requirements</x:v>
      </x:c>
      <x:c r="G1149" s="21" t="str">
        <x:v>0.0.0</x:v>
      </x:c>
      <x:c r="H1149" s="21" t="str">
        <x:v>Independent Evidence and Data Authority</x:v>
      </x:c>
      <x:c r="I1149" s="21" t="str">
        <x:v>OPEN</x:v>
      </x:c>
      <x:c r="J1149" s="21" t="str">
        <x:v>HOLD</x:v>
      </x:c>
      <x:c r="K1149" s="23" t="str">
        <x:v>what burdens and invalid states bound the effect must be accepted before downstream release</x:v>
      </x:c>
    </x:row>
    <x:row r="1150">
      <x:c r="B1150" s="21" t="str">
        <x:v>BL-01144</x:v>
      </x:c>
      <x:c r="C1150" s="21" t="str">
        <x:v>F41-I4</x:v>
      </x:c>
      <x:c r="D1150" s="21" t="str">
        <x:v>F41</x:v>
      </x:c>
      <x:c r="E1150" s="21" t="str">
        <x:v>B2</x:v>
      </x:c>
      <x:c r="F1150" s="21" t="str">
        <x:v>Architecture</x:v>
      </x:c>
      <x:c r="G1150" s="21" t="str">
        <x:v>0.0.0</x:v>
      </x:c>
      <x:c r="H1150" s="21" t="str">
        <x:v>Independent Evidence and Data Authority</x:v>
      </x:c>
      <x:c r="I1150" s="21" t="str">
        <x:v>OPEN</x:v>
      </x:c>
      <x:c r="J1150" s="21" t="str">
        <x:v>HOLD</x:v>
      </x:c>
      <x:c r="K1150" s="23" t="str">
        <x:v>what interfaces and budgets govern the system must be accepted before downstream release</x:v>
      </x:c>
    </x:row>
    <x:row r="1151">
      <x:c r="B1151" s="21" t="str">
        <x:v>BL-01145</x:v>
      </x:c>
      <x:c r="C1151" s="21" t="str">
        <x:v>F41-I4</x:v>
      </x:c>
      <x:c r="D1151" s="21" t="str">
        <x:v>F41</x:v>
      </x:c>
      <x:c r="E1151" s="21" t="str">
        <x:v>B3</x:v>
      </x:c>
      <x:c r="F1151" s="21" t="str">
        <x:v>Build</x:v>
      </x:c>
      <x:c r="G1151" s="21" t="str">
        <x:v>0.0.0</x:v>
      </x:c>
      <x:c r="H1151" s="21" t="str">
        <x:v>Independent Evidence and Data Authority</x:v>
      </x:c>
      <x:c r="I1151" s="21" t="str">
        <x:v>OPEN</x:v>
      </x:c>
      <x:c r="J1151" s="21" t="str">
        <x:v>HOLD</x:v>
      </x:c>
      <x:c r="K1151" s="23" t="str">
        <x:v>what exact configuration produced the article must be accepted before downstream release</x:v>
      </x:c>
    </x:row>
    <x:row r="1152">
      <x:c r="B1152" s="21" t="str">
        <x:v>BL-01146</x:v>
      </x:c>
      <x:c r="C1152" s="21" t="str">
        <x:v>F41-I4</x:v>
      </x:c>
      <x:c r="D1152" s="21" t="str">
        <x:v>F41</x:v>
      </x:c>
      <x:c r="E1152" s="21" t="str">
        <x:v>B4</x:v>
      </x:c>
      <x:c r="F1152" s="21" t="str">
        <x:v>Trial</x:v>
      </x:c>
      <x:c r="G1152" s="21" t="str">
        <x:v>0.0.0</x:v>
      </x:c>
      <x:c r="H1152" s="21" t="str">
        <x:v>Independent Evidence and Data Authority</x:v>
      </x:c>
      <x:c r="I1152" s="21" t="str">
        <x:v>OPEN</x:v>
      </x:c>
      <x:c r="J1152" s="21" t="str">
        <x:v>HOLD</x:v>
      </x:c>
      <x:c r="K1152" s="23" t="str">
        <x:v>what configuration method and damage world produced evidence must be accepted before downstream release</x:v>
      </x:c>
    </x:row>
    <x:row r="1153">
      <x:c r="B1153" s="21" t="str">
        <x:v>BL-01147</x:v>
      </x:c>
      <x:c r="C1153" s="21" t="str">
        <x:v>F41-I4</x:v>
      </x:c>
      <x:c r="D1153" s="21" t="str">
        <x:v>F41</x:v>
      </x:c>
      <x:c r="E1153" s="21" t="str">
        <x:v>B5</x:v>
      </x:c>
      <x:c r="F1153" s="21" t="str">
        <x:v>Production</x:v>
      </x:c>
      <x:c r="G1153" s="21" t="str">
        <x:v>0.0.0</x:v>
      </x:c>
      <x:c r="H1153" s="21" t="str">
        <x:v>Independent Evidence and Data Authority</x:v>
      </x:c>
      <x:c r="I1153" s="21" t="str">
        <x:v>OPEN</x:v>
      </x:c>
      <x:c r="J1153" s="21" t="str">
        <x:v>HOLD</x:v>
      </x:c>
      <x:c r="K1153" s="23" t="str">
        <x:v>what process configuration and acceptance define serial output must be accepted before downstream release</x:v>
      </x:c>
    </x:row>
    <x:row r="1154">
      <x:c r="B1154" s="21" t="str">
        <x:v>BL-01148</x:v>
      </x:c>
      <x:c r="C1154" s="21" t="str">
        <x:v>F41-I4</x:v>
      </x:c>
      <x:c r="D1154" s="21" t="str">
        <x:v>F41</x:v>
      </x:c>
      <x:c r="E1154" s="21" t="str">
        <x:v>B6</x:v>
      </x:c>
      <x:c r="F1154" s="21" t="str">
        <x:v>Mobilization</x:v>
      </x:c>
      <x:c r="G1154" s="21" t="str">
        <x:v>0.0.0</x:v>
      </x:c>
      <x:c r="H1154" s="21" t="str">
        <x:v>Independent Evidence and Data Authority</x:v>
      </x:c>
      <x:c r="I1154" s="21" t="str">
        <x:v>OPEN</x:v>
      </x:c>
      <x:c r="J1154" s="21" t="str">
        <x:v>HOLD</x:v>
      </x:c>
      <x:c r="K1154" s="23" t="str">
        <x:v>what people tools suppliers and routes reproduce conforming service must be accepted before downstream release</x:v>
      </x:c>
    </x:row>
    <x:row r="1155">
      <x:c r="B1155" s="21" t="str">
        <x:v>BL-01149</x:v>
      </x:c>
      <x:c r="C1155" s="21" t="str">
        <x:v>F42-I1</x:v>
      </x:c>
      <x:c r="D1155" s="21" t="str">
        <x:v>F42</x:v>
      </x:c>
      <x:c r="E1155" s="21" t="str">
        <x:v>B0</x:v>
      </x:c>
      <x:c r="F1155" s="21" t="str">
        <x:v>Effect</x:v>
      </x:c>
      <x:c r="G1155" s="21" t="str">
        <x:v>0.0.0</x:v>
      </x:c>
      <x:c r="H1155" s="21" t="str">
        <x:v>Independent Evidence and Data Authority</x:v>
      </x:c>
      <x:c r="I1155" s="21" t="str">
        <x:v>OPEN</x:v>
      </x:c>
      <x:c r="J1155" s="21" t="str">
        <x:v>HOLD</x:v>
      </x:c>
      <x:c r="K1155" s="23" t="str">
        <x:v>what public condition must exist must be accepted before downstream release</x:v>
      </x:c>
    </x:row>
    <x:row r="1156">
      <x:c r="B1156" s="21" t="str">
        <x:v>BL-01150</x:v>
      </x:c>
      <x:c r="C1156" s="21" t="str">
        <x:v>F42-I1</x:v>
      </x:c>
      <x:c r="D1156" s="21" t="str">
        <x:v>F42</x:v>
      </x:c>
      <x:c r="E1156" s="21" t="str">
        <x:v>B1</x:v>
      </x:c>
      <x:c r="F1156" s="21" t="str">
        <x:v>Requirements</x:v>
      </x:c>
      <x:c r="G1156" s="21" t="str">
        <x:v>0.0.0</x:v>
      </x:c>
      <x:c r="H1156" s="21" t="str">
        <x:v>Independent Evidence and Data Authority</x:v>
      </x:c>
      <x:c r="I1156" s="21" t="str">
        <x:v>OPEN</x:v>
      </x:c>
      <x:c r="J1156" s="21" t="str">
        <x:v>HOLD</x:v>
      </x:c>
      <x:c r="K1156" s="23" t="str">
        <x:v>what burdens and invalid states bound the effect must be accepted before downstream release</x:v>
      </x:c>
    </x:row>
    <x:row r="1157">
      <x:c r="B1157" s="21" t="str">
        <x:v>BL-01151</x:v>
      </x:c>
      <x:c r="C1157" s="21" t="str">
        <x:v>F42-I1</x:v>
      </x:c>
      <x:c r="D1157" s="21" t="str">
        <x:v>F42</x:v>
      </x:c>
      <x:c r="E1157" s="21" t="str">
        <x:v>B2</x:v>
      </x:c>
      <x:c r="F1157" s="21" t="str">
        <x:v>Architecture</x:v>
      </x:c>
      <x:c r="G1157" s="21" t="str">
        <x:v>0.0.0</x:v>
      </x:c>
      <x:c r="H1157" s="21" t="str">
        <x:v>Independent Evidence and Data Authority</x:v>
      </x:c>
      <x:c r="I1157" s="21" t="str">
        <x:v>OPEN</x:v>
      </x:c>
      <x:c r="J1157" s="21" t="str">
        <x:v>HOLD</x:v>
      </x:c>
      <x:c r="K1157" s="23" t="str">
        <x:v>what interfaces and budgets govern the system must be accepted before downstream release</x:v>
      </x:c>
    </x:row>
    <x:row r="1158">
      <x:c r="B1158" s="21" t="str">
        <x:v>BL-01152</x:v>
      </x:c>
      <x:c r="C1158" s="21" t="str">
        <x:v>F42-I1</x:v>
      </x:c>
      <x:c r="D1158" s="21" t="str">
        <x:v>F42</x:v>
      </x:c>
      <x:c r="E1158" s="21" t="str">
        <x:v>B3</x:v>
      </x:c>
      <x:c r="F1158" s="21" t="str">
        <x:v>Build</x:v>
      </x:c>
      <x:c r="G1158" s="21" t="str">
        <x:v>0.0.0</x:v>
      </x:c>
      <x:c r="H1158" s="21" t="str">
        <x:v>Independent Evidence and Data Authority</x:v>
      </x:c>
      <x:c r="I1158" s="21" t="str">
        <x:v>OPEN</x:v>
      </x:c>
      <x:c r="J1158" s="21" t="str">
        <x:v>HOLD</x:v>
      </x:c>
      <x:c r="K1158" s="23" t="str">
        <x:v>what exact configuration produced the article must be accepted before downstream release</x:v>
      </x:c>
    </x:row>
    <x:row r="1159">
      <x:c r="B1159" s="21" t="str">
        <x:v>BL-01153</x:v>
      </x:c>
      <x:c r="C1159" s="21" t="str">
        <x:v>F42-I1</x:v>
      </x:c>
      <x:c r="D1159" s="21" t="str">
        <x:v>F42</x:v>
      </x:c>
      <x:c r="E1159" s="21" t="str">
        <x:v>B4</x:v>
      </x:c>
      <x:c r="F1159" s="21" t="str">
        <x:v>Trial</x:v>
      </x:c>
      <x:c r="G1159" s="21" t="str">
        <x:v>0.0.0</x:v>
      </x:c>
      <x:c r="H1159" s="21" t="str">
        <x:v>Independent Evidence and Data Authority</x:v>
      </x:c>
      <x:c r="I1159" s="21" t="str">
        <x:v>OPEN</x:v>
      </x:c>
      <x:c r="J1159" s="21" t="str">
        <x:v>HOLD</x:v>
      </x:c>
      <x:c r="K1159" s="23" t="str">
        <x:v>what configuration method and damage world produced evidence must be accepted before downstream release</x:v>
      </x:c>
    </x:row>
    <x:row r="1160">
      <x:c r="B1160" s="21" t="str">
        <x:v>BL-01154</x:v>
      </x:c>
      <x:c r="C1160" s="21" t="str">
        <x:v>F42-I1</x:v>
      </x:c>
      <x:c r="D1160" s="21" t="str">
        <x:v>F42</x:v>
      </x:c>
      <x:c r="E1160" s="21" t="str">
        <x:v>B5</x:v>
      </x:c>
      <x:c r="F1160" s="21" t="str">
        <x:v>Production</x:v>
      </x:c>
      <x:c r="G1160" s="21" t="str">
        <x:v>0.0.0</x:v>
      </x:c>
      <x:c r="H1160" s="21" t="str">
        <x:v>Independent Evidence and Data Authority</x:v>
      </x:c>
      <x:c r="I1160" s="21" t="str">
        <x:v>OPEN</x:v>
      </x:c>
      <x:c r="J1160" s="21" t="str">
        <x:v>HOLD</x:v>
      </x:c>
      <x:c r="K1160" s="23" t="str">
        <x:v>what process configuration and acceptance define serial output must be accepted before downstream release</x:v>
      </x:c>
    </x:row>
    <x:row r="1161">
      <x:c r="B1161" s="21" t="str">
        <x:v>BL-01155</x:v>
      </x:c>
      <x:c r="C1161" s="21" t="str">
        <x:v>F42-I1</x:v>
      </x:c>
      <x:c r="D1161" s="21" t="str">
        <x:v>F42</x:v>
      </x:c>
      <x:c r="E1161" s="21" t="str">
        <x:v>B6</x:v>
      </x:c>
      <x:c r="F1161" s="21" t="str">
        <x:v>Mobilization</x:v>
      </x:c>
      <x:c r="G1161" s="21" t="str">
        <x:v>0.0.0</x:v>
      </x:c>
      <x:c r="H1161" s="21" t="str">
        <x:v>Independent Evidence and Data Authority</x:v>
      </x:c>
      <x:c r="I1161" s="21" t="str">
        <x:v>OPEN</x:v>
      </x:c>
      <x:c r="J1161" s="21" t="str">
        <x:v>HOLD</x:v>
      </x:c>
      <x:c r="K1161" s="23" t="str">
        <x:v>what people tools suppliers and routes reproduce conforming service must be accepted before downstream release</x:v>
      </x:c>
    </x:row>
    <x:row r="1162">
      <x:c r="B1162" s="21" t="str">
        <x:v>BL-01156</x:v>
      </x:c>
      <x:c r="C1162" s="21" t="str">
        <x:v>F42-I2</x:v>
      </x:c>
      <x:c r="D1162" s="21" t="str">
        <x:v>F42</x:v>
      </x:c>
      <x:c r="E1162" s="21" t="str">
        <x:v>B0</x:v>
      </x:c>
      <x:c r="F1162" s="21" t="str">
        <x:v>Effect</x:v>
      </x:c>
      <x:c r="G1162" s="21" t="str">
        <x:v>0.0.0</x:v>
      </x:c>
      <x:c r="H1162" s="21" t="str">
        <x:v>Independent Evidence and Data Authority</x:v>
      </x:c>
      <x:c r="I1162" s="21" t="str">
        <x:v>OPEN</x:v>
      </x:c>
      <x:c r="J1162" s="21" t="str">
        <x:v>HOLD</x:v>
      </x:c>
      <x:c r="K1162" s="23" t="str">
        <x:v>what public condition must exist must be accepted before downstream release</x:v>
      </x:c>
    </x:row>
    <x:row r="1163">
      <x:c r="B1163" s="21" t="str">
        <x:v>BL-01157</x:v>
      </x:c>
      <x:c r="C1163" s="21" t="str">
        <x:v>F42-I2</x:v>
      </x:c>
      <x:c r="D1163" s="21" t="str">
        <x:v>F42</x:v>
      </x:c>
      <x:c r="E1163" s="21" t="str">
        <x:v>B1</x:v>
      </x:c>
      <x:c r="F1163" s="21" t="str">
        <x:v>Requirements</x:v>
      </x:c>
      <x:c r="G1163" s="21" t="str">
        <x:v>0.0.0</x:v>
      </x:c>
      <x:c r="H1163" s="21" t="str">
        <x:v>Independent Evidence and Data Authority</x:v>
      </x:c>
      <x:c r="I1163" s="21" t="str">
        <x:v>OPEN</x:v>
      </x:c>
      <x:c r="J1163" s="21" t="str">
        <x:v>HOLD</x:v>
      </x:c>
      <x:c r="K1163" s="23" t="str">
        <x:v>what burdens and invalid states bound the effect must be accepted before downstream release</x:v>
      </x:c>
    </x:row>
    <x:row r="1164">
      <x:c r="B1164" s="21" t="str">
        <x:v>BL-01158</x:v>
      </x:c>
      <x:c r="C1164" s="21" t="str">
        <x:v>F42-I2</x:v>
      </x:c>
      <x:c r="D1164" s="21" t="str">
        <x:v>F42</x:v>
      </x:c>
      <x:c r="E1164" s="21" t="str">
        <x:v>B2</x:v>
      </x:c>
      <x:c r="F1164" s="21" t="str">
        <x:v>Architecture</x:v>
      </x:c>
      <x:c r="G1164" s="21" t="str">
        <x:v>0.0.0</x:v>
      </x:c>
      <x:c r="H1164" s="21" t="str">
        <x:v>Independent Evidence and Data Authority</x:v>
      </x:c>
      <x:c r="I1164" s="21" t="str">
        <x:v>OPEN</x:v>
      </x:c>
      <x:c r="J1164" s="21" t="str">
        <x:v>HOLD</x:v>
      </x:c>
      <x:c r="K1164" s="23" t="str">
        <x:v>what interfaces and budgets govern the system must be accepted before downstream release</x:v>
      </x:c>
    </x:row>
    <x:row r="1165">
      <x:c r="B1165" s="21" t="str">
        <x:v>BL-01159</x:v>
      </x:c>
      <x:c r="C1165" s="21" t="str">
        <x:v>F42-I2</x:v>
      </x:c>
      <x:c r="D1165" s="21" t="str">
        <x:v>F42</x:v>
      </x:c>
      <x:c r="E1165" s="21" t="str">
        <x:v>B3</x:v>
      </x:c>
      <x:c r="F1165" s="21" t="str">
        <x:v>Build</x:v>
      </x:c>
      <x:c r="G1165" s="21" t="str">
        <x:v>0.0.0</x:v>
      </x:c>
      <x:c r="H1165" s="21" t="str">
        <x:v>Independent Evidence and Data Authority</x:v>
      </x:c>
      <x:c r="I1165" s="21" t="str">
        <x:v>OPEN</x:v>
      </x:c>
      <x:c r="J1165" s="21" t="str">
        <x:v>HOLD</x:v>
      </x:c>
      <x:c r="K1165" s="23" t="str">
        <x:v>what exact configuration produced the article must be accepted before downstream release</x:v>
      </x:c>
    </x:row>
    <x:row r="1166">
      <x:c r="B1166" s="21" t="str">
        <x:v>BL-01160</x:v>
      </x:c>
      <x:c r="C1166" s="21" t="str">
        <x:v>F42-I2</x:v>
      </x:c>
      <x:c r="D1166" s="21" t="str">
        <x:v>F42</x:v>
      </x:c>
      <x:c r="E1166" s="21" t="str">
        <x:v>B4</x:v>
      </x:c>
      <x:c r="F1166" s="21" t="str">
        <x:v>Trial</x:v>
      </x:c>
      <x:c r="G1166" s="21" t="str">
        <x:v>0.0.0</x:v>
      </x:c>
      <x:c r="H1166" s="21" t="str">
        <x:v>Independent Evidence and Data Authority</x:v>
      </x:c>
      <x:c r="I1166" s="21" t="str">
        <x:v>OPEN</x:v>
      </x:c>
      <x:c r="J1166" s="21" t="str">
        <x:v>HOLD</x:v>
      </x:c>
      <x:c r="K1166" s="23" t="str">
        <x:v>what configuration method and damage world produced evidence must be accepted before downstream release</x:v>
      </x:c>
    </x:row>
    <x:row r="1167">
      <x:c r="B1167" s="21" t="str">
        <x:v>BL-01161</x:v>
      </x:c>
      <x:c r="C1167" s="21" t="str">
        <x:v>F42-I2</x:v>
      </x:c>
      <x:c r="D1167" s="21" t="str">
        <x:v>F42</x:v>
      </x:c>
      <x:c r="E1167" s="21" t="str">
        <x:v>B5</x:v>
      </x:c>
      <x:c r="F1167" s="21" t="str">
        <x:v>Production</x:v>
      </x:c>
      <x:c r="G1167" s="21" t="str">
        <x:v>0.0.0</x:v>
      </x:c>
      <x:c r="H1167" s="21" t="str">
        <x:v>Independent Evidence and Data Authority</x:v>
      </x:c>
      <x:c r="I1167" s="21" t="str">
        <x:v>OPEN</x:v>
      </x:c>
      <x:c r="J1167" s="21" t="str">
        <x:v>HOLD</x:v>
      </x:c>
      <x:c r="K1167" s="23" t="str">
        <x:v>what process configuration and acceptance define serial output must be accepted before downstream release</x:v>
      </x:c>
    </x:row>
    <x:row r="1168">
      <x:c r="B1168" s="21" t="str">
        <x:v>BL-01162</x:v>
      </x:c>
      <x:c r="C1168" s="21" t="str">
        <x:v>F42-I2</x:v>
      </x:c>
      <x:c r="D1168" s="21" t="str">
        <x:v>F42</x:v>
      </x:c>
      <x:c r="E1168" s="21" t="str">
        <x:v>B6</x:v>
      </x:c>
      <x:c r="F1168" s="21" t="str">
        <x:v>Mobilization</x:v>
      </x:c>
      <x:c r="G1168" s="21" t="str">
        <x:v>0.0.0</x:v>
      </x:c>
      <x:c r="H1168" s="21" t="str">
        <x:v>Independent Evidence and Data Authority</x:v>
      </x:c>
      <x:c r="I1168" s="21" t="str">
        <x:v>OPEN</x:v>
      </x:c>
      <x:c r="J1168" s="21" t="str">
        <x:v>HOLD</x:v>
      </x:c>
      <x:c r="K1168" s="23" t="str">
        <x:v>what people tools suppliers and routes reproduce conforming service must be accepted before downstream release</x:v>
      </x:c>
    </x:row>
    <x:row r="1169">
      <x:c r="B1169" s="21" t="str">
        <x:v>BL-01163</x:v>
      </x:c>
      <x:c r="C1169" s="21" t="str">
        <x:v>F42-I3</x:v>
      </x:c>
      <x:c r="D1169" s="21" t="str">
        <x:v>F42</x:v>
      </x:c>
      <x:c r="E1169" s="21" t="str">
        <x:v>B0</x:v>
      </x:c>
      <x:c r="F1169" s="21" t="str">
        <x:v>Effect</x:v>
      </x:c>
      <x:c r="G1169" s="21" t="str">
        <x:v>0.0.0</x:v>
      </x:c>
      <x:c r="H1169" s="21" t="str">
        <x:v>Independent Evidence and Data Authority</x:v>
      </x:c>
      <x:c r="I1169" s="21" t="str">
        <x:v>OPEN</x:v>
      </x:c>
      <x:c r="J1169" s="21" t="str">
        <x:v>HOLD</x:v>
      </x:c>
      <x:c r="K1169" s="23" t="str">
        <x:v>what public condition must exist must be accepted before downstream release</x:v>
      </x:c>
    </x:row>
    <x:row r="1170">
      <x:c r="B1170" s="21" t="str">
        <x:v>BL-01164</x:v>
      </x:c>
      <x:c r="C1170" s="21" t="str">
        <x:v>F42-I3</x:v>
      </x:c>
      <x:c r="D1170" s="21" t="str">
        <x:v>F42</x:v>
      </x:c>
      <x:c r="E1170" s="21" t="str">
        <x:v>B1</x:v>
      </x:c>
      <x:c r="F1170" s="21" t="str">
        <x:v>Requirements</x:v>
      </x:c>
      <x:c r="G1170" s="21" t="str">
        <x:v>0.0.0</x:v>
      </x:c>
      <x:c r="H1170" s="21" t="str">
        <x:v>Independent Evidence and Data Authority</x:v>
      </x:c>
      <x:c r="I1170" s="21" t="str">
        <x:v>OPEN</x:v>
      </x:c>
      <x:c r="J1170" s="21" t="str">
        <x:v>HOLD</x:v>
      </x:c>
      <x:c r="K1170" s="23" t="str">
        <x:v>what burdens and invalid states bound the effect must be accepted before downstream release</x:v>
      </x:c>
    </x:row>
    <x:row r="1171">
      <x:c r="B1171" s="21" t="str">
        <x:v>BL-01165</x:v>
      </x:c>
      <x:c r="C1171" s="21" t="str">
        <x:v>F42-I3</x:v>
      </x:c>
      <x:c r="D1171" s="21" t="str">
        <x:v>F42</x:v>
      </x:c>
      <x:c r="E1171" s="21" t="str">
        <x:v>B2</x:v>
      </x:c>
      <x:c r="F1171" s="21" t="str">
        <x:v>Architecture</x:v>
      </x:c>
      <x:c r="G1171" s="21" t="str">
        <x:v>0.0.0</x:v>
      </x:c>
      <x:c r="H1171" s="21" t="str">
        <x:v>Independent Evidence and Data Authority</x:v>
      </x:c>
      <x:c r="I1171" s="21" t="str">
        <x:v>OPEN</x:v>
      </x:c>
      <x:c r="J1171" s="21" t="str">
        <x:v>HOLD</x:v>
      </x:c>
      <x:c r="K1171" s="23" t="str">
        <x:v>what interfaces and budgets govern the system must be accepted before downstream release</x:v>
      </x:c>
    </x:row>
    <x:row r="1172">
      <x:c r="B1172" s="21" t="str">
        <x:v>BL-01166</x:v>
      </x:c>
      <x:c r="C1172" s="21" t="str">
        <x:v>F42-I3</x:v>
      </x:c>
      <x:c r="D1172" s="21" t="str">
        <x:v>F42</x:v>
      </x:c>
      <x:c r="E1172" s="21" t="str">
        <x:v>B3</x:v>
      </x:c>
      <x:c r="F1172" s="21" t="str">
        <x:v>Build</x:v>
      </x:c>
      <x:c r="G1172" s="21" t="str">
        <x:v>0.0.0</x:v>
      </x:c>
      <x:c r="H1172" s="21" t="str">
        <x:v>Independent Evidence and Data Authority</x:v>
      </x:c>
      <x:c r="I1172" s="21" t="str">
        <x:v>OPEN</x:v>
      </x:c>
      <x:c r="J1172" s="21" t="str">
        <x:v>HOLD</x:v>
      </x:c>
      <x:c r="K1172" s="23" t="str">
        <x:v>what exact configuration produced the article must be accepted before downstream release</x:v>
      </x:c>
    </x:row>
    <x:row r="1173">
      <x:c r="B1173" s="21" t="str">
        <x:v>BL-01167</x:v>
      </x:c>
      <x:c r="C1173" s="21" t="str">
        <x:v>F42-I3</x:v>
      </x:c>
      <x:c r="D1173" s="21" t="str">
        <x:v>F42</x:v>
      </x:c>
      <x:c r="E1173" s="21" t="str">
        <x:v>B4</x:v>
      </x:c>
      <x:c r="F1173" s="21" t="str">
        <x:v>Trial</x:v>
      </x:c>
      <x:c r="G1173" s="21" t="str">
        <x:v>0.0.0</x:v>
      </x:c>
      <x:c r="H1173" s="21" t="str">
        <x:v>Independent Evidence and Data Authority</x:v>
      </x:c>
      <x:c r="I1173" s="21" t="str">
        <x:v>OPEN</x:v>
      </x:c>
      <x:c r="J1173" s="21" t="str">
        <x:v>HOLD</x:v>
      </x:c>
      <x:c r="K1173" s="23" t="str">
        <x:v>what configuration method and damage world produced evidence must be accepted before downstream release</x:v>
      </x:c>
    </x:row>
    <x:row r="1174">
      <x:c r="B1174" s="21" t="str">
        <x:v>BL-01168</x:v>
      </x:c>
      <x:c r="C1174" s="21" t="str">
        <x:v>F42-I3</x:v>
      </x:c>
      <x:c r="D1174" s="21" t="str">
        <x:v>F42</x:v>
      </x:c>
      <x:c r="E1174" s="21" t="str">
        <x:v>B5</x:v>
      </x:c>
      <x:c r="F1174" s="21" t="str">
        <x:v>Production</x:v>
      </x:c>
      <x:c r="G1174" s="21" t="str">
        <x:v>0.0.0</x:v>
      </x:c>
      <x:c r="H1174" s="21" t="str">
        <x:v>Independent Evidence and Data Authority</x:v>
      </x:c>
      <x:c r="I1174" s="21" t="str">
        <x:v>OPEN</x:v>
      </x:c>
      <x:c r="J1174" s="21" t="str">
        <x:v>HOLD</x:v>
      </x:c>
      <x:c r="K1174" s="23" t="str">
        <x:v>what process configuration and acceptance define serial output must be accepted before downstream release</x:v>
      </x:c>
    </x:row>
    <x:row r="1175">
      <x:c r="B1175" s="21" t="str">
        <x:v>BL-01169</x:v>
      </x:c>
      <x:c r="C1175" s="21" t="str">
        <x:v>F42-I3</x:v>
      </x:c>
      <x:c r="D1175" s="21" t="str">
        <x:v>F42</x:v>
      </x:c>
      <x:c r="E1175" s="21" t="str">
        <x:v>B6</x:v>
      </x:c>
      <x:c r="F1175" s="21" t="str">
        <x:v>Mobilization</x:v>
      </x:c>
      <x:c r="G1175" s="21" t="str">
        <x:v>0.0.0</x:v>
      </x:c>
      <x:c r="H1175" s="21" t="str">
        <x:v>Independent Evidence and Data Authority</x:v>
      </x:c>
      <x:c r="I1175" s="21" t="str">
        <x:v>OPEN</x:v>
      </x:c>
      <x:c r="J1175" s="21" t="str">
        <x:v>HOLD</x:v>
      </x:c>
      <x:c r="K1175" s="23" t="str">
        <x:v>what people tools suppliers and routes reproduce conforming service must be accepted before downstream release</x:v>
      </x:c>
    </x:row>
    <x:row r="1176">
      <x:c r="B1176" s="21" t="str">
        <x:v>BL-01170</x:v>
      </x:c>
      <x:c r="C1176" s="21" t="str">
        <x:v>F42-I4</x:v>
      </x:c>
      <x:c r="D1176" s="21" t="str">
        <x:v>F42</x:v>
      </x:c>
      <x:c r="E1176" s="21" t="str">
        <x:v>B0</x:v>
      </x:c>
      <x:c r="F1176" s="21" t="str">
        <x:v>Effect</x:v>
      </x:c>
      <x:c r="G1176" s="21" t="str">
        <x:v>0.0.0</x:v>
      </x:c>
      <x:c r="H1176" s="21" t="str">
        <x:v>Independent Evidence and Data Authority</x:v>
      </x:c>
      <x:c r="I1176" s="21" t="str">
        <x:v>OPEN</x:v>
      </x:c>
      <x:c r="J1176" s="21" t="str">
        <x:v>HOLD</x:v>
      </x:c>
      <x:c r="K1176" s="23" t="str">
        <x:v>what public condition must exist must be accepted before downstream release</x:v>
      </x:c>
    </x:row>
    <x:row r="1177">
      <x:c r="B1177" s="21" t="str">
        <x:v>BL-01171</x:v>
      </x:c>
      <x:c r="C1177" s="21" t="str">
        <x:v>F42-I4</x:v>
      </x:c>
      <x:c r="D1177" s="21" t="str">
        <x:v>F42</x:v>
      </x:c>
      <x:c r="E1177" s="21" t="str">
        <x:v>B1</x:v>
      </x:c>
      <x:c r="F1177" s="21" t="str">
        <x:v>Requirements</x:v>
      </x:c>
      <x:c r="G1177" s="21" t="str">
        <x:v>0.0.0</x:v>
      </x:c>
      <x:c r="H1177" s="21" t="str">
        <x:v>Independent Evidence and Data Authority</x:v>
      </x:c>
      <x:c r="I1177" s="21" t="str">
        <x:v>OPEN</x:v>
      </x:c>
      <x:c r="J1177" s="21" t="str">
        <x:v>HOLD</x:v>
      </x:c>
      <x:c r="K1177" s="23" t="str">
        <x:v>what burdens and invalid states bound the effect must be accepted before downstream release</x:v>
      </x:c>
    </x:row>
    <x:row r="1178">
      <x:c r="B1178" s="21" t="str">
        <x:v>BL-01172</x:v>
      </x:c>
      <x:c r="C1178" s="21" t="str">
        <x:v>F42-I4</x:v>
      </x:c>
      <x:c r="D1178" s="21" t="str">
        <x:v>F42</x:v>
      </x:c>
      <x:c r="E1178" s="21" t="str">
        <x:v>B2</x:v>
      </x:c>
      <x:c r="F1178" s="21" t="str">
        <x:v>Architecture</x:v>
      </x:c>
      <x:c r="G1178" s="21" t="str">
        <x:v>0.0.0</x:v>
      </x:c>
      <x:c r="H1178" s="21" t="str">
        <x:v>Independent Evidence and Data Authority</x:v>
      </x:c>
      <x:c r="I1178" s="21" t="str">
        <x:v>OPEN</x:v>
      </x:c>
      <x:c r="J1178" s="21" t="str">
        <x:v>HOLD</x:v>
      </x:c>
      <x:c r="K1178" s="23" t="str">
        <x:v>what interfaces and budgets govern the system must be accepted before downstream release</x:v>
      </x:c>
    </x:row>
    <x:row r="1179">
      <x:c r="B1179" s="21" t="str">
        <x:v>BL-01173</x:v>
      </x:c>
      <x:c r="C1179" s="21" t="str">
        <x:v>F42-I4</x:v>
      </x:c>
      <x:c r="D1179" s="21" t="str">
        <x:v>F42</x:v>
      </x:c>
      <x:c r="E1179" s="21" t="str">
        <x:v>B3</x:v>
      </x:c>
      <x:c r="F1179" s="21" t="str">
        <x:v>Build</x:v>
      </x:c>
      <x:c r="G1179" s="21" t="str">
        <x:v>0.0.0</x:v>
      </x:c>
      <x:c r="H1179" s="21" t="str">
        <x:v>Independent Evidence and Data Authority</x:v>
      </x:c>
      <x:c r="I1179" s="21" t="str">
        <x:v>OPEN</x:v>
      </x:c>
      <x:c r="J1179" s="21" t="str">
        <x:v>HOLD</x:v>
      </x:c>
      <x:c r="K1179" s="23" t="str">
        <x:v>what exact configuration produced the article must be accepted before downstream release</x:v>
      </x:c>
    </x:row>
    <x:row r="1180">
      <x:c r="B1180" s="21" t="str">
        <x:v>BL-01174</x:v>
      </x:c>
      <x:c r="C1180" s="21" t="str">
        <x:v>F42-I4</x:v>
      </x:c>
      <x:c r="D1180" s="21" t="str">
        <x:v>F42</x:v>
      </x:c>
      <x:c r="E1180" s="21" t="str">
        <x:v>B4</x:v>
      </x:c>
      <x:c r="F1180" s="21" t="str">
        <x:v>Trial</x:v>
      </x:c>
      <x:c r="G1180" s="21" t="str">
        <x:v>0.0.0</x:v>
      </x:c>
      <x:c r="H1180" s="21" t="str">
        <x:v>Independent Evidence and Data Authority</x:v>
      </x:c>
      <x:c r="I1180" s="21" t="str">
        <x:v>OPEN</x:v>
      </x:c>
      <x:c r="J1180" s="21" t="str">
        <x:v>HOLD</x:v>
      </x:c>
      <x:c r="K1180" s="23" t="str">
        <x:v>what configuration method and damage world produced evidence must be accepted before downstream release</x:v>
      </x:c>
    </x:row>
    <x:row r="1181">
      <x:c r="B1181" s="21" t="str">
        <x:v>BL-01175</x:v>
      </x:c>
      <x:c r="C1181" s="21" t="str">
        <x:v>F42-I4</x:v>
      </x:c>
      <x:c r="D1181" s="21" t="str">
        <x:v>F42</x:v>
      </x:c>
      <x:c r="E1181" s="21" t="str">
        <x:v>B5</x:v>
      </x:c>
      <x:c r="F1181" s="21" t="str">
        <x:v>Production</x:v>
      </x:c>
      <x:c r="G1181" s="21" t="str">
        <x:v>0.0.0</x:v>
      </x:c>
      <x:c r="H1181" s="21" t="str">
        <x:v>Independent Evidence and Data Authority</x:v>
      </x:c>
      <x:c r="I1181" s="21" t="str">
        <x:v>OPEN</x:v>
      </x:c>
      <x:c r="J1181" s="21" t="str">
        <x:v>HOLD</x:v>
      </x:c>
      <x:c r="K1181" s="23" t="str">
        <x:v>what process configuration and acceptance define serial output must be accepted before downstream release</x:v>
      </x:c>
    </x:row>
    <x:row r="1182">
      <x:c r="B1182" s="21" t="str">
        <x:v>BL-01176</x:v>
      </x:c>
      <x:c r="C1182" s="21" t="str">
        <x:v>F42-I4</x:v>
      </x:c>
      <x:c r="D1182" s="21" t="str">
        <x:v>F42</x:v>
      </x:c>
      <x:c r="E1182" s="21" t="str">
        <x:v>B6</x:v>
      </x:c>
      <x:c r="F1182" s="21" t="str">
        <x:v>Mobilization</x:v>
      </x:c>
      <x:c r="G1182" s="21" t="str">
        <x:v>0.0.0</x:v>
      </x:c>
      <x:c r="H1182" s="21" t="str">
        <x:v>Independent Evidence and Data Authority</x:v>
      </x:c>
      <x:c r="I1182" s="21" t="str">
        <x:v>OPEN</x:v>
      </x:c>
      <x:c r="J1182" s="21" t="str">
        <x:v>HOLD</x:v>
      </x:c>
      <x:c r="K1182" s="23" t="str">
        <x:v>what people tools suppliers and routes reproduce conforming service must be accepted before downstream release</x:v>
      </x:c>
    </x:row>
    <x:row r="1183">
      <x:c r="B1183" s="21" t="str">
        <x:v>BL-01177</x:v>
      </x:c>
      <x:c r="C1183" s="21" t="str">
        <x:v>F43-I1</x:v>
      </x:c>
      <x:c r="D1183" s="21" t="str">
        <x:v>F43</x:v>
      </x:c>
      <x:c r="E1183" s="21" t="str">
        <x:v>B0</x:v>
      </x:c>
      <x:c r="F1183" s="21" t="str">
        <x:v>Effect</x:v>
      </x:c>
      <x:c r="G1183" s="21" t="str">
        <x:v>0.0.0</x:v>
      </x:c>
      <x:c r="H1183" s="21" t="str">
        <x:v>Independent Evidence and Data Authority</x:v>
      </x:c>
      <x:c r="I1183" s="21" t="str">
        <x:v>OPEN</x:v>
      </x:c>
      <x:c r="J1183" s="21" t="str">
        <x:v>HOLD</x:v>
      </x:c>
      <x:c r="K1183" s="23" t="str">
        <x:v>what public condition must exist must be accepted before downstream release</x:v>
      </x:c>
    </x:row>
    <x:row r="1184">
      <x:c r="B1184" s="21" t="str">
        <x:v>BL-01178</x:v>
      </x:c>
      <x:c r="C1184" s="21" t="str">
        <x:v>F43-I1</x:v>
      </x:c>
      <x:c r="D1184" s="21" t="str">
        <x:v>F43</x:v>
      </x:c>
      <x:c r="E1184" s="21" t="str">
        <x:v>B1</x:v>
      </x:c>
      <x:c r="F1184" s="21" t="str">
        <x:v>Requirements</x:v>
      </x:c>
      <x:c r="G1184" s="21" t="str">
        <x:v>0.0.0</x:v>
      </x:c>
      <x:c r="H1184" s="21" t="str">
        <x:v>Independent Evidence and Data Authority</x:v>
      </x:c>
      <x:c r="I1184" s="21" t="str">
        <x:v>OPEN</x:v>
      </x:c>
      <x:c r="J1184" s="21" t="str">
        <x:v>HOLD</x:v>
      </x:c>
      <x:c r="K1184" s="23" t="str">
        <x:v>what burdens and invalid states bound the effect must be accepted before downstream release</x:v>
      </x:c>
    </x:row>
    <x:row r="1185">
      <x:c r="B1185" s="21" t="str">
        <x:v>BL-01179</x:v>
      </x:c>
      <x:c r="C1185" s="21" t="str">
        <x:v>F43-I1</x:v>
      </x:c>
      <x:c r="D1185" s="21" t="str">
        <x:v>F43</x:v>
      </x:c>
      <x:c r="E1185" s="21" t="str">
        <x:v>B2</x:v>
      </x:c>
      <x:c r="F1185" s="21" t="str">
        <x:v>Architecture</x:v>
      </x:c>
      <x:c r="G1185" s="21" t="str">
        <x:v>0.0.0</x:v>
      </x:c>
      <x:c r="H1185" s="21" t="str">
        <x:v>Independent Evidence and Data Authority</x:v>
      </x:c>
      <x:c r="I1185" s="21" t="str">
        <x:v>OPEN</x:v>
      </x:c>
      <x:c r="J1185" s="21" t="str">
        <x:v>HOLD</x:v>
      </x:c>
      <x:c r="K1185" s="23" t="str">
        <x:v>what interfaces and budgets govern the system must be accepted before downstream release</x:v>
      </x:c>
    </x:row>
    <x:row r="1186">
      <x:c r="B1186" s="21" t="str">
        <x:v>BL-01180</x:v>
      </x:c>
      <x:c r="C1186" s="21" t="str">
        <x:v>F43-I1</x:v>
      </x:c>
      <x:c r="D1186" s="21" t="str">
        <x:v>F43</x:v>
      </x:c>
      <x:c r="E1186" s="21" t="str">
        <x:v>B3</x:v>
      </x:c>
      <x:c r="F1186" s="21" t="str">
        <x:v>Build</x:v>
      </x:c>
      <x:c r="G1186" s="21" t="str">
        <x:v>0.0.0</x:v>
      </x:c>
      <x:c r="H1186" s="21" t="str">
        <x:v>Independent Evidence and Data Authority</x:v>
      </x:c>
      <x:c r="I1186" s="21" t="str">
        <x:v>OPEN</x:v>
      </x:c>
      <x:c r="J1186" s="21" t="str">
        <x:v>HOLD</x:v>
      </x:c>
      <x:c r="K1186" s="23" t="str">
        <x:v>what exact configuration produced the article must be accepted before downstream release</x:v>
      </x:c>
    </x:row>
    <x:row r="1187">
      <x:c r="B1187" s="21" t="str">
        <x:v>BL-01181</x:v>
      </x:c>
      <x:c r="C1187" s="21" t="str">
        <x:v>F43-I1</x:v>
      </x:c>
      <x:c r="D1187" s="21" t="str">
        <x:v>F43</x:v>
      </x:c>
      <x:c r="E1187" s="21" t="str">
        <x:v>B4</x:v>
      </x:c>
      <x:c r="F1187" s="21" t="str">
        <x:v>Trial</x:v>
      </x:c>
      <x:c r="G1187" s="21" t="str">
        <x:v>0.0.0</x:v>
      </x:c>
      <x:c r="H1187" s="21" t="str">
        <x:v>Independent Evidence and Data Authority</x:v>
      </x:c>
      <x:c r="I1187" s="21" t="str">
        <x:v>OPEN</x:v>
      </x:c>
      <x:c r="J1187" s="21" t="str">
        <x:v>HOLD</x:v>
      </x:c>
      <x:c r="K1187" s="23" t="str">
        <x:v>what configuration method and damage world produced evidence must be accepted before downstream release</x:v>
      </x:c>
    </x:row>
    <x:row r="1188">
      <x:c r="B1188" s="21" t="str">
        <x:v>BL-01182</x:v>
      </x:c>
      <x:c r="C1188" s="21" t="str">
        <x:v>F43-I1</x:v>
      </x:c>
      <x:c r="D1188" s="21" t="str">
        <x:v>F43</x:v>
      </x:c>
      <x:c r="E1188" s="21" t="str">
        <x:v>B5</x:v>
      </x:c>
      <x:c r="F1188" s="21" t="str">
        <x:v>Production</x:v>
      </x:c>
      <x:c r="G1188" s="21" t="str">
        <x:v>0.0.0</x:v>
      </x:c>
      <x:c r="H1188" s="21" t="str">
        <x:v>Independent Evidence and Data Authority</x:v>
      </x:c>
      <x:c r="I1188" s="21" t="str">
        <x:v>OPEN</x:v>
      </x:c>
      <x:c r="J1188" s="21" t="str">
        <x:v>HOLD</x:v>
      </x:c>
      <x:c r="K1188" s="23" t="str">
        <x:v>what process configuration and acceptance define serial output must be accepted before downstream release</x:v>
      </x:c>
    </x:row>
    <x:row r="1189">
      <x:c r="B1189" s="21" t="str">
        <x:v>BL-01183</x:v>
      </x:c>
      <x:c r="C1189" s="21" t="str">
        <x:v>F43-I1</x:v>
      </x:c>
      <x:c r="D1189" s="21" t="str">
        <x:v>F43</x:v>
      </x:c>
      <x:c r="E1189" s="21" t="str">
        <x:v>B6</x:v>
      </x:c>
      <x:c r="F1189" s="21" t="str">
        <x:v>Mobilization</x:v>
      </x:c>
      <x:c r="G1189" s="21" t="str">
        <x:v>0.0.0</x:v>
      </x:c>
      <x:c r="H1189" s="21" t="str">
        <x:v>Independent Evidence and Data Authority</x:v>
      </x:c>
      <x:c r="I1189" s="21" t="str">
        <x:v>OPEN</x:v>
      </x:c>
      <x:c r="J1189" s="21" t="str">
        <x:v>HOLD</x:v>
      </x:c>
      <x:c r="K1189" s="23" t="str">
        <x:v>what people tools suppliers and routes reproduce conforming service must be accepted before downstream release</x:v>
      </x:c>
    </x:row>
    <x:row r="1190">
      <x:c r="B1190" s="21" t="str">
        <x:v>BL-01184</x:v>
      </x:c>
      <x:c r="C1190" s="21" t="str">
        <x:v>F43-I2</x:v>
      </x:c>
      <x:c r="D1190" s="21" t="str">
        <x:v>F43</x:v>
      </x:c>
      <x:c r="E1190" s="21" t="str">
        <x:v>B0</x:v>
      </x:c>
      <x:c r="F1190" s="21" t="str">
        <x:v>Effect</x:v>
      </x:c>
      <x:c r="G1190" s="21" t="str">
        <x:v>0.0.0</x:v>
      </x:c>
      <x:c r="H1190" s="21" t="str">
        <x:v>Independent Evidence and Data Authority</x:v>
      </x:c>
      <x:c r="I1190" s="21" t="str">
        <x:v>OPEN</x:v>
      </x:c>
      <x:c r="J1190" s="21" t="str">
        <x:v>HOLD</x:v>
      </x:c>
      <x:c r="K1190" s="23" t="str">
        <x:v>what public condition must exist must be accepted before downstream release</x:v>
      </x:c>
    </x:row>
    <x:row r="1191">
      <x:c r="B1191" s="21" t="str">
        <x:v>BL-01185</x:v>
      </x:c>
      <x:c r="C1191" s="21" t="str">
        <x:v>F43-I2</x:v>
      </x:c>
      <x:c r="D1191" s="21" t="str">
        <x:v>F43</x:v>
      </x:c>
      <x:c r="E1191" s="21" t="str">
        <x:v>B1</x:v>
      </x:c>
      <x:c r="F1191" s="21" t="str">
        <x:v>Requirements</x:v>
      </x:c>
      <x:c r="G1191" s="21" t="str">
        <x:v>0.0.0</x:v>
      </x:c>
      <x:c r="H1191" s="21" t="str">
        <x:v>Independent Evidence and Data Authority</x:v>
      </x:c>
      <x:c r="I1191" s="21" t="str">
        <x:v>OPEN</x:v>
      </x:c>
      <x:c r="J1191" s="21" t="str">
        <x:v>HOLD</x:v>
      </x:c>
      <x:c r="K1191" s="23" t="str">
        <x:v>what burdens and invalid states bound the effect must be accepted before downstream release</x:v>
      </x:c>
    </x:row>
    <x:row r="1192">
      <x:c r="B1192" s="21" t="str">
        <x:v>BL-01186</x:v>
      </x:c>
      <x:c r="C1192" s="21" t="str">
        <x:v>F43-I2</x:v>
      </x:c>
      <x:c r="D1192" s="21" t="str">
        <x:v>F43</x:v>
      </x:c>
      <x:c r="E1192" s="21" t="str">
        <x:v>B2</x:v>
      </x:c>
      <x:c r="F1192" s="21" t="str">
        <x:v>Architecture</x:v>
      </x:c>
      <x:c r="G1192" s="21" t="str">
        <x:v>0.0.0</x:v>
      </x:c>
      <x:c r="H1192" s="21" t="str">
        <x:v>Independent Evidence and Data Authority</x:v>
      </x:c>
      <x:c r="I1192" s="21" t="str">
        <x:v>OPEN</x:v>
      </x:c>
      <x:c r="J1192" s="21" t="str">
        <x:v>HOLD</x:v>
      </x:c>
      <x:c r="K1192" s="23" t="str">
        <x:v>what interfaces and budgets govern the system must be accepted before downstream release</x:v>
      </x:c>
    </x:row>
    <x:row r="1193">
      <x:c r="B1193" s="21" t="str">
        <x:v>BL-01187</x:v>
      </x:c>
      <x:c r="C1193" s="21" t="str">
        <x:v>F43-I2</x:v>
      </x:c>
      <x:c r="D1193" s="21" t="str">
        <x:v>F43</x:v>
      </x:c>
      <x:c r="E1193" s="21" t="str">
        <x:v>B3</x:v>
      </x:c>
      <x:c r="F1193" s="21" t="str">
        <x:v>Build</x:v>
      </x:c>
      <x:c r="G1193" s="21" t="str">
        <x:v>0.0.0</x:v>
      </x:c>
      <x:c r="H1193" s="21" t="str">
        <x:v>Independent Evidence and Data Authority</x:v>
      </x:c>
      <x:c r="I1193" s="21" t="str">
        <x:v>OPEN</x:v>
      </x:c>
      <x:c r="J1193" s="21" t="str">
        <x:v>HOLD</x:v>
      </x:c>
      <x:c r="K1193" s="23" t="str">
        <x:v>what exact configuration produced the article must be accepted before downstream release</x:v>
      </x:c>
    </x:row>
    <x:row r="1194">
      <x:c r="B1194" s="21" t="str">
        <x:v>BL-01188</x:v>
      </x:c>
      <x:c r="C1194" s="21" t="str">
        <x:v>F43-I2</x:v>
      </x:c>
      <x:c r="D1194" s="21" t="str">
        <x:v>F43</x:v>
      </x:c>
      <x:c r="E1194" s="21" t="str">
        <x:v>B4</x:v>
      </x:c>
      <x:c r="F1194" s="21" t="str">
        <x:v>Trial</x:v>
      </x:c>
      <x:c r="G1194" s="21" t="str">
        <x:v>0.0.0</x:v>
      </x:c>
      <x:c r="H1194" s="21" t="str">
        <x:v>Independent Evidence and Data Authority</x:v>
      </x:c>
      <x:c r="I1194" s="21" t="str">
        <x:v>OPEN</x:v>
      </x:c>
      <x:c r="J1194" s="21" t="str">
        <x:v>HOLD</x:v>
      </x:c>
      <x:c r="K1194" s="23" t="str">
        <x:v>what configuration method and damage world produced evidence must be accepted before downstream release</x:v>
      </x:c>
    </x:row>
    <x:row r="1195">
      <x:c r="B1195" s="21" t="str">
        <x:v>BL-01189</x:v>
      </x:c>
      <x:c r="C1195" s="21" t="str">
        <x:v>F43-I2</x:v>
      </x:c>
      <x:c r="D1195" s="21" t="str">
        <x:v>F43</x:v>
      </x:c>
      <x:c r="E1195" s="21" t="str">
        <x:v>B5</x:v>
      </x:c>
      <x:c r="F1195" s="21" t="str">
        <x:v>Production</x:v>
      </x:c>
      <x:c r="G1195" s="21" t="str">
        <x:v>0.0.0</x:v>
      </x:c>
      <x:c r="H1195" s="21" t="str">
        <x:v>Independent Evidence and Data Authority</x:v>
      </x:c>
      <x:c r="I1195" s="21" t="str">
        <x:v>OPEN</x:v>
      </x:c>
      <x:c r="J1195" s="21" t="str">
        <x:v>HOLD</x:v>
      </x:c>
      <x:c r="K1195" s="23" t="str">
        <x:v>what process configuration and acceptance define serial output must be accepted before downstream release</x:v>
      </x:c>
    </x:row>
    <x:row r="1196">
      <x:c r="B1196" s="21" t="str">
        <x:v>BL-01190</x:v>
      </x:c>
      <x:c r="C1196" s="21" t="str">
        <x:v>F43-I2</x:v>
      </x:c>
      <x:c r="D1196" s="21" t="str">
        <x:v>F43</x:v>
      </x:c>
      <x:c r="E1196" s="21" t="str">
        <x:v>B6</x:v>
      </x:c>
      <x:c r="F1196" s="21" t="str">
        <x:v>Mobilization</x:v>
      </x:c>
      <x:c r="G1196" s="21" t="str">
        <x:v>0.0.0</x:v>
      </x:c>
      <x:c r="H1196" s="21" t="str">
        <x:v>Independent Evidence and Data Authority</x:v>
      </x:c>
      <x:c r="I1196" s="21" t="str">
        <x:v>OPEN</x:v>
      </x:c>
      <x:c r="J1196" s="21" t="str">
        <x:v>HOLD</x:v>
      </x:c>
      <x:c r="K1196" s="23" t="str">
        <x:v>what people tools suppliers and routes reproduce conforming service must be accepted before downstream release</x:v>
      </x:c>
    </x:row>
    <x:row r="1197">
      <x:c r="B1197" s="21" t="str">
        <x:v>BL-01191</x:v>
      </x:c>
      <x:c r="C1197" s="21" t="str">
        <x:v>F43-I3</x:v>
      </x:c>
      <x:c r="D1197" s="21" t="str">
        <x:v>F43</x:v>
      </x:c>
      <x:c r="E1197" s="21" t="str">
        <x:v>B0</x:v>
      </x:c>
      <x:c r="F1197" s="21" t="str">
        <x:v>Effect</x:v>
      </x:c>
      <x:c r="G1197" s="21" t="str">
        <x:v>0.0.0</x:v>
      </x:c>
      <x:c r="H1197" s="21" t="str">
        <x:v>Independent Evidence and Data Authority</x:v>
      </x:c>
      <x:c r="I1197" s="21" t="str">
        <x:v>OPEN</x:v>
      </x:c>
      <x:c r="J1197" s="21" t="str">
        <x:v>HOLD</x:v>
      </x:c>
      <x:c r="K1197" s="23" t="str">
        <x:v>what public condition must exist must be accepted before downstream release</x:v>
      </x:c>
    </x:row>
    <x:row r="1198">
      <x:c r="B1198" s="21" t="str">
        <x:v>BL-01192</x:v>
      </x:c>
      <x:c r="C1198" s="21" t="str">
        <x:v>F43-I3</x:v>
      </x:c>
      <x:c r="D1198" s="21" t="str">
        <x:v>F43</x:v>
      </x:c>
      <x:c r="E1198" s="21" t="str">
        <x:v>B1</x:v>
      </x:c>
      <x:c r="F1198" s="21" t="str">
        <x:v>Requirements</x:v>
      </x:c>
      <x:c r="G1198" s="21" t="str">
        <x:v>0.0.0</x:v>
      </x:c>
      <x:c r="H1198" s="21" t="str">
        <x:v>Independent Evidence and Data Authority</x:v>
      </x:c>
      <x:c r="I1198" s="21" t="str">
        <x:v>OPEN</x:v>
      </x:c>
      <x:c r="J1198" s="21" t="str">
        <x:v>HOLD</x:v>
      </x:c>
      <x:c r="K1198" s="23" t="str">
        <x:v>what burdens and invalid states bound the effect must be accepted before downstream release</x:v>
      </x:c>
    </x:row>
    <x:row r="1199">
      <x:c r="B1199" s="21" t="str">
        <x:v>BL-01193</x:v>
      </x:c>
      <x:c r="C1199" s="21" t="str">
        <x:v>F43-I3</x:v>
      </x:c>
      <x:c r="D1199" s="21" t="str">
        <x:v>F43</x:v>
      </x:c>
      <x:c r="E1199" s="21" t="str">
        <x:v>B2</x:v>
      </x:c>
      <x:c r="F1199" s="21" t="str">
        <x:v>Architecture</x:v>
      </x:c>
      <x:c r="G1199" s="21" t="str">
        <x:v>0.0.0</x:v>
      </x:c>
      <x:c r="H1199" s="21" t="str">
        <x:v>Independent Evidence and Data Authority</x:v>
      </x:c>
      <x:c r="I1199" s="21" t="str">
        <x:v>OPEN</x:v>
      </x:c>
      <x:c r="J1199" s="21" t="str">
        <x:v>HOLD</x:v>
      </x:c>
      <x:c r="K1199" s="23" t="str">
        <x:v>what interfaces and budgets govern the system must be accepted before downstream release</x:v>
      </x:c>
    </x:row>
    <x:row r="1200">
      <x:c r="B1200" s="21" t="str">
        <x:v>BL-01194</x:v>
      </x:c>
      <x:c r="C1200" s="21" t="str">
        <x:v>F43-I3</x:v>
      </x:c>
      <x:c r="D1200" s="21" t="str">
        <x:v>F43</x:v>
      </x:c>
      <x:c r="E1200" s="21" t="str">
        <x:v>B3</x:v>
      </x:c>
      <x:c r="F1200" s="21" t="str">
        <x:v>Build</x:v>
      </x:c>
      <x:c r="G1200" s="21" t="str">
        <x:v>0.0.0</x:v>
      </x:c>
      <x:c r="H1200" s="21" t="str">
        <x:v>Independent Evidence and Data Authority</x:v>
      </x:c>
      <x:c r="I1200" s="21" t="str">
        <x:v>OPEN</x:v>
      </x:c>
      <x:c r="J1200" s="21" t="str">
        <x:v>HOLD</x:v>
      </x:c>
      <x:c r="K1200" s="23" t="str">
        <x:v>what exact configuration produced the article must be accepted before downstream release</x:v>
      </x:c>
    </x:row>
    <x:row r="1201">
      <x:c r="B1201" s="21" t="str">
        <x:v>BL-01195</x:v>
      </x:c>
      <x:c r="C1201" s="21" t="str">
        <x:v>F43-I3</x:v>
      </x:c>
      <x:c r="D1201" s="21" t="str">
        <x:v>F43</x:v>
      </x:c>
      <x:c r="E1201" s="21" t="str">
        <x:v>B4</x:v>
      </x:c>
      <x:c r="F1201" s="21" t="str">
        <x:v>Trial</x:v>
      </x:c>
      <x:c r="G1201" s="21" t="str">
        <x:v>0.0.0</x:v>
      </x:c>
      <x:c r="H1201" s="21" t="str">
        <x:v>Independent Evidence and Data Authority</x:v>
      </x:c>
      <x:c r="I1201" s="21" t="str">
        <x:v>OPEN</x:v>
      </x:c>
      <x:c r="J1201" s="21" t="str">
        <x:v>HOLD</x:v>
      </x:c>
      <x:c r="K1201" s="23" t="str">
        <x:v>what configuration method and damage world produced evidence must be accepted before downstream release</x:v>
      </x:c>
    </x:row>
    <x:row r="1202">
      <x:c r="B1202" s="21" t="str">
        <x:v>BL-01196</x:v>
      </x:c>
      <x:c r="C1202" s="21" t="str">
        <x:v>F43-I3</x:v>
      </x:c>
      <x:c r="D1202" s="21" t="str">
        <x:v>F43</x:v>
      </x:c>
      <x:c r="E1202" s="21" t="str">
        <x:v>B5</x:v>
      </x:c>
      <x:c r="F1202" s="21" t="str">
        <x:v>Production</x:v>
      </x:c>
      <x:c r="G1202" s="21" t="str">
        <x:v>0.0.0</x:v>
      </x:c>
      <x:c r="H1202" s="21" t="str">
        <x:v>Independent Evidence and Data Authority</x:v>
      </x:c>
      <x:c r="I1202" s="21" t="str">
        <x:v>OPEN</x:v>
      </x:c>
      <x:c r="J1202" s="21" t="str">
        <x:v>HOLD</x:v>
      </x:c>
      <x:c r="K1202" s="23" t="str">
        <x:v>what process configuration and acceptance define serial output must be accepted before downstream release</x:v>
      </x:c>
    </x:row>
    <x:row r="1203">
      <x:c r="B1203" s="21" t="str">
        <x:v>BL-01197</x:v>
      </x:c>
      <x:c r="C1203" s="21" t="str">
        <x:v>F43-I3</x:v>
      </x:c>
      <x:c r="D1203" s="21" t="str">
        <x:v>F43</x:v>
      </x:c>
      <x:c r="E1203" s="21" t="str">
        <x:v>B6</x:v>
      </x:c>
      <x:c r="F1203" s="21" t="str">
        <x:v>Mobilization</x:v>
      </x:c>
      <x:c r="G1203" s="21" t="str">
        <x:v>0.0.0</x:v>
      </x:c>
      <x:c r="H1203" s="21" t="str">
        <x:v>Independent Evidence and Data Authority</x:v>
      </x:c>
      <x:c r="I1203" s="21" t="str">
        <x:v>OPEN</x:v>
      </x:c>
      <x:c r="J1203" s="21" t="str">
        <x:v>HOLD</x:v>
      </x:c>
      <x:c r="K1203" s="23" t="str">
        <x:v>what people tools suppliers and routes reproduce conforming service must be accepted before downstream release</x:v>
      </x:c>
    </x:row>
    <x:row r="1204">
      <x:c r="B1204" s="21" t="str">
        <x:v>BL-01198</x:v>
      </x:c>
      <x:c r="C1204" s="21" t="str">
        <x:v>F43-I4</x:v>
      </x:c>
      <x:c r="D1204" s="21" t="str">
        <x:v>F43</x:v>
      </x:c>
      <x:c r="E1204" s="21" t="str">
        <x:v>B0</x:v>
      </x:c>
      <x:c r="F1204" s="21" t="str">
        <x:v>Effect</x:v>
      </x:c>
      <x:c r="G1204" s="21" t="str">
        <x:v>0.0.0</x:v>
      </x:c>
      <x:c r="H1204" s="21" t="str">
        <x:v>Independent Evidence and Data Authority</x:v>
      </x:c>
      <x:c r="I1204" s="21" t="str">
        <x:v>OPEN</x:v>
      </x:c>
      <x:c r="J1204" s="21" t="str">
        <x:v>HOLD</x:v>
      </x:c>
      <x:c r="K1204" s="23" t="str">
        <x:v>what public condition must exist must be accepted before downstream release</x:v>
      </x:c>
    </x:row>
    <x:row r="1205">
      <x:c r="B1205" s="21" t="str">
        <x:v>BL-01199</x:v>
      </x:c>
      <x:c r="C1205" s="21" t="str">
        <x:v>F43-I4</x:v>
      </x:c>
      <x:c r="D1205" s="21" t="str">
        <x:v>F43</x:v>
      </x:c>
      <x:c r="E1205" s="21" t="str">
        <x:v>B1</x:v>
      </x:c>
      <x:c r="F1205" s="21" t="str">
        <x:v>Requirements</x:v>
      </x:c>
      <x:c r="G1205" s="21" t="str">
        <x:v>0.0.0</x:v>
      </x:c>
      <x:c r="H1205" s="21" t="str">
        <x:v>Independent Evidence and Data Authority</x:v>
      </x:c>
      <x:c r="I1205" s="21" t="str">
        <x:v>OPEN</x:v>
      </x:c>
      <x:c r="J1205" s="21" t="str">
        <x:v>HOLD</x:v>
      </x:c>
      <x:c r="K1205" s="23" t="str">
        <x:v>what burdens and invalid states bound the effect must be accepted before downstream release</x:v>
      </x:c>
    </x:row>
    <x:row r="1206">
      <x:c r="B1206" s="21" t="str">
        <x:v>BL-01200</x:v>
      </x:c>
      <x:c r="C1206" s="21" t="str">
        <x:v>F43-I4</x:v>
      </x:c>
      <x:c r="D1206" s="21" t="str">
        <x:v>F43</x:v>
      </x:c>
      <x:c r="E1206" s="21" t="str">
        <x:v>B2</x:v>
      </x:c>
      <x:c r="F1206" s="21" t="str">
        <x:v>Architecture</x:v>
      </x:c>
      <x:c r="G1206" s="21" t="str">
        <x:v>0.0.0</x:v>
      </x:c>
      <x:c r="H1206" s="21" t="str">
        <x:v>Independent Evidence and Data Authority</x:v>
      </x:c>
      <x:c r="I1206" s="21" t="str">
        <x:v>OPEN</x:v>
      </x:c>
      <x:c r="J1206" s="21" t="str">
        <x:v>HOLD</x:v>
      </x:c>
      <x:c r="K1206" s="23" t="str">
        <x:v>what interfaces and budgets govern the system must be accepted before downstream release</x:v>
      </x:c>
    </x:row>
    <x:row r="1207">
      <x:c r="B1207" s="21" t="str">
        <x:v>BL-01201</x:v>
      </x:c>
      <x:c r="C1207" s="21" t="str">
        <x:v>F43-I4</x:v>
      </x:c>
      <x:c r="D1207" s="21" t="str">
        <x:v>F43</x:v>
      </x:c>
      <x:c r="E1207" s="21" t="str">
        <x:v>B3</x:v>
      </x:c>
      <x:c r="F1207" s="21" t="str">
        <x:v>Build</x:v>
      </x:c>
      <x:c r="G1207" s="21" t="str">
        <x:v>0.0.0</x:v>
      </x:c>
      <x:c r="H1207" s="21" t="str">
        <x:v>Independent Evidence and Data Authority</x:v>
      </x:c>
      <x:c r="I1207" s="21" t="str">
        <x:v>OPEN</x:v>
      </x:c>
      <x:c r="J1207" s="21" t="str">
        <x:v>HOLD</x:v>
      </x:c>
      <x:c r="K1207" s="23" t="str">
        <x:v>what exact configuration produced the article must be accepted before downstream release</x:v>
      </x:c>
    </x:row>
    <x:row r="1208">
      <x:c r="B1208" s="21" t="str">
        <x:v>BL-01202</x:v>
      </x:c>
      <x:c r="C1208" s="21" t="str">
        <x:v>F43-I4</x:v>
      </x:c>
      <x:c r="D1208" s="21" t="str">
        <x:v>F43</x:v>
      </x:c>
      <x:c r="E1208" s="21" t="str">
        <x:v>B4</x:v>
      </x:c>
      <x:c r="F1208" s="21" t="str">
        <x:v>Trial</x:v>
      </x:c>
      <x:c r="G1208" s="21" t="str">
        <x:v>0.0.0</x:v>
      </x:c>
      <x:c r="H1208" s="21" t="str">
        <x:v>Independent Evidence and Data Authority</x:v>
      </x:c>
      <x:c r="I1208" s="21" t="str">
        <x:v>OPEN</x:v>
      </x:c>
      <x:c r="J1208" s="21" t="str">
        <x:v>HOLD</x:v>
      </x:c>
      <x:c r="K1208" s="23" t="str">
        <x:v>what configuration method and damage world produced evidence must be accepted before downstream release</x:v>
      </x:c>
    </x:row>
    <x:row r="1209">
      <x:c r="B1209" s="21" t="str">
        <x:v>BL-01203</x:v>
      </x:c>
      <x:c r="C1209" s="21" t="str">
        <x:v>F43-I4</x:v>
      </x:c>
      <x:c r="D1209" s="21" t="str">
        <x:v>F43</x:v>
      </x:c>
      <x:c r="E1209" s="21" t="str">
        <x:v>B5</x:v>
      </x:c>
      <x:c r="F1209" s="21" t="str">
        <x:v>Production</x:v>
      </x:c>
      <x:c r="G1209" s="21" t="str">
        <x:v>0.0.0</x:v>
      </x:c>
      <x:c r="H1209" s="21" t="str">
        <x:v>Independent Evidence and Data Authority</x:v>
      </x:c>
      <x:c r="I1209" s="21" t="str">
        <x:v>OPEN</x:v>
      </x:c>
      <x:c r="J1209" s="21" t="str">
        <x:v>HOLD</x:v>
      </x:c>
      <x:c r="K1209" s="23" t="str">
        <x:v>what process configuration and acceptance define serial output must be accepted before downstream release</x:v>
      </x:c>
    </x:row>
    <x:row r="1210">
      <x:c r="B1210" s="21" t="str">
        <x:v>BL-01204</x:v>
      </x:c>
      <x:c r="C1210" s="21" t="str">
        <x:v>F43-I4</x:v>
      </x:c>
      <x:c r="D1210" s="21" t="str">
        <x:v>F43</x:v>
      </x:c>
      <x:c r="E1210" s="21" t="str">
        <x:v>B6</x:v>
      </x:c>
      <x:c r="F1210" s="21" t="str">
        <x:v>Mobilization</x:v>
      </x:c>
      <x:c r="G1210" s="21" t="str">
        <x:v>0.0.0</x:v>
      </x:c>
      <x:c r="H1210" s="21" t="str">
        <x:v>Independent Evidence and Data Authority</x:v>
      </x:c>
      <x:c r="I1210" s="21" t="str">
        <x:v>OPEN</x:v>
      </x:c>
      <x:c r="J1210" s="21" t="str">
        <x:v>HOLD</x:v>
      </x:c>
      <x:c r="K1210" s="23" t="str">
        <x:v>what people tools suppliers and routes reproduce conforming service must be accepted before downstream release</x:v>
      </x:c>
    </x:row>
    <x:row r="1211">
      <x:c r="B1211" s="21" t="str">
        <x:v>BL-01205</x:v>
      </x:c>
      <x:c r="C1211" s="21" t="str">
        <x:v>F44-I1</x:v>
      </x:c>
      <x:c r="D1211" s="21" t="str">
        <x:v>F44</x:v>
      </x:c>
      <x:c r="E1211" s="21" t="str">
        <x:v>B0</x:v>
      </x:c>
      <x:c r="F1211" s="21" t="str">
        <x:v>Effect</x:v>
      </x:c>
      <x:c r="G1211" s="21" t="str">
        <x:v>0.0.0</x:v>
      </x:c>
      <x:c r="H1211" s="21" t="str">
        <x:v>Independent Evidence and Data Authority</x:v>
      </x:c>
      <x:c r="I1211" s="21" t="str">
        <x:v>OPEN</x:v>
      </x:c>
      <x:c r="J1211" s="21" t="str">
        <x:v>HOLD</x:v>
      </x:c>
      <x:c r="K1211" s="23" t="str">
        <x:v>what public condition must exist must be accepted before downstream release</x:v>
      </x:c>
    </x:row>
    <x:row r="1212">
      <x:c r="B1212" s="21" t="str">
        <x:v>BL-01206</x:v>
      </x:c>
      <x:c r="C1212" s="21" t="str">
        <x:v>F44-I1</x:v>
      </x:c>
      <x:c r="D1212" s="21" t="str">
        <x:v>F44</x:v>
      </x:c>
      <x:c r="E1212" s="21" t="str">
        <x:v>B1</x:v>
      </x:c>
      <x:c r="F1212" s="21" t="str">
        <x:v>Requirements</x:v>
      </x:c>
      <x:c r="G1212" s="21" t="str">
        <x:v>0.0.0</x:v>
      </x:c>
      <x:c r="H1212" s="21" t="str">
        <x:v>Independent Evidence and Data Authority</x:v>
      </x:c>
      <x:c r="I1212" s="21" t="str">
        <x:v>OPEN</x:v>
      </x:c>
      <x:c r="J1212" s="21" t="str">
        <x:v>HOLD</x:v>
      </x:c>
      <x:c r="K1212" s="23" t="str">
        <x:v>what burdens and invalid states bound the effect must be accepted before downstream release</x:v>
      </x:c>
    </x:row>
    <x:row r="1213">
      <x:c r="B1213" s="21" t="str">
        <x:v>BL-01207</x:v>
      </x:c>
      <x:c r="C1213" s="21" t="str">
        <x:v>F44-I1</x:v>
      </x:c>
      <x:c r="D1213" s="21" t="str">
        <x:v>F44</x:v>
      </x:c>
      <x:c r="E1213" s="21" t="str">
        <x:v>B2</x:v>
      </x:c>
      <x:c r="F1213" s="21" t="str">
        <x:v>Architecture</x:v>
      </x:c>
      <x:c r="G1213" s="21" t="str">
        <x:v>0.0.0</x:v>
      </x:c>
      <x:c r="H1213" s="21" t="str">
        <x:v>Independent Evidence and Data Authority</x:v>
      </x:c>
      <x:c r="I1213" s="21" t="str">
        <x:v>OPEN</x:v>
      </x:c>
      <x:c r="J1213" s="21" t="str">
        <x:v>HOLD</x:v>
      </x:c>
      <x:c r="K1213" s="23" t="str">
        <x:v>what interfaces and budgets govern the system must be accepted before downstream release</x:v>
      </x:c>
    </x:row>
    <x:row r="1214">
      <x:c r="B1214" s="21" t="str">
        <x:v>BL-01208</x:v>
      </x:c>
      <x:c r="C1214" s="21" t="str">
        <x:v>F44-I1</x:v>
      </x:c>
      <x:c r="D1214" s="21" t="str">
        <x:v>F44</x:v>
      </x:c>
      <x:c r="E1214" s="21" t="str">
        <x:v>B3</x:v>
      </x:c>
      <x:c r="F1214" s="21" t="str">
        <x:v>Build</x:v>
      </x:c>
      <x:c r="G1214" s="21" t="str">
        <x:v>0.0.0</x:v>
      </x:c>
      <x:c r="H1214" s="21" t="str">
        <x:v>Independent Evidence and Data Authority</x:v>
      </x:c>
      <x:c r="I1214" s="21" t="str">
        <x:v>OPEN</x:v>
      </x:c>
      <x:c r="J1214" s="21" t="str">
        <x:v>HOLD</x:v>
      </x:c>
      <x:c r="K1214" s="23" t="str">
        <x:v>what exact configuration produced the article must be accepted before downstream release</x:v>
      </x:c>
    </x:row>
    <x:row r="1215">
      <x:c r="B1215" s="21" t="str">
        <x:v>BL-01209</x:v>
      </x:c>
      <x:c r="C1215" s="21" t="str">
        <x:v>F44-I1</x:v>
      </x:c>
      <x:c r="D1215" s="21" t="str">
        <x:v>F44</x:v>
      </x:c>
      <x:c r="E1215" s="21" t="str">
        <x:v>B4</x:v>
      </x:c>
      <x:c r="F1215" s="21" t="str">
        <x:v>Trial</x:v>
      </x:c>
      <x:c r="G1215" s="21" t="str">
        <x:v>0.0.0</x:v>
      </x:c>
      <x:c r="H1215" s="21" t="str">
        <x:v>Independent Evidence and Data Authority</x:v>
      </x:c>
      <x:c r="I1215" s="21" t="str">
        <x:v>OPEN</x:v>
      </x:c>
      <x:c r="J1215" s="21" t="str">
        <x:v>HOLD</x:v>
      </x:c>
      <x:c r="K1215" s="23" t="str">
        <x:v>what configuration method and damage world produced evidence must be accepted before downstream release</x:v>
      </x:c>
    </x:row>
    <x:row r="1216">
      <x:c r="B1216" s="21" t="str">
        <x:v>BL-01210</x:v>
      </x:c>
      <x:c r="C1216" s="21" t="str">
        <x:v>F44-I1</x:v>
      </x:c>
      <x:c r="D1216" s="21" t="str">
        <x:v>F44</x:v>
      </x:c>
      <x:c r="E1216" s="21" t="str">
        <x:v>B5</x:v>
      </x:c>
      <x:c r="F1216" s="21" t="str">
        <x:v>Production</x:v>
      </x:c>
      <x:c r="G1216" s="21" t="str">
        <x:v>0.0.0</x:v>
      </x:c>
      <x:c r="H1216" s="21" t="str">
        <x:v>Independent Evidence and Data Authority</x:v>
      </x:c>
      <x:c r="I1216" s="21" t="str">
        <x:v>OPEN</x:v>
      </x:c>
      <x:c r="J1216" s="21" t="str">
        <x:v>HOLD</x:v>
      </x:c>
      <x:c r="K1216" s="23" t="str">
        <x:v>what process configuration and acceptance define serial output must be accepted before downstream release</x:v>
      </x:c>
    </x:row>
    <x:row r="1217">
      <x:c r="B1217" s="21" t="str">
        <x:v>BL-01211</x:v>
      </x:c>
      <x:c r="C1217" s="21" t="str">
        <x:v>F44-I1</x:v>
      </x:c>
      <x:c r="D1217" s="21" t="str">
        <x:v>F44</x:v>
      </x:c>
      <x:c r="E1217" s="21" t="str">
        <x:v>B6</x:v>
      </x:c>
      <x:c r="F1217" s="21" t="str">
        <x:v>Mobilization</x:v>
      </x:c>
      <x:c r="G1217" s="21" t="str">
        <x:v>0.0.0</x:v>
      </x:c>
      <x:c r="H1217" s="21" t="str">
        <x:v>Independent Evidence and Data Authority</x:v>
      </x:c>
      <x:c r="I1217" s="21" t="str">
        <x:v>OPEN</x:v>
      </x:c>
      <x:c r="J1217" s="21" t="str">
        <x:v>HOLD</x:v>
      </x:c>
      <x:c r="K1217" s="23" t="str">
        <x:v>what people tools suppliers and routes reproduce conforming service must be accepted before downstream release</x:v>
      </x:c>
    </x:row>
    <x:row r="1218">
      <x:c r="B1218" s="21" t="str">
        <x:v>BL-01212</x:v>
      </x:c>
      <x:c r="C1218" s="21" t="str">
        <x:v>F44-I2</x:v>
      </x:c>
      <x:c r="D1218" s="21" t="str">
        <x:v>F44</x:v>
      </x:c>
      <x:c r="E1218" s="21" t="str">
        <x:v>B0</x:v>
      </x:c>
      <x:c r="F1218" s="21" t="str">
        <x:v>Effect</x:v>
      </x:c>
      <x:c r="G1218" s="21" t="str">
        <x:v>0.0.0</x:v>
      </x:c>
      <x:c r="H1218" s="21" t="str">
        <x:v>Independent Evidence and Data Authority</x:v>
      </x:c>
      <x:c r="I1218" s="21" t="str">
        <x:v>OPEN</x:v>
      </x:c>
      <x:c r="J1218" s="21" t="str">
        <x:v>HOLD</x:v>
      </x:c>
      <x:c r="K1218" s="23" t="str">
        <x:v>what public condition must exist must be accepted before downstream release</x:v>
      </x:c>
    </x:row>
    <x:row r="1219">
      <x:c r="B1219" s="21" t="str">
        <x:v>BL-01213</x:v>
      </x:c>
      <x:c r="C1219" s="21" t="str">
        <x:v>F44-I2</x:v>
      </x:c>
      <x:c r="D1219" s="21" t="str">
        <x:v>F44</x:v>
      </x:c>
      <x:c r="E1219" s="21" t="str">
        <x:v>B1</x:v>
      </x:c>
      <x:c r="F1219" s="21" t="str">
        <x:v>Requirements</x:v>
      </x:c>
      <x:c r="G1219" s="21" t="str">
        <x:v>0.0.0</x:v>
      </x:c>
      <x:c r="H1219" s="21" t="str">
        <x:v>Independent Evidence and Data Authority</x:v>
      </x:c>
      <x:c r="I1219" s="21" t="str">
        <x:v>OPEN</x:v>
      </x:c>
      <x:c r="J1219" s="21" t="str">
        <x:v>HOLD</x:v>
      </x:c>
      <x:c r="K1219" s="23" t="str">
        <x:v>what burdens and invalid states bound the effect must be accepted before downstream release</x:v>
      </x:c>
    </x:row>
    <x:row r="1220">
      <x:c r="B1220" s="21" t="str">
        <x:v>BL-01214</x:v>
      </x:c>
      <x:c r="C1220" s="21" t="str">
        <x:v>F44-I2</x:v>
      </x:c>
      <x:c r="D1220" s="21" t="str">
        <x:v>F44</x:v>
      </x:c>
      <x:c r="E1220" s="21" t="str">
        <x:v>B2</x:v>
      </x:c>
      <x:c r="F1220" s="21" t="str">
        <x:v>Architecture</x:v>
      </x:c>
      <x:c r="G1220" s="21" t="str">
        <x:v>0.0.0</x:v>
      </x:c>
      <x:c r="H1220" s="21" t="str">
        <x:v>Independent Evidence and Data Authority</x:v>
      </x:c>
      <x:c r="I1220" s="21" t="str">
        <x:v>OPEN</x:v>
      </x:c>
      <x:c r="J1220" s="21" t="str">
        <x:v>HOLD</x:v>
      </x:c>
      <x:c r="K1220" s="23" t="str">
        <x:v>what interfaces and budgets govern the system must be accepted before downstream release</x:v>
      </x:c>
    </x:row>
    <x:row r="1221">
      <x:c r="B1221" s="21" t="str">
        <x:v>BL-01215</x:v>
      </x:c>
      <x:c r="C1221" s="21" t="str">
        <x:v>F44-I2</x:v>
      </x:c>
      <x:c r="D1221" s="21" t="str">
        <x:v>F44</x:v>
      </x:c>
      <x:c r="E1221" s="21" t="str">
        <x:v>B3</x:v>
      </x:c>
      <x:c r="F1221" s="21" t="str">
        <x:v>Build</x:v>
      </x:c>
      <x:c r="G1221" s="21" t="str">
        <x:v>0.0.0</x:v>
      </x:c>
      <x:c r="H1221" s="21" t="str">
        <x:v>Independent Evidence and Data Authority</x:v>
      </x:c>
      <x:c r="I1221" s="21" t="str">
        <x:v>OPEN</x:v>
      </x:c>
      <x:c r="J1221" s="21" t="str">
        <x:v>HOLD</x:v>
      </x:c>
      <x:c r="K1221" s="23" t="str">
        <x:v>what exact configuration produced the article must be accepted before downstream release</x:v>
      </x:c>
    </x:row>
    <x:row r="1222">
      <x:c r="B1222" s="21" t="str">
        <x:v>BL-01216</x:v>
      </x:c>
      <x:c r="C1222" s="21" t="str">
        <x:v>F44-I2</x:v>
      </x:c>
      <x:c r="D1222" s="21" t="str">
        <x:v>F44</x:v>
      </x:c>
      <x:c r="E1222" s="21" t="str">
        <x:v>B4</x:v>
      </x:c>
      <x:c r="F1222" s="21" t="str">
        <x:v>Trial</x:v>
      </x:c>
      <x:c r="G1222" s="21" t="str">
        <x:v>0.0.0</x:v>
      </x:c>
      <x:c r="H1222" s="21" t="str">
        <x:v>Independent Evidence and Data Authority</x:v>
      </x:c>
      <x:c r="I1222" s="21" t="str">
        <x:v>OPEN</x:v>
      </x:c>
      <x:c r="J1222" s="21" t="str">
        <x:v>HOLD</x:v>
      </x:c>
      <x:c r="K1222" s="23" t="str">
        <x:v>what configuration method and damage world produced evidence must be accepted before downstream release</x:v>
      </x:c>
    </x:row>
    <x:row r="1223">
      <x:c r="B1223" s="21" t="str">
        <x:v>BL-01217</x:v>
      </x:c>
      <x:c r="C1223" s="21" t="str">
        <x:v>F44-I2</x:v>
      </x:c>
      <x:c r="D1223" s="21" t="str">
        <x:v>F44</x:v>
      </x:c>
      <x:c r="E1223" s="21" t="str">
        <x:v>B5</x:v>
      </x:c>
      <x:c r="F1223" s="21" t="str">
        <x:v>Production</x:v>
      </x:c>
      <x:c r="G1223" s="21" t="str">
        <x:v>0.0.0</x:v>
      </x:c>
      <x:c r="H1223" s="21" t="str">
        <x:v>Independent Evidence and Data Authority</x:v>
      </x:c>
      <x:c r="I1223" s="21" t="str">
        <x:v>OPEN</x:v>
      </x:c>
      <x:c r="J1223" s="21" t="str">
        <x:v>HOLD</x:v>
      </x:c>
      <x:c r="K1223" s="23" t="str">
        <x:v>what process configuration and acceptance define serial output must be accepted before downstream release</x:v>
      </x:c>
    </x:row>
    <x:row r="1224">
      <x:c r="B1224" s="21" t="str">
        <x:v>BL-01218</x:v>
      </x:c>
      <x:c r="C1224" s="21" t="str">
        <x:v>F44-I2</x:v>
      </x:c>
      <x:c r="D1224" s="21" t="str">
        <x:v>F44</x:v>
      </x:c>
      <x:c r="E1224" s="21" t="str">
        <x:v>B6</x:v>
      </x:c>
      <x:c r="F1224" s="21" t="str">
        <x:v>Mobilization</x:v>
      </x:c>
      <x:c r="G1224" s="21" t="str">
        <x:v>0.0.0</x:v>
      </x:c>
      <x:c r="H1224" s="21" t="str">
        <x:v>Independent Evidence and Data Authority</x:v>
      </x:c>
      <x:c r="I1224" s="21" t="str">
        <x:v>OPEN</x:v>
      </x:c>
      <x:c r="J1224" s="21" t="str">
        <x:v>HOLD</x:v>
      </x:c>
      <x:c r="K1224" s="23" t="str">
        <x:v>what people tools suppliers and routes reproduce conforming service must be accepted before downstream release</x:v>
      </x:c>
    </x:row>
    <x:row r="1225">
      <x:c r="B1225" s="21" t="str">
        <x:v>BL-01219</x:v>
      </x:c>
      <x:c r="C1225" s="21" t="str">
        <x:v>F44-I3</x:v>
      </x:c>
      <x:c r="D1225" s="21" t="str">
        <x:v>F44</x:v>
      </x:c>
      <x:c r="E1225" s="21" t="str">
        <x:v>B0</x:v>
      </x:c>
      <x:c r="F1225" s="21" t="str">
        <x:v>Effect</x:v>
      </x:c>
      <x:c r="G1225" s="21" t="str">
        <x:v>0.0.0</x:v>
      </x:c>
      <x:c r="H1225" s="21" t="str">
        <x:v>Independent Evidence and Data Authority</x:v>
      </x:c>
      <x:c r="I1225" s="21" t="str">
        <x:v>OPEN</x:v>
      </x:c>
      <x:c r="J1225" s="21" t="str">
        <x:v>HOLD</x:v>
      </x:c>
      <x:c r="K1225" s="23" t="str">
        <x:v>what public condition must exist must be accepted before downstream release</x:v>
      </x:c>
    </x:row>
    <x:row r="1226">
      <x:c r="B1226" s="21" t="str">
        <x:v>BL-01220</x:v>
      </x:c>
      <x:c r="C1226" s="21" t="str">
        <x:v>F44-I3</x:v>
      </x:c>
      <x:c r="D1226" s="21" t="str">
        <x:v>F44</x:v>
      </x:c>
      <x:c r="E1226" s="21" t="str">
        <x:v>B1</x:v>
      </x:c>
      <x:c r="F1226" s="21" t="str">
        <x:v>Requirements</x:v>
      </x:c>
      <x:c r="G1226" s="21" t="str">
        <x:v>0.0.0</x:v>
      </x:c>
      <x:c r="H1226" s="21" t="str">
        <x:v>Independent Evidence and Data Authority</x:v>
      </x:c>
      <x:c r="I1226" s="21" t="str">
        <x:v>OPEN</x:v>
      </x:c>
      <x:c r="J1226" s="21" t="str">
        <x:v>HOLD</x:v>
      </x:c>
      <x:c r="K1226" s="23" t="str">
        <x:v>what burdens and invalid states bound the effect must be accepted before downstream release</x:v>
      </x:c>
    </x:row>
    <x:row r="1227">
      <x:c r="B1227" s="21" t="str">
        <x:v>BL-01221</x:v>
      </x:c>
      <x:c r="C1227" s="21" t="str">
        <x:v>F44-I3</x:v>
      </x:c>
      <x:c r="D1227" s="21" t="str">
        <x:v>F44</x:v>
      </x:c>
      <x:c r="E1227" s="21" t="str">
        <x:v>B2</x:v>
      </x:c>
      <x:c r="F1227" s="21" t="str">
        <x:v>Architecture</x:v>
      </x:c>
      <x:c r="G1227" s="21" t="str">
        <x:v>0.0.0</x:v>
      </x:c>
      <x:c r="H1227" s="21" t="str">
        <x:v>Independent Evidence and Data Authority</x:v>
      </x:c>
      <x:c r="I1227" s="21" t="str">
        <x:v>OPEN</x:v>
      </x:c>
      <x:c r="J1227" s="21" t="str">
        <x:v>HOLD</x:v>
      </x:c>
      <x:c r="K1227" s="23" t="str">
        <x:v>what interfaces and budgets govern the system must be accepted before downstream release</x:v>
      </x:c>
    </x:row>
    <x:row r="1228">
      <x:c r="B1228" s="21" t="str">
        <x:v>BL-01222</x:v>
      </x:c>
      <x:c r="C1228" s="21" t="str">
        <x:v>F44-I3</x:v>
      </x:c>
      <x:c r="D1228" s="21" t="str">
        <x:v>F44</x:v>
      </x:c>
      <x:c r="E1228" s="21" t="str">
        <x:v>B3</x:v>
      </x:c>
      <x:c r="F1228" s="21" t="str">
        <x:v>Build</x:v>
      </x:c>
      <x:c r="G1228" s="21" t="str">
        <x:v>0.0.0</x:v>
      </x:c>
      <x:c r="H1228" s="21" t="str">
        <x:v>Independent Evidence and Data Authority</x:v>
      </x:c>
      <x:c r="I1228" s="21" t="str">
        <x:v>OPEN</x:v>
      </x:c>
      <x:c r="J1228" s="21" t="str">
        <x:v>HOLD</x:v>
      </x:c>
      <x:c r="K1228" s="23" t="str">
        <x:v>what exact configuration produced the article must be accepted before downstream release</x:v>
      </x:c>
    </x:row>
    <x:row r="1229">
      <x:c r="B1229" s="21" t="str">
        <x:v>BL-01223</x:v>
      </x:c>
      <x:c r="C1229" s="21" t="str">
        <x:v>F44-I3</x:v>
      </x:c>
      <x:c r="D1229" s="21" t="str">
        <x:v>F44</x:v>
      </x:c>
      <x:c r="E1229" s="21" t="str">
        <x:v>B4</x:v>
      </x:c>
      <x:c r="F1229" s="21" t="str">
        <x:v>Trial</x:v>
      </x:c>
      <x:c r="G1229" s="21" t="str">
        <x:v>0.0.0</x:v>
      </x:c>
      <x:c r="H1229" s="21" t="str">
        <x:v>Independent Evidence and Data Authority</x:v>
      </x:c>
      <x:c r="I1229" s="21" t="str">
        <x:v>OPEN</x:v>
      </x:c>
      <x:c r="J1229" s="21" t="str">
        <x:v>HOLD</x:v>
      </x:c>
      <x:c r="K1229" s="23" t="str">
        <x:v>what configuration method and damage world produced evidence must be accepted before downstream release</x:v>
      </x:c>
    </x:row>
    <x:row r="1230">
      <x:c r="B1230" s="21" t="str">
        <x:v>BL-01224</x:v>
      </x:c>
      <x:c r="C1230" s="21" t="str">
        <x:v>F44-I3</x:v>
      </x:c>
      <x:c r="D1230" s="21" t="str">
        <x:v>F44</x:v>
      </x:c>
      <x:c r="E1230" s="21" t="str">
        <x:v>B5</x:v>
      </x:c>
      <x:c r="F1230" s="21" t="str">
        <x:v>Production</x:v>
      </x:c>
      <x:c r="G1230" s="21" t="str">
        <x:v>0.0.0</x:v>
      </x:c>
      <x:c r="H1230" s="21" t="str">
        <x:v>Independent Evidence and Data Authority</x:v>
      </x:c>
      <x:c r="I1230" s="21" t="str">
        <x:v>OPEN</x:v>
      </x:c>
      <x:c r="J1230" s="21" t="str">
        <x:v>HOLD</x:v>
      </x:c>
      <x:c r="K1230" s="23" t="str">
        <x:v>what process configuration and acceptance define serial output must be accepted before downstream release</x:v>
      </x:c>
    </x:row>
    <x:row r="1231">
      <x:c r="B1231" s="21" t="str">
        <x:v>BL-01225</x:v>
      </x:c>
      <x:c r="C1231" s="21" t="str">
        <x:v>F44-I3</x:v>
      </x:c>
      <x:c r="D1231" s="21" t="str">
        <x:v>F44</x:v>
      </x:c>
      <x:c r="E1231" s="21" t="str">
        <x:v>B6</x:v>
      </x:c>
      <x:c r="F1231" s="21" t="str">
        <x:v>Mobilization</x:v>
      </x:c>
      <x:c r="G1231" s="21" t="str">
        <x:v>0.0.0</x:v>
      </x:c>
      <x:c r="H1231" s="21" t="str">
        <x:v>Independent Evidence and Data Authority</x:v>
      </x:c>
      <x:c r="I1231" s="21" t="str">
        <x:v>OPEN</x:v>
      </x:c>
      <x:c r="J1231" s="21" t="str">
        <x:v>HOLD</x:v>
      </x:c>
      <x:c r="K1231" s="23" t="str">
        <x:v>what people tools suppliers and routes reproduce conforming service must be accepted before downstream release</x:v>
      </x:c>
    </x:row>
    <x:row r="1232">
      <x:c r="B1232" s="21" t="str">
        <x:v>BL-01226</x:v>
      </x:c>
      <x:c r="C1232" s="21" t="str">
        <x:v>F44-I4</x:v>
      </x:c>
      <x:c r="D1232" s="21" t="str">
        <x:v>F44</x:v>
      </x:c>
      <x:c r="E1232" s="21" t="str">
        <x:v>B0</x:v>
      </x:c>
      <x:c r="F1232" s="21" t="str">
        <x:v>Effect</x:v>
      </x:c>
      <x:c r="G1232" s="21" t="str">
        <x:v>0.0.0</x:v>
      </x:c>
      <x:c r="H1232" s="21" t="str">
        <x:v>Independent Evidence and Data Authority</x:v>
      </x:c>
      <x:c r="I1232" s="21" t="str">
        <x:v>OPEN</x:v>
      </x:c>
      <x:c r="J1232" s="21" t="str">
        <x:v>HOLD</x:v>
      </x:c>
      <x:c r="K1232" s="23" t="str">
        <x:v>what public condition must exist must be accepted before downstream release</x:v>
      </x:c>
    </x:row>
    <x:row r="1233">
      <x:c r="B1233" s="21" t="str">
        <x:v>BL-01227</x:v>
      </x:c>
      <x:c r="C1233" s="21" t="str">
        <x:v>F44-I4</x:v>
      </x:c>
      <x:c r="D1233" s="21" t="str">
        <x:v>F44</x:v>
      </x:c>
      <x:c r="E1233" s="21" t="str">
        <x:v>B1</x:v>
      </x:c>
      <x:c r="F1233" s="21" t="str">
        <x:v>Requirements</x:v>
      </x:c>
      <x:c r="G1233" s="21" t="str">
        <x:v>0.0.0</x:v>
      </x:c>
      <x:c r="H1233" s="21" t="str">
        <x:v>Independent Evidence and Data Authority</x:v>
      </x:c>
      <x:c r="I1233" s="21" t="str">
        <x:v>OPEN</x:v>
      </x:c>
      <x:c r="J1233" s="21" t="str">
        <x:v>HOLD</x:v>
      </x:c>
      <x:c r="K1233" s="23" t="str">
        <x:v>what burdens and invalid states bound the effect must be accepted before downstream release</x:v>
      </x:c>
    </x:row>
    <x:row r="1234">
      <x:c r="B1234" s="21" t="str">
        <x:v>BL-01228</x:v>
      </x:c>
      <x:c r="C1234" s="21" t="str">
        <x:v>F44-I4</x:v>
      </x:c>
      <x:c r="D1234" s="21" t="str">
        <x:v>F44</x:v>
      </x:c>
      <x:c r="E1234" s="21" t="str">
        <x:v>B2</x:v>
      </x:c>
      <x:c r="F1234" s="21" t="str">
        <x:v>Architecture</x:v>
      </x:c>
      <x:c r="G1234" s="21" t="str">
        <x:v>0.0.0</x:v>
      </x:c>
      <x:c r="H1234" s="21" t="str">
        <x:v>Independent Evidence and Data Authority</x:v>
      </x:c>
      <x:c r="I1234" s="21" t="str">
        <x:v>OPEN</x:v>
      </x:c>
      <x:c r="J1234" s="21" t="str">
        <x:v>HOLD</x:v>
      </x:c>
      <x:c r="K1234" s="23" t="str">
        <x:v>what interfaces and budgets govern the system must be accepted before downstream release</x:v>
      </x:c>
    </x:row>
    <x:row r="1235">
      <x:c r="B1235" s="21" t="str">
        <x:v>BL-01229</x:v>
      </x:c>
      <x:c r="C1235" s="21" t="str">
        <x:v>F44-I4</x:v>
      </x:c>
      <x:c r="D1235" s="21" t="str">
        <x:v>F44</x:v>
      </x:c>
      <x:c r="E1235" s="21" t="str">
        <x:v>B3</x:v>
      </x:c>
      <x:c r="F1235" s="21" t="str">
        <x:v>Build</x:v>
      </x:c>
      <x:c r="G1235" s="21" t="str">
        <x:v>0.0.0</x:v>
      </x:c>
      <x:c r="H1235" s="21" t="str">
        <x:v>Independent Evidence and Data Authority</x:v>
      </x:c>
      <x:c r="I1235" s="21" t="str">
        <x:v>OPEN</x:v>
      </x:c>
      <x:c r="J1235" s="21" t="str">
        <x:v>HOLD</x:v>
      </x:c>
      <x:c r="K1235" s="23" t="str">
        <x:v>what exact configuration produced the article must be accepted before downstream release</x:v>
      </x:c>
    </x:row>
    <x:row r="1236">
      <x:c r="B1236" s="21" t="str">
        <x:v>BL-01230</x:v>
      </x:c>
      <x:c r="C1236" s="21" t="str">
        <x:v>F44-I4</x:v>
      </x:c>
      <x:c r="D1236" s="21" t="str">
        <x:v>F44</x:v>
      </x:c>
      <x:c r="E1236" s="21" t="str">
        <x:v>B4</x:v>
      </x:c>
      <x:c r="F1236" s="21" t="str">
        <x:v>Trial</x:v>
      </x:c>
      <x:c r="G1236" s="21" t="str">
        <x:v>0.0.0</x:v>
      </x:c>
      <x:c r="H1236" s="21" t="str">
        <x:v>Independent Evidence and Data Authority</x:v>
      </x:c>
      <x:c r="I1236" s="21" t="str">
        <x:v>OPEN</x:v>
      </x:c>
      <x:c r="J1236" s="21" t="str">
        <x:v>HOLD</x:v>
      </x:c>
      <x:c r="K1236" s="23" t="str">
        <x:v>what configuration method and damage world produced evidence must be accepted before downstream release</x:v>
      </x:c>
    </x:row>
    <x:row r="1237">
      <x:c r="B1237" s="21" t="str">
        <x:v>BL-01231</x:v>
      </x:c>
      <x:c r="C1237" s="21" t="str">
        <x:v>F44-I4</x:v>
      </x:c>
      <x:c r="D1237" s="21" t="str">
        <x:v>F44</x:v>
      </x:c>
      <x:c r="E1237" s="21" t="str">
        <x:v>B5</x:v>
      </x:c>
      <x:c r="F1237" s="21" t="str">
        <x:v>Production</x:v>
      </x:c>
      <x:c r="G1237" s="21" t="str">
        <x:v>0.0.0</x:v>
      </x:c>
      <x:c r="H1237" s="21" t="str">
        <x:v>Independent Evidence and Data Authority</x:v>
      </x:c>
      <x:c r="I1237" s="21" t="str">
        <x:v>OPEN</x:v>
      </x:c>
      <x:c r="J1237" s="21" t="str">
        <x:v>HOLD</x:v>
      </x:c>
      <x:c r="K1237" s="23" t="str">
        <x:v>what process configuration and acceptance define serial output must be accepted before downstream release</x:v>
      </x:c>
    </x:row>
    <x:row r="1238">
      <x:c r="B1238" s="21" t="str">
        <x:v>BL-01232</x:v>
      </x:c>
      <x:c r="C1238" s="21" t="str">
        <x:v>F44-I4</x:v>
      </x:c>
      <x:c r="D1238" s="21" t="str">
        <x:v>F44</x:v>
      </x:c>
      <x:c r="E1238" s="21" t="str">
        <x:v>B6</x:v>
      </x:c>
      <x:c r="F1238" s="21" t="str">
        <x:v>Mobilization</x:v>
      </x:c>
      <x:c r="G1238" s="21" t="str">
        <x:v>0.0.0</x:v>
      </x:c>
      <x:c r="H1238" s="21" t="str">
        <x:v>Independent Evidence and Data Authority</x:v>
      </x:c>
      <x:c r="I1238" s="21" t="str">
        <x:v>OPEN</x:v>
      </x:c>
      <x:c r="J1238" s="21" t="str">
        <x:v>HOLD</x:v>
      </x:c>
      <x:c r="K1238" s="23" t="str">
        <x:v>what people tools suppliers and routes reproduce conforming service must be accepted before downstream release</x:v>
      </x:c>
    </x:row>
    <x:row r="1239">
      <x:c r="B1239" s="21" t="str">
        <x:v>BL-01233</x:v>
      </x:c>
      <x:c r="C1239" s="21" t="str">
        <x:v>F45-I1</x:v>
      </x:c>
      <x:c r="D1239" s="21" t="str">
        <x:v>F45</x:v>
      </x:c>
      <x:c r="E1239" s="21" t="str">
        <x:v>B0</x:v>
      </x:c>
      <x:c r="F1239" s="21" t="str">
        <x:v>Effect</x:v>
      </x:c>
      <x:c r="G1239" s="21" t="str">
        <x:v>0.0.0</x:v>
      </x:c>
      <x:c r="H1239" s="21" t="str">
        <x:v>Independent Evidence and Data Authority</x:v>
      </x:c>
      <x:c r="I1239" s="21" t="str">
        <x:v>OPEN</x:v>
      </x:c>
      <x:c r="J1239" s="21" t="str">
        <x:v>HOLD</x:v>
      </x:c>
      <x:c r="K1239" s="23" t="str">
        <x:v>what public condition must exist must be accepted before downstream release</x:v>
      </x:c>
    </x:row>
    <x:row r="1240">
      <x:c r="B1240" s="21" t="str">
        <x:v>BL-01234</x:v>
      </x:c>
      <x:c r="C1240" s="21" t="str">
        <x:v>F45-I1</x:v>
      </x:c>
      <x:c r="D1240" s="21" t="str">
        <x:v>F45</x:v>
      </x:c>
      <x:c r="E1240" s="21" t="str">
        <x:v>B1</x:v>
      </x:c>
      <x:c r="F1240" s="21" t="str">
        <x:v>Requirements</x:v>
      </x:c>
      <x:c r="G1240" s="21" t="str">
        <x:v>0.0.0</x:v>
      </x:c>
      <x:c r="H1240" s="21" t="str">
        <x:v>Independent Evidence and Data Authority</x:v>
      </x:c>
      <x:c r="I1240" s="21" t="str">
        <x:v>OPEN</x:v>
      </x:c>
      <x:c r="J1240" s="21" t="str">
        <x:v>HOLD</x:v>
      </x:c>
      <x:c r="K1240" s="23" t="str">
        <x:v>what burdens and invalid states bound the effect must be accepted before downstream release</x:v>
      </x:c>
    </x:row>
    <x:row r="1241">
      <x:c r="B1241" s="21" t="str">
        <x:v>BL-01235</x:v>
      </x:c>
      <x:c r="C1241" s="21" t="str">
        <x:v>F45-I1</x:v>
      </x:c>
      <x:c r="D1241" s="21" t="str">
        <x:v>F45</x:v>
      </x:c>
      <x:c r="E1241" s="21" t="str">
        <x:v>B2</x:v>
      </x:c>
      <x:c r="F1241" s="21" t="str">
        <x:v>Architecture</x:v>
      </x:c>
      <x:c r="G1241" s="21" t="str">
        <x:v>0.0.0</x:v>
      </x:c>
      <x:c r="H1241" s="21" t="str">
        <x:v>Independent Evidence and Data Authority</x:v>
      </x:c>
      <x:c r="I1241" s="21" t="str">
        <x:v>OPEN</x:v>
      </x:c>
      <x:c r="J1241" s="21" t="str">
        <x:v>HOLD</x:v>
      </x:c>
      <x:c r="K1241" s="23" t="str">
        <x:v>what interfaces and budgets govern the system must be accepted before downstream release</x:v>
      </x:c>
    </x:row>
    <x:row r="1242">
      <x:c r="B1242" s="21" t="str">
        <x:v>BL-01236</x:v>
      </x:c>
      <x:c r="C1242" s="21" t="str">
        <x:v>F45-I1</x:v>
      </x:c>
      <x:c r="D1242" s="21" t="str">
        <x:v>F45</x:v>
      </x:c>
      <x:c r="E1242" s="21" t="str">
        <x:v>B3</x:v>
      </x:c>
      <x:c r="F1242" s="21" t="str">
        <x:v>Build</x:v>
      </x:c>
      <x:c r="G1242" s="21" t="str">
        <x:v>0.0.0</x:v>
      </x:c>
      <x:c r="H1242" s="21" t="str">
        <x:v>Independent Evidence and Data Authority</x:v>
      </x:c>
      <x:c r="I1242" s="21" t="str">
        <x:v>OPEN</x:v>
      </x:c>
      <x:c r="J1242" s="21" t="str">
        <x:v>HOLD</x:v>
      </x:c>
      <x:c r="K1242" s="23" t="str">
        <x:v>what exact configuration produced the article must be accepted before downstream release</x:v>
      </x:c>
    </x:row>
    <x:row r="1243">
      <x:c r="B1243" s="21" t="str">
        <x:v>BL-01237</x:v>
      </x:c>
      <x:c r="C1243" s="21" t="str">
        <x:v>F45-I1</x:v>
      </x:c>
      <x:c r="D1243" s="21" t="str">
        <x:v>F45</x:v>
      </x:c>
      <x:c r="E1243" s="21" t="str">
        <x:v>B4</x:v>
      </x:c>
      <x:c r="F1243" s="21" t="str">
        <x:v>Trial</x:v>
      </x:c>
      <x:c r="G1243" s="21" t="str">
        <x:v>0.0.0</x:v>
      </x:c>
      <x:c r="H1243" s="21" t="str">
        <x:v>Independent Evidence and Data Authority</x:v>
      </x:c>
      <x:c r="I1243" s="21" t="str">
        <x:v>OPEN</x:v>
      </x:c>
      <x:c r="J1243" s="21" t="str">
        <x:v>HOLD</x:v>
      </x:c>
      <x:c r="K1243" s="23" t="str">
        <x:v>what configuration method and damage world produced evidence must be accepted before downstream release</x:v>
      </x:c>
    </x:row>
    <x:row r="1244">
      <x:c r="B1244" s="21" t="str">
        <x:v>BL-01238</x:v>
      </x:c>
      <x:c r="C1244" s="21" t="str">
        <x:v>F45-I1</x:v>
      </x:c>
      <x:c r="D1244" s="21" t="str">
        <x:v>F45</x:v>
      </x:c>
      <x:c r="E1244" s="21" t="str">
        <x:v>B5</x:v>
      </x:c>
      <x:c r="F1244" s="21" t="str">
        <x:v>Production</x:v>
      </x:c>
      <x:c r="G1244" s="21" t="str">
        <x:v>0.0.0</x:v>
      </x:c>
      <x:c r="H1244" s="21" t="str">
        <x:v>Independent Evidence and Data Authority</x:v>
      </x:c>
      <x:c r="I1244" s="21" t="str">
        <x:v>OPEN</x:v>
      </x:c>
      <x:c r="J1244" s="21" t="str">
        <x:v>HOLD</x:v>
      </x:c>
      <x:c r="K1244" s="23" t="str">
        <x:v>what process configuration and acceptance define serial output must be accepted before downstream release</x:v>
      </x:c>
    </x:row>
    <x:row r="1245">
      <x:c r="B1245" s="21" t="str">
        <x:v>BL-01239</x:v>
      </x:c>
      <x:c r="C1245" s="21" t="str">
        <x:v>F45-I1</x:v>
      </x:c>
      <x:c r="D1245" s="21" t="str">
        <x:v>F45</x:v>
      </x:c>
      <x:c r="E1245" s="21" t="str">
        <x:v>B6</x:v>
      </x:c>
      <x:c r="F1245" s="21" t="str">
        <x:v>Mobilization</x:v>
      </x:c>
      <x:c r="G1245" s="21" t="str">
        <x:v>0.0.0</x:v>
      </x:c>
      <x:c r="H1245" s="21" t="str">
        <x:v>Independent Evidence and Data Authority</x:v>
      </x:c>
      <x:c r="I1245" s="21" t="str">
        <x:v>OPEN</x:v>
      </x:c>
      <x:c r="J1245" s="21" t="str">
        <x:v>HOLD</x:v>
      </x:c>
      <x:c r="K1245" s="23" t="str">
        <x:v>what people tools suppliers and routes reproduce conforming service must be accepted before downstream release</x:v>
      </x:c>
    </x:row>
    <x:row r="1246">
      <x:c r="B1246" s="21" t="str">
        <x:v>BL-01240</x:v>
      </x:c>
      <x:c r="C1246" s="21" t="str">
        <x:v>F45-I2</x:v>
      </x:c>
      <x:c r="D1246" s="21" t="str">
        <x:v>F45</x:v>
      </x:c>
      <x:c r="E1246" s="21" t="str">
        <x:v>B0</x:v>
      </x:c>
      <x:c r="F1246" s="21" t="str">
        <x:v>Effect</x:v>
      </x:c>
      <x:c r="G1246" s="21" t="str">
        <x:v>0.0.0</x:v>
      </x:c>
      <x:c r="H1246" s="21" t="str">
        <x:v>Independent Evidence and Data Authority</x:v>
      </x:c>
      <x:c r="I1246" s="21" t="str">
        <x:v>OPEN</x:v>
      </x:c>
      <x:c r="J1246" s="21" t="str">
        <x:v>HOLD</x:v>
      </x:c>
      <x:c r="K1246" s="23" t="str">
        <x:v>what public condition must exist must be accepted before downstream release</x:v>
      </x:c>
    </x:row>
    <x:row r="1247">
      <x:c r="B1247" s="21" t="str">
        <x:v>BL-01241</x:v>
      </x:c>
      <x:c r="C1247" s="21" t="str">
        <x:v>F45-I2</x:v>
      </x:c>
      <x:c r="D1247" s="21" t="str">
        <x:v>F45</x:v>
      </x:c>
      <x:c r="E1247" s="21" t="str">
        <x:v>B1</x:v>
      </x:c>
      <x:c r="F1247" s="21" t="str">
        <x:v>Requirements</x:v>
      </x:c>
      <x:c r="G1247" s="21" t="str">
        <x:v>0.0.0</x:v>
      </x:c>
      <x:c r="H1247" s="21" t="str">
        <x:v>Independent Evidence and Data Authority</x:v>
      </x:c>
      <x:c r="I1247" s="21" t="str">
        <x:v>OPEN</x:v>
      </x:c>
      <x:c r="J1247" s="21" t="str">
        <x:v>HOLD</x:v>
      </x:c>
      <x:c r="K1247" s="23" t="str">
        <x:v>what burdens and invalid states bound the effect must be accepted before downstream release</x:v>
      </x:c>
    </x:row>
    <x:row r="1248">
      <x:c r="B1248" s="21" t="str">
        <x:v>BL-01242</x:v>
      </x:c>
      <x:c r="C1248" s="21" t="str">
        <x:v>F45-I2</x:v>
      </x:c>
      <x:c r="D1248" s="21" t="str">
        <x:v>F45</x:v>
      </x:c>
      <x:c r="E1248" s="21" t="str">
        <x:v>B2</x:v>
      </x:c>
      <x:c r="F1248" s="21" t="str">
        <x:v>Architecture</x:v>
      </x:c>
      <x:c r="G1248" s="21" t="str">
        <x:v>0.0.0</x:v>
      </x:c>
      <x:c r="H1248" s="21" t="str">
        <x:v>Independent Evidence and Data Authority</x:v>
      </x:c>
      <x:c r="I1248" s="21" t="str">
        <x:v>OPEN</x:v>
      </x:c>
      <x:c r="J1248" s="21" t="str">
        <x:v>HOLD</x:v>
      </x:c>
      <x:c r="K1248" s="23" t="str">
        <x:v>what interfaces and budgets govern the system must be accepted before downstream release</x:v>
      </x:c>
    </x:row>
    <x:row r="1249">
      <x:c r="B1249" s="21" t="str">
        <x:v>BL-01243</x:v>
      </x:c>
      <x:c r="C1249" s="21" t="str">
        <x:v>F45-I2</x:v>
      </x:c>
      <x:c r="D1249" s="21" t="str">
        <x:v>F45</x:v>
      </x:c>
      <x:c r="E1249" s="21" t="str">
        <x:v>B3</x:v>
      </x:c>
      <x:c r="F1249" s="21" t="str">
        <x:v>Build</x:v>
      </x:c>
      <x:c r="G1249" s="21" t="str">
        <x:v>0.0.0</x:v>
      </x:c>
      <x:c r="H1249" s="21" t="str">
        <x:v>Independent Evidence and Data Authority</x:v>
      </x:c>
      <x:c r="I1249" s="21" t="str">
        <x:v>OPEN</x:v>
      </x:c>
      <x:c r="J1249" s="21" t="str">
        <x:v>HOLD</x:v>
      </x:c>
      <x:c r="K1249" s="23" t="str">
        <x:v>what exact configuration produced the article must be accepted before downstream release</x:v>
      </x:c>
    </x:row>
    <x:row r="1250">
      <x:c r="B1250" s="21" t="str">
        <x:v>BL-01244</x:v>
      </x:c>
      <x:c r="C1250" s="21" t="str">
        <x:v>F45-I2</x:v>
      </x:c>
      <x:c r="D1250" s="21" t="str">
        <x:v>F45</x:v>
      </x:c>
      <x:c r="E1250" s="21" t="str">
        <x:v>B4</x:v>
      </x:c>
      <x:c r="F1250" s="21" t="str">
        <x:v>Trial</x:v>
      </x:c>
      <x:c r="G1250" s="21" t="str">
        <x:v>0.0.0</x:v>
      </x:c>
      <x:c r="H1250" s="21" t="str">
        <x:v>Independent Evidence and Data Authority</x:v>
      </x:c>
      <x:c r="I1250" s="21" t="str">
        <x:v>OPEN</x:v>
      </x:c>
      <x:c r="J1250" s="21" t="str">
        <x:v>HOLD</x:v>
      </x:c>
      <x:c r="K1250" s="23" t="str">
        <x:v>what configuration method and damage world produced evidence must be accepted before downstream release</x:v>
      </x:c>
    </x:row>
    <x:row r="1251">
      <x:c r="B1251" s="21" t="str">
        <x:v>BL-01245</x:v>
      </x:c>
      <x:c r="C1251" s="21" t="str">
        <x:v>F45-I2</x:v>
      </x:c>
      <x:c r="D1251" s="21" t="str">
        <x:v>F45</x:v>
      </x:c>
      <x:c r="E1251" s="21" t="str">
        <x:v>B5</x:v>
      </x:c>
      <x:c r="F1251" s="21" t="str">
        <x:v>Production</x:v>
      </x:c>
      <x:c r="G1251" s="21" t="str">
        <x:v>0.0.0</x:v>
      </x:c>
      <x:c r="H1251" s="21" t="str">
        <x:v>Independent Evidence and Data Authority</x:v>
      </x:c>
      <x:c r="I1251" s="21" t="str">
        <x:v>OPEN</x:v>
      </x:c>
      <x:c r="J1251" s="21" t="str">
        <x:v>HOLD</x:v>
      </x:c>
      <x:c r="K1251" s="23" t="str">
        <x:v>what process configuration and acceptance define serial output must be accepted before downstream release</x:v>
      </x:c>
    </x:row>
    <x:row r="1252">
      <x:c r="B1252" s="21" t="str">
        <x:v>BL-01246</x:v>
      </x:c>
      <x:c r="C1252" s="21" t="str">
        <x:v>F45-I2</x:v>
      </x:c>
      <x:c r="D1252" s="21" t="str">
        <x:v>F45</x:v>
      </x:c>
      <x:c r="E1252" s="21" t="str">
        <x:v>B6</x:v>
      </x:c>
      <x:c r="F1252" s="21" t="str">
        <x:v>Mobilization</x:v>
      </x:c>
      <x:c r="G1252" s="21" t="str">
        <x:v>0.0.0</x:v>
      </x:c>
      <x:c r="H1252" s="21" t="str">
        <x:v>Independent Evidence and Data Authority</x:v>
      </x:c>
      <x:c r="I1252" s="21" t="str">
        <x:v>OPEN</x:v>
      </x:c>
      <x:c r="J1252" s="21" t="str">
        <x:v>HOLD</x:v>
      </x:c>
      <x:c r="K1252" s="23" t="str">
        <x:v>what people tools suppliers and routes reproduce conforming service must be accepted before downstream release</x:v>
      </x:c>
    </x:row>
    <x:row r="1253">
      <x:c r="B1253" s="21" t="str">
        <x:v>BL-01247</x:v>
      </x:c>
      <x:c r="C1253" s="21" t="str">
        <x:v>F45-I3</x:v>
      </x:c>
      <x:c r="D1253" s="21" t="str">
        <x:v>F45</x:v>
      </x:c>
      <x:c r="E1253" s="21" t="str">
        <x:v>B0</x:v>
      </x:c>
      <x:c r="F1253" s="21" t="str">
        <x:v>Effect</x:v>
      </x:c>
      <x:c r="G1253" s="21" t="str">
        <x:v>0.0.0</x:v>
      </x:c>
      <x:c r="H1253" s="21" t="str">
        <x:v>Independent Evidence and Data Authority</x:v>
      </x:c>
      <x:c r="I1253" s="21" t="str">
        <x:v>OPEN</x:v>
      </x:c>
      <x:c r="J1253" s="21" t="str">
        <x:v>HOLD</x:v>
      </x:c>
      <x:c r="K1253" s="23" t="str">
        <x:v>what public condition must exist must be accepted before downstream release</x:v>
      </x:c>
    </x:row>
    <x:row r="1254">
      <x:c r="B1254" s="21" t="str">
        <x:v>BL-01248</x:v>
      </x:c>
      <x:c r="C1254" s="21" t="str">
        <x:v>F45-I3</x:v>
      </x:c>
      <x:c r="D1254" s="21" t="str">
        <x:v>F45</x:v>
      </x:c>
      <x:c r="E1254" s="21" t="str">
        <x:v>B1</x:v>
      </x:c>
      <x:c r="F1254" s="21" t="str">
        <x:v>Requirements</x:v>
      </x:c>
      <x:c r="G1254" s="21" t="str">
        <x:v>0.0.0</x:v>
      </x:c>
      <x:c r="H1254" s="21" t="str">
        <x:v>Independent Evidence and Data Authority</x:v>
      </x:c>
      <x:c r="I1254" s="21" t="str">
        <x:v>OPEN</x:v>
      </x:c>
      <x:c r="J1254" s="21" t="str">
        <x:v>HOLD</x:v>
      </x:c>
      <x:c r="K1254" s="23" t="str">
        <x:v>what burdens and invalid states bound the effect must be accepted before downstream release</x:v>
      </x:c>
    </x:row>
    <x:row r="1255">
      <x:c r="B1255" s="21" t="str">
        <x:v>BL-01249</x:v>
      </x:c>
      <x:c r="C1255" s="21" t="str">
        <x:v>F45-I3</x:v>
      </x:c>
      <x:c r="D1255" s="21" t="str">
        <x:v>F45</x:v>
      </x:c>
      <x:c r="E1255" s="21" t="str">
        <x:v>B2</x:v>
      </x:c>
      <x:c r="F1255" s="21" t="str">
        <x:v>Architecture</x:v>
      </x:c>
      <x:c r="G1255" s="21" t="str">
        <x:v>0.0.0</x:v>
      </x:c>
      <x:c r="H1255" s="21" t="str">
        <x:v>Independent Evidence and Data Authority</x:v>
      </x:c>
      <x:c r="I1255" s="21" t="str">
        <x:v>OPEN</x:v>
      </x:c>
      <x:c r="J1255" s="21" t="str">
        <x:v>HOLD</x:v>
      </x:c>
      <x:c r="K1255" s="23" t="str">
        <x:v>what interfaces and budgets govern the system must be accepted before downstream release</x:v>
      </x:c>
    </x:row>
    <x:row r="1256">
      <x:c r="B1256" s="21" t="str">
        <x:v>BL-01250</x:v>
      </x:c>
      <x:c r="C1256" s="21" t="str">
        <x:v>F45-I3</x:v>
      </x:c>
      <x:c r="D1256" s="21" t="str">
        <x:v>F45</x:v>
      </x:c>
      <x:c r="E1256" s="21" t="str">
        <x:v>B3</x:v>
      </x:c>
      <x:c r="F1256" s="21" t="str">
        <x:v>Build</x:v>
      </x:c>
      <x:c r="G1256" s="21" t="str">
        <x:v>0.0.0</x:v>
      </x:c>
      <x:c r="H1256" s="21" t="str">
        <x:v>Independent Evidence and Data Authority</x:v>
      </x:c>
      <x:c r="I1256" s="21" t="str">
        <x:v>OPEN</x:v>
      </x:c>
      <x:c r="J1256" s="21" t="str">
        <x:v>HOLD</x:v>
      </x:c>
      <x:c r="K1256" s="23" t="str">
        <x:v>what exact configuration produced the article must be accepted before downstream release</x:v>
      </x:c>
    </x:row>
    <x:row r="1257">
      <x:c r="B1257" s="21" t="str">
        <x:v>BL-01251</x:v>
      </x:c>
      <x:c r="C1257" s="21" t="str">
        <x:v>F45-I3</x:v>
      </x:c>
      <x:c r="D1257" s="21" t="str">
        <x:v>F45</x:v>
      </x:c>
      <x:c r="E1257" s="21" t="str">
        <x:v>B4</x:v>
      </x:c>
      <x:c r="F1257" s="21" t="str">
        <x:v>Trial</x:v>
      </x:c>
      <x:c r="G1257" s="21" t="str">
        <x:v>0.0.0</x:v>
      </x:c>
      <x:c r="H1257" s="21" t="str">
        <x:v>Independent Evidence and Data Authority</x:v>
      </x:c>
      <x:c r="I1257" s="21" t="str">
        <x:v>OPEN</x:v>
      </x:c>
      <x:c r="J1257" s="21" t="str">
        <x:v>HOLD</x:v>
      </x:c>
      <x:c r="K1257" s="23" t="str">
        <x:v>what configuration method and damage world produced evidence must be accepted before downstream release</x:v>
      </x:c>
    </x:row>
    <x:row r="1258">
      <x:c r="B1258" s="21" t="str">
        <x:v>BL-01252</x:v>
      </x:c>
      <x:c r="C1258" s="21" t="str">
        <x:v>F45-I3</x:v>
      </x:c>
      <x:c r="D1258" s="21" t="str">
        <x:v>F45</x:v>
      </x:c>
      <x:c r="E1258" s="21" t="str">
        <x:v>B5</x:v>
      </x:c>
      <x:c r="F1258" s="21" t="str">
        <x:v>Production</x:v>
      </x:c>
      <x:c r="G1258" s="21" t="str">
        <x:v>0.0.0</x:v>
      </x:c>
      <x:c r="H1258" s="21" t="str">
        <x:v>Independent Evidence and Data Authority</x:v>
      </x:c>
      <x:c r="I1258" s="21" t="str">
        <x:v>OPEN</x:v>
      </x:c>
      <x:c r="J1258" s="21" t="str">
        <x:v>HOLD</x:v>
      </x:c>
      <x:c r="K1258" s="23" t="str">
        <x:v>what process configuration and acceptance define serial output must be accepted before downstream release</x:v>
      </x:c>
    </x:row>
    <x:row r="1259">
      <x:c r="B1259" s="21" t="str">
        <x:v>BL-01253</x:v>
      </x:c>
      <x:c r="C1259" s="21" t="str">
        <x:v>F45-I3</x:v>
      </x:c>
      <x:c r="D1259" s="21" t="str">
        <x:v>F45</x:v>
      </x:c>
      <x:c r="E1259" s="21" t="str">
        <x:v>B6</x:v>
      </x:c>
      <x:c r="F1259" s="21" t="str">
        <x:v>Mobilization</x:v>
      </x:c>
      <x:c r="G1259" s="21" t="str">
        <x:v>0.0.0</x:v>
      </x:c>
      <x:c r="H1259" s="21" t="str">
        <x:v>Independent Evidence and Data Authority</x:v>
      </x:c>
      <x:c r="I1259" s="21" t="str">
        <x:v>OPEN</x:v>
      </x:c>
      <x:c r="J1259" s="21" t="str">
        <x:v>HOLD</x:v>
      </x:c>
      <x:c r="K1259" s="23" t="str">
        <x:v>what people tools suppliers and routes reproduce conforming service must be accepted before downstream release</x:v>
      </x:c>
    </x:row>
    <x:row r="1260">
      <x:c r="B1260" s="21" t="str">
        <x:v>BL-01254</x:v>
      </x:c>
      <x:c r="C1260" s="21" t="str">
        <x:v>F45-I4</x:v>
      </x:c>
      <x:c r="D1260" s="21" t="str">
        <x:v>F45</x:v>
      </x:c>
      <x:c r="E1260" s="21" t="str">
        <x:v>B0</x:v>
      </x:c>
      <x:c r="F1260" s="21" t="str">
        <x:v>Effect</x:v>
      </x:c>
      <x:c r="G1260" s="21" t="str">
        <x:v>0.0.0</x:v>
      </x:c>
      <x:c r="H1260" s="21" t="str">
        <x:v>Independent Evidence and Data Authority</x:v>
      </x:c>
      <x:c r="I1260" s="21" t="str">
        <x:v>OPEN</x:v>
      </x:c>
      <x:c r="J1260" s="21" t="str">
        <x:v>HOLD</x:v>
      </x:c>
      <x:c r="K1260" s="23" t="str">
        <x:v>what public condition must exist must be accepted before downstream release</x:v>
      </x:c>
    </x:row>
    <x:row r="1261">
      <x:c r="B1261" s="21" t="str">
        <x:v>BL-01255</x:v>
      </x:c>
      <x:c r="C1261" s="21" t="str">
        <x:v>F45-I4</x:v>
      </x:c>
      <x:c r="D1261" s="21" t="str">
        <x:v>F45</x:v>
      </x:c>
      <x:c r="E1261" s="21" t="str">
        <x:v>B1</x:v>
      </x:c>
      <x:c r="F1261" s="21" t="str">
        <x:v>Requirements</x:v>
      </x:c>
      <x:c r="G1261" s="21" t="str">
        <x:v>0.0.0</x:v>
      </x:c>
      <x:c r="H1261" s="21" t="str">
        <x:v>Independent Evidence and Data Authority</x:v>
      </x:c>
      <x:c r="I1261" s="21" t="str">
        <x:v>OPEN</x:v>
      </x:c>
      <x:c r="J1261" s="21" t="str">
        <x:v>HOLD</x:v>
      </x:c>
      <x:c r="K1261" s="23" t="str">
        <x:v>what burdens and invalid states bound the effect must be accepted before downstream release</x:v>
      </x:c>
    </x:row>
    <x:row r="1262">
      <x:c r="B1262" s="21" t="str">
        <x:v>BL-01256</x:v>
      </x:c>
      <x:c r="C1262" s="21" t="str">
        <x:v>F45-I4</x:v>
      </x:c>
      <x:c r="D1262" s="21" t="str">
        <x:v>F45</x:v>
      </x:c>
      <x:c r="E1262" s="21" t="str">
        <x:v>B2</x:v>
      </x:c>
      <x:c r="F1262" s="21" t="str">
        <x:v>Architecture</x:v>
      </x:c>
      <x:c r="G1262" s="21" t="str">
        <x:v>0.0.0</x:v>
      </x:c>
      <x:c r="H1262" s="21" t="str">
        <x:v>Independent Evidence and Data Authority</x:v>
      </x:c>
      <x:c r="I1262" s="21" t="str">
        <x:v>OPEN</x:v>
      </x:c>
      <x:c r="J1262" s="21" t="str">
        <x:v>HOLD</x:v>
      </x:c>
      <x:c r="K1262" s="23" t="str">
        <x:v>what interfaces and budgets govern the system must be accepted before downstream release</x:v>
      </x:c>
    </x:row>
    <x:row r="1263">
      <x:c r="B1263" s="21" t="str">
        <x:v>BL-01257</x:v>
      </x:c>
      <x:c r="C1263" s="21" t="str">
        <x:v>F45-I4</x:v>
      </x:c>
      <x:c r="D1263" s="21" t="str">
        <x:v>F45</x:v>
      </x:c>
      <x:c r="E1263" s="21" t="str">
        <x:v>B3</x:v>
      </x:c>
      <x:c r="F1263" s="21" t="str">
        <x:v>Build</x:v>
      </x:c>
      <x:c r="G1263" s="21" t="str">
        <x:v>0.0.0</x:v>
      </x:c>
      <x:c r="H1263" s="21" t="str">
        <x:v>Independent Evidence and Data Authority</x:v>
      </x:c>
      <x:c r="I1263" s="21" t="str">
        <x:v>OPEN</x:v>
      </x:c>
      <x:c r="J1263" s="21" t="str">
        <x:v>HOLD</x:v>
      </x:c>
      <x:c r="K1263" s="23" t="str">
        <x:v>what exact configuration produced the article must be accepted before downstream release</x:v>
      </x:c>
    </x:row>
    <x:row r="1264">
      <x:c r="B1264" s="21" t="str">
        <x:v>BL-01258</x:v>
      </x:c>
      <x:c r="C1264" s="21" t="str">
        <x:v>F45-I4</x:v>
      </x:c>
      <x:c r="D1264" s="21" t="str">
        <x:v>F45</x:v>
      </x:c>
      <x:c r="E1264" s="21" t="str">
        <x:v>B4</x:v>
      </x:c>
      <x:c r="F1264" s="21" t="str">
        <x:v>Trial</x:v>
      </x:c>
      <x:c r="G1264" s="21" t="str">
        <x:v>0.0.0</x:v>
      </x:c>
      <x:c r="H1264" s="21" t="str">
        <x:v>Independent Evidence and Data Authority</x:v>
      </x:c>
      <x:c r="I1264" s="21" t="str">
        <x:v>OPEN</x:v>
      </x:c>
      <x:c r="J1264" s="21" t="str">
        <x:v>HOLD</x:v>
      </x:c>
      <x:c r="K1264" s="23" t="str">
        <x:v>what configuration method and damage world produced evidence must be accepted before downstream release</x:v>
      </x:c>
    </x:row>
    <x:row r="1265">
      <x:c r="B1265" s="21" t="str">
        <x:v>BL-01259</x:v>
      </x:c>
      <x:c r="C1265" s="21" t="str">
        <x:v>F45-I4</x:v>
      </x:c>
      <x:c r="D1265" s="21" t="str">
        <x:v>F45</x:v>
      </x:c>
      <x:c r="E1265" s="21" t="str">
        <x:v>B5</x:v>
      </x:c>
      <x:c r="F1265" s="21" t="str">
        <x:v>Production</x:v>
      </x:c>
      <x:c r="G1265" s="21" t="str">
        <x:v>0.0.0</x:v>
      </x:c>
      <x:c r="H1265" s="21" t="str">
        <x:v>Independent Evidence and Data Authority</x:v>
      </x:c>
      <x:c r="I1265" s="21" t="str">
        <x:v>OPEN</x:v>
      </x:c>
      <x:c r="J1265" s="21" t="str">
        <x:v>HOLD</x:v>
      </x:c>
      <x:c r="K1265" s="23" t="str">
        <x:v>what process configuration and acceptance define serial output must be accepted before downstream release</x:v>
      </x:c>
    </x:row>
    <x:row r="1266">
      <x:c r="B1266" s="21" t="str">
        <x:v>BL-01260</x:v>
      </x:c>
      <x:c r="C1266" s="21" t="str">
        <x:v>F45-I4</x:v>
      </x:c>
      <x:c r="D1266" s="21" t="str">
        <x:v>F45</x:v>
      </x:c>
      <x:c r="E1266" s="21" t="str">
        <x:v>B6</x:v>
      </x:c>
      <x:c r="F1266" s="21" t="str">
        <x:v>Mobilization</x:v>
      </x:c>
      <x:c r="G1266" s="21" t="str">
        <x:v>0.0.0</x:v>
      </x:c>
      <x:c r="H1266" s="21" t="str">
        <x:v>Independent Evidence and Data Authority</x:v>
      </x:c>
      <x:c r="I1266" s="21" t="str">
        <x:v>OPEN</x:v>
      </x:c>
      <x:c r="J1266" s="21" t="str">
        <x:v>HOLD</x:v>
      </x:c>
      <x:c r="K1266" s="23" t="str">
        <x:v>what people tools suppliers and routes reproduce conforming service must be accepted before downstream release</x:v>
      </x:c>
    </x:row>
    <x:row r="1267">
      <x:c r="B1267" s="21" t="str">
        <x:v>BL-01261</x:v>
      </x:c>
      <x:c r="C1267" s="21" t="str">
        <x:v>F46-I1</x:v>
      </x:c>
      <x:c r="D1267" s="21" t="str">
        <x:v>F46</x:v>
      </x:c>
      <x:c r="E1267" s="21" t="str">
        <x:v>B0</x:v>
      </x:c>
      <x:c r="F1267" s="21" t="str">
        <x:v>Effect</x:v>
      </x:c>
      <x:c r="G1267" s="21" t="str">
        <x:v>0.0.0</x:v>
      </x:c>
      <x:c r="H1267" s="21" t="str">
        <x:v>Independent Evidence and Data Authority</x:v>
      </x:c>
      <x:c r="I1267" s="21" t="str">
        <x:v>OPEN</x:v>
      </x:c>
      <x:c r="J1267" s="21" t="str">
        <x:v>HOLD</x:v>
      </x:c>
      <x:c r="K1267" s="23" t="str">
        <x:v>what public condition must exist must be accepted before downstream release</x:v>
      </x:c>
    </x:row>
    <x:row r="1268">
      <x:c r="B1268" s="21" t="str">
        <x:v>BL-01262</x:v>
      </x:c>
      <x:c r="C1268" s="21" t="str">
        <x:v>F46-I1</x:v>
      </x:c>
      <x:c r="D1268" s="21" t="str">
        <x:v>F46</x:v>
      </x:c>
      <x:c r="E1268" s="21" t="str">
        <x:v>B1</x:v>
      </x:c>
      <x:c r="F1268" s="21" t="str">
        <x:v>Requirements</x:v>
      </x:c>
      <x:c r="G1268" s="21" t="str">
        <x:v>0.0.0</x:v>
      </x:c>
      <x:c r="H1268" s="21" t="str">
        <x:v>Independent Evidence and Data Authority</x:v>
      </x:c>
      <x:c r="I1268" s="21" t="str">
        <x:v>OPEN</x:v>
      </x:c>
      <x:c r="J1268" s="21" t="str">
        <x:v>HOLD</x:v>
      </x:c>
      <x:c r="K1268" s="23" t="str">
        <x:v>what burdens and invalid states bound the effect must be accepted before downstream release</x:v>
      </x:c>
    </x:row>
    <x:row r="1269">
      <x:c r="B1269" s="21" t="str">
        <x:v>BL-01263</x:v>
      </x:c>
      <x:c r="C1269" s="21" t="str">
        <x:v>F46-I1</x:v>
      </x:c>
      <x:c r="D1269" s="21" t="str">
        <x:v>F46</x:v>
      </x:c>
      <x:c r="E1269" s="21" t="str">
        <x:v>B2</x:v>
      </x:c>
      <x:c r="F1269" s="21" t="str">
        <x:v>Architecture</x:v>
      </x:c>
      <x:c r="G1269" s="21" t="str">
        <x:v>0.0.0</x:v>
      </x:c>
      <x:c r="H1269" s="21" t="str">
        <x:v>Independent Evidence and Data Authority</x:v>
      </x:c>
      <x:c r="I1269" s="21" t="str">
        <x:v>OPEN</x:v>
      </x:c>
      <x:c r="J1269" s="21" t="str">
        <x:v>HOLD</x:v>
      </x:c>
      <x:c r="K1269" s="23" t="str">
        <x:v>what interfaces and budgets govern the system must be accepted before downstream release</x:v>
      </x:c>
    </x:row>
    <x:row r="1270">
      <x:c r="B1270" s="21" t="str">
        <x:v>BL-01264</x:v>
      </x:c>
      <x:c r="C1270" s="21" t="str">
        <x:v>F46-I1</x:v>
      </x:c>
      <x:c r="D1270" s="21" t="str">
        <x:v>F46</x:v>
      </x:c>
      <x:c r="E1270" s="21" t="str">
        <x:v>B3</x:v>
      </x:c>
      <x:c r="F1270" s="21" t="str">
        <x:v>Build</x:v>
      </x:c>
      <x:c r="G1270" s="21" t="str">
        <x:v>0.0.0</x:v>
      </x:c>
      <x:c r="H1270" s="21" t="str">
        <x:v>Independent Evidence and Data Authority</x:v>
      </x:c>
      <x:c r="I1270" s="21" t="str">
        <x:v>OPEN</x:v>
      </x:c>
      <x:c r="J1270" s="21" t="str">
        <x:v>HOLD</x:v>
      </x:c>
      <x:c r="K1270" s="23" t="str">
        <x:v>what exact configuration produced the article must be accepted before downstream release</x:v>
      </x:c>
    </x:row>
    <x:row r="1271">
      <x:c r="B1271" s="21" t="str">
        <x:v>BL-01265</x:v>
      </x:c>
      <x:c r="C1271" s="21" t="str">
        <x:v>F46-I1</x:v>
      </x:c>
      <x:c r="D1271" s="21" t="str">
        <x:v>F46</x:v>
      </x:c>
      <x:c r="E1271" s="21" t="str">
        <x:v>B4</x:v>
      </x:c>
      <x:c r="F1271" s="21" t="str">
        <x:v>Trial</x:v>
      </x:c>
      <x:c r="G1271" s="21" t="str">
        <x:v>0.0.0</x:v>
      </x:c>
      <x:c r="H1271" s="21" t="str">
        <x:v>Independent Evidence and Data Authority</x:v>
      </x:c>
      <x:c r="I1271" s="21" t="str">
        <x:v>OPEN</x:v>
      </x:c>
      <x:c r="J1271" s="21" t="str">
        <x:v>HOLD</x:v>
      </x:c>
      <x:c r="K1271" s="23" t="str">
        <x:v>what configuration method and damage world produced evidence must be accepted before downstream release</x:v>
      </x:c>
    </x:row>
    <x:row r="1272">
      <x:c r="B1272" s="21" t="str">
        <x:v>BL-01266</x:v>
      </x:c>
      <x:c r="C1272" s="21" t="str">
        <x:v>F46-I1</x:v>
      </x:c>
      <x:c r="D1272" s="21" t="str">
        <x:v>F46</x:v>
      </x:c>
      <x:c r="E1272" s="21" t="str">
        <x:v>B5</x:v>
      </x:c>
      <x:c r="F1272" s="21" t="str">
        <x:v>Production</x:v>
      </x:c>
      <x:c r="G1272" s="21" t="str">
        <x:v>0.0.0</x:v>
      </x:c>
      <x:c r="H1272" s="21" t="str">
        <x:v>Independent Evidence and Data Authority</x:v>
      </x:c>
      <x:c r="I1272" s="21" t="str">
        <x:v>OPEN</x:v>
      </x:c>
      <x:c r="J1272" s="21" t="str">
        <x:v>HOLD</x:v>
      </x:c>
      <x:c r="K1272" s="23" t="str">
        <x:v>what process configuration and acceptance define serial output must be accepted before downstream release</x:v>
      </x:c>
    </x:row>
    <x:row r="1273">
      <x:c r="B1273" s="21" t="str">
        <x:v>BL-01267</x:v>
      </x:c>
      <x:c r="C1273" s="21" t="str">
        <x:v>F46-I1</x:v>
      </x:c>
      <x:c r="D1273" s="21" t="str">
        <x:v>F46</x:v>
      </x:c>
      <x:c r="E1273" s="21" t="str">
        <x:v>B6</x:v>
      </x:c>
      <x:c r="F1273" s="21" t="str">
        <x:v>Mobilization</x:v>
      </x:c>
      <x:c r="G1273" s="21" t="str">
        <x:v>0.0.0</x:v>
      </x:c>
      <x:c r="H1273" s="21" t="str">
        <x:v>Independent Evidence and Data Authority</x:v>
      </x:c>
      <x:c r="I1273" s="21" t="str">
        <x:v>OPEN</x:v>
      </x:c>
      <x:c r="J1273" s="21" t="str">
        <x:v>HOLD</x:v>
      </x:c>
      <x:c r="K1273" s="23" t="str">
        <x:v>what people tools suppliers and routes reproduce conforming service must be accepted before downstream release</x:v>
      </x:c>
    </x:row>
    <x:row r="1274">
      <x:c r="B1274" s="21" t="str">
        <x:v>BL-01268</x:v>
      </x:c>
      <x:c r="C1274" s="21" t="str">
        <x:v>F46-I2</x:v>
      </x:c>
      <x:c r="D1274" s="21" t="str">
        <x:v>F46</x:v>
      </x:c>
      <x:c r="E1274" s="21" t="str">
        <x:v>B0</x:v>
      </x:c>
      <x:c r="F1274" s="21" t="str">
        <x:v>Effect</x:v>
      </x:c>
      <x:c r="G1274" s="21" t="str">
        <x:v>0.0.0</x:v>
      </x:c>
      <x:c r="H1274" s="21" t="str">
        <x:v>Independent Evidence and Data Authority</x:v>
      </x:c>
      <x:c r="I1274" s="21" t="str">
        <x:v>OPEN</x:v>
      </x:c>
      <x:c r="J1274" s="21" t="str">
        <x:v>HOLD</x:v>
      </x:c>
      <x:c r="K1274" s="23" t="str">
        <x:v>what public condition must exist must be accepted before downstream release</x:v>
      </x:c>
    </x:row>
    <x:row r="1275">
      <x:c r="B1275" s="21" t="str">
        <x:v>BL-01269</x:v>
      </x:c>
      <x:c r="C1275" s="21" t="str">
        <x:v>F46-I2</x:v>
      </x:c>
      <x:c r="D1275" s="21" t="str">
        <x:v>F46</x:v>
      </x:c>
      <x:c r="E1275" s="21" t="str">
        <x:v>B1</x:v>
      </x:c>
      <x:c r="F1275" s="21" t="str">
        <x:v>Requirements</x:v>
      </x:c>
      <x:c r="G1275" s="21" t="str">
        <x:v>0.0.0</x:v>
      </x:c>
      <x:c r="H1275" s="21" t="str">
        <x:v>Independent Evidence and Data Authority</x:v>
      </x:c>
      <x:c r="I1275" s="21" t="str">
        <x:v>OPEN</x:v>
      </x:c>
      <x:c r="J1275" s="21" t="str">
        <x:v>HOLD</x:v>
      </x:c>
      <x:c r="K1275" s="23" t="str">
        <x:v>what burdens and invalid states bound the effect must be accepted before downstream release</x:v>
      </x:c>
    </x:row>
    <x:row r="1276">
      <x:c r="B1276" s="21" t="str">
        <x:v>BL-01270</x:v>
      </x:c>
      <x:c r="C1276" s="21" t="str">
        <x:v>F46-I2</x:v>
      </x:c>
      <x:c r="D1276" s="21" t="str">
        <x:v>F46</x:v>
      </x:c>
      <x:c r="E1276" s="21" t="str">
        <x:v>B2</x:v>
      </x:c>
      <x:c r="F1276" s="21" t="str">
        <x:v>Architecture</x:v>
      </x:c>
      <x:c r="G1276" s="21" t="str">
        <x:v>0.0.0</x:v>
      </x:c>
      <x:c r="H1276" s="21" t="str">
        <x:v>Independent Evidence and Data Authority</x:v>
      </x:c>
      <x:c r="I1276" s="21" t="str">
        <x:v>OPEN</x:v>
      </x:c>
      <x:c r="J1276" s="21" t="str">
        <x:v>HOLD</x:v>
      </x:c>
      <x:c r="K1276" s="23" t="str">
        <x:v>what interfaces and budgets govern the system must be accepted before downstream release</x:v>
      </x:c>
    </x:row>
    <x:row r="1277">
      <x:c r="B1277" s="21" t="str">
        <x:v>BL-01271</x:v>
      </x:c>
      <x:c r="C1277" s="21" t="str">
        <x:v>F46-I2</x:v>
      </x:c>
      <x:c r="D1277" s="21" t="str">
        <x:v>F46</x:v>
      </x:c>
      <x:c r="E1277" s="21" t="str">
        <x:v>B3</x:v>
      </x:c>
      <x:c r="F1277" s="21" t="str">
        <x:v>Build</x:v>
      </x:c>
      <x:c r="G1277" s="21" t="str">
        <x:v>0.0.0</x:v>
      </x:c>
      <x:c r="H1277" s="21" t="str">
        <x:v>Independent Evidence and Data Authority</x:v>
      </x:c>
      <x:c r="I1277" s="21" t="str">
        <x:v>OPEN</x:v>
      </x:c>
      <x:c r="J1277" s="21" t="str">
        <x:v>HOLD</x:v>
      </x:c>
      <x:c r="K1277" s="23" t="str">
        <x:v>what exact configuration produced the article must be accepted before downstream release</x:v>
      </x:c>
    </x:row>
    <x:row r="1278">
      <x:c r="B1278" s="21" t="str">
        <x:v>BL-01272</x:v>
      </x:c>
      <x:c r="C1278" s="21" t="str">
        <x:v>F46-I2</x:v>
      </x:c>
      <x:c r="D1278" s="21" t="str">
        <x:v>F46</x:v>
      </x:c>
      <x:c r="E1278" s="21" t="str">
        <x:v>B4</x:v>
      </x:c>
      <x:c r="F1278" s="21" t="str">
        <x:v>Trial</x:v>
      </x:c>
      <x:c r="G1278" s="21" t="str">
        <x:v>0.0.0</x:v>
      </x:c>
      <x:c r="H1278" s="21" t="str">
        <x:v>Independent Evidence and Data Authority</x:v>
      </x:c>
      <x:c r="I1278" s="21" t="str">
        <x:v>OPEN</x:v>
      </x:c>
      <x:c r="J1278" s="21" t="str">
        <x:v>HOLD</x:v>
      </x:c>
      <x:c r="K1278" s="23" t="str">
        <x:v>what configuration method and damage world produced evidence must be accepted before downstream release</x:v>
      </x:c>
    </x:row>
    <x:row r="1279">
      <x:c r="B1279" s="21" t="str">
        <x:v>BL-01273</x:v>
      </x:c>
      <x:c r="C1279" s="21" t="str">
        <x:v>F46-I2</x:v>
      </x:c>
      <x:c r="D1279" s="21" t="str">
        <x:v>F46</x:v>
      </x:c>
      <x:c r="E1279" s="21" t="str">
        <x:v>B5</x:v>
      </x:c>
      <x:c r="F1279" s="21" t="str">
        <x:v>Production</x:v>
      </x:c>
      <x:c r="G1279" s="21" t="str">
        <x:v>0.0.0</x:v>
      </x:c>
      <x:c r="H1279" s="21" t="str">
        <x:v>Independent Evidence and Data Authority</x:v>
      </x:c>
      <x:c r="I1279" s="21" t="str">
        <x:v>OPEN</x:v>
      </x:c>
      <x:c r="J1279" s="21" t="str">
        <x:v>HOLD</x:v>
      </x:c>
      <x:c r="K1279" s="23" t="str">
        <x:v>what process configuration and acceptance define serial output must be accepted before downstream release</x:v>
      </x:c>
    </x:row>
    <x:row r="1280">
      <x:c r="B1280" s="21" t="str">
        <x:v>BL-01274</x:v>
      </x:c>
      <x:c r="C1280" s="21" t="str">
        <x:v>F46-I2</x:v>
      </x:c>
      <x:c r="D1280" s="21" t="str">
        <x:v>F46</x:v>
      </x:c>
      <x:c r="E1280" s="21" t="str">
        <x:v>B6</x:v>
      </x:c>
      <x:c r="F1280" s="21" t="str">
        <x:v>Mobilization</x:v>
      </x:c>
      <x:c r="G1280" s="21" t="str">
        <x:v>0.0.0</x:v>
      </x:c>
      <x:c r="H1280" s="21" t="str">
        <x:v>Independent Evidence and Data Authority</x:v>
      </x:c>
      <x:c r="I1280" s="21" t="str">
        <x:v>OPEN</x:v>
      </x:c>
      <x:c r="J1280" s="21" t="str">
        <x:v>HOLD</x:v>
      </x:c>
      <x:c r="K1280" s="23" t="str">
        <x:v>what people tools suppliers and routes reproduce conforming service must be accepted before downstream release</x:v>
      </x:c>
    </x:row>
    <x:row r="1281">
      <x:c r="B1281" s="21" t="str">
        <x:v>BL-01275</x:v>
      </x:c>
      <x:c r="C1281" s="21" t="str">
        <x:v>F46-I3</x:v>
      </x:c>
      <x:c r="D1281" s="21" t="str">
        <x:v>F46</x:v>
      </x:c>
      <x:c r="E1281" s="21" t="str">
        <x:v>B0</x:v>
      </x:c>
      <x:c r="F1281" s="21" t="str">
        <x:v>Effect</x:v>
      </x:c>
      <x:c r="G1281" s="21" t="str">
        <x:v>0.0.0</x:v>
      </x:c>
      <x:c r="H1281" s="21" t="str">
        <x:v>Independent Evidence and Data Authority</x:v>
      </x:c>
      <x:c r="I1281" s="21" t="str">
        <x:v>OPEN</x:v>
      </x:c>
      <x:c r="J1281" s="21" t="str">
        <x:v>HOLD</x:v>
      </x:c>
      <x:c r="K1281" s="23" t="str">
        <x:v>what public condition must exist must be accepted before downstream release</x:v>
      </x:c>
    </x:row>
    <x:row r="1282">
      <x:c r="B1282" s="21" t="str">
        <x:v>BL-01276</x:v>
      </x:c>
      <x:c r="C1282" s="21" t="str">
        <x:v>F46-I3</x:v>
      </x:c>
      <x:c r="D1282" s="21" t="str">
        <x:v>F46</x:v>
      </x:c>
      <x:c r="E1282" s="21" t="str">
        <x:v>B1</x:v>
      </x:c>
      <x:c r="F1282" s="21" t="str">
        <x:v>Requirements</x:v>
      </x:c>
      <x:c r="G1282" s="21" t="str">
        <x:v>0.0.0</x:v>
      </x:c>
      <x:c r="H1282" s="21" t="str">
        <x:v>Independent Evidence and Data Authority</x:v>
      </x:c>
      <x:c r="I1282" s="21" t="str">
        <x:v>OPEN</x:v>
      </x:c>
      <x:c r="J1282" s="21" t="str">
        <x:v>HOLD</x:v>
      </x:c>
      <x:c r="K1282" s="23" t="str">
        <x:v>what burdens and invalid states bound the effect must be accepted before downstream release</x:v>
      </x:c>
    </x:row>
    <x:row r="1283">
      <x:c r="B1283" s="21" t="str">
        <x:v>BL-01277</x:v>
      </x:c>
      <x:c r="C1283" s="21" t="str">
        <x:v>F46-I3</x:v>
      </x:c>
      <x:c r="D1283" s="21" t="str">
        <x:v>F46</x:v>
      </x:c>
      <x:c r="E1283" s="21" t="str">
        <x:v>B2</x:v>
      </x:c>
      <x:c r="F1283" s="21" t="str">
        <x:v>Architecture</x:v>
      </x:c>
      <x:c r="G1283" s="21" t="str">
        <x:v>0.0.0</x:v>
      </x:c>
      <x:c r="H1283" s="21" t="str">
        <x:v>Independent Evidence and Data Authority</x:v>
      </x:c>
      <x:c r="I1283" s="21" t="str">
        <x:v>OPEN</x:v>
      </x:c>
      <x:c r="J1283" s="21" t="str">
        <x:v>HOLD</x:v>
      </x:c>
      <x:c r="K1283" s="23" t="str">
        <x:v>what interfaces and budgets govern the system must be accepted before downstream release</x:v>
      </x:c>
    </x:row>
    <x:row r="1284">
      <x:c r="B1284" s="21" t="str">
        <x:v>BL-01278</x:v>
      </x:c>
      <x:c r="C1284" s="21" t="str">
        <x:v>F46-I3</x:v>
      </x:c>
      <x:c r="D1284" s="21" t="str">
        <x:v>F46</x:v>
      </x:c>
      <x:c r="E1284" s="21" t="str">
        <x:v>B3</x:v>
      </x:c>
      <x:c r="F1284" s="21" t="str">
        <x:v>Build</x:v>
      </x:c>
      <x:c r="G1284" s="21" t="str">
        <x:v>0.0.0</x:v>
      </x:c>
      <x:c r="H1284" s="21" t="str">
        <x:v>Independent Evidence and Data Authority</x:v>
      </x:c>
      <x:c r="I1284" s="21" t="str">
        <x:v>OPEN</x:v>
      </x:c>
      <x:c r="J1284" s="21" t="str">
        <x:v>HOLD</x:v>
      </x:c>
      <x:c r="K1284" s="23" t="str">
        <x:v>what exact configuration produced the article must be accepted before downstream release</x:v>
      </x:c>
    </x:row>
    <x:row r="1285">
      <x:c r="B1285" s="21" t="str">
        <x:v>BL-01279</x:v>
      </x:c>
      <x:c r="C1285" s="21" t="str">
        <x:v>F46-I3</x:v>
      </x:c>
      <x:c r="D1285" s="21" t="str">
        <x:v>F46</x:v>
      </x:c>
      <x:c r="E1285" s="21" t="str">
        <x:v>B4</x:v>
      </x:c>
      <x:c r="F1285" s="21" t="str">
        <x:v>Trial</x:v>
      </x:c>
      <x:c r="G1285" s="21" t="str">
        <x:v>0.0.0</x:v>
      </x:c>
      <x:c r="H1285" s="21" t="str">
        <x:v>Independent Evidence and Data Authority</x:v>
      </x:c>
      <x:c r="I1285" s="21" t="str">
        <x:v>OPEN</x:v>
      </x:c>
      <x:c r="J1285" s="21" t="str">
        <x:v>HOLD</x:v>
      </x:c>
      <x:c r="K1285" s="23" t="str">
        <x:v>what configuration method and damage world produced evidence must be accepted before downstream release</x:v>
      </x:c>
    </x:row>
    <x:row r="1286">
      <x:c r="B1286" s="21" t="str">
        <x:v>BL-01280</x:v>
      </x:c>
      <x:c r="C1286" s="21" t="str">
        <x:v>F46-I3</x:v>
      </x:c>
      <x:c r="D1286" s="21" t="str">
        <x:v>F46</x:v>
      </x:c>
      <x:c r="E1286" s="21" t="str">
        <x:v>B5</x:v>
      </x:c>
      <x:c r="F1286" s="21" t="str">
        <x:v>Production</x:v>
      </x:c>
      <x:c r="G1286" s="21" t="str">
        <x:v>0.0.0</x:v>
      </x:c>
      <x:c r="H1286" s="21" t="str">
        <x:v>Independent Evidence and Data Authority</x:v>
      </x:c>
      <x:c r="I1286" s="21" t="str">
        <x:v>OPEN</x:v>
      </x:c>
      <x:c r="J1286" s="21" t="str">
        <x:v>HOLD</x:v>
      </x:c>
      <x:c r="K1286" s="23" t="str">
        <x:v>what process configuration and acceptance define serial output must be accepted before downstream release</x:v>
      </x:c>
    </x:row>
    <x:row r="1287">
      <x:c r="B1287" s="21" t="str">
        <x:v>BL-01281</x:v>
      </x:c>
      <x:c r="C1287" s="21" t="str">
        <x:v>F46-I3</x:v>
      </x:c>
      <x:c r="D1287" s="21" t="str">
        <x:v>F46</x:v>
      </x:c>
      <x:c r="E1287" s="21" t="str">
        <x:v>B6</x:v>
      </x:c>
      <x:c r="F1287" s="21" t="str">
        <x:v>Mobilization</x:v>
      </x:c>
      <x:c r="G1287" s="21" t="str">
        <x:v>0.0.0</x:v>
      </x:c>
      <x:c r="H1287" s="21" t="str">
        <x:v>Independent Evidence and Data Authority</x:v>
      </x:c>
      <x:c r="I1287" s="21" t="str">
        <x:v>OPEN</x:v>
      </x:c>
      <x:c r="J1287" s="21" t="str">
        <x:v>HOLD</x:v>
      </x:c>
      <x:c r="K1287" s="23" t="str">
        <x:v>what people tools suppliers and routes reproduce conforming service must be accepted before downstream release</x:v>
      </x:c>
    </x:row>
    <x:row r="1288">
      <x:c r="B1288" s="21" t="str">
        <x:v>BL-01282</x:v>
      </x:c>
      <x:c r="C1288" s="21" t="str">
        <x:v>F46-I4</x:v>
      </x:c>
      <x:c r="D1288" s="21" t="str">
        <x:v>F46</x:v>
      </x:c>
      <x:c r="E1288" s="21" t="str">
        <x:v>B0</x:v>
      </x:c>
      <x:c r="F1288" s="21" t="str">
        <x:v>Effect</x:v>
      </x:c>
      <x:c r="G1288" s="21" t="str">
        <x:v>0.0.0</x:v>
      </x:c>
      <x:c r="H1288" s="21" t="str">
        <x:v>Independent Evidence and Data Authority</x:v>
      </x:c>
      <x:c r="I1288" s="21" t="str">
        <x:v>OPEN</x:v>
      </x:c>
      <x:c r="J1288" s="21" t="str">
        <x:v>HOLD</x:v>
      </x:c>
      <x:c r="K1288" s="23" t="str">
        <x:v>what public condition must exist must be accepted before downstream release</x:v>
      </x:c>
    </x:row>
    <x:row r="1289">
      <x:c r="B1289" s="21" t="str">
        <x:v>BL-01283</x:v>
      </x:c>
      <x:c r="C1289" s="21" t="str">
        <x:v>F46-I4</x:v>
      </x:c>
      <x:c r="D1289" s="21" t="str">
        <x:v>F46</x:v>
      </x:c>
      <x:c r="E1289" s="21" t="str">
        <x:v>B1</x:v>
      </x:c>
      <x:c r="F1289" s="21" t="str">
        <x:v>Requirements</x:v>
      </x:c>
      <x:c r="G1289" s="21" t="str">
        <x:v>0.0.0</x:v>
      </x:c>
      <x:c r="H1289" s="21" t="str">
        <x:v>Independent Evidence and Data Authority</x:v>
      </x:c>
      <x:c r="I1289" s="21" t="str">
        <x:v>OPEN</x:v>
      </x:c>
      <x:c r="J1289" s="21" t="str">
        <x:v>HOLD</x:v>
      </x:c>
      <x:c r="K1289" s="23" t="str">
        <x:v>what burdens and invalid states bound the effect must be accepted before downstream release</x:v>
      </x:c>
    </x:row>
    <x:row r="1290">
      <x:c r="B1290" s="21" t="str">
        <x:v>BL-01284</x:v>
      </x:c>
      <x:c r="C1290" s="21" t="str">
        <x:v>F46-I4</x:v>
      </x:c>
      <x:c r="D1290" s="21" t="str">
        <x:v>F46</x:v>
      </x:c>
      <x:c r="E1290" s="21" t="str">
        <x:v>B2</x:v>
      </x:c>
      <x:c r="F1290" s="21" t="str">
        <x:v>Architecture</x:v>
      </x:c>
      <x:c r="G1290" s="21" t="str">
        <x:v>0.0.0</x:v>
      </x:c>
      <x:c r="H1290" s="21" t="str">
        <x:v>Independent Evidence and Data Authority</x:v>
      </x:c>
      <x:c r="I1290" s="21" t="str">
        <x:v>OPEN</x:v>
      </x:c>
      <x:c r="J1290" s="21" t="str">
        <x:v>HOLD</x:v>
      </x:c>
      <x:c r="K1290" s="23" t="str">
        <x:v>what interfaces and budgets govern the system must be accepted before downstream release</x:v>
      </x:c>
    </x:row>
    <x:row r="1291">
      <x:c r="B1291" s="21" t="str">
        <x:v>BL-01285</x:v>
      </x:c>
      <x:c r="C1291" s="21" t="str">
        <x:v>F46-I4</x:v>
      </x:c>
      <x:c r="D1291" s="21" t="str">
        <x:v>F46</x:v>
      </x:c>
      <x:c r="E1291" s="21" t="str">
        <x:v>B3</x:v>
      </x:c>
      <x:c r="F1291" s="21" t="str">
        <x:v>Build</x:v>
      </x:c>
      <x:c r="G1291" s="21" t="str">
        <x:v>0.0.0</x:v>
      </x:c>
      <x:c r="H1291" s="21" t="str">
        <x:v>Independent Evidence and Data Authority</x:v>
      </x:c>
      <x:c r="I1291" s="21" t="str">
        <x:v>OPEN</x:v>
      </x:c>
      <x:c r="J1291" s="21" t="str">
        <x:v>HOLD</x:v>
      </x:c>
      <x:c r="K1291" s="23" t="str">
        <x:v>what exact configuration produced the article must be accepted before downstream release</x:v>
      </x:c>
    </x:row>
    <x:row r="1292">
      <x:c r="B1292" s="21" t="str">
        <x:v>BL-01286</x:v>
      </x:c>
      <x:c r="C1292" s="21" t="str">
        <x:v>F46-I4</x:v>
      </x:c>
      <x:c r="D1292" s="21" t="str">
        <x:v>F46</x:v>
      </x:c>
      <x:c r="E1292" s="21" t="str">
        <x:v>B4</x:v>
      </x:c>
      <x:c r="F1292" s="21" t="str">
        <x:v>Trial</x:v>
      </x:c>
      <x:c r="G1292" s="21" t="str">
        <x:v>0.0.0</x:v>
      </x:c>
      <x:c r="H1292" s="21" t="str">
        <x:v>Independent Evidence and Data Authority</x:v>
      </x:c>
      <x:c r="I1292" s="21" t="str">
        <x:v>OPEN</x:v>
      </x:c>
      <x:c r="J1292" s="21" t="str">
        <x:v>HOLD</x:v>
      </x:c>
      <x:c r="K1292" s="23" t="str">
        <x:v>what configuration method and damage world produced evidence must be accepted before downstream release</x:v>
      </x:c>
    </x:row>
    <x:row r="1293">
      <x:c r="B1293" s="21" t="str">
        <x:v>BL-01287</x:v>
      </x:c>
      <x:c r="C1293" s="21" t="str">
        <x:v>F46-I4</x:v>
      </x:c>
      <x:c r="D1293" s="21" t="str">
        <x:v>F46</x:v>
      </x:c>
      <x:c r="E1293" s="21" t="str">
        <x:v>B5</x:v>
      </x:c>
      <x:c r="F1293" s="21" t="str">
        <x:v>Production</x:v>
      </x:c>
      <x:c r="G1293" s="21" t="str">
        <x:v>0.0.0</x:v>
      </x:c>
      <x:c r="H1293" s="21" t="str">
        <x:v>Independent Evidence and Data Authority</x:v>
      </x:c>
      <x:c r="I1293" s="21" t="str">
        <x:v>OPEN</x:v>
      </x:c>
      <x:c r="J1293" s="21" t="str">
        <x:v>HOLD</x:v>
      </x:c>
      <x:c r="K1293" s="23" t="str">
        <x:v>what process configuration and acceptance define serial output must be accepted before downstream release</x:v>
      </x:c>
    </x:row>
    <x:row r="1294">
      <x:c r="B1294" s="21" t="str">
        <x:v>BL-01288</x:v>
      </x:c>
      <x:c r="C1294" s="21" t="str">
        <x:v>F46-I4</x:v>
      </x:c>
      <x:c r="D1294" s="21" t="str">
        <x:v>F46</x:v>
      </x:c>
      <x:c r="E1294" s="21" t="str">
        <x:v>B6</x:v>
      </x:c>
      <x:c r="F1294" s="21" t="str">
        <x:v>Mobilization</x:v>
      </x:c>
      <x:c r="G1294" s="21" t="str">
        <x:v>0.0.0</x:v>
      </x:c>
      <x:c r="H1294" s="21" t="str">
        <x:v>Independent Evidence and Data Authority</x:v>
      </x:c>
      <x:c r="I1294" s="21" t="str">
        <x:v>OPEN</x:v>
      </x:c>
      <x:c r="J1294" s="21" t="str">
        <x:v>HOLD</x:v>
      </x:c>
      <x:c r="K1294" s="23" t="str">
        <x:v>what people tools suppliers and routes reproduce conforming service must be accepted before downstream release</x:v>
      </x:c>
    </x:row>
    <x:row r="1295">
      <x:c r="B1295" s="21" t="str">
        <x:v>BL-01289</x:v>
      </x:c>
      <x:c r="C1295" s="21" t="str">
        <x:v>F47-I1</x:v>
      </x:c>
      <x:c r="D1295" s="21" t="str">
        <x:v>F47</x:v>
      </x:c>
      <x:c r="E1295" s="21" t="str">
        <x:v>B0</x:v>
      </x:c>
      <x:c r="F1295" s="21" t="str">
        <x:v>Effect</x:v>
      </x:c>
      <x:c r="G1295" s="21" t="str">
        <x:v>0.0.0</x:v>
      </x:c>
      <x:c r="H1295" s="21" t="str">
        <x:v>Independent Evidence and Data Authority</x:v>
      </x:c>
      <x:c r="I1295" s="21" t="str">
        <x:v>OPEN</x:v>
      </x:c>
      <x:c r="J1295" s="21" t="str">
        <x:v>HOLD</x:v>
      </x:c>
      <x:c r="K1295" s="23" t="str">
        <x:v>what public condition must exist must be accepted before downstream release</x:v>
      </x:c>
    </x:row>
    <x:row r="1296">
      <x:c r="B1296" s="21" t="str">
        <x:v>BL-01290</x:v>
      </x:c>
      <x:c r="C1296" s="21" t="str">
        <x:v>F47-I1</x:v>
      </x:c>
      <x:c r="D1296" s="21" t="str">
        <x:v>F47</x:v>
      </x:c>
      <x:c r="E1296" s="21" t="str">
        <x:v>B1</x:v>
      </x:c>
      <x:c r="F1296" s="21" t="str">
        <x:v>Requirements</x:v>
      </x:c>
      <x:c r="G1296" s="21" t="str">
        <x:v>0.0.0</x:v>
      </x:c>
      <x:c r="H1296" s="21" t="str">
        <x:v>Independent Evidence and Data Authority</x:v>
      </x:c>
      <x:c r="I1296" s="21" t="str">
        <x:v>OPEN</x:v>
      </x:c>
      <x:c r="J1296" s="21" t="str">
        <x:v>HOLD</x:v>
      </x:c>
      <x:c r="K1296" s="23" t="str">
        <x:v>what burdens and invalid states bound the effect must be accepted before downstream release</x:v>
      </x:c>
    </x:row>
    <x:row r="1297">
      <x:c r="B1297" s="21" t="str">
        <x:v>BL-01291</x:v>
      </x:c>
      <x:c r="C1297" s="21" t="str">
        <x:v>F47-I1</x:v>
      </x:c>
      <x:c r="D1297" s="21" t="str">
        <x:v>F47</x:v>
      </x:c>
      <x:c r="E1297" s="21" t="str">
        <x:v>B2</x:v>
      </x:c>
      <x:c r="F1297" s="21" t="str">
        <x:v>Architecture</x:v>
      </x:c>
      <x:c r="G1297" s="21" t="str">
        <x:v>0.0.0</x:v>
      </x:c>
      <x:c r="H1297" s="21" t="str">
        <x:v>Independent Evidence and Data Authority</x:v>
      </x:c>
      <x:c r="I1297" s="21" t="str">
        <x:v>OPEN</x:v>
      </x:c>
      <x:c r="J1297" s="21" t="str">
        <x:v>HOLD</x:v>
      </x:c>
      <x:c r="K1297" s="23" t="str">
        <x:v>what interfaces and budgets govern the system must be accepted before downstream release</x:v>
      </x:c>
    </x:row>
    <x:row r="1298">
      <x:c r="B1298" s="21" t="str">
        <x:v>BL-01292</x:v>
      </x:c>
      <x:c r="C1298" s="21" t="str">
        <x:v>F47-I1</x:v>
      </x:c>
      <x:c r="D1298" s="21" t="str">
        <x:v>F47</x:v>
      </x:c>
      <x:c r="E1298" s="21" t="str">
        <x:v>B3</x:v>
      </x:c>
      <x:c r="F1298" s="21" t="str">
        <x:v>Build</x:v>
      </x:c>
      <x:c r="G1298" s="21" t="str">
        <x:v>0.0.0</x:v>
      </x:c>
      <x:c r="H1298" s="21" t="str">
        <x:v>Independent Evidence and Data Authority</x:v>
      </x:c>
      <x:c r="I1298" s="21" t="str">
        <x:v>OPEN</x:v>
      </x:c>
      <x:c r="J1298" s="21" t="str">
        <x:v>HOLD</x:v>
      </x:c>
      <x:c r="K1298" s="23" t="str">
        <x:v>what exact configuration produced the article must be accepted before downstream release</x:v>
      </x:c>
    </x:row>
    <x:row r="1299">
      <x:c r="B1299" s="21" t="str">
        <x:v>BL-01293</x:v>
      </x:c>
      <x:c r="C1299" s="21" t="str">
        <x:v>F47-I1</x:v>
      </x:c>
      <x:c r="D1299" s="21" t="str">
        <x:v>F47</x:v>
      </x:c>
      <x:c r="E1299" s="21" t="str">
        <x:v>B4</x:v>
      </x:c>
      <x:c r="F1299" s="21" t="str">
        <x:v>Trial</x:v>
      </x:c>
      <x:c r="G1299" s="21" t="str">
        <x:v>0.0.0</x:v>
      </x:c>
      <x:c r="H1299" s="21" t="str">
        <x:v>Independent Evidence and Data Authority</x:v>
      </x:c>
      <x:c r="I1299" s="21" t="str">
        <x:v>OPEN</x:v>
      </x:c>
      <x:c r="J1299" s="21" t="str">
        <x:v>HOLD</x:v>
      </x:c>
      <x:c r="K1299" s="23" t="str">
        <x:v>what configuration method and damage world produced evidence must be accepted before downstream release</x:v>
      </x:c>
    </x:row>
    <x:row r="1300">
      <x:c r="B1300" s="21" t="str">
        <x:v>BL-01294</x:v>
      </x:c>
      <x:c r="C1300" s="21" t="str">
        <x:v>F47-I1</x:v>
      </x:c>
      <x:c r="D1300" s="21" t="str">
        <x:v>F47</x:v>
      </x:c>
      <x:c r="E1300" s="21" t="str">
        <x:v>B5</x:v>
      </x:c>
      <x:c r="F1300" s="21" t="str">
        <x:v>Production</x:v>
      </x:c>
      <x:c r="G1300" s="21" t="str">
        <x:v>0.0.0</x:v>
      </x:c>
      <x:c r="H1300" s="21" t="str">
        <x:v>Independent Evidence and Data Authority</x:v>
      </x:c>
      <x:c r="I1300" s="21" t="str">
        <x:v>OPEN</x:v>
      </x:c>
      <x:c r="J1300" s="21" t="str">
        <x:v>HOLD</x:v>
      </x:c>
      <x:c r="K1300" s="23" t="str">
        <x:v>what process configuration and acceptance define serial output must be accepted before downstream release</x:v>
      </x:c>
    </x:row>
    <x:row r="1301">
      <x:c r="B1301" s="21" t="str">
        <x:v>BL-01295</x:v>
      </x:c>
      <x:c r="C1301" s="21" t="str">
        <x:v>F47-I1</x:v>
      </x:c>
      <x:c r="D1301" s="21" t="str">
        <x:v>F47</x:v>
      </x:c>
      <x:c r="E1301" s="21" t="str">
        <x:v>B6</x:v>
      </x:c>
      <x:c r="F1301" s="21" t="str">
        <x:v>Mobilization</x:v>
      </x:c>
      <x:c r="G1301" s="21" t="str">
        <x:v>0.0.0</x:v>
      </x:c>
      <x:c r="H1301" s="21" t="str">
        <x:v>Independent Evidence and Data Authority</x:v>
      </x:c>
      <x:c r="I1301" s="21" t="str">
        <x:v>OPEN</x:v>
      </x:c>
      <x:c r="J1301" s="21" t="str">
        <x:v>HOLD</x:v>
      </x:c>
      <x:c r="K1301" s="23" t="str">
        <x:v>what people tools suppliers and routes reproduce conforming service must be accepted before downstream release</x:v>
      </x:c>
    </x:row>
    <x:row r="1302">
      <x:c r="B1302" s="21" t="str">
        <x:v>BL-01296</x:v>
      </x:c>
      <x:c r="C1302" s="21" t="str">
        <x:v>F47-I2</x:v>
      </x:c>
      <x:c r="D1302" s="21" t="str">
        <x:v>F47</x:v>
      </x:c>
      <x:c r="E1302" s="21" t="str">
        <x:v>B0</x:v>
      </x:c>
      <x:c r="F1302" s="21" t="str">
        <x:v>Effect</x:v>
      </x:c>
      <x:c r="G1302" s="21" t="str">
        <x:v>0.0.0</x:v>
      </x:c>
      <x:c r="H1302" s="21" t="str">
        <x:v>Independent Evidence and Data Authority</x:v>
      </x:c>
      <x:c r="I1302" s="21" t="str">
        <x:v>OPEN</x:v>
      </x:c>
      <x:c r="J1302" s="21" t="str">
        <x:v>HOLD</x:v>
      </x:c>
      <x:c r="K1302" s="23" t="str">
        <x:v>what public condition must exist must be accepted before downstream release</x:v>
      </x:c>
    </x:row>
    <x:row r="1303">
      <x:c r="B1303" s="21" t="str">
        <x:v>BL-01297</x:v>
      </x:c>
      <x:c r="C1303" s="21" t="str">
        <x:v>F47-I2</x:v>
      </x:c>
      <x:c r="D1303" s="21" t="str">
        <x:v>F47</x:v>
      </x:c>
      <x:c r="E1303" s="21" t="str">
        <x:v>B1</x:v>
      </x:c>
      <x:c r="F1303" s="21" t="str">
        <x:v>Requirements</x:v>
      </x:c>
      <x:c r="G1303" s="21" t="str">
        <x:v>0.0.0</x:v>
      </x:c>
      <x:c r="H1303" s="21" t="str">
        <x:v>Independent Evidence and Data Authority</x:v>
      </x:c>
      <x:c r="I1303" s="21" t="str">
        <x:v>OPEN</x:v>
      </x:c>
      <x:c r="J1303" s="21" t="str">
        <x:v>HOLD</x:v>
      </x:c>
      <x:c r="K1303" s="23" t="str">
        <x:v>what burdens and invalid states bound the effect must be accepted before downstream release</x:v>
      </x:c>
    </x:row>
    <x:row r="1304">
      <x:c r="B1304" s="21" t="str">
        <x:v>BL-01298</x:v>
      </x:c>
      <x:c r="C1304" s="21" t="str">
        <x:v>F47-I2</x:v>
      </x:c>
      <x:c r="D1304" s="21" t="str">
        <x:v>F47</x:v>
      </x:c>
      <x:c r="E1304" s="21" t="str">
        <x:v>B2</x:v>
      </x:c>
      <x:c r="F1304" s="21" t="str">
        <x:v>Architecture</x:v>
      </x:c>
      <x:c r="G1304" s="21" t="str">
        <x:v>0.0.0</x:v>
      </x:c>
      <x:c r="H1304" s="21" t="str">
        <x:v>Independent Evidence and Data Authority</x:v>
      </x:c>
      <x:c r="I1304" s="21" t="str">
        <x:v>OPEN</x:v>
      </x:c>
      <x:c r="J1304" s="21" t="str">
        <x:v>HOLD</x:v>
      </x:c>
      <x:c r="K1304" s="23" t="str">
        <x:v>what interfaces and budgets govern the system must be accepted before downstream release</x:v>
      </x:c>
    </x:row>
    <x:row r="1305">
      <x:c r="B1305" s="21" t="str">
        <x:v>BL-01299</x:v>
      </x:c>
      <x:c r="C1305" s="21" t="str">
        <x:v>F47-I2</x:v>
      </x:c>
      <x:c r="D1305" s="21" t="str">
        <x:v>F47</x:v>
      </x:c>
      <x:c r="E1305" s="21" t="str">
        <x:v>B3</x:v>
      </x:c>
      <x:c r="F1305" s="21" t="str">
        <x:v>Build</x:v>
      </x:c>
      <x:c r="G1305" s="21" t="str">
        <x:v>0.0.0</x:v>
      </x:c>
      <x:c r="H1305" s="21" t="str">
        <x:v>Independent Evidence and Data Authority</x:v>
      </x:c>
      <x:c r="I1305" s="21" t="str">
        <x:v>OPEN</x:v>
      </x:c>
      <x:c r="J1305" s="21" t="str">
        <x:v>HOLD</x:v>
      </x:c>
      <x:c r="K1305" s="23" t="str">
        <x:v>what exact configuration produced the article must be accepted before downstream release</x:v>
      </x:c>
    </x:row>
    <x:row r="1306">
      <x:c r="B1306" s="21" t="str">
        <x:v>BL-01300</x:v>
      </x:c>
      <x:c r="C1306" s="21" t="str">
        <x:v>F47-I2</x:v>
      </x:c>
      <x:c r="D1306" s="21" t="str">
        <x:v>F47</x:v>
      </x:c>
      <x:c r="E1306" s="21" t="str">
        <x:v>B4</x:v>
      </x:c>
      <x:c r="F1306" s="21" t="str">
        <x:v>Trial</x:v>
      </x:c>
      <x:c r="G1306" s="21" t="str">
        <x:v>0.0.0</x:v>
      </x:c>
      <x:c r="H1306" s="21" t="str">
        <x:v>Independent Evidence and Data Authority</x:v>
      </x:c>
      <x:c r="I1306" s="21" t="str">
        <x:v>OPEN</x:v>
      </x:c>
      <x:c r="J1306" s="21" t="str">
        <x:v>HOLD</x:v>
      </x:c>
      <x:c r="K1306" s="23" t="str">
        <x:v>what configuration method and damage world produced evidence must be accepted before downstream release</x:v>
      </x:c>
    </x:row>
    <x:row r="1307">
      <x:c r="B1307" s="21" t="str">
        <x:v>BL-01301</x:v>
      </x:c>
      <x:c r="C1307" s="21" t="str">
        <x:v>F47-I2</x:v>
      </x:c>
      <x:c r="D1307" s="21" t="str">
        <x:v>F47</x:v>
      </x:c>
      <x:c r="E1307" s="21" t="str">
        <x:v>B5</x:v>
      </x:c>
      <x:c r="F1307" s="21" t="str">
        <x:v>Production</x:v>
      </x:c>
      <x:c r="G1307" s="21" t="str">
        <x:v>0.0.0</x:v>
      </x:c>
      <x:c r="H1307" s="21" t="str">
        <x:v>Independent Evidence and Data Authority</x:v>
      </x:c>
      <x:c r="I1307" s="21" t="str">
        <x:v>OPEN</x:v>
      </x:c>
      <x:c r="J1307" s="21" t="str">
        <x:v>HOLD</x:v>
      </x:c>
      <x:c r="K1307" s="23" t="str">
        <x:v>what process configuration and acceptance define serial output must be accepted before downstream release</x:v>
      </x:c>
    </x:row>
    <x:row r="1308">
      <x:c r="B1308" s="21" t="str">
        <x:v>BL-01302</x:v>
      </x:c>
      <x:c r="C1308" s="21" t="str">
        <x:v>F47-I2</x:v>
      </x:c>
      <x:c r="D1308" s="21" t="str">
        <x:v>F47</x:v>
      </x:c>
      <x:c r="E1308" s="21" t="str">
        <x:v>B6</x:v>
      </x:c>
      <x:c r="F1308" s="21" t="str">
        <x:v>Mobilization</x:v>
      </x:c>
      <x:c r="G1308" s="21" t="str">
        <x:v>0.0.0</x:v>
      </x:c>
      <x:c r="H1308" s="21" t="str">
        <x:v>Independent Evidence and Data Authority</x:v>
      </x:c>
      <x:c r="I1308" s="21" t="str">
        <x:v>OPEN</x:v>
      </x:c>
      <x:c r="J1308" s="21" t="str">
        <x:v>HOLD</x:v>
      </x:c>
      <x:c r="K1308" s="23" t="str">
        <x:v>what people tools suppliers and routes reproduce conforming service must be accepted before downstream release</x:v>
      </x:c>
    </x:row>
    <x:row r="1309">
      <x:c r="B1309" s="21" t="str">
        <x:v>BL-01303</x:v>
      </x:c>
      <x:c r="C1309" s="21" t="str">
        <x:v>F47-I3</x:v>
      </x:c>
      <x:c r="D1309" s="21" t="str">
        <x:v>F47</x:v>
      </x:c>
      <x:c r="E1309" s="21" t="str">
        <x:v>B0</x:v>
      </x:c>
      <x:c r="F1309" s="21" t="str">
        <x:v>Effect</x:v>
      </x:c>
      <x:c r="G1309" s="21" t="str">
        <x:v>0.0.0</x:v>
      </x:c>
      <x:c r="H1309" s="21" t="str">
        <x:v>Independent Evidence and Data Authority</x:v>
      </x:c>
      <x:c r="I1309" s="21" t="str">
        <x:v>OPEN</x:v>
      </x:c>
      <x:c r="J1309" s="21" t="str">
        <x:v>HOLD</x:v>
      </x:c>
      <x:c r="K1309" s="23" t="str">
        <x:v>what public condition must exist must be accepted before downstream release</x:v>
      </x:c>
    </x:row>
    <x:row r="1310">
      <x:c r="B1310" s="21" t="str">
        <x:v>BL-01304</x:v>
      </x:c>
      <x:c r="C1310" s="21" t="str">
        <x:v>F47-I3</x:v>
      </x:c>
      <x:c r="D1310" s="21" t="str">
        <x:v>F47</x:v>
      </x:c>
      <x:c r="E1310" s="21" t="str">
        <x:v>B1</x:v>
      </x:c>
      <x:c r="F1310" s="21" t="str">
        <x:v>Requirements</x:v>
      </x:c>
      <x:c r="G1310" s="21" t="str">
        <x:v>0.0.0</x:v>
      </x:c>
      <x:c r="H1310" s="21" t="str">
        <x:v>Independent Evidence and Data Authority</x:v>
      </x:c>
      <x:c r="I1310" s="21" t="str">
        <x:v>OPEN</x:v>
      </x:c>
      <x:c r="J1310" s="21" t="str">
        <x:v>HOLD</x:v>
      </x:c>
      <x:c r="K1310" s="23" t="str">
        <x:v>what burdens and invalid states bound the effect must be accepted before downstream release</x:v>
      </x:c>
    </x:row>
    <x:row r="1311">
      <x:c r="B1311" s="21" t="str">
        <x:v>BL-01305</x:v>
      </x:c>
      <x:c r="C1311" s="21" t="str">
        <x:v>F47-I3</x:v>
      </x:c>
      <x:c r="D1311" s="21" t="str">
        <x:v>F47</x:v>
      </x:c>
      <x:c r="E1311" s="21" t="str">
        <x:v>B2</x:v>
      </x:c>
      <x:c r="F1311" s="21" t="str">
        <x:v>Architecture</x:v>
      </x:c>
      <x:c r="G1311" s="21" t="str">
        <x:v>0.0.0</x:v>
      </x:c>
      <x:c r="H1311" s="21" t="str">
        <x:v>Independent Evidence and Data Authority</x:v>
      </x:c>
      <x:c r="I1311" s="21" t="str">
        <x:v>OPEN</x:v>
      </x:c>
      <x:c r="J1311" s="21" t="str">
        <x:v>HOLD</x:v>
      </x:c>
      <x:c r="K1311" s="23" t="str">
        <x:v>what interfaces and budgets govern the system must be accepted before downstream release</x:v>
      </x:c>
    </x:row>
    <x:row r="1312">
      <x:c r="B1312" s="21" t="str">
        <x:v>BL-01306</x:v>
      </x:c>
      <x:c r="C1312" s="21" t="str">
        <x:v>F47-I3</x:v>
      </x:c>
      <x:c r="D1312" s="21" t="str">
        <x:v>F47</x:v>
      </x:c>
      <x:c r="E1312" s="21" t="str">
        <x:v>B3</x:v>
      </x:c>
      <x:c r="F1312" s="21" t="str">
        <x:v>Build</x:v>
      </x:c>
      <x:c r="G1312" s="21" t="str">
        <x:v>0.0.0</x:v>
      </x:c>
      <x:c r="H1312" s="21" t="str">
        <x:v>Independent Evidence and Data Authority</x:v>
      </x:c>
      <x:c r="I1312" s="21" t="str">
        <x:v>OPEN</x:v>
      </x:c>
      <x:c r="J1312" s="21" t="str">
        <x:v>HOLD</x:v>
      </x:c>
      <x:c r="K1312" s="23" t="str">
        <x:v>what exact configuration produced the article must be accepted before downstream release</x:v>
      </x:c>
    </x:row>
    <x:row r="1313">
      <x:c r="B1313" s="21" t="str">
        <x:v>BL-01307</x:v>
      </x:c>
      <x:c r="C1313" s="21" t="str">
        <x:v>F47-I3</x:v>
      </x:c>
      <x:c r="D1313" s="21" t="str">
        <x:v>F47</x:v>
      </x:c>
      <x:c r="E1313" s="21" t="str">
        <x:v>B4</x:v>
      </x:c>
      <x:c r="F1313" s="21" t="str">
        <x:v>Trial</x:v>
      </x:c>
      <x:c r="G1313" s="21" t="str">
        <x:v>0.0.0</x:v>
      </x:c>
      <x:c r="H1313" s="21" t="str">
        <x:v>Independent Evidence and Data Authority</x:v>
      </x:c>
      <x:c r="I1313" s="21" t="str">
        <x:v>OPEN</x:v>
      </x:c>
      <x:c r="J1313" s="21" t="str">
        <x:v>HOLD</x:v>
      </x:c>
      <x:c r="K1313" s="23" t="str">
        <x:v>what configuration method and damage world produced evidence must be accepted before downstream release</x:v>
      </x:c>
    </x:row>
    <x:row r="1314">
      <x:c r="B1314" s="21" t="str">
        <x:v>BL-01308</x:v>
      </x:c>
      <x:c r="C1314" s="21" t="str">
        <x:v>F47-I3</x:v>
      </x:c>
      <x:c r="D1314" s="21" t="str">
        <x:v>F47</x:v>
      </x:c>
      <x:c r="E1314" s="21" t="str">
        <x:v>B5</x:v>
      </x:c>
      <x:c r="F1314" s="21" t="str">
        <x:v>Production</x:v>
      </x:c>
      <x:c r="G1314" s="21" t="str">
        <x:v>0.0.0</x:v>
      </x:c>
      <x:c r="H1314" s="21" t="str">
        <x:v>Independent Evidence and Data Authority</x:v>
      </x:c>
      <x:c r="I1314" s="21" t="str">
        <x:v>OPEN</x:v>
      </x:c>
      <x:c r="J1314" s="21" t="str">
        <x:v>HOLD</x:v>
      </x:c>
      <x:c r="K1314" s="23" t="str">
        <x:v>what process configuration and acceptance define serial output must be accepted before downstream release</x:v>
      </x:c>
    </x:row>
    <x:row r="1315">
      <x:c r="B1315" s="21" t="str">
        <x:v>BL-01309</x:v>
      </x:c>
      <x:c r="C1315" s="21" t="str">
        <x:v>F47-I3</x:v>
      </x:c>
      <x:c r="D1315" s="21" t="str">
        <x:v>F47</x:v>
      </x:c>
      <x:c r="E1315" s="21" t="str">
        <x:v>B6</x:v>
      </x:c>
      <x:c r="F1315" s="21" t="str">
        <x:v>Mobilization</x:v>
      </x:c>
      <x:c r="G1315" s="21" t="str">
        <x:v>0.0.0</x:v>
      </x:c>
      <x:c r="H1315" s="21" t="str">
        <x:v>Independent Evidence and Data Authority</x:v>
      </x:c>
      <x:c r="I1315" s="21" t="str">
        <x:v>OPEN</x:v>
      </x:c>
      <x:c r="J1315" s="21" t="str">
        <x:v>HOLD</x:v>
      </x:c>
      <x:c r="K1315" s="23" t="str">
        <x:v>what people tools suppliers and routes reproduce conforming service must be accepted before downstream release</x:v>
      </x:c>
    </x:row>
    <x:row r="1316">
      <x:c r="B1316" s="21" t="str">
        <x:v>BL-01310</x:v>
      </x:c>
      <x:c r="C1316" s="21" t="str">
        <x:v>F47-I4</x:v>
      </x:c>
      <x:c r="D1316" s="21" t="str">
        <x:v>F47</x:v>
      </x:c>
      <x:c r="E1316" s="21" t="str">
        <x:v>B0</x:v>
      </x:c>
      <x:c r="F1316" s="21" t="str">
        <x:v>Effect</x:v>
      </x:c>
      <x:c r="G1316" s="21" t="str">
        <x:v>0.0.0</x:v>
      </x:c>
      <x:c r="H1316" s="21" t="str">
        <x:v>Independent Evidence and Data Authority</x:v>
      </x:c>
      <x:c r="I1316" s="21" t="str">
        <x:v>OPEN</x:v>
      </x:c>
      <x:c r="J1316" s="21" t="str">
        <x:v>HOLD</x:v>
      </x:c>
      <x:c r="K1316" s="23" t="str">
        <x:v>what public condition must exist must be accepted before downstream release</x:v>
      </x:c>
    </x:row>
    <x:row r="1317">
      <x:c r="B1317" s="21" t="str">
        <x:v>BL-01311</x:v>
      </x:c>
      <x:c r="C1317" s="21" t="str">
        <x:v>F47-I4</x:v>
      </x:c>
      <x:c r="D1317" s="21" t="str">
        <x:v>F47</x:v>
      </x:c>
      <x:c r="E1317" s="21" t="str">
        <x:v>B1</x:v>
      </x:c>
      <x:c r="F1317" s="21" t="str">
        <x:v>Requirements</x:v>
      </x:c>
      <x:c r="G1317" s="21" t="str">
        <x:v>0.0.0</x:v>
      </x:c>
      <x:c r="H1317" s="21" t="str">
        <x:v>Independent Evidence and Data Authority</x:v>
      </x:c>
      <x:c r="I1317" s="21" t="str">
        <x:v>OPEN</x:v>
      </x:c>
      <x:c r="J1317" s="21" t="str">
        <x:v>HOLD</x:v>
      </x:c>
      <x:c r="K1317" s="23" t="str">
        <x:v>what burdens and invalid states bound the effect must be accepted before downstream release</x:v>
      </x:c>
    </x:row>
    <x:row r="1318">
      <x:c r="B1318" s="21" t="str">
        <x:v>BL-01312</x:v>
      </x:c>
      <x:c r="C1318" s="21" t="str">
        <x:v>F47-I4</x:v>
      </x:c>
      <x:c r="D1318" s="21" t="str">
        <x:v>F47</x:v>
      </x:c>
      <x:c r="E1318" s="21" t="str">
        <x:v>B2</x:v>
      </x:c>
      <x:c r="F1318" s="21" t="str">
        <x:v>Architecture</x:v>
      </x:c>
      <x:c r="G1318" s="21" t="str">
        <x:v>0.0.0</x:v>
      </x:c>
      <x:c r="H1318" s="21" t="str">
        <x:v>Independent Evidence and Data Authority</x:v>
      </x:c>
      <x:c r="I1318" s="21" t="str">
        <x:v>OPEN</x:v>
      </x:c>
      <x:c r="J1318" s="21" t="str">
        <x:v>HOLD</x:v>
      </x:c>
      <x:c r="K1318" s="23" t="str">
        <x:v>what interfaces and budgets govern the system must be accepted before downstream release</x:v>
      </x:c>
    </x:row>
    <x:row r="1319">
      <x:c r="B1319" s="21" t="str">
        <x:v>BL-01313</x:v>
      </x:c>
      <x:c r="C1319" s="21" t="str">
        <x:v>F47-I4</x:v>
      </x:c>
      <x:c r="D1319" s="21" t="str">
        <x:v>F47</x:v>
      </x:c>
      <x:c r="E1319" s="21" t="str">
        <x:v>B3</x:v>
      </x:c>
      <x:c r="F1319" s="21" t="str">
        <x:v>Build</x:v>
      </x:c>
      <x:c r="G1319" s="21" t="str">
        <x:v>0.0.0</x:v>
      </x:c>
      <x:c r="H1319" s="21" t="str">
        <x:v>Independent Evidence and Data Authority</x:v>
      </x:c>
      <x:c r="I1319" s="21" t="str">
        <x:v>OPEN</x:v>
      </x:c>
      <x:c r="J1319" s="21" t="str">
        <x:v>HOLD</x:v>
      </x:c>
      <x:c r="K1319" s="23" t="str">
        <x:v>what exact configuration produced the article must be accepted before downstream release</x:v>
      </x:c>
    </x:row>
    <x:row r="1320">
      <x:c r="B1320" s="21" t="str">
        <x:v>BL-01314</x:v>
      </x:c>
      <x:c r="C1320" s="21" t="str">
        <x:v>F47-I4</x:v>
      </x:c>
      <x:c r="D1320" s="21" t="str">
        <x:v>F47</x:v>
      </x:c>
      <x:c r="E1320" s="21" t="str">
        <x:v>B4</x:v>
      </x:c>
      <x:c r="F1320" s="21" t="str">
        <x:v>Trial</x:v>
      </x:c>
      <x:c r="G1320" s="21" t="str">
        <x:v>0.0.0</x:v>
      </x:c>
      <x:c r="H1320" s="21" t="str">
        <x:v>Independent Evidence and Data Authority</x:v>
      </x:c>
      <x:c r="I1320" s="21" t="str">
        <x:v>OPEN</x:v>
      </x:c>
      <x:c r="J1320" s="21" t="str">
        <x:v>HOLD</x:v>
      </x:c>
      <x:c r="K1320" s="23" t="str">
        <x:v>what configuration method and damage world produced evidence must be accepted before downstream release</x:v>
      </x:c>
    </x:row>
    <x:row r="1321">
      <x:c r="B1321" s="21" t="str">
        <x:v>BL-01315</x:v>
      </x:c>
      <x:c r="C1321" s="21" t="str">
        <x:v>F47-I4</x:v>
      </x:c>
      <x:c r="D1321" s="21" t="str">
        <x:v>F47</x:v>
      </x:c>
      <x:c r="E1321" s="21" t="str">
        <x:v>B5</x:v>
      </x:c>
      <x:c r="F1321" s="21" t="str">
        <x:v>Production</x:v>
      </x:c>
      <x:c r="G1321" s="21" t="str">
        <x:v>0.0.0</x:v>
      </x:c>
      <x:c r="H1321" s="21" t="str">
        <x:v>Independent Evidence and Data Authority</x:v>
      </x:c>
      <x:c r="I1321" s="21" t="str">
        <x:v>OPEN</x:v>
      </x:c>
      <x:c r="J1321" s="21" t="str">
        <x:v>HOLD</x:v>
      </x:c>
      <x:c r="K1321" s="23" t="str">
        <x:v>what process configuration and acceptance define serial output must be accepted before downstream release</x:v>
      </x:c>
    </x:row>
    <x:row r="1322">
      <x:c r="B1322" s="21" t="str">
        <x:v>BL-01316</x:v>
      </x:c>
      <x:c r="C1322" s="21" t="str">
        <x:v>F47-I4</x:v>
      </x:c>
      <x:c r="D1322" s="21" t="str">
        <x:v>F47</x:v>
      </x:c>
      <x:c r="E1322" s="21" t="str">
        <x:v>B6</x:v>
      </x:c>
      <x:c r="F1322" s="21" t="str">
        <x:v>Mobilization</x:v>
      </x:c>
      <x:c r="G1322" s="21" t="str">
        <x:v>0.0.0</x:v>
      </x:c>
      <x:c r="H1322" s="21" t="str">
        <x:v>Independent Evidence and Data Authority</x:v>
      </x:c>
      <x:c r="I1322" s="21" t="str">
        <x:v>OPEN</x:v>
      </x:c>
      <x:c r="J1322" s="21" t="str">
        <x:v>HOLD</x:v>
      </x:c>
      <x:c r="K1322" s="23" t="str">
        <x:v>what people tools suppliers and routes reproduce conforming service must be accepted before downstream release</x:v>
      </x:c>
    </x:row>
    <x:row r="1323">
      <x:c r="B1323" s="21" t="str">
        <x:v>BL-01317</x:v>
      </x:c>
      <x:c r="C1323" s="21" t="str">
        <x:v>F48-I1</x:v>
      </x:c>
      <x:c r="D1323" s="21" t="str">
        <x:v>F48</x:v>
      </x:c>
      <x:c r="E1323" s="21" t="str">
        <x:v>B0</x:v>
      </x:c>
      <x:c r="F1323" s="21" t="str">
        <x:v>Effect</x:v>
      </x:c>
      <x:c r="G1323" s="21" t="str">
        <x:v>0.0.0</x:v>
      </x:c>
      <x:c r="H1323" s="21" t="str">
        <x:v>Independent Evidence and Data Authority</x:v>
      </x:c>
      <x:c r="I1323" s="21" t="str">
        <x:v>OPEN</x:v>
      </x:c>
      <x:c r="J1323" s="21" t="str">
        <x:v>HOLD</x:v>
      </x:c>
      <x:c r="K1323" s="23" t="str">
        <x:v>what public condition must exist must be accepted before downstream release</x:v>
      </x:c>
    </x:row>
    <x:row r="1324">
      <x:c r="B1324" s="21" t="str">
        <x:v>BL-01318</x:v>
      </x:c>
      <x:c r="C1324" s="21" t="str">
        <x:v>F48-I1</x:v>
      </x:c>
      <x:c r="D1324" s="21" t="str">
        <x:v>F48</x:v>
      </x:c>
      <x:c r="E1324" s="21" t="str">
        <x:v>B1</x:v>
      </x:c>
      <x:c r="F1324" s="21" t="str">
        <x:v>Requirements</x:v>
      </x:c>
      <x:c r="G1324" s="21" t="str">
        <x:v>0.0.0</x:v>
      </x:c>
      <x:c r="H1324" s="21" t="str">
        <x:v>Independent Evidence and Data Authority</x:v>
      </x:c>
      <x:c r="I1324" s="21" t="str">
        <x:v>OPEN</x:v>
      </x:c>
      <x:c r="J1324" s="21" t="str">
        <x:v>HOLD</x:v>
      </x:c>
      <x:c r="K1324" s="23" t="str">
        <x:v>what burdens and invalid states bound the effect must be accepted before downstream release</x:v>
      </x:c>
    </x:row>
    <x:row r="1325">
      <x:c r="B1325" s="21" t="str">
        <x:v>BL-01319</x:v>
      </x:c>
      <x:c r="C1325" s="21" t="str">
        <x:v>F48-I1</x:v>
      </x:c>
      <x:c r="D1325" s="21" t="str">
        <x:v>F48</x:v>
      </x:c>
      <x:c r="E1325" s="21" t="str">
        <x:v>B2</x:v>
      </x:c>
      <x:c r="F1325" s="21" t="str">
        <x:v>Architecture</x:v>
      </x:c>
      <x:c r="G1325" s="21" t="str">
        <x:v>0.0.0</x:v>
      </x:c>
      <x:c r="H1325" s="21" t="str">
        <x:v>Independent Evidence and Data Authority</x:v>
      </x:c>
      <x:c r="I1325" s="21" t="str">
        <x:v>OPEN</x:v>
      </x:c>
      <x:c r="J1325" s="21" t="str">
        <x:v>HOLD</x:v>
      </x:c>
      <x:c r="K1325" s="23" t="str">
        <x:v>what interfaces and budgets govern the system must be accepted before downstream release</x:v>
      </x:c>
    </x:row>
    <x:row r="1326">
      <x:c r="B1326" s="21" t="str">
        <x:v>BL-01320</x:v>
      </x:c>
      <x:c r="C1326" s="21" t="str">
        <x:v>F48-I1</x:v>
      </x:c>
      <x:c r="D1326" s="21" t="str">
        <x:v>F48</x:v>
      </x:c>
      <x:c r="E1326" s="21" t="str">
        <x:v>B3</x:v>
      </x:c>
      <x:c r="F1326" s="21" t="str">
        <x:v>Build</x:v>
      </x:c>
      <x:c r="G1326" s="21" t="str">
        <x:v>0.0.0</x:v>
      </x:c>
      <x:c r="H1326" s="21" t="str">
        <x:v>Independent Evidence and Data Authority</x:v>
      </x:c>
      <x:c r="I1326" s="21" t="str">
        <x:v>OPEN</x:v>
      </x:c>
      <x:c r="J1326" s="21" t="str">
        <x:v>HOLD</x:v>
      </x:c>
      <x:c r="K1326" s="23" t="str">
        <x:v>what exact configuration produced the article must be accepted before downstream release</x:v>
      </x:c>
    </x:row>
    <x:row r="1327">
      <x:c r="B1327" s="21" t="str">
        <x:v>BL-01321</x:v>
      </x:c>
      <x:c r="C1327" s="21" t="str">
        <x:v>F48-I1</x:v>
      </x:c>
      <x:c r="D1327" s="21" t="str">
        <x:v>F48</x:v>
      </x:c>
      <x:c r="E1327" s="21" t="str">
        <x:v>B4</x:v>
      </x:c>
      <x:c r="F1327" s="21" t="str">
        <x:v>Trial</x:v>
      </x:c>
      <x:c r="G1327" s="21" t="str">
        <x:v>0.0.0</x:v>
      </x:c>
      <x:c r="H1327" s="21" t="str">
        <x:v>Independent Evidence and Data Authority</x:v>
      </x:c>
      <x:c r="I1327" s="21" t="str">
        <x:v>OPEN</x:v>
      </x:c>
      <x:c r="J1327" s="21" t="str">
        <x:v>HOLD</x:v>
      </x:c>
      <x:c r="K1327" s="23" t="str">
        <x:v>what configuration method and damage world produced evidence must be accepted before downstream release</x:v>
      </x:c>
    </x:row>
    <x:row r="1328">
      <x:c r="B1328" s="21" t="str">
        <x:v>BL-01322</x:v>
      </x:c>
      <x:c r="C1328" s="21" t="str">
        <x:v>F48-I1</x:v>
      </x:c>
      <x:c r="D1328" s="21" t="str">
        <x:v>F48</x:v>
      </x:c>
      <x:c r="E1328" s="21" t="str">
        <x:v>B5</x:v>
      </x:c>
      <x:c r="F1328" s="21" t="str">
        <x:v>Production</x:v>
      </x:c>
      <x:c r="G1328" s="21" t="str">
        <x:v>0.0.0</x:v>
      </x:c>
      <x:c r="H1328" s="21" t="str">
        <x:v>Independent Evidence and Data Authority</x:v>
      </x:c>
      <x:c r="I1328" s="21" t="str">
        <x:v>OPEN</x:v>
      </x:c>
      <x:c r="J1328" s="21" t="str">
        <x:v>HOLD</x:v>
      </x:c>
      <x:c r="K1328" s="23" t="str">
        <x:v>what process configuration and acceptance define serial output must be accepted before downstream release</x:v>
      </x:c>
    </x:row>
    <x:row r="1329">
      <x:c r="B1329" s="21" t="str">
        <x:v>BL-01323</x:v>
      </x:c>
      <x:c r="C1329" s="21" t="str">
        <x:v>F48-I1</x:v>
      </x:c>
      <x:c r="D1329" s="21" t="str">
        <x:v>F48</x:v>
      </x:c>
      <x:c r="E1329" s="21" t="str">
        <x:v>B6</x:v>
      </x:c>
      <x:c r="F1329" s="21" t="str">
        <x:v>Mobilization</x:v>
      </x:c>
      <x:c r="G1329" s="21" t="str">
        <x:v>0.0.0</x:v>
      </x:c>
      <x:c r="H1329" s="21" t="str">
        <x:v>Independent Evidence and Data Authority</x:v>
      </x:c>
      <x:c r="I1329" s="21" t="str">
        <x:v>OPEN</x:v>
      </x:c>
      <x:c r="J1329" s="21" t="str">
        <x:v>HOLD</x:v>
      </x:c>
      <x:c r="K1329" s="23" t="str">
        <x:v>what people tools suppliers and routes reproduce conforming service must be accepted before downstream release</x:v>
      </x:c>
    </x:row>
    <x:row r="1330">
      <x:c r="B1330" s="21" t="str">
        <x:v>BL-01324</x:v>
      </x:c>
      <x:c r="C1330" s="21" t="str">
        <x:v>F48-I2</x:v>
      </x:c>
      <x:c r="D1330" s="21" t="str">
        <x:v>F48</x:v>
      </x:c>
      <x:c r="E1330" s="21" t="str">
        <x:v>B0</x:v>
      </x:c>
      <x:c r="F1330" s="21" t="str">
        <x:v>Effect</x:v>
      </x:c>
      <x:c r="G1330" s="21" t="str">
        <x:v>0.0.0</x:v>
      </x:c>
      <x:c r="H1330" s="21" t="str">
        <x:v>Independent Evidence and Data Authority</x:v>
      </x:c>
      <x:c r="I1330" s="21" t="str">
        <x:v>OPEN</x:v>
      </x:c>
      <x:c r="J1330" s="21" t="str">
        <x:v>HOLD</x:v>
      </x:c>
      <x:c r="K1330" s="23" t="str">
        <x:v>what public condition must exist must be accepted before downstream release</x:v>
      </x:c>
    </x:row>
    <x:row r="1331">
      <x:c r="B1331" s="21" t="str">
        <x:v>BL-01325</x:v>
      </x:c>
      <x:c r="C1331" s="21" t="str">
        <x:v>F48-I2</x:v>
      </x:c>
      <x:c r="D1331" s="21" t="str">
        <x:v>F48</x:v>
      </x:c>
      <x:c r="E1331" s="21" t="str">
        <x:v>B1</x:v>
      </x:c>
      <x:c r="F1331" s="21" t="str">
        <x:v>Requirements</x:v>
      </x:c>
      <x:c r="G1331" s="21" t="str">
        <x:v>0.0.0</x:v>
      </x:c>
      <x:c r="H1331" s="21" t="str">
        <x:v>Independent Evidence and Data Authority</x:v>
      </x:c>
      <x:c r="I1331" s="21" t="str">
        <x:v>OPEN</x:v>
      </x:c>
      <x:c r="J1331" s="21" t="str">
        <x:v>HOLD</x:v>
      </x:c>
      <x:c r="K1331" s="23" t="str">
        <x:v>what burdens and invalid states bound the effect must be accepted before downstream release</x:v>
      </x:c>
    </x:row>
    <x:row r="1332">
      <x:c r="B1332" s="21" t="str">
        <x:v>BL-01326</x:v>
      </x:c>
      <x:c r="C1332" s="21" t="str">
        <x:v>F48-I2</x:v>
      </x:c>
      <x:c r="D1332" s="21" t="str">
        <x:v>F48</x:v>
      </x:c>
      <x:c r="E1332" s="21" t="str">
        <x:v>B2</x:v>
      </x:c>
      <x:c r="F1332" s="21" t="str">
        <x:v>Architecture</x:v>
      </x:c>
      <x:c r="G1332" s="21" t="str">
        <x:v>0.0.0</x:v>
      </x:c>
      <x:c r="H1332" s="21" t="str">
        <x:v>Independent Evidence and Data Authority</x:v>
      </x:c>
      <x:c r="I1332" s="21" t="str">
        <x:v>OPEN</x:v>
      </x:c>
      <x:c r="J1332" s="21" t="str">
        <x:v>HOLD</x:v>
      </x:c>
      <x:c r="K1332" s="23" t="str">
        <x:v>what interfaces and budgets govern the system must be accepted before downstream release</x:v>
      </x:c>
    </x:row>
    <x:row r="1333">
      <x:c r="B1333" s="21" t="str">
        <x:v>BL-01327</x:v>
      </x:c>
      <x:c r="C1333" s="21" t="str">
        <x:v>F48-I2</x:v>
      </x:c>
      <x:c r="D1333" s="21" t="str">
        <x:v>F48</x:v>
      </x:c>
      <x:c r="E1333" s="21" t="str">
        <x:v>B3</x:v>
      </x:c>
      <x:c r="F1333" s="21" t="str">
        <x:v>Build</x:v>
      </x:c>
      <x:c r="G1333" s="21" t="str">
        <x:v>0.0.0</x:v>
      </x:c>
      <x:c r="H1333" s="21" t="str">
        <x:v>Independent Evidence and Data Authority</x:v>
      </x:c>
      <x:c r="I1333" s="21" t="str">
        <x:v>OPEN</x:v>
      </x:c>
      <x:c r="J1333" s="21" t="str">
        <x:v>HOLD</x:v>
      </x:c>
      <x:c r="K1333" s="23" t="str">
        <x:v>what exact configuration produced the article must be accepted before downstream release</x:v>
      </x:c>
    </x:row>
    <x:row r="1334">
      <x:c r="B1334" s="21" t="str">
        <x:v>BL-01328</x:v>
      </x:c>
      <x:c r="C1334" s="21" t="str">
        <x:v>F48-I2</x:v>
      </x:c>
      <x:c r="D1334" s="21" t="str">
        <x:v>F48</x:v>
      </x:c>
      <x:c r="E1334" s="21" t="str">
        <x:v>B4</x:v>
      </x:c>
      <x:c r="F1334" s="21" t="str">
        <x:v>Trial</x:v>
      </x:c>
      <x:c r="G1334" s="21" t="str">
        <x:v>0.0.0</x:v>
      </x:c>
      <x:c r="H1334" s="21" t="str">
        <x:v>Independent Evidence and Data Authority</x:v>
      </x:c>
      <x:c r="I1334" s="21" t="str">
        <x:v>OPEN</x:v>
      </x:c>
      <x:c r="J1334" s="21" t="str">
        <x:v>HOLD</x:v>
      </x:c>
      <x:c r="K1334" s="23" t="str">
        <x:v>what configuration method and damage world produced evidence must be accepted before downstream release</x:v>
      </x:c>
    </x:row>
    <x:row r="1335">
      <x:c r="B1335" s="21" t="str">
        <x:v>BL-01329</x:v>
      </x:c>
      <x:c r="C1335" s="21" t="str">
        <x:v>F48-I2</x:v>
      </x:c>
      <x:c r="D1335" s="21" t="str">
        <x:v>F48</x:v>
      </x:c>
      <x:c r="E1335" s="21" t="str">
        <x:v>B5</x:v>
      </x:c>
      <x:c r="F1335" s="21" t="str">
        <x:v>Production</x:v>
      </x:c>
      <x:c r="G1335" s="21" t="str">
        <x:v>0.0.0</x:v>
      </x:c>
      <x:c r="H1335" s="21" t="str">
        <x:v>Independent Evidence and Data Authority</x:v>
      </x:c>
      <x:c r="I1335" s="21" t="str">
        <x:v>OPEN</x:v>
      </x:c>
      <x:c r="J1335" s="21" t="str">
        <x:v>HOLD</x:v>
      </x:c>
      <x:c r="K1335" s="23" t="str">
        <x:v>what process configuration and acceptance define serial output must be accepted before downstream release</x:v>
      </x:c>
    </x:row>
    <x:row r="1336">
      <x:c r="B1336" s="21" t="str">
        <x:v>BL-01330</x:v>
      </x:c>
      <x:c r="C1336" s="21" t="str">
        <x:v>F48-I2</x:v>
      </x:c>
      <x:c r="D1336" s="21" t="str">
        <x:v>F48</x:v>
      </x:c>
      <x:c r="E1336" s="21" t="str">
        <x:v>B6</x:v>
      </x:c>
      <x:c r="F1336" s="21" t="str">
        <x:v>Mobilization</x:v>
      </x:c>
      <x:c r="G1336" s="21" t="str">
        <x:v>0.0.0</x:v>
      </x:c>
      <x:c r="H1336" s="21" t="str">
        <x:v>Independent Evidence and Data Authority</x:v>
      </x:c>
      <x:c r="I1336" s="21" t="str">
        <x:v>OPEN</x:v>
      </x:c>
      <x:c r="J1336" s="21" t="str">
        <x:v>HOLD</x:v>
      </x:c>
      <x:c r="K1336" s="23" t="str">
        <x:v>what people tools suppliers and routes reproduce conforming service must be accepted before downstream release</x:v>
      </x:c>
    </x:row>
    <x:row r="1337">
      <x:c r="B1337" s="21" t="str">
        <x:v>BL-01331</x:v>
      </x:c>
      <x:c r="C1337" s="21" t="str">
        <x:v>F48-I3</x:v>
      </x:c>
      <x:c r="D1337" s="21" t="str">
        <x:v>F48</x:v>
      </x:c>
      <x:c r="E1337" s="21" t="str">
        <x:v>B0</x:v>
      </x:c>
      <x:c r="F1337" s="21" t="str">
        <x:v>Effect</x:v>
      </x:c>
      <x:c r="G1337" s="21" t="str">
        <x:v>0.0.0</x:v>
      </x:c>
      <x:c r="H1337" s="21" t="str">
        <x:v>Independent Evidence and Data Authority</x:v>
      </x:c>
      <x:c r="I1337" s="21" t="str">
        <x:v>OPEN</x:v>
      </x:c>
      <x:c r="J1337" s="21" t="str">
        <x:v>HOLD</x:v>
      </x:c>
      <x:c r="K1337" s="23" t="str">
        <x:v>what public condition must exist must be accepted before downstream release</x:v>
      </x:c>
    </x:row>
    <x:row r="1338">
      <x:c r="B1338" s="21" t="str">
        <x:v>BL-01332</x:v>
      </x:c>
      <x:c r="C1338" s="21" t="str">
        <x:v>F48-I3</x:v>
      </x:c>
      <x:c r="D1338" s="21" t="str">
        <x:v>F48</x:v>
      </x:c>
      <x:c r="E1338" s="21" t="str">
        <x:v>B1</x:v>
      </x:c>
      <x:c r="F1338" s="21" t="str">
        <x:v>Requirements</x:v>
      </x:c>
      <x:c r="G1338" s="21" t="str">
        <x:v>0.0.0</x:v>
      </x:c>
      <x:c r="H1338" s="21" t="str">
        <x:v>Independent Evidence and Data Authority</x:v>
      </x:c>
      <x:c r="I1338" s="21" t="str">
        <x:v>OPEN</x:v>
      </x:c>
      <x:c r="J1338" s="21" t="str">
        <x:v>HOLD</x:v>
      </x:c>
      <x:c r="K1338" s="23" t="str">
        <x:v>what burdens and invalid states bound the effect must be accepted before downstream release</x:v>
      </x:c>
    </x:row>
    <x:row r="1339">
      <x:c r="B1339" s="21" t="str">
        <x:v>BL-01333</x:v>
      </x:c>
      <x:c r="C1339" s="21" t="str">
        <x:v>F48-I3</x:v>
      </x:c>
      <x:c r="D1339" s="21" t="str">
        <x:v>F48</x:v>
      </x:c>
      <x:c r="E1339" s="21" t="str">
        <x:v>B2</x:v>
      </x:c>
      <x:c r="F1339" s="21" t="str">
        <x:v>Architecture</x:v>
      </x:c>
      <x:c r="G1339" s="21" t="str">
        <x:v>0.0.0</x:v>
      </x:c>
      <x:c r="H1339" s="21" t="str">
        <x:v>Independent Evidence and Data Authority</x:v>
      </x:c>
      <x:c r="I1339" s="21" t="str">
        <x:v>OPEN</x:v>
      </x:c>
      <x:c r="J1339" s="21" t="str">
        <x:v>HOLD</x:v>
      </x:c>
      <x:c r="K1339" s="23" t="str">
        <x:v>what interfaces and budgets govern the system must be accepted before downstream release</x:v>
      </x:c>
    </x:row>
    <x:row r="1340">
      <x:c r="B1340" s="21" t="str">
        <x:v>BL-01334</x:v>
      </x:c>
      <x:c r="C1340" s="21" t="str">
        <x:v>F48-I3</x:v>
      </x:c>
      <x:c r="D1340" s="21" t="str">
        <x:v>F48</x:v>
      </x:c>
      <x:c r="E1340" s="21" t="str">
        <x:v>B3</x:v>
      </x:c>
      <x:c r="F1340" s="21" t="str">
        <x:v>Build</x:v>
      </x:c>
      <x:c r="G1340" s="21" t="str">
        <x:v>0.0.0</x:v>
      </x:c>
      <x:c r="H1340" s="21" t="str">
        <x:v>Independent Evidence and Data Authority</x:v>
      </x:c>
      <x:c r="I1340" s="21" t="str">
        <x:v>OPEN</x:v>
      </x:c>
      <x:c r="J1340" s="21" t="str">
        <x:v>HOLD</x:v>
      </x:c>
      <x:c r="K1340" s="23" t="str">
        <x:v>what exact configuration produced the article must be accepted before downstream release</x:v>
      </x:c>
    </x:row>
    <x:row r="1341">
      <x:c r="B1341" s="21" t="str">
        <x:v>BL-01335</x:v>
      </x:c>
      <x:c r="C1341" s="21" t="str">
        <x:v>F48-I3</x:v>
      </x:c>
      <x:c r="D1341" s="21" t="str">
        <x:v>F48</x:v>
      </x:c>
      <x:c r="E1341" s="21" t="str">
        <x:v>B4</x:v>
      </x:c>
      <x:c r="F1341" s="21" t="str">
        <x:v>Trial</x:v>
      </x:c>
      <x:c r="G1341" s="21" t="str">
        <x:v>0.0.0</x:v>
      </x:c>
      <x:c r="H1341" s="21" t="str">
        <x:v>Independent Evidence and Data Authority</x:v>
      </x:c>
      <x:c r="I1341" s="21" t="str">
        <x:v>OPEN</x:v>
      </x:c>
      <x:c r="J1341" s="21" t="str">
        <x:v>HOLD</x:v>
      </x:c>
      <x:c r="K1341" s="23" t="str">
        <x:v>what configuration method and damage world produced evidence must be accepted before downstream release</x:v>
      </x:c>
    </x:row>
    <x:row r="1342">
      <x:c r="B1342" s="21" t="str">
        <x:v>BL-01336</x:v>
      </x:c>
      <x:c r="C1342" s="21" t="str">
        <x:v>F48-I3</x:v>
      </x:c>
      <x:c r="D1342" s="21" t="str">
        <x:v>F48</x:v>
      </x:c>
      <x:c r="E1342" s="21" t="str">
        <x:v>B5</x:v>
      </x:c>
      <x:c r="F1342" s="21" t="str">
        <x:v>Production</x:v>
      </x:c>
      <x:c r="G1342" s="21" t="str">
        <x:v>0.0.0</x:v>
      </x:c>
      <x:c r="H1342" s="21" t="str">
        <x:v>Independent Evidence and Data Authority</x:v>
      </x:c>
      <x:c r="I1342" s="21" t="str">
        <x:v>OPEN</x:v>
      </x:c>
      <x:c r="J1342" s="21" t="str">
        <x:v>HOLD</x:v>
      </x:c>
      <x:c r="K1342" s="23" t="str">
        <x:v>what process configuration and acceptance define serial output must be accepted before downstream release</x:v>
      </x:c>
    </x:row>
    <x:row r="1343">
      <x:c r="B1343" s="21" t="str">
        <x:v>BL-01337</x:v>
      </x:c>
      <x:c r="C1343" s="21" t="str">
        <x:v>F48-I3</x:v>
      </x:c>
      <x:c r="D1343" s="21" t="str">
        <x:v>F48</x:v>
      </x:c>
      <x:c r="E1343" s="21" t="str">
        <x:v>B6</x:v>
      </x:c>
      <x:c r="F1343" s="21" t="str">
        <x:v>Mobilization</x:v>
      </x:c>
      <x:c r="G1343" s="21" t="str">
        <x:v>0.0.0</x:v>
      </x:c>
      <x:c r="H1343" s="21" t="str">
        <x:v>Independent Evidence and Data Authority</x:v>
      </x:c>
      <x:c r="I1343" s="21" t="str">
        <x:v>OPEN</x:v>
      </x:c>
      <x:c r="J1343" s="21" t="str">
        <x:v>HOLD</x:v>
      </x:c>
      <x:c r="K1343" s="23" t="str">
        <x:v>what people tools suppliers and routes reproduce conforming service must be accepted before downstream release</x:v>
      </x:c>
    </x:row>
    <x:row r="1344">
      <x:c r="B1344" s="21" t="str">
        <x:v>BL-01338</x:v>
      </x:c>
      <x:c r="C1344" s="21" t="str">
        <x:v>F48-I4</x:v>
      </x:c>
      <x:c r="D1344" s="21" t="str">
        <x:v>F48</x:v>
      </x:c>
      <x:c r="E1344" s="21" t="str">
        <x:v>B0</x:v>
      </x:c>
      <x:c r="F1344" s="21" t="str">
        <x:v>Effect</x:v>
      </x:c>
      <x:c r="G1344" s="21" t="str">
        <x:v>0.0.0</x:v>
      </x:c>
      <x:c r="H1344" s="21" t="str">
        <x:v>Independent Evidence and Data Authority</x:v>
      </x:c>
      <x:c r="I1344" s="21" t="str">
        <x:v>OPEN</x:v>
      </x:c>
      <x:c r="J1344" s="21" t="str">
        <x:v>HOLD</x:v>
      </x:c>
      <x:c r="K1344" s="23" t="str">
        <x:v>what public condition must exist must be accepted before downstream release</x:v>
      </x:c>
    </x:row>
    <x:row r="1345">
      <x:c r="B1345" s="21" t="str">
        <x:v>BL-01339</x:v>
      </x:c>
      <x:c r="C1345" s="21" t="str">
        <x:v>F48-I4</x:v>
      </x:c>
      <x:c r="D1345" s="21" t="str">
        <x:v>F48</x:v>
      </x:c>
      <x:c r="E1345" s="21" t="str">
        <x:v>B1</x:v>
      </x:c>
      <x:c r="F1345" s="21" t="str">
        <x:v>Requirements</x:v>
      </x:c>
      <x:c r="G1345" s="21" t="str">
        <x:v>0.0.0</x:v>
      </x:c>
      <x:c r="H1345" s="21" t="str">
        <x:v>Independent Evidence and Data Authority</x:v>
      </x:c>
      <x:c r="I1345" s="21" t="str">
        <x:v>OPEN</x:v>
      </x:c>
      <x:c r="J1345" s="21" t="str">
        <x:v>HOLD</x:v>
      </x:c>
      <x:c r="K1345" s="23" t="str">
        <x:v>what burdens and invalid states bound the effect must be accepted before downstream release</x:v>
      </x:c>
    </x:row>
    <x:row r="1346">
      <x:c r="B1346" s="21" t="str">
        <x:v>BL-01340</x:v>
      </x:c>
      <x:c r="C1346" s="21" t="str">
        <x:v>F48-I4</x:v>
      </x:c>
      <x:c r="D1346" s="21" t="str">
        <x:v>F48</x:v>
      </x:c>
      <x:c r="E1346" s="21" t="str">
        <x:v>B2</x:v>
      </x:c>
      <x:c r="F1346" s="21" t="str">
        <x:v>Architecture</x:v>
      </x:c>
      <x:c r="G1346" s="21" t="str">
        <x:v>0.0.0</x:v>
      </x:c>
      <x:c r="H1346" s="21" t="str">
        <x:v>Independent Evidence and Data Authority</x:v>
      </x:c>
      <x:c r="I1346" s="21" t="str">
        <x:v>OPEN</x:v>
      </x:c>
      <x:c r="J1346" s="21" t="str">
        <x:v>HOLD</x:v>
      </x:c>
      <x:c r="K1346" s="23" t="str">
        <x:v>what interfaces and budgets govern the system must be accepted before downstream release</x:v>
      </x:c>
    </x:row>
    <x:row r="1347">
      <x:c r="B1347" s="21" t="str">
        <x:v>BL-01341</x:v>
      </x:c>
      <x:c r="C1347" s="21" t="str">
        <x:v>F48-I4</x:v>
      </x:c>
      <x:c r="D1347" s="21" t="str">
        <x:v>F48</x:v>
      </x:c>
      <x:c r="E1347" s="21" t="str">
        <x:v>B3</x:v>
      </x:c>
      <x:c r="F1347" s="21" t="str">
        <x:v>Build</x:v>
      </x:c>
      <x:c r="G1347" s="21" t="str">
        <x:v>0.0.0</x:v>
      </x:c>
      <x:c r="H1347" s="21" t="str">
        <x:v>Independent Evidence and Data Authority</x:v>
      </x:c>
      <x:c r="I1347" s="21" t="str">
        <x:v>OPEN</x:v>
      </x:c>
      <x:c r="J1347" s="21" t="str">
        <x:v>HOLD</x:v>
      </x:c>
      <x:c r="K1347" s="23" t="str">
        <x:v>what exact configuration produced the article must be accepted before downstream release</x:v>
      </x:c>
    </x:row>
    <x:row r="1348">
      <x:c r="B1348" s="21" t="str">
        <x:v>BL-01342</x:v>
      </x:c>
      <x:c r="C1348" s="21" t="str">
        <x:v>F48-I4</x:v>
      </x:c>
      <x:c r="D1348" s="21" t="str">
        <x:v>F48</x:v>
      </x:c>
      <x:c r="E1348" s="21" t="str">
        <x:v>B4</x:v>
      </x:c>
      <x:c r="F1348" s="21" t="str">
        <x:v>Trial</x:v>
      </x:c>
      <x:c r="G1348" s="21" t="str">
        <x:v>0.0.0</x:v>
      </x:c>
      <x:c r="H1348" s="21" t="str">
        <x:v>Independent Evidence and Data Authority</x:v>
      </x:c>
      <x:c r="I1348" s="21" t="str">
        <x:v>OPEN</x:v>
      </x:c>
      <x:c r="J1348" s="21" t="str">
        <x:v>HOLD</x:v>
      </x:c>
      <x:c r="K1348" s="23" t="str">
        <x:v>what configuration method and damage world produced evidence must be accepted before downstream release</x:v>
      </x:c>
    </x:row>
    <x:row r="1349">
      <x:c r="B1349" s="21" t="str">
        <x:v>BL-01343</x:v>
      </x:c>
      <x:c r="C1349" s="21" t="str">
        <x:v>F48-I4</x:v>
      </x:c>
      <x:c r="D1349" s="21" t="str">
        <x:v>F48</x:v>
      </x:c>
      <x:c r="E1349" s="21" t="str">
        <x:v>B5</x:v>
      </x:c>
      <x:c r="F1349" s="21" t="str">
        <x:v>Production</x:v>
      </x:c>
      <x:c r="G1349" s="21" t="str">
        <x:v>0.0.0</x:v>
      </x:c>
      <x:c r="H1349" s="21" t="str">
        <x:v>Independent Evidence and Data Authority</x:v>
      </x:c>
      <x:c r="I1349" s="21" t="str">
        <x:v>OPEN</x:v>
      </x:c>
      <x:c r="J1349" s="21" t="str">
        <x:v>HOLD</x:v>
      </x:c>
      <x:c r="K1349" s="23" t="str">
        <x:v>what process configuration and acceptance define serial output must be accepted before downstream release</x:v>
      </x:c>
    </x:row>
    <x:row r="1350">
      <x:c r="B1350" s="24" t="str">
        <x:v>BL-01344</x:v>
      </x:c>
      <x:c r="C1350" s="24" t="str">
        <x:v>F48-I4</x:v>
      </x:c>
      <x:c r="D1350" s="24" t="str">
        <x:v>F48</x:v>
      </x:c>
      <x:c r="E1350" s="24" t="str">
        <x:v>B6</x:v>
      </x:c>
      <x:c r="F1350" s="24" t="str">
        <x:v>Mobilization</x:v>
      </x:c>
      <x:c r="G1350" s="24" t="str">
        <x:v>0.0.0</x:v>
      </x:c>
      <x:c r="H1350" s="24" t="str">
        <x:v>Independent Evidence and Data Authority</x:v>
      </x:c>
      <x:c r="I1350" s="24" t="str">
        <x:v>OPEN</x:v>
      </x:c>
      <x:c r="J1350" s="24" t="str">
        <x:v>HOLD</x:v>
      </x:c>
      <x:c r="K1350" s="26" t="str">
        <x:v>what people tools suppliers and routes reproduce conforming service must be accepted before downstream release</x:v>
      </x:c>
    </x:row>
    <x:row r="1351">
      <x:c r="B1351" s="2"/>
      <x:c r="C1351" s="2"/>
      <x:c r="D1351" s="2"/>
      <x:c r="E1351" s="2"/>
      <x:c r="F1351" s="2"/>
      <x:c r="G1351" s="2"/>
      <x:c r="H1351" s="2"/>
      <x:c r="I1351" s="2"/>
      <x:c r="J1351" s="2"/>
      <x:c r="K1351" s="2"/>
    </x:row>
    <x:row r="1352">
      <x:c r="B1352" s="2"/>
      <x:c r="C1352" s="2"/>
      <x:c r="D1352" s="2"/>
      <x:c r="E1352" s="2"/>
      <x:c r="F1352" s="2"/>
      <x:c r="G1352" s="2"/>
      <x:c r="H1352" s="2"/>
      <x:c r="I1352" s="2"/>
      <x:c r="J1352" s="2"/>
      <x:c r="K1352" s="2"/>
    </x:row>
    <x:row r="1353">
      <x:c r="B1353" s="2"/>
      <x:c r="C1353" s="2"/>
      <x:c r="D1353" s="2"/>
      <x:c r="E1353" s="2"/>
      <x:c r="F1353" s="2"/>
      <x:c r="G1353" s="2"/>
      <x:c r="H1353" s="2"/>
      <x:c r="I1353" s="2"/>
      <x:c r="J1353" s="2"/>
      <x:c r="K1353" s="2"/>
    </x:row>
    <x:row r="1354">
      <x:c r="B1354" s="2"/>
      <x:c r="C1354" s="2"/>
      <x:c r="D1354" s="2"/>
      <x:c r="E1354" s="2"/>
      <x:c r="F1354" s="2"/>
      <x:c r="G1354" s="2"/>
      <x:c r="H1354" s="2"/>
      <x:c r="I1354" s="2"/>
      <x:c r="J1354" s="2"/>
      <x:c r="K1354" s="2"/>
    </x:row>
    <x:row r="1355">
      <x:c r="B1355" s="2"/>
      <x:c r="C1355" s="2"/>
      <x:c r="D1355" s="2"/>
      <x:c r="E1355" s="2"/>
      <x:c r="F1355" s="2"/>
      <x:c r="G1355" s="2"/>
      <x:c r="H1355" s="2"/>
      <x:c r="I1355" s="2"/>
      <x:c r="J1355" s="2"/>
      <x:c r="K1355" s="2"/>
    </x:row>
    <x:row r="1356">
      <x:c r="B1356" s="2"/>
      <x:c r="C1356" s="2"/>
      <x:c r="D1356" s="2"/>
      <x:c r="E1356" s="2"/>
      <x:c r="F1356" s="2"/>
      <x:c r="G1356" s="2"/>
      <x:c r="H1356" s="2"/>
      <x:c r="I1356" s="2"/>
      <x:c r="J1356" s="2"/>
      <x:c r="K1356" s="2"/>
    </x:row>
  </x:sheetData>
  <x:mergeCells>
    <x:mergeCell ref="B3:K3"/>
  </x:mergeCells>
  <x:conditionalFormatting sqref="I7:J1350">
    <x:cfRule type="containsText" dxfId="25" priority="1" operator="containsText" text="OPEN"/>
    <x:cfRule type="containsText" dxfId="26" priority="2" operator="containsText" text="HOLD"/>
    <x:cfRule type="containsText" dxfId="27" priority="3" operator="containsText" text="BLOCKED"/>
    <x:cfRule type="containsText" dxfId="28" priority="4" operator="containsText" text="FAIL"/>
    <x:cfRule type="containsText" dxfId="29" priority="5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2" hidden="0" customWidth="1"/>
    <x:col min="4" max="4" width="34" hidden="0" customWidth="1"/>
    <x:col min="5" max="5" width="20" hidden="0" customWidth="1"/>
    <x:col min="6" max="6" width="58" hidden="0" customWidth="1"/>
    <x:col min="7" max="7" width="22" hidden="0" customWidth="1"/>
    <x:col min="8" max="8" width="13" hidden="0" customWidth="1"/>
    <x:col min="9" max="9" width="13" hidden="0" customWidth="1"/>
    <x:col min="10" max="10" width="42" hidden="0" customWidth="1"/>
  </x:cols>
  <x:sheetData>
    <x:row r="2">
      <x:c r="B2" s="3" t="str">
        <x:v>Change-control constitution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A change is a causal event with named authority and automatic consequences. Urgency may accelerate evidence generation but cannot erase reopened findings.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Class</x:v>
      </x:c>
      <x:c r="C6" s="20" t="str">
        <x:v>Change object</x:v>
      </x:c>
      <x:c r="D6" s="20" t="str">
        <x:v>Adjudicator</x:v>
      </x:c>
      <x:c r="E6" s="20" t="str">
        <x:v>Baselines reopened</x:v>
      </x:c>
      <x:c r="F6" s="20" t="str">
        <x:v>Mandatory consequence</x:v>
      </x:c>
      <x:c r="G6" s="20" t="str">
        <x:v>Builder may self-approve</x:v>
      </x:c>
      <x:c r="H6" s="20" t="str">
        <x:v>Evidence state</x:v>
      </x:c>
      <x:c r="I6" s="20" t="str">
        <x:v>Decision</x:v>
      </x:c>
      <x:c r="J6" s="20" t="str">
        <x:v>Public trace</x:v>
      </x:c>
    </x:row>
    <x:row r="7" ht="40" customHeight="1">
      <x:c r="B7" s="35" t="str">
        <x:v>C01</x:v>
      </x:c>
      <x:c r="C7" s="35" t="str">
        <x:v>Mission effect</x:v>
      </x:c>
      <x:c r="D7" s="35" t="str">
        <x:v>Civil Guarantee Authority</x:v>
      </x:c>
      <x:c r="E7" s="35" t="str">
        <x:v>B0-B6</x:v>
      </x:c>
      <x:c r="F7" s="35" t="str">
        <x:v>reopen every downstream finding; no grandfathering</x:v>
      </x:c>
      <x:c r="G7" s="35" t="n">
        <x:v>0</x:v>
      </x:c>
      <x:c r="H7" s="35" t="str">
        <x:v>OPEN</x:v>
      </x:c>
      <x:c r="I7" s="35" t="str">
        <x:v>HOLD</x:v>
      </x:c>
      <x:c r="J7" s="38" t="str">
        <x:v>immutable change record + affected serials</x:v>
      </x:c>
    </x:row>
    <x:row r="8" ht="40" customHeight="1">
      <x:c r="B8" s="35" t="str">
        <x:v>C02</x:v>
      </x:c>
      <x:c r="C8" s="35" t="str">
        <x:v>Damage world or invalid state</x:v>
      </x:c>
      <x:c r="D8" s="35" t="str">
        <x:v>Resilience Staff</x:v>
      </x:c>
      <x:c r="E8" s="35" t="str">
        <x:v>B1-B6</x:v>
      </x:c>
      <x:c r="F8" s="35" t="str">
        <x:v>repeat affected evidence and burden closure</x:v>
      </x:c>
      <x:c r="G8" s="35" t="n">
        <x:v>0</x:v>
      </x:c>
      <x:c r="H8" s="35" t="str">
        <x:v>OPEN</x:v>
      </x:c>
      <x:c r="I8" s="35" t="str">
        <x:v>HOLD</x:v>
      </x:c>
      <x:c r="J8" s="38" t="str">
        <x:v>immutable change record + affected serials</x:v>
      </x:c>
    </x:row>
    <x:row r="9" ht="40" customHeight="1">
      <x:c r="B9" s="35" t="str">
        <x:v>C03</x:v>
      </x:c>
      <x:c r="C9" s="35" t="str">
        <x:v>Interface</x:v>
      </x:c>
      <x:c r="D9" s="35" t="str">
        <x:v>Configuration Control Board</x:v>
      </x:c>
      <x:c r="E9" s="35" t="str">
        <x:v>B2-B6</x:v>
      </x:c>
      <x:c r="F9" s="35" t="str">
        <x:v>impact every dependent family and receiver</x:v>
      </x:c>
      <x:c r="G9" s="35" t="n">
        <x:v>0</x:v>
      </x:c>
      <x:c r="H9" s="35" t="str">
        <x:v>OPEN</x:v>
      </x:c>
      <x:c r="I9" s="35" t="str">
        <x:v>HOLD</x:v>
      </x:c>
      <x:c r="J9" s="38" t="str">
        <x:v>immutable change record + affected serials</x:v>
      </x:c>
    </x:row>
    <x:row r="10" ht="40" customHeight="1">
      <x:c r="B10" s="35" t="str">
        <x:v>C04</x:v>
      </x:c>
      <x:c r="C10" s="35" t="str">
        <x:v>Technical root or ancestry</x:v>
      </x:c>
      <x:c r="D10" s="35" t="str">
        <x:v>Source-Independence Authority</x:v>
      </x:c>
      <x:c r="E10" s="35" t="str">
        <x:v>B1-B6</x:v>
      </x:c>
      <x:c r="F10" s="35" t="str">
        <x:v>quarantine common-mode claims and activate alternate</x:v>
      </x:c>
      <x:c r="G10" s="35" t="n">
        <x:v>0</x:v>
      </x:c>
      <x:c r="H10" s="35" t="str">
        <x:v>OPEN</x:v>
      </x:c>
      <x:c r="I10" s="35" t="str">
        <x:v>HOLD</x:v>
      </x:c>
      <x:c r="J10" s="38" t="str">
        <x:v>immutable change record + affected serials</x:v>
      </x:c>
    </x:row>
    <x:row r="11" ht="40" customHeight="1">
      <x:c r="B11" s="35" t="str">
        <x:v>C05</x:v>
      </x:c>
      <x:c r="C11" s="35" t="str">
        <x:v>Facility process or tooling</x:v>
      </x:c>
      <x:c r="D11" s="35" t="str">
        <x:v>Industrial Mobilization Authority</x:v>
      </x:c>
      <x:c r="E11" s="35" t="str">
        <x:v>B3-B6</x:v>
      </x:c>
      <x:c r="F11" s="35" t="str">
        <x:v>requalify process yield articles and metrology</x:v>
      </x:c>
      <x:c r="G11" s="35" t="n">
        <x:v>0</x:v>
      </x:c>
      <x:c r="H11" s="35" t="str">
        <x:v>OPEN</x:v>
      </x:c>
      <x:c r="I11" s="35" t="str">
        <x:v>HOLD</x:v>
      </x:c>
      <x:c r="J11" s="38" t="str">
        <x:v>immutable change record + affected serials</x:v>
      </x:c>
    </x:row>
    <x:row r="12" ht="40" customHeight="1">
      <x:c r="B12" s="35" t="str">
        <x:v>C06</x:v>
      </x:c>
      <x:c r="C12" s="35" t="str">
        <x:v>Evidence method</x:v>
      </x:c>
      <x:c r="D12" s="35" t="str">
        <x:v>Independent Evidence and Data Authority</x:v>
      </x:c>
      <x:c r="E12" s="35" t="str">
        <x:v>B4-B6</x:v>
      </x:c>
      <x:c r="F12" s="35" t="str">
        <x:v>invalidate non-comparable findings and retest</x:v>
      </x:c>
      <x:c r="G12" s="35" t="n">
        <x:v>0</x:v>
      </x:c>
      <x:c r="H12" s="35" t="str">
        <x:v>OPEN</x:v>
      </x:c>
      <x:c r="I12" s="35" t="str">
        <x:v>HOLD</x:v>
      </x:c>
      <x:c r="J12" s="38" t="str">
        <x:v>immutable change record + affected serials</x:v>
      </x:c>
    </x:row>
    <x:row r="13" ht="40" customHeight="1">
      <x:c r="B13" s="35" t="str">
        <x:v>C07</x:v>
      </x:c>
      <x:c r="C13" s="35" t="str">
        <x:v>Cost or affordability boundary</x:v>
      </x:c>
      <x:c r="D13" s="35" t="str">
        <x:v>Independent Cost and Capacity Authority</x:v>
      </x:c>
      <x:c r="E13" s="35" t="str">
        <x:v>B1-B6</x:v>
      </x:c>
      <x:c r="F13" s="35" t="str">
        <x:v>expose opportunity cost and restructure scope</x:v>
      </x:c>
      <x:c r="G13" s="35" t="n">
        <x:v>0</x:v>
      </x:c>
      <x:c r="H13" s="35" t="str">
        <x:v>OPEN</x:v>
      </x:c>
      <x:c r="I13" s="35" t="str">
        <x:v>HOLD</x:v>
      </x:c>
      <x:c r="J13" s="38" t="str">
        <x:v>immutable change record + affected serials</x:v>
      </x:c>
    </x:row>
    <x:row r="14" ht="40" customHeight="1">
      <x:c r="B14" s="35" t="str">
        <x:v>C08</x:v>
      </x:c>
      <x:c r="C14" s="35" t="str">
        <x:v>Schedule or cohort</x:v>
      </x:c>
      <x:c r="D14" s="35" t="str">
        <x:v>Resilience Staff</x:v>
      </x:c>
      <x:c r="E14" s="35" t="str">
        <x:v>B1-B6</x:v>
      </x:c>
      <x:c r="F14" s="35" t="str">
        <x:v>no earned value; rebalance portfolio capacity</x:v>
      </x:c>
      <x:c r="G14" s="35" t="n">
        <x:v>0</x:v>
      </x:c>
      <x:c r="H14" s="35" t="str">
        <x:v>OPEN</x:v>
      </x:c>
      <x:c r="I14" s="35" t="str">
        <x:v>HOLD</x:v>
      </x:c>
      <x:c r="J14" s="38" t="str">
        <x:v>immutable change record + affected serials</x:v>
      </x:c>
    </x:row>
    <x:row r="15" ht="40" customHeight="1">
      <x:c r="B15" s="35" t="str">
        <x:v>C09</x:v>
      </x:c>
      <x:c r="C15" s="35" t="str">
        <x:v>Serial deviation or waiver</x:v>
      </x:c>
      <x:c r="D15" s="35" t="str">
        <x:v>Configuration Control Board</x:v>
      </x:c>
      <x:c r="E15" s="35" t="str">
        <x:v>B3-B6</x:v>
      </x:c>
      <x:c r="F15" s="35" t="str">
        <x:v>identify every affected article and receiver</x:v>
      </x:c>
      <x:c r="G15" s="35" t="n">
        <x:v>0</x:v>
      </x:c>
      <x:c r="H15" s="35" t="str">
        <x:v>OPEN</x:v>
      </x:c>
      <x:c r="I15" s="35" t="str">
        <x:v>HOLD</x:v>
      </x:c>
      <x:c r="J15" s="38" t="str">
        <x:v>immutable change record + affected serials</x:v>
      </x:c>
    </x:row>
    <x:row r="16" ht="40" customHeight="1">
      <x:c r="B16" s="39" t="str">
        <x:v>C10</x:v>
      </x:c>
      <x:c r="C16" s="39" t="str">
        <x:v>Receiving condition</x:v>
      </x:c>
      <x:c r="D16" s="39" t="str">
        <x:v>Receiving Service Authority</x:v>
      </x:c>
      <x:c r="E16" s="39" t="str">
        <x:v>B0-B6</x:v>
      </x:c>
      <x:c r="F16" s="39" t="str">
        <x:v>repeat operational suitability and service delivery</x:v>
      </x:c>
      <x:c r="G16" s="39" t="n">
        <x:v>0</x:v>
      </x:c>
      <x:c r="H16" s="39" t="str">
        <x:v>OPEN</x:v>
      </x:c>
      <x:c r="I16" s="39" t="str">
        <x:v>HOLD</x:v>
      </x:c>
      <x:c r="J16" s="42" t="str">
        <x:v>immutable change record + affected serials</x:v>
      </x:c>
    </x:row>
    <x:row r="17"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B19" s="29" t="str">
        <x:v>Doctrine</x:v>
      </x:c>
      <x:c r="C19" s="30" t="str">
        <x:v>Doctrine</x:v>
      </x:c>
      <x:c r="D19" s="30" t="str">
        <x:v>Doctrine</x:v>
      </x:c>
      <x:c r="E19" s="30" t="str">
        <x:v>Doctrine</x:v>
      </x:c>
      <x:c r="F19" s="30" t="str">
        <x:v>Doctrine</x:v>
      </x:c>
      <x:c r="G19" s="30" t="str">
        <x:v>Doctrine</x:v>
      </x:c>
      <x:c r="H19" s="30" t="str">
        <x:v>Doctrine</x:v>
      </x:c>
      <x:c r="I19" s="30" t="str">
        <x:v>Doctrine</x:v>
      </x:c>
      <x:c r="J19" s="31" t="str">
        <x:v>Doctrine</x:v>
      </x:c>
    </x:row>
    <x:row r="20">
      <x:c r="B20" s="2" t="str">
        <x:v>No change is minor merely because it is inexpensive; consequence follows causal reach, not administrative label.</x:v>
      </x:c>
      <x:c r="C20" s="2" t="str"/>
      <x:c r="D20" s="2" t="str"/>
      <x:c r="E20" s="2" t="str"/>
      <x:c r="F20" s="2" t="str"/>
      <x:c r="G20" s="2" t="str"/>
      <x:c r="H20" s="2" t="str"/>
      <x:c r="I20" s="2" t="str"/>
      <x:c r="J20" s="2" t="str"/>
    </x:row>
    <x:row r="21">
      <x:c r="B21" s="2" t="str">
        <x:v>A waiver records unresolved risk and affected custody. It does not transform nonconforming evidence into a valid finding.</x:v>
      </x:c>
      <x:c r="C21" s="2" t="str"/>
      <x:c r="D21" s="2" t="str"/>
      <x:c r="E21" s="2" t="str"/>
      <x:c r="F21" s="2" t="str"/>
      <x:c r="G21" s="2" t="str"/>
      <x:c r="H21" s="2" t="str"/>
      <x:c r="I21" s="2" t="str"/>
      <x:c r="J21" s="2" t="str"/>
    </x:row>
    <x:row r="22">
      <x:c r="B22" s="2" t="str">
        <x:v>A change to evidence method reopens comparability; a change to form reopens every coupled burden the form touches.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3:J3"/>
    <x:mergeCell ref="B19:J19"/>
  </x:mergeCells>
  <x:conditionalFormatting sqref="H7:I16">
    <x:cfRule type="containsText" dxfId="30" priority="1" operator="containsText" text="OPEN"/>
    <x:cfRule type="containsText" dxfId="31" priority="2" operator="containsText" text="HOLD"/>
    <x:cfRule type="containsText" dxfId="32" priority="3" operator="containsText" text="BLOCKED"/>
    <x:cfRule type="containsText" dxfId="33" priority="4" operator="containsText" text="FAIL"/>
    <x:cfRule type="containsText" dxfId="34" priority="5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2" hidden="0" customWidth="1"/>
    <x:col min="4" max="4" width="20" hidden="0" customWidth="1"/>
    <x:col min="5" max="5" width="13" hidden="0" customWidth="1"/>
    <x:col min="6" max="6" width="14" hidden="0" customWidth="1"/>
    <x:col min="7" max="7" width="26" hidden="0" customWidth="1"/>
    <x:col min="8" max="8" width="24" hidden="0" customWidth="1"/>
    <x:col min="9" max="9" width="18" hidden="0" customWidth="1"/>
    <x:col min="10" max="10" width="18" hidden="0" customWidth="1"/>
    <x:col min="11" max="11" width="28" hidden="0" customWidth="1"/>
  </x:cols>
  <x:sheetData>
    <x:row r="2">
      <x:c r="B2" s="3" t="str">
        <x:v>Physical earned-value and capital control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The full force-capital envelope is assigned to physical artifact classes. Shared facilities are traceable program draws within these tranches and are never added a second time.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19" t="str">
        <x:v>Sequence</x:v>
      </x:c>
      <x:c r="C6" s="20" t="str">
        <x:v>Capital purpose</x:v>
      </x:c>
      <x:c r="D6" s="20" t="str">
        <x:v>Allocation USD T</x:v>
      </x:c>
      <x:c r="E6" s="20" t="str">
        <x:v>Share</x:v>
      </x:c>
      <x:c r="F6" s="20" t="str">
        <x:v>Programs</x:v>
      </x:c>
      <x:c r="G6" s="20" t="str">
        <x:v>Average program tranche USD B</x:v>
      </x:c>
      <x:c r="H6" s="20" t="str">
        <x:v>Baseline eligible USD T</x:v>
      </x:c>
      <x:c r="I6" s="20" t="str">
        <x:v>Calendar credit</x:v>
      </x:c>
      <x:c r="J6" s="20" t="str">
        <x:v>Double-count guard</x:v>
      </x:c>
      <x:c r="K6" s="20" t="str">
        <x:v>Authority</x:v>
      </x:c>
    </x:row>
    <x:row r="7">
      <x:c r="B7" s="21" t="n">
        <x:v>1</x:v>
      </x:c>
      <x:c r="C7" s="21" t="str">
        <x:v>Mission science and challenge</x:v>
      </x:c>
      <x:c r="D7" s="50" t="n">
        <x:v>0.75</x:v>
      </x:c>
      <x:c r="E7" s="51" t="n">
        <x:f>D7/SUM($D$7:$D$16)</x:f>
        <x:v>0.04941036958956453</x:v>
      </x:c>
      <x:c r="F7" s="21" t="n">
        <x:v>192</x:v>
      </x:c>
      <x:c r="G7" s="50" t="n">
        <x:f>D7/F7*1000</x:f>
        <x:v>3.90625</x:v>
      </x:c>
      <x:c r="H7" s="50" t="n">
        <x:f>SUMIF('Artifact Ledger'!E$7:E$1926,B7,'Artifact Ledger'!P$7:P$1926)</x:f>
        <x:v>0</x:v>
      </x:c>
      <x:c r="I7" s="50" t="n">
        <x:v>0</x:v>
      </x:c>
      <x:c r="J7" s="21" t="str">
        <x:v>nested once</x:v>
      </x:c>
      <x:c r="K7" s="23" t="str">
        <x:v>Civil Guarantee Authority</x:v>
      </x:c>
    </x:row>
    <x:row r="8">
      <x:c r="B8" s="21" t="n">
        <x:v>2</x:v>
      </x:c>
      <x:c r="C8" s="21" t="str">
        <x:v>Rival architecture and prototyping</x:v>
      </x:c>
      <x:c r="D8" s="50" t="n">
        <x:v>1.55</x:v>
      </x:c>
      <x:c r="E8" s="51" t="n">
        <x:f>D8/SUM($D$7:$D$16)</x:f>
        <x:v>0.10211476381843337</x:v>
      </x:c>
      <x:c r="F8" s="21" t="n">
        <x:v>192</x:v>
      </x:c>
      <x:c r="G8" s="50" t="n">
        <x:f>D8/F8*1000</x:f>
        <x:v>8.072916666666668</x:v>
      </x:c>
      <x:c r="H8" s="50" t="n">
        <x:f>SUMIF('Artifact Ledger'!E$7:E$1926,B8,'Artifact Ledger'!P$7:P$1926)</x:f>
        <x:v>0</x:v>
      </x:c>
      <x:c r="I8" s="50" t="n">
        <x:v>0</x:v>
      </x:c>
      <x:c r="J8" s="21" t="str">
        <x:v>nested once</x:v>
      </x:c>
      <x:c r="K8" s="23" t="str">
        <x:v>Resilience Staff</x:v>
      </x:c>
    </x:row>
    <x:row r="9">
      <x:c r="B9" s="21" t="n">
        <x:v>3</x:v>
      </x:c>
      <x:c r="C9" s="21" t="str">
        <x:v>Engineering and qualification articles</x:v>
      </x:c>
      <x:c r="D9" s="50" t="n">
        <x:v>1.3</x:v>
      </x:c>
      <x:c r="E9" s="51" t="n">
        <x:f>D9/SUM($D$7:$D$16)</x:f>
        <x:v>0.08564464062191186</x:v>
      </x:c>
      <x:c r="F9" s="21" t="n">
        <x:v>192</x:v>
      </x:c>
      <x:c r="G9" s="50" t="n">
        <x:f>D9/F9*1000</x:f>
        <x:v>6.770833333333334</x:v>
      </x:c>
      <x:c r="H9" s="50" t="n">
        <x:f>SUMIF('Artifact Ledger'!E$7:E$1926,B9,'Artifact Ledger'!P$7:P$1926)</x:f>
        <x:v>0</x:v>
      </x:c>
      <x:c r="I9" s="50" t="n">
        <x:v>0</x:v>
      </x:c>
      <x:c r="J9" s="21" t="str">
        <x:v>nested once</x:v>
      </x:c>
      <x:c r="K9" s="23" t="str">
        <x:v>Independent Evidence and Data Authority</x:v>
      </x:c>
    </x:row>
    <x:row r="10">
      <x:c r="B10" s="21" t="n">
        <x:v>4</x:v>
      </x:c>
      <x:c r="C10" s="21" t="str">
        <x:v>Representative evidence</x:v>
      </x:c>
      <x:c r="D10" s="50" t="n">
        <x:v>0.9</x:v>
      </x:c>
      <x:c r="E10" s="51" t="n">
        <x:f>D10/SUM($D$7:$D$16)</x:f>
        <x:v>0.05929244350747744</x:v>
      </x:c>
      <x:c r="F10" s="21" t="n">
        <x:v>192</x:v>
      </x:c>
      <x:c r="G10" s="50" t="n">
        <x:f>D10/F10*1000</x:f>
        <x:v>4.6875</x:v>
      </x:c>
      <x:c r="H10" s="50" t="n">
        <x:f>SUMIF('Artifact Ledger'!E$7:E$1926,B10,'Artifact Ledger'!P$7:P$1926)</x:f>
        <x:v>0</x:v>
      </x:c>
      <x:c r="I10" s="50" t="n">
        <x:v>0</x:v>
      </x:c>
      <x:c r="J10" s="21" t="str">
        <x:v>nested once</x:v>
      </x:c>
      <x:c r="K10" s="23" t="str">
        <x:v>Independent Evidence and Data Authority</x:v>
      </x:c>
    </x:row>
    <x:row r="11">
      <x:c r="B11" s="21" t="n">
        <x:v>5</x:v>
      </x:c>
      <x:c r="C11" s="21" t="str">
        <x:v>Public facilities tooling and pilot lines</x:v>
      </x:c>
      <x:c r="D11" s="50" t="n">
        <x:v>2.3</x:v>
      </x:c>
      <x:c r="E11" s="51" t="n">
        <x:f>D11/SUM($D$7:$D$16)</x:f>
        <x:v>0.1515251334079979</x:v>
      </x:c>
      <x:c r="F11" s="21" t="n">
        <x:v>192</x:v>
      </x:c>
      <x:c r="G11" s="50" t="n">
        <x:f>D11/F11*1000</x:f>
        <x:v>11.979166666666666</x:v>
      </x:c>
      <x:c r="H11" s="50" t="n">
        <x:f>SUMIF('Artifact Ledger'!E$7:E$1926,B11,'Artifact Ledger'!P$7:P$1926)</x:f>
        <x:v>0</x:v>
      </x:c>
      <x:c r="I11" s="50" t="n">
        <x:v>0</x:v>
      </x:c>
      <x:c r="J11" s="21" t="str">
        <x:v>nested once</x:v>
      </x:c>
      <x:c r="K11" s="23" t="str">
        <x:v>Independent Evidence and Data Authority</x:v>
      </x:c>
    </x:row>
    <x:row r="12">
      <x:c r="B12" s="21" t="n">
        <x:v>6</x:v>
      </x:c>
      <x:c r="C12" s="21" t="str">
        <x:v>Initial production</x:v>
      </x:c>
      <x:c r="D12" s="50" t="n">
        <x:v>3.8</x:v>
      </x:c>
      <x:c r="E12" s="51" t="n">
        <x:f>D12/SUM($D$7:$D$16)</x:f>
        <x:v>0.250345872587127</x:v>
      </x:c>
      <x:c r="F12" s="21" t="n">
        <x:v>192</x:v>
      </x:c>
      <x:c r="G12" s="50" t="n">
        <x:f>D12/F12*1000</x:f>
        <x:v>19.791666666666664</x:v>
      </x:c>
      <x:c r="H12" s="50" t="n">
        <x:f>SUMIF('Artifact Ledger'!E$7:E$1926,B12,'Artifact Ledger'!P$7:P$1926)</x:f>
        <x:v>0</x:v>
      </x:c>
      <x:c r="I12" s="50" t="n">
        <x:v>0</x:v>
      </x:c>
      <x:c r="J12" s="21" t="str">
        <x:v>nested once</x:v>
      </x:c>
      <x:c r="K12" s="23" t="str">
        <x:v>Receiving Service Authority</x:v>
      </x:c>
    </x:row>
    <x:row r="13">
      <x:c r="B13" s="21" t="n">
        <x:v>7</x:v>
      </x:c>
      <x:c r="C13" s="21" t="str">
        <x:v>Serial production and fielding</x:v>
      </x:c>
      <x:c r="D13" s="50" t="n">
        <x:v>3.3</x:v>
      </x:c>
      <x:c r="E13" s="51" t="n">
        <x:f>D13/SUM($D$7:$D$16)</x:f>
        <x:v>0.21740562619408393</x:v>
      </x:c>
      <x:c r="F13" s="21" t="n">
        <x:v>192</x:v>
      </x:c>
      <x:c r="G13" s="50" t="n">
        <x:f>D13/F13*1000</x:f>
        <x:v>17.187499999999996</x:v>
      </x:c>
      <x:c r="H13" s="50" t="n">
        <x:f>SUMIF('Artifact Ledger'!E$7:E$1926,B13,'Artifact Ledger'!P$7:P$1926)</x:f>
        <x:v>0</x:v>
      </x:c>
      <x:c r="I13" s="50" t="n">
        <x:v>0</x:v>
      </x:c>
      <x:c r="J13" s="21" t="str">
        <x:v>nested once</x:v>
      </x:c>
      <x:c r="K13" s="23" t="str">
        <x:v>Independent Evidence and Data Authority</x:v>
      </x:c>
    </x:row>
    <x:row r="14">
      <x:c r="B14" s="21" t="n">
        <x:v>8</x:v>
      </x:c>
      <x:c r="C14" s="21" t="str">
        <x:v>Mobilization qualification</x:v>
      </x:c>
      <x:c r="D14" s="50" t="n">
        <x:v>0.6</x:v>
      </x:c>
      <x:c r="E14" s="51" t="n">
        <x:f>D14/SUM($D$7:$D$16)</x:f>
        <x:v>0.03952829567165163</x:v>
      </x:c>
      <x:c r="F14" s="21" t="n">
        <x:v>192</x:v>
      </x:c>
      <x:c r="G14" s="50" t="n">
        <x:f>D14/F14*1000</x:f>
        <x:v>3.1249999999999996</x:v>
      </x:c>
      <x:c r="H14" s="50" t="n">
        <x:f>SUMIF('Artifact Ledger'!E$7:E$1926,B14,'Artifact Ledger'!P$7:P$1926)</x:f>
        <x:v>0</x:v>
      </x:c>
      <x:c r="I14" s="50" t="n">
        <x:v>0</x:v>
      </x:c>
      <x:c r="J14" s="21" t="str">
        <x:v>nested once</x:v>
      </x:c>
      <x:c r="K14" s="23" t="str">
        <x:v>AIMC Industrial Mobilization Authority</x:v>
      </x:c>
    </x:row>
    <x:row r="15">
      <x:c r="B15" s="21" t="n">
        <x:v>9</x:v>
      </x:c>
      <x:c r="C15" s="21" t="str">
        <x:v>Data rights and configuration</x:v>
      </x:c>
      <x:c r="D15" s="50" t="n">
        <x:v>0.25</x:v>
      </x:c>
      <x:c r="E15" s="51" t="n">
        <x:f>D15/SUM($D$7:$D$16)</x:f>
        <x:v>0.01647012319652151</x:v>
      </x:c>
      <x:c r="F15" s="21" t="n">
        <x:v>192</x:v>
      </x:c>
      <x:c r="G15" s="50" t="n">
        <x:f>D15/F15*1000</x:f>
        <x:v>1.3020833333333333</x:v>
      </x:c>
      <x:c r="H15" s="50" t="n">
        <x:f>SUMIF('Artifact Ledger'!E$7:E$1926,B15,'Artifact Ledger'!P$7:P$1926)</x:f>
        <x:v>0</x:v>
      </x:c>
      <x:c r="I15" s="50" t="n">
        <x:v>0</x:v>
      </x:c>
      <x:c r="J15" s="21" t="str">
        <x:v>nested once</x:v>
      </x:c>
      <x:c r="K15" s="23" t="str">
        <x:v>Production Release Board</x:v>
      </x:c>
    </x:row>
    <x:row r="16">
      <x:c r="B16" s="21" t="n">
        <x:v>10</x:v>
      </x:c>
      <x:c r="C16" s="21" t="str">
        <x:v>Program reserve</x:v>
      </x:c>
      <x:c r="D16" s="50" t="n">
        <x:v>0.429</x:v>
      </x:c>
      <x:c r="E16" s="51" t="n">
        <x:f>D16/SUM($D$7:$D$16)</x:f>
        <x:v>0.028262731405230914</x:v>
      </x:c>
      <x:c r="F16" s="21" t="n">
        <x:v>192</x:v>
      </x:c>
      <x:c r="G16" s="50" t="n">
        <x:f>D16/F16*1000</x:f>
        <x:v>2.234375</x:v>
      </x:c>
      <x:c r="H16" s="50" t="n">
        <x:f>SUMIF('Artifact Ledger'!E$7:E$1926,B16,'Artifact Ledger'!P$7:P$1926)</x:f>
        <x:v>0</x:v>
      </x:c>
      <x:c r="I16" s="50" t="n">
        <x:v>0</x:v>
      </x:c>
      <x:c r="J16" s="21" t="str">
        <x:v>nested once</x:v>
      </x:c>
      <x:c r="K16" s="23" t="str">
        <x:v>Production Release Board</x:v>
      </x:c>
    </x:row>
    <x:row r="17">
      <x:c r="B17" s="21"/>
      <x:c r="C17" s="21"/>
      <x:c r="D17" s="50"/>
      <x:c r="E17" s="51"/>
      <x:c r="F17" s="21"/>
      <x:c r="G17" s="50"/>
      <x:c r="H17" s="50"/>
      <x:c r="I17" s="50"/>
      <x:c r="J17" s="21"/>
      <x:c r="K17" s="23"/>
    </x:row>
    <x:row r="18">
      <x:c r="B18" s="24" t="str">
        <x:v>TOTAL</x:v>
      </x:c>
      <x:c r="C18" s="24" t="str"/>
      <x:c r="D18" s="52" t="n">
        <x:f>SUM(D7:D16)</x:f>
        <x:v>15.178999999999998</x:v>
      </x:c>
      <x:c r="E18" s="53" t="n">
        <x:f>SUM(E7:E16)</x:f>
        <x:v>1</x:v>
      </x:c>
      <x:c r="F18" s="24" t="n">
        <x:v>192</x:v>
      </x:c>
      <x:c r="G18" s="52" t="n">
        <x:v>0</x:v>
      </x:c>
      <x:c r="H18" s="52" t="n">
        <x:f>SUM(H7:H16)</x:f>
        <x:v>0</x:v>
      </x:c>
      <x:c r="I18" s="52" t="n">
        <x:f>SUM(I7:I16)</x:f>
        <x:v>0</x:v>
      </x:c>
      <x:c r="J18" s="24" t="str"/>
      <x:c r="K18" s="26" t="str">
        <x:v>HOLD</x:v>
      </x:c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B21" s="29" t="str">
        <x:v>Transaction rule</x:v>
      </x:c>
      <x:c r="C21" s="30" t="str">
        <x:v>Transaction rule</x:v>
      </x:c>
      <x:c r="D21" s="30" t="str">
        <x:v>Transaction rule</x:v>
      </x:c>
      <x:c r="E21" s="30" t="str">
        <x:v>Transaction rule</x:v>
      </x:c>
      <x:c r="F21" s="30" t="str">
        <x:v>Transaction rule</x:v>
      </x:c>
      <x:c r="G21" s="30" t="str">
        <x:v>Transaction rule</x:v>
      </x:c>
      <x:c r="H21" s="30" t="str">
        <x:v>Transaction rule</x:v>
      </x:c>
      <x:c r="I21" s="30" t="str">
        <x:v>Transaction rule</x:v>
      </x:c>
      <x:c r="J21" s="30" t="str">
        <x:v>Transaction rule</x:v>
      </x:c>
      <x:c r="K21" s="31" t="str">
        <x:v>Transaction rule</x:v>
      </x:c>
    </x:row>
    <x:row r="22">
      <x:c r="B22" s="2" t="str">
        <x:v>Eligible capital = tranche capital only when accepted artifact = 1, release authority = 1, prior chain = 1, and minimum accepted root CTDP meets the artifact threshold.</x:v>
      </x:c>
      <x:c r="C22" s="2" t="str"/>
      <x:c r="D22" s="2" t="str"/>
      <x:c r="E22" s="2" t="str"/>
      <x:c r="F22" s="2" t="str"/>
      <x:c r="G22" s="2" t="str"/>
      <x:c r="H22" s="2" t="str"/>
      <x:c r="I22" s="2" t="str"/>
      <x:c r="J22" s="2" t="str"/>
      <x:c r="K22" s="2" t="str"/>
    </x:row>
    <x:row r="23">
      <x:c r="B23" s="2" t="str">
        <x:v>Baseline eligibility is zero. This is intentional: the project has a planning constitution but no physical artifacts, accepted root data, or authority findings.</x:v>
      </x:c>
      <x:c r="C23" s="2" t="str"/>
      <x:c r="D23" s="2" t="str"/>
      <x:c r="E23" s="2" t="str"/>
      <x:c r="F23" s="2" t="str"/>
      <x:c r="G23" s="2" t="str"/>
      <x:c r="H23" s="2" t="str"/>
      <x:c r="I23" s="2" t="str"/>
      <x:c r="J23" s="2" t="str"/>
      <x:c r="K23" s="2" t="str"/>
    </x:row>
    <x:row r="24">
      <x:c r="B24" s="2" t="str">
        <x:v>Schedule variance may trigger restructuring but never creates earned physical value.</x:v>
      </x:c>
      <x:c r="C24" s="2" t="str"/>
      <x:c r="D24" s="2" t="str"/>
      <x:c r="E24" s="2" t="str"/>
      <x:c r="F24" s="2" t="str"/>
      <x:c r="G24" s="2" t="str"/>
      <x:c r="H24" s="2" t="str"/>
      <x:c r="I24" s="2" t="str"/>
      <x:c r="J24" s="2" t="str"/>
      <x:c r="K24" s="2" t="str"/>
    </x:row>
    <x:row r="25">
      <x:c r="B25" s="2" t="str">
        <x:v>A shared public test range or pilot line is charged through the program tranche that uses it; the facility capitalization is not added to USD 15.179T.</x:v>
      </x:c>
      <x:c r="C25" s="2" t="str"/>
      <x:c r="D25" s="2" t="str"/>
      <x:c r="E25" s="2" t="str"/>
      <x:c r="F25" s="2" t="str"/>
      <x:c r="G25" s="2" t="str"/>
      <x:c r="H25" s="2" t="str"/>
      <x:c r="I25" s="2" t="str"/>
      <x:c r="J25" s="2" t="str"/>
      <x:c r="K25" s="2" t="str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</x:sheetData>
  <x:mergeCells>
    <x:mergeCell ref="B3:K3"/>
    <x:mergeCell ref="B21:K2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4" hidden="0" customWidth="1"/>
  </x:cols>
  <x:sheetData>
    <x:row r="2">
      <x:c r="B2" s="3" t="str">
        <x:v>Twelve-year program capital phasing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B3" s="4" t="str">
        <x:v>Phasing is a capacity and cash-planning view only. No year or cumulative expenditure appears in the artifact eligibility equation.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B6" s="19" t="str">
        <x:v>Program</x:v>
      </x:c>
      <x:c r="C6" s="20" t="str">
        <x:v>Capital USD T</x:v>
      </x:c>
      <x:c r="D6" s="20" t="str">
        <x:v>Y1</x:v>
      </x:c>
      <x:c r="E6" s="20" t="str">
        <x:v>Y2</x:v>
      </x:c>
      <x:c r="F6" s="20" t="str">
        <x:v>Y3</x:v>
      </x:c>
      <x:c r="G6" s="20" t="str">
        <x:v>Y4</x:v>
      </x:c>
      <x:c r="H6" s="20" t="str">
        <x:v>Y5</x:v>
      </x:c>
      <x:c r="I6" s="20" t="str">
        <x:v>Y6</x:v>
      </x:c>
      <x:c r="J6" s="20" t="str">
        <x:v>Y7</x:v>
      </x:c>
      <x:c r="K6" s="20" t="str">
        <x:v>Y8</x:v>
      </x:c>
      <x:c r="L6" s="20" t="str">
        <x:v>Y9</x:v>
      </x:c>
      <x:c r="M6" s="20" t="str">
        <x:v>Y10</x:v>
      </x:c>
      <x:c r="N6" s="20" t="str">
        <x:v>Y11</x:v>
      </x:c>
      <x:c r="O6" s="20" t="str">
        <x:v>Y12</x:v>
      </x:c>
      <x:c r="P6" s="20" t="str">
        <x:v>Phased total</x:v>
      </x:c>
      <x:c r="Q6" s="20" t="str">
        <x:v>Variance</x:v>
      </x:c>
    </x:row>
    <x:row r="7">
      <x:c r="B7" s="21" t="str">
        <x:v>F01-I1</x:v>
      </x:c>
      <x:c r="C7" s="44" t="n">
        <x:v>0.0625</x:v>
      </x:c>
      <x:c r="D7" s="44" t="n">
        <x:f>$C7*0.04</x:f>
        <x:v>0.0025</x:v>
      </x:c>
      <x:c r="E7" s="44" t="n">
        <x:f>$C7*0.06</x:f>
        <x:v>0.00375</x:v>
      </x:c>
      <x:c r="F7" s="44" t="n">
        <x:f>$C7*0.08</x:f>
        <x:v>0.005</x:v>
      </x:c>
      <x:c r="G7" s="44" t="n">
        <x:f>$C7*0.1</x:f>
        <x:v>0.00625</x:v>
      </x:c>
      <x:c r="H7" s="44" t="n">
        <x:f>$C7*0.12</x:f>
        <x:v>0.0075</x:v>
      </x:c>
      <x:c r="I7" s="44" t="n">
        <x:f>$C7*0.12</x:f>
        <x:v>0.0075</x:v>
      </x:c>
      <x:c r="J7" s="44" t="n">
        <x:f>$C7*0.12</x:f>
        <x:v>0.0075</x:v>
      </x:c>
      <x:c r="K7" s="44" t="n">
        <x:f>$C7*0.11</x:f>
        <x:v>0.006875</x:v>
      </x:c>
      <x:c r="L7" s="44" t="n">
        <x:f>$C7*0.09</x:f>
        <x:v>0.005625</x:v>
      </x:c>
      <x:c r="M7" s="44" t="n">
        <x:f>$C7*0.07</x:f>
        <x:v>0.004375</x:v>
      </x:c>
      <x:c r="N7" s="44" t="n">
        <x:f>$C7*0.05</x:f>
        <x:v>0.003125</x:v>
      </x:c>
      <x:c r="O7" s="44" t="n">
        <x:f>$C7*0.04</x:f>
        <x:v>0.0025</x:v>
      </x:c>
      <x:c r="P7" s="44" t="n">
        <x:f>SUM(D7:O7)</x:f>
        <x:v>0.0625</x:v>
      </x:c>
      <x:c r="Q7" s="54" t="n">
        <x:f>P7-C7</x:f>
        <x:v>0</x:v>
      </x:c>
    </x:row>
    <x:row r="8">
      <x:c r="B8" s="21" t="str">
        <x:v>F01-I2</x:v>
      </x:c>
      <x:c r="C8" s="44" t="n">
        <x:v>0.0625</x:v>
      </x:c>
      <x:c r="D8" s="44" t="n">
        <x:f>$C8*0.04</x:f>
        <x:v>0.0025</x:v>
      </x:c>
      <x:c r="E8" s="44" t="n">
        <x:f>$C8*0.06</x:f>
        <x:v>0.00375</x:v>
      </x:c>
      <x:c r="F8" s="44" t="n">
        <x:f>$C8*0.08</x:f>
        <x:v>0.005</x:v>
      </x:c>
      <x:c r="G8" s="44" t="n">
        <x:f>$C8*0.1</x:f>
        <x:v>0.00625</x:v>
      </x:c>
      <x:c r="H8" s="44" t="n">
        <x:f>$C8*0.12</x:f>
        <x:v>0.0075</x:v>
      </x:c>
      <x:c r="I8" s="44" t="n">
        <x:f>$C8*0.12</x:f>
        <x:v>0.0075</x:v>
      </x:c>
      <x:c r="J8" s="44" t="n">
        <x:f>$C8*0.12</x:f>
        <x:v>0.0075</x:v>
      </x:c>
      <x:c r="K8" s="44" t="n">
        <x:f>$C8*0.11</x:f>
        <x:v>0.006875</x:v>
      </x:c>
      <x:c r="L8" s="44" t="n">
        <x:f>$C8*0.09</x:f>
        <x:v>0.005625</x:v>
      </x:c>
      <x:c r="M8" s="44" t="n">
        <x:f>$C8*0.07</x:f>
        <x:v>0.004375</x:v>
      </x:c>
      <x:c r="N8" s="44" t="n">
        <x:f>$C8*0.05</x:f>
        <x:v>0.003125</x:v>
      </x:c>
      <x:c r="O8" s="44" t="n">
        <x:f>$C8*0.04</x:f>
        <x:v>0.0025</x:v>
      </x:c>
      <x:c r="P8" s="44" t="n">
        <x:f>SUM(D8:O8)</x:f>
        <x:v>0.0625</x:v>
      </x:c>
      <x:c r="Q8" s="54" t="n">
        <x:f>P8-C8</x:f>
        <x:v>0</x:v>
      </x:c>
    </x:row>
    <x:row r="9">
      <x:c r="B9" s="21" t="str">
        <x:v>F01-I3</x:v>
      </x:c>
      <x:c r="C9" s="44" t="n">
        <x:v>0.0625</x:v>
      </x:c>
      <x:c r="D9" s="44" t="n">
        <x:f>$C9*0.04</x:f>
        <x:v>0.0025</x:v>
      </x:c>
      <x:c r="E9" s="44" t="n">
        <x:f>$C9*0.06</x:f>
        <x:v>0.00375</x:v>
      </x:c>
      <x:c r="F9" s="44" t="n">
        <x:f>$C9*0.08</x:f>
        <x:v>0.005</x:v>
      </x:c>
      <x:c r="G9" s="44" t="n">
        <x:f>$C9*0.1</x:f>
        <x:v>0.00625</x:v>
      </x:c>
      <x:c r="H9" s="44" t="n">
        <x:f>$C9*0.12</x:f>
        <x:v>0.0075</x:v>
      </x:c>
      <x:c r="I9" s="44" t="n">
        <x:f>$C9*0.12</x:f>
        <x:v>0.0075</x:v>
      </x:c>
      <x:c r="J9" s="44" t="n">
        <x:f>$C9*0.12</x:f>
        <x:v>0.0075</x:v>
      </x:c>
      <x:c r="K9" s="44" t="n">
        <x:f>$C9*0.11</x:f>
        <x:v>0.006875</x:v>
      </x:c>
      <x:c r="L9" s="44" t="n">
        <x:f>$C9*0.09</x:f>
        <x:v>0.005625</x:v>
      </x:c>
      <x:c r="M9" s="44" t="n">
        <x:f>$C9*0.07</x:f>
        <x:v>0.004375</x:v>
      </x:c>
      <x:c r="N9" s="44" t="n">
        <x:f>$C9*0.05</x:f>
        <x:v>0.003125</x:v>
      </x:c>
      <x:c r="O9" s="44" t="n">
        <x:f>$C9*0.04</x:f>
        <x:v>0.0025</x:v>
      </x:c>
      <x:c r="P9" s="44" t="n">
        <x:f>SUM(D9:O9)</x:f>
        <x:v>0.0625</x:v>
      </x:c>
      <x:c r="Q9" s="54" t="n">
        <x:f>P9-C9</x:f>
        <x:v>0</x:v>
      </x:c>
    </x:row>
    <x:row r="10">
      <x:c r="B10" s="21" t="str">
        <x:v>F01-I4</x:v>
      </x:c>
      <x:c r="C10" s="44" t="n">
        <x:v>0.0625</x:v>
      </x:c>
      <x:c r="D10" s="44" t="n">
        <x:f>$C10*0.04</x:f>
        <x:v>0.0025</x:v>
      </x:c>
      <x:c r="E10" s="44" t="n">
        <x:f>$C10*0.06</x:f>
        <x:v>0.00375</x:v>
      </x:c>
      <x:c r="F10" s="44" t="n">
        <x:f>$C10*0.08</x:f>
        <x:v>0.005</x:v>
      </x:c>
      <x:c r="G10" s="44" t="n">
        <x:f>$C10*0.1</x:f>
        <x:v>0.00625</x:v>
      </x:c>
      <x:c r="H10" s="44" t="n">
        <x:f>$C10*0.12</x:f>
        <x:v>0.0075</x:v>
      </x:c>
      <x:c r="I10" s="44" t="n">
        <x:f>$C10*0.12</x:f>
        <x:v>0.0075</x:v>
      </x:c>
      <x:c r="J10" s="44" t="n">
        <x:f>$C10*0.12</x:f>
        <x:v>0.0075</x:v>
      </x:c>
      <x:c r="K10" s="44" t="n">
        <x:f>$C10*0.11</x:f>
        <x:v>0.006875</x:v>
      </x:c>
      <x:c r="L10" s="44" t="n">
        <x:f>$C10*0.09</x:f>
        <x:v>0.005625</x:v>
      </x:c>
      <x:c r="M10" s="44" t="n">
        <x:f>$C10*0.07</x:f>
        <x:v>0.004375</x:v>
      </x:c>
      <x:c r="N10" s="44" t="n">
        <x:f>$C10*0.05</x:f>
        <x:v>0.003125</x:v>
      </x:c>
      <x:c r="O10" s="44" t="n">
        <x:f>$C10*0.04</x:f>
        <x:v>0.0025</x:v>
      </x:c>
      <x:c r="P10" s="44" t="n">
        <x:f>SUM(D10:O10)</x:f>
        <x:v>0.0625</x:v>
      </x:c>
      <x:c r="Q10" s="54" t="n">
        <x:f>P10-C10</x:f>
        <x:v>0</x:v>
      </x:c>
    </x:row>
    <x:row r="11">
      <x:c r="B11" s="21" t="str">
        <x:v>F02-I1</x:v>
      </x:c>
      <x:c r="C11" s="44" t="n">
        <x:v>0.0625</x:v>
      </x:c>
      <x:c r="D11" s="44" t="n">
        <x:f>$C11*0.04</x:f>
        <x:v>0.0025</x:v>
      </x:c>
      <x:c r="E11" s="44" t="n">
        <x:f>$C11*0.06</x:f>
        <x:v>0.00375</x:v>
      </x:c>
      <x:c r="F11" s="44" t="n">
        <x:f>$C11*0.08</x:f>
        <x:v>0.005</x:v>
      </x:c>
      <x:c r="G11" s="44" t="n">
        <x:f>$C11*0.1</x:f>
        <x:v>0.00625</x:v>
      </x:c>
      <x:c r="H11" s="44" t="n">
        <x:f>$C11*0.12</x:f>
        <x:v>0.0075</x:v>
      </x:c>
      <x:c r="I11" s="44" t="n">
        <x:f>$C11*0.12</x:f>
        <x:v>0.0075</x:v>
      </x:c>
      <x:c r="J11" s="44" t="n">
        <x:f>$C11*0.12</x:f>
        <x:v>0.0075</x:v>
      </x:c>
      <x:c r="K11" s="44" t="n">
        <x:f>$C11*0.11</x:f>
        <x:v>0.006875</x:v>
      </x:c>
      <x:c r="L11" s="44" t="n">
        <x:f>$C11*0.09</x:f>
        <x:v>0.005625</x:v>
      </x:c>
      <x:c r="M11" s="44" t="n">
        <x:f>$C11*0.07</x:f>
        <x:v>0.004375</x:v>
      </x:c>
      <x:c r="N11" s="44" t="n">
        <x:f>$C11*0.05</x:f>
        <x:v>0.003125</x:v>
      </x:c>
      <x:c r="O11" s="44" t="n">
        <x:f>$C11*0.04</x:f>
        <x:v>0.0025</x:v>
      </x:c>
      <x:c r="P11" s="44" t="n">
        <x:f>SUM(D11:O11)</x:f>
        <x:v>0.0625</x:v>
      </x:c>
      <x:c r="Q11" s="54" t="n">
        <x:f>P11-C11</x:f>
        <x:v>0</x:v>
      </x:c>
    </x:row>
    <x:row r="12">
      <x:c r="B12" s="21" t="str">
        <x:v>F02-I2</x:v>
      </x:c>
      <x:c r="C12" s="44" t="n">
        <x:v>0.0625</x:v>
      </x:c>
      <x:c r="D12" s="44" t="n">
        <x:f>$C12*0.04</x:f>
        <x:v>0.0025</x:v>
      </x:c>
      <x:c r="E12" s="44" t="n">
        <x:f>$C12*0.06</x:f>
        <x:v>0.00375</x:v>
      </x:c>
      <x:c r="F12" s="44" t="n">
        <x:f>$C12*0.08</x:f>
        <x:v>0.005</x:v>
      </x:c>
      <x:c r="G12" s="44" t="n">
        <x:f>$C12*0.1</x:f>
        <x:v>0.00625</x:v>
      </x:c>
      <x:c r="H12" s="44" t="n">
        <x:f>$C12*0.12</x:f>
        <x:v>0.0075</x:v>
      </x:c>
      <x:c r="I12" s="44" t="n">
        <x:f>$C12*0.12</x:f>
        <x:v>0.0075</x:v>
      </x:c>
      <x:c r="J12" s="44" t="n">
        <x:f>$C12*0.12</x:f>
        <x:v>0.0075</x:v>
      </x:c>
      <x:c r="K12" s="44" t="n">
        <x:f>$C12*0.11</x:f>
        <x:v>0.006875</x:v>
      </x:c>
      <x:c r="L12" s="44" t="n">
        <x:f>$C12*0.09</x:f>
        <x:v>0.005625</x:v>
      </x:c>
      <x:c r="M12" s="44" t="n">
        <x:f>$C12*0.07</x:f>
        <x:v>0.004375</x:v>
      </x:c>
      <x:c r="N12" s="44" t="n">
        <x:f>$C12*0.05</x:f>
        <x:v>0.003125</x:v>
      </x:c>
      <x:c r="O12" s="44" t="n">
        <x:f>$C12*0.04</x:f>
        <x:v>0.0025</x:v>
      </x:c>
      <x:c r="P12" s="44" t="n">
        <x:f>SUM(D12:O12)</x:f>
        <x:v>0.0625</x:v>
      </x:c>
      <x:c r="Q12" s="54" t="n">
        <x:f>P12-C12</x:f>
        <x:v>0</x:v>
      </x:c>
    </x:row>
    <x:row r="13">
      <x:c r="B13" s="21" t="str">
        <x:v>F02-I3</x:v>
      </x:c>
      <x:c r="C13" s="44" t="n">
        <x:v>0.0625</x:v>
      </x:c>
      <x:c r="D13" s="44" t="n">
        <x:f>$C13*0.04</x:f>
        <x:v>0.0025</x:v>
      </x:c>
      <x:c r="E13" s="44" t="n">
        <x:f>$C13*0.06</x:f>
        <x:v>0.00375</x:v>
      </x:c>
      <x:c r="F13" s="44" t="n">
        <x:f>$C13*0.08</x:f>
        <x:v>0.005</x:v>
      </x:c>
      <x:c r="G13" s="44" t="n">
        <x:f>$C13*0.1</x:f>
        <x:v>0.00625</x:v>
      </x:c>
      <x:c r="H13" s="44" t="n">
        <x:f>$C13*0.12</x:f>
        <x:v>0.0075</x:v>
      </x:c>
      <x:c r="I13" s="44" t="n">
        <x:f>$C13*0.12</x:f>
        <x:v>0.0075</x:v>
      </x:c>
      <x:c r="J13" s="44" t="n">
        <x:f>$C13*0.12</x:f>
        <x:v>0.0075</x:v>
      </x:c>
      <x:c r="K13" s="44" t="n">
        <x:f>$C13*0.11</x:f>
        <x:v>0.006875</x:v>
      </x:c>
      <x:c r="L13" s="44" t="n">
        <x:f>$C13*0.09</x:f>
        <x:v>0.005625</x:v>
      </x:c>
      <x:c r="M13" s="44" t="n">
        <x:f>$C13*0.07</x:f>
        <x:v>0.004375</x:v>
      </x:c>
      <x:c r="N13" s="44" t="n">
        <x:f>$C13*0.05</x:f>
        <x:v>0.003125</x:v>
      </x:c>
      <x:c r="O13" s="44" t="n">
        <x:f>$C13*0.04</x:f>
        <x:v>0.0025</x:v>
      </x:c>
      <x:c r="P13" s="44" t="n">
        <x:f>SUM(D13:O13)</x:f>
        <x:v>0.0625</x:v>
      </x:c>
      <x:c r="Q13" s="54" t="n">
        <x:f>P13-C13</x:f>
        <x:v>0</x:v>
      </x:c>
    </x:row>
    <x:row r="14">
      <x:c r="B14" s="21" t="str">
        <x:v>F02-I4</x:v>
      </x:c>
      <x:c r="C14" s="44" t="n">
        <x:v>0.0625</x:v>
      </x:c>
      <x:c r="D14" s="44" t="n">
        <x:f>$C14*0.04</x:f>
        <x:v>0.0025</x:v>
      </x:c>
      <x:c r="E14" s="44" t="n">
        <x:f>$C14*0.06</x:f>
        <x:v>0.00375</x:v>
      </x:c>
      <x:c r="F14" s="44" t="n">
        <x:f>$C14*0.08</x:f>
        <x:v>0.005</x:v>
      </x:c>
      <x:c r="G14" s="44" t="n">
        <x:f>$C14*0.1</x:f>
        <x:v>0.00625</x:v>
      </x:c>
      <x:c r="H14" s="44" t="n">
        <x:f>$C14*0.12</x:f>
        <x:v>0.0075</x:v>
      </x:c>
      <x:c r="I14" s="44" t="n">
        <x:f>$C14*0.12</x:f>
        <x:v>0.0075</x:v>
      </x:c>
      <x:c r="J14" s="44" t="n">
        <x:f>$C14*0.12</x:f>
        <x:v>0.0075</x:v>
      </x:c>
      <x:c r="K14" s="44" t="n">
        <x:f>$C14*0.11</x:f>
        <x:v>0.006875</x:v>
      </x:c>
      <x:c r="L14" s="44" t="n">
        <x:f>$C14*0.09</x:f>
        <x:v>0.005625</x:v>
      </x:c>
      <x:c r="M14" s="44" t="n">
        <x:f>$C14*0.07</x:f>
        <x:v>0.004375</x:v>
      </x:c>
      <x:c r="N14" s="44" t="n">
        <x:f>$C14*0.05</x:f>
        <x:v>0.003125</x:v>
      </x:c>
      <x:c r="O14" s="44" t="n">
        <x:f>$C14*0.04</x:f>
        <x:v>0.0025</x:v>
      </x:c>
      <x:c r="P14" s="44" t="n">
        <x:f>SUM(D14:O14)</x:f>
        <x:v>0.0625</x:v>
      </x:c>
      <x:c r="Q14" s="54" t="n">
        <x:f>P14-C14</x:f>
        <x:v>0</x:v>
      </x:c>
    </x:row>
    <x:row r="15">
      <x:c r="B15" s="21" t="str">
        <x:v>F03-I1</x:v>
      </x:c>
      <x:c r="C15" s="44" t="n">
        <x:v>0.0625</x:v>
      </x:c>
      <x:c r="D15" s="44" t="n">
        <x:f>$C15*0.04</x:f>
        <x:v>0.0025</x:v>
      </x:c>
      <x:c r="E15" s="44" t="n">
        <x:f>$C15*0.06</x:f>
        <x:v>0.00375</x:v>
      </x:c>
      <x:c r="F15" s="44" t="n">
        <x:f>$C15*0.08</x:f>
        <x:v>0.005</x:v>
      </x:c>
      <x:c r="G15" s="44" t="n">
        <x:f>$C15*0.1</x:f>
        <x:v>0.00625</x:v>
      </x:c>
      <x:c r="H15" s="44" t="n">
        <x:f>$C15*0.12</x:f>
        <x:v>0.0075</x:v>
      </x:c>
      <x:c r="I15" s="44" t="n">
        <x:f>$C15*0.12</x:f>
        <x:v>0.0075</x:v>
      </x:c>
      <x:c r="J15" s="44" t="n">
        <x:f>$C15*0.12</x:f>
        <x:v>0.0075</x:v>
      </x:c>
      <x:c r="K15" s="44" t="n">
        <x:f>$C15*0.11</x:f>
        <x:v>0.006875</x:v>
      </x:c>
      <x:c r="L15" s="44" t="n">
        <x:f>$C15*0.09</x:f>
        <x:v>0.005625</x:v>
      </x:c>
      <x:c r="M15" s="44" t="n">
        <x:f>$C15*0.07</x:f>
        <x:v>0.004375</x:v>
      </x:c>
      <x:c r="N15" s="44" t="n">
        <x:f>$C15*0.05</x:f>
        <x:v>0.003125</x:v>
      </x:c>
      <x:c r="O15" s="44" t="n">
        <x:f>$C15*0.04</x:f>
        <x:v>0.0025</x:v>
      </x:c>
      <x:c r="P15" s="44" t="n">
        <x:f>SUM(D15:O15)</x:f>
        <x:v>0.0625</x:v>
      </x:c>
      <x:c r="Q15" s="54" t="n">
        <x:f>P15-C15</x:f>
        <x:v>0</x:v>
      </x:c>
    </x:row>
    <x:row r="16">
      <x:c r="B16" s="21" t="str">
        <x:v>F03-I2</x:v>
      </x:c>
      <x:c r="C16" s="44" t="n">
        <x:v>0.0625</x:v>
      </x:c>
      <x:c r="D16" s="44" t="n">
        <x:f>$C16*0.04</x:f>
        <x:v>0.0025</x:v>
      </x:c>
      <x:c r="E16" s="44" t="n">
        <x:f>$C16*0.06</x:f>
        <x:v>0.00375</x:v>
      </x:c>
      <x:c r="F16" s="44" t="n">
        <x:f>$C16*0.08</x:f>
        <x:v>0.005</x:v>
      </x:c>
      <x:c r="G16" s="44" t="n">
        <x:f>$C16*0.1</x:f>
        <x:v>0.00625</x:v>
      </x:c>
      <x:c r="H16" s="44" t="n">
        <x:f>$C16*0.12</x:f>
        <x:v>0.0075</x:v>
      </x:c>
      <x:c r="I16" s="44" t="n">
        <x:f>$C16*0.12</x:f>
        <x:v>0.0075</x:v>
      </x:c>
      <x:c r="J16" s="44" t="n">
        <x:f>$C16*0.12</x:f>
        <x:v>0.0075</x:v>
      </x:c>
      <x:c r="K16" s="44" t="n">
        <x:f>$C16*0.11</x:f>
        <x:v>0.006875</x:v>
      </x:c>
      <x:c r="L16" s="44" t="n">
        <x:f>$C16*0.09</x:f>
        <x:v>0.005625</x:v>
      </x:c>
      <x:c r="M16" s="44" t="n">
        <x:f>$C16*0.07</x:f>
        <x:v>0.004375</x:v>
      </x:c>
      <x:c r="N16" s="44" t="n">
        <x:f>$C16*0.05</x:f>
        <x:v>0.003125</x:v>
      </x:c>
      <x:c r="O16" s="44" t="n">
        <x:f>$C16*0.04</x:f>
        <x:v>0.0025</x:v>
      </x:c>
      <x:c r="P16" s="44" t="n">
        <x:f>SUM(D16:O16)</x:f>
        <x:v>0.0625</x:v>
      </x:c>
      <x:c r="Q16" s="54" t="n">
        <x:f>P16-C16</x:f>
        <x:v>0</x:v>
      </x:c>
    </x:row>
    <x:row r="17">
      <x:c r="B17" s="21" t="str">
        <x:v>F03-I3</x:v>
      </x:c>
      <x:c r="C17" s="44" t="n">
        <x:v>0.0625</x:v>
      </x:c>
      <x:c r="D17" s="44" t="n">
        <x:f>$C17*0.04</x:f>
        <x:v>0.0025</x:v>
      </x:c>
      <x:c r="E17" s="44" t="n">
        <x:f>$C17*0.06</x:f>
        <x:v>0.00375</x:v>
      </x:c>
      <x:c r="F17" s="44" t="n">
        <x:f>$C17*0.08</x:f>
        <x:v>0.005</x:v>
      </x:c>
      <x:c r="G17" s="44" t="n">
        <x:f>$C17*0.1</x:f>
        <x:v>0.00625</x:v>
      </x:c>
      <x:c r="H17" s="44" t="n">
        <x:f>$C17*0.12</x:f>
        <x:v>0.0075</x:v>
      </x:c>
      <x:c r="I17" s="44" t="n">
        <x:f>$C17*0.12</x:f>
        <x:v>0.0075</x:v>
      </x:c>
      <x:c r="J17" s="44" t="n">
        <x:f>$C17*0.12</x:f>
        <x:v>0.0075</x:v>
      </x:c>
      <x:c r="K17" s="44" t="n">
        <x:f>$C17*0.11</x:f>
        <x:v>0.006875</x:v>
      </x:c>
      <x:c r="L17" s="44" t="n">
        <x:f>$C17*0.09</x:f>
        <x:v>0.005625</x:v>
      </x:c>
      <x:c r="M17" s="44" t="n">
        <x:f>$C17*0.07</x:f>
        <x:v>0.004375</x:v>
      </x:c>
      <x:c r="N17" s="44" t="n">
        <x:f>$C17*0.05</x:f>
        <x:v>0.003125</x:v>
      </x:c>
      <x:c r="O17" s="44" t="n">
        <x:f>$C17*0.04</x:f>
        <x:v>0.0025</x:v>
      </x:c>
      <x:c r="P17" s="44" t="n">
        <x:f>SUM(D17:O17)</x:f>
        <x:v>0.0625</x:v>
      </x:c>
      <x:c r="Q17" s="54" t="n">
        <x:f>P17-C17</x:f>
        <x:v>0</x:v>
      </x:c>
    </x:row>
    <x:row r="18">
      <x:c r="B18" s="21" t="str">
        <x:v>F03-I4</x:v>
      </x:c>
      <x:c r="C18" s="44" t="n">
        <x:v>0.0625</x:v>
      </x:c>
      <x:c r="D18" s="44" t="n">
        <x:f>$C18*0.04</x:f>
        <x:v>0.0025</x:v>
      </x:c>
      <x:c r="E18" s="44" t="n">
        <x:f>$C18*0.06</x:f>
        <x:v>0.00375</x:v>
      </x:c>
      <x:c r="F18" s="44" t="n">
        <x:f>$C18*0.08</x:f>
        <x:v>0.005</x:v>
      </x:c>
      <x:c r="G18" s="44" t="n">
        <x:f>$C18*0.1</x:f>
        <x:v>0.00625</x:v>
      </x:c>
      <x:c r="H18" s="44" t="n">
        <x:f>$C18*0.12</x:f>
        <x:v>0.0075</x:v>
      </x:c>
      <x:c r="I18" s="44" t="n">
        <x:f>$C18*0.12</x:f>
        <x:v>0.0075</x:v>
      </x:c>
      <x:c r="J18" s="44" t="n">
        <x:f>$C18*0.12</x:f>
        <x:v>0.0075</x:v>
      </x:c>
      <x:c r="K18" s="44" t="n">
        <x:f>$C18*0.11</x:f>
        <x:v>0.006875</x:v>
      </x:c>
      <x:c r="L18" s="44" t="n">
        <x:f>$C18*0.09</x:f>
        <x:v>0.005625</x:v>
      </x:c>
      <x:c r="M18" s="44" t="n">
        <x:f>$C18*0.07</x:f>
        <x:v>0.004375</x:v>
      </x:c>
      <x:c r="N18" s="44" t="n">
        <x:f>$C18*0.05</x:f>
        <x:v>0.003125</x:v>
      </x:c>
      <x:c r="O18" s="44" t="n">
        <x:f>$C18*0.04</x:f>
        <x:v>0.0025</x:v>
      </x:c>
      <x:c r="P18" s="44" t="n">
        <x:f>SUM(D18:O18)</x:f>
        <x:v>0.0625</x:v>
      </x:c>
      <x:c r="Q18" s="54" t="n">
        <x:f>P18-C18</x:f>
        <x:v>0</x:v>
      </x:c>
    </x:row>
    <x:row r="19">
      <x:c r="B19" s="21" t="str">
        <x:v>F04-I1</x:v>
      </x:c>
      <x:c r="C19" s="44" t="n">
        <x:v>0.0625</x:v>
      </x:c>
      <x:c r="D19" s="44" t="n">
        <x:f>$C19*0.04</x:f>
        <x:v>0.0025</x:v>
      </x:c>
      <x:c r="E19" s="44" t="n">
        <x:f>$C19*0.06</x:f>
        <x:v>0.00375</x:v>
      </x:c>
      <x:c r="F19" s="44" t="n">
        <x:f>$C19*0.08</x:f>
        <x:v>0.005</x:v>
      </x:c>
      <x:c r="G19" s="44" t="n">
        <x:f>$C19*0.1</x:f>
        <x:v>0.00625</x:v>
      </x:c>
      <x:c r="H19" s="44" t="n">
        <x:f>$C19*0.12</x:f>
        <x:v>0.0075</x:v>
      </x:c>
      <x:c r="I19" s="44" t="n">
        <x:f>$C19*0.12</x:f>
        <x:v>0.0075</x:v>
      </x:c>
      <x:c r="J19" s="44" t="n">
        <x:f>$C19*0.12</x:f>
        <x:v>0.0075</x:v>
      </x:c>
      <x:c r="K19" s="44" t="n">
        <x:f>$C19*0.11</x:f>
        <x:v>0.006875</x:v>
      </x:c>
      <x:c r="L19" s="44" t="n">
        <x:f>$C19*0.09</x:f>
        <x:v>0.005625</x:v>
      </x:c>
      <x:c r="M19" s="44" t="n">
        <x:f>$C19*0.07</x:f>
        <x:v>0.004375</x:v>
      </x:c>
      <x:c r="N19" s="44" t="n">
        <x:f>$C19*0.05</x:f>
        <x:v>0.003125</x:v>
      </x:c>
      <x:c r="O19" s="44" t="n">
        <x:f>$C19*0.04</x:f>
        <x:v>0.0025</x:v>
      </x:c>
      <x:c r="P19" s="44" t="n">
        <x:f>SUM(D19:O19)</x:f>
        <x:v>0.0625</x:v>
      </x:c>
      <x:c r="Q19" s="54" t="n">
        <x:f>P19-C19</x:f>
        <x:v>0</x:v>
      </x:c>
    </x:row>
    <x:row r="20">
      <x:c r="B20" s="21" t="str">
        <x:v>F04-I2</x:v>
      </x:c>
      <x:c r="C20" s="44" t="n">
        <x:v>0.0625</x:v>
      </x:c>
      <x:c r="D20" s="44" t="n">
        <x:f>$C20*0.04</x:f>
        <x:v>0.0025</x:v>
      </x:c>
      <x:c r="E20" s="44" t="n">
        <x:f>$C20*0.06</x:f>
        <x:v>0.00375</x:v>
      </x:c>
      <x:c r="F20" s="44" t="n">
        <x:f>$C20*0.08</x:f>
        <x:v>0.005</x:v>
      </x:c>
      <x:c r="G20" s="44" t="n">
        <x:f>$C20*0.1</x:f>
        <x:v>0.00625</x:v>
      </x:c>
      <x:c r="H20" s="44" t="n">
        <x:f>$C20*0.12</x:f>
        <x:v>0.0075</x:v>
      </x:c>
      <x:c r="I20" s="44" t="n">
        <x:f>$C20*0.12</x:f>
        <x:v>0.0075</x:v>
      </x:c>
      <x:c r="J20" s="44" t="n">
        <x:f>$C20*0.12</x:f>
        <x:v>0.0075</x:v>
      </x:c>
      <x:c r="K20" s="44" t="n">
        <x:f>$C20*0.11</x:f>
        <x:v>0.006875</x:v>
      </x:c>
      <x:c r="L20" s="44" t="n">
        <x:f>$C20*0.09</x:f>
        <x:v>0.005625</x:v>
      </x:c>
      <x:c r="M20" s="44" t="n">
        <x:f>$C20*0.07</x:f>
        <x:v>0.004375</x:v>
      </x:c>
      <x:c r="N20" s="44" t="n">
        <x:f>$C20*0.05</x:f>
        <x:v>0.003125</x:v>
      </x:c>
      <x:c r="O20" s="44" t="n">
        <x:f>$C20*0.04</x:f>
        <x:v>0.0025</x:v>
      </x:c>
      <x:c r="P20" s="44" t="n">
        <x:f>SUM(D20:O20)</x:f>
        <x:v>0.0625</x:v>
      </x:c>
      <x:c r="Q20" s="54" t="n">
        <x:f>P20-C20</x:f>
        <x:v>0</x:v>
      </x:c>
    </x:row>
    <x:row r="21">
      <x:c r="B21" s="21" t="str">
        <x:v>F04-I3</x:v>
      </x:c>
      <x:c r="C21" s="44" t="n">
        <x:v>0.0625</x:v>
      </x:c>
      <x:c r="D21" s="44" t="n">
        <x:f>$C21*0.04</x:f>
        <x:v>0.0025</x:v>
      </x:c>
      <x:c r="E21" s="44" t="n">
        <x:f>$C21*0.06</x:f>
        <x:v>0.00375</x:v>
      </x:c>
      <x:c r="F21" s="44" t="n">
        <x:f>$C21*0.08</x:f>
        <x:v>0.005</x:v>
      </x:c>
      <x:c r="G21" s="44" t="n">
        <x:f>$C21*0.1</x:f>
        <x:v>0.00625</x:v>
      </x:c>
      <x:c r="H21" s="44" t="n">
        <x:f>$C21*0.12</x:f>
        <x:v>0.0075</x:v>
      </x:c>
      <x:c r="I21" s="44" t="n">
        <x:f>$C21*0.12</x:f>
        <x:v>0.0075</x:v>
      </x:c>
      <x:c r="J21" s="44" t="n">
        <x:f>$C21*0.12</x:f>
        <x:v>0.0075</x:v>
      </x:c>
      <x:c r="K21" s="44" t="n">
        <x:f>$C21*0.11</x:f>
        <x:v>0.006875</x:v>
      </x:c>
      <x:c r="L21" s="44" t="n">
        <x:f>$C21*0.09</x:f>
        <x:v>0.005625</x:v>
      </x:c>
      <x:c r="M21" s="44" t="n">
        <x:f>$C21*0.07</x:f>
        <x:v>0.004375</x:v>
      </x:c>
      <x:c r="N21" s="44" t="n">
        <x:f>$C21*0.05</x:f>
        <x:v>0.003125</x:v>
      </x:c>
      <x:c r="O21" s="44" t="n">
        <x:f>$C21*0.04</x:f>
        <x:v>0.0025</x:v>
      </x:c>
      <x:c r="P21" s="44" t="n">
        <x:f>SUM(D21:O21)</x:f>
        <x:v>0.0625</x:v>
      </x:c>
      <x:c r="Q21" s="54" t="n">
        <x:f>P21-C21</x:f>
        <x:v>0</x:v>
      </x:c>
    </x:row>
    <x:row r="22">
      <x:c r="B22" s="21" t="str">
        <x:v>F04-I4</x:v>
      </x:c>
      <x:c r="C22" s="44" t="n">
        <x:v>0.0625</x:v>
      </x:c>
      <x:c r="D22" s="44" t="n">
        <x:f>$C22*0.04</x:f>
        <x:v>0.0025</x:v>
      </x:c>
      <x:c r="E22" s="44" t="n">
        <x:f>$C22*0.06</x:f>
        <x:v>0.00375</x:v>
      </x:c>
      <x:c r="F22" s="44" t="n">
        <x:f>$C22*0.08</x:f>
        <x:v>0.005</x:v>
      </x:c>
      <x:c r="G22" s="44" t="n">
        <x:f>$C22*0.1</x:f>
        <x:v>0.00625</x:v>
      </x:c>
      <x:c r="H22" s="44" t="n">
        <x:f>$C22*0.12</x:f>
        <x:v>0.0075</x:v>
      </x:c>
      <x:c r="I22" s="44" t="n">
        <x:f>$C22*0.12</x:f>
        <x:v>0.0075</x:v>
      </x:c>
      <x:c r="J22" s="44" t="n">
        <x:f>$C22*0.12</x:f>
        <x:v>0.0075</x:v>
      </x:c>
      <x:c r="K22" s="44" t="n">
        <x:f>$C22*0.11</x:f>
        <x:v>0.006875</x:v>
      </x:c>
      <x:c r="L22" s="44" t="n">
        <x:f>$C22*0.09</x:f>
        <x:v>0.005625</x:v>
      </x:c>
      <x:c r="M22" s="44" t="n">
        <x:f>$C22*0.07</x:f>
        <x:v>0.004375</x:v>
      </x:c>
      <x:c r="N22" s="44" t="n">
        <x:f>$C22*0.05</x:f>
        <x:v>0.003125</x:v>
      </x:c>
      <x:c r="O22" s="44" t="n">
        <x:f>$C22*0.04</x:f>
        <x:v>0.0025</x:v>
      </x:c>
      <x:c r="P22" s="44" t="n">
        <x:f>SUM(D22:O22)</x:f>
        <x:v>0.0625</x:v>
      </x:c>
      <x:c r="Q22" s="54" t="n">
        <x:f>P22-C22</x:f>
        <x:v>0</x:v>
      </x:c>
    </x:row>
    <x:row r="23">
      <x:c r="B23" s="21" t="str">
        <x:v>F05-I1</x:v>
      </x:c>
      <x:c r="C23" s="44" t="n">
        <x:v>0.06999999999999999</x:v>
      </x:c>
      <x:c r="D23" s="44" t="n">
        <x:f>$C23*0.04</x:f>
        <x:v>0.0028</x:v>
      </x:c>
      <x:c r="E23" s="44" t="n">
        <x:f>$C23*0.06</x:f>
        <x:v>0.0042</x:v>
      </x:c>
      <x:c r="F23" s="44" t="n">
        <x:f>$C23*0.08</x:f>
        <x:v>0.0056</x:v>
      </x:c>
      <x:c r="G23" s="44" t="n">
        <x:f>$C23*0.1</x:f>
        <x:v>0.006999999999999999</x:v>
      </x:c>
      <x:c r="H23" s="44" t="n">
        <x:f>$C23*0.12</x:f>
        <x:v>0.0084</x:v>
      </x:c>
      <x:c r="I23" s="44" t="n">
        <x:f>$C23*0.12</x:f>
        <x:v>0.0084</x:v>
      </x:c>
      <x:c r="J23" s="44" t="n">
        <x:f>$C23*0.12</x:f>
        <x:v>0.0084</x:v>
      </x:c>
      <x:c r="K23" s="44" t="n">
        <x:f>$C23*0.11</x:f>
        <x:v>0.007699999999999999</x:v>
      </x:c>
      <x:c r="L23" s="44" t="n">
        <x:f>$C23*0.09</x:f>
        <x:v>0.006299999999999999</x:v>
      </x:c>
      <x:c r="M23" s="44" t="n">
        <x:f>$C23*0.07</x:f>
        <x:v>0.0049</x:v>
      </x:c>
      <x:c r="N23" s="44" t="n">
        <x:f>$C23*0.05</x:f>
        <x:v>0.0034999999999999996</x:v>
      </x:c>
      <x:c r="O23" s="44" t="n">
        <x:f>$C23*0.04</x:f>
        <x:v>0.0028</x:v>
      </x:c>
      <x:c r="P23" s="44" t="n">
        <x:f>SUM(D23:O23)</x:f>
        <x:v>0.06999999999999999</x:v>
      </x:c>
      <x:c r="Q23" s="54" t="n">
        <x:f>P23-C23</x:f>
        <x:v>0</x:v>
      </x:c>
    </x:row>
    <x:row r="24">
      <x:c r="B24" s="21" t="str">
        <x:v>F05-I2</x:v>
      </x:c>
      <x:c r="C24" s="44" t="n">
        <x:v>0.06999999999999999</x:v>
      </x:c>
      <x:c r="D24" s="44" t="n">
        <x:f>$C24*0.04</x:f>
        <x:v>0.0028</x:v>
      </x:c>
      <x:c r="E24" s="44" t="n">
        <x:f>$C24*0.06</x:f>
        <x:v>0.0042</x:v>
      </x:c>
      <x:c r="F24" s="44" t="n">
        <x:f>$C24*0.08</x:f>
        <x:v>0.0056</x:v>
      </x:c>
      <x:c r="G24" s="44" t="n">
        <x:f>$C24*0.1</x:f>
        <x:v>0.006999999999999999</x:v>
      </x:c>
      <x:c r="H24" s="44" t="n">
        <x:f>$C24*0.12</x:f>
        <x:v>0.0084</x:v>
      </x:c>
      <x:c r="I24" s="44" t="n">
        <x:f>$C24*0.12</x:f>
        <x:v>0.0084</x:v>
      </x:c>
      <x:c r="J24" s="44" t="n">
        <x:f>$C24*0.12</x:f>
        <x:v>0.0084</x:v>
      </x:c>
      <x:c r="K24" s="44" t="n">
        <x:f>$C24*0.11</x:f>
        <x:v>0.007699999999999999</x:v>
      </x:c>
      <x:c r="L24" s="44" t="n">
        <x:f>$C24*0.09</x:f>
        <x:v>0.006299999999999999</x:v>
      </x:c>
      <x:c r="M24" s="44" t="n">
        <x:f>$C24*0.07</x:f>
        <x:v>0.0049</x:v>
      </x:c>
      <x:c r="N24" s="44" t="n">
        <x:f>$C24*0.05</x:f>
        <x:v>0.0034999999999999996</x:v>
      </x:c>
      <x:c r="O24" s="44" t="n">
        <x:f>$C24*0.04</x:f>
        <x:v>0.0028</x:v>
      </x:c>
      <x:c r="P24" s="44" t="n">
        <x:f>SUM(D24:O24)</x:f>
        <x:v>0.06999999999999999</x:v>
      </x:c>
      <x:c r="Q24" s="54" t="n">
        <x:f>P24-C24</x:f>
        <x:v>0</x:v>
      </x:c>
    </x:row>
    <x:row r="25">
      <x:c r="B25" s="21" t="str">
        <x:v>F05-I3</x:v>
      </x:c>
      <x:c r="C25" s="44" t="n">
        <x:v>0.06999999999999999</x:v>
      </x:c>
      <x:c r="D25" s="44" t="n">
        <x:f>$C25*0.04</x:f>
        <x:v>0.0028</x:v>
      </x:c>
      <x:c r="E25" s="44" t="n">
        <x:f>$C25*0.06</x:f>
        <x:v>0.0042</x:v>
      </x:c>
      <x:c r="F25" s="44" t="n">
        <x:f>$C25*0.08</x:f>
        <x:v>0.0056</x:v>
      </x:c>
      <x:c r="G25" s="44" t="n">
        <x:f>$C25*0.1</x:f>
        <x:v>0.006999999999999999</x:v>
      </x:c>
      <x:c r="H25" s="44" t="n">
        <x:f>$C25*0.12</x:f>
        <x:v>0.0084</x:v>
      </x:c>
      <x:c r="I25" s="44" t="n">
        <x:f>$C25*0.12</x:f>
        <x:v>0.0084</x:v>
      </x:c>
      <x:c r="J25" s="44" t="n">
        <x:f>$C25*0.12</x:f>
        <x:v>0.0084</x:v>
      </x:c>
      <x:c r="K25" s="44" t="n">
        <x:f>$C25*0.11</x:f>
        <x:v>0.007699999999999999</x:v>
      </x:c>
      <x:c r="L25" s="44" t="n">
        <x:f>$C25*0.09</x:f>
        <x:v>0.006299999999999999</x:v>
      </x:c>
      <x:c r="M25" s="44" t="n">
        <x:f>$C25*0.07</x:f>
        <x:v>0.0049</x:v>
      </x:c>
      <x:c r="N25" s="44" t="n">
        <x:f>$C25*0.05</x:f>
        <x:v>0.0034999999999999996</x:v>
      </x:c>
      <x:c r="O25" s="44" t="n">
        <x:f>$C25*0.04</x:f>
        <x:v>0.0028</x:v>
      </x:c>
      <x:c r="P25" s="44" t="n">
        <x:f>SUM(D25:O25)</x:f>
        <x:v>0.06999999999999999</x:v>
      </x:c>
      <x:c r="Q25" s="54" t="n">
        <x:f>P25-C25</x:f>
        <x:v>0</x:v>
      </x:c>
    </x:row>
    <x:row r="26">
      <x:c r="B26" s="21" t="str">
        <x:v>F05-I4</x:v>
      </x:c>
      <x:c r="C26" s="44" t="n">
        <x:v>0.06999999999999999</x:v>
      </x:c>
      <x:c r="D26" s="44" t="n">
        <x:f>$C26*0.04</x:f>
        <x:v>0.0028</x:v>
      </x:c>
      <x:c r="E26" s="44" t="n">
        <x:f>$C26*0.06</x:f>
        <x:v>0.0042</x:v>
      </x:c>
      <x:c r="F26" s="44" t="n">
        <x:f>$C26*0.08</x:f>
        <x:v>0.0056</x:v>
      </x:c>
      <x:c r="G26" s="44" t="n">
        <x:f>$C26*0.1</x:f>
        <x:v>0.006999999999999999</x:v>
      </x:c>
      <x:c r="H26" s="44" t="n">
        <x:f>$C26*0.12</x:f>
        <x:v>0.0084</x:v>
      </x:c>
      <x:c r="I26" s="44" t="n">
        <x:f>$C26*0.12</x:f>
        <x:v>0.0084</x:v>
      </x:c>
      <x:c r="J26" s="44" t="n">
        <x:f>$C26*0.12</x:f>
        <x:v>0.0084</x:v>
      </x:c>
      <x:c r="K26" s="44" t="n">
        <x:f>$C26*0.11</x:f>
        <x:v>0.007699999999999999</x:v>
      </x:c>
      <x:c r="L26" s="44" t="n">
        <x:f>$C26*0.09</x:f>
        <x:v>0.006299999999999999</x:v>
      </x:c>
      <x:c r="M26" s="44" t="n">
        <x:f>$C26*0.07</x:f>
        <x:v>0.0049</x:v>
      </x:c>
      <x:c r="N26" s="44" t="n">
        <x:f>$C26*0.05</x:f>
        <x:v>0.0034999999999999996</x:v>
      </x:c>
      <x:c r="O26" s="44" t="n">
        <x:f>$C26*0.04</x:f>
        <x:v>0.0028</x:v>
      </x:c>
      <x:c r="P26" s="44" t="n">
        <x:f>SUM(D26:O26)</x:f>
        <x:v>0.06999999999999999</x:v>
      </x:c>
      <x:c r="Q26" s="54" t="n">
        <x:f>P26-C26</x:f>
        <x:v>0</x:v>
      </x:c>
    </x:row>
    <x:row r="27">
      <x:c r="B27" s="21" t="str">
        <x:v>F06-I1</x:v>
      </x:c>
      <x:c r="C27" s="44" t="n">
        <x:v>0.06999999999999999</x:v>
      </x:c>
      <x:c r="D27" s="44" t="n">
        <x:f>$C27*0.04</x:f>
        <x:v>0.0028</x:v>
      </x:c>
      <x:c r="E27" s="44" t="n">
        <x:f>$C27*0.06</x:f>
        <x:v>0.0042</x:v>
      </x:c>
      <x:c r="F27" s="44" t="n">
        <x:f>$C27*0.08</x:f>
        <x:v>0.0056</x:v>
      </x:c>
      <x:c r="G27" s="44" t="n">
        <x:f>$C27*0.1</x:f>
        <x:v>0.006999999999999999</x:v>
      </x:c>
      <x:c r="H27" s="44" t="n">
        <x:f>$C27*0.12</x:f>
        <x:v>0.0084</x:v>
      </x:c>
      <x:c r="I27" s="44" t="n">
        <x:f>$C27*0.12</x:f>
        <x:v>0.0084</x:v>
      </x:c>
      <x:c r="J27" s="44" t="n">
        <x:f>$C27*0.12</x:f>
        <x:v>0.0084</x:v>
      </x:c>
      <x:c r="K27" s="44" t="n">
        <x:f>$C27*0.11</x:f>
        <x:v>0.007699999999999999</x:v>
      </x:c>
      <x:c r="L27" s="44" t="n">
        <x:f>$C27*0.09</x:f>
        <x:v>0.006299999999999999</x:v>
      </x:c>
      <x:c r="M27" s="44" t="n">
        <x:f>$C27*0.07</x:f>
        <x:v>0.0049</x:v>
      </x:c>
      <x:c r="N27" s="44" t="n">
        <x:f>$C27*0.05</x:f>
        <x:v>0.0034999999999999996</x:v>
      </x:c>
      <x:c r="O27" s="44" t="n">
        <x:f>$C27*0.04</x:f>
        <x:v>0.0028</x:v>
      </x:c>
      <x:c r="P27" s="44" t="n">
        <x:f>SUM(D27:O27)</x:f>
        <x:v>0.06999999999999999</x:v>
      </x:c>
      <x:c r="Q27" s="54" t="n">
        <x:f>P27-C27</x:f>
        <x:v>0</x:v>
      </x:c>
    </x:row>
    <x:row r="28">
      <x:c r="B28" s="21" t="str">
        <x:v>F06-I2</x:v>
      </x:c>
      <x:c r="C28" s="44" t="n">
        <x:v>0.06999999999999999</x:v>
      </x:c>
      <x:c r="D28" s="44" t="n">
        <x:f>$C28*0.04</x:f>
        <x:v>0.0028</x:v>
      </x:c>
      <x:c r="E28" s="44" t="n">
        <x:f>$C28*0.06</x:f>
        <x:v>0.0042</x:v>
      </x:c>
      <x:c r="F28" s="44" t="n">
        <x:f>$C28*0.08</x:f>
        <x:v>0.0056</x:v>
      </x:c>
      <x:c r="G28" s="44" t="n">
        <x:f>$C28*0.1</x:f>
        <x:v>0.006999999999999999</x:v>
      </x:c>
      <x:c r="H28" s="44" t="n">
        <x:f>$C28*0.12</x:f>
        <x:v>0.0084</x:v>
      </x:c>
      <x:c r="I28" s="44" t="n">
        <x:f>$C28*0.12</x:f>
        <x:v>0.0084</x:v>
      </x:c>
      <x:c r="J28" s="44" t="n">
        <x:f>$C28*0.12</x:f>
        <x:v>0.0084</x:v>
      </x:c>
      <x:c r="K28" s="44" t="n">
        <x:f>$C28*0.11</x:f>
        <x:v>0.007699999999999999</x:v>
      </x:c>
      <x:c r="L28" s="44" t="n">
        <x:f>$C28*0.09</x:f>
        <x:v>0.006299999999999999</x:v>
      </x:c>
      <x:c r="M28" s="44" t="n">
        <x:f>$C28*0.07</x:f>
        <x:v>0.0049</x:v>
      </x:c>
      <x:c r="N28" s="44" t="n">
        <x:f>$C28*0.05</x:f>
        <x:v>0.0034999999999999996</x:v>
      </x:c>
      <x:c r="O28" s="44" t="n">
        <x:f>$C28*0.04</x:f>
        <x:v>0.0028</x:v>
      </x:c>
      <x:c r="P28" s="44" t="n">
        <x:f>SUM(D28:O28)</x:f>
        <x:v>0.06999999999999999</x:v>
      </x:c>
      <x:c r="Q28" s="54" t="n">
        <x:f>P28-C28</x:f>
        <x:v>0</x:v>
      </x:c>
    </x:row>
    <x:row r="29">
      <x:c r="B29" s="21" t="str">
        <x:v>F06-I3</x:v>
      </x:c>
      <x:c r="C29" s="44" t="n">
        <x:v>0.06999999999999999</x:v>
      </x:c>
      <x:c r="D29" s="44" t="n">
        <x:f>$C29*0.04</x:f>
        <x:v>0.0028</x:v>
      </x:c>
      <x:c r="E29" s="44" t="n">
        <x:f>$C29*0.06</x:f>
        <x:v>0.0042</x:v>
      </x:c>
      <x:c r="F29" s="44" t="n">
        <x:f>$C29*0.08</x:f>
        <x:v>0.0056</x:v>
      </x:c>
      <x:c r="G29" s="44" t="n">
        <x:f>$C29*0.1</x:f>
        <x:v>0.006999999999999999</x:v>
      </x:c>
      <x:c r="H29" s="44" t="n">
        <x:f>$C29*0.12</x:f>
        <x:v>0.0084</x:v>
      </x:c>
      <x:c r="I29" s="44" t="n">
        <x:f>$C29*0.12</x:f>
        <x:v>0.0084</x:v>
      </x:c>
      <x:c r="J29" s="44" t="n">
        <x:f>$C29*0.12</x:f>
        <x:v>0.0084</x:v>
      </x:c>
      <x:c r="K29" s="44" t="n">
        <x:f>$C29*0.11</x:f>
        <x:v>0.007699999999999999</x:v>
      </x:c>
      <x:c r="L29" s="44" t="n">
        <x:f>$C29*0.09</x:f>
        <x:v>0.006299999999999999</x:v>
      </x:c>
      <x:c r="M29" s="44" t="n">
        <x:f>$C29*0.07</x:f>
        <x:v>0.0049</x:v>
      </x:c>
      <x:c r="N29" s="44" t="n">
        <x:f>$C29*0.05</x:f>
        <x:v>0.0034999999999999996</x:v>
      </x:c>
      <x:c r="O29" s="44" t="n">
        <x:f>$C29*0.04</x:f>
        <x:v>0.0028</x:v>
      </x:c>
      <x:c r="P29" s="44" t="n">
        <x:f>SUM(D29:O29)</x:f>
        <x:v>0.06999999999999999</x:v>
      </x:c>
      <x:c r="Q29" s="54" t="n">
        <x:f>P29-C29</x:f>
        <x:v>0</x:v>
      </x:c>
    </x:row>
    <x:row r="30">
      <x:c r="B30" s="21" t="str">
        <x:v>F06-I4</x:v>
      </x:c>
      <x:c r="C30" s="44" t="n">
        <x:v>0.06999999999999999</x:v>
      </x:c>
      <x:c r="D30" s="44" t="n">
        <x:f>$C30*0.04</x:f>
        <x:v>0.0028</x:v>
      </x:c>
      <x:c r="E30" s="44" t="n">
        <x:f>$C30*0.06</x:f>
        <x:v>0.0042</x:v>
      </x:c>
      <x:c r="F30" s="44" t="n">
        <x:f>$C30*0.08</x:f>
        <x:v>0.0056</x:v>
      </x:c>
      <x:c r="G30" s="44" t="n">
        <x:f>$C30*0.1</x:f>
        <x:v>0.006999999999999999</x:v>
      </x:c>
      <x:c r="H30" s="44" t="n">
        <x:f>$C30*0.12</x:f>
        <x:v>0.0084</x:v>
      </x:c>
      <x:c r="I30" s="44" t="n">
        <x:f>$C30*0.12</x:f>
        <x:v>0.0084</x:v>
      </x:c>
      <x:c r="J30" s="44" t="n">
        <x:f>$C30*0.12</x:f>
        <x:v>0.0084</x:v>
      </x:c>
      <x:c r="K30" s="44" t="n">
        <x:f>$C30*0.11</x:f>
        <x:v>0.007699999999999999</x:v>
      </x:c>
      <x:c r="L30" s="44" t="n">
        <x:f>$C30*0.09</x:f>
        <x:v>0.006299999999999999</x:v>
      </x:c>
      <x:c r="M30" s="44" t="n">
        <x:f>$C30*0.07</x:f>
        <x:v>0.0049</x:v>
      </x:c>
      <x:c r="N30" s="44" t="n">
        <x:f>$C30*0.05</x:f>
        <x:v>0.0034999999999999996</x:v>
      </x:c>
      <x:c r="O30" s="44" t="n">
        <x:f>$C30*0.04</x:f>
        <x:v>0.0028</x:v>
      </x:c>
      <x:c r="P30" s="44" t="n">
        <x:f>SUM(D30:O30)</x:f>
        <x:v>0.06999999999999999</x:v>
      </x:c>
      <x:c r="Q30" s="54" t="n">
        <x:f>P30-C30</x:f>
        <x:v>0</x:v>
      </x:c>
    </x:row>
    <x:row r="31">
      <x:c r="B31" s="21" t="str">
        <x:v>F07-I1</x:v>
      </x:c>
      <x:c r="C31" s="44" t="n">
        <x:v>0.06999999999999999</x:v>
      </x:c>
      <x:c r="D31" s="44" t="n">
        <x:f>$C31*0.04</x:f>
        <x:v>0.0028</x:v>
      </x:c>
      <x:c r="E31" s="44" t="n">
        <x:f>$C31*0.06</x:f>
        <x:v>0.0042</x:v>
      </x:c>
      <x:c r="F31" s="44" t="n">
        <x:f>$C31*0.08</x:f>
        <x:v>0.0056</x:v>
      </x:c>
      <x:c r="G31" s="44" t="n">
        <x:f>$C31*0.1</x:f>
        <x:v>0.006999999999999999</x:v>
      </x:c>
      <x:c r="H31" s="44" t="n">
        <x:f>$C31*0.12</x:f>
        <x:v>0.0084</x:v>
      </x:c>
      <x:c r="I31" s="44" t="n">
        <x:f>$C31*0.12</x:f>
        <x:v>0.0084</x:v>
      </x:c>
      <x:c r="J31" s="44" t="n">
        <x:f>$C31*0.12</x:f>
        <x:v>0.0084</x:v>
      </x:c>
      <x:c r="K31" s="44" t="n">
        <x:f>$C31*0.11</x:f>
        <x:v>0.007699999999999999</x:v>
      </x:c>
      <x:c r="L31" s="44" t="n">
        <x:f>$C31*0.09</x:f>
        <x:v>0.006299999999999999</x:v>
      </x:c>
      <x:c r="M31" s="44" t="n">
        <x:f>$C31*0.07</x:f>
        <x:v>0.0049</x:v>
      </x:c>
      <x:c r="N31" s="44" t="n">
        <x:f>$C31*0.05</x:f>
        <x:v>0.0034999999999999996</x:v>
      </x:c>
      <x:c r="O31" s="44" t="n">
        <x:f>$C31*0.04</x:f>
        <x:v>0.0028</x:v>
      </x:c>
      <x:c r="P31" s="44" t="n">
        <x:f>SUM(D31:O31)</x:f>
        <x:v>0.06999999999999999</x:v>
      </x:c>
      <x:c r="Q31" s="54" t="n">
        <x:f>P31-C31</x:f>
        <x:v>0</x:v>
      </x:c>
    </x:row>
    <x:row r="32">
      <x:c r="B32" s="21" t="str">
        <x:v>F07-I2</x:v>
      </x:c>
      <x:c r="C32" s="44" t="n">
        <x:v>0.06999999999999999</x:v>
      </x:c>
      <x:c r="D32" s="44" t="n">
        <x:f>$C32*0.04</x:f>
        <x:v>0.0028</x:v>
      </x:c>
      <x:c r="E32" s="44" t="n">
        <x:f>$C32*0.06</x:f>
        <x:v>0.0042</x:v>
      </x:c>
      <x:c r="F32" s="44" t="n">
        <x:f>$C32*0.08</x:f>
        <x:v>0.0056</x:v>
      </x:c>
      <x:c r="G32" s="44" t="n">
        <x:f>$C32*0.1</x:f>
        <x:v>0.006999999999999999</x:v>
      </x:c>
      <x:c r="H32" s="44" t="n">
        <x:f>$C32*0.12</x:f>
        <x:v>0.0084</x:v>
      </x:c>
      <x:c r="I32" s="44" t="n">
        <x:f>$C32*0.12</x:f>
        <x:v>0.0084</x:v>
      </x:c>
      <x:c r="J32" s="44" t="n">
        <x:f>$C32*0.12</x:f>
        <x:v>0.0084</x:v>
      </x:c>
      <x:c r="K32" s="44" t="n">
        <x:f>$C32*0.11</x:f>
        <x:v>0.007699999999999999</x:v>
      </x:c>
      <x:c r="L32" s="44" t="n">
        <x:f>$C32*0.09</x:f>
        <x:v>0.006299999999999999</x:v>
      </x:c>
      <x:c r="M32" s="44" t="n">
        <x:f>$C32*0.07</x:f>
        <x:v>0.0049</x:v>
      </x:c>
      <x:c r="N32" s="44" t="n">
        <x:f>$C32*0.05</x:f>
        <x:v>0.0034999999999999996</x:v>
      </x:c>
      <x:c r="O32" s="44" t="n">
        <x:f>$C32*0.04</x:f>
        <x:v>0.0028</x:v>
      </x:c>
      <x:c r="P32" s="44" t="n">
        <x:f>SUM(D32:O32)</x:f>
        <x:v>0.06999999999999999</x:v>
      </x:c>
      <x:c r="Q32" s="54" t="n">
        <x:f>P32-C32</x:f>
        <x:v>0</x:v>
      </x:c>
    </x:row>
    <x:row r="33">
      <x:c r="B33" s="21" t="str">
        <x:v>F07-I3</x:v>
      </x:c>
      <x:c r="C33" s="44" t="n">
        <x:v>0.06999999999999999</x:v>
      </x:c>
      <x:c r="D33" s="44" t="n">
        <x:f>$C33*0.04</x:f>
        <x:v>0.0028</x:v>
      </x:c>
      <x:c r="E33" s="44" t="n">
        <x:f>$C33*0.06</x:f>
        <x:v>0.0042</x:v>
      </x:c>
      <x:c r="F33" s="44" t="n">
        <x:f>$C33*0.08</x:f>
        <x:v>0.0056</x:v>
      </x:c>
      <x:c r="G33" s="44" t="n">
        <x:f>$C33*0.1</x:f>
        <x:v>0.006999999999999999</x:v>
      </x:c>
      <x:c r="H33" s="44" t="n">
        <x:f>$C33*0.12</x:f>
        <x:v>0.0084</x:v>
      </x:c>
      <x:c r="I33" s="44" t="n">
        <x:f>$C33*0.12</x:f>
        <x:v>0.0084</x:v>
      </x:c>
      <x:c r="J33" s="44" t="n">
        <x:f>$C33*0.12</x:f>
        <x:v>0.0084</x:v>
      </x:c>
      <x:c r="K33" s="44" t="n">
        <x:f>$C33*0.11</x:f>
        <x:v>0.007699999999999999</x:v>
      </x:c>
      <x:c r="L33" s="44" t="n">
        <x:f>$C33*0.09</x:f>
        <x:v>0.006299999999999999</x:v>
      </x:c>
      <x:c r="M33" s="44" t="n">
        <x:f>$C33*0.07</x:f>
        <x:v>0.0049</x:v>
      </x:c>
      <x:c r="N33" s="44" t="n">
        <x:f>$C33*0.05</x:f>
        <x:v>0.0034999999999999996</x:v>
      </x:c>
      <x:c r="O33" s="44" t="n">
        <x:f>$C33*0.04</x:f>
        <x:v>0.0028</x:v>
      </x:c>
      <x:c r="P33" s="44" t="n">
        <x:f>SUM(D33:O33)</x:f>
        <x:v>0.06999999999999999</x:v>
      </x:c>
      <x:c r="Q33" s="54" t="n">
        <x:f>P33-C33</x:f>
        <x:v>0</x:v>
      </x:c>
    </x:row>
    <x:row r="34">
      <x:c r="B34" s="21" t="str">
        <x:v>F07-I4</x:v>
      </x:c>
      <x:c r="C34" s="44" t="n">
        <x:v>0.06999999999999999</x:v>
      </x:c>
      <x:c r="D34" s="44" t="n">
        <x:f>$C34*0.04</x:f>
        <x:v>0.0028</x:v>
      </x:c>
      <x:c r="E34" s="44" t="n">
        <x:f>$C34*0.06</x:f>
        <x:v>0.0042</x:v>
      </x:c>
      <x:c r="F34" s="44" t="n">
        <x:f>$C34*0.08</x:f>
        <x:v>0.0056</x:v>
      </x:c>
      <x:c r="G34" s="44" t="n">
        <x:f>$C34*0.1</x:f>
        <x:v>0.006999999999999999</x:v>
      </x:c>
      <x:c r="H34" s="44" t="n">
        <x:f>$C34*0.12</x:f>
        <x:v>0.0084</x:v>
      </x:c>
      <x:c r="I34" s="44" t="n">
        <x:f>$C34*0.12</x:f>
        <x:v>0.0084</x:v>
      </x:c>
      <x:c r="J34" s="44" t="n">
        <x:f>$C34*0.12</x:f>
        <x:v>0.0084</x:v>
      </x:c>
      <x:c r="K34" s="44" t="n">
        <x:f>$C34*0.11</x:f>
        <x:v>0.007699999999999999</x:v>
      </x:c>
      <x:c r="L34" s="44" t="n">
        <x:f>$C34*0.09</x:f>
        <x:v>0.006299999999999999</x:v>
      </x:c>
      <x:c r="M34" s="44" t="n">
        <x:f>$C34*0.07</x:f>
        <x:v>0.0049</x:v>
      </x:c>
      <x:c r="N34" s="44" t="n">
        <x:f>$C34*0.05</x:f>
        <x:v>0.0034999999999999996</x:v>
      </x:c>
      <x:c r="O34" s="44" t="n">
        <x:f>$C34*0.04</x:f>
        <x:v>0.0028</x:v>
      </x:c>
      <x:c r="P34" s="44" t="n">
        <x:f>SUM(D34:O34)</x:f>
        <x:v>0.06999999999999999</x:v>
      </x:c>
      <x:c r="Q34" s="54" t="n">
        <x:f>P34-C34</x:f>
        <x:v>0</x:v>
      </x:c>
    </x:row>
    <x:row r="35">
      <x:c r="B35" s="21" t="str">
        <x:v>F08-I1</x:v>
      </x:c>
      <x:c r="C35" s="44" t="n">
        <x:v>0.06999999999999999</x:v>
      </x:c>
      <x:c r="D35" s="44" t="n">
        <x:f>$C35*0.04</x:f>
        <x:v>0.0028</x:v>
      </x:c>
      <x:c r="E35" s="44" t="n">
        <x:f>$C35*0.06</x:f>
        <x:v>0.0042</x:v>
      </x:c>
      <x:c r="F35" s="44" t="n">
        <x:f>$C35*0.08</x:f>
        <x:v>0.0056</x:v>
      </x:c>
      <x:c r="G35" s="44" t="n">
        <x:f>$C35*0.1</x:f>
        <x:v>0.006999999999999999</x:v>
      </x:c>
      <x:c r="H35" s="44" t="n">
        <x:f>$C35*0.12</x:f>
        <x:v>0.0084</x:v>
      </x:c>
      <x:c r="I35" s="44" t="n">
        <x:f>$C35*0.12</x:f>
        <x:v>0.0084</x:v>
      </x:c>
      <x:c r="J35" s="44" t="n">
        <x:f>$C35*0.12</x:f>
        <x:v>0.0084</x:v>
      </x:c>
      <x:c r="K35" s="44" t="n">
        <x:f>$C35*0.11</x:f>
        <x:v>0.007699999999999999</x:v>
      </x:c>
      <x:c r="L35" s="44" t="n">
        <x:f>$C35*0.09</x:f>
        <x:v>0.006299999999999999</x:v>
      </x:c>
      <x:c r="M35" s="44" t="n">
        <x:f>$C35*0.07</x:f>
        <x:v>0.0049</x:v>
      </x:c>
      <x:c r="N35" s="44" t="n">
        <x:f>$C35*0.05</x:f>
        <x:v>0.0034999999999999996</x:v>
      </x:c>
      <x:c r="O35" s="44" t="n">
        <x:f>$C35*0.04</x:f>
        <x:v>0.0028</x:v>
      </x:c>
      <x:c r="P35" s="44" t="n">
        <x:f>SUM(D35:O35)</x:f>
        <x:v>0.06999999999999999</x:v>
      </x:c>
      <x:c r="Q35" s="54" t="n">
        <x:f>P35-C35</x:f>
        <x:v>0</x:v>
      </x:c>
    </x:row>
    <x:row r="36">
      <x:c r="B36" s="21" t="str">
        <x:v>F08-I2</x:v>
      </x:c>
      <x:c r="C36" s="44" t="n">
        <x:v>0.06999999999999999</x:v>
      </x:c>
      <x:c r="D36" s="44" t="n">
        <x:f>$C36*0.04</x:f>
        <x:v>0.0028</x:v>
      </x:c>
      <x:c r="E36" s="44" t="n">
        <x:f>$C36*0.06</x:f>
        <x:v>0.0042</x:v>
      </x:c>
      <x:c r="F36" s="44" t="n">
        <x:f>$C36*0.08</x:f>
        <x:v>0.0056</x:v>
      </x:c>
      <x:c r="G36" s="44" t="n">
        <x:f>$C36*0.1</x:f>
        <x:v>0.006999999999999999</x:v>
      </x:c>
      <x:c r="H36" s="44" t="n">
        <x:f>$C36*0.12</x:f>
        <x:v>0.0084</x:v>
      </x:c>
      <x:c r="I36" s="44" t="n">
        <x:f>$C36*0.12</x:f>
        <x:v>0.0084</x:v>
      </x:c>
      <x:c r="J36" s="44" t="n">
        <x:f>$C36*0.12</x:f>
        <x:v>0.0084</x:v>
      </x:c>
      <x:c r="K36" s="44" t="n">
        <x:f>$C36*0.11</x:f>
        <x:v>0.007699999999999999</x:v>
      </x:c>
      <x:c r="L36" s="44" t="n">
        <x:f>$C36*0.09</x:f>
        <x:v>0.006299999999999999</x:v>
      </x:c>
      <x:c r="M36" s="44" t="n">
        <x:f>$C36*0.07</x:f>
        <x:v>0.0049</x:v>
      </x:c>
      <x:c r="N36" s="44" t="n">
        <x:f>$C36*0.05</x:f>
        <x:v>0.0034999999999999996</x:v>
      </x:c>
      <x:c r="O36" s="44" t="n">
        <x:f>$C36*0.04</x:f>
        <x:v>0.0028</x:v>
      </x:c>
      <x:c r="P36" s="44" t="n">
        <x:f>SUM(D36:O36)</x:f>
        <x:v>0.06999999999999999</x:v>
      </x:c>
      <x:c r="Q36" s="54" t="n">
        <x:f>P36-C36</x:f>
        <x:v>0</x:v>
      </x:c>
    </x:row>
    <x:row r="37">
      <x:c r="B37" s="21" t="str">
        <x:v>F08-I3</x:v>
      </x:c>
      <x:c r="C37" s="44" t="n">
        <x:v>0.06999999999999999</x:v>
      </x:c>
      <x:c r="D37" s="44" t="n">
        <x:f>$C37*0.04</x:f>
        <x:v>0.0028</x:v>
      </x:c>
      <x:c r="E37" s="44" t="n">
        <x:f>$C37*0.06</x:f>
        <x:v>0.0042</x:v>
      </x:c>
      <x:c r="F37" s="44" t="n">
        <x:f>$C37*0.08</x:f>
        <x:v>0.0056</x:v>
      </x:c>
      <x:c r="G37" s="44" t="n">
        <x:f>$C37*0.1</x:f>
        <x:v>0.006999999999999999</x:v>
      </x:c>
      <x:c r="H37" s="44" t="n">
        <x:f>$C37*0.12</x:f>
        <x:v>0.0084</x:v>
      </x:c>
      <x:c r="I37" s="44" t="n">
        <x:f>$C37*0.12</x:f>
        <x:v>0.0084</x:v>
      </x:c>
      <x:c r="J37" s="44" t="n">
        <x:f>$C37*0.12</x:f>
        <x:v>0.0084</x:v>
      </x:c>
      <x:c r="K37" s="44" t="n">
        <x:f>$C37*0.11</x:f>
        <x:v>0.007699999999999999</x:v>
      </x:c>
      <x:c r="L37" s="44" t="n">
        <x:f>$C37*0.09</x:f>
        <x:v>0.006299999999999999</x:v>
      </x:c>
      <x:c r="M37" s="44" t="n">
        <x:f>$C37*0.07</x:f>
        <x:v>0.0049</x:v>
      </x:c>
      <x:c r="N37" s="44" t="n">
        <x:f>$C37*0.05</x:f>
        <x:v>0.0034999999999999996</x:v>
      </x:c>
      <x:c r="O37" s="44" t="n">
        <x:f>$C37*0.04</x:f>
        <x:v>0.0028</x:v>
      </x:c>
      <x:c r="P37" s="44" t="n">
        <x:f>SUM(D37:O37)</x:f>
        <x:v>0.06999999999999999</x:v>
      </x:c>
      <x:c r="Q37" s="54" t="n">
        <x:f>P37-C37</x:f>
        <x:v>0</x:v>
      </x:c>
    </x:row>
    <x:row r="38">
      <x:c r="B38" s="21" t="str">
        <x:v>F08-I4</x:v>
      </x:c>
      <x:c r="C38" s="44" t="n">
        <x:v>0.06999999999999999</x:v>
      </x:c>
      <x:c r="D38" s="44" t="n">
        <x:f>$C38*0.04</x:f>
        <x:v>0.0028</x:v>
      </x:c>
      <x:c r="E38" s="44" t="n">
        <x:f>$C38*0.06</x:f>
        <x:v>0.0042</x:v>
      </x:c>
      <x:c r="F38" s="44" t="n">
        <x:f>$C38*0.08</x:f>
        <x:v>0.0056</x:v>
      </x:c>
      <x:c r="G38" s="44" t="n">
        <x:f>$C38*0.1</x:f>
        <x:v>0.006999999999999999</x:v>
      </x:c>
      <x:c r="H38" s="44" t="n">
        <x:f>$C38*0.12</x:f>
        <x:v>0.0084</x:v>
      </x:c>
      <x:c r="I38" s="44" t="n">
        <x:f>$C38*0.12</x:f>
        <x:v>0.0084</x:v>
      </x:c>
      <x:c r="J38" s="44" t="n">
        <x:f>$C38*0.12</x:f>
        <x:v>0.0084</x:v>
      </x:c>
      <x:c r="K38" s="44" t="n">
        <x:f>$C38*0.11</x:f>
        <x:v>0.007699999999999999</x:v>
      </x:c>
      <x:c r="L38" s="44" t="n">
        <x:f>$C38*0.09</x:f>
        <x:v>0.006299999999999999</x:v>
      </x:c>
      <x:c r="M38" s="44" t="n">
        <x:f>$C38*0.07</x:f>
        <x:v>0.0049</x:v>
      </x:c>
      <x:c r="N38" s="44" t="n">
        <x:f>$C38*0.05</x:f>
        <x:v>0.0034999999999999996</x:v>
      </x:c>
      <x:c r="O38" s="44" t="n">
        <x:f>$C38*0.04</x:f>
        <x:v>0.0028</x:v>
      </x:c>
      <x:c r="P38" s="44" t="n">
        <x:f>SUM(D38:O38)</x:f>
        <x:v>0.06999999999999999</x:v>
      </x:c>
      <x:c r="Q38" s="54" t="n">
        <x:f>P38-C38</x:f>
        <x:v>0</x:v>
      </x:c>
    </x:row>
    <x:row r="39">
      <x:c r="B39" s="21" t="str">
        <x:v>F09-I1</x:v>
      </x:c>
      <x:c r="C39" s="44" t="n">
        <x:v>0.06999999999999999</x:v>
      </x:c>
      <x:c r="D39" s="44" t="n">
        <x:f>$C39*0.04</x:f>
        <x:v>0.0028</x:v>
      </x:c>
      <x:c r="E39" s="44" t="n">
        <x:f>$C39*0.06</x:f>
        <x:v>0.0042</x:v>
      </x:c>
      <x:c r="F39" s="44" t="n">
        <x:f>$C39*0.08</x:f>
        <x:v>0.0056</x:v>
      </x:c>
      <x:c r="G39" s="44" t="n">
        <x:f>$C39*0.1</x:f>
        <x:v>0.006999999999999999</x:v>
      </x:c>
      <x:c r="H39" s="44" t="n">
        <x:f>$C39*0.12</x:f>
        <x:v>0.0084</x:v>
      </x:c>
      <x:c r="I39" s="44" t="n">
        <x:f>$C39*0.12</x:f>
        <x:v>0.0084</x:v>
      </x:c>
      <x:c r="J39" s="44" t="n">
        <x:f>$C39*0.12</x:f>
        <x:v>0.0084</x:v>
      </x:c>
      <x:c r="K39" s="44" t="n">
        <x:f>$C39*0.11</x:f>
        <x:v>0.007699999999999999</x:v>
      </x:c>
      <x:c r="L39" s="44" t="n">
        <x:f>$C39*0.09</x:f>
        <x:v>0.006299999999999999</x:v>
      </x:c>
      <x:c r="M39" s="44" t="n">
        <x:f>$C39*0.07</x:f>
        <x:v>0.0049</x:v>
      </x:c>
      <x:c r="N39" s="44" t="n">
        <x:f>$C39*0.05</x:f>
        <x:v>0.0034999999999999996</x:v>
      </x:c>
      <x:c r="O39" s="44" t="n">
        <x:f>$C39*0.04</x:f>
        <x:v>0.0028</x:v>
      </x:c>
      <x:c r="P39" s="44" t="n">
        <x:f>SUM(D39:O39)</x:f>
        <x:v>0.06999999999999999</x:v>
      </x:c>
      <x:c r="Q39" s="54" t="n">
        <x:f>P39-C39</x:f>
        <x:v>0</x:v>
      </x:c>
    </x:row>
    <x:row r="40">
      <x:c r="B40" s="21" t="str">
        <x:v>F09-I2</x:v>
      </x:c>
      <x:c r="C40" s="44" t="n">
        <x:v>0.06999999999999999</x:v>
      </x:c>
      <x:c r="D40" s="44" t="n">
        <x:f>$C40*0.04</x:f>
        <x:v>0.0028</x:v>
      </x:c>
      <x:c r="E40" s="44" t="n">
        <x:f>$C40*0.06</x:f>
        <x:v>0.0042</x:v>
      </x:c>
      <x:c r="F40" s="44" t="n">
        <x:f>$C40*0.08</x:f>
        <x:v>0.0056</x:v>
      </x:c>
      <x:c r="G40" s="44" t="n">
        <x:f>$C40*0.1</x:f>
        <x:v>0.006999999999999999</x:v>
      </x:c>
      <x:c r="H40" s="44" t="n">
        <x:f>$C40*0.12</x:f>
        <x:v>0.0084</x:v>
      </x:c>
      <x:c r="I40" s="44" t="n">
        <x:f>$C40*0.12</x:f>
        <x:v>0.0084</x:v>
      </x:c>
      <x:c r="J40" s="44" t="n">
        <x:f>$C40*0.12</x:f>
        <x:v>0.0084</x:v>
      </x:c>
      <x:c r="K40" s="44" t="n">
        <x:f>$C40*0.11</x:f>
        <x:v>0.007699999999999999</x:v>
      </x:c>
      <x:c r="L40" s="44" t="n">
        <x:f>$C40*0.09</x:f>
        <x:v>0.006299999999999999</x:v>
      </x:c>
      <x:c r="M40" s="44" t="n">
        <x:f>$C40*0.07</x:f>
        <x:v>0.0049</x:v>
      </x:c>
      <x:c r="N40" s="44" t="n">
        <x:f>$C40*0.05</x:f>
        <x:v>0.0034999999999999996</x:v>
      </x:c>
      <x:c r="O40" s="44" t="n">
        <x:f>$C40*0.04</x:f>
        <x:v>0.0028</x:v>
      </x:c>
      <x:c r="P40" s="44" t="n">
        <x:f>SUM(D40:O40)</x:f>
        <x:v>0.06999999999999999</x:v>
      </x:c>
      <x:c r="Q40" s="54" t="n">
        <x:f>P40-C40</x:f>
        <x:v>0</x:v>
      </x:c>
    </x:row>
    <x:row r="41">
      <x:c r="B41" s="21" t="str">
        <x:v>F09-I3</x:v>
      </x:c>
      <x:c r="C41" s="44" t="n">
        <x:v>0.06999999999999999</x:v>
      </x:c>
      <x:c r="D41" s="44" t="n">
        <x:f>$C41*0.04</x:f>
        <x:v>0.0028</x:v>
      </x:c>
      <x:c r="E41" s="44" t="n">
        <x:f>$C41*0.06</x:f>
        <x:v>0.0042</x:v>
      </x:c>
      <x:c r="F41" s="44" t="n">
        <x:f>$C41*0.08</x:f>
        <x:v>0.0056</x:v>
      </x:c>
      <x:c r="G41" s="44" t="n">
        <x:f>$C41*0.1</x:f>
        <x:v>0.006999999999999999</x:v>
      </x:c>
      <x:c r="H41" s="44" t="n">
        <x:f>$C41*0.12</x:f>
        <x:v>0.0084</x:v>
      </x:c>
      <x:c r="I41" s="44" t="n">
        <x:f>$C41*0.12</x:f>
        <x:v>0.0084</x:v>
      </x:c>
      <x:c r="J41" s="44" t="n">
        <x:f>$C41*0.12</x:f>
        <x:v>0.0084</x:v>
      </x:c>
      <x:c r="K41" s="44" t="n">
        <x:f>$C41*0.11</x:f>
        <x:v>0.007699999999999999</x:v>
      </x:c>
      <x:c r="L41" s="44" t="n">
        <x:f>$C41*0.09</x:f>
        <x:v>0.006299999999999999</x:v>
      </x:c>
      <x:c r="M41" s="44" t="n">
        <x:f>$C41*0.07</x:f>
        <x:v>0.0049</x:v>
      </x:c>
      <x:c r="N41" s="44" t="n">
        <x:f>$C41*0.05</x:f>
        <x:v>0.0034999999999999996</x:v>
      </x:c>
      <x:c r="O41" s="44" t="n">
        <x:f>$C41*0.04</x:f>
        <x:v>0.0028</x:v>
      </x:c>
      <x:c r="P41" s="44" t="n">
        <x:f>SUM(D41:O41)</x:f>
        <x:v>0.06999999999999999</x:v>
      </x:c>
      <x:c r="Q41" s="54" t="n">
        <x:f>P41-C41</x:f>
        <x:v>0</x:v>
      </x:c>
    </x:row>
    <x:row r="42">
      <x:c r="B42" s="21" t="str">
        <x:v>F09-I4</x:v>
      </x:c>
      <x:c r="C42" s="44" t="n">
        <x:v>0.06999999999999999</x:v>
      </x:c>
      <x:c r="D42" s="44" t="n">
        <x:f>$C42*0.04</x:f>
        <x:v>0.0028</x:v>
      </x:c>
      <x:c r="E42" s="44" t="n">
        <x:f>$C42*0.06</x:f>
        <x:v>0.0042</x:v>
      </x:c>
      <x:c r="F42" s="44" t="n">
        <x:f>$C42*0.08</x:f>
        <x:v>0.0056</x:v>
      </x:c>
      <x:c r="G42" s="44" t="n">
        <x:f>$C42*0.1</x:f>
        <x:v>0.006999999999999999</x:v>
      </x:c>
      <x:c r="H42" s="44" t="n">
        <x:f>$C42*0.12</x:f>
        <x:v>0.0084</x:v>
      </x:c>
      <x:c r="I42" s="44" t="n">
        <x:f>$C42*0.12</x:f>
        <x:v>0.0084</x:v>
      </x:c>
      <x:c r="J42" s="44" t="n">
        <x:f>$C42*0.12</x:f>
        <x:v>0.0084</x:v>
      </x:c>
      <x:c r="K42" s="44" t="n">
        <x:f>$C42*0.11</x:f>
        <x:v>0.007699999999999999</x:v>
      </x:c>
      <x:c r="L42" s="44" t="n">
        <x:f>$C42*0.09</x:f>
        <x:v>0.006299999999999999</x:v>
      </x:c>
      <x:c r="M42" s="44" t="n">
        <x:f>$C42*0.07</x:f>
        <x:v>0.0049</x:v>
      </x:c>
      <x:c r="N42" s="44" t="n">
        <x:f>$C42*0.05</x:f>
        <x:v>0.0034999999999999996</x:v>
      </x:c>
      <x:c r="O42" s="44" t="n">
        <x:f>$C42*0.04</x:f>
        <x:v>0.0028</x:v>
      </x:c>
      <x:c r="P42" s="44" t="n">
        <x:f>SUM(D42:O42)</x:f>
        <x:v>0.06999999999999999</x:v>
      </x:c>
      <x:c r="Q42" s="54" t="n">
        <x:f>P42-C42</x:f>
        <x:v>0</x:v>
      </x:c>
    </x:row>
    <x:row r="43">
      <x:c r="B43" s="21" t="str">
        <x:v>F10-I1</x:v>
      </x:c>
      <x:c r="C43" s="44" t="n">
        <x:v>0.075</x:v>
      </x:c>
      <x:c r="D43" s="44" t="n">
        <x:f>$C43*0.04</x:f>
        <x:v>0.003</x:v>
      </x:c>
      <x:c r="E43" s="44" t="n">
        <x:f>$C43*0.06</x:f>
        <x:v>0.0045</x:v>
      </x:c>
      <x:c r="F43" s="44" t="n">
        <x:f>$C43*0.08</x:f>
        <x:v>0.006</x:v>
      </x:c>
      <x:c r="G43" s="44" t="n">
        <x:f>$C43*0.1</x:f>
        <x:v>0.0075</x:v>
      </x:c>
      <x:c r="H43" s="44" t="n">
        <x:f>$C43*0.12</x:f>
        <x:v>0.009</x:v>
      </x:c>
      <x:c r="I43" s="44" t="n">
        <x:f>$C43*0.12</x:f>
        <x:v>0.009</x:v>
      </x:c>
      <x:c r="J43" s="44" t="n">
        <x:f>$C43*0.12</x:f>
        <x:v>0.009</x:v>
      </x:c>
      <x:c r="K43" s="44" t="n">
        <x:f>$C43*0.11</x:f>
        <x:v>0.00825</x:v>
      </x:c>
      <x:c r="L43" s="44" t="n">
        <x:f>$C43*0.09</x:f>
        <x:v>0.00675</x:v>
      </x:c>
      <x:c r="M43" s="44" t="n">
        <x:f>$C43*0.07</x:f>
        <x:v>0.00525</x:v>
      </x:c>
      <x:c r="N43" s="44" t="n">
        <x:f>$C43*0.05</x:f>
        <x:v>0.00375</x:v>
      </x:c>
      <x:c r="O43" s="44" t="n">
        <x:f>$C43*0.04</x:f>
        <x:v>0.003</x:v>
      </x:c>
      <x:c r="P43" s="44" t="n">
        <x:f>SUM(D43:O43)</x:f>
        <x:v>0.07500000000000001</x:v>
      </x:c>
      <x:c r="Q43" s="54" t="n">
        <x:f>P43-C43</x:f>
        <x:v>1.3877787807814457e-17</x:v>
      </x:c>
    </x:row>
    <x:row r="44">
      <x:c r="B44" s="21" t="str">
        <x:v>F10-I2</x:v>
      </x:c>
      <x:c r="C44" s="44" t="n">
        <x:v>0.075</x:v>
      </x:c>
      <x:c r="D44" s="44" t="n">
        <x:f>$C44*0.04</x:f>
        <x:v>0.003</x:v>
      </x:c>
      <x:c r="E44" s="44" t="n">
        <x:f>$C44*0.06</x:f>
        <x:v>0.0045</x:v>
      </x:c>
      <x:c r="F44" s="44" t="n">
        <x:f>$C44*0.08</x:f>
        <x:v>0.006</x:v>
      </x:c>
      <x:c r="G44" s="44" t="n">
        <x:f>$C44*0.1</x:f>
        <x:v>0.0075</x:v>
      </x:c>
      <x:c r="H44" s="44" t="n">
        <x:f>$C44*0.12</x:f>
        <x:v>0.009</x:v>
      </x:c>
      <x:c r="I44" s="44" t="n">
        <x:f>$C44*0.12</x:f>
        <x:v>0.009</x:v>
      </x:c>
      <x:c r="J44" s="44" t="n">
        <x:f>$C44*0.12</x:f>
        <x:v>0.009</x:v>
      </x:c>
      <x:c r="K44" s="44" t="n">
        <x:f>$C44*0.11</x:f>
        <x:v>0.00825</x:v>
      </x:c>
      <x:c r="L44" s="44" t="n">
        <x:f>$C44*0.09</x:f>
        <x:v>0.00675</x:v>
      </x:c>
      <x:c r="M44" s="44" t="n">
        <x:f>$C44*0.07</x:f>
        <x:v>0.00525</x:v>
      </x:c>
      <x:c r="N44" s="44" t="n">
        <x:f>$C44*0.05</x:f>
        <x:v>0.00375</x:v>
      </x:c>
      <x:c r="O44" s="44" t="n">
        <x:f>$C44*0.04</x:f>
        <x:v>0.003</x:v>
      </x:c>
      <x:c r="P44" s="44" t="n">
        <x:f>SUM(D44:O44)</x:f>
        <x:v>0.07500000000000001</x:v>
      </x:c>
      <x:c r="Q44" s="54" t="n">
        <x:f>P44-C44</x:f>
        <x:v>1.3877787807814457e-17</x:v>
      </x:c>
    </x:row>
    <x:row r="45">
      <x:c r="B45" s="21" t="str">
        <x:v>F10-I3</x:v>
      </x:c>
      <x:c r="C45" s="44" t="n">
        <x:v>0.075</x:v>
      </x:c>
      <x:c r="D45" s="44" t="n">
        <x:f>$C45*0.04</x:f>
        <x:v>0.003</x:v>
      </x:c>
      <x:c r="E45" s="44" t="n">
        <x:f>$C45*0.06</x:f>
        <x:v>0.0045</x:v>
      </x:c>
      <x:c r="F45" s="44" t="n">
        <x:f>$C45*0.08</x:f>
        <x:v>0.006</x:v>
      </x:c>
      <x:c r="G45" s="44" t="n">
        <x:f>$C45*0.1</x:f>
        <x:v>0.0075</x:v>
      </x:c>
      <x:c r="H45" s="44" t="n">
        <x:f>$C45*0.12</x:f>
        <x:v>0.009</x:v>
      </x:c>
      <x:c r="I45" s="44" t="n">
        <x:f>$C45*0.12</x:f>
        <x:v>0.009</x:v>
      </x:c>
      <x:c r="J45" s="44" t="n">
        <x:f>$C45*0.12</x:f>
        <x:v>0.009</x:v>
      </x:c>
      <x:c r="K45" s="44" t="n">
        <x:f>$C45*0.11</x:f>
        <x:v>0.00825</x:v>
      </x:c>
      <x:c r="L45" s="44" t="n">
        <x:f>$C45*0.09</x:f>
        <x:v>0.00675</x:v>
      </x:c>
      <x:c r="M45" s="44" t="n">
        <x:f>$C45*0.07</x:f>
        <x:v>0.00525</x:v>
      </x:c>
      <x:c r="N45" s="44" t="n">
        <x:f>$C45*0.05</x:f>
        <x:v>0.00375</x:v>
      </x:c>
      <x:c r="O45" s="44" t="n">
        <x:f>$C45*0.04</x:f>
        <x:v>0.003</x:v>
      </x:c>
      <x:c r="P45" s="44" t="n">
        <x:f>SUM(D45:O45)</x:f>
        <x:v>0.07500000000000001</x:v>
      </x:c>
      <x:c r="Q45" s="54" t="n">
        <x:f>P45-C45</x:f>
        <x:v>1.3877787807814457e-17</x:v>
      </x:c>
    </x:row>
    <x:row r="46">
      <x:c r="B46" s="21" t="str">
        <x:v>F10-I4</x:v>
      </x:c>
      <x:c r="C46" s="44" t="n">
        <x:v>0.075</x:v>
      </x:c>
      <x:c r="D46" s="44" t="n">
        <x:f>$C46*0.04</x:f>
        <x:v>0.003</x:v>
      </x:c>
      <x:c r="E46" s="44" t="n">
        <x:f>$C46*0.06</x:f>
        <x:v>0.0045</x:v>
      </x:c>
      <x:c r="F46" s="44" t="n">
        <x:f>$C46*0.08</x:f>
        <x:v>0.006</x:v>
      </x:c>
      <x:c r="G46" s="44" t="n">
        <x:f>$C46*0.1</x:f>
        <x:v>0.0075</x:v>
      </x:c>
      <x:c r="H46" s="44" t="n">
        <x:f>$C46*0.12</x:f>
        <x:v>0.009</x:v>
      </x:c>
      <x:c r="I46" s="44" t="n">
        <x:f>$C46*0.12</x:f>
        <x:v>0.009</x:v>
      </x:c>
      <x:c r="J46" s="44" t="n">
        <x:f>$C46*0.12</x:f>
        <x:v>0.009</x:v>
      </x:c>
      <x:c r="K46" s="44" t="n">
        <x:f>$C46*0.11</x:f>
        <x:v>0.00825</x:v>
      </x:c>
      <x:c r="L46" s="44" t="n">
        <x:f>$C46*0.09</x:f>
        <x:v>0.00675</x:v>
      </x:c>
      <x:c r="M46" s="44" t="n">
        <x:f>$C46*0.07</x:f>
        <x:v>0.00525</x:v>
      </x:c>
      <x:c r="N46" s="44" t="n">
        <x:f>$C46*0.05</x:f>
        <x:v>0.00375</x:v>
      </x:c>
      <x:c r="O46" s="44" t="n">
        <x:f>$C46*0.04</x:f>
        <x:v>0.003</x:v>
      </x:c>
      <x:c r="P46" s="44" t="n">
        <x:f>SUM(D46:O46)</x:f>
        <x:v>0.07500000000000001</x:v>
      </x:c>
      <x:c r="Q46" s="54" t="n">
        <x:f>P46-C46</x:f>
        <x:v>1.3877787807814457e-17</x:v>
      </x:c>
    </x:row>
    <x:row r="47">
      <x:c r="B47" s="21" t="str">
        <x:v>F11-I1</x:v>
      </x:c>
      <x:c r="C47" s="44" t="n">
        <x:v>0.075</x:v>
      </x:c>
      <x:c r="D47" s="44" t="n">
        <x:f>$C47*0.04</x:f>
        <x:v>0.003</x:v>
      </x:c>
      <x:c r="E47" s="44" t="n">
        <x:f>$C47*0.06</x:f>
        <x:v>0.0045</x:v>
      </x:c>
      <x:c r="F47" s="44" t="n">
        <x:f>$C47*0.08</x:f>
        <x:v>0.006</x:v>
      </x:c>
      <x:c r="G47" s="44" t="n">
        <x:f>$C47*0.1</x:f>
        <x:v>0.0075</x:v>
      </x:c>
      <x:c r="H47" s="44" t="n">
        <x:f>$C47*0.12</x:f>
        <x:v>0.009</x:v>
      </x:c>
      <x:c r="I47" s="44" t="n">
        <x:f>$C47*0.12</x:f>
        <x:v>0.009</x:v>
      </x:c>
      <x:c r="J47" s="44" t="n">
        <x:f>$C47*0.12</x:f>
        <x:v>0.009</x:v>
      </x:c>
      <x:c r="K47" s="44" t="n">
        <x:f>$C47*0.11</x:f>
        <x:v>0.00825</x:v>
      </x:c>
      <x:c r="L47" s="44" t="n">
        <x:f>$C47*0.09</x:f>
        <x:v>0.00675</x:v>
      </x:c>
      <x:c r="M47" s="44" t="n">
        <x:f>$C47*0.07</x:f>
        <x:v>0.00525</x:v>
      </x:c>
      <x:c r="N47" s="44" t="n">
        <x:f>$C47*0.05</x:f>
        <x:v>0.00375</x:v>
      </x:c>
      <x:c r="O47" s="44" t="n">
        <x:f>$C47*0.04</x:f>
        <x:v>0.003</x:v>
      </x:c>
      <x:c r="P47" s="44" t="n">
        <x:f>SUM(D47:O47)</x:f>
        <x:v>0.07500000000000001</x:v>
      </x:c>
      <x:c r="Q47" s="54" t="n">
        <x:f>P47-C47</x:f>
        <x:v>1.3877787807814457e-17</x:v>
      </x:c>
    </x:row>
    <x:row r="48">
      <x:c r="B48" s="21" t="str">
        <x:v>F11-I2</x:v>
      </x:c>
      <x:c r="C48" s="44" t="n">
        <x:v>0.075</x:v>
      </x:c>
      <x:c r="D48" s="44" t="n">
        <x:f>$C48*0.04</x:f>
        <x:v>0.003</x:v>
      </x:c>
      <x:c r="E48" s="44" t="n">
        <x:f>$C48*0.06</x:f>
        <x:v>0.0045</x:v>
      </x:c>
      <x:c r="F48" s="44" t="n">
        <x:f>$C48*0.08</x:f>
        <x:v>0.006</x:v>
      </x:c>
      <x:c r="G48" s="44" t="n">
        <x:f>$C48*0.1</x:f>
        <x:v>0.0075</x:v>
      </x:c>
      <x:c r="H48" s="44" t="n">
        <x:f>$C48*0.12</x:f>
        <x:v>0.009</x:v>
      </x:c>
      <x:c r="I48" s="44" t="n">
        <x:f>$C48*0.12</x:f>
        <x:v>0.009</x:v>
      </x:c>
      <x:c r="J48" s="44" t="n">
        <x:f>$C48*0.12</x:f>
        <x:v>0.009</x:v>
      </x:c>
      <x:c r="K48" s="44" t="n">
        <x:f>$C48*0.11</x:f>
        <x:v>0.00825</x:v>
      </x:c>
      <x:c r="L48" s="44" t="n">
        <x:f>$C48*0.09</x:f>
        <x:v>0.00675</x:v>
      </x:c>
      <x:c r="M48" s="44" t="n">
        <x:f>$C48*0.07</x:f>
        <x:v>0.00525</x:v>
      </x:c>
      <x:c r="N48" s="44" t="n">
        <x:f>$C48*0.05</x:f>
        <x:v>0.00375</x:v>
      </x:c>
      <x:c r="O48" s="44" t="n">
        <x:f>$C48*0.04</x:f>
        <x:v>0.003</x:v>
      </x:c>
      <x:c r="P48" s="44" t="n">
        <x:f>SUM(D48:O48)</x:f>
        <x:v>0.07500000000000001</x:v>
      </x:c>
      <x:c r="Q48" s="54" t="n">
        <x:f>P48-C48</x:f>
        <x:v>1.3877787807814457e-17</x:v>
      </x:c>
    </x:row>
    <x:row r="49">
      <x:c r="B49" s="21" t="str">
        <x:v>F11-I3</x:v>
      </x:c>
      <x:c r="C49" s="44" t="n">
        <x:v>0.075</x:v>
      </x:c>
      <x:c r="D49" s="44" t="n">
        <x:f>$C49*0.04</x:f>
        <x:v>0.003</x:v>
      </x:c>
      <x:c r="E49" s="44" t="n">
        <x:f>$C49*0.06</x:f>
        <x:v>0.0045</x:v>
      </x:c>
      <x:c r="F49" s="44" t="n">
        <x:f>$C49*0.08</x:f>
        <x:v>0.006</x:v>
      </x:c>
      <x:c r="G49" s="44" t="n">
        <x:f>$C49*0.1</x:f>
        <x:v>0.0075</x:v>
      </x:c>
      <x:c r="H49" s="44" t="n">
        <x:f>$C49*0.12</x:f>
        <x:v>0.009</x:v>
      </x:c>
      <x:c r="I49" s="44" t="n">
        <x:f>$C49*0.12</x:f>
        <x:v>0.009</x:v>
      </x:c>
      <x:c r="J49" s="44" t="n">
        <x:f>$C49*0.12</x:f>
        <x:v>0.009</x:v>
      </x:c>
      <x:c r="K49" s="44" t="n">
        <x:f>$C49*0.11</x:f>
        <x:v>0.00825</x:v>
      </x:c>
      <x:c r="L49" s="44" t="n">
        <x:f>$C49*0.09</x:f>
        <x:v>0.00675</x:v>
      </x:c>
      <x:c r="M49" s="44" t="n">
        <x:f>$C49*0.07</x:f>
        <x:v>0.00525</x:v>
      </x:c>
      <x:c r="N49" s="44" t="n">
        <x:f>$C49*0.05</x:f>
        <x:v>0.00375</x:v>
      </x:c>
      <x:c r="O49" s="44" t="n">
        <x:f>$C49*0.04</x:f>
        <x:v>0.003</x:v>
      </x:c>
      <x:c r="P49" s="44" t="n">
        <x:f>SUM(D49:O49)</x:f>
        <x:v>0.07500000000000001</x:v>
      </x:c>
      <x:c r="Q49" s="54" t="n">
        <x:f>P49-C49</x:f>
        <x:v>1.3877787807814457e-17</x:v>
      </x:c>
    </x:row>
    <x:row r="50">
      <x:c r="B50" s="21" t="str">
        <x:v>F11-I4</x:v>
      </x:c>
      <x:c r="C50" s="44" t="n">
        <x:v>0.075</x:v>
      </x:c>
      <x:c r="D50" s="44" t="n">
        <x:f>$C50*0.04</x:f>
        <x:v>0.003</x:v>
      </x:c>
      <x:c r="E50" s="44" t="n">
        <x:f>$C50*0.06</x:f>
        <x:v>0.0045</x:v>
      </x:c>
      <x:c r="F50" s="44" t="n">
        <x:f>$C50*0.08</x:f>
        <x:v>0.006</x:v>
      </x:c>
      <x:c r="G50" s="44" t="n">
        <x:f>$C50*0.1</x:f>
        <x:v>0.0075</x:v>
      </x:c>
      <x:c r="H50" s="44" t="n">
        <x:f>$C50*0.12</x:f>
        <x:v>0.009</x:v>
      </x:c>
      <x:c r="I50" s="44" t="n">
        <x:f>$C50*0.12</x:f>
        <x:v>0.009</x:v>
      </x:c>
      <x:c r="J50" s="44" t="n">
        <x:f>$C50*0.12</x:f>
        <x:v>0.009</x:v>
      </x:c>
      <x:c r="K50" s="44" t="n">
        <x:f>$C50*0.11</x:f>
        <x:v>0.00825</x:v>
      </x:c>
      <x:c r="L50" s="44" t="n">
        <x:f>$C50*0.09</x:f>
        <x:v>0.00675</x:v>
      </x:c>
      <x:c r="M50" s="44" t="n">
        <x:f>$C50*0.07</x:f>
        <x:v>0.00525</x:v>
      </x:c>
      <x:c r="N50" s="44" t="n">
        <x:f>$C50*0.05</x:f>
        <x:v>0.00375</x:v>
      </x:c>
      <x:c r="O50" s="44" t="n">
        <x:f>$C50*0.04</x:f>
        <x:v>0.003</x:v>
      </x:c>
      <x:c r="P50" s="44" t="n">
        <x:f>SUM(D50:O50)</x:f>
        <x:v>0.07500000000000001</x:v>
      </x:c>
      <x:c r="Q50" s="54" t="n">
        <x:f>P50-C50</x:f>
        <x:v>1.3877787807814457e-17</x:v>
      </x:c>
    </x:row>
    <x:row r="51">
      <x:c r="B51" s="21" t="str">
        <x:v>F12-I1</x:v>
      </x:c>
      <x:c r="C51" s="44" t="n">
        <x:v>0.075</x:v>
      </x:c>
      <x:c r="D51" s="44" t="n">
        <x:f>$C51*0.04</x:f>
        <x:v>0.003</x:v>
      </x:c>
      <x:c r="E51" s="44" t="n">
        <x:f>$C51*0.06</x:f>
        <x:v>0.0045</x:v>
      </x:c>
      <x:c r="F51" s="44" t="n">
        <x:f>$C51*0.08</x:f>
        <x:v>0.006</x:v>
      </x:c>
      <x:c r="G51" s="44" t="n">
        <x:f>$C51*0.1</x:f>
        <x:v>0.0075</x:v>
      </x:c>
      <x:c r="H51" s="44" t="n">
        <x:f>$C51*0.12</x:f>
        <x:v>0.009</x:v>
      </x:c>
      <x:c r="I51" s="44" t="n">
        <x:f>$C51*0.12</x:f>
        <x:v>0.009</x:v>
      </x:c>
      <x:c r="J51" s="44" t="n">
        <x:f>$C51*0.12</x:f>
        <x:v>0.009</x:v>
      </x:c>
      <x:c r="K51" s="44" t="n">
        <x:f>$C51*0.11</x:f>
        <x:v>0.00825</x:v>
      </x:c>
      <x:c r="L51" s="44" t="n">
        <x:f>$C51*0.09</x:f>
        <x:v>0.00675</x:v>
      </x:c>
      <x:c r="M51" s="44" t="n">
        <x:f>$C51*0.07</x:f>
        <x:v>0.00525</x:v>
      </x:c>
      <x:c r="N51" s="44" t="n">
        <x:f>$C51*0.05</x:f>
        <x:v>0.00375</x:v>
      </x:c>
      <x:c r="O51" s="44" t="n">
        <x:f>$C51*0.04</x:f>
        <x:v>0.003</x:v>
      </x:c>
      <x:c r="P51" s="44" t="n">
        <x:f>SUM(D51:O51)</x:f>
        <x:v>0.07500000000000001</x:v>
      </x:c>
      <x:c r="Q51" s="54" t="n">
        <x:f>P51-C51</x:f>
        <x:v>1.3877787807814457e-17</x:v>
      </x:c>
    </x:row>
    <x:row r="52">
      <x:c r="B52" s="21" t="str">
        <x:v>F12-I2</x:v>
      </x:c>
      <x:c r="C52" s="44" t="n">
        <x:v>0.075</x:v>
      </x:c>
      <x:c r="D52" s="44" t="n">
        <x:f>$C52*0.04</x:f>
        <x:v>0.003</x:v>
      </x:c>
      <x:c r="E52" s="44" t="n">
        <x:f>$C52*0.06</x:f>
        <x:v>0.0045</x:v>
      </x:c>
      <x:c r="F52" s="44" t="n">
        <x:f>$C52*0.08</x:f>
        <x:v>0.006</x:v>
      </x:c>
      <x:c r="G52" s="44" t="n">
        <x:f>$C52*0.1</x:f>
        <x:v>0.0075</x:v>
      </x:c>
      <x:c r="H52" s="44" t="n">
        <x:f>$C52*0.12</x:f>
        <x:v>0.009</x:v>
      </x:c>
      <x:c r="I52" s="44" t="n">
        <x:f>$C52*0.12</x:f>
        <x:v>0.009</x:v>
      </x:c>
      <x:c r="J52" s="44" t="n">
        <x:f>$C52*0.12</x:f>
        <x:v>0.009</x:v>
      </x:c>
      <x:c r="K52" s="44" t="n">
        <x:f>$C52*0.11</x:f>
        <x:v>0.00825</x:v>
      </x:c>
      <x:c r="L52" s="44" t="n">
        <x:f>$C52*0.09</x:f>
        <x:v>0.00675</x:v>
      </x:c>
      <x:c r="M52" s="44" t="n">
        <x:f>$C52*0.07</x:f>
        <x:v>0.00525</x:v>
      </x:c>
      <x:c r="N52" s="44" t="n">
        <x:f>$C52*0.05</x:f>
        <x:v>0.00375</x:v>
      </x:c>
      <x:c r="O52" s="44" t="n">
        <x:f>$C52*0.04</x:f>
        <x:v>0.003</x:v>
      </x:c>
      <x:c r="P52" s="44" t="n">
        <x:f>SUM(D52:O52)</x:f>
        <x:v>0.07500000000000001</x:v>
      </x:c>
      <x:c r="Q52" s="54" t="n">
        <x:f>P52-C52</x:f>
        <x:v>1.3877787807814457e-17</x:v>
      </x:c>
    </x:row>
    <x:row r="53">
      <x:c r="B53" s="21" t="str">
        <x:v>F12-I3</x:v>
      </x:c>
      <x:c r="C53" s="44" t="n">
        <x:v>0.075</x:v>
      </x:c>
      <x:c r="D53" s="44" t="n">
        <x:f>$C53*0.04</x:f>
        <x:v>0.003</x:v>
      </x:c>
      <x:c r="E53" s="44" t="n">
        <x:f>$C53*0.06</x:f>
        <x:v>0.0045</x:v>
      </x:c>
      <x:c r="F53" s="44" t="n">
        <x:f>$C53*0.08</x:f>
        <x:v>0.006</x:v>
      </x:c>
      <x:c r="G53" s="44" t="n">
        <x:f>$C53*0.1</x:f>
        <x:v>0.0075</x:v>
      </x:c>
      <x:c r="H53" s="44" t="n">
        <x:f>$C53*0.12</x:f>
        <x:v>0.009</x:v>
      </x:c>
      <x:c r="I53" s="44" t="n">
        <x:f>$C53*0.12</x:f>
        <x:v>0.009</x:v>
      </x:c>
      <x:c r="J53" s="44" t="n">
        <x:f>$C53*0.12</x:f>
        <x:v>0.009</x:v>
      </x:c>
      <x:c r="K53" s="44" t="n">
        <x:f>$C53*0.11</x:f>
        <x:v>0.00825</x:v>
      </x:c>
      <x:c r="L53" s="44" t="n">
        <x:f>$C53*0.09</x:f>
        <x:v>0.00675</x:v>
      </x:c>
      <x:c r="M53" s="44" t="n">
        <x:f>$C53*0.07</x:f>
        <x:v>0.00525</x:v>
      </x:c>
      <x:c r="N53" s="44" t="n">
        <x:f>$C53*0.05</x:f>
        <x:v>0.00375</x:v>
      </x:c>
      <x:c r="O53" s="44" t="n">
        <x:f>$C53*0.04</x:f>
        <x:v>0.003</x:v>
      </x:c>
      <x:c r="P53" s="44" t="n">
        <x:f>SUM(D53:O53)</x:f>
        <x:v>0.07500000000000001</x:v>
      </x:c>
      <x:c r="Q53" s="54" t="n">
        <x:f>P53-C53</x:f>
        <x:v>1.3877787807814457e-17</x:v>
      </x:c>
    </x:row>
    <x:row r="54">
      <x:c r="B54" s="21" t="str">
        <x:v>F12-I4</x:v>
      </x:c>
      <x:c r="C54" s="44" t="n">
        <x:v>0.075</x:v>
      </x:c>
      <x:c r="D54" s="44" t="n">
        <x:f>$C54*0.04</x:f>
        <x:v>0.003</x:v>
      </x:c>
      <x:c r="E54" s="44" t="n">
        <x:f>$C54*0.06</x:f>
        <x:v>0.0045</x:v>
      </x:c>
      <x:c r="F54" s="44" t="n">
        <x:f>$C54*0.08</x:f>
        <x:v>0.006</x:v>
      </x:c>
      <x:c r="G54" s="44" t="n">
        <x:f>$C54*0.1</x:f>
        <x:v>0.0075</x:v>
      </x:c>
      <x:c r="H54" s="44" t="n">
        <x:f>$C54*0.12</x:f>
        <x:v>0.009</x:v>
      </x:c>
      <x:c r="I54" s="44" t="n">
        <x:f>$C54*0.12</x:f>
        <x:v>0.009</x:v>
      </x:c>
      <x:c r="J54" s="44" t="n">
        <x:f>$C54*0.12</x:f>
        <x:v>0.009</x:v>
      </x:c>
      <x:c r="K54" s="44" t="n">
        <x:f>$C54*0.11</x:f>
        <x:v>0.00825</x:v>
      </x:c>
      <x:c r="L54" s="44" t="n">
        <x:f>$C54*0.09</x:f>
        <x:v>0.00675</x:v>
      </x:c>
      <x:c r="M54" s="44" t="n">
        <x:f>$C54*0.07</x:f>
        <x:v>0.00525</x:v>
      </x:c>
      <x:c r="N54" s="44" t="n">
        <x:f>$C54*0.05</x:f>
        <x:v>0.00375</x:v>
      </x:c>
      <x:c r="O54" s="44" t="n">
        <x:f>$C54*0.04</x:f>
        <x:v>0.003</x:v>
      </x:c>
      <x:c r="P54" s="44" t="n">
        <x:f>SUM(D54:O54)</x:f>
        <x:v>0.07500000000000001</x:v>
      </x:c>
      <x:c r="Q54" s="54" t="n">
        <x:f>P54-C54</x:f>
        <x:v>1.3877787807814457e-17</x:v>
      </x:c>
    </x:row>
    <x:row r="55">
      <x:c r="B55" s="21" t="str">
        <x:v>F13-I1</x:v>
      </x:c>
      <x:c r="C55" s="44" t="n">
        <x:v>0.075</x:v>
      </x:c>
      <x:c r="D55" s="44" t="n">
        <x:f>$C55*0.04</x:f>
        <x:v>0.003</x:v>
      </x:c>
      <x:c r="E55" s="44" t="n">
        <x:f>$C55*0.06</x:f>
        <x:v>0.0045</x:v>
      </x:c>
      <x:c r="F55" s="44" t="n">
        <x:f>$C55*0.08</x:f>
        <x:v>0.006</x:v>
      </x:c>
      <x:c r="G55" s="44" t="n">
        <x:f>$C55*0.1</x:f>
        <x:v>0.0075</x:v>
      </x:c>
      <x:c r="H55" s="44" t="n">
        <x:f>$C55*0.12</x:f>
        <x:v>0.009</x:v>
      </x:c>
      <x:c r="I55" s="44" t="n">
        <x:f>$C55*0.12</x:f>
        <x:v>0.009</x:v>
      </x:c>
      <x:c r="J55" s="44" t="n">
        <x:f>$C55*0.12</x:f>
        <x:v>0.009</x:v>
      </x:c>
      <x:c r="K55" s="44" t="n">
        <x:f>$C55*0.11</x:f>
        <x:v>0.00825</x:v>
      </x:c>
      <x:c r="L55" s="44" t="n">
        <x:f>$C55*0.09</x:f>
        <x:v>0.00675</x:v>
      </x:c>
      <x:c r="M55" s="44" t="n">
        <x:f>$C55*0.07</x:f>
        <x:v>0.00525</x:v>
      </x:c>
      <x:c r="N55" s="44" t="n">
        <x:f>$C55*0.05</x:f>
        <x:v>0.00375</x:v>
      </x:c>
      <x:c r="O55" s="44" t="n">
        <x:f>$C55*0.04</x:f>
        <x:v>0.003</x:v>
      </x:c>
      <x:c r="P55" s="44" t="n">
        <x:f>SUM(D55:O55)</x:f>
        <x:v>0.07500000000000001</x:v>
      </x:c>
      <x:c r="Q55" s="54" t="n">
        <x:f>P55-C55</x:f>
        <x:v>1.3877787807814457e-17</x:v>
      </x:c>
    </x:row>
    <x:row r="56">
      <x:c r="B56" s="21" t="str">
        <x:v>F13-I2</x:v>
      </x:c>
      <x:c r="C56" s="44" t="n">
        <x:v>0.075</x:v>
      </x:c>
      <x:c r="D56" s="44" t="n">
        <x:f>$C56*0.04</x:f>
        <x:v>0.003</x:v>
      </x:c>
      <x:c r="E56" s="44" t="n">
        <x:f>$C56*0.06</x:f>
        <x:v>0.0045</x:v>
      </x:c>
      <x:c r="F56" s="44" t="n">
        <x:f>$C56*0.08</x:f>
        <x:v>0.006</x:v>
      </x:c>
      <x:c r="G56" s="44" t="n">
        <x:f>$C56*0.1</x:f>
        <x:v>0.0075</x:v>
      </x:c>
      <x:c r="H56" s="44" t="n">
        <x:f>$C56*0.12</x:f>
        <x:v>0.009</x:v>
      </x:c>
      <x:c r="I56" s="44" t="n">
        <x:f>$C56*0.12</x:f>
        <x:v>0.009</x:v>
      </x:c>
      <x:c r="J56" s="44" t="n">
        <x:f>$C56*0.12</x:f>
        <x:v>0.009</x:v>
      </x:c>
      <x:c r="K56" s="44" t="n">
        <x:f>$C56*0.11</x:f>
        <x:v>0.00825</x:v>
      </x:c>
      <x:c r="L56" s="44" t="n">
        <x:f>$C56*0.09</x:f>
        <x:v>0.00675</x:v>
      </x:c>
      <x:c r="M56" s="44" t="n">
        <x:f>$C56*0.07</x:f>
        <x:v>0.00525</x:v>
      </x:c>
      <x:c r="N56" s="44" t="n">
        <x:f>$C56*0.05</x:f>
        <x:v>0.00375</x:v>
      </x:c>
      <x:c r="O56" s="44" t="n">
        <x:f>$C56*0.04</x:f>
        <x:v>0.003</x:v>
      </x:c>
      <x:c r="P56" s="44" t="n">
        <x:f>SUM(D56:O56)</x:f>
        <x:v>0.07500000000000001</x:v>
      </x:c>
      <x:c r="Q56" s="54" t="n">
        <x:f>P56-C56</x:f>
        <x:v>1.3877787807814457e-17</x:v>
      </x:c>
    </x:row>
    <x:row r="57">
      <x:c r="B57" s="21" t="str">
        <x:v>F13-I3</x:v>
      </x:c>
      <x:c r="C57" s="44" t="n">
        <x:v>0.075</x:v>
      </x:c>
      <x:c r="D57" s="44" t="n">
        <x:f>$C57*0.04</x:f>
        <x:v>0.003</x:v>
      </x:c>
      <x:c r="E57" s="44" t="n">
        <x:f>$C57*0.06</x:f>
        <x:v>0.0045</x:v>
      </x:c>
      <x:c r="F57" s="44" t="n">
        <x:f>$C57*0.08</x:f>
        <x:v>0.006</x:v>
      </x:c>
      <x:c r="G57" s="44" t="n">
        <x:f>$C57*0.1</x:f>
        <x:v>0.0075</x:v>
      </x:c>
      <x:c r="H57" s="44" t="n">
        <x:f>$C57*0.12</x:f>
        <x:v>0.009</x:v>
      </x:c>
      <x:c r="I57" s="44" t="n">
        <x:f>$C57*0.12</x:f>
        <x:v>0.009</x:v>
      </x:c>
      <x:c r="J57" s="44" t="n">
        <x:f>$C57*0.12</x:f>
        <x:v>0.009</x:v>
      </x:c>
      <x:c r="K57" s="44" t="n">
        <x:f>$C57*0.11</x:f>
        <x:v>0.00825</x:v>
      </x:c>
      <x:c r="L57" s="44" t="n">
        <x:f>$C57*0.09</x:f>
        <x:v>0.00675</x:v>
      </x:c>
      <x:c r="M57" s="44" t="n">
        <x:f>$C57*0.07</x:f>
        <x:v>0.00525</x:v>
      </x:c>
      <x:c r="N57" s="44" t="n">
        <x:f>$C57*0.05</x:f>
        <x:v>0.00375</x:v>
      </x:c>
      <x:c r="O57" s="44" t="n">
        <x:f>$C57*0.04</x:f>
        <x:v>0.003</x:v>
      </x:c>
      <x:c r="P57" s="44" t="n">
        <x:f>SUM(D57:O57)</x:f>
        <x:v>0.07500000000000001</x:v>
      </x:c>
      <x:c r="Q57" s="54" t="n">
        <x:f>P57-C57</x:f>
        <x:v>1.3877787807814457e-17</x:v>
      </x:c>
    </x:row>
    <x:row r="58">
      <x:c r="B58" s="21" t="str">
        <x:v>F13-I4</x:v>
      </x:c>
      <x:c r="C58" s="44" t="n">
        <x:v>0.075</x:v>
      </x:c>
      <x:c r="D58" s="44" t="n">
        <x:f>$C58*0.04</x:f>
        <x:v>0.003</x:v>
      </x:c>
      <x:c r="E58" s="44" t="n">
        <x:f>$C58*0.06</x:f>
        <x:v>0.0045</x:v>
      </x:c>
      <x:c r="F58" s="44" t="n">
        <x:f>$C58*0.08</x:f>
        <x:v>0.006</x:v>
      </x:c>
      <x:c r="G58" s="44" t="n">
        <x:f>$C58*0.1</x:f>
        <x:v>0.0075</x:v>
      </x:c>
      <x:c r="H58" s="44" t="n">
        <x:f>$C58*0.12</x:f>
        <x:v>0.009</x:v>
      </x:c>
      <x:c r="I58" s="44" t="n">
        <x:f>$C58*0.12</x:f>
        <x:v>0.009</x:v>
      </x:c>
      <x:c r="J58" s="44" t="n">
        <x:f>$C58*0.12</x:f>
        <x:v>0.009</x:v>
      </x:c>
      <x:c r="K58" s="44" t="n">
        <x:f>$C58*0.11</x:f>
        <x:v>0.00825</x:v>
      </x:c>
      <x:c r="L58" s="44" t="n">
        <x:f>$C58*0.09</x:f>
        <x:v>0.00675</x:v>
      </x:c>
      <x:c r="M58" s="44" t="n">
        <x:f>$C58*0.07</x:f>
        <x:v>0.00525</x:v>
      </x:c>
      <x:c r="N58" s="44" t="n">
        <x:f>$C58*0.05</x:f>
        <x:v>0.00375</x:v>
      </x:c>
      <x:c r="O58" s="44" t="n">
        <x:f>$C58*0.04</x:f>
        <x:v>0.003</x:v>
      </x:c>
      <x:c r="P58" s="44" t="n">
        <x:f>SUM(D58:O58)</x:f>
        <x:v>0.07500000000000001</x:v>
      </x:c>
      <x:c r="Q58" s="54" t="n">
        <x:f>P58-C58</x:f>
        <x:v>1.3877787807814457e-17</x:v>
      </x:c>
    </x:row>
    <x:row r="59">
      <x:c r="B59" s="21" t="str">
        <x:v>F14-I1</x:v>
      </x:c>
      <x:c r="C59" s="44" t="n">
        <x:v>0.075</x:v>
      </x:c>
      <x:c r="D59" s="44" t="n">
        <x:f>$C59*0.04</x:f>
        <x:v>0.003</x:v>
      </x:c>
      <x:c r="E59" s="44" t="n">
        <x:f>$C59*0.06</x:f>
        <x:v>0.0045</x:v>
      </x:c>
      <x:c r="F59" s="44" t="n">
        <x:f>$C59*0.08</x:f>
        <x:v>0.006</x:v>
      </x:c>
      <x:c r="G59" s="44" t="n">
        <x:f>$C59*0.1</x:f>
        <x:v>0.0075</x:v>
      </x:c>
      <x:c r="H59" s="44" t="n">
        <x:f>$C59*0.12</x:f>
        <x:v>0.009</x:v>
      </x:c>
      <x:c r="I59" s="44" t="n">
        <x:f>$C59*0.12</x:f>
        <x:v>0.009</x:v>
      </x:c>
      <x:c r="J59" s="44" t="n">
        <x:f>$C59*0.12</x:f>
        <x:v>0.009</x:v>
      </x:c>
      <x:c r="K59" s="44" t="n">
        <x:f>$C59*0.11</x:f>
        <x:v>0.00825</x:v>
      </x:c>
      <x:c r="L59" s="44" t="n">
        <x:f>$C59*0.09</x:f>
        <x:v>0.00675</x:v>
      </x:c>
      <x:c r="M59" s="44" t="n">
        <x:f>$C59*0.07</x:f>
        <x:v>0.00525</x:v>
      </x:c>
      <x:c r="N59" s="44" t="n">
        <x:f>$C59*0.05</x:f>
        <x:v>0.00375</x:v>
      </x:c>
      <x:c r="O59" s="44" t="n">
        <x:f>$C59*0.04</x:f>
        <x:v>0.003</x:v>
      </x:c>
      <x:c r="P59" s="44" t="n">
        <x:f>SUM(D59:O59)</x:f>
        <x:v>0.07500000000000001</x:v>
      </x:c>
      <x:c r="Q59" s="54" t="n">
        <x:f>P59-C59</x:f>
        <x:v>1.3877787807814457e-17</x:v>
      </x:c>
    </x:row>
    <x:row r="60">
      <x:c r="B60" s="21" t="str">
        <x:v>F14-I2</x:v>
      </x:c>
      <x:c r="C60" s="44" t="n">
        <x:v>0.075</x:v>
      </x:c>
      <x:c r="D60" s="44" t="n">
        <x:f>$C60*0.04</x:f>
        <x:v>0.003</x:v>
      </x:c>
      <x:c r="E60" s="44" t="n">
        <x:f>$C60*0.06</x:f>
        <x:v>0.0045</x:v>
      </x:c>
      <x:c r="F60" s="44" t="n">
        <x:f>$C60*0.08</x:f>
        <x:v>0.006</x:v>
      </x:c>
      <x:c r="G60" s="44" t="n">
        <x:f>$C60*0.1</x:f>
        <x:v>0.0075</x:v>
      </x:c>
      <x:c r="H60" s="44" t="n">
        <x:f>$C60*0.12</x:f>
        <x:v>0.009</x:v>
      </x:c>
      <x:c r="I60" s="44" t="n">
        <x:f>$C60*0.12</x:f>
        <x:v>0.009</x:v>
      </x:c>
      <x:c r="J60" s="44" t="n">
        <x:f>$C60*0.12</x:f>
        <x:v>0.009</x:v>
      </x:c>
      <x:c r="K60" s="44" t="n">
        <x:f>$C60*0.11</x:f>
        <x:v>0.00825</x:v>
      </x:c>
      <x:c r="L60" s="44" t="n">
        <x:f>$C60*0.09</x:f>
        <x:v>0.00675</x:v>
      </x:c>
      <x:c r="M60" s="44" t="n">
        <x:f>$C60*0.07</x:f>
        <x:v>0.00525</x:v>
      </x:c>
      <x:c r="N60" s="44" t="n">
        <x:f>$C60*0.05</x:f>
        <x:v>0.00375</x:v>
      </x:c>
      <x:c r="O60" s="44" t="n">
        <x:f>$C60*0.04</x:f>
        <x:v>0.003</x:v>
      </x:c>
      <x:c r="P60" s="44" t="n">
        <x:f>SUM(D60:O60)</x:f>
        <x:v>0.07500000000000001</x:v>
      </x:c>
      <x:c r="Q60" s="54" t="n">
        <x:f>P60-C60</x:f>
        <x:v>1.3877787807814457e-17</x:v>
      </x:c>
    </x:row>
    <x:row r="61">
      <x:c r="B61" s="21" t="str">
        <x:v>F14-I3</x:v>
      </x:c>
      <x:c r="C61" s="44" t="n">
        <x:v>0.075</x:v>
      </x:c>
      <x:c r="D61" s="44" t="n">
        <x:f>$C61*0.04</x:f>
        <x:v>0.003</x:v>
      </x:c>
      <x:c r="E61" s="44" t="n">
        <x:f>$C61*0.06</x:f>
        <x:v>0.0045</x:v>
      </x:c>
      <x:c r="F61" s="44" t="n">
        <x:f>$C61*0.08</x:f>
        <x:v>0.006</x:v>
      </x:c>
      <x:c r="G61" s="44" t="n">
        <x:f>$C61*0.1</x:f>
        <x:v>0.0075</x:v>
      </x:c>
      <x:c r="H61" s="44" t="n">
        <x:f>$C61*0.12</x:f>
        <x:v>0.009</x:v>
      </x:c>
      <x:c r="I61" s="44" t="n">
        <x:f>$C61*0.12</x:f>
        <x:v>0.009</x:v>
      </x:c>
      <x:c r="J61" s="44" t="n">
        <x:f>$C61*0.12</x:f>
        <x:v>0.009</x:v>
      </x:c>
      <x:c r="K61" s="44" t="n">
        <x:f>$C61*0.11</x:f>
        <x:v>0.00825</x:v>
      </x:c>
      <x:c r="L61" s="44" t="n">
        <x:f>$C61*0.09</x:f>
        <x:v>0.00675</x:v>
      </x:c>
      <x:c r="M61" s="44" t="n">
        <x:f>$C61*0.07</x:f>
        <x:v>0.00525</x:v>
      </x:c>
      <x:c r="N61" s="44" t="n">
        <x:f>$C61*0.05</x:f>
        <x:v>0.00375</x:v>
      </x:c>
      <x:c r="O61" s="44" t="n">
        <x:f>$C61*0.04</x:f>
        <x:v>0.003</x:v>
      </x:c>
      <x:c r="P61" s="44" t="n">
        <x:f>SUM(D61:O61)</x:f>
        <x:v>0.07500000000000001</x:v>
      </x:c>
      <x:c r="Q61" s="54" t="n">
        <x:f>P61-C61</x:f>
        <x:v>1.3877787807814457e-17</x:v>
      </x:c>
    </x:row>
    <x:row r="62">
      <x:c r="B62" s="21" t="str">
        <x:v>F14-I4</x:v>
      </x:c>
      <x:c r="C62" s="44" t="n">
        <x:v>0.075</x:v>
      </x:c>
      <x:c r="D62" s="44" t="n">
        <x:f>$C62*0.04</x:f>
        <x:v>0.003</x:v>
      </x:c>
      <x:c r="E62" s="44" t="n">
        <x:f>$C62*0.06</x:f>
        <x:v>0.0045</x:v>
      </x:c>
      <x:c r="F62" s="44" t="n">
        <x:f>$C62*0.08</x:f>
        <x:v>0.006</x:v>
      </x:c>
      <x:c r="G62" s="44" t="n">
        <x:f>$C62*0.1</x:f>
        <x:v>0.0075</x:v>
      </x:c>
      <x:c r="H62" s="44" t="n">
        <x:f>$C62*0.12</x:f>
        <x:v>0.009</x:v>
      </x:c>
      <x:c r="I62" s="44" t="n">
        <x:f>$C62*0.12</x:f>
        <x:v>0.009</x:v>
      </x:c>
      <x:c r="J62" s="44" t="n">
        <x:f>$C62*0.12</x:f>
        <x:v>0.009</x:v>
      </x:c>
      <x:c r="K62" s="44" t="n">
        <x:f>$C62*0.11</x:f>
        <x:v>0.00825</x:v>
      </x:c>
      <x:c r="L62" s="44" t="n">
        <x:f>$C62*0.09</x:f>
        <x:v>0.00675</x:v>
      </x:c>
      <x:c r="M62" s="44" t="n">
        <x:f>$C62*0.07</x:f>
        <x:v>0.00525</x:v>
      </x:c>
      <x:c r="N62" s="44" t="n">
        <x:f>$C62*0.05</x:f>
        <x:v>0.00375</x:v>
      </x:c>
      <x:c r="O62" s="44" t="n">
        <x:f>$C62*0.04</x:f>
        <x:v>0.003</x:v>
      </x:c>
      <x:c r="P62" s="44" t="n">
        <x:f>SUM(D62:O62)</x:f>
        <x:v>0.07500000000000001</x:v>
      </x:c>
      <x:c r="Q62" s="54" t="n">
        <x:f>P62-C62</x:f>
        <x:v>1.3877787807814457e-17</x:v>
      </x:c>
    </x:row>
    <x:row r="63">
      <x:c r="B63" s="21" t="str">
        <x:v>F15-I1</x:v>
      </x:c>
      <x:c r="C63" s="44" t="n">
        <x:v>0.075</x:v>
      </x:c>
      <x:c r="D63" s="44" t="n">
        <x:f>$C63*0.04</x:f>
        <x:v>0.003</x:v>
      </x:c>
      <x:c r="E63" s="44" t="n">
        <x:f>$C63*0.06</x:f>
        <x:v>0.0045</x:v>
      </x:c>
      <x:c r="F63" s="44" t="n">
        <x:f>$C63*0.08</x:f>
        <x:v>0.006</x:v>
      </x:c>
      <x:c r="G63" s="44" t="n">
        <x:f>$C63*0.1</x:f>
        <x:v>0.0075</x:v>
      </x:c>
      <x:c r="H63" s="44" t="n">
        <x:f>$C63*0.12</x:f>
        <x:v>0.009</x:v>
      </x:c>
      <x:c r="I63" s="44" t="n">
        <x:f>$C63*0.12</x:f>
        <x:v>0.009</x:v>
      </x:c>
      <x:c r="J63" s="44" t="n">
        <x:f>$C63*0.12</x:f>
        <x:v>0.009</x:v>
      </x:c>
      <x:c r="K63" s="44" t="n">
        <x:f>$C63*0.11</x:f>
        <x:v>0.00825</x:v>
      </x:c>
      <x:c r="L63" s="44" t="n">
        <x:f>$C63*0.09</x:f>
        <x:v>0.00675</x:v>
      </x:c>
      <x:c r="M63" s="44" t="n">
        <x:f>$C63*0.07</x:f>
        <x:v>0.00525</x:v>
      </x:c>
      <x:c r="N63" s="44" t="n">
        <x:f>$C63*0.05</x:f>
        <x:v>0.00375</x:v>
      </x:c>
      <x:c r="O63" s="44" t="n">
        <x:f>$C63*0.04</x:f>
        <x:v>0.003</x:v>
      </x:c>
      <x:c r="P63" s="44" t="n">
        <x:f>SUM(D63:O63)</x:f>
        <x:v>0.07500000000000001</x:v>
      </x:c>
      <x:c r="Q63" s="54" t="n">
        <x:f>P63-C63</x:f>
        <x:v>1.3877787807814457e-17</x:v>
      </x:c>
    </x:row>
    <x:row r="64">
      <x:c r="B64" s="21" t="str">
        <x:v>F15-I2</x:v>
      </x:c>
      <x:c r="C64" s="44" t="n">
        <x:v>0.075</x:v>
      </x:c>
      <x:c r="D64" s="44" t="n">
        <x:f>$C64*0.04</x:f>
        <x:v>0.003</x:v>
      </x:c>
      <x:c r="E64" s="44" t="n">
        <x:f>$C64*0.06</x:f>
        <x:v>0.0045</x:v>
      </x:c>
      <x:c r="F64" s="44" t="n">
        <x:f>$C64*0.08</x:f>
        <x:v>0.006</x:v>
      </x:c>
      <x:c r="G64" s="44" t="n">
        <x:f>$C64*0.1</x:f>
        <x:v>0.0075</x:v>
      </x:c>
      <x:c r="H64" s="44" t="n">
        <x:f>$C64*0.12</x:f>
        <x:v>0.009</x:v>
      </x:c>
      <x:c r="I64" s="44" t="n">
        <x:f>$C64*0.12</x:f>
        <x:v>0.009</x:v>
      </x:c>
      <x:c r="J64" s="44" t="n">
        <x:f>$C64*0.12</x:f>
        <x:v>0.009</x:v>
      </x:c>
      <x:c r="K64" s="44" t="n">
        <x:f>$C64*0.11</x:f>
        <x:v>0.00825</x:v>
      </x:c>
      <x:c r="L64" s="44" t="n">
        <x:f>$C64*0.09</x:f>
        <x:v>0.00675</x:v>
      </x:c>
      <x:c r="M64" s="44" t="n">
        <x:f>$C64*0.07</x:f>
        <x:v>0.00525</x:v>
      </x:c>
      <x:c r="N64" s="44" t="n">
        <x:f>$C64*0.05</x:f>
        <x:v>0.00375</x:v>
      </x:c>
      <x:c r="O64" s="44" t="n">
        <x:f>$C64*0.04</x:f>
        <x:v>0.003</x:v>
      </x:c>
      <x:c r="P64" s="44" t="n">
        <x:f>SUM(D64:O64)</x:f>
        <x:v>0.07500000000000001</x:v>
      </x:c>
      <x:c r="Q64" s="54" t="n">
        <x:f>P64-C64</x:f>
        <x:v>1.3877787807814457e-17</x:v>
      </x:c>
    </x:row>
    <x:row r="65">
      <x:c r="B65" s="21" t="str">
        <x:v>F15-I3</x:v>
      </x:c>
      <x:c r="C65" s="44" t="n">
        <x:v>0.075</x:v>
      </x:c>
      <x:c r="D65" s="44" t="n">
        <x:f>$C65*0.04</x:f>
        <x:v>0.003</x:v>
      </x:c>
      <x:c r="E65" s="44" t="n">
        <x:f>$C65*0.06</x:f>
        <x:v>0.0045</x:v>
      </x:c>
      <x:c r="F65" s="44" t="n">
        <x:f>$C65*0.08</x:f>
        <x:v>0.006</x:v>
      </x:c>
      <x:c r="G65" s="44" t="n">
        <x:f>$C65*0.1</x:f>
        <x:v>0.0075</x:v>
      </x:c>
      <x:c r="H65" s="44" t="n">
        <x:f>$C65*0.12</x:f>
        <x:v>0.009</x:v>
      </x:c>
      <x:c r="I65" s="44" t="n">
        <x:f>$C65*0.12</x:f>
        <x:v>0.009</x:v>
      </x:c>
      <x:c r="J65" s="44" t="n">
        <x:f>$C65*0.12</x:f>
        <x:v>0.009</x:v>
      </x:c>
      <x:c r="K65" s="44" t="n">
        <x:f>$C65*0.11</x:f>
        <x:v>0.00825</x:v>
      </x:c>
      <x:c r="L65" s="44" t="n">
        <x:f>$C65*0.09</x:f>
        <x:v>0.00675</x:v>
      </x:c>
      <x:c r="M65" s="44" t="n">
        <x:f>$C65*0.07</x:f>
        <x:v>0.00525</x:v>
      </x:c>
      <x:c r="N65" s="44" t="n">
        <x:f>$C65*0.05</x:f>
        <x:v>0.00375</x:v>
      </x:c>
      <x:c r="O65" s="44" t="n">
        <x:f>$C65*0.04</x:f>
        <x:v>0.003</x:v>
      </x:c>
      <x:c r="P65" s="44" t="n">
        <x:f>SUM(D65:O65)</x:f>
        <x:v>0.07500000000000001</x:v>
      </x:c>
      <x:c r="Q65" s="54" t="n">
        <x:f>P65-C65</x:f>
        <x:v>1.3877787807814457e-17</x:v>
      </x:c>
    </x:row>
    <x:row r="66">
      <x:c r="B66" s="21" t="str">
        <x:v>F15-I4</x:v>
      </x:c>
      <x:c r="C66" s="44" t="n">
        <x:v>0.075</x:v>
      </x:c>
      <x:c r="D66" s="44" t="n">
        <x:f>$C66*0.04</x:f>
        <x:v>0.003</x:v>
      </x:c>
      <x:c r="E66" s="44" t="n">
        <x:f>$C66*0.06</x:f>
        <x:v>0.0045</x:v>
      </x:c>
      <x:c r="F66" s="44" t="n">
        <x:f>$C66*0.08</x:f>
        <x:v>0.006</x:v>
      </x:c>
      <x:c r="G66" s="44" t="n">
        <x:f>$C66*0.1</x:f>
        <x:v>0.0075</x:v>
      </x:c>
      <x:c r="H66" s="44" t="n">
        <x:f>$C66*0.12</x:f>
        <x:v>0.009</x:v>
      </x:c>
      <x:c r="I66" s="44" t="n">
        <x:f>$C66*0.12</x:f>
        <x:v>0.009</x:v>
      </x:c>
      <x:c r="J66" s="44" t="n">
        <x:f>$C66*0.12</x:f>
        <x:v>0.009</x:v>
      </x:c>
      <x:c r="K66" s="44" t="n">
        <x:f>$C66*0.11</x:f>
        <x:v>0.00825</x:v>
      </x:c>
      <x:c r="L66" s="44" t="n">
        <x:f>$C66*0.09</x:f>
        <x:v>0.00675</x:v>
      </x:c>
      <x:c r="M66" s="44" t="n">
        <x:f>$C66*0.07</x:f>
        <x:v>0.00525</x:v>
      </x:c>
      <x:c r="N66" s="44" t="n">
        <x:f>$C66*0.05</x:f>
        <x:v>0.00375</x:v>
      </x:c>
      <x:c r="O66" s="44" t="n">
        <x:f>$C66*0.04</x:f>
        <x:v>0.003</x:v>
      </x:c>
      <x:c r="P66" s="44" t="n">
        <x:f>SUM(D66:O66)</x:f>
        <x:v>0.07500000000000001</x:v>
      </x:c>
      <x:c r="Q66" s="54" t="n">
        <x:f>P66-C66</x:f>
        <x:v>1.3877787807814457e-17</x:v>
      </x:c>
    </x:row>
    <x:row r="67">
      <x:c r="B67" s="21" t="str">
        <x:v>F16-I1</x:v>
      </x:c>
      <x:c r="C67" s="44" t="n">
        <x:v>0.10416666666666667</x:v>
      </x:c>
      <x:c r="D67" s="44" t="n">
        <x:f>$C67*0.04</x:f>
        <x:v>0.004166666666666667</x:v>
      </x:c>
      <x:c r="E67" s="44" t="n">
        <x:f>$C67*0.06</x:f>
        <x:v>0.00625</x:v>
      </x:c>
      <x:c r="F67" s="44" t="n">
        <x:f>$C67*0.08</x:f>
        <x:v>0.008333333333333333</x:v>
      </x:c>
      <x:c r="G67" s="44" t="n">
        <x:f>$C67*0.1</x:f>
        <x:v>0.010416666666666668</x:v>
      </x:c>
      <x:c r="H67" s="44" t="n">
        <x:f>$C67*0.12</x:f>
        <x:v>0.0125</x:v>
      </x:c>
      <x:c r="I67" s="44" t="n">
        <x:f>$C67*0.12</x:f>
        <x:v>0.0125</x:v>
      </x:c>
      <x:c r="J67" s="44" t="n">
        <x:f>$C67*0.12</x:f>
        <x:v>0.0125</x:v>
      </x:c>
      <x:c r="K67" s="44" t="n">
        <x:f>$C67*0.11</x:f>
        <x:v>0.011458333333333334</x:v>
      </x:c>
      <x:c r="L67" s="44" t="n">
        <x:f>$C67*0.09</x:f>
        <x:v>0.009375</x:v>
      </x:c>
      <x:c r="M67" s="44" t="n">
        <x:f>$C67*0.07</x:f>
        <x:v>0.007291666666666668</x:v>
      </x:c>
      <x:c r="N67" s="44" t="n">
        <x:f>$C67*0.05</x:f>
        <x:v>0.005208333333333334</x:v>
      </x:c>
      <x:c r="O67" s="44" t="n">
        <x:f>$C67*0.04</x:f>
        <x:v>0.004166666666666667</x:v>
      </x:c>
      <x:c r="P67" s="44" t="n">
        <x:f>SUM(D67:O67)</x:f>
        <x:v>0.10416666666666666</x:v>
      </x:c>
      <x:c r="Q67" s="54" t="n">
        <x:f>P67-C67</x:f>
        <x:v>-1.3877787807814457e-17</x:v>
      </x:c>
    </x:row>
    <x:row r="68">
      <x:c r="B68" s="21" t="str">
        <x:v>F16-I2</x:v>
      </x:c>
      <x:c r="C68" s="44" t="n">
        <x:v>0.10416666666666667</x:v>
      </x:c>
      <x:c r="D68" s="44" t="n">
        <x:f>$C68*0.04</x:f>
        <x:v>0.004166666666666667</x:v>
      </x:c>
      <x:c r="E68" s="44" t="n">
        <x:f>$C68*0.06</x:f>
        <x:v>0.00625</x:v>
      </x:c>
      <x:c r="F68" s="44" t="n">
        <x:f>$C68*0.08</x:f>
        <x:v>0.008333333333333333</x:v>
      </x:c>
      <x:c r="G68" s="44" t="n">
        <x:f>$C68*0.1</x:f>
        <x:v>0.010416666666666668</x:v>
      </x:c>
      <x:c r="H68" s="44" t="n">
        <x:f>$C68*0.12</x:f>
        <x:v>0.0125</x:v>
      </x:c>
      <x:c r="I68" s="44" t="n">
        <x:f>$C68*0.12</x:f>
        <x:v>0.0125</x:v>
      </x:c>
      <x:c r="J68" s="44" t="n">
        <x:f>$C68*0.12</x:f>
        <x:v>0.0125</x:v>
      </x:c>
      <x:c r="K68" s="44" t="n">
        <x:f>$C68*0.11</x:f>
        <x:v>0.011458333333333334</x:v>
      </x:c>
      <x:c r="L68" s="44" t="n">
        <x:f>$C68*0.09</x:f>
        <x:v>0.009375</x:v>
      </x:c>
      <x:c r="M68" s="44" t="n">
        <x:f>$C68*0.07</x:f>
        <x:v>0.007291666666666668</x:v>
      </x:c>
      <x:c r="N68" s="44" t="n">
        <x:f>$C68*0.05</x:f>
        <x:v>0.005208333333333334</x:v>
      </x:c>
      <x:c r="O68" s="44" t="n">
        <x:f>$C68*0.04</x:f>
        <x:v>0.004166666666666667</x:v>
      </x:c>
      <x:c r="P68" s="44" t="n">
        <x:f>SUM(D68:O68)</x:f>
        <x:v>0.10416666666666666</x:v>
      </x:c>
      <x:c r="Q68" s="54" t="n">
        <x:f>P68-C68</x:f>
        <x:v>-1.3877787807814457e-17</x:v>
      </x:c>
    </x:row>
    <x:row r="69">
      <x:c r="B69" s="21" t="str">
        <x:v>F16-I3</x:v>
      </x:c>
      <x:c r="C69" s="44" t="n">
        <x:v>0.10416666666666667</x:v>
      </x:c>
      <x:c r="D69" s="44" t="n">
        <x:f>$C69*0.04</x:f>
        <x:v>0.004166666666666667</x:v>
      </x:c>
      <x:c r="E69" s="44" t="n">
        <x:f>$C69*0.06</x:f>
        <x:v>0.00625</x:v>
      </x:c>
      <x:c r="F69" s="44" t="n">
        <x:f>$C69*0.08</x:f>
        <x:v>0.008333333333333333</x:v>
      </x:c>
      <x:c r="G69" s="44" t="n">
        <x:f>$C69*0.1</x:f>
        <x:v>0.010416666666666668</x:v>
      </x:c>
      <x:c r="H69" s="44" t="n">
        <x:f>$C69*0.12</x:f>
        <x:v>0.0125</x:v>
      </x:c>
      <x:c r="I69" s="44" t="n">
        <x:f>$C69*0.12</x:f>
        <x:v>0.0125</x:v>
      </x:c>
      <x:c r="J69" s="44" t="n">
        <x:f>$C69*0.12</x:f>
        <x:v>0.0125</x:v>
      </x:c>
      <x:c r="K69" s="44" t="n">
        <x:f>$C69*0.11</x:f>
        <x:v>0.011458333333333334</x:v>
      </x:c>
      <x:c r="L69" s="44" t="n">
        <x:f>$C69*0.09</x:f>
        <x:v>0.009375</x:v>
      </x:c>
      <x:c r="M69" s="44" t="n">
        <x:f>$C69*0.07</x:f>
        <x:v>0.007291666666666668</x:v>
      </x:c>
      <x:c r="N69" s="44" t="n">
        <x:f>$C69*0.05</x:f>
        <x:v>0.005208333333333334</x:v>
      </x:c>
      <x:c r="O69" s="44" t="n">
        <x:f>$C69*0.04</x:f>
        <x:v>0.004166666666666667</x:v>
      </x:c>
      <x:c r="P69" s="44" t="n">
        <x:f>SUM(D69:O69)</x:f>
        <x:v>0.10416666666666666</x:v>
      </x:c>
      <x:c r="Q69" s="54" t="n">
        <x:f>P69-C69</x:f>
        <x:v>-1.3877787807814457e-17</x:v>
      </x:c>
    </x:row>
    <x:row r="70">
      <x:c r="B70" s="21" t="str">
        <x:v>F16-I4</x:v>
      </x:c>
      <x:c r="C70" s="44" t="n">
        <x:v>0.10416666666666667</x:v>
      </x:c>
      <x:c r="D70" s="44" t="n">
        <x:f>$C70*0.04</x:f>
        <x:v>0.004166666666666667</x:v>
      </x:c>
      <x:c r="E70" s="44" t="n">
        <x:f>$C70*0.06</x:f>
        <x:v>0.00625</x:v>
      </x:c>
      <x:c r="F70" s="44" t="n">
        <x:f>$C70*0.08</x:f>
        <x:v>0.008333333333333333</x:v>
      </x:c>
      <x:c r="G70" s="44" t="n">
        <x:f>$C70*0.1</x:f>
        <x:v>0.010416666666666668</x:v>
      </x:c>
      <x:c r="H70" s="44" t="n">
        <x:f>$C70*0.12</x:f>
        <x:v>0.0125</x:v>
      </x:c>
      <x:c r="I70" s="44" t="n">
        <x:f>$C70*0.12</x:f>
        <x:v>0.0125</x:v>
      </x:c>
      <x:c r="J70" s="44" t="n">
        <x:f>$C70*0.12</x:f>
        <x:v>0.0125</x:v>
      </x:c>
      <x:c r="K70" s="44" t="n">
        <x:f>$C70*0.11</x:f>
        <x:v>0.011458333333333334</x:v>
      </x:c>
      <x:c r="L70" s="44" t="n">
        <x:f>$C70*0.09</x:f>
        <x:v>0.009375</x:v>
      </x:c>
      <x:c r="M70" s="44" t="n">
        <x:f>$C70*0.07</x:f>
        <x:v>0.007291666666666668</x:v>
      </x:c>
      <x:c r="N70" s="44" t="n">
        <x:f>$C70*0.05</x:f>
        <x:v>0.005208333333333334</x:v>
      </x:c>
      <x:c r="O70" s="44" t="n">
        <x:f>$C70*0.04</x:f>
        <x:v>0.004166666666666667</x:v>
      </x:c>
      <x:c r="P70" s="44" t="n">
        <x:f>SUM(D70:O70)</x:f>
        <x:v>0.10416666666666666</x:v>
      </x:c>
      <x:c r="Q70" s="54" t="n">
        <x:f>P70-C70</x:f>
        <x:v>-1.3877787807814457e-17</x:v>
      </x:c>
    </x:row>
    <x:row r="71">
      <x:c r="B71" s="21" t="str">
        <x:v>F17-I1</x:v>
      </x:c>
      <x:c r="C71" s="44" t="n">
        <x:v>0.10416666666666667</x:v>
      </x:c>
      <x:c r="D71" s="44" t="n">
        <x:f>$C71*0.04</x:f>
        <x:v>0.004166666666666667</x:v>
      </x:c>
      <x:c r="E71" s="44" t="n">
        <x:f>$C71*0.06</x:f>
        <x:v>0.00625</x:v>
      </x:c>
      <x:c r="F71" s="44" t="n">
        <x:f>$C71*0.08</x:f>
        <x:v>0.008333333333333333</x:v>
      </x:c>
      <x:c r="G71" s="44" t="n">
        <x:f>$C71*0.1</x:f>
        <x:v>0.010416666666666668</x:v>
      </x:c>
      <x:c r="H71" s="44" t="n">
        <x:f>$C71*0.12</x:f>
        <x:v>0.0125</x:v>
      </x:c>
      <x:c r="I71" s="44" t="n">
        <x:f>$C71*0.12</x:f>
        <x:v>0.0125</x:v>
      </x:c>
      <x:c r="J71" s="44" t="n">
        <x:f>$C71*0.12</x:f>
        <x:v>0.0125</x:v>
      </x:c>
      <x:c r="K71" s="44" t="n">
        <x:f>$C71*0.11</x:f>
        <x:v>0.011458333333333334</x:v>
      </x:c>
      <x:c r="L71" s="44" t="n">
        <x:f>$C71*0.09</x:f>
        <x:v>0.009375</x:v>
      </x:c>
      <x:c r="M71" s="44" t="n">
        <x:f>$C71*0.07</x:f>
        <x:v>0.007291666666666668</x:v>
      </x:c>
      <x:c r="N71" s="44" t="n">
        <x:f>$C71*0.05</x:f>
        <x:v>0.005208333333333334</x:v>
      </x:c>
      <x:c r="O71" s="44" t="n">
        <x:f>$C71*0.04</x:f>
        <x:v>0.004166666666666667</x:v>
      </x:c>
      <x:c r="P71" s="44" t="n">
        <x:f>SUM(D71:O71)</x:f>
        <x:v>0.10416666666666666</x:v>
      </x:c>
      <x:c r="Q71" s="54" t="n">
        <x:f>P71-C71</x:f>
        <x:v>-1.3877787807814457e-17</x:v>
      </x:c>
    </x:row>
    <x:row r="72">
      <x:c r="B72" s="21" t="str">
        <x:v>F17-I2</x:v>
      </x:c>
      <x:c r="C72" s="44" t="n">
        <x:v>0.10416666666666667</x:v>
      </x:c>
      <x:c r="D72" s="44" t="n">
        <x:f>$C72*0.04</x:f>
        <x:v>0.004166666666666667</x:v>
      </x:c>
      <x:c r="E72" s="44" t="n">
        <x:f>$C72*0.06</x:f>
        <x:v>0.00625</x:v>
      </x:c>
      <x:c r="F72" s="44" t="n">
        <x:f>$C72*0.08</x:f>
        <x:v>0.008333333333333333</x:v>
      </x:c>
      <x:c r="G72" s="44" t="n">
        <x:f>$C72*0.1</x:f>
        <x:v>0.010416666666666668</x:v>
      </x:c>
      <x:c r="H72" s="44" t="n">
        <x:f>$C72*0.12</x:f>
        <x:v>0.0125</x:v>
      </x:c>
      <x:c r="I72" s="44" t="n">
        <x:f>$C72*0.12</x:f>
        <x:v>0.0125</x:v>
      </x:c>
      <x:c r="J72" s="44" t="n">
        <x:f>$C72*0.12</x:f>
        <x:v>0.0125</x:v>
      </x:c>
      <x:c r="K72" s="44" t="n">
        <x:f>$C72*0.11</x:f>
        <x:v>0.011458333333333334</x:v>
      </x:c>
      <x:c r="L72" s="44" t="n">
        <x:f>$C72*0.09</x:f>
        <x:v>0.009375</x:v>
      </x:c>
      <x:c r="M72" s="44" t="n">
        <x:f>$C72*0.07</x:f>
        <x:v>0.007291666666666668</x:v>
      </x:c>
      <x:c r="N72" s="44" t="n">
        <x:f>$C72*0.05</x:f>
        <x:v>0.005208333333333334</x:v>
      </x:c>
      <x:c r="O72" s="44" t="n">
        <x:f>$C72*0.04</x:f>
        <x:v>0.004166666666666667</x:v>
      </x:c>
      <x:c r="P72" s="44" t="n">
        <x:f>SUM(D72:O72)</x:f>
        <x:v>0.10416666666666666</x:v>
      </x:c>
      <x:c r="Q72" s="54" t="n">
        <x:f>P72-C72</x:f>
        <x:v>-1.3877787807814457e-17</x:v>
      </x:c>
    </x:row>
    <x:row r="73">
      <x:c r="B73" s="21" t="str">
        <x:v>F17-I3</x:v>
      </x:c>
      <x:c r="C73" s="44" t="n">
        <x:v>0.10416666666666667</x:v>
      </x:c>
      <x:c r="D73" s="44" t="n">
        <x:f>$C73*0.04</x:f>
        <x:v>0.004166666666666667</x:v>
      </x:c>
      <x:c r="E73" s="44" t="n">
        <x:f>$C73*0.06</x:f>
        <x:v>0.00625</x:v>
      </x:c>
      <x:c r="F73" s="44" t="n">
        <x:f>$C73*0.08</x:f>
        <x:v>0.008333333333333333</x:v>
      </x:c>
      <x:c r="G73" s="44" t="n">
        <x:f>$C73*0.1</x:f>
        <x:v>0.010416666666666668</x:v>
      </x:c>
      <x:c r="H73" s="44" t="n">
        <x:f>$C73*0.12</x:f>
        <x:v>0.0125</x:v>
      </x:c>
      <x:c r="I73" s="44" t="n">
        <x:f>$C73*0.12</x:f>
        <x:v>0.0125</x:v>
      </x:c>
      <x:c r="J73" s="44" t="n">
        <x:f>$C73*0.12</x:f>
        <x:v>0.0125</x:v>
      </x:c>
      <x:c r="K73" s="44" t="n">
        <x:f>$C73*0.11</x:f>
        <x:v>0.011458333333333334</x:v>
      </x:c>
      <x:c r="L73" s="44" t="n">
        <x:f>$C73*0.09</x:f>
        <x:v>0.009375</x:v>
      </x:c>
      <x:c r="M73" s="44" t="n">
        <x:f>$C73*0.07</x:f>
        <x:v>0.007291666666666668</x:v>
      </x:c>
      <x:c r="N73" s="44" t="n">
        <x:f>$C73*0.05</x:f>
        <x:v>0.005208333333333334</x:v>
      </x:c>
      <x:c r="O73" s="44" t="n">
        <x:f>$C73*0.04</x:f>
        <x:v>0.004166666666666667</x:v>
      </x:c>
      <x:c r="P73" s="44" t="n">
        <x:f>SUM(D73:O73)</x:f>
        <x:v>0.10416666666666666</x:v>
      </x:c>
      <x:c r="Q73" s="54" t="n">
        <x:f>P73-C73</x:f>
        <x:v>-1.3877787807814457e-17</x:v>
      </x:c>
    </x:row>
    <x:row r="74">
      <x:c r="B74" s="21" t="str">
        <x:v>F17-I4</x:v>
      </x:c>
      <x:c r="C74" s="44" t="n">
        <x:v>0.10416666666666667</x:v>
      </x:c>
      <x:c r="D74" s="44" t="n">
        <x:f>$C74*0.04</x:f>
        <x:v>0.004166666666666667</x:v>
      </x:c>
      <x:c r="E74" s="44" t="n">
        <x:f>$C74*0.06</x:f>
        <x:v>0.00625</x:v>
      </x:c>
      <x:c r="F74" s="44" t="n">
        <x:f>$C74*0.08</x:f>
        <x:v>0.008333333333333333</x:v>
      </x:c>
      <x:c r="G74" s="44" t="n">
        <x:f>$C74*0.1</x:f>
        <x:v>0.010416666666666668</x:v>
      </x:c>
      <x:c r="H74" s="44" t="n">
        <x:f>$C74*0.12</x:f>
        <x:v>0.0125</x:v>
      </x:c>
      <x:c r="I74" s="44" t="n">
        <x:f>$C74*0.12</x:f>
        <x:v>0.0125</x:v>
      </x:c>
      <x:c r="J74" s="44" t="n">
        <x:f>$C74*0.12</x:f>
        <x:v>0.0125</x:v>
      </x:c>
      <x:c r="K74" s="44" t="n">
        <x:f>$C74*0.11</x:f>
        <x:v>0.011458333333333334</x:v>
      </x:c>
      <x:c r="L74" s="44" t="n">
        <x:f>$C74*0.09</x:f>
        <x:v>0.009375</x:v>
      </x:c>
      <x:c r="M74" s="44" t="n">
        <x:f>$C74*0.07</x:f>
        <x:v>0.007291666666666668</x:v>
      </x:c>
      <x:c r="N74" s="44" t="n">
        <x:f>$C74*0.05</x:f>
        <x:v>0.005208333333333334</x:v>
      </x:c>
      <x:c r="O74" s="44" t="n">
        <x:f>$C74*0.04</x:f>
        <x:v>0.004166666666666667</x:v>
      </x:c>
      <x:c r="P74" s="44" t="n">
        <x:f>SUM(D74:O74)</x:f>
        <x:v>0.10416666666666666</x:v>
      </x:c>
      <x:c r="Q74" s="54" t="n">
        <x:f>P74-C74</x:f>
        <x:v>-1.3877787807814457e-17</x:v>
      </x:c>
    </x:row>
    <x:row r="75">
      <x:c r="B75" s="21" t="str">
        <x:v>F18-I1</x:v>
      </x:c>
      <x:c r="C75" s="44" t="n">
        <x:v>0.10416666666666667</x:v>
      </x:c>
      <x:c r="D75" s="44" t="n">
        <x:f>$C75*0.04</x:f>
        <x:v>0.004166666666666667</x:v>
      </x:c>
      <x:c r="E75" s="44" t="n">
        <x:f>$C75*0.06</x:f>
        <x:v>0.00625</x:v>
      </x:c>
      <x:c r="F75" s="44" t="n">
        <x:f>$C75*0.08</x:f>
        <x:v>0.008333333333333333</x:v>
      </x:c>
      <x:c r="G75" s="44" t="n">
        <x:f>$C75*0.1</x:f>
        <x:v>0.010416666666666668</x:v>
      </x:c>
      <x:c r="H75" s="44" t="n">
        <x:f>$C75*0.12</x:f>
        <x:v>0.0125</x:v>
      </x:c>
      <x:c r="I75" s="44" t="n">
        <x:f>$C75*0.12</x:f>
        <x:v>0.0125</x:v>
      </x:c>
      <x:c r="J75" s="44" t="n">
        <x:f>$C75*0.12</x:f>
        <x:v>0.0125</x:v>
      </x:c>
      <x:c r="K75" s="44" t="n">
        <x:f>$C75*0.11</x:f>
        <x:v>0.011458333333333334</x:v>
      </x:c>
      <x:c r="L75" s="44" t="n">
        <x:f>$C75*0.09</x:f>
        <x:v>0.009375</x:v>
      </x:c>
      <x:c r="M75" s="44" t="n">
        <x:f>$C75*0.07</x:f>
        <x:v>0.007291666666666668</x:v>
      </x:c>
      <x:c r="N75" s="44" t="n">
        <x:f>$C75*0.05</x:f>
        <x:v>0.005208333333333334</x:v>
      </x:c>
      <x:c r="O75" s="44" t="n">
        <x:f>$C75*0.04</x:f>
        <x:v>0.004166666666666667</x:v>
      </x:c>
      <x:c r="P75" s="44" t="n">
        <x:f>SUM(D75:O75)</x:f>
        <x:v>0.10416666666666666</x:v>
      </x:c>
      <x:c r="Q75" s="54" t="n">
        <x:f>P75-C75</x:f>
        <x:v>-1.3877787807814457e-17</x:v>
      </x:c>
    </x:row>
    <x:row r="76">
      <x:c r="B76" s="21" t="str">
        <x:v>F18-I2</x:v>
      </x:c>
      <x:c r="C76" s="44" t="n">
        <x:v>0.10416666666666667</x:v>
      </x:c>
      <x:c r="D76" s="44" t="n">
        <x:f>$C76*0.04</x:f>
        <x:v>0.004166666666666667</x:v>
      </x:c>
      <x:c r="E76" s="44" t="n">
        <x:f>$C76*0.06</x:f>
        <x:v>0.00625</x:v>
      </x:c>
      <x:c r="F76" s="44" t="n">
        <x:f>$C76*0.08</x:f>
        <x:v>0.008333333333333333</x:v>
      </x:c>
      <x:c r="G76" s="44" t="n">
        <x:f>$C76*0.1</x:f>
        <x:v>0.010416666666666668</x:v>
      </x:c>
      <x:c r="H76" s="44" t="n">
        <x:f>$C76*0.12</x:f>
        <x:v>0.0125</x:v>
      </x:c>
      <x:c r="I76" s="44" t="n">
        <x:f>$C76*0.12</x:f>
        <x:v>0.0125</x:v>
      </x:c>
      <x:c r="J76" s="44" t="n">
        <x:f>$C76*0.12</x:f>
        <x:v>0.0125</x:v>
      </x:c>
      <x:c r="K76" s="44" t="n">
        <x:f>$C76*0.11</x:f>
        <x:v>0.011458333333333334</x:v>
      </x:c>
      <x:c r="L76" s="44" t="n">
        <x:f>$C76*0.09</x:f>
        <x:v>0.009375</x:v>
      </x:c>
      <x:c r="M76" s="44" t="n">
        <x:f>$C76*0.07</x:f>
        <x:v>0.007291666666666668</x:v>
      </x:c>
      <x:c r="N76" s="44" t="n">
        <x:f>$C76*0.05</x:f>
        <x:v>0.005208333333333334</x:v>
      </x:c>
      <x:c r="O76" s="44" t="n">
        <x:f>$C76*0.04</x:f>
        <x:v>0.004166666666666667</x:v>
      </x:c>
      <x:c r="P76" s="44" t="n">
        <x:f>SUM(D76:O76)</x:f>
        <x:v>0.10416666666666666</x:v>
      </x:c>
      <x:c r="Q76" s="54" t="n">
        <x:f>P76-C76</x:f>
        <x:v>-1.3877787807814457e-17</x:v>
      </x:c>
    </x:row>
    <x:row r="77">
      <x:c r="B77" s="21" t="str">
        <x:v>F18-I3</x:v>
      </x:c>
      <x:c r="C77" s="44" t="n">
        <x:v>0.10416666666666667</x:v>
      </x:c>
      <x:c r="D77" s="44" t="n">
        <x:f>$C77*0.04</x:f>
        <x:v>0.004166666666666667</x:v>
      </x:c>
      <x:c r="E77" s="44" t="n">
        <x:f>$C77*0.06</x:f>
        <x:v>0.00625</x:v>
      </x:c>
      <x:c r="F77" s="44" t="n">
        <x:f>$C77*0.08</x:f>
        <x:v>0.008333333333333333</x:v>
      </x:c>
      <x:c r="G77" s="44" t="n">
        <x:f>$C77*0.1</x:f>
        <x:v>0.010416666666666668</x:v>
      </x:c>
      <x:c r="H77" s="44" t="n">
        <x:f>$C77*0.12</x:f>
        <x:v>0.0125</x:v>
      </x:c>
      <x:c r="I77" s="44" t="n">
        <x:f>$C77*0.12</x:f>
        <x:v>0.0125</x:v>
      </x:c>
      <x:c r="J77" s="44" t="n">
        <x:f>$C77*0.12</x:f>
        <x:v>0.0125</x:v>
      </x:c>
      <x:c r="K77" s="44" t="n">
        <x:f>$C77*0.11</x:f>
        <x:v>0.011458333333333334</x:v>
      </x:c>
      <x:c r="L77" s="44" t="n">
        <x:f>$C77*0.09</x:f>
        <x:v>0.009375</x:v>
      </x:c>
      <x:c r="M77" s="44" t="n">
        <x:f>$C77*0.07</x:f>
        <x:v>0.007291666666666668</x:v>
      </x:c>
      <x:c r="N77" s="44" t="n">
        <x:f>$C77*0.05</x:f>
        <x:v>0.005208333333333334</x:v>
      </x:c>
      <x:c r="O77" s="44" t="n">
        <x:f>$C77*0.04</x:f>
        <x:v>0.004166666666666667</x:v>
      </x:c>
      <x:c r="P77" s="44" t="n">
        <x:f>SUM(D77:O77)</x:f>
        <x:v>0.10416666666666666</x:v>
      </x:c>
      <x:c r="Q77" s="54" t="n">
        <x:f>P77-C77</x:f>
        <x:v>-1.3877787807814457e-17</x:v>
      </x:c>
    </x:row>
    <x:row r="78">
      <x:c r="B78" s="21" t="str">
        <x:v>F18-I4</x:v>
      </x:c>
      <x:c r="C78" s="44" t="n">
        <x:v>0.10416666666666667</x:v>
      </x:c>
      <x:c r="D78" s="44" t="n">
        <x:f>$C78*0.04</x:f>
        <x:v>0.004166666666666667</x:v>
      </x:c>
      <x:c r="E78" s="44" t="n">
        <x:f>$C78*0.06</x:f>
        <x:v>0.00625</x:v>
      </x:c>
      <x:c r="F78" s="44" t="n">
        <x:f>$C78*0.08</x:f>
        <x:v>0.008333333333333333</x:v>
      </x:c>
      <x:c r="G78" s="44" t="n">
        <x:f>$C78*0.1</x:f>
        <x:v>0.010416666666666668</x:v>
      </x:c>
      <x:c r="H78" s="44" t="n">
        <x:f>$C78*0.12</x:f>
        <x:v>0.0125</x:v>
      </x:c>
      <x:c r="I78" s="44" t="n">
        <x:f>$C78*0.12</x:f>
        <x:v>0.0125</x:v>
      </x:c>
      <x:c r="J78" s="44" t="n">
        <x:f>$C78*0.12</x:f>
        <x:v>0.0125</x:v>
      </x:c>
      <x:c r="K78" s="44" t="n">
        <x:f>$C78*0.11</x:f>
        <x:v>0.011458333333333334</x:v>
      </x:c>
      <x:c r="L78" s="44" t="n">
        <x:f>$C78*0.09</x:f>
        <x:v>0.009375</x:v>
      </x:c>
      <x:c r="M78" s="44" t="n">
        <x:f>$C78*0.07</x:f>
        <x:v>0.007291666666666668</x:v>
      </x:c>
      <x:c r="N78" s="44" t="n">
        <x:f>$C78*0.05</x:f>
        <x:v>0.005208333333333334</x:v>
      </x:c>
      <x:c r="O78" s="44" t="n">
        <x:f>$C78*0.04</x:f>
        <x:v>0.004166666666666667</x:v>
      </x:c>
      <x:c r="P78" s="44" t="n">
        <x:f>SUM(D78:O78)</x:f>
        <x:v>0.10416666666666666</x:v>
      </x:c>
      <x:c r="Q78" s="54" t="n">
        <x:f>P78-C78</x:f>
        <x:v>-1.3877787807814457e-17</x:v>
      </x:c>
    </x:row>
    <x:row r="79">
      <x:c r="B79" s="21" t="str">
        <x:v>F19-I1</x:v>
      </x:c>
      <x:c r="C79" s="44" t="n">
        <x:v>0.10416666666666667</x:v>
      </x:c>
      <x:c r="D79" s="44" t="n">
        <x:f>$C79*0.04</x:f>
        <x:v>0.004166666666666667</x:v>
      </x:c>
      <x:c r="E79" s="44" t="n">
        <x:f>$C79*0.06</x:f>
        <x:v>0.00625</x:v>
      </x:c>
      <x:c r="F79" s="44" t="n">
        <x:f>$C79*0.08</x:f>
        <x:v>0.008333333333333333</x:v>
      </x:c>
      <x:c r="G79" s="44" t="n">
        <x:f>$C79*0.1</x:f>
        <x:v>0.010416666666666668</x:v>
      </x:c>
      <x:c r="H79" s="44" t="n">
        <x:f>$C79*0.12</x:f>
        <x:v>0.0125</x:v>
      </x:c>
      <x:c r="I79" s="44" t="n">
        <x:f>$C79*0.12</x:f>
        <x:v>0.0125</x:v>
      </x:c>
      <x:c r="J79" s="44" t="n">
        <x:f>$C79*0.12</x:f>
        <x:v>0.0125</x:v>
      </x:c>
      <x:c r="K79" s="44" t="n">
        <x:f>$C79*0.11</x:f>
        <x:v>0.011458333333333334</x:v>
      </x:c>
      <x:c r="L79" s="44" t="n">
        <x:f>$C79*0.09</x:f>
        <x:v>0.009375</x:v>
      </x:c>
      <x:c r="M79" s="44" t="n">
        <x:f>$C79*0.07</x:f>
        <x:v>0.007291666666666668</x:v>
      </x:c>
      <x:c r="N79" s="44" t="n">
        <x:f>$C79*0.05</x:f>
        <x:v>0.005208333333333334</x:v>
      </x:c>
      <x:c r="O79" s="44" t="n">
        <x:f>$C79*0.04</x:f>
        <x:v>0.004166666666666667</x:v>
      </x:c>
      <x:c r="P79" s="44" t="n">
        <x:f>SUM(D79:O79)</x:f>
        <x:v>0.10416666666666666</x:v>
      </x:c>
      <x:c r="Q79" s="54" t="n">
        <x:f>P79-C79</x:f>
        <x:v>-1.3877787807814457e-17</x:v>
      </x:c>
    </x:row>
    <x:row r="80">
      <x:c r="B80" s="21" t="str">
        <x:v>F19-I2</x:v>
      </x:c>
      <x:c r="C80" s="44" t="n">
        <x:v>0.10416666666666667</x:v>
      </x:c>
      <x:c r="D80" s="44" t="n">
        <x:f>$C80*0.04</x:f>
        <x:v>0.004166666666666667</x:v>
      </x:c>
      <x:c r="E80" s="44" t="n">
        <x:f>$C80*0.06</x:f>
        <x:v>0.00625</x:v>
      </x:c>
      <x:c r="F80" s="44" t="n">
        <x:f>$C80*0.08</x:f>
        <x:v>0.008333333333333333</x:v>
      </x:c>
      <x:c r="G80" s="44" t="n">
        <x:f>$C80*0.1</x:f>
        <x:v>0.010416666666666668</x:v>
      </x:c>
      <x:c r="H80" s="44" t="n">
        <x:f>$C80*0.12</x:f>
        <x:v>0.0125</x:v>
      </x:c>
      <x:c r="I80" s="44" t="n">
        <x:f>$C80*0.12</x:f>
        <x:v>0.0125</x:v>
      </x:c>
      <x:c r="J80" s="44" t="n">
        <x:f>$C80*0.12</x:f>
        <x:v>0.0125</x:v>
      </x:c>
      <x:c r="K80" s="44" t="n">
        <x:f>$C80*0.11</x:f>
        <x:v>0.011458333333333334</x:v>
      </x:c>
      <x:c r="L80" s="44" t="n">
        <x:f>$C80*0.09</x:f>
        <x:v>0.009375</x:v>
      </x:c>
      <x:c r="M80" s="44" t="n">
        <x:f>$C80*0.07</x:f>
        <x:v>0.007291666666666668</x:v>
      </x:c>
      <x:c r="N80" s="44" t="n">
        <x:f>$C80*0.05</x:f>
        <x:v>0.005208333333333334</x:v>
      </x:c>
      <x:c r="O80" s="44" t="n">
        <x:f>$C80*0.04</x:f>
        <x:v>0.004166666666666667</x:v>
      </x:c>
      <x:c r="P80" s="44" t="n">
        <x:f>SUM(D80:O80)</x:f>
        <x:v>0.10416666666666666</x:v>
      </x:c>
      <x:c r="Q80" s="54" t="n">
        <x:f>P80-C80</x:f>
        <x:v>-1.3877787807814457e-17</x:v>
      </x:c>
    </x:row>
    <x:row r="81">
      <x:c r="B81" s="21" t="str">
        <x:v>F19-I3</x:v>
      </x:c>
      <x:c r="C81" s="44" t="n">
        <x:v>0.10416666666666667</x:v>
      </x:c>
      <x:c r="D81" s="44" t="n">
        <x:f>$C81*0.04</x:f>
        <x:v>0.004166666666666667</x:v>
      </x:c>
      <x:c r="E81" s="44" t="n">
        <x:f>$C81*0.06</x:f>
        <x:v>0.00625</x:v>
      </x:c>
      <x:c r="F81" s="44" t="n">
        <x:f>$C81*0.08</x:f>
        <x:v>0.008333333333333333</x:v>
      </x:c>
      <x:c r="G81" s="44" t="n">
        <x:f>$C81*0.1</x:f>
        <x:v>0.010416666666666668</x:v>
      </x:c>
      <x:c r="H81" s="44" t="n">
        <x:f>$C81*0.12</x:f>
        <x:v>0.0125</x:v>
      </x:c>
      <x:c r="I81" s="44" t="n">
        <x:f>$C81*0.12</x:f>
        <x:v>0.0125</x:v>
      </x:c>
      <x:c r="J81" s="44" t="n">
        <x:f>$C81*0.12</x:f>
        <x:v>0.0125</x:v>
      </x:c>
      <x:c r="K81" s="44" t="n">
        <x:f>$C81*0.11</x:f>
        <x:v>0.011458333333333334</x:v>
      </x:c>
      <x:c r="L81" s="44" t="n">
        <x:f>$C81*0.09</x:f>
        <x:v>0.009375</x:v>
      </x:c>
      <x:c r="M81" s="44" t="n">
        <x:f>$C81*0.07</x:f>
        <x:v>0.007291666666666668</x:v>
      </x:c>
      <x:c r="N81" s="44" t="n">
        <x:f>$C81*0.05</x:f>
        <x:v>0.005208333333333334</x:v>
      </x:c>
      <x:c r="O81" s="44" t="n">
        <x:f>$C81*0.04</x:f>
        <x:v>0.004166666666666667</x:v>
      </x:c>
      <x:c r="P81" s="44" t="n">
        <x:f>SUM(D81:O81)</x:f>
        <x:v>0.10416666666666666</x:v>
      </x:c>
      <x:c r="Q81" s="54" t="n">
        <x:f>P81-C81</x:f>
        <x:v>-1.3877787807814457e-17</x:v>
      </x:c>
    </x:row>
    <x:row r="82">
      <x:c r="B82" s="21" t="str">
        <x:v>F19-I4</x:v>
      </x:c>
      <x:c r="C82" s="44" t="n">
        <x:v>0.10416666666666667</x:v>
      </x:c>
      <x:c r="D82" s="44" t="n">
        <x:f>$C82*0.04</x:f>
        <x:v>0.004166666666666667</x:v>
      </x:c>
      <x:c r="E82" s="44" t="n">
        <x:f>$C82*0.06</x:f>
        <x:v>0.00625</x:v>
      </x:c>
      <x:c r="F82" s="44" t="n">
        <x:f>$C82*0.08</x:f>
        <x:v>0.008333333333333333</x:v>
      </x:c>
      <x:c r="G82" s="44" t="n">
        <x:f>$C82*0.1</x:f>
        <x:v>0.010416666666666668</x:v>
      </x:c>
      <x:c r="H82" s="44" t="n">
        <x:f>$C82*0.12</x:f>
        <x:v>0.0125</x:v>
      </x:c>
      <x:c r="I82" s="44" t="n">
        <x:f>$C82*0.12</x:f>
        <x:v>0.0125</x:v>
      </x:c>
      <x:c r="J82" s="44" t="n">
        <x:f>$C82*0.12</x:f>
        <x:v>0.0125</x:v>
      </x:c>
      <x:c r="K82" s="44" t="n">
        <x:f>$C82*0.11</x:f>
        <x:v>0.011458333333333334</x:v>
      </x:c>
      <x:c r="L82" s="44" t="n">
        <x:f>$C82*0.09</x:f>
        <x:v>0.009375</x:v>
      </x:c>
      <x:c r="M82" s="44" t="n">
        <x:f>$C82*0.07</x:f>
        <x:v>0.007291666666666668</x:v>
      </x:c>
      <x:c r="N82" s="44" t="n">
        <x:f>$C82*0.05</x:f>
        <x:v>0.005208333333333334</x:v>
      </x:c>
      <x:c r="O82" s="44" t="n">
        <x:f>$C82*0.04</x:f>
        <x:v>0.004166666666666667</x:v>
      </x:c>
      <x:c r="P82" s="44" t="n">
        <x:f>SUM(D82:O82)</x:f>
        <x:v>0.10416666666666666</x:v>
      </x:c>
      <x:c r="Q82" s="54" t="n">
        <x:f>P82-C82</x:f>
        <x:v>-1.3877787807814457e-17</x:v>
      </x:c>
    </x:row>
    <x:row r="83">
      <x:c r="B83" s="21" t="str">
        <x:v>F20-I1</x:v>
      </x:c>
      <x:c r="C83" s="44" t="n">
        <x:v>0.10416666666666667</x:v>
      </x:c>
      <x:c r="D83" s="44" t="n">
        <x:f>$C83*0.04</x:f>
        <x:v>0.004166666666666667</x:v>
      </x:c>
      <x:c r="E83" s="44" t="n">
        <x:f>$C83*0.06</x:f>
        <x:v>0.00625</x:v>
      </x:c>
      <x:c r="F83" s="44" t="n">
        <x:f>$C83*0.08</x:f>
        <x:v>0.008333333333333333</x:v>
      </x:c>
      <x:c r="G83" s="44" t="n">
        <x:f>$C83*0.1</x:f>
        <x:v>0.010416666666666668</x:v>
      </x:c>
      <x:c r="H83" s="44" t="n">
        <x:f>$C83*0.12</x:f>
        <x:v>0.0125</x:v>
      </x:c>
      <x:c r="I83" s="44" t="n">
        <x:f>$C83*0.12</x:f>
        <x:v>0.0125</x:v>
      </x:c>
      <x:c r="J83" s="44" t="n">
        <x:f>$C83*0.12</x:f>
        <x:v>0.0125</x:v>
      </x:c>
      <x:c r="K83" s="44" t="n">
        <x:f>$C83*0.11</x:f>
        <x:v>0.011458333333333334</x:v>
      </x:c>
      <x:c r="L83" s="44" t="n">
        <x:f>$C83*0.09</x:f>
        <x:v>0.009375</x:v>
      </x:c>
      <x:c r="M83" s="44" t="n">
        <x:f>$C83*0.07</x:f>
        <x:v>0.007291666666666668</x:v>
      </x:c>
      <x:c r="N83" s="44" t="n">
        <x:f>$C83*0.05</x:f>
        <x:v>0.005208333333333334</x:v>
      </x:c>
      <x:c r="O83" s="44" t="n">
        <x:f>$C83*0.04</x:f>
        <x:v>0.004166666666666667</x:v>
      </x:c>
      <x:c r="P83" s="44" t="n">
        <x:f>SUM(D83:O83)</x:f>
        <x:v>0.10416666666666666</x:v>
      </x:c>
      <x:c r="Q83" s="54" t="n">
        <x:f>P83-C83</x:f>
        <x:v>-1.3877787807814457e-17</x:v>
      </x:c>
    </x:row>
    <x:row r="84">
      <x:c r="B84" s="21" t="str">
        <x:v>F20-I2</x:v>
      </x:c>
      <x:c r="C84" s="44" t="n">
        <x:v>0.10416666666666667</x:v>
      </x:c>
      <x:c r="D84" s="44" t="n">
        <x:f>$C84*0.04</x:f>
        <x:v>0.004166666666666667</x:v>
      </x:c>
      <x:c r="E84" s="44" t="n">
        <x:f>$C84*0.06</x:f>
        <x:v>0.00625</x:v>
      </x:c>
      <x:c r="F84" s="44" t="n">
        <x:f>$C84*0.08</x:f>
        <x:v>0.008333333333333333</x:v>
      </x:c>
      <x:c r="G84" s="44" t="n">
        <x:f>$C84*0.1</x:f>
        <x:v>0.010416666666666668</x:v>
      </x:c>
      <x:c r="H84" s="44" t="n">
        <x:f>$C84*0.12</x:f>
        <x:v>0.0125</x:v>
      </x:c>
      <x:c r="I84" s="44" t="n">
        <x:f>$C84*0.12</x:f>
        <x:v>0.0125</x:v>
      </x:c>
      <x:c r="J84" s="44" t="n">
        <x:f>$C84*0.12</x:f>
        <x:v>0.0125</x:v>
      </x:c>
      <x:c r="K84" s="44" t="n">
        <x:f>$C84*0.11</x:f>
        <x:v>0.011458333333333334</x:v>
      </x:c>
      <x:c r="L84" s="44" t="n">
        <x:f>$C84*0.09</x:f>
        <x:v>0.009375</x:v>
      </x:c>
      <x:c r="M84" s="44" t="n">
        <x:f>$C84*0.07</x:f>
        <x:v>0.007291666666666668</x:v>
      </x:c>
      <x:c r="N84" s="44" t="n">
        <x:f>$C84*0.05</x:f>
        <x:v>0.005208333333333334</x:v>
      </x:c>
      <x:c r="O84" s="44" t="n">
        <x:f>$C84*0.04</x:f>
        <x:v>0.004166666666666667</x:v>
      </x:c>
      <x:c r="P84" s="44" t="n">
        <x:f>SUM(D84:O84)</x:f>
        <x:v>0.10416666666666666</x:v>
      </x:c>
      <x:c r="Q84" s="54" t="n">
        <x:f>P84-C84</x:f>
        <x:v>-1.3877787807814457e-17</x:v>
      </x:c>
    </x:row>
    <x:row r="85">
      <x:c r="B85" s="21" t="str">
        <x:v>F20-I3</x:v>
      </x:c>
      <x:c r="C85" s="44" t="n">
        <x:v>0.10416666666666667</x:v>
      </x:c>
      <x:c r="D85" s="44" t="n">
        <x:f>$C85*0.04</x:f>
        <x:v>0.004166666666666667</x:v>
      </x:c>
      <x:c r="E85" s="44" t="n">
        <x:f>$C85*0.06</x:f>
        <x:v>0.00625</x:v>
      </x:c>
      <x:c r="F85" s="44" t="n">
        <x:f>$C85*0.08</x:f>
        <x:v>0.008333333333333333</x:v>
      </x:c>
      <x:c r="G85" s="44" t="n">
        <x:f>$C85*0.1</x:f>
        <x:v>0.010416666666666668</x:v>
      </x:c>
      <x:c r="H85" s="44" t="n">
        <x:f>$C85*0.12</x:f>
        <x:v>0.0125</x:v>
      </x:c>
      <x:c r="I85" s="44" t="n">
        <x:f>$C85*0.12</x:f>
        <x:v>0.0125</x:v>
      </x:c>
      <x:c r="J85" s="44" t="n">
        <x:f>$C85*0.12</x:f>
        <x:v>0.0125</x:v>
      </x:c>
      <x:c r="K85" s="44" t="n">
        <x:f>$C85*0.11</x:f>
        <x:v>0.011458333333333334</x:v>
      </x:c>
      <x:c r="L85" s="44" t="n">
        <x:f>$C85*0.09</x:f>
        <x:v>0.009375</x:v>
      </x:c>
      <x:c r="M85" s="44" t="n">
        <x:f>$C85*0.07</x:f>
        <x:v>0.007291666666666668</x:v>
      </x:c>
      <x:c r="N85" s="44" t="n">
        <x:f>$C85*0.05</x:f>
        <x:v>0.005208333333333334</x:v>
      </x:c>
      <x:c r="O85" s="44" t="n">
        <x:f>$C85*0.04</x:f>
        <x:v>0.004166666666666667</x:v>
      </x:c>
      <x:c r="P85" s="44" t="n">
        <x:f>SUM(D85:O85)</x:f>
        <x:v>0.10416666666666666</x:v>
      </x:c>
      <x:c r="Q85" s="54" t="n">
        <x:f>P85-C85</x:f>
        <x:v>-1.3877787807814457e-17</x:v>
      </x:c>
    </x:row>
    <x:row r="86">
      <x:c r="B86" s="21" t="str">
        <x:v>F20-I4</x:v>
      </x:c>
      <x:c r="C86" s="44" t="n">
        <x:v>0.10416666666666667</x:v>
      </x:c>
      <x:c r="D86" s="44" t="n">
        <x:f>$C86*0.04</x:f>
        <x:v>0.004166666666666667</x:v>
      </x:c>
      <x:c r="E86" s="44" t="n">
        <x:f>$C86*0.06</x:f>
        <x:v>0.00625</x:v>
      </x:c>
      <x:c r="F86" s="44" t="n">
        <x:f>$C86*0.08</x:f>
        <x:v>0.008333333333333333</x:v>
      </x:c>
      <x:c r="G86" s="44" t="n">
        <x:f>$C86*0.1</x:f>
        <x:v>0.010416666666666668</x:v>
      </x:c>
      <x:c r="H86" s="44" t="n">
        <x:f>$C86*0.12</x:f>
        <x:v>0.0125</x:v>
      </x:c>
      <x:c r="I86" s="44" t="n">
        <x:f>$C86*0.12</x:f>
        <x:v>0.0125</x:v>
      </x:c>
      <x:c r="J86" s="44" t="n">
        <x:f>$C86*0.12</x:f>
        <x:v>0.0125</x:v>
      </x:c>
      <x:c r="K86" s="44" t="n">
        <x:f>$C86*0.11</x:f>
        <x:v>0.011458333333333334</x:v>
      </x:c>
      <x:c r="L86" s="44" t="n">
        <x:f>$C86*0.09</x:f>
        <x:v>0.009375</x:v>
      </x:c>
      <x:c r="M86" s="44" t="n">
        <x:f>$C86*0.07</x:f>
        <x:v>0.007291666666666668</x:v>
      </x:c>
      <x:c r="N86" s="44" t="n">
        <x:f>$C86*0.05</x:f>
        <x:v>0.005208333333333334</x:v>
      </x:c>
      <x:c r="O86" s="44" t="n">
        <x:f>$C86*0.04</x:f>
        <x:v>0.004166666666666667</x:v>
      </x:c>
      <x:c r="P86" s="44" t="n">
        <x:f>SUM(D86:O86)</x:f>
        <x:v>0.10416666666666666</x:v>
      </x:c>
      <x:c r="Q86" s="54" t="n">
        <x:f>P86-C86</x:f>
        <x:v>-1.3877787807814457e-17</x:v>
      </x:c>
    </x:row>
    <x:row r="87">
      <x:c r="B87" s="21" t="str">
        <x:v>F21-I1</x:v>
      </x:c>
      <x:c r="C87" s="44" t="n">
        <x:v>0.10416666666666667</x:v>
      </x:c>
      <x:c r="D87" s="44" t="n">
        <x:f>$C87*0.04</x:f>
        <x:v>0.004166666666666667</x:v>
      </x:c>
      <x:c r="E87" s="44" t="n">
        <x:f>$C87*0.06</x:f>
        <x:v>0.00625</x:v>
      </x:c>
      <x:c r="F87" s="44" t="n">
        <x:f>$C87*0.08</x:f>
        <x:v>0.008333333333333333</x:v>
      </x:c>
      <x:c r="G87" s="44" t="n">
        <x:f>$C87*0.1</x:f>
        <x:v>0.010416666666666668</x:v>
      </x:c>
      <x:c r="H87" s="44" t="n">
        <x:f>$C87*0.12</x:f>
        <x:v>0.0125</x:v>
      </x:c>
      <x:c r="I87" s="44" t="n">
        <x:f>$C87*0.12</x:f>
        <x:v>0.0125</x:v>
      </x:c>
      <x:c r="J87" s="44" t="n">
        <x:f>$C87*0.12</x:f>
        <x:v>0.0125</x:v>
      </x:c>
      <x:c r="K87" s="44" t="n">
        <x:f>$C87*0.11</x:f>
        <x:v>0.011458333333333334</x:v>
      </x:c>
      <x:c r="L87" s="44" t="n">
        <x:f>$C87*0.09</x:f>
        <x:v>0.009375</x:v>
      </x:c>
      <x:c r="M87" s="44" t="n">
        <x:f>$C87*0.07</x:f>
        <x:v>0.007291666666666668</x:v>
      </x:c>
      <x:c r="N87" s="44" t="n">
        <x:f>$C87*0.05</x:f>
        <x:v>0.005208333333333334</x:v>
      </x:c>
      <x:c r="O87" s="44" t="n">
        <x:f>$C87*0.04</x:f>
        <x:v>0.004166666666666667</x:v>
      </x:c>
      <x:c r="P87" s="44" t="n">
        <x:f>SUM(D87:O87)</x:f>
        <x:v>0.10416666666666666</x:v>
      </x:c>
      <x:c r="Q87" s="54" t="n">
        <x:f>P87-C87</x:f>
        <x:v>-1.3877787807814457e-17</x:v>
      </x:c>
    </x:row>
    <x:row r="88">
      <x:c r="B88" s="21" t="str">
        <x:v>F21-I2</x:v>
      </x:c>
      <x:c r="C88" s="44" t="n">
        <x:v>0.10416666666666667</x:v>
      </x:c>
      <x:c r="D88" s="44" t="n">
        <x:f>$C88*0.04</x:f>
        <x:v>0.004166666666666667</x:v>
      </x:c>
      <x:c r="E88" s="44" t="n">
        <x:f>$C88*0.06</x:f>
        <x:v>0.00625</x:v>
      </x:c>
      <x:c r="F88" s="44" t="n">
        <x:f>$C88*0.08</x:f>
        <x:v>0.008333333333333333</x:v>
      </x:c>
      <x:c r="G88" s="44" t="n">
        <x:f>$C88*0.1</x:f>
        <x:v>0.010416666666666668</x:v>
      </x:c>
      <x:c r="H88" s="44" t="n">
        <x:f>$C88*0.12</x:f>
        <x:v>0.0125</x:v>
      </x:c>
      <x:c r="I88" s="44" t="n">
        <x:f>$C88*0.12</x:f>
        <x:v>0.0125</x:v>
      </x:c>
      <x:c r="J88" s="44" t="n">
        <x:f>$C88*0.12</x:f>
        <x:v>0.0125</x:v>
      </x:c>
      <x:c r="K88" s="44" t="n">
        <x:f>$C88*0.11</x:f>
        <x:v>0.011458333333333334</x:v>
      </x:c>
      <x:c r="L88" s="44" t="n">
        <x:f>$C88*0.09</x:f>
        <x:v>0.009375</x:v>
      </x:c>
      <x:c r="M88" s="44" t="n">
        <x:f>$C88*0.07</x:f>
        <x:v>0.007291666666666668</x:v>
      </x:c>
      <x:c r="N88" s="44" t="n">
        <x:f>$C88*0.05</x:f>
        <x:v>0.005208333333333334</x:v>
      </x:c>
      <x:c r="O88" s="44" t="n">
        <x:f>$C88*0.04</x:f>
        <x:v>0.004166666666666667</x:v>
      </x:c>
      <x:c r="P88" s="44" t="n">
        <x:f>SUM(D88:O88)</x:f>
        <x:v>0.10416666666666666</x:v>
      </x:c>
      <x:c r="Q88" s="54" t="n">
        <x:f>P88-C88</x:f>
        <x:v>-1.3877787807814457e-17</x:v>
      </x:c>
    </x:row>
    <x:row r="89">
      <x:c r="B89" s="21" t="str">
        <x:v>F21-I3</x:v>
      </x:c>
      <x:c r="C89" s="44" t="n">
        <x:v>0.10416666666666667</x:v>
      </x:c>
      <x:c r="D89" s="44" t="n">
        <x:f>$C89*0.04</x:f>
        <x:v>0.004166666666666667</x:v>
      </x:c>
      <x:c r="E89" s="44" t="n">
        <x:f>$C89*0.06</x:f>
        <x:v>0.00625</x:v>
      </x:c>
      <x:c r="F89" s="44" t="n">
        <x:f>$C89*0.08</x:f>
        <x:v>0.008333333333333333</x:v>
      </x:c>
      <x:c r="G89" s="44" t="n">
        <x:f>$C89*0.1</x:f>
        <x:v>0.010416666666666668</x:v>
      </x:c>
      <x:c r="H89" s="44" t="n">
        <x:f>$C89*0.12</x:f>
        <x:v>0.0125</x:v>
      </x:c>
      <x:c r="I89" s="44" t="n">
        <x:f>$C89*0.12</x:f>
        <x:v>0.0125</x:v>
      </x:c>
      <x:c r="J89" s="44" t="n">
        <x:f>$C89*0.12</x:f>
        <x:v>0.0125</x:v>
      </x:c>
      <x:c r="K89" s="44" t="n">
        <x:f>$C89*0.11</x:f>
        <x:v>0.011458333333333334</x:v>
      </x:c>
      <x:c r="L89" s="44" t="n">
        <x:f>$C89*0.09</x:f>
        <x:v>0.009375</x:v>
      </x:c>
      <x:c r="M89" s="44" t="n">
        <x:f>$C89*0.07</x:f>
        <x:v>0.007291666666666668</x:v>
      </x:c>
      <x:c r="N89" s="44" t="n">
        <x:f>$C89*0.05</x:f>
        <x:v>0.005208333333333334</x:v>
      </x:c>
      <x:c r="O89" s="44" t="n">
        <x:f>$C89*0.04</x:f>
        <x:v>0.004166666666666667</x:v>
      </x:c>
      <x:c r="P89" s="44" t="n">
        <x:f>SUM(D89:O89)</x:f>
        <x:v>0.10416666666666666</x:v>
      </x:c>
      <x:c r="Q89" s="54" t="n">
        <x:f>P89-C89</x:f>
        <x:v>-1.3877787807814457e-17</x:v>
      </x:c>
    </x:row>
    <x:row r="90">
      <x:c r="B90" s="21" t="str">
        <x:v>F21-I4</x:v>
      </x:c>
      <x:c r="C90" s="44" t="n">
        <x:v>0.10416666666666667</x:v>
      </x:c>
      <x:c r="D90" s="44" t="n">
        <x:f>$C90*0.04</x:f>
        <x:v>0.004166666666666667</x:v>
      </x:c>
      <x:c r="E90" s="44" t="n">
        <x:f>$C90*0.06</x:f>
        <x:v>0.00625</x:v>
      </x:c>
      <x:c r="F90" s="44" t="n">
        <x:f>$C90*0.08</x:f>
        <x:v>0.008333333333333333</x:v>
      </x:c>
      <x:c r="G90" s="44" t="n">
        <x:f>$C90*0.1</x:f>
        <x:v>0.010416666666666668</x:v>
      </x:c>
      <x:c r="H90" s="44" t="n">
        <x:f>$C90*0.12</x:f>
        <x:v>0.0125</x:v>
      </x:c>
      <x:c r="I90" s="44" t="n">
        <x:f>$C90*0.12</x:f>
        <x:v>0.0125</x:v>
      </x:c>
      <x:c r="J90" s="44" t="n">
        <x:f>$C90*0.12</x:f>
        <x:v>0.0125</x:v>
      </x:c>
      <x:c r="K90" s="44" t="n">
        <x:f>$C90*0.11</x:f>
        <x:v>0.011458333333333334</x:v>
      </x:c>
      <x:c r="L90" s="44" t="n">
        <x:f>$C90*0.09</x:f>
        <x:v>0.009375</x:v>
      </x:c>
      <x:c r="M90" s="44" t="n">
        <x:f>$C90*0.07</x:f>
        <x:v>0.007291666666666668</x:v>
      </x:c>
      <x:c r="N90" s="44" t="n">
        <x:f>$C90*0.05</x:f>
        <x:v>0.005208333333333334</x:v>
      </x:c>
      <x:c r="O90" s="44" t="n">
        <x:f>$C90*0.04</x:f>
        <x:v>0.004166666666666667</x:v>
      </x:c>
      <x:c r="P90" s="44" t="n">
        <x:f>SUM(D90:O90)</x:f>
        <x:v>0.10416666666666666</x:v>
      </x:c>
      <x:c r="Q90" s="54" t="n">
        <x:f>P90-C90</x:f>
        <x:v>-1.3877787807814457e-17</x:v>
      </x:c>
    </x:row>
    <x:row r="91">
      <x:c r="B91" s="21" t="str">
        <x:v>F22-I1</x:v>
      </x:c>
      <x:c r="C91" s="44" t="n">
        <x:v>0.065</x:v>
      </x:c>
      <x:c r="D91" s="44" t="n">
        <x:f>$C91*0.04</x:f>
        <x:v>0.0026000000000000003</x:v>
      </x:c>
      <x:c r="E91" s="44" t="n">
        <x:f>$C91*0.06</x:f>
        <x:v>0.0039</x:v>
      </x:c>
      <x:c r="F91" s="44" t="n">
        <x:f>$C91*0.08</x:f>
        <x:v>0.005200000000000001</x:v>
      </x:c>
      <x:c r="G91" s="44" t="n">
        <x:f>$C91*0.1</x:f>
        <x:v>0.006500000000000001</x:v>
      </x:c>
      <x:c r="H91" s="44" t="n">
        <x:f>$C91*0.12</x:f>
        <x:v>0.0078</x:v>
      </x:c>
      <x:c r="I91" s="44" t="n">
        <x:f>$C91*0.12</x:f>
        <x:v>0.0078</x:v>
      </x:c>
      <x:c r="J91" s="44" t="n">
        <x:f>$C91*0.12</x:f>
        <x:v>0.0078</x:v>
      </x:c>
      <x:c r="K91" s="44" t="n">
        <x:f>$C91*0.11</x:f>
        <x:v>0.00715</x:v>
      </x:c>
      <x:c r="L91" s="44" t="n">
        <x:f>$C91*0.09</x:f>
        <x:v>0.00585</x:v>
      </x:c>
      <x:c r="M91" s="44" t="n">
        <x:f>$C91*0.07</x:f>
        <x:v>0.00455</x:v>
      </x:c>
      <x:c r="N91" s="44" t="n">
        <x:f>$C91*0.05</x:f>
        <x:v>0.0032500000000000003</x:v>
      </x:c>
      <x:c r="O91" s="44" t="n">
        <x:f>$C91*0.04</x:f>
        <x:v>0.0026000000000000003</x:v>
      </x:c>
      <x:c r="P91" s="44" t="n">
        <x:f>SUM(D91:O91)</x:f>
        <x:v>0.065</x:v>
      </x:c>
      <x:c r="Q91" s="54" t="n">
        <x:f>P91-C91</x:f>
        <x:v>0</x:v>
      </x:c>
    </x:row>
    <x:row r="92">
      <x:c r="B92" s="21" t="str">
        <x:v>F22-I2</x:v>
      </x:c>
      <x:c r="C92" s="44" t="n">
        <x:v>0.065</x:v>
      </x:c>
      <x:c r="D92" s="44" t="n">
        <x:f>$C92*0.04</x:f>
        <x:v>0.0026000000000000003</x:v>
      </x:c>
      <x:c r="E92" s="44" t="n">
        <x:f>$C92*0.06</x:f>
        <x:v>0.0039</x:v>
      </x:c>
      <x:c r="F92" s="44" t="n">
        <x:f>$C92*0.08</x:f>
        <x:v>0.005200000000000001</x:v>
      </x:c>
      <x:c r="G92" s="44" t="n">
        <x:f>$C92*0.1</x:f>
        <x:v>0.006500000000000001</x:v>
      </x:c>
      <x:c r="H92" s="44" t="n">
        <x:f>$C92*0.12</x:f>
        <x:v>0.0078</x:v>
      </x:c>
      <x:c r="I92" s="44" t="n">
        <x:f>$C92*0.12</x:f>
        <x:v>0.0078</x:v>
      </x:c>
      <x:c r="J92" s="44" t="n">
        <x:f>$C92*0.12</x:f>
        <x:v>0.0078</x:v>
      </x:c>
      <x:c r="K92" s="44" t="n">
        <x:f>$C92*0.11</x:f>
        <x:v>0.00715</x:v>
      </x:c>
      <x:c r="L92" s="44" t="n">
        <x:f>$C92*0.09</x:f>
        <x:v>0.00585</x:v>
      </x:c>
      <x:c r="M92" s="44" t="n">
        <x:f>$C92*0.07</x:f>
        <x:v>0.00455</x:v>
      </x:c>
      <x:c r="N92" s="44" t="n">
        <x:f>$C92*0.05</x:f>
        <x:v>0.0032500000000000003</x:v>
      </x:c>
      <x:c r="O92" s="44" t="n">
        <x:f>$C92*0.04</x:f>
        <x:v>0.0026000000000000003</x:v>
      </x:c>
      <x:c r="P92" s="44" t="n">
        <x:f>SUM(D92:O92)</x:f>
        <x:v>0.065</x:v>
      </x:c>
      <x:c r="Q92" s="54" t="n">
        <x:f>P92-C92</x:f>
        <x:v>0</x:v>
      </x:c>
    </x:row>
    <x:row r="93">
      <x:c r="B93" s="21" t="str">
        <x:v>F22-I3</x:v>
      </x:c>
      <x:c r="C93" s="44" t="n">
        <x:v>0.065</x:v>
      </x:c>
      <x:c r="D93" s="44" t="n">
        <x:f>$C93*0.04</x:f>
        <x:v>0.0026000000000000003</x:v>
      </x:c>
      <x:c r="E93" s="44" t="n">
        <x:f>$C93*0.06</x:f>
        <x:v>0.0039</x:v>
      </x:c>
      <x:c r="F93" s="44" t="n">
        <x:f>$C93*0.08</x:f>
        <x:v>0.005200000000000001</x:v>
      </x:c>
      <x:c r="G93" s="44" t="n">
        <x:f>$C93*0.1</x:f>
        <x:v>0.006500000000000001</x:v>
      </x:c>
      <x:c r="H93" s="44" t="n">
        <x:f>$C93*0.12</x:f>
        <x:v>0.0078</x:v>
      </x:c>
      <x:c r="I93" s="44" t="n">
        <x:f>$C93*0.12</x:f>
        <x:v>0.0078</x:v>
      </x:c>
      <x:c r="J93" s="44" t="n">
        <x:f>$C93*0.12</x:f>
        <x:v>0.0078</x:v>
      </x:c>
      <x:c r="K93" s="44" t="n">
        <x:f>$C93*0.11</x:f>
        <x:v>0.00715</x:v>
      </x:c>
      <x:c r="L93" s="44" t="n">
        <x:f>$C93*0.09</x:f>
        <x:v>0.00585</x:v>
      </x:c>
      <x:c r="M93" s="44" t="n">
        <x:f>$C93*0.07</x:f>
        <x:v>0.00455</x:v>
      </x:c>
      <x:c r="N93" s="44" t="n">
        <x:f>$C93*0.05</x:f>
        <x:v>0.0032500000000000003</x:v>
      </x:c>
      <x:c r="O93" s="44" t="n">
        <x:f>$C93*0.04</x:f>
        <x:v>0.0026000000000000003</x:v>
      </x:c>
      <x:c r="P93" s="44" t="n">
        <x:f>SUM(D93:O93)</x:f>
        <x:v>0.065</x:v>
      </x:c>
      <x:c r="Q93" s="54" t="n">
        <x:f>P93-C93</x:f>
        <x:v>0</x:v>
      </x:c>
    </x:row>
    <x:row r="94">
      <x:c r="B94" s="21" t="str">
        <x:v>F22-I4</x:v>
      </x:c>
      <x:c r="C94" s="44" t="n">
        <x:v>0.065</x:v>
      </x:c>
      <x:c r="D94" s="44" t="n">
        <x:f>$C94*0.04</x:f>
        <x:v>0.0026000000000000003</x:v>
      </x:c>
      <x:c r="E94" s="44" t="n">
        <x:f>$C94*0.06</x:f>
        <x:v>0.0039</x:v>
      </x:c>
      <x:c r="F94" s="44" t="n">
        <x:f>$C94*0.08</x:f>
        <x:v>0.005200000000000001</x:v>
      </x:c>
      <x:c r="G94" s="44" t="n">
        <x:f>$C94*0.1</x:f>
        <x:v>0.006500000000000001</x:v>
      </x:c>
      <x:c r="H94" s="44" t="n">
        <x:f>$C94*0.12</x:f>
        <x:v>0.0078</x:v>
      </x:c>
      <x:c r="I94" s="44" t="n">
        <x:f>$C94*0.12</x:f>
        <x:v>0.0078</x:v>
      </x:c>
      <x:c r="J94" s="44" t="n">
        <x:f>$C94*0.12</x:f>
        <x:v>0.0078</x:v>
      </x:c>
      <x:c r="K94" s="44" t="n">
        <x:f>$C94*0.11</x:f>
        <x:v>0.00715</x:v>
      </x:c>
      <x:c r="L94" s="44" t="n">
        <x:f>$C94*0.09</x:f>
        <x:v>0.00585</x:v>
      </x:c>
      <x:c r="M94" s="44" t="n">
        <x:f>$C94*0.07</x:f>
        <x:v>0.00455</x:v>
      </x:c>
      <x:c r="N94" s="44" t="n">
        <x:f>$C94*0.05</x:f>
        <x:v>0.0032500000000000003</x:v>
      </x:c>
      <x:c r="O94" s="44" t="n">
        <x:f>$C94*0.04</x:f>
        <x:v>0.0026000000000000003</x:v>
      </x:c>
      <x:c r="P94" s="44" t="n">
        <x:f>SUM(D94:O94)</x:f>
        <x:v>0.065</x:v>
      </x:c>
      <x:c r="Q94" s="54" t="n">
        <x:f>P94-C94</x:f>
        <x:v>0</x:v>
      </x:c>
    </x:row>
    <x:row r="95">
      <x:c r="B95" s="21" t="str">
        <x:v>F23-I1</x:v>
      </x:c>
      <x:c r="C95" s="44" t="n">
        <x:v>0.065</x:v>
      </x:c>
      <x:c r="D95" s="44" t="n">
        <x:f>$C95*0.04</x:f>
        <x:v>0.0026000000000000003</x:v>
      </x:c>
      <x:c r="E95" s="44" t="n">
        <x:f>$C95*0.06</x:f>
        <x:v>0.0039</x:v>
      </x:c>
      <x:c r="F95" s="44" t="n">
        <x:f>$C95*0.08</x:f>
        <x:v>0.005200000000000001</x:v>
      </x:c>
      <x:c r="G95" s="44" t="n">
        <x:f>$C95*0.1</x:f>
        <x:v>0.006500000000000001</x:v>
      </x:c>
      <x:c r="H95" s="44" t="n">
        <x:f>$C95*0.12</x:f>
        <x:v>0.0078</x:v>
      </x:c>
      <x:c r="I95" s="44" t="n">
        <x:f>$C95*0.12</x:f>
        <x:v>0.0078</x:v>
      </x:c>
      <x:c r="J95" s="44" t="n">
        <x:f>$C95*0.12</x:f>
        <x:v>0.0078</x:v>
      </x:c>
      <x:c r="K95" s="44" t="n">
        <x:f>$C95*0.11</x:f>
        <x:v>0.00715</x:v>
      </x:c>
      <x:c r="L95" s="44" t="n">
        <x:f>$C95*0.09</x:f>
        <x:v>0.00585</x:v>
      </x:c>
      <x:c r="M95" s="44" t="n">
        <x:f>$C95*0.07</x:f>
        <x:v>0.00455</x:v>
      </x:c>
      <x:c r="N95" s="44" t="n">
        <x:f>$C95*0.05</x:f>
        <x:v>0.0032500000000000003</x:v>
      </x:c>
      <x:c r="O95" s="44" t="n">
        <x:f>$C95*0.04</x:f>
        <x:v>0.0026000000000000003</x:v>
      </x:c>
      <x:c r="P95" s="44" t="n">
        <x:f>SUM(D95:O95)</x:f>
        <x:v>0.065</x:v>
      </x:c>
      <x:c r="Q95" s="54" t="n">
        <x:f>P95-C95</x:f>
        <x:v>0</x:v>
      </x:c>
    </x:row>
    <x:row r="96">
      <x:c r="B96" s="21" t="str">
        <x:v>F23-I2</x:v>
      </x:c>
      <x:c r="C96" s="44" t="n">
        <x:v>0.065</x:v>
      </x:c>
      <x:c r="D96" s="44" t="n">
        <x:f>$C96*0.04</x:f>
        <x:v>0.0026000000000000003</x:v>
      </x:c>
      <x:c r="E96" s="44" t="n">
        <x:f>$C96*0.06</x:f>
        <x:v>0.0039</x:v>
      </x:c>
      <x:c r="F96" s="44" t="n">
        <x:f>$C96*0.08</x:f>
        <x:v>0.005200000000000001</x:v>
      </x:c>
      <x:c r="G96" s="44" t="n">
        <x:f>$C96*0.1</x:f>
        <x:v>0.006500000000000001</x:v>
      </x:c>
      <x:c r="H96" s="44" t="n">
        <x:f>$C96*0.12</x:f>
        <x:v>0.0078</x:v>
      </x:c>
      <x:c r="I96" s="44" t="n">
        <x:f>$C96*0.12</x:f>
        <x:v>0.0078</x:v>
      </x:c>
      <x:c r="J96" s="44" t="n">
        <x:f>$C96*0.12</x:f>
        <x:v>0.0078</x:v>
      </x:c>
      <x:c r="K96" s="44" t="n">
        <x:f>$C96*0.11</x:f>
        <x:v>0.00715</x:v>
      </x:c>
      <x:c r="L96" s="44" t="n">
        <x:f>$C96*0.09</x:f>
        <x:v>0.00585</x:v>
      </x:c>
      <x:c r="M96" s="44" t="n">
        <x:f>$C96*0.07</x:f>
        <x:v>0.00455</x:v>
      </x:c>
      <x:c r="N96" s="44" t="n">
        <x:f>$C96*0.05</x:f>
        <x:v>0.0032500000000000003</x:v>
      </x:c>
      <x:c r="O96" s="44" t="n">
        <x:f>$C96*0.04</x:f>
        <x:v>0.0026000000000000003</x:v>
      </x:c>
      <x:c r="P96" s="44" t="n">
        <x:f>SUM(D96:O96)</x:f>
        <x:v>0.065</x:v>
      </x:c>
      <x:c r="Q96" s="54" t="n">
        <x:f>P96-C96</x:f>
        <x:v>0</x:v>
      </x:c>
    </x:row>
    <x:row r="97">
      <x:c r="B97" s="21" t="str">
        <x:v>F23-I3</x:v>
      </x:c>
      <x:c r="C97" s="44" t="n">
        <x:v>0.065</x:v>
      </x:c>
      <x:c r="D97" s="44" t="n">
        <x:f>$C97*0.04</x:f>
        <x:v>0.0026000000000000003</x:v>
      </x:c>
      <x:c r="E97" s="44" t="n">
        <x:f>$C97*0.06</x:f>
        <x:v>0.0039</x:v>
      </x:c>
      <x:c r="F97" s="44" t="n">
        <x:f>$C97*0.08</x:f>
        <x:v>0.005200000000000001</x:v>
      </x:c>
      <x:c r="G97" s="44" t="n">
        <x:f>$C97*0.1</x:f>
        <x:v>0.006500000000000001</x:v>
      </x:c>
      <x:c r="H97" s="44" t="n">
        <x:f>$C97*0.12</x:f>
        <x:v>0.0078</x:v>
      </x:c>
      <x:c r="I97" s="44" t="n">
        <x:f>$C97*0.12</x:f>
        <x:v>0.0078</x:v>
      </x:c>
      <x:c r="J97" s="44" t="n">
        <x:f>$C97*0.12</x:f>
        <x:v>0.0078</x:v>
      </x:c>
      <x:c r="K97" s="44" t="n">
        <x:f>$C97*0.11</x:f>
        <x:v>0.00715</x:v>
      </x:c>
      <x:c r="L97" s="44" t="n">
        <x:f>$C97*0.09</x:f>
        <x:v>0.00585</x:v>
      </x:c>
      <x:c r="M97" s="44" t="n">
        <x:f>$C97*0.07</x:f>
        <x:v>0.00455</x:v>
      </x:c>
      <x:c r="N97" s="44" t="n">
        <x:f>$C97*0.05</x:f>
        <x:v>0.0032500000000000003</x:v>
      </x:c>
      <x:c r="O97" s="44" t="n">
        <x:f>$C97*0.04</x:f>
        <x:v>0.0026000000000000003</x:v>
      </x:c>
      <x:c r="P97" s="44" t="n">
        <x:f>SUM(D97:O97)</x:f>
        <x:v>0.065</x:v>
      </x:c>
      <x:c r="Q97" s="54" t="n">
        <x:f>P97-C97</x:f>
        <x:v>0</x:v>
      </x:c>
    </x:row>
    <x:row r="98">
      <x:c r="B98" s="21" t="str">
        <x:v>F23-I4</x:v>
      </x:c>
      <x:c r="C98" s="44" t="n">
        <x:v>0.065</x:v>
      </x:c>
      <x:c r="D98" s="44" t="n">
        <x:f>$C98*0.04</x:f>
        <x:v>0.0026000000000000003</x:v>
      </x:c>
      <x:c r="E98" s="44" t="n">
        <x:f>$C98*0.06</x:f>
        <x:v>0.0039</x:v>
      </x:c>
      <x:c r="F98" s="44" t="n">
        <x:f>$C98*0.08</x:f>
        <x:v>0.005200000000000001</x:v>
      </x:c>
      <x:c r="G98" s="44" t="n">
        <x:f>$C98*0.1</x:f>
        <x:v>0.006500000000000001</x:v>
      </x:c>
      <x:c r="H98" s="44" t="n">
        <x:f>$C98*0.12</x:f>
        <x:v>0.0078</x:v>
      </x:c>
      <x:c r="I98" s="44" t="n">
        <x:f>$C98*0.12</x:f>
        <x:v>0.0078</x:v>
      </x:c>
      <x:c r="J98" s="44" t="n">
        <x:f>$C98*0.12</x:f>
        <x:v>0.0078</x:v>
      </x:c>
      <x:c r="K98" s="44" t="n">
        <x:f>$C98*0.11</x:f>
        <x:v>0.00715</x:v>
      </x:c>
      <x:c r="L98" s="44" t="n">
        <x:f>$C98*0.09</x:f>
        <x:v>0.00585</x:v>
      </x:c>
      <x:c r="M98" s="44" t="n">
        <x:f>$C98*0.07</x:f>
        <x:v>0.00455</x:v>
      </x:c>
      <x:c r="N98" s="44" t="n">
        <x:f>$C98*0.05</x:f>
        <x:v>0.0032500000000000003</x:v>
      </x:c>
      <x:c r="O98" s="44" t="n">
        <x:f>$C98*0.04</x:f>
        <x:v>0.0026000000000000003</x:v>
      </x:c>
      <x:c r="P98" s="44" t="n">
        <x:f>SUM(D98:O98)</x:f>
        <x:v>0.065</x:v>
      </x:c>
      <x:c r="Q98" s="54" t="n">
        <x:f>P98-C98</x:f>
        <x:v>0</x:v>
      </x:c>
    </x:row>
    <x:row r="99">
      <x:c r="B99" s="21" t="str">
        <x:v>F24-I1</x:v>
      </x:c>
      <x:c r="C99" s="44" t="n">
        <x:v>0.065</x:v>
      </x:c>
      <x:c r="D99" s="44" t="n">
        <x:f>$C99*0.04</x:f>
        <x:v>0.0026000000000000003</x:v>
      </x:c>
      <x:c r="E99" s="44" t="n">
        <x:f>$C99*0.06</x:f>
        <x:v>0.0039</x:v>
      </x:c>
      <x:c r="F99" s="44" t="n">
        <x:f>$C99*0.08</x:f>
        <x:v>0.005200000000000001</x:v>
      </x:c>
      <x:c r="G99" s="44" t="n">
        <x:f>$C99*0.1</x:f>
        <x:v>0.006500000000000001</x:v>
      </x:c>
      <x:c r="H99" s="44" t="n">
        <x:f>$C99*0.12</x:f>
        <x:v>0.0078</x:v>
      </x:c>
      <x:c r="I99" s="44" t="n">
        <x:f>$C99*0.12</x:f>
        <x:v>0.0078</x:v>
      </x:c>
      <x:c r="J99" s="44" t="n">
        <x:f>$C99*0.12</x:f>
        <x:v>0.0078</x:v>
      </x:c>
      <x:c r="K99" s="44" t="n">
        <x:f>$C99*0.11</x:f>
        <x:v>0.00715</x:v>
      </x:c>
      <x:c r="L99" s="44" t="n">
        <x:f>$C99*0.09</x:f>
        <x:v>0.00585</x:v>
      </x:c>
      <x:c r="M99" s="44" t="n">
        <x:f>$C99*0.07</x:f>
        <x:v>0.00455</x:v>
      </x:c>
      <x:c r="N99" s="44" t="n">
        <x:f>$C99*0.05</x:f>
        <x:v>0.0032500000000000003</x:v>
      </x:c>
      <x:c r="O99" s="44" t="n">
        <x:f>$C99*0.04</x:f>
        <x:v>0.0026000000000000003</x:v>
      </x:c>
      <x:c r="P99" s="44" t="n">
        <x:f>SUM(D99:O99)</x:f>
        <x:v>0.065</x:v>
      </x:c>
      <x:c r="Q99" s="54" t="n">
        <x:f>P99-C99</x:f>
        <x:v>0</x:v>
      </x:c>
    </x:row>
    <x:row r="100">
      <x:c r="B100" s="21" t="str">
        <x:v>F24-I2</x:v>
      </x:c>
      <x:c r="C100" s="44" t="n">
        <x:v>0.065</x:v>
      </x:c>
      <x:c r="D100" s="44" t="n">
        <x:f>$C100*0.04</x:f>
        <x:v>0.0026000000000000003</x:v>
      </x:c>
      <x:c r="E100" s="44" t="n">
        <x:f>$C100*0.06</x:f>
        <x:v>0.0039</x:v>
      </x:c>
      <x:c r="F100" s="44" t="n">
        <x:f>$C100*0.08</x:f>
        <x:v>0.005200000000000001</x:v>
      </x:c>
      <x:c r="G100" s="44" t="n">
        <x:f>$C100*0.1</x:f>
        <x:v>0.006500000000000001</x:v>
      </x:c>
      <x:c r="H100" s="44" t="n">
        <x:f>$C100*0.12</x:f>
        <x:v>0.0078</x:v>
      </x:c>
      <x:c r="I100" s="44" t="n">
        <x:f>$C100*0.12</x:f>
        <x:v>0.0078</x:v>
      </x:c>
      <x:c r="J100" s="44" t="n">
        <x:f>$C100*0.12</x:f>
        <x:v>0.0078</x:v>
      </x:c>
      <x:c r="K100" s="44" t="n">
        <x:f>$C100*0.11</x:f>
        <x:v>0.00715</x:v>
      </x:c>
      <x:c r="L100" s="44" t="n">
        <x:f>$C100*0.09</x:f>
        <x:v>0.00585</x:v>
      </x:c>
      <x:c r="M100" s="44" t="n">
        <x:f>$C100*0.07</x:f>
        <x:v>0.00455</x:v>
      </x:c>
      <x:c r="N100" s="44" t="n">
        <x:f>$C100*0.05</x:f>
        <x:v>0.0032500000000000003</x:v>
      </x:c>
      <x:c r="O100" s="44" t="n">
        <x:f>$C100*0.04</x:f>
        <x:v>0.0026000000000000003</x:v>
      </x:c>
      <x:c r="P100" s="44" t="n">
        <x:f>SUM(D100:O100)</x:f>
        <x:v>0.065</x:v>
      </x:c>
      <x:c r="Q100" s="54" t="n">
        <x:f>P100-C100</x:f>
        <x:v>0</x:v>
      </x:c>
    </x:row>
    <x:row r="101">
      <x:c r="B101" s="21" t="str">
        <x:v>F24-I3</x:v>
      </x:c>
      <x:c r="C101" s="44" t="n">
        <x:v>0.065</x:v>
      </x:c>
      <x:c r="D101" s="44" t="n">
        <x:f>$C101*0.04</x:f>
        <x:v>0.0026000000000000003</x:v>
      </x:c>
      <x:c r="E101" s="44" t="n">
        <x:f>$C101*0.06</x:f>
        <x:v>0.0039</x:v>
      </x:c>
      <x:c r="F101" s="44" t="n">
        <x:f>$C101*0.08</x:f>
        <x:v>0.005200000000000001</x:v>
      </x:c>
      <x:c r="G101" s="44" t="n">
        <x:f>$C101*0.1</x:f>
        <x:v>0.006500000000000001</x:v>
      </x:c>
      <x:c r="H101" s="44" t="n">
        <x:f>$C101*0.12</x:f>
        <x:v>0.0078</x:v>
      </x:c>
      <x:c r="I101" s="44" t="n">
        <x:f>$C101*0.12</x:f>
        <x:v>0.0078</x:v>
      </x:c>
      <x:c r="J101" s="44" t="n">
        <x:f>$C101*0.12</x:f>
        <x:v>0.0078</x:v>
      </x:c>
      <x:c r="K101" s="44" t="n">
        <x:f>$C101*0.11</x:f>
        <x:v>0.00715</x:v>
      </x:c>
      <x:c r="L101" s="44" t="n">
        <x:f>$C101*0.09</x:f>
        <x:v>0.00585</x:v>
      </x:c>
      <x:c r="M101" s="44" t="n">
        <x:f>$C101*0.07</x:f>
        <x:v>0.00455</x:v>
      </x:c>
      <x:c r="N101" s="44" t="n">
        <x:f>$C101*0.05</x:f>
        <x:v>0.0032500000000000003</x:v>
      </x:c>
      <x:c r="O101" s="44" t="n">
        <x:f>$C101*0.04</x:f>
        <x:v>0.0026000000000000003</x:v>
      </x:c>
      <x:c r="P101" s="44" t="n">
        <x:f>SUM(D101:O101)</x:f>
        <x:v>0.065</x:v>
      </x:c>
      <x:c r="Q101" s="54" t="n">
        <x:f>P101-C101</x:f>
        <x:v>0</x:v>
      </x:c>
    </x:row>
    <x:row r="102">
      <x:c r="B102" s="21" t="str">
        <x:v>F24-I4</x:v>
      </x:c>
      <x:c r="C102" s="44" t="n">
        <x:v>0.065</x:v>
      </x:c>
      <x:c r="D102" s="44" t="n">
        <x:f>$C102*0.04</x:f>
        <x:v>0.0026000000000000003</x:v>
      </x:c>
      <x:c r="E102" s="44" t="n">
        <x:f>$C102*0.06</x:f>
        <x:v>0.0039</x:v>
      </x:c>
      <x:c r="F102" s="44" t="n">
        <x:f>$C102*0.08</x:f>
        <x:v>0.005200000000000001</x:v>
      </x:c>
      <x:c r="G102" s="44" t="n">
        <x:f>$C102*0.1</x:f>
        <x:v>0.006500000000000001</x:v>
      </x:c>
      <x:c r="H102" s="44" t="n">
        <x:f>$C102*0.12</x:f>
        <x:v>0.0078</x:v>
      </x:c>
      <x:c r="I102" s="44" t="n">
        <x:f>$C102*0.12</x:f>
        <x:v>0.0078</x:v>
      </x:c>
      <x:c r="J102" s="44" t="n">
        <x:f>$C102*0.12</x:f>
        <x:v>0.0078</x:v>
      </x:c>
      <x:c r="K102" s="44" t="n">
        <x:f>$C102*0.11</x:f>
        <x:v>0.00715</x:v>
      </x:c>
      <x:c r="L102" s="44" t="n">
        <x:f>$C102*0.09</x:f>
        <x:v>0.00585</x:v>
      </x:c>
      <x:c r="M102" s="44" t="n">
        <x:f>$C102*0.07</x:f>
        <x:v>0.00455</x:v>
      </x:c>
      <x:c r="N102" s="44" t="n">
        <x:f>$C102*0.05</x:f>
        <x:v>0.0032500000000000003</x:v>
      </x:c>
      <x:c r="O102" s="44" t="n">
        <x:f>$C102*0.04</x:f>
        <x:v>0.0026000000000000003</x:v>
      </x:c>
      <x:c r="P102" s="44" t="n">
        <x:f>SUM(D102:O102)</x:f>
        <x:v>0.065</x:v>
      </x:c>
      <x:c r="Q102" s="54" t="n">
        <x:f>P102-C102</x:f>
        <x:v>0</x:v>
      </x:c>
    </x:row>
    <x:row r="103">
      <x:c r="B103" s="21" t="str">
        <x:v>F25-I1</x:v>
      </x:c>
      <x:c r="C103" s="44" t="n">
        <x:v>0.065</x:v>
      </x:c>
      <x:c r="D103" s="44" t="n">
        <x:f>$C103*0.04</x:f>
        <x:v>0.0026000000000000003</x:v>
      </x:c>
      <x:c r="E103" s="44" t="n">
        <x:f>$C103*0.06</x:f>
        <x:v>0.0039</x:v>
      </x:c>
      <x:c r="F103" s="44" t="n">
        <x:f>$C103*0.08</x:f>
        <x:v>0.005200000000000001</x:v>
      </x:c>
      <x:c r="G103" s="44" t="n">
        <x:f>$C103*0.1</x:f>
        <x:v>0.006500000000000001</x:v>
      </x:c>
      <x:c r="H103" s="44" t="n">
        <x:f>$C103*0.12</x:f>
        <x:v>0.0078</x:v>
      </x:c>
      <x:c r="I103" s="44" t="n">
        <x:f>$C103*0.12</x:f>
        <x:v>0.0078</x:v>
      </x:c>
      <x:c r="J103" s="44" t="n">
        <x:f>$C103*0.12</x:f>
        <x:v>0.0078</x:v>
      </x:c>
      <x:c r="K103" s="44" t="n">
        <x:f>$C103*0.11</x:f>
        <x:v>0.00715</x:v>
      </x:c>
      <x:c r="L103" s="44" t="n">
        <x:f>$C103*0.09</x:f>
        <x:v>0.00585</x:v>
      </x:c>
      <x:c r="M103" s="44" t="n">
        <x:f>$C103*0.07</x:f>
        <x:v>0.00455</x:v>
      </x:c>
      <x:c r="N103" s="44" t="n">
        <x:f>$C103*0.05</x:f>
        <x:v>0.0032500000000000003</x:v>
      </x:c>
      <x:c r="O103" s="44" t="n">
        <x:f>$C103*0.04</x:f>
        <x:v>0.0026000000000000003</x:v>
      </x:c>
      <x:c r="P103" s="44" t="n">
        <x:f>SUM(D103:O103)</x:f>
        <x:v>0.065</x:v>
      </x:c>
      <x:c r="Q103" s="54" t="n">
        <x:f>P103-C103</x:f>
        <x:v>0</x:v>
      </x:c>
    </x:row>
    <x:row r="104">
      <x:c r="B104" s="21" t="str">
        <x:v>F25-I2</x:v>
      </x:c>
      <x:c r="C104" s="44" t="n">
        <x:v>0.065</x:v>
      </x:c>
      <x:c r="D104" s="44" t="n">
        <x:f>$C104*0.04</x:f>
        <x:v>0.0026000000000000003</x:v>
      </x:c>
      <x:c r="E104" s="44" t="n">
        <x:f>$C104*0.06</x:f>
        <x:v>0.0039</x:v>
      </x:c>
      <x:c r="F104" s="44" t="n">
        <x:f>$C104*0.08</x:f>
        <x:v>0.005200000000000001</x:v>
      </x:c>
      <x:c r="G104" s="44" t="n">
        <x:f>$C104*0.1</x:f>
        <x:v>0.006500000000000001</x:v>
      </x:c>
      <x:c r="H104" s="44" t="n">
        <x:f>$C104*0.12</x:f>
        <x:v>0.0078</x:v>
      </x:c>
      <x:c r="I104" s="44" t="n">
        <x:f>$C104*0.12</x:f>
        <x:v>0.0078</x:v>
      </x:c>
      <x:c r="J104" s="44" t="n">
        <x:f>$C104*0.12</x:f>
        <x:v>0.0078</x:v>
      </x:c>
      <x:c r="K104" s="44" t="n">
        <x:f>$C104*0.11</x:f>
        <x:v>0.00715</x:v>
      </x:c>
      <x:c r="L104" s="44" t="n">
        <x:f>$C104*0.09</x:f>
        <x:v>0.00585</x:v>
      </x:c>
      <x:c r="M104" s="44" t="n">
        <x:f>$C104*0.07</x:f>
        <x:v>0.00455</x:v>
      </x:c>
      <x:c r="N104" s="44" t="n">
        <x:f>$C104*0.05</x:f>
        <x:v>0.0032500000000000003</x:v>
      </x:c>
      <x:c r="O104" s="44" t="n">
        <x:f>$C104*0.04</x:f>
        <x:v>0.0026000000000000003</x:v>
      </x:c>
      <x:c r="P104" s="44" t="n">
        <x:f>SUM(D104:O104)</x:f>
        <x:v>0.065</x:v>
      </x:c>
      <x:c r="Q104" s="54" t="n">
        <x:f>P104-C104</x:f>
        <x:v>0</x:v>
      </x:c>
    </x:row>
    <x:row r="105">
      <x:c r="B105" s="21" t="str">
        <x:v>F25-I3</x:v>
      </x:c>
      <x:c r="C105" s="44" t="n">
        <x:v>0.065</x:v>
      </x:c>
      <x:c r="D105" s="44" t="n">
        <x:f>$C105*0.04</x:f>
        <x:v>0.0026000000000000003</x:v>
      </x:c>
      <x:c r="E105" s="44" t="n">
        <x:f>$C105*0.06</x:f>
        <x:v>0.0039</x:v>
      </x:c>
      <x:c r="F105" s="44" t="n">
        <x:f>$C105*0.08</x:f>
        <x:v>0.005200000000000001</x:v>
      </x:c>
      <x:c r="G105" s="44" t="n">
        <x:f>$C105*0.1</x:f>
        <x:v>0.006500000000000001</x:v>
      </x:c>
      <x:c r="H105" s="44" t="n">
        <x:f>$C105*0.12</x:f>
        <x:v>0.0078</x:v>
      </x:c>
      <x:c r="I105" s="44" t="n">
        <x:f>$C105*0.12</x:f>
        <x:v>0.0078</x:v>
      </x:c>
      <x:c r="J105" s="44" t="n">
        <x:f>$C105*0.12</x:f>
        <x:v>0.0078</x:v>
      </x:c>
      <x:c r="K105" s="44" t="n">
        <x:f>$C105*0.11</x:f>
        <x:v>0.00715</x:v>
      </x:c>
      <x:c r="L105" s="44" t="n">
        <x:f>$C105*0.09</x:f>
        <x:v>0.00585</x:v>
      </x:c>
      <x:c r="M105" s="44" t="n">
        <x:f>$C105*0.07</x:f>
        <x:v>0.00455</x:v>
      </x:c>
      <x:c r="N105" s="44" t="n">
        <x:f>$C105*0.05</x:f>
        <x:v>0.0032500000000000003</x:v>
      </x:c>
      <x:c r="O105" s="44" t="n">
        <x:f>$C105*0.04</x:f>
        <x:v>0.0026000000000000003</x:v>
      </x:c>
      <x:c r="P105" s="44" t="n">
        <x:f>SUM(D105:O105)</x:f>
        <x:v>0.065</x:v>
      </x:c>
      <x:c r="Q105" s="54" t="n">
        <x:f>P105-C105</x:f>
        <x:v>0</x:v>
      </x:c>
    </x:row>
    <x:row r="106">
      <x:c r="B106" s="21" t="str">
        <x:v>F25-I4</x:v>
      </x:c>
      <x:c r="C106" s="44" t="n">
        <x:v>0.065</x:v>
      </x:c>
      <x:c r="D106" s="44" t="n">
        <x:f>$C106*0.04</x:f>
        <x:v>0.0026000000000000003</x:v>
      </x:c>
      <x:c r="E106" s="44" t="n">
        <x:f>$C106*0.06</x:f>
        <x:v>0.0039</x:v>
      </x:c>
      <x:c r="F106" s="44" t="n">
        <x:f>$C106*0.08</x:f>
        <x:v>0.005200000000000001</x:v>
      </x:c>
      <x:c r="G106" s="44" t="n">
        <x:f>$C106*0.1</x:f>
        <x:v>0.006500000000000001</x:v>
      </x:c>
      <x:c r="H106" s="44" t="n">
        <x:f>$C106*0.12</x:f>
        <x:v>0.0078</x:v>
      </x:c>
      <x:c r="I106" s="44" t="n">
        <x:f>$C106*0.12</x:f>
        <x:v>0.0078</x:v>
      </x:c>
      <x:c r="J106" s="44" t="n">
        <x:f>$C106*0.12</x:f>
        <x:v>0.0078</x:v>
      </x:c>
      <x:c r="K106" s="44" t="n">
        <x:f>$C106*0.11</x:f>
        <x:v>0.00715</x:v>
      </x:c>
      <x:c r="L106" s="44" t="n">
        <x:f>$C106*0.09</x:f>
        <x:v>0.00585</x:v>
      </x:c>
      <x:c r="M106" s="44" t="n">
        <x:f>$C106*0.07</x:f>
        <x:v>0.00455</x:v>
      </x:c>
      <x:c r="N106" s="44" t="n">
        <x:f>$C106*0.05</x:f>
        <x:v>0.0032500000000000003</x:v>
      </x:c>
      <x:c r="O106" s="44" t="n">
        <x:f>$C106*0.04</x:f>
        <x:v>0.0026000000000000003</x:v>
      </x:c>
      <x:c r="P106" s="44" t="n">
        <x:f>SUM(D106:O106)</x:f>
        <x:v>0.065</x:v>
      </x:c>
      <x:c r="Q106" s="54" t="n">
        <x:f>P106-C106</x:f>
        <x:v>0</x:v>
      </x:c>
    </x:row>
    <x:row r="107">
      <x:c r="B107" s="21" t="str">
        <x:v>F26-I1</x:v>
      </x:c>
      <x:c r="C107" s="44" t="n">
        <x:v>0.065</x:v>
      </x:c>
      <x:c r="D107" s="44" t="n">
        <x:f>$C107*0.04</x:f>
        <x:v>0.0026000000000000003</x:v>
      </x:c>
      <x:c r="E107" s="44" t="n">
        <x:f>$C107*0.06</x:f>
        <x:v>0.0039</x:v>
      </x:c>
      <x:c r="F107" s="44" t="n">
        <x:f>$C107*0.08</x:f>
        <x:v>0.005200000000000001</x:v>
      </x:c>
      <x:c r="G107" s="44" t="n">
        <x:f>$C107*0.1</x:f>
        <x:v>0.006500000000000001</x:v>
      </x:c>
      <x:c r="H107" s="44" t="n">
        <x:f>$C107*0.12</x:f>
        <x:v>0.0078</x:v>
      </x:c>
      <x:c r="I107" s="44" t="n">
        <x:f>$C107*0.12</x:f>
        <x:v>0.0078</x:v>
      </x:c>
      <x:c r="J107" s="44" t="n">
        <x:f>$C107*0.12</x:f>
        <x:v>0.0078</x:v>
      </x:c>
      <x:c r="K107" s="44" t="n">
        <x:f>$C107*0.11</x:f>
        <x:v>0.00715</x:v>
      </x:c>
      <x:c r="L107" s="44" t="n">
        <x:f>$C107*0.09</x:f>
        <x:v>0.00585</x:v>
      </x:c>
      <x:c r="M107" s="44" t="n">
        <x:f>$C107*0.07</x:f>
        <x:v>0.00455</x:v>
      </x:c>
      <x:c r="N107" s="44" t="n">
        <x:f>$C107*0.05</x:f>
        <x:v>0.0032500000000000003</x:v>
      </x:c>
      <x:c r="O107" s="44" t="n">
        <x:f>$C107*0.04</x:f>
        <x:v>0.0026000000000000003</x:v>
      </x:c>
      <x:c r="P107" s="44" t="n">
        <x:f>SUM(D107:O107)</x:f>
        <x:v>0.065</x:v>
      </x:c>
      <x:c r="Q107" s="54" t="n">
        <x:f>P107-C107</x:f>
        <x:v>0</x:v>
      </x:c>
    </x:row>
    <x:row r="108">
      <x:c r="B108" s="21" t="str">
        <x:v>F26-I2</x:v>
      </x:c>
      <x:c r="C108" s="44" t="n">
        <x:v>0.065</x:v>
      </x:c>
      <x:c r="D108" s="44" t="n">
        <x:f>$C108*0.04</x:f>
        <x:v>0.0026000000000000003</x:v>
      </x:c>
      <x:c r="E108" s="44" t="n">
        <x:f>$C108*0.06</x:f>
        <x:v>0.0039</x:v>
      </x:c>
      <x:c r="F108" s="44" t="n">
        <x:f>$C108*0.08</x:f>
        <x:v>0.005200000000000001</x:v>
      </x:c>
      <x:c r="G108" s="44" t="n">
        <x:f>$C108*0.1</x:f>
        <x:v>0.006500000000000001</x:v>
      </x:c>
      <x:c r="H108" s="44" t="n">
        <x:f>$C108*0.12</x:f>
        <x:v>0.0078</x:v>
      </x:c>
      <x:c r="I108" s="44" t="n">
        <x:f>$C108*0.12</x:f>
        <x:v>0.0078</x:v>
      </x:c>
      <x:c r="J108" s="44" t="n">
        <x:f>$C108*0.12</x:f>
        <x:v>0.0078</x:v>
      </x:c>
      <x:c r="K108" s="44" t="n">
        <x:f>$C108*0.11</x:f>
        <x:v>0.00715</x:v>
      </x:c>
      <x:c r="L108" s="44" t="n">
        <x:f>$C108*0.09</x:f>
        <x:v>0.00585</x:v>
      </x:c>
      <x:c r="M108" s="44" t="n">
        <x:f>$C108*0.07</x:f>
        <x:v>0.00455</x:v>
      </x:c>
      <x:c r="N108" s="44" t="n">
        <x:f>$C108*0.05</x:f>
        <x:v>0.0032500000000000003</x:v>
      </x:c>
      <x:c r="O108" s="44" t="n">
        <x:f>$C108*0.04</x:f>
        <x:v>0.0026000000000000003</x:v>
      </x:c>
      <x:c r="P108" s="44" t="n">
        <x:f>SUM(D108:O108)</x:f>
        <x:v>0.065</x:v>
      </x:c>
      <x:c r="Q108" s="54" t="n">
        <x:f>P108-C108</x:f>
        <x:v>0</x:v>
      </x:c>
    </x:row>
    <x:row r="109">
      <x:c r="B109" s="21" t="str">
        <x:v>F26-I3</x:v>
      </x:c>
      <x:c r="C109" s="44" t="n">
        <x:v>0.065</x:v>
      </x:c>
      <x:c r="D109" s="44" t="n">
        <x:f>$C109*0.04</x:f>
        <x:v>0.0026000000000000003</x:v>
      </x:c>
      <x:c r="E109" s="44" t="n">
        <x:f>$C109*0.06</x:f>
        <x:v>0.0039</x:v>
      </x:c>
      <x:c r="F109" s="44" t="n">
        <x:f>$C109*0.08</x:f>
        <x:v>0.005200000000000001</x:v>
      </x:c>
      <x:c r="G109" s="44" t="n">
        <x:f>$C109*0.1</x:f>
        <x:v>0.006500000000000001</x:v>
      </x:c>
      <x:c r="H109" s="44" t="n">
        <x:f>$C109*0.12</x:f>
        <x:v>0.0078</x:v>
      </x:c>
      <x:c r="I109" s="44" t="n">
        <x:f>$C109*0.12</x:f>
        <x:v>0.0078</x:v>
      </x:c>
      <x:c r="J109" s="44" t="n">
        <x:f>$C109*0.12</x:f>
        <x:v>0.0078</x:v>
      </x:c>
      <x:c r="K109" s="44" t="n">
        <x:f>$C109*0.11</x:f>
        <x:v>0.00715</x:v>
      </x:c>
      <x:c r="L109" s="44" t="n">
        <x:f>$C109*0.09</x:f>
        <x:v>0.00585</x:v>
      </x:c>
      <x:c r="M109" s="44" t="n">
        <x:f>$C109*0.07</x:f>
        <x:v>0.00455</x:v>
      </x:c>
      <x:c r="N109" s="44" t="n">
        <x:f>$C109*0.05</x:f>
        <x:v>0.0032500000000000003</x:v>
      </x:c>
      <x:c r="O109" s="44" t="n">
        <x:f>$C109*0.04</x:f>
        <x:v>0.0026000000000000003</x:v>
      </x:c>
      <x:c r="P109" s="44" t="n">
        <x:f>SUM(D109:O109)</x:f>
        <x:v>0.065</x:v>
      </x:c>
      <x:c r="Q109" s="54" t="n">
        <x:f>P109-C109</x:f>
        <x:v>0</x:v>
      </x:c>
    </x:row>
    <x:row r="110">
      <x:c r="B110" s="21" t="str">
        <x:v>F26-I4</x:v>
      </x:c>
      <x:c r="C110" s="44" t="n">
        <x:v>0.065</x:v>
      </x:c>
      <x:c r="D110" s="44" t="n">
        <x:f>$C110*0.04</x:f>
        <x:v>0.0026000000000000003</x:v>
      </x:c>
      <x:c r="E110" s="44" t="n">
        <x:f>$C110*0.06</x:f>
        <x:v>0.0039</x:v>
      </x:c>
      <x:c r="F110" s="44" t="n">
        <x:f>$C110*0.08</x:f>
        <x:v>0.005200000000000001</x:v>
      </x:c>
      <x:c r="G110" s="44" t="n">
        <x:f>$C110*0.1</x:f>
        <x:v>0.006500000000000001</x:v>
      </x:c>
      <x:c r="H110" s="44" t="n">
        <x:f>$C110*0.12</x:f>
        <x:v>0.0078</x:v>
      </x:c>
      <x:c r="I110" s="44" t="n">
        <x:f>$C110*0.12</x:f>
        <x:v>0.0078</x:v>
      </x:c>
      <x:c r="J110" s="44" t="n">
        <x:f>$C110*0.12</x:f>
        <x:v>0.0078</x:v>
      </x:c>
      <x:c r="K110" s="44" t="n">
        <x:f>$C110*0.11</x:f>
        <x:v>0.00715</x:v>
      </x:c>
      <x:c r="L110" s="44" t="n">
        <x:f>$C110*0.09</x:f>
        <x:v>0.00585</x:v>
      </x:c>
      <x:c r="M110" s="44" t="n">
        <x:f>$C110*0.07</x:f>
        <x:v>0.00455</x:v>
      </x:c>
      <x:c r="N110" s="44" t="n">
        <x:f>$C110*0.05</x:f>
        <x:v>0.0032500000000000003</x:v>
      </x:c>
      <x:c r="O110" s="44" t="n">
        <x:f>$C110*0.04</x:f>
        <x:v>0.0026000000000000003</x:v>
      </x:c>
      <x:c r="P110" s="44" t="n">
        <x:f>SUM(D110:O110)</x:f>
        <x:v>0.065</x:v>
      </x:c>
      <x:c r="Q110" s="54" t="n">
        <x:f>P110-C110</x:f>
        <x:v>0</x:v>
      </x:c>
    </x:row>
    <x:row r="111">
      <x:c r="B111" s="21" t="str">
        <x:v>F27-I1</x:v>
      </x:c>
      <x:c r="C111" s="44" t="n">
        <x:v>0.08928571428571429</x:v>
      </x:c>
      <x:c r="D111" s="44" t="n">
        <x:f>$C111*0.04</x:f>
        <x:v>0.0035714285714285718</x:v>
      </x:c>
      <x:c r="E111" s="44" t="n">
        <x:f>$C111*0.06</x:f>
        <x:v>0.005357142857142857</x:v>
      </x:c>
      <x:c r="F111" s="44" t="n">
        <x:f>$C111*0.08</x:f>
        <x:v>0.0071428571428571435</x:v>
      </x:c>
      <x:c r="G111" s="44" t="n">
        <x:f>$C111*0.1</x:f>
        <x:v>0.00892857142857143</x:v>
      </x:c>
      <x:c r="H111" s="44" t="n">
        <x:f>$C111*0.12</x:f>
        <x:v>0.010714285714285714</x:v>
      </x:c>
      <x:c r="I111" s="44" t="n">
        <x:f>$C111*0.12</x:f>
        <x:v>0.010714285714285714</x:v>
      </x:c>
      <x:c r="J111" s="44" t="n">
        <x:f>$C111*0.12</x:f>
        <x:v>0.010714285714285714</x:v>
      </x:c>
      <x:c r="K111" s="44" t="n">
        <x:f>$C111*0.11</x:f>
        <x:v>0.009821428571428571</x:v>
      </x:c>
      <x:c r="L111" s="44" t="n">
        <x:f>$C111*0.09</x:f>
        <x:v>0.008035714285714285</x:v>
      </x:c>
      <x:c r="M111" s="44" t="n">
        <x:f>$C111*0.07</x:f>
        <x:v>0.00625</x:v>
      </x:c>
      <x:c r="N111" s="44" t="n">
        <x:f>$C111*0.05</x:f>
        <x:v>0.004464285714285715</x:v>
      </x:c>
      <x:c r="O111" s="44" t="n">
        <x:f>$C111*0.04</x:f>
        <x:v>0.0035714285714285718</x:v>
      </x:c>
      <x:c r="P111" s="44" t="n">
        <x:f>SUM(D111:O111)</x:f>
        <x:v>0.0892857142857143</x:v>
      </x:c>
      <x:c r="Q111" s="54" t="n">
        <x:f>P111-C111</x:f>
        <x:v>1.3877787807814457e-17</x:v>
      </x:c>
    </x:row>
    <x:row r="112">
      <x:c r="B112" s="21" t="str">
        <x:v>F27-I2</x:v>
      </x:c>
      <x:c r="C112" s="44" t="n">
        <x:v>0.08928571428571429</x:v>
      </x:c>
      <x:c r="D112" s="44" t="n">
        <x:f>$C112*0.04</x:f>
        <x:v>0.0035714285714285718</x:v>
      </x:c>
      <x:c r="E112" s="44" t="n">
        <x:f>$C112*0.06</x:f>
        <x:v>0.005357142857142857</x:v>
      </x:c>
      <x:c r="F112" s="44" t="n">
        <x:f>$C112*0.08</x:f>
        <x:v>0.0071428571428571435</x:v>
      </x:c>
      <x:c r="G112" s="44" t="n">
        <x:f>$C112*0.1</x:f>
        <x:v>0.00892857142857143</x:v>
      </x:c>
      <x:c r="H112" s="44" t="n">
        <x:f>$C112*0.12</x:f>
        <x:v>0.010714285714285714</x:v>
      </x:c>
      <x:c r="I112" s="44" t="n">
        <x:f>$C112*0.12</x:f>
        <x:v>0.010714285714285714</x:v>
      </x:c>
      <x:c r="J112" s="44" t="n">
        <x:f>$C112*0.12</x:f>
        <x:v>0.010714285714285714</x:v>
      </x:c>
      <x:c r="K112" s="44" t="n">
        <x:f>$C112*0.11</x:f>
        <x:v>0.009821428571428571</x:v>
      </x:c>
      <x:c r="L112" s="44" t="n">
        <x:f>$C112*0.09</x:f>
        <x:v>0.008035714285714285</x:v>
      </x:c>
      <x:c r="M112" s="44" t="n">
        <x:f>$C112*0.07</x:f>
        <x:v>0.00625</x:v>
      </x:c>
      <x:c r="N112" s="44" t="n">
        <x:f>$C112*0.05</x:f>
        <x:v>0.004464285714285715</x:v>
      </x:c>
      <x:c r="O112" s="44" t="n">
        <x:f>$C112*0.04</x:f>
        <x:v>0.0035714285714285718</x:v>
      </x:c>
      <x:c r="P112" s="44" t="n">
        <x:f>SUM(D112:O112)</x:f>
        <x:v>0.0892857142857143</x:v>
      </x:c>
      <x:c r="Q112" s="54" t="n">
        <x:f>P112-C112</x:f>
        <x:v>1.3877787807814457e-17</x:v>
      </x:c>
    </x:row>
    <x:row r="113">
      <x:c r="B113" s="21" t="str">
        <x:v>F27-I3</x:v>
      </x:c>
      <x:c r="C113" s="44" t="n">
        <x:v>0.08928571428571429</x:v>
      </x:c>
      <x:c r="D113" s="44" t="n">
        <x:f>$C113*0.04</x:f>
        <x:v>0.0035714285714285718</x:v>
      </x:c>
      <x:c r="E113" s="44" t="n">
        <x:f>$C113*0.06</x:f>
        <x:v>0.005357142857142857</x:v>
      </x:c>
      <x:c r="F113" s="44" t="n">
        <x:f>$C113*0.08</x:f>
        <x:v>0.0071428571428571435</x:v>
      </x:c>
      <x:c r="G113" s="44" t="n">
        <x:f>$C113*0.1</x:f>
        <x:v>0.00892857142857143</x:v>
      </x:c>
      <x:c r="H113" s="44" t="n">
        <x:f>$C113*0.12</x:f>
        <x:v>0.010714285714285714</x:v>
      </x:c>
      <x:c r="I113" s="44" t="n">
        <x:f>$C113*0.12</x:f>
        <x:v>0.010714285714285714</x:v>
      </x:c>
      <x:c r="J113" s="44" t="n">
        <x:f>$C113*0.12</x:f>
        <x:v>0.010714285714285714</x:v>
      </x:c>
      <x:c r="K113" s="44" t="n">
        <x:f>$C113*0.11</x:f>
        <x:v>0.009821428571428571</x:v>
      </x:c>
      <x:c r="L113" s="44" t="n">
        <x:f>$C113*0.09</x:f>
        <x:v>0.008035714285714285</x:v>
      </x:c>
      <x:c r="M113" s="44" t="n">
        <x:f>$C113*0.07</x:f>
        <x:v>0.00625</x:v>
      </x:c>
      <x:c r="N113" s="44" t="n">
        <x:f>$C113*0.05</x:f>
        <x:v>0.004464285714285715</x:v>
      </x:c>
      <x:c r="O113" s="44" t="n">
        <x:f>$C113*0.04</x:f>
        <x:v>0.0035714285714285718</x:v>
      </x:c>
      <x:c r="P113" s="44" t="n">
        <x:f>SUM(D113:O113)</x:f>
        <x:v>0.0892857142857143</x:v>
      </x:c>
      <x:c r="Q113" s="54" t="n">
        <x:f>P113-C113</x:f>
        <x:v>1.3877787807814457e-17</x:v>
      </x:c>
    </x:row>
    <x:row r="114">
      <x:c r="B114" s="21" t="str">
        <x:v>F27-I4</x:v>
      </x:c>
      <x:c r="C114" s="44" t="n">
        <x:v>0.08928571428571429</x:v>
      </x:c>
      <x:c r="D114" s="44" t="n">
        <x:f>$C114*0.04</x:f>
        <x:v>0.0035714285714285718</x:v>
      </x:c>
      <x:c r="E114" s="44" t="n">
        <x:f>$C114*0.06</x:f>
        <x:v>0.005357142857142857</x:v>
      </x:c>
      <x:c r="F114" s="44" t="n">
        <x:f>$C114*0.08</x:f>
        <x:v>0.0071428571428571435</x:v>
      </x:c>
      <x:c r="G114" s="44" t="n">
        <x:f>$C114*0.1</x:f>
        <x:v>0.00892857142857143</x:v>
      </x:c>
      <x:c r="H114" s="44" t="n">
        <x:f>$C114*0.12</x:f>
        <x:v>0.010714285714285714</x:v>
      </x:c>
      <x:c r="I114" s="44" t="n">
        <x:f>$C114*0.12</x:f>
        <x:v>0.010714285714285714</x:v>
      </x:c>
      <x:c r="J114" s="44" t="n">
        <x:f>$C114*0.12</x:f>
        <x:v>0.010714285714285714</x:v>
      </x:c>
      <x:c r="K114" s="44" t="n">
        <x:f>$C114*0.11</x:f>
        <x:v>0.009821428571428571</x:v>
      </x:c>
      <x:c r="L114" s="44" t="n">
        <x:f>$C114*0.09</x:f>
        <x:v>0.008035714285714285</x:v>
      </x:c>
      <x:c r="M114" s="44" t="n">
        <x:f>$C114*0.07</x:f>
        <x:v>0.00625</x:v>
      </x:c>
      <x:c r="N114" s="44" t="n">
        <x:f>$C114*0.05</x:f>
        <x:v>0.004464285714285715</x:v>
      </x:c>
      <x:c r="O114" s="44" t="n">
        <x:f>$C114*0.04</x:f>
        <x:v>0.0035714285714285718</x:v>
      </x:c>
      <x:c r="P114" s="44" t="n">
        <x:f>SUM(D114:O114)</x:f>
        <x:v>0.0892857142857143</x:v>
      </x:c>
      <x:c r="Q114" s="54" t="n">
        <x:f>P114-C114</x:f>
        <x:v>1.3877787807814457e-17</x:v>
      </x:c>
    </x:row>
    <x:row r="115">
      <x:c r="B115" s="21" t="str">
        <x:v>F28-I1</x:v>
      </x:c>
      <x:c r="C115" s="44" t="n">
        <x:v>0.08928571428571429</x:v>
      </x:c>
      <x:c r="D115" s="44" t="n">
        <x:f>$C115*0.04</x:f>
        <x:v>0.0035714285714285718</x:v>
      </x:c>
      <x:c r="E115" s="44" t="n">
        <x:f>$C115*0.06</x:f>
        <x:v>0.005357142857142857</x:v>
      </x:c>
      <x:c r="F115" s="44" t="n">
        <x:f>$C115*0.08</x:f>
        <x:v>0.0071428571428571435</x:v>
      </x:c>
      <x:c r="G115" s="44" t="n">
        <x:f>$C115*0.1</x:f>
        <x:v>0.00892857142857143</x:v>
      </x:c>
      <x:c r="H115" s="44" t="n">
        <x:f>$C115*0.12</x:f>
        <x:v>0.010714285714285714</x:v>
      </x:c>
      <x:c r="I115" s="44" t="n">
        <x:f>$C115*0.12</x:f>
        <x:v>0.010714285714285714</x:v>
      </x:c>
      <x:c r="J115" s="44" t="n">
        <x:f>$C115*0.12</x:f>
        <x:v>0.010714285714285714</x:v>
      </x:c>
      <x:c r="K115" s="44" t="n">
        <x:f>$C115*0.11</x:f>
        <x:v>0.009821428571428571</x:v>
      </x:c>
      <x:c r="L115" s="44" t="n">
        <x:f>$C115*0.09</x:f>
        <x:v>0.008035714285714285</x:v>
      </x:c>
      <x:c r="M115" s="44" t="n">
        <x:f>$C115*0.07</x:f>
        <x:v>0.00625</x:v>
      </x:c>
      <x:c r="N115" s="44" t="n">
        <x:f>$C115*0.05</x:f>
        <x:v>0.004464285714285715</x:v>
      </x:c>
      <x:c r="O115" s="44" t="n">
        <x:f>$C115*0.04</x:f>
        <x:v>0.0035714285714285718</x:v>
      </x:c>
      <x:c r="P115" s="44" t="n">
        <x:f>SUM(D115:O115)</x:f>
        <x:v>0.0892857142857143</x:v>
      </x:c>
      <x:c r="Q115" s="54" t="n">
        <x:f>P115-C115</x:f>
        <x:v>1.3877787807814457e-17</x:v>
      </x:c>
    </x:row>
    <x:row r="116">
      <x:c r="B116" s="21" t="str">
        <x:v>F28-I2</x:v>
      </x:c>
      <x:c r="C116" s="44" t="n">
        <x:v>0.08928571428571429</x:v>
      </x:c>
      <x:c r="D116" s="44" t="n">
        <x:f>$C116*0.04</x:f>
        <x:v>0.0035714285714285718</x:v>
      </x:c>
      <x:c r="E116" s="44" t="n">
        <x:f>$C116*0.06</x:f>
        <x:v>0.005357142857142857</x:v>
      </x:c>
      <x:c r="F116" s="44" t="n">
        <x:f>$C116*0.08</x:f>
        <x:v>0.0071428571428571435</x:v>
      </x:c>
      <x:c r="G116" s="44" t="n">
        <x:f>$C116*0.1</x:f>
        <x:v>0.00892857142857143</x:v>
      </x:c>
      <x:c r="H116" s="44" t="n">
        <x:f>$C116*0.12</x:f>
        <x:v>0.010714285714285714</x:v>
      </x:c>
      <x:c r="I116" s="44" t="n">
        <x:f>$C116*0.12</x:f>
        <x:v>0.010714285714285714</x:v>
      </x:c>
      <x:c r="J116" s="44" t="n">
        <x:f>$C116*0.12</x:f>
        <x:v>0.010714285714285714</x:v>
      </x:c>
      <x:c r="K116" s="44" t="n">
        <x:f>$C116*0.11</x:f>
        <x:v>0.009821428571428571</x:v>
      </x:c>
      <x:c r="L116" s="44" t="n">
        <x:f>$C116*0.09</x:f>
        <x:v>0.008035714285714285</x:v>
      </x:c>
      <x:c r="M116" s="44" t="n">
        <x:f>$C116*0.07</x:f>
        <x:v>0.00625</x:v>
      </x:c>
      <x:c r="N116" s="44" t="n">
        <x:f>$C116*0.05</x:f>
        <x:v>0.004464285714285715</x:v>
      </x:c>
      <x:c r="O116" s="44" t="n">
        <x:f>$C116*0.04</x:f>
        <x:v>0.0035714285714285718</x:v>
      </x:c>
      <x:c r="P116" s="44" t="n">
        <x:f>SUM(D116:O116)</x:f>
        <x:v>0.0892857142857143</x:v>
      </x:c>
      <x:c r="Q116" s="54" t="n">
        <x:f>P116-C116</x:f>
        <x:v>1.3877787807814457e-17</x:v>
      </x:c>
    </x:row>
    <x:row r="117">
      <x:c r="B117" s="21" t="str">
        <x:v>F28-I3</x:v>
      </x:c>
      <x:c r="C117" s="44" t="n">
        <x:v>0.08928571428571429</x:v>
      </x:c>
      <x:c r="D117" s="44" t="n">
        <x:f>$C117*0.04</x:f>
        <x:v>0.0035714285714285718</x:v>
      </x:c>
      <x:c r="E117" s="44" t="n">
        <x:f>$C117*0.06</x:f>
        <x:v>0.005357142857142857</x:v>
      </x:c>
      <x:c r="F117" s="44" t="n">
        <x:f>$C117*0.08</x:f>
        <x:v>0.0071428571428571435</x:v>
      </x:c>
      <x:c r="G117" s="44" t="n">
        <x:f>$C117*0.1</x:f>
        <x:v>0.00892857142857143</x:v>
      </x:c>
      <x:c r="H117" s="44" t="n">
        <x:f>$C117*0.12</x:f>
        <x:v>0.010714285714285714</x:v>
      </x:c>
      <x:c r="I117" s="44" t="n">
        <x:f>$C117*0.12</x:f>
        <x:v>0.010714285714285714</x:v>
      </x:c>
      <x:c r="J117" s="44" t="n">
        <x:f>$C117*0.12</x:f>
        <x:v>0.010714285714285714</x:v>
      </x:c>
      <x:c r="K117" s="44" t="n">
        <x:f>$C117*0.11</x:f>
        <x:v>0.009821428571428571</x:v>
      </x:c>
      <x:c r="L117" s="44" t="n">
        <x:f>$C117*0.09</x:f>
        <x:v>0.008035714285714285</x:v>
      </x:c>
      <x:c r="M117" s="44" t="n">
        <x:f>$C117*0.07</x:f>
        <x:v>0.00625</x:v>
      </x:c>
      <x:c r="N117" s="44" t="n">
        <x:f>$C117*0.05</x:f>
        <x:v>0.004464285714285715</x:v>
      </x:c>
      <x:c r="O117" s="44" t="n">
        <x:f>$C117*0.04</x:f>
        <x:v>0.0035714285714285718</x:v>
      </x:c>
      <x:c r="P117" s="44" t="n">
        <x:f>SUM(D117:O117)</x:f>
        <x:v>0.0892857142857143</x:v>
      </x:c>
      <x:c r="Q117" s="54" t="n">
        <x:f>P117-C117</x:f>
        <x:v>1.3877787807814457e-17</x:v>
      </x:c>
    </x:row>
    <x:row r="118">
      <x:c r="B118" s="21" t="str">
        <x:v>F28-I4</x:v>
      </x:c>
      <x:c r="C118" s="44" t="n">
        <x:v>0.08928571428571429</x:v>
      </x:c>
      <x:c r="D118" s="44" t="n">
        <x:f>$C118*0.04</x:f>
        <x:v>0.0035714285714285718</x:v>
      </x:c>
      <x:c r="E118" s="44" t="n">
        <x:f>$C118*0.06</x:f>
        <x:v>0.005357142857142857</x:v>
      </x:c>
      <x:c r="F118" s="44" t="n">
        <x:f>$C118*0.08</x:f>
        <x:v>0.0071428571428571435</x:v>
      </x:c>
      <x:c r="G118" s="44" t="n">
        <x:f>$C118*0.1</x:f>
        <x:v>0.00892857142857143</x:v>
      </x:c>
      <x:c r="H118" s="44" t="n">
        <x:f>$C118*0.12</x:f>
        <x:v>0.010714285714285714</x:v>
      </x:c>
      <x:c r="I118" s="44" t="n">
        <x:f>$C118*0.12</x:f>
        <x:v>0.010714285714285714</x:v>
      </x:c>
      <x:c r="J118" s="44" t="n">
        <x:f>$C118*0.12</x:f>
        <x:v>0.010714285714285714</x:v>
      </x:c>
      <x:c r="K118" s="44" t="n">
        <x:f>$C118*0.11</x:f>
        <x:v>0.009821428571428571</x:v>
      </x:c>
      <x:c r="L118" s="44" t="n">
        <x:f>$C118*0.09</x:f>
        <x:v>0.008035714285714285</x:v>
      </x:c>
      <x:c r="M118" s="44" t="n">
        <x:f>$C118*0.07</x:f>
        <x:v>0.00625</x:v>
      </x:c>
      <x:c r="N118" s="44" t="n">
        <x:f>$C118*0.05</x:f>
        <x:v>0.004464285714285715</x:v>
      </x:c>
      <x:c r="O118" s="44" t="n">
        <x:f>$C118*0.04</x:f>
        <x:v>0.0035714285714285718</x:v>
      </x:c>
      <x:c r="P118" s="44" t="n">
        <x:f>SUM(D118:O118)</x:f>
        <x:v>0.0892857142857143</x:v>
      </x:c>
      <x:c r="Q118" s="54" t="n">
        <x:f>P118-C118</x:f>
        <x:v>1.3877787807814457e-17</x:v>
      </x:c>
    </x:row>
    <x:row r="119">
      <x:c r="B119" s="21" t="str">
        <x:v>F29-I1</x:v>
      </x:c>
      <x:c r="C119" s="44" t="n">
        <x:v>0.08928571428571429</x:v>
      </x:c>
      <x:c r="D119" s="44" t="n">
        <x:f>$C119*0.04</x:f>
        <x:v>0.0035714285714285718</x:v>
      </x:c>
      <x:c r="E119" s="44" t="n">
        <x:f>$C119*0.06</x:f>
        <x:v>0.005357142857142857</x:v>
      </x:c>
      <x:c r="F119" s="44" t="n">
        <x:f>$C119*0.08</x:f>
        <x:v>0.0071428571428571435</x:v>
      </x:c>
      <x:c r="G119" s="44" t="n">
        <x:f>$C119*0.1</x:f>
        <x:v>0.00892857142857143</x:v>
      </x:c>
      <x:c r="H119" s="44" t="n">
        <x:f>$C119*0.12</x:f>
        <x:v>0.010714285714285714</x:v>
      </x:c>
      <x:c r="I119" s="44" t="n">
        <x:f>$C119*0.12</x:f>
        <x:v>0.010714285714285714</x:v>
      </x:c>
      <x:c r="J119" s="44" t="n">
        <x:f>$C119*0.12</x:f>
        <x:v>0.010714285714285714</x:v>
      </x:c>
      <x:c r="K119" s="44" t="n">
        <x:f>$C119*0.11</x:f>
        <x:v>0.009821428571428571</x:v>
      </x:c>
      <x:c r="L119" s="44" t="n">
        <x:f>$C119*0.09</x:f>
        <x:v>0.008035714285714285</x:v>
      </x:c>
      <x:c r="M119" s="44" t="n">
        <x:f>$C119*0.07</x:f>
        <x:v>0.00625</x:v>
      </x:c>
      <x:c r="N119" s="44" t="n">
        <x:f>$C119*0.05</x:f>
        <x:v>0.004464285714285715</x:v>
      </x:c>
      <x:c r="O119" s="44" t="n">
        <x:f>$C119*0.04</x:f>
        <x:v>0.0035714285714285718</x:v>
      </x:c>
      <x:c r="P119" s="44" t="n">
        <x:f>SUM(D119:O119)</x:f>
        <x:v>0.0892857142857143</x:v>
      </x:c>
      <x:c r="Q119" s="54" t="n">
        <x:f>P119-C119</x:f>
        <x:v>1.3877787807814457e-17</x:v>
      </x:c>
    </x:row>
    <x:row r="120">
      <x:c r="B120" s="21" t="str">
        <x:v>F29-I2</x:v>
      </x:c>
      <x:c r="C120" s="44" t="n">
        <x:v>0.08928571428571429</x:v>
      </x:c>
      <x:c r="D120" s="44" t="n">
        <x:f>$C120*0.04</x:f>
        <x:v>0.0035714285714285718</x:v>
      </x:c>
      <x:c r="E120" s="44" t="n">
        <x:f>$C120*0.06</x:f>
        <x:v>0.005357142857142857</x:v>
      </x:c>
      <x:c r="F120" s="44" t="n">
        <x:f>$C120*0.08</x:f>
        <x:v>0.0071428571428571435</x:v>
      </x:c>
      <x:c r="G120" s="44" t="n">
        <x:f>$C120*0.1</x:f>
        <x:v>0.00892857142857143</x:v>
      </x:c>
      <x:c r="H120" s="44" t="n">
        <x:f>$C120*0.12</x:f>
        <x:v>0.010714285714285714</x:v>
      </x:c>
      <x:c r="I120" s="44" t="n">
        <x:f>$C120*0.12</x:f>
        <x:v>0.010714285714285714</x:v>
      </x:c>
      <x:c r="J120" s="44" t="n">
        <x:f>$C120*0.12</x:f>
        <x:v>0.010714285714285714</x:v>
      </x:c>
      <x:c r="K120" s="44" t="n">
        <x:f>$C120*0.11</x:f>
        <x:v>0.009821428571428571</x:v>
      </x:c>
      <x:c r="L120" s="44" t="n">
        <x:f>$C120*0.09</x:f>
        <x:v>0.008035714285714285</x:v>
      </x:c>
      <x:c r="M120" s="44" t="n">
        <x:f>$C120*0.07</x:f>
        <x:v>0.00625</x:v>
      </x:c>
      <x:c r="N120" s="44" t="n">
        <x:f>$C120*0.05</x:f>
        <x:v>0.004464285714285715</x:v>
      </x:c>
      <x:c r="O120" s="44" t="n">
        <x:f>$C120*0.04</x:f>
        <x:v>0.0035714285714285718</x:v>
      </x:c>
      <x:c r="P120" s="44" t="n">
        <x:f>SUM(D120:O120)</x:f>
        <x:v>0.0892857142857143</x:v>
      </x:c>
      <x:c r="Q120" s="54" t="n">
        <x:f>P120-C120</x:f>
        <x:v>1.3877787807814457e-17</x:v>
      </x:c>
    </x:row>
    <x:row r="121">
      <x:c r="B121" s="21" t="str">
        <x:v>F29-I3</x:v>
      </x:c>
      <x:c r="C121" s="44" t="n">
        <x:v>0.08928571428571429</x:v>
      </x:c>
      <x:c r="D121" s="44" t="n">
        <x:f>$C121*0.04</x:f>
        <x:v>0.0035714285714285718</x:v>
      </x:c>
      <x:c r="E121" s="44" t="n">
        <x:f>$C121*0.06</x:f>
        <x:v>0.005357142857142857</x:v>
      </x:c>
      <x:c r="F121" s="44" t="n">
        <x:f>$C121*0.08</x:f>
        <x:v>0.0071428571428571435</x:v>
      </x:c>
      <x:c r="G121" s="44" t="n">
        <x:f>$C121*0.1</x:f>
        <x:v>0.00892857142857143</x:v>
      </x:c>
      <x:c r="H121" s="44" t="n">
        <x:f>$C121*0.12</x:f>
        <x:v>0.010714285714285714</x:v>
      </x:c>
      <x:c r="I121" s="44" t="n">
        <x:f>$C121*0.12</x:f>
        <x:v>0.010714285714285714</x:v>
      </x:c>
      <x:c r="J121" s="44" t="n">
        <x:f>$C121*0.12</x:f>
        <x:v>0.010714285714285714</x:v>
      </x:c>
      <x:c r="K121" s="44" t="n">
        <x:f>$C121*0.11</x:f>
        <x:v>0.009821428571428571</x:v>
      </x:c>
      <x:c r="L121" s="44" t="n">
        <x:f>$C121*0.09</x:f>
        <x:v>0.008035714285714285</x:v>
      </x:c>
      <x:c r="M121" s="44" t="n">
        <x:f>$C121*0.07</x:f>
        <x:v>0.00625</x:v>
      </x:c>
      <x:c r="N121" s="44" t="n">
        <x:f>$C121*0.05</x:f>
        <x:v>0.004464285714285715</x:v>
      </x:c>
      <x:c r="O121" s="44" t="n">
        <x:f>$C121*0.04</x:f>
        <x:v>0.0035714285714285718</x:v>
      </x:c>
      <x:c r="P121" s="44" t="n">
        <x:f>SUM(D121:O121)</x:f>
        <x:v>0.0892857142857143</x:v>
      </x:c>
      <x:c r="Q121" s="54" t="n">
        <x:f>P121-C121</x:f>
        <x:v>1.3877787807814457e-17</x:v>
      </x:c>
    </x:row>
    <x:row r="122">
      <x:c r="B122" s="21" t="str">
        <x:v>F29-I4</x:v>
      </x:c>
      <x:c r="C122" s="44" t="n">
        <x:v>0.08928571428571429</x:v>
      </x:c>
      <x:c r="D122" s="44" t="n">
        <x:f>$C122*0.04</x:f>
        <x:v>0.0035714285714285718</x:v>
      </x:c>
      <x:c r="E122" s="44" t="n">
        <x:f>$C122*0.06</x:f>
        <x:v>0.005357142857142857</x:v>
      </x:c>
      <x:c r="F122" s="44" t="n">
        <x:f>$C122*0.08</x:f>
        <x:v>0.0071428571428571435</x:v>
      </x:c>
      <x:c r="G122" s="44" t="n">
        <x:f>$C122*0.1</x:f>
        <x:v>0.00892857142857143</x:v>
      </x:c>
      <x:c r="H122" s="44" t="n">
        <x:f>$C122*0.12</x:f>
        <x:v>0.010714285714285714</x:v>
      </x:c>
      <x:c r="I122" s="44" t="n">
        <x:f>$C122*0.12</x:f>
        <x:v>0.010714285714285714</x:v>
      </x:c>
      <x:c r="J122" s="44" t="n">
        <x:f>$C122*0.12</x:f>
        <x:v>0.010714285714285714</x:v>
      </x:c>
      <x:c r="K122" s="44" t="n">
        <x:f>$C122*0.11</x:f>
        <x:v>0.009821428571428571</x:v>
      </x:c>
      <x:c r="L122" s="44" t="n">
        <x:f>$C122*0.09</x:f>
        <x:v>0.008035714285714285</x:v>
      </x:c>
      <x:c r="M122" s="44" t="n">
        <x:f>$C122*0.07</x:f>
        <x:v>0.00625</x:v>
      </x:c>
      <x:c r="N122" s="44" t="n">
        <x:f>$C122*0.05</x:f>
        <x:v>0.004464285714285715</x:v>
      </x:c>
      <x:c r="O122" s="44" t="n">
        <x:f>$C122*0.04</x:f>
        <x:v>0.0035714285714285718</x:v>
      </x:c>
      <x:c r="P122" s="44" t="n">
        <x:f>SUM(D122:O122)</x:f>
        <x:v>0.0892857142857143</x:v>
      </x:c>
      <x:c r="Q122" s="54" t="n">
        <x:f>P122-C122</x:f>
        <x:v>1.3877787807814457e-17</x:v>
      </x:c>
    </x:row>
    <x:row r="123">
      <x:c r="B123" s="21" t="str">
        <x:v>F30-I1</x:v>
      </x:c>
      <x:c r="C123" s="44" t="n">
        <x:v>0.08928571428571429</x:v>
      </x:c>
      <x:c r="D123" s="44" t="n">
        <x:f>$C123*0.04</x:f>
        <x:v>0.0035714285714285718</x:v>
      </x:c>
      <x:c r="E123" s="44" t="n">
        <x:f>$C123*0.06</x:f>
        <x:v>0.005357142857142857</x:v>
      </x:c>
      <x:c r="F123" s="44" t="n">
        <x:f>$C123*0.08</x:f>
        <x:v>0.0071428571428571435</x:v>
      </x:c>
      <x:c r="G123" s="44" t="n">
        <x:f>$C123*0.1</x:f>
        <x:v>0.00892857142857143</x:v>
      </x:c>
      <x:c r="H123" s="44" t="n">
        <x:f>$C123*0.12</x:f>
        <x:v>0.010714285714285714</x:v>
      </x:c>
      <x:c r="I123" s="44" t="n">
        <x:f>$C123*0.12</x:f>
        <x:v>0.010714285714285714</x:v>
      </x:c>
      <x:c r="J123" s="44" t="n">
        <x:f>$C123*0.12</x:f>
        <x:v>0.010714285714285714</x:v>
      </x:c>
      <x:c r="K123" s="44" t="n">
        <x:f>$C123*0.11</x:f>
        <x:v>0.009821428571428571</x:v>
      </x:c>
      <x:c r="L123" s="44" t="n">
        <x:f>$C123*0.09</x:f>
        <x:v>0.008035714285714285</x:v>
      </x:c>
      <x:c r="M123" s="44" t="n">
        <x:f>$C123*0.07</x:f>
        <x:v>0.00625</x:v>
      </x:c>
      <x:c r="N123" s="44" t="n">
        <x:f>$C123*0.05</x:f>
        <x:v>0.004464285714285715</x:v>
      </x:c>
      <x:c r="O123" s="44" t="n">
        <x:f>$C123*0.04</x:f>
        <x:v>0.0035714285714285718</x:v>
      </x:c>
      <x:c r="P123" s="44" t="n">
        <x:f>SUM(D123:O123)</x:f>
        <x:v>0.0892857142857143</x:v>
      </x:c>
      <x:c r="Q123" s="54" t="n">
        <x:f>P123-C123</x:f>
        <x:v>1.3877787807814457e-17</x:v>
      </x:c>
    </x:row>
    <x:row r="124">
      <x:c r="B124" s="21" t="str">
        <x:v>F30-I2</x:v>
      </x:c>
      <x:c r="C124" s="44" t="n">
        <x:v>0.08928571428571429</x:v>
      </x:c>
      <x:c r="D124" s="44" t="n">
        <x:f>$C124*0.04</x:f>
        <x:v>0.0035714285714285718</x:v>
      </x:c>
      <x:c r="E124" s="44" t="n">
        <x:f>$C124*0.06</x:f>
        <x:v>0.005357142857142857</x:v>
      </x:c>
      <x:c r="F124" s="44" t="n">
        <x:f>$C124*0.08</x:f>
        <x:v>0.0071428571428571435</x:v>
      </x:c>
      <x:c r="G124" s="44" t="n">
        <x:f>$C124*0.1</x:f>
        <x:v>0.00892857142857143</x:v>
      </x:c>
      <x:c r="H124" s="44" t="n">
        <x:f>$C124*0.12</x:f>
        <x:v>0.010714285714285714</x:v>
      </x:c>
      <x:c r="I124" s="44" t="n">
        <x:f>$C124*0.12</x:f>
        <x:v>0.010714285714285714</x:v>
      </x:c>
      <x:c r="J124" s="44" t="n">
        <x:f>$C124*0.12</x:f>
        <x:v>0.010714285714285714</x:v>
      </x:c>
      <x:c r="K124" s="44" t="n">
        <x:f>$C124*0.11</x:f>
        <x:v>0.009821428571428571</x:v>
      </x:c>
      <x:c r="L124" s="44" t="n">
        <x:f>$C124*0.09</x:f>
        <x:v>0.008035714285714285</x:v>
      </x:c>
      <x:c r="M124" s="44" t="n">
        <x:f>$C124*0.07</x:f>
        <x:v>0.00625</x:v>
      </x:c>
      <x:c r="N124" s="44" t="n">
        <x:f>$C124*0.05</x:f>
        <x:v>0.004464285714285715</x:v>
      </x:c>
      <x:c r="O124" s="44" t="n">
        <x:f>$C124*0.04</x:f>
        <x:v>0.0035714285714285718</x:v>
      </x:c>
      <x:c r="P124" s="44" t="n">
        <x:f>SUM(D124:O124)</x:f>
        <x:v>0.0892857142857143</x:v>
      </x:c>
      <x:c r="Q124" s="54" t="n">
        <x:f>P124-C124</x:f>
        <x:v>1.3877787807814457e-17</x:v>
      </x:c>
    </x:row>
    <x:row r="125">
      <x:c r="B125" s="21" t="str">
        <x:v>F30-I3</x:v>
      </x:c>
      <x:c r="C125" s="44" t="n">
        <x:v>0.08928571428571429</x:v>
      </x:c>
      <x:c r="D125" s="44" t="n">
        <x:f>$C125*0.04</x:f>
        <x:v>0.0035714285714285718</x:v>
      </x:c>
      <x:c r="E125" s="44" t="n">
        <x:f>$C125*0.06</x:f>
        <x:v>0.005357142857142857</x:v>
      </x:c>
      <x:c r="F125" s="44" t="n">
        <x:f>$C125*0.08</x:f>
        <x:v>0.0071428571428571435</x:v>
      </x:c>
      <x:c r="G125" s="44" t="n">
        <x:f>$C125*0.1</x:f>
        <x:v>0.00892857142857143</x:v>
      </x:c>
      <x:c r="H125" s="44" t="n">
        <x:f>$C125*0.12</x:f>
        <x:v>0.010714285714285714</x:v>
      </x:c>
      <x:c r="I125" s="44" t="n">
        <x:f>$C125*0.12</x:f>
        <x:v>0.010714285714285714</x:v>
      </x:c>
      <x:c r="J125" s="44" t="n">
        <x:f>$C125*0.12</x:f>
        <x:v>0.010714285714285714</x:v>
      </x:c>
      <x:c r="K125" s="44" t="n">
        <x:f>$C125*0.11</x:f>
        <x:v>0.009821428571428571</x:v>
      </x:c>
      <x:c r="L125" s="44" t="n">
        <x:f>$C125*0.09</x:f>
        <x:v>0.008035714285714285</x:v>
      </x:c>
      <x:c r="M125" s="44" t="n">
        <x:f>$C125*0.07</x:f>
        <x:v>0.00625</x:v>
      </x:c>
      <x:c r="N125" s="44" t="n">
        <x:f>$C125*0.05</x:f>
        <x:v>0.004464285714285715</x:v>
      </x:c>
      <x:c r="O125" s="44" t="n">
        <x:f>$C125*0.04</x:f>
        <x:v>0.0035714285714285718</x:v>
      </x:c>
      <x:c r="P125" s="44" t="n">
        <x:f>SUM(D125:O125)</x:f>
        <x:v>0.0892857142857143</x:v>
      </x:c>
      <x:c r="Q125" s="54" t="n">
        <x:f>P125-C125</x:f>
        <x:v>1.3877787807814457e-17</x:v>
      </x:c>
    </x:row>
    <x:row r="126">
      <x:c r="B126" s="21" t="str">
        <x:v>F30-I4</x:v>
      </x:c>
      <x:c r="C126" s="44" t="n">
        <x:v>0.08928571428571429</x:v>
      </x:c>
      <x:c r="D126" s="44" t="n">
        <x:f>$C126*0.04</x:f>
        <x:v>0.0035714285714285718</x:v>
      </x:c>
      <x:c r="E126" s="44" t="n">
        <x:f>$C126*0.06</x:f>
        <x:v>0.005357142857142857</x:v>
      </x:c>
      <x:c r="F126" s="44" t="n">
        <x:f>$C126*0.08</x:f>
        <x:v>0.0071428571428571435</x:v>
      </x:c>
      <x:c r="G126" s="44" t="n">
        <x:f>$C126*0.1</x:f>
        <x:v>0.00892857142857143</x:v>
      </x:c>
      <x:c r="H126" s="44" t="n">
        <x:f>$C126*0.12</x:f>
        <x:v>0.010714285714285714</x:v>
      </x:c>
      <x:c r="I126" s="44" t="n">
        <x:f>$C126*0.12</x:f>
        <x:v>0.010714285714285714</x:v>
      </x:c>
      <x:c r="J126" s="44" t="n">
        <x:f>$C126*0.12</x:f>
        <x:v>0.010714285714285714</x:v>
      </x:c>
      <x:c r="K126" s="44" t="n">
        <x:f>$C126*0.11</x:f>
        <x:v>0.009821428571428571</x:v>
      </x:c>
      <x:c r="L126" s="44" t="n">
        <x:f>$C126*0.09</x:f>
        <x:v>0.008035714285714285</x:v>
      </x:c>
      <x:c r="M126" s="44" t="n">
        <x:f>$C126*0.07</x:f>
        <x:v>0.00625</x:v>
      </x:c>
      <x:c r="N126" s="44" t="n">
        <x:f>$C126*0.05</x:f>
        <x:v>0.004464285714285715</x:v>
      </x:c>
      <x:c r="O126" s="44" t="n">
        <x:f>$C126*0.04</x:f>
        <x:v>0.0035714285714285718</x:v>
      </x:c>
      <x:c r="P126" s="44" t="n">
        <x:f>SUM(D126:O126)</x:f>
        <x:v>0.0892857142857143</x:v>
      </x:c>
      <x:c r="Q126" s="54" t="n">
        <x:f>P126-C126</x:f>
        <x:v>1.3877787807814457e-17</x:v>
      </x:c>
    </x:row>
    <x:row r="127">
      <x:c r="B127" s="21" t="str">
        <x:v>F31-I1</x:v>
      </x:c>
      <x:c r="C127" s="44" t="n">
        <x:v>0.08928571428571429</x:v>
      </x:c>
      <x:c r="D127" s="44" t="n">
        <x:f>$C127*0.04</x:f>
        <x:v>0.0035714285714285718</x:v>
      </x:c>
      <x:c r="E127" s="44" t="n">
        <x:f>$C127*0.06</x:f>
        <x:v>0.005357142857142857</x:v>
      </x:c>
      <x:c r="F127" s="44" t="n">
        <x:f>$C127*0.08</x:f>
        <x:v>0.0071428571428571435</x:v>
      </x:c>
      <x:c r="G127" s="44" t="n">
        <x:f>$C127*0.1</x:f>
        <x:v>0.00892857142857143</x:v>
      </x:c>
      <x:c r="H127" s="44" t="n">
        <x:f>$C127*0.12</x:f>
        <x:v>0.010714285714285714</x:v>
      </x:c>
      <x:c r="I127" s="44" t="n">
        <x:f>$C127*0.12</x:f>
        <x:v>0.010714285714285714</x:v>
      </x:c>
      <x:c r="J127" s="44" t="n">
        <x:f>$C127*0.12</x:f>
        <x:v>0.010714285714285714</x:v>
      </x:c>
      <x:c r="K127" s="44" t="n">
        <x:f>$C127*0.11</x:f>
        <x:v>0.009821428571428571</x:v>
      </x:c>
      <x:c r="L127" s="44" t="n">
        <x:f>$C127*0.09</x:f>
        <x:v>0.008035714285714285</x:v>
      </x:c>
      <x:c r="M127" s="44" t="n">
        <x:f>$C127*0.07</x:f>
        <x:v>0.00625</x:v>
      </x:c>
      <x:c r="N127" s="44" t="n">
        <x:f>$C127*0.05</x:f>
        <x:v>0.004464285714285715</x:v>
      </x:c>
      <x:c r="O127" s="44" t="n">
        <x:f>$C127*0.04</x:f>
        <x:v>0.0035714285714285718</x:v>
      </x:c>
      <x:c r="P127" s="44" t="n">
        <x:f>SUM(D127:O127)</x:f>
        <x:v>0.0892857142857143</x:v>
      </x:c>
      <x:c r="Q127" s="54" t="n">
        <x:f>P127-C127</x:f>
        <x:v>1.3877787807814457e-17</x:v>
      </x:c>
    </x:row>
    <x:row r="128">
      <x:c r="B128" s="21" t="str">
        <x:v>F31-I2</x:v>
      </x:c>
      <x:c r="C128" s="44" t="n">
        <x:v>0.08928571428571429</x:v>
      </x:c>
      <x:c r="D128" s="44" t="n">
        <x:f>$C128*0.04</x:f>
        <x:v>0.0035714285714285718</x:v>
      </x:c>
      <x:c r="E128" s="44" t="n">
        <x:f>$C128*0.06</x:f>
        <x:v>0.005357142857142857</x:v>
      </x:c>
      <x:c r="F128" s="44" t="n">
        <x:f>$C128*0.08</x:f>
        <x:v>0.0071428571428571435</x:v>
      </x:c>
      <x:c r="G128" s="44" t="n">
        <x:f>$C128*0.1</x:f>
        <x:v>0.00892857142857143</x:v>
      </x:c>
      <x:c r="H128" s="44" t="n">
        <x:f>$C128*0.12</x:f>
        <x:v>0.010714285714285714</x:v>
      </x:c>
      <x:c r="I128" s="44" t="n">
        <x:f>$C128*0.12</x:f>
        <x:v>0.010714285714285714</x:v>
      </x:c>
      <x:c r="J128" s="44" t="n">
        <x:f>$C128*0.12</x:f>
        <x:v>0.010714285714285714</x:v>
      </x:c>
      <x:c r="K128" s="44" t="n">
        <x:f>$C128*0.11</x:f>
        <x:v>0.009821428571428571</x:v>
      </x:c>
      <x:c r="L128" s="44" t="n">
        <x:f>$C128*0.09</x:f>
        <x:v>0.008035714285714285</x:v>
      </x:c>
      <x:c r="M128" s="44" t="n">
        <x:f>$C128*0.07</x:f>
        <x:v>0.00625</x:v>
      </x:c>
      <x:c r="N128" s="44" t="n">
        <x:f>$C128*0.05</x:f>
        <x:v>0.004464285714285715</x:v>
      </x:c>
      <x:c r="O128" s="44" t="n">
        <x:f>$C128*0.04</x:f>
        <x:v>0.0035714285714285718</x:v>
      </x:c>
      <x:c r="P128" s="44" t="n">
        <x:f>SUM(D128:O128)</x:f>
        <x:v>0.0892857142857143</x:v>
      </x:c>
      <x:c r="Q128" s="54" t="n">
        <x:f>P128-C128</x:f>
        <x:v>1.3877787807814457e-17</x:v>
      </x:c>
    </x:row>
    <x:row r="129">
      <x:c r="B129" s="21" t="str">
        <x:v>F31-I3</x:v>
      </x:c>
      <x:c r="C129" s="44" t="n">
        <x:v>0.08928571428571429</x:v>
      </x:c>
      <x:c r="D129" s="44" t="n">
        <x:f>$C129*0.04</x:f>
        <x:v>0.0035714285714285718</x:v>
      </x:c>
      <x:c r="E129" s="44" t="n">
        <x:f>$C129*0.06</x:f>
        <x:v>0.005357142857142857</x:v>
      </x:c>
      <x:c r="F129" s="44" t="n">
        <x:f>$C129*0.08</x:f>
        <x:v>0.0071428571428571435</x:v>
      </x:c>
      <x:c r="G129" s="44" t="n">
        <x:f>$C129*0.1</x:f>
        <x:v>0.00892857142857143</x:v>
      </x:c>
      <x:c r="H129" s="44" t="n">
        <x:f>$C129*0.12</x:f>
        <x:v>0.010714285714285714</x:v>
      </x:c>
      <x:c r="I129" s="44" t="n">
        <x:f>$C129*0.12</x:f>
        <x:v>0.010714285714285714</x:v>
      </x:c>
      <x:c r="J129" s="44" t="n">
        <x:f>$C129*0.12</x:f>
        <x:v>0.010714285714285714</x:v>
      </x:c>
      <x:c r="K129" s="44" t="n">
        <x:f>$C129*0.11</x:f>
        <x:v>0.009821428571428571</x:v>
      </x:c>
      <x:c r="L129" s="44" t="n">
        <x:f>$C129*0.09</x:f>
        <x:v>0.008035714285714285</x:v>
      </x:c>
      <x:c r="M129" s="44" t="n">
        <x:f>$C129*0.07</x:f>
        <x:v>0.00625</x:v>
      </x:c>
      <x:c r="N129" s="44" t="n">
        <x:f>$C129*0.05</x:f>
        <x:v>0.004464285714285715</x:v>
      </x:c>
      <x:c r="O129" s="44" t="n">
        <x:f>$C129*0.04</x:f>
        <x:v>0.0035714285714285718</x:v>
      </x:c>
      <x:c r="P129" s="44" t="n">
        <x:f>SUM(D129:O129)</x:f>
        <x:v>0.0892857142857143</x:v>
      </x:c>
      <x:c r="Q129" s="54" t="n">
        <x:f>P129-C129</x:f>
        <x:v>1.3877787807814457e-17</x:v>
      </x:c>
    </x:row>
    <x:row r="130">
      <x:c r="B130" s="21" t="str">
        <x:v>F31-I4</x:v>
      </x:c>
      <x:c r="C130" s="44" t="n">
        <x:v>0.08928571428571429</x:v>
      </x:c>
      <x:c r="D130" s="44" t="n">
        <x:f>$C130*0.04</x:f>
        <x:v>0.0035714285714285718</x:v>
      </x:c>
      <x:c r="E130" s="44" t="n">
        <x:f>$C130*0.06</x:f>
        <x:v>0.005357142857142857</x:v>
      </x:c>
      <x:c r="F130" s="44" t="n">
        <x:f>$C130*0.08</x:f>
        <x:v>0.0071428571428571435</x:v>
      </x:c>
      <x:c r="G130" s="44" t="n">
        <x:f>$C130*0.1</x:f>
        <x:v>0.00892857142857143</x:v>
      </x:c>
      <x:c r="H130" s="44" t="n">
        <x:f>$C130*0.12</x:f>
        <x:v>0.010714285714285714</x:v>
      </x:c>
      <x:c r="I130" s="44" t="n">
        <x:f>$C130*0.12</x:f>
        <x:v>0.010714285714285714</x:v>
      </x:c>
      <x:c r="J130" s="44" t="n">
        <x:f>$C130*0.12</x:f>
        <x:v>0.010714285714285714</x:v>
      </x:c>
      <x:c r="K130" s="44" t="n">
        <x:f>$C130*0.11</x:f>
        <x:v>0.009821428571428571</x:v>
      </x:c>
      <x:c r="L130" s="44" t="n">
        <x:f>$C130*0.09</x:f>
        <x:v>0.008035714285714285</x:v>
      </x:c>
      <x:c r="M130" s="44" t="n">
        <x:f>$C130*0.07</x:f>
        <x:v>0.00625</x:v>
      </x:c>
      <x:c r="N130" s="44" t="n">
        <x:f>$C130*0.05</x:f>
        <x:v>0.004464285714285715</x:v>
      </x:c>
      <x:c r="O130" s="44" t="n">
        <x:f>$C130*0.04</x:f>
        <x:v>0.0035714285714285718</x:v>
      </x:c>
      <x:c r="P130" s="44" t="n">
        <x:f>SUM(D130:O130)</x:f>
        <x:v>0.0892857142857143</x:v>
      </x:c>
      <x:c r="Q130" s="54" t="n">
        <x:f>P130-C130</x:f>
        <x:v>1.3877787807814457e-17</x:v>
      </x:c>
    </x:row>
    <x:row r="131">
      <x:c r="B131" s="21" t="str">
        <x:v>F32-I1</x:v>
      </x:c>
      <x:c r="C131" s="44" t="n">
        <x:v>0.08928571428571429</x:v>
      </x:c>
      <x:c r="D131" s="44" t="n">
        <x:f>$C131*0.04</x:f>
        <x:v>0.0035714285714285718</x:v>
      </x:c>
      <x:c r="E131" s="44" t="n">
        <x:f>$C131*0.06</x:f>
        <x:v>0.005357142857142857</x:v>
      </x:c>
      <x:c r="F131" s="44" t="n">
        <x:f>$C131*0.08</x:f>
        <x:v>0.0071428571428571435</x:v>
      </x:c>
      <x:c r="G131" s="44" t="n">
        <x:f>$C131*0.1</x:f>
        <x:v>0.00892857142857143</x:v>
      </x:c>
      <x:c r="H131" s="44" t="n">
        <x:f>$C131*0.12</x:f>
        <x:v>0.010714285714285714</x:v>
      </x:c>
      <x:c r="I131" s="44" t="n">
        <x:f>$C131*0.12</x:f>
        <x:v>0.010714285714285714</x:v>
      </x:c>
      <x:c r="J131" s="44" t="n">
        <x:f>$C131*0.12</x:f>
        <x:v>0.010714285714285714</x:v>
      </x:c>
      <x:c r="K131" s="44" t="n">
        <x:f>$C131*0.11</x:f>
        <x:v>0.009821428571428571</x:v>
      </x:c>
      <x:c r="L131" s="44" t="n">
        <x:f>$C131*0.09</x:f>
        <x:v>0.008035714285714285</x:v>
      </x:c>
      <x:c r="M131" s="44" t="n">
        <x:f>$C131*0.07</x:f>
        <x:v>0.00625</x:v>
      </x:c>
      <x:c r="N131" s="44" t="n">
        <x:f>$C131*0.05</x:f>
        <x:v>0.004464285714285715</x:v>
      </x:c>
      <x:c r="O131" s="44" t="n">
        <x:f>$C131*0.04</x:f>
        <x:v>0.0035714285714285718</x:v>
      </x:c>
      <x:c r="P131" s="44" t="n">
        <x:f>SUM(D131:O131)</x:f>
        <x:v>0.0892857142857143</x:v>
      </x:c>
      <x:c r="Q131" s="54" t="n">
        <x:f>P131-C131</x:f>
        <x:v>1.3877787807814457e-17</x:v>
      </x:c>
    </x:row>
    <x:row r="132">
      <x:c r="B132" s="21" t="str">
        <x:v>F32-I2</x:v>
      </x:c>
      <x:c r="C132" s="44" t="n">
        <x:v>0.08928571428571429</x:v>
      </x:c>
      <x:c r="D132" s="44" t="n">
        <x:f>$C132*0.04</x:f>
        <x:v>0.0035714285714285718</x:v>
      </x:c>
      <x:c r="E132" s="44" t="n">
        <x:f>$C132*0.06</x:f>
        <x:v>0.005357142857142857</x:v>
      </x:c>
      <x:c r="F132" s="44" t="n">
        <x:f>$C132*0.08</x:f>
        <x:v>0.0071428571428571435</x:v>
      </x:c>
      <x:c r="G132" s="44" t="n">
        <x:f>$C132*0.1</x:f>
        <x:v>0.00892857142857143</x:v>
      </x:c>
      <x:c r="H132" s="44" t="n">
        <x:f>$C132*0.12</x:f>
        <x:v>0.010714285714285714</x:v>
      </x:c>
      <x:c r="I132" s="44" t="n">
        <x:f>$C132*0.12</x:f>
        <x:v>0.010714285714285714</x:v>
      </x:c>
      <x:c r="J132" s="44" t="n">
        <x:f>$C132*0.12</x:f>
        <x:v>0.010714285714285714</x:v>
      </x:c>
      <x:c r="K132" s="44" t="n">
        <x:f>$C132*0.11</x:f>
        <x:v>0.009821428571428571</x:v>
      </x:c>
      <x:c r="L132" s="44" t="n">
        <x:f>$C132*0.09</x:f>
        <x:v>0.008035714285714285</x:v>
      </x:c>
      <x:c r="M132" s="44" t="n">
        <x:f>$C132*0.07</x:f>
        <x:v>0.00625</x:v>
      </x:c>
      <x:c r="N132" s="44" t="n">
        <x:f>$C132*0.05</x:f>
        <x:v>0.004464285714285715</x:v>
      </x:c>
      <x:c r="O132" s="44" t="n">
        <x:f>$C132*0.04</x:f>
        <x:v>0.0035714285714285718</x:v>
      </x:c>
      <x:c r="P132" s="44" t="n">
        <x:f>SUM(D132:O132)</x:f>
        <x:v>0.0892857142857143</x:v>
      </x:c>
      <x:c r="Q132" s="54" t="n">
        <x:f>P132-C132</x:f>
        <x:v>1.3877787807814457e-17</x:v>
      </x:c>
    </x:row>
    <x:row r="133">
      <x:c r="B133" s="21" t="str">
        <x:v>F32-I3</x:v>
      </x:c>
      <x:c r="C133" s="44" t="n">
        <x:v>0.08928571428571429</x:v>
      </x:c>
      <x:c r="D133" s="44" t="n">
        <x:f>$C133*0.04</x:f>
        <x:v>0.0035714285714285718</x:v>
      </x:c>
      <x:c r="E133" s="44" t="n">
        <x:f>$C133*0.06</x:f>
        <x:v>0.005357142857142857</x:v>
      </x:c>
      <x:c r="F133" s="44" t="n">
        <x:f>$C133*0.08</x:f>
        <x:v>0.0071428571428571435</x:v>
      </x:c>
      <x:c r="G133" s="44" t="n">
        <x:f>$C133*0.1</x:f>
        <x:v>0.00892857142857143</x:v>
      </x:c>
      <x:c r="H133" s="44" t="n">
        <x:f>$C133*0.12</x:f>
        <x:v>0.010714285714285714</x:v>
      </x:c>
      <x:c r="I133" s="44" t="n">
        <x:f>$C133*0.12</x:f>
        <x:v>0.010714285714285714</x:v>
      </x:c>
      <x:c r="J133" s="44" t="n">
        <x:f>$C133*0.12</x:f>
        <x:v>0.010714285714285714</x:v>
      </x:c>
      <x:c r="K133" s="44" t="n">
        <x:f>$C133*0.11</x:f>
        <x:v>0.009821428571428571</x:v>
      </x:c>
      <x:c r="L133" s="44" t="n">
        <x:f>$C133*0.09</x:f>
        <x:v>0.008035714285714285</x:v>
      </x:c>
      <x:c r="M133" s="44" t="n">
        <x:f>$C133*0.07</x:f>
        <x:v>0.00625</x:v>
      </x:c>
      <x:c r="N133" s="44" t="n">
        <x:f>$C133*0.05</x:f>
        <x:v>0.004464285714285715</x:v>
      </x:c>
      <x:c r="O133" s="44" t="n">
        <x:f>$C133*0.04</x:f>
        <x:v>0.0035714285714285718</x:v>
      </x:c>
      <x:c r="P133" s="44" t="n">
        <x:f>SUM(D133:O133)</x:f>
        <x:v>0.0892857142857143</x:v>
      </x:c>
      <x:c r="Q133" s="54" t="n">
        <x:f>P133-C133</x:f>
        <x:v>1.3877787807814457e-17</x:v>
      </x:c>
    </x:row>
    <x:row r="134">
      <x:c r="B134" s="21" t="str">
        <x:v>F32-I4</x:v>
      </x:c>
      <x:c r="C134" s="44" t="n">
        <x:v>0.08928571428571429</x:v>
      </x:c>
      <x:c r="D134" s="44" t="n">
        <x:f>$C134*0.04</x:f>
        <x:v>0.0035714285714285718</x:v>
      </x:c>
      <x:c r="E134" s="44" t="n">
        <x:f>$C134*0.06</x:f>
        <x:v>0.005357142857142857</x:v>
      </x:c>
      <x:c r="F134" s="44" t="n">
        <x:f>$C134*0.08</x:f>
        <x:v>0.0071428571428571435</x:v>
      </x:c>
      <x:c r="G134" s="44" t="n">
        <x:f>$C134*0.1</x:f>
        <x:v>0.00892857142857143</x:v>
      </x:c>
      <x:c r="H134" s="44" t="n">
        <x:f>$C134*0.12</x:f>
        <x:v>0.010714285714285714</x:v>
      </x:c>
      <x:c r="I134" s="44" t="n">
        <x:f>$C134*0.12</x:f>
        <x:v>0.010714285714285714</x:v>
      </x:c>
      <x:c r="J134" s="44" t="n">
        <x:f>$C134*0.12</x:f>
        <x:v>0.010714285714285714</x:v>
      </x:c>
      <x:c r="K134" s="44" t="n">
        <x:f>$C134*0.11</x:f>
        <x:v>0.009821428571428571</x:v>
      </x:c>
      <x:c r="L134" s="44" t="n">
        <x:f>$C134*0.09</x:f>
        <x:v>0.008035714285714285</x:v>
      </x:c>
      <x:c r="M134" s="44" t="n">
        <x:f>$C134*0.07</x:f>
        <x:v>0.00625</x:v>
      </x:c>
      <x:c r="N134" s="44" t="n">
        <x:f>$C134*0.05</x:f>
        <x:v>0.004464285714285715</x:v>
      </x:c>
      <x:c r="O134" s="44" t="n">
        <x:f>$C134*0.04</x:f>
        <x:v>0.0035714285714285718</x:v>
      </x:c>
      <x:c r="P134" s="44" t="n">
        <x:f>SUM(D134:O134)</x:f>
        <x:v>0.0892857142857143</x:v>
      </x:c>
      <x:c r="Q134" s="54" t="n">
        <x:f>P134-C134</x:f>
        <x:v>1.3877787807814457e-17</x:v>
      </x:c>
    </x:row>
    <x:row r="135">
      <x:c r="B135" s="21" t="str">
        <x:v>F33-I1</x:v>
      </x:c>
      <x:c r="C135" s="44" t="n">
        <x:v>0.08928571428571429</x:v>
      </x:c>
      <x:c r="D135" s="44" t="n">
        <x:f>$C135*0.04</x:f>
        <x:v>0.0035714285714285718</x:v>
      </x:c>
      <x:c r="E135" s="44" t="n">
        <x:f>$C135*0.06</x:f>
        <x:v>0.005357142857142857</x:v>
      </x:c>
      <x:c r="F135" s="44" t="n">
        <x:f>$C135*0.08</x:f>
        <x:v>0.0071428571428571435</x:v>
      </x:c>
      <x:c r="G135" s="44" t="n">
        <x:f>$C135*0.1</x:f>
        <x:v>0.00892857142857143</x:v>
      </x:c>
      <x:c r="H135" s="44" t="n">
        <x:f>$C135*0.12</x:f>
        <x:v>0.010714285714285714</x:v>
      </x:c>
      <x:c r="I135" s="44" t="n">
        <x:f>$C135*0.12</x:f>
        <x:v>0.010714285714285714</x:v>
      </x:c>
      <x:c r="J135" s="44" t="n">
        <x:f>$C135*0.12</x:f>
        <x:v>0.010714285714285714</x:v>
      </x:c>
      <x:c r="K135" s="44" t="n">
        <x:f>$C135*0.11</x:f>
        <x:v>0.009821428571428571</x:v>
      </x:c>
      <x:c r="L135" s="44" t="n">
        <x:f>$C135*0.09</x:f>
        <x:v>0.008035714285714285</x:v>
      </x:c>
      <x:c r="M135" s="44" t="n">
        <x:f>$C135*0.07</x:f>
        <x:v>0.00625</x:v>
      </x:c>
      <x:c r="N135" s="44" t="n">
        <x:f>$C135*0.05</x:f>
        <x:v>0.004464285714285715</x:v>
      </x:c>
      <x:c r="O135" s="44" t="n">
        <x:f>$C135*0.04</x:f>
        <x:v>0.0035714285714285718</x:v>
      </x:c>
      <x:c r="P135" s="44" t="n">
        <x:f>SUM(D135:O135)</x:f>
        <x:v>0.0892857142857143</x:v>
      </x:c>
      <x:c r="Q135" s="54" t="n">
        <x:f>P135-C135</x:f>
        <x:v>1.3877787807814457e-17</x:v>
      </x:c>
    </x:row>
    <x:row r="136">
      <x:c r="B136" s="21" t="str">
        <x:v>F33-I2</x:v>
      </x:c>
      <x:c r="C136" s="44" t="n">
        <x:v>0.08928571428571429</x:v>
      </x:c>
      <x:c r="D136" s="44" t="n">
        <x:f>$C136*0.04</x:f>
        <x:v>0.0035714285714285718</x:v>
      </x:c>
      <x:c r="E136" s="44" t="n">
        <x:f>$C136*0.06</x:f>
        <x:v>0.005357142857142857</x:v>
      </x:c>
      <x:c r="F136" s="44" t="n">
        <x:f>$C136*0.08</x:f>
        <x:v>0.0071428571428571435</x:v>
      </x:c>
      <x:c r="G136" s="44" t="n">
        <x:f>$C136*0.1</x:f>
        <x:v>0.00892857142857143</x:v>
      </x:c>
      <x:c r="H136" s="44" t="n">
        <x:f>$C136*0.12</x:f>
        <x:v>0.010714285714285714</x:v>
      </x:c>
      <x:c r="I136" s="44" t="n">
        <x:f>$C136*0.12</x:f>
        <x:v>0.010714285714285714</x:v>
      </x:c>
      <x:c r="J136" s="44" t="n">
        <x:f>$C136*0.12</x:f>
        <x:v>0.010714285714285714</x:v>
      </x:c>
      <x:c r="K136" s="44" t="n">
        <x:f>$C136*0.11</x:f>
        <x:v>0.009821428571428571</x:v>
      </x:c>
      <x:c r="L136" s="44" t="n">
        <x:f>$C136*0.09</x:f>
        <x:v>0.008035714285714285</x:v>
      </x:c>
      <x:c r="M136" s="44" t="n">
        <x:f>$C136*0.07</x:f>
        <x:v>0.00625</x:v>
      </x:c>
      <x:c r="N136" s="44" t="n">
        <x:f>$C136*0.05</x:f>
        <x:v>0.004464285714285715</x:v>
      </x:c>
      <x:c r="O136" s="44" t="n">
        <x:f>$C136*0.04</x:f>
        <x:v>0.0035714285714285718</x:v>
      </x:c>
      <x:c r="P136" s="44" t="n">
        <x:f>SUM(D136:O136)</x:f>
        <x:v>0.0892857142857143</x:v>
      </x:c>
      <x:c r="Q136" s="54" t="n">
        <x:f>P136-C136</x:f>
        <x:v>1.3877787807814457e-17</x:v>
      </x:c>
    </x:row>
    <x:row r="137">
      <x:c r="B137" s="21" t="str">
        <x:v>F33-I3</x:v>
      </x:c>
      <x:c r="C137" s="44" t="n">
        <x:v>0.08928571428571429</x:v>
      </x:c>
      <x:c r="D137" s="44" t="n">
        <x:f>$C137*0.04</x:f>
        <x:v>0.0035714285714285718</x:v>
      </x:c>
      <x:c r="E137" s="44" t="n">
        <x:f>$C137*0.06</x:f>
        <x:v>0.005357142857142857</x:v>
      </x:c>
      <x:c r="F137" s="44" t="n">
        <x:f>$C137*0.08</x:f>
        <x:v>0.0071428571428571435</x:v>
      </x:c>
      <x:c r="G137" s="44" t="n">
        <x:f>$C137*0.1</x:f>
        <x:v>0.00892857142857143</x:v>
      </x:c>
      <x:c r="H137" s="44" t="n">
        <x:f>$C137*0.12</x:f>
        <x:v>0.010714285714285714</x:v>
      </x:c>
      <x:c r="I137" s="44" t="n">
        <x:f>$C137*0.12</x:f>
        <x:v>0.010714285714285714</x:v>
      </x:c>
      <x:c r="J137" s="44" t="n">
        <x:f>$C137*0.12</x:f>
        <x:v>0.010714285714285714</x:v>
      </x:c>
      <x:c r="K137" s="44" t="n">
        <x:f>$C137*0.11</x:f>
        <x:v>0.009821428571428571</x:v>
      </x:c>
      <x:c r="L137" s="44" t="n">
        <x:f>$C137*0.09</x:f>
        <x:v>0.008035714285714285</x:v>
      </x:c>
      <x:c r="M137" s="44" t="n">
        <x:f>$C137*0.07</x:f>
        <x:v>0.00625</x:v>
      </x:c>
      <x:c r="N137" s="44" t="n">
        <x:f>$C137*0.05</x:f>
        <x:v>0.004464285714285715</x:v>
      </x:c>
      <x:c r="O137" s="44" t="n">
        <x:f>$C137*0.04</x:f>
        <x:v>0.0035714285714285718</x:v>
      </x:c>
      <x:c r="P137" s="44" t="n">
        <x:f>SUM(D137:O137)</x:f>
        <x:v>0.0892857142857143</x:v>
      </x:c>
      <x:c r="Q137" s="54" t="n">
        <x:f>P137-C137</x:f>
        <x:v>1.3877787807814457e-17</x:v>
      </x:c>
    </x:row>
    <x:row r="138">
      <x:c r="B138" s="21" t="str">
        <x:v>F33-I4</x:v>
      </x:c>
      <x:c r="C138" s="44" t="n">
        <x:v>0.08928571428571429</x:v>
      </x:c>
      <x:c r="D138" s="44" t="n">
        <x:f>$C138*0.04</x:f>
        <x:v>0.0035714285714285718</x:v>
      </x:c>
      <x:c r="E138" s="44" t="n">
        <x:f>$C138*0.06</x:f>
        <x:v>0.005357142857142857</x:v>
      </x:c>
      <x:c r="F138" s="44" t="n">
        <x:f>$C138*0.08</x:f>
        <x:v>0.0071428571428571435</x:v>
      </x:c>
      <x:c r="G138" s="44" t="n">
        <x:f>$C138*0.1</x:f>
        <x:v>0.00892857142857143</x:v>
      </x:c>
      <x:c r="H138" s="44" t="n">
        <x:f>$C138*0.12</x:f>
        <x:v>0.010714285714285714</x:v>
      </x:c>
      <x:c r="I138" s="44" t="n">
        <x:f>$C138*0.12</x:f>
        <x:v>0.010714285714285714</x:v>
      </x:c>
      <x:c r="J138" s="44" t="n">
        <x:f>$C138*0.12</x:f>
        <x:v>0.010714285714285714</x:v>
      </x:c>
      <x:c r="K138" s="44" t="n">
        <x:f>$C138*0.11</x:f>
        <x:v>0.009821428571428571</x:v>
      </x:c>
      <x:c r="L138" s="44" t="n">
        <x:f>$C138*0.09</x:f>
        <x:v>0.008035714285714285</x:v>
      </x:c>
      <x:c r="M138" s="44" t="n">
        <x:f>$C138*0.07</x:f>
        <x:v>0.00625</x:v>
      </x:c>
      <x:c r="N138" s="44" t="n">
        <x:f>$C138*0.05</x:f>
        <x:v>0.004464285714285715</x:v>
      </x:c>
      <x:c r="O138" s="44" t="n">
        <x:f>$C138*0.04</x:f>
        <x:v>0.0035714285714285718</x:v>
      </x:c>
      <x:c r="P138" s="44" t="n">
        <x:f>SUM(D138:O138)</x:f>
        <x:v>0.0892857142857143</x:v>
      </x:c>
      <x:c r="Q138" s="54" t="n">
        <x:f>P138-C138</x:f>
        <x:v>1.3877787807814457e-17</x:v>
      </x:c>
    </x:row>
    <x:row r="139">
      <x:c r="B139" s="21" t="str">
        <x:v>F34-I1</x:v>
      </x:c>
      <x:c r="C139" s="44" t="n">
        <x:v>0.08499999999999999</x:v>
      </x:c>
      <x:c r="D139" s="44" t="n">
        <x:f>$C139*0.04</x:f>
        <x:v>0.0034</x:v>
      </x:c>
      <x:c r="E139" s="44" t="n">
        <x:f>$C139*0.06</x:f>
        <x:v>0.0050999999999999995</x:v>
      </x:c>
      <x:c r="F139" s="44" t="n">
        <x:f>$C139*0.08</x:f>
        <x:v>0.0068</x:v>
      </x:c>
      <x:c r="G139" s="44" t="n">
        <x:f>$C139*0.1</x:f>
        <x:v>0.008499999999999999</x:v>
      </x:c>
      <x:c r="H139" s="44" t="n">
        <x:f>$C139*0.12</x:f>
        <x:v>0.010199999999999999</x:v>
      </x:c>
      <x:c r="I139" s="44" t="n">
        <x:f>$C139*0.12</x:f>
        <x:v>0.010199999999999999</x:v>
      </x:c>
      <x:c r="J139" s="44" t="n">
        <x:f>$C139*0.12</x:f>
        <x:v>0.010199999999999999</x:v>
      </x:c>
      <x:c r="K139" s="44" t="n">
        <x:f>$C139*0.11</x:f>
        <x:v>0.009349999999999999</x:v>
      </x:c>
      <x:c r="L139" s="44" t="n">
        <x:f>$C139*0.09</x:f>
        <x:v>0.007649999999999999</x:v>
      </x:c>
      <x:c r="M139" s="44" t="n">
        <x:f>$C139*0.07</x:f>
        <x:v>0.00595</x:v>
      </x:c>
      <x:c r="N139" s="44" t="n">
        <x:f>$C139*0.05</x:f>
        <x:v>0.0042499999999999994</x:v>
      </x:c>
      <x:c r="O139" s="44" t="n">
        <x:f>$C139*0.04</x:f>
        <x:v>0.0034</x:v>
      </x:c>
      <x:c r="P139" s="44" t="n">
        <x:f>SUM(D139:O139)</x:f>
        <x:v>0.085</x:v>
      </x:c>
      <x:c r="Q139" s="54" t="n">
        <x:f>P139-C139</x:f>
        <x:v>1.3877787807814457e-17</x:v>
      </x:c>
    </x:row>
    <x:row r="140">
      <x:c r="B140" s="21" t="str">
        <x:v>F34-I2</x:v>
      </x:c>
      <x:c r="C140" s="44" t="n">
        <x:v>0.08499999999999999</x:v>
      </x:c>
      <x:c r="D140" s="44" t="n">
        <x:f>$C140*0.04</x:f>
        <x:v>0.0034</x:v>
      </x:c>
      <x:c r="E140" s="44" t="n">
        <x:f>$C140*0.06</x:f>
        <x:v>0.0050999999999999995</x:v>
      </x:c>
      <x:c r="F140" s="44" t="n">
        <x:f>$C140*0.08</x:f>
        <x:v>0.0068</x:v>
      </x:c>
      <x:c r="G140" s="44" t="n">
        <x:f>$C140*0.1</x:f>
        <x:v>0.008499999999999999</x:v>
      </x:c>
      <x:c r="H140" s="44" t="n">
        <x:f>$C140*0.12</x:f>
        <x:v>0.010199999999999999</x:v>
      </x:c>
      <x:c r="I140" s="44" t="n">
        <x:f>$C140*0.12</x:f>
        <x:v>0.010199999999999999</x:v>
      </x:c>
      <x:c r="J140" s="44" t="n">
        <x:f>$C140*0.12</x:f>
        <x:v>0.010199999999999999</x:v>
      </x:c>
      <x:c r="K140" s="44" t="n">
        <x:f>$C140*0.11</x:f>
        <x:v>0.009349999999999999</x:v>
      </x:c>
      <x:c r="L140" s="44" t="n">
        <x:f>$C140*0.09</x:f>
        <x:v>0.007649999999999999</x:v>
      </x:c>
      <x:c r="M140" s="44" t="n">
        <x:f>$C140*0.07</x:f>
        <x:v>0.00595</x:v>
      </x:c>
      <x:c r="N140" s="44" t="n">
        <x:f>$C140*0.05</x:f>
        <x:v>0.0042499999999999994</x:v>
      </x:c>
      <x:c r="O140" s="44" t="n">
        <x:f>$C140*0.04</x:f>
        <x:v>0.0034</x:v>
      </x:c>
      <x:c r="P140" s="44" t="n">
        <x:f>SUM(D140:O140)</x:f>
        <x:v>0.085</x:v>
      </x:c>
      <x:c r="Q140" s="54" t="n">
        <x:f>P140-C140</x:f>
        <x:v>1.3877787807814457e-17</x:v>
      </x:c>
    </x:row>
    <x:row r="141">
      <x:c r="B141" s="21" t="str">
        <x:v>F34-I3</x:v>
      </x:c>
      <x:c r="C141" s="44" t="n">
        <x:v>0.08499999999999999</x:v>
      </x:c>
      <x:c r="D141" s="44" t="n">
        <x:f>$C141*0.04</x:f>
        <x:v>0.0034</x:v>
      </x:c>
      <x:c r="E141" s="44" t="n">
        <x:f>$C141*0.06</x:f>
        <x:v>0.0050999999999999995</x:v>
      </x:c>
      <x:c r="F141" s="44" t="n">
        <x:f>$C141*0.08</x:f>
        <x:v>0.0068</x:v>
      </x:c>
      <x:c r="G141" s="44" t="n">
        <x:f>$C141*0.1</x:f>
        <x:v>0.008499999999999999</x:v>
      </x:c>
      <x:c r="H141" s="44" t="n">
        <x:f>$C141*0.12</x:f>
        <x:v>0.010199999999999999</x:v>
      </x:c>
      <x:c r="I141" s="44" t="n">
        <x:f>$C141*0.12</x:f>
        <x:v>0.010199999999999999</x:v>
      </x:c>
      <x:c r="J141" s="44" t="n">
        <x:f>$C141*0.12</x:f>
        <x:v>0.010199999999999999</x:v>
      </x:c>
      <x:c r="K141" s="44" t="n">
        <x:f>$C141*0.11</x:f>
        <x:v>0.009349999999999999</x:v>
      </x:c>
      <x:c r="L141" s="44" t="n">
        <x:f>$C141*0.09</x:f>
        <x:v>0.007649999999999999</x:v>
      </x:c>
      <x:c r="M141" s="44" t="n">
        <x:f>$C141*0.07</x:f>
        <x:v>0.00595</x:v>
      </x:c>
      <x:c r="N141" s="44" t="n">
        <x:f>$C141*0.05</x:f>
        <x:v>0.0042499999999999994</x:v>
      </x:c>
      <x:c r="O141" s="44" t="n">
        <x:f>$C141*0.04</x:f>
        <x:v>0.0034</x:v>
      </x:c>
      <x:c r="P141" s="44" t="n">
        <x:f>SUM(D141:O141)</x:f>
        <x:v>0.085</x:v>
      </x:c>
      <x:c r="Q141" s="54" t="n">
        <x:f>P141-C141</x:f>
        <x:v>1.3877787807814457e-17</x:v>
      </x:c>
    </x:row>
    <x:row r="142">
      <x:c r="B142" s="21" t="str">
        <x:v>F34-I4</x:v>
      </x:c>
      <x:c r="C142" s="44" t="n">
        <x:v>0.08499999999999999</x:v>
      </x:c>
      <x:c r="D142" s="44" t="n">
        <x:f>$C142*0.04</x:f>
        <x:v>0.0034</x:v>
      </x:c>
      <x:c r="E142" s="44" t="n">
        <x:f>$C142*0.06</x:f>
        <x:v>0.0050999999999999995</x:v>
      </x:c>
      <x:c r="F142" s="44" t="n">
        <x:f>$C142*0.08</x:f>
        <x:v>0.0068</x:v>
      </x:c>
      <x:c r="G142" s="44" t="n">
        <x:f>$C142*0.1</x:f>
        <x:v>0.008499999999999999</x:v>
      </x:c>
      <x:c r="H142" s="44" t="n">
        <x:f>$C142*0.12</x:f>
        <x:v>0.010199999999999999</x:v>
      </x:c>
      <x:c r="I142" s="44" t="n">
        <x:f>$C142*0.12</x:f>
        <x:v>0.010199999999999999</x:v>
      </x:c>
      <x:c r="J142" s="44" t="n">
        <x:f>$C142*0.12</x:f>
        <x:v>0.010199999999999999</x:v>
      </x:c>
      <x:c r="K142" s="44" t="n">
        <x:f>$C142*0.11</x:f>
        <x:v>0.009349999999999999</x:v>
      </x:c>
      <x:c r="L142" s="44" t="n">
        <x:f>$C142*0.09</x:f>
        <x:v>0.007649999999999999</x:v>
      </x:c>
      <x:c r="M142" s="44" t="n">
        <x:f>$C142*0.07</x:f>
        <x:v>0.00595</x:v>
      </x:c>
      <x:c r="N142" s="44" t="n">
        <x:f>$C142*0.05</x:f>
        <x:v>0.0042499999999999994</x:v>
      </x:c>
      <x:c r="O142" s="44" t="n">
        <x:f>$C142*0.04</x:f>
        <x:v>0.0034</x:v>
      </x:c>
      <x:c r="P142" s="44" t="n">
        <x:f>SUM(D142:O142)</x:f>
        <x:v>0.085</x:v>
      </x:c>
      <x:c r="Q142" s="54" t="n">
        <x:f>P142-C142</x:f>
        <x:v>1.3877787807814457e-17</x:v>
      </x:c>
    </x:row>
    <x:row r="143">
      <x:c r="B143" s="21" t="str">
        <x:v>F35-I1</x:v>
      </x:c>
      <x:c r="C143" s="44" t="n">
        <x:v>0.08499999999999999</x:v>
      </x:c>
      <x:c r="D143" s="44" t="n">
        <x:f>$C143*0.04</x:f>
        <x:v>0.0034</x:v>
      </x:c>
      <x:c r="E143" s="44" t="n">
        <x:f>$C143*0.06</x:f>
        <x:v>0.0050999999999999995</x:v>
      </x:c>
      <x:c r="F143" s="44" t="n">
        <x:f>$C143*0.08</x:f>
        <x:v>0.0068</x:v>
      </x:c>
      <x:c r="G143" s="44" t="n">
        <x:f>$C143*0.1</x:f>
        <x:v>0.008499999999999999</x:v>
      </x:c>
      <x:c r="H143" s="44" t="n">
        <x:f>$C143*0.12</x:f>
        <x:v>0.010199999999999999</x:v>
      </x:c>
      <x:c r="I143" s="44" t="n">
        <x:f>$C143*0.12</x:f>
        <x:v>0.010199999999999999</x:v>
      </x:c>
      <x:c r="J143" s="44" t="n">
        <x:f>$C143*0.12</x:f>
        <x:v>0.010199999999999999</x:v>
      </x:c>
      <x:c r="K143" s="44" t="n">
        <x:f>$C143*0.11</x:f>
        <x:v>0.009349999999999999</x:v>
      </x:c>
      <x:c r="L143" s="44" t="n">
        <x:f>$C143*0.09</x:f>
        <x:v>0.007649999999999999</x:v>
      </x:c>
      <x:c r="M143" s="44" t="n">
        <x:f>$C143*0.07</x:f>
        <x:v>0.00595</x:v>
      </x:c>
      <x:c r="N143" s="44" t="n">
        <x:f>$C143*0.05</x:f>
        <x:v>0.0042499999999999994</x:v>
      </x:c>
      <x:c r="O143" s="44" t="n">
        <x:f>$C143*0.04</x:f>
        <x:v>0.0034</x:v>
      </x:c>
      <x:c r="P143" s="44" t="n">
        <x:f>SUM(D143:O143)</x:f>
        <x:v>0.085</x:v>
      </x:c>
      <x:c r="Q143" s="54" t="n">
        <x:f>P143-C143</x:f>
        <x:v>1.3877787807814457e-17</x:v>
      </x:c>
    </x:row>
    <x:row r="144">
      <x:c r="B144" s="21" t="str">
        <x:v>F35-I2</x:v>
      </x:c>
      <x:c r="C144" s="44" t="n">
        <x:v>0.08499999999999999</x:v>
      </x:c>
      <x:c r="D144" s="44" t="n">
        <x:f>$C144*0.04</x:f>
        <x:v>0.0034</x:v>
      </x:c>
      <x:c r="E144" s="44" t="n">
        <x:f>$C144*0.06</x:f>
        <x:v>0.0050999999999999995</x:v>
      </x:c>
      <x:c r="F144" s="44" t="n">
        <x:f>$C144*0.08</x:f>
        <x:v>0.0068</x:v>
      </x:c>
      <x:c r="G144" s="44" t="n">
        <x:f>$C144*0.1</x:f>
        <x:v>0.008499999999999999</x:v>
      </x:c>
      <x:c r="H144" s="44" t="n">
        <x:f>$C144*0.12</x:f>
        <x:v>0.010199999999999999</x:v>
      </x:c>
      <x:c r="I144" s="44" t="n">
        <x:f>$C144*0.12</x:f>
        <x:v>0.010199999999999999</x:v>
      </x:c>
      <x:c r="J144" s="44" t="n">
        <x:f>$C144*0.12</x:f>
        <x:v>0.010199999999999999</x:v>
      </x:c>
      <x:c r="K144" s="44" t="n">
        <x:f>$C144*0.11</x:f>
        <x:v>0.009349999999999999</x:v>
      </x:c>
      <x:c r="L144" s="44" t="n">
        <x:f>$C144*0.09</x:f>
        <x:v>0.007649999999999999</x:v>
      </x:c>
      <x:c r="M144" s="44" t="n">
        <x:f>$C144*0.07</x:f>
        <x:v>0.00595</x:v>
      </x:c>
      <x:c r="N144" s="44" t="n">
        <x:f>$C144*0.05</x:f>
        <x:v>0.0042499999999999994</x:v>
      </x:c>
      <x:c r="O144" s="44" t="n">
        <x:f>$C144*0.04</x:f>
        <x:v>0.0034</x:v>
      </x:c>
      <x:c r="P144" s="44" t="n">
        <x:f>SUM(D144:O144)</x:f>
        <x:v>0.085</x:v>
      </x:c>
      <x:c r="Q144" s="54" t="n">
        <x:f>P144-C144</x:f>
        <x:v>1.3877787807814457e-17</x:v>
      </x:c>
    </x:row>
    <x:row r="145">
      <x:c r="B145" s="21" t="str">
        <x:v>F35-I3</x:v>
      </x:c>
      <x:c r="C145" s="44" t="n">
        <x:v>0.08499999999999999</x:v>
      </x:c>
      <x:c r="D145" s="44" t="n">
        <x:f>$C145*0.04</x:f>
        <x:v>0.0034</x:v>
      </x:c>
      <x:c r="E145" s="44" t="n">
        <x:f>$C145*0.06</x:f>
        <x:v>0.0050999999999999995</x:v>
      </x:c>
      <x:c r="F145" s="44" t="n">
        <x:f>$C145*0.08</x:f>
        <x:v>0.0068</x:v>
      </x:c>
      <x:c r="G145" s="44" t="n">
        <x:f>$C145*0.1</x:f>
        <x:v>0.008499999999999999</x:v>
      </x:c>
      <x:c r="H145" s="44" t="n">
        <x:f>$C145*0.12</x:f>
        <x:v>0.010199999999999999</x:v>
      </x:c>
      <x:c r="I145" s="44" t="n">
        <x:f>$C145*0.12</x:f>
        <x:v>0.010199999999999999</x:v>
      </x:c>
      <x:c r="J145" s="44" t="n">
        <x:f>$C145*0.12</x:f>
        <x:v>0.010199999999999999</x:v>
      </x:c>
      <x:c r="K145" s="44" t="n">
        <x:f>$C145*0.11</x:f>
        <x:v>0.009349999999999999</x:v>
      </x:c>
      <x:c r="L145" s="44" t="n">
        <x:f>$C145*0.09</x:f>
        <x:v>0.007649999999999999</x:v>
      </x:c>
      <x:c r="M145" s="44" t="n">
        <x:f>$C145*0.07</x:f>
        <x:v>0.00595</x:v>
      </x:c>
      <x:c r="N145" s="44" t="n">
        <x:f>$C145*0.05</x:f>
        <x:v>0.0042499999999999994</x:v>
      </x:c>
      <x:c r="O145" s="44" t="n">
        <x:f>$C145*0.04</x:f>
        <x:v>0.0034</x:v>
      </x:c>
      <x:c r="P145" s="44" t="n">
        <x:f>SUM(D145:O145)</x:f>
        <x:v>0.085</x:v>
      </x:c>
      <x:c r="Q145" s="54" t="n">
        <x:f>P145-C145</x:f>
        <x:v>1.3877787807814457e-17</x:v>
      </x:c>
    </x:row>
    <x:row r="146">
      <x:c r="B146" s="21" t="str">
        <x:v>F35-I4</x:v>
      </x:c>
      <x:c r="C146" s="44" t="n">
        <x:v>0.08499999999999999</x:v>
      </x:c>
      <x:c r="D146" s="44" t="n">
        <x:f>$C146*0.04</x:f>
        <x:v>0.0034</x:v>
      </x:c>
      <x:c r="E146" s="44" t="n">
        <x:f>$C146*0.06</x:f>
        <x:v>0.0050999999999999995</x:v>
      </x:c>
      <x:c r="F146" s="44" t="n">
        <x:f>$C146*0.08</x:f>
        <x:v>0.0068</x:v>
      </x:c>
      <x:c r="G146" s="44" t="n">
        <x:f>$C146*0.1</x:f>
        <x:v>0.008499999999999999</x:v>
      </x:c>
      <x:c r="H146" s="44" t="n">
        <x:f>$C146*0.12</x:f>
        <x:v>0.010199999999999999</x:v>
      </x:c>
      <x:c r="I146" s="44" t="n">
        <x:f>$C146*0.12</x:f>
        <x:v>0.010199999999999999</x:v>
      </x:c>
      <x:c r="J146" s="44" t="n">
        <x:f>$C146*0.12</x:f>
        <x:v>0.010199999999999999</x:v>
      </x:c>
      <x:c r="K146" s="44" t="n">
        <x:f>$C146*0.11</x:f>
        <x:v>0.009349999999999999</x:v>
      </x:c>
      <x:c r="L146" s="44" t="n">
        <x:f>$C146*0.09</x:f>
        <x:v>0.007649999999999999</x:v>
      </x:c>
      <x:c r="M146" s="44" t="n">
        <x:f>$C146*0.07</x:f>
        <x:v>0.00595</x:v>
      </x:c>
      <x:c r="N146" s="44" t="n">
        <x:f>$C146*0.05</x:f>
        <x:v>0.0042499999999999994</x:v>
      </x:c>
      <x:c r="O146" s="44" t="n">
        <x:f>$C146*0.04</x:f>
        <x:v>0.0034</x:v>
      </x:c>
      <x:c r="P146" s="44" t="n">
        <x:f>SUM(D146:O146)</x:f>
        <x:v>0.085</x:v>
      </x:c>
      <x:c r="Q146" s="54" t="n">
        <x:f>P146-C146</x:f>
        <x:v>1.3877787807814457e-17</x:v>
      </x:c>
    </x:row>
    <x:row r="147">
      <x:c r="B147" s="21" t="str">
        <x:v>F36-I1</x:v>
      </x:c>
      <x:c r="C147" s="44" t="n">
        <x:v>0.08499999999999999</x:v>
      </x:c>
      <x:c r="D147" s="44" t="n">
        <x:f>$C147*0.04</x:f>
        <x:v>0.0034</x:v>
      </x:c>
      <x:c r="E147" s="44" t="n">
        <x:f>$C147*0.06</x:f>
        <x:v>0.0050999999999999995</x:v>
      </x:c>
      <x:c r="F147" s="44" t="n">
        <x:f>$C147*0.08</x:f>
        <x:v>0.0068</x:v>
      </x:c>
      <x:c r="G147" s="44" t="n">
        <x:f>$C147*0.1</x:f>
        <x:v>0.008499999999999999</x:v>
      </x:c>
      <x:c r="H147" s="44" t="n">
        <x:f>$C147*0.12</x:f>
        <x:v>0.010199999999999999</x:v>
      </x:c>
      <x:c r="I147" s="44" t="n">
        <x:f>$C147*0.12</x:f>
        <x:v>0.010199999999999999</x:v>
      </x:c>
      <x:c r="J147" s="44" t="n">
        <x:f>$C147*0.12</x:f>
        <x:v>0.010199999999999999</x:v>
      </x:c>
      <x:c r="K147" s="44" t="n">
        <x:f>$C147*0.11</x:f>
        <x:v>0.009349999999999999</x:v>
      </x:c>
      <x:c r="L147" s="44" t="n">
        <x:f>$C147*0.09</x:f>
        <x:v>0.007649999999999999</x:v>
      </x:c>
      <x:c r="M147" s="44" t="n">
        <x:f>$C147*0.07</x:f>
        <x:v>0.00595</x:v>
      </x:c>
      <x:c r="N147" s="44" t="n">
        <x:f>$C147*0.05</x:f>
        <x:v>0.0042499999999999994</x:v>
      </x:c>
      <x:c r="O147" s="44" t="n">
        <x:f>$C147*0.04</x:f>
        <x:v>0.0034</x:v>
      </x:c>
      <x:c r="P147" s="44" t="n">
        <x:f>SUM(D147:O147)</x:f>
        <x:v>0.085</x:v>
      </x:c>
      <x:c r="Q147" s="54" t="n">
        <x:f>P147-C147</x:f>
        <x:v>1.3877787807814457e-17</x:v>
      </x:c>
    </x:row>
    <x:row r="148">
      <x:c r="B148" s="21" t="str">
        <x:v>F36-I2</x:v>
      </x:c>
      <x:c r="C148" s="44" t="n">
        <x:v>0.08499999999999999</x:v>
      </x:c>
      <x:c r="D148" s="44" t="n">
        <x:f>$C148*0.04</x:f>
        <x:v>0.0034</x:v>
      </x:c>
      <x:c r="E148" s="44" t="n">
        <x:f>$C148*0.06</x:f>
        <x:v>0.0050999999999999995</x:v>
      </x:c>
      <x:c r="F148" s="44" t="n">
        <x:f>$C148*0.08</x:f>
        <x:v>0.0068</x:v>
      </x:c>
      <x:c r="G148" s="44" t="n">
        <x:f>$C148*0.1</x:f>
        <x:v>0.008499999999999999</x:v>
      </x:c>
      <x:c r="H148" s="44" t="n">
        <x:f>$C148*0.12</x:f>
        <x:v>0.010199999999999999</x:v>
      </x:c>
      <x:c r="I148" s="44" t="n">
        <x:f>$C148*0.12</x:f>
        <x:v>0.010199999999999999</x:v>
      </x:c>
      <x:c r="J148" s="44" t="n">
        <x:f>$C148*0.12</x:f>
        <x:v>0.010199999999999999</x:v>
      </x:c>
      <x:c r="K148" s="44" t="n">
        <x:f>$C148*0.11</x:f>
        <x:v>0.009349999999999999</x:v>
      </x:c>
      <x:c r="L148" s="44" t="n">
        <x:f>$C148*0.09</x:f>
        <x:v>0.007649999999999999</x:v>
      </x:c>
      <x:c r="M148" s="44" t="n">
        <x:f>$C148*0.07</x:f>
        <x:v>0.00595</x:v>
      </x:c>
      <x:c r="N148" s="44" t="n">
        <x:f>$C148*0.05</x:f>
        <x:v>0.0042499999999999994</x:v>
      </x:c>
      <x:c r="O148" s="44" t="n">
        <x:f>$C148*0.04</x:f>
        <x:v>0.0034</x:v>
      </x:c>
      <x:c r="P148" s="44" t="n">
        <x:f>SUM(D148:O148)</x:f>
        <x:v>0.085</x:v>
      </x:c>
      <x:c r="Q148" s="54" t="n">
        <x:f>P148-C148</x:f>
        <x:v>1.3877787807814457e-17</x:v>
      </x:c>
    </x:row>
    <x:row r="149">
      <x:c r="B149" s="21" t="str">
        <x:v>F36-I3</x:v>
      </x:c>
      <x:c r="C149" s="44" t="n">
        <x:v>0.08499999999999999</x:v>
      </x:c>
      <x:c r="D149" s="44" t="n">
        <x:f>$C149*0.04</x:f>
        <x:v>0.0034</x:v>
      </x:c>
      <x:c r="E149" s="44" t="n">
        <x:f>$C149*0.06</x:f>
        <x:v>0.0050999999999999995</x:v>
      </x:c>
      <x:c r="F149" s="44" t="n">
        <x:f>$C149*0.08</x:f>
        <x:v>0.0068</x:v>
      </x:c>
      <x:c r="G149" s="44" t="n">
        <x:f>$C149*0.1</x:f>
        <x:v>0.008499999999999999</x:v>
      </x:c>
      <x:c r="H149" s="44" t="n">
        <x:f>$C149*0.12</x:f>
        <x:v>0.010199999999999999</x:v>
      </x:c>
      <x:c r="I149" s="44" t="n">
        <x:f>$C149*0.12</x:f>
        <x:v>0.010199999999999999</x:v>
      </x:c>
      <x:c r="J149" s="44" t="n">
        <x:f>$C149*0.12</x:f>
        <x:v>0.010199999999999999</x:v>
      </x:c>
      <x:c r="K149" s="44" t="n">
        <x:f>$C149*0.11</x:f>
        <x:v>0.009349999999999999</x:v>
      </x:c>
      <x:c r="L149" s="44" t="n">
        <x:f>$C149*0.09</x:f>
        <x:v>0.007649999999999999</x:v>
      </x:c>
      <x:c r="M149" s="44" t="n">
        <x:f>$C149*0.07</x:f>
        <x:v>0.00595</x:v>
      </x:c>
      <x:c r="N149" s="44" t="n">
        <x:f>$C149*0.05</x:f>
        <x:v>0.0042499999999999994</x:v>
      </x:c>
      <x:c r="O149" s="44" t="n">
        <x:f>$C149*0.04</x:f>
        <x:v>0.0034</x:v>
      </x:c>
      <x:c r="P149" s="44" t="n">
        <x:f>SUM(D149:O149)</x:f>
        <x:v>0.085</x:v>
      </x:c>
      <x:c r="Q149" s="54" t="n">
        <x:f>P149-C149</x:f>
        <x:v>1.3877787807814457e-17</x:v>
      </x:c>
    </x:row>
    <x:row r="150">
      <x:c r="B150" s="21" t="str">
        <x:v>F36-I4</x:v>
      </x:c>
      <x:c r="C150" s="44" t="n">
        <x:v>0.08499999999999999</x:v>
      </x:c>
      <x:c r="D150" s="44" t="n">
        <x:f>$C150*0.04</x:f>
        <x:v>0.0034</x:v>
      </x:c>
      <x:c r="E150" s="44" t="n">
        <x:f>$C150*0.06</x:f>
        <x:v>0.0050999999999999995</x:v>
      </x:c>
      <x:c r="F150" s="44" t="n">
        <x:f>$C150*0.08</x:f>
        <x:v>0.0068</x:v>
      </x:c>
      <x:c r="G150" s="44" t="n">
        <x:f>$C150*0.1</x:f>
        <x:v>0.008499999999999999</x:v>
      </x:c>
      <x:c r="H150" s="44" t="n">
        <x:f>$C150*0.12</x:f>
        <x:v>0.010199999999999999</x:v>
      </x:c>
      <x:c r="I150" s="44" t="n">
        <x:f>$C150*0.12</x:f>
        <x:v>0.010199999999999999</x:v>
      </x:c>
      <x:c r="J150" s="44" t="n">
        <x:f>$C150*0.12</x:f>
        <x:v>0.010199999999999999</x:v>
      </x:c>
      <x:c r="K150" s="44" t="n">
        <x:f>$C150*0.11</x:f>
        <x:v>0.009349999999999999</x:v>
      </x:c>
      <x:c r="L150" s="44" t="n">
        <x:f>$C150*0.09</x:f>
        <x:v>0.007649999999999999</x:v>
      </x:c>
      <x:c r="M150" s="44" t="n">
        <x:f>$C150*0.07</x:f>
        <x:v>0.00595</x:v>
      </x:c>
      <x:c r="N150" s="44" t="n">
        <x:f>$C150*0.05</x:f>
        <x:v>0.0042499999999999994</x:v>
      </x:c>
      <x:c r="O150" s="44" t="n">
        <x:f>$C150*0.04</x:f>
        <x:v>0.0034</x:v>
      </x:c>
      <x:c r="P150" s="44" t="n">
        <x:f>SUM(D150:O150)</x:f>
        <x:v>0.085</x:v>
      </x:c>
      <x:c r="Q150" s="54" t="n">
        <x:f>P150-C150</x:f>
        <x:v>1.3877787807814457e-17</x:v>
      </x:c>
    </x:row>
    <x:row r="151">
      <x:c r="B151" s="21" t="str">
        <x:v>F37-I1</x:v>
      </x:c>
      <x:c r="C151" s="44" t="n">
        <x:v>0.08499999999999999</x:v>
      </x:c>
      <x:c r="D151" s="44" t="n">
        <x:f>$C151*0.04</x:f>
        <x:v>0.0034</x:v>
      </x:c>
      <x:c r="E151" s="44" t="n">
        <x:f>$C151*0.06</x:f>
        <x:v>0.0050999999999999995</x:v>
      </x:c>
      <x:c r="F151" s="44" t="n">
        <x:f>$C151*0.08</x:f>
        <x:v>0.0068</x:v>
      </x:c>
      <x:c r="G151" s="44" t="n">
        <x:f>$C151*0.1</x:f>
        <x:v>0.008499999999999999</x:v>
      </x:c>
      <x:c r="H151" s="44" t="n">
        <x:f>$C151*0.12</x:f>
        <x:v>0.010199999999999999</x:v>
      </x:c>
      <x:c r="I151" s="44" t="n">
        <x:f>$C151*0.12</x:f>
        <x:v>0.010199999999999999</x:v>
      </x:c>
      <x:c r="J151" s="44" t="n">
        <x:f>$C151*0.12</x:f>
        <x:v>0.010199999999999999</x:v>
      </x:c>
      <x:c r="K151" s="44" t="n">
        <x:f>$C151*0.11</x:f>
        <x:v>0.009349999999999999</x:v>
      </x:c>
      <x:c r="L151" s="44" t="n">
        <x:f>$C151*0.09</x:f>
        <x:v>0.007649999999999999</x:v>
      </x:c>
      <x:c r="M151" s="44" t="n">
        <x:f>$C151*0.07</x:f>
        <x:v>0.00595</x:v>
      </x:c>
      <x:c r="N151" s="44" t="n">
        <x:f>$C151*0.05</x:f>
        <x:v>0.0042499999999999994</x:v>
      </x:c>
      <x:c r="O151" s="44" t="n">
        <x:f>$C151*0.04</x:f>
        <x:v>0.0034</x:v>
      </x:c>
      <x:c r="P151" s="44" t="n">
        <x:f>SUM(D151:O151)</x:f>
        <x:v>0.085</x:v>
      </x:c>
      <x:c r="Q151" s="54" t="n">
        <x:f>P151-C151</x:f>
        <x:v>1.3877787807814457e-17</x:v>
      </x:c>
    </x:row>
    <x:row r="152">
      <x:c r="B152" s="21" t="str">
        <x:v>F37-I2</x:v>
      </x:c>
      <x:c r="C152" s="44" t="n">
        <x:v>0.08499999999999999</x:v>
      </x:c>
      <x:c r="D152" s="44" t="n">
        <x:f>$C152*0.04</x:f>
        <x:v>0.0034</x:v>
      </x:c>
      <x:c r="E152" s="44" t="n">
        <x:f>$C152*0.06</x:f>
        <x:v>0.0050999999999999995</x:v>
      </x:c>
      <x:c r="F152" s="44" t="n">
        <x:f>$C152*0.08</x:f>
        <x:v>0.0068</x:v>
      </x:c>
      <x:c r="G152" s="44" t="n">
        <x:f>$C152*0.1</x:f>
        <x:v>0.008499999999999999</x:v>
      </x:c>
      <x:c r="H152" s="44" t="n">
        <x:f>$C152*0.12</x:f>
        <x:v>0.010199999999999999</x:v>
      </x:c>
      <x:c r="I152" s="44" t="n">
        <x:f>$C152*0.12</x:f>
        <x:v>0.010199999999999999</x:v>
      </x:c>
      <x:c r="J152" s="44" t="n">
        <x:f>$C152*0.12</x:f>
        <x:v>0.010199999999999999</x:v>
      </x:c>
      <x:c r="K152" s="44" t="n">
        <x:f>$C152*0.11</x:f>
        <x:v>0.009349999999999999</x:v>
      </x:c>
      <x:c r="L152" s="44" t="n">
        <x:f>$C152*0.09</x:f>
        <x:v>0.007649999999999999</x:v>
      </x:c>
      <x:c r="M152" s="44" t="n">
        <x:f>$C152*0.07</x:f>
        <x:v>0.00595</x:v>
      </x:c>
      <x:c r="N152" s="44" t="n">
        <x:f>$C152*0.05</x:f>
        <x:v>0.0042499999999999994</x:v>
      </x:c>
      <x:c r="O152" s="44" t="n">
        <x:f>$C152*0.04</x:f>
        <x:v>0.0034</x:v>
      </x:c>
      <x:c r="P152" s="44" t="n">
        <x:f>SUM(D152:O152)</x:f>
        <x:v>0.085</x:v>
      </x:c>
      <x:c r="Q152" s="54" t="n">
        <x:f>P152-C152</x:f>
        <x:v>1.3877787807814457e-17</x:v>
      </x:c>
    </x:row>
    <x:row r="153">
      <x:c r="B153" s="21" t="str">
        <x:v>F37-I3</x:v>
      </x:c>
      <x:c r="C153" s="44" t="n">
        <x:v>0.08499999999999999</x:v>
      </x:c>
      <x:c r="D153" s="44" t="n">
        <x:f>$C153*0.04</x:f>
        <x:v>0.0034</x:v>
      </x:c>
      <x:c r="E153" s="44" t="n">
        <x:f>$C153*0.06</x:f>
        <x:v>0.0050999999999999995</x:v>
      </x:c>
      <x:c r="F153" s="44" t="n">
        <x:f>$C153*0.08</x:f>
        <x:v>0.0068</x:v>
      </x:c>
      <x:c r="G153" s="44" t="n">
        <x:f>$C153*0.1</x:f>
        <x:v>0.008499999999999999</x:v>
      </x:c>
      <x:c r="H153" s="44" t="n">
        <x:f>$C153*0.12</x:f>
        <x:v>0.010199999999999999</x:v>
      </x:c>
      <x:c r="I153" s="44" t="n">
        <x:f>$C153*0.12</x:f>
        <x:v>0.010199999999999999</x:v>
      </x:c>
      <x:c r="J153" s="44" t="n">
        <x:f>$C153*0.12</x:f>
        <x:v>0.010199999999999999</x:v>
      </x:c>
      <x:c r="K153" s="44" t="n">
        <x:f>$C153*0.11</x:f>
        <x:v>0.009349999999999999</x:v>
      </x:c>
      <x:c r="L153" s="44" t="n">
        <x:f>$C153*0.09</x:f>
        <x:v>0.007649999999999999</x:v>
      </x:c>
      <x:c r="M153" s="44" t="n">
        <x:f>$C153*0.07</x:f>
        <x:v>0.00595</x:v>
      </x:c>
      <x:c r="N153" s="44" t="n">
        <x:f>$C153*0.05</x:f>
        <x:v>0.0042499999999999994</x:v>
      </x:c>
      <x:c r="O153" s="44" t="n">
        <x:f>$C153*0.04</x:f>
        <x:v>0.0034</x:v>
      </x:c>
      <x:c r="P153" s="44" t="n">
        <x:f>SUM(D153:O153)</x:f>
        <x:v>0.085</x:v>
      </x:c>
      <x:c r="Q153" s="54" t="n">
        <x:f>P153-C153</x:f>
        <x:v>1.3877787807814457e-17</x:v>
      </x:c>
    </x:row>
    <x:row r="154">
      <x:c r="B154" s="21" t="str">
        <x:v>F37-I4</x:v>
      </x:c>
      <x:c r="C154" s="44" t="n">
        <x:v>0.08499999999999999</x:v>
      </x:c>
      <x:c r="D154" s="44" t="n">
        <x:f>$C154*0.04</x:f>
        <x:v>0.0034</x:v>
      </x:c>
      <x:c r="E154" s="44" t="n">
        <x:f>$C154*0.06</x:f>
        <x:v>0.0050999999999999995</x:v>
      </x:c>
      <x:c r="F154" s="44" t="n">
        <x:f>$C154*0.08</x:f>
        <x:v>0.0068</x:v>
      </x:c>
      <x:c r="G154" s="44" t="n">
        <x:f>$C154*0.1</x:f>
        <x:v>0.008499999999999999</x:v>
      </x:c>
      <x:c r="H154" s="44" t="n">
        <x:f>$C154*0.12</x:f>
        <x:v>0.010199999999999999</x:v>
      </x:c>
      <x:c r="I154" s="44" t="n">
        <x:f>$C154*0.12</x:f>
        <x:v>0.010199999999999999</x:v>
      </x:c>
      <x:c r="J154" s="44" t="n">
        <x:f>$C154*0.12</x:f>
        <x:v>0.010199999999999999</x:v>
      </x:c>
      <x:c r="K154" s="44" t="n">
        <x:f>$C154*0.11</x:f>
        <x:v>0.009349999999999999</x:v>
      </x:c>
      <x:c r="L154" s="44" t="n">
        <x:f>$C154*0.09</x:f>
        <x:v>0.007649999999999999</x:v>
      </x:c>
      <x:c r="M154" s="44" t="n">
        <x:f>$C154*0.07</x:f>
        <x:v>0.00595</x:v>
      </x:c>
      <x:c r="N154" s="44" t="n">
        <x:f>$C154*0.05</x:f>
        <x:v>0.0042499999999999994</x:v>
      </x:c>
      <x:c r="O154" s="44" t="n">
        <x:f>$C154*0.04</x:f>
        <x:v>0.0034</x:v>
      </x:c>
      <x:c r="P154" s="44" t="n">
        <x:f>SUM(D154:O154)</x:f>
        <x:v>0.085</x:v>
      </x:c>
      <x:c r="Q154" s="54" t="n">
        <x:f>P154-C154</x:f>
        <x:v>1.3877787807814457e-17</x:v>
      </x:c>
    </x:row>
    <x:row r="155">
      <x:c r="B155" s="21" t="str">
        <x:v>F38-I1</x:v>
      </x:c>
      <x:c r="C155" s="44" t="n">
        <x:v>0.08499999999999999</x:v>
      </x:c>
      <x:c r="D155" s="44" t="n">
        <x:f>$C155*0.04</x:f>
        <x:v>0.0034</x:v>
      </x:c>
      <x:c r="E155" s="44" t="n">
        <x:f>$C155*0.06</x:f>
        <x:v>0.0050999999999999995</x:v>
      </x:c>
      <x:c r="F155" s="44" t="n">
        <x:f>$C155*0.08</x:f>
        <x:v>0.0068</x:v>
      </x:c>
      <x:c r="G155" s="44" t="n">
        <x:f>$C155*0.1</x:f>
        <x:v>0.008499999999999999</x:v>
      </x:c>
      <x:c r="H155" s="44" t="n">
        <x:f>$C155*0.12</x:f>
        <x:v>0.010199999999999999</x:v>
      </x:c>
      <x:c r="I155" s="44" t="n">
        <x:f>$C155*0.12</x:f>
        <x:v>0.010199999999999999</x:v>
      </x:c>
      <x:c r="J155" s="44" t="n">
        <x:f>$C155*0.12</x:f>
        <x:v>0.010199999999999999</x:v>
      </x:c>
      <x:c r="K155" s="44" t="n">
        <x:f>$C155*0.11</x:f>
        <x:v>0.009349999999999999</x:v>
      </x:c>
      <x:c r="L155" s="44" t="n">
        <x:f>$C155*0.09</x:f>
        <x:v>0.007649999999999999</x:v>
      </x:c>
      <x:c r="M155" s="44" t="n">
        <x:f>$C155*0.07</x:f>
        <x:v>0.00595</x:v>
      </x:c>
      <x:c r="N155" s="44" t="n">
        <x:f>$C155*0.05</x:f>
        <x:v>0.0042499999999999994</x:v>
      </x:c>
      <x:c r="O155" s="44" t="n">
        <x:f>$C155*0.04</x:f>
        <x:v>0.0034</x:v>
      </x:c>
      <x:c r="P155" s="44" t="n">
        <x:f>SUM(D155:O155)</x:f>
        <x:v>0.085</x:v>
      </x:c>
      <x:c r="Q155" s="54" t="n">
        <x:f>P155-C155</x:f>
        <x:v>1.3877787807814457e-17</x:v>
      </x:c>
    </x:row>
    <x:row r="156">
      <x:c r="B156" s="21" t="str">
        <x:v>F38-I2</x:v>
      </x:c>
      <x:c r="C156" s="44" t="n">
        <x:v>0.08499999999999999</x:v>
      </x:c>
      <x:c r="D156" s="44" t="n">
        <x:f>$C156*0.04</x:f>
        <x:v>0.0034</x:v>
      </x:c>
      <x:c r="E156" s="44" t="n">
        <x:f>$C156*0.06</x:f>
        <x:v>0.0050999999999999995</x:v>
      </x:c>
      <x:c r="F156" s="44" t="n">
        <x:f>$C156*0.08</x:f>
        <x:v>0.0068</x:v>
      </x:c>
      <x:c r="G156" s="44" t="n">
        <x:f>$C156*0.1</x:f>
        <x:v>0.008499999999999999</x:v>
      </x:c>
      <x:c r="H156" s="44" t="n">
        <x:f>$C156*0.12</x:f>
        <x:v>0.010199999999999999</x:v>
      </x:c>
      <x:c r="I156" s="44" t="n">
        <x:f>$C156*0.12</x:f>
        <x:v>0.010199999999999999</x:v>
      </x:c>
      <x:c r="J156" s="44" t="n">
        <x:f>$C156*0.12</x:f>
        <x:v>0.010199999999999999</x:v>
      </x:c>
      <x:c r="K156" s="44" t="n">
        <x:f>$C156*0.11</x:f>
        <x:v>0.009349999999999999</x:v>
      </x:c>
      <x:c r="L156" s="44" t="n">
        <x:f>$C156*0.09</x:f>
        <x:v>0.007649999999999999</x:v>
      </x:c>
      <x:c r="M156" s="44" t="n">
        <x:f>$C156*0.07</x:f>
        <x:v>0.00595</x:v>
      </x:c>
      <x:c r="N156" s="44" t="n">
        <x:f>$C156*0.05</x:f>
        <x:v>0.0042499999999999994</x:v>
      </x:c>
      <x:c r="O156" s="44" t="n">
        <x:f>$C156*0.04</x:f>
        <x:v>0.0034</x:v>
      </x:c>
      <x:c r="P156" s="44" t="n">
        <x:f>SUM(D156:O156)</x:f>
        <x:v>0.085</x:v>
      </x:c>
      <x:c r="Q156" s="54" t="n">
        <x:f>P156-C156</x:f>
        <x:v>1.3877787807814457e-17</x:v>
      </x:c>
    </x:row>
    <x:row r="157">
      <x:c r="B157" s="21" t="str">
        <x:v>F38-I3</x:v>
      </x:c>
      <x:c r="C157" s="44" t="n">
        <x:v>0.08499999999999999</x:v>
      </x:c>
      <x:c r="D157" s="44" t="n">
        <x:f>$C157*0.04</x:f>
        <x:v>0.0034</x:v>
      </x:c>
      <x:c r="E157" s="44" t="n">
        <x:f>$C157*0.06</x:f>
        <x:v>0.0050999999999999995</x:v>
      </x:c>
      <x:c r="F157" s="44" t="n">
        <x:f>$C157*0.08</x:f>
        <x:v>0.0068</x:v>
      </x:c>
      <x:c r="G157" s="44" t="n">
        <x:f>$C157*0.1</x:f>
        <x:v>0.008499999999999999</x:v>
      </x:c>
      <x:c r="H157" s="44" t="n">
        <x:f>$C157*0.12</x:f>
        <x:v>0.010199999999999999</x:v>
      </x:c>
      <x:c r="I157" s="44" t="n">
        <x:f>$C157*0.12</x:f>
        <x:v>0.010199999999999999</x:v>
      </x:c>
      <x:c r="J157" s="44" t="n">
        <x:f>$C157*0.12</x:f>
        <x:v>0.010199999999999999</x:v>
      </x:c>
      <x:c r="K157" s="44" t="n">
        <x:f>$C157*0.11</x:f>
        <x:v>0.009349999999999999</x:v>
      </x:c>
      <x:c r="L157" s="44" t="n">
        <x:f>$C157*0.09</x:f>
        <x:v>0.007649999999999999</x:v>
      </x:c>
      <x:c r="M157" s="44" t="n">
        <x:f>$C157*0.07</x:f>
        <x:v>0.00595</x:v>
      </x:c>
      <x:c r="N157" s="44" t="n">
        <x:f>$C157*0.05</x:f>
        <x:v>0.0042499999999999994</x:v>
      </x:c>
      <x:c r="O157" s="44" t="n">
        <x:f>$C157*0.04</x:f>
        <x:v>0.0034</x:v>
      </x:c>
      <x:c r="P157" s="44" t="n">
        <x:f>SUM(D157:O157)</x:f>
        <x:v>0.085</x:v>
      </x:c>
      <x:c r="Q157" s="54" t="n">
        <x:f>P157-C157</x:f>
        <x:v>1.3877787807814457e-17</x:v>
      </x:c>
    </x:row>
    <x:row r="158">
      <x:c r="B158" s="21" t="str">
        <x:v>F38-I4</x:v>
      </x:c>
      <x:c r="C158" s="44" t="n">
        <x:v>0.08499999999999999</x:v>
      </x:c>
      <x:c r="D158" s="44" t="n">
        <x:f>$C158*0.04</x:f>
        <x:v>0.0034</x:v>
      </x:c>
      <x:c r="E158" s="44" t="n">
        <x:f>$C158*0.06</x:f>
        <x:v>0.0050999999999999995</x:v>
      </x:c>
      <x:c r="F158" s="44" t="n">
        <x:f>$C158*0.08</x:f>
        <x:v>0.0068</x:v>
      </x:c>
      <x:c r="G158" s="44" t="n">
        <x:f>$C158*0.1</x:f>
        <x:v>0.008499999999999999</x:v>
      </x:c>
      <x:c r="H158" s="44" t="n">
        <x:f>$C158*0.12</x:f>
        <x:v>0.010199999999999999</x:v>
      </x:c>
      <x:c r="I158" s="44" t="n">
        <x:f>$C158*0.12</x:f>
        <x:v>0.010199999999999999</x:v>
      </x:c>
      <x:c r="J158" s="44" t="n">
        <x:f>$C158*0.12</x:f>
        <x:v>0.010199999999999999</x:v>
      </x:c>
      <x:c r="K158" s="44" t="n">
        <x:f>$C158*0.11</x:f>
        <x:v>0.009349999999999999</x:v>
      </x:c>
      <x:c r="L158" s="44" t="n">
        <x:f>$C158*0.09</x:f>
        <x:v>0.007649999999999999</x:v>
      </x:c>
      <x:c r="M158" s="44" t="n">
        <x:f>$C158*0.07</x:f>
        <x:v>0.00595</x:v>
      </x:c>
      <x:c r="N158" s="44" t="n">
        <x:f>$C158*0.05</x:f>
        <x:v>0.0042499999999999994</x:v>
      </x:c>
      <x:c r="O158" s="44" t="n">
        <x:f>$C158*0.04</x:f>
        <x:v>0.0034</x:v>
      </x:c>
      <x:c r="P158" s="44" t="n">
        <x:f>SUM(D158:O158)</x:f>
        <x:v>0.085</x:v>
      </x:c>
      <x:c r="Q158" s="54" t="n">
        <x:f>P158-C158</x:f>
        <x:v>1.3877787807814457e-17</x:v>
      </x:c>
    </x:row>
    <x:row r="159">
      <x:c r="B159" s="21" t="str">
        <x:v>F39-I1</x:v>
      </x:c>
      <x:c r="C159" s="44" t="n">
        <x:v>0.08</x:v>
      </x:c>
      <x:c r="D159" s="44" t="n">
        <x:f>$C159*0.04</x:f>
        <x:v>0.0032</x:v>
      </x:c>
      <x:c r="E159" s="44" t="n">
        <x:f>$C159*0.06</x:f>
        <x:v>0.0048</x:v>
      </x:c>
      <x:c r="F159" s="44" t="n">
        <x:f>$C159*0.08</x:f>
        <x:v>0.0064</x:v>
      </x:c>
      <x:c r="G159" s="44" t="n">
        <x:f>$C159*0.1</x:f>
        <x:v>0.008</x:v>
      </x:c>
      <x:c r="H159" s="44" t="n">
        <x:f>$C159*0.12</x:f>
        <x:v>0.0096</x:v>
      </x:c>
      <x:c r="I159" s="44" t="n">
        <x:f>$C159*0.12</x:f>
        <x:v>0.0096</x:v>
      </x:c>
      <x:c r="J159" s="44" t="n">
        <x:f>$C159*0.12</x:f>
        <x:v>0.0096</x:v>
      </x:c>
      <x:c r="K159" s="44" t="n">
        <x:f>$C159*0.11</x:f>
        <x:v>0.0088</x:v>
      </x:c>
      <x:c r="L159" s="44" t="n">
        <x:f>$C159*0.09</x:f>
        <x:v>0.0072</x:v>
      </x:c>
      <x:c r="M159" s="44" t="n">
        <x:f>$C159*0.07</x:f>
        <x:v>0.005600000000000001</x:v>
      </x:c>
      <x:c r="N159" s="44" t="n">
        <x:f>$C159*0.05</x:f>
        <x:v>0.004</x:v>
      </x:c>
      <x:c r="O159" s="44" t="n">
        <x:f>$C159*0.04</x:f>
        <x:v>0.0032</x:v>
      </x:c>
      <x:c r="P159" s="44" t="n">
        <x:f>SUM(D159:O159)</x:f>
        <x:v>0.08</x:v>
      </x:c>
      <x:c r="Q159" s="54" t="n">
        <x:f>P159-C159</x:f>
        <x:v>0</x:v>
      </x:c>
    </x:row>
    <x:row r="160">
      <x:c r="B160" s="21" t="str">
        <x:v>F39-I2</x:v>
      </x:c>
      <x:c r="C160" s="44" t="n">
        <x:v>0.08</x:v>
      </x:c>
      <x:c r="D160" s="44" t="n">
        <x:f>$C160*0.04</x:f>
        <x:v>0.0032</x:v>
      </x:c>
      <x:c r="E160" s="44" t="n">
        <x:f>$C160*0.06</x:f>
        <x:v>0.0048</x:v>
      </x:c>
      <x:c r="F160" s="44" t="n">
        <x:f>$C160*0.08</x:f>
        <x:v>0.0064</x:v>
      </x:c>
      <x:c r="G160" s="44" t="n">
        <x:f>$C160*0.1</x:f>
        <x:v>0.008</x:v>
      </x:c>
      <x:c r="H160" s="44" t="n">
        <x:f>$C160*0.12</x:f>
        <x:v>0.0096</x:v>
      </x:c>
      <x:c r="I160" s="44" t="n">
        <x:f>$C160*0.12</x:f>
        <x:v>0.0096</x:v>
      </x:c>
      <x:c r="J160" s="44" t="n">
        <x:f>$C160*0.12</x:f>
        <x:v>0.0096</x:v>
      </x:c>
      <x:c r="K160" s="44" t="n">
        <x:f>$C160*0.11</x:f>
        <x:v>0.0088</x:v>
      </x:c>
      <x:c r="L160" s="44" t="n">
        <x:f>$C160*0.09</x:f>
        <x:v>0.0072</x:v>
      </x:c>
      <x:c r="M160" s="44" t="n">
        <x:f>$C160*0.07</x:f>
        <x:v>0.005600000000000001</x:v>
      </x:c>
      <x:c r="N160" s="44" t="n">
        <x:f>$C160*0.05</x:f>
        <x:v>0.004</x:v>
      </x:c>
      <x:c r="O160" s="44" t="n">
        <x:f>$C160*0.04</x:f>
        <x:v>0.0032</x:v>
      </x:c>
      <x:c r="P160" s="44" t="n">
        <x:f>SUM(D160:O160)</x:f>
        <x:v>0.08</x:v>
      </x:c>
      <x:c r="Q160" s="54" t="n">
        <x:f>P160-C160</x:f>
        <x:v>0</x:v>
      </x:c>
    </x:row>
    <x:row r="161">
      <x:c r="B161" s="21" t="str">
        <x:v>F39-I3</x:v>
      </x:c>
      <x:c r="C161" s="44" t="n">
        <x:v>0.08</x:v>
      </x:c>
      <x:c r="D161" s="44" t="n">
        <x:f>$C161*0.04</x:f>
        <x:v>0.0032</x:v>
      </x:c>
      <x:c r="E161" s="44" t="n">
        <x:f>$C161*0.06</x:f>
        <x:v>0.0048</x:v>
      </x:c>
      <x:c r="F161" s="44" t="n">
        <x:f>$C161*0.08</x:f>
        <x:v>0.0064</x:v>
      </x:c>
      <x:c r="G161" s="44" t="n">
        <x:f>$C161*0.1</x:f>
        <x:v>0.008</x:v>
      </x:c>
      <x:c r="H161" s="44" t="n">
        <x:f>$C161*0.12</x:f>
        <x:v>0.0096</x:v>
      </x:c>
      <x:c r="I161" s="44" t="n">
        <x:f>$C161*0.12</x:f>
        <x:v>0.0096</x:v>
      </x:c>
      <x:c r="J161" s="44" t="n">
        <x:f>$C161*0.12</x:f>
        <x:v>0.0096</x:v>
      </x:c>
      <x:c r="K161" s="44" t="n">
        <x:f>$C161*0.11</x:f>
        <x:v>0.0088</x:v>
      </x:c>
      <x:c r="L161" s="44" t="n">
        <x:f>$C161*0.09</x:f>
        <x:v>0.0072</x:v>
      </x:c>
      <x:c r="M161" s="44" t="n">
        <x:f>$C161*0.07</x:f>
        <x:v>0.005600000000000001</x:v>
      </x:c>
      <x:c r="N161" s="44" t="n">
        <x:f>$C161*0.05</x:f>
        <x:v>0.004</x:v>
      </x:c>
      <x:c r="O161" s="44" t="n">
        <x:f>$C161*0.04</x:f>
        <x:v>0.0032</x:v>
      </x:c>
      <x:c r="P161" s="44" t="n">
        <x:f>SUM(D161:O161)</x:f>
        <x:v>0.08</x:v>
      </x:c>
      <x:c r="Q161" s="54" t="n">
        <x:f>P161-C161</x:f>
        <x:v>0</x:v>
      </x:c>
    </x:row>
    <x:row r="162">
      <x:c r="B162" s="21" t="str">
        <x:v>F39-I4</x:v>
      </x:c>
      <x:c r="C162" s="44" t="n">
        <x:v>0.08</x:v>
      </x:c>
      <x:c r="D162" s="44" t="n">
        <x:f>$C162*0.04</x:f>
        <x:v>0.0032</x:v>
      </x:c>
      <x:c r="E162" s="44" t="n">
        <x:f>$C162*0.06</x:f>
        <x:v>0.0048</x:v>
      </x:c>
      <x:c r="F162" s="44" t="n">
        <x:f>$C162*0.08</x:f>
        <x:v>0.0064</x:v>
      </x:c>
      <x:c r="G162" s="44" t="n">
        <x:f>$C162*0.1</x:f>
        <x:v>0.008</x:v>
      </x:c>
      <x:c r="H162" s="44" t="n">
        <x:f>$C162*0.12</x:f>
        <x:v>0.0096</x:v>
      </x:c>
      <x:c r="I162" s="44" t="n">
        <x:f>$C162*0.12</x:f>
        <x:v>0.0096</x:v>
      </x:c>
      <x:c r="J162" s="44" t="n">
        <x:f>$C162*0.12</x:f>
        <x:v>0.0096</x:v>
      </x:c>
      <x:c r="K162" s="44" t="n">
        <x:f>$C162*0.11</x:f>
        <x:v>0.0088</x:v>
      </x:c>
      <x:c r="L162" s="44" t="n">
        <x:f>$C162*0.09</x:f>
        <x:v>0.0072</x:v>
      </x:c>
      <x:c r="M162" s="44" t="n">
        <x:f>$C162*0.07</x:f>
        <x:v>0.005600000000000001</x:v>
      </x:c>
      <x:c r="N162" s="44" t="n">
        <x:f>$C162*0.05</x:f>
        <x:v>0.004</x:v>
      </x:c>
      <x:c r="O162" s="44" t="n">
        <x:f>$C162*0.04</x:f>
        <x:v>0.0032</x:v>
      </x:c>
      <x:c r="P162" s="44" t="n">
        <x:f>SUM(D162:O162)</x:f>
        <x:v>0.08</x:v>
      </x:c>
      <x:c r="Q162" s="54" t="n">
        <x:f>P162-C162</x:f>
        <x:v>0</x:v>
      </x:c>
    </x:row>
    <x:row r="163">
      <x:c r="B163" s="21" t="str">
        <x:v>F40-I1</x:v>
      </x:c>
      <x:c r="C163" s="44" t="n">
        <x:v>0.08</x:v>
      </x:c>
      <x:c r="D163" s="44" t="n">
        <x:f>$C163*0.04</x:f>
        <x:v>0.0032</x:v>
      </x:c>
      <x:c r="E163" s="44" t="n">
        <x:f>$C163*0.06</x:f>
        <x:v>0.0048</x:v>
      </x:c>
      <x:c r="F163" s="44" t="n">
        <x:f>$C163*0.08</x:f>
        <x:v>0.0064</x:v>
      </x:c>
      <x:c r="G163" s="44" t="n">
        <x:f>$C163*0.1</x:f>
        <x:v>0.008</x:v>
      </x:c>
      <x:c r="H163" s="44" t="n">
        <x:f>$C163*0.12</x:f>
        <x:v>0.0096</x:v>
      </x:c>
      <x:c r="I163" s="44" t="n">
        <x:f>$C163*0.12</x:f>
        <x:v>0.0096</x:v>
      </x:c>
      <x:c r="J163" s="44" t="n">
        <x:f>$C163*0.12</x:f>
        <x:v>0.0096</x:v>
      </x:c>
      <x:c r="K163" s="44" t="n">
        <x:f>$C163*0.11</x:f>
        <x:v>0.0088</x:v>
      </x:c>
      <x:c r="L163" s="44" t="n">
        <x:f>$C163*0.09</x:f>
        <x:v>0.0072</x:v>
      </x:c>
      <x:c r="M163" s="44" t="n">
        <x:f>$C163*0.07</x:f>
        <x:v>0.005600000000000001</x:v>
      </x:c>
      <x:c r="N163" s="44" t="n">
        <x:f>$C163*0.05</x:f>
        <x:v>0.004</x:v>
      </x:c>
      <x:c r="O163" s="44" t="n">
        <x:f>$C163*0.04</x:f>
        <x:v>0.0032</x:v>
      </x:c>
      <x:c r="P163" s="44" t="n">
        <x:f>SUM(D163:O163)</x:f>
        <x:v>0.08</x:v>
      </x:c>
      <x:c r="Q163" s="54" t="n">
        <x:f>P163-C163</x:f>
        <x:v>0</x:v>
      </x:c>
    </x:row>
    <x:row r="164">
      <x:c r="B164" s="21" t="str">
        <x:v>F40-I2</x:v>
      </x:c>
      <x:c r="C164" s="44" t="n">
        <x:v>0.08</x:v>
      </x:c>
      <x:c r="D164" s="44" t="n">
        <x:f>$C164*0.04</x:f>
        <x:v>0.0032</x:v>
      </x:c>
      <x:c r="E164" s="44" t="n">
        <x:f>$C164*0.06</x:f>
        <x:v>0.0048</x:v>
      </x:c>
      <x:c r="F164" s="44" t="n">
        <x:f>$C164*0.08</x:f>
        <x:v>0.0064</x:v>
      </x:c>
      <x:c r="G164" s="44" t="n">
        <x:f>$C164*0.1</x:f>
        <x:v>0.008</x:v>
      </x:c>
      <x:c r="H164" s="44" t="n">
        <x:f>$C164*0.12</x:f>
        <x:v>0.0096</x:v>
      </x:c>
      <x:c r="I164" s="44" t="n">
        <x:f>$C164*0.12</x:f>
        <x:v>0.0096</x:v>
      </x:c>
      <x:c r="J164" s="44" t="n">
        <x:f>$C164*0.12</x:f>
        <x:v>0.0096</x:v>
      </x:c>
      <x:c r="K164" s="44" t="n">
        <x:f>$C164*0.11</x:f>
        <x:v>0.0088</x:v>
      </x:c>
      <x:c r="L164" s="44" t="n">
        <x:f>$C164*0.09</x:f>
        <x:v>0.0072</x:v>
      </x:c>
      <x:c r="M164" s="44" t="n">
        <x:f>$C164*0.07</x:f>
        <x:v>0.005600000000000001</x:v>
      </x:c>
      <x:c r="N164" s="44" t="n">
        <x:f>$C164*0.05</x:f>
        <x:v>0.004</x:v>
      </x:c>
      <x:c r="O164" s="44" t="n">
        <x:f>$C164*0.04</x:f>
        <x:v>0.0032</x:v>
      </x:c>
      <x:c r="P164" s="44" t="n">
        <x:f>SUM(D164:O164)</x:f>
        <x:v>0.08</x:v>
      </x:c>
      <x:c r="Q164" s="54" t="n">
        <x:f>P164-C164</x:f>
        <x:v>0</x:v>
      </x:c>
    </x:row>
    <x:row r="165">
      <x:c r="B165" s="21" t="str">
        <x:v>F40-I3</x:v>
      </x:c>
      <x:c r="C165" s="44" t="n">
        <x:v>0.08</x:v>
      </x:c>
      <x:c r="D165" s="44" t="n">
        <x:f>$C165*0.04</x:f>
        <x:v>0.0032</x:v>
      </x:c>
      <x:c r="E165" s="44" t="n">
        <x:f>$C165*0.06</x:f>
        <x:v>0.0048</x:v>
      </x:c>
      <x:c r="F165" s="44" t="n">
        <x:f>$C165*0.08</x:f>
        <x:v>0.0064</x:v>
      </x:c>
      <x:c r="G165" s="44" t="n">
        <x:f>$C165*0.1</x:f>
        <x:v>0.008</x:v>
      </x:c>
      <x:c r="H165" s="44" t="n">
        <x:f>$C165*0.12</x:f>
        <x:v>0.0096</x:v>
      </x:c>
      <x:c r="I165" s="44" t="n">
        <x:f>$C165*0.12</x:f>
        <x:v>0.0096</x:v>
      </x:c>
      <x:c r="J165" s="44" t="n">
        <x:f>$C165*0.12</x:f>
        <x:v>0.0096</x:v>
      </x:c>
      <x:c r="K165" s="44" t="n">
        <x:f>$C165*0.11</x:f>
        <x:v>0.0088</x:v>
      </x:c>
      <x:c r="L165" s="44" t="n">
        <x:f>$C165*0.09</x:f>
        <x:v>0.0072</x:v>
      </x:c>
      <x:c r="M165" s="44" t="n">
        <x:f>$C165*0.07</x:f>
        <x:v>0.005600000000000001</x:v>
      </x:c>
      <x:c r="N165" s="44" t="n">
        <x:f>$C165*0.05</x:f>
        <x:v>0.004</x:v>
      </x:c>
      <x:c r="O165" s="44" t="n">
        <x:f>$C165*0.04</x:f>
        <x:v>0.0032</x:v>
      </x:c>
      <x:c r="P165" s="44" t="n">
        <x:f>SUM(D165:O165)</x:f>
        <x:v>0.08</x:v>
      </x:c>
      <x:c r="Q165" s="54" t="n">
        <x:f>P165-C165</x:f>
        <x:v>0</x:v>
      </x:c>
    </x:row>
    <x:row r="166">
      <x:c r="B166" s="21" t="str">
        <x:v>F40-I4</x:v>
      </x:c>
      <x:c r="C166" s="44" t="n">
        <x:v>0.08</x:v>
      </x:c>
      <x:c r="D166" s="44" t="n">
        <x:f>$C166*0.04</x:f>
        <x:v>0.0032</x:v>
      </x:c>
      <x:c r="E166" s="44" t="n">
        <x:f>$C166*0.06</x:f>
        <x:v>0.0048</x:v>
      </x:c>
      <x:c r="F166" s="44" t="n">
        <x:f>$C166*0.08</x:f>
        <x:v>0.0064</x:v>
      </x:c>
      <x:c r="G166" s="44" t="n">
        <x:f>$C166*0.1</x:f>
        <x:v>0.008</x:v>
      </x:c>
      <x:c r="H166" s="44" t="n">
        <x:f>$C166*0.12</x:f>
        <x:v>0.0096</x:v>
      </x:c>
      <x:c r="I166" s="44" t="n">
        <x:f>$C166*0.12</x:f>
        <x:v>0.0096</x:v>
      </x:c>
      <x:c r="J166" s="44" t="n">
        <x:f>$C166*0.12</x:f>
        <x:v>0.0096</x:v>
      </x:c>
      <x:c r="K166" s="44" t="n">
        <x:f>$C166*0.11</x:f>
        <x:v>0.0088</x:v>
      </x:c>
      <x:c r="L166" s="44" t="n">
        <x:f>$C166*0.09</x:f>
        <x:v>0.0072</x:v>
      </x:c>
      <x:c r="M166" s="44" t="n">
        <x:f>$C166*0.07</x:f>
        <x:v>0.005600000000000001</x:v>
      </x:c>
      <x:c r="N166" s="44" t="n">
        <x:f>$C166*0.05</x:f>
        <x:v>0.004</x:v>
      </x:c>
      <x:c r="O166" s="44" t="n">
        <x:f>$C166*0.04</x:f>
        <x:v>0.0032</x:v>
      </x:c>
      <x:c r="P166" s="44" t="n">
        <x:f>SUM(D166:O166)</x:f>
        <x:v>0.08</x:v>
      </x:c>
      <x:c r="Q166" s="54" t="n">
        <x:f>P166-C166</x:f>
        <x:v>0</x:v>
      </x:c>
    </x:row>
    <x:row r="167">
      <x:c r="B167" s="21" t="str">
        <x:v>F41-I1</x:v>
      </x:c>
      <x:c r="C167" s="44" t="n">
        <x:v>0.08</x:v>
      </x:c>
      <x:c r="D167" s="44" t="n">
        <x:f>$C167*0.04</x:f>
        <x:v>0.0032</x:v>
      </x:c>
      <x:c r="E167" s="44" t="n">
        <x:f>$C167*0.06</x:f>
        <x:v>0.0048</x:v>
      </x:c>
      <x:c r="F167" s="44" t="n">
        <x:f>$C167*0.08</x:f>
        <x:v>0.0064</x:v>
      </x:c>
      <x:c r="G167" s="44" t="n">
        <x:f>$C167*0.1</x:f>
        <x:v>0.008</x:v>
      </x:c>
      <x:c r="H167" s="44" t="n">
        <x:f>$C167*0.12</x:f>
        <x:v>0.0096</x:v>
      </x:c>
      <x:c r="I167" s="44" t="n">
        <x:f>$C167*0.12</x:f>
        <x:v>0.0096</x:v>
      </x:c>
      <x:c r="J167" s="44" t="n">
        <x:f>$C167*0.12</x:f>
        <x:v>0.0096</x:v>
      </x:c>
      <x:c r="K167" s="44" t="n">
        <x:f>$C167*0.11</x:f>
        <x:v>0.0088</x:v>
      </x:c>
      <x:c r="L167" s="44" t="n">
        <x:f>$C167*0.09</x:f>
        <x:v>0.0072</x:v>
      </x:c>
      <x:c r="M167" s="44" t="n">
        <x:f>$C167*0.07</x:f>
        <x:v>0.005600000000000001</x:v>
      </x:c>
      <x:c r="N167" s="44" t="n">
        <x:f>$C167*0.05</x:f>
        <x:v>0.004</x:v>
      </x:c>
      <x:c r="O167" s="44" t="n">
        <x:f>$C167*0.04</x:f>
        <x:v>0.0032</x:v>
      </x:c>
      <x:c r="P167" s="44" t="n">
        <x:f>SUM(D167:O167)</x:f>
        <x:v>0.08</x:v>
      </x:c>
      <x:c r="Q167" s="54" t="n">
        <x:f>P167-C167</x:f>
        <x:v>0</x:v>
      </x:c>
    </x:row>
    <x:row r="168">
      <x:c r="B168" s="21" t="str">
        <x:v>F41-I2</x:v>
      </x:c>
      <x:c r="C168" s="44" t="n">
        <x:v>0.08</x:v>
      </x:c>
      <x:c r="D168" s="44" t="n">
        <x:f>$C168*0.04</x:f>
        <x:v>0.0032</x:v>
      </x:c>
      <x:c r="E168" s="44" t="n">
        <x:f>$C168*0.06</x:f>
        <x:v>0.0048</x:v>
      </x:c>
      <x:c r="F168" s="44" t="n">
        <x:f>$C168*0.08</x:f>
        <x:v>0.0064</x:v>
      </x:c>
      <x:c r="G168" s="44" t="n">
        <x:f>$C168*0.1</x:f>
        <x:v>0.008</x:v>
      </x:c>
      <x:c r="H168" s="44" t="n">
        <x:f>$C168*0.12</x:f>
        <x:v>0.0096</x:v>
      </x:c>
      <x:c r="I168" s="44" t="n">
        <x:f>$C168*0.12</x:f>
        <x:v>0.0096</x:v>
      </x:c>
      <x:c r="J168" s="44" t="n">
        <x:f>$C168*0.12</x:f>
        <x:v>0.0096</x:v>
      </x:c>
      <x:c r="K168" s="44" t="n">
        <x:f>$C168*0.11</x:f>
        <x:v>0.0088</x:v>
      </x:c>
      <x:c r="L168" s="44" t="n">
        <x:f>$C168*0.09</x:f>
        <x:v>0.0072</x:v>
      </x:c>
      <x:c r="M168" s="44" t="n">
        <x:f>$C168*0.07</x:f>
        <x:v>0.005600000000000001</x:v>
      </x:c>
      <x:c r="N168" s="44" t="n">
        <x:f>$C168*0.05</x:f>
        <x:v>0.004</x:v>
      </x:c>
      <x:c r="O168" s="44" t="n">
        <x:f>$C168*0.04</x:f>
        <x:v>0.0032</x:v>
      </x:c>
      <x:c r="P168" s="44" t="n">
        <x:f>SUM(D168:O168)</x:f>
        <x:v>0.08</x:v>
      </x:c>
      <x:c r="Q168" s="54" t="n">
        <x:f>P168-C168</x:f>
        <x:v>0</x:v>
      </x:c>
    </x:row>
    <x:row r="169">
      <x:c r="B169" s="21" t="str">
        <x:v>F41-I3</x:v>
      </x:c>
      <x:c r="C169" s="44" t="n">
        <x:v>0.08</x:v>
      </x:c>
      <x:c r="D169" s="44" t="n">
        <x:f>$C169*0.04</x:f>
        <x:v>0.0032</x:v>
      </x:c>
      <x:c r="E169" s="44" t="n">
        <x:f>$C169*0.06</x:f>
        <x:v>0.0048</x:v>
      </x:c>
      <x:c r="F169" s="44" t="n">
        <x:f>$C169*0.08</x:f>
        <x:v>0.0064</x:v>
      </x:c>
      <x:c r="G169" s="44" t="n">
        <x:f>$C169*0.1</x:f>
        <x:v>0.008</x:v>
      </x:c>
      <x:c r="H169" s="44" t="n">
        <x:f>$C169*0.12</x:f>
        <x:v>0.0096</x:v>
      </x:c>
      <x:c r="I169" s="44" t="n">
        <x:f>$C169*0.12</x:f>
        <x:v>0.0096</x:v>
      </x:c>
      <x:c r="J169" s="44" t="n">
        <x:f>$C169*0.12</x:f>
        <x:v>0.0096</x:v>
      </x:c>
      <x:c r="K169" s="44" t="n">
        <x:f>$C169*0.11</x:f>
        <x:v>0.0088</x:v>
      </x:c>
      <x:c r="L169" s="44" t="n">
        <x:f>$C169*0.09</x:f>
        <x:v>0.0072</x:v>
      </x:c>
      <x:c r="M169" s="44" t="n">
        <x:f>$C169*0.07</x:f>
        <x:v>0.005600000000000001</x:v>
      </x:c>
      <x:c r="N169" s="44" t="n">
        <x:f>$C169*0.05</x:f>
        <x:v>0.004</x:v>
      </x:c>
      <x:c r="O169" s="44" t="n">
        <x:f>$C169*0.04</x:f>
        <x:v>0.0032</x:v>
      </x:c>
      <x:c r="P169" s="44" t="n">
        <x:f>SUM(D169:O169)</x:f>
        <x:v>0.08</x:v>
      </x:c>
      <x:c r="Q169" s="54" t="n">
        <x:f>P169-C169</x:f>
        <x:v>0</x:v>
      </x:c>
    </x:row>
    <x:row r="170">
      <x:c r="B170" s="21" t="str">
        <x:v>F41-I4</x:v>
      </x:c>
      <x:c r="C170" s="44" t="n">
        <x:v>0.08</x:v>
      </x:c>
      <x:c r="D170" s="44" t="n">
        <x:f>$C170*0.04</x:f>
        <x:v>0.0032</x:v>
      </x:c>
      <x:c r="E170" s="44" t="n">
        <x:f>$C170*0.06</x:f>
        <x:v>0.0048</x:v>
      </x:c>
      <x:c r="F170" s="44" t="n">
        <x:f>$C170*0.08</x:f>
        <x:v>0.0064</x:v>
      </x:c>
      <x:c r="G170" s="44" t="n">
        <x:f>$C170*0.1</x:f>
        <x:v>0.008</x:v>
      </x:c>
      <x:c r="H170" s="44" t="n">
        <x:f>$C170*0.12</x:f>
        <x:v>0.0096</x:v>
      </x:c>
      <x:c r="I170" s="44" t="n">
        <x:f>$C170*0.12</x:f>
        <x:v>0.0096</x:v>
      </x:c>
      <x:c r="J170" s="44" t="n">
        <x:f>$C170*0.12</x:f>
        <x:v>0.0096</x:v>
      </x:c>
      <x:c r="K170" s="44" t="n">
        <x:f>$C170*0.11</x:f>
        <x:v>0.0088</x:v>
      </x:c>
      <x:c r="L170" s="44" t="n">
        <x:f>$C170*0.09</x:f>
        <x:v>0.0072</x:v>
      </x:c>
      <x:c r="M170" s="44" t="n">
        <x:f>$C170*0.07</x:f>
        <x:v>0.005600000000000001</x:v>
      </x:c>
      <x:c r="N170" s="44" t="n">
        <x:f>$C170*0.05</x:f>
        <x:v>0.004</x:v>
      </x:c>
      <x:c r="O170" s="44" t="n">
        <x:f>$C170*0.04</x:f>
        <x:v>0.0032</x:v>
      </x:c>
      <x:c r="P170" s="44" t="n">
        <x:f>SUM(D170:O170)</x:f>
        <x:v>0.08</x:v>
      </x:c>
      <x:c r="Q170" s="54" t="n">
        <x:f>P170-C170</x:f>
        <x:v>0</x:v>
      </x:c>
    </x:row>
    <x:row r="171">
      <x:c r="B171" s="21" t="str">
        <x:v>F42-I1</x:v>
      </x:c>
      <x:c r="C171" s="44" t="n">
        <x:v>0.08</x:v>
      </x:c>
      <x:c r="D171" s="44" t="n">
        <x:f>$C171*0.04</x:f>
        <x:v>0.0032</x:v>
      </x:c>
      <x:c r="E171" s="44" t="n">
        <x:f>$C171*0.06</x:f>
        <x:v>0.0048</x:v>
      </x:c>
      <x:c r="F171" s="44" t="n">
        <x:f>$C171*0.08</x:f>
        <x:v>0.0064</x:v>
      </x:c>
      <x:c r="G171" s="44" t="n">
        <x:f>$C171*0.1</x:f>
        <x:v>0.008</x:v>
      </x:c>
      <x:c r="H171" s="44" t="n">
        <x:f>$C171*0.12</x:f>
        <x:v>0.0096</x:v>
      </x:c>
      <x:c r="I171" s="44" t="n">
        <x:f>$C171*0.12</x:f>
        <x:v>0.0096</x:v>
      </x:c>
      <x:c r="J171" s="44" t="n">
        <x:f>$C171*0.12</x:f>
        <x:v>0.0096</x:v>
      </x:c>
      <x:c r="K171" s="44" t="n">
        <x:f>$C171*0.11</x:f>
        <x:v>0.0088</x:v>
      </x:c>
      <x:c r="L171" s="44" t="n">
        <x:f>$C171*0.09</x:f>
        <x:v>0.0072</x:v>
      </x:c>
      <x:c r="M171" s="44" t="n">
        <x:f>$C171*0.07</x:f>
        <x:v>0.005600000000000001</x:v>
      </x:c>
      <x:c r="N171" s="44" t="n">
        <x:f>$C171*0.05</x:f>
        <x:v>0.004</x:v>
      </x:c>
      <x:c r="O171" s="44" t="n">
        <x:f>$C171*0.04</x:f>
        <x:v>0.0032</x:v>
      </x:c>
      <x:c r="P171" s="44" t="n">
        <x:f>SUM(D171:O171)</x:f>
        <x:v>0.08</x:v>
      </x:c>
      <x:c r="Q171" s="54" t="n">
        <x:f>P171-C171</x:f>
        <x:v>0</x:v>
      </x:c>
    </x:row>
    <x:row r="172">
      <x:c r="B172" s="21" t="str">
        <x:v>F42-I2</x:v>
      </x:c>
      <x:c r="C172" s="44" t="n">
        <x:v>0.08</x:v>
      </x:c>
      <x:c r="D172" s="44" t="n">
        <x:f>$C172*0.04</x:f>
        <x:v>0.0032</x:v>
      </x:c>
      <x:c r="E172" s="44" t="n">
        <x:f>$C172*0.06</x:f>
        <x:v>0.0048</x:v>
      </x:c>
      <x:c r="F172" s="44" t="n">
        <x:f>$C172*0.08</x:f>
        <x:v>0.0064</x:v>
      </x:c>
      <x:c r="G172" s="44" t="n">
        <x:f>$C172*0.1</x:f>
        <x:v>0.008</x:v>
      </x:c>
      <x:c r="H172" s="44" t="n">
        <x:f>$C172*0.12</x:f>
        <x:v>0.0096</x:v>
      </x:c>
      <x:c r="I172" s="44" t="n">
        <x:f>$C172*0.12</x:f>
        <x:v>0.0096</x:v>
      </x:c>
      <x:c r="J172" s="44" t="n">
        <x:f>$C172*0.12</x:f>
        <x:v>0.0096</x:v>
      </x:c>
      <x:c r="K172" s="44" t="n">
        <x:f>$C172*0.11</x:f>
        <x:v>0.0088</x:v>
      </x:c>
      <x:c r="L172" s="44" t="n">
        <x:f>$C172*0.09</x:f>
        <x:v>0.0072</x:v>
      </x:c>
      <x:c r="M172" s="44" t="n">
        <x:f>$C172*0.07</x:f>
        <x:v>0.005600000000000001</x:v>
      </x:c>
      <x:c r="N172" s="44" t="n">
        <x:f>$C172*0.05</x:f>
        <x:v>0.004</x:v>
      </x:c>
      <x:c r="O172" s="44" t="n">
        <x:f>$C172*0.04</x:f>
        <x:v>0.0032</x:v>
      </x:c>
      <x:c r="P172" s="44" t="n">
        <x:f>SUM(D172:O172)</x:f>
        <x:v>0.08</x:v>
      </x:c>
      <x:c r="Q172" s="54" t="n">
        <x:f>P172-C172</x:f>
        <x:v>0</x:v>
      </x:c>
    </x:row>
    <x:row r="173">
      <x:c r="B173" s="21" t="str">
        <x:v>F42-I3</x:v>
      </x:c>
      <x:c r="C173" s="44" t="n">
        <x:v>0.08</x:v>
      </x:c>
      <x:c r="D173" s="44" t="n">
        <x:f>$C173*0.04</x:f>
        <x:v>0.0032</x:v>
      </x:c>
      <x:c r="E173" s="44" t="n">
        <x:f>$C173*0.06</x:f>
        <x:v>0.0048</x:v>
      </x:c>
      <x:c r="F173" s="44" t="n">
        <x:f>$C173*0.08</x:f>
        <x:v>0.0064</x:v>
      </x:c>
      <x:c r="G173" s="44" t="n">
        <x:f>$C173*0.1</x:f>
        <x:v>0.008</x:v>
      </x:c>
      <x:c r="H173" s="44" t="n">
        <x:f>$C173*0.12</x:f>
        <x:v>0.0096</x:v>
      </x:c>
      <x:c r="I173" s="44" t="n">
        <x:f>$C173*0.12</x:f>
        <x:v>0.0096</x:v>
      </x:c>
      <x:c r="J173" s="44" t="n">
        <x:f>$C173*0.12</x:f>
        <x:v>0.0096</x:v>
      </x:c>
      <x:c r="K173" s="44" t="n">
        <x:f>$C173*0.11</x:f>
        <x:v>0.0088</x:v>
      </x:c>
      <x:c r="L173" s="44" t="n">
        <x:f>$C173*0.09</x:f>
        <x:v>0.0072</x:v>
      </x:c>
      <x:c r="M173" s="44" t="n">
        <x:f>$C173*0.07</x:f>
        <x:v>0.005600000000000001</x:v>
      </x:c>
      <x:c r="N173" s="44" t="n">
        <x:f>$C173*0.05</x:f>
        <x:v>0.004</x:v>
      </x:c>
      <x:c r="O173" s="44" t="n">
        <x:f>$C173*0.04</x:f>
        <x:v>0.0032</x:v>
      </x:c>
      <x:c r="P173" s="44" t="n">
        <x:f>SUM(D173:O173)</x:f>
        <x:v>0.08</x:v>
      </x:c>
      <x:c r="Q173" s="54" t="n">
        <x:f>P173-C173</x:f>
        <x:v>0</x:v>
      </x:c>
    </x:row>
    <x:row r="174">
      <x:c r="B174" s="21" t="str">
        <x:v>F42-I4</x:v>
      </x:c>
      <x:c r="C174" s="44" t="n">
        <x:v>0.08</x:v>
      </x:c>
      <x:c r="D174" s="44" t="n">
        <x:f>$C174*0.04</x:f>
        <x:v>0.0032</x:v>
      </x:c>
      <x:c r="E174" s="44" t="n">
        <x:f>$C174*0.06</x:f>
        <x:v>0.0048</x:v>
      </x:c>
      <x:c r="F174" s="44" t="n">
        <x:f>$C174*0.08</x:f>
        <x:v>0.0064</x:v>
      </x:c>
      <x:c r="G174" s="44" t="n">
        <x:f>$C174*0.1</x:f>
        <x:v>0.008</x:v>
      </x:c>
      <x:c r="H174" s="44" t="n">
        <x:f>$C174*0.12</x:f>
        <x:v>0.0096</x:v>
      </x:c>
      <x:c r="I174" s="44" t="n">
        <x:f>$C174*0.12</x:f>
        <x:v>0.0096</x:v>
      </x:c>
      <x:c r="J174" s="44" t="n">
        <x:f>$C174*0.12</x:f>
        <x:v>0.0096</x:v>
      </x:c>
      <x:c r="K174" s="44" t="n">
        <x:f>$C174*0.11</x:f>
        <x:v>0.0088</x:v>
      </x:c>
      <x:c r="L174" s="44" t="n">
        <x:f>$C174*0.09</x:f>
        <x:v>0.0072</x:v>
      </x:c>
      <x:c r="M174" s="44" t="n">
        <x:f>$C174*0.07</x:f>
        <x:v>0.005600000000000001</x:v>
      </x:c>
      <x:c r="N174" s="44" t="n">
        <x:f>$C174*0.05</x:f>
        <x:v>0.004</x:v>
      </x:c>
      <x:c r="O174" s="44" t="n">
        <x:f>$C174*0.04</x:f>
        <x:v>0.0032</x:v>
      </x:c>
      <x:c r="P174" s="44" t="n">
        <x:f>SUM(D174:O174)</x:f>
        <x:v>0.08</x:v>
      </x:c>
      <x:c r="Q174" s="54" t="n">
        <x:f>P174-C174</x:f>
        <x:v>0</x:v>
      </x:c>
    </x:row>
    <x:row r="175">
      <x:c r="B175" s="21" t="str">
        <x:v>F43-I1</x:v>
      </x:c>
      <x:c r="C175" s="44" t="n">
        <x:v>0.08</x:v>
      </x:c>
      <x:c r="D175" s="44" t="n">
        <x:f>$C175*0.04</x:f>
        <x:v>0.0032</x:v>
      </x:c>
      <x:c r="E175" s="44" t="n">
        <x:f>$C175*0.06</x:f>
        <x:v>0.0048</x:v>
      </x:c>
      <x:c r="F175" s="44" t="n">
        <x:f>$C175*0.08</x:f>
        <x:v>0.0064</x:v>
      </x:c>
      <x:c r="G175" s="44" t="n">
        <x:f>$C175*0.1</x:f>
        <x:v>0.008</x:v>
      </x:c>
      <x:c r="H175" s="44" t="n">
        <x:f>$C175*0.12</x:f>
        <x:v>0.0096</x:v>
      </x:c>
      <x:c r="I175" s="44" t="n">
        <x:f>$C175*0.12</x:f>
        <x:v>0.0096</x:v>
      </x:c>
      <x:c r="J175" s="44" t="n">
        <x:f>$C175*0.12</x:f>
        <x:v>0.0096</x:v>
      </x:c>
      <x:c r="K175" s="44" t="n">
        <x:f>$C175*0.11</x:f>
        <x:v>0.0088</x:v>
      </x:c>
      <x:c r="L175" s="44" t="n">
        <x:f>$C175*0.09</x:f>
        <x:v>0.0072</x:v>
      </x:c>
      <x:c r="M175" s="44" t="n">
        <x:f>$C175*0.07</x:f>
        <x:v>0.005600000000000001</x:v>
      </x:c>
      <x:c r="N175" s="44" t="n">
        <x:f>$C175*0.05</x:f>
        <x:v>0.004</x:v>
      </x:c>
      <x:c r="O175" s="44" t="n">
        <x:f>$C175*0.04</x:f>
        <x:v>0.0032</x:v>
      </x:c>
      <x:c r="P175" s="44" t="n">
        <x:f>SUM(D175:O175)</x:f>
        <x:v>0.08</x:v>
      </x:c>
      <x:c r="Q175" s="54" t="n">
        <x:f>P175-C175</x:f>
        <x:v>0</x:v>
      </x:c>
    </x:row>
    <x:row r="176">
      <x:c r="B176" s="21" t="str">
        <x:v>F43-I2</x:v>
      </x:c>
      <x:c r="C176" s="44" t="n">
        <x:v>0.08</x:v>
      </x:c>
      <x:c r="D176" s="44" t="n">
        <x:f>$C176*0.04</x:f>
        <x:v>0.0032</x:v>
      </x:c>
      <x:c r="E176" s="44" t="n">
        <x:f>$C176*0.06</x:f>
        <x:v>0.0048</x:v>
      </x:c>
      <x:c r="F176" s="44" t="n">
        <x:f>$C176*0.08</x:f>
        <x:v>0.0064</x:v>
      </x:c>
      <x:c r="G176" s="44" t="n">
        <x:f>$C176*0.1</x:f>
        <x:v>0.008</x:v>
      </x:c>
      <x:c r="H176" s="44" t="n">
        <x:f>$C176*0.12</x:f>
        <x:v>0.0096</x:v>
      </x:c>
      <x:c r="I176" s="44" t="n">
        <x:f>$C176*0.12</x:f>
        <x:v>0.0096</x:v>
      </x:c>
      <x:c r="J176" s="44" t="n">
        <x:f>$C176*0.12</x:f>
        <x:v>0.0096</x:v>
      </x:c>
      <x:c r="K176" s="44" t="n">
        <x:f>$C176*0.11</x:f>
        <x:v>0.0088</x:v>
      </x:c>
      <x:c r="L176" s="44" t="n">
        <x:f>$C176*0.09</x:f>
        <x:v>0.0072</x:v>
      </x:c>
      <x:c r="M176" s="44" t="n">
        <x:f>$C176*0.07</x:f>
        <x:v>0.005600000000000001</x:v>
      </x:c>
      <x:c r="N176" s="44" t="n">
        <x:f>$C176*0.05</x:f>
        <x:v>0.004</x:v>
      </x:c>
      <x:c r="O176" s="44" t="n">
        <x:f>$C176*0.04</x:f>
        <x:v>0.0032</x:v>
      </x:c>
      <x:c r="P176" s="44" t="n">
        <x:f>SUM(D176:O176)</x:f>
        <x:v>0.08</x:v>
      </x:c>
      <x:c r="Q176" s="54" t="n">
        <x:f>P176-C176</x:f>
        <x:v>0</x:v>
      </x:c>
    </x:row>
    <x:row r="177">
      <x:c r="B177" s="21" t="str">
        <x:v>F43-I3</x:v>
      </x:c>
      <x:c r="C177" s="44" t="n">
        <x:v>0.08</x:v>
      </x:c>
      <x:c r="D177" s="44" t="n">
        <x:f>$C177*0.04</x:f>
        <x:v>0.0032</x:v>
      </x:c>
      <x:c r="E177" s="44" t="n">
        <x:f>$C177*0.06</x:f>
        <x:v>0.0048</x:v>
      </x:c>
      <x:c r="F177" s="44" t="n">
        <x:f>$C177*0.08</x:f>
        <x:v>0.0064</x:v>
      </x:c>
      <x:c r="G177" s="44" t="n">
        <x:f>$C177*0.1</x:f>
        <x:v>0.008</x:v>
      </x:c>
      <x:c r="H177" s="44" t="n">
        <x:f>$C177*0.12</x:f>
        <x:v>0.0096</x:v>
      </x:c>
      <x:c r="I177" s="44" t="n">
        <x:f>$C177*0.12</x:f>
        <x:v>0.0096</x:v>
      </x:c>
      <x:c r="J177" s="44" t="n">
        <x:f>$C177*0.12</x:f>
        <x:v>0.0096</x:v>
      </x:c>
      <x:c r="K177" s="44" t="n">
        <x:f>$C177*0.11</x:f>
        <x:v>0.0088</x:v>
      </x:c>
      <x:c r="L177" s="44" t="n">
        <x:f>$C177*0.09</x:f>
        <x:v>0.0072</x:v>
      </x:c>
      <x:c r="M177" s="44" t="n">
        <x:f>$C177*0.07</x:f>
        <x:v>0.005600000000000001</x:v>
      </x:c>
      <x:c r="N177" s="44" t="n">
        <x:f>$C177*0.05</x:f>
        <x:v>0.004</x:v>
      </x:c>
      <x:c r="O177" s="44" t="n">
        <x:f>$C177*0.04</x:f>
        <x:v>0.0032</x:v>
      </x:c>
      <x:c r="P177" s="44" t="n">
        <x:f>SUM(D177:O177)</x:f>
        <x:v>0.08</x:v>
      </x:c>
      <x:c r="Q177" s="54" t="n">
        <x:f>P177-C177</x:f>
        <x:v>0</x:v>
      </x:c>
    </x:row>
    <x:row r="178">
      <x:c r="B178" s="21" t="str">
        <x:v>F43-I4</x:v>
      </x:c>
      <x:c r="C178" s="44" t="n">
        <x:v>0.08</x:v>
      </x:c>
      <x:c r="D178" s="44" t="n">
        <x:f>$C178*0.04</x:f>
        <x:v>0.0032</x:v>
      </x:c>
      <x:c r="E178" s="44" t="n">
        <x:f>$C178*0.06</x:f>
        <x:v>0.0048</x:v>
      </x:c>
      <x:c r="F178" s="44" t="n">
        <x:f>$C178*0.08</x:f>
        <x:v>0.0064</x:v>
      </x:c>
      <x:c r="G178" s="44" t="n">
        <x:f>$C178*0.1</x:f>
        <x:v>0.008</x:v>
      </x:c>
      <x:c r="H178" s="44" t="n">
        <x:f>$C178*0.12</x:f>
        <x:v>0.0096</x:v>
      </x:c>
      <x:c r="I178" s="44" t="n">
        <x:f>$C178*0.12</x:f>
        <x:v>0.0096</x:v>
      </x:c>
      <x:c r="J178" s="44" t="n">
        <x:f>$C178*0.12</x:f>
        <x:v>0.0096</x:v>
      </x:c>
      <x:c r="K178" s="44" t="n">
        <x:f>$C178*0.11</x:f>
        <x:v>0.0088</x:v>
      </x:c>
      <x:c r="L178" s="44" t="n">
        <x:f>$C178*0.09</x:f>
        <x:v>0.0072</x:v>
      </x:c>
      <x:c r="M178" s="44" t="n">
        <x:f>$C178*0.07</x:f>
        <x:v>0.005600000000000001</x:v>
      </x:c>
      <x:c r="N178" s="44" t="n">
        <x:f>$C178*0.05</x:f>
        <x:v>0.004</x:v>
      </x:c>
      <x:c r="O178" s="44" t="n">
        <x:f>$C178*0.04</x:f>
        <x:v>0.0032</x:v>
      </x:c>
      <x:c r="P178" s="44" t="n">
        <x:f>SUM(D178:O178)</x:f>
        <x:v>0.08</x:v>
      </x:c>
      <x:c r="Q178" s="54" t="n">
        <x:f>P178-C178</x:f>
        <x:v>0</x:v>
      </x:c>
    </x:row>
    <x:row r="179">
      <x:c r="B179" s="21" t="str">
        <x:v>F44-I1</x:v>
      </x:c>
      <x:c r="C179" s="44" t="n">
        <x:v>0.06895</x:v>
      </x:c>
      <x:c r="D179" s="44" t="n">
        <x:f>$C179*0.04</x:f>
        <x:v>0.002758</x:v>
      </x:c>
      <x:c r="E179" s="44" t="n">
        <x:f>$C179*0.06</x:f>
        <x:v>0.004137</x:v>
      </x:c>
      <x:c r="F179" s="44" t="n">
        <x:f>$C179*0.08</x:f>
        <x:v>0.005516</x:v>
      </x:c>
      <x:c r="G179" s="44" t="n">
        <x:f>$C179*0.1</x:f>
        <x:v>0.006895</x:v>
      </x:c>
      <x:c r="H179" s="44" t="n">
        <x:f>$C179*0.12</x:f>
        <x:v>0.008274</x:v>
      </x:c>
      <x:c r="I179" s="44" t="n">
        <x:f>$C179*0.12</x:f>
        <x:v>0.008274</x:v>
      </x:c>
      <x:c r="J179" s="44" t="n">
        <x:f>$C179*0.12</x:f>
        <x:v>0.008274</x:v>
      </x:c>
      <x:c r="K179" s="44" t="n">
        <x:f>$C179*0.11</x:f>
        <x:v>0.0075845</x:v>
      </x:c>
      <x:c r="L179" s="44" t="n">
        <x:f>$C179*0.09</x:f>
        <x:v>0.006205499999999999</x:v>
      </x:c>
      <x:c r="M179" s="44" t="n">
        <x:f>$C179*0.07</x:f>
        <x:v>0.0048265</x:v>
      </x:c>
      <x:c r="N179" s="44" t="n">
        <x:f>$C179*0.05</x:f>
        <x:v>0.0034475</x:v>
      </x:c>
      <x:c r="O179" s="44" t="n">
        <x:f>$C179*0.04</x:f>
        <x:v>0.002758</x:v>
      </x:c>
      <x:c r="P179" s="44" t="n">
        <x:f>SUM(D179:O179)</x:f>
        <x:v>0.06895</x:v>
      </x:c>
      <x:c r="Q179" s="54" t="n">
        <x:f>P179-C179</x:f>
        <x:v>0</x:v>
      </x:c>
    </x:row>
    <x:row r="180">
      <x:c r="B180" s="21" t="str">
        <x:v>F44-I2</x:v>
      </x:c>
      <x:c r="C180" s="44" t="n">
        <x:v>0.06895</x:v>
      </x:c>
      <x:c r="D180" s="44" t="n">
        <x:f>$C180*0.04</x:f>
        <x:v>0.002758</x:v>
      </x:c>
      <x:c r="E180" s="44" t="n">
        <x:f>$C180*0.06</x:f>
        <x:v>0.004137</x:v>
      </x:c>
      <x:c r="F180" s="44" t="n">
        <x:f>$C180*0.08</x:f>
        <x:v>0.005516</x:v>
      </x:c>
      <x:c r="G180" s="44" t="n">
        <x:f>$C180*0.1</x:f>
        <x:v>0.006895</x:v>
      </x:c>
      <x:c r="H180" s="44" t="n">
        <x:f>$C180*0.12</x:f>
        <x:v>0.008274</x:v>
      </x:c>
      <x:c r="I180" s="44" t="n">
        <x:f>$C180*0.12</x:f>
        <x:v>0.008274</x:v>
      </x:c>
      <x:c r="J180" s="44" t="n">
        <x:f>$C180*0.12</x:f>
        <x:v>0.008274</x:v>
      </x:c>
      <x:c r="K180" s="44" t="n">
        <x:f>$C180*0.11</x:f>
        <x:v>0.0075845</x:v>
      </x:c>
      <x:c r="L180" s="44" t="n">
        <x:f>$C180*0.09</x:f>
        <x:v>0.006205499999999999</x:v>
      </x:c>
      <x:c r="M180" s="44" t="n">
        <x:f>$C180*0.07</x:f>
        <x:v>0.0048265</x:v>
      </x:c>
      <x:c r="N180" s="44" t="n">
        <x:f>$C180*0.05</x:f>
        <x:v>0.0034475</x:v>
      </x:c>
      <x:c r="O180" s="44" t="n">
        <x:f>$C180*0.04</x:f>
        <x:v>0.002758</x:v>
      </x:c>
      <x:c r="P180" s="44" t="n">
        <x:f>SUM(D180:O180)</x:f>
        <x:v>0.06895</x:v>
      </x:c>
      <x:c r="Q180" s="54" t="n">
        <x:f>P180-C180</x:f>
        <x:v>0</x:v>
      </x:c>
    </x:row>
    <x:row r="181">
      <x:c r="B181" s="21" t="str">
        <x:v>F44-I3</x:v>
      </x:c>
      <x:c r="C181" s="44" t="n">
        <x:v>0.06895</x:v>
      </x:c>
      <x:c r="D181" s="44" t="n">
        <x:f>$C181*0.04</x:f>
        <x:v>0.002758</x:v>
      </x:c>
      <x:c r="E181" s="44" t="n">
        <x:f>$C181*0.06</x:f>
        <x:v>0.004137</x:v>
      </x:c>
      <x:c r="F181" s="44" t="n">
        <x:f>$C181*0.08</x:f>
        <x:v>0.005516</x:v>
      </x:c>
      <x:c r="G181" s="44" t="n">
        <x:f>$C181*0.1</x:f>
        <x:v>0.006895</x:v>
      </x:c>
      <x:c r="H181" s="44" t="n">
        <x:f>$C181*0.12</x:f>
        <x:v>0.008274</x:v>
      </x:c>
      <x:c r="I181" s="44" t="n">
        <x:f>$C181*0.12</x:f>
        <x:v>0.008274</x:v>
      </x:c>
      <x:c r="J181" s="44" t="n">
        <x:f>$C181*0.12</x:f>
        <x:v>0.008274</x:v>
      </x:c>
      <x:c r="K181" s="44" t="n">
        <x:f>$C181*0.11</x:f>
        <x:v>0.0075845</x:v>
      </x:c>
      <x:c r="L181" s="44" t="n">
        <x:f>$C181*0.09</x:f>
        <x:v>0.006205499999999999</x:v>
      </x:c>
      <x:c r="M181" s="44" t="n">
        <x:f>$C181*0.07</x:f>
        <x:v>0.0048265</x:v>
      </x:c>
      <x:c r="N181" s="44" t="n">
        <x:f>$C181*0.05</x:f>
        <x:v>0.0034475</x:v>
      </x:c>
      <x:c r="O181" s="44" t="n">
        <x:f>$C181*0.04</x:f>
        <x:v>0.002758</x:v>
      </x:c>
      <x:c r="P181" s="44" t="n">
        <x:f>SUM(D181:O181)</x:f>
        <x:v>0.06895</x:v>
      </x:c>
      <x:c r="Q181" s="54" t="n">
        <x:f>P181-C181</x:f>
        <x:v>0</x:v>
      </x:c>
    </x:row>
    <x:row r="182">
      <x:c r="B182" s="21" t="str">
        <x:v>F44-I4</x:v>
      </x:c>
      <x:c r="C182" s="44" t="n">
        <x:v>0.06895</x:v>
      </x:c>
      <x:c r="D182" s="44" t="n">
        <x:f>$C182*0.04</x:f>
        <x:v>0.002758</x:v>
      </x:c>
      <x:c r="E182" s="44" t="n">
        <x:f>$C182*0.06</x:f>
        <x:v>0.004137</x:v>
      </x:c>
      <x:c r="F182" s="44" t="n">
        <x:f>$C182*0.08</x:f>
        <x:v>0.005516</x:v>
      </x:c>
      <x:c r="G182" s="44" t="n">
        <x:f>$C182*0.1</x:f>
        <x:v>0.006895</x:v>
      </x:c>
      <x:c r="H182" s="44" t="n">
        <x:f>$C182*0.12</x:f>
        <x:v>0.008274</x:v>
      </x:c>
      <x:c r="I182" s="44" t="n">
        <x:f>$C182*0.12</x:f>
        <x:v>0.008274</x:v>
      </x:c>
      <x:c r="J182" s="44" t="n">
        <x:f>$C182*0.12</x:f>
        <x:v>0.008274</x:v>
      </x:c>
      <x:c r="K182" s="44" t="n">
        <x:f>$C182*0.11</x:f>
        <x:v>0.0075845</x:v>
      </x:c>
      <x:c r="L182" s="44" t="n">
        <x:f>$C182*0.09</x:f>
        <x:v>0.006205499999999999</x:v>
      </x:c>
      <x:c r="M182" s="44" t="n">
        <x:f>$C182*0.07</x:f>
        <x:v>0.0048265</x:v>
      </x:c>
      <x:c r="N182" s="44" t="n">
        <x:f>$C182*0.05</x:f>
        <x:v>0.0034475</x:v>
      </x:c>
      <x:c r="O182" s="44" t="n">
        <x:f>$C182*0.04</x:f>
        <x:v>0.002758</x:v>
      </x:c>
      <x:c r="P182" s="44" t="n">
        <x:f>SUM(D182:O182)</x:f>
        <x:v>0.06895</x:v>
      </x:c>
      <x:c r="Q182" s="54" t="n">
        <x:f>P182-C182</x:f>
        <x:v>0</x:v>
      </x:c>
    </x:row>
    <x:row r="183">
      <x:c r="B183" s="21" t="str">
        <x:v>F45-I1</x:v>
      </x:c>
      <x:c r="C183" s="44" t="n">
        <x:v>0.06895</x:v>
      </x:c>
      <x:c r="D183" s="44" t="n">
        <x:f>$C183*0.04</x:f>
        <x:v>0.002758</x:v>
      </x:c>
      <x:c r="E183" s="44" t="n">
        <x:f>$C183*0.06</x:f>
        <x:v>0.004137</x:v>
      </x:c>
      <x:c r="F183" s="44" t="n">
        <x:f>$C183*0.08</x:f>
        <x:v>0.005516</x:v>
      </x:c>
      <x:c r="G183" s="44" t="n">
        <x:f>$C183*0.1</x:f>
        <x:v>0.006895</x:v>
      </x:c>
      <x:c r="H183" s="44" t="n">
        <x:f>$C183*0.12</x:f>
        <x:v>0.008274</x:v>
      </x:c>
      <x:c r="I183" s="44" t="n">
        <x:f>$C183*0.12</x:f>
        <x:v>0.008274</x:v>
      </x:c>
      <x:c r="J183" s="44" t="n">
        <x:f>$C183*0.12</x:f>
        <x:v>0.008274</x:v>
      </x:c>
      <x:c r="K183" s="44" t="n">
        <x:f>$C183*0.11</x:f>
        <x:v>0.0075845</x:v>
      </x:c>
      <x:c r="L183" s="44" t="n">
        <x:f>$C183*0.09</x:f>
        <x:v>0.006205499999999999</x:v>
      </x:c>
      <x:c r="M183" s="44" t="n">
        <x:f>$C183*0.07</x:f>
        <x:v>0.0048265</x:v>
      </x:c>
      <x:c r="N183" s="44" t="n">
        <x:f>$C183*0.05</x:f>
        <x:v>0.0034475</x:v>
      </x:c>
      <x:c r="O183" s="44" t="n">
        <x:f>$C183*0.04</x:f>
        <x:v>0.002758</x:v>
      </x:c>
      <x:c r="P183" s="44" t="n">
        <x:f>SUM(D183:O183)</x:f>
        <x:v>0.06895</x:v>
      </x:c>
      <x:c r="Q183" s="54" t="n">
        <x:f>P183-C183</x:f>
        <x:v>0</x:v>
      </x:c>
    </x:row>
    <x:row r="184">
      <x:c r="B184" s="21" t="str">
        <x:v>F45-I2</x:v>
      </x:c>
      <x:c r="C184" s="44" t="n">
        <x:v>0.06895</x:v>
      </x:c>
      <x:c r="D184" s="44" t="n">
        <x:f>$C184*0.04</x:f>
        <x:v>0.002758</x:v>
      </x:c>
      <x:c r="E184" s="44" t="n">
        <x:f>$C184*0.06</x:f>
        <x:v>0.004137</x:v>
      </x:c>
      <x:c r="F184" s="44" t="n">
        <x:f>$C184*0.08</x:f>
        <x:v>0.005516</x:v>
      </x:c>
      <x:c r="G184" s="44" t="n">
        <x:f>$C184*0.1</x:f>
        <x:v>0.006895</x:v>
      </x:c>
      <x:c r="H184" s="44" t="n">
        <x:f>$C184*0.12</x:f>
        <x:v>0.008274</x:v>
      </x:c>
      <x:c r="I184" s="44" t="n">
        <x:f>$C184*0.12</x:f>
        <x:v>0.008274</x:v>
      </x:c>
      <x:c r="J184" s="44" t="n">
        <x:f>$C184*0.12</x:f>
        <x:v>0.008274</x:v>
      </x:c>
      <x:c r="K184" s="44" t="n">
        <x:f>$C184*0.11</x:f>
        <x:v>0.0075845</x:v>
      </x:c>
      <x:c r="L184" s="44" t="n">
        <x:f>$C184*0.09</x:f>
        <x:v>0.006205499999999999</x:v>
      </x:c>
      <x:c r="M184" s="44" t="n">
        <x:f>$C184*0.07</x:f>
        <x:v>0.0048265</x:v>
      </x:c>
      <x:c r="N184" s="44" t="n">
        <x:f>$C184*0.05</x:f>
        <x:v>0.0034475</x:v>
      </x:c>
      <x:c r="O184" s="44" t="n">
        <x:f>$C184*0.04</x:f>
        <x:v>0.002758</x:v>
      </x:c>
      <x:c r="P184" s="44" t="n">
        <x:f>SUM(D184:O184)</x:f>
        <x:v>0.06895</x:v>
      </x:c>
      <x:c r="Q184" s="54" t="n">
        <x:f>P184-C184</x:f>
        <x:v>0</x:v>
      </x:c>
    </x:row>
    <x:row r="185">
      <x:c r="B185" s="21" t="str">
        <x:v>F45-I3</x:v>
      </x:c>
      <x:c r="C185" s="44" t="n">
        <x:v>0.06895</x:v>
      </x:c>
      <x:c r="D185" s="44" t="n">
        <x:f>$C185*0.04</x:f>
        <x:v>0.002758</x:v>
      </x:c>
      <x:c r="E185" s="44" t="n">
        <x:f>$C185*0.06</x:f>
        <x:v>0.004137</x:v>
      </x:c>
      <x:c r="F185" s="44" t="n">
        <x:f>$C185*0.08</x:f>
        <x:v>0.005516</x:v>
      </x:c>
      <x:c r="G185" s="44" t="n">
        <x:f>$C185*0.1</x:f>
        <x:v>0.006895</x:v>
      </x:c>
      <x:c r="H185" s="44" t="n">
        <x:f>$C185*0.12</x:f>
        <x:v>0.008274</x:v>
      </x:c>
      <x:c r="I185" s="44" t="n">
        <x:f>$C185*0.12</x:f>
        <x:v>0.008274</x:v>
      </x:c>
      <x:c r="J185" s="44" t="n">
        <x:f>$C185*0.12</x:f>
        <x:v>0.008274</x:v>
      </x:c>
      <x:c r="K185" s="44" t="n">
        <x:f>$C185*0.11</x:f>
        <x:v>0.0075845</x:v>
      </x:c>
      <x:c r="L185" s="44" t="n">
        <x:f>$C185*0.09</x:f>
        <x:v>0.006205499999999999</x:v>
      </x:c>
      <x:c r="M185" s="44" t="n">
        <x:f>$C185*0.07</x:f>
        <x:v>0.0048265</x:v>
      </x:c>
      <x:c r="N185" s="44" t="n">
        <x:f>$C185*0.05</x:f>
        <x:v>0.0034475</x:v>
      </x:c>
      <x:c r="O185" s="44" t="n">
        <x:f>$C185*0.04</x:f>
        <x:v>0.002758</x:v>
      </x:c>
      <x:c r="P185" s="44" t="n">
        <x:f>SUM(D185:O185)</x:f>
        <x:v>0.06895</x:v>
      </x:c>
      <x:c r="Q185" s="54" t="n">
        <x:f>P185-C185</x:f>
        <x:v>0</x:v>
      </x:c>
    </x:row>
    <x:row r="186">
      <x:c r="B186" s="21" t="str">
        <x:v>F45-I4</x:v>
      </x:c>
      <x:c r="C186" s="44" t="n">
        <x:v>0.06895</x:v>
      </x:c>
      <x:c r="D186" s="44" t="n">
        <x:f>$C186*0.04</x:f>
        <x:v>0.002758</x:v>
      </x:c>
      <x:c r="E186" s="44" t="n">
        <x:f>$C186*0.06</x:f>
        <x:v>0.004137</x:v>
      </x:c>
      <x:c r="F186" s="44" t="n">
        <x:f>$C186*0.08</x:f>
        <x:v>0.005516</x:v>
      </x:c>
      <x:c r="G186" s="44" t="n">
        <x:f>$C186*0.1</x:f>
        <x:v>0.006895</x:v>
      </x:c>
      <x:c r="H186" s="44" t="n">
        <x:f>$C186*0.12</x:f>
        <x:v>0.008274</x:v>
      </x:c>
      <x:c r="I186" s="44" t="n">
        <x:f>$C186*0.12</x:f>
        <x:v>0.008274</x:v>
      </x:c>
      <x:c r="J186" s="44" t="n">
        <x:f>$C186*0.12</x:f>
        <x:v>0.008274</x:v>
      </x:c>
      <x:c r="K186" s="44" t="n">
        <x:f>$C186*0.11</x:f>
        <x:v>0.0075845</x:v>
      </x:c>
      <x:c r="L186" s="44" t="n">
        <x:f>$C186*0.09</x:f>
        <x:v>0.006205499999999999</x:v>
      </x:c>
      <x:c r="M186" s="44" t="n">
        <x:f>$C186*0.07</x:f>
        <x:v>0.0048265</x:v>
      </x:c>
      <x:c r="N186" s="44" t="n">
        <x:f>$C186*0.05</x:f>
        <x:v>0.0034475</x:v>
      </x:c>
      <x:c r="O186" s="44" t="n">
        <x:f>$C186*0.04</x:f>
        <x:v>0.002758</x:v>
      </x:c>
      <x:c r="P186" s="44" t="n">
        <x:f>SUM(D186:O186)</x:f>
        <x:v>0.06895</x:v>
      </x:c>
      <x:c r="Q186" s="54" t="n">
        <x:f>P186-C186</x:f>
        <x:v>0</x:v>
      </x:c>
    </x:row>
    <x:row r="187">
      <x:c r="B187" s="21" t="str">
        <x:v>F46-I1</x:v>
      </x:c>
      <x:c r="C187" s="44" t="n">
        <x:v>0.06895</x:v>
      </x:c>
      <x:c r="D187" s="44" t="n">
        <x:f>$C187*0.04</x:f>
        <x:v>0.002758</x:v>
      </x:c>
      <x:c r="E187" s="44" t="n">
        <x:f>$C187*0.06</x:f>
        <x:v>0.004137</x:v>
      </x:c>
      <x:c r="F187" s="44" t="n">
        <x:f>$C187*0.08</x:f>
        <x:v>0.005516</x:v>
      </x:c>
      <x:c r="G187" s="44" t="n">
        <x:f>$C187*0.1</x:f>
        <x:v>0.006895</x:v>
      </x:c>
      <x:c r="H187" s="44" t="n">
        <x:f>$C187*0.12</x:f>
        <x:v>0.008274</x:v>
      </x:c>
      <x:c r="I187" s="44" t="n">
        <x:f>$C187*0.12</x:f>
        <x:v>0.008274</x:v>
      </x:c>
      <x:c r="J187" s="44" t="n">
        <x:f>$C187*0.12</x:f>
        <x:v>0.008274</x:v>
      </x:c>
      <x:c r="K187" s="44" t="n">
        <x:f>$C187*0.11</x:f>
        <x:v>0.0075845</x:v>
      </x:c>
      <x:c r="L187" s="44" t="n">
        <x:f>$C187*0.09</x:f>
        <x:v>0.006205499999999999</x:v>
      </x:c>
      <x:c r="M187" s="44" t="n">
        <x:f>$C187*0.07</x:f>
        <x:v>0.0048265</x:v>
      </x:c>
      <x:c r="N187" s="44" t="n">
        <x:f>$C187*0.05</x:f>
        <x:v>0.0034475</x:v>
      </x:c>
      <x:c r="O187" s="44" t="n">
        <x:f>$C187*0.04</x:f>
        <x:v>0.002758</x:v>
      </x:c>
      <x:c r="P187" s="44" t="n">
        <x:f>SUM(D187:O187)</x:f>
        <x:v>0.06895</x:v>
      </x:c>
      <x:c r="Q187" s="54" t="n">
        <x:f>P187-C187</x:f>
        <x:v>0</x:v>
      </x:c>
    </x:row>
    <x:row r="188">
      <x:c r="B188" s="21" t="str">
        <x:v>F46-I2</x:v>
      </x:c>
      <x:c r="C188" s="44" t="n">
        <x:v>0.06895</x:v>
      </x:c>
      <x:c r="D188" s="44" t="n">
        <x:f>$C188*0.04</x:f>
        <x:v>0.002758</x:v>
      </x:c>
      <x:c r="E188" s="44" t="n">
        <x:f>$C188*0.06</x:f>
        <x:v>0.004137</x:v>
      </x:c>
      <x:c r="F188" s="44" t="n">
        <x:f>$C188*0.08</x:f>
        <x:v>0.005516</x:v>
      </x:c>
      <x:c r="G188" s="44" t="n">
        <x:f>$C188*0.1</x:f>
        <x:v>0.006895</x:v>
      </x:c>
      <x:c r="H188" s="44" t="n">
        <x:f>$C188*0.12</x:f>
        <x:v>0.008274</x:v>
      </x:c>
      <x:c r="I188" s="44" t="n">
        <x:f>$C188*0.12</x:f>
        <x:v>0.008274</x:v>
      </x:c>
      <x:c r="J188" s="44" t="n">
        <x:f>$C188*0.12</x:f>
        <x:v>0.008274</x:v>
      </x:c>
      <x:c r="K188" s="44" t="n">
        <x:f>$C188*0.11</x:f>
        <x:v>0.0075845</x:v>
      </x:c>
      <x:c r="L188" s="44" t="n">
        <x:f>$C188*0.09</x:f>
        <x:v>0.006205499999999999</x:v>
      </x:c>
      <x:c r="M188" s="44" t="n">
        <x:f>$C188*0.07</x:f>
        <x:v>0.0048265</x:v>
      </x:c>
      <x:c r="N188" s="44" t="n">
        <x:f>$C188*0.05</x:f>
        <x:v>0.0034475</x:v>
      </x:c>
      <x:c r="O188" s="44" t="n">
        <x:f>$C188*0.04</x:f>
        <x:v>0.002758</x:v>
      </x:c>
      <x:c r="P188" s="44" t="n">
        <x:f>SUM(D188:O188)</x:f>
        <x:v>0.06895</x:v>
      </x:c>
      <x:c r="Q188" s="54" t="n">
        <x:f>P188-C188</x:f>
        <x:v>0</x:v>
      </x:c>
    </x:row>
    <x:row r="189">
      <x:c r="B189" s="21" t="str">
        <x:v>F46-I3</x:v>
      </x:c>
      <x:c r="C189" s="44" t="n">
        <x:v>0.06895</x:v>
      </x:c>
      <x:c r="D189" s="44" t="n">
        <x:f>$C189*0.04</x:f>
        <x:v>0.002758</x:v>
      </x:c>
      <x:c r="E189" s="44" t="n">
        <x:f>$C189*0.06</x:f>
        <x:v>0.004137</x:v>
      </x:c>
      <x:c r="F189" s="44" t="n">
        <x:f>$C189*0.08</x:f>
        <x:v>0.005516</x:v>
      </x:c>
      <x:c r="G189" s="44" t="n">
        <x:f>$C189*0.1</x:f>
        <x:v>0.006895</x:v>
      </x:c>
      <x:c r="H189" s="44" t="n">
        <x:f>$C189*0.12</x:f>
        <x:v>0.008274</x:v>
      </x:c>
      <x:c r="I189" s="44" t="n">
        <x:f>$C189*0.12</x:f>
        <x:v>0.008274</x:v>
      </x:c>
      <x:c r="J189" s="44" t="n">
        <x:f>$C189*0.12</x:f>
        <x:v>0.008274</x:v>
      </x:c>
      <x:c r="K189" s="44" t="n">
        <x:f>$C189*0.11</x:f>
        <x:v>0.0075845</x:v>
      </x:c>
      <x:c r="L189" s="44" t="n">
        <x:f>$C189*0.09</x:f>
        <x:v>0.006205499999999999</x:v>
      </x:c>
      <x:c r="M189" s="44" t="n">
        <x:f>$C189*0.07</x:f>
        <x:v>0.0048265</x:v>
      </x:c>
      <x:c r="N189" s="44" t="n">
        <x:f>$C189*0.05</x:f>
        <x:v>0.0034475</x:v>
      </x:c>
      <x:c r="O189" s="44" t="n">
        <x:f>$C189*0.04</x:f>
        <x:v>0.002758</x:v>
      </x:c>
      <x:c r="P189" s="44" t="n">
        <x:f>SUM(D189:O189)</x:f>
        <x:v>0.06895</x:v>
      </x:c>
      <x:c r="Q189" s="54" t="n">
        <x:f>P189-C189</x:f>
        <x:v>0</x:v>
      </x:c>
    </x:row>
    <x:row r="190">
      <x:c r="B190" s="21" t="str">
        <x:v>F46-I4</x:v>
      </x:c>
      <x:c r="C190" s="44" t="n">
        <x:v>0.06895</x:v>
      </x:c>
      <x:c r="D190" s="44" t="n">
        <x:f>$C190*0.04</x:f>
        <x:v>0.002758</x:v>
      </x:c>
      <x:c r="E190" s="44" t="n">
        <x:f>$C190*0.06</x:f>
        <x:v>0.004137</x:v>
      </x:c>
      <x:c r="F190" s="44" t="n">
        <x:f>$C190*0.08</x:f>
        <x:v>0.005516</x:v>
      </x:c>
      <x:c r="G190" s="44" t="n">
        <x:f>$C190*0.1</x:f>
        <x:v>0.006895</x:v>
      </x:c>
      <x:c r="H190" s="44" t="n">
        <x:f>$C190*0.12</x:f>
        <x:v>0.008274</x:v>
      </x:c>
      <x:c r="I190" s="44" t="n">
        <x:f>$C190*0.12</x:f>
        <x:v>0.008274</x:v>
      </x:c>
      <x:c r="J190" s="44" t="n">
        <x:f>$C190*0.12</x:f>
        <x:v>0.008274</x:v>
      </x:c>
      <x:c r="K190" s="44" t="n">
        <x:f>$C190*0.11</x:f>
        <x:v>0.0075845</x:v>
      </x:c>
      <x:c r="L190" s="44" t="n">
        <x:f>$C190*0.09</x:f>
        <x:v>0.006205499999999999</x:v>
      </x:c>
      <x:c r="M190" s="44" t="n">
        <x:f>$C190*0.07</x:f>
        <x:v>0.0048265</x:v>
      </x:c>
      <x:c r="N190" s="44" t="n">
        <x:f>$C190*0.05</x:f>
        <x:v>0.0034475</x:v>
      </x:c>
      <x:c r="O190" s="44" t="n">
        <x:f>$C190*0.04</x:f>
        <x:v>0.002758</x:v>
      </x:c>
      <x:c r="P190" s="44" t="n">
        <x:f>SUM(D190:O190)</x:f>
        <x:v>0.06895</x:v>
      </x:c>
      <x:c r="Q190" s="54" t="n">
        <x:f>P190-C190</x:f>
        <x:v>0</x:v>
      </x:c>
    </x:row>
    <x:row r="191">
      <x:c r="B191" s="21" t="str">
        <x:v>F47-I1</x:v>
      </x:c>
      <x:c r="C191" s="44" t="n">
        <x:v>0.06895</x:v>
      </x:c>
      <x:c r="D191" s="44" t="n">
        <x:f>$C191*0.04</x:f>
        <x:v>0.002758</x:v>
      </x:c>
      <x:c r="E191" s="44" t="n">
        <x:f>$C191*0.06</x:f>
        <x:v>0.004137</x:v>
      </x:c>
      <x:c r="F191" s="44" t="n">
        <x:f>$C191*0.08</x:f>
        <x:v>0.005516</x:v>
      </x:c>
      <x:c r="G191" s="44" t="n">
        <x:f>$C191*0.1</x:f>
        <x:v>0.006895</x:v>
      </x:c>
      <x:c r="H191" s="44" t="n">
        <x:f>$C191*0.12</x:f>
        <x:v>0.008274</x:v>
      </x:c>
      <x:c r="I191" s="44" t="n">
        <x:f>$C191*0.12</x:f>
        <x:v>0.008274</x:v>
      </x:c>
      <x:c r="J191" s="44" t="n">
        <x:f>$C191*0.12</x:f>
        <x:v>0.008274</x:v>
      </x:c>
      <x:c r="K191" s="44" t="n">
        <x:f>$C191*0.11</x:f>
        <x:v>0.0075845</x:v>
      </x:c>
      <x:c r="L191" s="44" t="n">
        <x:f>$C191*0.09</x:f>
        <x:v>0.006205499999999999</x:v>
      </x:c>
      <x:c r="M191" s="44" t="n">
        <x:f>$C191*0.07</x:f>
        <x:v>0.0048265</x:v>
      </x:c>
      <x:c r="N191" s="44" t="n">
        <x:f>$C191*0.05</x:f>
        <x:v>0.0034475</x:v>
      </x:c>
      <x:c r="O191" s="44" t="n">
        <x:f>$C191*0.04</x:f>
        <x:v>0.002758</x:v>
      </x:c>
      <x:c r="P191" s="44" t="n">
        <x:f>SUM(D191:O191)</x:f>
        <x:v>0.06895</x:v>
      </x:c>
      <x:c r="Q191" s="54" t="n">
        <x:f>P191-C191</x:f>
        <x:v>0</x:v>
      </x:c>
    </x:row>
    <x:row r="192">
      <x:c r="B192" s="21" t="str">
        <x:v>F47-I2</x:v>
      </x:c>
      <x:c r="C192" s="44" t="n">
        <x:v>0.06895</x:v>
      </x:c>
      <x:c r="D192" s="44" t="n">
        <x:f>$C192*0.04</x:f>
        <x:v>0.002758</x:v>
      </x:c>
      <x:c r="E192" s="44" t="n">
        <x:f>$C192*0.06</x:f>
        <x:v>0.004137</x:v>
      </x:c>
      <x:c r="F192" s="44" t="n">
        <x:f>$C192*0.08</x:f>
        <x:v>0.005516</x:v>
      </x:c>
      <x:c r="G192" s="44" t="n">
        <x:f>$C192*0.1</x:f>
        <x:v>0.006895</x:v>
      </x:c>
      <x:c r="H192" s="44" t="n">
        <x:f>$C192*0.12</x:f>
        <x:v>0.008274</x:v>
      </x:c>
      <x:c r="I192" s="44" t="n">
        <x:f>$C192*0.12</x:f>
        <x:v>0.008274</x:v>
      </x:c>
      <x:c r="J192" s="44" t="n">
        <x:f>$C192*0.12</x:f>
        <x:v>0.008274</x:v>
      </x:c>
      <x:c r="K192" s="44" t="n">
        <x:f>$C192*0.11</x:f>
        <x:v>0.0075845</x:v>
      </x:c>
      <x:c r="L192" s="44" t="n">
        <x:f>$C192*0.09</x:f>
        <x:v>0.006205499999999999</x:v>
      </x:c>
      <x:c r="M192" s="44" t="n">
        <x:f>$C192*0.07</x:f>
        <x:v>0.0048265</x:v>
      </x:c>
      <x:c r="N192" s="44" t="n">
        <x:f>$C192*0.05</x:f>
        <x:v>0.0034475</x:v>
      </x:c>
      <x:c r="O192" s="44" t="n">
        <x:f>$C192*0.04</x:f>
        <x:v>0.002758</x:v>
      </x:c>
      <x:c r="P192" s="44" t="n">
        <x:f>SUM(D192:O192)</x:f>
        <x:v>0.06895</x:v>
      </x:c>
      <x:c r="Q192" s="54" t="n">
        <x:f>P192-C192</x:f>
        <x:v>0</x:v>
      </x:c>
    </x:row>
    <x:row r="193">
      <x:c r="B193" s="21" t="str">
        <x:v>F47-I3</x:v>
      </x:c>
      <x:c r="C193" s="44" t="n">
        <x:v>0.06895</x:v>
      </x:c>
      <x:c r="D193" s="44" t="n">
        <x:f>$C193*0.04</x:f>
        <x:v>0.002758</x:v>
      </x:c>
      <x:c r="E193" s="44" t="n">
        <x:f>$C193*0.06</x:f>
        <x:v>0.004137</x:v>
      </x:c>
      <x:c r="F193" s="44" t="n">
        <x:f>$C193*0.08</x:f>
        <x:v>0.005516</x:v>
      </x:c>
      <x:c r="G193" s="44" t="n">
        <x:f>$C193*0.1</x:f>
        <x:v>0.006895</x:v>
      </x:c>
      <x:c r="H193" s="44" t="n">
        <x:f>$C193*0.12</x:f>
        <x:v>0.008274</x:v>
      </x:c>
      <x:c r="I193" s="44" t="n">
        <x:f>$C193*0.12</x:f>
        <x:v>0.008274</x:v>
      </x:c>
      <x:c r="J193" s="44" t="n">
        <x:f>$C193*0.12</x:f>
        <x:v>0.008274</x:v>
      </x:c>
      <x:c r="K193" s="44" t="n">
        <x:f>$C193*0.11</x:f>
        <x:v>0.0075845</x:v>
      </x:c>
      <x:c r="L193" s="44" t="n">
        <x:f>$C193*0.09</x:f>
        <x:v>0.006205499999999999</x:v>
      </x:c>
      <x:c r="M193" s="44" t="n">
        <x:f>$C193*0.07</x:f>
        <x:v>0.0048265</x:v>
      </x:c>
      <x:c r="N193" s="44" t="n">
        <x:f>$C193*0.05</x:f>
        <x:v>0.0034475</x:v>
      </x:c>
      <x:c r="O193" s="44" t="n">
        <x:f>$C193*0.04</x:f>
        <x:v>0.002758</x:v>
      </x:c>
      <x:c r="P193" s="44" t="n">
        <x:f>SUM(D193:O193)</x:f>
        <x:v>0.06895</x:v>
      </x:c>
      <x:c r="Q193" s="54" t="n">
        <x:f>P193-C193</x:f>
        <x:v>0</x:v>
      </x:c>
    </x:row>
    <x:row r="194">
      <x:c r="B194" s="21" t="str">
        <x:v>F47-I4</x:v>
      </x:c>
      <x:c r="C194" s="44" t="n">
        <x:v>0.06895</x:v>
      </x:c>
      <x:c r="D194" s="44" t="n">
        <x:f>$C194*0.04</x:f>
        <x:v>0.002758</x:v>
      </x:c>
      <x:c r="E194" s="44" t="n">
        <x:f>$C194*0.06</x:f>
        <x:v>0.004137</x:v>
      </x:c>
      <x:c r="F194" s="44" t="n">
        <x:f>$C194*0.08</x:f>
        <x:v>0.005516</x:v>
      </x:c>
      <x:c r="G194" s="44" t="n">
        <x:f>$C194*0.1</x:f>
        <x:v>0.006895</x:v>
      </x:c>
      <x:c r="H194" s="44" t="n">
        <x:f>$C194*0.12</x:f>
        <x:v>0.008274</x:v>
      </x:c>
      <x:c r="I194" s="44" t="n">
        <x:f>$C194*0.12</x:f>
        <x:v>0.008274</x:v>
      </x:c>
      <x:c r="J194" s="44" t="n">
        <x:f>$C194*0.12</x:f>
        <x:v>0.008274</x:v>
      </x:c>
      <x:c r="K194" s="44" t="n">
        <x:f>$C194*0.11</x:f>
        <x:v>0.0075845</x:v>
      </x:c>
      <x:c r="L194" s="44" t="n">
        <x:f>$C194*0.09</x:f>
        <x:v>0.006205499999999999</x:v>
      </x:c>
      <x:c r="M194" s="44" t="n">
        <x:f>$C194*0.07</x:f>
        <x:v>0.0048265</x:v>
      </x:c>
      <x:c r="N194" s="44" t="n">
        <x:f>$C194*0.05</x:f>
        <x:v>0.0034475</x:v>
      </x:c>
      <x:c r="O194" s="44" t="n">
        <x:f>$C194*0.04</x:f>
        <x:v>0.002758</x:v>
      </x:c>
      <x:c r="P194" s="44" t="n">
        <x:f>SUM(D194:O194)</x:f>
        <x:v>0.06895</x:v>
      </x:c>
      <x:c r="Q194" s="54" t="n">
        <x:f>P194-C194</x:f>
        <x:v>0</x:v>
      </x:c>
    </x:row>
    <x:row r="195">
      <x:c r="B195" s="21" t="str">
        <x:v>F48-I1</x:v>
      </x:c>
      <x:c r="C195" s="44" t="n">
        <x:v>0.06895</x:v>
      </x:c>
      <x:c r="D195" s="44" t="n">
        <x:f>$C195*0.04</x:f>
        <x:v>0.002758</x:v>
      </x:c>
      <x:c r="E195" s="44" t="n">
        <x:f>$C195*0.06</x:f>
        <x:v>0.004137</x:v>
      </x:c>
      <x:c r="F195" s="44" t="n">
        <x:f>$C195*0.08</x:f>
        <x:v>0.005516</x:v>
      </x:c>
      <x:c r="G195" s="44" t="n">
        <x:f>$C195*0.1</x:f>
        <x:v>0.006895</x:v>
      </x:c>
      <x:c r="H195" s="44" t="n">
        <x:f>$C195*0.12</x:f>
        <x:v>0.008274</x:v>
      </x:c>
      <x:c r="I195" s="44" t="n">
        <x:f>$C195*0.12</x:f>
        <x:v>0.008274</x:v>
      </x:c>
      <x:c r="J195" s="44" t="n">
        <x:f>$C195*0.12</x:f>
        <x:v>0.008274</x:v>
      </x:c>
      <x:c r="K195" s="44" t="n">
        <x:f>$C195*0.11</x:f>
        <x:v>0.0075845</x:v>
      </x:c>
      <x:c r="L195" s="44" t="n">
        <x:f>$C195*0.09</x:f>
        <x:v>0.006205499999999999</x:v>
      </x:c>
      <x:c r="M195" s="44" t="n">
        <x:f>$C195*0.07</x:f>
        <x:v>0.0048265</x:v>
      </x:c>
      <x:c r="N195" s="44" t="n">
        <x:f>$C195*0.05</x:f>
        <x:v>0.0034475</x:v>
      </x:c>
      <x:c r="O195" s="44" t="n">
        <x:f>$C195*0.04</x:f>
        <x:v>0.002758</x:v>
      </x:c>
      <x:c r="P195" s="44" t="n">
        <x:f>SUM(D195:O195)</x:f>
        <x:v>0.06895</x:v>
      </x:c>
      <x:c r="Q195" s="54" t="n">
        <x:f>P195-C195</x:f>
        <x:v>0</x:v>
      </x:c>
    </x:row>
    <x:row r="196">
      <x:c r="B196" s="21" t="str">
        <x:v>F48-I2</x:v>
      </x:c>
      <x:c r="C196" s="44" t="n">
        <x:v>0.06895</x:v>
      </x:c>
      <x:c r="D196" s="44" t="n">
        <x:f>$C196*0.04</x:f>
        <x:v>0.002758</x:v>
      </x:c>
      <x:c r="E196" s="44" t="n">
        <x:f>$C196*0.06</x:f>
        <x:v>0.004137</x:v>
      </x:c>
      <x:c r="F196" s="44" t="n">
        <x:f>$C196*0.08</x:f>
        <x:v>0.005516</x:v>
      </x:c>
      <x:c r="G196" s="44" t="n">
        <x:f>$C196*0.1</x:f>
        <x:v>0.006895</x:v>
      </x:c>
      <x:c r="H196" s="44" t="n">
        <x:f>$C196*0.12</x:f>
        <x:v>0.008274</x:v>
      </x:c>
      <x:c r="I196" s="44" t="n">
        <x:f>$C196*0.12</x:f>
        <x:v>0.008274</x:v>
      </x:c>
      <x:c r="J196" s="44" t="n">
        <x:f>$C196*0.12</x:f>
        <x:v>0.008274</x:v>
      </x:c>
      <x:c r="K196" s="44" t="n">
        <x:f>$C196*0.11</x:f>
        <x:v>0.0075845</x:v>
      </x:c>
      <x:c r="L196" s="44" t="n">
        <x:f>$C196*0.09</x:f>
        <x:v>0.006205499999999999</x:v>
      </x:c>
      <x:c r="M196" s="44" t="n">
        <x:f>$C196*0.07</x:f>
        <x:v>0.0048265</x:v>
      </x:c>
      <x:c r="N196" s="44" t="n">
        <x:f>$C196*0.05</x:f>
        <x:v>0.0034475</x:v>
      </x:c>
      <x:c r="O196" s="44" t="n">
        <x:f>$C196*0.04</x:f>
        <x:v>0.002758</x:v>
      </x:c>
      <x:c r="P196" s="44" t="n">
        <x:f>SUM(D196:O196)</x:f>
        <x:v>0.06895</x:v>
      </x:c>
      <x:c r="Q196" s="54" t="n">
        <x:f>P196-C196</x:f>
        <x:v>0</x:v>
      </x:c>
    </x:row>
    <x:row r="197">
      <x:c r="B197" s="21" t="str">
        <x:v>F48-I3</x:v>
      </x:c>
      <x:c r="C197" s="44" t="n">
        <x:v>0.06895</x:v>
      </x:c>
      <x:c r="D197" s="44" t="n">
        <x:f>$C197*0.04</x:f>
        <x:v>0.002758</x:v>
      </x:c>
      <x:c r="E197" s="44" t="n">
        <x:f>$C197*0.06</x:f>
        <x:v>0.004137</x:v>
      </x:c>
      <x:c r="F197" s="44" t="n">
        <x:f>$C197*0.08</x:f>
        <x:v>0.005516</x:v>
      </x:c>
      <x:c r="G197" s="44" t="n">
        <x:f>$C197*0.1</x:f>
        <x:v>0.006895</x:v>
      </x:c>
      <x:c r="H197" s="44" t="n">
        <x:f>$C197*0.12</x:f>
        <x:v>0.008274</x:v>
      </x:c>
      <x:c r="I197" s="44" t="n">
        <x:f>$C197*0.12</x:f>
        <x:v>0.008274</x:v>
      </x:c>
      <x:c r="J197" s="44" t="n">
        <x:f>$C197*0.12</x:f>
        <x:v>0.008274</x:v>
      </x:c>
      <x:c r="K197" s="44" t="n">
        <x:f>$C197*0.11</x:f>
        <x:v>0.0075845</x:v>
      </x:c>
      <x:c r="L197" s="44" t="n">
        <x:f>$C197*0.09</x:f>
        <x:v>0.006205499999999999</x:v>
      </x:c>
      <x:c r="M197" s="44" t="n">
        <x:f>$C197*0.07</x:f>
        <x:v>0.0048265</x:v>
      </x:c>
      <x:c r="N197" s="44" t="n">
        <x:f>$C197*0.05</x:f>
        <x:v>0.0034475</x:v>
      </x:c>
      <x:c r="O197" s="44" t="n">
        <x:f>$C197*0.04</x:f>
        <x:v>0.002758</x:v>
      </x:c>
      <x:c r="P197" s="44" t="n">
        <x:f>SUM(D197:O197)</x:f>
        <x:v>0.06895</x:v>
      </x:c>
      <x:c r="Q197" s="54" t="n">
        <x:f>P197-C197</x:f>
        <x:v>0</x:v>
      </x:c>
    </x:row>
    <x:row r="198">
      <x:c r="B198" s="24" t="str">
        <x:v>F48-I4</x:v>
      </x:c>
      <x:c r="C198" s="45" t="n">
        <x:v>0.06895</x:v>
      </x:c>
      <x:c r="D198" s="45" t="n">
        <x:f>$C198*0.04</x:f>
        <x:v>0.002758</x:v>
      </x:c>
      <x:c r="E198" s="45" t="n">
        <x:f>$C198*0.06</x:f>
        <x:v>0.004137</x:v>
      </x:c>
      <x:c r="F198" s="45" t="n">
        <x:f>$C198*0.08</x:f>
        <x:v>0.005516</x:v>
      </x:c>
      <x:c r="G198" s="45" t="n">
        <x:f>$C198*0.1</x:f>
        <x:v>0.006895</x:v>
      </x:c>
      <x:c r="H198" s="45" t="n">
        <x:f>$C198*0.12</x:f>
        <x:v>0.008274</x:v>
      </x:c>
      <x:c r="I198" s="45" t="n">
        <x:f>$C198*0.12</x:f>
        <x:v>0.008274</x:v>
      </x:c>
      <x:c r="J198" s="45" t="n">
        <x:f>$C198*0.12</x:f>
        <x:v>0.008274</x:v>
      </x:c>
      <x:c r="K198" s="45" t="n">
        <x:f>$C198*0.11</x:f>
        <x:v>0.0075845</x:v>
      </x:c>
      <x:c r="L198" s="45" t="n">
        <x:f>$C198*0.09</x:f>
        <x:v>0.006205499999999999</x:v>
      </x:c>
      <x:c r="M198" s="45" t="n">
        <x:f>$C198*0.07</x:f>
        <x:v>0.0048265</x:v>
      </x:c>
      <x:c r="N198" s="45" t="n">
        <x:f>$C198*0.05</x:f>
        <x:v>0.0034475</x:v>
      </x:c>
      <x:c r="O198" s="45" t="n">
        <x:f>$C198*0.04</x:f>
        <x:v>0.002758</x:v>
      </x:c>
      <x:c r="P198" s="45" t="n">
        <x:f>SUM(D198:O198)</x:f>
        <x:v>0.06895</x:v>
      </x:c>
      <x:c r="Q198" s="55" t="n">
        <x:f>P198-C198</x:f>
        <x:v>0</x:v>
      </x:c>
    </x:row>
    <x:row r="199"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</x:row>
    <x:row r="200"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</x:row>
    <x:row r="201"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</x:row>
    <x:row r="202"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</x:row>
  </x:sheetData>
  <x:mergeCells>
    <x:mergeCell ref="B3:Q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9" hidden="0" customWidth="1"/>
    <x:col min="4" max="4" width="58" hidden="0" customWidth="1"/>
    <x:col min="5" max="5" width="43" hidden="0" customWidth="1"/>
    <x:col min="6" max="6" width="18" hidden="0" customWidth="1"/>
    <x:col min="7" max="7" width="38" hidden="0" customWidth="1"/>
    <x:col min="8" max="8" width="12" hidden="0" customWidth="1"/>
  </x:cols>
  <x:sheetData>
    <x:row r="2">
      <x:c r="B2" s="3" t="str">
        <x:v>Failure and replacement logic</x:v>
      </x:c>
      <x:c r="C2" s="2"/>
      <x:c r="D2" s="2"/>
      <x:c r="E2" s="2"/>
      <x:c r="F2" s="2"/>
      <x:c r="G2" s="2"/>
      <x:c r="H2" s="2"/>
    </x:row>
    <x:row r="3">
      <x:c r="B3" s="4" t="str">
        <x:v>A mature force expects technical roots, suppliers, evidence methods, and mobilization routes to fail. The operating system replaces capability paths without deleting causal memory.</x:v>
      </x:c>
      <x:c r="C3" s="2"/>
      <x:c r="D3" s="2"/>
      <x:c r="E3" s="2"/>
      <x:c r="F3" s="2"/>
      <x:c r="G3" s="2"/>
      <x:c r="H3" s="2"/>
    </x:row>
    <x:row r="4">
      <x:c r="B4" s="5"/>
      <x:c r="C4" s="5"/>
      <x:c r="D4" s="5"/>
      <x:c r="E4" s="5"/>
      <x:c r="F4" s="5"/>
      <x:c r="G4" s="5"/>
      <x:c r="H4" s="5"/>
    </x:row>
    <x:row r="5">
      <x:c r="B5" s="2"/>
      <x:c r="C5" s="2"/>
      <x:c r="D5" s="2"/>
      <x:c r="E5" s="2"/>
      <x:c r="F5" s="2"/>
      <x:c r="G5" s="2"/>
      <x:c r="H5" s="2"/>
    </x:row>
    <x:row r="6">
      <x:c r="B6" s="19" t="str">
        <x:v>Trigger</x:v>
      </x:c>
      <x:c r="C6" s="20" t="str">
        <x:v>Observed failure</x:v>
      </x:c>
      <x:c r="D6" s="20" t="str">
        <x:v>Mandatory action</x:v>
      </x:c>
      <x:c r="E6" s="20" t="str">
        <x:v>Evidence preserved</x:v>
      </x:c>
      <x:c r="F6" s="20" t="str">
        <x:v>Automatic waiver</x:v>
      </x:c>
      <x:c r="G6" s="20" t="str">
        <x:v>Authority</x:v>
      </x:c>
      <x:c r="H6" s="20" t="str">
        <x:v>Decision</x:v>
      </x:c>
    </x:row>
    <x:row r="7" ht="38" customHeight="1">
      <x:c r="B7" s="35" t="str">
        <x:v>R01</x:v>
      </x:c>
      <x:c r="C7" s="35" t="str">
        <x:v>Failed nonnegotiable effect boundary</x:v>
      </x:c>
      <x:c r="D7" s="35" t="str">
        <x:v>stop affected root; preserve article and evidence; open alternate</x:v>
      </x:c>
      <x:c r="E7" s="35" t="str">
        <x:v>articles + data + deviations + causal finding</x:v>
      </x:c>
      <x:c r="F7" s="35" t="n">
        <x:v>0</x:v>
      </x:c>
      <x:c r="G7" s="35" t="str">
        <x:v>named adjudicator + independent evidence</x:v>
      </x:c>
      <x:c r="H7" s="38" t="str">
        <x:v>HOLD</x:v>
      </x:c>
    </x:row>
    <x:row r="8" ht="38" customHeight="1">
      <x:c r="B8" s="35" t="str">
        <x:v>R02</x:v>
      </x:c>
      <x:c r="C8" s="35" t="str">
        <x:v>Technical-rights defect</x:v>
      </x:c>
      <x:c r="D8" s="35" t="str">
        <x:v>withhold release; compel cure or replace source</x:v>
      </x:c>
      <x:c r="E8" s="35" t="str">
        <x:v>articles + data + deviations + causal finding</x:v>
      </x:c>
      <x:c r="F8" s="35" t="n">
        <x:v>0</x:v>
      </x:c>
      <x:c r="G8" s="35" t="str">
        <x:v>named adjudicator + independent evidence</x:v>
      </x:c>
      <x:c r="H8" s="38" t="str">
        <x:v>HOLD</x:v>
      </x:c>
    </x:row>
    <x:row r="9" ht="38" customHeight="1">
      <x:c r="B9" s="35" t="str">
        <x:v>R03</x:v>
      </x:c>
      <x:c r="C9" s="35" t="str">
        <x:v>Shared ancestry or common-mode discovery</x:v>
      </x:c>
      <x:c r="D9" s="35" t="str">
        <x:v>reclassify roots; fund materially unlike path</x:v>
      </x:c>
      <x:c r="E9" s="35" t="str">
        <x:v>articles + data + deviations + causal finding</x:v>
      </x:c>
      <x:c r="F9" s="35" t="n">
        <x:v>0</x:v>
      </x:c>
      <x:c r="G9" s="35" t="str">
        <x:v>named adjudicator + independent evidence</x:v>
      </x:c>
      <x:c r="H9" s="38" t="str">
        <x:v>HOLD</x:v>
      </x:c>
    </x:row>
    <x:row r="10" ht="38" customHeight="1">
      <x:c r="B10" s="35" t="str">
        <x:v>R04</x:v>
      </x:c>
      <x:c r="C10" s="35" t="str">
        <x:v>Ownership or beneficial-control change</x:v>
      </x:c>
      <x:c r="D10" s="35" t="str">
        <x:v>quarantine source pending independence review</x:v>
      </x:c>
      <x:c r="E10" s="35" t="str">
        <x:v>articles + data + deviations + causal finding</x:v>
      </x:c>
      <x:c r="F10" s="35" t="n">
        <x:v>0</x:v>
      </x:c>
      <x:c r="G10" s="35" t="str">
        <x:v>named adjudicator + independent evidence</x:v>
      </x:c>
      <x:c r="H10" s="38" t="str">
        <x:v>HOLD</x:v>
      </x:c>
    </x:row>
    <x:row r="11" ht="38" customHeight="1">
      <x:c r="B11" s="35" t="str">
        <x:v>R05</x:v>
      </x:c>
      <x:c r="C11" s="35" t="str">
        <x:v>Process facility or tooling loss</x:v>
      </x:c>
      <x:c r="D11" s="35" t="str">
        <x:v>activate qualified alternate and reproduce article</x:v>
      </x:c>
      <x:c r="E11" s="35" t="str">
        <x:v>articles + data + deviations + causal finding</x:v>
      </x:c>
      <x:c r="F11" s="35" t="n">
        <x:v>0</x:v>
      </x:c>
      <x:c r="G11" s="35" t="str">
        <x:v>named adjudicator + independent evidence</x:v>
      </x:c>
      <x:c r="H11" s="38" t="str">
        <x:v>HOLD</x:v>
      </x:c>
    </x:row>
    <x:row r="12" ht="38" customHeight="1">
      <x:c r="B12" s="35" t="str">
        <x:v>R06</x:v>
      </x:c>
      <x:c r="C12" s="35" t="str">
        <x:v>Sustained schedule variance</x:v>
      </x:c>
      <x:c r="D12" s="35" t="str">
        <x:v>remove calendar credit; restructure program capacity</x:v>
      </x:c>
      <x:c r="E12" s="35" t="str">
        <x:v>articles + data + deviations + causal finding</x:v>
      </x:c>
      <x:c r="F12" s="35" t="n">
        <x:v>0</x:v>
      </x:c>
      <x:c r="G12" s="35" t="str">
        <x:v>named adjudicator + independent evidence</x:v>
      </x:c>
      <x:c r="H12" s="38" t="str">
        <x:v>HOLD</x:v>
      </x:c>
    </x:row>
    <x:row r="13" ht="38" customHeight="1">
      <x:c r="B13" s="35" t="str">
        <x:v>R07</x:v>
      </x:c>
      <x:c r="C13" s="35" t="str">
        <x:v>Material cost growth</x:v>
      </x:c>
      <x:c r="D13" s="35" t="str">
        <x:v>independent re-estimate; trade portfolio opportunity cost</x:v>
      </x:c>
      <x:c r="E13" s="35" t="str">
        <x:v>articles + data + deviations + causal finding</x:v>
      </x:c>
      <x:c r="F13" s="35" t="n">
        <x:v>0</x:v>
      </x:c>
      <x:c r="G13" s="35" t="str">
        <x:v>named adjudicator + independent evidence</x:v>
      </x:c>
      <x:c r="H13" s="38" t="str">
        <x:v>HOLD</x:v>
      </x:c>
    </x:row>
    <x:row r="14" ht="38" customHeight="1">
      <x:c r="B14" s="35" t="str">
        <x:v>R08</x:v>
      </x:c>
      <x:c r="C14" s="35" t="str">
        <x:v>Invalid test method or evidence</x:v>
      </x:c>
      <x:c r="D14" s="35" t="str">
        <x:v>void finding; preserve record; repeat independently</x:v>
      </x:c>
      <x:c r="E14" s="35" t="str">
        <x:v>articles + data + deviations + causal finding</x:v>
      </x:c>
      <x:c r="F14" s="35" t="n">
        <x:v>0</x:v>
      </x:c>
      <x:c r="G14" s="35" t="str">
        <x:v>named adjudicator + independent evidence</x:v>
      </x:c>
      <x:c r="H14" s="38" t="str">
        <x:v>HOLD</x:v>
      </x:c>
    </x:row>
    <x:row r="15" ht="38" customHeight="1">
      <x:c r="B15" s="35" t="str">
        <x:v>R09</x:v>
      </x:c>
      <x:c r="C15" s="35" t="str">
        <x:v>Safety failure</x:v>
      </x:c>
      <x:c r="D15" s="35" t="str">
        <x:v>stop exposure and serial movement; investigate without waiver</x:v>
      </x:c>
      <x:c r="E15" s="35" t="str">
        <x:v>articles + data + deviations + causal finding</x:v>
      </x:c>
      <x:c r="F15" s="35" t="n">
        <x:v>0</x:v>
      </x:c>
      <x:c r="G15" s="35" t="str">
        <x:v>named adjudicator + independent evidence</x:v>
      </x:c>
      <x:c r="H15" s="38" t="str">
        <x:v>HOLD</x:v>
      </x:c>
    </x:row>
    <x:row r="16" ht="38" customHeight="1">
      <x:c r="B16" s="35" t="str">
        <x:v>R10</x:v>
      </x:c>
      <x:c r="C16" s="35" t="str">
        <x:v>Production-yield collapse</x:v>
      </x:c>
      <x:c r="D16" s="35" t="str">
        <x:v>hold release; return to pilot-process qualification</x:v>
      </x:c>
      <x:c r="E16" s="35" t="str">
        <x:v>articles + data + deviations + causal finding</x:v>
      </x:c>
      <x:c r="F16" s="35" t="n">
        <x:v>0</x:v>
      </x:c>
      <x:c r="G16" s="35" t="str">
        <x:v>named adjudicator + independent evidence</x:v>
      </x:c>
      <x:c r="H16" s="38" t="str">
        <x:v>HOLD</x:v>
      </x:c>
    </x:row>
    <x:row r="17" ht="38" customHeight="1">
      <x:c r="B17" s="35" t="str">
        <x:v>R11</x:v>
      </x:c>
      <x:c r="C17" s="35" t="str">
        <x:v>Mobilization-exercise failure</x:v>
      </x:c>
      <x:c r="D17" s="35" t="str">
        <x:v>hold readiness claim; replace broken node or route</x:v>
      </x:c>
      <x:c r="E17" s="35" t="str">
        <x:v>articles + data + deviations + causal finding</x:v>
      </x:c>
      <x:c r="F17" s="35" t="n">
        <x:v>0</x:v>
      </x:c>
      <x:c r="G17" s="35" t="str">
        <x:v>named adjudicator + independent evidence</x:v>
      </x:c>
      <x:c r="H17" s="38" t="str">
        <x:v>HOLD</x:v>
      </x:c>
    </x:row>
    <x:row r="18" ht="38" customHeight="1">
      <x:c r="B18" s="39" t="str">
        <x:v>R12</x:v>
      </x:c>
      <x:c r="C18" s="39" t="str">
        <x:v>Receiver burden or suitability failure</x:v>
      </x:c>
      <x:c r="D18" s="39" t="str">
        <x:v>stop transfer; redesign interface and support system</x:v>
      </x:c>
      <x:c r="E18" s="39" t="str">
        <x:v>articles + data + deviations + causal finding</x:v>
      </x:c>
      <x:c r="F18" s="39" t="n">
        <x:v>0</x:v>
      </x:c>
      <x:c r="G18" s="39" t="str">
        <x:v>named adjudicator + independent evidence</x:v>
      </x:c>
      <x:c r="H18" s="42" t="str">
        <x:v>HOLD</x:v>
      </x:c>
    </x:row>
    <x:row r="19">
      <x:c r="B19" s="2"/>
      <x:c r="C19" s="2"/>
      <x:c r="D19" s="2"/>
      <x:c r="E19" s="2"/>
      <x:c r="F19" s="2"/>
      <x:c r="G19" s="2"/>
      <x:c r="H19" s="2"/>
    </x:row>
    <x:row r="20">
      <x:c r="B20" s="2"/>
      <x:c r="C20" s="2"/>
      <x:c r="D20" s="2"/>
      <x:c r="E20" s="2"/>
      <x:c r="F20" s="2"/>
      <x:c r="G20" s="2"/>
      <x:c r="H20" s="2"/>
    </x:row>
    <x:row r="21">
      <x:c r="B21" s="29" t="str">
        <x:v>Replacement doctrine</x:v>
      </x:c>
      <x:c r="C21" s="30" t="str">
        <x:v>Replacement doctrine</x:v>
      </x:c>
      <x:c r="D21" s="30" t="str">
        <x:v>Replacement doctrine</x:v>
      </x:c>
      <x:c r="E21" s="30" t="str">
        <x:v>Replacement doctrine</x:v>
      </x:c>
      <x:c r="F21" s="30" t="str">
        <x:v>Replacement doctrine</x:v>
      </x:c>
      <x:c r="G21" s="30" t="str">
        <x:v>Replacement doctrine</x:v>
      </x:c>
      <x:c r="H21" s="31" t="str">
        <x:v>Replacement doctrine</x:v>
      </x:c>
    </x:row>
    <x:row r="22">
      <x:c r="B22" s="2" t="str">
        <x:v>Replacement is an engineered branch in the program architecture, not an improvised rescue after institutional failure.</x:v>
      </x:c>
      <x:c r="C22" s="2" t="str"/>
      <x:c r="D22" s="2" t="str"/>
      <x:c r="E22" s="2" t="str"/>
      <x:c r="F22" s="2" t="str"/>
      <x:c r="G22" s="2" t="str"/>
      <x:c r="H22" s="2" t="str"/>
    </x:row>
    <x:row r="23">
      <x:c r="B23" s="2" t="str">
        <x:v>Challenge roots and public reproduction capacity make supplier removal credible while preserving technical ambition.</x:v>
      </x:c>
      <x:c r="C23" s="2" t="str"/>
      <x:c r="D23" s="2" t="str"/>
      <x:c r="E23" s="2" t="str"/>
      <x:c r="F23" s="2" t="str"/>
      <x:c r="G23" s="2" t="str"/>
      <x:c r="H23" s="2" t="str"/>
    </x:row>
    <x:row r="24">
      <x:c r="B24" s="2" t="str">
        <x:v>The objective is continuity of civil effect, never continuity of a particular platform, prime, office leader, or sunk cost.</x:v>
      </x:c>
      <x:c r="C24" s="2" t="str"/>
      <x:c r="D24" s="2" t="str"/>
      <x:c r="E24" s="2" t="str"/>
      <x:c r="F24" s="2" t="str"/>
      <x:c r="G24" s="2" t="str"/>
      <x:c r="H24" s="2" t="str"/>
    </x:row>
    <x:row r="25">
      <x:c r="B25" s="2"/>
      <x:c r="C25" s="2"/>
      <x:c r="D25" s="2"/>
      <x:c r="E25" s="2"/>
      <x:c r="F25" s="2"/>
      <x:c r="G25" s="2"/>
      <x:c r="H25" s="2"/>
    </x:row>
    <x:row r="26">
      <x:c r="B26" s="2"/>
      <x:c r="C26" s="2"/>
      <x:c r="D26" s="2"/>
      <x:c r="E26" s="2"/>
      <x:c r="F26" s="2"/>
      <x:c r="G26" s="2"/>
      <x:c r="H26" s="2"/>
    </x:row>
  </x:sheetData>
  <x:mergeCells>
    <x:mergeCell ref="B3:H3"/>
    <x:mergeCell ref="B21:H21"/>
  </x:mergeCells>
  <x:conditionalFormatting sqref="H7:H18">
    <x:cfRule type="containsText" dxfId="35" priority="1" operator="containsText" text="OPEN"/>
    <x:cfRule type="containsText" dxfId="36" priority="2" operator="containsText" text="HOLD"/>
    <x:cfRule type="containsText" dxfId="37" priority="3" operator="containsText" text="BLOCKED"/>
    <x:cfRule type="containsText" dxfId="38" priority="4" operator="containsText" text="FAIL"/>
    <x:cfRule type="containsText" dxfId="39" priority="5" operator="containsText" text="PASS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0" hidden="0" customWidth="1"/>
    <x:col min="4" max="4" width="58" hidden="0" customWidth="1"/>
    <x:col min="5" max="5" width="13" hidden="0" customWidth="1"/>
    <x:col min="6" max="6" width="13" hidden="0" customWidth="1"/>
    <x:col min="7" max="7" width="18" hidden="0" customWidth="1"/>
    <x:col min="8" max="8" width="14" hidden="0" customWidth="1"/>
    <x:col min="9" max="9" width="38" hidden="0" customWidth="1"/>
  </x:cols>
  <x:sheetData>
    <x:row r="2">
      <x:c r="B2" s="3" t="str">
        <x:v>Decision-state register</x:v>
      </x:c>
      <x:c r="C2" s="2"/>
      <x:c r="D2" s="2"/>
      <x:c r="E2" s="2"/>
      <x:c r="F2" s="2"/>
      <x:c r="G2" s="2"/>
      <x:c r="H2" s="2"/>
      <x:c r="I2" s="2"/>
    </x:row>
    <x:row r="3">
      <x:c r="B3" s="4" t="str">
        <x:v>These controls remain OPEN/HOLD because the pass establishes an operating constitution, not accepted physical evidence. Rendering remains separately blocked.</x:v>
      </x:c>
      <x:c r="C3" s="2"/>
      <x:c r="D3" s="2"/>
      <x:c r="E3" s="2"/>
      <x:c r="F3" s="2"/>
      <x:c r="G3" s="2"/>
      <x:c r="H3" s="2"/>
      <x:c r="I3" s="2"/>
    </x:row>
    <x:row r="4">
      <x:c r="B4" s="5"/>
      <x:c r="C4" s="5"/>
      <x:c r="D4" s="5"/>
      <x:c r="E4" s="5"/>
      <x:c r="F4" s="5"/>
      <x:c r="G4" s="5"/>
      <x:c r="H4" s="5"/>
      <x:c r="I4" s="5"/>
    </x:row>
    <x:row r="5">
      <x:c r="B5" s="2"/>
      <x:c r="C5" s="2"/>
      <x:c r="D5" s="2"/>
      <x:c r="E5" s="2"/>
      <x:c r="F5" s="2"/>
      <x:c r="G5" s="2"/>
      <x:c r="H5" s="2"/>
      <x:c r="I5" s="2"/>
    </x:row>
    <x:row r="6">
      <x:c r="B6" s="19" t="str">
        <x:v>Gate</x:v>
      </x:c>
      <x:c r="C6" s="20" t="str">
        <x:v>Decision object</x:v>
      </x:c>
      <x:c r="D6" s="20" t="str">
        <x:v>Required condition</x:v>
      </x:c>
      <x:c r="E6" s="20" t="str">
        <x:v>Evidence</x:v>
      </x:c>
      <x:c r="F6" s="20" t="str">
        <x:v>Decision</x:v>
      </x:c>
      <x:c r="G6" s="20" t="str">
        <x:v>Capital credit</x:v>
      </x:c>
      <x:c r="H6" s="20" t="str">
        <x:v>Rendering</x:v>
      </x:c>
      <x:c r="I6" s="20" t="str">
        <x:v>Owner</x:v>
      </x:c>
    </x:row>
    <x:row r="7">
      <x:c r="B7" s="21" t="str">
        <x:v>D01</x:v>
      </x:c>
      <x:c r="C7" s="21" t="str">
        <x:v>Authority separation</x:v>
      </x:c>
      <x:c r="D7" s="21" t="str">
        <x:v>seven authorities remain distinct</x:v>
      </x:c>
      <x:c r="E7" s="21" t="str">
        <x:v>OPEN</x:v>
      </x:c>
      <x:c r="F7" s="21" t="str">
        <x:v>HOLD</x:v>
      </x:c>
      <x:c r="G7" s="21" t="n">
        <x:v>0</x:v>
      </x:c>
      <x:c r="H7" s="21" t="str">
        <x:v>N/A</x:v>
      </x:c>
      <x:c r="I7" s="23" t="str">
        <x:v>named separated authority</x:v>
      </x:c>
    </x:row>
    <x:row r="8">
      <x:c r="B8" s="21" t="str">
        <x:v>D02</x:v>
      </x:c>
      <x:c r="C8" s="21" t="str">
        <x:v>Effect before form</x:v>
      </x:c>
      <x:c r="D8" s="21" t="str">
        <x:v>B0 exists before architecture</x:v>
      </x:c>
      <x:c r="E8" s="21" t="str">
        <x:v>OPEN</x:v>
      </x:c>
      <x:c r="F8" s="21" t="str">
        <x:v>HOLD</x:v>
      </x:c>
      <x:c r="G8" s="21" t="n">
        <x:v>0</x:v>
      </x:c>
      <x:c r="H8" s="21" t="str">
        <x:v>N/A</x:v>
      </x:c>
      <x:c r="I8" s="23" t="str">
        <x:v>named separated authority</x:v>
      </x:c>
    </x:row>
    <x:row r="9">
      <x:c r="B9" s="21" t="str">
        <x:v>D03</x:v>
      </x:c>
      <x:c r="C9" s="21" t="str">
        <x:v>Root independence</x:v>
      </x:c>
      <x:c r="D9" s="21" t="str">
        <x:v>three materially distinct paths registered</x:v>
      </x:c>
      <x:c r="E9" s="21" t="str">
        <x:v>OPEN</x:v>
      </x:c>
      <x:c r="F9" s="21" t="str">
        <x:v>HOLD</x:v>
      </x:c>
      <x:c r="G9" s="21" t="n">
        <x:v>0</x:v>
      </x:c>
      <x:c r="H9" s="21" t="str">
        <x:v>N/A</x:v>
      </x:c>
      <x:c r="I9" s="23" t="str">
        <x:v>named separated authority</x:v>
      </x:c>
    </x:row>
    <x:row r="10">
      <x:c r="B10" s="21" t="str">
        <x:v>D04</x:v>
      </x:c>
      <x:c r="C10" s="21" t="str">
        <x:v>Public data custody</x:v>
      </x:c>
      <x:c r="D10" s="21" t="str">
        <x:v>CTDP originals held outside builder</x:v>
      </x:c>
      <x:c r="E10" s="21" t="str">
        <x:v>OPEN</x:v>
      </x:c>
      <x:c r="F10" s="21" t="str">
        <x:v>HOLD</x:v>
      </x:c>
      <x:c r="G10" s="21" t="n">
        <x:v>0</x:v>
      </x:c>
      <x:c r="H10" s="21" t="str">
        <x:v>N/A</x:v>
      </x:c>
      <x:c r="I10" s="23" t="str">
        <x:v>named separated authority</x:v>
      </x:c>
    </x:row>
    <x:row r="11">
      <x:c r="B11" s="21" t="str">
        <x:v>D05</x:v>
      </x:c>
      <x:c r="C11" s="21" t="str">
        <x:v>No calendar credit</x:v>
      </x:c>
      <x:c r="D11" s="21" t="str">
        <x:v>only accepted artifacts release capital</x:v>
      </x:c>
      <x:c r="E11" s="21" t="str">
        <x:v>OPEN</x:v>
      </x:c>
      <x:c r="F11" s="21" t="str">
        <x:v>HOLD</x:v>
      </x:c>
      <x:c r="G11" s="21" t="n">
        <x:v>0</x:v>
      </x:c>
      <x:c r="H11" s="21" t="str">
        <x:v>N/A</x:v>
      </x:c>
      <x:c r="I11" s="23" t="str">
        <x:v>named separated authority</x:v>
      </x:c>
    </x:row>
    <x:row r="12">
      <x:c r="B12" s="21" t="str">
        <x:v>D06</x:v>
      </x:c>
      <x:c r="C12" s="21" t="str">
        <x:v>Serial identity</x:v>
      </x:c>
      <x:c r="D12" s="21" t="str">
        <x:v>article lot process and evidence share identity</x:v>
      </x:c>
      <x:c r="E12" s="21" t="str">
        <x:v>OPEN</x:v>
      </x:c>
      <x:c r="F12" s="21" t="str">
        <x:v>HOLD</x:v>
      </x:c>
      <x:c r="G12" s="21" t="n">
        <x:v>0</x:v>
      </x:c>
      <x:c r="H12" s="21" t="str">
        <x:v>N/A</x:v>
      </x:c>
      <x:c r="I12" s="23" t="str">
        <x:v>named separated authority</x:v>
      </x:c>
    </x:row>
    <x:row r="13">
      <x:c r="B13" s="21" t="str">
        <x:v>D07</x:v>
      </x:c>
      <x:c r="C13" s="21" t="str">
        <x:v>Representative damage</x:v>
      </x:c>
      <x:c r="D13" s="21" t="str">
        <x:v>mission result uses declared damage world</x:v>
      </x:c>
      <x:c r="E13" s="21" t="str">
        <x:v>OPEN</x:v>
      </x:c>
      <x:c r="F13" s="21" t="str">
        <x:v>HOLD</x:v>
      </x:c>
      <x:c r="G13" s="21" t="n">
        <x:v>0</x:v>
      </x:c>
      <x:c r="H13" s="21" t="str">
        <x:v>N/A</x:v>
      </x:c>
      <x:c r="I13" s="23" t="str">
        <x:v>named separated authority</x:v>
      </x:c>
    </x:row>
    <x:row r="14">
      <x:c r="B14" s="21" t="str">
        <x:v>D08</x:v>
      </x:c>
      <x:c r="C14" s="21" t="str">
        <x:v>Receiver acceptance</x:v>
      </x:c>
      <x:c r="D14" s="21" t="str">
        <x:v>local burden and refusal path are explicit</x:v>
      </x:c>
      <x:c r="E14" s="21" t="str">
        <x:v>OPEN</x:v>
      </x:c>
      <x:c r="F14" s="21" t="str">
        <x:v>HOLD</x:v>
      </x:c>
      <x:c r="G14" s="21" t="n">
        <x:v>0</x:v>
      </x:c>
      <x:c r="H14" s="21" t="str">
        <x:v>N/A</x:v>
      </x:c>
      <x:c r="I14" s="23" t="str">
        <x:v>named separated authority</x:v>
      </x:c>
    </x:row>
    <x:row r="15">
      <x:c r="B15" s="21" t="str">
        <x:v>D09</x:v>
      </x:c>
      <x:c r="C15" s="21" t="str">
        <x:v>Independent reproduction</x:v>
      </x:c>
      <x:c r="D15" s="21" t="str">
        <x:v>second team can reproduce from CTDP</x:v>
      </x:c>
      <x:c r="E15" s="21" t="str">
        <x:v>OPEN</x:v>
      </x:c>
      <x:c r="F15" s="21" t="str">
        <x:v>HOLD</x:v>
      </x:c>
      <x:c r="G15" s="21" t="n">
        <x:v>0</x:v>
      </x:c>
      <x:c r="H15" s="21" t="str">
        <x:v>N/A</x:v>
      </x:c>
      <x:c r="I15" s="23" t="str">
        <x:v>named separated authority</x:v>
      </x:c>
    </x:row>
    <x:row r="16">
      <x:c r="B16" s="21" t="str">
        <x:v>D10</x:v>
      </x:c>
      <x:c r="C16" s="21" t="str">
        <x:v>Pilot process</x:v>
      </x:c>
      <x:c r="D16" s="21" t="str">
        <x:v>yield and acceptance precede production</x:v>
      </x:c>
      <x:c r="E16" s="21" t="str">
        <x:v>OPEN</x:v>
      </x:c>
      <x:c r="F16" s="21" t="str">
        <x:v>HOLD</x:v>
      </x:c>
      <x:c r="G16" s="21" t="n">
        <x:v>0</x:v>
      </x:c>
      <x:c r="H16" s="21" t="str">
        <x:v>N/A</x:v>
      </x:c>
      <x:c r="I16" s="23" t="str">
        <x:v>named separated authority</x:v>
      </x:c>
    </x:row>
    <x:row r="17">
      <x:c r="B17" s="21" t="str">
        <x:v>D11</x:v>
      </x:c>
      <x:c r="C17" s="21" t="str">
        <x:v>Rights completeness</x:v>
      </x:c>
      <x:c r="D17" s="21" t="str">
        <x:v>inspection repair substitution and reproduction attach</x:v>
      </x:c>
      <x:c r="E17" s="21" t="str">
        <x:v>OPEN</x:v>
      </x:c>
      <x:c r="F17" s="21" t="str">
        <x:v>HOLD</x:v>
      </x:c>
      <x:c r="G17" s="21" t="n">
        <x:v>0</x:v>
      </x:c>
      <x:c r="H17" s="21" t="str">
        <x:v>N/A</x:v>
      </x:c>
      <x:c r="I17" s="23" t="str">
        <x:v>named separated authority</x:v>
      </x:c>
    </x:row>
    <x:row r="18">
      <x:c r="B18" s="21" t="str">
        <x:v>D12</x:v>
      </x:c>
      <x:c r="C18" s="21" t="str">
        <x:v>Cost independence</x:v>
      </x:c>
      <x:c r="D18" s="21" t="str">
        <x:v>builder cannot certify cost or capacity</x:v>
      </x:c>
      <x:c r="E18" s="21" t="str">
        <x:v>OPEN</x:v>
      </x:c>
      <x:c r="F18" s="21" t="str">
        <x:v>HOLD</x:v>
      </x:c>
      <x:c r="G18" s="21" t="n">
        <x:v>0</x:v>
      </x:c>
      <x:c r="H18" s="21" t="str">
        <x:v>N/A</x:v>
      </x:c>
      <x:c r="I18" s="23" t="str">
        <x:v>named separated authority</x:v>
      </x:c>
    </x:row>
    <x:row r="19">
      <x:c r="B19" s="21" t="str">
        <x:v>D13</x:v>
      </x:c>
      <x:c r="C19" s="21" t="str">
        <x:v>Configuration closure</x:v>
      </x:c>
      <x:c r="D19" s="21" t="str">
        <x:v>findings attach to one baseline and serial state</x:v>
      </x:c>
      <x:c r="E19" s="21" t="str">
        <x:v>OPEN</x:v>
      </x:c>
      <x:c r="F19" s="21" t="str">
        <x:v>HOLD</x:v>
      </x:c>
      <x:c r="G19" s="21" t="n">
        <x:v>0</x:v>
      </x:c>
      <x:c r="H19" s="21" t="str">
        <x:v>N/A</x:v>
      </x:c>
      <x:c r="I19" s="23" t="str">
        <x:v>named separated authority</x:v>
      </x:c>
    </x:row>
    <x:row r="20">
      <x:c r="B20" s="21" t="str">
        <x:v>D14</x:v>
      </x:c>
      <x:c r="C20" s="21" t="str">
        <x:v>Change consequence</x:v>
      </x:c>
      <x:c r="D20" s="21" t="str">
        <x:v>reopened findings propagate automatically</x:v>
      </x:c>
      <x:c r="E20" s="21" t="str">
        <x:v>OPEN</x:v>
      </x:c>
      <x:c r="F20" s="21" t="str">
        <x:v>HOLD</x:v>
      </x:c>
      <x:c r="G20" s="21" t="n">
        <x:v>0</x:v>
      </x:c>
      <x:c r="H20" s="21" t="str">
        <x:v>N/A</x:v>
      </x:c>
      <x:c r="I20" s="23" t="str">
        <x:v>named separated authority</x:v>
      </x:c>
    </x:row>
    <x:row r="21">
      <x:c r="B21" s="21" t="str">
        <x:v>D15</x:v>
      </x:c>
      <x:c r="C21" s="21" t="str">
        <x:v>No waiver by urgency</x:v>
      </x:c>
      <x:c r="D21" s="21" t="str">
        <x:v>emergency changes route through explicit authority</x:v>
      </x:c>
      <x:c r="E21" s="21" t="str">
        <x:v>OPEN</x:v>
      </x:c>
      <x:c r="F21" s="21" t="str">
        <x:v>HOLD</x:v>
      </x:c>
      <x:c r="G21" s="21" t="n">
        <x:v>0</x:v>
      </x:c>
      <x:c r="H21" s="21" t="str">
        <x:v>N/A</x:v>
      </x:c>
      <x:c r="I21" s="23" t="str">
        <x:v>named separated authority</x:v>
      </x:c>
    </x:row>
    <x:row r="22">
      <x:c r="B22" s="21" t="str">
        <x:v>D16</x:v>
      </x:c>
      <x:c r="C22" s="21" t="str">
        <x:v>Replacement without amnesia</x:v>
      </x:c>
      <x:c r="D22" s="21" t="str">
        <x:v>failed paths preserve learning and custody</x:v>
      </x:c>
      <x:c r="E22" s="21" t="str">
        <x:v>OPEN</x:v>
      </x:c>
      <x:c r="F22" s="21" t="str">
        <x:v>HOLD</x:v>
      </x:c>
      <x:c r="G22" s="21" t="n">
        <x:v>0</x:v>
      </x:c>
      <x:c r="H22" s="21" t="str">
        <x:v>N/A</x:v>
      </x:c>
      <x:c r="I22" s="23" t="str">
        <x:v>named separated authority</x:v>
      </x:c>
    </x:row>
    <x:row r="23">
      <x:c r="B23" s="21" t="str">
        <x:v>D17</x:v>
      </x:c>
      <x:c r="C23" s="21" t="str">
        <x:v>Supplier ancestry</x:v>
      </x:c>
      <x:c r="D23" s="21" t="str">
        <x:v>ownership process and calibration dependencies exposed</x:v>
      </x:c>
      <x:c r="E23" s="21" t="str">
        <x:v>OPEN</x:v>
      </x:c>
      <x:c r="F23" s="21" t="str">
        <x:v>HOLD</x:v>
      </x:c>
      <x:c r="G23" s="21" t="n">
        <x:v>0</x:v>
      </x:c>
      <x:c r="H23" s="21" t="str">
        <x:v>N/A</x:v>
      </x:c>
      <x:c r="I23" s="23" t="str">
        <x:v>named separated authority</x:v>
      </x:c>
    </x:row>
    <x:row r="24">
      <x:c r="B24" s="21" t="str">
        <x:v>D18</x:v>
      </x:c>
      <x:c r="C24" s="21" t="str">
        <x:v>Mobilization activation</x:v>
      </x:c>
      <x:c r="D24" s="21" t="str">
        <x:v>readiness measured by no-notice conforming delivery</x:v>
      </x:c>
      <x:c r="E24" s="21" t="str">
        <x:v>OPEN</x:v>
      </x:c>
      <x:c r="F24" s="21" t="str">
        <x:v>HOLD</x:v>
      </x:c>
      <x:c r="G24" s="21" t="n">
        <x:v>0</x:v>
      </x:c>
      <x:c r="H24" s="21" t="str">
        <x:v>N/A</x:v>
      </x:c>
      <x:c r="I24" s="23" t="str">
        <x:v>named separated authority</x:v>
      </x:c>
    </x:row>
    <x:row r="25">
      <x:c r="B25" s="21" t="str">
        <x:v>D19</x:v>
      </x:c>
      <x:c r="C25" s="21" t="str">
        <x:v>Portfolio concurrency</x:v>
      </x:c>
      <x:c r="D25" s="21" t="str">
        <x:v>192 increments are capacity-limited as a system</x:v>
      </x:c>
      <x:c r="E25" s="21" t="str">
        <x:v>OPEN</x:v>
      </x:c>
      <x:c r="F25" s="21" t="str">
        <x:v>HOLD</x:v>
      </x:c>
      <x:c r="G25" s="21" t="n">
        <x:v>0</x:v>
      </x:c>
      <x:c r="H25" s="21" t="str">
        <x:v>N/A</x:v>
      </x:c>
      <x:c r="I25" s="23" t="str">
        <x:v>named separated authority</x:v>
      </x:c>
    </x:row>
    <x:row r="26">
      <x:c r="B26" s="21" t="str">
        <x:v>D20</x:v>
      </x:c>
      <x:c r="C26" s="21" t="str">
        <x:v>Public accountability</x:v>
      </x:c>
      <x:c r="D26" s="21" t="str">
        <x:v>capital findings and failures remain legible</x:v>
      </x:c>
      <x:c r="E26" s="21" t="str">
        <x:v>OPEN</x:v>
      </x:c>
      <x:c r="F26" s="21" t="str">
        <x:v>HOLD</x:v>
      </x:c>
      <x:c r="G26" s="21" t="n">
        <x:v>0</x:v>
      </x:c>
      <x:c r="H26" s="21" t="str">
        <x:v>N/A</x:v>
      </x:c>
      <x:c r="I26" s="23" t="str">
        <x:v>named separated authority</x:v>
      </x:c>
    </x:row>
    <x:row r="27">
      <x:c r="B27" s="21" t="str">
        <x:v>D21</x:v>
      </x:c>
      <x:c r="C27" s="21" t="str">
        <x:v>Innovation freedom</x:v>
      </x:c>
      <x:c r="D27" s="21" t="str">
        <x:v>novel physics may compete inside fixed civil boundaries</x:v>
      </x:c>
      <x:c r="E27" s="21" t="str">
        <x:v>OPEN</x:v>
      </x:c>
      <x:c r="F27" s="21" t="str">
        <x:v>HOLD</x:v>
      </x:c>
      <x:c r="G27" s="21" t="n">
        <x:v>0</x:v>
      </x:c>
      <x:c r="H27" s="21" t="str">
        <x:v>N/A</x:v>
      </x:c>
      <x:c r="I27" s="23" t="str">
        <x:v>named separated authority</x:v>
      </x:c>
    </x:row>
    <x:row r="28">
      <x:c r="B28" s="21" t="str">
        <x:v>D22</x:v>
      </x:c>
      <x:c r="C28" s="21" t="str">
        <x:v>Production release</x:v>
      </x:c>
      <x:c r="D28" s="21" t="str">
        <x:v>PRB integrates but never manufactures evidence</x:v>
      </x:c>
      <x:c r="E28" s="21" t="str">
        <x:v>OPEN</x:v>
      </x:c>
      <x:c r="F28" s="21" t="str">
        <x:v>HOLD</x:v>
      </x:c>
      <x:c r="G28" s="21" t="n">
        <x:v>0</x:v>
      </x:c>
      <x:c r="H28" s="21" t="str">
        <x:v>N/A</x:v>
      </x:c>
      <x:c r="I28" s="23" t="str">
        <x:v>named separated authority</x:v>
      </x:c>
    </x:row>
    <x:row r="29">
      <x:c r="B29" s="21" t="str">
        <x:v>D23</x:v>
      </x:c>
      <x:c r="C29" s="21" t="str">
        <x:v>Model validity</x:v>
      </x:c>
      <x:c r="D29" s="21" t="str">
        <x:v>audit proves logic only, never physical truth</x:v>
      </x:c>
      <x:c r="E29" s="21" t="str">
        <x:v>OPEN</x:v>
      </x:c>
      <x:c r="F29" s="21" t="str">
        <x:v>HOLD</x:v>
      </x:c>
      <x:c r="G29" s="21" t="n">
        <x:v>0</x:v>
      </x:c>
      <x:c r="H29" s="21" t="str">
        <x:v>N/A</x:v>
      </x:c>
      <x:c r="I29" s="23" t="str">
        <x:v>named separated authority</x:v>
      </x:c>
    </x:row>
    <x:row r="30">
      <x:c r="B30" s="24" t="str">
        <x:v>D24</x:v>
      </x:c>
      <x:c r="C30" s="24" t="str">
        <x:v>Rendering authority</x:v>
      </x:c>
      <x:c r="D30" s="24" t="str">
        <x:v>measured internal sections and accepted coupled performance exist</x:v>
      </x:c>
      <x:c r="E30" s="24" t="str">
        <x:v>OPEN</x:v>
      </x:c>
      <x:c r="F30" s="24" t="str">
        <x:v>BLOCKED</x:v>
      </x:c>
      <x:c r="G30" s="24" t="n">
        <x:v>0</x:v>
      </x:c>
      <x:c r="H30" s="24" t="str">
        <x:v>BLOCKED</x:v>
      </x:c>
      <x:c r="I30" s="26" t="str">
        <x:v>Independent Evidence and Data Authority</x:v>
      </x:c>
    </x:row>
    <x:row r="31">
      <x:c r="B31" s="2"/>
      <x:c r="C31" s="2"/>
      <x:c r="D31" s="2"/>
      <x:c r="E31" s="2"/>
      <x:c r="F31" s="2"/>
      <x:c r="G31" s="2"/>
      <x:c r="H31" s="2"/>
      <x:c r="I31" s="2"/>
    </x:row>
    <x:row r="32">
      <x:c r="B32" s="2"/>
      <x:c r="C32" s="2"/>
      <x:c r="D32" s="2"/>
      <x:c r="E32" s="2"/>
      <x:c r="F32" s="2"/>
      <x:c r="G32" s="2"/>
      <x:c r="H32" s="2"/>
      <x:c r="I32" s="2"/>
    </x:row>
    <x:row r="33">
      <x:c r="B33" s="2"/>
      <x:c r="C33" s="2"/>
      <x:c r="D33" s="2"/>
      <x:c r="E33" s="2"/>
      <x:c r="F33" s="2"/>
      <x:c r="G33" s="2"/>
      <x:c r="H33" s="2"/>
      <x:c r="I33" s="2"/>
    </x:row>
    <x:row r="34">
      <x:c r="B34" s="2"/>
      <x:c r="C34" s="2"/>
      <x:c r="D34" s="2"/>
      <x:c r="E34" s="2"/>
      <x:c r="F34" s="2"/>
      <x:c r="G34" s="2"/>
      <x:c r="H34" s="2"/>
      <x:c r="I34" s="2"/>
    </x:row>
    <x:row r="35">
      <x:c r="B35" s="2"/>
      <x:c r="C35" s="2"/>
      <x:c r="D35" s="2"/>
      <x:c r="E35" s="2"/>
      <x:c r="F35" s="2"/>
      <x:c r="G35" s="2"/>
      <x:c r="H35" s="2"/>
      <x:c r="I35" s="2"/>
    </x:row>
    <x:row r="36">
      <x:c r="B36" s="2"/>
      <x:c r="C36" s="2"/>
      <x:c r="D36" s="2"/>
      <x:c r="E36" s="2"/>
      <x:c r="F36" s="2"/>
      <x:c r="G36" s="2"/>
      <x:c r="H36" s="2"/>
      <x:c r="I36" s="2"/>
    </x:row>
    <x:row r="37">
      <x:c r="B37" s="2"/>
      <x:c r="C37" s="2"/>
      <x:c r="D37" s="2"/>
      <x:c r="E37" s="2"/>
      <x:c r="F37" s="2"/>
      <x:c r="G37" s="2"/>
      <x:c r="H37" s="2"/>
      <x:c r="I37" s="2"/>
    </x:row>
    <x:row r="38">
      <x:c r="B38" s="2"/>
      <x:c r="C38" s="2"/>
      <x:c r="D38" s="2"/>
      <x:c r="E38" s="2"/>
      <x:c r="F38" s="2"/>
      <x:c r="G38" s="2"/>
      <x:c r="H38" s="2"/>
      <x:c r="I38" s="2"/>
    </x:row>
  </x:sheetData>
  <x:mergeCells>
    <x:mergeCell ref="B3:I3"/>
  </x:mergeCells>
  <x:conditionalFormatting sqref="E7:H30">
    <x:cfRule type="containsText" dxfId="40" priority="1" operator="containsText" text="OPEN"/>
    <x:cfRule type="containsText" dxfId="41" priority="2" operator="containsText" text="HOLD"/>
    <x:cfRule type="containsText" dxfId="42" priority="3" operator="containsText" text="BLOCKED"/>
    <x:cfRule type="containsText" dxfId="43" priority="4" operator="containsText" text="FAIL"/>
    <x:cfRule type="containsText" dxfId="44" priority="5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6" hidden="0" customWidth="1"/>
    <x:col min="3" max="3" width="18" hidden="0" customWidth="1"/>
    <x:col min="4" max="4" width="66" hidden="0" customWidth="1"/>
    <x:col min="5" max="5" width="14" hidden="0" customWidth="1"/>
    <x:col min="6" max="6" width="14" hidden="0" customWidth="1"/>
    <x:col min="7" max="7" width="12" hidden="0" customWidth="1"/>
  </x:cols>
  <x:sheetData>
    <x:row r="2">
      <x:c r="B2" s="3" t="str">
        <x:v>Deterministic operating-constitution audit</x:v>
      </x:c>
      <x:c r="C2" s="2"/>
      <x:c r="D2" s="2"/>
      <x:c r="E2" s="2"/>
      <x:c r="F2" s="2"/>
      <x:c r="G2" s="2"/>
    </x:row>
    <x:row r="3">
      <x:c r="B3" s="4" t="str">
        <x:v>Controls test counts, reconciliations, authority holds, data obligations, baseline states, and artifact-release equations. PASS means model coherence only.</x:v>
      </x:c>
      <x:c r="C3" s="2"/>
      <x:c r="D3" s="2"/>
      <x:c r="E3" s="2"/>
      <x:c r="F3" s="2"/>
      <x:c r="G3" s="2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19" t="str">
        <x:v>Control</x:v>
      </x:c>
      <x:c r="C6" s="20" t="str">
        <x:v>Class</x:v>
      </x:c>
      <x:c r="D6" s="20" t="str">
        <x:v>Test</x:v>
      </x:c>
      <x:c r="E6" s="20" t="str">
        <x:v>Observed</x:v>
      </x:c>
      <x:c r="F6" s="20" t="str">
        <x:v>Required</x:v>
      </x:c>
      <x:c r="G6" s="20" t="str">
        <x:v>Result</x:v>
      </x:c>
    </x:row>
    <x:row r="7">
      <x:c r="B7" s="21" t="str">
        <x:v>A00001</x:v>
      </x:c>
      <x:c r="C7" s="21" t="str">
        <x:v>global</x:v>
      </x:c>
      <x:c r="D7" s="21" t="str">
        <x:v>family count</x:v>
      </x:c>
      <x:c r="E7" s="21" t="n">
        <x:f>IF(Assumptions!C7=48,1,0)</x:f>
        <x:v>1</x:v>
      </x:c>
      <x:c r="F7" s="21" t="n">
        <x:v>1</x:v>
      </x:c>
      <x:c r="G7" s="23" t="str">
        <x:f>IF(E7=F7,"PASS","FAIL")</x:f>
        <x:v>PASS</x:v>
      </x:c>
    </x:row>
    <x:row r="8">
      <x:c r="B8" s="21" t="str">
        <x:v>A00002</x:v>
      </x:c>
      <x:c r="C8" s="21" t="str">
        <x:v>global</x:v>
      </x:c>
      <x:c r="D8" s="21" t="str">
        <x:v>program count</x:v>
      </x:c>
      <x:c r="E8" s="21" t="n">
        <x:f>IF(COUNTA('Program Register'!B7:B198)=Assumptions!C7*Assumptions!C8,1,0)</x:f>
        <x:v>1</x:v>
      </x:c>
      <x:c r="F8" s="21" t="n">
        <x:v>1</x:v>
      </x:c>
      <x:c r="G8" s="23" t="str">
        <x:f>IF(E8=F8,"PASS","FAIL")</x:f>
        <x:v>PASS</x:v>
      </x:c>
    </x:row>
    <x:row r="9">
      <x:c r="B9" s="21" t="str">
        <x:v>A00003</x:v>
      </x:c>
      <x:c r="C9" s="21" t="str">
        <x:v>global</x:v>
      </x:c>
      <x:c r="D9" s="21" t="str">
        <x:v>root count</x:v>
      </x:c>
      <x:c r="E9" s="21" t="n">
        <x:f>IF(COUNTA('Root Data'!B7:B582)=Assumptions!C7*Assumptions!C8*Assumptions!C9,1,0)</x:f>
        <x:v>1</x:v>
      </x:c>
      <x:c r="F9" s="21" t="n">
        <x:v>1</x:v>
      </x:c>
      <x:c r="G9" s="23" t="str">
        <x:f>IF(E9=F9,"PASS","FAIL")</x:f>
        <x:v>PASS</x:v>
      </x:c>
    </x:row>
    <x:row r="10">
      <x:c r="B10" s="21" t="str">
        <x:v>A00004</x:v>
      </x:c>
      <x:c r="C10" s="21" t="str">
        <x:v>global</x:v>
      </x:c>
      <x:c r="D10" s="21" t="str">
        <x:v>artifact count</x:v>
      </x:c>
      <x:c r="E10" s="21" t="n">
        <x:f>IF(COUNTA('Artifact Ledger'!B7:B1926)=Assumptions!C7*Assumptions!C8*Assumptions!C11,1,0)</x:f>
        <x:v>1</x:v>
      </x:c>
      <x:c r="F10" s="21" t="n">
        <x:v>1</x:v>
      </x:c>
      <x:c r="G10" s="23" t="str">
        <x:f>IF(E10=F10,"PASS","FAIL")</x:f>
        <x:v>PASS</x:v>
      </x:c>
    </x:row>
    <x:row r="11">
      <x:c r="B11" s="21" t="str">
        <x:v>A00005</x:v>
      </x:c>
      <x:c r="C11" s="21" t="str">
        <x:v>global</x:v>
      </x:c>
      <x:c r="D11" s="21" t="str">
        <x:v>baseline count</x:v>
      </x:c>
      <x:c r="E11" s="21" t="n">
        <x:f>IF(COUNTA('Baseline Register'!B7:B1350)=Assumptions!C7*Assumptions!C8*Assumptions!C12,1,0)</x:f>
        <x:v>1</x:v>
      </x:c>
      <x:c r="F11" s="21" t="n">
        <x:v>1</x:v>
      </x:c>
      <x:c r="G11" s="23" t="str">
        <x:f>IF(E11=F11,"PASS","FAIL")</x:f>
        <x:v>PASS</x:v>
      </x:c>
    </x:row>
    <x:row r="12">
      <x:c r="B12" s="21" t="str">
        <x:v>A00006</x:v>
      </x:c>
      <x:c r="C12" s="21" t="str">
        <x:v>global</x:v>
      </x:c>
      <x:c r="D12" s="21" t="str">
        <x:v>CTDP class map</x:v>
      </x:c>
      <x:c r="E12" s="21" t="n">
        <x:f>IF(COUNTA('Technical Data Map'!B7:B34)=Assumptions!C10,1,0)</x:f>
        <x:v>1</x:v>
      </x:c>
      <x:c r="F12" s="21" t="n">
        <x:v>1</x:v>
      </x:c>
      <x:c r="G12" s="23" t="str">
        <x:f>IF(E12=F12,"PASS","FAIL")</x:f>
        <x:v>PASS</x:v>
      </x:c>
    </x:row>
    <x:row r="13">
      <x:c r="B13" s="21" t="str">
        <x:v>A00007</x:v>
      </x:c>
      <x:c r="C13" s="21" t="str">
        <x:v>global</x:v>
      </x:c>
      <x:c r="D13" s="21" t="str">
        <x:v>logical CTDP obligations</x:v>
      </x:c>
      <x:c r="E13" s="21" t="n">
        <x:f>IF(SUM('Technical Data Map'!G7:G34)=16128,1,0)</x:f>
        <x:v>1</x:v>
      </x:c>
      <x:c r="F13" s="21" t="n">
        <x:v>1</x:v>
      </x:c>
      <x:c r="G13" s="23" t="str">
        <x:f>IF(E13=F13,"PASS","FAIL")</x:f>
        <x:v>PASS</x:v>
      </x:c>
    </x:row>
    <x:row r="14">
      <x:c r="B14" s="21" t="str">
        <x:v>A00008</x:v>
      </x:c>
      <x:c r="C14" s="21" t="str">
        <x:v>global</x:v>
      </x:c>
      <x:c r="D14" s="21" t="str">
        <x:v>office count</x:v>
      </x:c>
      <x:c r="E14" s="21" t="n">
        <x:f>IF(COUNTA('Office Network'!B7:B70)=Assumptions!C13+Assumptions!C14,1,0)</x:f>
        <x:v>1</x:v>
      </x:c>
      <x:c r="F14" s="21" t="n">
        <x:v>1</x:v>
      </x:c>
      <x:c r="G14" s="23" t="str">
        <x:f>IF(E14=F14,"PASS","FAIL")</x:f>
        <x:v>PASS</x:v>
      </x:c>
    </x:row>
    <x:row r="15">
      <x:c r="B15" s="21" t="str">
        <x:v>A00009</x:v>
      </x:c>
      <x:c r="C15" s="21" t="str">
        <x:v>global</x:v>
      </x:c>
      <x:c r="D15" s="21" t="str">
        <x:v>office workforce</x:v>
      </x:c>
      <x:c r="E15" s="21" t="n">
        <x:f>IF(SUM('Office Network'!F7:F70)=128000,1,0)</x:f>
        <x:v>1</x:v>
      </x:c>
      <x:c r="F15" s="21" t="n">
        <x:v>1</x:v>
      </x:c>
      <x:c r="G15" s="23" t="str">
        <x:f>IF(E15=F15,"PASS","FAIL")</x:f>
        <x:v>PASS</x:v>
      </x:c>
    </x:row>
    <x:row r="16">
      <x:c r="B16" s="21" t="str">
        <x:v>A00010</x:v>
      </x:c>
      <x:c r="C16" s="21" t="str">
        <x:v>global</x:v>
      </x:c>
      <x:c r="D16" s="21" t="str">
        <x:v>force capital</x:v>
      </x:c>
      <x:c r="E16" s="21" t="n">
        <x:f>IF(ABS(SUM('Financial Control'!D7:D16)-Assumptions!C17)&lt;0.000001,1,0)</x:f>
        <x:v>1</x:v>
      </x:c>
      <x:c r="F16" s="21" t="n">
        <x:v>1</x:v>
      </x:c>
      <x:c r="G16" s="23" t="str">
        <x:f>IF(E16=F16,"PASS","FAIL")</x:f>
        <x:v>PASS</x:v>
      </x:c>
    </x:row>
    <x:row r="17">
      <x:c r="B17" s="21" t="str">
        <x:v>A00011</x:v>
      </x:c>
      <x:c r="C17" s="21" t="str">
        <x:v>global</x:v>
      </x:c>
      <x:c r="D17" s="21" t="str">
        <x:v>capital shares</x:v>
      </x:c>
      <x:c r="E17" s="21" t="n">
        <x:f>IF(ABS(SUM('Financial Control'!E7:E16)-1)&lt;0.000001,1,0)</x:f>
        <x:v>1</x:v>
      </x:c>
      <x:c r="F17" s="21" t="n">
        <x:v>1</x:v>
      </x:c>
      <x:c r="G17" s="23" t="str">
        <x:f>IF(E17=F17,"PASS","FAIL")</x:f>
        <x:v>PASS</x:v>
      </x:c>
    </x:row>
    <x:row r="18">
      <x:c r="B18" s="21" t="str">
        <x:v>A00012</x:v>
      </x:c>
      <x:c r="C18" s="21" t="str">
        <x:v>global</x:v>
      </x:c>
      <x:c r="D18" s="21" t="str">
        <x:v>program capital</x:v>
      </x:c>
      <x:c r="E18" s="21" t="n">
        <x:f>IF(ABS(SUM('Program Register'!K7:K198)-Assumptions!C17)&lt;0.000001,1,0)</x:f>
        <x:v>1</x:v>
      </x:c>
      <x:c r="F18" s="21" t="n">
        <x:v>1</x:v>
      </x:c>
      <x:c r="G18" s="23" t="str">
        <x:f>IF(E18=F18,"PASS","FAIL")</x:f>
        <x:v>PASS</x:v>
      </x:c>
    </x:row>
    <x:row r="19">
      <x:c r="B19" s="21" t="str">
        <x:v>A00013</x:v>
      </x:c>
      <x:c r="C19" s="21" t="str">
        <x:v>global</x:v>
      </x:c>
      <x:c r="D19" s="21" t="str">
        <x:v>artifact tranches</x:v>
      </x:c>
      <x:c r="E19" s="21" t="n">
        <x:f>IF(ABS(SUM('Artifact Ledger'!K7:K1926)-Assumptions!C17)&lt;0.000001,1,0)</x:f>
        <x:v>1</x:v>
      </x:c>
      <x:c r="F19" s="21" t="n">
        <x:v>1</x:v>
      </x:c>
      <x:c r="G19" s="23" t="str">
        <x:f>IF(E19=F19,"PASS","FAIL")</x:f>
        <x:v>PASS</x:v>
      </x:c>
    </x:row>
    <x:row r="20">
      <x:c r="B20" s="21" t="str">
        <x:v>A00014</x:v>
      </x:c>
      <x:c r="C20" s="21" t="str">
        <x:v>global</x:v>
      </x:c>
      <x:c r="D20" s="21" t="str">
        <x:v>baseline eligible capital zero</x:v>
      </x:c>
      <x:c r="E20" s="21" t="n">
        <x:f>IF(SUM('Artifact Ledger'!P7:P1926)=0,1,0)</x:f>
        <x:v>1</x:v>
      </x:c>
      <x:c r="F20" s="21" t="n">
        <x:v>1</x:v>
      </x:c>
      <x:c r="G20" s="23" t="str">
        <x:f>IF(E20=F20,"PASS","FAIL")</x:f>
        <x:v>PASS</x:v>
      </x:c>
    </x:row>
    <x:row r="21">
      <x:c r="B21" s="21" t="str">
        <x:v>A00015</x:v>
      </x:c>
      <x:c r="C21" s="21" t="str">
        <x:v>global</x:v>
      </x:c>
      <x:c r="D21" s="21" t="str">
        <x:v>calendar credit zero</x:v>
      </x:c>
      <x:c r="E21" s="21" t="n">
        <x:f>IF(SUM('Financial Control'!I7:I16)=0,1,0)</x:f>
        <x:v>1</x:v>
      </x:c>
      <x:c r="F21" s="21" t="n">
        <x:v>1</x:v>
      </x:c>
      <x:c r="G21" s="23" t="str">
        <x:f>IF(E21=F21,"PASS","FAIL")</x:f>
        <x:v>PASS</x:v>
      </x:c>
    </x:row>
    <x:row r="22">
      <x:c r="B22" s="21" t="str">
        <x:v>A00016</x:v>
      </x:c>
      <x:c r="C22" s="21" t="str">
        <x:v>global</x:v>
      </x:c>
      <x:c r="D22" s="21" t="str">
        <x:v>baseline versions remain planning</x:v>
      </x:c>
      <x:c r="E22" s="21" t="n">
        <x:f>IF(COUNTIF('Baseline Register'!G7:G1350,"0.0.0")=1344,1,0)</x:f>
        <x:v>1</x:v>
      </x:c>
      <x:c r="F22" s="21" t="n">
        <x:v>1</x:v>
      </x:c>
      <x:c r="G22" s="23" t="str">
        <x:f>IF(E22=F22,"PASS","FAIL")</x:f>
        <x:v>PASS</x:v>
      </x:c>
    </x:row>
    <x:row r="23">
      <x:c r="B23" s="21" t="str">
        <x:v>A00017</x:v>
      </x:c>
      <x:c r="C23" s="21" t="str">
        <x:v>global</x:v>
      </x:c>
      <x:c r="D23" s="21" t="str">
        <x:v>authority count</x:v>
      </x:c>
      <x:c r="E23" s="21" t="n">
        <x:f>IF(COUNTA('Authority Matrix'!B7:B13)=7,1,0)</x:f>
        <x:v>1</x:v>
      </x:c>
      <x:c r="F23" s="21" t="n">
        <x:v>1</x:v>
      </x:c>
      <x:c r="G23" s="23" t="str">
        <x:f>IF(E23=F23,"PASS","FAIL")</x:f>
        <x:v>PASS</x:v>
      </x:c>
    </x:row>
    <x:row r="24">
      <x:c r="B24" s="21" t="str">
        <x:v>A00018</x:v>
      </x:c>
      <x:c r="C24" s="21" t="str">
        <x:v>global</x:v>
      </x:c>
      <x:c r="D24" s="21" t="str">
        <x:v>rendering blocked</x:v>
      </x:c>
      <x:c r="E24" s="21" t="n">
        <x:f>IF(AND(Assumptions!C19=0,'Decision Gates'!H30="BLOCKED"),1,0)</x:f>
        <x:v>1</x:v>
      </x:c>
      <x:c r="F24" s="21" t="n">
        <x:v>1</x:v>
      </x:c>
      <x:c r="G24" s="23" t="str">
        <x:f>IF(E24=F24,"PASS","FAIL")</x:f>
        <x:v>PASS</x:v>
      </x:c>
    </x:row>
    <x:row r="25">
      <x:c r="B25" s="21" t="str">
        <x:v>A00019</x:v>
      </x:c>
      <x:c r="C25" s="21" t="str">
        <x:v>global</x:v>
      </x:c>
      <x:c r="D25" s="21" t="str">
        <x:v>root accepted counts zero</x:v>
      </x:c>
      <x:c r="E25" s="21" t="n">
        <x:f>IF(SUM('Root Data'!I7:I582)=0,1,0)</x:f>
        <x:v>1</x:v>
      </x:c>
      <x:c r="F25" s="21" t="n">
        <x:v>1</x:v>
      </x:c>
      <x:c r="G25" s="23" t="str">
        <x:f>IF(E25=F25,"PASS","FAIL")</x:f>
        <x:v>PASS</x:v>
      </x:c>
    </x:row>
    <x:row r="26">
      <x:c r="B26" s="21" t="str">
        <x:v>A00020</x:v>
      </x:c>
      <x:c r="C26" s="21" t="str">
        <x:v>global</x:v>
      </x:c>
      <x:c r="D26" s="21" t="str">
        <x:v>rights delivered counts zero</x:v>
      </x:c>
      <x:c r="E26" s="21" t="n">
        <x:f>IF(SUM('Root Data'!K7:K582)=0,1,0)</x:f>
        <x:v>1</x:v>
      </x:c>
      <x:c r="F26" s="21" t="n">
        <x:v>1</x:v>
      </x:c>
      <x:c r="G26" s="23" t="str">
        <x:f>IF(E26=F26,"PASS","FAIL")</x:f>
        <x:v>PASS</x:v>
      </x:c>
    </x:row>
    <x:row r="27">
      <x:c r="B27" s="21" t="str">
        <x:v>A00021</x:v>
      </x:c>
      <x:c r="C27" s="21" t="str">
        <x:v>office</x:v>
      </x:c>
      <x:c r="D27" s="21" t="str">
        <x:v>office row 7 staffing and span</x:v>
      </x:c>
      <x:c r="E27" s="21" t="n">
        <x:f>IF(AND('Office Network'!F7=Assumptions!C15,OR(AND('Office Network'!C7="Family program office",'Office Network'!E7=4),AND('Office Network'!C7="Technical integration office",'Office Network'!E7=12))),1,0)</x:f>
        <x:v>1</x:v>
      </x:c>
      <x:c r="F27" s="21" t="n">
        <x:v>1</x:v>
      </x:c>
      <x:c r="G27" s="23" t="str">
        <x:f>IF(E27=F27,"PASS","FAIL")</x:f>
        <x:v>PASS</x:v>
      </x:c>
    </x:row>
    <x:row r="28">
      <x:c r="B28" s="21" t="str">
        <x:v>A00022</x:v>
      </x:c>
      <x:c r="C28" s="21" t="str">
        <x:v>office</x:v>
      </x:c>
      <x:c r="D28" s="21" t="str">
        <x:v>office row 8 staffing and span</x:v>
      </x:c>
      <x:c r="E28" s="21" t="n">
        <x:f>IF(AND('Office Network'!F8=Assumptions!C15,OR(AND('Office Network'!C8="Family program office",'Office Network'!E8=4),AND('Office Network'!C8="Technical integration office",'Office Network'!E8=12))),1,0)</x:f>
        <x:v>1</x:v>
      </x:c>
      <x:c r="F28" s="21" t="n">
        <x:v>1</x:v>
      </x:c>
      <x:c r="G28" s="23" t="str">
        <x:f>IF(E28=F28,"PASS","FAIL")</x:f>
        <x:v>PASS</x:v>
      </x:c>
    </x:row>
    <x:row r="29">
      <x:c r="B29" s="21" t="str">
        <x:v>A00023</x:v>
      </x:c>
      <x:c r="C29" s="21" t="str">
        <x:v>office</x:v>
      </x:c>
      <x:c r="D29" s="21" t="str">
        <x:v>office row 9 staffing and span</x:v>
      </x:c>
      <x:c r="E29" s="21" t="n">
        <x:f>IF(AND('Office Network'!F9=Assumptions!C15,OR(AND('Office Network'!C9="Family program office",'Office Network'!E9=4),AND('Office Network'!C9="Technical integration office",'Office Network'!E9=12))),1,0)</x:f>
        <x:v>1</x:v>
      </x:c>
      <x:c r="F29" s="21" t="n">
        <x:v>1</x:v>
      </x:c>
      <x:c r="G29" s="23" t="str">
        <x:f>IF(E29=F29,"PASS","FAIL")</x:f>
        <x:v>PASS</x:v>
      </x:c>
    </x:row>
    <x:row r="30">
      <x:c r="B30" s="21" t="str">
        <x:v>A00024</x:v>
      </x:c>
      <x:c r="C30" s="21" t="str">
        <x:v>office</x:v>
      </x:c>
      <x:c r="D30" s="21" t="str">
        <x:v>office row 10 staffing and span</x:v>
      </x:c>
      <x:c r="E30" s="21" t="n">
        <x:f>IF(AND('Office Network'!F10=Assumptions!C15,OR(AND('Office Network'!C10="Family program office",'Office Network'!E10=4),AND('Office Network'!C10="Technical integration office",'Office Network'!E10=12))),1,0)</x:f>
        <x:v>1</x:v>
      </x:c>
      <x:c r="F30" s="21" t="n">
        <x:v>1</x:v>
      </x:c>
      <x:c r="G30" s="23" t="str">
        <x:f>IF(E30=F30,"PASS","FAIL")</x:f>
        <x:v>PASS</x:v>
      </x:c>
    </x:row>
    <x:row r="31">
      <x:c r="B31" s="21" t="str">
        <x:v>A00025</x:v>
      </x:c>
      <x:c r="C31" s="21" t="str">
        <x:v>office</x:v>
      </x:c>
      <x:c r="D31" s="21" t="str">
        <x:v>office row 11 staffing and span</x:v>
      </x:c>
      <x:c r="E31" s="21" t="n">
        <x:f>IF(AND('Office Network'!F11=Assumptions!C15,OR(AND('Office Network'!C11="Family program office",'Office Network'!E11=4),AND('Office Network'!C11="Technical integration office",'Office Network'!E11=12))),1,0)</x:f>
        <x:v>1</x:v>
      </x:c>
      <x:c r="F31" s="21" t="n">
        <x:v>1</x:v>
      </x:c>
      <x:c r="G31" s="23" t="str">
        <x:f>IF(E31=F31,"PASS","FAIL")</x:f>
        <x:v>PASS</x:v>
      </x:c>
    </x:row>
    <x:row r="32">
      <x:c r="B32" s="21" t="str">
        <x:v>A00026</x:v>
      </x:c>
      <x:c r="C32" s="21" t="str">
        <x:v>office</x:v>
      </x:c>
      <x:c r="D32" s="21" t="str">
        <x:v>office row 12 staffing and span</x:v>
      </x:c>
      <x:c r="E32" s="21" t="n">
        <x:f>IF(AND('Office Network'!F12=Assumptions!C15,OR(AND('Office Network'!C12="Family program office",'Office Network'!E12=4),AND('Office Network'!C12="Technical integration office",'Office Network'!E12=12))),1,0)</x:f>
        <x:v>1</x:v>
      </x:c>
      <x:c r="F32" s="21" t="n">
        <x:v>1</x:v>
      </x:c>
      <x:c r="G32" s="23" t="str">
        <x:f>IF(E32=F32,"PASS","FAIL")</x:f>
        <x:v>PASS</x:v>
      </x:c>
    </x:row>
    <x:row r="33">
      <x:c r="B33" s="21" t="str">
        <x:v>A00027</x:v>
      </x:c>
      <x:c r="C33" s="21" t="str">
        <x:v>office</x:v>
      </x:c>
      <x:c r="D33" s="21" t="str">
        <x:v>office row 13 staffing and span</x:v>
      </x:c>
      <x:c r="E33" s="21" t="n">
        <x:f>IF(AND('Office Network'!F13=Assumptions!C15,OR(AND('Office Network'!C13="Family program office",'Office Network'!E13=4),AND('Office Network'!C13="Technical integration office",'Office Network'!E13=12))),1,0)</x:f>
        <x:v>1</x:v>
      </x:c>
      <x:c r="F33" s="21" t="n">
        <x:v>1</x:v>
      </x:c>
      <x:c r="G33" s="23" t="str">
        <x:f>IF(E33=F33,"PASS","FAIL")</x:f>
        <x:v>PASS</x:v>
      </x:c>
    </x:row>
    <x:row r="34">
      <x:c r="B34" s="21" t="str">
        <x:v>A00028</x:v>
      </x:c>
      <x:c r="C34" s="21" t="str">
        <x:v>office</x:v>
      </x:c>
      <x:c r="D34" s="21" t="str">
        <x:v>office row 14 staffing and span</x:v>
      </x:c>
      <x:c r="E34" s="21" t="n">
        <x:f>IF(AND('Office Network'!F14=Assumptions!C15,OR(AND('Office Network'!C14="Family program office",'Office Network'!E14=4),AND('Office Network'!C14="Technical integration office",'Office Network'!E14=12))),1,0)</x:f>
        <x:v>1</x:v>
      </x:c>
      <x:c r="F34" s="21" t="n">
        <x:v>1</x:v>
      </x:c>
      <x:c r="G34" s="23" t="str">
        <x:f>IF(E34=F34,"PASS","FAIL")</x:f>
        <x:v>PASS</x:v>
      </x:c>
    </x:row>
    <x:row r="35">
      <x:c r="B35" s="21" t="str">
        <x:v>A00029</x:v>
      </x:c>
      <x:c r="C35" s="21" t="str">
        <x:v>office</x:v>
      </x:c>
      <x:c r="D35" s="21" t="str">
        <x:v>office row 15 staffing and span</x:v>
      </x:c>
      <x:c r="E35" s="21" t="n">
        <x:f>IF(AND('Office Network'!F15=Assumptions!C15,OR(AND('Office Network'!C15="Family program office",'Office Network'!E15=4),AND('Office Network'!C15="Technical integration office",'Office Network'!E15=12))),1,0)</x:f>
        <x:v>1</x:v>
      </x:c>
      <x:c r="F35" s="21" t="n">
        <x:v>1</x:v>
      </x:c>
      <x:c r="G35" s="23" t="str">
        <x:f>IF(E35=F35,"PASS","FAIL")</x:f>
        <x:v>PASS</x:v>
      </x:c>
    </x:row>
    <x:row r="36">
      <x:c r="B36" s="21" t="str">
        <x:v>A00030</x:v>
      </x:c>
      <x:c r="C36" s="21" t="str">
        <x:v>office</x:v>
      </x:c>
      <x:c r="D36" s="21" t="str">
        <x:v>office row 16 staffing and span</x:v>
      </x:c>
      <x:c r="E36" s="21" t="n">
        <x:f>IF(AND('Office Network'!F16=Assumptions!C15,OR(AND('Office Network'!C16="Family program office",'Office Network'!E16=4),AND('Office Network'!C16="Technical integration office",'Office Network'!E16=12))),1,0)</x:f>
        <x:v>1</x:v>
      </x:c>
      <x:c r="F36" s="21" t="n">
        <x:v>1</x:v>
      </x:c>
      <x:c r="G36" s="23" t="str">
        <x:f>IF(E36=F36,"PASS","FAIL")</x:f>
        <x:v>PASS</x:v>
      </x:c>
    </x:row>
    <x:row r="37">
      <x:c r="B37" s="21" t="str">
        <x:v>A00031</x:v>
      </x:c>
      <x:c r="C37" s="21" t="str">
        <x:v>office</x:v>
      </x:c>
      <x:c r="D37" s="21" t="str">
        <x:v>office row 17 staffing and span</x:v>
      </x:c>
      <x:c r="E37" s="21" t="n">
        <x:f>IF(AND('Office Network'!F17=Assumptions!C15,OR(AND('Office Network'!C17="Family program office",'Office Network'!E17=4),AND('Office Network'!C17="Technical integration office",'Office Network'!E17=12))),1,0)</x:f>
        <x:v>1</x:v>
      </x:c>
      <x:c r="F37" s="21" t="n">
        <x:v>1</x:v>
      </x:c>
      <x:c r="G37" s="23" t="str">
        <x:f>IF(E37=F37,"PASS","FAIL")</x:f>
        <x:v>PASS</x:v>
      </x:c>
    </x:row>
    <x:row r="38">
      <x:c r="B38" s="21" t="str">
        <x:v>A00032</x:v>
      </x:c>
      <x:c r="C38" s="21" t="str">
        <x:v>office</x:v>
      </x:c>
      <x:c r="D38" s="21" t="str">
        <x:v>office row 18 staffing and span</x:v>
      </x:c>
      <x:c r="E38" s="21" t="n">
        <x:f>IF(AND('Office Network'!F18=Assumptions!C15,OR(AND('Office Network'!C18="Family program office",'Office Network'!E18=4),AND('Office Network'!C18="Technical integration office",'Office Network'!E18=12))),1,0)</x:f>
        <x:v>1</x:v>
      </x:c>
      <x:c r="F38" s="21" t="n">
        <x:v>1</x:v>
      </x:c>
      <x:c r="G38" s="23" t="str">
        <x:f>IF(E38=F38,"PASS","FAIL")</x:f>
        <x:v>PASS</x:v>
      </x:c>
    </x:row>
    <x:row r="39">
      <x:c r="B39" s="21" t="str">
        <x:v>A00033</x:v>
      </x:c>
      <x:c r="C39" s="21" t="str">
        <x:v>office</x:v>
      </x:c>
      <x:c r="D39" s="21" t="str">
        <x:v>office row 19 staffing and span</x:v>
      </x:c>
      <x:c r="E39" s="21" t="n">
        <x:f>IF(AND('Office Network'!F19=Assumptions!C15,OR(AND('Office Network'!C19="Family program office",'Office Network'!E19=4),AND('Office Network'!C19="Technical integration office",'Office Network'!E19=12))),1,0)</x:f>
        <x:v>1</x:v>
      </x:c>
      <x:c r="F39" s="21" t="n">
        <x:v>1</x:v>
      </x:c>
      <x:c r="G39" s="23" t="str">
        <x:f>IF(E39=F39,"PASS","FAIL")</x:f>
        <x:v>PASS</x:v>
      </x:c>
    </x:row>
    <x:row r="40">
      <x:c r="B40" s="21" t="str">
        <x:v>A00034</x:v>
      </x:c>
      <x:c r="C40" s="21" t="str">
        <x:v>office</x:v>
      </x:c>
      <x:c r="D40" s="21" t="str">
        <x:v>office row 20 staffing and span</x:v>
      </x:c>
      <x:c r="E40" s="21" t="n">
        <x:f>IF(AND('Office Network'!F20=Assumptions!C15,OR(AND('Office Network'!C20="Family program office",'Office Network'!E20=4),AND('Office Network'!C20="Technical integration office",'Office Network'!E20=12))),1,0)</x:f>
        <x:v>1</x:v>
      </x:c>
      <x:c r="F40" s="21" t="n">
        <x:v>1</x:v>
      </x:c>
      <x:c r="G40" s="23" t="str">
        <x:f>IF(E40=F40,"PASS","FAIL")</x:f>
        <x:v>PASS</x:v>
      </x:c>
    </x:row>
    <x:row r="41">
      <x:c r="B41" s="21" t="str">
        <x:v>A00035</x:v>
      </x:c>
      <x:c r="C41" s="21" t="str">
        <x:v>office</x:v>
      </x:c>
      <x:c r="D41" s="21" t="str">
        <x:v>office row 21 staffing and span</x:v>
      </x:c>
      <x:c r="E41" s="21" t="n">
        <x:f>IF(AND('Office Network'!F21=Assumptions!C15,OR(AND('Office Network'!C21="Family program office",'Office Network'!E21=4),AND('Office Network'!C21="Technical integration office",'Office Network'!E21=12))),1,0)</x:f>
        <x:v>1</x:v>
      </x:c>
      <x:c r="F41" s="21" t="n">
        <x:v>1</x:v>
      </x:c>
      <x:c r="G41" s="23" t="str">
        <x:f>IF(E41=F41,"PASS","FAIL")</x:f>
        <x:v>PASS</x:v>
      </x:c>
    </x:row>
    <x:row r="42">
      <x:c r="B42" s="21" t="str">
        <x:v>A00036</x:v>
      </x:c>
      <x:c r="C42" s="21" t="str">
        <x:v>office</x:v>
      </x:c>
      <x:c r="D42" s="21" t="str">
        <x:v>office row 22 staffing and span</x:v>
      </x:c>
      <x:c r="E42" s="21" t="n">
        <x:f>IF(AND('Office Network'!F22=Assumptions!C15,OR(AND('Office Network'!C22="Family program office",'Office Network'!E22=4),AND('Office Network'!C22="Technical integration office",'Office Network'!E22=12))),1,0)</x:f>
        <x:v>1</x:v>
      </x:c>
      <x:c r="F42" s="21" t="n">
        <x:v>1</x:v>
      </x:c>
      <x:c r="G42" s="23" t="str">
        <x:f>IF(E42=F42,"PASS","FAIL")</x:f>
        <x:v>PASS</x:v>
      </x:c>
    </x:row>
    <x:row r="43">
      <x:c r="B43" s="21" t="str">
        <x:v>A00037</x:v>
      </x:c>
      <x:c r="C43" s="21" t="str">
        <x:v>office</x:v>
      </x:c>
      <x:c r="D43" s="21" t="str">
        <x:v>office row 23 staffing and span</x:v>
      </x:c>
      <x:c r="E43" s="21" t="n">
        <x:f>IF(AND('Office Network'!F23=Assumptions!C15,OR(AND('Office Network'!C23="Family program office",'Office Network'!E23=4),AND('Office Network'!C23="Technical integration office",'Office Network'!E23=12))),1,0)</x:f>
        <x:v>1</x:v>
      </x:c>
      <x:c r="F43" s="21" t="n">
        <x:v>1</x:v>
      </x:c>
      <x:c r="G43" s="23" t="str">
        <x:f>IF(E43=F43,"PASS","FAIL")</x:f>
        <x:v>PASS</x:v>
      </x:c>
    </x:row>
    <x:row r="44">
      <x:c r="B44" s="21" t="str">
        <x:v>A00038</x:v>
      </x:c>
      <x:c r="C44" s="21" t="str">
        <x:v>office</x:v>
      </x:c>
      <x:c r="D44" s="21" t="str">
        <x:v>office row 24 staffing and span</x:v>
      </x:c>
      <x:c r="E44" s="21" t="n">
        <x:f>IF(AND('Office Network'!F24=Assumptions!C15,OR(AND('Office Network'!C24="Family program office",'Office Network'!E24=4),AND('Office Network'!C24="Technical integration office",'Office Network'!E24=12))),1,0)</x:f>
        <x:v>1</x:v>
      </x:c>
      <x:c r="F44" s="21" t="n">
        <x:v>1</x:v>
      </x:c>
      <x:c r="G44" s="23" t="str">
        <x:f>IF(E44=F44,"PASS","FAIL")</x:f>
        <x:v>PASS</x:v>
      </x:c>
    </x:row>
    <x:row r="45">
      <x:c r="B45" s="21" t="str">
        <x:v>A00039</x:v>
      </x:c>
      <x:c r="C45" s="21" t="str">
        <x:v>office</x:v>
      </x:c>
      <x:c r="D45" s="21" t="str">
        <x:v>office row 25 staffing and span</x:v>
      </x:c>
      <x:c r="E45" s="21" t="n">
        <x:f>IF(AND('Office Network'!F25=Assumptions!C15,OR(AND('Office Network'!C25="Family program office",'Office Network'!E25=4),AND('Office Network'!C25="Technical integration office",'Office Network'!E25=12))),1,0)</x:f>
        <x:v>1</x:v>
      </x:c>
      <x:c r="F45" s="21" t="n">
        <x:v>1</x:v>
      </x:c>
      <x:c r="G45" s="23" t="str">
        <x:f>IF(E45=F45,"PASS","FAIL")</x:f>
        <x:v>PASS</x:v>
      </x:c>
    </x:row>
    <x:row r="46">
      <x:c r="B46" s="21" t="str">
        <x:v>A00040</x:v>
      </x:c>
      <x:c r="C46" s="21" t="str">
        <x:v>office</x:v>
      </x:c>
      <x:c r="D46" s="21" t="str">
        <x:v>office row 26 staffing and span</x:v>
      </x:c>
      <x:c r="E46" s="21" t="n">
        <x:f>IF(AND('Office Network'!F26=Assumptions!C15,OR(AND('Office Network'!C26="Family program office",'Office Network'!E26=4),AND('Office Network'!C26="Technical integration office",'Office Network'!E26=12))),1,0)</x:f>
        <x:v>1</x:v>
      </x:c>
      <x:c r="F46" s="21" t="n">
        <x:v>1</x:v>
      </x:c>
      <x:c r="G46" s="23" t="str">
        <x:f>IF(E46=F46,"PASS","FAIL")</x:f>
        <x:v>PASS</x:v>
      </x:c>
    </x:row>
    <x:row r="47">
      <x:c r="B47" s="21" t="str">
        <x:v>A00041</x:v>
      </x:c>
      <x:c r="C47" s="21" t="str">
        <x:v>office</x:v>
      </x:c>
      <x:c r="D47" s="21" t="str">
        <x:v>office row 27 staffing and span</x:v>
      </x:c>
      <x:c r="E47" s="21" t="n">
        <x:f>IF(AND('Office Network'!F27=Assumptions!C15,OR(AND('Office Network'!C27="Family program office",'Office Network'!E27=4),AND('Office Network'!C27="Technical integration office",'Office Network'!E27=12))),1,0)</x:f>
        <x:v>1</x:v>
      </x:c>
      <x:c r="F47" s="21" t="n">
        <x:v>1</x:v>
      </x:c>
      <x:c r="G47" s="23" t="str">
        <x:f>IF(E47=F47,"PASS","FAIL")</x:f>
        <x:v>PASS</x:v>
      </x:c>
    </x:row>
    <x:row r="48">
      <x:c r="B48" s="21" t="str">
        <x:v>A00042</x:v>
      </x:c>
      <x:c r="C48" s="21" t="str">
        <x:v>office</x:v>
      </x:c>
      <x:c r="D48" s="21" t="str">
        <x:v>office row 28 staffing and span</x:v>
      </x:c>
      <x:c r="E48" s="21" t="n">
        <x:f>IF(AND('Office Network'!F28=Assumptions!C15,OR(AND('Office Network'!C28="Family program office",'Office Network'!E28=4),AND('Office Network'!C28="Technical integration office",'Office Network'!E28=12))),1,0)</x:f>
        <x:v>1</x:v>
      </x:c>
      <x:c r="F48" s="21" t="n">
        <x:v>1</x:v>
      </x:c>
      <x:c r="G48" s="23" t="str">
        <x:f>IF(E48=F48,"PASS","FAIL")</x:f>
        <x:v>PASS</x:v>
      </x:c>
    </x:row>
    <x:row r="49">
      <x:c r="B49" s="21" t="str">
        <x:v>A00043</x:v>
      </x:c>
      <x:c r="C49" s="21" t="str">
        <x:v>office</x:v>
      </x:c>
      <x:c r="D49" s="21" t="str">
        <x:v>office row 29 staffing and span</x:v>
      </x:c>
      <x:c r="E49" s="21" t="n">
        <x:f>IF(AND('Office Network'!F29=Assumptions!C15,OR(AND('Office Network'!C29="Family program office",'Office Network'!E29=4),AND('Office Network'!C29="Technical integration office",'Office Network'!E29=12))),1,0)</x:f>
        <x:v>1</x:v>
      </x:c>
      <x:c r="F49" s="21" t="n">
        <x:v>1</x:v>
      </x:c>
      <x:c r="G49" s="23" t="str">
        <x:f>IF(E49=F49,"PASS","FAIL")</x:f>
        <x:v>PASS</x:v>
      </x:c>
    </x:row>
    <x:row r="50">
      <x:c r="B50" s="21" t="str">
        <x:v>A00044</x:v>
      </x:c>
      <x:c r="C50" s="21" t="str">
        <x:v>office</x:v>
      </x:c>
      <x:c r="D50" s="21" t="str">
        <x:v>office row 30 staffing and span</x:v>
      </x:c>
      <x:c r="E50" s="21" t="n">
        <x:f>IF(AND('Office Network'!F30=Assumptions!C15,OR(AND('Office Network'!C30="Family program office",'Office Network'!E30=4),AND('Office Network'!C30="Technical integration office",'Office Network'!E30=12))),1,0)</x:f>
        <x:v>1</x:v>
      </x:c>
      <x:c r="F50" s="21" t="n">
        <x:v>1</x:v>
      </x:c>
      <x:c r="G50" s="23" t="str">
        <x:f>IF(E50=F50,"PASS","FAIL")</x:f>
        <x:v>PASS</x:v>
      </x:c>
    </x:row>
    <x:row r="51">
      <x:c r="B51" s="21" t="str">
        <x:v>A00045</x:v>
      </x:c>
      <x:c r="C51" s="21" t="str">
        <x:v>office</x:v>
      </x:c>
      <x:c r="D51" s="21" t="str">
        <x:v>office row 31 staffing and span</x:v>
      </x:c>
      <x:c r="E51" s="21" t="n">
        <x:f>IF(AND('Office Network'!F31=Assumptions!C15,OR(AND('Office Network'!C31="Family program office",'Office Network'!E31=4),AND('Office Network'!C31="Technical integration office",'Office Network'!E31=12))),1,0)</x:f>
        <x:v>1</x:v>
      </x:c>
      <x:c r="F51" s="21" t="n">
        <x:v>1</x:v>
      </x:c>
      <x:c r="G51" s="23" t="str">
        <x:f>IF(E51=F51,"PASS","FAIL")</x:f>
        <x:v>PASS</x:v>
      </x:c>
    </x:row>
    <x:row r="52">
      <x:c r="B52" s="21" t="str">
        <x:v>A00046</x:v>
      </x:c>
      <x:c r="C52" s="21" t="str">
        <x:v>office</x:v>
      </x:c>
      <x:c r="D52" s="21" t="str">
        <x:v>office row 32 staffing and span</x:v>
      </x:c>
      <x:c r="E52" s="21" t="n">
        <x:f>IF(AND('Office Network'!F32=Assumptions!C15,OR(AND('Office Network'!C32="Family program office",'Office Network'!E32=4),AND('Office Network'!C32="Technical integration office",'Office Network'!E32=12))),1,0)</x:f>
        <x:v>1</x:v>
      </x:c>
      <x:c r="F52" s="21" t="n">
        <x:v>1</x:v>
      </x:c>
      <x:c r="G52" s="23" t="str">
        <x:f>IF(E52=F52,"PASS","FAIL")</x:f>
        <x:v>PASS</x:v>
      </x:c>
    </x:row>
    <x:row r="53">
      <x:c r="B53" s="21" t="str">
        <x:v>A00047</x:v>
      </x:c>
      <x:c r="C53" s="21" t="str">
        <x:v>office</x:v>
      </x:c>
      <x:c r="D53" s="21" t="str">
        <x:v>office row 33 staffing and span</x:v>
      </x:c>
      <x:c r="E53" s="21" t="n">
        <x:f>IF(AND('Office Network'!F33=Assumptions!C15,OR(AND('Office Network'!C33="Family program office",'Office Network'!E33=4),AND('Office Network'!C33="Technical integration office",'Office Network'!E33=12))),1,0)</x:f>
        <x:v>1</x:v>
      </x:c>
      <x:c r="F53" s="21" t="n">
        <x:v>1</x:v>
      </x:c>
      <x:c r="G53" s="23" t="str">
        <x:f>IF(E53=F53,"PASS","FAIL")</x:f>
        <x:v>PASS</x:v>
      </x:c>
    </x:row>
    <x:row r="54">
      <x:c r="B54" s="21" t="str">
        <x:v>A00048</x:v>
      </x:c>
      <x:c r="C54" s="21" t="str">
        <x:v>office</x:v>
      </x:c>
      <x:c r="D54" s="21" t="str">
        <x:v>office row 34 staffing and span</x:v>
      </x:c>
      <x:c r="E54" s="21" t="n">
        <x:f>IF(AND('Office Network'!F34=Assumptions!C15,OR(AND('Office Network'!C34="Family program office",'Office Network'!E34=4),AND('Office Network'!C34="Technical integration office",'Office Network'!E34=12))),1,0)</x:f>
        <x:v>1</x:v>
      </x:c>
      <x:c r="F54" s="21" t="n">
        <x:v>1</x:v>
      </x:c>
      <x:c r="G54" s="23" t="str">
        <x:f>IF(E54=F54,"PASS","FAIL")</x:f>
        <x:v>PASS</x:v>
      </x:c>
    </x:row>
    <x:row r="55">
      <x:c r="B55" s="21" t="str">
        <x:v>A00049</x:v>
      </x:c>
      <x:c r="C55" s="21" t="str">
        <x:v>office</x:v>
      </x:c>
      <x:c r="D55" s="21" t="str">
        <x:v>office row 35 staffing and span</x:v>
      </x:c>
      <x:c r="E55" s="21" t="n">
        <x:f>IF(AND('Office Network'!F35=Assumptions!C15,OR(AND('Office Network'!C35="Family program office",'Office Network'!E35=4),AND('Office Network'!C35="Technical integration office",'Office Network'!E35=12))),1,0)</x:f>
        <x:v>1</x:v>
      </x:c>
      <x:c r="F55" s="21" t="n">
        <x:v>1</x:v>
      </x:c>
      <x:c r="G55" s="23" t="str">
        <x:f>IF(E55=F55,"PASS","FAIL")</x:f>
        <x:v>PASS</x:v>
      </x:c>
    </x:row>
    <x:row r="56">
      <x:c r="B56" s="21" t="str">
        <x:v>A00050</x:v>
      </x:c>
      <x:c r="C56" s="21" t="str">
        <x:v>office</x:v>
      </x:c>
      <x:c r="D56" s="21" t="str">
        <x:v>office row 36 staffing and span</x:v>
      </x:c>
      <x:c r="E56" s="21" t="n">
        <x:f>IF(AND('Office Network'!F36=Assumptions!C15,OR(AND('Office Network'!C36="Family program office",'Office Network'!E36=4),AND('Office Network'!C36="Technical integration office",'Office Network'!E36=12))),1,0)</x:f>
        <x:v>1</x:v>
      </x:c>
      <x:c r="F56" s="21" t="n">
        <x:v>1</x:v>
      </x:c>
      <x:c r="G56" s="23" t="str">
        <x:f>IF(E56=F56,"PASS","FAIL")</x:f>
        <x:v>PASS</x:v>
      </x:c>
    </x:row>
    <x:row r="57">
      <x:c r="B57" s="21" t="str">
        <x:v>A00051</x:v>
      </x:c>
      <x:c r="C57" s="21" t="str">
        <x:v>office</x:v>
      </x:c>
      <x:c r="D57" s="21" t="str">
        <x:v>office row 37 staffing and span</x:v>
      </x:c>
      <x:c r="E57" s="21" t="n">
        <x:f>IF(AND('Office Network'!F37=Assumptions!C15,OR(AND('Office Network'!C37="Family program office",'Office Network'!E37=4),AND('Office Network'!C37="Technical integration office",'Office Network'!E37=12))),1,0)</x:f>
        <x:v>1</x:v>
      </x:c>
      <x:c r="F57" s="21" t="n">
        <x:v>1</x:v>
      </x:c>
      <x:c r="G57" s="23" t="str">
        <x:f>IF(E57=F57,"PASS","FAIL")</x:f>
        <x:v>PASS</x:v>
      </x:c>
    </x:row>
    <x:row r="58">
      <x:c r="B58" s="21" t="str">
        <x:v>A00052</x:v>
      </x:c>
      <x:c r="C58" s="21" t="str">
        <x:v>office</x:v>
      </x:c>
      <x:c r="D58" s="21" t="str">
        <x:v>office row 38 staffing and span</x:v>
      </x:c>
      <x:c r="E58" s="21" t="n">
        <x:f>IF(AND('Office Network'!F38=Assumptions!C15,OR(AND('Office Network'!C38="Family program office",'Office Network'!E38=4),AND('Office Network'!C38="Technical integration office",'Office Network'!E38=12))),1,0)</x:f>
        <x:v>1</x:v>
      </x:c>
      <x:c r="F58" s="21" t="n">
        <x:v>1</x:v>
      </x:c>
      <x:c r="G58" s="23" t="str">
        <x:f>IF(E58=F58,"PASS","FAIL")</x:f>
        <x:v>PASS</x:v>
      </x:c>
    </x:row>
    <x:row r="59">
      <x:c r="B59" s="21" t="str">
        <x:v>A00053</x:v>
      </x:c>
      <x:c r="C59" s="21" t="str">
        <x:v>office</x:v>
      </x:c>
      <x:c r="D59" s="21" t="str">
        <x:v>office row 39 staffing and span</x:v>
      </x:c>
      <x:c r="E59" s="21" t="n">
        <x:f>IF(AND('Office Network'!F39=Assumptions!C15,OR(AND('Office Network'!C39="Family program office",'Office Network'!E39=4),AND('Office Network'!C39="Technical integration office",'Office Network'!E39=12))),1,0)</x:f>
        <x:v>1</x:v>
      </x:c>
      <x:c r="F59" s="21" t="n">
        <x:v>1</x:v>
      </x:c>
      <x:c r="G59" s="23" t="str">
        <x:f>IF(E59=F59,"PASS","FAIL")</x:f>
        <x:v>PASS</x:v>
      </x:c>
    </x:row>
    <x:row r="60">
      <x:c r="B60" s="21" t="str">
        <x:v>A00054</x:v>
      </x:c>
      <x:c r="C60" s="21" t="str">
        <x:v>office</x:v>
      </x:c>
      <x:c r="D60" s="21" t="str">
        <x:v>office row 40 staffing and span</x:v>
      </x:c>
      <x:c r="E60" s="21" t="n">
        <x:f>IF(AND('Office Network'!F40=Assumptions!C15,OR(AND('Office Network'!C40="Family program office",'Office Network'!E40=4),AND('Office Network'!C40="Technical integration office",'Office Network'!E40=12))),1,0)</x:f>
        <x:v>1</x:v>
      </x:c>
      <x:c r="F60" s="21" t="n">
        <x:v>1</x:v>
      </x:c>
      <x:c r="G60" s="23" t="str">
        <x:f>IF(E60=F60,"PASS","FAIL")</x:f>
        <x:v>PASS</x:v>
      </x:c>
    </x:row>
    <x:row r="61">
      <x:c r="B61" s="21" t="str">
        <x:v>A00055</x:v>
      </x:c>
      <x:c r="C61" s="21" t="str">
        <x:v>office</x:v>
      </x:c>
      <x:c r="D61" s="21" t="str">
        <x:v>office row 41 staffing and span</x:v>
      </x:c>
      <x:c r="E61" s="21" t="n">
        <x:f>IF(AND('Office Network'!F41=Assumptions!C15,OR(AND('Office Network'!C41="Family program office",'Office Network'!E41=4),AND('Office Network'!C41="Technical integration office",'Office Network'!E41=12))),1,0)</x:f>
        <x:v>1</x:v>
      </x:c>
      <x:c r="F61" s="21" t="n">
        <x:v>1</x:v>
      </x:c>
      <x:c r="G61" s="23" t="str">
        <x:f>IF(E61=F61,"PASS","FAIL")</x:f>
        <x:v>PASS</x:v>
      </x:c>
    </x:row>
    <x:row r="62">
      <x:c r="B62" s="21" t="str">
        <x:v>A00056</x:v>
      </x:c>
      <x:c r="C62" s="21" t="str">
        <x:v>office</x:v>
      </x:c>
      <x:c r="D62" s="21" t="str">
        <x:v>office row 42 staffing and span</x:v>
      </x:c>
      <x:c r="E62" s="21" t="n">
        <x:f>IF(AND('Office Network'!F42=Assumptions!C15,OR(AND('Office Network'!C42="Family program office",'Office Network'!E42=4),AND('Office Network'!C42="Technical integration office",'Office Network'!E42=12))),1,0)</x:f>
        <x:v>1</x:v>
      </x:c>
      <x:c r="F62" s="21" t="n">
        <x:v>1</x:v>
      </x:c>
      <x:c r="G62" s="23" t="str">
        <x:f>IF(E62=F62,"PASS","FAIL")</x:f>
        <x:v>PASS</x:v>
      </x:c>
    </x:row>
    <x:row r="63">
      <x:c r="B63" s="21" t="str">
        <x:v>A00057</x:v>
      </x:c>
      <x:c r="C63" s="21" t="str">
        <x:v>office</x:v>
      </x:c>
      <x:c r="D63" s="21" t="str">
        <x:v>office row 43 staffing and span</x:v>
      </x:c>
      <x:c r="E63" s="21" t="n">
        <x:f>IF(AND('Office Network'!F43=Assumptions!C15,OR(AND('Office Network'!C43="Family program office",'Office Network'!E43=4),AND('Office Network'!C43="Technical integration office",'Office Network'!E43=12))),1,0)</x:f>
        <x:v>1</x:v>
      </x:c>
      <x:c r="F63" s="21" t="n">
        <x:v>1</x:v>
      </x:c>
      <x:c r="G63" s="23" t="str">
        <x:f>IF(E63=F63,"PASS","FAIL")</x:f>
        <x:v>PASS</x:v>
      </x:c>
    </x:row>
    <x:row r="64">
      <x:c r="B64" s="21" t="str">
        <x:v>A00058</x:v>
      </x:c>
      <x:c r="C64" s="21" t="str">
        <x:v>office</x:v>
      </x:c>
      <x:c r="D64" s="21" t="str">
        <x:v>office row 44 staffing and span</x:v>
      </x:c>
      <x:c r="E64" s="21" t="n">
        <x:f>IF(AND('Office Network'!F44=Assumptions!C15,OR(AND('Office Network'!C44="Family program office",'Office Network'!E44=4),AND('Office Network'!C44="Technical integration office",'Office Network'!E44=12))),1,0)</x:f>
        <x:v>1</x:v>
      </x:c>
      <x:c r="F64" s="21" t="n">
        <x:v>1</x:v>
      </x:c>
      <x:c r="G64" s="23" t="str">
        <x:f>IF(E64=F64,"PASS","FAIL")</x:f>
        <x:v>PASS</x:v>
      </x:c>
    </x:row>
    <x:row r="65">
      <x:c r="B65" s="21" t="str">
        <x:v>A00059</x:v>
      </x:c>
      <x:c r="C65" s="21" t="str">
        <x:v>office</x:v>
      </x:c>
      <x:c r="D65" s="21" t="str">
        <x:v>office row 45 staffing and span</x:v>
      </x:c>
      <x:c r="E65" s="21" t="n">
        <x:f>IF(AND('Office Network'!F45=Assumptions!C15,OR(AND('Office Network'!C45="Family program office",'Office Network'!E45=4),AND('Office Network'!C45="Technical integration office",'Office Network'!E45=12))),1,0)</x:f>
        <x:v>1</x:v>
      </x:c>
      <x:c r="F65" s="21" t="n">
        <x:v>1</x:v>
      </x:c>
      <x:c r="G65" s="23" t="str">
        <x:f>IF(E65=F65,"PASS","FAIL")</x:f>
        <x:v>PASS</x:v>
      </x:c>
    </x:row>
    <x:row r="66">
      <x:c r="B66" s="21" t="str">
        <x:v>A00060</x:v>
      </x:c>
      <x:c r="C66" s="21" t="str">
        <x:v>office</x:v>
      </x:c>
      <x:c r="D66" s="21" t="str">
        <x:v>office row 46 staffing and span</x:v>
      </x:c>
      <x:c r="E66" s="21" t="n">
        <x:f>IF(AND('Office Network'!F46=Assumptions!C15,OR(AND('Office Network'!C46="Family program office",'Office Network'!E46=4),AND('Office Network'!C46="Technical integration office",'Office Network'!E46=12))),1,0)</x:f>
        <x:v>1</x:v>
      </x:c>
      <x:c r="F66" s="21" t="n">
        <x:v>1</x:v>
      </x:c>
      <x:c r="G66" s="23" t="str">
        <x:f>IF(E66=F66,"PASS","FAIL")</x:f>
        <x:v>PASS</x:v>
      </x:c>
    </x:row>
    <x:row r="67">
      <x:c r="B67" s="21" t="str">
        <x:v>A00061</x:v>
      </x:c>
      <x:c r="C67" s="21" t="str">
        <x:v>office</x:v>
      </x:c>
      <x:c r="D67" s="21" t="str">
        <x:v>office row 47 staffing and span</x:v>
      </x:c>
      <x:c r="E67" s="21" t="n">
        <x:f>IF(AND('Office Network'!F47=Assumptions!C15,OR(AND('Office Network'!C47="Family program office",'Office Network'!E47=4),AND('Office Network'!C47="Technical integration office",'Office Network'!E47=12))),1,0)</x:f>
        <x:v>1</x:v>
      </x:c>
      <x:c r="F67" s="21" t="n">
        <x:v>1</x:v>
      </x:c>
      <x:c r="G67" s="23" t="str">
        <x:f>IF(E67=F67,"PASS","FAIL")</x:f>
        <x:v>PASS</x:v>
      </x:c>
    </x:row>
    <x:row r="68">
      <x:c r="B68" s="21" t="str">
        <x:v>A00062</x:v>
      </x:c>
      <x:c r="C68" s="21" t="str">
        <x:v>office</x:v>
      </x:c>
      <x:c r="D68" s="21" t="str">
        <x:v>office row 48 staffing and span</x:v>
      </x:c>
      <x:c r="E68" s="21" t="n">
        <x:f>IF(AND('Office Network'!F48=Assumptions!C15,OR(AND('Office Network'!C48="Family program office",'Office Network'!E48=4),AND('Office Network'!C48="Technical integration office",'Office Network'!E48=12))),1,0)</x:f>
        <x:v>1</x:v>
      </x:c>
      <x:c r="F68" s="21" t="n">
        <x:v>1</x:v>
      </x:c>
      <x:c r="G68" s="23" t="str">
        <x:f>IF(E68=F68,"PASS","FAIL")</x:f>
        <x:v>PASS</x:v>
      </x:c>
    </x:row>
    <x:row r="69">
      <x:c r="B69" s="21" t="str">
        <x:v>A00063</x:v>
      </x:c>
      <x:c r="C69" s="21" t="str">
        <x:v>office</x:v>
      </x:c>
      <x:c r="D69" s="21" t="str">
        <x:v>office row 49 staffing and span</x:v>
      </x:c>
      <x:c r="E69" s="21" t="n">
        <x:f>IF(AND('Office Network'!F49=Assumptions!C15,OR(AND('Office Network'!C49="Family program office",'Office Network'!E49=4),AND('Office Network'!C49="Technical integration office",'Office Network'!E49=12))),1,0)</x:f>
        <x:v>1</x:v>
      </x:c>
      <x:c r="F69" s="21" t="n">
        <x:v>1</x:v>
      </x:c>
      <x:c r="G69" s="23" t="str">
        <x:f>IF(E69=F69,"PASS","FAIL")</x:f>
        <x:v>PASS</x:v>
      </x:c>
    </x:row>
    <x:row r="70">
      <x:c r="B70" s="21" t="str">
        <x:v>A00064</x:v>
      </x:c>
      <x:c r="C70" s="21" t="str">
        <x:v>office</x:v>
      </x:c>
      <x:c r="D70" s="21" t="str">
        <x:v>office row 50 staffing and span</x:v>
      </x:c>
      <x:c r="E70" s="21" t="n">
        <x:f>IF(AND('Office Network'!F50=Assumptions!C15,OR(AND('Office Network'!C50="Family program office",'Office Network'!E50=4),AND('Office Network'!C50="Technical integration office",'Office Network'!E50=12))),1,0)</x:f>
        <x:v>1</x:v>
      </x:c>
      <x:c r="F70" s="21" t="n">
        <x:v>1</x:v>
      </x:c>
      <x:c r="G70" s="23" t="str">
        <x:f>IF(E70=F70,"PASS","FAIL")</x:f>
        <x:v>PASS</x:v>
      </x:c>
    </x:row>
    <x:row r="71">
      <x:c r="B71" s="21" t="str">
        <x:v>A00065</x:v>
      </x:c>
      <x:c r="C71" s="21" t="str">
        <x:v>office</x:v>
      </x:c>
      <x:c r="D71" s="21" t="str">
        <x:v>office row 51 staffing and span</x:v>
      </x:c>
      <x:c r="E71" s="21" t="n">
        <x:f>IF(AND('Office Network'!F51=Assumptions!C15,OR(AND('Office Network'!C51="Family program office",'Office Network'!E51=4),AND('Office Network'!C51="Technical integration office",'Office Network'!E51=12))),1,0)</x:f>
        <x:v>1</x:v>
      </x:c>
      <x:c r="F71" s="21" t="n">
        <x:v>1</x:v>
      </x:c>
      <x:c r="G71" s="23" t="str">
        <x:f>IF(E71=F71,"PASS","FAIL")</x:f>
        <x:v>PASS</x:v>
      </x:c>
    </x:row>
    <x:row r="72">
      <x:c r="B72" s="21" t="str">
        <x:v>A00066</x:v>
      </x:c>
      <x:c r="C72" s="21" t="str">
        <x:v>office</x:v>
      </x:c>
      <x:c r="D72" s="21" t="str">
        <x:v>office row 52 staffing and span</x:v>
      </x:c>
      <x:c r="E72" s="21" t="n">
        <x:f>IF(AND('Office Network'!F52=Assumptions!C15,OR(AND('Office Network'!C52="Family program office",'Office Network'!E52=4),AND('Office Network'!C52="Technical integration office",'Office Network'!E52=12))),1,0)</x:f>
        <x:v>1</x:v>
      </x:c>
      <x:c r="F72" s="21" t="n">
        <x:v>1</x:v>
      </x:c>
      <x:c r="G72" s="23" t="str">
        <x:f>IF(E72=F72,"PASS","FAIL")</x:f>
        <x:v>PASS</x:v>
      </x:c>
    </x:row>
    <x:row r="73">
      <x:c r="B73" s="21" t="str">
        <x:v>A00067</x:v>
      </x:c>
      <x:c r="C73" s="21" t="str">
        <x:v>office</x:v>
      </x:c>
      <x:c r="D73" s="21" t="str">
        <x:v>office row 53 staffing and span</x:v>
      </x:c>
      <x:c r="E73" s="21" t="n">
        <x:f>IF(AND('Office Network'!F53=Assumptions!C15,OR(AND('Office Network'!C53="Family program office",'Office Network'!E53=4),AND('Office Network'!C53="Technical integration office",'Office Network'!E53=12))),1,0)</x:f>
        <x:v>1</x:v>
      </x:c>
      <x:c r="F73" s="21" t="n">
        <x:v>1</x:v>
      </x:c>
      <x:c r="G73" s="23" t="str">
        <x:f>IF(E73=F73,"PASS","FAIL")</x:f>
        <x:v>PASS</x:v>
      </x:c>
    </x:row>
    <x:row r="74">
      <x:c r="B74" s="21" t="str">
        <x:v>A00068</x:v>
      </x:c>
      <x:c r="C74" s="21" t="str">
        <x:v>office</x:v>
      </x:c>
      <x:c r="D74" s="21" t="str">
        <x:v>office row 54 staffing and span</x:v>
      </x:c>
      <x:c r="E74" s="21" t="n">
        <x:f>IF(AND('Office Network'!F54=Assumptions!C15,OR(AND('Office Network'!C54="Family program office",'Office Network'!E54=4),AND('Office Network'!C54="Technical integration office",'Office Network'!E54=12))),1,0)</x:f>
        <x:v>1</x:v>
      </x:c>
      <x:c r="F74" s="21" t="n">
        <x:v>1</x:v>
      </x:c>
      <x:c r="G74" s="23" t="str">
        <x:f>IF(E74=F74,"PASS","FAIL")</x:f>
        <x:v>PASS</x:v>
      </x:c>
    </x:row>
    <x:row r="75">
      <x:c r="B75" s="21" t="str">
        <x:v>A00069</x:v>
      </x:c>
      <x:c r="C75" s="21" t="str">
        <x:v>office</x:v>
      </x:c>
      <x:c r="D75" s="21" t="str">
        <x:v>office row 55 staffing and span</x:v>
      </x:c>
      <x:c r="E75" s="21" t="n">
        <x:f>IF(AND('Office Network'!F55=Assumptions!C15,OR(AND('Office Network'!C55="Family program office",'Office Network'!E55=4),AND('Office Network'!C55="Technical integration office",'Office Network'!E55=12))),1,0)</x:f>
        <x:v>1</x:v>
      </x:c>
      <x:c r="F75" s="21" t="n">
        <x:v>1</x:v>
      </x:c>
      <x:c r="G75" s="23" t="str">
        <x:f>IF(E75=F75,"PASS","FAIL")</x:f>
        <x:v>PASS</x:v>
      </x:c>
    </x:row>
    <x:row r="76">
      <x:c r="B76" s="21" t="str">
        <x:v>A00070</x:v>
      </x:c>
      <x:c r="C76" s="21" t="str">
        <x:v>office</x:v>
      </x:c>
      <x:c r="D76" s="21" t="str">
        <x:v>office row 56 staffing and span</x:v>
      </x:c>
      <x:c r="E76" s="21" t="n">
        <x:f>IF(AND('Office Network'!F56=Assumptions!C15,OR(AND('Office Network'!C56="Family program office",'Office Network'!E56=4),AND('Office Network'!C56="Technical integration office",'Office Network'!E56=12))),1,0)</x:f>
        <x:v>1</x:v>
      </x:c>
      <x:c r="F76" s="21" t="n">
        <x:v>1</x:v>
      </x:c>
      <x:c r="G76" s="23" t="str">
        <x:f>IF(E76=F76,"PASS","FAIL")</x:f>
        <x:v>PASS</x:v>
      </x:c>
    </x:row>
    <x:row r="77">
      <x:c r="B77" s="21" t="str">
        <x:v>A00071</x:v>
      </x:c>
      <x:c r="C77" s="21" t="str">
        <x:v>office</x:v>
      </x:c>
      <x:c r="D77" s="21" t="str">
        <x:v>office row 57 staffing and span</x:v>
      </x:c>
      <x:c r="E77" s="21" t="n">
        <x:f>IF(AND('Office Network'!F57=Assumptions!C15,OR(AND('Office Network'!C57="Family program office",'Office Network'!E57=4),AND('Office Network'!C57="Technical integration office",'Office Network'!E57=12))),1,0)</x:f>
        <x:v>1</x:v>
      </x:c>
      <x:c r="F77" s="21" t="n">
        <x:v>1</x:v>
      </x:c>
      <x:c r="G77" s="23" t="str">
        <x:f>IF(E77=F77,"PASS","FAIL")</x:f>
        <x:v>PASS</x:v>
      </x:c>
    </x:row>
    <x:row r="78">
      <x:c r="B78" s="21" t="str">
        <x:v>A00072</x:v>
      </x:c>
      <x:c r="C78" s="21" t="str">
        <x:v>office</x:v>
      </x:c>
      <x:c r="D78" s="21" t="str">
        <x:v>office row 58 staffing and span</x:v>
      </x:c>
      <x:c r="E78" s="21" t="n">
        <x:f>IF(AND('Office Network'!F58=Assumptions!C15,OR(AND('Office Network'!C58="Family program office",'Office Network'!E58=4),AND('Office Network'!C58="Technical integration office",'Office Network'!E58=12))),1,0)</x:f>
        <x:v>1</x:v>
      </x:c>
      <x:c r="F78" s="21" t="n">
        <x:v>1</x:v>
      </x:c>
      <x:c r="G78" s="23" t="str">
        <x:f>IF(E78=F78,"PASS","FAIL")</x:f>
        <x:v>PASS</x:v>
      </x:c>
    </x:row>
    <x:row r="79">
      <x:c r="B79" s="21" t="str">
        <x:v>A00073</x:v>
      </x:c>
      <x:c r="C79" s="21" t="str">
        <x:v>office</x:v>
      </x:c>
      <x:c r="D79" s="21" t="str">
        <x:v>office row 59 staffing and span</x:v>
      </x:c>
      <x:c r="E79" s="21" t="n">
        <x:f>IF(AND('Office Network'!F59=Assumptions!C15,OR(AND('Office Network'!C59="Family program office",'Office Network'!E59=4),AND('Office Network'!C59="Technical integration office",'Office Network'!E59=12))),1,0)</x:f>
        <x:v>1</x:v>
      </x:c>
      <x:c r="F79" s="21" t="n">
        <x:v>1</x:v>
      </x:c>
      <x:c r="G79" s="23" t="str">
        <x:f>IF(E79=F79,"PASS","FAIL")</x:f>
        <x:v>PASS</x:v>
      </x:c>
    </x:row>
    <x:row r="80">
      <x:c r="B80" s="21" t="str">
        <x:v>A00074</x:v>
      </x:c>
      <x:c r="C80" s="21" t="str">
        <x:v>office</x:v>
      </x:c>
      <x:c r="D80" s="21" t="str">
        <x:v>office row 60 staffing and span</x:v>
      </x:c>
      <x:c r="E80" s="21" t="n">
        <x:f>IF(AND('Office Network'!F60=Assumptions!C15,OR(AND('Office Network'!C60="Family program office",'Office Network'!E60=4),AND('Office Network'!C60="Technical integration office",'Office Network'!E60=12))),1,0)</x:f>
        <x:v>1</x:v>
      </x:c>
      <x:c r="F80" s="21" t="n">
        <x:v>1</x:v>
      </x:c>
      <x:c r="G80" s="23" t="str">
        <x:f>IF(E80=F80,"PASS","FAIL")</x:f>
        <x:v>PASS</x:v>
      </x:c>
    </x:row>
    <x:row r="81">
      <x:c r="B81" s="21" t="str">
        <x:v>A00075</x:v>
      </x:c>
      <x:c r="C81" s="21" t="str">
        <x:v>office</x:v>
      </x:c>
      <x:c r="D81" s="21" t="str">
        <x:v>office row 61 staffing and span</x:v>
      </x:c>
      <x:c r="E81" s="21" t="n">
        <x:f>IF(AND('Office Network'!F61=Assumptions!C15,OR(AND('Office Network'!C61="Family program office",'Office Network'!E61=4),AND('Office Network'!C61="Technical integration office",'Office Network'!E61=12))),1,0)</x:f>
        <x:v>1</x:v>
      </x:c>
      <x:c r="F81" s="21" t="n">
        <x:v>1</x:v>
      </x:c>
      <x:c r="G81" s="23" t="str">
        <x:f>IF(E81=F81,"PASS","FAIL")</x:f>
        <x:v>PASS</x:v>
      </x:c>
    </x:row>
    <x:row r="82">
      <x:c r="B82" s="21" t="str">
        <x:v>A00076</x:v>
      </x:c>
      <x:c r="C82" s="21" t="str">
        <x:v>office</x:v>
      </x:c>
      <x:c r="D82" s="21" t="str">
        <x:v>office row 62 staffing and span</x:v>
      </x:c>
      <x:c r="E82" s="21" t="n">
        <x:f>IF(AND('Office Network'!F62=Assumptions!C15,OR(AND('Office Network'!C62="Family program office",'Office Network'!E62=4),AND('Office Network'!C62="Technical integration office",'Office Network'!E62=12))),1,0)</x:f>
        <x:v>1</x:v>
      </x:c>
      <x:c r="F82" s="21" t="n">
        <x:v>1</x:v>
      </x:c>
      <x:c r="G82" s="23" t="str">
        <x:f>IF(E82=F82,"PASS","FAIL")</x:f>
        <x:v>PASS</x:v>
      </x:c>
    </x:row>
    <x:row r="83">
      <x:c r="B83" s="21" t="str">
        <x:v>A00077</x:v>
      </x:c>
      <x:c r="C83" s="21" t="str">
        <x:v>office</x:v>
      </x:c>
      <x:c r="D83" s="21" t="str">
        <x:v>office row 63 staffing and span</x:v>
      </x:c>
      <x:c r="E83" s="21" t="n">
        <x:f>IF(AND('Office Network'!F63=Assumptions!C15,OR(AND('Office Network'!C63="Family program office",'Office Network'!E63=4),AND('Office Network'!C63="Technical integration office",'Office Network'!E63=12))),1,0)</x:f>
        <x:v>1</x:v>
      </x:c>
      <x:c r="F83" s="21" t="n">
        <x:v>1</x:v>
      </x:c>
      <x:c r="G83" s="23" t="str">
        <x:f>IF(E83=F83,"PASS","FAIL")</x:f>
        <x:v>PASS</x:v>
      </x:c>
    </x:row>
    <x:row r="84">
      <x:c r="B84" s="21" t="str">
        <x:v>A00078</x:v>
      </x:c>
      <x:c r="C84" s="21" t="str">
        <x:v>office</x:v>
      </x:c>
      <x:c r="D84" s="21" t="str">
        <x:v>office row 64 staffing and span</x:v>
      </x:c>
      <x:c r="E84" s="21" t="n">
        <x:f>IF(AND('Office Network'!F64=Assumptions!C15,OR(AND('Office Network'!C64="Family program office",'Office Network'!E64=4),AND('Office Network'!C64="Technical integration office",'Office Network'!E64=12))),1,0)</x:f>
        <x:v>1</x:v>
      </x:c>
      <x:c r="F84" s="21" t="n">
        <x:v>1</x:v>
      </x:c>
      <x:c r="G84" s="23" t="str">
        <x:f>IF(E84=F84,"PASS","FAIL")</x:f>
        <x:v>PASS</x:v>
      </x:c>
    </x:row>
    <x:row r="85">
      <x:c r="B85" s="21" t="str">
        <x:v>A00079</x:v>
      </x:c>
      <x:c r="C85" s="21" t="str">
        <x:v>office</x:v>
      </x:c>
      <x:c r="D85" s="21" t="str">
        <x:v>office row 65 staffing and span</x:v>
      </x:c>
      <x:c r="E85" s="21" t="n">
        <x:f>IF(AND('Office Network'!F65=Assumptions!C15,OR(AND('Office Network'!C65="Family program office",'Office Network'!E65=4),AND('Office Network'!C65="Technical integration office",'Office Network'!E65=12))),1,0)</x:f>
        <x:v>1</x:v>
      </x:c>
      <x:c r="F85" s="21" t="n">
        <x:v>1</x:v>
      </x:c>
      <x:c r="G85" s="23" t="str">
        <x:f>IF(E85=F85,"PASS","FAIL")</x:f>
        <x:v>PASS</x:v>
      </x:c>
    </x:row>
    <x:row r="86">
      <x:c r="B86" s="21" t="str">
        <x:v>A00080</x:v>
      </x:c>
      <x:c r="C86" s="21" t="str">
        <x:v>office</x:v>
      </x:c>
      <x:c r="D86" s="21" t="str">
        <x:v>office row 66 staffing and span</x:v>
      </x:c>
      <x:c r="E86" s="21" t="n">
        <x:f>IF(AND('Office Network'!F66=Assumptions!C15,OR(AND('Office Network'!C66="Family program office",'Office Network'!E66=4),AND('Office Network'!C66="Technical integration office",'Office Network'!E66=12))),1,0)</x:f>
        <x:v>1</x:v>
      </x:c>
      <x:c r="F86" s="21" t="n">
        <x:v>1</x:v>
      </x:c>
      <x:c r="G86" s="23" t="str">
        <x:f>IF(E86=F86,"PASS","FAIL")</x:f>
        <x:v>PASS</x:v>
      </x:c>
    </x:row>
    <x:row r="87">
      <x:c r="B87" s="21" t="str">
        <x:v>A00081</x:v>
      </x:c>
      <x:c r="C87" s="21" t="str">
        <x:v>office</x:v>
      </x:c>
      <x:c r="D87" s="21" t="str">
        <x:v>office row 67 staffing and span</x:v>
      </x:c>
      <x:c r="E87" s="21" t="n">
        <x:f>IF(AND('Office Network'!F67=Assumptions!C15,OR(AND('Office Network'!C67="Family program office",'Office Network'!E67=4),AND('Office Network'!C67="Technical integration office",'Office Network'!E67=12))),1,0)</x:f>
        <x:v>1</x:v>
      </x:c>
      <x:c r="F87" s="21" t="n">
        <x:v>1</x:v>
      </x:c>
      <x:c r="G87" s="23" t="str">
        <x:f>IF(E87=F87,"PASS","FAIL")</x:f>
        <x:v>PASS</x:v>
      </x:c>
    </x:row>
    <x:row r="88">
      <x:c r="B88" s="21" t="str">
        <x:v>A00082</x:v>
      </x:c>
      <x:c r="C88" s="21" t="str">
        <x:v>office</x:v>
      </x:c>
      <x:c r="D88" s="21" t="str">
        <x:v>office row 68 staffing and span</x:v>
      </x:c>
      <x:c r="E88" s="21" t="n">
        <x:f>IF(AND('Office Network'!F68=Assumptions!C15,OR(AND('Office Network'!C68="Family program office",'Office Network'!E68=4),AND('Office Network'!C68="Technical integration office",'Office Network'!E68=12))),1,0)</x:f>
        <x:v>1</x:v>
      </x:c>
      <x:c r="F88" s="21" t="n">
        <x:v>1</x:v>
      </x:c>
      <x:c r="G88" s="23" t="str">
        <x:f>IF(E88=F88,"PASS","FAIL")</x:f>
        <x:v>PASS</x:v>
      </x:c>
    </x:row>
    <x:row r="89">
      <x:c r="B89" s="21" t="str">
        <x:v>A00083</x:v>
      </x:c>
      <x:c r="C89" s="21" t="str">
        <x:v>office</x:v>
      </x:c>
      <x:c r="D89" s="21" t="str">
        <x:v>office row 69 staffing and span</x:v>
      </x:c>
      <x:c r="E89" s="21" t="n">
        <x:f>IF(AND('Office Network'!F69=Assumptions!C15,OR(AND('Office Network'!C69="Family program office",'Office Network'!E69=4),AND('Office Network'!C69="Technical integration office",'Office Network'!E69=12))),1,0)</x:f>
        <x:v>1</x:v>
      </x:c>
      <x:c r="F89" s="21" t="n">
        <x:v>1</x:v>
      </x:c>
      <x:c r="G89" s="23" t="str">
        <x:f>IF(E89=F89,"PASS","FAIL")</x:f>
        <x:v>PASS</x:v>
      </x:c>
    </x:row>
    <x:row r="90">
      <x:c r="B90" s="21" t="str">
        <x:v>A00084</x:v>
      </x:c>
      <x:c r="C90" s="21" t="str">
        <x:v>office</x:v>
      </x:c>
      <x:c r="D90" s="21" t="str">
        <x:v>office row 70 staffing and span</x:v>
      </x:c>
      <x:c r="E90" s="21" t="n">
        <x:f>IF(AND('Office Network'!F70=Assumptions!C15,OR(AND('Office Network'!C70="Family program office",'Office Network'!E70=4),AND('Office Network'!C70="Technical integration office",'Office Network'!E70=12))),1,0)</x:f>
        <x:v>1</x:v>
      </x:c>
      <x:c r="F90" s="21" t="n">
        <x:v>1</x:v>
      </x:c>
      <x:c r="G90" s="23" t="str">
        <x:f>IF(E90=F90,"PASS","FAIL")</x:f>
        <x:v>PASS</x:v>
      </x:c>
    </x:row>
    <x:row r="91">
      <x:c r="B91" s="21" t="str">
        <x:v>A00085</x:v>
      </x:c>
      <x:c r="C91" s="21" t="str">
        <x:v>program</x:v>
      </x:c>
      <x:c r="D91" s="21" t="str">
        <x:v>F01-I1 structure</x:v>
      </x:c>
      <x:c r="E91" s="21" t="n">
        <x:f>IF(AND('Program Register'!L7=Assumptions!C9,'Program Register'!M7=Assumptions!C11),1,0)</x:f>
        <x:v>1</x:v>
      </x:c>
      <x:c r="F91" s="21" t="n">
        <x:v>1</x:v>
      </x:c>
      <x:c r="G91" s="23" t="str">
        <x:f>IF(E91=F91,"PASS","FAIL")</x:f>
        <x:v>PASS</x:v>
      </x:c>
    </x:row>
    <x:row r="92">
      <x:c r="B92" s="21" t="str">
        <x:v>A00086</x:v>
      </x:c>
      <x:c r="C92" s="21" t="str">
        <x:v>program</x:v>
      </x:c>
      <x:c r="D92" s="21" t="str">
        <x:v>F01-I1 capital ledger</x:v>
      </x:c>
      <x:c r="E92" s="21" t="n">
        <x:f>IF(ABS(SUM('Artifact Ledger'!K7:K16)-'Program Register'!K7)&lt;0.000001,1,0)</x:f>
        <x:v>1</x:v>
      </x:c>
      <x:c r="F92" s="21" t="n">
        <x:v>1</x:v>
      </x:c>
      <x:c r="G92" s="23" t="str">
        <x:f>IF(E92=F92,"PASS","FAIL")</x:f>
        <x:v>PASS</x:v>
      </x:c>
    </x:row>
    <x:row r="93">
      <x:c r="B93" s="21" t="str">
        <x:v>A00087</x:v>
      </x:c>
      <x:c r="C93" s="21" t="str">
        <x:v>program</x:v>
      </x:c>
      <x:c r="D93" s="21" t="str">
        <x:v>F01-I2 structure</x:v>
      </x:c>
      <x:c r="E93" s="21" t="n">
        <x:f>IF(AND('Program Register'!L8=Assumptions!C9,'Program Register'!M8=Assumptions!C11),1,0)</x:f>
        <x:v>1</x:v>
      </x:c>
      <x:c r="F93" s="21" t="n">
        <x:v>1</x:v>
      </x:c>
      <x:c r="G93" s="23" t="str">
        <x:f>IF(E93=F93,"PASS","FAIL")</x:f>
        <x:v>PASS</x:v>
      </x:c>
    </x:row>
    <x:row r="94">
      <x:c r="B94" s="21" t="str">
        <x:v>A00088</x:v>
      </x:c>
      <x:c r="C94" s="21" t="str">
        <x:v>program</x:v>
      </x:c>
      <x:c r="D94" s="21" t="str">
        <x:v>F01-I2 capital ledger</x:v>
      </x:c>
      <x:c r="E94" s="21" t="n">
        <x:f>IF(ABS(SUM('Artifact Ledger'!K17:K26)-'Program Register'!K8)&lt;0.000001,1,0)</x:f>
        <x:v>1</x:v>
      </x:c>
      <x:c r="F94" s="21" t="n">
        <x:v>1</x:v>
      </x:c>
      <x:c r="G94" s="23" t="str">
        <x:f>IF(E94=F94,"PASS","FAIL")</x:f>
        <x:v>PASS</x:v>
      </x:c>
    </x:row>
    <x:row r="95">
      <x:c r="B95" s="21" t="str">
        <x:v>A00089</x:v>
      </x:c>
      <x:c r="C95" s="21" t="str">
        <x:v>program</x:v>
      </x:c>
      <x:c r="D95" s="21" t="str">
        <x:v>F01-I3 structure</x:v>
      </x:c>
      <x:c r="E95" s="21" t="n">
        <x:f>IF(AND('Program Register'!L9=Assumptions!C9,'Program Register'!M9=Assumptions!C11),1,0)</x:f>
        <x:v>1</x:v>
      </x:c>
      <x:c r="F95" s="21" t="n">
        <x:v>1</x:v>
      </x:c>
      <x:c r="G95" s="23" t="str">
        <x:f>IF(E95=F95,"PASS","FAIL")</x:f>
        <x:v>PASS</x:v>
      </x:c>
    </x:row>
    <x:row r="96">
      <x:c r="B96" s="21" t="str">
        <x:v>A00090</x:v>
      </x:c>
      <x:c r="C96" s="21" t="str">
        <x:v>program</x:v>
      </x:c>
      <x:c r="D96" s="21" t="str">
        <x:v>F01-I3 capital ledger</x:v>
      </x:c>
      <x:c r="E96" s="21" t="n">
        <x:f>IF(ABS(SUM('Artifact Ledger'!K27:K36)-'Program Register'!K9)&lt;0.000001,1,0)</x:f>
        <x:v>1</x:v>
      </x:c>
      <x:c r="F96" s="21" t="n">
        <x:v>1</x:v>
      </x:c>
      <x:c r="G96" s="23" t="str">
        <x:f>IF(E96=F96,"PASS","FAIL")</x:f>
        <x:v>PASS</x:v>
      </x:c>
    </x:row>
    <x:row r="97">
      <x:c r="B97" s="21" t="str">
        <x:v>A00091</x:v>
      </x:c>
      <x:c r="C97" s="21" t="str">
        <x:v>program</x:v>
      </x:c>
      <x:c r="D97" s="21" t="str">
        <x:v>F01-I4 structure</x:v>
      </x:c>
      <x:c r="E97" s="21" t="n">
        <x:f>IF(AND('Program Register'!L10=Assumptions!C9,'Program Register'!M10=Assumptions!C11),1,0)</x:f>
        <x:v>1</x:v>
      </x:c>
      <x:c r="F97" s="21" t="n">
        <x:v>1</x:v>
      </x:c>
      <x:c r="G97" s="23" t="str">
        <x:f>IF(E97=F97,"PASS","FAIL")</x:f>
        <x:v>PASS</x:v>
      </x:c>
    </x:row>
    <x:row r="98">
      <x:c r="B98" s="21" t="str">
        <x:v>A00092</x:v>
      </x:c>
      <x:c r="C98" s="21" t="str">
        <x:v>program</x:v>
      </x:c>
      <x:c r="D98" s="21" t="str">
        <x:v>F01-I4 capital ledger</x:v>
      </x:c>
      <x:c r="E98" s="21" t="n">
        <x:f>IF(ABS(SUM('Artifact Ledger'!K37:K46)-'Program Register'!K10)&lt;0.000001,1,0)</x:f>
        <x:v>1</x:v>
      </x:c>
      <x:c r="F98" s="21" t="n">
        <x:v>1</x:v>
      </x:c>
      <x:c r="G98" s="23" t="str">
        <x:f>IF(E98=F98,"PASS","FAIL")</x:f>
        <x:v>PASS</x:v>
      </x:c>
    </x:row>
    <x:row r="99">
      <x:c r="B99" s="21" t="str">
        <x:v>A00093</x:v>
      </x:c>
      <x:c r="C99" s="21" t="str">
        <x:v>program</x:v>
      </x:c>
      <x:c r="D99" s="21" t="str">
        <x:v>F02-I1 structure</x:v>
      </x:c>
      <x:c r="E99" s="21" t="n">
        <x:f>IF(AND('Program Register'!L11=Assumptions!C9,'Program Register'!M11=Assumptions!C11),1,0)</x:f>
        <x:v>1</x:v>
      </x:c>
      <x:c r="F99" s="21" t="n">
        <x:v>1</x:v>
      </x:c>
      <x:c r="G99" s="23" t="str">
        <x:f>IF(E99=F99,"PASS","FAIL")</x:f>
        <x:v>PASS</x:v>
      </x:c>
    </x:row>
    <x:row r="100">
      <x:c r="B100" s="21" t="str">
        <x:v>A00094</x:v>
      </x:c>
      <x:c r="C100" s="21" t="str">
        <x:v>program</x:v>
      </x:c>
      <x:c r="D100" s="21" t="str">
        <x:v>F02-I1 capital ledger</x:v>
      </x:c>
      <x:c r="E100" s="21" t="n">
        <x:f>IF(ABS(SUM('Artifact Ledger'!K47:K56)-'Program Register'!K11)&lt;0.000001,1,0)</x:f>
        <x:v>1</x:v>
      </x:c>
      <x:c r="F100" s="21" t="n">
        <x:v>1</x:v>
      </x:c>
      <x:c r="G100" s="23" t="str">
        <x:f>IF(E100=F100,"PASS","FAIL")</x:f>
        <x:v>PASS</x:v>
      </x:c>
    </x:row>
    <x:row r="101">
      <x:c r="B101" s="21" t="str">
        <x:v>A00095</x:v>
      </x:c>
      <x:c r="C101" s="21" t="str">
        <x:v>program</x:v>
      </x:c>
      <x:c r="D101" s="21" t="str">
        <x:v>F02-I2 structure</x:v>
      </x:c>
      <x:c r="E101" s="21" t="n">
        <x:f>IF(AND('Program Register'!L12=Assumptions!C9,'Program Register'!M12=Assumptions!C11),1,0)</x:f>
        <x:v>1</x:v>
      </x:c>
      <x:c r="F101" s="21" t="n">
        <x:v>1</x:v>
      </x:c>
      <x:c r="G101" s="23" t="str">
        <x:f>IF(E101=F101,"PASS","FAIL")</x:f>
        <x:v>PASS</x:v>
      </x:c>
    </x:row>
    <x:row r="102">
      <x:c r="B102" s="21" t="str">
        <x:v>A00096</x:v>
      </x:c>
      <x:c r="C102" s="21" t="str">
        <x:v>program</x:v>
      </x:c>
      <x:c r="D102" s="21" t="str">
        <x:v>F02-I2 capital ledger</x:v>
      </x:c>
      <x:c r="E102" s="21" t="n">
        <x:f>IF(ABS(SUM('Artifact Ledger'!K57:K66)-'Program Register'!K12)&lt;0.000001,1,0)</x:f>
        <x:v>1</x:v>
      </x:c>
      <x:c r="F102" s="21" t="n">
        <x:v>1</x:v>
      </x:c>
      <x:c r="G102" s="23" t="str">
        <x:f>IF(E102=F102,"PASS","FAIL")</x:f>
        <x:v>PASS</x:v>
      </x:c>
    </x:row>
    <x:row r="103">
      <x:c r="B103" s="21" t="str">
        <x:v>A00097</x:v>
      </x:c>
      <x:c r="C103" s="21" t="str">
        <x:v>program</x:v>
      </x:c>
      <x:c r="D103" s="21" t="str">
        <x:v>F02-I3 structure</x:v>
      </x:c>
      <x:c r="E103" s="21" t="n">
        <x:f>IF(AND('Program Register'!L13=Assumptions!C9,'Program Register'!M13=Assumptions!C11),1,0)</x:f>
        <x:v>1</x:v>
      </x:c>
      <x:c r="F103" s="21" t="n">
        <x:v>1</x:v>
      </x:c>
      <x:c r="G103" s="23" t="str">
        <x:f>IF(E103=F103,"PASS","FAIL")</x:f>
        <x:v>PASS</x:v>
      </x:c>
    </x:row>
    <x:row r="104">
      <x:c r="B104" s="21" t="str">
        <x:v>A00098</x:v>
      </x:c>
      <x:c r="C104" s="21" t="str">
        <x:v>program</x:v>
      </x:c>
      <x:c r="D104" s="21" t="str">
        <x:v>F02-I3 capital ledger</x:v>
      </x:c>
      <x:c r="E104" s="21" t="n">
        <x:f>IF(ABS(SUM('Artifact Ledger'!K67:K76)-'Program Register'!K13)&lt;0.000001,1,0)</x:f>
        <x:v>1</x:v>
      </x:c>
      <x:c r="F104" s="21" t="n">
        <x:v>1</x:v>
      </x:c>
      <x:c r="G104" s="23" t="str">
        <x:f>IF(E104=F104,"PASS","FAIL")</x:f>
        <x:v>PASS</x:v>
      </x:c>
    </x:row>
    <x:row r="105">
      <x:c r="B105" s="21" t="str">
        <x:v>A00099</x:v>
      </x:c>
      <x:c r="C105" s="21" t="str">
        <x:v>program</x:v>
      </x:c>
      <x:c r="D105" s="21" t="str">
        <x:v>F02-I4 structure</x:v>
      </x:c>
      <x:c r="E105" s="21" t="n">
        <x:f>IF(AND('Program Register'!L14=Assumptions!C9,'Program Register'!M14=Assumptions!C11),1,0)</x:f>
        <x:v>1</x:v>
      </x:c>
      <x:c r="F105" s="21" t="n">
        <x:v>1</x:v>
      </x:c>
      <x:c r="G105" s="23" t="str">
        <x:f>IF(E105=F105,"PASS","FAIL")</x:f>
        <x:v>PASS</x:v>
      </x:c>
    </x:row>
    <x:row r="106">
      <x:c r="B106" s="21" t="str">
        <x:v>A00100</x:v>
      </x:c>
      <x:c r="C106" s="21" t="str">
        <x:v>program</x:v>
      </x:c>
      <x:c r="D106" s="21" t="str">
        <x:v>F02-I4 capital ledger</x:v>
      </x:c>
      <x:c r="E106" s="21" t="n">
        <x:f>IF(ABS(SUM('Artifact Ledger'!K77:K86)-'Program Register'!K14)&lt;0.000001,1,0)</x:f>
        <x:v>1</x:v>
      </x:c>
      <x:c r="F106" s="21" t="n">
        <x:v>1</x:v>
      </x:c>
      <x:c r="G106" s="23" t="str">
        <x:f>IF(E106=F106,"PASS","FAIL")</x:f>
        <x:v>PASS</x:v>
      </x:c>
    </x:row>
    <x:row r="107">
      <x:c r="B107" s="21" t="str">
        <x:v>A00101</x:v>
      </x:c>
      <x:c r="C107" s="21" t="str">
        <x:v>program</x:v>
      </x:c>
      <x:c r="D107" s="21" t="str">
        <x:v>F03-I1 structure</x:v>
      </x:c>
      <x:c r="E107" s="21" t="n">
        <x:f>IF(AND('Program Register'!L15=Assumptions!C9,'Program Register'!M15=Assumptions!C11),1,0)</x:f>
        <x:v>1</x:v>
      </x:c>
      <x:c r="F107" s="21" t="n">
        <x:v>1</x:v>
      </x:c>
      <x:c r="G107" s="23" t="str">
        <x:f>IF(E107=F107,"PASS","FAIL")</x:f>
        <x:v>PASS</x:v>
      </x:c>
    </x:row>
    <x:row r="108">
      <x:c r="B108" s="21" t="str">
        <x:v>A00102</x:v>
      </x:c>
      <x:c r="C108" s="21" t="str">
        <x:v>program</x:v>
      </x:c>
      <x:c r="D108" s="21" t="str">
        <x:v>F03-I1 capital ledger</x:v>
      </x:c>
      <x:c r="E108" s="21" t="n">
        <x:f>IF(ABS(SUM('Artifact Ledger'!K87:K96)-'Program Register'!K15)&lt;0.000001,1,0)</x:f>
        <x:v>1</x:v>
      </x:c>
      <x:c r="F108" s="21" t="n">
        <x:v>1</x:v>
      </x:c>
      <x:c r="G108" s="23" t="str">
        <x:f>IF(E108=F108,"PASS","FAIL")</x:f>
        <x:v>PASS</x:v>
      </x:c>
    </x:row>
    <x:row r="109">
      <x:c r="B109" s="21" t="str">
        <x:v>A00103</x:v>
      </x:c>
      <x:c r="C109" s="21" t="str">
        <x:v>program</x:v>
      </x:c>
      <x:c r="D109" s="21" t="str">
        <x:v>F03-I2 structure</x:v>
      </x:c>
      <x:c r="E109" s="21" t="n">
        <x:f>IF(AND('Program Register'!L16=Assumptions!C9,'Program Register'!M16=Assumptions!C11),1,0)</x:f>
        <x:v>1</x:v>
      </x:c>
      <x:c r="F109" s="21" t="n">
        <x:v>1</x:v>
      </x:c>
      <x:c r="G109" s="23" t="str">
        <x:f>IF(E109=F109,"PASS","FAIL")</x:f>
        <x:v>PASS</x:v>
      </x:c>
    </x:row>
    <x:row r="110">
      <x:c r="B110" s="21" t="str">
        <x:v>A00104</x:v>
      </x:c>
      <x:c r="C110" s="21" t="str">
        <x:v>program</x:v>
      </x:c>
      <x:c r="D110" s="21" t="str">
        <x:v>F03-I2 capital ledger</x:v>
      </x:c>
      <x:c r="E110" s="21" t="n">
        <x:f>IF(ABS(SUM('Artifact Ledger'!K97:K106)-'Program Register'!K16)&lt;0.000001,1,0)</x:f>
        <x:v>1</x:v>
      </x:c>
      <x:c r="F110" s="21" t="n">
        <x:v>1</x:v>
      </x:c>
      <x:c r="G110" s="23" t="str">
        <x:f>IF(E110=F110,"PASS","FAIL")</x:f>
        <x:v>PASS</x:v>
      </x:c>
    </x:row>
    <x:row r="111">
      <x:c r="B111" s="21" t="str">
        <x:v>A00105</x:v>
      </x:c>
      <x:c r="C111" s="21" t="str">
        <x:v>program</x:v>
      </x:c>
      <x:c r="D111" s="21" t="str">
        <x:v>F03-I3 structure</x:v>
      </x:c>
      <x:c r="E111" s="21" t="n">
        <x:f>IF(AND('Program Register'!L17=Assumptions!C9,'Program Register'!M17=Assumptions!C11),1,0)</x:f>
        <x:v>1</x:v>
      </x:c>
      <x:c r="F111" s="21" t="n">
        <x:v>1</x:v>
      </x:c>
      <x:c r="G111" s="23" t="str">
        <x:f>IF(E111=F111,"PASS","FAIL")</x:f>
        <x:v>PASS</x:v>
      </x:c>
    </x:row>
    <x:row r="112">
      <x:c r="B112" s="21" t="str">
        <x:v>A00106</x:v>
      </x:c>
      <x:c r="C112" s="21" t="str">
        <x:v>program</x:v>
      </x:c>
      <x:c r="D112" s="21" t="str">
        <x:v>F03-I3 capital ledger</x:v>
      </x:c>
      <x:c r="E112" s="21" t="n">
        <x:f>IF(ABS(SUM('Artifact Ledger'!K107:K116)-'Program Register'!K17)&lt;0.000001,1,0)</x:f>
        <x:v>1</x:v>
      </x:c>
      <x:c r="F112" s="21" t="n">
        <x:v>1</x:v>
      </x:c>
      <x:c r="G112" s="23" t="str">
        <x:f>IF(E112=F112,"PASS","FAIL")</x:f>
        <x:v>PASS</x:v>
      </x:c>
    </x:row>
    <x:row r="113">
      <x:c r="B113" s="21" t="str">
        <x:v>A00107</x:v>
      </x:c>
      <x:c r="C113" s="21" t="str">
        <x:v>program</x:v>
      </x:c>
      <x:c r="D113" s="21" t="str">
        <x:v>F03-I4 structure</x:v>
      </x:c>
      <x:c r="E113" s="21" t="n">
        <x:f>IF(AND('Program Register'!L18=Assumptions!C9,'Program Register'!M18=Assumptions!C11),1,0)</x:f>
        <x:v>1</x:v>
      </x:c>
      <x:c r="F113" s="21" t="n">
        <x:v>1</x:v>
      </x:c>
      <x:c r="G113" s="23" t="str">
        <x:f>IF(E113=F113,"PASS","FAIL")</x:f>
        <x:v>PASS</x:v>
      </x:c>
    </x:row>
    <x:row r="114">
      <x:c r="B114" s="21" t="str">
        <x:v>A00108</x:v>
      </x:c>
      <x:c r="C114" s="21" t="str">
        <x:v>program</x:v>
      </x:c>
      <x:c r="D114" s="21" t="str">
        <x:v>F03-I4 capital ledger</x:v>
      </x:c>
      <x:c r="E114" s="21" t="n">
        <x:f>IF(ABS(SUM('Artifact Ledger'!K117:K126)-'Program Register'!K18)&lt;0.000001,1,0)</x:f>
        <x:v>1</x:v>
      </x:c>
      <x:c r="F114" s="21" t="n">
        <x:v>1</x:v>
      </x:c>
      <x:c r="G114" s="23" t="str">
        <x:f>IF(E114=F114,"PASS","FAIL")</x:f>
        <x:v>PASS</x:v>
      </x:c>
    </x:row>
    <x:row r="115">
      <x:c r="B115" s="21" t="str">
        <x:v>A00109</x:v>
      </x:c>
      <x:c r="C115" s="21" t="str">
        <x:v>program</x:v>
      </x:c>
      <x:c r="D115" s="21" t="str">
        <x:v>F04-I1 structure</x:v>
      </x:c>
      <x:c r="E115" s="21" t="n">
        <x:f>IF(AND('Program Register'!L19=Assumptions!C9,'Program Register'!M19=Assumptions!C11),1,0)</x:f>
        <x:v>1</x:v>
      </x:c>
      <x:c r="F115" s="21" t="n">
        <x:v>1</x:v>
      </x:c>
      <x:c r="G115" s="23" t="str">
        <x:f>IF(E115=F115,"PASS","FAIL")</x:f>
        <x:v>PASS</x:v>
      </x:c>
    </x:row>
    <x:row r="116">
      <x:c r="B116" s="21" t="str">
        <x:v>A00110</x:v>
      </x:c>
      <x:c r="C116" s="21" t="str">
        <x:v>program</x:v>
      </x:c>
      <x:c r="D116" s="21" t="str">
        <x:v>F04-I1 capital ledger</x:v>
      </x:c>
      <x:c r="E116" s="21" t="n">
        <x:f>IF(ABS(SUM('Artifact Ledger'!K127:K136)-'Program Register'!K19)&lt;0.000001,1,0)</x:f>
        <x:v>1</x:v>
      </x:c>
      <x:c r="F116" s="21" t="n">
        <x:v>1</x:v>
      </x:c>
      <x:c r="G116" s="23" t="str">
        <x:f>IF(E116=F116,"PASS","FAIL")</x:f>
        <x:v>PASS</x:v>
      </x:c>
    </x:row>
    <x:row r="117">
      <x:c r="B117" s="21" t="str">
        <x:v>A00111</x:v>
      </x:c>
      <x:c r="C117" s="21" t="str">
        <x:v>program</x:v>
      </x:c>
      <x:c r="D117" s="21" t="str">
        <x:v>F04-I2 structure</x:v>
      </x:c>
      <x:c r="E117" s="21" t="n">
        <x:f>IF(AND('Program Register'!L20=Assumptions!C9,'Program Register'!M20=Assumptions!C11),1,0)</x:f>
        <x:v>1</x:v>
      </x:c>
      <x:c r="F117" s="21" t="n">
        <x:v>1</x:v>
      </x:c>
      <x:c r="G117" s="23" t="str">
        <x:f>IF(E117=F117,"PASS","FAIL")</x:f>
        <x:v>PASS</x:v>
      </x:c>
    </x:row>
    <x:row r="118">
      <x:c r="B118" s="21" t="str">
        <x:v>A00112</x:v>
      </x:c>
      <x:c r="C118" s="21" t="str">
        <x:v>program</x:v>
      </x:c>
      <x:c r="D118" s="21" t="str">
        <x:v>F04-I2 capital ledger</x:v>
      </x:c>
      <x:c r="E118" s="21" t="n">
        <x:f>IF(ABS(SUM('Artifact Ledger'!K137:K146)-'Program Register'!K20)&lt;0.000001,1,0)</x:f>
        <x:v>1</x:v>
      </x:c>
      <x:c r="F118" s="21" t="n">
        <x:v>1</x:v>
      </x:c>
      <x:c r="G118" s="23" t="str">
        <x:f>IF(E118=F118,"PASS","FAIL")</x:f>
        <x:v>PASS</x:v>
      </x:c>
    </x:row>
    <x:row r="119">
      <x:c r="B119" s="21" t="str">
        <x:v>A00113</x:v>
      </x:c>
      <x:c r="C119" s="21" t="str">
        <x:v>program</x:v>
      </x:c>
      <x:c r="D119" s="21" t="str">
        <x:v>F04-I3 structure</x:v>
      </x:c>
      <x:c r="E119" s="21" t="n">
        <x:f>IF(AND('Program Register'!L21=Assumptions!C9,'Program Register'!M21=Assumptions!C11),1,0)</x:f>
        <x:v>1</x:v>
      </x:c>
      <x:c r="F119" s="21" t="n">
        <x:v>1</x:v>
      </x:c>
      <x:c r="G119" s="23" t="str">
        <x:f>IF(E119=F119,"PASS","FAIL")</x:f>
        <x:v>PASS</x:v>
      </x:c>
    </x:row>
    <x:row r="120">
      <x:c r="B120" s="21" t="str">
        <x:v>A00114</x:v>
      </x:c>
      <x:c r="C120" s="21" t="str">
        <x:v>program</x:v>
      </x:c>
      <x:c r="D120" s="21" t="str">
        <x:v>F04-I3 capital ledger</x:v>
      </x:c>
      <x:c r="E120" s="21" t="n">
        <x:f>IF(ABS(SUM('Artifact Ledger'!K147:K156)-'Program Register'!K21)&lt;0.000001,1,0)</x:f>
        <x:v>1</x:v>
      </x:c>
      <x:c r="F120" s="21" t="n">
        <x:v>1</x:v>
      </x:c>
      <x:c r="G120" s="23" t="str">
        <x:f>IF(E120=F120,"PASS","FAIL")</x:f>
        <x:v>PASS</x:v>
      </x:c>
    </x:row>
    <x:row r="121">
      <x:c r="B121" s="21" t="str">
        <x:v>A00115</x:v>
      </x:c>
      <x:c r="C121" s="21" t="str">
        <x:v>program</x:v>
      </x:c>
      <x:c r="D121" s="21" t="str">
        <x:v>F04-I4 structure</x:v>
      </x:c>
      <x:c r="E121" s="21" t="n">
        <x:f>IF(AND('Program Register'!L22=Assumptions!C9,'Program Register'!M22=Assumptions!C11),1,0)</x:f>
        <x:v>1</x:v>
      </x:c>
      <x:c r="F121" s="21" t="n">
        <x:v>1</x:v>
      </x:c>
      <x:c r="G121" s="23" t="str">
        <x:f>IF(E121=F121,"PASS","FAIL")</x:f>
        <x:v>PASS</x:v>
      </x:c>
    </x:row>
    <x:row r="122">
      <x:c r="B122" s="21" t="str">
        <x:v>A00116</x:v>
      </x:c>
      <x:c r="C122" s="21" t="str">
        <x:v>program</x:v>
      </x:c>
      <x:c r="D122" s="21" t="str">
        <x:v>F04-I4 capital ledger</x:v>
      </x:c>
      <x:c r="E122" s="21" t="n">
        <x:f>IF(ABS(SUM('Artifact Ledger'!K157:K166)-'Program Register'!K22)&lt;0.000001,1,0)</x:f>
        <x:v>1</x:v>
      </x:c>
      <x:c r="F122" s="21" t="n">
        <x:v>1</x:v>
      </x:c>
      <x:c r="G122" s="23" t="str">
        <x:f>IF(E122=F122,"PASS","FAIL")</x:f>
        <x:v>PASS</x:v>
      </x:c>
    </x:row>
    <x:row r="123">
      <x:c r="B123" s="21" t="str">
        <x:v>A00117</x:v>
      </x:c>
      <x:c r="C123" s="21" t="str">
        <x:v>program</x:v>
      </x:c>
      <x:c r="D123" s="21" t="str">
        <x:v>F05-I1 structure</x:v>
      </x:c>
      <x:c r="E123" s="21" t="n">
        <x:f>IF(AND('Program Register'!L23=Assumptions!C9,'Program Register'!M23=Assumptions!C11),1,0)</x:f>
        <x:v>1</x:v>
      </x:c>
      <x:c r="F123" s="21" t="n">
        <x:v>1</x:v>
      </x:c>
      <x:c r="G123" s="23" t="str">
        <x:f>IF(E123=F123,"PASS","FAIL")</x:f>
        <x:v>PASS</x:v>
      </x:c>
    </x:row>
    <x:row r="124">
      <x:c r="B124" s="21" t="str">
        <x:v>A00118</x:v>
      </x:c>
      <x:c r="C124" s="21" t="str">
        <x:v>program</x:v>
      </x:c>
      <x:c r="D124" s="21" t="str">
        <x:v>F05-I1 capital ledger</x:v>
      </x:c>
      <x:c r="E124" s="21" t="n">
        <x:f>IF(ABS(SUM('Artifact Ledger'!K167:K176)-'Program Register'!K23)&lt;0.000001,1,0)</x:f>
        <x:v>1</x:v>
      </x:c>
      <x:c r="F124" s="21" t="n">
        <x:v>1</x:v>
      </x:c>
      <x:c r="G124" s="23" t="str">
        <x:f>IF(E124=F124,"PASS","FAIL")</x:f>
        <x:v>PASS</x:v>
      </x:c>
    </x:row>
    <x:row r="125">
      <x:c r="B125" s="21" t="str">
        <x:v>A00119</x:v>
      </x:c>
      <x:c r="C125" s="21" t="str">
        <x:v>program</x:v>
      </x:c>
      <x:c r="D125" s="21" t="str">
        <x:v>F05-I2 structure</x:v>
      </x:c>
      <x:c r="E125" s="21" t="n">
        <x:f>IF(AND('Program Register'!L24=Assumptions!C9,'Program Register'!M24=Assumptions!C11),1,0)</x:f>
        <x:v>1</x:v>
      </x:c>
      <x:c r="F125" s="21" t="n">
        <x:v>1</x:v>
      </x:c>
      <x:c r="G125" s="23" t="str">
        <x:f>IF(E125=F125,"PASS","FAIL")</x:f>
        <x:v>PASS</x:v>
      </x:c>
    </x:row>
    <x:row r="126">
      <x:c r="B126" s="21" t="str">
        <x:v>A00120</x:v>
      </x:c>
      <x:c r="C126" s="21" t="str">
        <x:v>program</x:v>
      </x:c>
      <x:c r="D126" s="21" t="str">
        <x:v>F05-I2 capital ledger</x:v>
      </x:c>
      <x:c r="E126" s="21" t="n">
        <x:f>IF(ABS(SUM('Artifact Ledger'!K177:K186)-'Program Register'!K24)&lt;0.000001,1,0)</x:f>
        <x:v>1</x:v>
      </x:c>
      <x:c r="F126" s="21" t="n">
        <x:v>1</x:v>
      </x:c>
      <x:c r="G126" s="23" t="str">
        <x:f>IF(E126=F126,"PASS","FAIL")</x:f>
        <x:v>PASS</x:v>
      </x:c>
    </x:row>
    <x:row r="127">
      <x:c r="B127" s="21" t="str">
        <x:v>A00121</x:v>
      </x:c>
      <x:c r="C127" s="21" t="str">
        <x:v>program</x:v>
      </x:c>
      <x:c r="D127" s="21" t="str">
        <x:v>F05-I3 structure</x:v>
      </x:c>
      <x:c r="E127" s="21" t="n">
        <x:f>IF(AND('Program Register'!L25=Assumptions!C9,'Program Register'!M25=Assumptions!C11),1,0)</x:f>
        <x:v>1</x:v>
      </x:c>
      <x:c r="F127" s="21" t="n">
        <x:v>1</x:v>
      </x:c>
      <x:c r="G127" s="23" t="str">
        <x:f>IF(E127=F127,"PASS","FAIL")</x:f>
        <x:v>PASS</x:v>
      </x:c>
    </x:row>
    <x:row r="128">
      <x:c r="B128" s="21" t="str">
        <x:v>A00122</x:v>
      </x:c>
      <x:c r="C128" s="21" t="str">
        <x:v>program</x:v>
      </x:c>
      <x:c r="D128" s="21" t="str">
        <x:v>F05-I3 capital ledger</x:v>
      </x:c>
      <x:c r="E128" s="21" t="n">
        <x:f>IF(ABS(SUM('Artifact Ledger'!K187:K196)-'Program Register'!K25)&lt;0.000001,1,0)</x:f>
        <x:v>1</x:v>
      </x:c>
      <x:c r="F128" s="21" t="n">
        <x:v>1</x:v>
      </x:c>
      <x:c r="G128" s="23" t="str">
        <x:f>IF(E128=F128,"PASS","FAIL")</x:f>
        <x:v>PASS</x:v>
      </x:c>
    </x:row>
    <x:row r="129">
      <x:c r="B129" s="21" t="str">
        <x:v>A00123</x:v>
      </x:c>
      <x:c r="C129" s="21" t="str">
        <x:v>program</x:v>
      </x:c>
      <x:c r="D129" s="21" t="str">
        <x:v>F05-I4 structure</x:v>
      </x:c>
      <x:c r="E129" s="21" t="n">
        <x:f>IF(AND('Program Register'!L26=Assumptions!C9,'Program Register'!M26=Assumptions!C11),1,0)</x:f>
        <x:v>1</x:v>
      </x:c>
      <x:c r="F129" s="21" t="n">
        <x:v>1</x:v>
      </x:c>
      <x:c r="G129" s="23" t="str">
        <x:f>IF(E129=F129,"PASS","FAIL")</x:f>
        <x:v>PASS</x:v>
      </x:c>
    </x:row>
    <x:row r="130">
      <x:c r="B130" s="21" t="str">
        <x:v>A00124</x:v>
      </x:c>
      <x:c r="C130" s="21" t="str">
        <x:v>program</x:v>
      </x:c>
      <x:c r="D130" s="21" t="str">
        <x:v>F05-I4 capital ledger</x:v>
      </x:c>
      <x:c r="E130" s="21" t="n">
        <x:f>IF(ABS(SUM('Artifact Ledger'!K197:K206)-'Program Register'!K26)&lt;0.000001,1,0)</x:f>
        <x:v>1</x:v>
      </x:c>
      <x:c r="F130" s="21" t="n">
        <x:v>1</x:v>
      </x:c>
      <x:c r="G130" s="23" t="str">
        <x:f>IF(E130=F130,"PASS","FAIL")</x:f>
        <x:v>PASS</x:v>
      </x:c>
    </x:row>
    <x:row r="131">
      <x:c r="B131" s="21" t="str">
        <x:v>A00125</x:v>
      </x:c>
      <x:c r="C131" s="21" t="str">
        <x:v>program</x:v>
      </x:c>
      <x:c r="D131" s="21" t="str">
        <x:v>F06-I1 structure</x:v>
      </x:c>
      <x:c r="E131" s="21" t="n">
        <x:f>IF(AND('Program Register'!L27=Assumptions!C9,'Program Register'!M27=Assumptions!C11),1,0)</x:f>
        <x:v>1</x:v>
      </x:c>
      <x:c r="F131" s="21" t="n">
        <x:v>1</x:v>
      </x:c>
      <x:c r="G131" s="23" t="str">
        <x:f>IF(E131=F131,"PASS","FAIL")</x:f>
        <x:v>PASS</x:v>
      </x:c>
    </x:row>
    <x:row r="132">
      <x:c r="B132" s="21" t="str">
        <x:v>A00126</x:v>
      </x:c>
      <x:c r="C132" s="21" t="str">
        <x:v>program</x:v>
      </x:c>
      <x:c r="D132" s="21" t="str">
        <x:v>F06-I1 capital ledger</x:v>
      </x:c>
      <x:c r="E132" s="21" t="n">
        <x:f>IF(ABS(SUM('Artifact Ledger'!K207:K216)-'Program Register'!K27)&lt;0.000001,1,0)</x:f>
        <x:v>1</x:v>
      </x:c>
      <x:c r="F132" s="21" t="n">
        <x:v>1</x:v>
      </x:c>
      <x:c r="G132" s="23" t="str">
        <x:f>IF(E132=F132,"PASS","FAIL")</x:f>
        <x:v>PASS</x:v>
      </x:c>
    </x:row>
    <x:row r="133">
      <x:c r="B133" s="21" t="str">
        <x:v>A00127</x:v>
      </x:c>
      <x:c r="C133" s="21" t="str">
        <x:v>program</x:v>
      </x:c>
      <x:c r="D133" s="21" t="str">
        <x:v>F06-I2 structure</x:v>
      </x:c>
      <x:c r="E133" s="21" t="n">
        <x:f>IF(AND('Program Register'!L28=Assumptions!C9,'Program Register'!M28=Assumptions!C11),1,0)</x:f>
        <x:v>1</x:v>
      </x:c>
      <x:c r="F133" s="21" t="n">
        <x:v>1</x:v>
      </x:c>
      <x:c r="G133" s="23" t="str">
        <x:f>IF(E133=F133,"PASS","FAIL")</x:f>
        <x:v>PASS</x:v>
      </x:c>
    </x:row>
    <x:row r="134">
      <x:c r="B134" s="21" t="str">
        <x:v>A00128</x:v>
      </x:c>
      <x:c r="C134" s="21" t="str">
        <x:v>program</x:v>
      </x:c>
      <x:c r="D134" s="21" t="str">
        <x:v>F06-I2 capital ledger</x:v>
      </x:c>
      <x:c r="E134" s="21" t="n">
        <x:f>IF(ABS(SUM('Artifact Ledger'!K217:K226)-'Program Register'!K28)&lt;0.000001,1,0)</x:f>
        <x:v>1</x:v>
      </x:c>
      <x:c r="F134" s="21" t="n">
        <x:v>1</x:v>
      </x:c>
      <x:c r="G134" s="23" t="str">
        <x:f>IF(E134=F134,"PASS","FAIL")</x:f>
        <x:v>PASS</x:v>
      </x:c>
    </x:row>
    <x:row r="135">
      <x:c r="B135" s="21" t="str">
        <x:v>A00129</x:v>
      </x:c>
      <x:c r="C135" s="21" t="str">
        <x:v>program</x:v>
      </x:c>
      <x:c r="D135" s="21" t="str">
        <x:v>F06-I3 structure</x:v>
      </x:c>
      <x:c r="E135" s="21" t="n">
        <x:f>IF(AND('Program Register'!L29=Assumptions!C9,'Program Register'!M29=Assumptions!C11),1,0)</x:f>
        <x:v>1</x:v>
      </x:c>
      <x:c r="F135" s="21" t="n">
        <x:v>1</x:v>
      </x:c>
      <x:c r="G135" s="23" t="str">
        <x:f>IF(E135=F135,"PASS","FAIL")</x:f>
        <x:v>PASS</x:v>
      </x:c>
    </x:row>
    <x:row r="136">
      <x:c r="B136" s="21" t="str">
        <x:v>A00130</x:v>
      </x:c>
      <x:c r="C136" s="21" t="str">
        <x:v>program</x:v>
      </x:c>
      <x:c r="D136" s="21" t="str">
        <x:v>F06-I3 capital ledger</x:v>
      </x:c>
      <x:c r="E136" s="21" t="n">
        <x:f>IF(ABS(SUM('Artifact Ledger'!K227:K236)-'Program Register'!K29)&lt;0.000001,1,0)</x:f>
        <x:v>1</x:v>
      </x:c>
      <x:c r="F136" s="21" t="n">
        <x:v>1</x:v>
      </x:c>
      <x:c r="G136" s="23" t="str">
        <x:f>IF(E136=F136,"PASS","FAIL")</x:f>
        <x:v>PASS</x:v>
      </x:c>
    </x:row>
    <x:row r="137">
      <x:c r="B137" s="21" t="str">
        <x:v>A00131</x:v>
      </x:c>
      <x:c r="C137" s="21" t="str">
        <x:v>program</x:v>
      </x:c>
      <x:c r="D137" s="21" t="str">
        <x:v>F06-I4 structure</x:v>
      </x:c>
      <x:c r="E137" s="21" t="n">
        <x:f>IF(AND('Program Register'!L30=Assumptions!C9,'Program Register'!M30=Assumptions!C11),1,0)</x:f>
        <x:v>1</x:v>
      </x:c>
      <x:c r="F137" s="21" t="n">
        <x:v>1</x:v>
      </x:c>
      <x:c r="G137" s="23" t="str">
        <x:f>IF(E137=F137,"PASS","FAIL")</x:f>
        <x:v>PASS</x:v>
      </x:c>
    </x:row>
    <x:row r="138">
      <x:c r="B138" s="21" t="str">
        <x:v>A00132</x:v>
      </x:c>
      <x:c r="C138" s="21" t="str">
        <x:v>program</x:v>
      </x:c>
      <x:c r="D138" s="21" t="str">
        <x:v>F06-I4 capital ledger</x:v>
      </x:c>
      <x:c r="E138" s="21" t="n">
        <x:f>IF(ABS(SUM('Artifact Ledger'!K237:K246)-'Program Register'!K30)&lt;0.000001,1,0)</x:f>
        <x:v>1</x:v>
      </x:c>
      <x:c r="F138" s="21" t="n">
        <x:v>1</x:v>
      </x:c>
      <x:c r="G138" s="23" t="str">
        <x:f>IF(E138=F138,"PASS","FAIL")</x:f>
        <x:v>PASS</x:v>
      </x:c>
    </x:row>
    <x:row r="139">
      <x:c r="B139" s="21" t="str">
        <x:v>A00133</x:v>
      </x:c>
      <x:c r="C139" s="21" t="str">
        <x:v>program</x:v>
      </x:c>
      <x:c r="D139" s="21" t="str">
        <x:v>F07-I1 structure</x:v>
      </x:c>
      <x:c r="E139" s="21" t="n">
        <x:f>IF(AND('Program Register'!L31=Assumptions!C9,'Program Register'!M31=Assumptions!C11),1,0)</x:f>
        <x:v>1</x:v>
      </x:c>
      <x:c r="F139" s="21" t="n">
        <x:v>1</x:v>
      </x:c>
      <x:c r="G139" s="23" t="str">
        <x:f>IF(E139=F139,"PASS","FAIL")</x:f>
        <x:v>PASS</x:v>
      </x:c>
    </x:row>
    <x:row r="140">
      <x:c r="B140" s="21" t="str">
        <x:v>A00134</x:v>
      </x:c>
      <x:c r="C140" s="21" t="str">
        <x:v>program</x:v>
      </x:c>
      <x:c r="D140" s="21" t="str">
        <x:v>F07-I1 capital ledger</x:v>
      </x:c>
      <x:c r="E140" s="21" t="n">
        <x:f>IF(ABS(SUM('Artifact Ledger'!K247:K256)-'Program Register'!K31)&lt;0.000001,1,0)</x:f>
        <x:v>1</x:v>
      </x:c>
      <x:c r="F140" s="21" t="n">
        <x:v>1</x:v>
      </x:c>
      <x:c r="G140" s="23" t="str">
        <x:f>IF(E140=F140,"PASS","FAIL")</x:f>
        <x:v>PASS</x:v>
      </x:c>
    </x:row>
    <x:row r="141">
      <x:c r="B141" s="21" t="str">
        <x:v>A00135</x:v>
      </x:c>
      <x:c r="C141" s="21" t="str">
        <x:v>program</x:v>
      </x:c>
      <x:c r="D141" s="21" t="str">
        <x:v>F07-I2 structure</x:v>
      </x:c>
      <x:c r="E141" s="21" t="n">
        <x:f>IF(AND('Program Register'!L32=Assumptions!C9,'Program Register'!M32=Assumptions!C11),1,0)</x:f>
        <x:v>1</x:v>
      </x:c>
      <x:c r="F141" s="21" t="n">
        <x:v>1</x:v>
      </x:c>
      <x:c r="G141" s="23" t="str">
        <x:f>IF(E141=F141,"PASS","FAIL")</x:f>
        <x:v>PASS</x:v>
      </x:c>
    </x:row>
    <x:row r="142">
      <x:c r="B142" s="21" t="str">
        <x:v>A00136</x:v>
      </x:c>
      <x:c r="C142" s="21" t="str">
        <x:v>program</x:v>
      </x:c>
      <x:c r="D142" s="21" t="str">
        <x:v>F07-I2 capital ledger</x:v>
      </x:c>
      <x:c r="E142" s="21" t="n">
        <x:f>IF(ABS(SUM('Artifact Ledger'!K257:K266)-'Program Register'!K32)&lt;0.000001,1,0)</x:f>
        <x:v>1</x:v>
      </x:c>
      <x:c r="F142" s="21" t="n">
        <x:v>1</x:v>
      </x:c>
      <x:c r="G142" s="23" t="str">
        <x:f>IF(E142=F142,"PASS","FAIL")</x:f>
        <x:v>PASS</x:v>
      </x:c>
    </x:row>
    <x:row r="143">
      <x:c r="B143" s="21" t="str">
        <x:v>A00137</x:v>
      </x:c>
      <x:c r="C143" s="21" t="str">
        <x:v>program</x:v>
      </x:c>
      <x:c r="D143" s="21" t="str">
        <x:v>F07-I3 structure</x:v>
      </x:c>
      <x:c r="E143" s="21" t="n">
        <x:f>IF(AND('Program Register'!L33=Assumptions!C9,'Program Register'!M33=Assumptions!C11),1,0)</x:f>
        <x:v>1</x:v>
      </x:c>
      <x:c r="F143" s="21" t="n">
        <x:v>1</x:v>
      </x:c>
      <x:c r="G143" s="23" t="str">
        <x:f>IF(E143=F143,"PASS","FAIL")</x:f>
        <x:v>PASS</x:v>
      </x:c>
    </x:row>
    <x:row r="144">
      <x:c r="B144" s="21" t="str">
        <x:v>A00138</x:v>
      </x:c>
      <x:c r="C144" s="21" t="str">
        <x:v>program</x:v>
      </x:c>
      <x:c r="D144" s="21" t="str">
        <x:v>F07-I3 capital ledger</x:v>
      </x:c>
      <x:c r="E144" s="21" t="n">
        <x:f>IF(ABS(SUM('Artifact Ledger'!K267:K276)-'Program Register'!K33)&lt;0.000001,1,0)</x:f>
        <x:v>1</x:v>
      </x:c>
      <x:c r="F144" s="21" t="n">
        <x:v>1</x:v>
      </x:c>
      <x:c r="G144" s="23" t="str">
        <x:f>IF(E144=F144,"PASS","FAIL")</x:f>
        <x:v>PASS</x:v>
      </x:c>
    </x:row>
    <x:row r="145">
      <x:c r="B145" s="21" t="str">
        <x:v>A00139</x:v>
      </x:c>
      <x:c r="C145" s="21" t="str">
        <x:v>program</x:v>
      </x:c>
      <x:c r="D145" s="21" t="str">
        <x:v>F07-I4 structure</x:v>
      </x:c>
      <x:c r="E145" s="21" t="n">
        <x:f>IF(AND('Program Register'!L34=Assumptions!C9,'Program Register'!M34=Assumptions!C11),1,0)</x:f>
        <x:v>1</x:v>
      </x:c>
      <x:c r="F145" s="21" t="n">
        <x:v>1</x:v>
      </x:c>
      <x:c r="G145" s="23" t="str">
        <x:f>IF(E145=F145,"PASS","FAIL")</x:f>
        <x:v>PASS</x:v>
      </x:c>
    </x:row>
    <x:row r="146">
      <x:c r="B146" s="21" t="str">
        <x:v>A00140</x:v>
      </x:c>
      <x:c r="C146" s="21" t="str">
        <x:v>program</x:v>
      </x:c>
      <x:c r="D146" s="21" t="str">
        <x:v>F07-I4 capital ledger</x:v>
      </x:c>
      <x:c r="E146" s="21" t="n">
        <x:f>IF(ABS(SUM('Artifact Ledger'!K277:K286)-'Program Register'!K34)&lt;0.000001,1,0)</x:f>
        <x:v>1</x:v>
      </x:c>
      <x:c r="F146" s="21" t="n">
        <x:v>1</x:v>
      </x:c>
      <x:c r="G146" s="23" t="str">
        <x:f>IF(E146=F146,"PASS","FAIL")</x:f>
        <x:v>PASS</x:v>
      </x:c>
    </x:row>
    <x:row r="147">
      <x:c r="B147" s="21" t="str">
        <x:v>A00141</x:v>
      </x:c>
      <x:c r="C147" s="21" t="str">
        <x:v>program</x:v>
      </x:c>
      <x:c r="D147" s="21" t="str">
        <x:v>F08-I1 structure</x:v>
      </x:c>
      <x:c r="E147" s="21" t="n">
        <x:f>IF(AND('Program Register'!L35=Assumptions!C9,'Program Register'!M35=Assumptions!C11),1,0)</x:f>
        <x:v>1</x:v>
      </x:c>
      <x:c r="F147" s="21" t="n">
        <x:v>1</x:v>
      </x:c>
      <x:c r="G147" s="23" t="str">
        <x:f>IF(E147=F147,"PASS","FAIL")</x:f>
        <x:v>PASS</x:v>
      </x:c>
    </x:row>
    <x:row r="148">
      <x:c r="B148" s="21" t="str">
        <x:v>A00142</x:v>
      </x:c>
      <x:c r="C148" s="21" t="str">
        <x:v>program</x:v>
      </x:c>
      <x:c r="D148" s="21" t="str">
        <x:v>F08-I1 capital ledger</x:v>
      </x:c>
      <x:c r="E148" s="21" t="n">
        <x:f>IF(ABS(SUM('Artifact Ledger'!K287:K296)-'Program Register'!K35)&lt;0.000001,1,0)</x:f>
        <x:v>1</x:v>
      </x:c>
      <x:c r="F148" s="21" t="n">
        <x:v>1</x:v>
      </x:c>
      <x:c r="G148" s="23" t="str">
        <x:f>IF(E148=F148,"PASS","FAIL")</x:f>
        <x:v>PASS</x:v>
      </x:c>
    </x:row>
    <x:row r="149">
      <x:c r="B149" s="21" t="str">
        <x:v>A00143</x:v>
      </x:c>
      <x:c r="C149" s="21" t="str">
        <x:v>program</x:v>
      </x:c>
      <x:c r="D149" s="21" t="str">
        <x:v>F08-I2 structure</x:v>
      </x:c>
      <x:c r="E149" s="21" t="n">
        <x:f>IF(AND('Program Register'!L36=Assumptions!C9,'Program Register'!M36=Assumptions!C11),1,0)</x:f>
        <x:v>1</x:v>
      </x:c>
      <x:c r="F149" s="21" t="n">
        <x:v>1</x:v>
      </x:c>
      <x:c r="G149" s="23" t="str">
        <x:f>IF(E149=F149,"PASS","FAIL")</x:f>
        <x:v>PASS</x:v>
      </x:c>
    </x:row>
    <x:row r="150">
      <x:c r="B150" s="21" t="str">
        <x:v>A00144</x:v>
      </x:c>
      <x:c r="C150" s="21" t="str">
        <x:v>program</x:v>
      </x:c>
      <x:c r="D150" s="21" t="str">
        <x:v>F08-I2 capital ledger</x:v>
      </x:c>
      <x:c r="E150" s="21" t="n">
        <x:f>IF(ABS(SUM('Artifact Ledger'!K297:K306)-'Program Register'!K36)&lt;0.000001,1,0)</x:f>
        <x:v>1</x:v>
      </x:c>
      <x:c r="F150" s="21" t="n">
        <x:v>1</x:v>
      </x:c>
      <x:c r="G150" s="23" t="str">
        <x:f>IF(E150=F150,"PASS","FAIL")</x:f>
        <x:v>PASS</x:v>
      </x:c>
    </x:row>
    <x:row r="151">
      <x:c r="B151" s="21" t="str">
        <x:v>A00145</x:v>
      </x:c>
      <x:c r="C151" s="21" t="str">
        <x:v>program</x:v>
      </x:c>
      <x:c r="D151" s="21" t="str">
        <x:v>F08-I3 structure</x:v>
      </x:c>
      <x:c r="E151" s="21" t="n">
        <x:f>IF(AND('Program Register'!L37=Assumptions!C9,'Program Register'!M37=Assumptions!C11),1,0)</x:f>
        <x:v>1</x:v>
      </x:c>
      <x:c r="F151" s="21" t="n">
        <x:v>1</x:v>
      </x:c>
      <x:c r="G151" s="23" t="str">
        <x:f>IF(E151=F151,"PASS","FAIL")</x:f>
        <x:v>PASS</x:v>
      </x:c>
    </x:row>
    <x:row r="152">
      <x:c r="B152" s="21" t="str">
        <x:v>A00146</x:v>
      </x:c>
      <x:c r="C152" s="21" t="str">
        <x:v>program</x:v>
      </x:c>
      <x:c r="D152" s="21" t="str">
        <x:v>F08-I3 capital ledger</x:v>
      </x:c>
      <x:c r="E152" s="21" t="n">
        <x:f>IF(ABS(SUM('Artifact Ledger'!K307:K316)-'Program Register'!K37)&lt;0.000001,1,0)</x:f>
        <x:v>1</x:v>
      </x:c>
      <x:c r="F152" s="21" t="n">
        <x:v>1</x:v>
      </x:c>
      <x:c r="G152" s="23" t="str">
        <x:f>IF(E152=F152,"PASS","FAIL")</x:f>
        <x:v>PASS</x:v>
      </x:c>
    </x:row>
    <x:row r="153">
      <x:c r="B153" s="21" t="str">
        <x:v>A00147</x:v>
      </x:c>
      <x:c r="C153" s="21" t="str">
        <x:v>program</x:v>
      </x:c>
      <x:c r="D153" s="21" t="str">
        <x:v>F08-I4 structure</x:v>
      </x:c>
      <x:c r="E153" s="21" t="n">
        <x:f>IF(AND('Program Register'!L38=Assumptions!C9,'Program Register'!M38=Assumptions!C11),1,0)</x:f>
        <x:v>1</x:v>
      </x:c>
      <x:c r="F153" s="21" t="n">
        <x:v>1</x:v>
      </x:c>
      <x:c r="G153" s="23" t="str">
        <x:f>IF(E153=F153,"PASS","FAIL")</x:f>
        <x:v>PASS</x:v>
      </x:c>
    </x:row>
    <x:row r="154">
      <x:c r="B154" s="21" t="str">
        <x:v>A00148</x:v>
      </x:c>
      <x:c r="C154" s="21" t="str">
        <x:v>program</x:v>
      </x:c>
      <x:c r="D154" s="21" t="str">
        <x:v>F08-I4 capital ledger</x:v>
      </x:c>
      <x:c r="E154" s="21" t="n">
        <x:f>IF(ABS(SUM('Artifact Ledger'!K317:K326)-'Program Register'!K38)&lt;0.000001,1,0)</x:f>
        <x:v>1</x:v>
      </x:c>
      <x:c r="F154" s="21" t="n">
        <x:v>1</x:v>
      </x:c>
      <x:c r="G154" s="23" t="str">
        <x:f>IF(E154=F154,"PASS","FAIL")</x:f>
        <x:v>PASS</x:v>
      </x:c>
    </x:row>
    <x:row r="155">
      <x:c r="B155" s="21" t="str">
        <x:v>A00149</x:v>
      </x:c>
      <x:c r="C155" s="21" t="str">
        <x:v>program</x:v>
      </x:c>
      <x:c r="D155" s="21" t="str">
        <x:v>F09-I1 structure</x:v>
      </x:c>
      <x:c r="E155" s="21" t="n">
        <x:f>IF(AND('Program Register'!L39=Assumptions!C9,'Program Register'!M39=Assumptions!C11),1,0)</x:f>
        <x:v>1</x:v>
      </x:c>
      <x:c r="F155" s="21" t="n">
        <x:v>1</x:v>
      </x:c>
      <x:c r="G155" s="23" t="str">
        <x:f>IF(E155=F155,"PASS","FAIL")</x:f>
        <x:v>PASS</x:v>
      </x:c>
    </x:row>
    <x:row r="156">
      <x:c r="B156" s="21" t="str">
        <x:v>A00150</x:v>
      </x:c>
      <x:c r="C156" s="21" t="str">
        <x:v>program</x:v>
      </x:c>
      <x:c r="D156" s="21" t="str">
        <x:v>F09-I1 capital ledger</x:v>
      </x:c>
      <x:c r="E156" s="21" t="n">
        <x:f>IF(ABS(SUM('Artifact Ledger'!K327:K336)-'Program Register'!K39)&lt;0.000001,1,0)</x:f>
        <x:v>1</x:v>
      </x:c>
      <x:c r="F156" s="21" t="n">
        <x:v>1</x:v>
      </x:c>
      <x:c r="G156" s="23" t="str">
        <x:f>IF(E156=F156,"PASS","FAIL")</x:f>
        <x:v>PASS</x:v>
      </x:c>
    </x:row>
    <x:row r="157">
      <x:c r="B157" s="21" t="str">
        <x:v>A00151</x:v>
      </x:c>
      <x:c r="C157" s="21" t="str">
        <x:v>program</x:v>
      </x:c>
      <x:c r="D157" s="21" t="str">
        <x:v>F09-I2 structure</x:v>
      </x:c>
      <x:c r="E157" s="21" t="n">
        <x:f>IF(AND('Program Register'!L40=Assumptions!C9,'Program Register'!M40=Assumptions!C11),1,0)</x:f>
        <x:v>1</x:v>
      </x:c>
      <x:c r="F157" s="21" t="n">
        <x:v>1</x:v>
      </x:c>
      <x:c r="G157" s="23" t="str">
        <x:f>IF(E157=F157,"PASS","FAIL")</x:f>
        <x:v>PASS</x:v>
      </x:c>
    </x:row>
    <x:row r="158">
      <x:c r="B158" s="21" t="str">
        <x:v>A00152</x:v>
      </x:c>
      <x:c r="C158" s="21" t="str">
        <x:v>program</x:v>
      </x:c>
      <x:c r="D158" s="21" t="str">
        <x:v>F09-I2 capital ledger</x:v>
      </x:c>
      <x:c r="E158" s="21" t="n">
        <x:f>IF(ABS(SUM('Artifact Ledger'!K337:K346)-'Program Register'!K40)&lt;0.000001,1,0)</x:f>
        <x:v>1</x:v>
      </x:c>
      <x:c r="F158" s="21" t="n">
        <x:v>1</x:v>
      </x:c>
      <x:c r="G158" s="23" t="str">
        <x:f>IF(E158=F158,"PASS","FAIL")</x:f>
        <x:v>PASS</x:v>
      </x:c>
    </x:row>
    <x:row r="159">
      <x:c r="B159" s="21" t="str">
        <x:v>A00153</x:v>
      </x:c>
      <x:c r="C159" s="21" t="str">
        <x:v>program</x:v>
      </x:c>
      <x:c r="D159" s="21" t="str">
        <x:v>F09-I3 structure</x:v>
      </x:c>
      <x:c r="E159" s="21" t="n">
        <x:f>IF(AND('Program Register'!L41=Assumptions!C9,'Program Register'!M41=Assumptions!C11),1,0)</x:f>
        <x:v>1</x:v>
      </x:c>
      <x:c r="F159" s="21" t="n">
        <x:v>1</x:v>
      </x:c>
      <x:c r="G159" s="23" t="str">
        <x:f>IF(E159=F159,"PASS","FAIL")</x:f>
        <x:v>PASS</x:v>
      </x:c>
    </x:row>
    <x:row r="160">
      <x:c r="B160" s="21" t="str">
        <x:v>A00154</x:v>
      </x:c>
      <x:c r="C160" s="21" t="str">
        <x:v>program</x:v>
      </x:c>
      <x:c r="D160" s="21" t="str">
        <x:v>F09-I3 capital ledger</x:v>
      </x:c>
      <x:c r="E160" s="21" t="n">
        <x:f>IF(ABS(SUM('Artifact Ledger'!K347:K356)-'Program Register'!K41)&lt;0.000001,1,0)</x:f>
        <x:v>1</x:v>
      </x:c>
      <x:c r="F160" s="21" t="n">
        <x:v>1</x:v>
      </x:c>
      <x:c r="G160" s="23" t="str">
        <x:f>IF(E160=F160,"PASS","FAIL")</x:f>
        <x:v>PASS</x:v>
      </x:c>
    </x:row>
    <x:row r="161">
      <x:c r="B161" s="21" t="str">
        <x:v>A00155</x:v>
      </x:c>
      <x:c r="C161" s="21" t="str">
        <x:v>program</x:v>
      </x:c>
      <x:c r="D161" s="21" t="str">
        <x:v>F09-I4 structure</x:v>
      </x:c>
      <x:c r="E161" s="21" t="n">
        <x:f>IF(AND('Program Register'!L42=Assumptions!C9,'Program Register'!M42=Assumptions!C11),1,0)</x:f>
        <x:v>1</x:v>
      </x:c>
      <x:c r="F161" s="21" t="n">
        <x:v>1</x:v>
      </x:c>
      <x:c r="G161" s="23" t="str">
        <x:f>IF(E161=F161,"PASS","FAIL")</x:f>
        <x:v>PASS</x:v>
      </x:c>
    </x:row>
    <x:row r="162">
      <x:c r="B162" s="21" t="str">
        <x:v>A00156</x:v>
      </x:c>
      <x:c r="C162" s="21" t="str">
        <x:v>program</x:v>
      </x:c>
      <x:c r="D162" s="21" t="str">
        <x:v>F09-I4 capital ledger</x:v>
      </x:c>
      <x:c r="E162" s="21" t="n">
        <x:f>IF(ABS(SUM('Artifact Ledger'!K357:K366)-'Program Register'!K42)&lt;0.000001,1,0)</x:f>
        <x:v>1</x:v>
      </x:c>
      <x:c r="F162" s="21" t="n">
        <x:v>1</x:v>
      </x:c>
      <x:c r="G162" s="23" t="str">
        <x:f>IF(E162=F162,"PASS","FAIL")</x:f>
        <x:v>PASS</x:v>
      </x:c>
    </x:row>
    <x:row r="163">
      <x:c r="B163" s="21" t="str">
        <x:v>A00157</x:v>
      </x:c>
      <x:c r="C163" s="21" t="str">
        <x:v>program</x:v>
      </x:c>
      <x:c r="D163" s="21" t="str">
        <x:v>F10-I1 structure</x:v>
      </x:c>
      <x:c r="E163" s="21" t="n">
        <x:f>IF(AND('Program Register'!L43=Assumptions!C9,'Program Register'!M43=Assumptions!C11),1,0)</x:f>
        <x:v>1</x:v>
      </x:c>
      <x:c r="F163" s="21" t="n">
        <x:v>1</x:v>
      </x:c>
      <x:c r="G163" s="23" t="str">
        <x:f>IF(E163=F163,"PASS","FAIL")</x:f>
        <x:v>PASS</x:v>
      </x:c>
    </x:row>
    <x:row r="164">
      <x:c r="B164" s="21" t="str">
        <x:v>A00158</x:v>
      </x:c>
      <x:c r="C164" s="21" t="str">
        <x:v>program</x:v>
      </x:c>
      <x:c r="D164" s="21" t="str">
        <x:v>F10-I1 capital ledger</x:v>
      </x:c>
      <x:c r="E164" s="21" t="n">
        <x:f>IF(ABS(SUM('Artifact Ledger'!K367:K376)-'Program Register'!K43)&lt;0.000001,1,0)</x:f>
        <x:v>1</x:v>
      </x:c>
      <x:c r="F164" s="21" t="n">
        <x:v>1</x:v>
      </x:c>
      <x:c r="G164" s="23" t="str">
        <x:f>IF(E164=F164,"PASS","FAIL")</x:f>
        <x:v>PASS</x:v>
      </x:c>
    </x:row>
    <x:row r="165">
      <x:c r="B165" s="21" t="str">
        <x:v>A00159</x:v>
      </x:c>
      <x:c r="C165" s="21" t="str">
        <x:v>program</x:v>
      </x:c>
      <x:c r="D165" s="21" t="str">
        <x:v>F10-I2 structure</x:v>
      </x:c>
      <x:c r="E165" s="21" t="n">
        <x:f>IF(AND('Program Register'!L44=Assumptions!C9,'Program Register'!M44=Assumptions!C11),1,0)</x:f>
        <x:v>1</x:v>
      </x:c>
      <x:c r="F165" s="21" t="n">
        <x:v>1</x:v>
      </x:c>
      <x:c r="G165" s="23" t="str">
        <x:f>IF(E165=F165,"PASS","FAIL")</x:f>
        <x:v>PASS</x:v>
      </x:c>
    </x:row>
    <x:row r="166">
      <x:c r="B166" s="21" t="str">
        <x:v>A00160</x:v>
      </x:c>
      <x:c r="C166" s="21" t="str">
        <x:v>program</x:v>
      </x:c>
      <x:c r="D166" s="21" t="str">
        <x:v>F10-I2 capital ledger</x:v>
      </x:c>
      <x:c r="E166" s="21" t="n">
        <x:f>IF(ABS(SUM('Artifact Ledger'!K377:K386)-'Program Register'!K44)&lt;0.000001,1,0)</x:f>
        <x:v>1</x:v>
      </x:c>
      <x:c r="F166" s="21" t="n">
        <x:v>1</x:v>
      </x:c>
      <x:c r="G166" s="23" t="str">
        <x:f>IF(E166=F166,"PASS","FAIL")</x:f>
        <x:v>PASS</x:v>
      </x:c>
    </x:row>
    <x:row r="167">
      <x:c r="B167" s="21" t="str">
        <x:v>A00161</x:v>
      </x:c>
      <x:c r="C167" s="21" t="str">
        <x:v>program</x:v>
      </x:c>
      <x:c r="D167" s="21" t="str">
        <x:v>F10-I3 structure</x:v>
      </x:c>
      <x:c r="E167" s="21" t="n">
        <x:f>IF(AND('Program Register'!L45=Assumptions!C9,'Program Register'!M45=Assumptions!C11),1,0)</x:f>
        <x:v>1</x:v>
      </x:c>
      <x:c r="F167" s="21" t="n">
        <x:v>1</x:v>
      </x:c>
      <x:c r="G167" s="23" t="str">
        <x:f>IF(E167=F167,"PASS","FAIL")</x:f>
        <x:v>PASS</x:v>
      </x:c>
    </x:row>
    <x:row r="168">
      <x:c r="B168" s="21" t="str">
        <x:v>A00162</x:v>
      </x:c>
      <x:c r="C168" s="21" t="str">
        <x:v>program</x:v>
      </x:c>
      <x:c r="D168" s="21" t="str">
        <x:v>F10-I3 capital ledger</x:v>
      </x:c>
      <x:c r="E168" s="21" t="n">
        <x:f>IF(ABS(SUM('Artifact Ledger'!K387:K396)-'Program Register'!K45)&lt;0.000001,1,0)</x:f>
        <x:v>1</x:v>
      </x:c>
      <x:c r="F168" s="21" t="n">
        <x:v>1</x:v>
      </x:c>
      <x:c r="G168" s="23" t="str">
        <x:f>IF(E168=F168,"PASS","FAIL")</x:f>
        <x:v>PASS</x:v>
      </x:c>
    </x:row>
    <x:row r="169">
      <x:c r="B169" s="21" t="str">
        <x:v>A00163</x:v>
      </x:c>
      <x:c r="C169" s="21" t="str">
        <x:v>program</x:v>
      </x:c>
      <x:c r="D169" s="21" t="str">
        <x:v>F10-I4 structure</x:v>
      </x:c>
      <x:c r="E169" s="21" t="n">
        <x:f>IF(AND('Program Register'!L46=Assumptions!C9,'Program Register'!M46=Assumptions!C11),1,0)</x:f>
        <x:v>1</x:v>
      </x:c>
      <x:c r="F169" s="21" t="n">
        <x:v>1</x:v>
      </x:c>
      <x:c r="G169" s="23" t="str">
        <x:f>IF(E169=F169,"PASS","FAIL")</x:f>
        <x:v>PASS</x:v>
      </x:c>
    </x:row>
    <x:row r="170">
      <x:c r="B170" s="21" t="str">
        <x:v>A00164</x:v>
      </x:c>
      <x:c r="C170" s="21" t="str">
        <x:v>program</x:v>
      </x:c>
      <x:c r="D170" s="21" t="str">
        <x:v>F10-I4 capital ledger</x:v>
      </x:c>
      <x:c r="E170" s="21" t="n">
        <x:f>IF(ABS(SUM('Artifact Ledger'!K397:K406)-'Program Register'!K46)&lt;0.000001,1,0)</x:f>
        <x:v>1</x:v>
      </x:c>
      <x:c r="F170" s="21" t="n">
        <x:v>1</x:v>
      </x:c>
      <x:c r="G170" s="23" t="str">
        <x:f>IF(E170=F170,"PASS","FAIL")</x:f>
        <x:v>PASS</x:v>
      </x:c>
    </x:row>
    <x:row r="171">
      <x:c r="B171" s="21" t="str">
        <x:v>A00165</x:v>
      </x:c>
      <x:c r="C171" s="21" t="str">
        <x:v>program</x:v>
      </x:c>
      <x:c r="D171" s="21" t="str">
        <x:v>F11-I1 structure</x:v>
      </x:c>
      <x:c r="E171" s="21" t="n">
        <x:f>IF(AND('Program Register'!L47=Assumptions!C9,'Program Register'!M47=Assumptions!C11),1,0)</x:f>
        <x:v>1</x:v>
      </x:c>
      <x:c r="F171" s="21" t="n">
        <x:v>1</x:v>
      </x:c>
      <x:c r="G171" s="23" t="str">
        <x:f>IF(E171=F171,"PASS","FAIL")</x:f>
        <x:v>PASS</x:v>
      </x:c>
    </x:row>
    <x:row r="172">
      <x:c r="B172" s="21" t="str">
        <x:v>A00166</x:v>
      </x:c>
      <x:c r="C172" s="21" t="str">
        <x:v>program</x:v>
      </x:c>
      <x:c r="D172" s="21" t="str">
        <x:v>F11-I1 capital ledger</x:v>
      </x:c>
      <x:c r="E172" s="21" t="n">
        <x:f>IF(ABS(SUM('Artifact Ledger'!K407:K416)-'Program Register'!K47)&lt;0.000001,1,0)</x:f>
        <x:v>1</x:v>
      </x:c>
      <x:c r="F172" s="21" t="n">
        <x:v>1</x:v>
      </x:c>
      <x:c r="G172" s="23" t="str">
        <x:f>IF(E172=F172,"PASS","FAIL")</x:f>
        <x:v>PASS</x:v>
      </x:c>
    </x:row>
    <x:row r="173">
      <x:c r="B173" s="21" t="str">
        <x:v>A00167</x:v>
      </x:c>
      <x:c r="C173" s="21" t="str">
        <x:v>program</x:v>
      </x:c>
      <x:c r="D173" s="21" t="str">
        <x:v>F11-I2 structure</x:v>
      </x:c>
      <x:c r="E173" s="21" t="n">
        <x:f>IF(AND('Program Register'!L48=Assumptions!C9,'Program Register'!M48=Assumptions!C11),1,0)</x:f>
        <x:v>1</x:v>
      </x:c>
      <x:c r="F173" s="21" t="n">
        <x:v>1</x:v>
      </x:c>
      <x:c r="G173" s="23" t="str">
        <x:f>IF(E173=F173,"PASS","FAIL")</x:f>
        <x:v>PASS</x:v>
      </x:c>
    </x:row>
    <x:row r="174">
      <x:c r="B174" s="21" t="str">
        <x:v>A00168</x:v>
      </x:c>
      <x:c r="C174" s="21" t="str">
        <x:v>program</x:v>
      </x:c>
      <x:c r="D174" s="21" t="str">
        <x:v>F11-I2 capital ledger</x:v>
      </x:c>
      <x:c r="E174" s="21" t="n">
        <x:f>IF(ABS(SUM('Artifact Ledger'!K417:K426)-'Program Register'!K48)&lt;0.000001,1,0)</x:f>
        <x:v>1</x:v>
      </x:c>
      <x:c r="F174" s="21" t="n">
        <x:v>1</x:v>
      </x:c>
      <x:c r="G174" s="23" t="str">
        <x:f>IF(E174=F174,"PASS","FAIL")</x:f>
        <x:v>PASS</x:v>
      </x:c>
    </x:row>
    <x:row r="175">
      <x:c r="B175" s="21" t="str">
        <x:v>A00169</x:v>
      </x:c>
      <x:c r="C175" s="21" t="str">
        <x:v>program</x:v>
      </x:c>
      <x:c r="D175" s="21" t="str">
        <x:v>F11-I3 structure</x:v>
      </x:c>
      <x:c r="E175" s="21" t="n">
        <x:f>IF(AND('Program Register'!L49=Assumptions!C9,'Program Register'!M49=Assumptions!C11),1,0)</x:f>
        <x:v>1</x:v>
      </x:c>
      <x:c r="F175" s="21" t="n">
        <x:v>1</x:v>
      </x:c>
      <x:c r="G175" s="23" t="str">
        <x:f>IF(E175=F175,"PASS","FAIL")</x:f>
        <x:v>PASS</x:v>
      </x:c>
    </x:row>
    <x:row r="176">
      <x:c r="B176" s="21" t="str">
        <x:v>A00170</x:v>
      </x:c>
      <x:c r="C176" s="21" t="str">
        <x:v>program</x:v>
      </x:c>
      <x:c r="D176" s="21" t="str">
        <x:v>F11-I3 capital ledger</x:v>
      </x:c>
      <x:c r="E176" s="21" t="n">
        <x:f>IF(ABS(SUM('Artifact Ledger'!K427:K436)-'Program Register'!K49)&lt;0.000001,1,0)</x:f>
        <x:v>1</x:v>
      </x:c>
      <x:c r="F176" s="21" t="n">
        <x:v>1</x:v>
      </x:c>
      <x:c r="G176" s="23" t="str">
        <x:f>IF(E176=F176,"PASS","FAIL")</x:f>
        <x:v>PASS</x:v>
      </x:c>
    </x:row>
    <x:row r="177">
      <x:c r="B177" s="21" t="str">
        <x:v>A00171</x:v>
      </x:c>
      <x:c r="C177" s="21" t="str">
        <x:v>program</x:v>
      </x:c>
      <x:c r="D177" s="21" t="str">
        <x:v>F11-I4 structure</x:v>
      </x:c>
      <x:c r="E177" s="21" t="n">
        <x:f>IF(AND('Program Register'!L50=Assumptions!C9,'Program Register'!M50=Assumptions!C11),1,0)</x:f>
        <x:v>1</x:v>
      </x:c>
      <x:c r="F177" s="21" t="n">
        <x:v>1</x:v>
      </x:c>
      <x:c r="G177" s="23" t="str">
        <x:f>IF(E177=F177,"PASS","FAIL")</x:f>
        <x:v>PASS</x:v>
      </x:c>
    </x:row>
    <x:row r="178">
      <x:c r="B178" s="21" t="str">
        <x:v>A00172</x:v>
      </x:c>
      <x:c r="C178" s="21" t="str">
        <x:v>program</x:v>
      </x:c>
      <x:c r="D178" s="21" t="str">
        <x:v>F11-I4 capital ledger</x:v>
      </x:c>
      <x:c r="E178" s="21" t="n">
        <x:f>IF(ABS(SUM('Artifact Ledger'!K437:K446)-'Program Register'!K50)&lt;0.000001,1,0)</x:f>
        <x:v>1</x:v>
      </x:c>
      <x:c r="F178" s="21" t="n">
        <x:v>1</x:v>
      </x:c>
      <x:c r="G178" s="23" t="str">
        <x:f>IF(E178=F178,"PASS","FAIL")</x:f>
        <x:v>PASS</x:v>
      </x:c>
    </x:row>
    <x:row r="179">
      <x:c r="B179" s="21" t="str">
        <x:v>A00173</x:v>
      </x:c>
      <x:c r="C179" s="21" t="str">
        <x:v>program</x:v>
      </x:c>
      <x:c r="D179" s="21" t="str">
        <x:v>F12-I1 structure</x:v>
      </x:c>
      <x:c r="E179" s="21" t="n">
        <x:f>IF(AND('Program Register'!L51=Assumptions!C9,'Program Register'!M51=Assumptions!C11),1,0)</x:f>
        <x:v>1</x:v>
      </x:c>
      <x:c r="F179" s="21" t="n">
        <x:v>1</x:v>
      </x:c>
      <x:c r="G179" s="23" t="str">
        <x:f>IF(E179=F179,"PASS","FAIL")</x:f>
        <x:v>PASS</x:v>
      </x:c>
    </x:row>
    <x:row r="180">
      <x:c r="B180" s="21" t="str">
        <x:v>A00174</x:v>
      </x:c>
      <x:c r="C180" s="21" t="str">
        <x:v>program</x:v>
      </x:c>
      <x:c r="D180" s="21" t="str">
        <x:v>F12-I1 capital ledger</x:v>
      </x:c>
      <x:c r="E180" s="21" t="n">
        <x:f>IF(ABS(SUM('Artifact Ledger'!K447:K456)-'Program Register'!K51)&lt;0.000001,1,0)</x:f>
        <x:v>1</x:v>
      </x:c>
      <x:c r="F180" s="21" t="n">
        <x:v>1</x:v>
      </x:c>
      <x:c r="G180" s="23" t="str">
        <x:f>IF(E180=F180,"PASS","FAIL")</x:f>
        <x:v>PASS</x:v>
      </x:c>
    </x:row>
    <x:row r="181">
      <x:c r="B181" s="21" t="str">
        <x:v>A00175</x:v>
      </x:c>
      <x:c r="C181" s="21" t="str">
        <x:v>program</x:v>
      </x:c>
      <x:c r="D181" s="21" t="str">
        <x:v>F12-I2 structure</x:v>
      </x:c>
      <x:c r="E181" s="21" t="n">
        <x:f>IF(AND('Program Register'!L52=Assumptions!C9,'Program Register'!M52=Assumptions!C11),1,0)</x:f>
        <x:v>1</x:v>
      </x:c>
      <x:c r="F181" s="21" t="n">
        <x:v>1</x:v>
      </x:c>
      <x:c r="G181" s="23" t="str">
        <x:f>IF(E181=F181,"PASS","FAIL")</x:f>
        <x:v>PASS</x:v>
      </x:c>
    </x:row>
    <x:row r="182">
      <x:c r="B182" s="21" t="str">
        <x:v>A00176</x:v>
      </x:c>
      <x:c r="C182" s="21" t="str">
        <x:v>program</x:v>
      </x:c>
      <x:c r="D182" s="21" t="str">
        <x:v>F12-I2 capital ledger</x:v>
      </x:c>
      <x:c r="E182" s="21" t="n">
        <x:f>IF(ABS(SUM('Artifact Ledger'!K457:K466)-'Program Register'!K52)&lt;0.000001,1,0)</x:f>
        <x:v>1</x:v>
      </x:c>
      <x:c r="F182" s="21" t="n">
        <x:v>1</x:v>
      </x:c>
      <x:c r="G182" s="23" t="str">
        <x:f>IF(E182=F182,"PASS","FAIL")</x:f>
        <x:v>PASS</x:v>
      </x:c>
    </x:row>
    <x:row r="183">
      <x:c r="B183" s="21" t="str">
        <x:v>A00177</x:v>
      </x:c>
      <x:c r="C183" s="21" t="str">
        <x:v>program</x:v>
      </x:c>
      <x:c r="D183" s="21" t="str">
        <x:v>F12-I3 structure</x:v>
      </x:c>
      <x:c r="E183" s="21" t="n">
        <x:f>IF(AND('Program Register'!L53=Assumptions!C9,'Program Register'!M53=Assumptions!C11),1,0)</x:f>
        <x:v>1</x:v>
      </x:c>
      <x:c r="F183" s="21" t="n">
        <x:v>1</x:v>
      </x:c>
      <x:c r="G183" s="23" t="str">
        <x:f>IF(E183=F183,"PASS","FAIL")</x:f>
        <x:v>PASS</x:v>
      </x:c>
    </x:row>
    <x:row r="184">
      <x:c r="B184" s="21" t="str">
        <x:v>A00178</x:v>
      </x:c>
      <x:c r="C184" s="21" t="str">
        <x:v>program</x:v>
      </x:c>
      <x:c r="D184" s="21" t="str">
        <x:v>F12-I3 capital ledger</x:v>
      </x:c>
      <x:c r="E184" s="21" t="n">
        <x:f>IF(ABS(SUM('Artifact Ledger'!K467:K476)-'Program Register'!K53)&lt;0.000001,1,0)</x:f>
        <x:v>1</x:v>
      </x:c>
      <x:c r="F184" s="21" t="n">
        <x:v>1</x:v>
      </x:c>
      <x:c r="G184" s="23" t="str">
        <x:f>IF(E184=F184,"PASS","FAIL")</x:f>
        <x:v>PASS</x:v>
      </x:c>
    </x:row>
    <x:row r="185">
      <x:c r="B185" s="21" t="str">
        <x:v>A00179</x:v>
      </x:c>
      <x:c r="C185" s="21" t="str">
        <x:v>program</x:v>
      </x:c>
      <x:c r="D185" s="21" t="str">
        <x:v>F12-I4 structure</x:v>
      </x:c>
      <x:c r="E185" s="21" t="n">
        <x:f>IF(AND('Program Register'!L54=Assumptions!C9,'Program Register'!M54=Assumptions!C11),1,0)</x:f>
        <x:v>1</x:v>
      </x:c>
      <x:c r="F185" s="21" t="n">
        <x:v>1</x:v>
      </x:c>
      <x:c r="G185" s="23" t="str">
        <x:f>IF(E185=F185,"PASS","FAIL")</x:f>
        <x:v>PASS</x:v>
      </x:c>
    </x:row>
    <x:row r="186">
      <x:c r="B186" s="21" t="str">
        <x:v>A00180</x:v>
      </x:c>
      <x:c r="C186" s="21" t="str">
        <x:v>program</x:v>
      </x:c>
      <x:c r="D186" s="21" t="str">
        <x:v>F12-I4 capital ledger</x:v>
      </x:c>
      <x:c r="E186" s="21" t="n">
        <x:f>IF(ABS(SUM('Artifact Ledger'!K477:K486)-'Program Register'!K54)&lt;0.000001,1,0)</x:f>
        <x:v>1</x:v>
      </x:c>
      <x:c r="F186" s="21" t="n">
        <x:v>1</x:v>
      </x:c>
      <x:c r="G186" s="23" t="str">
        <x:f>IF(E186=F186,"PASS","FAIL")</x:f>
        <x:v>PASS</x:v>
      </x:c>
    </x:row>
    <x:row r="187">
      <x:c r="B187" s="21" t="str">
        <x:v>A00181</x:v>
      </x:c>
      <x:c r="C187" s="21" t="str">
        <x:v>program</x:v>
      </x:c>
      <x:c r="D187" s="21" t="str">
        <x:v>F13-I1 structure</x:v>
      </x:c>
      <x:c r="E187" s="21" t="n">
        <x:f>IF(AND('Program Register'!L55=Assumptions!C9,'Program Register'!M55=Assumptions!C11),1,0)</x:f>
        <x:v>1</x:v>
      </x:c>
      <x:c r="F187" s="21" t="n">
        <x:v>1</x:v>
      </x:c>
      <x:c r="G187" s="23" t="str">
        <x:f>IF(E187=F187,"PASS","FAIL")</x:f>
        <x:v>PASS</x:v>
      </x:c>
    </x:row>
    <x:row r="188">
      <x:c r="B188" s="21" t="str">
        <x:v>A00182</x:v>
      </x:c>
      <x:c r="C188" s="21" t="str">
        <x:v>program</x:v>
      </x:c>
      <x:c r="D188" s="21" t="str">
        <x:v>F13-I1 capital ledger</x:v>
      </x:c>
      <x:c r="E188" s="21" t="n">
        <x:f>IF(ABS(SUM('Artifact Ledger'!K487:K496)-'Program Register'!K55)&lt;0.000001,1,0)</x:f>
        <x:v>1</x:v>
      </x:c>
      <x:c r="F188" s="21" t="n">
        <x:v>1</x:v>
      </x:c>
      <x:c r="G188" s="23" t="str">
        <x:f>IF(E188=F188,"PASS","FAIL")</x:f>
        <x:v>PASS</x:v>
      </x:c>
    </x:row>
    <x:row r="189">
      <x:c r="B189" s="21" t="str">
        <x:v>A00183</x:v>
      </x:c>
      <x:c r="C189" s="21" t="str">
        <x:v>program</x:v>
      </x:c>
      <x:c r="D189" s="21" t="str">
        <x:v>F13-I2 structure</x:v>
      </x:c>
      <x:c r="E189" s="21" t="n">
        <x:f>IF(AND('Program Register'!L56=Assumptions!C9,'Program Register'!M56=Assumptions!C11),1,0)</x:f>
        <x:v>1</x:v>
      </x:c>
      <x:c r="F189" s="21" t="n">
        <x:v>1</x:v>
      </x:c>
      <x:c r="G189" s="23" t="str">
        <x:f>IF(E189=F189,"PASS","FAIL")</x:f>
        <x:v>PASS</x:v>
      </x:c>
    </x:row>
    <x:row r="190">
      <x:c r="B190" s="21" t="str">
        <x:v>A00184</x:v>
      </x:c>
      <x:c r="C190" s="21" t="str">
        <x:v>program</x:v>
      </x:c>
      <x:c r="D190" s="21" t="str">
        <x:v>F13-I2 capital ledger</x:v>
      </x:c>
      <x:c r="E190" s="21" t="n">
        <x:f>IF(ABS(SUM('Artifact Ledger'!K497:K506)-'Program Register'!K56)&lt;0.000001,1,0)</x:f>
        <x:v>1</x:v>
      </x:c>
      <x:c r="F190" s="21" t="n">
        <x:v>1</x:v>
      </x:c>
      <x:c r="G190" s="23" t="str">
        <x:f>IF(E190=F190,"PASS","FAIL")</x:f>
        <x:v>PASS</x:v>
      </x:c>
    </x:row>
    <x:row r="191">
      <x:c r="B191" s="21" t="str">
        <x:v>A00185</x:v>
      </x:c>
      <x:c r="C191" s="21" t="str">
        <x:v>program</x:v>
      </x:c>
      <x:c r="D191" s="21" t="str">
        <x:v>F13-I3 structure</x:v>
      </x:c>
      <x:c r="E191" s="21" t="n">
        <x:f>IF(AND('Program Register'!L57=Assumptions!C9,'Program Register'!M57=Assumptions!C11),1,0)</x:f>
        <x:v>1</x:v>
      </x:c>
      <x:c r="F191" s="21" t="n">
        <x:v>1</x:v>
      </x:c>
      <x:c r="G191" s="23" t="str">
        <x:f>IF(E191=F191,"PASS","FAIL")</x:f>
        <x:v>PASS</x:v>
      </x:c>
    </x:row>
    <x:row r="192">
      <x:c r="B192" s="21" t="str">
        <x:v>A00186</x:v>
      </x:c>
      <x:c r="C192" s="21" t="str">
        <x:v>program</x:v>
      </x:c>
      <x:c r="D192" s="21" t="str">
        <x:v>F13-I3 capital ledger</x:v>
      </x:c>
      <x:c r="E192" s="21" t="n">
        <x:f>IF(ABS(SUM('Artifact Ledger'!K507:K516)-'Program Register'!K57)&lt;0.000001,1,0)</x:f>
        <x:v>1</x:v>
      </x:c>
      <x:c r="F192" s="21" t="n">
        <x:v>1</x:v>
      </x:c>
      <x:c r="G192" s="23" t="str">
        <x:f>IF(E192=F192,"PASS","FAIL")</x:f>
        <x:v>PASS</x:v>
      </x:c>
    </x:row>
    <x:row r="193">
      <x:c r="B193" s="21" t="str">
        <x:v>A00187</x:v>
      </x:c>
      <x:c r="C193" s="21" t="str">
        <x:v>program</x:v>
      </x:c>
      <x:c r="D193" s="21" t="str">
        <x:v>F13-I4 structure</x:v>
      </x:c>
      <x:c r="E193" s="21" t="n">
        <x:f>IF(AND('Program Register'!L58=Assumptions!C9,'Program Register'!M58=Assumptions!C11),1,0)</x:f>
        <x:v>1</x:v>
      </x:c>
      <x:c r="F193" s="21" t="n">
        <x:v>1</x:v>
      </x:c>
      <x:c r="G193" s="23" t="str">
        <x:f>IF(E193=F193,"PASS","FAIL")</x:f>
        <x:v>PASS</x:v>
      </x:c>
    </x:row>
    <x:row r="194">
      <x:c r="B194" s="21" t="str">
        <x:v>A00188</x:v>
      </x:c>
      <x:c r="C194" s="21" t="str">
        <x:v>program</x:v>
      </x:c>
      <x:c r="D194" s="21" t="str">
        <x:v>F13-I4 capital ledger</x:v>
      </x:c>
      <x:c r="E194" s="21" t="n">
        <x:f>IF(ABS(SUM('Artifact Ledger'!K517:K526)-'Program Register'!K58)&lt;0.000001,1,0)</x:f>
        <x:v>1</x:v>
      </x:c>
      <x:c r="F194" s="21" t="n">
        <x:v>1</x:v>
      </x:c>
      <x:c r="G194" s="23" t="str">
        <x:f>IF(E194=F194,"PASS","FAIL")</x:f>
        <x:v>PASS</x:v>
      </x:c>
    </x:row>
    <x:row r="195">
      <x:c r="B195" s="21" t="str">
        <x:v>A00189</x:v>
      </x:c>
      <x:c r="C195" s="21" t="str">
        <x:v>program</x:v>
      </x:c>
      <x:c r="D195" s="21" t="str">
        <x:v>F14-I1 structure</x:v>
      </x:c>
      <x:c r="E195" s="21" t="n">
        <x:f>IF(AND('Program Register'!L59=Assumptions!C9,'Program Register'!M59=Assumptions!C11),1,0)</x:f>
        <x:v>1</x:v>
      </x:c>
      <x:c r="F195" s="21" t="n">
        <x:v>1</x:v>
      </x:c>
      <x:c r="G195" s="23" t="str">
        <x:f>IF(E195=F195,"PASS","FAIL")</x:f>
        <x:v>PASS</x:v>
      </x:c>
    </x:row>
    <x:row r="196">
      <x:c r="B196" s="21" t="str">
        <x:v>A00190</x:v>
      </x:c>
      <x:c r="C196" s="21" t="str">
        <x:v>program</x:v>
      </x:c>
      <x:c r="D196" s="21" t="str">
        <x:v>F14-I1 capital ledger</x:v>
      </x:c>
      <x:c r="E196" s="21" t="n">
        <x:f>IF(ABS(SUM('Artifact Ledger'!K527:K536)-'Program Register'!K59)&lt;0.000001,1,0)</x:f>
        <x:v>1</x:v>
      </x:c>
      <x:c r="F196" s="21" t="n">
        <x:v>1</x:v>
      </x:c>
      <x:c r="G196" s="23" t="str">
        <x:f>IF(E196=F196,"PASS","FAIL")</x:f>
        <x:v>PASS</x:v>
      </x:c>
    </x:row>
    <x:row r="197">
      <x:c r="B197" s="21" t="str">
        <x:v>A00191</x:v>
      </x:c>
      <x:c r="C197" s="21" t="str">
        <x:v>program</x:v>
      </x:c>
      <x:c r="D197" s="21" t="str">
        <x:v>F14-I2 structure</x:v>
      </x:c>
      <x:c r="E197" s="21" t="n">
        <x:f>IF(AND('Program Register'!L60=Assumptions!C9,'Program Register'!M60=Assumptions!C11),1,0)</x:f>
        <x:v>1</x:v>
      </x:c>
      <x:c r="F197" s="21" t="n">
        <x:v>1</x:v>
      </x:c>
      <x:c r="G197" s="23" t="str">
        <x:f>IF(E197=F197,"PASS","FAIL")</x:f>
        <x:v>PASS</x:v>
      </x:c>
    </x:row>
    <x:row r="198">
      <x:c r="B198" s="21" t="str">
        <x:v>A00192</x:v>
      </x:c>
      <x:c r="C198" s="21" t="str">
        <x:v>program</x:v>
      </x:c>
      <x:c r="D198" s="21" t="str">
        <x:v>F14-I2 capital ledger</x:v>
      </x:c>
      <x:c r="E198" s="21" t="n">
        <x:f>IF(ABS(SUM('Artifact Ledger'!K537:K546)-'Program Register'!K60)&lt;0.000001,1,0)</x:f>
        <x:v>1</x:v>
      </x:c>
      <x:c r="F198" s="21" t="n">
        <x:v>1</x:v>
      </x:c>
      <x:c r="G198" s="23" t="str">
        <x:f>IF(E198=F198,"PASS","FAIL")</x:f>
        <x:v>PASS</x:v>
      </x:c>
    </x:row>
    <x:row r="199">
      <x:c r="B199" s="21" t="str">
        <x:v>A00193</x:v>
      </x:c>
      <x:c r="C199" s="21" t="str">
        <x:v>program</x:v>
      </x:c>
      <x:c r="D199" s="21" t="str">
        <x:v>F14-I3 structure</x:v>
      </x:c>
      <x:c r="E199" s="21" t="n">
        <x:f>IF(AND('Program Register'!L61=Assumptions!C9,'Program Register'!M61=Assumptions!C11),1,0)</x:f>
        <x:v>1</x:v>
      </x:c>
      <x:c r="F199" s="21" t="n">
        <x:v>1</x:v>
      </x:c>
      <x:c r="G199" s="23" t="str">
        <x:f>IF(E199=F199,"PASS","FAIL")</x:f>
        <x:v>PASS</x:v>
      </x:c>
    </x:row>
    <x:row r="200">
      <x:c r="B200" s="21" t="str">
        <x:v>A00194</x:v>
      </x:c>
      <x:c r="C200" s="21" t="str">
        <x:v>program</x:v>
      </x:c>
      <x:c r="D200" s="21" t="str">
        <x:v>F14-I3 capital ledger</x:v>
      </x:c>
      <x:c r="E200" s="21" t="n">
        <x:f>IF(ABS(SUM('Artifact Ledger'!K547:K556)-'Program Register'!K61)&lt;0.000001,1,0)</x:f>
        <x:v>1</x:v>
      </x:c>
      <x:c r="F200" s="21" t="n">
        <x:v>1</x:v>
      </x:c>
      <x:c r="G200" s="23" t="str">
        <x:f>IF(E200=F200,"PASS","FAIL")</x:f>
        <x:v>PASS</x:v>
      </x:c>
    </x:row>
    <x:row r="201">
      <x:c r="B201" s="21" t="str">
        <x:v>A00195</x:v>
      </x:c>
      <x:c r="C201" s="21" t="str">
        <x:v>program</x:v>
      </x:c>
      <x:c r="D201" s="21" t="str">
        <x:v>F14-I4 structure</x:v>
      </x:c>
      <x:c r="E201" s="21" t="n">
        <x:f>IF(AND('Program Register'!L62=Assumptions!C9,'Program Register'!M62=Assumptions!C11),1,0)</x:f>
        <x:v>1</x:v>
      </x:c>
      <x:c r="F201" s="21" t="n">
        <x:v>1</x:v>
      </x:c>
      <x:c r="G201" s="23" t="str">
        <x:f>IF(E201=F201,"PASS","FAIL")</x:f>
        <x:v>PASS</x:v>
      </x:c>
    </x:row>
    <x:row r="202">
      <x:c r="B202" s="21" t="str">
        <x:v>A00196</x:v>
      </x:c>
      <x:c r="C202" s="21" t="str">
        <x:v>program</x:v>
      </x:c>
      <x:c r="D202" s="21" t="str">
        <x:v>F14-I4 capital ledger</x:v>
      </x:c>
      <x:c r="E202" s="21" t="n">
        <x:f>IF(ABS(SUM('Artifact Ledger'!K557:K566)-'Program Register'!K62)&lt;0.000001,1,0)</x:f>
        <x:v>1</x:v>
      </x:c>
      <x:c r="F202" s="21" t="n">
        <x:v>1</x:v>
      </x:c>
      <x:c r="G202" s="23" t="str">
        <x:f>IF(E202=F202,"PASS","FAIL")</x:f>
        <x:v>PASS</x:v>
      </x:c>
    </x:row>
    <x:row r="203">
      <x:c r="B203" s="21" t="str">
        <x:v>A00197</x:v>
      </x:c>
      <x:c r="C203" s="21" t="str">
        <x:v>program</x:v>
      </x:c>
      <x:c r="D203" s="21" t="str">
        <x:v>F15-I1 structure</x:v>
      </x:c>
      <x:c r="E203" s="21" t="n">
        <x:f>IF(AND('Program Register'!L63=Assumptions!C9,'Program Register'!M63=Assumptions!C11),1,0)</x:f>
        <x:v>1</x:v>
      </x:c>
      <x:c r="F203" s="21" t="n">
        <x:v>1</x:v>
      </x:c>
      <x:c r="G203" s="23" t="str">
        <x:f>IF(E203=F203,"PASS","FAIL")</x:f>
        <x:v>PASS</x:v>
      </x:c>
    </x:row>
    <x:row r="204">
      <x:c r="B204" s="21" t="str">
        <x:v>A00198</x:v>
      </x:c>
      <x:c r="C204" s="21" t="str">
        <x:v>program</x:v>
      </x:c>
      <x:c r="D204" s="21" t="str">
        <x:v>F15-I1 capital ledger</x:v>
      </x:c>
      <x:c r="E204" s="21" t="n">
        <x:f>IF(ABS(SUM('Artifact Ledger'!K567:K576)-'Program Register'!K63)&lt;0.000001,1,0)</x:f>
        <x:v>1</x:v>
      </x:c>
      <x:c r="F204" s="21" t="n">
        <x:v>1</x:v>
      </x:c>
      <x:c r="G204" s="23" t="str">
        <x:f>IF(E204=F204,"PASS","FAIL")</x:f>
        <x:v>PASS</x:v>
      </x:c>
    </x:row>
    <x:row r="205">
      <x:c r="B205" s="21" t="str">
        <x:v>A00199</x:v>
      </x:c>
      <x:c r="C205" s="21" t="str">
        <x:v>program</x:v>
      </x:c>
      <x:c r="D205" s="21" t="str">
        <x:v>F15-I2 structure</x:v>
      </x:c>
      <x:c r="E205" s="21" t="n">
        <x:f>IF(AND('Program Register'!L64=Assumptions!C9,'Program Register'!M64=Assumptions!C11),1,0)</x:f>
        <x:v>1</x:v>
      </x:c>
      <x:c r="F205" s="21" t="n">
        <x:v>1</x:v>
      </x:c>
      <x:c r="G205" s="23" t="str">
        <x:f>IF(E205=F205,"PASS","FAIL")</x:f>
        <x:v>PASS</x:v>
      </x:c>
    </x:row>
    <x:row r="206">
      <x:c r="B206" s="21" t="str">
        <x:v>A00200</x:v>
      </x:c>
      <x:c r="C206" s="21" t="str">
        <x:v>program</x:v>
      </x:c>
      <x:c r="D206" s="21" t="str">
        <x:v>F15-I2 capital ledger</x:v>
      </x:c>
      <x:c r="E206" s="21" t="n">
        <x:f>IF(ABS(SUM('Artifact Ledger'!K577:K586)-'Program Register'!K64)&lt;0.000001,1,0)</x:f>
        <x:v>1</x:v>
      </x:c>
      <x:c r="F206" s="21" t="n">
        <x:v>1</x:v>
      </x:c>
      <x:c r="G206" s="23" t="str">
        <x:f>IF(E206=F206,"PASS","FAIL")</x:f>
        <x:v>PASS</x:v>
      </x:c>
    </x:row>
    <x:row r="207">
      <x:c r="B207" s="21" t="str">
        <x:v>A00201</x:v>
      </x:c>
      <x:c r="C207" s="21" t="str">
        <x:v>program</x:v>
      </x:c>
      <x:c r="D207" s="21" t="str">
        <x:v>F15-I3 structure</x:v>
      </x:c>
      <x:c r="E207" s="21" t="n">
        <x:f>IF(AND('Program Register'!L65=Assumptions!C9,'Program Register'!M65=Assumptions!C11),1,0)</x:f>
        <x:v>1</x:v>
      </x:c>
      <x:c r="F207" s="21" t="n">
        <x:v>1</x:v>
      </x:c>
      <x:c r="G207" s="23" t="str">
        <x:f>IF(E207=F207,"PASS","FAIL")</x:f>
        <x:v>PASS</x:v>
      </x:c>
    </x:row>
    <x:row r="208">
      <x:c r="B208" s="21" t="str">
        <x:v>A00202</x:v>
      </x:c>
      <x:c r="C208" s="21" t="str">
        <x:v>program</x:v>
      </x:c>
      <x:c r="D208" s="21" t="str">
        <x:v>F15-I3 capital ledger</x:v>
      </x:c>
      <x:c r="E208" s="21" t="n">
        <x:f>IF(ABS(SUM('Artifact Ledger'!K587:K596)-'Program Register'!K65)&lt;0.000001,1,0)</x:f>
        <x:v>1</x:v>
      </x:c>
      <x:c r="F208" s="21" t="n">
        <x:v>1</x:v>
      </x:c>
      <x:c r="G208" s="23" t="str">
        <x:f>IF(E208=F208,"PASS","FAIL")</x:f>
        <x:v>PASS</x:v>
      </x:c>
    </x:row>
    <x:row r="209">
      <x:c r="B209" s="21" t="str">
        <x:v>A00203</x:v>
      </x:c>
      <x:c r="C209" s="21" t="str">
        <x:v>program</x:v>
      </x:c>
      <x:c r="D209" s="21" t="str">
        <x:v>F15-I4 structure</x:v>
      </x:c>
      <x:c r="E209" s="21" t="n">
        <x:f>IF(AND('Program Register'!L66=Assumptions!C9,'Program Register'!M66=Assumptions!C11),1,0)</x:f>
        <x:v>1</x:v>
      </x:c>
      <x:c r="F209" s="21" t="n">
        <x:v>1</x:v>
      </x:c>
      <x:c r="G209" s="23" t="str">
        <x:f>IF(E209=F209,"PASS","FAIL")</x:f>
        <x:v>PASS</x:v>
      </x:c>
    </x:row>
    <x:row r="210">
      <x:c r="B210" s="21" t="str">
        <x:v>A00204</x:v>
      </x:c>
      <x:c r="C210" s="21" t="str">
        <x:v>program</x:v>
      </x:c>
      <x:c r="D210" s="21" t="str">
        <x:v>F15-I4 capital ledger</x:v>
      </x:c>
      <x:c r="E210" s="21" t="n">
        <x:f>IF(ABS(SUM('Artifact Ledger'!K597:K606)-'Program Register'!K66)&lt;0.000001,1,0)</x:f>
        <x:v>1</x:v>
      </x:c>
      <x:c r="F210" s="21" t="n">
        <x:v>1</x:v>
      </x:c>
      <x:c r="G210" s="23" t="str">
        <x:f>IF(E210=F210,"PASS","FAIL")</x:f>
        <x:v>PASS</x:v>
      </x:c>
    </x:row>
    <x:row r="211">
      <x:c r="B211" s="21" t="str">
        <x:v>A00205</x:v>
      </x:c>
      <x:c r="C211" s="21" t="str">
        <x:v>program</x:v>
      </x:c>
      <x:c r="D211" s="21" t="str">
        <x:v>F16-I1 structure</x:v>
      </x:c>
      <x:c r="E211" s="21" t="n">
        <x:f>IF(AND('Program Register'!L67=Assumptions!C9,'Program Register'!M67=Assumptions!C11),1,0)</x:f>
        <x:v>1</x:v>
      </x:c>
      <x:c r="F211" s="21" t="n">
        <x:v>1</x:v>
      </x:c>
      <x:c r="G211" s="23" t="str">
        <x:f>IF(E211=F211,"PASS","FAIL")</x:f>
        <x:v>PASS</x:v>
      </x:c>
    </x:row>
    <x:row r="212">
      <x:c r="B212" s="21" t="str">
        <x:v>A00206</x:v>
      </x:c>
      <x:c r="C212" s="21" t="str">
        <x:v>program</x:v>
      </x:c>
      <x:c r="D212" s="21" t="str">
        <x:v>F16-I1 capital ledger</x:v>
      </x:c>
      <x:c r="E212" s="21" t="n">
        <x:f>IF(ABS(SUM('Artifact Ledger'!K607:K616)-'Program Register'!K67)&lt;0.000001,1,0)</x:f>
        <x:v>1</x:v>
      </x:c>
      <x:c r="F212" s="21" t="n">
        <x:v>1</x:v>
      </x:c>
      <x:c r="G212" s="23" t="str">
        <x:f>IF(E212=F212,"PASS","FAIL")</x:f>
        <x:v>PASS</x:v>
      </x:c>
    </x:row>
    <x:row r="213">
      <x:c r="B213" s="21" t="str">
        <x:v>A00207</x:v>
      </x:c>
      <x:c r="C213" s="21" t="str">
        <x:v>program</x:v>
      </x:c>
      <x:c r="D213" s="21" t="str">
        <x:v>F16-I2 structure</x:v>
      </x:c>
      <x:c r="E213" s="21" t="n">
        <x:f>IF(AND('Program Register'!L68=Assumptions!C9,'Program Register'!M68=Assumptions!C11),1,0)</x:f>
        <x:v>1</x:v>
      </x:c>
      <x:c r="F213" s="21" t="n">
        <x:v>1</x:v>
      </x:c>
      <x:c r="G213" s="23" t="str">
        <x:f>IF(E213=F213,"PASS","FAIL")</x:f>
        <x:v>PASS</x:v>
      </x:c>
    </x:row>
    <x:row r="214">
      <x:c r="B214" s="21" t="str">
        <x:v>A00208</x:v>
      </x:c>
      <x:c r="C214" s="21" t="str">
        <x:v>program</x:v>
      </x:c>
      <x:c r="D214" s="21" t="str">
        <x:v>F16-I2 capital ledger</x:v>
      </x:c>
      <x:c r="E214" s="21" t="n">
        <x:f>IF(ABS(SUM('Artifact Ledger'!K617:K626)-'Program Register'!K68)&lt;0.000001,1,0)</x:f>
        <x:v>1</x:v>
      </x:c>
      <x:c r="F214" s="21" t="n">
        <x:v>1</x:v>
      </x:c>
      <x:c r="G214" s="23" t="str">
        <x:f>IF(E214=F214,"PASS","FAIL")</x:f>
        <x:v>PASS</x:v>
      </x:c>
    </x:row>
    <x:row r="215">
      <x:c r="B215" s="21" t="str">
        <x:v>A00209</x:v>
      </x:c>
      <x:c r="C215" s="21" t="str">
        <x:v>program</x:v>
      </x:c>
      <x:c r="D215" s="21" t="str">
        <x:v>F16-I3 structure</x:v>
      </x:c>
      <x:c r="E215" s="21" t="n">
        <x:f>IF(AND('Program Register'!L69=Assumptions!C9,'Program Register'!M69=Assumptions!C11),1,0)</x:f>
        <x:v>1</x:v>
      </x:c>
      <x:c r="F215" s="21" t="n">
        <x:v>1</x:v>
      </x:c>
      <x:c r="G215" s="23" t="str">
        <x:f>IF(E215=F215,"PASS","FAIL")</x:f>
        <x:v>PASS</x:v>
      </x:c>
    </x:row>
    <x:row r="216">
      <x:c r="B216" s="21" t="str">
        <x:v>A00210</x:v>
      </x:c>
      <x:c r="C216" s="21" t="str">
        <x:v>program</x:v>
      </x:c>
      <x:c r="D216" s="21" t="str">
        <x:v>F16-I3 capital ledger</x:v>
      </x:c>
      <x:c r="E216" s="21" t="n">
        <x:f>IF(ABS(SUM('Artifact Ledger'!K627:K636)-'Program Register'!K69)&lt;0.000001,1,0)</x:f>
        <x:v>1</x:v>
      </x:c>
      <x:c r="F216" s="21" t="n">
        <x:v>1</x:v>
      </x:c>
      <x:c r="G216" s="23" t="str">
        <x:f>IF(E216=F216,"PASS","FAIL")</x:f>
        <x:v>PASS</x:v>
      </x:c>
    </x:row>
    <x:row r="217">
      <x:c r="B217" s="21" t="str">
        <x:v>A00211</x:v>
      </x:c>
      <x:c r="C217" s="21" t="str">
        <x:v>program</x:v>
      </x:c>
      <x:c r="D217" s="21" t="str">
        <x:v>F16-I4 structure</x:v>
      </x:c>
      <x:c r="E217" s="21" t="n">
        <x:f>IF(AND('Program Register'!L70=Assumptions!C9,'Program Register'!M70=Assumptions!C11),1,0)</x:f>
        <x:v>1</x:v>
      </x:c>
      <x:c r="F217" s="21" t="n">
        <x:v>1</x:v>
      </x:c>
      <x:c r="G217" s="23" t="str">
        <x:f>IF(E217=F217,"PASS","FAIL")</x:f>
        <x:v>PASS</x:v>
      </x:c>
    </x:row>
    <x:row r="218">
      <x:c r="B218" s="21" t="str">
        <x:v>A00212</x:v>
      </x:c>
      <x:c r="C218" s="21" t="str">
        <x:v>program</x:v>
      </x:c>
      <x:c r="D218" s="21" t="str">
        <x:v>F16-I4 capital ledger</x:v>
      </x:c>
      <x:c r="E218" s="21" t="n">
        <x:f>IF(ABS(SUM('Artifact Ledger'!K637:K646)-'Program Register'!K70)&lt;0.000001,1,0)</x:f>
        <x:v>1</x:v>
      </x:c>
      <x:c r="F218" s="21" t="n">
        <x:v>1</x:v>
      </x:c>
      <x:c r="G218" s="23" t="str">
        <x:f>IF(E218=F218,"PASS","FAIL")</x:f>
        <x:v>PASS</x:v>
      </x:c>
    </x:row>
    <x:row r="219">
      <x:c r="B219" s="21" t="str">
        <x:v>A00213</x:v>
      </x:c>
      <x:c r="C219" s="21" t="str">
        <x:v>program</x:v>
      </x:c>
      <x:c r="D219" s="21" t="str">
        <x:v>F17-I1 structure</x:v>
      </x:c>
      <x:c r="E219" s="21" t="n">
        <x:f>IF(AND('Program Register'!L71=Assumptions!C9,'Program Register'!M71=Assumptions!C11),1,0)</x:f>
        <x:v>1</x:v>
      </x:c>
      <x:c r="F219" s="21" t="n">
        <x:v>1</x:v>
      </x:c>
      <x:c r="G219" s="23" t="str">
        <x:f>IF(E219=F219,"PASS","FAIL")</x:f>
        <x:v>PASS</x:v>
      </x:c>
    </x:row>
    <x:row r="220">
      <x:c r="B220" s="21" t="str">
        <x:v>A00214</x:v>
      </x:c>
      <x:c r="C220" s="21" t="str">
        <x:v>program</x:v>
      </x:c>
      <x:c r="D220" s="21" t="str">
        <x:v>F17-I1 capital ledger</x:v>
      </x:c>
      <x:c r="E220" s="21" t="n">
        <x:f>IF(ABS(SUM('Artifact Ledger'!K647:K656)-'Program Register'!K71)&lt;0.000001,1,0)</x:f>
        <x:v>1</x:v>
      </x:c>
      <x:c r="F220" s="21" t="n">
        <x:v>1</x:v>
      </x:c>
      <x:c r="G220" s="23" t="str">
        <x:f>IF(E220=F220,"PASS","FAIL")</x:f>
        <x:v>PASS</x:v>
      </x:c>
    </x:row>
    <x:row r="221">
      <x:c r="B221" s="21" t="str">
        <x:v>A00215</x:v>
      </x:c>
      <x:c r="C221" s="21" t="str">
        <x:v>program</x:v>
      </x:c>
      <x:c r="D221" s="21" t="str">
        <x:v>F17-I2 structure</x:v>
      </x:c>
      <x:c r="E221" s="21" t="n">
        <x:f>IF(AND('Program Register'!L72=Assumptions!C9,'Program Register'!M72=Assumptions!C11),1,0)</x:f>
        <x:v>1</x:v>
      </x:c>
      <x:c r="F221" s="21" t="n">
        <x:v>1</x:v>
      </x:c>
      <x:c r="G221" s="23" t="str">
        <x:f>IF(E221=F221,"PASS","FAIL")</x:f>
        <x:v>PASS</x:v>
      </x:c>
    </x:row>
    <x:row r="222">
      <x:c r="B222" s="21" t="str">
        <x:v>A00216</x:v>
      </x:c>
      <x:c r="C222" s="21" t="str">
        <x:v>program</x:v>
      </x:c>
      <x:c r="D222" s="21" t="str">
        <x:v>F17-I2 capital ledger</x:v>
      </x:c>
      <x:c r="E222" s="21" t="n">
        <x:f>IF(ABS(SUM('Artifact Ledger'!K657:K666)-'Program Register'!K72)&lt;0.000001,1,0)</x:f>
        <x:v>1</x:v>
      </x:c>
      <x:c r="F222" s="21" t="n">
        <x:v>1</x:v>
      </x:c>
      <x:c r="G222" s="23" t="str">
        <x:f>IF(E222=F222,"PASS","FAIL")</x:f>
        <x:v>PASS</x:v>
      </x:c>
    </x:row>
    <x:row r="223">
      <x:c r="B223" s="21" t="str">
        <x:v>A00217</x:v>
      </x:c>
      <x:c r="C223" s="21" t="str">
        <x:v>program</x:v>
      </x:c>
      <x:c r="D223" s="21" t="str">
        <x:v>F17-I3 structure</x:v>
      </x:c>
      <x:c r="E223" s="21" t="n">
        <x:f>IF(AND('Program Register'!L73=Assumptions!C9,'Program Register'!M73=Assumptions!C11),1,0)</x:f>
        <x:v>1</x:v>
      </x:c>
      <x:c r="F223" s="21" t="n">
        <x:v>1</x:v>
      </x:c>
      <x:c r="G223" s="23" t="str">
        <x:f>IF(E223=F223,"PASS","FAIL")</x:f>
        <x:v>PASS</x:v>
      </x:c>
    </x:row>
    <x:row r="224">
      <x:c r="B224" s="21" t="str">
        <x:v>A00218</x:v>
      </x:c>
      <x:c r="C224" s="21" t="str">
        <x:v>program</x:v>
      </x:c>
      <x:c r="D224" s="21" t="str">
        <x:v>F17-I3 capital ledger</x:v>
      </x:c>
      <x:c r="E224" s="21" t="n">
        <x:f>IF(ABS(SUM('Artifact Ledger'!K667:K676)-'Program Register'!K73)&lt;0.000001,1,0)</x:f>
        <x:v>1</x:v>
      </x:c>
      <x:c r="F224" s="21" t="n">
        <x:v>1</x:v>
      </x:c>
      <x:c r="G224" s="23" t="str">
        <x:f>IF(E224=F224,"PASS","FAIL")</x:f>
        <x:v>PASS</x:v>
      </x:c>
    </x:row>
    <x:row r="225">
      <x:c r="B225" s="21" t="str">
        <x:v>A00219</x:v>
      </x:c>
      <x:c r="C225" s="21" t="str">
        <x:v>program</x:v>
      </x:c>
      <x:c r="D225" s="21" t="str">
        <x:v>F17-I4 structure</x:v>
      </x:c>
      <x:c r="E225" s="21" t="n">
        <x:f>IF(AND('Program Register'!L74=Assumptions!C9,'Program Register'!M74=Assumptions!C11),1,0)</x:f>
        <x:v>1</x:v>
      </x:c>
      <x:c r="F225" s="21" t="n">
        <x:v>1</x:v>
      </x:c>
      <x:c r="G225" s="23" t="str">
        <x:f>IF(E225=F225,"PASS","FAIL")</x:f>
        <x:v>PASS</x:v>
      </x:c>
    </x:row>
    <x:row r="226">
      <x:c r="B226" s="21" t="str">
        <x:v>A00220</x:v>
      </x:c>
      <x:c r="C226" s="21" t="str">
        <x:v>program</x:v>
      </x:c>
      <x:c r="D226" s="21" t="str">
        <x:v>F17-I4 capital ledger</x:v>
      </x:c>
      <x:c r="E226" s="21" t="n">
        <x:f>IF(ABS(SUM('Artifact Ledger'!K677:K686)-'Program Register'!K74)&lt;0.000001,1,0)</x:f>
        <x:v>1</x:v>
      </x:c>
      <x:c r="F226" s="21" t="n">
        <x:v>1</x:v>
      </x:c>
      <x:c r="G226" s="23" t="str">
        <x:f>IF(E226=F226,"PASS","FAIL")</x:f>
        <x:v>PASS</x:v>
      </x:c>
    </x:row>
    <x:row r="227">
      <x:c r="B227" s="21" t="str">
        <x:v>A00221</x:v>
      </x:c>
      <x:c r="C227" s="21" t="str">
        <x:v>program</x:v>
      </x:c>
      <x:c r="D227" s="21" t="str">
        <x:v>F18-I1 structure</x:v>
      </x:c>
      <x:c r="E227" s="21" t="n">
        <x:f>IF(AND('Program Register'!L75=Assumptions!C9,'Program Register'!M75=Assumptions!C11),1,0)</x:f>
        <x:v>1</x:v>
      </x:c>
      <x:c r="F227" s="21" t="n">
        <x:v>1</x:v>
      </x:c>
      <x:c r="G227" s="23" t="str">
        <x:f>IF(E227=F227,"PASS","FAIL")</x:f>
        <x:v>PASS</x:v>
      </x:c>
    </x:row>
    <x:row r="228">
      <x:c r="B228" s="21" t="str">
        <x:v>A00222</x:v>
      </x:c>
      <x:c r="C228" s="21" t="str">
        <x:v>program</x:v>
      </x:c>
      <x:c r="D228" s="21" t="str">
        <x:v>F18-I1 capital ledger</x:v>
      </x:c>
      <x:c r="E228" s="21" t="n">
        <x:f>IF(ABS(SUM('Artifact Ledger'!K687:K696)-'Program Register'!K75)&lt;0.000001,1,0)</x:f>
        <x:v>1</x:v>
      </x:c>
      <x:c r="F228" s="21" t="n">
        <x:v>1</x:v>
      </x:c>
      <x:c r="G228" s="23" t="str">
        <x:f>IF(E228=F228,"PASS","FAIL")</x:f>
        <x:v>PASS</x:v>
      </x:c>
    </x:row>
    <x:row r="229">
      <x:c r="B229" s="21" t="str">
        <x:v>A00223</x:v>
      </x:c>
      <x:c r="C229" s="21" t="str">
        <x:v>program</x:v>
      </x:c>
      <x:c r="D229" s="21" t="str">
        <x:v>F18-I2 structure</x:v>
      </x:c>
      <x:c r="E229" s="21" t="n">
        <x:f>IF(AND('Program Register'!L76=Assumptions!C9,'Program Register'!M76=Assumptions!C11),1,0)</x:f>
        <x:v>1</x:v>
      </x:c>
      <x:c r="F229" s="21" t="n">
        <x:v>1</x:v>
      </x:c>
      <x:c r="G229" s="23" t="str">
        <x:f>IF(E229=F229,"PASS","FAIL")</x:f>
        <x:v>PASS</x:v>
      </x:c>
    </x:row>
    <x:row r="230">
      <x:c r="B230" s="21" t="str">
        <x:v>A00224</x:v>
      </x:c>
      <x:c r="C230" s="21" t="str">
        <x:v>program</x:v>
      </x:c>
      <x:c r="D230" s="21" t="str">
        <x:v>F18-I2 capital ledger</x:v>
      </x:c>
      <x:c r="E230" s="21" t="n">
        <x:f>IF(ABS(SUM('Artifact Ledger'!K697:K706)-'Program Register'!K76)&lt;0.000001,1,0)</x:f>
        <x:v>1</x:v>
      </x:c>
      <x:c r="F230" s="21" t="n">
        <x:v>1</x:v>
      </x:c>
      <x:c r="G230" s="23" t="str">
        <x:f>IF(E230=F230,"PASS","FAIL")</x:f>
        <x:v>PASS</x:v>
      </x:c>
    </x:row>
    <x:row r="231">
      <x:c r="B231" s="21" t="str">
        <x:v>A00225</x:v>
      </x:c>
      <x:c r="C231" s="21" t="str">
        <x:v>program</x:v>
      </x:c>
      <x:c r="D231" s="21" t="str">
        <x:v>F18-I3 structure</x:v>
      </x:c>
      <x:c r="E231" s="21" t="n">
        <x:f>IF(AND('Program Register'!L77=Assumptions!C9,'Program Register'!M77=Assumptions!C11),1,0)</x:f>
        <x:v>1</x:v>
      </x:c>
      <x:c r="F231" s="21" t="n">
        <x:v>1</x:v>
      </x:c>
      <x:c r="G231" s="23" t="str">
        <x:f>IF(E231=F231,"PASS","FAIL")</x:f>
        <x:v>PASS</x:v>
      </x:c>
    </x:row>
    <x:row r="232">
      <x:c r="B232" s="21" t="str">
        <x:v>A00226</x:v>
      </x:c>
      <x:c r="C232" s="21" t="str">
        <x:v>program</x:v>
      </x:c>
      <x:c r="D232" s="21" t="str">
        <x:v>F18-I3 capital ledger</x:v>
      </x:c>
      <x:c r="E232" s="21" t="n">
        <x:f>IF(ABS(SUM('Artifact Ledger'!K707:K716)-'Program Register'!K77)&lt;0.000001,1,0)</x:f>
        <x:v>1</x:v>
      </x:c>
      <x:c r="F232" s="21" t="n">
        <x:v>1</x:v>
      </x:c>
      <x:c r="G232" s="23" t="str">
        <x:f>IF(E232=F232,"PASS","FAIL")</x:f>
        <x:v>PASS</x:v>
      </x:c>
    </x:row>
    <x:row r="233">
      <x:c r="B233" s="21" t="str">
        <x:v>A00227</x:v>
      </x:c>
      <x:c r="C233" s="21" t="str">
        <x:v>program</x:v>
      </x:c>
      <x:c r="D233" s="21" t="str">
        <x:v>F18-I4 structure</x:v>
      </x:c>
      <x:c r="E233" s="21" t="n">
        <x:f>IF(AND('Program Register'!L78=Assumptions!C9,'Program Register'!M78=Assumptions!C11),1,0)</x:f>
        <x:v>1</x:v>
      </x:c>
      <x:c r="F233" s="21" t="n">
        <x:v>1</x:v>
      </x:c>
      <x:c r="G233" s="23" t="str">
        <x:f>IF(E233=F233,"PASS","FAIL")</x:f>
        <x:v>PASS</x:v>
      </x:c>
    </x:row>
    <x:row r="234">
      <x:c r="B234" s="21" t="str">
        <x:v>A00228</x:v>
      </x:c>
      <x:c r="C234" s="21" t="str">
        <x:v>program</x:v>
      </x:c>
      <x:c r="D234" s="21" t="str">
        <x:v>F18-I4 capital ledger</x:v>
      </x:c>
      <x:c r="E234" s="21" t="n">
        <x:f>IF(ABS(SUM('Artifact Ledger'!K717:K726)-'Program Register'!K78)&lt;0.000001,1,0)</x:f>
        <x:v>1</x:v>
      </x:c>
      <x:c r="F234" s="21" t="n">
        <x:v>1</x:v>
      </x:c>
      <x:c r="G234" s="23" t="str">
        <x:f>IF(E234=F234,"PASS","FAIL")</x:f>
        <x:v>PASS</x:v>
      </x:c>
    </x:row>
    <x:row r="235">
      <x:c r="B235" s="21" t="str">
        <x:v>A00229</x:v>
      </x:c>
      <x:c r="C235" s="21" t="str">
        <x:v>program</x:v>
      </x:c>
      <x:c r="D235" s="21" t="str">
        <x:v>F19-I1 structure</x:v>
      </x:c>
      <x:c r="E235" s="21" t="n">
        <x:f>IF(AND('Program Register'!L79=Assumptions!C9,'Program Register'!M79=Assumptions!C11),1,0)</x:f>
        <x:v>1</x:v>
      </x:c>
      <x:c r="F235" s="21" t="n">
        <x:v>1</x:v>
      </x:c>
      <x:c r="G235" s="23" t="str">
        <x:f>IF(E235=F235,"PASS","FAIL")</x:f>
        <x:v>PASS</x:v>
      </x:c>
    </x:row>
    <x:row r="236">
      <x:c r="B236" s="21" t="str">
        <x:v>A00230</x:v>
      </x:c>
      <x:c r="C236" s="21" t="str">
        <x:v>program</x:v>
      </x:c>
      <x:c r="D236" s="21" t="str">
        <x:v>F19-I1 capital ledger</x:v>
      </x:c>
      <x:c r="E236" s="21" t="n">
        <x:f>IF(ABS(SUM('Artifact Ledger'!K727:K736)-'Program Register'!K79)&lt;0.000001,1,0)</x:f>
        <x:v>1</x:v>
      </x:c>
      <x:c r="F236" s="21" t="n">
        <x:v>1</x:v>
      </x:c>
      <x:c r="G236" s="23" t="str">
        <x:f>IF(E236=F236,"PASS","FAIL")</x:f>
        <x:v>PASS</x:v>
      </x:c>
    </x:row>
    <x:row r="237">
      <x:c r="B237" s="21" t="str">
        <x:v>A00231</x:v>
      </x:c>
      <x:c r="C237" s="21" t="str">
        <x:v>program</x:v>
      </x:c>
      <x:c r="D237" s="21" t="str">
        <x:v>F19-I2 structure</x:v>
      </x:c>
      <x:c r="E237" s="21" t="n">
        <x:f>IF(AND('Program Register'!L80=Assumptions!C9,'Program Register'!M80=Assumptions!C11),1,0)</x:f>
        <x:v>1</x:v>
      </x:c>
      <x:c r="F237" s="21" t="n">
        <x:v>1</x:v>
      </x:c>
      <x:c r="G237" s="23" t="str">
        <x:f>IF(E237=F237,"PASS","FAIL")</x:f>
        <x:v>PASS</x:v>
      </x:c>
    </x:row>
    <x:row r="238">
      <x:c r="B238" s="21" t="str">
        <x:v>A00232</x:v>
      </x:c>
      <x:c r="C238" s="21" t="str">
        <x:v>program</x:v>
      </x:c>
      <x:c r="D238" s="21" t="str">
        <x:v>F19-I2 capital ledger</x:v>
      </x:c>
      <x:c r="E238" s="21" t="n">
        <x:f>IF(ABS(SUM('Artifact Ledger'!K737:K746)-'Program Register'!K80)&lt;0.000001,1,0)</x:f>
        <x:v>1</x:v>
      </x:c>
      <x:c r="F238" s="21" t="n">
        <x:v>1</x:v>
      </x:c>
      <x:c r="G238" s="23" t="str">
        <x:f>IF(E238=F238,"PASS","FAIL")</x:f>
        <x:v>PASS</x:v>
      </x:c>
    </x:row>
    <x:row r="239">
      <x:c r="B239" s="21" t="str">
        <x:v>A00233</x:v>
      </x:c>
      <x:c r="C239" s="21" t="str">
        <x:v>program</x:v>
      </x:c>
      <x:c r="D239" s="21" t="str">
        <x:v>F19-I3 structure</x:v>
      </x:c>
      <x:c r="E239" s="21" t="n">
        <x:f>IF(AND('Program Register'!L81=Assumptions!C9,'Program Register'!M81=Assumptions!C11),1,0)</x:f>
        <x:v>1</x:v>
      </x:c>
      <x:c r="F239" s="21" t="n">
        <x:v>1</x:v>
      </x:c>
      <x:c r="G239" s="23" t="str">
        <x:f>IF(E239=F239,"PASS","FAIL")</x:f>
        <x:v>PASS</x:v>
      </x:c>
    </x:row>
    <x:row r="240">
      <x:c r="B240" s="21" t="str">
        <x:v>A00234</x:v>
      </x:c>
      <x:c r="C240" s="21" t="str">
        <x:v>program</x:v>
      </x:c>
      <x:c r="D240" s="21" t="str">
        <x:v>F19-I3 capital ledger</x:v>
      </x:c>
      <x:c r="E240" s="21" t="n">
        <x:f>IF(ABS(SUM('Artifact Ledger'!K747:K756)-'Program Register'!K81)&lt;0.000001,1,0)</x:f>
        <x:v>1</x:v>
      </x:c>
      <x:c r="F240" s="21" t="n">
        <x:v>1</x:v>
      </x:c>
      <x:c r="G240" s="23" t="str">
        <x:f>IF(E240=F240,"PASS","FAIL")</x:f>
        <x:v>PASS</x:v>
      </x:c>
    </x:row>
    <x:row r="241">
      <x:c r="B241" s="21" t="str">
        <x:v>A00235</x:v>
      </x:c>
      <x:c r="C241" s="21" t="str">
        <x:v>program</x:v>
      </x:c>
      <x:c r="D241" s="21" t="str">
        <x:v>F19-I4 structure</x:v>
      </x:c>
      <x:c r="E241" s="21" t="n">
        <x:f>IF(AND('Program Register'!L82=Assumptions!C9,'Program Register'!M82=Assumptions!C11),1,0)</x:f>
        <x:v>1</x:v>
      </x:c>
      <x:c r="F241" s="21" t="n">
        <x:v>1</x:v>
      </x:c>
      <x:c r="G241" s="23" t="str">
        <x:f>IF(E241=F241,"PASS","FAIL")</x:f>
        <x:v>PASS</x:v>
      </x:c>
    </x:row>
    <x:row r="242">
      <x:c r="B242" s="21" t="str">
        <x:v>A00236</x:v>
      </x:c>
      <x:c r="C242" s="21" t="str">
        <x:v>program</x:v>
      </x:c>
      <x:c r="D242" s="21" t="str">
        <x:v>F19-I4 capital ledger</x:v>
      </x:c>
      <x:c r="E242" s="21" t="n">
        <x:f>IF(ABS(SUM('Artifact Ledger'!K757:K766)-'Program Register'!K82)&lt;0.000001,1,0)</x:f>
        <x:v>1</x:v>
      </x:c>
      <x:c r="F242" s="21" t="n">
        <x:v>1</x:v>
      </x:c>
      <x:c r="G242" s="23" t="str">
        <x:f>IF(E242=F242,"PASS","FAIL")</x:f>
        <x:v>PASS</x:v>
      </x:c>
    </x:row>
    <x:row r="243">
      <x:c r="B243" s="21" t="str">
        <x:v>A00237</x:v>
      </x:c>
      <x:c r="C243" s="21" t="str">
        <x:v>program</x:v>
      </x:c>
      <x:c r="D243" s="21" t="str">
        <x:v>F20-I1 structure</x:v>
      </x:c>
      <x:c r="E243" s="21" t="n">
        <x:f>IF(AND('Program Register'!L83=Assumptions!C9,'Program Register'!M83=Assumptions!C11),1,0)</x:f>
        <x:v>1</x:v>
      </x:c>
      <x:c r="F243" s="21" t="n">
        <x:v>1</x:v>
      </x:c>
      <x:c r="G243" s="23" t="str">
        <x:f>IF(E243=F243,"PASS","FAIL")</x:f>
        <x:v>PASS</x:v>
      </x:c>
    </x:row>
    <x:row r="244">
      <x:c r="B244" s="21" t="str">
        <x:v>A00238</x:v>
      </x:c>
      <x:c r="C244" s="21" t="str">
        <x:v>program</x:v>
      </x:c>
      <x:c r="D244" s="21" t="str">
        <x:v>F20-I1 capital ledger</x:v>
      </x:c>
      <x:c r="E244" s="21" t="n">
        <x:f>IF(ABS(SUM('Artifact Ledger'!K767:K776)-'Program Register'!K83)&lt;0.000001,1,0)</x:f>
        <x:v>1</x:v>
      </x:c>
      <x:c r="F244" s="21" t="n">
        <x:v>1</x:v>
      </x:c>
      <x:c r="G244" s="23" t="str">
        <x:f>IF(E244=F244,"PASS","FAIL")</x:f>
        <x:v>PASS</x:v>
      </x:c>
    </x:row>
    <x:row r="245">
      <x:c r="B245" s="21" t="str">
        <x:v>A00239</x:v>
      </x:c>
      <x:c r="C245" s="21" t="str">
        <x:v>program</x:v>
      </x:c>
      <x:c r="D245" s="21" t="str">
        <x:v>F20-I2 structure</x:v>
      </x:c>
      <x:c r="E245" s="21" t="n">
        <x:f>IF(AND('Program Register'!L84=Assumptions!C9,'Program Register'!M84=Assumptions!C11),1,0)</x:f>
        <x:v>1</x:v>
      </x:c>
      <x:c r="F245" s="21" t="n">
        <x:v>1</x:v>
      </x:c>
      <x:c r="G245" s="23" t="str">
        <x:f>IF(E245=F245,"PASS","FAIL")</x:f>
        <x:v>PASS</x:v>
      </x:c>
    </x:row>
    <x:row r="246">
      <x:c r="B246" s="21" t="str">
        <x:v>A00240</x:v>
      </x:c>
      <x:c r="C246" s="21" t="str">
        <x:v>program</x:v>
      </x:c>
      <x:c r="D246" s="21" t="str">
        <x:v>F20-I2 capital ledger</x:v>
      </x:c>
      <x:c r="E246" s="21" t="n">
        <x:f>IF(ABS(SUM('Artifact Ledger'!K777:K786)-'Program Register'!K84)&lt;0.000001,1,0)</x:f>
        <x:v>1</x:v>
      </x:c>
      <x:c r="F246" s="21" t="n">
        <x:v>1</x:v>
      </x:c>
      <x:c r="G246" s="23" t="str">
        <x:f>IF(E246=F246,"PASS","FAIL")</x:f>
        <x:v>PASS</x:v>
      </x:c>
    </x:row>
    <x:row r="247">
      <x:c r="B247" s="21" t="str">
        <x:v>A00241</x:v>
      </x:c>
      <x:c r="C247" s="21" t="str">
        <x:v>program</x:v>
      </x:c>
      <x:c r="D247" s="21" t="str">
        <x:v>F20-I3 structure</x:v>
      </x:c>
      <x:c r="E247" s="21" t="n">
        <x:f>IF(AND('Program Register'!L85=Assumptions!C9,'Program Register'!M85=Assumptions!C11),1,0)</x:f>
        <x:v>1</x:v>
      </x:c>
      <x:c r="F247" s="21" t="n">
        <x:v>1</x:v>
      </x:c>
      <x:c r="G247" s="23" t="str">
        <x:f>IF(E247=F247,"PASS","FAIL")</x:f>
        <x:v>PASS</x:v>
      </x:c>
    </x:row>
    <x:row r="248">
      <x:c r="B248" s="21" t="str">
        <x:v>A00242</x:v>
      </x:c>
      <x:c r="C248" s="21" t="str">
        <x:v>program</x:v>
      </x:c>
      <x:c r="D248" s="21" t="str">
        <x:v>F20-I3 capital ledger</x:v>
      </x:c>
      <x:c r="E248" s="21" t="n">
        <x:f>IF(ABS(SUM('Artifact Ledger'!K787:K796)-'Program Register'!K85)&lt;0.000001,1,0)</x:f>
        <x:v>1</x:v>
      </x:c>
      <x:c r="F248" s="21" t="n">
        <x:v>1</x:v>
      </x:c>
      <x:c r="G248" s="23" t="str">
        <x:f>IF(E248=F248,"PASS","FAIL")</x:f>
        <x:v>PASS</x:v>
      </x:c>
    </x:row>
    <x:row r="249">
      <x:c r="B249" s="21" t="str">
        <x:v>A00243</x:v>
      </x:c>
      <x:c r="C249" s="21" t="str">
        <x:v>program</x:v>
      </x:c>
      <x:c r="D249" s="21" t="str">
        <x:v>F20-I4 structure</x:v>
      </x:c>
      <x:c r="E249" s="21" t="n">
        <x:f>IF(AND('Program Register'!L86=Assumptions!C9,'Program Register'!M86=Assumptions!C11),1,0)</x:f>
        <x:v>1</x:v>
      </x:c>
      <x:c r="F249" s="21" t="n">
        <x:v>1</x:v>
      </x:c>
      <x:c r="G249" s="23" t="str">
        <x:f>IF(E249=F249,"PASS","FAIL")</x:f>
        <x:v>PASS</x:v>
      </x:c>
    </x:row>
    <x:row r="250">
      <x:c r="B250" s="21" t="str">
        <x:v>A00244</x:v>
      </x:c>
      <x:c r="C250" s="21" t="str">
        <x:v>program</x:v>
      </x:c>
      <x:c r="D250" s="21" t="str">
        <x:v>F20-I4 capital ledger</x:v>
      </x:c>
      <x:c r="E250" s="21" t="n">
        <x:f>IF(ABS(SUM('Artifact Ledger'!K797:K806)-'Program Register'!K86)&lt;0.000001,1,0)</x:f>
        <x:v>1</x:v>
      </x:c>
      <x:c r="F250" s="21" t="n">
        <x:v>1</x:v>
      </x:c>
      <x:c r="G250" s="23" t="str">
        <x:f>IF(E250=F250,"PASS","FAIL")</x:f>
        <x:v>PASS</x:v>
      </x:c>
    </x:row>
    <x:row r="251">
      <x:c r="B251" s="21" t="str">
        <x:v>A00245</x:v>
      </x:c>
      <x:c r="C251" s="21" t="str">
        <x:v>program</x:v>
      </x:c>
      <x:c r="D251" s="21" t="str">
        <x:v>F21-I1 structure</x:v>
      </x:c>
      <x:c r="E251" s="21" t="n">
        <x:f>IF(AND('Program Register'!L87=Assumptions!C9,'Program Register'!M87=Assumptions!C11),1,0)</x:f>
        <x:v>1</x:v>
      </x:c>
      <x:c r="F251" s="21" t="n">
        <x:v>1</x:v>
      </x:c>
      <x:c r="G251" s="23" t="str">
        <x:f>IF(E251=F251,"PASS","FAIL")</x:f>
        <x:v>PASS</x:v>
      </x:c>
    </x:row>
    <x:row r="252">
      <x:c r="B252" s="21" t="str">
        <x:v>A00246</x:v>
      </x:c>
      <x:c r="C252" s="21" t="str">
        <x:v>program</x:v>
      </x:c>
      <x:c r="D252" s="21" t="str">
        <x:v>F21-I1 capital ledger</x:v>
      </x:c>
      <x:c r="E252" s="21" t="n">
        <x:f>IF(ABS(SUM('Artifact Ledger'!K807:K816)-'Program Register'!K87)&lt;0.000001,1,0)</x:f>
        <x:v>1</x:v>
      </x:c>
      <x:c r="F252" s="21" t="n">
        <x:v>1</x:v>
      </x:c>
      <x:c r="G252" s="23" t="str">
        <x:f>IF(E252=F252,"PASS","FAIL")</x:f>
        <x:v>PASS</x:v>
      </x:c>
    </x:row>
    <x:row r="253">
      <x:c r="B253" s="21" t="str">
        <x:v>A00247</x:v>
      </x:c>
      <x:c r="C253" s="21" t="str">
        <x:v>program</x:v>
      </x:c>
      <x:c r="D253" s="21" t="str">
        <x:v>F21-I2 structure</x:v>
      </x:c>
      <x:c r="E253" s="21" t="n">
        <x:f>IF(AND('Program Register'!L88=Assumptions!C9,'Program Register'!M88=Assumptions!C11),1,0)</x:f>
        <x:v>1</x:v>
      </x:c>
      <x:c r="F253" s="21" t="n">
        <x:v>1</x:v>
      </x:c>
      <x:c r="G253" s="23" t="str">
        <x:f>IF(E253=F253,"PASS","FAIL")</x:f>
        <x:v>PASS</x:v>
      </x:c>
    </x:row>
    <x:row r="254">
      <x:c r="B254" s="21" t="str">
        <x:v>A00248</x:v>
      </x:c>
      <x:c r="C254" s="21" t="str">
        <x:v>program</x:v>
      </x:c>
      <x:c r="D254" s="21" t="str">
        <x:v>F21-I2 capital ledger</x:v>
      </x:c>
      <x:c r="E254" s="21" t="n">
        <x:f>IF(ABS(SUM('Artifact Ledger'!K817:K826)-'Program Register'!K88)&lt;0.000001,1,0)</x:f>
        <x:v>1</x:v>
      </x:c>
      <x:c r="F254" s="21" t="n">
        <x:v>1</x:v>
      </x:c>
      <x:c r="G254" s="23" t="str">
        <x:f>IF(E254=F254,"PASS","FAIL")</x:f>
        <x:v>PASS</x:v>
      </x:c>
    </x:row>
    <x:row r="255">
      <x:c r="B255" s="21" t="str">
        <x:v>A00249</x:v>
      </x:c>
      <x:c r="C255" s="21" t="str">
        <x:v>program</x:v>
      </x:c>
      <x:c r="D255" s="21" t="str">
        <x:v>F21-I3 structure</x:v>
      </x:c>
      <x:c r="E255" s="21" t="n">
        <x:f>IF(AND('Program Register'!L89=Assumptions!C9,'Program Register'!M89=Assumptions!C11),1,0)</x:f>
        <x:v>1</x:v>
      </x:c>
      <x:c r="F255" s="21" t="n">
        <x:v>1</x:v>
      </x:c>
      <x:c r="G255" s="23" t="str">
        <x:f>IF(E255=F255,"PASS","FAIL")</x:f>
        <x:v>PASS</x:v>
      </x:c>
    </x:row>
    <x:row r="256">
      <x:c r="B256" s="21" t="str">
        <x:v>A00250</x:v>
      </x:c>
      <x:c r="C256" s="21" t="str">
        <x:v>program</x:v>
      </x:c>
      <x:c r="D256" s="21" t="str">
        <x:v>F21-I3 capital ledger</x:v>
      </x:c>
      <x:c r="E256" s="21" t="n">
        <x:f>IF(ABS(SUM('Artifact Ledger'!K827:K836)-'Program Register'!K89)&lt;0.000001,1,0)</x:f>
        <x:v>1</x:v>
      </x:c>
      <x:c r="F256" s="21" t="n">
        <x:v>1</x:v>
      </x:c>
      <x:c r="G256" s="23" t="str">
        <x:f>IF(E256=F256,"PASS","FAIL")</x:f>
        <x:v>PASS</x:v>
      </x:c>
    </x:row>
    <x:row r="257">
      <x:c r="B257" s="21" t="str">
        <x:v>A00251</x:v>
      </x:c>
      <x:c r="C257" s="21" t="str">
        <x:v>program</x:v>
      </x:c>
      <x:c r="D257" s="21" t="str">
        <x:v>F21-I4 structure</x:v>
      </x:c>
      <x:c r="E257" s="21" t="n">
        <x:f>IF(AND('Program Register'!L90=Assumptions!C9,'Program Register'!M90=Assumptions!C11),1,0)</x:f>
        <x:v>1</x:v>
      </x:c>
      <x:c r="F257" s="21" t="n">
        <x:v>1</x:v>
      </x:c>
      <x:c r="G257" s="23" t="str">
        <x:f>IF(E257=F257,"PASS","FAIL")</x:f>
        <x:v>PASS</x:v>
      </x:c>
    </x:row>
    <x:row r="258">
      <x:c r="B258" s="21" t="str">
        <x:v>A00252</x:v>
      </x:c>
      <x:c r="C258" s="21" t="str">
        <x:v>program</x:v>
      </x:c>
      <x:c r="D258" s="21" t="str">
        <x:v>F21-I4 capital ledger</x:v>
      </x:c>
      <x:c r="E258" s="21" t="n">
        <x:f>IF(ABS(SUM('Artifact Ledger'!K837:K846)-'Program Register'!K90)&lt;0.000001,1,0)</x:f>
        <x:v>1</x:v>
      </x:c>
      <x:c r="F258" s="21" t="n">
        <x:v>1</x:v>
      </x:c>
      <x:c r="G258" s="23" t="str">
        <x:f>IF(E258=F258,"PASS","FAIL")</x:f>
        <x:v>PASS</x:v>
      </x:c>
    </x:row>
    <x:row r="259">
      <x:c r="B259" s="21" t="str">
        <x:v>A00253</x:v>
      </x:c>
      <x:c r="C259" s="21" t="str">
        <x:v>program</x:v>
      </x:c>
      <x:c r="D259" s="21" t="str">
        <x:v>F22-I1 structure</x:v>
      </x:c>
      <x:c r="E259" s="21" t="n">
        <x:f>IF(AND('Program Register'!L91=Assumptions!C9,'Program Register'!M91=Assumptions!C11),1,0)</x:f>
        <x:v>1</x:v>
      </x:c>
      <x:c r="F259" s="21" t="n">
        <x:v>1</x:v>
      </x:c>
      <x:c r="G259" s="23" t="str">
        <x:f>IF(E259=F259,"PASS","FAIL")</x:f>
        <x:v>PASS</x:v>
      </x:c>
    </x:row>
    <x:row r="260">
      <x:c r="B260" s="21" t="str">
        <x:v>A00254</x:v>
      </x:c>
      <x:c r="C260" s="21" t="str">
        <x:v>program</x:v>
      </x:c>
      <x:c r="D260" s="21" t="str">
        <x:v>F22-I1 capital ledger</x:v>
      </x:c>
      <x:c r="E260" s="21" t="n">
        <x:f>IF(ABS(SUM('Artifact Ledger'!K847:K856)-'Program Register'!K91)&lt;0.000001,1,0)</x:f>
        <x:v>1</x:v>
      </x:c>
      <x:c r="F260" s="21" t="n">
        <x:v>1</x:v>
      </x:c>
      <x:c r="G260" s="23" t="str">
        <x:f>IF(E260=F260,"PASS","FAIL")</x:f>
        <x:v>PASS</x:v>
      </x:c>
    </x:row>
    <x:row r="261">
      <x:c r="B261" s="21" t="str">
        <x:v>A00255</x:v>
      </x:c>
      <x:c r="C261" s="21" t="str">
        <x:v>program</x:v>
      </x:c>
      <x:c r="D261" s="21" t="str">
        <x:v>F22-I2 structure</x:v>
      </x:c>
      <x:c r="E261" s="21" t="n">
        <x:f>IF(AND('Program Register'!L92=Assumptions!C9,'Program Register'!M92=Assumptions!C11),1,0)</x:f>
        <x:v>1</x:v>
      </x:c>
      <x:c r="F261" s="21" t="n">
        <x:v>1</x:v>
      </x:c>
      <x:c r="G261" s="23" t="str">
        <x:f>IF(E261=F261,"PASS","FAIL")</x:f>
        <x:v>PASS</x:v>
      </x:c>
    </x:row>
    <x:row r="262">
      <x:c r="B262" s="21" t="str">
        <x:v>A00256</x:v>
      </x:c>
      <x:c r="C262" s="21" t="str">
        <x:v>program</x:v>
      </x:c>
      <x:c r="D262" s="21" t="str">
        <x:v>F22-I2 capital ledger</x:v>
      </x:c>
      <x:c r="E262" s="21" t="n">
        <x:f>IF(ABS(SUM('Artifact Ledger'!K857:K866)-'Program Register'!K92)&lt;0.000001,1,0)</x:f>
        <x:v>1</x:v>
      </x:c>
      <x:c r="F262" s="21" t="n">
        <x:v>1</x:v>
      </x:c>
      <x:c r="G262" s="23" t="str">
        <x:f>IF(E262=F262,"PASS","FAIL")</x:f>
        <x:v>PASS</x:v>
      </x:c>
    </x:row>
    <x:row r="263">
      <x:c r="B263" s="21" t="str">
        <x:v>A00257</x:v>
      </x:c>
      <x:c r="C263" s="21" t="str">
        <x:v>program</x:v>
      </x:c>
      <x:c r="D263" s="21" t="str">
        <x:v>F22-I3 structure</x:v>
      </x:c>
      <x:c r="E263" s="21" t="n">
        <x:f>IF(AND('Program Register'!L93=Assumptions!C9,'Program Register'!M93=Assumptions!C11),1,0)</x:f>
        <x:v>1</x:v>
      </x:c>
      <x:c r="F263" s="21" t="n">
        <x:v>1</x:v>
      </x:c>
      <x:c r="G263" s="23" t="str">
        <x:f>IF(E263=F263,"PASS","FAIL")</x:f>
        <x:v>PASS</x:v>
      </x:c>
    </x:row>
    <x:row r="264">
      <x:c r="B264" s="21" t="str">
        <x:v>A00258</x:v>
      </x:c>
      <x:c r="C264" s="21" t="str">
        <x:v>program</x:v>
      </x:c>
      <x:c r="D264" s="21" t="str">
        <x:v>F22-I3 capital ledger</x:v>
      </x:c>
      <x:c r="E264" s="21" t="n">
        <x:f>IF(ABS(SUM('Artifact Ledger'!K867:K876)-'Program Register'!K93)&lt;0.000001,1,0)</x:f>
        <x:v>1</x:v>
      </x:c>
      <x:c r="F264" s="21" t="n">
        <x:v>1</x:v>
      </x:c>
      <x:c r="G264" s="23" t="str">
        <x:f>IF(E264=F264,"PASS","FAIL")</x:f>
        <x:v>PASS</x:v>
      </x:c>
    </x:row>
    <x:row r="265">
      <x:c r="B265" s="21" t="str">
        <x:v>A00259</x:v>
      </x:c>
      <x:c r="C265" s="21" t="str">
        <x:v>program</x:v>
      </x:c>
      <x:c r="D265" s="21" t="str">
        <x:v>F22-I4 structure</x:v>
      </x:c>
      <x:c r="E265" s="21" t="n">
        <x:f>IF(AND('Program Register'!L94=Assumptions!C9,'Program Register'!M94=Assumptions!C11),1,0)</x:f>
        <x:v>1</x:v>
      </x:c>
      <x:c r="F265" s="21" t="n">
        <x:v>1</x:v>
      </x:c>
      <x:c r="G265" s="23" t="str">
        <x:f>IF(E265=F265,"PASS","FAIL")</x:f>
        <x:v>PASS</x:v>
      </x:c>
    </x:row>
    <x:row r="266">
      <x:c r="B266" s="21" t="str">
        <x:v>A00260</x:v>
      </x:c>
      <x:c r="C266" s="21" t="str">
        <x:v>program</x:v>
      </x:c>
      <x:c r="D266" s="21" t="str">
        <x:v>F22-I4 capital ledger</x:v>
      </x:c>
      <x:c r="E266" s="21" t="n">
        <x:f>IF(ABS(SUM('Artifact Ledger'!K877:K886)-'Program Register'!K94)&lt;0.000001,1,0)</x:f>
        <x:v>1</x:v>
      </x:c>
      <x:c r="F266" s="21" t="n">
        <x:v>1</x:v>
      </x:c>
      <x:c r="G266" s="23" t="str">
        <x:f>IF(E266=F266,"PASS","FAIL")</x:f>
        <x:v>PASS</x:v>
      </x:c>
    </x:row>
    <x:row r="267">
      <x:c r="B267" s="21" t="str">
        <x:v>A00261</x:v>
      </x:c>
      <x:c r="C267" s="21" t="str">
        <x:v>program</x:v>
      </x:c>
      <x:c r="D267" s="21" t="str">
        <x:v>F23-I1 structure</x:v>
      </x:c>
      <x:c r="E267" s="21" t="n">
        <x:f>IF(AND('Program Register'!L95=Assumptions!C9,'Program Register'!M95=Assumptions!C11),1,0)</x:f>
        <x:v>1</x:v>
      </x:c>
      <x:c r="F267" s="21" t="n">
        <x:v>1</x:v>
      </x:c>
      <x:c r="G267" s="23" t="str">
        <x:f>IF(E267=F267,"PASS","FAIL")</x:f>
        <x:v>PASS</x:v>
      </x:c>
    </x:row>
    <x:row r="268">
      <x:c r="B268" s="21" t="str">
        <x:v>A00262</x:v>
      </x:c>
      <x:c r="C268" s="21" t="str">
        <x:v>program</x:v>
      </x:c>
      <x:c r="D268" s="21" t="str">
        <x:v>F23-I1 capital ledger</x:v>
      </x:c>
      <x:c r="E268" s="21" t="n">
        <x:f>IF(ABS(SUM('Artifact Ledger'!K887:K896)-'Program Register'!K95)&lt;0.000001,1,0)</x:f>
        <x:v>1</x:v>
      </x:c>
      <x:c r="F268" s="21" t="n">
        <x:v>1</x:v>
      </x:c>
      <x:c r="G268" s="23" t="str">
        <x:f>IF(E268=F268,"PASS","FAIL")</x:f>
        <x:v>PASS</x:v>
      </x:c>
    </x:row>
    <x:row r="269">
      <x:c r="B269" s="21" t="str">
        <x:v>A00263</x:v>
      </x:c>
      <x:c r="C269" s="21" t="str">
        <x:v>program</x:v>
      </x:c>
      <x:c r="D269" s="21" t="str">
        <x:v>F23-I2 structure</x:v>
      </x:c>
      <x:c r="E269" s="21" t="n">
        <x:f>IF(AND('Program Register'!L96=Assumptions!C9,'Program Register'!M96=Assumptions!C11),1,0)</x:f>
        <x:v>1</x:v>
      </x:c>
      <x:c r="F269" s="21" t="n">
        <x:v>1</x:v>
      </x:c>
      <x:c r="G269" s="23" t="str">
        <x:f>IF(E269=F269,"PASS","FAIL")</x:f>
        <x:v>PASS</x:v>
      </x:c>
    </x:row>
    <x:row r="270">
      <x:c r="B270" s="21" t="str">
        <x:v>A00264</x:v>
      </x:c>
      <x:c r="C270" s="21" t="str">
        <x:v>program</x:v>
      </x:c>
      <x:c r="D270" s="21" t="str">
        <x:v>F23-I2 capital ledger</x:v>
      </x:c>
      <x:c r="E270" s="21" t="n">
        <x:f>IF(ABS(SUM('Artifact Ledger'!K897:K906)-'Program Register'!K96)&lt;0.000001,1,0)</x:f>
        <x:v>1</x:v>
      </x:c>
      <x:c r="F270" s="21" t="n">
        <x:v>1</x:v>
      </x:c>
      <x:c r="G270" s="23" t="str">
        <x:f>IF(E270=F270,"PASS","FAIL")</x:f>
        <x:v>PASS</x:v>
      </x:c>
    </x:row>
    <x:row r="271">
      <x:c r="B271" s="21" t="str">
        <x:v>A00265</x:v>
      </x:c>
      <x:c r="C271" s="21" t="str">
        <x:v>program</x:v>
      </x:c>
      <x:c r="D271" s="21" t="str">
        <x:v>F23-I3 structure</x:v>
      </x:c>
      <x:c r="E271" s="21" t="n">
        <x:f>IF(AND('Program Register'!L97=Assumptions!C9,'Program Register'!M97=Assumptions!C11),1,0)</x:f>
        <x:v>1</x:v>
      </x:c>
      <x:c r="F271" s="21" t="n">
        <x:v>1</x:v>
      </x:c>
      <x:c r="G271" s="23" t="str">
        <x:f>IF(E271=F271,"PASS","FAIL")</x:f>
        <x:v>PASS</x:v>
      </x:c>
    </x:row>
    <x:row r="272">
      <x:c r="B272" s="21" t="str">
        <x:v>A00266</x:v>
      </x:c>
      <x:c r="C272" s="21" t="str">
        <x:v>program</x:v>
      </x:c>
      <x:c r="D272" s="21" t="str">
        <x:v>F23-I3 capital ledger</x:v>
      </x:c>
      <x:c r="E272" s="21" t="n">
        <x:f>IF(ABS(SUM('Artifact Ledger'!K907:K916)-'Program Register'!K97)&lt;0.000001,1,0)</x:f>
        <x:v>1</x:v>
      </x:c>
      <x:c r="F272" s="21" t="n">
        <x:v>1</x:v>
      </x:c>
      <x:c r="G272" s="23" t="str">
        <x:f>IF(E272=F272,"PASS","FAIL")</x:f>
        <x:v>PASS</x:v>
      </x:c>
    </x:row>
    <x:row r="273">
      <x:c r="B273" s="21" t="str">
        <x:v>A00267</x:v>
      </x:c>
      <x:c r="C273" s="21" t="str">
        <x:v>program</x:v>
      </x:c>
      <x:c r="D273" s="21" t="str">
        <x:v>F23-I4 structure</x:v>
      </x:c>
      <x:c r="E273" s="21" t="n">
        <x:f>IF(AND('Program Register'!L98=Assumptions!C9,'Program Register'!M98=Assumptions!C11),1,0)</x:f>
        <x:v>1</x:v>
      </x:c>
      <x:c r="F273" s="21" t="n">
        <x:v>1</x:v>
      </x:c>
      <x:c r="G273" s="23" t="str">
        <x:f>IF(E273=F273,"PASS","FAIL")</x:f>
        <x:v>PASS</x:v>
      </x:c>
    </x:row>
    <x:row r="274">
      <x:c r="B274" s="21" t="str">
        <x:v>A00268</x:v>
      </x:c>
      <x:c r="C274" s="21" t="str">
        <x:v>program</x:v>
      </x:c>
      <x:c r="D274" s="21" t="str">
        <x:v>F23-I4 capital ledger</x:v>
      </x:c>
      <x:c r="E274" s="21" t="n">
        <x:f>IF(ABS(SUM('Artifact Ledger'!K917:K926)-'Program Register'!K98)&lt;0.000001,1,0)</x:f>
        <x:v>1</x:v>
      </x:c>
      <x:c r="F274" s="21" t="n">
        <x:v>1</x:v>
      </x:c>
      <x:c r="G274" s="23" t="str">
        <x:f>IF(E274=F274,"PASS","FAIL")</x:f>
        <x:v>PASS</x:v>
      </x:c>
    </x:row>
    <x:row r="275">
      <x:c r="B275" s="21" t="str">
        <x:v>A00269</x:v>
      </x:c>
      <x:c r="C275" s="21" t="str">
        <x:v>program</x:v>
      </x:c>
      <x:c r="D275" s="21" t="str">
        <x:v>F24-I1 structure</x:v>
      </x:c>
      <x:c r="E275" s="21" t="n">
        <x:f>IF(AND('Program Register'!L99=Assumptions!C9,'Program Register'!M99=Assumptions!C11),1,0)</x:f>
        <x:v>1</x:v>
      </x:c>
      <x:c r="F275" s="21" t="n">
        <x:v>1</x:v>
      </x:c>
      <x:c r="G275" s="23" t="str">
        <x:f>IF(E275=F275,"PASS","FAIL")</x:f>
        <x:v>PASS</x:v>
      </x:c>
    </x:row>
    <x:row r="276">
      <x:c r="B276" s="21" t="str">
        <x:v>A00270</x:v>
      </x:c>
      <x:c r="C276" s="21" t="str">
        <x:v>program</x:v>
      </x:c>
      <x:c r="D276" s="21" t="str">
        <x:v>F24-I1 capital ledger</x:v>
      </x:c>
      <x:c r="E276" s="21" t="n">
        <x:f>IF(ABS(SUM('Artifact Ledger'!K927:K936)-'Program Register'!K99)&lt;0.000001,1,0)</x:f>
        <x:v>1</x:v>
      </x:c>
      <x:c r="F276" s="21" t="n">
        <x:v>1</x:v>
      </x:c>
      <x:c r="G276" s="23" t="str">
        <x:f>IF(E276=F276,"PASS","FAIL")</x:f>
        <x:v>PASS</x:v>
      </x:c>
    </x:row>
    <x:row r="277">
      <x:c r="B277" s="21" t="str">
        <x:v>A00271</x:v>
      </x:c>
      <x:c r="C277" s="21" t="str">
        <x:v>program</x:v>
      </x:c>
      <x:c r="D277" s="21" t="str">
        <x:v>F24-I2 structure</x:v>
      </x:c>
      <x:c r="E277" s="21" t="n">
        <x:f>IF(AND('Program Register'!L100=Assumptions!C9,'Program Register'!M100=Assumptions!C11),1,0)</x:f>
        <x:v>1</x:v>
      </x:c>
      <x:c r="F277" s="21" t="n">
        <x:v>1</x:v>
      </x:c>
      <x:c r="G277" s="23" t="str">
        <x:f>IF(E277=F277,"PASS","FAIL")</x:f>
        <x:v>PASS</x:v>
      </x:c>
    </x:row>
    <x:row r="278">
      <x:c r="B278" s="21" t="str">
        <x:v>A00272</x:v>
      </x:c>
      <x:c r="C278" s="21" t="str">
        <x:v>program</x:v>
      </x:c>
      <x:c r="D278" s="21" t="str">
        <x:v>F24-I2 capital ledger</x:v>
      </x:c>
      <x:c r="E278" s="21" t="n">
        <x:f>IF(ABS(SUM('Artifact Ledger'!K937:K946)-'Program Register'!K100)&lt;0.000001,1,0)</x:f>
        <x:v>1</x:v>
      </x:c>
      <x:c r="F278" s="21" t="n">
        <x:v>1</x:v>
      </x:c>
      <x:c r="G278" s="23" t="str">
        <x:f>IF(E278=F278,"PASS","FAIL")</x:f>
        <x:v>PASS</x:v>
      </x:c>
    </x:row>
    <x:row r="279">
      <x:c r="B279" s="21" t="str">
        <x:v>A00273</x:v>
      </x:c>
      <x:c r="C279" s="21" t="str">
        <x:v>program</x:v>
      </x:c>
      <x:c r="D279" s="21" t="str">
        <x:v>F24-I3 structure</x:v>
      </x:c>
      <x:c r="E279" s="21" t="n">
        <x:f>IF(AND('Program Register'!L101=Assumptions!C9,'Program Register'!M101=Assumptions!C11),1,0)</x:f>
        <x:v>1</x:v>
      </x:c>
      <x:c r="F279" s="21" t="n">
        <x:v>1</x:v>
      </x:c>
      <x:c r="G279" s="23" t="str">
        <x:f>IF(E279=F279,"PASS","FAIL")</x:f>
        <x:v>PASS</x:v>
      </x:c>
    </x:row>
    <x:row r="280">
      <x:c r="B280" s="21" t="str">
        <x:v>A00274</x:v>
      </x:c>
      <x:c r="C280" s="21" t="str">
        <x:v>program</x:v>
      </x:c>
      <x:c r="D280" s="21" t="str">
        <x:v>F24-I3 capital ledger</x:v>
      </x:c>
      <x:c r="E280" s="21" t="n">
        <x:f>IF(ABS(SUM('Artifact Ledger'!K947:K956)-'Program Register'!K101)&lt;0.000001,1,0)</x:f>
        <x:v>1</x:v>
      </x:c>
      <x:c r="F280" s="21" t="n">
        <x:v>1</x:v>
      </x:c>
      <x:c r="G280" s="23" t="str">
        <x:f>IF(E280=F280,"PASS","FAIL")</x:f>
        <x:v>PASS</x:v>
      </x:c>
    </x:row>
    <x:row r="281">
      <x:c r="B281" s="21" t="str">
        <x:v>A00275</x:v>
      </x:c>
      <x:c r="C281" s="21" t="str">
        <x:v>program</x:v>
      </x:c>
      <x:c r="D281" s="21" t="str">
        <x:v>F24-I4 structure</x:v>
      </x:c>
      <x:c r="E281" s="21" t="n">
        <x:f>IF(AND('Program Register'!L102=Assumptions!C9,'Program Register'!M102=Assumptions!C11),1,0)</x:f>
        <x:v>1</x:v>
      </x:c>
      <x:c r="F281" s="21" t="n">
        <x:v>1</x:v>
      </x:c>
      <x:c r="G281" s="23" t="str">
        <x:f>IF(E281=F281,"PASS","FAIL")</x:f>
        <x:v>PASS</x:v>
      </x:c>
    </x:row>
    <x:row r="282">
      <x:c r="B282" s="21" t="str">
        <x:v>A00276</x:v>
      </x:c>
      <x:c r="C282" s="21" t="str">
        <x:v>program</x:v>
      </x:c>
      <x:c r="D282" s="21" t="str">
        <x:v>F24-I4 capital ledger</x:v>
      </x:c>
      <x:c r="E282" s="21" t="n">
        <x:f>IF(ABS(SUM('Artifact Ledger'!K957:K966)-'Program Register'!K102)&lt;0.000001,1,0)</x:f>
        <x:v>1</x:v>
      </x:c>
      <x:c r="F282" s="21" t="n">
        <x:v>1</x:v>
      </x:c>
      <x:c r="G282" s="23" t="str">
        <x:f>IF(E282=F282,"PASS","FAIL")</x:f>
        <x:v>PASS</x:v>
      </x:c>
    </x:row>
    <x:row r="283">
      <x:c r="B283" s="21" t="str">
        <x:v>A00277</x:v>
      </x:c>
      <x:c r="C283" s="21" t="str">
        <x:v>program</x:v>
      </x:c>
      <x:c r="D283" s="21" t="str">
        <x:v>F25-I1 structure</x:v>
      </x:c>
      <x:c r="E283" s="21" t="n">
        <x:f>IF(AND('Program Register'!L103=Assumptions!C9,'Program Register'!M103=Assumptions!C11),1,0)</x:f>
        <x:v>1</x:v>
      </x:c>
      <x:c r="F283" s="21" t="n">
        <x:v>1</x:v>
      </x:c>
      <x:c r="G283" s="23" t="str">
        <x:f>IF(E283=F283,"PASS","FAIL")</x:f>
        <x:v>PASS</x:v>
      </x:c>
    </x:row>
    <x:row r="284">
      <x:c r="B284" s="21" t="str">
        <x:v>A00278</x:v>
      </x:c>
      <x:c r="C284" s="21" t="str">
        <x:v>program</x:v>
      </x:c>
      <x:c r="D284" s="21" t="str">
        <x:v>F25-I1 capital ledger</x:v>
      </x:c>
      <x:c r="E284" s="21" t="n">
        <x:f>IF(ABS(SUM('Artifact Ledger'!K967:K976)-'Program Register'!K103)&lt;0.000001,1,0)</x:f>
        <x:v>1</x:v>
      </x:c>
      <x:c r="F284" s="21" t="n">
        <x:v>1</x:v>
      </x:c>
      <x:c r="G284" s="23" t="str">
        <x:f>IF(E284=F284,"PASS","FAIL")</x:f>
        <x:v>PASS</x:v>
      </x:c>
    </x:row>
    <x:row r="285">
      <x:c r="B285" s="21" t="str">
        <x:v>A00279</x:v>
      </x:c>
      <x:c r="C285" s="21" t="str">
        <x:v>program</x:v>
      </x:c>
      <x:c r="D285" s="21" t="str">
        <x:v>F25-I2 structure</x:v>
      </x:c>
      <x:c r="E285" s="21" t="n">
        <x:f>IF(AND('Program Register'!L104=Assumptions!C9,'Program Register'!M104=Assumptions!C11),1,0)</x:f>
        <x:v>1</x:v>
      </x:c>
      <x:c r="F285" s="21" t="n">
        <x:v>1</x:v>
      </x:c>
      <x:c r="G285" s="23" t="str">
        <x:f>IF(E285=F285,"PASS","FAIL")</x:f>
        <x:v>PASS</x:v>
      </x:c>
    </x:row>
    <x:row r="286">
      <x:c r="B286" s="21" t="str">
        <x:v>A00280</x:v>
      </x:c>
      <x:c r="C286" s="21" t="str">
        <x:v>program</x:v>
      </x:c>
      <x:c r="D286" s="21" t="str">
        <x:v>F25-I2 capital ledger</x:v>
      </x:c>
      <x:c r="E286" s="21" t="n">
        <x:f>IF(ABS(SUM('Artifact Ledger'!K977:K986)-'Program Register'!K104)&lt;0.000001,1,0)</x:f>
        <x:v>1</x:v>
      </x:c>
      <x:c r="F286" s="21" t="n">
        <x:v>1</x:v>
      </x:c>
      <x:c r="G286" s="23" t="str">
        <x:f>IF(E286=F286,"PASS","FAIL")</x:f>
        <x:v>PASS</x:v>
      </x:c>
    </x:row>
    <x:row r="287">
      <x:c r="B287" s="21" t="str">
        <x:v>A00281</x:v>
      </x:c>
      <x:c r="C287" s="21" t="str">
        <x:v>program</x:v>
      </x:c>
      <x:c r="D287" s="21" t="str">
        <x:v>F25-I3 structure</x:v>
      </x:c>
      <x:c r="E287" s="21" t="n">
        <x:f>IF(AND('Program Register'!L105=Assumptions!C9,'Program Register'!M105=Assumptions!C11),1,0)</x:f>
        <x:v>1</x:v>
      </x:c>
      <x:c r="F287" s="21" t="n">
        <x:v>1</x:v>
      </x:c>
      <x:c r="G287" s="23" t="str">
        <x:f>IF(E287=F287,"PASS","FAIL")</x:f>
        <x:v>PASS</x:v>
      </x:c>
    </x:row>
    <x:row r="288">
      <x:c r="B288" s="21" t="str">
        <x:v>A00282</x:v>
      </x:c>
      <x:c r="C288" s="21" t="str">
        <x:v>program</x:v>
      </x:c>
      <x:c r="D288" s="21" t="str">
        <x:v>F25-I3 capital ledger</x:v>
      </x:c>
      <x:c r="E288" s="21" t="n">
        <x:f>IF(ABS(SUM('Artifact Ledger'!K987:K996)-'Program Register'!K105)&lt;0.000001,1,0)</x:f>
        <x:v>1</x:v>
      </x:c>
      <x:c r="F288" s="21" t="n">
        <x:v>1</x:v>
      </x:c>
      <x:c r="G288" s="23" t="str">
        <x:f>IF(E288=F288,"PASS","FAIL")</x:f>
        <x:v>PASS</x:v>
      </x:c>
    </x:row>
    <x:row r="289">
      <x:c r="B289" s="21" t="str">
        <x:v>A00283</x:v>
      </x:c>
      <x:c r="C289" s="21" t="str">
        <x:v>program</x:v>
      </x:c>
      <x:c r="D289" s="21" t="str">
        <x:v>F25-I4 structure</x:v>
      </x:c>
      <x:c r="E289" s="21" t="n">
        <x:f>IF(AND('Program Register'!L106=Assumptions!C9,'Program Register'!M106=Assumptions!C11),1,0)</x:f>
        <x:v>1</x:v>
      </x:c>
      <x:c r="F289" s="21" t="n">
        <x:v>1</x:v>
      </x:c>
      <x:c r="G289" s="23" t="str">
        <x:f>IF(E289=F289,"PASS","FAIL")</x:f>
        <x:v>PASS</x:v>
      </x:c>
    </x:row>
    <x:row r="290">
      <x:c r="B290" s="21" t="str">
        <x:v>A00284</x:v>
      </x:c>
      <x:c r="C290" s="21" t="str">
        <x:v>program</x:v>
      </x:c>
      <x:c r="D290" s="21" t="str">
        <x:v>F25-I4 capital ledger</x:v>
      </x:c>
      <x:c r="E290" s="21" t="n">
        <x:f>IF(ABS(SUM('Artifact Ledger'!K997:K1006)-'Program Register'!K106)&lt;0.000001,1,0)</x:f>
        <x:v>1</x:v>
      </x:c>
      <x:c r="F290" s="21" t="n">
        <x:v>1</x:v>
      </x:c>
      <x:c r="G290" s="23" t="str">
        <x:f>IF(E290=F290,"PASS","FAIL")</x:f>
        <x:v>PASS</x:v>
      </x:c>
    </x:row>
    <x:row r="291">
      <x:c r="B291" s="21" t="str">
        <x:v>A00285</x:v>
      </x:c>
      <x:c r="C291" s="21" t="str">
        <x:v>program</x:v>
      </x:c>
      <x:c r="D291" s="21" t="str">
        <x:v>F26-I1 structure</x:v>
      </x:c>
      <x:c r="E291" s="21" t="n">
        <x:f>IF(AND('Program Register'!L107=Assumptions!C9,'Program Register'!M107=Assumptions!C11),1,0)</x:f>
        <x:v>1</x:v>
      </x:c>
      <x:c r="F291" s="21" t="n">
        <x:v>1</x:v>
      </x:c>
      <x:c r="G291" s="23" t="str">
        <x:f>IF(E291=F291,"PASS","FAIL")</x:f>
        <x:v>PASS</x:v>
      </x:c>
    </x:row>
    <x:row r="292">
      <x:c r="B292" s="21" t="str">
        <x:v>A00286</x:v>
      </x:c>
      <x:c r="C292" s="21" t="str">
        <x:v>program</x:v>
      </x:c>
      <x:c r="D292" s="21" t="str">
        <x:v>F26-I1 capital ledger</x:v>
      </x:c>
      <x:c r="E292" s="21" t="n">
        <x:f>IF(ABS(SUM('Artifact Ledger'!K1007:K1016)-'Program Register'!K107)&lt;0.000001,1,0)</x:f>
        <x:v>1</x:v>
      </x:c>
      <x:c r="F292" s="21" t="n">
        <x:v>1</x:v>
      </x:c>
      <x:c r="G292" s="23" t="str">
        <x:f>IF(E292=F292,"PASS","FAIL")</x:f>
        <x:v>PASS</x:v>
      </x:c>
    </x:row>
    <x:row r="293">
      <x:c r="B293" s="21" t="str">
        <x:v>A00287</x:v>
      </x:c>
      <x:c r="C293" s="21" t="str">
        <x:v>program</x:v>
      </x:c>
      <x:c r="D293" s="21" t="str">
        <x:v>F26-I2 structure</x:v>
      </x:c>
      <x:c r="E293" s="21" t="n">
        <x:f>IF(AND('Program Register'!L108=Assumptions!C9,'Program Register'!M108=Assumptions!C11),1,0)</x:f>
        <x:v>1</x:v>
      </x:c>
      <x:c r="F293" s="21" t="n">
        <x:v>1</x:v>
      </x:c>
      <x:c r="G293" s="23" t="str">
        <x:f>IF(E293=F293,"PASS","FAIL")</x:f>
        <x:v>PASS</x:v>
      </x:c>
    </x:row>
    <x:row r="294">
      <x:c r="B294" s="21" t="str">
        <x:v>A00288</x:v>
      </x:c>
      <x:c r="C294" s="21" t="str">
        <x:v>program</x:v>
      </x:c>
      <x:c r="D294" s="21" t="str">
        <x:v>F26-I2 capital ledger</x:v>
      </x:c>
      <x:c r="E294" s="21" t="n">
        <x:f>IF(ABS(SUM('Artifact Ledger'!K1017:K1026)-'Program Register'!K108)&lt;0.000001,1,0)</x:f>
        <x:v>1</x:v>
      </x:c>
      <x:c r="F294" s="21" t="n">
        <x:v>1</x:v>
      </x:c>
      <x:c r="G294" s="23" t="str">
        <x:f>IF(E294=F294,"PASS","FAIL")</x:f>
        <x:v>PASS</x:v>
      </x:c>
    </x:row>
    <x:row r="295">
      <x:c r="B295" s="21" t="str">
        <x:v>A00289</x:v>
      </x:c>
      <x:c r="C295" s="21" t="str">
        <x:v>program</x:v>
      </x:c>
      <x:c r="D295" s="21" t="str">
        <x:v>F26-I3 structure</x:v>
      </x:c>
      <x:c r="E295" s="21" t="n">
        <x:f>IF(AND('Program Register'!L109=Assumptions!C9,'Program Register'!M109=Assumptions!C11),1,0)</x:f>
        <x:v>1</x:v>
      </x:c>
      <x:c r="F295" s="21" t="n">
        <x:v>1</x:v>
      </x:c>
      <x:c r="G295" s="23" t="str">
        <x:f>IF(E295=F295,"PASS","FAIL")</x:f>
        <x:v>PASS</x:v>
      </x:c>
    </x:row>
    <x:row r="296">
      <x:c r="B296" s="21" t="str">
        <x:v>A00290</x:v>
      </x:c>
      <x:c r="C296" s="21" t="str">
        <x:v>program</x:v>
      </x:c>
      <x:c r="D296" s="21" t="str">
        <x:v>F26-I3 capital ledger</x:v>
      </x:c>
      <x:c r="E296" s="21" t="n">
        <x:f>IF(ABS(SUM('Artifact Ledger'!K1027:K1036)-'Program Register'!K109)&lt;0.000001,1,0)</x:f>
        <x:v>1</x:v>
      </x:c>
      <x:c r="F296" s="21" t="n">
        <x:v>1</x:v>
      </x:c>
      <x:c r="G296" s="23" t="str">
        <x:f>IF(E296=F296,"PASS","FAIL")</x:f>
        <x:v>PASS</x:v>
      </x:c>
    </x:row>
    <x:row r="297">
      <x:c r="B297" s="21" t="str">
        <x:v>A00291</x:v>
      </x:c>
      <x:c r="C297" s="21" t="str">
        <x:v>program</x:v>
      </x:c>
      <x:c r="D297" s="21" t="str">
        <x:v>F26-I4 structure</x:v>
      </x:c>
      <x:c r="E297" s="21" t="n">
        <x:f>IF(AND('Program Register'!L110=Assumptions!C9,'Program Register'!M110=Assumptions!C11),1,0)</x:f>
        <x:v>1</x:v>
      </x:c>
      <x:c r="F297" s="21" t="n">
        <x:v>1</x:v>
      </x:c>
      <x:c r="G297" s="23" t="str">
        <x:f>IF(E297=F297,"PASS","FAIL")</x:f>
        <x:v>PASS</x:v>
      </x:c>
    </x:row>
    <x:row r="298">
      <x:c r="B298" s="21" t="str">
        <x:v>A00292</x:v>
      </x:c>
      <x:c r="C298" s="21" t="str">
        <x:v>program</x:v>
      </x:c>
      <x:c r="D298" s="21" t="str">
        <x:v>F26-I4 capital ledger</x:v>
      </x:c>
      <x:c r="E298" s="21" t="n">
        <x:f>IF(ABS(SUM('Artifact Ledger'!K1037:K1046)-'Program Register'!K110)&lt;0.000001,1,0)</x:f>
        <x:v>1</x:v>
      </x:c>
      <x:c r="F298" s="21" t="n">
        <x:v>1</x:v>
      </x:c>
      <x:c r="G298" s="23" t="str">
        <x:f>IF(E298=F298,"PASS","FAIL")</x:f>
        <x:v>PASS</x:v>
      </x:c>
    </x:row>
    <x:row r="299">
      <x:c r="B299" s="21" t="str">
        <x:v>A00293</x:v>
      </x:c>
      <x:c r="C299" s="21" t="str">
        <x:v>program</x:v>
      </x:c>
      <x:c r="D299" s="21" t="str">
        <x:v>F27-I1 structure</x:v>
      </x:c>
      <x:c r="E299" s="21" t="n">
        <x:f>IF(AND('Program Register'!L111=Assumptions!C9,'Program Register'!M111=Assumptions!C11),1,0)</x:f>
        <x:v>1</x:v>
      </x:c>
      <x:c r="F299" s="21" t="n">
        <x:v>1</x:v>
      </x:c>
      <x:c r="G299" s="23" t="str">
        <x:f>IF(E299=F299,"PASS","FAIL")</x:f>
        <x:v>PASS</x:v>
      </x:c>
    </x:row>
    <x:row r="300">
      <x:c r="B300" s="21" t="str">
        <x:v>A00294</x:v>
      </x:c>
      <x:c r="C300" s="21" t="str">
        <x:v>program</x:v>
      </x:c>
      <x:c r="D300" s="21" t="str">
        <x:v>F27-I1 capital ledger</x:v>
      </x:c>
      <x:c r="E300" s="21" t="n">
        <x:f>IF(ABS(SUM('Artifact Ledger'!K1047:K1056)-'Program Register'!K111)&lt;0.000001,1,0)</x:f>
        <x:v>1</x:v>
      </x:c>
      <x:c r="F300" s="21" t="n">
        <x:v>1</x:v>
      </x:c>
      <x:c r="G300" s="23" t="str">
        <x:f>IF(E300=F300,"PASS","FAIL")</x:f>
        <x:v>PASS</x:v>
      </x:c>
    </x:row>
    <x:row r="301">
      <x:c r="B301" s="21" t="str">
        <x:v>A00295</x:v>
      </x:c>
      <x:c r="C301" s="21" t="str">
        <x:v>program</x:v>
      </x:c>
      <x:c r="D301" s="21" t="str">
        <x:v>F27-I2 structure</x:v>
      </x:c>
      <x:c r="E301" s="21" t="n">
        <x:f>IF(AND('Program Register'!L112=Assumptions!C9,'Program Register'!M112=Assumptions!C11),1,0)</x:f>
        <x:v>1</x:v>
      </x:c>
      <x:c r="F301" s="21" t="n">
        <x:v>1</x:v>
      </x:c>
      <x:c r="G301" s="23" t="str">
        <x:f>IF(E301=F301,"PASS","FAIL")</x:f>
        <x:v>PASS</x:v>
      </x:c>
    </x:row>
    <x:row r="302">
      <x:c r="B302" s="21" t="str">
        <x:v>A00296</x:v>
      </x:c>
      <x:c r="C302" s="21" t="str">
        <x:v>program</x:v>
      </x:c>
      <x:c r="D302" s="21" t="str">
        <x:v>F27-I2 capital ledger</x:v>
      </x:c>
      <x:c r="E302" s="21" t="n">
        <x:f>IF(ABS(SUM('Artifact Ledger'!K1057:K1066)-'Program Register'!K112)&lt;0.000001,1,0)</x:f>
        <x:v>1</x:v>
      </x:c>
      <x:c r="F302" s="21" t="n">
        <x:v>1</x:v>
      </x:c>
      <x:c r="G302" s="23" t="str">
        <x:f>IF(E302=F302,"PASS","FAIL")</x:f>
        <x:v>PASS</x:v>
      </x:c>
    </x:row>
    <x:row r="303">
      <x:c r="B303" s="21" t="str">
        <x:v>A00297</x:v>
      </x:c>
      <x:c r="C303" s="21" t="str">
        <x:v>program</x:v>
      </x:c>
      <x:c r="D303" s="21" t="str">
        <x:v>F27-I3 structure</x:v>
      </x:c>
      <x:c r="E303" s="21" t="n">
        <x:f>IF(AND('Program Register'!L113=Assumptions!C9,'Program Register'!M113=Assumptions!C11),1,0)</x:f>
        <x:v>1</x:v>
      </x:c>
      <x:c r="F303" s="21" t="n">
        <x:v>1</x:v>
      </x:c>
      <x:c r="G303" s="23" t="str">
        <x:f>IF(E303=F303,"PASS","FAIL")</x:f>
        <x:v>PASS</x:v>
      </x:c>
    </x:row>
    <x:row r="304">
      <x:c r="B304" s="21" t="str">
        <x:v>A00298</x:v>
      </x:c>
      <x:c r="C304" s="21" t="str">
        <x:v>program</x:v>
      </x:c>
      <x:c r="D304" s="21" t="str">
        <x:v>F27-I3 capital ledger</x:v>
      </x:c>
      <x:c r="E304" s="21" t="n">
        <x:f>IF(ABS(SUM('Artifact Ledger'!K1067:K1076)-'Program Register'!K113)&lt;0.000001,1,0)</x:f>
        <x:v>1</x:v>
      </x:c>
      <x:c r="F304" s="21" t="n">
        <x:v>1</x:v>
      </x:c>
      <x:c r="G304" s="23" t="str">
        <x:f>IF(E304=F304,"PASS","FAIL")</x:f>
        <x:v>PASS</x:v>
      </x:c>
    </x:row>
    <x:row r="305">
      <x:c r="B305" s="21" t="str">
        <x:v>A00299</x:v>
      </x:c>
      <x:c r="C305" s="21" t="str">
        <x:v>program</x:v>
      </x:c>
      <x:c r="D305" s="21" t="str">
        <x:v>F27-I4 structure</x:v>
      </x:c>
      <x:c r="E305" s="21" t="n">
        <x:f>IF(AND('Program Register'!L114=Assumptions!C9,'Program Register'!M114=Assumptions!C11),1,0)</x:f>
        <x:v>1</x:v>
      </x:c>
      <x:c r="F305" s="21" t="n">
        <x:v>1</x:v>
      </x:c>
      <x:c r="G305" s="23" t="str">
        <x:f>IF(E305=F305,"PASS","FAIL")</x:f>
        <x:v>PASS</x:v>
      </x:c>
    </x:row>
    <x:row r="306">
      <x:c r="B306" s="21" t="str">
        <x:v>A00300</x:v>
      </x:c>
      <x:c r="C306" s="21" t="str">
        <x:v>program</x:v>
      </x:c>
      <x:c r="D306" s="21" t="str">
        <x:v>F27-I4 capital ledger</x:v>
      </x:c>
      <x:c r="E306" s="21" t="n">
        <x:f>IF(ABS(SUM('Artifact Ledger'!K1077:K1086)-'Program Register'!K114)&lt;0.000001,1,0)</x:f>
        <x:v>1</x:v>
      </x:c>
      <x:c r="F306" s="21" t="n">
        <x:v>1</x:v>
      </x:c>
      <x:c r="G306" s="23" t="str">
        <x:f>IF(E306=F306,"PASS","FAIL")</x:f>
        <x:v>PASS</x:v>
      </x:c>
    </x:row>
    <x:row r="307">
      <x:c r="B307" s="21" t="str">
        <x:v>A00301</x:v>
      </x:c>
      <x:c r="C307" s="21" t="str">
        <x:v>program</x:v>
      </x:c>
      <x:c r="D307" s="21" t="str">
        <x:v>F28-I1 structure</x:v>
      </x:c>
      <x:c r="E307" s="21" t="n">
        <x:f>IF(AND('Program Register'!L115=Assumptions!C9,'Program Register'!M115=Assumptions!C11),1,0)</x:f>
        <x:v>1</x:v>
      </x:c>
      <x:c r="F307" s="21" t="n">
        <x:v>1</x:v>
      </x:c>
      <x:c r="G307" s="23" t="str">
        <x:f>IF(E307=F307,"PASS","FAIL")</x:f>
        <x:v>PASS</x:v>
      </x:c>
    </x:row>
    <x:row r="308">
      <x:c r="B308" s="21" t="str">
        <x:v>A00302</x:v>
      </x:c>
      <x:c r="C308" s="21" t="str">
        <x:v>program</x:v>
      </x:c>
      <x:c r="D308" s="21" t="str">
        <x:v>F28-I1 capital ledger</x:v>
      </x:c>
      <x:c r="E308" s="21" t="n">
        <x:f>IF(ABS(SUM('Artifact Ledger'!K1087:K1096)-'Program Register'!K115)&lt;0.000001,1,0)</x:f>
        <x:v>1</x:v>
      </x:c>
      <x:c r="F308" s="21" t="n">
        <x:v>1</x:v>
      </x:c>
      <x:c r="G308" s="23" t="str">
        <x:f>IF(E308=F308,"PASS","FAIL")</x:f>
        <x:v>PASS</x:v>
      </x:c>
    </x:row>
    <x:row r="309">
      <x:c r="B309" s="21" t="str">
        <x:v>A00303</x:v>
      </x:c>
      <x:c r="C309" s="21" t="str">
        <x:v>program</x:v>
      </x:c>
      <x:c r="D309" s="21" t="str">
        <x:v>F28-I2 structure</x:v>
      </x:c>
      <x:c r="E309" s="21" t="n">
        <x:f>IF(AND('Program Register'!L116=Assumptions!C9,'Program Register'!M116=Assumptions!C11),1,0)</x:f>
        <x:v>1</x:v>
      </x:c>
      <x:c r="F309" s="21" t="n">
        <x:v>1</x:v>
      </x:c>
      <x:c r="G309" s="23" t="str">
        <x:f>IF(E309=F309,"PASS","FAIL")</x:f>
        <x:v>PASS</x:v>
      </x:c>
    </x:row>
    <x:row r="310">
      <x:c r="B310" s="21" t="str">
        <x:v>A00304</x:v>
      </x:c>
      <x:c r="C310" s="21" t="str">
        <x:v>program</x:v>
      </x:c>
      <x:c r="D310" s="21" t="str">
        <x:v>F28-I2 capital ledger</x:v>
      </x:c>
      <x:c r="E310" s="21" t="n">
        <x:f>IF(ABS(SUM('Artifact Ledger'!K1097:K1106)-'Program Register'!K116)&lt;0.000001,1,0)</x:f>
        <x:v>1</x:v>
      </x:c>
      <x:c r="F310" s="21" t="n">
        <x:v>1</x:v>
      </x:c>
      <x:c r="G310" s="23" t="str">
        <x:f>IF(E310=F310,"PASS","FAIL")</x:f>
        <x:v>PASS</x:v>
      </x:c>
    </x:row>
    <x:row r="311">
      <x:c r="B311" s="21" t="str">
        <x:v>A00305</x:v>
      </x:c>
      <x:c r="C311" s="21" t="str">
        <x:v>program</x:v>
      </x:c>
      <x:c r="D311" s="21" t="str">
        <x:v>F28-I3 structure</x:v>
      </x:c>
      <x:c r="E311" s="21" t="n">
        <x:f>IF(AND('Program Register'!L117=Assumptions!C9,'Program Register'!M117=Assumptions!C11),1,0)</x:f>
        <x:v>1</x:v>
      </x:c>
      <x:c r="F311" s="21" t="n">
        <x:v>1</x:v>
      </x:c>
      <x:c r="G311" s="23" t="str">
        <x:f>IF(E311=F311,"PASS","FAIL")</x:f>
        <x:v>PASS</x:v>
      </x:c>
    </x:row>
    <x:row r="312">
      <x:c r="B312" s="21" t="str">
        <x:v>A00306</x:v>
      </x:c>
      <x:c r="C312" s="21" t="str">
        <x:v>program</x:v>
      </x:c>
      <x:c r="D312" s="21" t="str">
        <x:v>F28-I3 capital ledger</x:v>
      </x:c>
      <x:c r="E312" s="21" t="n">
        <x:f>IF(ABS(SUM('Artifact Ledger'!K1107:K1116)-'Program Register'!K117)&lt;0.000001,1,0)</x:f>
        <x:v>1</x:v>
      </x:c>
      <x:c r="F312" s="21" t="n">
        <x:v>1</x:v>
      </x:c>
      <x:c r="G312" s="23" t="str">
        <x:f>IF(E312=F312,"PASS","FAIL")</x:f>
        <x:v>PASS</x:v>
      </x:c>
    </x:row>
    <x:row r="313">
      <x:c r="B313" s="21" t="str">
        <x:v>A00307</x:v>
      </x:c>
      <x:c r="C313" s="21" t="str">
        <x:v>program</x:v>
      </x:c>
      <x:c r="D313" s="21" t="str">
        <x:v>F28-I4 structure</x:v>
      </x:c>
      <x:c r="E313" s="21" t="n">
        <x:f>IF(AND('Program Register'!L118=Assumptions!C9,'Program Register'!M118=Assumptions!C11),1,0)</x:f>
        <x:v>1</x:v>
      </x:c>
      <x:c r="F313" s="21" t="n">
        <x:v>1</x:v>
      </x:c>
      <x:c r="G313" s="23" t="str">
        <x:f>IF(E313=F313,"PASS","FAIL")</x:f>
        <x:v>PASS</x:v>
      </x:c>
    </x:row>
    <x:row r="314">
      <x:c r="B314" s="21" t="str">
        <x:v>A00308</x:v>
      </x:c>
      <x:c r="C314" s="21" t="str">
        <x:v>program</x:v>
      </x:c>
      <x:c r="D314" s="21" t="str">
        <x:v>F28-I4 capital ledger</x:v>
      </x:c>
      <x:c r="E314" s="21" t="n">
        <x:f>IF(ABS(SUM('Artifact Ledger'!K1117:K1126)-'Program Register'!K118)&lt;0.000001,1,0)</x:f>
        <x:v>1</x:v>
      </x:c>
      <x:c r="F314" s="21" t="n">
        <x:v>1</x:v>
      </x:c>
      <x:c r="G314" s="23" t="str">
        <x:f>IF(E314=F314,"PASS","FAIL")</x:f>
        <x:v>PASS</x:v>
      </x:c>
    </x:row>
    <x:row r="315">
      <x:c r="B315" s="21" t="str">
        <x:v>A00309</x:v>
      </x:c>
      <x:c r="C315" s="21" t="str">
        <x:v>program</x:v>
      </x:c>
      <x:c r="D315" s="21" t="str">
        <x:v>F29-I1 structure</x:v>
      </x:c>
      <x:c r="E315" s="21" t="n">
        <x:f>IF(AND('Program Register'!L119=Assumptions!C9,'Program Register'!M119=Assumptions!C11),1,0)</x:f>
        <x:v>1</x:v>
      </x:c>
      <x:c r="F315" s="21" t="n">
        <x:v>1</x:v>
      </x:c>
      <x:c r="G315" s="23" t="str">
        <x:f>IF(E315=F315,"PASS","FAIL")</x:f>
        <x:v>PASS</x:v>
      </x:c>
    </x:row>
    <x:row r="316">
      <x:c r="B316" s="21" t="str">
        <x:v>A00310</x:v>
      </x:c>
      <x:c r="C316" s="21" t="str">
        <x:v>program</x:v>
      </x:c>
      <x:c r="D316" s="21" t="str">
        <x:v>F29-I1 capital ledger</x:v>
      </x:c>
      <x:c r="E316" s="21" t="n">
        <x:f>IF(ABS(SUM('Artifact Ledger'!K1127:K1136)-'Program Register'!K119)&lt;0.000001,1,0)</x:f>
        <x:v>1</x:v>
      </x:c>
      <x:c r="F316" s="21" t="n">
        <x:v>1</x:v>
      </x:c>
      <x:c r="G316" s="23" t="str">
        <x:f>IF(E316=F316,"PASS","FAIL")</x:f>
        <x:v>PASS</x:v>
      </x:c>
    </x:row>
    <x:row r="317">
      <x:c r="B317" s="21" t="str">
        <x:v>A00311</x:v>
      </x:c>
      <x:c r="C317" s="21" t="str">
        <x:v>program</x:v>
      </x:c>
      <x:c r="D317" s="21" t="str">
        <x:v>F29-I2 structure</x:v>
      </x:c>
      <x:c r="E317" s="21" t="n">
        <x:f>IF(AND('Program Register'!L120=Assumptions!C9,'Program Register'!M120=Assumptions!C11),1,0)</x:f>
        <x:v>1</x:v>
      </x:c>
      <x:c r="F317" s="21" t="n">
        <x:v>1</x:v>
      </x:c>
      <x:c r="G317" s="23" t="str">
        <x:f>IF(E317=F317,"PASS","FAIL")</x:f>
        <x:v>PASS</x:v>
      </x:c>
    </x:row>
    <x:row r="318">
      <x:c r="B318" s="21" t="str">
        <x:v>A00312</x:v>
      </x:c>
      <x:c r="C318" s="21" t="str">
        <x:v>program</x:v>
      </x:c>
      <x:c r="D318" s="21" t="str">
        <x:v>F29-I2 capital ledger</x:v>
      </x:c>
      <x:c r="E318" s="21" t="n">
        <x:f>IF(ABS(SUM('Artifact Ledger'!K1137:K1146)-'Program Register'!K120)&lt;0.000001,1,0)</x:f>
        <x:v>1</x:v>
      </x:c>
      <x:c r="F318" s="21" t="n">
        <x:v>1</x:v>
      </x:c>
      <x:c r="G318" s="23" t="str">
        <x:f>IF(E318=F318,"PASS","FAIL")</x:f>
        <x:v>PASS</x:v>
      </x:c>
    </x:row>
    <x:row r="319">
      <x:c r="B319" s="21" t="str">
        <x:v>A00313</x:v>
      </x:c>
      <x:c r="C319" s="21" t="str">
        <x:v>program</x:v>
      </x:c>
      <x:c r="D319" s="21" t="str">
        <x:v>F29-I3 structure</x:v>
      </x:c>
      <x:c r="E319" s="21" t="n">
        <x:f>IF(AND('Program Register'!L121=Assumptions!C9,'Program Register'!M121=Assumptions!C11),1,0)</x:f>
        <x:v>1</x:v>
      </x:c>
      <x:c r="F319" s="21" t="n">
        <x:v>1</x:v>
      </x:c>
      <x:c r="G319" s="23" t="str">
        <x:f>IF(E319=F319,"PASS","FAIL")</x:f>
        <x:v>PASS</x:v>
      </x:c>
    </x:row>
    <x:row r="320">
      <x:c r="B320" s="21" t="str">
        <x:v>A00314</x:v>
      </x:c>
      <x:c r="C320" s="21" t="str">
        <x:v>program</x:v>
      </x:c>
      <x:c r="D320" s="21" t="str">
        <x:v>F29-I3 capital ledger</x:v>
      </x:c>
      <x:c r="E320" s="21" t="n">
        <x:f>IF(ABS(SUM('Artifact Ledger'!K1147:K1156)-'Program Register'!K121)&lt;0.000001,1,0)</x:f>
        <x:v>1</x:v>
      </x:c>
      <x:c r="F320" s="21" t="n">
        <x:v>1</x:v>
      </x:c>
      <x:c r="G320" s="23" t="str">
        <x:f>IF(E320=F320,"PASS","FAIL")</x:f>
        <x:v>PASS</x:v>
      </x:c>
    </x:row>
    <x:row r="321">
      <x:c r="B321" s="21" t="str">
        <x:v>A00315</x:v>
      </x:c>
      <x:c r="C321" s="21" t="str">
        <x:v>program</x:v>
      </x:c>
      <x:c r="D321" s="21" t="str">
        <x:v>F29-I4 structure</x:v>
      </x:c>
      <x:c r="E321" s="21" t="n">
        <x:f>IF(AND('Program Register'!L122=Assumptions!C9,'Program Register'!M122=Assumptions!C11),1,0)</x:f>
        <x:v>1</x:v>
      </x:c>
      <x:c r="F321" s="21" t="n">
        <x:v>1</x:v>
      </x:c>
      <x:c r="G321" s="23" t="str">
        <x:f>IF(E321=F321,"PASS","FAIL")</x:f>
        <x:v>PASS</x:v>
      </x:c>
    </x:row>
    <x:row r="322">
      <x:c r="B322" s="21" t="str">
        <x:v>A00316</x:v>
      </x:c>
      <x:c r="C322" s="21" t="str">
        <x:v>program</x:v>
      </x:c>
      <x:c r="D322" s="21" t="str">
        <x:v>F29-I4 capital ledger</x:v>
      </x:c>
      <x:c r="E322" s="21" t="n">
        <x:f>IF(ABS(SUM('Artifact Ledger'!K1157:K1166)-'Program Register'!K122)&lt;0.000001,1,0)</x:f>
        <x:v>1</x:v>
      </x:c>
      <x:c r="F322" s="21" t="n">
        <x:v>1</x:v>
      </x:c>
      <x:c r="G322" s="23" t="str">
        <x:f>IF(E322=F322,"PASS","FAIL")</x:f>
        <x:v>PASS</x:v>
      </x:c>
    </x:row>
    <x:row r="323">
      <x:c r="B323" s="21" t="str">
        <x:v>A00317</x:v>
      </x:c>
      <x:c r="C323" s="21" t="str">
        <x:v>program</x:v>
      </x:c>
      <x:c r="D323" s="21" t="str">
        <x:v>F30-I1 structure</x:v>
      </x:c>
      <x:c r="E323" s="21" t="n">
        <x:f>IF(AND('Program Register'!L123=Assumptions!C9,'Program Register'!M123=Assumptions!C11),1,0)</x:f>
        <x:v>1</x:v>
      </x:c>
      <x:c r="F323" s="21" t="n">
        <x:v>1</x:v>
      </x:c>
      <x:c r="G323" s="23" t="str">
        <x:f>IF(E323=F323,"PASS","FAIL")</x:f>
        <x:v>PASS</x:v>
      </x:c>
    </x:row>
    <x:row r="324">
      <x:c r="B324" s="21" t="str">
        <x:v>A00318</x:v>
      </x:c>
      <x:c r="C324" s="21" t="str">
        <x:v>program</x:v>
      </x:c>
      <x:c r="D324" s="21" t="str">
        <x:v>F30-I1 capital ledger</x:v>
      </x:c>
      <x:c r="E324" s="21" t="n">
        <x:f>IF(ABS(SUM('Artifact Ledger'!K1167:K1176)-'Program Register'!K123)&lt;0.000001,1,0)</x:f>
        <x:v>1</x:v>
      </x:c>
      <x:c r="F324" s="21" t="n">
        <x:v>1</x:v>
      </x:c>
      <x:c r="G324" s="23" t="str">
        <x:f>IF(E324=F324,"PASS","FAIL")</x:f>
        <x:v>PASS</x:v>
      </x:c>
    </x:row>
    <x:row r="325">
      <x:c r="B325" s="21" t="str">
        <x:v>A00319</x:v>
      </x:c>
      <x:c r="C325" s="21" t="str">
        <x:v>program</x:v>
      </x:c>
      <x:c r="D325" s="21" t="str">
        <x:v>F30-I2 structure</x:v>
      </x:c>
      <x:c r="E325" s="21" t="n">
        <x:f>IF(AND('Program Register'!L124=Assumptions!C9,'Program Register'!M124=Assumptions!C11),1,0)</x:f>
        <x:v>1</x:v>
      </x:c>
      <x:c r="F325" s="21" t="n">
        <x:v>1</x:v>
      </x:c>
      <x:c r="G325" s="23" t="str">
        <x:f>IF(E325=F325,"PASS","FAIL")</x:f>
        <x:v>PASS</x:v>
      </x:c>
    </x:row>
    <x:row r="326">
      <x:c r="B326" s="21" t="str">
        <x:v>A00320</x:v>
      </x:c>
      <x:c r="C326" s="21" t="str">
        <x:v>program</x:v>
      </x:c>
      <x:c r="D326" s="21" t="str">
        <x:v>F30-I2 capital ledger</x:v>
      </x:c>
      <x:c r="E326" s="21" t="n">
        <x:f>IF(ABS(SUM('Artifact Ledger'!K1177:K1186)-'Program Register'!K124)&lt;0.000001,1,0)</x:f>
        <x:v>1</x:v>
      </x:c>
      <x:c r="F326" s="21" t="n">
        <x:v>1</x:v>
      </x:c>
      <x:c r="G326" s="23" t="str">
        <x:f>IF(E326=F326,"PASS","FAIL")</x:f>
        <x:v>PASS</x:v>
      </x:c>
    </x:row>
    <x:row r="327">
      <x:c r="B327" s="21" t="str">
        <x:v>A00321</x:v>
      </x:c>
      <x:c r="C327" s="21" t="str">
        <x:v>program</x:v>
      </x:c>
      <x:c r="D327" s="21" t="str">
        <x:v>F30-I3 structure</x:v>
      </x:c>
      <x:c r="E327" s="21" t="n">
        <x:f>IF(AND('Program Register'!L125=Assumptions!C9,'Program Register'!M125=Assumptions!C11),1,0)</x:f>
        <x:v>1</x:v>
      </x:c>
      <x:c r="F327" s="21" t="n">
        <x:v>1</x:v>
      </x:c>
      <x:c r="G327" s="23" t="str">
        <x:f>IF(E327=F327,"PASS","FAIL")</x:f>
        <x:v>PASS</x:v>
      </x:c>
    </x:row>
    <x:row r="328">
      <x:c r="B328" s="21" t="str">
        <x:v>A00322</x:v>
      </x:c>
      <x:c r="C328" s="21" t="str">
        <x:v>program</x:v>
      </x:c>
      <x:c r="D328" s="21" t="str">
        <x:v>F30-I3 capital ledger</x:v>
      </x:c>
      <x:c r="E328" s="21" t="n">
        <x:f>IF(ABS(SUM('Artifact Ledger'!K1187:K1196)-'Program Register'!K125)&lt;0.000001,1,0)</x:f>
        <x:v>1</x:v>
      </x:c>
      <x:c r="F328" s="21" t="n">
        <x:v>1</x:v>
      </x:c>
      <x:c r="G328" s="23" t="str">
        <x:f>IF(E328=F328,"PASS","FAIL")</x:f>
        <x:v>PASS</x:v>
      </x:c>
    </x:row>
    <x:row r="329">
      <x:c r="B329" s="21" t="str">
        <x:v>A00323</x:v>
      </x:c>
      <x:c r="C329" s="21" t="str">
        <x:v>program</x:v>
      </x:c>
      <x:c r="D329" s="21" t="str">
        <x:v>F30-I4 structure</x:v>
      </x:c>
      <x:c r="E329" s="21" t="n">
        <x:f>IF(AND('Program Register'!L126=Assumptions!C9,'Program Register'!M126=Assumptions!C11),1,0)</x:f>
        <x:v>1</x:v>
      </x:c>
      <x:c r="F329" s="21" t="n">
        <x:v>1</x:v>
      </x:c>
      <x:c r="G329" s="23" t="str">
        <x:f>IF(E329=F329,"PASS","FAIL")</x:f>
        <x:v>PASS</x:v>
      </x:c>
    </x:row>
    <x:row r="330">
      <x:c r="B330" s="21" t="str">
        <x:v>A00324</x:v>
      </x:c>
      <x:c r="C330" s="21" t="str">
        <x:v>program</x:v>
      </x:c>
      <x:c r="D330" s="21" t="str">
        <x:v>F30-I4 capital ledger</x:v>
      </x:c>
      <x:c r="E330" s="21" t="n">
        <x:f>IF(ABS(SUM('Artifact Ledger'!K1197:K1206)-'Program Register'!K126)&lt;0.000001,1,0)</x:f>
        <x:v>1</x:v>
      </x:c>
      <x:c r="F330" s="21" t="n">
        <x:v>1</x:v>
      </x:c>
      <x:c r="G330" s="23" t="str">
        <x:f>IF(E330=F330,"PASS","FAIL")</x:f>
        <x:v>PASS</x:v>
      </x:c>
    </x:row>
    <x:row r="331">
      <x:c r="B331" s="21" t="str">
        <x:v>A00325</x:v>
      </x:c>
      <x:c r="C331" s="21" t="str">
        <x:v>program</x:v>
      </x:c>
      <x:c r="D331" s="21" t="str">
        <x:v>F31-I1 structure</x:v>
      </x:c>
      <x:c r="E331" s="21" t="n">
        <x:f>IF(AND('Program Register'!L127=Assumptions!C9,'Program Register'!M127=Assumptions!C11),1,0)</x:f>
        <x:v>1</x:v>
      </x:c>
      <x:c r="F331" s="21" t="n">
        <x:v>1</x:v>
      </x:c>
      <x:c r="G331" s="23" t="str">
        <x:f>IF(E331=F331,"PASS","FAIL")</x:f>
        <x:v>PASS</x:v>
      </x:c>
    </x:row>
    <x:row r="332">
      <x:c r="B332" s="21" t="str">
        <x:v>A00326</x:v>
      </x:c>
      <x:c r="C332" s="21" t="str">
        <x:v>program</x:v>
      </x:c>
      <x:c r="D332" s="21" t="str">
        <x:v>F31-I1 capital ledger</x:v>
      </x:c>
      <x:c r="E332" s="21" t="n">
        <x:f>IF(ABS(SUM('Artifact Ledger'!K1207:K1216)-'Program Register'!K127)&lt;0.000001,1,0)</x:f>
        <x:v>1</x:v>
      </x:c>
      <x:c r="F332" s="21" t="n">
        <x:v>1</x:v>
      </x:c>
      <x:c r="G332" s="23" t="str">
        <x:f>IF(E332=F332,"PASS","FAIL")</x:f>
        <x:v>PASS</x:v>
      </x:c>
    </x:row>
    <x:row r="333">
      <x:c r="B333" s="21" t="str">
        <x:v>A00327</x:v>
      </x:c>
      <x:c r="C333" s="21" t="str">
        <x:v>program</x:v>
      </x:c>
      <x:c r="D333" s="21" t="str">
        <x:v>F31-I2 structure</x:v>
      </x:c>
      <x:c r="E333" s="21" t="n">
        <x:f>IF(AND('Program Register'!L128=Assumptions!C9,'Program Register'!M128=Assumptions!C11),1,0)</x:f>
        <x:v>1</x:v>
      </x:c>
      <x:c r="F333" s="21" t="n">
        <x:v>1</x:v>
      </x:c>
      <x:c r="G333" s="23" t="str">
        <x:f>IF(E333=F333,"PASS","FAIL")</x:f>
        <x:v>PASS</x:v>
      </x:c>
    </x:row>
    <x:row r="334">
      <x:c r="B334" s="21" t="str">
        <x:v>A00328</x:v>
      </x:c>
      <x:c r="C334" s="21" t="str">
        <x:v>program</x:v>
      </x:c>
      <x:c r="D334" s="21" t="str">
        <x:v>F31-I2 capital ledger</x:v>
      </x:c>
      <x:c r="E334" s="21" t="n">
        <x:f>IF(ABS(SUM('Artifact Ledger'!K1217:K1226)-'Program Register'!K128)&lt;0.000001,1,0)</x:f>
        <x:v>1</x:v>
      </x:c>
      <x:c r="F334" s="21" t="n">
        <x:v>1</x:v>
      </x:c>
      <x:c r="G334" s="23" t="str">
        <x:f>IF(E334=F334,"PASS","FAIL")</x:f>
        <x:v>PASS</x:v>
      </x:c>
    </x:row>
    <x:row r="335">
      <x:c r="B335" s="21" t="str">
        <x:v>A00329</x:v>
      </x:c>
      <x:c r="C335" s="21" t="str">
        <x:v>program</x:v>
      </x:c>
      <x:c r="D335" s="21" t="str">
        <x:v>F31-I3 structure</x:v>
      </x:c>
      <x:c r="E335" s="21" t="n">
        <x:f>IF(AND('Program Register'!L129=Assumptions!C9,'Program Register'!M129=Assumptions!C11),1,0)</x:f>
        <x:v>1</x:v>
      </x:c>
      <x:c r="F335" s="21" t="n">
        <x:v>1</x:v>
      </x:c>
      <x:c r="G335" s="23" t="str">
        <x:f>IF(E335=F335,"PASS","FAIL")</x:f>
        <x:v>PASS</x:v>
      </x:c>
    </x:row>
    <x:row r="336">
      <x:c r="B336" s="21" t="str">
        <x:v>A00330</x:v>
      </x:c>
      <x:c r="C336" s="21" t="str">
        <x:v>program</x:v>
      </x:c>
      <x:c r="D336" s="21" t="str">
        <x:v>F31-I3 capital ledger</x:v>
      </x:c>
      <x:c r="E336" s="21" t="n">
        <x:f>IF(ABS(SUM('Artifact Ledger'!K1227:K1236)-'Program Register'!K129)&lt;0.000001,1,0)</x:f>
        <x:v>1</x:v>
      </x:c>
      <x:c r="F336" s="21" t="n">
        <x:v>1</x:v>
      </x:c>
      <x:c r="G336" s="23" t="str">
        <x:f>IF(E336=F336,"PASS","FAIL")</x:f>
        <x:v>PASS</x:v>
      </x:c>
    </x:row>
    <x:row r="337">
      <x:c r="B337" s="21" t="str">
        <x:v>A00331</x:v>
      </x:c>
      <x:c r="C337" s="21" t="str">
        <x:v>program</x:v>
      </x:c>
      <x:c r="D337" s="21" t="str">
        <x:v>F31-I4 structure</x:v>
      </x:c>
      <x:c r="E337" s="21" t="n">
        <x:f>IF(AND('Program Register'!L130=Assumptions!C9,'Program Register'!M130=Assumptions!C11),1,0)</x:f>
        <x:v>1</x:v>
      </x:c>
      <x:c r="F337" s="21" t="n">
        <x:v>1</x:v>
      </x:c>
      <x:c r="G337" s="23" t="str">
        <x:f>IF(E337=F337,"PASS","FAIL")</x:f>
        <x:v>PASS</x:v>
      </x:c>
    </x:row>
    <x:row r="338">
      <x:c r="B338" s="21" t="str">
        <x:v>A00332</x:v>
      </x:c>
      <x:c r="C338" s="21" t="str">
        <x:v>program</x:v>
      </x:c>
      <x:c r="D338" s="21" t="str">
        <x:v>F31-I4 capital ledger</x:v>
      </x:c>
      <x:c r="E338" s="21" t="n">
        <x:f>IF(ABS(SUM('Artifact Ledger'!K1237:K1246)-'Program Register'!K130)&lt;0.000001,1,0)</x:f>
        <x:v>1</x:v>
      </x:c>
      <x:c r="F338" s="21" t="n">
        <x:v>1</x:v>
      </x:c>
      <x:c r="G338" s="23" t="str">
        <x:f>IF(E338=F338,"PASS","FAIL")</x:f>
        <x:v>PASS</x:v>
      </x:c>
    </x:row>
    <x:row r="339">
      <x:c r="B339" s="21" t="str">
        <x:v>A00333</x:v>
      </x:c>
      <x:c r="C339" s="21" t="str">
        <x:v>program</x:v>
      </x:c>
      <x:c r="D339" s="21" t="str">
        <x:v>F32-I1 structure</x:v>
      </x:c>
      <x:c r="E339" s="21" t="n">
        <x:f>IF(AND('Program Register'!L131=Assumptions!C9,'Program Register'!M131=Assumptions!C11),1,0)</x:f>
        <x:v>1</x:v>
      </x:c>
      <x:c r="F339" s="21" t="n">
        <x:v>1</x:v>
      </x:c>
      <x:c r="G339" s="23" t="str">
        <x:f>IF(E339=F339,"PASS","FAIL")</x:f>
        <x:v>PASS</x:v>
      </x:c>
    </x:row>
    <x:row r="340">
      <x:c r="B340" s="21" t="str">
        <x:v>A00334</x:v>
      </x:c>
      <x:c r="C340" s="21" t="str">
        <x:v>program</x:v>
      </x:c>
      <x:c r="D340" s="21" t="str">
        <x:v>F32-I1 capital ledger</x:v>
      </x:c>
      <x:c r="E340" s="21" t="n">
        <x:f>IF(ABS(SUM('Artifact Ledger'!K1247:K1256)-'Program Register'!K131)&lt;0.000001,1,0)</x:f>
        <x:v>1</x:v>
      </x:c>
      <x:c r="F340" s="21" t="n">
        <x:v>1</x:v>
      </x:c>
      <x:c r="G340" s="23" t="str">
        <x:f>IF(E340=F340,"PASS","FAIL")</x:f>
        <x:v>PASS</x:v>
      </x:c>
    </x:row>
    <x:row r="341">
      <x:c r="B341" s="21" t="str">
        <x:v>A00335</x:v>
      </x:c>
      <x:c r="C341" s="21" t="str">
        <x:v>program</x:v>
      </x:c>
      <x:c r="D341" s="21" t="str">
        <x:v>F32-I2 structure</x:v>
      </x:c>
      <x:c r="E341" s="21" t="n">
        <x:f>IF(AND('Program Register'!L132=Assumptions!C9,'Program Register'!M132=Assumptions!C11),1,0)</x:f>
        <x:v>1</x:v>
      </x:c>
      <x:c r="F341" s="21" t="n">
        <x:v>1</x:v>
      </x:c>
      <x:c r="G341" s="23" t="str">
        <x:f>IF(E341=F341,"PASS","FAIL")</x:f>
        <x:v>PASS</x:v>
      </x:c>
    </x:row>
    <x:row r="342">
      <x:c r="B342" s="21" t="str">
        <x:v>A00336</x:v>
      </x:c>
      <x:c r="C342" s="21" t="str">
        <x:v>program</x:v>
      </x:c>
      <x:c r="D342" s="21" t="str">
        <x:v>F32-I2 capital ledger</x:v>
      </x:c>
      <x:c r="E342" s="21" t="n">
        <x:f>IF(ABS(SUM('Artifact Ledger'!K1257:K1266)-'Program Register'!K132)&lt;0.000001,1,0)</x:f>
        <x:v>1</x:v>
      </x:c>
      <x:c r="F342" s="21" t="n">
        <x:v>1</x:v>
      </x:c>
      <x:c r="G342" s="23" t="str">
        <x:f>IF(E342=F342,"PASS","FAIL")</x:f>
        <x:v>PASS</x:v>
      </x:c>
    </x:row>
    <x:row r="343">
      <x:c r="B343" s="21" t="str">
        <x:v>A00337</x:v>
      </x:c>
      <x:c r="C343" s="21" t="str">
        <x:v>program</x:v>
      </x:c>
      <x:c r="D343" s="21" t="str">
        <x:v>F32-I3 structure</x:v>
      </x:c>
      <x:c r="E343" s="21" t="n">
        <x:f>IF(AND('Program Register'!L133=Assumptions!C9,'Program Register'!M133=Assumptions!C11),1,0)</x:f>
        <x:v>1</x:v>
      </x:c>
      <x:c r="F343" s="21" t="n">
        <x:v>1</x:v>
      </x:c>
      <x:c r="G343" s="23" t="str">
        <x:f>IF(E343=F343,"PASS","FAIL")</x:f>
        <x:v>PASS</x:v>
      </x:c>
    </x:row>
    <x:row r="344">
      <x:c r="B344" s="21" t="str">
        <x:v>A00338</x:v>
      </x:c>
      <x:c r="C344" s="21" t="str">
        <x:v>program</x:v>
      </x:c>
      <x:c r="D344" s="21" t="str">
        <x:v>F32-I3 capital ledger</x:v>
      </x:c>
      <x:c r="E344" s="21" t="n">
        <x:f>IF(ABS(SUM('Artifact Ledger'!K1267:K1276)-'Program Register'!K133)&lt;0.000001,1,0)</x:f>
        <x:v>1</x:v>
      </x:c>
      <x:c r="F344" s="21" t="n">
        <x:v>1</x:v>
      </x:c>
      <x:c r="G344" s="23" t="str">
        <x:f>IF(E344=F344,"PASS","FAIL")</x:f>
        <x:v>PASS</x:v>
      </x:c>
    </x:row>
    <x:row r="345">
      <x:c r="B345" s="21" t="str">
        <x:v>A00339</x:v>
      </x:c>
      <x:c r="C345" s="21" t="str">
        <x:v>program</x:v>
      </x:c>
      <x:c r="D345" s="21" t="str">
        <x:v>F32-I4 structure</x:v>
      </x:c>
      <x:c r="E345" s="21" t="n">
        <x:f>IF(AND('Program Register'!L134=Assumptions!C9,'Program Register'!M134=Assumptions!C11),1,0)</x:f>
        <x:v>1</x:v>
      </x:c>
      <x:c r="F345" s="21" t="n">
        <x:v>1</x:v>
      </x:c>
      <x:c r="G345" s="23" t="str">
        <x:f>IF(E345=F345,"PASS","FAIL")</x:f>
        <x:v>PASS</x:v>
      </x:c>
    </x:row>
    <x:row r="346">
      <x:c r="B346" s="21" t="str">
        <x:v>A00340</x:v>
      </x:c>
      <x:c r="C346" s="21" t="str">
        <x:v>program</x:v>
      </x:c>
      <x:c r="D346" s="21" t="str">
        <x:v>F32-I4 capital ledger</x:v>
      </x:c>
      <x:c r="E346" s="21" t="n">
        <x:f>IF(ABS(SUM('Artifact Ledger'!K1277:K1286)-'Program Register'!K134)&lt;0.000001,1,0)</x:f>
        <x:v>1</x:v>
      </x:c>
      <x:c r="F346" s="21" t="n">
        <x:v>1</x:v>
      </x:c>
      <x:c r="G346" s="23" t="str">
        <x:f>IF(E346=F346,"PASS","FAIL")</x:f>
        <x:v>PASS</x:v>
      </x:c>
    </x:row>
    <x:row r="347">
      <x:c r="B347" s="21" t="str">
        <x:v>A00341</x:v>
      </x:c>
      <x:c r="C347" s="21" t="str">
        <x:v>program</x:v>
      </x:c>
      <x:c r="D347" s="21" t="str">
        <x:v>F33-I1 structure</x:v>
      </x:c>
      <x:c r="E347" s="21" t="n">
        <x:f>IF(AND('Program Register'!L135=Assumptions!C9,'Program Register'!M135=Assumptions!C11),1,0)</x:f>
        <x:v>1</x:v>
      </x:c>
      <x:c r="F347" s="21" t="n">
        <x:v>1</x:v>
      </x:c>
      <x:c r="G347" s="23" t="str">
        <x:f>IF(E347=F347,"PASS","FAIL")</x:f>
        <x:v>PASS</x:v>
      </x:c>
    </x:row>
    <x:row r="348">
      <x:c r="B348" s="21" t="str">
        <x:v>A00342</x:v>
      </x:c>
      <x:c r="C348" s="21" t="str">
        <x:v>program</x:v>
      </x:c>
      <x:c r="D348" s="21" t="str">
        <x:v>F33-I1 capital ledger</x:v>
      </x:c>
      <x:c r="E348" s="21" t="n">
        <x:f>IF(ABS(SUM('Artifact Ledger'!K1287:K1296)-'Program Register'!K135)&lt;0.000001,1,0)</x:f>
        <x:v>1</x:v>
      </x:c>
      <x:c r="F348" s="21" t="n">
        <x:v>1</x:v>
      </x:c>
      <x:c r="G348" s="23" t="str">
        <x:f>IF(E348=F348,"PASS","FAIL")</x:f>
        <x:v>PASS</x:v>
      </x:c>
    </x:row>
    <x:row r="349">
      <x:c r="B349" s="21" t="str">
        <x:v>A00343</x:v>
      </x:c>
      <x:c r="C349" s="21" t="str">
        <x:v>program</x:v>
      </x:c>
      <x:c r="D349" s="21" t="str">
        <x:v>F33-I2 structure</x:v>
      </x:c>
      <x:c r="E349" s="21" t="n">
        <x:f>IF(AND('Program Register'!L136=Assumptions!C9,'Program Register'!M136=Assumptions!C11),1,0)</x:f>
        <x:v>1</x:v>
      </x:c>
      <x:c r="F349" s="21" t="n">
        <x:v>1</x:v>
      </x:c>
      <x:c r="G349" s="23" t="str">
        <x:f>IF(E349=F349,"PASS","FAIL")</x:f>
        <x:v>PASS</x:v>
      </x:c>
    </x:row>
    <x:row r="350">
      <x:c r="B350" s="21" t="str">
        <x:v>A00344</x:v>
      </x:c>
      <x:c r="C350" s="21" t="str">
        <x:v>program</x:v>
      </x:c>
      <x:c r="D350" s="21" t="str">
        <x:v>F33-I2 capital ledger</x:v>
      </x:c>
      <x:c r="E350" s="21" t="n">
        <x:f>IF(ABS(SUM('Artifact Ledger'!K1297:K1306)-'Program Register'!K136)&lt;0.000001,1,0)</x:f>
        <x:v>1</x:v>
      </x:c>
      <x:c r="F350" s="21" t="n">
        <x:v>1</x:v>
      </x:c>
      <x:c r="G350" s="23" t="str">
        <x:f>IF(E350=F350,"PASS","FAIL")</x:f>
        <x:v>PASS</x:v>
      </x:c>
    </x:row>
    <x:row r="351">
      <x:c r="B351" s="21" t="str">
        <x:v>A00345</x:v>
      </x:c>
      <x:c r="C351" s="21" t="str">
        <x:v>program</x:v>
      </x:c>
      <x:c r="D351" s="21" t="str">
        <x:v>F33-I3 structure</x:v>
      </x:c>
      <x:c r="E351" s="21" t="n">
        <x:f>IF(AND('Program Register'!L137=Assumptions!C9,'Program Register'!M137=Assumptions!C11),1,0)</x:f>
        <x:v>1</x:v>
      </x:c>
      <x:c r="F351" s="21" t="n">
        <x:v>1</x:v>
      </x:c>
      <x:c r="G351" s="23" t="str">
        <x:f>IF(E351=F351,"PASS","FAIL")</x:f>
        <x:v>PASS</x:v>
      </x:c>
    </x:row>
    <x:row r="352">
      <x:c r="B352" s="21" t="str">
        <x:v>A00346</x:v>
      </x:c>
      <x:c r="C352" s="21" t="str">
        <x:v>program</x:v>
      </x:c>
      <x:c r="D352" s="21" t="str">
        <x:v>F33-I3 capital ledger</x:v>
      </x:c>
      <x:c r="E352" s="21" t="n">
        <x:f>IF(ABS(SUM('Artifact Ledger'!K1307:K1316)-'Program Register'!K137)&lt;0.000001,1,0)</x:f>
        <x:v>1</x:v>
      </x:c>
      <x:c r="F352" s="21" t="n">
        <x:v>1</x:v>
      </x:c>
      <x:c r="G352" s="23" t="str">
        <x:f>IF(E352=F352,"PASS","FAIL")</x:f>
        <x:v>PASS</x:v>
      </x:c>
    </x:row>
    <x:row r="353">
      <x:c r="B353" s="21" t="str">
        <x:v>A00347</x:v>
      </x:c>
      <x:c r="C353" s="21" t="str">
        <x:v>program</x:v>
      </x:c>
      <x:c r="D353" s="21" t="str">
        <x:v>F33-I4 structure</x:v>
      </x:c>
      <x:c r="E353" s="21" t="n">
        <x:f>IF(AND('Program Register'!L138=Assumptions!C9,'Program Register'!M138=Assumptions!C11),1,0)</x:f>
        <x:v>1</x:v>
      </x:c>
      <x:c r="F353" s="21" t="n">
        <x:v>1</x:v>
      </x:c>
      <x:c r="G353" s="23" t="str">
        <x:f>IF(E353=F353,"PASS","FAIL")</x:f>
        <x:v>PASS</x:v>
      </x:c>
    </x:row>
    <x:row r="354">
      <x:c r="B354" s="21" t="str">
        <x:v>A00348</x:v>
      </x:c>
      <x:c r="C354" s="21" t="str">
        <x:v>program</x:v>
      </x:c>
      <x:c r="D354" s="21" t="str">
        <x:v>F33-I4 capital ledger</x:v>
      </x:c>
      <x:c r="E354" s="21" t="n">
        <x:f>IF(ABS(SUM('Artifact Ledger'!K1317:K1326)-'Program Register'!K138)&lt;0.000001,1,0)</x:f>
        <x:v>1</x:v>
      </x:c>
      <x:c r="F354" s="21" t="n">
        <x:v>1</x:v>
      </x:c>
      <x:c r="G354" s="23" t="str">
        <x:f>IF(E354=F354,"PASS","FAIL")</x:f>
        <x:v>PASS</x:v>
      </x:c>
    </x:row>
    <x:row r="355">
      <x:c r="B355" s="21" t="str">
        <x:v>A00349</x:v>
      </x:c>
      <x:c r="C355" s="21" t="str">
        <x:v>program</x:v>
      </x:c>
      <x:c r="D355" s="21" t="str">
        <x:v>F34-I1 structure</x:v>
      </x:c>
      <x:c r="E355" s="21" t="n">
        <x:f>IF(AND('Program Register'!L139=Assumptions!C9,'Program Register'!M139=Assumptions!C11),1,0)</x:f>
        <x:v>1</x:v>
      </x:c>
      <x:c r="F355" s="21" t="n">
        <x:v>1</x:v>
      </x:c>
      <x:c r="G355" s="23" t="str">
        <x:f>IF(E355=F355,"PASS","FAIL")</x:f>
        <x:v>PASS</x:v>
      </x:c>
    </x:row>
    <x:row r="356">
      <x:c r="B356" s="21" t="str">
        <x:v>A00350</x:v>
      </x:c>
      <x:c r="C356" s="21" t="str">
        <x:v>program</x:v>
      </x:c>
      <x:c r="D356" s="21" t="str">
        <x:v>F34-I1 capital ledger</x:v>
      </x:c>
      <x:c r="E356" s="21" t="n">
        <x:f>IF(ABS(SUM('Artifact Ledger'!K1327:K1336)-'Program Register'!K139)&lt;0.000001,1,0)</x:f>
        <x:v>1</x:v>
      </x:c>
      <x:c r="F356" s="21" t="n">
        <x:v>1</x:v>
      </x:c>
      <x:c r="G356" s="23" t="str">
        <x:f>IF(E356=F356,"PASS","FAIL")</x:f>
        <x:v>PASS</x:v>
      </x:c>
    </x:row>
    <x:row r="357">
      <x:c r="B357" s="21" t="str">
        <x:v>A00351</x:v>
      </x:c>
      <x:c r="C357" s="21" t="str">
        <x:v>program</x:v>
      </x:c>
      <x:c r="D357" s="21" t="str">
        <x:v>F34-I2 structure</x:v>
      </x:c>
      <x:c r="E357" s="21" t="n">
        <x:f>IF(AND('Program Register'!L140=Assumptions!C9,'Program Register'!M140=Assumptions!C11),1,0)</x:f>
        <x:v>1</x:v>
      </x:c>
      <x:c r="F357" s="21" t="n">
        <x:v>1</x:v>
      </x:c>
      <x:c r="G357" s="23" t="str">
        <x:f>IF(E357=F357,"PASS","FAIL")</x:f>
        <x:v>PASS</x:v>
      </x:c>
    </x:row>
    <x:row r="358">
      <x:c r="B358" s="21" t="str">
        <x:v>A00352</x:v>
      </x:c>
      <x:c r="C358" s="21" t="str">
        <x:v>program</x:v>
      </x:c>
      <x:c r="D358" s="21" t="str">
        <x:v>F34-I2 capital ledger</x:v>
      </x:c>
      <x:c r="E358" s="21" t="n">
        <x:f>IF(ABS(SUM('Artifact Ledger'!K1337:K1346)-'Program Register'!K140)&lt;0.000001,1,0)</x:f>
        <x:v>1</x:v>
      </x:c>
      <x:c r="F358" s="21" t="n">
        <x:v>1</x:v>
      </x:c>
      <x:c r="G358" s="23" t="str">
        <x:f>IF(E358=F358,"PASS","FAIL")</x:f>
        <x:v>PASS</x:v>
      </x:c>
    </x:row>
    <x:row r="359">
      <x:c r="B359" s="21" t="str">
        <x:v>A00353</x:v>
      </x:c>
      <x:c r="C359" s="21" t="str">
        <x:v>program</x:v>
      </x:c>
      <x:c r="D359" s="21" t="str">
        <x:v>F34-I3 structure</x:v>
      </x:c>
      <x:c r="E359" s="21" t="n">
        <x:f>IF(AND('Program Register'!L141=Assumptions!C9,'Program Register'!M141=Assumptions!C11),1,0)</x:f>
        <x:v>1</x:v>
      </x:c>
      <x:c r="F359" s="21" t="n">
        <x:v>1</x:v>
      </x:c>
      <x:c r="G359" s="23" t="str">
        <x:f>IF(E359=F359,"PASS","FAIL")</x:f>
        <x:v>PASS</x:v>
      </x:c>
    </x:row>
    <x:row r="360">
      <x:c r="B360" s="21" t="str">
        <x:v>A00354</x:v>
      </x:c>
      <x:c r="C360" s="21" t="str">
        <x:v>program</x:v>
      </x:c>
      <x:c r="D360" s="21" t="str">
        <x:v>F34-I3 capital ledger</x:v>
      </x:c>
      <x:c r="E360" s="21" t="n">
        <x:f>IF(ABS(SUM('Artifact Ledger'!K1347:K1356)-'Program Register'!K141)&lt;0.000001,1,0)</x:f>
        <x:v>1</x:v>
      </x:c>
      <x:c r="F360" s="21" t="n">
        <x:v>1</x:v>
      </x:c>
      <x:c r="G360" s="23" t="str">
        <x:f>IF(E360=F360,"PASS","FAIL")</x:f>
        <x:v>PASS</x:v>
      </x:c>
    </x:row>
    <x:row r="361">
      <x:c r="B361" s="21" t="str">
        <x:v>A00355</x:v>
      </x:c>
      <x:c r="C361" s="21" t="str">
        <x:v>program</x:v>
      </x:c>
      <x:c r="D361" s="21" t="str">
        <x:v>F34-I4 structure</x:v>
      </x:c>
      <x:c r="E361" s="21" t="n">
        <x:f>IF(AND('Program Register'!L142=Assumptions!C9,'Program Register'!M142=Assumptions!C11),1,0)</x:f>
        <x:v>1</x:v>
      </x:c>
      <x:c r="F361" s="21" t="n">
        <x:v>1</x:v>
      </x:c>
      <x:c r="G361" s="23" t="str">
        <x:f>IF(E361=F361,"PASS","FAIL")</x:f>
        <x:v>PASS</x:v>
      </x:c>
    </x:row>
    <x:row r="362">
      <x:c r="B362" s="21" t="str">
        <x:v>A00356</x:v>
      </x:c>
      <x:c r="C362" s="21" t="str">
        <x:v>program</x:v>
      </x:c>
      <x:c r="D362" s="21" t="str">
        <x:v>F34-I4 capital ledger</x:v>
      </x:c>
      <x:c r="E362" s="21" t="n">
        <x:f>IF(ABS(SUM('Artifact Ledger'!K1357:K1366)-'Program Register'!K142)&lt;0.000001,1,0)</x:f>
        <x:v>1</x:v>
      </x:c>
      <x:c r="F362" s="21" t="n">
        <x:v>1</x:v>
      </x:c>
      <x:c r="G362" s="23" t="str">
        <x:f>IF(E362=F362,"PASS","FAIL")</x:f>
        <x:v>PASS</x:v>
      </x:c>
    </x:row>
    <x:row r="363">
      <x:c r="B363" s="21" t="str">
        <x:v>A00357</x:v>
      </x:c>
      <x:c r="C363" s="21" t="str">
        <x:v>program</x:v>
      </x:c>
      <x:c r="D363" s="21" t="str">
        <x:v>F35-I1 structure</x:v>
      </x:c>
      <x:c r="E363" s="21" t="n">
        <x:f>IF(AND('Program Register'!L143=Assumptions!C9,'Program Register'!M143=Assumptions!C11),1,0)</x:f>
        <x:v>1</x:v>
      </x:c>
      <x:c r="F363" s="21" t="n">
        <x:v>1</x:v>
      </x:c>
      <x:c r="G363" s="23" t="str">
        <x:f>IF(E363=F363,"PASS","FAIL")</x:f>
        <x:v>PASS</x:v>
      </x:c>
    </x:row>
    <x:row r="364">
      <x:c r="B364" s="21" t="str">
        <x:v>A00358</x:v>
      </x:c>
      <x:c r="C364" s="21" t="str">
        <x:v>program</x:v>
      </x:c>
      <x:c r="D364" s="21" t="str">
        <x:v>F35-I1 capital ledger</x:v>
      </x:c>
      <x:c r="E364" s="21" t="n">
        <x:f>IF(ABS(SUM('Artifact Ledger'!K1367:K1376)-'Program Register'!K143)&lt;0.000001,1,0)</x:f>
        <x:v>1</x:v>
      </x:c>
      <x:c r="F364" s="21" t="n">
        <x:v>1</x:v>
      </x:c>
      <x:c r="G364" s="23" t="str">
        <x:f>IF(E364=F364,"PASS","FAIL")</x:f>
        <x:v>PASS</x:v>
      </x:c>
    </x:row>
    <x:row r="365">
      <x:c r="B365" s="21" t="str">
        <x:v>A00359</x:v>
      </x:c>
      <x:c r="C365" s="21" t="str">
        <x:v>program</x:v>
      </x:c>
      <x:c r="D365" s="21" t="str">
        <x:v>F35-I2 structure</x:v>
      </x:c>
      <x:c r="E365" s="21" t="n">
        <x:f>IF(AND('Program Register'!L144=Assumptions!C9,'Program Register'!M144=Assumptions!C11),1,0)</x:f>
        <x:v>1</x:v>
      </x:c>
      <x:c r="F365" s="21" t="n">
        <x:v>1</x:v>
      </x:c>
      <x:c r="G365" s="23" t="str">
        <x:f>IF(E365=F365,"PASS","FAIL")</x:f>
        <x:v>PASS</x:v>
      </x:c>
    </x:row>
    <x:row r="366">
      <x:c r="B366" s="21" t="str">
        <x:v>A00360</x:v>
      </x:c>
      <x:c r="C366" s="21" t="str">
        <x:v>program</x:v>
      </x:c>
      <x:c r="D366" s="21" t="str">
        <x:v>F35-I2 capital ledger</x:v>
      </x:c>
      <x:c r="E366" s="21" t="n">
        <x:f>IF(ABS(SUM('Artifact Ledger'!K1377:K1386)-'Program Register'!K144)&lt;0.000001,1,0)</x:f>
        <x:v>1</x:v>
      </x:c>
      <x:c r="F366" s="21" t="n">
        <x:v>1</x:v>
      </x:c>
      <x:c r="G366" s="23" t="str">
        <x:f>IF(E366=F366,"PASS","FAIL")</x:f>
        <x:v>PASS</x:v>
      </x:c>
    </x:row>
    <x:row r="367">
      <x:c r="B367" s="21" t="str">
        <x:v>A00361</x:v>
      </x:c>
      <x:c r="C367" s="21" t="str">
        <x:v>program</x:v>
      </x:c>
      <x:c r="D367" s="21" t="str">
        <x:v>F35-I3 structure</x:v>
      </x:c>
      <x:c r="E367" s="21" t="n">
        <x:f>IF(AND('Program Register'!L145=Assumptions!C9,'Program Register'!M145=Assumptions!C11),1,0)</x:f>
        <x:v>1</x:v>
      </x:c>
      <x:c r="F367" s="21" t="n">
        <x:v>1</x:v>
      </x:c>
      <x:c r="G367" s="23" t="str">
        <x:f>IF(E367=F367,"PASS","FAIL")</x:f>
        <x:v>PASS</x:v>
      </x:c>
    </x:row>
    <x:row r="368">
      <x:c r="B368" s="21" t="str">
        <x:v>A00362</x:v>
      </x:c>
      <x:c r="C368" s="21" t="str">
        <x:v>program</x:v>
      </x:c>
      <x:c r="D368" s="21" t="str">
        <x:v>F35-I3 capital ledger</x:v>
      </x:c>
      <x:c r="E368" s="21" t="n">
        <x:f>IF(ABS(SUM('Artifact Ledger'!K1387:K1396)-'Program Register'!K145)&lt;0.000001,1,0)</x:f>
        <x:v>1</x:v>
      </x:c>
      <x:c r="F368" s="21" t="n">
        <x:v>1</x:v>
      </x:c>
      <x:c r="G368" s="23" t="str">
        <x:f>IF(E368=F368,"PASS","FAIL")</x:f>
        <x:v>PASS</x:v>
      </x:c>
    </x:row>
    <x:row r="369">
      <x:c r="B369" s="21" t="str">
        <x:v>A00363</x:v>
      </x:c>
      <x:c r="C369" s="21" t="str">
        <x:v>program</x:v>
      </x:c>
      <x:c r="D369" s="21" t="str">
        <x:v>F35-I4 structure</x:v>
      </x:c>
      <x:c r="E369" s="21" t="n">
        <x:f>IF(AND('Program Register'!L146=Assumptions!C9,'Program Register'!M146=Assumptions!C11),1,0)</x:f>
        <x:v>1</x:v>
      </x:c>
      <x:c r="F369" s="21" t="n">
        <x:v>1</x:v>
      </x:c>
      <x:c r="G369" s="23" t="str">
        <x:f>IF(E369=F369,"PASS","FAIL")</x:f>
        <x:v>PASS</x:v>
      </x:c>
    </x:row>
    <x:row r="370">
      <x:c r="B370" s="21" t="str">
        <x:v>A00364</x:v>
      </x:c>
      <x:c r="C370" s="21" t="str">
        <x:v>program</x:v>
      </x:c>
      <x:c r="D370" s="21" t="str">
        <x:v>F35-I4 capital ledger</x:v>
      </x:c>
      <x:c r="E370" s="21" t="n">
        <x:f>IF(ABS(SUM('Artifact Ledger'!K1397:K1406)-'Program Register'!K146)&lt;0.000001,1,0)</x:f>
        <x:v>1</x:v>
      </x:c>
      <x:c r="F370" s="21" t="n">
        <x:v>1</x:v>
      </x:c>
      <x:c r="G370" s="23" t="str">
        <x:f>IF(E370=F370,"PASS","FAIL")</x:f>
        <x:v>PASS</x:v>
      </x:c>
    </x:row>
    <x:row r="371">
      <x:c r="B371" s="21" t="str">
        <x:v>A00365</x:v>
      </x:c>
      <x:c r="C371" s="21" t="str">
        <x:v>program</x:v>
      </x:c>
      <x:c r="D371" s="21" t="str">
        <x:v>F36-I1 structure</x:v>
      </x:c>
      <x:c r="E371" s="21" t="n">
        <x:f>IF(AND('Program Register'!L147=Assumptions!C9,'Program Register'!M147=Assumptions!C11),1,0)</x:f>
        <x:v>1</x:v>
      </x:c>
      <x:c r="F371" s="21" t="n">
        <x:v>1</x:v>
      </x:c>
      <x:c r="G371" s="23" t="str">
        <x:f>IF(E371=F371,"PASS","FAIL")</x:f>
        <x:v>PASS</x:v>
      </x:c>
    </x:row>
    <x:row r="372">
      <x:c r="B372" s="21" t="str">
        <x:v>A00366</x:v>
      </x:c>
      <x:c r="C372" s="21" t="str">
        <x:v>program</x:v>
      </x:c>
      <x:c r="D372" s="21" t="str">
        <x:v>F36-I1 capital ledger</x:v>
      </x:c>
      <x:c r="E372" s="21" t="n">
        <x:f>IF(ABS(SUM('Artifact Ledger'!K1407:K1416)-'Program Register'!K147)&lt;0.000001,1,0)</x:f>
        <x:v>1</x:v>
      </x:c>
      <x:c r="F372" s="21" t="n">
        <x:v>1</x:v>
      </x:c>
      <x:c r="G372" s="23" t="str">
        <x:f>IF(E372=F372,"PASS","FAIL")</x:f>
        <x:v>PASS</x:v>
      </x:c>
    </x:row>
    <x:row r="373">
      <x:c r="B373" s="21" t="str">
        <x:v>A00367</x:v>
      </x:c>
      <x:c r="C373" s="21" t="str">
        <x:v>program</x:v>
      </x:c>
      <x:c r="D373" s="21" t="str">
        <x:v>F36-I2 structure</x:v>
      </x:c>
      <x:c r="E373" s="21" t="n">
        <x:f>IF(AND('Program Register'!L148=Assumptions!C9,'Program Register'!M148=Assumptions!C11),1,0)</x:f>
        <x:v>1</x:v>
      </x:c>
      <x:c r="F373" s="21" t="n">
        <x:v>1</x:v>
      </x:c>
      <x:c r="G373" s="23" t="str">
        <x:f>IF(E373=F373,"PASS","FAIL")</x:f>
        <x:v>PASS</x:v>
      </x:c>
    </x:row>
    <x:row r="374">
      <x:c r="B374" s="21" t="str">
        <x:v>A00368</x:v>
      </x:c>
      <x:c r="C374" s="21" t="str">
        <x:v>program</x:v>
      </x:c>
      <x:c r="D374" s="21" t="str">
        <x:v>F36-I2 capital ledger</x:v>
      </x:c>
      <x:c r="E374" s="21" t="n">
        <x:f>IF(ABS(SUM('Artifact Ledger'!K1417:K1426)-'Program Register'!K148)&lt;0.000001,1,0)</x:f>
        <x:v>1</x:v>
      </x:c>
      <x:c r="F374" s="21" t="n">
        <x:v>1</x:v>
      </x:c>
      <x:c r="G374" s="23" t="str">
        <x:f>IF(E374=F374,"PASS","FAIL")</x:f>
        <x:v>PASS</x:v>
      </x:c>
    </x:row>
    <x:row r="375">
      <x:c r="B375" s="21" t="str">
        <x:v>A00369</x:v>
      </x:c>
      <x:c r="C375" s="21" t="str">
        <x:v>program</x:v>
      </x:c>
      <x:c r="D375" s="21" t="str">
        <x:v>F36-I3 structure</x:v>
      </x:c>
      <x:c r="E375" s="21" t="n">
        <x:f>IF(AND('Program Register'!L149=Assumptions!C9,'Program Register'!M149=Assumptions!C11),1,0)</x:f>
        <x:v>1</x:v>
      </x:c>
      <x:c r="F375" s="21" t="n">
        <x:v>1</x:v>
      </x:c>
      <x:c r="G375" s="23" t="str">
        <x:f>IF(E375=F375,"PASS","FAIL")</x:f>
        <x:v>PASS</x:v>
      </x:c>
    </x:row>
    <x:row r="376">
      <x:c r="B376" s="21" t="str">
        <x:v>A00370</x:v>
      </x:c>
      <x:c r="C376" s="21" t="str">
        <x:v>program</x:v>
      </x:c>
      <x:c r="D376" s="21" t="str">
        <x:v>F36-I3 capital ledger</x:v>
      </x:c>
      <x:c r="E376" s="21" t="n">
        <x:f>IF(ABS(SUM('Artifact Ledger'!K1427:K1436)-'Program Register'!K149)&lt;0.000001,1,0)</x:f>
        <x:v>1</x:v>
      </x:c>
      <x:c r="F376" s="21" t="n">
        <x:v>1</x:v>
      </x:c>
      <x:c r="G376" s="23" t="str">
        <x:f>IF(E376=F376,"PASS","FAIL")</x:f>
        <x:v>PASS</x:v>
      </x:c>
    </x:row>
    <x:row r="377">
      <x:c r="B377" s="21" t="str">
        <x:v>A00371</x:v>
      </x:c>
      <x:c r="C377" s="21" t="str">
        <x:v>program</x:v>
      </x:c>
      <x:c r="D377" s="21" t="str">
        <x:v>F36-I4 structure</x:v>
      </x:c>
      <x:c r="E377" s="21" t="n">
        <x:f>IF(AND('Program Register'!L150=Assumptions!C9,'Program Register'!M150=Assumptions!C11),1,0)</x:f>
        <x:v>1</x:v>
      </x:c>
      <x:c r="F377" s="21" t="n">
        <x:v>1</x:v>
      </x:c>
      <x:c r="G377" s="23" t="str">
        <x:f>IF(E377=F377,"PASS","FAIL")</x:f>
        <x:v>PASS</x:v>
      </x:c>
    </x:row>
    <x:row r="378">
      <x:c r="B378" s="21" t="str">
        <x:v>A00372</x:v>
      </x:c>
      <x:c r="C378" s="21" t="str">
        <x:v>program</x:v>
      </x:c>
      <x:c r="D378" s="21" t="str">
        <x:v>F36-I4 capital ledger</x:v>
      </x:c>
      <x:c r="E378" s="21" t="n">
        <x:f>IF(ABS(SUM('Artifact Ledger'!K1437:K1446)-'Program Register'!K150)&lt;0.000001,1,0)</x:f>
        <x:v>1</x:v>
      </x:c>
      <x:c r="F378" s="21" t="n">
        <x:v>1</x:v>
      </x:c>
      <x:c r="G378" s="23" t="str">
        <x:f>IF(E378=F378,"PASS","FAIL")</x:f>
        <x:v>PASS</x:v>
      </x:c>
    </x:row>
    <x:row r="379">
      <x:c r="B379" s="21" t="str">
        <x:v>A00373</x:v>
      </x:c>
      <x:c r="C379" s="21" t="str">
        <x:v>program</x:v>
      </x:c>
      <x:c r="D379" s="21" t="str">
        <x:v>F37-I1 structure</x:v>
      </x:c>
      <x:c r="E379" s="21" t="n">
        <x:f>IF(AND('Program Register'!L151=Assumptions!C9,'Program Register'!M151=Assumptions!C11),1,0)</x:f>
        <x:v>1</x:v>
      </x:c>
      <x:c r="F379" s="21" t="n">
        <x:v>1</x:v>
      </x:c>
      <x:c r="G379" s="23" t="str">
        <x:f>IF(E379=F379,"PASS","FAIL")</x:f>
        <x:v>PASS</x:v>
      </x:c>
    </x:row>
    <x:row r="380">
      <x:c r="B380" s="21" t="str">
        <x:v>A00374</x:v>
      </x:c>
      <x:c r="C380" s="21" t="str">
        <x:v>program</x:v>
      </x:c>
      <x:c r="D380" s="21" t="str">
        <x:v>F37-I1 capital ledger</x:v>
      </x:c>
      <x:c r="E380" s="21" t="n">
        <x:f>IF(ABS(SUM('Artifact Ledger'!K1447:K1456)-'Program Register'!K151)&lt;0.000001,1,0)</x:f>
        <x:v>1</x:v>
      </x:c>
      <x:c r="F380" s="21" t="n">
        <x:v>1</x:v>
      </x:c>
      <x:c r="G380" s="23" t="str">
        <x:f>IF(E380=F380,"PASS","FAIL")</x:f>
        <x:v>PASS</x:v>
      </x:c>
    </x:row>
    <x:row r="381">
      <x:c r="B381" s="21" t="str">
        <x:v>A00375</x:v>
      </x:c>
      <x:c r="C381" s="21" t="str">
        <x:v>program</x:v>
      </x:c>
      <x:c r="D381" s="21" t="str">
        <x:v>F37-I2 structure</x:v>
      </x:c>
      <x:c r="E381" s="21" t="n">
        <x:f>IF(AND('Program Register'!L152=Assumptions!C9,'Program Register'!M152=Assumptions!C11),1,0)</x:f>
        <x:v>1</x:v>
      </x:c>
      <x:c r="F381" s="21" t="n">
        <x:v>1</x:v>
      </x:c>
      <x:c r="G381" s="23" t="str">
        <x:f>IF(E381=F381,"PASS","FAIL")</x:f>
        <x:v>PASS</x:v>
      </x:c>
    </x:row>
    <x:row r="382">
      <x:c r="B382" s="21" t="str">
        <x:v>A00376</x:v>
      </x:c>
      <x:c r="C382" s="21" t="str">
        <x:v>program</x:v>
      </x:c>
      <x:c r="D382" s="21" t="str">
        <x:v>F37-I2 capital ledger</x:v>
      </x:c>
      <x:c r="E382" s="21" t="n">
        <x:f>IF(ABS(SUM('Artifact Ledger'!K1457:K1466)-'Program Register'!K152)&lt;0.000001,1,0)</x:f>
        <x:v>1</x:v>
      </x:c>
      <x:c r="F382" s="21" t="n">
        <x:v>1</x:v>
      </x:c>
      <x:c r="G382" s="23" t="str">
        <x:f>IF(E382=F382,"PASS","FAIL")</x:f>
        <x:v>PASS</x:v>
      </x:c>
    </x:row>
    <x:row r="383">
      <x:c r="B383" s="21" t="str">
        <x:v>A00377</x:v>
      </x:c>
      <x:c r="C383" s="21" t="str">
        <x:v>program</x:v>
      </x:c>
      <x:c r="D383" s="21" t="str">
        <x:v>F37-I3 structure</x:v>
      </x:c>
      <x:c r="E383" s="21" t="n">
        <x:f>IF(AND('Program Register'!L153=Assumptions!C9,'Program Register'!M153=Assumptions!C11),1,0)</x:f>
        <x:v>1</x:v>
      </x:c>
      <x:c r="F383" s="21" t="n">
        <x:v>1</x:v>
      </x:c>
      <x:c r="G383" s="23" t="str">
        <x:f>IF(E383=F383,"PASS","FAIL")</x:f>
        <x:v>PASS</x:v>
      </x:c>
    </x:row>
    <x:row r="384">
      <x:c r="B384" s="21" t="str">
        <x:v>A00378</x:v>
      </x:c>
      <x:c r="C384" s="21" t="str">
        <x:v>program</x:v>
      </x:c>
      <x:c r="D384" s="21" t="str">
        <x:v>F37-I3 capital ledger</x:v>
      </x:c>
      <x:c r="E384" s="21" t="n">
        <x:f>IF(ABS(SUM('Artifact Ledger'!K1467:K1476)-'Program Register'!K153)&lt;0.000001,1,0)</x:f>
        <x:v>1</x:v>
      </x:c>
      <x:c r="F384" s="21" t="n">
        <x:v>1</x:v>
      </x:c>
      <x:c r="G384" s="23" t="str">
        <x:f>IF(E384=F384,"PASS","FAIL")</x:f>
        <x:v>PASS</x:v>
      </x:c>
    </x:row>
    <x:row r="385">
      <x:c r="B385" s="21" t="str">
        <x:v>A00379</x:v>
      </x:c>
      <x:c r="C385" s="21" t="str">
        <x:v>program</x:v>
      </x:c>
      <x:c r="D385" s="21" t="str">
        <x:v>F37-I4 structure</x:v>
      </x:c>
      <x:c r="E385" s="21" t="n">
        <x:f>IF(AND('Program Register'!L154=Assumptions!C9,'Program Register'!M154=Assumptions!C11),1,0)</x:f>
        <x:v>1</x:v>
      </x:c>
      <x:c r="F385" s="21" t="n">
        <x:v>1</x:v>
      </x:c>
      <x:c r="G385" s="23" t="str">
        <x:f>IF(E385=F385,"PASS","FAIL")</x:f>
        <x:v>PASS</x:v>
      </x:c>
    </x:row>
    <x:row r="386">
      <x:c r="B386" s="21" t="str">
        <x:v>A00380</x:v>
      </x:c>
      <x:c r="C386" s="21" t="str">
        <x:v>program</x:v>
      </x:c>
      <x:c r="D386" s="21" t="str">
        <x:v>F37-I4 capital ledger</x:v>
      </x:c>
      <x:c r="E386" s="21" t="n">
        <x:f>IF(ABS(SUM('Artifact Ledger'!K1477:K1486)-'Program Register'!K154)&lt;0.000001,1,0)</x:f>
        <x:v>1</x:v>
      </x:c>
      <x:c r="F386" s="21" t="n">
        <x:v>1</x:v>
      </x:c>
      <x:c r="G386" s="23" t="str">
        <x:f>IF(E386=F386,"PASS","FAIL")</x:f>
        <x:v>PASS</x:v>
      </x:c>
    </x:row>
    <x:row r="387">
      <x:c r="B387" s="21" t="str">
        <x:v>A00381</x:v>
      </x:c>
      <x:c r="C387" s="21" t="str">
        <x:v>program</x:v>
      </x:c>
      <x:c r="D387" s="21" t="str">
        <x:v>F38-I1 structure</x:v>
      </x:c>
      <x:c r="E387" s="21" t="n">
        <x:f>IF(AND('Program Register'!L155=Assumptions!C9,'Program Register'!M155=Assumptions!C11),1,0)</x:f>
        <x:v>1</x:v>
      </x:c>
      <x:c r="F387" s="21" t="n">
        <x:v>1</x:v>
      </x:c>
      <x:c r="G387" s="23" t="str">
        <x:f>IF(E387=F387,"PASS","FAIL")</x:f>
        <x:v>PASS</x:v>
      </x:c>
    </x:row>
    <x:row r="388">
      <x:c r="B388" s="21" t="str">
        <x:v>A00382</x:v>
      </x:c>
      <x:c r="C388" s="21" t="str">
        <x:v>program</x:v>
      </x:c>
      <x:c r="D388" s="21" t="str">
        <x:v>F38-I1 capital ledger</x:v>
      </x:c>
      <x:c r="E388" s="21" t="n">
        <x:f>IF(ABS(SUM('Artifact Ledger'!K1487:K1496)-'Program Register'!K155)&lt;0.000001,1,0)</x:f>
        <x:v>1</x:v>
      </x:c>
      <x:c r="F388" s="21" t="n">
        <x:v>1</x:v>
      </x:c>
      <x:c r="G388" s="23" t="str">
        <x:f>IF(E388=F388,"PASS","FAIL")</x:f>
        <x:v>PASS</x:v>
      </x:c>
    </x:row>
    <x:row r="389">
      <x:c r="B389" s="21" t="str">
        <x:v>A00383</x:v>
      </x:c>
      <x:c r="C389" s="21" t="str">
        <x:v>program</x:v>
      </x:c>
      <x:c r="D389" s="21" t="str">
        <x:v>F38-I2 structure</x:v>
      </x:c>
      <x:c r="E389" s="21" t="n">
        <x:f>IF(AND('Program Register'!L156=Assumptions!C9,'Program Register'!M156=Assumptions!C11),1,0)</x:f>
        <x:v>1</x:v>
      </x:c>
      <x:c r="F389" s="21" t="n">
        <x:v>1</x:v>
      </x:c>
      <x:c r="G389" s="23" t="str">
        <x:f>IF(E389=F389,"PASS","FAIL")</x:f>
        <x:v>PASS</x:v>
      </x:c>
    </x:row>
    <x:row r="390">
      <x:c r="B390" s="21" t="str">
        <x:v>A00384</x:v>
      </x:c>
      <x:c r="C390" s="21" t="str">
        <x:v>program</x:v>
      </x:c>
      <x:c r="D390" s="21" t="str">
        <x:v>F38-I2 capital ledger</x:v>
      </x:c>
      <x:c r="E390" s="21" t="n">
        <x:f>IF(ABS(SUM('Artifact Ledger'!K1497:K1506)-'Program Register'!K156)&lt;0.000001,1,0)</x:f>
        <x:v>1</x:v>
      </x:c>
      <x:c r="F390" s="21" t="n">
        <x:v>1</x:v>
      </x:c>
      <x:c r="G390" s="23" t="str">
        <x:f>IF(E390=F390,"PASS","FAIL")</x:f>
        <x:v>PASS</x:v>
      </x:c>
    </x:row>
    <x:row r="391">
      <x:c r="B391" s="21" t="str">
        <x:v>A00385</x:v>
      </x:c>
      <x:c r="C391" s="21" t="str">
        <x:v>program</x:v>
      </x:c>
      <x:c r="D391" s="21" t="str">
        <x:v>F38-I3 structure</x:v>
      </x:c>
      <x:c r="E391" s="21" t="n">
        <x:f>IF(AND('Program Register'!L157=Assumptions!C9,'Program Register'!M157=Assumptions!C11),1,0)</x:f>
        <x:v>1</x:v>
      </x:c>
      <x:c r="F391" s="21" t="n">
        <x:v>1</x:v>
      </x:c>
      <x:c r="G391" s="23" t="str">
        <x:f>IF(E391=F391,"PASS","FAIL")</x:f>
        <x:v>PASS</x:v>
      </x:c>
    </x:row>
    <x:row r="392">
      <x:c r="B392" s="21" t="str">
        <x:v>A00386</x:v>
      </x:c>
      <x:c r="C392" s="21" t="str">
        <x:v>program</x:v>
      </x:c>
      <x:c r="D392" s="21" t="str">
        <x:v>F38-I3 capital ledger</x:v>
      </x:c>
      <x:c r="E392" s="21" t="n">
        <x:f>IF(ABS(SUM('Artifact Ledger'!K1507:K1516)-'Program Register'!K157)&lt;0.000001,1,0)</x:f>
        <x:v>1</x:v>
      </x:c>
      <x:c r="F392" s="21" t="n">
        <x:v>1</x:v>
      </x:c>
      <x:c r="G392" s="23" t="str">
        <x:f>IF(E392=F392,"PASS","FAIL")</x:f>
        <x:v>PASS</x:v>
      </x:c>
    </x:row>
    <x:row r="393">
      <x:c r="B393" s="21" t="str">
        <x:v>A00387</x:v>
      </x:c>
      <x:c r="C393" s="21" t="str">
        <x:v>program</x:v>
      </x:c>
      <x:c r="D393" s="21" t="str">
        <x:v>F38-I4 structure</x:v>
      </x:c>
      <x:c r="E393" s="21" t="n">
        <x:f>IF(AND('Program Register'!L158=Assumptions!C9,'Program Register'!M158=Assumptions!C11),1,0)</x:f>
        <x:v>1</x:v>
      </x:c>
      <x:c r="F393" s="21" t="n">
        <x:v>1</x:v>
      </x:c>
      <x:c r="G393" s="23" t="str">
        <x:f>IF(E393=F393,"PASS","FAIL")</x:f>
        <x:v>PASS</x:v>
      </x:c>
    </x:row>
    <x:row r="394">
      <x:c r="B394" s="21" t="str">
        <x:v>A00388</x:v>
      </x:c>
      <x:c r="C394" s="21" t="str">
        <x:v>program</x:v>
      </x:c>
      <x:c r="D394" s="21" t="str">
        <x:v>F38-I4 capital ledger</x:v>
      </x:c>
      <x:c r="E394" s="21" t="n">
        <x:f>IF(ABS(SUM('Artifact Ledger'!K1517:K1526)-'Program Register'!K158)&lt;0.000001,1,0)</x:f>
        <x:v>1</x:v>
      </x:c>
      <x:c r="F394" s="21" t="n">
        <x:v>1</x:v>
      </x:c>
      <x:c r="G394" s="23" t="str">
        <x:f>IF(E394=F394,"PASS","FAIL")</x:f>
        <x:v>PASS</x:v>
      </x:c>
    </x:row>
    <x:row r="395">
      <x:c r="B395" s="21" t="str">
        <x:v>A00389</x:v>
      </x:c>
      <x:c r="C395" s="21" t="str">
        <x:v>program</x:v>
      </x:c>
      <x:c r="D395" s="21" t="str">
        <x:v>F39-I1 structure</x:v>
      </x:c>
      <x:c r="E395" s="21" t="n">
        <x:f>IF(AND('Program Register'!L159=Assumptions!C9,'Program Register'!M159=Assumptions!C11),1,0)</x:f>
        <x:v>1</x:v>
      </x:c>
      <x:c r="F395" s="21" t="n">
        <x:v>1</x:v>
      </x:c>
      <x:c r="G395" s="23" t="str">
        <x:f>IF(E395=F395,"PASS","FAIL")</x:f>
        <x:v>PASS</x:v>
      </x:c>
    </x:row>
    <x:row r="396">
      <x:c r="B396" s="21" t="str">
        <x:v>A00390</x:v>
      </x:c>
      <x:c r="C396" s="21" t="str">
        <x:v>program</x:v>
      </x:c>
      <x:c r="D396" s="21" t="str">
        <x:v>F39-I1 capital ledger</x:v>
      </x:c>
      <x:c r="E396" s="21" t="n">
        <x:f>IF(ABS(SUM('Artifact Ledger'!K1527:K1536)-'Program Register'!K159)&lt;0.000001,1,0)</x:f>
        <x:v>1</x:v>
      </x:c>
      <x:c r="F396" s="21" t="n">
        <x:v>1</x:v>
      </x:c>
      <x:c r="G396" s="23" t="str">
        <x:f>IF(E396=F396,"PASS","FAIL")</x:f>
        <x:v>PASS</x:v>
      </x:c>
    </x:row>
    <x:row r="397">
      <x:c r="B397" s="21" t="str">
        <x:v>A00391</x:v>
      </x:c>
      <x:c r="C397" s="21" t="str">
        <x:v>program</x:v>
      </x:c>
      <x:c r="D397" s="21" t="str">
        <x:v>F39-I2 structure</x:v>
      </x:c>
      <x:c r="E397" s="21" t="n">
        <x:f>IF(AND('Program Register'!L160=Assumptions!C9,'Program Register'!M160=Assumptions!C11),1,0)</x:f>
        <x:v>1</x:v>
      </x:c>
      <x:c r="F397" s="21" t="n">
        <x:v>1</x:v>
      </x:c>
      <x:c r="G397" s="23" t="str">
        <x:f>IF(E397=F397,"PASS","FAIL")</x:f>
        <x:v>PASS</x:v>
      </x:c>
    </x:row>
    <x:row r="398">
      <x:c r="B398" s="21" t="str">
        <x:v>A00392</x:v>
      </x:c>
      <x:c r="C398" s="21" t="str">
        <x:v>program</x:v>
      </x:c>
      <x:c r="D398" s="21" t="str">
        <x:v>F39-I2 capital ledger</x:v>
      </x:c>
      <x:c r="E398" s="21" t="n">
        <x:f>IF(ABS(SUM('Artifact Ledger'!K1537:K1546)-'Program Register'!K160)&lt;0.000001,1,0)</x:f>
        <x:v>1</x:v>
      </x:c>
      <x:c r="F398" s="21" t="n">
        <x:v>1</x:v>
      </x:c>
      <x:c r="G398" s="23" t="str">
        <x:f>IF(E398=F398,"PASS","FAIL")</x:f>
        <x:v>PASS</x:v>
      </x:c>
    </x:row>
    <x:row r="399">
      <x:c r="B399" s="21" t="str">
        <x:v>A00393</x:v>
      </x:c>
      <x:c r="C399" s="21" t="str">
        <x:v>program</x:v>
      </x:c>
      <x:c r="D399" s="21" t="str">
        <x:v>F39-I3 structure</x:v>
      </x:c>
      <x:c r="E399" s="21" t="n">
        <x:f>IF(AND('Program Register'!L161=Assumptions!C9,'Program Register'!M161=Assumptions!C11),1,0)</x:f>
        <x:v>1</x:v>
      </x:c>
      <x:c r="F399" s="21" t="n">
        <x:v>1</x:v>
      </x:c>
      <x:c r="G399" s="23" t="str">
        <x:f>IF(E399=F399,"PASS","FAIL")</x:f>
        <x:v>PASS</x:v>
      </x:c>
    </x:row>
    <x:row r="400">
      <x:c r="B400" s="21" t="str">
        <x:v>A00394</x:v>
      </x:c>
      <x:c r="C400" s="21" t="str">
        <x:v>program</x:v>
      </x:c>
      <x:c r="D400" s="21" t="str">
        <x:v>F39-I3 capital ledger</x:v>
      </x:c>
      <x:c r="E400" s="21" t="n">
        <x:f>IF(ABS(SUM('Artifact Ledger'!K1547:K1556)-'Program Register'!K161)&lt;0.000001,1,0)</x:f>
        <x:v>1</x:v>
      </x:c>
      <x:c r="F400" s="21" t="n">
        <x:v>1</x:v>
      </x:c>
      <x:c r="G400" s="23" t="str">
        <x:f>IF(E400=F400,"PASS","FAIL")</x:f>
        <x:v>PASS</x:v>
      </x:c>
    </x:row>
    <x:row r="401">
      <x:c r="B401" s="21" t="str">
        <x:v>A00395</x:v>
      </x:c>
      <x:c r="C401" s="21" t="str">
        <x:v>program</x:v>
      </x:c>
      <x:c r="D401" s="21" t="str">
        <x:v>F39-I4 structure</x:v>
      </x:c>
      <x:c r="E401" s="21" t="n">
        <x:f>IF(AND('Program Register'!L162=Assumptions!C9,'Program Register'!M162=Assumptions!C11),1,0)</x:f>
        <x:v>1</x:v>
      </x:c>
      <x:c r="F401" s="21" t="n">
        <x:v>1</x:v>
      </x:c>
      <x:c r="G401" s="23" t="str">
        <x:f>IF(E401=F401,"PASS","FAIL")</x:f>
        <x:v>PASS</x:v>
      </x:c>
    </x:row>
    <x:row r="402">
      <x:c r="B402" s="21" t="str">
        <x:v>A00396</x:v>
      </x:c>
      <x:c r="C402" s="21" t="str">
        <x:v>program</x:v>
      </x:c>
      <x:c r="D402" s="21" t="str">
        <x:v>F39-I4 capital ledger</x:v>
      </x:c>
      <x:c r="E402" s="21" t="n">
        <x:f>IF(ABS(SUM('Artifact Ledger'!K1557:K1566)-'Program Register'!K162)&lt;0.000001,1,0)</x:f>
        <x:v>1</x:v>
      </x:c>
      <x:c r="F402" s="21" t="n">
        <x:v>1</x:v>
      </x:c>
      <x:c r="G402" s="23" t="str">
        <x:f>IF(E402=F402,"PASS","FAIL")</x:f>
        <x:v>PASS</x:v>
      </x:c>
    </x:row>
    <x:row r="403">
      <x:c r="B403" s="21" t="str">
        <x:v>A00397</x:v>
      </x:c>
      <x:c r="C403" s="21" t="str">
        <x:v>program</x:v>
      </x:c>
      <x:c r="D403" s="21" t="str">
        <x:v>F40-I1 structure</x:v>
      </x:c>
      <x:c r="E403" s="21" t="n">
        <x:f>IF(AND('Program Register'!L163=Assumptions!C9,'Program Register'!M163=Assumptions!C11),1,0)</x:f>
        <x:v>1</x:v>
      </x:c>
      <x:c r="F403" s="21" t="n">
        <x:v>1</x:v>
      </x:c>
      <x:c r="G403" s="23" t="str">
        <x:f>IF(E403=F403,"PASS","FAIL")</x:f>
        <x:v>PASS</x:v>
      </x:c>
    </x:row>
    <x:row r="404">
      <x:c r="B404" s="21" t="str">
        <x:v>A00398</x:v>
      </x:c>
      <x:c r="C404" s="21" t="str">
        <x:v>program</x:v>
      </x:c>
      <x:c r="D404" s="21" t="str">
        <x:v>F40-I1 capital ledger</x:v>
      </x:c>
      <x:c r="E404" s="21" t="n">
        <x:f>IF(ABS(SUM('Artifact Ledger'!K1567:K1576)-'Program Register'!K163)&lt;0.000001,1,0)</x:f>
        <x:v>1</x:v>
      </x:c>
      <x:c r="F404" s="21" t="n">
        <x:v>1</x:v>
      </x:c>
      <x:c r="G404" s="23" t="str">
        <x:f>IF(E404=F404,"PASS","FAIL")</x:f>
        <x:v>PASS</x:v>
      </x:c>
    </x:row>
    <x:row r="405">
      <x:c r="B405" s="21" t="str">
        <x:v>A00399</x:v>
      </x:c>
      <x:c r="C405" s="21" t="str">
        <x:v>program</x:v>
      </x:c>
      <x:c r="D405" s="21" t="str">
        <x:v>F40-I2 structure</x:v>
      </x:c>
      <x:c r="E405" s="21" t="n">
        <x:f>IF(AND('Program Register'!L164=Assumptions!C9,'Program Register'!M164=Assumptions!C11),1,0)</x:f>
        <x:v>1</x:v>
      </x:c>
      <x:c r="F405" s="21" t="n">
        <x:v>1</x:v>
      </x:c>
      <x:c r="G405" s="23" t="str">
        <x:f>IF(E405=F405,"PASS","FAIL")</x:f>
        <x:v>PASS</x:v>
      </x:c>
    </x:row>
    <x:row r="406">
      <x:c r="B406" s="21" t="str">
        <x:v>A00400</x:v>
      </x:c>
      <x:c r="C406" s="21" t="str">
        <x:v>program</x:v>
      </x:c>
      <x:c r="D406" s="21" t="str">
        <x:v>F40-I2 capital ledger</x:v>
      </x:c>
      <x:c r="E406" s="21" t="n">
        <x:f>IF(ABS(SUM('Artifact Ledger'!K1577:K1586)-'Program Register'!K164)&lt;0.000001,1,0)</x:f>
        <x:v>1</x:v>
      </x:c>
      <x:c r="F406" s="21" t="n">
        <x:v>1</x:v>
      </x:c>
      <x:c r="G406" s="23" t="str">
        <x:f>IF(E406=F406,"PASS","FAIL")</x:f>
        <x:v>PASS</x:v>
      </x:c>
    </x:row>
    <x:row r="407">
      <x:c r="B407" s="21" t="str">
        <x:v>A00401</x:v>
      </x:c>
      <x:c r="C407" s="21" t="str">
        <x:v>program</x:v>
      </x:c>
      <x:c r="D407" s="21" t="str">
        <x:v>F40-I3 structure</x:v>
      </x:c>
      <x:c r="E407" s="21" t="n">
        <x:f>IF(AND('Program Register'!L165=Assumptions!C9,'Program Register'!M165=Assumptions!C11),1,0)</x:f>
        <x:v>1</x:v>
      </x:c>
      <x:c r="F407" s="21" t="n">
        <x:v>1</x:v>
      </x:c>
      <x:c r="G407" s="23" t="str">
        <x:f>IF(E407=F407,"PASS","FAIL")</x:f>
        <x:v>PASS</x:v>
      </x:c>
    </x:row>
    <x:row r="408">
      <x:c r="B408" s="21" t="str">
        <x:v>A00402</x:v>
      </x:c>
      <x:c r="C408" s="21" t="str">
        <x:v>program</x:v>
      </x:c>
      <x:c r="D408" s="21" t="str">
        <x:v>F40-I3 capital ledger</x:v>
      </x:c>
      <x:c r="E408" s="21" t="n">
        <x:f>IF(ABS(SUM('Artifact Ledger'!K1587:K1596)-'Program Register'!K165)&lt;0.000001,1,0)</x:f>
        <x:v>1</x:v>
      </x:c>
      <x:c r="F408" s="21" t="n">
        <x:v>1</x:v>
      </x:c>
      <x:c r="G408" s="23" t="str">
        <x:f>IF(E408=F408,"PASS","FAIL")</x:f>
        <x:v>PASS</x:v>
      </x:c>
    </x:row>
    <x:row r="409">
      <x:c r="B409" s="21" t="str">
        <x:v>A00403</x:v>
      </x:c>
      <x:c r="C409" s="21" t="str">
        <x:v>program</x:v>
      </x:c>
      <x:c r="D409" s="21" t="str">
        <x:v>F40-I4 structure</x:v>
      </x:c>
      <x:c r="E409" s="21" t="n">
        <x:f>IF(AND('Program Register'!L166=Assumptions!C9,'Program Register'!M166=Assumptions!C11),1,0)</x:f>
        <x:v>1</x:v>
      </x:c>
      <x:c r="F409" s="21" t="n">
        <x:v>1</x:v>
      </x:c>
      <x:c r="G409" s="23" t="str">
        <x:f>IF(E409=F409,"PASS","FAIL")</x:f>
        <x:v>PASS</x:v>
      </x:c>
    </x:row>
    <x:row r="410">
      <x:c r="B410" s="21" t="str">
        <x:v>A00404</x:v>
      </x:c>
      <x:c r="C410" s="21" t="str">
        <x:v>program</x:v>
      </x:c>
      <x:c r="D410" s="21" t="str">
        <x:v>F40-I4 capital ledger</x:v>
      </x:c>
      <x:c r="E410" s="21" t="n">
        <x:f>IF(ABS(SUM('Artifact Ledger'!K1597:K1606)-'Program Register'!K166)&lt;0.000001,1,0)</x:f>
        <x:v>1</x:v>
      </x:c>
      <x:c r="F410" s="21" t="n">
        <x:v>1</x:v>
      </x:c>
      <x:c r="G410" s="23" t="str">
        <x:f>IF(E410=F410,"PASS","FAIL")</x:f>
        <x:v>PASS</x:v>
      </x:c>
    </x:row>
    <x:row r="411">
      <x:c r="B411" s="21" t="str">
        <x:v>A00405</x:v>
      </x:c>
      <x:c r="C411" s="21" t="str">
        <x:v>program</x:v>
      </x:c>
      <x:c r="D411" s="21" t="str">
        <x:v>F41-I1 structure</x:v>
      </x:c>
      <x:c r="E411" s="21" t="n">
        <x:f>IF(AND('Program Register'!L167=Assumptions!C9,'Program Register'!M167=Assumptions!C11),1,0)</x:f>
        <x:v>1</x:v>
      </x:c>
      <x:c r="F411" s="21" t="n">
        <x:v>1</x:v>
      </x:c>
      <x:c r="G411" s="23" t="str">
        <x:f>IF(E411=F411,"PASS","FAIL")</x:f>
        <x:v>PASS</x:v>
      </x:c>
    </x:row>
    <x:row r="412">
      <x:c r="B412" s="21" t="str">
        <x:v>A00406</x:v>
      </x:c>
      <x:c r="C412" s="21" t="str">
        <x:v>program</x:v>
      </x:c>
      <x:c r="D412" s="21" t="str">
        <x:v>F41-I1 capital ledger</x:v>
      </x:c>
      <x:c r="E412" s="21" t="n">
        <x:f>IF(ABS(SUM('Artifact Ledger'!K1607:K1616)-'Program Register'!K167)&lt;0.000001,1,0)</x:f>
        <x:v>1</x:v>
      </x:c>
      <x:c r="F412" s="21" t="n">
        <x:v>1</x:v>
      </x:c>
      <x:c r="G412" s="23" t="str">
        <x:f>IF(E412=F412,"PASS","FAIL")</x:f>
        <x:v>PASS</x:v>
      </x:c>
    </x:row>
    <x:row r="413">
      <x:c r="B413" s="21" t="str">
        <x:v>A00407</x:v>
      </x:c>
      <x:c r="C413" s="21" t="str">
        <x:v>program</x:v>
      </x:c>
      <x:c r="D413" s="21" t="str">
        <x:v>F41-I2 structure</x:v>
      </x:c>
      <x:c r="E413" s="21" t="n">
        <x:f>IF(AND('Program Register'!L168=Assumptions!C9,'Program Register'!M168=Assumptions!C11),1,0)</x:f>
        <x:v>1</x:v>
      </x:c>
      <x:c r="F413" s="21" t="n">
        <x:v>1</x:v>
      </x:c>
      <x:c r="G413" s="23" t="str">
        <x:f>IF(E413=F413,"PASS","FAIL")</x:f>
        <x:v>PASS</x:v>
      </x:c>
    </x:row>
    <x:row r="414">
      <x:c r="B414" s="21" t="str">
        <x:v>A00408</x:v>
      </x:c>
      <x:c r="C414" s="21" t="str">
        <x:v>program</x:v>
      </x:c>
      <x:c r="D414" s="21" t="str">
        <x:v>F41-I2 capital ledger</x:v>
      </x:c>
      <x:c r="E414" s="21" t="n">
        <x:f>IF(ABS(SUM('Artifact Ledger'!K1617:K1626)-'Program Register'!K168)&lt;0.000001,1,0)</x:f>
        <x:v>1</x:v>
      </x:c>
      <x:c r="F414" s="21" t="n">
        <x:v>1</x:v>
      </x:c>
      <x:c r="G414" s="23" t="str">
        <x:f>IF(E414=F414,"PASS","FAIL")</x:f>
        <x:v>PASS</x:v>
      </x:c>
    </x:row>
    <x:row r="415">
      <x:c r="B415" s="21" t="str">
        <x:v>A00409</x:v>
      </x:c>
      <x:c r="C415" s="21" t="str">
        <x:v>program</x:v>
      </x:c>
      <x:c r="D415" s="21" t="str">
        <x:v>F41-I3 structure</x:v>
      </x:c>
      <x:c r="E415" s="21" t="n">
        <x:f>IF(AND('Program Register'!L169=Assumptions!C9,'Program Register'!M169=Assumptions!C11),1,0)</x:f>
        <x:v>1</x:v>
      </x:c>
      <x:c r="F415" s="21" t="n">
        <x:v>1</x:v>
      </x:c>
      <x:c r="G415" s="23" t="str">
        <x:f>IF(E415=F415,"PASS","FAIL")</x:f>
        <x:v>PASS</x:v>
      </x:c>
    </x:row>
    <x:row r="416">
      <x:c r="B416" s="21" t="str">
        <x:v>A00410</x:v>
      </x:c>
      <x:c r="C416" s="21" t="str">
        <x:v>program</x:v>
      </x:c>
      <x:c r="D416" s="21" t="str">
        <x:v>F41-I3 capital ledger</x:v>
      </x:c>
      <x:c r="E416" s="21" t="n">
        <x:f>IF(ABS(SUM('Artifact Ledger'!K1627:K1636)-'Program Register'!K169)&lt;0.000001,1,0)</x:f>
        <x:v>1</x:v>
      </x:c>
      <x:c r="F416" s="21" t="n">
        <x:v>1</x:v>
      </x:c>
      <x:c r="G416" s="23" t="str">
        <x:f>IF(E416=F416,"PASS","FAIL")</x:f>
        <x:v>PASS</x:v>
      </x:c>
    </x:row>
    <x:row r="417">
      <x:c r="B417" s="21" t="str">
        <x:v>A00411</x:v>
      </x:c>
      <x:c r="C417" s="21" t="str">
        <x:v>program</x:v>
      </x:c>
      <x:c r="D417" s="21" t="str">
        <x:v>F41-I4 structure</x:v>
      </x:c>
      <x:c r="E417" s="21" t="n">
        <x:f>IF(AND('Program Register'!L170=Assumptions!C9,'Program Register'!M170=Assumptions!C11),1,0)</x:f>
        <x:v>1</x:v>
      </x:c>
      <x:c r="F417" s="21" t="n">
        <x:v>1</x:v>
      </x:c>
      <x:c r="G417" s="23" t="str">
        <x:f>IF(E417=F417,"PASS","FAIL")</x:f>
        <x:v>PASS</x:v>
      </x:c>
    </x:row>
    <x:row r="418">
      <x:c r="B418" s="21" t="str">
        <x:v>A00412</x:v>
      </x:c>
      <x:c r="C418" s="21" t="str">
        <x:v>program</x:v>
      </x:c>
      <x:c r="D418" s="21" t="str">
        <x:v>F41-I4 capital ledger</x:v>
      </x:c>
      <x:c r="E418" s="21" t="n">
        <x:f>IF(ABS(SUM('Artifact Ledger'!K1637:K1646)-'Program Register'!K170)&lt;0.000001,1,0)</x:f>
        <x:v>1</x:v>
      </x:c>
      <x:c r="F418" s="21" t="n">
        <x:v>1</x:v>
      </x:c>
      <x:c r="G418" s="23" t="str">
        <x:f>IF(E418=F418,"PASS","FAIL")</x:f>
        <x:v>PASS</x:v>
      </x:c>
    </x:row>
    <x:row r="419">
      <x:c r="B419" s="21" t="str">
        <x:v>A00413</x:v>
      </x:c>
      <x:c r="C419" s="21" t="str">
        <x:v>program</x:v>
      </x:c>
      <x:c r="D419" s="21" t="str">
        <x:v>F42-I1 structure</x:v>
      </x:c>
      <x:c r="E419" s="21" t="n">
        <x:f>IF(AND('Program Register'!L171=Assumptions!C9,'Program Register'!M171=Assumptions!C11),1,0)</x:f>
        <x:v>1</x:v>
      </x:c>
      <x:c r="F419" s="21" t="n">
        <x:v>1</x:v>
      </x:c>
      <x:c r="G419" s="23" t="str">
        <x:f>IF(E419=F419,"PASS","FAIL")</x:f>
        <x:v>PASS</x:v>
      </x:c>
    </x:row>
    <x:row r="420">
      <x:c r="B420" s="21" t="str">
        <x:v>A00414</x:v>
      </x:c>
      <x:c r="C420" s="21" t="str">
        <x:v>program</x:v>
      </x:c>
      <x:c r="D420" s="21" t="str">
        <x:v>F42-I1 capital ledger</x:v>
      </x:c>
      <x:c r="E420" s="21" t="n">
        <x:f>IF(ABS(SUM('Artifact Ledger'!K1647:K1656)-'Program Register'!K171)&lt;0.000001,1,0)</x:f>
        <x:v>1</x:v>
      </x:c>
      <x:c r="F420" s="21" t="n">
        <x:v>1</x:v>
      </x:c>
      <x:c r="G420" s="23" t="str">
        <x:f>IF(E420=F420,"PASS","FAIL")</x:f>
        <x:v>PASS</x:v>
      </x:c>
    </x:row>
    <x:row r="421">
      <x:c r="B421" s="21" t="str">
        <x:v>A00415</x:v>
      </x:c>
      <x:c r="C421" s="21" t="str">
        <x:v>program</x:v>
      </x:c>
      <x:c r="D421" s="21" t="str">
        <x:v>F42-I2 structure</x:v>
      </x:c>
      <x:c r="E421" s="21" t="n">
        <x:f>IF(AND('Program Register'!L172=Assumptions!C9,'Program Register'!M172=Assumptions!C11),1,0)</x:f>
        <x:v>1</x:v>
      </x:c>
      <x:c r="F421" s="21" t="n">
        <x:v>1</x:v>
      </x:c>
      <x:c r="G421" s="23" t="str">
        <x:f>IF(E421=F421,"PASS","FAIL")</x:f>
        <x:v>PASS</x:v>
      </x:c>
    </x:row>
    <x:row r="422">
      <x:c r="B422" s="21" t="str">
        <x:v>A00416</x:v>
      </x:c>
      <x:c r="C422" s="21" t="str">
        <x:v>program</x:v>
      </x:c>
      <x:c r="D422" s="21" t="str">
        <x:v>F42-I2 capital ledger</x:v>
      </x:c>
      <x:c r="E422" s="21" t="n">
        <x:f>IF(ABS(SUM('Artifact Ledger'!K1657:K1666)-'Program Register'!K172)&lt;0.000001,1,0)</x:f>
        <x:v>1</x:v>
      </x:c>
      <x:c r="F422" s="21" t="n">
        <x:v>1</x:v>
      </x:c>
      <x:c r="G422" s="23" t="str">
        <x:f>IF(E422=F422,"PASS","FAIL")</x:f>
        <x:v>PASS</x:v>
      </x:c>
    </x:row>
    <x:row r="423">
      <x:c r="B423" s="21" t="str">
        <x:v>A00417</x:v>
      </x:c>
      <x:c r="C423" s="21" t="str">
        <x:v>program</x:v>
      </x:c>
      <x:c r="D423" s="21" t="str">
        <x:v>F42-I3 structure</x:v>
      </x:c>
      <x:c r="E423" s="21" t="n">
        <x:f>IF(AND('Program Register'!L173=Assumptions!C9,'Program Register'!M173=Assumptions!C11),1,0)</x:f>
        <x:v>1</x:v>
      </x:c>
      <x:c r="F423" s="21" t="n">
        <x:v>1</x:v>
      </x:c>
      <x:c r="G423" s="23" t="str">
        <x:f>IF(E423=F423,"PASS","FAIL")</x:f>
        <x:v>PASS</x:v>
      </x:c>
    </x:row>
    <x:row r="424">
      <x:c r="B424" s="21" t="str">
        <x:v>A00418</x:v>
      </x:c>
      <x:c r="C424" s="21" t="str">
        <x:v>program</x:v>
      </x:c>
      <x:c r="D424" s="21" t="str">
        <x:v>F42-I3 capital ledger</x:v>
      </x:c>
      <x:c r="E424" s="21" t="n">
        <x:f>IF(ABS(SUM('Artifact Ledger'!K1667:K1676)-'Program Register'!K173)&lt;0.000001,1,0)</x:f>
        <x:v>1</x:v>
      </x:c>
      <x:c r="F424" s="21" t="n">
        <x:v>1</x:v>
      </x:c>
      <x:c r="G424" s="23" t="str">
        <x:f>IF(E424=F424,"PASS","FAIL")</x:f>
        <x:v>PASS</x:v>
      </x:c>
    </x:row>
    <x:row r="425">
      <x:c r="B425" s="21" t="str">
        <x:v>A00419</x:v>
      </x:c>
      <x:c r="C425" s="21" t="str">
        <x:v>program</x:v>
      </x:c>
      <x:c r="D425" s="21" t="str">
        <x:v>F42-I4 structure</x:v>
      </x:c>
      <x:c r="E425" s="21" t="n">
        <x:f>IF(AND('Program Register'!L174=Assumptions!C9,'Program Register'!M174=Assumptions!C11),1,0)</x:f>
        <x:v>1</x:v>
      </x:c>
      <x:c r="F425" s="21" t="n">
        <x:v>1</x:v>
      </x:c>
      <x:c r="G425" s="23" t="str">
        <x:f>IF(E425=F425,"PASS","FAIL")</x:f>
        <x:v>PASS</x:v>
      </x:c>
    </x:row>
    <x:row r="426">
      <x:c r="B426" s="21" t="str">
        <x:v>A00420</x:v>
      </x:c>
      <x:c r="C426" s="21" t="str">
        <x:v>program</x:v>
      </x:c>
      <x:c r="D426" s="21" t="str">
        <x:v>F42-I4 capital ledger</x:v>
      </x:c>
      <x:c r="E426" s="21" t="n">
        <x:f>IF(ABS(SUM('Artifact Ledger'!K1677:K1686)-'Program Register'!K174)&lt;0.000001,1,0)</x:f>
        <x:v>1</x:v>
      </x:c>
      <x:c r="F426" s="21" t="n">
        <x:v>1</x:v>
      </x:c>
      <x:c r="G426" s="23" t="str">
        <x:f>IF(E426=F426,"PASS","FAIL")</x:f>
        <x:v>PASS</x:v>
      </x:c>
    </x:row>
    <x:row r="427">
      <x:c r="B427" s="21" t="str">
        <x:v>A00421</x:v>
      </x:c>
      <x:c r="C427" s="21" t="str">
        <x:v>program</x:v>
      </x:c>
      <x:c r="D427" s="21" t="str">
        <x:v>F43-I1 structure</x:v>
      </x:c>
      <x:c r="E427" s="21" t="n">
        <x:f>IF(AND('Program Register'!L175=Assumptions!C9,'Program Register'!M175=Assumptions!C11),1,0)</x:f>
        <x:v>1</x:v>
      </x:c>
      <x:c r="F427" s="21" t="n">
        <x:v>1</x:v>
      </x:c>
      <x:c r="G427" s="23" t="str">
        <x:f>IF(E427=F427,"PASS","FAIL")</x:f>
        <x:v>PASS</x:v>
      </x:c>
    </x:row>
    <x:row r="428">
      <x:c r="B428" s="21" t="str">
        <x:v>A00422</x:v>
      </x:c>
      <x:c r="C428" s="21" t="str">
        <x:v>program</x:v>
      </x:c>
      <x:c r="D428" s="21" t="str">
        <x:v>F43-I1 capital ledger</x:v>
      </x:c>
      <x:c r="E428" s="21" t="n">
        <x:f>IF(ABS(SUM('Artifact Ledger'!K1687:K1696)-'Program Register'!K175)&lt;0.000001,1,0)</x:f>
        <x:v>1</x:v>
      </x:c>
      <x:c r="F428" s="21" t="n">
        <x:v>1</x:v>
      </x:c>
      <x:c r="G428" s="23" t="str">
        <x:f>IF(E428=F428,"PASS","FAIL")</x:f>
        <x:v>PASS</x:v>
      </x:c>
    </x:row>
    <x:row r="429">
      <x:c r="B429" s="21" t="str">
        <x:v>A00423</x:v>
      </x:c>
      <x:c r="C429" s="21" t="str">
        <x:v>program</x:v>
      </x:c>
      <x:c r="D429" s="21" t="str">
        <x:v>F43-I2 structure</x:v>
      </x:c>
      <x:c r="E429" s="21" t="n">
        <x:f>IF(AND('Program Register'!L176=Assumptions!C9,'Program Register'!M176=Assumptions!C11),1,0)</x:f>
        <x:v>1</x:v>
      </x:c>
      <x:c r="F429" s="21" t="n">
        <x:v>1</x:v>
      </x:c>
      <x:c r="G429" s="23" t="str">
        <x:f>IF(E429=F429,"PASS","FAIL")</x:f>
        <x:v>PASS</x:v>
      </x:c>
    </x:row>
    <x:row r="430">
      <x:c r="B430" s="21" t="str">
        <x:v>A00424</x:v>
      </x:c>
      <x:c r="C430" s="21" t="str">
        <x:v>program</x:v>
      </x:c>
      <x:c r="D430" s="21" t="str">
        <x:v>F43-I2 capital ledger</x:v>
      </x:c>
      <x:c r="E430" s="21" t="n">
        <x:f>IF(ABS(SUM('Artifact Ledger'!K1697:K1706)-'Program Register'!K176)&lt;0.000001,1,0)</x:f>
        <x:v>1</x:v>
      </x:c>
      <x:c r="F430" s="21" t="n">
        <x:v>1</x:v>
      </x:c>
      <x:c r="G430" s="23" t="str">
        <x:f>IF(E430=F430,"PASS","FAIL")</x:f>
        <x:v>PASS</x:v>
      </x:c>
    </x:row>
    <x:row r="431">
      <x:c r="B431" s="21" t="str">
        <x:v>A00425</x:v>
      </x:c>
      <x:c r="C431" s="21" t="str">
        <x:v>program</x:v>
      </x:c>
      <x:c r="D431" s="21" t="str">
        <x:v>F43-I3 structure</x:v>
      </x:c>
      <x:c r="E431" s="21" t="n">
        <x:f>IF(AND('Program Register'!L177=Assumptions!C9,'Program Register'!M177=Assumptions!C11),1,0)</x:f>
        <x:v>1</x:v>
      </x:c>
      <x:c r="F431" s="21" t="n">
        <x:v>1</x:v>
      </x:c>
      <x:c r="G431" s="23" t="str">
        <x:f>IF(E431=F431,"PASS","FAIL")</x:f>
        <x:v>PASS</x:v>
      </x:c>
    </x:row>
    <x:row r="432">
      <x:c r="B432" s="21" t="str">
        <x:v>A00426</x:v>
      </x:c>
      <x:c r="C432" s="21" t="str">
        <x:v>program</x:v>
      </x:c>
      <x:c r="D432" s="21" t="str">
        <x:v>F43-I3 capital ledger</x:v>
      </x:c>
      <x:c r="E432" s="21" t="n">
        <x:f>IF(ABS(SUM('Artifact Ledger'!K1707:K1716)-'Program Register'!K177)&lt;0.000001,1,0)</x:f>
        <x:v>1</x:v>
      </x:c>
      <x:c r="F432" s="21" t="n">
        <x:v>1</x:v>
      </x:c>
      <x:c r="G432" s="23" t="str">
        <x:f>IF(E432=F432,"PASS","FAIL")</x:f>
        <x:v>PASS</x:v>
      </x:c>
    </x:row>
    <x:row r="433">
      <x:c r="B433" s="21" t="str">
        <x:v>A00427</x:v>
      </x:c>
      <x:c r="C433" s="21" t="str">
        <x:v>program</x:v>
      </x:c>
      <x:c r="D433" s="21" t="str">
        <x:v>F43-I4 structure</x:v>
      </x:c>
      <x:c r="E433" s="21" t="n">
        <x:f>IF(AND('Program Register'!L178=Assumptions!C9,'Program Register'!M178=Assumptions!C11),1,0)</x:f>
        <x:v>1</x:v>
      </x:c>
      <x:c r="F433" s="21" t="n">
        <x:v>1</x:v>
      </x:c>
      <x:c r="G433" s="23" t="str">
        <x:f>IF(E433=F433,"PASS","FAIL")</x:f>
        <x:v>PASS</x:v>
      </x:c>
    </x:row>
    <x:row r="434">
      <x:c r="B434" s="21" t="str">
        <x:v>A00428</x:v>
      </x:c>
      <x:c r="C434" s="21" t="str">
        <x:v>program</x:v>
      </x:c>
      <x:c r="D434" s="21" t="str">
        <x:v>F43-I4 capital ledger</x:v>
      </x:c>
      <x:c r="E434" s="21" t="n">
        <x:f>IF(ABS(SUM('Artifact Ledger'!K1717:K1726)-'Program Register'!K178)&lt;0.000001,1,0)</x:f>
        <x:v>1</x:v>
      </x:c>
      <x:c r="F434" s="21" t="n">
        <x:v>1</x:v>
      </x:c>
      <x:c r="G434" s="23" t="str">
        <x:f>IF(E434=F434,"PASS","FAIL")</x:f>
        <x:v>PASS</x:v>
      </x:c>
    </x:row>
    <x:row r="435">
      <x:c r="B435" s="21" t="str">
        <x:v>A00429</x:v>
      </x:c>
      <x:c r="C435" s="21" t="str">
        <x:v>program</x:v>
      </x:c>
      <x:c r="D435" s="21" t="str">
        <x:v>F44-I1 structure</x:v>
      </x:c>
      <x:c r="E435" s="21" t="n">
        <x:f>IF(AND('Program Register'!L179=Assumptions!C9,'Program Register'!M179=Assumptions!C11),1,0)</x:f>
        <x:v>1</x:v>
      </x:c>
      <x:c r="F435" s="21" t="n">
        <x:v>1</x:v>
      </x:c>
      <x:c r="G435" s="23" t="str">
        <x:f>IF(E435=F435,"PASS","FAIL")</x:f>
        <x:v>PASS</x:v>
      </x:c>
    </x:row>
    <x:row r="436">
      <x:c r="B436" s="21" t="str">
        <x:v>A00430</x:v>
      </x:c>
      <x:c r="C436" s="21" t="str">
        <x:v>program</x:v>
      </x:c>
      <x:c r="D436" s="21" t="str">
        <x:v>F44-I1 capital ledger</x:v>
      </x:c>
      <x:c r="E436" s="21" t="n">
        <x:f>IF(ABS(SUM('Artifact Ledger'!K1727:K1736)-'Program Register'!K179)&lt;0.000001,1,0)</x:f>
        <x:v>1</x:v>
      </x:c>
      <x:c r="F436" s="21" t="n">
        <x:v>1</x:v>
      </x:c>
      <x:c r="G436" s="23" t="str">
        <x:f>IF(E436=F436,"PASS","FAIL")</x:f>
        <x:v>PASS</x:v>
      </x:c>
    </x:row>
    <x:row r="437">
      <x:c r="B437" s="21" t="str">
        <x:v>A00431</x:v>
      </x:c>
      <x:c r="C437" s="21" t="str">
        <x:v>program</x:v>
      </x:c>
      <x:c r="D437" s="21" t="str">
        <x:v>F44-I2 structure</x:v>
      </x:c>
      <x:c r="E437" s="21" t="n">
        <x:f>IF(AND('Program Register'!L180=Assumptions!C9,'Program Register'!M180=Assumptions!C11),1,0)</x:f>
        <x:v>1</x:v>
      </x:c>
      <x:c r="F437" s="21" t="n">
        <x:v>1</x:v>
      </x:c>
      <x:c r="G437" s="23" t="str">
        <x:f>IF(E437=F437,"PASS","FAIL")</x:f>
        <x:v>PASS</x:v>
      </x:c>
    </x:row>
    <x:row r="438">
      <x:c r="B438" s="21" t="str">
        <x:v>A00432</x:v>
      </x:c>
      <x:c r="C438" s="21" t="str">
        <x:v>program</x:v>
      </x:c>
      <x:c r="D438" s="21" t="str">
        <x:v>F44-I2 capital ledger</x:v>
      </x:c>
      <x:c r="E438" s="21" t="n">
        <x:f>IF(ABS(SUM('Artifact Ledger'!K1737:K1746)-'Program Register'!K180)&lt;0.000001,1,0)</x:f>
        <x:v>1</x:v>
      </x:c>
      <x:c r="F438" s="21" t="n">
        <x:v>1</x:v>
      </x:c>
      <x:c r="G438" s="23" t="str">
        <x:f>IF(E438=F438,"PASS","FAIL")</x:f>
        <x:v>PASS</x:v>
      </x:c>
    </x:row>
    <x:row r="439">
      <x:c r="B439" s="21" t="str">
        <x:v>A00433</x:v>
      </x:c>
      <x:c r="C439" s="21" t="str">
        <x:v>program</x:v>
      </x:c>
      <x:c r="D439" s="21" t="str">
        <x:v>F44-I3 structure</x:v>
      </x:c>
      <x:c r="E439" s="21" t="n">
        <x:f>IF(AND('Program Register'!L181=Assumptions!C9,'Program Register'!M181=Assumptions!C11),1,0)</x:f>
        <x:v>1</x:v>
      </x:c>
      <x:c r="F439" s="21" t="n">
        <x:v>1</x:v>
      </x:c>
      <x:c r="G439" s="23" t="str">
        <x:f>IF(E439=F439,"PASS","FAIL")</x:f>
        <x:v>PASS</x:v>
      </x:c>
    </x:row>
    <x:row r="440">
      <x:c r="B440" s="21" t="str">
        <x:v>A00434</x:v>
      </x:c>
      <x:c r="C440" s="21" t="str">
        <x:v>program</x:v>
      </x:c>
      <x:c r="D440" s="21" t="str">
        <x:v>F44-I3 capital ledger</x:v>
      </x:c>
      <x:c r="E440" s="21" t="n">
        <x:f>IF(ABS(SUM('Artifact Ledger'!K1747:K1756)-'Program Register'!K181)&lt;0.000001,1,0)</x:f>
        <x:v>1</x:v>
      </x:c>
      <x:c r="F440" s="21" t="n">
        <x:v>1</x:v>
      </x:c>
      <x:c r="G440" s="23" t="str">
        <x:f>IF(E440=F440,"PASS","FAIL")</x:f>
        <x:v>PASS</x:v>
      </x:c>
    </x:row>
    <x:row r="441">
      <x:c r="B441" s="21" t="str">
        <x:v>A00435</x:v>
      </x:c>
      <x:c r="C441" s="21" t="str">
        <x:v>program</x:v>
      </x:c>
      <x:c r="D441" s="21" t="str">
        <x:v>F44-I4 structure</x:v>
      </x:c>
      <x:c r="E441" s="21" t="n">
        <x:f>IF(AND('Program Register'!L182=Assumptions!C9,'Program Register'!M182=Assumptions!C11),1,0)</x:f>
        <x:v>1</x:v>
      </x:c>
      <x:c r="F441" s="21" t="n">
        <x:v>1</x:v>
      </x:c>
      <x:c r="G441" s="23" t="str">
        <x:f>IF(E441=F441,"PASS","FAIL")</x:f>
        <x:v>PASS</x:v>
      </x:c>
    </x:row>
    <x:row r="442">
      <x:c r="B442" s="21" t="str">
        <x:v>A00436</x:v>
      </x:c>
      <x:c r="C442" s="21" t="str">
        <x:v>program</x:v>
      </x:c>
      <x:c r="D442" s="21" t="str">
        <x:v>F44-I4 capital ledger</x:v>
      </x:c>
      <x:c r="E442" s="21" t="n">
        <x:f>IF(ABS(SUM('Artifact Ledger'!K1757:K1766)-'Program Register'!K182)&lt;0.000001,1,0)</x:f>
        <x:v>1</x:v>
      </x:c>
      <x:c r="F442" s="21" t="n">
        <x:v>1</x:v>
      </x:c>
      <x:c r="G442" s="23" t="str">
        <x:f>IF(E442=F442,"PASS","FAIL")</x:f>
        <x:v>PASS</x:v>
      </x:c>
    </x:row>
    <x:row r="443">
      <x:c r="B443" s="21" t="str">
        <x:v>A00437</x:v>
      </x:c>
      <x:c r="C443" s="21" t="str">
        <x:v>program</x:v>
      </x:c>
      <x:c r="D443" s="21" t="str">
        <x:v>F45-I1 structure</x:v>
      </x:c>
      <x:c r="E443" s="21" t="n">
        <x:f>IF(AND('Program Register'!L183=Assumptions!C9,'Program Register'!M183=Assumptions!C11),1,0)</x:f>
        <x:v>1</x:v>
      </x:c>
      <x:c r="F443" s="21" t="n">
        <x:v>1</x:v>
      </x:c>
      <x:c r="G443" s="23" t="str">
        <x:f>IF(E443=F443,"PASS","FAIL")</x:f>
        <x:v>PASS</x:v>
      </x:c>
    </x:row>
    <x:row r="444">
      <x:c r="B444" s="21" t="str">
        <x:v>A00438</x:v>
      </x:c>
      <x:c r="C444" s="21" t="str">
        <x:v>program</x:v>
      </x:c>
      <x:c r="D444" s="21" t="str">
        <x:v>F45-I1 capital ledger</x:v>
      </x:c>
      <x:c r="E444" s="21" t="n">
        <x:f>IF(ABS(SUM('Artifact Ledger'!K1767:K1776)-'Program Register'!K183)&lt;0.000001,1,0)</x:f>
        <x:v>1</x:v>
      </x:c>
      <x:c r="F444" s="21" t="n">
        <x:v>1</x:v>
      </x:c>
      <x:c r="G444" s="23" t="str">
        <x:f>IF(E444=F444,"PASS","FAIL")</x:f>
        <x:v>PASS</x:v>
      </x:c>
    </x:row>
    <x:row r="445">
      <x:c r="B445" s="21" t="str">
        <x:v>A00439</x:v>
      </x:c>
      <x:c r="C445" s="21" t="str">
        <x:v>program</x:v>
      </x:c>
      <x:c r="D445" s="21" t="str">
        <x:v>F45-I2 structure</x:v>
      </x:c>
      <x:c r="E445" s="21" t="n">
        <x:f>IF(AND('Program Register'!L184=Assumptions!C9,'Program Register'!M184=Assumptions!C11),1,0)</x:f>
        <x:v>1</x:v>
      </x:c>
      <x:c r="F445" s="21" t="n">
        <x:v>1</x:v>
      </x:c>
      <x:c r="G445" s="23" t="str">
        <x:f>IF(E445=F445,"PASS","FAIL")</x:f>
        <x:v>PASS</x:v>
      </x:c>
    </x:row>
    <x:row r="446">
      <x:c r="B446" s="21" t="str">
        <x:v>A00440</x:v>
      </x:c>
      <x:c r="C446" s="21" t="str">
        <x:v>program</x:v>
      </x:c>
      <x:c r="D446" s="21" t="str">
        <x:v>F45-I2 capital ledger</x:v>
      </x:c>
      <x:c r="E446" s="21" t="n">
        <x:f>IF(ABS(SUM('Artifact Ledger'!K1777:K1786)-'Program Register'!K184)&lt;0.000001,1,0)</x:f>
        <x:v>1</x:v>
      </x:c>
      <x:c r="F446" s="21" t="n">
        <x:v>1</x:v>
      </x:c>
      <x:c r="G446" s="23" t="str">
        <x:f>IF(E446=F446,"PASS","FAIL")</x:f>
        <x:v>PASS</x:v>
      </x:c>
    </x:row>
    <x:row r="447">
      <x:c r="B447" s="21" t="str">
        <x:v>A00441</x:v>
      </x:c>
      <x:c r="C447" s="21" t="str">
        <x:v>program</x:v>
      </x:c>
      <x:c r="D447" s="21" t="str">
        <x:v>F45-I3 structure</x:v>
      </x:c>
      <x:c r="E447" s="21" t="n">
        <x:f>IF(AND('Program Register'!L185=Assumptions!C9,'Program Register'!M185=Assumptions!C11),1,0)</x:f>
        <x:v>1</x:v>
      </x:c>
      <x:c r="F447" s="21" t="n">
        <x:v>1</x:v>
      </x:c>
      <x:c r="G447" s="23" t="str">
        <x:f>IF(E447=F447,"PASS","FAIL")</x:f>
        <x:v>PASS</x:v>
      </x:c>
    </x:row>
    <x:row r="448">
      <x:c r="B448" s="21" t="str">
        <x:v>A00442</x:v>
      </x:c>
      <x:c r="C448" s="21" t="str">
        <x:v>program</x:v>
      </x:c>
      <x:c r="D448" s="21" t="str">
        <x:v>F45-I3 capital ledger</x:v>
      </x:c>
      <x:c r="E448" s="21" t="n">
        <x:f>IF(ABS(SUM('Artifact Ledger'!K1787:K1796)-'Program Register'!K185)&lt;0.000001,1,0)</x:f>
        <x:v>1</x:v>
      </x:c>
      <x:c r="F448" s="21" t="n">
        <x:v>1</x:v>
      </x:c>
      <x:c r="G448" s="23" t="str">
        <x:f>IF(E448=F448,"PASS","FAIL")</x:f>
        <x:v>PASS</x:v>
      </x:c>
    </x:row>
    <x:row r="449">
      <x:c r="B449" s="21" t="str">
        <x:v>A00443</x:v>
      </x:c>
      <x:c r="C449" s="21" t="str">
        <x:v>program</x:v>
      </x:c>
      <x:c r="D449" s="21" t="str">
        <x:v>F45-I4 structure</x:v>
      </x:c>
      <x:c r="E449" s="21" t="n">
        <x:f>IF(AND('Program Register'!L186=Assumptions!C9,'Program Register'!M186=Assumptions!C11),1,0)</x:f>
        <x:v>1</x:v>
      </x:c>
      <x:c r="F449" s="21" t="n">
        <x:v>1</x:v>
      </x:c>
      <x:c r="G449" s="23" t="str">
        <x:f>IF(E449=F449,"PASS","FAIL")</x:f>
        <x:v>PASS</x:v>
      </x:c>
    </x:row>
    <x:row r="450">
      <x:c r="B450" s="21" t="str">
        <x:v>A00444</x:v>
      </x:c>
      <x:c r="C450" s="21" t="str">
        <x:v>program</x:v>
      </x:c>
      <x:c r="D450" s="21" t="str">
        <x:v>F45-I4 capital ledger</x:v>
      </x:c>
      <x:c r="E450" s="21" t="n">
        <x:f>IF(ABS(SUM('Artifact Ledger'!K1797:K1806)-'Program Register'!K186)&lt;0.000001,1,0)</x:f>
        <x:v>1</x:v>
      </x:c>
      <x:c r="F450" s="21" t="n">
        <x:v>1</x:v>
      </x:c>
      <x:c r="G450" s="23" t="str">
        <x:f>IF(E450=F450,"PASS","FAIL")</x:f>
        <x:v>PASS</x:v>
      </x:c>
    </x:row>
    <x:row r="451">
      <x:c r="B451" s="21" t="str">
        <x:v>A00445</x:v>
      </x:c>
      <x:c r="C451" s="21" t="str">
        <x:v>program</x:v>
      </x:c>
      <x:c r="D451" s="21" t="str">
        <x:v>F46-I1 structure</x:v>
      </x:c>
      <x:c r="E451" s="21" t="n">
        <x:f>IF(AND('Program Register'!L187=Assumptions!C9,'Program Register'!M187=Assumptions!C11),1,0)</x:f>
        <x:v>1</x:v>
      </x:c>
      <x:c r="F451" s="21" t="n">
        <x:v>1</x:v>
      </x:c>
      <x:c r="G451" s="23" t="str">
        <x:f>IF(E451=F451,"PASS","FAIL")</x:f>
        <x:v>PASS</x:v>
      </x:c>
    </x:row>
    <x:row r="452">
      <x:c r="B452" s="21" t="str">
        <x:v>A00446</x:v>
      </x:c>
      <x:c r="C452" s="21" t="str">
        <x:v>program</x:v>
      </x:c>
      <x:c r="D452" s="21" t="str">
        <x:v>F46-I1 capital ledger</x:v>
      </x:c>
      <x:c r="E452" s="21" t="n">
        <x:f>IF(ABS(SUM('Artifact Ledger'!K1807:K1816)-'Program Register'!K187)&lt;0.000001,1,0)</x:f>
        <x:v>1</x:v>
      </x:c>
      <x:c r="F452" s="21" t="n">
        <x:v>1</x:v>
      </x:c>
      <x:c r="G452" s="23" t="str">
        <x:f>IF(E452=F452,"PASS","FAIL")</x:f>
        <x:v>PASS</x:v>
      </x:c>
    </x:row>
    <x:row r="453">
      <x:c r="B453" s="21" t="str">
        <x:v>A00447</x:v>
      </x:c>
      <x:c r="C453" s="21" t="str">
        <x:v>program</x:v>
      </x:c>
      <x:c r="D453" s="21" t="str">
        <x:v>F46-I2 structure</x:v>
      </x:c>
      <x:c r="E453" s="21" t="n">
        <x:f>IF(AND('Program Register'!L188=Assumptions!C9,'Program Register'!M188=Assumptions!C11),1,0)</x:f>
        <x:v>1</x:v>
      </x:c>
      <x:c r="F453" s="21" t="n">
        <x:v>1</x:v>
      </x:c>
      <x:c r="G453" s="23" t="str">
        <x:f>IF(E453=F453,"PASS","FAIL")</x:f>
        <x:v>PASS</x:v>
      </x:c>
    </x:row>
    <x:row r="454">
      <x:c r="B454" s="21" t="str">
        <x:v>A00448</x:v>
      </x:c>
      <x:c r="C454" s="21" t="str">
        <x:v>program</x:v>
      </x:c>
      <x:c r="D454" s="21" t="str">
        <x:v>F46-I2 capital ledger</x:v>
      </x:c>
      <x:c r="E454" s="21" t="n">
        <x:f>IF(ABS(SUM('Artifact Ledger'!K1817:K1826)-'Program Register'!K188)&lt;0.000001,1,0)</x:f>
        <x:v>1</x:v>
      </x:c>
      <x:c r="F454" s="21" t="n">
        <x:v>1</x:v>
      </x:c>
      <x:c r="G454" s="23" t="str">
        <x:f>IF(E454=F454,"PASS","FAIL")</x:f>
        <x:v>PASS</x:v>
      </x:c>
    </x:row>
    <x:row r="455">
      <x:c r="B455" s="21" t="str">
        <x:v>A00449</x:v>
      </x:c>
      <x:c r="C455" s="21" t="str">
        <x:v>program</x:v>
      </x:c>
      <x:c r="D455" s="21" t="str">
        <x:v>F46-I3 structure</x:v>
      </x:c>
      <x:c r="E455" s="21" t="n">
        <x:f>IF(AND('Program Register'!L189=Assumptions!C9,'Program Register'!M189=Assumptions!C11),1,0)</x:f>
        <x:v>1</x:v>
      </x:c>
      <x:c r="F455" s="21" t="n">
        <x:v>1</x:v>
      </x:c>
      <x:c r="G455" s="23" t="str">
        <x:f>IF(E455=F455,"PASS","FAIL")</x:f>
        <x:v>PASS</x:v>
      </x:c>
    </x:row>
    <x:row r="456">
      <x:c r="B456" s="21" t="str">
        <x:v>A00450</x:v>
      </x:c>
      <x:c r="C456" s="21" t="str">
        <x:v>program</x:v>
      </x:c>
      <x:c r="D456" s="21" t="str">
        <x:v>F46-I3 capital ledger</x:v>
      </x:c>
      <x:c r="E456" s="21" t="n">
        <x:f>IF(ABS(SUM('Artifact Ledger'!K1827:K1836)-'Program Register'!K189)&lt;0.000001,1,0)</x:f>
        <x:v>1</x:v>
      </x:c>
      <x:c r="F456" s="21" t="n">
        <x:v>1</x:v>
      </x:c>
      <x:c r="G456" s="23" t="str">
        <x:f>IF(E456=F456,"PASS","FAIL")</x:f>
        <x:v>PASS</x:v>
      </x:c>
    </x:row>
    <x:row r="457">
      <x:c r="B457" s="21" t="str">
        <x:v>A00451</x:v>
      </x:c>
      <x:c r="C457" s="21" t="str">
        <x:v>program</x:v>
      </x:c>
      <x:c r="D457" s="21" t="str">
        <x:v>F46-I4 structure</x:v>
      </x:c>
      <x:c r="E457" s="21" t="n">
        <x:f>IF(AND('Program Register'!L190=Assumptions!C9,'Program Register'!M190=Assumptions!C11),1,0)</x:f>
        <x:v>1</x:v>
      </x:c>
      <x:c r="F457" s="21" t="n">
        <x:v>1</x:v>
      </x:c>
      <x:c r="G457" s="23" t="str">
        <x:f>IF(E457=F457,"PASS","FAIL")</x:f>
        <x:v>PASS</x:v>
      </x:c>
    </x:row>
    <x:row r="458">
      <x:c r="B458" s="21" t="str">
        <x:v>A00452</x:v>
      </x:c>
      <x:c r="C458" s="21" t="str">
        <x:v>program</x:v>
      </x:c>
      <x:c r="D458" s="21" t="str">
        <x:v>F46-I4 capital ledger</x:v>
      </x:c>
      <x:c r="E458" s="21" t="n">
        <x:f>IF(ABS(SUM('Artifact Ledger'!K1837:K1846)-'Program Register'!K190)&lt;0.000001,1,0)</x:f>
        <x:v>1</x:v>
      </x:c>
      <x:c r="F458" s="21" t="n">
        <x:v>1</x:v>
      </x:c>
      <x:c r="G458" s="23" t="str">
        <x:f>IF(E458=F458,"PASS","FAIL")</x:f>
        <x:v>PASS</x:v>
      </x:c>
    </x:row>
    <x:row r="459">
      <x:c r="B459" s="21" t="str">
        <x:v>A00453</x:v>
      </x:c>
      <x:c r="C459" s="21" t="str">
        <x:v>program</x:v>
      </x:c>
      <x:c r="D459" s="21" t="str">
        <x:v>F47-I1 structure</x:v>
      </x:c>
      <x:c r="E459" s="21" t="n">
        <x:f>IF(AND('Program Register'!L191=Assumptions!C9,'Program Register'!M191=Assumptions!C11),1,0)</x:f>
        <x:v>1</x:v>
      </x:c>
      <x:c r="F459" s="21" t="n">
        <x:v>1</x:v>
      </x:c>
      <x:c r="G459" s="23" t="str">
        <x:f>IF(E459=F459,"PASS","FAIL")</x:f>
        <x:v>PASS</x:v>
      </x:c>
    </x:row>
    <x:row r="460">
      <x:c r="B460" s="21" t="str">
        <x:v>A00454</x:v>
      </x:c>
      <x:c r="C460" s="21" t="str">
        <x:v>program</x:v>
      </x:c>
      <x:c r="D460" s="21" t="str">
        <x:v>F47-I1 capital ledger</x:v>
      </x:c>
      <x:c r="E460" s="21" t="n">
        <x:f>IF(ABS(SUM('Artifact Ledger'!K1847:K1856)-'Program Register'!K191)&lt;0.000001,1,0)</x:f>
        <x:v>1</x:v>
      </x:c>
      <x:c r="F460" s="21" t="n">
        <x:v>1</x:v>
      </x:c>
      <x:c r="G460" s="23" t="str">
        <x:f>IF(E460=F460,"PASS","FAIL")</x:f>
        <x:v>PASS</x:v>
      </x:c>
    </x:row>
    <x:row r="461">
      <x:c r="B461" s="21" t="str">
        <x:v>A00455</x:v>
      </x:c>
      <x:c r="C461" s="21" t="str">
        <x:v>program</x:v>
      </x:c>
      <x:c r="D461" s="21" t="str">
        <x:v>F47-I2 structure</x:v>
      </x:c>
      <x:c r="E461" s="21" t="n">
        <x:f>IF(AND('Program Register'!L192=Assumptions!C9,'Program Register'!M192=Assumptions!C11),1,0)</x:f>
        <x:v>1</x:v>
      </x:c>
      <x:c r="F461" s="21" t="n">
        <x:v>1</x:v>
      </x:c>
      <x:c r="G461" s="23" t="str">
        <x:f>IF(E461=F461,"PASS","FAIL")</x:f>
        <x:v>PASS</x:v>
      </x:c>
    </x:row>
    <x:row r="462">
      <x:c r="B462" s="21" t="str">
        <x:v>A00456</x:v>
      </x:c>
      <x:c r="C462" s="21" t="str">
        <x:v>program</x:v>
      </x:c>
      <x:c r="D462" s="21" t="str">
        <x:v>F47-I2 capital ledger</x:v>
      </x:c>
      <x:c r="E462" s="21" t="n">
        <x:f>IF(ABS(SUM('Artifact Ledger'!K1857:K1866)-'Program Register'!K192)&lt;0.000001,1,0)</x:f>
        <x:v>1</x:v>
      </x:c>
      <x:c r="F462" s="21" t="n">
        <x:v>1</x:v>
      </x:c>
      <x:c r="G462" s="23" t="str">
        <x:f>IF(E462=F462,"PASS","FAIL")</x:f>
        <x:v>PASS</x:v>
      </x:c>
    </x:row>
    <x:row r="463">
      <x:c r="B463" s="21" t="str">
        <x:v>A00457</x:v>
      </x:c>
      <x:c r="C463" s="21" t="str">
        <x:v>program</x:v>
      </x:c>
      <x:c r="D463" s="21" t="str">
        <x:v>F47-I3 structure</x:v>
      </x:c>
      <x:c r="E463" s="21" t="n">
        <x:f>IF(AND('Program Register'!L193=Assumptions!C9,'Program Register'!M193=Assumptions!C11),1,0)</x:f>
        <x:v>1</x:v>
      </x:c>
      <x:c r="F463" s="21" t="n">
        <x:v>1</x:v>
      </x:c>
      <x:c r="G463" s="23" t="str">
        <x:f>IF(E463=F463,"PASS","FAIL")</x:f>
        <x:v>PASS</x:v>
      </x:c>
    </x:row>
    <x:row r="464">
      <x:c r="B464" s="21" t="str">
        <x:v>A00458</x:v>
      </x:c>
      <x:c r="C464" s="21" t="str">
        <x:v>program</x:v>
      </x:c>
      <x:c r="D464" s="21" t="str">
        <x:v>F47-I3 capital ledger</x:v>
      </x:c>
      <x:c r="E464" s="21" t="n">
        <x:f>IF(ABS(SUM('Artifact Ledger'!K1867:K1876)-'Program Register'!K193)&lt;0.000001,1,0)</x:f>
        <x:v>1</x:v>
      </x:c>
      <x:c r="F464" s="21" t="n">
        <x:v>1</x:v>
      </x:c>
      <x:c r="G464" s="23" t="str">
        <x:f>IF(E464=F464,"PASS","FAIL")</x:f>
        <x:v>PASS</x:v>
      </x:c>
    </x:row>
    <x:row r="465">
      <x:c r="B465" s="21" t="str">
        <x:v>A00459</x:v>
      </x:c>
      <x:c r="C465" s="21" t="str">
        <x:v>program</x:v>
      </x:c>
      <x:c r="D465" s="21" t="str">
        <x:v>F47-I4 structure</x:v>
      </x:c>
      <x:c r="E465" s="21" t="n">
        <x:f>IF(AND('Program Register'!L194=Assumptions!C9,'Program Register'!M194=Assumptions!C11),1,0)</x:f>
        <x:v>1</x:v>
      </x:c>
      <x:c r="F465" s="21" t="n">
        <x:v>1</x:v>
      </x:c>
      <x:c r="G465" s="23" t="str">
        <x:f>IF(E465=F465,"PASS","FAIL")</x:f>
        <x:v>PASS</x:v>
      </x:c>
    </x:row>
    <x:row r="466">
      <x:c r="B466" s="21" t="str">
        <x:v>A00460</x:v>
      </x:c>
      <x:c r="C466" s="21" t="str">
        <x:v>program</x:v>
      </x:c>
      <x:c r="D466" s="21" t="str">
        <x:v>F47-I4 capital ledger</x:v>
      </x:c>
      <x:c r="E466" s="21" t="n">
        <x:f>IF(ABS(SUM('Artifact Ledger'!K1877:K1886)-'Program Register'!K194)&lt;0.000001,1,0)</x:f>
        <x:v>1</x:v>
      </x:c>
      <x:c r="F466" s="21" t="n">
        <x:v>1</x:v>
      </x:c>
      <x:c r="G466" s="23" t="str">
        <x:f>IF(E466=F466,"PASS","FAIL")</x:f>
        <x:v>PASS</x:v>
      </x:c>
    </x:row>
    <x:row r="467">
      <x:c r="B467" s="21" t="str">
        <x:v>A00461</x:v>
      </x:c>
      <x:c r="C467" s="21" t="str">
        <x:v>program</x:v>
      </x:c>
      <x:c r="D467" s="21" t="str">
        <x:v>F48-I1 structure</x:v>
      </x:c>
      <x:c r="E467" s="21" t="n">
        <x:f>IF(AND('Program Register'!L195=Assumptions!C9,'Program Register'!M195=Assumptions!C11),1,0)</x:f>
        <x:v>1</x:v>
      </x:c>
      <x:c r="F467" s="21" t="n">
        <x:v>1</x:v>
      </x:c>
      <x:c r="G467" s="23" t="str">
        <x:f>IF(E467=F467,"PASS","FAIL")</x:f>
        <x:v>PASS</x:v>
      </x:c>
    </x:row>
    <x:row r="468">
      <x:c r="B468" s="21" t="str">
        <x:v>A00462</x:v>
      </x:c>
      <x:c r="C468" s="21" t="str">
        <x:v>program</x:v>
      </x:c>
      <x:c r="D468" s="21" t="str">
        <x:v>F48-I1 capital ledger</x:v>
      </x:c>
      <x:c r="E468" s="21" t="n">
        <x:f>IF(ABS(SUM('Artifact Ledger'!K1887:K1896)-'Program Register'!K195)&lt;0.000001,1,0)</x:f>
        <x:v>1</x:v>
      </x:c>
      <x:c r="F468" s="21" t="n">
        <x:v>1</x:v>
      </x:c>
      <x:c r="G468" s="23" t="str">
        <x:f>IF(E468=F468,"PASS","FAIL")</x:f>
        <x:v>PASS</x:v>
      </x:c>
    </x:row>
    <x:row r="469">
      <x:c r="B469" s="21" t="str">
        <x:v>A00463</x:v>
      </x:c>
      <x:c r="C469" s="21" t="str">
        <x:v>program</x:v>
      </x:c>
      <x:c r="D469" s="21" t="str">
        <x:v>F48-I2 structure</x:v>
      </x:c>
      <x:c r="E469" s="21" t="n">
        <x:f>IF(AND('Program Register'!L196=Assumptions!C9,'Program Register'!M196=Assumptions!C11),1,0)</x:f>
        <x:v>1</x:v>
      </x:c>
      <x:c r="F469" s="21" t="n">
        <x:v>1</x:v>
      </x:c>
      <x:c r="G469" s="23" t="str">
        <x:f>IF(E469=F469,"PASS","FAIL")</x:f>
        <x:v>PASS</x:v>
      </x:c>
    </x:row>
    <x:row r="470">
      <x:c r="B470" s="21" t="str">
        <x:v>A00464</x:v>
      </x:c>
      <x:c r="C470" s="21" t="str">
        <x:v>program</x:v>
      </x:c>
      <x:c r="D470" s="21" t="str">
        <x:v>F48-I2 capital ledger</x:v>
      </x:c>
      <x:c r="E470" s="21" t="n">
        <x:f>IF(ABS(SUM('Artifact Ledger'!K1897:K1906)-'Program Register'!K196)&lt;0.000001,1,0)</x:f>
        <x:v>1</x:v>
      </x:c>
      <x:c r="F470" s="21" t="n">
        <x:v>1</x:v>
      </x:c>
      <x:c r="G470" s="23" t="str">
        <x:f>IF(E470=F470,"PASS","FAIL")</x:f>
        <x:v>PASS</x:v>
      </x:c>
    </x:row>
    <x:row r="471">
      <x:c r="B471" s="21" t="str">
        <x:v>A00465</x:v>
      </x:c>
      <x:c r="C471" s="21" t="str">
        <x:v>program</x:v>
      </x:c>
      <x:c r="D471" s="21" t="str">
        <x:v>F48-I3 structure</x:v>
      </x:c>
      <x:c r="E471" s="21" t="n">
        <x:f>IF(AND('Program Register'!L197=Assumptions!C9,'Program Register'!M197=Assumptions!C11),1,0)</x:f>
        <x:v>1</x:v>
      </x:c>
      <x:c r="F471" s="21" t="n">
        <x:v>1</x:v>
      </x:c>
      <x:c r="G471" s="23" t="str">
        <x:f>IF(E471=F471,"PASS","FAIL")</x:f>
        <x:v>PASS</x:v>
      </x:c>
    </x:row>
    <x:row r="472">
      <x:c r="B472" s="21" t="str">
        <x:v>A00466</x:v>
      </x:c>
      <x:c r="C472" s="21" t="str">
        <x:v>program</x:v>
      </x:c>
      <x:c r="D472" s="21" t="str">
        <x:v>F48-I3 capital ledger</x:v>
      </x:c>
      <x:c r="E472" s="21" t="n">
        <x:f>IF(ABS(SUM('Artifact Ledger'!K1907:K1916)-'Program Register'!K197)&lt;0.000001,1,0)</x:f>
        <x:v>1</x:v>
      </x:c>
      <x:c r="F472" s="21" t="n">
        <x:v>1</x:v>
      </x:c>
      <x:c r="G472" s="23" t="str">
        <x:f>IF(E472=F472,"PASS","FAIL")</x:f>
        <x:v>PASS</x:v>
      </x:c>
    </x:row>
    <x:row r="473">
      <x:c r="B473" s="21" t="str">
        <x:v>A00467</x:v>
      </x:c>
      <x:c r="C473" s="21" t="str">
        <x:v>program</x:v>
      </x:c>
      <x:c r="D473" s="21" t="str">
        <x:v>F48-I4 structure</x:v>
      </x:c>
      <x:c r="E473" s="21" t="n">
        <x:f>IF(AND('Program Register'!L198=Assumptions!C9,'Program Register'!M198=Assumptions!C11),1,0)</x:f>
        <x:v>1</x:v>
      </x:c>
      <x:c r="F473" s="21" t="n">
        <x:v>1</x:v>
      </x:c>
      <x:c r="G473" s="23" t="str">
        <x:f>IF(E473=F473,"PASS","FAIL")</x:f>
        <x:v>PASS</x:v>
      </x:c>
    </x:row>
    <x:row r="474">
      <x:c r="B474" s="21" t="str">
        <x:v>A00468</x:v>
      </x:c>
      <x:c r="C474" s="21" t="str">
        <x:v>program</x:v>
      </x:c>
      <x:c r="D474" s="21" t="str">
        <x:v>F48-I4 capital ledger</x:v>
      </x:c>
      <x:c r="E474" s="21" t="n">
        <x:f>IF(ABS(SUM('Artifact Ledger'!K1917:K1926)-'Program Register'!K198)&lt;0.000001,1,0)</x:f>
        <x:v>1</x:v>
      </x:c>
      <x:c r="F474" s="21" t="n">
        <x:v>1</x:v>
      </x:c>
      <x:c r="G474" s="23" t="str">
        <x:f>IF(E474=F474,"PASS","FAIL")</x:f>
        <x:v>PASS</x:v>
      </x:c>
    </x:row>
    <x:row r="475">
      <x:c r="B475" s="21" t="str">
        <x:v>A00469</x:v>
      </x:c>
      <x:c r="C475" s="21" t="str">
        <x:v>root</x:v>
      </x:c>
      <x:c r="D475" s="21" t="str">
        <x:v>F01-I1-A data constitution</x:v>
      </x:c>
      <x:c r="E475" s="21" t="n">
        <x:f>IF(AND('Root Data'!G7=Assumptions!C10,'Root Data'!J7=Assumptions!C18,'Root Data'!N7="PASS"),1,0)</x:f>
        <x:v>1</x:v>
      </x:c>
      <x:c r="F475" s="21" t="n">
        <x:v>1</x:v>
      </x:c>
      <x:c r="G475" s="23" t="str">
        <x:f>IF(E475=F475,"PASS","FAIL")</x:f>
        <x:v>PASS</x:v>
      </x:c>
    </x:row>
    <x:row r="476">
      <x:c r="B476" s="21" t="str">
        <x:v>A00470</x:v>
      </x:c>
      <x:c r="C476" s="21" t="str">
        <x:v>root</x:v>
      </x:c>
      <x:c r="D476" s="21" t="str">
        <x:v>F01-I1-B data constitution</x:v>
      </x:c>
      <x:c r="E476" s="21" t="n">
        <x:f>IF(AND('Root Data'!G8=Assumptions!C10,'Root Data'!J8=Assumptions!C18,'Root Data'!N8="PASS"),1,0)</x:f>
        <x:v>1</x:v>
      </x:c>
      <x:c r="F476" s="21" t="n">
        <x:v>1</x:v>
      </x:c>
      <x:c r="G476" s="23" t="str">
        <x:f>IF(E476=F476,"PASS","FAIL")</x:f>
        <x:v>PASS</x:v>
      </x:c>
    </x:row>
    <x:row r="477">
      <x:c r="B477" s="21" t="str">
        <x:v>A00471</x:v>
      </x:c>
      <x:c r="C477" s="21" t="str">
        <x:v>root</x:v>
      </x:c>
      <x:c r="D477" s="21" t="str">
        <x:v>F01-I1-C data constitution</x:v>
      </x:c>
      <x:c r="E477" s="21" t="n">
        <x:f>IF(AND('Root Data'!G9=Assumptions!C10,'Root Data'!J9=Assumptions!C18,'Root Data'!N9="PASS"),1,0)</x:f>
        <x:v>1</x:v>
      </x:c>
      <x:c r="F477" s="21" t="n">
        <x:v>1</x:v>
      </x:c>
      <x:c r="G477" s="23" t="str">
        <x:f>IF(E477=F477,"PASS","FAIL")</x:f>
        <x:v>PASS</x:v>
      </x:c>
    </x:row>
    <x:row r="478">
      <x:c r="B478" s="21" t="str">
        <x:v>A00472</x:v>
      </x:c>
      <x:c r="C478" s="21" t="str">
        <x:v>root</x:v>
      </x:c>
      <x:c r="D478" s="21" t="str">
        <x:v>F01-I2-A data constitution</x:v>
      </x:c>
      <x:c r="E478" s="21" t="n">
        <x:f>IF(AND('Root Data'!G10=Assumptions!C10,'Root Data'!J10=Assumptions!C18,'Root Data'!N10="PASS"),1,0)</x:f>
        <x:v>1</x:v>
      </x:c>
      <x:c r="F478" s="21" t="n">
        <x:v>1</x:v>
      </x:c>
      <x:c r="G478" s="23" t="str">
        <x:f>IF(E478=F478,"PASS","FAIL")</x:f>
        <x:v>PASS</x:v>
      </x:c>
    </x:row>
    <x:row r="479">
      <x:c r="B479" s="21" t="str">
        <x:v>A00473</x:v>
      </x:c>
      <x:c r="C479" s="21" t="str">
        <x:v>root</x:v>
      </x:c>
      <x:c r="D479" s="21" t="str">
        <x:v>F01-I2-B data constitution</x:v>
      </x:c>
      <x:c r="E479" s="21" t="n">
        <x:f>IF(AND('Root Data'!G11=Assumptions!C10,'Root Data'!J11=Assumptions!C18,'Root Data'!N11="PASS"),1,0)</x:f>
        <x:v>1</x:v>
      </x:c>
      <x:c r="F479" s="21" t="n">
        <x:v>1</x:v>
      </x:c>
      <x:c r="G479" s="23" t="str">
        <x:f>IF(E479=F479,"PASS","FAIL")</x:f>
        <x:v>PASS</x:v>
      </x:c>
    </x:row>
    <x:row r="480">
      <x:c r="B480" s="21" t="str">
        <x:v>A00474</x:v>
      </x:c>
      <x:c r="C480" s="21" t="str">
        <x:v>root</x:v>
      </x:c>
      <x:c r="D480" s="21" t="str">
        <x:v>F01-I2-C data constitution</x:v>
      </x:c>
      <x:c r="E480" s="21" t="n">
        <x:f>IF(AND('Root Data'!G12=Assumptions!C10,'Root Data'!J12=Assumptions!C18,'Root Data'!N12="PASS"),1,0)</x:f>
        <x:v>1</x:v>
      </x:c>
      <x:c r="F480" s="21" t="n">
        <x:v>1</x:v>
      </x:c>
      <x:c r="G480" s="23" t="str">
        <x:f>IF(E480=F480,"PASS","FAIL")</x:f>
        <x:v>PASS</x:v>
      </x:c>
    </x:row>
    <x:row r="481">
      <x:c r="B481" s="21" t="str">
        <x:v>A00475</x:v>
      </x:c>
      <x:c r="C481" s="21" t="str">
        <x:v>root</x:v>
      </x:c>
      <x:c r="D481" s="21" t="str">
        <x:v>F01-I3-A data constitution</x:v>
      </x:c>
      <x:c r="E481" s="21" t="n">
        <x:f>IF(AND('Root Data'!G13=Assumptions!C10,'Root Data'!J13=Assumptions!C18,'Root Data'!N13="PASS"),1,0)</x:f>
        <x:v>1</x:v>
      </x:c>
      <x:c r="F481" s="21" t="n">
        <x:v>1</x:v>
      </x:c>
      <x:c r="G481" s="23" t="str">
        <x:f>IF(E481=F481,"PASS","FAIL")</x:f>
        <x:v>PASS</x:v>
      </x:c>
    </x:row>
    <x:row r="482">
      <x:c r="B482" s="21" t="str">
        <x:v>A00476</x:v>
      </x:c>
      <x:c r="C482" s="21" t="str">
        <x:v>root</x:v>
      </x:c>
      <x:c r="D482" s="21" t="str">
        <x:v>F01-I3-B data constitution</x:v>
      </x:c>
      <x:c r="E482" s="21" t="n">
        <x:f>IF(AND('Root Data'!G14=Assumptions!C10,'Root Data'!J14=Assumptions!C18,'Root Data'!N14="PASS"),1,0)</x:f>
        <x:v>1</x:v>
      </x:c>
      <x:c r="F482" s="21" t="n">
        <x:v>1</x:v>
      </x:c>
      <x:c r="G482" s="23" t="str">
        <x:f>IF(E482=F482,"PASS","FAIL")</x:f>
        <x:v>PASS</x:v>
      </x:c>
    </x:row>
    <x:row r="483">
      <x:c r="B483" s="21" t="str">
        <x:v>A00477</x:v>
      </x:c>
      <x:c r="C483" s="21" t="str">
        <x:v>root</x:v>
      </x:c>
      <x:c r="D483" s="21" t="str">
        <x:v>F01-I3-C data constitution</x:v>
      </x:c>
      <x:c r="E483" s="21" t="n">
        <x:f>IF(AND('Root Data'!G15=Assumptions!C10,'Root Data'!J15=Assumptions!C18,'Root Data'!N15="PASS"),1,0)</x:f>
        <x:v>1</x:v>
      </x:c>
      <x:c r="F483" s="21" t="n">
        <x:v>1</x:v>
      </x:c>
      <x:c r="G483" s="23" t="str">
        <x:f>IF(E483=F483,"PASS","FAIL")</x:f>
        <x:v>PASS</x:v>
      </x:c>
    </x:row>
    <x:row r="484">
      <x:c r="B484" s="21" t="str">
        <x:v>A00478</x:v>
      </x:c>
      <x:c r="C484" s="21" t="str">
        <x:v>root</x:v>
      </x:c>
      <x:c r="D484" s="21" t="str">
        <x:v>F01-I4-A data constitution</x:v>
      </x:c>
      <x:c r="E484" s="21" t="n">
        <x:f>IF(AND('Root Data'!G16=Assumptions!C10,'Root Data'!J16=Assumptions!C18,'Root Data'!N16="PASS"),1,0)</x:f>
        <x:v>1</x:v>
      </x:c>
      <x:c r="F484" s="21" t="n">
        <x:v>1</x:v>
      </x:c>
      <x:c r="G484" s="23" t="str">
        <x:f>IF(E484=F484,"PASS","FAIL")</x:f>
        <x:v>PASS</x:v>
      </x:c>
    </x:row>
    <x:row r="485">
      <x:c r="B485" s="21" t="str">
        <x:v>A00479</x:v>
      </x:c>
      <x:c r="C485" s="21" t="str">
        <x:v>root</x:v>
      </x:c>
      <x:c r="D485" s="21" t="str">
        <x:v>F01-I4-B data constitution</x:v>
      </x:c>
      <x:c r="E485" s="21" t="n">
        <x:f>IF(AND('Root Data'!G17=Assumptions!C10,'Root Data'!J17=Assumptions!C18,'Root Data'!N17="PASS"),1,0)</x:f>
        <x:v>1</x:v>
      </x:c>
      <x:c r="F485" s="21" t="n">
        <x:v>1</x:v>
      </x:c>
      <x:c r="G485" s="23" t="str">
        <x:f>IF(E485=F485,"PASS","FAIL")</x:f>
        <x:v>PASS</x:v>
      </x:c>
    </x:row>
    <x:row r="486">
      <x:c r="B486" s="21" t="str">
        <x:v>A00480</x:v>
      </x:c>
      <x:c r="C486" s="21" t="str">
        <x:v>root</x:v>
      </x:c>
      <x:c r="D486" s="21" t="str">
        <x:v>F01-I4-C data constitution</x:v>
      </x:c>
      <x:c r="E486" s="21" t="n">
        <x:f>IF(AND('Root Data'!G18=Assumptions!C10,'Root Data'!J18=Assumptions!C18,'Root Data'!N18="PASS"),1,0)</x:f>
        <x:v>1</x:v>
      </x:c>
      <x:c r="F486" s="21" t="n">
        <x:v>1</x:v>
      </x:c>
      <x:c r="G486" s="23" t="str">
        <x:f>IF(E486=F486,"PASS","FAIL")</x:f>
        <x:v>PASS</x:v>
      </x:c>
    </x:row>
    <x:row r="487">
      <x:c r="B487" s="21" t="str">
        <x:v>A00481</x:v>
      </x:c>
      <x:c r="C487" s="21" t="str">
        <x:v>root</x:v>
      </x:c>
      <x:c r="D487" s="21" t="str">
        <x:v>F02-I1-A data constitution</x:v>
      </x:c>
      <x:c r="E487" s="21" t="n">
        <x:f>IF(AND('Root Data'!G19=Assumptions!C10,'Root Data'!J19=Assumptions!C18,'Root Data'!N19="PASS"),1,0)</x:f>
        <x:v>1</x:v>
      </x:c>
      <x:c r="F487" s="21" t="n">
        <x:v>1</x:v>
      </x:c>
      <x:c r="G487" s="23" t="str">
        <x:f>IF(E487=F487,"PASS","FAIL")</x:f>
        <x:v>PASS</x:v>
      </x:c>
    </x:row>
    <x:row r="488">
      <x:c r="B488" s="21" t="str">
        <x:v>A00482</x:v>
      </x:c>
      <x:c r="C488" s="21" t="str">
        <x:v>root</x:v>
      </x:c>
      <x:c r="D488" s="21" t="str">
        <x:v>F02-I1-B data constitution</x:v>
      </x:c>
      <x:c r="E488" s="21" t="n">
        <x:f>IF(AND('Root Data'!G20=Assumptions!C10,'Root Data'!J20=Assumptions!C18,'Root Data'!N20="PASS"),1,0)</x:f>
        <x:v>1</x:v>
      </x:c>
      <x:c r="F488" s="21" t="n">
        <x:v>1</x:v>
      </x:c>
      <x:c r="G488" s="23" t="str">
        <x:f>IF(E488=F488,"PASS","FAIL")</x:f>
        <x:v>PASS</x:v>
      </x:c>
    </x:row>
    <x:row r="489">
      <x:c r="B489" s="21" t="str">
        <x:v>A00483</x:v>
      </x:c>
      <x:c r="C489" s="21" t="str">
        <x:v>root</x:v>
      </x:c>
      <x:c r="D489" s="21" t="str">
        <x:v>F02-I1-C data constitution</x:v>
      </x:c>
      <x:c r="E489" s="21" t="n">
        <x:f>IF(AND('Root Data'!G21=Assumptions!C10,'Root Data'!J21=Assumptions!C18,'Root Data'!N21="PASS"),1,0)</x:f>
        <x:v>1</x:v>
      </x:c>
      <x:c r="F489" s="21" t="n">
        <x:v>1</x:v>
      </x:c>
      <x:c r="G489" s="23" t="str">
        <x:f>IF(E489=F489,"PASS","FAIL")</x:f>
        <x:v>PASS</x:v>
      </x:c>
    </x:row>
    <x:row r="490">
      <x:c r="B490" s="21" t="str">
        <x:v>A00484</x:v>
      </x:c>
      <x:c r="C490" s="21" t="str">
        <x:v>root</x:v>
      </x:c>
      <x:c r="D490" s="21" t="str">
        <x:v>F02-I2-A data constitution</x:v>
      </x:c>
      <x:c r="E490" s="21" t="n">
        <x:f>IF(AND('Root Data'!G22=Assumptions!C10,'Root Data'!J22=Assumptions!C18,'Root Data'!N22="PASS"),1,0)</x:f>
        <x:v>1</x:v>
      </x:c>
      <x:c r="F490" s="21" t="n">
        <x:v>1</x:v>
      </x:c>
      <x:c r="G490" s="23" t="str">
        <x:f>IF(E490=F490,"PASS","FAIL")</x:f>
        <x:v>PASS</x:v>
      </x:c>
    </x:row>
    <x:row r="491">
      <x:c r="B491" s="21" t="str">
        <x:v>A00485</x:v>
      </x:c>
      <x:c r="C491" s="21" t="str">
        <x:v>root</x:v>
      </x:c>
      <x:c r="D491" s="21" t="str">
        <x:v>F02-I2-B data constitution</x:v>
      </x:c>
      <x:c r="E491" s="21" t="n">
        <x:f>IF(AND('Root Data'!G23=Assumptions!C10,'Root Data'!J23=Assumptions!C18,'Root Data'!N23="PASS"),1,0)</x:f>
        <x:v>1</x:v>
      </x:c>
      <x:c r="F491" s="21" t="n">
        <x:v>1</x:v>
      </x:c>
      <x:c r="G491" s="23" t="str">
        <x:f>IF(E491=F491,"PASS","FAIL")</x:f>
        <x:v>PASS</x:v>
      </x:c>
    </x:row>
    <x:row r="492">
      <x:c r="B492" s="21" t="str">
        <x:v>A00486</x:v>
      </x:c>
      <x:c r="C492" s="21" t="str">
        <x:v>root</x:v>
      </x:c>
      <x:c r="D492" s="21" t="str">
        <x:v>F02-I2-C data constitution</x:v>
      </x:c>
      <x:c r="E492" s="21" t="n">
        <x:f>IF(AND('Root Data'!G24=Assumptions!C10,'Root Data'!J24=Assumptions!C18,'Root Data'!N24="PASS"),1,0)</x:f>
        <x:v>1</x:v>
      </x:c>
      <x:c r="F492" s="21" t="n">
        <x:v>1</x:v>
      </x:c>
      <x:c r="G492" s="23" t="str">
        <x:f>IF(E492=F492,"PASS","FAIL")</x:f>
        <x:v>PASS</x:v>
      </x:c>
    </x:row>
    <x:row r="493">
      <x:c r="B493" s="21" t="str">
        <x:v>A00487</x:v>
      </x:c>
      <x:c r="C493" s="21" t="str">
        <x:v>root</x:v>
      </x:c>
      <x:c r="D493" s="21" t="str">
        <x:v>F02-I3-A data constitution</x:v>
      </x:c>
      <x:c r="E493" s="21" t="n">
        <x:f>IF(AND('Root Data'!G25=Assumptions!C10,'Root Data'!J25=Assumptions!C18,'Root Data'!N25="PASS"),1,0)</x:f>
        <x:v>1</x:v>
      </x:c>
      <x:c r="F493" s="21" t="n">
        <x:v>1</x:v>
      </x:c>
      <x:c r="G493" s="23" t="str">
        <x:f>IF(E493=F493,"PASS","FAIL")</x:f>
        <x:v>PASS</x:v>
      </x:c>
    </x:row>
    <x:row r="494">
      <x:c r="B494" s="21" t="str">
        <x:v>A00488</x:v>
      </x:c>
      <x:c r="C494" s="21" t="str">
        <x:v>root</x:v>
      </x:c>
      <x:c r="D494" s="21" t="str">
        <x:v>F02-I3-B data constitution</x:v>
      </x:c>
      <x:c r="E494" s="21" t="n">
        <x:f>IF(AND('Root Data'!G26=Assumptions!C10,'Root Data'!J26=Assumptions!C18,'Root Data'!N26="PASS"),1,0)</x:f>
        <x:v>1</x:v>
      </x:c>
      <x:c r="F494" s="21" t="n">
        <x:v>1</x:v>
      </x:c>
      <x:c r="G494" s="23" t="str">
        <x:f>IF(E494=F494,"PASS","FAIL")</x:f>
        <x:v>PASS</x:v>
      </x:c>
    </x:row>
    <x:row r="495">
      <x:c r="B495" s="21" t="str">
        <x:v>A00489</x:v>
      </x:c>
      <x:c r="C495" s="21" t="str">
        <x:v>root</x:v>
      </x:c>
      <x:c r="D495" s="21" t="str">
        <x:v>F02-I3-C data constitution</x:v>
      </x:c>
      <x:c r="E495" s="21" t="n">
        <x:f>IF(AND('Root Data'!G27=Assumptions!C10,'Root Data'!J27=Assumptions!C18,'Root Data'!N27="PASS"),1,0)</x:f>
        <x:v>1</x:v>
      </x:c>
      <x:c r="F495" s="21" t="n">
        <x:v>1</x:v>
      </x:c>
      <x:c r="G495" s="23" t="str">
        <x:f>IF(E495=F495,"PASS","FAIL")</x:f>
        <x:v>PASS</x:v>
      </x:c>
    </x:row>
    <x:row r="496">
      <x:c r="B496" s="21" t="str">
        <x:v>A00490</x:v>
      </x:c>
      <x:c r="C496" s="21" t="str">
        <x:v>root</x:v>
      </x:c>
      <x:c r="D496" s="21" t="str">
        <x:v>F02-I4-A data constitution</x:v>
      </x:c>
      <x:c r="E496" s="21" t="n">
        <x:f>IF(AND('Root Data'!G28=Assumptions!C10,'Root Data'!J28=Assumptions!C18,'Root Data'!N28="PASS"),1,0)</x:f>
        <x:v>1</x:v>
      </x:c>
      <x:c r="F496" s="21" t="n">
        <x:v>1</x:v>
      </x:c>
      <x:c r="G496" s="23" t="str">
        <x:f>IF(E496=F496,"PASS","FAIL")</x:f>
        <x:v>PASS</x:v>
      </x:c>
    </x:row>
    <x:row r="497">
      <x:c r="B497" s="21" t="str">
        <x:v>A00491</x:v>
      </x:c>
      <x:c r="C497" s="21" t="str">
        <x:v>root</x:v>
      </x:c>
      <x:c r="D497" s="21" t="str">
        <x:v>F02-I4-B data constitution</x:v>
      </x:c>
      <x:c r="E497" s="21" t="n">
        <x:f>IF(AND('Root Data'!G29=Assumptions!C10,'Root Data'!J29=Assumptions!C18,'Root Data'!N29="PASS"),1,0)</x:f>
        <x:v>1</x:v>
      </x:c>
      <x:c r="F497" s="21" t="n">
        <x:v>1</x:v>
      </x:c>
      <x:c r="G497" s="23" t="str">
        <x:f>IF(E497=F497,"PASS","FAIL")</x:f>
        <x:v>PASS</x:v>
      </x:c>
    </x:row>
    <x:row r="498">
      <x:c r="B498" s="21" t="str">
        <x:v>A00492</x:v>
      </x:c>
      <x:c r="C498" s="21" t="str">
        <x:v>root</x:v>
      </x:c>
      <x:c r="D498" s="21" t="str">
        <x:v>F02-I4-C data constitution</x:v>
      </x:c>
      <x:c r="E498" s="21" t="n">
        <x:f>IF(AND('Root Data'!G30=Assumptions!C10,'Root Data'!J30=Assumptions!C18,'Root Data'!N30="PASS"),1,0)</x:f>
        <x:v>1</x:v>
      </x:c>
      <x:c r="F498" s="21" t="n">
        <x:v>1</x:v>
      </x:c>
      <x:c r="G498" s="23" t="str">
        <x:f>IF(E498=F498,"PASS","FAIL")</x:f>
        <x:v>PASS</x:v>
      </x:c>
    </x:row>
    <x:row r="499">
      <x:c r="B499" s="21" t="str">
        <x:v>A00493</x:v>
      </x:c>
      <x:c r="C499" s="21" t="str">
        <x:v>root</x:v>
      </x:c>
      <x:c r="D499" s="21" t="str">
        <x:v>F03-I1-A data constitution</x:v>
      </x:c>
      <x:c r="E499" s="21" t="n">
        <x:f>IF(AND('Root Data'!G31=Assumptions!C10,'Root Data'!J31=Assumptions!C18,'Root Data'!N31="PASS"),1,0)</x:f>
        <x:v>1</x:v>
      </x:c>
      <x:c r="F499" s="21" t="n">
        <x:v>1</x:v>
      </x:c>
      <x:c r="G499" s="23" t="str">
        <x:f>IF(E499=F499,"PASS","FAIL")</x:f>
        <x:v>PASS</x:v>
      </x:c>
    </x:row>
    <x:row r="500">
      <x:c r="B500" s="21" t="str">
        <x:v>A00494</x:v>
      </x:c>
      <x:c r="C500" s="21" t="str">
        <x:v>root</x:v>
      </x:c>
      <x:c r="D500" s="21" t="str">
        <x:v>F03-I1-B data constitution</x:v>
      </x:c>
      <x:c r="E500" s="21" t="n">
        <x:f>IF(AND('Root Data'!G32=Assumptions!C10,'Root Data'!J32=Assumptions!C18,'Root Data'!N32="PASS"),1,0)</x:f>
        <x:v>1</x:v>
      </x:c>
      <x:c r="F500" s="21" t="n">
        <x:v>1</x:v>
      </x:c>
      <x:c r="G500" s="23" t="str">
        <x:f>IF(E500=F500,"PASS","FAIL")</x:f>
        <x:v>PASS</x:v>
      </x:c>
    </x:row>
    <x:row r="501">
      <x:c r="B501" s="21" t="str">
        <x:v>A00495</x:v>
      </x:c>
      <x:c r="C501" s="21" t="str">
        <x:v>root</x:v>
      </x:c>
      <x:c r="D501" s="21" t="str">
        <x:v>F03-I1-C data constitution</x:v>
      </x:c>
      <x:c r="E501" s="21" t="n">
        <x:f>IF(AND('Root Data'!G33=Assumptions!C10,'Root Data'!J33=Assumptions!C18,'Root Data'!N33="PASS"),1,0)</x:f>
        <x:v>1</x:v>
      </x:c>
      <x:c r="F501" s="21" t="n">
        <x:v>1</x:v>
      </x:c>
      <x:c r="G501" s="23" t="str">
        <x:f>IF(E501=F501,"PASS","FAIL")</x:f>
        <x:v>PASS</x:v>
      </x:c>
    </x:row>
    <x:row r="502">
      <x:c r="B502" s="21" t="str">
        <x:v>A00496</x:v>
      </x:c>
      <x:c r="C502" s="21" t="str">
        <x:v>root</x:v>
      </x:c>
      <x:c r="D502" s="21" t="str">
        <x:v>F03-I2-A data constitution</x:v>
      </x:c>
      <x:c r="E502" s="21" t="n">
        <x:f>IF(AND('Root Data'!G34=Assumptions!C10,'Root Data'!J34=Assumptions!C18,'Root Data'!N34="PASS"),1,0)</x:f>
        <x:v>1</x:v>
      </x:c>
      <x:c r="F502" s="21" t="n">
        <x:v>1</x:v>
      </x:c>
      <x:c r="G502" s="23" t="str">
        <x:f>IF(E502=F502,"PASS","FAIL")</x:f>
        <x:v>PASS</x:v>
      </x:c>
    </x:row>
    <x:row r="503">
      <x:c r="B503" s="21" t="str">
        <x:v>A00497</x:v>
      </x:c>
      <x:c r="C503" s="21" t="str">
        <x:v>root</x:v>
      </x:c>
      <x:c r="D503" s="21" t="str">
        <x:v>F03-I2-B data constitution</x:v>
      </x:c>
      <x:c r="E503" s="21" t="n">
        <x:f>IF(AND('Root Data'!G35=Assumptions!C10,'Root Data'!J35=Assumptions!C18,'Root Data'!N35="PASS"),1,0)</x:f>
        <x:v>1</x:v>
      </x:c>
      <x:c r="F503" s="21" t="n">
        <x:v>1</x:v>
      </x:c>
      <x:c r="G503" s="23" t="str">
        <x:f>IF(E503=F503,"PASS","FAIL")</x:f>
        <x:v>PASS</x:v>
      </x:c>
    </x:row>
    <x:row r="504">
      <x:c r="B504" s="21" t="str">
        <x:v>A00498</x:v>
      </x:c>
      <x:c r="C504" s="21" t="str">
        <x:v>root</x:v>
      </x:c>
      <x:c r="D504" s="21" t="str">
        <x:v>F03-I2-C data constitution</x:v>
      </x:c>
      <x:c r="E504" s="21" t="n">
        <x:f>IF(AND('Root Data'!G36=Assumptions!C10,'Root Data'!J36=Assumptions!C18,'Root Data'!N36="PASS"),1,0)</x:f>
        <x:v>1</x:v>
      </x:c>
      <x:c r="F504" s="21" t="n">
        <x:v>1</x:v>
      </x:c>
      <x:c r="G504" s="23" t="str">
        <x:f>IF(E504=F504,"PASS","FAIL")</x:f>
        <x:v>PASS</x:v>
      </x:c>
    </x:row>
    <x:row r="505">
      <x:c r="B505" s="21" t="str">
        <x:v>A00499</x:v>
      </x:c>
      <x:c r="C505" s="21" t="str">
        <x:v>root</x:v>
      </x:c>
      <x:c r="D505" s="21" t="str">
        <x:v>F03-I3-A data constitution</x:v>
      </x:c>
      <x:c r="E505" s="21" t="n">
        <x:f>IF(AND('Root Data'!G37=Assumptions!C10,'Root Data'!J37=Assumptions!C18,'Root Data'!N37="PASS"),1,0)</x:f>
        <x:v>1</x:v>
      </x:c>
      <x:c r="F505" s="21" t="n">
        <x:v>1</x:v>
      </x:c>
      <x:c r="G505" s="23" t="str">
        <x:f>IF(E505=F505,"PASS","FAIL")</x:f>
        <x:v>PASS</x:v>
      </x:c>
    </x:row>
    <x:row r="506">
      <x:c r="B506" s="21" t="str">
        <x:v>A00500</x:v>
      </x:c>
      <x:c r="C506" s="21" t="str">
        <x:v>root</x:v>
      </x:c>
      <x:c r="D506" s="21" t="str">
        <x:v>F03-I3-B data constitution</x:v>
      </x:c>
      <x:c r="E506" s="21" t="n">
        <x:f>IF(AND('Root Data'!G38=Assumptions!C10,'Root Data'!J38=Assumptions!C18,'Root Data'!N38="PASS"),1,0)</x:f>
        <x:v>1</x:v>
      </x:c>
      <x:c r="F506" s="21" t="n">
        <x:v>1</x:v>
      </x:c>
      <x:c r="G506" s="23" t="str">
        <x:f>IF(E506=F506,"PASS","FAIL")</x:f>
        <x:v>PASS</x:v>
      </x:c>
    </x:row>
    <x:row r="507">
      <x:c r="B507" s="21" t="str">
        <x:v>A00501</x:v>
      </x:c>
      <x:c r="C507" s="21" t="str">
        <x:v>root</x:v>
      </x:c>
      <x:c r="D507" s="21" t="str">
        <x:v>F03-I3-C data constitution</x:v>
      </x:c>
      <x:c r="E507" s="21" t="n">
        <x:f>IF(AND('Root Data'!G39=Assumptions!C10,'Root Data'!J39=Assumptions!C18,'Root Data'!N39="PASS"),1,0)</x:f>
        <x:v>1</x:v>
      </x:c>
      <x:c r="F507" s="21" t="n">
        <x:v>1</x:v>
      </x:c>
      <x:c r="G507" s="23" t="str">
        <x:f>IF(E507=F507,"PASS","FAIL")</x:f>
        <x:v>PASS</x:v>
      </x:c>
    </x:row>
    <x:row r="508">
      <x:c r="B508" s="21" t="str">
        <x:v>A00502</x:v>
      </x:c>
      <x:c r="C508" s="21" t="str">
        <x:v>root</x:v>
      </x:c>
      <x:c r="D508" s="21" t="str">
        <x:v>F03-I4-A data constitution</x:v>
      </x:c>
      <x:c r="E508" s="21" t="n">
        <x:f>IF(AND('Root Data'!G40=Assumptions!C10,'Root Data'!J40=Assumptions!C18,'Root Data'!N40="PASS"),1,0)</x:f>
        <x:v>1</x:v>
      </x:c>
      <x:c r="F508" s="21" t="n">
        <x:v>1</x:v>
      </x:c>
      <x:c r="G508" s="23" t="str">
        <x:f>IF(E508=F508,"PASS","FAIL")</x:f>
        <x:v>PASS</x:v>
      </x:c>
    </x:row>
    <x:row r="509">
      <x:c r="B509" s="21" t="str">
        <x:v>A00503</x:v>
      </x:c>
      <x:c r="C509" s="21" t="str">
        <x:v>root</x:v>
      </x:c>
      <x:c r="D509" s="21" t="str">
        <x:v>F03-I4-B data constitution</x:v>
      </x:c>
      <x:c r="E509" s="21" t="n">
        <x:f>IF(AND('Root Data'!G41=Assumptions!C10,'Root Data'!J41=Assumptions!C18,'Root Data'!N41="PASS"),1,0)</x:f>
        <x:v>1</x:v>
      </x:c>
      <x:c r="F509" s="21" t="n">
        <x:v>1</x:v>
      </x:c>
      <x:c r="G509" s="23" t="str">
        <x:f>IF(E509=F509,"PASS","FAIL")</x:f>
        <x:v>PASS</x:v>
      </x:c>
    </x:row>
    <x:row r="510">
      <x:c r="B510" s="21" t="str">
        <x:v>A00504</x:v>
      </x:c>
      <x:c r="C510" s="21" t="str">
        <x:v>root</x:v>
      </x:c>
      <x:c r="D510" s="21" t="str">
        <x:v>F03-I4-C data constitution</x:v>
      </x:c>
      <x:c r="E510" s="21" t="n">
        <x:f>IF(AND('Root Data'!G42=Assumptions!C10,'Root Data'!J42=Assumptions!C18,'Root Data'!N42="PASS"),1,0)</x:f>
        <x:v>1</x:v>
      </x:c>
      <x:c r="F510" s="21" t="n">
        <x:v>1</x:v>
      </x:c>
      <x:c r="G510" s="23" t="str">
        <x:f>IF(E510=F510,"PASS","FAIL")</x:f>
        <x:v>PASS</x:v>
      </x:c>
    </x:row>
    <x:row r="511">
      <x:c r="B511" s="21" t="str">
        <x:v>A00505</x:v>
      </x:c>
      <x:c r="C511" s="21" t="str">
        <x:v>root</x:v>
      </x:c>
      <x:c r="D511" s="21" t="str">
        <x:v>F04-I1-A data constitution</x:v>
      </x:c>
      <x:c r="E511" s="21" t="n">
        <x:f>IF(AND('Root Data'!G43=Assumptions!C10,'Root Data'!J43=Assumptions!C18,'Root Data'!N43="PASS"),1,0)</x:f>
        <x:v>1</x:v>
      </x:c>
      <x:c r="F511" s="21" t="n">
        <x:v>1</x:v>
      </x:c>
      <x:c r="G511" s="23" t="str">
        <x:f>IF(E511=F511,"PASS","FAIL")</x:f>
        <x:v>PASS</x:v>
      </x:c>
    </x:row>
    <x:row r="512">
      <x:c r="B512" s="21" t="str">
        <x:v>A00506</x:v>
      </x:c>
      <x:c r="C512" s="21" t="str">
        <x:v>root</x:v>
      </x:c>
      <x:c r="D512" s="21" t="str">
        <x:v>F04-I1-B data constitution</x:v>
      </x:c>
      <x:c r="E512" s="21" t="n">
        <x:f>IF(AND('Root Data'!G44=Assumptions!C10,'Root Data'!J44=Assumptions!C18,'Root Data'!N44="PASS"),1,0)</x:f>
        <x:v>1</x:v>
      </x:c>
      <x:c r="F512" s="21" t="n">
        <x:v>1</x:v>
      </x:c>
      <x:c r="G512" s="23" t="str">
        <x:f>IF(E512=F512,"PASS","FAIL")</x:f>
        <x:v>PASS</x:v>
      </x:c>
    </x:row>
    <x:row r="513">
      <x:c r="B513" s="21" t="str">
        <x:v>A00507</x:v>
      </x:c>
      <x:c r="C513" s="21" t="str">
        <x:v>root</x:v>
      </x:c>
      <x:c r="D513" s="21" t="str">
        <x:v>F04-I1-C data constitution</x:v>
      </x:c>
      <x:c r="E513" s="21" t="n">
        <x:f>IF(AND('Root Data'!G45=Assumptions!C10,'Root Data'!J45=Assumptions!C18,'Root Data'!N45="PASS"),1,0)</x:f>
        <x:v>1</x:v>
      </x:c>
      <x:c r="F513" s="21" t="n">
        <x:v>1</x:v>
      </x:c>
      <x:c r="G513" s="23" t="str">
        <x:f>IF(E513=F513,"PASS","FAIL")</x:f>
        <x:v>PASS</x:v>
      </x:c>
    </x:row>
    <x:row r="514">
      <x:c r="B514" s="21" t="str">
        <x:v>A00508</x:v>
      </x:c>
      <x:c r="C514" s="21" t="str">
        <x:v>root</x:v>
      </x:c>
      <x:c r="D514" s="21" t="str">
        <x:v>F04-I2-A data constitution</x:v>
      </x:c>
      <x:c r="E514" s="21" t="n">
        <x:f>IF(AND('Root Data'!G46=Assumptions!C10,'Root Data'!J46=Assumptions!C18,'Root Data'!N46="PASS"),1,0)</x:f>
        <x:v>1</x:v>
      </x:c>
      <x:c r="F514" s="21" t="n">
        <x:v>1</x:v>
      </x:c>
      <x:c r="G514" s="23" t="str">
        <x:f>IF(E514=F514,"PASS","FAIL")</x:f>
        <x:v>PASS</x:v>
      </x:c>
    </x:row>
    <x:row r="515">
      <x:c r="B515" s="21" t="str">
        <x:v>A00509</x:v>
      </x:c>
      <x:c r="C515" s="21" t="str">
        <x:v>root</x:v>
      </x:c>
      <x:c r="D515" s="21" t="str">
        <x:v>F04-I2-B data constitution</x:v>
      </x:c>
      <x:c r="E515" s="21" t="n">
        <x:f>IF(AND('Root Data'!G47=Assumptions!C10,'Root Data'!J47=Assumptions!C18,'Root Data'!N47="PASS"),1,0)</x:f>
        <x:v>1</x:v>
      </x:c>
      <x:c r="F515" s="21" t="n">
        <x:v>1</x:v>
      </x:c>
      <x:c r="G515" s="23" t="str">
        <x:f>IF(E515=F515,"PASS","FAIL")</x:f>
        <x:v>PASS</x:v>
      </x:c>
    </x:row>
    <x:row r="516">
      <x:c r="B516" s="21" t="str">
        <x:v>A00510</x:v>
      </x:c>
      <x:c r="C516" s="21" t="str">
        <x:v>root</x:v>
      </x:c>
      <x:c r="D516" s="21" t="str">
        <x:v>F04-I2-C data constitution</x:v>
      </x:c>
      <x:c r="E516" s="21" t="n">
        <x:f>IF(AND('Root Data'!G48=Assumptions!C10,'Root Data'!J48=Assumptions!C18,'Root Data'!N48="PASS"),1,0)</x:f>
        <x:v>1</x:v>
      </x:c>
      <x:c r="F516" s="21" t="n">
        <x:v>1</x:v>
      </x:c>
      <x:c r="G516" s="23" t="str">
        <x:f>IF(E516=F516,"PASS","FAIL")</x:f>
        <x:v>PASS</x:v>
      </x:c>
    </x:row>
    <x:row r="517">
      <x:c r="B517" s="21" t="str">
        <x:v>A00511</x:v>
      </x:c>
      <x:c r="C517" s="21" t="str">
        <x:v>root</x:v>
      </x:c>
      <x:c r="D517" s="21" t="str">
        <x:v>F04-I3-A data constitution</x:v>
      </x:c>
      <x:c r="E517" s="21" t="n">
        <x:f>IF(AND('Root Data'!G49=Assumptions!C10,'Root Data'!J49=Assumptions!C18,'Root Data'!N49="PASS"),1,0)</x:f>
        <x:v>1</x:v>
      </x:c>
      <x:c r="F517" s="21" t="n">
        <x:v>1</x:v>
      </x:c>
      <x:c r="G517" s="23" t="str">
        <x:f>IF(E517=F517,"PASS","FAIL")</x:f>
        <x:v>PASS</x:v>
      </x:c>
    </x:row>
    <x:row r="518">
      <x:c r="B518" s="21" t="str">
        <x:v>A00512</x:v>
      </x:c>
      <x:c r="C518" s="21" t="str">
        <x:v>root</x:v>
      </x:c>
      <x:c r="D518" s="21" t="str">
        <x:v>F04-I3-B data constitution</x:v>
      </x:c>
      <x:c r="E518" s="21" t="n">
        <x:f>IF(AND('Root Data'!G50=Assumptions!C10,'Root Data'!J50=Assumptions!C18,'Root Data'!N50="PASS"),1,0)</x:f>
        <x:v>1</x:v>
      </x:c>
      <x:c r="F518" s="21" t="n">
        <x:v>1</x:v>
      </x:c>
      <x:c r="G518" s="23" t="str">
        <x:f>IF(E518=F518,"PASS","FAIL")</x:f>
        <x:v>PASS</x:v>
      </x:c>
    </x:row>
    <x:row r="519">
      <x:c r="B519" s="21" t="str">
        <x:v>A00513</x:v>
      </x:c>
      <x:c r="C519" s="21" t="str">
        <x:v>root</x:v>
      </x:c>
      <x:c r="D519" s="21" t="str">
        <x:v>F04-I3-C data constitution</x:v>
      </x:c>
      <x:c r="E519" s="21" t="n">
        <x:f>IF(AND('Root Data'!G51=Assumptions!C10,'Root Data'!J51=Assumptions!C18,'Root Data'!N51="PASS"),1,0)</x:f>
        <x:v>1</x:v>
      </x:c>
      <x:c r="F519" s="21" t="n">
        <x:v>1</x:v>
      </x:c>
      <x:c r="G519" s="23" t="str">
        <x:f>IF(E519=F519,"PASS","FAIL")</x:f>
        <x:v>PASS</x:v>
      </x:c>
    </x:row>
    <x:row r="520">
      <x:c r="B520" s="21" t="str">
        <x:v>A00514</x:v>
      </x:c>
      <x:c r="C520" s="21" t="str">
        <x:v>root</x:v>
      </x:c>
      <x:c r="D520" s="21" t="str">
        <x:v>F04-I4-A data constitution</x:v>
      </x:c>
      <x:c r="E520" s="21" t="n">
        <x:f>IF(AND('Root Data'!G52=Assumptions!C10,'Root Data'!J52=Assumptions!C18,'Root Data'!N52="PASS"),1,0)</x:f>
        <x:v>1</x:v>
      </x:c>
      <x:c r="F520" s="21" t="n">
        <x:v>1</x:v>
      </x:c>
      <x:c r="G520" s="23" t="str">
        <x:f>IF(E520=F520,"PASS","FAIL")</x:f>
        <x:v>PASS</x:v>
      </x:c>
    </x:row>
    <x:row r="521">
      <x:c r="B521" s="21" t="str">
        <x:v>A00515</x:v>
      </x:c>
      <x:c r="C521" s="21" t="str">
        <x:v>root</x:v>
      </x:c>
      <x:c r="D521" s="21" t="str">
        <x:v>F04-I4-B data constitution</x:v>
      </x:c>
      <x:c r="E521" s="21" t="n">
        <x:f>IF(AND('Root Data'!G53=Assumptions!C10,'Root Data'!J53=Assumptions!C18,'Root Data'!N53="PASS"),1,0)</x:f>
        <x:v>1</x:v>
      </x:c>
      <x:c r="F521" s="21" t="n">
        <x:v>1</x:v>
      </x:c>
      <x:c r="G521" s="23" t="str">
        <x:f>IF(E521=F521,"PASS","FAIL")</x:f>
        <x:v>PASS</x:v>
      </x:c>
    </x:row>
    <x:row r="522">
      <x:c r="B522" s="21" t="str">
        <x:v>A00516</x:v>
      </x:c>
      <x:c r="C522" s="21" t="str">
        <x:v>root</x:v>
      </x:c>
      <x:c r="D522" s="21" t="str">
        <x:v>F04-I4-C data constitution</x:v>
      </x:c>
      <x:c r="E522" s="21" t="n">
        <x:f>IF(AND('Root Data'!G54=Assumptions!C10,'Root Data'!J54=Assumptions!C18,'Root Data'!N54="PASS"),1,0)</x:f>
        <x:v>1</x:v>
      </x:c>
      <x:c r="F522" s="21" t="n">
        <x:v>1</x:v>
      </x:c>
      <x:c r="G522" s="23" t="str">
        <x:f>IF(E522=F522,"PASS","FAIL")</x:f>
        <x:v>PASS</x:v>
      </x:c>
    </x:row>
    <x:row r="523">
      <x:c r="B523" s="21" t="str">
        <x:v>A00517</x:v>
      </x:c>
      <x:c r="C523" s="21" t="str">
        <x:v>root</x:v>
      </x:c>
      <x:c r="D523" s="21" t="str">
        <x:v>F05-I1-A data constitution</x:v>
      </x:c>
      <x:c r="E523" s="21" t="n">
        <x:f>IF(AND('Root Data'!G55=Assumptions!C10,'Root Data'!J55=Assumptions!C18,'Root Data'!N55="PASS"),1,0)</x:f>
        <x:v>1</x:v>
      </x:c>
      <x:c r="F523" s="21" t="n">
        <x:v>1</x:v>
      </x:c>
      <x:c r="G523" s="23" t="str">
        <x:f>IF(E523=F523,"PASS","FAIL")</x:f>
        <x:v>PASS</x:v>
      </x:c>
    </x:row>
    <x:row r="524">
      <x:c r="B524" s="21" t="str">
        <x:v>A00518</x:v>
      </x:c>
      <x:c r="C524" s="21" t="str">
        <x:v>root</x:v>
      </x:c>
      <x:c r="D524" s="21" t="str">
        <x:v>F05-I1-B data constitution</x:v>
      </x:c>
      <x:c r="E524" s="21" t="n">
        <x:f>IF(AND('Root Data'!G56=Assumptions!C10,'Root Data'!J56=Assumptions!C18,'Root Data'!N56="PASS"),1,0)</x:f>
        <x:v>1</x:v>
      </x:c>
      <x:c r="F524" s="21" t="n">
        <x:v>1</x:v>
      </x:c>
      <x:c r="G524" s="23" t="str">
        <x:f>IF(E524=F524,"PASS","FAIL")</x:f>
        <x:v>PASS</x:v>
      </x:c>
    </x:row>
    <x:row r="525">
      <x:c r="B525" s="21" t="str">
        <x:v>A00519</x:v>
      </x:c>
      <x:c r="C525" s="21" t="str">
        <x:v>root</x:v>
      </x:c>
      <x:c r="D525" s="21" t="str">
        <x:v>F05-I1-C data constitution</x:v>
      </x:c>
      <x:c r="E525" s="21" t="n">
        <x:f>IF(AND('Root Data'!G57=Assumptions!C10,'Root Data'!J57=Assumptions!C18,'Root Data'!N57="PASS"),1,0)</x:f>
        <x:v>1</x:v>
      </x:c>
      <x:c r="F525" s="21" t="n">
        <x:v>1</x:v>
      </x:c>
      <x:c r="G525" s="23" t="str">
        <x:f>IF(E525=F525,"PASS","FAIL")</x:f>
        <x:v>PASS</x:v>
      </x:c>
    </x:row>
    <x:row r="526">
      <x:c r="B526" s="21" t="str">
        <x:v>A00520</x:v>
      </x:c>
      <x:c r="C526" s="21" t="str">
        <x:v>root</x:v>
      </x:c>
      <x:c r="D526" s="21" t="str">
        <x:v>F05-I2-A data constitution</x:v>
      </x:c>
      <x:c r="E526" s="21" t="n">
        <x:f>IF(AND('Root Data'!G58=Assumptions!C10,'Root Data'!J58=Assumptions!C18,'Root Data'!N58="PASS"),1,0)</x:f>
        <x:v>1</x:v>
      </x:c>
      <x:c r="F526" s="21" t="n">
        <x:v>1</x:v>
      </x:c>
      <x:c r="G526" s="23" t="str">
        <x:f>IF(E526=F526,"PASS","FAIL")</x:f>
        <x:v>PASS</x:v>
      </x:c>
    </x:row>
    <x:row r="527">
      <x:c r="B527" s="21" t="str">
        <x:v>A00521</x:v>
      </x:c>
      <x:c r="C527" s="21" t="str">
        <x:v>root</x:v>
      </x:c>
      <x:c r="D527" s="21" t="str">
        <x:v>F05-I2-B data constitution</x:v>
      </x:c>
      <x:c r="E527" s="21" t="n">
        <x:f>IF(AND('Root Data'!G59=Assumptions!C10,'Root Data'!J59=Assumptions!C18,'Root Data'!N59="PASS"),1,0)</x:f>
        <x:v>1</x:v>
      </x:c>
      <x:c r="F527" s="21" t="n">
        <x:v>1</x:v>
      </x:c>
      <x:c r="G527" s="23" t="str">
        <x:f>IF(E527=F527,"PASS","FAIL")</x:f>
        <x:v>PASS</x:v>
      </x:c>
    </x:row>
    <x:row r="528">
      <x:c r="B528" s="21" t="str">
        <x:v>A00522</x:v>
      </x:c>
      <x:c r="C528" s="21" t="str">
        <x:v>root</x:v>
      </x:c>
      <x:c r="D528" s="21" t="str">
        <x:v>F05-I2-C data constitution</x:v>
      </x:c>
      <x:c r="E528" s="21" t="n">
        <x:f>IF(AND('Root Data'!G60=Assumptions!C10,'Root Data'!J60=Assumptions!C18,'Root Data'!N60="PASS"),1,0)</x:f>
        <x:v>1</x:v>
      </x:c>
      <x:c r="F528" s="21" t="n">
        <x:v>1</x:v>
      </x:c>
      <x:c r="G528" s="23" t="str">
        <x:f>IF(E528=F528,"PASS","FAIL")</x:f>
        <x:v>PASS</x:v>
      </x:c>
    </x:row>
    <x:row r="529">
      <x:c r="B529" s="21" t="str">
        <x:v>A00523</x:v>
      </x:c>
      <x:c r="C529" s="21" t="str">
        <x:v>root</x:v>
      </x:c>
      <x:c r="D529" s="21" t="str">
        <x:v>F05-I3-A data constitution</x:v>
      </x:c>
      <x:c r="E529" s="21" t="n">
        <x:f>IF(AND('Root Data'!G61=Assumptions!C10,'Root Data'!J61=Assumptions!C18,'Root Data'!N61="PASS"),1,0)</x:f>
        <x:v>1</x:v>
      </x:c>
      <x:c r="F529" s="21" t="n">
        <x:v>1</x:v>
      </x:c>
      <x:c r="G529" s="23" t="str">
        <x:f>IF(E529=F529,"PASS","FAIL")</x:f>
        <x:v>PASS</x:v>
      </x:c>
    </x:row>
    <x:row r="530">
      <x:c r="B530" s="21" t="str">
        <x:v>A00524</x:v>
      </x:c>
      <x:c r="C530" s="21" t="str">
        <x:v>root</x:v>
      </x:c>
      <x:c r="D530" s="21" t="str">
        <x:v>F05-I3-B data constitution</x:v>
      </x:c>
      <x:c r="E530" s="21" t="n">
        <x:f>IF(AND('Root Data'!G62=Assumptions!C10,'Root Data'!J62=Assumptions!C18,'Root Data'!N62="PASS"),1,0)</x:f>
        <x:v>1</x:v>
      </x:c>
      <x:c r="F530" s="21" t="n">
        <x:v>1</x:v>
      </x:c>
      <x:c r="G530" s="23" t="str">
        <x:f>IF(E530=F530,"PASS","FAIL")</x:f>
        <x:v>PASS</x:v>
      </x:c>
    </x:row>
    <x:row r="531">
      <x:c r="B531" s="21" t="str">
        <x:v>A00525</x:v>
      </x:c>
      <x:c r="C531" s="21" t="str">
        <x:v>root</x:v>
      </x:c>
      <x:c r="D531" s="21" t="str">
        <x:v>F05-I3-C data constitution</x:v>
      </x:c>
      <x:c r="E531" s="21" t="n">
        <x:f>IF(AND('Root Data'!G63=Assumptions!C10,'Root Data'!J63=Assumptions!C18,'Root Data'!N63="PASS"),1,0)</x:f>
        <x:v>1</x:v>
      </x:c>
      <x:c r="F531" s="21" t="n">
        <x:v>1</x:v>
      </x:c>
      <x:c r="G531" s="23" t="str">
        <x:f>IF(E531=F531,"PASS","FAIL")</x:f>
        <x:v>PASS</x:v>
      </x:c>
    </x:row>
    <x:row r="532">
      <x:c r="B532" s="21" t="str">
        <x:v>A00526</x:v>
      </x:c>
      <x:c r="C532" s="21" t="str">
        <x:v>root</x:v>
      </x:c>
      <x:c r="D532" s="21" t="str">
        <x:v>F05-I4-A data constitution</x:v>
      </x:c>
      <x:c r="E532" s="21" t="n">
        <x:f>IF(AND('Root Data'!G64=Assumptions!C10,'Root Data'!J64=Assumptions!C18,'Root Data'!N64="PASS"),1,0)</x:f>
        <x:v>1</x:v>
      </x:c>
      <x:c r="F532" s="21" t="n">
        <x:v>1</x:v>
      </x:c>
      <x:c r="G532" s="23" t="str">
        <x:f>IF(E532=F532,"PASS","FAIL")</x:f>
        <x:v>PASS</x:v>
      </x:c>
    </x:row>
    <x:row r="533">
      <x:c r="B533" s="21" t="str">
        <x:v>A00527</x:v>
      </x:c>
      <x:c r="C533" s="21" t="str">
        <x:v>root</x:v>
      </x:c>
      <x:c r="D533" s="21" t="str">
        <x:v>F05-I4-B data constitution</x:v>
      </x:c>
      <x:c r="E533" s="21" t="n">
        <x:f>IF(AND('Root Data'!G65=Assumptions!C10,'Root Data'!J65=Assumptions!C18,'Root Data'!N65="PASS"),1,0)</x:f>
        <x:v>1</x:v>
      </x:c>
      <x:c r="F533" s="21" t="n">
        <x:v>1</x:v>
      </x:c>
      <x:c r="G533" s="23" t="str">
        <x:f>IF(E533=F533,"PASS","FAIL")</x:f>
        <x:v>PASS</x:v>
      </x:c>
    </x:row>
    <x:row r="534">
      <x:c r="B534" s="21" t="str">
        <x:v>A00528</x:v>
      </x:c>
      <x:c r="C534" s="21" t="str">
        <x:v>root</x:v>
      </x:c>
      <x:c r="D534" s="21" t="str">
        <x:v>F05-I4-C data constitution</x:v>
      </x:c>
      <x:c r="E534" s="21" t="n">
        <x:f>IF(AND('Root Data'!G66=Assumptions!C10,'Root Data'!J66=Assumptions!C18,'Root Data'!N66="PASS"),1,0)</x:f>
        <x:v>1</x:v>
      </x:c>
      <x:c r="F534" s="21" t="n">
        <x:v>1</x:v>
      </x:c>
      <x:c r="G534" s="23" t="str">
        <x:f>IF(E534=F534,"PASS","FAIL")</x:f>
        <x:v>PASS</x:v>
      </x:c>
    </x:row>
    <x:row r="535">
      <x:c r="B535" s="21" t="str">
        <x:v>A00529</x:v>
      </x:c>
      <x:c r="C535" s="21" t="str">
        <x:v>root</x:v>
      </x:c>
      <x:c r="D535" s="21" t="str">
        <x:v>F06-I1-A data constitution</x:v>
      </x:c>
      <x:c r="E535" s="21" t="n">
        <x:f>IF(AND('Root Data'!G67=Assumptions!C10,'Root Data'!J67=Assumptions!C18,'Root Data'!N67="PASS"),1,0)</x:f>
        <x:v>1</x:v>
      </x:c>
      <x:c r="F535" s="21" t="n">
        <x:v>1</x:v>
      </x:c>
      <x:c r="G535" s="23" t="str">
        <x:f>IF(E535=F535,"PASS","FAIL")</x:f>
        <x:v>PASS</x:v>
      </x:c>
    </x:row>
    <x:row r="536">
      <x:c r="B536" s="21" t="str">
        <x:v>A00530</x:v>
      </x:c>
      <x:c r="C536" s="21" t="str">
        <x:v>root</x:v>
      </x:c>
      <x:c r="D536" s="21" t="str">
        <x:v>F06-I1-B data constitution</x:v>
      </x:c>
      <x:c r="E536" s="21" t="n">
        <x:f>IF(AND('Root Data'!G68=Assumptions!C10,'Root Data'!J68=Assumptions!C18,'Root Data'!N68="PASS"),1,0)</x:f>
        <x:v>1</x:v>
      </x:c>
      <x:c r="F536" s="21" t="n">
        <x:v>1</x:v>
      </x:c>
      <x:c r="G536" s="23" t="str">
        <x:f>IF(E536=F536,"PASS","FAIL")</x:f>
        <x:v>PASS</x:v>
      </x:c>
    </x:row>
    <x:row r="537">
      <x:c r="B537" s="21" t="str">
        <x:v>A00531</x:v>
      </x:c>
      <x:c r="C537" s="21" t="str">
        <x:v>root</x:v>
      </x:c>
      <x:c r="D537" s="21" t="str">
        <x:v>F06-I1-C data constitution</x:v>
      </x:c>
      <x:c r="E537" s="21" t="n">
        <x:f>IF(AND('Root Data'!G69=Assumptions!C10,'Root Data'!J69=Assumptions!C18,'Root Data'!N69="PASS"),1,0)</x:f>
        <x:v>1</x:v>
      </x:c>
      <x:c r="F537" s="21" t="n">
        <x:v>1</x:v>
      </x:c>
      <x:c r="G537" s="23" t="str">
        <x:f>IF(E537=F537,"PASS","FAIL")</x:f>
        <x:v>PASS</x:v>
      </x:c>
    </x:row>
    <x:row r="538">
      <x:c r="B538" s="21" t="str">
        <x:v>A00532</x:v>
      </x:c>
      <x:c r="C538" s="21" t="str">
        <x:v>root</x:v>
      </x:c>
      <x:c r="D538" s="21" t="str">
        <x:v>F06-I2-A data constitution</x:v>
      </x:c>
      <x:c r="E538" s="21" t="n">
        <x:f>IF(AND('Root Data'!G70=Assumptions!C10,'Root Data'!J70=Assumptions!C18,'Root Data'!N70="PASS"),1,0)</x:f>
        <x:v>1</x:v>
      </x:c>
      <x:c r="F538" s="21" t="n">
        <x:v>1</x:v>
      </x:c>
      <x:c r="G538" s="23" t="str">
        <x:f>IF(E538=F538,"PASS","FAIL")</x:f>
        <x:v>PASS</x:v>
      </x:c>
    </x:row>
    <x:row r="539">
      <x:c r="B539" s="21" t="str">
        <x:v>A00533</x:v>
      </x:c>
      <x:c r="C539" s="21" t="str">
        <x:v>root</x:v>
      </x:c>
      <x:c r="D539" s="21" t="str">
        <x:v>F06-I2-B data constitution</x:v>
      </x:c>
      <x:c r="E539" s="21" t="n">
        <x:f>IF(AND('Root Data'!G71=Assumptions!C10,'Root Data'!J71=Assumptions!C18,'Root Data'!N71="PASS"),1,0)</x:f>
        <x:v>1</x:v>
      </x:c>
      <x:c r="F539" s="21" t="n">
        <x:v>1</x:v>
      </x:c>
      <x:c r="G539" s="23" t="str">
        <x:f>IF(E539=F539,"PASS","FAIL")</x:f>
        <x:v>PASS</x:v>
      </x:c>
    </x:row>
    <x:row r="540">
      <x:c r="B540" s="21" t="str">
        <x:v>A00534</x:v>
      </x:c>
      <x:c r="C540" s="21" t="str">
        <x:v>root</x:v>
      </x:c>
      <x:c r="D540" s="21" t="str">
        <x:v>F06-I2-C data constitution</x:v>
      </x:c>
      <x:c r="E540" s="21" t="n">
        <x:f>IF(AND('Root Data'!G72=Assumptions!C10,'Root Data'!J72=Assumptions!C18,'Root Data'!N72="PASS"),1,0)</x:f>
        <x:v>1</x:v>
      </x:c>
      <x:c r="F540" s="21" t="n">
        <x:v>1</x:v>
      </x:c>
      <x:c r="G540" s="23" t="str">
        <x:f>IF(E540=F540,"PASS","FAIL")</x:f>
        <x:v>PASS</x:v>
      </x:c>
    </x:row>
    <x:row r="541">
      <x:c r="B541" s="21" t="str">
        <x:v>A00535</x:v>
      </x:c>
      <x:c r="C541" s="21" t="str">
        <x:v>root</x:v>
      </x:c>
      <x:c r="D541" s="21" t="str">
        <x:v>F06-I3-A data constitution</x:v>
      </x:c>
      <x:c r="E541" s="21" t="n">
        <x:f>IF(AND('Root Data'!G73=Assumptions!C10,'Root Data'!J73=Assumptions!C18,'Root Data'!N73="PASS"),1,0)</x:f>
        <x:v>1</x:v>
      </x:c>
      <x:c r="F541" s="21" t="n">
        <x:v>1</x:v>
      </x:c>
      <x:c r="G541" s="23" t="str">
        <x:f>IF(E541=F541,"PASS","FAIL")</x:f>
        <x:v>PASS</x:v>
      </x:c>
    </x:row>
    <x:row r="542">
      <x:c r="B542" s="21" t="str">
        <x:v>A00536</x:v>
      </x:c>
      <x:c r="C542" s="21" t="str">
        <x:v>root</x:v>
      </x:c>
      <x:c r="D542" s="21" t="str">
        <x:v>F06-I3-B data constitution</x:v>
      </x:c>
      <x:c r="E542" s="21" t="n">
        <x:f>IF(AND('Root Data'!G74=Assumptions!C10,'Root Data'!J74=Assumptions!C18,'Root Data'!N74="PASS"),1,0)</x:f>
        <x:v>1</x:v>
      </x:c>
      <x:c r="F542" s="21" t="n">
        <x:v>1</x:v>
      </x:c>
      <x:c r="G542" s="23" t="str">
        <x:f>IF(E542=F542,"PASS","FAIL")</x:f>
        <x:v>PASS</x:v>
      </x:c>
    </x:row>
    <x:row r="543">
      <x:c r="B543" s="21" t="str">
        <x:v>A00537</x:v>
      </x:c>
      <x:c r="C543" s="21" t="str">
        <x:v>root</x:v>
      </x:c>
      <x:c r="D543" s="21" t="str">
        <x:v>F06-I3-C data constitution</x:v>
      </x:c>
      <x:c r="E543" s="21" t="n">
        <x:f>IF(AND('Root Data'!G75=Assumptions!C10,'Root Data'!J75=Assumptions!C18,'Root Data'!N75="PASS"),1,0)</x:f>
        <x:v>1</x:v>
      </x:c>
      <x:c r="F543" s="21" t="n">
        <x:v>1</x:v>
      </x:c>
      <x:c r="G543" s="23" t="str">
        <x:f>IF(E543=F543,"PASS","FAIL")</x:f>
        <x:v>PASS</x:v>
      </x:c>
    </x:row>
    <x:row r="544">
      <x:c r="B544" s="21" t="str">
        <x:v>A00538</x:v>
      </x:c>
      <x:c r="C544" s="21" t="str">
        <x:v>root</x:v>
      </x:c>
      <x:c r="D544" s="21" t="str">
        <x:v>F06-I4-A data constitution</x:v>
      </x:c>
      <x:c r="E544" s="21" t="n">
        <x:f>IF(AND('Root Data'!G76=Assumptions!C10,'Root Data'!J76=Assumptions!C18,'Root Data'!N76="PASS"),1,0)</x:f>
        <x:v>1</x:v>
      </x:c>
      <x:c r="F544" s="21" t="n">
        <x:v>1</x:v>
      </x:c>
      <x:c r="G544" s="23" t="str">
        <x:f>IF(E544=F544,"PASS","FAIL")</x:f>
        <x:v>PASS</x:v>
      </x:c>
    </x:row>
    <x:row r="545">
      <x:c r="B545" s="21" t="str">
        <x:v>A00539</x:v>
      </x:c>
      <x:c r="C545" s="21" t="str">
        <x:v>root</x:v>
      </x:c>
      <x:c r="D545" s="21" t="str">
        <x:v>F06-I4-B data constitution</x:v>
      </x:c>
      <x:c r="E545" s="21" t="n">
        <x:f>IF(AND('Root Data'!G77=Assumptions!C10,'Root Data'!J77=Assumptions!C18,'Root Data'!N77="PASS"),1,0)</x:f>
        <x:v>1</x:v>
      </x:c>
      <x:c r="F545" s="21" t="n">
        <x:v>1</x:v>
      </x:c>
      <x:c r="G545" s="23" t="str">
        <x:f>IF(E545=F545,"PASS","FAIL")</x:f>
        <x:v>PASS</x:v>
      </x:c>
    </x:row>
    <x:row r="546">
      <x:c r="B546" s="21" t="str">
        <x:v>A00540</x:v>
      </x:c>
      <x:c r="C546" s="21" t="str">
        <x:v>root</x:v>
      </x:c>
      <x:c r="D546" s="21" t="str">
        <x:v>F06-I4-C data constitution</x:v>
      </x:c>
      <x:c r="E546" s="21" t="n">
        <x:f>IF(AND('Root Data'!G78=Assumptions!C10,'Root Data'!J78=Assumptions!C18,'Root Data'!N78="PASS"),1,0)</x:f>
        <x:v>1</x:v>
      </x:c>
      <x:c r="F546" s="21" t="n">
        <x:v>1</x:v>
      </x:c>
      <x:c r="G546" s="23" t="str">
        <x:f>IF(E546=F546,"PASS","FAIL")</x:f>
        <x:v>PASS</x:v>
      </x:c>
    </x:row>
    <x:row r="547">
      <x:c r="B547" s="21" t="str">
        <x:v>A00541</x:v>
      </x:c>
      <x:c r="C547" s="21" t="str">
        <x:v>root</x:v>
      </x:c>
      <x:c r="D547" s="21" t="str">
        <x:v>F07-I1-A data constitution</x:v>
      </x:c>
      <x:c r="E547" s="21" t="n">
        <x:f>IF(AND('Root Data'!G79=Assumptions!C10,'Root Data'!J79=Assumptions!C18,'Root Data'!N79="PASS"),1,0)</x:f>
        <x:v>1</x:v>
      </x:c>
      <x:c r="F547" s="21" t="n">
        <x:v>1</x:v>
      </x:c>
      <x:c r="G547" s="23" t="str">
        <x:f>IF(E547=F547,"PASS","FAIL")</x:f>
        <x:v>PASS</x:v>
      </x:c>
    </x:row>
    <x:row r="548">
      <x:c r="B548" s="21" t="str">
        <x:v>A00542</x:v>
      </x:c>
      <x:c r="C548" s="21" t="str">
        <x:v>root</x:v>
      </x:c>
      <x:c r="D548" s="21" t="str">
        <x:v>F07-I1-B data constitution</x:v>
      </x:c>
      <x:c r="E548" s="21" t="n">
        <x:f>IF(AND('Root Data'!G80=Assumptions!C10,'Root Data'!J80=Assumptions!C18,'Root Data'!N80="PASS"),1,0)</x:f>
        <x:v>1</x:v>
      </x:c>
      <x:c r="F548" s="21" t="n">
        <x:v>1</x:v>
      </x:c>
      <x:c r="G548" s="23" t="str">
        <x:f>IF(E548=F548,"PASS","FAIL")</x:f>
        <x:v>PASS</x:v>
      </x:c>
    </x:row>
    <x:row r="549">
      <x:c r="B549" s="21" t="str">
        <x:v>A00543</x:v>
      </x:c>
      <x:c r="C549" s="21" t="str">
        <x:v>root</x:v>
      </x:c>
      <x:c r="D549" s="21" t="str">
        <x:v>F07-I1-C data constitution</x:v>
      </x:c>
      <x:c r="E549" s="21" t="n">
        <x:f>IF(AND('Root Data'!G81=Assumptions!C10,'Root Data'!J81=Assumptions!C18,'Root Data'!N81="PASS"),1,0)</x:f>
        <x:v>1</x:v>
      </x:c>
      <x:c r="F549" s="21" t="n">
        <x:v>1</x:v>
      </x:c>
      <x:c r="G549" s="23" t="str">
        <x:f>IF(E549=F549,"PASS","FAIL")</x:f>
        <x:v>PASS</x:v>
      </x:c>
    </x:row>
    <x:row r="550">
      <x:c r="B550" s="21" t="str">
        <x:v>A00544</x:v>
      </x:c>
      <x:c r="C550" s="21" t="str">
        <x:v>root</x:v>
      </x:c>
      <x:c r="D550" s="21" t="str">
        <x:v>F07-I2-A data constitution</x:v>
      </x:c>
      <x:c r="E550" s="21" t="n">
        <x:f>IF(AND('Root Data'!G82=Assumptions!C10,'Root Data'!J82=Assumptions!C18,'Root Data'!N82="PASS"),1,0)</x:f>
        <x:v>1</x:v>
      </x:c>
      <x:c r="F550" s="21" t="n">
        <x:v>1</x:v>
      </x:c>
      <x:c r="G550" s="23" t="str">
        <x:f>IF(E550=F550,"PASS","FAIL")</x:f>
        <x:v>PASS</x:v>
      </x:c>
    </x:row>
    <x:row r="551">
      <x:c r="B551" s="21" t="str">
        <x:v>A00545</x:v>
      </x:c>
      <x:c r="C551" s="21" t="str">
        <x:v>root</x:v>
      </x:c>
      <x:c r="D551" s="21" t="str">
        <x:v>F07-I2-B data constitution</x:v>
      </x:c>
      <x:c r="E551" s="21" t="n">
        <x:f>IF(AND('Root Data'!G83=Assumptions!C10,'Root Data'!J83=Assumptions!C18,'Root Data'!N83="PASS"),1,0)</x:f>
        <x:v>1</x:v>
      </x:c>
      <x:c r="F551" s="21" t="n">
        <x:v>1</x:v>
      </x:c>
      <x:c r="G551" s="23" t="str">
        <x:f>IF(E551=F551,"PASS","FAIL")</x:f>
        <x:v>PASS</x:v>
      </x:c>
    </x:row>
    <x:row r="552">
      <x:c r="B552" s="21" t="str">
        <x:v>A00546</x:v>
      </x:c>
      <x:c r="C552" s="21" t="str">
        <x:v>root</x:v>
      </x:c>
      <x:c r="D552" s="21" t="str">
        <x:v>F07-I2-C data constitution</x:v>
      </x:c>
      <x:c r="E552" s="21" t="n">
        <x:f>IF(AND('Root Data'!G84=Assumptions!C10,'Root Data'!J84=Assumptions!C18,'Root Data'!N84="PASS"),1,0)</x:f>
        <x:v>1</x:v>
      </x:c>
      <x:c r="F552" s="21" t="n">
        <x:v>1</x:v>
      </x:c>
      <x:c r="G552" s="23" t="str">
        <x:f>IF(E552=F552,"PASS","FAIL")</x:f>
        <x:v>PASS</x:v>
      </x:c>
    </x:row>
    <x:row r="553">
      <x:c r="B553" s="21" t="str">
        <x:v>A00547</x:v>
      </x:c>
      <x:c r="C553" s="21" t="str">
        <x:v>root</x:v>
      </x:c>
      <x:c r="D553" s="21" t="str">
        <x:v>F07-I3-A data constitution</x:v>
      </x:c>
      <x:c r="E553" s="21" t="n">
        <x:f>IF(AND('Root Data'!G85=Assumptions!C10,'Root Data'!J85=Assumptions!C18,'Root Data'!N85="PASS"),1,0)</x:f>
        <x:v>1</x:v>
      </x:c>
      <x:c r="F553" s="21" t="n">
        <x:v>1</x:v>
      </x:c>
      <x:c r="G553" s="23" t="str">
        <x:f>IF(E553=F553,"PASS","FAIL")</x:f>
        <x:v>PASS</x:v>
      </x:c>
    </x:row>
    <x:row r="554">
      <x:c r="B554" s="21" t="str">
        <x:v>A00548</x:v>
      </x:c>
      <x:c r="C554" s="21" t="str">
        <x:v>root</x:v>
      </x:c>
      <x:c r="D554" s="21" t="str">
        <x:v>F07-I3-B data constitution</x:v>
      </x:c>
      <x:c r="E554" s="21" t="n">
        <x:f>IF(AND('Root Data'!G86=Assumptions!C10,'Root Data'!J86=Assumptions!C18,'Root Data'!N86="PASS"),1,0)</x:f>
        <x:v>1</x:v>
      </x:c>
      <x:c r="F554" s="21" t="n">
        <x:v>1</x:v>
      </x:c>
      <x:c r="G554" s="23" t="str">
        <x:f>IF(E554=F554,"PASS","FAIL")</x:f>
        <x:v>PASS</x:v>
      </x:c>
    </x:row>
    <x:row r="555">
      <x:c r="B555" s="21" t="str">
        <x:v>A00549</x:v>
      </x:c>
      <x:c r="C555" s="21" t="str">
        <x:v>root</x:v>
      </x:c>
      <x:c r="D555" s="21" t="str">
        <x:v>F07-I3-C data constitution</x:v>
      </x:c>
      <x:c r="E555" s="21" t="n">
        <x:f>IF(AND('Root Data'!G87=Assumptions!C10,'Root Data'!J87=Assumptions!C18,'Root Data'!N87="PASS"),1,0)</x:f>
        <x:v>1</x:v>
      </x:c>
      <x:c r="F555" s="21" t="n">
        <x:v>1</x:v>
      </x:c>
      <x:c r="G555" s="23" t="str">
        <x:f>IF(E555=F555,"PASS","FAIL")</x:f>
        <x:v>PASS</x:v>
      </x:c>
    </x:row>
    <x:row r="556">
      <x:c r="B556" s="21" t="str">
        <x:v>A00550</x:v>
      </x:c>
      <x:c r="C556" s="21" t="str">
        <x:v>root</x:v>
      </x:c>
      <x:c r="D556" s="21" t="str">
        <x:v>F07-I4-A data constitution</x:v>
      </x:c>
      <x:c r="E556" s="21" t="n">
        <x:f>IF(AND('Root Data'!G88=Assumptions!C10,'Root Data'!J88=Assumptions!C18,'Root Data'!N88="PASS"),1,0)</x:f>
        <x:v>1</x:v>
      </x:c>
      <x:c r="F556" s="21" t="n">
        <x:v>1</x:v>
      </x:c>
      <x:c r="G556" s="23" t="str">
        <x:f>IF(E556=F556,"PASS","FAIL")</x:f>
        <x:v>PASS</x:v>
      </x:c>
    </x:row>
    <x:row r="557">
      <x:c r="B557" s="21" t="str">
        <x:v>A00551</x:v>
      </x:c>
      <x:c r="C557" s="21" t="str">
        <x:v>root</x:v>
      </x:c>
      <x:c r="D557" s="21" t="str">
        <x:v>F07-I4-B data constitution</x:v>
      </x:c>
      <x:c r="E557" s="21" t="n">
        <x:f>IF(AND('Root Data'!G89=Assumptions!C10,'Root Data'!J89=Assumptions!C18,'Root Data'!N89="PASS"),1,0)</x:f>
        <x:v>1</x:v>
      </x:c>
      <x:c r="F557" s="21" t="n">
        <x:v>1</x:v>
      </x:c>
      <x:c r="G557" s="23" t="str">
        <x:f>IF(E557=F557,"PASS","FAIL")</x:f>
        <x:v>PASS</x:v>
      </x:c>
    </x:row>
    <x:row r="558">
      <x:c r="B558" s="21" t="str">
        <x:v>A00552</x:v>
      </x:c>
      <x:c r="C558" s="21" t="str">
        <x:v>root</x:v>
      </x:c>
      <x:c r="D558" s="21" t="str">
        <x:v>F07-I4-C data constitution</x:v>
      </x:c>
      <x:c r="E558" s="21" t="n">
        <x:f>IF(AND('Root Data'!G90=Assumptions!C10,'Root Data'!J90=Assumptions!C18,'Root Data'!N90="PASS"),1,0)</x:f>
        <x:v>1</x:v>
      </x:c>
      <x:c r="F558" s="21" t="n">
        <x:v>1</x:v>
      </x:c>
      <x:c r="G558" s="23" t="str">
        <x:f>IF(E558=F558,"PASS","FAIL")</x:f>
        <x:v>PASS</x:v>
      </x:c>
    </x:row>
    <x:row r="559">
      <x:c r="B559" s="21" t="str">
        <x:v>A00553</x:v>
      </x:c>
      <x:c r="C559" s="21" t="str">
        <x:v>root</x:v>
      </x:c>
      <x:c r="D559" s="21" t="str">
        <x:v>F08-I1-A data constitution</x:v>
      </x:c>
      <x:c r="E559" s="21" t="n">
        <x:f>IF(AND('Root Data'!G91=Assumptions!C10,'Root Data'!J91=Assumptions!C18,'Root Data'!N91="PASS"),1,0)</x:f>
        <x:v>1</x:v>
      </x:c>
      <x:c r="F559" s="21" t="n">
        <x:v>1</x:v>
      </x:c>
      <x:c r="G559" s="23" t="str">
        <x:f>IF(E559=F559,"PASS","FAIL")</x:f>
        <x:v>PASS</x:v>
      </x:c>
    </x:row>
    <x:row r="560">
      <x:c r="B560" s="21" t="str">
        <x:v>A00554</x:v>
      </x:c>
      <x:c r="C560" s="21" t="str">
        <x:v>root</x:v>
      </x:c>
      <x:c r="D560" s="21" t="str">
        <x:v>F08-I1-B data constitution</x:v>
      </x:c>
      <x:c r="E560" s="21" t="n">
        <x:f>IF(AND('Root Data'!G92=Assumptions!C10,'Root Data'!J92=Assumptions!C18,'Root Data'!N92="PASS"),1,0)</x:f>
        <x:v>1</x:v>
      </x:c>
      <x:c r="F560" s="21" t="n">
        <x:v>1</x:v>
      </x:c>
      <x:c r="G560" s="23" t="str">
        <x:f>IF(E560=F560,"PASS","FAIL")</x:f>
        <x:v>PASS</x:v>
      </x:c>
    </x:row>
    <x:row r="561">
      <x:c r="B561" s="21" t="str">
        <x:v>A00555</x:v>
      </x:c>
      <x:c r="C561" s="21" t="str">
        <x:v>root</x:v>
      </x:c>
      <x:c r="D561" s="21" t="str">
        <x:v>F08-I1-C data constitution</x:v>
      </x:c>
      <x:c r="E561" s="21" t="n">
        <x:f>IF(AND('Root Data'!G93=Assumptions!C10,'Root Data'!J93=Assumptions!C18,'Root Data'!N93="PASS"),1,0)</x:f>
        <x:v>1</x:v>
      </x:c>
      <x:c r="F561" s="21" t="n">
        <x:v>1</x:v>
      </x:c>
      <x:c r="G561" s="23" t="str">
        <x:f>IF(E561=F561,"PASS","FAIL")</x:f>
        <x:v>PASS</x:v>
      </x:c>
    </x:row>
    <x:row r="562">
      <x:c r="B562" s="21" t="str">
        <x:v>A00556</x:v>
      </x:c>
      <x:c r="C562" s="21" t="str">
        <x:v>root</x:v>
      </x:c>
      <x:c r="D562" s="21" t="str">
        <x:v>F08-I2-A data constitution</x:v>
      </x:c>
      <x:c r="E562" s="21" t="n">
        <x:f>IF(AND('Root Data'!G94=Assumptions!C10,'Root Data'!J94=Assumptions!C18,'Root Data'!N94="PASS"),1,0)</x:f>
        <x:v>1</x:v>
      </x:c>
      <x:c r="F562" s="21" t="n">
        <x:v>1</x:v>
      </x:c>
      <x:c r="G562" s="23" t="str">
        <x:f>IF(E562=F562,"PASS","FAIL")</x:f>
        <x:v>PASS</x:v>
      </x:c>
    </x:row>
    <x:row r="563">
      <x:c r="B563" s="21" t="str">
        <x:v>A00557</x:v>
      </x:c>
      <x:c r="C563" s="21" t="str">
        <x:v>root</x:v>
      </x:c>
      <x:c r="D563" s="21" t="str">
        <x:v>F08-I2-B data constitution</x:v>
      </x:c>
      <x:c r="E563" s="21" t="n">
        <x:f>IF(AND('Root Data'!G95=Assumptions!C10,'Root Data'!J95=Assumptions!C18,'Root Data'!N95="PASS"),1,0)</x:f>
        <x:v>1</x:v>
      </x:c>
      <x:c r="F563" s="21" t="n">
        <x:v>1</x:v>
      </x:c>
      <x:c r="G563" s="23" t="str">
        <x:f>IF(E563=F563,"PASS","FAIL")</x:f>
        <x:v>PASS</x:v>
      </x:c>
    </x:row>
    <x:row r="564">
      <x:c r="B564" s="21" t="str">
        <x:v>A00558</x:v>
      </x:c>
      <x:c r="C564" s="21" t="str">
        <x:v>root</x:v>
      </x:c>
      <x:c r="D564" s="21" t="str">
        <x:v>F08-I2-C data constitution</x:v>
      </x:c>
      <x:c r="E564" s="21" t="n">
        <x:f>IF(AND('Root Data'!G96=Assumptions!C10,'Root Data'!J96=Assumptions!C18,'Root Data'!N96="PASS"),1,0)</x:f>
        <x:v>1</x:v>
      </x:c>
      <x:c r="F564" s="21" t="n">
        <x:v>1</x:v>
      </x:c>
      <x:c r="G564" s="23" t="str">
        <x:f>IF(E564=F564,"PASS","FAIL")</x:f>
        <x:v>PASS</x:v>
      </x:c>
    </x:row>
    <x:row r="565">
      <x:c r="B565" s="21" t="str">
        <x:v>A00559</x:v>
      </x:c>
      <x:c r="C565" s="21" t="str">
        <x:v>root</x:v>
      </x:c>
      <x:c r="D565" s="21" t="str">
        <x:v>F08-I3-A data constitution</x:v>
      </x:c>
      <x:c r="E565" s="21" t="n">
        <x:f>IF(AND('Root Data'!G97=Assumptions!C10,'Root Data'!J97=Assumptions!C18,'Root Data'!N97="PASS"),1,0)</x:f>
        <x:v>1</x:v>
      </x:c>
      <x:c r="F565" s="21" t="n">
        <x:v>1</x:v>
      </x:c>
      <x:c r="G565" s="23" t="str">
        <x:f>IF(E565=F565,"PASS","FAIL")</x:f>
        <x:v>PASS</x:v>
      </x:c>
    </x:row>
    <x:row r="566">
      <x:c r="B566" s="21" t="str">
        <x:v>A00560</x:v>
      </x:c>
      <x:c r="C566" s="21" t="str">
        <x:v>root</x:v>
      </x:c>
      <x:c r="D566" s="21" t="str">
        <x:v>F08-I3-B data constitution</x:v>
      </x:c>
      <x:c r="E566" s="21" t="n">
        <x:f>IF(AND('Root Data'!G98=Assumptions!C10,'Root Data'!J98=Assumptions!C18,'Root Data'!N98="PASS"),1,0)</x:f>
        <x:v>1</x:v>
      </x:c>
      <x:c r="F566" s="21" t="n">
        <x:v>1</x:v>
      </x:c>
      <x:c r="G566" s="23" t="str">
        <x:f>IF(E566=F566,"PASS","FAIL")</x:f>
        <x:v>PASS</x:v>
      </x:c>
    </x:row>
    <x:row r="567">
      <x:c r="B567" s="21" t="str">
        <x:v>A00561</x:v>
      </x:c>
      <x:c r="C567" s="21" t="str">
        <x:v>root</x:v>
      </x:c>
      <x:c r="D567" s="21" t="str">
        <x:v>F08-I3-C data constitution</x:v>
      </x:c>
      <x:c r="E567" s="21" t="n">
        <x:f>IF(AND('Root Data'!G99=Assumptions!C10,'Root Data'!J99=Assumptions!C18,'Root Data'!N99="PASS"),1,0)</x:f>
        <x:v>1</x:v>
      </x:c>
      <x:c r="F567" s="21" t="n">
        <x:v>1</x:v>
      </x:c>
      <x:c r="G567" s="23" t="str">
        <x:f>IF(E567=F567,"PASS","FAIL")</x:f>
        <x:v>PASS</x:v>
      </x:c>
    </x:row>
    <x:row r="568">
      <x:c r="B568" s="21" t="str">
        <x:v>A00562</x:v>
      </x:c>
      <x:c r="C568" s="21" t="str">
        <x:v>root</x:v>
      </x:c>
      <x:c r="D568" s="21" t="str">
        <x:v>F08-I4-A data constitution</x:v>
      </x:c>
      <x:c r="E568" s="21" t="n">
        <x:f>IF(AND('Root Data'!G100=Assumptions!C10,'Root Data'!J100=Assumptions!C18,'Root Data'!N100="PASS"),1,0)</x:f>
        <x:v>1</x:v>
      </x:c>
      <x:c r="F568" s="21" t="n">
        <x:v>1</x:v>
      </x:c>
      <x:c r="G568" s="23" t="str">
        <x:f>IF(E568=F568,"PASS","FAIL")</x:f>
        <x:v>PASS</x:v>
      </x:c>
    </x:row>
    <x:row r="569">
      <x:c r="B569" s="21" t="str">
        <x:v>A00563</x:v>
      </x:c>
      <x:c r="C569" s="21" t="str">
        <x:v>root</x:v>
      </x:c>
      <x:c r="D569" s="21" t="str">
        <x:v>F08-I4-B data constitution</x:v>
      </x:c>
      <x:c r="E569" s="21" t="n">
        <x:f>IF(AND('Root Data'!G101=Assumptions!C10,'Root Data'!J101=Assumptions!C18,'Root Data'!N101="PASS"),1,0)</x:f>
        <x:v>1</x:v>
      </x:c>
      <x:c r="F569" s="21" t="n">
        <x:v>1</x:v>
      </x:c>
      <x:c r="G569" s="23" t="str">
        <x:f>IF(E569=F569,"PASS","FAIL")</x:f>
        <x:v>PASS</x:v>
      </x:c>
    </x:row>
    <x:row r="570">
      <x:c r="B570" s="21" t="str">
        <x:v>A00564</x:v>
      </x:c>
      <x:c r="C570" s="21" t="str">
        <x:v>root</x:v>
      </x:c>
      <x:c r="D570" s="21" t="str">
        <x:v>F08-I4-C data constitution</x:v>
      </x:c>
      <x:c r="E570" s="21" t="n">
        <x:f>IF(AND('Root Data'!G102=Assumptions!C10,'Root Data'!J102=Assumptions!C18,'Root Data'!N102="PASS"),1,0)</x:f>
        <x:v>1</x:v>
      </x:c>
      <x:c r="F570" s="21" t="n">
        <x:v>1</x:v>
      </x:c>
      <x:c r="G570" s="23" t="str">
        <x:f>IF(E570=F570,"PASS","FAIL")</x:f>
        <x:v>PASS</x:v>
      </x:c>
    </x:row>
    <x:row r="571">
      <x:c r="B571" s="21" t="str">
        <x:v>A00565</x:v>
      </x:c>
      <x:c r="C571" s="21" t="str">
        <x:v>root</x:v>
      </x:c>
      <x:c r="D571" s="21" t="str">
        <x:v>F09-I1-A data constitution</x:v>
      </x:c>
      <x:c r="E571" s="21" t="n">
        <x:f>IF(AND('Root Data'!G103=Assumptions!C10,'Root Data'!J103=Assumptions!C18,'Root Data'!N103="PASS"),1,0)</x:f>
        <x:v>1</x:v>
      </x:c>
      <x:c r="F571" s="21" t="n">
        <x:v>1</x:v>
      </x:c>
      <x:c r="G571" s="23" t="str">
        <x:f>IF(E571=F571,"PASS","FAIL")</x:f>
        <x:v>PASS</x:v>
      </x:c>
    </x:row>
    <x:row r="572">
      <x:c r="B572" s="21" t="str">
        <x:v>A00566</x:v>
      </x:c>
      <x:c r="C572" s="21" t="str">
        <x:v>root</x:v>
      </x:c>
      <x:c r="D572" s="21" t="str">
        <x:v>F09-I1-B data constitution</x:v>
      </x:c>
      <x:c r="E572" s="21" t="n">
        <x:f>IF(AND('Root Data'!G104=Assumptions!C10,'Root Data'!J104=Assumptions!C18,'Root Data'!N104="PASS"),1,0)</x:f>
        <x:v>1</x:v>
      </x:c>
      <x:c r="F572" s="21" t="n">
        <x:v>1</x:v>
      </x:c>
      <x:c r="G572" s="23" t="str">
        <x:f>IF(E572=F572,"PASS","FAIL")</x:f>
        <x:v>PASS</x:v>
      </x:c>
    </x:row>
    <x:row r="573">
      <x:c r="B573" s="21" t="str">
        <x:v>A00567</x:v>
      </x:c>
      <x:c r="C573" s="21" t="str">
        <x:v>root</x:v>
      </x:c>
      <x:c r="D573" s="21" t="str">
        <x:v>F09-I1-C data constitution</x:v>
      </x:c>
      <x:c r="E573" s="21" t="n">
        <x:f>IF(AND('Root Data'!G105=Assumptions!C10,'Root Data'!J105=Assumptions!C18,'Root Data'!N105="PASS"),1,0)</x:f>
        <x:v>1</x:v>
      </x:c>
      <x:c r="F573" s="21" t="n">
        <x:v>1</x:v>
      </x:c>
      <x:c r="G573" s="23" t="str">
        <x:f>IF(E573=F573,"PASS","FAIL")</x:f>
        <x:v>PASS</x:v>
      </x:c>
    </x:row>
    <x:row r="574">
      <x:c r="B574" s="21" t="str">
        <x:v>A00568</x:v>
      </x:c>
      <x:c r="C574" s="21" t="str">
        <x:v>root</x:v>
      </x:c>
      <x:c r="D574" s="21" t="str">
        <x:v>F09-I2-A data constitution</x:v>
      </x:c>
      <x:c r="E574" s="21" t="n">
        <x:f>IF(AND('Root Data'!G106=Assumptions!C10,'Root Data'!J106=Assumptions!C18,'Root Data'!N106="PASS"),1,0)</x:f>
        <x:v>1</x:v>
      </x:c>
      <x:c r="F574" s="21" t="n">
        <x:v>1</x:v>
      </x:c>
      <x:c r="G574" s="23" t="str">
        <x:f>IF(E574=F574,"PASS","FAIL")</x:f>
        <x:v>PASS</x:v>
      </x:c>
    </x:row>
    <x:row r="575">
      <x:c r="B575" s="21" t="str">
        <x:v>A00569</x:v>
      </x:c>
      <x:c r="C575" s="21" t="str">
        <x:v>root</x:v>
      </x:c>
      <x:c r="D575" s="21" t="str">
        <x:v>F09-I2-B data constitution</x:v>
      </x:c>
      <x:c r="E575" s="21" t="n">
        <x:f>IF(AND('Root Data'!G107=Assumptions!C10,'Root Data'!J107=Assumptions!C18,'Root Data'!N107="PASS"),1,0)</x:f>
        <x:v>1</x:v>
      </x:c>
      <x:c r="F575" s="21" t="n">
        <x:v>1</x:v>
      </x:c>
      <x:c r="G575" s="23" t="str">
        <x:f>IF(E575=F575,"PASS","FAIL")</x:f>
        <x:v>PASS</x:v>
      </x:c>
    </x:row>
    <x:row r="576">
      <x:c r="B576" s="21" t="str">
        <x:v>A00570</x:v>
      </x:c>
      <x:c r="C576" s="21" t="str">
        <x:v>root</x:v>
      </x:c>
      <x:c r="D576" s="21" t="str">
        <x:v>F09-I2-C data constitution</x:v>
      </x:c>
      <x:c r="E576" s="21" t="n">
        <x:f>IF(AND('Root Data'!G108=Assumptions!C10,'Root Data'!J108=Assumptions!C18,'Root Data'!N108="PASS"),1,0)</x:f>
        <x:v>1</x:v>
      </x:c>
      <x:c r="F576" s="21" t="n">
        <x:v>1</x:v>
      </x:c>
      <x:c r="G576" s="23" t="str">
        <x:f>IF(E576=F576,"PASS","FAIL")</x:f>
        <x:v>PASS</x:v>
      </x:c>
    </x:row>
    <x:row r="577">
      <x:c r="B577" s="21" t="str">
        <x:v>A00571</x:v>
      </x:c>
      <x:c r="C577" s="21" t="str">
        <x:v>root</x:v>
      </x:c>
      <x:c r="D577" s="21" t="str">
        <x:v>F09-I3-A data constitution</x:v>
      </x:c>
      <x:c r="E577" s="21" t="n">
        <x:f>IF(AND('Root Data'!G109=Assumptions!C10,'Root Data'!J109=Assumptions!C18,'Root Data'!N109="PASS"),1,0)</x:f>
        <x:v>1</x:v>
      </x:c>
      <x:c r="F577" s="21" t="n">
        <x:v>1</x:v>
      </x:c>
      <x:c r="G577" s="23" t="str">
        <x:f>IF(E577=F577,"PASS","FAIL")</x:f>
        <x:v>PASS</x:v>
      </x:c>
    </x:row>
    <x:row r="578">
      <x:c r="B578" s="21" t="str">
        <x:v>A00572</x:v>
      </x:c>
      <x:c r="C578" s="21" t="str">
        <x:v>root</x:v>
      </x:c>
      <x:c r="D578" s="21" t="str">
        <x:v>F09-I3-B data constitution</x:v>
      </x:c>
      <x:c r="E578" s="21" t="n">
        <x:f>IF(AND('Root Data'!G110=Assumptions!C10,'Root Data'!J110=Assumptions!C18,'Root Data'!N110="PASS"),1,0)</x:f>
        <x:v>1</x:v>
      </x:c>
      <x:c r="F578" s="21" t="n">
        <x:v>1</x:v>
      </x:c>
      <x:c r="G578" s="23" t="str">
        <x:f>IF(E578=F578,"PASS","FAIL")</x:f>
        <x:v>PASS</x:v>
      </x:c>
    </x:row>
    <x:row r="579">
      <x:c r="B579" s="21" t="str">
        <x:v>A00573</x:v>
      </x:c>
      <x:c r="C579" s="21" t="str">
        <x:v>root</x:v>
      </x:c>
      <x:c r="D579" s="21" t="str">
        <x:v>F09-I3-C data constitution</x:v>
      </x:c>
      <x:c r="E579" s="21" t="n">
        <x:f>IF(AND('Root Data'!G111=Assumptions!C10,'Root Data'!J111=Assumptions!C18,'Root Data'!N111="PASS"),1,0)</x:f>
        <x:v>1</x:v>
      </x:c>
      <x:c r="F579" s="21" t="n">
        <x:v>1</x:v>
      </x:c>
      <x:c r="G579" s="23" t="str">
        <x:f>IF(E579=F579,"PASS","FAIL")</x:f>
        <x:v>PASS</x:v>
      </x:c>
    </x:row>
    <x:row r="580">
      <x:c r="B580" s="21" t="str">
        <x:v>A00574</x:v>
      </x:c>
      <x:c r="C580" s="21" t="str">
        <x:v>root</x:v>
      </x:c>
      <x:c r="D580" s="21" t="str">
        <x:v>F09-I4-A data constitution</x:v>
      </x:c>
      <x:c r="E580" s="21" t="n">
        <x:f>IF(AND('Root Data'!G112=Assumptions!C10,'Root Data'!J112=Assumptions!C18,'Root Data'!N112="PASS"),1,0)</x:f>
        <x:v>1</x:v>
      </x:c>
      <x:c r="F580" s="21" t="n">
        <x:v>1</x:v>
      </x:c>
      <x:c r="G580" s="23" t="str">
        <x:f>IF(E580=F580,"PASS","FAIL")</x:f>
        <x:v>PASS</x:v>
      </x:c>
    </x:row>
    <x:row r="581">
      <x:c r="B581" s="21" t="str">
        <x:v>A00575</x:v>
      </x:c>
      <x:c r="C581" s="21" t="str">
        <x:v>root</x:v>
      </x:c>
      <x:c r="D581" s="21" t="str">
        <x:v>F09-I4-B data constitution</x:v>
      </x:c>
      <x:c r="E581" s="21" t="n">
        <x:f>IF(AND('Root Data'!G113=Assumptions!C10,'Root Data'!J113=Assumptions!C18,'Root Data'!N113="PASS"),1,0)</x:f>
        <x:v>1</x:v>
      </x:c>
      <x:c r="F581" s="21" t="n">
        <x:v>1</x:v>
      </x:c>
      <x:c r="G581" s="23" t="str">
        <x:f>IF(E581=F581,"PASS","FAIL")</x:f>
        <x:v>PASS</x:v>
      </x:c>
    </x:row>
    <x:row r="582">
      <x:c r="B582" s="21" t="str">
        <x:v>A00576</x:v>
      </x:c>
      <x:c r="C582" s="21" t="str">
        <x:v>root</x:v>
      </x:c>
      <x:c r="D582" s="21" t="str">
        <x:v>F09-I4-C data constitution</x:v>
      </x:c>
      <x:c r="E582" s="21" t="n">
        <x:f>IF(AND('Root Data'!G114=Assumptions!C10,'Root Data'!J114=Assumptions!C18,'Root Data'!N114="PASS"),1,0)</x:f>
        <x:v>1</x:v>
      </x:c>
      <x:c r="F582" s="21" t="n">
        <x:v>1</x:v>
      </x:c>
      <x:c r="G582" s="23" t="str">
        <x:f>IF(E582=F582,"PASS","FAIL")</x:f>
        <x:v>PASS</x:v>
      </x:c>
    </x:row>
    <x:row r="583">
      <x:c r="B583" s="21" t="str">
        <x:v>A00577</x:v>
      </x:c>
      <x:c r="C583" s="21" t="str">
        <x:v>root</x:v>
      </x:c>
      <x:c r="D583" s="21" t="str">
        <x:v>F10-I1-A data constitution</x:v>
      </x:c>
      <x:c r="E583" s="21" t="n">
        <x:f>IF(AND('Root Data'!G115=Assumptions!C10,'Root Data'!J115=Assumptions!C18,'Root Data'!N115="PASS"),1,0)</x:f>
        <x:v>1</x:v>
      </x:c>
      <x:c r="F583" s="21" t="n">
        <x:v>1</x:v>
      </x:c>
      <x:c r="G583" s="23" t="str">
        <x:f>IF(E583=F583,"PASS","FAIL")</x:f>
        <x:v>PASS</x:v>
      </x:c>
    </x:row>
    <x:row r="584">
      <x:c r="B584" s="21" t="str">
        <x:v>A00578</x:v>
      </x:c>
      <x:c r="C584" s="21" t="str">
        <x:v>root</x:v>
      </x:c>
      <x:c r="D584" s="21" t="str">
        <x:v>F10-I1-B data constitution</x:v>
      </x:c>
      <x:c r="E584" s="21" t="n">
        <x:f>IF(AND('Root Data'!G116=Assumptions!C10,'Root Data'!J116=Assumptions!C18,'Root Data'!N116="PASS"),1,0)</x:f>
        <x:v>1</x:v>
      </x:c>
      <x:c r="F584" s="21" t="n">
        <x:v>1</x:v>
      </x:c>
      <x:c r="G584" s="23" t="str">
        <x:f>IF(E584=F584,"PASS","FAIL")</x:f>
        <x:v>PASS</x:v>
      </x:c>
    </x:row>
    <x:row r="585">
      <x:c r="B585" s="21" t="str">
        <x:v>A00579</x:v>
      </x:c>
      <x:c r="C585" s="21" t="str">
        <x:v>root</x:v>
      </x:c>
      <x:c r="D585" s="21" t="str">
        <x:v>F10-I1-C data constitution</x:v>
      </x:c>
      <x:c r="E585" s="21" t="n">
        <x:f>IF(AND('Root Data'!G117=Assumptions!C10,'Root Data'!J117=Assumptions!C18,'Root Data'!N117="PASS"),1,0)</x:f>
        <x:v>1</x:v>
      </x:c>
      <x:c r="F585" s="21" t="n">
        <x:v>1</x:v>
      </x:c>
      <x:c r="G585" s="23" t="str">
        <x:f>IF(E585=F585,"PASS","FAIL")</x:f>
        <x:v>PASS</x:v>
      </x:c>
    </x:row>
    <x:row r="586">
      <x:c r="B586" s="21" t="str">
        <x:v>A00580</x:v>
      </x:c>
      <x:c r="C586" s="21" t="str">
        <x:v>root</x:v>
      </x:c>
      <x:c r="D586" s="21" t="str">
        <x:v>F10-I2-A data constitution</x:v>
      </x:c>
      <x:c r="E586" s="21" t="n">
        <x:f>IF(AND('Root Data'!G118=Assumptions!C10,'Root Data'!J118=Assumptions!C18,'Root Data'!N118="PASS"),1,0)</x:f>
        <x:v>1</x:v>
      </x:c>
      <x:c r="F586" s="21" t="n">
        <x:v>1</x:v>
      </x:c>
      <x:c r="G586" s="23" t="str">
        <x:f>IF(E586=F586,"PASS","FAIL")</x:f>
        <x:v>PASS</x:v>
      </x:c>
    </x:row>
    <x:row r="587">
      <x:c r="B587" s="21" t="str">
        <x:v>A00581</x:v>
      </x:c>
      <x:c r="C587" s="21" t="str">
        <x:v>root</x:v>
      </x:c>
      <x:c r="D587" s="21" t="str">
        <x:v>F10-I2-B data constitution</x:v>
      </x:c>
      <x:c r="E587" s="21" t="n">
        <x:f>IF(AND('Root Data'!G119=Assumptions!C10,'Root Data'!J119=Assumptions!C18,'Root Data'!N119="PASS"),1,0)</x:f>
        <x:v>1</x:v>
      </x:c>
      <x:c r="F587" s="21" t="n">
        <x:v>1</x:v>
      </x:c>
      <x:c r="G587" s="23" t="str">
        <x:f>IF(E587=F587,"PASS","FAIL")</x:f>
        <x:v>PASS</x:v>
      </x:c>
    </x:row>
    <x:row r="588">
      <x:c r="B588" s="21" t="str">
        <x:v>A00582</x:v>
      </x:c>
      <x:c r="C588" s="21" t="str">
        <x:v>root</x:v>
      </x:c>
      <x:c r="D588" s="21" t="str">
        <x:v>F10-I2-C data constitution</x:v>
      </x:c>
      <x:c r="E588" s="21" t="n">
        <x:f>IF(AND('Root Data'!G120=Assumptions!C10,'Root Data'!J120=Assumptions!C18,'Root Data'!N120="PASS"),1,0)</x:f>
        <x:v>1</x:v>
      </x:c>
      <x:c r="F588" s="21" t="n">
        <x:v>1</x:v>
      </x:c>
      <x:c r="G588" s="23" t="str">
        <x:f>IF(E588=F588,"PASS","FAIL")</x:f>
        <x:v>PASS</x:v>
      </x:c>
    </x:row>
    <x:row r="589">
      <x:c r="B589" s="21" t="str">
        <x:v>A00583</x:v>
      </x:c>
      <x:c r="C589" s="21" t="str">
        <x:v>root</x:v>
      </x:c>
      <x:c r="D589" s="21" t="str">
        <x:v>F10-I3-A data constitution</x:v>
      </x:c>
      <x:c r="E589" s="21" t="n">
        <x:f>IF(AND('Root Data'!G121=Assumptions!C10,'Root Data'!J121=Assumptions!C18,'Root Data'!N121="PASS"),1,0)</x:f>
        <x:v>1</x:v>
      </x:c>
      <x:c r="F589" s="21" t="n">
        <x:v>1</x:v>
      </x:c>
      <x:c r="G589" s="23" t="str">
        <x:f>IF(E589=F589,"PASS","FAIL")</x:f>
        <x:v>PASS</x:v>
      </x:c>
    </x:row>
    <x:row r="590">
      <x:c r="B590" s="21" t="str">
        <x:v>A00584</x:v>
      </x:c>
      <x:c r="C590" s="21" t="str">
        <x:v>root</x:v>
      </x:c>
      <x:c r="D590" s="21" t="str">
        <x:v>F10-I3-B data constitution</x:v>
      </x:c>
      <x:c r="E590" s="21" t="n">
        <x:f>IF(AND('Root Data'!G122=Assumptions!C10,'Root Data'!J122=Assumptions!C18,'Root Data'!N122="PASS"),1,0)</x:f>
        <x:v>1</x:v>
      </x:c>
      <x:c r="F590" s="21" t="n">
        <x:v>1</x:v>
      </x:c>
      <x:c r="G590" s="23" t="str">
        <x:f>IF(E590=F590,"PASS","FAIL")</x:f>
        <x:v>PASS</x:v>
      </x:c>
    </x:row>
    <x:row r="591">
      <x:c r="B591" s="21" t="str">
        <x:v>A00585</x:v>
      </x:c>
      <x:c r="C591" s="21" t="str">
        <x:v>root</x:v>
      </x:c>
      <x:c r="D591" s="21" t="str">
        <x:v>F10-I3-C data constitution</x:v>
      </x:c>
      <x:c r="E591" s="21" t="n">
        <x:f>IF(AND('Root Data'!G123=Assumptions!C10,'Root Data'!J123=Assumptions!C18,'Root Data'!N123="PASS"),1,0)</x:f>
        <x:v>1</x:v>
      </x:c>
      <x:c r="F591" s="21" t="n">
        <x:v>1</x:v>
      </x:c>
      <x:c r="G591" s="23" t="str">
        <x:f>IF(E591=F591,"PASS","FAIL")</x:f>
        <x:v>PASS</x:v>
      </x:c>
    </x:row>
    <x:row r="592">
      <x:c r="B592" s="21" t="str">
        <x:v>A00586</x:v>
      </x:c>
      <x:c r="C592" s="21" t="str">
        <x:v>root</x:v>
      </x:c>
      <x:c r="D592" s="21" t="str">
        <x:v>F10-I4-A data constitution</x:v>
      </x:c>
      <x:c r="E592" s="21" t="n">
        <x:f>IF(AND('Root Data'!G124=Assumptions!C10,'Root Data'!J124=Assumptions!C18,'Root Data'!N124="PASS"),1,0)</x:f>
        <x:v>1</x:v>
      </x:c>
      <x:c r="F592" s="21" t="n">
        <x:v>1</x:v>
      </x:c>
      <x:c r="G592" s="23" t="str">
        <x:f>IF(E592=F592,"PASS","FAIL")</x:f>
        <x:v>PASS</x:v>
      </x:c>
    </x:row>
    <x:row r="593">
      <x:c r="B593" s="21" t="str">
        <x:v>A00587</x:v>
      </x:c>
      <x:c r="C593" s="21" t="str">
        <x:v>root</x:v>
      </x:c>
      <x:c r="D593" s="21" t="str">
        <x:v>F10-I4-B data constitution</x:v>
      </x:c>
      <x:c r="E593" s="21" t="n">
        <x:f>IF(AND('Root Data'!G125=Assumptions!C10,'Root Data'!J125=Assumptions!C18,'Root Data'!N125="PASS"),1,0)</x:f>
        <x:v>1</x:v>
      </x:c>
      <x:c r="F593" s="21" t="n">
        <x:v>1</x:v>
      </x:c>
      <x:c r="G593" s="23" t="str">
        <x:f>IF(E593=F593,"PASS","FAIL")</x:f>
        <x:v>PASS</x:v>
      </x:c>
    </x:row>
    <x:row r="594">
      <x:c r="B594" s="21" t="str">
        <x:v>A00588</x:v>
      </x:c>
      <x:c r="C594" s="21" t="str">
        <x:v>root</x:v>
      </x:c>
      <x:c r="D594" s="21" t="str">
        <x:v>F10-I4-C data constitution</x:v>
      </x:c>
      <x:c r="E594" s="21" t="n">
        <x:f>IF(AND('Root Data'!G126=Assumptions!C10,'Root Data'!J126=Assumptions!C18,'Root Data'!N126="PASS"),1,0)</x:f>
        <x:v>1</x:v>
      </x:c>
      <x:c r="F594" s="21" t="n">
        <x:v>1</x:v>
      </x:c>
      <x:c r="G594" s="23" t="str">
        <x:f>IF(E594=F594,"PASS","FAIL")</x:f>
        <x:v>PASS</x:v>
      </x:c>
    </x:row>
    <x:row r="595">
      <x:c r="B595" s="21" t="str">
        <x:v>A00589</x:v>
      </x:c>
      <x:c r="C595" s="21" t="str">
        <x:v>root</x:v>
      </x:c>
      <x:c r="D595" s="21" t="str">
        <x:v>F11-I1-A data constitution</x:v>
      </x:c>
      <x:c r="E595" s="21" t="n">
        <x:f>IF(AND('Root Data'!G127=Assumptions!C10,'Root Data'!J127=Assumptions!C18,'Root Data'!N127="PASS"),1,0)</x:f>
        <x:v>1</x:v>
      </x:c>
      <x:c r="F595" s="21" t="n">
        <x:v>1</x:v>
      </x:c>
      <x:c r="G595" s="23" t="str">
        <x:f>IF(E595=F595,"PASS","FAIL")</x:f>
        <x:v>PASS</x:v>
      </x:c>
    </x:row>
    <x:row r="596">
      <x:c r="B596" s="21" t="str">
        <x:v>A00590</x:v>
      </x:c>
      <x:c r="C596" s="21" t="str">
        <x:v>root</x:v>
      </x:c>
      <x:c r="D596" s="21" t="str">
        <x:v>F11-I1-B data constitution</x:v>
      </x:c>
      <x:c r="E596" s="21" t="n">
        <x:f>IF(AND('Root Data'!G128=Assumptions!C10,'Root Data'!J128=Assumptions!C18,'Root Data'!N128="PASS"),1,0)</x:f>
        <x:v>1</x:v>
      </x:c>
      <x:c r="F596" s="21" t="n">
        <x:v>1</x:v>
      </x:c>
      <x:c r="G596" s="23" t="str">
        <x:f>IF(E596=F596,"PASS","FAIL")</x:f>
        <x:v>PASS</x:v>
      </x:c>
    </x:row>
    <x:row r="597">
      <x:c r="B597" s="21" t="str">
        <x:v>A00591</x:v>
      </x:c>
      <x:c r="C597" s="21" t="str">
        <x:v>root</x:v>
      </x:c>
      <x:c r="D597" s="21" t="str">
        <x:v>F11-I1-C data constitution</x:v>
      </x:c>
      <x:c r="E597" s="21" t="n">
        <x:f>IF(AND('Root Data'!G129=Assumptions!C10,'Root Data'!J129=Assumptions!C18,'Root Data'!N129="PASS"),1,0)</x:f>
        <x:v>1</x:v>
      </x:c>
      <x:c r="F597" s="21" t="n">
        <x:v>1</x:v>
      </x:c>
      <x:c r="G597" s="23" t="str">
        <x:f>IF(E597=F597,"PASS","FAIL")</x:f>
        <x:v>PASS</x:v>
      </x:c>
    </x:row>
    <x:row r="598">
      <x:c r="B598" s="21" t="str">
        <x:v>A00592</x:v>
      </x:c>
      <x:c r="C598" s="21" t="str">
        <x:v>root</x:v>
      </x:c>
      <x:c r="D598" s="21" t="str">
        <x:v>F11-I2-A data constitution</x:v>
      </x:c>
      <x:c r="E598" s="21" t="n">
        <x:f>IF(AND('Root Data'!G130=Assumptions!C10,'Root Data'!J130=Assumptions!C18,'Root Data'!N130="PASS"),1,0)</x:f>
        <x:v>1</x:v>
      </x:c>
      <x:c r="F598" s="21" t="n">
        <x:v>1</x:v>
      </x:c>
      <x:c r="G598" s="23" t="str">
        <x:f>IF(E598=F598,"PASS","FAIL")</x:f>
        <x:v>PASS</x:v>
      </x:c>
    </x:row>
    <x:row r="599">
      <x:c r="B599" s="21" t="str">
        <x:v>A00593</x:v>
      </x:c>
      <x:c r="C599" s="21" t="str">
        <x:v>root</x:v>
      </x:c>
      <x:c r="D599" s="21" t="str">
        <x:v>F11-I2-B data constitution</x:v>
      </x:c>
      <x:c r="E599" s="21" t="n">
        <x:f>IF(AND('Root Data'!G131=Assumptions!C10,'Root Data'!J131=Assumptions!C18,'Root Data'!N131="PASS"),1,0)</x:f>
        <x:v>1</x:v>
      </x:c>
      <x:c r="F599" s="21" t="n">
        <x:v>1</x:v>
      </x:c>
      <x:c r="G599" s="23" t="str">
        <x:f>IF(E599=F599,"PASS","FAIL")</x:f>
        <x:v>PASS</x:v>
      </x:c>
    </x:row>
    <x:row r="600">
      <x:c r="B600" s="21" t="str">
        <x:v>A00594</x:v>
      </x:c>
      <x:c r="C600" s="21" t="str">
        <x:v>root</x:v>
      </x:c>
      <x:c r="D600" s="21" t="str">
        <x:v>F11-I2-C data constitution</x:v>
      </x:c>
      <x:c r="E600" s="21" t="n">
        <x:f>IF(AND('Root Data'!G132=Assumptions!C10,'Root Data'!J132=Assumptions!C18,'Root Data'!N132="PASS"),1,0)</x:f>
        <x:v>1</x:v>
      </x:c>
      <x:c r="F600" s="21" t="n">
        <x:v>1</x:v>
      </x:c>
      <x:c r="G600" s="23" t="str">
        <x:f>IF(E600=F600,"PASS","FAIL")</x:f>
        <x:v>PASS</x:v>
      </x:c>
    </x:row>
    <x:row r="601">
      <x:c r="B601" s="21" t="str">
        <x:v>A00595</x:v>
      </x:c>
      <x:c r="C601" s="21" t="str">
        <x:v>root</x:v>
      </x:c>
      <x:c r="D601" s="21" t="str">
        <x:v>F11-I3-A data constitution</x:v>
      </x:c>
      <x:c r="E601" s="21" t="n">
        <x:f>IF(AND('Root Data'!G133=Assumptions!C10,'Root Data'!J133=Assumptions!C18,'Root Data'!N133="PASS"),1,0)</x:f>
        <x:v>1</x:v>
      </x:c>
      <x:c r="F601" s="21" t="n">
        <x:v>1</x:v>
      </x:c>
      <x:c r="G601" s="23" t="str">
        <x:f>IF(E601=F601,"PASS","FAIL")</x:f>
        <x:v>PASS</x:v>
      </x:c>
    </x:row>
    <x:row r="602">
      <x:c r="B602" s="21" t="str">
        <x:v>A00596</x:v>
      </x:c>
      <x:c r="C602" s="21" t="str">
        <x:v>root</x:v>
      </x:c>
      <x:c r="D602" s="21" t="str">
        <x:v>F11-I3-B data constitution</x:v>
      </x:c>
      <x:c r="E602" s="21" t="n">
        <x:f>IF(AND('Root Data'!G134=Assumptions!C10,'Root Data'!J134=Assumptions!C18,'Root Data'!N134="PASS"),1,0)</x:f>
        <x:v>1</x:v>
      </x:c>
      <x:c r="F602" s="21" t="n">
        <x:v>1</x:v>
      </x:c>
      <x:c r="G602" s="23" t="str">
        <x:f>IF(E602=F602,"PASS","FAIL")</x:f>
        <x:v>PASS</x:v>
      </x:c>
    </x:row>
    <x:row r="603">
      <x:c r="B603" s="21" t="str">
        <x:v>A00597</x:v>
      </x:c>
      <x:c r="C603" s="21" t="str">
        <x:v>root</x:v>
      </x:c>
      <x:c r="D603" s="21" t="str">
        <x:v>F11-I3-C data constitution</x:v>
      </x:c>
      <x:c r="E603" s="21" t="n">
        <x:f>IF(AND('Root Data'!G135=Assumptions!C10,'Root Data'!J135=Assumptions!C18,'Root Data'!N135="PASS"),1,0)</x:f>
        <x:v>1</x:v>
      </x:c>
      <x:c r="F603" s="21" t="n">
        <x:v>1</x:v>
      </x:c>
      <x:c r="G603" s="23" t="str">
        <x:f>IF(E603=F603,"PASS","FAIL")</x:f>
        <x:v>PASS</x:v>
      </x:c>
    </x:row>
    <x:row r="604">
      <x:c r="B604" s="21" t="str">
        <x:v>A00598</x:v>
      </x:c>
      <x:c r="C604" s="21" t="str">
        <x:v>root</x:v>
      </x:c>
      <x:c r="D604" s="21" t="str">
        <x:v>F11-I4-A data constitution</x:v>
      </x:c>
      <x:c r="E604" s="21" t="n">
        <x:f>IF(AND('Root Data'!G136=Assumptions!C10,'Root Data'!J136=Assumptions!C18,'Root Data'!N136="PASS"),1,0)</x:f>
        <x:v>1</x:v>
      </x:c>
      <x:c r="F604" s="21" t="n">
        <x:v>1</x:v>
      </x:c>
      <x:c r="G604" s="23" t="str">
        <x:f>IF(E604=F604,"PASS","FAIL")</x:f>
        <x:v>PASS</x:v>
      </x:c>
    </x:row>
    <x:row r="605">
      <x:c r="B605" s="21" t="str">
        <x:v>A00599</x:v>
      </x:c>
      <x:c r="C605" s="21" t="str">
        <x:v>root</x:v>
      </x:c>
      <x:c r="D605" s="21" t="str">
        <x:v>F11-I4-B data constitution</x:v>
      </x:c>
      <x:c r="E605" s="21" t="n">
        <x:f>IF(AND('Root Data'!G137=Assumptions!C10,'Root Data'!J137=Assumptions!C18,'Root Data'!N137="PASS"),1,0)</x:f>
        <x:v>1</x:v>
      </x:c>
      <x:c r="F605" s="21" t="n">
        <x:v>1</x:v>
      </x:c>
      <x:c r="G605" s="23" t="str">
        <x:f>IF(E605=F605,"PASS","FAIL")</x:f>
        <x:v>PASS</x:v>
      </x:c>
    </x:row>
    <x:row r="606">
      <x:c r="B606" s="21" t="str">
        <x:v>A00600</x:v>
      </x:c>
      <x:c r="C606" s="21" t="str">
        <x:v>root</x:v>
      </x:c>
      <x:c r="D606" s="21" t="str">
        <x:v>F11-I4-C data constitution</x:v>
      </x:c>
      <x:c r="E606" s="21" t="n">
        <x:f>IF(AND('Root Data'!G138=Assumptions!C10,'Root Data'!J138=Assumptions!C18,'Root Data'!N138="PASS"),1,0)</x:f>
        <x:v>1</x:v>
      </x:c>
      <x:c r="F606" s="21" t="n">
        <x:v>1</x:v>
      </x:c>
      <x:c r="G606" s="23" t="str">
        <x:f>IF(E606=F606,"PASS","FAIL")</x:f>
        <x:v>PASS</x:v>
      </x:c>
    </x:row>
    <x:row r="607">
      <x:c r="B607" s="21" t="str">
        <x:v>A00601</x:v>
      </x:c>
      <x:c r="C607" s="21" t="str">
        <x:v>root</x:v>
      </x:c>
      <x:c r="D607" s="21" t="str">
        <x:v>F12-I1-A data constitution</x:v>
      </x:c>
      <x:c r="E607" s="21" t="n">
        <x:f>IF(AND('Root Data'!G139=Assumptions!C10,'Root Data'!J139=Assumptions!C18,'Root Data'!N139="PASS"),1,0)</x:f>
        <x:v>1</x:v>
      </x:c>
      <x:c r="F607" s="21" t="n">
        <x:v>1</x:v>
      </x:c>
      <x:c r="G607" s="23" t="str">
        <x:f>IF(E607=F607,"PASS","FAIL")</x:f>
        <x:v>PASS</x:v>
      </x:c>
    </x:row>
    <x:row r="608">
      <x:c r="B608" s="21" t="str">
        <x:v>A00602</x:v>
      </x:c>
      <x:c r="C608" s="21" t="str">
        <x:v>root</x:v>
      </x:c>
      <x:c r="D608" s="21" t="str">
        <x:v>F12-I1-B data constitution</x:v>
      </x:c>
      <x:c r="E608" s="21" t="n">
        <x:f>IF(AND('Root Data'!G140=Assumptions!C10,'Root Data'!J140=Assumptions!C18,'Root Data'!N140="PASS"),1,0)</x:f>
        <x:v>1</x:v>
      </x:c>
      <x:c r="F608" s="21" t="n">
        <x:v>1</x:v>
      </x:c>
      <x:c r="G608" s="23" t="str">
        <x:f>IF(E608=F608,"PASS","FAIL")</x:f>
        <x:v>PASS</x:v>
      </x:c>
    </x:row>
    <x:row r="609">
      <x:c r="B609" s="21" t="str">
        <x:v>A00603</x:v>
      </x:c>
      <x:c r="C609" s="21" t="str">
        <x:v>root</x:v>
      </x:c>
      <x:c r="D609" s="21" t="str">
        <x:v>F12-I1-C data constitution</x:v>
      </x:c>
      <x:c r="E609" s="21" t="n">
        <x:f>IF(AND('Root Data'!G141=Assumptions!C10,'Root Data'!J141=Assumptions!C18,'Root Data'!N141="PASS"),1,0)</x:f>
        <x:v>1</x:v>
      </x:c>
      <x:c r="F609" s="21" t="n">
        <x:v>1</x:v>
      </x:c>
      <x:c r="G609" s="23" t="str">
        <x:f>IF(E609=F609,"PASS","FAIL")</x:f>
        <x:v>PASS</x:v>
      </x:c>
    </x:row>
    <x:row r="610">
      <x:c r="B610" s="21" t="str">
        <x:v>A00604</x:v>
      </x:c>
      <x:c r="C610" s="21" t="str">
        <x:v>root</x:v>
      </x:c>
      <x:c r="D610" s="21" t="str">
        <x:v>F12-I2-A data constitution</x:v>
      </x:c>
      <x:c r="E610" s="21" t="n">
        <x:f>IF(AND('Root Data'!G142=Assumptions!C10,'Root Data'!J142=Assumptions!C18,'Root Data'!N142="PASS"),1,0)</x:f>
        <x:v>1</x:v>
      </x:c>
      <x:c r="F610" s="21" t="n">
        <x:v>1</x:v>
      </x:c>
      <x:c r="G610" s="23" t="str">
        <x:f>IF(E610=F610,"PASS","FAIL")</x:f>
        <x:v>PASS</x:v>
      </x:c>
    </x:row>
    <x:row r="611">
      <x:c r="B611" s="21" t="str">
        <x:v>A00605</x:v>
      </x:c>
      <x:c r="C611" s="21" t="str">
        <x:v>root</x:v>
      </x:c>
      <x:c r="D611" s="21" t="str">
        <x:v>F12-I2-B data constitution</x:v>
      </x:c>
      <x:c r="E611" s="21" t="n">
        <x:f>IF(AND('Root Data'!G143=Assumptions!C10,'Root Data'!J143=Assumptions!C18,'Root Data'!N143="PASS"),1,0)</x:f>
        <x:v>1</x:v>
      </x:c>
      <x:c r="F611" s="21" t="n">
        <x:v>1</x:v>
      </x:c>
      <x:c r="G611" s="23" t="str">
        <x:f>IF(E611=F611,"PASS","FAIL")</x:f>
        <x:v>PASS</x:v>
      </x:c>
    </x:row>
    <x:row r="612">
      <x:c r="B612" s="21" t="str">
        <x:v>A00606</x:v>
      </x:c>
      <x:c r="C612" s="21" t="str">
        <x:v>root</x:v>
      </x:c>
      <x:c r="D612" s="21" t="str">
        <x:v>F12-I2-C data constitution</x:v>
      </x:c>
      <x:c r="E612" s="21" t="n">
        <x:f>IF(AND('Root Data'!G144=Assumptions!C10,'Root Data'!J144=Assumptions!C18,'Root Data'!N144="PASS"),1,0)</x:f>
        <x:v>1</x:v>
      </x:c>
      <x:c r="F612" s="21" t="n">
        <x:v>1</x:v>
      </x:c>
      <x:c r="G612" s="23" t="str">
        <x:f>IF(E612=F612,"PASS","FAIL")</x:f>
        <x:v>PASS</x:v>
      </x:c>
    </x:row>
    <x:row r="613">
      <x:c r="B613" s="21" t="str">
        <x:v>A00607</x:v>
      </x:c>
      <x:c r="C613" s="21" t="str">
        <x:v>root</x:v>
      </x:c>
      <x:c r="D613" s="21" t="str">
        <x:v>F12-I3-A data constitution</x:v>
      </x:c>
      <x:c r="E613" s="21" t="n">
        <x:f>IF(AND('Root Data'!G145=Assumptions!C10,'Root Data'!J145=Assumptions!C18,'Root Data'!N145="PASS"),1,0)</x:f>
        <x:v>1</x:v>
      </x:c>
      <x:c r="F613" s="21" t="n">
        <x:v>1</x:v>
      </x:c>
      <x:c r="G613" s="23" t="str">
        <x:f>IF(E613=F613,"PASS","FAIL")</x:f>
        <x:v>PASS</x:v>
      </x:c>
    </x:row>
    <x:row r="614">
      <x:c r="B614" s="21" t="str">
        <x:v>A00608</x:v>
      </x:c>
      <x:c r="C614" s="21" t="str">
        <x:v>root</x:v>
      </x:c>
      <x:c r="D614" s="21" t="str">
        <x:v>F12-I3-B data constitution</x:v>
      </x:c>
      <x:c r="E614" s="21" t="n">
        <x:f>IF(AND('Root Data'!G146=Assumptions!C10,'Root Data'!J146=Assumptions!C18,'Root Data'!N146="PASS"),1,0)</x:f>
        <x:v>1</x:v>
      </x:c>
      <x:c r="F614" s="21" t="n">
        <x:v>1</x:v>
      </x:c>
      <x:c r="G614" s="23" t="str">
        <x:f>IF(E614=F614,"PASS","FAIL")</x:f>
        <x:v>PASS</x:v>
      </x:c>
    </x:row>
    <x:row r="615">
      <x:c r="B615" s="21" t="str">
        <x:v>A00609</x:v>
      </x:c>
      <x:c r="C615" s="21" t="str">
        <x:v>root</x:v>
      </x:c>
      <x:c r="D615" s="21" t="str">
        <x:v>F12-I3-C data constitution</x:v>
      </x:c>
      <x:c r="E615" s="21" t="n">
        <x:f>IF(AND('Root Data'!G147=Assumptions!C10,'Root Data'!J147=Assumptions!C18,'Root Data'!N147="PASS"),1,0)</x:f>
        <x:v>1</x:v>
      </x:c>
      <x:c r="F615" s="21" t="n">
        <x:v>1</x:v>
      </x:c>
      <x:c r="G615" s="23" t="str">
        <x:f>IF(E615=F615,"PASS","FAIL")</x:f>
        <x:v>PASS</x:v>
      </x:c>
    </x:row>
    <x:row r="616">
      <x:c r="B616" s="21" t="str">
        <x:v>A00610</x:v>
      </x:c>
      <x:c r="C616" s="21" t="str">
        <x:v>root</x:v>
      </x:c>
      <x:c r="D616" s="21" t="str">
        <x:v>F12-I4-A data constitution</x:v>
      </x:c>
      <x:c r="E616" s="21" t="n">
        <x:f>IF(AND('Root Data'!G148=Assumptions!C10,'Root Data'!J148=Assumptions!C18,'Root Data'!N148="PASS"),1,0)</x:f>
        <x:v>1</x:v>
      </x:c>
      <x:c r="F616" s="21" t="n">
        <x:v>1</x:v>
      </x:c>
      <x:c r="G616" s="23" t="str">
        <x:f>IF(E616=F616,"PASS","FAIL")</x:f>
        <x:v>PASS</x:v>
      </x:c>
    </x:row>
    <x:row r="617">
      <x:c r="B617" s="21" t="str">
        <x:v>A00611</x:v>
      </x:c>
      <x:c r="C617" s="21" t="str">
        <x:v>root</x:v>
      </x:c>
      <x:c r="D617" s="21" t="str">
        <x:v>F12-I4-B data constitution</x:v>
      </x:c>
      <x:c r="E617" s="21" t="n">
        <x:f>IF(AND('Root Data'!G149=Assumptions!C10,'Root Data'!J149=Assumptions!C18,'Root Data'!N149="PASS"),1,0)</x:f>
        <x:v>1</x:v>
      </x:c>
      <x:c r="F617" s="21" t="n">
        <x:v>1</x:v>
      </x:c>
      <x:c r="G617" s="23" t="str">
        <x:f>IF(E617=F617,"PASS","FAIL")</x:f>
        <x:v>PASS</x:v>
      </x:c>
    </x:row>
    <x:row r="618">
      <x:c r="B618" s="21" t="str">
        <x:v>A00612</x:v>
      </x:c>
      <x:c r="C618" s="21" t="str">
        <x:v>root</x:v>
      </x:c>
      <x:c r="D618" s="21" t="str">
        <x:v>F12-I4-C data constitution</x:v>
      </x:c>
      <x:c r="E618" s="21" t="n">
        <x:f>IF(AND('Root Data'!G150=Assumptions!C10,'Root Data'!J150=Assumptions!C18,'Root Data'!N150="PASS"),1,0)</x:f>
        <x:v>1</x:v>
      </x:c>
      <x:c r="F618" s="21" t="n">
        <x:v>1</x:v>
      </x:c>
      <x:c r="G618" s="23" t="str">
        <x:f>IF(E618=F618,"PASS","FAIL")</x:f>
        <x:v>PASS</x:v>
      </x:c>
    </x:row>
    <x:row r="619">
      <x:c r="B619" s="21" t="str">
        <x:v>A00613</x:v>
      </x:c>
      <x:c r="C619" s="21" t="str">
        <x:v>root</x:v>
      </x:c>
      <x:c r="D619" s="21" t="str">
        <x:v>F13-I1-A data constitution</x:v>
      </x:c>
      <x:c r="E619" s="21" t="n">
        <x:f>IF(AND('Root Data'!G151=Assumptions!C10,'Root Data'!J151=Assumptions!C18,'Root Data'!N151="PASS"),1,0)</x:f>
        <x:v>1</x:v>
      </x:c>
      <x:c r="F619" s="21" t="n">
        <x:v>1</x:v>
      </x:c>
      <x:c r="G619" s="23" t="str">
        <x:f>IF(E619=F619,"PASS","FAIL")</x:f>
        <x:v>PASS</x:v>
      </x:c>
    </x:row>
    <x:row r="620">
      <x:c r="B620" s="21" t="str">
        <x:v>A00614</x:v>
      </x:c>
      <x:c r="C620" s="21" t="str">
        <x:v>root</x:v>
      </x:c>
      <x:c r="D620" s="21" t="str">
        <x:v>F13-I1-B data constitution</x:v>
      </x:c>
      <x:c r="E620" s="21" t="n">
        <x:f>IF(AND('Root Data'!G152=Assumptions!C10,'Root Data'!J152=Assumptions!C18,'Root Data'!N152="PASS"),1,0)</x:f>
        <x:v>1</x:v>
      </x:c>
      <x:c r="F620" s="21" t="n">
        <x:v>1</x:v>
      </x:c>
      <x:c r="G620" s="23" t="str">
        <x:f>IF(E620=F620,"PASS","FAIL")</x:f>
        <x:v>PASS</x:v>
      </x:c>
    </x:row>
    <x:row r="621">
      <x:c r="B621" s="21" t="str">
        <x:v>A00615</x:v>
      </x:c>
      <x:c r="C621" s="21" t="str">
        <x:v>root</x:v>
      </x:c>
      <x:c r="D621" s="21" t="str">
        <x:v>F13-I1-C data constitution</x:v>
      </x:c>
      <x:c r="E621" s="21" t="n">
        <x:f>IF(AND('Root Data'!G153=Assumptions!C10,'Root Data'!J153=Assumptions!C18,'Root Data'!N153="PASS"),1,0)</x:f>
        <x:v>1</x:v>
      </x:c>
      <x:c r="F621" s="21" t="n">
        <x:v>1</x:v>
      </x:c>
      <x:c r="G621" s="23" t="str">
        <x:f>IF(E621=F621,"PASS","FAIL")</x:f>
        <x:v>PASS</x:v>
      </x:c>
    </x:row>
    <x:row r="622">
      <x:c r="B622" s="21" t="str">
        <x:v>A00616</x:v>
      </x:c>
      <x:c r="C622" s="21" t="str">
        <x:v>root</x:v>
      </x:c>
      <x:c r="D622" s="21" t="str">
        <x:v>F13-I2-A data constitution</x:v>
      </x:c>
      <x:c r="E622" s="21" t="n">
        <x:f>IF(AND('Root Data'!G154=Assumptions!C10,'Root Data'!J154=Assumptions!C18,'Root Data'!N154="PASS"),1,0)</x:f>
        <x:v>1</x:v>
      </x:c>
      <x:c r="F622" s="21" t="n">
        <x:v>1</x:v>
      </x:c>
      <x:c r="G622" s="23" t="str">
        <x:f>IF(E622=F622,"PASS","FAIL")</x:f>
        <x:v>PASS</x:v>
      </x:c>
    </x:row>
    <x:row r="623">
      <x:c r="B623" s="21" t="str">
        <x:v>A00617</x:v>
      </x:c>
      <x:c r="C623" s="21" t="str">
        <x:v>root</x:v>
      </x:c>
      <x:c r="D623" s="21" t="str">
        <x:v>F13-I2-B data constitution</x:v>
      </x:c>
      <x:c r="E623" s="21" t="n">
        <x:f>IF(AND('Root Data'!G155=Assumptions!C10,'Root Data'!J155=Assumptions!C18,'Root Data'!N155="PASS"),1,0)</x:f>
        <x:v>1</x:v>
      </x:c>
      <x:c r="F623" s="21" t="n">
        <x:v>1</x:v>
      </x:c>
      <x:c r="G623" s="23" t="str">
        <x:f>IF(E623=F623,"PASS","FAIL")</x:f>
        <x:v>PASS</x:v>
      </x:c>
    </x:row>
    <x:row r="624">
      <x:c r="B624" s="21" t="str">
        <x:v>A00618</x:v>
      </x:c>
      <x:c r="C624" s="21" t="str">
        <x:v>root</x:v>
      </x:c>
      <x:c r="D624" s="21" t="str">
        <x:v>F13-I2-C data constitution</x:v>
      </x:c>
      <x:c r="E624" s="21" t="n">
        <x:f>IF(AND('Root Data'!G156=Assumptions!C10,'Root Data'!J156=Assumptions!C18,'Root Data'!N156="PASS"),1,0)</x:f>
        <x:v>1</x:v>
      </x:c>
      <x:c r="F624" s="21" t="n">
        <x:v>1</x:v>
      </x:c>
      <x:c r="G624" s="23" t="str">
        <x:f>IF(E624=F624,"PASS","FAIL")</x:f>
        <x:v>PASS</x:v>
      </x:c>
    </x:row>
    <x:row r="625">
      <x:c r="B625" s="21" t="str">
        <x:v>A00619</x:v>
      </x:c>
      <x:c r="C625" s="21" t="str">
        <x:v>root</x:v>
      </x:c>
      <x:c r="D625" s="21" t="str">
        <x:v>F13-I3-A data constitution</x:v>
      </x:c>
      <x:c r="E625" s="21" t="n">
        <x:f>IF(AND('Root Data'!G157=Assumptions!C10,'Root Data'!J157=Assumptions!C18,'Root Data'!N157="PASS"),1,0)</x:f>
        <x:v>1</x:v>
      </x:c>
      <x:c r="F625" s="21" t="n">
        <x:v>1</x:v>
      </x:c>
      <x:c r="G625" s="23" t="str">
        <x:f>IF(E625=F625,"PASS","FAIL")</x:f>
        <x:v>PASS</x:v>
      </x:c>
    </x:row>
    <x:row r="626">
      <x:c r="B626" s="21" t="str">
        <x:v>A00620</x:v>
      </x:c>
      <x:c r="C626" s="21" t="str">
        <x:v>root</x:v>
      </x:c>
      <x:c r="D626" s="21" t="str">
        <x:v>F13-I3-B data constitution</x:v>
      </x:c>
      <x:c r="E626" s="21" t="n">
        <x:f>IF(AND('Root Data'!G158=Assumptions!C10,'Root Data'!J158=Assumptions!C18,'Root Data'!N158="PASS"),1,0)</x:f>
        <x:v>1</x:v>
      </x:c>
      <x:c r="F626" s="21" t="n">
        <x:v>1</x:v>
      </x:c>
      <x:c r="G626" s="23" t="str">
        <x:f>IF(E626=F626,"PASS","FAIL")</x:f>
        <x:v>PASS</x:v>
      </x:c>
    </x:row>
    <x:row r="627">
      <x:c r="B627" s="21" t="str">
        <x:v>A00621</x:v>
      </x:c>
      <x:c r="C627" s="21" t="str">
        <x:v>root</x:v>
      </x:c>
      <x:c r="D627" s="21" t="str">
        <x:v>F13-I3-C data constitution</x:v>
      </x:c>
      <x:c r="E627" s="21" t="n">
        <x:f>IF(AND('Root Data'!G159=Assumptions!C10,'Root Data'!J159=Assumptions!C18,'Root Data'!N159="PASS"),1,0)</x:f>
        <x:v>1</x:v>
      </x:c>
      <x:c r="F627" s="21" t="n">
        <x:v>1</x:v>
      </x:c>
      <x:c r="G627" s="23" t="str">
        <x:f>IF(E627=F627,"PASS","FAIL")</x:f>
        <x:v>PASS</x:v>
      </x:c>
    </x:row>
    <x:row r="628">
      <x:c r="B628" s="21" t="str">
        <x:v>A00622</x:v>
      </x:c>
      <x:c r="C628" s="21" t="str">
        <x:v>root</x:v>
      </x:c>
      <x:c r="D628" s="21" t="str">
        <x:v>F13-I4-A data constitution</x:v>
      </x:c>
      <x:c r="E628" s="21" t="n">
        <x:f>IF(AND('Root Data'!G160=Assumptions!C10,'Root Data'!J160=Assumptions!C18,'Root Data'!N160="PASS"),1,0)</x:f>
        <x:v>1</x:v>
      </x:c>
      <x:c r="F628" s="21" t="n">
        <x:v>1</x:v>
      </x:c>
      <x:c r="G628" s="23" t="str">
        <x:f>IF(E628=F628,"PASS","FAIL")</x:f>
        <x:v>PASS</x:v>
      </x:c>
    </x:row>
    <x:row r="629">
      <x:c r="B629" s="21" t="str">
        <x:v>A00623</x:v>
      </x:c>
      <x:c r="C629" s="21" t="str">
        <x:v>root</x:v>
      </x:c>
      <x:c r="D629" s="21" t="str">
        <x:v>F13-I4-B data constitution</x:v>
      </x:c>
      <x:c r="E629" s="21" t="n">
        <x:f>IF(AND('Root Data'!G161=Assumptions!C10,'Root Data'!J161=Assumptions!C18,'Root Data'!N161="PASS"),1,0)</x:f>
        <x:v>1</x:v>
      </x:c>
      <x:c r="F629" s="21" t="n">
        <x:v>1</x:v>
      </x:c>
      <x:c r="G629" s="23" t="str">
        <x:f>IF(E629=F629,"PASS","FAIL")</x:f>
        <x:v>PASS</x:v>
      </x:c>
    </x:row>
    <x:row r="630">
      <x:c r="B630" s="21" t="str">
        <x:v>A00624</x:v>
      </x:c>
      <x:c r="C630" s="21" t="str">
        <x:v>root</x:v>
      </x:c>
      <x:c r="D630" s="21" t="str">
        <x:v>F13-I4-C data constitution</x:v>
      </x:c>
      <x:c r="E630" s="21" t="n">
        <x:f>IF(AND('Root Data'!G162=Assumptions!C10,'Root Data'!J162=Assumptions!C18,'Root Data'!N162="PASS"),1,0)</x:f>
        <x:v>1</x:v>
      </x:c>
      <x:c r="F630" s="21" t="n">
        <x:v>1</x:v>
      </x:c>
      <x:c r="G630" s="23" t="str">
        <x:f>IF(E630=F630,"PASS","FAIL")</x:f>
        <x:v>PASS</x:v>
      </x:c>
    </x:row>
    <x:row r="631">
      <x:c r="B631" s="21" t="str">
        <x:v>A00625</x:v>
      </x:c>
      <x:c r="C631" s="21" t="str">
        <x:v>root</x:v>
      </x:c>
      <x:c r="D631" s="21" t="str">
        <x:v>F14-I1-A data constitution</x:v>
      </x:c>
      <x:c r="E631" s="21" t="n">
        <x:f>IF(AND('Root Data'!G163=Assumptions!C10,'Root Data'!J163=Assumptions!C18,'Root Data'!N163="PASS"),1,0)</x:f>
        <x:v>1</x:v>
      </x:c>
      <x:c r="F631" s="21" t="n">
        <x:v>1</x:v>
      </x:c>
      <x:c r="G631" s="23" t="str">
        <x:f>IF(E631=F631,"PASS","FAIL")</x:f>
        <x:v>PASS</x:v>
      </x:c>
    </x:row>
    <x:row r="632">
      <x:c r="B632" s="21" t="str">
        <x:v>A00626</x:v>
      </x:c>
      <x:c r="C632" s="21" t="str">
        <x:v>root</x:v>
      </x:c>
      <x:c r="D632" s="21" t="str">
        <x:v>F14-I1-B data constitution</x:v>
      </x:c>
      <x:c r="E632" s="21" t="n">
        <x:f>IF(AND('Root Data'!G164=Assumptions!C10,'Root Data'!J164=Assumptions!C18,'Root Data'!N164="PASS"),1,0)</x:f>
        <x:v>1</x:v>
      </x:c>
      <x:c r="F632" s="21" t="n">
        <x:v>1</x:v>
      </x:c>
      <x:c r="G632" s="23" t="str">
        <x:f>IF(E632=F632,"PASS","FAIL")</x:f>
        <x:v>PASS</x:v>
      </x:c>
    </x:row>
    <x:row r="633">
      <x:c r="B633" s="21" t="str">
        <x:v>A00627</x:v>
      </x:c>
      <x:c r="C633" s="21" t="str">
        <x:v>root</x:v>
      </x:c>
      <x:c r="D633" s="21" t="str">
        <x:v>F14-I1-C data constitution</x:v>
      </x:c>
      <x:c r="E633" s="21" t="n">
        <x:f>IF(AND('Root Data'!G165=Assumptions!C10,'Root Data'!J165=Assumptions!C18,'Root Data'!N165="PASS"),1,0)</x:f>
        <x:v>1</x:v>
      </x:c>
      <x:c r="F633" s="21" t="n">
        <x:v>1</x:v>
      </x:c>
      <x:c r="G633" s="23" t="str">
        <x:f>IF(E633=F633,"PASS","FAIL")</x:f>
        <x:v>PASS</x:v>
      </x:c>
    </x:row>
    <x:row r="634">
      <x:c r="B634" s="21" t="str">
        <x:v>A00628</x:v>
      </x:c>
      <x:c r="C634" s="21" t="str">
        <x:v>root</x:v>
      </x:c>
      <x:c r="D634" s="21" t="str">
        <x:v>F14-I2-A data constitution</x:v>
      </x:c>
      <x:c r="E634" s="21" t="n">
        <x:f>IF(AND('Root Data'!G166=Assumptions!C10,'Root Data'!J166=Assumptions!C18,'Root Data'!N166="PASS"),1,0)</x:f>
        <x:v>1</x:v>
      </x:c>
      <x:c r="F634" s="21" t="n">
        <x:v>1</x:v>
      </x:c>
      <x:c r="G634" s="23" t="str">
        <x:f>IF(E634=F634,"PASS","FAIL")</x:f>
        <x:v>PASS</x:v>
      </x:c>
    </x:row>
    <x:row r="635">
      <x:c r="B635" s="21" t="str">
        <x:v>A00629</x:v>
      </x:c>
      <x:c r="C635" s="21" t="str">
        <x:v>root</x:v>
      </x:c>
      <x:c r="D635" s="21" t="str">
        <x:v>F14-I2-B data constitution</x:v>
      </x:c>
      <x:c r="E635" s="21" t="n">
        <x:f>IF(AND('Root Data'!G167=Assumptions!C10,'Root Data'!J167=Assumptions!C18,'Root Data'!N167="PASS"),1,0)</x:f>
        <x:v>1</x:v>
      </x:c>
      <x:c r="F635" s="21" t="n">
        <x:v>1</x:v>
      </x:c>
      <x:c r="G635" s="23" t="str">
        <x:f>IF(E635=F635,"PASS","FAIL")</x:f>
        <x:v>PASS</x:v>
      </x:c>
    </x:row>
    <x:row r="636">
      <x:c r="B636" s="21" t="str">
        <x:v>A00630</x:v>
      </x:c>
      <x:c r="C636" s="21" t="str">
        <x:v>root</x:v>
      </x:c>
      <x:c r="D636" s="21" t="str">
        <x:v>F14-I2-C data constitution</x:v>
      </x:c>
      <x:c r="E636" s="21" t="n">
        <x:f>IF(AND('Root Data'!G168=Assumptions!C10,'Root Data'!J168=Assumptions!C18,'Root Data'!N168="PASS"),1,0)</x:f>
        <x:v>1</x:v>
      </x:c>
      <x:c r="F636" s="21" t="n">
        <x:v>1</x:v>
      </x:c>
      <x:c r="G636" s="23" t="str">
        <x:f>IF(E636=F636,"PASS","FAIL")</x:f>
        <x:v>PASS</x:v>
      </x:c>
    </x:row>
    <x:row r="637">
      <x:c r="B637" s="21" t="str">
        <x:v>A00631</x:v>
      </x:c>
      <x:c r="C637" s="21" t="str">
        <x:v>root</x:v>
      </x:c>
      <x:c r="D637" s="21" t="str">
        <x:v>F14-I3-A data constitution</x:v>
      </x:c>
      <x:c r="E637" s="21" t="n">
        <x:f>IF(AND('Root Data'!G169=Assumptions!C10,'Root Data'!J169=Assumptions!C18,'Root Data'!N169="PASS"),1,0)</x:f>
        <x:v>1</x:v>
      </x:c>
      <x:c r="F637" s="21" t="n">
        <x:v>1</x:v>
      </x:c>
      <x:c r="G637" s="23" t="str">
        <x:f>IF(E637=F637,"PASS","FAIL")</x:f>
        <x:v>PASS</x:v>
      </x:c>
    </x:row>
    <x:row r="638">
      <x:c r="B638" s="21" t="str">
        <x:v>A00632</x:v>
      </x:c>
      <x:c r="C638" s="21" t="str">
        <x:v>root</x:v>
      </x:c>
      <x:c r="D638" s="21" t="str">
        <x:v>F14-I3-B data constitution</x:v>
      </x:c>
      <x:c r="E638" s="21" t="n">
        <x:f>IF(AND('Root Data'!G170=Assumptions!C10,'Root Data'!J170=Assumptions!C18,'Root Data'!N170="PASS"),1,0)</x:f>
        <x:v>1</x:v>
      </x:c>
      <x:c r="F638" s="21" t="n">
        <x:v>1</x:v>
      </x:c>
      <x:c r="G638" s="23" t="str">
        <x:f>IF(E638=F638,"PASS","FAIL")</x:f>
        <x:v>PASS</x:v>
      </x:c>
    </x:row>
    <x:row r="639">
      <x:c r="B639" s="21" t="str">
        <x:v>A00633</x:v>
      </x:c>
      <x:c r="C639" s="21" t="str">
        <x:v>root</x:v>
      </x:c>
      <x:c r="D639" s="21" t="str">
        <x:v>F14-I3-C data constitution</x:v>
      </x:c>
      <x:c r="E639" s="21" t="n">
        <x:f>IF(AND('Root Data'!G171=Assumptions!C10,'Root Data'!J171=Assumptions!C18,'Root Data'!N171="PASS"),1,0)</x:f>
        <x:v>1</x:v>
      </x:c>
      <x:c r="F639" s="21" t="n">
        <x:v>1</x:v>
      </x:c>
      <x:c r="G639" s="23" t="str">
        <x:f>IF(E639=F639,"PASS","FAIL")</x:f>
        <x:v>PASS</x:v>
      </x:c>
    </x:row>
    <x:row r="640">
      <x:c r="B640" s="21" t="str">
        <x:v>A00634</x:v>
      </x:c>
      <x:c r="C640" s="21" t="str">
        <x:v>root</x:v>
      </x:c>
      <x:c r="D640" s="21" t="str">
        <x:v>F14-I4-A data constitution</x:v>
      </x:c>
      <x:c r="E640" s="21" t="n">
        <x:f>IF(AND('Root Data'!G172=Assumptions!C10,'Root Data'!J172=Assumptions!C18,'Root Data'!N172="PASS"),1,0)</x:f>
        <x:v>1</x:v>
      </x:c>
      <x:c r="F640" s="21" t="n">
        <x:v>1</x:v>
      </x:c>
      <x:c r="G640" s="23" t="str">
        <x:f>IF(E640=F640,"PASS","FAIL")</x:f>
        <x:v>PASS</x:v>
      </x:c>
    </x:row>
    <x:row r="641">
      <x:c r="B641" s="21" t="str">
        <x:v>A00635</x:v>
      </x:c>
      <x:c r="C641" s="21" t="str">
        <x:v>root</x:v>
      </x:c>
      <x:c r="D641" s="21" t="str">
        <x:v>F14-I4-B data constitution</x:v>
      </x:c>
      <x:c r="E641" s="21" t="n">
        <x:f>IF(AND('Root Data'!G173=Assumptions!C10,'Root Data'!J173=Assumptions!C18,'Root Data'!N173="PASS"),1,0)</x:f>
        <x:v>1</x:v>
      </x:c>
      <x:c r="F641" s="21" t="n">
        <x:v>1</x:v>
      </x:c>
      <x:c r="G641" s="23" t="str">
        <x:f>IF(E641=F641,"PASS","FAIL")</x:f>
        <x:v>PASS</x:v>
      </x:c>
    </x:row>
    <x:row r="642">
      <x:c r="B642" s="21" t="str">
        <x:v>A00636</x:v>
      </x:c>
      <x:c r="C642" s="21" t="str">
        <x:v>root</x:v>
      </x:c>
      <x:c r="D642" s="21" t="str">
        <x:v>F14-I4-C data constitution</x:v>
      </x:c>
      <x:c r="E642" s="21" t="n">
        <x:f>IF(AND('Root Data'!G174=Assumptions!C10,'Root Data'!J174=Assumptions!C18,'Root Data'!N174="PASS"),1,0)</x:f>
        <x:v>1</x:v>
      </x:c>
      <x:c r="F642" s="21" t="n">
        <x:v>1</x:v>
      </x:c>
      <x:c r="G642" s="23" t="str">
        <x:f>IF(E642=F642,"PASS","FAIL")</x:f>
        <x:v>PASS</x:v>
      </x:c>
    </x:row>
    <x:row r="643">
      <x:c r="B643" s="21" t="str">
        <x:v>A00637</x:v>
      </x:c>
      <x:c r="C643" s="21" t="str">
        <x:v>root</x:v>
      </x:c>
      <x:c r="D643" s="21" t="str">
        <x:v>F15-I1-A data constitution</x:v>
      </x:c>
      <x:c r="E643" s="21" t="n">
        <x:f>IF(AND('Root Data'!G175=Assumptions!C10,'Root Data'!J175=Assumptions!C18,'Root Data'!N175="PASS"),1,0)</x:f>
        <x:v>1</x:v>
      </x:c>
      <x:c r="F643" s="21" t="n">
        <x:v>1</x:v>
      </x:c>
      <x:c r="G643" s="23" t="str">
        <x:f>IF(E643=F643,"PASS","FAIL")</x:f>
        <x:v>PASS</x:v>
      </x:c>
    </x:row>
    <x:row r="644">
      <x:c r="B644" s="21" t="str">
        <x:v>A00638</x:v>
      </x:c>
      <x:c r="C644" s="21" t="str">
        <x:v>root</x:v>
      </x:c>
      <x:c r="D644" s="21" t="str">
        <x:v>F15-I1-B data constitution</x:v>
      </x:c>
      <x:c r="E644" s="21" t="n">
        <x:f>IF(AND('Root Data'!G176=Assumptions!C10,'Root Data'!J176=Assumptions!C18,'Root Data'!N176="PASS"),1,0)</x:f>
        <x:v>1</x:v>
      </x:c>
      <x:c r="F644" s="21" t="n">
        <x:v>1</x:v>
      </x:c>
      <x:c r="G644" s="23" t="str">
        <x:f>IF(E644=F644,"PASS","FAIL")</x:f>
        <x:v>PASS</x:v>
      </x:c>
    </x:row>
    <x:row r="645">
      <x:c r="B645" s="21" t="str">
        <x:v>A00639</x:v>
      </x:c>
      <x:c r="C645" s="21" t="str">
        <x:v>root</x:v>
      </x:c>
      <x:c r="D645" s="21" t="str">
        <x:v>F15-I1-C data constitution</x:v>
      </x:c>
      <x:c r="E645" s="21" t="n">
        <x:f>IF(AND('Root Data'!G177=Assumptions!C10,'Root Data'!J177=Assumptions!C18,'Root Data'!N177="PASS"),1,0)</x:f>
        <x:v>1</x:v>
      </x:c>
      <x:c r="F645" s="21" t="n">
        <x:v>1</x:v>
      </x:c>
      <x:c r="G645" s="23" t="str">
        <x:f>IF(E645=F645,"PASS","FAIL")</x:f>
        <x:v>PASS</x:v>
      </x:c>
    </x:row>
    <x:row r="646">
      <x:c r="B646" s="21" t="str">
        <x:v>A00640</x:v>
      </x:c>
      <x:c r="C646" s="21" t="str">
        <x:v>root</x:v>
      </x:c>
      <x:c r="D646" s="21" t="str">
        <x:v>F15-I2-A data constitution</x:v>
      </x:c>
      <x:c r="E646" s="21" t="n">
        <x:f>IF(AND('Root Data'!G178=Assumptions!C10,'Root Data'!J178=Assumptions!C18,'Root Data'!N178="PASS"),1,0)</x:f>
        <x:v>1</x:v>
      </x:c>
      <x:c r="F646" s="21" t="n">
        <x:v>1</x:v>
      </x:c>
      <x:c r="G646" s="23" t="str">
        <x:f>IF(E646=F646,"PASS","FAIL")</x:f>
        <x:v>PASS</x:v>
      </x:c>
    </x:row>
    <x:row r="647">
      <x:c r="B647" s="21" t="str">
        <x:v>A00641</x:v>
      </x:c>
      <x:c r="C647" s="21" t="str">
        <x:v>root</x:v>
      </x:c>
      <x:c r="D647" s="21" t="str">
        <x:v>F15-I2-B data constitution</x:v>
      </x:c>
      <x:c r="E647" s="21" t="n">
        <x:f>IF(AND('Root Data'!G179=Assumptions!C10,'Root Data'!J179=Assumptions!C18,'Root Data'!N179="PASS"),1,0)</x:f>
        <x:v>1</x:v>
      </x:c>
      <x:c r="F647" s="21" t="n">
        <x:v>1</x:v>
      </x:c>
      <x:c r="G647" s="23" t="str">
        <x:f>IF(E647=F647,"PASS","FAIL")</x:f>
        <x:v>PASS</x:v>
      </x:c>
    </x:row>
    <x:row r="648">
      <x:c r="B648" s="21" t="str">
        <x:v>A00642</x:v>
      </x:c>
      <x:c r="C648" s="21" t="str">
        <x:v>root</x:v>
      </x:c>
      <x:c r="D648" s="21" t="str">
        <x:v>F15-I2-C data constitution</x:v>
      </x:c>
      <x:c r="E648" s="21" t="n">
        <x:f>IF(AND('Root Data'!G180=Assumptions!C10,'Root Data'!J180=Assumptions!C18,'Root Data'!N180="PASS"),1,0)</x:f>
        <x:v>1</x:v>
      </x:c>
      <x:c r="F648" s="21" t="n">
        <x:v>1</x:v>
      </x:c>
      <x:c r="G648" s="23" t="str">
        <x:f>IF(E648=F648,"PASS","FAIL")</x:f>
        <x:v>PASS</x:v>
      </x:c>
    </x:row>
    <x:row r="649">
      <x:c r="B649" s="21" t="str">
        <x:v>A00643</x:v>
      </x:c>
      <x:c r="C649" s="21" t="str">
        <x:v>root</x:v>
      </x:c>
      <x:c r="D649" s="21" t="str">
        <x:v>F15-I3-A data constitution</x:v>
      </x:c>
      <x:c r="E649" s="21" t="n">
        <x:f>IF(AND('Root Data'!G181=Assumptions!C10,'Root Data'!J181=Assumptions!C18,'Root Data'!N181="PASS"),1,0)</x:f>
        <x:v>1</x:v>
      </x:c>
      <x:c r="F649" s="21" t="n">
        <x:v>1</x:v>
      </x:c>
      <x:c r="G649" s="23" t="str">
        <x:f>IF(E649=F649,"PASS","FAIL")</x:f>
        <x:v>PASS</x:v>
      </x:c>
    </x:row>
    <x:row r="650">
      <x:c r="B650" s="21" t="str">
        <x:v>A00644</x:v>
      </x:c>
      <x:c r="C650" s="21" t="str">
        <x:v>root</x:v>
      </x:c>
      <x:c r="D650" s="21" t="str">
        <x:v>F15-I3-B data constitution</x:v>
      </x:c>
      <x:c r="E650" s="21" t="n">
        <x:f>IF(AND('Root Data'!G182=Assumptions!C10,'Root Data'!J182=Assumptions!C18,'Root Data'!N182="PASS"),1,0)</x:f>
        <x:v>1</x:v>
      </x:c>
      <x:c r="F650" s="21" t="n">
        <x:v>1</x:v>
      </x:c>
      <x:c r="G650" s="23" t="str">
        <x:f>IF(E650=F650,"PASS","FAIL")</x:f>
        <x:v>PASS</x:v>
      </x:c>
    </x:row>
    <x:row r="651">
      <x:c r="B651" s="21" t="str">
        <x:v>A00645</x:v>
      </x:c>
      <x:c r="C651" s="21" t="str">
        <x:v>root</x:v>
      </x:c>
      <x:c r="D651" s="21" t="str">
        <x:v>F15-I3-C data constitution</x:v>
      </x:c>
      <x:c r="E651" s="21" t="n">
        <x:f>IF(AND('Root Data'!G183=Assumptions!C10,'Root Data'!J183=Assumptions!C18,'Root Data'!N183="PASS"),1,0)</x:f>
        <x:v>1</x:v>
      </x:c>
      <x:c r="F651" s="21" t="n">
        <x:v>1</x:v>
      </x:c>
      <x:c r="G651" s="23" t="str">
        <x:f>IF(E651=F651,"PASS","FAIL")</x:f>
        <x:v>PASS</x:v>
      </x:c>
    </x:row>
    <x:row r="652">
      <x:c r="B652" s="21" t="str">
        <x:v>A00646</x:v>
      </x:c>
      <x:c r="C652" s="21" t="str">
        <x:v>root</x:v>
      </x:c>
      <x:c r="D652" s="21" t="str">
        <x:v>F15-I4-A data constitution</x:v>
      </x:c>
      <x:c r="E652" s="21" t="n">
        <x:f>IF(AND('Root Data'!G184=Assumptions!C10,'Root Data'!J184=Assumptions!C18,'Root Data'!N184="PASS"),1,0)</x:f>
        <x:v>1</x:v>
      </x:c>
      <x:c r="F652" s="21" t="n">
        <x:v>1</x:v>
      </x:c>
      <x:c r="G652" s="23" t="str">
        <x:f>IF(E652=F652,"PASS","FAIL")</x:f>
        <x:v>PASS</x:v>
      </x:c>
    </x:row>
    <x:row r="653">
      <x:c r="B653" s="21" t="str">
        <x:v>A00647</x:v>
      </x:c>
      <x:c r="C653" s="21" t="str">
        <x:v>root</x:v>
      </x:c>
      <x:c r="D653" s="21" t="str">
        <x:v>F15-I4-B data constitution</x:v>
      </x:c>
      <x:c r="E653" s="21" t="n">
        <x:f>IF(AND('Root Data'!G185=Assumptions!C10,'Root Data'!J185=Assumptions!C18,'Root Data'!N185="PASS"),1,0)</x:f>
        <x:v>1</x:v>
      </x:c>
      <x:c r="F653" s="21" t="n">
        <x:v>1</x:v>
      </x:c>
      <x:c r="G653" s="23" t="str">
        <x:f>IF(E653=F653,"PASS","FAIL")</x:f>
        <x:v>PASS</x:v>
      </x:c>
    </x:row>
    <x:row r="654">
      <x:c r="B654" s="21" t="str">
        <x:v>A00648</x:v>
      </x:c>
      <x:c r="C654" s="21" t="str">
        <x:v>root</x:v>
      </x:c>
      <x:c r="D654" s="21" t="str">
        <x:v>F15-I4-C data constitution</x:v>
      </x:c>
      <x:c r="E654" s="21" t="n">
        <x:f>IF(AND('Root Data'!G186=Assumptions!C10,'Root Data'!J186=Assumptions!C18,'Root Data'!N186="PASS"),1,0)</x:f>
        <x:v>1</x:v>
      </x:c>
      <x:c r="F654" s="21" t="n">
        <x:v>1</x:v>
      </x:c>
      <x:c r="G654" s="23" t="str">
        <x:f>IF(E654=F654,"PASS","FAIL")</x:f>
        <x:v>PASS</x:v>
      </x:c>
    </x:row>
    <x:row r="655">
      <x:c r="B655" s="21" t="str">
        <x:v>A00649</x:v>
      </x:c>
      <x:c r="C655" s="21" t="str">
        <x:v>root</x:v>
      </x:c>
      <x:c r="D655" s="21" t="str">
        <x:v>F16-I1-A data constitution</x:v>
      </x:c>
      <x:c r="E655" s="21" t="n">
        <x:f>IF(AND('Root Data'!G187=Assumptions!C10,'Root Data'!J187=Assumptions!C18,'Root Data'!N187="PASS"),1,0)</x:f>
        <x:v>1</x:v>
      </x:c>
      <x:c r="F655" s="21" t="n">
        <x:v>1</x:v>
      </x:c>
      <x:c r="G655" s="23" t="str">
        <x:f>IF(E655=F655,"PASS","FAIL")</x:f>
        <x:v>PASS</x:v>
      </x:c>
    </x:row>
    <x:row r="656">
      <x:c r="B656" s="21" t="str">
        <x:v>A00650</x:v>
      </x:c>
      <x:c r="C656" s="21" t="str">
        <x:v>root</x:v>
      </x:c>
      <x:c r="D656" s="21" t="str">
        <x:v>F16-I1-B data constitution</x:v>
      </x:c>
      <x:c r="E656" s="21" t="n">
        <x:f>IF(AND('Root Data'!G188=Assumptions!C10,'Root Data'!J188=Assumptions!C18,'Root Data'!N188="PASS"),1,0)</x:f>
        <x:v>1</x:v>
      </x:c>
      <x:c r="F656" s="21" t="n">
        <x:v>1</x:v>
      </x:c>
      <x:c r="G656" s="23" t="str">
        <x:f>IF(E656=F656,"PASS","FAIL")</x:f>
        <x:v>PASS</x:v>
      </x:c>
    </x:row>
    <x:row r="657">
      <x:c r="B657" s="21" t="str">
        <x:v>A00651</x:v>
      </x:c>
      <x:c r="C657" s="21" t="str">
        <x:v>root</x:v>
      </x:c>
      <x:c r="D657" s="21" t="str">
        <x:v>F16-I1-C data constitution</x:v>
      </x:c>
      <x:c r="E657" s="21" t="n">
        <x:f>IF(AND('Root Data'!G189=Assumptions!C10,'Root Data'!J189=Assumptions!C18,'Root Data'!N189="PASS"),1,0)</x:f>
        <x:v>1</x:v>
      </x:c>
      <x:c r="F657" s="21" t="n">
        <x:v>1</x:v>
      </x:c>
      <x:c r="G657" s="23" t="str">
        <x:f>IF(E657=F657,"PASS","FAIL")</x:f>
        <x:v>PASS</x:v>
      </x:c>
    </x:row>
    <x:row r="658">
      <x:c r="B658" s="21" t="str">
        <x:v>A00652</x:v>
      </x:c>
      <x:c r="C658" s="21" t="str">
        <x:v>root</x:v>
      </x:c>
      <x:c r="D658" s="21" t="str">
        <x:v>F16-I2-A data constitution</x:v>
      </x:c>
      <x:c r="E658" s="21" t="n">
        <x:f>IF(AND('Root Data'!G190=Assumptions!C10,'Root Data'!J190=Assumptions!C18,'Root Data'!N190="PASS"),1,0)</x:f>
        <x:v>1</x:v>
      </x:c>
      <x:c r="F658" s="21" t="n">
        <x:v>1</x:v>
      </x:c>
      <x:c r="G658" s="23" t="str">
        <x:f>IF(E658=F658,"PASS","FAIL")</x:f>
        <x:v>PASS</x:v>
      </x:c>
    </x:row>
    <x:row r="659">
      <x:c r="B659" s="21" t="str">
        <x:v>A00653</x:v>
      </x:c>
      <x:c r="C659" s="21" t="str">
        <x:v>root</x:v>
      </x:c>
      <x:c r="D659" s="21" t="str">
        <x:v>F16-I2-B data constitution</x:v>
      </x:c>
      <x:c r="E659" s="21" t="n">
        <x:f>IF(AND('Root Data'!G191=Assumptions!C10,'Root Data'!J191=Assumptions!C18,'Root Data'!N191="PASS"),1,0)</x:f>
        <x:v>1</x:v>
      </x:c>
      <x:c r="F659" s="21" t="n">
        <x:v>1</x:v>
      </x:c>
      <x:c r="G659" s="23" t="str">
        <x:f>IF(E659=F659,"PASS","FAIL")</x:f>
        <x:v>PASS</x:v>
      </x:c>
    </x:row>
    <x:row r="660">
      <x:c r="B660" s="21" t="str">
        <x:v>A00654</x:v>
      </x:c>
      <x:c r="C660" s="21" t="str">
        <x:v>root</x:v>
      </x:c>
      <x:c r="D660" s="21" t="str">
        <x:v>F16-I2-C data constitution</x:v>
      </x:c>
      <x:c r="E660" s="21" t="n">
        <x:f>IF(AND('Root Data'!G192=Assumptions!C10,'Root Data'!J192=Assumptions!C18,'Root Data'!N192="PASS"),1,0)</x:f>
        <x:v>1</x:v>
      </x:c>
      <x:c r="F660" s="21" t="n">
        <x:v>1</x:v>
      </x:c>
      <x:c r="G660" s="23" t="str">
        <x:f>IF(E660=F660,"PASS","FAIL")</x:f>
        <x:v>PASS</x:v>
      </x:c>
    </x:row>
    <x:row r="661">
      <x:c r="B661" s="21" t="str">
        <x:v>A00655</x:v>
      </x:c>
      <x:c r="C661" s="21" t="str">
        <x:v>root</x:v>
      </x:c>
      <x:c r="D661" s="21" t="str">
        <x:v>F16-I3-A data constitution</x:v>
      </x:c>
      <x:c r="E661" s="21" t="n">
        <x:f>IF(AND('Root Data'!G193=Assumptions!C10,'Root Data'!J193=Assumptions!C18,'Root Data'!N193="PASS"),1,0)</x:f>
        <x:v>1</x:v>
      </x:c>
      <x:c r="F661" s="21" t="n">
        <x:v>1</x:v>
      </x:c>
      <x:c r="G661" s="23" t="str">
        <x:f>IF(E661=F661,"PASS","FAIL")</x:f>
        <x:v>PASS</x:v>
      </x:c>
    </x:row>
    <x:row r="662">
      <x:c r="B662" s="21" t="str">
        <x:v>A00656</x:v>
      </x:c>
      <x:c r="C662" s="21" t="str">
        <x:v>root</x:v>
      </x:c>
      <x:c r="D662" s="21" t="str">
        <x:v>F16-I3-B data constitution</x:v>
      </x:c>
      <x:c r="E662" s="21" t="n">
        <x:f>IF(AND('Root Data'!G194=Assumptions!C10,'Root Data'!J194=Assumptions!C18,'Root Data'!N194="PASS"),1,0)</x:f>
        <x:v>1</x:v>
      </x:c>
      <x:c r="F662" s="21" t="n">
        <x:v>1</x:v>
      </x:c>
      <x:c r="G662" s="23" t="str">
        <x:f>IF(E662=F662,"PASS","FAIL")</x:f>
        <x:v>PASS</x:v>
      </x:c>
    </x:row>
    <x:row r="663">
      <x:c r="B663" s="21" t="str">
        <x:v>A00657</x:v>
      </x:c>
      <x:c r="C663" s="21" t="str">
        <x:v>root</x:v>
      </x:c>
      <x:c r="D663" s="21" t="str">
        <x:v>F16-I3-C data constitution</x:v>
      </x:c>
      <x:c r="E663" s="21" t="n">
        <x:f>IF(AND('Root Data'!G195=Assumptions!C10,'Root Data'!J195=Assumptions!C18,'Root Data'!N195="PASS"),1,0)</x:f>
        <x:v>1</x:v>
      </x:c>
      <x:c r="F663" s="21" t="n">
        <x:v>1</x:v>
      </x:c>
      <x:c r="G663" s="23" t="str">
        <x:f>IF(E663=F663,"PASS","FAIL")</x:f>
        <x:v>PASS</x:v>
      </x:c>
    </x:row>
    <x:row r="664">
      <x:c r="B664" s="21" t="str">
        <x:v>A00658</x:v>
      </x:c>
      <x:c r="C664" s="21" t="str">
        <x:v>root</x:v>
      </x:c>
      <x:c r="D664" s="21" t="str">
        <x:v>F16-I4-A data constitution</x:v>
      </x:c>
      <x:c r="E664" s="21" t="n">
        <x:f>IF(AND('Root Data'!G196=Assumptions!C10,'Root Data'!J196=Assumptions!C18,'Root Data'!N196="PASS"),1,0)</x:f>
        <x:v>1</x:v>
      </x:c>
      <x:c r="F664" s="21" t="n">
        <x:v>1</x:v>
      </x:c>
      <x:c r="G664" s="23" t="str">
        <x:f>IF(E664=F664,"PASS","FAIL")</x:f>
        <x:v>PASS</x:v>
      </x:c>
    </x:row>
    <x:row r="665">
      <x:c r="B665" s="21" t="str">
        <x:v>A00659</x:v>
      </x:c>
      <x:c r="C665" s="21" t="str">
        <x:v>root</x:v>
      </x:c>
      <x:c r="D665" s="21" t="str">
        <x:v>F16-I4-B data constitution</x:v>
      </x:c>
      <x:c r="E665" s="21" t="n">
        <x:f>IF(AND('Root Data'!G197=Assumptions!C10,'Root Data'!J197=Assumptions!C18,'Root Data'!N197="PASS"),1,0)</x:f>
        <x:v>1</x:v>
      </x:c>
      <x:c r="F665" s="21" t="n">
        <x:v>1</x:v>
      </x:c>
      <x:c r="G665" s="23" t="str">
        <x:f>IF(E665=F665,"PASS","FAIL")</x:f>
        <x:v>PASS</x:v>
      </x:c>
    </x:row>
    <x:row r="666">
      <x:c r="B666" s="21" t="str">
        <x:v>A00660</x:v>
      </x:c>
      <x:c r="C666" s="21" t="str">
        <x:v>root</x:v>
      </x:c>
      <x:c r="D666" s="21" t="str">
        <x:v>F16-I4-C data constitution</x:v>
      </x:c>
      <x:c r="E666" s="21" t="n">
        <x:f>IF(AND('Root Data'!G198=Assumptions!C10,'Root Data'!J198=Assumptions!C18,'Root Data'!N198="PASS"),1,0)</x:f>
        <x:v>1</x:v>
      </x:c>
      <x:c r="F666" s="21" t="n">
        <x:v>1</x:v>
      </x:c>
      <x:c r="G666" s="23" t="str">
        <x:f>IF(E666=F666,"PASS","FAIL")</x:f>
        <x:v>PASS</x:v>
      </x:c>
    </x:row>
    <x:row r="667">
      <x:c r="B667" s="21" t="str">
        <x:v>A00661</x:v>
      </x:c>
      <x:c r="C667" s="21" t="str">
        <x:v>root</x:v>
      </x:c>
      <x:c r="D667" s="21" t="str">
        <x:v>F17-I1-A data constitution</x:v>
      </x:c>
      <x:c r="E667" s="21" t="n">
        <x:f>IF(AND('Root Data'!G199=Assumptions!C10,'Root Data'!J199=Assumptions!C18,'Root Data'!N199="PASS"),1,0)</x:f>
        <x:v>1</x:v>
      </x:c>
      <x:c r="F667" s="21" t="n">
        <x:v>1</x:v>
      </x:c>
      <x:c r="G667" s="23" t="str">
        <x:f>IF(E667=F667,"PASS","FAIL")</x:f>
        <x:v>PASS</x:v>
      </x:c>
    </x:row>
    <x:row r="668">
      <x:c r="B668" s="21" t="str">
        <x:v>A00662</x:v>
      </x:c>
      <x:c r="C668" s="21" t="str">
        <x:v>root</x:v>
      </x:c>
      <x:c r="D668" s="21" t="str">
        <x:v>F17-I1-B data constitution</x:v>
      </x:c>
      <x:c r="E668" s="21" t="n">
        <x:f>IF(AND('Root Data'!G200=Assumptions!C10,'Root Data'!J200=Assumptions!C18,'Root Data'!N200="PASS"),1,0)</x:f>
        <x:v>1</x:v>
      </x:c>
      <x:c r="F668" s="21" t="n">
        <x:v>1</x:v>
      </x:c>
      <x:c r="G668" s="23" t="str">
        <x:f>IF(E668=F668,"PASS","FAIL")</x:f>
        <x:v>PASS</x:v>
      </x:c>
    </x:row>
    <x:row r="669">
      <x:c r="B669" s="21" t="str">
        <x:v>A00663</x:v>
      </x:c>
      <x:c r="C669" s="21" t="str">
        <x:v>root</x:v>
      </x:c>
      <x:c r="D669" s="21" t="str">
        <x:v>F17-I1-C data constitution</x:v>
      </x:c>
      <x:c r="E669" s="21" t="n">
        <x:f>IF(AND('Root Data'!G201=Assumptions!C10,'Root Data'!J201=Assumptions!C18,'Root Data'!N201="PASS"),1,0)</x:f>
        <x:v>1</x:v>
      </x:c>
      <x:c r="F669" s="21" t="n">
        <x:v>1</x:v>
      </x:c>
      <x:c r="G669" s="23" t="str">
        <x:f>IF(E669=F669,"PASS","FAIL")</x:f>
        <x:v>PASS</x:v>
      </x:c>
    </x:row>
    <x:row r="670">
      <x:c r="B670" s="21" t="str">
        <x:v>A00664</x:v>
      </x:c>
      <x:c r="C670" s="21" t="str">
        <x:v>root</x:v>
      </x:c>
      <x:c r="D670" s="21" t="str">
        <x:v>F17-I2-A data constitution</x:v>
      </x:c>
      <x:c r="E670" s="21" t="n">
        <x:f>IF(AND('Root Data'!G202=Assumptions!C10,'Root Data'!J202=Assumptions!C18,'Root Data'!N202="PASS"),1,0)</x:f>
        <x:v>1</x:v>
      </x:c>
      <x:c r="F670" s="21" t="n">
        <x:v>1</x:v>
      </x:c>
      <x:c r="G670" s="23" t="str">
        <x:f>IF(E670=F670,"PASS","FAIL")</x:f>
        <x:v>PASS</x:v>
      </x:c>
    </x:row>
    <x:row r="671">
      <x:c r="B671" s="21" t="str">
        <x:v>A00665</x:v>
      </x:c>
      <x:c r="C671" s="21" t="str">
        <x:v>root</x:v>
      </x:c>
      <x:c r="D671" s="21" t="str">
        <x:v>F17-I2-B data constitution</x:v>
      </x:c>
      <x:c r="E671" s="21" t="n">
        <x:f>IF(AND('Root Data'!G203=Assumptions!C10,'Root Data'!J203=Assumptions!C18,'Root Data'!N203="PASS"),1,0)</x:f>
        <x:v>1</x:v>
      </x:c>
      <x:c r="F671" s="21" t="n">
        <x:v>1</x:v>
      </x:c>
      <x:c r="G671" s="23" t="str">
        <x:f>IF(E671=F671,"PASS","FAIL")</x:f>
        <x:v>PASS</x:v>
      </x:c>
    </x:row>
    <x:row r="672">
      <x:c r="B672" s="21" t="str">
        <x:v>A00666</x:v>
      </x:c>
      <x:c r="C672" s="21" t="str">
        <x:v>root</x:v>
      </x:c>
      <x:c r="D672" s="21" t="str">
        <x:v>F17-I2-C data constitution</x:v>
      </x:c>
      <x:c r="E672" s="21" t="n">
        <x:f>IF(AND('Root Data'!G204=Assumptions!C10,'Root Data'!J204=Assumptions!C18,'Root Data'!N204="PASS"),1,0)</x:f>
        <x:v>1</x:v>
      </x:c>
      <x:c r="F672" s="21" t="n">
        <x:v>1</x:v>
      </x:c>
      <x:c r="G672" s="23" t="str">
        <x:f>IF(E672=F672,"PASS","FAIL")</x:f>
        <x:v>PASS</x:v>
      </x:c>
    </x:row>
    <x:row r="673">
      <x:c r="B673" s="21" t="str">
        <x:v>A00667</x:v>
      </x:c>
      <x:c r="C673" s="21" t="str">
        <x:v>root</x:v>
      </x:c>
      <x:c r="D673" s="21" t="str">
        <x:v>F17-I3-A data constitution</x:v>
      </x:c>
      <x:c r="E673" s="21" t="n">
        <x:f>IF(AND('Root Data'!G205=Assumptions!C10,'Root Data'!J205=Assumptions!C18,'Root Data'!N205="PASS"),1,0)</x:f>
        <x:v>1</x:v>
      </x:c>
      <x:c r="F673" s="21" t="n">
        <x:v>1</x:v>
      </x:c>
      <x:c r="G673" s="23" t="str">
        <x:f>IF(E673=F673,"PASS","FAIL")</x:f>
        <x:v>PASS</x:v>
      </x:c>
    </x:row>
    <x:row r="674">
      <x:c r="B674" s="21" t="str">
        <x:v>A00668</x:v>
      </x:c>
      <x:c r="C674" s="21" t="str">
        <x:v>root</x:v>
      </x:c>
      <x:c r="D674" s="21" t="str">
        <x:v>F17-I3-B data constitution</x:v>
      </x:c>
      <x:c r="E674" s="21" t="n">
        <x:f>IF(AND('Root Data'!G206=Assumptions!C10,'Root Data'!J206=Assumptions!C18,'Root Data'!N206="PASS"),1,0)</x:f>
        <x:v>1</x:v>
      </x:c>
      <x:c r="F674" s="21" t="n">
        <x:v>1</x:v>
      </x:c>
      <x:c r="G674" s="23" t="str">
        <x:f>IF(E674=F674,"PASS","FAIL")</x:f>
        <x:v>PASS</x:v>
      </x:c>
    </x:row>
    <x:row r="675">
      <x:c r="B675" s="21" t="str">
        <x:v>A00669</x:v>
      </x:c>
      <x:c r="C675" s="21" t="str">
        <x:v>root</x:v>
      </x:c>
      <x:c r="D675" s="21" t="str">
        <x:v>F17-I3-C data constitution</x:v>
      </x:c>
      <x:c r="E675" s="21" t="n">
        <x:f>IF(AND('Root Data'!G207=Assumptions!C10,'Root Data'!J207=Assumptions!C18,'Root Data'!N207="PASS"),1,0)</x:f>
        <x:v>1</x:v>
      </x:c>
      <x:c r="F675" s="21" t="n">
        <x:v>1</x:v>
      </x:c>
      <x:c r="G675" s="23" t="str">
        <x:f>IF(E675=F675,"PASS","FAIL")</x:f>
        <x:v>PASS</x:v>
      </x:c>
    </x:row>
    <x:row r="676">
      <x:c r="B676" s="21" t="str">
        <x:v>A00670</x:v>
      </x:c>
      <x:c r="C676" s="21" t="str">
        <x:v>root</x:v>
      </x:c>
      <x:c r="D676" s="21" t="str">
        <x:v>F17-I4-A data constitution</x:v>
      </x:c>
      <x:c r="E676" s="21" t="n">
        <x:f>IF(AND('Root Data'!G208=Assumptions!C10,'Root Data'!J208=Assumptions!C18,'Root Data'!N208="PASS"),1,0)</x:f>
        <x:v>1</x:v>
      </x:c>
      <x:c r="F676" s="21" t="n">
        <x:v>1</x:v>
      </x:c>
      <x:c r="G676" s="23" t="str">
        <x:f>IF(E676=F676,"PASS","FAIL")</x:f>
        <x:v>PASS</x:v>
      </x:c>
    </x:row>
    <x:row r="677">
      <x:c r="B677" s="21" t="str">
        <x:v>A00671</x:v>
      </x:c>
      <x:c r="C677" s="21" t="str">
        <x:v>root</x:v>
      </x:c>
      <x:c r="D677" s="21" t="str">
        <x:v>F17-I4-B data constitution</x:v>
      </x:c>
      <x:c r="E677" s="21" t="n">
        <x:f>IF(AND('Root Data'!G209=Assumptions!C10,'Root Data'!J209=Assumptions!C18,'Root Data'!N209="PASS"),1,0)</x:f>
        <x:v>1</x:v>
      </x:c>
      <x:c r="F677" s="21" t="n">
        <x:v>1</x:v>
      </x:c>
      <x:c r="G677" s="23" t="str">
        <x:f>IF(E677=F677,"PASS","FAIL")</x:f>
        <x:v>PASS</x:v>
      </x:c>
    </x:row>
    <x:row r="678">
      <x:c r="B678" s="21" t="str">
        <x:v>A00672</x:v>
      </x:c>
      <x:c r="C678" s="21" t="str">
        <x:v>root</x:v>
      </x:c>
      <x:c r="D678" s="21" t="str">
        <x:v>F17-I4-C data constitution</x:v>
      </x:c>
      <x:c r="E678" s="21" t="n">
        <x:f>IF(AND('Root Data'!G210=Assumptions!C10,'Root Data'!J210=Assumptions!C18,'Root Data'!N210="PASS"),1,0)</x:f>
        <x:v>1</x:v>
      </x:c>
      <x:c r="F678" s="21" t="n">
        <x:v>1</x:v>
      </x:c>
      <x:c r="G678" s="23" t="str">
        <x:f>IF(E678=F678,"PASS","FAIL")</x:f>
        <x:v>PASS</x:v>
      </x:c>
    </x:row>
    <x:row r="679">
      <x:c r="B679" s="21" t="str">
        <x:v>A00673</x:v>
      </x:c>
      <x:c r="C679" s="21" t="str">
        <x:v>root</x:v>
      </x:c>
      <x:c r="D679" s="21" t="str">
        <x:v>F18-I1-A data constitution</x:v>
      </x:c>
      <x:c r="E679" s="21" t="n">
        <x:f>IF(AND('Root Data'!G211=Assumptions!C10,'Root Data'!J211=Assumptions!C18,'Root Data'!N211="PASS"),1,0)</x:f>
        <x:v>1</x:v>
      </x:c>
      <x:c r="F679" s="21" t="n">
        <x:v>1</x:v>
      </x:c>
      <x:c r="G679" s="23" t="str">
        <x:f>IF(E679=F679,"PASS","FAIL")</x:f>
        <x:v>PASS</x:v>
      </x:c>
    </x:row>
    <x:row r="680">
      <x:c r="B680" s="21" t="str">
        <x:v>A00674</x:v>
      </x:c>
      <x:c r="C680" s="21" t="str">
        <x:v>root</x:v>
      </x:c>
      <x:c r="D680" s="21" t="str">
        <x:v>F18-I1-B data constitution</x:v>
      </x:c>
      <x:c r="E680" s="21" t="n">
        <x:f>IF(AND('Root Data'!G212=Assumptions!C10,'Root Data'!J212=Assumptions!C18,'Root Data'!N212="PASS"),1,0)</x:f>
        <x:v>1</x:v>
      </x:c>
      <x:c r="F680" s="21" t="n">
        <x:v>1</x:v>
      </x:c>
      <x:c r="G680" s="23" t="str">
        <x:f>IF(E680=F680,"PASS","FAIL")</x:f>
        <x:v>PASS</x:v>
      </x:c>
    </x:row>
    <x:row r="681">
      <x:c r="B681" s="21" t="str">
        <x:v>A00675</x:v>
      </x:c>
      <x:c r="C681" s="21" t="str">
        <x:v>root</x:v>
      </x:c>
      <x:c r="D681" s="21" t="str">
        <x:v>F18-I1-C data constitution</x:v>
      </x:c>
      <x:c r="E681" s="21" t="n">
        <x:f>IF(AND('Root Data'!G213=Assumptions!C10,'Root Data'!J213=Assumptions!C18,'Root Data'!N213="PASS"),1,0)</x:f>
        <x:v>1</x:v>
      </x:c>
      <x:c r="F681" s="21" t="n">
        <x:v>1</x:v>
      </x:c>
      <x:c r="G681" s="23" t="str">
        <x:f>IF(E681=F681,"PASS","FAIL")</x:f>
        <x:v>PASS</x:v>
      </x:c>
    </x:row>
    <x:row r="682">
      <x:c r="B682" s="21" t="str">
        <x:v>A00676</x:v>
      </x:c>
      <x:c r="C682" s="21" t="str">
        <x:v>root</x:v>
      </x:c>
      <x:c r="D682" s="21" t="str">
        <x:v>F18-I2-A data constitution</x:v>
      </x:c>
      <x:c r="E682" s="21" t="n">
        <x:f>IF(AND('Root Data'!G214=Assumptions!C10,'Root Data'!J214=Assumptions!C18,'Root Data'!N214="PASS"),1,0)</x:f>
        <x:v>1</x:v>
      </x:c>
      <x:c r="F682" s="21" t="n">
        <x:v>1</x:v>
      </x:c>
      <x:c r="G682" s="23" t="str">
        <x:f>IF(E682=F682,"PASS","FAIL")</x:f>
        <x:v>PASS</x:v>
      </x:c>
    </x:row>
    <x:row r="683">
      <x:c r="B683" s="21" t="str">
        <x:v>A00677</x:v>
      </x:c>
      <x:c r="C683" s="21" t="str">
        <x:v>root</x:v>
      </x:c>
      <x:c r="D683" s="21" t="str">
        <x:v>F18-I2-B data constitution</x:v>
      </x:c>
      <x:c r="E683" s="21" t="n">
        <x:f>IF(AND('Root Data'!G215=Assumptions!C10,'Root Data'!J215=Assumptions!C18,'Root Data'!N215="PASS"),1,0)</x:f>
        <x:v>1</x:v>
      </x:c>
      <x:c r="F683" s="21" t="n">
        <x:v>1</x:v>
      </x:c>
      <x:c r="G683" s="23" t="str">
        <x:f>IF(E683=F683,"PASS","FAIL")</x:f>
        <x:v>PASS</x:v>
      </x:c>
    </x:row>
    <x:row r="684">
      <x:c r="B684" s="21" t="str">
        <x:v>A00678</x:v>
      </x:c>
      <x:c r="C684" s="21" t="str">
        <x:v>root</x:v>
      </x:c>
      <x:c r="D684" s="21" t="str">
        <x:v>F18-I2-C data constitution</x:v>
      </x:c>
      <x:c r="E684" s="21" t="n">
        <x:f>IF(AND('Root Data'!G216=Assumptions!C10,'Root Data'!J216=Assumptions!C18,'Root Data'!N216="PASS"),1,0)</x:f>
        <x:v>1</x:v>
      </x:c>
      <x:c r="F684" s="21" t="n">
        <x:v>1</x:v>
      </x:c>
      <x:c r="G684" s="23" t="str">
        <x:f>IF(E684=F684,"PASS","FAIL")</x:f>
        <x:v>PASS</x:v>
      </x:c>
    </x:row>
    <x:row r="685">
      <x:c r="B685" s="21" t="str">
        <x:v>A00679</x:v>
      </x:c>
      <x:c r="C685" s="21" t="str">
        <x:v>root</x:v>
      </x:c>
      <x:c r="D685" s="21" t="str">
        <x:v>F18-I3-A data constitution</x:v>
      </x:c>
      <x:c r="E685" s="21" t="n">
        <x:f>IF(AND('Root Data'!G217=Assumptions!C10,'Root Data'!J217=Assumptions!C18,'Root Data'!N217="PASS"),1,0)</x:f>
        <x:v>1</x:v>
      </x:c>
      <x:c r="F685" s="21" t="n">
        <x:v>1</x:v>
      </x:c>
      <x:c r="G685" s="23" t="str">
        <x:f>IF(E685=F685,"PASS","FAIL")</x:f>
        <x:v>PASS</x:v>
      </x:c>
    </x:row>
    <x:row r="686">
      <x:c r="B686" s="21" t="str">
        <x:v>A00680</x:v>
      </x:c>
      <x:c r="C686" s="21" t="str">
        <x:v>root</x:v>
      </x:c>
      <x:c r="D686" s="21" t="str">
        <x:v>F18-I3-B data constitution</x:v>
      </x:c>
      <x:c r="E686" s="21" t="n">
        <x:f>IF(AND('Root Data'!G218=Assumptions!C10,'Root Data'!J218=Assumptions!C18,'Root Data'!N218="PASS"),1,0)</x:f>
        <x:v>1</x:v>
      </x:c>
      <x:c r="F686" s="21" t="n">
        <x:v>1</x:v>
      </x:c>
      <x:c r="G686" s="23" t="str">
        <x:f>IF(E686=F686,"PASS","FAIL")</x:f>
        <x:v>PASS</x:v>
      </x:c>
    </x:row>
    <x:row r="687">
      <x:c r="B687" s="21" t="str">
        <x:v>A00681</x:v>
      </x:c>
      <x:c r="C687" s="21" t="str">
        <x:v>root</x:v>
      </x:c>
      <x:c r="D687" s="21" t="str">
        <x:v>F18-I3-C data constitution</x:v>
      </x:c>
      <x:c r="E687" s="21" t="n">
        <x:f>IF(AND('Root Data'!G219=Assumptions!C10,'Root Data'!J219=Assumptions!C18,'Root Data'!N219="PASS"),1,0)</x:f>
        <x:v>1</x:v>
      </x:c>
      <x:c r="F687" s="21" t="n">
        <x:v>1</x:v>
      </x:c>
      <x:c r="G687" s="23" t="str">
        <x:f>IF(E687=F687,"PASS","FAIL")</x:f>
        <x:v>PASS</x:v>
      </x:c>
    </x:row>
    <x:row r="688">
      <x:c r="B688" s="21" t="str">
        <x:v>A00682</x:v>
      </x:c>
      <x:c r="C688" s="21" t="str">
        <x:v>root</x:v>
      </x:c>
      <x:c r="D688" s="21" t="str">
        <x:v>F18-I4-A data constitution</x:v>
      </x:c>
      <x:c r="E688" s="21" t="n">
        <x:f>IF(AND('Root Data'!G220=Assumptions!C10,'Root Data'!J220=Assumptions!C18,'Root Data'!N220="PASS"),1,0)</x:f>
        <x:v>1</x:v>
      </x:c>
      <x:c r="F688" s="21" t="n">
        <x:v>1</x:v>
      </x:c>
      <x:c r="G688" s="23" t="str">
        <x:f>IF(E688=F688,"PASS","FAIL")</x:f>
        <x:v>PASS</x:v>
      </x:c>
    </x:row>
    <x:row r="689">
      <x:c r="B689" s="21" t="str">
        <x:v>A00683</x:v>
      </x:c>
      <x:c r="C689" s="21" t="str">
        <x:v>root</x:v>
      </x:c>
      <x:c r="D689" s="21" t="str">
        <x:v>F18-I4-B data constitution</x:v>
      </x:c>
      <x:c r="E689" s="21" t="n">
        <x:f>IF(AND('Root Data'!G221=Assumptions!C10,'Root Data'!J221=Assumptions!C18,'Root Data'!N221="PASS"),1,0)</x:f>
        <x:v>1</x:v>
      </x:c>
      <x:c r="F689" s="21" t="n">
        <x:v>1</x:v>
      </x:c>
      <x:c r="G689" s="23" t="str">
        <x:f>IF(E689=F689,"PASS","FAIL")</x:f>
        <x:v>PASS</x:v>
      </x:c>
    </x:row>
    <x:row r="690">
      <x:c r="B690" s="21" t="str">
        <x:v>A00684</x:v>
      </x:c>
      <x:c r="C690" s="21" t="str">
        <x:v>root</x:v>
      </x:c>
      <x:c r="D690" s="21" t="str">
        <x:v>F18-I4-C data constitution</x:v>
      </x:c>
      <x:c r="E690" s="21" t="n">
        <x:f>IF(AND('Root Data'!G222=Assumptions!C10,'Root Data'!J222=Assumptions!C18,'Root Data'!N222="PASS"),1,0)</x:f>
        <x:v>1</x:v>
      </x:c>
      <x:c r="F690" s="21" t="n">
        <x:v>1</x:v>
      </x:c>
      <x:c r="G690" s="23" t="str">
        <x:f>IF(E690=F690,"PASS","FAIL")</x:f>
        <x:v>PASS</x:v>
      </x:c>
    </x:row>
    <x:row r="691">
      <x:c r="B691" s="21" t="str">
        <x:v>A00685</x:v>
      </x:c>
      <x:c r="C691" s="21" t="str">
        <x:v>root</x:v>
      </x:c>
      <x:c r="D691" s="21" t="str">
        <x:v>F19-I1-A data constitution</x:v>
      </x:c>
      <x:c r="E691" s="21" t="n">
        <x:f>IF(AND('Root Data'!G223=Assumptions!C10,'Root Data'!J223=Assumptions!C18,'Root Data'!N223="PASS"),1,0)</x:f>
        <x:v>1</x:v>
      </x:c>
      <x:c r="F691" s="21" t="n">
        <x:v>1</x:v>
      </x:c>
      <x:c r="G691" s="23" t="str">
        <x:f>IF(E691=F691,"PASS","FAIL")</x:f>
        <x:v>PASS</x:v>
      </x:c>
    </x:row>
    <x:row r="692">
      <x:c r="B692" s="21" t="str">
        <x:v>A00686</x:v>
      </x:c>
      <x:c r="C692" s="21" t="str">
        <x:v>root</x:v>
      </x:c>
      <x:c r="D692" s="21" t="str">
        <x:v>F19-I1-B data constitution</x:v>
      </x:c>
      <x:c r="E692" s="21" t="n">
        <x:f>IF(AND('Root Data'!G224=Assumptions!C10,'Root Data'!J224=Assumptions!C18,'Root Data'!N224="PASS"),1,0)</x:f>
        <x:v>1</x:v>
      </x:c>
      <x:c r="F692" s="21" t="n">
        <x:v>1</x:v>
      </x:c>
      <x:c r="G692" s="23" t="str">
        <x:f>IF(E692=F692,"PASS","FAIL")</x:f>
        <x:v>PASS</x:v>
      </x:c>
    </x:row>
    <x:row r="693">
      <x:c r="B693" s="21" t="str">
        <x:v>A00687</x:v>
      </x:c>
      <x:c r="C693" s="21" t="str">
        <x:v>root</x:v>
      </x:c>
      <x:c r="D693" s="21" t="str">
        <x:v>F19-I1-C data constitution</x:v>
      </x:c>
      <x:c r="E693" s="21" t="n">
        <x:f>IF(AND('Root Data'!G225=Assumptions!C10,'Root Data'!J225=Assumptions!C18,'Root Data'!N225="PASS"),1,0)</x:f>
        <x:v>1</x:v>
      </x:c>
      <x:c r="F693" s="21" t="n">
        <x:v>1</x:v>
      </x:c>
      <x:c r="G693" s="23" t="str">
        <x:f>IF(E693=F693,"PASS","FAIL")</x:f>
        <x:v>PASS</x:v>
      </x:c>
    </x:row>
    <x:row r="694">
      <x:c r="B694" s="21" t="str">
        <x:v>A00688</x:v>
      </x:c>
      <x:c r="C694" s="21" t="str">
        <x:v>root</x:v>
      </x:c>
      <x:c r="D694" s="21" t="str">
        <x:v>F19-I2-A data constitution</x:v>
      </x:c>
      <x:c r="E694" s="21" t="n">
        <x:f>IF(AND('Root Data'!G226=Assumptions!C10,'Root Data'!J226=Assumptions!C18,'Root Data'!N226="PASS"),1,0)</x:f>
        <x:v>1</x:v>
      </x:c>
      <x:c r="F694" s="21" t="n">
        <x:v>1</x:v>
      </x:c>
      <x:c r="G694" s="23" t="str">
        <x:f>IF(E694=F694,"PASS","FAIL")</x:f>
        <x:v>PASS</x:v>
      </x:c>
    </x:row>
    <x:row r="695">
      <x:c r="B695" s="21" t="str">
        <x:v>A00689</x:v>
      </x:c>
      <x:c r="C695" s="21" t="str">
        <x:v>root</x:v>
      </x:c>
      <x:c r="D695" s="21" t="str">
        <x:v>F19-I2-B data constitution</x:v>
      </x:c>
      <x:c r="E695" s="21" t="n">
        <x:f>IF(AND('Root Data'!G227=Assumptions!C10,'Root Data'!J227=Assumptions!C18,'Root Data'!N227="PASS"),1,0)</x:f>
        <x:v>1</x:v>
      </x:c>
      <x:c r="F695" s="21" t="n">
        <x:v>1</x:v>
      </x:c>
      <x:c r="G695" s="23" t="str">
        <x:f>IF(E695=F695,"PASS","FAIL")</x:f>
        <x:v>PASS</x:v>
      </x:c>
    </x:row>
    <x:row r="696">
      <x:c r="B696" s="21" t="str">
        <x:v>A00690</x:v>
      </x:c>
      <x:c r="C696" s="21" t="str">
        <x:v>root</x:v>
      </x:c>
      <x:c r="D696" s="21" t="str">
        <x:v>F19-I2-C data constitution</x:v>
      </x:c>
      <x:c r="E696" s="21" t="n">
        <x:f>IF(AND('Root Data'!G228=Assumptions!C10,'Root Data'!J228=Assumptions!C18,'Root Data'!N228="PASS"),1,0)</x:f>
        <x:v>1</x:v>
      </x:c>
      <x:c r="F696" s="21" t="n">
        <x:v>1</x:v>
      </x:c>
      <x:c r="G696" s="23" t="str">
        <x:f>IF(E696=F696,"PASS","FAIL")</x:f>
        <x:v>PASS</x:v>
      </x:c>
    </x:row>
    <x:row r="697">
      <x:c r="B697" s="21" t="str">
        <x:v>A00691</x:v>
      </x:c>
      <x:c r="C697" s="21" t="str">
        <x:v>root</x:v>
      </x:c>
      <x:c r="D697" s="21" t="str">
        <x:v>F19-I3-A data constitution</x:v>
      </x:c>
      <x:c r="E697" s="21" t="n">
        <x:f>IF(AND('Root Data'!G229=Assumptions!C10,'Root Data'!J229=Assumptions!C18,'Root Data'!N229="PASS"),1,0)</x:f>
        <x:v>1</x:v>
      </x:c>
      <x:c r="F697" s="21" t="n">
        <x:v>1</x:v>
      </x:c>
      <x:c r="G697" s="23" t="str">
        <x:f>IF(E697=F697,"PASS","FAIL")</x:f>
        <x:v>PASS</x:v>
      </x:c>
    </x:row>
    <x:row r="698">
      <x:c r="B698" s="21" t="str">
        <x:v>A00692</x:v>
      </x:c>
      <x:c r="C698" s="21" t="str">
        <x:v>root</x:v>
      </x:c>
      <x:c r="D698" s="21" t="str">
        <x:v>F19-I3-B data constitution</x:v>
      </x:c>
      <x:c r="E698" s="21" t="n">
        <x:f>IF(AND('Root Data'!G230=Assumptions!C10,'Root Data'!J230=Assumptions!C18,'Root Data'!N230="PASS"),1,0)</x:f>
        <x:v>1</x:v>
      </x:c>
      <x:c r="F698" s="21" t="n">
        <x:v>1</x:v>
      </x:c>
      <x:c r="G698" s="23" t="str">
        <x:f>IF(E698=F698,"PASS","FAIL")</x:f>
        <x:v>PASS</x:v>
      </x:c>
    </x:row>
    <x:row r="699">
      <x:c r="B699" s="21" t="str">
        <x:v>A00693</x:v>
      </x:c>
      <x:c r="C699" s="21" t="str">
        <x:v>root</x:v>
      </x:c>
      <x:c r="D699" s="21" t="str">
        <x:v>F19-I3-C data constitution</x:v>
      </x:c>
      <x:c r="E699" s="21" t="n">
        <x:f>IF(AND('Root Data'!G231=Assumptions!C10,'Root Data'!J231=Assumptions!C18,'Root Data'!N231="PASS"),1,0)</x:f>
        <x:v>1</x:v>
      </x:c>
      <x:c r="F699" s="21" t="n">
        <x:v>1</x:v>
      </x:c>
      <x:c r="G699" s="23" t="str">
        <x:f>IF(E699=F699,"PASS","FAIL")</x:f>
        <x:v>PASS</x:v>
      </x:c>
    </x:row>
    <x:row r="700">
      <x:c r="B700" s="21" t="str">
        <x:v>A00694</x:v>
      </x:c>
      <x:c r="C700" s="21" t="str">
        <x:v>root</x:v>
      </x:c>
      <x:c r="D700" s="21" t="str">
        <x:v>F19-I4-A data constitution</x:v>
      </x:c>
      <x:c r="E700" s="21" t="n">
        <x:f>IF(AND('Root Data'!G232=Assumptions!C10,'Root Data'!J232=Assumptions!C18,'Root Data'!N232="PASS"),1,0)</x:f>
        <x:v>1</x:v>
      </x:c>
      <x:c r="F700" s="21" t="n">
        <x:v>1</x:v>
      </x:c>
      <x:c r="G700" s="23" t="str">
        <x:f>IF(E700=F700,"PASS","FAIL")</x:f>
        <x:v>PASS</x:v>
      </x:c>
    </x:row>
    <x:row r="701">
      <x:c r="B701" s="21" t="str">
        <x:v>A00695</x:v>
      </x:c>
      <x:c r="C701" s="21" t="str">
        <x:v>root</x:v>
      </x:c>
      <x:c r="D701" s="21" t="str">
        <x:v>F19-I4-B data constitution</x:v>
      </x:c>
      <x:c r="E701" s="21" t="n">
        <x:f>IF(AND('Root Data'!G233=Assumptions!C10,'Root Data'!J233=Assumptions!C18,'Root Data'!N233="PASS"),1,0)</x:f>
        <x:v>1</x:v>
      </x:c>
      <x:c r="F701" s="21" t="n">
        <x:v>1</x:v>
      </x:c>
      <x:c r="G701" s="23" t="str">
        <x:f>IF(E701=F701,"PASS","FAIL")</x:f>
        <x:v>PASS</x:v>
      </x:c>
    </x:row>
    <x:row r="702">
      <x:c r="B702" s="21" t="str">
        <x:v>A00696</x:v>
      </x:c>
      <x:c r="C702" s="21" t="str">
        <x:v>root</x:v>
      </x:c>
      <x:c r="D702" s="21" t="str">
        <x:v>F19-I4-C data constitution</x:v>
      </x:c>
      <x:c r="E702" s="21" t="n">
        <x:f>IF(AND('Root Data'!G234=Assumptions!C10,'Root Data'!J234=Assumptions!C18,'Root Data'!N234="PASS"),1,0)</x:f>
        <x:v>1</x:v>
      </x:c>
      <x:c r="F702" s="21" t="n">
        <x:v>1</x:v>
      </x:c>
      <x:c r="G702" s="23" t="str">
        <x:f>IF(E702=F702,"PASS","FAIL")</x:f>
        <x:v>PASS</x:v>
      </x:c>
    </x:row>
    <x:row r="703">
      <x:c r="B703" s="21" t="str">
        <x:v>A00697</x:v>
      </x:c>
      <x:c r="C703" s="21" t="str">
        <x:v>root</x:v>
      </x:c>
      <x:c r="D703" s="21" t="str">
        <x:v>F20-I1-A data constitution</x:v>
      </x:c>
      <x:c r="E703" s="21" t="n">
        <x:f>IF(AND('Root Data'!G235=Assumptions!C10,'Root Data'!J235=Assumptions!C18,'Root Data'!N235="PASS"),1,0)</x:f>
        <x:v>1</x:v>
      </x:c>
      <x:c r="F703" s="21" t="n">
        <x:v>1</x:v>
      </x:c>
      <x:c r="G703" s="23" t="str">
        <x:f>IF(E703=F703,"PASS","FAIL")</x:f>
        <x:v>PASS</x:v>
      </x:c>
    </x:row>
    <x:row r="704">
      <x:c r="B704" s="21" t="str">
        <x:v>A00698</x:v>
      </x:c>
      <x:c r="C704" s="21" t="str">
        <x:v>root</x:v>
      </x:c>
      <x:c r="D704" s="21" t="str">
        <x:v>F20-I1-B data constitution</x:v>
      </x:c>
      <x:c r="E704" s="21" t="n">
        <x:f>IF(AND('Root Data'!G236=Assumptions!C10,'Root Data'!J236=Assumptions!C18,'Root Data'!N236="PASS"),1,0)</x:f>
        <x:v>1</x:v>
      </x:c>
      <x:c r="F704" s="21" t="n">
        <x:v>1</x:v>
      </x:c>
      <x:c r="G704" s="23" t="str">
        <x:f>IF(E704=F704,"PASS","FAIL")</x:f>
        <x:v>PASS</x:v>
      </x:c>
    </x:row>
    <x:row r="705">
      <x:c r="B705" s="21" t="str">
        <x:v>A00699</x:v>
      </x:c>
      <x:c r="C705" s="21" t="str">
        <x:v>root</x:v>
      </x:c>
      <x:c r="D705" s="21" t="str">
        <x:v>F20-I1-C data constitution</x:v>
      </x:c>
      <x:c r="E705" s="21" t="n">
        <x:f>IF(AND('Root Data'!G237=Assumptions!C10,'Root Data'!J237=Assumptions!C18,'Root Data'!N237="PASS"),1,0)</x:f>
        <x:v>1</x:v>
      </x:c>
      <x:c r="F705" s="21" t="n">
        <x:v>1</x:v>
      </x:c>
      <x:c r="G705" s="23" t="str">
        <x:f>IF(E705=F705,"PASS","FAIL")</x:f>
        <x:v>PASS</x:v>
      </x:c>
    </x:row>
    <x:row r="706">
      <x:c r="B706" s="21" t="str">
        <x:v>A00700</x:v>
      </x:c>
      <x:c r="C706" s="21" t="str">
        <x:v>root</x:v>
      </x:c>
      <x:c r="D706" s="21" t="str">
        <x:v>F20-I2-A data constitution</x:v>
      </x:c>
      <x:c r="E706" s="21" t="n">
        <x:f>IF(AND('Root Data'!G238=Assumptions!C10,'Root Data'!J238=Assumptions!C18,'Root Data'!N238="PASS"),1,0)</x:f>
        <x:v>1</x:v>
      </x:c>
      <x:c r="F706" s="21" t="n">
        <x:v>1</x:v>
      </x:c>
      <x:c r="G706" s="23" t="str">
        <x:f>IF(E706=F706,"PASS","FAIL")</x:f>
        <x:v>PASS</x:v>
      </x:c>
    </x:row>
    <x:row r="707">
      <x:c r="B707" s="21" t="str">
        <x:v>A00701</x:v>
      </x:c>
      <x:c r="C707" s="21" t="str">
        <x:v>root</x:v>
      </x:c>
      <x:c r="D707" s="21" t="str">
        <x:v>F20-I2-B data constitution</x:v>
      </x:c>
      <x:c r="E707" s="21" t="n">
        <x:f>IF(AND('Root Data'!G239=Assumptions!C10,'Root Data'!J239=Assumptions!C18,'Root Data'!N239="PASS"),1,0)</x:f>
        <x:v>1</x:v>
      </x:c>
      <x:c r="F707" s="21" t="n">
        <x:v>1</x:v>
      </x:c>
      <x:c r="G707" s="23" t="str">
        <x:f>IF(E707=F707,"PASS","FAIL")</x:f>
        <x:v>PASS</x:v>
      </x:c>
    </x:row>
    <x:row r="708">
      <x:c r="B708" s="21" t="str">
        <x:v>A00702</x:v>
      </x:c>
      <x:c r="C708" s="21" t="str">
        <x:v>root</x:v>
      </x:c>
      <x:c r="D708" s="21" t="str">
        <x:v>F20-I2-C data constitution</x:v>
      </x:c>
      <x:c r="E708" s="21" t="n">
        <x:f>IF(AND('Root Data'!G240=Assumptions!C10,'Root Data'!J240=Assumptions!C18,'Root Data'!N240="PASS"),1,0)</x:f>
        <x:v>1</x:v>
      </x:c>
      <x:c r="F708" s="21" t="n">
        <x:v>1</x:v>
      </x:c>
      <x:c r="G708" s="23" t="str">
        <x:f>IF(E708=F708,"PASS","FAIL")</x:f>
        <x:v>PASS</x:v>
      </x:c>
    </x:row>
    <x:row r="709">
      <x:c r="B709" s="21" t="str">
        <x:v>A00703</x:v>
      </x:c>
      <x:c r="C709" s="21" t="str">
        <x:v>root</x:v>
      </x:c>
      <x:c r="D709" s="21" t="str">
        <x:v>F20-I3-A data constitution</x:v>
      </x:c>
      <x:c r="E709" s="21" t="n">
        <x:f>IF(AND('Root Data'!G241=Assumptions!C10,'Root Data'!J241=Assumptions!C18,'Root Data'!N241="PASS"),1,0)</x:f>
        <x:v>1</x:v>
      </x:c>
      <x:c r="F709" s="21" t="n">
        <x:v>1</x:v>
      </x:c>
      <x:c r="G709" s="23" t="str">
        <x:f>IF(E709=F709,"PASS","FAIL")</x:f>
        <x:v>PASS</x:v>
      </x:c>
    </x:row>
    <x:row r="710">
      <x:c r="B710" s="21" t="str">
        <x:v>A00704</x:v>
      </x:c>
      <x:c r="C710" s="21" t="str">
        <x:v>root</x:v>
      </x:c>
      <x:c r="D710" s="21" t="str">
        <x:v>F20-I3-B data constitution</x:v>
      </x:c>
      <x:c r="E710" s="21" t="n">
        <x:f>IF(AND('Root Data'!G242=Assumptions!C10,'Root Data'!J242=Assumptions!C18,'Root Data'!N242="PASS"),1,0)</x:f>
        <x:v>1</x:v>
      </x:c>
      <x:c r="F710" s="21" t="n">
        <x:v>1</x:v>
      </x:c>
      <x:c r="G710" s="23" t="str">
        <x:f>IF(E710=F710,"PASS","FAIL")</x:f>
        <x:v>PASS</x:v>
      </x:c>
    </x:row>
    <x:row r="711">
      <x:c r="B711" s="21" t="str">
        <x:v>A00705</x:v>
      </x:c>
      <x:c r="C711" s="21" t="str">
        <x:v>root</x:v>
      </x:c>
      <x:c r="D711" s="21" t="str">
        <x:v>F20-I3-C data constitution</x:v>
      </x:c>
      <x:c r="E711" s="21" t="n">
        <x:f>IF(AND('Root Data'!G243=Assumptions!C10,'Root Data'!J243=Assumptions!C18,'Root Data'!N243="PASS"),1,0)</x:f>
        <x:v>1</x:v>
      </x:c>
      <x:c r="F711" s="21" t="n">
        <x:v>1</x:v>
      </x:c>
      <x:c r="G711" s="23" t="str">
        <x:f>IF(E711=F711,"PASS","FAIL")</x:f>
        <x:v>PASS</x:v>
      </x:c>
    </x:row>
    <x:row r="712">
      <x:c r="B712" s="21" t="str">
        <x:v>A00706</x:v>
      </x:c>
      <x:c r="C712" s="21" t="str">
        <x:v>root</x:v>
      </x:c>
      <x:c r="D712" s="21" t="str">
        <x:v>F20-I4-A data constitution</x:v>
      </x:c>
      <x:c r="E712" s="21" t="n">
        <x:f>IF(AND('Root Data'!G244=Assumptions!C10,'Root Data'!J244=Assumptions!C18,'Root Data'!N244="PASS"),1,0)</x:f>
        <x:v>1</x:v>
      </x:c>
      <x:c r="F712" s="21" t="n">
        <x:v>1</x:v>
      </x:c>
      <x:c r="G712" s="23" t="str">
        <x:f>IF(E712=F712,"PASS","FAIL")</x:f>
        <x:v>PASS</x:v>
      </x:c>
    </x:row>
    <x:row r="713">
      <x:c r="B713" s="21" t="str">
        <x:v>A00707</x:v>
      </x:c>
      <x:c r="C713" s="21" t="str">
        <x:v>root</x:v>
      </x:c>
      <x:c r="D713" s="21" t="str">
        <x:v>F20-I4-B data constitution</x:v>
      </x:c>
      <x:c r="E713" s="21" t="n">
        <x:f>IF(AND('Root Data'!G245=Assumptions!C10,'Root Data'!J245=Assumptions!C18,'Root Data'!N245="PASS"),1,0)</x:f>
        <x:v>1</x:v>
      </x:c>
      <x:c r="F713" s="21" t="n">
        <x:v>1</x:v>
      </x:c>
      <x:c r="G713" s="23" t="str">
        <x:f>IF(E713=F713,"PASS","FAIL")</x:f>
        <x:v>PASS</x:v>
      </x:c>
    </x:row>
    <x:row r="714">
      <x:c r="B714" s="21" t="str">
        <x:v>A00708</x:v>
      </x:c>
      <x:c r="C714" s="21" t="str">
        <x:v>root</x:v>
      </x:c>
      <x:c r="D714" s="21" t="str">
        <x:v>F20-I4-C data constitution</x:v>
      </x:c>
      <x:c r="E714" s="21" t="n">
        <x:f>IF(AND('Root Data'!G246=Assumptions!C10,'Root Data'!J246=Assumptions!C18,'Root Data'!N246="PASS"),1,0)</x:f>
        <x:v>1</x:v>
      </x:c>
      <x:c r="F714" s="21" t="n">
        <x:v>1</x:v>
      </x:c>
      <x:c r="G714" s="23" t="str">
        <x:f>IF(E714=F714,"PASS","FAIL")</x:f>
        <x:v>PASS</x:v>
      </x:c>
    </x:row>
    <x:row r="715">
      <x:c r="B715" s="21" t="str">
        <x:v>A00709</x:v>
      </x:c>
      <x:c r="C715" s="21" t="str">
        <x:v>root</x:v>
      </x:c>
      <x:c r="D715" s="21" t="str">
        <x:v>F21-I1-A data constitution</x:v>
      </x:c>
      <x:c r="E715" s="21" t="n">
        <x:f>IF(AND('Root Data'!G247=Assumptions!C10,'Root Data'!J247=Assumptions!C18,'Root Data'!N247="PASS"),1,0)</x:f>
        <x:v>1</x:v>
      </x:c>
      <x:c r="F715" s="21" t="n">
        <x:v>1</x:v>
      </x:c>
      <x:c r="G715" s="23" t="str">
        <x:f>IF(E715=F715,"PASS","FAIL")</x:f>
        <x:v>PASS</x:v>
      </x:c>
    </x:row>
    <x:row r="716">
      <x:c r="B716" s="21" t="str">
        <x:v>A00710</x:v>
      </x:c>
      <x:c r="C716" s="21" t="str">
        <x:v>root</x:v>
      </x:c>
      <x:c r="D716" s="21" t="str">
        <x:v>F21-I1-B data constitution</x:v>
      </x:c>
      <x:c r="E716" s="21" t="n">
        <x:f>IF(AND('Root Data'!G248=Assumptions!C10,'Root Data'!J248=Assumptions!C18,'Root Data'!N248="PASS"),1,0)</x:f>
        <x:v>1</x:v>
      </x:c>
      <x:c r="F716" s="21" t="n">
        <x:v>1</x:v>
      </x:c>
      <x:c r="G716" s="23" t="str">
        <x:f>IF(E716=F716,"PASS","FAIL")</x:f>
        <x:v>PASS</x:v>
      </x:c>
    </x:row>
    <x:row r="717">
      <x:c r="B717" s="21" t="str">
        <x:v>A00711</x:v>
      </x:c>
      <x:c r="C717" s="21" t="str">
        <x:v>root</x:v>
      </x:c>
      <x:c r="D717" s="21" t="str">
        <x:v>F21-I1-C data constitution</x:v>
      </x:c>
      <x:c r="E717" s="21" t="n">
        <x:f>IF(AND('Root Data'!G249=Assumptions!C10,'Root Data'!J249=Assumptions!C18,'Root Data'!N249="PASS"),1,0)</x:f>
        <x:v>1</x:v>
      </x:c>
      <x:c r="F717" s="21" t="n">
        <x:v>1</x:v>
      </x:c>
      <x:c r="G717" s="23" t="str">
        <x:f>IF(E717=F717,"PASS","FAIL")</x:f>
        <x:v>PASS</x:v>
      </x:c>
    </x:row>
    <x:row r="718">
      <x:c r="B718" s="21" t="str">
        <x:v>A00712</x:v>
      </x:c>
      <x:c r="C718" s="21" t="str">
        <x:v>root</x:v>
      </x:c>
      <x:c r="D718" s="21" t="str">
        <x:v>F21-I2-A data constitution</x:v>
      </x:c>
      <x:c r="E718" s="21" t="n">
        <x:f>IF(AND('Root Data'!G250=Assumptions!C10,'Root Data'!J250=Assumptions!C18,'Root Data'!N250="PASS"),1,0)</x:f>
        <x:v>1</x:v>
      </x:c>
      <x:c r="F718" s="21" t="n">
        <x:v>1</x:v>
      </x:c>
      <x:c r="G718" s="23" t="str">
        <x:f>IF(E718=F718,"PASS","FAIL")</x:f>
        <x:v>PASS</x:v>
      </x:c>
    </x:row>
    <x:row r="719">
      <x:c r="B719" s="21" t="str">
        <x:v>A00713</x:v>
      </x:c>
      <x:c r="C719" s="21" t="str">
        <x:v>root</x:v>
      </x:c>
      <x:c r="D719" s="21" t="str">
        <x:v>F21-I2-B data constitution</x:v>
      </x:c>
      <x:c r="E719" s="21" t="n">
        <x:f>IF(AND('Root Data'!G251=Assumptions!C10,'Root Data'!J251=Assumptions!C18,'Root Data'!N251="PASS"),1,0)</x:f>
        <x:v>1</x:v>
      </x:c>
      <x:c r="F719" s="21" t="n">
        <x:v>1</x:v>
      </x:c>
      <x:c r="G719" s="23" t="str">
        <x:f>IF(E719=F719,"PASS","FAIL")</x:f>
        <x:v>PASS</x:v>
      </x:c>
    </x:row>
    <x:row r="720">
      <x:c r="B720" s="21" t="str">
        <x:v>A00714</x:v>
      </x:c>
      <x:c r="C720" s="21" t="str">
        <x:v>root</x:v>
      </x:c>
      <x:c r="D720" s="21" t="str">
        <x:v>F21-I2-C data constitution</x:v>
      </x:c>
      <x:c r="E720" s="21" t="n">
        <x:f>IF(AND('Root Data'!G252=Assumptions!C10,'Root Data'!J252=Assumptions!C18,'Root Data'!N252="PASS"),1,0)</x:f>
        <x:v>1</x:v>
      </x:c>
      <x:c r="F720" s="21" t="n">
        <x:v>1</x:v>
      </x:c>
      <x:c r="G720" s="23" t="str">
        <x:f>IF(E720=F720,"PASS","FAIL")</x:f>
        <x:v>PASS</x:v>
      </x:c>
    </x:row>
    <x:row r="721">
      <x:c r="B721" s="21" t="str">
        <x:v>A00715</x:v>
      </x:c>
      <x:c r="C721" s="21" t="str">
        <x:v>root</x:v>
      </x:c>
      <x:c r="D721" s="21" t="str">
        <x:v>F21-I3-A data constitution</x:v>
      </x:c>
      <x:c r="E721" s="21" t="n">
        <x:f>IF(AND('Root Data'!G253=Assumptions!C10,'Root Data'!J253=Assumptions!C18,'Root Data'!N253="PASS"),1,0)</x:f>
        <x:v>1</x:v>
      </x:c>
      <x:c r="F721" s="21" t="n">
        <x:v>1</x:v>
      </x:c>
      <x:c r="G721" s="23" t="str">
        <x:f>IF(E721=F721,"PASS","FAIL")</x:f>
        <x:v>PASS</x:v>
      </x:c>
    </x:row>
    <x:row r="722">
      <x:c r="B722" s="21" t="str">
        <x:v>A00716</x:v>
      </x:c>
      <x:c r="C722" s="21" t="str">
        <x:v>root</x:v>
      </x:c>
      <x:c r="D722" s="21" t="str">
        <x:v>F21-I3-B data constitution</x:v>
      </x:c>
      <x:c r="E722" s="21" t="n">
        <x:f>IF(AND('Root Data'!G254=Assumptions!C10,'Root Data'!J254=Assumptions!C18,'Root Data'!N254="PASS"),1,0)</x:f>
        <x:v>1</x:v>
      </x:c>
      <x:c r="F722" s="21" t="n">
        <x:v>1</x:v>
      </x:c>
      <x:c r="G722" s="23" t="str">
        <x:f>IF(E722=F722,"PASS","FAIL")</x:f>
        <x:v>PASS</x:v>
      </x:c>
    </x:row>
    <x:row r="723">
      <x:c r="B723" s="21" t="str">
        <x:v>A00717</x:v>
      </x:c>
      <x:c r="C723" s="21" t="str">
        <x:v>root</x:v>
      </x:c>
      <x:c r="D723" s="21" t="str">
        <x:v>F21-I3-C data constitution</x:v>
      </x:c>
      <x:c r="E723" s="21" t="n">
        <x:f>IF(AND('Root Data'!G255=Assumptions!C10,'Root Data'!J255=Assumptions!C18,'Root Data'!N255="PASS"),1,0)</x:f>
        <x:v>1</x:v>
      </x:c>
      <x:c r="F723" s="21" t="n">
        <x:v>1</x:v>
      </x:c>
      <x:c r="G723" s="23" t="str">
        <x:f>IF(E723=F723,"PASS","FAIL")</x:f>
        <x:v>PASS</x:v>
      </x:c>
    </x:row>
    <x:row r="724">
      <x:c r="B724" s="21" t="str">
        <x:v>A00718</x:v>
      </x:c>
      <x:c r="C724" s="21" t="str">
        <x:v>root</x:v>
      </x:c>
      <x:c r="D724" s="21" t="str">
        <x:v>F21-I4-A data constitution</x:v>
      </x:c>
      <x:c r="E724" s="21" t="n">
        <x:f>IF(AND('Root Data'!G256=Assumptions!C10,'Root Data'!J256=Assumptions!C18,'Root Data'!N256="PASS"),1,0)</x:f>
        <x:v>1</x:v>
      </x:c>
      <x:c r="F724" s="21" t="n">
        <x:v>1</x:v>
      </x:c>
      <x:c r="G724" s="23" t="str">
        <x:f>IF(E724=F724,"PASS","FAIL")</x:f>
        <x:v>PASS</x:v>
      </x:c>
    </x:row>
    <x:row r="725">
      <x:c r="B725" s="21" t="str">
        <x:v>A00719</x:v>
      </x:c>
      <x:c r="C725" s="21" t="str">
        <x:v>root</x:v>
      </x:c>
      <x:c r="D725" s="21" t="str">
        <x:v>F21-I4-B data constitution</x:v>
      </x:c>
      <x:c r="E725" s="21" t="n">
        <x:f>IF(AND('Root Data'!G257=Assumptions!C10,'Root Data'!J257=Assumptions!C18,'Root Data'!N257="PASS"),1,0)</x:f>
        <x:v>1</x:v>
      </x:c>
      <x:c r="F725" s="21" t="n">
        <x:v>1</x:v>
      </x:c>
      <x:c r="G725" s="23" t="str">
        <x:f>IF(E725=F725,"PASS","FAIL")</x:f>
        <x:v>PASS</x:v>
      </x:c>
    </x:row>
    <x:row r="726">
      <x:c r="B726" s="21" t="str">
        <x:v>A00720</x:v>
      </x:c>
      <x:c r="C726" s="21" t="str">
        <x:v>root</x:v>
      </x:c>
      <x:c r="D726" s="21" t="str">
        <x:v>F21-I4-C data constitution</x:v>
      </x:c>
      <x:c r="E726" s="21" t="n">
        <x:f>IF(AND('Root Data'!G258=Assumptions!C10,'Root Data'!J258=Assumptions!C18,'Root Data'!N258="PASS"),1,0)</x:f>
        <x:v>1</x:v>
      </x:c>
      <x:c r="F726" s="21" t="n">
        <x:v>1</x:v>
      </x:c>
      <x:c r="G726" s="23" t="str">
        <x:f>IF(E726=F726,"PASS","FAIL")</x:f>
        <x:v>PASS</x:v>
      </x:c>
    </x:row>
    <x:row r="727">
      <x:c r="B727" s="21" t="str">
        <x:v>A00721</x:v>
      </x:c>
      <x:c r="C727" s="21" t="str">
        <x:v>root</x:v>
      </x:c>
      <x:c r="D727" s="21" t="str">
        <x:v>F22-I1-A data constitution</x:v>
      </x:c>
      <x:c r="E727" s="21" t="n">
        <x:f>IF(AND('Root Data'!G259=Assumptions!C10,'Root Data'!J259=Assumptions!C18,'Root Data'!N259="PASS"),1,0)</x:f>
        <x:v>1</x:v>
      </x:c>
      <x:c r="F727" s="21" t="n">
        <x:v>1</x:v>
      </x:c>
      <x:c r="G727" s="23" t="str">
        <x:f>IF(E727=F727,"PASS","FAIL")</x:f>
        <x:v>PASS</x:v>
      </x:c>
    </x:row>
    <x:row r="728">
      <x:c r="B728" s="21" t="str">
        <x:v>A00722</x:v>
      </x:c>
      <x:c r="C728" s="21" t="str">
        <x:v>root</x:v>
      </x:c>
      <x:c r="D728" s="21" t="str">
        <x:v>F22-I1-B data constitution</x:v>
      </x:c>
      <x:c r="E728" s="21" t="n">
        <x:f>IF(AND('Root Data'!G260=Assumptions!C10,'Root Data'!J260=Assumptions!C18,'Root Data'!N260="PASS"),1,0)</x:f>
        <x:v>1</x:v>
      </x:c>
      <x:c r="F728" s="21" t="n">
        <x:v>1</x:v>
      </x:c>
      <x:c r="G728" s="23" t="str">
        <x:f>IF(E728=F728,"PASS","FAIL")</x:f>
        <x:v>PASS</x:v>
      </x:c>
    </x:row>
    <x:row r="729">
      <x:c r="B729" s="21" t="str">
        <x:v>A00723</x:v>
      </x:c>
      <x:c r="C729" s="21" t="str">
        <x:v>root</x:v>
      </x:c>
      <x:c r="D729" s="21" t="str">
        <x:v>F22-I1-C data constitution</x:v>
      </x:c>
      <x:c r="E729" s="21" t="n">
        <x:f>IF(AND('Root Data'!G261=Assumptions!C10,'Root Data'!J261=Assumptions!C18,'Root Data'!N261="PASS"),1,0)</x:f>
        <x:v>1</x:v>
      </x:c>
      <x:c r="F729" s="21" t="n">
        <x:v>1</x:v>
      </x:c>
      <x:c r="G729" s="23" t="str">
        <x:f>IF(E729=F729,"PASS","FAIL")</x:f>
        <x:v>PASS</x:v>
      </x:c>
    </x:row>
    <x:row r="730">
      <x:c r="B730" s="21" t="str">
        <x:v>A00724</x:v>
      </x:c>
      <x:c r="C730" s="21" t="str">
        <x:v>root</x:v>
      </x:c>
      <x:c r="D730" s="21" t="str">
        <x:v>F22-I2-A data constitution</x:v>
      </x:c>
      <x:c r="E730" s="21" t="n">
        <x:f>IF(AND('Root Data'!G262=Assumptions!C10,'Root Data'!J262=Assumptions!C18,'Root Data'!N262="PASS"),1,0)</x:f>
        <x:v>1</x:v>
      </x:c>
      <x:c r="F730" s="21" t="n">
        <x:v>1</x:v>
      </x:c>
      <x:c r="G730" s="23" t="str">
        <x:f>IF(E730=F730,"PASS","FAIL")</x:f>
        <x:v>PASS</x:v>
      </x:c>
    </x:row>
    <x:row r="731">
      <x:c r="B731" s="21" t="str">
        <x:v>A00725</x:v>
      </x:c>
      <x:c r="C731" s="21" t="str">
        <x:v>root</x:v>
      </x:c>
      <x:c r="D731" s="21" t="str">
        <x:v>F22-I2-B data constitution</x:v>
      </x:c>
      <x:c r="E731" s="21" t="n">
        <x:f>IF(AND('Root Data'!G263=Assumptions!C10,'Root Data'!J263=Assumptions!C18,'Root Data'!N263="PASS"),1,0)</x:f>
        <x:v>1</x:v>
      </x:c>
      <x:c r="F731" s="21" t="n">
        <x:v>1</x:v>
      </x:c>
      <x:c r="G731" s="23" t="str">
        <x:f>IF(E731=F731,"PASS","FAIL")</x:f>
        <x:v>PASS</x:v>
      </x:c>
    </x:row>
    <x:row r="732">
      <x:c r="B732" s="21" t="str">
        <x:v>A00726</x:v>
      </x:c>
      <x:c r="C732" s="21" t="str">
        <x:v>root</x:v>
      </x:c>
      <x:c r="D732" s="21" t="str">
        <x:v>F22-I2-C data constitution</x:v>
      </x:c>
      <x:c r="E732" s="21" t="n">
        <x:f>IF(AND('Root Data'!G264=Assumptions!C10,'Root Data'!J264=Assumptions!C18,'Root Data'!N264="PASS"),1,0)</x:f>
        <x:v>1</x:v>
      </x:c>
      <x:c r="F732" s="21" t="n">
        <x:v>1</x:v>
      </x:c>
      <x:c r="G732" s="23" t="str">
        <x:f>IF(E732=F732,"PASS","FAIL")</x:f>
        <x:v>PASS</x:v>
      </x:c>
    </x:row>
    <x:row r="733">
      <x:c r="B733" s="21" t="str">
        <x:v>A00727</x:v>
      </x:c>
      <x:c r="C733" s="21" t="str">
        <x:v>root</x:v>
      </x:c>
      <x:c r="D733" s="21" t="str">
        <x:v>F22-I3-A data constitution</x:v>
      </x:c>
      <x:c r="E733" s="21" t="n">
        <x:f>IF(AND('Root Data'!G265=Assumptions!C10,'Root Data'!J265=Assumptions!C18,'Root Data'!N265="PASS"),1,0)</x:f>
        <x:v>1</x:v>
      </x:c>
      <x:c r="F733" s="21" t="n">
        <x:v>1</x:v>
      </x:c>
      <x:c r="G733" s="23" t="str">
        <x:f>IF(E733=F733,"PASS","FAIL")</x:f>
        <x:v>PASS</x:v>
      </x:c>
    </x:row>
    <x:row r="734">
      <x:c r="B734" s="21" t="str">
        <x:v>A00728</x:v>
      </x:c>
      <x:c r="C734" s="21" t="str">
        <x:v>root</x:v>
      </x:c>
      <x:c r="D734" s="21" t="str">
        <x:v>F22-I3-B data constitution</x:v>
      </x:c>
      <x:c r="E734" s="21" t="n">
        <x:f>IF(AND('Root Data'!G266=Assumptions!C10,'Root Data'!J266=Assumptions!C18,'Root Data'!N266="PASS"),1,0)</x:f>
        <x:v>1</x:v>
      </x:c>
      <x:c r="F734" s="21" t="n">
        <x:v>1</x:v>
      </x:c>
      <x:c r="G734" s="23" t="str">
        <x:f>IF(E734=F734,"PASS","FAIL")</x:f>
        <x:v>PASS</x:v>
      </x:c>
    </x:row>
    <x:row r="735">
      <x:c r="B735" s="21" t="str">
        <x:v>A00729</x:v>
      </x:c>
      <x:c r="C735" s="21" t="str">
        <x:v>root</x:v>
      </x:c>
      <x:c r="D735" s="21" t="str">
        <x:v>F22-I3-C data constitution</x:v>
      </x:c>
      <x:c r="E735" s="21" t="n">
        <x:f>IF(AND('Root Data'!G267=Assumptions!C10,'Root Data'!J267=Assumptions!C18,'Root Data'!N267="PASS"),1,0)</x:f>
        <x:v>1</x:v>
      </x:c>
      <x:c r="F735" s="21" t="n">
        <x:v>1</x:v>
      </x:c>
      <x:c r="G735" s="23" t="str">
        <x:f>IF(E735=F735,"PASS","FAIL")</x:f>
        <x:v>PASS</x:v>
      </x:c>
    </x:row>
    <x:row r="736">
      <x:c r="B736" s="21" t="str">
        <x:v>A00730</x:v>
      </x:c>
      <x:c r="C736" s="21" t="str">
        <x:v>root</x:v>
      </x:c>
      <x:c r="D736" s="21" t="str">
        <x:v>F22-I4-A data constitution</x:v>
      </x:c>
      <x:c r="E736" s="21" t="n">
        <x:f>IF(AND('Root Data'!G268=Assumptions!C10,'Root Data'!J268=Assumptions!C18,'Root Data'!N268="PASS"),1,0)</x:f>
        <x:v>1</x:v>
      </x:c>
      <x:c r="F736" s="21" t="n">
        <x:v>1</x:v>
      </x:c>
      <x:c r="G736" s="23" t="str">
        <x:f>IF(E736=F736,"PASS","FAIL")</x:f>
        <x:v>PASS</x:v>
      </x:c>
    </x:row>
    <x:row r="737">
      <x:c r="B737" s="21" t="str">
        <x:v>A00731</x:v>
      </x:c>
      <x:c r="C737" s="21" t="str">
        <x:v>root</x:v>
      </x:c>
      <x:c r="D737" s="21" t="str">
        <x:v>F22-I4-B data constitution</x:v>
      </x:c>
      <x:c r="E737" s="21" t="n">
        <x:f>IF(AND('Root Data'!G269=Assumptions!C10,'Root Data'!J269=Assumptions!C18,'Root Data'!N269="PASS"),1,0)</x:f>
        <x:v>1</x:v>
      </x:c>
      <x:c r="F737" s="21" t="n">
        <x:v>1</x:v>
      </x:c>
      <x:c r="G737" s="23" t="str">
        <x:f>IF(E737=F737,"PASS","FAIL")</x:f>
        <x:v>PASS</x:v>
      </x:c>
    </x:row>
    <x:row r="738">
      <x:c r="B738" s="21" t="str">
        <x:v>A00732</x:v>
      </x:c>
      <x:c r="C738" s="21" t="str">
        <x:v>root</x:v>
      </x:c>
      <x:c r="D738" s="21" t="str">
        <x:v>F22-I4-C data constitution</x:v>
      </x:c>
      <x:c r="E738" s="21" t="n">
        <x:f>IF(AND('Root Data'!G270=Assumptions!C10,'Root Data'!J270=Assumptions!C18,'Root Data'!N270="PASS"),1,0)</x:f>
        <x:v>1</x:v>
      </x:c>
      <x:c r="F738" s="21" t="n">
        <x:v>1</x:v>
      </x:c>
      <x:c r="G738" s="23" t="str">
        <x:f>IF(E738=F738,"PASS","FAIL")</x:f>
        <x:v>PASS</x:v>
      </x:c>
    </x:row>
    <x:row r="739">
      <x:c r="B739" s="21" t="str">
        <x:v>A00733</x:v>
      </x:c>
      <x:c r="C739" s="21" t="str">
        <x:v>root</x:v>
      </x:c>
      <x:c r="D739" s="21" t="str">
        <x:v>F23-I1-A data constitution</x:v>
      </x:c>
      <x:c r="E739" s="21" t="n">
        <x:f>IF(AND('Root Data'!G271=Assumptions!C10,'Root Data'!J271=Assumptions!C18,'Root Data'!N271="PASS"),1,0)</x:f>
        <x:v>1</x:v>
      </x:c>
      <x:c r="F739" s="21" t="n">
        <x:v>1</x:v>
      </x:c>
      <x:c r="G739" s="23" t="str">
        <x:f>IF(E739=F739,"PASS","FAIL")</x:f>
        <x:v>PASS</x:v>
      </x:c>
    </x:row>
    <x:row r="740">
      <x:c r="B740" s="21" t="str">
        <x:v>A00734</x:v>
      </x:c>
      <x:c r="C740" s="21" t="str">
        <x:v>root</x:v>
      </x:c>
      <x:c r="D740" s="21" t="str">
        <x:v>F23-I1-B data constitution</x:v>
      </x:c>
      <x:c r="E740" s="21" t="n">
        <x:f>IF(AND('Root Data'!G272=Assumptions!C10,'Root Data'!J272=Assumptions!C18,'Root Data'!N272="PASS"),1,0)</x:f>
        <x:v>1</x:v>
      </x:c>
      <x:c r="F740" s="21" t="n">
        <x:v>1</x:v>
      </x:c>
      <x:c r="G740" s="23" t="str">
        <x:f>IF(E740=F740,"PASS","FAIL")</x:f>
        <x:v>PASS</x:v>
      </x:c>
    </x:row>
    <x:row r="741">
      <x:c r="B741" s="21" t="str">
        <x:v>A00735</x:v>
      </x:c>
      <x:c r="C741" s="21" t="str">
        <x:v>root</x:v>
      </x:c>
      <x:c r="D741" s="21" t="str">
        <x:v>F23-I1-C data constitution</x:v>
      </x:c>
      <x:c r="E741" s="21" t="n">
        <x:f>IF(AND('Root Data'!G273=Assumptions!C10,'Root Data'!J273=Assumptions!C18,'Root Data'!N273="PASS"),1,0)</x:f>
        <x:v>1</x:v>
      </x:c>
      <x:c r="F741" s="21" t="n">
        <x:v>1</x:v>
      </x:c>
      <x:c r="G741" s="23" t="str">
        <x:f>IF(E741=F741,"PASS","FAIL")</x:f>
        <x:v>PASS</x:v>
      </x:c>
    </x:row>
    <x:row r="742">
      <x:c r="B742" s="21" t="str">
        <x:v>A00736</x:v>
      </x:c>
      <x:c r="C742" s="21" t="str">
        <x:v>root</x:v>
      </x:c>
      <x:c r="D742" s="21" t="str">
        <x:v>F23-I2-A data constitution</x:v>
      </x:c>
      <x:c r="E742" s="21" t="n">
        <x:f>IF(AND('Root Data'!G274=Assumptions!C10,'Root Data'!J274=Assumptions!C18,'Root Data'!N274="PASS"),1,0)</x:f>
        <x:v>1</x:v>
      </x:c>
      <x:c r="F742" s="21" t="n">
        <x:v>1</x:v>
      </x:c>
      <x:c r="G742" s="23" t="str">
        <x:f>IF(E742=F742,"PASS","FAIL")</x:f>
        <x:v>PASS</x:v>
      </x:c>
    </x:row>
    <x:row r="743">
      <x:c r="B743" s="21" t="str">
        <x:v>A00737</x:v>
      </x:c>
      <x:c r="C743" s="21" t="str">
        <x:v>root</x:v>
      </x:c>
      <x:c r="D743" s="21" t="str">
        <x:v>F23-I2-B data constitution</x:v>
      </x:c>
      <x:c r="E743" s="21" t="n">
        <x:f>IF(AND('Root Data'!G275=Assumptions!C10,'Root Data'!J275=Assumptions!C18,'Root Data'!N275="PASS"),1,0)</x:f>
        <x:v>1</x:v>
      </x:c>
      <x:c r="F743" s="21" t="n">
        <x:v>1</x:v>
      </x:c>
      <x:c r="G743" s="23" t="str">
        <x:f>IF(E743=F743,"PASS","FAIL")</x:f>
        <x:v>PASS</x:v>
      </x:c>
    </x:row>
    <x:row r="744">
      <x:c r="B744" s="21" t="str">
        <x:v>A00738</x:v>
      </x:c>
      <x:c r="C744" s="21" t="str">
        <x:v>root</x:v>
      </x:c>
      <x:c r="D744" s="21" t="str">
        <x:v>F23-I2-C data constitution</x:v>
      </x:c>
      <x:c r="E744" s="21" t="n">
        <x:f>IF(AND('Root Data'!G276=Assumptions!C10,'Root Data'!J276=Assumptions!C18,'Root Data'!N276="PASS"),1,0)</x:f>
        <x:v>1</x:v>
      </x:c>
      <x:c r="F744" s="21" t="n">
        <x:v>1</x:v>
      </x:c>
      <x:c r="G744" s="23" t="str">
        <x:f>IF(E744=F744,"PASS","FAIL")</x:f>
        <x:v>PASS</x:v>
      </x:c>
    </x:row>
    <x:row r="745">
      <x:c r="B745" s="21" t="str">
        <x:v>A00739</x:v>
      </x:c>
      <x:c r="C745" s="21" t="str">
        <x:v>root</x:v>
      </x:c>
      <x:c r="D745" s="21" t="str">
        <x:v>F23-I3-A data constitution</x:v>
      </x:c>
      <x:c r="E745" s="21" t="n">
        <x:f>IF(AND('Root Data'!G277=Assumptions!C10,'Root Data'!J277=Assumptions!C18,'Root Data'!N277="PASS"),1,0)</x:f>
        <x:v>1</x:v>
      </x:c>
      <x:c r="F745" s="21" t="n">
        <x:v>1</x:v>
      </x:c>
      <x:c r="G745" s="23" t="str">
        <x:f>IF(E745=F745,"PASS","FAIL")</x:f>
        <x:v>PASS</x:v>
      </x:c>
    </x:row>
    <x:row r="746">
      <x:c r="B746" s="21" t="str">
        <x:v>A00740</x:v>
      </x:c>
      <x:c r="C746" s="21" t="str">
        <x:v>root</x:v>
      </x:c>
      <x:c r="D746" s="21" t="str">
        <x:v>F23-I3-B data constitution</x:v>
      </x:c>
      <x:c r="E746" s="21" t="n">
        <x:f>IF(AND('Root Data'!G278=Assumptions!C10,'Root Data'!J278=Assumptions!C18,'Root Data'!N278="PASS"),1,0)</x:f>
        <x:v>1</x:v>
      </x:c>
      <x:c r="F746" s="21" t="n">
        <x:v>1</x:v>
      </x:c>
      <x:c r="G746" s="23" t="str">
        <x:f>IF(E746=F746,"PASS","FAIL")</x:f>
        <x:v>PASS</x:v>
      </x:c>
    </x:row>
    <x:row r="747">
      <x:c r="B747" s="21" t="str">
        <x:v>A00741</x:v>
      </x:c>
      <x:c r="C747" s="21" t="str">
        <x:v>root</x:v>
      </x:c>
      <x:c r="D747" s="21" t="str">
        <x:v>F23-I3-C data constitution</x:v>
      </x:c>
      <x:c r="E747" s="21" t="n">
        <x:f>IF(AND('Root Data'!G279=Assumptions!C10,'Root Data'!J279=Assumptions!C18,'Root Data'!N279="PASS"),1,0)</x:f>
        <x:v>1</x:v>
      </x:c>
      <x:c r="F747" s="21" t="n">
        <x:v>1</x:v>
      </x:c>
      <x:c r="G747" s="23" t="str">
        <x:f>IF(E747=F747,"PASS","FAIL")</x:f>
        <x:v>PASS</x:v>
      </x:c>
    </x:row>
    <x:row r="748">
      <x:c r="B748" s="21" t="str">
        <x:v>A00742</x:v>
      </x:c>
      <x:c r="C748" s="21" t="str">
        <x:v>root</x:v>
      </x:c>
      <x:c r="D748" s="21" t="str">
        <x:v>F23-I4-A data constitution</x:v>
      </x:c>
      <x:c r="E748" s="21" t="n">
        <x:f>IF(AND('Root Data'!G280=Assumptions!C10,'Root Data'!J280=Assumptions!C18,'Root Data'!N280="PASS"),1,0)</x:f>
        <x:v>1</x:v>
      </x:c>
      <x:c r="F748" s="21" t="n">
        <x:v>1</x:v>
      </x:c>
      <x:c r="G748" s="23" t="str">
        <x:f>IF(E748=F748,"PASS","FAIL")</x:f>
        <x:v>PASS</x:v>
      </x:c>
    </x:row>
    <x:row r="749">
      <x:c r="B749" s="21" t="str">
        <x:v>A00743</x:v>
      </x:c>
      <x:c r="C749" s="21" t="str">
        <x:v>root</x:v>
      </x:c>
      <x:c r="D749" s="21" t="str">
        <x:v>F23-I4-B data constitution</x:v>
      </x:c>
      <x:c r="E749" s="21" t="n">
        <x:f>IF(AND('Root Data'!G281=Assumptions!C10,'Root Data'!J281=Assumptions!C18,'Root Data'!N281="PASS"),1,0)</x:f>
        <x:v>1</x:v>
      </x:c>
      <x:c r="F749" s="21" t="n">
        <x:v>1</x:v>
      </x:c>
      <x:c r="G749" s="23" t="str">
        <x:f>IF(E749=F749,"PASS","FAIL")</x:f>
        <x:v>PASS</x:v>
      </x:c>
    </x:row>
    <x:row r="750">
      <x:c r="B750" s="21" t="str">
        <x:v>A00744</x:v>
      </x:c>
      <x:c r="C750" s="21" t="str">
        <x:v>root</x:v>
      </x:c>
      <x:c r="D750" s="21" t="str">
        <x:v>F23-I4-C data constitution</x:v>
      </x:c>
      <x:c r="E750" s="21" t="n">
        <x:f>IF(AND('Root Data'!G282=Assumptions!C10,'Root Data'!J282=Assumptions!C18,'Root Data'!N282="PASS"),1,0)</x:f>
        <x:v>1</x:v>
      </x:c>
      <x:c r="F750" s="21" t="n">
        <x:v>1</x:v>
      </x:c>
      <x:c r="G750" s="23" t="str">
        <x:f>IF(E750=F750,"PASS","FAIL")</x:f>
        <x:v>PASS</x:v>
      </x:c>
    </x:row>
    <x:row r="751">
      <x:c r="B751" s="21" t="str">
        <x:v>A00745</x:v>
      </x:c>
      <x:c r="C751" s="21" t="str">
        <x:v>root</x:v>
      </x:c>
      <x:c r="D751" s="21" t="str">
        <x:v>F24-I1-A data constitution</x:v>
      </x:c>
      <x:c r="E751" s="21" t="n">
        <x:f>IF(AND('Root Data'!G283=Assumptions!C10,'Root Data'!J283=Assumptions!C18,'Root Data'!N283="PASS"),1,0)</x:f>
        <x:v>1</x:v>
      </x:c>
      <x:c r="F751" s="21" t="n">
        <x:v>1</x:v>
      </x:c>
      <x:c r="G751" s="23" t="str">
        <x:f>IF(E751=F751,"PASS","FAIL")</x:f>
        <x:v>PASS</x:v>
      </x:c>
    </x:row>
    <x:row r="752">
      <x:c r="B752" s="21" t="str">
        <x:v>A00746</x:v>
      </x:c>
      <x:c r="C752" s="21" t="str">
        <x:v>root</x:v>
      </x:c>
      <x:c r="D752" s="21" t="str">
        <x:v>F24-I1-B data constitution</x:v>
      </x:c>
      <x:c r="E752" s="21" t="n">
        <x:f>IF(AND('Root Data'!G284=Assumptions!C10,'Root Data'!J284=Assumptions!C18,'Root Data'!N284="PASS"),1,0)</x:f>
        <x:v>1</x:v>
      </x:c>
      <x:c r="F752" s="21" t="n">
        <x:v>1</x:v>
      </x:c>
      <x:c r="G752" s="23" t="str">
        <x:f>IF(E752=F752,"PASS","FAIL")</x:f>
        <x:v>PASS</x:v>
      </x:c>
    </x:row>
    <x:row r="753">
      <x:c r="B753" s="21" t="str">
        <x:v>A00747</x:v>
      </x:c>
      <x:c r="C753" s="21" t="str">
        <x:v>root</x:v>
      </x:c>
      <x:c r="D753" s="21" t="str">
        <x:v>F24-I1-C data constitution</x:v>
      </x:c>
      <x:c r="E753" s="21" t="n">
        <x:f>IF(AND('Root Data'!G285=Assumptions!C10,'Root Data'!J285=Assumptions!C18,'Root Data'!N285="PASS"),1,0)</x:f>
        <x:v>1</x:v>
      </x:c>
      <x:c r="F753" s="21" t="n">
        <x:v>1</x:v>
      </x:c>
      <x:c r="G753" s="23" t="str">
        <x:f>IF(E753=F753,"PASS","FAIL")</x:f>
        <x:v>PASS</x:v>
      </x:c>
    </x:row>
    <x:row r="754">
      <x:c r="B754" s="21" t="str">
        <x:v>A00748</x:v>
      </x:c>
      <x:c r="C754" s="21" t="str">
        <x:v>root</x:v>
      </x:c>
      <x:c r="D754" s="21" t="str">
        <x:v>F24-I2-A data constitution</x:v>
      </x:c>
      <x:c r="E754" s="21" t="n">
        <x:f>IF(AND('Root Data'!G286=Assumptions!C10,'Root Data'!J286=Assumptions!C18,'Root Data'!N286="PASS"),1,0)</x:f>
        <x:v>1</x:v>
      </x:c>
      <x:c r="F754" s="21" t="n">
        <x:v>1</x:v>
      </x:c>
      <x:c r="G754" s="23" t="str">
        <x:f>IF(E754=F754,"PASS","FAIL")</x:f>
        <x:v>PASS</x:v>
      </x:c>
    </x:row>
    <x:row r="755">
      <x:c r="B755" s="21" t="str">
        <x:v>A00749</x:v>
      </x:c>
      <x:c r="C755" s="21" t="str">
        <x:v>root</x:v>
      </x:c>
      <x:c r="D755" s="21" t="str">
        <x:v>F24-I2-B data constitution</x:v>
      </x:c>
      <x:c r="E755" s="21" t="n">
        <x:f>IF(AND('Root Data'!G287=Assumptions!C10,'Root Data'!J287=Assumptions!C18,'Root Data'!N287="PASS"),1,0)</x:f>
        <x:v>1</x:v>
      </x:c>
      <x:c r="F755" s="21" t="n">
        <x:v>1</x:v>
      </x:c>
      <x:c r="G755" s="23" t="str">
        <x:f>IF(E755=F755,"PASS","FAIL")</x:f>
        <x:v>PASS</x:v>
      </x:c>
    </x:row>
    <x:row r="756">
      <x:c r="B756" s="21" t="str">
        <x:v>A00750</x:v>
      </x:c>
      <x:c r="C756" s="21" t="str">
        <x:v>root</x:v>
      </x:c>
      <x:c r="D756" s="21" t="str">
        <x:v>F24-I2-C data constitution</x:v>
      </x:c>
      <x:c r="E756" s="21" t="n">
        <x:f>IF(AND('Root Data'!G288=Assumptions!C10,'Root Data'!J288=Assumptions!C18,'Root Data'!N288="PASS"),1,0)</x:f>
        <x:v>1</x:v>
      </x:c>
      <x:c r="F756" s="21" t="n">
        <x:v>1</x:v>
      </x:c>
      <x:c r="G756" s="23" t="str">
        <x:f>IF(E756=F756,"PASS","FAIL")</x:f>
        <x:v>PASS</x:v>
      </x:c>
    </x:row>
    <x:row r="757">
      <x:c r="B757" s="21" t="str">
        <x:v>A00751</x:v>
      </x:c>
      <x:c r="C757" s="21" t="str">
        <x:v>root</x:v>
      </x:c>
      <x:c r="D757" s="21" t="str">
        <x:v>F24-I3-A data constitution</x:v>
      </x:c>
      <x:c r="E757" s="21" t="n">
        <x:f>IF(AND('Root Data'!G289=Assumptions!C10,'Root Data'!J289=Assumptions!C18,'Root Data'!N289="PASS"),1,0)</x:f>
        <x:v>1</x:v>
      </x:c>
      <x:c r="F757" s="21" t="n">
        <x:v>1</x:v>
      </x:c>
      <x:c r="G757" s="23" t="str">
        <x:f>IF(E757=F757,"PASS","FAIL")</x:f>
        <x:v>PASS</x:v>
      </x:c>
    </x:row>
    <x:row r="758">
      <x:c r="B758" s="21" t="str">
        <x:v>A00752</x:v>
      </x:c>
      <x:c r="C758" s="21" t="str">
        <x:v>root</x:v>
      </x:c>
      <x:c r="D758" s="21" t="str">
        <x:v>F24-I3-B data constitution</x:v>
      </x:c>
      <x:c r="E758" s="21" t="n">
        <x:f>IF(AND('Root Data'!G290=Assumptions!C10,'Root Data'!J290=Assumptions!C18,'Root Data'!N290="PASS"),1,0)</x:f>
        <x:v>1</x:v>
      </x:c>
      <x:c r="F758" s="21" t="n">
        <x:v>1</x:v>
      </x:c>
      <x:c r="G758" s="23" t="str">
        <x:f>IF(E758=F758,"PASS","FAIL")</x:f>
        <x:v>PASS</x:v>
      </x:c>
    </x:row>
    <x:row r="759">
      <x:c r="B759" s="21" t="str">
        <x:v>A00753</x:v>
      </x:c>
      <x:c r="C759" s="21" t="str">
        <x:v>root</x:v>
      </x:c>
      <x:c r="D759" s="21" t="str">
        <x:v>F24-I3-C data constitution</x:v>
      </x:c>
      <x:c r="E759" s="21" t="n">
        <x:f>IF(AND('Root Data'!G291=Assumptions!C10,'Root Data'!J291=Assumptions!C18,'Root Data'!N291="PASS"),1,0)</x:f>
        <x:v>1</x:v>
      </x:c>
      <x:c r="F759" s="21" t="n">
        <x:v>1</x:v>
      </x:c>
      <x:c r="G759" s="23" t="str">
        <x:f>IF(E759=F759,"PASS","FAIL")</x:f>
        <x:v>PASS</x:v>
      </x:c>
    </x:row>
    <x:row r="760">
      <x:c r="B760" s="21" t="str">
        <x:v>A00754</x:v>
      </x:c>
      <x:c r="C760" s="21" t="str">
        <x:v>root</x:v>
      </x:c>
      <x:c r="D760" s="21" t="str">
        <x:v>F24-I4-A data constitution</x:v>
      </x:c>
      <x:c r="E760" s="21" t="n">
        <x:f>IF(AND('Root Data'!G292=Assumptions!C10,'Root Data'!J292=Assumptions!C18,'Root Data'!N292="PASS"),1,0)</x:f>
        <x:v>1</x:v>
      </x:c>
      <x:c r="F760" s="21" t="n">
        <x:v>1</x:v>
      </x:c>
      <x:c r="G760" s="23" t="str">
        <x:f>IF(E760=F760,"PASS","FAIL")</x:f>
        <x:v>PASS</x:v>
      </x:c>
    </x:row>
    <x:row r="761">
      <x:c r="B761" s="21" t="str">
        <x:v>A00755</x:v>
      </x:c>
      <x:c r="C761" s="21" t="str">
        <x:v>root</x:v>
      </x:c>
      <x:c r="D761" s="21" t="str">
        <x:v>F24-I4-B data constitution</x:v>
      </x:c>
      <x:c r="E761" s="21" t="n">
        <x:f>IF(AND('Root Data'!G293=Assumptions!C10,'Root Data'!J293=Assumptions!C18,'Root Data'!N293="PASS"),1,0)</x:f>
        <x:v>1</x:v>
      </x:c>
      <x:c r="F761" s="21" t="n">
        <x:v>1</x:v>
      </x:c>
      <x:c r="G761" s="23" t="str">
        <x:f>IF(E761=F761,"PASS","FAIL")</x:f>
        <x:v>PASS</x:v>
      </x:c>
    </x:row>
    <x:row r="762">
      <x:c r="B762" s="21" t="str">
        <x:v>A00756</x:v>
      </x:c>
      <x:c r="C762" s="21" t="str">
        <x:v>root</x:v>
      </x:c>
      <x:c r="D762" s="21" t="str">
        <x:v>F24-I4-C data constitution</x:v>
      </x:c>
      <x:c r="E762" s="21" t="n">
        <x:f>IF(AND('Root Data'!G294=Assumptions!C10,'Root Data'!J294=Assumptions!C18,'Root Data'!N294="PASS"),1,0)</x:f>
        <x:v>1</x:v>
      </x:c>
      <x:c r="F762" s="21" t="n">
        <x:v>1</x:v>
      </x:c>
      <x:c r="G762" s="23" t="str">
        <x:f>IF(E762=F762,"PASS","FAIL")</x:f>
        <x:v>PASS</x:v>
      </x:c>
    </x:row>
    <x:row r="763">
      <x:c r="B763" s="21" t="str">
        <x:v>A00757</x:v>
      </x:c>
      <x:c r="C763" s="21" t="str">
        <x:v>root</x:v>
      </x:c>
      <x:c r="D763" s="21" t="str">
        <x:v>F25-I1-A data constitution</x:v>
      </x:c>
      <x:c r="E763" s="21" t="n">
        <x:f>IF(AND('Root Data'!G295=Assumptions!C10,'Root Data'!J295=Assumptions!C18,'Root Data'!N295="PASS"),1,0)</x:f>
        <x:v>1</x:v>
      </x:c>
      <x:c r="F763" s="21" t="n">
        <x:v>1</x:v>
      </x:c>
      <x:c r="G763" s="23" t="str">
        <x:f>IF(E763=F763,"PASS","FAIL")</x:f>
        <x:v>PASS</x:v>
      </x:c>
    </x:row>
    <x:row r="764">
      <x:c r="B764" s="21" t="str">
        <x:v>A00758</x:v>
      </x:c>
      <x:c r="C764" s="21" t="str">
        <x:v>root</x:v>
      </x:c>
      <x:c r="D764" s="21" t="str">
        <x:v>F25-I1-B data constitution</x:v>
      </x:c>
      <x:c r="E764" s="21" t="n">
        <x:f>IF(AND('Root Data'!G296=Assumptions!C10,'Root Data'!J296=Assumptions!C18,'Root Data'!N296="PASS"),1,0)</x:f>
        <x:v>1</x:v>
      </x:c>
      <x:c r="F764" s="21" t="n">
        <x:v>1</x:v>
      </x:c>
      <x:c r="G764" s="23" t="str">
        <x:f>IF(E764=F764,"PASS","FAIL")</x:f>
        <x:v>PASS</x:v>
      </x:c>
    </x:row>
    <x:row r="765">
      <x:c r="B765" s="21" t="str">
        <x:v>A00759</x:v>
      </x:c>
      <x:c r="C765" s="21" t="str">
        <x:v>root</x:v>
      </x:c>
      <x:c r="D765" s="21" t="str">
        <x:v>F25-I1-C data constitution</x:v>
      </x:c>
      <x:c r="E765" s="21" t="n">
        <x:f>IF(AND('Root Data'!G297=Assumptions!C10,'Root Data'!J297=Assumptions!C18,'Root Data'!N297="PASS"),1,0)</x:f>
        <x:v>1</x:v>
      </x:c>
      <x:c r="F765" s="21" t="n">
        <x:v>1</x:v>
      </x:c>
      <x:c r="G765" s="23" t="str">
        <x:f>IF(E765=F765,"PASS","FAIL")</x:f>
        <x:v>PASS</x:v>
      </x:c>
    </x:row>
    <x:row r="766">
      <x:c r="B766" s="21" t="str">
        <x:v>A00760</x:v>
      </x:c>
      <x:c r="C766" s="21" t="str">
        <x:v>root</x:v>
      </x:c>
      <x:c r="D766" s="21" t="str">
        <x:v>F25-I2-A data constitution</x:v>
      </x:c>
      <x:c r="E766" s="21" t="n">
        <x:f>IF(AND('Root Data'!G298=Assumptions!C10,'Root Data'!J298=Assumptions!C18,'Root Data'!N298="PASS"),1,0)</x:f>
        <x:v>1</x:v>
      </x:c>
      <x:c r="F766" s="21" t="n">
        <x:v>1</x:v>
      </x:c>
      <x:c r="G766" s="23" t="str">
        <x:f>IF(E766=F766,"PASS","FAIL")</x:f>
        <x:v>PASS</x:v>
      </x:c>
    </x:row>
    <x:row r="767">
      <x:c r="B767" s="21" t="str">
        <x:v>A00761</x:v>
      </x:c>
      <x:c r="C767" s="21" t="str">
        <x:v>root</x:v>
      </x:c>
      <x:c r="D767" s="21" t="str">
        <x:v>F25-I2-B data constitution</x:v>
      </x:c>
      <x:c r="E767" s="21" t="n">
        <x:f>IF(AND('Root Data'!G299=Assumptions!C10,'Root Data'!J299=Assumptions!C18,'Root Data'!N299="PASS"),1,0)</x:f>
        <x:v>1</x:v>
      </x:c>
      <x:c r="F767" s="21" t="n">
        <x:v>1</x:v>
      </x:c>
      <x:c r="G767" s="23" t="str">
        <x:f>IF(E767=F767,"PASS","FAIL")</x:f>
        <x:v>PASS</x:v>
      </x:c>
    </x:row>
    <x:row r="768">
      <x:c r="B768" s="21" t="str">
        <x:v>A00762</x:v>
      </x:c>
      <x:c r="C768" s="21" t="str">
        <x:v>root</x:v>
      </x:c>
      <x:c r="D768" s="21" t="str">
        <x:v>F25-I2-C data constitution</x:v>
      </x:c>
      <x:c r="E768" s="21" t="n">
        <x:f>IF(AND('Root Data'!G300=Assumptions!C10,'Root Data'!J300=Assumptions!C18,'Root Data'!N300="PASS"),1,0)</x:f>
        <x:v>1</x:v>
      </x:c>
      <x:c r="F768" s="21" t="n">
        <x:v>1</x:v>
      </x:c>
      <x:c r="G768" s="23" t="str">
        <x:f>IF(E768=F768,"PASS","FAIL")</x:f>
        <x:v>PASS</x:v>
      </x:c>
    </x:row>
    <x:row r="769">
      <x:c r="B769" s="21" t="str">
        <x:v>A00763</x:v>
      </x:c>
      <x:c r="C769" s="21" t="str">
        <x:v>root</x:v>
      </x:c>
      <x:c r="D769" s="21" t="str">
        <x:v>F25-I3-A data constitution</x:v>
      </x:c>
      <x:c r="E769" s="21" t="n">
        <x:f>IF(AND('Root Data'!G301=Assumptions!C10,'Root Data'!J301=Assumptions!C18,'Root Data'!N301="PASS"),1,0)</x:f>
        <x:v>1</x:v>
      </x:c>
      <x:c r="F769" s="21" t="n">
        <x:v>1</x:v>
      </x:c>
      <x:c r="G769" s="23" t="str">
        <x:f>IF(E769=F769,"PASS","FAIL")</x:f>
        <x:v>PASS</x:v>
      </x:c>
    </x:row>
    <x:row r="770">
      <x:c r="B770" s="21" t="str">
        <x:v>A00764</x:v>
      </x:c>
      <x:c r="C770" s="21" t="str">
        <x:v>root</x:v>
      </x:c>
      <x:c r="D770" s="21" t="str">
        <x:v>F25-I3-B data constitution</x:v>
      </x:c>
      <x:c r="E770" s="21" t="n">
        <x:f>IF(AND('Root Data'!G302=Assumptions!C10,'Root Data'!J302=Assumptions!C18,'Root Data'!N302="PASS"),1,0)</x:f>
        <x:v>1</x:v>
      </x:c>
      <x:c r="F770" s="21" t="n">
        <x:v>1</x:v>
      </x:c>
      <x:c r="G770" s="23" t="str">
        <x:f>IF(E770=F770,"PASS","FAIL")</x:f>
        <x:v>PASS</x:v>
      </x:c>
    </x:row>
    <x:row r="771">
      <x:c r="B771" s="21" t="str">
        <x:v>A00765</x:v>
      </x:c>
      <x:c r="C771" s="21" t="str">
        <x:v>root</x:v>
      </x:c>
      <x:c r="D771" s="21" t="str">
        <x:v>F25-I3-C data constitution</x:v>
      </x:c>
      <x:c r="E771" s="21" t="n">
        <x:f>IF(AND('Root Data'!G303=Assumptions!C10,'Root Data'!J303=Assumptions!C18,'Root Data'!N303="PASS"),1,0)</x:f>
        <x:v>1</x:v>
      </x:c>
      <x:c r="F771" s="21" t="n">
        <x:v>1</x:v>
      </x:c>
      <x:c r="G771" s="23" t="str">
        <x:f>IF(E771=F771,"PASS","FAIL")</x:f>
        <x:v>PASS</x:v>
      </x:c>
    </x:row>
    <x:row r="772">
      <x:c r="B772" s="21" t="str">
        <x:v>A00766</x:v>
      </x:c>
      <x:c r="C772" s="21" t="str">
        <x:v>root</x:v>
      </x:c>
      <x:c r="D772" s="21" t="str">
        <x:v>F25-I4-A data constitution</x:v>
      </x:c>
      <x:c r="E772" s="21" t="n">
        <x:f>IF(AND('Root Data'!G304=Assumptions!C10,'Root Data'!J304=Assumptions!C18,'Root Data'!N304="PASS"),1,0)</x:f>
        <x:v>1</x:v>
      </x:c>
      <x:c r="F772" s="21" t="n">
        <x:v>1</x:v>
      </x:c>
      <x:c r="G772" s="23" t="str">
        <x:f>IF(E772=F772,"PASS","FAIL")</x:f>
        <x:v>PASS</x:v>
      </x:c>
    </x:row>
    <x:row r="773">
      <x:c r="B773" s="21" t="str">
        <x:v>A00767</x:v>
      </x:c>
      <x:c r="C773" s="21" t="str">
        <x:v>root</x:v>
      </x:c>
      <x:c r="D773" s="21" t="str">
        <x:v>F25-I4-B data constitution</x:v>
      </x:c>
      <x:c r="E773" s="21" t="n">
        <x:f>IF(AND('Root Data'!G305=Assumptions!C10,'Root Data'!J305=Assumptions!C18,'Root Data'!N305="PASS"),1,0)</x:f>
        <x:v>1</x:v>
      </x:c>
      <x:c r="F773" s="21" t="n">
        <x:v>1</x:v>
      </x:c>
      <x:c r="G773" s="23" t="str">
        <x:f>IF(E773=F773,"PASS","FAIL")</x:f>
        <x:v>PASS</x:v>
      </x:c>
    </x:row>
    <x:row r="774">
      <x:c r="B774" s="21" t="str">
        <x:v>A00768</x:v>
      </x:c>
      <x:c r="C774" s="21" t="str">
        <x:v>root</x:v>
      </x:c>
      <x:c r="D774" s="21" t="str">
        <x:v>F25-I4-C data constitution</x:v>
      </x:c>
      <x:c r="E774" s="21" t="n">
        <x:f>IF(AND('Root Data'!G306=Assumptions!C10,'Root Data'!J306=Assumptions!C18,'Root Data'!N306="PASS"),1,0)</x:f>
        <x:v>1</x:v>
      </x:c>
      <x:c r="F774" s="21" t="n">
        <x:v>1</x:v>
      </x:c>
      <x:c r="G774" s="23" t="str">
        <x:f>IF(E774=F774,"PASS","FAIL")</x:f>
        <x:v>PASS</x:v>
      </x:c>
    </x:row>
    <x:row r="775">
      <x:c r="B775" s="21" t="str">
        <x:v>A00769</x:v>
      </x:c>
      <x:c r="C775" s="21" t="str">
        <x:v>root</x:v>
      </x:c>
      <x:c r="D775" s="21" t="str">
        <x:v>F26-I1-A data constitution</x:v>
      </x:c>
      <x:c r="E775" s="21" t="n">
        <x:f>IF(AND('Root Data'!G307=Assumptions!C10,'Root Data'!J307=Assumptions!C18,'Root Data'!N307="PASS"),1,0)</x:f>
        <x:v>1</x:v>
      </x:c>
      <x:c r="F775" s="21" t="n">
        <x:v>1</x:v>
      </x:c>
      <x:c r="G775" s="23" t="str">
        <x:f>IF(E775=F775,"PASS","FAIL")</x:f>
        <x:v>PASS</x:v>
      </x:c>
    </x:row>
    <x:row r="776">
      <x:c r="B776" s="21" t="str">
        <x:v>A00770</x:v>
      </x:c>
      <x:c r="C776" s="21" t="str">
        <x:v>root</x:v>
      </x:c>
      <x:c r="D776" s="21" t="str">
        <x:v>F26-I1-B data constitution</x:v>
      </x:c>
      <x:c r="E776" s="21" t="n">
        <x:f>IF(AND('Root Data'!G308=Assumptions!C10,'Root Data'!J308=Assumptions!C18,'Root Data'!N308="PASS"),1,0)</x:f>
        <x:v>1</x:v>
      </x:c>
      <x:c r="F776" s="21" t="n">
        <x:v>1</x:v>
      </x:c>
      <x:c r="G776" s="23" t="str">
        <x:f>IF(E776=F776,"PASS","FAIL")</x:f>
        <x:v>PASS</x:v>
      </x:c>
    </x:row>
    <x:row r="777">
      <x:c r="B777" s="21" t="str">
        <x:v>A00771</x:v>
      </x:c>
      <x:c r="C777" s="21" t="str">
        <x:v>root</x:v>
      </x:c>
      <x:c r="D777" s="21" t="str">
        <x:v>F26-I1-C data constitution</x:v>
      </x:c>
      <x:c r="E777" s="21" t="n">
        <x:f>IF(AND('Root Data'!G309=Assumptions!C10,'Root Data'!J309=Assumptions!C18,'Root Data'!N309="PASS"),1,0)</x:f>
        <x:v>1</x:v>
      </x:c>
      <x:c r="F777" s="21" t="n">
        <x:v>1</x:v>
      </x:c>
      <x:c r="G777" s="23" t="str">
        <x:f>IF(E777=F777,"PASS","FAIL")</x:f>
        <x:v>PASS</x:v>
      </x:c>
    </x:row>
    <x:row r="778">
      <x:c r="B778" s="21" t="str">
        <x:v>A00772</x:v>
      </x:c>
      <x:c r="C778" s="21" t="str">
        <x:v>root</x:v>
      </x:c>
      <x:c r="D778" s="21" t="str">
        <x:v>F26-I2-A data constitution</x:v>
      </x:c>
      <x:c r="E778" s="21" t="n">
        <x:f>IF(AND('Root Data'!G310=Assumptions!C10,'Root Data'!J310=Assumptions!C18,'Root Data'!N310="PASS"),1,0)</x:f>
        <x:v>1</x:v>
      </x:c>
      <x:c r="F778" s="21" t="n">
        <x:v>1</x:v>
      </x:c>
      <x:c r="G778" s="23" t="str">
        <x:f>IF(E778=F778,"PASS","FAIL")</x:f>
        <x:v>PASS</x:v>
      </x:c>
    </x:row>
    <x:row r="779">
      <x:c r="B779" s="21" t="str">
        <x:v>A00773</x:v>
      </x:c>
      <x:c r="C779" s="21" t="str">
        <x:v>root</x:v>
      </x:c>
      <x:c r="D779" s="21" t="str">
        <x:v>F26-I2-B data constitution</x:v>
      </x:c>
      <x:c r="E779" s="21" t="n">
        <x:f>IF(AND('Root Data'!G311=Assumptions!C10,'Root Data'!J311=Assumptions!C18,'Root Data'!N311="PASS"),1,0)</x:f>
        <x:v>1</x:v>
      </x:c>
      <x:c r="F779" s="21" t="n">
        <x:v>1</x:v>
      </x:c>
      <x:c r="G779" s="23" t="str">
        <x:f>IF(E779=F779,"PASS","FAIL")</x:f>
        <x:v>PASS</x:v>
      </x:c>
    </x:row>
    <x:row r="780">
      <x:c r="B780" s="21" t="str">
        <x:v>A00774</x:v>
      </x:c>
      <x:c r="C780" s="21" t="str">
        <x:v>root</x:v>
      </x:c>
      <x:c r="D780" s="21" t="str">
        <x:v>F26-I2-C data constitution</x:v>
      </x:c>
      <x:c r="E780" s="21" t="n">
        <x:f>IF(AND('Root Data'!G312=Assumptions!C10,'Root Data'!J312=Assumptions!C18,'Root Data'!N312="PASS"),1,0)</x:f>
        <x:v>1</x:v>
      </x:c>
      <x:c r="F780" s="21" t="n">
        <x:v>1</x:v>
      </x:c>
      <x:c r="G780" s="23" t="str">
        <x:f>IF(E780=F780,"PASS","FAIL")</x:f>
        <x:v>PASS</x:v>
      </x:c>
    </x:row>
    <x:row r="781">
      <x:c r="B781" s="21" t="str">
        <x:v>A00775</x:v>
      </x:c>
      <x:c r="C781" s="21" t="str">
        <x:v>root</x:v>
      </x:c>
      <x:c r="D781" s="21" t="str">
        <x:v>F26-I3-A data constitution</x:v>
      </x:c>
      <x:c r="E781" s="21" t="n">
        <x:f>IF(AND('Root Data'!G313=Assumptions!C10,'Root Data'!J313=Assumptions!C18,'Root Data'!N313="PASS"),1,0)</x:f>
        <x:v>1</x:v>
      </x:c>
      <x:c r="F781" s="21" t="n">
        <x:v>1</x:v>
      </x:c>
      <x:c r="G781" s="23" t="str">
        <x:f>IF(E781=F781,"PASS","FAIL")</x:f>
        <x:v>PASS</x:v>
      </x:c>
    </x:row>
    <x:row r="782">
      <x:c r="B782" s="21" t="str">
        <x:v>A00776</x:v>
      </x:c>
      <x:c r="C782" s="21" t="str">
        <x:v>root</x:v>
      </x:c>
      <x:c r="D782" s="21" t="str">
        <x:v>F26-I3-B data constitution</x:v>
      </x:c>
      <x:c r="E782" s="21" t="n">
        <x:f>IF(AND('Root Data'!G314=Assumptions!C10,'Root Data'!J314=Assumptions!C18,'Root Data'!N314="PASS"),1,0)</x:f>
        <x:v>1</x:v>
      </x:c>
      <x:c r="F782" s="21" t="n">
        <x:v>1</x:v>
      </x:c>
      <x:c r="G782" s="23" t="str">
        <x:f>IF(E782=F782,"PASS","FAIL")</x:f>
        <x:v>PASS</x:v>
      </x:c>
    </x:row>
    <x:row r="783">
      <x:c r="B783" s="21" t="str">
        <x:v>A00777</x:v>
      </x:c>
      <x:c r="C783" s="21" t="str">
        <x:v>root</x:v>
      </x:c>
      <x:c r="D783" s="21" t="str">
        <x:v>F26-I3-C data constitution</x:v>
      </x:c>
      <x:c r="E783" s="21" t="n">
        <x:f>IF(AND('Root Data'!G315=Assumptions!C10,'Root Data'!J315=Assumptions!C18,'Root Data'!N315="PASS"),1,0)</x:f>
        <x:v>1</x:v>
      </x:c>
      <x:c r="F783" s="21" t="n">
        <x:v>1</x:v>
      </x:c>
      <x:c r="G783" s="23" t="str">
        <x:f>IF(E783=F783,"PASS","FAIL")</x:f>
        <x:v>PASS</x:v>
      </x:c>
    </x:row>
    <x:row r="784">
      <x:c r="B784" s="21" t="str">
        <x:v>A00778</x:v>
      </x:c>
      <x:c r="C784" s="21" t="str">
        <x:v>root</x:v>
      </x:c>
      <x:c r="D784" s="21" t="str">
        <x:v>F26-I4-A data constitution</x:v>
      </x:c>
      <x:c r="E784" s="21" t="n">
        <x:f>IF(AND('Root Data'!G316=Assumptions!C10,'Root Data'!J316=Assumptions!C18,'Root Data'!N316="PASS"),1,0)</x:f>
        <x:v>1</x:v>
      </x:c>
      <x:c r="F784" s="21" t="n">
        <x:v>1</x:v>
      </x:c>
      <x:c r="G784" s="23" t="str">
        <x:f>IF(E784=F784,"PASS","FAIL")</x:f>
        <x:v>PASS</x:v>
      </x:c>
    </x:row>
    <x:row r="785">
      <x:c r="B785" s="21" t="str">
        <x:v>A00779</x:v>
      </x:c>
      <x:c r="C785" s="21" t="str">
        <x:v>root</x:v>
      </x:c>
      <x:c r="D785" s="21" t="str">
        <x:v>F26-I4-B data constitution</x:v>
      </x:c>
      <x:c r="E785" s="21" t="n">
        <x:f>IF(AND('Root Data'!G317=Assumptions!C10,'Root Data'!J317=Assumptions!C18,'Root Data'!N317="PASS"),1,0)</x:f>
        <x:v>1</x:v>
      </x:c>
      <x:c r="F785" s="21" t="n">
        <x:v>1</x:v>
      </x:c>
      <x:c r="G785" s="23" t="str">
        <x:f>IF(E785=F785,"PASS","FAIL")</x:f>
        <x:v>PASS</x:v>
      </x:c>
    </x:row>
    <x:row r="786">
      <x:c r="B786" s="21" t="str">
        <x:v>A00780</x:v>
      </x:c>
      <x:c r="C786" s="21" t="str">
        <x:v>root</x:v>
      </x:c>
      <x:c r="D786" s="21" t="str">
        <x:v>F26-I4-C data constitution</x:v>
      </x:c>
      <x:c r="E786" s="21" t="n">
        <x:f>IF(AND('Root Data'!G318=Assumptions!C10,'Root Data'!J318=Assumptions!C18,'Root Data'!N318="PASS"),1,0)</x:f>
        <x:v>1</x:v>
      </x:c>
      <x:c r="F786" s="21" t="n">
        <x:v>1</x:v>
      </x:c>
      <x:c r="G786" s="23" t="str">
        <x:f>IF(E786=F786,"PASS","FAIL")</x:f>
        <x:v>PASS</x:v>
      </x:c>
    </x:row>
    <x:row r="787">
      <x:c r="B787" s="21" t="str">
        <x:v>A00781</x:v>
      </x:c>
      <x:c r="C787" s="21" t="str">
        <x:v>root</x:v>
      </x:c>
      <x:c r="D787" s="21" t="str">
        <x:v>F27-I1-A data constitution</x:v>
      </x:c>
      <x:c r="E787" s="21" t="n">
        <x:f>IF(AND('Root Data'!G319=Assumptions!C10,'Root Data'!J319=Assumptions!C18,'Root Data'!N319="PASS"),1,0)</x:f>
        <x:v>1</x:v>
      </x:c>
      <x:c r="F787" s="21" t="n">
        <x:v>1</x:v>
      </x:c>
      <x:c r="G787" s="23" t="str">
        <x:f>IF(E787=F787,"PASS","FAIL")</x:f>
        <x:v>PASS</x:v>
      </x:c>
    </x:row>
    <x:row r="788">
      <x:c r="B788" s="21" t="str">
        <x:v>A00782</x:v>
      </x:c>
      <x:c r="C788" s="21" t="str">
        <x:v>root</x:v>
      </x:c>
      <x:c r="D788" s="21" t="str">
        <x:v>F27-I1-B data constitution</x:v>
      </x:c>
      <x:c r="E788" s="21" t="n">
        <x:f>IF(AND('Root Data'!G320=Assumptions!C10,'Root Data'!J320=Assumptions!C18,'Root Data'!N320="PASS"),1,0)</x:f>
        <x:v>1</x:v>
      </x:c>
      <x:c r="F788" s="21" t="n">
        <x:v>1</x:v>
      </x:c>
      <x:c r="G788" s="23" t="str">
        <x:f>IF(E788=F788,"PASS","FAIL")</x:f>
        <x:v>PASS</x:v>
      </x:c>
    </x:row>
    <x:row r="789">
      <x:c r="B789" s="21" t="str">
        <x:v>A00783</x:v>
      </x:c>
      <x:c r="C789" s="21" t="str">
        <x:v>root</x:v>
      </x:c>
      <x:c r="D789" s="21" t="str">
        <x:v>F27-I1-C data constitution</x:v>
      </x:c>
      <x:c r="E789" s="21" t="n">
        <x:f>IF(AND('Root Data'!G321=Assumptions!C10,'Root Data'!J321=Assumptions!C18,'Root Data'!N321="PASS"),1,0)</x:f>
        <x:v>1</x:v>
      </x:c>
      <x:c r="F789" s="21" t="n">
        <x:v>1</x:v>
      </x:c>
      <x:c r="G789" s="23" t="str">
        <x:f>IF(E789=F789,"PASS","FAIL")</x:f>
        <x:v>PASS</x:v>
      </x:c>
    </x:row>
    <x:row r="790">
      <x:c r="B790" s="21" t="str">
        <x:v>A00784</x:v>
      </x:c>
      <x:c r="C790" s="21" t="str">
        <x:v>root</x:v>
      </x:c>
      <x:c r="D790" s="21" t="str">
        <x:v>F27-I2-A data constitution</x:v>
      </x:c>
      <x:c r="E790" s="21" t="n">
        <x:f>IF(AND('Root Data'!G322=Assumptions!C10,'Root Data'!J322=Assumptions!C18,'Root Data'!N322="PASS"),1,0)</x:f>
        <x:v>1</x:v>
      </x:c>
      <x:c r="F790" s="21" t="n">
        <x:v>1</x:v>
      </x:c>
      <x:c r="G790" s="23" t="str">
        <x:f>IF(E790=F790,"PASS","FAIL")</x:f>
        <x:v>PASS</x:v>
      </x:c>
    </x:row>
    <x:row r="791">
      <x:c r="B791" s="21" t="str">
        <x:v>A00785</x:v>
      </x:c>
      <x:c r="C791" s="21" t="str">
        <x:v>root</x:v>
      </x:c>
      <x:c r="D791" s="21" t="str">
        <x:v>F27-I2-B data constitution</x:v>
      </x:c>
      <x:c r="E791" s="21" t="n">
        <x:f>IF(AND('Root Data'!G323=Assumptions!C10,'Root Data'!J323=Assumptions!C18,'Root Data'!N323="PASS"),1,0)</x:f>
        <x:v>1</x:v>
      </x:c>
      <x:c r="F791" s="21" t="n">
        <x:v>1</x:v>
      </x:c>
      <x:c r="G791" s="23" t="str">
        <x:f>IF(E791=F791,"PASS","FAIL")</x:f>
        <x:v>PASS</x:v>
      </x:c>
    </x:row>
    <x:row r="792">
      <x:c r="B792" s="21" t="str">
        <x:v>A00786</x:v>
      </x:c>
      <x:c r="C792" s="21" t="str">
        <x:v>root</x:v>
      </x:c>
      <x:c r="D792" s="21" t="str">
        <x:v>F27-I2-C data constitution</x:v>
      </x:c>
      <x:c r="E792" s="21" t="n">
        <x:f>IF(AND('Root Data'!G324=Assumptions!C10,'Root Data'!J324=Assumptions!C18,'Root Data'!N324="PASS"),1,0)</x:f>
        <x:v>1</x:v>
      </x:c>
      <x:c r="F792" s="21" t="n">
        <x:v>1</x:v>
      </x:c>
      <x:c r="G792" s="23" t="str">
        <x:f>IF(E792=F792,"PASS","FAIL")</x:f>
        <x:v>PASS</x:v>
      </x:c>
    </x:row>
    <x:row r="793">
      <x:c r="B793" s="21" t="str">
        <x:v>A00787</x:v>
      </x:c>
      <x:c r="C793" s="21" t="str">
        <x:v>root</x:v>
      </x:c>
      <x:c r="D793" s="21" t="str">
        <x:v>F27-I3-A data constitution</x:v>
      </x:c>
      <x:c r="E793" s="21" t="n">
        <x:f>IF(AND('Root Data'!G325=Assumptions!C10,'Root Data'!J325=Assumptions!C18,'Root Data'!N325="PASS"),1,0)</x:f>
        <x:v>1</x:v>
      </x:c>
      <x:c r="F793" s="21" t="n">
        <x:v>1</x:v>
      </x:c>
      <x:c r="G793" s="23" t="str">
        <x:f>IF(E793=F793,"PASS","FAIL")</x:f>
        <x:v>PASS</x:v>
      </x:c>
    </x:row>
    <x:row r="794">
      <x:c r="B794" s="21" t="str">
        <x:v>A00788</x:v>
      </x:c>
      <x:c r="C794" s="21" t="str">
        <x:v>root</x:v>
      </x:c>
      <x:c r="D794" s="21" t="str">
        <x:v>F27-I3-B data constitution</x:v>
      </x:c>
      <x:c r="E794" s="21" t="n">
        <x:f>IF(AND('Root Data'!G326=Assumptions!C10,'Root Data'!J326=Assumptions!C18,'Root Data'!N326="PASS"),1,0)</x:f>
        <x:v>1</x:v>
      </x:c>
      <x:c r="F794" s="21" t="n">
        <x:v>1</x:v>
      </x:c>
      <x:c r="G794" s="23" t="str">
        <x:f>IF(E794=F794,"PASS","FAIL")</x:f>
        <x:v>PASS</x:v>
      </x:c>
    </x:row>
    <x:row r="795">
      <x:c r="B795" s="21" t="str">
        <x:v>A00789</x:v>
      </x:c>
      <x:c r="C795" s="21" t="str">
        <x:v>root</x:v>
      </x:c>
      <x:c r="D795" s="21" t="str">
        <x:v>F27-I3-C data constitution</x:v>
      </x:c>
      <x:c r="E795" s="21" t="n">
        <x:f>IF(AND('Root Data'!G327=Assumptions!C10,'Root Data'!J327=Assumptions!C18,'Root Data'!N327="PASS"),1,0)</x:f>
        <x:v>1</x:v>
      </x:c>
      <x:c r="F795" s="21" t="n">
        <x:v>1</x:v>
      </x:c>
      <x:c r="G795" s="23" t="str">
        <x:f>IF(E795=F795,"PASS","FAIL")</x:f>
        <x:v>PASS</x:v>
      </x:c>
    </x:row>
    <x:row r="796">
      <x:c r="B796" s="21" t="str">
        <x:v>A00790</x:v>
      </x:c>
      <x:c r="C796" s="21" t="str">
        <x:v>root</x:v>
      </x:c>
      <x:c r="D796" s="21" t="str">
        <x:v>F27-I4-A data constitution</x:v>
      </x:c>
      <x:c r="E796" s="21" t="n">
        <x:f>IF(AND('Root Data'!G328=Assumptions!C10,'Root Data'!J328=Assumptions!C18,'Root Data'!N328="PASS"),1,0)</x:f>
        <x:v>1</x:v>
      </x:c>
      <x:c r="F796" s="21" t="n">
        <x:v>1</x:v>
      </x:c>
      <x:c r="G796" s="23" t="str">
        <x:f>IF(E796=F796,"PASS","FAIL")</x:f>
        <x:v>PASS</x:v>
      </x:c>
    </x:row>
    <x:row r="797">
      <x:c r="B797" s="21" t="str">
        <x:v>A00791</x:v>
      </x:c>
      <x:c r="C797" s="21" t="str">
        <x:v>root</x:v>
      </x:c>
      <x:c r="D797" s="21" t="str">
        <x:v>F27-I4-B data constitution</x:v>
      </x:c>
      <x:c r="E797" s="21" t="n">
        <x:f>IF(AND('Root Data'!G329=Assumptions!C10,'Root Data'!J329=Assumptions!C18,'Root Data'!N329="PASS"),1,0)</x:f>
        <x:v>1</x:v>
      </x:c>
      <x:c r="F797" s="21" t="n">
        <x:v>1</x:v>
      </x:c>
      <x:c r="G797" s="23" t="str">
        <x:f>IF(E797=F797,"PASS","FAIL")</x:f>
        <x:v>PASS</x:v>
      </x:c>
    </x:row>
    <x:row r="798">
      <x:c r="B798" s="21" t="str">
        <x:v>A00792</x:v>
      </x:c>
      <x:c r="C798" s="21" t="str">
        <x:v>root</x:v>
      </x:c>
      <x:c r="D798" s="21" t="str">
        <x:v>F27-I4-C data constitution</x:v>
      </x:c>
      <x:c r="E798" s="21" t="n">
        <x:f>IF(AND('Root Data'!G330=Assumptions!C10,'Root Data'!J330=Assumptions!C18,'Root Data'!N330="PASS"),1,0)</x:f>
        <x:v>1</x:v>
      </x:c>
      <x:c r="F798" s="21" t="n">
        <x:v>1</x:v>
      </x:c>
      <x:c r="G798" s="23" t="str">
        <x:f>IF(E798=F798,"PASS","FAIL")</x:f>
        <x:v>PASS</x:v>
      </x:c>
    </x:row>
    <x:row r="799">
      <x:c r="B799" s="21" t="str">
        <x:v>A00793</x:v>
      </x:c>
      <x:c r="C799" s="21" t="str">
        <x:v>root</x:v>
      </x:c>
      <x:c r="D799" s="21" t="str">
        <x:v>F28-I1-A data constitution</x:v>
      </x:c>
      <x:c r="E799" s="21" t="n">
        <x:f>IF(AND('Root Data'!G331=Assumptions!C10,'Root Data'!J331=Assumptions!C18,'Root Data'!N331="PASS"),1,0)</x:f>
        <x:v>1</x:v>
      </x:c>
      <x:c r="F799" s="21" t="n">
        <x:v>1</x:v>
      </x:c>
      <x:c r="G799" s="23" t="str">
        <x:f>IF(E799=F799,"PASS","FAIL")</x:f>
        <x:v>PASS</x:v>
      </x:c>
    </x:row>
    <x:row r="800">
      <x:c r="B800" s="21" t="str">
        <x:v>A00794</x:v>
      </x:c>
      <x:c r="C800" s="21" t="str">
        <x:v>root</x:v>
      </x:c>
      <x:c r="D800" s="21" t="str">
        <x:v>F28-I1-B data constitution</x:v>
      </x:c>
      <x:c r="E800" s="21" t="n">
        <x:f>IF(AND('Root Data'!G332=Assumptions!C10,'Root Data'!J332=Assumptions!C18,'Root Data'!N332="PASS"),1,0)</x:f>
        <x:v>1</x:v>
      </x:c>
      <x:c r="F800" s="21" t="n">
        <x:v>1</x:v>
      </x:c>
      <x:c r="G800" s="23" t="str">
        <x:f>IF(E800=F800,"PASS","FAIL")</x:f>
        <x:v>PASS</x:v>
      </x:c>
    </x:row>
    <x:row r="801">
      <x:c r="B801" s="21" t="str">
        <x:v>A00795</x:v>
      </x:c>
      <x:c r="C801" s="21" t="str">
        <x:v>root</x:v>
      </x:c>
      <x:c r="D801" s="21" t="str">
        <x:v>F28-I1-C data constitution</x:v>
      </x:c>
      <x:c r="E801" s="21" t="n">
        <x:f>IF(AND('Root Data'!G333=Assumptions!C10,'Root Data'!J333=Assumptions!C18,'Root Data'!N333="PASS"),1,0)</x:f>
        <x:v>1</x:v>
      </x:c>
      <x:c r="F801" s="21" t="n">
        <x:v>1</x:v>
      </x:c>
      <x:c r="G801" s="23" t="str">
        <x:f>IF(E801=F801,"PASS","FAIL")</x:f>
        <x:v>PASS</x:v>
      </x:c>
    </x:row>
    <x:row r="802">
      <x:c r="B802" s="21" t="str">
        <x:v>A00796</x:v>
      </x:c>
      <x:c r="C802" s="21" t="str">
        <x:v>root</x:v>
      </x:c>
      <x:c r="D802" s="21" t="str">
        <x:v>F28-I2-A data constitution</x:v>
      </x:c>
      <x:c r="E802" s="21" t="n">
        <x:f>IF(AND('Root Data'!G334=Assumptions!C10,'Root Data'!J334=Assumptions!C18,'Root Data'!N334="PASS"),1,0)</x:f>
        <x:v>1</x:v>
      </x:c>
      <x:c r="F802" s="21" t="n">
        <x:v>1</x:v>
      </x:c>
      <x:c r="G802" s="23" t="str">
        <x:f>IF(E802=F802,"PASS","FAIL")</x:f>
        <x:v>PASS</x:v>
      </x:c>
    </x:row>
    <x:row r="803">
      <x:c r="B803" s="21" t="str">
        <x:v>A00797</x:v>
      </x:c>
      <x:c r="C803" s="21" t="str">
        <x:v>root</x:v>
      </x:c>
      <x:c r="D803" s="21" t="str">
        <x:v>F28-I2-B data constitution</x:v>
      </x:c>
      <x:c r="E803" s="21" t="n">
        <x:f>IF(AND('Root Data'!G335=Assumptions!C10,'Root Data'!J335=Assumptions!C18,'Root Data'!N335="PASS"),1,0)</x:f>
        <x:v>1</x:v>
      </x:c>
      <x:c r="F803" s="21" t="n">
        <x:v>1</x:v>
      </x:c>
      <x:c r="G803" s="23" t="str">
        <x:f>IF(E803=F803,"PASS","FAIL")</x:f>
        <x:v>PASS</x:v>
      </x:c>
    </x:row>
    <x:row r="804">
      <x:c r="B804" s="21" t="str">
        <x:v>A00798</x:v>
      </x:c>
      <x:c r="C804" s="21" t="str">
        <x:v>root</x:v>
      </x:c>
      <x:c r="D804" s="21" t="str">
        <x:v>F28-I2-C data constitution</x:v>
      </x:c>
      <x:c r="E804" s="21" t="n">
        <x:f>IF(AND('Root Data'!G336=Assumptions!C10,'Root Data'!J336=Assumptions!C18,'Root Data'!N336="PASS"),1,0)</x:f>
        <x:v>1</x:v>
      </x:c>
      <x:c r="F804" s="21" t="n">
        <x:v>1</x:v>
      </x:c>
      <x:c r="G804" s="23" t="str">
        <x:f>IF(E804=F804,"PASS","FAIL")</x:f>
        <x:v>PASS</x:v>
      </x:c>
    </x:row>
    <x:row r="805">
      <x:c r="B805" s="21" t="str">
        <x:v>A00799</x:v>
      </x:c>
      <x:c r="C805" s="21" t="str">
        <x:v>root</x:v>
      </x:c>
      <x:c r="D805" s="21" t="str">
        <x:v>F28-I3-A data constitution</x:v>
      </x:c>
      <x:c r="E805" s="21" t="n">
        <x:f>IF(AND('Root Data'!G337=Assumptions!C10,'Root Data'!J337=Assumptions!C18,'Root Data'!N337="PASS"),1,0)</x:f>
        <x:v>1</x:v>
      </x:c>
      <x:c r="F805" s="21" t="n">
        <x:v>1</x:v>
      </x:c>
      <x:c r="G805" s="23" t="str">
        <x:f>IF(E805=F805,"PASS","FAIL")</x:f>
        <x:v>PASS</x:v>
      </x:c>
    </x:row>
    <x:row r="806">
      <x:c r="B806" s="21" t="str">
        <x:v>A00800</x:v>
      </x:c>
      <x:c r="C806" s="21" t="str">
        <x:v>root</x:v>
      </x:c>
      <x:c r="D806" s="21" t="str">
        <x:v>F28-I3-B data constitution</x:v>
      </x:c>
      <x:c r="E806" s="21" t="n">
        <x:f>IF(AND('Root Data'!G338=Assumptions!C10,'Root Data'!J338=Assumptions!C18,'Root Data'!N338="PASS"),1,0)</x:f>
        <x:v>1</x:v>
      </x:c>
      <x:c r="F806" s="21" t="n">
        <x:v>1</x:v>
      </x:c>
      <x:c r="G806" s="23" t="str">
        <x:f>IF(E806=F806,"PASS","FAIL")</x:f>
        <x:v>PASS</x:v>
      </x:c>
    </x:row>
    <x:row r="807">
      <x:c r="B807" s="21" t="str">
        <x:v>A00801</x:v>
      </x:c>
      <x:c r="C807" s="21" t="str">
        <x:v>root</x:v>
      </x:c>
      <x:c r="D807" s="21" t="str">
        <x:v>F28-I3-C data constitution</x:v>
      </x:c>
      <x:c r="E807" s="21" t="n">
        <x:f>IF(AND('Root Data'!G339=Assumptions!C10,'Root Data'!J339=Assumptions!C18,'Root Data'!N339="PASS"),1,0)</x:f>
        <x:v>1</x:v>
      </x:c>
      <x:c r="F807" s="21" t="n">
        <x:v>1</x:v>
      </x:c>
      <x:c r="G807" s="23" t="str">
        <x:f>IF(E807=F807,"PASS","FAIL")</x:f>
        <x:v>PASS</x:v>
      </x:c>
    </x:row>
    <x:row r="808">
      <x:c r="B808" s="21" t="str">
        <x:v>A00802</x:v>
      </x:c>
      <x:c r="C808" s="21" t="str">
        <x:v>root</x:v>
      </x:c>
      <x:c r="D808" s="21" t="str">
        <x:v>F28-I4-A data constitution</x:v>
      </x:c>
      <x:c r="E808" s="21" t="n">
        <x:f>IF(AND('Root Data'!G340=Assumptions!C10,'Root Data'!J340=Assumptions!C18,'Root Data'!N340="PASS"),1,0)</x:f>
        <x:v>1</x:v>
      </x:c>
      <x:c r="F808" s="21" t="n">
        <x:v>1</x:v>
      </x:c>
      <x:c r="G808" s="23" t="str">
        <x:f>IF(E808=F808,"PASS","FAIL")</x:f>
        <x:v>PASS</x:v>
      </x:c>
    </x:row>
    <x:row r="809">
      <x:c r="B809" s="21" t="str">
        <x:v>A00803</x:v>
      </x:c>
      <x:c r="C809" s="21" t="str">
        <x:v>root</x:v>
      </x:c>
      <x:c r="D809" s="21" t="str">
        <x:v>F28-I4-B data constitution</x:v>
      </x:c>
      <x:c r="E809" s="21" t="n">
        <x:f>IF(AND('Root Data'!G341=Assumptions!C10,'Root Data'!J341=Assumptions!C18,'Root Data'!N341="PASS"),1,0)</x:f>
        <x:v>1</x:v>
      </x:c>
      <x:c r="F809" s="21" t="n">
        <x:v>1</x:v>
      </x:c>
      <x:c r="G809" s="23" t="str">
        <x:f>IF(E809=F809,"PASS","FAIL")</x:f>
        <x:v>PASS</x:v>
      </x:c>
    </x:row>
    <x:row r="810">
      <x:c r="B810" s="21" t="str">
        <x:v>A00804</x:v>
      </x:c>
      <x:c r="C810" s="21" t="str">
        <x:v>root</x:v>
      </x:c>
      <x:c r="D810" s="21" t="str">
        <x:v>F28-I4-C data constitution</x:v>
      </x:c>
      <x:c r="E810" s="21" t="n">
        <x:f>IF(AND('Root Data'!G342=Assumptions!C10,'Root Data'!J342=Assumptions!C18,'Root Data'!N342="PASS"),1,0)</x:f>
        <x:v>1</x:v>
      </x:c>
      <x:c r="F810" s="21" t="n">
        <x:v>1</x:v>
      </x:c>
      <x:c r="G810" s="23" t="str">
        <x:f>IF(E810=F810,"PASS","FAIL")</x:f>
        <x:v>PASS</x:v>
      </x:c>
    </x:row>
    <x:row r="811">
      <x:c r="B811" s="21" t="str">
        <x:v>A00805</x:v>
      </x:c>
      <x:c r="C811" s="21" t="str">
        <x:v>root</x:v>
      </x:c>
      <x:c r="D811" s="21" t="str">
        <x:v>F29-I1-A data constitution</x:v>
      </x:c>
      <x:c r="E811" s="21" t="n">
        <x:f>IF(AND('Root Data'!G343=Assumptions!C10,'Root Data'!J343=Assumptions!C18,'Root Data'!N343="PASS"),1,0)</x:f>
        <x:v>1</x:v>
      </x:c>
      <x:c r="F811" s="21" t="n">
        <x:v>1</x:v>
      </x:c>
      <x:c r="G811" s="23" t="str">
        <x:f>IF(E811=F811,"PASS","FAIL")</x:f>
        <x:v>PASS</x:v>
      </x:c>
    </x:row>
    <x:row r="812">
      <x:c r="B812" s="21" t="str">
        <x:v>A00806</x:v>
      </x:c>
      <x:c r="C812" s="21" t="str">
        <x:v>root</x:v>
      </x:c>
      <x:c r="D812" s="21" t="str">
        <x:v>F29-I1-B data constitution</x:v>
      </x:c>
      <x:c r="E812" s="21" t="n">
        <x:f>IF(AND('Root Data'!G344=Assumptions!C10,'Root Data'!J344=Assumptions!C18,'Root Data'!N344="PASS"),1,0)</x:f>
        <x:v>1</x:v>
      </x:c>
      <x:c r="F812" s="21" t="n">
        <x:v>1</x:v>
      </x:c>
      <x:c r="G812" s="23" t="str">
        <x:f>IF(E812=F812,"PASS","FAIL")</x:f>
        <x:v>PASS</x:v>
      </x:c>
    </x:row>
    <x:row r="813">
      <x:c r="B813" s="21" t="str">
        <x:v>A00807</x:v>
      </x:c>
      <x:c r="C813" s="21" t="str">
        <x:v>root</x:v>
      </x:c>
      <x:c r="D813" s="21" t="str">
        <x:v>F29-I1-C data constitution</x:v>
      </x:c>
      <x:c r="E813" s="21" t="n">
        <x:f>IF(AND('Root Data'!G345=Assumptions!C10,'Root Data'!J345=Assumptions!C18,'Root Data'!N345="PASS"),1,0)</x:f>
        <x:v>1</x:v>
      </x:c>
      <x:c r="F813" s="21" t="n">
        <x:v>1</x:v>
      </x:c>
      <x:c r="G813" s="23" t="str">
        <x:f>IF(E813=F813,"PASS","FAIL")</x:f>
        <x:v>PASS</x:v>
      </x:c>
    </x:row>
    <x:row r="814">
      <x:c r="B814" s="21" t="str">
        <x:v>A00808</x:v>
      </x:c>
      <x:c r="C814" s="21" t="str">
        <x:v>root</x:v>
      </x:c>
      <x:c r="D814" s="21" t="str">
        <x:v>F29-I2-A data constitution</x:v>
      </x:c>
      <x:c r="E814" s="21" t="n">
        <x:f>IF(AND('Root Data'!G346=Assumptions!C10,'Root Data'!J346=Assumptions!C18,'Root Data'!N346="PASS"),1,0)</x:f>
        <x:v>1</x:v>
      </x:c>
      <x:c r="F814" s="21" t="n">
        <x:v>1</x:v>
      </x:c>
      <x:c r="G814" s="23" t="str">
        <x:f>IF(E814=F814,"PASS","FAIL")</x:f>
        <x:v>PASS</x:v>
      </x:c>
    </x:row>
    <x:row r="815">
      <x:c r="B815" s="21" t="str">
        <x:v>A00809</x:v>
      </x:c>
      <x:c r="C815" s="21" t="str">
        <x:v>root</x:v>
      </x:c>
      <x:c r="D815" s="21" t="str">
        <x:v>F29-I2-B data constitution</x:v>
      </x:c>
      <x:c r="E815" s="21" t="n">
        <x:f>IF(AND('Root Data'!G347=Assumptions!C10,'Root Data'!J347=Assumptions!C18,'Root Data'!N347="PASS"),1,0)</x:f>
        <x:v>1</x:v>
      </x:c>
      <x:c r="F815" s="21" t="n">
        <x:v>1</x:v>
      </x:c>
      <x:c r="G815" s="23" t="str">
        <x:f>IF(E815=F815,"PASS","FAIL")</x:f>
        <x:v>PASS</x:v>
      </x:c>
    </x:row>
    <x:row r="816">
      <x:c r="B816" s="21" t="str">
        <x:v>A00810</x:v>
      </x:c>
      <x:c r="C816" s="21" t="str">
        <x:v>root</x:v>
      </x:c>
      <x:c r="D816" s="21" t="str">
        <x:v>F29-I2-C data constitution</x:v>
      </x:c>
      <x:c r="E816" s="21" t="n">
        <x:f>IF(AND('Root Data'!G348=Assumptions!C10,'Root Data'!J348=Assumptions!C18,'Root Data'!N348="PASS"),1,0)</x:f>
        <x:v>1</x:v>
      </x:c>
      <x:c r="F816" s="21" t="n">
        <x:v>1</x:v>
      </x:c>
      <x:c r="G816" s="23" t="str">
        <x:f>IF(E816=F816,"PASS","FAIL")</x:f>
        <x:v>PASS</x:v>
      </x:c>
    </x:row>
    <x:row r="817">
      <x:c r="B817" s="21" t="str">
        <x:v>A00811</x:v>
      </x:c>
      <x:c r="C817" s="21" t="str">
        <x:v>root</x:v>
      </x:c>
      <x:c r="D817" s="21" t="str">
        <x:v>F29-I3-A data constitution</x:v>
      </x:c>
      <x:c r="E817" s="21" t="n">
        <x:f>IF(AND('Root Data'!G349=Assumptions!C10,'Root Data'!J349=Assumptions!C18,'Root Data'!N349="PASS"),1,0)</x:f>
        <x:v>1</x:v>
      </x:c>
      <x:c r="F817" s="21" t="n">
        <x:v>1</x:v>
      </x:c>
      <x:c r="G817" s="23" t="str">
        <x:f>IF(E817=F817,"PASS","FAIL")</x:f>
        <x:v>PASS</x:v>
      </x:c>
    </x:row>
    <x:row r="818">
      <x:c r="B818" s="21" t="str">
        <x:v>A00812</x:v>
      </x:c>
      <x:c r="C818" s="21" t="str">
        <x:v>root</x:v>
      </x:c>
      <x:c r="D818" s="21" t="str">
        <x:v>F29-I3-B data constitution</x:v>
      </x:c>
      <x:c r="E818" s="21" t="n">
        <x:f>IF(AND('Root Data'!G350=Assumptions!C10,'Root Data'!J350=Assumptions!C18,'Root Data'!N350="PASS"),1,0)</x:f>
        <x:v>1</x:v>
      </x:c>
      <x:c r="F818" s="21" t="n">
        <x:v>1</x:v>
      </x:c>
      <x:c r="G818" s="23" t="str">
        <x:f>IF(E818=F818,"PASS","FAIL")</x:f>
        <x:v>PASS</x:v>
      </x:c>
    </x:row>
    <x:row r="819">
      <x:c r="B819" s="21" t="str">
        <x:v>A00813</x:v>
      </x:c>
      <x:c r="C819" s="21" t="str">
        <x:v>root</x:v>
      </x:c>
      <x:c r="D819" s="21" t="str">
        <x:v>F29-I3-C data constitution</x:v>
      </x:c>
      <x:c r="E819" s="21" t="n">
        <x:f>IF(AND('Root Data'!G351=Assumptions!C10,'Root Data'!J351=Assumptions!C18,'Root Data'!N351="PASS"),1,0)</x:f>
        <x:v>1</x:v>
      </x:c>
      <x:c r="F819" s="21" t="n">
        <x:v>1</x:v>
      </x:c>
      <x:c r="G819" s="23" t="str">
        <x:f>IF(E819=F819,"PASS","FAIL")</x:f>
        <x:v>PASS</x:v>
      </x:c>
    </x:row>
    <x:row r="820">
      <x:c r="B820" s="21" t="str">
        <x:v>A00814</x:v>
      </x:c>
      <x:c r="C820" s="21" t="str">
        <x:v>root</x:v>
      </x:c>
      <x:c r="D820" s="21" t="str">
        <x:v>F29-I4-A data constitution</x:v>
      </x:c>
      <x:c r="E820" s="21" t="n">
        <x:f>IF(AND('Root Data'!G352=Assumptions!C10,'Root Data'!J352=Assumptions!C18,'Root Data'!N352="PASS"),1,0)</x:f>
        <x:v>1</x:v>
      </x:c>
      <x:c r="F820" s="21" t="n">
        <x:v>1</x:v>
      </x:c>
      <x:c r="G820" s="23" t="str">
        <x:f>IF(E820=F820,"PASS","FAIL")</x:f>
        <x:v>PASS</x:v>
      </x:c>
    </x:row>
    <x:row r="821">
      <x:c r="B821" s="21" t="str">
        <x:v>A00815</x:v>
      </x:c>
      <x:c r="C821" s="21" t="str">
        <x:v>root</x:v>
      </x:c>
      <x:c r="D821" s="21" t="str">
        <x:v>F29-I4-B data constitution</x:v>
      </x:c>
      <x:c r="E821" s="21" t="n">
        <x:f>IF(AND('Root Data'!G353=Assumptions!C10,'Root Data'!J353=Assumptions!C18,'Root Data'!N353="PASS"),1,0)</x:f>
        <x:v>1</x:v>
      </x:c>
      <x:c r="F821" s="21" t="n">
        <x:v>1</x:v>
      </x:c>
      <x:c r="G821" s="23" t="str">
        <x:f>IF(E821=F821,"PASS","FAIL")</x:f>
        <x:v>PASS</x:v>
      </x:c>
    </x:row>
    <x:row r="822">
      <x:c r="B822" s="21" t="str">
        <x:v>A00816</x:v>
      </x:c>
      <x:c r="C822" s="21" t="str">
        <x:v>root</x:v>
      </x:c>
      <x:c r="D822" s="21" t="str">
        <x:v>F29-I4-C data constitution</x:v>
      </x:c>
      <x:c r="E822" s="21" t="n">
        <x:f>IF(AND('Root Data'!G354=Assumptions!C10,'Root Data'!J354=Assumptions!C18,'Root Data'!N354="PASS"),1,0)</x:f>
        <x:v>1</x:v>
      </x:c>
      <x:c r="F822" s="21" t="n">
        <x:v>1</x:v>
      </x:c>
      <x:c r="G822" s="23" t="str">
        <x:f>IF(E822=F822,"PASS","FAIL")</x:f>
        <x:v>PASS</x:v>
      </x:c>
    </x:row>
    <x:row r="823">
      <x:c r="B823" s="21" t="str">
        <x:v>A00817</x:v>
      </x:c>
      <x:c r="C823" s="21" t="str">
        <x:v>root</x:v>
      </x:c>
      <x:c r="D823" s="21" t="str">
        <x:v>F30-I1-A data constitution</x:v>
      </x:c>
      <x:c r="E823" s="21" t="n">
        <x:f>IF(AND('Root Data'!G355=Assumptions!C10,'Root Data'!J355=Assumptions!C18,'Root Data'!N355="PASS"),1,0)</x:f>
        <x:v>1</x:v>
      </x:c>
      <x:c r="F823" s="21" t="n">
        <x:v>1</x:v>
      </x:c>
      <x:c r="G823" s="23" t="str">
        <x:f>IF(E823=F823,"PASS","FAIL")</x:f>
        <x:v>PASS</x:v>
      </x:c>
    </x:row>
    <x:row r="824">
      <x:c r="B824" s="21" t="str">
        <x:v>A00818</x:v>
      </x:c>
      <x:c r="C824" s="21" t="str">
        <x:v>root</x:v>
      </x:c>
      <x:c r="D824" s="21" t="str">
        <x:v>F30-I1-B data constitution</x:v>
      </x:c>
      <x:c r="E824" s="21" t="n">
        <x:f>IF(AND('Root Data'!G356=Assumptions!C10,'Root Data'!J356=Assumptions!C18,'Root Data'!N356="PASS"),1,0)</x:f>
        <x:v>1</x:v>
      </x:c>
      <x:c r="F824" s="21" t="n">
        <x:v>1</x:v>
      </x:c>
      <x:c r="G824" s="23" t="str">
        <x:f>IF(E824=F824,"PASS","FAIL")</x:f>
        <x:v>PASS</x:v>
      </x:c>
    </x:row>
    <x:row r="825">
      <x:c r="B825" s="21" t="str">
        <x:v>A00819</x:v>
      </x:c>
      <x:c r="C825" s="21" t="str">
        <x:v>root</x:v>
      </x:c>
      <x:c r="D825" s="21" t="str">
        <x:v>F30-I1-C data constitution</x:v>
      </x:c>
      <x:c r="E825" s="21" t="n">
        <x:f>IF(AND('Root Data'!G357=Assumptions!C10,'Root Data'!J357=Assumptions!C18,'Root Data'!N357="PASS"),1,0)</x:f>
        <x:v>1</x:v>
      </x:c>
      <x:c r="F825" s="21" t="n">
        <x:v>1</x:v>
      </x:c>
      <x:c r="G825" s="23" t="str">
        <x:f>IF(E825=F825,"PASS","FAIL")</x:f>
        <x:v>PASS</x:v>
      </x:c>
    </x:row>
    <x:row r="826">
      <x:c r="B826" s="21" t="str">
        <x:v>A00820</x:v>
      </x:c>
      <x:c r="C826" s="21" t="str">
        <x:v>root</x:v>
      </x:c>
      <x:c r="D826" s="21" t="str">
        <x:v>F30-I2-A data constitution</x:v>
      </x:c>
      <x:c r="E826" s="21" t="n">
        <x:f>IF(AND('Root Data'!G358=Assumptions!C10,'Root Data'!J358=Assumptions!C18,'Root Data'!N358="PASS"),1,0)</x:f>
        <x:v>1</x:v>
      </x:c>
      <x:c r="F826" s="21" t="n">
        <x:v>1</x:v>
      </x:c>
      <x:c r="G826" s="23" t="str">
        <x:f>IF(E826=F826,"PASS","FAIL")</x:f>
        <x:v>PASS</x:v>
      </x:c>
    </x:row>
    <x:row r="827">
      <x:c r="B827" s="21" t="str">
        <x:v>A00821</x:v>
      </x:c>
      <x:c r="C827" s="21" t="str">
        <x:v>root</x:v>
      </x:c>
      <x:c r="D827" s="21" t="str">
        <x:v>F30-I2-B data constitution</x:v>
      </x:c>
      <x:c r="E827" s="21" t="n">
        <x:f>IF(AND('Root Data'!G359=Assumptions!C10,'Root Data'!J359=Assumptions!C18,'Root Data'!N359="PASS"),1,0)</x:f>
        <x:v>1</x:v>
      </x:c>
      <x:c r="F827" s="21" t="n">
        <x:v>1</x:v>
      </x:c>
      <x:c r="G827" s="23" t="str">
        <x:f>IF(E827=F827,"PASS","FAIL")</x:f>
        <x:v>PASS</x:v>
      </x:c>
    </x:row>
    <x:row r="828">
      <x:c r="B828" s="21" t="str">
        <x:v>A00822</x:v>
      </x:c>
      <x:c r="C828" s="21" t="str">
        <x:v>root</x:v>
      </x:c>
      <x:c r="D828" s="21" t="str">
        <x:v>F30-I2-C data constitution</x:v>
      </x:c>
      <x:c r="E828" s="21" t="n">
        <x:f>IF(AND('Root Data'!G360=Assumptions!C10,'Root Data'!J360=Assumptions!C18,'Root Data'!N360="PASS"),1,0)</x:f>
        <x:v>1</x:v>
      </x:c>
      <x:c r="F828" s="21" t="n">
        <x:v>1</x:v>
      </x:c>
      <x:c r="G828" s="23" t="str">
        <x:f>IF(E828=F828,"PASS","FAIL")</x:f>
        <x:v>PASS</x:v>
      </x:c>
    </x:row>
    <x:row r="829">
      <x:c r="B829" s="21" t="str">
        <x:v>A00823</x:v>
      </x:c>
      <x:c r="C829" s="21" t="str">
        <x:v>root</x:v>
      </x:c>
      <x:c r="D829" s="21" t="str">
        <x:v>F30-I3-A data constitution</x:v>
      </x:c>
      <x:c r="E829" s="21" t="n">
        <x:f>IF(AND('Root Data'!G361=Assumptions!C10,'Root Data'!J361=Assumptions!C18,'Root Data'!N361="PASS"),1,0)</x:f>
        <x:v>1</x:v>
      </x:c>
      <x:c r="F829" s="21" t="n">
        <x:v>1</x:v>
      </x:c>
      <x:c r="G829" s="23" t="str">
        <x:f>IF(E829=F829,"PASS","FAIL")</x:f>
        <x:v>PASS</x:v>
      </x:c>
    </x:row>
    <x:row r="830">
      <x:c r="B830" s="21" t="str">
        <x:v>A00824</x:v>
      </x:c>
      <x:c r="C830" s="21" t="str">
        <x:v>root</x:v>
      </x:c>
      <x:c r="D830" s="21" t="str">
        <x:v>F30-I3-B data constitution</x:v>
      </x:c>
      <x:c r="E830" s="21" t="n">
        <x:f>IF(AND('Root Data'!G362=Assumptions!C10,'Root Data'!J362=Assumptions!C18,'Root Data'!N362="PASS"),1,0)</x:f>
        <x:v>1</x:v>
      </x:c>
      <x:c r="F830" s="21" t="n">
        <x:v>1</x:v>
      </x:c>
      <x:c r="G830" s="23" t="str">
        <x:f>IF(E830=F830,"PASS","FAIL")</x:f>
        <x:v>PASS</x:v>
      </x:c>
    </x:row>
    <x:row r="831">
      <x:c r="B831" s="21" t="str">
        <x:v>A00825</x:v>
      </x:c>
      <x:c r="C831" s="21" t="str">
        <x:v>root</x:v>
      </x:c>
      <x:c r="D831" s="21" t="str">
        <x:v>F30-I3-C data constitution</x:v>
      </x:c>
      <x:c r="E831" s="21" t="n">
        <x:f>IF(AND('Root Data'!G363=Assumptions!C10,'Root Data'!J363=Assumptions!C18,'Root Data'!N363="PASS"),1,0)</x:f>
        <x:v>1</x:v>
      </x:c>
      <x:c r="F831" s="21" t="n">
        <x:v>1</x:v>
      </x:c>
      <x:c r="G831" s="23" t="str">
        <x:f>IF(E831=F831,"PASS","FAIL")</x:f>
        <x:v>PASS</x:v>
      </x:c>
    </x:row>
    <x:row r="832">
      <x:c r="B832" s="21" t="str">
        <x:v>A00826</x:v>
      </x:c>
      <x:c r="C832" s="21" t="str">
        <x:v>root</x:v>
      </x:c>
      <x:c r="D832" s="21" t="str">
        <x:v>F30-I4-A data constitution</x:v>
      </x:c>
      <x:c r="E832" s="21" t="n">
        <x:f>IF(AND('Root Data'!G364=Assumptions!C10,'Root Data'!J364=Assumptions!C18,'Root Data'!N364="PASS"),1,0)</x:f>
        <x:v>1</x:v>
      </x:c>
      <x:c r="F832" s="21" t="n">
        <x:v>1</x:v>
      </x:c>
      <x:c r="G832" s="23" t="str">
        <x:f>IF(E832=F832,"PASS","FAIL")</x:f>
        <x:v>PASS</x:v>
      </x:c>
    </x:row>
    <x:row r="833">
      <x:c r="B833" s="21" t="str">
        <x:v>A00827</x:v>
      </x:c>
      <x:c r="C833" s="21" t="str">
        <x:v>root</x:v>
      </x:c>
      <x:c r="D833" s="21" t="str">
        <x:v>F30-I4-B data constitution</x:v>
      </x:c>
      <x:c r="E833" s="21" t="n">
        <x:f>IF(AND('Root Data'!G365=Assumptions!C10,'Root Data'!J365=Assumptions!C18,'Root Data'!N365="PASS"),1,0)</x:f>
        <x:v>1</x:v>
      </x:c>
      <x:c r="F833" s="21" t="n">
        <x:v>1</x:v>
      </x:c>
      <x:c r="G833" s="23" t="str">
        <x:f>IF(E833=F833,"PASS","FAIL")</x:f>
        <x:v>PASS</x:v>
      </x:c>
    </x:row>
    <x:row r="834">
      <x:c r="B834" s="21" t="str">
        <x:v>A00828</x:v>
      </x:c>
      <x:c r="C834" s="21" t="str">
        <x:v>root</x:v>
      </x:c>
      <x:c r="D834" s="21" t="str">
        <x:v>F30-I4-C data constitution</x:v>
      </x:c>
      <x:c r="E834" s="21" t="n">
        <x:f>IF(AND('Root Data'!G366=Assumptions!C10,'Root Data'!J366=Assumptions!C18,'Root Data'!N366="PASS"),1,0)</x:f>
        <x:v>1</x:v>
      </x:c>
      <x:c r="F834" s="21" t="n">
        <x:v>1</x:v>
      </x:c>
      <x:c r="G834" s="23" t="str">
        <x:f>IF(E834=F834,"PASS","FAIL")</x:f>
        <x:v>PASS</x:v>
      </x:c>
    </x:row>
    <x:row r="835">
      <x:c r="B835" s="21" t="str">
        <x:v>A00829</x:v>
      </x:c>
      <x:c r="C835" s="21" t="str">
        <x:v>root</x:v>
      </x:c>
      <x:c r="D835" s="21" t="str">
        <x:v>F31-I1-A data constitution</x:v>
      </x:c>
      <x:c r="E835" s="21" t="n">
        <x:f>IF(AND('Root Data'!G367=Assumptions!C10,'Root Data'!J367=Assumptions!C18,'Root Data'!N367="PASS"),1,0)</x:f>
        <x:v>1</x:v>
      </x:c>
      <x:c r="F835" s="21" t="n">
        <x:v>1</x:v>
      </x:c>
      <x:c r="G835" s="23" t="str">
        <x:f>IF(E835=F835,"PASS","FAIL")</x:f>
        <x:v>PASS</x:v>
      </x:c>
    </x:row>
    <x:row r="836">
      <x:c r="B836" s="21" t="str">
        <x:v>A00830</x:v>
      </x:c>
      <x:c r="C836" s="21" t="str">
        <x:v>root</x:v>
      </x:c>
      <x:c r="D836" s="21" t="str">
        <x:v>F31-I1-B data constitution</x:v>
      </x:c>
      <x:c r="E836" s="21" t="n">
        <x:f>IF(AND('Root Data'!G368=Assumptions!C10,'Root Data'!J368=Assumptions!C18,'Root Data'!N368="PASS"),1,0)</x:f>
        <x:v>1</x:v>
      </x:c>
      <x:c r="F836" s="21" t="n">
        <x:v>1</x:v>
      </x:c>
      <x:c r="G836" s="23" t="str">
        <x:f>IF(E836=F836,"PASS","FAIL")</x:f>
        <x:v>PASS</x:v>
      </x:c>
    </x:row>
    <x:row r="837">
      <x:c r="B837" s="21" t="str">
        <x:v>A00831</x:v>
      </x:c>
      <x:c r="C837" s="21" t="str">
        <x:v>root</x:v>
      </x:c>
      <x:c r="D837" s="21" t="str">
        <x:v>F31-I1-C data constitution</x:v>
      </x:c>
      <x:c r="E837" s="21" t="n">
        <x:f>IF(AND('Root Data'!G369=Assumptions!C10,'Root Data'!J369=Assumptions!C18,'Root Data'!N369="PASS"),1,0)</x:f>
        <x:v>1</x:v>
      </x:c>
      <x:c r="F837" s="21" t="n">
        <x:v>1</x:v>
      </x:c>
      <x:c r="G837" s="23" t="str">
        <x:f>IF(E837=F837,"PASS","FAIL")</x:f>
        <x:v>PASS</x:v>
      </x:c>
    </x:row>
    <x:row r="838">
      <x:c r="B838" s="21" t="str">
        <x:v>A00832</x:v>
      </x:c>
      <x:c r="C838" s="21" t="str">
        <x:v>root</x:v>
      </x:c>
      <x:c r="D838" s="21" t="str">
        <x:v>F31-I2-A data constitution</x:v>
      </x:c>
      <x:c r="E838" s="21" t="n">
        <x:f>IF(AND('Root Data'!G370=Assumptions!C10,'Root Data'!J370=Assumptions!C18,'Root Data'!N370="PASS"),1,0)</x:f>
        <x:v>1</x:v>
      </x:c>
      <x:c r="F838" s="21" t="n">
        <x:v>1</x:v>
      </x:c>
      <x:c r="G838" s="23" t="str">
        <x:f>IF(E838=F838,"PASS","FAIL")</x:f>
        <x:v>PASS</x:v>
      </x:c>
    </x:row>
    <x:row r="839">
      <x:c r="B839" s="21" t="str">
        <x:v>A00833</x:v>
      </x:c>
      <x:c r="C839" s="21" t="str">
        <x:v>root</x:v>
      </x:c>
      <x:c r="D839" s="21" t="str">
        <x:v>F31-I2-B data constitution</x:v>
      </x:c>
      <x:c r="E839" s="21" t="n">
        <x:f>IF(AND('Root Data'!G371=Assumptions!C10,'Root Data'!J371=Assumptions!C18,'Root Data'!N371="PASS"),1,0)</x:f>
        <x:v>1</x:v>
      </x:c>
      <x:c r="F839" s="21" t="n">
        <x:v>1</x:v>
      </x:c>
      <x:c r="G839" s="23" t="str">
        <x:f>IF(E839=F839,"PASS","FAIL")</x:f>
        <x:v>PASS</x:v>
      </x:c>
    </x:row>
    <x:row r="840">
      <x:c r="B840" s="21" t="str">
        <x:v>A00834</x:v>
      </x:c>
      <x:c r="C840" s="21" t="str">
        <x:v>root</x:v>
      </x:c>
      <x:c r="D840" s="21" t="str">
        <x:v>F31-I2-C data constitution</x:v>
      </x:c>
      <x:c r="E840" s="21" t="n">
        <x:f>IF(AND('Root Data'!G372=Assumptions!C10,'Root Data'!J372=Assumptions!C18,'Root Data'!N372="PASS"),1,0)</x:f>
        <x:v>1</x:v>
      </x:c>
      <x:c r="F840" s="21" t="n">
        <x:v>1</x:v>
      </x:c>
      <x:c r="G840" s="23" t="str">
        <x:f>IF(E840=F840,"PASS","FAIL")</x:f>
        <x:v>PASS</x:v>
      </x:c>
    </x:row>
    <x:row r="841">
      <x:c r="B841" s="21" t="str">
        <x:v>A00835</x:v>
      </x:c>
      <x:c r="C841" s="21" t="str">
        <x:v>root</x:v>
      </x:c>
      <x:c r="D841" s="21" t="str">
        <x:v>F31-I3-A data constitution</x:v>
      </x:c>
      <x:c r="E841" s="21" t="n">
        <x:f>IF(AND('Root Data'!G373=Assumptions!C10,'Root Data'!J373=Assumptions!C18,'Root Data'!N373="PASS"),1,0)</x:f>
        <x:v>1</x:v>
      </x:c>
      <x:c r="F841" s="21" t="n">
        <x:v>1</x:v>
      </x:c>
      <x:c r="G841" s="23" t="str">
        <x:f>IF(E841=F841,"PASS","FAIL")</x:f>
        <x:v>PASS</x:v>
      </x:c>
    </x:row>
    <x:row r="842">
      <x:c r="B842" s="21" t="str">
        <x:v>A00836</x:v>
      </x:c>
      <x:c r="C842" s="21" t="str">
        <x:v>root</x:v>
      </x:c>
      <x:c r="D842" s="21" t="str">
        <x:v>F31-I3-B data constitution</x:v>
      </x:c>
      <x:c r="E842" s="21" t="n">
        <x:f>IF(AND('Root Data'!G374=Assumptions!C10,'Root Data'!J374=Assumptions!C18,'Root Data'!N374="PASS"),1,0)</x:f>
        <x:v>1</x:v>
      </x:c>
      <x:c r="F842" s="21" t="n">
        <x:v>1</x:v>
      </x:c>
      <x:c r="G842" s="23" t="str">
        <x:f>IF(E842=F842,"PASS","FAIL")</x:f>
        <x:v>PASS</x:v>
      </x:c>
    </x:row>
    <x:row r="843">
      <x:c r="B843" s="21" t="str">
        <x:v>A00837</x:v>
      </x:c>
      <x:c r="C843" s="21" t="str">
        <x:v>root</x:v>
      </x:c>
      <x:c r="D843" s="21" t="str">
        <x:v>F31-I3-C data constitution</x:v>
      </x:c>
      <x:c r="E843" s="21" t="n">
        <x:f>IF(AND('Root Data'!G375=Assumptions!C10,'Root Data'!J375=Assumptions!C18,'Root Data'!N375="PASS"),1,0)</x:f>
        <x:v>1</x:v>
      </x:c>
      <x:c r="F843" s="21" t="n">
        <x:v>1</x:v>
      </x:c>
      <x:c r="G843" s="23" t="str">
        <x:f>IF(E843=F843,"PASS","FAIL")</x:f>
        <x:v>PASS</x:v>
      </x:c>
    </x:row>
    <x:row r="844">
      <x:c r="B844" s="21" t="str">
        <x:v>A00838</x:v>
      </x:c>
      <x:c r="C844" s="21" t="str">
        <x:v>root</x:v>
      </x:c>
      <x:c r="D844" s="21" t="str">
        <x:v>F31-I4-A data constitution</x:v>
      </x:c>
      <x:c r="E844" s="21" t="n">
        <x:f>IF(AND('Root Data'!G376=Assumptions!C10,'Root Data'!J376=Assumptions!C18,'Root Data'!N376="PASS"),1,0)</x:f>
        <x:v>1</x:v>
      </x:c>
      <x:c r="F844" s="21" t="n">
        <x:v>1</x:v>
      </x:c>
      <x:c r="G844" s="23" t="str">
        <x:f>IF(E844=F844,"PASS","FAIL")</x:f>
        <x:v>PASS</x:v>
      </x:c>
    </x:row>
    <x:row r="845">
      <x:c r="B845" s="21" t="str">
        <x:v>A00839</x:v>
      </x:c>
      <x:c r="C845" s="21" t="str">
        <x:v>root</x:v>
      </x:c>
      <x:c r="D845" s="21" t="str">
        <x:v>F31-I4-B data constitution</x:v>
      </x:c>
      <x:c r="E845" s="21" t="n">
        <x:f>IF(AND('Root Data'!G377=Assumptions!C10,'Root Data'!J377=Assumptions!C18,'Root Data'!N377="PASS"),1,0)</x:f>
        <x:v>1</x:v>
      </x:c>
      <x:c r="F845" s="21" t="n">
        <x:v>1</x:v>
      </x:c>
      <x:c r="G845" s="23" t="str">
        <x:f>IF(E845=F845,"PASS","FAIL")</x:f>
        <x:v>PASS</x:v>
      </x:c>
    </x:row>
    <x:row r="846">
      <x:c r="B846" s="21" t="str">
        <x:v>A00840</x:v>
      </x:c>
      <x:c r="C846" s="21" t="str">
        <x:v>root</x:v>
      </x:c>
      <x:c r="D846" s="21" t="str">
        <x:v>F31-I4-C data constitution</x:v>
      </x:c>
      <x:c r="E846" s="21" t="n">
        <x:f>IF(AND('Root Data'!G378=Assumptions!C10,'Root Data'!J378=Assumptions!C18,'Root Data'!N378="PASS"),1,0)</x:f>
        <x:v>1</x:v>
      </x:c>
      <x:c r="F846" s="21" t="n">
        <x:v>1</x:v>
      </x:c>
      <x:c r="G846" s="23" t="str">
        <x:f>IF(E846=F846,"PASS","FAIL")</x:f>
        <x:v>PASS</x:v>
      </x:c>
    </x:row>
    <x:row r="847">
      <x:c r="B847" s="21" t="str">
        <x:v>A00841</x:v>
      </x:c>
      <x:c r="C847" s="21" t="str">
        <x:v>root</x:v>
      </x:c>
      <x:c r="D847" s="21" t="str">
        <x:v>F32-I1-A data constitution</x:v>
      </x:c>
      <x:c r="E847" s="21" t="n">
        <x:f>IF(AND('Root Data'!G379=Assumptions!C10,'Root Data'!J379=Assumptions!C18,'Root Data'!N379="PASS"),1,0)</x:f>
        <x:v>1</x:v>
      </x:c>
      <x:c r="F847" s="21" t="n">
        <x:v>1</x:v>
      </x:c>
      <x:c r="G847" s="23" t="str">
        <x:f>IF(E847=F847,"PASS","FAIL")</x:f>
        <x:v>PASS</x:v>
      </x:c>
    </x:row>
    <x:row r="848">
      <x:c r="B848" s="21" t="str">
        <x:v>A00842</x:v>
      </x:c>
      <x:c r="C848" s="21" t="str">
        <x:v>root</x:v>
      </x:c>
      <x:c r="D848" s="21" t="str">
        <x:v>F32-I1-B data constitution</x:v>
      </x:c>
      <x:c r="E848" s="21" t="n">
        <x:f>IF(AND('Root Data'!G380=Assumptions!C10,'Root Data'!J380=Assumptions!C18,'Root Data'!N380="PASS"),1,0)</x:f>
        <x:v>1</x:v>
      </x:c>
      <x:c r="F848" s="21" t="n">
        <x:v>1</x:v>
      </x:c>
      <x:c r="G848" s="23" t="str">
        <x:f>IF(E848=F848,"PASS","FAIL")</x:f>
        <x:v>PASS</x:v>
      </x:c>
    </x:row>
    <x:row r="849">
      <x:c r="B849" s="21" t="str">
        <x:v>A00843</x:v>
      </x:c>
      <x:c r="C849" s="21" t="str">
        <x:v>root</x:v>
      </x:c>
      <x:c r="D849" s="21" t="str">
        <x:v>F32-I1-C data constitution</x:v>
      </x:c>
      <x:c r="E849" s="21" t="n">
        <x:f>IF(AND('Root Data'!G381=Assumptions!C10,'Root Data'!J381=Assumptions!C18,'Root Data'!N381="PASS"),1,0)</x:f>
        <x:v>1</x:v>
      </x:c>
      <x:c r="F849" s="21" t="n">
        <x:v>1</x:v>
      </x:c>
      <x:c r="G849" s="23" t="str">
        <x:f>IF(E849=F849,"PASS","FAIL")</x:f>
        <x:v>PASS</x:v>
      </x:c>
    </x:row>
    <x:row r="850">
      <x:c r="B850" s="21" t="str">
        <x:v>A00844</x:v>
      </x:c>
      <x:c r="C850" s="21" t="str">
        <x:v>root</x:v>
      </x:c>
      <x:c r="D850" s="21" t="str">
        <x:v>F32-I2-A data constitution</x:v>
      </x:c>
      <x:c r="E850" s="21" t="n">
        <x:f>IF(AND('Root Data'!G382=Assumptions!C10,'Root Data'!J382=Assumptions!C18,'Root Data'!N382="PASS"),1,0)</x:f>
        <x:v>1</x:v>
      </x:c>
      <x:c r="F850" s="21" t="n">
        <x:v>1</x:v>
      </x:c>
      <x:c r="G850" s="23" t="str">
        <x:f>IF(E850=F850,"PASS","FAIL")</x:f>
        <x:v>PASS</x:v>
      </x:c>
    </x:row>
    <x:row r="851">
      <x:c r="B851" s="21" t="str">
        <x:v>A00845</x:v>
      </x:c>
      <x:c r="C851" s="21" t="str">
        <x:v>root</x:v>
      </x:c>
      <x:c r="D851" s="21" t="str">
        <x:v>F32-I2-B data constitution</x:v>
      </x:c>
      <x:c r="E851" s="21" t="n">
        <x:f>IF(AND('Root Data'!G383=Assumptions!C10,'Root Data'!J383=Assumptions!C18,'Root Data'!N383="PASS"),1,0)</x:f>
        <x:v>1</x:v>
      </x:c>
      <x:c r="F851" s="21" t="n">
        <x:v>1</x:v>
      </x:c>
      <x:c r="G851" s="23" t="str">
        <x:f>IF(E851=F851,"PASS","FAIL")</x:f>
        <x:v>PASS</x:v>
      </x:c>
    </x:row>
    <x:row r="852">
      <x:c r="B852" s="21" t="str">
        <x:v>A00846</x:v>
      </x:c>
      <x:c r="C852" s="21" t="str">
        <x:v>root</x:v>
      </x:c>
      <x:c r="D852" s="21" t="str">
        <x:v>F32-I2-C data constitution</x:v>
      </x:c>
      <x:c r="E852" s="21" t="n">
        <x:f>IF(AND('Root Data'!G384=Assumptions!C10,'Root Data'!J384=Assumptions!C18,'Root Data'!N384="PASS"),1,0)</x:f>
        <x:v>1</x:v>
      </x:c>
      <x:c r="F852" s="21" t="n">
        <x:v>1</x:v>
      </x:c>
      <x:c r="G852" s="23" t="str">
        <x:f>IF(E852=F852,"PASS","FAIL")</x:f>
        <x:v>PASS</x:v>
      </x:c>
    </x:row>
    <x:row r="853">
      <x:c r="B853" s="21" t="str">
        <x:v>A00847</x:v>
      </x:c>
      <x:c r="C853" s="21" t="str">
        <x:v>root</x:v>
      </x:c>
      <x:c r="D853" s="21" t="str">
        <x:v>F32-I3-A data constitution</x:v>
      </x:c>
      <x:c r="E853" s="21" t="n">
        <x:f>IF(AND('Root Data'!G385=Assumptions!C10,'Root Data'!J385=Assumptions!C18,'Root Data'!N385="PASS"),1,0)</x:f>
        <x:v>1</x:v>
      </x:c>
      <x:c r="F853" s="21" t="n">
        <x:v>1</x:v>
      </x:c>
      <x:c r="G853" s="23" t="str">
        <x:f>IF(E853=F853,"PASS","FAIL")</x:f>
        <x:v>PASS</x:v>
      </x:c>
    </x:row>
    <x:row r="854">
      <x:c r="B854" s="21" t="str">
        <x:v>A00848</x:v>
      </x:c>
      <x:c r="C854" s="21" t="str">
        <x:v>root</x:v>
      </x:c>
      <x:c r="D854" s="21" t="str">
        <x:v>F32-I3-B data constitution</x:v>
      </x:c>
      <x:c r="E854" s="21" t="n">
        <x:f>IF(AND('Root Data'!G386=Assumptions!C10,'Root Data'!J386=Assumptions!C18,'Root Data'!N386="PASS"),1,0)</x:f>
        <x:v>1</x:v>
      </x:c>
      <x:c r="F854" s="21" t="n">
        <x:v>1</x:v>
      </x:c>
      <x:c r="G854" s="23" t="str">
        <x:f>IF(E854=F854,"PASS","FAIL")</x:f>
        <x:v>PASS</x:v>
      </x:c>
    </x:row>
    <x:row r="855">
      <x:c r="B855" s="21" t="str">
        <x:v>A00849</x:v>
      </x:c>
      <x:c r="C855" s="21" t="str">
        <x:v>root</x:v>
      </x:c>
      <x:c r="D855" s="21" t="str">
        <x:v>F32-I3-C data constitution</x:v>
      </x:c>
      <x:c r="E855" s="21" t="n">
        <x:f>IF(AND('Root Data'!G387=Assumptions!C10,'Root Data'!J387=Assumptions!C18,'Root Data'!N387="PASS"),1,0)</x:f>
        <x:v>1</x:v>
      </x:c>
      <x:c r="F855" s="21" t="n">
        <x:v>1</x:v>
      </x:c>
      <x:c r="G855" s="23" t="str">
        <x:f>IF(E855=F855,"PASS","FAIL")</x:f>
        <x:v>PASS</x:v>
      </x:c>
    </x:row>
    <x:row r="856">
      <x:c r="B856" s="21" t="str">
        <x:v>A00850</x:v>
      </x:c>
      <x:c r="C856" s="21" t="str">
        <x:v>root</x:v>
      </x:c>
      <x:c r="D856" s="21" t="str">
        <x:v>F32-I4-A data constitution</x:v>
      </x:c>
      <x:c r="E856" s="21" t="n">
        <x:f>IF(AND('Root Data'!G388=Assumptions!C10,'Root Data'!J388=Assumptions!C18,'Root Data'!N388="PASS"),1,0)</x:f>
        <x:v>1</x:v>
      </x:c>
      <x:c r="F856" s="21" t="n">
        <x:v>1</x:v>
      </x:c>
      <x:c r="G856" s="23" t="str">
        <x:f>IF(E856=F856,"PASS","FAIL")</x:f>
        <x:v>PASS</x:v>
      </x:c>
    </x:row>
    <x:row r="857">
      <x:c r="B857" s="21" t="str">
        <x:v>A00851</x:v>
      </x:c>
      <x:c r="C857" s="21" t="str">
        <x:v>root</x:v>
      </x:c>
      <x:c r="D857" s="21" t="str">
        <x:v>F32-I4-B data constitution</x:v>
      </x:c>
      <x:c r="E857" s="21" t="n">
        <x:f>IF(AND('Root Data'!G389=Assumptions!C10,'Root Data'!J389=Assumptions!C18,'Root Data'!N389="PASS"),1,0)</x:f>
        <x:v>1</x:v>
      </x:c>
      <x:c r="F857" s="21" t="n">
        <x:v>1</x:v>
      </x:c>
      <x:c r="G857" s="23" t="str">
        <x:f>IF(E857=F857,"PASS","FAIL")</x:f>
        <x:v>PASS</x:v>
      </x:c>
    </x:row>
    <x:row r="858">
      <x:c r="B858" s="21" t="str">
        <x:v>A00852</x:v>
      </x:c>
      <x:c r="C858" s="21" t="str">
        <x:v>root</x:v>
      </x:c>
      <x:c r="D858" s="21" t="str">
        <x:v>F32-I4-C data constitution</x:v>
      </x:c>
      <x:c r="E858" s="21" t="n">
        <x:f>IF(AND('Root Data'!G390=Assumptions!C10,'Root Data'!J390=Assumptions!C18,'Root Data'!N390="PASS"),1,0)</x:f>
        <x:v>1</x:v>
      </x:c>
      <x:c r="F858" s="21" t="n">
        <x:v>1</x:v>
      </x:c>
      <x:c r="G858" s="23" t="str">
        <x:f>IF(E858=F858,"PASS","FAIL")</x:f>
        <x:v>PASS</x:v>
      </x:c>
    </x:row>
    <x:row r="859">
      <x:c r="B859" s="21" t="str">
        <x:v>A00853</x:v>
      </x:c>
      <x:c r="C859" s="21" t="str">
        <x:v>root</x:v>
      </x:c>
      <x:c r="D859" s="21" t="str">
        <x:v>F33-I1-A data constitution</x:v>
      </x:c>
      <x:c r="E859" s="21" t="n">
        <x:f>IF(AND('Root Data'!G391=Assumptions!C10,'Root Data'!J391=Assumptions!C18,'Root Data'!N391="PASS"),1,0)</x:f>
        <x:v>1</x:v>
      </x:c>
      <x:c r="F859" s="21" t="n">
        <x:v>1</x:v>
      </x:c>
      <x:c r="G859" s="23" t="str">
        <x:f>IF(E859=F859,"PASS","FAIL")</x:f>
        <x:v>PASS</x:v>
      </x:c>
    </x:row>
    <x:row r="860">
      <x:c r="B860" s="21" t="str">
        <x:v>A00854</x:v>
      </x:c>
      <x:c r="C860" s="21" t="str">
        <x:v>root</x:v>
      </x:c>
      <x:c r="D860" s="21" t="str">
        <x:v>F33-I1-B data constitution</x:v>
      </x:c>
      <x:c r="E860" s="21" t="n">
        <x:f>IF(AND('Root Data'!G392=Assumptions!C10,'Root Data'!J392=Assumptions!C18,'Root Data'!N392="PASS"),1,0)</x:f>
        <x:v>1</x:v>
      </x:c>
      <x:c r="F860" s="21" t="n">
        <x:v>1</x:v>
      </x:c>
      <x:c r="G860" s="23" t="str">
        <x:f>IF(E860=F860,"PASS","FAIL")</x:f>
        <x:v>PASS</x:v>
      </x:c>
    </x:row>
    <x:row r="861">
      <x:c r="B861" s="21" t="str">
        <x:v>A00855</x:v>
      </x:c>
      <x:c r="C861" s="21" t="str">
        <x:v>root</x:v>
      </x:c>
      <x:c r="D861" s="21" t="str">
        <x:v>F33-I1-C data constitution</x:v>
      </x:c>
      <x:c r="E861" s="21" t="n">
        <x:f>IF(AND('Root Data'!G393=Assumptions!C10,'Root Data'!J393=Assumptions!C18,'Root Data'!N393="PASS"),1,0)</x:f>
        <x:v>1</x:v>
      </x:c>
      <x:c r="F861" s="21" t="n">
        <x:v>1</x:v>
      </x:c>
      <x:c r="G861" s="23" t="str">
        <x:f>IF(E861=F861,"PASS","FAIL")</x:f>
        <x:v>PASS</x:v>
      </x:c>
    </x:row>
    <x:row r="862">
      <x:c r="B862" s="21" t="str">
        <x:v>A00856</x:v>
      </x:c>
      <x:c r="C862" s="21" t="str">
        <x:v>root</x:v>
      </x:c>
      <x:c r="D862" s="21" t="str">
        <x:v>F33-I2-A data constitution</x:v>
      </x:c>
      <x:c r="E862" s="21" t="n">
        <x:f>IF(AND('Root Data'!G394=Assumptions!C10,'Root Data'!J394=Assumptions!C18,'Root Data'!N394="PASS"),1,0)</x:f>
        <x:v>1</x:v>
      </x:c>
      <x:c r="F862" s="21" t="n">
        <x:v>1</x:v>
      </x:c>
      <x:c r="G862" s="23" t="str">
        <x:f>IF(E862=F862,"PASS","FAIL")</x:f>
        <x:v>PASS</x:v>
      </x:c>
    </x:row>
    <x:row r="863">
      <x:c r="B863" s="21" t="str">
        <x:v>A00857</x:v>
      </x:c>
      <x:c r="C863" s="21" t="str">
        <x:v>root</x:v>
      </x:c>
      <x:c r="D863" s="21" t="str">
        <x:v>F33-I2-B data constitution</x:v>
      </x:c>
      <x:c r="E863" s="21" t="n">
        <x:f>IF(AND('Root Data'!G395=Assumptions!C10,'Root Data'!J395=Assumptions!C18,'Root Data'!N395="PASS"),1,0)</x:f>
        <x:v>1</x:v>
      </x:c>
      <x:c r="F863" s="21" t="n">
        <x:v>1</x:v>
      </x:c>
      <x:c r="G863" s="23" t="str">
        <x:f>IF(E863=F863,"PASS","FAIL")</x:f>
        <x:v>PASS</x:v>
      </x:c>
    </x:row>
    <x:row r="864">
      <x:c r="B864" s="21" t="str">
        <x:v>A00858</x:v>
      </x:c>
      <x:c r="C864" s="21" t="str">
        <x:v>root</x:v>
      </x:c>
      <x:c r="D864" s="21" t="str">
        <x:v>F33-I2-C data constitution</x:v>
      </x:c>
      <x:c r="E864" s="21" t="n">
        <x:f>IF(AND('Root Data'!G396=Assumptions!C10,'Root Data'!J396=Assumptions!C18,'Root Data'!N396="PASS"),1,0)</x:f>
        <x:v>1</x:v>
      </x:c>
      <x:c r="F864" s="21" t="n">
        <x:v>1</x:v>
      </x:c>
      <x:c r="G864" s="23" t="str">
        <x:f>IF(E864=F864,"PASS","FAIL")</x:f>
        <x:v>PASS</x:v>
      </x:c>
    </x:row>
    <x:row r="865">
      <x:c r="B865" s="21" t="str">
        <x:v>A00859</x:v>
      </x:c>
      <x:c r="C865" s="21" t="str">
        <x:v>root</x:v>
      </x:c>
      <x:c r="D865" s="21" t="str">
        <x:v>F33-I3-A data constitution</x:v>
      </x:c>
      <x:c r="E865" s="21" t="n">
        <x:f>IF(AND('Root Data'!G397=Assumptions!C10,'Root Data'!J397=Assumptions!C18,'Root Data'!N397="PASS"),1,0)</x:f>
        <x:v>1</x:v>
      </x:c>
      <x:c r="F865" s="21" t="n">
        <x:v>1</x:v>
      </x:c>
      <x:c r="G865" s="23" t="str">
        <x:f>IF(E865=F865,"PASS","FAIL")</x:f>
        <x:v>PASS</x:v>
      </x:c>
    </x:row>
    <x:row r="866">
      <x:c r="B866" s="21" t="str">
        <x:v>A00860</x:v>
      </x:c>
      <x:c r="C866" s="21" t="str">
        <x:v>root</x:v>
      </x:c>
      <x:c r="D866" s="21" t="str">
        <x:v>F33-I3-B data constitution</x:v>
      </x:c>
      <x:c r="E866" s="21" t="n">
        <x:f>IF(AND('Root Data'!G398=Assumptions!C10,'Root Data'!J398=Assumptions!C18,'Root Data'!N398="PASS"),1,0)</x:f>
        <x:v>1</x:v>
      </x:c>
      <x:c r="F866" s="21" t="n">
        <x:v>1</x:v>
      </x:c>
      <x:c r="G866" s="23" t="str">
        <x:f>IF(E866=F866,"PASS","FAIL")</x:f>
        <x:v>PASS</x:v>
      </x:c>
    </x:row>
    <x:row r="867">
      <x:c r="B867" s="21" t="str">
        <x:v>A00861</x:v>
      </x:c>
      <x:c r="C867" s="21" t="str">
        <x:v>root</x:v>
      </x:c>
      <x:c r="D867" s="21" t="str">
        <x:v>F33-I3-C data constitution</x:v>
      </x:c>
      <x:c r="E867" s="21" t="n">
        <x:f>IF(AND('Root Data'!G399=Assumptions!C10,'Root Data'!J399=Assumptions!C18,'Root Data'!N399="PASS"),1,0)</x:f>
        <x:v>1</x:v>
      </x:c>
      <x:c r="F867" s="21" t="n">
        <x:v>1</x:v>
      </x:c>
      <x:c r="G867" s="23" t="str">
        <x:f>IF(E867=F867,"PASS","FAIL")</x:f>
        <x:v>PASS</x:v>
      </x:c>
    </x:row>
    <x:row r="868">
      <x:c r="B868" s="21" t="str">
        <x:v>A00862</x:v>
      </x:c>
      <x:c r="C868" s="21" t="str">
        <x:v>root</x:v>
      </x:c>
      <x:c r="D868" s="21" t="str">
        <x:v>F33-I4-A data constitution</x:v>
      </x:c>
      <x:c r="E868" s="21" t="n">
        <x:f>IF(AND('Root Data'!G400=Assumptions!C10,'Root Data'!J400=Assumptions!C18,'Root Data'!N400="PASS"),1,0)</x:f>
        <x:v>1</x:v>
      </x:c>
      <x:c r="F868" s="21" t="n">
        <x:v>1</x:v>
      </x:c>
      <x:c r="G868" s="23" t="str">
        <x:f>IF(E868=F868,"PASS","FAIL")</x:f>
        <x:v>PASS</x:v>
      </x:c>
    </x:row>
    <x:row r="869">
      <x:c r="B869" s="21" t="str">
        <x:v>A00863</x:v>
      </x:c>
      <x:c r="C869" s="21" t="str">
        <x:v>root</x:v>
      </x:c>
      <x:c r="D869" s="21" t="str">
        <x:v>F33-I4-B data constitution</x:v>
      </x:c>
      <x:c r="E869" s="21" t="n">
        <x:f>IF(AND('Root Data'!G401=Assumptions!C10,'Root Data'!J401=Assumptions!C18,'Root Data'!N401="PASS"),1,0)</x:f>
        <x:v>1</x:v>
      </x:c>
      <x:c r="F869" s="21" t="n">
        <x:v>1</x:v>
      </x:c>
      <x:c r="G869" s="23" t="str">
        <x:f>IF(E869=F869,"PASS","FAIL")</x:f>
        <x:v>PASS</x:v>
      </x:c>
    </x:row>
    <x:row r="870">
      <x:c r="B870" s="21" t="str">
        <x:v>A00864</x:v>
      </x:c>
      <x:c r="C870" s="21" t="str">
        <x:v>root</x:v>
      </x:c>
      <x:c r="D870" s="21" t="str">
        <x:v>F33-I4-C data constitution</x:v>
      </x:c>
      <x:c r="E870" s="21" t="n">
        <x:f>IF(AND('Root Data'!G402=Assumptions!C10,'Root Data'!J402=Assumptions!C18,'Root Data'!N402="PASS"),1,0)</x:f>
        <x:v>1</x:v>
      </x:c>
      <x:c r="F870" s="21" t="n">
        <x:v>1</x:v>
      </x:c>
      <x:c r="G870" s="23" t="str">
        <x:f>IF(E870=F870,"PASS","FAIL")</x:f>
        <x:v>PASS</x:v>
      </x:c>
    </x:row>
    <x:row r="871">
      <x:c r="B871" s="21" t="str">
        <x:v>A00865</x:v>
      </x:c>
      <x:c r="C871" s="21" t="str">
        <x:v>root</x:v>
      </x:c>
      <x:c r="D871" s="21" t="str">
        <x:v>F34-I1-A data constitution</x:v>
      </x:c>
      <x:c r="E871" s="21" t="n">
        <x:f>IF(AND('Root Data'!G403=Assumptions!C10,'Root Data'!J403=Assumptions!C18,'Root Data'!N403="PASS"),1,0)</x:f>
        <x:v>1</x:v>
      </x:c>
      <x:c r="F871" s="21" t="n">
        <x:v>1</x:v>
      </x:c>
      <x:c r="G871" s="23" t="str">
        <x:f>IF(E871=F871,"PASS","FAIL")</x:f>
        <x:v>PASS</x:v>
      </x:c>
    </x:row>
    <x:row r="872">
      <x:c r="B872" s="21" t="str">
        <x:v>A00866</x:v>
      </x:c>
      <x:c r="C872" s="21" t="str">
        <x:v>root</x:v>
      </x:c>
      <x:c r="D872" s="21" t="str">
        <x:v>F34-I1-B data constitution</x:v>
      </x:c>
      <x:c r="E872" s="21" t="n">
        <x:f>IF(AND('Root Data'!G404=Assumptions!C10,'Root Data'!J404=Assumptions!C18,'Root Data'!N404="PASS"),1,0)</x:f>
        <x:v>1</x:v>
      </x:c>
      <x:c r="F872" s="21" t="n">
        <x:v>1</x:v>
      </x:c>
      <x:c r="G872" s="23" t="str">
        <x:f>IF(E872=F872,"PASS","FAIL")</x:f>
        <x:v>PASS</x:v>
      </x:c>
    </x:row>
    <x:row r="873">
      <x:c r="B873" s="21" t="str">
        <x:v>A00867</x:v>
      </x:c>
      <x:c r="C873" s="21" t="str">
        <x:v>root</x:v>
      </x:c>
      <x:c r="D873" s="21" t="str">
        <x:v>F34-I1-C data constitution</x:v>
      </x:c>
      <x:c r="E873" s="21" t="n">
        <x:f>IF(AND('Root Data'!G405=Assumptions!C10,'Root Data'!J405=Assumptions!C18,'Root Data'!N405="PASS"),1,0)</x:f>
        <x:v>1</x:v>
      </x:c>
      <x:c r="F873" s="21" t="n">
        <x:v>1</x:v>
      </x:c>
      <x:c r="G873" s="23" t="str">
        <x:f>IF(E873=F873,"PASS","FAIL")</x:f>
        <x:v>PASS</x:v>
      </x:c>
    </x:row>
    <x:row r="874">
      <x:c r="B874" s="21" t="str">
        <x:v>A00868</x:v>
      </x:c>
      <x:c r="C874" s="21" t="str">
        <x:v>root</x:v>
      </x:c>
      <x:c r="D874" s="21" t="str">
        <x:v>F34-I2-A data constitution</x:v>
      </x:c>
      <x:c r="E874" s="21" t="n">
        <x:f>IF(AND('Root Data'!G406=Assumptions!C10,'Root Data'!J406=Assumptions!C18,'Root Data'!N406="PASS"),1,0)</x:f>
        <x:v>1</x:v>
      </x:c>
      <x:c r="F874" s="21" t="n">
        <x:v>1</x:v>
      </x:c>
      <x:c r="G874" s="23" t="str">
        <x:f>IF(E874=F874,"PASS","FAIL")</x:f>
        <x:v>PASS</x:v>
      </x:c>
    </x:row>
    <x:row r="875">
      <x:c r="B875" s="21" t="str">
        <x:v>A00869</x:v>
      </x:c>
      <x:c r="C875" s="21" t="str">
        <x:v>root</x:v>
      </x:c>
      <x:c r="D875" s="21" t="str">
        <x:v>F34-I2-B data constitution</x:v>
      </x:c>
      <x:c r="E875" s="21" t="n">
        <x:f>IF(AND('Root Data'!G407=Assumptions!C10,'Root Data'!J407=Assumptions!C18,'Root Data'!N407="PASS"),1,0)</x:f>
        <x:v>1</x:v>
      </x:c>
      <x:c r="F875" s="21" t="n">
        <x:v>1</x:v>
      </x:c>
      <x:c r="G875" s="23" t="str">
        <x:f>IF(E875=F875,"PASS","FAIL")</x:f>
        <x:v>PASS</x:v>
      </x:c>
    </x:row>
    <x:row r="876">
      <x:c r="B876" s="21" t="str">
        <x:v>A00870</x:v>
      </x:c>
      <x:c r="C876" s="21" t="str">
        <x:v>root</x:v>
      </x:c>
      <x:c r="D876" s="21" t="str">
        <x:v>F34-I2-C data constitution</x:v>
      </x:c>
      <x:c r="E876" s="21" t="n">
        <x:f>IF(AND('Root Data'!G408=Assumptions!C10,'Root Data'!J408=Assumptions!C18,'Root Data'!N408="PASS"),1,0)</x:f>
        <x:v>1</x:v>
      </x:c>
      <x:c r="F876" s="21" t="n">
        <x:v>1</x:v>
      </x:c>
      <x:c r="G876" s="23" t="str">
        <x:f>IF(E876=F876,"PASS","FAIL")</x:f>
        <x:v>PASS</x:v>
      </x:c>
    </x:row>
    <x:row r="877">
      <x:c r="B877" s="21" t="str">
        <x:v>A00871</x:v>
      </x:c>
      <x:c r="C877" s="21" t="str">
        <x:v>root</x:v>
      </x:c>
      <x:c r="D877" s="21" t="str">
        <x:v>F34-I3-A data constitution</x:v>
      </x:c>
      <x:c r="E877" s="21" t="n">
        <x:f>IF(AND('Root Data'!G409=Assumptions!C10,'Root Data'!J409=Assumptions!C18,'Root Data'!N409="PASS"),1,0)</x:f>
        <x:v>1</x:v>
      </x:c>
      <x:c r="F877" s="21" t="n">
        <x:v>1</x:v>
      </x:c>
      <x:c r="G877" s="23" t="str">
        <x:f>IF(E877=F877,"PASS","FAIL")</x:f>
        <x:v>PASS</x:v>
      </x:c>
    </x:row>
    <x:row r="878">
      <x:c r="B878" s="21" t="str">
        <x:v>A00872</x:v>
      </x:c>
      <x:c r="C878" s="21" t="str">
        <x:v>root</x:v>
      </x:c>
      <x:c r="D878" s="21" t="str">
        <x:v>F34-I3-B data constitution</x:v>
      </x:c>
      <x:c r="E878" s="21" t="n">
        <x:f>IF(AND('Root Data'!G410=Assumptions!C10,'Root Data'!J410=Assumptions!C18,'Root Data'!N410="PASS"),1,0)</x:f>
        <x:v>1</x:v>
      </x:c>
      <x:c r="F878" s="21" t="n">
        <x:v>1</x:v>
      </x:c>
      <x:c r="G878" s="23" t="str">
        <x:f>IF(E878=F878,"PASS","FAIL")</x:f>
        <x:v>PASS</x:v>
      </x:c>
    </x:row>
    <x:row r="879">
      <x:c r="B879" s="21" t="str">
        <x:v>A00873</x:v>
      </x:c>
      <x:c r="C879" s="21" t="str">
        <x:v>root</x:v>
      </x:c>
      <x:c r="D879" s="21" t="str">
        <x:v>F34-I3-C data constitution</x:v>
      </x:c>
      <x:c r="E879" s="21" t="n">
        <x:f>IF(AND('Root Data'!G411=Assumptions!C10,'Root Data'!J411=Assumptions!C18,'Root Data'!N411="PASS"),1,0)</x:f>
        <x:v>1</x:v>
      </x:c>
      <x:c r="F879" s="21" t="n">
        <x:v>1</x:v>
      </x:c>
      <x:c r="G879" s="23" t="str">
        <x:f>IF(E879=F879,"PASS","FAIL")</x:f>
        <x:v>PASS</x:v>
      </x:c>
    </x:row>
    <x:row r="880">
      <x:c r="B880" s="21" t="str">
        <x:v>A00874</x:v>
      </x:c>
      <x:c r="C880" s="21" t="str">
        <x:v>root</x:v>
      </x:c>
      <x:c r="D880" s="21" t="str">
        <x:v>F34-I4-A data constitution</x:v>
      </x:c>
      <x:c r="E880" s="21" t="n">
        <x:f>IF(AND('Root Data'!G412=Assumptions!C10,'Root Data'!J412=Assumptions!C18,'Root Data'!N412="PASS"),1,0)</x:f>
        <x:v>1</x:v>
      </x:c>
      <x:c r="F880" s="21" t="n">
        <x:v>1</x:v>
      </x:c>
      <x:c r="G880" s="23" t="str">
        <x:f>IF(E880=F880,"PASS","FAIL")</x:f>
        <x:v>PASS</x:v>
      </x:c>
    </x:row>
    <x:row r="881">
      <x:c r="B881" s="21" t="str">
        <x:v>A00875</x:v>
      </x:c>
      <x:c r="C881" s="21" t="str">
        <x:v>root</x:v>
      </x:c>
      <x:c r="D881" s="21" t="str">
        <x:v>F34-I4-B data constitution</x:v>
      </x:c>
      <x:c r="E881" s="21" t="n">
        <x:f>IF(AND('Root Data'!G413=Assumptions!C10,'Root Data'!J413=Assumptions!C18,'Root Data'!N413="PASS"),1,0)</x:f>
        <x:v>1</x:v>
      </x:c>
      <x:c r="F881" s="21" t="n">
        <x:v>1</x:v>
      </x:c>
      <x:c r="G881" s="23" t="str">
        <x:f>IF(E881=F881,"PASS","FAIL")</x:f>
        <x:v>PASS</x:v>
      </x:c>
    </x:row>
    <x:row r="882">
      <x:c r="B882" s="21" t="str">
        <x:v>A00876</x:v>
      </x:c>
      <x:c r="C882" s="21" t="str">
        <x:v>root</x:v>
      </x:c>
      <x:c r="D882" s="21" t="str">
        <x:v>F34-I4-C data constitution</x:v>
      </x:c>
      <x:c r="E882" s="21" t="n">
        <x:f>IF(AND('Root Data'!G414=Assumptions!C10,'Root Data'!J414=Assumptions!C18,'Root Data'!N414="PASS"),1,0)</x:f>
        <x:v>1</x:v>
      </x:c>
      <x:c r="F882" s="21" t="n">
        <x:v>1</x:v>
      </x:c>
      <x:c r="G882" s="23" t="str">
        <x:f>IF(E882=F882,"PASS","FAIL")</x:f>
        <x:v>PASS</x:v>
      </x:c>
    </x:row>
    <x:row r="883">
      <x:c r="B883" s="21" t="str">
        <x:v>A00877</x:v>
      </x:c>
      <x:c r="C883" s="21" t="str">
        <x:v>root</x:v>
      </x:c>
      <x:c r="D883" s="21" t="str">
        <x:v>F35-I1-A data constitution</x:v>
      </x:c>
      <x:c r="E883" s="21" t="n">
        <x:f>IF(AND('Root Data'!G415=Assumptions!C10,'Root Data'!J415=Assumptions!C18,'Root Data'!N415="PASS"),1,0)</x:f>
        <x:v>1</x:v>
      </x:c>
      <x:c r="F883" s="21" t="n">
        <x:v>1</x:v>
      </x:c>
      <x:c r="G883" s="23" t="str">
        <x:f>IF(E883=F883,"PASS","FAIL")</x:f>
        <x:v>PASS</x:v>
      </x:c>
    </x:row>
    <x:row r="884">
      <x:c r="B884" s="21" t="str">
        <x:v>A00878</x:v>
      </x:c>
      <x:c r="C884" s="21" t="str">
        <x:v>root</x:v>
      </x:c>
      <x:c r="D884" s="21" t="str">
        <x:v>F35-I1-B data constitution</x:v>
      </x:c>
      <x:c r="E884" s="21" t="n">
        <x:f>IF(AND('Root Data'!G416=Assumptions!C10,'Root Data'!J416=Assumptions!C18,'Root Data'!N416="PASS"),1,0)</x:f>
        <x:v>1</x:v>
      </x:c>
      <x:c r="F884" s="21" t="n">
        <x:v>1</x:v>
      </x:c>
      <x:c r="G884" s="23" t="str">
        <x:f>IF(E884=F884,"PASS","FAIL")</x:f>
        <x:v>PASS</x:v>
      </x:c>
    </x:row>
    <x:row r="885">
      <x:c r="B885" s="21" t="str">
        <x:v>A00879</x:v>
      </x:c>
      <x:c r="C885" s="21" t="str">
        <x:v>root</x:v>
      </x:c>
      <x:c r="D885" s="21" t="str">
        <x:v>F35-I1-C data constitution</x:v>
      </x:c>
      <x:c r="E885" s="21" t="n">
        <x:f>IF(AND('Root Data'!G417=Assumptions!C10,'Root Data'!J417=Assumptions!C18,'Root Data'!N417="PASS"),1,0)</x:f>
        <x:v>1</x:v>
      </x:c>
      <x:c r="F885" s="21" t="n">
        <x:v>1</x:v>
      </x:c>
      <x:c r="G885" s="23" t="str">
        <x:f>IF(E885=F885,"PASS","FAIL")</x:f>
        <x:v>PASS</x:v>
      </x:c>
    </x:row>
    <x:row r="886">
      <x:c r="B886" s="21" t="str">
        <x:v>A00880</x:v>
      </x:c>
      <x:c r="C886" s="21" t="str">
        <x:v>root</x:v>
      </x:c>
      <x:c r="D886" s="21" t="str">
        <x:v>F35-I2-A data constitution</x:v>
      </x:c>
      <x:c r="E886" s="21" t="n">
        <x:f>IF(AND('Root Data'!G418=Assumptions!C10,'Root Data'!J418=Assumptions!C18,'Root Data'!N418="PASS"),1,0)</x:f>
        <x:v>1</x:v>
      </x:c>
      <x:c r="F886" s="21" t="n">
        <x:v>1</x:v>
      </x:c>
      <x:c r="G886" s="23" t="str">
        <x:f>IF(E886=F886,"PASS","FAIL")</x:f>
        <x:v>PASS</x:v>
      </x:c>
    </x:row>
    <x:row r="887">
      <x:c r="B887" s="21" t="str">
        <x:v>A00881</x:v>
      </x:c>
      <x:c r="C887" s="21" t="str">
        <x:v>root</x:v>
      </x:c>
      <x:c r="D887" s="21" t="str">
        <x:v>F35-I2-B data constitution</x:v>
      </x:c>
      <x:c r="E887" s="21" t="n">
        <x:f>IF(AND('Root Data'!G419=Assumptions!C10,'Root Data'!J419=Assumptions!C18,'Root Data'!N419="PASS"),1,0)</x:f>
        <x:v>1</x:v>
      </x:c>
      <x:c r="F887" s="21" t="n">
        <x:v>1</x:v>
      </x:c>
      <x:c r="G887" s="23" t="str">
        <x:f>IF(E887=F887,"PASS","FAIL")</x:f>
        <x:v>PASS</x:v>
      </x:c>
    </x:row>
    <x:row r="888">
      <x:c r="B888" s="21" t="str">
        <x:v>A00882</x:v>
      </x:c>
      <x:c r="C888" s="21" t="str">
        <x:v>root</x:v>
      </x:c>
      <x:c r="D888" s="21" t="str">
        <x:v>F35-I2-C data constitution</x:v>
      </x:c>
      <x:c r="E888" s="21" t="n">
        <x:f>IF(AND('Root Data'!G420=Assumptions!C10,'Root Data'!J420=Assumptions!C18,'Root Data'!N420="PASS"),1,0)</x:f>
        <x:v>1</x:v>
      </x:c>
      <x:c r="F888" s="21" t="n">
        <x:v>1</x:v>
      </x:c>
      <x:c r="G888" s="23" t="str">
        <x:f>IF(E888=F888,"PASS","FAIL")</x:f>
        <x:v>PASS</x:v>
      </x:c>
    </x:row>
    <x:row r="889">
      <x:c r="B889" s="21" t="str">
        <x:v>A00883</x:v>
      </x:c>
      <x:c r="C889" s="21" t="str">
        <x:v>root</x:v>
      </x:c>
      <x:c r="D889" s="21" t="str">
        <x:v>F35-I3-A data constitution</x:v>
      </x:c>
      <x:c r="E889" s="21" t="n">
        <x:f>IF(AND('Root Data'!G421=Assumptions!C10,'Root Data'!J421=Assumptions!C18,'Root Data'!N421="PASS"),1,0)</x:f>
        <x:v>1</x:v>
      </x:c>
      <x:c r="F889" s="21" t="n">
        <x:v>1</x:v>
      </x:c>
      <x:c r="G889" s="23" t="str">
        <x:f>IF(E889=F889,"PASS","FAIL")</x:f>
        <x:v>PASS</x:v>
      </x:c>
    </x:row>
    <x:row r="890">
      <x:c r="B890" s="21" t="str">
        <x:v>A00884</x:v>
      </x:c>
      <x:c r="C890" s="21" t="str">
        <x:v>root</x:v>
      </x:c>
      <x:c r="D890" s="21" t="str">
        <x:v>F35-I3-B data constitution</x:v>
      </x:c>
      <x:c r="E890" s="21" t="n">
        <x:f>IF(AND('Root Data'!G422=Assumptions!C10,'Root Data'!J422=Assumptions!C18,'Root Data'!N422="PASS"),1,0)</x:f>
        <x:v>1</x:v>
      </x:c>
      <x:c r="F890" s="21" t="n">
        <x:v>1</x:v>
      </x:c>
      <x:c r="G890" s="23" t="str">
        <x:f>IF(E890=F890,"PASS","FAIL")</x:f>
        <x:v>PASS</x:v>
      </x:c>
    </x:row>
    <x:row r="891">
      <x:c r="B891" s="21" t="str">
        <x:v>A00885</x:v>
      </x:c>
      <x:c r="C891" s="21" t="str">
        <x:v>root</x:v>
      </x:c>
      <x:c r="D891" s="21" t="str">
        <x:v>F35-I3-C data constitution</x:v>
      </x:c>
      <x:c r="E891" s="21" t="n">
        <x:f>IF(AND('Root Data'!G423=Assumptions!C10,'Root Data'!J423=Assumptions!C18,'Root Data'!N423="PASS"),1,0)</x:f>
        <x:v>1</x:v>
      </x:c>
      <x:c r="F891" s="21" t="n">
        <x:v>1</x:v>
      </x:c>
      <x:c r="G891" s="23" t="str">
        <x:f>IF(E891=F891,"PASS","FAIL")</x:f>
        <x:v>PASS</x:v>
      </x:c>
    </x:row>
    <x:row r="892">
      <x:c r="B892" s="21" t="str">
        <x:v>A00886</x:v>
      </x:c>
      <x:c r="C892" s="21" t="str">
        <x:v>root</x:v>
      </x:c>
      <x:c r="D892" s="21" t="str">
        <x:v>F35-I4-A data constitution</x:v>
      </x:c>
      <x:c r="E892" s="21" t="n">
        <x:f>IF(AND('Root Data'!G424=Assumptions!C10,'Root Data'!J424=Assumptions!C18,'Root Data'!N424="PASS"),1,0)</x:f>
        <x:v>1</x:v>
      </x:c>
      <x:c r="F892" s="21" t="n">
        <x:v>1</x:v>
      </x:c>
      <x:c r="G892" s="23" t="str">
        <x:f>IF(E892=F892,"PASS","FAIL")</x:f>
        <x:v>PASS</x:v>
      </x:c>
    </x:row>
    <x:row r="893">
      <x:c r="B893" s="21" t="str">
        <x:v>A00887</x:v>
      </x:c>
      <x:c r="C893" s="21" t="str">
        <x:v>root</x:v>
      </x:c>
      <x:c r="D893" s="21" t="str">
        <x:v>F35-I4-B data constitution</x:v>
      </x:c>
      <x:c r="E893" s="21" t="n">
        <x:f>IF(AND('Root Data'!G425=Assumptions!C10,'Root Data'!J425=Assumptions!C18,'Root Data'!N425="PASS"),1,0)</x:f>
        <x:v>1</x:v>
      </x:c>
      <x:c r="F893" s="21" t="n">
        <x:v>1</x:v>
      </x:c>
      <x:c r="G893" s="23" t="str">
        <x:f>IF(E893=F893,"PASS","FAIL")</x:f>
        <x:v>PASS</x:v>
      </x:c>
    </x:row>
    <x:row r="894">
      <x:c r="B894" s="21" t="str">
        <x:v>A00888</x:v>
      </x:c>
      <x:c r="C894" s="21" t="str">
        <x:v>root</x:v>
      </x:c>
      <x:c r="D894" s="21" t="str">
        <x:v>F35-I4-C data constitution</x:v>
      </x:c>
      <x:c r="E894" s="21" t="n">
        <x:f>IF(AND('Root Data'!G426=Assumptions!C10,'Root Data'!J426=Assumptions!C18,'Root Data'!N426="PASS"),1,0)</x:f>
        <x:v>1</x:v>
      </x:c>
      <x:c r="F894" s="21" t="n">
        <x:v>1</x:v>
      </x:c>
      <x:c r="G894" s="23" t="str">
        <x:f>IF(E894=F894,"PASS","FAIL")</x:f>
        <x:v>PASS</x:v>
      </x:c>
    </x:row>
    <x:row r="895">
      <x:c r="B895" s="21" t="str">
        <x:v>A00889</x:v>
      </x:c>
      <x:c r="C895" s="21" t="str">
        <x:v>root</x:v>
      </x:c>
      <x:c r="D895" s="21" t="str">
        <x:v>F36-I1-A data constitution</x:v>
      </x:c>
      <x:c r="E895" s="21" t="n">
        <x:f>IF(AND('Root Data'!G427=Assumptions!C10,'Root Data'!J427=Assumptions!C18,'Root Data'!N427="PASS"),1,0)</x:f>
        <x:v>1</x:v>
      </x:c>
      <x:c r="F895" s="21" t="n">
        <x:v>1</x:v>
      </x:c>
      <x:c r="G895" s="23" t="str">
        <x:f>IF(E895=F895,"PASS","FAIL")</x:f>
        <x:v>PASS</x:v>
      </x:c>
    </x:row>
    <x:row r="896">
      <x:c r="B896" s="21" t="str">
        <x:v>A00890</x:v>
      </x:c>
      <x:c r="C896" s="21" t="str">
        <x:v>root</x:v>
      </x:c>
      <x:c r="D896" s="21" t="str">
        <x:v>F36-I1-B data constitution</x:v>
      </x:c>
      <x:c r="E896" s="21" t="n">
        <x:f>IF(AND('Root Data'!G428=Assumptions!C10,'Root Data'!J428=Assumptions!C18,'Root Data'!N428="PASS"),1,0)</x:f>
        <x:v>1</x:v>
      </x:c>
      <x:c r="F896" s="21" t="n">
        <x:v>1</x:v>
      </x:c>
      <x:c r="G896" s="23" t="str">
        <x:f>IF(E896=F896,"PASS","FAIL")</x:f>
        <x:v>PASS</x:v>
      </x:c>
    </x:row>
    <x:row r="897">
      <x:c r="B897" s="21" t="str">
        <x:v>A00891</x:v>
      </x:c>
      <x:c r="C897" s="21" t="str">
        <x:v>root</x:v>
      </x:c>
      <x:c r="D897" s="21" t="str">
        <x:v>F36-I1-C data constitution</x:v>
      </x:c>
      <x:c r="E897" s="21" t="n">
        <x:f>IF(AND('Root Data'!G429=Assumptions!C10,'Root Data'!J429=Assumptions!C18,'Root Data'!N429="PASS"),1,0)</x:f>
        <x:v>1</x:v>
      </x:c>
      <x:c r="F897" s="21" t="n">
        <x:v>1</x:v>
      </x:c>
      <x:c r="G897" s="23" t="str">
        <x:f>IF(E897=F897,"PASS","FAIL")</x:f>
        <x:v>PASS</x:v>
      </x:c>
    </x:row>
    <x:row r="898">
      <x:c r="B898" s="21" t="str">
        <x:v>A00892</x:v>
      </x:c>
      <x:c r="C898" s="21" t="str">
        <x:v>root</x:v>
      </x:c>
      <x:c r="D898" s="21" t="str">
        <x:v>F36-I2-A data constitution</x:v>
      </x:c>
      <x:c r="E898" s="21" t="n">
        <x:f>IF(AND('Root Data'!G430=Assumptions!C10,'Root Data'!J430=Assumptions!C18,'Root Data'!N430="PASS"),1,0)</x:f>
        <x:v>1</x:v>
      </x:c>
      <x:c r="F898" s="21" t="n">
        <x:v>1</x:v>
      </x:c>
      <x:c r="G898" s="23" t="str">
        <x:f>IF(E898=F898,"PASS","FAIL")</x:f>
        <x:v>PASS</x:v>
      </x:c>
    </x:row>
    <x:row r="899">
      <x:c r="B899" s="21" t="str">
        <x:v>A00893</x:v>
      </x:c>
      <x:c r="C899" s="21" t="str">
        <x:v>root</x:v>
      </x:c>
      <x:c r="D899" s="21" t="str">
        <x:v>F36-I2-B data constitution</x:v>
      </x:c>
      <x:c r="E899" s="21" t="n">
        <x:f>IF(AND('Root Data'!G431=Assumptions!C10,'Root Data'!J431=Assumptions!C18,'Root Data'!N431="PASS"),1,0)</x:f>
        <x:v>1</x:v>
      </x:c>
      <x:c r="F899" s="21" t="n">
        <x:v>1</x:v>
      </x:c>
      <x:c r="G899" s="23" t="str">
        <x:f>IF(E899=F899,"PASS","FAIL")</x:f>
        <x:v>PASS</x:v>
      </x:c>
    </x:row>
    <x:row r="900">
      <x:c r="B900" s="21" t="str">
        <x:v>A00894</x:v>
      </x:c>
      <x:c r="C900" s="21" t="str">
        <x:v>root</x:v>
      </x:c>
      <x:c r="D900" s="21" t="str">
        <x:v>F36-I2-C data constitution</x:v>
      </x:c>
      <x:c r="E900" s="21" t="n">
        <x:f>IF(AND('Root Data'!G432=Assumptions!C10,'Root Data'!J432=Assumptions!C18,'Root Data'!N432="PASS"),1,0)</x:f>
        <x:v>1</x:v>
      </x:c>
      <x:c r="F900" s="21" t="n">
        <x:v>1</x:v>
      </x:c>
      <x:c r="G900" s="23" t="str">
        <x:f>IF(E900=F900,"PASS","FAIL")</x:f>
        <x:v>PASS</x:v>
      </x:c>
    </x:row>
    <x:row r="901">
      <x:c r="B901" s="21" t="str">
        <x:v>A00895</x:v>
      </x:c>
      <x:c r="C901" s="21" t="str">
        <x:v>root</x:v>
      </x:c>
      <x:c r="D901" s="21" t="str">
        <x:v>F36-I3-A data constitution</x:v>
      </x:c>
      <x:c r="E901" s="21" t="n">
        <x:f>IF(AND('Root Data'!G433=Assumptions!C10,'Root Data'!J433=Assumptions!C18,'Root Data'!N433="PASS"),1,0)</x:f>
        <x:v>1</x:v>
      </x:c>
      <x:c r="F901" s="21" t="n">
        <x:v>1</x:v>
      </x:c>
      <x:c r="G901" s="23" t="str">
        <x:f>IF(E901=F901,"PASS","FAIL")</x:f>
        <x:v>PASS</x:v>
      </x:c>
    </x:row>
    <x:row r="902">
      <x:c r="B902" s="21" t="str">
        <x:v>A00896</x:v>
      </x:c>
      <x:c r="C902" s="21" t="str">
        <x:v>root</x:v>
      </x:c>
      <x:c r="D902" s="21" t="str">
        <x:v>F36-I3-B data constitution</x:v>
      </x:c>
      <x:c r="E902" s="21" t="n">
        <x:f>IF(AND('Root Data'!G434=Assumptions!C10,'Root Data'!J434=Assumptions!C18,'Root Data'!N434="PASS"),1,0)</x:f>
        <x:v>1</x:v>
      </x:c>
      <x:c r="F902" s="21" t="n">
        <x:v>1</x:v>
      </x:c>
      <x:c r="G902" s="23" t="str">
        <x:f>IF(E902=F902,"PASS","FAIL")</x:f>
        <x:v>PASS</x:v>
      </x:c>
    </x:row>
    <x:row r="903">
      <x:c r="B903" s="21" t="str">
        <x:v>A00897</x:v>
      </x:c>
      <x:c r="C903" s="21" t="str">
        <x:v>root</x:v>
      </x:c>
      <x:c r="D903" s="21" t="str">
        <x:v>F36-I3-C data constitution</x:v>
      </x:c>
      <x:c r="E903" s="21" t="n">
        <x:f>IF(AND('Root Data'!G435=Assumptions!C10,'Root Data'!J435=Assumptions!C18,'Root Data'!N435="PASS"),1,0)</x:f>
        <x:v>1</x:v>
      </x:c>
      <x:c r="F903" s="21" t="n">
        <x:v>1</x:v>
      </x:c>
      <x:c r="G903" s="23" t="str">
        <x:f>IF(E903=F903,"PASS","FAIL")</x:f>
        <x:v>PASS</x:v>
      </x:c>
    </x:row>
    <x:row r="904">
      <x:c r="B904" s="21" t="str">
        <x:v>A00898</x:v>
      </x:c>
      <x:c r="C904" s="21" t="str">
        <x:v>root</x:v>
      </x:c>
      <x:c r="D904" s="21" t="str">
        <x:v>F36-I4-A data constitution</x:v>
      </x:c>
      <x:c r="E904" s="21" t="n">
        <x:f>IF(AND('Root Data'!G436=Assumptions!C10,'Root Data'!J436=Assumptions!C18,'Root Data'!N436="PASS"),1,0)</x:f>
        <x:v>1</x:v>
      </x:c>
      <x:c r="F904" s="21" t="n">
        <x:v>1</x:v>
      </x:c>
      <x:c r="G904" s="23" t="str">
        <x:f>IF(E904=F904,"PASS","FAIL")</x:f>
        <x:v>PASS</x:v>
      </x:c>
    </x:row>
    <x:row r="905">
      <x:c r="B905" s="21" t="str">
        <x:v>A00899</x:v>
      </x:c>
      <x:c r="C905" s="21" t="str">
        <x:v>root</x:v>
      </x:c>
      <x:c r="D905" s="21" t="str">
        <x:v>F36-I4-B data constitution</x:v>
      </x:c>
      <x:c r="E905" s="21" t="n">
        <x:f>IF(AND('Root Data'!G437=Assumptions!C10,'Root Data'!J437=Assumptions!C18,'Root Data'!N437="PASS"),1,0)</x:f>
        <x:v>1</x:v>
      </x:c>
      <x:c r="F905" s="21" t="n">
        <x:v>1</x:v>
      </x:c>
      <x:c r="G905" s="23" t="str">
        <x:f>IF(E905=F905,"PASS","FAIL")</x:f>
        <x:v>PASS</x:v>
      </x:c>
    </x:row>
    <x:row r="906">
      <x:c r="B906" s="21" t="str">
        <x:v>A00900</x:v>
      </x:c>
      <x:c r="C906" s="21" t="str">
        <x:v>root</x:v>
      </x:c>
      <x:c r="D906" s="21" t="str">
        <x:v>F36-I4-C data constitution</x:v>
      </x:c>
      <x:c r="E906" s="21" t="n">
        <x:f>IF(AND('Root Data'!G438=Assumptions!C10,'Root Data'!J438=Assumptions!C18,'Root Data'!N438="PASS"),1,0)</x:f>
        <x:v>1</x:v>
      </x:c>
      <x:c r="F906" s="21" t="n">
        <x:v>1</x:v>
      </x:c>
      <x:c r="G906" s="23" t="str">
        <x:f>IF(E906=F906,"PASS","FAIL")</x:f>
        <x:v>PASS</x:v>
      </x:c>
    </x:row>
    <x:row r="907">
      <x:c r="B907" s="21" t="str">
        <x:v>A00901</x:v>
      </x:c>
      <x:c r="C907" s="21" t="str">
        <x:v>root</x:v>
      </x:c>
      <x:c r="D907" s="21" t="str">
        <x:v>F37-I1-A data constitution</x:v>
      </x:c>
      <x:c r="E907" s="21" t="n">
        <x:f>IF(AND('Root Data'!G439=Assumptions!C10,'Root Data'!J439=Assumptions!C18,'Root Data'!N439="PASS"),1,0)</x:f>
        <x:v>1</x:v>
      </x:c>
      <x:c r="F907" s="21" t="n">
        <x:v>1</x:v>
      </x:c>
      <x:c r="G907" s="23" t="str">
        <x:f>IF(E907=F907,"PASS","FAIL")</x:f>
        <x:v>PASS</x:v>
      </x:c>
    </x:row>
    <x:row r="908">
      <x:c r="B908" s="21" t="str">
        <x:v>A00902</x:v>
      </x:c>
      <x:c r="C908" s="21" t="str">
        <x:v>root</x:v>
      </x:c>
      <x:c r="D908" s="21" t="str">
        <x:v>F37-I1-B data constitution</x:v>
      </x:c>
      <x:c r="E908" s="21" t="n">
        <x:f>IF(AND('Root Data'!G440=Assumptions!C10,'Root Data'!J440=Assumptions!C18,'Root Data'!N440="PASS"),1,0)</x:f>
        <x:v>1</x:v>
      </x:c>
      <x:c r="F908" s="21" t="n">
        <x:v>1</x:v>
      </x:c>
      <x:c r="G908" s="23" t="str">
        <x:f>IF(E908=F908,"PASS","FAIL")</x:f>
        <x:v>PASS</x:v>
      </x:c>
    </x:row>
    <x:row r="909">
      <x:c r="B909" s="21" t="str">
        <x:v>A00903</x:v>
      </x:c>
      <x:c r="C909" s="21" t="str">
        <x:v>root</x:v>
      </x:c>
      <x:c r="D909" s="21" t="str">
        <x:v>F37-I1-C data constitution</x:v>
      </x:c>
      <x:c r="E909" s="21" t="n">
        <x:f>IF(AND('Root Data'!G441=Assumptions!C10,'Root Data'!J441=Assumptions!C18,'Root Data'!N441="PASS"),1,0)</x:f>
        <x:v>1</x:v>
      </x:c>
      <x:c r="F909" s="21" t="n">
        <x:v>1</x:v>
      </x:c>
      <x:c r="G909" s="23" t="str">
        <x:f>IF(E909=F909,"PASS","FAIL")</x:f>
        <x:v>PASS</x:v>
      </x:c>
    </x:row>
    <x:row r="910">
      <x:c r="B910" s="21" t="str">
        <x:v>A00904</x:v>
      </x:c>
      <x:c r="C910" s="21" t="str">
        <x:v>root</x:v>
      </x:c>
      <x:c r="D910" s="21" t="str">
        <x:v>F37-I2-A data constitution</x:v>
      </x:c>
      <x:c r="E910" s="21" t="n">
        <x:f>IF(AND('Root Data'!G442=Assumptions!C10,'Root Data'!J442=Assumptions!C18,'Root Data'!N442="PASS"),1,0)</x:f>
        <x:v>1</x:v>
      </x:c>
      <x:c r="F910" s="21" t="n">
        <x:v>1</x:v>
      </x:c>
      <x:c r="G910" s="23" t="str">
        <x:f>IF(E910=F910,"PASS","FAIL")</x:f>
        <x:v>PASS</x:v>
      </x:c>
    </x:row>
    <x:row r="911">
      <x:c r="B911" s="21" t="str">
        <x:v>A00905</x:v>
      </x:c>
      <x:c r="C911" s="21" t="str">
        <x:v>root</x:v>
      </x:c>
      <x:c r="D911" s="21" t="str">
        <x:v>F37-I2-B data constitution</x:v>
      </x:c>
      <x:c r="E911" s="21" t="n">
        <x:f>IF(AND('Root Data'!G443=Assumptions!C10,'Root Data'!J443=Assumptions!C18,'Root Data'!N443="PASS"),1,0)</x:f>
        <x:v>1</x:v>
      </x:c>
      <x:c r="F911" s="21" t="n">
        <x:v>1</x:v>
      </x:c>
      <x:c r="G911" s="23" t="str">
        <x:f>IF(E911=F911,"PASS","FAIL")</x:f>
        <x:v>PASS</x:v>
      </x:c>
    </x:row>
    <x:row r="912">
      <x:c r="B912" s="21" t="str">
        <x:v>A00906</x:v>
      </x:c>
      <x:c r="C912" s="21" t="str">
        <x:v>root</x:v>
      </x:c>
      <x:c r="D912" s="21" t="str">
        <x:v>F37-I2-C data constitution</x:v>
      </x:c>
      <x:c r="E912" s="21" t="n">
        <x:f>IF(AND('Root Data'!G444=Assumptions!C10,'Root Data'!J444=Assumptions!C18,'Root Data'!N444="PASS"),1,0)</x:f>
        <x:v>1</x:v>
      </x:c>
      <x:c r="F912" s="21" t="n">
        <x:v>1</x:v>
      </x:c>
      <x:c r="G912" s="23" t="str">
        <x:f>IF(E912=F912,"PASS","FAIL")</x:f>
        <x:v>PASS</x:v>
      </x:c>
    </x:row>
    <x:row r="913">
      <x:c r="B913" s="21" t="str">
        <x:v>A00907</x:v>
      </x:c>
      <x:c r="C913" s="21" t="str">
        <x:v>root</x:v>
      </x:c>
      <x:c r="D913" s="21" t="str">
        <x:v>F37-I3-A data constitution</x:v>
      </x:c>
      <x:c r="E913" s="21" t="n">
        <x:f>IF(AND('Root Data'!G445=Assumptions!C10,'Root Data'!J445=Assumptions!C18,'Root Data'!N445="PASS"),1,0)</x:f>
        <x:v>1</x:v>
      </x:c>
      <x:c r="F913" s="21" t="n">
        <x:v>1</x:v>
      </x:c>
      <x:c r="G913" s="23" t="str">
        <x:f>IF(E913=F913,"PASS","FAIL")</x:f>
        <x:v>PASS</x:v>
      </x:c>
    </x:row>
    <x:row r="914">
      <x:c r="B914" s="21" t="str">
        <x:v>A00908</x:v>
      </x:c>
      <x:c r="C914" s="21" t="str">
        <x:v>root</x:v>
      </x:c>
      <x:c r="D914" s="21" t="str">
        <x:v>F37-I3-B data constitution</x:v>
      </x:c>
      <x:c r="E914" s="21" t="n">
        <x:f>IF(AND('Root Data'!G446=Assumptions!C10,'Root Data'!J446=Assumptions!C18,'Root Data'!N446="PASS"),1,0)</x:f>
        <x:v>1</x:v>
      </x:c>
      <x:c r="F914" s="21" t="n">
        <x:v>1</x:v>
      </x:c>
      <x:c r="G914" s="23" t="str">
        <x:f>IF(E914=F914,"PASS","FAIL")</x:f>
        <x:v>PASS</x:v>
      </x:c>
    </x:row>
    <x:row r="915">
      <x:c r="B915" s="21" t="str">
        <x:v>A00909</x:v>
      </x:c>
      <x:c r="C915" s="21" t="str">
        <x:v>root</x:v>
      </x:c>
      <x:c r="D915" s="21" t="str">
        <x:v>F37-I3-C data constitution</x:v>
      </x:c>
      <x:c r="E915" s="21" t="n">
        <x:f>IF(AND('Root Data'!G447=Assumptions!C10,'Root Data'!J447=Assumptions!C18,'Root Data'!N447="PASS"),1,0)</x:f>
        <x:v>1</x:v>
      </x:c>
      <x:c r="F915" s="21" t="n">
        <x:v>1</x:v>
      </x:c>
      <x:c r="G915" s="23" t="str">
        <x:f>IF(E915=F915,"PASS","FAIL")</x:f>
        <x:v>PASS</x:v>
      </x:c>
    </x:row>
    <x:row r="916">
      <x:c r="B916" s="21" t="str">
        <x:v>A00910</x:v>
      </x:c>
      <x:c r="C916" s="21" t="str">
        <x:v>root</x:v>
      </x:c>
      <x:c r="D916" s="21" t="str">
        <x:v>F37-I4-A data constitution</x:v>
      </x:c>
      <x:c r="E916" s="21" t="n">
        <x:f>IF(AND('Root Data'!G448=Assumptions!C10,'Root Data'!J448=Assumptions!C18,'Root Data'!N448="PASS"),1,0)</x:f>
        <x:v>1</x:v>
      </x:c>
      <x:c r="F916" s="21" t="n">
        <x:v>1</x:v>
      </x:c>
      <x:c r="G916" s="23" t="str">
        <x:f>IF(E916=F916,"PASS","FAIL")</x:f>
        <x:v>PASS</x:v>
      </x:c>
    </x:row>
    <x:row r="917">
      <x:c r="B917" s="21" t="str">
        <x:v>A00911</x:v>
      </x:c>
      <x:c r="C917" s="21" t="str">
        <x:v>root</x:v>
      </x:c>
      <x:c r="D917" s="21" t="str">
        <x:v>F37-I4-B data constitution</x:v>
      </x:c>
      <x:c r="E917" s="21" t="n">
        <x:f>IF(AND('Root Data'!G449=Assumptions!C10,'Root Data'!J449=Assumptions!C18,'Root Data'!N449="PASS"),1,0)</x:f>
        <x:v>1</x:v>
      </x:c>
      <x:c r="F917" s="21" t="n">
        <x:v>1</x:v>
      </x:c>
      <x:c r="G917" s="23" t="str">
        <x:f>IF(E917=F917,"PASS","FAIL")</x:f>
        <x:v>PASS</x:v>
      </x:c>
    </x:row>
    <x:row r="918">
      <x:c r="B918" s="21" t="str">
        <x:v>A00912</x:v>
      </x:c>
      <x:c r="C918" s="21" t="str">
        <x:v>root</x:v>
      </x:c>
      <x:c r="D918" s="21" t="str">
        <x:v>F37-I4-C data constitution</x:v>
      </x:c>
      <x:c r="E918" s="21" t="n">
        <x:f>IF(AND('Root Data'!G450=Assumptions!C10,'Root Data'!J450=Assumptions!C18,'Root Data'!N450="PASS"),1,0)</x:f>
        <x:v>1</x:v>
      </x:c>
      <x:c r="F918" s="21" t="n">
        <x:v>1</x:v>
      </x:c>
      <x:c r="G918" s="23" t="str">
        <x:f>IF(E918=F918,"PASS","FAIL")</x:f>
        <x:v>PASS</x:v>
      </x:c>
    </x:row>
    <x:row r="919">
      <x:c r="B919" s="21" t="str">
        <x:v>A00913</x:v>
      </x:c>
      <x:c r="C919" s="21" t="str">
        <x:v>root</x:v>
      </x:c>
      <x:c r="D919" s="21" t="str">
        <x:v>F38-I1-A data constitution</x:v>
      </x:c>
      <x:c r="E919" s="21" t="n">
        <x:f>IF(AND('Root Data'!G451=Assumptions!C10,'Root Data'!J451=Assumptions!C18,'Root Data'!N451="PASS"),1,0)</x:f>
        <x:v>1</x:v>
      </x:c>
      <x:c r="F919" s="21" t="n">
        <x:v>1</x:v>
      </x:c>
      <x:c r="G919" s="23" t="str">
        <x:f>IF(E919=F919,"PASS","FAIL")</x:f>
        <x:v>PASS</x:v>
      </x:c>
    </x:row>
    <x:row r="920">
      <x:c r="B920" s="21" t="str">
        <x:v>A00914</x:v>
      </x:c>
      <x:c r="C920" s="21" t="str">
        <x:v>root</x:v>
      </x:c>
      <x:c r="D920" s="21" t="str">
        <x:v>F38-I1-B data constitution</x:v>
      </x:c>
      <x:c r="E920" s="21" t="n">
        <x:f>IF(AND('Root Data'!G452=Assumptions!C10,'Root Data'!J452=Assumptions!C18,'Root Data'!N452="PASS"),1,0)</x:f>
        <x:v>1</x:v>
      </x:c>
      <x:c r="F920" s="21" t="n">
        <x:v>1</x:v>
      </x:c>
      <x:c r="G920" s="23" t="str">
        <x:f>IF(E920=F920,"PASS","FAIL")</x:f>
        <x:v>PASS</x:v>
      </x:c>
    </x:row>
    <x:row r="921">
      <x:c r="B921" s="21" t="str">
        <x:v>A00915</x:v>
      </x:c>
      <x:c r="C921" s="21" t="str">
        <x:v>root</x:v>
      </x:c>
      <x:c r="D921" s="21" t="str">
        <x:v>F38-I1-C data constitution</x:v>
      </x:c>
      <x:c r="E921" s="21" t="n">
        <x:f>IF(AND('Root Data'!G453=Assumptions!C10,'Root Data'!J453=Assumptions!C18,'Root Data'!N453="PASS"),1,0)</x:f>
        <x:v>1</x:v>
      </x:c>
      <x:c r="F921" s="21" t="n">
        <x:v>1</x:v>
      </x:c>
      <x:c r="G921" s="23" t="str">
        <x:f>IF(E921=F921,"PASS","FAIL")</x:f>
        <x:v>PASS</x:v>
      </x:c>
    </x:row>
    <x:row r="922">
      <x:c r="B922" s="21" t="str">
        <x:v>A00916</x:v>
      </x:c>
      <x:c r="C922" s="21" t="str">
        <x:v>root</x:v>
      </x:c>
      <x:c r="D922" s="21" t="str">
        <x:v>F38-I2-A data constitution</x:v>
      </x:c>
      <x:c r="E922" s="21" t="n">
        <x:f>IF(AND('Root Data'!G454=Assumptions!C10,'Root Data'!J454=Assumptions!C18,'Root Data'!N454="PASS"),1,0)</x:f>
        <x:v>1</x:v>
      </x:c>
      <x:c r="F922" s="21" t="n">
        <x:v>1</x:v>
      </x:c>
      <x:c r="G922" s="23" t="str">
        <x:f>IF(E922=F922,"PASS","FAIL")</x:f>
        <x:v>PASS</x:v>
      </x:c>
    </x:row>
    <x:row r="923">
      <x:c r="B923" s="21" t="str">
        <x:v>A00917</x:v>
      </x:c>
      <x:c r="C923" s="21" t="str">
        <x:v>root</x:v>
      </x:c>
      <x:c r="D923" s="21" t="str">
        <x:v>F38-I2-B data constitution</x:v>
      </x:c>
      <x:c r="E923" s="21" t="n">
        <x:f>IF(AND('Root Data'!G455=Assumptions!C10,'Root Data'!J455=Assumptions!C18,'Root Data'!N455="PASS"),1,0)</x:f>
        <x:v>1</x:v>
      </x:c>
      <x:c r="F923" s="21" t="n">
        <x:v>1</x:v>
      </x:c>
      <x:c r="G923" s="23" t="str">
        <x:f>IF(E923=F923,"PASS","FAIL")</x:f>
        <x:v>PASS</x:v>
      </x:c>
    </x:row>
    <x:row r="924">
      <x:c r="B924" s="21" t="str">
        <x:v>A00918</x:v>
      </x:c>
      <x:c r="C924" s="21" t="str">
        <x:v>root</x:v>
      </x:c>
      <x:c r="D924" s="21" t="str">
        <x:v>F38-I2-C data constitution</x:v>
      </x:c>
      <x:c r="E924" s="21" t="n">
        <x:f>IF(AND('Root Data'!G456=Assumptions!C10,'Root Data'!J456=Assumptions!C18,'Root Data'!N456="PASS"),1,0)</x:f>
        <x:v>1</x:v>
      </x:c>
      <x:c r="F924" s="21" t="n">
        <x:v>1</x:v>
      </x:c>
      <x:c r="G924" s="23" t="str">
        <x:f>IF(E924=F924,"PASS","FAIL")</x:f>
        <x:v>PASS</x:v>
      </x:c>
    </x:row>
    <x:row r="925">
      <x:c r="B925" s="21" t="str">
        <x:v>A00919</x:v>
      </x:c>
      <x:c r="C925" s="21" t="str">
        <x:v>root</x:v>
      </x:c>
      <x:c r="D925" s="21" t="str">
        <x:v>F38-I3-A data constitution</x:v>
      </x:c>
      <x:c r="E925" s="21" t="n">
        <x:f>IF(AND('Root Data'!G457=Assumptions!C10,'Root Data'!J457=Assumptions!C18,'Root Data'!N457="PASS"),1,0)</x:f>
        <x:v>1</x:v>
      </x:c>
      <x:c r="F925" s="21" t="n">
        <x:v>1</x:v>
      </x:c>
      <x:c r="G925" s="23" t="str">
        <x:f>IF(E925=F925,"PASS","FAIL")</x:f>
        <x:v>PASS</x:v>
      </x:c>
    </x:row>
    <x:row r="926">
      <x:c r="B926" s="21" t="str">
        <x:v>A00920</x:v>
      </x:c>
      <x:c r="C926" s="21" t="str">
        <x:v>root</x:v>
      </x:c>
      <x:c r="D926" s="21" t="str">
        <x:v>F38-I3-B data constitution</x:v>
      </x:c>
      <x:c r="E926" s="21" t="n">
        <x:f>IF(AND('Root Data'!G458=Assumptions!C10,'Root Data'!J458=Assumptions!C18,'Root Data'!N458="PASS"),1,0)</x:f>
        <x:v>1</x:v>
      </x:c>
      <x:c r="F926" s="21" t="n">
        <x:v>1</x:v>
      </x:c>
      <x:c r="G926" s="23" t="str">
        <x:f>IF(E926=F926,"PASS","FAIL")</x:f>
        <x:v>PASS</x:v>
      </x:c>
    </x:row>
    <x:row r="927">
      <x:c r="B927" s="21" t="str">
        <x:v>A00921</x:v>
      </x:c>
      <x:c r="C927" s="21" t="str">
        <x:v>root</x:v>
      </x:c>
      <x:c r="D927" s="21" t="str">
        <x:v>F38-I3-C data constitution</x:v>
      </x:c>
      <x:c r="E927" s="21" t="n">
        <x:f>IF(AND('Root Data'!G459=Assumptions!C10,'Root Data'!J459=Assumptions!C18,'Root Data'!N459="PASS"),1,0)</x:f>
        <x:v>1</x:v>
      </x:c>
      <x:c r="F927" s="21" t="n">
        <x:v>1</x:v>
      </x:c>
      <x:c r="G927" s="23" t="str">
        <x:f>IF(E927=F927,"PASS","FAIL")</x:f>
        <x:v>PASS</x:v>
      </x:c>
    </x:row>
    <x:row r="928">
      <x:c r="B928" s="21" t="str">
        <x:v>A00922</x:v>
      </x:c>
      <x:c r="C928" s="21" t="str">
        <x:v>root</x:v>
      </x:c>
      <x:c r="D928" s="21" t="str">
        <x:v>F38-I4-A data constitution</x:v>
      </x:c>
      <x:c r="E928" s="21" t="n">
        <x:f>IF(AND('Root Data'!G460=Assumptions!C10,'Root Data'!J460=Assumptions!C18,'Root Data'!N460="PASS"),1,0)</x:f>
        <x:v>1</x:v>
      </x:c>
      <x:c r="F928" s="21" t="n">
        <x:v>1</x:v>
      </x:c>
      <x:c r="G928" s="23" t="str">
        <x:f>IF(E928=F928,"PASS","FAIL")</x:f>
        <x:v>PASS</x:v>
      </x:c>
    </x:row>
    <x:row r="929">
      <x:c r="B929" s="21" t="str">
        <x:v>A00923</x:v>
      </x:c>
      <x:c r="C929" s="21" t="str">
        <x:v>root</x:v>
      </x:c>
      <x:c r="D929" s="21" t="str">
        <x:v>F38-I4-B data constitution</x:v>
      </x:c>
      <x:c r="E929" s="21" t="n">
        <x:f>IF(AND('Root Data'!G461=Assumptions!C10,'Root Data'!J461=Assumptions!C18,'Root Data'!N461="PASS"),1,0)</x:f>
        <x:v>1</x:v>
      </x:c>
      <x:c r="F929" s="21" t="n">
        <x:v>1</x:v>
      </x:c>
      <x:c r="G929" s="23" t="str">
        <x:f>IF(E929=F929,"PASS","FAIL")</x:f>
        <x:v>PASS</x:v>
      </x:c>
    </x:row>
    <x:row r="930">
      <x:c r="B930" s="21" t="str">
        <x:v>A00924</x:v>
      </x:c>
      <x:c r="C930" s="21" t="str">
        <x:v>root</x:v>
      </x:c>
      <x:c r="D930" s="21" t="str">
        <x:v>F38-I4-C data constitution</x:v>
      </x:c>
      <x:c r="E930" s="21" t="n">
        <x:f>IF(AND('Root Data'!G462=Assumptions!C10,'Root Data'!J462=Assumptions!C18,'Root Data'!N462="PASS"),1,0)</x:f>
        <x:v>1</x:v>
      </x:c>
      <x:c r="F930" s="21" t="n">
        <x:v>1</x:v>
      </x:c>
      <x:c r="G930" s="23" t="str">
        <x:f>IF(E930=F930,"PASS","FAIL")</x:f>
        <x:v>PASS</x:v>
      </x:c>
    </x:row>
    <x:row r="931">
      <x:c r="B931" s="21" t="str">
        <x:v>A00925</x:v>
      </x:c>
      <x:c r="C931" s="21" t="str">
        <x:v>root</x:v>
      </x:c>
      <x:c r="D931" s="21" t="str">
        <x:v>F39-I1-A data constitution</x:v>
      </x:c>
      <x:c r="E931" s="21" t="n">
        <x:f>IF(AND('Root Data'!G463=Assumptions!C10,'Root Data'!J463=Assumptions!C18,'Root Data'!N463="PASS"),1,0)</x:f>
        <x:v>1</x:v>
      </x:c>
      <x:c r="F931" s="21" t="n">
        <x:v>1</x:v>
      </x:c>
      <x:c r="G931" s="23" t="str">
        <x:f>IF(E931=F931,"PASS","FAIL")</x:f>
        <x:v>PASS</x:v>
      </x:c>
    </x:row>
    <x:row r="932">
      <x:c r="B932" s="21" t="str">
        <x:v>A00926</x:v>
      </x:c>
      <x:c r="C932" s="21" t="str">
        <x:v>root</x:v>
      </x:c>
      <x:c r="D932" s="21" t="str">
        <x:v>F39-I1-B data constitution</x:v>
      </x:c>
      <x:c r="E932" s="21" t="n">
        <x:f>IF(AND('Root Data'!G464=Assumptions!C10,'Root Data'!J464=Assumptions!C18,'Root Data'!N464="PASS"),1,0)</x:f>
        <x:v>1</x:v>
      </x:c>
      <x:c r="F932" s="21" t="n">
        <x:v>1</x:v>
      </x:c>
      <x:c r="G932" s="23" t="str">
        <x:f>IF(E932=F932,"PASS","FAIL")</x:f>
        <x:v>PASS</x:v>
      </x:c>
    </x:row>
    <x:row r="933">
      <x:c r="B933" s="21" t="str">
        <x:v>A00927</x:v>
      </x:c>
      <x:c r="C933" s="21" t="str">
        <x:v>root</x:v>
      </x:c>
      <x:c r="D933" s="21" t="str">
        <x:v>F39-I1-C data constitution</x:v>
      </x:c>
      <x:c r="E933" s="21" t="n">
        <x:f>IF(AND('Root Data'!G465=Assumptions!C10,'Root Data'!J465=Assumptions!C18,'Root Data'!N465="PASS"),1,0)</x:f>
        <x:v>1</x:v>
      </x:c>
      <x:c r="F933" s="21" t="n">
        <x:v>1</x:v>
      </x:c>
      <x:c r="G933" s="23" t="str">
        <x:f>IF(E933=F933,"PASS","FAIL")</x:f>
        <x:v>PASS</x:v>
      </x:c>
    </x:row>
    <x:row r="934">
      <x:c r="B934" s="21" t="str">
        <x:v>A00928</x:v>
      </x:c>
      <x:c r="C934" s="21" t="str">
        <x:v>root</x:v>
      </x:c>
      <x:c r="D934" s="21" t="str">
        <x:v>F39-I2-A data constitution</x:v>
      </x:c>
      <x:c r="E934" s="21" t="n">
        <x:f>IF(AND('Root Data'!G466=Assumptions!C10,'Root Data'!J466=Assumptions!C18,'Root Data'!N466="PASS"),1,0)</x:f>
        <x:v>1</x:v>
      </x:c>
      <x:c r="F934" s="21" t="n">
        <x:v>1</x:v>
      </x:c>
      <x:c r="G934" s="23" t="str">
        <x:f>IF(E934=F934,"PASS","FAIL")</x:f>
        <x:v>PASS</x:v>
      </x:c>
    </x:row>
    <x:row r="935">
      <x:c r="B935" s="21" t="str">
        <x:v>A00929</x:v>
      </x:c>
      <x:c r="C935" s="21" t="str">
        <x:v>root</x:v>
      </x:c>
      <x:c r="D935" s="21" t="str">
        <x:v>F39-I2-B data constitution</x:v>
      </x:c>
      <x:c r="E935" s="21" t="n">
        <x:f>IF(AND('Root Data'!G467=Assumptions!C10,'Root Data'!J467=Assumptions!C18,'Root Data'!N467="PASS"),1,0)</x:f>
        <x:v>1</x:v>
      </x:c>
      <x:c r="F935" s="21" t="n">
        <x:v>1</x:v>
      </x:c>
      <x:c r="G935" s="23" t="str">
        <x:f>IF(E935=F935,"PASS","FAIL")</x:f>
        <x:v>PASS</x:v>
      </x:c>
    </x:row>
    <x:row r="936">
      <x:c r="B936" s="21" t="str">
        <x:v>A00930</x:v>
      </x:c>
      <x:c r="C936" s="21" t="str">
        <x:v>root</x:v>
      </x:c>
      <x:c r="D936" s="21" t="str">
        <x:v>F39-I2-C data constitution</x:v>
      </x:c>
      <x:c r="E936" s="21" t="n">
        <x:f>IF(AND('Root Data'!G468=Assumptions!C10,'Root Data'!J468=Assumptions!C18,'Root Data'!N468="PASS"),1,0)</x:f>
        <x:v>1</x:v>
      </x:c>
      <x:c r="F936" s="21" t="n">
        <x:v>1</x:v>
      </x:c>
      <x:c r="G936" s="23" t="str">
        <x:f>IF(E936=F936,"PASS","FAIL")</x:f>
        <x:v>PASS</x:v>
      </x:c>
    </x:row>
    <x:row r="937">
      <x:c r="B937" s="21" t="str">
        <x:v>A00931</x:v>
      </x:c>
      <x:c r="C937" s="21" t="str">
        <x:v>root</x:v>
      </x:c>
      <x:c r="D937" s="21" t="str">
        <x:v>F39-I3-A data constitution</x:v>
      </x:c>
      <x:c r="E937" s="21" t="n">
        <x:f>IF(AND('Root Data'!G469=Assumptions!C10,'Root Data'!J469=Assumptions!C18,'Root Data'!N469="PASS"),1,0)</x:f>
        <x:v>1</x:v>
      </x:c>
      <x:c r="F937" s="21" t="n">
        <x:v>1</x:v>
      </x:c>
      <x:c r="G937" s="23" t="str">
        <x:f>IF(E937=F937,"PASS","FAIL")</x:f>
        <x:v>PASS</x:v>
      </x:c>
    </x:row>
    <x:row r="938">
      <x:c r="B938" s="21" t="str">
        <x:v>A00932</x:v>
      </x:c>
      <x:c r="C938" s="21" t="str">
        <x:v>root</x:v>
      </x:c>
      <x:c r="D938" s="21" t="str">
        <x:v>F39-I3-B data constitution</x:v>
      </x:c>
      <x:c r="E938" s="21" t="n">
        <x:f>IF(AND('Root Data'!G470=Assumptions!C10,'Root Data'!J470=Assumptions!C18,'Root Data'!N470="PASS"),1,0)</x:f>
        <x:v>1</x:v>
      </x:c>
      <x:c r="F938" s="21" t="n">
        <x:v>1</x:v>
      </x:c>
      <x:c r="G938" s="23" t="str">
        <x:f>IF(E938=F938,"PASS","FAIL")</x:f>
        <x:v>PASS</x:v>
      </x:c>
    </x:row>
    <x:row r="939">
      <x:c r="B939" s="21" t="str">
        <x:v>A00933</x:v>
      </x:c>
      <x:c r="C939" s="21" t="str">
        <x:v>root</x:v>
      </x:c>
      <x:c r="D939" s="21" t="str">
        <x:v>F39-I3-C data constitution</x:v>
      </x:c>
      <x:c r="E939" s="21" t="n">
        <x:f>IF(AND('Root Data'!G471=Assumptions!C10,'Root Data'!J471=Assumptions!C18,'Root Data'!N471="PASS"),1,0)</x:f>
        <x:v>1</x:v>
      </x:c>
      <x:c r="F939" s="21" t="n">
        <x:v>1</x:v>
      </x:c>
      <x:c r="G939" s="23" t="str">
        <x:f>IF(E939=F939,"PASS","FAIL")</x:f>
        <x:v>PASS</x:v>
      </x:c>
    </x:row>
    <x:row r="940">
      <x:c r="B940" s="21" t="str">
        <x:v>A00934</x:v>
      </x:c>
      <x:c r="C940" s="21" t="str">
        <x:v>root</x:v>
      </x:c>
      <x:c r="D940" s="21" t="str">
        <x:v>F39-I4-A data constitution</x:v>
      </x:c>
      <x:c r="E940" s="21" t="n">
        <x:f>IF(AND('Root Data'!G472=Assumptions!C10,'Root Data'!J472=Assumptions!C18,'Root Data'!N472="PASS"),1,0)</x:f>
        <x:v>1</x:v>
      </x:c>
      <x:c r="F940" s="21" t="n">
        <x:v>1</x:v>
      </x:c>
      <x:c r="G940" s="23" t="str">
        <x:f>IF(E940=F940,"PASS","FAIL")</x:f>
        <x:v>PASS</x:v>
      </x:c>
    </x:row>
    <x:row r="941">
      <x:c r="B941" s="21" t="str">
        <x:v>A00935</x:v>
      </x:c>
      <x:c r="C941" s="21" t="str">
        <x:v>root</x:v>
      </x:c>
      <x:c r="D941" s="21" t="str">
        <x:v>F39-I4-B data constitution</x:v>
      </x:c>
      <x:c r="E941" s="21" t="n">
        <x:f>IF(AND('Root Data'!G473=Assumptions!C10,'Root Data'!J473=Assumptions!C18,'Root Data'!N473="PASS"),1,0)</x:f>
        <x:v>1</x:v>
      </x:c>
      <x:c r="F941" s="21" t="n">
        <x:v>1</x:v>
      </x:c>
      <x:c r="G941" s="23" t="str">
        <x:f>IF(E941=F941,"PASS","FAIL")</x:f>
        <x:v>PASS</x:v>
      </x:c>
    </x:row>
    <x:row r="942">
      <x:c r="B942" s="21" t="str">
        <x:v>A00936</x:v>
      </x:c>
      <x:c r="C942" s="21" t="str">
        <x:v>root</x:v>
      </x:c>
      <x:c r="D942" s="21" t="str">
        <x:v>F39-I4-C data constitution</x:v>
      </x:c>
      <x:c r="E942" s="21" t="n">
        <x:f>IF(AND('Root Data'!G474=Assumptions!C10,'Root Data'!J474=Assumptions!C18,'Root Data'!N474="PASS"),1,0)</x:f>
        <x:v>1</x:v>
      </x:c>
      <x:c r="F942" s="21" t="n">
        <x:v>1</x:v>
      </x:c>
      <x:c r="G942" s="23" t="str">
        <x:f>IF(E942=F942,"PASS","FAIL")</x:f>
        <x:v>PASS</x:v>
      </x:c>
    </x:row>
    <x:row r="943">
      <x:c r="B943" s="21" t="str">
        <x:v>A00937</x:v>
      </x:c>
      <x:c r="C943" s="21" t="str">
        <x:v>root</x:v>
      </x:c>
      <x:c r="D943" s="21" t="str">
        <x:v>F40-I1-A data constitution</x:v>
      </x:c>
      <x:c r="E943" s="21" t="n">
        <x:f>IF(AND('Root Data'!G475=Assumptions!C10,'Root Data'!J475=Assumptions!C18,'Root Data'!N475="PASS"),1,0)</x:f>
        <x:v>1</x:v>
      </x:c>
      <x:c r="F943" s="21" t="n">
        <x:v>1</x:v>
      </x:c>
      <x:c r="G943" s="23" t="str">
        <x:f>IF(E943=F943,"PASS","FAIL")</x:f>
        <x:v>PASS</x:v>
      </x:c>
    </x:row>
    <x:row r="944">
      <x:c r="B944" s="21" t="str">
        <x:v>A00938</x:v>
      </x:c>
      <x:c r="C944" s="21" t="str">
        <x:v>root</x:v>
      </x:c>
      <x:c r="D944" s="21" t="str">
        <x:v>F40-I1-B data constitution</x:v>
      </x:c>
      <x:c r="E944" s="21" t="n">
        <x:f>IF(AND('Root Data'!G476=Assumptions!C10,'Root Data'!J476=Assumptions!C18,'Root Data'!N476="PASS"),1,0)</x:f>
        <x:v>1</x:v>
      </x:c>
      <x:c r="F944" s="21" t="n">
        <x:v>1</x:v>
      </x:c>
      <x:c r="G944" s="23" t="str">
        <x:f>IF(E944=F944,"PASS","FAIL")</x:f>
        <x:v>PASS</x:v>
      </x:c>
    </x:row>
    <x:row r="945">
      <x:c r="B945" s="21" t="str">
        <x:v>A00939</x:v>
      </x:c>
      <x:c r="C945" s="21" t="str">
        <x:v>root</x:v>
      </x:c>
      <x:c r="D945" s="21" t="str">
        <x:v>F40-I1-C data constitution</x:v>
      </x:c>
      <x:c r="E945" s="21" t="n">
        <x:f>IF(AND('Root Data'!G477=Assumptions!C10,'Root Data'!J477=Assumptions!C18,'Root Data'!N477="PASS"),1,0)</x:f>
        <x:v>1</x:v>
      </x:c>
      <x:c r="F945" s="21" t="n">
        <x:v>1</x:v>
      </x:c>
      <x:c r="G945" s="23" t="str">
        <x:f>IF(E945=F945,"PASS","FAIL")</x:f>
        <x:v>PASS</x:v>
      </x:c>
    </x:row>
    <x:row r="946">
      <x:c r="B946" s="21" t="str">
        <x:v>A00940</x:v>
      </x:c>
      <x:c r="C946" s="21" t="str">
        <x:v>root</x:v>
      </x:c>
      <x:c r="D946" s="21" t="str">
        <x:v>F40-I2-A data constitution</x:v>
      </x:c>
      <x:c r="E946" s="21" t="n">
        <x:f>IF(AND('Root Data'!G478=Assumptions!C10,'Root Data'!J478=Assumptions!C18,'Root Data'!N478="PASS"),1,0)</x:f>
        <x:v>1</x:v>
      </x:c>
      <x:c r="F946" s="21" t="n">
        <x:v>1</x:v>
      </x:c>
      <x:c r="G946" s="23" t="str">
        <x:f>IF(E946=F946,"PASS","FAIL")</x:f>
        <x:v>PASS</x:v>
      </x:c>
    </x:row>
    <x:row r="947">
      <x:c r="B947" s="21" t="str">
        <x:v>A00941</x:v>
      </x:c>
      <x:c r="C947" s="21" t="str">
        <x:v>root</x:v>
      </x:c>
      <x:c r="D947" s="21" t="str">
        <x:v>F40-I2-B data constitution</x:v>
      </x:c>
      <x:c r="E947" s="21" t="n">
        <x:f>IF(AND('Root Data'!G479=Assumptions!C10,'Root Data'!J479=Assumptions!C18,'Root Data'!N479="PASS"),1,0)</x:f>
        <x:v>1</x:v>
      </x:c>
      <x:c r="F947" s="21" t="n">
        <x:v>1</x:v>
      </x:c>
      <x:c r="G947" s="23" t="str">
        <x:f>IF(E947=F947,"PASS","FAIL")</x:f>
        <x:v>PASS</x:v>
      </x:c>
    </x:row>
    <x:row r="948">
      <x:c r="B948" s="21" t="str">
        <x:v>A00942</x:v>
      </x:c>
      <x:c r="C948" s="21" t="str">
        <x:v>root</x:v>
      </x:c>
      <x:c r="D948" s="21" t="str">
        <x:v>F40-I2-C data constitution</x:v>
      </x:c>
      <x:c r="E948" s="21" t="n">
        <x:f>IF(AND('Root Data'!G480=Assumptions!C10,'Root Data'!J480=Assumptions!C18,'Root Data'!N480="PASS"),1,0)</x:f>
        <x:v>1</x:v>
      </x:c>
      <x:c r="F948" s="21" t="n">
        <x:v>1</x:v>
      </x:c>
      <x:c r="G948" s="23" t="str">
        <x:f>IF(E948=F948,"PASS","FAIL")</x:f>
        <x:v>PASS</x:v>
      </x:c>
    </x:row>
    <x:row r="949">
      <x:c r="B949" s="21" t="str">
        <x:v>A00943</x:v>
      </x:c>
      <x:c r="C949" s="21" t="str">
        <x:v>root</x:v>
      </x:c>
      <x:c r="D949" s="21" t="str">
        <x:v>F40-I3-A data constitution</x:v>
      </x:c>
      <x:c r="E949" s="21" t="n">
        <x:f>IF(AND('Root Data'!G481=Assumptions!C10,'Root Data'!J481=Assumptions!C18,'Root Data'!N481="PASS"),1,0)</x:f>
        <x:v>1</x:v>
      </x:c>
      <x:c r="F949" s="21" t="n">
        <x:v>1</x:v>
      </x:c>
      <x:c r="G949" s="23" t="str">
        <x:f>IF(E949=F949,"PASS","FAIL")</x:f>
        <x:v>PASS</x:v>
      </x:c>
    </x:row>
    <x:row r="950">
      <x:c r="B950" s="21" t="str">
        <x:v>A00944</x:v>
      </x:c>
      <x:c r="C950" s="21" t="str">
        <x:v>root</x:v>
      </x:c>
      <x:c r="D950" s="21" t="str">
        <x:v>F40-I3-B data constitution</x:v>
      </x:c>
      <x:c r="E950" s="21" t="n">
        <x:f>IF(AND('Root Data'!G482=Assumptions!C10,'Root Data'!J482=Assumptions!C18,'Root Data'!N482="PASS"),1,0)</x:f>
        <x:v>1</x:v>
      </x:c>
      <x:c r="F950" s="21" t="n">
        <x:v>1</x:v>
      </x:c>
      <x:c r="G950" s="23" t="str">
        <x:f>IF(E950=F950,"PASS","FAIL")</x:f>
        <x:v>PASS</x:v>
      </x:c>
    </x:row>
    <x:row r="951">
      <x:c r="B951" s="21" t="str">
        <x:v>A00945</x:v>
      </x:c>
      <x:c r="C951" s="21" t="str">
        <x:v>root</x:v>
      </x:c>
      <x:c r="D951" s="21" t="str">
        <x:v>F40-I3-C data constitution</x:v>
      </x:c>
      <x:c r="E951" s="21" t="n">
        <x:f>IF(AND('Root Data'!G483=Assumptions!C10,'Root Data'!J483=Assumptions!C18,'Root Data'!N483="PASS"),1,0)</x:f>
        <x:v>1</x:v>
      </x:c>
      <x:c r="F951" s="21" t="n">
        <x:v>1</x:v>
      </x:c>
      <x:c r="G951" s="23" t="str">
        <x:f>IF(E951=F951,"PASS","FAIL")</x:f>
        <x:v>PASS</x:v>
      </x:c>
    </x:row>
    <x:row r="952">
      <x:c r="B952" s="21" t="str">
        <x:v>A00946</x:v>
      </x:c>
      <x:c r="C952" s="21" t="str">
        <x:v>root</x:v>
      </x:c>
      <x:c r="D952" s="21" t="str">
        <x:v>F40-I4-A data constitution</x:v>
      </x:c>
      <x:c r="E952" s="21" t="n">
        <x:f>IF(AND('Root Data'!G484=Assumptions!C10,'Root Data'!J484=Assumptions!C18,'Root Data'!N484="PASS"),1,0)</x:f>
        <x:v>1</x:v>
      </x:c>
      <x:c r="F952" s="21" t="n">
        <x:v>1</x:v>
      </x:c>
      <x:c r="G952" s="23" t="str">
        <x:f>IF(E952=F952,"PASS","FAIL")</x:f>
        <x:v>PASS</x:v>
      </x:c>
    </x:row>
    <x:row r="953">
      <x:c r="B953" s="21" t="str">
        <x:v>A00947</x:v>
      </x:c>
      <x:c r="C953" s="21" t="str">
        <x:v>root</x:v>
      </x:c>
      <x:c r="D953" s="21" t="str">
        <x:v>F40-I4-B data constitution</x:v>
      </x:c>
      <x:c r="E953" s="21" t="n">
        <x:f>IF(AND('Root Data'!G485=Assumptions!C10,'Root Data'!J485=Assumptions!C18,'Root Data'!N485="PASS"),1,0)</x:f>
        <x:v>1</x:v>
      </x:c>
      <x:c r="F953" s="21" t="n">
        <x:v>1</x:v>
      </x:c>
      <x:c r="G953" s="23" t="str">
        <x:f>IF(E953=F953,"PASS","FAIL")</x:f>
        <x:v>PASS</x:v>
      </x:c>
    </x:row>
    <x:row r="954">
      <x:c r="B954" s="21" t="str">
        <x:v>A00948</x:v>
      </x:c>
      <x:c r="C954" s="21" t="str">
        <x:v>root</x:v>
      </x:c>
      <x:c r="D954" s="21" t="str">
        <x:v>F40-I4-C data constitution</x:v>
      </x:c>
      <x:c r="E954" s="21" t="n">
        <x:f>IF(AND('Root Data'!G486=Assumptions!C10,'Root Data'!J486=Assumptions!C18,'Root Data'!N486="PASS"),1,0)</x:f>
        <x:v>1</x:v>
      </x:c>
      <x:c r="F954" s="21" t="n">
        <x:v>1</x:v>
      </x:c>
      <x:c r="G954" s="23" t="str">
        <x:f>IF(E954=F954,"PASS","FAIL")</x:f>
        <x:v>PASS</x:v>
      </x:c>
    </x:row>
    <x:row r="955">
      <x:c r="B955" s="21" t="str">
        <x:v>A00949</x:v>
      </x:c>
      <x:c r="C955" s="21" t="str">
        <x:v>root</x:v>
      </x:c>
      <x:c r="D955" s="21" t="str">
        <x:v>F41-I1-A data constitution</x:v>
      </x:c>
      <x:c r="E955" s="21" t="n">
        <x:f>IF(AND('Root Data'!G487=Assumptions!C10,'Root Data'!J487=Assumptions!C18,'Root Data'!N487="PASS"),1,0)</x:f>
        <x:v>1</x:v>
      </x:c>
      <x:c r="F955" s="21" t="n">
        <x:v>1</x:v>
      </x:c>
      <x:c r="G955" s="23" t="str">
        <x:f>IF(E955=F955,"PASS","FAIL")</x:f>
        <x:v>PASS</x:v>
      </x:c>
    </x:row>
    <x:row r="956">
      <x:c r="B956" s="21" t="str">
        <x:v>A00950</x:v>
      </x:c>
      <x:c r="C956" s="21" t="str">
        <x:v>root</x:v>
      </x:c>
      <x:c r="D956" s="21" t="str">
        <x:v>F41-I1-B data constitution</x:v>
      </x:c>
      <x:c r="E956" s="21" t="n">
        <x:f>IF(AND('Root Data'!G488=Assumptions!C10,'Root Data'!J488=Assumptions!C18,'Root Data'!N488="PASS"),1,0)</x:f>
        <x:v>1</x:v>
      </x:c>
      <x:c r="F956" s="21" t="n">
        <x:v>1</x:v>
      </x:c>
      <x:c r="G956" s="23" t="str">
        <x:f>IF(E956=F956,"PASS","FAIL")</x:f>
        <x:v>PASS</x:v>
      </x:c>
    </x:row>
    <x:row r="957">
      <x:c r="B957" s="21" t="str">
        <x:v>A00951</x:v>
      </x:c>
      <x:c r="C957" s="21" t="str">
        <x:v>root</x:v>
      </x:c>
      <x:c r="D957" s="21" t="str">
        <x:v>F41-I1-C data constitution</x:v>
      </x:c>
      <x:c r="E957" s="21" t="n">
        <x:f>IF(AND('Root Data'!G489=Assumptions!C10,'Root Data'!J489=Assumptions!C18,'Root Data'!N489="PASS"),1,0)</x:f>
        <x:v>1</x:v>
      </x:c>
      <x:c r="F957" s="21" t="n">
        <x:v>1</x:v>
      </x:c>
      <x:c r="G957" s="23" t="str">
        <x:f>IF(E957=F957,"PASS","FAIL")</x:f>
        <x:v>PASS</x:v>
      </x:c>
    </x:row>
    <x:row r="958">
      <x:c r="B958" s="21" t="str">
        <x:v>A00952</x:v>
      </x:c>
      <x:c r="C958" s="21" t="str">
        <x:v>root</x:v>
      </x:c>
      <x:c r="D958" s="21" t="str">
        <x:v>F41-I2-A data constitution</x:v>
      </x:c>
      <x:c r="E958" s="21" t="n">
        <x:f>IF(AND('Root Data'!G490=Assumptions!C10,'Root Data'!J490=Assumptions!C18,'Root Data'!N490="PASS"),1,0)</x:f>
        <x:v>1</x:v>
      </x:c>
      <x:c r="F958" s="21" t="n">
        <x:v>1</x:v>
      </x:c>
      <x:c r="G958" s="23" t="str">
        <x:f>IF(E958=F958,"PASS","FAIL")</x:f>
        <x:v>PASS</x:v>
      </x:c>
    </x:row>
    <x:row r="959">
      <x:c r="B959" s="21" t="str">
        <x:v>A00953</x:v>
      </x:c>
      <x:c r="C959" s="21" t="str">
        <x:v>root</x:v>
      </x:c>
      <x:c r="D959" s="21" t="str">
        <x:v>F41-I2-B data constitution</x:v>
      </x:c>
      <x:c r="E959" s="21" t="n">
        <x:f>IF(AND('Root Data'!G491=Assumptions!C10,'Root Data'!J491=Assumptions!C18,'Root Data'!N491="PASS"),1,0)</x:f>
        <x:v>1</x:v>
      </x:c>
      <x:c r="F959" s="21" t="n">
        <x:v>1</x:v>
      </x:c>
      <x:c r="G959" s="23" t="str">
        <x:f>IF(E959=F959,"PASS","FAIL")</x:f>
        <x:v>PASS</x:v>
      </x:c>
    </x:row>
    <x:row r="960">
      <x:c r="B960" s="21" t="str">
        <x:v>A00954</x:v>
      </x:c>
      <x:c r="C960" s="21" t="str">
        <x:v>root</x:v>
      </x:c>
      <x:c r="D960" s="21" t="str">
        <x:v>F41-I2-C data constitution</x:v>
      </x:c>
      <x:c r="E960" s="21" t="n">
        <x:f>IF(AND('Root Data'!G492=Assumptions!C10,'Root Data'!J492=Assumptions!C18,'Root Data'!N492="PASS"),1,0)</x:f>
        <x:v>1</x:v>
      </x:c>
      <x:c r="F960" s="21" t="n">
        <x:v>1</x:v>
      </x:c>
      <x:c r="G960" s="23" t="str">
        <x:f>IF(E960=F960,"PASS","FAIL")</x:f>
        <x:v>PASS</x:v>
      </x:c>
    </x:row>
    <x:row r="961">
      <x:c r="B961" s="21" t="str">
        <x:v>A00955</x:v>
      </x:c>
      <x:c r="C961" s="21" t="str">
        <x:v>root</x:v>
      </x:c>
      <x:c r="D961" s="21" t="str">
        <x:v>F41-I3-A data constitution</x:v>
      </x:c>
      <x:c r="E961" s="21" t="n">
        <x:f>IF(AND('Root Data'!G493=Assumptions!C10,'Root Data'!J493=Assumptions!C18,'Root Data'!N493="PASS"),1,0)</x:f>
        <x:v>1</x:v>
      </x:c>
      <x:c r="F961" s="21" t="n">
        <x:v>1</x:v>
      </x:c>
      <x:c r="G961" s="23" t="str">
        <x:f>IF(E961=F961,"PASS","FAIL")</x:f>
        <x:v>PASS</x:v>
      </x:c>
    </x:row>
    <x:row r="962">
      <x:c r="B962" s="21" t="str">
        <x:v>A00956</x:v>
      </x:c>
      <x:c r="C962" s="21" t="str">
        <x:v>root</x:v>
      </x:c>
      <x:c r="D962" s="21" t="str">
        <x:v>F41-I3-B data constitution</x:v>
      </x:c>
      <x:c r="E962" s="21" t="n">
        <x:f>IF(AND('Root Data'!G494=Assumptions!C10,'Root Data'!J494=Assumptions!C18,'Root Data'!N494="PASS"),1,0)</x:f>
        <x:v>1</x:v>
      </x:c>
      <x:c r="F962" s="21" t="n">
        <x:v>1</x:v>
      </x:c>
      <x:c r="G962" s="23" t="str">
        <x:f>IF(E962=F962,"PASS","FAIL")</x:f>
        <x:v>PASS</x:v>
      </x:c>
    </x:row>
    <x:row r="963">
      <x:c r="B963" s="21" t="str">
        <x:v>A00957</x:v>
      </x:c>
      <x:c r="C963" s="21" t="str">
        <x:v>root</x:v>
      </x:c>
      <x:c r="D963" s="21" t="str">
        <x:v>F41-I3-C data constitution</x:v>
      </x:c>
      <x:c r="E963" s="21" t="n">
        <x:f>IF(AND('Root Data'!G495=Assumptions!C10,'Root Data'!J495=Assumptions!C18,'Root Data'!N495="PASS"),1,0)</x:f>
        <x:v>1</x:v>
      </x:c>
      <x:c r="F963" s="21" t="n">
        <x:v>1</x:v>
      </x:c>
      <x:c r="G963" s="23" t="str">
        <x:f>IF(E963=F963,"PASS","FAIL")</x:f>
        <x:v>PASS</x:v>
      </x:c>
    </x:row>
    <x:row r="964">
      <x:c r="B964" s="21" t="str">
        <x:v>A00958</x:v>
      </x:c>
      <x:c r="C964" s="21" t="str">
        <x:v>root</x:v>
      </x:c>
      <x:c r="D964" s="21" t="str">
        <x:v>F41-I4-A data constitution</x:v>
      </x:c>
      <x:c r="E964" s="21" t="n">
        <x:f>IF(AND('Root Data'!G496=Assumptions!C10,'Root Data'!J496=Assumptions!C18,'Root Data'!N496="PASS"),1,0)</x:f>
        <x:v>1</x:v>
      </x:c>
      <x:c r="F964" s="21" t="n">
        <x:v>1</x:v>
      </x:c>
      <x:c r="G964" s="23" t="str">
        <x:f>IF(E964=F964,"PASS","FAIL")</x:f>
        <x:v>PASS</x:v>
      </x:c>
    </x:row>
    <x:row r="965">
      <x:c r="B965" s="21" t="str">
        <x:v>A00959</x:v>
      </x:c>
      <x:c r="C965" s="21" t="str">
        <x:v>root</x:v>
      </x:c>
      <x:c r="D965" s="21" t="str">
        <x:v>F41-I4-B data constitution</x:v>
      </x:c>
      <x:c r="E965" s="21" t="n">
        <x:f>IF(AND('Root Data'!G497=Assumptions!C10,'Root Data'!J497=Assumptions!C18,'Root Data'!N497="PASS"),1,0)</x:f>
        <x:v>1</x:v>
      </x:c>
      <x:c r="F965" s="21" t="n">
        <x:v>1</x:v>
      </x:c>
      <x:c r="G965" s="23" t="str">
        <x:f>IF(E965=F965,"PASS","FAIL")</x:f>
        <x:v>PASS</x:v>
      </x:c>
    </x:row>
    <x:row r="966">
      <x:c r="B966" s="21" t="str">
        <x:v>A00960</x:v>
      </x:c>
      <x:c r="C966" s="21" t="str">
        <x:v>root</x:v>
      </x:c>
      <x:c r="D966" s="21" t="str">
        <x:v>F41-I4-C data constitution</x:v>
      </x:c>
      <x:c r="E966" s="21" t="n">
        <x:f>IF(AND('Root Data'!G498=Assumptions!C10,'Root Data'!J498=Assumptions!C18,'Root Data'!N498="PASS"),1,0)</x:f>
        <x:v>1</x:v>
      </x:c>
      <x:c r="F966" s="21" t="n">
        <x:v>1</x:v>
      </x:c>
      <x:c r="G966" s="23" t="str">
        <x:f>IF(E966=F966,"PASS","FAIL")</x:f>
        <x:v>PASS</x:v>
      </x:c>
    </x:row>
    <x:row r="967">
      <x:c r="B967" s="21" t="str">
        <x:v>A00961</x:v>
      </x:c>
      <x:c r="C967" s="21" t="str">
        <x:v>root</x:v>
      </x:c>
      <x:c r="D967" s="21" t="str">
        <x:v>F42-I1-A data constitution</x:v>
      </x:c>
      <x:c r="E967" s="21" t="n">
        <x:f>IF(AND('Root Data'!G499=Assumptions!C10,'Root Data'!J499=Assumptions!C18,'Root Data'!N499="PASS"),1,0)</x:f>
        <x:v>1</x:v>
      </x:c>
      <x:c r="F967" s="21" t="n">
        <x:v>1</x:v>
      </x:c>
      <x:c r="G967" s="23" t="str">
        <x:f>IF(E967=F967,"PASS","FAIL")</x:f>
        <x:v>PASS</x:v>
      </x:c>
    </x:row>
    <x:row r="968">
      <x:c r="B968" s="21" t="str">
        <x:v>A00962</x:v>
      </x:c>
      <x:c r="C968" s="21" t="str">
        <x:v>root</x:v>
      </x:c>
      <x:c r="D968" s="21" t="str">
        <x:v>F42-I1-B data constitution</x:v>
      </x:c>
      <x:c r="E968" s="21" t="n">
        <x:f>IF(AND('Root Data'!G500=Assumptions!C10,'Root Data'!J500=Assumptions!C18,'Root Data'!N500="PASS"),1,0)</x:f>
        <x:v>1</x:v>
      </x:c>
      <x:c r="F968" s="21" t="n">
        <x:v>1</x:v>
      </x:c>
      <x:c r="G968" s="23" t="str">
        <x:f>IF(E968=F968,"PASS","FAIL")</x:f>
        <x:v>PASS</x:v>
      </x:c>
    </x:row>
    <x:row r="969">
      <x:c r="B969" s="21" t="str">
        <x:v>A00963</x:v>
      </x:c>
      <x:c r="C969" s="21" t="str">
        <x:v>root</x:v>
      </x:c>
      <x:c r="D969" s="21" t="str">
        <x:v>F42-I1-C data constitution</x:v>
      </x:c>
      <x:c r="E969" s="21" t="n">
        <x:f>IF(AND('Root Data'!G501=Assumptions!C10,'Root Data'!J501=Assumptions!C18,'Root Data'!N501="PASS"),1,0)</x:f>
        <x:v>1</x:v>
      </x:c>
      <x:c r="F969" s="21" t="n">
        <x:v>1</x:v>
      </x:c>
      <x:c r="G969" s="23" t="str">
        <x:f>IF(E969=F969,"PASS","FAIL")</x:f>
        <x:v>PASS</x:v>
      </x:c>
    </x:row>
    <x:row r="970">
      <x:c r="B970" s="21" t="str">
        <x:v>A00964</x:v>
      </x:c>
      <x:c r="C970" s="21" t="str">
        <x:v>root</x:v>
      </x:c>
      <x:c r="D970" s="21" t="str">
        <x:v>F42-I2-A data constitution</x:v>
      </x:c>
      <x:c r="E970" s="21" t="n">
        <x:f>IF(AND('Root Data'!G502=Assumptions!C10,'Root Data'!J502=Assumptions!C18,'Root Data'!N502="PASS"),1,0)</x:f>
        <x:v>1</x:v>
      </x:c>
      <x:c r="F970" s="21" t="n">
        <x:v>1</x:v>
      </x:c>
      <x:c r="G970" s="23" t="str">
        <x:f>IF(E970=F970,"PASS","FAIL")</x:f>
        <x:v>PASS</x:v>
      </x:c>
    </x:row>
    <x:row r="971">
      <x:c r="B971" s="21" t="str">
        <x:v>A00965</x:v>
      </x:c>
      <x:c r="C971" s="21" t="str">
        <x:v>root</x:v>
      </x:c>
      <x:c r="D971" s="21" t="str">
        <x:v>F42-I2-B data constitution</x:v>
      </x:c>
      <x:c r="E971" s="21" t="n">
        <x:f>IF(AND('Root Data'!G503=Assumptions!C10,'Root Data'!J503=Assumptions!C18,'Root Data'!N503="PASS"),1,0)</x:f>
        <x:v>1</x:v>
      </x:c>
      <x:c r="F971" s="21" t="n">
        <x:v>1</x:v>
      </x:c>
      <x:c r="G971" s="23" t="str">
        <x:f>IF(E971=F971,"PASS","FAIL")</x:f>
        <x:v>PASS</x:v>
      </x:c>
    </x:row>
    <x:row r="972">
      <x:c r="B972" s="21" t="str">
        <x:v>A00966</x:v>
      </x:c>
      <x:c r="C972" s="21" t="str">
        <x:v>root</x:v>
      </x:c>
      <x:c r="D972" s="21" t="str">
        <x:v>F42-I2-C data constitution</x:v>
      </x:c>
      <x:c r="E972" s="21" t="n">
        <x:f>IF(AND('Root Data'!G504=Assumptions!C10,'Root Data'!J504=Assumptions!C18,'Root Data'!N504="PASS"),1,0)</x:f>
        <x:v>1</x:v>
      </x:c>
      <x:c r="F972" s="21" t="n">
        <x:v>1</x:v>
      </x:c>
      <x:c r="G972" s="23" t="str">
        <x:f>IF(E972=F972,"PASS","FAIL")</x:f>
        <x:v>PASS</x:v>
      </x:c>
    </x:row>
    <x:row r="973">
      <x:c r="B973" s="21" t="str">
        <x:v>A00967</x:v>
      </x:c>
      <x:c r="C973" s="21" t="str">
        <x:v>root</x:v>
      </x:c>
      <x:c r="D973" s="21" t="str">
        <x:v>F42-I3-A data constitution</x:v>
      </x:c>
      <x:c r="E973" s="21" t="n">
        <x:f>IF(AND('Root Data'!G505=Assumptions!C10,'Root Data'!J505=Assumptions!C18,'Root Data'!N505="PASS"),1,0)</x:f>
        <x:v>1</x:v>
      </x:c>
      <x:c r="F973" s="21" t="n">
        <x:v>1</x:v>
      </x:c>
      <x:c r="G973" s="23" t="str">
        <x:f>IF(E973=F973,"PASS","FAIL")</x:f>
        <x:v>PASS</x:v>
      </x:c>
    </x:row>
    <x:row r="974">
      <x:c r="B974" s="21" t="str">
        <x:v>A00968</x:v>
      </x:c>
      <x:c r="C974" s="21" t="str">
        <x:v>root</x:v>
      </x:c>
      <x:c r="D974" s="21" t="str">
        <x:v>F42-I3-B data constitution</x:v>
      </x:c>
      <x:c r="E974" s="21" t="n">
        <x:f>IF(AND('Root Data'!G506=Assumptions!C10,'Root Data'!J506=Assumptions!C18,'Root Data'!N506="PASS"),1,0)</x:f>
        <x:v>1</x:v>
      </x:c>
      <x:c r="F974" s="21" t="n">
        <x:v>1</x:v>
      </x:c>
      <x:c r="G974" s="23" t="str">
        <x:f>IF(E974=F974,"PASS","FAIL")</x:f>
        <x:v>PASS</x:v>
      </x:c>
    </x:row>
    <x:row r="975">
      <x:c r="B975" s="21" t="str">
        <x:v>A00969</x:v>
      </x:c>
      <x:c r="C975" s="21" t="str">
        <x:v>root</x:v>
      </x:c>
      <x:c r="D975" s="21" t="str">
        <x:v>F42-I3-C data constitution</x:v>
      </x:c>
      <x:c r="E975" s="21" t="n">
        <x:f>IF(AND('Root Data'!G507=Assumptions!C10,'Root Data'!J507=Assumptions!C18,'Root Data'!N507="PASS"),1,0)</x:f>
        <x:v>1</x:v>
      </x:c>
      <x:c r="F975" s="21" t="n">
        <x:v>1</x:v>
      </x:c>
      <x:c r="G975" s="23" t="str">
        <x:f>IF(E975=F975,"PASS","FAIL")</x:f>
        <x:v>PASS</x:v>
      </x:c>
    </x:row>
    <x:row r="976">
      <x:c r="B976" s="21" t="str">
        <x:v>A00970</x:v>
      </x:c>
      <x:c r="C976" s="21" t="str">
        <x:v>root</x:v>
      </x:c>
      <x:c r="D976" s="21" t="str">
        <x:v>F42-I4-A data constitution</x:v>
      </x:c>
      <x:c r="E976" s="21" t="n">
        <x:f>IF(AND('Root Data'!G508=Assumptions!C10,'Root Data'!J508=Assumptions!C18,'Root Data'!N508="PASS"),1,0)</x:f>
        <x:v>1</x:v>
      </x:c>
      <x:c r="F976" s="21" t="n">
        <x:v>1</x:v>
      </x:c>
      <x:c r="G976" s="23" t="str">
        <x:f>IF(E976=F976,"PASS","FAIL")</x:f>
        <x:v>PASS</x:v>
      </x:c>
    </x:row>
    <x:row r="977">
      <x:c r="B977" s="21" t="str">
        <x:v>A00971</x:v>
      </x:c>
      <x:c r="C977" s="21" t="str">
        <x:v>root</x:v>
      </x:c>
      <x:c r="D977" s="21" t="str">
        <x:v>F42-I4-B data constitution</x:v>
      </x:c>
      <x:c r="E977" s="21" t="n">
        <x:f>IF(AND('Root Data'!G509=Assumptions!C10,'Root Data'!J509=Assumptions!C18,'Root Data'!N509="PASS"),1,0)</x:f>
        <x:v>1</x:v>
      </x:c>
      <x:c r="F977" s="21" t="n">
        <x:v>1</x:v>
      </x:c>
      <x:c r="G977" s="23" t="str">
        <x:f>IF(E977=F977,"PASS","FAIL")</x:f>
        <x:v>PASS</x:v>
      </x:c>
    </x:row>
    <x:row r="978">
      <x:c r="B978" s="21" t="str">
        <x:v>A00972</x:v>
      </x:c>
      <x:c r="C978" s="21" t="str">
        <x:v>root</x:v>
      </x:c>
      <x:c r="D978" s="21" t="str">
        <x:v>F42-I4-C data constitution</x:v>
      </x:c>
      <x:c r="E978" s="21" t="n">
        <x:f>IF(AND('Root Data'!G510=Assumptions!C10,'Root Data'!J510=Assumptions!C18,'Root Data'!N510="PASS"),1,0)</x:f>
        <x:v>1</x:v>
      </x:c>
      <x:c r="F978" s="21" t="n">
        <x:v>1</x:v>
      </x:c>
      <x:c r="G978" s="23" t="str">
        <x:f>IF(E978=F978,"PASS","FAIL")</x:f>
        <x:v>PASS</x:v>
      </x:c>
    </x:row>
    <x:row r="979">
      <x:c r="B979" s="21" t="str">
        <x:v>A00973</x:v>
      </x:c>
      <x:c r="C979" s="21" t="str">
        <x:v>root</x:v>
      </x:c>
      <x:c r="D979" s="21" t="str">
        <x:v>F43-I1-A data constitution</x:v>
      </x:c>
      <x:c r="E979" s="21" t="n">
        <x:f>IF(AND('Root Data'!G511=Assumptions!C10,'Root Data'!J511=Assumptions!C18,'Root Data'!N511="PASS"),1,0)</x:f>
        <x:v>1</x:v>
      </x:c>
      <x:c r="F979" s="21" t="n">
        <x:v>1</x:v>
      </x:c>
      <x:c r="G979" s="23" t="str">
        <x:f>IF(E979=F979,"PASS","FAIL")</x:f>
        <x:v>PASS</x:v>
      </x:c>
    </x:row>
    <x:row r="980">
      <x:c r="B980" s="21" t="str">
        <x:v>A00974</x:v>
      </x:c>
      <x:c r="C980" s="21" t="str">
        <x:v>root</x:v>
      </x:c>
      <x:c r="D980" s="21" t="str">
        <x:v>F43-I1-B data constitution</x:v>
      </x:c>
      <x:c r="E980" s="21" t="n">
        <x:f>IF(AND('Root Data'!G512=Assumptions!C10,'Root Data'!J512=Assumptions!C18,'Root Data'!N512="PASS"),1,0)</x:f>
        <x:v>1</x:v>
      </x:c>
      <x:c r="F980" s="21" t="n">
        <x:v>1</x:v>
      </x:c>
      <x:c r="G980" s="23" t="str">
        <x:f>IF(E980=F980,"PASS","FAIL")</x:f>
        <x:v>PASS</x:v>
      </x:c>
    </x:row>
    <x:row r="981">
      <x:c r="B981" s="21" t="str">
        <x:v>A00975</x:v>
      </x:c>
      <x:c r="C981" s="21" t="str">
        <x:v>root</x:v>
      </x:c>
      <x:c r="D981" s="21" t="str">
        <x:v>F43-I1-C data constitution</x:v>
      </x:c>
      <x:c r="E981" s="21" t="n">
        <x:f>IF(AND('Root Data'!G513=Assumptions!C10,'Root Data'!J513=Assumptions!C18,'Root Data'!N513="PASS"),1,0)</x:f>
        <x:v>1</x:v>
      </x:c>
      <x:c r="F981" s="21" t="n">
        <x:v>1</x:v>
      </x:c>
      <x:c r="G981" s="23" t="str">
        <x:f>IF(E981=F981,"PASS","FAIL")</x:f>
        <x:v>PASS</x:v>
      </x:c>
    </x:row>
    <x:row r="982">
      <x:c r="B982" s="21" t="str">
        <x:v>A00976</x:v>
      </x:c>
      <x:c r="C982" s="21" t="str">
        <x:v>root</x:v>
      </x:c>
      <x:c r="D982" s="21" t="str">
        <x:v>F43-I2-A data constitution</x:v>
      </x:c>
      <x:c r="E982" s="21" t="n">
        <x:f>IF(AND('Root Data'!G514=Assumptions!C10,'Root Data'!J514=Assumptions!C18,'Root Data'!N514="PASS"),1,0)</x:f>
        <x:v>1</x:v>
      </x:c>
      <x:c r="F982" s="21" t="n">
        <x:v>1</x:v>
      </x:c>
      <x:c r="G982" s="23" t="str">
        <x:f>IF(E982=F982,"PASS","FAIL")</x:f>
        <x:v>PASS</x:v>
      </x:c>
    </x:row>
    <x:row r="983">
      <x:c r="B983" s="21" t="str">
        <x:v>A00977</x:v>
      </x:c>
      <x:c r="C983" s="21" t="str">
        <x:v>root</x:v>
      </x:c>
      <x:c r="D983" s="21" t="str">
        <x:v>F43-I2-B data constitution</x:v>
      </x:c>
      <x:c r="E983" s="21" t="n">
        <x:f>IF(AND('Root Data'!G515=Assumptions!C10,'Root Data'!J515=Assumptions!C18,'Root Data'!N515="PASS"),1,0)</x:f>
        <x:v>1</x:v>
      </x:c>
      <x:c r="F983" s="21" t="n">
        <x:v>1</x:v>
      </x:c>
      <x:c r="G983" s="23" t="str">
        <x:f>IF(E983=F983,"PASS","FAIL")</x:f>
        <x:v>PASS</x:v>
      </x:c>
    </x:row>
    <x:row r="984">
      <x:c r="B984" s="21" t="str">
        <x:v>A00978</x:v>
      </x:c>
      <x:c r="C984" s="21" t="str">
        <x:v>root</x:v>
      </x:c>
      <x:c r="D984" s="21" t="str">
        <x:v>F43-I2-C data constitution</x:v>
      </x:c>
      <x:c r="E984" s="21" t="n">
        <x:f>IF(AND('Root Data'!G516=Assumptions!C10,'Root Data'!J516=Assumptions!C18,'Root Data'!N516="PASS"),1,0)</x:f>
        <x:v>1</x:v>
      </x:c>
      <x:c r="F984" s="21" t="n">
        <x:v>1</x:v>
      </x:c>
      <x:c r="G984" s="23" t="str">
        <x:f>IF(E984=F984,"PASS","FAIL")</x:f>
        <x:v>PASS</x:v>
      </x:c>
    </x:row>
    <x:row r="985">
      <x:c r="B985" s="21" t="str">
        <x:v>A00979</x:v>
      </x:c>
      <x:c r="C985" s="21" t="str">
        <x:v>root</x:v>
      </x:c>
      <x:c r="D985" s="21" t="str">
        <x:v>F43-I3-A data constitution</x:v>
      </x:c>
      <x:c r="E985" s="21" t="n">
        <x:f>IF(AND('Root Data'!G517=Assumptions!C10,'Root Data'!J517=Assumptions!C18,'Root Data'!N517="PASS"),1,0)</x:f>
        <x:v>1</x:v>
      </x:c>
      <x:c r="F985" s="21" t="n">
        <x:v>1</x:v>
      </x:c>
      <x:c r="G985" s="23" t="str">
        <x:f>IF(E985=F985,"PASS","FAIL")</x:f>
        <x:v>PASS</x:v>
      </x:c>
    </x:row>
    <x:row r="986">
      <x:c r="B986" s="21" t="str">
        <x:v>A00980</x:v>
      </x:c>
      <x:c r="C986" s="21" t="str">
        <x:v>root</x:v>
      </x:c>
      <x:c r="D986" s="21" t="str">
        <x:v>F43-I3-B data constitution</x:v>
      </x:c>
      <x:c r="E986" s="21" t="n">
        <x:f>IF(AND('Root Data'!G518=Assumptions!C10,'Root Data'!J518=Assumptions!C18,'Root Data'!N518="PASS"),1,0)</x:f>
        <x:v>1</x:v>
      </x:c>
      <x:c r="F986" s="21" t="n">
        <x:v>1</x:v>
      </x:c>
      <x:c r="G986" s="23" t="str">
        <x:f>IF(E986=F986,"PASS","FAIL")</x:f>
        <x:v>PASS</x:v>
      </x:c>
    </x:row>
    <x:row r="987">
      <x:c r="B987" s="21" t="str">
        <x:v>A00981</x:v>
      </x:c>
      <x:c r="C987" s="21" t="str">
        <x:v>root</x:v>
      </x:c>
      <x:c r="D987" s="21" t="str">
        <x:v>F43-I3-C data constitution</x:v>
      </x:c>
      <x:c r="E987" s="21" t="n">
        <x:f>IF(AND('Root Data'!G519=Assumptions!C10,'Root Data'!J519=Assumptions!C18,'Root Data'!N519="PASS"),1,0)</x:f>
        <x:v>1</x:v>
      </x:c>
      <x:c r="F987" s="21" t="n">
        <x:v>1</x:v>
      </x:c>
      <x:c r="G987" s="23" t="str">
        <x:f>IF(E987=F987,"PASS","FAIL")</x:f>
        <x:v>PASS</x:v>
      </x:c>
    </x:row>
    <x:row r="988">
      <x:c r="B988" s="21" t="str">
        <x:v>A00982</x:v>
      </x:c>
      <x:c r="C988" s="21" t="str">
        <x:v>root</x:v>
      </x:c>
      <x:c r="D988" s="21" t="str">
        <x:v>F43-I4-A data constitution</x:v>
      </x:c>
      <x:c r="E988" s="21" t="n">
        <x:f>IF(AND('Root Data'!G520=Assumptions!C10,'Root Data'!J520=Assumptions!C18,'Root Data'!N520="PASS"),1,0)</x:f>
        <x:v>1</x:v>
      </x:c>
      <x:c r="F988" s="21" t="n">
        <x:v>1</x:v>
      </x:c>
      <x:c r="G988" s="23" t="str">
        <x:f>IF(E988=F988,"PASS","FAIL")</x:f>
        <x:v>PASS</x:v>
      </x:c>
    </x:row>
    <x:row r="989">
      <x:c r="B989" s="21" t="str">
        <x:v>A00983</x:v>
      </x:c>
      <x:c r="C989" s="21" t="str">
        <x:v>root</x:v>
      </x:c>
      <x:c r="D989" s="21" t="str">
        <x:v>F43-I4-B data constitution</x:v>
      </x:c>
      <x:c r="E989" s="21" t="n">
        <x:f>IF(AND('Root Data'!G521=Assumptions!C10,'Root Data'!J521=Assumptions!C18,'Root Data'!N521="PASS"),1,0)</x:f>
        <x:v>1</x:v>
      </x:c>
      <x:c r="F989" s="21" t="n">
        <x:v>1</x:v>
      </x:c>
      <x:c r="G989" s="23" t="str">
        <x:f>IF(E989=F989,"PASS","FAIL")</x:f>
        <x:v>PASS</x:v>
      </x:c>
    </x:row>
    <x:row r="990">
      <x:c r="B990" s="21" t="str">
        <x:v>A00984</x:v>
      </x:c>
      <x:c r="C990" s="21" t="str">
        <x:v>root</x:v>
      </x:c>
      <x:c r="D990" s="21" t="str">
        <x:v>F43-I4-C data constitution</x:v>
      </x:c>
      <x:c r="E990" s="21" t="n">
        <x:f>IF(AND('Root Data'!G522=Assumptions!C10,'Root Data'!J522=Assumptions!C18,'Root Data'!N522="PASS"),1,0)</x:f>
        <x:v>1</x:v>
      </x:c>
      <x:c r="F990" s="21" t="n">
        <x:v>1</x:v>
      </x:c>
      <x:c r="G990" s="23" t="str">
        <x:f>IF(E990=F990,"PASS","FAIL")</x:f>
        <x:v>PASS</x:v>
      </x:c>
    </x:row>
    <x:row r="991">
      <x:c r="B991" s="21" t="str">
        <x:v>A00985</x:v>
      </x:c>
      <x:c r="C991" s="21" t="str">
        <x:v>root</x:v>
      </x:c>
      <x:c r="D991" s="21" t="str">
        <x:v>F44-I1-A data constitution</x:v>
      </x:c>
      <x:c r="E991" s="21" t="n">
        <x:f>IF(AND('Root Data'!G523=Assumptions!C10,'Root Data'!J523=Assumptions!C18,'Root Data'!N523="PASS"),1,0)</x:f>
        <x:v>1</x:v>
      </x:c>
      <x:c r="F991" s="21" t="n">
        <x:v>1</x:v>
      </x:c>
      <x:c r="G991" s="23" t="str">
        <x:f>IF(E991=F991,"PASS","FAIL")</x:f>
        <x:v>PASS</x:v>
      </x:c>
    </x:row>
    <x:row r="992">
      <x:c r="B992" s="21" t="str">
        <x:v>A00986</x:v>
      </x:c>
      <x:c r="C992" s="21" t="str">
        <x:v>root</x:v>
      </x:c>
      <x:c r="D992" s="21" t="str">
        <x:v>F44-I1-B data constitution</x:v>
      </x:c>
      <x:c r="E992" s="21" t="n">
        <x:f>IF(AND('Root Data'!G524=Assumptions!C10,'Root Data'!J524=Assumptions!C18,'Root Data'!N524="PASS"),1,0)</x:f>
        <x:v>1</x:v>
      </x:c>
      <x:c r="F992" s="21" t="n">
        <x:v>1</x:v>
      </x:c>
      <x:c r="G992" s="23" t="str">
        <x:f>IF(E992=F992,"PASS","FAIL")</x:f>
        <x:v>PASS</x:v>
      </x:c>
    </x:row>
    <x:row r="993">
      <x:c r="B993" s="21" t="str">
        <x:v>A00987</x:v>
      </x:c>
      <x:c r="C993" s="21" t="str">
        <x:v>root</x:v>
      </x:c>
      <x:c r="D993" s="21" t="str">
        <x:v>F44-I1-C data constitution</x:v>
      </x:c>
      <x:c r="E993" s="21" t="n">
        <x:f>IF(AND('Root Data'!G525=Assumptions!C10,'Root Data'!J525=Assumptions!C18,'Root Data'!N525="PASS"),1,0)</x:f>
        <x:v>1</x:v>
      </x:c>
      <x:c r="F993" s="21" t="n">
        <x:v>1</x:v>
      </x:c>
      <x:c r="G993" s="23" t="str">
        <x:f>IF(E993=F993,"PASS","FAIL")</x:f>
        <x:v>PASS</x:v>
      </x:c>
    </x:row>
    <x:row r="994">
      <x:c r="B994" s="21" t="str">
        <x:v>A00988</x:v>
      </x:c>
      <x:c r="C994" s="21" t="str">
        <x:v>root</x:v>
      </x:c>
      <x:c r="D994" s="21" t="str">
        <x:v>F44-I2-A data constitution</x:v>
      </x:c>
      <x:c r="E994" s="21" t="n">
        <x:f>IF(AND('Root Data'!G526=Assumptions!C10,'Root Data'!J526=Assumptions!C18,'Root Data'!N526="PASS"),1,0)</x:f>
        <x:v>1</x:v>
      </x:c>
      <x:c r="F994" s="21" t="n">
        <x:v>1</x:v>
      </x:c>
      <x:c r="G994" s="23" t="str">
        <x:f>IF(E994=F994,"PASS","FAIL")</x:f>
        <x:v>PASS</x:v>
      </x:c>
    </x:row>
    <x:row r="995">
      <x:c r="B995" s="21" t="str">
        <x:v>A00989</x:v>
      </x:c>
      <x:c r="C995" s="21" t="str">
        <x:v>root</x:v>
      </x:c>
      <x:c r="D995" s="21" t="str">
        <x:v>F44-I2-B data constitution</x:v>
      </x:c>
      <x:c r="E995" s="21" t="n">
        <x:f>IF(AND('Root Data'!G527=Assumptions!C10,'Root Data'!J527=Assumptions!C18,'Root Data'!N527="PASS"),1,0)</x:f>
        <x:v>1</x:v>
      </x:c>
      <x:c r="F995" s="21" t="n">
        <x:v>1</x:v>
      </x:c>
      <x:c r="G995" s="23" t="str">
        <x:f>IF(E995=F995,"PASS","FAIL")</x:f>
        <x:v>PASS</x:v>
      </x:c>
    </x:row>
    <x:row r="996">
      <x:c r="B996" s="21" t="str">
        <x:v>A00990</x:v>
      </x:c>
      <x:c r="C996" s="21" t="str">
        <x:v>root</x:v>
      </x:c>
      <x:c r="D996" s="21" t="str">
        <x:v>F44-I2-C data constitution</x:v>
      </x:c>
      <x:c r="E996" s="21" t="n">
        <x:f>IF(AND('Root Data'!G528=Assumptions!C10,'Root Data'!J528=Assumptions!C18,'Root Data'!N528="PASS"),1,0)</x:f>
        <x:v>1</x:v>
      </x:c>
      <x:c r="F996" s="21" t="n">
        <x:v>1</x:v>
      </x:c>
      <x:c r="G996" s="23" t="str">
        <x:f>IF(E996=F996,"PASS","FAIL")</x:f>
        <x:v>PASS</x:v>
      </x:c>
    </x:row>
    <x:row r="997">
      <x:c r="B997" s="21" t="str">
        <x:v>A00991</x:v>
      </x:c>
      <x:c r="C997" s="21" t="str">
        <x:v>root</x:v>
      </x:c>
      <x:c r="D997" s="21" t="str">
        <x:v>F44-I3-A data constitution</x:v>
      </x:c>
      <x:c r="E997" s="21" t="n">
        <x:f>IF(AND('Root Data'!G529=Assumptions!C10,'Root Data'!J529=Assumptions!C18,'Root Data'!N529="PASS"),1,0)</x:f>
        <x:v>1</x:v>
      </x:c>
      <x:c r="F997" s="21" t="n">
        <x:v>1</x:v>
      </x:c>
      <x:c r="G997" s="23" t="str">
        <x:f>IF(E997=F997,"PASS","FAIL")</x:f>
        <x:v>PASS</x:v>
      </x:c>
    </x:row>
    <x:row r="998">
      <x:c r="B998" s="21" t="str">
        <x:v>A00992</x:v>
      </x:c>
      <x:c r="C998" s="21" t="str">
        <x:v>root</x:v>
      </x:c>
      <x:c r="D998" s="21" t="str">
        <x:v>F44-I3-B data constitution</x:v>
      </x:c>
      <x:c r="E998" s="21" t="n">
        <x:f>IF(AND('Root Data'!G530=Assumptions!C10,'Root Data'!J530=Assumptions!C18,'Root Data'!N530="PASS"),1,0)</x:f>
        <x:v>1</x:v>
      </x:c>
      <x:c r="F998" s="21" t="n">
        <x:v>1</x:v>
      </x:c>
      <x:c r="G998" s="23" t="str">
        <x:f>IF(E998=F998,"PASS","FAIL")</x:f>
        <x:v>PASS</x:v>
      </x:c>
    </x:row>
    <x:row r="999">
      <x:c r="B999" s="21" t="str">
        <x:v>A00993</x:v>
      </x:c>
      <x:c r="C999" s="21" t="str">
        <x:v>root</x:v>
      </x:c>
      <x:c r="D999" s="21" t="str">
        <x:v>F44-I3-C data constitution</x:v>
      </x:c>
      <x:c r="E999" s="21" t="n">
        <x:f>IF(AND('Root Data'!G531=Assumptions!C10,'Root Data'!J531=Assumptions!C18,'Root Data'!N531="PASS"),1,0)</x:f>
        <x:v>1</x:v>
      </x:c>
      <x:c r="F999" s="21" t="n">
        <x:v>1</x:v>
      </x:c>
      <x:c r="G999" s="23" t="str">
        <x:f>IF(E999=F999,"PASS","FAIL")</x:f>
        <x:v>PASS</x:v>
      </x:c>
    </x:row>
    <x:row r="1000">
      <x:c r="B1000" s="21" t="str">
        <x:v>A00994</x:v>
      </x:c>
      <x:c r="C1000" s="21" t="str">
        <x:v>root</x:v>
      </x:c>
      <x:c r="D1000" s="21" t="str">
        <x:v>F44-I4-A data constitution</x:v>
      </x:c>
      <x:c r="E1000" s="21" t="n">
        <x:f>IF(AND('Root Data'!G532=Assumptions!C10,'Root Data'!J532=Assumptions!C18,'Root Data'!N532="PASS"),1,0)</x:f>
        <x:v>1</x:v>
      </x:c>
      <x:c r="F1000" s="21" t="n">
        <x:v>1</x:v>
      </x:c>
      <x:c r="G1000" s="23" t="str">
        <x:f>IF(E1000=F1000,"PASS","FAIL")</x:f>
        <x:v>PASS</x:v>
      </x:c>
    </x:row>
    <x:row r="1001">
      <x:c r="B1001" s="21" t="str">
        <x:v>A00995</x:v>
      </x:c>
      <x:c r="C1001" s="21" t="str">
        <x:v>root</x:v>
      </x:c>
      <x:c r="D1001" s="21" t="str">
        <x:v>F44-I4-B data constitution</x:v>
      </x:c>
      <x:c r="E1001" s="21" t="n">
        <x:f>IF(AND('Root Data'!G533=Assumptions!C10,'Root Data'!J533=Assumptions!C18,'Root Data'!N533="PASS"),1,0)</x:f>
        <x:v>1</x:v>
      </x:c>
      <x:c r="F1001" s="21" t="n">
        <x:v>1</x:v>
      </x:c>
      <x:c r="G1001" s="23" t="str">
        <x:f>IF(E1001=F1001,"PASS","FAIL")</x:f>
        <x:v>PASS</x:v>
      </x:c>
    </x:row>
    <x:row r="1002">
      <x:c r="B1002" s="21" t="str">
        <x:v>A00996</x:v>
      </x:c>
      <x:c r="C1002" s="21" t="str">
        <x:v>root</x:v>
      </x:c>
      <x:c r="D1002" s="21" t="str">
        <x:v>F44-I4-C data constitution</x:v>
      </x:c>
      <x:c r="E1002" s="21" t="n">
        <x:f>IF(AND('Root Data'!G534=Assumptions!C10,'Root Data'!J534=Assumptions!C18,'Root Data'!N534="PASS"),1,0)</x:f>
        <x:v>1</x:v>
      </x:c>
      <x:c r="F1002" s="21" t="n">
        <x:v>1</x:v>
      </x:c>
      <x:c r="G1002" s="23" t="str">
        <x:f>IF(E1002=F1002,"PASS","FAIL")</x:f>
        <x:v>PASS</x:v>
      </x:c>
    </x:row>
    <x:row r="1003">
      <x:c r="B1003" s="21" t="str">
        <x:v>A00997</x:v>
      </x:c>
      <x:c r="C1003" s="21" t="str">
        <x:v>root</x:v>
      </x:c>
      <x:c r="D1003" s="21" t="str">
        <x:v>F45-I1-A data constitution</x:v>
      </x:c>
      <x:c r="E1003" s="21" t="n">
        <x:f>IF(AND('Root Data'!G535=Assumptions!C10,'Root Data'!J535=Assumptions!C18,'Root Data'!N535="PASS"),1,0)</x:f>
        <x:v>1</x:v>
      </x:c>
      <x:c r="F1003" s="21" t="n">
        <x:v>1</x:v>
      </x:c>
      <x:c r="G1003" s="23" t="str">
        <x:f>IF(E1003=F1003,"PASS","FAIL")</x:f>
        <x:v>PASS</x:v>
      </x:c>
    </x:row>
    <x:row r="1004">
      <x:c r="B1004" s="21" t="str">
        <x:v>A00998</x:v>
      </x:c>
      <x:c r="C1004" s="21" t="str">
        <x:v>root</x:v>
      </x:c>
      <x:c r="D1004" s="21" t="str">
        <x:v>F45-I1-B data constitution</x:v>
      </x:c>
      <x:c r="E1004" s="21" t="n">
        <x:f>IF(AND('Root Data'!G536=Assumptions!C10,'Root Data'!J536=Assumptions!C18,'Root Data'!N536="PASS"),1,0)</x:f>
        <x:v>1</x:v>
      </x:c>
      <x:c r="F1004" s="21" t="n">
        <x:v>1</x:v>
      </x:c>
      <x:c r="G1004" s="23" t="str">
        <x:f>IF(E1004=F1004,"PASS","FAIL")</x:f>
        <x:v>PASS</x:v>
      </x:c>
    </x:row>
    <x:row r="1005">
      <x:c r="B1005" s="21" t="str">
        <x:v>A00999</x:v>
      </x:c>
      <x:c r="C1005" s="21" t="str">
        <x:v>root</x:v>
      </x:c>
      <x:c r="D1005" s="21" t="str">
        <x:v>F45-I1-C data constitution</x:v>
      </x:c>
      <x:c r="E1005" s="21" t="n">
        <x:f>IF(AND('Root Data'!G537=Assumptions!C10,'Root Data'!J537=Assumptions!C18,'Root Data'!N537="PASS"),1,0)</x:f>
        <x:v>1</x:v>
      </x:c>
      <x:c r="F1005" s="21" t="n">
        <x:v>1</x:v>
      </x:c>
      <x:c r="G1005" s="23" t="str">
        <x:f>IF(E1005=F1005,"PASS","FAIL")</x:f>
        <x:v>PASS</x:v>
      </x:c>
    </x:row>
    <x:row r="1006">
      <x:c r="B1006" s="21" t="str">
        <x:v>A01000</x:v>
      </x:c>
      <x:c r="C1006" s="21" t="str">
        <x:v>root</x:v>
      </x:c>
      <x:c r="D1006" s="21" t="str">
        <x:v>F45-I2-A data constitution</x:v>
      </x:c>
      <x:c r="E1006" s="21" t="n">
        <x:f>IF(AND('Root Data'!G538=Assumptions!C10,'Root Data'!J538=Assumptions!C18,'Root Data'!N538="PASS"),1,0)</x:f>
        <x:v>1</x:v>
      </x:c>
      <x:c r="F1006" s="21" t="n">
        <x:v>1</x:v>
      </x:c>
      <x:c r="G1006" s="23" t="str">
        <x:f>IF(E1006=F1006,"PASS","FAIL")</x:f>
        <x:v>PASS</x:v>
      </x:c>
    </x:row>
    <x:row r="1007">
      <x:c r="B1007" s="21" t="str">
        <x:v>A01001</x:v>
      </x:c>
      <x:c r="C1007" s="21" t="str">
        <x:v>root</x:v>
      </x:c>
      <x:c r="D1007" s="21" t="str">
        <x:v>F45-I2-B data constitution</x:v>
      </x:c>
      <x:c r="E1007" s="21" t="n">
        <x:f>IF(AND('Root Data'!G539=Assumptions!C10,'Root Data'!J539=Assumptions!C18,'Root Data'!N539="PASS"),1,0)</x:f>
        <x:v>1</x:v>
      </x:c>
      <x:c r="F1007" s="21" t="n">
        <x:v>1</x:v>
      </x:c>
      <x:c r="G1007" s="23" t="str">
        <x:f>IF(E1007=F1007,"PASS","FAIL")</x:f>
        <x:v>PASS</x:v>
      </x:c>
    </x:row>
    <x:row r="1008">
      <x:c r="B1008" s="21" t="str">
        <x:v>A01002</x:v>
      </x:c>
      <x:c r="C1008" s="21" t="str">
        <x:v>root</x:v>
      </x:c>
      <x:c r="D1008" s="21" t="str">
        <x:v>F45-I2-C data constitution</x:v>
      </x:c>
      <x:c r="E1008" s="21" t="n">
        <x:f>IF(AND('Root Data'!G540=Assumptions!C10,'Root Data'!J540=Assumptions!C18,'Root Data'!N540="PASS"),1,0)</x:f>
        <x:v>1</x:v>
      </x:c>
      <x:c r="F1008" s="21" t="n">
        <x:v>1</x:v>
      </x:c>
      <x:c r="G1008" s="23" t="str">
        <x:f>IF(E1008=F1008,"PASS","FAIL")</x:f>
        <x:v>PASS</x:v>
      </x:c>
    </x:row>
    <x:row r="1009">
      <x:c r="B1009" s="21" t="str">
        <x:v>A01003</x:v>
      </x:c>
      <x:c r="C1009" s="21" t="str">
        <x:v>root</x:v>
      </x:c>
      <x:c r="D1009" s="21" t="str">
        <x:v>F45-I3-A data constitution</x:v>
      </x:c>
      <x:c r="E1009" s="21" t="n">
        <x:f>IF(AND('Root Data'!G541=Assumptions!C10,'Root Data'!J541=Assumptions!C18,'Root Data'!N541="PASS"),1,0)</x:f>
        <x:v>1</x:v>
      </x:c>
      <x:c r="F1009" s="21" t="n">
        <x:v>1</x:v>
      </x:c>
      <x:c r="G1009" s="23" t="str">
        <x:f>IF(E1009=F1009,"PASS","FAIL")</x:f>
        <x:v>PASS</x:v>
      </x:c>
    </x:row>
    <x:row r="1010">
      <x:c r="B1010" s="21" t="str">
        <x:v>A01004</x:v>
      </x:c>
      <x:c r="C1010" s="21" t="str">
        <x:v>root</x:v>
      </x:c>
      <x:c r="D1010" s="21" t="str">
        <x:v>F45-I3-B data constitution</x:v>
      </x:c>
      <x:c r="E1010" s="21" t="n">
        <x:f>IF(AND('Root Data'!G542=Assumptions!C10,'Root Data'!J542=Assumptions!C18,'Root Data'!N542="PASS"),1,0)</x:f>
        <x:v>1</x:v>
      </x:c>
      <x:c r="F1010" s="21" t="n">
        <x:v>1</x:v>
      </x:c>
      <x:c r="G1010" s="23" t="str">
        <x:f>IF(E1010=F1010,"PASS","FAIL")</x:f>
        <x:v>PASS</x:v>
      </x:c>
    </x:row>
    <x:row r="1011">
      <x:c r="B1011" s="21" t="str">
        <x:v>A01005</x:v>
      </x:c>
      <x:c r="C1011" s="21" t="str">
        <x:v>root</x:v>
      </x:c>
      <x:c r="D1011" s="21" t="str">
        <x:v>F45-I3-C data constitution</x:v>
      </x:c>
      <x:c r="E1011" s="21" t="n">
        <x:f>IF(AND('Root Data'!G543=Assumptions!C10,'Root Data'!J543=Assumptions!C18,'Root Data'!N543="PASS"),1,0)</x:f>
        <x:v>1</x:v>
      </x:c>
      <x:c r="F1011" s="21" t="n">
        <x:v>1</x:v>
      </x:c>
      <x:c r="G1011" s="23" t="str">
        <x:f>IF(E1011=F1011,"PASS","FAIL")</x:f>
        <x:v>PASS</x:v>
      </x:c>
    </x:row>
    <x:row r="1012">
      <x:c r="B1012" s="21" t="str">
        <x:v>A01006</x:v>
      </x:c>
      <x:c r="C1012" s="21" t="str">
        <x:v>root</x:v>
      </x:c>
      <x:c r="D1012" s="21" t="str">
        <x:v>F45-I4-A data constitution</x:v>
      </x:c>
      <x:c r="E1012" s="21" t="n">
        <x:f>IF(AND('Root Data'!G544=Assumptions!C10,'Root Data'!J544=Assumptions!C18,'Root Data'!N544="PASS"),1,0)</x:f>
        <x:v>1</x:v>
      </x:c>
      <x:c r="F1012" s="21" t="n">
        <x:v>1</x:v>
      </x:c>
      <x:c r="G1012" s="23" t="str">
        <x:f>IF(E1012=F1012,"PASS","FAIL")</x:f>
        <x:v>PASS</x:v>
      </x:c>
    </x:row>
    <x:row r="1013">
      <x:c r="B1013" s="21" t="str">
        <x:v>A01007</x:v>
      </x:c>
      <x:c r="C1013" s="21" t="str">
        <x:v>root</x:v>
      </x:c>
      <x:c r="D1013" s="21" t="str">
        <x:v>F45-I4-B data constitution</x:v>
      </x:c>
      <x:c r="E1013" s="21" t="n">
        <x:f>IF(AND('Root Data'!G545=Assumptions!C10,'Root Data'!J545=Assumptions!C18,'Root Data'!N545="PASS"),1,0)</x:f>
        <x:v>1</x:v>
      </x:c>
      <x:c r="F1013" s="21" t="n">
        <x:v>1</x:v>
      </x:c>
      <x:c r="G1013" s="23" t="str">
        <x:f>IF(E1013=F1013,"PASS","FAIL")</x:f>
        <x:v>PASS</x:v>
      </x:c>
    </x:row>
    <x:row r="1014">
      <x:c r="B1014" s="21" t="str">
        <x:v>A01008</x:v>
      </x:c>
      <x:c r="C1014" s="21" t="str">
        <x:v>root</x:v>
      </x:c>
      <x:c r="D1014" s="21" t="str">
        <x:v>F45-I4-C data constitution</x:v>
      </x:c>
      <x:c r="E1014" s="21" t="n">
        <x:f>IF(AND('Root Data'!G546=Assumptions!C10,'Root Data'!J546=Assumptions!C18,'Root Data'!N546="PASS"),1,0)</x:f>
        <x:v>1</x:v>
      </x:c>
      <x:c r="F1014" s="21" t="n">
        <x:v>1</x:v>
      </x:c>
      <x:c r="G1014" s="23" t="str">
        <x:f>IF(E1014=F1014,"PASS","FAIL")</x:f>
        <x:v>PASS</x:v>
      </x:c>
    </x:row>
    <x:row r="1015">
      <x:c r="B1015" s="21" t="str">
        <x:v>A01009</x:v>
      </x:c>
      <x:c r="C1015" s="21" t="str">
        <x:v>root</x:v>
      </x:c>
      <x:c r="D1015" s="21" t="str">
        <x:v>F46-I1-A data constitution</x:v>
      </x:c>
      <x:c r="E1015" s="21" t="n">
        <x:f>IF(AND('Root Data'!G547=Assumptions!C10,'Root Data'!J547=Assumptions!C18,'Root Data'!N547="PASS"),1,0)</x:f>
        <x:v>1</x:v>
      </x:c>
      <x:c r="F1015" s="21" t="n">
        <x:v>1</x:v>
      </x:c>
      <x:c r="G1015" s="23" t="str">
        <x:f>IF(E1015=F1015,"PASS","FAIL")</x:f>
        <x:v>PASS</x:v>
      </x:c>
    </x:row>
    <x:row r="1016">
      <x:c r="B1016" s="21" t="str">
        <x:v>A01010</x:v>
      </x:c>
      <x:c r="C1016" s="21" t="str">
        <x:v>root</x:v>
      </x:c>
      <x:c r="D1016" s="21" t="str">
        <x:v>F46-I1-B data constitution</x:v>
      </x:c>
      <x:c r="E1016" s="21" t="n">
        <x:f>IF(AND('Root Data'!G548=Assumptions!C10,'Root Data'!J548=Assumptions!C18,'Root Data'!N548="PASS"),1,0)</x:f>
        <x:v>1</x:v>
      </x:c>
      <x:c r="F1016" s="21" t="n">
        <x:v>1</x:v>
      </x:c>
      <x:c r="G1016" s="23" t="str">
        <x:f>IF(E1016=F1016,"PASS","FAIL")</x:f>
        <x:v>PASS</x:v>
      </x:c>
    </x:row>
    <x:row r="1017">
      <x:c r="B1017" s="21" t="str">
        <x:v>A01011</x:v>
      </x:c>
      <x:c r="C1017" s="21" t="str">
        <x:v>root</x:v>
      </x:c>
      <x:c r="D1017" s="21" t="str">
        <x:v>F46-I1-C data constitution</x:v>
      </x:c>
      <x:c r="E1017" s="21" t="n">
        <x:f>IF(AND('Root Data'!G549=Assumptions!C10,'Root Data'!J549=Assumptions!C18,'Root Data'!N549="PASS"),1,0)</x:f>
        <x:v>1</x:v>
      </x:c>
      <x:c r="F1017" s="21" t="n">
        <x:v>1</x:v>
      </x:c>
      <x:c r="G1017" s="23" t="str">
        <x:f>IF(E1017=F1017,"PASS","FAIL")</x:f>
        <x:v>PASS</x:v>
      </x:c>
    </x:row>
    <x:row r="1018">
      <x:c r="B1018" s="21" t="str">
        <x:v>A01012</x:v>
      </x:c>
      <x:c r="C1018" s="21" t="str">
        <x:v>root</x:v>
      </x:c>
      <x:c r="D1018" s="21" t="str">
        <x:v>F46-I2-A data constitution</x:v>
      </x:c>
      <x:c r="E1018" s="21" t="n">
        <x:f>IF(AND('Root Data'!G550=Assumptions!C10,'Root Data'!J550=Assumptions!C18,'Root Data'!N550="PASS"),1,0)</x:f>
        <x:v>1</x:v>
      </x:c>
      <x:c r="F1018" s="21" t="n">
        <x:v>1</x:v>
      </x:c>
      <x:c r="G1018" s="23" t="str">
        <x:f>IF(E1018=F1018,"PASS","FAIL")</x:f>
        <x:v>PASS</x:v>
      </x:c>
    </x:row>
    <x:row r="1019">
      <x:c r="B1019" s="21" t="str">
        <x:v>A01013</x:v>
      </x:c>
      <x:c r="C1019" s="21" t="str">
        <x:v>root</x:v>
      </x:c>
      <x:c r="D1019" s="21" t="str">
        <x:v>F46-I2-B data constitution</x:v>
      </x:c>
      <x:c r="E1019" s="21" t="n">
        <x:f>IF(AND('Root Data'!G551=Assumptions!C10,'Root Data'!J551=Assumptions!C18,'Root Data'!N551="PASS"),1,0)</x:f>
        <x:v>1</x:v>
      </x:c>
      <x:c r="F1019" s="21" t="n">
        <x:v>1</x:v>
      </x:c>
      <x:c r="G1019" s="23" t="str">
        <x:f>IF(E1019=F1019,"PASS","FAIL")</x:f>
        <x:v>PASS</x:v>
      </x:c>
    </x:row>
    <x:row r="1020">
      <x:c r="B1020" s="21" t="str">
        <x:v>A01014</x:v>
      </x:c>
      <x:c r="C1020" s="21" t="str">
        <x:v>root</x:v>
      </x:c>
      <x:c r="D1020" s="21" t="str">
        <x:v>F46-I2-C data constitution</x:v>
      </x:c>
      <x:c r="E1020" s="21" t="n">
        <x:f>IF(AND('Root Data'!G552=Assumptions!C10,'Root Data'!J552=Assumptions!C18,'Root Data'!N552="PASS"),1,0)</x:f>
        <x:v>1</x:v>
      </x:c>
      <x:c r="F1020" s="21" t="n">
        <x:v>1</x:v>
      </x:c>
      <x:c r="G1020" s="23" t="str">
        <x:f>IF(E1020=F1020,"PASS","FAIL")</x:f>
        <x:v>PASS</x:v>
      </x:c>
    </x:row>
    <x:row r="1021">
      <x:c r="B1021" s="21" t="str">
        <x:v>A01015</x:v>
      </x:c>
      <x:c r="C1021" s="21" t="str">
        <x:v>root</x:v>
      </x:c>
      <x:c r="D1021" s="21" t="str">
        <x:v>F46-I3-A data constitution</x:v>
      </x:c>
      <x:c r="E1021" s="21" t="n">
        <x:f>IF(AND('Root Data'!G553=Assumptions!C10,'Root Data'!J553=Assumptions!C18,'Root Data'!N553="PASS"),1,0)</x:f>
        <x:v>1</x:v>
      </x:c>
      <x:c r="F1021" s="21" t="n">
        <x:v>1</x:v>
      </x:c>
      <x:c r="G1021" s="23" t="str">
        <x:f>IF(E1021=F1021,"PASS","FAIL")</x:f>
        <x:v>PASS</x:v>
      </x:c>
    </x:row>
    <x:row r="1022">
      <x:c r="B1022" s="21" t="str">
        <x:v>A01016</x:v>
      </x:c>
      <x:c r="C1022" s="21" t="str">
        <x:v>root</x:v>
      </x:c>
      <x:c r="D1022" s="21" t="str">
        <x:v>F46-I3-B data constitution</x:v>
      </x:c>
      <x:c r="E1022" s="21" t="n">
        <x:f>IF(AND('Root Data'!G554=Assumptions!C10,'Root Data'!J554=Assumptions!C18,'Root Data'!N554="PASS"),1,0)</x:f>
        <x:v>1</x:v>
      </x:c>
      <x:c r="F1022" s="21" t="n">
        <x:v>1</x:v>
      </x:c>
      <x:c r="G1022" s="23" t="str">
        <x:f>IF(E1022=F1022,"PASS","FAIL")</x:f>
        <x:v>PASS</x:v>
      </x:c>
    </x:row>
    <x:row r="1023">
      <x:c r="B1023" s="21" t="str">
        <x:v>A01017</x:v>
      </x:c>
      <x:c r="C1023" s="21" t="str">
        <x:v>root</x:v>
      </x:c>
      <x:c r="D1023" s="21" t="str">
        <x:v>F46-I3-C data constitution</x:v>
      </x:c>
      <x:c r="E1023" s="21" t="n">
        <x:f>IF(AND('Root Data'!G555=Assumptions!C10,'Root Data'!J555=Assumptions!C18,'Root Data'!N555="PASS"),1,0)</x:f>
        <x:v>1</x:v>
      </x:c>
      <x:c r="F1023" s="21" t="n">
        <x:v>1</x:v>
      </x:c>
      <x:c r="G1023" s="23" t="str">
        <x:f>IF(E1023=F1023,"PASS","FAIL")</x:f>
        <x:v>PASS</x:v>
      </x:c>
    </x:row>
    <x:row r="1024">
      <x:c r="B1024" s="21" t="str">
        <x:v>A01018</x:v>
      </x:c>
      <x:c r="C1024" s="21" t="str">
        <x:v>root</x:v>
      </x:c>
      <x:c r="D1024" s="21" t="str">
        <x:v>F46-I4-A data constitution</x:v>
      </x:c>
      <x:c r="E1024" s="21" t="n">
        <x:f>IF(AND('Root Data'!G556=Assumptions!C10,'Root Data'!J556=Assumptions!C18,'Root Data'!N556="PASS"),1,0)</x:f>
        <x:v>1</x:v>
      </x:c>
      <x:c r="F1024" s="21" t="n">
        <x:v>1</x:v>
      </x:c>
      <x:c r="G1024" s="23" t="str">
        <x:f>IF(E1024=F1024,"PASS","FAIL")</x:f>
        <x:v>PASS</x:v>
      </x:c>
    </x:row>
    <x:row r="1025">
      <x:c r="B1025" s="21" t="str">
        <x:v>A01019</x:v>
      </x:c>
      <x:c r="C1025" s="21" t="str">
        <x:v>root</x:v>
      </x:c>
      <x:c r="D1025" s="21" t="str">
        <x:v>F46-I4-B data constitution</x:v>
      </x:c>
      <x:c r="E1025" s="21" t="n">
        <x:f>IF(AND('Root Data'!G557=Assumptions!C10,'Root Data'!J557=Assumptions!C18,'Root Data'!N557="PASS"),1,0)</x:f>
        <x:v>1</x:v>
      </x:c>
      <x:c r="F1025" s="21" t="n">
        <x:v>1</x:v>
      </x:c>
      <x:c r="G1025" s="23" t="str">
        <x:f>IF(E1025=F1025,"PASS","FAIL")</x:f>
        <x:v>PASS</x:v>
      </x:c>
    </x:row>
    <x:row r="1026">
      <x:c r="B1026" s="21" t="str">
        <x:v>A01020</x:v>
      </x:c>
      <x:c r="C1026" s="21" t="str">
        <x:v>root</x:v>
      </x:c>
      <x:c r="D1026" s="21" t="str">
        <x:v>F46-I4-C data constitution</x:v>
      </x:c>
      <x:c r="E1026" s="21" t="n">
        <x:f>IF(AND('Root Data'!G558=Assumptions!C10,'Root Data'!J558=Assumptions!C18,'Root Data'!N558="PASS"),1,0)</x:f>
        <x:v>1</x:v>
      </x:c>
      <x:c r="F1026" s="21" t="n">
        <x:v>1</x:v>
      </x:c>
      <x:c r="G1026" s="23" t="str">
        <x:f>IF(E1026=F1026,"PASS","FAIL")</x:f>
        <x:v>PASS</x:v>
      </x:c>
    </x:row>
    <x:row r="1027">
      <x:c r="B1027" s="21" t="str">
        <x:v>A01021</x:v>
      </x:c>
      <x:c r="C1027" s="21" t="str">
        <x:v>root</x:v>
      </x:c>
      <x:c r="D1027" s="21" t="str">
        <x:v>F47-I1-A data constitution</x:v>
      </x:c>
      <x:c r="E1027" s="21" t="n">
        <x:f>IF(AND('Root Data'!G559=Assumptions!C10,'Root Data'!J559=Assumptions!C18,'Root Data'!N559="PASS"),1,0)</x:f>
        <x:v>1</x:v>
      </x:c>
      <x:c r="F1027" s="21" t="n">
        <x:v>1</x:v>
      </x:c>
      <x:c r="G1027" s="23" t="str">
        <x:f>IF(E1027=F1027,"PASS","FAIL")</x:f>
        <x:v>PASS</x:v>
      </x:c>
    </x:row>
    <x:row r="1028">
      <x:c r="B1028" s="21" t="str">
        <x:v>A01022</x:v>
      </x:c>
      <x:c r="C1028" s="21" t="str">
        <x:v>root</x:v>
      </x:c>
      <x:c r="D1028" s="21" t="str">
        <x:v>F47-I1-B data constitution</x:v>
      </x:c>
      <x:c r="E1028" s="21" t="n">
        <x:f>IF(AND('Root Data'!G560=Assumptions!C10,'Root Data'!J560=Assumptions!C18,'Root Data'!N560="PASS"),1,0)</x:f>
        <x:v>1</x:v>
      </x:c>
      <x:c r="F1028" s="21" t="n">
        <x:v>1</x:v>
      </x:c>
      <x:c r="G1028" s="23" t="str">
        <x:f>IF(E1028=F1028,"PASS","FAIL")</x:f>
        <x:v>PASS</x:v>
      </x:c>
    </x:row>
    <x:row r="1029">
      <x:c r="B1029" s="21" t="str">
        <x:v>A01023</x:v>
      </x:c>
      <x:c r="C1029" s="21" t="str">
        <x:v>root</x:v>
      </x:c>
      <x:c r="D1029" s="21" t="str">
        <x:v>F47-I1-C data constitution</x:v>
      </x:c>
      <x:c r="E1029" s="21" t="n">
        <x:f>IF(AND('Root Data'!G561=Assumptions!C10,'Root Data'!J561=Assumptions!C18,'Root Data'!N561="PASS"),1,0)</x:f>
        <x:v>1</x:v>
      </x:c>
      <x:c r="F1029" s="21" t="n">
        <x:v>1</x:v>
      </x:c>
      <x:c r="G1029" s="23" t="str">
        <x:f>IF(E1029=F1029,"PASS","FAIL")</x:f>
        <x:v>PASS</x:v>
      </x:c>
    </x:row>
    <x:row r="1030">
      <x:c r="B1030" s="21" t="str">
        <x:v>A01024</x:v>
      </x:c>
      <x:c r="C1030" s="21" t="str">
        <x:v>root</x:v>
      </x:c>
      <x:c r="D1030" s="21" t="str">
        <x:v>F47-I2-A data constitution</x:v>
      </x:c>
      <x:c r="E1030" s="21" t="n">
        <x:f>IF(AND('Root Data'!G562=Assumptions!C10,'Root Data'!J562=Assumptions!C18,'Root Data'!N562="PASS"),1,0)</x:f>
        <x:v>1</x:v>
      </x:c>
      <x:c r="F1030" s="21" t="n">
        <x:v>1</x:v>
      </x:c>
      <x:c r="G1030" s="23" t="str">
        <x:f>IF(E1030=F1030,"PASS","FAIL")</x:f>
        <x:v>PASS</x:v>
      </x:c>
    </x:row>
    <x:row r="1031">
      <x:c r="B1031" s="21" t="str">
        <x:v>A01025</x:v>
      </x:c>
      <x:c r="C1031" s="21" t="str">
        <x:v>root</x:v>
      </x:c>
      <x:c r="D1031" s="21" t="str">
        <x:v>F47-I2-B data constitution</x:v>
      </x:c>
      <x:c r="E1031" s="21" t="n">
        <x:f>IF(AND('Root Data'!G563=Assumptions!C10,'Root Data'!J563=Assumptions!C18,'Root Data'!N563="PASS"),1,0)</x:f>
        <x:v>1</x:v>
      </x:c>
      <x:c r="F1031" s="21" t="n">
        <x:v>1</x:v>
      </x:c>
      <x:c r="G1031" s="23" t="str">
        <x:f>IF(E1031=F1031,"PASS","FAIL")</x:f>
        <x:v>PASS</x:v>
      </x:c>
    </x:row>
    <x:row r="1032">
      <x:c r="B1032" s="21" t="str">
        <x:v>A01026</x:v>
      </x:c>
      <x:c r="C1032" s="21" t="str">
        <x:v>root</x:v>
      </x:c>
      <x:c r="D1032" s="21" t="str">
        <x:v>F47-I2-C data constitution</x:v>
      </x:c>
      <x:c r="E1032" s="21" t="n">
        <x:f>IF(AND('Root Data'!G564=Assumptions!C10,'Root Data'!J564=Assumptions!C18,'Root Data'!N564="PASS"),1,0)</x:f>
        <x:v>1</x:v>
      </x:c>
      <x:c r="F1032" s="21" t="n">
        <x:v>1</x:v>
      </x:c>
      <x:c r="G1032" s="23" t="str">
        <x:f>IF(E1032=F1032,"PASS","FAIL")</x:f>
        <x:v>PASS</x:v>
      </x:c>
    </x:row>
    <x:row r="1033">
      <x:c r="B1033" s="21" t="str">
        <x:v>A01027</x:v>
      </x:c>
      <x:c r="C1033" s="21" t="str">
        <x:v>root</x:v>
      </x:c>
      <x:c r="D1033" s="21" t="str">
        <x:v>F47-I3-A data constitution</x:v>
      </x:c>
      <x:c r="E1033" s="21" t="n">
        <x:f>IF(AND('Root Data'!G565=Assumptions!C10,'Root Data'!J565=Assumptions!C18,'Root Data'!N565="PASS"),1,0)</x:f>
        <x:v>1</x:v>
      </x:c>
      <x:c r="F1033" s="21" t="n">
        <x:v>1</x:v>
      </x:c>
      <x:c r="G1033" s="23" t="str">
        <x:f>IF(E1033=F1033,"PASS","FAIL")</x:f>
        <x:v>PASS</x:v>
      </x:c>
    </x:row>
    <x:row r="1034">
      <x:c r="B1034" s="21" t="str">
        <x:v>A01028</x:v>
      </x:c>
      <x:c r="C1034" s="21" t="str">
        <x:v>root</x:v>
      </x:c>
      <x:c r="D1034" s="21" t="str">
        <x:v>F47-I3-B data constitution</x:v>
      </x:c>
      <x:c r="E1034" s="21" t="n">
        <x:f>IF(AND('Root Data'!G566=Assumptions!C10,'Root Data'!J566=Assumptions!C18,'Root Data'!N566="PASS"),1,0)</x:f>
        <x:v>1</x:v>
      </x:c>
      <x:c r="F1034" s="21" t="n">
        <x:v>1</x:v>
      </x:c>
      <x:c r="G1034" s="23" t="str">
        <x:f>IF(E1034=F1034,"PASS","FAIL")</x:f>
        <x:v>PASS</x:v>
      </x:c>
    </x:row>
    <x:row r="1035">
      <x:c r="B1035" s="21" t="str">
        <x:v>A01029</x:v>
      </x:c>
      <x:c r="C1035" s="21" t="str">
        <x:v>root</x:v>
      </x:c>
      <x:c r="D1035" s="21" t="str">
        <x:v>F47-I3-C data constitution</x:v>
      </x:c>
      <x:c r="E1035" s="21" t="n">
        <x:f>IF(AND('Root Data'!G567=Assumptions!C10,'Root Data'!J567=Assumptions!C18,'Root Data'!N567="PASS"),1,0)</x:f>
        <x:v>1</x:v>
      </x:c>
      <x:c r="F1035" s="21" t="n">
        <x:v>1</x:v>
      </x:c>
      <x:c r="G1035" s="23" t="str">
        <x:f>IF(E1035=F1035,"PASS","FAIL")</x:f>
        <x:v>PASS</x:v>
      </x:c>
    </x:row>
    <x:row r="1036">
      <x:c r="B1036" s="21" t="str">
        <x:v>A01030</x:v>
      </x:c>
      <x:c r="C1036" s="21" t="str">
        <x:v>root</x:v>
      </x:c>
      <x:c r="D1036" s="21" t="str">
        <x:v>F47-I4-A data constitution</x:v>
      </x:c>
      <x:c r="E1036" s="21" t="n">
        <x:f>IF(AND('Root Data'!G568=Assumptions!C10,'Root Data'!J568=Assumptions!C18,'Root Data'!N568="PASS"),1,0)</x:f>
        <x:v>1</x:v>
      </x:c>
      <x:c r="F1036" s="21" t="n">
        <x:v>1</x:v>
      </x:c>
      <x:c r="G1036" s="23" t="str">
        <x:f>IF(E1036=F1036,"PASS","FAIL")</x:f>
        <x:v>PASS</x:v>
      </x:c>
    </x:row>
    <x:row r="1037">
      <x:c r="B1037" s="21" t="str">
        <x:v>A01031</x:v>
      </x:c>
      <x:c r="C1037" s="21" t="str">
        <x:v>root</x:v>
      </x:c>
      <x:c r="D1037" s="21" t="str">
        <x:v>F47-I4-B data constitution</x:v>
      </x:c>
      <x:c r="E1037" s="21" t="n">
        <x:f>IF(AND('Root Data'!G569=Assumptions!C10,'Root Data'!J569=Assumptions!C18,'Root Data'!N569="PASS"),1,0)</x:f>
        <x:v>1</x:v>
      </x:c>
      <x:c r="F1037" s="21" t="n">
        <x:v>1</x:v>
      </x:c>
      <x:c r="G1037" s="23" t="str">
        <x:f>IF(E1037=F1037,"PASS","FAIL")</x:f>
        <x:v>PASS</x:v>
      </x:c>
    </x:row>
    <x:row r="1038">
      <x:c r="B1038" s="21" t="str">
        <x:v>A01032</x:v>
      </x:c>
      <x:c r="C1038" s="21" t="str">
        <x:v>root</x:v>
      </x:c>
      <x:c r="D1038" s="21" t="str">
        <x:v>F47-I4-C data constitution</x:v>
      </x:c>
      <x:c r="E1038" s="21" t="n">
        <x:f>IF(AND('Root Data'!G570=Assumptions!C10,'Root Data'!J570=Assumptions!C18,'Root Data'!N570="PASS"),1,0)</x:f>
        <x:v>1</x:v>
      </x:c>
      <x:c r="F1038" s="21" t="n">
        <x:v>1</x:v>
      </x:c>
      <x:c r="G1038" s="23" t="str">
        <x:f>IF(E1038=F1038,"PASS","FAIL")</x:f>
        <x:v>PASS</x:v>
      </x:c>
    </x:row>
    <x:row r="1039">
      <x:c r="B1039" s="21" t="str">
        <x:v>A01033</x:v>
      </x:c>
      <x:c r="C1039" s="21" t="str">
        <x:v>root</x:v>
      </x:c>
      <x:c r="D1039" s="21" t="str">
        <x:v>F48-I1-A data constitution</x:v>
      </x:c>
      <x:c r="E1039" s="21" t="n">
        <x:f>IF(AND('Root Data'!G571=Assumptions!C10,'Root Data'!J571=Assumptions!C18,'Root Data'!N571="PASS"),1,0)</x:f>
        <x:v>1</x:v>
      </x:c>
      <x:c r="F1039" s="21" t="n">
        <x:v>1</x:v>
      </x:c>
      <x:c r="G1039" s="23" t="str">
        <x:f>IF(E1039=F1039,"PASS","FAIL")</x:f>
        <x:v>PASS</x:v>
      </x:c>
    </x:row>
    <x:row r="1040">
      <x:c r="B1040" s="21" t="str">
        <x:v>A01034</x:v>
      </x:c>
      <x:c r="C1040" s="21" t="str">
        <x:v>root</x:v>
      </x:c>
      <x:c r="D1040" s="21" t="str">
        <x:v>F48-I1-B data constitution</x:v>
      </x:c>
      <x:c r="E1040" s="21" t="n">
        <x:f>IF(AND('Root Data'!G572=Assumptions!C10,'Root Data'!J572=Assumptions!C18,'Root Data'!N572="PASS"),1,0)</x:f>
        <x:v>1</x:v>
      </x:c>
      <x:c r="F1040" s="21" t="n">
        <x:v>1</x:v>
      </x:c>
      <x:c r="G1040" s="23" t="str">
        <x:f>IF(E1040=F1040,"PASS","FAIL")</x:f>
        <x:v>PASS</x:v>
      </x:c>
    </x:row>
    <x:row r="1041">
      <x:c r="B1041" s="21" t="str">
        <x:v>A01035</x:v>
      </x:c>
      <x:c r="C1041" s="21" t="str">
        <x:v>root</x:v>
      </x:c>
      <x:c r="D1041" s="21" t="str">
        <x:v>F48-I1-C data constitution</x:v>
      </x:c>
      <x:c r="E1041" s="21" t="n">
        <x:f>IF(AND('Root Data'!G573=Assumptions!C10,'Root Data'!J573=Assumptions!C18,'Root Data'!N573="PASS"),1,0)</x:f>
        <x:v>1</x:v>
      </x:c>
      <x:c r="F1041" s="21" t="n">
        <x:v>1</x:v>
      </x:c>
      <x:c r="G1041" s="23" t="str">
        <x:f>IF(E1041=F1041,"PASS","FAIL")</x:f>
        <x:v>PASS</x:v>
      </x:c>
    </x:row>
    <x:row r="1042">
      <x:c r="B1042" s="21" t="str">
        <x:v>A01036</x:v>
      </x:c>
      <x:c r="C1042" s="21" t="str">
        <x:v>root</x:v>
      </x:c>
      <x:c r="D1042" s="21" t="str">
        <x:v>F48-I2-A data constitution</x:v>
      </x:c>
      <x:c r="E1042" s="21" t="n">
        <x:f>IF(AND('Root Data'!G574=Assumptions!C10,'Root Data'!J574=Assumptions!C18,'Root Data'!N574="PASS"),1,0)</x:f>
        <x:v>1</x:v>
      </x:c>
      <x:c r="F1042" s="21" t="n">
        <x:v>1</x:v>
      </x:c>
      <x:c r="G1042" s="23" t="str">
        <x:f>IF(E1042=F1042,"PASS","FAIL")</x:f>
        <x:v>PASS</x:v>
      </x:c>
    </x:row>
    <x:row r="1043">
      <x:c r="B1043" s="21" t="str">
        <x:v>A01037</x:v>
      </x:c>
      <x:c r="C1043" s="21" t="str">
        <x:v>root</x:v>
      </x:c>
      <x:c r="D1043" s="21" t="str">
        <x:v>F48-I2-B data constitution</x:v>
      </x:c>
      <x:c r="E1043" s="21" t="n">
        <x:f>IF(AND('Root Data'!G575=Assumptions!C10,'Root Data'!J575=Assumptions!C18,'Root Data'!N575="PASS"),1,0)</x:f>
        <x:v>1</x:v>
      </x:c>
      <x:c r="F1043" s="21" t="n">
        <x:v>1</x:v>
      </x:c>
      <x:c r="G1043" s="23" t="str">
        <x:f>IF(E1043=F1043,"PASS","FAIL")</x:f>
        <x:v>PASS</x:v>
      </x:c>
    </x:row>
    <x:row r="1044">
      <x:c r="B1044" s="21" t="str">
        <x:v>A01038</x:v>
      </x:c>
      <x:c r="C1044" s="21" t="str">
        <x:v>root</x:v>
      </x:c>
      <x:c r="D1044" s="21" t="str">
        <x:v>F48-I2-C data constitution</x:v>
      </x:c>
      <x:c r="E1044" s="21" t="n">
        <x:f>IF(AND('Root Data'!G576=Assumptions!C10,'Root Data'!J576=Assumptions!C18,'Root Data'!N576="PASS"),1,0)</x:f>
        <x:v>1</x:v>
      </x:c>
      <x:c r="F1044" s="21" t="n">
        <x:v>1</x:v>
      </x:c>
      <x:c r="G1044" s="23" t="str">
        <x:f>IF(E1044=F1044,"PASS","FAIL")</x:f>
        <x:v>PASS</x:v>
      </x:c>
    </x:row>
    <x:row r="1045">
      <x:c r="B1045" s="21" t="str">
        <x:v>A01039</x:v>
      </x:c>
      <x:c r="C1045" s="21" t="str">
        <x:v>root</x:v>
      </x:c>
      <x:c r="D1045" s="21" t="str">
        <x:v>F48-I3-A data constitution</x:v>
      </x:c>
      <x:c r="E1045" s="21" t="n">
        <x:f>IF(AND('Root Data'!G577=Assumptions!C10,'Root Data'!J577=Assumptions!C18,'Root Data'!N577="PASS"),1,0)</x:f>
        <x:v>1</x:v>
      </x:c>
      <x:c r="F1045" s="21" t="n">
        <x:v>1</x:v>
      </x:c>
      <x:c r="G1045" s="23" t="str">
        <x:f>IF(E1045=F1045,"PASS","FAIL")</x:f>
        <x:v>PASS</x:v>
      </x:c>
    </x:row>
    <x:row r="1046">
      <x:c r="B1046" s="21" t="str">
        <x:v>A01040</x:v>
      </x:c>
      <x:c r="C1046" s="21" t="str">
        <x:v>root</x:v>
      </x:c>
      <x:c r="D1046" s="21" t="str">
        <x:v>F48-I3-B data constitution</x:v>
      </x:c>
      <x:c r="E1046" s="21" t="n">
        <x:f>IF(AND('Root Data'!G578=Assumptions!C10,'Root Data'!J578=Assumptions!C18,'Root Data'!N578="PASS"),1,0)</x:f>
        <x:v>1</x:v>
      </x:c>
      <x:c r="F1046" s="21" t="n">
        <x:v>1</x:v>
      </x:c>
      <x:c r="G1046" s="23" t="str">
        <x:f>IF(E1046=F1046,"PASS","FAIL")</x:f>
        <x:v>PASS</x:v>
      </x:c>
    </x:row>
    <x:row r="1047">
      <x:c r="B1047" s="21" t="str">
        <x:v>A01041</x:v>
      </x:c>
      <x:c r="C1047" s="21" t="str">
        <x:v>root</x:v>
      </x:c>
      <x:c r="D1047" s="21" t="str">
        <x:v>F48-I3-C data constitution</x:v>
      </x:c>
      <x:c r="E1047" s="21" t="n">
        <x:f>IF(AND('Root Data'!G579=Assumptions!C10,'Root Data'!J579=Assumptions!C18,'Root Data'!N579="PASS"),1,0)</x:f>
        <x:v>1</x:v>
      </x:c>
      <x:c r="F1047" s="21" t="n">
        <x:v>1</x:v>
      </x:c>
      <x:c r="G1047" s="23" t="str">
        <x:f>IF(E1047=F1047,"PASS","FAIL")</x:f>
        <x:v>PASS</x:v>
      </x:c>
    </x:row>
    <x:row r="1048">
      <x:c r="B1048" s="21" t="str">
        <x:v>A01042</x:v>
      </x:c>
      <x:c r="C1048" s="21" t="str">
        <x:v>root</x:v>
      </x:c>
      <x:c r="D1048" s="21" t="str">
        <x:v>F48-I4-A data constitution</x:v>
      </x:c>
      <x:c r="E1048" s="21" t="n">
        <x:f>IF(AND('Root Data'!G580=Assumptions!C10,'Root Data'!J580=Assumptions!C18,'Root Data'!N580="PASS"),1,0)</x:f>
        <x:v>1</x:v>
      </x:c>
      <x:c r="F1048" s="21" t="n">
        <x:v>1</x:v>
      </x:c>
      <x:c r="G1048" s="23" t="str">
        <x:f>IF(E1048=F1048,"PASS","FAIL")</x:f>
        <x:v>PASS</x:v>
      </x:c>
    </x:row>
    <x:row r="1049">
      <x:c r="B1049" s="21" t="str">
        <x:v>A01043</x:v>
      </x:c>
      <x:c r="C1049" s="21" t="str">
        <x:v>root</x:v>
      </x:c>
      <x:c r="D1049" s="21" t="str">
        <x:v>F48-I4-B data constitution</x:v>
      </x:c>
      <x:c r="E1049" s="21" t="n">
        <x:f>IF(AND('Root Data'!G581=Assumptions!C10,'Root Data'!J581=Assumptions!C18,'Root Data'!N581="PASS"),1,0)</x:f>
        <x:v>1</x:v>
      </x:c>
      <x:c r="F1049" s="21" t="n">
        <x:v>1</x:v>
      </x:c>
      <x:c r="G1049" s="23" t="str">
        <x:f>IF(E1049=F1049,"PASS","FAIL")</x:f>
        <x:v>PASS</x:v>
      </x:c>
    </x:row>
    <x:row r="1050">
      <x:c r="B1050" s="21" t="str">
        <x:v>A01044</x:v>
      </x:c>
      <x:c r="C1050" s="21" t="str">
        <x:v>root</x:v>
      </x:c>
      <x:c r="D1050" s="21" t="str">
        <x:v>F48-I4-C data constitution</x:v>
      </x:c>
      <x:c r="E1050" s="21" t="n">
        <x:f>IF(AND('Root Data'!G582=Assumptions!C10,'Root Data'!J582=Assumptions!C18,'Root Data'!N582="PASS"),1,0)</x:f>
        <x:v>1</x:v>
      </x:c>
      <x:c r="F1050" s="21" t="n">
        <x:v>1</x:v>
      </x:c>
      <x:c r="G1050" s="23" t="str">
        <x:f>IF(E1050=F1050,"PASS","FAIL")</x:f>
        <x:v>PASS</x:v>
      </x:c>
    </x:row>
    <x:row r="1051">
      <x:c r="B1051" s="21" t="str">
        <x:v>A01045</x:v>
      </x:c>
      <x:c r="C1051" s="21" t="str">
        <x:v>artifact</x:v>
      </x:c>
      <x:c r="D1051" s="21" t="str">
        <x:v>artifact 1 eligibility equation</x:v>
      </x:c>
      <x:c r="E1051" s="21" t="n">
        <x:f>IF(ABS('Artifact Ledger'!P7-IF(AND('Artifact Ledger'!L7=1,'Artifact Ledger'!M7=1,'Artifact Ledger'!N7=1,'Artifact Ledger'!O7&gt;='Artifact Ledger'!G7),'Artifact Ledger'!K7,0))&lt;0.000001,1,0)</x:f>
        <x:v>1</x:v>
      </x:c>
      <x:c r="F1051" s="21" t="n">
        <x:v>1</x:v>
      </x:c>
      <x:c r="G1051" s="23" t="str">
        <x:f>IF(E1051=F1051,"PASS","FAIL")</x:f>
        <x:v>PASS</x:v>
      </x:c>
    </x:row>
    <x:row r="1052">
      <x:c r="B1052" s="21" t="str">
        <x:v>A01046</x:v>
      </x:c>
      <x:c r="C1052" s="21" t="str">
        <x:v>artifact</x:v>
      </x:c>
      <x:c r="D1052" s="21" t="str">
        <x:v>artifact 1 planning state</x:v>
      </x:c>
      <x:c r="E1052" s="21" t="n">
        <x:f>IF(AND('Artifact Ledger'!Q7="OPEN",'Artifact Ledger'!R7="HOLD"),1,0)</x:f>
        <x:v>1</x:v>
      </x:c>
      <x:c r="F1052" s="21" t="n">
        <x:v>1</x:v>
      </x:c>
      <x:c r="G1052" s="23" t="str">
        <x:f>IF(E1052=F1052,"PASS","FAIL")</x:f>
        <x:v>PASS</x:v>
      </x:c>
    </x:row>
    <x:row r="1053">
      <x:c r="B1053" s="21" t="str">
        <x:v>A01047</x:v>
      </x:c>
      <x:c r="C1053" s="21" t="str">
        <x:v>artifact</x:v>
      </x:c>
      <x:c r="D1053" s="21" t="str">
        <x:v>artifact 2 eligibility equation</x:v>
      </x:c>
      <x:c r="E1053" s="21" t="n">
        <x:f>IF(ABS('Artifact Ledger'!P8-IF(AND('Artifact Ledger'!L8=1,'Artifact Ledger'!M8=1,'Artifact Ledger'!N8=1,'Artifact Ledger'!O8&gt;='Artifact Ledger'!G8),'Artifact Ledger'!K8,0))&lt;0.000001,1,0)</x:f>
        <x:v>1</x:v>
      </x:c>
      <x:c r="F1053" s="21" t="n">
        <x:v>1</x:v>
      </x:c>
      <x:c r="G1053" s="23" t="str">
        <x:f>IF(E1053=F1053,"PASS","FAIL")</x:f>
        <x:v>PASS</x:v>
      </x:c>
    </x:row>
    <x:row r="1054">
      <x:c r="B1054" s="21" t="str">
        <x:v>A01048</x:v>
      </x:c>
      <x:c r="C1054" s="21" t="str">
        <x:v>artifact</x:v>
      </x:c>
      <x:c r="D1054" s="21" t="str">
        <x:v>artifact 2 planning state</x:v>
      </x:c>
      <x:c r="E1054" s="21" t="n">
        <x:f>IF(AND('Artifact Ledger'!Q8="OPEN",'Artifact Ledger'!R8="HOLD"),1,0)</x:f>
        <x:v>1</x:v>
      </x:c>
      <x:c r="F1054" s="21" t="n">
        <x:v>1</x:v>
      </x:c>
      <x:c r="G1054" s="23" t="str">
        <x:f>IF(E1054=F1054,"PASS","FAIL")</x:f>
        <x:v>PASS</x:v>
      </x:c>
    </x:row>
    <x:row r="1055">
      <x:c r="B1055" s="21" t="str">
        <x:v>A01049</x:v>
      </x:c>
      <x:c r="C1055" s="21" t="str">
        <x:v>artifact</x:v>
      </x:c>
      <x:c r="D1055" s="21" t="str">
        <x:v>artifact 3 eligibility equation</x:v>
      </x:c>
      <x:c r="E1055" s="21" t="n">
        <x:f>IF(ABS('Artifact Ledger'!P9-IF(AND('Artifact Ledger'!L9=1,'Artifact Ledger'!M9=1,'Artifact Ledger'!N9=1,'Artifact Ledger'!O9&gt;='Artifact Ledger'!G9),'Artifact Ledger'!K9,0))&lt;0.000001,1,0)</x:f>
        <x:v>1</x:v>
      </x:c>
      <x:c r="F1055" s="21" t="n">
        <x:v>1</x:v>
      </x:c>
      <x:c r="G1055" s="23" t="str">
        <x:f>IF(E1055=F1055,"PASS","FAIL")</x:f>
        <x:v>PASS</x:v>
      </x:c>
    </x:row>
    <x:row r="1056">
      <x:c r="B1056" s="21" t="str">
        <x:v>A01050</x:v>
      </x:c>
      <x:c r="C1056" s="21" t="str">
        <x:v>artifact</x:v>
      </x:c>
      <x:c r="D1056" s="21" t="str">
        <x:v>artifact 3 planning state</x:v>
      </x:c>
      <x:c r="E1056" s="21" t="n">
        <x:f>IF(AND('Artifact Ledger'!Q9="OPEN",'Artifact Ledger'!R9="HOLD"),1,0)</x:f>
        <x:v>1</x:v>
      </x:c>
      <x:c r="F1056" s="21" t="n">
        <x:v>1</x:v>
      </x:c>
      <x:c r="G1056" s="23" t="str">
        <x:f>IF(E1056=F1056,"PASS","FAIL")</x:f>
        <x:v>PASS</x:v>
      </x:c>
    </x:row>
    <x:row r="1057">
      <x:c r="B1057" s="21" t="str">
        <x:v>A01051</x:v>
      </x:c>
      <x:c r="C1057" s="21" t="str">
        <x:v>artifact</x:v>
      </x:c>
      <x:c r="D1057" s="21" t="str">
        <x:v>artifact 4 eligibility equation</x:v>
      </x:c>
      <x:c r="E1057" s="21" t="n">
        <x:f>IF(ABS('Artifact Ledger'!P10-IF(AND('Artifact Ledger'!L10=1,'Artifact Ledger'!M10=1,'Artifact Ledger'!N10=1,'Artifact Ledger'!O10&gt;='Artifact Ledger'!G10),'Artifact Ledger'!K10,0))&lt;0.000001,1,0)</x:f>
        <x:v>1</x:v>
      </x:c>
      <x:c r="F1057" s="21" t="n">
        <x:v>1</x:v>
      </x:c>
      <x:c r="G1057" s="23" t="str">
        <x:f>IF(E1057=F1057,"PASS","FAIL")</x:f>
        <x:v>PASS</x:v>
      </x:c>
    </x:row>
    <x:row r="1058">
      <x:c r="B1058" s="21" t="str">
        <x:v>A01052</x:v>
      </x:c>
      <x:c r="C1058" s="21" t="str">
        <x:v>artifact</x:v>
      </x:c>
      <x:c r="D1058" s="21" t="str">
        <x:v>artifact 4 planning state</x:v>
      </x:c>
      <x:c r="E1058" s="21" t="n">
        <x:f>IF(AND('Artifact Ledger'!Q10="OPEN",'Artifact Ledger'!R10="HOLD"),1,0)</x:f>
        <x:v>1</x:v>
      </x:c>
      <x:c r="F1058" s="21" t="n">
        <x:v>1</x:v>
      </x:c>
      <x:c r="G1058" s="23" t="str">
        <x:f>IF(E1058=F1058,"PASS","FAIL")</x:f>
        <x:v>PASS</x:v>
      </x:c>
    </x:row>
    <x:row r="1059">
      <x:c r="B1059" s="21" t="str">
        <x:v>A01053</x:v>
      </x:c>
      <x:c r="C1059" s="21" t="str">
        <x:v>artifact</x:v>
      </x:c>
      <x:c r="D1059" s="21" t="str">
        <x:v>artifact 5 eligibility equation</x:v>
      </x:c>
      <x:c r="E1059" s="21" t="n">
        <x:f>IF(ABS('Artifact Ledger'!P11-IF(AND('Artifact Ledger'!L11=1,'Artifact Ledger'!M11=1,'Artifact Ledger'!N11=1,'Artifact Ledger'!O11&gt;='Artifact Ledger'!G11),'Artifact Ledger'!K11,0))&lt;0.000001,1,0)</x:f>
        <x:v>1</x:v>
      </x:c>
      <x:c r="F1059" s="21" t="n">
        <x:v>1</x:v>
      </x:c>
      <x:c r="G1059" s="23" t="str">
        <x:f>IF(E1059=F1059,"PASS","FAIL")</x:f>
        <x:v>PASS</x:v>
      </x:c>
    </x:row>
    <x:row r="1060">
      <x:c r="B1060" s="21" t="str">
        <x:v>A01054</x:v>
      </x:c>
      <x:c r="C1060" s="21" t="str">
        <x:v>artifact</x:v>
      </x:c>
      <x:c r="D1060" s="21" t="str">
        <x:v>artifact 5 planning state</x:v>
      </x:c>
      <x:c r="E1060" s="21" t="n">
        <x:f>IF(AND('Artifact Ledger'!Q11="OPEN",'Artifact Ledger'!R11="HOLD"),1,0)</x:f>
        <x:v>1</x:v>
      </x:c>
      <x:c r="F1060" s="21" t="n">
        <x:v>1</x:v>
      </x:c>
      <x:c r="G1060" s="23" t="str">
        <x:f>IF(E1060=F1060,"PASS","FAIL")</x:f>
        <x:v>PASS</x:v>
      </x:c>
    </x:row>
    <x:row r="1061">
      <x:c r="B1061" s="21" t="str">
        <x:v>A01055</x:v>
      </x:c>
      <x:c r="C1061" s="21" t="str">
        <x:v>artifact</x:v>
      </x:c>
      <x:c r="D1061" s="21" t="str">
        <x:v>artifact 6 eligibility equation</x:v>
      </x:c>
      <x:c r="E1061" s="21" t="n">
        <x:f>IF(ABS('Artifact Ledger'!P12-IF(AND('Artifact Ledger'!L12=1,'Artifact Ledger'!M12=1,'Artifact Ledger'!N12=1,'Artifact Ledger'!O12&gt;='Artifact Ledger'!G12),'Artifact Ledger'!K12,0))&lt;0.000001,1,0)</x:f>
        <x:v>1</x:v>
      </x:c>
      <x:c r="F1061" s="21" t="n">
        <x:v>1</x:v>
      </x:c>
      <x:c r="G1061" s="23" t="str">
        <x:f>IF(E1061=F1061,"PASS","FAIL")</x:f>
        <x:v>PASS</x:v>
      </x:c>
    </x:row>
    <x:row r="1062">
      <x:c r="B1062" s="21" t="str">
        <x:v>A01056</x:v>
      </x:c>
      <x:c r="C1062" s="21" t="str">
        <x:v>artifact</x:v>
      </x:c>
      <x:c r="D1062" s="21" t="str">
        <x:v>artifact 6 planning state</x:v>
      </x:c>
      <x:c r="E1062" s="21" t="n">
        <x:f>IF(AND('Artifact Ledger'!Q12="OPEN",'Artifact Ledger'!R12="HOLD"),1,0)</x:f>
        <x:v>1</x:v>
      </x:c>
      <x:c r="F1062" s="21" t="n">
        <x:v>1</x:v>
      </x:c>
      <x:c r="G1062" s="23" t="str">
        <x:f>IF(E1062=F1062,"PASS","FAIL")</x:f>
        <x:v>PASS</x:v>
      </x:c>
    </x:row>
    <x:row r="1063">
      <x:c r="B1063" s="21" t="str">
        <x:v>A01057</x:v>
      </x:c>
      <x:c r="C1063" s="21" t="str">
        <x:v>artifact</x:v>
      </x:c>
      <x:c r="D1063" s="21" t="str">
        <x:v>artifact 7 eligibility equation</x:v>
      </x:c>
      <x:c r="E1063" s="21" t="n">
        <x:f>IF(ABS('Artifact Ledger'!P13-IF(AND('Artifact Ledger'!L13=1,'Artifact Ledger'!M13=1,'Artifact Ledger'!N13=1,'Artifact Ledger'!O13&gt;='Artifact Ledger'!G13),'Artifact Ledger'!K13,0))&lt;0.000001,1,0)</x:f>
        <x:v>1</x:v>
      </x:c>
      <x:c r="F1063" s="21" t="n">
        <x:v>1</x:v>
      </x:c>
      <x:c r="G1063" s="23" t="str">
        <x:f>IF(E1063=F1063,"PASS","FAIL")</x:f>
        <x:v>PASS</x:v>
      </x:c>
    </x:row>
    <x:row r="1064">
      <x:c r="B1064" s="21" t="str">
        <x:v>A01058</x:v>
      </x:c>
      <x:c r="C1064" s="21" t="str">
        <x:v>artifact</x:v>
      </x:c>
      <x:c r="D1064" s="21" t="str">
        <x:v>artifact 7 planning state</x:v>
      </x:c>
      <x:c r="E1064" s="21" t="n">
        <x:f>IF(AND('Artifact Ledger'!Q13="OPEN",'Artifact Ledger'!R13="HOLD"),1,0)</x:f>
        <x:v>1</x:v>
      </x:c>
      <x:c r="F1064" s="21" t="n">
        <x:v>1</x:v>
      </x:c>
      <x:c r="G1064" s="23" t="str">
        <x:f>IF(E1064=F1064,"PASS","FAIL")</x:f>
        <x:v>PASS</x:v>
      </x:c>
    </x:row>
    <x:row r="1065">
      <x:c r="B1065" s="21" t="str">
        <x:v>A01059</x:v>
      </x:c>
      <x:c r="C1065" s="21" t="str">
        <x:v>artifact</x:v>
      </x:c>
      <x:c r="D1065" s="21" t="str">
        <x:v>artifact 8 eligibility equation</x:v>
      </x:c>
      <x:c r="E1065" s="21" t="n">
        <x:f>IF(ABS('Artifact Ledger'!P14-IF(AND('Artifact Ledger'!L14=1,'Artifact Ledger'!M14=1,'Artifact Ledger'!N14=1,'Artifact Ledger'!O14&gt;='Artifact Ledger'!G14),'Artifact Ledger'!K14,0))&lt;0.000001,1,0)</x:f>
        <x:v>1</x:v>
      </x:c>
      <x:c r="F1065" s="21" t="n">
        <x:v>1</x:v>
      </x:c>
      <x:c r="G1065" s="23" t="str">
        <x:f>IF(E1065=F1065,"PASS","FAIL")</x:f>
        <x:v>PASS</x:v>
      </x:c>
    </x:row>
    <x:row r="1066">
      <x:c r="B1066" s="21" t="str">
        <x:v>A01060</x:v>
      </x:c>
      <x:c r="C1066" s="21" t="str">
        <x:v>artifact</x:v>
      </x:c>
      <x:c r="D1066" s="21" t="str">
        <x:v>artifact 8 planning state</x:v>
      </x:c>
      <x:c r="E1066" s="21" t="n">
        <x:f>IF(AND('Artifact Ledger'!Q14="OPEN",'Artifact Ledger'!R14="HOLD"),1,0)</x:f>
        <x:v>1</x:v>
      </x:c>
      <x:c r="F1066" s="21" t="n">
        <x:v>1</x:v>
      </x:c>
      <x:c r="G1066" s="23" t="str">
        <x:f>IF(E1066=F1066,"PASS","FAIL")</x:f>
        <x:v>PASS</x:v>
      </x:c>
    </x:row>
    <x:row r="1067">
      <x:c r="B1067" s="21" t="str">
        <x:v>A01061</x:v>
      </x:c>
      <x:c r="C1067" s="21" t="str">
        <x:v>artifact</x:v>
      </x:c>
      <x:c r="D1067" s="21" t="str">
        <x:v>artifact 9 eligibility equation</x:v>
      </x:c>
      <x:c r="E1067" s="21" t="n">
        <x:f>IF(ABS('Artifact Ledger'!P15-IF(AND('Artifact Ledger'!L15=1,'Artifact Ledger'!M15=1,'Artifact Ledger'!N15=1,'Artifact Ledger'!O15&gt;='Artifact Ledger'!G15),'Artifact Ledger'!K15,0))&lt;0.000001,1,0)</x:f>
        <x:v>1</x:v>
      </x:c>
      <x:c r="F1067" s="21" t="n">
        <x:v>1</x:v>
      </x:c>
      <x:c r="G1067" s="23" t="str">
        <x:f>IF(E1067=F1067,"PASS","FAIL")</x:f>
        <x:v>PASS</x:v>
      </x:c>
    </x:row>
    <x:row r="1068">
      <x:c r="B1068" s="21" t="str">
        <x:v>A01062</x:v>
      </x:c>
      <x:c r="C1068" s="21" t="str">
        <x:v>artifact</x:v>
      </x:c>
      <x:c r="D1068" s="21" t="str">
        <x:v>artifact 9 planning state</x:v>
      </x:c>
      <x:c r="E1068" s="21" t="n">
        <x:f>IF(AND('Artifact Ledger'!Q15="OPEN",'Artifact Ledger'!R15="HOLD"),1,0)</x:f>
        <x:v>1</x:v>
      </x:c>
      <x:c r="F1068" s="21" t="n">
        <x:v>1</x:v>
      </x:c>
      <x:c r="G1068" s="23" t="str">
        <x:f>IF(E1068=F1068,"PASS","FAIL")</x:f>
        <x:v>PASS</x:v>
      </x:c>
    </x:row>
    <x:row r="1069">
      <x:c r="B1069" s="21" t="str">
        <x:v>A01063</x:v>
      </x:c>
      <x:c r="C1069" s="21" t="str">
        <x:v>artifact</x:v>
      </x:c>
      <x:c r="D1069" s="21" t="str">
        <x:v>artifact 10 eligibility equation</x:v>
      </x:c>
      <x:c r="E1069" s="21" t="n">
        <x:f>IF(ABS('Artifact Ledger'!P16-IF(AND('Artifact Ledger'!L16=1,'Artifact Ledger'!M16=1,'Artifact Ledger'!N16=1,'Artifact Ledger'!O16&gt;='Artifact Ledger'!G16),'Artifact Ledger'!K16,0))&lt;0.000001,1,0)</x:f>
        <x:v>1</x:v>
      </x:c>
      <x:c r="F1069" s="21" t="n">
        <x:v>1</x:v>
      </x:c>
      <x:c r="G1069" s="23" t="str">
        <x:f>IF(E1069=F1069,"PASS","FAIL")</x:f>
        <x:v>PASS</x:v>
      </x:c>
    </x:row>
    <x:row r="1070">
      <x:c r="B1070" s="21" t="str">
        <x:v>A01064</x:v>
      </x:c>
      <x:c r="C1070" s="21" t="str">
        <x:v>artifact</x:v>
      </x:c>
      <x:c r="D1070" s="21" t="str">
        <x:v>artifact 10 planning state</x:v>
      </x:c>
      <x:c r="E1070" s="21" t="n">
        <x:f>IF(AND('Artifact Ledger'!Q16="OPEN",'Artifact Ledger'!R16="HOLD"),1,0)</x:f>
        <x:v>1</x:v>
      </x:c>
      <x:c r="F1070" s="21" t="n">
        <x:v>1</x:v>
      </x:c>
      <x:c r="G1070" s="23" t="str">
        <x:f>IF(E1070=F1070,"PASS","FAIL")</x:f>
        <x:v>PASS</x:v>
      </x:c>
    </x:row>
    <x:row r="1071">
      <x:c r="B1071" s="21" t="str">
        <x:v>A01065</x:v>
      </x:c>
      <x:c r="C1071" s="21" t="str">
        <x:v>artifact</x:v>
      </x:c>
      <x:c r="D1071" s="21" t="str">
        <x:v>artifact 11 eligibility equation</x:v>
      </x:c>
      <x:c r="E1071" s="21" t="n">
        <x:f>IF(ABS('Artifact Ledger'!P17-IF(AND('Artifact Ledger'!L17=1,'Artifact Ledger'!M17=1,'Artifact Ledger'!N17=1,'Artifact Ledger'!O17&gt;='Artifact Ledger'!G17),'Artifact Ledger'!K17,0))&lt;0.000001,1,0)</x:f>
        <x:v>1</x:v>
      </x:c>
      <x:c r="F1071" s="21" t="n">
        <x:v>1</x:v>
      </x:c>
      <x:c r="G1071" s="23" t="str">
        <x:f>IF(E1071=F1071,"PASS","FAIL")</x:f>
        <x:v>PASS</x:v>
      </x:c>
    </x:row>
    <x:row r="1072">
      <x:c r="B1072" s="21" t="str">
        <x:v>A01066</x:v>
      </x:c>
      <x:c r="C1072" s="21" t="str">
        <x:v>artifact</x:v>
      </x:c>
      <x:c r="D1072" s="21" t="str">
        <x:v>artifact 11 planning state</x:v>
      </x:c>
      <x:c r="E1072" s="21" t="n">
        <x:f>IF(AND('Artifact Ledger'!Q17="OPEN",'Artifact Ledger'!R17="HOLD"),1,0)</x:f>
        <x:v>1</x:v>
      </x:c>
      <x:c r="F1072" s="21" t="n">
        <x:v>1</x:v>
      </x:c>
      <x:c r="G1072" s="23" t="str">
        <x:f>IF(E1072=F1072,"PASS","FAIL")</x:f>
        <x:v>PASS</x:v>
      </x:c>
    </x:row>
    <x:row r="1073">
      <x:c r="B1073" s="21" t="str">
        <x:v>A01067</x:v>
      </x:c>
      <x:c r="C1073" s="21" t="str">
        <x:v>artifact</x:v>
      </x:c>
      <x:c r="D1073" s="21" t="str">
        <x:v>artifact 12 eligibility equation</x:v>
      </x:c>
      <x:c r="E1073" s="21" t="n">
        <x:f>IF(ABS('Artifact Ledger'!P18-IF(AND('Artifact Ledger'!L18=1,'Artifact Ledger'!M18=1,'Artifact Ledger'!N18=1,'Artifact Ledger'!O18&gt;='Artifact Ledger'!G18),'Artifact Ledger'!K18,0))&lt;0.000001,1,0)</x:f>
        <x:v>1</x:v>
      </x:c>
      <x:c r="F1073" s="21" t="n">
        <x:v>1</x:v>
      </x:c>
      <x:c r="G1073" s="23" t="str">
        <x:f>IF(E1073=F1073,"PASS","FAIL")</x:f>
        <x:v>PASS</x:v>
      </x:c>
    </x:row>
    <x:row r="1074">
      <x:c r="B1074" s="21" t="str">
        <x:v>A01068</x:v>
      </x:c>
      <x:c r="C1074" s="21" t="str">
        <x:v>artifact</x:v>
      </x:c>
      <x:c r="D1074" s="21" t="str">
        <x:v>artifact 12 planning state</x:v>
      </x:c>
      <x:c r="E1074" s="21" t="n">
        <x:f>IF(AND('Artifact Ledger'!Q18="OPEN",'Artifact Ledger'!R18="HOLD"),1,0)</x:f>
        <x:v>1</x:v>
      </x:c>
      <x:c r="F1074" s="21" t="n">
        <x:v>1</x:v>
      </x:c>
      <x:c r="G1074" s="23" t="str">
        <x:f>IF(E1074=F1074,"PASS","FAIL")</x:f>
        <x:v>PASS</x:v>
      </x:c>
    </x:row>
    <x:row r="1075">
      <x:c r="B1075" s="21" t="str">
        <x:v>A01069</x:v>
      </x:c>
      <x:c r="C1075" s="21" t="str">
        <x:v>artifact</x:v>
      </x:c>
      <x:c r="D1075" s="21" t="str">
        <x:v>artifact 13 eligibility equation</x:v>
      </x:c>
      <x:c r="E1075" s="21" t="n">
        <x:f>IF(ABS('Artifact Ledger'!P19-IF(AND('Artifact Ledger'!L19=1,'Artifact Ledger'!M19=1,'Artifact Ledger'!N19=1,'Artifact Ledger'!O19&gt;='Artifact Ledger'!G19),'Artifact Ledger'!K19,0))&lt;0.000001,1,0)</x:f>
        <x:v>1</x:v>
      </x:c>
      <x:c r="F1075" s="21" t="n">
        <x:v>1</x:v>
      </x:c>
      <x:c r="G1075" s="23" t="str">
        <x:f>IF(E1075=F1075,"PASS","FAIL")</x:f>
        <x:v>PASS</x:v>
      </x:c>
    </x:row>
    <x:row r="1076">
      <x:c r="B1076" s="21" t="str">
        <x:v>A01070</x:v>
      </x:c>
      <x:c r="C1076" s="21" t="str">
        <x:v>artifact</x:v>
      </x:c>
      <x:c r="D1076" s="21" t="str">
        <x:v>artifact 13 planning state</x:v>
      </x:c>
      <x:c r="E1076" s="21" t="n">
        <x:f>IF(AND('Artifact Ledger'!Q19="OPEN",'Artifact Ledger'!R19="HOLD"),1,0)</x:f>
        <x:v>1</x:v>
      </x:c>
      <x:c r="F1076" s="21" t="n">
        <x:v>1</x:v>
      </x:c>
      <x:c r="G1076" s="23" t="str">
        <x:f>IF(E1076=F1076,"PASS","FAIL")</x:f>
        <x:v>PASS</x:v>
      </x:c>
    </x:row>
    <x:row r="1077">
      <x:c r="B1077" s="21" t="str">
        <x:v>A01071</x:v>
      </x:c>
      <x:c r="C1077" s="21" t="str">
        <x:v>artifact</x:v>
      </x:c>
      <x:c r="D1077" s="21" t="str">
        <x:v>artifact 14 eligibility equation</x:v>
      </x:c>
      <x:c r="E1077" s="21" t="n">
        <x:f>IF(ABS('Artifact Ledger'!P20-IF(AND('Artifact Ledger'!L20=1,'Artifact Ledger'!M20=1,'Artifact Ledger'!N20=1,'Artifact Ledger'!O20&gt;='Artifact Ledger'!G20),'Artifact Ledger'!K20,0))&lt;0.000001,1,0)</x:f>
        <x:v>1</x:v>
      </x:c>
      <x:c r="F1077" s="21" t="n">
        <x:v>1</x:v>
      </x:c>
      <x:c r="G1077" s="23" t="str">
        <x:f>IF(E1077=F1077,"PASS","FAIL")</x:f>
        <x:v>PASS</x:v>
      </x:c>
    </x:row>
    <x:row r="1078">
      <x:c r="B1078" s="21" t="str">
        <x:v>A01072</x:v>
      </x:c>
      <x:c r="C1078" s="21" t="str">
        <x:v>artifact</x:v>
      </x:c>
      <x:c r="D1078" s="21" t="str">
        <x:v>artifact 14 planning state</x:v>
      </x:c>
      <x:c r="E1078" s="21" t="n">
        <x:f>IF(AND('Artifact Ledger'!Q20="OPEN",'Artifact Ledger'!R20="HOLD"),1,0)</x:f>
        <x:v>1</x:v>
      </x:c>
      <x:c r="F1078" s="21" t="n">
        <x:v>1</x:v>
      </x:c>
      <x:c r="G1078" s="23" t="str">
        <x:f>IF(E1078=F1078,"PASS","FAIL")</x:f>
        <x:v>PASS</x:v>
      </x:c>
    </x:row>
    <x:row r="1079">
      <x:c r="B1079" s="21" t="str">
        <x:v>A01073</x:v>
      </x:c>
      <x:c r="C1079" s="21" t="str">
        <x:v>artifact</x:v>
      </x:c>
      <x:c r="D1079" s="21" t="str">
        <x:v>artifact 15 eligibility equation</x:v>
      </x:c>
      <x:c r="E1079" s="21" t="n">
        <x:f>IF(ABS('Artifact Ledger'!P21-IF(AND('Artifact Ledger'!L21=1,'Artifact Ledger'!M21=1,'Artifact Ledger'!N21=1,'Artifact Ledger'!O21&gt;='Artifact Ledger'!G21),'Artifact Ledger'!K21,0))&lt;0.000001,1,0)</x:f>
        <x:v>1</x:v>
      </x:c>
      <x:c r="F1079" s="21" t="n">
        <x:v>1</x:v>
      </x:c>
      <x:c r="G1079" s="23" t="str">
        <x:f>IF(E1079=F1079,"PASS","FAIL")</x:f>
        <x:v>PASS</x:v>
      </x:c>
    </x:row>
    <x:row r="1080">
      <x:c r="B1080" s="21" t="str">
        <x:v>A01074</x:v>
      </x:c>
      <x:c r="C1080" s="21" t="str">
        <x:v>artifact</x:v>
      </x:c>
      <x:c r="D1080" s="21" t="str">
        <x:v>artifact 15 planning state</x:v>
      </x:c>
      <x:c r="E1080" s="21" t="n">
        <x:f>IF(AND('Artifact Ledger'!Q21="OPEN",'Artifact Ledger'!R21="HOLD"),1,0)</x:f>
        <x:v>1</x:v>
      </x:c>
      <x:c r="F1080" s="21" t="n">
        <x:v>1</x:v>
      </x:c>
      <x:c r="G1080" s="23" t="str">
        <x:f>IF(E1080=F1080,"PASS","FAIL")</x:f>
        <x:v>PASS</x:v>
      </x:c>
    </x:row>
    <x:row r="1081">
      <x:c r="B1081" s="21" t="str">
        <x:v>A01075</x:v>
      </x:c>
      <x:c r="C1081" s="21" t="str">
        <x:v>artifact</x:v>
      </x:c>
      <x:c r="D1081" s="21" t="str">
        <x:v>artifact 16 eligibility equation</x:v>
      </x:c>
      <x:c r="E1081" s="21" t="n">
        <x:f>IF(ABS('Artifact Ledger'!P22-IF(AND('Artifact Ledger'!L22=1,'Artifact Ledger'!M22=1,'Artifact Ledger'!N22=1,'Artifact Ledger'!O22&gt;='Artifact Ledger'!G22),'Artifact Ledger'!K22,0))&lt;0.000001,1,0)</x:f>
        <x:v>1</x:v>
      </x:c>
      <x:c r="F1081" s="21" t="n">
        <x:v>1</x:v>
      </x:c>
      <x:c r="G1081" s="23" t="str">
        <x:f>IF(E1081=F1081,"PASS","FAIL")</x:f>
        <x:v>PASS</x:v>
      </x:c>
    </x:row>
    <x:row r="1082">
      <x:c r="B1082" s="21" t="str">
        <x:v>A01076</x:v>
      </x:c>
      <x:c r="C1082" s="21" t="str">
        <x:v>artifact</x:v>
      </x:c>
      <x:c r="D1082" s="21" t="str">
        <x:v>artifact 16 planning state</x:v>
      </x:c>
      <x:c r="E1082" s="21" t="n">
        <x:f>IF(AND('Artifact Ledger'!Q22="OPEN",'Artifact Ledger'!R22="HOLD"),1,0)</x:f>
        <x:v>1</x:v>
      </x:c>
      <x:c r="F1082" s="21" t="n">
        <x:v>1</x:v>
      </x:c>
      <x:c r="G1082" s="23" t="str">
        <x:f>IF(E1082=F1082,"PASS","FAIL")</x:f>
        <x:v>PASS</x:v>
      </x:c>
    </x:row>
    <x:row r="1083">
      <x:c r="B1083" s="21" t="str">
        <x:v>A01077</x:v>
      </x:c>
      <x:c r="C1083" s="21" t="str">
        <x:v>artifact</x:v>
      </x:c>
      <x:c r="D1083" s="21" t="str">
        <x:v>artifact 17 eligibility equation</x:v>
      </x:c>
      <x:c r="E1083" s="21" t="n">
        <x:f>IF(ABS('Artifact Ledger'!P23-IF(AND('Artifact Ledger'!L23=1,'Artifact Ledger'!M23=1,'Artifact Ledger'!N23=1,'Artifact Ledger'!O23&gt;='Artifact Ledger'!G23),'Artifact Ledger'!K23,0))&lt;0.000001,1,0)</x:f>
        <x:v>1</x:v>
      </x:c>
      <x:c r="F1083" s="21" t="n">
        <x:v>1</x:v>
      </x:c>
      <x:c r="G1083" s="23" t="str">
        <x:f>IF(E1083=F1083,"PASS","FAIL")</x:f>
        <x:v>PASS</x:v>
      </x:c>
    </x:row>
    <x:row r="1084">
      <x:c r="B1084" s="21" t="str">
        <x:v>A01078</x:v>
      </x:c>
      <x:c r="C1084" s="21" t="str">
        <x:v>artifact</x:v>
      </x:c>
      <x:c r="D1084" s="21" t="str">
        <x:v>artifact 17 planning state</x:v>
      </x:c>
      <x:c r="E1084" s="21" t="n">
        <x:f>IF(AND('Artifact Ledger'!Q23="OPEN",'Artifact Ledger'!R23="HOLD"),1,0)</x:f>
        <x:v>1</x:v>
      </x:c>
      <x:c r="F1084" s="21" t="n">
        <x:v>1</x:v>
      </x:c>
      <x:c r="G1084" s="23" t="str">
        <x:f>IF(E1084=F1084,"PASS","FAIL")</x:f>
        <x:v>PASS</x:v>
      </x:c>
    </x:row>
    <x:row r="1085">
      <x:c r="B1085" s="21" t="str">
        <x:v>A01079</x:v>
      </x:c>
      <x:c r="C1085" s="21" t="str">
        <x:v>artifact</x:v>
      </x:c>
      <x:c r="D1085" s="21" t="str">
        <x:v>artifact 18 eligibility equation</x:v>
      </x:c>
      <x:c r="E1085" s="21" t="n">
        <x:f>IF(ABS('Artifact Ledger'!P24-IF(AND('Artifact Ledger'!L24=1,'Artifact Ledger'!M24=1,'Artifact Ledger'!N24=1,'Artifact Ledger'!O24&gt;='Artifact Ledger'!G24),'Artifact Ledger'!K24,0))&lt;0.000001,1,0)</x:f>
        <x:v>1</x:v>
      </x:c>
      <x:c r="F1085" s="21" t="n">
        <x:v>1</x:v>
      </x:c>
      <x:c r="G1085" s="23" t="str">
        <x:f>IF(E1085=F1085,"PASS","FAIL")</x:f>
        <x:v>PASS</x:v>
      </x:c>
    </x:row>
    <x:row r="1086">
      <x:c r="B1086" s="21" t="str">
        <x:v>A01080</x:v>
      </x:c>
      <x:c r="C1086" s="21" t="str">
        <x:v>artifact</x:v>
      </x:c>
      <x:c r="D1086" s="21" t="str">
        <x:v>artifact 18 planning state</x:v>
      </x:c>
      <x:c r="E1086" s="21" t="n">
        <x:f>IF(AND('Artifact Ledger'!Q24="OPEN",'Artifact Ledger'!R24="HOLD"),1,0)</x:f>
        <x:v>1</x:v>
      </x:c>
      <x:c r="F1086" s="21" t="n">
        <x:v>1</x:v>
      </x:c>
      <x:c r="G1086" s="23" t="str">
        <x:f>IF(E1086=F1086,"PASS","FAIL")</x:f>
        <x:v>PASS</x:v>
      </x:c>
    </x:row>
    <x:row r="1087">
      <x:c r="B1087" s="21" t="str">
        <x:v>A01081</x:v>
      </x:c>
      <x:c r="C1087" s="21" t="str">
        <x:v>artifact</x:v>
      </x:c>
      <x:c r="D1087" s="21" t="str">
        <x:v>artifact 19 eligibility equation</x:v>
      </x:c>
      <x:c r="E1087" s="21" t="n">
        <x:f>IF(ABS('Artifact Ledger'!P25-IF(AND('Artifact Ledger'!L25=1,'Artifact Ledger'!M25=1,'Artifact Ledger'!N25=1,'Artifact Ledger'!O25&gt;='Artifact Ledger'!G25),'Artifact Ledger'!K25,0))&lt;0.000001,1,0)</x:f>
        <x:v>1</x:v>
      </x:c>
      <x:c r="F1087" s="21" t="n">
        <x:v>1</x:v>
      </x:c>
      <x:c r="G1087" s="23" t="str">
        <x:f>IF(E1087=F1087,"PASS","FAIL")</x:f>
        <x:v>PASS</x:v>
      </x:c>
    </x:row>
    <x:row r="1088">
      <x:c r="B1088" s="21" t="str">
        <x:v>A01082</x:v>
      </x:c>
      <x:c r="C1088" s="21" t="str">
        <x:v>artifact</x:v>
      </x:c>
      <x:c r="D1088" s="21" t="str">
        <x:v>artifact 19 planning state</x:v>
      </x:c>
      <x:c r="E1088" s="21" t="n">
        <x:f>IF(AND('Artifact Ledger'!Q25="OPEN",'Artifact Ledger'!R25="HOLD"),1,0)</x:f>
        <x:v>1</x:v>
      </x:c>
      <x:c r="F1088" s="21" t="n">
        <x:v>1</x:v>
      </x:c>
      <x:c r="G1088" s="23" t="str">
        <x:f>IF(E1088=F1088,"PASS","FAIL")</x:f>
        <x:v>PASS</x:v>
      </x:c>
    </x:row>
    <x:row r="1089">
      <x:c r="B1089" s="21" t="str">
        <x:v>A01083</x:v>
      </x:c>
      <x:c r="C1089" s="21" t="str">
        <x:v>artifact</x:v>
      </x:c>
      <x:c r="D1089" s="21" t="str">
        <x:v>artifact 20 eligibility equation</x:v>
      </x:c>
      <x:c r="E1089" s="21" t="n">
        <x:f>IF(ABS('Artifact Ledger'!P26-IF(AND('Artifact Ledger'!L26=1,'Artifact Ledger'!M26=1,'Artifact Ledger'!N26=1,'Artifact Ledger'!O26&gt;='Artifact Ledger'!G26),'Artifact Ledger'!K26,0))&lt;0.000001,1,0)</x:f>
        <x:v>1</x:v>
      </x:c>
      <x:c r="F1089" s="21" t="n">
        <x:v>1</x:v>
      </x:c>
      <x:c r="G1089" s="23" t="str">
        <x:f>IF(E1089=F1089,"PASS","FAIL")</x:f>
        <x:v>PASS</x:v>
      </x:c>
    </x:row>
    <x:row r="1090">
      <x:c r="B1090" s="21" t="str">
        <x:v>A01084</x:v>
      </x:c>
      <x:c r="C1090" s="21" t="str">
        <x:v>artifact</x:v>
      </x:c>
      <x:c r="D1090" s="21" t="str">
        <x:v>artifact 20 planning state</x:v>
      </x:c>
      <x:c r="E1090" s="21" t="n">
        <x:f>IF(AND('Artifact Ledger'!Q26="OPEN",'Artifact Ledger'!R26="HOLD"),1,0)</x:f>
        <x:v>1</x:v>
      </x:c>
      <x:c r="F1090" s="21" t="n">
        <x:v>1</x:v>
      </x:c>
      <x:c r="G1090" s="23" t="str">
        <x:f>IF(E1090=F1090,"PASS","FAIL")</x:f>
        <x:v>PASS</x:v>
      </x:c>
    </x:row>
    <x:row r="1091">
      <x:c r="B1091" s="21" t="str">
        <x:v>A01085</x:v>
      </x:c>
      <x:c r="C1091" s="21" t="str">
        <x:v>artifact</x:v>
      </x:c>
      <x:c r="D1091" s="21" t="str">
        <x:v>artifact 21 eligibility equation</x:v>
      </x:c>
      <x:c r="E1091" s="21" t="n">
        <x:f>IF(ABS('Artifact Ledger'!P27-IF(AND('Artifact Ledger'!L27=1,'Artifact Ledger'!M27=1,'Artifact Ledger'!N27=1,'Artifact Ledger'!O27&gt;='Artifact Ledger'!G27),'Artifact Ledger'!K27,0))&lt;0.000001,1,0)</x:f>
        <x:v>1</x:v>
      </x:c>
      <x:c r="F1091" s="21" t="n">
        <x:v>1</x:v>
      </x:c>
      <x:c r="G1091" s="23" t="str">
        <x:f>IF(E1091=F1091,"PASS","FAIL")</x:f>
        <x:v>PASS</x:v>
      </x:c>
    </x:row>
    <x:row r="1092">
      <x:c r="B1092" s="21" t="str">
        <x:v>A01086</x:v>
      </x:c>
      <x:c r="C1092" s="21" t="str">
        <x:v>artifact</x:v>
      </x:c>
      <x:c r="D1092" s="21" t="str">
        <x:v>artifact 21 planning state</x:v>
      </x:c>
      <x:c r="E1092" s="21" t="n">
        <x:f>IF(AND('Artifact Ledger'!Q27="OPEN",'Artifact Ledger'!R27="HOLD"),1,0)</x:f>
        <x:v>1</x:v>
      </x:c>
      <x:c r="F1092" s="21" t="n">
        <x:v>1</x:v>
      </x:c>
      <x:c r="G1092" s="23" t="str">
        <x:f>IF(E1092=F1092,"PASS","FAIL")</x:f>
        <x:v>PASS</x:v>
      </x:c>
    </x:row>
    <x:row r="1093">
      <x:c r="B1093" s="21" t="str">
        <x:v>A01087</x:v>
      </x:c>
      <x:c r="C1093" s="21" t="str">
        <x:v>artifact</x:v>
      </x:c>
      <x:c r="D1093" s="21" t="str">
        <x:v>artifact 22 eligibility equation</x:v>
      </x:c>
      <x:c r="E1093" s="21" t="n">
        <x:f>IF(ABS('Artifact Ledger'!P28-IF(AND('Artifact Ledger'!L28=1,'Artifact Ledger'!M28=1,'Artifact Ledger'!N28=1,'Artifact Ledger'!O28&gt;='Artifact Ledger'!G28),'Artifact Ledger'!K28,0))&lt;0.000001,1,0)</x:f>
        <x:v>1</x:v>
      </x:c>
      <x:c r="F1093" s="21" t="n">
        <x:v>1</x:v>
      </x:c>
      <x:c r="G1093" s="23" t="str">
        <x:f>IF(E1093=F1093,"PASS","FAIL")</x:f>
        <x:v>PASS</x:v>
      </x:c>
    </x:row>
    <x:row r="1094">
      <x:c r="B1094" s="21" t="str">
        <x:v>A01088</x:v>
      </x:c>
      <x:c r="C1094" s="21" t="str">
        <x:v>artifact</x:v>
      </x:c>
      <x:c r="D1094" s="21" t="str">
        <x:v>artifact 22 planning state</x:v>
      </x:c>
      <x:c r="E1094" s="21" t="n">
        <x:f>IF(AND('Artifact Ledger'!Q28="OPEN",'Artifact Ledger'!R28="HOLD"),1,0)</x:f>
        <x:v>1</x:v>
      </x:c>
      <x:c r="F1094" s="21" t="n">
        <x:v>1</x:v>
      </x:c>
      <x:c r="G1094" s="23" t="str">
        <x:f>IF(E1094=F1094,"PASS","FAIL")</x:f>
        <x:v>PASS</x:v>
      </x:c>
    </x:row>
    <x:row r="1095">
      <x:c r="B1095" s="21" t="str">
        <x:v>A01089</x:v>
      </x:c>
      <x:c r="C1095" s="21" t="str">
        <x:v>artifact</x:v>
      </x:c>
      <x:c r="D1095" s="21" t="str">
        <x:v>artifact 23 eligibility equation</x:v>
      </x:c>
      <x:c r="E1095" s="21" t="n">
        <x:f>IF(ABS('Artifact Ledger'!P29-IF(AND('Artifact Ledger'!L29=1,'Artifact Ledger'!M29=1,'Artifact Ledger'!N29=1,'Artifact Ledger'!O29&gt;='Artifact Ledger'!G29),'Artifact Ledger'!K29,0))&lt;0.000001,1,0)</x:f>
        <x:v>1</x:v>
      </x:c>
      <x:c r="F1095" s="21" t="n">
        <x:v>1</x:v>
      </x:c>
      <x:c r="G1095" s="23" t="str">
        <x:f>IF(E1095=F1095,"PASS","FAIL")</x:f>
        <x:v>PASS</x:v>
      </x:c>
    </x:row>
    <x:row r="1096">
      <x:c r="B1096" s="21" t="str">
        <x:v>A01090</x:v>
      </x:c>
      <x:c r="C1096" s="21" t="str">
        <x:v>artifact</x:v>
      </x:c>
      <x:c r="D1096" s="21" t="str">
        <x:v>artifact 23 planning state</x:v>
      </x:c>
      <x:c r="E1096" s="21" t="n">
        <x:f>IF(AND('Artifact Ledger'!Q29="OPEN",'Artifact Ledger'!R29="HOLD"),1,0)</x:f>
        <x:v>1</x:v>
      </x:c>
      <x:c r="F1096" s="21" t="n">
        <x:v>1</x:v>
      </x:c>
      <x:c r="G1096" s="23" t="str">
        <x:f>IF(E1096=F1096,"PASS","FAIL")</x:f>
        <x:v>PASS</x:v>
      </x:c>
    </x:row>
    <x:row r="1097">
      <x:c r="B1097" s="21" t="str">
        <x:v>A01091</x:v>
      </x:c>
      <x:c r="C1097" s="21" t="str">
        <x:v>artifact</x:v>
      </x:c>
      <x:c r="D1097" s="21" t="str">
        <x:v>artifact 24 eligibility equation</x:v>
      </x:c>
      <x:c r="E1097" s="21" t="n">
        <x:f>IF(ABS('Artifact Ledger'!P30-IF(AND('Artifact Ledger'!L30=1,'Artifact Ledger'!M30=1,'Artifact Ledger'!N30=1,'Artifact Ledger'!O30&gt;='Artifact Ledger'!G30),'Artifact Ledger'!K30,0))&lt;0.000001,1,0)</x:f>
        <x:v>1</x:v>
      </x:c>
      <x:c r="F1097" s="21" t="n">
        <x:v>1</x:v>
      </x:c>
      <x:c r="G1097" s="23" t="str">
        <x:f>IF(E1097=F1097,"PASS","FAIL")</x:f>
        <x:v>PASS</x:v>
      </x:c>
    </x:row>
    <x:row r="1098">
      <x:c r="B1098" s="21" t="str">
        <x:v>A01092</x:v>
      </x:c>
      <x:c r="C1098" s="21" t="str">
        <x:v>artifact</x:v>
      </x:c>
      <x:c r="D1098" s="21" t="str">
        <x:v>artifact 24 planning state</x:v>
      </x:c>
      <x:c r="E1098" s="21" t="n">
        <x:f>IF(AND('Artifact Ledger'!Q30="OPEN",'Artifact Ledger'!R30="HOLD"),1,0)</x:f>
        <x:v>1</x:v>
      </x:c>
      <x:c r="F1098" s="21" t="n">
        <x:v>1</x:v>
      </x:c>
      <x:c r="G1098" s="23" t="str">
        <x:f>IF(E1098=F1098,"PASS","FAIL")</x:f>
        <x:v>PASS</x:v>
      </x:c>
    </x:row>
    <x:row r="1099">
      <x:c r="B1099" s="21" t="str">
        <x:v>A01093</x:v>
      </x:c>
      <x:c r="C1099" s="21" t="str">
        <x:v>artifact</x:v>
      </x:c>
      <x:c r="D1099" s="21" t="str">
        <x:v>artifact 25 eligibility equation</x:v>
      </x:c>
      <x:c r="E1099" s="21" t="n">
        <x:f>IF(ABS('Artifact Ledger'!P31-IF(AND('Artifact Ledger'!L31=1,'Artifact Ledger'!M31=1,'Artifact Ledger'!N31=1,'Artifact Ledger'!O31&gt;='Artifact Ledger'!G31),'Artifact Ledger'!K31,0))&lt;0.000001,1,0)</x:f>
        <x:v>1</x:v>
      </x:c>
      <x:c r="F1099" s="21" t="n">
        <x:v>1</x:v>
      </x:c>
      <x:c r="G1099" s="23" t="str">
        <x:f>IF(E1099=F1099,"PASS","FAIL")</x:f>
        <x:v>PASS</x:v>
      </x:c>
    </x:row>
    <x:row r="1100">
      <x:c r="B1100" s="21" t="str">
        <x:v>A01094</x:v>
      </x:c>
      <x:c r="C1100" s="21" t="str">
        <x:v>artifact</x:v>
      </x:c>
      <x:c r="D1100" s="21" t="str">
        <x:v>artifact 25 planning state</x:v>
      </x:c>
      <x:c r="E1100" s="21" t="n">
        <x:f>IF(AND('Artifact Ledger'!Q31="OPEN",'Artifact Ledger'!R31="HOLD"),1,0)</x:f>
        <x:v>1</x:v>
      </x:c>
      <x:c r="F1100" s="21" t="n">
        <x:v>1</x:v>
      </x:c>
      <x:c r="G1100" s="23" t="str">
        <x:f>IF(E1100=F1100,"PASS","FAIL")</x:f>
        <x:v>PASS</x:v>
      </x:c>
    </x:row>
    <x:row r="1101">
      <x:c r="B1101" s="21" t="str">
        <x:v>A01095</x:v>
      </x:c>
      <x:c r="C1101" s="21" t="str">
        <x:v>artifact</x:v>
      </x:c>
      <x:c r="D1101" s="21" t="str">
        <x:v>artifact 26 eligibility equation</x:v>
      </x:c>
      <x:c r="E1101" s="21" t="n">
        <x:f>IF(ABS('Artifact Ledger'!P32-IF(AND('Artifact Ledger'!L32=1,'Artifact Ledger'!M32=1,'Artifact Ledger'!N32=1,'Artifact Ledger'!O32&gt;='Artifact Ledger'!G32),'Artifact Ledger'!K32,0))&lt;0.000001,1,0)</x:f>
        <x:v>1</x:v>
      </x:c>
      <x:c r="F1101" s="21" t="n">
        <x:v>1</x:v>
      </x:c>
      <x:c r="G1101" s="23" t="str">
        <x:f>IF(E1101=F1101,"PASS","FAIL")</x:f>
        <x:v>PASS</x:v>
      </x:c>
    </x:row>
    <x:row r="1102">
      <x:c r="B1102" s="21" t="str">
        <x:v>A01096</x:v>
      </x:c>
      <x:c r="C1102" s="21" t="str">
        <x:v>artifact</x:v>
      </x:c>
      <x:c r="D1102" s="21" t="str">
        <x:v>artifact 26 planning state</x:v>
      </x:c>
      <x:c r="E1102" s="21" t="n">
        <x:f>IF(AND('Artifact Ledger'!Q32="OPEN",'Artifact Ledger'!R32="HOLD"),1,0)</x:f>
        <x:v>1</x:v>
      </x:c>
      <x:c r="F1102" s="21" t="n">
        <x:v>1</x:v>
      </x:c>
      <x:c r="G1102" s="23" t="str">
        <x:f>IF(E1102=F1102,"PASS","FAIL")</x:f>
        <x:v>PASS</x:v>
      </x:c>
    </x:row>
    <x:row r="1103">
      <x:c r="B1103" s="21" t="str">
        <x:v>A01097</x:v>
      </x:c>
      <x:c r="C1103" s="21" t="str">
        <x:v>artifact</x:v>
      </x:c>
      <x:c r="D1103" s="21" t="str">
        <x:v>artifact 27 eligibility equation</x:v>
      </x:c>
      <x:c r="E1103" s="21" t="n">
        <x:f>IF(ABS('Artifact Ledger'!P33-IF(AND('Artifact Ledger'!L33=1,'Artifact Ledger'!M33=1,'Artifact Ledger'!N33=1,'Artifact Ledger'!O33&gt;='Artifact Ledger'!G33),'Artifact Ledger'!K33,0))&lt;0.000001,1,0)</x:f>
        <x:v>1</x:v>
      </x:c>
      <x:c r="F1103" s="21" t="n">
        <x:v>1</x:v>
      </x:c>
      <x:c r="G1103" s="23" t="str">
        <x:f>IF(E1103=F1103,"PASS","FAIL")</x:f>
        <x:v>PASS</x:v>
      </x:c>
    </x:row>
    <x:row r="1104">
      <x:c r="B1104" s="21" t="str">
        <x:v>A01098</x:v>
      </x:c>
      <x:c r="C1104" s="21" t="str">
        <x:v>artifact</x:v>
      </x:c>
      <x:c r="D1104" s="21" t="str">
        <x:v>artifact 27 planning state</x:v>
      </x:c>
      <x:c r="E1104" s="21" t="n">
        <x:f>IF(AND('Artifact Ledger'!Q33="OPEN",'Artifact Ledger'!R33="HOLD"),1,0)</x:f>
        <x:v>1</x:v>
      </x:c>
      <x:c r="F1104" s="21" t="n">
        <x:v>1</x:v>
      </x:c>
      <x:c r="G1104" s="23" t="str">
        <x:f>IF(E1104=F1104,"PASS","FAIL")</x:f>
        <x:v>PASS</x:v>
      </x:c>
    </x:row>
    <x:row r="1105">
      <x:c r="B1105" s="21" t="str">
        <x:v>A01099</x:v>
      </x:c>
      <x:c r="C1105" s="21" t="str">
        <x:v>artifact</x:v>
      </x:c>
      <x:c r="D1105" s="21" t="str">
        <x:v>artifact 28 eligibility equation</x:v>
      </x:c>
      <x:c r="E1105" s="21" t="n">
        <x:f>IF(ABS('Artifact Ledger'!P34-IF(AND('Artifact Ledger'!L34=1,'Artifact Ledger'!M34=1,'Artifact Ledger'!N34=1,'Artifact Ledger'!O34&gt;='Artifact Ledger'!G34),'Artifact Ledger'!K34,0))&lt;0.000001,1,0)</x:f>
        <x:v>1</x:v>
      </x:c>
      <x:c r="F1105" s="21" t="n">
        <x:v>1</x:v>
      </x:c>
      <x:c r="G1105" s="23" t="str">
        <x:f>IF(E1105=F1105,"PASS","FAIL")</x:f>
        <x:v>PASS</x:v>
      </x:c>
    </x:row>
    <x:row r="1106">
      <x:c r="B1106" s="21" t="str">
        <x:v>A01100</x:v>
      </x:c>
      <x:c r="C1106" s="21" t="str">
        <x:v>artifact</x:v>
      </x:c>
      <x:c r="D1106" s="21" t="str">
        <x:v>artifact 28 planning state</x:v>
      </x:c>
      <x:c r="E1106" s="21" t="n">
        <x:f>IF(AND('Artifact Ledger'!Q34="OPEN",'Artifact Ledger'!R34="HOLD"),1,0)</x:f>
        <x:v>1</x:v>
      </x:c>
      <x:c r="F1106" s="21" t="n">
        <x:v>1</x:v>
      </x:c>
      <x:c r="G1106" s="23" t="str">
        <x:f>IF(E1106=F1106,"PASS","FAIL")</x:f>
        <x:v>PASS</x:v>
      </x:c>
    </x:row>
    <x:row r="1107">
      <x:c r="B1107" s="21" t="str">
        <x:v>A01101</x:v>
      </x:c>
      <x:c r="C1107" s="21" t="str">
        <x:v>artifact</x:v>
      </x:c>
      <x:c r="D1107" s="21" t="str">
        <x:v>artifact 29 eligibility equation</x:v>
      </x:c>
      <x:c r="E1107" s="21" t="n">
        <x:f>IF(ABS('Artifact Ledger'!P35-IF(AND('Artifact Ledger'!L35=1,'Artifact Ledger'!M35=1,'Artifact Ledger'!N35=1,'Artifact Ledger'!O35&gt;='Artifact Ledger'!G35),'Artifact Ledger'!K35,0))&lt;0.000001,1,0)</x:f>
        <x:v>1</x:v>
      </x:c>
      <x:c r="F1107" s="21" t="n">
        <x:v>1</x:v>
      </x:c>
      <x:c r="G1107" s="23" t="str">
        <x:f>IF(E1107=F1107,"PASS","FAIL")</x:f>
        <x:v>PASS</x:v>
      </x:c>
    </x:row>
    <x:row r="1108">
      <x:c r="B1108" s="21" t="str">
        <x:v>A01102</x:v>
      </x:c>
      <x:c r="C1108" s="21" t="str">
        <x:v>artifact</x:v>
      </x:c>
      <x:c r="D1108" s="21" t="str">
        <x:v>artifact 29 planning state</x:v>
      </x:c>
      <x:c r="E1108" s="21" t="n">
        <x:f>IF(AND('Artifact Ledger'!Q35="OPEN",'Artifact Ledger'!R35="HOLD"),1,0)</x:f>
        <x:v>1</x:v>
      </x:c>
      <x:c r="F1108" s="21" t="n">
        <x:v>1</x:v>
      </x:c>
      <x:c r="G1108" s="23" t="str">
        <x:f>IF(E1108=F1108,"PASS","FAIL")</x:f>
        <x:v>PASS</x:v>
      </x:c>
    </x:row>
    <x:row r="1109">
      <x:c r="B1109" s="21" t="str">
        <x:v>A01103</x:v>
      </x:c>
      <x:c r="C1109" s="21" t="str">
        <x:v>artifact</x:v>
      </x:c>
      <x:c r="D1109" s="21" t="str">
        <x:v>artifact 30 eligibility equation</x:v>
      </x:c>
      <x:c r="E1109" s="21" t="n">
        <x:f>IF(ABS('Artifact Ledger'!P36-IF(AND('Artifact Ledger'!L36=1,'Artifact Ledger'!M36=1,'Artifact Ledger'!N36=1,'Artifact Ledger'!O36&gt;='Artifact Ledger'!G36),'Artifact Ledger'!K36,0))&lt;0.000001,1,0)</x:f>
        <x:v>1</x:v>
      </x:c>
      <x:c r="F1109" s="21" t="n">
        <x:v>1</x:v>
      </x:c>
      <x:c r="G1109" s="23" t="str">
        <x:f>IF(E1109=F1109,"PASS","FAIL")</x:f>
        <x:v>PASS</x:v>
      </x:c>
    </x:row>
    <x:row r="1110">
      <x:c r="B1110" s="21" t="str">
        <x:v>A01104</x:v>
      </x:c>
      <x:c r="C1110" s="21" t="str">
        <x:v>artifact</x:v>
      </x:c>
      <x:c r="D1110" s="21" t="str">
        <x:v>artifact 30 planning state</x:v>
      </x:c>
      <x:c r="E1110" s="21" t="n">
        <x:f>IF(AND('Artifact Ledger'!Q36="OPEN",'Artifact Ledger'!R36="HOLD"),1,0)</x:f>
        <x:v>1</x:v>
      </x:c>
      <x:c r="F1110" s="21" t="n">
        <x:v>1</x:v>
      </x:c>
      <x:c r="G1110" s="23" t="str">
        <x:f>IF(E1110=F1110,"PASS","FAIL")</x:f>
        <x:v>PASS</x:v>
      </x:c>
    </x:row>
    <x:row r="1111">
      <x:c r="B1111" s="21" t="str">
        <x:v>A01105</x:v>
      </x:c>
      <x:c r="C1111" s="21" t="str">
        <x:v>artifact</x:v>
      </x:c>
      <x:c r="D1111" s="21" t="str">
        <x:v>artifact 31 eligibility equation</x:v>
      </x:c>
      <x:c r="E1111" s="21" t="n">
        <x:f>IF(ABS('Artifact Ledger'!P37-IF(AND('Artifact Ledger'!L37=1,'Artifact Ledger'!M37=1,'Artifact Ledger'!N37=1,'Artifact Ledger'!O37&gt;='Artifact Ledger'!G37),'Artifact Ledger'!K37,0))&lt;0.000001,1,0)</x:f>
        <x:v>1</x:v>
      </x:c>
      <x:c r="F1111" s="21" t="n">
        <x:v>1</x:v>
      </x:c>
      <x:c r="G1111" s="23" t="str">
        <x:f>IF(E1111=F1111,"PASS","FAIL")</x:f>
        <x:v>PASS</x:v>
      </x:c>
    </x:row>
    <x:row r="1112">
      <x:c r="B1112" s="21" t="str">
        <x:v>A01106</x:v>
      </x:c>
      <x:c r="C1112" s="21" t="str">
        <x:v>artifact</x:v>
      </x:c>
      <x:c r="D1112" s="21" t="str">
        <x:v>artifact 31 planning state</x:v>
      </x:c>
      <x:c r="E1112" s="21" t="n">
        <x:f>IF(AND('Artifact Ledger'!Q37="OPEN",'Artifact Ledger'!R37="HOLD"),1,0)</x:f>
        <x:v>1</x:v>
      </x:c>
      <x:c r="F1112" s="21" t="n">
        <x:v>1</x:v>
      </x:c>
      <x:c r="G1112" s="23" t="str">
        <x:f>IF(E1112=F1112,"PASS","FAIL")</x:f>
        <x:v>PASS</x:v>
      </x:c>
    </x:row>
    <x:row r="1113">
      <x:c r="B1113" s="21" t="str">
        <x:v>A01107</x:v>
      </x:c>
      <x:c r="C1113" s="21" t="str">
        <x:v>artifact</x:v>
      </x:c>
      <x:c r="D1113" s="21" t="str">
        <x:v>artifact 32 eligibility equation</x:v>
      </x:c>
      <x:c r="E1113" s="21" t="n">
        <x:f>IF(ABS('Artifact Ledger'!P38-IF(AND('Artifact Ledger'!L38=1,'Artifact Ledger'!M38=1,'Artifact Ledger'!N38=1,'Artifact Ledger'!O38&gt;='Artifact Ledger'!G38),'Artifact Ledger'!K38,0))&lt;0.000001,1,0)</x:f>
        <x:v>1</x:v>
      </x:c>
      <x:c r="F1113" s="21" t="n">
        <x:v>1</x:v>
      </x:c>
      <x:c r="G1113" s="23" t="str">
        <x:f>IF(E1113=F1113,"PASS","FAIL")</x:f>
        <x:v>PASS</x:v>
      </x:c>
    </x:row>
    <x:row r="1114">
      <x:c r="B1114" s="21" t="str">
        <x:v>A01108</x:v>
      </x:c>
      <x:c r="C1114" s="21" t="str">
        <x:v>artifact</x:v>
      </x:c>
      <x:c r="D1114" s="21" t="str">
        <x:v>artifact 32 planning state</x:v>
      </x:c>
      <x:c r="E1114" s="21" t="n">
        <x:f>IF(AND('Artifact Ledger'!Q38="OPEN",'Artifact Ledger'!R38="HOLD"),1,0)</x:f>
        <x:v>1</x:v>
      </x:c>
      <x:c r="F1114" s="21" t="n">
        <x:v>1</x:v>
      </x:c>
      <x:c r="G1114" s="23" t="str">
        <x:f>IF(E1114=F1114,"PASS","FAIL")</x:f>
        <x:v>PASS</x:v>
      </x:c>
    </x:row>
    <x:row r="1115">
      <x:c r="B1115" s="21" t="str">
        <x:v>A01109</x:v>
      </x:c>
      <x:c r="C1115" s="21" t="str">
        <x:v>artifact</x:v>
      </x:c>
      <x:c r="D1115" s="21" t="str">
        <x:v>artifact 33 eligibility equation</x:v>
      </x:c>
      <x:c r="E1115" s="21" t="n">
        <x:f>IF(ABS('Artifact Ledger'!P39-IF(AND('Artifact Ledger'!L39=1,'Artifact Ledger'!M39=1,'Artifact Ledger'!N39=1,'Artifact Ledger'!O39&gt;='Artifact Ledger'!G39),'Artifact Ledger'!K39,0))&lt;0.000001,1,0)</x:f>
        <x:v>1</x:v>
      </x:c>
      <x:c r="F1115" s="21" t="n">
        <x:v>1</x:v>
      </x:c>
      <x:c r="G1115" s="23" t="str">
        <x:f>IF(E1115=F1115,"PASS","FAIL")</x:f>
        <x:v>PASS</x:v>
      </x:c>
    </x:row>
    <x:row r="1116">
      <x:c r="B1116" s="21" t="str">
        <x:v>A01110</x:v>
      </x:c>
      <x:c r="C1116" s="21" t="str">
        <x:v>artifact</x:v>
      </x:c>
      <x:c r="D1116" s="21" t="str">
        <x:v>artifact 33 planning state</x:v>
      </x:c>
      <x:c r="E1116" s="21" t="n">
        <x:f>IF(AND('Artifact Ledger'!Q39="OPEN",'Artifact Ledger'!R39="HOLD"),1,0)</x:f>
        <x:v>1</x:v>
      </x:c>
      <x:c r="F1116" s="21" t="n">
        <x:v>1</x:v>
      </x:c>
      <x:c r="G1116" s="23" t="str">
        <x:f>IF(E1116=F1116,"PASS","FAIL")</x:f>
        <x:v>PASS</x:v>
      </x:c>
    </x:row>
    <x:row r="1117">
      <x:c r="B1117" s="21" t="str">
        <x:v>A01111</x:v>
      </x:c>
      <x:c r="C1117" s="21" t="str">
        <x:v>artifact</x:v>
      </x:c>
      <x:c r="D1117" s="21" t="str">
        <x:v>artifact 34 eligibility equation</x:v>
      </x:c>
      <x:c r="E1117" s="21" t="n">
        <x:f>IF(ABS('Artifact Ledger'!P40-IF(AND('Artifact Ledger'!L40=1,'Artifact Ledger'!M40=1,'Artifact Ledger'!N40=1,'Artifact Ledger'!O40&gt;='Artifact Ledger'!G40),'Artifact Ledger'!K40,0))&lt;0.000001,1,0)</x:f>
        <x:v>1</x:v>
      </x:c>
      <x:c r="F1117" s="21" t="n">
        <x:v>1</x:v>
      </x:c>
      <x:c r="G1117" s="23" t="str">
        <x:f>IF(E1117=F1117,"PASS","FAIL")</x:f>
        <x:v>PASS</x:v>
      </x:c>
    </x:row>
    <x:row r="1118">
      <x:c r="B1118" s="21" t="str">
        <x:v>A01112</x:v>
      </x:c>
      <x:c r="C1118" s="21" t="str">
        <x:v>artifact</x:v>
      </x:c>
      <x:c r="D1118" s="21" t="str">
        <x:v>artifact 34 planning state</x:v>
      </x:c>
      <x:c r="E1118" s="21" t="n">
        <x:f>IF(AND('Artifact Ledger'!Q40="OPEN",'Artifact Ledger'!R40="HOLD"),1,0)</x:f>
        <x:v>1</x:v>
      </x:c>
      <x:c r="F1118" s="21" t="n">
        <x:v>1</x:v>
      </x:c>
      <x:c r="G1118" s="23" t="str">
        <x:f>IF(E1118=F1118,"PASS","FAIL")</x:f>
        <x:v>PASS</x:v>
      </x:c>
    </x:row>
    <x:row r="1119">
      <x:c r="B1119" s="21" t="str">
        <x:v>A01113</x:v>
      </x:c>
      <x:c r="C1119" s="21" t="str">
        <x:v>artifact</x:v>
      </x:c>
      <x:c r="D1119" s="21" t="str">
        <x:v>artifact 35 eligibility equation</x:v>
      </x:c>
      <x:c r="E1119" s="21" t="n">
        <x:f>IF(ABS('Artifact Ledger'!P41-IF(AND('Artifact Ledger'!L41=1,'Artifact Ledger'!M41=1,'Artifact Ledger'!N41=1,'Artifact Ledger'!O41&gt;='Artifact Ledger'!G41),'Artifact Ledger'!K41,0))&lt;0.000001,1,0)</x:f>
        <x:v>1</x:v>
      </x:c>
      <x:c r="F1119" s="21" t="n">
        <x:v>1</x:v>
      </x:c>
      <x:c r="G1119" s="23" t="str">
        <x:f>IF(E1119=F1119,"PASS","FAIL")</x:f>
        <x:v>PASS</x:v>
      </x:c>
    </x:row>
    <x:row r="1120">
      <x:c r="B1120" s="21" t="str">
        <x:v>A01114</x:v>
      </x:c>
      <x:c r="C1120" s="21" t="str">
        <x:v>artifact</x:v>
      </x:c>
      <x:c r="D1120" s="21" t="str">
        <x:v>artifact 35 planning state</x:v>
      </x:c>
      <x:c r="E1120" s="21" t="n">
        <x:f>IF(AND('Artifact Ledger'!Q41="OPEN",'Artifact Ledger'!R41="HOLD"),1,0)</x:f>
        <x:v>1</x:v>
      </x:c>
      <x:c r="F1120" s="21" t="n">
        <x:v>1</x:v>
      </x:c>
      <x:c r="G1120" s="23" t="str">
        <x:f>IF(E1120=F1120,"PASS","FAIL")</x:f>
        <x:v>PASS</x:v>
      </x:c>
    </x:row>
    <x:row r="1121">
      <x:c r="B1121" s="21" t="str">
        <x:v>A01115</x:v>
      </x:c>
      <x:c r="C1121" s="21" t="str">
        <x:v>artifact</x:v>
      </x:c>
      <x:c r="D1121" s="21" t="str">
        <x:v>artifact 36 eligibility equation</x:v>
      </x:c>
      <x:c r="E1121" s="21" t="n">
        <x:f>IF(ABS('Artifact Ledger'!P42-IF(AND('Artifact Ledger'!L42=1,'Artifact Ledger'!M42=1,'Artifact Ledger'!N42=1,'Artifact Ledger'!O42&gt;='Artifact Ledger'!G42),'Artifact Ledger'!K42,0))&lt;0.000001,1,0)</x:f>
        <x:v>1</x:v>
      </x:c>
      <x:c r="F1121" s="21" t="n">
        <x:v>1</x:v>
      </x:c>
      <x:c r="G1121" s="23" t="str">
        <x:f>IF(E1121=F1121,"PASS","FAIL")</x:f>
        <x:v>PASS</x:v>
      </x:c>
    </x:row>
    <x:row r="1122">
      <x:c r="B1122" s="21" t="str">
        <x:v>A01116</x:v>
      </x:c>
      <x:c r="C1122" s="21" t="str">
        <x:v>artifact</x:v>
      </x:c>
      <x:c r="D1122" s="21" t="str">
        <x:v>artifact 36 planning state</x:v>
      </x:c>
      <x:c r="E1122" s="21" t="n">
        <x:f>IF(AND('Artifact Ledger'!Q42="OPEN",'Artifact Ledger'!R42="HOLD"),1,0)</x:f>
        <x:v>1</x:v>
      </x:c>
      <x:c r="F1122" s="21" t="n">
        <x:v>1</x:v>
      </x:c>
      <x:c r="G1122" s="23" t="str">
        <x:f>IF(E1122=F1122,"PASS","FAIL")</x:f>
        <x:v>PASS</x:v>
      </x:c>
    </x:row>
    <x:row r="1123">
      <x:c r="B1123" s="21" t="str">
        <x:v>A01117</x:v>
      </x:c>
      <x:c r="C1123" s="21" t="str">
        <x:v>artifact</x:v>
      </x:c>
      <x:c r="D1123" s="21" t="str">
        <x:v>artifact 37 eligibility equation</x:v>
      </x:c>
      <x:c r="E1123" s="21" t="n">
        <x:f>IF(ABS('Artifact Ledger'!P43-IF(AND('Artifact Ledger'!L43=1,'Artifact Ledger'!M43=1,'Artifact Ledger'!N43=1,'Artifact Ledger'!O43&gt;='Artifact Ledger'!G43),'Artifact Ledger'!K43,0))&lt;0.000001,1,0)</x:f>
        <x:v>1</x:v>
      </x:c>
      <x:c r="F1123" s="21" t="n">
        <x:v>1</x:v>
      </x:c>
      <x:c r="G1123" s="23" t="str">
        <x:f>IF(E1123=F1123,"PASS","FAIL")</x:f>
        <x:v>PASS</x:v>
      </x:c>
    </x:row>
    <x:row r="1124">
      <x:c r="B1124" s="21" t="str">
        <x:v>A01118</x:v>
      </x:c>
      <x:c r="C1124" s="21" t="str">
        <x:v>artifact</x:v>
      </x:c>
      <x:c r="D1124" s="21" t="str">
        <x:v>artifact 37 planning state</x:v>
      </x:c>
      <x:c r="E1124" s="21" t="n">
        <x:f>IF(AND('Artifact Ledger'!Q43="OPEN",'Artifact Ledger'!R43="HOLD"),1,0)</x:f>
        <x:v>1</x:v>
      </x:c>
      <x:c r="F1124" s="21" t="n">
        <x:v>1</x:v>
      </x:c>
      <x:c r="G1124" s="23" t="str">
        <x:f>IF(E1124=F1124,"PASS","FAIL")</x:f>
        <x:v>PASS</x:v>
      </x:c>
    </x:row>
    <x:row r="1125">
      <x:c r="B1125" s="21" t="str">
        <x:v>A01119</x:v>
      </x:c>
      <x:c r="C1125" s="21" t="str">
        <x:v>artifact</x:v>
      </x:c>
      <x:c r="D1125" s="21" t="str">
        <x:v>artifact 38 eligibility equation</x:v>
      </x:c>
      <x:c r="E1125" s="21" t="n">
        <x:f>IF(ABS('Artifact Ledger'!P44-IF(AND('Artifact Ledger'!L44=1,'Artifact Ledger'!M44=1,'Artifact Ledger'!N44=1,'Artifact Ledger'!O44&gt;='Artifact Ledger'!G44),'Artifact Ledger'!K44,0))&lt;0.000001,1,0)</x:f>
        <x:v>1</x:v>
      </x:c>
      <x:c r="F1125" s="21" t="n">
        <x:v>1</x:v>
      </x:c>
      <x:c r="G1125" s="23" t="str">
        <x:f>IF(E1125=F1125,"PASS","FAIL")</x:f>
        <x:v>PASS</x:v>
      </x:c>
    </x:row>
    <x:row r="1126">
      <x:c r="B1126" s="21" t="str">
        <x:v>A01120</x:v>
      </x:c>
      <x:c r="C1126" s="21" t="str">
        <x:v>artifact</x:v>
      </x:c>
      <x:c r="D1126" s="21" t="str">
        <x:v>artifact 38 planning state</x:v>
      </x:c>
      <x:c r="E1126" s="21" t="n">
        <x:f>IF(AND('Artifact Ledger'!Q44="OPEN",'Artifact Ledger'!R44="HOLD"),1,0)</x:f>
        <x:v>1</x:v>
      </x:c>
      <x:c r="F1126" s="21" t="n">
        <x:v>1</x:v>
      </x:c>
      <x:c r="G1126" s="23" t="str">
        <x:f>IF(E1126=F1126,"PASS","FAIL")</x:f>
        <x:v>PASS</x:v>
      </x:c>
    </x:row>
    <x:row r="1127">
      <x:c r="B1127" s="21" t="str">
        <x:v>A01121</x:v>
      </x:c>
      <x:c r="C1127" s="21" t="str">
        <x:v>artifact</x:v>
      </x:c>
      <x:c r="D1127" s="21" t="str">
        <x:v>artifact 39 eligibility equation</x:v>
      </x:c>
      <x:c r="E1127" s="21" t="n">
        <x:f>IF(ABS('Artifact Ledger'!P45-IF(AND('Artifact Ledger'!L45=1,'Artifact Ledger'!M45=1,'Artifact Ledger'!N45=1,'Artifact Ledger'!O45&gt;='Artifact Ledger'!G45),'Artifact Ledger'!K45,0))&lt;0.000001,1,0)</x:f>
        <x:v>1</x:v>
      </x:c>
      <x:c r="F1127" s="21" t="n">
        <x:v>1</x:v>
      </x:c>
      <x:c r="G1127" s="23" t="str">
        <x:f>IF(E1127=F1127,"PASS","FAIL")</x:f>
        <x:v>PASS</x:v>
      </x:c>
    </x:row>
    <x:row r="1128">
      <x:c r="B1128" s="21" t="str">
        <x:v>A01122</x:v>
      </x:c>
      <x:c r="C1128" s="21" t="str">
        <x:v>artifact</x:v>
      </x:c>
      <x:c r="D1128" s="21" t="str">
        <x:v>artifact 39 planning state</x:v>
      </x:c>
      <x:c r="E1128" s="21" t="n">
        <x:f>IF(AND('Artifact Ledger'!Q45="OPEN",'Artifact Ledger'!R45="HOLD"),1,0)</x:f>
        <x:v>1</x:v>
      </x:c>
      <x:c r="F1128" s="21" t="n">
        <x:v>1</x:v>
      </x:c>
      <x:c r="G1128" s="23" t="str">
        <x:f>IF(E1128=F1128,"PASS","FAIL")</x:f>
        <x:v>PASS</x:v>
      </x:c>
    </x:row>
    <x:row r="1129">
      <x:c r="B1129" s="21" t="str">
        <x:v>A01123</x:v>
      </x:c>
      <x:c r="C1129" s="21" t="str">
        <x:v>artifact</x:v>
      </x:c>
      <x:c r="D1129" s="21" t="str">
        <x:v>artifact 40 eligibility equation</x:v>
      </x:c>
      <x:c r="E1129" s="21" t="n">
        <x:f>IF(ABS('Artifact Ledger'!P46-IF(AND('Artifact Ledger'!L46=1,'Artifact Ledger'!M46=1,'Artifact Ledger'!N46=1,'Artifact Ledger'!O46&gt;='Artifact Ledger'!G46),'Artifact Ledger'!K46,0))&lt;0.000001,1,0)</x:f>
        <x:v>1</x:v>
      </x:c>
      <x:c r="F1129" s="21" t="n">
        <x:v>1</x:v>
      </x:c>
      <x:c r="G1129" s="23" t="str">
        <x:f>IF(E1129=F1129,"PASS","FAIL")</x:f>
        <x:v>PASS</x:v>
      </x:c>
    </x:row>
    <x:row r="1130">
      <x:c r="B1130" s="21" t="str">
        <x:v>A01124</x:v>
      </x:c>
      <x:c r="C1130" s="21" t="str">
        <x:v>artifact</x:v>
      </x:c>
      <x:c r="D1130" s="21" t="str">
        <x:v>artifact 40 planning state</x:v>
      </x:c>
      <x:c r="E1130" s="21" t="n">
        <x:f>IF(AND('Artifact Ledger'!Q46="OPEN",'Artifact Ledger'!R46="HOLD"),1,0)</x:f>
        <x:v>1</x:v>
      </x:c>
      <x:c r="F1130" s="21" t="n">
        <x:v>1</x:v>
      </x:c>
      <x:c r="G1130" s="23" t="str">
        <x:f>IF(E1130=F1130,"PASS","FAIL")</x:f>
        <x:v>PASS</x:v>
      </x:c>
    </x:row>
    <x:row r="1131">
      <x:c r="B1131" s="21" t="str">
        <x:v>A01125</x:v>
      </x:c>
      <x:c r="C1131" s="21" t="str">
        <x:v>artifact</x:v>
      </x:c>
      <x:c r="D1131" s="21" t="str">
        <x:v>artifact 41 eligibility equation</x:v>
      </x:c>
      <x:c r="E1131" s="21" t="n">
        <x:f>IF(ABS('Artifact Ledger'!P47-IF(AND('Artifact Ledger'!L47=1,'Artifact Ledger'!M47=1,'Artifact Ledger'!N47=1,'Artifact Ledger'!O47&gt;='Artifact Ledger'!G47),'Artifact Ledger'!K47,0))&lt;0.000001,1,0)</x:f>
        <x:v>1</x:v>
      </x:c>
      <x:c r="F1131" s="21" t="n">
        <x:v>1</x:v>
      </x:c>
      <x:c r="G1131" s="23" t="str">
        <x:f>IF(E1131=F1131,"PASS","FAIL")</x:f>
        <x:v>PASS</x:v>
      </x:c>
    </x:row>
    <x:row r="1132">
      <x:c r="B1132" s="21" t="str">
        <x:v>A01126</x:v>
      </x:c>
      <x:c r="C1132" s="21" t="str">
        <x:v>artifact</x:v>
      </x:c>
      <x:c r="D1132" s="21" t="str">
        <x:v>artifact 41 planning state</x:v>
      </x:c>
      <x:c r="E1132" s="21" t="n">
        <x:f>IF(AND('Artifact Ledger'!Q47="OPEN",'Artifact Ledger'!R47="HOLD"),1,0)</x:f>
        <x:v>1</x:v>
      </x:c>
      <x:c r="F1132" s="21" t="n">
        <x:v>1</x:v>
      </x:c>
      <x:c r="G1132" s="23" t="str">
        <x:f>IF(E1132=F1132,"PASS","FAIL")</x:f>
        <x:v>PASS</x:v>
      </x:c>
    </x:row>
    <x:row r="1133">
      <x:c r="B1133" s="21" t="str">
        <x:v>A01127</x:v>
      </x:c>
      <x:c r="C1133" s="21" t="str">
        <x:v>artifact</x:v>
      </x:c>
      <x:c r="D1133" s="21" t="str">
        <x:v>artifact 42 eligibility equation</x:v>
      </x:c>
      <x:c r="E1133" s="21" t="n">
        <x:f>IF(ABS('Artifact Ledger'!P48-IF(AND('Artifact Ledger'!L48=1,'Artifact Ledger'!M48=1,'Artifact Ledger'!N48=1,'Artifact Ledger'!O48&gt;='Artifact Ledger'!G48),'Artifact Ledger'!K48,0))&lt;0.000001,1,0)</x:f>
        <x:v>1</x:v>
      </x:c>
      <x:c r="F1133" s="21" t="n">
        <x:v>1</x:v>
      </x:c>
      <x:c r="G1133" s="23" t="str">
        <x:f>IF(E1133=F1133,"PASS","FAIL")</x:f>
        <x:v>PASS</x:v>
      </x:c>
    </x:row>
    <x:row r="1134">
      <x:c r="B1134" s="21" t="str">
        <x:v>A01128</x:v>
      </x:c>
      <x:c r="C1134" s="21" t="str">
        <x:v>artifact</x:v>
      </x:c>
      <x:c r="D1134" s="21" t="str">
        <x:v>artifact 42 planning state</x:v>
      </x:c>
      <x:c r="E1134" s="21" t="n">
        <x:f>IF(AND('Artifact Ledger'!Q48="OPEN",'Artifact Ledger'!R48="HOLD"),1,0)</x:f>
        <x:v>1</x:v>
      </x:c>
      <x:c r="F1134" s="21" t="n">
        <x:v>1</x:v>
      </x:c>
      <x:c r="G1134" s="23" t="str">
        <x:f>IF(E1134=F1134,"PASS","FAIL")</x:f>
        <x:v>PASS</x:v>
      </x:c>
    </x:row>
    <x:row r="1135">
      <x:c r="B1135" s="21" t="str">
        <x:v>A01129</x:v>
      </x:c>
      <x:c r="C1135" s="21" t="str">
        <x:v>artifact</x:v>
      </x:c>
      <x:c r="D1135" s="21" t="str">
        <x:v>artifact 43 eligibility equation</x:v>
      </x:c>
      <x:c r="E1135" s="21" t="n">
        <x:f>IF(ABS('Artifact Ledger'!P49-IF(AND('Artifact Ledger'!L49=1,'Artifact Ledger'!M49=1,'Artifact Ledger'!N49=1,'Artifact Ledger'!O49&gt;='Artifact Ledger'!G49),'Artifact Ledger'!K49,0))&lt;0.000001,1,0)</x:f>
        <x:v>1</x:v>
      </x:c>
      <x:c r="F1135" s="21" t="n">
        <x:v>1</x:v>
      </x:c>
      <x:c r="G1135" s="23" t="str">
        <x:f>IF(E1135=F1135,"PASS","FAIL")</x:f>
        <x:v>PASS</x:v>
      </x:c>
    </x:row>
    <x:row r="1136">
      <x:c r="B1136" s="21" t="str">
        <x:v>A01130</x:v>
      </x:c>
      <x:c r="C1136" s="21" t="str">
        <x:v>artifact</x:v>
      </x:c>
      <x:c r="D1136" s="21" t="str">
        <x:v>artifact 43 planning state</x:v>
      </x:c>
      <x:c r="E1136" s="21" t="n">
        <x:f>IF(AND('Artifact Ledger'!Q49="OPEN",'Artifact Ledger'!R49="HOLD"),1,0)</x:f>
        <x:v>1</x:v>
      </x:c>
      <x:c r="F1136" s="21" t="n">
        <x:v>1</x:v>
      </x:c>
      <x:c r="G1136" s="23" t="str">
        <x:f>IF(E1136=F1136,"PASS","FAIL")</x:f>
        <x:v>PASS</x:v>
      </x:c>
    </x:row>
    <x:row r="1137">
      <x:c r="B1137" s="21" t="str">
        <x:v>A01131</x:v>
      </x:c>
      <x:c r="C1137" s="21" t="str">
        <x:v>artifact</x:v>
      </x:c>
      <x:c r="D1137" s="21" t="str">
        <x:v>artifact 44 eligibility equation</x:v>
      </x:c>
      <x:c r="E1137" s="21" t="n">
        <x:f>IF(ABS('Artifact Ledger'!P50-IF(AND('Artifact Ledger'!L50=1,'Artifact Ledger'!M50=1,'Artifact Ledger'!N50=1,'Artifact Ledger'!O50&gt;='Artifact Ledger'!G50),'Artifact Ledger'!K50,0))&lt;0.000001,1,0)</x:f>
        <x:v>1</x:v>
      </x:c>
      <x:c r="F1137" s="21" t="n">
        <x:v>1</x:v>
      </x:c>
      <x:c r="G1137" s="23" t="str">
        <x:f>IF(E1137=F1137,"PASS","FAIL")</x:f>
        <x:v>PASS</x:v>
      </x:c>
    </x:row>
    <x:row r="1138">
      <x:c r="B1138" s="21" t="str">
        <x:v>A01132</x:v>
      </x:c>
      <x:c r="C1138" s="21" t="str">
        <x:v>artifact</x:v>
      </x:c>
      <x:c r="D1138" s="21" t="str">
        <x:v>artifact 44 planning state</x:v>
      </x:c>
      <x:c r="E1138" s="21" t="n">
        <x:f>IF(AND('Artifact Ledger'!Q50="OPEN",'Artifact Ledger'!R50="HOLD"),1,0)</x:f>
        <x:v>1</x:v>
      </x:c>
      <x:c r="F1138" s="21" t="n">
        <x:v>1</x:v>
      </x:c>
      <x:c r="G1138" s="23" t="str">
        <x:f>IF(E1138=F1138,"PASS","FAIL")</x:f>
        <x:v>PASS</x:v>
      </x:c>
    </x:row>
    <x:row r="1139">
      <x:c r="B1139" s="21" t="str">
        <x:v>A01133</x:v>
      </x:c>
      <x:c r="C1139" s="21" t="str">
        <x:v>artifact</x:v>
      </x:c>
      <x:c r="D1139" s="21" t="str">
        <x:v>artifact 45 eligibility equation</x:v>
      </x:c>
      <x:c r="E1139" s="21" t="n">
        <x:f>IF(ABS('Artifact Ledger'!P51-IF(AND('Artifact Ledger'!L51=1,'Artifact Ledger'!M51=1,'Artifact Ledger'!N51=1,'Artifact Ledger'!O51&gt;='Artifact Ledger'!G51),'Artifact Ledger'!K51,0))&lt;0.000001,1,0)</x:f>
        <x:v>1</x:v>
      </x:c>
      <x:c r="F1139" s="21" t="n">
        <x:v>1</x:v>
      </x:c>
      <x:c r="G1139" s="23" t="str">
        <x:f>IF(E1139=F1139,"PASS","FAIL")</x:f>
        <x:v>PASS</x:v>
      </x:c>
    </x:row>
    <x:row r="1140">
      <x:c r="B1140" s="21" t="str">
        <x:v>A01134</x:v>
      </x:c>
      <x:c r="C1140" s="21" t="str">
        <x:v>artifact</x:v>
      </x:c>
      <x:c r="D1140" s="21" t="str">
        <x:v>artifact 45 planning state</x:v>
      </x:c>
      <x:c r="E1140" s="21" t="n">
        <x:f>IF(AND('Artifact Ledger'!Q51="OPEN",'Artifact Ledger'!R51="HOLD"),1,0)</x:f>
        <x:v>1</x:v>
      </x:c>
      <x:c r="F1140" s="21" t="n">
        <x:v>1</x:v>
      </x:c>
      <x:c r="G1140" s="23" t="str">
        <x:f>IF(E1140=F1140,"PASS","FAIL")</x:f>
        <x:v>PASS</x:v>
      </x:c>
    </x:row>
    <x:row r="1141">
      <x:c r="B1141" s="21" t="str">
        <x:v>A01135</x:v>
      </x:c>
      <x:c r="C1141" s="21" t="str">
        <x:v>artifact</x:v>
      </x:c>
      <x:c r="D1141" s="21" t="str">
        <x:v>artifact 46 eligibility equation</x:v>
      </x:c>
      <x:c r="E1141" s="21" t="n">
        <x:f>IF(ABS('Artifact Ledger'!P52-IF(AND('Artifact Ledger'!L52=1,'Artifact Ledger'!M52=1,'Artifact Ledger'!N52=1,'Artifact Ledger'!O52&gt;='Artifact Ledger'!G52),'Artifact Ledger'!K52,0))&lt;0.000001,1,0)</x:f>
        <x:v>1</x:v>
      </x:c>
      <x:c r="F1141" s="21" t="n">
        <x:v>1</x:v>
      </x:c>
      <x:c r="G1141" s="23" t="str">
        <x:f>IF(E1141=F1141,"PASS","FAIL")</x:f>
        <x:v>PASS</x:v>
      </x:c>
    </x:row>
    <x:row r="1142">
      <x:c r="B1142" s="21" t="str">
        <x:v>A01136</x:v>
      </x:c>
      <x:c r="C1142" s="21" t="str">
        <x:v>artifact</x:v>
      </x:c>
      <x:c r="D1142" s="21" t="str">
        <x:v>artifact 46 planning state</x:v>
      </x:c>
      <x:c r="E1142" s="21" t="n">
        <x:f>IF(AND('Artifact Ledger'!Q52="OPEN",'Artifact Ledger'!R52="HOLD"),1,0)</x:f>
        <x:v>1</x:v>
      </x:c>
      <x:c r="F1142" s="21" t="n">
        <x:v>1</x:v>
      </x:c>
      <x:c r="G1142" s="23" t="str">
        <x:f>IF(E1142=F1142,"PASS","FAIL")</x:f>
        <x:v>PASS</x:v>
      </x:c>
    </x:row>
    <x:row r="1143">
      <x:c r="B1143" s="21" t="str">
        <x:v>A01137</x:v>
      </x:c>
      <x:c r="C1143" s="21" t="str">
        <x:v>artifact</x:v>
      </x:c>
      <x:c r="D1143" s="21" t="str">
        <x:v>artifact 47 eligibility equation</x:v>
      </x:c>
      <x:c r="E1143" s="21" t="n">
        <x:f>IF(ABS('Artifact Ledger'!P53-IF(AND('Artifact Ledger'!L53=1,'Artifact Ledger'!M53=1,'Artifact Ledger'!N53=1,'Artifact Ledger'!O53&gt;='Artifact Ledger'!G53),'Artifact Ledger'!K53,0))&lt;0.000001,1,0)</x:f>
        <x:v>1</x:v>
      </x:c>
      <x:c r="F1143" s="21" t="n">
        <x:v>1</x:v>
      </x:c>
      <x:c r="G1143" s="23" t="str">
        <x:f>IF(E1143=F1143,"PASS","FAIL")</x:f>
        <x:v>PASS</x:v>
      </x:c>
    </x:row>
    <x:row r="1144">
      <x:c r="B1144" s="21" t="str">
        <x:v>A01138</x:v>
      </x:c>
      <x:c r="C1144" s="21" t="str">
        <x:v>artifact</x:v>
      </x:c>
      <x:c r="D1144" s="21" t="str">
        <x:v>artifact 47 planning state</x:v>
      </x:c>
      <x:c r="E1144" s="21" t="n">
        <x:f>IF(AND('Artifact Ledger'!Q53="OPEN",'Artifact Ledger'!R53="HOLD"),1,0)</x:f>
        <x:v>1</x:v>
      </x:c>
      <x:c r="F1144" s="21" t="n">
        <x:v>1</x:v>
      </x:c>
      <x:c r="G1144" s="23" t="str">
        <x:f>IF(E1144=F1144,"PASS","FAIL")</x:f>
        <x:v>PASS</x:v>
      </x:c>
    </x:row>
    <x:row r="1145">
      <x:c r="B1145" s="21" t="str">
        <x:v>A01139</x:v>
      </x:c>
      <x:c r="C1145" s="21" t="str">
        <x:v>artifact</x:v>
      </x:c>
      <x:c r="D1145" s="21" t="str">
        <x:v>artifact 48 eligibility equation</x:v>
      </x:c>
      <x:c r="E1145" s="21" t="n">
        <x:f>IF(ABS('Artifact Ledger'!P54-IF(AND('Artifact Ledger'!L54=1,'Artifact Ledger'!M54=1,'Artifact Ledger'!N54=1,'Artifact Ledger'!O54&gt;='Artifact Ledger'!G54),'Artifact Ledger'!K54,0))&lt;0.000001,1,0)</x:f>
        <x:v>1</x:v>
      </x:c>
      <x:c r="F1145" s="21" t="n">
        <x:v>1</x:v>
      </x:c>
      <x:c r="G1145" s="23" t="str">
        <x:f>IF(E1145=F1145,"PASS","FAIL")</x:f>
        <x:v>PASS</x:v>
      </x:c>
    </x:row>
    <x:row r="1146">
      <x:c r="B1146" s="21" t="str">
        <x:v>A01140</x:v>
      </x:c>
      <x:c r="C1146" s="21" t="str">
        <x:v>artifact</x:v>
      </x:c>
      <x:c r="D1146" s="21" t="str">
        <x:v>artifact 48 planning state</x:v>
      </x:c>
      <x:c r="E1146" s="21" t="n">
        <x:f>IF(AND('Artifact Ledger'!Q54="OPEN",'Artifact Ledger'!R54="HOLD"),1,0)</x:f>
        <x:v>1</x:v>
      </x:c>
      <x:c r="F1146" s="21" t="n">
        <x:v>1</x:v>
      </x:c>
      <x:c r="G1146" s="23" t="str">
        <x:f>IF(E1146=F1146,"PASS","FAIL")</x:f>
        <x:v>PASS</x:v>
      </x:c>
    </x:row>
    <x:row r="1147">
      <x:c r="B1147" s="21" t="str">
        <x:v>A01141</x:v>
      </x:c>
      <x:c r="C1147" s="21" t="str">
        <x:v>artifact</x:v>
      </x:c>
      <x:c r="D1147" s="21" t="str">
        <x:v>artifact 49 eligibility equation</x:v>
      </x:c>
      <x:c r="E1147" s="21" t="n">
        <x:f>IF(ABS('Artifact Ledger'!P55-IF(AND('Artifact Ledger'!L55=1,'Artifact Ledger'!M55=1,'Artifact Ledger'!N55=1,'Artifact Ledger'!O55&gt;='Artifact Ledger'!G55),'Artifact Ledger'!K55,0))&lt;0.000001,1,0)</x:f>
        <x:v>1</x:v>
      </x:c>
      <x:c r="F1147" s="21" t="n">
        <x:v>1</x:v>
      </x:c>
      <x:c r="G1147" s="23" t="str">
        <x:f>IF(E1147=F1147,"PASS","FAIL")</x:f>
        <x:v>PASS</x:v>
      </x:c>
    </x:row>
    <x:row r="1148">
      <x:c r="B1148" s="21" t="str">
        <x:v>A01142</x:v>
      </x:c>
      <x:c r="C1148" s="21" t="str">
        <x:v>artifact</x:v>
      </x:c>
      <x:c r="D1148" s="21" t="str">
        <x:v>artifact 49 planning state</x:v>
      </x:c>
      <x:c r="E1148" s="21" t="n">
        <x:f>IF(AND('Artifact Ledger'!Q55="OPEN",'Artifact Ledger'!R55="HOLD"),1,0)</x:f>
        <x:v>1</x:v>
      </x:c>
      <x:c r="F1148" s="21" t="n">
        <x:v>1</x:v>
      </x:c>
      <x:c r="G1148" s="23" t="str">
        <x:f>IF(E1148=F1148,"PASS","FAIL")</x:f>
        <x:v>PASS</x:v>
      </x:c>
    </x:row>
    <x:row r="1149">
      <x:c r="B1149" s="21" t="str">
        <x:v>A01143</x:v>
      </x:c>
      <x:c r="C1149" s="21" t="str">
        <x:v>artifact</x:v>
      </x:c>
      <x:c r="D1149" s="21" t="str">
        <x:v>artifact 50 eligibility equation</x:v>
      </x:c>
      <x:c r="E1149" s="21" t="n">
        <x:f>IF(ABS('Artifact Ledger'!P56-IF(AND('Artifact Ledger'!L56=1,'Artifact Ledger'!M56=1,'Artifact Ledger'!N56=1,'Artifact Ledger'!O56&gt;='Artifact Ledger'!G56),'Artifact Ledger'!K56,0))&lt;0.000001,1,0)</x:f>
        <x:v>1</x:v>
      </x:c>
      <x:c r="F1149" s="21" t="n">
        <x:v>1</x:v>
      </x:c>
      <x:c r="G1149" s="23" t="str">
        <x:f>IF(E1149=F1149,"PASS","FAIL")</x:f>
        <x:v>PASS</x:v>
      </x:c>
    </x:row>
    <x:row r="1150">
      <x:c r="B1150" s="21" t="str">
        <x:v>A01144</x:v>
      </x:c>
      <x:c r="C1150" s="21" t="str">
        <x:v>artifact</x:v>
      </x:c>
      <x:c r="D1150" s="21" t="str">
        <x:v>artifact 50 planning state</x:v>
      </x:c>
      <x:c r="E1150" s="21" t="n">
        <x:f>IF(AND('Artifact Ledger'!Q56="OPEN",'Artifact Ledger'!R56="HOLD"),1,0)</x:f>
        <x:v>1</x:v>
      </x:c>
      <x:c r="F1150" s="21" t="n">
        <x:v>1</x:v>
      </x:c>
      <x:c r="G1150" s="23" t="str">
        <x:f>IF(E1150=F1150,"PASS","FAIL")</x:f>
        <x:v>PASS</x:v>
      </x:c>
    </x:row>
    <x:row r="1151">
      <x:c r="B1151" s="21" t="str">
        <x:v>A01145</x:v>
      </x:c>
      <x:c r="C1151" s="21" t="str">
        <x:v>artifact</x:v>
      </x:c>
      <x:c r="D1151" s="21" t="str">
        <x:v>artifact 51 eligibility equation</x:v>
      </x:c>
      <x:c r="E1151" s="21" t="n">
        <x:f>IF(ABS('Artifact Ledger'!P57-IF(AND('Artifact Ledger'!L57=1,'Artifact Ledger'!M57=1,'Artifact Ledger'!N57=1,'Artifact Ledger'!O57&gt;='Artifact Ledger'!G57),'Artifact Ledger'!K57,0))&lt;0.000001,1,0)</x:f>
        <x:v>1</x:v>
      </x:c>
      <x:c r="F1151" s="21" t="n">
        <x:v>1</x:v>
      </x:c>
      <x:c r="G1151" s="23" t="str">
        <x:f>IF(E1151=F1151,"PASS","FAIL")</x:f>
        <x:v>PASS</x:v>
      </x:c>
    </x:row>
    <x:row r="1152">
      <x:c r="B1152" s="21" t="str">
        <x:v>A01146</x:v>
      </x:c>
      <x:c r="C1152" s="21" t="str">
        <x:v>artifact</x:v>
      </x:c>
      <x:c r="D1152" s="21" t="str">
        <x:v>artifact 51 planning state</x:v>
      </x:c>
      <x:c r="E1152" s="21" t="n">
        <x:f>IF(AND('Artifact Ledger'!Q57="OPEN",'Artifact Ledger'!R57="HOLD"),1,0)</x:f>
        <x:v>1</x:v>
      </x:c>
      <x:c r="F1152" s="21" t="n">
        <x:v>1</x:v>
      </x:c>
      <x:c r="G1152" s="23" t="str">
        <x:f>IF(E1152=F1152,"PASS","FAIL")</x:f>
        <x:v>PASS</x:v>
      </x:c>
    </x:row>
    <x:row r="1153">
      <x:c r="B1153" s="21" t="str">
        <x:v>A01147</x:v>
      </x:c>
      <x:c r="C1153" s="21" t="str">
        <x:v>artifact</x:v>
      </x:c>
      <x:c r="D1153" s="21" t="str">
        <x:v>artifact 52 eligibility equation</x:v>
      </x:c>
      <x:c r="E1153" s="21" t="n">
        <x:f>IF(ABS('Artifact Ledger'!P58-IF(AND('Artifact Ledger'!L58=1,'Artifact Ledger'!M58=1,'Artifact Ledger'!N58=1,'Artifact Ledger'!O58&gt;='Artifact Ledger'!G58),'Artifact Ledger'!K58,0))&lt;0.000001,1,0)</x:f>
        <x:v>1</x:v>
      </x:c>
      <x:c r="F1153" s="21" t="n">
        <x:v>1</x:v>
      </x:c>
      <x:c r="G1153" s="23" t="str">
        <x:f>IF(E1153=F1153,"PASS","FAIL")</x:f>
        <x:v>PASS</x:v>
      </x:c>
    </x:row>
    <x:row r="1154">
      <x:c r="B1154" s="21" t="str">
        <x:v>A01148</x:v>
      </x:c>
      <x:c r="C1154" s="21" t="str">
        <x:v>artifact</x:v>
      </x:c>
      <x:c r="D1154" s="21" t="str">
        <x:v>artifact 52 planning state</x:v>
      </x:c>
      <x:c r="E1154" s="21" t="n">
        <x:f>IF(AND('Artifact Ledger'!Q58="OPEN",'Artifact Ledger'!R58="HOLD"),1,0)</x:f>
        <x:v>1</x:v>
      </x:c>
      <x:c r="F1154" s="21" t="n">
        <x:v>1</x:v>
      </x:c>
      <x:c r="G1154" s="23" t="str">
        <x:f>IF(E1154=F1154,"PASS","FAIL")</x:f>
        <x:v>PASS</x:v>
      </x:c>
    </x:row>
    <x:row r="1155">
      <x:c r="B1155" s="21" t="str">
        <x:v>A01149</x:v>
      </x:c>
      <x:c r="C1155" s="21" t="str">
        <x:v>artifact</x:v>
      </x:c>
      <x:c r="D1155" s="21" t="str">
        <x:v>artifact 53 eligibility equation</x:v>
      </x:c>
      <x:c r="E1155" s="21" t="n">
        <x:f>IF(ABS('Artifact Ledger'!P59-IF(AND('Artifact Ledger'!L59=1,'Artifact Ledger'!M59=1,'Artifact Ledger'!N59=1,'Artifact Ledger'!O59&gt;='Artifact Ledger'!G59),'Artifact Ledger'!K59,0))&lt;0.000001,1,0)</x:f>
        <x:v>1</x:v>
      </x:c>
      <x:c r="F1155" s="21" t="n">
        <x:v>1</x:v>
      </x:c>
      <x:c r="G1155" s="23" t="str">
        <x:f>IF(E1155=F1155,"PASS","FAIL")</x:f>
        <x:v>PASS</x:v>
      </x:c>
    </x:row>
    <x:row r="1156">
      <x:c r="B1156" s="21" t="str">
        <x:v>A01150</x:v>
      </x:c>
      <x:c r="C1156" s="21" t="str">
        <x:v>artifact</x:v>
      </x:c>
      <x:c r="D1156" s="21" t="str">
        <x:v>artifact 53 planning state</x:v>
      </x:c>
      <x:c r="E1156" s="21" t="n">
        <x:f>IF(AND('Artifact Ledger'!Q59="OPEN",'Artifact Ledger'!R59="HOLD"),1,0)</x:f>
        <x:v>1</x:v>
      </x:c>
      <x:c r="F1156" s="21" t="n">
        <x:v>1</x:v>
      </x:c>
      <x:c r="G1156" s="23" t="str">
        <x:f>IF(E1156=F1156,"PASS","FAIL")</x:f>
        <x:v>PASS</x:v>
      </x:c>
    </x:row>
    <x:row r="1157">
      <x:c r="B1157" s="21" t="str">
        <x:v>A01151</x:v>
      </x:c>
      <x:c r="C1157" s="21" t="str">
        <x:v>artifact</x:v>
      </x:c>
      <x:c r="D1157" s="21" t="str">
        <x:v>artifact 54 eligibility equation</x:v>
      </x:c>
      <x:c r="E1157" s="21" t="n">
        <x:f>IF(ABS('Artifact Ledger'!P60-IF(AND('Artifact Ledger'!L60=1,'Artifact Ledger'!M60=1,'Artifact Ledger'!N60=1,'Artifact Ledger'!O60&gt;='Artifact Ledger'!G60),'Artifact Ledger'!K60,0))&lt;0.000001,1,0)</x:f>
        <x:v>1</x:v>
      </x:c>
      <x:c r="F1157" s="21" t="n">
        <x:v>1</x:v>
      </x:c>
      <x:c r="G1157" s="23" t="str">
        <x:f>IF(E1157=F1157,"PASS","FAIL")</x:f>
        <x:v>PASS</x:v>
      </x:c>
    </x:row>
    <x:row r="1158">
      <x:c r="B1158" s="21" t="str">
        <x:v>A01152</x:v>
      </x:c>
      <x:c r="C1158" s="21" t="str">
        <x:v>artifact</x:v>
      </x:c>
      <x:c r="D1158" s="21" t="str">
        <x:v>artifact 54 planning state</x:v>
      </x:c>
      <x:c r="E1158" s="21" t="n">
        <x:f>IF(AND('Artifact Ledger'!Q60="OPEN",'Artifact Ledger'!R60="HOLD"),1,0)</x:f>
        <x:v>1</x:v>
      </x:c>
      <x:c r="F1158" s="21" t="n">
        <x:v>1</x:v>
      </x:c>
      <x:c r="G1158" s="23" t="str">
        <x:f>IF(E1158=F1158,"PASS","FAIL")</x:f>
        <x:v>PASS</x:v>
      </x:c>
    </x:row>
    <x:row r="1159">
      <x:c r="B1159" s="21" t="str">
        <x:v>A01153</x:v>
      </x:c>
      <x:c r="C1159" s="21" t="str">
        <x:v>artifact</x:v>
      </x:c>
      <x:c r="D1159" s="21" t="str">
        <x:v>artifact 55 eligibility equation</x:v>
      </x:c>
      <x:c r="E1159" s="21" t="n">
        <x:f>IF(ABS('Artifact Ledger'!P61-IF(AND('Artifact Ledger'!L61=1,'Artifact Ledger'!M61=1,'Artifact Ledger'!N61=1,'Artifact Ledger'!O61&gt;='Artifact Ledger'!G61),'Artifact Ledger'!K61,0))&lt;0.000001,1,0)</x:f>
        <x:v>1</x:v>
      </x:c>
      <x:c r="F1159" s="21" t="n">
        <x:v>1</x:v>
      </x:c>
      <x:c r="G1159" s="23" t="str">
        <x:f>IF(E1159=F1159,"PASS","FAIL")</x:f>
        <x:v>PASS</x:v>
      </x:c>
    </x:row>
    <x:row r="1160">
      <x:c r="B1160" s="21" t="str">
        <x:v>A01154</x:v>
      </x:c>
      <x:c r="C1160" s="21" t="str">
        <x:v>artifact</x:v>
      </x:c>
      <x:c r="D1160" s="21" t="str">
        <x:v>artifact 55 planning state</x:v>
      </x:c>
      <x:c r="E1160" s="21" t="n">
        <x:f>IF(AND('Artifact Ledger'!Q61="OPEN",'Artifact Ledger'!R61="HOLD"),1,0)</x:f>
        <x:v>1</x:v>
      </x:c>
      <x:c r="F1160" s="21" t="n">
        <x:v>1</x:v>
      </x:c>
      <x:c r="G1160" s="23" t="str">
        <x:f>IF(E1160=F1160,"PASS","FAIL")</x:f>
        <x:v>PASS</x:v>
      </x:c>
    </x:row>
    <x:row r="1161">
      <x:c r="B1161" s="21" t="str">
        <x:v>A01155</x:v>
      </x:c>
      <x:c r="C1161" s="21" t="str">
        <x:v>artifact</x:v>
      </x:c>
      <x:c r="D1161" s="21" t="str">
        <x:v>artifact 56 eligibility equation</x:v>
      </x:c>
      <x:c r="E1161" s="21" t="n">
        <x:f>IF(ABS('Artifact Ledger'!P62-IF(AND('Artifact Ledger'!L62=1,'Artifact Ledger'!M62=1,'Artifact Ledger'!N62=1,'Artifact Ledger'!O62&gt;='Artifact Ledger'!G62),'Artifact Ledger'!K62,0))&lt;0.000001,1,0)</x:f>
        <x:v>1</x:v>
      </x:c>
      <x:c r="F1161" s="21" t="n">
        <x:v>1</x:v>
      </x:c>
      <x:c r="G1161" s="23" t="str">
        <x:f>IF(E1161=F1161,"PASS","FAIL")</x:f>
        <x:v>PASS</x:v>
      </x:c>
    </x:row>
    <x:row r="1162">
      <x:c r="B1162" s="21" t="str">
        <x:v>A01156</x:v>
      </x:c>
      <x:c r="C1162" s="21" t="str">
        <x:v>artifact</x:v>
      </x:c>
      <x:c r="D1162" s="21" t="str">
        <x:v>artifact 56 planning state</x:v>
      </x:c>
      <x:c r="E1162" s="21" t="n">
        <x:f>IF(AND('Artifact Ledger'!Q62="OPEN",'Artifact Ledger'!R62="HOLD"),1,0)</x:f>
        <x:v>1</x:v>
      </x:c>
      <x:c r="F1162" s="21" t="n">
        <x:v>1</x:v>
      </x:c>
      <x:c r="G1162" s="23" t="str">
        <x:f>IF(E1162=F1162,"PASS","FAIL")</x:f>
        <x:v>PASS</x:v>
      </x:c>
    </x:row>
    <x:row r="1163">
      <x:c r="B1163" s="21" t="str">
        <x:v>A01157</x:v>
      </x:c>
      <x:c r="C1163" s="21" t="str">
        <x:v>artifact</x:v>
      </x:c>
      <x:c r="D1163" s="21" t="str">
        <x:v>artifact 57 eligibility equation</x:v>
      </x:c>
      <x:c r="E1163" s="21" t="n">
        <x:f>IF(ABS('Artifact Ledger'!P63-IF(AND('Artifact Ledger'!L63=1,'Artifact Ledger'!M63=1,'Artifact Ledger'!N63=1,'Artifact Ledger'!O63&gt;='Artifact Ledger'!G63),'Artifact Ledger'!K63,0))&lt;0.000001,1,0)</x:f>
        <x:v>1</x:v>
      </x:c>
      <x:c r="F1163" s="21" t="n">
        <x:v>1</x:v>
      </x:c>
      <x:c r="G1163" s="23" t="str">
        <x:f>IF(E1163=F1163,"PASS","FAIL")</x:f>
        <x:v>PASS</x:v>
      </x:c>
    </x:row>
    <x:row r="1164">
      <x:c r="B1164" s="21" t="str">
        <x:v>A01158</x:v>
      </x:c>
      <x:c r="C1164" s="21" t="str">
        <x:v>artifact</x:v>
      </x:c>
      <x:c r="D1164" s="21" t="str">
        <x:v>artifact 57 planning state</x:v>
      </x:c>
      <x:c r="E1164" s="21" t="n">
        <x:f>IF(AND('Artifact Ledger'!Q63="OPEN",'Artifact Ledger'!R63="HOLD"),1,0)</x:f>
        <x:v>1</x:v>
      </x:c>
      <x:c r="F1164" s="21" t="n">
        <x:v>1</x:v>
      </x:c>
      <x:c r="G1164" s="23" t="str">
        <x:f>IF(E1164=F1164,"PASS","FAIL")</x:f>
        <x:v>PASS</x:v>
      </x:c>
    </x:row>
    <x:row r="1165">
      <x:c r="B1165" s="21" t="str">
        <x:v>A01159</x:v>
      </x:c>
      <x:c r="C1165" s="21" t="str">
        <x:v>artifact</x:v>
      </x:c>
      <x:c r="D1165" s="21" t="str">
        <x:v>artifact 58 eligibility equation</x:v>
      </x:c>
      <x:c r="E1165" s="21" t="n">
        <x:f>IF(ABS('Artifact Ledger'!P64-IF(AND('Artifact Ledger'!L64=1,'Artifact Ledger'!M64=1,'Artifact Ledger'!N64=1,'Artifact Ledger'!O64&gt;='Artifact Ledger'!G64),'Artifact Ledger'!K64,0))&lt;0.000001,1,0)</x:f>
        <x:v>1</x:v>
      </x:c>
      <x:c r="F1165" s="21" t="n">
        <x:v>1</x:v>
      </x:c>
      <x:c r="G1165" s="23" t="str">
        <x:f>IF(E1165=F1165,"PASS","FAIL")</x:f>
        <x:v>PASS</x:v>
      </x:c>
    </x:row>
    <x:row r="1166">
      <x:c r="B1166" s="21" t="str">
        <x:v>A01160</x:v>
      </x:c>
      <x:c r="C1166" s="21" t="str">
        <x:v>artifact</x:v>
      </x:c>
      <x:c r="D1166" s="21" t="str">
        <x:v>artifact 58 planning state</x:v>
      </x:c>
      <x:c r="E1166" s="21" t="n">
        <x:f>IF(AND('Artifact Ledger'!Q64="OPEN",'Artifact Ledger'!R64="HOLD"),1,0)</x:f>
        <x:v>1</x:v>
      </x:c>
      <x:c r="F1166" s="21" t="n">
        <x:v>1</x:v>
      </x:c>
      <x:c r="G1166" s="23" t="str">
        <x:f>IF(E1166=F1166,"PASS","FAIL")</x:f>
        <x:v>PASS</x:v>
      </x:c>
    </x:row>
    <x:row r="1167">
      <x:c r="B1167" s="21" t="str">
        <x:v>A01161</x:v>
      </x:c>
      <x:c r="C1167" s="21" t="str">
        <x:v>artifact</x:v>
      </x:c>
      <x:c r="D1167" s="21" t="str">
        <x:v>artifact 59 eligibility equation</x:v>
      </x:c>
      <x:c r="E1167" s="21" t="n">
        <x:f>IF(ABS('Artifact Ledger'!P65-IF(AND('Artifact Ledger'!L65=1,'Artifact Ledger'!M65=1,'Artifact Ledger'!N65=1,'Artifact Ledger'!O65&gt;='Artifact Ledger'!G65),'Artifact Ledger'!K65,0))&lt;0.000001,1,0)</x:f>
        <x:v>1</x:v>
      </x:c>
      <x:c r="F1167" s="21" t="n">
        <x:v>1</x:v>
      </x:c>
      <x:c r="G1167" s="23" t="str">
        <x:f>IF(E1167=F1167,"PASS","FAIL")</x:f>
        <x:v>PASS</x:v>
      </x:c>
    </x:row>
    <x:row r="1168">
      <x:c r="B1168" s="21" t="str">
        <x:v>A01162</x:v>
      </x:c>
      <x:c r="C1168" s="21" t="str">
        <x:v>artifact</x:v>
      </x:c>
      <x:c r="D1168" s="21" t="str">
        <x:v>artifact 59 planning state</x:v>
      </x:c>
      <x:c r="E1168" s="21" t="n">
        <x:f>IF(AND('Artifact Ledger'!Q65="OPEN",'Artifact Ledger'!R65="HOLD"),1,0)</x:f>
        <x:v>1</x:v>
      </x:c>
      <x:c r="F1168" s="21" t="n">
        <x:v>1</x:v>
      </x:c>
      <x:c r="G1168" s="23" t="str">
        <x:f>IF(E1168=F1168,"PASS","FAIL")</x:f>
        <x:v>PASS</x:v>
      </x:c>
    </x:row>
    <x:row r="1169">
      <x:c r="B1169" s="21" t="str">
        <x:v>A01163</x:v>
      </x:c>
      <x:c r="C1169" s="21" t="str">
        <x:v>artifact</x:v>
      </x:c>
      <x:c r="D1169" s="21" t="str">
        <x:v>artifact 60 eligibility equation</x:v>
      </x:c>
      <x:c r="E1169" s="21" t="n">
        <x:f>IF(ABS('Artifact Ledger'!P66-IF(AND('Artifact Ledger'!L66=1,'Artifact Ledger'!M66=1,'Artifact Ledger'!N66=1,'Artifact Ledger'!O66&gt;='Artifact Ledger'!G66),'Artifact Ledger'!K66,0))&lt;0.000001,1,0)</x:f>
        <x:v>1</x:v>
      </x:c>
      <x:c r="F1169" s="21" t="n">
        <x:v>1</x:v>
      </x:c>
      <x:c r="G1169" s="23" t="str">
        <x:f>IF(E1169=F1169,"PASS","FAIL")</x:f>
        <x:v>PASS</x:v>
      </x:c>
    </x:row>
    <x:row r="1170">
      <x:c r="B1170" s="21" t="str">
        <x:v>A01164</x:v>
      </x:c>
      <x:c r="C1170" s="21" t="str">
        <x:v>artifact</x:v>
      </x:c>
      <x:c r="D1170" s="21" t="str">
        <x:v>artifact 60 planning state</x:v>
      </x:c>
      <x:c r="E1170" s="21" t="n">
        <x:f>IF(AND('Artifact Ledger'!Q66="OPEN",'Artifact Ledger'!R66="HOLD"),1,0)</x:f>
        <x:v>1</x:v>
      </x:c>
      <x:c r="F1170" s="21" t="n">
        <x:v>1</x:v>
      </x:c>
      <x:c r="G1170" s="23" t="str">
        <x:f>IF(E1170=F1170,"PASS","FAIL")</x:f>
        <x:v>PASS</x:v>
      </x:c>
    </x:row>
    <x:row r="1171">
      <x:c r="B1171" s="21" t="str">
        <x:v>A01165</x:v>
      </x:c>
      <x:c r="C1171" s="21" t="str">
        <x:v>artifact</x:v>
      </x:c>
      <x:c r="D1171" s="21" t="str">
        <x:v>artifact 61 eligibility equation</x:v>
      </x:c>
      <x:c r="E1171" s="21" t="n">
        <x:f>IF(ABS('Artifact Ledger'!P67-IF(AND('Artifact Ledger'!L67=1,'Artifact Ledger'!M67=1,'Artifact Ledger'!N67=1,'Artifact Ledger'!O67&gt;='Artifact Ledger'!G67),'Artifact Ledger'!K67,0))&lt;0.000001,1,0)</x:f>
        <x:v>1</x:v>
      </x:c>
      <x:c r="F1171" s="21" t="n">
        <x:v>1</x:v>
      </x:c>
      <x:c r="G1171" s="23" t="str">
        <x:f>IF(E1171=F1171,"PASS","FAIL")</x:f>
        <x:v>PASS</x:v>
      </x:c>
    </x:row>
    <x:row r="1172">
      <x:c r="B1172" s="21" t="str">
        <x:v>A01166</x:v>
      </x:c>
      <x:c r="C1172" s="21" t="str">
        <x:v>artifact</x:v>
      </x:c>
      <x:c r="D1172" s="21" t="str">
        <x:v>artifact 61 planning state</x:v>
      </x:c>
      <x:c r="E1172" s="21" t="n">
        <x:f>IF(AND('Artifact Ledger'!Q67="OPEN",'Artifact Ledger'!R67="HOLD"),1,0)</x:f>
        <x:v>1</x:v>
      </x:c>
      <x:c r="F1172" s="21" t="n">
        <x:v>1</x:v>
      </x:c>
      <x:c r="G1172" s="23" t="str">
        <x:f>IF(E1172=F1172,"PASS","FAIL")</x:f>
        <x:v>PASS</x:v>
      </x:c>
    </x:row>
    <x:row r="1173">
      <x:c r="B1173" s="21" t="str">
        <x:v>A01167</x:v>
      </x:c>
      <x:c r="C1173" s="21" t="str">
        <x:v>artifact</x:v>
      </x:c>
      <x:c r="D1173" s="21" t="str">
        <x:v>artifact 62 eligibility equation</x:v>
      </x:c>
      <x:c r="E1173" s="21" t="n">
        <x:f>IF(ABS('Artifact Ledger'!P68-IF(AND('Artifact Ledger'!L68=1,'Artifact Ledger'!M68=1,'Artifact Ledger'!N68=1,'Artifact Ledger'!O68&gt;='Artifact Ledger'!G68),'Artifact Ledger'!K68,0))&lt;0.000001,1,0)</x:f>
        <x:v>1</x:v>
      </x:c>
      <x:c r="F1173" s="21" t="n">
        <x:v>1</x:v>
      </x:c>
      <x:c r="G1173" s="23" t="str">
        <x:f>IF(E1173=F1173,"PASS","FAIL")</x:f>
        <x:v>PASS</x:v>
      </x:c>
    </x:row>
    <x:row r="1174">
      <x:c r="B1174" s="21" t="str">
        <x:v>A01168</x:v>
      </x:c>
      <x:c r="C1174" s="21" t="str">
        <x:v>artifact</x:v>
      </x:c>
      <x:c r="D1174" s="21" t="str">
        <x:v>artifact 62 planning state</x:v>
      </x:c>
      <x:c r="E1174" s="21" t="n">
        <x:f>IF(AND('Artifact Ledger'!Q68="OPEN",'Artifact Ledger'!R68="HOLD"),1,0)</x:f>
        <x:v>1</x:v>
      </x:c>
      <x:c r="F1174" s="21" t="n">
        <x:v>1</x:v>
      </x:c>
      <x:c r="G1174" s="23" t="str">
        <x:f>IF(E1174=F1174,"PASS","FAIL")</x:f>
        <x:v>PASS</x:v>
      </x:c>
    </x:row>
    <x:row r="1175">
      <x:c r="B1175" s="21" t="str">
        <x:v>A01169</x:v>
      </x:c>
      <x:c r="C1175" s="21" t="str">
        <x:v>artifact</x:v>
      </x:c>
      <x:c r="D1175" s="21" t="str">
        <x:v>artifact 63 eligibility equation</x:v>
      </x:c>
      <x:c r="E1175" s="21" t="n">
        <x:f>IF(ABS('Artifact Ledger'!P69-IF(AND('Artifact Ledger'!L69=1,'Artifact Ledger'!M69=1,'Artifact Ledger'!N69=1,'Artifact Ledger'!O69&gt;='Artifact Ledger'!G69),'Artifact Ledger'!K69,0))&lt;0.000001,1,0)</x:f>
        <x:v>1</x:v>
      </x:c>
      <x:c r="F1175" s="21" t="n">
        <x:v>1</x:v>
      </x:c>
      <x:c r="G1175" s="23" t="str">
        <x:f>IF(E1175=F1175,"PASS","FAIL")</x:f>
        <x:v>PASS</x:v>
      </x:c>
    </x:row>
    <x:row r="1176">
      <x:c r="B1176" s="21" t="str">
        <x:v>A01170</x:v>
      </x:c>
      <x:c r="C1176" s="21" t="str">
        <x:v>artifact</x:v>
      </x:c>
      <x:c r="D1176" s="21" t="str">
        <x:v>artifact 63 planning state</x:v>
      </x:c>
      <x:c r="E1176" s="21" t="n">
        <x:f>IF(AND('Artifact Ledger'!Q69="OPEN",'Artifact Ledger'!R69="HOLD"),1,0)</x:f>
        <x:v>1</x:v>
      </x:c>
      <x:c r="F1176" s="21" t="n">
        <x:v>1</x:v>
      </x:c>
      <x:c r="G1176" s="23" t="str">
        <x:f>IF(E1176=F1176,"PASS","FAIL")</x:f>
        <x:v>PASS</x:v>
      </x:c>
    </x:row>
    <x:row r="1177">
      <x:c r="B1177" s="21" t="str">
        <x:v>A01171</x:v>
      </x:c>
      <x:c r="C1177" s="21" t="str">
        <x:v>artifact</x:v>
      </x:c>
      <x:c r="D1177" s="21" t="str">
        <x:v>artifact 64 eligibility equation</x:v>
      </x:c>
      <x:c r="E1177" s="21" t="n">
        <x:f>IF(ABS('Artifact Ledger'!P70-IF(AND('Artifact Ledger'!L70=1,'Artifact Ledger'!M70=1,'Artifact Ledger'!N70=1,'Artifact Ledger'!O70&gt;='Artifact Ledger'!G70),'Artifact Ledger'!K70,0))&lt;0.000001,1,0)</x:f>
        <x:v>1</x:v>
      </x:c>
      <x:c r="F1177" s="21" t="n">
        <x:v>1</x:v>
      </x:c>
      <x:c r="G1177" s="23" t="str">
        <x:f>IF(E1177=F1177,"PASS","FAIL")</x:f>
        <x:v>PASS</x:v>
      </x:c>
    </x:row>
    <x:row r="1178">
      <x:c r="B1178" s="21" t="str">
        <x:v>A01172</x:v>
      </x:c>
      <x:c r="C1178" s="21" t="str">
        <x:v>artifact</x:v>
      </x:c>
      <x:c r="D1178" s="21" t="str">
        <x:v>artifact 64 planning state</x:v>
      </x:c>
      <x:c r="E1178" s="21" t="n">
        <x:f>IF(AND('Artifact Ledger'!Q70="OPEN",'Artifact Ledger'!R70="HOLD"),1,0)</x:f>
        <x:v>1</x:v>
      </x:c>
      <x:c r="F1178" s="21" t="n">
        <x:v>1</x:v>
      </x:c>
      <x:c r="G1178" s="23" t="str">
        <x:f>IF(E1178=F1178,"PASS","FAIL")</x:f>
        <x:v>PASS</x:v>
      </x:c>
    </x:row>
    <x:row r="1179">
      <x:c r="B1179" s="21" t="str">
        <x:v>A01173</x:v>
      </x:c>
      <x:c r="C1179" s="21" t="str">
        <x:v>artifact</x:v>
      </x:c>
      <x:c r="D1179" s="21" t="str">
        <x:v>artifact 65 eligibility equation</x:v>
      </x:c>
      <x:c r="E1179" s="21" t="n">
        <x:f>IF(ABS('Artifact Ledger'!P71-IF(AND('Artifact Ledger'!L71=1,'Artifact Ledger'!M71=1,'Artifact Ledger'!N71=1,'Artifact Ledger'!O71&gt;='Artifact Ledger'!G71),'Artifact Ledger'!K71,0))&lt;0.000001,1,0)</x:f>
        <x:v>1</x:v>
      </x:c>
      <x:c r="F1179" s="21" t="n">
        <x:v>1</x:v>
      </x:c>
      <x:c r="G1179" s="23" t="str">
        <x:f>IF(E1179=F1179,"PASS","FAIL")</x:f>
        <x:v>PASS</x:v>
      </x:c>
    </x:row>
    <x:row r="1180">
      <x:c r="B1180" s="21" t="str">
        <x:v>A01174</x:v>
      </x:c>
      <x:c r="C1180" s="21" t="str">
        <x:v>artifact</x:v>
      </x:c>
      <x:c r="D1180" s="21" t="str">
        <x:v>artifact 65 planning state</x:v>
      </x:c>
      <x:c r="E1180" s="21" t="n">
        <x:f>IF(AND('Artifact Ledger'!Q71="OPEN",'Artifact Ledger'!R71="HOLD"),1,0)</x:f>
        <x:v>1</x:v>
      </x:c>
      <x:c r="F1180" s="21" t="n">
        <x:v>1</x:v>
      </x:c>
      <x:c r="G1180" s="23" t="str">
        <x:f>IF(E1180=F1180,"PASS","FAIL")</x:f>
        <x:v>PASS</x:v>
      </x:c>
    </x:row>
    <x:row r="1181">
      <x:c r="B1181" s="21" t="str">
        <x:v>A01175</x:v>
      </x:c>
      <x:c r="C1181" s="21" t="str">
        <x:v>artifact</x:v>
      </x:c>
      <x:c r="D1181" s="21" t="str">
        <x:v>artifact 66 eligibility equation</x:v>
      </x:c>
      <x:c r="E1181" s="21" t="n">
        <x:f>IF(ABS('Artifact Ledger'!P72-IF(AND('Artifact Ledger'!L72=1,'Artifact Ledger'!M72=1,'Artifact Ledger'!N72=1,'Artifact Ledger'!O72&gt;='Artifact Ledger'!G72),'Artifact Ledger'!K72,0))&lt;0.000001,1,0)</x:f>
        <x:v>1</x:v>
      </x:c>
      <x:c r="F1181" s="21" t="n">
        <x:v>1</x:v>
      </x:c>
      <x:c r="G1181" s="23" t="str">
        <x:f>IF(E1181=F1181,"PASS","FAIL")</x:f>
        <x:v>PASS</x:v>
      </x:c>
    </x:row>
    <x:row r="1182">
      <x:c r="B1182" s="21" t="str">
        <x:v>A01176</x:v>
      </x:c>
      <x:c r="C1182" s="21" t="str">
        <x:v>artifact</x:v>
      </x:c>
      <x:c r="D1182" s="21" t="str">
        <x:v>artifact 66 planning state</x:v>
      </x:c>
      <x:c r="E1182" s="21" t="n">
        <x:f>IF(AND('Artifact Ledger'!Q72="OPEN",'Artifact Ledger'!R72="HOLD"),1,0)</x:f>
        <x:v>1</x:v>
      </x:c>
      <x:c r="F1182" s="21" t="n">
        <x:v>1</x:v>
      </x:c>
      <x:c r="G1182" s="23" t="str">
        <x:f>IF(E1182=F1182,"PASS","FAIL")</x:f>
        <x:v>PASS</x:v>
      </x:c>
    </x:row>
    <x:row r="1183">
      <x:c r="B1183" s="21" t="str">
        <x:v>A01177</x:v>
      </x:c>
      <x:c r="C1183" s="21" t="str">
        <x:v>artifact</x:v>
      </x:c>
      <x:c r="D1183" s="21" t="str">
        <x:v>artifact 67 eligibility equation</x:v>
      </x:c>
      <x:c r="E1183" s="21" t="n">
        <x:f>IF(ABS('Artifact Ledger'!P73-IF(AND('Artifact Ledger'!L73=1,'Artifact Ledger'!M73=1,'Artifact Ledger'!N73=1,'Artifact Ledger'!O73&gt;='Artifact Ledger'!G73),'Artifact Ledger'!K73,0))&lt;0.000001,1,0)</x:f>
        <x:v>1</x:v>
      </x:c>
      <x:c r="F1183" s="21" t="n">
        <x:v>1</x:v>
      </x:c>
      <x:c r="G1183" s="23" t="str">
        <x:f>IF(E1183=F1183,"PASS","FAIL")</x:f>
        <x:v>PASS</x:v>
      </x:c>
    </x:row>
    <x:row r="1184">
      <x:c r="B1184" s="21" t="str">
        <x:v>A01178</x:v>
      </x:c>
      <x:c r="C1184" s="21" t="str">
        <x:v>artifact</x:v>
      </x:c>
      <x:c r="D1184" s="21" t="str">
        <x:v>artifact 67 planning state</x:v>
      </x:c>
      <x:c r="E1184" s="21" t="n">
        <x:f>IF(AND('Artifact Ledger'!Q73="OPEN",'Artifact Ledger'!R73="HOLD"),1,0)</x:f>
        <x:v>1</x:v>
      </x:c>
      <x:c r="F1184" s="21" t="n">
        <x:v>1</x:v>
      </x:c>
      <x:c r="G1184" s="23" t="str">
        <x:f>IF(E1184=F1184,"PASS","FAIL")</x:f>
        <x:v>PASS</x:v>
      </x:c>
    </x:row>
    <x:row r="1185">
      <x:c r="B1185" s="21" t="str">
        <x:v>A01179</x:v>
      </x:c>
      <x:c r="C1185" s="21" t="str">
        <x:v>artifact</x:v>
      </x:c>
      <x:c r="D1185" s="21" t="str">
        <x:v>artifact 68 eligibility equation</x:v>
      </x:c>
      <x:c r="E1185" s="21" t="n">
        <x:f>IF(ABS('Artifact Ledger'!P74-IF(AND('Artifact Ledger'!L74=1,'Artifact Ledger'!M74=1,'Artifact Ledger'!N74=1,'Artifact Ledger'!O74&gt;='Artifact Ledger'!G74),'Artifact Ledger'!K74,0))&lt;0.000001,1,0)</x:f>
        <x:v>1</x:v>
      </x:c>
      <x:c r="F1185" s="21" t="n">
        <x:v>1</x:v>
      </x:c>
      <x:c r="G1185" s="23" t="str">
        <x:f>IF(E1185=F1185,"PASS","FAIL")</x:f>
        <x:v>PASS</x:v>
      </x:c>
    </x:row>
    <x:row r="1186">
      <x:c r="B1186" s="21" t="str">
        <x:v>A01180</x:v>
      </x:c>
      <x:c r="C1186" s="21" t="str">
        <x:v>artifact</x:v>
      </x:c>
      <x:c r="D1186" s="21" t="str">
        <x:v>artifact 68 planning state</x:v>
      </x:c>
      <x:c r="E1186" s="21" t="n">
        <x:f>IF(AND('Artifact Ledger'!Q74="OPEN",'Artifact Ledger'!R74="HOLD"),1,0)</x:f>
        <x:v>1</x:v>
      </x:c>
      <x:c r="F1186" s="21" t="n">
        <x:v>1</x:v>
      </x:c>
      <x:c r="G1186" s="23" t="str">
        <x:f>IF(E1186=F1186,"PASS","FAIL")</x:f>
        <x:v>PASS</x:v>
      </x:c>
    </x:row>
    <x:row r="1187">
      <x:c r="B1187" s="21" t="str">
        <x:v>A01181</x:v>
      </x:c>
      <x:c r="C1187" s="21" t="str">
        <x:v>artifact</x:v>
      </x:c>
      <x:c r="D1187" s="21" t="str">
        <x:v>artifact 69 eligibility equation</x:v>
      </x:c>
      <x:c r="E1187" s="21" t="n">
        <x:f>IF(ABS('Artifact Ledger'!P75-IF(AND('Artifact Ledger'!L75=1,'Artifact Ledger'!M75=1,'Artifact Ledger'!N75=1,'Artifact Ledger'!O75&gt;='Artifact Ledger'!G75),'Artifact Ledger'!K75,0))&lt;0.000001,1,0)</x:f>
        <x:v>1</x:v>
      </x:c>
      <x:c r="F1187" s="21" t="n">
        <x:v>1</x:v>
      </x:c>
      <x:c r="G1187" s="23" t="str">
        <x:f>IF(E1187=F1187,"PASS","FAIL")</x:f>
        <x:v>PASS</x:v>
      </x:c>
    </x:row>
    <x:row r="1188">
      <x:c r="B1188" s="21" t="str">
        <x:v>A01182</x:v>
      </x:c>
      <x:c r="C1188" s="21" t="str">
        <x:v>artifact</x:v>
      </x:c>
      <x:c r="D1188" s="21" t="str">
        <x:v>artifact 69 planning state</x:v>
      </x:c>
      <x:c r="E1188" s="21" t="n">
        <x:f>IF(AND('Artifact Ledger'!Q75="OPEN",'Artifact Ledger'!R75="HOLD"),1,0)</x:f>
        <x:v>1</x:v>
      </x:c>
      <x:c r="F1188" s="21" t="n">
        <x:v>1</x:v>
      </x:c>
      <x:c r="G1188" s="23" t="str">
        <x:f>IF(E1188=F1188,"PASS","FAIL")</x:f>
        <x:v>PASS</x:v>
      </x:c>
    </x:row>
    <x:row r="1189">
      <x:c r="B1189" s="21" t="str">
        <x:v>A01183</x:v>
      </x:c>
      <x:c r="C1189" s="21" t="str">
        <x:v>artifact</x:v>
      </x:c>
      <x:c r="D1189" s="21" t="str">
        <x:v>artifact 70 eligibility equation</x:v>
      </x:c>
      <x:c r="E1189" s="21" t="n">
        <x:f>IF(ABS('Artifact Ledger'!P76-IF(AND('Artifact Ledger'!L76=1,'Artifact Ledger'!M76=1,'Artifact Ledger'!N76=1,'Artifact Ledger'!O76&gt;='Artifact Ledger'!G76),'Artifact Ledger'!K76,0))&lt;0.000001,1,0)</x:f>
        <x:v>1</x:v>
      </x:c>
      <x:c r="F1189" s="21" t="n">
        <x:v>1</x:v>
      </x:c>
      <x:c r="G1189" s="23" t="str">
        <x:f>IF(E1189=F1189,"PASS","FAIL")</x:f>
        <x:v>PASS</x:v>
      </x:c>
    </x:row>
    <x:row r="1190">
      <x:c r="B1190" s="21" t="str">
        <x:v>A01184</x:v>
      </x:c>
      <x:c r="C1190" s="21" t="str">
        <x:v>artifact</x:v>
      </x:c>
      <x:c r="D1190" s="21" t="str">
        <x:v>artifact 70 planning state</x:v>
      </x:c>
      <x:c r="E1190" s="21" t="n">
        <x:f>IF(AND('Artifact Ledger'!Q76="OPEN",'Artifact Ledger'!R76="HOLD"),1,0)</x:f>
        <x:v>1</x:v>
      </x:c>
      <x:c r="F1190" s="21" t="n">
        <x:v>1</x:v>
      </x:c>
      <x:c r="G1190" s="23" t="str">
        <x:f>IF(E1190=F1190,"PASS","FAIL")</x:f>
        <x:v>PASS</x:v>
      </x:c>
    </x:row>
    <x:row r="1191">
      <x:c r="B1191" s="21" t="str">
        <x:v>A01185</x:v>
      </x:c>
      <x:c r="C1191" s="21" t="str">
        <x:v>artifact</x:v>
      </x:c>
      <x:c r="D1191" s="21" t="str">
        <x:v>artifact 71 eligibility equation</x:v>
      </x:c>
      <x:c r="E1191" s="21" t="n">
        <x:f>IF(ABS('Artifact Ledger'!P77-IF(AND('Artifact Ledger'!L77=1,'Artifact Ledger'!M77=1,'Artifact Ledger'!N77=1,'Artifact Ledger'!O77&gt;='Artifact Ledger'!G77),'Artifact Ledger'!K77,0))&lt;0.000001,1,0)</x:f>
        <x:v>1</x:v>
      </x:c>
      <x:c r="F1191" s="21" t="n">
        <x:v>1</x:v>
      </x:c>
      <x:c r="G1191" s="23" t="str">
        <x:f>IF(E1191=F1191,"PASS","FAIL")</x:f>
        <x:v>PASS</x:v>
      </x:c>
    </x:row>
    <x:row r="1192">
      <x:c r="B1192" s="21" t="str">
        <x:v>A01186</x:v>
      </x:c>
      <x:c r="C1192" s="21" t="str">
        <x:v>artifact</x:v>
      </x:c>
      <x:c r="D1192" s="21" t="str">
        <x:v>artifact 71 planning state</x:v>
      </x:c>
      <x:c r="E1192" s="21" t="n">
        <x:f>IF(AND('Artifact Ledger'!Q77="OPEN",'Artifact Ledger'!R77="HOLD"),1,0)</x:f>
        <x:v>1</x:v>
      </x:c>
      <x:c r="F1192" s="21" t="n">
        <x:v>1</x:v>
      </x:c>
      <x:c r="G1192" s="23" t="str">
        <x:f>IF(E1192=F1192,"PASS","FAIL")</x:f>
        <x:v>PASS</x:v>
      </x:c>
    </x:row>
    <x:row r="1193">
      <x:c r="B1193" s="21" t="str">
        <x:v>A01187</x:v>
      </x:c>
      <x:c r="C1193" s="21" t="str">
        <x:v>artifact</x:v>
      </x:c>
      <x:c r="D1193" s="21" t="str">
        <x:v>artifact 72 eligibility equation</x:v>
      </x:c>
      <x:c r="E1193" s="21" t="n">
        <x:f>IF(ABS('Artifact Ledger'!P78-IF(AND('Artifact Ledger'!L78=1,'Artifact Ledger'!M78=1,'Artifact Ledger'!N78=1,'Artifact Ledger'!O78&gt;='Artifact Ledger'!G78),'Artifact Ledger'!K78,0))&lt;0.000001,1,0)</x:f>
        <x:v>1</x:v>
      </x:c>
      <x:c r="F1193" s="21" t="n">
        <x:v>1</x:v>
      </x:c>
      <x:c r="G1193" s="23" t="str">
        <x:f>IF(E1193=F1193,"PASS","FAIL")</x:f>
        <x:v>PASS</x:v>
      </x:c>
    </x:row>
    <x:row r="1194">
      <x:c r="B1194" s="21" t="str">
        <x:v>A01188</x:v>
      </x:c>
      <x:c r="C1194" s="21" t="str">
        <x:v>artifact</x:v>
      </x:c>
      <x:c r="D1194" s="21" t="str">
        <x:v>artifact 72 planning state</x:v>
      </x:c>
      <x:c r="E1194" s="21" t="n">
        <x:f>IF(AND('Artifact Ledger'!Q78="OPEN",'Artifact Ledger'!R78="HOLD"),1,0)</x:f>
        <x:v>1</x:v>
      </x:c>
      <x:c r="F1194" s="21" t="n">
        <x:v>1</x:v>
      </x:c>
      <x:c r="G1194" s="23" t="str">
        <x:f>IF(E1194=F1194,"PASS","FAIL")</x:f>
        <x:v>PASS</x:v>
      </x:c>
    </x:row>
    <x:row r="1195">
      <x:c r="B1195" s="21" t="str">
        <x:v>A01189</x:v>
      </x:c>
      <x:c r="C1195" s="21" t="str">
        <x:v>artifact</x:v>
      </x:c>
      <x:c r="D1195" s="21" t="str">
        <x:v>artifact 73 eligibility equation</x:v>
      </x:c>
      <x:c r="E1195" s="21" t="n">
        <x:f>IF(ABS('Artifact Ledger'!P79-IF(AND('Artifact Ledger'!L79=1,'Artifact Ledger'!M79=1,'Artifact Ledger'!N79=1,'Artifact Ledger'!O79&gt;='Artifact Ledger'!G79),'Artifact Ledger'!K79,0))&lt;0.000001,1,0)</x:f>
        <x:v>1</x:v>
      </x:c>
      <x:c r="F1195" s="21" t="n">
        <x:v>1</x:v>
      </x:c>
      <x:c r="G1195" s="23" t="str">
        <x:f>IF(E1195=F1195,"PASS","FAIL")</x:f>
        <x:v>PASS</x:v>
      </x:c>
    </x:row>
    <x:row r="1196">
      <x:c r="B1196" s="21" t="str">
        <x:v>A01190</x:v>
      </x:c>
      <x:c r="C1196" s="21" t="str">
        <x:v>artifact</x:v>
      </x:c>
      <x:c r="D1196" s="21" t="str">
        <x:v>artifact 73 planning state</x:v>
      </x:c>
      <x:c r="E1196" s="21" t="n">
        <x:f>IF(AND('Artifact Ledger'!Q79="OPEN",'Artifact Ledger'!R79="HOLD"),1,0)</x:f>
        <x:v>1</x:v>
      </x:c>
      <x:c r="F1196" s="21" t="n">
        <x:v>1</x:v>
      </x:c>
      <x:c r="G1196" s="23" t="str">
        <x:f>IF(E1196=F1196,"PASS","FAIL")</x:f>
        <x:v>PASS</x:v>
      </x:c>
    </x:row>
    <x:row r="1197">
      <x:c r="B1197" s="21" t="str">
        <x:v>A01191</x:v>
      </x:c>
      <x:c r="C1197" s="21" t="str">
        <x:v>artifact</x:v>
      </x:c>
      <x:c r="D1197" s="21" t="str">
        <x:v>artifact 74 eligibility equation</x:v>
      </x:c>
      <x:c r="E1197" s="21" t="n">
        <x:f>IF(ABS('Artifact Ledger'!P80-IF(AND('Artifact Ledger'!L80=1,'Artifact Ledger'!M80=1,'Artifact Ledger'!N80=1,'Artifact Ledger'!O80&gt;='Artifact Ledger'!G80),'Artifact Ledger'!K80,0))&lt;0.000001,1,0)</x:f>
        <x:v>1</x:v>
      </x:c>
      <x:c r="F1197" s="21" t="n">
        <x:v>1</x:v>
      </x:c>
      <x:c r="G1197" s="23" t="str">
        <x:f>IF(E1197=F1197,"PASS","FAIL")</x:f>
        <x:v>PASS</x:v>
      </x:c>
    </x:row>
    <x:row r="1198">
      <x:c r="B1198" s="21" t="str">
        <x:v>A01192</x:v>
      </x:c>
      <x:c r="C1198" s="21" t="str">
        <x:v>artifact</x:v>
      </x:c>
      <x:c r="D1198" s="21" t="str">
        <x:v>artifact 74 planning state</x:v>
      </x:c>
      <x:c r="E1198" s="21" t="n">
        <x:f>IF(AND('Artifact Ledger'!Q80="OPEN",'Artifact Ledger'!R80="HOLD"),1,0)</x:f>
        <x:v>1</x:v>
      </x:c>
      <x:c r="F1198" s="21" t="n">
        <x:v>1</x:v>
      </x:c>
      <x:c r="G1198" s="23" t="str">
        <x:f>IF(E1198=F1198,"PASS","FAIL")</x:f>
        <x:v>PASS</x:v>
      </x:c>
    </x:row>
    <x:row r="1199">
      <x:c r="B1199" s="21" t="str">
        <x:v>A01193</x:v>
      </x:c>
      <x:c r="C1199" s="21" t="str">
        <x:v>artifact</x:v>
      </x:c>
      <x:c r="D1199" s="21" t="str">
        <x:v>artifact 75 eligibility equation</x:v>
      </x:c>
      <x:c r="E1199" s="21" t="n">
        <x:f>IF(ABS('Artifact Ledger'!P81-IF(AND('Artifact Ledger'!L81=1,'Artifact Ledger'!M81=1,'Artifact Ledger'!N81=1,'Artifact Ledger'!O81&gt;='Artifact Ledger'!G81),'Artifact Ledger'!K81,0))&lt;0.000001,1,0)</x:f>
        <x:v>1</x:v>
      </x:c>
      <x:c r="F1199" s="21" t="n">
        <x:v>1</x:v>
      </x:c>
      <x:c r="G1199" s="23" t="str">
        <x:f>IF(E1199=F1199,"PASS","FAIL")</x:f>
        <x:v>PASS</x:v>
      </x:c>
    </x:row>
    <x:row r="1200">
      <x:c r="B1200" s="21" t="str">
        <x:v>A01194</x:v>
      </x:c>
      <x:c r="C1200" s="21" t="str">
        <x:v>artifact</x:v>
      </x:c>
      <x:c r="D1200" s="21" t="str">
        <x:v>artifact 75 planning state</x:v>
      </x:c>
      <x:c r="E1200" s="21" t="n">
        <x:f>IF(AND('Artifact Ledger'!Q81="OPEN",'Artifact Ledger'!R81="HOLD"),1,0)</x:f>
        <x:v>1</x:v>
      </x:c>
      <x:c r="F1200" s="21" t="n">
        <x:v>1</x:v>
      </x:c>
      <x:c r="G1200" s="23" t="str">
        <x:f>IF(E1200=F1200,"PASS","FAIL")</x:f>
        <x:v>PASS</x:v>
      </x:c>
    </x:row>
    <x:row r="1201">
      <x:c r="B1201" s="21" t="str">
        <x:v>A01195</x:v>
      </x:c>
      <x:c r="C1201" s="21" t="str">
        <x:v>artifact</x:v>
      </x:c>
      <x:c r="D1201" s="21" t="str">
        <x:v>artifact 76 eligibility equation</x:v>
      </x:c>
      <x:c r="E1201" s="21" t="n">
        <x:f>IF(ABS('Artifact Ledger'!P82-IF(AND('Artifact Ledger'!L82=1,'Artifact Ledger'!M82=1,'Artifact Ledger'!N82=1,'Artifact Ledger'!O82&gt;='Artifact Ledger'!G82),'Artifact Ledger'!K82,0))&lt;0.000001,1,0)</x:f>
        <x:v>1</x:v>
      </x:c>
      <x:c r="F1201" s="21" t="n">
        <x:v>1</x:v>
      </x:c>
      <x:c r="G1201" s="23" t="str">
        <x:f>IF(E1201=F1201,"PASS","FAIL")</x:f>
        <x:v>PASS</x:v>
      </x:c>
    </x:row>
    <x:row r="1202">
      <x:c r="B1202" s="21" t="str">
        <x:v>A01196</x:v>
      </x:c>
      <x:c r="C1202" s="21" t="str">
        <x:v>artifact</x:v>
      </x:c>
      <x:c r="D1202" s="21" t="str">
        <x:v>artifact 76 planning state</x:v>
      </x:c>
      <x:c r="E1202" s="21" t="n">
        <x:f>IF(AND('Artifact Ledger'!Q82="OPEN",'Artifact Ledger'!R82="HOLD"),1,0)</x:f>
        <x:v>1</x:v>
      </x:c>
      <x:c r="F1202" s="21" t="n">
        <x:v>1</x:v>
      </x:c>
      <x:c r="G1202" s="23" t="str">
        <x:f>IF(E1202=F1202,"PASS","FAIL")</x:f>
        <x:v>PASS</x:v>
      </x:c>
    </x:row>
    <x:row r="1203">
      <x:c r="B1203" s="21" t="str">
        <x:v>A01197</x:v>
      </x:c>
      <x:c r="C1203" s="21" t="str">
        <x:v>artifact</x:v>
      </x:c>
      <x:c r="D1203" s="21" t="str">
        <x:v>artifact 77 eligibility equation</x:v>
      </x:c>
      <x:c r="E1203" s="21" t="n">
        <x:f>IF(ABS('Artifact Ledger'!P83-IF(AND('Artifact Ledger'!L83=1,'Artifact Ledger'!M83=1,'Artifact Ledger'!N83=1,'Artifact Ledger'!O83&gt;='Artifact Ledger'!G83),'Artifact Ledger'!K83,0))&lt;0.000001,1,0)</x:f>
        <x:v>1</x:v>
      </x:c>
      <x:c r="F1203" s="21" t="n">
        <x:v>1</x:v>
      </x:c>
      <x:c r="G1203" s="23" t="str">
        <x:f>IF(E1203=F1203,"PASS","FAIL")</x:f>
        <x:v>PASS</x:v>
      </x:c>
    </x:row>
    <x:row r="1204">
      <x:c r="B1204" s="21" t="str">
        <x:v>A01198</x:v>
      </x:c>
      <x:c r="C1204" s="21" t="str">
        <x:v>artifact</x:v>
      </x:c>
      <x:c r="D1204" s="21" t="str">
        <x:v>artifact 77 planning state</x:v>
      </x:c>
      <x:c r="E1204" s="21" t="n">
        <x:f>IF(AND('Artifact Ledger'!Q83="OPEN",'Artifact Ledger'!R83="HOLD"),1,0)</x:f>
        <x:v>1</x:v>
      </x:c>
      <x:c r="F1204" s="21" t="n">
        <x:v>1</x:v>
      </x:c>
      <x:c r="G1204" s="23" t="str">
        <x:f>IF(E1204=F1204,"PASS","FAIL")</x:f>
        <x:v>PASS</x:v>
      </x:c>
    </x:row>
    <x:row r="1205">
      <x:c r="B1205" s="21" t="str">
        <x:v>A01199</x:v>
      </x:c>
      <x:c r="C1205" s="21" t="str">
        <x:v>artifact</x:v>
      </x:c>
      <x:c r="D1205" s="21" t="str">
        <x:v>artifact 78 eligibility equation</x:v>
      </x:c>
      <x:c r="E1205" s="21" t="n">
        <x:f>IF(ABS('Artifact Ledger'!P84-IF(AND('Artifact Ledger'!L84=1,'Artifact Ledger'!M84=1,'Artifact Ledger'!N84=1,'Artifact Ledger'!O84&gt;='Artifact Ledger'!G84),'Artifact Ledger'!K84,0))&lt;0.000001,1,0)</x:f>
        <x:v>1</x:v>
      </x:c>
      <x:c r="F1205" s="21" t="n">
        <x:v>1</x:v>
      </x:c>
      <x:c r="G1205" s="23" t="str">
        <x:f>IF(E1205=F1205,"PASS","FAIL")</x:f>
        <x:v>PASS</x:v>
      </x:c>
    </x:row>
    <x:row r="1206">
      <x:c r="B1206" s="21" t="str">
        <x:v>A01200</x:v>
      </x:c>
      <x:c r="C1206" s="21" t="str">
        <x:v>artifact</x:v>
      </x:c>
      <x:c r="D1206" s="21" t="str">
        <x:v>artifact 78 planning state</x:v>
      </x:c>
      <x:c r="E1206" s="21" t="n">
        <x:f>IF(AND('Artifact Ledger'!Q84="OPEN",'Artifact Ledger'!R84="HOLD"),1,0)</x:f>
        <x:v>1</x:v>
      </x:c>
      <x:c r="F1206" s="21" t="n">
        <x:v>1</x:v>
      </x:c>
      <x:c r="G1206" s="23" t="str">
        <x:f>IF(E1206=F1206,"PASS","FAIL")</x:f>
        <x:v>PASS</x:v>
      </x:c>
    </x:row>
    <x:row r="1207">
      <x:c r="B1207" s="21" t="str">
        <x:v>A01201</x:v>
      </x:c>
      <x:c r="C1207" s="21" t="str">
        <x:v>artifact</x:v>
      </x:c>
      <x:c r="D1207" s="21" t="str">
        <x:v>artifact 79 eligibility equation</x:v>
      </x:c>
      <x:c r="E1207" s="21" t="n">
        <x:f>IF(ABS('Artifact Ledger'!P85-IF(AND('Artifact Ledger'!L85=1,'Artifact Ledger'!M85=1,'Artifact Ledger'!N85=1,'Artifact Ledger'!O85&gt;='Artifact Ledger'!G85),'Artifact Ledger'!K85,0))&lt;0.000001,1,0)</x:f>
        <x:v>1</x:v>
      </x:c>
      <x:c r="F1207" s="21" t="n">
        <x:v>1</x:v>
      </x:c>
      <x:c r="G1207" s="23" t="str">
        <x:f>IF(E1207=F1207,"PASS","FAIL")</x:f>
        <x:v>PASS</x:v>
      </x:c>
    </x:row>
    <x:row r="1208">
      <x:c r="B1208" s="21" t="str">
        <x:v>A01202</x:v>
      </x:c>
      <x:c r="C1208" s="21" t="str">
        <x:v>artifact</x:v>
      </x:c>
      <x:c r="D1208" s="21" t="str">
        <x:v>artifact 79 planning state</x:v>
      </x:c>
      <x:c r="E1208" s="21" t="n">
        <x:f>IF(AND('Artifact Ledger'!Q85="OPEN",'Artifact Ledger'!R85="HOLD"),1,0)</x:f>
        <x:v>1</x:v>
      </x:c>
      <x:c r="F1208" s="21" t="n">
        <x:v>1</x:v>
      </x:c>
      <x:c r="G1208" s="23" t="str">
        <x:f>IF(E1208=F1208,"PASS","FAIL")</x:f>
        <x:v>PASS</x:v>
      </x:c>
    </x:row>
    <x:row r="1209">
      <x:c r="B1209" s="21" t="str">
        <x:v>A01203</x:v>
      </x:c>
      <x:c r="C1209" s="21" t="str">
        <x:v>artifact</x:v>
      </x:c>
      <x:c r="D1209" s="21" t="str">
        <x:v>artifact 80 eligibility equation</x:v>
      </x:c>
      <x:c r="E1209" s="21" t="n">
        <x:f>IF(ABS('Artifact Ledger'!P86-IF(AND('Artifact Ledger'!L86=1,'Artifact Ledger'!M86=1,'Artifact Ledger'!N86=1,'Artifact Ledger'!O86&gt;='Artifact Ledger'!G86),'Artifact Ledger'!K86,0))&lt;0.000001,1,0)</x:f>
        <x:v>1</x:v>
      </x:c>
      <x:c r="F1209" s="21" t="n">
        <x:v>1</x:v>
      </x:c>
      <x:c r="G1209" s="23" t="str">
        <x:f>IF(E1209=F1209,"PASS","FAIL")</x:f>
        <x:v>PASS</x:v>
      </x:c>
    </x:row>
    <x:row r="1210">
      <x:c r="B1210" s="21" t="str">
        <x:v>A01204</x:v>
      </x:c>
      <x:c r="C1210" s="21" t="str">
        <x:v>artifact</x:v>
      </x:c>
      <x:c r="D1210" s="21" t="str">
        <x:v>artifact 80 planning state</x:v>
      </x:c>
      <x:c r="E1210" s="21" t="n">
        <x:f>IF(AND('Artifact Ledger'!Q86="OPEN",'Artifact Ledger'!R86="HOLD"),1,0)</x:f>
        <x:v>1</x:v>
      </x:c>
      <x:c r="F1210" s="21" t="n">
        <x:v>1</x:v>
      </x:c>
      <x:c r="G1210" s="23" t="str">
        <x:f>IF(E1210=F1210,"PASS","FAIL")</x:f>
        <x:v>PASS</x:v>
      </x:c>
    </x:row>
    <x:row r="1211">
      <x:c r="B1211" s="21" t="str">
        <x:v>A01205</x:v>
      </x:c>
      <x:c r="C1211" s="21" t="str">
        <x:v>artifact</x:v>
      </x:c>
      <x:c r="D1211" s="21" t="str">
        <x:v>artifact 81 eligibility equation</x:v>
      </x:c>
      <x:c r="E1211" s="21" t="n">
        <x:f>IF(ABS('Artifact Ledger'!P87-IF(AND('Artifact Ledger'!L87=1,'Artifact Ledger'!M87=1,'Artifact Ledger'!N87=1,'Artifact Ledger'!O87&gt;='Artifact Ledger'!G87),'Artifact Ledger'!K87,0))&lt;0.000001,1,0)</x:f>
        <x:v>1</x:v>
      </x:c>
      <x:c r="F1211" s="21" t="n">
        <x:v>1</x:v>
      </x:c>
      <x:c r="G1211" s="23" t="str">
        <x:f>IF(E1211=F1211,"PASS","FAIL")</x:f>
        <x:v>PASS</x:v>
      </x:c>
    </x:row>
    <x:row r="1212">
      <x:c r="B1212" s="21" t="str">
        <x:v>A01206</x:v>
      </x:c>
      <x:c r="C1212" s="21" t="str">
        <x:v>artifact</x:v>
      </x:c>
      <x:c r="D1212" s="21" t="str">
        <x:v>artifact 81 planning state</x:v>
      </x:c>
      <x:c r="E1212" s="21" t="n">
        <x:f>IF(AND('Artifact Ledger'!Q87="OPEN",'Artifact Ledger'!R87="HOLD"),1,0)</x:f>
        <x:v>1</x:v>
      </x:c>
      <x:c r="F1212" s="21" t="n">
        <x:v>1</x:v>
      </x:c>
      <x:c r="G1212" s="23" t="str">
        <x:f>IF(E1212=F1212,"PASS","FAIL")</x:f>
        <x:v>PASS</x:v>
      </x:c>
    </x:row>
    <x:row r="1213">
      <x:c r="B1213" s="21" t="str">
        <x:v>A01207</x:v>
      </x:c>
      <x:c r="C1213" s="21" t="str">
        <x:v>artifact</x:v>
      </x:c>
      <x:c r="D1213" s="21" t="str">
        <x:v>artifact 82 eligibility equation</x:v>
      </x:c>
      <x:c r="E1213" s="21" t="n">
        <x:f>IF(ABS('Artifact Ledger'!P88-IF(AND('Artifact Ledger'!L88=1,'Artifact Ledger'!M88=1,'Artifact Ledger'!N88=1,'Artifact Ledger'!O88&gt;='Artifact Ledger'!G88),'Artifact Ledger'!K88,0))&lt;0.000001,1,0)</x:f>
        <x:v>1</x:v>
      </x:c>
      <x:c r="F1213" s="21" t="n">
        <x:v>1</x:v>
      </x:c>
      <x:c r="G1213" s="23" t="str">
        <x:f>IF(E1213=F1213,"PASS","FAIL")</x:f>
        <x:v>PASS</x:v>
      </x:c>
    </x:row>
    <x:row r="1214">
      <x:c r="B1214" s="21" t="str">
        <x:v>A01208</x:v>
      </x:c>
      <x:c r="C1214" s="21" t="str">
        <x:v>artifact</x:v>
      </x:c>
      <x:c r="D1214" s="21" t="str">
        <x:v>artifact 82 planning state</x:v>
      </x:c>
      <x:c r="E1214" s="21" t="n">
        <x:f>IF(AND('Artifact Ledger'!Q88="OPEN",'Artifact Ledger'!R88="HOLD"),1,0)</x:f>
        <x:v>1</x:v>
      </x:c>
      <x:c r="F1214" s="21" t="n">
        <x:v>1</x:v>
      </x:c>
      <x:c r="G1214" s="23" t="str">
        <x:f>IF(E1214=F1214,"PASS","FAIL")</x:f>
        <x:v>PASS</x:v>
      </x:c>
    </x:row>
    <x:row r="1215">
      <x:c r="B1215" s="21" t="str">
        <x:v>A01209</x:v>
      </x:c>
      <x:c r="C1215" s="21" t="str">
        <x:v>artifact</x:v>
      </x:c>
      <x:c r="D1215" s="21" t="str">
        <x:v>artifact 83 eligibility equation</x:v>
      </x:c>
      <x:c r="E1215" s="21" t="n">
        <x:f>IF(ABS('Artifact Ledger'!P89-IF(AND('Artifact Ledger'!L89=1,'Artifact Ledger'!M89=1,'Artifact Ledger'!N89=1,'Artifact Ledger'!O89&gt;='Artifact Ledger'!G89),'Artifact Ledger'!K89,0))&lt;0.000001,1,0)</x:f>
        <x:v>1</x:v>
      </x:c>
      <x:c r="F1215" s="21" t="n">
        <x:v>1</x:v>
      </x:c>
      <x:c r="G1215" s="23" t="str">
        <x:f>IF(E1215=F1215,"PASS","FAIL")</x:f>
        <x:v>PASS</x:v>
      </x:c>
    </x:row>
    <x:row r="1216">
      <x:c r="B1216" s="21" t="str">
        <x:v>A01210</x:v>
      </x:c>
      <x:c r="C1216" s="21" t="str">
        <x:v>artifact</x:v>
      </x:c>
      <x:c r="D1216" s="21" t="str">
        <x:v>artifact 83 planning state</x:v>
      </x:c>
      <x:c r="E1216" s="21" t="n">
        <x:f>IF(AND('Artifact Ledger'!Q89="OPEN",'Artifact Ledger'!R89="HOLD"),1,0)</x:f>
        <x:v>1</x:v>
      </x:c>
      <x:c r="F1216" s="21" t="n">
        <x:v>1</x:v>
      </x:c>
      <x:c r="G1216" s="23" t="str">
        <x:f>IF(E1216=F1216,"PASS","FAIL")</x:f>
        <x:v>PASS</x:v>
      </x:c>
    </x:row>
    <x:row r="1217">
      <x:c r="B1217" s="21" t="str">
        <x:v>A01211</x:v>
      </x:c>
      <x:c r="C1217" s="21" t="str">
        <x:v>artifact</x:v>
      </x:c>
      <x:c r="D1217" s="21" t="str">
        <x:v>artifact 84 eligibility equation</x:v>
      </x:c>
      <x:c r="E1217" s="21" t="n">
        <x:f>IF(ABS('Artifact Ledger'!P90-IF(AND('Artifact Ledger'!L90=1,'Artifact Ledger'!M90=1,'Artifact Ledger'!N90=1,'Artifact Ledger'!O90&gt;='Artifact Ledger'!G90),'Artifact Ledger'!K90,0))&lt;0.000001,1,0)</x:f>
        <x:v>1</x:v>
      </x:c>
      <x:c r="F1217" s="21" t="n">
        <x:v>1</x:v>
      </x:c>
      <x:c r="G1217" s="23" t="str">
        <x:f>IF(E1217=F1217,"PASS","FAIL")</x:f>
        <x:v>PASS</x:v>
      </x:c>
    </x:row>
    <x:row r="1218">
      <x:c r="B1218" s="21" t="str">
        <x:v>A01212</x:v>
      </x:c>
      <x:c r="C1218" s="21" t="str">
        <x:v>artifact</x:v>
      </x:c>
      <x:c r="D1218" s="21" t="str">
        <x:v>artifact 84 planning state</x:v>
      </x:c>
      <x:c r="E1218" s="21" t="n">
        <x:f>IF(AND('Artifact Ledger'!Q90="OPEN",'Artifact Ledger'!R90="HOLD"),1,0)</x:f>
        <x:v>1</x:v>
      </x:c>
      <x:c r="F1218" s="21" t="n">
        <x:v>1</x:v>
      </x:c>
      <x:c r="G1218" s="23" t="str">
        <x:f>IF(E1218=F1218,"PASS","FAIL")</x:f>
        <x:v>PASS</x:v>
      </x:c>
    </x:row>
    <x:row r="1219">
      <x:c r="B1219" s="21" t="str">
        <x:v>A01213</x:v>
      </x:c>
      <x:c r="C1219" s="21" t="str">
        <x:v>artifact</x:v>
      </x:c>
      <x:c r="D1219" s="21" t="str">
        <x:v>artifact 85 eligibility equation</x:v>
      </x:c>
      <x:c r="E1219" s="21" t="n">
        <x:f>IF(ABS('Artifact Ledger'!P91-IF(AND('Artifact Ledger'!L91=1,'Artifact Ledger'!M91=1,'Artifact Ledger'!N91=1,'Artifact Ledger'!O91&gt;='Artifact Ledger'!G91),'Artifact Ledger'!K91,0))&lt;0.000001,1,0)</x:f>
        <x:v>1</x:v>
      </x:c>
      <x:c r="F1219" s="21" t="n">
        <x:v>1</x:v>
      </x:c>
      <x:c r="G1219" s="23" t="str">
        <x:f>IF(E1219=F1219,"PASS","FAIL")</x:f>
        <x:v>PASS</x:v>
      </x:c>
    </x:row>
    <x:row r="1220">
      <x:c r="B1220" s="21" t="str">
        <x:v>A01214</x:v>
      </x:c>
      <x:c r="C1220" s="21" t="str">
        <x:v>artifact</x:v>
      </x:c>
      <x:c r="D1220" s="21" t="str">
        <x:v>artifact 85 planning state</x:v>
      </x:c>
      <x:c r="E1220" s="21" t="n">
        <x:f>IF(AND('Artifact Ledger'!Q91="OPEN",'Artifact Ledger'!R91="HOLD"),1,0)</x:f>
        <x:v>1</x:v>
      </x:c>
      <x:c r="F1220" s="21" t="n">
        <x:v>1</x:v>
      </x:c>
      <x:c r="G1220" s="23" t="str">
        <x:f>IF(E1220=F1220,"PASS","FAIL")</x:f>
        <x:v>PASS</x:v>
      </x:c>
    </x:row>
    <x:row r="1221">
      <x:c r="B1221" s="21" t="str">
        <x:v>A01215</x:v>
      </x:c>
      <x:c r="C1221" s="21" t="str">
        <x:v>artifact</x:v>
      </x:c>
      <x:c r="D1221" s="21" t="str">
        <x:v>artifact 86 eligibility equation</x:v>
      </x:c>
      <x:c r="E1221" s="21" t="n">
        <x:f>IF(ABS('Artifact Ledger'!P92-IF(AND('Artifact Ledger'!L92=1,'Artifact Ledger'!M92=1,'Artifact Ledger'!N92=1,'Artifact Ledger'!O92&gt;='Artifact Ledger'!G92),'Artifact Ledger'!K92,0))&lt;0.000001,1,0)</x:f>
        <x:v>1</x:v>
      </x:c>
      <x:c r="F1221" s="21" t="n">
        <x:v>1</x:v>
      </x:c>
      <x:c r="G1221" s="23" t="str">
        <x:f>IF(E1221=F1221,"PASS","FAIL")</x:f>
        <x:v>PASS</x:v>
      </x:c>
    </x:row>
    <x:row r="1222">
      <x:c r="B1222" s="21" t="str">
        <x:v>A01216</x:v>
      </x:c>
      <x:c r="C1222" s="21" t="str">
        <x:v>artifact</x:v>
      </x:c>
      <x:c r="D1222" s="21" t="str">
        <x:v>artifact 86 planning state</x:v>
      </x:c>
      <x:c r="E1222" s="21" t="n">
        <x:f>IF(AND('Artifact Ledger'!Q92="OPEN",'Artifact Ledger'!R92="HOLD"),1,0)</x:f>
        <x:v>1</x:v>
      </x:c>
      <x:c r="F1222" s="21" t="n">
        <x:v>1</x:v>
      </x:c>
      <x:c r="G1222" s="23" t="str">
        <x:f>IF(E1222=F1222,"PASS","FAIL")</x:f>
        <x:v>PASS</x:v>
      </x:c>
    </x:row>
    <x:row r="1223">
      <x:c r="B1223" s="21" t="str">
        <x:v>A01217</x:v>
      </x:c>
      <x:c r="C1223" s="21" t="str">
        <x:v>artifact</x:v>
      </x:c>
      <x:c r="D1223" s="21" t="str">
        <x:v>artifact 87 eligibility equation</x:v>
      </x:c>
      <x:c r="E1223" s="21" t="n">
        <x:f>IF(ABS('Artifact Ledger'!P93-IF(AND('Artifact Ledger'!L93=1,'Artifact Ledger'!M93=1,'Artifact Ledger'!N93=1,'Artifact Ledger'!O93&gt;='Artifact Ledger'!G93),'Artifact Ledger'!K93,0))&lt;0.000001,1,0)</x:f>
        <x:v>1</x:v>
      </x:c>
      <x:c r="F1223" s="21" t="n">
        <x:v>1</x:v>
      </x:c>
      <x:c r="G1223" s="23" t="str">
        <x:f>IF(E1223=F1223,"PASS","FAIL")</x:f>
        <x:v>PASS</x:v>
      </x:c>
    </x:row>
    <x:row r="1224">
      <x:c r="B1224" s="21" t="str">
        <x:v>A01218</x:v>
      </x:c>
      <x:c r="C1224" s="21" t="str">
        <x:v>artifact</x:v>
      </x:c>
      <x:c r="D1224" s="21" t="str">
        <x:v>artifact 87 planning state</x:v>
      </x:c>
      <x:c r="E1224" s="21" t="n">
        <x:f>IF(AND('Artifact Ledger'!Q93="OPEN",'Artifact Ledger'!R93="HOLD"),1,0)</x:f>
        <x:v>1</x:v>
      </x:c>
      <x:c r="F1224" s="21" t="n">
        <x:v>1</x:v>
      </x:c>
      <x:c r="G1224" s="23" t="str">
        <x:f>IF(E1224=F1224,"PASS","FAIL")</x:f>
        <x:v>PASS</x:v>
      </x:c>
    </x:row>
    <x:row r="1225">
      <x:c r="B1225" s="21" t="str">
        <x:v>A01219</x:v>
      </x:c>
      <x:c r="C1225" s="21" t="str">
        <x:v>artifact</x:v>
      </x:c>
      <x:c r="D1225" s="21" t="str">
        <x:v>artifact 88 eligibility equation</x:v>
      </x:c>
      <x:c r="E1225" s="21" t="n">
        <x:f>IF(ABS('Artifact Ledger'!P94-IF(AND('Artifact Ledger'!L94=1,'Artifact Ledger'!M94=1,'Artifact Ledger'!N94=1,'Artifact Ledger'!O94&gt;='Artifact Ledger'!G94),'Artifact Ledger'!K94,0))&lt;0.000001,1,0)</x:f>
        <x:v>1</x:v>
      </x:c>
      <x:c r="F1225" s="21" t="n">
        <x:v>1</x:v>
      </x:c>
      <x:c r="G1225" s="23" t="str">
        <x:f>IF(E1225=F1225,"PASS","FAIL")</x:f>
        <x:v>PASS</x:v>
      </x:c>
    </x:row>
    <x:row r="1226">
      <x:c r="B1226" s="21" t="str">
        <x:v>A01220</x:v>
      </x:c>
      <x:c r="C1226" s="21" t="str">
        <x:v>artifact</x:v>
      </x:c>
      <x:c r="D1226" s="21" t="str">
        <x:v>artifact 88 planning state</x:v>
      </x:c>
      <x:c r="E1226" s="21" t="n">
        <x:f>IF(AND('Artifact Ledger'!Q94="OPEN",'Artifact Ledger'!R94="HOLD"),1,0)</x:f>
        <x:v>1</x:v>
      </x:c>
      <x:c r="F1226" s="21" t="n">
        <x:v>1</x:v>
      </x:c>
      <x:c r="G1226" s="23" t="str">
        <x:f>IF(E1226=F1226,"PASS","FAIL")</x:f>
        <x:v>PASS</x:v>
      </x:c>
    </x:row>
    <x:row r="1227">
      <x:c r="B1227" s="21" t="str">
        <x:v>A01221</x:v>
      </x:c>
      <x:c r="C1227" s="21" t="str">
        <x:v>artifact</x:v>
      </x:c>
      <x:c r="D1227" s="21" t="str">
        <x:v>artifact 89 eligibility equation</x:v>
      </x:c>
      <x:c r="E1227" s="21" t="n">
        <x:f>IF(ABS('Artifact Ledger'!P95-IF(AND('Artifact Ledger'!L95=1,'Artifact Ledger'!M95=1,'Artifact Ledger'!N95=1,'Artifact Ledger'!O95&gt;='Artifact Ledger'!G95),'Artifact Ledger'!K95,0))&lt;0.000001,1,0)</x:f>
        <x:v>1</x:v>
      </x:c>
      <x:c r="F1227" s="21" t="n">
        <x:v>1</x:v>
      </x:c>
      <x:c r="G1227" s="23" t="str">
        <x:f>IF(E1227=F1227,"PASS","FAIL")</x:f>
        <x:v>PASS</x:v>
      </x:c>
    </x:row>
    <x:row r="1228">
      <x:c r="B1228" s="21" t="str">
        <x:v>A01222</x:v>
      </x:c>
      <x:c r="C1228" s="21" t="str">
        <x:v>artifact</x:v>
      </x:c>
      <x:c r="D1228" s="21" t="str">
        <x:v>artifact 89 planning state</x:v>
      </x:c>
      <x:c r="E1228" s="21" t="n">
        <x:f>IF(AND('Artifact Ledger'!Q95="OPEN",'Artifact Ledger'!R95="HOLD"),1,0)</x:f>
        <x:v>1</x:v>
      </x:c>
      <x:c r="F1228" s="21" t="n">
        <x:v>1</x:v>
      </x:c>
      <x:c r="G1228" s="23" t="str">
        <x:f>IF(E1228=F1228,"PASS","FAIL")</x:f>
        <x:v>PASS</x:v>
      </x:c>
    </x:row>
    <x:row r="1229">
      <x:c r="B1229" s="21" t="str">
        <x:v>A01223</x:v>
      </x:c>
      <x:c r="C1229" s="21" t="str">
        <x:v>artifact</x:v>
      </x:c>
      <x:c r="D1229" s="21" t="str">
        <x:v>artifact 90 eligibility equation</x:v>
      </x:c>
      <x:c r="E1229" s="21" t="n">
        <x:f>IF(ABS('Artifact Ledger'!P96-IF(AND('Artifact Ledger'!L96=1,'Artifact Ledger'!M96=1,'Artifact Ledger'!N96=1,'Artifact Ledger'!O96&gt;='Artifact Ledger'!G96),'Artifact Ledger'!K96,0))&lt;0.000001,1,0)</x:f>
        <x:v>1</x:v>
      </x:c>
      <x:c r="F1229" s="21" t="n">
        <x:v>1</x:v>
      </x:c>
      <x:c r="G1229" s="23" t="str">
        <x:f>IF(E1229=F1229,"PASS","FAIL")</x:f>
        <x:v>PASS</x:v>
      </x:c>
    </x:row>
    <x:row r="1230">
      <x:c r="B1230" s="21" t="str">
        <x:v>A01224</x:v>
      </x:c>
      <x:c r="C1230" s="21" t="str">
        <x:v>artifact</x:v>
      </x:c>
      <x:c r="D1230" s="21" t="str">
        <x:v>artifact 90 planning state</x:v>
      </x:c>
      <x:c r="E1230" s="21" t="n">
        <x:f>IF(AND('Artifact Ledger'!Q96="OPEN",'Artifact Ledger'!R96="HOLD"),1,0)</x:f>
        <x:v>1</x:v>
      </x:c>
      <x:c r="F1230" s="21" t="n">
        <x:v>1</x:v>
      </x:c>
      <x:c r="G1230" s="23" t="str">
        <x:f>IF(E1230=F1230,"PASS","FAIL")</x:f>
        <x:v>PASS</x:v>
      </x:c>
    </x:row>
    <x:row r="1231">
      <x:c r="B1231" s="21" t="str">
        <x:v>A01225</x:v>
      </x:c>
      <x:c r="C1231" s="21" t="str">
        <x:v>artifact</x:v>
      </x:c>
      <x:c r="D1231" s="21" t="str">
        <x:v>artifact 91 eligibility equation</x:v>
      </x:c>
      <x:c r="E1231" s="21" t="n">
        <x:f>IF(ABS('Artifact Ledger'!P97-IF(AND('Artifact Ledger'!L97=1,'Artifact Ledger'!M97=1,'Artifact Ledger'!N97=1,'Artifact Ledger'!O97&gt;='Artifact Ledger'!G97),'Artifact Ledger'!K97,0))&lt;0.000001,1,0)</x:f>
        <x:v>1</x:v>
      </x:c>
      <x:c r="F1231" s="21" t="n">
        <x:v>1</x:v>
      </x:c>
      <x:c r="G1231" s="23" t="str">
        <x:f>IF(E1231=F1231,"PASS","FAIL")</x:f>
        <x:v>PASS</x:v>
      </x:c>
    </x:row>
    <x:row r="1232">
      <x:c r="B1232" s="21" t="str">
        <x:v>A01226</x:v>
      </x:c>
      <x:c r="C1232" s="21" t="str">
        <x:v>artifact</x:v>
      </x:c>
      <x:c r="D1232" s="21" t="str">
        <x:v>artifact 91 planning state</x:v>
      </x:c>
      <x:c r="E1232" s="21" t="n">
        <x:f>IF(AND('Artifact Ledger'!Q97="OPEN",'Artifact Ledger'!R97="HOLD"),1,0)</x:f>
        <x:v>1</x:v>
      </x:c>
      <x:c r="F1232" s="21" t="n">
        <x:v>1</x:v>
      </x:c>
      <x:c r="G1232" s="23" t="str">
        <x:f>IF(E1232=F1232,"PASS","FAIL")</x:f>
        <x:v>PASS</x:v>
      </x:c>
    </x:row>
    <x:row r="1233">
      <x:c r="B1233" s="21" t="str">
        <x:v>A01227</x:v>
      </x:c>
      <x:c r="C1233" s="21" t="str">
        <x:v>artifact</x:v>
      </x:c>
      <x:c r="D1233" s="21" t="str">
        <x:v>artifact 92 eligibility equation</x:v>
      </x:c>
      <x:c r="E1233" s="21" t="n">
        <x:f>IF(ABS('Artifact Ledger'!P98-IF(AND('Artifact Ledger'!L98=1,'Artifact Ledger'!M98=1,'Artifact Ledger'!N98=1,'Artifact Ledger'!O98&gt;='Artifact Ledger'!G98),'Artifact Ledger'!K98,0))&lt;0.000001,1,0)</x:f>
        <x:v>1</x:v>
      </x:c>
      <x:c r="F1233" s="21" t="n">
        <x:v>1</x:v>
      </x:c>
      <x:c r="G1233" s="23" t="str">
        <x:f>IF(E1233=F1233,"PASS","FAIL")</x:f>
        <x:v>PASS</x:v>
      </x:c>
    </x:row>
    <x:row r="1234">
      <x:c r="B1234" s="21" t="str">
        <x:v>A01228</x:v>
      </x:c>
      <x:c r="C1234" s="21" t="str">
        <x:v>artifact</x:v>
      </x:c>
      <x:c r="D1234" s="21" t="str">
        <x:v>artifact 92 planning state</x:v>
      </x:c>
      <x:c r="E1234" s="21" t="n">
        <x:f>IF(AND('Artifact Ledger'!Q98="OPEN",'Artifact Ledger'!R98="HOLD"),1,0)</x:f>
        <x:v>1</x:v>
      </x:c>
      <x:c r="F1234" s="21" t="n">
        <x:v>1</x:v>
      </x:c>
      <x:c r="G1234" s="23" t="str">
        <x:f>IF(E1234=F1234,"PASS","FAIL")</x:f>
        <x:v>PASS</x:v>
      </x:c>
    </x:row>
    <x:row r="1235">
      <x:c r="B1235" s="21" t="str">
        <x:v>A01229</x:v>
      </x:c>
      <x:c r="C1235" s="21" t="str">
        <x:v>artifact</x:v>
      </x:c>
      <x:c r="D1235" s="21" t="str">
        <x:v>artifact 93 eligibility equation</x:v>
      </x:c>
      <x:c r="E1235" s="21" t="n">
        <x:f>IF(ABS('Artifact Ledger'!P99-IF(AND('Artifact Ledger'!L99=1,'Artifact Ledger'!M99=1,'Artifact Ledger'!N99=1,'Artifact Ledger'!O99&gt;='Artifact Ledger'!G99),'Artifact Ledger'!K99,0))&lt;0.000001,1,0)</x:f>
        <x:v>1</x:v>
      </x:c>
      <x:c r="F1235" s="21" t="n">
        <x:v>1</x:v>
      </x:c>
      <x:c r="G1235" s="23" t="str">
        <x:f>IF(E1235=F1235,"PASS","FAIL")</x:f>
        <x:v>PASS</x:v>
      </x:c>
    </x:row>
    <x:row r="1236">
      <x:c r="B1236" s="21" t="str">
        <x:v>A01230</x:v>
      </x:c>
      <x:c r="C1236" s="21" t="str">
        <x:v>artifact</x:v>
      </x:c>
      <x:c r="D1236" s="21" t="str">
        <x:v>artifact 93 planning state</x:v>
      </x:c>
      <x:c r="E1236" s="21" t="n">
        <x:f>IF(AND('Artifact Ledger'!Q99="OPEN",'Artifact Ledger'!R99="HOLD"),1,0)</x:f>
        <x:v>1</x:v>
      </x:c>
      <x:c r="F1236" s="21" t="n">
        <x:v>1</x:v>
      </x:c>
      <x:c r="G1236" s="23" t="str">
        <x:f>IF(E1236=F1236,"PASS","FAIL")</x:f>
        <x:v>PASS</x:v>
      </x:c>
    </x:row>
    <x:row r="1237">
      <x:c r="B1237" s="21" t="str">
        <x:v>A01231</x:v>
      </x:c>
      <x:c r="C1237" s="21" t="str">
        <x:v>artifact</x:v>
      </x:c>
      <x:c r="D1237" s="21" t="str">
        <x:v>artifact 94 eligibility equation</x:v>
      </x:c>
      <x:c r="E1237" s="21" t="n">
        <x:f>IF(ABS('Artifact Ledger'!P100-IF(AND('Artifact Ledger'!L100=1,'Artifact Ledger'!M100=1,'Artifact Ledger'!N100=1,'Artifact Ledger'!O100&gt;='Artifact Ledger'!G100),'Artifact Ledger'!K100,0))&lt;0.000001,1,0)</x:f>
        <x:v>1</x:v>
      </x:c>
      <x:c r="F1237" s="21" t="n">
        <x:v>1</x:v>
      </x:c>
      <x:c r="G1237" s="23" t="str">
        <x:f>IF(E1237=F1237,"PASS","FAIL")</x:f>
        <x:v>PASS</x:v>
      </x:c>
    </x:row>
    <x:row r="1238">
      <x:c r="B1238" s="21" t="str">
        <x:v>A01232</x:v>
      </x:c>
      <x:c r="C1238" s="21" t="str">
        <x:v>artifact</x:v>
      </x:c>
      <x:c r="D1238" s="21" t="str">
        <x:v>artifact 94 planning state</x:v>
      </x:c>
      <x:c r="E1238" s="21" t="n">
        <x:f>IF(AND('Artifact Ledger'!Q100="OPEN",'Artifact Ledger'!R100="HOLD"),1,0)</x:f>
        <x:v>1</x:v>
      </x:c>
      <x:c r="F1238" s="21" t="n">
        <x:v>1</x:v>
      </x:c>
      <x:c r="G1238" s="23" t="str">
        <x:f>IF(E1238=F1238,"PASS","FAIL")</x:f>
        <x:v>PASS</x:v>
      </x:c>
    </x:row>
    <x:row r="1239">
      <x:c r="B1239" s="21" t="str">
        <x:v>A01233</x:v>
      </x:c>
      <x:c r="C1239" s="21" t="str">
        <x:v>artifact</x:v>
      </x:c>
      <x:c r="D1239" s="21" t="str">
        <x:v>artifact 95 eligibility equation</x:v>
      </x:c>
      <x:c r="E1239" s="21" t="n">
        <x:f>IF(ABS('Artifact Ledger'!P101-IF(AND('Artifact Ledger'!L101=1,'Artifact Ledger'!M101=1,'Artifact Ledger'!N101=1,'Artifact Ledger'!O101&gt;='Artifact Ledger'!G101),'Artifact Ledger'!K101,0))&lt;0.000001,1,0)</x:f>
        <x:v>1</x:v>
      </x:c>
      <x:c r="F1239" s="21" t="n">
        <x:v>1</x:v>
      </x:c>
      <x:c r="G1239" s="23" t="str">
        <x:f>IF(E1239=F1239,"PASS","FAIL")</x:f>
        <x:v>PASS</x:v>
      </x:c>
    </x:row>
    <x:row r="1240">
      <x:c r="B1240" s="21" t="str">
        <x:v>A01234</x:v>
      </x:c>
      <x:c r="C1240" s="21" t="str">
        <x:v>artifact</x:v>
      </x:c>
      <x:c r="D1240" s="21" t="str">
        <x:v>artifact 95 planning state</x:v>
      </x:c>
      <x:c r="E1240" s="21" t="n">
        <x:f>IF(AND('Artifact Ledger'!Q101="OPEN",'Artifact Ledger'!R101="HOLD"),1,0)</x:f>
        <x:v>1</x:v>
      </x:c>
      <x:c r="F1240" s="21" t="n">
        <x:v>1</x:v>
      </x:c>
      <x:c r="G1240" s="23" t="str">
        <x:f>IF(E1240=F1240,"PASS","FAIL")</x:f>
        <x:v>PASS</x:v>
      </x:c>
    </x:row>
    <x:row r="1241">
      <x:c r="B1241" s="21" t="str">
        <x:v>A01235</x:v>
      </x:c>
      <x:c r="C1241" s="21" t="str">
        <x:v>artifact</x:v>
      </x:c>
      <x:c r="D1241" s="21" t="str">
        <x:v>artifact 96 eligibility equation</x:v>
      </x:c>
      <x:c r="E1241" s="21" t="n">
        <x:f>IF(ABS('Artifact Ledger'!P102-IF(AND('Artifact Ledger'!L102=1,'Artifact Ledger'!M102=1,'Artifact Ledger'!N102=1,'Artifact Ledger'!O102&gt;='Artifact Ledger'!G102),'Artifact Ledger'!K102,0))&lt;0.000001,1,0)</x:f>
        <x:v>1</x:v>
      </x:c>
      <x:c r="F1241" s="21" t="n">
        <x:v>1</x:v>
      </x:c>
      <x:c r="G1241" s="23" t="str">
        <x:f>IF(E1241=F1241,"PASS","FAIL")</x:f>
        <x:v>PASS</x:v>
      </x:c>
    </x:row>
    <x:row r="1242">
      <x:c r="B1242" s="21" t="str">
        <x:v>A01236</x:v>
      </x:c>
      <x:c r="C1242" s="21" t="str">
        <x:v>artifact</x:v>
      </x:c>
      <x:c r="D1242" s="21" t="str">
        <x:v>artifact 96 planning state</x:v>
      </x:c>
      <x:c r="E1242" s="21" t="n">
        <x:f>IF(AND('Artifact Ledger'!Q102="OPEN",'Artifact Ledger'!R102="HOLD"),1,0)</x:f>
        <x:v>1</x:v>
      </x:c>
      <x:c r="F1242" s="21" t="n">
        <x:v>1</x:v>
      </x:c>
      <x:c r="G1242" s="23" t="str">
        <x:f>IF(E1242=F1242,"PASS","FAIL")</x:f>
        <x:v>PASS</x:v>
      </x:c>
    </x:row>
    <x:row r="1243">
      <x:c r="B1243" s="21" t="str">
        <x:v>A01237</x:v>
      </x:c>
      <x:c r="C1243" s="21" t="str">
        <x:v>artifact</x:v>
      </x:c>
      <x:c r="D1243" s="21" t="str">
        <x:v>artifact 97 eligibility equation</x:v>
      </x:c>
      <x:c r="E1243" s="21" t="n">
        <x:f>IF(ABS('Artifact Ledger'!P103-IF(AND('Artifact Ledger'!L103=1,'Artifact Ledger'!M103=1,'Artifact Ledger'!N103=1,'Artifact Ledger'!O103&gt;='Artifact Ledger'!G103),'Artifact Ledger'!K103,0))&lt;0.000001,1,0)</x:f>
        <x:v>1</x:v>
      </x:c>
      <x:c r="F1243" s="21" t="n">
        <x:v>1</x:v>
      </x:c>
      <x:c r="G1243" s="23" t="str">
        <x:f>IF(E1243=F1243,"PASS","FAIL")</x:f>
        <x:v>PASS</x:v>
      </x:c>
    </x:row>
    <x:row r="1244">
      <x:c r="B1244" s="21" t="str">
        <x:v>A01238</x:v>
      </x:c>
      <x:c r="C1244" s="21" t="str">
        <x:v>artifact</x:v>
      </x:c>
      <x:c r="D1244" s="21" t="str">
        <x:v>artifact 97 planning state</x:v>
      </x:c>
      <x:c r="E1244" s="21" t="n">
        <x:f>IF(AND('Artifact Ledger'!Q103="OPEN",'Artifact Ledger'!R103="HOLD"),1,0)</x:f>
        <x:v>1</x:v>
      </x:c>
      <x:c r="F1244" s="21" t="n">
        <x:v>1</x:v>
      </x:c>
      <x:c r="G1244" s="23" t="str">
        <x:f>IF(E1244=F1244,"PASS","FAIL")</x:f>
        <x:v>PASS</x:v>
      </x:c>
    </x:row>
    <x:row r="1245">
      <x:c r="B1245" s="21" t="str">
        <x:v>A01239</x:v>
      </x:c>
      <x:c r="C1245" s="21" t="str">
        <x:v>artifact</x:v>
      </x:c>
      <x:c r="D1245" s="21" t="str">
        <x:v>artifact 98 eligibility equation</x:v>
      </x:c>
      <x:c r="E1245" s="21" t="n">
        <x:f>IF(ABS('Artifact Ledger'!P104-IF(AND('Artifact Ledger'!L104=1,'Artifact Ledger'!M104=1,'Artifact Ledger'!N104=1,'Artifact Ledger'!O104&gt;='Artifact Ledger'!G104),'Artifact Ledger'!K104,0))&lt;0.000001,1,0)</x:f>
        <x:v>1</x:v>
      </x:c>
      <x:c r="F1245" s="21" t="n">
        <x:v>1</x:v>
      </x:c>
      <x:c r="G1245" s="23" t="str">
        <x:f>IF(E1245=F1245,"PASS","FAIL")</x:f>
        <x:v>PASS</x:v>
      </x:c>
    </x:row>
    <x:row r="1246">
      <x:c r="B1246" s="21" t="str">
        <x:v>A01240</x:v>
      </x:c>
      <x:c r="C1246" s="21" t="str">
        <x:v>artifact</x:v>
      </x:c>
      <x:c r="D1246" s="21" t="str">
        <x:v>artifact 98 planning state</x:v>
      </x:c>
      <x:c r="E1246" s="21" t="n">
        <x:f>IF(AND('Artifact Ledger'!Q104="OPEN",'Artifact Ledger'!R104="HOLD"),1,0)</x:f>
        <x:v>1</x:v>
      </x:c>
      <x:c r="F1246" s="21" t="n">
        <x:v>1</x:v>
      </x:c>
      <x:c r="G1246" s="23" t="str">
        <x:f>IF(E1246=F1246,"PASS","FAIL")</x:f>
        <x:v>PASS</x:v>
      </x:c>
    </x:row>
    <x:row r="1247">
      <x:c r="B1247" s="21" t="str">
        <x:v>A01241</x:v>
      </x:c>
      <x:c r="C1247" s="21" t="str">
        <x:v>artifact</x:v>
      </x:c>
      <x:c r="D1247" s="21" t="str">
        <x:v>artifact 99 eligibility equation</x:v>
      </x:c>
      <x:c r="E1247" s="21" t="n">
        <x:f>IF(ABS('Artifact Ledger'!P105-IF(AND('Artifact Ledger'!L105=1,'Artifact Ledger'!M105=1,'Artifact Ledger'!N105=1,'Artifact Ledger'!O105&gt;='Artifact Ledger'!G105),'Artifact Ledger'!K105,0))&lt;0.000001,1,0)</x:f>
        <x:v>1</x:v>
      </x:c>
      <x:c r="F1247" s="21" t="n">
        <x:v>1</x:v>
      </x:c>
      <x:c r="G1247" s="23" t="str">
        <x:f>IF(E1247=F1247,"PASS","FAIL")</x:f>
        <x:v>PASS</x:v>
      </x:c>
    </x:row>
    <x:row r="1248">
      <x:c r="B1248" s="21" t="str">
        <x:v>A01242</x:v>
      </x:c>
      <x:c r="C1248" s="21" t="str">
        <x:v>artifact</x:v>
      </x:c>
      <x:c r="D1248" s="21" t="str">
        <x:v>artifact 99 planning state</x:v>
      </x:c>
      <x:c r="E1248" s="21" t="n">
        <x:f>IF(AND('Artifact Ledger'!Q105="OPEN",'Artifact Ledger'!R105="HOLD"),1,0)</x:f>
        <x:v>1</x:v>
      </x:c>
      <x:c r="F1248" s="21" t="n">
        <x:v>1</x:v>
      </x:c>
      <x:c r="G1248" s="23" t="str">
        <x:f>IF(E1248=F1248,"PASS","FAIL")</x:f>
        <x:v>PASS</x:v>
      </x:c>
    </x:row>
    <x:row r="1249">
      <x:c r="B1249" s="21" t="str">
        <x:v>A01243</x:v>
      </x:c>
      <x:c r="C1249" s="21" t="str">
        <x:v>artifact</x:v>
      </x:c>
      <x:c r="D1249" s="21" t="str">
        <x:v>artifact 100 eligibility equation</x:v>
      </x:c>
      <x:c r="E1249" s="21" t="n">
        <x:f>IF(ABS('Artifact Ledger'!P106-IF(AND('Artifact Ledger'!L106=1,'Artifact Ledger'!M106=1,'Artifact Ledger'!N106=1,'Artifact Ledger'!O106&gt;='Artifact Ledger'!G106),'Artifact Ledger'!K106,0))&lt;0.000001,1,0)</x:f>
        <x:v>1</x:v>
      </x:c>
      <x:c r="F1249" s="21" t="n">
        <x:v>1</x:v>
      </x:c>
      <x:c r="G1249" s="23" t="str">
        <x:f>IF(E1249=F1249,"PASS","FAIL")</x:f>
        <x:v>PASS</x:v>
      </x:c>
    </x:row>
    <x:row r="1250">
      <x:c r="B1250" s="21" t="str">
        <x:v>A01244</x:v>
      </x:c>
      <x:c r="C1250" s="21" t="str">
        <x:v>artifact</x:v>
      </x:c>
      <x:c r="D1250" s="21" t="str">
        <x:v>artifact 100 planning state</x:v>
      </x:c>
      <x:c r="E1250" s="21" t="n">
        <x:f>IF(AND('Artifact Ledger'!Q106="OPEN",'Artifact Ledger'!R106="HOLD"),1,0)</x:f>
        <x:v>1</x:v>
      </x:c>
      <x:c r="F1250" s="21" t="n">
        <x:v>1</x:v>
      </x:c>
      <x:c r="G1250" s="23" t="str">
        <x:f>IF(E1250=F1250,"PASS","FAIL")</x:f>
        <x:v>PASS</x:v>
      </x:c>
    </x:row>
    <x:row r="1251">
      <x:c r="B1251" s="21" t="str">
        <x:v>A01245</x:v>
      </x:c>
      <x:c r="C1251" s="21" t="str">
        <x:v>artifact</x:v>
      </x:c>
      <x:c r="D1251" s="21" t="str">
        <x:v>artifact 101 eligibility equation</x:v>
      </x:c>
      <x:c r="E1251" s="21" t="n">
        <x:f>IF(ABS('Artifact Ledger'!P107-IF(AND('Artifact Ledger'!L107=1,'Artifact Ledger'!M107=1,'Artifact Ledger'!N107=1,'Artifact Ledger'!O107&gt;='Artifact Ledger'!G107),'Artifact Ledger'!K107,0))&lt;0.000001,1,0)</x:f>
        <x:v>1</x:v>
      </x:c>
      <x:c r="F1251" s="21" t="n">
        <x:v>1</x:v>
      </x:c>
      <x:c r="G1251" s="23" t="str">
        <x:f>IF(E1251=F1251,"PASS","FAIL")</x:f>
        <x:v>PASS</x:v>
      </x:c>
    </x:row>
    <x:row r="1252">
      <x:c r="B1252" s="21" t="str">
        <x:v>A01246</x:v>
      </x:c>
      <x:c r="C1252" s="21" t="str">
        <x:v>artifact</x:v>
      </x:c>
      <x:c r="D1252" s="21" t="str">
        <x:v>artifact 101 planning state</x:v>
      </x:c>
      <x:c r="E1252" s="21" t="n">
        <x:f>IF(AND('Artifact Ledger'!Q107="OPEN",'Artifact Ledger'!R107="HOLD"),1,0)</x:f>
        <x:v>1</x:v>
      </x:c>
      <x:c r="F1252" s="21" t="n">
        <x:v>1</x:v>
      </x:c>
      <x:c r="G1252" s="23" t="str">
        <x:f>IF(E1252=F1252,"PASS","FAIL")</x:f>
        <x:v>PASS</x:v>
      </x:c>
    </x:row>
    <x:row r="1253">
      <x:c r="B1253" s="21" t="str">
        <x:v>A01247</x:v>
      </x:c>
      <x:c r="C1253" s="21" t="str">
        <x:v>artifact</x:v>
      </x:c>
      <x:c r="D1253" s="21" t="str">
        <x:v>artifact 102 eligibility equation</x:v>
      </x:c>
      <x:c r="E1253" s="21" t="n">
        <x:f>IF(ABS('Artifact Ledger'!P108-IF(AND('Artifact Ledger'!L108=1,'Artifact Ledger'!M108=1,'Artifact Ledger'!N108=1,'Artifact Ledger'!O108&gt;='Artifact Ledger'!G108),'Artifact Ledger'!K108,0))&lt;0.000001,1,0)</x:f>
        <x:v>1</x:v>
      </x:c>
      <x:c r="F1253" s="21" t="n">
        <x:v>1</x:v>
      </x:c>
      <x:c r="G1253" s="23" t="str">
        <x:f>IF(E1253=F1253,"PASS","FAIL")</x:f>
        <x:v>PASS</x:v>
      </x:c>
    </x:row>
    <x:row r="1254">
      <x:c r="B1254" s="21" t="str">
        <x:v>A01248</x:v>
      </x:c>
      <x:c r="C1254" s="21" t="str">
        <x:v>artifact</x:v>
      </x:c>
      <x:c r="D1254" s="21" t="str">
        <x:v>artifact 102 planning state</x:v>
      </x:c>
      <x:c r="E1254" s="21" t="n">
        <x:f>IF(AND('Artifact Ledger'!Q108="OPEN",'Artifact Ledger'!R108="HOLD"),1,0)</x:f>
        <x:v>1</x:v>
      </x:c>
      <x:c r="F1254" s="21" t="n">
        <x:v>1</x:v>
      </x:c>
      <x:c r="G1254" s="23" t="str">
        <x:f>IF(E1254=F1254,"PASS","FAIL")</x:f>
        <x:v>PASS</x:v>
      </x:c>
    </x:row>
    <x:row r="1255">
      <x:c r="B1255" s="21" t="str">
        <x:v>A01249</x:v>
      </x:c>
      <x:c r="C1255" s="21" t="str">
        <x:v>artifact</x:v>
      </x:c>
      <x:c r="D1255" s="21" t="str">
        <x:v>artifact 103 eligibility equation</x:v>
      </x:c>
      <x:c r="E1255" s="21" t="n">
        <x:f>IF(ABS('Artifact Ledger'!P109-IF(AND('Artifact Ledger'!L109=1,'Artifact Ledger'!M109=1,'Artifact Ledger'!N109=1,'Artifact Ledger'!O109&gt;='Artifact Ledger'!G109),'Artifact Ledger'!K109,0))&lt;0.000001,1,0)</x:f>
        <x:v>1</x:v>
      </x:c>
      <x:c r="F1255" s="21" t="n">
        <x:v>1</x:v>
      </x:c>
      <x:c r="G1255" s="23" t="str">
        <x:f>IF(E1255=F1255,"PASS","FAIL")</x:f>
        <x:v>PASS</x:v>
      </x:c>
    </x:row>
    <x:row r="1256">
      <x:c r="B1256" s="21" t="str">
        <x:v>A01250</x:v>
      </x:c>
      <x:c r="C1256" s="21" t="str">
        <x:v>artifact</x:v>
      </x:c>
      <x:c r="D1256" s="21" t="str">
        <x:v>artifact 103 planning state</x:v>
      </x:c>
      <x:c r="E1256" s="21" t="n">
        <x:f>IF(AND('Artifact Ledger'!Q109="OPEN",'Artifact Ledger'!R109="HOLD"),1,0)</x:f>
        <x:v>1</x:v>
      </x:c>
      <x:c r="F1256" s="21" t="n">
        <x:v>1</x:v>
      </x:c>
      <x:c r="G1256" s="23" t="str">
        <x:f>IF(E1256=F1256,"PASS","FAIL")</x:f>
        <x:v>PASS</x:v>
      </x:c>
    </x:row>
    <x:row r="1257">
      <x:c r="B1257" s="21" t="str">
        <x:v>A01251</x:v>
      </x:c>
      <x:c r="C1257" s="21" t="str">
        <x:v>artifact</x:v>
      </x:c>
      <x:c r="D1257" s="21" t="str">
        <x:v>artifact 104 eligibility equation</x:v>
      </x:c>
      <x:c r="E1257" s="21" t="n">
        <x:f>IF(ABS('Artifact Ledger'!P110-IF(AND('Artifact Ledger'!L110=1,'Artifact Ledger'!M110=1,'Artifact Ledger'!N110=1,'Artifact Ledger'!O110&gt;='Artifact Ledger'!G110),'Artifact Ledger'!K110,0))&lt;0.000001,1,0)</x:f>
        <x:v>1</x:v>
      </x:c>
      <x:c r="F1257" s="21" t="n">
        <x:v>1</x:v>
      </x:c>
      <x:c r="G1257" s="23" t="str">
        <x:f>IF(E1257=F1257,"PASS","FAIL")</x:f>
        <x:v>PASS</x:v>
      </x:c>
    </x:row>
    <x:row r="1258">
      <x:c r="B1258" s="21" t="str">
        <x:v>A01252</x:v>
      </x:c>
      <x:c r="C1258" s="21" t="str">
        <x:v>artifact</x:v>
      </x:c>
      <x:c r="D1258" s="21" t="str">
        <x:v>artifact 104 planning state</x:v>
      </x:c>
      <x:c r="E1258" s="21" t="n">
        <x:f>IF(AND('Artifact Ledger'!Q110="OPEN",'Artifact Ledger'!R110="HOLD"),1,0)</x:f>
        <x:v>1</x:v>
      </x:c>
      <x:c r="F1258" s="21" t="n">
        <x:v>1</x:v>
      </x:c>
      <x:c r="G1258" s="23" t="str">
        <x:f>IF(E1258=F1258,"PASS","FAIL")</x:f>
        <x:v>PASS</x:v>
      </x:c>
    </x:row>
    <x:row r="1259">
      <x:c r="B1259" s="21" t="str">
        <x:v>A01253</x:v>
      </x:c>
      <x:c r="C1259" s="21" t="str">
        <x:v>artifact</x:v>
      </x:c>
      <x:c r="D1259" s="21" t="str">
        <x:v>artifact 105 eligibility equation</x:v>
      </x:c>
      <x:c r="E1259" s="21" t="n">
        <x:f>IF(ABS('Artifact Ledger'!P111-IF(AND('Artifact Ledger'!L111=1,'Artifact Ledger'!M111=1,'Artifact Ledger'!N111=1,'Artifact Ledger'!O111&gt;='Artifact Ledger'!G111),'Artifact Ledger'!K111,0))&lt;0.000001,1,0)</x:f>
        <x:v>1</x:v>
      </x:c>
      <x:c r="F1259" s="21" t="n">
        <x:v>1</x:v>
      </x:c>
      <x:c r="G1259" s="23" t="str">
        <x:f>IF(E1259=F1259,"PASS","FAIL")</x:f>
        <x:v>PASS</x:v>
      </x:c>
    </x:row>
    <x:row r="1260">
      <x:c r="B1260" s="21" t="str">
        <x:v>A01254</x:v>
      </x:c>
      <x:c r="C1260" s="21" t="str">
        <x:v>artifact</x:v>
      </x:c>
      <x:c r="D1260" s="21" t="str">
        <x:v>artifact 105 planning state</x:v>
      </x:c>
      <x:c r="E1260" s="21" t="n">
        <x:f>IF(AND('Artifact Ledger'!Q111="OPEN",'Artifact Ledger'!R111="HOLD"),1,0)</x:f>
        <x:v>1</x:v>
      </x:c>
      <x:c r="F1260" s="21" t="n">
        <x:v>1</x:v>
      </x:c>
      <x:c r="G1260" s="23" t="str">
        <x:f>IF(E1260=F1260,"PASS","FAIL")</x:f>
        <x:v>PASS</x:v>
      </x:c>
    </x:row>
    <x:row r="1261">
      <x:c r="B1261" s="21" t="str">
        <x:v>A01255</x:v>
      </x:c>
      <x:c r="C1261" s="21" t="str">
        <x:v>artifact</x:v>
      </x:c>
      <x:c r="D1261" s="21" t="str">
        <x:v>artifact 106 eligibility equation</x:v>
      </x:c>
      <x:c r="E1261" s="21" t="n">
        <x:f>IF(ABS('Artifact Ledger'!P112-IF(AND('Artifact Ledger'!L112=1,'Artifact Ledger'!M112=1,'Artifact Ledger'!N112=1,'Artifact Ledger'!O112&gt;='Artifact Ledger'!G112),'Artifact Ledger'!K112,0))&lt;0.000001,1,0)</x:f>
        <x:v>1</x:v>
      </x:c>
      <x:c r="F1261" s="21" t="n">
        <x:v>1</x:v>
      </x:c>
      <x:c r="G1261" s="23" t="str">
        <x:f>IF(E1261=F1261,"PASS","FAIL")</x:f>
        <x:v>PASS</x:v>
      </x:c>
    </x:row>
    <x:row r="1262">
      <x:c r="B1262" s="21" t="str">
        <x:v>A01256</x:v>
      </x:c>
      <x:c r="C1262" s="21" t="str">
        <x:v>artifact</x:v>
      </x:c>
      <x:c r="D1262" s="21" t="str">
        <x:v>artifact 106 planning state</x:v>
      </x:c>
      <x:c r="E1262" s="21" t="n">
        <x:f>IF(AND('Artifact Ledger'!Q112="OPEN",'Artifact Ledger'!R112="HOLD"),1,0)</x:f>
        <x:v>1</x:v>
      </x:c>
      <x:c r="F1262" s="21" t="n">
        <x:v>1</x:v>
      </x:c>
      <x:c r="G1262" s="23" t="str">
        <x:f>IF(E1262=F1262,"PASS","FAIL")</x:f>
        <x:v>PASS</x:v>
      </x:c>
    </x:row>
    <x:row r="1263">
      <x:c r="B1263" s="21" t="str">
        <x:v>A01257</x:v>
      </x:c>
      <x:c r="C1263" s="21" t="str">
        <x:v>artifact</x:v>
      </x:c>
      <x:c r="D1263" s="21" t="str">
        <x:v>artifact 107 eligibility equation</x:v>
      </x:c>
      <x:c r="E1263" s="21" t="n">
        <x:f>IF(ABS('Artifact Ledger'!P113-IF(AND('Artifact Ledger'!L113=1,'Artifact Ledger'!M113=1,'Artifact Ledger'!N113=1,'Artifact Ledger'!O113&gt;='Artifact Ledger'!G113),'Artifact Ledger'!K113,0))&lt;0.000001,1,0)</x:f>
        <x:v>1</x:v>
      </x:c>
      <x:c r="F1263" s="21" t="n">
        <x:v>1</x:v>
      </x:c>
      <x:c r="G1263" s="23" t="str">
        <x:f>IF(E1263=F1263,"PASS","FAIL")</x:f>
        <x:v>PASS</x:v>
      </x:c>
    </x:row>
    <x:row r="1264">
      <x:c r="B1264" s="21" t="str">
        <x:v>A01258</x:v>
      </x:c>
      <x:c r="C1264" s="21" t="str">
        <x:v>artifact</x:v>
      </x:c>
      <x:c r="D1264" s="21" t="str">
        <x:v>artifact 107 planning state</x:v>
      </x:c>
      <x:c r="E1264" s="21" t="n">
        <x:f>IF(AND('Artifact Ledger'!Q113="OPEN",'Artifact Ledger'!R113="HOLD"),1,0)</x:f>
        <x:v>1</x:v>
      </x:c>
      <x:c r="F1264" s="21" t="n">
        <x:v>1</x:v>
      </x:c>
      <x:c r="G1264" s="23" t="str">
        <x:f>IF(E1264=F1264,"PASS","FAIL")</x:f>
        <x:v>PASS</x:v>
      </x:c>
    </x:row>
    <x:row r="1265">
      <x:c r="B1265" s="21" t="str">
        <x:v>A01259</x:v>
      </x:c>
      <x:c r="C1265" s="21" t="str">
        <x:v>artifact</x:v>
      </x:c>
      <x:c r="D1265" s="21" t="str">
        <x:v>artifact 108 eligibility equation</x:v>
      </x:c>
      <x:c r="E1265" s="21" t="n">
        <x:f>IF(ABS('Artifact Ledger'!P114-IF(AND('Artifact Ledger'!L114=1,'Artifact Ledger'!M114=1,'Artifact Ledger'!N114=1,'Artifact Ledger'!O114&gt;='Artifact Ledger'!G114),'Artifact Ledger'!K114,0))&lt;0.000001,1,0)</x:f>
        <x:v>1</x:v>
      </x:c>
      <x:c r="F1265" s="21" t="n">
        <x:v>1</x:v>
      </x:c>
      <x:c r="G1265" s="23" t="str">
        <x:f>IF(E1265=F1265,"PASS","FAIL")</x:f>
        <x:v>PASS</x:v>
      </x:c>
    </x:row>
    <x:row r="1266">
      <x:c r="B1266" s="21" t="str">
        <x:v>A01260</x:v>
      </x:c>
      <x:c r="C1266" s="21" t="str">
        <x:v>artifact</x:v>
      </x:c>
      <x:c r="D1266" s="21" t="str">
        <x:v>artifact 108 planning state</x:v>
      </x:c>
      <x:c r="E1266" s="21" t="n">
        <x:f>IF(AND('Artifact Ledger'!Q114="OPEN",'Artifact Ledger'!R114="HOLD"),1,0)</x:f>
        <x:v>1</x:v>
      </x:c>
      <x:c r="F1266" s="21" t="n">
        <x:v>1</x:v>
      </x:c>
      <x:c r="G1266" s="23" t="str">
        <x:f>IF(E1266=F1266,"PASS","FAIL")</x:f>
        <x:v>PASS</x:v>
      </x:c>
    </x:row>
    <x:row r="1267">
      <x:c r="B1267" s="21" t="str">
        <x:v>A01261</x:v>
      </x:c>
      <x:c r="C1267" s="21" t="str">
        <x:v>artifact</x:v>
      </x:c>
      <x:c r="D1267" s="21" t="str">
        <x:v>artifact 109 eligibility equation</x:v>
      </x:c>
      <x:c r="E1267" s="21" t="n">
        <x:f>IF(ABS('Artifact Ledger'!P115-IF(AND('Artifact Ledger'!L115=1,'Artifact Ledger'!M115=1,'Artifact Ledger'!N115=1,'Artifact Ledger'!O115&gt;='Artifact Ledger'!G115),'Artifact Ledger'!K115,0))&lt;0.000001,1,0)</x:f>
        <x:v>1</x:v>
      </x:c>
      <x:c r="F1267" s="21" t="n">
        <x:v>1</x:v>
      </x:c>
      <x:c r="G1267" s="23" t="str">
        <x:f>IF(E1267=F1267,"PASS","FAIL")</x:f>
        <x:v>PASS</x:v>
      </x:c>
    </x:row>
    <x:row r="1268">
      <x:c r="B1268" s="21" t="str">
        <x:v>A01262</x:v>
      </x:c>
      <x:c r="C1268" s="21" t="str">
        <x:v>artifact</x:v>
      </x:c>
      <x:c r="D1268" s="21" t="str">
        <x:v>artifact 109 planning state</x:v>
      </x:c>
      <x:c r="E1268" s="21" t="n">
        <x:f>IF(AND('Artifact Ledger'!Q115="OPEN",'Artifact Ledger'!R115="HOLD"),1,0)</x:f>
        <x:v>1</x:v>
      </x:c>
      <x:c r="F1268" s="21" t="n">
        <x:v>1</x:v>
      </x:c>
      <x:c r="G1268" s="23" t="str">
        <x:f>IF(E1268=F1268,"PASS","FAIL")</x:f>
        <x:v>PASS</x:v>
      </x:c>
    </x:row>
    <x:row r="1269">
      <x:c r="B1269" s="21" t="str">
        <x:v>A01263</x:v>
      </x:c>
      <x:c r="C1269" s="21" t="str">
        <x:v>artifact</x:v>
      </x:c>
      <x:c r="D1269" s="21" t="str">
        <x:v>artifact 110 eligibility equation</x:v>
      </x:c>
      <x:c r="E1269" s="21" t="n">
        <x:f>IF(ABS('Artifact Ledger'!P116-IF(AND('Artifact Ledger'!L116=1,'Artifact Ledger'!M116=1,'Artifact Ledger'!N116=1,'Artifact Ledger'!O116&gt;='Artifact Ledger'!G116),'Artifact Ledger'!K116,0))&lt;0.000001,1,0)</x:f>
        <x:v>1</x:v>
      </x:c>
      <x:c r="F1269" s="21" t="n">
        <x:v>1</x:v>
      </x:c>
      <x:c r="G1269" s="23" t="str">
        <x:f>IF(E1269=F1269,"PASS","FAIL")</x:f>
        <x:v>PASS</x:v>
      </x:c>
    </x:row>
    <x:row r="1270">
      <x:c r="B1270" s="21" t="str">
        <x:v>A01264</x:v>
      </x:c>
      <x:c r="C1270" s="21" t="str">
        <x:v>artifact</x:v>
      </x:c>
      <x:c r="D1270" s="21" t="str">
        <x:v>artifact 110 planning state</x:v>
      </x:c>
      <x:c r="E1270" s="21" t="n">
        <x:f>IF(AND('Artifact Ledger'!Q116="OPEN",'Artifact Ledger'!R116="HOLD"),1,0)</x:f>
        <x:v>1</x:v>
      </x:c>
      <x:c r="F1270" s="21" t="n">
        <x:v>1</x:v>
      </x:c>
      <x:c r="G1270" s="23" t="str">
        <x:f>IF(E1270=F1270,"PASS","FAIL")</x:f>
        <x:v>PASS</x:v>
      </x:c>
    </x:row>
    <x:row r="1271">
      <x:c r="B1271" s="21" t="str">
        <x:v>A01265</x:v>
      </x:c>
      <x:c r="C1271" s="21" t="str">
        <x:v>artifact</x:v>
      </x:c>
      <x:c r="D1271" s="21" t="str">
        <x:v>artifact 111 eligibility equation</x:v>
      </x:c>
      <x:c r="E1271" s="21" t="n">
        <x:f>IF(ABS('Artifact Ledger'!P117-IF(AND('Artifact Ledger'!L117=1,'Artifact Ledger'!M117=1,'Artifact Ledger'!N117=1,'Artifact Ledger'!O117&gt;='Artifact Ledger'!G117),'Artifact Ledger'!K117,0))&lt;0.000001,1,0)</x:f>
        <x:v>1</x:v>
      </x:c>
      <x:c r="F1271" s="21" t="n">
        <x:v>1</x:v>
      </x:c>
      <x:c r="G1271" s="23" t="str">
        <x:f>IF(E1271=F1271,"PASS","FAIL")</x:f>
        <x:v>PASS</x:v>
      </x:c>
    </x:row>
    <x:row r="1272">
      <x:c r="B1272" s="21" t="str">
        <x:v>A01266</x:v>
      </x:c>
      <x:c r="C1272" s="21" t="str">
        <x:v>artifact</x:v>
      </x:c>
      <x:c r="D1272" s="21" t="str">
        <x:v>artifact 111 planning state</x:v>
      </x:c>
      <x:c r="E1272" s="21" t="n">
        <x:f>IF(AND('Artifact Ledger'!Q117="OPEN",'Artifact Ledger'!R117="HOLD"),1,0)</x:f>
        <x:v>1</x:v>
      </x:c>
      <x:c r="F1272" s="21" t="n">
        <x:v>1</x:v>
      </x:c>
      <x:c r="G1272" s="23" t="str">
        <x:f>IF(E1272=F1272,"PASS","FAIL")</x:f>
        <x:v>PASS</x:v>
      </x:c>
    </x:row>
    <x:row r="1273">
      <x:c r="B1273" s="21" t="str">
        <x:v>A01267</x:v>
      </x:c>
      <x:c r="C1273" s="21" t="str">
        <x:v>artifact</x:v>
      </x:c>
      <x:c r="D1273" s="21" t="str">
        <x:v>artifact 112 eligibility equation</x:v>
      </x:c>
      <x:c r="E1273" s="21" t="n">
        <x:f>IF(ABS('Artifact Ledger'!P118-IF(AND('Artifact Ledger'!L118=1,'Artifact Ledger'!M118=1,'Artifact Ledger'!N118=1,'Artifact Ledger'!O118&gt;='Artifact Ledger'!G118),'Artifact Ledger'!K118,0))&lt;0.000001,1,0)</x:f>
        <x:v>1</x:v>
      </x:c>
      <x:c r="F1273" s="21" t="n">
        <x:v>1</x:v>
      </x:c>
      <x:c r="G1273" s="23" t="str">
        <x:f>IF(E1273=F1273,"PASS","FAIL")</x:f>
        <x:v>PASS</x:v>
      </x:c>
    </x:row>
    <x:row r="1274">
      <x:c r="B1274" s="21" t="str">
        <x:v>A01268</x:v>
      </x:c>
      <x:c r="C1274" s="21" t="str">
        <x:v>artifact</x:v>
      </x:c>
      <x:c r="D1274" s="21" t="str">
        <x:v>artifact 112 planning state</x:v>
      </x:c>
      <x:c r="E1274" s="21" t="n">
        <x:f>IF(AND('Artifact Ledger'!Q118="OPEN",'Artifact Ledger'!R118="HOLD"),1,0)</x:f>
        <x:v>1</x:v>
      </x:c>
      <x:c r="F1274" s="21" t="n">
        <x:v>1</x:v>
      </x:c>
      <x:c r="G1274" s="23" t="str">
        <x:f>IF(E1274=F1274,"PASS","FAIL")</x:f>
        <x:v>PASS</x:v>
      </x:c>
    </x:row>
    <x:row r="1275">
      <x:c r="B1275" s="21" t="str">
        <x:v>A01269</x:v>
      </x:c>
      <x:c r="C1275" s="21" t="str">
        <x:v>artifact</x:v>
      </x:c>
      <x:c r="D1275" s="21" t="str">
        <x:v>artifact 113 eligibility equation</x:v>
      </x:c>
      <x:c r="E1275" s="21" t="n">
        <x:f>IF(ABS('Artifact Ledger'!P119-IF(AND('Artifact Ledger'!L119=1,'Artifact Ledger'!M119=1,'Artifact Ledger'!N119=1,'Artifact Ledger'!O119&gt;='Artifact Ledger'!G119),'Artifact Ledger'!K119,0))&lt;0.000001,1,0)</x:f>
        <x:v>1</x:v>
      </x:c>
      <x:c r="F1275" s="21" t="n">
        <x:v>1</x:v>
      </x:c>
      <x:c r="G1275" s="23" t="str">
        <x:f>IF(E1275=F1275,"PASS","FAIL")</x:f>
        <x:v>PASS</x:v>
      </x:c>
    </x:row>
    <x:row r="1276">
      <x:c r="B1276" s="21" t="str">
        <x:v>A01270</x:v>
      </x:c>
      <x:c r="C1276" s="21" t="str">
        <x:v>artifact</x:v>
      </x:c>
      <x:c r="D1276" s="21" t="str">
        <x:v>artifact 113 planning state</x:v>
      </x:c>
      <x:c r="E1276" s="21" t="n">
        <x:f>IF(AND('Artifact Ledger'!Q119="OPEN",'Artifact Ledger'!R119="HOLD"),1,0)</x:f>
        <x:v>1</x:v>
      </x:c>
      <x:c r="F1276" s="21" t="n">
        <x:v>1</x:v>
      </x:c>
      <x:c r="G1276" s="23" t="str">
        <x:f>IF(E1276=F1276,"PASS","FAIL")</x:f>
        <x:v>PASS</x:v>
      </x:c>
    </x:row>
    <x:row r="1277">
      <x:c r="B1277" s="21" t="str">
        <x:v>A01271</x:v>
      </x:c>
      <x:c r="C1277" s="21" t="str">
        <x:v>artifact</x:v>
      </x:c>
      <x:c r="D1277" s="21" t="str">
        <x:v>artifact 114 eligibility equation</x:v>
      </x:c>
      <x:c r="E1277" s="21" t="n">
        <x:f>IF(ABS('Artifact Ledger'!P120-IF(AND('Artifact Ledger'!L120=1,'Artifact Ledger'!M120=1,'Artifact Ledger'!N120=1,'Artifact Ledger'!O120&gt;='Artifact Ledger'!G120),'Artifact Ledger'!K120,0))&lt;0.000001,1,0)</x:f>
        <x:v>1</x:v>
      </x:c>
      <x:c r="F1277" s="21" t="n">
        <x:v>1</x:v>
      </x:c>
      <x:c r="G1277" s="23" t="str">
        <x:f>IF(E1277=F1277,"PASS","FAIL")</x:f>
        <x:v>PASS</x:v>
      </x:c>
    </x:row>
    <x:row r="1278">
      <x:c r="B1278" s="21" t="str">
        <x:v>A01272</x:v>
      </x:c>
      <x:c r="C1278" s="21" t="str">
        <x:v>artifact</x:v>
      </x:c>
      <x:c r="D1278" s="21" t="str">
        <x:v>artifact 114 planning state</x:v>
      </x:c>
      <x:c r="E1278" s="21" t="n">
        <x:f>IF(AND('Artifact Ledger'!Q120="OPEN",'Artifact Ledger'!R120="HOLD"),1,0)</x:f>
        <x:v>1</x:v>
      </x:c>
      <x:c r="F1278" s="21" t="n">
        <x:v>1</x:v>
      </x:c>
      <x:c r="G1278" s="23" t="str">
        <x:f>IF(E1278=F1278,"PASS","FAIL")</x:f>
        <x:v>PASS</x:v>
      </x:c>
    </x:row>
    <x:row r="1279">
      <x:c r="B1279" s="21" t="str">
        <x:v>A01273</x:v>
      </x:c>
      <x:c r="C1279" s="21" t="str">
        <x:v>artifact</x:v>
      </x:c>
      <x:c r="D1279" s="21" t="str">
        <x:v>artifact 115 eligibility equation</x:v>
      </x:c>
      <x:c r="E1279" s="21" t="n">
        <x:f>IF(ABS('Artifact Ledger'!P121-IF(AND('Artifact Ledger'!L121=1,'Artifact Ledger'!M121=1,'Artifact Ledger'!N121=1,'Artifact Ledger'!O121&gt;='Artifact Ledger'!G121),'Artifact Ledger'!K121,0))&lt;0.000001,1,0)</x:f>
        <x:v>1</x:v>
      </x:c>
      <x:c r="F1279" s="21" t="n">
        <x:v>1</x:v>
      </x:c>
      <x:c r="G1279" s="23" t="str">
        <x:f>IF(E1279=F1279,"PASS","FAIL")</x:f>
        <x:v>PASS</x:v>
      </x:c>
    </x:row>
    <x:row r="1280">
      <x:c r="B1280" s="21" t="str">
        <x:v>A01274</x:v>
      </x:c>
      <x:c r="C1280" s="21" t="str">
        <x:v>artifact</x:v>
      </x:c>
      <x:c r="D1280" s="21" t="str">
        <x:v>artifact 115 planning state</x:v>
      </x:c>
      <x:c r="E1280" s="21" t="n">
        <x:f>IF(AND('Artifact Ledger'!Q121="OPEN",'Artifact Ledger'!R121="HOLD"),1,0)</x:f>
        <x:v>1</x:v>
      </x:c>
      <x:c r="F1280" s="21" t="n">
        <x:v>1</x:v>
      </x:c>
      <x:c r="G1280" s="23" t="str">
        <x:f>IF(E1280=F1280,"PASS","FAIL")</x:f>
        <x:v>PASS</x:v>
      </x:c>
    </x:row>
    <x:row r="1281">
      <x:c r="B1281" s="21" t="str">
        <x:v>A01275</x:v>
      </x:c>
      <x:c r="C1281" s="21" t="str">
        <x:v>artifact</x:v>
      </x:c>
      <x:c r="D1281" s="21" t="str">
        <x:v>artifact 116 eligibility equation</x:v>
      </x:c>
      <x:c r="E1281" s="21" t="n">
        <x:f>IF(ABS('Artifact Ledger'!P122-IF(AND('Artifact Ledger'!L122=1,'Artifact Ledger'!M122=1,'Artifact Ledger'!N122=1,'Artifact Ledger'!O122&gt;='Artifact Ledger'!G122),'Artifact Ledger'!K122,0))&lt;0.000001,1,0)</x:f>
        <x:v>1</x:v>
      </x:c>
      <x:c r="F1281" s="21" t="n">
        <x:v>1</x:v>
      </x:c>
      <x:c r="G1281" s="23" t="str">
        <x:f>IF(E1281=F1281,"PASS","FAIL")</x:f>
        <x:v>PASS</x:v>
      </x:c>
    </x:row>
    <x:row r="1282">
      <x:c r="B1282" s="21" t="str">
        <x:v>A01276</x:v>
      </x:c>
      <x:c r="C1282" s="21" t="str">
        <x:v>artifact</x:v>
      </x:c>
      <x:c r="D1282" s="21" t="str">
        <x:v>artifact 116 planning state</x:v>
      </x:c>
      <x:c r="E1282" s="21" t="n">
        <x:f>IF(AND('Artifact Ledger'!Q122="OPEN",'Artifact Ledger'!R122="HOLD"),1,0)</x:f>
        <x:v>1</x:v>
      </x:c>
      <x:c r="F1282" s="21" t="n">
        <x:v>1</x:v>
      </x:c>
      <x:c r="G1282" s="23" t="str">
        <x:f>IF(E1282=F1282,"PASS","FAIL")</x:f>
        <x:v>PASS</x:v>
      </x:c>
    </x:row>
    <x:row r="1283">
      <x:c r="B1283" s="21" t="str">
        <x:v>A01277</x:v>
      </x:c>
      <x:c r="C1283" s="21" t="str">
        <x:v>artifact</x:v>
      </x:c>
      <x:c r="D1283" s="21" t="str">
        <x:v>artifact 117 eligibility equation</x:v>
      </x:c>
      <x:c r="E1283" s="21" t="n">
        <x:f>IF(ABS('Artifact Ledger'!P123-IF(AND('Artifact Ledger'!L123=1,'Artifact Ledger'!M123=1,'Artifact Ledger'!N123=1,'Artifact Ledger'!O123&gt;='Artifact Ledger'!G123),'Artifact Ledger'!K123,0))&lt;0.000001,1,0)</x:f>
        <x:v>1</x:v>
      </x:c>
      <x:c r="F1283" s="21" t="n">
        <x:v>1</x:v>
      </x:c>
      <x:c r="G1283" s="23" t="str">
        <x:f>IF(E1283=F1283,"PASS","FAIL")</x:f>
        <x:v>PASS</x:v>
      </x:c>
    </x:row>
    <x:row r="1284">
      <x:c r="B1284" s="21" t="str">
        <x:v>A01278</x:v>
      </x:c>
      <x:c r="C1284" s="21" t="str">
        <x:v>artifact</x:v>
      </x:c>
      <x:c r="D1284" s="21" t="str">
        <x:v>artifact 117 planning state</x:v>
      </x:c>
      <x:c r="E1284" s="21" t="n">
        <x:f>IF(AND('Artifact Ledger'!Q123="OPEN",'Artifact Ledger'!R123="HOLD"),1,0)</x:f>
        <x:v>1</x:v>
      </x:c>
      <x:c r="F1284" s="21" t="n">
        <x:v>1</x:v>
      </x:c>
      <x:c r="G1284" s="23" t="str">
        <x:f>IF(E1284=F1284,"PASS","FAIL")</x:f>
        <x:v>PASS</x:v>
      </x:c>
    </x:row>
    <x:row r="1285">
      <x:c r="B1285" s="21" t="str">
        <x:v>A01279</x:v>
      </x:c>
      <x:c r="C1285" s="21" t="str">
        <x:v>artifact</x:v>
      </x:c>
      <x:c r="D1285" s="21" t="str">
        <x:v>artifact 118 eligibility equation</x:v>
      </x:c>
      <x:c r="E1285" s="21" t="n">
        <x:f>IF(ABS('Artifact Ledger'!P124-IF(AND('Artifact Ledger'!L124=1,'Artifact Ledger'!M124=1,'Artifact Ledger'!N124=1,'Artifact Ledger'!O124&gt;='Artifact Ledger'!G124),'Artifact Ledger'!K124,0))&lt;0.000001,1,0)</x:f>
        <x:v>1</x:v>
      </x:c>
      <x:c r="F1285" s="21" t="n">
        <x:v>1</x:v>
      </x:c>
      <x:c r="G1285" s="23" t="str">
        <x:f>IF(E1285=F1285,"PASS","FAIL")</x:f>
        <x:v>PASS</x:v>
      </x:c>
    </x:row>
    <x:row r="1286">
      <x:c r="B1286" s="21" t="str">
        <x:v>A01280</x:v>
      </x:c>
      <x:c r="C1286" s="21" t="str">
        <x:v>artifact</x:v>
      </x:c>
      <x:c r="D1286" s="21" t="str">
        <x:v>artifact 118 planning state</x:v>
      </x:c>
      <x:c r="E1286" s="21" t="n">
        <x:f>IF(AND('Artifact Ledger'!Q124="OPEN",'Artifact Ledger'!R124="HOLD"),1,0)</x:f>
        <x:v>1</x:v>
      </x:c>
      <x:c r="F1286" s="21" t="n">
        <x:v>1</x:v>
      </x:c>
      <x:c r="G1286" s="23" t="str">
        <x:f>IF(E1286=F1286,"PASS","FAIL")</x:f>
        <x:v>PASS</x:v>
      </x:c>
    </x:row>
    <x:row r="1287">
      <x:c r="B1287" s="21" t="str">
        <x:v>A01281</x:v>
      </x:c>
      <x:c r="C1287" s="21" t="str">
        <x:v>artifact</x:v>
      </x:c>
      <x:c r="D1287" s="21" t="str">
        <x:v>artifact 119 eligibility equation</x:v>
      </x:c>
      <x:c r="E1287" s="21" t="n">
        <x:f>IF(ABS('Artifact Ledger'!P125-IF(AND('Artifact Ledger'!L125=1,'Artifact Ledger'!M125=1,'Artifact Ledger'!N125=1,'Artifact Ledger'!O125&gt;='Artifact Ledger'!G125),'Artifact Ledger'!K125,0))&lt;0.000001,1,0)</x:f>
        <x:v>1</x:v>
      </x:c>
      <x:c r="F1287" s="21" t="n">
        <x:v>1</x:v>
      </x:c>
      <x:c r="G1287" s="23" t="str">
        <x:f>IF(E1287=F1287,"PASS","FAIL")</x:f>
        <x:v>PASS</x:v>
      </x:c>
    </x:row>
    <x:row r="1288">
      <x:c r="B1288" s="21" t="str">
        <x:v>A01282</x:v>
      </x:c>
      <x:c r="C1288" s="21" t="str">
        <x:v>artifact</x:v>
      </x:c>
      <x:c r="D1288" s="21" t="str">
        <x:v>artifact 119 planning state</x:v>
      </x:c>
      <x:c r="E1288" s="21" t="n">
        <x:f>IF(AND('Artifact Ledger'!Q125="OPEN",'Artifact Ledger'!R125="HOLD"),1,0)</x:f>
        <x:v>1</x:v>
      </x:c>
      <x:c r="F1288" s="21" t="n">
        <x:v>1</x:v>
      </x:c>
      <x:c r="G1288" s="23" t="str">
        <x:f>IF(E1288=F1288,"PASS","FAIL")</x:f>
        <x:v>PASS</x:v>
      </x:c>
    </x:row>
    <x:row r="1289">
      <x:c r="B1289" s="21" t="str">
        <x:v>A01283</x:v>
      </x:c>
      <x:c r="C1289" s="21" t="str">
        <x:v>artifact</x:v>
      </x:c>
      <x:c r="D1289" s="21" t="str">
        <x:v>artifact 120 eligibility equation</x:v>
      </x:c>
      <x:c r="E1289" s="21" t="n">
        <x:f>IF(ABS('Artifact Ledger'!P126-IF(AND('Artifact Ledger'!L126=1,'Artifact Ledger'!M126=1,'Artifact Ledger'!N126=1,'Artifact Ledger'!O126&gt;='Artifact Ledger'!G126),'Artifact Ledger'!K126,0))&lt;0.000001,1,0)</x:f>
        <x:v>1</x:v>
      </x:c>
      <x:c r="F1289" s="21" t="n">
        <x:v>1</x:v>
      </x:c>
      <x:c r="G1289" s="23" t="str">
        <x:f>IF(E1289=F1289,"PASS","FAIL")</x:f>
        <x:v>PASS</x:v>
      </x:c>
    </x:row>
    <x:row r="1290">
      <x:c r="B1290" s="21" t="str">
        <x:v>A01284</x:v>
      </x:c>
      <x:c r="C1290" s="21" t="str">
        <x:v>artifact</x:v>
      </x:c>
      <x:c r="D1290" s="21" t="str">
        <x:v>artifact 120 planning state</x:v>
      </x:c>
      <x:c r="E1290" s="21" t="n">
        <x:f>IF(AND('Artifact Ledger'!Q126="OPEN",'Artifact Ledger'!R126="HOLD"),1,0)</x:f>
        <x:v>1</x:v>
      </x:c>
      <x:c r="F1290" s="21" t="n">
        <x:v>1</x:v>
      </x:c>
      <x:c r="G1290" s="23" t="str">
        <x:f>IF(E1290=F1290,"PASS","FAIL")</x:f>
        <x:v>PASS</x:v>
      </x:c>
    </x:row>
    <x:row r="1291">
      <x:c r="B1291" s="21" t="str">
        <x:v>A01285</x:v>
      </x:c>
      <x:c r="C1291" s="21" t="str">
        <x:v>artifact</x:v>
      </x:c>
      <x:c r="D1291" s="21" t="str">
        <x:v>artifact 121 eligibility equation</x:v>
      </x:c>
      <x:c r="E1291" s="21" t="n">
        <x:f>IF(ABS('Artifact Ledger'!P127-IF(AND('Artifact Ledger'!L127=1,'Artifact Ledger'!M127=1,'Artifact Ledger'!N127=1,'Artifact Ledger'!O127&gt;='Artifact Ledger'!G127),'Artifact Ledger'!K127,0))&lt;0.000001,1,0)</x:f>
        <x:v>1</x:v>
      </x:c>
      <x:c r="F1291" s="21" t="n">
        <x:v>1</x:v>
      </x:c>
      <x:c r="G1291" s="23" t="str">
        <x:f>IF(E1291=F1291,"PASS","FAIL")</x:f>
        <x:v>PASS</x:v>
      </x:c>
    </x:row>
    <x:row r="1292">
      <x:c r="B1292" s="21" t="str">
        <x:v>A01286</x:v>
      </x:c>
      <x:c r="C1292" s="21" t="str">
        <x:v>artifact</x:v>
      </x:c>
      <x:c r="D1292" s="21" t="str">
        <x:v>artifact 121 planning state</x:v>
      </x:c>
      <x:c r="E1292" s="21" t="n">
        <x:f>IF(AND('Artifact Ledger'!Q127="OPEN",'Artifact Ledger'!R127="HOLD"),1,0)</x:f>
        <x:v>1</x:v>
      </x:c>
      <x:c r="F1292" s="21" t="n">
        <x:v>1</x:v>
      </x:c>
      <x:c r="G1292" s="23" t="str">
        <x:f>IF(E1292=F1292,"PASS","FAIL")</x:f>
        <x:v>PASS</x:v>
      </x:c>
    </x:row>
    <x:row r="1293">
      <x:c r="B1293" s="21" t="str">
        <x:v>A01287</x:v>
      </x:c>
      <x:c r="C1293" s="21" t="str">
        <x:v>artifact</x:v>
      </x:c>
      <x:c r="D1293" s="21" t="str">
        <x:v>artifact 122 eligibility equation</x:v>
      </x:c>
      <x:c r="E1293" s="21" t="n">
        <x:f>IF(ABS('Artifact Ledger'!P128-IF(AND('Artifact Ledger'!L128=1,'Artifact Ledger'!M128=1,'Artifact Ledger'!N128=1,'Artifact Ledger'!O128&gt;='Artifact Ledger'!G128),'Artifact Ledger'!K128,0))&lt;0.000001,1,0)</x:f>
        <x:v>1</x:v>
      </x:c>
      <x:c r="F1293" s="21" t="n">
        <x:v>1</x:v>
      </x:c>
      <x:c r="G1293" s="23" t="str">
        <x:f>IF(E1293=F1293,"PASS","FAIL")</x:f>
        <x:v>PASS</x:v>
      </x:c>
    </x:row>
    <x:row r="1294">
      <x:c r="B1294" s="21" t="str">
        <x:v>A01288</x:v>
      </x:c>
      <x:c r="C1294" s="21" t="str">
        <x:v>artifact</x:v>
      </x:c>
      <x:c r="D1294" s="21" t="str">
        <x:v>artifact 122 planning state</x:v>
      </x:c>
      <x:c r="E1294" s="21" t="n">
        <x:f>IF(AND('Artifact Ledger'!Q128="OPEN",'Artifact Ledger'!R128="HOLD"),1,0)</x:f>
        <x:v>1</x:v>
      </x:c>
      <x:c r="F1294" s="21" t="n">
        <x:v>1</x:v>
      </x:c>
      <x:c r="G1294" s="23" t="str">
        <x:f>IF(E1294=F1294,"PASS","FAIL")</x:f>
        <x:v>PASS</x:v>
      </x:c>
    </x:row>
    <x:row r="1295">
      <x:c r="B1295" s="21" t="str">
        <x:v>A01289</x:v>
      </x:c>
      <x:c r="C1295" s="21" t="str">
        <x:v>artifact</x:v>
      </x:c>
      <x:c r="D1295" s="21" t="str">
        <x:v>artifact 123 eligibility equation</x:v>
      </x:c>
      <x:c r="E1295" s="21" t="n">
        <x:f>IF(ABS('Artifact Ledger'!P129-IF(AND('Artifact Ledger'!L129=1,'Artifact Ledger'!M129=1,'Artifact Ledger'!N129=1,'Artifact Ledger'!O129&gt;='Artifact Ledger'!G129),'Artifact Ledger'!K129,0))&lt;0.000001,1,0)</x:f>
        <x:v>1</x:v>
      </x:c>
      <x:c r="F1295" s="21" t="n">
        <x:v>1</x:v>
      </x:c>
      <x:c r="G1295" s="23" t="str">
        <x:f>IF(E1295=F1295,"PASS","FAIL")</x:f>
        <x:v>PASS</x:v>
      </x:c>
    </x:row>
    <x:row r="1296">
      <x:c r="B1296" s="21" t="str">
        <x:v>A01290</x:v>
      </x:c>
      <x:c r="C1296" s="21" t="str">
        <x:v>artifact</x:v>
      </x:c>
      <x:c r="D1296" s="21" t="str">
        <x:v>artifact 123 planning state</x:v>
      </x:c>
      <x:c r="E1296" s="21" t="n">
        <x:f>IF(AND('Artifact Ledger'!Q129="OPEN",'Artifact Ledger'!R129="HOLD"),1,0)</x:f>
        <x:v>1</x:v>
      </x:c>
      <x:c r="F1296" s="21" t="n">
        <x:v>1</x:v>
      </x:c>
      <x:c r="G1296" s="23" t="str">
        <x:f>IF(E1296=F1296,"PASS","FAIL")</x:f>
        <x:v>PASS</x:v>
      </x:c>
    </x:row>
    <x:row r="1297">
      <x:c r="B1297" s="21" t="str">
        <x:v>A01291</x:v>
      </x:c>
      <x:c r="C1297" s="21" t="str">
        <x:v>artifact</x:v>
      </x:c>
      <x:c r="D1297" s="21" t="str">
        <x:v>artifact 124 eligibility equation</x:v>
      </x:c>
      <x:c r="E1297" s="21" t="n">
        <x:f>IF(ABS('Artifact Ledger'!P130-IF(AND('Artifact Ledger'!L130=1,'Artifact Ledger'!M130=1,'Artifact Ledger'!N130=1,'Artifact Ledger'!O130&gt;='Artifact Ledger'!G130),'Artifact Ledger'!K130,0))&lt;0.000001,1,0)</x:f>
        <x:v>1</x:v>
      </x:c>
      <x:c r="F1297" s="21" t="n">
        <x:v>1</x:v>
      </x:c>
      <x:c r="G1297" s="23" t="str">
        <x:f>IF(E1297=F1297,"PASS","FAIL")</x:f>
        <x:v>PASS</x:v>
      </x:c>
    </x:row>
    <x:row r="1298">
      <x:c r="B1298" s="21" t="str">
        <x:v>A01292</x:v>
      </x:c>
      <x:c r="C1298" s="21" t="str">
        <x:v>artifact</x:v>
      </x:c>
      <x:c r="D1298" s="21" t="str">
        <x:v>artifact 124 planning state</x:v>
      </x:c>
      <x:c r="E1298" s="21" t="n">
        <x:f>IF(AND('Artifact Ledger'!Q130="OPEN",'Artifact Ledger'!R130="HOLD"),1,0)</x:f>
        <x:v>1</x:v>
      </x:c>
      <x:c r="F1298" s="21" t="n">
        <x:v>1</x:v>
      </x:c>
      <x:c r="G1298" s="23" t="str">
        <x:f>IF(E1298=F1298,"PASS","FAIL")</x:f>
        <x:v>PASS</x:v>
      </x:c>
    </x:row>
    <x:row r="1299">
      <x:c r="B1299" s="21" t="str">
        <x:v>A01293</x:v>
      </x:c>
      <x:c r="C1299" s="21" t="str">
        <x:v>artifact</x:v>
      </x:c>
      <x:c r="D1299" s="21" t="str">
        <x:v>artifact 125 eligibility equation</x:v>
      </x:c>
      <x:c r="E1299" s="21" t="n">
        <x:f>IF(ABS('Artifact Ledger'!P131-IF(AND('Artifact Ledger'!L131=1,'Artifact Ledger'!M131=1,'Artifact Ledger'!N131=1,'Artifact Ledger'!O131&gt;='Artifact Ledger'!G131),'Artifact Ledger'!K131,0))&lt;0.000001,1,0)</x:f>
        <x:v>1</x:v>
      </x:c>
      <x:c r="F1299" s="21" t="n">
        <x:v>1</x:v>
      </x:c>
      <x:c r="G1299" s="23" t="str">
        <x:f>IF(E1299=F1299,"PASS","FAIL")</x:f>
        <x:v>PASS</x:v>
      </x:c>
    </x:row>
    <x:row r="1300">
      <x:c r="B1300" s="21" t="str">
        <x:v>A01294</x:v>
      </x:c>
      <x:c r="C1300" s="21" t="str">
        <x:v>artifact</x:v>
      </x:c>
      <x:c r="D1300" s="21" t="str">
        <x:v>artifact 125 planning state</x:v>
      </x:c>
      <x:c r="E1300" s="21" t="n">
        <x:f>IF(AND('Artifact Ledger'!Q131="OPEN",'Artifact Ledger'!R131="HOLD"),1,0)</x:f>
        <x:v>1</x:v>
      </x:c>
      <x:c r="F1300" s="21" t="n">
        <x:v>1</x:v>
      </x:c>
      <x:c r="G1300" s="23" t="str">
        <x:f>IF(E1300=F1300,"PASS","FAIL")</x:f>
        <x:v>PASS</x:v>
      </x:c>
    </x:row>
    <x:row r="1301">
      <x:c r="B1301" s="21" t="str">
        <x:v>A01295</x:v>
      </x:c>
      <x:c r="C1301" s="21" t="str">
        <x:v>artifact</x:v>
      </x:c>
      <x:c r="D1301" s="21" t="str">
        <x:v>artifact 126 eligibility equation</x:v>
      </x:c>
      <x:c r="E1301" s="21" t="n">
        <x:f>IF(ABS('Artifact Ledger'!P132-IF(AND('Artifact Ledger'!L132=1,'Artifact Ledger'!M132=1,'Artifact Ledger'!N132=1,'Artifact Ledger'!O132&gt;='Artifact Ledger'!G132),'Artifact Ledger'!K132,0))&lt;0.000001,1,0)</x:f>
        <x:v>1</x:v>
      </x:c>
      <x:c r="F1301" s="21" t="n">
        <x:v>1</x:v>
      </x:c>
      <x:c r="G1301" s="23" t="str">
        <x:f>IF(E1301=F1301,"PASS","FAIL")</x:f>
        <x:v>PASS</x:v>
      </x:c>
    </x:row>
    <x:row r="1302">
      <x:c r="B1302" s="21" t="str">
        <x:v>A01296</x:v>
      </x:c>
      <x:c r="C1302" s="21" t="str">
        <x:v>artifact</x:v>
      </x:c>
      <x:c r="D1302" s="21" t="str">
        <x:v>artifact 126 planning state</x:v>
      </x:c>
      <x:c r="E1302" s="21" t="n">
        <x:f>IF(AND('Artifact Ledger'!Q132="OPEN",'Artifact Ledger'!R132="HOLD"),1,0)</x:f>
        <x:v>1</x:v>
      </x:c>
      <x:c r="F1302" s="21" t="n">
        <x:v>1</x:v>
      </x:c>
      <x:c r="G1302" s="23" t="str">
        <x:f>IF(E1302=F1302,"PASS","FAIL")</x:f>
        <x:v>PASS</x:v>
      </x:c>
    </x:row>
    <x:row r="1303">
      <x:c r="B1303" s="21" t="str">
        <x:v>A01297</x:v>
      </x:c>
      <x:c r="C1303" s="21" t="str">
        <x:v>artifact</x:v>
      </x:c>
      <x:c r="D1303" s="21" t="str">
        <x:v>artifact 127 eligibility equation</x:v>
      </x:c>
      <x:c r="E1303" s="21" t="n">
        <x:f>IF(ABS('Artifact Ledger'!P133-IF(AND('Artifact Ledger'!L133=1,'Artifact Ledger'!M133=1,'Artifact Ledger'!N133=1,'Artifact Ledger'!O133&gt;='Artifact Ledger'!G133),'Artifact Ledger'!K133,0))&lt;0.000001,1,0)</x:f>
        <x:v>1</x:v>
      </x:c>
      <x:c r="F1303" s="21" t="n">
        <x:v>1</x:v>
      </x:c>
      <x:c r="G1303" s="23" t="str">
        <x:f>IF(E1303=F1303,"PASS","FAIL")</x:f>
        <x:v>PASS</x:v>
      </x:c>
    </x:row>
    <x:row r="1304">
      <x:c r="B1304" s="21" t="str">
        <x:v>A01298</x:v>
      </x:c>
      <x:c r="C1304" s="21" t="str">
        <x:v>artifact</x:v>
      </x:c>
      <x:c r="D1304" s="21" t="str">
        <x:v>artifact 127 planning state</x:v>
      </x:c>
      <x:c r="E1304" s="21" t="n">
        <x:f>IF(AND('Artifact Ledger'!Q133="OPEN",'Artifact Ledger'!R133="HOLD"),1,0)</x:f>
        <x:v>1</x:v>
      </x:c>
      <x:c r="F1304" s="21" t="n">
        <x:v>1</x:v>
      </x:c>
      <x:c r="G1304" s="23" t="str">
        <x:f>IF(E1304=F1304,"PASS","FAIL")</x:f>
        <x:v>PASS</x:v>
      </x:c>
    </x:row>
    <x:row r="1305">
      <x:c r="B1305" s="21" t="str">
        <x:v>A01299</x:v>
      </x:c>
      <x:c r="C1305" s="21" t="str">
        <x:v>artifact</x:v>
      </x:c>
      <x:c r="D1305" s="21" t="str">
        <x:v>artifact 128 eligibility equation</x:v>
      </x:c>
      <x:c r="E1305" s="21" t="n">
        <x:f>IF(ABS('Artifact Ledger'!P134-IF(AND('Artifact Ledger'!L134=1,'Artifact Ledger'!M134=1,'Artifact Ledger'!N134=1,'Artifact Ledger'!O134&gt;='Artifact Ledger'!G134),'Artifact Ledger'!K134,0))&lt;0.000001,1,0)</x:f>
        <x:v>1</x:v>
      </x:c>
      <x:c r="F1305" s="21" t="n">
        <x:v>1</x:v>
      </x:c>
      <x:c r="G1305" s="23" t="str">
        <x:f>IF(E1305=F1305,"PASS","FAIL")</x:f>
        <x:v>PASS</x:v>
      </x:c>
    </x:row>
    <x:row r="1306">
      <x:c r="B1306" s="21" t="str">
        <x:v>A01300</x:v>
      </x:c>
      <x:c r="C1306" s="21" t="str">
        <x:v>artifact</x:v>
      </x:c>
      <x:c r="D1306" s="21" t="str">
        <x:v>artifact 128 planning state</x:v>
      </x:c>
      <x:c r="E1306" s="21" t="n">
        <x:f>IF(AND('Artifact Ledger'!Q134="OPEN",'Artifact Ledger'!R134="HOLD"),1,0)</x:f>
        <x:v>1</x:v>
      </x:c>
      <x:c r="F1306" s="21" t="n">
        <x:v>1</x:v>
      </x:c>
      <x:c r="G1306" s="23" t="str">
        <x:f>IF(E1306=F1306,"PASS","FAIL")</x:f>
        <x:v>PASS</x:v>
      </x:c>
    </x:row>
    <x:row r="1307">
      <x:c r="B1307" s="21" t="str">
        <x:v>A01301</x:v>
      </x:c>
      <x:c r="C1307" s="21" t="str">
        <x:v>artifact</x:v>
      </x:c>
      <x:c r="D1307" s="21" t="str">
        <x:v>artifact 129 eligibility equation</x:v>
      </x:c>
      <x:c r="E1307" s="21" t="n">
        <x:f>IF(ABS('Artifact Ledger'!P135-IF(AND('Artifact Ledger'!L135=1,'Artifact Ledger'!M135=1,'Artifact Ledger'!N135=1,'Artifact Ledger'!O135&gt;='Artifact Ledger'!G135),'Artifact Ledger'!K135,0))&lt;0.000001,1,0)</x:f>
        <x:v>1</x:v>
      </x:c>
      <x:c r="F1307" s="21" t="n">
        <x:v>1</x:v>
      </x:c>
      <x:c r="G1307" s="23" t="str">
        <x:f>IF(E1307=F1307,"PASS","FAIL")</x:f>
        <x:v>PASS</x:v>
      </x:c>
    </x:row>
    <x:row r="1308">
      <x:c r="B1308" s="21" t="str">
        <x:v>A01302</x:v>
      </x:c>
      <x:c r="C1308" s="21" t="str">
        <x:v>artifact</x:v>
      </x:c>
      <x:c r="D1308" s="21" t="str">
        <x:v>artifact 129 planning state</x:v>
      </x:c>
      <x:c r="E1308" s="21" t="n">
        <x:f>IF(AND('Artifact Ledger'!Q135="OPEN",'Artifact Ledger'!R135="HOLD"),1,0)</x:f>
        <x:v>1</x:v>
      </x:c>
      <x:c r="F1308" s="21" t="n">
        <x:v>1</x:v>
      </x:c>
      <x:c r="G1308" s="23" t="str">
        <x:f>IF(E1308=F1308,"PASS","FAIL")</x:f>
        <x:v>PASS</x:v>
      </x:c>
    </x:row>
    <x:row r="1309">
      <x:c r="B1309" s="21" t="str">
        <x:v>A01303</x:v>
      </x:c>
      <x:c r="C1309" s="21" t="str">
        <x:v>artifact</x:v>
      </x:c>
      <x:c r="D1309" s="21" t="str">
        <x:v>artifact 130 eligibility equation</x:v>
      </x:c>
      <x:c r="E1309" s="21" t="n">
        <x:f>IF(ABS('Artifact Ledger'!P136-IF(AND('Artifact Ledger'!L136=1,'Artifact Ledger'!M136=1,'Artifact Ledger'!N136=1,'Artifact Ledger'!O136&gt;='Artifact Ledger'!G136),'Artifact Ledger'!K136,0))&lt;0.000001,1,0)</x:f>
        <x:v>1</x:v>
      </x:c>
      <x:c r="F1309" s="21" t="n">
        <x:v>1</x:v>
      </x:c>
      <x:c r="G1309" s="23" t="str">
        <x:f>IF(E1309=F1309,"PASS","FAIL")</x:f>
        <x:v>PASS</x:v>
      </x:c>
    </x:row>
    <x:row r="1310">
      <x:c r="B1310" s="21" t="str">
        <x:v>A01304</x:v>
      </x:c>
      <x:c r="C1310" s="21" t="str">
        <x:v>artifact</x:v>
      </x:c>
      <x:c r="D1310" s="21" t="str">
        <x:v>artifact 130 planning state</x:v>
      </x:c>
      <x:c r="E1310" s="21" t="n">
        <x:f>IF(AND('Artifact Ledger'!Q136="OPEN",'Artifact Ledger'!R136="HOLD"),1,0)</x:f>
        <x:v>1</x:v>
      </x:c>
      <x:c r="F1310" s="21" t="n">
        <x:v>1</x:v>
      </x:c>
      <x:c r="G1310" s="23" t="str">
        <x:f>IF(E1310=F1310,"PASS","FAIL")</x:f>
        <x:v>PASS</x:v>
      </x:c>
    </x:row>
    <x:row r="1311">
      <x:c r="B1311" s="21" t="str">
        <x:v>A01305</x:v>
      </x:c>
      <x:c r="C1311" s="21" t="str">
        <x:v>artifact</x:v>
      </x:c>
      <x:c r="D1311" s="21" t="str">
        <x:v>artifact 131 eligibility equation</x:v>
      </x:c>
      <x:c r="E1311" s="21" t="n">
        <x:f>IF(ABS('Artifact Ledger'!P137-IF(AND('Artifact Ledger'!L137=1,'Artifact Ledger'!M137=1,'Artifact Ledger'!N137=1,'Artifact Ledger'!O137&gt;='Artifact Ledger'!G137),'Artifact Ledger'!K137,0))&lt;0.000001,1,0)</x:f>
        <x:v>1</x:v>
      </x:c>
      <x:c r="F1311" s="21" t="n">
        <x:v>1</x:v>
      </x:c>
      <x:c r="G1311" s="23" t="str">
        <x:f>IF(E1311=F1311,"PASS","FAIL")</x:f>
        <x:v>PASS</x:v>
      </x:c>
    </x:row>
    <x:row r="1312">
      <x:c r="B1312" s="21" t="str">
        <x:v>A01306</x:v>
      </x:c>
      <x:c r="C1312" s="21" t="str">
        <x:v>artifact</x:v>
      </x:c>
      <x:c r="D1312" s="21" t="str">
        <x:v>artifact 131 planning state</x:v>
      </x:c>
      <x:c r="E1312" s="21" t="n">
        <x:f>IF(AND('Artifact Ledger'!Q137="OPEN",'Artifact Ledger'!R137="HOLD"),1,0)</x:f>
        <x:v>1</x:v>
      </x:c>
      <x:c r="F1312" s="21" t="n">
        <x:v>1</x:v>
      </x:c>
      <x:c r="G1312" s="23" t="str">
        <x:f>IF(E1312=F1312,"PASS","FAIL")</x:f>
        <x:v>PASS</x:v>
      </x:c>
    </x:row>
    <x:row r="1313">
      <x:c r="B1313" s="21" t="str">
        <x:v>A01307</x:v>
      </x:c>
      <x:c r="C1313" s="21" t="str">
        <x:v>artifact</x:v>
      </x:c>
      <x:c r="D1313" s="21" t="str">
        <x:v>artifact 132 eligibility equation</x:v>
      </x:c>
      <x:c r="E1313" s="21" t="n">
        <x:f>IF(ABS('Artifact Ledger'!P138-IF(AND('Artifact Ledger'!L138=1,'Artifact Ledger'!M138=1,'Artifact Ledger'!N138=1,'Artifact Ledger'!O138&gt;='Artifact Ledger'!G138),'Artifact Ledger'!K138,0))&lt;0.000001,1,0)</x:f>
        <x:v>1</x:v>
      </x:c>
      <x:c r="F1313" s="21" t="n">
        <x:v>1</x:v>
      </x:c>
      <x:c r="G1313" s="23" t="str">
        <x:f>IF(E1313=F1313,"PASS","FAIL")</x:f>
        <x:v>PASS</x:v>
      </x:c>
    </x:row>
    <x:row r="1314">
      <x:c r="B1314" s="21" t="str">
        <x:v>A01308</x:v>
      </x:c>
      <x:c r="C1314" s="21" t="str">
        <x:v>artifact</x:v>
      </x:c>
      <x:c r="D1314" s="21" t="str">
        <x:v>artifact 132 planning state</x:v>
      </x:c>
      <x:c r="E1314" s="21" t="n">
        <x:f>IF(AND('Artifact Ledger'!Q138="OPEN",'Artifact Ledger'!R138="HOLD"),1,0)</x:f>
        <x:v>1</x:v>
      </x:c>
      <x:c r="F1314" s="21" t="n">
        <x:v>1</x:v>
      </x:c>
      <x:c r="G1314" s="23" t="str">
        <x:f>IF(E1314=F1314,"PASS","FAIL")</x:f>
        <x:v>PASS</x:v>
      </x:c>
    </x:row>
    <x:row r="1315">
      <x:c r="B1315" s="21" t="str">
        <x:v>A01309</x:v>
      </x:c>
      <x:c r="C1315" s="21" t="str">
        <x:v>artifact</x:v>
      </x:c>
      <x:c r="D1315" s="21" t="str">
        <x:v>artifact 133 eligibility equation</x:v>
      </x:c>
      <x:c r="E1315" s="21" t="n">
        <x:f>IF(ABS('Artifact Ledger'!P139-IF(AND('Artifact Ledger'!L139=1,'Artifact Ledger'!M139=1,'Artifact Ledger'!N139=1,'Artifact Ledger'!O139&gt;='Artifact Ledger'!G139),'Artifact Ledger'!K139,0))&lt;0.000001,1,0)</x:f>
        <x:v>1</x:v>
      </x:c>
      <x:c r="F1315" s="21" t="n">
        <x:v>1</x:v>
      </x:c>
      <x:c r="G1315" s="23" t="str">
        <x:f>IF(E1315=F1315,"PASS","FAIL")</x:f>
        <x:v>PASS</x:v>
      </x:c>
    </x:row>
    <x:row r="1316">
      <x:c r="B1316" s="21" t="str">
        <x:v>A01310</x:v>
      </x:c>
      <x:c r="C1316" s="21" t="str">
        <x:v>artifact</x:v>
      </x:c>
      <x:c r="D1316" s="21" t="str">
        <x:v>artifact 133 planning state</x:v>
      </x:c>
      <x:c r="E1316" s="21" t="n">
        <x:f>IF(AND('Artifact Ledger'!Q139="OPEN",'Artifact Ledger'!R139="HOLD"),1,0)</x:f>
        <x:v>1</x:v>
      </x:c>
      <x:c r="F1316" s="21" t="n">
        <x:v>1</x:v>
      </x:c>
      <x:c r="G1316" s="23" t="str">
        <x:f>IF(E1316=F1316,"PASS","FAIL")</x:f>
        <x:v>PASS</x:v>
      </x:c>
    </x:row>
    <x:row r="1317">
      <x:c r="B1317" s="21" t="str">
        <x:v>A01311</x:v>
      </x:c>
      <x:c r="C1317" s="21" t="str">
        <x:v>artifact</x:v>
      </x:c>
      <x:c r="D1317" s="21" t="str">
        <x:v>artifact 134 eligibility equation</x:v>
      </x:c>
      <x:c r="E1317" s="21" t="n">
        <x:f>IF(ABS('Artifact Ledger'!P140-IF(AND('Artifact Ledger'!L140=1,'Artifact Ledger'!M140=1,'Artifact Ledger'!N140=1,'Artifact Ledger'!O140&gt;='Artifact Ledger'!G140),'Artifact Ledger'!K140,0))&lt;0.000001,1,0)</x:f>
        <x:v>1</x:v>
      </x:c>
      <x:c r="F1317" s="21" t="n">
        <x:v>1</x:v>
      </x:c>
      <x:c r="G1317" s="23" t="str">
        <x:f>IF(E1317=F1317,"PASS","FAIL")</x:f>
        <x:v>PASS</x:v>
      </x:c>
    </x:row>
    <x:row r="1318">
      <x:c r="B1318" s="21" t="str">
        <x:v>A01312</x:v>
      </x:c>
      <x:c r="C1318" s="21" t="str">
        <x:v>artifact</x:v>
      </x:c>
      <x:c r="D1318" s="21" t="str">
        <x:v>artifact 134 planning state</x:v>
      </x:c>
      <x:c r="E1318" s="21" t="n">
        <x:f>IF(AND('Artifact Ledger'!Q140="OPEN",'Artifact Ledger'!R140="HOLD"),1,0)</x:f>
        <x:v>1</x:v>
      </x:c>
      <x:c r="F1318" s="21" t="n">
        <x:v>1</x:v>
      </x:c>
      <x:c r="G1318" s="23" t="str">
        <x:f>IF(E1318=F1318,"PASS","FAIL")</x:f>
        <x:v>PASS</x:v>
      </x:c>
    </x:row>
    <x:row r="1319">
      <x:c r="B1319" s="21" t="str">
        <x:v>A01313</x:v>
      </x:c>
      <x:c r="C1319" s="21" t="str">
        <x:v>artifact</x:v>
      </x:c>
      <x:c r="D1319" s="21" t="str">
        <x:v>artifact 135 eligibility equation</x:v>
      </x:c>
      <x:c r="E1319" s="21" t="n">
        <x:f>IF(ABS('Artifact Ledger'!P141-IF(AND('Artifact Ledger'!L141=1,'Artifact Ledger'!M141=1,'Artifact Ledger'!N141=1,'Artifact Ledger'!O141&gt;='Artifact Ledger'!G141),'Artifact Ledger'!K141,0))&lt;0.000001,1,0)</x:f>
        <x:v>1</x:v>
      </x:c>
      <x:c r="F1319" s="21" t="n">
        <x:v>1</x:v>
      </x:c>
      <x:c r="G1319" s="23" t="str">
        <x:f>IF(E1319=F1319,"PASS","FAIL")</x:f>
        <x:v>PASS</x:v>
      </x:c>
    </x:row>
    <x:row r="1320">
      <x:c r="B1320" s="21" t="str">
        <x:v>A01314</x:v>
      </x:c>
      <x:c r="C1320" s="21" t="str">
        <x:v>artifact</x:v>
      </x:c>
      <x:c r="D1320" s="21" t="str">
        <x:v>artifact 135 planning state</x:v>
      </x:c>
      <x:c r="E1320" s="21" t="n">
        <x:f>IF(AND('Artifact Ledger'!Q141="OPEN",'Artifact Ledger'!R141="HOLD"),1,0)</x:f>
        <x:v>1</x:v>
      </x:c>
      <x:c r="F1320" s="21" t="n">
        <x:v>1</x:v>
      </x:c>
      <x:c r="G1320" s="23" t="str">
        <x:f>IF(E1320=F1320,"PASS","FAIL")</x:f>
        <x:v>PASS</x:v>
      </x:c>
    </x:row>
    <x:row r="1321">
      <x:c r="B1321" s="21" t="str">
        <x:v>A01315</x:v>
      </x:c>
      <x:c r="C1321" s="21" t="str">
        <x:v>artifact</x:v>
      </x:c>
      <x:c r="D1321" s="21" t="str">
        <x:v>artifact 136 eligibility equation</x:v>
      </x:c>
      <x:c r="E1321" s="21" t="n">
        <x:f>IF(ABS('Artifact Ledger'!P142-IF(AND('Artifact Ledger'!L142=1,'Artifact Ledger'!M142=1,'Artifact Ledger'!N142=1,'Artifact Ledger'!O142&gt;='Artifact Ledger'!G142),'Artifact Ledger'!K142,0))&lt;0.000001,1,0)</x:f>
        <x:v>1</x:v>
      </x:c>
      <x:c r="F1321" s="21" t="n">
        <x:v>1</x:v>
      </x:c>
      <x:c r="G1321" s="23" t="str">
        <x:f>IF(E1321=F1321,"PASS","FAIL")</x:f>
        <x:v>PASS</x:v>
      </x:c>
    </x:row>
    <x:row r="1322">
      <x:c r="B1322" s="21" t="str">
        <x:v>A01316</x:v>
      </x:c>
      <x:c r="C1322" s="21" t="str">
        <x:v>artifact</x:v>
      </x:c>
      <x:c r="D1322" s="21" t="str">
        <x:v>artifact 136 planning state</x:v>
      </x:c>
      <x:c r="E1322" s="21" t="n">
        <x:f>IF(AND('Artifact Ledger'!Q142="OPEN",'Artifact Ledger'!R142="HOLD"),1,0)</x:f>
        <x:v>1</x:v>
      </x:c>
      <x:c r="F1322" s="21" t="n">
        <x:v>1</x:v>
      </x:c>
      <x:c r="G1322" s="23" t="str">
        <x:f>IF(E1322=F1322,"PASS","FAIL")</x:f>
        <x:v>PASS</x:v>
      </x:c>
    </x:row>
    <x:row r="1323">
      <x:c r="B1323" s="21" t="str">
        <x:v>A01317</x:v>
      </x:c>
      <x:c r="C1323" s="21" t="str">
        <x:v>artifact</x:v>
      </x:c>
      <x:c r="D1323" s="21" t="str">
        <x:v>artifact 137 eligibility equation</x:v>
      </x:c>
      <x:c r="E1323" s="21" t="n">
        <x:f>IF(ABS('Artifact Ledger'!P143-IF(AND('Artifact Ledger'!L143=1,'Artifact Ledger'!M143=1,'Artifact Ledger'!N143=1,'Artifact Ledger'!O143&gt;='Artifact Ledger'!G143),'Artifact Ledger'!K143,0))&lt;0.000001,1,0)</x:f>
        <x:v>1</x:v>
      </x:c>
      <x:c r="F1323" s="21" t="n">
        <x:v>1</x:v>
      </x:c>
      <x:c r="G1323" s="23" t="str">
        <x:f>IF(E1323=F1323,"PASS","FAIL")</x:f>
        <x:v>PASS</x:v>
      </x:c>
    </x:row>
    <x:row r="1324">
      <x:c r="B1324" s="21" t="str">
        <x:v>A01318</x:v>
      </x:c>
      <x:c r="C1324" s="21" t="str">
        <x:v>artifact</x:v>
      </x:c>
      <x:c r="D1324" s="21" t="str">
        <x:v>artifact 137 planning state</x:v>
      </x:c>
      <x:c r="E1324" s="21" t="n">
        <x:f>IF(AND('Artifact Ledger'!Q143="OPEN",'Artifact Ledger'!R143="HOLD"),1,0)</x:f>
        <x:v>1</x:v>
      </x:c>
      <x:c r="F1324" s="21" t="n">
        <x:v>1</x:v>
      </x:c>
      <x:c r="G1324" s="23" t="str">
        <x:f>IF(E1324=F1324,"PASS","FAIL")</x:f>
        <x:v>PASS</x:v>
      </x:c>
    </x:row>
    <x:row r="1325">
      <x:c r="B1325" s="21" t="str">
        <x:v>A01319</x:v>
      </x:c>
      <x:c r="C1325" s="21" t="str">
        <x:v>artifact</x:v>
      </x:c>
      <x:c r="D1325" s="21" t="str">
        <x:v>artifact 138 eligibility equation</x:v>
      </x:c>
      <x:c r="E1325" s="21" t="n">
        <x:f>IF(ABS('Artifact Ledger'!P144-IF(AND('Artifact Ledger'!L144=1,'Artifact Ledger'!M144=1,'Artifact Ledger'!N144=1,'Artifact Ledger'!O144&gt;='Artifact Ledger'!G144),'Artifact Ledger'!K144,0))&lt;0.000001,1,0)</x:f>
        <x:v>1</x:v>
      </x:c>
      <x:c r="F1325" s="21" t="n">
        <x:v>1</x:v>
      </x:c>
      <x:c r="G1325" s="23" t="str">
        <x:f>IF(E1325=F1325,"PASS","FAIL")</x:f>
        <x:v>PASS</x:v>
      </x:c>
    </x:row>
    <x:row r="1326">
      <x:c r="B1326" s="21" t="str">
        <x:v>A01320</x:v>
      </x:c>
      <x:c r="C1326" s="21" t="str">
        <x:v>artifact</x:v>
      </x:c>
      <x:c r="D1326" s="21" t="str">
        <x:v>artifact 138 planning state</x:v>
      </x:c>
      <x:c r="E1326" s="21" t="n">
        <x:f>IF(AND('Artifact Ledger'!Q144="OPEN",'Artifact Ledger'!R144="HOLD"),1,0)</x:f>
        <x:v>1</x:v>
      </x:c>
      <x:c r="F1326" s="21" t="n">
        <x:v>1</x:v>
      </x:c>
      <x:c r="G1326" s="23" t="str">
        <x:f>IF(E1326=F1326,"PASS","FAIL")</x:f>
        <x:v>PASS</x:v>
      </x:c>
    </x:row>
    <x:row r="1327">
      <x:c r="B1327" s="21" t="str">
        <x:v>A01321</x:v>
      </x:c>
      <x:c r="C1327" s="21" t="str">
        <x:v>artifact</x:v>
      </x:c>
      <x:c r="D1327" s="21" t="str">
        <x:v>artifact 139 eligibility equation</x:v>
      </x:c>
      <x:c r="E1327" s="21" t="n">
        <x:f>IF(ABS('Artifact Ledger'!P145-IF(AND('Artifact Ledger'!L145=1,'Artifact Ledger'!M145=1,'Artifact Ledger'!N145=1,'Artifact Ledger'!O145&gt;='Artifact Ledger'!G145),'Artifact Ledger'!K145,0))&lt;0.000001,1,0)</x:f>
        <x:v>1</x:v>
      </x:c>
      <x:c r="F1327" s="21" t="n">
        <x:v>1</x:v>
      </x:c>
      <x:c r="G1327" s="23" t="str">
        <x:f>IF(E1327=F1327,"PASS","FAIL")</x:f>
        <x:v>PASS</x:v>
      </x:c>
    </x:row>
    <x:row r="1328">
      <x:c r="B1328" s="21" t="str">
        <x:v>A01322</x:v>
      </x:c>
      <x:c r="C1328" s="21" t="str">
        <x:v>artifact</x:v>
      </x:c>
      <x:c r="D1328" s="21" t="str">
        <x:v>artifact 139 planning state</x:v>
      </x:c>
      <x:c r="E1328" s="21" t="n">
        <x:f>IF(AND('Artifact Ledger'!Q145="OPEN",'Artifact Ledger'!R145="HOLD"),1,0)</x:f>
        <x:v>1</x:v>
      </x:c>
      <x:c r="F1328" s="21" t="n">
        <x:v>1</x:v>
      </x:c>
      <x:c r="G1328" s="23" t="str">
        <x:f>IF(E1328=F1328,"PASS","FAIL")</x:f>
        <x:v>PASS</x:v>
      </x:c>
    </x:row>
    <x:row r="1329">
      <x:c r="B1329" s="21" t="str">
        <x:v>A01323</x:v>
      </x:c>
      <x:c r="C1329" s="21" t="str">
        <x:v>artifact</x:v>
      </x:c>
      <x:c r="D1329" s="21" t="str">
        <x:v>artifact 140 eligibility equation</x:v>
      </x:c>
      <x:c r="E1329" s="21" t="n">
        <x:f>IF(ABS('Artifact Ledger'!P146-IF(AND('Artifact Ledger'!L146=1,'Artifact Ledger'!M146=1,'Artifact Ledger'!N146=1,'Artifact Ledger'!O146&gt;='Artifact Ledger'!G146),'Artifact Ledger'!K146,0))&lt;0.000001,1,0)</x:f>
        <x:v>1</x:v>
      </x:c>
      <x:c r="F1329" s="21" t="n">
        <x:v>1</x:v>
      </x:c>
      <x:c r="G1329" s="23" t="str">
        <x:f>IF(E1329=F1329,"PASS","FAIL")</x:f>
        <x:v>PASS</x:v>
      </x:c>
    </x:row>
    <x:row r="1330">
      <x:c r="B1330" s="21" t="str">
        <x:v>A01324</x:v>
      </x:c>
      <x:c r="C1330" s="21" t="str">
        <x:v>artifact</x:v>
      </x:c>
      <x:c r="D1330" s="21" t="str">
        <x:v>artifact 140 planning state</x:v>
      </x:c>
      <x:c r="E1330" s="21" t="n">
        <x:f>IF(AND('Artifact Ledger'!Q146="OPEN",'Artifact Ledger'!R146="HOLD"),1,0)</x:f>
        <x:v>1</x:v>
      </x:c>
      <x:c r="F1330" s="21" t="n">
        <x:v>1</x:v>
      </x:c>
      <x:c r="G1330" s="23" t="str">
        <x:f>IF(E1330=F1330,"PASS","FAIL")</x:f>
        <x:v>PASS</x:v>
      </x:c>
    </x:row>
    <x:row r="1331">
      <x:c r="B1331" s="21" t="str">
        <x:v>A01325</x:v>
      </x:c>
      <x:c r="C1331" s="21" t="str">
        <x:v>artifact</x:v>
      </x:c>
      <x:c r="D1331" s="21" t="str">
        <x:v>artifact 141 eligibility equation</x:v>
      </x:c>
      <x:c r="E1331" s="21" t="n">
        <x:f>IF(ABS('Artifact Ledger'!P147-IF(AND('Artifact Ledger'!L147=1,'Artifact Ledger'!M147=1,'Artifact Ledger'!N147=1,'Artifact Ledger'!O147&gt;='Artifact Ledger'!G147),'Artifact Ledger'!K147,0))&lt;0.000001,1,0)</x:f>
        <x:v>1</x:v>
      </x:c>
      <x:c r="F1331" s="21" t="n">
        <x:v>1</x:v>
      </x:c>
      <x:c r="G1331" s="23" t="str">
        <x:f>IF(E1331=F1331,"PASS","FAIL")</x:f>
        <x:v>PASS</x:v>
      </x:c>
    </x:row>
    <x:row r="1332">
      <x:c r="B1332" s="21" t="str">
        <x:v>A01326</x:v>
      </x:c>
      <x:c r="C1332" s="21" t="str">
        <x:v>artifact</x:v>
      </x:c>
      <x:c r="D1332" s="21" t="str">
        <x:v>artifact 141 planning state</x:v>
      </x:c>
      <x:c r="E1332" s="21" t="n">
        <x:f>IF(AND('Artifact Ledger'!Q147="OPEN",'Artifact Ledger'!R147="HOLD"),1,0)</x:f>
        <x:v>1</x:v>
      </x:c>
      <x:c r="F1332" s="21" t="n">
        <x:v>1</x:v>
      </x:c>
      <x:c r="G1332" s="23" t="str">
        <x:f>IF(E1332=F1332,"PASS","FAIL")</x:f>
        <x:v>PASS</x:v>
      </x:c>
    </x:row>
    <x:row r="1333">
      <x:c r="B1333" s="21" t="str">
        <x:v>A01327</x:v>
      </x:c>
      <x:c r="C1333" s="21" t="str">
        <x:v>artifact</x:v>
      </x:c>
      <x:c r="D1333" s="21" t="str">
        <x:v>artifact 142 eligibility equation</x:v>
      </x:c>
      <x:c r="E1333" s="21" t="n">
        <x:f>IF(ABS('Artifact Ledger'!P148-IF(AND('Artifact Ledger'!L148=1,'Artifact Ledger'!M148=1,'Artifact Ledger'!N148=1,'Artifact Ledger'!O148&gt;='Artifact Ledger'!G148),'Artifact Ledger'!K148,0))&lt;0.000001,1,0)</x:f>
        <x:v>1</x:v>
      </x:c>
      <x:c r="F1333" s="21" t="n">
        <x:v>1</x:v>
      </x:c>
      <x:c r="G1333" s="23" t="str">
        <x:f>IF(E1333=F1333,"PASS","FAIL")</x:f>
        <x:v>PASS</x:v>
      </x:c>
    </x:row>
    <x:row r="1334">
      <x:c r="B1334" s="21" t="str">
        <x:v>A01328</x:v>
      </x:c>
      <x:c r="C1334" s="21" t="str">
        <x:v>artifact</x:v>
      </x:c>
      <x:c r="D1334" s="21" t="str">
        <x:v>artifact 142 planning state</x:v>
      </x:c>
      <x:c r="E1334" s="21" t="n">
        <x:f>IF(AND('Artifact Ledger'!Q148="OPEN",'Artifact Ledger'!R148="HOLD"),1,0)</x:f>
        <x:v>1</x:v>
      </x:c>
      <x:c r="F1334" s="21" t="n">
        <x:v>1</x:v>
      </x:c>
      <x:c r="G1334" s="23" t="str">
        <x:f>IF(E1334=F1334,"PASS","FAIL")</x:f>
        <x:v>PASS</x:v>
      </x:c>
    </x:row>
    <x:row r="1335">
      <x:c r="B1335" s="21" t="str">
        <x:v>A01329</x:v>
      </x:c>
      <x:c r="C1335" s="21" t="str">
        <x:v>artifact</x:v>
      </x:c>
      <x:c r="D1335" s="21" t="str">
        <x:v>artifact 143 eligibility equation</x:v>
      </x:c>
      <x:c r="E1335" s="21" t="n">
        <x:f>IF(ABS('Artifact Ledger'!P149-IF(AND('Artifact Ledger'!L149=1,'Artifact Ledger'!M149=1,'Artifact Ledger'!N149=1,'Artifact Ledger'!O149&gt;='Artifact Ledger'!G149),'Artifact Ledger'!K149,0))&lt;0.000001,1,0)</x:f>
        <x:v>1</x:v>
      </x:c>
      <x:c r="F1335" s="21" t="n">
        <x:v>1</x:v>
      </x:c>
      <x:c r="G1335" s="23" t="str">
        <x:f>IF(E1335=F1335,"PASS","FAIL")</x:f>
        <x:v>PASS</x:v>
      </x:c>
    </x:row>
    <x:row r="1336">
      <x:c r="B1336" s="21" t="str">
        <x:v>A01330</x:v>
      </x:c>
      <x:c r="C1336" s="21" t="str">
        <x:v>artifact</x:v>
      </x:c>
      <x:c r="D1336" s="21" t="str">
        <x:v>artifact 143 planning state</x:v>
      </x:c>
      <x:c r="E1336" s="21" t="n">
        <x:f>IF(AND('Artifact Ledger'!Q149="OPEN",'Artifact Ledger'!R149="HOLD"),1,0)</x:f>
        <x:v>1</x:v>
      </x:c>
      <x:c r="F1336" s="21" t="n">
        <x:v>1</x:v>
      </x:c>
      <x:c r="G1336" s="23" t="str">
        <x:f>IF(E1336=F1336,"PASS","FAIL")</x:f>
        <x:v>PASS</x:v>
      </x:c>
    </x:row>
    <x:row r="1337">
      <x:c r="B1337" s="21" t="str">
        <x:v>A01331</x:v>
      </x:c>
      <x:c r="C1337" s="21" t="str">
        <x:v>artifact</x:v>
      </x:c>
      <x:c r="D1337" s="21" t="str">
        <x:v>artifact 144 eligibility equation</x:v>
      </x:c>
      <x:c r="E1337" s="21" t="n">
        <x:f>IF(ABS('Artifact Ledger'!P150-IF(AND('Artifact Ledger'!L150=1,'Artifact Ledger'!M150=1,'Artifact Ledger'!N150=1,'Artifact Ledger'!O150&gt;='Artifact Ledger'!G150),'Artifact Ledger'!K150,0))&lt;0.000001,1,0)</x:f>
        <x:v>1</x:v>
      </x:c>
      <x:c r="F1337" s="21" t="n">
        <x:v>1</x:v>
      </x:c>
      <x:c r="G1337" s="23" t="str">
        <x:f>IF(E1337=F1337,"PASS","FAIL")</x:f>
        <x:v>PASS</x:v>
      </x:c>
    </x:row>
    <x:row r="1338">
      <x:c r="B1338" s="21" t="str">
        <x:v>A01332</x:v>
      </x:c>
      <x:c r="C1338" s="21" t="str">
        <x:v>artifact</x:v>
      </x:c>
      <x:c r="D1338" s="21" t="str">
        <x:v>artifact 144 planning state</x:v>
      </x:c>
      <x:c r="E1338" s="21" t="n">
        <x:f>IF(AND('Artifact Ledger'!Q150="OPEN",'Artifact Ledger'!R150="HOLD"),1,0)</x:f>
        <x:v>1</x:v>
      </x:c>
      <x:c r="F1338" s="21" t="n">
        <x:v>1</x:v>
      </x:c>
      <x:c r="G1338" s="23" t="str">
        <x:f>IF(E1338=F1338,"PASS","FAIL")</x:f>
        <x:v>PASS</x:v>
      </x:c>
    </x:row>
    <x:row r="1339">
      <x:c r="B1339" s="21" t="str">
        <x:v>A01333</x:v>
      </x:c>
      <x:c r="C1339" s="21" t="str">
        <x:v>artifact</x:v>
      </x:c>
      <x:c r="D1339" s="21" t="str">
        <x:v>artifact 145 eligibility equation</x:v>
      </x:c>
      <x:c r="E1339" s="21" t="n">
        <x:f>IF(ABS('Artifact Ledger'!P151-IF(AND('Artifact Ledger'!L151=1,'Artifact Ledger'!M151=1,'Artifact Ledger'!N151=1,'Artifact Ledger'!O151&gt;='Artifact Ledger'!G151),'Artifact Ledger'!K151,0))&lt;0.000001,1,0)</x:f>
        <x:v>1</x:v>
      </x:c>
      <x:c r="F1339" s="21" t="n">
        <x:v>1</x:v>
      </x:c>
      <x:c r="G1339" s="23" t="str">
        <x:f>IF(E1339=F1339,"PASS","FAIL")</x:f>
        <x:v>PASS</x:v>
      </x:c>
    </x:row>
    <x:row r="1340">
      <x:c r="B1340" s="21" t="str">
        <x:v>A01334</x:v>
      </x:c>
      <x:c r="C1340" s="21" t="str">
        <x:v>artifact</x:v>
      </x:c>
      <x:c r="D1340" s="21" t="str">
        <x:v>artifact 145 planning state</x:v>
      </x:c>
      <x:c r="E1340" s="21" t="n">
        <x:f>IF(AND('Artifact Ledger'!Q151="OPEN",'Artifact Ledger'!R151="HOLD"),1,0)</x:f>
        <x:v>1</x:v>
      </x:c>
      <x:c r="F1340" s="21" t="n">
        <x:v>1</x:v>
      </x:c>
      <x:c r="G1340" s="23" t="str">
        <x:f>IF(E1340=F1340,"PASS","FAIL")</x:f>
        <x:v>PASS</x:v>
      </x:c>
    </x:row>
    <x:row r="1341">
      <x:c r="B1341" s="21" t="str">
        <x:v>A01335</x:v>
      </x:c>
      <x:c r="C1341" s="21" t="str">
        <x:v>artifact</x:v>
      </x:c>
      <x:c r="D1341" s="21" t="str">
        <x:v>artifact 146 eligibility equation</x:v>
      </x:c>
      <x:c r="E1341" s="21" t="n">
        <x:f>IF(ABS('Artifact Ledger'!P152-IF(AND('Artifact Ledger'!L152=1,'Artifact Ledger'!M152=1,'Artifact Ledger'!N152=1,'Artifact Ledger'!O152&gt;='Artifact Ledger'!G152),'Artifact Ledger'!K152,0))&lt;0.000001,1,0)</x:f>
        <x:v>1</x:v>
      </x:c>
      <x:c r="F1341" s="21" t="n">
        <x:v>1</x:v>
      </x:c>
      <x:c r="G1341" s="23" t="str">
        <x:f>IF(E1341=F1341,"PASS","FAIL")</x:f>
        <x:v>PASS</x:v>
      </x:c>
    </x:row>
    <x:row r="1342">
      <x:c r="B1342" s="21" t="str">
        <x:v>A01336</x:v>
      </x:c>
      <x:c r="C1342" s="21" t="str">
        <x:v>artifact</x:v>
      </x:c>
      <x:c r="D1342" s="21" t="str">
        <x:v>artifact 146 planning state</x:v>
      </x:c>
      <x:c r="E1342" s="21" t="n">
        <x:f>IF(AND('Artifact Ledger'!Q152="OPEN",'Artifact Ledger'!R152="HOLD"),1,0)</x:f>
        <x:v>1</x:v>
      </x:c>
      <x:c r="F1342" s="21" t="n">
        <x:v>1</x:v>
      </x:c>
      <x:c r="G1342" s="23" t="str">
        <x:f>IF(E1342=F1342,"PASS","FAIL")</x:f>
        <x:v>PASS</x:v>
      </x:c>
    </x:row>
    <x:row r="1343">
      <x:c r="B1343" s="21" t="str">
        <x:v>A01337</x:v>
      </x:c>
      <x:c r="C1343" s="21" t="str">
        <x:v>artifact</x:v>
      </x:c>
      <x:c r="D1343" s="21" t="str">
        <x:v>artifact 147 eligibility equation</x:v>
      </x:c>
      <x:c r="E1343" s="21" t="n">
        <x:f>IF(ABS('Artifact Ledger'!P153-IF(AND('Artifact Ledger'!L153=1,'Artifact Ledger'!M153=1,'Artifact Ledger'!N153=1,'Artifact Ledger'!O153&gt;='Artifact Ledger'!G153),'Artifact Ledger'!K153,0))&lt;0.000001,1,0)</x:f>
        <x:v>1</x:v>
      </x:c>
      <x:c r="F1343" s="21" t="n">
        <x:v>1</x:v>
      </x:c>
      <x:c r="G1343" s="23" t="str">
        <x:f>IF(E1343=F1343,"PASS","FAIL")</x:f>
        <x:v>PASS</x:v>
      </x:c>
    </x:row>
    <x:row r="1344">
      <x:c r="B1344" s="21" t="str">
        <x:v>A01338</x:v>
      </x:c>
      <x:c r="C1344" s="21" t="str">
        <x:v>artifact</x:v>
      </x:c>
      <x:c r="D1344" s="21" t="str">
        <x:v>artifact 147 planning state</x:v>
      </x:c>
      <x:c r="E1344" s="21" t="n">
        <x:f>IF(AND('Artifact Ledger'!Q153="OPEN",'Artifact Ledger'!R153="HOLD"),1,0)</x:f>
        <x:v>1</x:v>
      </x:c>
      <x:c r="F1344" s="21" t="n">
        <x:v>1</x:v>
      </x:c>
      <x:c r="G1344" s="23" t="str">
        <x:f>IF(E1344=F1344,"PASS","FAIL")</x:f>
        <x:v>PASS</x:v>
      </x:c>
    </x:row>
    <x:row r="1345">
      <x:c r="B1345" s="21" t="str">
        <x:v>A01339</x:v>
      </x:c>
      <x:c r="C1345" s="21" t="str">
        <x:v>artifact</x:v>
      </x:c>
      <x:c r="D1345" s="21" t="str">
        <x:v>artifact 148 eligibility equation</x:v>
      </x:c>
      <x:c r="E1345" s="21" t="n">
        <x:f>IF(ABS('Artifact Ledger'!P154-IF(AND('Artifact Ledger'!L154=1,'Artifact Ledger'!M154=1,'Artifact Ledger'!N154=1,'Artifact Ledger'!O154&gt;='Artifact Ledger'!G154),'Artifact Ledger'!K154,0))&lt;0.000001,1,0)</x:f>
        <x:v>1</x:v>
      </x:c>
      <x:c r="F1345" s="21" t="n">
        <x:v>1</x:v>
      </x:c>
      <x:c r="G1345" s="23" t="str">
        <x:f>IF(E1345=F1345,"PASS","FAIL")</x:f>
        <x:v>PASS</x:v>
      </x:c>
    </x:row>
    <x:row r="1346">
      <x:c r="B1346" s="21" t="str">
        <x:v>A01340</x:v>
      </x:c>
      <x:c r="C1346" s="21" t="str">
        <x:v>artifact</x:v>
      </x:c>
      <x:c r="D1346" s="21" t="str">
        <x:v>artifact 148 planning state</x:v>
      </x:c>
      <x:c r="E1346" s="21" t="n">
        <x:f>IF(AND('Artifact Ledger'!Q154="OPEN",'Artifact Ledger'!R154="HOLD"),1,0)</x:f>
        <x:v>1</x:v>
      </x:c>
      <x:c r="F1346" s="21" t="n">
        <x:v>1</x:v>
      </x:c>
      <x:c r="G1346" s="23" t="str">
        <x:f>IF(E1346=F1346,"PASS","FAIL")</x:f>
        <x:v>PASS</x:v>
      </x:c>
    </x:row>
    <x:row r="1347">
      <x:c r="B1347" s="21" t="str">
        <x:v>A01341</x:v>
      </x:c>
      <x:c r="C1347" s="21" t="str">
        <x:v>artifact</x:v>
      </x:c>
      <x:c r="D1347" s="21" t="str">
        <x:v>artifact 149 eligibility equation</x:v>
      </x:c>
      <x:c r="E1347" s="21" t="n">
        <x:f>IF(ABS('Artifact Ledger'!P155-IF(AND('Artifact Ledger'!L155=1,'Artifact Ledger'!M155=1,'Artifact Ledger'!N155=1,'Artifact Ledger'!O155&gt;='Artifact Ledger'!G155),'Artifact Ledger'!K155,0))&lt;0.000001,1,0)</x:f>
        <x:v>1</x:v>
      </x:c>
      <x:c r="F1347" s="21" t="n">
        <x:v>1</x:v>
      </x:c>
      <x:c r="G1347" s="23" t="str">
        <x:f>IF(E1347=F1347,"PASS","FAIL")</x:f>
        <x:v>PASS</x:v>
      </x:c>
    </x:row>
    <x:row r="1348">
      <x:c r="B1348" s="21" t="str">
        <x:v>A01342</x:v>
      </x:c>
      <x:c r="C1348" s="21" t="str">
        <x:v>artifact</x:v>
      </x:c>
      <x:c r="D1348" s="21" t="str">
        <x:v>artifact 149 planning state</x:v>
      </x:c>
      <x:c r="E1348" s="21" t="n">
        <x:f>IF(AND('Artifact Ledger'!Q155="OPEN",'Artifact Ledger'!R155="HOLD"),1,0)</x:f>
        <x:v>1</x:v>
      </x:c>
      <x:c r="F1348" s="21" t="n">
        <x:v>1</x:v>
      </x:c>
      <x:c r="G1348" s="23" t="str">
        <x:f>IF(E1348=F1348,"PASS","FAIL")</x:f>
        <x:v>PASS</x:v>
      </x:c>
    </x:row>
    <x:row r="1349">
      <x:c r="B1349" s="21" t="str">
        <x:v>A01343</x:v>
      </x:c>
      <x:c r="C1349" s="21" t="str">
        <x:v>artifact</x:v>
      </x:c>
      <x:c r="D1349" s="21" t="str">
        <x:v>artifact 150 eligibility equation</x:v>
      </x:c>
      <x:c r="E1349" s="21" t="n">
        <x:f>IF(ABS('Artifact Ledger'!P156-IF(AND('Artifact Ledger'!L156=1,'Artifact Ledger'!M156=1,'Artifact Ledger'!N156=1,'Artifact Ledger'!O156&gt;='Artifact Ledger'!G156),'Artifact Ledger'!K156,0))&lt;0.000001,1,0)</x:f>
        <x:v>1</x:v>
      </x:c>
      <x:c r="F1349" s="21" t="n">
        <x:v>1</x:v>
      </x:c>
      <x:c r="G1349" s="23" t="str">
        <x:f>IF(E1349=F1349,"PASS","FAIL")</x:f>
        <x:v>PASS</x:v>
      </x:c>
    </x:row>
    <x:row r="1350">
      <x:c r="B1350" s="21" t="str">
        <x:v>A01344</x:v>
      </x:c>
      <x:c r="C1350" s="21" t="str">
        <x:v>artifact</x:v>
      </x:c>
      <x:c r="D1350" s="21" t="str">
        <x:v>artifact 150 planning state</x:v>
      </x:c>
      <x:c r="E1350" s="21" t="n">
        <x:f>IF(AND('Artifact Ledger'!Q156="OPEN",'Artifact Ledger'!R156="HOLD"),1,0)</x:f>
        <x:v>1</x:v>
      </x:c>
      <x:c r="F1350" s="21" t="n">
        <x:v>1</x:v>
      </x:c>
      <x:c r="G1350" s="23" t="str">
        <x:f>IF(E1350=F1350,"PASS","FAIL")</x:f>
        <x:v>PASS</x:v>
      </x:c>
    </x:row>
    <x:row r="1351">
      <x:c r="B1351" s="21" t="str">
        <x:v>A01345</x:v>
      </x:c>
      <x:c r="C1351" s="21" t="str">
        <x:v>artifact</x:v>
      </x:c>
      <x:c r="D1351" s="21" t="str">
        <x:v>artifact 151 eligibility equation</x:v>
      </x:c>
      <x:c r="E1351" s="21" t="n">
        <x:f>IF(ABS('Artifact Ledger'!P157-IF(AND('Artifact Ledger'!L157=1,'Artifact Ledger'!M157=1,'Artifact Ledger'!N157=1,'Artifact Ledger'!O157&gt;='Artifact Ledger'!G157),'Artifact Ledger'!K157,0))&lt;0.000001,1,0)</x:f>
        <x:v>1</x:v>
      </x:c>
      <x:c r="F1351" s="21" t="n">
        <x:v>1</x:v>
      </x:c>
      <x:c r="G1351" s="23" t="str">
        <x:f>IF(E1351=F1351,"PASS","FAIL")</x:f>
        <x:v>PASS</x:v>
      </x:c>
    </x:row>
    <x:row r="1352">
      <x:c r="B1352" s="21" t="str">
        <x:v>A01346</x:v>
      </x:c>
      <x:c r="C1352" s="21" t="str">
        <x:v>artifact</x:v>
      </x:c>
      <x:c r="D1352" s="21" t="str">
        <x:v>artifact 151 planning state</x:v>
      </x:c>
      <x:c r="E1352" s="21" t="n">
        <x:f>IF(AND('Artifact Ledger'!Q157="OPEN",'Artifact Ledger'!R157="HOLD"),1,0)</x:f>
        <x:v>1</x:v>
      </x:c>
      <x:c r="F1352" s="21" t="n">
        <x:v>1</x:v>
      </x:c>
      <x:c r="G1352" s="23" t="str">
        <x:f>IF(E1352=F1352,"PASS","FAIL")</x:f>
        <x:v>PASS</x:v>
      </x:c>
    </x:row>
    <x:row r="1353">
      <x:c r="B1353" s="21" t="str">
        <x:v>A01347</x:v>
      </x:c>
      <x:c r="C1353" s="21" t="str">
        <x:v>artifact</x:v>
      </x:c>
      <x:c r="D1353" s="21" t="str">
        <x:v>artifact 152 eligibility equation</x:v>
      </x:c>
      <x:c r="E1353" s="21" t="n">
        <x:f>IF(ABS('Artifact Ledger'!P158-IF(AND('Artifact Ledger'!L158=1,'Artifact Ledger'!M158=1,'Artifact Ledger'!N158=1,'Artifact Ledger'!O158&gt;='Artifact Ledger'!G158),'Artifact Ledger'!K158,0))&lt;0.000001,1,0)</x:f>
        <x:v>1</x:v>
      </x:c>
      <x:c r="F1353" s="21" t="n">
        <x:v>1</x:v>
      </x:c>
      <x:c r="G1353" s="23" t="str">
        <x:f>IF(E1353=F1353,"PASS","FAIL")</x:f>
        <x:v>PASS</x:v>
      </x:c>
    </x:row>
    <x:row r="1354">
      <x:c r="B1354" s="21" t="str">
        <x:v>A01348</x:v>
      </x:c>
      <x:c r="C1354" s="21" t="str">
        <x:v>artifact</x:v>
      </x:c>
      <x:c r="D1354" s="21" t="str">
        <x:v>artifact 152 planning state</x:v>
      </x:c>
      <x:c r="E1354" s="21" t="n">
        <x:f>IF(AND('Artifact Ledger'!Q158="OPEN",'Artifact Ledger'!R158="HOLD"),1,0)</x:f>
        <x:v>1</x:v>
      </x:c>
      <x:c r="F1354" s="21" t="n">
        <x:v>1</x:v>
      </x:c>
      <x:c r="G1354" s="23" t="str">
        <x:f>IF(E1354=F1354,"PASS","FAIL")</x:f>
        <x:v>PASS</x:v>
      </x:c>
    </x:row>
    <x:row r="1355">
      <x:c r="B1355" s="21" t="str">
        <x:v>A01349</x:v>
      </x:c>
      <x:c r="C1355" s="21" t="str">
        <x:v>artifact</x:v>
      </x:c>
      <x:c r="D1355" s="21" t="str">
        <x:v>artifact 153 eligibility equation</x:v>
      </x:c>
      <x:c r="E1355" s="21" t="n">
        <x:f>IF(ABS('Artifact Ledger'!P159-IF(AND('Artifact Ledger'!L159=1,'Artifact Ledger'!M159=1,'Artifact Ledger'!N159=1,'Artifact Ledger'!O159&gt;='Artifact Ledger'!G159),'Artifact Ledger'!K159,0))&lt;0.000001,1,0)</x:f>
        <x:v>1</x:v>
      </x:c>
      <x:c r="F1355" s="21" t="n">
        <x:v>1</x:v>
      </x:c>
      <x:c r="G1355" s="23" t="str">
        <x:f>IF(E1355=F1355,"PASS","FAIL")</x:f>
        <x:v>PASS</x:v>
      </x:c>
    </x:row>
    <x:row r="1356">
      <x:c r="B1356" s="21" t="str">
        <x:v>A01350</x:v>
      </x:c>
      <x:c r="C1356" s="21" t="str">
        <x:v>artifact</x:v>
      </x:c>
      <x:c r="D1356" s="21" t="str">
        <x:v>artifact 153 planning state</x:v>
      </x:c>
      <x:c r="E1356" s="21" t="n">
        <x:f>IF(AND('Artifact Ledger'!Q159="OPEN",'Artifact Ledger'!R159="HOLD"),1,0)</x:f>
        <x:v>1</x:v>
      </x:c>
      <x:c r="F1356" s="21" t="n">
        <x:v>1</x:v>
      </x:c>
      <x:c r="G1356" s="23" t="str">
        <x:f>IF(E1356=F1356,"PASS","FAIL")</x:f>
        <x:v>PASS</x:v>
      </x:c>
    </x:row>
    <x:row r="1357">
      <x:c r="B1357" s="21" t="str">
        <x:v>A01351</x:v>
      </x:c>
      <x:c r="C1357" s="21" t="str">
        <x:v>artifact</x:v>
      </x:c>
      <x:c r="D1357" s="21" t="str">
        <x:v>artifact 154 eligibility equation</x:v>
      </x:c>
      <x:c r="E1357" s="21" t="n">
        <x:f>IF(ABS('Artifact Ledger'!P160-IF(AND('Artifact Ledger'!L160=1,'Artifact Ledger'!M160=1,'Artifact Ledger'!N160=1,'Artifact Ledger'!O160&gt;='Artifact Ledger'!G160),'Artifact Ledger'!K160,0))&lt;0.000001,1,0)</x:f>
        <x:v>1</x:v>
      </x:c>
      <x:c r="F1357" s="21" t="n">
        <x:v>1</x:v>
      </x:c>
      <x:c r="G1357" s="23" t="str">
        <x:f>IF(E1357=F1357,"PASS","FAIL")</x:f>
        <x:v>PASS</x:v>
      </x:c>
    </x:row>
    <x:row r="1358">
      <x:c r="B1358" s="21" t="str">
        <x:v>A01352</x:v>
      </x:c>
      <x:c r="C1358" s="21" t="str">
        <x:v>artifact</x:v>
      </x:c>
      <x:c r="D1358" s="21" t="str">
        <x:v>artifact 154 planning state</x:v>
      </x:c>
      <x:c r="E1358" s="21" t="n">
        <x:f>IF(AND('Artifact Ledger'!Q160="OPEN",'Artifact Ledger'!R160="HOLD"),1,0)</x:f>
        <x:v>1</x:v>
      </x:c>
      <x:c r="F1358" s="21" t="n">
        <x:v>1</x:v>
      </x:c>
      <x:c r="G1358" s="23" t="str">
        <x:f>IF(E1358=F1358,"PASS","FAIL")</x:f>
        <x:v>PASS</x:v>
      </x:c>
    </x:row>
    <x:row r="1359">
      <x:c r="B1359" s="21" t="str">
        <x:v>A01353</x:v>
      </x:c>
      <x:c r="C1359" s="21" t="str">
        <x:v>artifact</x:v>
      </x:c>
      <x:c r="D1359" s="21" t="str">
        <x:v>artifact 155 eligibility equation</x:v>
      </x:c>
      <x:c r="E1359" s="21" t="n">
        <x:f>IF(ABS('Artifact Ledger'!P161-IF(AND('Artifact Ledger'!L161=1,'Artifact Ledger'!M161=1,'Artifact Ledger'!N161=1,'Artifact Ledger'!O161&gt;='Artifact Ledger'!G161),'Artifact Ledger'!K161,0))&lt;0.000001,1,0)</x:f>
        <x:v>1</x:v>
      </x:c>
      <x:c r="F1359" s="21" t="n">
        <x:v>1</x:v>
      </x:c>
      <x:c r="G1359" s="23" t="str">
        <x:f>IF(E1359=F1359,"PASS","FAIL")</x:f>
        <x:v>PASS</x:v>
      </x:c>
    </x:row>
    <x:row r="1360">
      <x:c r="B1360" s="21" t="str">
        <x:v>A01354</x:v>
      </x:c>
      <x:c r="C1360" s="21" t="str">
        <x:v>artifact</x:v>
      </x:c>
      <x:c r="D1360" s="21" t="str">
        <x:v>artifact 155 planning state</x:v>
      </x:c>
      <x:c r="E1360" s="21" t="n">
        <x:f>IF(AND('Artifact Ledger'!Q161="OPEN",'Artifact Ledger'!R161="HOLD"),1,0)</x:f>
        <x:v>1</x:v>
      </x:c>
      <x:c r="F1360" s="21" t="n">
        <x:v>1</x:v>
      </x:c>
      <x:c r="G1360" s="23" t="str">
        <x:f>IF(E1360=F1360,"PASS","FAIL")</x:f>
        <x:v>PASS</x:v>
      </x:c>
    </x:row>
    <x:row r="1361">
      <x:c r="B1361" s="21" t="str">
        <x:v>A01355</x:v>
      </x:c>
      <x:c r="C1361" s="21" t="str">
        <x:v>artifact</x:v>
      </x:c>
      <x:c r="D1361" s="21" t="str">
        <x:v>artifact 156 eligibility equation</x:v>
      </x:c>
      <x:c r="E1361" s="21" t="n">
        <x:f>IF(ABS('Artifact Ledger'!P162-IF(AND('Artifact Ledger'!L162=1,'Artifact Ledger'!M162=1,'Artifact Ledger'!N162=1,'Artifact Ledger'!O162&gt;='Artifact Ledger'!G162),'Artifact Ledger'!K162,0))&lt;0.000001,1,0)</x:f>
        <x:v>1</x:v>
      </x:c>
      <x:c r="F1361" s="21" t="n">
        <x:v>1</x:v>
      </x:c>
      <x:c r="G1361" s="23" t="str">
        <x:f>IF(E1361=F1361,"PASS","FAIL")</x:f>
        <x:v>PASS</x:v>
      </x:c>
    </x:row>
    <x:row r="1362">
      <x:c r="B1362" s="21" t="str">
        <x:v>A01356</x:v>
      </x:c>
      <x:c r="C1362" s="21" t="str">
        <x:v>artifact</x:v>
      </x:c>
      <x:c r="D1362" s="21" t="str">
        <x:v>artifact 156 planning state</x:v>
      </x:c>
      <x:c r="E1362" s="21" t="n">
        <x:f>IF(AND('Artifact Ledger'!Q162="OPEN",'Artifact Ledger'!R162="HOLD"),1,0)</x:f>
        <x:v>1</x:v>
      </x:c>
      <x:c r="F1362" s="21" t="n">
        <x:v>1</x:v>
      </x:c>
      <x:c r="G1362" s="23" t="str">
        <x:f>IF(E1362=F1362,"PASS","FAIL")</x:f>
        <x:v>PASS</x:v>
      </x:c>
    </x:row>
    <x:row r="1363">
      <x:c r="B1363" s="21" t="str">
        <x:v>A01357</x:v>
      </x:c>
      <x:c r="C1363" s="21" t="str">
        <x:v>artifact</x:v>
      </x:c>
      <x:c r="D1363" s="21" t="str">
        <x:v>artifact 157 eligibility equation</x:v>
      </x:c>
      <x:c r="E1363" s="21" t="n">
        <x:f>IF(ABS('Artifact Ledger'!P163-IF(AND('Artifact Ledger'!L163=1,'Artifact Ledger'!M163=1,'Artifact Ledger'!N163=1,'Artifact Ledger'!O163&gt;='Artifact Ledger'!G163),'Artifact Ledger'!K163,0))&lt;0.000001,1,0)</x:f>
        <x:v>1</x:v>
      </x:c>
      <x:c r="F1363" s="21" t="n">
        <x:v>1</x:v>
      </x:c>
      <x:c r="G1363" s="23" t="str">
        <x:f>IF(E1363=F1363,"PASS","FAIL")</x:f>
        <x:v>PASS</x:v>
      </x:c>
    </x:row>
    <x:row r="1364">
      <x:c r="B1364" s="21" t="str">
        <x:v>A01358</x:v>
      </x:c>
      <x:c r="C1364" s="21" t="str">
        <x:v>artifact</x:v>
      </x:c>
      <x:c r="D1364" s="21" t="str">
        <x:v>artifact 157 planning state</x:v>
      </x:c>
      <x:c r="E1364" s="21" t="n">
        <x:f>IF(AND('Artifact Ledger'!Q163="OPEN",'Artifact Ledger'!R163="HOLD"),1,0)</x:f>
        <x:v>1</x:v>
      </x:c>
      <x:c r="F1364" s="21" t="n">
        <x:v>1</x:v>
      </x:c>
      <x:c r="G1364" s="23" t="str">
        <x:f>IF(E1364=F1364,"PASS","FAIL")</x:f>
        <x:v>PASS</x:v>
      </x:c>
    </x:row>
    <x:row r="1365">
      <x:c r="B1365" s="21" t="str">
        <x:v>A01359</x:v>
      </x:c>
      <x:c r="C1365" s="21" t="str">
        <x:v>artifact</x:v>
      </x:c>
      <x:c r="D1365" s="21" t="str">
        <x:v>artifact 158 eligibility equation</x:v>
      </x:c>
      <x:c r="E1365" s="21" t="n">
        <x:f>IF(ABS('Artifact Ledger'!P164-IF(AND('Artifact Ledger'!L164=1,'Artifact Ledger'!M164=1,'Artifact Ledger'!N164=1,'Artifact Ledger'!O164&gt;='Artifact Ledger'!G164),'Artifact Ledger'!K164,0))&lt;0.000001,1,0)</x:f>
        <x:v>1</x:v>
      </x:c>
      <x:c r="F1365" s="21" t="n">
        <x:v>1</x:v>
      </x:c>
      <x:c r="G1365" s="23" t="str">
        <x:f>IF(E1365=F1365,"PASS","FAIL")</x:f>
        <x:v>PASS</x:v>
      </x:c>
    </x:row>
    <x:row r="1366">
      <x:c r="B1366" s="21" t="str">
        <x:v>A01360</x:v>
      </x:c>
      <x:c r="C1366" s="21" t="str">
        <x:v>artifact</x:v>
      </x:c>
      <x:c r="D1366" s="21" t="str">
        <x:v>artifact 158 planning state</x:v>
      </x:c>
      <x:c r="E1366" s="21" t="n">
        <x:f>IF(AND('Artifact Ledger'!Q164="OPEN",'Artifact Ledger'!R164="HOLD"),1,0)</x:f>
        <x:v>1</x:v>
      </x:c>
      <x:c r="F1366" s="21" t="n">
        <x:v>1</x:v>
      </x:c>
      <x:c r="G1366" s="23" t="str">
        <x:f>IF(E1366=F1366,"PASS","FAIL")</x:f>
        <x:v>PASS</x:v>
      </x:c>
    </x:row>
    <x:row r="1367">
      <x:c r="B1367" s="21" t="str">
        <x:v>A01361</x:v>
      </x:c>
      <x:c r="C1367" s="21" t="str">
        <x:v>artifact</x:v>
      </x:c>
      <x:c r="D1367" s="21" t="str">
        <x:v>artifact 159 eligibility equation</x:v>
      </x:c>
      <x:c r="E1367" s="21" t="n">
        <x:f>IF(ABS('Artifact Ledger'!P165-IF(AND('Artifact Ledger'!L165=1,'Artifact Ledger'!M165=1,'Artifact Ledger'!N165=1,'Artifact Ledger'!O165&gt;='Artifact Ledger'!G165),'Artifact Ledger'!K165,0))&lt;0.000001,1,0)</x:f>
        <x:v>1</x:v>
      </x:c>
      <x:c r="F1367" s="21" t="n">
        <x:v>1</x:v>
      </x:c>
      <x:c r="G1367" s="23" t="str">
        <x:f>IF(E1367=F1367,"PASS","FAIL")</x:f>
        <x:v>PASS</x:v>
      </x:c>
    </x:row>
    <x:row r="1368">
      <x:c r="B1368" s="21" t="str">
        <x:v>A01362</x:v>
      </x:c>
      <x:c r="C1368" s="21" t="str">
        <x:v>artifact</x:v>
      </x:c>
      <x:c r="D1368" s="21" t="str">
        <x:v>artifact 159 planning state</x:v>
      </x:c>
      <x:c r="E1368" s="21" t="n">
        <x:f>IF(AND('Artifact Ledger'!Q165="OPEN",'Artifact Ledger'!R165="HOLD"),1,0)</x:f>
        <x:v>1</x:v>
      </x:c>
      <x:c r="F1368" s="21" t="n">
        <x:v>1</x:v>
      </x:c>
      <x:c r="G1368" s="23" t="str">
        <x:f>IF(E1368=F1368,"PASS","FAIL")</x:f>
        <x:v>PASS</x:v>
      </x:c>
    </x:row>
    <x:row r="1369">
      <x:c r="B1369" s="21" t="str">
        <x:v>A01363</x:v>
      </x:c>
      <x:c r="C1369" s="21" t="str">
        <x:v>artifact</x:v>
      </x:c>
      <x:c r="D1369" s="21" t="str">
        <x:v>artifact 160 eligibility equation</x:v>
      </x:c>
      <x:c r="E1369" s="21" t="n">
        <x:f>IF(ABS('Artifact Ledger'!P166-IF(AND('Artifact Ledger'!L166=1,'Artifact Ledger'!M166=1,'Artifact Ledger'!N166=1,'Artifact Ledger'!O166&gt;='Artifact Ledger'!G166),'Artifact Ledger'!K166,0))&lt;0.000001,1,0)</x:f>
        <x:v>1</x:v>
      </x:c>
      <x:c r="F1369" s="21" t="n">
        <x:v>1</x:v>
      </x:c>
      <x:c r="G1369" s="23" t="str">
        <x:f>IF(E1369=F1369,"PASS","FAIL")</x:f>
        <x:v>PASS</x:v>
      </x:c>
    </x:row>
    <x:row r="1370">
      <x:c r="B1370" s="21" t="str">
        <x:v>A01364</x:v>
      </x:c>
      <x:c r="C1370" s="21" t="str">
        <x:v>artifact</x:v>
      </x:c>
      <x:c r="D1370" s="21" t="str">
        <x:v>artifact 160 planning state</x:v>
      </x:c>
      <x:c r="E1370" s="21" t="n">
        <x:f>IF(AND('Artifact Ledger'!Q166="OPEN",'Artifact Ledger'!R166="HOLD"),1,0)</x:f>
        <x:v>1</x:v>
      </x:c>
      <x:c r="F1370" s="21" t="n">
        <x:v>1</x:v>
      </x:c>
      <x:c r="G1370" s="23" t="str">
        <x:f>IF(E1370=F1370,"PASS","FAIL")</x:f>
        <x:v>PASS</x:v>
      </x:c>
    </x:row>
    <x:row r="1371">
      <x:c r="B1371" s="21" t="str">
        <x:v>A01365</x:v>
      </x:c>
      <x:c r="C1371" s="21" t="str">
        <x:v>artifact</x:v>
      </x:c>
      <x:c r="D1371" s="21" t="str">
        <x:v>artifact 161 eligibility equation</x:v>
      </x:c>
      <x:c r="E1371" s="21" t="n">
        <x:f>IF(ABS('Artifact Ledger'!P167-IF(AND('Artifact Ledger'!L167=1,'Artifact Ledger'!M167=1,'Artifact Ledger'!N167=1,'Artifact Ledger'!O167&gt;='Artifact Ledger'!G167),'Artifact Ledger'!K167,0))&lt;0.000001,1,0)</x:f>
        <x:v>1</x:v>
      </x:c>
      <x:c r="F1371" s="21" t="n">
        <x:v>1</x:v>
      </x:c>
      <x:c r="G1371" s="23" t="str">
        <x:f>IF(E1371=F1371,"PASS","FAIL")</x:f>
        <x:v>PASS</x:v>
      </x:c>
    </x:row>
    <x:row r="1372">
      <x:c r="B1372" s="21" t="str">
        <x:v>A01366</x:v>
      </x:c>
      <x:c r="C1372" s="21" t="str">
        <x:v>artifact</x:v>
      </x:c>
      <x:c r="D1372" s="21" t="str">
        <x:v>artifact 161 planning state</x:v>
      </x:c>
      <x:c r="E1372" s="21" t="n">
        <x:f>IF(AND('Artifact Ledger'!Q167="OPEN",'Artifact Ledger'!R167="HOLD"),1,0)</x:f>
        <x:v>1</x:v>
      </x:c>
      <x:c r="F1372" s="21" t="n">
        <x:v>1</x:v>
      </x:c>
      <x:c r="G1372" s="23" t="str">
        <x:f>IF(E1372=F1372,"PASS","FAIL")</x:f>
        <x:v>PASS</x:v>
      </x:c>
    </x:row>
    <x:row r="1373">
      <x:c r="B1373" s="21" t="str">
        <x:v>A01367</x:v>
      </x:c>
      <x:c r="C1373" s="21" t="str">
        <x:v>artifact</x:v>
      </x:c>
      <x:c r="D1373" s="21" t="str">
        <x:v>artifact 162 eligibility equation</x:v>
      </x:c>
      <x:c r="E1373" s="21" t="n">
        <x:f>IF(ABS('Artifact Ledger'!P168-IF(AND('Artifact Ledger'!L168=1,'Artifact Ledger'!M168=1,'Artifact Ledger'!N168=1,'Artifact Ledger'!O168&gt;='Artifact Ledger'!G168),'Artifact Ledger'!K168,0))&lt;0.000001,1,0)</x:f>
        <x:v>1</x:v>
      </x:c>
      <x:c r="F1373" s="21" t="n">
        <x:v>1</x:v>
      </x:c>
      <x:c r="G1373" s="23" t="str">
        <x:f>IF(E1373=F1373,"PASS","FAIL")</x:f>
        <x:v>PASS</x:v>
      </x:c>
    </x:row>
    <x:row r="1374">
      <x:c r="B1374" s="21" t="str">
        <x:v>A01368</x:v>
      </x:c>
      <x:c r="C1374" s="21" t="str">
        <x:v>artifact</x:v>
      </x:c>
      <x:c r="D1374" s="21" t="str">
        <x:v>artifact 162 planning state</x:v>
      </x:c>
      <x:c r="E1374" s="21" t="n">
        <x:f>IF(AND('Artifact Ledger'!Q168="OPEN",'Artifact Ledger'!R168="HOLD"),1,0)</x:f>
        <x:v>1</x:v>
      </x:c>
      <x:c r="F1374" s="21" t="n">
        <x:v>1</x:v>
      </x:c>
      <x:c r="G1374" s="23" t="str">
        <x:f>IF(E1374=F1374,"PASS","FAIL")</x:f>
        <x:v>PASS</x:v>
      </x:c>
    </x:row>
    <x:row r="1375">
      <x:c r="B1375" s="21" t="str">
        <x:v>A01369</x:v>
      </x:c>
      <x:c r="C1375" s="21" t="str">
        <x:v>artifact</x:v>
      </x:c>
      <x:c r="D1375" s="21" t="str">
        <x:v>artifact 163 eligibility equation</x:v>
      </x:c>
      <x:c r="E1375" s="21" t="n">
        <x:f>IF(ABS('Artifact Ledger'!P169-IF(AND('Artifact Ledger'!L169=1,'Artifact Ledger'!M169=1,'Artifact Ledger'!N169=1,'Artifact Ledger'!O169&gt;='Artifact Ledger'!G169),'Artifact Ledger'!K169,0))&lt;0.000001,1,0)</x:f>
        <x:v>1</x:v>
      </x:c>
      <x:c r="F1375" s="21" t="n">
        <x:v>1</x:v>
      </x:c>
      <x:c r="G1375" s="23" t="str">
        <x:f>IF(E1375=F1375,"PASS","FAIL")</x:f>
        <x:v>PASS</x:v>
      </x:c>
    </x:row>
    <x:row r="1376">
      <x:c r="B1376" s="21" t="str">
        <x:v>A01370</x:v>
      </x:c>
      <x:c r="C1376" s="21" t="str">
        <x:v>artifact</x:v>
      </x:c>
      <x:c r="D1376" s="21" t="str">
        <x:v>artifact 163 planning state</x:v>
      </x:c>
      <x:c r="E1376" s="21" t="n">
        <x:f>IF(AND('Artifact Ledger'!Q169="OPEN",'Artifact Ledger'!R169="HOLD"),1,0)</x:f>
        <x:v>1</x:v>
      </x:c>
      <x:c r="F1376" s="21" t="n">
        <x:v>1</x:v>
      </x:c>
      <x:c r="G1376" s="23" t="str">
        <x:f>IF(E1376=F1376,"PASS","FAIL")</x:f>
        <x:v>PASS</x:v>
      </x:c>
    </x:row>
    <x:row r="1377">
      <x:c r="B1377" s="21" t="str">
        <x:v>A01371</x:v>
      </x:c>
      <x:c r="C1377" s="21" t="str">
        <x:v>artifact</x:v>
      </x:c>
      <x:c r="D1377" s="21" t="str">
        <x:v>artifact 164 eligibility equation</x:v>
      </x:c>
      <x:c r="E1377" s="21" t="n">
        <x:f>IF(ABS('Artifact Ledger'!P170-IF(AND('Artifact Ledger'!L170=1,'Artifact Ledger'!M170=1,'Artifact Ledger'!N170=1,'Artifact Ledger'!O170&gt;='Artifact Ledger'!G170),'Artifact Ledger'!K170,0))&lt;0.000001,1,0)</x:f>
        <x:v>1</x:v>
      </x:c>
      <x:c r="F1377" s="21" t="n">
        <x:v>1</x:v>
      </x:c>
      <x:c r="G1377" s="23" t="str">
        <x:f>IF(E1377=F1377,"PASS","FAIL")</x:f>
        <x:v>PASS</x:v>
      </x:c>
    </x:row>
    <x:row r="1378">
      <x:c r="B1378" s="21" t="str">
        <x:v>A01372</x:v>
      </x:c>
      <x:c r="C1378" s="21" t="str">
        <x:v>artifact</x:v>
      </x:c>
      <x:c r="D1378" s="21" t="str">
        <x:v>artifact 164 planning state</x:v>
      </x:c>
      <x:c r="E1378" s="21" t="n">
        <x:f>IF(AND('Artifact Ledger'!Q170="OPEN",'Artifact Ledger'!R170="HOLD"),1,0)</x:f>
        <x:v>1</x:v>
      </x:c>
      <x:c r="F1378" s="21" t="n">
        <x:v>1</x:v>
      </x:c>
      <x:c r="G1378" s="23" t="str">
        <x:f>IF(E1378=F1378,"PASS","FAIL")</x:f>
        <x:v>PASS</x:v>
      </x:c>
    </x:row>
    <x:row r="1379">
      <x:c r="B1379" s="21" t="str">
        <x:v>A01373</x:v>
      </x:c>
      <x:c r="C1379" s="21" t="str">
        <x:v>artifact</x:v>
      </x:c>
      <x:c r="D1379" s="21" t="str">
        <x:v>artifact 165 eligibility equation</x:v>
      </x:c>
      <x:c r="E1379" s="21" t="n">
        <x:f>IF(ABS('Artifact Ledger'!P171-IF(AND('Artifact Ledger'!L171=1,'Artifact Ledger'!M171=1,'Artifact Ledger'!N171=1,'Artifact Ledger'!O171&gt;='Artifact Ledger'!G171),'Artifact Ledger'!K171,0))&lt;0.000001,1,0)</x:f>
        <x:v>1</x:v>
      </x:c>
      <x:c r="F1379" s="21" t="n">
        <x:v>1</x:v>
      </x:c>
      <x:c r="G1379" s="23" t="str">
        <x:f>IF(E1379=F1379,"PASS","FAIL")</x:f>
        <x:v>PASS</x:v>
      </x:c>
    </x:row>
    <x:row r="1380">
      <x:c r="B1380" s="21" t="str">
        <x:v>A01374</x:v>
      </x:c>
      <x:c r="C1380" s="21" t="str">
        <x:v>artifact</x:v>
      </x:c>
      <x:c r="D1380" s="21" t="str">
        <x:v>artifact 165 planning state</x:v>
      </x:c>
      <x:c r="E1380" s="21" t="n">
        <x:f>IF(AND('Artifact Ledger'!Q171="OPEN",'Artifact Ledger'!R171="HOLD"),1,0)</x:f>
        <x:v>1</x:v>
      </x:c>
      <x:c r="F1380" s="21" t="n">
        <x:v>1</x:v>
      </x:c>
      <x:c r="G1380" s="23" t="str">
        <x:f>IF(E1380=F1380,"PASS","FAIL")</x:f>
        <x:v>PASS</x:v>
      </x:c>
    </x:row>
    <x:row r="1381">
      <x:c r="B1381" s="21" t="str">
        <x:v>A01375</x:v>
      </x:c>
      <x:c r="C1381" s="21" t="str">
        <x:v>artifact</x:v>
      </x:c>
      <x:c r="D1381" s="21" t="str">
        <x:v>artifact 166 eligibility equation</x:v>
      </x:c>
      <x:c r="E1381" s="21" t="n">
        <x:f>IF(ABS('Artifact Ledger'!P172-IF(AND('Artifact Ledger'!L172=1,'Artifact Ledger'!M172=1,'Artifact Ledger'!N172=1,'Artifact Ledger'!O172&gt;='Artifact Ledger'!G172),'Artifact Ledger'!K172,0))&lt;0.000001,1,0)</x:f>
        <x:v>1</x:v>
      </x:c>
      <x:c r="F1381" s="21" t="n">
        <x:v>1</x:v>
      </x:c>
      <x:c r="G1381" s="23" t="str">
        <x:f>IF(E1381=F1381,"PASS","FAIL")</x:f>
        <x:v>PASS</x:v>
      </x:c>
    </x:row>
    <x:row r="1382">
      <x:c r="B1382" s="21" t="str">
        <x:v>A01376</x:v>
      </x:c>
      <x:c r="C1382" s="21" t="str">
        <x:v>artifact</x:v>
      </x:c>
      <x:c r="D1382" s="21" t="str">
        <x:v>artifact 166 planning state</x:v>
      </x:c>
      <x:c r="E1382" s="21" t="n">
        <x:f>IF(AND('Artifact Ledger'!Q172="OPEN",'Artifact Ledger'!R172="HOLD"),1,0)</x:f>
        <x:v>1</x:v>
      </x:c>
      <x:c r="F1382" s="21" t="n">
        <x:v>1</x:v>
      </x:c>
      <x:c r="G1382" s="23" t="str">
        <x:f>IF(E1382=F1382,"PASS","FAIL")</x:f>
        <x:v>PASS</x:v>
      </x:c>
    </x:row>
    <x:row r="1383">
      <x:c r="B1383" s="21" t="str">
        <x:v>A01377</x:v>
      </x:c>
      <x:c r="C1383" s="21" t="str">
        <x:v>artifact</x:v>
      </x:c>
      <x:c r="D1383" s="21" t="str">
        <x:v>artifact 167 eligibility equation</x:v>
      </x:c>
      <x:c r="E1383" s="21" t="n">
        <x:f>IF(ABS('Artifact Ledger'!P173-IF(AND('Artifact Ledger'!L173=1,'Artifact Ledger'!M173=1,'Artifact Ledger'!N173=1,'Artifact Ledger'!O173&gt;='Artifact Ledger'!G173),'Artifact Ledger'!K173,0))&lt;0.000001,1,0)</x:f>
        <x:v>1</x:v>
      </x:c>
      <x:c r="F1383" s="21" t="n">
        <x:v>1</x:v>
      </x:c>
      <x:c r="G1383" s="23" t="str">
        <x:f>IF(E1383=F1383,"PASS","FAIL")</x:f>
        <x:v>PASS</x:v>
      </x:c>
    </x:row>
    <x:row r="1384">
      <x:c r="B1384" s="21" t="str">
        <x:v>A01378</x:v>
      </x:c>
      <x:c r="C1384" s="21" t="str">
        <x:v>artifact</x:v>
      </x:c>
      <x:c r="D1384" s="21" t="str">
        <x:v>artifact 167 planning state</x:v>
      </x:c>
      <x:c r="E1384" s="21" t="n">
        <x:f>IF(AND('Artifact Ledger'!Q173="OPEN",'Artifact Ledger'!R173="HOLD"),1,0)</x:f>
        <x:v>1</x:v>
      </x:c>
      <x:c r="F1384" s="21" t="n">
        <x:v>1</x:v>
      </x:c>
      <x:c r="G1384" s="23" t="str">
        <x:f>IF(E1384=F1384,"PASS","FAIL")</x:f>
        <x:v>PASS</x:v>
      </x:c>
    </x:row>
    <x:row r="1385">
      <x:c r="B1385" s="21" t="str">
        <x:v>A01379</x:v>
      </x:c>
      <x:c r="C1385" s="21" t="str">
        <x:v>artifact</x:v>
      </x:c>
      <x:c r="D1385" s="21" t="str">
        <x:v>artifact 168 eligibility equation</x:v>
      </x:c>
      <x:c r="E1385" s="21" t="n">
        <x:f>IF(ABS('Artifact Ledger'!P174-IF(AND('Artifact Ledger'!L174=1,'Artifact Ledger'!M174=1,'Artifact Ledger'!N174=1,'Artifact Ledger'!O174&gt;='Artifact Ledger'!G174),'Artifact Ledger'!K174,0))&lt;0.000001,1,0)</x:f>
        <x:v>1</x:v>
      </x:c>
      <x:c r="F1385" s="21" t="n">
        <x:v>1</x:v>
      </x:c>
      <x:c r="G1385" s="23" t="str">
        <x:f>IF(E1385=F1385,"PASS","FAIL")</x:f>
        <x:v>PASS</x:v>
      </x:c>
    </x:row>
    <x:row r="1386">
      <x:c r="B1386" s="21" t="str">
        <x:v>A01380</x:v>
      </x:c>
      <x:c r="C1386" s="21" t="str">
        <x:v>artifact</x:v>
      </x:c>
      <x:c r="D1386" s="21" t="str">
        <x:v>artifact 168 planning state</x:v>
      </x:c>
      <x:c r="E1386" s="21" t="n">
        <x:f>IF(AND('Artifact Ledger'!Q174="OPEN",'Artifact Ledger'!R174="HOLD"),1,0)</x:f>
        <x:v>1</x:v>
      </x:c>
      <x:c r="F1386" s="21" t="n">
        <x:v>1</x:v>
      </x:c>
      <x:c r="G1386" s="23" t="str">
        <x:f>IF(E1386=F1386,"PASS","FAIL")</x:f>
        <x:v>PASS</x:v>
      </x:c>
    </x:row>
    <x:row r="1387">
      <x:c r="B1387" s="21" t="str">
        <x:v>A01381</x:v>
      </x:c>
      <x:c r="C1387" s="21" t="str">
        <x:v>artifact</x:v>
      </x:c>
      <x:c r="D1387" s="21" t="str">
        <x:v>artifact 169 eligibility equation</x:v>
      </x:c>
      <x:c r="E1387" s="21" t="n">
        <x:f>IF(ABS('Artifact Ledger'!P175-IF(AND('Artifact Ledger'!L175=1,'Artifact Ledger'!M175=1,'Artifact Ledger'!N175=1,'Artifact Ledger'!O175&gt;='Artifact Ledger'!G175),'Artifact Ledger'!K175,0))&lt;0.000001,1,0)</x:f>
        <x:v>1</x:v>
      </x:c>
      <x:c r="F1387" s="21" t="n">
        <x:v>1</x:v>
      </x:c>
      <x:c r="G1387" s="23" t="str">
        <x:f>IF(E1387=F1387,"PASS","FAIL")</x:f>
        <x:v>PASS</x:v>
      </x:c>
    </x:row>
    <x:row r="1388">
      <x:c r="B1388" s="21" t="str">
        <x:v>A01382</x:v>
      </x:c>
      <x:c r="C1388" s="21" t="str">
        <x:v>artifact</x:v>
      </x:c>
      <x:c r="D1388" s="21" t="str">
        <x:v>artifact 169 planning state</x:v>
      </x:c>
      <x:c r="E1388" s="21" t="n">
        <x:f>IF(AND('Artifact Ledger'!Q175="OPEN",'Artifact Ledger'!R175="HOLD"),1,0)</x:f>
        <x:v>1</x:v>
      </x:c>
      <x:c r="F1388" s="21" t="n">
        <x:v>1</x:v>
      </x:c>
      <x:c r="G1388" s="23" t="str">
        <x:f>IF(E1388=F1388,"PASS","FAIL")</x:f>
        <x:v>PASS</x:v>
      </x:c>
    </x:row>
    <x:row r="1389">
      <x:c r="B1389" s="21" t="str">
        <x:v>A01383</x:v>
      </x:c>
      <x:c r="C1389" s="21" t="str">
        <x:v>artifact</x:v>
      </x:c>
      <x:c r="D1389" s="21" t="str">
        <x:v>artifact 170 eligibility equation</x:v>
      </x:c>
      <x:c r="E1389" s="21" t="n">
        <x:f>IF(ABS('Artifact Ledger'!P176-IF(AND('Artifact Ledger'!L176=1,'Artifact Ledger'!M176=1,'Artifact Ledger'!N176=1,'Artifact Ledger'!O176&gt;='Artifact Ledger'!G176),'Artifact Ledger'!K176,0))&lt;0.000001,1,0)</x:f>
        <x:v>1</x:v>
      </x:c>
      <x:c r="F1389" s="21" t="n">
        <x:v>1</x:v>
      </x:c>
      <x:c r="G1389" s="23" t="str">
        <x:f>IF(E1389=F1389,"PASS","FAIL")</x:f>
        <x:v>PASS</x:v>
      </x:c>
    </x:row>
    <x:row r="1390">
      <x:c r="B1390" s="21" t="str">
        <x:v>A01384</x:v>
      </x:c>
      <x:c r="C1390" s="21" t="str">
        <x:v>artifact</x:v>
      </x:c>
      <x:c r="D1390" s="21" t="str">
        <x:v>artifact 170 planning state</x:v>
      </x:c>
      <x:c r="E1390" s="21" t="n">
        <x:f>IF(AND('Artifact Ledger'!Q176="OPEN",'Artifact Ledger'!R176="HOLD"),1,0)</x:f>
        <x:v>1</x:v>
      </x:c>
      <x:c r="F1390" s="21" t="n">
        <x:v>1</x:v>
      </x:c>
      <x:c r="G1390" s="23" t="str">
        <x:f>IF(E1390=F1390,"PASS","FAIL")</x:f>
        <x:v>PASS</x:v>
      </x:c>
    </x:row>
    <x:row r="1391">
      <x:c r="B1391" s="21" t="str">
        <x:v>A01385</x:v>
      </x:c>
      <x:c r="C1391" s="21" t="str">
        <x:v>artifact</x:v>
      </x:c>
      <x:c r="D1391" s="21" t="str">
        <x:v>artifact 171 eligibility equation</x:v>
      </x:c>
      <x:c r="E1391" s="21" t="n">
        <x:f>IF(ABS('Artifact Ledger'!P177-IF(AND('Artifact Ledger'!L177=1,'Artifact Ledger'!M177=1,'Artifact Ledger'!N177=1,'Artifact Ledger'!O177&gt;='Artifact Ledger'!G177),'Artifact Ledger'!K177,0))&lt;0.000001,1,0)</x:f>
        <x:v>1</x:v>
      </x:c>
      <x:c r="F1391" s="21" t="n">
        <x:v>1</x:v>
      </x:c>
      <x:c r="G1391" s="23" t="str">
        <x:f>IF(E1391=F1391,"PASS","FAIL")</x:f>
        <x:v>PASS</x:v>
      </x:c>
    </x:row>
    <x:row r="1392">
      <x:c r="B1392" s="21" t="str">
        <x:v>A01386</x:v>
      </x:c>
      <x:c r="C1392" s="21" t="str">
        <x:v>artifact</x:v>
      </x:c>
      <x:c r="D1392" s="21" t="str">
        <x:v>artifact 171 planning state</x:v>
      </x:c>
      <x:c r="E1392" s="21" t="n">
        <x:f>IF(AND('Artifact Ledger'!Q177="OPEN",'Artifact Ledger'!R177="HOLD"),1,0)</x:f>
        <x:v>1</x:v>
      </x:c>
      <x:c r="F1392" s="21" t="n">
        <x:v>1</x:v>
      </x:c>
      <x:c r="G1392" s="23" t="str">
        <x:f>IF(E1392=F1392,"PASS","FAIL")</x:f>
        <x:v>PASS</x:v>
      </x:c>
    </x:row>
    <x:row r="1393">
      <x:c r="B1393" s="21" t="str">
        <x:v>A01387</x:v>
      </x:c>
      <x:c r="C1393" s="21" t="str">
        <x:v>artifact</x:v>
      </x:c>
      <x:c r="D1393" s="21" t="str">
        <x:v>artifact 172 eligibility equation</x:v>
      </x:c>
      <x:c r="E1393" s="21" t="n">
        <x:f>IF(ABS('Artifact Ledger'!P178-IF(AND('Artifact Ledger'!L178=1,'Artifact Ledger'!M178=1,'Artifact Ledger'!N178=1,'Artifact Ledger'!O178&gt;='Artifact Ledger'!G178),'Artifact Ledger'!K178,0))&lt;0.000001,1,0)</x:f>
        <x:v>1</x:v>
      </x:c>
      <x:c r="F1393" s="21" t="n">
        <x:v>1</x:v>
      </x:c>
      <x:c r="G1393" s="23" t="str">
        <x:f>IF(E1393=F1393,"PASS","FAIL")</x:f>
        <x:v>PASS</x:v>
      </x:c>
    </x:row>
    <x:row r="1394">
      <x:c r="B1394" s="21" t="str">
        <x:v>A01388</x:v>
      </x:c>
      <x:c r="C1394" s="21" t="str">
        <x:v>artifact</x:v>
      </x:c>
      <x:c r="D1394" s="21" t="str">
        <x:v>artifact 172 planning state</x:v>
      </x:c>
      <x:c r="E1394" s="21" t="n">
        <x:f>IF(AND('Artifact Ledger'!Q178="OPEN",'Artifact Ledger'!R178="HOLD"),1,0)</x:f>
        <x:v>1</x:v>
      </x:c>
      <x:c r="F1394" s="21" t="n">
        <x:v>1</x:v>
      </x:c>
      <x:c r="G1394" s="23" t="str">
        <x:f>IF(E1394=F1394,"PASS","FAIL")</x:f>
        <x:v>PASS</x:v>
      </x:c>
    </x:row>
    <x:row r="1395">
      <x:c r="B1395" s="21" t="str">
        <x:v>A01389</x:v>
      </x:c>
      <x:c r="C1395" s="21" t="str">
        <x:v>artifact</x:v>
      </x:c>
      <x:c r="D1395" s="21" t="str">
        <x:v>artifact 173 eligibility equation</x:v>
      </x:c>
      <x:c r="E1395" s="21" t="n">
        <x:f>IF(ABS('Artifact Ledger'!P179-IF(AND('Artifact Ledger'!L179=1,'Artifact Ledger'!M179=1,'Artifact Ledger'!N179=1,'Artifact Ledger'!O179&gt;='Artifact Ledger'!G179),'Artifact Ledger'!K179,0))&lt;0.000001,1,0)</x:f>
        <x:v>1</x:v>
      </x:c>
      <x:c r="F1395" s="21" t="n">
        <x:v>1</x:v>
      </x:c>
      <x:c r="G1395" s="23" t="str">
        <x:f>IF(E1395=F1395,"PASS","FAIL")</x:f>
        <x:v>PASS</x:v>
      </x:c>
    </x:row>
    <x:row r="1396">
      <x:c r="B1396" s="21" t="str">
        <x:v>A01390</x:v>
      </x:c>
      <x:c r="C1396" s="21" t="str">
        <x:v>artifact</x:v>
      </x:c>
      <x:c r="D1396" s="21" t="str">
        <x:v>artifact 173 planning state</x:v>
      </x:c>
      <x:c r="E1396" s="21" t="n">
        <x:f>IF(AND('Artifact Ledger'!Q179="OPEN",'Artifact Ledger'!R179="HOLD"),1,0)</x:f>
        <x:v>1</x:v>
      </x:c>
      <x:c r="F1396" s="21" t="n">
        <x:v>1</x:v>
      </x:c>
      <x:c r="G1396" s="23" t="str">
        <x:f>IF(E1396=F1396,"PASS","FAIL")</x:f>
        <x:v>PASS</x:v>
      </x:c>
    </x:row>
    <x:row r="1397">
      <x:c r="B1397" s="21" t="str">
        <x:v>A01391</x:v>
      </x:c>
      <x:c r="C1397" s="21" t="str">
        <x:v>artifact</x:v>
      </x:c>
      <x:c r="D1397" s="21" t="str">
        <x:v>artifact 174 eligibility equation</x:v>
      </x:c>
      <x:c r="E1397" s="21" t="n">
        <x:f>IF(ABS('Artifact Ledger'!P180-IF(AND('Artifact Ledger'!L180=1,'Artifact Ledger'!M180=1,'Artifact Ledger'!N180=1,'Artifact Ledger'!O180&gt;='Artifact Ledger'!G180),'Artifact Ledger'!K180,0))&lt;0.000001,1,0)</x:f>
        <x:v>1</x:v>
      </x:c>
      <x:c r="F1397" s="21" t="n">
        <x:v>1</x:v>
      </x:c>
      <x:c r="G1397" s="23" t="str">
        <x:f>IF(E1397=F1397,"PASS","FAIL")</x:f>
        <x:v>PASS</x:v>
      </x:c>
    </x:row>
    <x:row r="1398">
      <x:c r="B1398" s="21" t="str">
        <x:v>A01392</x:v>
      </x:c>
      <x:c r="C1398" s="21" t="str">
        <x:v>artifact</x:v>
      </x:c>
      <x:c r="D1398" s="21" t="str">
        <x:v>artifact 174 planning state</x:v>
      </x:c>
      <x:c r="E1398" s="21" t="n">
        <x:f>IF(AND('Artifact Ledger'!Q180="OPEN",'Artifact Ledger'!R180="HOLD"),1,0)</x:f>
        <x:v>1</x:v>
      </x:c>
      <x:c r="F1398" s="21" t="n">
        <x:v>1</x:v>
      </x:c>
      <x:c r="G1398" s="23" t="str">
        <x:f>IF(E1398=F1398,"PASS","FAIL")</x:f>
        <x:v>PASS</x:v>
      </x:c>
    </x:row>
    <x:row r="1399">
      <x:c r="B1399" s="21" t="str">
        <x:v>A01393</x:v>
      </x:c>
      <x:c r="C1399" s="21" t="str">
        <x:v>artifact</x:v>
      </x:c>
      <x:c r="D1399" s="21" t="str">
        <x:v>artifact 175 eligibility equation</x:v>
      </x:c>
      <x:c r="E1399" s="21" t="n">
        <x:f>IF(ABS('Artifact Ledger'!P181-IF(AND('Artifact Ledger'!L181=1,'Artifact Ledger'!M181=1,'Artifact Ledger'!N181=1,'Artifact Ledger'!O181&gt;='Artifact Ledger'!G181),'Artifact Ledger'!K181,0))&lt;0.000001,1,0)</x:f>
        <x:v>1</x:v>
      </x:c>
      <x:c r="F1399" s="21" t="n">
        <x:v>1</x:v>
      </x:c>
      <x:c r="G1399" s="23" t="str">
        <x:f>IF(E1399=F1399,"PASS","FAIL")</x:f>
        <x:v>PASS</x:v>
      </x:c>
    </x:row>
    <x:row r="1400">
      <x:c r="B1400" s="21" t="str">
        <x:v>A01394</x:v>
      </x:c>
      <x:c r="C1400" s="21" t="str">
        <x:v>artifact</x:v>
      </x:c>
      <x:c r="D1400" s="21" t="str">
        <x:v>artifact 175 planning state</x:v>
      </x:c>
      <x:c r="E1400" s="21" t="n">
        <x:f>IF(AND('Artifact Ledger'!Q181="OPEN",'Artifact Ledger'!R181="HOLD"),1,0)</x:f>
        <x:v>1</x:v>
      </x:c>
      <x:c r="F1400" s="21" t="n">
        <x:v>1</x:v>
      </x:c>
      <x:c r="G1400" s="23" t="str">
        <x:f>IF(E1400=F1400,"PASS","FAIL")</x:f>
        <x:v>PASS</x:v>
      </x:c>
    </x:row>
    <x:row r="1401">
      <x:c r="B1401" s="21" t="str">
        <x:v>A01395</x:v>
      </x:c>
      <x:c r="C1401" s="21" t="str">
        <x:v>artifact</x:v>
      </x:c>
      <x:c r="D1401" s="21" t="str">
        <x:v>artifact 176 eligibility equation</x:v>
      </x:c>
      <x:c r="E1401" s="21" t="n">
        <x:f>IF(ABS('Artifact Ledger'!P182-IF(AND('Artifact Ledger'!L182=1,'Artifact Ledger'!M182=1,'Artifact Ledger'!N182=1,'Artifact Ledger'!O182&gt;='Artifact Ledger'!G182),'Artifact Ledger'!K182,0))&lt;0.000001,1,0)</x:f>
        <x:v>1</x:v>
      </x:c>
      <x:c r="F1401" s="21" t="n">
        <x:v>1</x:v>
      </x:c>
      <x:c r="G1401" s="23" t="str">
        <x:f>IF(E1401=F1401,"PASS","FAIL")</x:f>
        <x:v>PASS</x:v>
      </x:c>
    </x:row>
    <x:row r="1402">
      <x:c r="B1402" s="21" t="str">
        <x:v>A01396</x:v>
      </x:c>
      <x:c r="C1402" s="21" t="str">
        <x:v>artifact</x:v>
      </x:c>
      <x:c r="D1402" s="21" t="str">
        <x:v>artifact 176 planning state</x:v>
      </x:c>
      <x:c r="E1402" s="21" t="n">
        <x:f>IF(AND('Artifact Ledger'!Q182="OPEN",'Artifact Ledger'!R182="HOLD"),1,0)</x:f>
        <x:v>1</x:v>
      </x:c>
      <x:c r="F1402" s="21" t="n">
        <x:v>1</x:v>
      </x:c>
      <x:c r="G1402" s="23" t="str">
        <x:f>IF(E1402=F1402,"PASS","FAIL")</x:f>
        <x:v>PASS</x:v>
      </x:c>
    </x:row>
    <x:row r="1403">
      <x:c r="B1403" s="21" t="str">
        <x:v>A01397</x:v>
      </x:c>
      <x:c r="C1403" s="21" t="str">
        <x:v>artifact</x:v>
      </x:c>
      <x:c r="D1403" s="21" t="str">
        <x:v>artifact 177 eligibility equation</x:v>
      </x:c>
      <x:c r="E1403" s="21" t="n">
        <x:f>IF(ABS('Artifact Ledger'!P183-IF(AND('Artifact Ledger'!L183=1,'Artifact Ledger'!M183=1,'Artifact Ledger'!N183=1,'Artifact Ledger'!O183&gt;='Artifact Ledger'!G183),'Artifact Ledger'!K183,0))&lt;0.000001,1,0)</x:f>
        <x:v>1</x:v>
      </x:c>
      <x:c r="F1403" s="21" t="n">
        <x:v>1</x:v>
      </x:c>
      <x:c r="G1403" s="23" t="str">
        <x:f>IF(E1403=F1403,"PASS","FAIL")</x:f>
        <x:v>PASS</x:v>
      </x:c>
    </x:row>
    <x:row r="1404">
      <x:c r="B1404" s="21" t="str">
        <x:v>A01398</x:v>
      </x:c>
      <x:c r="C1404" s="21" t="str">
        <x:v>artifact</x:v>
      </x:c>
      <x:c r="D1404" s="21" t="str">
        <x:v>artifact 177 planning state</x:v>
      </x:c>
      <x:c r="E1404" s="21" t="n">
        <x:f>IF(AND('Artifact Ledger'!Q183="OPEN",'Artifact Ledger'!R183="HOLD"),1,0)</x:f>
        <x:v>1</x:v>
      </x:c>
      <x:c r="F1404" s="21" t="n">
        <x:v>1</x:v>
      </x:c>
      <x:c r="G1404" s="23" t="str">
        <x:f>IF(E1404=F1404,"PASS","FAIL")</x:f>
        <x:v>PASS</x:v>
      </x:c>
    </x:row>
    <x:row r="1405">
      <x:c r="B1405" s="21" t="str">
        <x:v>A01399</x:v>
      </x:c>
      <x:c r="C1405" s="21" t="str">
        <x:v>artifact</x:v>
      </x:c>
      <x:c r="D1405" s="21" t="str">
        <x:v>artifact 178 eligibility equation</x:v>
      </x:c>
      <x:c r="E1405" s="21" t="n">
        <x:f>IF(ABS('Artifact Ledger'!P184-IF(AND('Artifact Ledger'!L184=1,'Artifact Ledger'!M184=1,'Artifact Ledger'!N184=1,'Artifact Ledger'!O184&gt;='Artifact Ledger'!G184),'Artifact Ledger'!K184,0))&lt;0.000001,1,0)</x:f>
        <x:v>1</x:v>
      </x:c>
      <x:c r="F1405" s="21" t="n">
        <x:v>1</x:v>
      </x:c>
      <x:c r="G1405" s="23" t="str">
        <x:f>IF(E1405=F1405,"PASS","FAIL")</x:f>
        <x:v>PASS</x:v>
      </x:c>
    </x:row>
    <x:row r="1406">
      <x:c r="B1406" s="21" t="str">
        <x:v>A01400</x:v>
      </x:c>
      <x:c r="C1406" s="21" t="str">
        <x:v>artifact</x:v>
      </x:c>
      <x:c r="D1406" s="21" t="str">
        <x:v>artifact 178 planning state</x:v>
      </x:c>
      <x:c r="E1406" s="21" t="n">
        <x:f>IF(AND('Artifact Ledger'!Q184="OPEN",'Artifact Ledger'!R184="HOLD"),1,0)</x:f>
        <x:v>1</x:v>
      </x:c>
      <x:c r="F1406" s="21" t="n">
        <x:v>1</x:v>
      </x:c>
      <x:c r="G1406" s="23" t="str">
        <x:f>IF(E1406=F1406,"PASS","FAIL")</x:f>
        <x:v>PASS</x:v>
      </x:c>
    </x:row>
    <x:row r="1407">
      <x:c r="B1407" s="21" t="str">
        <x:v>A01401</x:v>
      </x:c>
      <x:c r="C1407" s="21" t="str">
        <x:v>artifact</x:v>
      </x:c>
      <x:c r="D1407" s="21" t="str">
        <x:v>artifact 179 eligibility equation</x:v>
      </x:c>
      <x:c r="E1407" s="21" t="n">
        <x:f>IF(ABS('Artifact Ledger'!P185-IF(AND('Artifact Ledger'!L185=1,'Artifact Ledger'!M185=1,'Artifact Ledger'!N185=1,'Artifact Ledger'!O185&gt;='Artifact Ledger'!G185),'Artifact Ledger'!K185,0))&lt;0.000001,1,0)</x:f>
        <x:v>1</x:v>
      </x:c>
      <x:c r="F1407" s="21" t="n">
        <x:v>1</x:v>
      </x:c>
      <x:c r="G1407" s="23" t="str">
        <x:f>IF(E1407=F1407,"PASS","FAIL")</x:f>
        <x:v>PASS</x:v>
      </x:c>
    </x:row>
    <x:row r="1408">
      <x:c r="B1408" s="21" t="str">
        <x:v>A01402</x:v>
      </x:c>
      <x:c r="C1408" s="21" t="str">
        <x:v>artifact</x:v>
      </x:c>
      <x:c r="D1408" s="21" t="str">
        <x:v>artifact 179 planning state</x:v>
      </x:c>
      <x:c r="E1408" s="21" t="n">
        <x:f>IF(AND('Artifact Ledger'!Q185="OPEN",'Artifact Ledger'!R185="HOLD"),1,0)</x:f>
        <x:v>1</x:v>
      </x:c>
      <x:c r="F1408" s="21" t="n">
        <x:v>1</x:v>
      </x:c>
      <x:c r="G1408" s="23" t="str">
        <x:f>IF(E1408=F1408,"PASS","FAIL")</x:f>
        <x:v>PASS</x:v>
      </x:c>
    </x:row>
    <x:row r="1409">
      <x:c r="B1409" s="21" t="str">
        <x:v>A01403</x:v>
      </x:c>
      <x:c r="C1409" s="21" t="str">
        <x:v>artifact</x:v>
      </x:c>
      <x:c r="D1409" s="21" t="str">
        <x:v>artifact 180 eligibility equation</x:v>
      </x:c>
      <x:c r="E1409" s="21" t="n">
        <x:f>IF(ABS('Artifact Ledger'!P186-IF(AND('Artifact Ledger'!L186=1,'Artifact Ledger'!M186=1,'Artifact Ledger'!N186=1,'Artifact Ledger'!O186&gt;='Artifact Ledger'!G186),'Artifact Ledger'!K186,0))&lt;0.000001,1,0)</x:f>
        <x:v>1</x:v>
      </x:c>
      <x:c r="F1409" s="21" t="n">
        <x:v>1</x:v>
      </x:c>
      <x:c r="G1409" s="23" t="str">
        <x:f>IF(E1409=F1409,"PASS","FAIL")</x:f>
        <x:v>PASS</x:v>
      </x:c>
    </x:row>
    <x:row r="1410">
      <x:c r="B1410" s="21" t="str">
        <x:v>A01404</x:v>
      </x:c>
      <x:c r="C1410" s="21" t="str">
        <x:v>artifact</x:v>
      </x:c>
      <x:c r="D1410" s="21" t="str">
        <x:v>artifact 180 planning state</x:v>
      </x:c>
      <x:c r="E1410" s="21" t="n">
        <x:f>IF(AND('Artifact Ledger'!Q186="OPEN",'Artifact Ledger'!R186="HOLD"),1,0)</x:f>
        <x:v>1</x:v>
      </x:c>
      <x:c r="F1410" s="21" t="n">
        <x:v>1</x:v>
      </x:c>
      <x:c r="G1410" s="23" t="str">
        <x:f>IF(E1410=F1410,"PASS","FAIL")</x:f>
        <x:v>PASS</x:v>
      </x:c>
    </x:row>
    <x:row r="1411">
      <x:c r="B1411" s="21" t="str">
        <x:v>A01405</x:v>
      </x:c>
      <x:c r="C1411" s="21" t="str">
        <x:v>artifact</x:v>
      </x:c>
      <x:c r="D1411" s="21" t="str">
        <x:v>artifact 181 eligibility equation</x:v>
      </x:c>
      <x:c r="E1411" s="21" t="n">
        <x:f>IF(ABS('Artifact Ledger'!P187-IF(AND('Artifact Ledger'!L187=1,'Artifact Ledger'!M187=1,'Artifact Ledger'!N187=1,'Artifact Ledger'!O187&gt;='Artifact Ledger'!G187),'Artifact Ledger'!K187,0))&lt;0.000001,1,0)</x:f>
        <x:v>1</x:v>
      </x:c>
      <x:c r="F1411" s="21" t="n">
        <x:v>1</x:v>
      </x:c>
      <x:c r="G1411" s="23" t="str">
        <x:f>IF(E1411=F1411,"PASS","FAIL")</x:f>
        <x:v>PASS</x:v>
      </x:c>
    </x:row>
    <x:row r="1412">
      <x:c r="B1412" s="21" t="str">
        <x:v>A01406</x:v>
      </x:c>
      <x:c r="C1412" s="21" t="str">
        <x:v>artifact</x:v>
      </x:c>
      <x:c r="D1412" s="21" t="str">
        <x:v>artifact 181 planning state</x:v>
      </x:c>
      <x:c r="E1412" s="21" t="n">
        <x:f>IF(AND('Artifact Ledger'!Q187="OPEN",'Artifact Ledger'!R187="HOLD"),1,0)</x:f>
        <x:v>1</x:v>
      </x:c>
      <x:c r="F1412" s="21" t="n">
        <x:v>1</x:v>
      </x:c>
      <x:c r="G1412" s="23" t="str">
        <x:f>IF(E1412=F1412,"PASS","FAIL")</x:f>
        <x:v>PASS</x:v>
      </x:c>
    </x:row>
    <x:row r="1413">
      <x:c r="B1413" s="21" t="str">
        <x:v>A01407</x:v>
      </x:c>
      <x:c r="C1413" s="21" t="str">
        <x:v>artifact</x:v>
      </x:c>
      <x:c r="D1413" s="21" t="str">
        <x:v>artifact 182 eligibility equation</x:v>
      </x:c>
      <x:c r="E1413" s="21" t="n">
        <x:f>IF(ABS('Artifact Ledger'!P188-IF(AND('Artifact Ledger'!L188=1,'Artifact Ledger'!M188=1,'Artifact Ledger'!N188=1,'Artifact Ledger'!O188&gt;='Artifact Ledger'!G188),'Artifact Ledger'!K188,0))&lt;0.000001,1,0)</x:f>
        <x:v>1</x:v>
      </x:c>
      <x:c r="F1413" s="21" t="n">
        <x:v>1</x:v>
      </x:c>
      <x:c r="G1413" s="23" t="str">
        <x:f>IF(E1413=F1413,"PASS","FAIL")</x:f>
        <x:v>PASS</x:v>
      </x:c>
    </x:row>
    <x:row r="1414">
      <x:c r="B1414" s="21" t="str">
        <x:v>A01408</x:v>
      </x:c>
      <x:c r="C1414" s="21" t="str">
        <x:v>artifact</x:v>
      </x:c>
      <x:c r="D1414" s="21" t="str">
        <x:v>artifact 182 planning state</x:v>
      </x:c>
      <x:c r="E1414" s="21" t="n">
        <x:f>IF(AND('Artifact Ledger'!Q188="OPEN",'Artifact Ledger'!R188="HOLD"),1,0)</x:f>
        <x:v>1</x:v>
      </x:c>
      <x:c r="F1414" s="21" t="n">
        <x:v>1</x:v>
      </x:c>
      <x:c r="G1414" s="23" t="str">
        <x:f>IF(E1414=F1414,"PASS","FAIL")</x:f>
        <x:v>PASS</x:v>
      </x:c>
    </x:row>
    <x:row r="1415">
      <x:c r="B1415" s="21" t="str">
        <x:v>A01409</x:v>
      </x:c>
      <x:c r="C1415" s="21" t="str">
        <x:v>artifact</x:v>
      </x:c>
      <x:c r="D1415" s="21" t="str">
        <x:v>artifact 183 eligibility equation</x:v>
      </x:c>
      <x:c r="E1415" s="21" t="n">
        <x:f>IF(ABS('Artifact Ledger'!P189-IF(AND('Artifact Ledger'!L189=1,'Artifact Ledger'!M189=1,'Artifact Ledger'!N189=1,'Artifact Ledger'!O189&gt;='Artifact Ledger'!G189),'Artifact Ledger'!K189,0))&lt;0.000001,1,0)</x:f>
        <x:v>1</x:v>
      </x:c>
      <x:c r="F1415" s="21" t="n">
        <x:v>1</x:v>
      </x:c>
      <x:c r="G1415" s="23" t="str">
        <x:f>IF(E1415=F1415,"PASS","FAIL")</x:f>
        <x:v>PASS</x:v>
      </x:c>
    </x:row>
    <x:row r="1416">
      <x:c r="B1416" s="21" t="str">
        <x:v>A01410</x:v>
      </x:c>
      <x:c r="C1416" s="21" t="str">
        <x:v>artifact</x:v>
      </x:c>
      <x:c r="D1416" s="21" t="str">
        <x:v>artifact 183 planning state</x:v>
      </x:c>
      <x:c r="E1416" s="21" t="n">
        <x:f>IF(AND('Artifact Ledger'!Q189="OPEN",'Artifact Ledger'!R189="HOLD"),1,0)</x:f>
        <x:v>1</x:v>
      </x:c>
      <x:c r="F1416" s="21" t="n">
        <x:v>1</x:v>
      </x:c>
      <x:c r="G1416" s="23" t="str">
        <x:f>IF(E1416=F1416,"PASS","FAIL")</x:f>
        <x:v>PASS</x:v>
      </x:c>
    </x:row>
    <x:row r="1417">
      <x:c r="B1417" s="21" t="str">
        <x:v>A01411</x:v>
      </x:c>
      <x:c r="C1417" s="21" t="str">
        <x:v>artifact</x:v>
      </x:c>
      <x:c r="D1417" s="21" t="str">
        <x:v>artifact 184 eligibility equation</x:v>
      </x:c>
      <x:c r="E1417" s="21" t="n">
        <x:f>IF(ABS('Artifact Ledger'!P190-IF(AND('Artifact Ledger'!L190=1,'Artifact Ledger'!M190=1,'Artifact Ledger'!N190=1,'Artifact Ledger'!O190&gt;='Artifact Ledger'!G190),'Artifact Ledger'!K190,0))&lt;0.000001,1,0)</x:f>
        <x:v>1</x:v>
      </x:c>
      <x:c r="F1417" s="21" t="n">
        <x:v>1</x:v>
      </x:c>
      <x:c r="G1417" s="23" t="str">
        <x:f>IF(E1417=F1417,"PASS","FAIL")</x:f>
        <x:v>PASS</x:v>
      </x:c>
    </x:row>
    <x:row r="1418">
      <x:c r="B1418" s="21" t="str">
        <x:v>A01412</x:v>
      </x:c>
      <x:c r="C1418" s="21" t="str">
        <x:v>artifact</x:v>
      </x:c>
      <x:c r="D1418" s="21" t="str">
        <x:v>artifact 184 planning state</x:v>
      </x:c>
      <x:c r="E1418" s="21" t="n">
        <x:f>IF(AND('Artifact Ledger'!Q190="OPEN",'Artifact Ledger'!R190="HOLD"),1,0)</x:f>
        <x:v>1</x:v>
      </x:c>
      <x:c r="F1418" s="21" t="n">
        <x:v>1</x:v>
      </x:c>
      <x:c r="G1418" s="23" t="str">
        <x:f>IF(E1418=F1418,"PASS","FAIL")</x:f>
        <x:v>PASS</x:v>
      </x:c>
    </x:row>
    <x:row r="1419">
      <x:c r="B1419" s="21" t="str">
        <x:v>A01413</x:v>
      </x:c>
      <x:c r="C1419" s="21" t="str">
        <x:v>artifact</x:v>
      </x:c>
      <x:c r="D1419" s="21" t="str">
        <x:v>artifact 185 eligibility equation</x:v>
      </x:c>
      <x:c r="E1419" s="21" t="n">
        <x:f>IF(ABS('Artifact Ledger'!P191-IF(AND('Artifact Ledger'!L191=1,'Artifact Ledger'!M191=1,'Artifact Ledger'!N191=1,'Artifact Ledger'!O191&gt;='Artifact Ledger'!G191),'Artifact Ledger'!K191,0))&lt;0.000001,1,0)</x:f>
        <x:v>1</x:v>
      </x:c>
      <x:c r="F1419" s="21" t="n">
        <x:v>1</x:v>
      </x:c>
      <x:c r="G1419" s="23" t="str">
        <x:f>IF(E1419=F1419,"PASS","FAIL")</x:f>
        <x:v>PASS</x:v>
      </x:c>
    </x:row>
    <x:row r="1420">
      <x:c r="B1420" s="21" t="str">
        <x:v>A01414</x:v>
      </x:c>
      <x:c r="C1420" s="21" t="str">
        <x:v>artifact</x:v>
      </x:c>
      <x:c r="D1420" s="21" t="str">
        <x:v>artifact 185 planning state</x:v>
      </x:c>
      <x:c r="E1420" s="21" t="n">
        <x:f>IF(AND('Artifact Ledger'!Q191="OPEN",'Artifact Ledger'!R191="HOLD"),1,0)</x:f>
        <x:v>1</x:v>
      </x:c>
      <x:c r="F1420" s="21" t="n">
        <x:v>1</x:v>
      </x:c>
      <x:c r="G1420" s="23" t="str">
        <x:f>IF(E1420=F1420,"PASS","FAIL")</x:f>
        <x:v>PASS</x:v>
      </x:c>
    </x:row>
    <x:row r="1421">
      <x:c r="B1421" s="21" t="str">
        <x:v>A01415</x:v>
      </x:c>
      <x:c r="C1421" s="21" t="str">
        <x:v>artifact</x:v>
      </x:c>
      <x:c r="D1421" s="21" t="str">
        <x:v>artifact 186 eligibility equation</x:v>
      </x:c>
      <x:c r="E1421" s="21" t="n">
        <x:f>IF(ABS('Artifact Ledger'!P192-IF(AND('Artifact Ledger'!L192=1,'Artifact Ledger'!M192=1,'Artifact Ledger'!N192=1,'Artifact Ledger'!O192&gt;='Artifact Ledger'!G192),'Artifact Ledger'!K192,0))&lt;0.000001,1,0)</x:f>
        <x:v>1</x:v>
      </x:c>
      <x:c r="F1421" s="21" t="n">
        <x:v>1</x:v>
      </x:c>
      <x:c r="G1421" s="23" t="str">
        <x:f>IF(E1421=F1421,"PASS","FAIL")</x:f>
        <x:v>PASS</x:v>
      </x:c>
    </x:row>
    <x:row r="1422">
      <x:c r="B1422" s="21" t="str">
        <x:v>A01416</x:v>
      </x:c>
      <x:c r="C1422" s="21" t="str">
        <x:v>artifact</x:v>
      </x:c>
      <x:c r="D1422" s="21" t="str">
        <x:v>artifact 186 planning state</x:v>
      </x:c>
      <x:c r="E1422" s="21" t="n">
        <x:f>IF(AND('Artifact Ledger'!Q192="OPEN",'Artifact Ledger'!R192="HOLD"),1,0)</x:f>
        <x:v>1</x:v>
      </x:c>
      <x:c r="F1422" s="21" t="n">
        <x:v>1</x:v>
      </x:c>
      <x:c r="G1422" s="23" t="str">
        <x:f>IF(E1422=F1422,"PASS","FAIL")</x:f>
        <x:v>PASS</x:v>
      </x:c>
    </x:row>
    <x:row r="1423">
      <x:c r="B1423" s="21" t="str">
        <x:v>A01417</x:v>
      </x:c>
      <x:c r="C1423" s="21" t="str">
        <x:v>artifact</x:v>
      </x:c>
      <x:c r="D1423" s="21" t="str">
        <x:v>artifact 187 eligibility equation</x:v>
      </x:c>
      <x:c r="E1423" s="21" t="n">
        <x:f>IF(ABS('Artifact Ledger'!P193-IF(AND('Artifact Ledger'!L193=1,'Artifact Ledger'!M193=1,'Artifact Ledger'!N193=1,'Artifact Ledger'!O193&gt;='Artifact Ledger'!G193),'Artifact Ledger'!K193,0))&lt;0.000001,1,0)</x:f>
        <x:v>1</x:v>
      </x:c>
      <x:c r="F1423" s="21" t="n">
        <x:v>1</x:v>
      </x:c>
      <x:c r="G1423" s="23" t="str">
        <x:f>IF(E1423=F1423,"PASS","FAIL")</x:f>
        <x:v>PASS</x:v>
      </x:c>
    </x:row>
    <x:row r="1424">
      <x:c r="B1424" s="21" t="str">
        <x:v>A01418</x:v>
      </x:c>
      <x:c r="C1424" s="21" t="str">
        <x:v>artifact</x:v>
      </x:c>
      <x:c r="D1424" s="21" t="str">
        <x:v>artifact 187 planning state</x:v>
      </x:c>
      <x:c r="E1424" s="21" t="n">
        <x:f>IF(AND('Artifact Ledger'!Q193="OPEN",'Artifact Ledger'!R193="HOLD"),1,0)</x:f>
        <x:v>1</x:v>
      </x:c>
      <x:c r="F1424" s="21" t="n">
        <x:v>1</x:v>
      </x:c>
      <x:c r="G1424" s="23" t="str">
        <x:f>IF(E1424=F1424,"PASS","FAIL")</x:f>
        <x:v>PASS</x:v>
      </x:c>
    </x:row>
    <x:row r="1425">
      <x:c r="B1425" s="21" t="str">
        <x:v>A01419</x:v>
      </x:c>
      <x:c r="C1425" s="21" t="str">
        <x:v>artifact</x:v>
      </x:c>
      <x:c r="D1425" s="21" t="str">
        <x:v>artifact 188 eligibility equation</x:v>
      </x:c>
      <x:c r="E1425" s="21" t="n">
        <x:f>IF(ABS('Artifact Ledger'!P194-IF(AND('Artifact Ledger'!L194=1,'Artifact Ledger'!M194=1,'Artifact Ledger'!N194=1,'Artifact Ledger'!O194&gt;='Artifact Ledger'!G194),'Artifact Ledger'!K194,0))&lt;0.000001,1,0)</x:f>
        <x:v>1</x:v>
      </x:c>
      <x:c r="F1425" s="21" t="n">
        <x:v>1</x:v>
      </x:c>
      <x:c r="G1425" s="23" t="str">
        <x:f>IF(E1425=F1425,"PASS","FAIL")</x:f>
        <x:v>PASS</x:v>
      </x:c>
    </x:row>
    <x:row r="1426">
      <x:c r="B1426" s="21" t="str">
        <x:v>A01420</x:v>
      </x:c>
      <x:c r="C1426" s="21" t="str">
        <x:v>artifact</x:v>
      </x:c>
      <x:c r="D1426" s="21" t="str">
        <x:v>artifact 188 planning state</x:v>
      </x:c>
      <x:c r="E1426" s="21" t="n">
        <x:f>IF(AND('Artifact Ledger'!Q194="OPEN",'Artifact Ledger'!R194="HOLD"),1,0)</x:f>
        <x:v>1</x:v>
      </x:c>
      <x:c r="F1426" s="21" t="n">
        <x:v>1</x:v>
      </x:c>
      <x:c r="G1426" s="23" t="str">
        <x:f>IF(E1426=F1426,"PASS","FAIL")</x:f>
        <x:v>PASS</x:v>
      </x:c>
    </x:row>
    <x:row r="1427">
      <x:c r="B1427" s="21" t="str">
        <x:v>A01421</x:v>
      </x:c>
      <x:c r="C1427" s="21" t="str">
        <x:v>artifact</x:v>
      </x:c>
      <x:c r="D1427" s="21" t="str">
        <x:v>artifact 189 eligibility equation</x:v>
      </x:c>
      <x:c r="E1427" s="21" t="n">
        <x:f>IF(ABS('Artifact Ledger'!P195-IF(AND('Artifact Ledger'!L195=1,'Artifact Ledger'!M195=1,'Artifact Ledger'!N195=1,'Artifact Ledger'!O195&gt;='Artifact Ledger'!G195),'Artifact Ledger'!K195,0))&lt;0.000001,1,0)</x:f>
        <x:v>1</x:v>
      </x:c>
      <x:c r="F1427" s="21" t="n">
        <x:v>1</x:v>
      </x:c>
      <x:c r="G1427" s="23" t="str">
        <x:f>IF(E1427=F1427,"PASS","FAIL")</x:f>
        <x:v>PASS</x:v>
      </x:c>
    </x:row>
    <x:row r="1428">
      <x:c r="B1428" s="21" t="str">
        <x:v>A01422</x:v>
      </x:c>
      <x:c r="C1428" s="21" t="str">
        <x:v>artifact</x:v>
      </x:c>
      <x:c r="D1428" s="21" t="str">
        <x:v>artifact 189 planning state</x:v>
      </x:c>
      <x:c r="E1428" s="21" t="n">
        <x:f>IF(AND('Artifact Ledger'!Q195="OPEN",'Artifact Ledger'!R195="HOLD"),1,0)</x:f>
        <x:v>1</x:v>
      </x:c>
      <x:c r="F1428" s="21" t="n">
        <x:v>1</x:v>
      </x:c>
      <x:c r="G1428" s="23" t="str">
        <x:f>IF(E1428=F1428,"PASS","FAIL")</x:f>
        <x:v>PASS</x:v>
      </x:c>
    </x:row>
    <x:row r="1429">
      <x:c r="B1429" s="21" t="str">
        <x:v>A01423</x:v>
      </x:c>
      <x:c r="C1429" s="21" t="str">
        <x:v>artifact</x:v>
      </x:c>
      <x:c r="D1429" s="21" t="str">
        <x:v>artifact 190 eligibility equation</x:v>
      </x:c>
      <x:c r="E1429" s="21" t="n">
        <x:f>IF(ABS('Artifact Ledger'!P196-IF(AND('Artifact Ledger'!L196=1,'Artifact Ledger'!M196=1,'Artifact Ledger'!N196=1,'Artifact Ledger'!O196&gt;='Artifact Ledger'!G196),'Artifact Ledger'!K196,0))&lt;0.000001,1,0)</x:f>
        <x:v>1</x:v>
      </x:c>
      <x:c r="F1429" s="21" t="n">
        <x:v>1</x:v>
      </x:c>
      <x:c r="G1429" s="23" t="str">
        <x:f>IF(E1429=F1429,"PASS","FAIL")</x:f>
        <x:v>PASS</x:v>
      </x:c>
    </x:row>
    <x:row r="1430">
      <x:c r="B1430" s="21" t="str">
        <x:v>A01424</x:v>
      </x:c>
      <x:c r="C1430" s="21" t="str">
        <x:v>artifact</x:v>
      </x:c>
      <x:c r="D1430" s="21" t="str">
        <x:v>artifact 190 planning state</x:v>
      </x:c>
      <x:c r="E1430" s="21" t="n">
        <x:f>IF(AND('Artifact Ledger'!Q196="OPEN",'Artifact Ledger'!R196="HOLD"),1,0)</x:f>
        <x:v>1</x:v>
      </x:c>
      <x:c r="F1430" s="21" t="n">
        <x:v>1</x:v>
      </x:c>
      <x:c r="G1430" s="23" t="str">
        <x:f>IF(E1430=F1430,"PASS","FAIL")</x:f>
        <x:v>PASS</x:v>
      </x:c>
    </x:row>
    <x:row r="1431">
      <x:c r="B1431" s="21" t="str">
        <x:v>A01425</x:v>
      </x:c>
      <x:c r="C1431" s="21" t="str">
        <x:v>artifact</x:v>
      </x:c>
      <x:c r="D1431" s="21" t="str">
        <x:v>artifact 191 eligibility equation</x:v>
      </x:c>
      <x:c r="E1431" s="21" t="n">
        <x:f>IF(ABS('Artifact Ledger'!P197-IF(AND('Artifact Ledger'!L197=1,'Artifact Ledger'!M197=1,'Artifact Ledger'!N197=1,'Artifact Ledger'!O197&gt;='Artifact Ledger'!G197),'Artifact Ledger'!K197,0))&lt;0.000001,1,0)</x:f>
        <x:v>1</x:v>
      </x:c>
      <x:c r="F1431" s="21" t="n">
        <x:v>1</x:v>
      </x:c>
      <x:c r="G1431" s="23" t="str">
        <x:f>IF(E1431=F1431,"PASS","FAIL")</x:f>
        <x:v>PASS</x:v>
      </x:c>
    </x:row>
    <x:row r="1432">
      <x:c r="B1432" s="21" t="str">
        <x:v>A01426</x:v>
      </x:c>
      <x:c r="C1432" s="21" t="str">
        <x:v>artifact</x:v>
      </x:c>
      <x:c r="D1432" s="21" t="str">
        <x:v>artifact 191 planning state</x:v>
      </x:c>
      <x:c r="E1432" s="21" t="n">
        <x:f>IF(AND('Artifact Ledger'!Q197="OPEN",'Artifact Ledger'!R197="HOLD"),1,0)</x:f>
        <x:v>1</x:v>
      </x:c>
      <x:c r="F1432" s="21" t="n">
        <x:v>1</x:v>
      </x:c>
      <x:c r="G1432" s="23" t="str">
        <x:f>IF(E1432=F1432,"PASS","FAIL")</x:f>
        <x:v>PASS</x:v>
      </x:c>
    </x:row>
    <x:row r="1433">
      <x:c r="B1433" s="21" t="str">
        <x:v>A01427</x:v>
      </x:c>
      <x:c r="C1433" s="21" t="str">
        <x:v>artifact</x:v>
      </x:c>
      <x:c r="D1433" s="21" t="str">
        <x:v>artifact 192 eligibility equation</x:v>
      </x:c>
      <x:c r="E1433" s="21" t="n">
        <x:f>IF(ABS('Artifact Ledger'!P198-IF(AND('Artifact Ledger'!L198=1,'Artifact Ledger'!M198=1,'Artifact Ledger'!N198=1,'Artifact Ledger'!O198&gt;='Artifact Ledger'!G198),'Artifact Ledger'!K198,0))&lt;0.000001,1,0)</x:f>
        <x:v>1</x:v>
      </x:c>
      <x:c r="F1433" s="21" t="n">
        <x:v>1</x:v>
      </x:c>
      <x:c r="G1433" s="23" t="str">
        <x:f>IF(E1433=F1433,"PASS","FAIL")</x:f>
        <x:v>PASS</x:v>
      </x:c>
    </x:row>
    <x:row r="1434">
      <x:c r="B1434" s="21" t="str">
        <x:v>A01428</x:v>
      </x:c>
      <x:c r="C1434" s="21" t="str">
        <x:v>artifact</x:v>
      </x:c>
      <x:c r="D1434" s="21" t="str">
        <x:v>artifact 192 planning state</x:v>
      </x:c>
      <x:c r="E1434" s="21" t="n">
        <x:f>IF(AND('Artifact Ledger'!Q198="OPEN",'Artifact Ledger'!R198="HOLD"),1,0)</x:f>
        <x:v>1</x:v>
      </x:c>
      <x:c r="F1434" s="21" t="n">
        <x:v>1</x:v>
      </x:c>
      <x:c r="G1434" s="23" t="str">
        <x:f>IF(E1434=F1434,"PASS","FAIL")</x:f>
        <x:v>PASS</x:v>
      </x:c>
    </x:row>
    <x:row r="1435">
      <x:c r="B1435" s="21" t="str">
        <x:v>A01429</x:v>
      </x:c>
      <x:c r="C1435" s="21" t="str">
        <x:v>artifact</x:v>
      </x:c>
      <x:c r="D1435" s="21" t="str">
        <x:v>artifact 193 eligibility equation</x:v>
      </x:c>
      <x:c r="E1435" s="21" t="n">
        <x:f>IF(ABS('Artifact Ledger'!P199-IF(AND('Artifact Ledger'!L199=1,'Artifact Ledger'!M199=1,'Artifact Ledger'!N199=1,'Artifact Ledger'!O199&gt;='Artifact Ledger'!G199),'Artifact Ledger'!K199,0))&lt;0.000001,1,0)</x:f>
        <x:v>1</x:v>
      </x:c>
      <x:c r="F1435" s="21" t="n">
        <x:v>1</x:v>
      </x:c>
      <x:c r="G1435" s="23" t="str">
        <x:f>IF(E1435=F1435,"PASS","FAIL")</x:f>
        <x:v>PASS</x:v>
      </x:c>
    </x:row>
    <x:row r="1436">
      <x:c r="B1436" s="21" t="str">
        <x:v>A01430</x:v>
      </x:c>
      <x:c r="C1436" s="21" t="str">
        <x:v>artifact</x:v>
      </x:c>
      <x:c r="D1436" s="21" t="str">
        <x:v>artifact 193 planning state</x:v>
      </x:c>
      <x:c r="E1436" s="21" t="n">
        <x:f>IF(AND('Artifact Ledger'!Q199="OPEN",'Artifact Ledger'!R199="HOLD"),1,0)</x:f>
        <x:v>1</x:v>
      </x:c>
      <x:c r="F1436" s="21" t="n">
        <x:v>1</x:v>
      </x:c>
      <x:c r="G1436" s="23" t="str">
        <x:f>IF(E1436=F1436,"PASS","FAIL")</x:f>
        <x:v>PASS</x:v>
      </x:c>
    </x:row>
    <x:row r="1437">
      <x:c r="B1437" s="21" t="str">
        <x:v>A01431</x:v>
      </x:c>
      <x:c r="C1437" s="21" t="str">
        <x:v>artifact</x:v>
      </x:c>
      <x:c r="D1437" s="21" t="str">
        <x:v>artifact 194 eligibility equation</x:v>
      </x:c>
      <x:c r="E1437" s="21" t="n">
        <x:f>IF(ABS('Artifact Ledger'!P200-IF(AND('Artifact Ledger'!L200=1,'Artifact Ledger'!M200=1,'Artifact Ledger'!N200=1,'Artifact Ledger'!O200&gt;='Artifact Ledger'!G200),'Artifact Ledger'!K200,0))&lt;0.000001,1,0)</x:f>
        <x:v>1</x:v>
      </x:c>
      <x:c r="F1437" s="21" t="n">
        <x:v>1</x:v>
      </x:c>
      <x:c r="G1437" s="23" t="str">
        <x:f>IF(E1437=F1437,"PASS","FAIL")</x:f>
        <x:v>PASS</x:v>
      </x:c>
    </x:row>
    <x:row r="1438">
      <x:c r="B1438" s="21" t="str">
        <x:v>A01432</x:v>
      </x:c>
      <x:c r="C1438" s="21" t="str">
        <x:v>artifact</x:v>
      </x:c>
      <x:c r="D1438" s="21" t="str">
        <x:v>artifact 194 planning state</x:v>
      </x:c>
      <x:c r="E1438" s="21" t="n">
        <x:f>IF(AND('Artifact Ledger'!Q200="OPEN",'Artifact Ledger'!R200="HOLD"),1,0)</x:f>
        <x:v>1</x:v>
      </x:c>
      <x:c r="F1438" s="21" t="n">
        <x:v>1</x:v>
      </x:c>
      <x:c r="G1438" s="23" t="str">
        <x:f>IF(E1438=F1438,"PASS","FAIL")</x:f>
        <x:v>PASS</x:v>
      </x:c>
    </x:row>
    <x:row r="1439">
      <x:c r="B1439" s="21" t="str">
        <x:v>A01433</x:v>
      </x:c>
      <x:c r="C1439" s="21" t="str">
        <x:v>artifact</x:v>
      </x:c>
      <x:c r="D1439" s="21" t="str">
        <x:v>artifact 195 eligibility equation</x:v>
      </x:c>
      <x:c r="E1439" s="21" t="n">
        <x:f>IF(ABS('Artifact Ledger'!P201-IF(AND('Artifact Ledger'!L201=1,'Artifact Ledger'!M201=1,'Artifact Ledger'!N201=1,'Artifact Ledger'!O201&gt;='Artifact Ledger'!G201),'Artifact Ledger'!K201,0))&lt;0.000001,1,0)</x:f>
        <x:v>1</x:v>
      </x:c>
      <x:c r="F1439" s="21" t="n">
        <x:v>1</x:v>
      </x:c>
      <x:c r="G1439" s="23" t="str">
        <x:f>IF(E1439=F1439,"PASS","FAIL")</x:f>
        <x:v>PASS</x:v>
      </x:c>
    </x:row>
    <x:row r="1440">
      <x:c r="B1440" s="21" t="str">
        <x:v>A01434</x:v>
      </x:c>
      <x:c r="C1440" s="21" t="str">
        <x:v>artifact</x:v>
      </x:c>
      <x:c r="D1440" s="21" t="str">
        <x:v>artifact 195 planning state</x:v>
      </x:c>
      <x:c r="E1440" s="21" t="n">
        <x:f>IF(AND('Artifact Ledger'!Q201="OPEN",'Artifact Ledger'!R201="HOLD"),1,0)</x:f>
        <x:v>1</x:v>
      </x:c>
      <x:c r="F1440" s="21" t="n">
        <x:v>1</x:v>
      </x:c>
      <x:c r="G1440" s="23" t="str">
        <x:f>IF(E1440=F1440,"PASS","FAIL")</x:f>
        <x:v>PASS</x:v>
      </x:c>
    </x:row>
    <x:row r="1441">
      <x:c r="B1441" s="21" t="str">
        <x:v>A01435</x:v>
      </x:c>
      <x:c r="C1441" s="21" t="str">
        <x:v>artifact</x:v>
      </x:c>
      <x:c r="D1441" s="21" t="str">
        <x:v>artifact 196 eligibility equation</x:v>
      </x:c>
      <x:c r="E1441" s="21" t="n">
        <x:f>IF(ABS('Artifact Ledger'!P202-IF(AND('Artifact Ledger'!L202=1,'Artifact Ledger'!M202=1,'Artifact Ledger'!N202=1,'Artifact Ledger'!O202&gt;='Artifact Ledger'!G202),'Artifact Ledger'!K202,0))&lt;0.000001,1,0)</x:f>
        <x:v>1</x:v>
      </x:c>
      <x:c r="F1441" s="21" t="n">
        <x:v>1</x:v>
      </x:c>
      <x:c r="G1441" s="23" t="str">
        <x:f>IF(E1441=F1441,"PASS","FAIL")</x:f>
        <x:v>PASS</x:v>
      </x:c>
    </x:row>
    <x:row r="1442">
      <x:c r="B1442" s="21" t="str">
        <x:v>A01436</x:v>
      </x:c>
      <x:c r="C1442" s="21" t="str">
        <x:v>artifact</x:v>
      </x:c>
      <x:c r="D1442" s="21" t="str">
        <x:v>artifact 196 planning state</x:v>
      </x:c>
      <x:c r="E1442" s="21" t="n">
        <x:f>IF(AND('Artifact Ledger'!Q202="OPEN",'Artifact Ledger'!R202="HOLD"),1,0)</x:f>
        <x:v>1</x:v>
      </x:c>
      <x:c r="F1442" s="21" t="n">
        <x:v>1</x:v>
      </x:c>
      <x:c r="G1442" s="23" t="str">
        <x:f>IF(E1442=F1442,"PASS","FAIL")</x:f>
        <x:v>PASS</x:v>
      </x:c>
    </x:row>
    <x:row r="1443">
      <x:c r="B1443" s="21" t="str">
        <x:v>A01437</x:v>
      </x:c>
      <x:c r="C1443" s="21" t="str">
        <x:v>artifact</x:v>
      </x:c>
      <x:c r="D1443" s="21" t="str">
        <x:v>artifact 197 eligibility equation</x:v>
      </x:c>
      <x:c r="E1443" s="21" t="n">
        <x:f>IF(ABS('Artifact Ledger'!P203-IF(AND('Artifact Ledger'!L203=1,'Artifact Ledger'!M203=1,'Artifact Ledger'!N203=1,'Artifact Ledger'!O203&gt;='Artifact Ledger'!G203),'Artifact Ledger'!K203,0))&lt;0.000001,1,0)</x:f>
        <x:v>1</x:v>
      </x:c>
      <x:c r="F1443" s="21" t="n">
        <x:v>1</x:v>
      </x:c>
      <x:c r="G1443" s="23" t="str">
        <x:f>IF(E1443=F1443,"PASS","FAIL")</x:f>
        <x:v>PASS</x:v>
      </x:c>
    </x:row>
    <x:row r="1444">
      <x:c r="B1444" s="21" t="str">
        <x:v>A01438</x:v>
      </x:c>
      <x:c r="C1444" s="21" t="str">
        <x:v>artifact</x:v>
      </x:c>
      <x:c r="D1444" s="21" t="str">
        <x:v>artifact 197 planning state</x:v>
      </x:c>
      <x:c r="E1444" s="21" t="n">
        <x:f>IF(AND('Artifact Ledger'!Q203="OPEN",'Artifact Ledger'!R203="HOLD"),1,0)</x:f>
        <x:v>1</x:v>
      </x:c>
      <x:c r="F1444" s="21" t="n">
        <x:v>1</x:v>
      </x:c>
      <x:c r="G1444" s="23" t="str">
        <x:f>IF(E1444=F1444,"PASS","FAIL")</x:f>
        <x:v>PASS</x:v>
      </x:c>
    </x:row>
    <x:row r="1445">
      <x:c r="B1445" s="21" t="str">
        <x:v>A01439</x:v>
      </x:c>
      <x:c r="C1445" s="21" t="str">
        <x:v>artifact</x:v>
      </x:c>
      <x:c r="D1445" s="21" t="str">
        <x:v>artifact 198 eligibility equation</x:v>
      </x:c>
      <x:c r="E1445" s="21" t="n">
        <x:f>IF(ABS('Artifact Ledger'!P204-IF(AND('Artifact Ledger'!L204=1,'Artifact Ledger'!M204=1,'Artifact Ledger'!N204=1,'Artifact Ledger'!O204&gt;='Artifact Ledger'!G204),'Artifact Ledger'!K204,0))&lt;0.000001,1,0)</x:f>
        <x:v>1</x:v>
      </x:c>
      <x:c r="F1445" s="21" t="n">
        <x:v>1</x:v>
      </x:c>
      <x:c r="G1445" s="23" t="str">
        <x:f>IF(E1445=F1445,"PASS","FAIL")</x:f>
        <x:v>PASS</x:v>
      </x:c>
    </x:row>
    <x:row r="1446">
      <x:c r="B1446" s="21" t="str">
        <x:v>A01440</x:v>
      </x:c>
      <x:c r="C1446" s="21" t="str">
        <x:v>artifact</x:v>
      </x:c>
      <x:c r="D1446" s="21" t="str">
        <x:v>artifact 198 planning state</x:v>
      </x:c>
      <x:c r="E1446" s="21" t="n">
        <x:f>IF(AND('Artifact Ledger'!Q204="OPEN",'Artifact Ledger'!R204="HOLD"),1,0)</x:f>
        <x:v>1</x:v>
      </x:c>
      <x:c r="F1446" s="21" t="n">
        <x:v>1</x:v>
      </x:c>
      <x:c r="G1446" s="23" t="str">
        <x:f>IF(E1446=F1446,"PASS","FAIL")</x:f>
        <x:v>PASS</x:v>
      </x:c>
    </x:row>
    <x:row r="1447">
      <x:c r="B1447" s="21" t="str">
        <x:v>A01441</x:v>
      </x:c>
      <x:c r="C1447" s="21" t="str">
        <x:v>artifact</x:v>
      </x:c>
      <x:c r="D1447" s="21" t="str">
        <x:v>artifact 199 eligibility equation</x:v>
      </x:c>
      <x:c r="E1447" s="21" t="n">
        <x:f>IF(ABS('Artifact Ledger'!P205-IF(AND('Artifact Ledger'!L205=1,'Artifact Ledger'!M205=1,'Artifact Ledger'!N205=1,'Artifact Ledger'!O205&gt;='Artifact Ledger'!G205),'Artifact Ledger'!K205,0))&lt;0.000001,1,0)</x:f>
        <x:v>1</x:v>
      </x:c>
      <x:c r="F1447" s="21" t="n">
        <x:v>1</x:v>
      </x:c>
      <x:c r="G1447" s="23" t="str">
        <x:f>IF(E1447=F1447,"PASS","FAIL")</x:f>
        <x:v>PASS</x:v>
      </x:c>
    </x:row>
    <x:row r="1448">
      <x:c r="B1448" s="21" t="str">
        <x:v>A01442</x:v>
      </x:c>
      <x:c r="C1448" s="21" t="str">
        <x:v>artifact</x:v>
      </x:c>
      <x:c r="D1448" s="21" t="str">
        <x:v>artifact 199 planning state</x:v>
      </x:c>
      <x:c r="E1448" s="21" t="n">
        <x:f>IF(AND('Artifact Ledger'!Q205="OPEN",'Artifact Ledger'!R205="HOLD"),1,0)</x:f>
        <x:v>1</x:v>
      </x:c>
      <x:c r="F1448" s="21" t="n">
        <x:v>1</x:v>
      </x:c>
      <x:c r="G1448" s="23" t="str">
        <x:f>IF(E1448=F1448,"PASS","FAIL")</x:f>
        <x:v>PASS</x:v>
      </x:c>
    </x:row>
    <x:row r="1449">
      <x:c r="B1449" s="21" t="str">
        <x:v>A01443</x:v>
      </x:c>
      <x:c r="C1449" s="21" t="str">
        <x:v>artifact</x:v>
      </x:c>
      <x:c r="D1449" s="21" t="str">
        <x:v>artifact 200 eligibility equation</x:v>
      </x:c>
      <x:c r="E1449" s="21" t="n">
        <x:f>IF(ABS('Artifact Ledger'!P206-IF(AND('Artifact Ledger'!L206=1,'Artifact Ledger'!M206=1,'Artifact Ledger'!N206=1,'Artifact Ledger'!O206&gt;='Artifact Ledger'!G206),'Artifact Ledger'!K206,0))&lt;0.000001,1,0)</x:f>
        <x:v>1</x:v>
      </x:c>
      <x:c r="F1449" s="21" t="n">
        <x:v>1</x:v>
      </x:c>
      <x:c r="G1449" s="23" t="str">
        <x:f>IF(E1449=F1449,"PASS","FAIL")</x:f>
        <x:v>PASS</x:v>
      </x:c>
    </x:row>
    <x:row r="1450">
      <x:c r="B1450" s="21" t="str">
        <x:v>A01444</x:v>
      </x:c>
      <x:c r="C1450" s="21" t="str">
        <x:v>artifact</x:v>
      </x:c>
      <x:c r="D1450" s="21" t="str">
        <x:v>artifact 200 planning state</x:v>
      </x:c>
      <x:c r="E1450" s="21" t="n">
        <x:f>IF(AND('Artifact Ledger'!Q206="OPEN",'Artifact Ledger'!R206="HOLD"),1,0)</x:f>
        <x:v>1</x:v>
      </x:c>
      <x:c r="F1450" s="21" t="n">
        <x:v>1</x:v>
      </x:c>
      <x:c r="G1450" s="23" t="str">
        <x:f>IF(E1450=F1450,"PASS","FAIL")</x:f>
        <x:v>PASS</x:v>
      </x:c>
    </x:row>
    <x:row r="1451">
      <x:c r="B1451" s="21" t="str">
        <x:v>A01445</x:v>
      </x:c>
      <x:c r="C1451" s="21" t="str">
        <x:v>artifact</x:v>
      </x:c>
      <x:c r="D1451" s="21" t="str">
        <x:v>artifact 201 eligibility equation</x:v>
      </x:c>
      <x:c r="E1451" s="21" t="n">
        <x:f>IF(ABS('Artifact Ledger'!P207-IF(AND('Artifact Ledger'!L207=1,'Artifact Ledger'!M207=1,'Artifact Ledger'!N207=1,'Artifact Ledger'!O207&gt;='Artifact Ledger'!G207),'Artifact Ledger'!K207,0))&lt;0.000001,1,0)</x:f>
        <x:v>1</x:v>
      </x:c>
      <x:c r="F1451" s="21" t="n">
        <x:v>1</x:v>
      </x:c>
      <x:c r="G1451" s="23" t="str">
        <x:f>IF(E1451=F1451,"PASS","FAIL")</x:f>
        <x:v>PASS</x:v>
      </x:c>
    </x:row>
    <x:row r="1452">
      <x:c r="B1452" s="21" t="str">
        <x:v>A01446</x:v>
      </x:c>
      <x:c r="C1452" s="21" t="str">
        <x:v>artifact</x:v>
      </x:c>
      <x:c r="D1452" s="21" t="str">
        <x:v>artifact 201 planning state</x:v>
      </x:c>
      <x:c r="E1452" s="21" t="n">
        <x:f>IF(AND('Artifact Ledger'!Q207="OPEN",'Artifact Ledger'!R207="HOLD"),1,0)</x:f>
        <x:v>1</x:v>
      </x:c>
      <x:c r="F1452" s="21" t="n">
        <x:v>1</x:v>
      </x:c>
      <x:c r="G1452" s="23" t="str">
        <x:f>IF(E1452=F1452,"PASS","FAIL")</x:f>
        <x:v>PASS</x:v>
      </x:c>
    </x:row>
    <x:row r="1453">
      <x:c r="B1453" s="21" t="str">
        <x:v>A01447</x:v>
      </x:c>
      <x:c r="C1453" s="21" t="str">
        <x:v>artifact</x:v>
      </x:c>
      <x:c r="D1453" s="21" t="str">
        <x:v>artifact 202 eligibility equation</x:v>
      </x:c>
      <x:c r="E1453" s="21" t="n">
        <x:f>IF(ABS('Artifact Ledger'!P208-IF(AND('Artifact Ledger'!L208=1,'Artifact Ledger'!M208=1,'Artifact Ledger'!N208=1,'Artifact Ledger'!O208&gt;='Artifact Ledger'!G208),'Artifact Ledger'!K208,0))&lt;0.000001,1,0)</x:f>
        <x:v>1</x:v>
      </x:c>
      <x:c r="F1453" s="21" t="n">
        <x:v>1</x:v>
      </x:c>
      <x:c r="G1453" s="23" t="str">
        <x:f>IF(E1453=F1453,"PASS","FAIL")</x:f>
        <x:v>PASS</x:v>
      </x:c>
    </x:row>
    <x:row r="1454">
      <x:c r="B1454" s="21" t="str">
        <x:v>A01448</x:v>
      </x:c>
      <x:c r="C1454" s="21" t="str">
        <x:v>artifact</x:v>
      </x:c>
      <x:c r="D1454" s="21" t="str">
        <x:v>artifact 202 planning state</x:v>
      </x:c>
      <x:c r="E1454" s="21" t="n">
        <x:f>IF(AND('Artifact Ledger'!Q208="OPEN",'Artifact Ledger'!R208="HOLD"),1,0)</x:f>
        <x:v>1</x:v>
      </x:c>
      <x:c r="F1454" s="21" t="n">
        <x:v>1</x:v>
      </x:c>
      <x:c r="G1454" s="23" t="str">
        <x:f>IF(E1454=F1454,"PASS","FAIL")</x:f>
        <x:v>PASS</x:v>
      </x:c>
    </x:row>
    <x:row r="1455">
      <x:c r="B1455" s="21" t="str">
        <x:v>A01449</x:v>
      </x:c>
      <x:c r="C1455" s="21" t="str">
        <x:v>artifact</x:v>
      </x:c>
      <x:c r="D1455" s="21" t="str">
        <x:v>artifact 203 eligibility equation</x:v>
      </x:c>
      <x:c r="E1455" s="21" t="n">
        <x:f>IF(ABS('Artifact Ledger'!P209-IF(AND('Artifact Ledger'!L209=1,'Artifact Ledger'!M209=1,'Artifact Ledger'!N209=1,'Artifact Ledger'!O209&gt;='Artifact Ledger'!G209),'Artifact Ledger'!K209,0))&lt;0.000001,1,0)</x:f>
        <x:v>1</x:v>
      </x:c>
      <x:c r="F1455" s="21" t="n">
        <x:v>1</x:v>
      </x:c>
      <x:c r="G1455" s="23" t="str">
        <x:f>IF(E1455=F1455,"PASS","FAIL")</x:f>
        <x:v>PASS</x:v>
      </x:c>
    </x:row>
    <x:row r="1456">
      <x:c r="B1456" s="21" t="str">
        <x:v>A01450</x:v>
      </x:c>
      <x:c r="C1456" s="21" t="str">
        <x:v>artifact</x:v>
      </x:c>
      <x:c r="D1456" s="21" t="str">
        <x:v>artifact 203 planning state</x:v>
      </x:c>
      <x:c r="E1456" s="21" t="n">
        <x:f>IF(AND('Artifact Ledger'!Q209="OPEN",'Artifact Ledger'!R209="HOLD"),1,0)</x:f>
        <x:v>1</x:v>
      </x:c>
      <x:c r="F1456" s="21" t="n">
        <x:v>1</x:v>
      </x:c>
      <x:c r="G1456" s="23" t="str">
        <x:f>IF(E1456=F1456,"PASS","FAIL")</x:f>
        <x:v>PASS</x:v>
      </x:c>
    </x:row>
    <x:row r="1457">
      <x:c r="B1457" s="21" t="str">
        <x:v>A01451</x:v>
      </x:c>
      <x:c r="C1457" s="21" t="str">
        <x:v>artifact</x:v>
      </x:c>
      <x:c r="D1457" s="21" t="str">
        <x:v>artifact 204 eligibility equation</x:v>
      </x:c>
      <x:c r="E1457" s="21" t="n">
        <x:f>IF(ABS('Artifact Ledger'!P210-IF(AND('Artifact Ledger'!L210=1,'Artifact Ledger'!M210=1,'Artifact Ledger'!N210=1,'Artifact Ledger'!O210&gt;='Artifact Ledger'!G210),'Artifact Ledger'!K210,0))&lt;0.000001,1,0)</x:f>
        <x:v>1</x:v>
      </x:c>
      <x:c r="F1457" s="21" t="n">
        <x:v>1</x:v>
      </x:c>
      <x:c r="G1457" s="23" t="str">
        <x:f>IF(E1457=F1457,"PASS","FAIL")</x:f>
        <x:v>PASS</x:v>
      </x:c>
    </x:row>
    <x:row r="1458">
      <x:c r="B1458" s="21" t="str">
        <x:v>A01452</x:v>
      </x:c>
      <x:c r="C1458" s="21" t="str">
        <x:v>artifact</x:v>
      </x:c>
      <x:c r="D1458" s="21" t="str">
        <x:v>artifact 204 planning state</x:v>
      </x:c>
      <x:c r="E1458" s="21" t="n">
        <x:f>IF(AND('Artifact Ledger'!Q210="OPEN",'Artifact Ledger'!R210="HOLD"),1,0)</x:f>
        <x:v>1</x:v>
      </x:c>
      <x:c r="F1458" s="21" t="n">
        <x:v>1</x:v>
      </x:c>
      <x:c r="G1458" s="23" t="str">
        <x:f>IF(E1458=F1458,"PASS","FAIL")</x:f>
        <x:v>PASS</x:v>
      </x:c>
    </x:row>
    <x:row r="1459">
      <x:c r="B1459" s="21" t="str">
        <x:v>A01453</x:v>
      </x:c>
      <x:c r="C1459" s="21" t="str">
        <x:v>artifact</x:v>
      </x:c>
      <x:c r="D1459" s="21" t="str">
        <x:v>artifact 205 eligibility equation</x:v>
      </x:c>
      <x:c r="E1459" s="21" t="n">
        <x:f>IF(ABS('Artifact Ledger'!P211-IF(AND('Artifact Ledger'!L211=1,'Artifact Ledger'!M211=1,'Artifact Ledger'!N211=1,'Artifact Ledger'!O211&gt;='Artifact Ledger'!G211),'Artifact Ledger'!K211,0))&lt;0.000001,1,0)</x:f>
        <x:v>1</x:v>
      </x:c>
      <x:c r="F1459" s="21" t="n">
        <x:v>1</x:v>
      </x:c>
      <x:c r="G1459" s="23" t="str">
        <x:f>IF(E1459=F1459,"PASS","FAIL")</x:f>
        <x:v>PASS</x:v>
      </x:c>
    </x:row>
    <x:row r="1460">
      <x:c r="B1460" s="21" t="str">
        <x:v>A01454</x:v>
      </x:c>
      <x:c r="C1460" s="21" t="str">
        <x:v>artifact</x:v>
      </x:c>
      <x:c r="D1460" s="21" t="str">
        <x:v>artifact 205 planning state</x:v>
      </x:c>
      <x:c r="E1460" s="21" t="n">
        <x:f>IF(AND('Artifact Ledger'!Q211="OPEN",'Artifact Ledger'!R211="HOLD"),1,0)</x:f>
        <x:v>1</x:v>
      </x:c>
      <x:c r="F1460" s="21" t="n">
        <x:v>1</x:v>
      </x:c>
      <x:c r="G1460" s="23" t="str">
        <x:f>IF(E1460=F1460,"PASS","FAIL")</x:f>
        <x:v>PASS</x:v>
      </x:c>
    </x:row>
    <x:row r="1461">
      <x:c r="B1461" s="21" t="str">
        <x:v>A01455</x:v>
      </x:c>
      <x:c r="C1461" s="21" t="str">
        <x:v>artifact</x:v>
      </x:c>
      <x:c r="D1461" s="21" t="str">
        <x:v>artifact 206 eligibility equation</x:v>
      </x:c>
      <x:c r="E1461" s="21" t="n">
        <x:f>IF(ABS('Artifact Ledger'!P212-IF(AND('Artifact Ledger'!L212=1,'Artifact Ledger'!M212=1,'Artifact Ledger'!N212=1,'Artifact Ledger'!O212&gt;='Artifact Ledger'!G212),'Artifact Ledger'!K212,0))&lt;0.000001,1,0)</x:f>
        <x:v>1</x:v>
      </x:c>
      <x:c r="F1461" s="21" t="n">
        <x:v>1</x:v>
      </x:c>
      <x:c r="G1461" s="23" t="str">
        <x:f>IF(E1461=F1461,"PASS","FAIL")</x:f>
        <x:v>PASS</x:v>
      </x:c>
    </x:row>
    <x:row r="1462">
      <x:c r="B1462" s="21" t="str">
        <x:v>A01456</x:v>
      </x:c>
      <x:c r="C1462" s="21" t="str">
        <x:v>artifact</x:v>
      </x:c>
      <x:c r="D1462" s="21" t="str">
        <x:v>artifact 206 planning state</x:v>
      </x:c>
      <x:c r="E1462" s="21" t="n">
        <x:f>IF(AND('Artifact Ledger'!Q212="OPEN",'Artifact Ledger'!R212="HOLD"),1,0)</x:f>
        <x:v>1</x:v>
      </x:c>
      <x:c r="F1462" s="21" t="n">
        <x:v>1</x:v>
      </x:c>
      <x:c r="G1462" s="23" t="str">
        <x:f>IF(E1462=F1462,"PASS","FAIL")</x:f>
        <x:v>PASS</x:v>
      </x:c>
    </x:row>
    <x:row r="1463">
      <x:c r="B1463" s="21" t="str">
        <x:v>A01457</x:v>
      </x:c>
      <x:c r="C1463" s="21" t="str">
        <x:v>artifact</x:v>
      </x:c>
      <x:c r="D1463" s="21" t="str">
        <x:v>artifact 207 eligibility equation</x:v>
      </x:c>
      <x:c r="E1463" s="21" t="n">
        <x:f>IF(ABS('Artifact Ledger'!P213-IF(AND('Artifact Ledger'!L213=1,'Artifact Ledger'!M213=1,'Artifact Ledger'!N213=1,'Artifact Ledger'!O213&gt;='Artifact Ledger'!G213),'Artifact Ledger'!K213,0))&lt;0.000001,1,0)</x:f>
        <x:v>1</x:v>
      </x:c>
      <x:c r="F1463" s="21" t="n">
        <x:v>1</x:v>
      </x:c>
      <x:c r="G1463" s="23" t="str">
        <x:f>IF(E1463=F1463,"PASS","FAIL")</x:f>
        <x:v>PASS</x:v>
      </x:c>
    </x:row>
    <x:row r="1464">
      <x:c r="B1464" s="21" t="str">
        <x:v>A01458</x:v>
      </x:c>
      <x:c r="C1464" s="21" t="str">
        <x:v>artifact</x:v>
      </x:c>
      <x:c r="D1464" s="21" t="str">
        <x:v>artifact 207 planning state</x:v>
      </x:c>
      <x:c r="E1464" s="21" t="n">
        <x:f>IF(AND('Artifact Ledger'!Q213="OPEN",'Artifact Ledger'!R213="HOLD"),1,0)</x:f>
        <x:v>1</x:v>
      </x:c>
      <x:c r="F1464" s="21" t="n">
        <x:v>1</x:v>
      </x:c>
      <x:c r="G1464" s="23" t="str">
        <x:f>IF(E1464=F1464,"PASS","FAIL")</x:f>
        <x:v>PASS</x:v>
      </x:c>
    </x:row>
    <x:row r="1465">
      <x:c r="B1465" s="21" t="str">
        <x:v>A01459</x:v>
      </x:c>
      <x:c r="C1465" s="21" t="str">
        <x:v>artifact</x:v>
      </x:c>
      <x:c r="D1465" s="21" t="str">
        <x:v>artifact 208 eligibility equation</x:v>
      </x:c>
      <x:c r="E1465" s="21" t="n">
        <x:f>IF(ABS('Artifact Ledger'!P214-IF(AND('Artifact Ledger'!L214=1,'Artifact Ledger'!M214=1,'Artifact Ledger'!N214=1,'Artifact Ledger'!O214&gt;='Artifact Ledger'!G214),'Artifact Ledger'!K214,0))&lt;0.000001,1,0)</x:f>
        <x:v>1</x:v>
      </x:c>
      <x:c r="F1465" s="21" t="n">
        <x:v>1</x:v>
      </x:c>
      <x:c r="G1465" s="23" t="str">
        <x:f>IF(E1465=F1465,"PASS","FAIL")</x:f>
        <x:v>PASS</x:v>
      </x:c>
    </x:row>
    <x:row r="1466">
      <x:c r="B1466" s="21" t="str">
        <x:v>A01460</x:v>
      </x:c>
      <x:c r="C1466" s="21" t="str">
        <x:v>artifact</x:v>
      </x:c>
      <x:c r="D1466" s="21" t="str">
        <x:v>artifact 208 planning state</x:v>
      </x:c>
      <x:c r="E1466" s="21" t="n">
        <x:f>IF(AND('Artifact Ledger'!Q214="OPEN",'Artifact Ledger'!R214="HOLD"),1,0)</x:f>
        <x:v>1</x:v>
      </x:c>
      <x:c r="F1466" s="21" t="n">
        <x:v>1</x:v>
      </x:c>
      <x:c r="G1466" s="23" t="str">
        <x:f>IF(E1466=F1466,"PASS","FAIL")</x:f>
        <x:v>PASS</x:v>
      </x:c>
    </x:row>
    <x:row r="1467">
      <x:c r="B1467" s="21" t="str">
        <x:v>A01461</x:v>
      </x:c>
      <x:c r="C1467" s="21" t="str">
        <x:v>artifact</x:v>
      </x:c>
      <x:c r="D1467" s="21" t="str">
        <x:v>artifact 209 eligibility equation</x:v>
      </x:c>
      <x:c r="E1467" s="21" t="n">
        <x:f>IF(ABS('Artifact Ledger'!P215-IF(AND('Artifact Ledger'!L215=1,'Artifact Ledger'!M215=1,'Artifact Ledger'!N215=1,'Artifact Ledger'!O215&gt;='Artifact Ledger'!G215),'Artifact Ledger'!K215,0))&lt;0.000001,1,0)</x:f>
        <x:v>1</x:v>
      </x:c>
      <x:c r="F1467" s="21" t="n">
        <x:v>1</x:v>
      </x:c>
      <x:c r="G1467" s="23" t="str">
        <x:f>IF(E1467=F1467,"PASS","FAIL")</x:f>
        <x:v>PASS</x:v>
      </x:c>
    </x:row>
    <x:row r="1468">
      <x:c r="B1468" s="21" t="str">
        <x:v>A01462</x:v>
      </x:c>
      <x:c r="C1468" s="21" t="str">
        <x:v>artifact</x:v>
      </x:c>
      <x:c r="D1468" s="21" t="str">
        <x:v>artifact 209 planning state</x:v>
      </x:c>
      <x:c r="E1468" s="21" t="n">
        <x:f>IF(AND('Artifact Ledger'!Q215="OPEN",'Artifact Ledger'!R215="HOLD"),1,0)</x:f>
        <x:v>1</x:v>
      </x:c>
      <x:c r="F1468" s="21" t="n">
        <x:v>1</x:v>
      </x:c>
      <x:c r="G1468" s="23" t="str">
        <x:f>IF(E1468=F1468,"PASS","FAIL")</x:f>
        <x:v>PASS</x:v>
      </x:c>
    </x:row>
    <x:row r="1469">
      <x:c r="B1469" s="21" t="str">
        <x:v>A01463</x:v>
      </x:c>
      <x:c r="C1469" s="21" t="str">
        <x:v>artifact</x:v>
      </x:c>
      <x:c r="D1469" s="21" t="str">
        <x:v>artifact 210 eligibility equation</x:v>
      </x:c>
      <x:c r="E1469" s="21" t="n">
        <x:f>IF(ABS('Artifact Ledger'!P216-IF(AND('Artifact Ledger'!L216=1,'Artifact Ledger'!M216=1,'Artifact Ledger'!N216=1,'Artifact Ledger'!O216&gt;='Artifact Ledger'!G216),'Artifact Ledger'!K216,0))&lt;0.000001,1,0)</x:f>
        <x:v>1</x:v>
      </x:c>
      <x:c r="F1469" s="21" t="n">
        <x:v>1</x:v>
      </x:c>
      <x:c r="G1469" s="23" t="str">
        <x:f>IF(E1469=F1469,"PASS","FAIL")</x:f>
        <x:v>PASS</x:v>
      </x:c>
    </x:row>
    <x:row r="1470">
      <x:c r="B1470" s="21" t="str">
        <x:v>A01464</x:v>
      </x:c>
      <x:c r="C1470" s="21" t="str">
        <x:v>artifact</x:v>
      </x:c>
      <x:c r="D1470" s="21" t="str">
        <x:v>artifact 210 planning state</x:v>
      </x:c>
      <x:c r="E1470" s="21" t="n">
        <x:f>IF(AND('Artifact Ledger'!Q216="OPEN",'Artifact Ledger'!R216="HOLD"),1,0)</x:f>
        <x:v>1</x:v>
      </x:c>
      <x:c r="F1470" s="21" t="n">
        <x:v>1</x:v>
      </x:c>
      <x:c r="G1470" s="23" t="str">
        <x:f>IF(E1470=F1470,"PASS","FAIL")</x:f>
        <x:v>PASS</x:v>
      </x:c>
    </x:row>
    <x:row r="1471">
      <x:c r="B1471" s="21" t="str">
        <x:v>A01465</x:v>
      </x:c>
      <x:c r="C1471" s="21" t="str">
        <x:v>artifact</x:v>
      </x:c>
      <x:c r="D1471" s="21" t="str">
        <x:v>artifact 211 eligibility equation</x:v>
      </x:c>
      <x:c r="E1471" s="21" t="n">
        <x:f>IF(ABS('Artifact Ledger'!P217-IF(AND('Artifact Ledger'!L217=1,'Artifact Ledger'!M217=1,'Artifact Ledger'!N217=1,'Artifact Ledger'!O217&gt;='Artifact Ledger'!G217),'Artifact Ledger'!K217,0))&lt;0.000001,1,0)</x:f>
        <x:v>1</x:v>
      </x:c>
      <x:c r="F1471" s="21" t="n">
        <x:v>1</x:v>
      </x:c>
      <x:c r="G1471" s="23" t="str">
        <x:f>IF(E1471=F1471,"PASS","FAIL")</x:f>
        <x:v>PASS</x:v>
      </x:c>
    </x:row>
    <x:row r="1472">
      <x:c r="B1472" s="21" t="str">
        <x:v>A01466</x:v>
      </x:c>
      <x:c r="C1472" s="21" t="str">
        <x:v>artifact</x:v>
      </x:c>
      <x:c r="D1472" s="21" t="str">
        <x:v>artifact 211 planning state</x:v>
      </x:c>
      <x:c r="E1472" s="21" t="n">
        <x:f>IF(AND('Artifact Ledger'!Q217="OPEN",'Artifact Ledger'!R217="HOLD"),1,0)</x:f>
        <x:v>1</x:v>
      </x:c>
      <x:c r="F1472" s="21" t="n">
        <x:v>1</x:v>
      </x:c>
      <x:c r="G1472" s="23" t="str">
        <x:f>IF(E1472=F1472,"PASS","FAIL")</x:f>
        <x:v>PASS</x:v>
      </x:c>
    </x:row>
    <x:row r="1473">
      <x:c r="B1473" s="21" t="str">
        <x:v>A01467</x:v>
      </x:c>
      <x:c r="C1473" s="21" t="str">
        <x:v>artifact</x:v>
      </x:c>
      <x:c r="D1473" s="21" t="str">
        <x:v>artifact 212 eligibility equation</x:v>
      </x:c>
      <x:c r="E1473" s="21" t="n">
        <x:f>IF(ABS('Artifact Ledger'!P218-IF(AND('Artifact Ledger'!L218=1,'Artifact Ledger'!M218=1,'Artifact Ledger'!N218=1,'Artifact Ledger'!O218&gt;='Artifact Ledger'!G218),'Artifact Ledger'!K218,0))&lt;0.000001,1,0)</x:f>
        <x:v>1</x:v>
      </x:c>
      <x:c r="F1473" s="21" t="n">
        <x:v>1</x:v>
      </x:c>
      <x:c r="G1473" s="23" t="str">
        <x:f>IF(E1473=F1473,"PASS","FAIL")</x:f>
        <x:v>PASS</x:v>
      </x:c>
    </x:row>
    <x:row r="1474">
      <x:c r="B1474" s="21" t="str">
        <x:v>A01468</x:v>
      </x:c>
      <x:c r="C1474" s="21" t="str">
        <x:v>artifact</x:v>
      </x:c>
      <x:c r="D1474" s="21" t="str">
        <x:v>artifact 212 planning state</x:v>
      </x:c>
      <x:c r="E1474" s="21" t="n">
        <x:f>IF(AND('Artifact Ledger'!Q218="OPEN",'Artifact Ledger'!R218="HOLD"),1,0)</x:f>
        <x:v>1</x:v>
      </x:c>
      <x:c r="F1474" s="21" t="n">
        <x:v>1</x:v>
      </x:c>
      <x:c r="G1474" s="23" t="str">
        <x:f>IF(E1474=F1474,"PASS","FAIL")</x:f>
        <x:v>PASS</x:v>
      </x:c>
    </x:row>
    <x:row r="1475">
      <x:c r="B1475" s="21" t="str">
        <x:v>A01469</x:v>
      </x:c>
      <x:c r="C1475" s="21" t="str">
        <x:v>artifact</x:v>
      </x:c>
      <x:c r="D1475" s="21" t="str">
        <x:v>artifact 213 eligibility equation</x:v>
      </x:c>
      <x:c r="E1475" s="21" t="n">
        <x:f>IF(ABS('Artifact Ledger'!P219-IF(AND('Artifact Ledger'!L219=1,'Artifact Ledger'!M219=1,'Artifact Ledger'!N219=1,'Artifact Ledger'!O219&gt;='Artifact Ledger'!G219),'Artifact Ledger'!K219,0))&lt;0.000001,1,0)</x:f>
        <x:v>1</x:v>
      </x:c>
      <x:c r="F1475" s="21" t="n">
        <x:v>1</x:v>
      </x:c>
      <x:c r="G1475" s="23" t="str">
        <x:f>IF(E1475=F1475,"PASS","FAIL")</x:f>
        <x:v>PASS</x:v>
      </x:c>
    </x:row>
    <x:row r="1476">
      <x:c r="B1476" s="21" t="str">
        <x:v>A01470</x:v>
      </x:c>
      <x:c r="C1476" s="21" t="str">
        <x:v>artifact</x:v>
      </x:c>
      <x:c r="D1476" s="21" t="str">
        <x:v>artifact 213 planning state</x:v>
      </x:c>
      <x:c r="E1476" s="21" t="n">
        <x:f>IF(AND('Artifact Ledger'!Q219="OPEN",'Artifact Ledger'!R219="HOLD"),1,0)</x:f>
        <x:v>1</x:v>
      </x:c>
      <x:c r="F1476" s="21" t="n">
        <x:v>1</x:v>
      </x:c>
      <x:c r="G1476" s="23" t="str">
        <x:f>IF(E1476=F1476,"PASS","FAIL")</x:f>
        <x:v>PASS</x:v>
      </x:c>
    </x:row>
    <x:row r="1477">
      <x:c r="B1477" s="21" t="str">
        <x:v>A01471</x:v>
      </x:c>
      <x:c r="C1477" s="21" t="str">
        <x:v>artifact</x:v>
      </x:c>
      <x:c r="D1477" s="21" t="str">
        <x:v>artifact 214 eligibility equation</x:v>
      </x:c>
      <x:c r="E1477" s="21" t="n">
        <x:f>IF(ABS('Artifact Ledger'!P220-IF(AND('Artifact Ledger'!L220=1,'Artifact Ledger'!M220=1,'Artifact Ledger'!N220=1,'Artifact Ledger'!O220&gt;='Artifact Ledger'!G220),'Artifact Ledger'!K220,0))&lt;0.000001,1,0)</x:f>
        <x:v>1</x:v>
      </x:c>
      <x:c r="F1477" s="21" t="n">
        <x:v>1</x:v>
      </x:c>
      <x:c r="G1477" s="23" t="str">
        <x:f>IF(E1477=F1477,"PASS","FAIL")</x:f>
        <x:v>PASS</x:v>
      </x:c>
    </x:row>
    <x:row r="1478">
      <x:c r="B1478" s="21" t="str">
        <x:v>A01472</x:v>
      </x:c>
      <x:c r="C1478" s="21" t="str">
        <x:v>artifact</x:v>
      </x:c>
      <x:c r="D1478" s="21" t="str">
        <x:v>artifact 214 planning state</x:v>
      </x:c>
      <x:c r="E1478" s="21" t="n">
        <x:f>IF(AND('Artifact Ledger'!Q220="OPEN",'Artifact Ledger'!R220="HOLD"),1,0)</x:f>
        <x:v>1</x:v>
      </x:c>
      <x:c r="F1478" s="21" t="n">
        <x:v>1</x:v>
      </x:c>
      <x:c r="G1478" s="23" t="str">
        <x:f>IF(E1478=F1478,"PASS","FAIL")</x:f>
        <x:v>PASS</x:v>
      </x:c>
    </x:row>
    <x:row r="1479">
      <x:c r="B1479" s="21" t="str">
        <x:v>A01473</x:v>
      </x:c>
      <x:c r="C1479" s="21" t="str">
        <x:v>artifact</x:v>
      </x:c>
      <x:c r="D1479" s="21" t="str">
        <x:v>artifact 215 eligibility equation</x:v>
      </x:c>
      <x:c r="E1479" s="21" t="n">
        <x:f>IF(ABS('Artifact Ledger'!P221-IF(AND('Artifact Ledger'!L221=1,'Artifact Ledger'!M221=1,'Artifact Ledger'!N221=1,'Artifact Ledger'!O221&gt;='Artifact Ledger'!G221),'Artifact Ledger'!K221,0))&lt;0.000001,1,0)</x:f>
        <x:v>1</x:v>
      </x:c>
      <x:c r="F1479" s="21" t="n">
        <x:v>1</x:v>
      </x:c>
      <x:c r="G1479" s="23" t="str">
        <x:f>IF(E1479=F1479,"PASS","FAIL")</x:f>
        <x:v>PASS</x:v>
      </x:c>
    </x:row>
    <x:row r="1480">
      <x:c r="B1480" s="21" t="str">
        <x:v>A01474</x:v>
      </x:c>
      <x:c r="C1480" s="21" t="str">
        <x:v>artifact</x:v>
      </x:c>
      <x:c r="D1480" s="21" t="str">
        <x:v>artifact 215 planning state</x:v>
      </x:c>
      <x:c r="E1480" s="21" t="n">
        <x:f>IF(AND('Artifact Ledger'!Q221="OPEN",'Artifact Ledger'!R221="HOLD"),1,0)</x:f>
        <x:v>1</x:v>
      </x:c>
      <x:c r="F1480" s="21" t="n">
        <x:v>1</x:v>
      </x:c>
      <x:c r="G1480" s="23" t="str">
        <x:f>IF(E1480=F1480,"PASS","FAIL")</x:f>
        <x:v>PASS</x:v>
      </x:c>
    </x:row>
    <x:row r="1481">
      <x:c r="B1481" s="21" t="str">
        <x:v>A01475</x:v>
      </x:c>
      <x:c r="C1481" s="21" t="str">
        <x:v>artifact</x:v>
      </x:c>
      <x:c r="D1481" s="21" t="str">
        <x:v>artifact 216 eligibility equation</x:v>
      </x:c>
      <x:c r="E1481" s="21" t="n">
        <x:f>IF(ABS('Artifact Ledger'!P222-IF(AND('Artifact Ledger'!L222=1,'Artifact Ledger'!M222=1,'Artifact Ledger'!N222=1,'Artifact Ledger'!O222&gt;='Artifact Ledger'!G222),'Artifact Ledger'!K222,0))&lt;0.000001,1,0)</x:f>
        <x:v>1</x:v>
      </x:c>
      <x:c r="F1481" s="21" t="n">
        <x:v>1</x:v>
      </x:c>
      <x:c r="G1481" s="23" t="str">
        <x:f>IF(E1481=F1481,"PASS","FAIL")</x:f>
        <x:v>PASS</x:v>
      </x:c>
    </x:row>
    <x:row r="1482">
      <x:c r="B1482" s="21" t="str">
        <x:v>A01476</x:v>
      </x:c>
      <x:c r="C1482" s="21" t="str">
        <x:v>artifact</x:v>
      </x:c>
      <x:c r="D1482" s="21" t="str">
        <x:v>artifact 216 planning state</x:v>
      </x:c>
      <x:c r="E1482" s="21" t="n">
        <x:f>IF(AND('Artifact Ledger'!Q222="OPEN",'Artifact Ledger'!R222="HOLD"),1,0)</x:f>
        <x:v>1</x:v>
      </x:c>
      <x:c r="F1482" s="21" t="n">
        <x:v>1</x:v>
      </x:c>
      <x:c r="G1482" s="23" t="str">
        <x:f>IF(E1482=F1482,"PASS","FAIL")</x:f>
        <x:v>PASS</x:v>
      </x:c>
    </x:row>
    <x:row r="1483">
      <x:c r="B1483" s="21" t="str">
        <x:v>A01477</x:v>
      </x:c>
      <x:c r="C1483" s="21" t="str">
        <x:v>artifact</x:v>
      </x:c>
      <x:c r="D1483" s="21" t="str">
        <x:v>artifact 217 eligibility equation</x:v>
      </x:c>
      <x:c r="E1483" s="21" t="n">
        <x:f>IF(ABS('Artifact Ledger'!P223-IF(AND('Artifact Ledger'!L223=1,'Artifact Ledger'!M223=1,'Artifact Ledger'!N223=1,'Artifact Ledger'!O223&gt;='Artifact Ledger'!G223),'Artifact Ledger'!K223,0))&lt;0.000001,1,0)</x:f>
        <x:v>1</x:v>
      </x:c>
      <x:c r="F1483" s="21" t="n">
        <x:v>1</x:v>
      </x:c>
      <x:c r="G1483" s="23" t="str">
        <x:f>IF(E1483=F1483,"PASS","FAIL")</x:f>
        <x:v>PASS</x:v>
      </x:c>
    </x:row>
    <x:row r="1484">
      <x:c r="B1484" s="21" t="str">
        <x:v>A01478</x:v>
      </x:c>
      <x:c r="C1484" s="21" t="str">
        <x:v>artifact</x:v>
      </x:c>
      <x:c r="D1484" s="21" t="str">
        <x:v>artifact 217 planning state</x:v>
      </x:c>
      <x:c r="E1484" s="21" t="n">
        <x:f>IF(AND('Artifact Ledger'!Q223="OPEN",'Artifact Ledger'!R223="HOLD"),1,0)</x:f>
        <x:v>1</x:v>
      </x:c>
      <x:c r="F1484" s="21" t="n">
        <x:v>1</x:v>
      </x:c>
      <x:c r="G1484" s="23" t="str">
        <x:f>IF(E1484=F1484,"PASS","FAIL")</x:f>
        <x:v>PASS</x:v>
      </x:c>
    </x:row>
    <x:row r="1485">
      <x:c r="B1485" s="21" t="str">
        <x:v>A01479</x:v>
      </x:c>
      <x:c r="C1485" s="21" t="str">
        <x:v>artifact</x:v>
      </x:c>
      <x:c r="D1485" s="21" t="str">
        <x:v>artifact 218 eligibility equation</x:v>
      </x:c>
      <x:c r="E1485" s="21" t="n">
        <x:f>IF(ABS('Artifact Ledger'!P224-IF(AND('Artifact Ledger'!L224=1,'Artifact Ledger'!M224=1,'Artifact Ledger'!N224=1,'Artifact Ledger'!O224&gt;='Artifact Ledger'!G224),'Artifact Ledger'!K224,0))&lt;0.000001,1,0)</x:f>
        <x:v>1</x:v>
      </x:c>
      <x:c r="F1485" s="21" t="n">
        <x:v>1</x:v>
      </x:c>
      <x:c r="G1485" s="23" t="str">
        <x:f>IF(E1485=F1485,"PASS","FAIL")</x:f>
        <x:v>PASS</x:v>
      </x:c>
    </x:row>
    <x:row r="1486">
      <x:c r="B1486" s="21" t="str">
        <x:v>A01480</x:v>
      </x:c>
      <x:c r="C1486" s="21" t="str">
        <x:v>artifact</x:v>
      </x:c>
      <x:c r="D1486" s="21" t="str">
        <x:v>artifact 218 planning state</x:v>
      </x:c>
      <x:c r="E1486" s="21" t="n">
        <x:f>IF(AND('Artifact Ledger'!Q224="OPEN",'Artifact Ledger'!R224="HOLD"),1,0)</x:f>
        <x:v>1</x:v>
      </x:c>
      <x:c r="F1486" s="21" t="n">
        <x:v>1</x:v>
      </x:c>
      <x:c r="G1486" s="23" t="str">
        <x:f>IF(E1486=F1486,"PASS","FAIL")</x:f>
        <x:v>PASS</x:v>
      </x:c>
    </x:row>
    <x:row r="1487">
      <x:c r="B1487" s="21" t="str">
        <x:v>A01481</x:v>
      </x:c>
      <x:c r="C1487" s="21" t="str">
        <x:v>artifact</x:v>
      </x:c>
      <x:c r="D1487" s="21" t="str">
        <x:v>artifact 219 eligibility equation</x:v>
      </x:c>
      <x:c r="E1487" s="21" t="n">
        <x:f>IF(ABS('Artifact Ledger'!P225-IF(AND('Artifact Ledger'!L225=1,'Artifact Ledger'!M225=1,'Artifact Ledger'!N225=1,'Artifact Ledger'!O225&gt;='Artifact Ledger'!G225),'Artifact Ledger'!K225,0))&lt;0.000001,1,0)</x:f>
        <x:v>1</x:v>
      </x:c>
      <x:c r="F1487" s="21" t="n">
        <x:v>1</x:v>
      </x:c>
      <x:c r="G1487" s="23" t="str">
        <x:f>IF(E1487=F1487,"PASS","FAIL")</x:f>
        <x:v>PASS</x:v>
      </x:c>
    </x:row>
    <x:row r="1488">
      <x:c r="B1488" s="21" t="str">
        <x:v>A01482</x:v>
      </x:c>
      <x:c r="C1488" s="21" t="str">
        <x:v>artifact</x:v>
      </x:c>
      <x:c r="D1488" s="21" t="str">
        <x:v>artifact 219 planning state</x:v>
      </x:c>
      <x:c r="E1488" s="21" t="n">
        <x:f>IF(AND('Artifact Ledger'!Q225="OPEN",'Artifact Ledger'!R225="HOLD"),1,0)</x:f>
        <x:v>1</x:v>
      </x:c>
      <x:c r="F1488" s="21" t="n">
        <x:v>1</x:v>
      </x:c>
      <x:c r="G1488" s="23" t="str">
        <x:f>IF(E1488=F1488,"PASS","FAIL")</x:f>
        <x:v>PASS</x:v>
      </x:c>
    </x:row>
    <x:row r="1489">
      <x:c r="B1489" s="21" t="str">
        <x:v>A01483</x:v>
      </x:c>
      <x:c r="C1489" s="21" t="str">
        <x:v>artifact</x:v>
      </x:c>
      <x:c r="D1489" s="21" t="str">
        <x:v>artifact 220 eligibility equation</x:v>
      </x:c>
      <x:c r="E1489" s="21" t="n">
        <x:f>IF(ABS('Artifact Ledger'!P226-IF(AND('Artifact Ledger'!L226=1,'Artifact Ledger'!M226=1,'Artifact Ledger'!N226=1,'Artifact Ledger'!O226&gt;='Artifact Ledger'!G226),'Artifact Ledger'!K226,0))&lt;0.000001,1,0)</x:f>
        <x:v>1</x:v>
      </x:c>
      <x:c r="F1489" s="21" t="n">
        <x:v>1</x:v>
      </x:c>
      <x:c r="G1489" s="23" t="str">
        <x:f>IF(E1489=F1489,"PASS","FAIL")</x:f>
        <x:v>PASS</x:v>
      </x:c>
    </x:row>
    <x:row r="1490">
      <x:c r="B1490" s="21" t="str">
        <x:v>A01484</x:v>
      </x:c>
      <x:c r="C1490" s="21" t="str">
        <x:v>artifact</x:v>
      </x:c>
      <x:c r="D1490" s="21" t="str">
        <x:v>artifact 220 planning state</x:v>
      </x:c>
      <x:c r="E1490" s="21" t="n">
        <x:f>IF(AND('Artifact Ledger'!Q226="OPEN",'Artifact Ledger'!R226="HOLD"),1,0)</x:f>
        <x:v>1</x:v>
      </x:c>
      <x:c r="F1490" s="21" t="n">
        <x:v>1</x:v>
      </x:c>
      <x:c r="G1490" s="23" t="str">
        <x:f>IF(E1490=F1490,"PASS","FAIL")</x:f>
        <x:v>PASS</x:v>
      </x:c>
    </x:row>
    <x:row r="1491">
      <x:c r="B1491" s="21" t="str">
        <x:v>A01485</x:v>
      </x:c>
      <x:c r="C1491" s="21" t="str">
        <x:v>artifact</x:v>
      </x:c>
      <x:c r="D1491" s="21" t="str">
        <x:v>artifact 221 eligibility equation</x:v>
      </x:c>
      <x:c r="E1491" s="21" t="n">
        <x:f>IF(ABS('Artifact Ledger'!P227-IF(AND('Artifact Ledger'!L227=1,'Artifact Ledger'!M227=1,'Artifact Ledger'!N227=1,'Artifact Ledger'!O227&gt;='Artifact Ledger'!G227),'Artifact Ledger'!K227,0))&lt;0.000001,1,0)</x:f>
        <x:v>1</x:v>
      </x:c>
      <x:c r="F1491" s="21" t="n">
        <x:v>1</x:v>
      </x:c>
      <x:c r="G1491" s="23" t="str">
        <x:f>IF(E1491=F1491,"PASS","FAIL")</x:f>
        <x:v>PASS</x:v>
      </x:c>
    </x:row>
    <x:row r="1492">
      <x:c r="B1492" s="21" t="str">
        <x:v>A01486</x:v>
      </x:c>
      <x:c r="C1492" s="21" t="str">
        <x:v>artifact</x:v>
      </x:c>
      <x:c r="D1492" s="21" t="str">
        <x:v>artifact 221 planning state</x:v>
      </x:c>
      <x:c r="E1492" s="21" t="n">
        <x:f>IF(AND('Artifact Ledger'!Q227="OPEN",'Artifact Ledger'!R227="HOLD"),1,0)</x:f>
        <x:v>1</x:v>
      </x:c>
      <x:c r="F1492" s="21" t="n">
        <x:v>1</x:v>
      </x:c>
      <x:c r="G1492" s="23" t="str">
        <x:f>IF(E1492=F1492,"PASS","FAIL")</x:f>
        <x:v>PASS</x:v>
      </x:c>
    </x:row>
    <x:row r="1493">
      <x:c r="B1493" s="21" t="str">
        <x:v>A01487</x:v>
      </x:c>
      <x:c r="C1493" s="21" t="str">
        <x:v>artifact</x:v>
      </x:c>
      <x:c r="D1493" s="21" t="str">
        <x:v>artifact 222 eligibility equation</x:v>
      </x:c>
      <x:c r="E1493" s="21" t="n">
        <x:f>IF(ABS('Artifact Ledger'!P228-IF(AND('Artifact Ledger'!L228=1,'Artifact Ledger'!M228=1,'Artifact Ledger'!N228=1,'Artifact Ledger'!O228&gt;='Artifact Ledger'!G228),'Artifact Ledger'!K228,0))&lt;0.000001,1,0)</x:f>
        <x:v>1</x:v>
      </x:c>
      <x:c r="F1493" s="21" t="n">
        <x:v>1</x:v>
      </x:c>
      <x:c r="G1493" s="23" t="str">
        <x:f>IF(E1493=F1493,"PASS","FAIL")</x:f>
        <x:v>PASS</x:v>
      </x:c>
    </x:row>
    <x:row r="1494">
      <x:c r="B1494" s="21" t="str">
        <x:v>A01488</x:v>
      </x:c>
      <x:c r="C1494" s="21" t="str">
        <x:v>artifact</x:v>
      </x:c>
      <x:c r="D1494" s="21" t="str">
        <x:v>artifact 222 planning state</x:v>
      </x:c>
      <x:c r="E1494" s="21" t="n">
        <x:f>IF(AND('Artifact Ledger'!Q228="OPEN",'Artifact Ledger'!R228="HOLD"),1,0)</x:f>
        <x:v>1</x:v>
      </x:c>
      <x:c r="F1494" s="21" t="n">
        <x:v>1</x:v>
      </x:c>
      <x:c r="G1494" s="23" t="str">
        <x:f>IF(E1494=F1494,"PASS","FAIL")</x:f>
        <x:v>PASS</x:v>
      </x:c>
    </x:row>
    <x:row r="1495">
      <x:c r="B1495" s="21" t="str">
        <x:v>A01489</x:v>
      </x:c>
      <x:c r="C1495" s="21" t="str">
        <x:v>artifact</x:v>
      </x:c>
      <x:c r="D1495" s="21" t="str">
        <x:v>artifact 223 eligibility equation</x:v>
      </x:c>
      <x:c r="E1495" s="21" t="n">
        <x:f>IF(ABS('Artifact Ledger'!P229-IF(AND('Artifact Ledger'!L229=1,'Artifact Ledger'!M229=1,'Artifact Ledger'!N229=1,'Artifact Ledger'!O229&gt;='Artifact Ledger'!G229),'Artifact Ledger'!K229,0))&lt;0.000001,1,0)</x:f>
        <x:v>1</x:v>
      </x:c>
      <x:c r="F1495" s="21" t="n">
        <x:v>1</x:v>
      </x:c>
      <x:c r="G1495" s="23" t="str">
        <x:f>IF(E1495=F1495,"PASS","FAIL")</x:f>
        <x:v>PASS</x:v>
      </x:c>
    </x:row>
    <x:row r="1496">
      <x:c r="B1496" s="21" t="str">
        <x:v>A01490</x:v>
      </x:c>
      <x:c r="C1496" s="21" t="str">
        <x:v>artifact</x:v>
      </x:c>
      <x:c r="D1496" s="21" t="str">
        <x:v>artifact 223 planning state</x:v>
      </x:c>
      <x:c r="E1496" s="21" t="n">
        <x:f>IF(AND('Artifact Ledger'!Q229="OPEN",'Artifact Ledger'!R229="HOLD"),1,0)</x:f>
        <x:v>1</x:v>
      </x:c>
      <x:c r="F1496" s="21" t="n">
        <x:v>1</x:v>
      </x:c>
      <x:c r="G1496" s="23" t="str">
        <x:f>IF(E1496=F1496,"PASS","FAIL")</x:f>
        <x:v>PASS</x:v>
      </x:c>
    </x:row>
    <x:row r="1497">
      <x:c r="B1497" s="21" t="str">
        <x:v>A01491</x:v>
      </x:c>
      <x:c r="C1497" s="21" t="str">
        <x:v>artifact</x:v>
      </x:c>
      <x:c r="D1497" s="21" t="str">
        <x:v>artifact 224 eligibility equation</x:v>
      </x:c>
      <x:c r="E1497" s="21" t="n">
        <x:f>IF(ABS('Artifact Ledger'!P230-IF(AND('Artifact Ledger'!L230=1,'Artifact Ledger'!M230=1,'Artifact Ledger'!N230=1,'Artifact Ledger'!O230&gt;='Artifact Ledger'!G230),'Artifact Ledger'!K230,0))&lt;0.000001,1,0)</x:f>
        <x:v>1</x:v>
      </x:c>
      <x:c r="F1497" s="21" t="n">
        <x:v>1</x:v>
      </x:c>
      <x:c r="G1497" s="23" t="str">
        <x:f>IF(E1497=F1497,"PASS","FAIL")</x:f>
        <x:v>PASS</x:v>
      </x:c>
    </x:row>
    <x:row r="1498">
      <x:c r="B1498" s="21" t="str">
        <x:v>A01492</x:v>
      </x:c>
      <x:c r="C1498" s="21" t="str">
        <x:v>artifact</x:v>
      </x:c>
      <x:c r="D1498" s="21" t="str">
        <x:v>artifact 224 planning state</x:v>
      </x:c>
      <x:c r="E1498" s="21" t="n">
        <x:f>IF(AND('Artifact Ledger'!Q230="OPEN",'Artifact Ledger'!R230="HOLD"),1,0)</x:f>
        <x:v>1</x:v>
      </x:c>
      <x:c r="F1498" s="21" t="n">
        <x:v>1</x:v>
      </x:c>
      <x:c r="G1498" s="23" t="str">
        <x:f>IF(E1498=F1498,"PASS","FAIL")</x:f>
        <x:v>PASS</x:v>
      </x:c>
    </x:row>
    <x:row r="1499">
      <x:c r="B1499" s="21" t="str">
        <x:v>A01493</x:v>
      </x:c>
      <x:c r="C1499" s="21" t="str">
        <x:v>artifact</x:v>
      </x:c>
      <x:c r="D1499" s="21" t="str">
        <x:v>artifact 225 eligibility equation</x:v>
      </x:c>
      <x:c r="E1499" s="21" t="n">
        <x:f>IF(ABS('Artifact Ledger'!P231-IF(AND('Artifact Ledger'!L231=1,'Artifact Ledger'!M231=1,'Artifact Ledger'!N231=1,'Artifact Ledger'!O231&gt;='Artifact Ledger'!G231),'Artifact Ledger'!K231,0))&lt;0.000001,1,0)</x:f>
        <x:v>1</x:v>
      </x:c>
      <x:c r="F1499" s="21" t="n">
        <x:v>1</x:v>
      </x:c>
      <x:c r="G1499" s="23" t="str">
        <x:f>IF(E1499=F1499,"PASS","FAIL")</x:f>
        <x:v>PASS</x:v>
      </x:c>
    </x:row>
    <x:row r="1500">
      <x:c r="B1500" s="21" t="str">
        <x:v>A01494</x:v>
      </x:c>
      <x:c r="C1500" s="21" t="str">
        <x:v>artifact</x:v>
      </x:c>
      <x:c r="D1500" s="21" t="str">
        <x:v>artifact 225 planning state</x:v>
      </x:c>
      <x:c r="E1500" s="21" t="n">
        <x:f>IF(AND('Artifact Ledger'!Q231="OPEN",'Artifact Ledger'!R231="HOLD"),1,0)</x:f>
        <x:v>1</x:v>
      </x:c>
      <x:c r="F1500" s="21" t="n">
        <x:v>1</x:v>
      </x:c>
      <x:c r="G1500" s="23" t="str">
        <x:f>IF(E1500=F1500,"PASS","FAIL")</x:f>
        <x:v>PASS</x:v>
      </x:c>
    </x:row>
    <x:row r="1501">
      <x:c r="B1501" s="21" t="str">
        <x:v>A01495</x:v>
      </x:c>
      <x:c r="C1501" s="21" t="str">
        <x:v>artifact</x:v>
      </x:c>
      <x:c r="D1501" s="21" t="str">
        <x:v>artifact 226 eligibility equation</x:v>
      </x:c>
      <x:c r="E1501" s="21" t="n">
        <x:f>IF(ABS('Artifact Ledger'!P232-IF(AND('Artifact Ledger'!L232=1,'Artifact Ledger'!M232=1,'Artifact Ledger'!N232=1,'Artifact Ledger'!O232&gt;='Artifact Ledger'!G232),'Artifact Ledger'!K232,0))&lt;0.000001,1,0)</x:f>
        <x:v>1</x:v>
      </x:c>
      <x:c r="F1501" s="21" t="n">
        <x:v>1</x:v>
      </x:c>
      <x:c r="G1501" s="23" t="str">
        <x:f>IF(E1501=F1501,"PASS","FAIL")</x:f>
        <x:v>PASS</x:v>
      </x:c>
    </x:row>
    <x:row r="1502">
      <x:c r="B1502" s="21" t="str">
        <x:v>A01496</x:v>
      </x:c>
      <x:c r="C1502" s="21" t="str">
        <x:v>artifact</x:v>
      </x:c>
      <x:c r="D1502" s="21" t="str">
        <x:v>artifact 226 planning state</x:v>
      </x:c>
      <x:c r="E1502" s="21" t="n">
        <x:f>IF(AND('Artifact Ledger'!Q232="OPEN",'Artifact Ledger'!R232="HOLD"),1,0)</x:f>
        <x:v>1</x:v>
      </x:c>
      <x:c r="F1502" s="21" t="n">
        <x:v>1</x:v>
      </x:c>
      <x:c r="G1502" s="23" t="str">
        <x:f>IF(E1502=F1502,"PASS","FAIL")</x:f>
        <x:v>PASS</x:v>
      </x:c>
    </x:row>
    <x:row r="1503">
      <x:c r="B1503" s="21" t="str">
        <x:v>A01497</x:v>
      </x:c>
      <x:c r="C1503" s="21" t="str">
        <x:v>artifact</x:v>
      </x:c>
      <x:c r="D1503" s="21" t="str">
        <x:v>artifact 227 eligibility equation</x:v>
      </x:c>
      <x:c r="E1503" s="21" t="n">
        <x:f>IF(ABS('Artifact Ledger'!P233-IF(AND('Artifact Ledger'!L233=1,'Artifact Ledger'!M233=1,'Artifact Ledger'!N233=1,'Artifact Ledger'!O233&gt;='Artifact Ledger'!G233),'Artifact Ledger'!K233,0))&lt;0.000001,1,0)</x:f>
        <x:v>1</x:v>
      </x:c>
      <x:c r="F1503" s="21" t="n">
        <x:v>1</x:v>
      </x:c>
      <x:c r="G1503" s="23" t="str">
        <x:f>IF(E1503=F1503,"PASS","FAIL")</x:f>
        <x:v>PASS</x:v>
      </x:c>
    </x:row>
    <x:row r="1504">
      <x:c r="B1504" s="21" t="str">
        <x:v>A01498</x:v>
      </x:c>
      <x:c r="C1504" s="21" t="str">
        <x:v>artifact</x:v>
      </x:c>
      <x:c r="D1504" s="21" t="str">
        <x:v>artifact 227 planning state</x:v>
      </x:c>
      <x:c r="E1504" s="21" t="n">
        <x:f>IF(AND('Artifact Ledger'!Q233="OPEN",'Artifact Ledger'!R233="HOLD"),1,0)</x:f>
        <x:v>1</x:v>
      </x:c>
      <x:c r="F1504" s="21" t="n">
        <x:v>1</x:v>
      </x:c>
      <x:c r="G1504" s="23" t="str">
        <x:f>IF(E1504=F1504,"PASS","FAIL")</x:f>
        <x:v>PASS</x:v>
      </x:c>
    </x:row>
    <x:row r="1505">
      <x:c r="B1505" s="21" t="str">
        <x:v>A01499</x:v>
      </x:c>
      <x:c r="C1505" s="21" t="str">
        <x:v>artifact</x:v>
      </x:c>
      <x:c r="D1505" s="21" t="str">
        <x:v>artifact 228 eligibility equation</x:v>
      </x:c>
      <x:c r="E1505" s="21" t="n">
        <x:f>IF(ABS('Artifact Ledger'!P234-IF(AND('Artifact Ledger'!L234=1,'Artifact Ledger'!M234=1,'Artifact Ledger'!N234=1,'Artifact Ledger'!O234&gt;='Artifact Ledger'!G234),'Artifact Ledger'!K234,0))&lt;0.000001,1,0)</x:f>
        <x:v>1</x:v>
      </x:c>
      <x:c r="F1505" s="21" t="n">
        <x:v>1</x:v>
      </x:c>
      <x:c r="G1505" s="23" t="str">
        <x:f>IF(E1505=F1505,"PASS","FAIL")</x:f>
        <x:v>PASS</x:v>
      </x:c>
    </x:row>
    <x:row r="1506">
      <x:c r="B1506" s="21" t="str">
        <x:v>A01500</x:v>
      </x:c>
      <x:c r="C1506" s="21" t="str">
        <x:v>artifact</x:v>
      </x:c>
      <x:c r="D1506" s="21" t="str">
        <x:v>artifact 228 planning state</x:v>
      </x:c>
      <x:c r="E1506" s="21" t="n">
        <x:f>IF(AND('Artifact Ledger'!Q234="OPEN",'Artifact Ledger'!R234="HOLD"),1,0)</x:f>
        <x:v>1</x:v>
      </x:c>
      <x:c r="F1506" s="21" t="n">
        <x:v>1</x:v>
      </x:c>
      <x:c r="G1506" s="23" t="str">
        <x:f>IF(E1506=F1506,"PASS","FAIL")</x:f>
        <x:v>PASS</x:v>
      </x:c>
    </x:row>
    <x:row r="1507">
      <x:c r="B1507" s="21" t="str">
        <x:v>A01501</x:v>
      </x:c>
      <x:c r="C1507" s="21" t="str">
        <x:v>artifact</x:v>
      </x:c>
      <x:c r="D1507" s="21" t="str">
        <x:v>artifact 229 eligibility equation</x:v>
      </x:c>
      <x:c r="E1507" s="21" t="n">
        <x:f>IF(ABS('Artifact Ledger'!P235-IF(AND('Artifact Ledger'!L235=1,'Artifact Ledger'!M235=1,'Artifact Ledger'!N235=1,'Artifact Ledger'!O235&gt;='Artifact Ledger'!G235),'Artifact Ledger'!K235,0))&lt;0.000001,1,0)</x:f>
        <x:v>1</x:v>
      </x:c>
      <x:c r="F1507" s="21" t="n">
        <x:v>1</x:v>
      </x:c>
      <x:c r="G1507" s="23" t="str">
        <x:f>IF(E1507=F1507,"PASS","FAIL")</x:f>
        <x:v>PASS</x:v>
      </x:c>
    </x:row>
    <x:row r="1508">
      <x:c r="B1508" s="21" t="str">
        <x:v>A01502</x:v>
      </x:c>
      <x:c r="C1508" s="21" t="str">
        <x:v>artifact</x:v>
      </x:c>
      <x:c r="D1508" s="21" t="str">
        <x:v>artifact 229 planning state</x:v>
      </x:c>
      <x:c r="E1508" s="21" t="n">
        <x:f>IF(AND('Artifact Ledger'!Q235="OPEN",'Artifact Ledger'!R235="HOLD"),1,0)</x:f>
        <x:v>1</x:v>
      </x:c>
      <x:c r="F1508" s="21" t="n">
        <x:v>1</x:v>
      </x:c>
      <x:c r="G1508" s="23" t="str">
        <x:f>IF(E1508=F1508,"PASS","FAIL")</x:f>
        <x:v>PASS</x:v>
      </x:c>
    </x:row>
    <x:row r="1509">
      <x:c r="B1509" s="21" t="str">
        <x:v>A01503</x:v>
      </x:c>
      <x:c r="C1509" s="21" t="str">
        <x:v>artifact</x:v>
      </x:c>
      <x:c r="D1509" s="21" t="str">
        <x:v>artifact 230 eligibility equation</x:v>
      </x:c>
      <x:c r="E1509" s="21" t="n">
        <x:f>IF(ABS('Artifact Ledger'!P236-IF(AND('Artifact Ledger'!L236=1,'Artifact Ledger'!M236=1,'Artifact Ledger'!N236=1,'Artifact Ledger'!O236&gt;='Artifact Ledger'!G236),'Artifact Ledger'!K236,0))&lt;0.000001,1,0)</x:f>
        <x:v>1</x:v>
      </x:c>
      <x:c r="F1509" s="21" t="n">
        <x:v>1</x:v>
      </x:c>
      <x:c r="G1509" s="23" t="str">
        <x:f>IF(E1509=F1509,"PASS","FAIL")</x:f>
        <x:v>PASS</x:v>
      </x:c>
    </x:row>
    <x:row r="1510">
      <x:c r="B1510" s="21" t="str">
        <x:v>A01504</x:v>
      </x:c>
      <x:c r="C1510" s="21" t="str">
        <x:v>artifact</x:v>
      </x:c>
      <x:c r="D1510" s="21" t="str">
        <x:v>artifact 230 planning state</x:v>
      </x:c>
      <x:c r="E1510" s="21" t="n">
        <x:f>IF(AND('Artifact Ledger'!Q236="OPEN",'Artifact Ledger'!R236="HOLD"),1,0)</x:f>
        <x:v>1</x:v>
      </x:c>
      <x:c r="F1510" s="21" t="n">
        <x:v>1</x:v>
      </x:c>
      <x:c r="G1510" s="23" t="str">
        <x:f>IF(E1510=F1510,"PASS","FAIL")</x:f>
        <x:v>PASS</x:v>
      </x:c>
    </x:row>
    <x:row r="1511">
      <x:c r="B1511" s="21" t="str">
        <x:v>A01505</x:v>
      </x:c>
      <x:c r="C1511" s="21" t="str">
        <x:v>artifact</x:v>
      </x:c>
      <x:c r="D1511" s="21" t="str">
        <x:v>artifact 231 eligibility equation</x:v>
      </x:c>
      <x:c r="E1511" s="21" t="n">
        <x:f>IF(ABS('Artifact Ledger'!P237-IF(AND('Artifact Ledger'!L237=1,'Artifact Ledger'!M237=1,'Artifact Ledger'!N237=1,'Artifact Ledger'!O237&gt;='Artifact Ledger'!G237),'Artifact Ledger'!K237,0))&lt;0.000001,1,0)</x:f>
        <x:v>1</x:v>
      </x:c>
      <x:c r="F1511" s="21" t="n">
        <x:v>1</x:v>
      </x:c>
      <x:c r="G1511" s="23" t="str">
        <x:f>IF(E1511=F1511,"PASS","FAIL")</x:f>
        <x:v>PASS</x:v>
      </x:c>
    </x:row>
    <x:row r="1512">
      <x:c r="B1512" s="21" t="str">
        <x:v>A01506</x:v>
      </x:c>
      <x:c r="C1512" s="21" t="str">
        <x:v>artifact</x:v>
      </x:c>
      <x:c r="D1512" s="21" t="str">
        <x:v>artifact 231 planning state</x:v>
      </x:c>
      <x:c r="E1512" s="21" t="n">
        <x:f>IF(AND('Artifact Ledger'!Q237="OPEN",'Artifact Ledger'!R237="HOLD"),1,0)</x:f>
        <x:v>1</x:v>
      </x:c>
      <x:c r="F1512" s="21" t="n">
        <x:v>1</x:v>
      </x:c>
      <x:c r="G1512" s="23" t="str">
        <x:f>IF(E1512=F1512,"PASS","FAIL")</x:f>
        <x:v>PASS</x:v>
      </x:c>
    </x:row>
    <x:row r="1513">
      <x:c r="B1513" s="21" t="str">
        <x:v>A01507</x:v>
      </x:c>
      <x:c r="C1513" s="21" t="str">
        <x:v>artifact</x:v>
      </x:c>
      <x:c r="D1513" s="21" t="str">
        <x:v>artifact 232 eligibility equation</x:v>
      </x:c>
      <x:c r="E1513" s="21" t="n">
        <x:f>IF(ABS('Artifact Ledger'!P238-IF(AND('Artifact Ledger'!L238=1,'Artifact Ledger'!M238=1,'Artifact Ledger'!N238=1,'Artifact Ledger'!O238&gt;='Artifact Ledger'!G238),'Artifact Ledger'!K238,0))&lt;0.000001,1,0)</x:f>
        <x:v>1</x:v>
      </x:c>
      <x:c r="F1513" s="21" t="n">
        <x:v>1</x:v>
      </x:c>
      <x:c r="G1513" s="23" t="str">
        <x:f>IF(E1513=F1513,"PASS","FAIL")</x:f>
        <x:v>PASS</x:v>
      </x:c>
    </x:row>
    <x:row r="1514">
      <x:c r="B1514" s="21" t="str">
        <x:v>A01508</x:v>
      </x:c>
      <x:c r="C1514" s="21" t="str">
        <x:v>artifact</x:v>
      </x:c>
      <x:c r="D1514" s="21" t="str">
        <x:v>artifact 232 planning state</x:v>
      </x:c>
      <x:c r="E1514" s="21" t="n">
        <x:f>IF(AND('Artifact Ledger'!Q238="OPEN",'Artifact Ledger'!R238="HOLD"),1,0)</x:f>
        <x:v>1</x:v>
      </x:c>
      <x:c r="F1514" s="21" t="n">
        <x:v>1</x:v>
      </x:c>
      <x:c r="G1514" s="23" t="str">
        <x:f>IF(E1514=F1514,"PASS","FAIL")</x:f>
        <x:v>PASS</x:v>
      </x:c>
    </x:row>
    <x:row r="1515">
      <x:c r="B1515" s="21" t="str">
        <x:v>A01509</x:v>
      </x:c>
      <x:c r="C1515" s="21" t="str">
        <x:v>artifact</x:v>
      </x:c>
      <x:c r="D1515" s="21" t="str">
        <x:v>artifact 233 eligibility equation</x:v>
      </x:c>
      <x:c r="E1515" s="21" t="n">
        <x:f>IF(ABS('Artifact Ledger'!P239-IF(AND('Artifact Ledger'!L239=1,'Artifact Ledger'!M239=1,'Artifact Ledger'!N239=1,'Artifact Ledger'!O239&gt;='Artifact Ledger'!G239),'Artifact Ledger'!K239,0))&lt;0.000001,1,0)</x:f>
        <x:v>1</x:v>
      </x:c>
      <x:c r="F1515" s="21" t="n">
        <x:v>1</x:v>
      </x:c>
      <x:c r="G1515" s="23" t="str">
        <x:f>IF(E1515=F1515,"PASS","FAIL")</x:f>
        <x:v>PASS</x:v>
      </x:c>
    </x:row>
    <x:row r="1516">
      <x:c r="B1516" s="21" t="str">
        <x:v>A01510</x:v>
      </x:c>
      <x:c r="C1516" s="21" t="str">
        <x:v>artifact</x:v>
      </x:c>
      <x:c r="D1516" s="21" t="str">
        <x:v>artifact 233 planning state</x:v>
      </x:c>
      <x:c r="E1516" s="21" t="n">
        <x:f>IF(AND('Artifact Ledger'!Q239="OPEN",'Artifact Ledger'!R239="HOLD"),1,0)</x:f>
        <x:v>1</x:v>
      </x:c>
      <x:c r="F1516" s="21" t="n">
        <x:v>1</x:v>
      </x:c>
      <x:c r="G1516" s="23" t="str">
        <x:f>IF(E1516=F1516,"PASS","FAIL")</x:f>
        <x:v>PASS</x:v>
      </x:c>
    </x:row>
    <x:row r="1517">
      <x:c r="B1517" s="21" t="str">
        <x:v>A01511</x:v>
      </x:c>
      <x:c r="C1517" s="21" t="str">
        <x:v>artifact</x:v>
      </x:c>
      <x:c r="D1517" s="21" t="str">
        <x:v>artifact 234 eligibility equation</x:v>
      </x:c>
      <x:c r="E1517" s="21" t="n">
        <x:f>IF(ABS('Artifact Ledger'!P240-IF(AND('Artifact Ledger'!L240=1,'Artifact Ledger'!M240=1,'Artifact Ledger'!N240=1,'Artifact Ledger'!O240&gt;='Artifact Ledger'!G240),'Artifact Ledger'!K240,0))&lt;0.000001,1,0)</x:f>
        <x:v>1</x:v>
      </x:c>
      <x:c r="F1517" s="21" t="n">
        <x:v>1</x:v>
      </x:c>
      <x:c r="G1517" s="23" t="str">
        <x:f>IF(E1517=F1517,"PASS","FAIL")</x:f>
        <x:v>PASS</x:v>
      </x:c>
    </x:row>
    <x:row r="1518">
      <x:c r="B1518" s="21" t="str">
        <x:v>A01512</x:v>
      </x:c>
      <x:c r="C1518" s="21" t="str">
        <x:v>artifact</x:v>
      </x:c>
      <x:c r="D1518" s="21" t="str">
        <x:v>artifact 234 planning state</x:v>
      </x:c>
      <x:c r="E1518" s="21" t="n">
        <x:f>IF(AND('Artifact Ledger'!Q240="OPEN",'Artifact Ledger'!R240="HOLD"),1,0)</x:f>
        <x:v>1</x:v>
      </x:c>
      <x:c r="F1518" s="21" t="n">
        <x:v>1</x:v>
      </x:c>
      <x:c r="G1518" s="23" t="str">
        <x:f>IF(E1518=F1518,"PASS","FAIL")</x:f>
        <x:v>PASS</x:v>
      </x:c>
    </x:row>
    <x:row r="1519">
      <x:c r="B1519" s="21" t="str">
        <x:v>A01513</x:v>
      </x:c>
      <x:c r="C1519" s="21" t="str">
        <x:v>artifact</x:v>
      </x:c>
      <x:c r="D1519" s="21" t="str">
        <x:v>artifact 235 eligibility equation</x:v>
      </x:c>
      <x:c r="E1519" s="21" t="n">
        <x:f>IF(ABS('Artifact Ledger'!P241-IF(AND('Artifact Ledger'!L241=1,'Artifact Ledger'!M241=1,'Artifact Ledger'!N241=1,'Artifact Ledger'!O241&gt;='Artifact Ledger'!G241),'Artifact Ledger'!K241,0))&lt;0.000001,1,0)</x:f>
        <x:v>1</x:v>
      </x:c>
      <x:c r="F1519" s="21" t="n">
        <x:v>1</x:v>
      </x:c>
      <x:c r="G1519" s="23" t="str">
        <x:f>IF(E1519=F1519,"PASS","FAIL")</x:f>
        <x:v>PASS</x:v>
      </x:c>
    </x:row>
    <x:row r="1520">
      <x:c r="B1520" s="21" t="str">
        <x:v>A01514</x:v>
      </x:c>
      <x:c r="C1520" s="21" t="str">
        <x:v>artifact</x:v>
      </x:c>
      <x:c r="D1520" s="21" t="str">
        <x:v>artifact 235 planning state</x:v>
      </x:c>
      <x:c r="E1520" s="21" t="n">
        <x:f>IF(AND('Artifact Ledger'!Q241="OPEN",'Artifact Ledger'!R241="HOLD"),1,0)</x:f>
        <x:v>1</x:v>
      </x:c>
      <x:c r="F1520" s="21" t="n">
        <x:v>1</x:v>
      </x:c>
      <x:c r="G1520" s="23" t="str">
        <x:f>IF(E1520=F1520,"PASS","FAIL")</x:f>
        <x:v>PASS</x:v>
      </x:c>
    </x:row>
    <x:row r="1521">
      <x:c r="B1521" s="21" t="str">
        <x:v>A01515</x:v>
      </x:c>
      <x:c r="C1521" s="21" t="str">
        <x:v>artifact</x:v>
      </x:c>
      <x:c r="D1521" s="21" t="str">
        <x:v>artifact 236 eligibility equation</x:v>
      </x:c>
      <x:c r="E1521" s="21" t="n">
        <x:f>IF(ABS('Artifact Ledger'!P242-IF(AND('Artifact Ledger'!L242=1,'Artifact Ledger'!M242=1,'Artifact Ledger'!N242=1,'Artifact Ledger'!O242&gt;='Artifact Ledger'!G242),'Artifact Ledger'!K242,0))&lt;0.000001,1,0)</x:f>
        <x:v>1</x:v>
      </x:c>
      <x:c r="F1521" s="21" t="n">
        <x:v>1</x:v>
      </x:c>
      <x:c r="G1521" s="23" t="str">
        <x:f>IF(E1521=F1521,"PASS","FAIL")</x:f>
        <x:v>PASS</x:v>
      </x:c>
    </x:row>
    <x:row r="1522">
      <x:c r="B1522" s="21" t="str">
        <x:v>A01516</x:v>
      </x:c>
      <x:c r="C1522" s="21" t="str">
        <x:v>artifact</x:v>
      </x:c>
      <x:c r="D1522" s="21" t="str">
        <x:v>artifact 236 planning state</x:v>
      </x:c>
      <x:c r="E1522" s="21" t="n">
        <x:f>IF(AND('Artifact Ledger'!Q242="OPEN",'Artifact Ledger'!R242="HOLD"),1,0)</x:f>
        <x:v>1</x:v>
      </x:c>
      <x:c r="F1522" s="21" t="n">
        <x:v>1</x:v>
      </x:c>
      <x:c r="G1522" s="23" t="str">
        <x:f>IF(E1522=F1522,"PASS","FAIL")</x:f>
        <x:v>PASS</x:v>
      </x:c>
    </x:row>
    <x:row r="1523">
      <x:c r="B1523" s="21" t="str">
        <x:v>A01517</x:v>
      </x:c>
      <x:c r="C1523" s="21" t="str">
        <x:v>artifact</x:v>
      </x:c>
      <x:c r="D1523" s="21" t="str">
        <x:v>artifact 237 eligibility equation</x:v>
      </x:c>
      <x:c r="E1523" s="21" t="n">
        <x:f>IF(ABS('Artifact Ledger'!P243-IF(AND('Artifact Ledger'!L243=1,'Artifact Ledger'!M243=1,'Artifact Ledger'!N243=1,'Artifact Ledger'!O243&gt;='Artifact Ledger'!G243),'Artifact Ledger'!K243,0))&lt;0.000001,1,0)</x:f>
        <x:v>1</x:v>
      </x:c>
      <x:c r="F1523" s="21" t="n">
        <x:v>1</x:v>
      </x:c>
      <x:c r="G1523" s="23" t="str">
        <x:f>IF(E1523=F1523,"PASS","FAIL")</x:f>
        <x:v>PASS</x:v>
      </x:c>
    </x:row>
    <x:row r="1524">
      <x:c r="B1524" s="21" t="str">
        <x:v>A01518</x:v>
      </x:c>
      <x:c r="C1524" s="21" t="str">
        <x:v>artifact</x:v>
      </x:c>
      <x:c r="D1524" s="21" t="str">
        <x:v>artifact 237 planning state</x:v>
      </x:c>
      <x:c r="E1524" s="21" t="n">
        <x:f>IF(AND('Artifact Ledger'!Q243="OPEN",'Artifact Ledger'!R243="HOLD"),1,0)</x:f>
        <x:v>1</x:v>
      </x:c>
      <x:c r="F1524" s="21" t="n">
        <x:v>1</x:v>
      </x:c>
      <x:c r="G1524" s="23" t="str">
        <x:f>IF(E1524=F1524,"PASS","FAIL")</x:f>
        <x:v>PASS</x:v>
      </x:c>
    </x:row>
    <x:row r="1525">
      <x:c r="B1525" s="21" t="str">
        <x:v>A01519</x:v>
      </x:c>
      <x:c r="C1525" s="21" t="str">
        <x:v>artifact</x:v>
      </x:c>
      <x:c r="D1525" s="21" t="str">
        <x:v>artifact 238 eligibility equation</x:v>
      </x:c>
      <x:c r="E1525" s="21" t="n">
        <x:f>IF(ABS('Artifact Ledger'!P244-IF(AND('Artifact Ledger'!L244=1,'Artifact Ledger'!M244=1,'Artifact Ledger'!N244=1,'Artifact Ledger'!O244&gt;='Artifact Ledger'!G244),'Artifact Ledger'!K244,0))&lt;0.000001,1,0)</x:f>
        <x:v>1</x:v>
      </x:c>
      <x:c r="F1525" s="21" t="n">
        <x:v>1</x:v>
      </x:c>
      <x:c r="G1525" s="23" t="str">
        <x:f>IF(E1525=F1525,"PASS","FAIL")</x:f>
        <x:v>PASS</x:v>
      </x:c>
    </x:row>
    <x:row r="1526">
      <x:c r="B1526" s="21" t="str">
        <x:v>A01520</x:v>
      </x:c>
      <x:c r="C1526" s="21" t="str">
        <x:v>artifact</x:v>
      </x:c>
      <x:c r="D1526" s="21" t="str">
        <x:v>artifact 238 planning state</x:v>
      </x:c>
      <x:c r="E1526" s="21" t="n">
        <x:f>IF(AND('Artifact Ledger'!Q244="OPEN",'Artifact Ledger'!R244="HOLD"),1,0)</x:f>
        <x:v>1</x:v>
      </x:c>
      <x:c r="F1526" s="21" t="n">
        <x:v>1</x:v>
      </x:c>
      <x:c r="G1526" s="23" t="str">
        <x:f>IF(E1526=F1526,"PASS","FAIL")</x:f>
        <x:v>PASS</x:v>
      </x:c>
    </x:row>
    <x:row r="1527">
      <x:c r="B1527" s="21" t="str">
        <x:v>A01521</x:v>
      </x:c>
      <x:c r="C1527" s="21" t="str">
        <x:v>artifact</x:v>
      </x:c>
      <x:c r="D1527" s="21" t="str">
        <x:v>artifact 239 eligibility equation</x:v>
      </x:c>
      <x:c r="E1527" s="21" t="n">
        <x:f>IF(ABS('Artifact Ledger'!P245-IF(AND('Artifact Ledger'!L245=1,'Artifact Ledger'!M245=1,'Artifact Ledger'!N245=1,'Artifact Ledger'!O245&gt;='Artifact Ledger'!G245),'Artifact Ledger'!K245,0))&lt;0.000001,1,0)</x:f>
        <x:v>1</x:v>
      </x:c>
      <x:c r="F1527" s="21" t="n">
        <x:v>1</x:v>
      </x:c>
      <x:c r="G1527" s="23" t="str">
        <x:f>IF(E1527=F1527,"PASS","FAIL")</x:f>
        <x:v>PASS</x:v>
      </x:c>
    </x:row>
    <x:row r="1528">
      <x:c r="B1528" s="21" t="str">
        <x:v>A01522</x:v>
      </x:c>
      <x:c r="C1528" s="21" t="str">
        <x:v>artifact</x:v>
      </x:c>
      <x:c r="D1528" s="21" t="str">
        <x:v>artifact 239 planning state</x:v>
      </x:c>
      <x:c r="E1528" s="21" t="n">
        <x:f>IF(AND('Artifact Ledger'!Q245="OPEN",'Artifact Ledger'!R245="HOLD"),1,0)</x:f>
        <x:v>1</x:v>
      </x:c>
      <x:c r="F1528" s="21" t="n">
        <x:v>1</x:v>
      </x:c>
      <x:c r="G1528" s="23" t="str">
        <x:f>IF(E1528=F1528,"PASS","FAIL")</x:f>
        <x:v>PASS</x:v>
      </x:c>
    </x:row>
    <x:row r="1529">
      <x:c r="B1529" s="21" t="str">
        <x:v>A01523</x:v>
      </x:c>
      <x:c r="C1529" s="21" t="str">
        <x:v>artifact</x:v>
      </x:c>
      <x:c r="D1529" s="21" t="str">
        <x:v>artifact 240 eligibility equation</x:v>
      </x:c>
      <x:c r="E1529" s="21" t="n">
        <x:f>IF(ABS('Artifact Ledger'!P246-IF(AND('Artifact Ledger'!L246=1,'Artifact Ledger'!M246=1,'Artifact Ledger'!N246=1,'Artifact Ledger'!O246&gt;='Artifact Ledger'!G246),'Artifact Ledger'!K246,0))&lt;0.000001,1,0)</x:f>
        <x:v>1</x:v>
      </x:c>
      <x:c r="F1529" s="21" t="n">
        <x:v>1</x:v>
      </x:c>
      <x:c r="G1529" s="23" t="str">
        <x:f>IF(E1529=F1529,"PASS","FAIL")</x:f>
        <x:v>PASS</x:v>
      </x:c>
    </x:row>
    <x:row r="1530">
      <x:c r="B1530" s="21" t="str">
        <x:v>A01524</x:v>
      </x:c>
      <x:c r="C1530" s="21" t="str">
        <x:v>artifact</x:v>
      </x:c>
      <x:c r="D1530" s="21" t="str">
        <x:v>artifact 240 planning state</x:v>
      </x:c>
      <x:c r="E1530" s="21" t="n">
        <x:f>IF(AND('Artifact Ledger'!Q246="OPEN",'Artifact Ledger'!R246="HOLD"),1,0)</x:f>
        <x:v>1</x:v>
      </x:c>
      <x:c r="F1530" s="21" t="n">
        <x:v>1</x:v>
      </x:c>
      <x:c r="G1530" s="23" t="str">
        <x:f>IF(E1530=F1530,"PASS","FAIL")</x:f>
        <x:v>PASS</x:v>
      </x:c>
    </x:row>
    <x:row r="1531">
      <x:c r="B1531" s="21" t="str">
        <x:v>A01525</x:v>
      </x:c>
      <x:c r="C1531" s="21" t="str">
        <x:v>artifact</x:v>
      </x:c>
      <x:c r="D1531" s="21" t="str">
        <x:v>artifact 241 eligibility equation</x:v>
      </x:c>
      <x:c r="E1531" s="21" t="n">
        <x:f>IF(ABS('Artifact Ledger'!P247-IF(AND('Artifact Ledger'!L247=1,'Artifact Ledger'!M247=1,'Artifact Ledger'!N247=1,'Artifact Ledger'!O247&gt;='Artifact Ledger'!G247),'Artifact Ledger'!K247,0))&lt;0.000001,1,0)</x:f>
        <x:v>1</x:v>
      </x:c>
      <x:c r="F1531" s="21" t="n">
        <x:v>1</x:v>
      </x:c>
      <x:c r="G1531" s="23" t="str">
        <x:f>IF(E1531=F1531,"PASS","FAIL")</x:f>
        <x:v>PASS</x:v>
      </x:c>
    </x:row>
    <x:row r="1532">
      <x:c r="B1532" s="21" t="str">
        <x:v>A01526</x:v>
      </x:c>
      <x:c r="C1532" s="21" t="str">
        <x:v>artifact</x:v>
      </x:c>
      <x:c r="D1532" s="21" t="str">
        <x:v>artifact 241 planning state</x:v>
      </x:c>
      <x:c r="E1532" s="21" t="n">
        <x:f>IF(AND('Artifact Ledger'!Q247="OPEN",'Artifact Ledger'!R247="HOLD"),1,0)</x:f>
        <x:v>1</x:v>
      </x:c>
      <x:c r="F1532" s="21" t="n">
        <x:v>1</x:v>
      </x:c>
      <x:c r="G1532" s="23" t="str">
        <x:f>IF(E1532=F1532,"PASS","FAIL")</x:f>
        <x:v>PASS</x:v>
      </x:c>
    </x:row>
    <x:row r="1533">
      <x:c r="B1533" s="21" t="str">
        <x:v>A01527</x:v>
      </x:c>
      <x:c r="C1533" s="21" t="str">
        <x:v>artifact</x:v>
      </x:c>
      <x:c r="D1533" s="21" t="str">
        <x:v>artifact 242 eligibility equation</x:v>
      </x:c>
      <x:c r="E1533" s="21" t="n">
        <x:f>IF(ABS('Artifact Ledger'!P248-IF(AND('Artifact Ledger'!L248=1,'Artifact Ledger'!M248=1,'Artifact Ledger'!N248=1,'Artifact Ledger'!O248&gt;='Artifact Ledger'!G248),'Artifact Ledger'!K248,0))&lt;0.000001,1,0)</x:f>
        <x:v>1</x:v>
      </x:c>
      <x:c r="F1533" s="21" t="n">
        <x:v>1</x:v>
      </x:c>
      <x:c r="G1533" s="23" t="str">
        <x:f>IF(E1533=F1533,"PASS","FAIL")</x:f>
        <x:v>PASS</x:v>
      </x:c>
    </x:row>
    <x:row r="1534">
      <x:c r="B1534" s="21" t="str">
        <x:v>A01528</x:v>
      </x:c>
      <x:c r="C1534" s="21" t="str">
        <x:v>artifact</x:v>
      </x:c>
      <x:c r="D1534" s="21" t="str">
        <x:v>artifact 242 planning state</x:v>
      </x:c>
      <x:c r="E1534" s="21" t="n">
        <x:f>IF(AND('Artifact Ledger'!Q248="OPEN",'Artifact Ledger'!R248="HOLD"),1,0)</x:f>
        <x:v>1</x:v>
      </x:c>
      <x:c r="F1534" s="21" t="n">
        <x:v>1</x:v>
      </x:c>
      <x:c r="G1534" s="23" t="str">
        <x:f>IF(E1534=F1534,"PASS","FAIL")</x:f>
        <x:v>PASS</x:v>
      </x:c>
    </x:row>
    <x:row r="1535">
      <x:c r="B1535" s="21" t="str">
        <x:v>A01529</x:v>
      </x:c>
      <x:c r="C1535" s="21" t="str">
        <x:v>artifact</x:v>
      </x:c>
      <x:c r="D1535" s="21" t="str">
        <x:v>artifact 243 eligibility equation</x:v>
      </x:c>
      <x:c r="E1535" s="21" t="n">
        <x:f>IF(ABS('Artifact Ledger'!P249-IF(AND('Artifact Ledger'!L249=1,'Artifact Ledger'!M249=1,'Artifact Ledger'!N249=1,'Artifact Ledger'!O249&gt;='Artifact Ledger'!G249),'Artifact Ledger'!K249,0))&lt;0.000001,1,0)</x:f>
        <x:v>1</x:v>
      </x:c>
      <x:c r="F1535" s="21" t="n">
        <x:v>1</x:v>
      </x:c>
      <x:c r="G1535" s="23" t="str">
        <x:f>IF(E1535=F1535,"PASS","FAIL")</x:f>
        <x:v>PASS</x:v>
      </x:c>
    </x:row>
    <x:row r="1536">
      <x:c r="B1536" s="21" t="str">
        <x:v>A01530</x:v>
      </x:c>
      <x:c r="C1536" s="21" t="str">
        <x:v>artifact</x:v>
      </x:c>
      <x:c r="D1536" s="21" t="str">
        <x:v>artifact 243 planning state</x:v>
      </x:c>
      <x:c r="E1536" s="21" t="n">
        <x:f>IF(AND('Artifact Ledger'!Q249="OPEN",'Artifact Ledger'!R249="HOLD"),1,0)</x:f>
        <x:v>1</x:v>
      </x:c>
      <x:c r="F1536" s="21" t="n">
        <x:v>1</x:v>
      </x:c>
      <x:c r="G1536" s="23" t="str">
        <x:f>IF(E1536=F1536,"PASS","FAIL")</x:f>
        <x:v>PASS</x:v>
      </x:c>
    </x:row>
    <x:row r="1537">
      <x:c r="B1537" s="21" t="str">
        <x:v>A01531</x:v>
      </x:c>
      <x:c r="C1537" s="21" t="str">
        <x:v>artifact</x:v>
      </x:c>
      <x:c r="D1537" s="21" t="str">
        <x:v>artifact 244 eligibility equation</x:v>
      </x:c>
      <x:c r="E1537" s="21" t="n">
        <x:f>IF(ABS('Artifact Ledger'!P250-IF(AND('Artifact Ledger'!L250=1,'Artifact Ledger'!M250=1,'Artifact Ledger'!N250=1,'Artifact Ledger'!O250&gt;='Artifact Ledger'!G250),'Artifact Ledger'!K250,0))&lt;0.000001,1,0)</x:f>
        <x:v>1</x:v>
      </x:c>
      <x:c r="F1537" s="21" t="n">
        <x:v>1</x:v>
      </x:c>
      <x:c r="G1537" s="23" t="str">
        <x:f>IF(E1537=F1537,"PASS","FAIL")</x:f>
        <x:v>PASS</x:v>
      </x:c>
    </x:row>
    <x:row r="1538">
      <x:c r="B1538" s="21" t="str">
        <x:v>A01532</x:v>
      </x:c>
      <x:c r="C1538" s="21" t="str">
        <x:v>artifact</x:v>
      </x:c>
      <x:c r="D1538" s="21" t="str">
        <x:v>artifact 244 planning state</x:v>
      </x:c>
      <x:c r="E1538" s="21" t="n">
        <x:f>IF(AND('Artifact Ledger'!Q250="OPEN",'Artifact Ledger'!R250="HOLD"),1,0)</x:f>
        <x:v>1</x:v>
      </x:c>
      <x:c r="F1538" s="21" t="n">
        <x:v>1</x:v>
      </x:c>
      <x:c r="G1538" s="23" t="str">
        <x:f>IF(E1538=F1538,"PASS","FAIL")</x:f>
        <x:v>PASS</x:v>
      </x:c>
    </x:row>
    <x:row r="1539">
      <x:c r="B1539" s="21" t="str">
        <x:v>A01533</x:v>
      </x:c>
      <x:c r="C1539" s="21" t="str">
        <x:v>artifact</x:v>
      </x:c>
      <x:c r="D1539" s="21" t="str">
        <x:v>artifact 245 eligibility equation</x:v>
      </x:c>
      <x:c r="E1539" s="21" t="n">
        <x:f>IF(ABS('Artifact Ledger'!P251-IF(AND('Artifact Ledger'!L251=1,'Artifact Ledger'!M251=1,'Artifact Ledger'!N251=1,'Artifact Ledger'!O251&gt;='Artifact Ledger'!G251),'Artifact Ledger'!K251,0))&lt;0.000001,1,0)</x:f>
        <x:v>1</x:v>
      </x:c>
      <x:c r="F1539" s="21" t="n">
        <x:v>1</x:v>
      </x:c>
      <x:c r="G1539" s="23" t="str">
        <x:f>IF(E1539=F1539,"PASS","FAIL")</x:f>
        <x:v>PASS</x:v>
      </x:c>
    </x:row>
    <x:row r="1540">
      <x:c r="B1540" s="21" t="str">
        <x:v>A01534</x:v>
      </x:c>
      <x:c r="C1540" s="21" t="str">
        <x:v>artifact</x:v>
      </x:c>
      <x:c r="D1540" s="21" t="str">
        <x:v>artifact 245 planning state</x:v>
      </x:c>
      <x:c r="E1540" s="21" t="n">
        <x:f>IF(AND('Artifact Ledger'!Q251="OPEN",'Artifact Ledger'!R251="HOLD"),1,0)</x:f>
        <x:v>1</x:v>
      </x:c>
      <x:c r="F1540" s="21" t="n">
        <x:v>1</x:v>
      </x:c>
      <x:c r="G1540" s="23" t="str">
        <x:f>IF(E1540=F1540,"PASS","FAIL")</x:f>
        <x:v>PASS</x:v>
      </x:c>
    </x:row>
    <x:row r="1541">
      <x:c r="B1541" s="21" t="str">
        <x:v>A01535</x:v>
      </x:c>
      <x:c r="C1541" s="21" t="str">
        <x:v>artifact</x:v>
      </x:c>
      <x:c r="D1541" s="21" t="str">
        <x:v>artifact 246 eligibility equation</x:v>
      </x:c>
      <x:c r="E1541" s="21" t="n">
        <x:f>IF(ABS('Artifact Ledger'!P252-IF(AND('Artifact Ledger'!L252=1,'Artifact Ledger'!M252=1,'Artifact Ledger'!N252=1,'Artifact Ledger'!O252&gt;='Artifact Ledger'!G252),'Artifact Ledger'!K252,0))&lt;0.000001,1,0)</x:f>
        <x:v>1</x:v>
      </x:c>
      <x:c r="F1541" s="21" t="n">
        <x:v>1</x:v>
      </x:c>
      <x:c r="G1541" s="23" t="str">
        <x:f>IF(E1541=F1541,"PASS","FAIL")</x:f>
        <x:v>PASS</x:v>
      </x:c>
    </x:row>
    <x:row r="1542">
      <x:c r="B1542" s="21" t="str">
        <x:v>A01536</x:v>
      </x:c>
      <x:c r="C1542" s="21" t="str">
        <x:v>artifact</x:v>
      </x:c>
      <x:c r="D1542" s="21" t="str">
        <x:v>artifact 246 planning state</x:v>
      </x:c>
      <x:c r="E1542" s="21" t="n">
        <x:f>IF(AND('Artifact Ledger'!Q252="OPEN",'Artifact Ledger'!R252="HOLD"),1,0)</x:f>
        <x:v>1</x:v>
      </x:c>
      <x:c r="F1542" s="21" t="n">
        <x:v>1</x:v>
      </x:c>
      <x:c r="G1542" s="23" t="str">
        <x:f>IF(E1542=F1542,"PASS","FAIL")</x:f>
        <x:v>PASS</x:v>
      </x:c>
    </x:row>
    <x:row r="1543">
      <x:c r="B1543" s="21" t="str">
        <x:v>A01537</x:v>
      </x:c>
      <x:c r="C1543" s="21" t="str">
        <x:v>artifact</x:v>
      </x:c>
      <x:c r="D1543" s="21" t="str">
        <x:v>artifact 247 eligibility equation</x:v>
      </x:c>
      <x:c r="E1543" s="21" t="n">
        <x:f>IF(ABS('Artifact Ledger'!P253-IF(AND('Artifact Ledger'!L253=1,'Artifact Ledger'!M253=1,'Artifact Ledger'!N253=1,'Artifact Ledger'!O253&gt;='Artifact Ledger'!G253),'Artifact Ledger'!K253,0))&lt;0.000001,1,0)</x:f>
        <x:v>1</x:v>
      </x:c>
      <x:c r="F1543" s="21" t="n">
        <x:v>1</x:v>
      </x:c>
      <x:c r="G1543" s="23" t="str">
        <x:f>IF(E1543=F1543,"PASS","FAIL")</x:f>
        <x:v>PASS</x:v>
      </x:c>
    </x:row>
    <x:row r="1544">
      <x:c r="B1544" s="21" t="str">
        <x:v>A01538</x:v>
      </x:c>
      <x:c r="C1544" s="21" t="str">
        <x:v>artifact</x:v>
      </x:c>
      <x:c r="D1544" s="21" t="str">
        <x:v>artifact 247 planning state</x:v>
      </x:c>
      <x:c r="E1544" s="21" t="n">
        <x:f>IF(AND('Artifact Ledger'!Q253="OPEN",'Artifact Ledger'!R253="HOLD"),1,0)</x:f>
        <x:v>1</x:v>
      </x:c>
      <x:c r="F1544" s="21" t="n">
        <x:v>1</x:v>
      </x:c>
      <x:c r="G1544" s="23" t="str">
        <x:f>IF(E1544=F1544,"PASS","FAIL")</x:f>
        <x:v>PASS</x:v>
      </x:c>
    </x:row>
    <x:row r="1545">
      <x:c r="B1545" s="21" t="str">
        <x:v>A01539</x:v>
      </x:c>
      <x:c r="C1545" s="21" t="str">
        <x:v>artifact</x:v>
      </x:c>
      <x:c r="D1545" s="21" t="str">
        <x:v>artifact 248 eligibility equation</x:v>
      </x:c>
      <x:c r="E1545" s="21" t="n">
        <x:f>IF(ABS('Artifact Ledger'!P254-IF(AND('Artifact Ledger'!L254=1,'Artifact Ledger'!M254=1,'Artifact Ledger'!N254=1,'Artifact Ledger'!O254&gt;='Artifact Ledger'!G254),'Artifact Ledger'!K254,0))&lt;0.000001,1,0)</x:f>
        <x:v>1</x:v>
      </x:c>
      <x:c r="F1545" s="21" t="n">
        <x:v>1</x:v>
      </x:c>
      <x:c r="G1545" s="23" t="str">
        <x:f>IF(E1545=F1545,"PASS","FAIL")</x:f>
        <x:v>PASS</x:v>
      </x:c>
    </x:row>
    <x:row r="1546">
      <x:c r="B1546" s="21" t="str">
        <x:v>A01540</x:v>
      </x:c>
      <x:c r="C1546" s="21" t="str">
        <x:v>artifact</x:v>
      </x:c>
      <x:c r="D1546" s="21" t="str">
        <x:v>artifact 248 planning state</x:v>
      </x:c>
      <x:c r="E1546" s="21" t="n">
        <x:f>IF(AND('Artifact Ledger'!Q254="OPEN",'Artifact Ledger'!R254="HOLD"),1,0)</x:f>
        <x:v>1</x:v>
      </x:c>
      <x:c r="F1546" s="21" t="n">
        <x:v>1</x:v>
      </x:c>
      <x:c r="G1546" s="23" t="str">
        <x:f>IF(E1546=F1546,"PASS","FAIL")</x:f>
        <x:v>PASS</x:v>
      </x:c>
    </x:row>
    <x:row r="1547">
      <x:c r="B1547" s="21" t="str">
        <x:v>A01541</x:v>
      </x:c>
      <x:c r="C1547" s="21" t="str">
        <x:v>artifact</x:v>
      </x:c>
      <x:c r="D1547" s="21" t="str">
        <x:v>artifact 249 eligibility equation</x:v>
      </x:c>
      <x:c r="E1547" s="21" t="n">
        <x:f>IF(ABS('Artifact Ledger'!P255-IF(AND('Artifact Ledger'!L255=1,'Artifact Ledger'!M255=1,'Artifact Ledger'!N255=1,'Artifact Ledger'!O255&gt;='Artifact Ledger'!G255),'Artifact Ledger'!K255,0))&lt;0.000001,1,0)</x:f>
        <x:v>1</x:v>
      </x:c>
      <x:c r="F1547" s="21" t="n">
        <x:v>1</x:v>
      </x:c>
      <x:c r="G1547" s="23" t="str">
        <x:f>IF(E1547=F1547,"PASS","FAIL")</x:f>
        <x:v>PASS</x:v>
      </x:c>
    </x:row>
    <x:row r="1548">
      <x:c r="B1548" s="21" t="str">
        <x:v>A01542</x:v>
      </x:c>
      <x:c r="C1548" s="21" t="str">
        <x:v>artifact</x:v>
      </x:c>
      <x:c r="D1548" s="21" t="str">
        <x:v>artifact 249 planning state</x:v>
      </x:c>
      <x:c r="E1548" s="21" t="n">
        <x:f>IF(AND('Artifact Ledger'!Q255="OPEN",'Artifact Ledger'!R255="HOLD"),1,0)</x:f>
        <x:v>1</x:v>
      </x:c>
      <x:c r="F1548" s="21" t="n">
        <x:v>1</x:v>
      </x:c>
      <x:c r="G1548" s="23" t="str">
        <x:f>IF(E1548=F1548,"PASS","FAIL")</x:f>
        <x:v>PASS</x:v>
      </x:c>
    </x:row>
    <x:row r="1549">
      <x:c r="B1549" s="21" t="str">
        <x:v>A01543</x:v>
      </x:c>
      <x:c r="C1549" s="21" t="str">
        <x:v>artifact</x:v>
      </x:c>
      <x:c r="D1549" s="21" t="str">
        <x:v>artifact 250 eligibility equation</x:v>
      </x:c>
      <x:c r="E1549" s="21" t="n">
        <x:f>IF(ABS('Artifact Ledger'!P256-IF(AND('Artifact Ledger'!L256=1,'Artifact Ledger'!M256=1,'Artifact Ledger'!N256=1,'Artifact Ledger'!O256&gt;='Artifact Ledger'!G256),'Artifact Ledger'!K256,0))&lt;0.000001,1,0)</x:f>
        <x:v>1</x:v>
      </x:c>
      <x:c r="F1549" s="21" t="n">
        <x:v>1</x:v>
      </x:c>
      <x:c r="G1549" s="23" t="str">
        <x:f>IF(E1549=F1549,"PASS","FAIL")</x:f>
        <x:v>PASS</x:v>
      </x:c>
    </x:row>
    <x:row r="1550">
      <x:c r="B1550" s="21" t="str">
        <x:v>A01544</x:v>
      </x:c>
      <x:c r="C1550" s="21" t="str">
        <x:v>artifact</x:v>
      </x:c>
      <x:c r="D1550" s="21" t="str">
        <x:v>artifact 250 planning state</x:v>
      </x:c>
      <x:c r="E1550" s="21" t="n">
        <x:f>IF(AND('Artifact Ledger'!Q256="OPEN",'Artifact Ledger'!R256="HOLD"),1,0)</x:f>
        <x:v>1</x:v>
      </x:c>
      <x:c r="F1550" s="21" t="n">
        <x:v>1</x:v>
      </x:c>
      <x:c r="G1550" s="23" t="str">
        <x:f>IF(E1550=F1550,"PASS","FAIL")</x:f>
        <x:v>PASS</x:v>
      </x:c>
    </x:row>
    <x:row r="1551">
      <x:c r="B1551" s="21" t="str">
        <x:v>A01545</x:v>
      </x:c>
      <x:c r="C1551" s="21" t="str">
        <x:v>artifact</x:v>
      </x:c>
      <x:c r="D1551" s="21" t="str">
        <x:v>artifact 251 eligibility equation</x:v>
      </x:c>
      <x:c r="E1551" s="21" t="n">
        <x:f>IF(ABS('Artifact Ledger'!P257-IF(AND('Artifact Ledger'!L257=1,'Artifact Ledger'!M257=1,'Artifact Ledger'!N257=1,'Artifact Ledger'!O257&gt;='Artifact Ledger'!G257),'Artifact Ledger'!K257,0))&lt;0.000001,1,0)</x:f>
        <x:v>1</x:v>
      </x:c>
      <x:c r="F1551" s="21" t="n">
        <x:v>1</x:v>
      </x:c>
      <x:c r="G1551" s="23" t="str">
        <x:f>IF(E1551=F1551,"PASS","FAIL")</x:f>
        <x:v>PASS</x:v>
      </x:c>
    </x:row>
    <x:row r="1552">
      <x:c r="B1552" s="21" t="str">
        <x:v>A01546</x:v>
      </x:c>
      <x:c r="C1552" s="21" t="str">
        <x:v>artifact</x:v>
      </x:c>
      <x:c r="D1552" s="21" t="str">
        <x:v>artifact 251 planning state</x:v>
      </x:c>
      <x:c r="E1552" s="21" t="n">
        <x:f>IF(AND('Artifact Ledger'!Q257="OPEN",'Artifact Ledger'!R257="HOLD"),1,0)</x:f>
        <x:v>1</x:v>
      </x:c>
      <x:c r="F1552" s="21" t="n">
        <x:v>1</x:v>
      </x:c>
      <x:c r="G1552" s="23" t="str">
        <x:f>IF(E1552=F1552,"PASS","FAIL")</x:f>
        <x:v>PASS</x:v>
      </x:c>
    </x:row>
    <x:row r="1553">
      <x:c r="B1553" s="21" t="str">
        <x:v>A01547</x:v>
      </x:c>
      <x:c r="C1553" s="21" t="str">
        <x:v>artifact</x:v>
      </x:c>
      <x:c r="D1553" s="21" t="str">
        <x:v>artifact 252 eligibility equation</x:v>
      </x:c>
      <x:c r="E1553" s="21" t="n">
        <x:f>IF(ABS('Artifact Ledger'!P258-IF(AND('Artifact Ledger'!L258=1,'Artifact Ledger'!M258=1,'Artifact Ledger'!N258=1,'Artifact Ledger'!O258&gt;='Artifact Ledger'!G258),'Artifact Ledger'!K258,0))&lt;0.000001,1,0)</x:f>
        <x:v>1</x:v>
      </x:c>
      <x:c r="F1553" s="21" t="n">
        <x:v>1</x:v>
      </x:c>
      <x:c r="G1553" s="23" t="str">
        <x:f>IF(E1553=F1553,"PASS","FAIL")</x:f>
        <x:v>PASS</x:v>
      </x:c>
    </x:row>
    <x:row r="1554">
      <x:c r="B1554" s="21" t="str">
        <x:v>A01548</x:v>
      </x:c>
      <x:c r="C1554" s="21" t="str">
        <x:v>artifact</x:v>
      </x:c>
      <x:c r="D1554" s="21" t="str">
        <x:v>artifact 252 planning state</x:v>
      </x:c>
      <x:c r="E1554" s="21" t="n">
        <x:f>IF(AND('Artifact Ledger'!Q258="OPEN",'Artifact Ledger'!R258="HOLD"),1,0)</x:f>
        <x:v>1</x:v>
      </x:c>
      <x:c r="F1554" s="21" t="n">
        <x:v>1</x:v>
      </x:c>
      <x:c r="G1554" s="23" t="str">
        <x:f>IF(E1554=F1554,"PASS","FAIL")</x:f>
        <x:v>PASS</x:v>
      </x:c>
    </x:row>
    <x:row r="1555">
      <x:c r="B1555" s="21" t="str">
        <x:v>A01549</x:v>
      </x:c>
      <x:c r="C1555" s="21" t="str">
        <x:v>artifact</x:v>
      </x:c>
      <x:c r="D1555" s="21" t="str">
        <x:v>artifact 253 eligibility equation</x:v>
      </x:c>
      <x:c r="E1555" s="21" t="n">
        <x:f>IF(ABS('Artifact Ledger'!P259-IF(AND('Artifact Ledger'!L259=1,'Artifact Ledger'!M259=1,'Artifact Ledger'!N259=1,'Artifact Ledger'!O259&gt;='Artifact Ledger'!G259),'Artifact Ledger'!K259,0))&lt;0.000001,1,0)</x:f>
        <x:v>1</x:v>
      </x:c>
      <x:c r="F1555" s="21" t="n">
        <x:v>1</x:v>
      </x:c>
      <x:c r="G1555" s="23" t="str">
        <x:f>IF(E1555=F1555,"PASS","FAIL")</x:f>
        <x:v>PASS</x:v>
      </x:c>
    </x:row>
    <x:row r="1556">
      <x:c r="B1556" s="21" t="str">
        <x:v>A01550</x:v>
      </x:c>
      <x:c r="C1556" s="21" t="str">
        <x:v>artifact</x:v>
      </x:c>
      <x:c r="D1556" s="21" t="str">
        <x:v>artifact 253 planning state</x:v>
      </x:c>
      <x:c r="E1556" s="21" t="n">
        <x:f>IF(AND('Artifact Ledger'!Q259="OPEN",'Artifact Ledger'!R259="HOLD"),1,0)</x:f>
        <x:v>1</x:v>
      </x:c>
      <x:c r="F1556" s="21" t="n">
        <x:v>1</x:v>
      </x:c>
      <x:c r="G1556" s="23" t="str">
        <x:f>IF(E1556=F1556,"PASS","FAIL")</x:f>
        <x:v>PASS</x:v>
      </x:c>
    </x:row>
    <x:row r="1557">
      <x:c r="B1557" s="21" t="str">
        <x:v>A01551</x:v>
      </x:c>
      <x:c r="C1557" s="21" t="str">
        <x:v>artifact</x:v>
      </x:c>
      <x:c r="D1557" s="21" t="str">
        <x:v>artifact 254 eligibility equation</x:v>
      </x:c>
      <x:c r="E1557" s="21" t="n">
        <x:f>IF(ABS('Artifact Ledger'!P260-IF(AND('Artifact Ledger'!L260=1,'Artifact Ledger'!M260=1,'Artifact Ledger'!N260=1,'Artifact Ledger'!O260&gt;='Artifact Ledger'!G260),'Artifact Ledger'!K260,0))&lt;0.000001,1,0)</x:f>
        <x:v>1</x:v>
      </x:c>
      <x:c r="F1557" s="21" t="n">
        <x:v>1</x:v>
      </x:c>
      <x:c r="G1557" s="23" t="str">
        <x:f>IF(E1557=F1557,"PASS","FAIL")</x:f>
        <x:v>PASS</x:v>
      </x:c>
    </x:row>
    <x:row r="1558">
      <x:c r="B1558" s="21" t="str">
        <x:v>A01552</x:v>
      </x:c>
      <x:c r="C1558" s="21" t="str">
        <x:v>artifact</x:v>
      </x:c>
      <x:c r="D1558" s="21" t="str">
        <x:v>artifact 254 planning state</x:v>
      </x:c>
      <x:c r="E1558" s="21" t="n">
        <x:f>IF(AND('Artifact Ledger'!Q260="OPEN",'Artifact Ledger'!R260="HOLD"),1,0)</x:f>
        <x:v>1</x:v>
      </x:c>
      <x:c r="F1558" s="21" t="n">
        <x:v>1</x:v>
      </x:c>
      <x:c r="G1558" s="23" t="str">
        <x:f>IF(E1558=F1558,"PASS","FAIL")</x:f>
        <x:v>PASS</x:v>
      </x:c>
    </x:row>
    <x:row r="1559">
      <x:c r="B1559" s="21" t="str">
        <x:v>A01553</x:v>
      </x:c>
      <x:c r="C1559" s="21" t="str">
        <x:v>artifact</x:v>
      </x:c>
      <x:c r="D1559" s="21" t="str">
        <x:v>artifact 255 eligibility equation</x:v>
      </x:c>
      <x:c r="E1559" s="21" t="n">
        <x:f>IF(ABS('Artifact Ledger'!P261-IF(AND('Artifact Ledger'!L261=1,'Artifact Ledger'!M261=1,'Artifact Ledger'!N261=1,'Artifact Ledger'!O261&gt;='Artifact Ledger'!G261),'Artifact Ledger'!K261,0))&lt;0.000001,1,0)</x:f>
        <x:v>1</x:v>
      </x:c>
      <x:c r="F1559" s="21" t="n">
        <x:v>1</x:v>
      </x:c>
      <x:c r="G1559" s="23" t="str">
        <x:f>IF(E1559=F1559,"PASS","FAIL")</x:f>
        <x:v>PASS</x:v>
      </x:c>
    </x:row>
    <x:row r="1560">
      <x:c r="B1560" s="21" t="str">
        <x:v>A01554</x:v>
      </x:c>
      <x:c r="C1560" s="21" t="str">
        <x:v>artifact</x:v>
      </x:c>
      <x:c r="D1560" s="21" t="str">
        <x:v>artifact 255 planning state</x:v>
      </x:c>
      <x:c r="E1560" s="21" t="n">
        <x:f>IF(AND('Artifact Ledger'!Q261="OPEN",'Artifact Ledger'!R261="HOLD"),1,0)</x:f>
        <x:v>1</x:v>
      </x:c>
      <x:c r="F1560" s="21" t="n">
        <x:v>1</x:v>
      </x:c>
      <x:c r="G1560" s="23" t="str">
        <x:f>IF(E1560=F1560,"PASS","FAIL")</x:f>
        <x:v>PASS</x:v>
      </x:c>
    </x:row>
    <x:row r="1561">
      <x:c r="B1561" s="21" t="str">
        <x:v>A01555</x:v>
      </x:c>
      <x:c r="C1561" s="21" t="str">
        <x:v>artifact</x:v>
      </x:c>
      <x:c r="D1561" s="21" t="str">
        <x:v>artifact 256 eligibility equation</x:v>
      </x:c>
      <x:c r="E1561" s="21" t="n">
        <x:f>IF(ABS('Artifact Ledger'!P262-IF(AND('Artifact Ledger'!L262=1,'Artifact Ledger'!M262=1,'Artifact Ledger'!N262=1,'Artifact Ledger'!O262&gt;='Artifact Ledger'!G262),'Artifact Ledger'!K262,0))&lt;0.000001,1,0)</x:f>
        <x:v>1</x:v>
      </x:c>
      <x:c r="F1561" s="21" t="n">
        <x:v>1</x:v>
      </x:c>
      <x:c r="G1561" s="23" t="str">
        <x:f>IF(E1561=F1561,"PASS","FAIL")</x:f>
        <x:v>PASS</x:v>
      </x:c>
    </x:row>
    <x:row r="1562">
      <x:c r="B1562" s="21" t="str">
        <x:v>A01556</x:v>
      </x:c>
      <x:c r="C1562" s="21" t="str">
        <x:v>artifact</x:v>
      </x:c>
      <x:c r="D1562" s="21" t="str">
        <x:v>artifact 256 planning state</x:v>
      </x:c>
      <x:c r="E1562" s="21" t="n">
        <x:f>IF(AND('Artifact Ledger'!Q262="OPEN",'Artifact Ledger'!R262="HOLD"),1,0)</x:f>
        <x:v>1</x:v>
      </x:c>
      <x:c r="F1562" s="21" t="n">
        <x:v>1</x:v>
      </x:c>
      <x:c r="G1562" s="23" t="str">
        <x:f>IF(E1562=F1562,"PASS","FAIL")</x:f>
        <x:v>PASS</x:v>
      </x:c>
    </x:row>
    <x:row r="1563">
      <x:c r="B1563" s="21" t="str">
        <x:v>A01557</x:v>
      </x:c>
      <x:c r="C1563" s="21" t="str">
        <x:v>artifact</x:v>
      </x:c>
      <x:c r="D1563" s="21" t="str">
        <x:v>artifact 257 eligibility equation</x:v>
      </x:c>
      <x:c r="E1563" s="21" t="n">
        <x:f>IF(ABS('Artifact Ledger'!P263-IF(AND('Artifact Ledger'!L263=1,'Artifact Ledger'!M263=1,'Artifact Ledger'!N263=1,'Artifact Ledger'!O263&gt;='Artifact Ledger'!G263),'Artifact Ledger'!K263,0))&lt;0.000001,1,0)</x:f>
        <x:v>1</x:v>
      </x:c>
      <x:c r="F1563" s="21" t="n">
        <x:v>1</x:v>
      </x:c>
      <x:c r="G1563" s="23" t="str">
        <x:f>IF(E1563=F1563,"PASS","FAIL")</x:f>
        <x:v>PASS</x:v>
      </x:c>
    </x:row>
    <x:row r="1564">
      <x:c r="B1564" s="21" t="str">
        <x:v>A01558</x:v>
      </x:c>
      <x:c r="C1564" s="21" t="str">
        <x:v>artifact</x:v>
      </x:c>
      <x:c r="D1564" s="21" t="str">
        <x:v>artifact 257 planning state</x:v>
      </x:c>
      <x:c r="E1564" s="21" t="n">
        <x:f>IF(AND('Artifact Ledger'!Q263="OPEN",'Artifact Ledger'!R263="HOLD"),1,0)</x:f>
        <x:v>1</x:v>
      </x:c>
      <x:c r="F1564" s="21" t="n">
        <x:v>1</x:v>
      </x:c>
      <x:c r="G1564" s="23" t="str">
        <x:f>IF(E1564=F1564,"PASS","FAIL")</x:f>
        <x:v>PASS</x:v>
      </x:c>
    </x:row>
    <x:row r="1565">
      <x:c r="B1565" s="21" t="str">
        <x:v>A01559</x:v>
      </x:c>
      <x:c r="C1565" s="21" t="str">
        <x:v>artifact</x:v>
      </x:c>
      <x:c r="D1565" s="21" t="str">
        <x:v>artifact 258 eligibility equation</x:v>
      </x:c>
      <x:c r="E1565" s="21" t="n">
        <x:f>IF(ABS('Artifact Ledger'!P264-IF(AND('Artifact Ledger'!L264=1,'Artifact Ledger'!M264=1,'Artifact Ledger'!N264=1,'Artifact Ledger'!O264&gt;='Artifact Ledger'!G264),'Artifact Ledger'!K264,0))&lt;0.000001,1,0)</x:f>
        <x:v>1</x:v>
      </x:c>
      <x:c r="F1565" s="21" t="n">
        <x:v>1</x:v>
      </x:c>
      <x:c r="G1565" s="23" t="str">
        <x:f>IF(E1565=F1565,"PASS","FAIL")</x:f>
        <x:v>PASS</x:v>
      </x:c>
    </x:row>
    <x:row r="1566">
      <x:c r="B1566" s="21" t="str">
        <x:v>A01560</x:v>
      </x:c>
      <x:c r="C1566" s="21" t="str">
        <x:v>artifact</x:v>
      </x:c>
      <x:c r="D1566" s="21" t="str">
        <x:v>artifact 258 planning state</x:v>
      </x:c>
      <x:c r="E1566" s="21" t="n">
        <x:f>IF(AND('Artifact Ledger'!Q264="OPEN",'Artifact Ledger'!R264="HOLD"),1,0)</x:f>
        <x:v>1</x:v>
      </x:c>
      <x:c r="F1566" s="21" t="n">
        <x:v>1</x:v>
      </x:c>
      <x:c r="G1566" s="23" t="str">
        <x:f>IF(E1566=F1566,"PASS","FAIL")</x:f>
        <x:v>PASS</x:v>
      </x:c>
    </x:row>
    <x:row r="1567">
      <x:c r="B1567" s="21" t="str">
        <x:v>A01561</x:v>
      </x:c>
      <x:c r="C1567" s="21" t="str">
        <x:v>artifact</x:v>
      </x:c>
      <x:c r="D1567" s="21" t="str">
        <x:v>artifact 259 eligibility equation</x:v>
      </x:c>
      <x:c r="E1567" s="21" t="n">
        <x:f>IF(ABS('Artifact Ledger'!P265-IF(AND('Artifact Ledger'!L265=1,'Artifact Ledger'!M265=1,'Artifact Ledger'!N265=1,'Artifact Ledger'!O265&gt;='Artifact Ledger'!G265),'Artifact Ledger'!K265,0))&lt;0.000001,1,0)</x:f>
        <x:v>1</x:v>
      </x:c>
      <x:c r="F1567" s="21" t="n">
        <x:v>1</x:v>
      </x:c>
      <x:c r="G1567" s="23" t="str">
        <x:f>IF(E1567=F1567,"PASS","FAIL")</x:f>
        <x:v>PASS</x:v>
      </x:c>
    </x:row>
    <x:row r="1568">
      <x:c r="B1568" s="21" t="str">
        <x:v>A01562</x:v>
      </x:c>
      <x:c r="C1568" s="21" t="str">
        <x:v>artifact</x:v>
      </x:c>
      <x:c r="D1568" s="21" t="str">
        <x:v>artifact 259 planning state</x:v>
      </x:c>
      <x:c r="E1568" s="21" t="n">
        <x:f>IF(AND('Artifact Ledger'!Q265="OPEN",'Artifact Ledger'!R265="HOLD"),1,0)</x:f>
        <x:v>1</x:v>
      </x:c>
      <x:c r="F1568" s="21" t="n">
        <x:v>1</x:v>
      </x:c>
      <x:c r="G1568" s="23" t="str">
        <x:f>IF(E1568=F1568,"PASS","FAIL")</x:f>
        <x:v>PASS</x:v>
      </x:c>
    </x:row>
    <x:row r="1569">
      <x:c r="B1569" s="21" t="str">
        <x:v>A01563</x:v>
      </x:c>
      <x:c r="C1569" s="21" t="str">
        <x:v>artifact</x:v>
      </x:c>
      <x:c r="D1569" s="21" t="str">
        <x:v>artifact 260 eligibility equation</x:v>
      </x:c>
      <x:c r="E1569" s="21" t="n">
        <x:f>IF(ABS('Artifact Ledger'!P266-IF(AND('Artifact Ledger'!L266=1,'Artifact Ledger'!M266=1,'Artifact Ledger'!N266=1,'Artifact Ledger'!O266&gt;='Artifact Ledger'!G266),'Artifact Ledger'!K266,0))&lt;0.000001,1,0)</x:f>
        <x:v>1</x:v>
      </x:c>
      <x:c r="F1569" s="21" t="n">
        <x:v>1</x:v>
      </x:c>
      <x:c r="G1569" s="23" t="str">
        <x:f>IF(E1569=F1569,"PASS","FAIL")</x:f>
        <x:v>PASS</x:v>
      </x:c>
    </x:row>
    <x:row r="1570">
      <x:c r="B1570" s="21" t="str">
        <x:v>A01564</x:v>
      </x:c>
      <x:c r="C1570" s="21" t="str">
        <x:v>artifact</x:v>
      </x:c>
      <x:c r="D1570" s="21" t="str">
        <x:v>artifact 260 planning state</x:v>
      </x:c>
      <x:c r="E1570" s="21" t="n">
        <x:f>IF(AND('Artifact Ledger'!Q266="OPEN",'Artifact Ledger'!R266="HOLD"),1,0)</x:f>
        <x:v>1</x:v>
      </x:c>
      <x:c r="F1570" s="21" t="n">
        <x:v>1</x:v>
      </x:c>
      <x:c r="G1570" s="23" t="str">
        <x:f>IF(E1570=F1570,"PASS","FAIL")</x:f>
        <x:v>PASS</x:v>
      </x:c>
    </x:row>
    <x:row r="1571">
      <x:c r="B1571" s="21" t="str">
        <x:v>A01565</x:v>
      </x:c>
      <x:c r="C1571" s="21" t="str">
        <x:v>artifact</x:v>
      </x:c>
      <x:c r="D1571" s="21" t="str">
        <x:v>artifact 261 eligibility equation</x:v>
      </x:c>
      <x:c r="E1571" s="21" t="n">
        <x:f>IF(ABS('Artifact Ledger'!P267-IF(AND('Artifact Ledger'!L267=1,'Artifact Ledger'!M267=1,'Artifact Ledger'!N267=1,'Artifact Ledger'!O267&gt;='Artifact Ledger'!G267),'Artifact Ledger'!K267,0))&lt;0.000001,1,0)</x:f>
        <x:v>1</x:v>
      </x:c>
      <x:c r="F1571" s="21" t="n">
        <x:v>1</x:v>
      </x:c>
      <x:c r="G1571" s="23" t="str">
        <x:f>IF(E1571=F1571,"PASS","FAIL")</x:f>
        <x:v>PASS</x:v>
      </x:c>
    </x:row>
    <x:row r="1572">
      <x:c r="B1572" s="21" t="str">
        <x:v>A01566</x:v>
      </x:c>
      <x:c r="C1572" s="21" t="str">
        <x:v>artifact</x:v>
      </x:c>
      <x:c r="D1572" s="21" t="str">
        <x:v>artifact 261 planning state</x:v>
      </x:c>
      <x:c r="E1572" s="21" t="n">
        <x:f>IF(AND('Artifact Ledger'!Q267="OPEN",'Artifact Ledger'!R267="HOLD"),1,0)</x:f>
        <x:v>1</x:v>
      </x:c>
      <x:c r="F1572" s="21" t="n">
        <x:v>1</x:v>
      </x:c>
      <x:c r="G1572" s="23" t="str">
        <x:f>IF(E1572=F1572,"PASS","FAIL")</x:f>
        <x:v>PASS</x:v>
      </x:c>
    </x:row>
    <x:row r="1573">
      <x:c r="B1573" s="21" t="str">
        <x:v>A01567</x:v>
      </x:c>
      <x:c r="C1573" s="21" t="str">
        <x:v>artifact</x:v>
      </x:c>
      <x:c r="D1573" s="21" t="str">
        <x:v>artifact 262 eligibility equation</x:v>
      </x:c>
      <x:c r="E1573" s="21" t="n">
        <x:f>IF(ABS('Artifact Ledger'!P268-IF(AND('Artifact Ledger'!L268=1,'Artifact Ledger'!M268=1,'Artifact Ledger'!N268=1,'Artifact Ledger'!O268&gt;='Artifact Ledger'!G268),'Artifact Ledger'!K268,0))&lt;0.000001,1,0)</x:f>
        <x:v>1</x:v>
      </x:c>
      <x:c r="F1573" s="21" t="n">
        <x:v>1</x:v>
      </x:c>
      <x:c r="G1573" s="23" t="str">
        <x:f>IF(E1573=F1573,"PASS","FAIL")</x:f>
        <x:v>PASS</x:v>
      </x:c>
    </x:row>
    <x:row r="1574">
      <x:c r="B1574" s="21" t="str">
        <x:v>A01568</x:v>
      </x:c>
      <x:c r="C1574" s="21" t="str">
        <x:v>artifact</x:v>
      </x:c>
      <x:c r="D1574" s="21" t="str">
        <x:v>artifact 262 planning state</x:v>
      </x:c>
      <x:c r="E1574" s="21" t="n">
        <x:f>IF(AND('Artifact Ledger'!Q268="OPEN",'Artifact Ledger'!R268="HOLD"),1,0)</x:f>
        <x:v>1</x:v>
      </x:c>
      <x:c r="F1574" s="21" t="n">
        <x:v>1</x:v>
      </x:c>
      <x:c r="G1574" s="23" t="str">
        <x:f>IF(E1574=F1574,"PASS","FAIL")</x:f>
        <x:v>PASS</x:v>
      </x:c>
    </x:row>
    <x:row r="1575">
      <x:c r="B1575" s="21" t="str">
        <x:v>A01569</x:v>
      </x:c>
      <x:c r="C1575" s="21" t="str">
        <x:v>artifact</x:v>
      </x:c>
      <x:c r="D1575" s="21" t="str">
        <x:v>artifact 263 eligibility equation</x:v>
      </x:c>
      <x:c r="E1575" s="21" t="n">
        <x:f>IF(ABS('Artifact Ledger'!P269-IF(AND('Artifact Ledger'!L269=1,'Artifact Ledger'!M269=1,'Artifact Ledger'!N269=1,'Artifact Ledger'!O269&gt;='Artifact Ledger'!G269),'Artifact Ledger'!K269,0))&lt;0.000001,1,0)</x:f>
        <x:v>1</x:v>
      </x:c>
      <x:c r="F1575" s="21" t="n">
        <x:v>1</x:v>
      </x:c>
      <x:c r="G1575" s="23" t="str">
        <x:f>IF(E1575=F1575,"PASS","FAIL")</x:f>
        <x:v>PASS</x:v>
      </x:c>
    </x:row>
    <x:row r="1576">
      <x:c r="B1576" s="21" t="str">
        <x:v>A01570</x:v>
      </x:c>
      <x:c r="C1576" s="21" t="str">
        <x:v>artifact</x:v>
      </x:c>
      <x:c r="D1576" s="21" t="str">
        <x:v>artifact 263 planning state</x:v>
      </x:c>
      <x:c r="E1576" s="21" t="n">
        <x:f>IF(AND('Artifact Ledger'!Q269="OPEN",'Artifact Ledger'!R269="HOLD"),1,0)</x:f>
        <x:v>1</x:v>
      </x:c>
      <x:c r="F1576" s="21" t="n">
        <x:v>1</x:v>
      </x:c>
      <x:c r="G1576" s="23" t="str">
        <x:f>IF(E1576=F1576,"PASS","FAIL")</x:f>
        <x:v>PASS</x:v>
      </x:c>
    </x:row>
    <x:row r="1577">
      <x:c r="B1577" s="21" t="str">
        <x:v>A01571</x:v>
      </x:c>
      <x:c r="C1577" s="21" t="str">
        <x:v>artifact</x:v>
      </x:c>
      <x:c r="D1577" s="21" t="str">
        <x:v>artifact 264 eligibility equation</x:v>
      </x:c>
      <x:c r="E1577" s="21" t="n">
        <x:f>IF(ABS('Artifact Ledger'!P270-IF(AND('Artifact Ledger'!L270=1,'Artifact Ledger'!M270=1,'Artifact Ledger'!N270=1,'Artifact Ledger'!O270&gt;='Artifact Ledger'!G270),'Artifact Ledger'!K270,0))&lt;0.000001,1,0)</x:f>
        <x:v>1</x:v>
      </x:c>
      <x:c r="F1577" s="21" t="n">
        <x:v>1</x:v>
      </x:c>
      <x:c r="G1577" s="23" t="str">
        <x:f>IF(E1577=F1577,"PASS","FAIL")</x:f>
        <x:v>PASS</x:v>
      </x:c>
    </x:row>
    <x:row r="1578">
      <x:c r="B1578" s="21" t="str">
        <x:v>A01572</x:v>
      </x:c>
      <x:c r="C1578" s="21" t="str">
        <x:v>artifact</x:v>
      </x:c>
      <x:c r="D1578" s="21" t="str">
        <x:v>artifact 264 planning state</x:v>
      </x:c>
      <x:c r="E1578" s="21" t="n">
        <x:f>IF(AND('Artifact Ledger'!Q270="OPEN",'Artifact Ledger'!R270="HOLD"),1,0)</x:f>
        <x:v>1</x:v>
      </x:c>
      <x:c r="F1578" s="21" t="n">
        <x:v>1</x:v>
      </x:c>
      <x:c r="G1578" s="23" t="str">
        <x:f>IF(E1578=F1578,"PASS","FAIL")</x:f>
        <x:v>PASS</x:v>
      </x:c>
    </x:row>
    <x:row r="1579">
      <x:c r="B1579" s="21" t="str">
        <x:v>A01573</x:v>
      </x:c>
      <x:c r="C1579" s="21" t="str">
        <x:v>artifact</x:v>
      </x:c>
      <x:c r="D1579" s="21" t="str">
        <x:v>artifact 265 eligibility equation</x:v>
      </x:c>
      <x:c r="E1579" s="21" t="n">
        <x:f>IF(ABS('Artifact Ledger'!P271-IF(AND('Artifact Ledger'!L271=1,'Artifact Ledger'!M271=1,'Artifact Ledger'!N271=1,'Artifact Ledger'!O271&gt;='Artifact Ledger'!G271),'Artifact Ledger'!K271,0))&lt;0.000001,1,0)</x:f>
        <x:v>1</x:v>
      </x:c>
      <x:c r="F1579" s="21" t="n">
        <x:v>1</x:v>
      </x:c>
      <x:c r="G1579" s="23" t="str">
        <x:f>IF(E1579=F1579,"PASS","FAIL")</x:f>
        <x:v>PASS</x:v>
      </x:c>
    </x:row>
    <x:row r="1580">
      <x:c r="B1580" s="21" t="str">
        <x:v>A01574</x:v>
      </x:c>
      <x:c r="C1580" s="21" t="str">
        <x:v>artifact</x:v>
      </x:c>
      <x:c r="D1580" s="21" t="str">
        <x:v>artifact 265 planning state</x:v>
      </x:c>
      <x:c r="E1580" s="21" t="n">
        <x:f>IF(AND('Artifact Ledger'!Q271="OPEN",'Artifact Ledger'!R271="HOLD"),1,0)</x:f>
        <x:v>1</x:v>
      </x:c>
      <x:c r="F1580" s="21" t="n">
        <x:v>1</x:v>
      </x:c>
      <x:c r="G1580" s="23" t="str">
        <x:f>IF(E1580=F1580,"PASS","FAIL")</x:f>
        <x:v>PASS</x:v>
      </x:c>
    </x:row>
    <x:row r="1581">
      <x:c r="B1581" s="21" t="str">
        <x:v>A01575</x:v>
      </x:c>
      <x:c r="C1581" s="21" t="str">
        <x:v>artifact</x:v>
      </x:c>
      <x:c r="D1581" s="21" t="str">
        <x:v>artifact 266 eligibility equation</x:v>
      </x:c>
      <x:c r="E1581" s="21" t="n">
        <x:f>IF(ABS('Artifact Ledger'!P272-IF(AND('Artifact Ledger'!L272=1,'Artifact Ledger'!M272=1,'Artifact Ledger'!N272=1,'Artifact Ledger'!O272&gt;='Artifact Ledger'!G272),'Artifact Ledger'!K272,0))&lt;0.000001,1,0)</x:f>
        <x:v>1</x:v>
      </x:c>
      <x:c r="F1581" s="21" t="n">
        <x:v>1</x:v>
      </x:c>
      <x:c r="G1581" s="23" t="str">
        <x:f>IF(E1581=F1581,"PASS","FAIL")</x:f>
        <x:v>PASS</x:v>
      </x:c>
    </x:row>
    <x:row r="1582">
      <x:c r="B1582" s="21" t="str">
        <x:v>A01576</x:v>
      </x:c>
      <x:c r="C1582" s="21" t="str">
        <x:v>artifact</x:v>
      </x:c>
      <x:c r="D1582" s="21" t="str">
        <x:v>artifact 266 planning state</x:v>
      </x:c>
      <x:c r="E1582" s="21" t="n">
        <x:f>IF(AND('Artifact Ledger'!Q272="OPEN",'Artifact Ledger'!R272="HOLD"),1,0)</x:f>
        <x:v>1</x:v>
      </x:c>
      <x:c r="F1582" s="21" t="n">
        <x:v>1</x:v>
      </x:c>
      <x:c r="G1582" s="23" t="str">
        <x:f>IF(E1582=F1582,"PASS","FAIL")</x:f>
        <x:v>PASS</x:v>
      </x:c>
    </x:row>
    <x:row r="1583">
      <x:c r="B1583" s="21" t="str">
        <x:v>A01577</x:v>
      </x:c>
      <x:c r="C1583" s="21" t="str">
        <x:v>artifact</x:v>
      </x:c>
      <x:c r="D1583" s="21" t="str">
        <x:v>artifact 267 eligibility equation</x:v>
      </x:c>
      <x:c r="E1583" s="21" t="n">
        <x:f>IF(ABS('Artifact Ledger'!P273-IF(AND('Artifact Ledger'!L273=1,'Artifact Ledger'!M273=1,'Artifact Ledger'!N273=1,'Artifact Ledger'!O273&gt;='Artifact Ledger'!G273),'Artifact Ledger'!K273,0))&lt;0.000001,1,0)</x:f>
        <x:v>1</x:v>
      </x:c>
      <x:c r="F1583" s="21" t="n">
        <x:v>1</x:v>
      </x:c>
      <x:c r="G1583" s="23" t="str">
        <x:f>IF(E1583=F1583,"PASS","FAIL")</x:f>
        <x:v>PASS</x:v>
      </x:c>
    </x:row>
    <x:row r="1584">
      <x:c r="B1584" s="21" t="str">
        <x:v>A01578</x:v>
      </x:c>
      <x:c r="C1584" s="21" t="str">
        <x:v>artifact</x:v>
      </x:c>
      <x:c r="D1584" s="21" t="str">
        <x:v>artifact 267 planning state</x:v>
      </x:c>
      <x:c r="E1584" s="21" t="n">
        <x:f>IF(AND('Artifact Ledger'!Q273="OPEN",'Artifact Ledger'!R273="HOLD"),1,0)</x:f>
        <x:v>1</x:v>
      </x:c>
      <x:c r="F1584" s="21" t="n">
        <x:v>1</x:v>
      </x:c>
      <x:c r="G1584" s="23" t="str">
        <x:f>IF(E1584=F1584,"PASS","FAIL")</x:f>
        <x:v>PASS</x:v>
      </x:c>
    </x:row>
    <x:row r="1585">
      <x:c r="B1585" s="21" t="str">
        <x:v>A01579</x:v>
      </x:c>
      <x:c r="C1585" s="21" t="str">
        <x:v>artifact</x:v>
      </x:c>
      <x:c r="D1585" s="21" t="str">
        <x:v>artifact 268 eligibility equation</x:v>
      </x:c>
      <x:c r="E1585" s="21" t="n">
        <x:f>IF(ABS('Artifact Ledger'!P274-IF(AND('Artifact Ledger'!L274=1,'Artifact Ledger'!M274=1,'Artifact Ledger'!N274=1,'Artifact Ledger'!O274&gt;='Artifact Ledger'!G274),'Artifact Ledger'!K274,0))&lt;0.000001,1,0)</x:f>
        <x:v>1</x:v>
      </x:c>
      <x:c r="F1585" s="21" t="n">
        <x:v>1</x:v>
      </x:c>
      <x:c r="G1585" s="23" t="str">
        <x:f>IF(E1585=F1585,"PASS","FAIL")</x:f>
        <x:v>PASS</x:v>
      </x:c>
    </x:row>
    <x:row r="1586">
      <x:c r="B1586" s="21" t="str">
        <x:v>A01580</x:v>
      </x:c>
      <x:c r="C1586" s="21" t="str">
        <x:v>artifact</x:v>
      </x:c>
      <x:c r="D1586" s="21" t="str">
        <x:v>artifact 268 planning state</x:v>
      </x:c>
      <x:c r="E1586" s="21" t="n">
        <x:f>IF(AND('Artifact Ledger'!Q274="OPEN",'Artifact Ledger'!R274="HOLD"),1,0)</x:f>
        <x:v>1</x:v>
      </x:c>
      <x:c r="F1586" s="21" t="n">
        <x:v>1</x:v>
      </x:c>
      <x:c r="G1586" s="23" t="str">
        <x:f>IF(E1586=F1586,"PASS","FAIL")</x:f>
        <x:v>PASS</x:v>
      </x:c>
    </x:row>
    <x:row r="1587">
      <x:c r="B1587" s="21" t="str">
        <x:v>A01581</x:v>
      </x:c>
      <x:c r="C1587" s="21" t="str">
        <x:v>artifact</x:v>
      </x:c>
      <x:c r="D1587" s="21" t="str">
        <x:v>artifact 269 eligibility equation</x:v>
      </x:c>
      <x:c r="E1587" s="21" t="n">
        <x:f>IF(ABS('Artifact Ledger'!P275-IF(AND('Artifact Ledger'!L275=1,'Artifact Ledger'!M275=1,'Artifact Ledger'!N275=1,'Artifact Ledger'!O275&gt;='Artifact Ledger'!G275),'Artifact Ledger'!K275,0))&lt;0.000001,1,0)</x:f>
        <x:v>1</x:v>
      </x:c>
      <x:c r="F1587" s="21" t="n">
        <x:v>1</x:v>
      </x:c>
      <x:c r="G1587" s="23" t="str">
        <x:f>IF(E1587=F1587,"PASS","FAIL")</x:f>
        <x:v>PASS</x:v>
      </x:c>
    </x:row>
    <x:row r="1588">
      <x:c r="B1588" s="21" t="str">
        <x:v>A01582</x:v>
      </x:c>
      <x:c r="C1588" s="21" t="str">
        <x:v>artifact</x:v>
      </x:c>
      <x:c r="D1588" s="21" t="str">
        <x:v>artifact 269 planning state</x:v>
      </x:c>
      <x:c r="E1588" s="21" t="n">
        <x:f>IF(AND('Artifact Ledger'!Q275="OPEN",'Artifact Ledger'!R275="HOLD"),1,0)</x:f>
        <x:v>1</x:v>
      </x:c>
      <x:c r="F1588" s="21" t="n">
        <x:v>1</x:v>
      </x:c>
      <x:c r="G1588" s="23" t="str">
        <x:f>IF(E1588=F1588,"PASS","FAIL")</x:f>
        <x:v>PASS</x:v>
      </x:c>
    </x:row>
    <x:row r="1589">
      <x:c r="B1589" s="21" t="str">
        <x:v>A01583</x:v>
      </x:c>
      <x:c r="C1589" s="21" t="str">
        <x:v>artifact</x:v>
      </x:c>
      <x:c r="D1589" s="21" t="str">
        <x:v>artifact 270 eligibility equation</x:v>
      </x:c>
      <x:c r="E1589" s="21" t="n">
        <x:f>IF(ABS('Artifact Ledger'!P276-IF(AND('Artifact Ledger'!L276=1,'Artifact Ledger'!M276=1,'Artifact Ledger'!N276=1,'Artifact Ledger'!O276&gt;='Artifact Ledger'!G276),'Artifact Ledger'!K276,0))&lt;0.000001,1,0)</x:f>
        <x:v>1</x:v>
      </x:c>
      <x:c r="F1589" s="21" t="n">
        <x:v>1</x:v>
      </x:c>
      <x:c r="G1589" s="23" t="str">
        <x:f>IF(E1589=F1589,"PASS","FAIL")</x:f>
        <x:v>PASS</x:v>
      </x:c>
    </x:row>
    <x:row r="1590">
      <x:c r="B1590" s="21" t="str">
        <x:v>A01584</x:v>
      </x:c>
      <x:c r="C1590" s="21" t="str">
        <x:v>artifact</x:v>
      </x:c>
      <x:c r="D1590" s="21" t="str">
        <x:v>artifact 270 planning state</x:v>
      </x:c>
      <x:c r="E1590" s="21" t="n">
        <x:f>IF(AND('Artifact Ledger'!Q276="OPEN",'Artifact Ledger'!R276="HOLD"),1,0)</x:f>
        <x:v>1</x:v>
      </x:c>
      <x:c r="F1590" s="21" t="n">
        <x:v>1</x:v>
      </x:c>
      <x:c r="G1590" s="23" t="str">
        <x:f>IF(E1590=F1590,"PASS","FAIL")</x:f>
        <x:v>PASS</x:v>
      </x:c>
    </x:row>
    <x:row r="1591">
      <x:c r="B1591" s="21" t="str">
        <x:v>A01585</x:v>
      </x:c>
      <x:c r="C1591" s="21" t="str">
        <x:v>artifact</x:v>
      </x:c>
      <x:c r="D1591" s="21" t="str">
        <x:v>artifact 271 eligibility equation</x:v>
      </x:c>
      <x:c r="E1591" s="21" t="n">
        <x:f>IF(ABS('Artifact Ledger'!P277-IF(AND('Artifact Ledger'!L277=1,'Artifact Ledger'!M277=1,'Artifact Ledger'!N277=1,'Artifact Ledger'!O277&gt;='Artifact Ledger'!G277),'Artifact Ledger'!K277,0))&lt;0.000001,1,0)</x:f>
        <x:v>1</x:v>
      </x:c>
      <x:c r="F1591" s="21" t="n">
        <x:v>1</x:v>
      </x:c>
      <x:c r="G1591" s="23" t="str">
        <x:f>IF(E1591=F1591,"PASS","FAIL")</x:f>
        <x:v>PASS</x:v>
      </x:c>
    </x:row>
    <x:row r="1592">
      <x:c r="B1592" s="21" t="str">
        <x:v>A01586</x:v>
      </x:c>
      <x:c r="C1592" s="21" t="str">
        <x:v>artifact</x:v>
      </x:c>
      <x:c r="D1592" s="21" t="str">
        <x:v>artifact 271 planning state</x:v>
      </x:c>
      <x:c r="E1592" s="21" t="n">
        <x:f>IF(AND('Artifact Ledger'!Q277="OPEN",'Artifact Ledger'!R277="HOLD"),1,0)</x:f>
        <x:v>1</x:v>
      </x:c>
      <x:c r="F1592" s="21" t="n">
        <x:v>1</x:v>
      </x:c>
      <x:c r="G1592" s="23" t="str">
        <x:f>IF(E1592=F1592,"PASS","FAIL")</x:f>
        <x:v>PASS</x:v>
      </x:c>
    </x:row>
    <x:row r="1593">
      <x:c r="B1593" s="21" t="str">
        <x:v>A01587</x:v>
      </x:c>
      <x:c r="C1593" s="21" t="str">
        <x:v>artifact</x:v>
      </x:c>
      <x:c r="D1593" s="21" t="str">
        <x:v>artifact 272 eligibility equation</x:v>
      </x:c>
      <x:c r="E1593" s="21" t="n">
        <x:f>IF(ABS('Artifact Ledger'!P278-IF(AND('Artifact Ledger'!L278=1,'Artifact Ledger'!M278=1,'Artifact Ledger'!N278=1,'Artifact Ledger'!O278&gt;='Artifact Ledger'!G278),'Artifact Ledger'!K278,0))&lt;0.000001,1,0)</x:f>
        <x:v>1</x:v>
      </x:c>
      <x:c r="F1593" s="21" t="n">
        <x:v>1</x:v>
      </x:c>
      <x:c r="G1593" s="23" t="str">
        <x:f>IF(E1593=F1593,"PASS","FAIL")</x:f>
        <x:v>PASS</x:v>
      </x:c>
    </x:row>
    <x:row r="1594">
      <x:c r="B1594" s="21" t="str">
        <x:v>A01588</x:v>
      </x:c>
      <x:c r="C1594" s="21" t="str">
        <x:v>artifact</x:v>
      </x:c>
      <x:c r="D1594" s="21" t="str">
        <x:v>artifact 272 planning state</x:v>
      </x:c>
      <x:c r="E1594" s="21" t="n">
        <x:f>IF(AND('Artifact Ledger'!Q278="OPEN",'Artifact Ledger'!R278="HOLD"),1,0)</x:f>
        <x:v>1</x:v>
      </x:c>
      <x:c r="F1594" s="21" t="n">
        <x:v>1</x:v>
      </x:c>
      <x:c r="G1594" s="23" t="str">
        <x:f>IF(E1594=F1594,"PASS","FAIL")</x:f>
        <x:v>PASS</x:v>
      </x:c>
    </x:row>
    <x:row r="1595">
      <x:c r="B1595" s="21" t="str">
        <x:v>A01589</x:v>
      </x:c>
      <x:c r="C1595" s="21" t="str">
        <x:v>artifact</x:v>
      </x:c>
      <x:c r="D1595" s="21" t="str">
        <x:v>artifact 273 eligibility equation</x:v>
      </x:c>
      <x:c r="E1595" s="21" t="n">
        <x:f>IF(ABS('Artifact Ledger'!P279-IF(AND('Artifact Ledger'!L279=1,'Artifact Ledger'!M279=1,'Artifact Ledger'!N279=1,'Artifact Ledger'!O279&gt;='Artifact Ledger'!G279),'Artifact Ledger'!K279,0))&lt;0.000001,1,0)</x:f>
        <x:v>1</x:v>
      </x:c>
      <x:c r="F1595" s="21" t="n">
        <x:v>1</x:v>
      </x:c>
      <x:c r="G1595" s="23" t="str">
        <x:f>IF(E1595=F1595,"PASS","FAIL")</x:f>
        <x:v>PASS</x:v>
      </x:c>
    </x:row>
    <x:row r="1596">
      <x:c r="B1596" s="21" t="str">
        <x:v>A01590</x:v>
      </x:c>
      <x:c r="C1596" s="21" t="str">
        <x:v>artifact</x:v>
      </x:c>
      <x:c r="D1596" s="21" t="str">
        <x:v>artifact 273 planning state</x:v>
      </x:c>
      <x:c r="E1596" s="21" t="n">
        <x:f>IF(AND('Artifact Ledger'!Q279="OPEN",'Artifact Ledger'!R279="HOLD"),1,0)</x:f>
        <x:v>1</x:v>
      </x:c>
      <x:c r="F1596" s="21" t="n">
        <x:v>1</x:v>
      </x:c>
      <x:c r="G1596" s="23" t="str">
        <x:f>IF(E1596=F1596,"PASS","FAIL")</x:f>
        <x:v>PASS</x:v>
      </x:c>
    </x:row>
    <x:row r="1597">
      <x:c r="B1597" s="21" t="str">
        <x:v>A01591</x:v>
      </x:c>
      <x:c r="C1597" s="21" t="str">
        <x:v>artifact</x:v>
      </x:c>
      <x:c r="D1597" s="21" t="str">
        <x:v>artifact 274 eligibility equation</x:v>
      </x:c>
      <x:c r="E1597" s="21" t="n">
        <x:f>IF(ABS('Artifact Ledger'!P280-IF(AND('Artifact Ledger'!L280=1,'Artifact Ledger'!M280=1,'Artifact Ledger'!N280=1,'Artifact Ledger'!O280&gt;='Artifact Ledger'!G280),'Artifact Ledger'!K280,0))&lt;0.000001,1,0)</x:f>
        <x:v>1</x:v>
      </x:c>
      <x:c r="F1597" s="21" t="n">
        <x:v>1</x:v>
      </x:c>
      <x:c r="G1597" s="23" t="str">
        <x:f>IF(E1597=F1597,"PASS","FAIL")</x:f>
        <x:v>PASS</x:v>
      </x:c>
    </x:row>
    <x:row r="1598">
      <x:c r="B1598" s="21" t="str">
        <x:v>A01592</x:v>
      </x:c>
      <x:c r="C1598" s="21" t="str">
        <x:v>artifact</x:v>
      </x:c>
      <x:c r="D1598" s="21" t="str">
        <x:v>artifact 274 planning state</x:v>
      </x:c>
      <x:c r="E1598" s="21" t="n">
        <x:f>IF(AND('Artifact Ledger'!Q280="OPEN",'Artifact Ledger'!R280="HOLD"),1,0)</x:f>
        <x:v>1</x:v>
      </x:c>
      <x:c r="F1598" s="21" t="n">
        <x:v>1</x:v>
      </x:c>
      <x:c r="G1598" s="23" t="str">
        <x:f>IF(E1598=F1598,"PASS","FAIL")</x:f>
        <x:v>PASS</x:v>
      </x:c>
    </x:row>
    <x:row r="1599">
      <x:c r="B1599" s="21" t="str">
        <x:v>A01593</x:v>
      </x:c>
      <x:c r="C1599" s="21" t="str">
        <x:v>artifact</x:v>
      </x:c>
      <x:c r="D1599" s="21" t="str">
        <x:v>artifact 275 eligibility equation</x:v>
      </x:c>
      <x:c r="E1599" s="21" t="n">
        <x:f>IF(ABS('Artifact Ledger'!P281-IF(AND('Artifact Ledger'!L281=1,'Artifact Ledger'!M281=1,'Artifact Ledger'!N281=1,'Artifact Ledger'!O281&gt;='Artifact Ledger'!G281),'Artifact Ledger'!K281,0))&lt;0.000001,1,0)</x:f>
        <x:v>1</x:v>
      </x:c>
      <x:c r="F1599" s="21" t="n">
        <x:v>1</x:v>
      </x:c>
      <x:c r="G1599" s="23" t="str">
        <x:f>IF(E1599=F1599,"PASS","FAIL")</x:f>
        <x:v>PASS</x:v>
      </x:c>
    </x:row>
    <x:row r="1600">
      <x:c r="B1600" s="21" t="str">
        <x:v>A01594</x:v>
      </x:c>
      <x:c r="C1600" s="21" t="str">
        <x:v>artifact</x:v>
      </x:c>
      <x:c r="D1600" s="21" t="str">
        <x:v>artifact 275 planning state</x:v>
      </x:c>
      <x:c r="E1600" s="21" t="n">
        <x:f>IF(AND('Artifact Ledger'!Q281="OPEN",'Artifact Ledger'!R281="HOLD"),1,0)</x:f>
        <x:v>1</x:v>
      </x:c>
      <x:c r="F1600" s="21" t="n">
        <x:v>1</x:v>
      </x:c>
      <x:c r="G1600" s="23" t="str">
        <x:f>IF(E1600=F1600,"PASS","FAIL")</x:f>
        <x:v>PASS</x:v>
      </x:c>
    </x:row>
    <x:row r="1601">
      <x:c r="B1601" s="21" t="str">
        <x:v>A01595</x:v>
      </x:c>
      <x:c r="C1601" s="21" t="str">
        <x:v>artifact</x:v>
      </x:c>
      <x:c r="D1601" s="21" t="str">
        <x:v>artifact 276 eligibility equation</x:v>
      </x:c>
      <x:c r="E1601" s="21" t="n">
        <x:f>IF(ABS('Artifact Ledger'!P282-IF(AND('Artifact Ledger'!L282=1,'Artifact Ledger'!M282=1,'Artifact Ledger'!N282=1,'Artifact Ledger'!O282&gt;='Artifact Ledger'!G282),'Artifact Ledger'!K282,0))&lt;0.000001,1,0)</x:f>
        <x:v>1</x:v>
      </x:c>
      <x:c r="F1601" s="21" t="n">
        <x:v>1</x:v>
      </x:c>
      <x:c r="G1601" s="23" t="str">
        <x:f>IF(E1601=F1601,"PASS","FAIL")</x:f>
        <x:v>PASS</x:v>
      </x:c>
    </x:row>
    <x:row r="1602">
      <x:c r="B1602" s="21" t="str">
        <x:v>A01596</x:v>
      </x:c>
      <x:c r="C1602" s="21" t="str">
        <x:v>artifact</x:v>
      </x:c>
      <x:c r="D1602" s="21" t="str">
        <x:v>artifact 276 planning state</x:v>
      </x:c>
      <x:c r="E1602" s="21" t="n">
        <x:f>IF(AND('Artifact Ledger'!Q282="OPEN",'Artifact Ledger'!R282="HOLD"),1,0)</x:f>
        <x:v>1</x:v>
      </x:c>
      <x:c r="F1602" s="21" t="n">
        <x:v>1</x:v>
      </x:c>
      <x:c r="G1602" s="23" t="str">
        <x:f>IF(E1602=F1602,"PASS","FAIL")</x:f>
        <x:v>PASS</x:v>
      </x:c>
    </x:row>
    <x:row r="1603">
      <x:c r="B1603" s="21" t="str">
        <x:v>A01597</x:v>
      </x:c>
      <x:c r="C1603" s="21" t="str">
        <x:v>artifact</x:v>
      </x:c>
      <x:c r="D1603" s="21" t="str">
        <x:v>artifact 277 eligibility equation</x:v>
      </x:c>
      <x:c r="E1603" s="21" t="n">
        <x:f>IF(ABS('Artifact Ledger'!P283-IF(AND('Artifact Ledger'!L283=1,'Artifact Ledger'!M283=1,'Artifact Ledger'!N283=1,'Artifact Ledger'!O283&gt;='Artifact Ledger'!G283),'Artifact Ledger'!K283,0))&lt;0.000001,1,0)</x:f>
        <x:v>1</x:v>
      </x:c>
      <x:c r="F1603" s="21" t="n">
        <x:v>1</x:v>
      </x:c>
      <x:c r="G1603" s="23" t="str">
        <x:f>IF(E1603=F1603,"PASS","FAIL")</x:f>
        <x:v>PASS</x:v>
      </x:c>
    </x:row>
    <x:row r="1604">
      <x:c r="B1604" s="21" t="str">
        <x:v>A01598</x:v>
      </x:c>
      <x:c r="C1604" s="21" t="str">
        <x:v>artifact</x:v>
      </x:c>
      <x:c r="D1604" s="21" t="str">
        <x:v>artifact 277 planning state</x:v>
      </x:c>
      <x:c r="E1604" s="21" t="n">
        <x:f>IF(AND('Artifact Ledger'!Q283="OPEN",'Artifact Ledger'!R283="HOLD"),1,0)</x:f>
        <x:v>1</x:v>
      </x:c>
      <x:c r="F1604" s="21" t="n">
        <x:v>1</x:v>
      </x:c>
      <x:c r="G1604" s="23" t="str">
        <x:f>IF(E1604=F1604,"PASS","FAIL")</x:f>
        <x:v>PASS</x:v>
      </x:c>
    </x:row>
    <x:row r="1605">
      <x:c r="B1605" s="21" t="str">
        <x:v>A01599</x:v>
      </x:c>
      <x:c r="C1605" s="21" t="str">
        <x:v>artifact</x:v>
      </x:c>
      <x:c r="D1605" s="21" t="str">
        <x:v>artifact 278 eligibility equation</x:v>
      </x:c>
      <x:c r="E1605" s="21" t="n">
        <x:f>IF(ABS('Artifact Ledger'!P284-IF(AND('Artifact Ledger'!L284=1,'Artifact Ledger'!M284=1,'Artifact Ledger'!N284=1,'Artifact Ledger'!O284&gt;='Artifact Ledger'!G284),'Artifact Ledger'!K284,0))&lt;0.000001,1,0)</x:f>
        <x:v>1</x:v>
      </x:c>
      <x:c r="F1605" s="21" t="n">
        <x:v>1</x:v>
      </x:c>
      <x:c r="G1605" s="23" t="str">
        <x:f>IF(E1605=F1605,"PASS","FAIL")</x:f>
        <x:v>PASS</x:v>
      </x:c>
    </x:row>
    <x:row r="1606">
      <x:c r="B1606" s="21" t="str">
        <x:v>A01600</x:v>
      </x:c>
      <x:c r="C1606" s="21" t="str">
        <x:v>artifact</x:v>
      </x:c>
      <x:c r="D1606" s="21" t="str">
        <x:v>artifact 278 planning state</x:v>
      </x:c>
      <x:c r="E1606" s="21" t="n">
        <x:f>IF(AND('Artifact Ledger'!Q284="OPEN",'Artifact Ledger'!R284="HOLD"),1,0)</x:f>
        <x:v>1</x:v>
      </x:c>
      <x:c r="F1606" s="21" t="n">
        <x:v>1</x:v>
      </x:c>
      <x:c r="G1606" s="23" t="str">
        <x:f>IF(E1606=F1606,"PASS","FAIL")</x:f>
        <x:v>PASS</x:v>
      </x:c>
    </x:row>
    <x:row r="1607">
      <x:c r="B1607" s="21" t="str">
        <x:v>A01601</x:v>
      </x:c>
      <x:c r="C1607" s="21" t="str">
        <x:v>artifact</x:v>
      </x:c>
      <x:c r="D1607" s="21" t="str">
        <x:v>artifact 279 eligibility equation</x:v>
      </x:c>
      <x:c r="E1607" s="21" t="n">
        <x:f>IF(ABS('Artifact Ledger'!P285-IF(AND('Artifact Ledger'!L285=1,'Artifact Ledger'!M285=1,'Artifact Ledger'!N285=1,'Artifact Ledger'!O285&gt;='Artifact Ledger'!G285),'Artifact Ledger'!K285,0))&lt;0.000001,1,0)</x:f>
        <x:v>1</x:v>
      </x:c>
      <x:c r="F1607" s="21" t="n">
        <x:v>1</x:v>
      </x:c>
      <x:c r="G1607" s="23" t="str">
        <x:f>IF(E1607=F1607,"PASS","FAIL")</x:f>
        <x:v>PASS</x:v>
      </x:c>
    </x:row>
    <x:row r="1608">
      <x:c r="B1608" s="21" t="str">
        <x:v>A01602</x:v>
      </x:c>
      <x:c r="C1608" s="21" t="str">
        <x:v>artifact</x:v>
      </x:c>
      <x:c r="D1608" s="21" t="str">
        <x:v>artifact 279 planning state</x:v>
      </x:c>
      <x:c r="E1608" s="21" t="n">
        <x:f>IF(AND('Artifact Ledger'!Q285="OPEN",'Artifact Ledger'!R285="HOLD"),1,0)</x:f>
        <x:v>1</x:v>
      </x:c>
      <x:c r="F1608" s="21" t="n">
        <x:v>1</x:v>
      </x:c>
      <x:c r="G1608" s="23" t="str">
        <x:f>IF(E1608=F1608,"PASS","FAIL")</x:f>
        <x:v>PASS</x:v>
      </x:c>
    </x:row>
    <x:row r="1609">
      <x:c r="B1609" s="21" t="str">
        <x:v>A01603</x:v>
      </x:c>
      <x:c r="C1609" s="21" t="str">
        <x:v>artifact</x:v>
      </x:c>
      <x:c r="D1609" s="21" t="str">
        <x:v>artifact 280 eligibility equation</x:v>
      </x:c>
      <x:c r="E1609" s="21" t="n">
        <x:f>IF(ABS('Artifact Ledger'!P286-IF(AND('Artifact Ledger'!L286=1,'Artifact Ledger'!M286=1,'Artifact Ledger'!N286=1,'Artifact Ledger'!O286&gt;='Artifact Ledger'!G286),'Artifact Ledger'!K286,0))&lt;0.000001,1,0)</x:f>
        <x:v>1</x:v>
      </x:c>
      <x:c r="F1609" s="21" t="n">
        <x:v>1</x:v>
      </x:c>
      <x:c r="G1609" s="23" t="str">
        <x:f>IF(E1609=F1609,"PASS","FAIL")</x:f>
        <x:v>PASS</x:v>
      </x:c>
    </x:row>
    <x:row r="1610">
      <x:c r="B1610" s="21" t="str">
        <x:v>A01604</x:v>
      </x:c>
      <x:c r="C1610" s="21" t="str">
        <x:v>artifact</x:v>
      </x:c>
      <x:c r="D1610" s="21" t="str">
        <x:v>artifact 280 planning state</x:v>
      </x:c>
      <x:c r="E1610" s="21" t="n">
        <x:f>IF(AND('Artifact Ledger'!Q286="OPEN",'Artifact Ledger'!R286="HOLD"),1,0)</x:f>
        <x:v>1</x:v>
      </x:c>
      <x:c r="F1610" s="21" t="n">
        <x:v>1</x:v>
      </x:c>
      <x:c r="G1610" s="23" t="str">
        <x:f>IF(E1610=F1610,"PASS","FAIL")</x:f>
        <x:v>PASS</x:v>
      </x:c>
    </x:row>
    <x:row r="1611">
      <x:c r="B1611" s="21" t="str">
        <x:v>A01605</x:v>
      </x:c>
      <x:c r="C1611" s="21" t="str">
        <x:v>artifact</x:v>
      </x:c>
      <x:c r="D1611" s="21" t="str">
        <x:v>artifact 281 eligibility equation</x:v>
      </x:c>
      <x:c r="E1611" s="21" t="n">
        <x:f>IF(ABS('Artifact Ledger'!P287-IF(AND('Artifact Ledger'!L287=1,'Artifact Ledger'!M287=1,'Artifact Ledger'!N287=1,'Artifact Ledger'!O287&gt;='Artifact Ledger'!G287),'Artifact Ledger'!K287,0))&lt;0.000001,1,0)</x:f>
        <x:v>1</x:v>
      </x:c>
      <x:c r="F1611" s="21" t="n">
        <x:v>1</x:v>
      </x:c>
      <x:c r="G1611" s="23" t="str">
        <x:f>IF(E1611=F1611,"PASS","FAIL")</x:f>
        <x:v>PASS</x:v>
      </x:c>
    </x:row>
    <x:row r="1612">
      <x:c r="B1612" s="21" t="str">
        <x:v>A01606</x:v>
      </x:c>
      <x:c r="C1612" s="21" t="str">
        <x:v>artifact</x:v>
      </x:c>
      <x:c r="D1612" s="21" t="str">
        <x:v>artifact 281 planning state</x:v>
      </x:c>
      <x:c r="E1612" s="21" t="n">
        <x:f>IF(AND('Artifact Ledger'!Q287="OPEN",'Artifact Ledger'!R287="HOLD"),1,0)</x:f>
        <x:v>1</x:v>
      </x:c>
      <x:c r="F1612" s="21" t="n">
        <x:v>1</x:v>
      </x:c>
      <x:c r="G1612" s="23" t="str">
        <x:f>IF(E1612=F1612,"PASS","FAIL")</x:f>
        <x:v>PASS</x:v>
      </x:c>
    </x:row>
    <x:row r="1613">
      <x:c r="B1613" s="21" t="str">
        <x:v>A01607</x:v>
      </x:c>
      <x:c r="C1613" s="21" t="str">
        <x:v>artifact</x:v>
      </x:c>
      <x:c r="D1613" s="21" t="str">
        <x:v>artifact 282 eligibility equation</x:v>
      </x:c>
      <x:c r="E1613" s="21" t="n">
        <x:f>IF(ABS('Artifact Ledger'!P288-IF(AND('Artifact Ledger'!L288=1,'Artifact Ledger'!M288=1,'Artifact Ledger'!N288=1,'Artifact Ledger'!O288&gt;='Artifact Ledger'!G288),'Artifact Ledger'!K288,0))&lt;0.000001,1,0)</x:f>
        <x:v>1</x:v>
      </x:c>
      <x:c r="F1613" s="21" t="n">
        <x:v>1</x:v>
      </x:c>
      <x:c r="G1613" s="23" t="str">
        <x:f>IF(E1613=F1613,"PASS","FAIL")</x:f>
        <x:v>PASS</x:v>
      </x:c>
    </x:row>
    <x:row r="1614">
      <x:c r="B1614" s="21" t="str">
        <x:v>A01608</x:v>
      </x:c>
      <x:c r="C1614" s="21" t="str">
        <x:v>artifact</x:v>
      </x:c>
      <x:c r="D1614" s="21" t="str">
        <x:v>artifact 282 planning state</x:v>
      </x:c>
      <x:c r="E1614" s="21" t="n">
        <x:f>IF(AND('Artifact Ledger'!Q288="OPEN",'Artifact Ledger'!R288="HOLD"),1,0)</x:f>
        <x:v>1</x:v>
      </x:c>
      <x:c r="F1614" s="21" t="n">
        <x:v>1</x:v>
      </x:c>
      <x:c r="G1614" s="23" t="str">
        <x:f>IF(E1614=F1614,"PASS","FAIL")</x:f>
        <x:v>PASS</x:v>
      </x:c>
    </x:row>
    <x:row r="1615">
      <x:c r="B1615" s="21" t="str">
        <x:v>A01609</x:v>
      </x:c>
      <x:c r="C1615" s="21" t="str">
        <x:v>artifact</x:v>
      </x:c>
      <x:c r="D1615" s="21" t="str">
        <x:v>artifact 283 eligibility equation</x:v>
      </x:c>
      <x:c r="E1615" s="21" t="n">
        <x:f>IF(ABS('Artifact Ledger'!P289-IF(AND('Artifact Ledger'!L289=1,'Artifact Ledger'!M289=1,'Artifact Ledger'!N289=1,'Artifact Ledger'!O289&gt;='Artifact Ledger'!G289),'Artifact Ledger'!K289,0))&lt;0.000001,1,0)</x:f>
        <x:v>1</x:v>
      </x:c>
      <x:c r="F1615" s="21" t="n">
        <x:v>1</x:v>
      </x:c>
      <x:c r="G1615" s="23" t="str">
        <x:f>IF(E1615=F1615,"PASS","FAIL")</x:f>
        <x:v>PASS</x:v>
      </x:c>
    </x:row>
    <x:row r="1616">
      <x:c r="B1616" s="21" t="str">
        <x:v>A01610</x:v>
      </x:c>
      <x:c r="C1616" s="21" t="str">
        <x:v>artifact</x:v>
      </x:c>
      <x:c r="D1616" s="21" t="str">
        <x:v>artifact 283 planning state</x:v>
      </x:c>
      <x:c r="E1616" s="21" t="n">
        <x:f>IF(AND('Artifact Ledger'!Q289="OPEN",'Artifact Ledger'!R289="HOLD"),1,0)</x:f>
        <x:v>1</x:v>
      </x:c>
      <x:c r="F1616" s="21" t="n">
        <x:v>1</x:v>
      </x:c>
      <x:c r="G1616" s="23" t="str">
        <x:f>IF(E1616=F1616,"PASS","FAIL")</x:f>
        <x:v>PASS</x:v>
      </x:c>
    </x:row>
    <x:row r="1617">
      <x:c r="B1617" s="21" t="str">
        <x:v>A01611</x:v>
      </x:c>
      <x:c r="C1617" s="21" t="str">
        <x:v>artifact</x:v>
      </x:c>
      <x:c r="D1617" s="21" t="str">
        <x:v>artifact 284 eligibility equation</x:v>
      </x:c>
      <x:c r="E1617" s="21" t="n">
        <x:f>IF(ABS('Artifact Ledger'!P290-IF(AND('Artifact Ledger'!L290=1,'Artifact Ledger'!M290=1,'Artifact Ledger'!N290=1,'Artifact Ledger'!O290&gt;='Artifact Ledger'!G290),'Artifact Ledger'!K290,0))&lt;0.000001,1,0)</x:f>
        <x:v>1</x:v>
      </x:c>
      <x:c r="F1617" s="21" t="n">
        <x:v>1</x:v>
      </x:c>
      <x:c r="G1617" s="23" t="str">
        <x:f>IF(E1617=F1617,"PASS","FAIL")</x:f>
        <x:v>PASS</x:v>
      </x:c>
    </x:row>
    <x:row r="1618">
      <x:c r="B1618" s="21" t="str">
        <x:v>A01612</x:v>
      </x:c>
      <x:c r="C1618" s="21" t="str">
        <x:v>artifact</x:v>
      </x:c>
      <x:c r="D1618" s="21" t="str">
        <x:v>artifact 284 planning state</x:v>
      </x:c>
      <x:c r="E1618" s="21" t="n">
        <x:f>IF(AND('Artifact Ledger'!Q290="OPEN",'Artifact Ledger'!R290="HOLD"),1,0)</x:f>
        <x:v>1</x:v>
      </x:c>
      <x:c r="F1618" s="21" t="n">
        <x:v>1</x:v>
      </x:c>
      <x:c r="G1618" s="23" t="str">
        <x:f>IF(E1618=F1618,"PASS","FAIL")</x:f>
        <x:v>PASS</x:v>
      </x:c>
    </x:row>
    <x:row r="1619">
      <x:c r="B1619" s="21" t="str">
        <x:v>A01613</x:v>
      </x:c>
      <x:c r="C1619" s="21" t="str">
        <x:v>artifact</x:v>
      </x:c>
      <x:c r="D1619" s="21" t="str">
        <x:v>artifact 285 eligibility equation</x:v>
      </x:c>
      <x:c r="E1619" s="21" t="n">
        <x:f>IF(ABS('Artifact Ledger'!P291-IF(AND('Artifact Ledger'!L291=1,'Artifact Ledger'!M291=1,'Artifact Ledger'!N291=1,'Artifact Ledger'!O291&gt;='Artifact Ledger'!G291),'Artifact Ledger'!K291,0))&lt;0.000001,1,0)</x:f>
        <x:v>1</x:v>
      </x:c>
      <x:c r="F1619" s="21" t="n">
        <x:v>1</x:v>
      </x:c>
      <x:c r="G1619" s="23" t="str">
        <x:f>IF(E1619=F1619,"PASS","FAIL")</x:f>
        <x:v>PASS</x:v>
      </x:c>
    </x:row>
    <x:row r="1620">
      <x:c r="B1620" s="21" t="str">
        <x:v>A01614</x:v>
      </x:c>
      <x:c r="C1620" s="21" t="str">
        <x:v>artifact</x:v>
      </x:c>
      <x:c r="D1620" s="21" t="str">
        <x:v>artifact 285 planning state</x:v>
      </x:c>
      <x:c r="E1620" s="21" t="n">
        <x:f>IF(AND('Artifact Ledger'!Q291="OPEN",'Artifact Ledger'!R291="HOLD"),1,0)</x:f>
        <x:v>1</x:v>
      </x:c>
      <x:c r="F1620" s="21" t="n">
        <x:v>1</x:v>
      </x:c>
      <x:c r="G1620" s="23" t="str">
        <x:f>IF(E1620=F1620,"PASS","FAIL")</x:f>
        <x:v>PASS</x:v>
      </x:c>
    </x:row>
    <x:row r="1621">
      <x:c r="B1621" s="21" t="str">
        <x:v>A01615</x:v>
      </x:c>
      <x:c r="C1621" s="21" t="str">
        <x:v>artifact</x:v>
      </x:c>
      <x:c r="D1621" s="21" t="str">
        <x:v>artifact 286 eligibility equation</x:v>
      </x:c>
      <x:c r="E1621" s="21" t="n">
        <x:f>IF(ABS('Artifact Ledger'!P292-IF(AND('Artifact Ledger'!L292=1,'Artifact Ledger'!M292=1,'Artifact Ledger'!N292=1,'Artifact Ledger'!O292&gt;='Artifact Ledger'!G292),'Artifact Ledger'!K292,0))&lt;0.000001,1,0)</x:f>
        <x:v>1</x:v>
      </x:c>
      <x:c r="F1621" s="21" t="n">
        <x:v>1</x:v>
      </x:c>
      <x:c r="G1621" s="23" t="str">
        <x:f>IF(E1621=F1621,"PASS","FAIL")</x:f>
        <x:v>PASS</x:v>
      </x:c>
    </x:row>
    <x:row r="1622">
      <x:c r="B1622" s="21" t="str">
        <x:v>A01616</x:v>
      </x:c>
      <x:c r="C1622" s="21" t="str">
        <x:v>artifact</x:v>
      </x:c>
      <x:c r="D1622" s="21" t="str">
        <x:v>artifact 286 planning state</x:v>
      </x:c>
      <x:c r="E1622" s="21" t="n">
        <x:f>IF(AND('Artifact Ledger'!Q292="OPEN",'Artifact Ledger'!R292="HOLD"),1,0)</x:f>
        <x:v>1</x:v>
      </x:c>
      <x:c r="F1622" s="21" t="n">
        <x:v>1</x:v>
      </x:c>
      <x:c r="G1622" s="23" t="str">
        <x:f>IF(E1622=F1622,"PASS","FAIL")</x:f>
        <x:v>PASS</x:v>
      </x:c>
    </x:row>
    <x:row r="1623">
      <x:c r="B1623" s="21" t="str">
        <x:v>A01617</x:v>
      </x:c>
      <x:c r="C1623" s="21" t="str">
        <x:v>artifact</x:v>
      </x:c>
      <x:c r="D1623" s="21" t="str">
        <x:v>artifact 287 eligibility equation</x:v>
      </x:c>
      <x:c r="E1623" s="21" t="n">
        <x:f>IF(ABS('Artifact Ledger'!P293-IF(AND('Artifact Ledger'!L293=1,'Artifact Ledger'!M293=1,'Artifact Ledger'!N293=1,'Artifact Ledger'!O293&gt;='Artifact Ledger'!G293),'Artifact Ledger'!K293,0))&lt;0.000001,1,0)</x:f>
        <x:v>1</x:v>
      </x:c>
      <x:c r="F1623" s="21" t="n">
        <x:v>1</x:v>
      </x:c>
      <x:c r="G1623" s="23" t="str">
        <x:f>IF(E1623=F1623,"PASS","FAIL")</x:f>
        <x:v>PASS</x:v>
      </x:c>
    </x:row>
    <x:row r="1624">
      <x:c r="B1624" s="21" t="str">
        <x:v>A01618</x:v>
      </x:c>
      <x:c r="C1624" s="21" t="str">
        <x:v>artifact</x:v>
      </x:c>
      <x:c r="D1624" s="21" t="str">
        <x:v>artifact 287 planning state</x:v>
      </x:c>
      <x:c r="E1624" s="21" t="n">
        <x:f>IF(AND('Artifact Ledger'!Q293="OPEN",'Artifact Ledger'!R293="HOLD"),1,0)</x:f>
        <x:v>1</x:v>
      </x:c>
      <x:c r="F1624" s="21" t="n">
        <x:v>1</x:v>
      </x:c>
      <x:c r="G1624" s="23" t="str">
        <x:f>IF(E1624=F1624,"PASS","FAIL")</x:f>
        <x:v>PASS</x:v>
      </x:c>
    </x:row>
    <x:row r="1625">
      <x:c r="B1625" s="21" t="str">
        <x:v>A01619</x:v>
      </x:c>
      <x:c r="C1625" s="21" t="str">
        <x:v>artifact</x:v>
      </x:c>
      <x:c r="D1625" s="21" t="str">
        <x:v>artifact 288 eligibility equation</x:v>
      </x:c>
      <x:c r="E1625" s="21" t="n">
        <x:f>IF(ABS('Artifact Ledger'!P294-IF(AND('Artifact Ledger'!L294=1,'Artifact Ledger'!M294=1,'Artifact Ledger'!N294=1,'Artifact Ledger'!O294&gt;='Artifact Ledger'!G294),'Artifact Ledger'!K294,0))&lt;0.000001,1,0)</x:f>
        <x:v>1</x:v>
      </x:c>
      <x:c r="F1625" s="21" t="n">
        <x:v>1</x:v>
      </x:c>
      <x:c r="G1625" s="23" t="str">
        <x:f>IF(E1625=F1625,"PASS","FAIL")</x:f>
        <x:v>PASS</x:v>
      </x:c>
    </x:row>
    <x:row r="1626">
      <x:c r="B1626" s="21" t="str">
        <x:v>A01620</x:v>
      </x:c>
      <x:c r="C1626" s="21" t="str">
        <x:v>artifact</x:v>
      </x:c>
      <x:c r="D1626" s="21" t="str">
        <x:v>artifact 288 planning state</x:v>
      </x:c>
      <x:c r="E1626" s="21" t="n">
        <x:f>IF(AND('Artifact Ledger'!Q294="OPEN",'Artifact Ledger'!R294="HOLD"),1,0)</x:f>
        <x:v>1</x:v>
      </x:c>
      <x:c r="F1626" s="21" t="n">
        <x:v>1</x:v>
      </x:c>
      <x:c r="G1626" s="23" t="str">
        <x:f>IF(E1626=F1626,"PASS","FAIL")</x:f>
        <x:v>PASS</x:v>
      </x:c>
    </x:row>
    <x:row r="1627">
      <x:c r="B1627" s="21" t="str">
        <x:v>A01621</x:v>
      </x:c>
      <x:c r="C1627" s="21" t="str">
        <x:v>artifact</x:v>
      </x:c>
      <x:c r="D1627" s="21" t="str">
        <x:v>artifact 289 eligibility equation</x:v>
      </x:c>
      <x:c r="E1627" s="21" t="n">
        <x:f>IF(ABS('Artifact Ledger'!P295-IF(AND('Artifact Ledger'!L295=1,'Artifact Ledger'!M295=1,'Artifact Ledger'!N295=1,'Artifact Ledger'!O295&gt;='Artifact Ledger'!G295),'Artifact Ledger'!K295,0))&lt;0.000001,1,0)</x:f>
        <x:v>1</x:v>
      </x:c>
      <x:c r="F1627" s="21" t="n">
        <x:v>1</x:v>
      </x:c>
      <x:c r="G1627" s="23" t="str">
        <x:f>IF(E1627=F1627,"PASS","FAIL")</x:f>
        <x:v>PASS</x:v>
      </x:c>
    </x:row>
    <x:row r="1628">
      <x:c r="B1628" s="21" t="str">
        <x:v>A01622</x:v>
      </x:c>
      <x:c r="C1628" s="21" t="str">
        <x:v>artifact</x:v>
      </x:c>
      <x:c r="D1628" s="21" t="str">
        <x:v>artifact 289 planning state</x:v>
      </x:c>
      <x:c r="E1628" s="21" t="n">
        <x:f>IF(AND('Artifact Ledger'!Q295="OPEN",'Artifact Ledger'!R295="HOLD"),1,0)</x:f>
        <x:v>1</x:v>
      </x:c>
      <x:c r="F1628" s="21" t="n">
        <x:v>1</x:v>
      </x:c>
      <x:c r="G1628" s="23" t="str">
        <x:f>IF(E1628=F1628,"PASS","FAIL")</x:f>
        <x:v>PASS</x:v>
      </x:c>
    </x:row>
    <x:row r="1629">
      <x:c r="B1629" s="21" t="str">
        <x:v>A01623</x:v>
      </x:c>
      <x:c r="C1629" s="21" t="str">
        <x:v>artifact</x:v>
      </x:c>
      <x:c r="D1629" s="21" t="str">
        <x:v>artifact 290 eligibility equation</x:v>
      </x:c>
      <x:c r="E1629" s="21" t="n">
        <x:f>IF(ABS('Artifact Ledger'!P296-IF(AND('Artifact Ledger'!L296=1,'Artifact Ledger'!M296=1,'Artifact Ledger'!N296=1,'Artifact Ledger'!O296&gt;='Artifact Ledger'!G296),'Artifact Ledger'!K296,0))&lt;0.000001,1,0)</x:f>
        <x:v>1</x:v>
      </x:c>
      <x:c r="F1629" s="21" t="n">
        <x:v>1</x:v>
      </x:c>
      <x:c r="G1629" s="23" t="str">
        <x:f>IF(E1629=F1629,"PASS","FAIL")</x:f>
        <x:v>PASS</x:v>
      </x:c>
    </x:row>
    <x:row r="1630">
      <x:c r="B1630" s="21" t="str">
        <x:v>A01624</x:v>
      </x:c>
      <x:c r="C1630" s="21" t="str">
        <x:v>artifact</x:v>
      </x:c>
      <x:c r="D1630" s="21" t="str">
        <x:v>artifact 290 planning state</x:v>
      </x:c>
      <x:c r="E1630" s="21" t="n">
        <x:f>IF(AND('Artifact Ledger'!Q296="OPEN",'Artifact Ledger'!R296="HOLD"),1,0)</x:f>
        <x:v>1</x:v>
      </x:c>
      <x:c r="F1630" s="21" t="n">
        <x:v>1</x:v>
      </x:c>
      <x:c r="G1630" s="23" t="str">
        <x:f>IF(E1630=F1630,"PASS","FAIL")</x:f>
        <x:v>PASS</x:v>
      </x:c>
    </x:row>
    <x:row r="1631">
      <x:c r="B1631" s="21" t="str">
        <x:v>A01625</x:v>
      </x:c>
      <x:c r="C1631" s="21" t="str">
        <x:v>artifact</x:v>
      </x:c>
      <x:c r="D1631" s="21" t="str">
        <x:v>artifact 291 eligibility equation</x:v>
      </x:c>
      <x:c r="E1631" s="21" t="n">
        <x:f>IF(ABS('Artifact Ledger'!P297-IF(AND('Artifact Ledger'!L297=1,'Artifact Ledger'!M297=1,'Artifact Ledger'!N297=1,'Artifact Ledger'!O297&gt;='Artifact Ledger'!G297),'Artifact Ledger'!K297,0))&lt;0.000001,1,0)</x:f>
        <x:v>1</x:v>
      </x:c>
      <x:c r="F1631" s="21" t="n">
        <x:v>1</x:v>
      </x:c>
      <x:c r="G1631" s="23" t="str">
        <x:f>IF(E1631=F1631,"PASS","FAIL")</x:f>
        <x:v>PASS</x:v>
      </x:c>
    </x:row>
    <x:row r="1632">
      <x:c r="B1632" s="21" t="str">
        <x:v>A01626</x:v>
      </x:c>
      <x:c r="C1632" s="21" t="str">
        <x:v>artifact</x:v>
      </x:c>
      <x:c r="D1632" s="21" t="str">
        <x:v>artifact 291 planning state</x:v>
      </x:c>
      <x:c r="E1632" s="21" t="n">
        <x:f>IF(AND('Artifact Ledger'!Q297="OPEN",'Artifact Ledger'!R297="HOLD"),1,0)</x:f>
        <x:v>1</x:v>
      </x:c>
      <x:c r="F1632" s="21" t="n">
        <x:v>1</x:v>
      </x:c>
      <x:c r="G1632" s="23" t="str">
        <x:f>IF(E1632=F1632,"PASS","FAIL")</x:f>
        <x:v>PASS</x:v>
      </x:c>
    </x:row>
    <x:row r="1633">
      <x:c r="B1633" s="21" t="str">
        <x:v>A01627</x:v>
      </x:c>
      <x:c r="C1633" s="21" t="str">
        <x:v>artifact</x:v>
      </x:c>
      <x:c r="D1633" s="21" t="str">
        <x:v>artifact 292 eligibility equation</x:v>
      </x:c>
      <x:c r="E1633" s="21" t="n">
        <x:f>IF(ABS('Artifact Ledger'!P298-IF(AND('Artifact Ledger'!L298=1,'Artifact Ledger'!M298=1,'Artifact Ledger'!N298=1,'Artifact Ledger'!O298&gt;='Artifact Ledger'!G298),'Artifact Ledger'!K298,0))&lt;0.000001,1,0)</x:f>
        <x:v>1</x:v>
      </x:c>
      <x:c r="F1633" s="21" t="n">
        <x:v>1</x:v>
      </x:c>
      <x:c r="G1633" s="23" t="str">
        <x:f>IF(E1633=F1633,"PASS","FAIL")</x:f>
        <x:v>PASS</x:v>
      </x:c>
    </x:row>
    <x:row r="1634">
      <x:c r="B1634" s="21" t="str">
        <x:v>A01628</x:v>
      </x:c>
      <x:c r="C1634" s="21" t="str">
        <x:v>artifact</x:v>
      </x:c>
      <x:c r="D1634" s="21" t="str">
        <x:v>artifact 292 planning state</x:v>
      </x:c>
      <x:c r="E1634" s="21" t="n">
        <x:f>IF(AND('Artifact Ledger'!Q298="OPEN",'Artifact Ledger'!R298="HOLD"),1,0)</x:f>
        <x:v>1</x:v>
      </x:c>
      <x:c r="F1634" s="21" t="n">
        <x:v>1</x:v>
      </x:c>
      <x:c r="G1634" s="23" t="str">
        <x:f>IF(E1634=F1634,"PASS","FAIL")</x:f>
        <x:v>PASS</x:v>
      </x:c>
    </x:row>
    <x:row r="1635">
      <x:c r="B1635" s="21" t="str">
        <x:v>A01629</x:v>
      </x:c>
      <x:c r="C1635" s="21" t="str">
        <x:v>artifact</x:v>
      </x:c>
      <x:c r="D1635" s="21" t="str">
        <x:v>artifact 293 eligibility equation</x:v>
      </x:c>
      <x:c r="E1635" s="21" t="n">
        <x:f>IF(ABS('Artifact Ledger'!P299-IF(AND('Artifact Ledger'!L299=1,'Artifact Ledger'!M299=1,'Artifact Ledger'!N299=1,'Artifact Ledger'!O299&gt;='Artifact Ledger'!G299),'Artifact Ledger'!K299,0))&lt;0.000001,1,0)</x:f>
        <x:v>1</x:v>
      </x:c>
      <x:c r="F1635" s="21" t="n">
        <x:v>1</x:v>
      </x:c>
      <x:c r="G1635" s="23" t="str">
        <x:f>IF(E1635=F1635,"PASS","FAIL")</x:f>
        <x:v>PASS</x:v>
      </x:c>
    </x:row>
    <x:row r="1636">
      <x:c r="B1636" s="21" t="str">
        <x:v>A01630</x:v>
      </x:c>
      <x:c r="C1636" s="21" t="str">
        <x:v>artifact</x:v>
      </x:c>
      <x:c r="D1636" s="21" t="str">
        <x:v>artifact 293 planning state</x:v>
      </x:c>
      <x:c r="E1636" s="21" t="n">
        <x:f>IF(AND('Artifact Ledger'!Q299="OPEN",'Artifact Ledger'!R299="HOLD"),1,0)</x:f>
        <x:v>1</x:v>
      </x:c>
      <x:c r="F1636" s="21" t="n">
        <x:v>1</x:v>
      </x:c>
      <x:c r="G1636" s="23" t="str">
        <x:f>IF(E1636=F1636,"PASS","FAIL")</x:f>
        <x:v>PASS</x:v>
      </x:c>
    </x:row>
    <x:row r="1637">
      <x:c r="B1637" s="21" t="str">
        <x:v>A01631</x:v>
      </x:c>
      <x:c r="C1637" s="21" t="str">
        <x:v>artifact</x:v>
      </x:c>
      <x:c r="D1637" s="21" t="str">
        <x:v>artifact 294 eligibility equation</x:v>
      </x:c>
      <x:c r="E1637" s="21" t="n">
        <x:f>IF(ABS('Artifact Ledger'!P300-IF(AND('Artifact Ledger'!L300=1,'Artifact Ledger'!M300=1,'Artifact Ledger'!N300=1,'Artifact Ledger'!O300&gt;='Artifact Ledger'!G300),'Artifact Ledger'!K300,0))&lt;0.000001,1,0)</x:f>
        <x:v>1</x:v>
      </x:c>
      <x:c r="F1637" s="21" t="n">
        <x:v>1</x:v>
      </x:c>
      <x:c r="G1637" s="23" t="str">
        <x:f>IF(E1637=F1637,"PASS","FAIL")</x:f>
        <x:v>PASS</x:v>
      </x:c>
    </x:row>
    <x:row r="1638">
      <x:c r="B1638" s="21" t="str">
        <x:v>A01632</x:v>
      </x:c>
      <x:c r="C1638" s="21" t="str">
        <x:v>artifact</x:v>
      </x:c>
      <x:c r="D1638" s="21" t="str">
        <x:v>artifact 294 planning state</x:v>
      </x:c>
      <x:c r="E1638" s="21" t="n">
        <x:f>IF(AND('Artifact Ledger'!Q300="OPEN",'Artifact Ledger'!R300="HOLD"),1,0)</x:f>
        <x:v>1</x:v>
      </x:c>
      <x:c r="F1638" s="21" t="n">
        <x:v>1</x:v>
      </x:c>
      <x:c r="G1638" s="23" t="str">
        <x:f>IF(E1638=F1638,"PASS","FAIL")</x:f>
        <x:v>PASS</x:v>
      </x:c>
    </x:row>
    <x:row r="1639">
      <x:c r="B1639" s="21" t="str">
        <x:v>A01633</x:v>
      </x:c>
      <x:c r="C1639" s="21" t="str">
        <x:v>artifact</x:v>
      </x:c>
      <x:c r="D1639" s="21" t="str">
        <x:v>artifact 295 eligibility equation</x:v>
      </x:c>
      <x:c r="E1639" s="21" t="n">
        <x:f>IF(ABS('Artifact Ledger'!P301-IF(AND('Artifact Ledger'!L301=1,'Artifact Ledger'!M301=1,'Artifact Ledger'!N301=1,'Artifact Ledger'!O301&gt;='Artifact Ledger'!G301),'Artifact Ledger'!K301,0))&lt;0.000001,1,0)</x:f>
        <x:v>1</x:v>
      </x:c>
      <x:c r="F1639" s="21" t="n">
        <x:v>1</x:v>
      </x:c>
      <x:c r="G1639" s="23" t="str">
        <x:f>IF(E1639=F1639,"PASS","FAIL")</x:f>
        <x:v>PASS</x:v>
      </x:c>
    </x:row>
    <x:row r="1640">
      <x:c r="B1640" s="21" t="str">
        <x:v>A01634</x:v>
      </x:c>
      <x:c r="C1640" s="21" t="str">
        <x:v>artifact</x:v>
      </x:c>
      <x:c r="D1640" s="21" t="str">
        <x:v>artifact 295 planning state</x:v>
      </x:c>
      <x:c r="E1640" s="21" t="n">
        <x:f>IF(AND('Artifact Ledger'!Q301="OPEN",'Artifact Ledger'!R301="HOLD"),1,0)</x:f>
        <x:v>1</x:v>
      </x:c>
      <x:c r="F1640" s="21" t="n">
        <x:v>1</x:v>
      </x:c>
      <x:c r="G1640" s="23" t="str">
        <x:f>IF(E1640=F1640,"PASS","FAIL")</x:f>
        <x:v>PASS</x:v>
      </x:c>
    </x:row>
    <x:row r="1641">
      <x:c r="B1641" s="21" t="str">
        <x:v>A01635</x:v>
      </x:c>
      <x:c r="C1641" s="21" t="str">
        <x:v>artifact</x:v>
      </x:c>
      <x:c r="D1641" s="21" t="str">
        <x:v>artifact 296 eligibility equation</x:v>
      </x:c>
      <x:c r="E1641" s="21" t="n">
        <x:f>IF(ABS('Artifact Ledger'!P302-IF(AND('Artifact Ledger'!L302=1,'Artifact Ledger'!M302=1,'Artifact Ledger'!N302=1,'Artifact Ledger'!O302&gt;='Artifact Ledger'!G302),'Artifact Ledger'!K302,0))&lt;0.000001,1,0)</x:f>
        <x:v>1</x:v>
      </x:c>
      <x:c r="F1641" s="21" t="n">
        <x:v>1</x:v>
      </x:c>
      <x:c r="G1641" s="23" t="str">
        <x:f>IF(E1641=F1641,"PASS","FAIL")</x:f>
        <x:v>PASS</x:v>
      </x:c>
    </x:row>
    <x:row r="1642">
      <x:c r="B1642" s="21" t="str">
        <x:v>A01636</x:v>
      </x:c>
      <x:c r="C1642" s="21" t="str">
        <x:v>artifact</x:v>
      </x:c>
      <x:c r="D1642" s="21" t="str">
        <x:v>artifact 296 planning state</x:v>
      </x:c>
      <x:c r="E1642" s="21" t="n">
        <x:f>IF(AND('Artifact Ledger'!Q302="OPEN",'Artifact Ledger'!R302="HOLD"),1,0)</x:f>
        <x:v>1</x:v>
      </x:c>
      <x:c r="F1642" s="21" t="n">
        <x:v>1</x:v>
      </x:c>
      <x:c r="G1642" s="23" t="str">
        <x:f>IF(E1642=F1642,"PASS","FAIL")</x:f>
        <x:v>PASS</x:v>
      </x:c>
    </x:row>
    <x:row r="1643">
      <x:c r="B1643" s="21" t="str">
        <x:v>A01637</x:v>
      </x:c>
      <x:c r="C1643" s="21" t="str">
        <x:v>artifact</x:v>
      </x:c>
      <x:c r="D1643" s="21" t="str">
        <x:v>artifact 297 eligibility equation</x:v>
      </x:c>
      <x:c r="E1643" s="21" t="n">
        <x:f>IF(ABS('Artifact Ledger'!P303-IF(AND('Artifact Ledger'!L303=1,'Artifact Ledger'!M303=1,'Artifact Ledger'!N303=1,'Artifact Ledger'!O303&gt;='Artifact Ledger'!G303),'Artifact Ledger'!K303,0))&lt;0.000001,1,0)</x:f>
        <x:v>1</x:v>
      </x:c>
      <x:c r="F1643" s="21" t="n">
        <x:v>1</x:v>
      </x:c>
      <x:c r="G1643" s="23" t="str">
        <x:f>IF(E1643=F1643,"PASS","FAIL")</x:f>
        <x:v>PASS</x:v>
      </x:c>
    </x:row>
    <x:row r="1644">
      <x:c r="B1644" s="21" t="str">
        <x:v>A01638</x:v>
      </x:c>
      <x:c r="C1644" s="21" t="str">
        <x:v>artifact</x:v>
      </x:c>
      <x:c r="D1644" s="21" t="str">
        <x:v>artifact 297 planning state</x:v>
      </x:c>
      <x:c r="E1644" s="21" t="n">
        <x:f>IF(AND('Artifact Ledger'!Q303="OPEN",'Artifact Ledger'!R303="HOLD"),1,0)</x:f>
        <x:v>1</x:v>
      </x:c>
      <x:c r="F1644" s="21" t="n">
        <x:v>1</x:v>
      </x:c>
      <x:c r="G1644" s="23" t="str">
        <x:f>IF(E1644=F1644,"PASS","FAIL")</x:f>
        <x:v>PASS</x:v>
      </x:c>
    </x:row>
    <x:row r="1645">
      <x:c r="B1645" s="21" t="str">
        <x:v>A01639</x:v>
      </x:c>
      <x:c r="C1645" s="21" t="str">
        <x:v>artifact</x:v>
      </x:c>
      <x:c r="D1645" s="21" t="str">
        <x:v>artifact 298 eligibility equation</x:v>
      </x:c>
      <x:c r="E1645" s="21" t="n">
        <x:f>IF(ABS('Artifact Ledger'!P304-IF(AND('Artifact Ledger'!L304=1,'Artifact Ledger'!M304=1,'Artifact Ledger'!N304=1,'Artifact Ledger'!O304&gt;='Artifact Ledger'!G304),'Artifact Ledger'!K304,0))&lt;0.000001,1,0)</x:f>
        <x:v>1</x:v>
      </x:c>
      <x:c r="F1645" s="21" t="n">
        <x:v>1</x:v>
      </x:c>
      <x:c r="G1645" s="23" t="str">
        <x:f>IF(E1645=F1645,"PASS","FAIL")</x:f>
        <x:v>PASS</x:v>
      </x:c>
    </x:row>
    <x:row r="1646">
      <x:c r="B1646" s="21" t="str">
        <x:v>A01640</x:v>
      </x:c>
      <x:c r="C1646" s="21" t="str">
        <x:v>artifact</x:v>
      </x:c>
      <x:c r="D1646" s="21" t="str">
        <x:v>artifact 298 planning state</x:v>
      </x:c>
      <x:c r="E1646" s="21" t="n">
        <x:f>IF(AND('Artifact Ledger'!Q304="OPEN",'Artifact Ledger'!R304="HOLD"),1,0)</x:f>
        <x:v>1</x:v>
      </x:c>
      <x:c r="F1646" s="21" t="n">
        <x:v>1</x:v>
      </x:c>
      <x:c r="G1646" s="23" t="str">
        <x:f>IF(E1646=F1646,"PASS","FAIL")</x:f>
        <x:v>PASS</x:v>
      </x:c>
    </x:row>
    <x:row r="1647">
      <x:c r="B1647" s="21" t="str">
        <x:v>A01641</x:v>
      </x:c>
      <x:c r="C1647" s="21" t="str">
        <x:v>artifact</x:v>
      </x:c>
      <x:c r="D1647" s="21" t="str">
        <x:v>artifact 299 eligibility equation</x:v>
      </x:c>
      <x:c r="E1647" s="21" t="n">
        <x:f>IF(ABS('Artifact Ledger'!P305-IF(AND('Artifact Ledger'!L305=1,'Artifact Ledger'!M305=1,'Artifact Ledger'!N305=1,'Artifact Ledger'!O305&gt;='Artifact Ledger'!G305),'Artifact Ledger'!K305,0))&lt;0.000001,1,0)</x:f>
        <x:v>1</x:v>
      </x:c>
      <x:c r="F1647" s="21" t="n">
        <x:v>1</x:v>
      </x:c>
      <x:c r="G1647" s="23" t="str">
        <x:f>IF(E1647=F1647,"PASS","FAIL")</x:f>
        <x:v>PASS</x:v>
      </x:c>
    </x:row>
    <x:row r="1648">
      <x:c r="B1648" s="21" t="str">
        <x:v>A01642</x:v>
      </x:c>
      <x:c r="C1648" s="21" t="str">
        <x:v>artifact</x:v>
      </x:c>
      <x:c r="D1648" s="21" t="str">
        <x:v>artifact 299 planning state</x:v>
      </x:c>
      <x:c r="E1648" s="21" t="n">
        <x:f>IF(AND('Artifact Ledger'!Q305="OPEN",'Artifact Ledger'!R305="HOLD"),1,0)</x:f>
        <x:v>1</x:v>
      </x:c>
      <x:c r="F1648" s="21" t="n">
        <x:v>1</x:v>
      </x:c>
      <x:c r="G1648" s="23" t="str">
        <x:f>IF(E1648=F1648,"PASS","FAIL")</x:f>
        <x:v>PASS</x:v>
      </x:c>
    </x:row>
    <x:row r="1649">
      <x:c r="B1649" s="21" t="str">
        <x:v>A01643</x:v>
      </x:c>
      <x:c r="C1649" s="21" t="str">
        <x:v>artifact</x:v>
      </x:c>
      <x:c r="D1649" s="21" t="str">
        <x:v>artifact 300 eligibility equation</x:v>
      </x:c>
      <x:c r="E1649" s="21" t="n">
        <x:f>IF(ABS('Artifact Ledger'!P306-IF(AND('Artifact Ledger'!L306=1,'Artifact Ledger'!M306=1,'Artifact Ledger'!N306=1,'Artifact Ledger'!O306&gt;='Artifact Ledger'!G306),'Artifact Ledger'!K306,0))&lt;0.000001,1,0)</x:f>
        <x:v>1</x:v>
      </x:c>
      <x:c r="F1649" s="21" t="n">
        <x:v>1</x:v>
      </x:c>
      <x:c r="G1649" s="23" t="str">
        <x:f>IF(E1649=F1649,"PASS","FAIL")</x:f>
        <x:v>PASS</x:v>
      </x:c>
    </x:row>
    <x:row r="1650">
      <x:c r="B1650" s="21" t="str">
        <x:v>A01644</x:v>
      </x:c>
      <x:c r="C1650" s="21" t="str">
        <x:v>artifact</x:v>
      </x:c>
      <x:c r="D1650" s="21" t="str">
        <x:v>artifact 300 planning state</x:v>
      </x:c>
      <x:c r="E1650" s="21" t="n">
        <x:f>IF(AND('Artifact Ledger'!Q306="OPEN",'Artifact Ledger'!R306="HOLD"),1,0)</x:f>
        <x:v>1</x:v>
      </x:c>
      <x:c r="F1650" s="21" t="n">
        <x:v>1</x:v>
      </x:c>
      <x:c r="G1650" s="23" t="str">
        <x:f>IF(E1650=F1650,"PASS","FAIL")</x:f>
        <x:v>PASS</x:v>
      </x:c>
    </x:row>
    <x:row r="1651">
      <x:c r="B1651" s="21" t="str">
        <x:v>A01645</x:v>
      </x:c>
      <x:c r="C1651" s="21" t="str">
        <x:v>artifact</x:v>
      </x:c>
      <x:c r="D1651" s="21" t="str">
        <x:v>artifact 301 eligibility equation</x:v>
      </x:c>
      <x:c r="E1651" s="21" t="n">
        <x:f>IF(ABS('Artifact Ledger'!P307-IF(AND('Artifact Ledger'!L307=1,'Artifact Ledger'!M307=1,'Artifact Ledger'!N307=1,'Artifact Ledger'!O307&gt;='Artifact Ledger'!G307),'Artifact Ledger'!K307,0))&lt;0.000001,1,0)</x:f>
        <x:v>1</x:v>
      </x:c>
      <x:c r="F1651" s="21" t="n">
        <x:v>1</x:v>
      </x:c>
      <x:c r="G1651" s="23" t="str">
        <x:f>IF(E1651=F1651,"PASS","FAIL")</x:f>
        <x:v>PASS</x:v>
      </x:c>
    </x:row>
    <x:row r="1652">
      <x:c r="B1652" s="21" t="str">
        <x:v>A01646</x:v>
      </x:c>
      <x:c r="C1652" s="21" t="str">
        <x:v>artifact</x:v>
      </x:c>
      <x:c r="D1652" s="21" t="str">
        <x:v>artifact 301 planning state</x:v>
      </x:c>
      <x:c r="E1652" s="21" t="n">
        <x:f>IF(AND('Artifact Ledger'!Q307="OPEN",'Artifact Ledger'!R307="HOLD"),1,0)</x:f>
        <x:v>1</x:v>
      </x:c>
      <x:c r="F1652" s="21" t="n">
        <x:v>1</x:v>
      </x:c>
      <x:c r="G1652" s="23" t="str">
        <x:f>IF(E1652=F1652,"PASS","FAIL")</x:f>
        <x:v>PASS</x:v>
      </x:c>
    </x:row>
    <x:row r="1653">
      <x:c r="B1653" s="21" t="str">
        <x:v>A01647</x:v>
      </x:c>
      <x:c r="C1653" s="21" t="str">
        <x:v>artifact</x:v>
      </x:c>
      <x:c r="D1653" s="21" t="str">
        <x:v>artifact 302 eligibility equation</x:v>
      </x:c>
      <x:c r="E1653" s="21" t="n">
        <x:f>IF(ABS('Artifact Ledger'!P308-IF(AND('Artifact Ledger'!L308=1,'Artifact Ledger'!M308=1,'Artifact Ledger'!N308=1,'Artifact Ledger'!O308&gt;='Artifact Ledger'!G308),'Artifact Ledger'!K308,0))&lt;0.000001,1,0)</x:f>
        <x:v>1</x:v>
      </x:c>
      <x:c r="F1653" s="21" t="n">
        <x:v>1</x:v>
      </x:c>
      <x:c r="G1653" s="23" t="str">
        <x:f>IF(E1653=F1653,"PASS","FAIL")</x:f>
        <x:v>PASS</x:v>
      </x:c>
    </x:row>
    <x:row r="1654">
      <x:c r="B1654" s="21" t="str">
        <x:v>A01648</x:v>
      </x:c>
      <x:c r="C1654" s="21" t="str">
        <x:v>artifact</x:v>
      </x:c>
      <x:c r="D1654" s="21" t="str">
        <x:v>artifact 302 planning state</x:v>
      </x:c>
      <x:c r="E1654" s="21" t="n">
        <x:f>IF(AND('Artifact Ledger'!Q308="OPEN",'Artifact Ledger'!R308="HOLD"),1,0)</x:f>
        <x:v>1</x:v>
      </x:c>
      <x:c r="F1654" s="21" t="n">
        <x:v>1</x:v>
      </x:c>
      <x:c r="G1654" s="23" t="str">
        <x:f>IF(E1654=F1654,"PASS","FAIL")</x:f>
        <x:v>PASS</x:v>
      </x:c>
    </x:row>
    <x:row r="1655">
      <x:c r="B1655" s="21" t="str">
        <x:v>A01649</x:v>
      </x:c>
      <x:c r="C1655" s="21" t="str">
        <x:v>artifact</x:v>
      </x:c>
      <x:c r="D1655" s="21" t="str">
        <x:v>artifact 303 eligibility equation</x:v>
      </x:c>
      <x:c r="E1655" s="21" t="n">
        <x:f>IF(ABS('Artifact Ledger'!P309-IF(AND('Artifact Ledger'!L309=1,'Artifact Ledger'!M309=1,'Artifact Ledger'!N309=1,'Artifact Ledger'!O309&gt;='Artifact Ledger'!G309),'Artifact Ledger'!K309,0))&lt;0.000001,1,0)</x:f>
        <x:v>1</x:v>
      </x:c>
      <x:c r="F1655" s="21" t="n">
        <x:v>1</x:v>
      </x:c>
      <x:c r="G1655" s="23" t="str">
        <x:f>IF(E1655=F1655,"PASS","FAIL")</x:f>
        <x:v>PASS</x:v>
      </x:c>
    </x:row>
    <x:row r="1656">
      <x:c r="B1656" s="21" t="str">
        <x:v>A01650</x:v>
      </x:c>
      <x:c r="C1656" s="21" t="str">
        <x:v>artifact</x:v>
      </x:c>
      <x:c r="D1656" s="21" t="str">
        <x:v>artifact 303 planning state</x:v>
      </x:c>
      <x:c r="E1656" s="21" t="n">
        <x:f>IF(AND('Artifact Ledger'!Q309="OPEN",'Artifact Ledger'!R309="HOLD"),1,0)</x:f>
        <x:v>1</x:v>
      </x:c>
      <x:c r="F1656" s="21" t="n">
        <x:v>1</x:v>
      </x:c>
      <x:c r="G1656" s="23" t="str">
        <x:f>IF(E1656=F1656,"PASS","FAIL")</x:f>
        <x:v>PASS</x:v>
      </x:c>
    </x:row>
    <x:row r="1657">
      <x:c r="B1657" s="21" t="str">
        <x:v>A01651</x:v>
      </x:c>
      <x:c r="C1657" s="21" t="str">
        <x:v>artifact</x:v>
      </x:c>
      <x:c r="D1657" s="21" t="str">
        <x:v>artifact 304 eligibility equation</x:v>
      </x:c>
      <x:c r="E1657" s="21" t="n">
        <x:f>IF(ABS('Artifact Ledger'!P310-IF(AND('Artifact Ledger'!L310=1,'Artifact Ledger'!M310=1,'Artifact Ledger'!N310=1,'Artifact Ledger'!O310&gt;='Artifact Ledger'!G310),'Artifact Ledger'!K310,0))&lt;0.000001,1,0)</x:f>
        <x:v>1</x:v>
      </x:c>
      <x:c r="F1657" s="21" t="n">
        <x:v>1</x:v>
      </x:c>
      <x:c r="G1657" s="23" t="str">
        <x:f>IF(E1657=F1657,"PASS","FAIL")</x:f>
        <x:v>PASS</x:v>
      </x:c>
    </x:row>
    <x:row r="1658">
      <x:c r="B1658" s="21" t="str">
        <x:v>A01652</x:v>
      </x:c>
      <x:c r="C1658" s="21" t="str">
        <x:v>artifact</x:v>
      </x:c>
      <x:c r="D1658" s="21" t="str">
        <x:v>artifact 304 planning state</x:v>
      </x:c>
      <x:c r="E1658" s="21" t="n">
        <x:f>IF(AND('Artifact Ledger'!Q310="OPEN",'Artifact Ledger'!R310="HOLD"),1,0)</x:f>
        <x:v>1</x:v>
      </x:c>
      <x:c r="F1658" s="21" t="n">
        <x:v>1</x:v>
      </x:c>
      <x:c r="G1658" s="23" t="str">
        <x:f>IF(E1658=F1658,"PASS","FAIL")</x:f>
        <x:v>PASS</x:v>
      </x:c>
    </x:row>
    <x:row r="1659">
      <x:c r="B1659" s="21" t="str">
        <x:v>A01653</x:v>
      </x:c>
      <x:c r="C1659" s="21" t="str">
        <x:v>artifact</x:v>
      </x:c>
      <x:c r="D1659" s="21" t="str">
        <x:v>artifact 305 eligibility equation</x:v>
      </x:c>
      <x:c r="E1659" s="21" t="n">
        <x:f>IF(ABS('Artifact Ledger'!P311-IF(AND('Artifact Ledger'!L311=1,'Artifact Ledger'!M311=1,'Artifact Ledger'!N311=1,'Artifact Ledger'!O311&gt;='Artifact Ledger'!G311),'Artifact Ledger'!K311,0))&lt;0.000001,1,0)</x:f>
        <x:v>1</x:v>
      </x:c>
      <x:c r="F1659" s="21" t="n">
        <x:v>1</x:v>
      </x:c>
      <x:c r="G1659" s="23" t="str">
        <x:f>IF(E1659=F1659,"PASS","FAIL")</x:f>
        <x:v>PASS</x:v>
      </x:c>
    </x:row>
    <x:row r="1660">
      <x:c r="B1660" s="21" t="str">
        <x:v>A01654</x:v>
      </x:c>
      <x:c r="C1660" s="21" t="str">
        <x:v>artifact</x:v>
      </x:c>
      <x:c r="D1660" s="21" t="str">
        <x:v>artifact 305 planning state</x:v>
      </x:c>
      <x:c r="E1660" s="21" t="n">
        <x:f>IF(AND('Artifact Ledger'!Q311="OPEN",'Artifact Ledger'!R311="HOLD"),1,0)</x:f>
        <x:v>1</x:v>
      </x:c>
      <x:c r="F1660" s="21" t="n">
        <x:v>1</x:v>
      </x:c>
      <x:c r="G1660" s="23" t="str">
        <x:f>IF(E1660=F1660,"PASS","FAIL")</x:f>
        <x:v>PASS</x:v>
      </x:c>
    </x:row>
    <x:row r="1661">
      <x:c r="B1661" s="21" t="str">
        <x:v>A01655</x:v>
      </x:c>
      <x:c r="C1661" s="21" t="str">
        <x:v>artifact</x:v>
      </x:c>
      <x:c r="D1661" s="21" t="str">
        <x:v>artifact 306 eligibility equation</x:v>
      </x:c>
      <x:c r="E1661" s="21" t="n">
        <x:f>IF(ABS('Artifact Ledger'!P312-IF(AND('Artifact Ledger'!L312=1,'Artifact Ledger'!M312=1,'Artifact Ledger'!N312=1,'Artifact Ledger'!O312&gt;='Artifact Ledger'!G312),'Artifact Ledger'!K312,0))&lt;0.000001,1,0)</x:f>
        <x:v>1</x:v>
      </x:c>
      <x:c r="F1661" s="21" t="n">
        <x:v>1</x:v>
      </x:c>
      <x:c r="G1661" s="23" t="str">
        <x:f>IF(E1661=F1661,"PASS","FAIL")</x:f>
        <x:v>PASS</x:v>
      </x:c>
    </x:row>
    <x:row r="1662">
      <x:c r="B1662" s="21" t="str">
        <x:v>A01656</x:v>
      </x:c>
      <x:c r="C1662" s="21" t="str">
        <x:v>artifact</x:v>
      </x:c>
      <x:c r="D1662" s="21" t="str">
        <x:v>artifact 306 planning state</x:v>
      </x:c>
      <x:c r="E1662" s="21" t="n">
        <x:f>IF(AND('Artifact Ledger'!Q312="OPEN",'Artifact Ledger'!R312="HOLD"),1,0)</x:f>
        <x:v>1</x:v>
      </x:c>
      <x:c r="F1662" s="21" t="n">
        <x:v>1</x:v>
      </x:c>
      <x:c r="G1662" s="23" t="str">
        <x:f>IF(E1662=F1662,"PASS","FAIL")</x:f>
        <x:v>PASS</x:v>
      </x:c>
    </x:row>
    <x:row r="1663">
      <x:c r="B1663" s="21" t="str">
        <x:v>A01657</x:v>
      </x:c>
      <x:c r="C1663" s="21" t="str">
        <x:v>artifact</x:v>
      </x:c>
      <x:c r="D1663" s="21" t="str">
        <x:v>artifact 307 eligibility equation</x:v>
      </x:c>
      <x:c r="E1663" s="21" t="n">
        <x:f>IF(ABS('Artifact Ledger'!P313-IF(AND('Artifact Ledger'!L313=1,'Artifact Ledger'!M313=1,'Artifact Ledger'!N313=1,'Artifact Ledger'!O313&gt;='Artifact Ledger'!G313),'Artifact Ledger'!K313,0))&lt;0.000001,1,0)</x:f>
        <x:v>1</x:v>
      </x:c>
      <x:c r="F1663" s="21" t="n">
        <x:v>1</x:v>
      </x:c>
      <x:c r="G1663" s="23" t="str">
        <x:f>IF(E1663=F1663,"PASS","FAIL")</x:f>
        <x:v>PASS</x:v>
      </x:c>
    </x:row>
    <x:row r="1664">
      <x:c r="B1664" s="21" t="str">
        <x:v>A01658</x:v>
      </x:c>
      <x:c r="C1664" s="21" t="str">
        <x:v>artifact</x:v>
      </x:c>
      <x:c r="D1664" s="21" t="str">
        <x:v>artifact 307 planning state</x:v>
      </x:c>
      <x:c r="E1664" s="21" t="n">
        <x:f>IF(AND('Artifact Ledger'!Q313="OPEN",'Artifact Ledger'!R313="HOLD"),1,0)</x:f>
        <x:v>1</x:v>
      </x:c>
      <x:c r="F1664" s="21" t="n">
        <x:v>1</x:v>
      </x:c>
      <x:c r="G1664" s="23" t="str">
        <x:f>IF(E1664=F1664,"PASS","FAIL")</x:f>
        <x:v>PASS</x:v>
      </x:c>
    </x:row>
    <x:row r="1665">
      <x:c r="B1665" s="21" t="str">
        <x:v>A01659</x:v>
      </x:c>
      <x:c r="C1665" s="21" t="str">
        <x:v>artifact</x:v>
      </x:c>
      <x:c r="D1665" s="21" t="str">
        <x:v>artifact 308 eligibility equation</x:v>
      </x:c>
      <x:c r="E1665" s="21" t="n">
        <x:f>IF(ABS('Artifact Ledger'!P314-IF(AND('Artifact Ledger'!L314=1,'Artifact Ledger'!M314=1,'Artifact Ledger'!N314=1,'Artifact Ledger'!O314&gt;='Artifact Ledger'!G314),'Artifact Ledger'!K314,0))&lt;0.000001,1,0)</x:f>
        <x:v>1</x:v>
      </x:c>
      <x:c r="F1665" s="21" t="n">
        <x:v>1</x:v>
      </x:c>
      <x:c r="G1665" s="23" t="str">
        <x:f>IF(E1665=F1665,"PASS","FAIL")</x:f>
        <x:v>PASS</x:v>
      </x:c>
    </x:row>
    <x:row r="1666">
      <x:c r="B1666" s="21" t="str">
        <x:v>A01660</x:v>
      </x:c>
      <x:c r="C1666" s="21" t="str">
        <x:v>artifact</x:v>
      </x:c>
      <x:c r="D1666" s="21" t="str">
        <x:v>artifact 308 planning state</x:v>
      </x:c>
      <x:c r="E1666" s="21" t="n">
        <x:f>IF(AND('Artifact Ledger'!Q314="OPEN",'Artifact Ledger'!R314="HOLD"),1,0)</x:f>
        <x:v>1</x:v>
      </x:c>
      <x:c r="F1666" s="21" t="n">
        <x:v>1</x:v>
      </x:c>
      <x:c r="G1666" s="23" t="str">
        <x:f>IF(E1666=F1666,"PASS","FAIL")</x:f>
        <x:v>PASS</x:v>
      </x:c>
    </x:row>
    <x:row r="1667">
      <x:c r="B1667" s="21" t="str">
        <x:v>A01661</x:v>
      </x:c>
      <x:c r="C1667" s="21" t="str">
        <x:v>artifact</x:v>
      </x:c>
      <x:c r="D1667" s="21" t="str">
        <x:v>artifact 309 eligibility equation</x:v>
      </x:c>
      <x:c r="E1667" s="21" t="n">
        <x:f>IF(ABS('Artifact Ledger'!P315-IF(AND('Artifact Ledger'!L315=1,'Artifact Ledger'!M315=1,'Artifact Ledger'!N315=1,'Artifact Ledger'!O315&gt;='Artifact Ledger'!G315),'Artifact Ledger'!K315,0))&lt;0.000001,1,0)</x:f>
        <x:v>1</x:v>
      </x:c>
      <x:c r="F1667" s="21" t="n">
        <x:v>1</x:v>
      </x:c>
      <x:c r="G1667" s="23" t="str">
        <x:f>IF(E1667=F1667,"PASS","FAIL")</x:f>
        <x:v>PASS</x:v>
      </x:c>
    </x:row>
    <x:row r="1668">
      <x:c r="B1668" s="21" t="str">
        <x:v>A01662</x:v>
      </x:c>
      <x:c r="C1668" s="21" t="str">
        <x:v>artifact</x:v>
      </x:c>
      <x:c r="D1668" s="21" t="str">
        <x:v>artifact 309 planning state</x:v>
      </x:c>
      <x:c r="E1668" s="21" t="n">
        <x:f>IF(AND('Artifact Ledger'!Q315="OPEN",'Artifact Ledger'!R315="HOLD"),1,0)</x:f>
        <x:v>1</x:v>
      </x:c>
      <x:c r="F1668" s="21" t="n">
        <x:v>1</x:v>
      </x:c>
      <x:c r="G1668" s="23" t="str">
        <x:f>IF(E1668=F1668,"PASS","FAIL")</x:f>
        <x:v>PASS</x:v>
      </x:c>
    </x:row>
    <x:row r="1669">
      <x:c r="B1669" s="21" t="str">
        <x:v>A01663</x:v>
      </x:c>
      <x:c r="C1669" s="21" t="str">
        <x:v>artifact</x:v>
      </x:c>
      <x:c r="D1669" s="21" t="str">
        <x:v>artifact 310 eligibility equation</x:v>
      </x:c>
      <x:c r="E1669" s="21" t="n">
        <x:f>IF(ABS('Artifact Ledger'!P316-IF(AND('Artifact Ledger'!L316=1,'Artifact Ledger'!M316=1,'Artifact Ledger'!N316=1,'Artifact Ledger'!O316&gt;='Artifact Ledger'!G316),'Artifact Ledger'!K316,0))&lt;0.000001,1,0)</x:f>
        <x:v>1</x:v>
      </x:c>
      <x:c r="F1669" s="21" t="n">
        <x:v>1</x:v>
      </x:c>
      <x:c r="G1669" s="23" t="str">
        <x:f>IF(E1669=F1669,"PASS","FAIL")</x:f>
        <x:v>PASS</x:v>
      </x:c>
    </x:row>
    <x:row r="1670">
      <x:c r="B1670" s="21" t="str">
        <x:v>A01664</x:v>
      </x:c>
      <x:c r="C1670" s="21" t="str">
        <x:v>artifact</x:v>
      </x:c>
      <x:c r="D1670" s="21" t="str">
        <x:v>artifact 310 planning state</x:v>
      </x:c>
      <x:c r="E1670" s="21" t="n">
        <x:f>IF(AND('Artifact Ledger'!Q316="OPEN",'Artifact Ledger'!R316="HOLD"),1,0)</x:f>
        <x:v>1</x:v>
      </x:c>
      <x:c r="F1670" s="21" t="n">
        <x:v>1</x:v>
      </x:c>
      <x:c r="G1670" s="23" t="str">
        <x:f>IF(E1670=F1670,"PASS","FAIL")</x:f>
        <x:v>PASS</x:v>
      </x:c>
    </x:row>
    <x:row r="1671">
      <x:c r="B1671" s="21" t="str">
        <x:v>A01665</x:v>
      </x:c>
      <x:c r="C1671" s="21" t="str">
        <x:v>artifact</x:v>
      </x:c>
      <x:c r="D1671" s="21" t="str">
        <x:v>artifact 311 eligibility equation</x:v>
      </x:c>
      <x:c r="E1671" s="21" t="n">
        <x:f>IF(ABS('Artifact Ledger'!P317-IF(AND('Artifact Ledger'!L317=1,'Artifact Ledger'!M317=1,'Artifact Ledger'!N317=1,'Artifact Ledger'!O317&gt;='Artifact Ledger'!G317),'Artifact Ledger'!K317,0))&lt;0.000001,1,0)</x:f>
        <x:v>1</x:v>
      </x:c>
      <x:c r="F1671" s="21" t="n">
        <x:v>1</x:v>
      </x:c>
      <x:c r="G1671" s="23" t="str">
        <x:f>IF(E1671=F1671,"PASS","FAIL")</x:f>
        <x:v>PASS</x:v>
      </x:c>
    </x:row>
    <x:row r="1672">
      <x:c r="B1672" s="21" t="str">
        <x:v>A01666</x:v>
      </x:c>
      <x:c r="C1672" s="21" t="str">
        <x:v>artifact</x:v>
      </x:c>
      <x:c r="D1672" s="21" t="str">
        <x:v>artifact 311 planning state</x:v>
      </x:c>
      <x:c r="E1672" s="21" t="n">
        <x:f>IF(AND('Artifact Ledger'!Q317="OPEN",'Artifact Ledger'!R317="HOLD"),1,0)</x:f>
        <x:v>1</x:v>
      </x:c>
      <x:c r="F1672" s="21" t="n">
        <x:v>1</x:v>
      </x:c>
      <x:c r="G1672" s="23" t="str">
        <x:f>IF(E1672=F1672,"PASS","FAIL")</x:f>
        <x:v>PASS</x:v>
      </x:c>
    </x:row>
    <x:row r="1673">
      <x:c r="B1673" s="21" t="str">
        <x:v>A01667</x:v>
      </x:c>
      <x:c r="C1673" s="21" t="str">
        <x:v>artifact</x:v>
      </x:c>
      <x:c r="D1673" s="21" t="str">
        <x:v>artifact 312 eligibility equation</x:v>
      </x:c>
      <x:c r="E1673" s="21" t="n">
        <x:f>IF(ABS('Artifact Ledger'!P318-IF(AND('Artifact Ledger'!L318=1,'Artifact Ledger'!M318=1,'Artifact Ledger'!N318=1,'Artifact Ledger'!O318&gt;='Artifact Ledger'!G318),'Artifact Ledger'!K318,0))&lt;0.000001,1,0)</x:f>
        <x:v>1</x:v>
      </x:c>
      <x:c r="F1673" s="21" t="n">
        <x:v>1</x:v>
      </x:c>
      <x:c r="G1673" s="23" t="str">
        <x:f>IF(E1673=F1673,"PASS","FAIL")</x:f>
        <x:v>PASS</x:v>
      </x:c>
    </x:row>
    <x:row r="1674">
      <x:c r="B1674" s="21" t="str">
        <x:v>A01668</x:v>
      </x:c>
      <x:c r="C1674" s="21" t="str">
        <x:v>artifact</x:v>
      </x:c>
      <x:c r="D1674" s="21" t="str">
        <x:v>artifact 312 planning state</x:v>
      </x:c>
      <x:c r="E1674" s="21" t="n">
        <x:f>IF(AND('Artifact Ledger'!Q318="OPEN",'Artifact Ledger'!R318="HOLD"),1,0)</x:f>
        <x:v>1</x:v>
      </x:c>
      <x:c r="F1674" s="21" t="n">
        <x:v>1</x:v>
      </x:c>
      <x:c r="G1674" s="23" t="str">
        <x:f>IF(E1674=F1674,"PASS","FAIL")</x:f>
        <x:v>PASS</x:v>
      </x:c>
    </x:row>
    <x:row r="1675">
      <x:c r="B1675" s="21" t="str">
        <x:v>A01669</x:v>
      </x:c>
      <x:c r="C1675" s="21" t="str">
        <x:v>artifact</x:v>
      </x:c>
      <x:c r="D1675" s="21" t="str">
        <x:v>artifact 313 eligibility equation</x:v>
      </x:c>
      <x:c r="E1675" s="21" t="n">
        <x:f>IF(ABS('Artifact Ledger'!P319-IF(AND('Artifact Ledger'!L319=1,'Artifact Ledger'!M319=1,'Artifact Ledger'!N319=1,'Artifact Ledger'!O319&gt;='Artifact Ledger'!G319),'Artifact Ledger'!K319,0))&lt;0.000001,1,0)</x:f>
        <x:v>1</x:v>
      </x:c>
      <x:c r="F1675" s="21" t="n">
        <x:v>1</x:v>
      </x:c>
      <x:c r="G1675" s="23" t="str">
        <x:f>IF(E1675=F1675,"PASS","FAIL")</x:f>
        <x:v>PASS</x:v>
      </x:c>
    </x:row>
    <x:row r="1676">
      <x:c r="B1676" s="21" t="str">
        <x:v>A01670</x:v>
      </x:c>
      <x:c r="C1676" s="21" t="str">
        <x:v>artifact</x:v>
      </x:c>
      <x:c r="D1676" s="21" t="str">
        <x:v>artifact 313 planning state</x:v>
      </x:c>
      <x:c r="E1676" s="21" t="n">
        <x:f>IF(AND('Artifact Ledger'!Q319="OPEN",'Artifact Ledger'!R319="HOLD"),1,0)</x:f>
        <x:v>1</x:v>
      </x:c>
      <x:c r="F1676" s="21" t="n">
        <x:v>1</x:v>
      </x:c>
      <x:c r="G1676" s="23" t="str">
        <x:f>IF(E1676=F1676,"PASS","FAIL")</x:f>
        <x:v>PASS</x:v>
      </x:c>
    </x:row>
    <x:row r="1677">
      <x:c r="B1677" s="21" t="str">
        <x:v>A01671</x:v>
      </x:c>
      <x:c r="C1677" s="21" t="str">
        <x:v>artifact</x:v>
      </x:c>
      <x:c r="D1677" s="21" t="str">
        <x:v>artifact 314 eligibility equation</x:v>
      </x:c>
      <x:c r="E1677" s="21" t="n">
        <x:f>IF(ABS('Artifact Ledger'!P320-IF(AND('Artifact Ledger'!L320=1,'Artifact Ledger'!M320=1,'Artifact Ledger'!N320=1,'Artifact Ledger'!O320&gt;='Artifact Ledger'!G320),'Artifact Ledger'!K320,0))&lt;0.000001,1,0)</x:f>
        <x:v>1</x:v>
      </x:c>
      <x:c r="F1677" s="21" t="n">
        <x:v>1</x:v>
      </x:c>
      <x:c r="G1677" s="23" t="str">
        <x:f>IF(E1677=F1677,"PASS","FAIL")</x:f>
        <x:v>PASS</x:v>
      </x:c>
    </x:row>
    <x:row r="1678">
      <x:c r="B1678" s="21" t="str">
        <x:v>A01672</x:v>
      </x:c>
      <x:c r="C1678" s="21" t="str">
        <x:v>artifact</x:v>
      </x:c>
      <x:c r="D1678" s="21" t="str">
        <x:v>artifact 314 planning state</x:v>
      </x:c>
      <x:c r="E1678" s="21" t="n">
        <x:f>IF(AND('Artifact Ledger'!Q320="OPEN",'Artifact Ledger'!R320="HOLD"),1,0)</x:f>
        <x:v>1</x:v>
      </x:c>
      <x:c r="F1678" s="21" t="n">
        <x:v>1</x:v>
      </x:c>
      <x:c r="G1678" s="23" t="str">
        <x:f>IF(E1678=F1678,"PASS","FAIL")</x:f>
        <x:v>PASS</x:v>
      </x:c>
    </x:row>
    <x:row r="1679">
      <x:c r="B1679" s="21" t="str">
        <x:v>A01673</x:v>
      </x:c>
      <x:c r="C1679" s="21" t="str">
        <x:v>artifact</x:v>
      </x:c>
      <x:c r="D1679" s="21" t="str">
        <x:v>artifact 315 eligibility equation</x:v>
      </x:c>
      <x:c r="E1679" s="21" t="n">
        <x:f>IF(ABS('Artifact Ledger'!P321-IF(AND('Artifact Ledger'!L321=1,'Artifact Ledger'!M321=1,'Artifact Ledger'!N321=1,'Artifact Ledger'!O321&gt;='Artifact Ledger'!G321),'Artifact Ledger'!K321,0))&lt;0.000001,1,0)</x:f>
        <x:v>1</x:v>
      </x:c>
      <x:c r="F1679" s="21" t="n">
        <x:v>1</x:v>
      </x:c>
      <x:c r="G1679" s="23" t="str">
        <x:f>IF(E1679=F1679,"PASS","FAIL")</x:f>
        <x:v>PASS</x:v>
      </x:c>
    </x:row>
    <x:row r="1680">
      <x:c r="B1680" s="21" t="str">
        <x:v>A01674</x:v>
      </x:c>
      <x:c r="C1680" s="21" t="str">
        <x:v>artifact</x:v>
      </x:c>
      <x:c r="D1680" s="21" t="str">
        <x:v>artifact 315 planning state</x:v>
      </x:c>
      <x:c r="E1680" s="21" t="n">
        <x:f>IF(AND('Artifact Ledger'!Q321="OPEN",'Artifact Ledger'!R321="HOLD"),1,0)</x:f>
        <x:v>1</x:v>
      </x:c>
      <x:c r="F1680" s="21" t="n">
        <x:v>1</x:v>
      </x:c>
      <x:c r="G1680" s="23" t="str">
        <x:f>IF(E1680=F1680,"PASS","FAIL")</x:f>
        <x:v>PASS</x:v>
      </x:c>
    </x:row>
    <x:row r="1681">
      <x:c r="B1681" s="21" t="str">
        <x:v>A01675</x:v>
      </x:c>
      <x:c r="C1681" s="21" t="str">
        <x:v>artifact</x:v>
      </x:c>
      <x:c r="D1681" s="21" t="str">
        <x:v>artifact 316 eligibility equation</x:v>
      </x:c>
      <x:c r="E1681" s="21" t="n">
        <x:f>IF(ABS('Artifact Ledger'!P322-IF(AND('Artifact Ledger'!L322=1,'Artifact Ledger'!M322=1,'Artifact Ledger'!N322=1,'Artifact Ledger'!O322&gt;='Artifact Ledger'!G322),'Artifact Ledger'!K322,0))&lt;0.000001,1,0)</x:f>
        <x:v>1</x:v>
      </x:c>
      <x:c r="F1681" s="21" t="n">
        <x:v>1</x:v>
      </x:c>
      <x:c r="G1681" s="23" t="str">
        <x:f>IF(E1681=F1681,"PASS","FAIL")</x:f>
        <x:v>PASS</x:v>
      </x:c>
    </x:row>
    <x:row r="1682">
      <x:c r="B1682" s="21" t="str">
        <x:v>A01676</x:v>
      </x:c>
      <x:c r="C1682" s="21" t="str">
        <x:v>artifact</x:v>
      </x:c>
      <x:c r="D1682" s="21" t="str">
        <x:v>artifact 316 planning state</x:v>
      </x:c>
      <x:c r="E1682" s="21" t="n">
        <x:f>IF(AND('Artifact Ledger'!Q322="OPEN",'Artifact Ledger'!R322="HOLD"),1,0)</x:f>
        <x:v>1</x:v>
      </x:c>
      <x:c r="F1682" s="21" t="n">
        <x:v>1</x:v>
      </x:c>
      <x:c r="G1682" s="23" t="str">
        <x:f>IF(E1682=F1682,"PASS","FAIL")</x:f>
        <x:v>PASS</x:v>
      </x:c>
    </x:row>
    <x:row r="1683">
      <x:c r="B1683" s="21" t="str">
        <x:v>A01677</x:v>
      </x:c>
      <x:c r="C1683" s="21" t="str">
        <x:v>artifact</x:v>
      </x:c>
      <x:c r="D1683" s="21" t="str">
        <x:v>artifact 317 eligibility equation</x:v>
      </x:c>
      <x:c r="E1683" s="21" t="n">
        <x:f>IF(ABS('Artifact Ledger'!P323-IF(AND('Artifact Ledger'!L323=1,'Artifact Ledger'!M323=1,'Artifact Ledger'!N323=1,'Artifact Ledger'!O323&gt;='Artifact Ledger'!G323),'Artifact Ledger'!K323,0))&lt;0.000001,1,0)</x:f>
        <x:v>1</x:v>
      </x:c>
      <x:c r="F1683" s="21" t="n">
        <x:v>1</x:v>
      </x:c>
      <x:c r="G1683" s="23" t="str">
        <x:f>IF(E1683=F1683,"PASS","FAIL")</x:f>
        <x:v>PASS</x:v>
      </x:c>
    </x:row>
    <x:row r="1684">
      <x:c r="B1684" s="21" t="str">
        <x:v>A01678</x:v>
      </x:c>
      <x:c r="C1684" s="21" t="str">
        <x:v>artifact</x:v>
      </x:c>
      <x:c r="D1684" s="21" t="str">
        <x:v>artifact 317 planning state</x:v>
      </x:c>
      <x:c r="E1684" s="21" t="n">
        <x:f>IF(AND('Artifact Ledger'!Q323="OPEN",'Artifact Ledger'!R323="HOLD"),1,0)</x:f>
        <x:v>1</x:v>
      </x:c>
      <x:c r="F1684" s="21" t="n">
        <x:v>1</x:v>
      </x:c>
      <x:c r="G1684" s="23" t="str">
        <x:f>IF(E1684=F1684,"PASS","FAIL")</x:f>
        <x:v>PASS</x:v>
      </x:c>
    </x:row>
    <x:row r="1685">
      <x:c r="B1685" s="21" t="str">
        <x:v>A01679</x:v>
      </x:c>
      <x:c r="C1685" s="21" t="str">
        <x:v>artifact</x:v>
      </x:c>
      <x:c r="D1685" s="21" t="str">
        <x:v>artifact 318 eligibility equation</x:v>
      </x:c>
      <x:c r="E1685" s="21" t="n">
        <x:f>IF(ABS('Artifact Ledger'!P324-IF(AND('Artifact Ledger'!L324=1,'Artifact Ledger'!M324=1,'Artifact Ledger'!N324=1,'Artifact Ledger'!O324&gt;='Artifact Ledger'!G324),'Artifact Ledger'!K324,0))&lt;0.000001,1,0)</x:f>
        <x:v>1</x:v>
      </x:c>
      <x:c r="F1685" s="21" t="n">
        <x:v>1</x:v>
      </x:c>
      <x:c r="G1685" s="23" t="str">
        <x:f>IF(E1685=F1685,"PASS","FAIL")</x:f>
        <x:v>PASS</x:v>
      </x:c>
    </x:row>
    <x:row r="1686">
      <x:c r="B1686" s="21" t="str">
        <x:v>A01680</x:v>
      </x:c>
      <x:c r="C1686" s="21" t="str">
        <x:v>artifact</x:v>
      </x:c>
      <x:c r="D1686" s="21" t="str">
        <x:v>artifact 318 planning state</x:v>
      </x:c>
      <x:c r="E1686" s="21" t="n">
        <x:f>IF(AND('Artifact Ledger'!Q324="OPEN",'Artifact Ledger'!R324="HOLD"),1,0)</x:f>
        <x:v>1</x:v>
      </x:c>
      <x:c r="F1686" s="21" t="n">
        <x:v>1</x:v>
      </x:c>
      <x:c r="G1686" s="23" t="str">
        <x:f>IF(E1686=F1686,"PASS","FAIL")</x:f>
        <x:v>PASS</x:v>
      </x:c>
    </x:row>
    <x:row r="1687">
      <x:c r="B1687" s="21" t="str">
        <x:v>A01681</x:v>
      </x:c>
      <x:c r="C1687" s="21" t="str">
        <x:v>artifact</x:v>
      </x:c>
      <x:c r="D1687" s="21" t="str">
        <x:v>artifact 319 eligibility equation</x:v>
      </x:c>
      <x:c r="E1687" s="21" t="n">
        <x:f>IF(ABS('Artifact Ledger'!P325-IF(AND('Artifact Ledger'!L325=1,'Artifact Ledger'!M325=1,'Artifact Ledger'!N325=1,'Artifact Ledger'!O325&gt;='Artifact Ledger'!G325),'Artifact Ledger'!K325,0))&lt;0.000001,1,0)</x:f>
        <x:v>1</x:v>
      </x:c>
      <x:c r="F1687" s="21" t="n">
        <x:v>1</x:v>
      </x:c>
      <x:c r="G1687" s="23" t="str">
        <x:f>IF(E1687=F1687,"PASS","FAIL")</x:f>
        <x:v>PASS</x:v>
      </x:c>
    </x:row>
    <x:row r="1688">
      <x:c r="B1688" s="21" t="str">
        <x:v>A01682</x:v>
      </x:c>
      <x:c r="C1688" s="21" t="str">
        <x:v>artifact</x:v>
      </x:c>
      <x:c r="D1688" s="21" t="str">
        <x:v>artifact 319 planning state</x:v>
      </x:c>
      <x:c r="E1688" s="21" t="n">
        <x:f>IF(AND('Artifact Ledger'!Q325="OPEN",'Artifact Ledger'!R325="HOLD"),1,0)</x:f>
        <x:v>1</x:v>
      </x:c>
      <x:c r="F1688" s="21" t="n">
        <x:v>1</x:v>
      </x:c>
      <x:c r="G1688" s="23" t="str">
        <x:f>IF(E1688=F1688,"PASS","FAIL")</x:f>
        <x:v>PASS</x:v>
      </x:c>
    </x:row>
    <x:row r="1689">
      <x:c r="B1689" s="21" t="str">
        <x:v>A01683</x:v>
      </x:c>
      <x:c r="C1689" s="21" t="str">
        <x:v>artifact</x:v>
      </x:c>
      <x:c r="D1689" s="21" t="str">
        <x:v>artifact 320 eligibility equation</x:v>
      </x:c>
      <x:c r="E1689" s="21" t="n">
        <x:f>IF(ABS('Artifact Ledger'!P326-IF(AND('Artifact Ledger'!L326=1,'Artifact Ledger'!M326=1,'Artifact Ledger'!N326=1,'Artifact Ledger'!O326&gt;='Artifact Ledger'!G326),'Artifact Ledger'!K326,0))&lt;0.000001,1,0)</x:f>
        <x:v>1</x:v>
      </x:c>
      <x:c r="F1689" s="21" t="n">
        <x:v>1</x:v>
      </x:c>
      <x:c r="G1689" s="23" t="str">
        <x:f>IF(E1689=F1689,"PASS","FAIL")</x:f>
        <x:v>PASS</x:v>
      </x:c>
    </x:row>
    <x:row r="1690">
      <x:c r="B1690" s="21" t="str">
        <x:v>A01684</x:v>
      </x:c>
      <x:c r="C1690" s="21" t="str">
        <x:v>artifact</x:v>
      </x:c>
      <x:c r="D1690" s="21" t="str">
        <x:v>artifact 320 planning state</x:v>
      </x:c>
      <x:c r="E1690" s="21" t="n">
        <x:f>IF(AND('Artifact Ledger'!Q326="OPEN",'Artifact Ledger'!R326="HOLD"),1,0)</x:f>
        <x:v>1</x:v>
      </x:c>
      <x:c r="F1690" s="21" t="n">
        <x:v>1</x:v>
      </x:c>
      <x:c r="G1690" s="23" t="str">
        <x:f>IF(E1690=F1690,"PASS","FAIL")</x:f>
        <x:v>PASS</x:v>
      </x:c>
    </x:row>
    <x:row r="1691">
      <x:c r="B1691" s="21" t="str">
        <x:v>A01685</x:v>
      </x:c>
      <x:c r="C1691" s="21" t="str">
        <x:v>artifact</x:v>
      </x:c>
      <x:c r="D1691" s="21" t="str">
        <x:v>artifact 321 eligibility equation</x:v>
      </x:c>
      <x:c r="E1691" s="21" t="n">
        <x:f>IF(ABS('Artifact Ledger'!P327-IF(AND('Artifact Ledger'!L327=1,'Artifact Ledger'!M327=1,'Artifact Ledger'!N327=1,'Artifact Ledger'!O327&gt;='Artifact Ledger'!G327),'Artifact Ledger'!K327,0))&lt;0.000001,1,0)</x:f>
        <x:v>1</x:v>
      </x:c>
      <x:c r="F1691" s="21" t="n">
        <x:v>1</x:v>
      </x:c>
      <x:c r="G1691" s="23" t="str">
        <x:f>IF(E1691=F1691,"PASS","FAIL")</x:f>
        <x:v>PASS</x:v>
      </x:c>
    </x:row>
    <x:row r="1692">
      <x:c r="B1692" s="21" t="str">
        <x:v>A01686</x:v>
      </x:c>
      <x:c r="C1692" s="21" t="str">
        <x:v>artifact</x:v>
      </x:c>
      <x:c r="D1692" s="21" t="str">
        <x:v>artifact 321 planning state</x:v>
      </x:c>
      <x:c r="E1692" s="21" t="n">
        <x:f>IF(AND('Artifact Ledger'!Q327="OPEN",'Artifact Ledger'!R327="HOLD"),1,0)</x:f>
        <x:v>1</x:v>
      </x:c>
      <x:c r="F1692" s="21" t="n">
        <x:v>1</x:v>
      </x:c>
      <x:c r="G1692" s="23" t="str">
        <x:f>IF(E1692=F1692,"PASS","FAIL")</x:f>
        <x:v>PASS</x:v>
      </x:c>
    </x:row>
    <x:row r="1693">
      <x:c r="B1693" s="21" t="str">
        <x:v>A01687</x:v>
      </x:c>
      <x:c r="C1693" s="21" t="str">
        <x:v>artifact</x:v>
      </x:c>
      <x:c r="D1693" s="21" t="str">
        <x:v>artifact 322 eligibility equation</x:v>
      </x:c>
      <x:c r="E1693" s="21" t="n">
        <x:f>IF(ABS('Artifact Ledger'!P328-IF(AND('Artifact Ledger'!L328=1,'Artifact Ledger'!M328=1,'Artifact Ledger'!N328=1,'Artifact Ledger'!O328&gt;='Artifact Ledger'!G328),'Artifact Ledger'!K328,0))&lt;0.000001,1,0)</x:f>
        <x:v>1</x:v>
      </x:c>
      <x:c r="F1693" s="21" t="n">
        <x:v>1</x:v>
      </x:c>
      <x:c r="G1693" s="23" t="str">
        <x:f>IF(E1693=F1693,"PASS","FAIL")</x:f>
        <x:v>PASS</x:v>
      </x:c>
    </x:row>
    <x:row r="1694">
      <x:c r="B1694" s="21" t="str">
        <x:v>A01688</x:v>
      </x:c>
      <x:c r="C1694" s="21" t="str">
        <x:v>artifact</x:v>
      </x:c>
      <x:c r="D1694" s="21" t="str">
        <x:v>artifact 322 planning state</x:v>
      </x:c>
      <x:c r="E1694" s="21" t="n">
        <x:f>IF(AND('Artifact Ledger'!Q328="OPEN",'Artifact Ledger'!R328="HOLD"),1,0)</x:f>
        <x:v>1</x:v>
      </x:c>
      <x:c r="F1694" s="21" t="n">
        <x:v>1</x:v>
      </x:c>
      <x:c r="G1694" s="23" t="str">
        <x:f>IF(E1694=F1694,"PASS","FAIL")</x:f>
        <x:v>PASS</x:v>
      </x:c>
    </x:row>
    <x:row r="1695">
      <x:c r="B1695" s="21" t="str">
        <x:v>A01689</x:v>
      </x:c>
      <x:c r="C1695" s="21" t="str">
        <x:v>artifact</x:v>
      </x:c>
      <x:c r="D1695" s="21" t="str">
        <x:v>artifact 323 eligibility equation</x:v>
      </x:c>
      <x:c r="E1695" s="21" t="n">
        <x:f>IF(ABS('Artifact Ledger'!P329-IF(AND('Artifact Ledger'!L329=1,'Artifact Ledger'!M329=1,'Artifact Ledger'!N329=1,'Artifact Ledger'!O329&gt;='Artifact Ledger'!G329),'Artifact Ledger'!K329,0))&lt;0.000001,1,0)</x:f>
        <x:v>1</x:v>
      </x:c>
      <x:c r="F1695" s="21" t="n">
        <x:v>1</x:v>
      </x:c>
      <x:c r="G1695" s="23" t="str">
        <x:f>IF(E1695=F1695,"PASS","FAIL")</x:f>
        <x:v>PASS</x:v>
      </x:c>
    </x:row>
    <x:row r="1696">
      <x:c r="B1696" s="21" t="str">
        <x:v>A01690</x:v>
      </x:c>
      <x:c r="C1696" s="21" t="str">
        <x:v>artifact</x:v>
      </x:c>
      <x:c r="D1696" s="21" t="str">
        <x:v>artifact 323 planning state</x:v>
      </x:c>
      <x:c r="E1696" s="21" t="n">
        <x:f>IF(AND('Artifact Ledger'!Q329="OPEN",'Artifact Ledger'!R329="HOLD"),1,0)</x:f>
        <x:v>1</x:v>
      </x:c>
      <x:c r="F1696" s="21" t="n">
        <x:v>1</x:v>
      </x:c>
      <x:c r="G1696" s="23" t="str">
        <x:f>IF(E1696=F1696,"PASS","FAIL")</x:f>
        <x:v>PASS</x:v>
      </x:c>
    </x:row>
    <x:row r="1697">
      <x:c r="B1697" s="21" t="str">
        <x:v>A01691</x:v>
      </x:c>
      <x:c r="C1697" s="21" t="str">
        <x:v>artifact</x:v>
      </x:c>
      <x:c r="D1697" s="21" t="str">
        <x:v>artifact 324 eligibility equation</x:v>
      </x:c>
      <x:c r="E1697" s="21" t="n">
        <x:f>IF(ABS('Artifact Ledger'!P330-IF(AND('Artifact Ledger'!L330=1,'Artifact Ledger'!M330=1,'Artifact Ledger'!N330=1,'Artifact Ledger'!O330&gt;='Artifact Ledger'!G330),'Artifact Ledger'!K330,0))&lt;0.000001,1,0)</x:f>
        <x:v>1</x:v>
      </x:c>
      <x:c r="F1697" s="21" t="n">
        <x:v>1</x:v>
      </x:c>
      <x:c r="G1697" s="23" t="str">
        <x:f>IF(E1697=F1697,"PASS","FAIL")</x:f>
        <x:v>PASS</x:v>
      </x:c>
    </x:row>
    <x:row r="1698">
      <x:c r="B1698" s="21" t="str">
        <x:v>A01692</x:v>
      </x:c>
      <x:c r="C1698" s="21" t="str">
        <x:v>artifact</x:v>
      </x:c>
      <x:c r="D1698" s="21" t="str">
        <x:v>artifact 324 planning state</x:v>
      </x:c>
      <x:c r="E1698" s="21" t="n">
        <x:f>IF(AND('Artifact Ledger'!Q330="OPEN",'Artifact Ledger'!R330="HOLD"),1,0)</x:f>
        <x:v>1</x:v>
      </x:c>
      <x:c r="F1698" s="21" t="n">
        <x:v>1</x:v>
      </x:c>
      <x:c r="G1698" s="23" t="str">
        <x:f>IF(E1698=F1698,"PASS","FAIL")</x:f>
        <x:v>PASS</x:v>
      </x:c>
    </x:row>
    <x:row r="1699">
      <x:c r="B1699" s="21" t="str">
        <x:v>A01693</x:v>
      </x:c>
      <x:c r="C1699" s="21" t="str">
        <x:v>artifact</x:v>
      </x:c>
      <x:c r="D1699" s="21" t="str">
        <x:v>artifact 325 eligibility equation</x:v>
      </x:c>
      <x:c r="E1699" s="21" t="n">
        <x:f>IF(ABS('Artifact Ledger'!P331-IF(AND('Artifact Ledger'!L331=1,'Artifact Ledger'!M331=1,'Artifact Ledger'!N331=1,'Artifact Ledger'!O331&gt;='Artifact Ledger'!G331),'Artifact Ledger'!K331,0))&lt;0.000001,1,0)</x:f>
        <x:v>1</x:v>
      </x:c>
      <x:c r="F1699" s="21" t="n">
        <x:v>1</x:v>
      </x:c>
      <x:c r="G1699" s="23" t="str">
        <x:f>IF(E1699=F1699,"PASS","FAIL")</x:f>
        <x:v>PASS</x:v>
      </x:c>
    </x:row>
    <x:row r="1700">
      <x:c r="B1700" s="21" t="str">
        <x:v>A01694</x:v>
      </x:c>
      <x:c r="C1700" s="21" t="str">
        <x:v>artifact</x:v>
      </x:c>
      <x:c r="D1700" s="21" t="str">
        <x:v>artifact 325 planning state</x:v>
      </x:c>
      <x:c r="E1700" s="21" t="n">
        <x:f>IF(AND('Artifact Ledger'!Q331="OPEN",'Artifact Ledger'!R331="HOLD"),1,0)</x:f>
        <x:v>1</x:v>
      </x:c>
      <x:c r="F1700" s="21" t="n">
        <x:v>1</x:v>
      </x:c>
      <x:c r="G1700" s="23" t="str">
        <x:f>IF(E1700=F1700,"PASS","FAIL")</x:f>
        <x:v>PASS</x:v>
      </x:c>
    </x:row>
    <x:row r="1701">
      <x:c r="B1701" s="21" t="str">
        <x:v>A01695</x:v>
      </x:c>
      <x:c r="C1701" s="21" t="str">
        <x:v>artifact</x:v>
      </x:c>
      <x:c r="D1701" s="21" t="str">
        <x:v>artifact 326 eligibility equation</x:v>
      </x:c>
      <x:c r="E1701" s="21" t="n">
        <x:f>IF(ABS('Artifact Ledger'!P332-IF(AND('Artifact Ledger'!L332=1,'Artifact Ledger'!M332=1,'Artifact Ledger'!N332=1,'Artifact Ledger'!O332&gt;='Artifact Ledger'!G332),'Artifact Ledger'!K332,0))&lt;0.000001,1,0)</x:f>
        <x:v>1</x:v>
      </x:c>
      <x:c r="F1701" s="21" t="n">
        <x:v>1</x:v>
      </x:c>
      <x:c r="G1701" s="23" t="str">
        <x:f>IF(E1701=F1701,"PASS","FAIL")</x:f>
        <x:v>PASS</x:v>
      </x:c>
    </x:row>
    <x:row r="1702">
      <x:c r="B1702" s="21" t="str">
        <x:v>A01696</x:v>
      </x:c>
      <x:c r="C1702" s="21" t="str">
        <x:v>artifact</x:v>
      </x:c>
      <x:c r="D1702" s="21" t="str">
        <x:v>artifact 326 planning state</x:v>
      </x:c>
      <x:c r="E1702" s="21" t="n">
        <x:f>IF(AND('Artifact Ledger'!Q332="OPEN",'Artifact Ledger'!R332="HOLD"),1,0)</x:f>
        <x:v>1</x:v>
      </x:c>
      <x:c r="F1702" s="21" t="n">
        <x:v>1</x:v>
      </x:c>
      <x:c r="G1702" s="23" t="str">
        <x:f>IF(E1702=F1702,"PASS","FAIL")</x:f>
        <x:v>PASS</x:v>
      </x:c>
    </x:row>
    <x:row r="1703">
      <x:c r="B1703" s="21" t="str">
        <x:v>A01697</x:v>
      </x:c>
      <x:c r="C1703" s="21" t="str">
        <x:v>artifact</x:v>
      </x:c>
      <x:c r="D1703" s="21" t="str">
        <x:v>artifact 327 eligibility equation</x:v>
      </x:c>
      <x:c r="E1703" s="21" t="n">
        <x:f>IF(ABS('Artifact Ledger'!P333-IF(AND('Artifact Ledger'!L333=1,'Artifact Ledger'!M333=1,'Artifact Ledger'!N333=1,'Artifact Ledger'!O333&gt;='Artifact Ledger'!G333),'Artifact Ledger'!K333,0))&lt;0.000001,1,0)</x:f>
        <x:v>1</x:v>
      </x:c>
      <x:c r="F1703" s="21" t="n">
        <x:v>1</x:v>
      </x:c>
      <x:c r="G1703" s="23" t="str">
        <x:f>IF(E1703=F1703,"PASS","FAIL")</x:f>
        <x:v>PASS</x:v>
      </x:c>
    </x:row>
    <x:row r="1704">
      <x:c r="B1704" s="21" t="str">
        <x:v>A01698</x:v>
      </x:c>
      <x:c r="C1704" s="21" t="str">
        <x:v>artifact</x:v>
      </x:c>
      <x:c r="D1704" s="21" t="str">
        <x:v>artifact 327 planning state</x:v>
      </x:c>
      <x:c r="E1704" s="21" t="n">
        <x:f>IF(AND('Artifact Ledger'!Q333="OPEN",'Artifact Ledger'!R333="HOLD"),1,0)</x:f>
        <x:v>1</x:v>
      </x:c>
      <x:c r="F1704" s="21" t="n">
        <x:v>1</x:v>
      </x:c>
      <x:c r="G1704" s="23" t="str">
        <x:f>IF(E1704=F1704,"PASS","FAIL")</x:f>
        <x:v>PASS</x:v>
      </x:c>
    </x:row>
    <x:row r="1705">
      <x:c r="B1705" s="21" t="str">
        <x:v>A01699</x:v>
      </x:c>
      <x:c r="C1705" s="21" t="str">
        <x:v>artifact</x:v>
      </x:c>
      <x:c r="D1705" s="21" t="str">
        <x:v>artifact 328 eligibility equation</x:v>
      </x:c>
      <x:c r="E1705" s="21" t="n">
        <x:f>IF(ABS('Artifact Ledger'!P334-IF(AND('Artifact Ledger'!L334=1,'Artifact Ledger'!M334=1,'Artifact Ledger'!N334=1,'Artifact Ledger'!O334&gt;='Artifact Ledger'!G334),'Artifact Ledger'!K334,0))&lt;0.000001,1,0)</x:f>
        <x:v>1</x:v>
      </x:c>
      <x:c r="F1705" s="21" t="n">
        <x:v>1</x:v>
      </x:c>
      <x:c r="G1705" s="23" t="str">
        <x:f>IF(E1705=F1705,"PASS","FAIL")</x:f>
        <x:v>PASS</x:v>
      </x:c>
    </x:row>
    <x:row r="1706">
      <x:c r="B1706" s="21" t="str">
        <x:v>A01700</x:v>
      </x:c>
      <x:c r="C1706" s="21" t="str">
        <x:v>artifact</x:v>
      </x:c>
      <x:c r="D1706" s="21" t="str">
        <x:v>artifact 328 planning state</x:v>
      </x:c>
      <x:c r="E1706" s="21" t="n">
        <x:f>IF(AND('Artifact Ledger'!Q334="OPEN",'Artifact Ledger'!R334="HOLD"),1,0)</x:f>
        <x:v>1</x:v>
      </x:c>
      <x:c r="F1706" s="21" t="n">
        <x:v>1</x:v>
      </x:c>
      <x:c r="G1706" s="23" t="str">
        <x:f>IF(E1706=F1706,"PASS","FAIL")</x:f>
        <x:v>PASS</x:v>
      </x:c>
    </x:row>
    <x:row r="1707">
      <x:c r="B1707" s="21" t="str">
        <x:v>A01701</x:v>
      </x:c>
      <x:c r="C1707" s="21" t="str">
        <x:v>artifact</x:v>
      </x:c>
      <x:c r="D1707" s="21" t="str">
        <x:v>artifact 329 eligibility equation</x:v>
      </x:c>
      <x:c r="E1707" s="21" t="n">
        <x:f>IF(ABS('Artifact Ledger'!P335-IF(AND('Artifact Ledger'!L335=1,'Artifact Ledger'!M335=1,'Artifact Ledger'!N335=1,'Artifact Ledger'!O335&gt;='Artifact Ledger'!G335),'Artifact Ledger'!K335,0))&lt;0.000001,1,0)</x:f>
        <x:v>1</x:v>
      </x:c>
      <x:c r="F1707" s="21" t="n">
        <x:v>1</x:v>
      </x:c>
      <x:c r="G1707" s="23" t="str">
        <x:f>IF(E1707=F1707,"PASS","FAIL")</x:f>
        <x:v>PASS</x:v>
      </x:c>
    </x:row>
    <x:row r="1708">
      <x:c r="B1708" s="21" t="str">
        <x:v>A01702</x:v>
      </x:c>
      <x:c r="C1708" s="21" t="str">
        <x:v>artifact</x:v>
      </x:c>
      <x:c r="D1708" s="21" t="str">
        <x:v>artifact 329 planning state</x:v>
      </x:c>
      <x:c r="E1708" s="21" t="n">
        <x:f>IF(AND('Artifact Ledger'!Q335="OPEN",'Artifact Ledger'!R335="HOLD"),1,0)</x:f>
        <x:v>1</x:v>
      </x:c>
      <x:c r="F1708" s="21" t="n">
        <x:v>1</x:v>
      </x:c>
      <x:c r="G1708" s="23" t="str">
        <x:f>IF(E1708=F1708,"PASS","FAIL")</x:f>
        <x:v>PASS</x:v>
      </x:c>
    </x:row>
    <x:row r="1709">
      <x:c r="B1709" s="21" t="str">
        <x:v>A01703</x:v>
      </x:c>
      <x:c r="C1709" s="21" t="str">
        <x:v>artifact</x:v>
      </x:c>
      <x:c r="D1709" s="21" t="str">
        <x:v>artifact 330 eligibility equation</x:v>
      </x:c>
      <x:c r="E1709" s="21" t="n">
        <x:f>IF(ABS('Artifact Ledger'!P336-IF(AND('Artifact Ledger'!L336=1,'Artifact Ledger'!M336=1,'Artifact Ledger'!N336=1,'Artifact Ledger'!O336&gt;='Artifact Ledger'!G336),'Artifact Ledger'!K336,0))&lt;0.000001,1,0)</x:f>
        <x:v>1</x:v>
      </x:c>
      <x:c r="F1709" s="21" t="n">
        <x:v>1</x:v>
      </x:c>
      <x:c r="G1709" s="23" t="str">
        <x:f>IF(E1709=F1709,"PASS","FAIL")</x:f>
        <x:v>PASS</x:v>
      </x:c>
    </x:row>
    <x:row r="1710">
      <x:c r="B1710" s="21" t="str">
        <x:v>A01704</x:v>
      </x:c>
      <x:c r="C1710" s="21" t="str">
        <x:v>artifact</x:v>
      </x:c>
      <x:c r="D1710" s="21" t="str">
        <x:v>artifact 330 planning state</x:v>
      </x:c>
      <x:c r="E1710" s="21" t="n">
        <x:f>IF(AND('Artifact Ledger'!Q336="OPEN",'Artifact Ledger'!R336="HOLD"),1,0)</x:f>
        <x:v>1</x:v>
      </x:c>
      <x:c r="F1710" s="21" t="n">
        <x:v>1</x:v>
      </x:c>
      <x:c r="G1710" s="23" t="str">
        <x:f>IF(E1710=F1710,"PASS","FAIL")</x:f>
        <x:v>PASS</x:v>
      </x:c>
    </x:row>
    <x:row r="1711">
      <x:c r="B1711" s="21" t="str">
        <x:v>A01705</x:v>
      </x:c>
      <x:c r="C1711" s="21" t="str">
        <x:v>artifact</x:v>
      </x:c>
      <x:c r="D1711" s="21" t="str">
        <x:v>artifact 331 eligibility equation</x:v>
      </x:c>
      <x:c r="E1711" s="21" t="n">
        <x:f>IF(ABS('Artifact Ledger'!P337-IF(AND('Artifact Ledger'!L337=1,'Artifact Ledger'!M337=1,'Artifact Ledger'!N337=1,'Artifact Ledger'!O337&gt;='Artifact Ledger'!G337),'Artifact Ledger'!K337,0))&lt;0.000001,1,0)</x:f>
        <x:v>1</x:v>
      </x:c>
      <x:c r="F1711" s="21" t="n">
        <x:v>1</x:v>
      </x:c>
      <x:c r="G1711" s="23" t="str">
        <x:f>IF(E1711=F1711,"PASS","FAIL")</x:f>
        <x:v>PASS</x:v>
      </x:c>
    </x:row>
    <x:row r="1712">
      <x:c r="B1712" s="21" t="str">
        <x:v>A01706</x:v>
      </x:c>
      <x:c r="C1712" s="21" t="str">
        <x:v>artifact</x:v>
      </x:c>
      <x:c r="D1712" s="21" t="str">
        <x:v>artifact 331 planning state</x:v>
      </x:c>
      <x:c r="E1712" s="21" t="n">
        <x:f>IF(AND('Artifact Ledger'!Q337="OPEN",'Artifact Ledger'!R337="HOLD"),1,0)</x:f>
        <x:v>1</x:v>
      </x:c>
      <x:c r="F1712" s="21" t="n">
        <x:v>1</x:v>
      </x:c>
      <x:c r="G1712" s="23" t="str">
        <x:f>IF(E1712=F1712,"PASS","FAIL")</x:f>
        <x:v>PASS</x:v>
      </x:c>
    </x:row>
    <x:row r="1713">
      <x:c r="B1713" s="21" t="str">
        <x:v>A01707</x:v>
      </x:c>
      <x:c r="C1713" s="21" t="str">
        <x:v>artifact</x:v>
      </x:c>
      <x:c r="D1713" s="21" t="str">
        <x:v>artifact 332 eligibility equation</x:v>
      </x:c>
      <x:c r="E1713" s="21" t="n">
        <x:f>IF(ABS('Artifact Ledger'!P338-IF(AND('Artifact Ledger'!L338=1,'Artifact Ledger'!M338=1,'Artifact Ledger'!N338=1,'Artifact Ledger'!O338&gt;='Artifact Ledger'!G338),'Artifact Ledger'!K338,0))&lt;0.000001,1,0)</x:f>
        <x:v>1</x:v>
      </x:c>
      <x:c r="F1713" s="21" t="n">
        <x:v>1</x:v>
      </x:c>
      <x:c r="G1713" s="23" t="str">
        <x:f>IF(E1713=F1713,"PASS","FAIL")</x:f>
        <x:v>PASS</x:v>
      </x:c>
    </x:row>
    <x:row r="1714">
      <x:c r="B1714" s="21" t="str">
        <x:v>A01708</x:v>
      </x:c>
      <x:c r="C1714" s="21" t="str">
        <x:v>artifact</x:v>
      </x:c>
      <x:c r="D1714" s="21" t="str">
        <x:v>artifact 332 planning state</x:v>
      </x:c>
      <x:c r="E1714" s="21" t="n">
        <x:f>IF(AND('Artifact Ledger'!Q338="OPEN",'Artifact Ledger'!R338="HOLD"),1,0)</x:f>
        <x:v>1</x:v>
      </x:c>
      <x:c r="F1714" s="21" t="n">
        <x:v>1</x:v>
      </x:c>
      <x:c r="G1714" s="23" t="str">
        <x:f>IF(E1714=F1714,"PASS","FAIL")</x:f>
        <x:v>PASS</x:v>
      </x:c>
    </x:row>
    <x:row r="1715">
      <x:c r="B1715" s="21" t="str">
        <x:v>A01709</x:v>
      </x:c>
      <x:c r="C1715" s="21" t="str">
        <x:v>artifact</x:v>
      </x:c>
      <x:c r="D1715" s="21" t="str">
        <x:v>artifact 333 eligibility equation</x:v>
      </x:c>
      <x:c r="E1715" s="21" t="n">
        <x:f>IF(ABS('Artifact Ledger'!P339-IF(AND('Artifact Ledger'!L339=1,'Artifact Ledger'!M339=1,'Artifact Ledger'!N339=1,'Artifact Ledger'!O339&gt;='Artifact Ledger'!G339),'Artifact Ledger'!K339,0))&lt;0.000001,1,0)</x:f>
        <x:v>1</x:v>
      </x:c>
      <x:c r="F1715" s="21" t="n">
        <x:v>1</x:v>
      </x:c>
      <x:c r="G1715" s="23" t="str">
        <x:f>IF(E1715=F1715,"PASS","FAIL")</x:f>
        <x:v>PASS</x:v>
      </x:c>
    </x:row>
    <x:row r="1716">
      <x:c r="B1716" s="21" t="str">
        <x:v>A01710</x:v>
      </x:c>
      <x:c r="C1716" s="21" t="str">
        <x:v>artifact</x:v>
      </x:c>
      <x:c r="D1716" s="21" t="str">
        <x:v>artifact 333 planning state</x:v>
      </x:c>
      <x:c r="E1716" s="21" t="n">
        <x:f>IF(AND('Artifact Ledger'!Q339="OPEN",'Artifact Ledger'!R339="HOLD"),1,0)</x:f>
        <x:v>1</x:v>
      </x:c>
      <x:c r="F1716" s="21" t="n">
        <x:v>1</x:v>
      </x:c>
      <x:c r="G1716" s="23" t="str">
        <x:f>IF(E1716=F1716,"PASS","FAIL")</x:f>
        <x:v>PASS</x:v>
      </x:c>
    </x:row>
    <x:row r="1717">
      <x:c r="B1717" s="21" t="str">
        <x:v>A01711</x:v>
      </x:c>
      <x:c r="C1717" s="21" t="str">
        <x:v>artifact</x:v>
      </x:c>
      <x:c r="D1717" s="21" t="str">
        <x:v>artifact 334 eligibility equation</x:v>
      </x:c>
      <x:c r="E1717" s="21" t="n">
        <x:f>IF(ABS('Artifact Ledger'!P340-IF(AND('Artifact Ledger'!L340=1,'Artifact Ledger'!M340=1,'Artifact Ledger'!N340=1,'Artifact Ledger'!O340&gt;='Artifact Ledger'!G340),'Artifact Ledger'!K340,0))&lt;0.000001,1,0)</x:f>
        <x:v>1</x:v>
      </x:c>
      <x:c r="F1717" s="21" t="n">
        <x:v>1</x:v>
      </x:c>
      <x:c r="G1717" s="23" t="str">
        <x:f>IF(E1717=F1717,"PASS","FAIL")</x:f>
        <x:v>PASS</x:v>
      </x:c>
    </x:row>
    <x:row r="1718">
      <x:c r="B1718" s="21" t="str">
        <x:v>A01712</x:v>
      </x:c>
      <x:c r="C1718" s="21" t="str">
        <x:v>artifact</x:v>
      </x:c>
      <x:c r="D1718" s="21" t="str">
        <x:v>artifact 334 planning state</x:v>
      </x:c>
      <x:c r="E1718" s="21" t="n">
        <x:f>IF(AND('Artifact Ledger'!Q340="OPEN",'Artifact Ledger'!R340="HOLD"),1,0)</x:f>
        <x:v>1</x:v>
      </x:c>
      <x:c r="F1718" s="21" t="n">
        <x:v>1</x:v>
      </x:c>
      <x:c r="G1718" s="23" t="str">
        <x:f>IF(E1718=F1718,"PASS","FAIL")</x:f>
        <x:v>PASS</x:v>
      </x:c>
    </x:row>
    <x:row r="1719">
      <x:c r="B1719" s="21" t="str">
        <x:v>A01713</x:v>
      </x:c>
      <x:c r="C1719" s="21" t="str">
        <x:v>artifact</x:v>
      </x:c>
      <x:c r="D1719" s="21" t="str">
        <x:v>artifact 335 eligibility equation</x:v>
      </x:c>
      <x:c r="E1719" s="21" t="n">
        <x:f>IF(ABS('Artifact Ledger'!P341-IF(AND('Artifact Ledger'!L341=1,'Artifact Ledger'!M341=1,'Artifact Ledger'!N341=1,'Artifact Ledger'!O341&gt;='Artifact Ledger'!G341),'Artifact Ledger'!K341,0))&lt;0.000001,1,0)</x:f>
        <x:v>1</x:v>
      </x:c>
      <x:c r="F1719" s="21" t="n">
        <x:v>1</x:v>
      </x:c>
      <x:c r="G1719" s="23" t="str">
        <x:f>IF(E1719=F1719,"PASS","FAIL")</x:f>
        <x:v>PASS</x:v>
      </x:c>
    </x:row>
    <x:row r="1720">
      <x:c r="B1720" s="21" t="str">
        <x:v>A01714</x:v>
      </x:c>
      <x:c r="C1720" s="21" t="str">
        <x:v>artifact</x:v>
      </x:c>
      <x:c r="D1720" s="21" t="str">
        <x:v>artifact 335 planning state</x:v>
      </x:c>
      <x:c r="E1720" s="21" t="n">
        <x:f>IF(AND('Artifact Ledger'!Q341="OPEN",'Artifact Ledger'!R341="HOLD"),1,0)</x:f>
        <x:v>1</x:v>
      </x:c>
      <x:c r="F1720" s="21" t="n">
        <x:v>1</x:v>
      </x:c>
      <x:c r="G1720" s="23" t="str">
        <x:f>IF(E1720=F1720,"PASS","FAIL")</x:f>
        <x:v>PASS</x:v>
      </x:c>
    </x:row>
    <x:row r="1721">
      <x:c r="B1721" s="21" t="str">
        <x:v>A01715</x:v>
      </x:c>
      <x:c r="C1721" s="21" t="str">
        <x:v>artifact</x:v>
      </x:c>
      <x:c r="D1721" s="21" t="str">
        <x:v>artifact 336 eligibility equation</x:v>
      </x:c>
      <x:c r="E1721" s="21" t="n">
        <x:f>IF(ABS('Artifact Ledger'!P342-IF(AND('Artifact Ledger'!L342=1,'Artifact Ledger'!M342=1,'Artifact Ledger'!N342=1,'Artifact Ledger'!O342&gt;='Artifact Ledger'!G342),'Artifact Ledger'!K342,0))&lt;0.000001,1,0)</x:f>
        <x:v>1</x:v>
      </x:c>
      <x:c r="F1721" s="21" t="n">
        <x:v>1</x:v>
      </x:c>
      <x:c r="G1721" s="23" t="str">
        <x:f>IF(E1721=F1721,"PASS","FAIL")</x:f>
        <x:v>PASS</x:v>
      </x:c>
    </x:row>
    <x:row r="1722">
      <x:c r="B1722" s="21" t="str">
        <x:v>A01716</x:v>
      </x:c>
      <x:c r="C1722" s="21" t="str">
        <x:v>artifact</x:v>
      </x:c>
      <x:c r="D1722" s="21" t="str">
        <x:v>artifact 336 planning state</x:v>
      </x:c>
      <x:c r="E1722" s="21" t="n">
        <x:f>IF(AND('Artifact Ledger'!Q342="OPEN",'Artifact Ledger'!R342="HOLD"),1,0)</x:f>
        <x:v>1</x:v>
      </x:c>
      <x:c r="F1722" s="21" t="n">
        <x:v>1</x:v>
      </x:c>
      <x:c r="G1722" s="23" t="str">
        <x:f>IF(E1722=F1722,"PASS","FAIL")</x:f>
        <x:v>PASS</x:v>
      </x:c>
    </x:row>
    <x:row r="1723">
      <x:c r="B1723" s="21" t="str">
        <x:v>A01717</x:v>
      </x:c>
      <x:c r="C1723" s="21" t="str">
        <x:v>artifact</x:v>
      </x:c>
      <x:c r="D1723" s="21" t="str">
        <x:v>artifact 337 eligibility equation</x:v>
      </x:c>
      <x:c r="E1723" s="21" t="n">
        <x:f>IF(ABS('Artifact Ledger'!P343-IF(AND('Artifact Ledger'!L343=1,'Artifact Ledger'!M343=1,'Artifact Ledger'!N343=1,'Artifact Ledger'!O343&gt;='Artifact Ledger'!G343),'Artifact Ledger'!K343,0))&lt;0.000001,1,0)</x:f>
        <x:v>1</x:v>
      </x:c>
      <x:c r="F1723" s="21" t="n">
        <x:v>1</x:v>
      </x:c>
      <x:c r="G1723" s="23" t="str">
        <x:f>IF(E1723=F1723,"PASS","FAIL")</x:f>
        <x:v>PASS</x:v>
      </x:c>
    </x:row>
    <x:row r="1724">
      <x:c r="B1724" s="21" t="str">
        <x:v>A01718</x:v>
      </x:c>
      <x:c r="C1724" s="21" t="str">
        <x:v>artifact</x:v>
      </x:c>
      <x:c r="D1724" s="21" t="str">
        <x:v>artifact 337 planning state</x:v>
      </x:c>
      <x:c r="E1724" s="21" t="n">
        <x:f>IF(AND('Artifact Ledger'!Q343="OPEN",'Artifact Ledger'!R343="HOLD"),1,0)</x:f>
        <x:v>1</x:v>
      </x:c>
      <x:c r="F1724" s="21" t="n">
        <x:v>1</x:v>
      </x:c>
      <x:c r="G1724" s="23" t="str">
        <x:f>IF(E1724=F1724,"PASS","FAIL")</x:f>
        <x:v>PASS</x:v>
      </x:c>
    </x:row>
    <x:row r="1725">
      <x:c r="B1725" s="21" t="str">
        <x:v>A01719</x:v>
      </x:c>
      <x:c r="C1725" s="21" t="str">
        <x:v>artifact</x:v>
      </x:c>
      <x:c r="D1725" s="21" t="str">
        <x:v>artifact 338 eligibility equation</x:v>
      </x:c>
      <x:c r="E1725" s="21" t="n">
        <x:f>IF(ABS('Artifact Ledger'!P344-IF(AND('Artifact Ledger'!L344=1,'Artifact Ledger'!M344=1,'Artifact Ledger'!N344=1,'Artifact Ledger'!O344&gt;='Artifact Ledger'!G344),'Artifact Ledger'!K344,0))&lt;0.000001,1,0)</x:f>
        <x:v>1</x:v>
      </x:c>
      <x:c r="F1725" s="21" t="n">
        <x:v>1</x:v>
      </x:c>
      <x:c r="G1725" s="23" t="str">
        <x:f>IF(E1725=F1725,"PASS","FAIL")</x:f>
        <x:v>PASS</x:v>
      </x:c>
    </x:row>
    <x:row r="1726">
      <x:c r="B1726" s="21" t="str">
        <x:v>A01720</x:v>
      </x:c>
      <x:c r="C1726" s="21" t="str">
        <x:v>artifact</x:v>
      </x:c>
      <x:c r="D1726" s="21" t="str">
        <x:v>artifact 338 planning state</x:v>
      </x:c>
      <x:c r="E1726" s="21" t="n">
        <x:f>IF(AND('Artifact Ledger'!Q344="OPEN",'Artifact Ledger'!R344="HOLD"),1,0)</x:f>
        <x:v>1</x:v>
      </x:c>
      <x:c r="F1726" s="21" t="n">
        <x:v>1</x:v>
      </x:c>
      <x:c r="G1726" s="23" t="str">
        <x:f>IF(E1726=F1726,"PASS","FAIL")</x:f>
        <x:v>PASS</x:v>
      </x:c>
    </x:row>
    <x:row r="1727">
      <x:c r="B1727" s="21" t="str">
        <x:v>A01721</x:v>
      </x:c>
      <x:c r="C1727" s="21" t="str">
        <x:v>artifact</x:v>
      </x:c>
      <x:c r="D1727" s="21" t="str">
        <x:v>artifact 339 eligibility equation</x:v>
      </x:c>
      <x:c r="E1727" s="21" t="n">
        <x:f>IF(ABS('Artifact Ledger'!P345-IF(AND('Artifact Ledger'!L345=1,'Artifact Ledger'!M345=1,'Artifact Ledger'!N345=1,'Artifact Ledger'!O345&gt;='Artifact Ledger'!G345),'Artifact Ledger'!K345,0))&lt;0.000001,1,0)</x:f>
        <x:v>1</x:v>
      </x:c>
      <x:c r="F1727" s="21" t="n">
        <x:v>1</x:v>
      </x:c>
      <x:c r="G1727" s="23" t="str">
        <x:f>IF(E1727=F1727,"PASS","FAIL")</x:f>
        <x:v>PASS</x:v>
      </x:c>
    </x:row>
    <x:row r="1728">
      <x:c r="B1728" s="21" t="str">
        <x:v>A01722</x:v>
      </x:c>
      <x:c r="C1728" s="21" t="str">
        <x:v>artifact</x:v>
      </x:c>
      <x:c r="D1728" s="21" t="str">
        <x:v>artifact 339 planning state</x:v>
      </x:c>
      <x:c r="E1728" s="21" t="n">
        <x:f>IF(AND('Artifact Ledger'!Q345="OPEN",'Artifact Ledger'!R345="HOLD"),1,0)</x:f>
        <x:v>1</x:v>
      </x:c>
      <x:c r="F1728" s="21" t="n">
        <x:v>1</x:v>
      </x:c>
      <x:c r="G1728" s="23" t="str">
        <x:f>IF(E1728=F1728,"PASS","FAIL")</x:f>
        <x:v>PASS</x:v>
      </x:c>
    </x:row>
    <x:row r="1729">
      <x:c r="B1729" s="21" t="str">
        <x:v>A01723</x:v>
      </x:c>
      <x:c r="C1729" s="21" t="str">
        <x:v>artifact</x:v>
      </x:c>
      <x:c r="D1729" s="21" t="str">
        <x:v>artifact 340 eligibility equation</x:v>
      </x:c>
      <x:c r="E1729" s="21" t="n">
        <x:f>IF(ABS('Artifact Ledger'!P346-IF(AND('Artifact Ledger'!L346=1,'Artifact Ledger'!M346=1,'Artifact Ledger'!N346=1,'Artifact Ledger'!O346&gt;='Artifact Ledger'!G346),'Artifact Ledger'!K346,0))&lt;0.000001,1,0)</x:f>
        <x:v>1</x:v>
      </x:c>
      <x:c r="F1729" s="21" t="n">
        <x:v>1</x:v>
      </x:c>
      <x:c r="G1729" s="23" t="str">
        <x:f>IF(E1729=F1729,"PASS","FAIL")</x:f>
        <x:v>PASS</x:v>
      </x:c>
    </x:row>
    <x:row r="1730">
      <x:c r="B1730" s="21" t="str">
        <x:v>A01724</x:v>
      </x:c>
      <x:c r="C1730" s="21" t="str">
        <x:v>artifact</x:v>
      </x:c>
      <x:c r="D1730" s="21" t="str">
        <x:v>artifact 340 planning state</x:v>
      </x:c>
      <x:c r="E1730" s="21" t="n">
        <x:f>IF(AND('Artifact Ledger'!Q346="OPEN",'Artifact Ledger'!R346="HOLD"),1,0)</x:f>
        <x:v>1</x:v>
      </x:c>
      <x:c r="F1730" s="21" t="n">
        <x:v>1</x:v>
      </x:c>
      <x:c r="G1730" s="23" t="str">
        <x:f>IF(E1730=F1730,"PASS","FAIL")</x:f>
        <x:v>PASS</x:v>
      </x:c>
    </x:row>
    <x:row r="1731">
      <x:c r="B1731" s="21" t="str">
        <x:v>A01725</x:v>
      </x:c>
      <x:c r="C1731" s="21" t="str">
        <x:v>artifact</x:v>
      </x:c>
      <x:c r="D1731" s="21" t="str">
        <x:v>artifact 341 eligibility equation</x:v>
      </x:c>
      <x:c r="E1731" s="21" t="n">
        <x:f>IF(ABS('Artifact Ledger'!P347-IF(AND('Artifact Ledger'!L347=1,'Artifact Ledger'!M347=1,'Artifact Ledger'!N347=1,'Artifact Ledger'!O347&gt;='Artifact Ledger'!G347),'Artifact Ledger'!K347,0))&lt;0.000001,1,0)</x:f>
        <x:v>1</x:v>
      </x:c>
      <x:c r="F1731" s="21" t="n">
        <x:v>1</x:v>
      </x:c>
      <x:c r="G1731" s="23" t="str">
        <x:f>IF(E1731=F1731,"PASS","FAIL")</x:f>
        <x:v>PASS</x:v>
      </x:c>
    </x:row>
    <x:row r="1732">
      <x:c r="B1732" s="21" t="str">
        <x:v>A01726</x:v>
      </x:c>
      <x:c r="C1732" s="21" t="str">
        <x:v>artifact</x:v>
      </x:c>
      <x:c r="D1732" s="21" t="str">
        <x:v>artifact 341 planning state</x:v>
      </x:c>
      <x:c r="E1732" s="21" t="n">
        <x:f>IF(AND('Artifact Ledger'!Q347="OPEN",'Artifact Ledger'!R347="HOLD"),1,0)</x:f>
        <x:v>1</x:v>
      </x:c>
      <x:c r="F1732" s="21" t="n">
        <x:v>1</x:v>
      </x:c>
      <x:c r="G1732" s="23" t="str">
        <x:f>IF(E1732=F1732,"PASS","FAIL")</x:f>
        <x:v>PASS</x:v>
      </x:c>
    </x:row>
    <x:row r="1733">
      <x:c r="B1733" s="21" t="str">
        <x:v>A01727</x:v>
      </x:c>
      <x:c r="C1733" s="21" t="str">
        <x:v>artifact</x:v>
      </x:c>
      <x:c r="D1733" s="21" t="str">
        <x:v>artifact 342 eligibility equation</x:v>
      </x:c>
      <x:c r="E1733" s="21" t="n">
        <x:f>IF(ABS('Artifact Ledger'!P348-IF(AND('Artifact Ledger'!L348=1,'Artifact Ledger'!M348=1,'Artifact Ledger'!N348=1,'Artifact Ledger'!O348&gt;='Artifact Ledger'!G348),'Artifact Ledger'!K348,0))&lt;0.000001,1,0)</x:f>
        <x:v>1</x:v>
      </x:c>
      <x:c r="F1733" s="21" t="n">
        <x:v>1</x:v>
      </x:c>
      <x:c r="G1733" s="23" t="str">
        <x:f>IF(E1733=F1733,"PASS","FAIL")</x:f>
        <x:v>PASS</x:v>
      </x:c>
    </x:row>
    <x:row r="1734">
      <x:c r="B1734" s="21" t="str">
        <x:v>A01728</x:v>
      </x:c>
      <x:c r="C1734" s="21" t="str">
        <x:v>artifact</x:v>
      </x:c>
      <x:c r="D1734" s="21" t="str">
        <x:v>artifact 342 planning state</x:v>
      </x:c>
      <x:c r="E1734" s="21" t="n">
        <x:f>IF(AND('Artifact Ledger'!Q348="OPEN",'Artifact Ledger'!R348="HOLD"),1,0)</x:f>
        <x:v>1</x:v>
      </x:c>
      <x:c r="F1734" s="21" t="n">
        <x:v>1</x:v>
      </x:c>
      <x:c r="G1734" s="23" t="str">
        <x:f>IF(E1734=F1734,"PASS","FAIL")</x:f>
        <x:v>PASS</x:v>
      </x:c>
    </x:row>
    <x:row r="1735">
      <x:c r="B1735" s="21" t="str">
        <x:v>A01729</x:v>
      </x:c>
      <x:c r="C1735" s="21" t="str">
        <x:v>artifact</x:v>
      </x:c>
      <x:c r="D1735" s="21" t="str">
        <x:v>artifact 343 eligibility equation</x:v>
      </x:c>
      <x:c r="E1735" s="21" t="n">
        <x:f>IF(ABS('Artifact Ledger'!P349-IF(AND('Artifact Ledger'!L349=1,'Artifact Ledger'!M349=1,'Artifact Ledger'!N349=1,'Artifact Ledger'!O349&gt;='Artifact Ledger'!G349),'Artifact Ledger'!K349,0))&lt;0.000001,1,0)</x:f>
        <x:v>1</x:v>
      </x:c>
      <x:c r="F1735" s="21" t="n">
        <x:v>1</x:v>
      </x:c>
      <x:c r="G1735" s="23" t="str">
        <x:f>IF(E1735=F1735,"PASS","FAIL")</x:f>
        <x:v>PASS</x:v>
      </x:c>
    </x:row>
    <x:row r="1736">
      <x:c r="B1736" s="21" t="str">
        <x:v>A01730</x:v>
      </x:c>
      <x:c r="C1736" s="21" t="str">
        <x:v>artifact</x:v>
      </x:c>
      <x:c r="D1736" s="21" t="str">
        <x:v>artifact 343 planning state</x:v>
      </x:c>
      <x:c r="E1736" s="21" t="n">
        <x:f>IF(AND('Artifact Ledger'!Q349="OPEN",'Artifact Ledger'!R349="HOLD"),1,0)</x:f>
        <x:v>1</x:v>
      </x:c>
      <x:c r="F1736" s="21" t="n">
        <x:v>1</x:v>
      </x:c>
      <x:c r="G1736" s="23" t="str">
        <x:f>IF(E1736=F1736,"PASS","FAIL")</x:f>
        <x:v>PASS</x:v>
      </x:c>
    </x:row>
    <x:row r="1737">
      <x:c r="B1737" s="21" t="str">
        <x:v>A01731</x:v>
      </x:c>
      <x:c r="C1737" s="21" t="str">
        <x:v>artifact</x:v>
      </x:c>
      <x:c r="D1737" s="21" t="str">
        <x:v>artifact 344 eligibility equation</x:v>
      </x:c>
      <x:c r="E1737" s="21" t="n">
        <x:f>IF(ABS('Artifact Ledger'!P350-IF(AND('Artifact Ledger'!L350=1,'Artifact Ledger'!M350=1,'Artifact Ledger'!N350=1,'Artifact Ledger'!O350&gt;='Artifact Ledger'!G350),'Artifact Ledger'!K350,0))&lt;0.000001,1,0)</x:f>
        <x:v>1</x:v>
      </x:c>
      <x:c r="F1737" s="21" t="n">
        <x:v>1</x:v>
      </x:c>
      <x:c r="G1737" s="23" t="str">
        <x:f>IF(E1737=F1737,"PASS","FAIL")</x:f>
        <x:v>PASS</x:v>
      </x:c>
    </x:row>
    <x:row r="1738">
      <x:c r="B1738" s="21" t="str">
        <x:v>A01732</x:v>
      </x:c>
      <x:c r="C1738" s="21" t="str">
        <x:v>artifact</x:v>
      </x:c>
      <x:c r="D1738" s="21" t="str">
        <x:v>artifact 344 planning state</x:v>
      </x:c>
      <x:c r="E1738" s="21" t="n">
        <x:f>IF(AND('Artifact Ledger'!Q350="OPEN",'Artifact Ledger'!R350="HOLD"),1,0)</x:f>
        <x:v>1</x:v>
      </x:c>
      <x:c r="F1738" s="21" t="n">
        <x:v>1</x:v>
      </x:c>
      <x:c r="G1738" s="23" t="str">
        <x:f>IF(E1738=F1738,"PASS","FAIL")</x:f>
        <x:v>PASS</x:v>
      </x:c>
    </x:row>
    <x:row r="1739">
      <x:c r="B1739" s="21" t="str">
        <x:v>A01733</x:v>
      </x:c>
      <x:c r="C1739" s="21" t="str">
        <x:v>artifact</x:v>
      </x:c>
      <x:c r="D1739" s="21" t="str">
        <x:v>artifact 345 eligibility equation</x:v>
      </x:c>
      <x:c r="E1739" s="21" t="n">
        <x:f>IF(ABS('Artifact Ledger'!P351-IF(AND('Artifact Ledger'!L351=1,'Artifact Ledger'!M351=1,'Artifact Ledger'!N351=1,'Artifact Ledger'!O351&gt;='Artifact Ledger'!G351),'Artifact Ledger'!K351,0))&lt;0.000001,1,0)</x:f>
        <x:v>1</x:v>
      </x:c>
      <x:c r="F1739" s="21" t="n">
        <x:v>1</x:v>
      </x:c>
      <x:c r="G1739" s="23" t="str">
        <x:f>IF(E1739=F1739,"PASS","FAIL")</x:f>
        <x:v>PASS</x:v>
      </x:c>
    </x:row>
    <x:row r="1740">
      <x:c r="B1740" s="21" t="str">
        <x:v>A01734</x:v>
      </x:c>
      <x:c r="C1740" s="21" t="str">
        <x:v>artifact</x:v>
      </x:c>
      <x:c r="D1740" s="21" t="str">
        <x:v>artifact 345 planning state</x:v>
      </x:c>
      <x:c r="E1740" s="21" t="n">
        <x:f>IF(AND('Artifact Ledger'!Q351="OPEN",'Artifact Ledger'!R351="HOLD"),1,0)</x:f>
        <x:v>1</x:v>
      </x:c>
      <x:c r="F1740" s="21" t="n">
        <x:v>1</x:v>
      </x:c>
      <x:c r="G1740" s="23" t="str">
        <x:f>IF(E1740=F1740,"PASS","FAIL")</x:f>
        <x:v>PASS</x:v>
      </x:c>
    </x:row>
    <x:row r="1741">
      <x:c r="B1741" s="21" t="str">
        <x:v>A01735</x:v>
      </x:c>
      <x:c r="C1741" s="21" t="str">
        <x:v>artifact</x:v>
      </x:c>
      <x:c r="D1741" s="21" t="str">
        <x:v>artifact 346 eligibility equation</x:v>
      </x:c>
      <x:c r="E1741" s="21" t="n">
        <x:f>IF(ABS('Artifact Ledger'!P352-IF(AND('Artifact Ledger'!L352=1,'Artifact Ledger'!M352=1,'Artifact Ledger'!N352=1,'Artifact Ledger'!O352&gt;='Artifact Ledger'!G352),'Artifact Ledger'!K352,0))&lt;0.000001,1,0)</x:f>
        <x:v>1</x:v>
      </x:c>
      <x:c r="F1741" s="21" t="n">
        <x:v>1</x:v>
      </x:c>
      <x:c r="G1741" s="23" t="str">
        <x:f>IF(E1741=F1741,"PASS","FAIL")</x:f>
        <x:v>PASS</x:v>
      </x:c>
    </x:row>
    <x:row r="1742">
      <x:c r="B1742" s="21" t="str">
        <x:v>A01736</x:v>
      </x:c>
      <x:c r="C1742" s="21" t="str">
        <x:v>artifact</x:v>
      </x:c>
      <x:c r="D1742" s="21" t="str">
        <x:v>artifact 346 planning state</x:v>
      </x:c>
      <x:c r="E1742" s="21" t="n">
        <x:f>IF(AND('Artifact Ledger'!Q352="OPEN",'Artifact Ledger'!R352="HOLD"),1,0)</x:f>
        <x:v>1</x:v>
      </x:c>
      <x:c r="F1742" s="21" t="n">
        <x:v>1</x:v>
      </x:c>
      <x:c r="G1742" s="23" t="str">
        <x:f>IF(E1742=F1742,"PASS","FAIL")</x:f>
        <x:v>PASS</x:v>
      </x:c>
    </x:row>
    <x:row r="1743">
      <x:c r="B1743" s="21" t="str">
        <x:v>A01737</x:v>
      </x:c>
      <x:c r="C1743" s="21" t="str">
        <x:v>artifact</x:v>
      </x:c>
      <x:c r="D1743" s="21" t="str">
        <x:v>artifact 347 eligibility equation</x:v>
      </x:c>
      <x:c r="E1743" s="21" t="n">
        <x:f>IF(ABS('Artifact Ledger'!P353-IF(AND('Artifact Ledger'!L353=1,'Artifact Ledger'!M353=1,'Artifact Ledger'!N353=1,'Artifact Ledger'!O353&gt;='Artifact Ledger'!G353),'Artifact Ledger'!K353,0))&lt;0.000001,1,0)</x:f>
        <x:v>1</x:v>
      </x:c>
      <x:c r="F1743" s="21" t="n">
        <x:v>1</x:v>
      </x:c>
      <x:c r="G1743" s="23" t="str">
        <x:f>IF(E1743=F1743,"PASS","FAIL")</x:f>
        <x:v>PASS</x:v>
      </x:c>
    </x:row>
    <x:row r="1744">
      <x:c r="B1744" s="21" t="str">
        <x:v>A01738</x:v>
      </x:c>
      <x:c r="C1744" s="21" t="str">
        <x:v>artifact</x:v>
      </x:c>
      <x:c r="D1744" s="21" t="str">
        <x:v>artifact 347 planning state</x:v>
      </x:c>
      <x:c r="E1744" s="21" t="n">
        <x:f>IF(AND('Artifact Ledger'!Q353="OPEN",'Artifact Ledger'!R353="HOLD"),1,0)</x:f>
        <x:v>1</x:v>
      </x:c>
      <x:c r="F1744" s="21" t="n">
        <x:v>1</x:v>
      </x:c>
      <x:c r="G1744" s="23" t="str">
        <x:f>IF(E1744=F1744,"PASS","FAIL")</x:f>
        <x:v>PASS</x:v>
      </x:c>
    </x:row>
    <x:row r="1745">
      <x:c r="B1745" s="21" t="str">
        <x:v>A01739</x:v>
      </x:c>
      <x:c r="C1745" s="21" t="str">
        <x:v>artifact</x:v>
      </x:c>
      <x:c r="D1745" s="21" t="str">
        <x:v>artifact 348 eligibility equation</x:v>
      </x:c>
      <x:c r="E1745" s="21" t="n">
        <x:f>IF(ABS('Artifact Ledger'!P354-IF(AND('Artifact Ledger'!L354=1,'Artifact Ledger'!M354=1,'Artifact Ledger'!N354=1,'Artifact Ledger'!O354&gt;='Artifact Ledger'!G354),'Artifact Ledger'!K354,0))&lt;0.000001,1,0)</x:f>
        <x:v>1</x:v>
      </x:c>
      <x:c r="F1745" s="21" t="n">
        <x:v>1</x:v>
      </x:c>
      <x:c r="G1745" s="23" t="str">
        <x:f>IF(E1745=F1745,"PASS","FAIL")</x:f>
        <x:v>PASS</x:v>
      </x:c>
    </x:row>
    <x:row r="1746">
      <x:c r="B1746" s="21" t="str">
        <x:v>A01740</x:v>
      </x:c>
      <x:c r="C1746" s="21" t="str">
        <x:v>artifact</x:v>
      </x:c>
      <x:c r="D1746" s="21" t="str">
        <x:v>artifact 348 planning state</x:v>
      </x:c>
      <x:c r="E1746" s="21" t="n">
        <x:f>IF(AND('Artifact Ledger'!Q354="OPEN",'Artifact Ledger'!R354="HOLD"),1,0)</x:f>
        <x:v>1</x:v>
      </x:c>
      <x:c r="F1746" s="21" t="n">
        <x:v>1</x:v>
      </x:c>
      <x:c r="G1746" s="23" t="str">
        <x:f>IF(E1746=F1746,"PASS","FAIL")</x:f>
        <x:v>PASS</x:v>
      </x:c>
    </x:row>
    <x:row r="1747">
      <x:c r="B1747" s="21" t="str">
        <x:v>A01741</x:v>
      </x:c>
      <x:c r="C1747" s="21" t="str">
        <x:v>artifact</x:v>
      </x:c>
      <x:c r="D1747" s="21" t="str">
        <x:v>artifact 349 eligibility equation</x:v>
      </x:c>
      <x:c r="E1747" s="21" t="n">
        <x:f>IF(ABS('Artifact Ledger'!P355-IF(AND('Artifact Ledger'!L355=1,'Artifact Ledger'!M355=1,'Artifact Ledger'!N355=1,'Artifact Ledger'!O355&gt;='Artifact Ledger'!G355),'Artifact Ledger'!K355,0))&lt;0.000001,1,0)</x:f>
        <x:v>1</x:v>
      </x:c>
      <x:c r="F1747" s="21" t="n">
        <x:v>1</x:v>
      </x:c>
      <x:c r="G1747" s="23" t="str">
        <x:f>IF(E1747=F1747,"PASS","FAIL")</x:f>
        <x:v>PASS</x:v>
      </x:c>
    </x:row>
    <x:row r="1748">
      <x:c r="B1748" s="21" t="str">
        <x:v>A01742</x:v>
      </x:c>
      <x:c r="C1748" s="21" t="str">
        <x:v>artifact</x:v>
      </x:c>
      <x:c r="D1748" s="21" t="str">
        <x:v>artifact 349 planning state</x:v>
      </x:c>
      <x:c r="E1748" s="21" t="n">
        <x:f>IF(AND('Artifact Ledger'!Q355="OPEN",'Artifact Ledger'!R355="HOLD"),1,0)</x:f>
        <x:v>1</x:v>
      </x:c>
      <x:c r="F1748" s="21" t="n">
        <x:v>1</x:v>
      </x:c>
      <x:c r="G1748" s="23" t="str">
        <x:f>IF(E1748=F1748,"PASS","FAIL")</x:f>
        <x:v>PASS</x:v>
      </x:c>
    </x:row>
    <x:row r="1749">
      <x:c r="B1749" s="21" t="str">
        <x:v>A01743</x:v>
      </x:c>
      <x:c r="C1749" s="21" t="str">
        <x:v>artifact</x:v>
      </x:c>
      <x:c r="D1749" s="21" t="str">
        <x:v>artifact 350 eligibility equation</x:v>
      </x:c>
      <x:c r="E1749" s="21" t="n">
        <x:f>IF(ABS('Artifact Ledger'!P356-IF(AND('Artifact Ledger'!L356=1,'Artifact Ledger'!M356=1,'Artifact Ledger'!N356=1,'Artifact Ledger'!O356&gt;='Artifact Ledger'!G356),'Artifact Ledger'!K356,0))&lt;0.000001,1,0)</x:f>
        <x:v>1</x:v>
      </x:c>
      <x:c r="F1749" s="21" t="n">
        <x:v>1</x:v>
      </x:c>
      <x:c r="G1749" s="23" t="str">
        <x:f>IF(E1749=F1749,"PASS","FAIL")</x:f>
        <x:v>PASS</x:v>
      </x:c>
    </x:row>
    <x:row r="1750">
      <x:c r="B1750" s="21" t="str">
        <x:v>A01744</x:v>
      </x:c>
      <x:c r="C1750" s="21" t="str">
        <x:v>artifact</x:v>
      </x:c>
      <x:c r="D1750" s="21" t="str">
        <x:v>artifact 350 planning state</x:v>
      </x:c>
      <x:c r="E1750" s="21" t="n">
        <x:f>IF(AND('Artifact Ledger'!Q356="OPEN",'Artifact Ledger'!R356="HOLD"),1,0)</x:f>
        <x:v>1</x:v>
      </x:c>
      <x:c r="F1750" s="21" t="n">
        <x:v>1</x:v>
      </x:c>
      <x:c r="G1750" s="23" t="str">
        <x:f>IF(E1750=F1750,"PASS","FAIL")</x:f>
        <x:v>PASS</x:v>
      </x:c>
    </x:row>
    <x:row r="1751">
      <x:c r="B1751" s="21" t="str">
        <x:v>A01745</x:v>
      </x:c>
      <x:c r="C1751" s="21" t="str">
        <x:v>artifact</x:v>
      </x:c>
      <x:c r="D1751" s="21" t="str">
        <x:v>artifact 351 eligibility equation</x:v>
      </x:c>
      <x:c r="E1751" s="21" t="n">
        <x:f>IF(ABS('Artifact Ledger'!P357-IF(AND('Artifact Ledger'!L357=1,'Artifact Ledger'!M357=1,'Artifact Ledger'!N357=1,'Artifact Ledger'!O357&gt;='Artifact Ledger'!G357),'Artifact Ledger'!K357,0))&lt;0.000001,1,0)</x:f>
        <x:v>1</x:v>
      </x:c>
      <x:c r="F1751" s="21" t="n">
        <x:v>1</x:v>
      </x:c>
      <x:c r="G1751" s="23" t="str">
        <x:f>IF(E1751=F1751,"PASS","FAIL")</x:f>
        <x:v>PASS</x:v>
      </x:c>
    </x:row>
    <x:row r="1752">
      <x:c r="B1752" s="21" t="str">
        <x:v>A01746</x:v>
      </x:c>
      <x:c r="C1752" s="21" t="str">
        <x:v>artifact</x:v>
      </x:c>
      <x:c r="D1752" s="21" t="str">
        <x:v>artifact 351 planning state</x:v>
      </x:c>
      <x:c r="E1752" s="21" t="n">
        <x:f>IF(AND('Artifact Ledger'!Q357="OPEN",'Artifact Ledger'!R357="HOLD"),1,0)</x:f>
        <x:v>1</x:v>
      </x:c>
      <x:c r="F1752" s="21" t="n">
        <x:v>1</x:v>
      </x:c>
      <x:c r="G1752" s="23" t="str">
        <x:f>IF(E1752=F1752,"PASS","FAIL")</x:f>
        <x:v>PASS</x:v>
      </x:c>
    </x:row>
    <x:row r="1753">
      <x:c r="B1753" s="21" t="str">
        <x:v>A01747</x:v>
      </x:c>
      <x:c r="C1753" s="21" t="str">
        <x:v>artifact</x:v>
      </x:c>
      <x:c r="D1753" s="21" t="str">
        <x:v>artifact 352 eligibility equation</x:v>
      </x:c>
      <x:c r="E1753" s="21" t="n">
        <x:f>IF(ABS('Artifact Ledger'!P358-IF(AND('Artifact Ledger'!L358=1,'Artifact Ledger'!M358=1,'Artifact Ledger'!N358=1,'Artifact Ledger'!O358&gt;='Artifact Ledger'!G358),'Artifact Ledger'!K358,0))&lt;0.000001,1,0)</x:f>
        <x:v>1</x:v>
      </x:c>
      <x:c r="F1753" s="21" t="n">
        <x:v>1</x:v>
      </x:c>
      <x:c r="G1753" s="23" t="str">
        <x:f>IF(E1753=F1753,"PASS","FAIL")</x:f>
        <x:v>PASS</x:v>
      </x:c>
    </x:row>
    <x:row r="1754">
      <x:c r="B1754" s="21" t="str">
        <x:v>A01748</x:v>
      </x:c>
      <x:c r="C1754" s="21" t="str">
        <x:v>artifact</x:v>
      </x:c>
      <x:c r="D1754" s="21" t="str">
        <x:v>artifact 352 planning state</x:v>
      </x:c>
      <x:c r="E1754" s="21" t="n">
        <x:f>IF(AND('Artifact Ledger'!Q358="OPEN",'Artifact Ledger'!R358="HOLD"),1,0)</x:f>
        <x:v>1</x:v>
      </x:c>
      <x:c r="F1754" s="21" t="n">
        <x:v>1</x:v>
      </x:c>
      <x:c r="G1754" s="23" t="str">
        <x:f>IF(E1754=F1754,"PASS","FAIL")</x:f>
        <x:v>PASS</x:v>
      </x:c>
    </x:row>
    <x:row r="1755">
      <x:c r="B1755" s="21" t="str">
        <x:v>A01749</x:v>
      </x:c>
      <x:c r="C1755" s="21" t="str">
        <x:v>artifact</x:v>
      </x:c>
      <x:c r="D1755" s="21" t="str">
        <x:v>artifact 353 eligibility equation</x:v>
      </x:c>
      <x:c r="E1755" s="21" t="n">
        <x:f>IF(ABS('Artifact Ledger'!P359-IF(AND('Artifact Ledger'!L359=1,'Artifact Ledger'!M359=1,'Artifact Ledger'!N359=1,'Artifact Ledger'!O359&gt;='Artifact Ledger'!G359),'Artifact Ledger'!K359,0))&lt;0.000001,1,0)</x:f>
        <x:v>1</x:v>
      </x:c>
      <x:c r="F1755" s="21" t="n">
        <x:v>1</x:v>
      </x:c>
      <x:c r="G1755" s="23" t="str">
        <x:f>IF(E1755=F1755,"PASS","FAIL")</x:f>
        <x:v>PASS</x:v>
      </x:c>
    </x:row>
    <x:row r="1756">
      <x:c r="B1756" s="21" t="str">
        <x:v>A01750</x:v>
      </x:c>
      <x:c r="C1756" s="21" t="str">
        <x:v>artifact</x:v>
      </x:c>
      <x:c r="D1756" s="21" t="str">
        <x:v>artifact 353 planning state</x:v>
      </x:c>
      <x:c r="E1756" s="21" t="n">
        <x:f>IF(AND('Artifact Ledger'!Q359="OPEN",'Artifact Ledger'!R359="HOLD"),1,0)</x:f>
        <x:v>1</x:v>
      </x:c>
      <x:c r="F1756" s="21" t="n">
        <x:v>1</x:v>
      </x:c>
      <x:c r="G1756" s="23" t="str">
        <x:f>IF(E1756=F1756,"PASS","FAIL")</x:f>
        <x:v>PASS</x:v>
      </x:c>
    </x:row>
    <x:row r="1757">
      <x:c r="B1757" s="21" t="str">
        <x:v>A01751</x:v>
      </x:c>
      <x:c r="C1757" s="21" t="str">
        <x:v>artifact</x:v>
      </x:c>
      <x:c r="D1757" s="21" t="str">
        <x:v>artifact 354 eligibility equation</x:v>
      </x:c>
      <x:c r="E1757" s="21" t="n">
        <x:f>IF(ABS('Artifact Ledger'!P360-IF(AND('Artifact Ledger'!L360=1,'Artifact Ledger'!M360=1,'Artifact Ledger'!N360=1,'Artifact Ledger'!O360&gt;='Artifact Ledger'!G360),'Artifact Ledger'!K360,0))&lt;0.000001,1,0)</x:f>
        <x:v>1</x:v>
      </x:c>
      <x:c r="F1757" s="21" t="n">
        <x:v>1</x:v>
      </x:c>
      <x:c r="G1757" s="23" t="str">
        <x:f>IF(E1757=F1757,"PASS","FAIL")</x:f>
        <x:v>PASS</x:v>
      </x:c>
    </x:row>
    <x:row r="1758">
      <x:c r="B1758" s="21" t="str">
        <x:v>A01752</x:v>
      </x:c>
      <x:c r="C1758" s="21" t="str">
        <x:v>artifact</x:v>
      </x:c>
      <x:c r="D1758" s="21" t="str">
        <x:v>artifact 354 planning state</x:v>
      </x:c>
      <x:c r="E1758" s="21" t="n">
        <x:f>IF(AND('Artifact Ledger'!Q360="OPEN",'Artifact Ledger'!R360="HOLD"),1,0)</x:f>
        <x:v>1</x:v>
      </x:c>
      <x:c r="F1758" s="21" t="n">
        <x:v>1</x:v>
      </x:c>
      <x:c r="G1758" s="23" t="str">
        <x:f>IF(E1758=F1758,"PASS","FAIL")</x:f>
        <x:v>PASS</x:v>
      </x:c>
    </x:row>
    <x:row r="1759">
      <x:c r="B1759" s="21" t="str">
        <x:v>A01753</x:v>
      </x:c>
      <x:c r="C1759" s="21" t="str">
        <x:v>artifact</x:v>
      </x:c>
      <x:c r="D1759" s="21" t="str">
        <x:v>artifact 355 eligibility equation</x:v>
      </x:c>
      <x:c r="E1759" s="21" t="n">
        <x:f>IF(ABS('Artifact Ledger'!P361-IF(AND('Artifact Ledger'!L361=1,'Artifact Ledger'!M361=1,'Artifact Ledger'!N361=1,'Artifact Ledger'!O361&gt;='Artifact Ledger'!G361),'Artifact Ledger'!K361,0))&lt;0.000001,1,0)</x:f>
        <x:v>1</x:v>
      </x:c>
      <x:c r="F1759" s="21" t="n">
        <x:v>1</x:v>
      </x:c>
      <x:c r="G1759" s="23" t="str">
        <x:f>IF(E1759=F1759,"PASS","FAIL")</x:f>
        <x:v>PASS</x:v>
      </x:c>
    </x:row>
    <x:row r="1760">
      <x:c r="B1760" s="21" t="str">
        <x:v>A01754</x:v>
      </x:c>
      <x:c r="C1760" s="21" t="str">
        <x:v>artifact</x:v>
      </x:c>
      <x:c r="D1760" s="21" t="str">
        <x:v>artifact 355 planning state</x:v>
      </x:c>
      <x:c r="E1760" s="21" t="n">
        <x:f>IF(AND('Artifact Ledger'!Q361="OPEN",'Artifact Ledger'!R361="HOLD"),1,0)</x:f>
        <x:v>1</x:v>
      </x:c>
      <x:c r="F1760" s="21" t="n">
        <x:v>1</x:v>
      </x:c>
      <x:c r="G1760" s="23" t="str">
        <x:f>IF(E1760=F1760,"PASS","FAIL")</x:f>
        <x:v>PASS</x:v>
      </x:c>
    </x:row>
    <x:row r="1761">
      <x:c r="B1761" s="21" t="str">
        <x:v>A01755</x:v>
      </x:c>
      <x:c r="C1761" s="21" t="str">
        <x:v>artifact</x:v>
      </x:c>
      <x:c r="D1761" s="21" t="str">
        <x:v>artifact 356 eligibility equation</x:v>
      </x:c>
      <x:c r="E1761" s="21" t="n">
        <x:f>IF(ABS('Artifact Ledger'!P362-IF(AND('Artifact Ledger'!L362=1,'Artifact Ledger'!M362=1,'Artifact Ledger'!N362=1,'Artifact Ledger'!O362&gt;='Artifact Ledger'!G362),'Artifact Ledger'!K362,0))&lt;0.000001,1,0)</x:f>
        <x:v>1</x:v>
      </x:c>
      <x:c r="F1761" s="21" t="n">
        <x:v>1</x:v>
      </x:c>
      <x:c r="G1761" s="23" t="str">
        <x:f>IF(E1761=F1761,"PASS","FAIL")</x:f>
        <x:v>PASS</x:v>
      </x:c>
    </x:row>
    <x:row r="1762">
      <x:c r="B1762" s="21" t="str">
        <x:v>A01756</x:v>
      </x:c>
      <x:c r="C1762" s="21" t="str">
        <x:v>artifact</x:v>
      </x:c>
      <x:c r="D1762" s="21" t="str">
        <x:v>artifact 356 planning state</x:v>
      </x:c>
      <x:c r="E1762" s="21" t="n">
        <x:f>IF(AND('Artifact Ledger'!Q362="OPEN",'Artifact Ledger'!R362="HOLD"),1,0)</x:f>
        <x:v>1</x:v>
      </x:c>
      <x:c r="F1762" s="21" t="n">
        <x:v>1</x:v>
      </x:c>
      <x:c r="G1762" s="23" t="str">
        <x:f>IF(E1762=F1762,"PASS","FAIL")</x:f>
        <x:v>PASS</x:v>
      </x:c>
    </x:row>
    <x:row r="1763">
      <x:c r="B1763" s="21" t="str">
        <x:v>A01757</x:v>
      </x:c>
      <x:c r="C1763" s="21" t="str">
        <x:v>artifact</x:v>
      </x:c>
      <x:c r="D1763" s="21" t="str">
        <x:v>artifact 357 eligibility equation</x:v>
      </x:c>
      <x:c r="E1763" s="21" t="n">
        <x:f>IF(ABS('Artifact Ledger'!P363-IF(AND('Artifact Ledger'!L363=1,'Artifact Ledger'!M363=1,'Artifact Ledger'!N363=1,'Artifact Ledger'!O363&gt;='Artifact Ledger'!G363),'Artifact Ledger'!K363,0))&lt;0.000001,1,0)</x:f>
        <x:v>1</x:v>
      </x:c>
      <x:c r="F1763" s="21" t="n">
        <x:v>1</x:v>
      </x:c>
      <x:c r="G1763" s="23" t="str">
        <x:f>IF(E1763=F1763,"PASS","FAIL")</x:f>
        <x:v>PASS</x:v>
      </x:c>
    </x:row>
    <x:row r="1764">
      <x:c r="B1764" s="21" t="str">
        <x:v>A01758</x:v>
      </x:c>
      <x:c r="C1764" s="21" t="str">
        <x:v>artifact</x:v>
      </x:c>
      <x:c r="D1764" s="21" t="str">
        <x:v>artifact 357 planning state</x:v>
      </x:c>
      <x:c r="E1764" s="21" t="n">
        <x:f>IF(AND('Artifact Ledger'!Q363="OPEN",'Artifact Ledger'!R363="HOLD"),1,0)</x:f>
        <x:v>1</x:v>
      </x:c>
      <x:c r="F1764" s="21" t="n">
        <x:v>1</x:v>
      </x:c>
      <x:c r="G1764" s="23" t="str">
        <x:f>IF(E1764=F1764,"PASS","FAIL")</x:f>
        <x:v>PASS</x:v>
      </x:c>
    </x:row>
    <x:row r="1765">
      <x:c r="B1765" s="21" t="str">
        <x:v>A01759</x:v>
      </x:c>
      <x:c r="C1765" s="21" t="str">
        <x:v>artifact</x:v>
      </x:c>
      <x:c r="D1765" s="21" t="str">
        <x:v>artifact 358 eligibility equation</x:v>
      </x:c>
      <x:c r="E1765" s="21" t="n">
        <x:f>IF(ABS('Artifact Ledger'!P364-IF(AND('Artifact Ledger'!L364=1,'Artifact Ledger'!M364=1,'Artifact Ledger'!N364=1,'Artifact Ledger'!O364&gt;='Artifact Ledger'!G364),'Artifact Ledger'!K364,0))&lt;0.000001,1,0)</x:f>
        <x:v>1</x:v>
      </x:c>
      <x:c r="F1765" s="21" t="n">
        <x:v>1</x:v>
      </x:c>
      <x:c r="G1765" s="23" t="str">
        <x:f>IF(E1765=F1765,"PASS","FAIL")</x:f>
        <x:v>PASS</x:v>
      </x:c>
    </x:row>
    <x:row r="1766">
      <x:c r="B1766" s="21" t="str">
        <x:v>A01760</x:v>
      </x:c>
      <x:c r="C1766" s="21" t="str">
        <x:v>artifact</x:v>
      </x:c>
      <x:c r="D1766" s="21" t="str">
        <x:v>artifact 358 planning state</x:v>
      </x:c>
      <x:c r="E1766" s="21" t="n">
        <x:f>IF(AND('Artifact Ledger'!Q364="OPEN",'Artifact Ledger'!R364="HOLD"),1,0)</x:f>
        <x:v>1</x:v>
      </x:c>
      <x:c r="F1766" s="21" t="n">
        <x:v>1</x:v>
      </x:c>
      <x:c r="G1766" s="23" t="str">
        <x:f>IF(E1766=F1766,"PASS","FAIL")</x:f>
        <x:v>PASS</x:v>
      </x:c>
    </x:row>
    <x:row r="1767">
      <x:c r="B1767" s="21" t="str">
        <x:v>A01761</x:v>
      </x:c>
      <x:c r="C1767" s="21" t="str">
        <x:v>artifact</x:v>
      </x:c>
      <x:c r="D1767" s="21" t="str">
        <x:v>artifact 359 eligibility equation</x:v>
      </x:c>
      <x:c r="E1767" s="21" t="n">
        <x:f>IF(ABS('Artifact Ledger'!P365-IF(AND('Artifact Ledger'!L365=1,'Artifact Ledger'!M365=1,'Artifact Ledger'!N365=1,'Artifact Ledger'!O365&gt;='Artifact Ledger'!G365),'Artifact Ledger'!K365,0))&lt;0.000001,1,0)</x:f>
        <x:v>1</x:v>
      </x:c>
      <x:c r="F1767" s="21" t="n">
        <x:v>1</x:v>
      </x:c>
      <x:c r="G1767" s="23" t="str">
        <x:f>IF(E1767=F1767,"PASS","FAIL")</x:f>
        <x:v>PASS</x:v>
      </x:c>
    </x:row>
    <x:row r="1768">
      <x:c r="B1768" s="21" t="str">
        <x:v>A01762</x:v>
      </x:c>
      <x:c r="C1768" s="21" t="str">
        <x:v>artifact</x:v>
      </x:c>
      <x:c r="D1768" s="21" t="str">
        <x:v>artifact 359 planning state</x:v>
      </x:c>
      <x:c r="E1768" s="21" t="n">
        <x:f>IF(AND('Artifact Ledger'!Q365="OPEN",'Artifact Ledger'!R365="HOLD"),1,0)</x:f>
        <x:v>1</x:v>
      </x:c>
      <x:c r="F1768" s="21" t="n">
        <x:v>1</x:v>
      </x:c>
      <x:c r="G1768" s="23" t="str">
        <x:f>IF(E1768=F1768,"PASS","FAIL")</x:f>
        <x:v>PASS</x:v>
      </x:c>
    </x:row>
    <x:row r="1769">
      <x:c r="B1769" s="21" t="str">
        <x:v>A01763</x:v>
      </x:c>
      <x:c r="C1769" s="21" t="str">
        <x:v>artifact</x:v>
      </x:c>
      <x:c r="D1769" s="21" t="str">
        <x:v>artifact 360 eligibility equation</x:v>
      </x:c>
      <x:c r="E1769" s="21" t="n">
        <x:f>IF(ABS('Artifact Ledger'!P366-IF(AND('Artifact Ledger'!L366=1,'Artifact Ledger'!M366=1,'Artifact Ledger'!N366=1,'Artifact Ledger'!O366&gt;='Artifact Ledger'!G366),'Artifact Ledger'!K366,0))&lt;0.000001,1,0)</x:f>
        <x:v>1</x:v>
      </x:c>
      <x:c r="F1769" s="21" t="n">
        <x:v>1</x:v>
      </x:c>
      <x:c r="G1769" s="23" t="str">
        <x:f>IF(E1769=F1769,"PASS","FAIL")</x:f>
        <x:v>PASS</x:v>
      </x:c>
    </x:row>
    <x:row r="1770">
      <x:c r="B1770" s="21" t="str">
        <x:v>A01764</x:v>
      </x:c>
      <x:c r="C1770" s="21" t="str">
        <x:v>artifact</x:v>
      </x:c>
      <x:c r="D1770" s="21" t="str">
        <x:v>artifact 360 planning state</x:v>
      </x:c>
      <x:c r="E1770" s="21" t="n">
        <x:f>IF(AND('Artifact Ledger'!Q366="OPEN",'Artifact Ledger'!R366="HOLD"),1,0)</x:f>
        <x:v>1</x:v>
      </x:c>
      <x:c r="F1770" s="21" t="n">
        <x:v>1</x:v>
      </x:c>
      <x:c r="G1770" s="23" t="str">
        <x:f>IF(E1770=F1770,"PASS","FAIL")</x:f>
        <x:v>PASS</x:v>
      </x:c>
    </x:row>
    <x:row r="1771">
      <x:c r="B1771" s="21" t="str">
        <x:v>A01765</x:v>
      </x:c>
      <x:c r="C1771" s="21" t="str">
        <x:v>artifact</x:v>
      </x:c>
      <x:c r="D1771" s="21" t="str">
        <x:v>artifact 361 eligibility equation</x:v>
      </x:c>
      <x:c r="E1771" s="21" t="n">
        <x:f>IF(ABS('Artifact Ledger'!P367-IF(AND('Artifact Ledger'!L367=1,'Artifact Ledger'!M367=1,'Artifact Ledger'!N367=1,'Artifact Ledger'!O367&gt;='Artifact Ledger'!G367),'Artifact Ledger'!K367,0))&lt;0.000001,1,0)</x:f>
        <x:v>1</x:v>
      </x:c>
      <x:c r="F1771" s="21" t="n">
        <x:v>1</x:v>
      </x:c>
      <x:c r="G1771" s="23" t="str">
        <x:f>IF(E1771=F1771,"PASS","FAIL")</x:f>
        <x:v>PASS</x:v>
      </x:c>
    </x:row>
    <x:row r="1772">
      <x:c r="B1772" s="21" t="str">
        <x:v>A01766</x:v>
      </x:c>
      <x:c r="C1772" s="21" t="str">
        <x:v>artifact</x:v>
      </x:c>
      <x:c r="D1772" s="21" t="str">
        <x:v>artifact 361 planning state</x:v>
      </x:c>
      <x:c r="E1772" s="21" t="n">
        <x:f>IF(AND('Artifact Ledger'!Q367="OPEN",'Artifact Ledger'!R367="HOLD"),1,0)</x:f>
        <x:v>1</x:v>
      </x:c>
      <x:c r="F1772" s="21" t="n">
        <x:v>1</x:v>
      </x:c>
      <x:c r="G1772" s="23" t="str">
        <x:f>IF(E1772=F1772,"PASS","FAIL")</x:f>
        <x:v>PASS</x:v>
      </x:c>
    </x:row>
    <x:row r="1773">
      <x:c r="B1773" s="21" t="str">
        <x:v>A01767</x:v>
      </x:c>
      <x:c r="C1773" s="21" t="str">
        <x:v>artifact</x:v>
      </x:c>
      <x:c r="D1773" s="21" t="str">
        <x:v>artifact 362 eligibility equation</x:v>
      </x:c>
      <x:c r="E1773" s="21" t="n">
        <x:f>IF(ABS('Artifact Ledger'!P368-IF(AND('Artifact Ledger'!L368=1,'Artifact Ledger'!M368=1,'Artifact Ledger'!N368=1,'Artifact Ledger'!O368&gt;='Artifact Ledger'!G368),'Artifact Ledger'!K368,0))&lt;0.000001,1,0)</x:f>
        <x:v>1</x:v>
      </x:c>
      <x:c r="F1773" s="21" t="n">
        <x:v>1</x:v>
      </x:c>
      <x:c r="G1773" s="23" t="str">
        <x:f>IF(E1773=F1773,"PASS","FAIL")</x:f>
        <x:v>PASS</x:v>
      </x:c>
    </x:row>
    <x:row r="1774">
      <x:c r="B1774" s="21" t="str">
        <x:v>A01768</x:v>
      </x:c>
      <x:c r="C1774" s="21" t="str">
        <x:v>artifact</x:v>
      </x:c>
      <x:c r="D1774" s="21" t="str">
        <x:v>artifact 362 planning state</x:v>
      </x:c>
      <x:c r="E1774" s="21" t="n">
        <x:f>IF(AND('Artifact Ledger'!Q368="OPEN",'Artifact Ledger'!R368="HOLD"),1,0)</x:f>
        <x:v>1</x:v>
      </x:c>
      <x:c r="F1774" s="21" t="n">
        <x:v>1</x:v>
      </x:c>
      <x:c r="G1774" s="23" t="str">
        <x:f>IF(E1774=F1774,"PASS","FAIL")</x:f>
        <x:v>PASS</x:v>
      </x:c>
    </x:row>
    <x:row r="1775">
      <x:c r="B1775" s="21" t="str">
        <x:v>A01769</x:v>
      </x:c>
      <x:c r="C1775" s="21" t="str">
        <x:v>artifact</x:v>
      </x:c>
      <x:c r="D1775" s="21" t="str">
        <x:v>artifact 363 eligibility equation</x:v>
      </x:c>
      <x:c r="E1775" s="21" t="n">
        <x:f>IF(ABS('Artifact Ledger'!P369-IF(AND('Artifact Ledger'!L369=1,'Artifact Ledger'!M369=1,'Artifact Ledger'!N369=1,'Artifact Ledger'!O369&gt;='Artifact Ledger'!G369),'Artifact Ledger'!K369,0))&lt;0.000001,1,0)</x:f>
        <x:v>1</x:v>
      </x:c>
      <x:c r="F1775" s="21" t="n">
        <x:v>1</x:v>
      </x:c>
      <x:c r="G1775" s="23" t="str">
        <x:f>IF(E1775=F1775,"PASS","FAIL")</x:f>
        <x:v>PASS</x:v>
      </x:c>
    </x:row>
    <x:row r="1776">
      <x:c r="B1776" s="21" t="str">
        <x:v>A01770</x:v>
      </x:c>
      <x:c r="C1776" s="21" t="str">
        <x:v>artifact</x:v>
      </x:c>
      <x:c r="D1776" s="21" t="str">
        <x:v>artifact 363 planning state</x:v>
      </x:c>
      <x:c r="E1776" s="21" t="n">
        <x:f>IF(AND('Artifact Ledger'!Q369="OPEN",'Artifact Ledger'!R369="HOLD"),1,0)</x:f>
        <x:v>1</x:v>
      </x:c>
      <x:c r="F1776" s="21" t="n">
        <x:v>1</x:v>
      </x:c>
      <x:c r="G1776" s="23" t="str">
        <x:f>IF(E1776=F1776,"PASS","FAIL")</x:f>
        <x:v>PASS</x:v>
      </x:c>
    </x:row>
    <x:row r="1777">
      <x:c r="B1777" s="21" t="str">
        <x:v>A01771</x:v>
      </x:c>
      <x:c r="C1777" s="21" t="str">
        <x:v>artifact</x:v>
      </x:c>
      <x:c r="D1777" s="21" t="str">
        <x:v>artifact 364 eligibility equation</x:v>
      </x:c>
      <x:c r="E1777" s="21" t="n">
        <x:f>IF(ABS('Artifact Ledger'!P370-IF(AND('Artifact Ledger'!L370=1,'Artifact Ledger'!M370=1,'Artifact Ledger'!N370=1,'Artifact Ledger'!O370&gt;='Artifact Ledger'!G370),'Artifact Ledger'!K370,0))&lt;0.000001,1,0)</x:f>
        <x:v>1</x:v>
      </x:c>
      <x:c r="F1777" s="21" t="n">
        <x:v>1</x:v>
      </x:c>
      <x:c r="G1777" s="23" t="str">
        <x:f>IF(E1777=F1777,"PASS","FAIL")</x:f>
        <x:v>PASS</x:v>
      </x:c>
    </x:row>
    <x:row r="1778">
      <x:c r="B1778" s="21" t="str">
        <x:v>A01772</x:v>
      </x:c>
      <x:c r="C1778" s="21" t="str">
        <x:v>artifact</x:v>
      </x:c>
      <x:c r="D1778" s="21" t="str">
        <x:v>artifact 364 planning state</x:v>
      </x:c>
      <x:c r="E1778" s="21" t="n">
        <x:f>IF(AND('Artifact Ledger'!Q370="OPEN",'Artifact Ledger'!R370="HOLD"),1,0)</x:f>
        <x:v>1</x:v>
      </x:c>
      <x:c r="F1778" s="21" t="n">
        <x:v>1</x:v>
      </x:c>
      <x:c r="G1778" s="23" t="str">
        <x:f>IF(E1778=F1778,"PASS","FAIL")</x:f>
        <x:v>PASS</x:v>
      </x:c>
    </x:row>
    <x:row r="1779">
      <x:c r="B1779" s="21" t="str">
        <x:v>A01773</x:v>
      </x:c>
      <x:c r="C1779" s="21" t="str">
        <x:v>artifact</x:v>
      </x:c>
      <x:c r="D1779" s="21" t="str">
        <x:v>artifact 365 eligibility equation</x:v>
      </x:c>
      <x:c r="E1779" s="21" t="n">
        <x:f>IF(ABS('Artifact Ledger'!P371-IF(AND('Artifact Ledger'!L371=1,'Artifact Ledger'!M371=1,'Artifact Ledger'!N371=1,'Artifact Ledger'!O371&gt;='Artifact Ledger'!G371),'Artifact Ledger'!K371,0))&lt;0.000001,1,0)</x:f>
        <x:v>1</x:v>
      </x:c>
      <x:c r="F1779" s="21" t="n">
        <x:v>1</x:v>
      </x:c>
      <x:c r="G1779" s="23" t="str">
        <x:f>IF(E1779=F1779,"PASS","FAIL")</x:f>
        <x:v>PASS</x:v>
      </x:c>
    </x:row>
    <x:row r="1780">
      <x:c r="B1780" s="21" t="str">
        <x:v>A01774</x:v>
      </x:c>
      <x:c r="C1780" s="21" t="str">
        <x:v>artifact</x:v>
      </x:c>
      <x:c r="D1780" s="21" t="str">
        <x:v>artifact 365 planning state</x:v>
      </x:c>
      <x:c r="E1780" s="21" t="n">
        <x:f>IF(AND('Artifact Ledger'!Q371="OPEN",'Artifact Ledger'!R371="HOLD"),1,0)</x:f>
        <x:v>1</x:v>
      </x:c>
      <x:c r="F1780" s="21" t="n">
        <x:v>1</x:v>
      </x:c>
      <x:c r="G1780" s="23" t="str">
        <x:f>IF(E1780=F1780,"PASS","FAIL")</x:f>
        <x:v>PASS</x:v>
      </x:c>
    </x:row>
    <x:row r="1781">
      <x:c r="B1781" s="21" t="str">
        <x:v>A01775</x:v>
      </x:c>
      <x:c r="C1781" s="21" t="str">
        <x:v>artifact</x:v>
      </x:c>
      <x:c r="D1781" s="21" t="str">
        <x:v>artifact 366 eligibility equation</x:v>
      </x:c>
      <x:c r="E1781" s="21" t="n">
        <x:f>IF(ABS('Artifact Ledger'!P372-IF(AND('Artifact Ledger'!L372=1,'Artifact Ledger'!M372=1,'Artifact Ledger'!N372=1,'Artifact Ledger'!O372&gt;='Artifact Ledger'!G372),'Artifact Ledger'!K372,0))&lt;0.000001,1,0)</x:f>
        <x:v>1</x:v>
      </x:c>
      <x:c r="F1781" s="21" t="n">
        <x:v>1</x:v>
      </x:c>
      <x:c r="G1781" s="23" t="str">
        <x:f>IF(E1781=F1781,"PASS","FAIL")</x:f>
        <x:v>PASS</x:v>
      </x:c>
    </x:row>
    <x:row r="1782">
      <x:c r="B1782" s="21" t="str">
        <x:v>A01776</x:v>
      </x:c>
      <x:c r="C1782" s="21" t="str">
        <x:v>artifact</x:v>
      </x:c>
      <x:c r="D1782" s="21" t="str">
        <x:v>artifact 366 planning state</x:v>
      </x:c>
      <x:c r="E1782" s="21" t="n">
        <x:f>IF(AND('Artifact Ledger'!Q372="OPEN",'Artifact Ledger'!R372="HOLD"),1,0)</x:f>
        <x:v>1</x:v>
      </x:c>
      <x:c r="F1782" s="21" t="n">
        <x:v>1</x:v>
      </x:c>
      <x:c r="G1782" s="23" t="str">
        <x:f>IF(E1782=F1782,"PASS","FAIL")</x:f>
        <x:v>PASS</x:v>
      </x:c>
    </x:row>
    <x:row r="1783">
      <x:c r="B1783" s="21" t="str">
        <x:v>A01777</x:v>
      </x:c>
      <x:c r="C1783" s="21" t="str">
        <x:v>artifact</x:v>
      </x:c>
      <x:c r="D1783" s="21" t="str">
        <x:v>artifact 367 eligibility equation</x:v>
      </x:c>
      <x:c r="E1783" s="21" t="n">
        <x:f>IF(ABS('Artifact Ledger'!P373-IF(AND('Artifact Ledger'!L373=1,'Artifact Ledger'!M373=1,'Artifact Ledger'!N373=1,'Artifact Ledger'!O373&gt;='Artifact Ledger'!G373),'Artifact Ledger'!K373,0))&lt;0.000001,1,0)</x:f>
        <x:v>1</x:v>
      </x:c>
      <x:c r="F1783" s="21" t="n">
        <x:v>1</x:v>
      </x:c>
      <x:c r="G1783" s="23" t="str">
        <x:f>IF(E1783=F1783,"PASS","FAIL")</x:f>
        <x:v>PASS</x:v>
      </x:c>
    </x:row>
    <x:row r="1784">
      <x:c r="B1784" s="21" t="str">
        <x:v>A01778</x:v>
      </x:c>
      <x:c r="C1784" s="21" t="str">
        <x:v>artifact</x:v>
      </x:c>
      <x:c r="D1784" s="21" t="str">
        <x:v>artifact 367 planning state</x:v>
      </x:c>
      <x:c r="E1784" s="21" t="n">
        <x:f>IF(AND('Artifact Ledger'!Q373="OPEN",'Artifact Ledger'!R373="HOLD"),1,0)</x:f>
        <x:v>1</x:v>
      </x:c>
      <x:c r="F1784" s="21" t="n">
        <x:v>1</x:v>
      </x:c>
      <x:c r="G1784" s="23" t="str">
        <x:f>IF(E1784=F1784,"PASS","FAIL")</x:f>
        <x:v>PASS</x:v>
      </x:c>
    </x:row>
    <x:row r="1785">
      <x:c r="B1785" s="21" t="str">
        <x:v>A01779</x:v>
      </x:c>
      <x:c r="C1785" s="21" t="str">
        <x:v>artifact</x:v>
      </x:c>
      <x:c r="D1785" s="21" t="str">
        <x:v>artifact 368 eligibility equation</x:v>
      </x:c>
      <x:c r="E1785" s="21" t="n">
        <x:f>IF(ABS('Artifact Ledger'!P374-IF(AND('Artifact Ledger'!L374=1,'Artifact Ledger'!M374=1,'Artifact Ledger'!N374=1,'Artifact Ledger'!O374&gt;='Artifact Ledger'!G374),'Artifact Ledger'!K374,0))&lt;0.000001,1,0)</x:f>
        <x:v>1</x:v>
      </x:c>
      <x:c r="F1785" s="21" t="n">
        <x:v>1</x:v>
      </x:c>
      <x:c r="G1785" s="23" t="str">
        <x:f>IF(E1785=F1785,"PASS","FAIL")</x:f>
        <x:v>PASS</x:v>
      </x:c>
    </x:row>
    <x:row r="1786">
      <x:c r="B1786" s="21" t="str">
        <x:v>A01780</x:v>
      </x:c>
      <x:c r="C1786" s="21" t="str">
        <x:v>artifact</x:v>
      </x:c>
      <x:c r="D1786" s="21" t="str">
        <x:v>artifact 368 planning state</x:v>
      </x:c>
      <x:c r="E1786" s="21" t="n">
        <x:f>IF(AND('Artifact Ledger'!Q374="OPEN",'Artifact Ledger'!R374="HOLD"),1,0)</x:f>
        <x:v>1</x:v>
      </x:c>
      <x:c r="F1786" s="21" t="n">
        <x:v>1</x:v>
      </x:c>
      <x:c r="G1786" s="23" t="str">
        <x:f>IF(E1786=F1786,"PASS","FAIL")</x:f>
        <x:v>PASS</x:v>
      </x:c>
    </x:row>
    <x:row r="1787">
      <x:c r="B1787" s="21" t="str">
        <x:v>A01781</x:v>
      </x:c>
      <x:c r="C1787" s="21" t="str">
        <x:v>artifact</x:v>
      </x:c>
      <x:c r="D1787" s="21" t="str">
        <x:v>artifact 369 eligibility equation</x:v>
      </x:c>
      <x:c r="E1787" s="21" t="n">
        <x:f>IF(ABS('Artifact Ledger'!P375-IF(AND('Artifact Ledger'!L375=1,'Artifact Ledger'!M375=1,'Artifact Ledger'!N375=1,'Artifact Ledger'!O375&gt;='Artifact Ledger'!G375),'Artifact Ledger'!K375,0))&lt;0.000001,1,0)</x:f>
        <x:v>1</x:v>
      </x:c>
      <x:c r="F1787" s="21" t="n">
        <x:v>1</x:v>
      </x:c>
      <x:c r="G1787" s="23" t="str">
        <x:f>IF(E1787=F1787,"PASS","FAIL")</x:f>
        <x:v>PASS</x:v>
      </x:c>
    </x:row>
    <x:row r="1788">
      <x:c r="B1788" s="21" t="str">
        <x:v>A01782</x:v>
      </x:c>
      <x:c r="C1788" s="21" t="str">
        <x:v>artifact</x:v>
      </x:c>
      <x:c r="D1788" s="21" t="str">
        <x:v>artifact 369 planning state</x:v>
      </x:c>
      <x:c r="E1788" s="21" t="n">
        <x:f>IF(AND('Artifact Ledger'!Q375="OPEN",'Artifact Ledger'!R375="HOLD"),1,0)</x:f>
        <x:v>1</x:v>
      </x:c>
      <x:c r="F1788" s="21" t="n">
        <x:v>1</x:v>
      </x:c>
      <x:c r="G1788" s="23" t="str">
        <x:f>IF(E1788=F1788,"PASS","FAIL")</x:f>
        <x:v>PASS</x:v>
      </x:c>
    </x:row>
    <x:row r="1789">
      <x:c r="B1789" s="21" t="str">
        <x:v>A01783</x:v>
      </x:c>
      <x:c r="C1789" s="21" t="str">
        <x:v>artifact</x:v>
      </x:c>
      <x:c r="D1789" s="21" t="str">
        <x:v>artifact 370 eligibility equation</x:v>
      </x:c>
      <x:c r="E1789" s="21" t="n">
        <x:f>IF(ABS('Artifact Ledger'!P376-IF(AND('Artifact Ledger'!L376=1,'Artifact Ledger'!M376=1,'Artifact Ledger'!N376=1,'Artifact Ledger'!O376&gt;='Artifact Ledger'!G376),'Artifact Ledger'!K376,0))&lt;0.000001,1,0)</x:f>
        <x:v>1</x:v>
      </x:c>
      <x:c r="F1789" s="21" t="n">
        <x:v>1</x:v>
      </x:c>
      <x:c r="G1789" s="23" t="str">
        <x:f>IF(E1789=F1789,"PASS","FAIL")</x:f>
        <x:v>PASS</x:v>
      </x:c>
    </x:row>
    <x:row r="1790">
      <x:c r="B1790" s="21" t="str">
        <x:v>A01784</x:v>
      </x:c>
      <x:c r="C1790" s="21" t="str">
        <x:v>artifact</x:v>
      </x:c>
      <x:c r="D1790" s="21" t="str">
        <x:v>artifact 370 planning state</x:v>
      </x:c>
      <x:c r="E1790" s="21" t="n">
        <x:f>IF(AND('Artifact Ledger'!Q376="OPEN",'Artifact Ledger'!R376="HOLD"),1,0)</x:f>
        <x:v>1</x:v>
      </x:c>
      <x:c r="F1790" s="21" t="n">
        <x:v>1</x:v>
      </x:c>
      <x:c r="G1790" s="23" t="str">
        <x:f>IF(E1790=F1790,"PASS","FAIL")</x:f>
        <x:v>PASS</x:v>
      </x:c>
    </x:row>
    <x:row r="1791">
      <x:c r="B1791" s="21" t="str">
        <x:v>A01785</x:v>
      </x:c>
      <x:c r="C1791" s="21" t="str">
        <x:v>artifact</x:v>
      </x:c>
      <x:c r="D1791" s="21" t="str">
        <x:v>artifact 371 eligibility equation</x:v>
      </x:c>
      <x:c r="E1791" s="21" t="n">
        <x:f>IF(ABS('Artifact Ledger'!P377-IF(AND('Artifact Ledger'!L377=1,'Artifact Ledger'!M377=1,'Artifact Ledger'!N377=1,'Artifact Ledger'!O377&gt;='Artifact Ledger'!G377),'Artifact Ledger'!K377,0))&lt;0.000001,1,0)</x:f>
        <x:v>1</x:v>
      </x:c>
      <x:c r="F1791" s="21" t="n">
        <x:v>1</x:v>
      </x:c>
      <x:c r="G1791" s="23" t="str">
        <x:f>IF(E1791=F1791,"PASS","FAIL")</x:f>
        <x:v>PASS</x:v>
      </x:c>
    </x:row>
    <x:row r="1792">
      <x:c r="B1792" s="21" t="str">
        <x:v>A01786</x:v>
      </x:c>
      <x:c r="C1792" s="21" t="str">
        <x:v>artifact</x:v>
      </x:c>
      <x:c r="D1792" s="21" t="str">
        <x:v>artifact 371 planning state</x:v>
      </x:c>
      <x:c r="E1792" s="21" t="n">
        <x:f>IF(AND('Artifact Ledger'!Q377="OPEN",'Artifact Ledger'!R377="HOLD"),1,0)</x:f>
        <x:v>1</x:v>
      </x:c>
      <x:c r="F1792" s="21" t="n">
        <x:v>1</x:v>
      </x:c>
      <x:c r="G1792" s="23" t="str">
        <x:f>IF(E1792=F1792,"PASS","FAIL")</x:f>
        <x:v>PASS</x:v>
      </x:c>
    </x:row>
    <x:row r="1793">
      <x:c r="B1793" s="21" t="str">
        <x:v>A01787</x:v>
      </x:c>
      <x:c r="C1793" s="21" t="str">
        <x:v>artifact</x:v>
      </x:c>
      <x:c r="D1793" s="21" t="str">
        <x:v>artifact 372 eligibility equation</x:v>
      </x:c>
      <x:c r="E1793" s="21" t="n">
        <x:f>IF(ABS('Artifact Ledger'!P378-IF(AND('Artifact Ledger'!L378=1,'Artifact Ledger'!M378=1,'Artifact Ledger'!N378=1,'Artifact Ledger'!O378&gt;='Artifact Ledger'!G378),'Artifact Ledger'!K378,0))&lt;0.000001,1,0)</x:f>
        <x:v>1</x:v>
      </x:c>
      <x:c r="F1793" s="21" t="n">
        <x:v>1</x:v>
      </x:c>
      <x:c r="G1793" s="23" t="str">
        <x:f>IF(E1793=F1793,"PASS","FAIL")</x:f>
        <x:v>PASS</x:v>
      </x:c>
    </x:row>
    <x:row r="1794">
      <x:c r="B1794" s="21" t="str">
        <x:v>A01788</x:v>
      </x:c>
      <x:c r="C1794" s="21" t="str">
        <x:v>artifact</x:v>
      </x:c>
      <x:c r="D1794" s="21" t="str">
        <x:v>artifact 372 planning state</x:v>
      </x:c>
      <x:c r="E1794" s="21" t="n">
        <x:f>IF(AND('Artifact Ledger'!Q378="OPEN",'Artifact Ledger'!R378="HOLD"),1,0)</x:f>
        <x:v>1</x:v>
      </x:c>
      <x:c r="F1794" s="21" t="n">
        <x:v>1</x:v>
      </x:c>
      <x:c r="G1794" s="23" t="str">
        <x:f>IF(E1794=F1794,"PASS","FAIL")</x:f>
        <x:v>PASS</x:v>
      </x:c>
    </x:row>
    <x:row r="1795">
      <x:c r="B1795" s="21" t="str">
        <x:v>A01789</x:v>
      </x:c>
      <x:c r="C1795" s="21" t="str">
        <x:v>artifact</x:v>
      </x:c>
      <x:c r="D1795" s="21" t="str">
        <x:v>artifact 373 eligibility equation</x:v>
      </x:c>
      <x:c r="E1795" s="21" t="n">
        <x:f>IF(ABS('Artifact Ledger'!P379-IF(AND('Artifact Ledger'!L379=1,'Artifact Ledger'!M379=1,'Artifact Ledger'!N379=1,'Artifact Ledger'!O379&gt;='Artifact Ledger'!G379),'Artifact Ledger'!K379,0))&lt;0.000001,1,0)</x:f>
        <x:v>1</x:v>
      </x:c>
      <x:c r="F1795" s="21" t="n">
        <x:v>1</x:v>
      </x:c>
      <x:c r="G1795" s="23" t="str">
        <x:f>IF(E1795=F1795,"PASS","FAIL")</x:f>
        <x:v>PASS</x:v>
      </x:c>
    </x:row>
    <x:row r="1796">
      <x:c r="B1796" s="21" t="str">
        <x:v>A01790</x:v>
      </x:c>
      <x:c r="C1796" s="21" t="str">
        <x:v>artifact</x:v>
      </x:c>
      <x:c r="D1796" s="21" t="str">
        <x:v>artifact 373 planning state</x:v>
      </x:c>
      <x:c r="E1796" s="21" t="n">
        <x:f>IF(AND('Artifact Ledger'!Q379="OPEN",'Artifact Ledger'!R379="HOLD"),1,0)</x:f>
        <x:v>1</x:v>
      </x:c>
      <x:c r="F1796" s="21" t="n">
        <x:v>1</x:v>
      </x:c>
      <x:c r="G1796" s="23" t="str">
        <x:f>IF(E1796=F1796,"PASS","FAIL")</x:f>
        <x:v>PASS</x:v>
      </x:c>
    </x:row>
    <x:row r="1797">
      <x:c r="B1797" s="21" t="str">
        <x:v>A01791</x:v>
      </x:c>
      <x:c r="C1797" s="21" t="str">
        <x:v>artifact</x:v>
      </x:c>
      <x:c r="D1797" s="21" t="str">
        <x:v>artifact 374 eligibility equation</x:v>
      </x:c>
      <x:c r="E1797" s="21" t="n">
        <x:f>IF(ABS('Artifact Ledger'!P380-IF(AND('Artifact Ledger'!L380=1,'Artifact Ledger'!M380=1,'Artifact Ledger'!N380=1,'Artifact Ledger'!O380&gt;='Artifact Ledger'!G380),'Artifact Ledger'!K380,0))&lt;0.000001,1,0)</x:f>
        <x:v>1</x:v>
      </x:c>
      <x:c r="F1797" s="21" t="n">
        <x:v>1</x:v>
      </x:c>
      <x:c r="G1797" s="23" t="str">
        <x:f>IF(E1797=F1797,"PASS","FAIL")</x:f>
        <x:v>PASS</x:v>
      </x:c>
    </x:row>
    <x:row r="1798">
      <x:c r="B1798" s="21" t="str">
        <x:v>A01792</x:v>
      </x:c>
      <x:c r="C1798" s="21" t="str">
        <x:v>artifact</x:v>
      </x:c>
      <x:c r="D1798" s="21" t="str">
        <x:v>artifact 374 planning state</x:v>
      </x:c>
      <x:c r="E1798" s="21" t="n">
        <x:f>IF(AND('Artifact Ledger'!Q380="OPEN",'Artifact Ledger'!R380="HOLD"),1,0)</x:f>
        <x:v>1</x:v>
      </x:c>
      <x:c r="F1798" s="21" t="n">
        <x:v>1</x:v>
      </x:c>
      <x:c r="G1798" s="23" t="str">
        <x:f>IF(E1798=F1798,"PASS","FAIL")</x:f>
        <x:v>PASS</x:v>
      </x:c>
    </x:row>
    <x:row r="1799">
      <x:c r="B1799" s="21" t="str">
        <x:v>A01793</x:v>
      </x:c>
      <x:c r="C1799" s="21" t="str">
        <x:v>artifact</x:v>
      </x:c>
      <x:c r="D1799" s="21" t="str">
        <x:v>artifact 375 eligibility equation</x:v>
      </x:c>
      <x:c r="E1799" s="21" t="n">
        <x:f>IF(ABS('Artifact Ledger'!P381-IF(AND('Artifact Ledger'!L381=1,'Artifact Ledger'!M381=1,'Artifact Ledger'!N381=1,'Artifact Ledger'!O381&gt;='Artifact Ledger'!G381),'Artifact Ledger'!K381,0))&lt;0.000001,1,0)</x:f>
        <x:v>1</x:v>
      </x:c>
      <x:c r="F1799" s="21" t="n">
        <x:v>1</x:v>
      </x:c>
      <x:c r="G1799" s="23" t="str">
        <x:f>IF(E1799=F1799,"PASS","FAIL")</x:f>
        <x:v>PASS</x:v>
      </x:c>
    </x:row>
    <x:row r="1800">
      <x:c r="B1800" s="21" t="str">
        <x:v>A01794</x:v>
      </x:c>
      <x:c r="C1800" s="21" t="str">
        <x:v>artifact</x:v>
      </x:c>
      <x:c r="D1800" s="21" t="str">
        <x:v>artifact 375 planning state</x:v>
      </x:c>
      <x:c r="E1800" s="21" t="n">
        <x:f>IF(AND('Artifact Ledger'!Q381="OPEN",'Artifact Ledger'!R381="HOLD"),1,0)</x:f>
        <x:v>1</x:v>
      </x:c>
      <x:c r="F1800" s="21" t="n">
        <x:v>1</x:v>
      </x:c>
      <x:c r="G1800" s="23" t="str">
        <x:f>IF(E1800=F1800,"PASS","FAIL")</x:f>
        <x:v>PASS</x:v>
      </x:c>
    </x:row>
    <x:row r="1801">
      <x:c r="B1801" s="21" t="str">
        <x:v>A01795</x:v>
      </x:c>
      <x:c r="C1801" s="21" t="str">
        <x:v>artifact</x:v>
      </x:c>
      <x:c r="D1801" s="21" t="str">
        <x:v>artifact 376 eligibility equation</x:v>
      </x:c>
      <x:c r="E1801" s="21" t="n">
        <x:f>IF(ABS('Artifact Ledger'!P382-IF(AND('Artifact Ledger'!L382=1,'Artifact Ledger'!M382=1,'Artifact Ledger'!N382=1,'Artifact Ledger'!O382&gt;='Artifact Ledger'!G382),'Artifact Ledger'!K382,0))&lt;0.000001,1,0)</x:f>
        <x:v>1</x:v>
      </x:c>
      <x:c r="F1801" s="21" t="n">
        <x:v>1</x:v>
      </x:c>
      <x:c r="G1801" s="23" t="str">
        <x:f>IF(E1801=F1801,"PASS","FAIL")</x:f>
        <x:v>PASS</x:v>
      </x:c>
    </x:row>
    <x:row r="1802">
      <x:c r="B1802" s="21" t="str">
        <x:v>A01796</x:v>
      </x:c>
      <x:c r="C1802" s="21" t="str">
        <x:v>artifact</x:v>
      </x:c>
      <x:c r="D1802" s="21" t="str">
        <x:v>artifact 376 planning state</x:v>
      </x:c>
      <x:c r="E1802" s="21" t="n">
        <x:f>IF(AND('Artifact Ledger'!Q382="OPEN",'Artifact Ledger'!R382="HOLD"),1,0)</x:f>
        <x:v>1</x:v>
      </x:c>
      <x:c r="F1802" s="21" t="n">
        <x:v>1</x:v>
      </x:c>
      <x:c r="G1802" s="23" t="str">
        <x:f>IF(E1802=F1802,"PASS","FAIL")</x:f>
        <x:v>PASS</x:v>
      </x:c>
    </x:row>
    <x:row r="1803">
      <x:c r="B1803" s="21" t="str">
        <x:v>A01797</x:v>
      </x:c>
      <x:c r="C1803" s="21" t="str">
        <x:v>artifact</x:v>
      </x:c>
      <x:c r="D1803" s="21" t="str">
        <x:v>artifact 377 eligibility equation</x:v>
      </x:c>
      <x:c r="E1803" s="21" t="n">
        <x:f>IF(ABS('Artifact Ledger'!P383-IF(AND('Artifact Ledger'!L383=1,'Artifact Ledger'!M383=1,'Artifact Ledger'!N383=1,'Artifact Ledger'!O383&gt;='Artifact Ledger'!G383),'Artifact Ledger'!K383,0))&lt;0.000001,1,0)</x:f>
        <x:v>1</x:v>
      </x:c>
      <x:c r="F1803" s="21" t="n">
        <x:v>1</x:v>
      </x:c>
      <x:c r="G1803" s="23" t="str">
        <x:f>IF(E1803=F1803,"PASS","FAIL")</x:f>
        <x:v>PASS</x:v>
      </x:c>
    </x:row>
    <x:row r="1804">
      <x:c r="B1804" s="21" t="str">
        <x:v>A01798</x:v>
      </x:c>
      <x:c r="C1804" s="21" t="str">
        <x:v>artifact</x:v>
      </x:c>
      <x:c r="D1804" s="21" t="str">
        <x:v>artifact 377 planning state</x:v>
      </x:c>
      <x:c r="E1804" s="21" t="n">
        <x:f>IF(AND('Artifact Ledger'!Q383="OPEN",'Artifact Ledger'!R383="HOLD"),1,0)</x:f>
        <x:v>1</x:v>
      </x:c>
      <x:c r="F1804" s="21" t="n">
        <x:v>1</x:v>
      </x:c>
      <x:c r="G1804" s="23" t="str">
        <x:f>IF(E1804=F1804,"PASS","FAIL")</x:f>
        <x:v>PASS</x:v>
      </x:c>
    </x:row>
    <x:row r="1805">
      <x:c r="B1805" s="21" t="str">
        <x:v>A01799</x:v>
      </x:c>
      <x:c r="C1805" s="21" t="str">
        <x:v>artifact</x:v>
      </x:c>
      <x:c r="D1805" s="21" t="str">
        <x:v>artifact 378 eligibility equation</x:v>
      </x:c>
      <x:c r="E1805" s="21" t="n">
        <x:f>IF(ABS('Artifact Ledger'!P384-IF(AND('Artifact Ledger'!L384=1,'Artifact Ledger'!M384=1,'Artifact Ledger'!N384=1,'Artifact Ledger'!O384&gt;='Artifact Ledger'!G384),'Artifact Ledger'!K384,0))&lt;0.000001,1,0)</x:f>
        <x:v>1</x:v>
      </x:c>
      <x:c r="F1805" s="21" t="n">
        <x:v>1</x:v>
      </x:c>
      <x:c r="G1805" s="23" t="str">
        <x:f>IF(E1805=F1805,"PASS","FAIL")</x:f>
        <x:v>PASS</x:v>
      </x:c>
    </x:row>
    <x:row r="1806">
      <x:c r="B1806" s="21" t="str">
        <x:v>A01800</x:v>
      </x:c>
      <x:c r="C1806" s="21" t="str">
        <x:v>artifact</x:v>
      </x:c>
      <x:c r="D1806" s="21" t="str">
        <x:v>artifact 378 planning state</x:v>
      </x:c>
      <x:c r="E1806" s="21" t="n">
        <x:f>IF(AND('Artifact Ledger'!Q384="OPEN",'Artifact Ledger'!R384="HOLD"),1,0)</x:f>
        <x:v>1</x:v>
      </x:c>
      <x:c r="F1806" s="21" t="n">
        <x:v>1</x:v>
      </x:c>
      <x:c r="G1806" s="23" t="str">
        <x:f>IF(E1806=F1806,"PASS","FAIL")</x:f>
        <x:v>PASS</x:v>
      </x:c>
    </x:row>
    <x:row r="1807">
      <x:c r="B1807" s="21" t="str">
        <x:v>A01801</x:v>
      </x:c>
      <x:c r="C1807" s="21" t="str">
        <x:v>artifact</x:v>
      </x:c>
      <x:c r="D1807" s="21" t="str">
        <x:v>artifact 379 eligibility equation</x:v>
      </x:c>
      <x:c r="E1807" s="21" t="n">
        <x:f>IF(ABS('Artifact Ledger'!P385-IF(AND('Artifact Ledger'!L385=1,'Artifact Ledger'!M385=1,'Artifact Ledger'!N385=1,'Artifact Ledger'!O385&gt;='Artifact Ledger'!G385),'Artifact Ledger'!K385,0))&lt;0.000001,1,0)</x:f>
        <x:v>1</x:v>
      </x:c>
      <x:c r="F1807" s="21" t="n">
        <x:v>1</x:v>
      </x:c>
      <x:c r="G1807" s="23" t="str">
        <x:f>IF(E1807=F1807,"PASS","FAIL")</x:f>
        <x:v>PASS</x:v>
      </x:c>
    </x:row>
    <x:row r="1808">
      <x:c r="B1808" s="21" t="str">
        <x:v>A01802</x:v>
      </x:c>
      <x:c r="C1808" s="21" t="str">
        <x:v>artifact</x:v>
      </x:c>
      <x:c r="D1808" s="21" t="str">
        <x:v>artifact 379 planning state</x:v>
      </x:c>
      <x:c r="E1808" s="21" t="n">
        <x:f>IF(AND('Artifact Ledger'!Q385="OPEN",'Artifact Ledger'!R385="HOLD"),1,0)</x:f>
        <x:v>1</x:v>
      </x:c>
      <x:c r="F1808" s="21" t="n">
        <x:v>1</x:v>
      </x:c>
      <x:c r="G1808" s="23" t="str">
        <x:f>IF(E1808=F1808,"PASS","FAIL")</x:f>
        <x:v>PASS</x:v>
      </x:c>
    </x:row>
    <x:row r="1809">
      <x:c r="B1809" s="21" t="str">
        <x:v>A01803</x:v>
      </x:c>
      <x:c r="C1809" s="21" t="str">
        <x:v>artifact</x:v>
      </x:c>
      <x:c r="D1809" s="21" t="str">
        <x:v>artifact 380 eligibility equation</x:v>
      </x:c>
      <x:c r="E1809" s="21" t="n">
        <x:f>IF(ABS('Artifact Ledger'!P386-IF(AND('Artifact Ledger'!L386=1,'Artifact Ledger'!M386=1,'Artifact Ledger'!N386=1,'Artifact Ledger'!O386&gt;='Artifact Ledger'!G386),'Artifact Ledger'!K386,0))&lt;0.000001,1,0)</x:f>
        <x:v>1</x:v>
      </x:c>
      <x:c r="F1809" s="21" t="n">
        <x:v>1</x:v>
      </x:c>
      <x:c r="G1809" s="23" t="str">
        <x:f>IF(E1809=F1809,"PASS","FAIL")</x:f>
        <x:v>PASS</x:v>
      </x:c>
    </x:row>
    <x:row r="1810">
      <x:c r="B1810" s="21" t="str">
        <x:v>A01804</x:v>
      </x:c>
      <x:c r="C1810" s="21" t="str">
        <x:v>artifact</x:v>
      </x:c>
      <x:c r="D1810" s="21" t="str">
        <x:v>artifact 380 planning state</x:v>
      </x:c>
      <x:c r="E1810" s="21" t="n">
        <x:f>IF(AND('Artifact Ledger'!Q386="OPEN",'Artifact Ledger'!R386="HOLD"),1,0)</x:f>
        <x:v>1</x:v>
      </x:c>
      <x:c r="F1810" s="21" t="n">
        <x:v>1</x:v>
      </x:c>
      <x:c r="G1810" s="23" t="str">
        <x:f>IF(E1810=F1810,"PASS","FAIL")</x:f>
        <x:v>PASS</x:v>
      </x:c>
    </x:row>
    <x:row r="1811">
      <x:c r="B1811" s="21" t="str">
        <x:v>A01805</x:v>
      </x:c>
      <x:c r="C1811" s="21" t="str">
        <x:v>artifact</x:v>
      </x:c>
      <x:c r="D1811" s="21" t="str">
        <x:v>artifact 381 eligibility equation</x:v>
      </x:c>
      <x:c r="E1811" s="21" t="n">
        <x:f>IF(ABS('Artifact Ledger'!P387-IF(AND('Artifact Ledger'!L387=1,'Artifact Ledger'!M387=1,'Artifact Ledger'!N387=1,'Artifact Ledger'!O387&gt;='Artifact Ledger'!G387),'Artifact Ledger'!K387,0))&lt;0.000001,1,0)</x:f>
        <x:v>1</x:v>
      </x:c>
      <x:c r="F1811" s="21" t="n">
        <x:v>1</x:v>
      </x:c>
      <x:c r="G1811" s="23" t="str">
        <x:f>IF(E1811=F1811,"PASS","FAIL")</x:f>
        <x:v>PASS</x:v>
      </x:c>
    </x:row>
    <x:row r="1812">
      <x:c r="B1812" s="21" t="str">
        <x:v>A01806</x:v>
      </x:c>
      <x:c r="C1812" s="21" t="str">
        <x:v>artifact</x:v>
      </x:c>
      <x:c r="D1812" s="21" t="str">
        <x:v>artifact 381 planning state</x:v>
      </x:c>
      <x:c r="E1812" s="21" t="n">
        <x:f>IF(AND('Artifact Ledger'!Q387="OPEN",'Artifact Ledger'!R387="HOLD"),1,0)</x:f>
        <x:v>1</x:v>
      </x:c>
      <x:c r="F1812" s="21" t="n">
        <x:v>1</x:v>
      </x:c>
      <x:c r="G1812" s="23" t="str">
        <x:f>IF(E1812=F1812,"PASS","FAIL")</x:f>
        <x:v>PASS</x:v>
      </x:c>
    </x:row>
    <x:row r="1813">
      <x:c r="B1813" s="21" t="str">
        <x:v>A01807</x:v>
      </x:c>
      <x:c r="C1813" s="21" t="str">
        <x:v>artifact</x:v>
      </x:c>
      <x:c r="D1813" s="21" t="str">
        <x:v>artifact 382 eligibility equation</x:v>
      </x:c>
      <x:c r="E1813" s="21" t="n">
        <x:f>IF(ABS('Artifact Ledger'!P388-IF(AND('Artifact Ledger'!L388=1,'Artifact Ledger'!M388=1,'Artifact Ledger'!N388=1,'Artifact Ledger'!O388&gt;='Artifact Ledger'!G388),'Artifact Ledger'!K388,0))&lt;0.000001,1,0)</x:f>
        <x:v>1</x:v>
      </x:c>
      <x:c r="F1813" s="21" t="n">
        <x:v>1</x:v>
      </x:c>
      <x:c r="G1813" s="23" t="str">
        <x:f>IF(E1813=F1813,"PASS","FAIL")</x:f>
        <x:v>PASS</x:v>
      </x:c>
    </x:row>
    <x:row r="1814">
      <x:c r="B1814" s="21" t="str">
        <x:v>A01808</x:v>
      </x:c>
      <x:c r="C1814" s="21" t="str">
        <x:v>artifact</x:v>
      </x:c>
      <x:c r="D1814" s="21" t="str">
        <x:v>artifact 382 planning state</x:v>
      </x:c>
      <x:c r="E1814" s="21" t="n">
        <x:f>IF(AND('Artifact Ledger'!Q388="OPEN",'Artifact Ledger'!R388="HOLD"),1,0)</x:f>
        <x:v>1</x:v>
      </x:c>
      <x:c r="F1814" s="21" t="n">
        <x:v>1</x:v>
      </x:c>
      <x:c r="G1814" s="23" t="str">
        <x:f>IF(E1814=F1814,"PASS","FAIL")</x:f>
        <x:v>PASS</x:v>
      </x:c>
    </x:row>
    <x:row r="1815">
      <x:c r="B1815" s="21" t="str">
        <x:v>A01809</x:v>
      </x:c>
      <x:c r="C1815" s="21" t="str">
        <x:v>artifact</x:v>
      </x:c>
      <x:c r="D1815" s="21" t="str">
        <x:v>artifact 383 eligibility equation</x:v>
      </x:c>
      <x:c r="E1815" s="21" t="n">
        <x:f>IF(ABS('Artifact Ledger'!P389-IF(AND('Artifact Ledger'!L389=1,'Artifact Ledger'!M389=1,'Artifact Ledger'!N389=1,'Artifact Ledger'!O389&gt;='Artifact Ledger'!G389),'Artifact Ledger'!K389,0))&lt;0.000001,1,0)</x:f>
        <x:v>1</x:v>
      </x:c>
      <x:c r="F1815" s="21" t="n">
        <x:v>1</x:v>
      </x:c>
      <x:c r="G1815" s="23" t="str">
        <x:f>IF(E1815=F1815,"PASS","FAIL")</x:f>
        <x:v>PASS</x:v>
      </x:c>
    </x:row>
    <x:row r="1816">
      <x:c r="B1816" s="21" t="str">
        <x:v>A01810</x:v>
      </x:c>
      <x:c r="C1816" s="21" t="str">
        <x:v>artifact</x:v>
      </x:c>
      <x:c r="D1816" s="21" t="str">
        <x:v>artifact 383 planning state</x:v>
      </x:c>
      <x:c r="E1816" s="21" t="n">
        <x:f>IF(AND('Artifact Ledger'!Q389="OPEN",'Artifact Ledger'!R389="HOLD"),1,0)</x:f>
        <x:v>1</x:v>
      </x:c>
      <x:c r="F1816" s="21" t="n">
        <x:v>1</x:v>
      </x:c>
      <x:c r="G1816" s="23" t="str">
        <x:f>IF(E1816=F1816,"PASS","FAIL")</x:f>
        <x:v>PASS</x:v>
      </x:c>
    </x:row>
    <x:row r="1817">
      <x:c r="B1817" s="21" t="str">
        <x:v>A01811</x:v>
      </x:c>
      <x:c r="C1817" s="21" t="str">
        <x:v>artifact</x:v>
      </x:c>
      <x:c r="D1817" s="21" t="str">
        <x:v>artifact 384 eligibility equation</x:v>
      </x:c>
      <x:c r="E1817" s="21" t="n">
        <x:f>IF(ABS('Artifact Ledger'!P390-IF(AND('Artifact Ledger'!L390=1,'Artifact Ledger'!M390=1,'Artifact Ledger'!N390=1,'Artifact Ledger'!O390&gt;='Artifact Ledger'!G390),'Artifact Ledger'!K390,0))&lt;0.000001,1,0)</x:f>
        <x:v>1</x:v>
      </x:c>
      <x:c r="F1817" s="21" t="n">
        <x:v>1</x:v>
      </x:c>
      <x:c r="G1817" s="23" t="str">
        <x:f>IF(E1817=F1817,"PASS","FAIL")</x:f>
        <x:v>PASS</x:v>
      </x:c>
    </x:row>
    <x:row r="1818">
      <x:c r="B1818" s="21" t="str">
        <x:v>A01812</x:v>
      </x:c>
      <x:c r="C1818" s="21" t="str">
        <x:v>artifact</x:v>
      </x:c>
      <x:c r="D1818" s="21" t="str">
        <x:v>artifact 384 planning state</x:v>
      </x:c>
      <x:c r="E1818" s="21" t="n">
        <x:f>IF(AND('Artifact Ledger'!Q390="OPEN",'Artifact Ledger'!R390="HOLD"),1,0)</x:f>
        <x:v>1</x:v>
      </x:c>
      <x:c r="F1818" s="21" t="n">
        <x:v>1</x:v>
      </x:c>
      <x:c r="G1818" s="23" t="str">
        <x:f>IF(E1818=F1818,"PASS","FAIL")</x:f>
        <x:v>PASS</x:v>
      </x:c>
    </x:row>
    <x:row r="1819">
      <x:c r="B1819" s="21" t="str">
        <x:v>A01813</x:v>
      </x:c>
      <x:c r="C1819" s="21" t="str">
        <x:v>artifact</x:v>
      </x:c>
      <x:c r="D1819" s="21" t="str">
        <x:v>artifact 385 eligibility equation</x:v>
      </x:c>
      <x:c r="E1819" s="21" t="n">
        <x:f>IF(ABS('Artifact Ledger'!P391-IF(AND('Artifact Ledger'!L391=1,'Artifact Ledger'!M391=1,'Artifact Ledger'!N391=1,'Artifact Ledger'!O391&gt;='Artifact Ledger'!G391),'Artifact Ledger'!K391,0))&lt;0.000001,1,0)</x:f>
        <x:v>1</x:v>
      </x:c>
      <x:c r="F1819" s="21" t="n">
        <x:v>1</x:v>
      </x:c>
      <x:c r="G1819" s="23" t="str">
        <x:f>IF(E1819=F1819,"PASS","FAIL")</x:f>
        <x:v>PASS</x:v>
      </x:c>
    </x:row>
    <x:row r="1820">
      <x:c r="B1820" s="21" t="str">
        <x:v>A01814</x:v>
      </x:c>
      <x:c r="C1820" s="21" t="str">
        <x:v>artifact</x:v>
      </x:c>
      <x:c r="D1820" s="21" t="str">
        <x:v>artifact 385 planning state</x:v>
      </x:c>
      <x:c r="E1820" s="21" t="n">
        <x:f>IF(AND('Artifact Ledger'!Q391="OPEN",'Artifact Ledger'!R391="HOLD"),1,0)</x:f>
        <x:v>1</x:v>
      </x:c>
      <x:c r="F1820" s="21" t="n">
        <x:v>1</x:v>
      </x:c>
      <x:c r="G1820" s="23" t="str">
        <x:f>IF(E1820=F1820,"PASS","FAIL")</x:f>
        <x:v>PASS</x:v>
      </x:c>
    </x:row>
    <x:row r="1821">
      <x:c r="B1821" s="21" t="str">
        <x:v>A01815</x:v>
      </x:c>
      <x:c r="C1821" s="21" t="str">
        <x:v>artifact</x:v>
      </x:c>
      <x:c r="D1821" s="21" t="str">
        <x:v>artifact 386 eligibility equation</x:v>
      </x:c>
      <x:c r="E1821" s="21" t="n">
        <x:f>IF(ABS('Artifact Ledger'!P392-IF(AND('Artifact Ledger'!L392=1,'Artifact Ledger'!M392=1,'Artifact Ledger'!N392=1,'Artifact Ledger'!O392&gt;='Artifact Ledger'!G392),'Artifact Ledger'!K392,0))&lt;0.000001,1,0)</x:f>
        <x:v>1</x:v>
      </x:c>
      <x:c r="F1821" s="21" t="n">
        <x:v>1</x:v>
      </x:c>
      <x:c r="G1821" s="23" t="str">
        <x:f>IF(E1821=F1821,"PASS","FAIL")</x:f>
        <x:v>PASS</x:v>
      </x:c>
    </x:row>
    <x:row r="1822">
      <x:c r="B1822" s="21" t="str">
        <x:v>A01816</x:v>
      </x:c>
      <x:c r="C1822" s="21" t="str">
        <x:v>artifact</x:v>
      </x:c>
      <x:c r="D1822" s="21" t="str">
        <x:v>artifact 386 planning state</x:v>
      </x:c>
      <x:c r="E1822" s="21" t="n">
        <x:f>IF(AND('Artifact Ledger'!Q392="OPEN",'Artifact Ledger'!R392="HOLD"),1,0)</x:f>
        <x:v>1</x:v>
      </x:c>
      <x:c r="F1822" s="21" t="n">
        <x:v>1</x:v>
      </x:c>
      <x:c r="G1822" s="23" t="str">
        <x:f>IF(E1822=F1822,"PASS","FAIL")</x:f>
        <x:v>PASS</x:v>
      </x:c>
    </x:row>
    <x:row r="1823">
      <x:c r="B1823" s="21" t="str">
        <x:v>A01817</x:v>
      </x:c>
      <x:c r="C1823" s="21" t="str">
        <x:v>artifact</x:v>
      </x:c>
      <x:c r="D1823" s="21" t="str">
        <x:v>artifact 387 eligibility equation</x:v>
      </x:c>
      <x:c r="E1823" s="21" t="n">
        <x:f>IF(ABS('Artifact Ledger'!P393-IF(AND('Artifact Ledger'!L393=1,'Artifact Ledger'!M393=1,'Artifact Ledger'!N393=1,'Artifact Ledger'!O393&gt;='Artifact Ledger'!G393),'Artifact Ledger'!K393,0))&lt;0.000001,1,0)</x:f>
        <x:v>1</x:v>
      </x:c>
      <x:c r="F1823" s="21" t="n">
        <x:v>1</x:v>
      </x:c>
      <x:c r="G1823" s="23" t="str">
        <x:f>IF(E1823=F1823,"PASS","FAIL")</x:f>
        <x:v>PASS</x:v>
      </x:c>
    </x:row>
    <x:row r="1824">
      <x:c r="B1824" s="21" t="str">
        <x:v>A01818</x:v>
      </x:c>
      <x:c r="C1824" s="21" t="str">
        <x:v>artifact</x:v>
      </x:c>
      <x:c r="D1824" s="21" t="str">
        <x:v>artifact 387 planning state</x:v>
      </x:c>
      <x:c r="E1824" s="21" t="n">
        <x:f>IF(AND('Artifact Ledger'!Q393="OPEN",'Artifact Ledger'!R393="HOLD"),1,0)</x:f>
        <x:v>1</x:v>
      </x:c>
      <x:c r="F1824" s="21" t="n">
        <x:v>1</x:v>
      </x:c>
      <x:c r="G1824" s="23" t="str">
        <x:f>IF(E1824=F1824,"PASS","FAIL")</x:f>
        <x:v>PASS</x:v>
      </x:c>
    </x:row>
    <x:row r="1825">
      <x:c r="B1825" s="21" t="str">
        <x:v>A01819</x:v>
      </x:c>
      <x:c r="C1825" s="21" t="str">
        <x:v>artifact</x:v>
      </x:c>
      <x:c r="D1825" s="21" t="str">
        <x:v>artifact 388 eligibility equation</x:v>
      </x:c>
      <x:c r="E1825" s="21" t="n">
        <x:f>IF(ABS('Artifact Ledger'!P394-IF(AND('Artifact Ledger'!L394=1,'Artifact Ledger'!M394=1,'Artifact Ledger'!N394=1,'Artifact Ledger'!O394&gt;='Artifact Ledger'!G394),'Artifact Ledger'!K394,0))&lt;0.000001,1,0)</x:f>
        <x:v>1</x:v>
      </x:c>
      <x:c r="F1825" s="21" t="n">
        <x:v>1</x:v>
      </x:c>
      <x:c r="G1825" s="23" t="str">
        <x:f>IF(E1825=F1825,"PASS","FAIL")</x:f>
        <x:v>PASS</x:v>
      </x:c>
    </x:row>
    <x:row r="1826">
      <x:c r="B1826" s="21" t="str">
        <x:v>A01820</x:v>
      </x:c>
      <x:c r="C1826" s="21" t="str">
        <x:v>artifact</x:v>
      </x:c>
      <x:c r="D1826" s="21" t="str">
        <x:v>artifact 388 planning state</x:v>
      </x:c>
      <x:c r="E1826" s="21" t="n">
        <x:f>IF(AND('Artifact Ledger'!Q394="OPEN",'Artifact Ledger'!R394="HOLD"),1,0)</x:f>
        <x:v>1</x:v>
      </x:c>
      <x:c r="F1826" s="21" t="n">
        <x:v>1</x:v>
      </x:c>
      <x:c r="G1826" s="23" t="str">
        <x:f>IF(E1826=F1826,"PASS","FAIL")</x:f>
        <x:v>PASS</x:v>
      </x:c>
    </x:row>
    <x:row r="1827">
      <x:c r="B1827" s="21" t="str">
        <x:v>A01821</x:v>
      </x:c>
      <x:c r="C1827" s="21" t="str">
        <x:v>artifact</x:v>
      </x:c>
      <x:c r="D1827" s="21" t="str">
        <x:v>artifact 389 eligibility equation</x:v>
      </x:c>
      <x:c r="E1827" s="21" t="n">
        <x:f>IF(ABS('Artifact Ledger'!P395-IF(AND('Artifact Ledger'!L395=1,'Artifact Ledger'!M395=1,'Artifact Ledger'!N395=1,'Artifact Ledger'!O395&gt;='Artifact Ledger'!G395),'Artifact Ledger'!K395,0))&lt;0.000001,1,0)</x:f>
        <x:v>1</x:v>
      </x:c>
      <x:c r="F1827" s="21" t="n">
        <x:v>1</x:v>
      </x:c>
      <x:c r="G1827" s="23" t="str">
        <x:f>IF(E1827=F1827,"PASS","FAIL")</x:f>
        <x:v>PASS</x:v>
      </x:c>
    </x:row>
    <x:row r="1828">
      <x:c r="B1828" s="21" t="str">
        <x:v>A01822</x:v>
      </x:c>
      <x:c r="C1828" s="21" t="str">
        <x:v>artifact</x:v>
      </x:c>
      <x:c r="D1828" s="21" t="str">
        <x:v>artifact 389 planning state</x:v>
      </x:c>
      <x:c r="E1828" s="21" t="n">
        <x:f>IF(AND('Artifact Ledger'!Q395="OPEN",'Artifact Ledger'!R395="HOLD"),1,0)</x:f>
        <x:v>1</x:v>
      </x:c>
      <x:c r="F1828" s="21" t="n">
        <x:v>1</x:v>
      </x:c>
      <x:c r="G1828" s="23" t="str">
        <x:f>IF(E1828=F1828,"PASS","FAIL")</x:f>
        <x:v>PASS</x:v>
      </x:c>
    </x:row>
    <x:row r="1829">
      <x:c r="B1829" s="21" t="str">
        <x:v>A01823</x:v>
      </x:c>
      <x:c r="C1829" s="21" t="str">
        <x:v>artifact</x:v>
      </x:c>
      <x:c r="D1829" s="21" t="str">
        <x:v>artifact 390 eligibility equation</x:v>
      </x:c>
      <x:c r="E1829" s="21" t="n">
        <x:f>IF(ABS('Artifact Ledger'!P396-IF(AND('Artifact Ledger'!L396=1,'Artifact Ledger'!M396=1,'Artifact Ledger'!N396=1,'Artifact Ledger'!O396&gt;='Artifact Ledger'!G396),'Artifact Ledger'!K396,0))&lt;0.000001,1,0)</x:f>
        <x:v>1</x:v>
      </x:c>
      <x:c r="F1829" s="21" t="n">
        <x:v>1</x:v>
      </x:c>
      <x:c r="G1829" s="23" t="str">
        <x:f>IF(E1829=F1829,"PASS","FAIL")</x:f>
        <x:v>PASS</x:v>
      </x:c>
    </x:row>
    <x:row r="1830">
      <x:c r="B1830" s="21" t="str">
        <x:v>A01824</x:v>
      </x:c>
      <x:c r="C1830" s="21" t="str">
        <x:v>artifact</x:v>
      </x:c>
      <x:c r="D1830" s="21" t="str">
        <x:v>artifact 390 planning state</x:v>
      </x:c>
      <x:c r="E1830" s="21" t="n">
        <x:f>IF(AND('Artifact Ledger'!Q396="OPEN",'Artifact Ledger'!R396="HOLD"),1,0)</x:f>
        <x:v>1</x:v>
      </x:c>
      <x:c r="F1830" s="21" t="n">
        <x:v>1</x:v>
      </x:c>
      <x:c r="G1830" s="23" t="str">
        <x:f>IF(E1830=F1830,"PASS","FAIL")</x:f>
        <x:v>PASS</x:v>
      </x:c>
    </x:row>
    <x:row r="1831">
      <x:c r="B1831" s="21" t="str">
        <x:v>A01825</x:v>
      </x:c>
      <x:c r="C1831" s="21" t="str">
        <x:v>artifact</x:v>
      </x:c>
      <x:c r="D1831" s="21" t="str">
        <x:v>artifact 391 eligibility equation</x:v>
      </x:c>
      <x:c r="E1831" s="21" t="n">
        <x:f>IF(ABS('Artifact Ledger'!P397-IF(AND('Artifact Ledger'!L397=1,'Artifact Ledger'!M397=1,'Artifact Ledger'!N397=1,'Artifact Ledger'!O397&gt;='Artifact Ledger'!G397),'Artifact Ledger'!K397,0))&lt;0.000001,1,0)</x:f>
        <x:v>1</x:v>
      </x:c>
      <x:c r="F1831" s="21" t="n">
        <x:v>1</x:v>
      </x:c>
      <x:c r="G1831" s="23" t="str">
        <x:f>IF(E1831=F1831,"PASS","FAIL")</x:f>
        <x:v>PASS</x:v>
      </x:c>
    </x:row>
    <x:row r="1832">
      <x:c r="B1832" s="21" t="str">
        <x:v>A01826</x:v>
      </x:c>
      <x:c r="C1832" s="21" t="str">
        <x:v>artifact</x:v>
      </x:c>
      <x:c r="D1832" s="21" t="str">
        <x:v>artifact 391 planning state</x:v>
      </x:c>
      <x:c r="E1832" s="21" t="n">
        <x:f>IF(AND('Artifact Ledger'!Q397="OPEN",'Artifact Ledger'!R397="HOLD"),1,0)</x:f>
        <x:v>1</x:v>
      </x:c>
      <x:c r="F1832" s="21" t="n">
        <x:v>1</x:v>
      </x:c>
      <x:c r="G1832" s="23" t="str">
        <x:f>IF(E1832=F1832,"PASS","FAIL")</x:f>
        <x:v>PASS</x:v>
      </x:c>
    </x:row>
    <x:row r="1833">
      <x:c r="B1833" s="21" t="str">
        <x:v>A01827</x:v>
      </x:c>
      <x:c r="C1833" s="21" t="str">
        <x:v>artifact</x:v>
      </x:c>
      <x:c r="D1833" s="21" t="str">
        <x:v>artifact 392 eligibility equation</x:v>
      </x:c>
      <x:c r="E1833" s="21" t="n">
        <x:f>IF(ABS('Artifact Ledger'!P398-IF(AND('Artifact Ledger'!L398=1,'Artifact Ledger'!M398=1,'Artifact Ledger'!N398=1,'Artifact Ledger'!O398&gt;='Artifact Ledger'!G398),'Artifact Ledger'!K398,0))&lt;0.000001,1,0)</x:f>
        <x:v>1</x:v>
      </x:c>
      <x:c r="F1833" s="21" t="n">
        <x:v>1</x:v>
      </x:c>
      <x:c r="G1833" s="23" t="str">
        <x:f>IF(E1833=F1833,"PASS","FAIL")</x:f>
        <x:v>PASS</x:v>
      </x:c>
    </x:row>
    <x:row r="1834">
      <x:c r="B1834" s="21" t="str">
        <x:v>A01828</x:v>
      </x:c>
      <x:c r="C1834" s="21" t="str">
        <x:v>artifact</x:v>
      </x:c>
      <x:c r="D1834" s="21" t="str">
        <x:v>artifact 392 planning state</x:v>
      </x:c>
      <x:c r="E1834" s="21" t="n">
        <x:f>IF(AND('Artifact Ledger'!Q398="OPEN",'Artifact Ledger'!R398="HOLD"),1,0)</x:f>
        <x:v>1</x:v>
      </x:c>
      <x:c r="F1834" s="21" t="n">
        <x:v>1</x:v>
      </x:c>
      <x:c r="G1834" s="23" t="str">
        <x:f>IF(E1834=F1834,"PASS","FAIL")</x:f>
        <x:v>PASS</x:v>
      </x:c>
    </x:row>
    <x:row r="1835">
      <x:c r="B1835" s="21" t="str">
        <x:v>A01829</x:v>
      </x:c>
      <x:c r="C1835" s="21" t="str">
        <x:v>artifact</x:v>
      </x:c>
      <x:c r="D1835" s="21" t="str">
        <x:v>artifact 393 eligibility equation</x:v>
      </x:c>
      <x:c r="E1835" s="21" t="n">
        <x:f>IF(ABS('Artifact Ledger'!P399-IF(AND('Artifact Ledger'!L399=1,'Artifact Ledger'!M399=1,'Artifact Ledger'!N399=1,'Artifact Ledger'!O399&gt;='Artifact Ledger'!G399),'Artifact Ledger'!K399,0))&lt;0.000001,1,0)</x:f>
        <x:v>1</x:v>
      </x:c>
      <x:c r="F1835" s="21" t="n">
        <x:v>1</x:v>
      </x:c>
      <x:c r="G1835" s="23" t="str">
        <x:f>IF(E1835=F1835,"PASS","FAIL")</x:f>
        <x:v>PASS</x:v>
      </x:c>
    </x:row>
    <x:row r="1836">
      <x:c r="B1836" s="21" t="str">
        <x:v>A01830</x:v>
      </x:c>
      <x:c r="C1836" s="21" t="str">
        <x:v>artifact</x:v>
      </x:c>
      <x:c r="D1836" s="21" t="str">
        <x:v>artifact 393 planning state</x:v>
      </x:c>
      <x:c r="E1836" s="21" t="n">
        <x:f>IF(AND('Artifact Ledger'!Q399="OPEN",'Artifact Ledger'!R399="HOLD"),1,0)</x:f>
        <x:v>1</x:v>
      </x:c>
      <x:c r="F1836" s="21" t="n">
        <x:v>1</x:v>
      </x:c>
      <x:c r="G1836" s="23" t="str">
        <x:f>IF(E1836=F1836,"PASS","FAIL")</x:f>
        <x:v>PASS</x:v>
      </x:c>
    </x:row>
    <x:row r="1837">
      <x:c r="B1837" s="21" t="str">
        <x:v>A01831</x:v>
      </x:c>
      <x:c r="C1837" s="21" t="str">
        <x:v>artifact</x:v>
      </x:c>
      <x:c r="D1837" s="21" t="str">
        <x:v>artifact 394 eligibility equation</x:v>
      </x:c>
      <x:c r="E1837" s="21" t="n">
        <x:f>IF(ABS('Artifact Ledger'!P400-IF(AND('Artifact Ledger'!L400=1,'Artifact Ledger'!M400=1,'Artifact Ledger'!N400=1,'Artifact Ledger'!O400&gt;='Artifact Ledger'!G400),'Artifact Ledger'!K400,0))&lt;0.000001,1,0)</x:f>
        <x:v>1</x:v>
      </x:c>
      <x:c r="F1837" s="21" t="n">
        <x:v>1</x:v>
      </x:c>
      <x:c r="G1837" s="23" t="str">
        <x:f>IF(E1837=F1837,"PASS","FAIL")</x:f>
        <x:v>PASS</x:v>
      </x:c>
    </x:row>
    <x:row r="1838">
      <x:c r="B1838" s="21" t="str">
        <x:v>A01832</x:v>
      </x:c>
      <x:c r="C1838" s="21" t="str">
        <x:v>artifact</x:v>
      </x:c>
      <x:c r="D1838" s="21" t="str">
        <x:v>artifact 394 planning state</x:v>
      </x:c>
      <x:c r="E1838" s="21" t="n">
        <x:f>IF(AND('Artifact Ledger'!Q400="OPEN",'Artifact Ledger'!R400="HOLD"),1,0)</x:f>
        <x:v>1</x:v>
      </x:c>
      <x:c r="F1838" s="21" t="n">
        <x:v>1</x:v>
      </x:c>
      <x:c r="G1838" s="23" t="str">
        <x:f>IF(E1838=F1838,"PASS","FAIL")</x:f>
        <x:v>PASS</x:v>
      </x:c>
    </x:row>
    <x:row r="1839">
      <x:c r="B1839" s="21" t="str">
        <x:v>A01833</x:v>
      </x:c>
      <x:c r="C1839" s="21" t="str">
        <x:v>artifact</x:v>
      </x:c>
      <x:c r="D1839" s="21" t="str">
        <x:v>artifact 395 eligibility equation</x:v>
      </x:c>
      <x:c r="E1839" s="21" t="n">
        <x:f>IF(ABS('Artifact Ledger'!P401-IF(AND('Artifact Ledger'!L401=1,'Artifact Ledger'!M401=1,'Artifact Ledger'!N401=1,'Artifact Ledger'!O401&gt;='Artifact Ledger'!G401),'Artifact Ledger'!K401,0))&lt;0.000001,1,0)</x:f>
        <x:v>1</x:v>
      </x:c>
      <x:c r="F1839" s="21" t="n">
        <x:v>1</x:v>
      </x:c>
      <x:c r="G1839" s="23" t="str">
        <x:f>IF(E1839=F1839,"PASS","FAIL")</x:f>
        <x:v>PASS</x:v>
      </x:c>
    </x:row>
    <x:row r="1840">
      <x:c r="B1840" s="21" t="str">
        <x:v>A01834</x:v>
      </x:c>
      <x:c r="C1840" s="21" t="str">
        <x:v>artifact</x:v>
      </x:c>
      <x:c r="D1840" s="21" t="str">
        <x:v>artifact 395 planning state</x:v>
      </x:c>
      <x:c r="E1840" s="21" t="n">
        <x:f>IF(AND('Artifact Ledger'!Q401="OPEN",'Artifact Ledger'!R401="HOLD"),1,0)</x:f>
        <x:v>1</x:v>
      </x:c>
      <x:c r="F1840" s="21" t="n">
        <x:v>1</x:v>
      </x:c>
      <x:c r="G1840" s="23" t="str">
        <x:f>IF(E1840=F1840,"PASS","FAIL")</x:f>
        <x:v>PASS</x:v>
      </x:c>
    </x:row>
    <x:row r="1841">
      <x:c r="B1841" s="21" t="str">
        <x:v>A01835</x:v>
      </x:c>
      <x:c r="C1841" s="21" t="str">
        <x:v>artifact</x:v>
      </x:c>
      <x:c r="D1841" s="21" t="str">
        <x:v>artifact 396 eligibility equation</x:v>
      </x:c>
      <x:c r="E1841" s="21" t="n">
        <x:f>IF(ABS('Artifact Ledger'!P402-IF(AND('Artifact Ledger'!L402=1,'Artifact Ledger'!M402=1,'Artifact Ledger'!N402=1,'Artifact Ledger'!O402&gt;='Artifact Ledger'!G402),'Artifact Ledger'!K402,0))&lt;0.000001,1,0)</x:f>
        <x:v>1</x:v>
      </x:c>
      <x:c r="F1841" s="21" t="n">
        <x:v>1</x:v>
      </x:c>
      <x:c r="G1841" s="23" t="str">
        <x:f>IF(E1841=F1841,"PASS","FAIL")</x:f>
        <x:v>PASS</x:v>
      </x:c>
    </x:row>
    <x:row r="1842">
      <x:c r="B1842" s="21" t="str">
        <x:v>A01836</x:v>
      </x:c>
      <x:c r="C1842" s="21" t="str">
        <x:v>artifact</x:v>
      </x:c>
      <x:c r="D1842" s="21" t="str">
        <x:v>artifact 396 planning state</x:v>
      </x:c>
      <x:c r="E1842" s="21" t="n">
        <x:f>IF(AND('Artifact Ledger'!Q402="OPEN",'Artifact Ledger'!R402="HOLD"),1,0)</x:f>
        <x:v>1</x:v>
      </x:c>
      <x:c r="F1842" s="21" t="n">
        <x:v>1</x:v>
      </x:c>
      <x:c r="G1842" s="23" t="str">
        <x:f>IF(E1842=F1842,"PASS","FAIL")</x:f>
        <x:v>PASS</x:v>
      </x:c>
    </x:row>
    <x:row r="1843">
      <x:c r="B1843" s="21" t="str">
        <x:v>A01837</x:v>
      </x:c>
      <x:c r="C1843" s="21" t="str">
        <x:v>artifact</x:v>
      </x:c>
      <x:c r="D1843" s="21" t="str">
        <x:v>artifact 397 eligibility equation</x:v>
      </x:c>
      <x:c r="E1843" s="21" t="n">
        <x:f>IF(ABS('Artifact Ledger'!P403-IF(AND('Artifact Ledger'!L403=1,'Artifact Ledger'!M403=1,'Artifact Ledger'!N403=1,'Artifact Ledger'!O403&gt;='Artifact Ledger'!G403),'Artifact Ledger'!K403,0))&lt;0.000001,1,0)</x:f>
        <x:v>1</x:v>
      </x:c>
      <x:c r="F1843" s="21" t="n">
        <x:v>1</x:v>
      </x:c>
      <x:c r="G1843" s="23" t="str">
        <x:f>IF(E1843=F1843,"PASS","FAIL")</x:f>
        <x:v>PASS</x:v>
      </x:c>
    </x:row>
    <x:row r="1844">
      <x:c r="B1844" s="21" t="str">
        <x:v>A01838</x:v>
      </x:c>
      <x:c r="C1844" s="21" t="str">
        <x:v>artifact</x:v>
      </x:c>
      <x:c r="D1844" s="21" t="str">
        <x:v>artifact 397 planning state</x:v>
      </x:c>
      <x:c r="E1844" s="21" t="n">
        <x:f>IF(AND('Artifact Ledger'!Q403="OPEN",'Artifact Ledger'!R403="HOLD"),1,0)</x:f>
        <x:v>1</x:v>
      </x:c>
      <x:c r="F1844" s="21" t="n">
        <x:v>1</x:v>
      </x:c>
      <x:c r="G1844" s="23" t="str">
        <x:f>IF(E1844=F1844,"PASS","FAIL")</x:f>
        <x:v>PASS</x:v>
      </x:c>
    </x:row>
    <x:row r="1845">
      <x:c r="B1845" s="21" t="str">
        <x:v>A01839</x:v>
      </x:c>
      <x:c r="C1845" s="21" t="str">
        <x:v>artifact</x:v>
      </x:c>
      <x:c r="D1845" s="21" t="str">
        <x:v>artifact 398 eligibility equation</x:v>
      </x:c>
      <x:c r="E1845" s="21" t="n">
        <x:f>IF(ABS('Artifact Ledger'!P404-IF(AND('Artifact Ledger'!L404=1,'Artifact Ledger'!M404=1,'Artifact Ledger'!N404=1,'Artifact Ledger'!O404&gt;='Artifact Ledger'!G404),'Artifact Ledger'!K404,0))&lt;0.000001,1,0)</x:f>
        <x:v>1</x:v>
      </x:c>
      <x:c r="F1845" s="21" t="n">
        <x:v>1</x:v>
      </x:c>
      <x:c r="G1845" s="23" t="str">
        <x:f>IF(E1845=F1845,"PASS","FAIL")</x:f>
        <x:v>PASS</x:v>
      </x:c>
    </x:row>
    <x:row r="1846">
      <x:c r="B1846" s="21" t="str">
        <x:v>A01840</x:v>
      </x:c>
      <x:c r="C1846" s="21" t="str">
        <x:v>artifact</x:v>
      </x:c>
      <x:c r="D1846" s="21" t="str">
        <x:v>artifact 398 planning state</x:v>
      </x:c>
      <x:c r="E1846" s="21" t="n">
        <x:f>IF(AND('Artifact Ledger'!Q404="OPEN",'Artifact Ledger'!R404="HOLD"),1,0)</x:f>
        <x:v>1</x:v>
      </x:c>
      <x:c r="F1846" s="21" t="n">
        <x:v>1</x:v>
      </x:c>
      <x:c r="G1846" s="23" t="str">
        <x:f>IF(E1846=F1846,"PASS","FAIL")</x:f>
        <x:v>PASS</x:v>
      </x:c>
    </x:row>
    <x:row r="1847">
      <x:c r="B1847" s="21" t="str">
        <x:v>A01841</x:v>
      </x:c>
      <x:c r="C1847" s="21" t="str">
        <x:v>artifact</x:v>
      </x:c>
      <x:c r="D1847" s="21" t="str">
        <x:v>artifact 399 eligibility equation</x:v>
      </x:c>
      <x:c r="E1847" s="21" t="n">
        <x:f>IF(ABS('Artifact Ledger'!P405-IF(AND('Artifact Ledger'!L405=1,'Artifact Ledger'!M405=1,'Artifact Ledger'!N405=1,'Artifact Ledger'!O405&gt;='Artifact Ledger'!G405),'Artifact Ledger'!K405,0))&lt;0.000001,1,0)</x:f>
        <x:v>1</x:v>
      </x:c>
      <x:c r="F1847" s="21" t="n">
        <x:v>1</x:v>
      </x:c>
      <x:c r="G1847" s="23" t="str">
        <x:f>IF(E1847=F1847,"PASS","FAIL")</x:f>
        <x:v>PASS</x:v>
      </x:c>
    </x:row>
    <x:row r="1848">
      <x:c r="B1848" s="21" t="str">
        <x:v>A01842</x:v>
      </x:c>
      <x:c r="C1848" s="21" t="str">
        <x:v>artifact</x:v>
      </x:c>
      <x:c r="D1848" s="21" t="str">
        <x:v>artifact 399 planning state</x:v>
      </x:c>
      <x:c r="E1848" s="21" t="n">
        <x:f>IF(AND('Artifact Ledger'!Q405="OPEN",'Artifact Ledger'!R405="HOLD"),1,0)</x:f>
        <x:v>1</x:v>
      </x:c>
      <x:c r="F1848" s="21" t="n">
        <x:v>1</x:v>
      </x:c>
      <x:c r="G1848" s="23" t="str">
        <x:f>IF(E1848=F1848,"PASS","FAIL")</x:f>
        <x:v>PASS</x:v>
      </x:c>
    </x:row>
    <x:row r="1849">
      <x:c r="B1849" s="21" t="str">
        <x:v>A01843</x:v>
      </x:c>
      <x:c r="C1849" s="21" t="str">
        <x:v>artifact</x:v>
      </x:c>
      <x:c r="D1849" s="21" t="str">
        <x:v>artifact 400 eligibility equation</x:v>
      </x:c>
      <x:c r="E1849" s="21" t="n">
        <x:f>IF(ABS('Artifact Ledger'!P406-IF(AND('Artifact Ledger'!L406=1,'Artifact Ledger'!M406=1,'Artifact Ledger'!N406=1,'Artifact Ledger'!O406&gt;='Artifact Ledger'!G406),'Artifact Ledger'!K406,0))&lt;0.000001,1,0)</x:f>
        <x:v>1</x:v>
      </x:c>
      <x:c r="F1849" s="21" t="n">
        <x:v>1</x:v>
      </x:c>
      <x:c r="G1849" s="23" t="str">
        <x:f>IF(E1849=F1849,"PASS","FAIL")</x:f>
        <x:v>PASS</x:v>
      </x:c>
    </x:row>
    <x:row r="1850">
      <x:c r="B1850" s="21" t="str">
        <x:v>A01844</x:v>
      </x:c>
      <x:c r="C1850" s="21" t="str">
        <x:v>artifact</x:v>
      </x:c>
      <x:c r="D1850" s="21" t="str">
        <x:v>artifact 400 planning state</x:v>
      </x:c>
      <x:c r="E1850" s="21" t="n">
        <x:f>IF(AND('Artifact Ledger'!Q406="OPEN",'Artifact Ledger'!R406="HOLD"),1,0)</x:f>
        <x:v>1</x:v>
      </x:c>
      <x:c r="F1850" s="21" t="n">
        <x:v>1</x:v>
      </x:c>
      <x:c r="G1850" s="23" t="str">
        <x:f>IF(E1850=F1850,"PASS","FAIL")</x:f>
        <x:v>PASS</x:v>
      </x:c>
    </x:row>
    <x:row r="1851">
      <x:c r="B1851" s="21" t="str">
        <x:v>A01845</x:v>
      </x:c>
      <x:c r="C1851" s="21" t="str">
        <x:v>artifact</x:v>
      </x:c>
      <x:c r="D1851" s="21" t="str">
        <x:v>artifact 401 eligibility equation</x:v>
      </x:c>
      <x:c r="E1851" s="21" t="n">
        <x:f>IF(ABS('Artifact Ledger'!P407-IF(AND('Artifact Ledger'!L407=1,'Artifact Ledger'!M407=1,'Artifact Ledger'!N407=1,'Artifact Ledger'!O407&gt;='Artifact Ledger'!G407),'Artifact Ledger'!K407,0))&lt;0.000001,1,0)</x:f>
        <x:v>1</x:v>
      </x:c>
      <x:c r="F1851" s="21" t="n">
        <x:v>1</x:v>
      </x:c>
      <x:c r="G1851" s="23" t="str">
        <x:f>IF(E1851=F1851,"PASS","FAIL")</x:f>
        <x:v>PASS</x:v>
      </x:c>
    </x:row>
    <x:row r="1852">
      <x:c r="B1852" s="21" t="str">
        <x:v>A01846</x:v>
      </x:c>
      <x:c r="C1852" s="21" t="str">
        <x:v>artifact</x:v>
      </x:c>
      <x:c r="D1852" s="21" t="str">
        <x:v>artifact 401 planning state</x:v>
      </x:c>
      <x:c r="E1852" s="21" t="n">
        <x:f>IF(AND('Artifact Ledger'!Q407="OPEN",'Artifact Ledger'!R407="HOLD"),1,0)</x:f>
        <x:v>1</x:v>
      </x:c>
      <x:c r="F1852" s="21" t="n">
        <x:v>1</x:v>
      </x:c>
      <x:c r="G1852" s="23" t="str">
        <x:f>IF(E1852=F1852,"PASS","FAIL")</x:f>
        <x:v>PASS</x:v>
      </x:c>
    </x:row>
    <x:row r="1853">
      <x:c r="B1853" s="21" t="str">
        <x:v>A01847</x:v>
      </x:c>
      <x:c r="C1853" s="21" t="str">
        <x:v>artifact</x:v>
      </x:c>
      <x:c r="D1853" s="21" t="str">
        <x:v>artifact 402 eligibility equation</x:v>
      </x:c>
      <x:c r="E1853" s="21" t="n">
        <x:f>IF(ABS('Artifact Ledger'!P408-IF(AND('Artifact Ledger'!L408=1,'Artifact Ledger'!M408=1,'Artifact Ledger'!N408=1,'Artifact Ledger'!O408&gt;='Artifact Ledger'!G408),'Artifact Ledger'!K408,0))&lt;0.000001,1,0)</x:f>
        <x:v>1</x:v>
      </x:c>
      <x:c r="F1853" s="21" t="n">
        <x:v>1</x:v>
      </x:c>
      <x:c r="G1853" s="23" t="str">
        <x:f>IF(E1853=F1853,"PASS","FAIL")</x:f>
        <x:v>PASS</x:v>
      </x:c>
    </x:row>
    <x:row r="1854">
      <x:c r="B1854" s="21" t="str">
        <x:v>A01848</x:v>
      </x:c>
      <x:c r="C1854" s="21" t="str">
        <x:v>artifact</x:v>
      </x:c>
      <x:c r="D1854" s="21" t="str">
        <x:v>artifact 402 planning state</x:v>
      </x:c>
      <x:c r="E1854" s="21" t="n">
        <x:f>IF(AND('Artifact Ledger'!Q408="OPEN",'Artifact Ledger'!R408="HOLD"),1,0)</x:f>
        <x:v>1</x:v>
      </x:c>
      <x:c r="F1854" s="21" t="n">
        <x:v>1</x:v>
      </x:c>
      <x:c r="G1854" s="23" t="str">
        <x:f>IF(E1854=F1854,"PASS","FAIL")</x:f>
        <x:v>PASS</x:v>
      </x:c>
    </x:row>
    <x:row r="1855">
      <x:c r="B1855" s="21" t="str">
        <x:v>A01849</x:v>
      </x:c>
      <x:c r="C1855" s="21" t="str">
        <x:v>artifact</x:v>
      </x:c>
      <x:c r="D1855" s="21" t="str">
        <x:v>artifact 403 eligibility equation</x:v>
      </x:c>
      <x:c r="E1855" s="21" t="n">
        <x:f>IF(ABS('Artifact Ledger'!P409-IF(AND('Artifact Ledger'!L409=1,'Artifact Ledger'!M409=1,'Artifact Ledger'!N409=1,'Artifact Ledger'!O409&gt;='Artifact Ledger'!G409),'Artifact Ledger'!K409,0))&lt;0.000001,1,0)</x:f>
        <x:v>1</x:v>
      </x:c>
      <x:c r="F1855" s="21" t="n">
        <x:v>1</x:v>
      </x:c>
      <x:c r="G1855" s="23" t="str">
        <x:f>IF(E1855=F1855,"PASS","FAIL")</x:f>
        <x:v>PASS</x:v>
      </x:c>
    </x:row>
    <x:row r="1856">
      <x:c r="B1856" s="21" t="str">
        <x:v>A01850</x:v>
      </x:c>
      <x:c r="C1856" s="21" t="str">
        <x:v>artifact</x:v>
      </x:c>
      <x:c r="D1856" s="21" t="str">
        <x:v>artifact 403 planning state</x:v>
      </x:c>
      <x:c r="E1856" s="21" t="n">
        <x:f>IF(AND('Artifact Ledger'!Q409="OPEN",'Artifact Ledger'!R409="HOLD"),1,0)</x:f>
        <x:v>1</x:v>
      </x:c>
      <x:c r="F1856" s="21" t="n">
        <x:v>1</x:v>
      </x:c>
      <x:c r="G1856" s="23" t="str">
        <x:f>IF(E1856=F1856,"PASS","FAIL")</x:f>
        <x:v>PASS</x:v>
      </x:c>
    </x:row>
    <x:row r="1857">
      <x:c r="B1857" s="21" t="str">
        <x:v>A01851</x:v>
      </x:c>
      <x:c r="C1857" s="21" t="str">
        <x:v>artifact</x:v>
      </x:c>
      <x:c r="D1857" s="21" t="str">
        <x:v>artifact 404 eligibility equation</x:v>
      </x:c>
      <x:c r="E1857" s="21" t="n">
        <x:f>IF(ABS('Artifact Ledger'!P410-IF(AND('Artifact Ledger'!L410=1,'Artifact Ledger'!M410=1,'Artifact Ledger'!N410=1,'Artifact Ledger'!O410&gt;='Artifact Ledger'!G410),'Artifact Ledger'!K410,0))&lt;0.000001,1,0)</x:f>
        <x:v>1</x:v>
      </x:c>
      <x:c r="F1857" s="21" t="n">
        <x:v>1</x:v>
      </x:c>
      <x:c r="G1857" s="23" t="str">
        <x:f>IF(E1857=F1857,"PASS","FAIL")</x:f>
        <x:v>PASS</x:v>
      </x:c>
    </x:row>
    <x:row r="1858">
      <x:c r="B1858" s="21" t="str">
        <x:v>A01852</x:v>
      </x:c>
      <x:c r="C1858" s="21" t="str">
        <x:v>artifact</x:v>
      </x:c>
      <x:c r="D1858" s="21" t="str">
        <x:v>artifact 404 planning state</x:v>
      </x:c>
      <x:c r="E1858" s="21" t="n">
        <x:f>IF(AND('Artifact Ledger'!Q410="OPEN",'Artifact Ledger'!R410="HOLD"),1,0)</x:f>
        <x:v>1</x:v>
      </x:c>
      <x:c r="F1858" s="21" t="n">
        <x:v>1</x:v>
      </x:c>
      <x:c r="G1858" s="23" t="str">
        <x:f>IF(E1858=F1858,"PASS","FAIL")</x:f>
        <x:v>PASS</x:v>
      </x:c>
    </x:row>
    <x:row r="1859">
      <x:c r="B1859" s="21" t="str">
        <x:v>A01853</x:v>
      </x:c>
      <x:c r="C1859" s="21" t="str">
        <x:v>artifact</x:v>
      </x:c>
      <x:c r="D1859" s="21" t="str">
        <x:v>artifact 405 eligibility equation</x:v>
      </x:c>
      <x:c r="E1859" s="21" t="n">
        <x:f>IF(ABS('Artifact Ledger'!P411-IF(AND('Artifact Ledger'!L411=1,'Artifact Ledger'!M411=1,'Artifact Ledger'!N411=1,'Artifact Ledger'!O411&gt;='Artifact Ledger'!G411),'Artifact Ledger'!K411,0))&lt;0.000001,1,0)</x:f>
        <x:v>1</x:v>
      </x:c>
      <x:c r="F1859" s="21" t="n">
        <x:v>1</x:v>
      </x:c>
      <x:c r="G1859" s="23" t="str">
        <x:f>IF(E1859=F1859,"PASS","FAIL")</x:f>
        <x:v>PASS</x:v>
      </x:c>
    </x:row>
    <x:row r="1860">
      <x:c r="B1860" s="21" t="str">
        <x:v>A01854</x:v>
      </x:c>
      <x:c r="C1860" s="21" t="str">
        <x:v>artifact</x:v>
      </x:c>
      <x:c r="D1860" s="21" t="str">
        <x:v>artifact 405 planning state</x:v>
      </x:c>
      <x:c r="E1860" s="21" t="n">
        <x:f>IF(AND('Artifact Ledger'!Q411="OPEN",'Artifact Ledger'!R411="HOLD"),1,0)</x:f>
        <x:v>1</x:v>
      </x:c>
      <x:c r="F1860" s="21" t="n">
        <x:v>1</x:v>
      </x:c>
      <x:c r="G1860" s="23" t="str">
        <x:f>IF(E1860=F1860,"PASS","FAIL")</x:f>
        <x:v>PASS</x:v>
      </x:c>
    </x:row>
    <x:row r="1861">
      <x:c r="B1861" s="21" t="str">
        <x:v>A01855</x:v>
      </x:c>
      <x:c r="C1861" s="21" t="str">
        <x:v>artifact</x:v>
      </x:c>
      <x:c r="D1861" s="21" t="str">
        <x:v>artifact 406 eligibility equation</x:v>
      </x:c>
      <x:c r="E1861" s="21" t="n">
        <x:f>IF(ABS('Artifact Ledger'!P412-IF(AND('Artifact Ledger'!L412=1,'Artifact Ledger'!M412=1,'Artifact Ledger'!N412=1,'Artifact Ledger'!O412&gt;='Artifact Ledger'!G412),'Artifact Ledger'!K412,0))&lt;0.000001,1,0)</x:f>
        <x:v>1</x:v>
      </x:c>
      <x:c r="F1861" s="21" t="n">
        <x:v>1</x:v>
      </x:c>
      <x:c r="G1861" s="23" t="str">
        <x:f>IF(E1861=F1861,"PASS","FAIL")</x:f>
        <x:v>PASS</x:v>
      </x:c>
    </x:row>
    <x:row r="1862">
      <x:c r="B1862" s="21" t="str">
        <x:v>A01856</x:v>
      </x:c>
      <x:c r="C1862" s="21" t="str">
        <x:v>artifact</x:v>
      </x:c>
      <x:c r="D1862" s="21" t="str">
        <x:v>artifact 406 planning state</x:v>
      </x:c>
      <x:c r="E1862" s="21" t="n">
        <x:f>IF(AND('Artifact Ledger'!Q412="OPEN",'Artifact Ledger'!R412="HOLD"),1,0)</x:f>
        <x:v>1</x:v>
      </x:c>
      <x:c r="F1862" s="21" t="n">
        <x:v>1</x:v>
      </x:c>
      <x:c r="G1862" s="23" t="str">
        <x:f>IF(E1862=F1862,"PASS","FAIL")</x:f>
        <x:v>PASS</x:v>
      </x:c>
    </x:row>
    <x:row r="1863">
      <x:c r="B1863" s="21" t="str">
        <x:v>A01857</x:v>
      </x:c>
      <x:c r="C1863" s="21" t="str">
        <x:v>artifact</x:v>
      </x:c>
      <x:c r="D1863" s="21" t="str">
        <x:v>artifact 407 eligibility equation</x:v>
      </x:c>
      <x:c r="E1863" s="21" t="n">
        <x:f>IF(ABS('Artifact Ledger'!P413-IF(AND('Artifact Ledger'!L413=1,'Artifact Ledger'!M413=1,'Artifact Ledger'!N413=1,'Artifact Ledger'!O413&gt;='Artifact Ledger'!G413),'Artifact Ledger'!K413,0))&lt;0.000001,1,0)</x:f>
        <x:v>1</x:v>
      </x:c>
      <x:c r="F1863" s="21" t="n">
        <x:v>1</x:v>
      </x:c>
      <x:c r="G1863" s="23" t="str">
        <x:f>IF(E1863=F1863,"PASS","FAIL")</x:f>
        <x:v>PASS</x:v>
      </x:c>
    </x:row>
    <x:row r="1864">
      <x:c r="B1864" s="21" t="str">
        <x:v>A01858</x:v>
      </x:c>
      <x:c r="C1864" s="21" t="str">
        <x:v>artifact</x:v>
      </x:c>
      <x:c r="D1864" s="21" t="str">
        <x:v>artifact 407 planning state</x:v>
      </x:c>
      <x:c r="E1864" s="21" t="n">
        <x:f>IF(AND('Artifact Ledger'!Q413="OPEN",'Artifact Ledger'!R413="HOLD"),1,0)</x:f>
        <x:v>1</x:v>
      </x:c>
      <x:c r="F1864" s="21" t="n">
        <x:v>1</x:v>
      </x:c>
      <x:c r="G1864" s="23" t="str">
        <x:f>IF(E1864=F1864,"PASS","FAIL")</x:f>
        <x:v>PASS</x:v>
      </x:c>
    </x:row>
    <x:row r="1865">
      <x:c r="B1865" s="21" t="str">
        <x:v>A01859</x:v>
      </x:c>
      <x:c r="C1865" s="21" t="str">
        <x:v>artifact</x:v>
      </x:c>
      <x:c r="D1865" s="21" t="str">
        <x:v>artifact 408 eligibility equation</x:v>
      </x:c>
      <x:c r="E1865" s="21" t="n">
        <x:f>IF(ABS('Artifact Ledger'!P414-IF(AND('Artifact Ledger'!L414=1,'Artifact Ledger'!M414=1,'Artifact Ledger'!N414=1,'Artifact Ledger'!O414&gt;='Artifact Ledger'!G414),'Artifact Ledger'!K414,0))&lt;0.000001,1,0)</x:f>
        <x:v>1</x:v>
      </x:c>
      <x:c r="F1865" s="21" t="n">
        <x:v>1</x:v>
      </x:c>
      <x:c r="G1865" s="23" t="str">
        <x:f>IF(E1865=F1865,"PASS","FAIL")</x:f>
        <x:v>PASS</x:v>
      </x:c>
    </x:row>
    <x:row r="1866">
      <x:c r="B1866" s="21" t="str">
        <x:v>A01860</x:v>
      </x:c>
      <x:c r="C1866" s="21" t="str">
        <x:v>artifact</x:v>
      </x:c>
      <x:c r="D1866" s="21" t="str">
        <x:v>artifact 408 planning state</x:v>
      </x:c>
      <x:c r="E1866" s="21" t="n">
        <x:f>IF(AND('Artifact Ledger'!Q414="OPEN",'Artifact Ledger'!R414="HOLD"),1,0)</x:f>
        <x:v>1</x:v>
      </x:c>
      <x:c r="F1866" s="21" t="n">
        <x:v>1</x:v>
      </x:c>
      <x:c r="G1866" s="23" t="str">
        <x:f>IF(E1866=F1866,"PASS","FAIL")</x:f>
        <x:v>PASS</x:v>
      </x:c>
    </x:row>
    <x:row r="1867">
      <x:c r="B1867" s="21" t="str">
        <x:v>A01861</x:v>
      </x:c>
      <x:c r="C1867" s="21" t="str">
        <x:v>artifact</x:v>
      </x:c>
      <x:c r="D1867" s="21" t="str">
        <x:v>artifact 409 eligibility equation</x:v>
      </x:c>
      <x:c r="E1867" s="21" t="n">
        <x:f>IF(ABS('Artifact Ledger'!P415-IF(AND('Artifact Ledger'!L415=1,'Artifact Ledger'!M415=1,'Artifact Ledger'!N415=1,'Artifact Ledger'!O415&gt;='Artifact Ledger'!G415),'Artifact Ledger'!K415,0))&lt;0.000001,1,0)</x:f>
        <x:v>1</x:v>
      </x:c>
      <x:c r="F1867" s="21" t="n">
        <x:v>1</x:v>
      </x:c>
      <x:c r="G1867" s="23" t="str">
        <x:f>IF(E1867=F1867,"PASS","FAIL")</x:f>
        <x:v>PASS</x:v>
      </x:c>
    </x:row>
    <x:row r="1868">
      <x:c r="B1868" s="21" t="str">
        <x:v>A01862</x:v>
      </x:c>
      <x:c r="C1868" s="21" t="str">
        <x:v>artifact</x:v>
      </x:c>
      <x:c r="D1868" s="21" t="str">
        <x:v>artifact 409 planning state</x:v>
      </x:c>
      <x:c r="E1868" s="21" t="n">
        <x:f>IF(AND('Artifact Ledger'!Q415="OPEN",'Artifact Ledger'!R415="HOLD"),1,0)</x:f>
        <x:v>1</x:v>
      </x:c>
      <x:c r="F1868" s="21" t="n">
        <x:v>1</x:v>
      </x:c>
      <x:c r="G1868" s="23" t="str">
        <x:f>IF(E1868=F1868,"PASS","FAIL")</x:f>
        <x:v>PASS</x:v>
      </x:c>
    </x:row>
    <x:row r="1869">
      <x:c r="B1869" s="21" t="str">
        <x:v>A01863</x:v>
      </x:c>
      <x:c r="C1869" s="21" t="str">
        <x:v>artifact</x:v>
      </x:c>
      <x:c r="D1869" s="21" t="str">
        <x:v>artifact 410 eligibility equation</x:v>
      </x:c>
      <x:c r="E1869" s="21" t="n">
        <x:f>IF(ABS('Artifact Ledger'!P416-IF(AND('Artifact Ledger'!L416=1,'Artifact Ledger'!M416=1,'Artifact Ledger'!N416=1,'Artifact Ledger'!O416&gt;='Artifact Ledger'!G416),'Artifact Ledger'!K416,0))&lt;0.000001,1,0)</x:f>
        <x:v>1</x:v>
      </x:c>
      <x:c r="F1869" s="21" t="n">
        <x:v>1</x:v>
      </x:c>
      <x:c r="G1869" s="23" t="str">
        <x:f>IF(E1869=F1869,"PASS","FAIL")</x:f>
        <x:v>PASS</x:v>
      </x:c>
    </x:row>
    <x:row r="1870">
      <x:c r="B1870" s="21" t="str">
        <x:v>A01864</x:v>
      </x:c>
      <x:c r="C1870" s="21" t="str">
        <x:v>artifact</x:v>
      </x:c>
      <x:c r="D1870" s="21" t="str">
        <x:v>artifact 410 planning state</x:v>
      </x:c>
      <x:c r="E1870" s="21" t="n">
        <x:f>IF(AND('Artifact Ledger'!Q416="OPEN",'Artifact Ledger'!R416="HOLD"),1,0)</x:f>
        <x:v>1</x:v>
      </x:c>
      <x:c r="F1870" s="21" t="n">
        <x:v>1</x:v>
      </x:c>
      <x:c r="G1870" s="23" t="str">
        <x:f>IF(E1870=F1870,"PASS","FAIL")</x:f>
        <x:v>PASS</x:v>
      </x:c>
    </x:row>
    <x:row r="1871">
      <x:c r="B1871" s="21" t="str">
        <x:v>A01865</x:v>
      </x:c>
      <x:c r="C1871" s="21" t="str">
        <x:v>artifact</x:v>
      </x:c>
      <x:c r="D1871" s="21" t="str">
        <x:v>artifact 411 eligibility equation</x:v>
      </x:c>
      <x:c r="E1871" s="21" t="n">
        <x:f>IF(ABS('Artifact Ledger'!P417-IF(AND('Artifact Ledger'!L417=1,'Artifact Ledger'!M417=1,'Artifact Ledger'!N417=1,'Artifact Ledger'!O417&gt;='Artifact Ledger'!G417),'Artifact Ledger'!K417,0))&lt;0.000001,1,0)</x:f>
        <x:v>1</x:v>
      </x:c>
      <x:c r="F1871" s="21" t="n">
        <x:v>1</x:v>
      </x:c>
      <x:c r="G1871" s="23" t="str">
        <x:f>IF(E1871=F1871,"PASS","FAIL")</x:f>
        <x:v>PASS</x:v>
      </x:c>
    </x:row>
    <x:row r="1872">
      <x:c r="B1872" s="21" t="str">
        <x:v>A01866</x:v>
      </x:c>
      <x:c r="C1872" s="21" t="str">
        <x:v>artifact</x:v>
      </x:c>
      <x:c r="D1872" s="21" t="str">
        <x:v>artifact 411 planning state</x:v>
      </x:c>
      <x:c r="E1872" s="21" t="n">
        <x:f>IF(AND('Artifact Ledger'!Q417="OPEN",'Artifact Ledger'!R417="HOLD"),1,0)</x:f>
        <x:v>1</x:v>
      </x:c>
      <x:c r="F1872" s="21" t="n">
        <x:v>1</x:v>
      </x:c>
      <x:c r="G1872" s="23" t="str">
        <x:f>IF(E1872=F1872,"PASS","FAIL")</x:f>
        <x:v>PASS</x:v>
      </x:c>
    </x:row>
    <x:row r="1873">
      <x:c r="B1873" s="21" t="str">
        <x:v>A01867</x:v>
      </x:c>
      <x:c r="C1873" s="21" t="str">
        <x:v>artifact</x:v>
      </x:c>
      <x:c r="D1873" s="21" t="str">
        <x:v>artifact 412 eligibility equation</x:v>
      </x:c>
      <x:c r="E1873" s="21" t="n">
        <x:f>IF(ABS('Artifact Ledger'!P418-IF(AND('Artifact Ledger'!L418=1,'Artifact Ledger'!M418=1,'Artifact Ledger'!N418=1,'Artifact Ledger'!O418&gt;='Artifact Ledger'!G418),'Artifact Ledger'!K418,0))&lt;0.000001,1,0)</x:f>
        <x:v>1</x:v>
      </x:c>
      <x:c r="F1873" s="21" t="n">
        <x:v>1</x:v>
      </x:c>
      <x:c r="G1873" s="23" t="str">
        <x:f>IF(E1873=F1873,"PASS","FAIL")</x:f>
        <x:v>PASS</x:v>
      </x:c>
    </x:row>
    <x:row r="1874">
      <x:c r="B1874" s="21" t="str">
        <x:v>A01868</x:v>
      </x:c>
      <x:c r="C1874" s="21" t="str">
        <x:v>artifact</x:v>
      </x:c>
      <x:c r="D1874" s="21" t="str">
        <x:v>artifact 412 planning state</x:v>
      </x:c>
      <x:c r="E1874" s="21" t="n">
        <x:f>IF(AND('Artifact Ledger'!Q418="OPEN",'Artifact Ledger'!R418="HOLD"),1,0)</x:f>
        <x:v>1</x:v>
      </x:c>
      <x:c r="F1874" s="21" t="n">
        <x:v>1</x:v>
      </x:c>
      <x:c r="G1874" s="23" t="str">
        <x:f>IF(E1874=F1874,"PASS","FAIL")</x:f>
        <x:v>PASS</x:v>
      </x:c>
    </x:row>
    <x:row r="1875">
      <x:c r="B1875" s="21" t="str">
        <x:v>A01869</x:v>
      </x:c>
      <x:c r="C1875" s="21" t="str">
        <x:v>artifact</x:v>
      </x:c>
      <x:c r="D1875" s="21" t="str">
        <x:v>artifact 413 eligibility equation</x:v>
      </x:c>
      <x:c r="E1875" s="21" t="n">
        <x:f>IF(ABS('Artifact Ledger'!P419-IF(AND('Artifact Ledger'!L419=1,'Artifact Ledger'!M419=1,'Artifact Ledger'!N419=1,'Artifact Ledger'!O419&gt;='Artifact Ledger'!G419),'Artifact Ledger'!K419,0))&lt;0.000001,1,0)</x:f>
        <x:v>1</x:v>
      </x:c>
      <x:c r="F1875" s="21" t="n">
        <x:v>1</x:v>
      </x:c>
      <x:c r="G1875" s="23" t="str">
        <x:f>IF(E1875=F1875,"PASS","FAIL")</x:f>
        <x:v>PASS</x:v>
      </x:c>
    </x:row>
    <x:row r="1876">
      <x:c r="B1876" s="21" t="str">
        <x:v>A01870</x:v>
      </x:c>
      <x:c r="C1876" s="21" t="str">
        <x:v>artifact</x:v>
      </x:c>
      <x:c r="D1876" s="21" t="str">
        <x:v>artifact 413 planning state</x:v>
      </x:c>
      <x:c r="E1876" s="21" t="n">
        <x:f>IF(AND('Artifact Ledger'!Q419="OPEN",'Artifact Ledger'!R419="HOLD"),1,0)</x:f>
        <x:v>1</x:v>
      </x:c>
      <x:c r="F1876" s="21" t="n">
        <x:v>1</x:v>
      </x:c>
      <x:c r="G1876" s="23" t="str">
        <x:f>IF(E1876=F1876,"PASS","FAIL")</x:f>
        <x:v>PASS</x:v>
      </x:c>
    </x:row>
    <x:row r="1877">
      <x:c r="B1877" s="21" t="str">
        <x:v>A01871</x:v>
      </x:c>
      <x:c r="C1877" s="21" t="str">
        <x:v>artifact</x:v>
      </x:c>
      <x:c r="D1877" s="21" t="str">
        <x:v>artifact 414 eligibility equation</x:v>
      </x:c>
      <x:c r="E1877" s="21" t="n">
        <x:f>IF(ABS('Artifact Ledger'!P420-IF(AND('Artifact Ledger'!L420=1,'Artifact Ledger'!M420=1,'Artifact Ledger'!N420=1,'Artifact Ledger'!O420&gt;='Artifact Ledger'!G420),'Artifact Ledger'!K420,0))&lt;0.000001,1,0)</x:f>
        <x:v>1</x:v>
      </x:c>
      <x:c r="F1877" s="21" t="n">
        <x:v>1</x:v>
      </x:c>
      <x:c r="G1877" s="23" t="str">
        <x:f>IF(E1877=F1877,"PASS","FAIL")</x:f>
        <x:v>PASS</x:v>
      </x:c>
    </x:row>
    <x:row r="1878">
      <x:c r="B1878" s="21" t="str">
        <x:v>A01872</x:v>
      </x:c>
      <x:c r="C1878" s="21" t="str">
        <x:v>artifact</x:v>
      </x:c>
      <x:c r="D1878" s="21" t="str">
        <x:v>artifact 414 planning state</x:v>
      </x:c>
      <x:c r="E1878" s="21" t="n">
        <x:f>IF(AND('Artifact Ledger'!Q420="OPEN",'Artifact Ledger'!R420="HOLD"),1,0)</x:f>
        <x:v>1</x:v>
      </x:c>
      <x:c r="F1878" s="21" t="n">
        <x:v>1</x:v>
      </x:c>
      <x:c r="G1878" s="23" t="str">
        <x:f>IF(E1878=F1878,"PASS","FAIL")</x:f>
        <x:v>PASS</x:v>
      </x:c>
    </x:row>
    <x:row r="1879">
      <x:c r="B1879" s="21" t="str">
        <x:v>A01873</x:v>
      </x:c>
      <x:c r="C1879" s="21" t="str">
        <x:v>artifact</x:v>
      </x:c>
      <x:c r="D1879" s="21" t="str">
        <x:v>artifact 415 eligibility equation</x:v>
      </x:c>
      <x:c r="E1879" s="21" t="n">
        <x:f>IF(ABS('Artifact Ledger'!P421-IF(AND('Artifact Ledger'!L421=1,'Artifact Ledger'!M421=1,'Artifact Ledger'!N421=1,'Artifact Ledger'!O421&gt;='Artifact Ledger'!G421),'Artifact Ledger'!K421,0))&lt;0.000001,1,0)</x:f>
        <x:v>1</x:v>
      </x:c>
      <x:c r="F1879" s="21" t="n">
        <x:v>1</x:v>
      </x:c>
      <x:c r="G1879" s="23" t="str">
        <x:f>IF(E1879=F1879,"PASS","FAIL")</x:f>
        <x:v>PASS</x:v>
      </x:c>
    </x:row>
    <x:row r="1880">
      <x:c r="B1880" s="21" t="str">
        <x:v>A01874</x:v>
      </x:c>
      <x:c r="C1880" s="21" t="str">
        <x:v>artifact</x:v>
      </x:c>
      <x:c r="D1880" s="21" t="str">
        <x:v>artifact 415 planning state</x:v>
      </x:c>
      <x:c r="E1880" s="21" t="n">
        <x:f>IF(AND('Artifact Ledger'!Q421="OPEN",'Artifact Ledger'!R421="HOLD"),1,0)</x:f>
        <x:v>1</x:v>
      </x:c>
      <x:c r="F1880" s="21" t="n">
        <x:v>1</x:v>
      </x:c>
      <x:c r="G1880" s="23" t="str">
        <x:f>IF(E1880=F1880,"PASS","FAIL")</x:f>
        <x:v>PASS</x:v>
      </x:c>
    </x:row>
    <x:row r="1881">
      <x:c r="B1881" s="21" t="str">
        <x:v>A01875</x:v>
      </x:c>
      <x:c r="C1881" s="21" t="str">
        <x:v>artifact</x:v>
      </x:c>
      <x:c r="D1881" s="21" t="str">
        <x:v>artifact 416 eligibility equation</x:v>
      </x:c>
      <x:c r="E1881" s="21" t="n">
        <x:f>IF(ABS('Artifact Ledger'!P422-IF(AND('Artifact Ledger'!L422=1,'Artifact Ledger'!M422=1,'Artifact Ledger'!N422=1,'Artifact Ledger'!O422&gt;='Artifact Ledger'!G422),'Artifact Ledger'!K422,0))&lt;0.000001,1,0)</x:f>
        <x:v>1</x:v>
      </x:c>
      <x:c r="F1881" s="21" t="n">
        <x:v>1</x:v>
      </x:c>
      <x:c r="G1881" s="23" t="str">
        <x:f>IF(E1881=F1881,"PASS","FAIL")</x:f>
        <x:v>PASS</x:v>
      </x:c>
    </x:row>
    <x:row r="1882">
      <x:c r="B1882" s="21" t="str">
        <x:v>A01876</x:v>
      </x:c>
      <x:c r="C1882" s="21" t="str">
        <x:v>artifact</x:v>
      </x:c>
      <x:c r="D1882" s="21" t="str">
        <x:v>artifact 416 planning state</x:v>
      </x:c>
      <x:c r="E1882" s="21" t="n">
        <x:f>IF(AND('Artifact Ledger'!Q422="OPEN",'Artifact Ledger'!R422="HOLD"),1,0)</x:f>
        <x:v>1</x:v>
      </x:c>
      <x:c r="F1882" s="21" t="n">
        <x:v>1</x:v>
      </x:c>
      <x:c r="G1882" s="23" t="str">
        <x:f>IF(E1882=F1882,"PASS","FAIL")</x:f>
        <x:v>PASS</x:v>
      </x:c>
    </x:row>
    <x:row r="1883">
      <x:c r="B1883" s="21" t="str">
        <x:v>A01877</x:v>
      </x:c>
      <x:c r="C1883" s="21" t="str">
        <x:v>artifact</x:v>
      </x:c>
      <x:c r="D1883" s="21" t="str">
        <x:v>artifact 417 eligibility equation</x:v>
      </x:c>
      <x:c r="E1883" s="21" t="n">
        <x:f>IF(ABS('Artifact Ledger'!P423-IF(AND('Artifact Ledger'!L423=1,'Artifact Ledger'!M423=1,'Artifact Ledger'!N423=1,'Artifact Ledger'!O423&gt;='Artifact Ledger'!G423),'Artifact Ledger'!K423,0))&lt;0.000001,1,0)</x:f>
        <x:v>1</x:v>
      </x:c>
      <x:c r="F1883" s="21" t="n">
        <x:v>1</x:v>
      </x:c>
      <x:c r="G1883" s="23" t="str">
        <x:f>IF(E1883=F1883,"PASS","FAIL")</x:f>
        <x:v>PASS</x:v>
      </x:c>
    </x:row>
    <x:row r="1884">
      <x:c r="B1884" s="21" t="str">
        <x:v>A01878</x:v>
      </x:c>
      <x:c r="C1884" s="21" t="str">
        <x:v>artifact</x:v>
      </x:c>
      <x:c r="D1884" s="21" t="str">
        <x:v>artifact 417 planning state</x:v>
      </x:c>
      <x:c r="E1884" s="21" t="n">
        <x:f>IF(AND('Artifact Ledger'!Q423="OPEN",'Artifact Ledger'!R423="HOLD"),1,0)</x:f>
        <x:v>1</x:v>
      </x:c>
      <x:c r="F1884" s="21" t="n">
        <x:v>1</x:v>
      </x:c>
      <x:c r="G1884" s="23" t="str">
        <x:f>IF(E1884=F1884,"PASS","FAIL")</x:f>
        <x:v>PASS</x:v>
      </x:c>
    </x:row>
    <x:row r="1885">
      <x:c r="B1885" s="21" t="str">
        <x:v>A01879</x:v>
      </x:c>
      <x:c r="C1885" s="21" t="str">
        <x:v>artifact</x:v>
      </x:c>
      <x:c r="D1885" s="21" t="str">
        <x:v>artifact 418 eligibility equation</x:v>
      </x:c>
      <x:c r="E1885" s="21" t="n">
        <x:f>IF(ABS('Artifact Ledger'!P424-IF(AND('Artifact Ledger'!L424=1,'Artifact Ledger'!M424=1,'Artifact Ledger'!N424=1,'Artifact Ledger'!O424&gt;='Artifact Ledger'!G424),'Artifact Ledger'!K424,0))&lt;0.000001,1,0)</x:f>
        <x:v>1</x:v>
      </x:c>
      <x:c r="F1885" s="21" t="n">
        <x:v>1</x:v>
      </x:c>
      <x:c r="G1885" s="23" t="str">
        <x:f>IF(E1885=F1885,"PASS","FAIL")</x:f>
        <x:v>PASS</x:v>
      </x:c>
    </x:row>
    <x:row r="1886">
      <x:c r="B1886" s="21" t="str">
        <x:v>A01880</x:v>
      </x:c>
      <x:c r="C1886" s="21" t="str">
        <x:v>artifact</x:v>
      </x:c>
      <x:c r="D1886" s="21" t="str">
        <x:v>artifact 418 planning state</x:v>
      </x:c>
      <x:c r="E1886" s="21" t="n">
        <x:f>IF(AND('Artifact Ledger'!Q424="OPEN",'Artifact Ledger'!R424="HOLD"),1,0)</x:f>
        <x:v>1</x:v>
      </x:c>
      <x:c r="F1886" s="21" t="n">
        <x:v>1</x:v>
      </x:c>
      <x:c r="G1886" s="23" t="str">
        <x:f>IF(E1886=F1886,"PASS","FAIL")</x:f>
        <x:v>PASS</x:v>
      </x:c>
    </x:row>
    <x:row r="1887">
      <x:c r="B1887" s="21" t="str">
        <x:v>A01881</x:v>
      </x:c>
      <x:c r="C1887" s="21" t="str">
        <x:v>artifact</x:v>
      </x:c>
      <x:c r="D1887" s="21" t="str">
        <x:v>artifact 419 eligibility equation</x:v>
      </x:c>
      <x:c r="E1887" s="21" t="n">
        <x:f>IF(ABS('Artifact Ledger'!P425-IF(AND('Artifact Ledger'!L425=1,'Artifact Ledger'!M425=1,'Artifact Ledger'!N425=1,'Artifact Ledger'!O425&gt;='Artifact Ledger'!G425),'Artifact Ledger'!K425,0))&lt;0.000001,1,0)</x:f>
        <x:v>1</x:v>
      </x:c>
      <x:c r="F1887" s="21" t="n">
        <x:v>1</x:v>
      </x:c>
      <x:c r="G1887" s="23" t="str">
        <x:f>IF(E1887=F1887,"PASS","FAIL")</x:f>
        <x:v>PASS</x:v>
      </x:c>
    </x:row>
    <x:row r="1888">
      <x:c r="B1888" s="21" t="str">
        <x:v>A01882</x:v>
      </x:c>
      <x:c r="C1888" s="21" t="str">
        <x:v>artifact</x:v>
      </x:c>
      <x:c r="D1888" s="21" t="str">
        <x:v>artifact 419 planning state</x:v>
      </x:c>
      <x:c r="E1888" s="21" t="n">
        <x:f>IF(AND('Artifact Ledger'!Q425="OPEN",'Artifact Ledger'!R425="HOLD"),1,0)</x:f>
        <x:v>1</x:v>
      </x:c>
      <x:c r="F1888" s="21" t="n">
        <x:v>1</x:v>
      </x:c>
      <x:c r="G1888" s="23" t="str">
        <x:f>IF(E1888=F1888,"PASS","FAIL")</x:f>
        <x:v>PASS</x:v>
      </x:c>
    </x:row>
    <x:row r="1889">
      <x:c r="B1889" s="21" t="str">
        <x:v>A01883</x:v>
      </x:c>
      <x:c r="C1889" s="21" t="str">
        <x:v>artifact</x:v>
      </x:c>
      <x:c r="D1889" s="21" t="str">
        <x:v>artifact 420 eligibility equation</x:v>
      </x:c>
      <x:c r="E1889" s="21" t="n">
        <x:f>IF(ABS('Artifact Ledger'!P426-IF(AND('Artifact Ledger'!L426=1,'Artifact Ledger'!M426=1,'Artifact Ledger'!N426=1,'Artifact Ledger'!O426&gt;='Artifact Ledger'!G426),'Artifact Ledger'!K426,0))&lt;0.000001,1,0)</x:f>
        <x:v>1</x:v>
      </x:c>
      <x:c r="F1889" s="21" t="n">
        <x:v>1</x:v>
      </x:c>
      <x:c r="G1889" s="23" t="str">
        <x:f>IF(E1889=F1889,"PASS","FAIL")</x:f>
        <x:v>PASS</x:v>
      </x:c>
    </x:row>
    <x:row r="1890">
      <x:c r="B1890" s="21" t="str">
        <x:v>A01884</x:v>
      </x:c>
      <x:c r="C1890" s="21" t="str">
        <x:v>artifact</x:v>
      </x:c>
      <x:c r="D1890" s="21" t="str">
        <x:v>artifact 420 planning state</x:v>
      </x:c>
      <x:c r="E1890" s="21" t="n">
        <x:f>IF(AND('Artifact Ledger'!Q426="OPEN",'Artifact Ledger'!R426="HOLD"),1,0)</x:f>
        <x:v>1</x:v>
      </x:c>
      <x:c r="F1890" s="21" t="n">
        <x:v>1</x:v>
      </x:c>
      <x:c r="G1890" s="23" t="str">
        <x:f>IF(E1890=F1890,"PASS","FAIL")</x:f>
        <x:v>PASS</x:v>
      </x:c>
    </x:row>
    <x:row r="1891">
      <x:c r="B1891" s="21" t="str">
        <x:v>A01885</x:v>
      </x:c>
      <x:c r="C1891" s="21" t="str">
        <x:v>artifact</x:v>
      </x:c>
      <x:c r="D1891" s="21" t="str">
        <x:v>artifact 421 eligibility equation</x:v>
      </x:c>
      <x:c r="E1891" s="21" t="n">
        <x:f>IF(ABS('Artifact Ledger'!P427-IF(AND('Artifact Ledger'!L427=1,'Artifact Ledger'!M427=1,'Artifact Ledger'!N427=1,'Artifact Ledger'!O427&gt;='Artifact Ledger'!G427),'Artifact Ledger'!K427,0))&lt;0.000001,1,0)</x:f>
        <x:v>1</x:v>
      </x:c>
      <x:c r="F1891" s="21" t="n">
        <x:v>1</x:v>
      </x:c>
      <x:c r="G1891" s="23" t="str">
        <x:f>IF(E1891=F1891,"PASS","FAIL")</x:f>
        <x:v>PASS</x:v>
      </x:c>
    </x:row>
    <x:row r="1892">
      <x:c r="B1892" s="21" t="str">
        <x:v>A01886</x:v>
      </x:c>
      <x:c r="C1892" s="21" t="str">
        <x:v>artifact</x:v>
      </x:c>
      <x:c r="D1892" s="21" t="str">
        <x:v>artifact 421 planning state</x:v>
      </x:c>
      <x:c r="E1892" s="21" t="n">
        <x:f>IF(AND('Artifact Ledger'!Q427="OPEN",'Artifact Ledger'!R427="HOLD"),1,0)</x:f>
        <x:v>1</x:v>
      </x:c>
      <x:c r="F1892" s="21" t="n">
        <x:v>1</x:v>
      </x:c>
      <x:c r="G1892" s="23" t="str">
        <x:f>IF(E1892=F1892,"PASS","FAIL")</x:f>
        <x:v>PASS</x:v>
      </x:c>
    </x:row>
    <x:row r="1893">
      <x:c r="B1893" s="21" t="str">
        <x:v>A01887</x:v>
      </x:c>
      <x:c r="C1893" s="21" t="str">
        <x:v>artifact</x:v>
      </x:c>
      <x:c r="D1893" s="21" t="str">
        <x:v>artifact 422 eligibility equation</x:v>
      </x:c>
      <x:c r="E1893" s="21" t="n">
        <x:f>IF(ABS('Artifact Ledger'!P428-IF(AND('Artifact Ledger'!L428=1,'Artifact Ledger'!M428=1,'Artifact Ledger'!N428=1,'Artifact Ledger'!O428&gt;='Artifact Ledger'!G428),'Artifact Ledger'!K428,0))&lt;0.000001,1,0)</x:f>
        <x:v>1</x:v>
      </x:c>
      <x:c r="F1893" s="21" t="n">
        <x:v>1</x:v>
      </x:c>
      <x:c r="G1893" s="23" t="str">
        <x:f>IF(E1893=F1893,"PASS","FAIL")</x:f>
        <x:v>PASS</x:v>
      </x:c>
    </x:row>
    <x:row r="1894">
      <x:c r="B1894" s="21" t="str">
        <x:v>A01888</x:v>
      </x:c>
      <x:c r="C1894" s="21" t="str">
        <x:v>artifact</x:v>
      </x:c>
      <x:c r="D1894" s="21" t="str">
        <x:v>artifact 422 planning state</x:v>
      </x:c>
      <x:c r="E1894" s="21" t="n">
        <x:f>IF(AND('Artifact Ledger'!Q428="OPEN",'Artifact Ledger'!R428="HOLD"),1,0)</x:f>
        <x:v>1</x:v>
      </x:c>
      <x:c r="F1894" s="21" t="n">
        <x:v>1</x:v>
      </x:c>
      <x:c r="G1894" s="23" t="str">
        <x:f>IF(E1894=F1894,"PASS","FAIL")</x:f>
        <x:v>PASS</x:v>
      </x:c>
    </x:row>
    <x:row r="1895">
      <x:c r="B1895" s="21" t="str">
        <x:v>A01889</x:v>
      </x:c>
      <x:c r="C1895" s="21" t="str">
        <x:v>artifact</x:v>
      </x:c>
      <x:c r="D1895" s="21" t="str">
        <x:v>artifact 423 eligibility equation</x:v>
      </x:c>
      <x:c r="E1895" s="21" t="n">
        <x:f>IF(ABS('Artifact Ledger'!P429-IF(AND('Artifact Ledger'!L429=1,'Artifact Ledger'!M429=1,'Artifact Ledger'!N429=1,'Artifact Ledger'!O429&gt;='Artifact Ledger'!G429),'Artifact Ledger'!K429,0))&lt;0.000001,1,0)</x:f>
        <x:v>1</x:v>
      </x:c>
      <x:c r="F1895" s="21" t="n">
        <x:v>1</x:v>
      </x:c>
      <x:c r="G1895" s="23" t="str">
        <x:f>IF(E1895=F1895,"PASS","FAIL")</x:f>
        <x:v>PASS</x:v>
      </x:c>
    </x:row>
    <x:row r="1896">
      <x:c r="B1896" s="21" t="str">
        <x:v>A01890</x:v>
      </x:c>
      <x:c r="C1896" s="21" t="str">
        <x:v>artifact</x:v>
      </x:c>
      <x:c r="D1896" s="21" t="str">
        <x:v>artifact 423 planning state</x:v>
      </x:c>
      <x:c r="E1896" s="21" t="n">
        <x:f>IF(AND('Artifact Ledger'!Q429="OPEN",'Artifact Ledger'!R429="HOLD"),1,0)</x:f>
        <x:v>1</x:v>
      </x:c>
      <x:c r="F1896" s="21" t="n">
        <x:v>1</x:v>
      </x:c>
      <x:c r="G1896" s="23" t="str">
        <x:f>IF(E1896=F1896,"PASS","FAIL")</x:f>
        <x:v>PASS</x:v>
      </x:c>
    </x:row>
    <x:row r="1897">
      <x:c r="B1897" s="21" t="str">
        <x:v>A01891</x:v>
      </x:c>
      <x:c r="C1897" s="21" t="str">
        <x:v>artifact</x:v>
      </x:c>
      <x:c r="D1897" s="21" t="str">
        <x:v>artifact 424 eligibility equation</x:v>
      </x:c>
      <x:c r="E1897" s="21" t="n">
        <x:f>IF(ABS('Artifact Ledger'!P430-IF(AND('Artifact Ledger'!L430=1,'Artifact Ledger'!M430=1,'Artifact Ledger'!N430=1,'Artifact Ledger'!O430&gt;='Artifact Ledger'!G430),'Artifact Ledger'!K430,0))&lt;0.000001,1,0)</x:f>
        <x:v>1</x:v>
      </x:c>
      <x:c r="F1897" s="21" t="n">
        <x:v>1</x:v>
      </x:c>
      <x:c r="G1897" s="23" t="str">
        <x:f>IF(E1897=F1897,"PASS","FAIL")</x:f>
        <x:v>PASS</x:v>
      </x:c>
    </x:row>
    <x:row r="1898">
      <x:c r="B1898" s="21" t="str">
        <x:v>A01892</x:v>
      </x:c>
      <x:c r="C1898" s="21" t="str">
        <x:v>artifact</x:v>
      </x:c>
      <x:c r="D1898" s="21" t="str">
        <x:v>artifact 424 planning state</x:v>
      </x:c>
      <x:c r="E1898" s="21" t="n">
        <x:f>IF(AND('Artifact Ledger'!Q430="OPEN",'Artifact Ledger'!R430="HOLD"),1,0)</x:f>
        <x:v>1</x:v>
      </x:c>
      <x:c r="F1898" s="21" t="n">
        <x:v>1</x:v>
      </x:c>
      <x:c r="G1898" s="23" t="str">
        <x:f>IF(E1898=F1898,"PASS","FAIL")</x:f>
        <x:v>PASS</x:v>
      </x:c>
    </x:row>
    <x:row r="1899">
      <x:c r="B1899" s="21" t="str">
        <x:v>A01893</x:v>
      </x:c>
      <x:c r="C1899" s="21" t="str">
        <x:v>artifact</x:v>
      </x:c>
      <x:c r="D1899" s="21" t="str">
        <x:v>artifact 425 eligibility equation</x:v>
      </x:c>
      <x:c r="E1899" s="21" t="n">
        <x:f>IF(ABS('Artifact Ledger'!P431-IF(AND('Artifact Ledger'!L431=1,'Artifact Ledger'!M431=1,'Artifact Ledger'!N431=1,'Artifact Ledger'!O431&gt;='Artifact Ledger'!G431),'Artifact Ledger'!K431,0))&lt;0.000001,1,0)</x:f>
        <x:v>1</x:v>
      </x:c>
      <x:c r="F1899" s="21" t="n">
        <x:v>1</x:v>
      </x:c>
      <x:c r="G1899" s="23" t="str">
        <x:f>IF(E1899=F1899,"PASS","FAIL")</x:f>
        <x:v>PASS</x:v>
      </x:c>
    </x:row>
    <x:row r="1900">
      <x:c r="B1900" s="21" t="str">
        <x:v>A01894</x:v>
      </x:c>
      <x:c r="C1900" s="21" t="str">
        <x:v>artifact</x:v>
      </x:c>
      <x:c r="D1900" s="21" t="str">
        <x:v>artifact 425 planning state</x:v>
      </x:c>
      <x:c r="E1900" s="21" t="n">
        <x:f>IF(AND('Artifact Ledger'!Q431="OPEN",'Artifact Ledger'!R431="HOLD"),1,0)</x:f>
        <x:v>1</x:v>
      </x:c>
      <x:c r="F1900" s="21" t="n">
        <x:v>1</x:v>
      </x:c>
      <x:c r="G1900" s="23" t="str">
        <x:f>IF(E1900=F1900,"PASS","FAIL")</x:f>
        <x:v>PASS</x:v>
      </x:c>
    </x:row>
    <x:row r="1901">
      <x:c r="B1901" s="21" t="str">
        <x:v>A01895</x:v>
      </x:c>
      <x:c r="C1901" s="21" t="str">
        <x:v>artifact</x:v>
      </x:c>
      <x:c r="D1901" s="21" t="str">
        <x:v>artifact 426 eligibility equation</x:v>
      </x:c>
      <x:c r="E1901" s="21" t="n">
        <x:f>IF(ABS('Artifact Ledger'!P432-IF(AND('Artifact Ledger'!L432=1,'Artifact Ledger'!M432=1,'Artifact Ledger'!N432=1,'Artifact Ledger'!O432&gt;='Artifact Ledger'!G432),'Artifact Ledger'!K432,0))&lt;0.000001,1,0)</x:f>
        <x:v>1</x:v>
      </x:c>
      <x:c r="F1901" s="21" t="n">
        <x:v>1</x:v>
      </x:c>
      <x:c r="G1901" s="23" t="str">
        <x:f>IF(E1901=F1901,"PASS","FAIL")</x:f>
        <x:v>PASS</x:v>
      </x:c>
    </x:row>
    <x:row r="1902">
      <x:c r="B1902" s="21" t="str">
        <x:v>A01896</x:v>
      </x:c>
      <x:c r="C1902" s="21" t="str">
        <x:v>artifact</x:v>
      </x:c>
      <x:c r="D1902" s="21" t="str">
        <x:v>artifact 426 planning state</x:v>
      </x:c>
      <x:c r="E1902" s="21" t="n">
        <x:f>IF(AND('Artifact Ledger'!Q432="OPEN",'Artifact Ledger'!R432="HOLD"),1,0)</x:f>
        <x:v>1</x:v>
      </x:c>
      <x:c r="F1902" s="21" t="n">
        <x:v>1</x:v>
      </x:c>
      <x:c r="G1902" s="23" t="str">
        <x:f>IF(E1902=F1902,"PASS","FAIL")</x:f>
        <x:v>PASS</x:v>
      </x:c>
    </x:row>
    <x:row r="1903">
      <x:c r="B1903" s="21" t="str">
        <x:v>A01897</x:v>
      </x:c>
      <x:c r="C1903" s="21" t="str">
        <x:v>artifact</x:v>
      </x:c>
      <x:c r="D1903" s="21" t="str">
        <x:v>artifact 427 eligibility equation</x:v>
      </x:c>
      <x:c r="E1903" s="21" t="n">
        <x:f>IF(ABS('Artifact Ledger'!P433-IF(AND('Artifact Ledger'!L433=1,'Artifact Ledger'!M433=1,'Artifact Ledger'!N433=1,'Artifact Ledger'!O433&gt;='Artifact Ledger'!G433),'Artifact Ledger'!K433,0))&lt;0.000001,1,0)</x:f>
        <x:v>1</x:v>
      </x:c>
      <x:c r="F1903" s="21" t="n">
        <x:v>1</x:v>
      </x:c>
      <x:c r="G1903" s="23" t="str">
        <x:f>IF(E1903=F1903,"PASS","FAIL")</x:f>
        <x:v>PASS</x:v>
      </x:c>
    </x:row>
    <x:row r="1904">
      <x:c r="B1904" s="21" t="str">
        <x:v>A01898</x:v>
      </x:c>
      <x:c r="C1904" s="21" t="str">
        <x:v>artifact</x:v>
      </x:c>
      <x:c r="D1904" s="21" t="str">
        <x:v>artifact 427 planning state</x:v>
      </x:c>
      <x:c r="E1904" s="21" t="n">
        <x:f>IF(AND('Artifact Ledger'!Q433="OPEN",'Artifact Ledger'!R433="HOLD"),1,0)</x:f>
        <x:v>1</x:v>
      </x:c>
      <x:c r="F1904" s="21" t="n">
        <x:v>1</x:v>
      </x:c>
      <x:c r="G1904" s="23" t="str">
        <x:f>IF(E1904=F1904,"PASS","FAIL")</x:f>
        <x:v>PASS</x:v>
      </x:c>
    </x:row>
    <x:row r="1905">
      <x:c r="B1905" s="21" t="str">
        <x:v>A01899</x:v>
      </x:c>
      <x:c r="C1905" s="21" t="str">
        <x:v>artifact</x:v>
      </x:c>
      <x:c r="D1905" s="21" t="str">
        <x:v>artifact 428 eligibility equation</x:v>
      </x:c>
      <x:c r="E1905" s="21" t="n">
        <x:f>IF(ABS('Artifact Ledger'!P434-IF(AND('Artifact Ledger'!L434=1,'Artifact Ledger'!M434=1,'Artifact Ledger'!N434=1,'Artifact Ledger'!O434&gt;='Artifact Ledger'!G434),'Artifact Ledger'!K434,0))&lt;0.000001,1,0)</x:f>
        <x:v>1</x:v>
      </x:c>
      <x:c r="F1905" s="21" t="n">
        <x:v>1</x:v>
      </x:c>
      <x:c r="G1905" s="23" t="str">
        <x:f>IF(E1905=F1905,"PASS","FAIL")</x:f>
        <x:v>PASS</x:v>
      </x:c>
    </x:row>
    <x:row r="1906">
      <x:c r="B1906" s="21" t="str">
        <x:v>A01900</x:v>
      </x:c>
      <x:c r="C1906" s="21" t="str">
        <x:v>artifact</x:v>
      </x:c>
      <x:c r="D1906" s="21" t="str">
        <x:v>artifact 428 planning state</x:v>
      </x:c>
      <x:c r="E1906" s="21" t="n">
        <x:f>IF(AND('Artifact Ledger'!Q434="OPEN",'Artifact Ledger'!R434="HOLD"),1,0)</x:f>
        <x:v>1</x:v>
      </x:c>
      <x:c r="F1906" s="21" t="n">
        <x:v>1</x:v>
      </x:c>
      <x:c r="G1906" s="23" t="str">
        <x:f>IF(E1906=F1906,"PASS","FAIL")</x:f>
        <x:v>PASS</x:v>
      </x:c>
    </x:row>
    <x:row r="1907">
      <x:c r="B1907" s="21" t="str">
        <x:v>A01901</x:v>
      </x:c>
      <x:c r="C1907" s="21" t="str">
        <x:v>artifact</x:v>
      </x:c>
      <x:c r="D1907" s="21" t="str">
        <x:v>artifact 429 eligibility equation</x:v>
      </x:c>
      <x:c r="E1907" s="21" t="n">
        <x:f>IF(ABS('Artifact Ledger'!P435-IF(AND('Artifact Ledger'!L435=1,'Artifact Ledger'!M435=1,'Artifact Ledger'!N435=1,'Artifact Ledger'!O435&gt;='Artifact Ledger'!G435),'Artifact Ledger'!K435,0))&lt;0.000001,1,0)</x:f>
        <x:v>1</x:v>
      </x:c>
      <x:c r="F1907" s="21" t="n">
        <x:v>1</x:v>
      </x:c>
      <x:c r="G1907" s="23" t="str">
        <x:f>IF(E1907=F1907,"PASS","FAIL")</x:f>
        <x:v>PASS</x:v>
      </x:c>
    </x:row>
    <x:row r="1908">
      <x:c r="B1908" s="21" t="str">
        <x:v>A01902</x:v>
      </x:c>
      <x:c r="C1908" s="21" t="str">
        <x:v>artifact</x:v>
      </x:c>
      <x:c r="D1908" s="21" t="str">
        <x:v>artifact 429 planning state</x:v>
      </x:c>
      <x:c r="E1908" s="21" t="n">
        <x:f>IF(AND('Artifact Ledger'!Q435="OPEN",'Artifact Ledger'!R435="HOLD"),1,0)</x:f>
        <x:v>1</x:v>
      </x:c>
      <x:c r="F1908" s="21" t="n">
        <x:v>1</x:v>
      </x:c>
      <x:c r="G1908" s="23" t="str">
        <x:f>IF(E1908=F1908,"PASS","FAIL")</x:f>
        <x:v>PASS</x:v>
      </x:c>
    </x:row>
    <x:row r="1909">
      <x:c r="B1909" s="21" t="str">
        <x:v>A01903</x:v>
      </x:c>
      <x:c r="C1909" s="21" t="str">
        <x:v>artifact</x:v>
      </x:c>
      <x:c r="D1909" s="21" t="str">
        <x:v>artifact 430 eligibility equation</x:v>
      </x:c>
      <x:c r="E1909" s="21" t="n">
        <x:f>IF(ABS('Artifact Ledger'!P436-IF(AND('Artifact Ledger'!L436=1,'Artifact Ledger'!M436=1,'Artifact Ledger'!N436=1,'Artifact Ledger'!O436&gt;='Artifact Ledger'!G436),'Artifact Ledger'!K436,0))&lt;0.000001,1,0)</x:f>
        <x:v>1</x:v>
      </x:c>
      <x:c r="F1909" s="21" t="n">
        <x:v>1</x:v>
      </x:c>
      <x:c r="G1909" s="23" t="str">
        <x:f>IF(E1909=F1909,"PASS","FAIL")</x:f>
        <x:v>PASS</x:v>
      </x:c>
    </x:row>
    <x:row r="1910">
      <x:c r="B1910" s="21" t="str">
        <x:v>A01904</x:v>
      </x:c>
      <x:c r="C1910" s="21" t="str">
        <x:v>artifact</x:v>
      </x:c>
      <x:c r="D1910" s="21" t="str">
        <x:v>artifact 430 planning state</x:v>
      </x:c>
      <x:c r="E1910" s="21" t="n">
        <x:f>IF(AND('Artifact Ledger'!Q436="OPEN",'Artifact Ledger'!R436="HOLD"),1,0)</x:f>
        <x:v>1</x:v>
      </x:c>
      <x:c r="F1910" s="21" t="n">
        <x:v>1</x:v>
      </x:c>
      <x:c r="G1910" s="23" t="str">
        <x:f>IF(E1910=F1910,"PASS","FAIL")</x:f>
        <x:v>PASS</x:v>
      </x:c>
    </x:row>
    <x:row r="1911">
      <x:c r="B1911" s="21" t="str">
        <x:v>A01905</x:v>
      </x:c>
      <x:c r="C1911" s="21" t="str">
        <x:v>artifact</x:v>
      </x:c>
      <x:c r="D1911" s="21" t="str">
        <x:v>artifact 431 eligibility equation</x:v>
      </x:c>
      <x:c r="E1911" s="21" t="n">
        <x:f>IF(ABS('Artifact Ledger'!P437-IF(AND('Artifact Ledger'!L437=1,'Artifact Ledger'!M437=1,'Artifact Ledger'!N437=1,'Artifact Ledger'!O437&gt;='Artifact Ledger'!G437),'Artifact Ledger'!K437,0))&lt;0.000001,1,0)</x:f>
        <x:v>1</x:v>
      </x:c>
      <x:c r="F1911" s="21" t="n">
        <x:v>1</x:v>
      </x:c>
      <x:c r="G1911" s="23" t="str">
        <x:f>IF(E1911=F1911,"PASS","FAIL")</x:f>
        <x:v>PASS</x:v>
      </x:c>
    </x:row>
    <x:row r="1912">
      <x:c r="B1912" s="21" t="str">
        <x:v>A01906</x:v>
      </x:c>
      <x:c r="C1912" s="21" t="str">
        <x:v>artifact</x:v>
      </x:c>
      <x:c r="D1912" s="21" t="str">
        <x:v>artifact 431 planning state</x:v>
      </x:c>
      <x:c r="E1912" s="21" t="n">
        <x:f>IF(AND('Artifact Ledger'!Q437="OPEN",'Artifact Ledger'!R437="HOLD"),1,0)</x:f>
        <x:v>1</x:v>
      </x:c>
      <x:c r="F1912" s="21" t="n">
        <x:v>1</x:v>
      </x:c>
      <x:c r="G1912" s="23" t="str">
        <x:f>IF(E1912=F1912,"PASS","FAIL")</x:f>
        <x:v>PASS</x:v>
      </x:c>
    </x:row>
    <x:row r="1913">
      <x:c r="B1913" s="21" t="str">
        <x:v>A01907</x:v>
      </x:c>
      <x:c r="C1913" s="21" t="str">
        <x:v>artifact</x:v>
      </x:c>
      <x:c r="D1913" s="21" t="str">
        <x:v>artifact 432 eligibility equation</x:v>
      </x:c>
      <x:c r="E1913" s="21" t="n">
        <x:f>IF(ABS('Artifact Ledger'!P438-IF(AND('Artifact Ledger'!L438=1,'Artifact Ledger'!M438=1,'Artifact Ledger'!N438=1,'Artifact Ledger'!O438&gt;='Artifact Ledger'!G438),'Artifact Ledger'!K438,0))&lt;0.000001,1,0)</x:f>
        <x:v>1</x:v>
      </x:c>
      <x:c r="F1913" s="21" t="n">
        <x:v>1</x:v>
      </x:c>
      <x:c r="G1913" s="23" t="str">
        <x:f>IF(E1913=F1913,"PASS","FAIL")</x:f>
        <x:v>PASS</x:v>
      </x:c>
    </x:row>
    <x:row r="1914">
      <x:c r="B1914" s="21" t="str">
        <x:v>A01908</x:v>
      </x:c>
      <x:c r="C1914" s="21" t="str">
        <x:v>artifact</x:v>
      </x:c>
      <x:c r="D1914" s="21" t="str">
        <x:v>artifact 432 planning state</x:v>
      </x:c>
      <x:c r="E1914" s="21" t="n">
        <x:f>IF(AND('Artifact Ledger'!Q438="OPEN",'Artifact Ledger'!R438="HOLD"),1,0)</x:f>
        <x:v>1</x:v>
      </x:c>
      <x:c r="F1914" s="21" t="n">
        <x:v>1</x:v>
      </x:c>
      <x:c r="G1914" s="23" t="str">
        <x:f>IF(E1914=F1914,"PASS","FAIL")</x:f>
        <x:v>PASS</x:v>
      </x:c>
    </x:row>
    <x:row r="1915">
      <x:c r="B1915" s="21" t="str">
        <x:v>A01909</x:v>
      </x:c>
      <x:c r="C1915" s="21" t="str">
        <x:v>artifact</x:v>
      </x:c>
      <x:c r="D1915" s="21" t="str">
        <x:v>artifact 433 eligibility equation</x:v>
      </x:c>
      <x:c r="E1915" s="21" t="n">
        <x:f>IF(ABS('Artifact Ledger'!P439-IF(AND('Artifact Ledger'!L439=1,'Artifact Ledger'!M439=1,'Artifact Ledger'!N439=1,'Artifact Ledger'!O439&gt;='Artifact Ledger'!G439),'Artifact Ledger'!K439,0))&lt;0.000001,1,0)</x:f>
        <x:v>1</x:v>
      </x:c>
      <x:c r="F1915" s="21" t="n">
        <x:v>1</x:v>
      </x:c>
      <x:c r="G1915" s="23" t="str">
        <x:f>IF(E1915=F1915,"PASS","FAIL")</x:f>
        <x:v>PASS</x:v>
      </x:c>
    </x:row>
    <x:row r="1916">
      <x:c r="B1916" s="21" t="str">
        <x:v>A01910</x:v>
      </x:c>
      <x:c r="C1916" s="21" t="str">
        <x:v>artifact</x:v>
      </x:c>
      <x:c r="D1916" s="21" t="str">
        <x:v>artifact 433 planning state</x:v>
      </x:c>
      <x:c r="E1916" s="21" t="n">
        <x:f>IF(AND('Artifact Ledger'!Q439="OPEN",'Artifact Ledger'!R439="HOLD"),1,0)</x:f>
        <x:v>1</x:v>
      </x:c>
      <x:c r="F1916" s="21" t="n">
        <x:v>1</x:v>
      </x:c>
      <x:c r="G1916" s="23" t="str">
        <x:f>IF(E1916=F1916,"PASS","FAIL")</x:f>
        <x:v>PASS</x:v>
      </x:c>
    </x:row>
    <x:row r="1917">
      <x:c r="B1917" s="21" t="str">
        <x:v>A01911</x:v>
      </x:c>
      <x:c r="C1917" s="21" t="str">
        <x:v>artifact</x:v>
      </x:c>
      <x:c r="D1917" s="21" t="str">
        <x:v>artifact 434 eligibility equation</x:v>
      </x:c>
      <x:c r="E1917" s="21" t="n">
        <x:f>IF(ABS('Artifact Ledger'!P440-IF(AND('Artifact Ledger'!L440=1,'Artifact Ledger'!M440=1,'Artifact Ledger'!N440=1,'Artifact Ledger'!O440&gt;='Artifact Ledger'!G440),'Artifact Ledger'!K440,0))&lt;0.000001,1,0)</x:f>
        <x:v>1</x:v>
      </x:c>
      <x:c r="F1917" s="21" t="n">
        <x:v>1</x:v>
      </x:c>
      <x:c r="G1917" s="23" t="str">
        <x:f>IF(E1917=F1917,"PASS","FAIL")</x:f>
        <x:v>PASS</x:v>
      </x:c>
    </x:row>
    <x:row r="1918">
      <x:c r="B1918" s="21" t="str">
        <x:v>A01912</x:v>
      </x:c>
      <x:c r="C1918" s="21" t="str">
        <x:v>artifact</x:v>
      </x:c>
      <x:c r="D1918" s="21" t="str">
        <x:v>artifact 434 planning state</x:v>
      </x:c>
      <x:c r="E1918" s="21" t="n">
        <x:f>IF(AND('Artifact Ledger'!Q440="OPEN",'Artifact Ledger'!R440="HOLD"),1,0)</x:f>
        <x:v>1</x:v>
      </x:c>
      <x:c r="F1918" s="21" t="n">
        <x:v>1</x:v>
      </x:c>
      <x:c r="G1918" s="23" t="str">
        <x:f>IF(E1918=F1918,"PASS","FAIL")</x:f>
        <x:v>PASS</x:v>
      </x:c>
    </x:row>
    <x:row r="1919">
      <x:c r="B1919" s="21" t="str">
        <x:v>A01913</x:v>
      </x:c>
      <x:c r="C1919" s="21" t="str">
        <x:v>artifact</x:v>
      </x:c>
      <x:c r="D1919" s="21" t="str">
        <x:v>artifact 435 eligibility equation</x:v>
      </x:c>
      <x:c r="E1919" s="21" t="n">
        <x:f>IF(ABS('Artifact Ledger'!P441-IF(AND('Artifact Ledger'!L441=1,'Artifact Ledger'!M441=1,'Artifact Ledger'!N441=1,'Artifact Ledger'!O441&gt;='Artifact Ledger'!G441),'Artifact Ledger'!K441,0))&lt;0.000001,1,0)</x:f>
        <x:v>1</x:v>
      </x:c>
      <x:c r="F1919" s="21" t="n">
        <x:v>1</x:v>
      </x:c>
      <x:c r="G1919" s="23" t="str">
        <x:f>IF(E1919=F1919,"PASS","FAIL")</x:f>
        <x:v>PASS</x:v>
      </x:c>
    </x:row>
    <x:row r="1920">
      <x:c r="B1920" s="21" t="str">
        <x:v>A01914</x:v>
      </x:c>
      <x:c r="C1920" s="21" t="str">
        <x:v>artifact</x:v>
      </x:c>
      <x:c r="D1920" s="21" t="str">
        <x:v>artifact 435 planning state</x:v>
      </x:c>
      <x:c r="E1920" s="21" t="n">
        <x:f>IF(AND('Artifact Ledger'!Q441="OPEN",'Artifact Ledger'!R441="HOLD"),1,0)</x:f>
        <x:v>1</x:v>
      </x:c>
      <x:c r="F1920" s="21" t="n">
        <x:v>1</x:v>
      </x:c>
      <x:c r="G1920" s="23" t="str">
        <x:f>IF(E1920=F1920,"PASS","FAIL")</x:f>
        <x:v>PASS</x:v>
      </x:c>
    </x:row>
    <x:row r="1921">
      <x:c r="B1921" s="21" t="str">
        <x:v>A01915</x:v>
      </x:c>
      <x:c r="C1921" s="21" t="str">
        <x:v>artifact</x:v>
      </x:c>
      <x:c r="D1921" s="21" t="str">
        <x:v>artifact 436 eligibility equation</x:v>
      </x:c>
      <x:c r="E1921" s="21" t="n">
        <x:f>IF(ABS('Artifact Ledger'!P442-IF(AND('Artifact Ledger'!L442=1,'Artifact Ledger'!M442=1,'Artifact Ledger'!N442=1,'Artifact Ledger'!O442&gt;='Artifact Ledger'!G442),'Artifact Ledger'!K442,0))&lt;0.000001,1,0)</x:f>
        <x:v>1</x:v>
      </x:c>
      <x:c r="F1921" s="21" t="n">
        <x:v>1</x:v>
      </x:c>
      <x:c r="G1921" s="23" t="str">
        <x:f>IF(E1921=F1921,"PASS","FAIL")</x:f>
        <x:v>PASS</x:v>
      </x:c>
    </x:row>
    <x:row r="1922">
      <x:c r="B1922" s="21" t="str">
        <x:v>A01916</x:v>
      </x:c>
      <x:c r="C1922" s="21" t="str">
        <x:v>artifact</x:v>
      </x:c>
      <x:c r="D1922" s="21" t="str">
        <x:v>artifact 436 planning state</x:v>
      </x:c>
      <x:c r="E1922" s="21" t="n">
        <x:f>IF(AND('Artifact Ledger'!Q442="OPEN",'Artifact Ledger'!R442="HOLD"),1,0)</x:f>
        <x:v>1</x:v>
      </x:c>
      <x:c r="F1922" s="21" t="n">
        <x:v>1</x:v>
      </x:c>
      <x:c r="G1922" s="23" t="str">
        <x:f>IF(E1922=F1922,"PASS","FAIL")</x:f>
        <x:v>PASS</x:v>
      </x:c>
    </x:row>
    <x:row r="1923">
      <x:c r="B1923" s="21" t="str">
        <x:v>A01917</x:v>
      </x:c>
      <x:c r="C1923" s="21" t="str">
        <x:v>artifact</x:v>
      </x:c>
      <x:c r="D1923" s="21" t="str">
        <x:v>artifact 437 eligibility equation</x:v>
      </x:c>
      <x:c r="E1923" s="21" t="n">
        <x:f>IF(ABS('Artifact Ledger'!P443-IF(AND('Artifact Ledger'!L443=1,'Artifact Ledger'!M443=1,'Artifact Ledger'!N443=1,'Artifact Ledger'!O443&gt;='Artifact Ledger'!G443),'Artifact Ledger'!K443,0))&lt;0.000001,1,0)</x:f>
        <x:v>1</x:v>
      </x:c>
      <x:c r="F1923" s="21" t="n">
        <x:v>1</x:v>
      </x:c>
      <x:c r="G1923" s="23" t="str">
        <x:f>IF(E1923=F1923,"PASS","FAIL")</x:f>
        <x:v>PASS</x:v>
      </x:c>
    </x:row>
    <x:row r="1924">
      <x:c r="B1924" s="21" t="str">
        <x:v>A01918</x:v>
      </x:c>
      <x:c r="C1924" s="21" t="str">
        <x:v>artifact</x:v>
      </x:c>
      <x:c r="D1924" s="21" t="str">
        <x:v>artifact 437 planning state</x:v>
      </x:c>
      <x:c r="E1924" s="21" t="n">
        <x:f>IF(AND('Artifact Ledger'!Q443="OPEN",'Artifact Ledger'!R443="HOLD"),1,0)</x:f>
        <x:v>1</x:v>
      </x:c>
      <x:c r="F1924" s="21" t="n">
        <x:v>1</x:v>
      </x:c>
      <x:c r="G1924" s="23" t="str">
        <x:f>IF(E1924=F1924,"PASS","FAIL")</x:f>
        <x:v>PASS</x:v>
      </x:c>
    </x:row>
    <x:row r="1925">
      <x:c r="B1925" s="21" t="str">
        <x:v>A01919</x:v>
      </x:c>
      <x:c r="C1925" s="21" t="str">
        <x:v>artifact</x:v>
      </x:c>
      <x:c r="D1925" s="21" t="str">
        <x:v>artifact 438 eligibility equation</x:v>
      </x:c>
      <x:c r="E1925" s="21" t="n">
        <x:f>IF(ABS('Artifact Ledger'!P444-IF(AND('Artifact Ledger'!L444=1,'Artifact Ledger'!M444=1,'Artifact Ledger'!N444=1,'Artifact Ledger'!O444&gt;='Artifact Ledger'!G444),'Artifact Ledger'!K444,0))&lt;0.000001,1,0)</x:f>
        <x:v>1</x:v>
      </x:c>
      <x:c r="F1925" s="21" t="n">
        <x:v>1</x:v>
      </x:c>
      <x:c r="G1925" s="23" t="str">
        <x:f>IF(E1925=F1925,"PASS","FAIL")</x:f>
        <x:v>PASS</x:v>
      </x:c>
    </x:row>
    <x:row r="1926">
      <x:c r="B1926" s="21" t="str">
        <x:v>A01920</x:v>
      </x:c>
      <x:c r="C1926" s="21" t="str">
        <x:v>artifact</x:v>
      </x:c>
      <x:c r="D1926" s="21" t="str">
        <x:v>artifact 438 planning state</x:v>
      </x:c>
      <x:c r="E1926" s="21" t="n">
        <x:f>IF(AND('Artifact Ledger'!Q444="OPEN",'Artifact Ledger'!R444="HOLD"),1,0)</x:f>
        <x:v>1</x:v>
      </x:c>
      <x:c r="F1926" s="21" t="n">
        <x:v>1</x:v>
      </x:c>
      <x:c r="G1926" s="23" t="str">
        <x:f>IF(E1926=F1926,"PASS","FAIL")</x:f>
        <x:v>PASS</x:v>
      </x:c>
    </x:row>
    <x:row r="1927">
      <x:c r="B1927" s="21" t="str">
        <x:v>A01921</x:v>
      </x:c>
      <x:c r="C1927" s="21" t="str">
        <x:v>artifact</x:v>
      </x:c>
      <x:c r="D1927" s="21" t="str">
        <x:v>artifact 439 eligibility equation</x:v>
      </x:c>
      <x:c r="E1927" s="21" t="n">
        <x:f>IF(ABS('Artifact Ledger'!P445-IF(AND('Artifact Ledger'!L445=1,'Artifact Ledger'!M445=1,'Artifact Ledger'!N445=1,'Artifact Ledger'!O445&gt;='Artifact Ledger'!G445),'Artifact Ledger'!K445,0))&lt;0.000001,1,0)</x:f>
        <x:v>1</x:v>
      </x:c>
      <x:c r="F1927" s="21" t="n">
        <x:v>1</x:v>
      </x:c>
      <x:c r="G1927" s="23" t="str">
        <x:f>IF(E1927=F1927,"PASS","FAIL")</x:f>
        <x:v>PASS</x:v>
      </x:c>
    </x:row>
    <x:row r="1928">
      <x:c r="B1928" s="21" t="str">
        <x:v>A01922</x:v>
      </x:c>
      <x:c r="C1928" s="21" t="str">
        <x:v>artifact</x:v>
      </x:c>
      <x:c r="D1928" s="21" t="str">
        <x:v>artifact 439 planning state</x:v>
      </x:c>
      <x:c r="E1928" s="21" t="n">
        <x:f>IF(AND('Artifact Ledger'!Q445="OPEN",'Artifact Ledger'!R445="HOLD"),1,0)</x:f>
        <x:v>1</x:v>
      </x:c>
      <x:c r="F1928" s="21" t="n">
        <x:v>1</x:v>
      </x:c>
      <x:c r="G1928" s="23" t="str">
        <x:f>IF(E1928=F1928,"PASS","FAIL")</x:f>
        <x:v>PASS</x:v>
      </x:c>
    </x:row>
    <x:row r="1929">
      <x:c r="B1929" s="21" t="str">
        <x:v>A01923</x:v>
      </x:c>
      <x:c r="C1929" s="21" t="str">
        <x:v>artifact</x:v>
      </x:c>
      <x:c r="D1929" s="21" t="str">
        <x:v>artifact 440 eligibility equation</x:v>
      </x:c>
      <x:c r="E1929" s="21" t="n">
        <x:f>IF(ABS('Artifact Ledger'!P446-IF(AND('Artifact Ledger'!L446=1,'Artifact Ledger'!M446=1,'Artifact Ledger'!N446=1,'Artifact Ledger'!O446&gt;='Artifact Ledger'!G446),'Artifact Ledger'!K446,0))&lt;0.000001,1,0)</x:f>
        <x:v>1</x:v>
      </x:c>
      <x:c r="F1929" s="21" t="n">
        <x:v>1</x:v>
      </x:c>
      <x:c r="G1929" s="23" t="str">
        <x:f>IF(E1929=F1929,"PASS","FAIL")</x:f>
        <x:v>PASS</x:v>
      </x:c>
    </x:row>
    <x:row r="1930">
      <x:c r="B1930" s="21" t="str">
        <x:v>A01924</x:v>
      </x:c>
      <x:c r="C1930" s="21" t="str">
        <x:v>artifact</x:v>
      </x:c>
      <x:c r="D1930" s="21" t="str">
        <x:v>artifact 440 planning state</x:v>
      </x:c>
      <x:c r="E1930" s="21" t="n">
        <x:f>IF(AND('Artifact Ledger'!Q446="OPEN",'Artifact Ledger'!R446="HOLD"),1,0)</x:f>
        <x:v>1</x:v>
      </x:c>
      <x:c r="F1930" s="21" t="n">
        <x:v>1</x:v>
      </x:c>
      <x:c r="G1930" s="23" t="str">
        <x:f>IF(E1930=F1930,"PASS","FAIL")</x:f>
        <x:v>PASS</x:v>
      </x:c>
    </x:row>
    <x:row r="1931">
      <x:c r="B1931" s="21" t="str">
        <x:v>A01925</x:v>
      </x:c>
      <x:c r="C1931" s="21" t="str">
        <x:v>artifact</x:v>
      </x:c>
      <x:c r="D1931" s="21" t="str">
        <x:v>artifact 441 eligibility equation</x:v>
      </x:c>
      <x:c r="E1931" s="21" t="n">
        <x:f>IF(ABS('Artifact Ledger'!P447-IF(AND('Artifact Ledger'!L447=1,'Artifact Ledger'!M447=1,'Artifact Ledger'!N447=1,'Artifact Ledger'!O447&gt;='Artifact Ledger'!G447),'Artifact Ledger'!K447,0))&lt;0.000001,1,0)</x:f>
        <x:v>1</x:v>
      </x:c>
      <x:c r="F1931" s="21" t="n">
        <x:v>1</x:v>
      </x:c>
      <x:c r="G1931" s="23" t="str">
        <x:f>IF(E1931=F1931,"PASS","FAIL")</x:f>
        <x:v>PASS</x:v>
      </x:c>
    </x:row>
    <x:row r="1932">
      <x:c r="B1932" s="21" t="str">
        <x:v>A01926</x:v>
      </x:c>
      <x:c r="C1932" s="21" t="str">
        <x:v>artifact</x:v>
      </x:c>
      <x:c r="D1932" s="21" t="str">
        <x:v>artifact 441 planning state</x:v>
      </x:c>
      <x:c r="E1932" s="21" t="n">
        <x:f>IF(AND('Artifact Ledger'!Q447="OPEN",'Artifact Ledger'!R447="HOLD"),1,0)</x:f>
        <x:v>1</x:v>
      </x:c>
      <x:c r="F1932" s="21" t="n">
        <x:v>1</x:v>
      </x:c>
      <x:c r="G1932" s="23" t="str">
        <x:f>IF(E1932=F1932,"PASS","FAIL")</x:f>
        <x:v>PASS</x:v>
      </x:c>
    </x:row>
    <x:row r="1933">
      <x:c r="B1933" s="21" t="str">
        <x:v>A01927</x:v>
      </x:c>
      <x:c r="C1933" s="21" t="str">
        <x:v>artifact</x:v>
      </x:c>
      <x:c r="D1933" s="21" t="str">
        <x:v>artifact 442 eligibility equation</x:v>
      </x:c>
      <x:c r="E1933" s="21" t="n">
        <x:f>IF(ABS('Artifact Ledger'!P448-IF(AND('Artifact Ledger'!L448=1,'Artifact Ledger'!M448=1,'Artifact Ledger'!N448=1,'Artifact Ledger'!O448&gt;='Artifact Ledger'!G448),'Artifact Ledger'!K448,0))&lt;0.000001,1,0)</x:f>
        <x:v>1</x:v>
      </x:c>
      <x:c r="F1933" s="21" t="n">
        <x:v>1</x:v>
      </x:c>
      <x:c r="G1933" s="23" t="str">
        <x:f>IF(E1933=F1933,"PASS","FAIL")</x:f>
        <x:v>PASS</x:v>
      </x:c>
    </x:row>
    <x:row r="1934">
      <x:c r="B1934" s="21" t="str">
        <x:v>A01928</x:v>
      </x:c>
      <x:c r="C1934" s="21" t="str">
        <x:v>artifact</x:v>
      </x:c>
      <x:c r="D1934" s="21" t="str">
        <x:v>artifact 442 planning state</x:v>
      </x:c>
      <x:c r="E1934" s="21" t="n">
        <x:f>IF(AND('Artifact Ledger'!Q448="OPEN",'Artifact Ledger'!R448="HOLD"),1,0)</x:f>
        <x:v>1</x:v>
      </x:c>
      <x:c r="F1934" s="21" t="n">
        <x:v>1</x:v>
      </x:c>
      <x:c r="G1934" s="23" t="str">
        <x:f>IF(E1934=F1934,"PASS","FAIL")</x:f>
        <x:v>PASS</x:v>
      </x:c>
    </x:row>
    <x:row r="1935">
      <x:c r="B1935" s="21" t="str">
        <x:v>A01929</x:v>
      </x:c>
      <x:c r="C1935" s="21" t="str">
        <x:v>artifact</x:v>
      </x:c>
      <x:c r="D1935" s="21" t="str">
        <x:v>artifact 443 eligibility equation</x:v>
      </x:c>
      <x:c r="E1935" s="21" t="n">
        <x:f>IF(ABS('Artifact Ledger'!P449-IF(AND('Artifact Ledger'!L449=1,'Artifact Ledger'!M449=1,'Artifact Ledger'!N449=1,'Artifact Ledger'!O449&gt;='Artifact Ledger'!G449),'Artifact Ledger'!K449,0))&lt;0.000001,1,0)</x:f>
        <x:v>1</x:v>
      </x:c>
      <x:c r="F1935" s="21" t="n">
        <x:v>1</x:v>
      </x:c>
      <x:c r="G1935" s="23" t="str">
        <x:f>IF(E1935=F1935,"PASS","FAIL")</x:f>
        <x:v>PASS</x:v>
      </x:c>
    </x:row>
    <x:row r="1936">
      <x:c r="B1936" s="21" t="str">
        <x:v>A01930</x:v>
      </x:c>
      <x:c r="C1936" s="21" t="str">
        <x:v>artifact</x:v>
      </x:c>
      <x:c r="D1936" s="21" t="str">
        <x:v>artifact 443 planning state</x:v>
      </x:c>
      <x:c r="E1936" s="21" t="n">
        <x:f>IF(AND('Artifact Ledger'!Q449="OPEN",'Artifact Ledger'!R449="HOLD"),1,0)</x:f>
        <x:v>1</x:v>
      </x:c>
      <x:c r="F1936" s="21" t="n">
        <x:v>1</x:v>
      </x:c>
      <x:c r="G1936" s="23" t="str">
        <x:f>IF(E1936=F1936,"PASS","FAIL")</x:f>
        <x:v>PASS</x:v>
      </x:c>
    </x:row>
    <x:row r="1937">
      <x:c r="B1937" s="21" t="str">
        <x:v>A01931</x:v>
      </x:c>
      <x:c r="C1937" s="21" t="str">
        <x:v>artifact</x:v>
      </x:c>
      <x:c r="D1937" s="21" t="str">
        <x:v>artifact 444 eligibility equation</x:v>
      </x:c>
      <x:c r="E1937" s="21" t="n">
        <x:f>IF(ABS('Artifact Ledger'!P450-IF(AND('Artifact Ledger'!L450=1,'Artifact Ledger'!M450=1,'Artifact Ledger'!N450=1,'Artifact Ledger'!O450&gt;='Artifact Ledger'!G450),'Artifact Ledger'!K450,0))&lt;0.000001,1,0)</x:f>
        <x:v>1</x:v>
      </x:c>
      <x:c r="F1937" s="21" t="n">
        <x:v>1</x:v>
      </x:c>
      <x:c r="G1937" s="23" t="str">
        <x:f>IF(E1937=F1937,"PASS","FAIL")</x:f>
        <x:v>PASS</x:v>
      </x:c>
    </x:row>
    <x:row r="1938">
      <x:c r="B1938" s="21" t="str">
        <x:v>A01932</x:v>
      </x:c>
      <x:c r="C1938" s="21" t="str">
        <x:v>artifact</x:v>
      </x:c>
      <x:c r="D1938" s="21" t="str">
        <x:v>artifact 444 planning state</x:v>
      </x:c>
      <x:c r="E1938" s="21" t="n">
        <x:f>IF(AND('Artifact Ledger'!Q450="OPEN",'Artifact Ledger'!R450="HOLD"),1,0)</x:f>
        <x:v>1</x:v>
      </x:c>
      <x:c r="F1938" s="21" t="n">
        <x:v>1</x:v>
      </x:c>
      <x:c r="G1938" s="23" t="str">
        <x:f>IF(E1938=F1938,"PASS","FAIL")</x:f>
        <x:v>PASS</x:v>
      </x:c>
    </x:row>
    <x:row r="1939">
      <x:c r="B1939" s="21" t="str">
        <x:v>A01933</x:v>
      </x:c>
      <x:c r="C1939" s="21" t="str">
        <x:v>artifact</x:v>
      </x:c>
      <x:c r="D1939" s="21" t="str">
        <x:v>artifact 445 eligibility equation</x:v>
      </x:c>
      <x:c r="E1939" s="21" t="n">
        <x:f>IF(ABS('Artifact Ledger'!P451-IF(AND('Artifact Ledger'!L451=1,'Artifact Ledger'!M451=1,'Artifact Ledger'!N451=1,'Artifact Ledger'!O451&gt;='Artifact Ledger'!G451),'Artifact Ledger'!K451,0))&lt;0.000001,1,0)</x:f>
        <x:v>1</x:v>
      </x:c>
      <x:c r="F1939" s="21" t="n">
        <x:v>1</x:v>
      </x:c>
      <x:c r="G1939" s="23" t="str">
        <x:f>IF(E1939=F1939,"PASS","FAIL")</x:f>
        <x:v>PASS</x:v>
      </x:c>
    </x:row>
    <x:row r="1940">
      <x:c r="B1940" s="21" t="str">
        <x:v>A01934</x:v>
      </x:c>
      <x:c r="C1940" s="21" t="str">
        <x:v>artifact</x:v>
      </x:c>
      <x:c r="D1940" s="21" t="str">
        <x:v>artifact 445 planning state</x:v>
      </x:c>
      <x:c r="E1940" s="21" t="n">
        <x:f>IF(AND('Artifact Ledger'!Q451="OPEN",'Artifact Ledger'!R451="HOLD"),1,0)</x:f>
        <x:v>1</x:v>
      </x:c>
      <x:c r="F1940" s="21" t="n">
        <x:v>1</x:v>
      </x:c>
      <x:c r="G1940" s="23" t="str">
        <x:f>IF(E1940=F1940,"PASS","FAIL")</x:f>
        <x:v>PASS</x:v>
      </x:c>
    </x:row>
    <x:row r="1941">
      <x:c r="B1941" s="21" t="str">
        <x:v>A01935</x:v>
      </x:c>
      <x:c r="C1941" s="21" t="str">
        <x:v>artifact</x:v>
      </x:c>
      <x:c r="D1941" s="21" t="str">
        <x:v>artifact 446 eligibility equation</x:v>
      </x:c>
      <x:c r="E1941" s="21" t="n">
        <x:f>IF(ABS('Artifact Ledger'!P452-IF(AND('Artifact Ledger'!L452=1,'Artifact Ledger'!M452=1,'Artifact Ledger'!N452=1,'Artifact Ledger'!O452&gt;='Artifact Ledger'!G452),'Artifact Ledger'!K452,0))&lt;0.000001,1,0)</x:f>
        <x:v>1</x:v>
      </x:c>
      <x:c r="F1941" s="21" t="n">
        <x:v>1</x:v>
      </x:c>
      <x:c r="G1941" s="23" t="str">
        <x:f>IF(E1941=F1941,"PASS","FAIL")</x:f>
        <x:v>PASS</x:v>
      </x:c>
    </x:row>
    <x:row r="1942">
      <x:c r="B1942" s="21" t="str">
        <x:v>A01936</x:v>
      </x:c>
      <x:c r="C1942" s="21" t="str">
        <x:v>artifact</x:v>
      </x:c>
      <x:c r="D1942" s="21" t="str">
        <x:v>artifact 446 planning state</x:v>
      </x:c>
      <x:c r="E1942" s="21" t="n">
        <x:f>IF(AND('Artifact Ledger'!Q452="OPEN",'Artifact Ledger'!R452="HOLD"),1,0)</x:f>
        <x:v>1</x:v>
      </x:c>
      <x:c r="F1942" s="21" t="n">
        <x:v>1</x:v>
      </x:c>
      <x:c r="G1942" s="23" t="str">
        <x:f>IF(E1942=F1942,"PASS","FAIL")</x:f>
        <x:v>PASS</x:v>
      </x:c>
    </x:row>
    <x:row r="1943">
      <x:c r="B1943" s="21" t="str">
        <x:v>A01937</x:v>
      </x:c>
      <x:c r="C1943" s="21" t="str">
        <x:v>artifact</x:v>
      </x:c>
      <x:c r="D1943" s="21" t="str">
        <x:v>artifact 447 eligibility equation</x:v>
      </x:c>
      <x:c r="E1943" s="21" t="n">
        <x:f>IF(ABS('Artifact Ledger'!P453-IF(AND('Artifact Ledger'!L453=1,'Artifact Ledger'!M453=1,'Artifact Ledger'!N453=1,'Artifact Ledger'!O453&gt;='Artifact Ledger'!G453),'Artifact Ledger'!K453,0))&lt;0.000001,1,0)</x:f>
        <x:v>1</x:v>
      </x:c>
      <x:c r="F1943" s="21" t="n">
        <x:v>1</x:v>
      </x:c>
      <x:c r="G1943" s="23" t="str">
        <x:f>IF(E1943=F1943,"PASS","FAIL")</x:f>
        <x:v>PASS</x:v>
      </x:c>
    </x:row>
    <x:row r="1944">
      <x:c r="B1944" s="21" t="str">
        <x:v>A01938</x:v>
      </x:c>
      <x:c r="C1944" s="21" t="str">
        <x:v>artifact</x:v>
      </x:c>
      <x:c r="D1944" s="21" t="str">
        <x:v>artifact 447 planning state</x:v>
      </x:c>
      <x:c r="E1944" s="21" t="n">
        <x:f>IF(AND('Artifact Ledger'!Q453="OPEN",'Artifact Ledger'!R453="HOLD"),1,0)</x:f>
        <x:v>1</x:v>
      </x:c>
      <x:c r="F1944" s="21" t="n">
        <x:v>1</x:v>
      </x:c>
      <x:c r="G1944" s="23" t="str">
        <x:f>IF(E1944=F1944,"PASS","FAIL")</x:f>
        <x:v>PASS</x:v>
      </x:c>
    </x:row>
    <x:row r="1945">
      <x:c r="B1945" s="21" t="str">
        <x:v>A01939</x:v>
      </x:c>
      <x:c r="C1945" s="21" t="str">
        <x:v>artifact</x:v>
      </x:c>
      <x:c r="D1945" s="21" t="str">
        <x:v>artifact 448 eligibility equation</x:v>
      </x:c>
      <x:c r="E1945" s="21" t="n">
        <x:f>IF(ABS('Artifact Ledger'!P454-IF(AND('Artifact Ledger'!L454=1,'Artifact Ledger'!M454=1,'Artifact Ledger'!N454=1,'Artifact Ledger'!O454&gt;='Artifact Ledger'!G454),'Artifact Ledger'!K454,0))&lt;0.000001,1,0)</x:f>
        <x:v>1</x:v>
      </x:c>
      <x:c r="F1945" s="21" t="n">
        <x:v>1</x:v>
      </x:c>
      <x:c r="G1945" s="23" t="str">
        <x:f>IF(E1945=F1945,"PASS","FAIL")</x:f>
        <x:v>PASS</x:v>
      </x:c>
    </x:row>
    <x:row r="1946">
      <x:c r="B1946" s="21" t="str">
        <x:v>A01940</x:v>
      </x:c>
      <x:c r="C1946" s="21" t="str">
        <x:v>artifact</x:v>
      </x:c>
      <x:c r="D1946" s="21" t="str">
        <x:v>artifact 448 planning state</x:v>
      </x:c>
      <x:c r="E1946" s="21" t="n">
        <x:f>IF(AND('Artifact Ledger'!Q454="OPEN",'Artifact Ledger'!R454="HOLD"),1,0)</x:f>
        <x:v>1</x:v>
      </x:c>
      <x:c r="F1946" s="21" t="n">
        <x:v>1</x:v>
      </x:c>
      <x:c r="G1946" s="23" t="str">
        <x:f>IF(E1946=F1946,"PASS","FAIL")</x:f>
        <x:v>PASS</x:v>
      </x:c>
    </x:row>
    <x:row r="1947">
      <x:c r="B1947" s="21" t="str">
        <x:v>A01941</x:v>
      </x:c>
      <x:c r="C1947" s="21" t="str">
        <x:v>artifact</x:v>
      </x:c>
      <x:c r="D1947" s="21" t="str">
        <x:v>artifact 449 eligibility equation</x:v>
      </x:c>
      <x:c r="E1947" s="21" t="n">
        <x:f>IF(ABS('Artifact Ledger'!P455-IF(AND('Artifact Ledger'!L455=1,'Artifact Ledger'!M455=1,'Artifact Ledger'!N455=1,'Artifact Ledger'!O455&gt;='Artifact Ledger'!G455),'Artifact Ledger'!K455,0))&lt;0.000001,1,0)</x:f>
        <x:v>1</x:v>
      </x:c>
      <x:c r="F1947" s="21" t="n">
        <x:v>1</x:v>
      </x:c>
      <x:c r="G1947" s="23" t="str">
        <x:f>IF(E1947=F1947,"PASS","FAIL")</x:f>
        <x:v>PASS</x:v>
      </x:c>
    </x:row>
    <x:row r="1948">
      <x:c r="B1948" s="21" t="str">
        <x:v>A01942</x:v>
      </x:c>
      <x:c r="C1948" s="21" t="str">
        <x:v>artifact</x:v>
      </x:c>
      <x:c r="D1948" s="21" t="str">
        <x:v>artifact 449 planning state</x:v>
      </x:c>
      <x:c r="E1948" s="21" t="n">
        <x:f>IF(AND('Artifact Ledger'!Q455="OPEN",'Artifact Ledger'!R455="HOLD"),1,0)</x:f>
        <x:v>1</x:v>
      </x:c>
      <x:c r="F1948" s="21" t="n">
        <x:v>1</x:v>
      </x:c>
      <x:c r="G1948" s="23" t="str">
        <x:f>IF(E1948=F1948,"PASS","FAIL")</x:f>
        <x:v>PASS</x:v>
      </x:c>
    </x:row>
    <x:row r="1949">
      <x:c r="B1949" s="21" t="str">
        <x:v>A01943</x:v>
      </x:c>
      <x:c r="C1949" s="21" t="str">
        <x:v>artifact</x:v>
      </x:c>
      <x:c r="D1949" s="21" t="str">
        <x:v>artifact 450 eligibility equation</x:v>
      </x:c>
      <x:c r="E1949" s="21" t="n">
        <x:f>IF(ABS('Artifact Ledger'!P456-IF(AND('Artifact Ledger'!L456=1,'Artifact Ledger'!M456=1,'Artifact Ledger'!N456=1,'Artifact Ledger'!O456&gt;='Artifact Ledger'!G456),'Artifact Ledger'!K456,0))&lt;0.000001,1,0)</x:f>
        <x:v>1</x:v>
      </x:c>
      <x:c r="F1949" s="21" t="n">
        <x:v>1</x:v>
      </x:c>
      <x:c r="G1949" s="23" t="str">
        <x:f>IF(E1949=F1949,"PASS","FAIL")</x:f>
        <x:v>PASS</x:v>
      </x:c>
    </x:row>
    <x:row r="1950">
      <x:c r="B1950" s="21" t="str">
        <x:v>A01944</x:v>
      </x:c>
      <x:c r="C1950" s="21" t="str">
        <x:v>artifact</x:v>
      </x:c>
      <x:c r="D1950" s="21" t="str">
        <x:v>artifact 450 planning state</x:v>
      </x:c>
      <x:c r="E1950" s="21" t="n">
        <x:f>IF(AND('Artifact Ledger'!Q456="OPEN",'Artifact Ledger'!R456="HOLD"),1,0)</x:f>
        <x:v>1</x:v>
      </x:c>
      <x:c r="F1950" s="21" t="n">
        <x:v>1</x:v>
      </x:c>
      <x:c r="G1950" s="23" t="str">
        <x:f>IF(E1950=F1950,"PASS","FAIL")</x:f>
        <x:v>PASS</x:v>
      </x:c>
    </x:row>
    <x:row r="1951">
      <x:c r="B1951" s="21" t="str">
        <x:v>A01945</x:v>
      </x:c>
      <x:c r="C1951" s="21" t="str">
        <x:v>artifact</x:v>
      </x:c>
      <x:c r="D1951" s="21" t="str">
        <x:v>artifact 451 eligibility equation</x:v>
      </x:c>
      <x:c r="E1951" s="21" t="n">
        <x:f>IF(ABS('Artifact Ledger'!P457-IF(AND('Artifact Ledger'!L457=1,'Artifact Ledger'!M457=1,'Artifact Ledger'!N457=1,'Artifact Ledger'!O457&gt;='Artifact Ledger'!G457),'Artifact Ledger'!K457,0))&lt;0.000001,1,0)</x:f>
        <x:v>1</x:v>
      </x:c>
      <x:c r="F1951" s="21" t="n">
        <x:v>1</x:v>
      </x:c>
      <x:c r="G1951" s="23" t="str">
        <x:f>IF(E1951=F1951,"PASS","FAIL")</x:f>
        <x:v>PASS</x:v>
      </x:c>
    </x:row>
    <x:row r="1952">
      <x:c r="B1952" s="21" t="str">
        <x:v>A01946</x:v>
      </x:c>
      <x:c r="C1952" s="21" t="str">
        <x:v>artifact</x:v>
      </x:c>
      <x:c r="D1952" s="21" t="str">
        <x:v>artifact 451 planning state</x:v>
      </x:c>
      <x:c r="E1952" s="21" t="n">
        <x:f>IF(AND('Artifact Ledger'!Q457="OPEN",'Artifact Ledger'!R457="HOLD"),1,0)</x:f>
        <x:v>1</x:v>
      </x:c>
      <x:c r="F1952" s="21" t="n">
        <x:v>1</x:v>
      </x:c>
      <x:c r="G1952" s="23" t="str">
        <x:f>IF(E1952=F1952,"PASS","FAIL")</x:f>
        <x:v>PASS</x:v>
      </x:c>
    </x:row>
    <x:row r="1953">
      <x:c r="B1953" s="21" t="str">
        <x:v>A01947</x:v>
      </x:c>
      <x:c r="C1953" s="21" t="str">
        <x:v>artifact</x:v>
      </x:c>
      <x:c r="D1953" s="21" t="str">
        <x:v>artifact 452 eligibility equation</x:v>
      </x:c>
      <x:c r="E1953" s="21" t="n">
        <x:f>IF(ABS('Artifact Ledger'!P458-IF(AND('Artifact Ledger'!L458=1,'Artifact Ledger'!M458=1,'Artifact Ledger'!N458=1,'Artifact Ledger'!O458&gt;='Artifact Ledger'!G458),'Artifact Ledger'!K458,0))&lt;0.000001,1,0)</x:f>
        <x:v>1</x:v>
      </x:c>
      <x:c r="F1953" s="21" t="n">
        <x:v>1</x:v>
      </x:c>
      <x:c r="G1953" s="23" t="str">
        <x:f>IF(E1953=F1953,"PASS","FAIL")</x:f>
        <x:v>PASS</x:v>
      </x:c>
    </x:row>
    <x:row r="1954">
      <x:c r="B1954" s="21" t="str">
        <x:v>A01948</x:v>
      </x:c>
      <x:c r="C1954" s="21" t="str">
        <x:v>artifact</x:v>
      </x:c>
      <x:c r="D1954" s="21" t="str">
        <x:v>artifact 452 planning state</x:v>
      </x:c>
      <x:c r="E1954" s="21" t="n">
        <x:f>IF(AND('Artifact Ledger'!Q458="OPEN",'Artifact Ledger'!R458="HOLD"),1,0)</x:f>
        <x:v>1</x:v>
      </x:c>
      <x:c r="F1954" s="21" t="n">
        <x:v>1</x:v>
      </x:c>
      <x:c r="G1954" s="23" t="str">
        <x:f>IF(E1954=F1954,"PASS","FAIL")</x:f>
        <x:v>PASS</x:v>
      </x:c>
    </x:row>
    <x:row r="1955">
      <x:c r="B1955" s="21" t="str">
        <x:v>A01949</x:v>
      </x:c>
      <x:c r="C1955" s="21" t="str">
        <x:v>artifact</x:v>
      </x:c>
      <x:c r="D1955" s="21" t="str">
        <x:v>artifact 453 eligibility equation</x:v>
      </x:c>
      <x:c r="E1955" s="21" t="n">
        <x:f>IF(ABS('Artifact Ledger'!P459-IF(AND('Artifact Ledger'!L459=1,'Artifact Ledger'!M459=1,'Artifact Ledger'!N459=1,'Artifact Ledger'!O459&gt;='Artifact Ledger'!G459),'Artifact Ledger'!K459,0))&lt;0.000001,1,0)</x:f>
        <x:v>1</x:v>
      </x:c>
      <x:c r="F1955" s="21" t="n">
        <x:v>1</x:v>
      </x:c>
      <x:c r="G1955" s="23" t="str">
        <x:f>IF(E1955=F1955,"PASS","FAIL")</x:f>
        <x:v>PASS</x:v>
      </x:c>
    </x:row>
    <x:row r="1956">
      <x:c r="B1956" s="21" t="str">
        <x:v>A01950</x:v>
      </x:c>
      <x:c r="C1956" s="21" t="str">
        <x:v>artifact</x:v>
      </x:c>
      <x:c r="D1956" s="21" t="str">
        <x:v>artifact 453 planning state</x:v>
      </x:c>
      <x:c r="E1956" s="21" t="n">
        <x:f>IF(AND('Artifact Ledger'!Q459="OPEN",'Artifact Ledger'!R459="HOLD"),1,0)</x:f>
        <x:v>1</x:v>
      </x:c>
      <x:c r="F1956" s="21" t="n">
        <x:v>1</x:v>
      </x:c>
      <x:c r="G1956" s="23" t="str">
        <x:f>IF(E1956=F1956,"PASS","FAIL")</x:f>
        <x:v>PASS</x:v>
      </x:c>
    </x:row>
    <x:row r="1957">
      <x:c r="B1957" s="21" t="str">
        <x:v>A01951</x:v>
      </x:c>
      <x:c r="C1957" s="21" t="str">
        <x:v>artifact</x:v>
      </x:c>
      <x:c r="D1957" s="21" t="str">
        <x:v>artifact 454 eligibility equation</x:v>
      </x:c>
      <x:c r="E1957" s="21" t="n">
        <x:f>IF(ABS('Artifact Ledger'!P460-IF(AND('Artifact Ledger'!L460=1,'Artifact Ledger'!M460=1,'Artifact Ledger'!N460=1,'Artifact Ledger'!O460&gt;='Artifact Ledger'!G460),'Artifact Ledger'!K460,0))&lt;0.000001,1,0)</x:f>
        <x:v>1</x:v>
      </x:c>
      <x:c r="F1957" s="21" t="n">
        <x:v>1</x:v>
      </x:c>
      <x:c r="G1957" s="23" t="str">
        <x:f>IF(E1957=F1957,"PASS","FAIL")</x:f>
        <x:v>PASS</x:v>
      </x:c>
    </x:row>
    <x:row r="1958">
      <x:c r="B1958" s="21" t="str">
        <x:v>A01952</x:v>
      </x:c>
      <x:c r="C1958" s="21" t="str">
        <x:v>artifact</x:v>
      </x:c>
      <x:c r="D1958" s="21" t="str">
        <x:v>artifact 454 planning state</x:v>
      </x:c>
      <x:c r="E1958" s="21" t="n">
        <x:f>IF(AND('Artifact Ledger'!Q460="OPEN",'Artifact Ledger'!R460="HOLD"),1,0)</x:f>
        <x:v>1</x:v>
      </x:c>
      <x:c r="F1958" s="21" t="n">
        <x:v>1</x:v>
      </x:c>
      <x:c r="G1958" s="23" t="str">
        <x:f>IF(E1958=F1958,"PASS","FAIL")</x:f>
        <x:v>PASS</x:v>
      </x:c>
    </x:row>
    <x:row r="1959">
      <x:c r="B1959" s="21" t="str">
        <x:v>A01953</x:v>
      </x:c>
      <x:c r="C1959" s="21" t="str">
        <x:v>artifact</x:v>
      </x:c>
      <x:c r="D1959" s="21" t="str">
        <x:v>artifact 455 eligibility equation</x:v>
      </x:c>
      <x:c r="E1959" s="21" t="n">
        <x:f>IF(ABS('Artifact Ledger'!P461-IF(AND('Artifact Ledger'!L461=1,'Artifact Ledger'!M461=1,'Artifact Ledger'!N461=1,'Artifact Ledger'!O461&gt;='Artifact Ledger'!G461),'Artifact Ledger'!K461,0))&lt;0.000001,1,0)</x:f>
        <x:v>1</x:v>
      </x:c>
      <x:c r="F1959" s="21" t="n">
        <x:v>1</x:v>
      </x:c>
      <x:c r="G1959" s="23" t="str">
        <x:f>IF(E1959=F1959,"PASS","FAIL")</x:f>
        <x:v>PASS</x:v>
      </x:c>
    </x:row>
    <x:row r="1960">
      <x:c r="B1960" s="21" t="str">
        <x:v>A01954</x:v>
      </x:c>
      <x:c r="C1960" s="21" t="str">
        <x:v>artifact</x:v>
      </x:c>
      <x:c r="D1960" s="21" t="str">
        <x:v>artifact 455 planning state</x:v>
      </x:c>
      <x:c r="E1960" s="21" t="n">
        <x:f>IF(AND('Artifact Ledger'!Q461="OPEN",'Artifact Ledger'!R461="HOLD"),1,0)</x:f>
        <x:v>1</x:v>
      </x:c>
      <x:c r="F1960" s="21" t="n">
        <x:v>1</x:v>
      </x:c>
      <x:c r="G1960" s="23" t="str">
        <x:f>IF(E1960=F1960,"PASS","FAIL")</x:f>
        <x:v>PASS</x:v>
      </x:c>
    </x:row>
    <x:row r="1961">
      <x:c r="B1961" s="21" t="str">
        <x:v>A01955</x:v>
      </x:c>
      <x:c r="C1961" s="21" t="str">
        <x:v>artifact</x:v>
      </x:c>
      <x:c r="D1961" s="21" t="str">
        <x:v>artifact 456 eligibility equation</x:v>
      </x:c>
      <x:c r="E1961" s="21" t="n">
        <x:f>IF(ABS('Artifact Ledger'!P462-IF(AND('Artifact Ledger'!L462=1,'Artifact Ledger'!M462=1,'Artifact Ledger'!N462=1,'Artifact Ledger'!O462&gt;='Artifact Ledger'!G462),'Artifact Ledger'!K462,0))&lt;0.000001,1,0)</x:f>
        <x:v>1</x:v>
      </x:c>
      <x:c r="F1961" s="21" t="n">
        <x:v>1</x:v>
      </x:c>
      <x:c r="G1961" s="23" t="str">
        <x:f>IF(E1961=F1961,"PASS","FAIL")</x:f>
        <x:v>PASS</x:v>
      </x:c>
    </x:row>
    <x:row r="1962">
      <x:c r="B1962" s="21" t="str">
        <x:v>A01956</x:v>
      </x:c>
      <x:c r="C1962" s="21" t="str">
        <x:v>artifact</x:v>
      </x:c>
      <x:c r="D1962" s="21" t="str">
        <x:v>artifact 456 planning state</x:v>
      </x:c>
      <x:c r="E1962" s="21" t="n">
        <x:f>IF(AND('Artifact Ledger'!Q462="OPEN",'Artifact Ledger'!R462="HOLD"),1,0)</x:f>
        <x:v>1</x:v>
      </x:c>
      <x:c r="F1962" s="21" t="n">
        <x:v>1</x:v>
      </x:c>
      <x:c r="G1962" s="23" t="str">
        <x:f>IF(E1962=F1962,"PASS","FAIL")</x:f>
        <x:v>PASS</x:v>
      </x:c>
    </x:row>
    <x:row r="1963">
      <x:c r="B1963" s="21" t="str">
        <x:v>A01957</x:v>
      </x:c>
      <x:c r="C1963" s="21" t="str">
        <x:v>artifact</x:v>
      </x:c>
      <x:c r="D1963" s="21" t="str">
        <x:v>artifact 457 eligibility equation</x:v>
      </x:c>
      <x:c r="E1963" s="21" t="n">
        <x:f>IF(ABS('Artifact Ledger'!P463-IF(AND('Artifact Ledger'!L463=1,'Artifact Ledger'!M463=1,'Artifact Ledger'!N463=1,'Artifact Ledger'!O463&gt;='Artifact Ledger'!G463),'Artifact Ledger'!K463,0))&lt;0.000001,1,0)</x:f>
        <x:v>1</x:v>
      </x:c>
      <x:c r="F1963" s="21" t="n">
        <x:v>1</x:v>
      </x:c>
      <x:c r="G1963" s="23" t="str">
        <x:f>IF(E1963=F1963,"PASS","FAIL")</x:f>
        <x:v>PASS</x:v>
      </x:c>
    </x:row>
    <x:row r="1964">
      <x:c r="B1964" s="21" t="str">
        <x:v>A01958</x:v>
      </x:c>
      <x:c r="C1964" s="21" t="str">
        <x:v>artifact</x:v>
      </x:c>
      <x:c r="D1964" s="21" t="str">
        <x:v>artifact 457 planning state</x:v>
      </x:c>
      <x:c r="E1964" s="21" t="n">
        <x:f>IF(AND('Artifact Ledger'!Q463="OPEN",'Artifact Ledger'!R463="HOLD"),1,0)</x:f>
        <x:v>1</x:v>
      </x:c>
      <x:c r="F1964" s="21" t="n">
        <x:v>1</x:v>
      </x:c>
      <x:c r="G1964" s="23" t="str">
        <x:f>IF(E1964=F1964,"PASS","FAIL")</x:f>
        <x:v>PASS</x:v>
      </x:c>
    </x:row>
    <x:row r="1965">
      <x:c r="B1965" s="21" t="str">
        <x:v>A01959</x:v>
      </x:c>
      <x:c r="C1965" s="21" t="str">
        <x:v>artifact</x:v>
      </x:c>
      <x:c r="D1965" s="21" t="str">
        <x:v>artifact 458 eligibility equation</x:v>
      </x:c>
      <x:c r="E1965" s="21" t="n">
        <x:f>IF(ABS('Artifact Ledger'!P464-IF(AND('Artifact Ledger'!L464=1,'Artifact Ledger'!M464=1,'Artifact Ledger'!N464=1,'Artifact Ledger'!O464&gt;='Artifact Ledger'!G464),'Artifact Ledger'!K464,0))&lt;0.000001,1,0)</x:f>
        <x:v>1</x:v>
      </x:c>
      <x:c r="F1965" s="21" t="n">
        <x:v>1</x:v>
      </x:c>
      <x:c r="G1965" s="23" t="str">
        <x:f>IF(E1965=F1965,"PASS","FAIL")</x:f>
        <x:v>PASS</x:v>
      </x:c>
    </x:row>
    <x:row r="1966">
      <x:c r="B1966" s="21" t="str">
        <x:v>A01960</x:v>
      </x:c>
      <x:c r="C1966" s="21" t="str">
        <x:v>artifact</x:v>
      </x:c>
      <x:c r="D1966" s="21" t="str">
        <x:v>artifact 458 planning state</x:v>
      </x:c>
      <x:c r="E1966" s="21" t="n">
        <x:f>IF(AND('Artifact Ledger'!Q464="OPEN",'Artifact Ledger'!R464="HOLD"),1,0)</x:f>
        <x:v>1</x:v>
      </x:c>
      <x:c r="F1966" s="21" t="n">
        <x:v>1</x:v>
      </x:c>
      <x:c r="G1966" s="23" t="str">
        <x:f>IF(E1966=F1966,"PASS","FAIL")</x:f>
        <x:v>PASS</x:v>
      </x:c>
    </x:row>
    <x:row r="1967">
      <x:c r="B1967" s="21" t="str">
        <x:v>A01961</x:v>
      </x:c>
      <x:c r="C1967" s="21" t="str">
        <x:v>artifact</x:v>
      </x:c>
      <x:c r="D1967" s="21" t="str">
        <x:v>artifact 459 eligibility equation</x:v>
      </x:c>
      <x:c r="E1967" s="21" t="n">
        <x:f>IF(ABS('Artifact Ledger'!P465-IF(AND('Artifact Ledger'!L465=1,'Artifact Ledger'!M465=1,'Artifact Ledger'!N465=1,'Artifact Ledger'!O465&gt;='Artifact Ledger'!G465),'Artifact Ledger'!K465,0))&lt;0.000001,1,0)</x:f>
        <x:v>1</x:v>
      </x:c>
      <x:c r="F1967" s="21" t="n">
        <x:v>1</x:v>
      </x:c>
      <x:c r="G1967" s="23" t="str">
        <x:f>IF(E1967=F1967,"PASS","FAIL")</x:f>
        <x:v>PASS</x:v>
      </x:c>
    </x:row>
    <x:row r="1968">
      <x:c r="B1968" s="21" t="str">
        <x:v>A01962</x:v>
      </x:c>
      <x:c r="C1968" s="21" t="str">
        <x:v>artifact</x:v>
      </x:c>
      <x:c r="D1968" s="21" t="str">
        <x:v>artifact 459 planning state</x:v>
      </x:c>
      <x:c r="E1968" s="21" t="n">
        <x:f>IF(AND('Artifact Ledger'!Q465="OPEN",'Artifact Ledger'!R465="HOLD"),1,0)</x:f>
        <x:v>1</x:v>
      </x:c>
      <x:c r="F1968" s="21" t="n">
        <x:v>1</x:v>
      </x:c>
      <x:c r="G1968" s="23" t="str">
        <x:f>IF(E1968=F1968,"PASS","FAIL")</x:f>
        <x:v>PASS</x:v>
      </x:c>
    </x:row>
    <x:row r="1969">
      <x:c r="B1969" s="21" t="str">
        <x:v>A01963</x:v>
      </x:c>
      <x:c r="C1969" s="21" t="str">
        <x:v>artifact</x:v>
      </x:c>
      <x:c r="D1969" s="21" t="str">
        <x:v>artifact 460 eligibility equation</x:v>
      </x:c>
      <x:c r="E1969" s="21" t="n">
        <x:f>IF(ABS('Artifact Ledger'!P466-IF(AND('Artifact Ledger'!L466=1,'Artifact Ledger'!M466=1,'Artifact Ledger'!N466=1,'Artifact Ledger'!O466&gt;='Artifact Ledger'!G466),'Artifact Ledger'!K466,0))&lt;0.000001,1,0)</x:f>
        <x:v>1</x:v>
      </x:c>
      <x:c r="F1969" s="21" t="n">
        <x:v>1</x:v>
      </x:c>
      <x:c r="G1969" s="23" t="str">
        <x:f>IF(E1969=F1969,"PASS","FAIL")</x:f>
        <x:v>PASS</x:v>
      </x:c>
    </x:row>
    <x:row r="1970">
      <x:c r="B1970" s="21" t="str">
        <x:v>A01964</x:v>
      </x:c>
      <x:c r="C1970" s="21" t="str">
        <x:v>artifact</x:v>
      </x:c>
      <x:c r="D1970" s="21" t="str">
        <x:v>artifact 460 planning state</x:v>
      </x:c>
      <x:c r="E1970" s="21" t="n">
        <x:f>IF(AND('Artifact Ledger'!Q466="OPEN",'Artifact Ledger'!R466="HOLD"),1,0)</x:f>
        <x:v>1</x:v>
      </x:c>
      <x:c r="F1970" s="21" t="n">
        <x:v>1</x:v>
      </x:c>
      <x:c r="G1970" s="23" t="str">
        <x:f>IF(E1970=F1970,"PASS","FAIL")</x:f>
        <x:v>PASS</x:v>
      </x:c>
    </x:row>
    <x:row r="1971">
      <x:c r="B1971" s="21" t="str">
        <x:v>A01965</x:v>
      </x:c>
      <x:c r="C1971" s="21" t="str">
        <x:v>artifact</x:v>
      </x:c>
      <x:c r="D1971" s="21" t="str">
        <x:v>artifact 461 eligibility equation</x:v>
      </x:c>
      <x:c r="E1971" s="21" t="n">
        <x:f>IF(ABS('Artifact Ledger'!P467-IF(AND('Artifact Ledger'!L467=1,'Artifact Ledger'!M467=1,'Artifact Ledger'!N467=1,'Artifact Ledger'!O467&gt;='Artifact Ledger'!G467),'Artifact Ledger'!K467,0))&lt;0.000001,1,0)</x:f>
        <x:v>1</x:v>
      </x:c>
      <x:c r="F1971" s="21" t="n">
        <x:v>1</x:v>
      </x:c>
      <x:c r="G1971" s="23" t="str">
        <x:f>IF(E1971=F1971,"PASS","FAIL")</x:f>
        <x:v>PASS</x:v>
      </x:c>
    </x:row>
    <x:row r="1972">
      <x:c r="B1972" s="21" t="str">
        <x:v>A01966</x:v>
      </x:c>
      <x:c r="C1972" s="21" t="str">
        <x:v>artifact</x:v>
      </x:c>
      <x:c r="D1972" s="21" t="str">
        <x:v>artifact 461 planning state</x:v>
      </x:c>
      <x:c r="E1972" s="21" t="n">
        <x:f>IF(AND('Artifact Ledger'!Q467="OPEN",'Artifact Ledger'!R467="HOLD"),1,0)</x:f>
        <x:v>1</x:v>
      </x:c>
      <x:c r="F1972" s="21" t="n">
        <x:v>1</x:v>
      </x:c>
      <x:c r="G1972" s="23" t="str">
        <x:f>IF(E1972=F1972,"PASS","FAIL")</x:f>
        <x:v>PASS</x:v>
      </x:c>
    </x:row>
    <x:row r="1973">
      <x:c r="B1973" s="21" t="str">
        <x:v>A01967</x:v>
      </x:c>
      <x:c r="C1973" s="21" t="str">
        <x:v>artifact</x:v>
      </x:c>
      <x:c r="D1973" s="21" t="str">
        <x:v>artifact 462 eligibility equation</x:v>
      </x:c>
      <x:c r="E1973" s="21" t="n">
        <x:f>IF(ABS('Artifact Ledger'!P468-IF(AND('Artifact Ledger'!L468=1,'Artifact Ledger'!M468=1,'Artifact Ledger'!N468=1,'Artifact Ledger'!O468&gt;='Artifact Ledger'!G468),'Artifact Ledger'!K468,0))&lt;0.000001,1,0)</x:f>
        <x:v>1</x:v>
      </x:c>
      <x:c r="F1973" s="21" t="n">
        <x:v>1</x:v>
      </x:c>
      <x:c r="G1973" s="23" t="str">
        <x:f>IF(E1973=F1973,"PASS","FAIL")</x:f>
        <x:v>PASS</x:v>
      </x:c>
    </x:row>
    <x:row r="1974">
      <x:c r="B1974" s="21" t="str">
        <x:v>A01968</x:v>
      </x:c>
      <x:c r="C1974" s="21" t="str">
        <x:v>artifact</x:v>
      </x:c>
      <x:c r="D1974" s="21" t="str">
        <x:v>artifact 462 planning state</x:v>
      </x:c>
      <x:c r="E1974" s="21" t="n">
        <x:f>IF(AND('Artifact Ledger'!Q468="OPEN",'Artifact Ledger'!R468="HOLD"),1,0)</x:f>
        <x:v>1</x:v>
      </x:c>
      <x:c r="F1974" s="21" t="n">
        <x:v>1</x:v>
      </x:c>
      <x:c r="G1974" s="23" t="str">
        <x:f>IF(E1974=F1974,"PASS","FAIL")</x:f>
        <x:v>PASS</x:v>
      </x:c>
    </x:row>
    <x:row r="1975">
      <x:c r="B1975" s="21" t="str">
        <x:v>A01969</x:v>
      </x:c>
      <x:c r="C1975" s="21" t="str">
        <x:v>artifact</x:v>
      </x:c>
      <x:c r="D1975" s="21" t="str">
        <x:v>artifact 463 eligibility equation</x:v>
      </x:c>
      <x:c r="E1975" s="21" t="n">
        <x:f>IF(ABS('Artifact Ledger'!P469-IF(AND('Artifact Ledger'!L469=1,'Artifact Ledger'!M469=1,'Artifact Ledger'!N469=1,'Artifact Ledger'!O469&gt;='Artifact Ledger'!G469),'Artifact Ledger'!K469,0))&lt;0.000001,1,0)</x:f>
        <x:v>1</x:v>
      </x:c>
      <x:c r="F1975" s="21" t="n">
        <x:v>1</x:v>
      </x:c>
      <x:c r="G1975" s="23" t="str">
        <x:f>IF(E1975=F1975,"PASS","FAIL")</x:f>
        <x:v>PASS</x:v>
      </x:c>
    </x:row>
    <x:row r="1976">
      <x:c r="B1976" s="21" t="str">
        <x:v>A01970</x:v>
      </x:c>
      <x:c r="C1976" s="21" t="str">
        <x:v>artifact</x:v>
      </x:c>
      <x:c r="D1976" s="21" t="str">
        <x:v>artifact 463 planning state</x:v>
      </x:c>
      <x:c r="E1976" s="21" t="n">
        <x:f>IF(AND('Artifact Ledger'!Q469="OPEN",'Artifact Ledger'!R469="HOLD"),1,0)</x:f>
        <x:v>1</x:v>
      </x:c>
      <x:c r="F1976" s="21" t="n">
        <x:v>1</x:v>
      </x:c>
      <x:c r="G1976" s="23" t="str">
        <x:f>IF(E1976=F1976,"PASS","FAIL")</x:f>
        <x:v>PASS</x:v>
      </x:c>
    </x:row>
    <x:row r="1977">
      <x:c r="B1977" s="21" t="str">
        <x:v>A01971</x:v>
      </x:c>
      <x:c r="C1977" s="21" t="str">
        <x:v>artifact</x:v>
      </x:c>
      <x:c r="D1977" s="21" t="str">
        <x:v>artifact 464 eligibility equation</x:v>
      </x:c>
      <x:c r="E1977" s="21" t="n">
        <x:f>IF(ABS('Artifact Ledger'!P470-IF(AND('Artifact Ledger'!L470=1,'Artifact Ledger'!M470=1,'Artifact Ledger'!N470=1,'Artifact Ledger'!O470&gt;='Artifact Ledger'!G470),'Artifact Ledger'!K470,0))&lt;0.000001,1,0)</x:f>
        <x:v>1</x:v>
      </x:c>
      <x:c r="F1977" s="21" t="n">
        <x:v>1</x:v>
      </x:c>
      <x:c r="G1977" s="23" t="str">
        <x:f>IF(E1977=F1977,"PASS","FAIL")</x:f>
        <x:v>PASS</x:v>
      </x:c>
    </x:row>
    <x:row r="1978">
      <x:c r="B1978" s="21" t="str">
        <x:v>A01972</x:v>
      </x:c>
      <x:c r="C1978" s="21" t="str">
        <x:v>artifact</x:v>
      </x:c>
      <x:c r="D1978" s="21" t="str">
        <x:v>artifact 464 planning state</x:v>
      </x:c>
      <x:c r="E1978" s="21" t="n">
        <x:f>IF(AND('Artifact Ledger'!Q470="OPEN",'Artifact Ledger'!R470="HOLD"),1,0)</x:f>
        <x:v>1</x:v>
      </x:c>
      <x:c r="F1978" s="21" t="n">
        <x:v>1</x:v>
      </x:c>
      <x:c r="G1978" s="23" t="str">
        <x:f>IF(E1978=F1978,"PASS","FAIL")</x:f>
        <x:v>PASS</x:v>
      </x:c>
    </x:row>
    <x:row r="1979">
      <x:c r="B1979" s="21" t="str">
        <x:v>A01973</x:v>
      </x:c>
      <x:c r="C1979" s="21" t="str">
        <x:v>artifact</x:v>
      </x:c>
      <x:c r="D1979" s="21" t="str">
        <x:v>artifact 465 eligibility equation</x:v>
      </x:c>
      <x:c r="E1979" s="21" t="n">
        <x:f>IF(ABS('Artifact Ledger'!P471-IF(AND('Artifact Ledger'!L471=1,'Artifact Ledger'!M471=1,'Artifact Ledger'!N471=1,'Artifact Ledger'!O471&gt;='Artifact Ledger'!G471),'Artifact Ledger'!K471,0))&lt;0.000001,1,0)</x:f>
        <x:v>1</x:v>
      </x:c>
      <x:c r="F1979" s="21" t="n">
        <x:v>1</x:v>
      </x:c>
      <x:c r="G1979" s="23" t="str">
        <x:f>IF(E1979=F1979,"PASS","FAIL")</x:f>
        <x:v>PASS</x:v>
      </x:c>
    </x:row>
    <x:row r="1980">
      <x:c r="B1980" s="21" t="str">
        <x:v>A01974</x:v>
      </x:c>
      <x:c r="C1980" s="21" t="str">
        <x:v>artifact</x:v>
      </x:c>
      <x:c r="D1980" s="21" t="str">
        <x:v>artifact 465 planning state</x:v>
      </x:c>
      <x:c r="E1980" s="21" t="n">
        <x:f>IF(AND('Artifact Ledger'!Q471="OPEN",'Artifact Ledger'!R471="HOLD"),1,0)</x:f>
        <x:v>1</x:v>
      </x:c>
      <x:c r="F1980" s="21" t="n">
        <x:v>1</x:v>
      </x:c>
      <x:c r="G1980" s="23" t="str">
        <x:f>IF(E1980=F1980,"PASS","FAIL")</x:f>
        <x:v>PASS</x:v>
      </x:c>
    </x:row>
    <x:row r="1981">
      <x:c r="B1981" s="21" t="str">
        <x:v>A01975</x:v>
      </x:c>
      <x:c r="C1981" s="21" t="str">
        <x:v>artifact</x:v>
      </x:c>
      <x:c r="D1981" s="21" t="str">
        <x:v>artifact 466 eligibility equation</x:v>
      </x:c>
      <x:c r="E1981" s="21" t="n">
        <x:f>IF(ABS('Artifact Ledger'!P472-IF(AND('Artifact Ledger'!L472=1,'Artifact Ledger'!M472=1,'Artifact Ledger'!N472=1,'Artifact Ledger'!O472&gt;='Artifact Ledger'!G472),'Artifact Ledger'!K472,0))&lt;0.000001,1,0)</x:f>
        <x:v>1</x:v>
      </x:c>
      <x:c r="F1981" s="21" t="n">
        <x:v>1</x:v>
      </x:c>
      <x:c r="G1981" s="23" t="str">
        <x:f>IF(E1981=F1981,"PASS","FAIL")</x:f>
        <x:v>PASS</x:v>
      </x:c>
    </x:row>
    <x:row r="1982">
      <x:c r="B1982" s="21" t="str">
        <x:v>A01976</x:v>
      </x:c>
      <x:c r="C1982" s="21" t="str">
        <x:v>artifact</x:v>
      </x:c>
      <x:c r="D1982" s="21" t="str">
        <x:v>artifact 466 planning state</x:v>
      </x:c>
      <x:c r="E1982" s="21" t="n">
        <x:f>IF(AND('Artifact Ledger'!Q472="OPEN",'Artifact Ledger'!R472="HOLD"),1,0)</x:f>
        <x:v>1</x:v>
      </x:c>
      <x:c r="F1982" s="21" t="n">
        <x:v>1</x:v>
      </x:c>
      <x:c r="G1982" s="23" t="str">
        <x:f>IF(E1982=F1982,"PASS","FAIL")</x:f>
        <x:v>PASS</x:v>
      </x:c>
    </x:row>
    <x:row r="1983">
      <x:c r="B1983" s="21" t="str">
        <x:v>A01977</x:v>
      </x:c>
      <x:c r="C1983" s="21" t="str">
        <x:v>artifact</x:v>
      </x:c>
      <x:c r="D1983" s="21" t="str">
        <x:v>artifact 467 eligibility equation</x:v>
      </x:c>
      <x:c r="E1983" s="21" t="n">
        <x:f>IF(ABS('Artifact Ledger'!P473-IF(AND('Artifact Ledger'!L473=1,'Artifact Ledger'!M473=1,'Artifact Ledger'!N473=1,'Artifact Ledger'!O473&gt;='Artifact Ledger'!G473),'Artifact Ledger'!K473,0))&lt;0.000001,1,0)</x:f>
        <x:v>1</x:v>
      </x:c>
      <x:c r="F1983" s="21" t="n">
        <x:v>1</x:v>
      </x:c>
      <x:c r="G1983" s="23" t="str">
        <x:f>IF(E1983=F1983,"PASS","FAIL")</x:f>
        <x:v>PASS</x:v>
      </x:c>
    </x:row>
    <x:row r="1984">
      <x:c r="B1984" s="21" t="str">
        <x:v>A01978</x:v>
      </x:c>
      <x:c r="C1984" s="21" t="str">
        <x:v>artifact</x:v>
      </x:c>
      <x:c r="D1984" s="21" t="str">
        <x:v>artifact 467 planning state</x:v>
      </x:c>
      <x:c r="E1984" s="21" t="n">
        <x:f>IF(AND('Artifact Ledger'!Q473="OPEN",'Artifact Ledger'!R473="HOLD"),1,0)</x:f>
        <x:v>1</x:v>
      </x:c>
      <x:c r="F1984" s="21" t="n">
        <x:v>1</x:v>
      </x:c>
      <x:c r="G1984" s="23" t="str">
        <x:f>IF(E1984=F1984,"PASS","FAIL")</x:f>
        <x:v>PASS</x:v>
      </x:c>
    </x:row>
    <x:row r="1985">
      <x:c r="B1985" s="21" t="str">
        <x:v>A01979</x:v>
      </x:c>
      <x:c r="C1985" s="21" t="str">
        <x:v>artifact</x:v>
      </x:c>
      <x:c r="D1985" s="21" t="str">
        <x:v>artifact 468 eligibility equation</x:v>
      </x:c>
      <x:c r="E1985" s="21" t="n">
        <x:f>IF(ABS('Artifact Ledger'!P474-IF(AND('Artifact Ledger'!L474=1,'Artifact Ledger'!M474=1,'Artifact Ledger'!N474=1,'Artifact Ledger'!O474&gt;='Artifact Ledger'!G474),'Artifact Ledger'!K474,0))&lt;0.000001,1,0)</x:f>
        <x:v>1</x:v>
      </x:c>
      <x:c r="F1985" s="21" t="n">
        <x:v>1</x:v>
      </x:c>
      <x:c r="G1985" s="23" t="str">
        <x:f>IF(E1985=F1985,"PASS","FAIL")</x:f>
        <x:v>PASS</x:v>
      </x:c>
    </x:row>
    <x:row r="1986">
      <x:c r="B1986" s="21" t="str">
        <x:v>A01980</x:v>
      </x:c>
      <x:c r="C1986" s="21" t="str">
        <x:v>artifact</x:v>
      </x:c>
      <x:c r="D1986" s="21" t="str">
        <x:v>artifact 468 planning state</x:v>
      </x:c>
      <x:c r="E1986" s="21" t="n">
        <x:f>IF(AND('Artifact Ledger'!Q474="OPEN",'Artifact Ledger'!R474="HOLD"),1,0)</x:f>
        <x:v>1</x:v>
      </x:c>
      <x:c r="F1986" s="21" t="n">
        <x:v>1</x:v>
      </x:c>
      <x:c r="G1986" s="23" t="str">
        <x:f>IF(E1986=F1986,"PASS","FAIL")</x:f>
        <x:v>PASS</x:v>
      </x:c>
    </x:row>
    <x:row r="1987">
      <x:c r="B1987" s="21" t="str">
        <x:v>A01981</x:v>
      </x:c>
      <x:c r="C1987" s="21" t="str">
        <x:v>artifact</x:v>
      </x:c>
      <x:c r="D1987" s="21" t="str">
        <x:v>artifact 469 eligibility equation</x:v>
      </x:c>
      <x:c r="E1987" s="21" t="n">
        <x:f>IF(ABS('Artifact Ledger'!P475-IF(AND('Artifact Ledger'!L475=1,'Artifact Ledger'!M475=1,'Artifact Ledger'!N475=1,'Artifact Ledger'!O475&gt;='Artifact Ledger'!G475),'Artifact Ledger'!K475,0))&lt;0.000001,1,0)</x:f>
        <x:v>1</x:v>
      </x:c>
      <x:c r="F1987" s="21" t="n">
        <x:v>1</x:v>
      </x:c>
      <x:c r="G1987" s="23" t="str">
        <x:f>IF(E1987=F1987,"PASS","FAIL")</x:f>
        <x:v>PASS</x:v>
      </x:c>
    </x:row>
    <x:row r="1988">
      <x:c r="B1988" s="21" t="str">
        <x:v>A01982</x:v>
      </x:c>
      <x:c r="C1988" s="21" t="str">
        <x:v>artifact</x:v>
      </x:c>
      <x:c r="D1988" s="21" t="str">
        <x:v>artifact 469 planning state</x:v>
      </x:c>
      <x:c r="E1988" s="21" t="n">
        <x:f>IF(AND('Artifact Ledger'!Q475="OPEN",'Artifact Ledger'!R475="HOLD"),1,0)</x:f>
        <x:v>1</x:v>
      </x:c>
      <x:c r="F1988" s="21" t="n">
        <x:v>1</x:v>
      </x:c>
      <x:c r="G1988" s="23" t="str">
        <x:f>IF(E1988=F1988,"PASS","FAIL")</x:f>
        <x:v>PASS</x:v>
      </x:c>
    </x:row>
    <x:row r="1989">
      <x:c r="B1989" s="21" t="str">
        <x:v>A01983</x:v>
      </x:c>
      <x:c r="C1989" s="21" t="str">
        <x:v>artifact</x:v>
      </x:c>
      <x:c r="D1989" s="21" t="str">
        <x:v>artifact 470 eligibility equation</x:v>
      </x:c>
      <x:c r="E1989" s="21" t="n">
        <x:f>IF(ABS('Artifact Ledger'!P476-IF(AND('Artifact Ledger'!L476=1,'Artifact Ledger'!M476=1,'Artifact Ledger'!N476=1,'Artifact Ledger'!O476&gt;='Artifact Ledger'!G476),'Artifact Ledger'!K476,0))&lt;0.000001,1,0)</x:f>
        <x:v>1</x:v>
      </x:c>
      <x:c r="F1989" s="21" t="n">
        <x:v>1</x:v>
      </x:c>
      <x:c r="G1989" s="23" t="str">
        <x:f>IF(E1989=F1989,"PASS","FAIL")</x:f>
        <x:v>PASS</x:v>
      </x:c>
    </x:row>
    <x:row r="1990">
      <x:c r="B1990" s="21" t="str">
        <x:v>A01984</x:v>
      </x:c>
      <x:c r="C1990" s="21" t="str">
        <x:v>artifact</x:v>
      </x:c>
      <x:c r="D1990" s="21" t="str">
        <x:v>artifact 470 planning state</x:v>
      </x:c>
      <x:c r="E1990" s="21" t="n">
        <x:f>IF(AND('Artifact Ledger'!Q476="OPEN",'Artifact Ledger'!R476="HOLD"),1,0)</x:f>
        <x:v>1</x:v>
      </x:c>
      <x:c r="F1990" s="21" t="n">
        <x:v>1</x:v>
      </x:c>
      <x:c r="G1990" s="23" t="str">
        <x:f>IF(E1990=F1990,"PASS","FAIL")</x:f>
        <x:v>PASS</x:v>
      </x:c>
    </x:row>
    <x:row r="1991">
      <x:c r="B1991" s="21" t="str">
        <x:v>A01985</x:v>
      </x:c>
      <x:c r="C1991" s="21" t="str">
        <x:v>artifact</x:v>
      </x:c>
      <x:c r="D1991" s="21" t="str">
        <x:v>artifact 471 eligibility equation</x:v>
      </x:c>
      <x:c r="E1991" s="21" t="n">
        <x:f>IF(ABS('Artifact Ledger'!P477-IF(AND('Artifact Ledger'!L477=1,'Artifact Ledger'!M477=1,'Artifact Ledger'!N477=1,'Artifact Ledger'!O477&gt;='Artifact Ledger'!G477),'Artifact Ledger'!K477,0))&lt;0.000001,1,0)</x:f>
        <x:v>1</x:v>
      </x:c>
      <x:c r="F1991" s="21" t="n">
        <x:v>1</x:v>
      </x:c>
      <x:c r="G1991" s="23" t="str">
        <x:f>IF(E1991=F1991,"PASS","FAIL")</x:f>
        <x:v>PASS</x:v>
      </x:c>
    </x:row>
    <x:row r="1992">
      <x:c r="B1992" s="21" t="str">
        <x:v>A01986</x:v>
      </x:c>
      <x:c r="C1992" s="21" t="str">
        <x:v>artifact</x:v>
      </x:c>
      <x:c r="D1992" s="21" t="str">
        <x:v>artifact 471 planning state</x:v>
      </x:c>
      <x:c r="E1992" s="21" t="n">
        <x:f>IF(AND('Artifact Ledger'!Q477="OPEN",'Artifact Ledger'!R477="HOLD"),1,0)</x:f>
        <x:v>1</x:v>
      </x:c>
      <x:c r="F1992" s="21" t="n">
        <x:v>1</x:v>
      </x:c>
      <x:c r="G1992" s="23" t="str">
        <x:f>IF(E1992=F1992,"PASS","FAIL")</x:f>
        <x:v>PASS</x:v>
      </x:c>
    </x:row>
    <x:row r="1993">
      <x:c r="B1993" s="21" t="str">
        <x:v>A01987</x:v>
      </x:c>
      <x:c r="C1993" s="21" t="str">
        <x:v>artifact</x:v>
      </x:c>
      <x:c r="D1993" s="21" t="str">
        <x:v>artifact 472 eligibility equation</x:v>
      </x:c>
      <x:c r="E1993" s="21" t="n">
        <x:f>IF(ABS('Artifact Ledger'!P478-IF(AND('Artifact Ledger'!L478=1,'Artifact Ledger'!M478=1,'Artifact Ledger'!N478=1,'Artifact Ledger'!O478&gt;='Artifact Ledger'!G478),'Artifact Ledger'!K478,0))&lt;0.000001,1,0)</x:f>
        <x:v>1</x:v>
      </x:c>
      <x:c r="F1993" s="21" t="n">
        <x:v>1</x:v>
      </x:c>
      <x:c r="G1993" s="23" t="str">
        <x:f>IF(E1993=F1993,"PASS","FAIL")</x:f>
        <x:v>PASS</x:v>
      </x:c>
    </x:row>
    <x:row r="1994">
      <x:c r="B1994" s="21" t="str">
        <x:v>A01988</x:v>
      </x:c>
      <x:c r="C1994" s="21" t="str">
        <x:v>artifact</x:v>
      </x:c>
      <x:c r="D1994" s="21" t="str">
        <x:v>artifact 472 planning state</x:v>
      </x:c>
      <x:c r="E1994" s="21" t="n">
        <x:f>IF(AND('Artifact Ledger'!Q478="OPEN",'Artifact Ledger'!R478="HOLD"),1,0)</x:f>
        <x:v>1</x:v>
      </x:c>
      <x:c r="F1994" s="21" t="n">
        <x:v>1</x:v>
      </x:c>
      <x:c r="G1994" s="23" t="str">
        <x:f>IF(E1994=F1994,"PASS","FAIL")</x:f>
        <x:v>PASS</x:v>
      </x:c>
    </x:row>
    <x:row r="1995">
      <x:c r="B1995" s="21" t="str">
        <x:v>A01989</x:v>
      </x:c>
      <x:c r="C1995" s="21" t="str">
        <x:v>artifact</x:v>
      </x:c>
      <x:c r="D1995" s="21" t="str">
        <x:v>artifact 473 eligibility equation</x:v>
      </x:c>
      <x:c r="E1995" s="21" t="n">
        <x:f>IF(ABS('Artifact Ledger'!P479-IF(AND('Artifact Ledger'!L479=1,'Artifact Ledger'!M479=1,'Artifact Ledger'!N479=1,'Artifact Ledger'!O479&gt;='Artifact Ledger'!G479),'Artifact Ledger'!K479,0))&lt;0.000001,1,0)</x:f>
        <x:v>1</x:v>
      </x:c>
      <x:c r="F1995" s="21" t="n">
        <x:v>1</x:v>
      </x:c>
      <x:c r="G1995" s="23" t="str">
        <x:f>IF(E1995=F1995,"PASS","FAIL")</x:f>
        <x:v>PASS</x:v>
      </x:c>
    </x:row>
    <x:row r="1996">
      <x:c r="B1996" s="21" t="str">
        <x:v>A01990</x:v>
      </x:c>
      <x:c r="C1996" s="21" t="str">
        <x:v>artifact</x:v>
      </x:c>
      <x:c r="D1996" s="21" t="str">
        <x:v>artifact 473 planning state</x:v>
      </x:c>
      <x:c r="E1996" s="21" t="n">
        <x:f>IF(AND('Artifact Ledger'!Q479="OPEN",'Artifact Ledger'!R479="HOLD"),1,0)</x:f>
        <x:v>1</x:v>
      </x:c>
      <x:c r="F1996" s="21" t="n">
        <x:v>1</x:v>
      </x:c>
      <x:c r="G1996" s="23" t="str">
        <x:f>IF(E1996=F1996,"PASS","FAIL")</x:f>
        <x:v>PASS</x:v>
      </x:c>
    </x:row>
    <x:row r="1997">
      <x:c r="B1997" s="21" t="str">
        <x:v>A01991</x:v>
      </x:c>
      <x:c r="C1997" s="21" t="str">
        <x:v>artifact</x:v>
      </x:c>
      <x:c r="D1997" s="21" t="str">
        <x:v>artifact 474 eligibility equation</x:v>
      </x:c>
      <x:c r="E1997" s="21" t="n">
        <x:f>IF(ABS('Artifact Ledger'!P480-IF(AND('Artifact Ledger'!L480=1,'Artifact Ledger'!M480=1,'Artifact Ledger'!N480=1,'Artifact Ledger'!O480&gt;='Artifact Ledger'!G480),'Artifact Ledger'!K480,0))&lt;0.000001,1,0)</x:f>
        <x:v>1</x:v>
      </x:c>
      <x:c r="F1997" s="21" t="n">
        <x:v>1</x:v>
      </x:c>
      <x:c r="G1997" s="23" t="str">
        <x:f>IF(E1997=F1997,"PASS","FAIL")</x:f>
        <x:v>PASS</x:v>
      </x:c>
    </x:row>
    <x:row r="1998">
      <x:c r="B1998" s="21" t="str">
        <x:v>A01992</x:v>
      </x:c>
      <x:c r="C1998" s="21" t="str">
        <x:v>artifact</x:v>
      </x:c>
      <x:c r="D1998" s="21" t="str">
        <x:v>artifact 474 planning state</x:v>
      </x:c>
      <x:c r="E1998" s="21" t="n">
        <x:f>IF(AND('Artifact Ledger'!Q480="OPEN",'Artifact Ledger'!R480="HOLD"),1,0)</x:f>
        <x:v>1</x:v>
      </x:c>
      <x:c r="F1998" s="21" t="n">
        <x:v>1</x:v>
      </x:c>
      <x:c r="G1998" s="23" t="str">
        <x:f>IF(E1998=F1998,"PASS","FAIL")</x:f>
        <x:v>PASS</x:v>
      </x:c>
    </x:row>
    <x:row r="1999">
      <x:c r="B1999" s="21" t="str">
        <x:v>A01993</x:v>
      </x:c>
      <x:c r="C1999" s="21" t="str">
        <x:v>artifact</x:v>
      </x:c>
      <x:c r="D1999" s="21" t="str">
        <x:v>artifact 475 eligibility equation</x:v>
      </x:c>
      <x:c r="E1999" s="21" t="n">
        <x:f>IF(ABS('Artifact Ledger'!P481-IF(AND('Artifact Ledger'!L481=1,'Artifact Ledger'!M481=1,'Artifact Ledger'!N481=1,'Artifact Ledger'!O481&gt;='Artifact Ledger'!G481),'Artifact Ledger'!K481,0))&lt;0.000001,1,0)</x:f>
        <x:v>1</x:v>
      </x:c>
      <x:c r="F1999" s="21" t="n">
        <x:v>1</x:v>
      </x:c>
      <x:c r="G1999" s="23" t="str">
        <x:f>IF(E1999=F1999,"PASS","FAIL")</x:f>
        <x:v>PASS</x:v>
      </x:c>
    </x:row>
    <x:row r="2000">
      <x:c r="B2000" s="21" t="str">
        <x:v>A01994</x:v>
      </x:c>
      <x:c r="C2000" s="21" t="str">
        <x:v>artifact</x:v>
      </x:c>
      <x:c r="D2000" s="21" t="str">
        <x:v>artifact 475 planning state</x:v>
      </x:c>
      <x:c r="E2000" s="21" t="n">
        <x:f>IF(AND('Artifact Ledger'!Q481="OPEN",'Artifact Ledger'!R481="HOLD"),1,0)</x:f>
        <x:v>1</x:v>
      </x:c>
      <x:c r="F2000" s="21" t="n">
        <x:v>1</x:v>
      </x:c>
      <x:c r="G2000" s="23" t="str">
        <x:f>IF(E2000=F2000,"PASS","FAIL")</x:f>
        <x:v>PASS</x:v>
      </x:c>
    </x:row>
    <x:row r="2001">
      <x:c r="B2001" s="21" t="str">
        <x:v>A01995</x:v>
      </x:c>
      <x:c r="C2001" s="21" t="str">
        <x:v>artifact</x:v>
      </x:c>
      <x:c r="D2001" s="21" t="str">
        <x:v>artifact 476 eligibility equation</x:v>
      </x:c>
      <x:c r="E2001" s="21" t="n">
        <x:f>IF(ABS('Artifact Ledger'!P482-IF(AND('Artifact Ledger'!L482=1,'Artifact Ledger'!M482=1,'Artifact Ledger'!N482=1,'Artifact Ledger'!O482&gt;='Artifact Ledger'!G482),'Artifact Ledger'!K482,0))&lt;0.000001,1,0)</x:f>
        <x:v>1</x:v>
      </x:c>
      <x:c r="F2001" s="21" t="n">
        <x:v>1</x:v>
      </x:c>
      <x:c r="G2001" s="23" t="str">
        <x:f>IF(E2001=F2001,"PASS","FAIL")</x:f>
        <x:v>PASS</x:v>
      </x:c>
    </x:row>
    <x:row r="2002">
      <x:c r="B2002" s="21" t="str">
        <x:v>A01996</x:v>
      </x:c>
      <x:c r="C2002" s="21" t="str">
        <x:v>artifact</x:v>
      </x:c>
      <x:c r="D2002" s="21" t="str">
        <x:v>artifact 476 planning state</x:v>
      </x:c>
      <x:c r="E2002" s="21" t="n">
        <x:f>IF(AND('Artifact Ledger'!Q482="OPEN",'Artifact Ledger'!R482="HOLD"),1,0)</x:f>
        <x:v>1</x:v>
      </x:c>
      <x:c r="F2002" s="21" t="n">
        <x:v>1</x:v>
      </x:c>
      <x:c r="G2002" s="23" t="str">
        <x:f>IF(E2002=F2002,"PASS","FAIL")</x:f>
        <x:v>PASS</x:v>
      </x:c>
    </x:row>
    <x:row r="2003">
      <x:c r="B2003" s="21" t="str">
        <x:v>A01997</x:v>
      </x:c>
      <x:c r="C2003" s="21" t="str">
        <x:v>artifact</x:v>
      </x:c>
      <x:c r="D2003" s="21" t="str">
        <x:v>artifact 477 eligibility equation</x:v>
      </x:c>
      <x:c r="E2003" s="21" t="n">
        <x:f>IF(ABS('Artifact Ledger'!P483-IF(AND('Artifact Ledger'!L483=1,'Artifact Ledger'!M483=1,'Artifact Ledger'!N483=1,'Artifact Ledger'!O483&gt;='Artifact Ledger'!G483),'Artifact Ledger'!K483,0))&lt;0.000001,1,0)</x:f>
        <x:v>1</x:v>
      </x:c>
      <x:c r="F2003" s="21" t="n">
        <x:v>1</x:v>
      </x:c>
      <x:c r="G2003" s="23" t="str">
        <x:f>IF(E2003=F2003,"PASS","FAIL")</x:f>
        <x:v>PASS</x:v>
      </x:c>
    </x:row>
    <x:row r="2004">
      <x:c r="B2004" s="21" t="str">
        <x:v>A01998</x:v>
      </x:c>
      <x:c r="C2004" s="21" t="str">
        <x:v>artifact</x:v>
      </x:c>
      <x:c r="D2004" s="21" t="str">
        <x:v>artifact 477 planning state</x:v>
      </x:c>
      <x:c r="E2004" s="21" t="n">
        <x:f>IF(AND('Artifact Ledger'!Q483="OPEN",'Artifact Ledger'!R483="HOLD"),1,0)</x:f>
        <x:v>1</x:v>
      </x:c>
      <x:c r="F2004" s="21" t="n">
        <x:v>1</x:v>
      </x:c>
      <x:c r="G2004" s="23" t="str">
        <x:f>IF(E2004=F2004,"PASS","FAIL")</x:f>
        <x:v>PASS</x:v>
      </x:c>
    </x:row>
    <x:row r="2005">
      <x:c r="B2005" s="21" t="str">
        <x:v>A01999</x:v>
      </x:c>
      <x:c r="C2005" s="21" t="str">
        <x:v>artifact</x:v>
      </x:c>
      <x:c r="D2005" s="21" t="str">
        <x:v>artifact 478 eligibility equation</x:v>
      </x:c>
      <x:c r="E2005" s="21" t="n">
        <x:f>IF(ABS('Artifact Ledger'!P484-IF(AND('Artifact Ledger'!L484=1,'Artifact Ledger'!M484=1,'Artifact Ledger'!N484=1,'Artifact Ledger'!O484&gt;='Artifact Ledger'!G484),'Artifact Ledger'!K484,0))&lt;0.000001,1,0)</x:f>
        <x:v>1</x:v>
      </x:c>
      <x:c r="F2005" s="21" t="n">
        <x:v>1</x:v>
      </x:c>
      <x:c r="G2005" s="23" t="str">
        <x:f>IF(E2005=F2005,"PASS","FAIL")</x:f>
        <x:v>PASS</x:v>
      </x:c>
    </x:row>
    <x:row r="2006">
      <x:c r="B2006" s="21" t="str">
        <x:v>A02000</x:v>
      </x:c>
      <x:c r="C2006" s="21" t="str">
        <x:v>artifact</x:v>
      </x:c>
      <x:c r="D2006" s="21" t="str">
        <x:v>artifact 478 planning state</x:v>
      </x:c>
      <x:c r="E2006" s="21" t="n">
        <x:f>IF(AND('Artifact Ledger'!Q484="OPEN",'Artifact Ledger'!R484="HOLD"),1,0)</x:f>
        <x:v>1</x:v>
      </x:c>
      <x:c r="F2006" s="21" t="n">
        <x:v>1</x:v>
      </x:c>
      <x:c r="G2006" s="23" t="str">
        <x:f>IF(E2006=F2006,"PASS","FAIL")</x:f>
        <x:v>PASS</x:v>
      </x:c>
    </x:row>
    <x:row r="2007">
      <x:c r="B2007" s="21" t="str">
        <x:v>A02001</x:v>
      </x:c>
      <x:c r="C2007" s="21" t="str">
        <x:v>artifact</x:v>
      </x:c>
      <x:c r="D2007" s="21" t="str">
        <x:v>artifact 479 eligibility equation</x:v>
      </x:c>
      <x:c r="E2007" s="21" t="n">
        <x:f>IF(ABS('Artifact Ledger'!P485-IF(AND('Artifact Ledger'!L485=1,'Artifact Ledger'!M485=1,'Artifact Ledger'!N485=1,'Artifact Ledger'!O485&gt;='Artifact Ledger'!G485),'Artifact Ledger'!K485,0))&lt;0.000001,1,0)</x:f>
        <x:v>1</x:v>
      </x:c>
      <x:c r="F2007" s="21" t="n">
        <x:v>1</x:v>
      </x:c>
      <x:c r="G2007" s="23" t="str">
        <x:f>IF(E2007=F2007,"PASS","FAIL")</x:f>
        <x:v>PASS</x:v>
      </x:c>
    </x:row>
    <x:row r="2008">
      <x:c r="B2008" s="21" t="str">
        <x:v>A02002</x:v>
      </x:c>
      <x:c r="C2008" s="21" t="str">
        <x:v>artifact</x:v>
      </x:c>
      <x:c r="D2008" s="21" t="str">
        <x:v>artifact 479 planning state</x:v>
      </x:c>
      <x:c r="E2008" s="21" t="n">
        <x:f>IF(AND('Artifact Ledger'!Q485="OPEN",'Artifact Ledger'!R485="HOLD"),1,0)</x:f>
        <x:v>1</x:v>
      </x:c>
      <x:c r="F2008" s="21" t="n">
        <x:v>1</x:v>
      </x:c>
      <x:c r="G2008" s="23" t="str">
        <x:f>IF(E2008=F2008,"PASS","FAIL")</x:f>
        <x:v>PASS</x:v>
      </x:c>
    </x:row>
    <x:row r="2009">
      <x:c r="B2009" s="21" t="str">
        <x:v>A02003</x:v>
      </x:c>
      <x:c r="C2009" s="21" t="str">
        <x:v>artifact</x:v>
      </x:c>
      <x:c r="D2009" s="21" t="str">
        <x:v>artifact 480 eligibility equation</x:v>
      </x:c>
      <x:c r="E2009" s="21" t="n">
        <x:f>IF(ABS('Artifact Ledger'!P486-IF(AND('Artifact Ledger'!L486=1,'Artifact Ledger'!M486=1,'Artifact Ledger'!N486=1,'Artifact Ledger'!O486&gt;='Artifact Ledger'!G486),'Artifact Ledger'!K486,0))&lt;0.000001,1,0)</x:f>
        <x:v>1</x:v>
      </x:c>
      <x:c r="F2009" s="21" t="n">
        <x:v>1</x:v>
      </x:c>
      <x:c r="G2009" s="23" t="str">
        <x:f>IF(E2009=F2009,"PASS","FAIL")</x:f>
        <x:v>PASS</x:v>
      </x:c>
    </x:row>
    <x:row r="2010">
      <x:c r="B2010" s="21" t="str">
        <x:v>A02004</x:v>
      </x:c>
      <x:c r="C2010" s="21" t="str">
        <x:v>artifact</x:v>
      </x:c>
      <x:c r="D2010" s="21" t="str">
        <x:v>artifact 480 planning state</x:v>
      </x:c>
      <x:c r="E2010" s="21" t="n">
        <x:f>IF(AND('Artifact Ledger'!Q486="OPEN",'Artifact Ledger'!R486="HOLD"),1,0)</x:f>
        <x:v>1</x:v>
      </x:c>
      <x:c r="F2010" s="21" t="n">
        <x:v>1</x:v>
      </x:c>
      <x:c r="G2010" s="23" t="str">
        <x:f>IF(E2010=F2010,"PASS","FAIL")</x:f>
        <x:v>PASS</x:v>
      </x:c>
    </x:row>
    <x:row r="2011">
      <x:c r="B2011" s="21" t="str">
        <x:v>A02005</x:v>
      </x:c>
      <x:c r="C2011" s="21" t="str">
        <x:v>artifact</x:v>
      </x:c>
      <x:c r="D2011" s="21" t="str">
        <x:v>artifact 481 eligibility equation</x:v>
      </x:c>
      <x:c r="E2011" s="21" t="n">
        <x:f>IF(ABS('Artifact Ledger'!P487-IF(AND('Artifact Ledger'!L487=1,'Artifact Ledger'!M487=1,'Artifact Ledger'!N487=1,'Artifact Ledger'!O487&gt;='Artifact Ledger'!G487),'Artifact Ledger'!K487,0))&lt;0.000001,1,0)</x:f>
        <x:v>1</x:v>
      </x:c>
      <x:c r="F2011" s="21" t="n">
        <x:v>1</x:v>
      </x:c>
      <x:c r="G2011" s="23" t="str">
        <x:f>IF(E2011=F2011,"PASS","FAIL")</x:f>
        <x:v>PASS</x:v>
      </x:c>
    </x:row>
    <x:row r="2012">
      <x:c r="B2012" s="21" t="str">
        <x:v>A02006</x:v>
      </x:c>
      <x:c r="C2012" s="21" t="str">
        <x:v>artifact</x:v>
      </x:c>
      <x:c r="D2012" s="21" t="str">
        <x:v>artifact 481 planning state</x:v>
      </x:c>
      <x:c r="E2012" s="21" t="n">
        <x:f>IF(AND('Artifact Ledger'!Q487="OPEN",'Artifact Ledger'!R487="HOLD"),1,0)</x:f>
        <x:v>1</x:v>
      </x:c>
      <x:c r="F2012" s="21" t="n">
        <x:v>1</x:v>
      </x:c>
      <x:c r="G2012" s="23" t="str">
        <x:f>IF(E2012=F2012,"PASS","FAIL")</x:f>
        <x:v>PASS</x:v>
      </x:c>
    </x:row>
    <x:row r="2013">
      <x:c r="B2013" s="21" t="str">
        <x:v>A02007</x:v>
      </x:c>
      <x:c r="C2013" s="21" t="str">
        <x:v>artifact</x:v>
      </x:c>
      <x:c r="D2013" s="21" t="str">
        <x:v>artifact 482 eligibility equation</x:v>
      </x:c>
      <x:c r="E2013" s="21" t="n">
        <x:f>IF(ABS('Artifact Ledger'!P488-IF(AND('Artifact Ledger'!L488=1,'Artifact Ledger'!M488=1,'Artifact Ledger'!N488=1,'Artifact Ledger'!O488&gt;='Artifact Ledger'!G488),'Artifact Ledger'!K488,0))&lt;0.000001,1,0)</x:f>
        <x:v>1</x:v>
      </x:c>
      <x:c r="F2013" s="21" t="n">
        <x:v>1</x:v>
      </x:c>
      <x:c r="G2013" s="23" t="str">
        <x:f>IF(E2013=F2013,"PASS","FAIL")</x:f>
        <x:v>PASS</x:v>
      </x:c>
    </x:row>
    <x:row r="2014">
      <x:c r="B2014" s="21" t="str">
        <x:v>A02008</x:v>
      </x:c>
      <x:c r="C2014" s="21" t="str">
        <x:v>artifact</x:v>
      </x:c>
      <x:c r="D2014" s="21" t="str">
        <x:v>artifact 482 planning state</x:v>
      </x:c>
      <x:c r="E2014" s="21" t="n">
        <x:f>IF(AND('Artifact Ledger'!Q488="OPEN",'Artifact Ledger'!R488="HOLD"),1,0)</x:f>
        <x:v>1</x:v>
      </x:c>
      <x:c r="F2014" s="21" t="n">
        <x:v>1</x:v>
      </x:c>
      <x:c r="G2014" s="23" t="str">
        <x:f>IF(E2014=F2014,"PASS","FAIL")</x:f>
        <x:v>PASS</x:v>
      </x:c>
    </x:row>
    <x:row r="2015">
      <x:c r="B2015" s="21" t="str">
        <x:v>A02009</x:v>
      </x:c>
      <x:c r="C2015" s="21" t="str">
        <x:v>artifact</x:v>
      </x:c>
      <x:c r="D2015" s="21" t="str">
        <x:v>artifact 483 eligibility equation</x:v>
      </x:c>
      <x:c r="E2015" s="21" t="n">
        <x:f>IF(ABS('Artifact Ledger'!P489-IF(AND('Artifact Ledger'!L489=1,'Artifact Ledger'!M489=1,'Artifact Ledger'!N489=1,'Artifact Ledger'!O489&gt;='Artifact Ledger'!G489),'Artifact Ledger'!K489,0))&lt;0.000001,1,0)</x:f>
        <x:v>1</x:v>
      </x:c>
      <x:c r="F2015" s="21" t="n">
        <x:v>1</x:v>
      </x:c>
      <x:c r="G2015" s="23" t="str">
        <x:f>IF(E2015=F2015,"PASS","FAIL")</x:f>
        <x:v>PASS</x:v>
      </x:c>
    </x:row>
    <x:row r="2016">
      <x:c r="B2016" s="21" t="str">
        <x:v>A02010</x:v>
      </x:c>
      <x:c r="C2016" s="21" t="str">
        <x:v>artifact</x:v>
      </x:c>
      <x:c r="D2016" s="21" t="str">
        <x:v>artifact 483 planning state</x:v>
      </x:c>
      <x:c r="E2016" s="21" t="n">
        <x:f>IF(AND('Artifact Ledger'!Q489="OPEN",'Artifact Ledger'!R489="HOLD"),1,0)</x:f>
        <x:v>1</x:v>
      </x:c>
      <x:c r="F2016" s="21" t="n">
        <x:v>1</x:v>
      </x:c>
      <x:c r="G2016" s="23" t="str">
        <x:f>IF(E2016=F2016,"PASS","FAIL")</x:f>
        <x:v>PASS</x:v>
      </x:c>
    </x:row>
    <x:row r="2017">
      <x:c r="B2017" s="21" t="str">
        <x:v>A02011</x:v>
      </x:c>
      <x:c r="C2017" s="21" t="str">
        <x:v>artifact</x:v>
      </x:c>
      <x:c r="D2017" s="21" t="str">
        <x:v>artifact 484 eligibility equation</x:v>
      </x:c>
      <x:c r="E2017" s="21" t="n">
        <x:f>IF(ABS('Artifact Ledger'!P490-IF(AND('Artifact Ledger'!L490=1,'Artifact Ledger'!M490=1,'Artifact Ledger'!N490=1,'Artifact Ledger'!O490&gt;='Artifact Ledger'!G490),'Artifact Ledger'!K490,0))&lt;0.000001,1,0)</x:f>
        <x:v>1</x:v>
      </x:c>
      <x:c r="F2017" s="21" t="n">
        <x:v>1</x:v>
      </x:c>
      <x:c r="G2017" s="23" t="str">
        <x:f>IF(E2017=F2017,"PASS","FAIL")</x:f>
        <x:v>PASS</x:v>
      </x:c>
    </x:row>
    <x:row r="2018">
      <x:c r="B2018" s="21" t="str">
        <x:v>A02012</x:v>
      </x:c>
      <x:c r="C2018" s="21" t="str">
        <x:v>artifact</x:v>
      </x:c>
      <x:c r="D2018" s="21" t="str">
        <x:v>artifact 484 planning state</x:v>
      </x:c>
      <x:c r="E2018" s="21" t="n">
        <x:f>IF(AND('Artifact Ledger'!Q490="OPEN",'Artifact Ledger'!R490="HOLD"),1,0)</x:f>
        <x:v>1</x:v>
      </x:c>
      <x:c r="F2018" s="21" t="n">
        <x:v>1</x:v>
      </x:c>
      <x:c r="G2018" s="23" t="str">
        <x:f>IF(E2018=F2018,"PASS","FAIL")</x:f>
        <x:v>PASS</x:v>
      </x:c>
    </x:row>
    <x:row r="2019">
      <x:c r="B2019" s="21" t="str">
        <x:v>A02013</x:v>
      </x:c>
      <x:c r="C2019" s="21" t="str">
        <x:v>artifact</x:v>
      </x:c>
      <x:c r="D2019" s="21" t="str">
        <x:v>artifact 485 eligibility equation</x:v>
      </x:c>
      <x:c r="E2019" s="21" t="n">
        <x:f>IF(ABS('Artifact Ledger'!P491-IF(AND('Artifact Ledger'!L491=1,'Artifact Ledger'!M491=1,'Artifact Ledger'!N491=1,'Artifact Ledger'!O491&gt;='Artifact Ledger'!G491),'Artifact Ledger'!K491,0))&lt;0.000001,1,0)</x:f>
        <x:v>1</x:v>
      </x:c>
      <x:c r="F2019" s="21" t="n">
        <x:v>1</x:v>
      </x:c>
      <x:c r="G2019" s="23" t="str">
        <x:f>IF(E2019=F2019,"PASS","FAIL")</x:f>
        <x:v>PASS</x:v>
      </x:c>
    </x:row>
    <x:row r="2020">
      <x:c r="B2020" s="21" t="str">
        <x:v>A02014</x:v>
      </x:c>
      <x:c r="C2020" s="21" t="str">
        <x:v>artifact</x:v>
      </x:c>
      <x:c r="D2020" s="21" t="str">
        <x:v>artifact 485 planning state</x:v>
      </x:c>
      <x:c r="E2020" s="21" t="n">
        <x:f>IF(AND('Artifact Ledger'!Q491="OPEN",'Artifact Ledger'!R491="HOLD"),1,0)</x:f>
        <x:v>1</x:v>
      </x:c>
      <x:c r="F2020" s="21" t="n">
        <x:v>1</x:v>
      </x:c>
      <x:c r="G2020" s="23" t="str">
        <x:f>IF(E2020=F2020,"PASS","FAIL")</x:f>
        <x:v>PASS</x:v>
      </x:c>
    </x:row>
    <x:row r="2021">
      <x:c r="B2021" s="21" t="str">
        <x:v>A02015</x:v>
      </x:c>
      <x:c r="C2021" s="21" t="str">
        <x:v>artifact</x:v>
      </x:c>
      <x:c r="D2021" s="21" t="str">
        <x:v>artifact 486 eligibility equation</x:v>
      </x:c>
      <x:c r="E2021" s="21" t="n">
        <x:f>IF(ABS('Artifact Ledger'!P492-IF(AND('Artifact Ledger'!L492=1,'Artifact Ledger'!M492=1,'Artifact Ledger'!N492=1,'Artifact Ledger'!O492&gt;='Artifact Ledger'!G492),'Artifact Ledger'!K492,0))&lt;0.000001,1,0)</x:f>
        <x:v>1</x:v>
      </x:c>
      <x:c r="F2021" s="21" t="n">
        <x:v>1</x:v>
      </x:c>
      <x:c r="G2021" s="23" t="str">
        <x:f>IF(E2021=F2021,"PASS","FAIL")</x:f>
        <x:v>PASS</x:v>
      </x:c>
    </x:row>
    <x:row r="2022">
      <x:c r="B2022" s="21" t="str">
        <x:v>A02016</x:v>
      </x:c>
      <x:c r="C2022" s="21" t="str">
        <x:v>artifact</x:v>
      </x:c>
      <x:c r="D2022" s="21" t="str">
        <x:v>artifact 486 planning state</x:v>
      </x:c>
      <x:c r="E2022" s="21" t="n">
        <x:f>IF(AND('Artifact Ledger'!Q492="OPEN",'Artifact Ledger'!R492="HOLD"),1,0)</x:f>
        <x:v>1</x:v>
      </x:c>
      <x:c r="F2022" s="21" t="n">
        <x:v>1</x:v>
      </x:c>
      <x:c r="G2022" s="23" t="str">
        <x:f>IF(E2022=F2022,"PASS","FAIL")</x:f>
        <x:v>PASS</x:v>
      </x:c>
    </x:row>
    <x:row r="2023">
      <x:c r="B2023" s="21" t="str">
        <x:v>A02017</x:v>
      </x:c>
      <x:c r="C2023" s="21" t="str">
        <x:v>artifact</x:v>
      </x:c>
      <x:c r="D2023" s="21" t="str">
        <x:v>artifact 487 eligibility equation</x:v>
      </x:c>
      <x:c r="E2023" s="21" t="n">
        <x:f>IF(ABS('Artifact Ledger'!P493-IF(AND('Artifact Ledger'!L493=1,'Artifact Ledger'!M493=1,'Artifact Ledger'!N493=1,'Artifact Ledger'!O493&gt;='Artifact Ledger'!G493),'Artifact Ledger'!K493,0))&lt;0.000001,1,0)</x:f>
        <x:v>1</x:v>
      </x:c>
      <x:c r="F2023" s="21" t="n">
        <x:v>1</x:v>
      </x:c>
      <x:c r="G2023" s="23" t="str">
        <x:f>IF(E2023=F2023,"PASS","FAIL")</x:f>
        <x:v>PASS</x:v>
      </x:c>
    </x:row>
    <x:row r="2024">
      <x:c r="B2024" s="21" t="str">
        <x:v>A02018</x:v>
      </x:c>
      <x:c r="C2024" s="21" t="str">
        <x:v>artifact</x:v>
      </x:c>
      <x:c r="D2024" s="21" t="str">
        <x:v>artifact 487 planning state</x:v>
      </x:c>
      <x:c r="E2024" s="21" t="n">
        <x:f>IF(AND('Artifact Ledger'!Q493="OPEN",'Artifact Ledger'!R493="HOLD"),1,0)</x:f>
        <x:v>1</x:v>
      </x:c>
      <x:c r="F2024" s="21" t="n">
        <x:v>1</x:v>
      </x:c>
      <x:c r="G2024" s="23" t="str">
        <x:f>IF(E2024=F2024,"PASS","FAIL")</x:f>
        <x:v>PASS</x:v>
      </x:c>
    </x:row>
    <x:row r="2025">
      <x:c r="B2025" s="21" t="str">
        <x:v>A02019</x:v>
      </x:c>
      <x:c r="C2025" s="21" t="str">
        <x:v>artifact</x:v>
      </x:c>
      <x:c r="D2025" s="21" t="str">
        <x:v>artifact 488 eligibility equation</x:v>
      </x:c>
      <x:c r="E2025" s="21" t="n">
        <x:f>IF(ABS('Artifact Ledger'!P494-IF(AND('Artifact Ledger'!L494=1,'Artifact Ledger'!M494=1,'Artifact Ledger'!N494=1,'Artifact Ledger'!O494&gt;='Artifact Ledger'!G494),'Artifact Ledger'!K494,0))&lt;0.000001,1,0)</x:f>
        <x:v>1</x:v>
      </x:c>
      <x:c r="F2025" s="21" t="n">
        <x:v>1</x:v>
      </x:c>
      <x:c r="G2025" s="23" t="str">
        <x:f>IF(E2025=F2025,"PASS","FAIL")</x:f>
        <x:v>PASS</x:v>
      </x:c>
    </x:row>
    <x:row r="2026">
      <x:c r="B2026" s="21" t="str">
        <x:v>A02020</x:v>
      </x:c>
      <x:c r="C2026" s="21" t="str">
        <x:v>artifact</x:v>
      </x:c>
      <x:c r="D2026" s="21" t="str">
        <x:v>artifact 488 planning state</x:v>
      </x:c>
      <x:c r="E2026" s="21" t="n">
        <x:f>IF(AND('Artifact Ledger'!Q494="OPEN",'Artifact Ledger'!R494="HOLD"),1,0)</x:f>
        <x:v>1</x:v>
      </x:c>
      <x:c r="F2026" s="21" t="n">
        <x:v>1</x:v>
      </x:c>
      <x:c r="G2026" s="23" t="str">
        <x:f>IF(E2026=F2026,"PASS","FAIL")</x:f>
        <x:v>PASS</x:v>
      </x:c>
    </x:row>
    <x:row r="2027">
      <x:c r="B2027" s="21" t="str">
        <x:v>A02021</x:v>
      </x:c>
      <x:c r="C2027" s="21" t="str">
        <x:v>artifact</x:v>
      </x:c>
      <x:c r="D2027" s="21" t="str">
        <x:v>artifact 489 eligibility equation</x:v>
      </x:c>
      <x:c r="E2027" s="21" t="n">
        <x:f>IF(ABS('Artifact Ledger'!P495-IF(AND('Artifact Ledger'!L495=1,'Artifact Ledger'!M495=1,'Artifact Ledger'!N495=1,'Artifact Ledger'!O495&gt;='Artifact Ledger'!G495),'Artifact Ledger'!K495,0))&lt;0.000001,1,0)</x:f>
        <x:v>1</x:v>
      </x:c>
      <x:c r="F2027" s="21" t="n">
        <x:v>1</x:v>
      </x:c>
      <x:c r="G2027" s="23" t="str">
        <x:f>IF(E2027=F2027,"PASS","FAIL")</x:f>
        <x:v>PASS</x:v>
      </x:c>
    </x:row>
    <x:row r="2028">
      <x:c r="B2028" s="21" t="str">
        <x:v>A02022</x:v>
      </x:c>
      <x:c r="C2028" s="21" t="str">
        <x:v>artifact</x:v>
      </x:c>
      <x:c r="D2028" s="21" t="str">
        <x:v>artifact 489 planning state</x:v>
      </x:c>
      <x:c r="E2028" s="21" t="n">
        <x:f>IF(AND('Artifact Ledger'!Q495="OPEN",'Artifact Ledger'!R495="HOLD"),1,0)</x:f>
        <x:v>1</x:v>
      </x:c>
      <x:c r="F2028" s="21" t="n">
        <x:v>1</x:v>
      </x:c>
      <x:c r="G2028" s="23" t="str">
        <x:f>IF(E2028=F2028,"PASS","FAIL")</x:f>
        <x:v>PASS</x:v>
      </x:c>
    </x:row>
    <x:row r="2029">
      <x:c r="B2029" s="21" t="str">
        <x:v>A02023</x:v>
      </x:c>
      <x:c r="C2029" s="21" t="str">
        <x:v>artifact</x:v>
      </x:c>
      <x:c r="D2029" s="21" t="str">
        <x:v>artifact 490 eligibility equation</x:v>
      </x:c>
      <x:c r="E2029" s="21" t="n">
        <x:f>IF(ABS('Artifact Ledger'!P496-IF(AND('Artifact Ledger'!L496=1,'Artifact Ledger'!M496=1,'Artifact Ledger'!N496=1,'Artifact Ledger'!O496&gt;='Artifact Ledger'!G496),'Artifact Ledger'!K496,0))&lt;0.000001,1,0)</x:f>
        <x:v>1</x:v>
      </x:c>
      <x:c r="F2029" s="21" t="n">
        <x:v>1</x:v>
      </x:c>
      <x:c r="G2029" s="23" t="str">
        <x:f>IF(E2029=F2029,"PASS","FAIL")</x:f>
        <x:v>PASS</x:v>
      </x:c>
    </x:row>
    <x:row r="2030">
      <x:c r="B2030" s="21" t="str">
        <x:v>A02024</x:v>
      </x:c>
      <x:c r="C2030" s="21" t="str">
        <x:v>artifact</x:v>
      </x:c>
      <x:c r="D2030" s="21" t="str">
        <x:v>artifact 490 planning state</x:v>
      </x:c>
      <x:c r="E2030" s="21" t="n">
        <x:f>IF(AND('Artifact Ledger'!Q496="OPEN",'Artifact Ledger'!R496="HOLD"),1,0)</x:f>
        <x:v>1</x:v>
      </x:c>
      <x:c r="F2030" s="21" t="n">
        <x:v>1</x:v>
      </x:c>
      <x:c r="G2030" s="23" t="str">
        <x:f>IF(E2030=F2030,"PASS","FAIL")</x:f>
        <x:v>PASS</x:v>
      </x:c>
    </x:row>
    <x:row r="2031">
      <x:c r="B2031" s="21" t="str">
        <x:v>A02025</x:v>
      </x:c>
      <x:c r="C2031" s="21" t="str">
        <x:v>artifact</x:v>
      </x:c>
      <x:c r="D2031" s="21" t="str">
        <x:v>artifact 491 eligibility equation</x:v>
      </x:c>
      <x:c r="E2031" s="21" t="n">
        <x:f>IF(ABS('Artifact Ledger'!P497-IF(AND('Artifact Ledger'!L497=1,'Artifact Ledger'!M497=1,'Artifact Ledger'!N497=1,'Artifact Ledger'!O497&gt;='Artifact Ledger'!G497),'Artifact Ledger'!K497,0))&lt;0.000001,1,0)</x:f>
        <x:v>1</x:v>
      </x:c>
      <x:c r="F2031" s="21" t="n">
        <x:v>1</x:v>
      </x:c>
      <x:c r="G2031" s="23" t="str">
        <x:f>IF(E2031=F2031,"PASS","FAIL")</x:f>
        <x:v>PASS</x:v>
      </x:c>
    </x:row>
    <x:row r="2032">
      <x:c r="B2032" s="21" t="str">
        <x:v>A02026</x:v>
      </x:c>
      <x:c r="C2032" s="21" t="str">
        <x:v>artifact</x:v>
      </x:c>
      <x:c r="D2032" s="21" t="str">
        <x:v>artifact 491 planning state</x:v>
      </x:c>
      <x:c r="E2032" s="21" t="n">
        <x:f>IF(AND('Artifact Ledger'!Q497="OPEN",'Artifact Ledger'!R497="HOLD"),1,0)</x:f>
        <x:v>1</x:v>
      </x:c>
      <x:c r="F2032" s="21" t="n">
        <x:v>1</x:v>
      </x:c>
      <x:c r="G2032" s="23" t="str">
        <x:f>IF(E2032=F2032,"PASS","FAIL")</x:f>
        <x:v>PASS</x:v>
      </x:c>
    </x:row>
    <x:row r="2033">
      <x:c r="B2033" s="21" t="str">
        <x:v>A02027</x:v>
      </x:c>
      <x:c r="C2033" s="21" t="str">
        <x:v>artifact</x:v>
      </x:c>
      <x:c r="D2033" s="21" t="str">
        <x:v>artifact 492 eligibility equation</x:v>
      </x:c>
      <x:c r="E2033" s="21" t="n">
        <x:f>IF(ABS('Artifact Ledger'!P498-IF(AND('Artifact Ledger'!L498=1,'Artifact Ledger'!M498=1,'Artifact Ledger'!N498=1,'Artifact Ledger'!O498&gt;='Artifact Ledger'!G498),'Artifact Ledger'!K498,0))&lt;0.000001,1,0)</x:f>
        <x:v>1</x:v>
      </x:c>
      <x:c r="F2033" s="21" t="n">
        <x:v>1</x:v>
      </x:c>
      <x:c r="G2033" s="23" t="str">
        <x:f>IF(E2033=F2033,"PASS","FAIL")</x:f>
        <x:v>PASS</x:v>
      </x:c>
    </x:row>
    <x:row r="2034">
      <x:c r="B2034" s="21" t="str">
        <x:v>A02028</x:v>
      </x:c>
      <x:c r="C2034" s="21" t="str">
        <x:v>artifact</x:v>
      </x:c>
      <x:c r="D2034" s="21" t="str">
        <x:v>artifact 492 planning state</x:v>
      </x:c>
      <x:c r="E2034" s="21" t="n">
        <x:f>IF(AND('Artifact Ledger'!Q498="OPEN",'Artifact Ledger'!R498="HOLD"),1,0)</x:f>
        <x:v>1</x:v>
      </x:c>
      <x:c r="F2034" s="21" t="n">
        <x:v>1</x:v>
      </x:c>
      <x:c r="G2034" s="23" t="str">
        <x:f>IF(E2034=F2034,"PASS","FAIL")</x:f>
        <x:v>PASS</x:v>
      </x:c>
    </x:row>
    <x:row r="2035">
      <x:c r="B2035" s="21" t="str">
        <x:v>A02029</x:v>
      </x:c>
      <x:c r="C2035" s="21" t="str">
        <x:v>artifact</x:v>
      </x:c>
      <x:c r="D2035" s="21" t="str">
        <x:v>artifact 493 eligibility equation</x:v>
      </x:c>
      <x:c r="E2035" s="21" t="n">
        <x:f>IF(ABS('Artifact Ledger'!P499-IF(AND('Artifact Ledger'!L499=1,'Artifact Ledger'!M499=1,'Artifact Ledger'!N499=1,'Artifact Ledger'!O499&gt;='Artifact Ledger'!G499),'Artifact Ledger'!K499,0))&lt;0.000001,1,0)</x:f>
        <x:v>1</x:v>
      </x:c>
      <x:c r="F2035" s="21" t="n">
        <x:v>1</x:v>
      </x:c>
      <x:c r="G2035" s="23" t="str">
        <x:f>IF(E2035=F2035,"PASS","FAIL")</x:f>
        <x:v>PASS</x:v>
      </x:c>
    </x:row>
    <x:row r="2036">
      <x:c r="B2036" s="21" t="str">
        <x:v>A02030</x:v>
      </x:c>
      <x:c r="C2036" s="21" t="str">
        <x:v>artifact</x:v>
      </x:c>
      <x:c r="D2036" s="21" t="str">
        <x:v>artifact 493 planning state</x:v>
      </x:c>
      <x:c r="E2036" s="21" t="n">
        <x:f>IF(AND('Artifact Ledger'!Q499="OPEN",'Artifact Ledger'!R499="HOLD"),1,0)</x:f>
        <x:v>1</x:v>
      </x:c>
      <x:c r="F2036" s="21" t="n">
        <x:v>1</x:v>
      </x:c>
      <x:c r="G2036" s="23" t="str">
        <x:f>IF(E2036=F2036,"PASS","FAIL")</x:f>
        <x:v>PASS</x:v>
      </x:c>
    </x:row>
    <x:row r="2037">
      <x:c r="B2037" s="21" t="str">
        <x:v>A02031</x:v>
      </x:c>
      <x:c r="C2037" s="21" t="str">
        <x:v>artifact</x:v>
      </x:c>
      <x:c r="D2037" s="21" t="str">
        <x:v>artifact 494 eligibility equation</x:v>
      </x:c>
      <x:c r="E2037" s="21" t="n">
        <x:f>IF(ABS('Artifact Ledger'!P500-IF(AND('Artifact Ledger'!L500=1,'Artifact Ledger'!M500=1,'Artifact Ledger'!N500=1,'Artifact Ledger'!O500&gt;='Artifact Ledger'!G500),'Artifact Ledger'!K500,0))&lt;0.000001,1,0)</x:f>
        <x:v>1</x:v>
      </x:c>
      <x:c r="F2037" s="21" t="n">
        <x:v>1</x:v>
      </x:c>
      <x:c r="G2037" s="23" t="str">
        <x:f>IF(E2037=F2037,"PASS","FAIL")</x:f>
        <x:v>PASS</x:v>
      </x:c>
    </x:row>
    <x:row r="2038">
      <x:c r="B2038" s="21" t="str">
        <x:v>A02032</x:v>
      </x:c>
      <x:c r="C2038" s="21" t="str">
        <x:v>artifact</x:v>
      </x:c>
      <x:c r="D2038" s="21" t="str">
        <x:v>artifact 494 planning state</x:v>
      </x:c>
      <x:c r="E2038" s="21" t="n">
        <x:f>IF(AND('Artifact Ledger'!Q500="OPEN",'Artifact Ledger'!R500="HOLD"),1,0)</x:f>
        <x:v>1</x:v>
      </x:c>
      <x:c r="F2038" s="21" t="n">
        <x:v>1</x:v>
      </x:c>
      <x:c r="G2038" s="23" t="str">
        <x:f>IF(E2038=F2038,"PASS","FAIL")</x:f>
        <x:v>PASS</x:v>
      </x:c>
    </x:row>
    <x:row r="2039">
      <x:c r="B2039" s="21" t="str">
        <x:v>A02033</x:v>
      </x:c>
      <x:c r="C2039" s="21" t="str">
        <x:v>artifact</x:v>
      </x:c>
      <x:c r="D2039" s="21" t="str">
        <x:v>artifact 495 eligibility equation</x:v>
      </x:c>
      <x:c r="E2039" s="21" t="n">
        <x:f>IF(ABS('Artifact Ledger'!P501-IF(AND('Artifact Ledger'!L501=1,'Artifact Ledger'!M501=1,'Artifact Ledger'!N501=1,'Artifact Ledger'!O501&gt;='Artifact Ledger'!G501),'Artifact Ledger'!K501,0))&lt;0.000001,1,0)</x:f>
        <x:v>1</x:v>
      </x:c>
      <x:c r="F2039" s="21" t="n">
        <x:v>1</x:v>
      </x:c>
      <x:c r="G2039" s="23" t="str">
        <x:f>IF(E2039=F2039,"PASS","FAIL")</x:f>
        <x:v>PASS</x:v>
      </x:c>
    </x:row>
    <x:row r="2040">
      <x:c r="B2040" s="21" t="str">
        <x:v>A02034</x:v>
      </x:c>
      <x:c r="C2040" s="21" t="str">
        <x:v>artifact</x:v>
      </x:c>
      <x:c r="D2040" s="21" t="str">
        <x:v>artifact 495 planning state</x:v>
      </x:c>
      <x:c r="E2040" s="21" t="n">
        <x:f>IF(AND('Artifact Ledger'!Q501="OPEN",'Artifact Ledger'!R501="HOLD"),1,0)</x:f>
        <x:v>1</x:v>
      </x:c>
      <x:c r="F2040" s="21" t="n">
        <x:v>1</x:v>
      </x:c>
      <x:c r="G2040" s="23" t="str">
        <x:f>IF(E2040=F2040,"PASS","FAIL")</x:f>
        <x:v>PASS</x:v>
      </x:c>
    </x:row>
    <x:row r="2041">
      <x:c r="B2041" s="21" t="str">
        <x:v>A02035</x:v>
      </x:c>
      <x:c r="C2041" s="21" t="str">
        <x:v>artifact</x:v>
      </x:c>
      <x:c r="D2041" s="21" t="str">
        <x:v>artifact 496 eligibility equation</x:v>
      </x:c>
      <x:c r="E2041" s="21" t="n">
        <x:f>IF(ABS('Artifact Ledger'!P502-IF(AND('Artifact Ledger'!L502=1,'Artifact Ledger'!M502=1,'Artifact Ledger'!N502=1,'Artifact Ledger'!O502&gt;='Artifact Ledger'!G502),'Artifact Ledger'!K502,0))&lt;0.000001,1,0)</x:f>
        <x:v>1</x:v>
      </x:c>
      <x:c r="F2041" s="21" t="n">
        <x:v>1</x:v>
      </x:c>
      <x:c r="G2041" s="23" t="str">
        <x:f>IF(E2041=F2041,"PASS","FAIL")</x:f>
        <x:v>PASS</x:v>
      </x:c>
    </x:row>
    <x:row r="2042">
      <x:c r="B2042" s="21" t="str">
        <x:v>A02036</x:v>
      </x:c>
      <x:c r="C2042" s="21" t="str">
        <x:v>artifact</x:v>
      </x:c>
      <x:c r="D2042" s="21" t="str">
        <x:v>artifact 496 planning state</x:v>
      </x:c>
      <x:c r="E2042" s="21" t="n">
        <x:f>IF(AND('Artifact Ledger'!Q502="OPEN",'Artifact Ledger'!R502="HOLD"),1,0)</x:f>
        <x:v>1</x:v>
      </x:c>
      <x:c r="F2042" s="21" t="n">
        <x:v>1</x:v>
      </x:c>
      <x:c r="G2042" s="23" t="str">
        <x:f>IF(E2042=F2042,"PASS","FAIL")</x:f>
        <x:v>PASS</x:v>
      </x:c>
    </x:row>
    <x:row r="2043">
      <x:c r="B2043" s="21" t="str">
        <x:v>A02037</x:v>
      </x:c>
      <x:c r="C2043" s="21" t="str">
        <x:v>artifact</x:v>
      </x:c>
      <x:c r="D2043" s="21" t="str">
        <x:v>artifact 497 eligibility equation</x:v>
      </x:c>
      <x:c r="E2043" s="21" t="n">
        <x:f>IF(ABS('Artifact Ledger'!P503-IF(AND('Artifact Ledger'!L503=1,'Artifact Ledger'!M503=1,'Artifact Ledger'!N503=1,'Artifact Ledger'!O503&gt;='Artifact Ledger'!G503),'Artifact Ledger'!K503,0))&lt;0.000001,1,0)</x:f>
        <x:v>1</x:v>
      </x:c>
      <x:c r="F2043" s="21" t="n">
        <x:v>1</x:v>
      </x:c>
      <x:c r="G2043" s="23" t="str">
        <x:f>IF(E2043=F2043,"PASS","FAIL")</x:f>
        <x:v>PASS</x:v>
      </x:c>
    </x:row>
    <x:row r="2044">
      <x:c r="B2044" s="21" t="str">
        <x:v>A02038</x:v>
      </x:c>
      <x:c r="C2044" s="21" t="str">
        <x:v>artifact</x:v>
      </x:c>
      <x:c r="D2044" s="21" t="str">
        <x:v>artifact 497 planning state</x:v>
      </x:c>
      <x:c r="E2044" s="21" t="n">
        <x:f>IF(AND('Artifact Ledger'!Q503="OPEN",'Artifact Ledger'!R503="HOLD"),1,0)</x:f>
        <x:v>1</x:v>
      </x:c>
      <x:c r="F2044" s="21" t="n">
        <x:v>1</x:v>
      </x:c>
      <x:c r="G2044" s="23" t="str">
        <x:f>IF(E2044=F2044,"PASS","FAIL")</x:f>
        <x:v>PASS</x:v>
      </x:c>
    </x:row>
    <x:row r="2045">
      <x:c r="B2045" s="21" t="str">
        <x:v>A02039</x:v>
      </x:c>
      <x:c r="C2045" s="21" t="str">
        <x:v>artifact</x:v>
      </x:c>
      <x:c r="D2045" s="21" t="str">
        <x:v>artifact 498 eligibility equation</x:v>
      </x:c>
      <x:c r="E2045" s="21" t="n">
        <x:f>IF(ABS('Artifact Ledger'!P504-IF(AND('Artifact Ledger'!L504=1,'Artifact Ledger'!M504=1,'Artifact Ledger'!N504=1,'Artifact Ledger'!O504&gt;='Artifact Ledger'!G504),'Artifact Ledger'!K504,0))&lt;0.000001,1,0)</x:f>
        <x:v>1</x:v>
      </x:c>
      <x:c r="F2045" s="21" t="n">
        <x:v>1</x:v>
      </x:c>
      <x:c r="G2045" s="23" t="str">
        <x:f>IF(E2045=F2045,"PASS","FAIL")</x:f>
        <x:v>PASS</x:v>
      </x:c>
    </x:row>
    <x:row r="2046">
      <x:c r="B2046" s="21" t="str">
        <x:v>A02040</x:v>
      </x:c>
      <x:c r="C2046" s="21" t="str">
        <x:v>artifact</x:v>
      </x:c>
      <x:c r="D2046" s="21" t="str">
        <x:v>artifact 498 planning state</x:v>
      </x:c>
      <x:c r="E2046" s="21" t="n">
        <x:f>IF(AND('Artifact Ledger'!Q504="OPEN",'Artifact Ledger'!R504="HOLD"),1,0)</x:f>
        <x:v>1</x:v>
      </x:c>
      <x:c r="F2046" s="21" t="n">
        <x:v>1</x:v>
      </x:c>
      <x:c r="G2046" s="23" t="str">
        <x:f>IF(E2046=F2046,"PASS","FAIL")</x:f>
        <x:v>PASS</x:v>
      </x:c>
    </x:row>
    <x:row r="2047">
      <x:c r="B2047" s="21" t="str">
        <x:v>A02041</x:v>
      </x:c>
      <x:c r="C2047" s="21" t="str">
        <x:v>artifact</x:v>
      </x:c>
      <x:c r="D2047" s="21" t="str">
        <x:v>artifact 499 eligibility equation</x:v>
      </x:c>
      <x:c r="E2047" s="21" t="n">
        <x:f>IF(ABS('Artifact Ledger'!P505-IF(AND('Artifact Ledger'!L505=1,'Artifact Ledger'!M505=1,'Artifact Ledger'!N505=1,'Artifact Ledger'!O505&gt;='Artifact Ledger'!G505),'Artifact Ledger'!K505,0))&lt;0.000001,1,0)</x:f>
        <x:v>1</x:v>
      </x:c>
      <x:c r="F2047" s="21" t="n">
        <x:v>1</x:v>
      </x:c>
      <x:c r="G2047" s="23" t="str">
        <x:f>IF(E2047=F2047,"PASS","FAIL")</x:f>
        <x:v>PASS</x:v>
      </x:c>
    </x:row>
    <x:row r="2048">
      <x:c r="B2048" s="21" t="str">
        <x:v>A02042</x:v>
      </x:c>
      <x:c r="C2048" s="21" t="str">
        <x:v>artifact</x:v>
      </x:c>
      <x:c r="D2048" s="21" t="str">
        <x:v>artifact 499 planning state</x:v>
      </x:c>
      <x:c r="E2048" s="21" t="n">
        <x:f>IF(AND('Artifact Ledger'!Q505="OPEN",'Artifact Ledger'!R505="HOLD"),1,0)</x:f>
        <x:v>1</x:v>
      </x:c>
      <x:c r="F2048" s="21" t="n">
        <x:v>1</x:v>
      </x:c>
      <x:c r="G2048" s="23" t="str">
        <x:f>IF(E2048=F2048,"PASS","FAIL")</x:f>
        <x:v>PASS</x:v>
      </x:c>
    </x:row>
    <x:row r="2049">
      <x:c r="B2049" s="21" t="str">
        <x:v>A02043</x:v>
      </x:c>
      <x:c r="C2049" s="21" t="str">
        <x:v>artifact</x:v>
      </x:c>
      <x:c r="D2049" s="21" t="str">
        <x:v>artifact 500 eligibility equation</x:v>
      </x:c>
      <x:c r="E2049" s="21" t="n">
        <x:f>IF(ABS('Artifact Ledger'!P506-IF(AND('Artifact Ledger'!L506=1,'Artifact Ledger'!M506=1,'Artifact Ledger'!N506=1,'Artifact Ledger'!O506&gt;='Artifact Ledger'!G506),'Artifact Ledger'!K506,0))&lt;0.000001,1,0)</x:f>
        <x:v>1</x:v>
      </x:c>
      <x:c r="F2049" s="21" t="n">
        <x:v>1</x:v>
      </x:c>
      <x:c r="G2049" s="23" t="str">
        <x:f>IF(E2049=F2049,"PASS","FAIL")</x:f>
        <x:v>PASS</x:v>
      </x:c>
    </x:row>
    <x:row r="2050">
      <x:c r="B2050" s="21" t="str">
        <x:v>A02044</x:v>
      </x:c>
      <x:c r="C2050" s="21" t="str">
        <x:v>artifact</x:v>
      </x:c>
      <x:c r="D2050" s="21" t="str">
        <x:v>artifact 500 planning state</x:v>
      </x:c>
      <x:c r="E2050" s="21" t="n">
        <x:f>IF(AND('Artifact Ledger'!Q506="OPEN",'Artifact Ledger'!R506="HOLD"),1,0)</x:f>
        <x:v>1</x:v>
      </x:c>
      <x:c r="F2050" s="21" t="n">
        <x:v>1</x:v>
      </x:c>
      <x:c r="G2050" s="23" t="str">
        <x:f>IF(E2050=F2050,"PASS","FAIL")</x:f>
        <x:v>PASS</x:v>
      </x:c>
    </x:row>
    <x:row r="2051">
      <x:c r="B2051" s="21" t="str">
        <x:v>A02045</x:v>
      </x:c>
      <x:c r="C2051" s="21" t="str">
        <x:v>artifact</x:v>
      </x:c>
      <x:c r="D2051" s="21" t="str">
        <x:v>artifact 501 eligibility equation</x:v>
      </x:c>
      <x:c r="E2051" s="21" t="n">
        <x:f>IF(ABS('Artifact Ledger'!P507-IF(AND('Artifact Ledger'!L507=1,'Artifact Ledger'!M507=1,'Artifact Ledger'!N507=1,'Artifact Ledger'!O507&gt;='Artifact Ledger'!G507),'Artifact Ledger'!K507,0))&lt;0.000001,1,0)</x:f>
        <x:v>1</x:v>
      </x:c>
      <x:c r="F2051" s="21" t="n">
        <x:v>1</x:v>
      </x:c>
      <x:c r="G2051" s="23" t="str">
        <x:f>IF(E2051=F2051,"PASS","FAIL")</x:f>
        <x:v>PASS</x:v>
      </x:c>
    </x:row>
    <x:row r="2052">
      <x:c r="B2052" s="21" t="str">
        <x:v>A02046</x:v>
      </x:c>
      <x:c r="C2052" s="21" t="str">
        <x:v>artifact</x:v>
      </x:c>
      <x:c r="D2052" s="21" t="str">
        <x:v>artifact 501 planning state</x:v>
      </x:c>
      <x:c r="E2052" s="21" t="n">
        <x:f>IF(AND('Artifact Ledger'!Q507="OPEN",'Artifact Ledger'!R507="HOLD"),1,0)</x:f>
        <x:v>1</x:v>
      </x:c>
      <x:c r="F2052" s="21" t="n">
        <x:v>1</x:v>
      </x:c>
      <x:c r="G2052" s="23" t="str">
        <x:f>IF(E2052=F2052,"PASS","FAIL")</x:f>
        <x:v>PASS</x:v>
      </x:c>
    </x:row>
    <x:row r="2053">
      <x:c r="B2053" s="21" t="str">
        <x:v>A02047</x:v>
      </x:c>
      <x:c r="C2053" s="21" t="str">
        <x:v>artifact</x:v>
      </x:c>
      <x:c r="D2053" s="21" t="str">
        <x:v>artifact 502 eligibility equation</x:v>
      </x:c>
      <x:c r="E2053" s="21" t="n">
        <x:f>IF(ABS('Artifact Ledger'!P508-IF(AND('Artifact Ledger'!L508=1,'Artifact Ledger'!M508=1,'Artifact Ledger'!N508=1,'Artifact Ledger'!O508&gt;='Artifact Ledger'!G508),'Artifact Ledger'!K508,0))&lt;0.000001,1,0)</x:f>
        <x:v>1</x:v>
      </x:c>
      <x:c r="F2053" s="21" t="n">
        <x:v>1</x:v>
      </x:c>
      <x:c r="G2053" s="23" t="str">
        <x:f>IF(E2053=F2053,"PASS","FAIL")</x:f>
        <x:v>PASS</x:v>
      </x:c>
    </x:row>
    <x:row r="2054">
      <x:c r="B2054" s="21" t="str">
        <x:v>A02048</x:v>
      </x:c>
      <x:c r="C2054" s="21" t="str">
        <x:v>artifact</x:v>
      </x:c>
      <x:c r="D2054" s="21" t="str">
        <x:v>artifact 502 planning state</x:v>
      </x:c>
      <x:c r="E2054" s="21" t="n">
        <x:f>IF(AND('Artifact Ledger'!Q508="OPEN",'Artifact Ledger'!R508="HOLD"),1,0)</x:f>
        <x:v>1</x:v>
      </x:c>
      <x:c r="F2054" s="21" t="n">
        <x:v>1</x:v>
      </x:c>
      <x:c r="G2054" s="23" t="str">
        <x:f>IF(E2054=F2054,"PASS","FAIL")</x:f>
        <x:v>PASS</x:v>
      </x:c>
    </x:row>
    <x:row r="2055">
      <x:c r="B2055" s="21" t="str">
        <x:v>A02049</x:v>
      </x:c>
      <x:c r="C2055" s="21" t="str">
        <x:v>artifact</x:v>
      </x:c>
      <x:c r="D2055" s="21" t="str">
        <x:v>artifact 503 eligibility equation</x:v>
      </x:c>
      <x:c r="E2055" s="21" t="n">
        <x:f>IF(ABS('Artifact Ledger'!P509-IF(AND('Artifact Ledger'!L509=1,'Artifact Ledger'!M509=1,'Artifact Ledger'!N509=1,'Artifact Ledger'!O509&gt;='Artifact Ledger'!G509),'Artifact Ledger'!K509,0))&lt;0.000001,1,0)</x:f>
        <x:v>1</x:v>
      </x:c>
      <x:c r="F2055" s="21" t="n">
        <x:v>1</x:v>
      </x:c>
      <x:c r="G2055" s="23" t="str">
        <x:f>IF(E2055=F2055,"PASS","FAIL")</x:f>
        <x:v>PASS</x:v>
      </x:c>
    </x:row>
    <x:row r="2056">
      <x:c r="B2056" s="21" t="str">
        <x:v>A02050</x:v>
      </x:c>
      <x:c r="C2056" s="21" t="str">
        <x:v>artifact</x:v>
      </x:c>
      <x:c r="D2056" s="21" t="str">
        <x:v>artifact 503 planning state</x:v>
      </x:c>
      <x:c r="E2056" s="21" t="n">
        <x:f>IF(AND('Artifact Ledger'!Q509="OPEN",'Artifact Ledger'!R509="HOLD"),1,0)</x:f>
        <x:v>1</x:v>
      </x:c>
      <x:c r="F2056" s="21" t="n">
        <x:v>1</x:v>
      </x:c>
      <x:c r="G2056" s="23" t="str">
        <x:f>IF(E2056=F2056,"PASS","FAIL")</x:f>
        <x:v>PASS</x:v>
      </x:c>
    </x:row>
    <x:row r="2057">
      <x:c r="B2057" s="21" t="str">
        <x:v>A02051</x:v>
      </x:c>
      <x:c r="C2057" s="21" t="str">
        <x:v>artifact</x:v>
      </x:c>
      <x:c r="D2057" s="21" t="str">
        <x:v>artifact 504 eligibility equation</x:v>
      </x:c>
      <x:c r="E2057" s="21" t="n">
        <x:f>IF(ABS('Artifact Ledger'!P510-IF(AND('Artifact Ledger'!L510=1,'Artifact Ledger'!M510=1,'Artifact Ledger'!N510=1,'Artifact Ledger'!O510&gt;='Artifact Ledger'!G510),'Artifact Ledger'!K510,0))&lt;0.000001,1,0)</x:f>
        <x:v>1</x:v>
      </x:c>
      <x:c r="F2057" s="21" t="n">
        <x:v>1</x:v>
      </x:c>
      <x:c r="G2057" s="23" t="str">
        <x:f>IF(E2057=F2057,"PASS","FAIL")</x:f>
        <x:v>PASS</x:v>
      </x:c>
    </x:row>
    <x:row r="2058">
      <x:c r="B2058" s="21" t="str">
        <x:v>A02052</x:v>
      </x:c>
      <x:c r="C2058" s="21" t="str">
        <x:v>artifact</x:v>
      </x:c>
      <x:c r="D2058" s="21" t="str">
        <x:v>artifact 504 planning state</x:v>
      </x:c>
      <x:c r="E2058" s="21" t="n">
        <x:f>IF(AND('Artifact Ledger'!Q510="OPEN",'Artifact Ledger'!R510="HOLD"),1,0)</x:f>
        <x:v>1</x:v>
      </x:c>
      <x:c r="F2058" s="21" t="n">
        <x:v>1</x:v>
      </x:c>
      <x:c r="G2058" s="23" t="str">
        <x:f>IF(E2058=F2058,"PASS","FAIL")</x:f>
        <x:v>PASS</x:v>
      </x:c>
    </x:row>
    <x:row r="2059">
      <x:c r="B2059" s="21" t="str">
        <x:v>A02053</x:v>
      </x:c>
      <x:c r="C2059" s="21" t="str">
        <x:v>artifact</x:v>
      </x:c>
      <x:c r="D2059" s="21" t="str">
        <x:v>artifact 505 eligibility equation</x:v>
      </x:c>
      <x:c r="E2059" s="21" t="n">
        <x:f>IF(ABS('Artifact Ledger'!P511-IF(AND('Artifact Ledger'!L511=1,'Artifact Ledger'!M511=1,'Artifact Ledger'!N511=1,'Artifact Ledger'!O511&gt;='Artifact Ledger'!G511),'Artifact Ledger'!K511,0))&lt;0.000001,1,0)</x:f>
        <x:v>1</x:v>
      </x:c>
      <x:c r="F2059" s="21" t="n">
        <x:v>1</x:v>
      </x:c>
      <x:c r="G2059" s="23" t="str">
        <x:f>IF(E2059=F2059,"PASS","FAIL")</x:f>
        <x:v>PASS</x:v>
      </x:c>
    </x:row>
    <x:row r="2060">
      <x:c r="B2060" s="21" t="str">
        <x:v>A02054</x:v>
      </x:c>
      <x:c r="C2060" s="21" t="str">
        <x:v>artifact</x:v>
      </x:c>
      <x:c r="D2060" s="21" t="str">
        <x:v>artifact 505 planning state</x:v>
      </x:c>
      <x:c r="E2060" s="21" t="n">
        <x:f>IF(AND('Artifact Ledger'!Q511="OPEN",'Artifact Ledger'!R511="HOLD"),1,0)</x:f>
        <x:v>1</x:v>
      </x:c>
      <x:c r="F2060" s="21" t="n">
        <x:v>1</x:v>
      </x:c>
      <x:c r="G2060" s="23" t="str">
        <x:f>IF(E2060=F2060,"PASS","FAIL")</x:f>
        <x:v>PASS</x:v>
      </x:c>
    </x:row>
    <x:row r="2061">
      <x:c r="B2061" s="21" t="str">
        <x:v>A02055</x:v>
      </x:c>
      <x:c r="C2061" s="21" t="str">
        <x:v>artifact</x:v>
      </x:c>
      <x:c r="D2061" s="21" t="str">
        <x:v>artifact 506 eligibility equation</x:v>
      </x:c>
      <x:c r="E2061" s="21" t="n">
        <x:f>IF(ABS('Artifact Ledger'!P512-IF(AND('Artifact Ledger'!L512=1,'Artifact Ledger'!M512=1,'Artifact Ledger'!N512=1,'Artifact Ledger'!O512&gt;='Artifact Ledger'!G512),'Artifact Ledger'!K512,0))&lt;0.000001,1,0)</x:f>
        <x:v>1</x:v>
      </x:c>
      <x:c r="F2061" s="21" t="n">
        <x:v>1</x:v>
      </x:c>
      <x:c r="G2061" s="23" t="str">
        <x:f>IF(E2061=F2061,"PASS","FAIL")</x:f>
        <x:v>PASS</x:v>
      </x:c>
    </x:row>
    <x:row r="2062">
      <x:c r="B2062" s="21" t="str">
        <x:v>A02056</x:v>
      </x:c>
      <x:c r="C2062" s="21" t="str">
        <x:v>artifact</x:v>
      </x:c>
      <x:c r="D2062" s="21" t="str">
        <x:v>artifact 506 planning state</x:v>
      </x:c>
      <x:c r="E2062" s="21" t="n">
        <x:f>IF(AND('Artifact Ledger'!Q512="OPEN",'Artifact Ledger'!R512="HOLD"),1,0)</x:f>
        <x:v>1</x:v>
      </x:c>
      <x:c r="F2062" s="21" t="n">
        <x:v>1</x:v>
      </x:c>
      <x:c r="G2062" s="23" t="str">
        <x:f>IF(E2062=F2062,"PASS","FAIL")</x:f>
        <x:v>PASS</x:v>
      </x:c>
    </x:row>
    <x:row r="2063">
      <x:c r="B2063" s="21" t="str">
        <x:v>A02057</x:v>
      </x:c>
      <x:c r="C2063" s="21" t="str">
        <x:v>artifact</x:v>
      </x:c>
      <x:c r="D2063" s="21" t="str">
        <x:v>artifact 507 eligibility equation</x:v>
      </x:c>
      <x:c r="E2063" s="21" t="n">
        <x:f>IF(ABS('Artifact Ledger'!P513-IF(AND('Artifact Ledger'!L513=1,'Artifact Ledger'!M513=1,'Artifact Ledger'!N513=1,'Artifact Ledger'!O513&gt;='Artifact Ledger'!G513),'Artifact Ledger'!K513,0))&lt;0.000001,1,0)</x:f>
        <x:v>1</x:v>
      </x:c>
      <x:c r="F2063" s="21" t="n">
        <x:v>1</x:v>
      </x:c>
      <x:c r="G2063" s="23" t="str">
        <x:f>IF(E2063=F2063,"PASS","FAIL")</x:f>
        <x:v>PASS</x:v>
      </x:c>
    </x:row>
    <x:row r="2064">
      <x:c r="B2064" s="21" t="str">
        <x:v>A02058</x:v>
      </x:c>
      <x:c r="C2064" s="21" t="str">
        <x:v>artifact</x:v>
      </x:c>
      <x:c r="D2064" s="21" t="str">
        <x:v>artifact 507 planning state</x:v>
      </x:c>
      <x:c r="E2064" s="21" t="n">
        <x:f>IF(AND('Artifact Ledger'!Q513="OPEN",'Artifact Ledger'!R513="HOLD"),1,0)</x:f>
        <x:v>1</x:v>
      </x:c>
      <x:c r="F2064" s="21" t="n">
        <x:v>1</x:v>
      </x:c>
      <x:c r="G2064" s="23" t="str">
        <x:f>IF(E2064=F2064,"PASS","FAIL")</x:f>
        <x:v>PASS</x:v>
      </x:c>
    </x:row>
    <x:row r="2065">
      <x:c r="B2065" s="21" t="str">
        <x:v>A02059</x:v>
      </x:c>
      <x:c r="C2065" s="21" t="str">
        <x:v>artifact</x:v>
      </x:c>
      <x:c r="D2065" s="21" t="str">
        <x:v>artifact 508 eligibility equation</x:v>
      </x:c>
      <x:c r="E2065" s="21" t="n">
        <x:f>IF(ABS('Artifact Ledger'!P514-IF(AND('Artifact Ledger'!L514=1,'Artifact Ledger'!M514=1,'Artifact Ledger'!N514=1,'Artifact Ledger'!O514&gt;='Artifact Ledger'!G514),'Artifact Ledger'!K514,0))&lt;0.000001,1,0)</x:f>
        <x:v>1</x:v>
      </x:c>
      <x:c r="F2065" s="21" t="n">
        <x:v>1</x:v>
      </x:c>
      <x:c r="G2065" s="23" t="str">
        <x:f>IF(E2065=F2065,"PASS","FAIL")</x:f>
        <x:v>PASS</x:v>
      </x:c>
    </x:row>
    <x:row r="2066">
      <x:c r="B2066" s="21" t="str">
        <x:v>A02060</x:v>
      </x:c>
      <x:c r="C2066" s="21" t="str">
        <x:v>artifact</x:v>
      </x:c>
      <x:c r="D2066" s="21" t="str">
        <x:v>artifact 508 planning state</x:v>
      </x:c>
      <x:c r="E2066" s="21" t="n">
        <x:f>IF(AND('Artifact Ledger'!Q514="OPEN",'Artifact Ledger'!R514="HOLD"),1,0)</x:f>
        <x:v>1</x:v>
      </x:c>
      <x:c r="F2066" s="21" t="n">
        <x:v>1</x:v>
      </x:c>
      <x:c r="G2066" s="23" t="str">
        <x:f>IF(E2066=F2066,"PASS","FAIL")</x:f>
        <x:v>PASS</x:v>
      </x:c>
    </x:row>
    <x:row r="2067">
      <x:c r="B2067" s="21" t="str">
        <x:v>A02061</x:v>
      </x:c>
      <x:c r="C2067" s="21" t="str">
        <x:v>artifact</x:v>
      </x:c>
      <x:c r="D2067" s="21" t="str">
        <x:v>artifact 509 eligibility equation</x:v>
      </x:c>
      <x:c r="E2067" s="21" t="n">
        <x:f>IF(ABS('Artifact Ledger'!P515-IF(AND('Artifact Ledger'!L515=1,'Artifact Ledger'!M515=1,'Artifact Ledger'!N515=1,'Artifact Ledger'!O515&gt;='Artifact Ledger'!G515),'Artifact Ledger'!K515,0))&lt;0.000001,1,0)</x:f>
        <x:v>1</x:v>
      </x:c>
      <x:c r="F2067" s="21" t="n">
        <x:v>1</x:v>
      </x:c>
      <x:c r="G2067" s="23" t="str">
        <x:f>IF(E2067=F2067,"PASS","FAIL")</x:f>
        <x:v>PASS</x:v>
      </x:c>
    </x:row>
    <x:row r="2068">
      <x:c r="B2068" s="21" t="str">
        <x:v>A02062</x:v>
      </x:c>
      <x:c r="C2068" s="21" t="str">
        <x:v>artifact</x:v>
      </x:c>
      <x:c r="D2068" s="21" t="str">
        <x:v>artifact 509 planning state</x:v>
      </x:c>
      <x:c r="E2068" s="21" t="n">
        <x:f>IF(AND('Artifact Ledger'!Q515="OPEN",'Artifact Ledger'!R515="HOLD"),1,0)</x:f>
        <x:v>1</x:v>
      </x:c>
      <x:c r="F2068" s="21" t="n">
        <x:v>1</x:v>
      </x:c>
      <x:c r="G2068" s="23" t="str">
        <x:f>IF(E2068=F2068,"PASS","FAIL")</x:f>
        <x:v>PASS</x:v>
      </x:c>
    </x:row>
    <x:row r="2069">
      <x:c r="B2069" s="21" t="str">
        <x:v>A02063</x:v>
      </x:c>
      <x:c r="C2069" s="21" t="str">
        <x:v>artifact</x:v>
      </x:c>
      <x:c r="D2069" s="21" t="str">
        <x:v>artifact 510 eligibility equation</x:v>
      </x:c>
      <x:c r="E2069" s="21" t="n">
        <x:f>IF(ABS('Artifact Ledger'!P516-IF(AND('Artifact Ledger'!L516=1,'Artifact Ledger'!M516=1,'Artifact Ledger'!N516=1,'Artifact Ledger'!O516&gt;='Artifact Ledger'!G516),'Artifact Ledger'!K516,0))&lt;0.000001,1,0)</x:f>
        <x:v>1</x:v>
      </x:c>
      <x:c r="F2069" s="21" t="n">
        <x:v>1</x:v>
      </x:c>
      <x:c r="G2069" s="23" t="str">
        <x:f>IF(E2069=F2069,"PASS","FAIL")</x:f>
        <x:v>PASS</x:v>
      </x:c>
    </x:row>
    <x:row r="2070">
      <x:c r="B2070" s="21" t="str">
        <x:v>A02064</x:v>
      </x:c>
      <x:c r="C2070" s="21" t="str">
        <x:v>artifact</x:v>
      </x:c>
      <x:c r="D2070" s="21" t="str">
        <x:v>artifact 510 planning state</x:v>
      </x:c>
      <x:c r="E2070" s="21" t="n">
        <x:f>IF(AND('Artifact Ledger'!Q516="OPEN",'Artifact Ledger'!R516="HOLD"),1,0)</x:f>
        <x:v>1</x:v>
      </x:c>
      <x:c r="F2070" s="21" t="n">
        <x:v>1</x:v>
      </x:c>
      <x:c r="G2070" s="23" t="str">
        <x:f>IF(E2070=F2070,"PASS","FAIL")</x:f>
        <x:v>PASS</x:v>
      </x:c>
    </x:row>
    <x:row r="2071">
      <x:c r="B2071" s="21" t="str">
        <x:v>A02065</x:v>
      </x:c>
      <x:c r="C2071" s="21" t="str">
        <x:v>artifact</x:v>
      </x:c>
      <x:c r="D2071" s="21" t="str">
        <x:v>artifact 511 eligibility equation</x:v>
      </x:c>
      <x:c r="E2071" s="21" t="n">
        <x:f>IF(ABS('Artifact Ledger'!P517-IF(AND('Artifact Ledger'!L517=1,'Artifact Ledger'!M517=1,'Artifact Ledger'!N517=1,'Artifact Ledger'!O517&gt;='Artifact Ledger'!G517),'Artifact Ledger'!K517,0))&lt;0.000001,1,0)</x:f>
        <x:v>1</x:v>
      </x:c>
      <x:c r="F2071" s="21" t="n">
        <x:v>1</x:v>
      </x:c>
      <x:c r="G2071" s="23" t="str">
        <x:f>IF(E2071=F2071,"PASS","FAIL")</x:f>
        <x:v>PASS</x:v>
      </x:c>
    </x:row>
    <x:row r="2072">
      <x:c r="B2072" s="21" t="str">
        <x:v>A02066</x:v>
      </x:c>
      <x:c r="C2072" s="21" t="str">
        <x:v>artifact</x:v>
      </x:c>
      <x:c r="D2072" s="21" t="str">
        <x:v>artifact 511 planning state</x:v>
      </x:c>
      <x:c r="E2072" s="21" t="n">
        <x:f>IF(AND('Artifact Ledger'!Q517="OPEN",'Artifact Ledger'!R517="HOLD"),1,0)</x:f>
        <x:v>1</x:v>
      </x:c>
      <x:c r="F2072" s="21" t="n">
        <x:v>1</x:v>
      </x:c>
      <x:c r="G2072" s="23" t="str">
        <x:f>IF(E2072=F2072,"PASS","FAIL")</x:f>
        <x:v>PASS</x:v>
      </x:c>
    </x:row>
    <x:row r="2073">
      <x:c r="B2073" s="21" t="str">
        <x:v>A02067</x:v>
      </x:c>
      <x:c r="C2073" s="21" t="str">
        <x:v>artifact</x:v>
      </x:c>
      <x:c r="D2073" s="21" t="str">
        <x:v>artifact 512 eligibility equation</x:v>
      </x:c>
      <x:c r="E2073" s="21" t="n">
        <x:f>IF(ABS('Artifact Ledger'!P518-IF(AND('Artifact Ledger'!L518=1,'Artifact Ledger'!M518=1,'Artifact Ledger'!N518=1,'Artifact Ledger'!O518&gt;='Artifact Ledger'!G518),'Artifact Ledger'!K518,0))&lt;0.000001,1,0)</x:f>
        <x:v>1</x:v>
      </x:c>
      <x:c r="F2073" s="21" t="n">
        <x:v>1</x:v>
      </x:c>
      <x:c r="G2073" s="23" t="str">
        <x:f>IF(E2073=F2073,"PASS","FAIL")</x:f>
        <x:v>PASS</x:v>
      </x:c>
    </x:row>
    <x:row r="2074">
      <x:c r="B2074" s="21" t="str">
        <x:v>A02068</x:v>
      </x:c>
      <x:c r="C2074" s="21" t="str">
        <x:v>artifact</x:v>
      </x:c>
      <x:c r="D2074" s="21" t="str">
        <x:v>artifact 512 planning state</x:v>
      </x:c>
      <x:c r="E2074" s="21" t="n">
        <x:f>IF(AND('Artifact Ledger'!Q518="OPEN",'Artifact Ledger'!R518="HOLD"),1,0)</x:f>
        <x:v>1</x:v>
      </x:c>
      <x:c r="F2074" s="21" t="n">
        <x:v>1</x:v>
      </x:c>
      <x:c r="G2074" s="23" t="str">
        <x:f>IF(E2074=F2074,"PASS","FAIL")</x:f>
        <x:v>PASS</x:v>
      </x:c>
    </x:row>
    <x:row r="2075">
      <x:c r="B2075" s="21" t="str">
        <x:v>A02069</x:v>
      </x:c>
      <x:c r="C2075" s="21" t="str">
        <x:v>artifact</x:v>
      </x:c>
      <x:c r="D2075" s="21" t="str">
        <x:v>artifact 513 eligibility equation</x:v>
      </x:c>
      <x:c r="E2075" s="21" t="n">
        <x:f>IF(ABS('Artifact Ledger'!P519-IF(AND('Artifact Ledger'!L519=1,'Artifact Ledger'!M519=1,'Artifact Ledger'!N519=1,'Artifact Ledger'!O519&gt;='Artifact Ledger'!G519),'Artifact Ledger'!K519,0))&lt;0.000001,1,0)</x:f>
        <x:v>1</x:v>
      </x:c>
      <x:c r="F2075" s="21" t="n">
        <x:v>1</x:v>
      </x:c>
      <x:c r="G2075" s="23" t="str">
        <x:f>IF(E2075=F2075,"PASS","FAIL")</x:f>
        <x:v>PASS</x:v>
      </x:c>
    </x:row>
    <x:row r="2076">
      <x:c r="B2076" s="21" t="str">
        <x:v>A02070</x:v>
      </x:c>
      <x:c r="C2076" s="21" t="str">
        <x:v>artifact</x:v>
      </x:c>
      <x:c r="D2076" s="21" t="str">
        <x:v>artifact 513 planning state</x:v>
      </x:c>
      <x:c r="E2076" s="21" t="n">
        <x:f>IF(AND('Artifact Ledger'!Q519="OPEN",'Artifact Ledger'!R519="HOLD"),1,0)</x:f>
        <x:v>1</x:v>
      </x:c>
      <x:c r="F2076" s="21" t="n">
        <x:v>1</x:v>
      </x:c>
      <x:c r="G2076" s="23" t="str">
        <x:f>IF(E2076=F2076,"PASS","FAIL")</x:f>
        <x:v>PASS</x:v>
      </x:c>
    </x:row>
    <x:row r="2077">
      <x:c r="B2077" s="21" t="str">
        <x:v>A02071</x:v>
      </x:c>
      <x:c r="C2077" s="21" t="str">
        <x:v>artifact</x:v>
      </x:c>
      <x:c r="D2077" s="21" t="str">
        <x:v>artifact 514 eligibility equation</x:v>
      </x:c>
      <x:c r="E2077" s="21" t="n">
        <x:f>IF(ABS('Artifact Ledger'!P520-IF(AND('Artifact Ledger'!L520=1,'Artifact Ledger'!M520=1,'Artifact Ledger'!N520=1,'Artifact Ledger'!O520&gt;='Artifact Ledger'!G520),'Artifact Ledger'!K520,0))&lt;0.000001,1,0)</x:f>
        <x:v>1</x:v>
      </x:c>
      <x:c r="F2077" s="21" t="n">
        <x:v>1</x:v>
      </x:c>
      <x:c r="G2077" s="23" t="str">
        <x:f>IF(E2077=F2077,"PASS","FAIL")</x:f>
        <x:v>PASS</x:v>
      </x:c>
    </x:row>
    <x:row r="2078">
      <x:c r="B2078" s="21" t="str">
        <x:v>A02072</x:v>
      </x:c>
      <x:c r="C2078" s="21" t="str">
        <x:v>artifact</x:v>
      </x:c>
      <x:c r="D2078" s="21" t="str">
        <x:v>artifact 514 planning state</x:v>
      </x:c>
      <x:c r="E2078" s="21" t="n">
        <x:f>IF(AND('Artifact Ledger'!Q520="OPEN",'Artifact Ledger'!R520="HOLD"),1,0)</x:f>
        <x:v>1</x:v>
      </x:c>
      <x:c r="F2078" s="21" t="n">
        <x:v>1</x:v>
      </x:c>
      <x:c r="G2078" s="23" t="str">
        <x:f>IF(E2078=F2078,"PASS","FAIL")</x:f>
        <x:v>PASS</x:v>
      </x:c>
    </x:row>
    <x:row r="2079">
      <x:c r="B2079" s="21" t="str">
        <x:v>A02073</x:v>
      </x:c>
      <x:c r="C2079" s="21" t="str">
        <x:v>artifact</x:v>
      </x:c>
      <x:c r="D2079" s="21" t="str">
        <x:v>artifact 515 eligibility equation</x:v>
      </x:c>
      <x:c r="E2079" s="21" t="n">
        <x:f>IF(ABS('Artifact Ledger'!P521-IF(AND('Artifact Ledger'!L521=1,'Artifact Ledger'!M521=1,'Artifact Ledger'!N521=1,'Artifact Ledger'!O521&gt;='Artifact Ledger'!G521),'Artifact Ledger'!K521,0))&lt;0.000001,1,0)</x:f>
        <x:v>1</x:v>
      </x:c>
      <x:c r="F2079" s="21" t="n">
        <x:v>1</x:v>
      </x:c>
      <x:c r="G2079" s="23" t="str">
        <x:f>IF(E2079=F2079,"PASS","FAIL")</x:f>
        <x:v>PASS</x:v>
      </x:c>
    </x:row>
    <x:row r="2080">
      <x:c r="B2080" s="21" t="str">
        <x:v>A02074</x:v>
      </x:c>
      <x:c r="C2080" s="21" t="str">
        <x:v>artifact</x:v>
      </x:c>
      <x:c r="D2080" s="21" t="str">
        <x:v>artifact 515 planning state</x:v>
      </x:c>
      <x:c r="E2080" s="21" t="n">
        <x:f>IF(AND('Artifact Ledger'!Q521="OPEN",'Artifact Ledger'!R521="HOLD"),1,0)</x:f>
        <x:v>1</x:v>
      </x:c>
      <x:c r="F2080" s="21" t="n">
        <x:v>1</x:v>
      </x:c>
      <x:c r="G2080" s="23" t="str">
        <x:f>IF(E2080=F2080,"PASS","FAIL")</x:f>
        <x:v>PASS</x:v>
      </x:c>
    </x:row>
    <x:row r="2081">
      <x:c r="B2081" s="21" t="str">
        <x:v>A02075</x:v>
      </x:c>
      <x:c r="C2081" s="21" t="str">
        <x:v>artifact</x:v>
      </x:c>
      <x:c r="D2081" s="21" t="str">
        <x:v>artifact 516 eligibility equation</x:v>
      </x:c>
      <x:c r="E2081" s="21" t="n">
        <x:f>IF(ABS('Artifact Ledger'!P522-IF(AND('Artifact Ledger'!L522=1,'Artifact Ledger'!M522=1,'Artifact Ledger'!N522=1,'Artifact Ledger'!O522&gt;='Artifact Ledger'!G522),'Artifact Ledger'!K522,0))&lt;0.000001,1,0)</x:f>
        <x:v>1</x:v>
      </x:c>
      <x:c r="F2081" s="21" t="n">
        <x:v>1</x:v>
      </x:c>
      <x:c r="G2081" s="23" t="str">
        <x:f>IF(E2081=F2081,"PASS","FAIL")</x:f>
        <x:v>PASS</x:v>
      </x:c>
    </x:row>
    <x:row r="2082">
      <x:c r="B2082" s="21" t="str">
        <x:v>A02076</x:v>
      </x:c>
      <x:c r="C2082" s="21" t="str">
        <x:v>artifact</x:v>
      </x:c>
      <x:c r="D2082" s="21" t="str">
        <x:v>artifact 516 planning state</x:v>
      </x:c>
      <x:c r="E2082" s="21" t="n">
        <x:f>IF(AND('Artifact Ledger'!Q522="OPEN",'Artifact Ledger'!R522="HOLD"),1,0)</x:f>
        <x:v>1</x:v>
      </x:c>
      <x:c r="F2082" s="21" t="n">
        <x:v>1</x:v>
      </x:c>
      <x:c r="G2082" s="23" t="str">
        <x:f>IF(E2082=F2082,"PASS","FAIL")</x:f>
        <x:v>PASS</x:v>
      </x:c>
    </x:row>
    <x:row r="2083">
      <x:c r="B2083" s="21" t="str">
        <x:v>A02077</x:v>
      </x:c>
      <x:c r="C2083" s="21" t="str">
        <x:v>artifact</x:v>
      </x:c>
      <x:c r="D2083" s="21" t="str">
        <x:v>artifact 517 eligibility equation</x:v>
      </x:c>
      <x:c r="E2083" s="21" t="n">
        <x:f>IF(ABS('Artifact Ledger'!P523-IF(AND('Artifact Ledger'!L523=1,'Artifact Ledger'!M523=1,'Artifact Ledger'!N523=1,'Artifact Ledger'!O523&gt;='Artifact Ledger'!G523),'Artifact Ledger'!K523,0))&lt;0.000001,1,0)</x:f>
        <x:v>1</x:v>
      </x:c>
      <x:c r="F2083" s="21" t="n">
        <x:v>1</x:v>
      </x:c>
      <x:c r="G2083" s="23" t="str">
        <x:f>IF(E2083=F2083,"PASS","FAIL")</x:f>
        <x:v>PASS</x:v>
      </x:c>
    </x:row>
    <x:row r="2084">
      <x:c r="B2084" s="21" t="str">
        <x:v>A02078</x:v>
      </x:c>
      <x:c r="C2084" s="21" t="str">
        <x:v>artifact</x:v>
      </x:c>
      <x:c r="D2084" s="21" t="str">
        <x:v>artifact 517 planning state</x:v>
      </x:c>
      <x:c r="E2084" s="21" t="n">
        <x:f>IF(AND('Artifact Ledger'!Q523="OPEN",'Artifact Ledger'!R523="HOLD"),1,0)</x:f>
        <x:v>1</x:v>
      </x:c>
      <x:c r="F2084" s="21" t="n">
        <x:v>1</x:v>
      </x:c>
      <x:c r="G2084" s="23" t="str">
        <x:f>IF(E2084=F2084,"PASS","FAIL")</x:f>
        <x:v>PASS</x:v>
      </x:c>
    </x:row>
    <x:row r="2085">
      <x:c r="B2085" s="21" t="str">
        <x:v>A02079</x:v>
      </x:c>
      <x:c r="C2085" s="21" t="str">
        <x:v>artifact</x:v>
      </x:c>
      <x:c r="D2085" s="21" t="str">
        <x:v>artifact 518 eligibility equation</x:v>
      </x:c>
      <x:c r="E2085" s="21" t="n">
        <x:f>IF(ABS('Artifact Ledger'!P524-IF(AND('Artifact Ledger'!L524=1,'Artifact Ledger'!M524=1,'Artifact Ledger'!N524=1,'Artifact Ledger'!O524&gt;='Artifact Ledger'!G524),'Artifact Ledger'!K524,0))&lt;0.000001,1,0)</x:f>
        <x:v>1</x:v>
      </x:c>
      <x:c r="F2085" s="21" t="n">
        <x:v>1</x:v>
      </x:c>
      <x:c r="G2085" s="23" t="str">
        <x:f>IF(E2085=F2085,"PASS","FAIL")</x:f>
        <x:v>PASS</x:v>
      </x:c>
    </x:row>
    <x:row r="2086">
      <x:c r="B2086" s="21" t="str">
        <x:v>A02080</x:v>
      </x:c>
      <x:c r="C2086" s="21" t="str">
        <x:v>artifact</x:v>
      </x:c>
      <x:c r="D2086" s="21" t="str">
        <x:v>artifact 518 planning state</x:v>
      </x:c>
      <x:c r="E2086" s="21" t="n">
        <x:f>IF(AND('Artifact Ledger'!Q524="OPEN",'Artifact Ledger'!R524="HOLD"),1,0)</x:f>
        <x:v>1</x:v>
      </x:c>
      <x:c r="F2086" s="21" t="n">
        <x:v>1</x:v>
      </x:c>
      <x:c r="G2086" s="23" t="str">
        <x:f>IF(E2086=F2086,"PASS","FAIL")</x:f>
        <x:v>PASS</x:v>
      </x:c>
    </x:row>
    <x:row r="2087">
      <x:c r="B2087" s="21" t="str">
        <x:v>A02081</x:v>
      </x:c>
      <x:c r="C2087" s="21" t="str">
        <x:v>artifact</x:v>
      </x:c>
      <x:c r="D2087" s="21" t="str">
        <x:v>artifact 519 eligibility equation</x:v>
      </x:c>
      <x:c r="E2087" s="21" t="n">
        <x:f>IF(ABS('Artifact Ledger'!P525-IF(AND('Artifact Ledger'!L525=1,'Artifact Ledger'!M525=1,'Artifact Ledger'!N525=1,'Artifact Ledger'!O525&gt;='Artifact Ledger'!G525),'Artifact Ledger'!K525,0))&lt;0.000001,1,0)</x:f>
        <x:v>1</x:v>
      </x:c>
      <x:c r="F2087" s="21" t="n">
        <x:v>1</x:v>
      </x:c>
      <x:c r="G2087" s="23" t="str">
        <x:f>IF(E2087=F2087,"PASS","FAIL")</x:f>
        <x:v>PASS</x:v>
      </x:c>
    </x:row>
    <x:row r="2088">
      <x:c r="B2088" s="21" t="str">
        <x:v>A02082</x:v>
      </x:c>
      <x:c r="C2088" s="21" t="str">
        <x:v>artifact</x:v>
      </x:c>
      <x:c r="D2088" s="21" t="str">
        <x:v>artifact 519 planning state</x:v>
      </x:c>
      <x:c r="E2088" s="21" t="n">
        <x:f>IF(AND('Artifact Ledger'!Q525="OPEN",'Artifact Ledger'!R525="HOLD"),1,0)</x:f>
        <x:v>1</x:v>
      </x:c>
      <x:c r="F2088" s="21" t="n">
        <x:v>1</x:v>
      </x:c>
      <x:c r="G2088" s="23" t="str">
        <x:f>IF(E2088=F2088,"PASS","FAIL")</x:f>
        <x:v>PASS</x:v>
      </x:c>
    </x:row>
    <x:row r="2089">
      <x:c r="B2089" s="21" t="str">
        <x:v>A02083</x:v>
      </x:c>
      <x:c r="C2089" s="21" t="str">
        <x:v>artifact</x:v>
      </x:c>
      <x:c r="D2089" s="21" t="str">
        <x:v>artifact 520 eligibility equation</x:v>
      </x:c>
      <x:c r="E2089" s="21" t="n">
        <x:f>IF(ABS('Artifact Ledger'!P526-IF(AND('Artifact Ledger'!L526=1,'Artifact Ledger'!M526=1,'Artifact Ledger'!N526=1,'Artifact Ledger'!O526&gt;='Artifact Ledger'!G526),'Artifact Ledger'!K526,0))&lt;0.000001,1,0)</x:f>
        <x:v>1</x:v>
      </x:c>
      <x:c r="F2089" s="21" t="n">
        <x:v>1</x:v>
      </x:c>
      <x:c r="G2089" s="23" t="str">
        <x:f>IF(E2089=F2089,"PASS","FAIL")</x:f>
        <x:v>PASS</x:v>
      </x:c>
    </x:row>
    <x:row r="2090">
      <x:c r="B2090" s="21" t="str">
        <x:v>A02084</x:v>
      </x:c>
      <x:c r="C2090" s="21" t="str">
        <x:v>artifact</x:v>
      </x:c>
      <x:c r="D2090" s="21" t="str">
        <x:v>artifact 520 planning state</x:v>
      </x:c>
      <x:c r="E2090" s="21" t="n">
        <x:f>IF(AND('Artifact Ledger'!Q526="OPEN",'Artifact Ledger'!R526="HOLD"),1,0)</x:f>
        <x:v>1</x:v>
      </x:c>
      <x:c r="F2090" s="21" t="n">
        <x:v>1</x:v>
      </x:c>
      <x:c r="G2090" s="23" t="str">
        <x:f>IF(E2090=F2090,"PASS","FAIL")</x:f>
        <x:v>PASS</x:v>
      </x:c>
    </x:row>
    <x:row r="2091">
      <x:c r="B2091" s="21" t="str">
        <x:v>A02085</x:v>
      </x:c>
      <x:c r="C2091" s="21" t="str">
        <x:v>artifact</x:v>
      </x:c>
      <x:c r="D2091" s="21" t="str">
        <x:v>artifact 521 eligibility equation</x:v>
      </x:c>
      <x:c r="E2091" s="21" t="n">
        <x:f>IF(ABS('Artifact Ledger'!P527-IF(AND('Artifact Ledger'!L527=1,'Artifact Ledger'!M527=1,'Artifact Ledger'!N527=1,'Artifact Ledger'!O527&gt;='Artifact Ledger'!G527),'Artifact Ledger'!K527,0))&lt;0.000001,1,0)</x:f>
        <x:v>1</x:v>
      </x:c>
      <x:c r="F2091" s="21" t="n">
        <x:v>1</x:v>
      </x:c>
      <x:c r="G2091" s="23" t="str">
        <x:f>IF(E2091=F2091,"PASS","FAIL")</x:f>
        <x:v>PASS</x:v>
      </x:c>
    </x:row>
    <x:row r="2092">
      <x:c r="B2092" s="21" t="str">
        <x:v>A02086</x:v>
      </x:c>
      <x:c r="C2092" s="21" t="str">
        <x:v>artifact</x:v>
      </x:c>
      <x:c r="D2092" s="21" t="str">
        <x:v>artifact 521 planning state</x:v>
      </x:c>
      <x:c r="E2092" s="21" t="n">
        <x:f>IF(AND('Artifact Ledger'!Q527="OPEN",'Artifact Ledger'!R527="HOLD"),1,0)</x:f>
        <x:v>1</x:v>
      </x:c>
      <x:c r="F2092" s="21" t="n">
        <x:v>1</x:v>
      </x:c>
      <x:c r="G2092" s="23" t="str">
        <x:f>IF(E2092=F2092,"PASS","FAIL")</x:f>
        <x:v>PASS</x:v>
      </x:c>
    </x:row>
    <x:row r="2093">
      <x:c r="B2093" s="21" t="str">
        <x:v>A02087</x:v>
      </x:c>
      <x:c r="C2093" s="21" t="str">
        <x:v>artifact</x:v>
      </x:c>
      <x:c r="D2093" s="21" t="str">
        <x:v>artifact 522 eligibility equation</x:v>
      </x:c>
      <x:c r="E2093" s="21" t="n">
        <x:f>IF(ABS('Artifact Ledger'!P528-IF(AND('Artifact Ledger'!L528=1,'Artifact Ledger'!M528=1,'Artifact Ledger'!N528=1,'Artifact Ledger'!O528&gt;='Artifact Ledger'!G528),'Artifact Ledger'!K528,0))&lt;0.000001,1,0)</x:f>
        <x:v>1</x:v>
      </x:c>
      <x:c r="F2093" s="21" t="n">
        <x:v>1</x:v>
      </x:c>
      <x:c r="G2093" s="23" t="str">
        <x:f>IF(E2093=F2093,"PASS","FAIL")</x:f>
        <x:v>PASS</x:v>
      </x:c>
    </x:row>
    <x:row r="2094">
      <x:c r="B2094" s="21" t="str">
        <x:v>A02088</x:v>
      </x:c>
      <x:c r="C2094" s="21" t="str">
        <x:v>artifact</x:v>
      </x:c>
      <x:c r="D2094" s="21" t="str">
        <x:v>artifact 522 planning state</x:v>
      </x:c>
      <x:c r="E2094" s="21" t="n">
        <x:f>IF(AND('Artifact Ledger'!Q528="OPEN",'Artifact Ledger'!R528="HOLD"),1,0)</x:f>
        <x:v>1</x:v>
      </x:c>
      <x:c r="F2094" s="21" t="n">
        <x:v>1</x:v>
      </x:c>
      <x:c r="G2094" s="23" t="str">
        <x:f>IF(E2094=F2094,"PASS","FAIL")</x:f>
        <x:v>PASS</x:v>
      </x:c>
    </x:row>
    <x:row r="2095">
      <x:c r="B2095" s="21" t="str">
        <x:v>A02089</x:v>
      </x:c>
      <x:c r="C2095" s="21" t="str">
        <x:v>artifact</x:v>
      </x:c>
      <x:c r="D2095" s="21" t="str">
        <x:v>artifact 523 eligibility equation</x:v>
      </x:c>
      <x:c r="E2095" s="21" t="n">
        <x:f>IF(ABS('Artifact Ledger'!P529-IF(AND('Artifact Ledger'!L529=1,'Artifact Ledger'!M529=1,'Artifact Ledger'!N529=1,'Artifact Ledger'!O529&gt;='Artifact Ledger'!G529),'Artifact Ledger'!K529,0))&lt;0.000001,1,0)</x:f>
        <x:v>1</x:v>
      </x:c>
      <x:c r="F2095" s="21" t="n">
        <x:v>1</x:v>
      </x:c>
      <x:c r="G2095" s="23" t="str">
        <x:f>IF(E2095=F2095,"PASS","FAIL")</x:f>
        <x:v>PASS</x:v>
      </x:c>
    </x:row>
    <x:row r="2096">
      <x:c r="B2096" s="21" t="str">
        <x:v>A02090</x:v>
      </x:c>
      <x:c r="C2096" s="21" t="str">
        <x:v>artifact</x:v>
      </x:c>
      <x:c r="D2096" s="21" t="str">
        <x:v>artifact 523 planning state</x:v>
      </x:c>
      <x:c r="E2096" s="21" t="n">
        <x:f>IF(AND('Artifact Ledger'!Q529="OPEN",'Artifact Ledger'!R529="HOLD"),1,0)</x:f>
        <x:v>1</x:v>
      </x:c>
      <x:c r="F2096" s="21" t="n">
        <x:v>1</x:v>
      </x:c>
      <x:c r="G2096" s="23" t="str">
        <x:f>IF(E2096=F2096,"PASS","FAIL")</x:f>
        <x:v>PASS</x:v>
      </x:c>
    </x:row>
    <x:row r="2097">
      <x:c r="B2097" s="21" t="str">
        <x:v>A02091</x:v>
      </x:c>
      <x:c r="C2097" s="21" t="str">
        <x:v>artifact</x:v>
      </x:c>
      <x:c r="D2097" s="21" t="str">
        <x:v>artifact 524 eligibility equation</x:v>
      </x:c>
      <x:c r="E2097" s="21" t="n">
        <x:f>IF(ABS('Artifact Ledger'!P530-IF(AND('Artifact Ledger'!L530=1,'Artifact Ledger'!M530=1,'Artifact Ledger'!N530=1,'Artifact Ledger'!O530&gt;='Artifact Ledger'!G530),'Artifact Ledger'!K530,0))&lt;0.000001,1,0)</x:f>
        <x:v>1</x:v>
      </x:c>
      <x:c r="F2097" s="21" t="n">
        <x:v>1</x:v>
      </x:c>
      <x:c r="G2097" s="23" t="str">
        <x:f>IF(E2097=F2097,"PASS","FAIL")</x:f>
        <x:v>PASS</x:v>
      </x:c>
    </x:row>
    <x:row r="2098">
      <x:c r="B2098" s="21" t="str">
        <x:v>A02092</x:v>
      </x:c>
      <x:c r="C2098" s="21" t="str">
        <x:v>artifact</x:v>
      </x:c>
      <x:c r="D2098" s="21" t="str">
        <x:v>artifact 524 planning state</x:v>
      </x:c>
      <x:c r="E2098" s="21" t="n">
        <x:f>IF(AND('Artifact Ledger'!Q530="OPEN",'Artifact Ledger'!R530="HOLD"),1,0)</x:f>
        <x:v>1</x:v>
      </x:c>
      <x:c r="F2098" s="21" t="n">
        <x:v>1</x:v>
      </x:c>
      <x:c r="G2098" s="23" t="str">
        <x:f>IF(E2098=F2098,"PASS","FAIL")</x:f>
        <x:v>PASS</x:v>
      </x:c>
    </x:row>
    <x:row r="2099">
      <x:c r="B2099" s="21" t="str">
        <x:v>A02093</x:v>
      </x:c>
      <x:c r="C2099" s="21" t="str">
        <x:v>artifact</x:v>
      </x:c>
      <x:c r="D2099" s="21" t="str">
        <x:v>artifact 525 eligibility equation</x:v>
      </x:c>
      <x:c r="E2099" s="21" t="n">
        <x:f>IF(ABS('Artifact Ledger'!P531-IF(AND('Artifact Ledger'!L531=1,'Artifact Ledger'!M531=1,'Artifact Ledger'!N531=1,'Artifact Ledger'!O531&gt;='Artifact Ledger'!G531),'Artifact Ledger'!K531,0))&lt;0.000001,1,0)</x:f>
        <x:v>1</x:v>
      </x:c>
      <x:c r="F2099" s="21" t="n">
        <x:v>1</x:v>
      </x:c>
      <x:c r="G2099" s="23" t="str">
        <x:f>IF(E2099=F2099,"PASS","FAIL")</x:f>
        <x:v>PASS</x:v>
      </x:c>
    </x:row>
    <x:row r="2100">
      <x:c r="B2100" s="21" t="str">
        <x:v>A02094</x:v>
      </x:c>
      <x:c r="C2100" s="21" t="str">
        <x:v>artifact</x:v>
      </x:c>
      <x:c r="D2100" s="21" t="str">
        <x:v>artifact 525 planning state</x:v>
      </x:c>
      <x:c r="E2100" s="21" t="n">
        <x:f>IF(AND('Artifact Ledger'!Q531="OPEN",'Artifact Ledger'!R531="HOLD"),1,0)</x:f>
        <x:v>1</x:v>
      </x:c>
      <x:c r="F2100" s="21" t="n">
        <x:v>1</x:v>
      </x:c>
      <x:c r="G2100" s="23" t="str">
        <x:f>IF(E2100=F2100,"PASS","FAIL")</x:f>
        <x:v>PASS</x:v>
      </x:c>
    </x:row>
    <x:row r="2101">
      <x:c r="B2101" s="21" t="str">
        <x:v>A02095</x:v>
      </x:c>
      <x:c r="C2101" s="21" t="str">
        <x:v>artifact</x:v>
      </x:c>
      <x:c r="D2101" s="21" t="str">
        <x:v>artifact 526 eligibility equation</x:v>
      </x:c>
      <x:c r="E2101" s="21" t="n">
        <x:f>IF(ABS('Artifact Ledger'!P532-IF(AND('Artifact Ledger'!L532=1,'Artifact Ledger'!M532=1,'Artifact Ledger'!N532=1,'Artifact Ledger'!O532&gt;='Artifact Ledger'!G532),'Artifact Ledger'!K532,0))&lt;0.000001,1,0)</x:f>
        <x:v>1</x:v>
      </x:c>
      <x:c r="F2101" s="21" t="n">
        <x:v>1</x:v>
      </x:c>
      <x:c r="G2101" s="23" t="str">
        <x:f>IF(E2101=F2101,"PASS","FAIL")</x:f>
        <x:v>PASS</x:v>
      </x:c>
    </x:row>
    <x:row r="2102">
      <x:c r="B2102" s="21" t="str">
        <x:v>A02096</x:v>
      </x:c>
      <x:c r="C2102" s="21" t="str">
        <x:v>artifact</x:v>
      </x:c>
      <x:c r="D2102" s="21" t="str">
        <x:v>artifact 526 planning state</x:v>
      </x:c>
      <x:c r="E2102" s="21" t="n">
        <x:f>IF(AND('Artifact Ledger'!Q532="OPEN",'Artifact Ledger'!R532="HOLD"),1,0)</x:f>
        <x:v>1</x:v>
      </x:c>
      <x:c r="F2102" s="21" t="n">
        <x:v>1</x:v>
      </x:c>
      <x:c r="G2102" s="23" t="str">
        <x:f>IF(E2102=F2102,"PASS","FAIL")</x:f>
        <x:v>PASS</x:v>
      </x:c>
    </x:row>
    <x:row r="2103">
      <x:c r="B2103" s="21" t="str">
        <x:v>A02097</x:v>
      </x:c>
      <x:c r="C2103" s="21" t="str">
        <x:v>artifact</x:v>
      </x:c>
      <x:c r="D2103" s="21" t="str">
        <x:v>artifact 527 eligibility equation</x:v>
      </x:c>
      <x:c r="E2103" s="21" t="n">
        <x:f>IF(ABS('Artifact Ledger'!P533-IF(AND('Artifact Ledger'!L533=1,'Artifact Ledger'!M533=1,'Artifact Ledger'!N533=1,'Artifact Ledger'!O533&gt;='Artifact Ledger'!G533),'Artifact Ledger'!K533,0))&lt;0.000001,1,0)</x:f>
        <x:v>1</x:v>
      </x:c>
      <x:c r="F2103" s="21" t="n">
        <x:v>1</x:v>
      </x:c>
      <x:c r="G2103" s="23" t="str">
        <x:f>IF(E2103=F2103,"PASS","FAIL")</x:f>
        <x:v>PASS</x:v>
      </x:c>
    </x:row>
    <x:row r="2104">
      <x:c r="B2104" s="21" t="str">
        <x:v>A02098</x:v>
      </x:c>
      <x:c r="C2104" s="21" t="str">
        <x:v>artifact</x:v>
      </x:c>
      <x:c r="D2104" s="21" t="str">
        <x:v>artifact 527 planning state</x:v>
      </x:c>
      <x:c r="E2104" s="21" t="n">
        <x:f>IF(AND('Artifact Ledger'!Q533="OPEN",'Artifact Ledger'!R533="HOLD"),1,0)</x:f>
        <x:v>1</x:v>
      </x:c>
      <x:c r="F2104" s="21" t="n">
        <x:v>1</x:v>
      </x:c>
      <x:c r="G2104" s="23" t="str">
        <x:f>IF(E2104=F2104,"PASS","FAIL")</x:f>
        <x:v>PASS</x:v>
      </x:c>
    </x:row>
    <x:row r="2105">
      <x:c r="B2105" s="21" t="str">
        <x:v>A02099</x:v>
      </x:c>
      <x:c r="C2105" s="21" t="str">
        <x:v>artifact</x:v>
      </x:c>
      <x:c r="D2105" s="21" t="str">
        <x:v>artifact 528 eligibility equation</x:v>
      </x:c>
      <x:c r="E2105" s="21" t="n">
        <x:f>IF(ABS('Artifact Ledger'!P534-IF(AND('Artifact Ledger'!L534=1,'Artifact Ledger'!M534=1,'Artifact Ledger'!N534=1,'Artifact Ledger'!O534&gt;='Artifact Ledger'!G534),'Artifact Ledger'!K534,0))&lt;0.000001,1,0)</x:f>
        <x:v>1</x:v>
      </x:c>
      <x:c r="F2105" s="21" t="n">
        <x:v>1</x:v>
      </x:c>
      <x:c r="G2105" s="23" t="str">
        <x:f>IF(E2105=F2105,"PASS","FAIL")</x:f>
        <x:v>PASS</x:v>
      </x:c>
    </x:row>
    <x:row r="2106">
      <x:c r="B2106" s="21" t="str">
        <x:v>A02100</x:v>
      </x:c>
      <x:c r="C2106" s="21" t="str">
        <x:v>artifact</x:v>
      </x:c>
      <x:c r="D2106" s="21" t="str">
        <x:v>artifact 528 planning state</x:v>
      </x:c>
      <x:c r="E2106" s="21" t="n">
        <x:f>IF(AND('Artifact Ledger'!Q534="OPEN",'Artifact Ledger'!R534="HOLD"),1,0)</x:f>
        <x:v>1</x:v>
      </x:c>
      <x:c r="F2106" s="21" t="n">
        <x:v>1</x:v>
      </x:c>
      <x:c r="G2106" s="23" t="str">
        <x:f>IF(E2106=F2106,"PASS","FAIL")</x:f>
        <x:v>PASS</x:v>
      </x:c>
    </x:row>
    <x:row r="2107">
      <x:c r="B2107" s="21" t="str">
        <x:v>A02101</x:v>
      </x:c>
      <x:c r="C2107" s="21" t="str">
        <x:v>artifact</x:v>
      </x:c>
      <x:c r="D2107" s="21" t="str">
        <x:v>artifact 529 eligibility equation</x:v>
      </x:c>
      <x:c r="E2107" s="21" t="n">
        <x:f>IF(ABS('Artifact Ledger'!P535-IF(AND('Artifact Ledger'!L535=1,'Artifact Ledger'!M535=1,'Artifact Ledger'!N535=1,'Artifact Ledger'!O535&gt;='Artifact Ledger'!G535),'Artifact Ledger'!K535,0))&lt;0.000001,1,0)</x:f>
        <x:v>1</x:v>
      </x:c>
      <x:c r="F2107" s="21" t="n">
        <x:v>1</x:v>
      </x:c>
      <x:c r="G2107" s="23" t="str">
        <x:f>IF(E2107=F2107,"PASS","FAIL")</x:f>
        <x:v>PASS</x:v>
      </x:c>
    </x:row>
    <x:row r="2108">
      <x:c r="B2108" s="21" t="str">
        <x:v>A02102</x:v>
      </x:c>
      <x:c r="C2108" s="21" t="str">
        <x:v>artifact</x:v>
      </x:c>
      <x:c r="D2108" s="21" t="str">
        <x:v>artifact 529 planning state</x:v>
      </x:c>
      <x:c r="E2108" s="21" t="n">
        <x:f>IF(AND('Artifact Ledger'!Q535="OPEN",'Artifact Ledger'!R535="HOLD"),1,0)</x:f>
        <x:v>1</x:v>
      </x:c>
      <x:c r="F2108" s="21" t="n">
        <x:v>1</x:v>
      </x:c>
      <x:c r="G2108" s="23" t="str">
        <x:f>IF(E2108=F2108,"PASS","FAIL")</x:f>
        <x:v>PASS</x:v>
      </x:c>
    </x:row>
    <x:row r="2109">
      <x:c r="B2109" s="21" t="str">
        <x:v>A02103</x:v>
      </x:c>
      <x:c r="C2109" s="21" t="str">
        <x:v>artifact</x:v>
      </x:c>
      <x:c r="D2109" s="21" t="str">
        <x:v>artifact 530 eligibility equation</x:v>
      </x:c>
      <x:c r="E2109" s="21" t="n">
        <x:f>IF(ABS('Artifact Ledger'!P536-IF(AND('Artifact Ledger'!L536=1,'Artifact Ledger'!M536=1,'Artifact Ledger'!N536=1,'Artifact Ledger'!O536&gt;='Artifact Ledger'!G536),'Artifact Ledger'!K536,0))&lt;0.000001,1,0)</x:f>
        <x:v>1</x:v>
      </x:c>
      <x:c r="F2109" s="21" t="n">
        <x:v>1</x:v>
      </x:c>
      <x:c r="G2109" s="23" t="str">
        <x:f>IF(E2109=F2109,"PASS","FAIL")</x:f>
        <x:v>PASS</x:v>
      </x:c>
    </x:row>
    <x:row r="2110">
      <x:c r="B2110" s="21" t="str">
        <x:v>A02104</x:v>
      </x:c>
      <x:c r="C2110" s="21" t="str">
        <x:v>artifact</x:v>
      </x:c>
      <x:c r="D2110" s="21" t="str">
        <x:v>artifact 530 planning state</x:v>
      </x:c>
      <x:c r="E2110" s="21" t="n">
        <x:f>IF(AND('Artifact Ledger'!Q536="OPEN",'Artifact Ledger'!R536="HOLD"),1,0)</x:f>
        <x:v>1</x:v>
      </x:c>
      <x:c r="F2110" s="21" t="n">
        <x:v>1</x:v>
      </x:c>
      <x:c r="G2110" s="23" t="str">
        <x:f>IF(E2110=F2110,"PASS","FAIL")</x:f>
        <x:v>PASS</x:v>
      </x:c>
    </x:row>
    <x:row r="2111">
      <x:c r="B2111" s="21" t="str">
        <x:v>A02105</x:v>
      </x:c>
      <x:c r="C2111" s="21" t="str">
        <x:v>artifact</x:v>
      </x:c>
      <x:c r="D2111" s="21" t="str">
        <x:v>artifact 531 eligibility equation</x:v>
      </x:c>
      <x:c r="E2111" s="21" t="n">
        <x:f>IF(ABS('Artifact Ledger'!P537-IF(AND('Artifact Ledger'!L537=1,'Artifact Ledger'!M537=1,'Artifact Ledger'!N537=1,'Artifact Ledger'!O537&gt;='Artifact Ledger'!G537),'Artifact Ledger'!K537,0))&lt;0.000001,1,0)</x:f>
        <x:v>1</x:v>
      </x:c>
      <x:c r="F2111" s="21" t="n">
        <x:v>1</x:v>
      </x:c>
      <x:c r="G2111" s="23" t="str">
        <x:f>IF(E2111=F2111,"PASS","FAIL")</x:f>
        <x:v>PASS</x:v>
      </x:c>
    </x:row>
    <x:row r="2112">
      <x:c r="B2112" s="21" t="str">
        <x:v>A02106</x:v>
      </x:c>
      <x:c r="C2112" s="21" t="str">
        <x:v>artifact</x:v>
      </x:c>
      <x:c r="D2112" s="21" t="str">
        <x:v>artifact 531 planning state</x:v>
      </x:c>
      <x:c r="E2112" s="21" t="n">
        <x:f>IF(AND('Artifact Ledger'!Q537="OPEN",'Artifact Ledger'!R537="HOLD"),1,0)</x:f>
        <x:v>1</x:v>
      </x:c>
      <x:c r="F2112" s="21" t="n">
        <x:v>1</x:v>
      </x:c>
      <x:c r="G2112" s="23" t="str">
        <x:f>IF(E2112=F2112,"PASS","FAIL")</x:f>
        <x:v>PASS</x:v>
      </x:c>
    </x:row>
    <x:row r="2113">
      <x:c r="B2113" s="21" t="str">
        <x:v>A02107</x:v>
      </x:c>
      <x:c r="C2113" s="21" t="str">
        <x:v>artifact</x:v>
      </x:c>
      <x:c r="D2113" s="21" t="str">
        <x:v>artifact 532 eligibility equation</x:v>
      </x:c>
      <x:c r="E2113" s="21" t="n">
        <x:f>IF(ABS('Artifact Ledger'!P538-IF(AND('Artifact Ledger'!L538=1,'Artifact Ledger'!M538=1,'Artifact Ledger'!N538=1,'Artifact Ledger'!O538&gt;='Artifact Ledger'!G538),'Artifact Ledger'!K538,0))&lt;0.000001,1,0)</x:f>
        <x:v>1</x:v>
      </x:c>
      <x:c r="F2113" s="21" t="n">
        <x:v>1</x:v>
      </x:c>
      <x:c r="G2113" s="23" t="str">
        <x:f>IF(E2113=F2113,"PASS","FAIL")</x:f>
        <x:v>PASS</x:v>
      </x:c>
    </x:row>
    <x:row r="2114">
      <x:c r="B2114" s="21" t="str">
        <x:v>A02108</x:v>
      </x:c>
      <x:c r="C2114" s="21" t="str">
        <x:v>artifact</x:v>
      </x:c>
      <x:c r="D2114" s="21" t="str">
        <x:v>artifact 532 planning state</x:v>
      </x:c>
      <x:c r="E2114" s="21" t="n">
        <x:f>IF(AND('Artifact Ledger'!Q538="OPEN",'Artifact Ledger'!R538="HOLD"),1,0)</x:f>
        <x:v>1</x:v>
      </x:c>
      <x:c r="F2114" s="21" t="n">
        <x:v>1</x:v>
      </x:c>
      <x:c r="G2114" s="23" t="str">
        <x:f>IF(E2114=F2114,"PASS","FAIL")</x:f>
        <x:v>PASS</x:v>
      </x:c>
    </x:row>
    <x:row r="2115">
      <x:c r="B2115" s="21" t="str">
        <x:v>A02109</x:v>
      </x:c>
      <x:c r="C2115" s="21" t="str">
        <x:v>artifact</x:v>
      </x:c>
      <x:c r="D2115" s="21" t="str">
        <x:v>artifact 533 eligibility equation</x:v>
      </x:c>
      <x:c r="E2115" s="21" t="n">
        <x:f>IF(ABS('Artifact Ledger'!P539-IF(AND('Artifact Ledger'!L539=1,'Artifact Ledger'!M539=1,'Artifact Ledger'!N539=1,'Artifact Ledger'!O539&gt;='Artifact Ledger'!G539),'Artifact Ledger'!K539,0))&lt;0.000001,1,0)</x:f>
        <x:v>1</x:v>
      </x:c>
      <x:c r="F2115" s="21" t="n">
        <x:v>1</x:v>
      </x:c>
      <x:c r="G2115" s="23" t="str">
        <x:f>IF(E2115=F2115,"PASS","FAIL")</x:f>
        <x:v>PASS</x:v>
      </x:c>
    </x:row>
    <x:row r="2116">
      <x:c r="B2116" s="21" t="str">
        <x:v>A02110</x:v>
      </x:c>
      <x:c r="C2116" s="21" t="str">
        <x:v>artifact</x:v>
      </x:c>
      <x:c r="D2116" s="21" t="str">
        <x:v>artifact 533 planning state</x:v>
      </x:c>
      <x:c r="E2116" s="21" t="n">
        <x:f>IF(AND('Artifact Ledger'!Q539="OPEN",'Artifact Ledger'!R539="HOLD"),1,0)</x:f>
        <x:v>1</x:v>
      </x:c>
      <x:c r="F2116" s="21" t="n">
        <x:v>1</x:v>
      </x:c>
      <x:c r="G2116" s="23" t="str">
        <x:f>IF(E2116=F2116,"PASS","FAIL")</x:f>
        <x:v>PASS</x:v>
      </x:c>
    </x:row>
    <x:row r="2117">
      <x:c r="B2117" s="21" t="str">
        <x:v>A02111</x:v>
      </x:c>
      <x:c r="C2117" s="21" t="str">
        <x:v>artifact</x:v>
      </x:c>
      <x:c r="D2117" s="21" t="str">
        <x:v>artifact 534 eligibility equation</x:v>
      </x:c>
      <x:c r="E2117" s="21" t="n">
        <x:f>IF(ABS('Artifact Ledger'!P540-IF(AND('Artifact Ledger'!L540=1,'Artifact Ledger'!M540=1,'Artifact Ledger'!N540=1,'Artifact Ledger'!O540&gt;='Artifact Ledger'!G540),'Artifact Ledger'!K540,0))&lt;0.000001,1,0)</x:f>
        <x:v>1</x:v>
      </x:c>
      <x:c r="F2117" s="21" t="n">
        <x:v>1</x:v>
      </x:c>
      <x:c r="G2117" s="23" t="str">
        <x:f>IF(E2117=F2117,"PASS","FAIL")</x:f>
        <x:v>PASS</x:v>
      </x:c>
    </x:row>
    <x:row r="2118">
      <x:c r="B2118" s="21" t="str">
        <x:v>A02112</x:v>
      </x:c>
      <x:c r="C2118" s="21" t="str">
        <x:v>artifact</x:v>
      </x:c>
      <x:c r="D2118" s="21" t="str">
        <x:v>artifact 534 planning state</x:v>
      </x:c>
      <x:c r="E2118" s="21" t="n">
        <x:f>IF(AND('Artifact Ledger'!Q540="OPEN",'Artifact Ledger'!R540="HOLD"),1,0)</x:f>
        <x:v>1</x:v>
      </x:c>
      <x:c r="F2118" s="21" t="n">
        <x:v>1</x:v>
      </x:c>
      <x:c r="G2118" s="23" t="str">
        <x:f>IF(E2118=F2118,"PASS","FAIL")</x:f>
        <x:v>PASS</x:v>
      </x:c>
    </x:row>
    <x:row r="2119">
      <x:c r="B2119" s="21" t="str">
        <x:v>A02113</x:v>
      </x:c>
      <x:c r="C2119" s="21" t="str">
        <x:v>artifact</x:v>
      </x:c>
      <x:c r="D2119" s="21" t="str">
        <x:v>artifact 535 eligibility equation</x:v>
      </x:c>
      <x:c r="E2119" s="21" t="n">
        <x:f>IF(ABS('Artifact Ledger'!P541-IF(AND('Artifact Ledger'!L541=1,'Artifact Ledger'!M541=1,'Artifact Ledger'!N541=1,'Artifact Ledger'!O541&gt;='Artifact Ledger'!G541),'Artifact Ledger'!K541,0))&lt;0.000001,1,0)</x:f>
        <x:v>1</x:v>
      </x:c>
      <x:c r="F2119" s="21" t="n">
        <x:v>1</x:v>
      </x:c>
      <x:c r="G2119" s="23" t="str">
        <x:f>IF(E2119=F2119,"PASS","FAIL")</x:f>
        <x:v>PASS</x:v>
      </x:c>
    </x:row>
    <x:row r="2120">
      <x:c r="B2120" s="21" t="str">
        <x:v>A02114</x:v>
      </x:c>
      <x:c r="C2120" s="21" t="str">
        <x:v>artifact</x:v>
      </x:c>
      <x:c r="D2120" s="21" t="str">
        <x:v>artifact 535 planning state</x:v>
      </x:c>
      <x:c r="E2120" s="21" t="n">
        <x:f>IF(AND('Artifact Ledger'!Q541="OPEN",'Artifact Ledger'!R541="HOLD"),1,0)</x:f>
        <x:v>1</x:v>
      </x:c>
      <x:c r="F2120" s="21" t="n">
        <x:v>1</x:v>
      </x:c>
      <x:c r="G2120" s="23" t="str">
        <x:f>IF(E2120=F2120,"PASS","FAIL")</x:f>
        <x:v>PASS</x:v>
      </x:c>
    </x:row>
    <x:row r="2121">
      <x:c r="B2121" s="21" t="str">
        <x:v>A02115</x:v>
      </x:c>
      <x:c r="C2121" s="21" t="str">
        <x:v>artifact</x:v>
      </x:c>
      <x:c r="D2121" s="21" t="str">
        <x:v>artifact 536 eligibility equation</x:v>
      </x:c>
      <x:c r="E2121" s="21" t="n">
        <x:f>IF(ABS('Artifact Ledger'!P542-IF(AND('Artifact Ledger'!L542=1,'Artifact Ledger'!M542=1,'Artifact Ledger'!N542=1,'Artifact Ledger'!O542&gt;='Artifact Ledger'!G542),'Artifact Ledger'!K542,0))&lt;0.000001,1,0)</x:f>
        <x:v>1</x:v>
      </x:c>
      <x:c r="F2121" s="21" t="n">
        <x:v>1</x:v>
      </x:c>
      <x:c r="G2121" s="23" t="str">
        <x:f>IF(E2121=F2121,"PASS","FAIL")</x:f>
        <x:v>PASS</x:v>
      </x:c>
    </x:row>
    <x:row r="2122">
      <x:c r="B2122" s="21" t="str">
        <x:v>A02116</x:v>
      </x:c>
      <x:c r="C2122" s="21" t="str">
        <x:v>artifact</x:v>
      </x:c>
      <x:c r="D2122" s="21" t="str">
        <x:v>artifact 536 planning state</x:v>
      </x:c>
      <x:c r="E2122" s="21" t="n">
        <x:f>IF(AND('Artifact Ledger'!Q542="OPEN",'Artifact Ledger'!R542="HOLD"),1,0)</x:f>
        <x:v>1</x:v>
      </x:c>
      <x:c r="F2122" s="21" t="n">
        <x:v>1</x:v>
      </x:c>
      <x:c r="G2122" s="23" t="str">
        <x:f>IF(E2122=F2122,"PASS","FAIL")</x:f>
        <x:v>PASS</x:v>
      </x:c>
    </x:row>
    <x:row r="2123">
      <x:c r="B2123" s="21" t="str">
        <x:v>A02117</x:v>
      </x:c>
      <x:c r="C2123" s="21" t="str">
        <x:v>artifact</x:v>
      </x:c>
      <x:c r="D2123" s="21" t="str">
        <x:v>artifact 537 eligibility equation</x:v>
      </x:c>
      <x:c r="E2123" s="21" t="n">
        <x:f>IF(ABS('Artifact Ledger'!P543-IF(AND('Artifact Ledger'!L543=1,'Artifact Ledger'!M543=1,'Artifact Ledger'!N543=1,'Artifact Ledger'!O543&gt;='Artifact Ledger'!G543),'Artifact Ledger'!K543,0))&lt;0.000001,1,0)</x:f>
        <x:v>1</x:v>
      </x:c>
      <x:c r="F2123" s="21" t="n">
        <x:v>1</x:v>
      </x:c>
      <x:c r="G2123" s="23" t="str">
        <x:f>IF(E2123=F2123,"PASS","FAIL")</x:f>
        <x:v>PASS</x:v>
      </x:c>
    </x:row>
    <x:row r="2124">
      <x:c r="B2124" s="21" t="str">
        <x:v>A02118</x:v>
      </x:c>
      <x:c r="C2124" s="21" t="str">
        <x:v>artifact</x:v>
      </x:c>
      <x:c r="D2124" s="21" t="str">
        <x:v>artifact 537 planning state</x:v>
      </x:c>
      <x:c r="E2124" s="21" t="n">
        <x:f>IF(AND('Artifact Ledger'!Q543="OPEN",'Artifact Ledger'!R543="HOLD"),1,0)</x:f>
        <x:v>1</x:v>
      </x:c>
      <x:c r="F2124" s="21" t="n">
        <x:v>1</x:v>
      </x:c>
      <x:c r="G2124" s="23" t="str">
        <x:f>IF(E2124=F2124,"PASS","FAIL")</x:f>
        <x:v>PASS</x:v>
      </x:c>
    </x:row>
    <x:row r="2125">
      <x:c r="B2125" s="21" t="str">
        <x:v>A02119</x:v>
      </x:c>
      <x:c r="C2125" s="21" t="str">
        <x:v>artifact</x:v>
      </x:c>
      <x:c r="D2125" s="21" t="str">
        <x:v>artifact 538 eligibility equation</x:v>
      </x:c>
      <x:c r="E2125" s="21" t="n">
        <x:f>IF(ABS('Artifact Ledger'!P544-IF(AND('Artifact Ledger'!L544=1,'Artifact Ledger'!M544=1,'Artifact Ledger'!N544=1,'Artifact Ledger'!O544&gt;='Artifact Ledger'!G544),'Artifact Ledger'!K544,0))&lt;0.000001,1,0)</x:f>
        <x:v>1</x:v>
      </x:c>
      <x:c r="F2125" s="21" t="n">
        <x:v>1</x:v>
      </x:c>
      <x:c r="G2125" s="23" t="str">
        <x:f>IF(E2125=F2125,"PASS","FAIL")</x:f>
        <x:v>PASS</x:v>
      </x:c>
    </x:row>
    <x:row r="2126">
      <x:c r="B2126" s="21" t="str">
        <x:v>A02120</x:v>
      </x:c>
      <x:c r="C2126" s="21" t="str">
        <x:v>artifact</x:v>
      </x:c>
      <x:c r="D2126" s="21" t="str">
        <x:v>artifact 538 planning state</x:v>
      </x:c>
      <x:c r="E2126" s="21" t="n">
        <x:f>IF(AND('Artifact Ledger'!Q544="OPEN",'Artifact Ledger'!R544="HOLD"),1,0)</x:f>
        <x:v>1</x:v>
      </x:c>
      <x:c r="F2126" s="21" t="n">
        <x:v>1</x:v>
      </x:c>
      <x:c r="G2126" s="23" t="str">
        <x:f>IF(E2126=F2126,"PASS","FAIL")</x:f>
        <x:v>PASS</x:v>
      </x:c>
    </x:row>
    <x:row r="2127">
      <x:c r="B2127" s="21" t="str">
        <x:v>A02121</x:v>
      </x:c>
      <x:c r="C2127" s="21" t="str">
        <x:v>artifact</x:v>
      </x:c>
      <x:c r="D2127" s="21" t="str">
        <x:v>artifact 539 eligibility equation</x:v>
      </x:c>
      <x:c r="E2127" s="21" t="n">
        <x:f>IF(ABS('Artifact Ledger'!P545-IF(AND('Artifact Ledger'!L545=1,'Artifact Ledger'!M545=1,'Artifact Ledger'!N545=1,'Artifact Ledger'!O545&gt;='Artifact Ledger'!G545),'Artifact Ledger'!K545,0))&lt;0.000001,1,0)</x:f>
        <x:v>1</x:v>
      </x:c>
      <x:c r="F2127" s="21" t="n">
        <x:v>1</x:v>
      </x:c>
      <x:c r="G2127" s="23" t="str">
        <x:f>IF(E2127=F2127,"PASS","FAIL")</x:f>
        <x:v>PASS</x:v>
      </x:c>
    </x:row>
    <x:row r="2128">
      <x:c r="B2128" s="21" t="str">
        <x:v>A02122</x:v>
      </x:c>
      <x:c r="C2128" s="21" t="str">
        <x:v>artifact</x:v>
      </x:c>
      <x:c r="D2128" s="21" t="str">
        <x:v>artifact 539 planning state</x:v>
      </x:c>
      <x:c r="E2128" s="21" t="n">
        <x:f>IF(AND('Artifact Ledger'!Q545="OPEN",'Artifact Ledger'!R545="HOLD"),1,0)</x:f>
        <x:v>1</x:v>
      </x:c>
      <x:c r="F2128" s="21" t="n">
        <x:v>1</x:v>
      </x:c>
      <x:c r="G2128" s="23" t="str">
        <x:f>IF(E2128=F2128,"PASS","FAIL")</x:f>
        <x:v>PASS</x:v>
      </x:c>
    </x:row>
    <x:row r="2129">
      <x:c r="B2129" s="21" t="str">
        <x:v>A02123</x:v>
      </x:c>
      <x:c r="C2129" s="21" t="str">
        <x:v>artifact</x:v>
      </x:c>
      <x:c r="D2129" s="21" t="str">
        <x:v>artifact 540 eligibility equation</x:v>
      </x:c>
      <x:c r="E2129" s="21" t="n">
        <x:f>IF(ABS('Artifact Ledger'!P546-IF(AND('Artifact Ledger'!L546=1,'Artifact Ledger'!M546=1,'Artifact Ledger'!N546=1,'Artifact Ledger'!O546&gt;='Artifact Ledger'!G546),'Artifact Ledger'!K546,0))&lt;0.000001,1,0)</x:f>
        <x:v>1</x:v>
      </x:c>
      <x:c r="F2129" s="21" t="n">
        <x:v>1</x:v>
      </x:c>
      <x:c r="G2129" s="23" t="str">
        <x:f>IF(E2129=F2129,"PASS","FAIL")</x:f>
        <x:v>PASS</x:v>
      </x:c>
    </x:row>
    <x:row r="2130">
      <x:c r="B2130" s="21" t="str">
        <x:v>A02124</x:v>
      </x:c>
      <x:c r="C2130" s="21" t="str">
        <x:v>artifact</x:v>
      </x:c>
      <x:c r="D2130" s="21" t="str">
        <x:v>artifact 540 planning state</x:v>
      </x:c>
      <x:c r="E2130" s="21" t="n">
        <x:f>IF(AND('Artifact Ledger'!Q546="OPEN",'Artifact Ledger'!R546="HOLD"),1,0)</x:f>
        <x:v>1</x:v>
      </x:c>
      <x:c r="F2130" s="21" t="n">
        <x:v>1</x:v>
      </x:c>
      <x:c r="G2130" s="23" t="str">
        <x:f>IF(E2130=F2130,"PASS","FAIL")</x:f>
        <x:v>PASS</x:v>
      </x:c>
    </x:row>
    <x:row r="2131">
      <x:c r="B2131" s="21" t="str">
        <x:v>A02125</x:v>
      </x:c>
      <x:c r="C2131" s="21" t="str">
        <x:v>artifact</x:v>
      </x:c>
      <x:c r="D2131" s="21" t="str">
        <x:v>artifact 541 eligibility equation</x:v>
      </x:c>
      <x:c r="E2131" s="21" t="n">
        <x:f>IF(ABS('Artifact Ledger'!P547-IF(AND('Artifact Ledger'!L547=1,'Artifact Ledger'!M547=1,'Artifact Ledger'!N547=1,'Artifact Ledger'!O547&gt;='Artifact Ledger'!G547),'Artifact Ledger'!K547,0))&lt;0.000001,1,0)</x:f>
        <x:v>1</x:v>
      </x:c>
      <x:c r="F2131" s="21" t="n">
        <x:v>1</x:v>
      </x:c>
      <x:c r="G2131" s="23" t="str">
        <x:f>IF(E2131=F2131,"PASS","FAIL")</x:f>
        <x:v>PASS</x:v>
      </x:c>
    </x:row>
    <x:row r="2132">
      <x:c r="B2132" s="21" t="str">
        <x:v>A02126</x:v>
      </x:c>
      <x:c r="C2132" s="21" t="str">
        <x:v>artifact</x:v>
      </x:c>
      <x:c r="D2132" s="21" t="str">
        <x:v>artifact 541 planning state</x:v>
      </x:c>
      <x:c r="E2132" s="21" t="n">
        <x:f>IF(AND('Artifact Ledger'!Q547="OPEN",'Artifact Ledger'!R547="HOLD"),1,0)</x:f>
        <x:v>1</x:v>
      </x:c>
      <x:c r="F2132" s="21" t="n">
        <x:v>1</x:v>
      </x:c>
      <x:c r="G2132" s="23" t="str">
        <x:f>IF(E2132=F2132,"PASS","FAIL")</x:f>
        <x:v>PASS</x:v>
      </x:c>
    </x:row>
    <x:row r="2133">
      <x:c r="B2133" s="21" t="str">
        <x:v>A02127</x:v>
      </x:c>
      <x:c r="C2133" s="21" t="str">
        <x:v>artifact</x:v>
      </x:c>
      <x:c r="D2133" s="21" t="str">
        <x:v>artifact 542 eligibility equation</x:v>
      </x:c>
      <x:c r="E2133" s="21" t="n">
        <x:f>IF(ABS('Artifact Ledger'!P548-IF(AND('Artifact Ledger'!L548=1,'Artifact Ledger'!M548=1,'Artifact Ledger'!N548=1,'Artifact Ledger'!O548&gt;='Artifact Ledger'!G548),'Artifact Ledger'!K548,0))&lt;0.000001,1,0)</x:f>
        <x:v>1</x:v>
      </x:c>
      <x:c r="F2133" s="21" t="n">
        <x:v>1</x:v>
      </x:c>
      <x:c r="G2133" s="23" t="str">
        <x:f>IF(E2133=F2133,"PASS","FAIL")</x:f>
        <x:v>PASS</x:v>
      </x:c>
    </x:row>
    <x:row r="2134">
      <x:c r="B2134" s="21" t="str">
        <x:v>A02128</x:v>
      </x:c>
      <x:c r="C2134" s="21" t="str">
        <x:v>artifact</x:v>
      </x:c>
      <x:c r="D2134" s="21" t="str">
        <x:v>artifact 542 planning state</x:v>
      </x:c>
      <x:c r="E2134" s="21" t="n">
        <x:f>IF(AND('Artifact Ledger'!Q548="OPEN",'Artifact Ledger'!R548="HOLD"),1,0)</x:f>
        <x:v>1</x:v>
      </x:c>
      <x:c r="F2134" s="21" t="n">
        <x:v>1</x:v>
      </x:c>
      <x:c r="G2134" s="23" t="str">
        <x:f>IF(E2134=F2134,"PASS","FAIL")</x:f>
        <x:v>PASS</x:v>
      </x:c>
    </x:row>
    <x:row r="2135">
      <x:c r="B2135" s="21" t="str">
        <x:v>A02129</x:v>
      </x:c>
      <x:c r="C2135" s="21" t="str">
        <x:v>artifact</x:v>
      </x:c>
      <x:c r="D2135" s="21" t="str">
        <x:v>artifact 543 eligibility equation</x:v>
      </x:c>
      <x:c r="E2135" s="21" t="n">
        <x:f>IF(ABS('Artifact Ledger'!P549-IF(AND('Artifact Ledger'!L549=1,'Artifact Ledger'!M549=1,'Artifact Ledger'!N549=1,'Artifact Ledger'!O549&gt;='Artifact Ledger'!G549),'Artifact Ledger'!K549,0))&lt;0.000001,1,0)</x:f>
        <x:v>1</x:v>
      </x:c>
      <x:c r="F2135" s="21" t="n">
        <x:v>1</x:v>
      </x:c>
      <x:c r="G2135" s="23" t="str">
        <x:f>IF(E2135=F2135,"PASS","FAIL")</x:f>
        <x:v>PASS</x:v>
      </x:c>
    </x:row>
    <x:row r="2136">
      <x:c r="B2136" s="21" t="str">
        <x:v>A02130</x:v>
      </x:c>
      <x:c r="C2136" s="21" t="str">
        <x:v>artifact</x:v>
      </x:c>
      <x:c r="D2136" s="21" t="str">
        <x:v>artifact 543 planning state</x:v>
      </x:c>
      <x:c r="E2136" s="21" t="n">
        <x:f>IF(AND('Artifact Ledger'!Q549="OPEN",'Artifact Ledger'!R549="HOLD"),1,0)</x:f>
        <x:v>1</x:v>
      </x:c>
      <x:c r="F2136" s="21" t="n">
        <x:v>1</x:v>
      </x:c>
      <x:c r="G2136" s="23" t="str">
        <x:f>IF(E2136=F2136,"PASS","FAIL")</x:f>
        <x:v>PASS</x:v>
      </x:c>
    </x:row>
    <x:row r="2137">
      <x:c r="B2137" s="21" t="str">
        <x:v>A02131</x:v>
      </x:c>
      <x:c r="C2137" s="21" t="str">
        <x:v>artifact</x:v>
      </x:c>
      <x:c r="D2137" s="21" t="str">
        <x:v>artifact 544 eligibility equation</x:v>
      </x:c>
      <x:c r="E2137" s="21" t="n">
        <x:f>IF(ABS('Artifact Ledger'!P550-IF(AND('Artifact Ledger'!L550=1,'Artifact Ledger'!M550=1,'Artifact Ledger'!N550=1,'Artifact Ledger'!O550&gt;='Artifact Ledger'!G550),'Artifact Ledger'!K550,0))&lt;0.000001,1,0)</x:f>
        <x:v>1</x:v>
      </x:c>
      <x:c r="F2137" s="21" t="n">
        <x:v>1</x:v>
      </x:c>
      <x:c r="G2137" s="23" t="str">
        <x:f>IF(E2137=F2137,"PASS","FAIL")</x:f>
        <x:v>PASS</x:v>
      </x:c>
    </x:row>
    <x:row r="2138">
      <x:c r="B2138" s="21" t="str">
        <x:v>A02132</x:v>
      </x:c>
      <x:c r="C2138" s="21" t="str">
        <x:v>artifact</x:v>
      </x:c>
      <x:c r="D2138" s="21" t="str">
        <x:v>artifact 544 planning state</x:v>
      </x:c>
      <x:c r="E2138" s="21" t="n">
        <x:f>IF(AND('Artifact Ledger'!Q550="OPEN",'Artifact Ledger'!R550="HOLD"),1,0)</x:f>
        <x:v>1</x:v>
      </x:c>
      <x:c r="F2138" s="21" t="n">
        <x:v>1</x:v>
      </x:c>
      <x:c r="G2138" s="23" t="str">
        <x:f>IF(E2138=F2138,"PASS","FAIL")</x:f>
        <x:v>PASS</x:v>
      </x:c>
    </x:row>
    <x:row r="2139">
      <x:c r="B2139" s="21" t="str">
        <x:v>A02133</x:v>
      </x:c>
      <x:c r="C2139" s="21" t="str">
        <x:v>artifact</x:v>
      </x:c>
      <x:c r="D2139" s="21" t="str">
        <x:v>artifact 545 eligibility equation</x:v>
      </x:c>
      <x:c r="E2139" s="21" t="n">
        <x:f>IF(ABS('Artifact Ledger'!P551-IF(AND('Artifact Ledger'!L551=1,'Artifact Ledger'!M551=1,'Artifact Ledger'!N551=1,'Artifact Ledger'!O551&gt;='Artifact Ledger'!G551),'Artifact Ledger'!K551,0))&lt;0.000001,1,0)</x:f>
        <x:v>1</x:v>
      </x:c>
      <x:c r="F2139" s="21" t="n">
        <x:v>1</x:v>
      </x:c>
      <x:c r="G2139" s="23" t="str">
        <x:f>IF(E2139=F2139,"PASS","FAIL")</x:f>
        <x:v>PASS</x:v>
      </x:c>
    </x:row>
    <x:row r="2140">
      <x:c r="B2140" s="21" t="str">
        <x:v>A02134</x:v>
      </x:c>
      <x:c r="C2140" s="21" t="str">
        <x:v>artifact</x:v>
      </x:c>
      <x:c r="D2140" s="21" t="str">
        <x:v>artifact 545 planning state</x:v>
      </x:c>
      <x:c r="E2140" s="21" t="n">
        <x:f>IF(AND('Artifact Ledger'!Q551="OPEN",'Artifact Ledger'!R551="HOLD"),1,0)</x:f>
        <x:v>1</x:v>
      </x:c>
      <x:c r="F2140" s="21" t="n">
        <x:v>1</x:v>
      </x:c>
      <x:c r="G2140" s="23" t="str">
        <x:f>IF(E2140=F2140,"PASS","FAIL")</x:f>
        <x:v>PASS</x:v>
      </x:c>
    </x:row>
    <x:row r="2141">
      <x:c r="B2141" s="21" t="str">
        <x:v>A02135</x:v>
      </x:c>
      <x:c r="C2141" s="21" t="str">
        <x:v>artifact</x:v>
      </x:c>
      <x:c r="D2141" s="21" t="str">
        <x:v>artifact 546 eligibility equation</x:v>
      </x:c>
      <x:c r="E2141" s="21" t="n">
        <x:f>IF(ABS('Artifact Ledger'!P552-IF(AND('Artifact Ledger'!L552=1,'Artifact Ledger'!M552=1,'Artifact Ledger'!N552=1,'Artifact Ledger'!O552&gt;='Artifact Ledger'!G552),'Artifact Ledger'!K552,0))&lt;0.000001,1,0)</x:f>
        <x:v>1</x:v>
      </x:c>
      <x:c r="F2141" s="21" t="n">
        <x:v>1</x:v>
      </x:c>
      <x:c r="G2141" s="23" t="str">
        <x:f>IF(E2141=F2141,"PASS","FAIL")</x:f>
        <x:v>PASS</x:v>
      </x:c>
    </x:row>
    <x:row r="2142">
      <x:c r="B2142" s="21" t="str">
        <x:v>A02136</x:v>
      </x:c>
      <x:c r="C2142" s="21" t="str">
        <x:v>artifact</x:v>
      </x:c>
      <x:c r="D2142" s="21" t="str">
        <x:v>artifact 546 planning state</x:v>
      </x:c>
      <x:c r="E2142" s="21" t="n">
        <x:f>IF(AND('Artifact Ledger'!Q552="OPEN",'Artifact Ledger'!R552="HOLD"),1,0)</x:f>
        <x:v>1</x:v>
      </x:c>
      <x:c r="F2142" s="21" t="n">
        <x:v>1</x:v>
      </x:c>
      <x:c r="G2142" s="23" t="str">
        <x:f>IF(E2142=F2142,"PASS","FAIL")</x:f>
        <x:v>PASS</x:v>
      </x:c>
    </x:row>
    <x:row r="2143">
      <x:c r="B2143" s="21" t="str">
        <x:v>A02137</x:v>
      </x:c>
      <x:c r="C2143" s="21" t="str">
        <x:v>artifact</x:v>
      </x:c>
      <x:c r="D2143" s="21" t="str">
        <x:v>artifact 547 eligibility equation</x:v>
      </x:c>
      <x:c r="E2143" s="21" t="n">
        <x:f>IF(ABS('Artifact Ledger'!P553-IF(AND('Artifact Ledger'!L553=1,'Artifact Ledger'!M553=1,'Artifact Ledger'!N553=1,'Artifact Ledger'!O553&gt;='Artifact Ledger'!G553),'Artifact Ledger'!K553,0))&lt;0.000001,1,0)</x:f>
        <x:v>1</x:v>
      </x:c>
      <x:c r="F2143" s="21" t="n">
        <x:v>1</x:v>
      </x:c>
      <x:c r="G2143" s="23" t="str">
        <x:f>IF(E2143=F2143,"PASS","FAIL")</x:f>
        <x:v>PASS</x:v>
      </x:c>
    </x:row>
    <x:row r="2144">
      <x:c r="B2144" s="21" t="str">
        <x:v>A02138</x:v>
      </x:c>
      <x:c r="C2144" s="21" t="str">
        <x:v>artifact</x:v>
      </x:c>
      <x:c r="D2144" s="21" t="str">
        <x:v>artifact 547 planning state</x:v>
      </x:c>
      <x:c r="E2144" s="21" t="n">
        <x:f>IF(AND('Artifact Ledger'!Q553="OPEN",'Artifact Ledger'!R553="HOLD"),1,0)</x:f>
        <x:v>1</x:v>
      </x:c>
      <x:c r="F2144" s="21" t="n">
        <x:v>1</x:v>
      </x:c>
      <x:c r="G2144" s="23" t="str">
        <x:f>IF(E2144=F2144,"PASS","FAIL")</x:f>
        <x:v>PASS</x:v>
      </x:c>
    </x:row>
    <x:row r="2145">
      <x:c r="B2145" s="21" t="str">
        <x:v>A02139</x:v>
      </x:c>
      <x:c r="C2145" s="21" t="str">
        <x:v>artifact</x:v>
      </x:c>
      <x:c r="D2145" s="21" t="str">
        <x:v>artifact 548 eligibility equation</x:v>
      </x:c>
      <x:c r="E2145" s="21" t="n">
        <x:f>IF(ABS('Artifact Ledger'!P554-IF(AND('Artifact Ledger'!L554=1,'Artifact Ledger'!M554=1,'Artifact Ledger'!N554=1,'Artifact Ledger'!O554&gt;='Artifact Ledger'!G554),'Artifact Ledger'!K554,0))&lt;0.000001,1,0)</x:f>
        <x:v>1</x:v>
      </x:c>
      <x:c r="F2145" s="21" t="n">
        <x:v>1</x:v>
      </x:c>
      <x:c r="G2145" s="23" t="str">
        <x:f>IF(E2145=F2145,"PASS","FAIL")</x:f>
        <x:v>PASS</x:v>
      </x:c>
    </x:row>
    <x:row r="2146">
      <x:c r="B2146" s="21" t="str">
        <x:v>A02140</x:v>
      </x:c>
      <x:c r="C2146" s="21" t="str">
        <x:v>artifact</x:v>
      </x:c>
      <x:c r="D2146" s="21" t="str">
        <x:v>artifact 548 planning state</x:v>
      </x:c>
      <x:c r="E2146" s="21" t="n">
        <x:f>IF(AND('Artifact Ledger'!Q554="OPEN",'Artifact Ledger'!R554="HOLD"),1,0)</x:f>
        <x:v>1</x:v>
      </x:c>
      <x:c r="F2146" s="21" t="n">
        <x:v>1</x:v>
      </x:c>
      <x:c r="G2146" s="23" t="str">
        <x:f>IF(E2146=F2146,"PASS","FAIL")</x:f>
        <x:v>PASS</x:v>
      </x:c>
    </x:row>
    <x:row r="2147">
      <x:c r="B2147" s="21" t="str">
        <x:v>A02141</x:v>
      </x:c>
      <x:c r="C2147" s="21" t="str">
        <x:v>artifact</x:v>
      </x:c>
      <x:c r="D2147" s="21" t="str">
        <x:v>artifact 549 eligibility equation</x:v>
      </x:c>
      <x:c r="E2147" s="21" t="n">
        <x:f>IF(ABS('Artifact Ledger'!P555-IF(AND('Artifact Ledger'!L555=1,'Artifact Ledger'!M555=1,'Artifact Ledger'!N555=1,'Artifact Ledger'!O555&gt;='Artifact Ledger'!G555),'Artifact Ledger'!K555,0))&lt;0.000001,1,0)</x:f>
        <x:v>1</x:v>
      </x:c>
      <x:c r="F2147" s="21" t="n">
        <x:v>1</x:v>
      </x:c>
      <x:c r="G2147" s="23" t="str">
        <x:f>IF(E2147=F2147,"PASS","FAIL")</x:f>
        <x:v>PASS</x:v>
      </x:c>
    </x:row>
    <x:row r="2148">
      <x:c r="B2148" s="21" t="str">
        <x:v>A02142</x:v>
      </x:c>
      <x:c r="C2148" s="21" t="str">
        <x:v>artifact</x:v>
      </x:c>
      <x:c r="D2148" s="21" t="str">
        <x:v>artifact 549 planning state</x:v>
      </x:c>
      <x:c r="E2148" s="21" t="n">
        <x:f>IF(AND('Artifact Ledger'!Q555="OPEN",'Artifact Ledger'!R555="HOLD"),1,0)</x:f>
        <x:v>1</x:v>
      </x:c>
      <x:c r="F2148" s="21" t="n">
        <x:v>1</x:v>
      </x:c>
      <x:c r="G2148" s="23" t="str">
        <x:f>IF(E2148=F2148,"PASS","FAIL")</x:f>
        <x:v>PASS</x:v>
      </x:c>
    </x:row>
    <x:row r="2149">
      <x:c r="B2149" s="21" t="str">
        <x:v>A02143</x:v>
      </x:c>
      <x:c r="C2149" s="21" t="str">
        <x:v>artifact</x:v>
      </x:c>
      <x:c r="D2149" s="21" t="str">
        <x:v>artifact 550 eligibility equation</x:v>
      </x:c>
      <x:c r="E2149" s="21" t="n">
        <x:f>IF(ABS('Artifact Ledger'!P556-IF(AND('Artifact Ledger'!L556=1,'Artifact Ledger'!M556=1,'Artifact Ledger'!N556=1,'Artifact Ledger'!O556&gt;='Artifact Ledger'!G556),'Artifact Ledger'!K556,0))&lt;0.000001,1,0)</x:f>
        <x:v>1</x:v>
      </x:c>
      <x:c r="F2149" s="21" t="n">
        <x:v>1</x:v>
      </x:c>
      <x:c r="G2149" s="23" t="str">
        <x:f>IF(E2149=F2149,"PASS","FAIL")</x:f>
        <x:v>PASS</x:v>
      </x:c>
    </x:row>
    <x:row r="2150">
      <x:c r="B2150" s="21" t="str">
        <x:v>A02144</x:v>
      </x:c>
      <x:c r="C2150" s="21" t="str">
        <x:v>artifact</x:v>
      </x:c>
      <x:c r="D2150" s="21" t="str">
        <x:v>artifact 550 planning state</x:v>
      </x:c>
      <x:c r="E2150" s="21" t="n">
        <x:f>IF(AND('Artifact Ledger'!Q556="OPEN",'Artifact Ledger'!R556="HOLD"),1,0)</x:f>
        <x:v>1</x:v>
      </x:c>
      <x:c r="F2150" s="21" t="n">
        <x:v>1</x:v>
      </x:c>
      <x:c r="G2150" s="23" t="str">
        <x:f>IF(E2150=F2150,"PASS","FAIL")</x:f>
        <x:v>PASS</x:v>
      </x:c>
    </x:row>
    <x:row r="2151">
      <x:c r="B2151" s="21" t="str">
        <x:v>A02145</x:v>
      </x:c>
      <x:c r="C2151" s="21" t="str">
        <x:v>artifact</x:v>
      </x:c>
      <x:c r="D2151" s="21" t="str">
        <x:v>artifact 551 eligibility equation</x:v>
      </x:c>
      <x:c r="E2151" s="21" t="n">
        <x:f>IF(ABS('Artifact Ledger'!P557-IF(AND('Artifact Ledger'!L557=1,'Artifact Ledger'!M557=1,'Artifact Ledger'!N557=1,'Artifact Ledger'!O557&gt;='Artifact Ledger'!G557),'Artifact Ledger'!K557,0))&lt;0.000001,1,0)</x:f>
        <x:v>1</x:v>
      </x:c>
      <x:c r="F2151" s="21" t="n">
        <x:v>1</x:v>
      </x:c>
      <x:c r="G2151" s="23" t="str">
        <x:f>IF(E2151=F2151,"PASS","FAIL")</x:f>
        <x:v>PASS</x:v>
      </x:c>
    </x:row>
    <x:row r="2152">
      <x:c r="B2152" s="21" t="str">
        <x:v>A02146</x:v>
      </x:c>
      <x:c r="C2152" s="21" t="str">
        <x:v>artifact</x:v>
      </x:c>
      <x:c r="D2152" s="21" t="str">
        <x:v>artifact 551 planning state</x:v>
      </x:c>
      <x:c r="E2152" s="21" t="n">
        <x:f>IF(AND('Artifact Ledger'!Q557="OPEN",'Artifact Ledger'!R557="HOLD"),1,0)</x:f>
        <x:v>1</x:v>
      </x:c>
      <x:c r="F2152" s="21" t="n">
        <x:v>1</x:v>
      </x:c>
      <x:c r="G2152" s="23" t="str">
        <x:f>IF(E2152=F2152,"PASS","FAIL")</x:f>
        <x:v>PASS</x:v>
      </x:c>
    </x:row>
    <x:row r="2153">
      <x:c r="B2153" s="21" t="str">
        <x:v>A02147</x:v>
      </x:c>
      <x:c r="C2153" s="21" t="str">
        <x:v>artifact</x:v>
      </x:c>
      <x:c r="D2153" s="21" t="str">
        <x:v>artifact 552 eligibility equation</x:v>
      </x:c>
      <x:c r="E2153" s="21" t="n">
        <x:f>IF(ABS('Artifact Ledger'!P558-IF(AND('Artifact Ledger'!L558=1,'Artifact Ledger'!M558=1,'Artifact Ledger'!N558=1,'Artifact Ledger'!O558&gt;='Artifact Ledger'!G558),'Artifact Ledger'!K558,0))&lt;0.000001,1,0)</x:f>
        <x:v>1</x:v>
      </x:c>
      <x:c r="F2153" s="21" t="n">
        <x:v>1</x:v>
      </x:c>
      <x:c r="G2153" s="23" t="str">
        <x:f>IF(E2153=F2153,"PASS","FAIL")</x:f>
        <x:v>PASS</x:v>
      </x:c>
    </x:row>
    <x:row r="2154">
      <x:c r="B2154" s="21" t="str">
        <x:v>A02148</x:v>
      </x:c>
      <x:c r="C2154" s="21" t="str">
        <x:v>artifact</x:v>
      </x:c>
      <x:c r="D2154" s="21" t="str">
        <x:v>artifact 552 planning state</x:v>
      </x:c>
      <x:c r="E2154" s="21" t="n">
        <x:f>IF(AND('Artifact Ledger'!Q558="OPEN",'Artifact Ledger'!R558="HOLD"),1,0)</x:f>
        <x:v>1</x:v>
      </x:c>
      <x:c r="F2154" s="21" t="n">
        <x:v>1</x:v>
      </x:c>
      <x:c r="G2154" s="23" t="str">
        <x:f>IF(E2154=F2154,"PASS","FAIL")</x:f>
        <x:v>PASS</x:v>
      </x:c>
    </x:row>
    <x:row r="2155">
      <x:c r="B2155" s="21" t="str">
        <x:v>A02149</x:v>
      </x:c>
      <x:c r="C2155" s="21" t="str">
        <x:v>artifact</x:v>
      </x:c>
      <x:c r="D2155" s="21" t="str">
        <x:v>artifact 553 eligibility equation</x:v>
      </x:c>
      <x:c r="E2155" s="21" t="n">
        <x:f>IF(ABS('Artifact Ledger'!P559-IF(AND('Artifact Ledger'!L559=1,'Artifact Ledger'!M559=1,'Artifact Ledger'!N559=1,'Artifact Ledger'!O559&gt;='Artifact Ledger'!G559),'Artifact Ledger'!K559,0))&lt;0.000001,1,0)</x:f>
        <x:v>1</x:v>
      </x:c>
      <x:c r="F2155" s="21" t="n">
        <x:v>1</x:v>
      </x:c>
      <x:c r="G2155" s="23" t="str">
        <x:f>IF(E2155=F2155,"PASS","FAIL")</x:f>
        <x:v>PASS</x:v>
      </x:c>
    </x:row>
    <x:row r="2156">
      <x:c r="B2156" s="21" t="str">
        <x:v>A02150</x:v>
      </x:c>
      <x:c r="C2156" s="21" t="str">
        <x:v>artifact</x:v>
      </x:c>
      <x:c r="D2156" s="21" t="str">
        <x:v>artifact 553 planning state</x:v>
      </x:c>
      <x:c r="E2156" s="21" t="n">
        <x:f>IF(AND('Artifact Ledger'!Q559="OPEN",'Artifact Ledger'!R559="HOLD"),1,0)</x:f>
        <x:v>1</x:v>
      </x:c>
      <x:c r="F2156" s="21" t="n">
        <x:v>1</x:v>
      </x:c>
      <x:c r="G2156" s="23" t="str">
        <x:f>IF(E2156=F2156,"PASS","FAIL")</x:f>
        <x:v>PASS</x:v>
      </x:c>
    </x:row>
    <x:row r="2157">
      <x:c r="B2157" s="21" t="str">
        <x:v>A02151</x:v>
      </x:c>
      <x:c r="C2157" s="21" t="str">
        <x:v>artifact</x:v>
      </x:c>
      <x:c r="D2157" s="21" t="str">
        <x:v>artifact 554 eligibility equation</x:v>
      </x:c>
      <x:c r="E2157" s="21" t="n">
        <x:f>IF(ABS('Artifact Ledger'!P560-IF(AND('Artifact Ledger'!L560=1,'Artifact Ledger'!M560=1,'Artifact Ledger'!N560=1,'Artifact Ledger'!O560&gt;='Artifact Ledger'!G560),'Artifact Ledger'!K560,0))&lt;0.000001,1,0)</x:f>
        <x:v>1</x:v>
      </x:c>
      <x:c r="F2157" s="21" t="n">
        <x:v>1</x:v>
      </x:c>
      <x:c r="G2157" s="23" t="str">
        <x:f>IF(E2157=F2157,"PASS","FAIL")</x:f>
        <x:v>PASS</x:v>
      </x:c>
    </x:row>
    <x:row r="2158">
      <x:c r="B2158" s="21" t="str">
        <x:v>A02152</x:v>
      </x:c>
      <x:c r="C2158" s="21" t="str">
        <x:v>artifact</x:v>
      </x:c>
      <x:c r="D2158" s="21" t="str">
        <x:v>artifact 554 planning state</x:v>
      </x:c>
      <x:c r="E2158" s="21" t="n">
        <x:f>IF(AND('Artifact Ledger'!Q560="OPEN",'Artifact Ledger'!R560="HOLD"),1,0)</x:f>
        <x:v>1</x:v>
      </x:c>
      <x:c r="F2158" s="21" t="n">
        <x:v>1</x:v>
      </x:c>
      <x:c r="G2158" s="23" t="str">
        <x:f>IF(E2158=F2158,"PASS","FAIL")</x:f>
        <x:v>PASS</x:v>
      </x:c>
    </x:row>
    <x:row r="2159">
      <x:c r="B2159" s="21" t="str">
        <x:v>A02153</x:v>
      </x:c>
      <x:c r="C2159" s="21" t="str">
        <x:v>artifact</x:v>
      </x:c>
      <x:c r="D2159" s="21" t="str">
        <x:v>artifact 555 eligibility equation</x:v>
      </x:c>
      <x:c r="E2159" s="21" t="n">
        <x:f>IF(ABS('Artifact Ledger'!P561-IF(AND('Artifact Ledger'!L561=1,'Artifact Ledger'!M561=1,'Artifact Ledger'!N561=1,'Artifact Ledger'!O561&gt;='Artifact Ledger'!G561),'Artifact Ledger'!K561,0))&lt;0.000001,1,0)</x:f>
        <x:v>1</x:v>
      </x:c>
      <x:c r="F2159" s="21" t="n">
        <x:v>1</x:v>
      </x:c>
      <x:c r="G2159" s="23" t="str">
        <x:f>IF(E2159=F2159,"PASS","FAIL")</x:f>
        <x:v>PASS</x:v>
      </x:c>
    </x:row>
    <x:row r="2160">
      <x:c r="B2160" s="21" t="str">
        <x:v>A02154</x:v>
      </x:c>
      <x:c r="C2160" s="21" t="str">
        <x:v>artifact</x:v>
      </x:c>
      <x:c r="D2160" s="21" t="str">
        <x:v>artifact 555 planning state</x:v>
      </x:c>
      <x:c r="E2160" s="21" t="n">
        <x:f>IF(AND('Artifact Ledger'!Q561="OPEN",'Artifact Ledger'!R561="HOLD"),1,0)</x:f>
        <x:v>1</x:v>
      </x:c>
      <x:c r="F2160" s="21" t="n">
        <x:v>1</x:v>
      </x:c>
      <x:c r="G2160" s="23" t="str">
        <x:f>IF(E2160=F2160,"PASS","FAIL")</x:f>
        <x:v>PASS</x:v>
      </x:c>
    </x:row>
    <x:row r="2161">
      <x:c r="B2161" s="21" t="str">
        <x:v>A02155</x:v>
      </x:c>
      <x:c r="C2161" s="21" t="str">
        <x:v>artifact</x:v>
      </x:c>
      <x:c r="D2161" s="21" t="str">
        <x:v>artifact 556 eligibility equation</x:v>
      </x:c>
      <x:c r="E2161" s="21" t="n">
        <x:f>IF(ABS('Artifact Ledger'!P562-IF(AND('Artifact Ledger'!L562=1,'Artifact Ledger'!M562=1,'Artifact Ledger'!N562=1,'Artifact Ledger'!O562&gt;='Artifact Ledger'!G562),'Artifact Ledger'!K562,0))&lt;0.000001,1,0)</x:f>
        <x:v>1</x:v>
      </x:c>
      <x:c r="F2161" s="21" t="n">
        <x:v>1</x:v>
      </x:c>
      <x:c r="G2161" s="23" t="str">
        <x:f>IF(E2161=F2161,"PASS","FAIL")</x:f>
        <x:v>PASS</x:v>
      </x:c>
    </x:row>
    <x:row r="2162">
      <x:c r="B2162" s="21" t="str">
        <x:v>A02156</x:v>
      </x:c>
      <x:c r="C2162" s="21" t="str">
        <x:v>artifact</x:v>
      </x:c>
      <x:c r="D2162" s="21" t="str">
        <x:v>artifact 556 planning state</x:v>
      </x:c>
      <x:c r="E2162" s="21" t="n">
        <x:f>IF(AND('Artifact Ledger'!Q562="OPEN",'Artifact Ledger'!R562="HOLD"),1,0)</x:f>
        <x:v>1</x:v>
      </x:c>
      <x:c r="F2162" s="21" t="n">
        <x:v>1</x:v>
      </x:c>
      <x:c r="G2162" s="23" t="str">
        <x:f>IF(E2162=F2162,"PASS","FAIL")</x:f>
        <x:v>PASS</x:v>
      </x:c>
    </x:row>
    <x:row r="2163">
      <x:c r="B2163" s="21" t="str">
        <x:v>A02157</x:v>
      </x:c>
      <x:c r="C2163" s="21" t="str">
        <x:v>artifact</x:v>
      </x:c>
      <x:c r="D2163" s="21" t="str">
        <x:v>artifact 557 eligibility equation</x:v>
      </x:c>
      <x:c r="E2163" s="21" t="n">
        <x:f>IF(ABS('Artifact Ledger'!P563-IF(AND('Artifact Ledger'!L563=1,'Artifact Ledger'!M563=1,'Artifact Ledger'!N563=1,'Artifact Ledger'!O563&gt;='Artifact Ledger'!G563),'Artifact Ledger'!K563,0))&lt;0.000001,1,0)</x:f>
        <x:v>1</x:v>
      </x:c>
      <x:c r="F2163" s="21" t="n">
        <x:v>1</x:v>
      </x:c>
      <x:c r="G2163" s="23" t="str">
        <x:f>IF(E2163=F2163,"PASS","FAIL")</x:f>
        <x:v>PASS</x:v>
      </x:c>
    </x:row>
    <x:row r="2164">
      <x:c r="B2164" s="21" t="str">
        <x:v>A02158</x:v>
      </x:c>
      <x:c r="C2164" s="21" t="str">
        <x:v>artifact</x:v>
      </x:c>
      <x:c r="D2164" s="21" t="str">
        <x:v>artifact 557 planning state</x:v>
      </x:c>
      <x:c r="E2164" s="21" t="n">
        <x:f>IF(AND('Artifact Ledger'!Q563="OPEN",'Artifact Ledger'!R563="HOLD"),1,0)</x:f>
        <x:v>1</x:v>
      </x:c>
      <x:c r="F2164" s="21" t="n">
        <x:v>1</x:v>
      </x:c>
      <x:c r="G2164" s="23" t="str">
        <x:f>IF(E2164=F2164,"PASS","FAIL")</x:f>
        <x:v>PASS</x:v>
      </x:c>
    </x:row>
    <x:row r="2165">
      <x:c r="B2165" s="21" t="str">
        <x:v>A02159</x:v>
      </x:c>
      <x:c r="C2165" s="21" t="str">
        <x:v>artifact</x:v>
      </x:c>
      <x:c r="D2165" s="21" t="str">
        <x:v>artifact 558 eligibility equation</x:v>
      </x:c>
      <x:c r="E2165" s="21" t="n">
        <x:f>IF(ABS('Artifact Ledger'!P564-IF(AND('Artifact Ledger'!L564=1,'Artifact Ledger'!M564=1,'Artifact Ledger'!N564=1,'Artifact Ledger'!O564&gt;='Artifact Ledger'!G564),'Artifact Ledger'!K564,0))&lt;0.000001,1,0)</x:f>
        <x:v>1</x:v>
      </x:c>
      <x:c r="F2165" s="21" t="n">
        <x:v>1</x:v>
      </x:c>
      <x:c r="G2165" s="23" t="str">
        <x:f>IF(E2165=F2165,"PASS","FAIL")</x:f>
        <x:v>PASS</x:v>
      </x:c>
    </x:row>
    <x:row r="2166">
      <x:c r="B2166" s="21" t="str">
        <x:v>A02160</x:v>
      </x:c>
      <x:c r="C2166" s="21" t="str">
        <x:v>artifact</x:v>
      </x:c>
      <x:c r="D2166" s="21" t="str">
        <x:v>artifact 558 planning state</x:v>
      </x:c>
      <x:c r="E2166" s="21" t="n">
        <x:f>IF(AND('Artifact Ledger'!Q564="OPEN",'Artifact Ledger'!R564="HOLD"),1,0)</x:f>
        <x:v>1</x:v>
      </x:c>
      <x:c r="F2166" s="21" t="n">
        <x:v>1</x:v>
      </x:c>
      <x:c r="G2166" s="23" t="str">
        <x:f>IF(E2166=F2166,"PASS","FAIL")</x:f>
        <x:v>PASS</x:v>
      </x:c>
    </x:row>
    <x:row r="2167">
      <x:c r="B2167" s="21" t="str">
        <x:v>A02161</x:v>
      </x:c>
      <x:c r="C2167" s="21" t="str">
        <x:v>artifact</x:v>
      </x:c>
      <x:c r="D2167" s="21" t="str">
        <x:v>artifact 559 eligibility equation</x:v>
      </x:c>
      <x:c r="E2167" s="21" t="n">
        <x:f>IF(ABS('Artifact Ledger'!P565-IF(AND('Artifact Ledger'!L565=1,'Artifact Ledger'!M565=1,'Artifact Ledger'!N565=1,'Artifact Ledger'!O565&gt;='Artifact Ledger'!G565),'Artifact Ledger'!K565,0))&lt;0.000001,1,0)</x:f>
        <x:v>1</x:v>
      </x:c>
      <x:c r="F2167" s="21" t="n">
        <x:v>1</x:v>
      </x:c>
      <x:c r="G2167" s="23" t="str">
        <x:f>IF(E2167=F2167,"PASS","FAIL")</x:f>
        <x:v>PASS</x:v>
      </x:c>
    </x:row>
    <x:row r="2168">
      <x:c r="B2168" s="21" t="str">
        <x:v>A02162</x:v>
      </x:c>
      <x:c r="C2168" s="21" t="str">
        <x:v>artifact</x:v>
      </x:c>
      <x:c r="D2168" s="21" t="str">
        <x:v>artifact 559 planning state</x:v>
      </x:c>
      <x:c r="E2168" s="21" t="n">
        <x:f>IF(AND('Artifact Ledger'!Q565="OPEN",'Artifact Ledger'!R565="HOLD"),1,0)</x:f>
        <x:v>1</x:v>
      </x:c>
      <x:c r="F2168" s="21" t="n">
        <x:v>1</x:v>
      </x:c>
      <x:c r="G2168" s="23" t="str">
        <x:f>IF(E2168=F2168,"PASS","FAIL")</x:f>
        <x:v>PASS</x:v>
      </x:c>
    </x:row>
    <x:row r="2169">
      <x:c r="B2169" s="21" t="str">
        <x:v>A02163</x:v>
      </x:c>
      <x:c r="C2169" s="21" t="str">
        <x:v>artifact</x:v>
      </x:c>
      <x:c r="D2169" s="21" t="str">
        <x:v>artifact 560 eligibility equation</x:v>
      </x:c>
      <x:c r="E2169" s="21" t="n">
        <x:f>IF(ABS('Artifact Ledger'!P566-IF(AND('Artifact Ledger'!L566=1,'Artifact Ledger'!M566=1,'Artifact Ledger'!N566=1,'Artifact Ledger'!O566&gt;='Artifact Ledger'!G566),'Artifact Ledger'!K566,0))&lt;0.000001,1,0)</x:f>
        <x:v>1</x:v>
      </x:c>
      <x:c r="F2169" s="21" t="n">
        <x:v>1</x:v>
      </x:c>
      <x:c r="G2169" s="23" t="str">
        <x:f>IF(E2169=F2169,"PASS","FAIL")</x:f>
        <x:v>PASS</x:v>
      </x:c>
    </x:row>
    <x:row r="2170">
      <x:c r="B2170" s="21" t="str">
        <x:v>A02164</x:v>
      </x:c>
      <x:c r="C2170" s="21" t="str">
        <x:v>artifact</x:v>
      </x:c>
      <x:c r="D2170" s="21" t="str">
        <x:v>artifact 560 planning state</x:v>
      </x:c>
      <x:c r="E2170" s="21" t="n">
        <x:f>IF(AND('Artifact Ledger'!Q566="OPEN",'Artifact Ledger'!R566="HOLD"),1,0)</x:f>
        <x:v>1</x:v>
      </x:c>
      <x:c r="F2170" s="21" t="n">
        <x:v>1</x:v>
      </x:c>
      <x:c r="G2170" s="23" t="str">
        <x:f>IF(E2170=F2170,"PASS","FAIL")</x:f>
        <x:v>PASS</x:v>
      </x:c>
    </x:row>
    <x:row r="2171">
      <x:c r="B2171" s="21" t="str">
        <x:v>A02165</x:v>
      </x:c>
      <x:c r="C2171" s="21" t="str">
        <x:v>artifact</x:v>
      </x:c>
      <x:c r="D2171" s="21" t="str">
        <x:v>artifact 561 eligibility equation</x:v>
      </x:c>
      <x:c r="E2171" s="21" t="n">
        <x:f>IF(ABS('Artifact Ledger'!P567-IF(AND('Artifact Ledger'!L567=1,'Artifact Ledger'!M567=1,'Artifact Ledger'!N567=1,'Artifact Ledger'!O567&gt;='Artifact Ledger'!G567),'Artifact Ledger'!K567,0))&lt;0.000001,1,0)</x:f>
        <x:v>1</x:v>
      </x:c>
      <x:c r="F2171" s="21" t="n">
        <x:v>1</x:v>
      </x:c>
      <x:c r="G2171" s="23" t="str">
        <x:f>IF(E2171=F2171,"PASS","FAIL")</x:f>
        <x:v>PASS</x:v>
      </x:c>
    </x:row>
    <x:row r="2172">
      <x:c r="B2172" s="21" t="str">
        <x:v>A02166</x:v>
      </x:c>
      <x:c r="C2172" s="21" t="str">
        <x:v>artifact</x:v>
      </x:c>
      <x:c r="D2172" s="21" t="str">
        <x:v>artifact 561 planning state</x:v>
      </x:c>
      <x:c r="E2172" s="21" t="n">
        <x:f>IF(AND('Artifact Ledger'!Q567="OPEN",'Artifact Ledger'!R567="HOLD"),1,0)</x:f>
        <x:v>1</x:v>
      </x:c>
      <x:c r="F2172" s="21" t="n">
        <x:v>1</x:v>
      </x:c>
      <x:c r="G2172" s="23" t="str">
        <x:f>IF(E2172=F2172,"PASS","FAIL")</x:f>
        <x:v>PASS</x:v>
      </x:c>
    </x:row>
    <x:row r="2173">
      <x:c r="B2173" s="21" t="str">
        <x:v>A02167</x:v>
      </x:c>
      <x:c r="C2173" s="21" t="str">
        <x:v>artifact</x:v>
      </x:c>
      <x:c r="D2173" s="21" t="str">
        <x:v>artifact 562 eligibility equation</x:v>
      </x:c>
      <x:c r="E2173" s="21" t="n">
        <x:f>IF(ABS('Artifact Ledger'!P568-IF(AND('Artifact Ledger'!L568=1,'Artifact Ledger'!M568=1,'Artifact Ledger'!N568=1,'Artifact Ledger'!O568&gt;='Artifact Ledger'!G568),'Artifact Ledger'!K568,0))&lt;0.000001,1,0)</x:f>
        <x:v>1</x:v>
      </x:c>
      <x:c r="F2173" s="21" t="n">
        <x:v>1</x:v>
      </x:c>
      <x:c r="G2173" s="23" t="str">
        <x:f>IF(E2173=F2173,"PASS","FAIL")</x:f>
        <x:v>PASS</x:v>
      </x:c>
    </x:row>
    <x:row r="2174">
      <x:c r="B2174" s="21" t="str">
        <x:v>A02168</x:v>
      </x:c>
      <x:c r="C2174" s="21" t="str">
        <x:v>artifact</x:v>
      </x:c>
      <x:c r="D2174" s="21" t="str">
        <x:v>artifact 562 planning state</x:v>
      </x:c>
      <x:c r="E2174" s="21" t="n">
        <x:f>IF(AND('Artifact Ledger'!Q568="OPEN",'Artifact Ledger'!R568="HOLD"),1,0)</x:f>
        <x:v>1</x:v>
      </x:c>
      <x:c r="F2174" s="21" t="n">
        <x:v>1</x:v>
      </x:c>
      <x:c r="G2174" s="23" t="str">
        <x:f>IF(E2174=F2174,"PASS","FAIL")</x:f>
        <x:v>PASS</x:v>
      </x:c>
    </x:row>
    <x:row r="2175">
      <x:c r="B2175" s="21" t="str">
        <x:v>A02169</x:v>
      </x:c>
      <x:c r="C2175" s="21" t="str">
        <x:v>artifact</x:v>
      </x:c>
      <x:c r="D2175" s="21" t="str">
        <x:v>artifact 563 eligibility equation</x:v>
      </x:c>
      <x:c r="E2175" s="21" t="n">
        <x:f>IF(ABS('Artifact Ledger'!P569-IF(AND('Artifact Ledger'!L569=1,'Artifact Ledger'!M569=1,'Artifact Ledger'!N569=1,'Artifact Ledger'!O569&gt;='Artifact Ledger'!G569),'Artifact Ledger'!K569,0))&lt;0.000001,1,0)</x:f>
        <x:v>1</x:v>
      </x:c>
      <x:c r="F2175" s="21" t="n">
        <x:v>1</x:v>
      </x:c>
      <x:c r="G2175" s="23" t="str">
        <x:f>IF(E2175=F2175,"PASS","FAIL")</x:f>
        <x:v>PASS</x:v>
      </x:c>
    </x:row>
    <x:row r="2176">
      <x:c r="B2176" s="21" t="str">
        <x:v>A02170</x:v>
      </x:c>
      <x:c r="C2176" s="21" t="str">
        <x:v>artifact</x:v>
      </x:c>
      <x:c r="D2176" s="21" t="str">
        <x:v>artifact 563 planning state</x:v>
      </x:c>
      <x:c r="E2176" s="21" t="n">
        <x:f>IF(AND('Artifact Ledger'!Q569="OPEN",'Artifact Ledger'!R569="HOLD"),1,0)</x:f>
        <x:v>1</x:v>
      </x:c>
      <x:c r="F2176" s="21" t="n">
        <x:v>1</x:v>
      </x:c>
      <x:c r="G2176" s="23" t="str">
        <x:f>IF(E2176=F2176,"PASS","FAIL")</x:f>
        <x:v>PASS</x:v>
      </x:c>
    </x:row>
    <x:row r="2177">
      <x:c r="B2177" s="21" t="str">
        <x:v>A02171</x:v>
      </x:c>
      <x:c r="C2177" s="21" t="str">
        <x:v>artifact</x:v>
      </x:c>
      <x:c r="D2177" s="21" t="str">
        <x:v>artifact 564 eligibility equation</x:v>
      </x:c>
      <x:c r="E2177" s="21" t="n">
        <x:f>IF(ABS('Artifact Ledger'!P570-IF(AND('Artifact Ledger'!L570=1,'Artifact Ledger'!M570=1,'Artifact Ledger'!N570=1,'Artifact Ledger'!O570&gt;='Artifact Ledger'!G570),'Artifact Ledger'!K570,0))&lt;0.000001,1,0)</x:f>
        <x:v>1</x:v>
      </x:c>
      <x:c r="F2177" s="21" t="n">
        <x:v>1</x:v>
      </x:c>
      <x:c r="G2177" s="23" t="str">
        <x:f>IF(E2177=F2177,"PASS","FAIL")</x:f>
        <x:v>PASS</x:v>
      </x:c>
    </x:row>
    <x:row r="2178">
      <x:c r="B2178" s="21" t="str">
        <x:v>A02172</x:v>
      </x:c>
      <x:c r="C2178" s="21" t="str">
        <x:v>artifact</x:v>
      </x:c>
      <x:c r="D2178" s="21" t="str">
        <x:v>artifact 564 planning state</x:v>
      </x:c>
      <x:c r="E2178" s="21" t="n">
        <x:f>IF(AND('Artifact Ledger'!Q570="OPEN",'Artifact Ledger'!R570="HOLD"),1,0)</x:f>
        <x:v>1</x:v>
      </x:c>
      <x:c r="F2178" s="21" t="n">
        <x:v>1</x:v>
      </x:c>
      <x:c r="G2178" s="23" t="str">
        <x:f>IF(E2178=F2178,"PASS","FAIL")</x:f>
        <x:v>PASS</x:v>
      </x:c>
    </x:row>
    <x:row r="2179">
      <x:c r="B2179" s="21" t="str">
        <x:v>A02173</x:v>
      </x:c>
      <x:c r="C2179" s="21" t="str">
        <x:v>artifact</x:v>
      </x:c>
      <x:c r="D2179" s="21" t="str">
        <x:v>artifact 565 eligibility equation</x:v>
      </x:c>
      <x:c r="E2179" s="21" t="n">
        <x:f>IF(ABS('Artifact Ledger'!P571-IF(AND('Artifact Ledger'!L571=1,'Artifact Ledger'!M571=1,'Artifact Ledger'!N571=1,'Artifact Ledger'!O571&gt;='Artifact Ledger'!G571),'Artifact Ledger'!K571,0))&lt;0.000001,1,0)</x:f>
        <x:v>1</x:v>
      </x:c>
      <x:c r="F2179" s="21" t="n">
        <x:v>1</x:v>
      </x:c>
      <x:c r="G2179" s="23" t="str">
        <x:f>IF(E2179=F2179,"PASS","FAIL")</x:f>
        <x:v>PASS</x:v>
      </x:c>
    </x:row>
    <x:row r="2180">
      <x:c r="B2180" s="21" t="str">
        <x:v>A02174</x:v>
      </x:c>
      <x:c r="C2180" s="21" t="str">
        <x:v>artifact</x:v>
      </x:c>
      <x:c r="D2180" s="21" t="str">
        <x:v>artifact 565 planning state</x:v>
      </x:c>
      <x:c r="E2180" s="21" t="n">
        <x:f>IF(AND('Artifact Ledger'!Q571="OPEN",'Artifact Ledger'!R571="HOLD"),1,0)</x:f>
        <x:v>1</x:v>
      </x:c>
      <x:c r="F2180" s="21" t="n">
        <x:v>1</x:v>
      </x:c>
      <x:c r="G2180" s="23" t="str">
        <x:f>IF(E2180=F2180,"PASS","FAIL")</x:f>
        <x:v>PASS</x:v>
      </x:c>
    </x:row>
    <x:row r="2181">
      <x:c r="B2181" s="21" t="str">
        <x:v>A02175</x:v>
      </x:c>
      <x:c r="C2181" s="21" t="str">
        <x:v>artifact</x:v>
      </x:c>
      <x:c r="D2181" s="21" t="str">
        <x:v>artifact 566 eligibility equation</x:v>
      </x:c>
      <x:c r="E2181" s="21" t="n">
        <x:f>IF(ABS('Artifact Ledger'!P572-IF(AND('Artifact Ledger'!L572=1,'Artifact Ledger'!M572=1,'Artifact Ledger'!N572=1,'Artifact Ledger'!O572&gt;='Artifact Ledger'!G572),'Artifact Ledger'!K572,0))&lt;0.000001,1,0)</x:f>
        <x:v>1</x:v>
      </x:c>
      <x:c r="F2181" s="21" t="n">
        <x:v>1</x:v>
      </x:c>
      <x:c r="G2181" s="23" t="str">
        <x:f>IF(E2181=F2181,"PASS","FAIL")</x:f>
        <x:v>PASS</x:v>
      </x:c>
    </x:row>
    <x:row r="2182">
      <x:c r="B2182" s="21" t="str">
        <x:v>A02176</x:v>
      </x:c>
      <x:c r="C2182" s="21" t="str">
        <x:v>artifact</x:v>
      </x:c>
      <x:c r="D2182" s="21" t="str">
        <x:v>artifact 566 planning state</x:v>
      </x:c>
      <x:c r="E2182" s="21" t="n">
        <x:f>IF(AND('Artifact Ledger'!Q572="OPEN",'Artifact Ledger'!R572="HOLD"),1,0)</x:f>
        <x:v>1</x:v>
      </x:c>
      <x:c r="F2182" s="21" t="n">
        <x:v>1</x:v>
      </x:c>
      <x:c r="G2182" s="23" t="str">
        <x:f>IF(E2182=F2182,"PASS","FAIL")</x:f>
        <x:v>PASS</x:v>
      </x:c>
    </x:row>
    <x:row r="2183">
      <x:c r="B2183" s="21" t="str">
        <x:v>A02177</x:v>
      </x:c>
      <x:c r="C2183" s="21" t="str">
        <x:v>artifact</x:v>
      </x:c>
      <x:c r="D2183" s="21" t="str">
        <x:v>artifact 567 eligibility equation</x:v>
      </x:c>
      <x:c r="E2183" s="21" t="n">
        <x:f>IF(ABS('Artifact Ledger'!P573-IF(AND('Artifact Ledger'!L573=1,'Artifact Ledger'!M573=1,'Artifact Ledger'!N573=1,'Artifact Ledger'!O573&gt;='Artifact Ledger'!G573),'Artifact Ledger'!K573,0))&lt;0.000001,1,0)</x:f>
        <x:v>1</x:v>
      </x:c>
      <x:c r="F2183" s="21" t="n">
        <x:v>1</x:v>
      </x:c>
      <x:c r="G2183" s="23" t="str">
        <x:f>IF(E2183=F2183,"PASS","FAIL")</x:f>
        <x:v>PASS</x:v>
      </x:c>
    </x:row>
    <x:row r="2184">
      <x:c r="B2184" s="21" t="str">
        <x:v>A02178</x:v>
      </x:c>
      <x:c r="C2184" s="21" t="str">
        <x:v>artifact</x:v>
      </x:c>
      <x:c r="D2184" s="21" t="str">
        <x:v>artifact 567 planning state</x:v>
      </x:c>
      <x:c r="E2184" s="21" t="n">
        <x:f>IF(AND('Artifact Ledger'!Q573="OPEN",'Artifact Ledger'!R573="HOLD"),1,0)</x:f>
        <x:v>1</x:v>
      </x:c>
      <x:c r="F2184" s="21" t="n">
        <x:v>1</x:v>
      </x:c>
      <x:c r="G2184" s="23" t="str">
        <x:f>IF(E2184=F2184,"PASS","FAIL")</x:f>
        <x:v>PASS</x:v>
      </x:c>
    </x:row>
    <x:row r="2185">
      <x:c r="B2185" s="21" t="str">
        <x:v>A02179</x:v>
      </x:c>
      <x:c r="C2185" s="21" t="str">
        <x:v>artifact</x:v>
      </x:c>
      <x:c r="D2185" s="21" t="str">
        <x:v>artifact 568 eligibility equation</x:v>
      </x:c>
      <x:c r="E2185" s="21" t="n">
        <x:f>IF(ABS('Artifact Ledger'!P574-IF(AND('Artifact Ledger'!L574=1,'Artifact Ledger'!M574=1,'Artifact Ledger'!N574=1,'Artifact Ledger'!O574&gt;='Artifact Ledger'!G574),'Artifact Ledger'!K574,0))&lt;0.000001,1,0)</x:f>
        <x:v>1</x:v>
      </x:c>
      <x:c r="F2185" s="21" t="n">
        <x:v>1</x:v>
      </x:c>
      <x:c r="G2185" s="23" t="str">
        <x:f>IF(E2185=F2185,"PASS","FAIL")</x:f>
        <x:v>PASS</x:v>
      </x:c>
    </x:row>
    <x:row r="2186">
      <x:c r="B2186" s="21" t="str">
        <x:v>A02180</x:v>
      </x:c>
      <x:c r="C2186" s="21" t="str">
        <x:v>artifact</x:v>
      </x:c>
      <x:c r="D2186" s="21" t="str">
        <x:v>artifact 568 planning state</x:v>
      </x:c>
      <x:c r="E2186" s="21" t="n">
        <x:f>IF(AND('Artifact Ledger'!Q574="OPEN",'Artifact Ledger'!R574="HOLD"),1,0)</x:f>
        <x:v>1</x:v>
      </x:c>
      <x:c r="F2186" s="21" t="n">
        <x:v>1</x:v>
      </x:c>
      <x:c r="G2186" s="23" t="str">
        <x:f>IF(E2186=F2186,"PASS","FAIL")</x:f>
        <x:v>PASS</x:v>
      </x:c>
    </x:row>
    <x:row r="2187">
      <x:c r="B2187" s="21" t="str">
        <x:v>A02181</x:v>
      </x:c>
      <x:c r="C2187" s="21" t="str">
        <x:v>artifact</x:v>
      </x:c>
      <x:c r="D2187" s="21" t="str">
        <x:v>artifact 569 eligibility equation</x:v>
      </x:c>
      <x:c r="E2187" s="21" t="n">
        <x:f>IF(ABS('Artifact Ledger'!P575-IF(AND('Artifact Ledger'!L575=1,'Artifact Ledger'!M575=1,'Artifact Ledger'!N575=1,'Artifact Ledger'!O575&gt;='Artifact Ledger'!G575),'Artifact Ledger'!K575,0))&lt;0.000001,1,0)</x:f>
        <x:v>1</x:v>
      </x:c>
      <x:c r="F2187" s="21" t="n">
        <x:v>1</x:v>
      </x:c>
      <x:c r="G2187" s="23" t="str">
        <x:f>IF(E2187=F2187,"PASS","FAIL")</x:f>
        <x:v>PASS</x:v>
      </x:c>
    </x:row>
    <x:row r="2188">
      <x:c r="B2188" s="21" t="str">
        <x:v>A02182</x:v>
      </x:c>
      <x:c r="C2188" s="21" t="str">
        <x:v>artifact</x:v>
      </x:c>
      <x:c r="D2188" s="21" t="str">
        <x:v>artifact 569 planning state</x:v>
      </x:c>
      <x:c r="E2188" s="21" t="n">
        <x:f>IF(AND('Artifact Ledger'!Q575="OPEN",'Artifact Ledger'!R575="HOLD"),1,0)</x:f>
        <x:v>1</x:v>
      </x:c>
      <x:c r="F2188" s="21" t="n">
        <x:v>1</x:v>
      </x:c>
      <x:c r="G2188" s="23" t="str">
        <x:f>IF(E2188=F2188,"PASS","FAIL")</x:f>
        <x:v>PASS</x:v>
      </x:c>
    </x:row>
    <x:row r="2189">
      <x:c r="B2189" s="21" t="str">
        <x:v>A02183</x:v>
      </x:c>
      <x:c r="C2189" s="21" t="str">
        <x:v>artifact</x:v>
      </x:c>
      <x:c r="D2189" s="21" t="str">
        <x:v>artifact 570 eligibility equation</x:v>
      </x:c>
      <x:c r="E2189" s="21" t="n">
        <x:f>IF(ABS('Artifact Ledger'!P576-IF(AND('Artifact Ledger'!L576=1,'Artifact Ledger'!M576=1,'Artifact Ledger'!N576=1,'Artifact Ledger'!O576&gt;='Artifact Ledger'!G576),'Artifact Ledger'!K576,0))&lt;0.000001,1,0)</x:f>
        <x:v>1</x:v>
      </x:c>
      <x:c r="F2189" s="21" t="n">
        <x:v>1</x:v>
      </x:c>
      <x:c r="G2189" s="23" t="str">
        <x:f>IF(E2189=F2189,"PASS","FAIL")</x:f>
        <x:v>PASS</x:v>
      </x:c>
    </x:row>
    <x:row r="2190">
      <x:c r="B2190" s="21" t="str">
        <x:v>A02184</x:v>
      </x:c>
      <x:c r="C2190" s="21" t="str">
        <x:v>artifact</x:v>
      </x:c>
      <x:c r="D2190" s="21" t="str">
        <x:v>artifact 570 planning state</x:v>
      </x:c>
      <x:c r="E2190" s="21" t="n">
        <x:f>IF(AND('Artifact Ledger'!Q576="OPEN",'Artifact Ledger'!R576="HOLD"),1,0)</x:f>
        <x:v>1</x:v>
      </x:c>
      <x:c r="F2190" s="21" t="n">
        <x:v>1</x:v>
      </x:c>
      <x:c r="G2190" s="23" t="str">
        <x:f>IF(E2190=F2190,"PASS","FAIL")</x:f>
        <x:v>PASS</x:v>
      </x:c>
    </x:row>
    <x:row r="2191">
      <x:c r="B2191" s="21" t="str">
        <x:v>A02185</x:v>
      </x:c>
      <x:c r="C2191" s="21" t="str">
        <x:v>artifact</x:v>
      </x:c>
      <x:c r="D2191" s="21" t="str">
        <x:v>artifact 571 eligibility equation</x:v>
      </x:c>
      <x:c r="E2191" s="21" t="n">
        <x:f>IF(ABS('Artifact Ledger'!P577-IF(AND('Artifact Ledger'!L577=1,'Artifact Ledger'!M577=1,'Artifact Ledger'!N577=1,'Artifact Ledger'!O577&gt;='Artifact Ledger'!G577),'Artifact Ledger'!K577,0))&lt;0.000001,1,0)</x:f>
        <x:v>1</x:v>
      </x:c>
      <x:c r="F2191" s="21" t="n">
        <x:v>1</x:v>
      </x:c>
      <x:c r="G2191" s="23" t="str">
        <x:f>IF(E2191=F2191,"PASS","FAIL")</x:f>
        <x:v>PASS</x:v>
      </x:c>
    </x:row>
    <x:row r="2192">
      <x:c r="B2192" s="21" t="str">
        <x:v>A02186</x:v>
      </x:c>
      <x:c r="C2192" s="21" t="str">
        <x:v>artifact</x:v>
      </x:c>
      <x:c r="D2192" s="21" t="str">
        <x:v>artifact 571 planning state</x:v>
      </x:c>
      <x:c r="E2192" s="21" t="n">
        <x:f>IF(AND('Artifact Ledger'!Q577="OPEN",'Artifact Ledger'!R577="HOLD"),1,0)</x:f>
        <x:v>1</x:v>
      </x:c>
      <x:c r="F2192" s="21" t="n">
        <x:v>1</x:v>
      </x:c>
      <x:c r="G2192" s="23" t="str">
        <x:f>IF(E2192=F2192,"PASS","FAIL")</x:f>
        <x:v>PASS</x:v>
      </x:c>
    </x:row>
    <x:row r="2193">
      <x:c r="B2193" s="21" t="str">
        <x:v>A02187</x:v>
      </x:c>
      <x:c r="C2193" s="21" t="str">
        <x:v>artifact</x:v>
      </x:c>
      <x:c r="D2193" s="21" t="str">
        <x:v>artifact 572 eligibility equation</x:v>
      </x:c>
      <x:c r="E2193" s="21" t="n">
        <x:f>IF(ABS('Artifact Ledger'!P578-IF(AND('Artifact Ledger'!L578=1,'Artifact Ledger'!M578=1,'Artifact Ledger'!N578=1,'Artifact Ledger'!O578&gt;='Artifact Ledger'!G578),'Artifact Ledger'!K578,0))&lt;0.000001,1,0)</x:f>
        <x:v>1</x:v>
      </x:c>
      <x:c r="F2193" s="21" t="n">
        <x:v>1</x:v>
      </x:c>
      <x:c r="G2193" s="23" t="str">
        <x:f>IF(E2193=F2193,"PASS","FAIL")</x:f>
        <x:v>PASS</x:v>
      </x:c>
    </x:row>
    <x:row r="2194">
      <x:c r="B2194" s="21" t="str">
        <x:v>A02188</x:v>
      </x:c>
      <x:c r="C2194" s="21" t="str">
        <x:v>artifact</x:v>
      </x:c>
      <x:c r="D2194" s="21" t="str">
        <x:v>artifact 572 planning state</x:v>
      </x:c>
      <x:c r="E2194" s="21" t="n">
        <x:f>IF(AND('Artifact Ledger'!Q578="OPEN",'Artifact Ledger'!R578="HOLD"),1,0)</x:f>
        <x:v>1</x:v>
      </x:c>
      <x:c r="F2194" s="21" t="n">
        <x:v>1</x:v>
      </x:c>
      <x:c r="G2194" s="23" t="str">
        <x:f>IF(E2194=F2194,"PASS","FAIL")</x:f>
        <x:v>PASS</x:v>
      </x:c>
    </x:row>
    <x:row r="2195">
      <x:c r="B2195" s="21" t="str">
        <x:v>A02189</x:v>
      </x:c>
      <x:c r="C2195" s="21" t="str">
        <x:v>artifact</x:v>
      </x:c>
      <x:c r="D2195" s="21" t="str">
        <x:v>artifact 573 eligibility equation</x:v>
      </x:c>
      <x:c r="E2195" s="21" t="n">
        <x:f>IF(ABS('Artifact Ledger'!P579-IF(AND('Artifact Ledger'!L579=1,'Artifact Ledger'!M579=1,'Artifact Ledger'!N579=1,'Artifact Ledger'!O579&gt;='Artifact Ledger'!G579),'Artifact Ledger'!K579,0))&lt;0.000001,1,0)</x:f>
        <x:v>1</x:v>
      </x:c>
      <x:c r="F2195" s="21" t="n">
        <x:v>1</x:v>
      </x:c>
      <x:c r="G2195" s="23" t="str">
        <x:f>IF(E2195=F2195,"PASS","FAIL")</x:f>
        <x:v>PASS</x:v>
      </x:c>
    </x:row>
    <x:row r="2196">
      <x:c r="B2196" s="21" t="str">
        <x:v>A02190</x:v>
      </x:c>
      <x:c r="C2196" s="21" t="str">
        <x:v>artifact</x:v>
      </x:c>
      <x:c r="D2196" s="21" t="str">
        <x:v>artifact 573 planning state</x:v>
      </x:c>
      <x:c r="E2196" s="21" t="n">
        <x:f>IF(AND('Artifact Ledger'!Q579="OPEN",'Artifact Ledger'!R579="HOLD"),1,0)</x:f>
        <x:v>1</x:v>
      </x:c>
      <x:c r="F2196" s="21" t="n">
        <x:v>1</x:v>
      </x:c>
      <x:c r="G2196" s="23" t="str">
        <x:f>IF(E2196=F2196,"PASS","FAIL")</x:f>
        <x:v>PASS</x:v>
      </x:c>
    </x:row>
    <x:row r="2197">
      <x:c r="B2197" s="21" t="str">
        <x:v>A02191</x:v>
      </x:c>
      <x:c r="C2197" s="21" t="str">
        <x:v>artifact</x:v>
      </x:c>
      <x:c r="D2197" s="21" t="str">
        <x:v>artifact 574 eligibility equation</x:v>
      </x:c>
      <x:c r="E2197" s="21" t="n">
        <x:f>IF(ABS('Artifact Ledger'!P580-IF(AND('Artifact Ledger'!L580=1,'Artifact Ledger'!M580=1,'Artifact Ledger'!N580=1,'Artifact Ledger'!O580&gt;='Artifact Ledger'!G580),'Artifact Ledger'!K580,0))&lt;0.000001,1,0)</x:f>
        <x:v>1</x:v>
      </x:c>
      <x:c r="F2197" s="21" t="n">
        <x:v>1</x:v>
      </x:c>
      <x:c r="G2197" s="23" t="str">
        <x:f>IF(E2197=F2197,"PASS","FAIL")</x:f>
        <x:v>PASS</x:v>
      </x:c>
    </x:row>
    <x:row r="2198">
      <x:c r="B2198" s="21" t="str">
        <x:v>A02192</x:v>
      </x:c>
      <x:c r="C2198" s="21" t="str">
        <x:v>artifact</x:v>
      </x:c>
      <x:c r="D2198" s="21" t="str">
        <x:v>artifact 574 planning state</x:v>
      </x:c>
      <x:c r="E2198" s="21" t="n">
        <x:f>IF(AND('Artifact Ledger'!Q580="OPEN",'Artifact Ledger'!R580="HOLD"),1,0)</x:f>
        <x:v>1</x:v>
      </x:c>
      <x:c r="F2198" s="21" t="n">
        <x:v>1</x:v>
      </x:c>
      <x:c r="G2198" s="23" t="str">
        <x:f>IF(E2198=F2198,"PASS","FAIL")</x:f>
        <x:v>PASS</x:v>
      </x:c>
    </x:row>
    <x:row r="2199">
      <x:c r="B2199" s="21" t="str">
        <x:v>A02193</x:v>
      </x:c>
      <x:c r="C2199" s="21" t="str">
        <x:v>artifact</x:v>
      </x:c>
      <x:c r="D2199" s="21" t="str">
        <x:v>artifact 575 eligibility equation</x:v>
      </x:c>
      <x:c r="E2199" s="21" t="n">
        <x:f>IF(ABS('Artifact Ledger'!P581-IF(AND('Artifact Ledger'!L581=1,'Artifact Ledger'!M581=1,'Artifact Ledger'!N581=1,'Artifact Ledger'!O581&gt;='Artifact Ledger'!G581),'Artifact Ledger'!K581,0))&lt;0.000001,1,0)</x:f>
        <x:v>1</x:v>
      </x:c>
      <x:c r="F2199" s="21" t="n">
        <x:v>1</x:v>
      </x:c>
      <x:c r="G2199" s="23" t="str">
        <x:f>IF(E2199=F2199,"PASS","FAIL")</x:f>
        <x:v>PASS</x:v>
      </x:c>
    </x:row>
    <x:row r="2200">
      <x:c r="B2200" s="21" t="str">
        <x:v>A02194</x:v>
      </x:c>
      <x:c r="C2200" s="21" t="str">
        <x:v>artifact</x:v>
      </x:c>
      <x:c r="D2200" s="21" t="str">
        <x:v>artifact 575 planning state</x:v>
      </x:c>
      <x:c r="E2200" s="21" t="n">
        <x:f>IF(AND('Artifact Ledger'!Q581="OPEN",'Artifact Ledger'!R581="HOLD"),1,0)</x:f>
        <x:v>1</x:v>
      </x:c>
      <x:c r="F2200" s="21" t="n">
        <x:v>1</x:v>
      </x:c>
      <x:c r="G2200" s="23" t="str">
        <x:f>IF(E2200=F2200,"PASS","FAIL")</x:f>
        <x:v>PASS</x:v>
      </x:c>
    </x:row>
    <x:row r="2201">
      <x:c r="B2201" s="21" t="str">
        <x:v>A02195</x:v>
      </x:c>
      <x:c r="C2201" s="21" t="str">
        <x:v>artifact</x:v>
      </x:c>
      <x:c r="D2201" s="21" t="str">
        <x:v>artifact 576 eligibility equation</x:v>
      </x:c>
      <x:c r="E2201" s="21" t="n">
        <x:f>IF(ABS('Artifact Ledger'!P582-IF(AND('Artifact Ledger'!L582=1,'Artifact Ledger'!M582=1,'Artifact Ledger'!N582=1,'Artifact Ledger'!O582&gt;='Artifact Ledger'!G582),'Artifact Ledger'!K582,0))&lt;0.000001,1,0)</x:f>
        <x:v>1</x:v>
      </x:c>
      <x:c r="F2201" s="21" t="n">
        <x:v>1</x:v>
      </x:c>
      <x:c r="G2201" s="23" t="str">
        <x:f>IF(E2201=F2201,"PASS","FAIL")</x:f>
        <x:v>PASS</x:v>
      </x:c>
    </x:row>
    <x:row r="2202">
      <x:c r="B2202" s="21" t="str">
        <x:v>A02196</x:v>
      </x:c>
      <x:c r="C2202" s="21" t="str">
        <x:v>artifact</x:v>
      </x:c>
      <x:c r="D2202" s="21" t="str">
        <x:v>artifact 576 planning state</x:v>
      </x:c>
      <x:c r="E2202" s="21" t="n">
        <x:f>IF(AND('Artifact Ledger'!Q582="OPEN",'Artifact Ledger'!R582="HOLD"),1,0)</x:f>
        <x:v>1</x:v>
      </x:c>
      <x:c r="F2202" s="21" t="n">
        <x:v>1</x:v>
      </x:c>
      <x:c r="G2202" s="23" t="str">
        <x:f>IF(E2202=F2202,"PASS","FAIL")</x:f>
        <x:v>PASS</x:v>
      </x:c>
    </x:row>
    <x:row r="2203">
      <x:c r="B2203" s="21" t="str">
        <x:v>A02197</x:v>
      </x:c>
      <x:c r="C2203" s="21" t="str">
        <x:v>artifact</x:v>
      </x:c>
      <x:c r="D2203" s="21" t="str">
        <x:v>artifact 577 eligibility equation</x:v>
      </x:c>
      <x:c r="E2203" s="21" t="n">
        <x:f>IF(ABS('Artifact Ledger'!P583-IF(AND('Artifact Ledger'!L583=1,'Artifact Ledger'!M583=1,'Artifact Ledger'!N583=1,'Artifact Ledger'!O583&gt;='Artifact Ledger'!G583),'Artifact Ledger'!K583,0))&lt;0.000001,1,0)</x:f>
        <x:v>1</x:v>
      </x:c>
      <x:c r="F2203" s="21" t="n">
        <x:v>1</x:v>
      </x:c>
      <x:c r="G2203" s="23" t="str">
        <x:f>IF(E2203=F2203,"PASS","FAIL")</x:f>
        <x:v>PASS</x:v>
      </x:c>
    </x:row>
    <x:row r="2204">
      <x:c r="B2204" s="21" t="str">
        <x:v>A02198</x:v>
      </x:c>
      <x:c r="C2204" s="21" t="str">
        <x:v>artifact</x:v>
      </x:c>
      <x:c r="D2204" s="21" t="str">
        <x:v>artifact 577 planning state</x:v>
      </x:c>
      <x:c r="E2204" s="21" t="n">
        <x:f>IF(AND('Artifact Ledger'!Q583="OPEN",'Artifact Ledger'!R583="HOLD"),1,0)</x:f>
        <x:v>1</x:v>
      </x:c>
      <x:c r="F2204" s="21" t="n">
        <x:v>1</x:v>
      </x:c>
      <x:c r="G2204" s="23" t="str">
        <x:f>IF(E2204=F2204,"PASS","FAIL")</x:f>
        <x:v>PASS</x:v>
      </x:c>
    </x:row>
    <x:row r="2205">
      <x:c r="B2205" s="21" t="str">
        <x:v>A02199</x:v>
      </x:c>
      <x:c r="C2205" s="21" t="str">
        <x:v>artifact</x:v>
      </x:c>
      <x:c r="D2205" s="21" t="str">
        <x:v>artifact 578 eligibility equation</x:v>
      </x:c>
      <x:c r="E2205" s="21" t="n">
        <x:f>IF(ABS('Artifact Ledger'!P584-IF(AND('Artifact Ledger'!L584=1,'Artifact Ledger'!M584=1,'Artifact Ledger'!N584=1,'Artifact Ledger'!O584&gt;='Artifact Ledger'!G584),'Artifact Ledger'!K584,0))&lt;0.000001,1,0)</x:f>
        <x:v>1</x:v>
      </x:c>
      <x:c r="F2205" s="21" t="n">
        <x:v>1</x:v>
      </x:c>
      <x:c r="G2205" s="23" t="str">
        <x:f>IF(E2205=F2205,"PASS","FAIL")</x:f>
        <x:v>PASS</x:v>
      </x:c>
    </x:row>
    <x:row r="2206">
      <x:c r="B2206" s="21" t="str">
        <x:v>A02200</x:v>
      </x:c>
      <x:c r="C2206" s="21" t="str">
        <x:v>artifact</x:v>
      </x:c>
      <x:c r="D2206" s="21" t="str">
        <x:v>artifact 578 planning state</x:v>
      </x:c>
      <x:c r="E2206" s="21" t="n">
        <x:f>IF(AND('Artifact Ledger'!Q584="OPEN",'Artifact Ledger'!R584="HOLD"),1,0)</x:f>
        <x:v>1</x:v>
      </x:c>
      <x:c r="F2206" s="21" t="n">
        <x:v>1</x:v>
      </x:c>
      <x:c r="G2206" s="23" t="str">
        <x:f>IF(E2206=F2206,"PASS","FAIL")</x:f>
        <x:v>PASS</x:v>
      </x:c>
    </x:row>
    <x:row r="2207">
      <x:c r="B2207" s="21" t="str">
        <x:v>A02201</x:v>
      </x:c>
      <x:c r="C2207" s="21" t="str">
        <x:v>artifact</x:v>
      </x:c>
      <x:c r="D2207" s="21" t="str">
        <x:v>artifact 579 eligibility equation</x:v>
      </x:c>
      <x:c r="E2207" s="21" t="n">
        <x:f>IF(ABS('Artifact Ledger'!P585-IF(AND('Artifact Ledger'!L585=1,'Artifact Ledger'!M585=1,'Artifact Ledger'!N585=1,'Artifact Ledger'!O585&gt;='Artifact Ledger'!G585),'Artifact Ledger'!K585,0))&lt;0.000001,1,0)</x:f>
        <x:v>1</x:v>
      </x:c>
      <x:c r="F2207" s="21" t="n">
        <x:v>1</x:v>
      </x:c>
      <x:c r="G2207" s="23" t="str">
        <x:f>IF(E2207=F2207,"PASS","FAIL")</x:f>
        <x:v>PASS</x:v>
      </x:c>
    </x:row>
    <x:row r="2208">
      <x:c r="B2208" s="21" t="str">
        <x:v>A02202</x:v>
      </x:c>
      <x:c r="C2208" s="21" t="str">
        <x:v>artifact</x:v>
      </x:c>
      <x:c r="D2208" s="21" t="str">
        <x:v>artifact 579 planning state</x:v>
      </x:c>
      <x:c r="E2208" s="21" t="n">
        <x:f>IF(AND('Artifact Ledger'!Q585="OPEN",'Artifact Ledger'!R585="HOLD"),1,0)</x:f>
        <x:v>1</x:v>
      </x:c>
      <x:c r="F2208" s="21" t="n">
        <x:v>1</x:v>
      </x:c>
      <x:c r="G2208" s="23" t="str">
        <x:f>IF(E2208=F2208,"PASS","FAIL")</x:f>
        <x:v>PASS</x:v>
      </x:c>
    </x:row>
    <x:row r="2209">
      <x:c r="B2209" s="21" t="str">
        <x:v>A02203</x:v>
      </x:c>
      <x:c r="C2209" s="21" t="str">
        <x:v>artifact</x:v>
      </x:c>
      <x:c r="D2209" s="21" t="str">
        <x:v>artifact 580 eligibility equation</x:v>
      </x:c>
      <x:c r="E2209" s="21" t="n">
        <x:f>IF(ABS('Artifact Ledger'!P586-IF(AND('Artifact Ledger'!L586=1,'Artifact Ledger'!M586=1,'Artifact Ledger'!N586=1,'Artifact Ledger'!O586&gt;='Artifact Ledger'!G586),'Artifact Ledger'!K586,0))&lt;0.000001,1,0)</x:f>
        <x:v>1</x:v>
      </x:c>
      <x:c r="F2209" s="21" t="n">
        <x:v>1</x:v>
      </x:c>
      <x:c r="G2209" s="23" t="str">
        <x:f>IF(E2209=F2209,"PASS","FAIL")</x:f>
        <x:v>PASS</x:v>
      </x:c>
    </x:row>
    <x:row r="2210">
      <x:c r="B2210" s="21" t="str">
        <x:v>A02204</x:v>
      </x:c>
      <x:c r="C2210" s="21" t="str">
        <x:v>artifact</x:v>
      </x:c>
      <x:c r="D2210" s="21" t="str">
        <x:v>artifact 580 planning state</x:v>
      </x:c>
      <x:c r="E2210" s="21" t="n">
        <x:f>IF(AND('Artifact Ledger'!Q586="OPEN",'Artifact Ledger'!R586="HOLD"),1,0)</x:f>
        <x:v>1</x:v>
      </x:c>
      <x:c r="F2210" s="21" t="n">
        <x:v>1</x:v>
      </x:c>
      <x:c r="G2210" s="23" t="str">
        <x:f>IF(E2210=F2210,"PASS","FAIL")</x:f>
        <x:v>PASS</x:v>
      </x:c>
    </x:row>
    <x:row r="2211">
      <x:c r="B2211" s="21" t="str">
        <x:v>A02205</x:v>
      </x:c>
      <x:c r="C2211" s="21" t="str">
        <x:v>artifact</x:v>
      </x:c>
      <x:c r="D2211" s="21" t="str">
        <x:v>artifact 581 eligibility equation</x:v>
      </x:c>
      <x:c r="E2211" s="21" t="n">
        <x:f>IF(ABS('Artifact Ledger'!P587-IF(AND('Artifact Ledger'!L587=1,'Artifact Ledger'!M587=1,'Artifact Ledger'!N587=1,'Artifact Ledger'!O587&gt;='Artifact Ledger'!G587),'Artifact Ledger'!K587,0))&lt;0.000001,1,0)</x:f>
        <x:v>1</x:v>
      </x:c>
      <x:c r="F2211" s="21" t="n">
        <x:v>1</x:v>
      </x:c>
      <x:c r="G2211" s="23" t="str">
        <x:f>IF(E2211=F2211,"PASS","FAIL")</x:f>
        <x:v>PASS</x:v>
      </x:c>
    </x:row>
    <x:row r="2212">
      <x:c r="B2212" s="21" t="str">
        <x:v>A02206</x:v>
      </x:c>
      <x:c r="C2212" s="21" t="str">
        <x:v>artifact</x:v>
      </x:c>
      <x:c r="D2212" s="21" t="str">
        <x:v>artifact 581 planning state</x:v>
      </x:c>
      <x:c r="E2212" s="21" t="n">
        <x:f>IF(AND('Artifact Ledger'!Q587="OPEN",'Artifact Ledger'!R587="HOLD"),1,0)</x:f>
        <x:v>1</x:v>
      </x:c>
      <x:c r="F2212" s="21" t="n">
        <x:v>1</x:v>
      </x:c>
      <x:c r="G2212" s="23" t="str">
        <x:f>IF(E2212=F2212,"PASS","FAIL")</x:f>
        <x:v>PASS</x:v>
      </x:c>
    </x:row>
    <x:row r="2213">
      <x:c r="B2213" s="21" t="str">
        <x:v>A02207</x:v>
      </x:c>
      <x:c r="C2213" s="21" t="str">
        <x:v>artifact</x:v>
      </x:c>
      <x:c r="D2213" s="21" t="str">
        <x:v>artifact 582 eligibility equation</x:v>
      </x:c>
      <x:c r="E2213" s="21" t="n">
        <x:f>IF(ABS('Artifact Ledger'!P588-IF(AND('Artifact Ledger'!L588=1,'Artifact Ledger'!M588=1,'Artifact Ledger'!N588=1,'Artifact Ledger'!O588&gt;='Artifact Ledger'!G588),'Artifact Ledger'!K588,0))&lt;0.000001,1,0)</x:f>
        <x:v>1</x:v>
      </x:c>
      <x:c r="F2213" s="21" t="n">
        <x:v>1</x:v>
      </x:c>
      <x:c r="G2213" s="23" t="str">
        <x:f>IF(E2213=F2213,"PASS","FAIL")</x:f>
        <x:v>PASS</x:v>
      </x:c>
    </x:row>
    <x:row r="2214">
      <x:c r="B2214" s="21" t="str">
        <x:v>A02208</x:v>
      </x:c>
      <x:c r="C2214" s="21" t="str">
        <x:v>artifact</x:v>
      </x:c>
      <x:c r="D2214" s="21" t="str">
        <x:v>artifact 582 planning state</x:v>
      </x:c>
      <x:c r="E2214" s="21" t="n">
        <x:f>IF(AND('Artifact Ledger'!Q588="OPEN",'Artifact Ledger'!R588="HOLD"),1,0)</x:f>
        <x:v>1</x:v>
      </x:c>
      <x:c r="F2214" s="21" t="n">
        <x:v>1</x:v>
      </x:c>
      <x:c r="G2214" s="23" t="str">
        <x:f>IF(E2214=F2214,"PASS","FAIL")</x:f>
        <x:v>PASS</x:v>
      </x:c>
    </x:row>
    <x:row r="2215">
      <x:c r="B2215" s="21" t="str">
        <x:v>A02209</x:v>
      </x:c>
      <x:c r="C2215" s="21" t="str">
        <x:v>artifact</x:v>
      </x:c>
      <x:c r="D2215" s="21" t="str">
        <x:v>artifact 583 eligibility equation</x:v>
      </x:c>
      <x:c r="E2215" s="21" t="n">
        <x:f>IF(ABS('Artifact Ledger'!P589-IF(AND('Artifact Ledger'!L589=1,'Artifact Ledger'!M589=1,'Artifact Ledger'!N589=1,'Artifact Ledger'!O589&gt;='Artifact Ledger'!G589),'Artifact Ledger'!K589,0))&lt;0.000001,1,0)</x:f>
        <x:v>1</x:v>
      </x:c>
      <x:c r="F2215" s="21" t="n">
        <x:v>1</x:v>
      </x:c>
      <x:c r="G2215" s="23" t="str">
        <x:f>IF(E2215=F2215,"PASS","FAIL")</x:f>
        <x:v>PASS</x:v>
      </x:c>
    </x:row>
    <x:row r="2216">
      <x:c r="B2216" s="21" t="str">
        <x:v>A02210</x:v>
      </x:c>
      <x:c r="C2216" s="21" t="str">
        <x:v>artifact</x:v>
      </x:c>
      <x:c r="D2216" s="21" t="str">
        <x:v>artifact 583 planning state</x:v>
      </x:c>
      <x:c r="E2216" s="21" t="n">
        <x:f>IF(AND('Artifact Ledger'!Q589="OPEN",'Artifact Ledger'!R589="HOLD"),1,0)</x:f>
        <x:v>1</x:v>
      </x:c>
      <x:c r="F2216" s="21" t="n">
        <x:v>1</x:v>
      </x:c>
      <x:c r="G2216" s="23" t="str">
        <x:f>IF(E2216=F2216,"PASS","FAIL")</x:f>
        <x:v>PASS</x:v>
      </x:c>
    </x:row>
    <x:row r="2217">
      <x:c r="B2217" s="21" t="str">
        <x:v>A02211</x:v>
      </x:c>
      <x:c r="C2217" s="21" t="str">
        <x:v>artifact</x:v>
      </x:c>
      <x:c r="D2217" s="21" t="str">
        <x:v>artifact 584 eligibility equation</x:v>
      </x:c>
      <x:c r="E2217" s="21" t="n">
        <x:f>IF(ABS('Artifact Ledger'!P590-IF(AND('Artifact Ledger'!L590=1,'Artifact Ledger'!M590=1,'Artifact Ledger'!N590=1,'Artifact Ledger'!O590&gt;='Artifact Ledger'!G590),'Artifact Ledger'!K590,0))&lt;0.000001,1,0)</x:f>
        <x:v>1</x:v>
      </x:c>
      <x:c r="F2217" s="21" t="n">
        <x:v>1</x:v>
      </x:c>
      <x:c r="G2217" s="23" t="str">
        <x:f>IF(E2217=F2217,"PASS","FAIL")</x:f>
        <x:v>PASS</x:v>
      </x:c>
    </x:row>
    <x:row r="2218">
      <x:c r="B2218" s="21" t="str">
        <x:v>A02212</x:v>
      </x:c>
      <x:c r="C2218" s="21" t="str">
        <x:v>artifact</x:v>
      </x:c>
      <x:c r="D2218" s="21" t="str">
        <x:v>artifact 584 planning state</x:v>
      </x:c>
      <x:c r="E2218" s="21" t="n">
        <x:f>IF(AND('Artifact Ledger'!Q590="OPEN",'Artifact Ledger'!R590="HOLD"),1,0)</x:f>
        <x:v>1</x:v>
      </x:c>
      <x:c r="F2218" s="21" t="n">
        <x:v>1</x:v>
      </x:c>
      <x:c r="G2218" s="23" t="str">
        <x:f>IF(E2218=F2218,"PASS","FAIL")</x:f>
        <x:v>PASS</x:v>
      </x:c>
    </x:row>
    <x:row r="2219">
      <x:c r="B2219" s="21" t="str">
        <x:v>A02213</x:v>
      </x:c>
      <x:c r="C2219" s="21" t="str">
        <x:v>artifact</x:v>
      </x:c>
      <x:c r="D2219" s="21" t="str">
        <x:v>artifact 585 eligibility equation</x:v>
      </x:c>
      <x:c r="E2219" s="21" t="n">
        <x:f>IF(ABS('Artifact Ledger'!P591-IF(AND('Artifact Ledger'!L591=1,'Artifact Ledger'!M591=1,'Artifact Ledger'!N591=1,'Artifact Ledger'!O591&gt;='Artifact Ledger'!G591),'Artifact Ledger'!K591,0))&lt;0.000001,1,0)</x:f>
        <x:v>1</x:v>
      </x:c>
      <x:c r="F2219" s="21" t="n">
        <x:v>1</x:v>
      </x:c>
      <x:c r="G2219" s="23" t="str">
        <x:f>IF(E2219=F2219,"PASS","FAIL")</x:f>
        <x:v>PASS</x:v>
      </x:c>
    </x:row>
    <x:row r="2220">
      <x:c r="B2220" s="21" t="str">
        <x:v>A02214</x:v>
      </x:c>
      <x:c r="C2220" s="21" t="str">
        <x:v>artifact</x:v>
      </x:c>
      <x:c r="D2220" s="21" t="str">
        <x:v>artifact 585 planning state</x:v>
      </x:c>
      <x:c r="E2220" s="21" t="n">
        <x:f>IF(AND('Artifact Ledger'!Q591="OPEN",'Artifact Ledger'!R591="HOLD"),1,0)</x:f>
        <x:v>1</x:v>
      </x:c>
      <x:c r="F2220" s="21" t="n">
        <x:v>1</x:v>
      </x:c>
      <x:c r="G2220" s="23" t="str">
        <x:f>IF(E2220=F2220,"PASS","FAIL")</x:f>
        <x:v>PASS</x:v>
      </x:c>
    </x:row>
    <x:row r="2221">
      <x:c r="B2221" s="21" t="str">
        <x:v>A02215</x:v>
      </x:c>
      <x:c r="C2221" s="21" t="str">
        <x:v>artifact</x:v>
      </x:c>
      <x:c r="D2221" s="21" t="str">
        <x:v>artifact 586 eligibility equation</x:v>
      </x:c>
      <x:c r="E2221" s="21" t="n">
        <x:f>IF(ABS('Artifact Ledger'!P592-IF(AND('Artifact Ledger'!L592=1,'Artifact Ledger'!M592=1,'Artifact Ledger'!N592=1,'Artifact Ledger'!O592&gt;='Artifact Ledger'!G592),'Artifact Ledger'!K592,0))&lt;0.000001,1,0)</x:f>
        <x:v>1</x:v>
      </x:c>
      <x:c r="F2221" s="21" t="n">
        <x:v>1</x:v>
      </x:c>
      <x:c r="G2221" s="23" t="str">
        <x:f>IF(E2221=F2221,"PASS","FAIL")</x:f>
        <x:v>PASS</x:v>
      </x:c>
    </x:row>
    <x:row r="2222">
      <x:c r="B2222" s="21" t="str">
        <x:v>A02216</x:v>
      </x:c>
      <x:c r="C2222" s="21" t="str">
        <x:v>artifact</x:v>
      </x:c>
      <x:c r="D2222" s="21" t="str">
        <x:v>artifact 586 planning state</x:v>
      </x:c>
      <x:c r="E2222" s="21" t="n">
        <x:f>IF(AND('Artifact Ledger'!Q592="OPEN",'Artifact Ledger'!R592="HOLD"),1,0)</x:f>
        <x:v>1</x:v>
      </x:c>
      <x:c r="F2222" s="21" t="n">
        <x:v>1</x:v>
      </x:c>
      <x:c r="G2222" s="23" t="str">
        <x:f>IF(E2222=F2222,"PASS","FAIL")</x:f>
        <x:v>PASS</x:v>
      </x:c>
    </x:row>
    <x:row r="2223">
      <x:c r="B2223" s="21" t="str">
        <x:v>A02217</x:v>
      </x:c>
      <x:c r="C2223" s="21" t="str">
        <x:v>artifact</x:v>
      </x:c>
      <x:c r="D2223" s="21" t="str">
        <x:v>artifact 587 eligibility equation</x:v>
      </x:c>
      <x:c r="E2223" s="21" t="n">
        <x:f>IF(ABS('Artifact Ledger'!P593-IF(AND('Artifact Ledger'!L593=1,'Artifact Ledger'!M593=1,'Artifact Ledger'!N593=1,'Artifact Ledger'!O593&gt;='Artifact Ledger'!G593),'Artifact Ledger'!K593,0))&lt;0.000001,1,0)</x:f>
        <x:v>1</x:v>
      </x:c>
      <x:c r="F2223" s="21" t="n">
        <x:v>1</x:v>
      </x:c>
      <x:c r="G2223" s="23" t="str">
        <x:f>IF(E2223=F2223,"PASS","FAIL")</x:f>
        <x:v>PASS</x:v>
      </x:c>
    </x:row>
    <x:row r="2224">
      <x:c r="B2224" s="21" t="str">
        <x:v>A02218</x:v>
      </x:c>
      <x:c r="C2224" s="21" t="str">
        <x:v>artifact</x:v>
      </x:c>
      <x:c r="D2224" s="21" t="str">
        <x:v>artifact 587 planning state</x:v>
      </x:c>
      <x:c r="E2224" s="21" t="n">
        <x:f>IF(AND('Artifact Ledger'!Q593="OPEN",'Artifact Ledger'!R593="HOLD"),1,0)</x:f>
        <x:v>1</x:v>
      </x:c>
      <x:c r="F2224" s="21" t="n">
        <x:v>1</x:v>
      </x:c>
      <x:c r="G2224" s="23" t="str">
        <x:f>IF(E2224=F2224,"PASS","FAIL")</x:f>
        <x:v>PASS</x:v>
      </x:c>
    </x:row>
    <x:row r="2225">
      <x:c r="B2225" s="21" t="str">
        <x:v>A02219</x:v>
      </x:c>
      <x:c r="C2225" s="21" t="str">
        <x:v>artifact</x:v>
      </x:c>
      <x:c r="D2225" s="21" t="str">
        <x:v>artifact 588 eligibility equation</x:v>
      </x:c>
      <x:c r="E2225" s="21" t="n">
        <x:f>IF(ABS('Artifact Ledger'!P594-IF(AND('Artifact Ledger'!L594=1,'Artifact Ledger'!M594=1,'Artifact Ledger'!N594=1,'Artifact Ledger'!O594&gt;='Artifact Ledger'!G594),'Artifact Ledger'!K594,0))&lt;0.000001,1,0)</x:f>
        <x:v>1</x:v>
      </x:c>
      <x:c r="F2225" s="21" t="n">
        <x:v>1</x:v>
      </x:c>
      <x:c r="G2225" s="23" t="str">
        <x:f>IF(E2225=F2225,"PASS","FAIL")</x:f>
        <x:v>PASS</x:v>
      </x:c>
    </x:row>
    <x:row r="2226">
      <x:c r="B2226" s="21" t="str">
        <x:v>A02220</x:v>
      </x:c>
      <x:c r="C2226" s="21" t="str">
        <x:v>artifact</x:v>
      </x:c>
      <x:c r="D2226" s="21" t="str">
        <x:v>artifact 588 planning state</x:v>
      </x:c>
      <x:c r="E2226" s="21" t="n">
        <x:f>IF(AND('Artifact Ledger'!Q594="OPEN",'Artifact Ledger'!R594="HOLD"),1,0)</x:f>
        <x:v>1</x:v>
      </x:c>
      <x:c r="F2226" s="21" t="n">
        <x:v>1</x:v>
      </x:c>
      <x:c r="G2226" s="23" t="str">
        <x:f>IF(E2226=F2226,"PASS","FAIL")</x:f>
        <x:v>PASS</x:v>
      </x:c>
    </x:row>
    <x:row r="2227">
      <x:c r="B2227" s="21" t="str">
        <x:v>A02221</x:v>
      </x:c>
      <x:c r="C2227" s="21" t="str">
        <x:v>artifact</x:v>
      </x:c>
      <x:c r="D2227" s="21" t="str">
        <x:v>artifact 589 eligibility equation</x:v>
      </x:c>
      <x:c r="E2227" s="21" t="n">
        <x:f>IF(ABS('Artifact Ledger'!P595-IF(AND('Artifact Ledger'!L595=1,'Artifact Ledger'!M595=1,'Artifact Ledger'!N595=1,'Artifact Ledger'!O595&gt;='Artifact Ledger'!G595),'Artifact Ledger'!K595,0))&lt;0.000001,1,0)</x:f>
        <x:v>1</x:v>
      </x:c>
      <x:c r="F2227" s="21" t="n">
        <x:v>1</x:v>
      </x:c>
      <x:c r="G2227" s="23" t="str">
        <x:f>IF(E2227=F2227,"PASS","FAIL")</x:f>
        <x:v>PASS</x:v>
      </x:c>
    </x:row>
    <x:row r="2228">
      <x:c r="B2228" s="21" t="str">
        <x:v>A02222</x:v>
      </x:c>
      <x:c r="C2228" s="21" t="str">
        <x:v>artifact</x:v>
      </x:c>
      <x:c r="D2228" s="21" t="str">
        <x:v>artifact 589 planning state</x:v>
      </x:c>
      <x:c r="E2228" s="21" t="n">
        <x:f>IF(AND('Artifact Ledger'!Q595="OPEN",'Artifact Ledger'!R595="HOLD"),1,0)</x:f>
        <x:v>1</x:v>
      </x:c>
      <x:c r="F2228" s="21" t="n">
        <x:v>1</x:v>
      </x:c>
      <x:c r="G2228" s="23" t="str">
        <x:f>IF(E2228=F2228,"PASS","FAIL")</x:f>
        <x:v>PASS</x:v>
      </x:c>
    </x:row>
    <x:row r="2229">
      <x:c r="B2229" s="21" t="str">
        <x:v>A02223</x:v>
      </x:c>
      <x:c r="C2229" s="21" t="str">
        <x:v>artifact</x:v>
      </x:c>
      <x:c r="D2229" s="21" t="str">
        <x:v>artifact 590 eligibility equation</x:v>
      </x:c>
      <x:c r="E2229" s="21" t="n">
        <x:f>IF(ABS('Artifact Ledger'!P596-IF(AND('Artifact Ledger'!L596=1,'Artifact Ledger'!M596=1,'Artifact Ledger'!N596=1,'Artifact Ledger'!O596&gt;='Artifact Ledger'!G596),'Artifact Ledger'!K596,0))&lt;0.000001,1,0)</x:f>
        <x:v>1</x:v>
      </x:c>
      <x:c r="F2229" s="21" t="n">
        <x:v>1</x:v>
      </x:c>
      <x:c r="G2229" s="23" t="str">
        <x:f>IF(E2229=F2229,"PASS","FAIL")</x:f>
        <x:v>PASS</x:v>
      </x:c>
    </x:row>
    <x:row r="2230">
      <x:c r="B2230" s="21" t="str">
        <x:v>A02224</x:v>
      </x:c>
      <x:c r="C2230" s="21" t="str">
        <x:v>artifact</x:v>
      </x:c>
      <x:c r="D2230" s="21" t="str">
        <x:v>artifact 590 planning state</x:v>
      </x:c>
      <x:c r="E2230" s="21" t="n">
        <x:f>IF(AND('Artifact Ledger'!Q596="OPEN",'Artifact Ledger'!R596="HOLD"),1,0)</x:f>
        <x:v>1</x:v>
      </x:c>
      <x:c r="F2230" s="21" t="n">
        <x:v>1</x:v>
      </x:c>
      <x:c r="G2230" s="23" t="str">
        <x:f>IF(E2230=F2230,"PASS","FAIL")</x:f>
        <x:v>PASS</x:v>
      </x:c>
    </x:row>
    <x:row r="2231">
      <x:c r="B2231" s="21" t="str">
        <x:v>A02225</x:v>
      </x:c>
      <x:c r="C2231" s="21" t="str">
        <x:v>artifact</x:v>
      </x:c>
      <x:c r="D2231" s="21" t="str">
        <x:v>artifact 591 eligibility equation</x:v>
      </x:c>
      <x:c r="E2231" s="21" t="n">
        <x:f>IF(ABS('Artifact Ledger'!P597-IF(AND('Artifact Ledger'!L597=1,'Artifact Ledger'!M597=1,'Artifact Ledger'!N597=1,'Artifact Ledger'!O597&gt;='Artifact Ledger'!G597),'Artifact Ledger'!K597,0))&lt;0.000001,1,0)</x:f>
        <x:v>1</x:v>
      </x:c>
      <x:c r="F2231" s="21" t="n">
        <x:v>1</x:v>
      </x:c>
      <x:c r="G2231" s="23" t="str">
        <x:f>IF(E2231=F2231,"PASS","FAIL")</x:f>
        <x:v>PASS</x:v>
      </x:c>
    </x:row>
    <x:row r="2232">
      <x:c r="B2232" s="21" t="str">
        <x:v>A02226</x:v>
      </x:c>
      <x:c r="C2232" s="21" t="str">
        <x:v>artifact</x:v>
      </x:c>
      <x:c r="D2232" s="21" t="str">
        <x:v>artifact 591 planning state</x:v>
      </x:c>
      <x:c r="E2232" s="21" t="n">
        <x:f>IF(AND('Artifact Ledger'!Q597="OPEN",'Artifact Ledger'!R597="HOLD"),1,0)</x:f>
        <x:v>1</x:v>
      </x:c>
      <x:c r="F2232" s="21" t="n">
        <x:v>1</x:v>
      </x:c>
      <x:c r="G2232" s="23" t="str">
        <x:f>IF(E2232=F2232,"PASS","FAIL")</x:f>
        <x:v>PASS</x:v>
      </x:c>
    </x:row>
    <x:row r="2233">
      <x:c r="B2233" s="21" t="str">
        <x:v>A02227</x:v>
      </x:c>
      <x:c r="C2233" s="21" t="str">
        <x:v>artifact</x:v>
      </x:c>
      <x:c r="D2233" s="21" t="str">
        <x:v>artifact 592 eligibility equation</x:v>
      </x:c>
      <x:c r="E2233" s="21" t="n">
        <x:f>IF(ABS('Artifact Ledger'!P598-IF(AND('Artifact Ledger'!L598=1,'Artifact Ledger'!M598=1,'Artifact Ledger'!N598=1,'Artifact Ledger'!O598&gt;='Artifact Ledger'!G598),'Artifact Ledger'!K598,0))&lt;0.000001,1,0)</x:f>
        <x:v>1</x:v>
      </x:c>
      <x:c r="F2233" s="21" t="n">
        <x:v>1</x:v>
      </x:c>
      <x:c r="G2233" s="23" t="str">
        <x:f>IF(E2233=F2233,"PASS","FAIL")</x:f>
        <x:v>PASS</x:v>
      </x:c>
    </x:row>
    <x:row r="2234">
      <x:c r="B2234" s="21" t="str">
        <x:v>A02228</x:v>
      </x:c>
      <x:c r="C2234" s="21" t="str">
        <x:v>artifact</x:v>
      </x:c>
      <x:c r="D2234" s="21" t="str">
        <x:v>artifact 592 planning state</x:v>
      </x:c>
      <x:c r="E2234" s="21" t="n">
        <x:f>IF(AND('Artifact Ledger'!Q598="OPEN",'Artifact Ledger'!R598="HOLD"),1,0)</x:f>
        <x:v>1</x:v>
      </x:c>
      <x:c r="F2234" s="21" t="n">
        <x:v>1</x:v>
      </x:c>
      <x:c r="G2234" s="23" t="str">
        <x:f>IF(E2234=F2234,"PASS","FAIL")</x:f>
        <x:v>PASS</x:v>
      </x:c>
    </x:row>
    <x:row r="2235">
      <x:c r="B2235" s="21" t="str">
        <x:v>A02229</x:v>
      </x:c>
      <x:c r="C2235" s="21" t="str">
        <x:v>artifact</x:v>
      </x:c>
      <x:c r="D2235" s="21" t="str">
        <x:v>artifact 593 eligibility equation</x:v>
      </x:c>
      <x:c r="E2235" s="21" t="n">
        <x:f>IF(ABS('Artifact Ledger'!P599-IF(AND('Artifact Ledger'!L599=1,'Artifact Ledger'!M599=1,'Artifact Ledger'!N599=1,'Artifact Ledger'!O599&gt;='Artifact Ledger'!G599),'Artifact Ledger'!K599,0))&lt;0.000001,1,0)</x:f>
        <x:v>1</x:v>
      </x:c>
      <x:c r="F2235" s="21" t="n">
        <x:v>1</x:v>
      </x:c>
      <x:c r="G2235" s="23" t="str">
        <x:f>IF(E2235=F2235,"PASS","FAIL")</x:f>
        <x:v>PASS</x:v>
      </x:c>
    </x:row>
    <x:row r="2236">
      <x:c r="B2236" s="21" t="str">
        <x:v>A02230</x:v>
      </x:c>
      <x:c r="C2236" s="21" t="str">
        <x:v>artifact</x:v>
      </x:c>
      <x:c r="D2236" s="21" t="str">
        <x:v>artifact 593 planning state</x:v>
      </x:c>
      <x:c r="E2236" s="21" t="n">
        <x:f>IF(AND('Artifact Ledger'!Q599="OPEN",'Artifact Ledger'!R599="HOLD"),1,0)</x:f>
        <x:v>1</x:v>
      </x:c>
      <x:c r="F2236" s="21" t="n">
        <x:v>1</x:v>
      </x:c>
      <x:c r="G2236" s="23" t="str">
        <x:f>IF(E2236=F2236,"PASS","FAIL")</x:f>
        <x:v>PASS</x:v>
      </x:c>
    </x:row>
    <x:row r="2237">
      <x:c r="B2237" s="21" t="str">
        <x:v>A02231</x:v>
      </x:c>
      <x:c r="C2237" s="21" t="str">
        <x:v>artifact</x:v>
      </x:c>
      <x:c r="D2237" s="21" t="str">
        <x:v>artifact 594 eligibility equation</x:v>
      </x:c>
      <x:c r="E2237" s="21" t="n">
        <x:f>IF(ABS('Artifact Ledger'!P600-IF(AND('Artifact Ledger'!L600=1,'Artifact Ledger'!M600=1,'Artifact Ledger'!N600=1,'Artifact Ledger'!O600&gt;='Artifact Ledger'!G600),'Artifact Ledger'!K600,0))&lt;0.000001,1,0)</x:f>
        <x:v>1</x:v>
      </x:c>
      <x:c r="F2237" s="21" t="n">
        <x:v>1</x:v>
      </x:c>
      <x:c r="G2237" s="23" t="str">
        <x:f>IF(E2237=F2237,"PASS","FAIL")</x:f>
        <x:v>PASS</x:v>
      </x:c>
    </x:row>
    <x:row r="2238">
      <x:c r="B2238" s="21" t="str">
        <x:v>A02232</x:v>
      </x:c>
      <x:c r="C2238" s="21" t="str">
        <x:v>artifact</x:v>
      </x:c>
      <x:c r="D2238" s="21" t="str">
        <x:v>artifact 594 planning state</x:v>
      </x:c>
      <x:c r="E2238" s="21" t="n">
        <x:f>IF(AND('Artifact Ledger'!Q600="OPEN",'Artifact Ledger'!R600="HOLD"),1,0)</x:f>
        <x:v>1</x:v>
      </x:c>
      <x:c r="F2238" s="21" t="n">
        <x:v>1</x:v>
      </x:c>
      <x:c r="G2238" s="23" t="str">
        <x:f>IF(E2238=F2238,"PASS","FAIL")</x:f>
        <x:v>PASS</x:v>
      </x:c>
    </x:row>
    <x:row r="2239">
      <x:c r="B2239" s="21" t="str">
        <x:v>A02233</x:v>
      </x:c>
      <x:c r="C2239" s="21" t="str">
        <x:v>artifact</x:v>
      </x:c>
      <x:c r="D2239" s="21" t="str">
        <x:v>artifact 595 eligibility equation</x:v>
      </x:c>
      <x:c r="E2239" s="21" t="n">
        <x:f>IF(ABS('Artifact Ledger'!P601-IF(AND('Artifact Ledger'!L601=1,'Artifact Ledger'!M601=1,'Artifact Ledger'!N601=1,'Artifact Ledger'!O601&gt;='Artifact Ledger'!G601),'Artifact Ledger'!K601,0))&lt;0.000001,1,0)</x:f>
        <x:v>1</x:v>
      </x:c>
      <x:c r="F2239" s="21" t="n">
        <x:v>1</x:v>
      </x:c>
      <x:c r="G2239" s="23" t="str">
        <x:f>IF(E2239=F2239,"PASS","FAIL")</x:f>
        <x:v>PASS</x:v>
      </x:c>
    </x:row>
    <x:row r="2240">
      <x:c r="B2240" s="21" t="str">
        <x:v>A02234</x:v>
      </x:c>
      <x:c r="C2240" s="21" t="str">
        <x:v>artifact</x:v>
      </x:c>
      <x:c r="D2240" s="21" t="str">
        <x:v>artifact 595 planning state</x:v>
      </x:c>
      <x:c r="E2240" s="21" t="n">
        <x:f>IF(AND('Artifact Ledger'!Q601="OPEN",'Artifact Ledger'!R601="HOLD"),1,0)</x:f>
        <x:v>1</x:v>
      </x:c>
      <x:c r="F2240" s="21" t="n">
        <x:v>1</x:v>
      </x:c>
      <x:c r="G2240" s="23" t="str">
        <x:f>IF(E2240=F2240,"PASS","FAIL")</x:f>
        <x:v>PASS</x:v>
      </x:c>
    </x:row>
    <x:row r="2241">
      <x:c r="B2241" s="21" t="str">
        <x:v>A02235</x:v>
      </x:c>
      <x:c r="C2241" s="21" t="str">
        <x:v>artifact</x:v>
      </x:c>
      <x:c r="D2241" s="21" t="str">
        <x:v>artifact 596 eligibility equation</x:v>
      </x:c>
      <x:c r="E2241" s="21" t="n">
        <x:f>IF(ABS('Artifact Ledger'!P602-IF(AND('Artifact Ledger'!L602=1,'Artifact Ledger'!M602=1,'Artifact Ledger'!N602=1,'Artifact Ledger'!O602&gt;='Artifact Ledger'!G602),'Artifact Ledger'!K602,0))&lt;0.000001,1,0)</x:f>
        <x:v>1</x:v>
      </x:c>
      <x:c r="F2241" s="21" t="n">
        <x:v>1</x:v>
      </x:c>
      <x:c r="G2241" s="23" t="str">
        <x:f>IF(E2241=F2241,"PASS","FAIL")</x:f>
        <x:v>PASS</x:v>
      </x:c>
    </x:row>
    <x:row r="2242">
      <x:c r="B2242" s="21" t="str">
        <x:v>A02236</x:v>
      </x:c>
      <x:c r="C2242" s="21" t="str">
        <x:v>artifact</x:v>
      </x:c>
      <x:c r="D2242" s="21" t="str">
        <x:v>artifact 596 planning state</x:v>
      </x:c>
      <x:c r="E2242" s="21" t="n">
        <x:f>IF(AND('Artifact Ledger'!Q602="OPEN",'Artifact Ledger'!R602="HOLD"),1,0)</x:f>
        <x:v>1</x:v>
      </x:c>
      <x:c r="F2242" s="21" t="n">
        <x:v>1</x:v>
      </x:c>
      <x:c r="G2242" s="23" t="str">
        <x:f>IF(E2242=F2242,"PASS","FAIL")</x:f>
        <x:v>PASS</x:v>
      </x:c>
    </x:row>
    <x:row r="2243">
      <x:c r="B2243" s="21" t="str">
        <x:v>A02237</x:v>
      </x:c>
      <x:c r="C2243" s="21" t="str">
        <x:v>artifact</x:v>
      </x:c>
      <x:c r="D2243" s="21" t="str">
        <x:v>artifact 597 eligibility equation</x:v>
      </x:c>
      <x:c r="E2243" s="21" t="n">
        <x:f>IF(ABS('Artifact Ledger'!P603-IF(AND('Artifact Ledger'!L603=1,'Artifact Ledger'!M603=1,'Artifact Ledger'!N603=1,'Artifact Ledger'!O603&gt;='Artifact Ledger'!G603),'Artifact Ledger'!K603,0))&lt;0.000001,1,0)</x:f>
        <x:v>1</x:v>
      </x:c>
      <x:c r="F2243" s="21" t="n">
        <x:v>1</x:v>
      </x:c>
      <x:c r="G2243" s="23" t="str">
        <x:f>IF(E2243=F2243,"PASS","FAIL")</x:f>
        <x:v>PASS</x:v>
      </x:c>
    </x:row>
    <x:row r="2244">
      <x:c r="B2244" s="21" t="str">
        <x:v>A02238</x:v>
      </x:c>
      <x:c r="C2244" s="21" t="str">
        <x:v>artifact</x:v>
      </x:c>
      <x:c r="D2244" s="21" t="str">
        <x:v>artifact 597 planning state</x:v>
      </x:c>
      <x:c r="E2244" s="21" t="n">
        <x:f>IF(AND('Artifact Ledger'!Q603="OPEN",'Artifact Ledger'!R603="HOLD"),1,0)</x:f>
        <x:v>1</x:v>
      </x:c>
      <x:c r="F2244" s="21" t="n">
        <x:v>1</x:v>
      </x:c>
      <x:c r="G2244" s="23" t="str">
        <x:f>IF(E2244=F2244,"PASS","FAIL")</x:f>
        <x:v>PASS</x:v>
      </x:c>
    </x:row>
    <x:row r="2245">
      <x:c r="B2245" s="21" t="str">
        <x:v>A02239</x:v>
      </x:c>
      <x:c r="C2245" s="21" t="str">
        <x:v>artifact</x:v>
      </x:c>
      <x:c r="D2245" s="21" t="str">
        <x:v>artifact 598 eligibility equation</x:v>
      </x:c>
      <x:c r="E2245" s="21" t="n">
        <x:f>IF(ABS('Artifact Ledger'!P604-IF(AND('Artifact Ledger'!L604=1,'Artifact Ledger'!M604=1,'Artifact Ledger'!N604=1,'Artifact Ledger'!O604&gt;='Artifact Ledger'!G604),'Artifact Ledger'!K604,0))&lt;0.000001,1,0)</x:f>
        <x:v>1</x:v>
      </x:c>
      <x:c r="F2245" s="21" t="n">
        <x:v>1</x:v>
      </x:c>
      <x:c r="G2245" s="23" t="str">
        <x:f>IF(E2245=F2245,"PASS","FAIL")</x:f>
        <x:v>PASS</x:v>
      </x:c>
    </x:row>
    <x:row r="2246">
      <x:c r="B2246" s="21" t="str">
        <x:v>A02240</x:v>
      </x:c>
      <x:c r="C2246" s="21" t="str">
        <x:v>artifact</x:v>
      </x:c>
      <x:c r="D2246" s="21" t="str">
        <x:v>artifact 598 planning state</x:v>
      </x:c>
      <x:c r="E2246" s="21" t="n">
        <x:f>IF(AND('Artifact Ledger'!Q604="OPEN",'Artifact Ledger'!R604="HOLD"),1,0)</x:f>
        <x:v>1</x:v>
      </x:c>
      <x:c r="F2246" s="21" t="n">
        <x:v>1</x:v>
      </x:c>
      <x:c r="G2246" s="23" t="str">
        <x:f>IF(E2246=F2246,"PASS","FAIL")</x:f>
        <x:v>PASS</x:v>
      </x:c>
    </x:row>
    <x:row r="2247">
      <x:c r="B2247" s="21" t="str">
        <x:v>A02241</x:v>
      </x:c>
      <x:c r="C2247" s="21" t="str">
        <x:v>artifact</x:v>
      </x:c>
      <x:c r="D2247" s="21" t="str">
        <x:v>artifact 599 eligibility equation</x:v>
      </x:c>
      <x:c r="E2247" s="21" t="n">
        <x:f>IF(ABS('Artifact Ledger'!P605-IF(AND('Artifact Ledger'!L605=1,'Artifact Ledger'!M605=1,'Artifact Ledger'!N605=1,'Artifact Ledger'!O605&gt;='Artifact Ledger'!G605),'Artifact Ledger'!K605,0))&lt;0.000001,1,0)</x:f>
        <x:v>1</x:v>
      </x:c>
      <x:c r="F2247" s="21" t="n">
        <x:v>1</x:v>
      </x:c>
      <x:c r="G2247" s="23" t="str">
        <x:f>IF(E2247=F2247,"PASS","FAIL")</x:f>
        <x:v>PASS</x:v>
      </x:c>
    </x:row>
    <x:row r="2248">
      <x:c r="B2248" s="21" t="str">
        <x:v>A02242</x:v>
      </x:c>
      <x:c r="C2248" s="21" t="str">
        <x:v>artifact</x:v>
      </x:c>
      <x:c r="D2248" s="21" t="str">
        <x:v>artifact 599 planning state</x:v>
      </x:c>
      <x:c r="E2248" s="21" t="n">
        <x:f>IF(AND('Artifact Ledger'!Q605="OPEN",'Artifact Ledger'!R605="HOLD"),1,0)</x:f>
        <x:v>1</x:v>
      </x:c>
      <x:c r="F2248" s="21" t="n">
        <x:v>1</x:v>
      </x:c>
      <x:c r="G2248" s="23" t="str">
        <x:f>IF(E2248=F2248,"PASS","FAIL")</x:f>
        <x:v>PASS</x:v>
      </x:c>
    </x:row>
    <x:row r="2249">
      <x:c r="B2249" s="21" t="str">
        <x:v>A02243</x:v>
      </x:c>
      <x:c r="C2249" s="21" t="str">
        <x:v>artifact</x:v>
      </x:c>
      <x:c r="D2249" s="21" t="str">
        <x:v>artifact 600 eligibility equation</x:v>
      </x:c>
      <x:c r="E2249" s="21" t="n">
        <x:f>IF(ABS('Artifact Ledger'!P606-IF(AND('Artifact Ledger'!L606=1,'Artifact Ledger'!M606=1,'Artifact Ledger'!N606=1,'Artifact Ledger'!O606&gt;='Artifact Ledger'!G606),'Artifact Ledger'!K606,0))&lt;0.000001,1,0)</x:f>
        <x:v>1</x:v>
      </x:c>
      <x:c r="F2249" s="21" t="n">
        <x:v>1</x:v>
      </x:c>
      <x:c r="G2249" s="23" t="str">
        <x:f>IF(E2249=F2249,"PASS","FAIL")</x:f>
        <x:v>PASS</x:v>
      </x:c>
    </x:row>
    <x:row r="2250">
      <x:c r="B2250" s="21" t="str">
        <x:v>A02244</x:v>
      </x:c>
      <x:c r="C2250" s="21" t="str">
        <x:v>artifact</x:v>
      </x:c>
      <x:c r="D2250" s="21" t="str">
        <x:v>artifact 600 planning state</x:v>
      </x:c>
      <x:c r="E2250" s="21" t="n">
        <x:f>IF(AND('Artifact Ledger'!Q606="OPEN",'Artifact Ledger'!R606="HOLD"),1,0)</x:f>
        <x:v>1</x:v>
      </x:c>
      <x:c r="F2250" s="21" t="n">
        <x:v>1</x:v>
      </x:c>
      <x:c r="G2250" s="23" t="str">
        <x:f>IF(E2250=F2250,"PASS","FAIL")</x:f>
        <x:v>PASS</x:v>
      </x:c>
    </x:row>
    <x:row r="2251">
      <x:c r="B2251" s="21" t="str">
        <x:v>A02245</x:v>
      </x:c>
      <x:c r="C2251" s="21" t="str">
        <x:v>artifact</x:v>
      </x:c>
      <x:c r="D2251" s="21" t="str">
        <x:v>artifact 601 eligibility equation</x:v>
      </x:c>
      <x:c r="E2251" s="21" t="n">
        <x:f>IF(ABS('Artifact Ledger'!P607-IF(AND('Artifact Ledger'!L607=1,'Artifact Ledger'!M607=1,'Artifact Ledger'!N607=1,'Artifact Ledger'!O607&gt;='Artifact Ledger'!G607),'Artifact Ledger'!K607,0))&lt;0.000001,1,0)</x:f>
        <x:v>1</x:v>
      </x:c>
      <x:c r="F2251" s="21" t="n">
        <x:v>1</x:v>
      </x:c>
      <x:c r="G2251" s="23" t="str">
        <x:f>IF(E2251=F2251,"PASS","FAIL")</x:f>
        <x:v>PASS</x:v>
      </x:c>
    </x:row>
    <x:row r="2252">
      <x:c r="B2252" s="21" t="str">
        <x:v>A02246</x:v>
      </x:c>
      <x:c r="C2252" s="21" t="str">
        <x:v>artifact</x:v>
      </x:c>
      <x:c r="D2252" s="21" t="str">
        <x:v>artifact 601 planning state</x:v>
      </x:c>
      <x:c r="E2252" s="21" t="n">
        <x:f>IF(AND('Artifact Ledger'!Q607="OPEN",'Artifact Ledger'!R607="HOLD"),1,0)</x:f>
        <x:v>1</x:v>
      </x:c>
      <x:c r="F2252" s="21" t="n">
        <x:v>1</x:v>
      </x:c>
      <x:c r="G2252" s="23" t="str">
        <x:f>IF(E2252=F2252,"PASS","FAIL")</x:f>
        <x:v>PASS</x:v>
      </x:c>
    </x:row>
    <x:row r="2253">
      <x:c r="B2253" s="21" t="str">
        <x:v>A02247</x:v>
      </x:c>
      <x:c r="C2253" s="21" t="str">
        <x:v>artifact</x:v>
      </x:c>
      <x:c r="D2253" s="21" t="str">
        <x:v>artifact 602 eligibility equation</x:v>
      </x:c>
      <x:c r="E2253" s="21" t="n">
        <x:f>IF(ABS('Artifact Ledger'!P608-IF(AND('Artifact Ledger'!L608=1,'Artifact Ledger'!M608=1,'Artifact Ledger'!N608=1,'Artifact Ledger'!O608&gt;='Artifact Ledger'!G608),'Artifact Ledger'!K608,0))&lt;0.000001,1,0)</x:f>
        <x:v>1</x:v>
      </x:c>
      <x:c r="F2253" s="21" t="n">
        <x:v>1</x:v>
      </x:c>
      <x:c r="G2253" s="23" t="str">
        <x:f>IF(E2253=F2253,"PASS","FAIL")</x:f>
        <x:v>PASS</x:v>
      </x:c>
    </x:row>
    <x:row r="2254">
      <x:c r="B2254" s="21" t="str">
        <x:v>A02248</x:v>
      </x:c>
      <x:c r="C2254" s="21" t="str">
        <x:v>artifact</x:v>
      </x:c>
      <x:c r="D2254" s="21" t="str">
        <x:v>artifact 602 planning state</x:v>
      </x:c>
      <x:c r="E2254" s="21" t="n">
        <x:f>IF(AND('Artifact Ledger'!Q608="OPEN",'Artifact Ledger'!R608="HOLD"),1,0)</x:f>
        <x:v>1</x:v>
      </x:c>
      <x:c r="F2254" s="21" t="n">
        <x:v>1</x:v>
      </x:c>
      <x:c r="G2254" s="23" t="str">
        <x:f>IF(E2254=F2254,"PASS","FAIL")</x:f>
        <x:v>PASS</x:v>
      </x:c>
    </x:row>
    <x:row r="2255">
      <x:c r="B2255" s="21" t="str">
        <x:v>A02249</x:v>
      </x:c>
      <x:c r="C2255" s="21" t="str">
        <x:v>artifact</x:v>
      </x:c>
      <x:c r="D2255" s="21" t="str">
        <x:v>artifact 603 eligibility equation</x:v>
      </x:c>
      <x:c r="E2255" s="21" t="n">
        <x:f>IF(ABS('Artifact Ledger'!P609-IF(AND('Artifact Ledger'!L609=1,'Artifact Ledger'!M609=1,'Artifact Ledger'!N609=1,'Artifact Ledger'!O609&gt;='Artifact Ledger'!G609),'Artifact Ledger'!K609,0))&lt;0.000001,1,0)</x:f>
        <x:v>1</x:v>
      </x:c>
      <x:c r="F2255" s="21" t="n">
        <x:v>1</x:v>
      </x:c>
      <x:c r="G2255" s="23" t="str">
        <x:f>IF(E2255=F2255,"PASS","FAIL")</x:f>
        <x:v>PASS</x:v>
      </x:c>
    </x:row>
    <x:row r="2256">
      <x:c r="B2256" s="21" t="str">
        <x:v>A02250</x:v>
      </x:c>
      <x:c r="C2256" s="21" t="str">
        <x:v>artifact</x:v>
      </x:c>
      <x:c r="D2256" s="21" t="str">
        <x:v>artifact 603 planning state</x:v>
      </x:c>
      <x:c r="E2256" s="21" t="n">
        <x:f>IF(AND('Artifact Ledger'!Q609="OPEN",'Artifact Ledger'!R609="HOLD"),1,0)</x:f>
        <x:v>1</x:v>
      </x:c>
      <x:c r="F2256" s="21" t="n">
        <x:v>1</x:v>
      </x:c>
      <x:c r="G2256" s="23" t="str">
        <x:f>IF(E2256=F2256,"PASS","FAIL")</x:f>
        <x:v>PASS</x:v>
      </x:c>
    </x:row>
    <x:row r="2257">
      <x:c r="B2257" s="21" t="str">
        <x:v>A02251</x:v>
      </x:c>
      <x:c r="C2257" s="21" t="str">
        <x:v>artifact</x:v>
      </x:c>
      <x:c r="D2257" s="21" t="str">
        <x:v>artifact 604 eligibility equation</x:v>
      </x:c>
      <x:c r="E2257" s="21" t="n">
        <x:f>IF(ABS('Artifact Ledger'!P610-IF(AND('Artifact Ledger'!L610=1,'Artifact Ledger'!M610=1,'Artifact Ledger'!N610=1,'Artifact Ledger'!O610&gt;='Artifact Ledger'!G610),'Artifact Ledger'!K610,0))&lt;0.000001,1,0)</x:f>
        <x:v>1</x:v>
      </x:c>
      <x:c r="F2257" s="21" t="n">
        <x:v>1</x:v>
      </x:c>
      <x:c r="G2257" s="23" t="str">
        <x:f>IF(E2257=F2257,"PASS","FAIL")</x:f>
        <x:v>PASS</x:v>
      </x:c>
    </x:row>
    <x:row r="2258">
      <x:c r="B2258" s="21" t="str">
        <x:v>A02252</x:v>
      </x:c>
      <x:c r="C2258" s="21" t="str">
        <x:v>artifact</x:v>
      </x:c>
      <x:c r="D2258" s="21" t="str">
        <x:v>artifact 604 planning state</x:v>
      </x:c>
      <x:c r="E2258" s="21" t="n">
        <x:f>IF(AND('Artifact Ledger'!Q610="OPEN",'Artifact Ledger'!R610="HOLD"),1,0)</x:f>
        <x:v>1</x:v>
      </x:c>
      <x:c r="F2258" s="21" t="n">
        <x:v>1</x:v>
      </x:c>
      <x:c r="G2258" s="23" t="str">
        <x:f>IF(E2258=F2258,"PASS","FAIL")</x:f>
        <x:v>PASS</x:v>
      </x:c>
    </x:row>
    <x:row r="2259">
      <x:c r="B2259" s="21" t="str">
        <x:v>A02253</x:v>
      </x:c>
      <x:c r="C2259" s="21" t="str">
        <x:v>artifact</x:v>
      </x:c>
      <x:c r="D2259" s="21" t="str">
        <x:v>artifact 605 eligibility equation</x:v>
      </x:c>
      <x:c r="E2259" s="21" t="n">
        <x:f>IF(ABS('Artifact Ledger'!P611-IF(AND('Artifact Ledger'!L611=1,'Artifact Ledger'!M611=1,'Artifact Ledger'!N611=1,'Artifact Ledger'!O611&gt;='Artifact Ledger'!G611),'Artifact Ledger'!K611,0))&lt;0.000001,1,0)</x:f>
        <x:v>1</x:v>
      </x:c>
      <x:c r="F2259" s="21" t="n">
        <x:v>1</x:v>
      </x:c>
      <x:c r="G2259" s="23" t="str">
        <x:f>IF(E2259=F2259,"PASS","FAIL")</x:f>
        <x:v>PASS</x:v>
      </x:c>
    </x:row>
    <x:row r="2260">
      <x:c r="B2260" s="21" t="str">
        <x:v>A02254</x:v>
      </x:c>
      <x:c r="C2260" s="21" t="str">
        <x:v>artifact</x:v>
      </x:c>
      <x:c r="D2260" s="21" t="str">
        <x:v>artifact 605 planning state</x:v>
      </x:c>
      <x:c r="E2260" s="21" t="n">
        <x:f>IF(AND('Artifact Ledger'!Q611="OPEN",'Artifact Ledger'!R611="HOLD"),1,0)</x:f>
        <x:v>1</x:v>
      </x:c>
      <x:c r="F2260" s="21" t="n">
        <x:v>1</x:v>
      </x:c>
      <x:c r="G2260" s="23" t="str">
        <x:f>IF(E2260=F2260,"PASS","FAIL")</x:f>
        <x:v>PASS</x:v>
      </x:c>
    </x:row>
    <x:row r="2261">
      <x:c r="B2261" s="21" t="str">
        <x:v>A02255</x:v>
      </x:c>
      <x:c r="C2261" s="21" t="str">
        <x:v>artifact</x:v>
      </x:c>
      <x:c r="D2261" s="21" t="str">
        <x:v>artifact 606 eligibility equation</x:v>
      </x:c>
      <x:c r="E2261" s="21" t="n">
        <x:f>IF(ABS('Artifact Ledger'!P612-IF(AND('Artifact Ledger'!L612=1,'Artifact Ledger'!M612=1,'Artifact Ledger'!N612=1,'Artifact Ledger'!O612&gt;='Artifact Ledger'!G612),'Artifact Ledger'!K612,0))&lt;0.000001,1,0)</x:f>
        <x:v>1</x:v>
      </x:c>
      <x:c r="F2261" s="21" t="n">
        <x:v>1</x:v>
      </x:c>
      <x:c r="G2261" s="23" t="str">
        <x:f>IF(E2261=F2261,"PASS","FAIL")</x:f>
        <x:v>PASS</x:v>
      </x:c>
    </x:row>
    <x:row r="2262">
      <x:c r="B2262" s="21" t="str">
        <x:v>A02256</x:v>
      </x:c>
      <x:c r="C2262" s="21" t="str">
        <x:v>artifact</x:v>
      </x:c>
      <x:c r="D2262" s="21" t="str">
        <x:v>artifact 606 planning state</x:v>
      </x:c>
      <x:c r="E2262" s="21" t="n">
        <x:f>IF(AND('Artifact Ledger'!Q612="OPEN",'Artifact Ledger'!R612="HOLD"),1,0)</x:f>
        <x:v>1</x:v>
      </x:c>
      <x:c r="F2262" s="21" t="n">
        <x:v>1</x:v>
      </x:c>
      <x:c r="G2262" s="23" t="str">
        <x:f>IF(E2262=F2262,"PASS","FAIL")</x:f>
        <x:v>PASS</x:v>
      </x:c>
    </x:row>
    <x:row r="2263">
      <x:c r="B2263" s="21" t="str">
        <x:v>A02257</x:v>
      </x:c>
      <x:c r="C2263" s="21" t="str">
        <x:v>artifact</x:v>
      </x:c>
      <x:c r="D2263" s="21" t="str">
        <x:v>artifact 607 eligibility equation</x:v>
      </x:c>
      <x:c r="E2263" s="21" t="n">
        <x:f>IF(ABS('Artifact Ledger'!P613-IF(AND('Artifact Ledger'!L613=1,'Artifact Ledger'!M613=1,'Artifact Ledger'!N613=1,'Artifact Ledger'!O613&gt;='Artifact Ledger'!G613),'Artifact Ledger'!K613,0))&lt;0.000001,1,0)</x:f>
        <x:v>1</x:v>
      </x:c>
      <x:c r="F2263" s="21" t="n">
        <x:v>1</x:v>
      </x:c>
      <x:c r="G2263" s="23" t="str">
        <x:f>IF(E2263=F2263,"PASS","FAIL")</x:f>
        <x:v>PASS</x:v>
      </x:c>
    </x:row>
    <x:row r="2264">
      <x:c r="B2264" s="21" t="str">
        <x:v>A02258</x:v>
      </x:c>
      <x:c r="C2264" s="21" t="str">
        <x:v>artifact</x:v>
      </x:c>
      <x:c r="D2264" s="21" t="str">
        <x:v>artifact 607 planning state</x:v>
      </x:c>
      <x:c r="E2264" s="21" t="n">
        <x:f>IF(AND('Artifact Ledger'!Q613="OPEN",'Artifact Ledger'!R613="HOLD"),1,0)</x:f>
        <x:v>1</x:v>
      </x:c>
      <x:c r="F2264" s="21" t="n">
        <x:v>1</x:v>
      </x:c>
      <x:c r="G2264" s="23" t="str">
        <x:f>IF(E2264=F2264,"PASS","FAIL")</x:f>
        <x:v>PASS</x:v>
      </x:c>
    </x:row>
    <x:row r="2265">
      <x:c r="B2265" s="21" t="str">
        <x:v>A02259</x:v>
      </x:c>
      <x:c r="C2265" s="21" t="str">
        <x:v>artifact</x:v>
      </x:c>
      <x:c r="D2265" s="21" t="str">
        <x:v>artifact 608 eligibility equation</x:v>
      </x:c>
      <x:c r="E2265" s="21" t="n">
        <x:f>IF(ABS('Artifact Ledger'!P614-IF(AND('Artifact Ledger'!L614=1,'Artifact Ledger'!M614=1,'Artifact Ledger'!N614=1,'Artifact Ledger'!O614&gt;='Artifact Ledger'!G614),'Artifact Ledger'!K614,0))&lt;0.000001,1,0)</x:f>
        <x:v>1</x:v>
      </x:c>
      <x:c r="F2265" s="21" t="n">
        <x:v>1</x:v>
      </x:c>
      <x:c r="G2265" s="23" t="str">
        <x:f>IF(E2265=F2265,"PASS","FAIL")</x:f>
        <x:v>PASS</x:v>
      </x:c>
    </x:row>
    <x:row r="2266">
      <x:c r="B2266" s="21" t="str">
        <x:v>A02260</x:v>
      </x:c>
      <x:c r="C2266" s="21" t="str">
        <x:v>artifact</x:v>
      </x:c>
      <x:c r="D2266" s="21" t="str">
        <x:v>artifact 608 planning state</x:v>
      </x:c>
      <x:c r="E2266" s="21" t="n">
        <x:f>IF(AND('Artifact Ledger'!Q614="OPEN",'Artifact Ledger'!R614="HOLD"),1,0)</x:f>
        <x:v>1</x:v>
      </x:c>
      <x:c r="F2266" s="21" t="n">
        <x:v>1</x:v>
      </x:c>
      <x:c r="G2266" s="23" t="str">
        <x:f>IF(E2266=F2266,"PASS","FAIL")</x:f>
        <x:v>PASS</x:v>
      </x:c>
    </x:row>
    <x:row r="2267">
      <x:c r="B2267" s="21" t="str">
        <x:v>A02261</x:v>
      </x:c>
      <x:c r="C2267" s="21" t="str">
        <x:v>artifact</x:v>
      </x:c>
      <x:c r="D2267" s="21" t="str">
        <x:v>artifact 609 eligibility equation</x:v>
      </x:c>
      <x:c r="E2267" s="21" t="n">
        <x:f>IF(ABS('Artifact Ledger'!P615-IF(AND('Artifact Ledger'!L615=1,'Artifact Ledger'!M615=1,'Artifact Ledger'!N615=1,'Artifact Ledger'!O615&gt;='Artifact Ledger'!G615),'Artifact Ledger'!K615,0))&lt;0.000001,1,0)</x:f>
        <x:v>1</x:v>
      </x:c>
      <x:c r="F2267" s="21" t="n">
        <x:v>1</x:v>
      </x:c>
      <x:c r="G2267" s="23" t="str">
        <x:f>IF(E2267=F2267,"PASS","FAIL")</x:f>
        <x:v>PASS</x:v>
      </x:c>
    </x:row>
    <x:row r="2268">
      <x:c r="B2268" s="21" t="str">
        <x:v>A02262</x:v>
      </x:c>
      <x:c r="C2268" s="21" t="str">
        <x:v>artifact</x:v>
      </x:c>
      <x:c r="D2268" s="21" t="str">
        <x:v>artifact 609 planning state</x:v>
      </x:c>
      <x:c r="E2268" s="21" t="n">
        <x:f>IF(AND('Artifact Ledger'!Q615="OPEN",'Artifact Ledger'!R615="HOLD"),1,0)</x:f>
        <x:v>1</x:v>
      </x:c>
      <x:c r="F2268" s="21" t="n">
        <x:v>1</x:v>
      </x:c>
      <x:c r="G2268" s="23" t="str">
        <x:f>IF(E2268=F2268,"PASS","FAIL")</x:f>
        <x:v>PASS</x:v>
      </x:c>
    </x:row>
    <x:row r="2269">
      <x:c r="B2269" s="21" t="str">
        <x:v>A02263</x:v>
      </x:c>
      <x:c r="C2269" s="21" t="str">
        <x:v>artifact</x:v>
      </x:c>
      <x:c r="D2269" s="21" t="str">
        <x:v>artifact 610 eligibility equation</x:v>
      </x:c>
      <x:c r="E2269" s="21" t="n">
        <x:f>IF(ABS('Artifact Ledger'!P616-IF(AND('Artifact Ledger'!L616=1,'Artifact Ledger'!M616=1,'Artifact Ledger'!N616=1,'Artifact Ledger'!O616&gt;='Artifact Ledger'!G616),'Artifact Ledger'!K616,0))&lt;0.000001,1,0)</x:f>
        <x:v>1</x:v>
      </x:c>
      <x:c r="F2269" s="21" t="n">
        <x:v>1</x:v>
      </x:c>
      <x:c r="G2269" s="23" t="str">
        <x:f>IF(E2269=F2269,"PASS","FAIL")</x:f>
        <x:v>PASS</x:v>
      </x:c>
    </x:row>
    <x:row r="2270">
      <x:c r="B2270" s="21" t="str">
        <x:v>A02264</x:v>
      </x:c>
      <x:c r="C2270" s="21" t="str">
        <x:v>artifact</x:v>
      </x:c>
      <x:c r="D2270" s="21" t="str">
        <x:v>artifact 610 planning state</x:v>
      </x:c>
      <x:c r="E2270" s="21" t="n">
        <x:f>IF(AND('Artifact Ledger'!Q616="OPEN",'Artifact Ledger'!R616="HOLD"),1,0)</x:f>
        <x:v>1</x:v>
      </x:c>
      <x:c r="F2270" s="21" t="n">
        <x:v>1</x:v>
      </x:c>
      <x:c r="G2270" s="23" t="str">
        <x:f>IF(E2270=F2270,"PASS","FAIL")</x:f>
        <x:v>PASS</x:v>
      </x:c>
    </x:row>
    <x:row r="2271">
      <x:c r="B2271" s="21" t="str">
        <x:v>A02265</x:v>
      </x:c>
      <x:c r="C2271" s="21" t="str">
        <x:v>artifact</x:v>
      </x:c>
      <x:c r="D2271" s="21" t="str">
        <x:v>artifact 611 eligibility equation</x:v>
      </x:c>
      <x:c r="E2271" s="21" t="n">
        <x:f>IF(ABS('Artifact Ledger'!P617-IF(AND('Artifact Ledger'!L617=1,'Artifact Ledger'!M617=1,'Artifact Ledger'!N617=1,'Artifact Ledger'!O617&gt;='Artifact Ledger'!G617),'Artifact Ledger'!K617,0))&lt;0.000001,1,0)</x:f>
        <x:v>1</x:v>
      </x:c>
      <x:c r="F2271" s="21" t="n">
        <x:v>1</x:v>
      </x:c>
      <x:c r="G2271" s="23" t="str">
        <x:f>IF(E2271=F2271,"PASS","FAIL")</x:f>
        <x:v>PASS</x:v>
      </x:c>
    </x:row>
    <x:row r="2272">
      <x:c r="B2272" s="21" t="str">
        <x:v>A02266</x:v>
      </x:c>
      <x:c r="C2272" s="21" t="str">
        <x:v>artifact</x:v>
      </x:c>
      <x:c r="D2272" s="21" t="str">
        <x:v>artifact 611 planning state</x:v>
      </x:c>
      <x:c r="E2272" s="21" t="n">
        <x:f>IF(AND('Artifact Ledger'!Q617="OPEN",'Artifact Ledger'!R617="HOLD"),1,0)</x:f>
        <x:v>1</x:v>
      </x:c>
      <x:c r="F2272" s="21" t="n">
        <x:v>1</x:v>
      </x:c>
      <x:c r="G2272" s="23" t="str">
        <x:f>IF(E2272=F2272,"PASS","FAIL")</x:f>
        <x:v>PASS</x:v>
      </x:c>
    </x:row>
    <x:row r="2273">
      <x:c r="B2273" s="21" t="str">
        <x:v>A02267</x:v>
      </x:c>
      <x:c r="C2273" s="21" t="str">
        <x:v>artifact</x:v>
      </x:c>
      <x:c r="D2273" s="21" t="str">
        <x:v>artifact 612 eligibility equation</x:v>
      </x:c>
      <x:c r="E2273" s="21" t="n">
        <x:f>IF(ABS('Artifact Ledger'!P618-IF(AND('Artifact Ledger'!L618=1,'Artifact Ledger'!M618=1,'Artifact Ledger'!N618=1,'Artifact Ledger'!O618&gt;='Artifact Ledger'!G618),'Artifact Ledger'!K618,0))&lt;0.000001,1,0)</x:f>
        <x:v>1</x:v>
      </x:c>
      <x:c r="F2273" s="21" t="n">
        <x:v>1</x:v>
      </x:c>
      <x:c r="G2273" s="23" t="str">
        <x:f>IF(E2273=F2273,"PASS","FAIL")</x:f>
        <x:v>PASS</x:v>
      </x:c>
    </x:row>
    <x:row r="2274">
      <x:c r="B2274" s="21" t="str">
        <x:v>A02268</x:v>
      </x:c>
      <x:c r="C2274" s="21" t="str">
        <x:v>artifact</x:v>
      </x:c>
      <x:c r="D2274" s="21" t="str">
        <x:v>artifact 612 planning state</x:v>
      </x:c>
      <x:c r="E2274" s="21" t="n">
        <x:f>IF(AND('Artifact Ledger'!Q618="OPEN",'Artifact Ledger'!R618="HOLD"),1,0)</x:f>
        <x:v>1</x:v>
      </x:c>
      <x:c r="F2274" s="21" t="n">
        <x:v>1</x:v>
      </x:c>
      <x:c r="G2274" s="23" t="str">
        <x:f>IF(E2274=F2274,"PASS","FAIL")</x:f>
        <x:v>PASS</x:v>
      </x:c>
    </x:row>
    <x:row r="2275">
      <x:c r="B2275" s="21" t="str">
        <x:v>A02269</x:v>
      </x:c>
      <x:c r="C2275" s="21" t="str">
        <x:v>artifact</x:v>
      </x:c>
      <x:c r="D2275" s="21" t="str">
        <x:v>artifact 613 eligibility equation</x:v>
      </x:c>
      <x:c r="E2275" s="21" t="n">
        <x:f>IF(ABS('Artifact Ledger'!P619-IF(AND('Artifact Ledger'!L619=1,'Artifact Ledger'!M619=1,'Artifact Ledger'!N619=1,'Artifact Ledger'!O619&gt;='Artifact Ledger'!G619),'Artifact Ledger'!K619,0))&lt;0.000001,1,0)</x:f>
        <x:v>1</x:v>
      </x:c>
      <x:c r="F2275" s="21" t="n">
        <x:v>1</x:v>
      </x:c>
      <x:c r="G2275" s="23" t="str">
        <x:f>IF(E2275=F2275,"PASS","FAIL")</x:f>
        <x:v>PASS</x:v>
      </x:c>
    </x:row>
    <x:row r="2276">
      <x:c r="B2276" s="21" t="str">
        <x:v>A02270</x:v>
      </x:c>
      <x:c r="C2276" s="21" t="str">
        <x:v>artifact</x:v>
      </x:c>
      <x:c r="D2276" s="21" t="str">
        <x:v>artifact 613 planning state</x:v>
      </x:c>
      <x:c r="E2276" s="21" t="n">
        <x:f>IF(AND('Artifact Ledger'!Q619="OPEN",'Artifact Ledger'!R619="HOLD"),1,0)</x:f>
        <x:v>1</x:v>
      </x:c>
      <x:c r="F2276" s="21" t="n">
        <x:v>1</x:v>
      </x:c>
      <x:c r="G2276" s="23" t="str">
        <x:f>IF(E2276=F2276,"PASS","FAIL")</x:f>
        <x:v>PASS</x:v>
      </x:c>
    </x:row>
    <x:row r="2277">
      <x:c r="B2277" s="21" t="str">
        <x:v>A02271</x:v>
      </x:c>
      <x:c r="C2277" s="21" t="str">
        <x:v>artifact</x:v>
      </x:c>
      <x:c r="D2277" s="21" t="str">
        <x:v>artifact 614 eligibility equation</x:v>
      </x:c>
      <x:c r="E2277" s="21" t="n">
        <x:f>IF(ABS('Artifact Ledger'!P620-IF(AND('Artifact Ledger'!L620=1,'Artifact Ledger'!M620=1,'Artifact Ledger'!N620=1,'Artifact Ledger'!O620&gt;='Artifact Ledger'!G620),'Artifact Ledger'!K620,0))&lt;0.000001,1,0)</x:f>
        <x:v>1</x:v>
      </x:c>
      <x:c r="F2277" s="21" t="n">
        <x:v>1</x:v>
      </x:c>
      <x:c r="G2277" s="23" t="str">
        <x:f>IF(E2277=F2277,"PASS","FAIL")</x:f>
        <x:v>PASS</x:v>
      </x:c>
    </x:row>
    <x:row r="2278">
      <x:c r="B2278" s="21" t="str">
        <x:v>A02272</x:v>
      </x:c>
      <x:c r="C2278" s="21" t="str">
        <x:v>artifact</x:v>
      </x:c>
      <x:c r="D2278" s="21" t="str">
        <x:v>artifact 614 planning state</x:v>
      </x:c>
      <x:c r="E2278" s="21" t="n">
        <x:f>IF(AND('Artifact Ledger'!Q620="OPEN",'Artifact Ledger'!R620="HOLD"),1,0)</x:f>
        <x:v>1</x:v>
      </x:c>
      <x:c r="F2278" s="21" t="n">
        <x:v>1</x:v>
      </x:c>
      <x:c r="G2278" s="23" t="str">
        <x:f>IF(E2278=F2278,"PASS","FAIL")</x:f>
        <x:v>PASS</x:v>
      </x:c>
    </x:row>
    <x:row r="2279">
      <x:c r="B2279" s="21" t="str">
        <x:v>A02273</x:v>
      </x:c>
      <x:c r="C2279" s="21" t="str">
        <x:v>artifact</x:v>
      </x:c>
      <x:c r="D2279" s="21" t="str">
        <x:v>artifact 615 eligibility equation</x:v>
      </x:c>
      <x:c r="E2279" s="21" t="n">
        <x:f>IF(ABS('Artifact Ledger'!P621-IF(AND('Artifact Ledger'!L621=1,'Artifact Ledger'!M621=1,'Artifact Ledger'!N621=1,'Artifact Ledger'!O621&gt;='Artifact Ledger'!G621),'Artifact Ledger'!K621,0))&lt;0.000001,1,0)</x:f>
        <x:v>1</x:v>
      </x:c>
      <x:c r="F2279" s="21" t="n">
        <x:v>1</x:v>
      </x:c>
      <x:c r="G2279" s="23" t="str">
        <x:f>IF(E2279=F2279,"PASS","FAIL")</x:f>
        <x:v>PASS</x:v>
      </x:c>
    </x:row>
    <x:row r="2280">
      <x:c r="B2280" s="21" t="str">
        <x:v>A02274</x:v>
      </x:c>
      <x:c r="C2280" s="21" t="str">
        <x:v>artifact</x:v>
      </x:c>
      <x:c r="D2280" s="21" t="str">
        <x:v>artifact 615 planning state</x:v>
      </x:c>
      <x:c r="E2280" s="21" t="n">
        <x:f>IF(AND('Artifact Ledger'!Q621="OPEN",'Artifact Ledger'!R621="HOLD"),1,0)</x:f>
        <x:v>1</x:v>
      </x:c>
      <x:c r="F2280" s="21" t="n">
        <x:v>1</x:v>
      </x:c>
      <x:c r="G2280" s="23" t="str">
        <x:f>IF(E2280=F2280,"PASS","FAIL")</x:f>
        <x:v>PASS</x:v>
      </x:c>
    </x:row>
    <x:row r="2281">
      <x:c r="B2281" s="21" t="str">
        <x:v>A02275</x:v>
      </x:c>
      <x:c r="C2281" s="21" t="str">
        <x:v>artifact</x:v>
      </x:c>
      <x:c r="D2281" s="21" t="str">
        <x:v>artifact 616 eligibility equation</x:v>
      </x:c>
      <x:c r="E2281" s="21" t="n">
        <x:f>IF(ABS('Artifact Ledger'!P622-IF(AND('Artifact Ledger'!L622=1,'Artifact Ledger'!M622=1,'Artifact Ledger'!N622=1,'Artifact Ledger'!O622&gt;='Artifact Ledger'!G622),'Artifact Ledger'!K622,0))&lt;0.000001,1,0)</x:f>
        <x:v>1</x:v>
      </x:c>
      <x:c r="F2281" s="21" t="n">
        <x:v>1</x:v>
      </x:c>
      <x:c r="G2281" s="23" t="str">
        <x:f>IF(E2281=F2281,"PASS","FAIL")</x:f>
        <x:v>PASS</x:v>
      </x:c>
    </x:row>
    <x:row r="2282">
      <x:c r="B2282" s="21" t="str">
        <x:v>A02276</x:v>
      </x:c>
      <x:c r="C2282" s="21" t="str">
        <x:v>artifact</x:v>
      </x:c>
      <x:c r="D2282" s="21" t="str">
        <x:v>artifact 616 planning state</x:v>
      </x:c>
      <x:c r="E2282" s="21" t="n">
        <x:f>IF(AND('Artifact Ledger'!Q622="OPEN",'Artifact Ledger'!R622="HOLD"),1,0)</x:f>
        <x:v>1</x:v>
      </x:c>
      <x:c r="F2282" s="21" t="n">
        <x:v>1</x:v>
      </x:c>
      <x:c r="G2282" s="23" t="str">
        <x:f>IF(E2282=F2282,"PASS","FAIL")</x:f>
        <x:v>PASS</x:v>
      </x:c>
    </x:row>
    <x:row r="2283">
      <x:c r="B2283" s="21" t="str">
        <x:v>A02277</x:v>
      </x:c>
      <x:c r="C2283" s="21" t="str">
        <x:v>artifact</x:v>
      </x:c>
      <x:c r="D2283" s="21" t="str">
        <x:v>artifact 617 eligibility equation</x:v>
      </x:c>
      <x:c r="E2283" s="21" t="n">
        <x:f>IF(ABS('Artifact Ledger'!P623-IF(AND('Artifact Ledger'!L623=1,'Artifact Ledger'!M623=1,'Artifact Ledger'!N623=1,'Artifact Ledger'!O623&gt;='Artifact Ledger'!G623),'Artifact Ledger'!K623,0))&lt;0.000001,1,0)</x:f>
        <x:v>1</x:v>
      </x:c>
      <x:c r="F2283" s="21" t="n">
        <x:v>1</x:v>
      </x:c>
      <x:c r="G2283" s="23" t="str">
        <x:f>IF(E2283=F2283,"PASS","FAIL")</x:f>
        <x:v>PASS</x:v>
      </x:c>
    </x:row>
    <x:row r="2284">
      <x:c r="B2284" s="21" t="str">
        <x:v>A02278</x:v>
      </x:c>
      <x:c r="C2284" s="21" t="str">
        <x:v>artifact</x:v>
      </x:c>
      <x:c r="D2284" s="21" t="str">
        <x:v>artifact 617 planning state</x:v>
      </x:c>
      <x:c r="E2284" s="21" t="n">
        <x:f>IF(AND('Artifact Ledger'!Q623="OPEN",'Artifact Ledger'!R623="HOLD"),1,0)</x:f>
        <x:v>1</x:v>
      </x:c>
      <x:c r="F2284" s="21" t="n">
        <x:v>1</x:v>
      </x:c>
      <x:c r="G2284" s="23" t="str">
        <x:f>IF(E2284=F2284,"PASS","FAIL")</x:f>
        <x:v>PASS</x:v>
      </x:c>
    </x:row>
    <x:row r="2285">
      <x:c r="B2285" s="21" t="str">
        <x:v>A02279</x:v>
      </x:c>
      <x:c r="C2285" s="21" t="str">
        <x:v>artifact</x:v>
      </x:c>
      <x:c r="D2285" s="21" t="str">
        <x:v>artifact 618 eligibility equation</x:v>
      </x:c>
      <x:c r="E2285" s="21" t="n">
        <x:f>IF(ABS('Artifact Ledger'!P624-IF(AND('Artifact Ledger'!L624=1,'Artifact Ledger'!M624=1,'Artifact Ledger'!N624=1,'Artifact Ledger'!O624&gt;='Artifact Ledger'!G624),'Artifact Ledger'!K624,0))&lt;0.000001,1,0)</x:f>
        <x:v>1</x:v>
      </x:c>
      <x:c r="F2285" s="21" t="n">
        <x:v>1</x:v>
      </x:c>
      <x:c r="G2285" s="23" t="str">
        <x:f>IF(E2285=F2285,"PASS","FAIL")</x:f>
        <x:v>PASS</x:v>
      </x:c>
    </x:row>
    <x:row r="2286">
      <x:c r="B2286" s="21" t="str">
        <x:v>A02280</x:v>
      </x:c>
      <x:c r="C2286" s="21" t="str">
        <x:v>artifact</x:v>
      </x:c>
      <x:c r="D2286" s="21" t="str">
        <x:v>artifact 618 planning state</x:v>
      </x:c>
      <x:c r="E2286" s="21" t="n">
        <x:f>IF(AND('Artifact Ledger'!Q624="OPEN",'Artifact Ledger'!R624="HOLD"),1,0)</x:f>
        <x:v>1</x:v>
      </x:c>
      <x:c r="F2286" s="21" t="n">
        <x:v>1</x:v>
      </x:c>
      <x:c r="G2286" s="23" t="str">
        <x:f>IF(E2286=F2286,"PASS","FAIL")</x:f>
        <x:v>PASS</x:v>
      </x:c>
    </x:row>
    <x:row r="2287">
      <x:c r="B2287" s="21" t="str">
        <x:v>A02281</x:v>
      </x:c>
      <x:c r="C2287" s="21" t="str">
        <x:v>artifact</x:v>
      </x:c>
      <x:c r="D2287" s="21" t="str">
        <x:v>artifact 619 eligibility equation</x:v>
      </x:c>
      <x:c r="E2287" s="21" t="n">
        <x:f>IF(ABS('Artifact Ledger'!P625-IF(AND('Artifact Ledger'!L625=1,'Artifact Ledger'!M625=1,'Artifact Ledger'!N625=1,'Artifact Ledger'!O625&gt;='Artifact Ledger'!G625),'Artifact Ledger'!K625,0))&lt;0.000001,1,0)</x:f>
        <x:v>1</x:v>
      </x:c>
      <x:c r="F2287" s="21" t="n">
        <x:v>1</x:v>
      </x:c>
      <x:c r="G2287" s="23" t="str">
        <x:f>IF(E2287=F2287,"PASS","FAIL")</x:f>
        <x:v>PASS</x:v>
      </x:c>
    </x:row>
    <x:row r="2288">
      <x:c r="B2288" s="21" t="str">
        <x:v>A02282</x:v>
      </x:c>
      <x:c r="C2288" s="21" t="str">
        <x:v>artifact</x:v>
      </x:c>
      <x:c r="D2288" s="21" t="str">
        <x:v>artifact 619 planning state</x:v>
      </x:c>
      <x:c r="E2288" s="21" t="n">
        <x:f>IF(AND('Artifact Ledger'!Q625="OPEN",'Artifact Ledger'!R625="HOLD"),1,0)</x:f>
        <x:v>1</x:v>
      </x:c>
      <x:c r="F2288" s="21" t="n">
        <x:v>1</x:v>
      </x:c>
      <x:c r="G2288" s="23" t="str">
        <x:f>IF(E2288=F2288,"PASS","FAIL")</x:f>
        <x:v>PASS</x:v>
      </x:c>
    </x:row>
    <x:row r="2289">
      <x:c r="B2289" s="21" t="str">
        <x:v>A02283</x:v>
      </x:c>
      <x:c r="C2289" s="21" t="str">
        <x:v>artifact</x:v>
      </x:c>
      <x:c r="D2289" s="21" t="str">
        <x:v>artifact 620 eligibility equation</x:v>
      </x:c>
      <x:c r="E2289" s="21" t="n">
        <x:f>IF(ABS('Artifact Ledger'!P626-IF(AND('Artifact Ledger'!L626=1,'Artifact Ledger'!M626=1,'Artifact Ledger'!N626=1,'Artifact Ledger'!O626&gt;='Artifact Ledger'!G626),'Artifact Ledger'!K626,0))&lt;0.000001,1,0)</x:f>
        <x:v>1</x:v>
      </x:c>
      <x:c r="F2289" s="21" t="n">
        <x:v>1</x:v>
      </x:c>
      <x:c r="G2289" s="23" t="str">
        <x:f>IF(E2289=F2289,"PASS","FAIL")</x:f>
        <x:v>PASS</x:v>
      </x:c>
    </x:row>
    <x:row r="2290">
      <x:c r="B2290" s="21" t="str">
        <x:v>A02284</x:v>
      </x:c>
      <x:c r="C2290" s="21" t="str">
        <x:v>artifact</x:v>
      </x:c>
      <x:c r="D2290" s="21" t="str">
        <x:v>artifact 620 planning state</x:v>
      </x:c>
      <x:c r="E2290" s="21" t="n">
        <x:f>IF(AND('Artifact Ledger'!Q626="OPEN",'Artifact Ledger'!R626="HOLD"),1,0)</x:f>
        <x:v>1</x:v>
      </x:c>
      <x:c r="F2290" s="21" t="n">
        <x:v>1</x:v>
      </x:c>
      <x:c r="G2290" s="23" t="str">
        <x:f>IF(E2290=F2290,"PASS","FAIL")</x:f>
        <x:v>PASS</x:v>
      </x:c>
    </x:row>
    <x:row r="2291">
      <x:c r="B2291" s="21" t="str">
        <x:v>A02285</x:v>
      </x:c>
      <x:c r="C2291" s="21" t="str">
        <x:v>artifact</x:v>
      </x:c>
      <x:c r="D2291" s="21" t="str">
        <x:v>artifact 621 eligibility equation</x:v>
      </x:c>
      <x:c r="E2291" s="21" t="n">
        <x:f>IF(ABS('Artifact Ledger'!P627-IF(AND('Artifact Ledger'!L627=1,'Artifact Ledger'!M627=1,'Artifact Ledger'!N627=1,'Artifact Ledger'!O627&gt;='Artifact Ledger'!G627),'Artifact Ledger'!K627,0))&lt;0.000001,1,0)</x:f>
        <x:v>1</x:v>
      </x:c>
      <x:c r="F2291" s="21" t="n">
        <x:v>1</x:v>
      </x:c>
      <x:c r="G2291" s="23" t="str">
        <x:f>IF(E2291=F2291,"PASS","FAIL")</x:f>
        <x:v>PASS</x:v>
      </x:c>
    </x:row>
    <x:row r="2292">
      <x:c r="B2292" s="21" t="str">
        <x:v>A02286</x:v>
      </x:c>
      <x:c r="C2292" s="21" t="str">
        <x:v>artifact</x:v>
      </x:c>
      <x:c r="D2292" s="21" t="str">
        <x:v>artifact 621 planning state</x:v>
      </x:c>
      <x:c r="E2292" s="21" t="n">
        <x:f>IF(AND('Artifact Ledger'!Q627="OPEN",'Artifact Ledger'!R627="HOLD"),1,0)</x:f>
        <x:v>1</x:v>
      </x:c>
      <x:c r="F2292" s="21" t="n">
        <x:v>1</x:v>
      </x:c>
      <x:c r="G2292" s="23" t="str">
        <x:f>IF(E2292=F2292,"PASS","FAIL")</x:f>
        <x:v>PASS</x:v>
      </x:c>
    </x:row>
    <x:row r="2293">
      <x:c r="B2293" s="21" t="str">
        <x:v>A02287</x:v>
      </x:c>
      <x:c r="C2293" s="21" t="str">
        <x:v>artifact</x:v>
      </x:c>
      <x:c r="D2293" s="21" t="str">
        <x:v>artifact 622 eligibility equation</x:v>
      </x:c>
      <x:c r="E2293" s="21" t="n">
        <x:f>IF(ABS('Artifact Ledger'!P628-IF(AND('Artifact Ledger'!L628=1,'Artifact Ledger'!M628=1,'Artifact Ledger'!N628=1,'Artifact Ledger'!O628&gt;='Artifact Ledger'!G628),'Artifact Ledger'!K628,0))&lt;0.000001,1,0)</x:f>
        <x:v>1</x:v>
      </x:c>
      <x:c r="F2293" s="21" t="n">
        <x:v>1</x:v>
      </x:c>
      <x:c r="G2293" s="23" t="str">
        <x:f>IF(E2293=F2293,"PASS","FAIL")</x:f>
        <x:v>PASS</x:v>
      </x:c>
    </x:row>
    <x:row r="2294">
      <x:c r="B2294" s="21" t="str">
        <x:v>A02288</x:v>
      </x:c>
      <x:c r="C2294" s="21" t="str">
        <x:v>artifact</x:v>
      </x:c>
      <x:c r="D2294" s="21" t="str">
        <x:v>artifact 622 planning state</x:v>
      </x:c>
      <x:c r="E2294" s="21" t="n">
        <x:f>IF(AND('Artifact Ledger'!Q628="OPEN",'Artifact Ledger'!R628="HOLD"),1,0)</x:f>
        <x:v>1</x:v>
      </x:c>
      <x:c r="F2294" s="21" t="n">
        <x:v>1</x:v>
      </x:c>
      <x:c r="G2294" s="23" t="str">
        <x:f>IF(E2294=F2294,"PASS","FAIL")</x:f>
        <x:v>PASS</x:v>
      </x:c>
    </x:row>
    <x:row r="2295">
      <x:c r="B2295" s="21" t="str">
        <x:v>A02289</x:v>
      </x:c>
      <x:c r="C2295" s="21" t="str">
        <x:v>artifact</x:v>
      </x:c>
      <x:c r="D2295" s="21" t="str">
        <x:v>artifact 623 eligibility equation</x:v>
      </x:c>
      <x:c r="E2295" s="21" t="n">
        <x:f>IF(ABS('Artifact Ledger'!P629-IF(AND('Artifact Ledger'!L629=1,'Artifact Ledger'!M629=1,'Artifact Ledger'!N629=1,'Artifact Ledger'!O629&gt;='Artifact Ledger'!G629),'Artifact Ledger'!K629,0))&lt;0.000001,1,0)</x:f>
        <x:v>1</x:v>
      </x:c>
      <x:c r="F2295" s="21" t="n">
        <x:v>1</x:v>
      </x:c>
      <x:c r="G2295" s="23" t="str">
        <x:f>IF(E2295=F2295,"PASS","FAIL")</x:f>
        <x:v>PASS</x:v>
      </x:c>
    </x:row>
    <x:row r="2296">
      <x:c r="B2296" s="21" t="str">
        <x:v>A02290</x:v>
      </x:c>
      <x:c r="C2296" s="21" t="str">
        <x:v>artifact</x:v>
      </x:c>
      <x:c r="D2296" s="21" t="str">
        <x:v>artifact 623 planning state</x:v>
      </x:c>
      <x:c r="E2296" s="21" t="n">
        <x:f>IF(AND('Artifact Ledger'!Q629="OPEN",'Artifact Ledger'!R629="HOLD"),1,0)</x:f>
        <x:v>1</x:v>
      </x:c>
      <x:c r="F2296" s="21" t="n">
        <x:v>1</x:v>
      </x:c>
      <x:c r="G2296" s="23" t="str">
        <x:f>IF(E2296=F2296,"PASS","FAIL")</x:f>
        <x:v>PASS</x:v>
      </x:c>
    </x:row>
    <x:row r="2297">
      <x:c r="B2297" s="21" t="str">
        <x:v>A02291</x:v>
      </x:c>
      <x:c r="C2297" s="21" t="str">
        <x:v>artifact</x:v>
      </x:c>
      <x:c r="D2297" s="21" t="str">
        <x:v>artifact 624 eligibility equation</x:v>
      </x:c>
      <x:c r="E2297" s="21" t="n">
        <x:f>IF(ABS('Artifact Ledger'!P630-IF(AND('Artifact Ledger'!L630=1,'Artifact Ledger'!M630=1,'Artifact Ledger'!N630=1,'Artifact Ledger'!O630&gt;='Artifact Ledger'!G630),'Artifact Ledger'!K630,0))&lt;0.000001,1,0)</x:f>
        <x:v>1</x:v>
      </x:c>
      <x:c r="F2297" s="21" t="n">
        <x:v>1</x:v>
      </x:c>
      <x:c r="G2297" s="23" t="str">
        <x:f>IF(E2297=F2297,"PASS","FAIL")</x:f>
        <x:v>PASS</x:v>
      </x:c>
    </x:row>
    <x:row r="2298">
      <x:c r="B2298" s="21" t="str">
        <x:v>A02292</x:v>
      </x:c>
      <x:c r="C2298" s="21" t="str">
        <x:v>artifact</x:v>
      </x:c>
      <x:c r="D2298" s="21" t="str">
        <x:v>artifact 624 planning state</x:v>
      </x:c>
      <x:c r="E2298" s="21" t="n">
        <x:f>IF(AND('Artifact Ledger'!Q630="OPEN",'Artifact Ledger'!R630="HOLD"),1,0)</x:f>
        <x:v>1</x:v>
      </x:c>
      <x:c r="F2298" s="21" t="n">
        <x:v>1</x:v>
      </x:c>
      <x:c r="G2298" s="23" t="str">
        <x:f>IF(E2298=F2298,"PASS","FAIL")</x:f>
        <x:v>PASS</x:v>
      </x:c>
    </x:row>
    <x:row r="2299">
      <x:c r="B2299" s="21" t="str">
        <x:v>A02293</x:v>
      </x:c>
      <x:c r="C2299" s="21" t="str">
        <x:v>artifact</x:v>
      </x:c>
      <x:c r="D2299" s="21" t="str">
        <x:v>artifact 625 eligibility equation</x:v>
      </x:c>
      <x:c r="E2299" s="21" t="n">
        <x:f>IF(ABS('Artifact Ledger'!P631-IF(AND('Artifact Ledger'!L631=1,'Artifact Ledger'!M631=1,'Artifact Ledger'!N631=1,'Artifact Ledger'!O631&gt;='Artifact Ledger'!G631),'Artifact Ledger'!K631,0))&lt;0.000001,1,0)</x:f>
        <x:v>1</x:v>
      </x:c>
      <x:c r="F2299" s="21" t="n">
        <x:v>1</x:v>
      </x:c>
      <x:c r="G2299" s="23" t="str">
        <x:f>IF(E2299=F2299,"PASS","FAIL")</x:f>
        <x:v>PASS</x:v>
      </x:c>
    </x:row>
    <x:row r="2300">
      <x:c r="B2300" s="21" t="str">
        <x:v>A02294</x:v>
      </x:c>
      <x:c r="C2300" s="21" t="str">
        <x:v>artifact</x:v>
      </x:c>
      <x:c r="D2300" s="21" t="str">
        <x:v>artifact 625 planning state</x:v>
      </x:c>
      <x:c r="E2300" s="21" t="n">
        <x:f>IF(AND('Artifact Ledger'!Q631="OPEN",'Artifact Ledger'!R631="HOLD"),1,0)</x:f>
        <x:v>1</x:v>
      </x:c>
      <x:c r="F2300" s="21" t="n">
        <x:v>1</x:v>
      </x:c>
      <x:c r="G2300" s="23" t="str">
        <x:f>IF(E2300=F2300,"PASS","FAIL")</x:f>
        <x:v>PASS</x:v>
      </x:c>
    </x:row>
    <x:row r="2301">
      <x:c r="B2301" s="21" t="str">
        <x:v>A02295</x:v>
      </x:c>
      <x:c r="C2301" s="21" t="str">
        <x:v>artifact</x:v>
      </x:c>
      <x:c r="D2301" s="21" t="str">
        <x:v>artifact 626 eligibility equation</x:v>
      </x:c>
      <x:c r="E2301" s="21" t="n">
        <x:f>IF(ABS('Artifact Ledger'!P632-IF(AND('Artifact Ledger'!L632=1,'Artifact Ledger'!M632=1,'Artifact Ledger'!N632=1,'Artifact Ledger'!O632&gt;='Artifact Ledger'!G632),'Artifact Ledger'!K632,0))&lt;0.000001,1,0)</x:f>
        <x:v>1</x:v>
      </x:c>
      <x:c r="F2301" s="21" t="n">
        <x:v>1</x:v>
      </x:c>
      <x:c r="G2301" s="23" t="str">
        <x:f>IF(E2301=F2301,"PASS","FAIL")</x:f>
        <x:v>PASS</x:v>
      </x:c>
    </x:row>
    <x:row r="2302">
      <x:c r="B2302" s="21" t="str">
        <x:v>A02296</x:v>
      </x:c>
      <x:c r="C2302" s="21" t="str">
        <x:v>artifact</x:v>
      </x:c>
      <x:c r="D2302" s="21" t="str">
        <x:v>artifact 626 planning state</x:v>
      </x:c>
      <x:c r="E2302" s="21" t="n">
        <x:f>IF(AND('Artifact Ledger'!Q632="OPEN",'Artifact Ledger'!R632="HOLD"),1,0)</x:f>
        <x:v>1</x:v>
      </x:c>
      <x:c r="F2302" s="21" t="n">
        <x:v>1</x:v>
      </x:c>
      <x:c r="G2302" s="23" t="str">
        <x:f>IF(E2302=F2302,"PASS","FAIL")</x:f>
        <x:v>PASS</x:v>
      </x:c>
    </x:row>
    <x:row r="2303">
      <x:c r="B2303" s="21" t="str">
        <x:v>A02297</x:v>
      </x:c>
      <x:c r="C2303" s="21" t="str">
        <x:v>artifact</x:v>
      </x:c>
      <x:c r="D2303" s="21" t="str">
        <x:v>artifact 627 eligibility equation</x:v>
      </x:c>
      <x:c r="E2303" s="21" t="n">
        <x:f>IF(ABS('Artifact Ledger'!P633-IF(AND('Artifact Ledger'!L633=1,'Artifact Ledger'!M633=1,'Artifact Ledger'!N633=1,'Artifact Ledger'!O633&gt;='Artifact Ledger'!G633),'Artifact Ledger'!K633,0))&lt;0.000001,1,0)</x:f>
        <x:v>1</x:v>
      </x:c>
      <x:c r="F2303" s="21" t="n">
        <x:v>1</x:v>
      </x:c>
      <x:c r="G2303" s="23" t="str">
        <x:f>IF(E2303=F2303,"PASS","FAIL")</x:f>
        <x:v>PASS</x:v>
      </x:c>
    </x:row>
    <x:row r="2304">
      <x:c r="B2304" s="21" t="str">
        <x:v>A02298</x:v>
      </x:c>
      <x:c r="C2304" s="21" t="str">
        <x:v>artifact</x:v>
      </x:c>
      <x:c r="D2304" s="21" t="str">
        <x:v>artifact 627 planning state</x:v>
      </x:c>
      <x:c r="E2304" s="21" t="n">
        <x:f>IF(AND('Artifact Ledger'!Q633="OPEN",'Artifact Ledger'!R633="HOLD"),1,0)</x:f>
        <x:v>1</x:v>
      </x:c>
      <x:c r="F2304" s="21" t="n">
        <x:v>1</x:v>
      </x:c>
      <x:c r="G2304" s="23" t="str">
        <x:f>IF(E2304=F2304,"PASS","FAIL")</x:f>
        <x:v>PASS</x:v>
      </x:c>
    </x:row>
    <x:row r="2305">
      <x:c r="B2305" s="21" t="str">
        <x:v>A02299</x:v>
      </x:c>
      <x:c r="C2305" s="21" t="str">
        <x:v>artifact</x:v>
      </x:c>
      <x:c r="D2305" s="21" t="str">
        <x:v>artifact 628 eligibility equation</x:v>
      </x:c>
      <x:c r="E2305" s="21" t="n">
        <x:f>IF(ABS('Artifact Ledger'!P634-IF(AND('Artifact Ledger'!L634=1,'Artifact Ledger'!M634=1,'Artifact Ledger'!N634=1,'Artifact Ledger'!O634&gt;='Artifact Ledger'!G634),'Artifact Ledger'!K634,0))&lt;0.000001,1,0)</x:f>
        <x:v>1</x:v>
      </x:c>
      <x:c r="F2305" s="21" t="n">
        <x:v>1</x:v>
      </x:c>
      <x:c r="G2305" s="23" t="str">
        <x:f>IF(E2305=F2305,"PASS","FAIL")</x:f>
        <x:v>PASS</x:v>
      </x:c>
    </x:row>
    <x:row r="2306">
      <x:c r="B2306" s="21" t="str">
        <x:v>A02300</x:v>
      </x:c>
      <x:c r="C2306" s="21" t="str">
        <x:v>artifact</x:v>
      </x:c>
      <x:c r="D2306" s="21" t="str">
        <x:v>artifact 628 planning state</x:v>
      </x:c>
      <x:c r="E2306" s="21" t="n">
        <x:f>IF(AND('Artifact Ledger'!Q634="OPEN",'Artifact Ledger'!R634="HOLD"),1,0)</x:f>
        <x:v>1</x:v>
      </x:c>
      <x:c r="F2306" s="21" t="n">
        <x:v>1</x:v>
      </x:c>
      <x:c r="G2306" s="23" t="str">
        <x:f>IF(E2306=F2306,"PASS","FAIL")</x:f>
        <x:v>PASS</x:v>
      </x:c>
    </x:row>
    <x:row r="2307">
      <x:c r="B2307" s="21" t="str">
        <x:v>A02301</x:v>
      </x:c>
      <x:c r="C2307" s="21" t="str">
        <x:v>artifact</x:v>
      </x:c>
      <x:c r="D2307" s="21" t="str">
        <x:v>artifact 629 eligibility equation</x:v>
      </x:c>
      <x:c r="E2307" s="21" t="n">
        <x:f>IF(ABS('Artifact Ledger'!P635-IF(AND('Artifact Ledger'!L635=1,'Artifact Ledger'!M635=1,'Artifact Ledger'!N635=1,'Artifact Ledger'!O635&gt;='Artifact Ledger'!G635),'Artifact Ledger'!K635,0))&lt;0.000001,1,0)</x:f>
        <x:v>1</x:v>
      </x:c>
      <x:c r="F2307" s="21" t="n">
        <x:v>1</x:v>
      </x:c>
      <x:c r="G2307" s="23" t="str">
        <x:f>IF(E2307=F2307,"PASS","FAIL")</x:f>
        <x:v>PASS</x:v>
      </x:c>
    </x:row>
    <x:row r="2308">
      <x:c r="B2308" s="21" t="str">
        <x:v>A02302</x:v>
      </x:c>
      <x:c r="C2308" s="21" t="str">
        <x:v>artifact</x:v>
      </x:c>
      <x:c r="D2308" s="21" t="str">
        <x:v>artifact 629 planning state</x:v>
      </x:c>
      <x:c r="E2308" s="21" t="n">
        <x:f>IF(AND('Artifact Ledger'!Q635="OPEN",'Artifact Ledger'!R635="HOLD"),1,0)</x:f>
        <x:v>1</x:v>
      </x:c>
      <x:c r="F2308" s="21" t="n">
        <x:v>1</x:v>
      </x:c>
      <x:c r="G2308" s="23" t="str">
        <x:f>IF(E2308=F2308,"PASS","FAIL")</x:f>
        <x:v>PASS</x:v>
      </x:c>
    </x:row>
    <x:row r="2309">
      <x:c r="B2309" s="21" t="str">
        <x:v>A02303</x:v>
      </x:c>
      <x:c r="C2309" s="21" t="str">
        <x:v>artifact</x:v>
      </x:c>
      <x:c r="D2309" s="21" t="str">
        <x:v>artifact 630 eligibility equation</x:v>
      </x:c>
      <x:c r="E2309" s="21" t="n">
        <x:f>IF(ABS('Artifact Ledger'!P636-IF(AND('Artifact Ledger'!L636=1,'Artifact Ledger'!M636=1,'Artifact Ledger'!N636=1,'Artifact Ledger'!O636&gt;='Artifact Ledger'!G636),'Artifact Ledger'!K636,0))&lt;0.000001,1,0)</x:f>
        <x:v>1</x:v>
      </x:c>
      <x:c r="F2309" s="21" t="n">
        <x:v>1</x:v>
      </x:c>
      <x:c r="G2309" s="23" t="str">
        <x:f>IF(E2309=F2309,"PASS","FAIL")</x:f>
        <x:v>PASS</x:v>
      </x:c>
    </x:row>
    <x:row r="2310">
      <x:c r="B2310" s="21" t="str">
        <x:v>A02304</x:v>
      </x:c>
      <x:c r="C2310" s="21" t="str">
        <x:v>artifact</x:v>
      </x:c>
      <x:c r="D2310" s="21" t="str">
        <x:v>artifact 630 planning state</x:v>
      </x:c>
      <x:c r="E2310" s="21" t="n">
        <x:f>IF(AND('Artifact Ledger'!Q636="OPEN",'Artifact Ledger'!R636="HOLD"),1,0)</x:f>
        <x:v>1</x:v>
      </x:c>
      <x:c r="F2310" s="21" t="n">
        <x:v>1</x:v>
      </x:c>
      <x:c r="G2310" s="23" t="str">
        <x:f>IF(E2310=F2310,"PASS","FAIL")</x:f>
        <x:v>PASS</x:v>
      </x:c>
    </x:row>
    <x:row r="2311">
      <x:c r="B2311" s="21" t="str">
        <x:v>A02305</x:v>
      </x:c>
      <x:c r="C2311" s="21" t="str">
        <x:v>artifact</x:v>
      </x:c>
      <x:c r="D2311" s="21" t="str">
        <x:v>artifact 631 eligibility equation</x:v>
      </x:c>
      <x:c r="E2311" s="21" t="n">
        <x:f>IF(ABS('Artifact Ledger'!P637-IF(AND('Artifact Ledger'!L637=1,'Artifact Ledger'!M637=1,'Artifact Ledger'!N637=1,'Artifact Ledger'!O637&gt;='Artifact Ledger'!G637),'Artifact Ledger'!K637,0))&lt;0.000001,1,0)</x:f>
        <x:v>1</x:v>
      </x:c>
      <x:c r="F2311" s="21" t="n">
        <x:v>1</x:v>
      </x:c>
      <x:c r="G2311" s="23" t="str">
        <x:f>IF(E2311=F2311,"PASS","FAIL")</x:f>
        <x:v>PASS</x:v>
      </x:c>
    </x:row>
    <x:row r="2312">
      <x:c r="B2312" s="21" t="str">
        <x:v>A02306</x:v>
      </x:c>
      <x:c r="C2312" s="21" t="str">
        <x:v>artifact</x:v>
      </x:c>
      <x:c r="D2312" s="21" t="str">
        <x:v>artifact 631 planning state</x:v>
      </x:c>
      <x:c r="E2312" s="21" t="n">
        <x:f>IF(AND('Artifact Ledger'!Q637="OPEN",'Artifact Ledger'!R637="HOLD"),1,0)</x:f>
        <x:v>1</x:v>
      </x:c>
      <x:c r="F2312" s="21" t="n">
        <x:v>1</x:v>
      </x:c>
      <x:c r="G2312" s="23" t="str">
        <x:f>IF(E2312=F2312,"PASS","FAIL")</x:f>
        <x:v>PASS</x:v>
      </x:c>
    </x:row>
    <x:row r="2313">
      <x:c r="B2313" s="21" t="str">
        <x:v>A02307</x:v>
      </x:c>
      <x:c r="C2313" s="21" t="str">
        <x:v>artifact</x:v>
      </x:c>
      <x:c r="D2313" s="21" t="str">
        <x:v>artifact 632 eligibility equation</x:v>
      </x:c>
      <x:c r="E2313" s="21" t="n">
        <x:f>IF(ABS('Artifact Ledger'!P638-IF(AND('Artifact Ledger'!L638=1,'Artifact Ledger'!M638=1,'Artifact Ledger'!N638=1,'Artifact Ledger'!O638&gt;='Artifact Ledger'!G638),'Artifact Ledger'!K638,0))&lt;0.000001,1,0)</x:f>
        <x:v>1</x:v>
      </x:c>
      <x:c r="F2313" s="21" t="n">
        <x:v>1</x:v>
      </x:c>
      <x:c r="G2313" s="23" t="str">
        <x:f>IF(E2313=F2313,"PASS","FAIL")</x:f>
        <x:v>PASS</x:v>
      </x:c>
    </x:row>
    <x:row r="2314">
      <x:c r="B2314" s="21" t="str">
        <x:v>A02308</x:v>
      </x:c>
      <x:c r="C2314" s="21" t="str">
        <x:v>artifact</x:v>
      </x:c>
      <x:c r="D2314" s="21" t="str">
        <x:v>artifact 632 planning state</x:v>
      </x:c>
      <x:c r="E2314" s="21" t="n">
        <x:f>IF(AND('Artifact Ledger'!Q638="OPEN",'Artifact Ledger'!R638="HOLD"),1,0)</x:f>
        <x:v>1</x:v>
      </x:c>
      <x:c r="F2314" s="21" t="n">
        <x:v>1</x:v>
      </x:c>
      <x:c r="G2314" s="23" t="str">
        <x:f>IF(E2314=F2314,"PASS","FAIL")</x:f>
        <x:v>PASS</x:v>
      </x:c>
    </x:row>
    <x:row r="2315">
      <x:c r="B2315" s="21" t="str">
        <x:v>A02309</x:v>
      </x:c>
      <x:c r="C2315" s="21" t="str">
        <x:v>artifact</x:v>
      </x:c>
      <x:c r="D2315" s="21" t="str">
        <x:v>artifact 633 eligibility equation</x:v>
      </x:c>
      <x:c r="E2315" s="21" t="n">
        <x:f>IF(ABS('Artifact Ledger'!P639-IF(AND('Artifact Ledger'!L639=1,'Artifact Ledger'!M639=1,'Artifact Ledger'!N639=1,'Artifact Ledger'!O639&gt;='Artifact Ledger'!G639),'Artifact Ledger'!K639,0))&lt;0.000001,1,0)</x:f>
        <x:v>1</x:v>
      </x:c>
      <x:c r="F2315" s="21" t="n">
        <x:v>1</x:v>
      </x:c>
      <x:c r="G2315" s="23" t="str">
        <x:f>IF(E2315=F2315,"PASS","FAIL")</x:f>
        <x:v>PASS</x:v>
      </x:c>
    </x:row>
    <x:row r="2316">
      <x:c r="B2316" s="21" t="str">
        <x:v>A02310</x:v>
      </x:c>
      <x:c r="C2316" s="21" t="str">
        <x:v>artifact</x:v>
      </x:c>
      <x:c r="D2316" s="21" t="str">
        <x:v>artifact 633 planning state</x:v>
      </x:c>
      <x:c r="E2316" s="21" t="n">
        <x:f>IF(AND('Artifact Ledger'!Q639="OPEN",'Artifact Ledger'!R639="HOLD"),1,0)</x:f>
        <x:v>1</x:v>
      </x:c>
      <x:c r="F2316" s="21" t="n">
        <x:v>1</x:v>
      </x:c>
      <x:c r="G2316" s="23" t="str">
        <x:f>IF(E2316=F2316,"PASS","FAIL")</x:f>
        <x:v>PASS</x:v>
      </x:c>
    </x:row>
    <x:row r="2317">
      <x:c r="B2317" s="21" t="str">
        <x:v>A02311</x:v>
      </x:c>
      <x:c r="C2317" s="21" t="str">
        <x:v>artifact</x:v>
      </x:c>
      <x:c r="D2317" s="21" t="str">
        <x:v>artifact 634 eligibility equation</x:v>
      </x:c>
      <x:c r="E2317" s="21" t="n">
        <x:f>IF(ABS('Artifact Ledger'!P640-IF(AND('Artifact Ledger'!L640=1,'Artifact Ledger'!M640=1,'Artifact Ledger'!N640=1,'Artifact Ledger'!O640&gt;='Artifact Ledger'!G640),'Artifact Ledger'!K640,0))&lt;0.000001,1,0)</x:f>
        <x:v>1</x:v>
      </x:c>
      <x:c r="F2317" s="21" t="n">
        <x:v>1</x:v>
      </x:c>
      <x:c r="G2317" s="23" t="str">
        <x:f>IF(E2317=F2317,"PASS","FAIL")</x:f>
        <x:v>PASS</x:v>
      </x:c>
    </x:row>
    <x:row r="2318">
      <x:c r="B2318" s="21" t="str">
        <x:v>A02312</x:v>
      </x:c>
      <x:c r="C2318" s="21" t="str">
        <x:v>artifact</x:v>
      </x:c>
      <x:c r="D2318" s="21" t="str">
        <x:v>artifact 634 planning state</x:v>
      </x:c>
      <x:c r="E2318" s="21" t="n">
        <x:f>IF(AND('Artifact Ledger'!Q640="OPEN",'Artifact Ledger'!R640="HOLD"),1,0)</x:f>
        <x:v>1</x:v>
      </x:c>
      <x:c r="F2318" s="21" t="n">
        <x:v>1</x:v>
      </x:c>
      <x:c r="G2318" s="23" t="str">
        <x:f>IF(E2318=F2318,"PASS","FAIL")</x:f>
        <x:v>PASS</x:v>
      </x:c>
    </x:row>
    <x:row r="2319">
      <x:c r="B2319" s="21" t="str">
        <x:v>A02313</x:v>
      </x:c>
      <x:c r="C2319" s="21" t="str">
        <x:v>artifact</x:v>
      </x:c>
      <x:c r="D2319" s="21" t="str">
        <x:v>artifact 635 eligibility equation</x:v>
      </x:c>
      <x:c r="E2319" s="21" t="n">
        <x:f>IF(ABS('Artifact Ledger'!P641-IF(AND('Artifact Ledger'!L641=1,'Artifact Ledger'!M641=1,'Artifact Ledger'!N641=1,'Artifact Ledger'!O641&gt;='Artifact Ledger'!G641),'Artifact Ledger'!K641,0))&lt;0.000001,1,0)</x:f>
        <x:v>1</x:v>
      </x:c>
      <x:c r="F2319" s="21" t="n">
        <x:v>1</x:v>
      </x:c>
      <x:c r="G2319" s="23" t="str">
        <x:f>IF(E2319=F2319,"PASS","FAIL")</x:f>
        <x:v>PASS</x:v>
      </x:c>
    </x:row>
    <x:row r="2320">
      <x:c r="B2320" s="21" t="str">
        <x:v>A02314</x:v>
      </x:c>
      <x:c r="C2320" s="21" t="str">
        <x:v>artifact</x:v>
      </x:c>
      <x:c r="D2320" s="21" t="str">
        <x:v>artifact 635 planning state</x:v>
      </x:c>
      <x:c r="E2320" s="21" t="n">
        <x:f>IF(AND('Artifact Ledger'!Q641="OPEN",'Artifact Ledger'!R641="HOLD"),1,0)</x:f>
        <x:v>1</x:v>
      </x:c>
      <x:c r="F2320" s="21" t="n">
        <x:v>1</x:v>
      </x:c>
      <x:c r="G2320" s="23" t="str">
        <x:f>IF(E2320=F2320,"PASS","FAIL")</x:f>
        <x:v>PASS</x:v>
      </x:c>
    </x:row>
    <x:row r="2321">
      <x:c r="B2321" s="21" t="str">
        <x:v>A02315</x:v>
      </x:c>
      <x:c r="C2321" s="21" t="str">
        <x:v>artifact</x:v>
      </x:c>
      <x:c r="D2321" s="21" t="str">
        <x:v>artifact 636 eligibility equation</x:v>
      </x:c>
      <x:c r="E2321" s="21" t="n">
        <x:f>IF(ABS('Artifact Ledger'!P642-IF(AND('Artifact Ledger'!L642=1,'Artifact Ledger'!M642=1,'Artifact Ledger'!N642=1,'Artifact Ledger'!O642&gt;='Artifact Ledger'!G642),'Artifact Ledger'!K642,0))&lt;0.000001,1,0)</x:f>
        <x:v>1</x:v>
      </x:c>
      <x:c r="F2321" s="21" t="n">
        <x:v>1</x:v>
      </x:c>
      <x:c r="G2321" s="23" t="str">
        <x:f>IF(E2321=F2321,"PASS","FAIL")</x:f>
        <x:v>PASS</x:v>
      </x:c>
    </x:row>
    <x:row r="2322">
      <x:c r="B2322" s="21" t="str">
        <x:v>A02316</x:v>
      </x:c>
      <x:c r="C2322" s="21" t="str">
        <x:v>artifact</x:v>
      </x:c>
      <x:c r="D2322" s="21" t="str">
        <x:v>artifact 636 planning state</x:v>
      </x:c>
      <x:c r="E2322" s="21" t="n">
        <x:f>IF(AND('Artifact Ledger'!Q642="OPEN",'Artifact Ledger'!R642="HOLD"),1,0)</x:f>
        <x:v>1</x:v>
      </x:c>
      <x:c r="F2322" s="21" t="n">
        <x:v>1</x:v>
      </x:c>
      <x:c r="G2322" s="23" t="str">
        <x:f>IF(E2322=F2322,"PASS","FAIL")</x:f>
        <x:v>PASS</x:v>
      </x:c>
    </x:row>
    <x:row r="2323">
      <x:c r="B2323" s="21" t="str">
        <x:v>A02317</x:v>
      </x:c>
      <x:c r="C2323" s="21" t="str">
        <x:v>artifact</x:v>
      </x:c>
      <x:c r="D2323" s="21" t="str">
        <x:v>artifact 637 eligibility equation</x:v>
      </x:c>
      <x:c r="E2323" s="21" t="n">
        <x:f>IF(ABS('Artifact Ledger'!P643-IF(AND('Artifact Ledger'!L643=1,'Artifact Ledger'!M643=1,'Artifact Ledger'!N643=1,'Artifact Ledger'!O643&gt;='Artifact Ledger'!G643),'Artifact Ledger'!K643,0))&lt;0.000001,1,0)</x:f>
        <x:v>1</x:v>
      </x:c>
      <x:c r="F2323" s="21" t="n">
        <x:v>1</x:v>
      </x:c>
      <x:c r="G2323" s="23" t="str">
        <x:f>IF(E2323=F2323,"PASS","FAIL")</x:f>
        <x:v>PASS</x:v>
      </x:c>
    </x:row>
    <x:row r="2324">
      <x:c r="B2324" s="21" t="str">
        <x:v>A02318</x:v>
      </x:c>
      <x:c r="C2324" s="21" t="str">
        <x:v>artifact</x:v>
      </x:c>
      <x:c r="D2324" s="21" t="str">
        <x:v>artifact 637 planning state</x:v>
      </x:c>
      <x:c r="E2324" s="21" t="n">
        <x:f>IF(AND('Artifact Ledger'!Q643="OPEN",'Artifact Ledger'!R643="HOLD"),1,0)</x:f>
        <x:v>1</x:v>
      </x:c>
      <x:c r="F2324" s="21" t="n">
        <x:v>1</x:v>
      </x:c>
      <x:c r="G2324" s="23" t="str">
        <x:f>IF(E2324=F2324,"PASS","FAIL")</x:f>
        <x:v>PASS</x:v>
      </x:c>
    </x:row>
    <x:row r="2325">
      <x:c r="B2325" s="21" t="str">
        <x:v>A02319</x:v>
      </x:c>
      <x:c r="C2325" s="21" t="str">
        <x:v>artifact</x:v>
      </x:c>
      <x:c r="D2325" s="21" t="str">
        <x:v>artifact 638 eligibility equation</x:v>
      </x:c>
      <x:c r="E2325" s="21" t="n">
        <x:f>IF(ABS('Artifact Ledger'!P644-IF(AND('Artifact Ledger'!L644=1,'Artifact Ledger'!M644=1,'Artifact Ledger'!N644=1,'Artifact Ledger'!O644&gt;='Artifact Ledger'!G644),'Artifact Ledger'!K644,0))&lt;0.000001,1,0)</x:f>
        <x:v>1</x:v>
      </x:c>
      <x:c r="F2325" s="21" t="n">
        <x:v>1</x:v>
      </x:c>
      <x:c r="G2325" s="23" t="str">
        <x:f>IF(E2325=F2325,"PASS","FAIL")</x:f>
        <x:v>PASS</x:v>
      </x:c>
    </x:row>
    <x:row r="2326">
      <x:c r="B2326" s="21" t="str">
        <x:v>A02320</x:v>
      </x:c>
      <x:c r="C2326" s="21" t="str">
        <x:v>artifact</x:v>
      </x:c>
      <x:c r="D2326" s="21" t="str">
        <x:v>artifact 638 planning state</x:v>
      </x:c>
      <x:c r="E2326" s="21" t="n">
        <x:f>IF(AND('Artifact Ledger'!Q644="OPEN",'Artifact Ledger'!R644="HOLD"),1,0)</x:f>
        <x:v>1</x:v>
      </x:c>
      <x:c r="F2326" s="21" t="n">
        <x:v>1</x:v>
      </x:c>
      <x:c r="G2326" s="23" t="str">
        <x:f>IF(E2326=F2326,"PASS","FAIL")</x:f>
        <x:v>PASS</x:v>
      </x:c>
    </x:row>
    <x:row r="2327">
      <x:c r="B2327" s="21" t="str">
        <x:v>A02321</x:v>
      </x:c>
      <x:c r="C2327" s="21" t="str">
        <x:v>artifact</x:v>
      </x:c>
      <x:c r="D2327" s="21" t="str">
        <x:v>artifact 639 eligibility equation</x:v>
      </x:c>
      <x:c r="E2327" s="21" t="n">
        <x:f>IF(ABS('Artifact Ledger'!P645-IF(AND('Artifact Ledger'!L645=1,'Artifact Ledger'!M645=1,'Artifact Ledger'!N645=1,'Artifact Ledger'!O645&gt;='Artifact Ledger'!G645),'Artifact Ledger'!K645,0))&lt;0.000001,1,0)</x:f>
        <x:v>1</x:v>
      </x:c>
      <x:c r="F2327" s="21" t="n">
        <x:v>1</x:v>
      </x:c>
      <x:c r="G2327" s="23" t="str">
        <x:f>IF(E2327=F2327,"PASS","FAIL")</x:f>
        <x:v>PASS</x:v>
      </x:c>
    </x:row>
    <x:row r="2328">
      <x:c r="B2328" s="21" t="str">
        <x:v>A02322</x:v>
      </x:c>
      <x:c r="C2328" s="21" t="str">
        <x:v>artifact</x:v>
      </x:c>
      <x:c r="D2328" s="21" t="str">
        <x:v>artifact 639 planning state</x:v>
      </x:c>
      <x:c r="E2328" s="21" t="n">
        <x:f>IF(AND('Artifact Ledger'!Q645="OPEN",'Artifact Ledger'!R645="HOLD"),1,0)</x:f>
        <x:v>1</x:v>
      </x:c>
      <x:c r="F2328" s="21" t="n">
        <x:v>1</x:v>
      </x:c>
      <x:c r="G2328" s="23" t="str">
        <x:f>IF(E2328=F2328,"PASS","FAIL")</x:f>
        <x:v>PASS</x:v>
      </x:c>
    </x:row>
    <x:row r="2329">
      <x:c r="B2329" s="21" t="str">
        <x:v>A02323</x:v>
      </x:c>
      <x:c r="C2329" s="21" t="str">
        <x:v>artifact</x:v>
      </x:c>
      <x:c r="D2329" s="21" t="str">
        <x:v>artifact 640 eligibility equation</x:v>
      </x:c>
      <x:c r="E2329" s="21" t="n">
        <x:f>IF(ABS('Artifact Ledger'!P646-IF(AND('Artifact Ledger'!L646=1,'Artifact Ledger'!M646=1,'Artifact Ledger'!N646=1,'Artifact Ledger'!O646&gt;='Artifact Ledger'!G646),'Artifact Ledger'!K646,0))&lt;0.000001,1,0)</x:f>
        <x:v>1</x:v>
      </x:c>
      <x:c r="F2329" s="21" t="n">
        <x:v>1</x:v>
      </x:c>
      <x:c r="G2329" s="23" t="str">
        <x:f>IF(E2329=F2329,"PASS","FAIL")</x:f>
        <x:v>PASS</x:v>
      </x:c>
    </x:row>
    <x:row r="2330">
      <x:c r="B2330" s="21" t="str">
        <x:v>A02324</x:v>
      </x:c>
      <x:c r="C2330" s="21" t="str">
        <x:v>artifact</x:v>
      </x:c>
      <x:c r="D2330" s="21" t="str">
        <x:v>artifact 640 planning state</x:v>
      </x:c>
      <x:c r="E2330" s="21" t="n">
        <x:f>IF(AND('Artifact Ledger'!Q646="OPEN",'Artifact Ledger'!R646="HOLD"),1,0)</x:f>
        <x:v>1</x:v>
      </x:c>
      <x:c r="F2330" s="21" t="n">
        <x:v>1</x:v>
      </x:c>
      <x:c r="G2330" s="23" t="str">
        <x:f>IF(E2330=F2330,"PASS","FAIL")</x:f>
        <x:v>PASS</x:v>
      </x:c>
    </x:row>
    <x:row r="2331">
      <x:c r="B2331" s="21" t="str">
        <x:v>A02325</x:v>
      </x:c>
      <x:c r="C2331" s="21" t="str">
        <x:v>artifact</x:v>
      </x:c>
      <x:c r="D2331" s="21" t="str">
        <x:v>artifact 641 eligibility equation</x:v>
      </x:c>
      <x:c r="E2331" s="21" t="n">
        <x:f>IF(ABS('Artifact Ledger'!P647-IF(AND('Artifact Ledger'!L647=1,'Artifact Ledger'!M647=1,'Artifact Ledger'!N647=1,'Artifact Ledger'!O647&gt;='Artifact Ledger'!G647),'Artifact Ledger'!K647,0))&lt;0.000001,1,0)</x:f>
        <x:v>1</x:v>
      </x:c>
      <x:c r="F2331" s="21" t="n">
        <x:v>1</x:v>
      </x:c>
      <x:c r="G2331" s="23" t="str">
        <x:f>IF(E2331=F2331,"PASS","FAIL")</x:f>
        <x:v>PASS</x:v>
      </x:c>
    </x:row>
    <x:row r="2332">
      <x:c r="B2332" s="21" t="str">
        <x:v>A02326</x:v>
      </x:c>
      <x:c r="C2332" s="21" t="str">
        <x:v>artifact</x:v>
      </x:c>
      <x:c r="D2332" s="21" t="str">
        <x:v>artifact 641 planning state</x:v>
      </x:c>
      <x:c r="E2332" s="21" t="n">
        <x:f>IF(AND('Artifact Ledger'!Q647="OPEN",'Artifact Ledger'!R647="HOLD"),1,0)</x:f>
        <x:v>1</x:v>
      </x:c>
      <x:c r="F2332" s="21" t="n">
        <x:v>1</x:v>
      </x:c>
      <x:c r="G2332" s="23" t="str">
        <x:f>IF(E2332=F2332,"PASS","FAIL")</x:f>
        <x:v>PASS</x:v>
      </x:c>
    </x:row>
    <x:row r="2333">
      <x:c r="B2333" s="21" t="str">
        <x:v>A02327</x:v>
      </x:c>
      <x:c r="C2333" s="21" t="str">
        <x:v>artifact</x:v>
      </x:c>
      <x:c r="D2333" s="21" t="str">
        <x:v>artifact 642 eligibility equation</x:v>
      </x:c>
      <x:c r="E2333" s="21" t="n">
        <x:f>IF(ABS('Artifact Ledger'!P648-IF(AND('Artifact Ledger'!L648=1,'Artifact Ledger'!M648=1,'Artifact Ledger'!N648=1,'Artifact Ledger'!O648&gt;='Artifact Ledger'!G648),'Artifact Ledger'!K648,0))&lt;0.000001,1,0)</x:f>
        <x:v>1</x:v>
      </x:c>
      <x:c r="F2333" s="21" t="n">
        <x:v>1</x:v>
      </x:c>
      <x:c r="G2333" s="23" t="str">
        <x:f>IF(E2333=F2333,"PASS","FAIL")</x:f>
        <x:v>PASS</x:v>
      </x:c>
    </x:row>
    <x:row r="2334">
      <x:c r="B2334" s="21" t="str">
        <x:v>A02328</x:v>
      </x:c>
      <x:c r="C2334" s="21" t="str">
        <x:v>artifact</x:v>
      </x:c>
      <x:c r="D2334" s="21" t="str">
        <x:v>artifact 642 planning state</x:v>
      </x:c>
      <x:c r="E2334" s="21" t="n">
        <x:f>IF(AND('Artifact Ledger'!Q648="OPEN",'Artifact Ledger'!R648="HOLD"),1,0)</x:f>
        <x:v>1</x:v>
      </x:c>
      <x:c r="F2334" s="21" t="n">
        <x:v>1</x:v>
      </x:c>
      <x:c r="G2334" s="23" t="str">
        <x:f>IF(E2334=F2334,"PASS","FAIL")</x:f>
        <x:v>PASS</x:v>
      </x:c>
    </x:row>
    <x:row r="2335">
      <x:c r="B2335" s="21" t="str">
        <x:v>A02329</x:v>
      </x:c>
      <x:c r="C2335" s="21" t="str">
        <x:v>artifact</x:v>
      </x:c>
      <x:c r="D2335" s="21" t="str">
        <x:v>artifact 643 eligibility equation</x:v>
      </x:c>
      <x:c r="E2335" s="21" t="n">
        <x:f>IF(ABS('Artifact Ledger'!P649-IF(AND('Artifact Ledger'!L649=1,'Artifact Ledger'!M649=1,'Artifact Ledger'!N649=1,'Artifact Ledger'!O649&gt;='Artifact Ledger'!G649),'Artifact Ledger'!K649,0))&lt;0.000001,1,0)</x:f>
        <x:v>1</x:v>
      </x:c>
      <x:c r="F2335" s="21" t="n">
        <x:v>1</x:v>
      </x:c>
      <x:c r="G2335" s="23" t="str">
        <x:f>IF(E2335=F2335,"PASS","FAIL")</x:f>
        <x:v>PASS</x:v>
      </x:c>
    </x:row>
    <x:row r="2336">
      <x:c r="B2336" s="21" t="str">
        <x:v>A02330</x:v>
      </x:c>
      <x:c r="C2336" s="21" t="str">
        <x:v>artifact</x:v>
      </x:c>
      <x:c r="D2336" s="21" t="str">
        <x:v>artifact 643 planning state</x:v>
      </x:c>
      <x:c r="E2336" s="21" t="n">
        <x:f>IF(AND('Artifact Ledger'!Q649="OPEN",'Artifact Ledger'!R649="HOLD"),1,0)</x:f>
        <x:v>1</x:v>
      </x:c>
      <x:c r="F2336" s="21" t="n">
        <x:v>1</x:v>
      </x:c>
      <x:c r="G2336" s="23" t="str">
        <x:f>IF(E2336=F2336,"PASS","FAIL")</x:f>
        <x:v>PASS</x:v>
      </x:c>
    </x:row>
    <x:row r="2337">
      <x:c r="B2337" s="21" t="str">
        <x:v>A02331</x:v>
      </x:c>
      <x:c r="C2337" s="21" t="str">
        <x:v>artifact</x:v>
      </x:c>
      <x:c r="D2337" s="21" t="str">
        <x:v>artifact 644 eligibility equation</x:v>
      </x:c>
      <x:c r="E2337" s="21" t="n">
        <x:f>IF(ABS('Artifact Ledger'!P650-IF(AND('Artifact Ledger'!L650=1,'Artifact Ledger'!M650=1,'Artifact Ledger'!N650=1,'Artifact Ledger'!O650&gt;='Artifact Ledger'!G650),'Artifact Ledger'!K650,0))&lt;0.000001,1,0)</x:f>
        <x:v>1</x:v>
      </x:c>
      <x:c r="F2337" s="21" t="n">
        <x:v>1</x:v>
      </x:c>
      <x:c r="G2337" s="23" t="str">
        <x:f>IF(E2337=F2337,"PASS","FAIL")</x:f>
        <x:v>PASS</x:v>
      </x:c>
    </x:row>
    <x:row r="2338">
      <x:c r="B2338" s="21" t="str">
        <x:v>A02332</x:v>
      </x:c>
      <x:c r="C2338" s="21" t="str">
        <x:v>artifact</x:v>
      </x:c>
      <x:c r="D2338" s="21" t="str">
        <x:v>artifact 644 planning state</x:v>
      </x:c>
      <x:c r="E2338" s="21" t="n">
        <x:f>IF(AND('Artifact Ledger'!Q650="OPEN",'Artifact Ledger'!R650="HOLD"),1,0)</x:f>
        <x:v>1</x:v>
      </x:c>
      <x:c r="F2338" s="21" t="n">
        <x:v>1</x:v>
      </x:c>
      <x:c r="G2338" s="23" t="str">
        <x:f>IF(E2338=F2338,"PASS","FAIL")</x:f>
        <x:v>PASS</x:v>
      </x:c>
    </x:row>
    <x:row r="2339">
      <x:c r="B2339" s="21" t="str">
        <x:v>A02333</x:v>
      </x:c>
      <x:c r="C2339" s="21" t="str">
        <x:v>artifact</x:v>
      </x:c>
      <x:c r="D2339" s="21" t="str">
        <x:v>artifact 645 eligibility equation</x:v>
      </x:c>
      <x:c r="E2339" s="21" t="n">
        <x:f>IF(ABS('Artifact Ledger'!P651-IF(AND('Artifact Ledger'!L651=1,'Artifact Ledger'!M651=1,'Artifact Ledger'!N651=1,'Artifact Ledger'!O651&gt;='Artifact Ledger'!G651),'Artifact Ledger'!K651,0))&lt;0.000001,1,0)</x:f>
        <x:v>1</x:v>
      </x:c>
      <x:c r="F2339" s="21" t="n">
        <x:v>1</x:v>
      </x:c>
      <x:c r="G2339" s="23" t="str">
        <x:f>IF(E2339=F2339,"PASS","FAIL")</x:f>
        <x:v>PASS</x:v>
      </x:c>
    </x:row>
    <x:row r="2340">
      <x:c r="B2340" s="21" t="str">
        <x:v>A02334</x:v>
      </x:c>
      <x:c r="C2340" s="21" t="str">
        <x:v>artifact</x:v>
      </x:c>
      <x:c r="D2340" s="21" t="str">
        <x:v>artifact 645 planning state</x:v>
      </x:c>
      <x:c r="E2340" s="21" t="n">
        <x:f>IF(AND('Artifact Ledger'!Q651="OPEN",'Artifact Ledger'!R651="HOLD"),1,0)</x:f>
        <x:v>1</x:v>
      </x:c>
      <x:c r="F2340" s="21" t="n">
        <x:v>1</x:v>
      </x:c>
      <x:c r="G2340" s="23" t="str">
        <x:f>IF(E2340=F2340,"PASS","FAIL")</x:f>
        <x:v>PASS</x:v>
      </x:c>
    </x:row>
    <x:row r="2341">
      <x:c r="B2341" s="21" t="str">
        <x:v>A02335</x:v>
      </x:c>
      <x:c r="C2341" s="21" t="str">
        <x:v>artifact</x:v>
      </x:c>
      <x:c r="D2341" s="21" t="str">
        <x:v>artifact 646 eligibility equation</x:v>
      </x:c>
      <x:c r="E2341" s="21" t="n">
        <x:f>IF(ABS('Artifact Ledger'!P652-IF(AND('Artifact Ledger'!L652=1,'Artifact Ledger'!M652=1,'Artifact Ledger'!N652=1,'Artifact Ledger'!O652&gt;='Artifact Ledger'!G652),'Artifact Ledger'!K652,0))&lt;0.000001,1,0)</x:f>
        <x:v>1</x:v>
      </x:c>
      <x:c r="F2341" s="21" t="n">
        <x:v>1</x:v>
      </x:c>
      <x:c r="G2341" s="23" t="str">
        <x:f>IF(E2341=F2341,"PASS","FAIL")</x:f>
        <x:v>PASS</x:v>
      </x:c>
    </x:row>
    <x:row r="2342">
      <x:c r="B2342" s="21" t="str">
        <x:v>A02336</x:v>
      </x:c>
      <x:c r="C2342" s="21" t="str">
        <x:v>artifact</x:v>
      </x:c>
      <x:c r="D2342" s="21" t="str">
        <x:v>artifact 646 planning state</x:v>
      </x:c>
      <x:c r="E2342" s="21" t="n">
        <x:f>IF(AND('Artifact Ledger'!Q652="OPEN",'Artifact Ledger'!R652="HOLD"),1,0)</x:f>
        <x:v>1</x:v>
      </x:c>
      <x:c r="F2342" s="21" t="n">
        <x:v>1</x:v>
      </x:c>
      <x:c r="G2342" s="23" t="str">
        <x:f>IF(E2342=F2342,"PASS","FAIL")</x:f>
        <x:v>PASS</x:v>
      </x:c>
    </x:row>
    <x:row r="2343">
      <x:c r="B2343" s="21" t="str">
        <x:v>A02337</x:v>
      </x:c>
      <x:c r="C2343" s="21" t="str">
        <x:v>artifact</x:v>
      </x:c>
      <x:c r="D2343" s="21" t="str">
        <x:v>artifact 647 eligibility equation</x:v>
      </x:c>
      <x:c r="E2343" s="21" t="n">
        <x:f>IF(ABS('Artifact Ledger'!P653-IF(AND('Artifact Ledger'!L653=1,'Artifact Ledger'!M653=1,'Artifact Ledger'!N653=1,'Artifact Ledger'!O653&gt;='Artifact Ledger'!G653),'Artifact Ledger'!K653,0))&lt;0.000001,1,0)</x:f>
        <x:v>1</x:v>
      </x:c>
      <x:c r="F2343" s="21" t="n">
        <x:v>1</x:v>
      </x:c>
      <x:c r="G2343" s="23" t="str">
        <x:f>IF(E2343=F2343,"PASS","FAIL")</x:f>
        <x:v>PASS</x:v>
      </x:c>
    </x:row>
    <x:row r="2344">
      <x:c r="B2344" s="21" t="str">
        <x:v>A02338</x:v>
      </x:c>
      <x:c r="C2344" s="21" t="str">
        <x:v>artifact</x:v>
      </x:c>
      <x:c r="D2344" s="21" t="str">
        <x:v>artifact 647 planning state</x:v>
      </x:c>
      <x:c r="E2344" s="21" t="n">
        <x:f>IF(AND('Artifact Ledger'!Q653="OPEN",'Artifact Ledger'!R653="HOLD"),1,0)</x:f>
        <x:v>1</x:v>
      </x:c>
      <x:c r="F2344" s="21" t="n">
        <x:v>1</x:v>
      </x:c>
      <x:c r="G2344" s="23" t="str">
        <x:f>IF(E2344=F2344,"PASS","FAIL")</x:f>
        <x:v>PASS</x:v>
      </x:c>
    </x:row>
    <x:row r="2345">
      <x:c r="B2345" s="21" t="str">
        <x:v>A02339</x:v>
      </x:c>
      <x:c r="C2345" s="21" t="str">
        <x:v>artifact</x:v>
      </x:c>
      <x:c r="D2345" s="21" t="str">
        <x:v>artifact 648 eligibility equation</x:v>
      </x:c>
      <x:c r="E2345" s="21" t="n">
        <x:f>IF(ABS('Artifact Ledger'!P654-IF(AND('Artifact Ledger'!L654=1,'Artifact Ledger'!M654=1,'Artifact Ledger'!N654=1,'Artifact Ledger'!O654&gt;='Artifact Ledger'!G654),'Artifact Ledger'!K654,0))&lt;0.000001,1,0)</x:f>
        <x:v>1</x:v>
      </x:c>
      <x:c r="F2345" s="21" t="n">
        <x:v>1</x:v>
      </x:c>
      <x:c r="G2345" s="23" t="str">
        <x:f>IF(E2345=F2345,"PASS","FAIL")</x:f>
        <x:v>PASS</x:v>
      </x:c>
    </x:row>
    <x:row r="2346">
      <x:c r="B2346" s="21" t="str">
        <x:v>A02340</x:v>
      </x:c>
      <x:c r="C2346" s="21" t="str">
        <x:v>artifact</x:v>
      </x:c>
      <x:c r="D2346" s="21" t="str">
        <x:v>artifact 648 planning state</x:v>
      </x:c>
      <x:c r="E2346" s="21" t="n">
        <x:f>IF(AND('Artifact Ledger'!Q654="OPEN",'Artifact Ledger'!R654="HOLD"),1,0)</x:f>
        <x:v>1</x:v>
      </x:c>
      <x:c r="F2346" s="21" t="n">
        <x:v>1</x:v>
      </x:c>
      <x:c r="G2346" s="23" t="str">
        <x:f>IF(E2346=F2346,"PASS","FAIL")</x:f>
        <x:v>PASS</x:v>
      </x:c>
    </x:row>
    <x:row r="2347">
      <x:c r="B2347" s="21" t="str">
        <x:v>A02341</x:v>
      </x:c>
      <x:c r="C2347" s="21" t="str">
        <x:v>artifact</x:v>
      </x:c>
      <x:c r="D2347" s="21" t="str">
        <x:v>artifact 649 eligibility equation</x:v>
      </x:c>
      <x:c r="E2347" s="21" t="n">
        <x:f>IF(ABS('Artifact Ledger'!P655-IF(AND('Artifact Ledger'!L655=1,'Artifact Ledger'!M655=1,'Artifact Ledger'!N655=1,'Artifact Ledger'!O655&gt;='Artifact Ledger'!G655),'Artifact Ledger'!K655,0))&lt;0.000001,1,0)</x:f>
        <x:v>1</x:v>
      </x:c>
      <x:c r="F2347" s="21" t="n">
        <x:v>1</x:v>
      </x:c>
      <x:c r="G2347" s="23" t="str">
        <x:f>IF(E2347=F2347,"PASS","FAIL")</x:f>
        <x:v>PASS</x:v>
      </x:c>
    </x:row>
    <x:row r="2348">
      <x:c r="B2348" s="21" t="str">
        <x:v>A02342</x:v>
      </x:c>
      <x:c r="C2348" s="21" t="str">
        <x:v>artifact</x:v>
      </x:c>
      <x:c r="D2348" s="21" t="str">
        <x:v>artifact 649 planning state</x:v>
      </x:c>
      <x:c r="E2348" s="21" t="n">
        <x:f>IF(AND('Artifact Ledger'!Q655="OPEN",'Artifact Ledger'!R655="HOLD"),1,0)</x:f>
        <x:v>1</x:v>
      </x:c>
      <x:c r="F2348" s="21" t="n">
        <x:v>1</x:v>
      </x:c>
      <x:c r="G2348" s="23" t="str">
        <x:f>IF(E2348=F2348,"PASS","FAIL")</x:f>
        <x:v>PASS</x:v>
      </x:c>
    </x:row>
    <x:row r="2349">
      <x:c r="B2349" s="21" t="str">
        <x:v>A02343</x:v>
      </x:c>
      <x:c r="C2349" s="21" t="str">
        <x:v>artifact</x:v>
      </x:c>
      <x:c r="D2349" s="21" t="str">
        <x:v>artifact 650 eligibility equation</x:v>
      </x:c>
      <x:c r="E2349" s="21" t="n">
        <x:f>IF(ABS('Artifact Ledger'!P656-IF(AND('Artifact Ledger'!L656=1,'Artifact Ledger'!M656=1,'Artifact Ledger'!N656=1,'Artifact Ledger'!O656&gt;='Artifact Ledger'!G656),'Artifact Ledger'!K656,0))&lt;0.000001,1,0)</x:f>
        <x:v>1</x:v>
      </x:c>
      <x:c r="F2349" s="21" t="n">
        <x:v>1</x:v>
      </x:c>
      <x:c r="G2349" s="23" t="str">
        <x:f>IF(E2349=F2349,"PASS","FAIL")</x:f>
        <x:v>PASS</x:v>
      </x:c>
    </x:row>
    <x:row r="2350">
      <x:c r="B2350" s="21" t="str">
        <x:v>A02344</x:v>
      </x:c>
      <x:c r="C2350" s="21" t="str">
        <x:v>artifact</x:v>
      </x:c>
      <x:c r="D2350" s="21" t="str">
        <x:v>artifact 650 planning state</x:v>
      </x:c>
      <x:c r="E2350" s="21" t="n">
        <x:f>IF(AND('Artifact Ledger'!Q656="OPEN",'Artifact Ledger'!R656="HOLD"),1,0)</x:f>
        <x:v>1</x:v>
      </x:c>
      <x:c r="F2350" s="21" t="n">
        <x:v>1</x:v>
      </x:c>
      <x:c r="G2350" s="23" t="str">
        <x:f>IF(E2350=F2350,"PASS","FAIL")</x:f>
        <x:v>PASS</x:v>
      </x:c>
    </x:row>
    <x:row r="2351">
      <x:c r="B2351" s="21" t="str">
        <x:v>A02345</x:v>
      </x:c>
      <x:c r="C2351" s="21" t="str">
        <x:v>artifact</x:v>
      </x:c>
      <x:c r="D2351" s="21" t="str">
        <x:v>artifact 651 eligibility equation</x:v>
      </x:c>
      <x:c r="E2351" s="21" t="n">
        <x:f>IF(ABS('Artifact Ledger'!P657-IF(AND('Artifact Ledger'!L657=1,'Artifact Ledger'!M657=1,'Artifact Ledger'!N657=1,'Artifact Ledger'!O657&gt;='Artifact Ledger'!G657),'Artifact Ledger'!K657,0))&lt;0.000001,1,0)</x:f>
        <x:v>1</x:v>
      </x:c>
      <x:c r="F2351" s="21" t="n">
        <x:v>1</x:v>
      </x:c>
      <x:c r="G2351" s="23" t="str">
        <x:f>IF(E2351=F2351,"PASS","FAIL")</x:f>
        <x:v>PASS</x:v>
      </x:c>
    </x:row>
    <x:row r="2352">
      <x:c r="B2352" s="21" t="str">
        <x:v>A02346</x:v>
      </x:c>
      <x:c r="C2352" s="21" t="str">
        <x:v>artifact</x:v>
      </x:c>
      <x:c r="D2352" s="21" t="str">
        <x:v>artifact 651 planning state</x:v>
      </x:c>
      <x:c r="E2352" s="21" t="n">
        <x:f>IF(AND('Artifact Ledger'!Q657="OPEN",'Artifact Ledger'!R657="HOLD"),1,0)</x:f>
        <x:v>1</x:v>
      </x:c>
      <x:c r="F2352" s="21" t="n">
        <x:v>1</x:v>
      </x:c>
      <x:c r="G2352" s="23" t="str">
        <x:f>IF(E2352=F2352,"PASS","FAIL")</x:f>
        <x:v>PASS</x:v>
      </x:c>
    </x:row>
    <x:row r="2353">
      <x:c r="B2353" s="21" t="str">
        <x:v>A02347</x:v>
      </x:c>
      <x:c r="C2353" s="21" t="str">
        <x:v>artifact</x:v>
      </x:c>
      <x:c r="D2353" s="21" t="str">
        <x:v>artifact 652 eligibility equation</x:v>
      </x:c>
      <x:c r="E2353" s="21" t="n">
        <x:f>IF(ABS('Artifact Ledger'!P658-IF(AND('Artifact Ledger'!L658=1,'Artifact Ledger'!M658=1,'Artifact Ledger'!N658=1,'Artifact Ledger'!O658&gt;='Artifact Ledger'!G658),'Artifact Ledger'!K658,0))&lt;0.000001,1,0)</x:f>
        <x:v>1</x:v>
      </x:c>
      <x:c r="F2353" s="21" t="n">
        <x:v>1</x:v>
      </x:c>
      <x:c r="G2353" s="23" t="str">
        <x:f>IF(E2353=F2353,"PASS","FAIL")</x:f>
        <x:v>PASS</x:v>
      </x:c>
    </x:row>
    <x:row r="2354">
      <x:c r="B2354" s="21" t="str">
        <x:v>A02348</x:v>
      </x:c>
      <x:c r="C2354" s="21" t="str">
        <x:v>artifact</x:v>
      </x:c>
      <x:c r="D2354" s="21" t="str">
        <x:v>artifact 652 planning state</x:v>
      </x:c>
      <x:c r="E2354" s="21" t="n">
        <x:f>IF(AND('Artifact Ledger'!Q658="OPEN",'Artifact Ledger'!R658="HOLD"),1,0)</x:f>
        <x:v>1</x:v>
      </x:c>
      <x:c r="F2354" s="21" t="n">
        <x:v>1</x:v>
      </x:c>
      <x:c r="G2354" s="23" t="str">
        <x:f>IF(E2354=F2354,"PASS","FAIL")</x:f>
        <x:v>PASS</x:v>
      </x:c>
    </x:row>
    <x:row r="2355">
      <x:c r="B2355" s="21" t="str">
        <x:v>A02349</x:v>
      </x:c>
      <x:c r="C2355" s="21" t="str">
        <x:v>artifact</x:v>
      </x:c>
      <x:c r="D2355" s="21" t="str">
        <x:v>artifact 653 eligibility equation</x:v>
      </x:c>
      <x:c r="E2355" s="21" t="n">
        <x:f>IF(ABS('Artifact Ledger'!P659-IF(AND('Artifact Ledger'!L659=1,'Artifact Ledger'!M659=1,'Artifact Ledger'!N659=1,'Artifact Ledger'!O659&gt;='Artifact Ledger'!G659),'Artifact Ledger'!K659,0))&lt;0.000001,1,0)</x:f>
        <x:v>1</x:v>
      </x:c>
      <x:c r="F2355" s="21" t="n">
        <x:v>1</x:v>
      </x:c>
      <x:c r="G2355" s="23" t="str">
        <x:f>IF(E2355=F2355,"PASS","FAIL")</x:f>
        <x:v>PASS</x:v>
      </x:c>
    </x:row>
    <x:row r="2356">
      <x:c r="B2356" s="21" t="str">
        <x:v>A02350</x:v>
      </x:c>
      <x:c r="C2356" s="21" t="str">
        <x:v>artifact</x:v>
      </x:c>
      <x:c r="D2356" s="21" t="str">
        <x:v>artifact 653 planning state</x:v>
      </x:c>
      <x:c r="E2356" s="21" t="n">
        <x:f>IF(AND('Artifact Ledger'!Q659="OPEN",'Artifact Ledger'!R659="HOLD"),1,0)</x:f>
        <x:v>1</x:v>
      </x:c>
      <x:c r="F2356" s="21" t="n">
        <x:v>1</x:v>
      </x:c>
      <x:c r="G2356" s="23" t="str">
        <x:f>IF(E2356=F2356,"PASS","FAIL")</x:f>
        <x:v>PASS</x:v>
      </x:c>
    </x:row>
    <x:row r="2357">
      <x:c r="B2357" s="21" t="str">
        <x:v>A02351</x:v>
      </x:c>
      <x:c r="C2357" s="21" t="str">
        <x:v>artifact</x:v>
      </x:c>
      <x:c r="D2357" s="21" t="str">
        <x:v>artifact 654 eligibility equation</x:v>
      </x:c>
      <x:c r="E2357" s="21" t="n">
        <x:f>IF(ABS('Artifact Ledger'!P660-IF(AND('Artifact Ledger'!L660=1,'Artifact Ledger'!M660=1,'Artifact Ledger'!N660=1,'Artifact Ledger'!O660&gt;='Artifact Ledger'!G660),'Artifact Ledger'!K660,0))&lt;0.000001,1,0)</x:f>
        <x:v>1</x:v>
      </x:c>
      <x:c r="F2357" s="21" t="n">
        <x:v>1</x:v>
      </x:c>
      <x:c r="G2357" s="23" t="str">
        <x:f>IF(E2357=F2357,"PASS","FAIL")</x:f>
        <x:v>PASS</x:v>
      </x:c>
    </x:row>
    <x:row r="2358">
      <x:c r="B2358" s="21" t="str">
        <x:v>A02352</x:v>
      </x:c>
      <x:c r="C2358" s="21" t="str">
        <x:v>artifact</x:v>
      </x:c>
      <x:c r="D2358" s="21" t="str">
        <x:v>artifact 654 planning state</x:v>
      </x:c>
      <x:c r="E2358" s="21" t="n">
        <x:f>IF(AND('Artifact Ledger'!Q660="OPEN",'Artifact Ledger'!R660="HOLD"),1,0)</x:f>
        <x:v>1</x:v>
      </x:c>
      <x:c r="F2358" s="21" t="n">
        <x:v>1</x:v>
      </x:c>
      <x:c r="G2358" s="23" t="str">
        <x:f>IF(E2358=F2358,"PASS","FAIL")</x:f>
        <x:v>PASS</x:v>
      </x:c>
    </x:row>
    <x:row r="2359">
      <x:c r="B2359" s="21" t="str">
        <x:v>A02353</x:v>
      </x:c>
      <x:c r="C2359" s="21" t="str">
        <x:v>artifact</x:v>
      </x:c>
      <x:c r="D2359" s="21" t="str">
        <x:v>artifact 655 eligibility equation</x:v>
      </x:c>
      <x:c r="E2359" s="21" t="n">
        <x:f>IF(ABS('Artifact Ledger'!P661-IF(AND('Artifact Ledger'!L661=1,'Artifact Ledger'!M661=1,'Artifact Ledger'!N661=1,'Artifact Ledger'!O661&gt;='Artifact Ledger'!G661),'Artifact Ledger'!K661,0))&lt;0.000001,1,0)</x:f>
        <x:v>1</x:v>
      </x:c>
      <x:c r="F2359" s="21" t="n">
        <x:v>1</x:v>
      </x:c>
      <x:c r="G2359" s="23" t="str">
        <x:f>IF(E2359=F2359,"PASS","FAIL")</x:f>
        <x:v>PASS</x:v>
      </x:c>
    </x:row>
    <x:row r="2360">
      <x:c r="B2360" s="21" t="str">
        <x:v>A02354</x:v>
      </x:c>
      <x:c r="C2360" s="21" t="str">
        <x:v>artifact</x:v>
      </x:c>
      <x:c r="D2360" s="21" t="str">
        <x:v>artifact 655 planning state</x:v>
      </x:c>
      <x:c r="E2360" s="21" t="n">
        <x:f>IF(AND('Artifact Ledger'!Q661="OPEN",'Artifact Ledger'!R661="HOLD"),1,0)</x:f>
        <x:v>1</x:v>
      </x:c>
      <x:c r="F2360" s="21" t="n">
        <x:v>1</x:v>
      </x:c>
      <x:c r="G2360" s="23" t="str">
        <x:f>IF(E2360=F2360,"PASS","FAIL")</x:f>
        <x:v>PASS</x:v>
      </x:c>
    </x:row>
    <x:row r="2361">
      <x:c r="B2361" s="21" t="str">
        <x:v>A02355</x:v>
      </x:c>
      <x:c r="C2361" s="21" t="str">
        <x:v>artifact</x:v>
      </x:c>
      <x:c r="D2361" s="21" t="str">
        <x:v>artifact 656 eligibility equation</x:v>
      </x:c>
      <x:c r="E2361" s="21" t="n">
        <x:f>IF(ABS('Artifact Ledger'!P662-IF(AND('Artifact Ledger'!L662=1,'Artifact Ledger'!M662=1,'Artifact Ledger'!N662=1,'Artifact Ledger'!O662&gt;='Artifact Ledger'!G662),'Artifact Ledger'!K662,0))&lt;0.000001,1,0)</x:f>
        <x:v>1</x:v>
      </x:c>
      <x:c r="F2361" s="21" t="n">
        <x:v>1</x:v>
      </x:c>
      <x:c r="G2361" s="23" t="str">
        <x:f>IF(E2361=F2361,"PASS","FAIL")</x:f>
        <x:v>PASS</x:v>
      </x:c>
    </x:row>
    <x:row r="2362">
      <x:c r="B2362" s="21" t="str">
        <x:v>A02356</x:v>
      </x:c>
      <x:c r="C2362" s="21" t="str">
        <x:v>artifact</x:v>
      </x:c>
      <x:c r="D2362" s="21" t="str">
        <x:v>artifact 656 planning state</x:v>
      </x:c>
      <x:c r="E2362" s="21" t="n">
        <x:f>IF(AND('Artifact Ledger'!Q662="OPEN",'Artifact Ledger'!R662="HOLD"),1,0)</x:f>
        <x:v>1</x:v>
      </x:c>
      <x:c r="F2362" s="21" t="n">
        <x:v>1</x:v>
      </x:c>
      <x:c r="G2362" s="23" t="str">
        <x:f>IF(E2362=F2362,"PASS","FAIL")</x:f>
        <x:v>PASS</x:v>
      </x:c>
    </x:row>
    <x:row r="2363">
      <x:c r="B2363" s="21" t="str">
        <x:v>A02357</x:v>
      </x:c>
      <x:c r="C2363" s="21" t="str">
        <x:v>artifact</x:v>
      </x:c>
      <x:c r="D2363" s="21" t="str">
        <x:v>artifact 657 eligibility equation</x:v>
      </x:c>
      <x:c r="E2363" s="21" t="n">
        <x:f>IF(ABS('Artifact Ledger'!P663-IF(AND('Artifact Ledger'!L663=1,'Artifact Ledger'!M663=1,'Artifact Ledger'!N663=1,'Artifact Ledger'!O663&gt;='Artifact Ledger'!G663),'Artifact Ledger'!K663,0))&lt;0.000001,1,0)</x:f>
        <x:v>1</x:v>
      </x:c>
      <x:c r="F2363" s="21" t="n">
        <x:v>1</x:v>
      </x:c>
      <x:c r="G2363" s="23" t="str">
        <x:f>IF(E2363=F2363,"PASS","FAIL")</x:f>
        <x:v>PASS</x:v>
      </x:c>
    </x:row>
    <x:row r="2364">
      <x:c r="B2364" s="21" t="str">
        <x:v>A02358</x:v>
      </x:c>
      <x:c r="C2364" s="21" t="str">
        <x:v>artifact</x:v>
      </x:c>
      <x:c r="D2364" s="21" t="str">
        <x:v>artifact 657 planning state</x:v>
      </x:c>
      <x:c r="E2364" s="21" t="n">
        <x:f>IF(AND('Artifact Ledger'!Q663="OPEN",'Artifact Ledger'!R663="HOLD"),1,0)</x:f>
        <x:v>1</x:v>
      </x:c>
      <x:c r="F2364" s="21" t="n">
        <x:v>1</x:v>
      </x:c>
      <x:c r="G2364" s="23" t="str">
        <x:f>IF(E2364=F2364,"PASS","FAIL")</x:f>
        <x:v>PASS</x:v>
      </x:c>
    </x:row>
    <x:row r="2365">
      <x:c r="B2365" s="21" t="str">
        <x:v>A02359</x:v>
      </x:c>
      <x:c r="C2365" s="21" t="str">
        <x:v>artifact</x:v>
      </x:c>
      <x:c r="D2365" s="21" t="str">
        <x:v>artifact 658 eligibility equation</x:v>
      </x:c>
      <x:c r="E2365" s="21" t="n">
        <x:f>IF(ABS('Artifact Ledger'!P664-IF(AND('Artifact Ledger'!L664=1,'Artifact Ledger'!M664=1,'Artifact Ledger'!N664=1,'Artifact Ledger'!O664&gt;='Artifact Ledger'!G664),'Artifact Ledger'!K664,0))&lt;0.000001,1,0)</x:f>
        <x:v>1</x:v>
      </x:c>
      <x:c r="F2365" s="21" t="n">
        <x:v>1</x:v>
      </x:c>
      <x:c r="G2365" s="23" t="str">
        <x:f>IF(E2365=F2365,"PASS","FAIL")</x:f>
        <x:v>PASS</x:v>
      </x:c>
    </x:row>
    <x:row r="2366">
      <x:c r="B2366" s="21" t="str">
        <x:v>A02360</x:v>
      </x:c>
      <x:c r="C2366" s="21" t="str">
        <x:v>artifact</x:v>
      </x:c>
      <x:c r="D2366" s="21" t="str">
        <x:v>artifact 658 planning state</x:v>
      </x:c>
      <x:c r="E2366" s="21" t="n">
        <x:f>IF(AND('Artifact Ledger'!Q664="OPEN",'Artifact Ledger'!R664="HOLD"),1,0)</x:f>
        <x:v>1</x:v>
      </x:c>
      <x:c r="F2366" s="21" t="n">
        <x:v>1</x:v>
      </x:c>
      <x:c r="G2366" s="23" t="str">
        <x:f>IF(E2366=F2366,"PASS","FAIL")</x:f>
        <x:v>PASS</x:v>
      </x:c>
    </x:row>
    <x:row r="2367">
      <x:c r="B2367" s="21" t="str">
        <x:v>A02361</x:v>
      </x:c>
      <x:c r="C2367" s="21" t="str">
        <x:v>artifact</x:v>
      </x:c>
      <x:c r="D2367" s="21" t="str">
        <x:v>artifact 659 eligibility equation</x:v>
      </x:c>
      <x:c r="E2367" s="21" t="n">
        <x:f>IF(ABS('Artifact Ledger'!P665-IF(AND('Artifact Ledger'!L665=1,'Artifact Ledger'!M665=1,'Artifact Ledger'!N665=1,'Artifact Ledger'!O665&gt;='Artifact Ledger'!G665),'Artifact Ledger'!K665,0))&lt;0.000001,1,0)</x:f>
        <x:v>1</x:v>
      </x:c>
      <x:c r="F2367" s="21" t="n">
        <x:v>1</x:v>
      </x:c>
      <x:c r="G2367" s="23" t="str">
        <x:f>IF(E2367=F2367,"PASS","FAIL")</x:f>
        <x:v>PASS</x:v>
      </x:c>
    </x:row>
    <x:row r="2368">
      <x:c r="B2368" s="21" t="str">
        <x:v>A02362</x:v>
      </x:c>
      <x:c r="C2368" s="21" t="str">
        <x:v>artifact</x:v>
      </x:c>
      <x:c r="D2368" s="21" t="str">
        <x:v>artifact 659 planning state</x:v>
      </x:c>
      <x:c r="E2368" s="21" t="n">
        <x:f>IF(AND('Artifact Ledger'!Q665="OPEN",'Artifact Ledger'!R665="HOLD"),1,0)</x:f>
        <x:v>1</x:v>
      </x:c>
      <x:c r="F2368" s="21" t="n">
        <x:v>1</x:v>
      </x:c>
      <x:c r="G2368" s="23" t="str">
        <x:f>IF(E2368=F2368,"PASS","FAIL")</x:f>
        <x:v>PASS</x:v>
      </x:c>
    </x:row>
    <x:row r="2369">
      <x:c r="B2369" s="21" t="str">
        <x:v>A02363</x:v>
      </x:c>
      <x:c r="C2369" s="21" t="str">
        <x:v>artifact</x:v>
      </x:c>
      <x:c r="D2369" s="21" t="str">
        <x:v>artifact 660 eligibility equation</x:v>
      </x:c>
      <x:c r="E2369" s="21" t="n">
        <x:f>IF(ABS('Artifact Ledger'!P666-IF(AND('Artifact Ledger'!L666=1,'Artifact Ledger'!M666=1,'Artifact Ledger'!N666=1,'Artifact Ledger'!O666&gt;='Artifact Ledger'!G666),'Artifact Ledger'!K666,0))&lt;0.000001,1,0)</x:f>
        <x:v>1</x:v>
      </x:c>
      <x:c r="F2369" s="21" t="n">
        <x:v>1</x:v>
      </x:c>
      <x:c r="G2369" s="23" t="str">
        <x:f>IF(E2369=F2369,"PASS","FAIL")</x:f>
        <x:v>PASS</x:v>
      </x:c>
    </x:row>
    <x:row r="2370">
      <x:c r="B2370" s="21" t="str">
        <x:v>A02364</x:v>
      </x:c>
      <x:c r="C2370" s="21" t="str">
        <x:v>artifact</x:v>
      </x:c>
      <x:c r="D2370" s="21" t="str">
        <x:v>artifact 660 planning state</x:v>
      </x:c>
      <x:c r="E2370" s="21" t="n">
        <x:f>IF(AND('Artifact Ledger'!Q666="OPEN",'Artifact Ledger'!R666="HOLD"),1,0)</x:f>
        <x:v>1</x:v>
      </x:c>
      <x:c r="F2370" s="21" t="n">
        <x:v>1</x:v>
      </x:c>
      <x:c r="G2370" s="23" t="str">
        <x:f>IF(E2370=F2370,"PASS","FAIL")</x:f>
        <x:v>PASS</x:v>
      </x:c>
    </x:row>
    <x:row r="2371">
      <x:c r="B2371" s="21" t="str">
        <x:v>A02365</x:v>
      </x:c>
      <x:c r="C2371" s="21" t="str">
        <x:v>artifact</x:v>
      </x:c>
      <x:c r="D2371" s="21" t="str">
        <x:v>artifact 661 eligibility equation</x:v>
      </x:c>
      <x:c r="E2371" s="21" t="n">
        <x:f>IF(ABS('Artifact Ledger'!P667-IF(AND('Artifact Ledger'!L667=1,'Artifact Ledger'!M667=1,'Artifact Ledger'!N667=1,'Artifact Ledger'!O667&gt;='Artifact Ledger'!G667),'Artifact Ledger'!K667,0))&lt;0.000001,1,0)</x:f>
        <x:v>1</x:v>
      </x:c>
      <x:c r="F2371" s="21" t="n">
        <x:v>1</x:v>
      </x:c>
      <x:c r="G2371" s="23" t="str">
        <x:f>IF(E2371=F2371,"PASS","FAIL")</x:f>
        <x:v>PASS</x:v>
      </x:c>
    </x:row>
    <x:row r="2372">
      <x:c r="B2372" s="21" t="str">
        <x:v>A02366</x:v>
      </x:c>
      <x:c r="C2372" s="21" t="str">
        <x:v>artifact</x:v>
      </x:c>
      <x:c r="D2372" s="21" t="str">
        <x:v>artifact 661 planning state</x:v>
      </x:c>
      <x:c r="E2372" s="21" t="n">
        <x:f>IF(AND('Artifact Ledger'!Q667="OPEN",'Artifact Ledger'!R667="HOLD"),1,0)</x:f>
        <x:v>1</x:v>
      </x:c>
      <x:c r="F2372" s="21" t="n">
        <x:v>1</x:v>
      </x:c>
      <x:c r="G2372" s="23" t="str">
        <x:f>IF(E2372=F2372,"PASS","FAIL")</x:f>
        <x:v>PASS</x:v>
      </x:c>
    </x:row>
    <x:row r="2373">
      <x:c r="B2373" s="21" t="str">
        <x:v>A02367</x:v>
      </x:c>
      <x:c r="C2373" s="21" t="str">
        <x:v>artifact</x:v>
      </x:c>
      <x:c r="D2373" s="21" t="str">
        <x:v>artifact 662 eligibility equation</x:v>
      </x:c>
      <x:c r="E2373" s="21" t="n">
        <x:f>IF(ABS('Artifact Ledger'!P668-IF(AND('Artifact Ledger'!L668=1,'Artifact Ledger'!M668=1,'Artifact Ledger'!N668=1,'Artifact Ledger'!O668&gt;='Artifact Ledger'!G668),'Artifact Ledger'!K668,0))&lt;0.000001,1,0)</x:f>
        <x:v>1</x:v>
      </x:c>
      <x:c r="F2373" s="21" t="n">
        <x:v>1</x:v>
      </x:c>
      <x:c r="G2373" s="23" t="str">
        <x:f>IF(E2373=F2373,"PASS","FAIL")</x:f>
        <x:v>PASS</x:v>
      </x:c>
    </x:row>
    <x:row r="2374">
      <x:c r="B2374" s="21" t="str">
        <x:v>A02368</x:v>
      </x:c>
      <x:c r="C2374" s="21" t="str">
        <x:v>artifact</x:v>
      </x:c>
      <x:c r="D2374" s="21" t="str">
        <x:v>artifact 662 planning state</x:v>
      </x:c>
      <x:c r="E2374" s="21" t="n">
        <x:f>IF(AND('Artifact Ledger'!Q668="OPEN",'Artifact Ledger'!R668="HOLD"),1,0)</x:f>
        <x:v>1</x:v>
      </x:c>
      <x:c r="F2374" s="21" t="n">
        <x:v>1</x:v>
      </x:c>
      <x:c r="G2374" s="23" t="str">
        <x:f>IF(E2374=F2374,"PASS","FAIL")</x:f>
        <x:v>PASS</x:v>
      </x:c>
    </x:row>
    <x:row r="2375">
      <x:c r="B2375" s="21" t="str">
        <x:v>A02369</x:v>
      </x:c>
      <x:c r="C2375" s="21" t="str">
        <x:v>artifact</x:v>
      </x:c>
      <x:c r="D2375" s="21" t="str">
        <x:v>artifact 663 eligibility equation</x:v>
      </x:c>
      <x:c r="E2375" s="21" t="n">
        <x:f>IF(ABS('Artifact Ledger'!P669-IF(AND('Artifact Ledger'!L669=1,'Artifact Ledger'!M669=1,'Artifact Ledger'!N669=1,'Artifact Ledger'!O669&gt;='Artifact Ledger'!G669),'Artifact Ledger'!K669,0))&lt;0.000001,1,0)</x:f>
        <x:v>1</x:v>
      </x:c>
      <x:c r="F2375" s="21" t="n">
        <x:v>1</x:v>
      </x:c>
      <x:c r="G2375" s="23" t="str">
        <x:f>IF(E2375=F2375,"PASS","FAIL")</x:f>
        <x:v>PASS</x:v>
      </x:c>
    </x:row>
    <x:row r="2376">
      <x:c r="B2376" s="21" t="str">
        <x:v>A02370</x:v>
      </x:c>
      <x:c r="C2376" s="21" t="str">
        <x:v>artifact</x:v>
      </x:c>
      <x:c r="D2376" s="21" t="str">
        <x:v>artifact 663 planning state</x:v>
      </x:c>
      <x:c r="E2376" s="21" t="n">
        <x:f>IF(AND('Artifact Ledger'!Q669="OPEN",'Artifact Ledger'!R669="HOLD"),1,0)</x:f>
        <x:v>1</x:v>
      </x:c>
      <x:c r="F2376" s="21" t="n">
        <x:v>1</x:v>
      </x:c>
      <x:c r="G2376" s="23" t="str">
        <x:f>IF(E2376=F2376,"PASS","FAIL")</x:f>
        <x:v>PASS</x:v>
      </x:c>
    </x:row>
    <x:row r="2377">
      <x:c r="B2377" s="21" t="str">
        <x:v>A02371</x:v>
      </x:c>
      <x:c r="C2377" s="21" t="str">
        <x:v>artifact</x:v>
      </x:c>
      <x:c r="D2377" s="21" t="str">
        <x:v>artifact 664 eligibility equation</x:v>
      </x:c>
      <x:c r="E2377" s="21" t="n">
        <x:f>IF(ABS('Artifact Ledger'!P670-IF(AND('Artifact Ledger'!L670=1,'Artifact Ledger'!M670=1,'Artifact Ledger'!N670=1,'Artifact Ledger'!O670&gt;='Artifact Ledger'!G670),'Artifact Ledger'!K670,0))&lt;0.000001,1,0)</x:f>
        <x:v>1</x:v>
      </x:c>
      <x:c r="F2377" s="21" t="n">
        <x:v>1</x:v>
      </x:c>
      <x:c r="G2377" s="23" t="str">
        <x:f>IF(E2377=F2377,"PASS","FAIL")</x:f>
        <x:v>PASS</x:v>
      </x:c>
    </x:row>
    <x:row r="2378">
      <x:c r="B2378" s="21" t="str">
        <x:v>A02372</x:v>
      </x:c>
      <x:c r="C2378" s="21" t="str">
        <x:v>artifact</x:v>
      </x:c>
      <x:c r="D2378" s="21" t="str">
        <x:v>artifact 664 planning state</x:v>
      </x:c>
      <x:c r="E2378" s="21" t="n">
        <x:f>IF(AND('Artifact Ledger'!Q670="OPEN",'Artifact Ledger'!R670="HOLD"),1,0)</x:f>
        <x:v>1</x:v>
      </x:c>
      <x:c r="F2378" s="21" t="n">
        <x:v>1</x:v>
      </x:c>
      <x:c r="G2378" s="23" t="str">
        <x:f>IF(E2378=F2378,"PASS","FAIL")</x:f>
        <x:v>PASS</x:v>
      </x:c>
    </x:row>
    <x:row r="2379">
      <x:c r="B2379" s="21" t="str">
        <x:v>A02373</x:v>
      </x:c>
      <x:c r="C2379" s="21" t="str">
        <x:v>artifact</x:v>
      </x:c>
      <x:c r="D2379" s="21" t="str">
        <x:v>artifact 665 eligibility equation</x:v>
      </x:c>
      <x:c r="E2379" s="21" t="n">
        <x:f>IF(ABS('Artifact Ledger'!P671-IF(AND('Artifact Ledger'!L671=1,'Artifact Ledger'!M671=1,'Artifact Ledger'!N671=1,'Artifact Ledger'!O671&gt;='Artifact Ledger'!G671),'Artifact Ledger'!K671,0))&lt;0.000001,1,0)</x:f>
        <x:v>1</x:v>
      </x:c>
      <x:c r="F2379" s="21" t="n">
        <x:v>1</x:v>
      </x:c>
      <x:c r="G2379" s="23" t="str">
        <x:f>IF(E2379=F2379,"PASS","FAIL")</x:f>
        <x:v>PASS</x:v>
      </x:c>
    </x:row>
    <x:row r="2380">
      <x:c r="B2380" s="21" t="str">
        <x:v>A02374</x:v>
      </x:c>
      <x:c r="C2380" s="21" t="str">
        <x:v>artifact</x:v>
      </x:c>
      <x:c r="D2380" s="21" t="str">
        <x:v>artifact 665 planning state</x:v>
      </x:c>
      <x:c r="E2380" s="21" t="n">
        <x:f>IF(AND('Artifact Ledger'!Q671="OPEN",'Artifact Ledger'!R671="HOLD"),1,0)</x:f>
        <x:v>1</x:v>
      </x:c>
      <x:c r="F2380" s="21" t="n">
        <x:v>1</x:v>
      </x:c>
      <x:c r="G2380" s="23" t="str">
        <x:f>IF(E2380=F2380,"PASS","FAIL")</x:f>
        <x:v>PASS</x:v>
      </x:c>
    </x:row>
    <x:row r="2381">
      <x:c r="B2381" s="21" t="str">
        <x:v>A02375</x:v>
      </x:c>
      <x:c r="C2381" s="21" t="str">
        <x:v>artifact</x:v>
      </x:c>
      <x:c r="D2381" s="21" t="str">
        <x:v>artifact 666 eligibility equation</x:v>
      </x:c>
      <x:c r="E2381" s="21" t="n">
        <x:f>IF(ABS('Artifact Ledger'!P672-IF(AND('Artifact Ledger'!L672=1,'Artifact Ledger'!M672=1,'Artifact Ledger'!N672=1,'Artifact Ledger'!O672&gt;='Artifact Ledger'!G672),'Artifact Ledger'!K672,0))&lt;0.000001,1,0)</x:f>
        <x:v>1</x:v>
      </x:c>
      <x:c r="F2381" s="21" t="n">
        <x:v>1</x:v>
      </x:c>
      <x:c r="G2381" s="23" t="str">
        <x:f>IF(E2381=F2381,"PASS","FAIL")</x:f>
        <x:v>PASS</x:v>
      </x:c>
    </x:row>
    <x:row r="2382">
      <x:c r="B2382" s="21" t="str">
        <x:v>A02376</x:v>
      </x:c>
      <x:c r="C2382" s="21" t="str">
        <x:v>artifact</x:v>
      </x:c>
      <x:c r="D2382" s="21" t="str">
        <x:v>artifact 666 planning state</x:v>
      </x:c>
      <x:c r="E2382" s="21" t="n">
        <x:f>IF(AND('Artifact Ledger'!Q672="OPEN",'Artifact Ledger'!R672="HOLD"),1,0)</x:f>
        <x:v>1</x:v>
      </x:c>
      <x:c r="F2382" s="21" t="n">
        <x:v>1</x:v>
      </x:c>
      <x:c r="G2382" s="23" t="str">
        <x:f>IF(E2382=F2382,"PASS","FAIL")</x:f>
        <x:v>PASS</x:v>
      </x:c>
    </x:row>
    <x:row r="2383">
      <x:c r="B2383" s="21" t="str">
        <x:v>A02377</x:v>
      </x:c>
      <x:c r="C2383" s="21" t="str">
        <x:v>artifact</x:v>
      </x:c>
      <x:c r="D2383" s="21" t="str">
        <x:v>artifact 667 eligibility equation</x:v>
      </x:c>
      <x:c r="E2383" s="21" t="n">
        <x:f>IF(ABS('Artifact Ledger'!P673-IF(AND('Artifact Ledger'!L673=1,'Artifact Ledger'!M673=1,'Artifact Ledger'!N673=1,'Artifact Ledger'!O673&gt;='Artifact Ledger'!G673),'Artifact Ledger'!K673,0))&lt;0.000001,1,0)</x:f>
        <x:v>1</x:v>
      </x:c>
      <x:c r="F2383" s="21" t="n">
        <x:v>1</x:v>
      </x:c>
      <x:c r="G2383" s="23" t="str">
        <x:f>IF(E2383=F2383,"PASS","FAIL")</x:f>
        <x:v>PASS</x:v>
      </x:c>
    </x:row>
    <x:row r="2384">
      <x:c r="B2384" s="21" t="str">
        <x:v>A02378</x:v>
      </x:c>
      <x:c r="C2384" s="21" t="str">
        <x:v>artifact</x:v>
      </x:c>
      <x:c r="D2384" s="21" t="str">
        <x:v>artifact 667 planning state</x:v>
      </x:c>
      <x:c r="E2384" s="21" t="n">
        <x:f>IF(AND('Artifact Ledger'!Q673="OPEN",'Artifact Ledger'!R673="HOLD"),1,0)</x:f>
        <x:v>1</x:v>
      </x:c>
      <x:c r="F2384" s="21" t="n">
        <x:v>1</x:v>
      </x:c>
      <x:c r="G2384" s="23" t="str">
        <x:f>IF(E2384=F2384,"PASS","FAIL")</x:f>
        <x:v>PASS</x:v>
      </x:c>
    </x:row>
    <x:row r="2385">
      <x:c r="B2385" s="21" t="str">
        <x:v>A02379</x:v>
      </x:c>
      <x:c r="C2385" s="21" t="str">
        <x:v>artifact</x:v>
      </x:c>
      <x:c r="D2385" s="21" t="str">
        <x:v>artifact 668 eligibility equation</x:v>
      </x:c>
      <x:c r="E2385" s="21" t="n">
        <x:f>IF(ABS('Artifact Ledger'!P674-IF(AND('Artifact Ledger'!L674=1,'Artifact Ledger'!M674=1,'Artifact Ledger'!N674=1,'Artifact Ledger'!O674&gt;='Artifact Ledger'!G674),'Artifact Ledger'!K674,0))&lt;0.000001,1,0)</x:f>
        <x:v>1</x:v>
      </x:c>
      <x:c r="F2385" s="21" t="n">
        <x:v>1</x:v>
      </x:c>
      <x:c r="G2385" s="23" t="str">
        <x:f>IF(E2385=F2385,"PASS","FAIL")</x:f>
        <x:v>PASS</x:v>
      </x:c>
    </x:row>
    <x:row r="2386">
      <x:c r="B2386" s="21" t="str">
        <x:v>A02380</x:v>
      </x:c>
      <x:c r="C2386" s="21" t="str">
        <x:v>artifact</x:v>
      </x:c>
      <x:c r="D2386" s="21" t="str">
        <x:v>artifact 668 planning state</x:v>
      </x:c>
      <x:c r="E2386" s="21" t="n">
        <x:f>IF(AND('Artifact Ledger'!Q674="OPEN",'Artifact Ledger'!R674="HOLD"),1,0)</x:f>
        <x:v>1</x:v>
      </x:c>
      <x:c r="F2386" s="21" t="n">
        <x:v>1</x:v>
      </x:c>
      <x:c r="G2386" s="23" t="str">
        <x:f>IF(E2386=F2386,"PASS","FAIL")</x:f>
        <x:v>PASS</x:v>
      </x:c>
    </x:row>
    <x:row r="2387">
      <x:c r="B2387" s="21" t="str">
        <x:v>A02381</x:v>
      </x:c>
      <x:c r="C2387" s="21" t="str">
        <x:v>artifact</x:v>
      </x:c>
      <x:c r="D2387" s="21" t="str">
        <x:v>artifact 669 eligibility equation</x:v>
      </x:c>
      <x:c r="E2387" s="21" t="n">
        <x:f>IF(ABS('Artifact Ledger'!P675-IF(AND('Artifact Ledger'!L675=1,'Artifact Ledger'!M675=1,'Artifact Ledger'!N675=1,'Artifact Ledger'!O675&gt;='Artifact Ledger'!G675),'Artifact Ledger'!K675,0))&lt;0.000001,1,0)</x:f>
        <x:v>1</x:v>
      </x:c>
      <x:c r="F2387" s="21" t="n">
        <x:v>1</x:v>
      </x:c>
      <x:c r="G2387" s="23" t="str">
        <x:f>IF(E2387=F2387,"PASS","FAIL")</x:f>
        <x:v>PASS</x:v>
      </x:c>
    </x:row>
    <x:row r="2388">
      <x:c r="B2388" s="21" t="str">
        <x:v>A02382</x:v>
      </x:c>
      <x:c r="C2388" s="21" t="str">
        <x:v>artifact</x:v>
      </x:c>
      <x:c r="D2388" s="21" t="str">
        <x:v>artifact 669 planning state</x:v>
      </x:c>
      <x:c r="E2388" s="21" t="n">
        <x:f>IF(AND('Artifact Ledger'!Q675="OPEN",'Artifact Ledger'!R675="HOLD"),1,0)</x:f>
        <x:v>1</x:v>
      </x:c>
      <x:c r="F2388" s="21" t="n">
        <x:v>1</x:v>
      </x:c>
      <x:c r="G2388" s="23" t="str">
        <x:f>IF(E2388=F2388,"PASS","FAIL")</x:f>
        <x:v>PASS</x:v>
      </x:c>
    </x:row>
    <x:row r="2389">
      <x:c r="B2389" s="21" t="str">
        <x:v>A02383</x:v>
      </x:c>
      <x:c r="C2389" s="21" t="str">
        <x:v>artifact</x:v>
      </x:c>
      <x:c r="D2389" s="21" t="str">
        <x:v>artifact 670 eligibility equation</x:v>
      </x:c>
      <x:c r="E2389" s="21" t="n">
        <x:f>IF(ABS('Artifact Ledger'!P676-IF(AND('Artifact Ledger'!L676=1,'Artifact Ledger'!M676=1,'Artifact Ledger'!N676=1,'Artifact Ledger'!O676&gt;='Artifact Ledger'!G676),'Artifact Ledger'!K676,0))&lt;0.000001,1,0)</x:f>
        <x:v>1</x:v>
      </x:c>
      <x:c r="F2389" s="21" t="n">
        <x:v>1</x:v>
      </x:c>
      <x:c r="G2389" s="23" t="str">
        <x:f>IF(E2389=F2389,"PASS","FAIL")</x:f>
        <x:v>PASS</x:v>
      </x:c>
    </x:row>
    <x:row r="2390">
      <x:c r="B2390" s="21" t="str">
        <x:v>A02384</x:v>
      </x:c>
      <x:c r="C2390" s="21" t="str">
        <x:v>artifact</x:v>
      </x:c>
      <x:c r="D2390" s="21" t="str">
        <x:v>artifact 670 planning state</x:v>
      </x:c>
      <x:c r="E2390" s="21" t="n">
        <x:f>IF(AND('Artifact Ledger'!Q676="OPEN",'Artifact Ledger'!R676="HOLD"),1,0)</x:f>
        <x:v>1</x:v>
      </x:c>
      <x:c r="F2390" s="21" t="n">
        <x:v>1</x:v>
      </x:c>
      <x:c r="G2390" s="23" t="str">
        <x:f>IF(E2390=F2390,"PASS","FAIL")</x:f>
        <x:v>PASS</x:v>
      </x:c>
    </x:row>
    <x:row r="2391">
      <x:c r="B2391" s="21" t="str">
        <x:v>A02385</x:v>
      </x:c>
      <x:c r="C2391" s="21" t="str">
        <x:v>artifact</x:v>
      </x:c>
      <x:c r="D2391" s="21" t="str">
        <x:v>artifact 671 eligibility equation</x:v>
      </x:c>
      <x:c r="E2391" s="21" t="n">
        <x:f>IF(ABS('Artifact Ledger'!P677-IF(AND('Artifact Ledger'!L677=1,'Artifact Ledger'!M677=1,'Artifact Ledger'!N677=1,'Artifact Ledger'!O677&gt;='Artifact Ledger'!G677),'Artifact Ledger'!K677,0))&lt;0.000001,1,0)</x:f>
        <x:v>1</x:v>
      </x:c>
      <x:c r="F2391" s="21" t="n">
        <x:v>1</x:v>
      </x:c>
      <x:c r="G2391" s="23" t="str">
        <x:f>IF(E2391=F2391,"PASS","FAIL")</x:f>
        <x:v>PASS</x:v>
      </x:c>
    </x:row>
    <x:row r="2392">
      <x:c r="B2392" s="21" t="str">
        <x:v>A02386</x:v>
      </x:c>
      <x:c r="C2392" s="21" t="str">
        <x:v>artifact</x:v>
      </x:c>
      <x:c r="D2392" s="21" t="str">
        <x:v>artifact 671 planning state</x:v>
      </x:c>
      <x:c r="E2392" s="21" t="n">
        <x:f>IF(AND('Artifact Ledger'!Q677="OPEN",'Artifact Ledger'!R677="HOLD"),1,0)</x:f>
        <x:v>1</x:v>
      </x:c>
      <x:c r="F2392" s="21" t="n">
        <x:v>1</x:v>
      </x:c>
      <x:c r="G2392" s="23" t="str">
        <x:f>IF(E2392=F2392,"PASS","FAIL")</x:f>
        <x:v>PASS</x:v>
      </x:c>
    </x:row>
    <x:row r="2393">
      <x:c r="B2393" s="21" t="str">
        <x:v>A02387</x:v>
      </x:c>
      <x:c r="C2393" s="21" t="str">
        <x:v>artifact</x:v>
      </x:c>
      <x:c r="D2393" s="21" t="str">
        <x:v>artifact 672 eligibility equation</x:v>
      </x:c>
      <x:c r="E2393" s="21" t="n">
        <x:f>IF(ABS('Artifact Ledger'!P678-IF(AND('Artifact Ledger'!L678=1,'Artifact Ledger'!M678=1,'Artifact Ledger'!N678=1,'Artifact Ledger'!O678&gt;='Artifact Ledger'!G678),'Artifact Ledger'!K678,0))&lt;0.000001,1,0)</x:f>
        <x:v>1</x:v>
      </x:c>
      <x:c r="F2393" s="21" t="n">
        <x:v>1</x:v>
      </x:c>
      <x:c r="G2393" s="23" t="str">
        <x:f>IF(E2393=F2393,"PASS","FAIL")</x:f>
        <x:v>PASS</x:v>
      </x:c>
    </x:row>
    <x:row r="2394">
      <x:c r="B2394" s="21" t="str">
        <x:v>A02388</x:v>
      </x:c>
      <x:c r="C2394" s="21" t="str">
        <x:v>artifact</x:v>
      </x:c>
      <x:c r="D2394" s="21" t="str">
        <x:v>artifact 672 planning state</x:v>
      </x:c>
      <x:c r="E2394" s="21" t="n">
        <x:f>IF(AND('Artifact Ledger'!Q678="OPEN",'Artifact Ledger'!R678="HOLD"),1,0)</x:f>
        <x:v>1</x:v>
      </x:c>
      <x:c r="F2394" s="21" t="n">
        <x:v>1</x:v>
      </x:c>
      <x:c r="G2394" s="23" t="str">
        <x:f>IF(E2394=F2394,"PASS","FAIL")</x:f>
        <x:v>PASS</x:v>
      </x:c>
    </x:row>
    <x:row r="2395">
      <x:c r="B2395" s="21" t="str">
        <x:v>A02389</x:v>
      </x:c>
      <x:c r="C2395" s="21" t="str">
        <x:v>artifact</x:v>
      </x:c>
      <x:c r="D2395" s="21" t="str">
        <x:v>artifact 673 eligibility equation</x:v>
      </x:c>
      <x:c r="E2395" s="21" t="n">
        <x:f>IF(ABS('Artifact Ledger'!P679-IF(AND('Artifact Ledger'!L679=1,'Artifact Ledger'!M679=1,'Artifact Ledger'!N679=1,'Artifact Ledger'!O679&gt;='Artifact Ledger'!G679),'Artifact Ledger'!K679,0))&lt;0.000001,1,0)</x:f>
        <x:v>1</x:v>
      </x:c>
      <x:c r="F2395" s="21" t="n">
        <x:v>1</x:v>
      </x:c>
      <x:c r="G2395" s="23" t="str">
        <x:f>IF(E2395=F2395,"PASS","FAIL")</x:f>
        <x:v>PASS</x:v>
      </x:c>
    </x:row>
    <x:row r="2396">
      <x:c r="B2396" s="21" t="str">
        <x:v>A02390</x:v>
      </x:c>
      <x:c r="C2396" s="21" t="str">
        <x:v>artifact</x:v>
      </x:c>
      <x:c r="D2396" s="21" t="str">
        <x:v>artifact 673 planning state</x:v>
      </x:c>
      <x:c r="E2396" s="21" t="n">
        <x:f>IF(AND('Artifact Ledger'!Q679="OPEN",'Artifact Ledger'!R679="HOLD"),1,0)</x:f>
        <x:v>1</x:v>
      </x:c>
      <x:c r="F2396" s="21" t="n">
        <x:v>1</x:v>
      </x:c>
      <x:c r="G2396" s="23" t="str">
        <x:f>IF(E2396=F2396,"PASS","FAIL")</x:f>
        <x:v>PASS</x:v>
      </x:c>
    </x:row>
    <x:row r="2397">
      <x:c r="B2397" s="21" t="str">
        <x:v>A02391</x:v>
      </x:c>
      <x:c r="C2397" s="21" t="str">
        <x:v>artifact</x:v>
      </x:c>
      <x:c r="D2397" s="21" t="str">
        <x:v>artifact 674 eligibility equation</x:v>
      </x:c>
      <x:c r="E2397" s="21" t="n">
        <x:f>IF(ABS('Artifact Ledger'!P680-IF(AND('Artifact Ledger'!L680=1,'Artifact Ledger'!M680=1,'Artifact Ledger'!N680=1,'Artifact Ledger'!O680&gt;='Artifact Ledger'!G680),'Artifact Ledger'!K680,0))&lt;0.000001,1,0)</x:f>
        <x:v>1</x:v>
      </x:c>
      <x:c r="F2397" s="21" t="n">
        <x:v>1</x:v>
      </x:c>
      <x:c r="G2397" s="23" t="str">
        <x:f>IF(E2397=F2397,"PASS","FAIL")</x:f>
        <x:v>PASS</x:v>
      </x:c>
    </x:row>
    <x:row r="2398">
      <x:c r="B2398" s="21" t="str">
        <x:v>A02392</x:v>
      </x:c>
      <x:c r="C2398" s="21" t="str">
        <x:v>artifact</x:v>
      </x:c>
      <x:c r="D2398" s="21" t="str">
        <x:v>artifact 674 planning state</x:v>
      </x:c>
      <x:c r="E2398" s="21" t="n">
        <x:f>IF(AND('Artifact Ledger'!Q680="OPEN",'Artifact Ledger'!R680="HOLD"),1,0)</x:f>
        <x:v>1</x:v>
      </x:c>
      <x:c r="F2398" s="21" t="n">
        <x:v>1</x:v>
      </x:c>
      <x:c r="G2398" s="23" t="str">
        <x:f>IF(E2398=F2398,"PASS","FAIL")</x:f>
        <x:v>PASS</x:v>
      </x:c>
    </x:row>
    <x:row r="2399">
      <x:c r="B2399" s="21" t="str">
        <x:v>A02393</x:v>
      </x:c>
      <x:c r="C2399" s="21" t="str">
        <x:v>artifact</x:v>
      </x:c>
      <x:c r="D2399" s="21" t="str">
        <x:v>artifact 675 eligibility equation</x:v>
      </x:c>
      <x:c r="E2399" s="21" t="n">
        <x:f>IF(ABS('Artifact Ledger'!P681-IF(AND('Artifact Ledger'!L681=1,'Artifact Ledger'!M681=1,'Artifact Ledger'!N681=1,'Artifact Ledger'!O681&gt;='Artifact Ledger'!G681),'Artifact Ledger'!K681,0))&lt;0.000001,1,0)</x:f>
        <x:v>1</x:v>
      </x:c>
      <x:c r="F2399" s="21" t="n">
        <x:v>1</x:v>
      </x:c>
      <x:c r="G2399" s="23" t="str">
        <x:f>IF(E2399=F2399,"PASS","FAIL")</x:f>
        <x:v>PASS</x:v>
      </x:c>
    </x:row>
    <x:row r="2400">
      <x:c r="B2400" s="21" t="str">
        <x:v>A02394</x:v>
      </x:c>
      <x:c r="C2400" s="21" t="str">
        <x:v>artifact</x:v>
      </x:c>
      <x:c r="D2400" s="21" t="str">
        <x:v>artifact 675 planning state</x:v>
      </x:c>
      <x:c r="E2400" s="21" t="n">
        <x:f>IF(AND('Artifact Ledger'!Q681="OPEN",'Artifact Ledger'!R681="HOLD"),1,0)</x:f>
        <x:v>1</x:v>
      </x:c>
      <x:c r="F2400" s="21" t="n">
        <x:v>1</x:v>
      </x:c>
      <x:c r="G2400" s="23" t="str">
        <x:f>IF(E2400=F2400,"PASS","FAIL")</x:f>
        <x:v>PASS</x:v>
      </x:c>
    </x:row>
    <x:row r="2401">
      <x:c r="B2401" s="21" t="str">
        <x:v>A02395</x:v>
      </x:c>
      <x:c r="C2401" s="21" t="str">
        <x:v>artifact</x:v>
      </x:c>
      <x:c r="D2401" s="21" t="str">
        <x:v>artifact 676 eligibility equation</x:v>
      </x:c>
      <x:c r="E2401" s="21" t="n">
        <x:f>IF(ABS('Artifact Ledger'!P682-IF(AND('Artifact Ledger'!L682=1,'Artifact Ledger'!M682=1,'Artifact Ledger'!N682=1,'Artifact Ledger'!O682&gt;='Artifact Ledger'!G682),'Artifact Ledger'!K682,0))&lt;0.000001,1,0)</x:f>
        <x:v>1</x:v>
      </x:c>
      <x:c r="F2401" s="21" t="n">
        <x:v>1</x:v>
      </x:c>
      <x:c r="G2401" s="23" t="str">
        <x:f>IF(E2401=F2401,"PASS","FAIL")</x:f>
        <x:v>PASS</x:v>
      </x:c>
    </x:row>
    <x:row r="2402">
      <x:c r="B2402" s="21" t="str">
        <x:v>A02396</x:v>
      </x:c>
      <x:c r="C2402" s="21" t="str">
        <x:v>artifact</x:v>
      </x:c>
      <x:c r="D2402" s="21" t="str">
        <x:v>artifact 676 planning state</x:v>
      </x:c>
      <x:c r="E2402" s="21" t="n">
        <x:f>IF(AND('Artifact Ledger'!Q682="OPEN",'Artifact Ledger'!R682="HOLD"),1,0)</x:f>
        <x:v>1</x:v>
      </x:c>
      <x:c r="F2402" s="21" t="n">
        <x:v>1</x:v>
      </x:c>
      <x:c r="G2402" s="23" t="str">
        <x:f>IF(E2402=F2402,"PASS","FAIL")</x:f>
        <x:v>PASS</x:v>
      </x:c>
    </x:row>
    <x:row r="2403">
      <x:c r="B2403" s="21" t="str">
        <x:v>A02397</x:v>
      </x:c>
      <x:c r="C2403" s="21" t="str">
        <x:v>artifact</x:v>
      </x:c>
      <x:c r="D2403" s="21" t="str">
        <x:v>artifact 677 eligibility equation</x:v>
      </x:c>
      <x:c r="E2403" s="21" t="n">
        <x:f>IF(ABS('Artifact Ledger'!P683-IF(AND('Artifact Ledger'!L683=1,'Artifact Ledger'!M683=1,'Artifact Ledger'!N683=1,'Artifact Ledger'!O683&gt;='Artifact Ledger'!G683),'Artifact Ledger'!K683,0))&lt;0.000001,1,0)</x:f>
        <x:v>1</x:v>
      </x:c>
      <x:c r="F2403" s="21" t="n">
        <x:v>1</x:v>
      </x:c>
      <x:c r="G2403" s="23" t="str">
        <x:f>IF(E2403=F2403,"PASS","FAIL")</x:f>
        <x:v>PASS</x:v>
      </x:c>
    </x:row>
    <x:row r="2404">
      <x:c r="B2404" s="21" t="str">
        <x:v>A02398</x:v>
      </x:c>
      <x:c r="C2404" s="21" t="str">
        <x:v>artifact</x:v>
      </x:c>
      <x:c r="D2404" s="21" t="str">
        <x:v>artifact 677 planning state</x:v>
      </x:c>
      <x:c r="E2404" s="21" t="n">
        <x:f>IF(AND('Artifact Ledger'!Q683="OPEN",'Artifact Ledger'!R683="HOLD"),1,0)</x:f>
        <x:v>1</x:v>
      </x:c>
      <x:c r="F2404" s="21" t="n">
        <x:v>1</x:v>
      </x:c>
      <x:c r="G2404" s="23" t="str">
        <x:f>IF(E2404=F2404,"PASS","FAIL")</x:f>
        <x:v>PASS</x:v>
      </x:c>
    </x:row>
    <x:row r="2405">
      <x:c r="B2405" s="21" t="str">
        <x:v>A02399</x:v>
      </x:c>
      <x:c r="C2405" s="21" t="str">
        <x:v>artifact</x:v>
      </x:c>
      <x:c r="D2405" s="21" t="str">
        <x:v>artifact 678 eligibility equation</x:v>
      </x:c>
      <x:c r="E2405" s="21" t="n">
        <x:f>IF(ABS('Artifact Ledger'!P684-IF(AND('Artifact Ledger'!L684=1,'Artifact Ledger'!M684=1,'Artifact Ledger'!N684=1,'Artifact Ledger'!O684&gt;='Artifact Ledger'!G684),'Artifact Ledger'!K684,0))&lt;0.000001,1,0)</x:f>
        <x:v>1</x:v>
      </x:c>
      <x:c r="F2405" s="21" t="n">
        <x:v>1</x:v>
      </x:c>
      <x:c r="G2405" s="23" t="str">
        <x:f>IF(E2405=F2405,"PASS","FAIL")</x:f>
        <x:v>PASS</x:v>
      </x:c>
    </x:row>
    <x:row r="2406">
      <x:c r="B2406" s="21" t="str">
        <x:v>A02400</x:v>
      </x:c>
      <x:c r="C2406" s="21" t="str">
        <x:v>artifact</x:v>
      </x:c>
      <x:c r="D2406" s="21" t="str">
        <x:v>artifact 678 planning state</x:v>
      </x:c>
      <x:c r="E2406" s="21" t="n">
        <x:f>IF(AND('Artifact Ledger'!Q684="OPEN",'Artifact Ledger'!R684="HOLD"),1,0)</x:f>
        <x:v>1</x:v>
      </x:c>
      <x:c r="F2406" s="21" t="n">
        <x:v>1</x:v>
      </x:c>
      <x:c r="G2406" s="23" t="str">
        <x:f>IF(E2406=F2406,"PASS","FAIL")</x:f>
        <x:v>PASS</x:v>
      </x:c>
    </x:row>
    <x:row r="2407">
      <x:c r="B2407" s="21" t="str">
        <x:v>A02401</x:v>
      </x:c>
      <x:c r="C2407" s="21" t="str">
        <x:v>artifact</x:v>
      </x:c>
      <x:c r="D2407" s="21" t="str">
        <x:v>artifact 679 eligibility equation</x:v>
      </x:c>
      <x:c r="E2407" s="21" t="n">
        <x:f>IF(ABS('Artifact Ledger'!P685-IF(AND('Artifact Ledger'!L685=1,'Artifact Ledger'!M685=1,'Artifact Ledger'!N685=1,'Artifact Ledger'!O685&gt;='Artifact Ledger'!G685),'Artifact Ledger'!K685,0))&lt;0.000001,1,0)</x:f>
        <x:v>1</x:v>
      </x:c>
      <x:c r="F2407" s="21" t="n">
        <x:v>1</x:v>
      </x:c>
      <x:c r="G2407" s="23" t="str">
        <x:f>IF(E2407=F2407,"PASS","FAIL")</x:f>
        <x:v>PASS</x:v>
      </x:c>
    </x:row>
    <x:row r="2408">
      <x:c r="B2408" s="21" t="str">
        <x:v>A02402</x:v>
      </x:c>
      <x:c r="C2408" s="21" t="str">
        <x:v>artifact</x:v>
      </x:c>
      <x:c r="D2408" s="21" t="str">
        <x:v>artifact 679 planning state</x:v>
      </x:c>
      <x:c r="E2408" s="21" t="n">
        <x:f>IF(AND('Artifact Ledger'!Q685="OPEN",'Artifact Ledger'!R685="HOLD"),1,0)</x:f>
        <x:v>1</x:v>
      </x:c>
      <x:c r="F2408" s="21" t="n">
        <x:v>1</x:v>
      </x:c>
      <x:c r="G2408" s="23" t="str">
        <x:f>IF(E2408=F2408,"PASS","FAIL")</x:f>
        <x:v>PASS</x:v>
      </x:c>
    </x:row>
    <x:row r="2409">
      <x:c r="B2409" s="21" t="str">
        <x:v>A02403</x:v>
      </x:c>
      <x:c r="C2409" s="21" t="str">
        <x:v>artifact</x:v>
      </x:c>
      <x:c r="D2409" s="21" t="str">
        <x:v>artifact 680 eligibility equation</x:v>
      </x:c>
      <x:c r="E2409" s="21" t="n">
        <x:f>IF(ABS('Artifact Ledger'!P686-IF(AND('Artifact Ledger'!L686=1,'Artifact Ledger'!M686=1,'Artifact Ledger'!N686=1,'Artifact Ledger'!O686&gt;='Artifact Ledger'!G686),'Artifact Ledger'!K686,0))&lt;0.000001,1,0)</x:f>
        <x:v>1</x:v>
      </x:c>
      <x:c r="F2409" s="21" t="n">
        <x:v>1</x:v>
      </x:c>
      <x:c r="G2409" s="23" t="str">
        <x:f>IF(E2409=F2409,"PASS","FAIL")</x:f>
        <x:v>PASS</x:v>
      </x:c>
    </x:row>
    <x:row r="2410">
      <x:c r="B2410" s="21" t="str">
        <x:v>A02404</x:v>
      </x:c>
      <x:c r="C2410" s="21" t="str">
        <x:v>artifact</x:v>
      </x:c>
      <x:c r="D2410" s="21" t="str">
        <x:v>artifact 680 planning state</x:v>
      </x:c>
      <x:c r="E2410" s="21" t="n">
        <x:f>IF(AND('Artifact Ledger'!Q686="OPEN",'Artifact Ledger'!R686="HOLD"),1,0)</x:f>
        <x:v>1</x:v>
      </x:c>
      <x:c r="F2410" s="21" t="n">
        <x:v>1</x:v>
      </x:c>
      <x:c r="G2410" s="23" t="str">
        <x:f>IF(E2410=F2410,"PASS","FAIL")</x:f>
        <x:v>PASS</x:v>
      </x:c>
    </x:row>
    <x:row r="2411">
      <x:c r="B2411" s="21" t="str">
        <x:v>A02405</x:v>
      </x:c>
      <x:c r="C2411" s="21" t="str">
        <x:v>artifact</x:v>
      </x:c>
      <x:c r="D2411" s="21" t="str">
        <x:v>artifact 681 eligibility equation</x:v>
      </x:c>
      <x:c r="E2411" s="21" t="n">
        <x:f>IF(ABS('Artifact Ledger'!P687-IF(AND('Artifact Ledger'!L687=1,'Artifact Ledger'!M687=1,'Artifact Ledger'!N687=1,'Artifact Ledger'!O687&gt;='Artifact Ledger'!G687),'Artifact Ledger'!K687,0))&lt;0.000001,1,0)</x:f>
        <x:v>1</x:v>
      </x:c>
      <x:c r="F2411" s="21" t="n">
        <x:v>1</x:v>
      </x:c>
      <x:c r="G2411" s="23" t="str">
        <x:f>IF(E2411=F2411,"PASS","FAIL")</x:f>
        <x:v>PASS</x:v>
      </x:c>
    </x:row>
    <x:row r="2412">
      <x:c r="B2412" s="21" t="str">
        <x:v>A02406</x:v>
      </x:c>
      <x:c r="C2412" s="21" t="str">
        <x:v>artifact</x:v>
      </x:c>
      <x:c r="D2412" s="21" t="str">
        <x:v>artifact 681 planning state</x:v>
      </x:c>
      <x:c r="E2412" s="21" t="n">
        <x:f>IF(AND('Artifact Ledger'!Q687="OPEN",'Artifact Ledger'!R687="HOLD"),1,0)</x:f>
        <x:v>1</x:v>
      </x:c>
      <x:c r="F2412" s="21" t="n">
        <x:v>1</x:v>
      </x:c>
      <x:c r="G2412" s="23" t="str">
        <x:f>IF(E2412=F2412,"PASS","FAIL")</x:f>
        <x:v>PASS</x:v>
      </x:c>
    </x:row>
    <x:row r="2413">
      <x:c r="B2413" s="21" t="str">
        <x:v>A02407</x:v>
      </x:c>
      <x:c r="C2413" s="21" t="str">
        <x:v>artifact</x:v>
      </x:c>
      <x:c r="D2413" s="21" t="str">
        <x:v>artifact 682 eligibility equation</x:v>
      </x:c>
      <x:c r="E2413" s="21" t="n">
        <x:f>IF(ABS('Artifact Ledger'!P688-IF(AND('Artifact Ledger'!L688=1,'Artifact Ledger'!M688=1,'Artifact Ledger'!N688=1,'Artifact Ledger'!O688&gt;='Artifact Ledger'!G688),'Artifact Ledger'!K688,0))&lt;0.000001,1,0)</x:f>
        <x:v>1</x:v>
      </x:c>
      <x:c r="F2413" s="21" t="n">
        <x:v>1</x:v>
      </x:c>
      <x:c r="G2413" s="23" t="str">
        <x:f>IF(E2413=F2413,"PASS","FAIL")</x:f>
        <x:v>PASS</x:v>
      </x:c>
    </x:row>
    <x:row r="2414">
      <x:c r="B2414" s="21" t="str">
        <x:v>A02408</x:v>
      </x:c>
      <x:c r="C2414" s="21" t="str">
        <x:v>artifact</x:v>
      </x:c>
      <x:c r="D2414" s="21" t="str">
        <x:v>artifact 682 planning state</x:v>
      </x:c>
      <x:c r="E2414" s="21" t="n">
        <x:f>IF(AND('Artifact Ledger'!Q688="OPEN",'Artifact Ledger'!R688="HOLD"),1,0)</x:f>
        <x:v>1</x:v>
      </x:c>
      <x:c r="F2414" s="21" t="n">
        <x:v>1</x:v>
      </x:c>
      <x:c r="G2414" s="23" t="str">
        <x:f>IF(E2414=F2414,"PASS","FAIL")</x:f>
        <x:v>PASS</x:v>
      </x:c>
    </x:row>
    <x:row r="2415">
      <x:c r="B2415" s="21" t="str">
        <x:v>A02409</x:v>
      </x:c>
      <x:c r="C2415" s="21" t="str">
        <x:v>artifact</x:v>
      </x:c>
      <x:c r="D2415" s="21" t="str">
        <x:v>artifact 683 eligibility equation</x:v>
      </x:c>
      <x:c r="E2415" s="21" t="n">
        <x:f>IF(ABS('Artifact Ledger'!P689-IF(AND('Artifact Ledger'!L689=1,'Artifact Ledger'!M689=1,'Artifact Ledger'!N689=1,'Artifact Ledger'!O689&gt;='Artifact Ledger'!G689),'Artifact Ledger'!K689,0))&lt;0.000001,1,0)</x:f>
        <x:v>1</x:v>
      </x:c>
      <x:c r="F2415" s="21" t="n">
        <x:v>1</x:v>
      </x:c>
      <x:c r="G2415" s="23" t="str">
        <x:f>IF(E2415=F2415,"PASS","FAIL")</x:f>
        <x:v>PASS</x:v>
      </x:c>
    </x:row>
    <x:row r="2416">
      <x:c r="B2416" s="21" t="str">
        <x:v>A02410</x:v>
      </x:c>
      <x:c r="C2416" s="21" t="str">
        <x:v>artifact</x:v>
      </x:c>
      <x:c r="D2416" s="21" t="str">
        <x:v>artifact 683 planning state</x:v>
      </x:c>
      <x:c r="E2416" s="21" t="n">
        <x:f>IF(AND('Artifact Ledger'!Q689="OPEN",'Artifact Ledger'!R689="HOLD"),1,0)</x:f>
        <x:v>1</x:v>
      </x:c>
      <x:c r="F2416" s="21" t="n">
        <x:v>1</x:v>
      </x:c>
      <x:c r="G2416" s="23" t="str">
        <x:f>IF(E2416=F2416,"PASS","FAIL")</x:f>
        <x:v>PASS</x:v>
      </x:c>
    </x:row>
    <x:row r="2417">
      <x:c r="B2417" s="21" t="str">
        <x:v>A02411</x:v>
      </x:c>
      <x:c r="C2417" s="21" t="str">
        <x:v>artifact</x:v>
      </x:c>
      <x:c r="D2417" s="21" t="str">
        <x:v>artifact 684 eligibility equation</x:v>
      </x:c>
      <x:c r="E2417" s="21" t="n">
        <x:f>IF(ABS('Artifact Ledger'!P690-IF(AND('Artifact Ledger'!L690=1,'Artifact Ledger'!M690=1,'Artifact Ledger'!N690=1,'Artifact Ledger'!O690&gt;='Artifact Ledger'!G690),'Artifact Ledger'!K690,0))&lt;0.000001,1,0)</x:f>
        <x:v>1</x:v>
      </x:c>
      <x:c r="F2417" s="21" t="n">
        <x:v>1</x:v>
      </x:c>
      <x:c r="G2417" s="23" t="str">
        <x:f>IF(E2417=F2417,"PASS","FAIL")</x:f>
        <x:v>PASS</x:v>
      </x:c>
    </x:row>
    <x:row r="2418">
      <x:c r="B2418" s="21" t="str">
        <x:v>A02412</x:v>
      </x:c>
      <x:c r="C2418" s="21" t="str">
        <x:v>artifact</x:v>
      </x:c>
      <x:c r="D2418" s="21" t="str">
        <x:v>artifact 684 planning state</x:v>
      </x:c>
      <x:c r="E2418" s="21" t="n">
        <x:f>IF(AND('Artifact Ledger'!Q690="OPEN",'Artifact Ledger'!R690="HOLD"),1,0)</x:f>
        <x:v>1</x:v>
      </x:c>
      <x:c r="F2418" s="21" t="n">
        <x:v>1</x:v>
      </x:c>
      <x:c r="G2418" s="23" t="str">
        <x:f>IF(E2418=F2418,"PASS","FAIL")</x:f>
        <x:v>PASS</x:v>
      </x:c>
    </x:row>
    <x:row r="2419">
      <x:c r="B2419" s="21" t="str">
        <x:v>A02413</x:v>
      </x:c>
      <x:c r="C2419" s="21" t="str">
        <x:v>artifact</x:v>
      </x:c>
      <x:c r="D2419" s="21" t="str">
        <x:v>artifact 685 eligibility equation</x:v>
      </x:c>
      <x:c r="E2419" s="21" t="n">
        <x:f>IF(ABS('Artifact Ledger'!P691-IF(AND('Artifact Ledger'!L691=1,'Artifact Ledger'!M691=1,'Artifact Ledger'!N691=1,'Artifact Ledger'!O691&gt;='Artifact Ledger'!G691),'Artifact Ledger'!K691,0))&lt;0.000001,1,0)</x:f>
        <x:v>1</x:v>
      </x:c>
      <x:c r="F2419" s="21" t="n">
        <x:v>1</x:v>
      </x:c>
      <x:c r="G2419" s="23" t="str">
        <x:f>IF(E2419=F2419,"PASS","FAIL")</x:f>
        <x:v>PASS</x:v>
      </x:c>
    </x:row>
    <x:row r="2420">
      <x:c r="B2420" s="21" t="str">
        <x:v>A02414</x:v>
      </x:c>
      <x:c r="C2420" s="21" t="str">
        <x:v>artifact</x:v>
      </x:c>
      <x:c r="D2420" s="21" t="str">
        <x:v>artifact 685 planning state</x:v>
      </x:c>
      <x:c r="E2420" s="21" t="n">
        <x:f>IF(AND('Artifact Ledger'!Q691="OPEN",'Artifact Ledger'!R691="HOLD"),1,0)</x:f>
        <x:v>1</x:v>
      </x:c>
      <x:c r="F2420" s="21" t="n">
        <x:v>1</x:v>
      </x:c>
      <x:c r="G2420" s="23" t="str">
        <x:f>IF(E2420=F2420,"PASS","FAIL")</x:f>
        <x:v>PASS</x:v>
      </x:c>
    </x:row>
    <x:row r="2421">
      <x:c r="B2421" s="21" t="str">
        <x:v>A02415</x:v>
      </x:c>
      <x:c r="C2421" s="21" t="str">
        <x:v>artifact</x:v>
      </x:c>
      <x:c r="D2421" s="21" t="str">
        <x:v>artifact 686 eligibility equation</x:v>
      </x:c>
      <x:c r="E2421" s="21" t="n">
        <x:f>IF(ABS('Artifact Ledger'!P692-IF(AND('Artifact Ledger'!L692=1,'Artifact Ledger'!M692=1,'Artifact Ledger'!N692=1,'Artifact Ledger'!O692&gt;='Artifact Ledger'!G692),'Artifact Ledger'!K692,0))&lt;0.000001,1,0)</x:f>
        <x:v>1</x:v>
      </x:c>
      <x:c r="F2421" s="21" t="n">
        <x:v>1</x:v>
      </x:c>
      <x:c r="G2421" s="23" t="str">
        <x:f>IF(E2421=F2421,"PASS","FAIL")</x:f>
        <x:v>PASS</x:v>
      </x:c>
    </x:row>
    <x:row r="2422">
      <x:c r="B2422" s="21" t="str">
        <x:v>A02416</x:v>
      </x:c>
      <x:c r="C2422" s="21" t="str">
        <x:v>artifact</x:v>
      </x:c>
      <x:c r="D2422" s="21" t="str">
        <x:v>artifact 686 planning state</x:v>
      </x:c>
      <x:c r="E2422" s="21" t="n">
        <x:f>IF(AND('Artifact Ledger'!Q692="OPEN",'Artifact Ledger'!R692="HOLD"),1,0)</x:f>
        <x:v>1</x:v>
      </x:c>
      <x:c r="F2422" s="21" t="n">
        <x:v>1</x:v>
      </x:c>
      <x:c r="G2422" s="23" t="str">
        <x:f>IF(E2422=F2422,"PASS","FAIL")</x:f>
        <x:v>PASS</x:v>
      </x:c>
    </x:row>
    <x:row r="2423">
      <x:c r="B2423" s="21" t="str">
        <x:v>A02417</x:v>
      </x:c>
      <x:c r="C2423" s="21" t="str">
        <x:v>artifact</x:v>
      </x:c>
      <x:c r="D2423" s="21" t="str">
        <x:v>artifact 687 eligibility equation</x:v>
      </x:c>
      <x:c r="E2423" s="21" t="n">
        <x:f>IF(ABS('Artifact Ledger'!P693-IF(AND('Artifact Ledger'!L693=1,'Artifact Ledger'!M693=1,'Artifact Ledger'!N693=1,'Artifact Ledger'!O693&gt;='Artifact Ledger'!G693),'Artifact Ledger'!K693,0))&lt;0.000001,1,0)</x:f>
        <x:v>1</x:v>
      </x:c>
      <x:c r="F2423" s="21" t="n">
        <x:v>1</x:v>
      </x:c>
      <x:c r="G2423" s="23" t="str">
        <x:f>IF(E2423=F2423,"PASS","FAIL")</x:f>
        <x:v>PASS</x:v>
      </x:c>
    </x:row>
    <x:row r="2424">
      <x:c r="B2424" s="21" t="str">
        <x:v>A02418</x:v>
      </x:c>
      <x:c r="C2424" s="21" t="str">
        <x:v>artifact</x:v>
      </x:c>
      <x:c r="D2424" s="21" t="str">
        <x:v>artifact 687 planning state</x:v>
      </x:c>
      <x:c r="E2424" s="21" t="n">
        <x:f>IF(AND('Artifact Ledger'!Q693="OPEN",'Artifact Ledger'!R693="HOLD"),1,0)</x:f>
        <x:v>1</x:v>
      </x:c>
      <x:c r="F2424" s="21" t="n">
        <x:v>1</x:v>
      </x:c>
      <x:c r="G2424" s="23" t="str">
        <x:f>IF(E2424=F2424,"PASS","FAIL")</x:f>
        <x:v>PASS</x:v>
      </x:c>
    </x:row>
    <x:row r="2425">
      <x:c r="B2425" s="21" t="str">
        <x:v>A02419</x:v>
      </x:c>
      <x:c r="C2425" s="21" t="str">
        <x:v>artifact</x:v>
      </x:c>
      <x:c r="D2425" s="21" t="str">
        <x:v>artifact 688 eligibility equation</x:v>
      </x:c>
      <x:c r="E2425" s="21" t="n">
        <x:f>IF(ABS('Artifact Ledger'!P694-IF(AND('Artifact Ledger'!L694=1,'Artifact Ledger'!M694=1,'Artifact Ledger'!N694=1,'Artifact Ledger'!O694&gt;='Artifact Ledger'!G694),'Artifact Ledger'!K694,0))&lt;0.000001,1,0)</x:f>
        <x:v>1</x:v>
      </x:c>
      <x:c r="F2425" s="21" t="n">
        <x:v>1</x:v>
      </x:c>
      <x:c r="G2425" s="23" t="str">
        <x:f>IF(E2425=F2425,"PASS","FAIL")</x:f>
        <x:v>PASS</x:v>
      </x:c>
    </x:row>
    <x:row r="2426">
      <x:c r="B2426" s="21" t="str">
        <x:v>A02420</x:v>
      </x:c>
      <x:c r="C2426" s="21" t="str">
        <x:v>artifact</x:v>
      </x:c>
      <x:c r="D2426" s="21" t="str">
        <x:v>artifact 688 planning state</x:v>
      </x:c>
      <x:c r="E2426" s="21" t="n">
        <x:f>IF(AND('Artifact Ledger'!Q694="OPEN",'Artifact Ledger'!R694="HOLD"),1,0)</x:f>
        <x:v>1</x:v>
      </x:c>
      <x:c r="F2426" s="21" t="n">
        <x:v>1</x:v>
      </x:c>
      <x:c r="G2426" s="23" t="str">
        <x:f>IF(E2426=F2426,"PASS","FAIL")</x:f>
        <x:v>PASS</x:v>
      </x:c>
    </x:row>
    <x:row r="2427">
      <x:c r="B2427" s="21" t="str">
        <x:v>A02421</x:v>
      </x:c>
      <x:c r="C2427" s="21" t="str">
        <x:v>artifact</x:v>
      </x:c>
      <x:c r="D2427" s="21" t="str">
        <x:v>artifact 689 eligibility equation</x:v>
      </x:c>
      <x:c r="E2427" s="21" t="n">
        <x:f>IF(ABS('Artifact Ledger'!P695-IF(AND('Artifact Ledger'!L695=1,'Artifact Ledger'!M695=1,'Artifact Ledger'!N695=1,'Artifact Ledger'!O695&gt;='Artifact Ledger'!G695),'Artifact Ledger'!K695,0))&lt;0.000001,1,0)</x:f>
        <x:v>1</x:v>
      </x:c>
      <x:c r="F2427" s="21" t="n">
        <x:v>1</x:v>
      </x:c>
      <x:c r="G2427" s="23" t="str">
        <x:f>IF(E2427=F2427,"PASS","FAIL")</x:f>
        <x:v>PASS</x:v>
      </x:c>
    </x:row>
    <x:row r="2428">
      <x:c r="B2428" s="21" t="str">
        <x:v>A02422</x:v>
      </x:c>
      <x:c r="C2428" s="21" t="str">
        <x:v>artifact</x:v>
      </x:c>
      <x:c r="D2428" s="21" t="str">
        <x:v>artifact 689 planning state</x:v>
      </x:c>
      <x:c r="E2428" s="21" t="n">
        <x:f>IF(AND('Artifact Ledger'!Q695="OPEN",'Artifact Ledger'!R695="HOLD"),1,0)</x:f>
        <x:v>1</x:v>
      </x:c>
      <x:c r="F2428" s="21" t="n">
        <x:v>1</x:v>
      </x:c>
      <x:c r="G2428" s="23" t="str">
        <x:f>IF(E2428=F2428,"PASS","FAIL")</x:f>
        <x:v>PASS</x:v>
      </x:c>
    </x:row>
    <x:row r="2429">
      <x:c r="B2429" s="21" t="str">
        <x:v>A02423</x:v>
      </x:c>
      <x:c r="C2429" s="21" t="str">
        <x:v>artifact</x:v>
      </x:c>
      <x:c r="D2429" s="21" t="str">
        <x:v>artifact 690 eligibility equation</x:v>
      </x:c>
      <x:c r="E2429" s="21" t="n">
        <x:f>IF(ABS('Artifact Ledger'!P696-IF(AND('Artifact Ledger'!L696=1,'Artifact Ledger'!M696=1,'Artifact Ledger'!N696=1,'Artifact Ledger'!O696&gt;='Artifact Ledger'!G696),'Artifact Ledger'!K696,0))&lt;0.000001,1,0)</x:f>
        <x:v>1</x:v>
      </x:c>
      <x:c r="F2429" s="21" t="n">
        <x:v>1</x:v>
      </x:c>
      <x:c r="G2429" s="23" t="str">
        <x:f>IF(E2429=F2429,"PASS","FAIL")</x:f>
        <x:v>PASS</x:v>
      </x:c>
    </x:row>
    <x:row r="2430">
      <x:c r="B2430" s="21" t="str">
        <x:v>A02424</x:v>
      </x:c>
      <x:c r="C2430" s="21" t="str">
        <x:v>artifact</x:v>
      </x:c>
      <x:c r="D2430" s="21" t="str">
        <x:v>artifact 690 planning state</x:v>
      </x:c>
      <x:c r="E2430" s="21" t="n">
        <x:f>IF(AND('Artifact Ledger'!Q696="OPEN",'Artifact Ledger'!R696="HOLD"),1,0)</x:f>
        <x:v>1</x:v>
      </x:c>
      <x:c r="F2430" s="21" t="n">
        <x:v>1</x:v>
      </x:c>
      <x:c r="G2430" s="23" t="str">
        <x:f>IF(E2430=F2430,"PASS","FAIL")</x:f>
        <x:v>PASS</x:v>
      </x:c>
    </x:row>
    <x:row r="2431">
      <x:c r="B2431" s="21" t="str">
        <x:v>A02425</x:v>
      </x:c>
      <x:c r="C2431" s="21" t="str">
        <x:v>artifact</x:v>
      </x:c>
      <x:c r="D2431" s="21" t="str">
        <x:v>artifact 691 eligibility equation</x:v>
      </x:c>
      <x:c r="E2431" s="21" t="n">
        <x:f>IF(ABS('Artifact Ledger'!P697-IF(AND('Artifact Ledger'!L697=1,'Artifact Ledger'!M697=1,'Artifact Ledger'!N697=1,'Artifact Ledger'!O697&gt;='Artifact Ledger'!G697),'Artifact Ledger'!K697,0))&lt;0.000001,1,0)</x:f>
        <x:v>1</x:v>
      </x:c>
      <x:c r="F2431" s="21" t="n">
        <x:v>1</x:v>
      </x:c>
      <x:c r="G2431" s="23" t="str">
        <x:f>IF(E2431=F2431,"PASS","FAIL")</x:f>
        <x:v>PASS</x:v>
      </x:c>
    </x:row>
    <x:row r="2432">
      <x:c r="B2432" s="21" t="str">
        <x:v>A02426</x:v>
      </x:c>
      <x:c r="C2432" s="21" t="str">
        <x:v>artifact</x:v>
      </x:c>
      <x:c r="D2432" s="21" t="str">
        <x:v>artifact 691 planning state</x:v>
      </x:c>
      <x:c r="E2432" s="21" t="n">
        <x:f>IF(AND('Artifact Ledger'!Q697="OPEN",'Artifact Ledger'!R697="HOLD"),1,0)</x:f>
        <x:v>1</x:v>
      </x:c>
      <x:c r="F2432" s="21" t="n">
        <x:v>1</x:v>
      </x:c>
      <x:c r="G2432" s="23" t="str">
        <x:f>IF(E2432=F2432,"PASS","FAIL")</x:f>
        <x:v>PASS</x:v>
      </x:c>
    </x:row>
    <x:row r="2433">
      <x:c r="B2433" s="21" t="str">
        <x:v>A02427</x:v>
      </x:c>
      <x:c r="C2433" s="21" t="str">
        <x:v>artifact</x:v>
      </x:c>
      <x:c r="D2433" s="21" t="str">
        <x:v>artifact 692 eligibility equation</x:v>
      </x:c>
      <x:c r="E2433" s="21" t="n">
        <x:f>IF(ABS('Artifact Ledger'!P698-IF(AND('Artifact Ledger'!L698=1,'Artifact Ledger'!M698=1,'Artifact Ledger'!N698=1,'Artifact Ledger'!O698&gt;='Artifact Ledger'!G698),'Artifact Ledger'!K698,0))&lt;0.000001,1,0)</x:f>
        <x:v>1</x:v>
      </x:c>
      <x:c r="F2433" s="21" t="n">
        <x:v>1</x:v>
      </x:c>
      <x:c r="G2433" s="23" t="str">
        <x:f>IF(E2433=F2433,"PASS","FAIL")</x:f>
        <x:v>PASS</x:v>
      </x:c>
    </x:row>
    <x:row r="2434">
      <x:c r="B2434" s="21" t="str">
        <x:v>A02428</x:v>
      </x:c>
      <x:c r="C2434" s="21" t="str">
        <x:v>artifact</x:v>
      </x:c>
      <x:c r="D2434" s="21" t="str">
        <x:v>artifact 692 planning state</x:v>
      </x:c>
      <x:c r="E2434" s="21" t="n">
        <x:f>IF(AND('Artifact Ledger'!Q698="OPEN",'Artifact Ledger'!R698="HOLD"),1,0)</x:f>
        <x:v>1</x:v>
      </x:c>
      <x:c r="F2434" s="21" t="n">
        <x:v>1</x:v>
      </x:c>
      <x:c r="G2434" s="23" t="str">
        <x:f>IF(E2434=F2434,"PASS","FAIL")</x:f>
        <x:v>PASS</x:v>
      </x:c>
    </x:row>
    <x:row r="2435">
      <x:c r="B2435" s="21" t="str">
        <x:v>A02429</x:v>
      </x:c>
      <x:c r="C2435" s="21" t="str">
        <x:v>artifact</x:v>
      </x:c>
      <x:c r="D2435" s="21" t="str">
        <x:v>artifact 693 eligibility equation</x:v>
      </x:c>
      <x:c r="E2435" s="21" t="n">
        <x:f>IF(ABS('Artifact Ledger'!P699-IF(AND('Artifact Ledger'!L699=1,'Artifact Ledger'!M699=1,'Artifact Ledger'!N699=1,'Artifact Ledger'!O699&gt;='Artifact Ledger'!G699),'Artifact Ledger'!K699,0))&lt;0.000001,1,0)</x:f>
        <x:v>1</x:v>
      </x:c>
      <x:c r="F2435" s="21" t="n">
        <x:v>1</x:v>
      </x:c>
      <x:c r="G2435" s="23" t="str">
        <x:f>IF(E2435=F2435,"PASS","FAIL")</x:f>
        <x:v>PASS</x:v>
      </x:c>
    </x:row>
    <x:row r="2436">
      <x:c r="B2436" s="21" t="str">
        <x:v>A02430</x:v>
      </x:c>
      <x:c r="C2436" s="21" t="str">
        <x:v>artifact</x:v>
      </x:c>
      <x:c r="D2436" s="21" t="str">
        <x:v>artifact 693 planning state</x:v>
      </x:c>
      <x:c r="E2436" s="21" t="n">
        <x:f>IF(AND('Artifact Ledger'!Q699="OPEN",'Artifact Ledger'!R699="HOLD"),1,0)</x:f>
        <x:v>1</x:v>
      </x:c>
      <x:c r="F2436" s="21" t="n">
        <x:v>1</x:v>
      </x:c>
      <x:c r="G2436" s="23" t="str">
        <x:f>IF(E2436=F2436,"PASS","FAIL")</x:f>
        <x:v>PASS</x:v>
      </x:c>
    </x:row>
    <x:row r="2437">
      <x:c r="B2437" s="21" t="str">
        <x:v>A02431</x:v>
      </x:c>
      <x:c r="C2437" s="21" t="str">
        <x:v>artifact</x:v>
      </x:c>
      <x:c r="D2437" s="21" t="str">
        <x:v>artifact 694 eligibility equation</x:v>
      </x:c>
      <x:c r="E2437" s="21" t="n">
        <x:f>IF(ABS('Artifact Ledger'!P700-IF(AND('Artifact Ledger'!L700=1,'Artifact Ledger'!M700=1,'Artifact Ledger'!N700=1,'Artifact Ledger'!O700&gt;='Artifact Ledger'!G700),'Artifact Ledger'!K700,0))&lt;0.000001,1,0)</x:f>
        <x:v>1</x:v>
      </x:c>
      <x:c r="F2437" s="21" t="n">
        <x:v>1</x:v>
      </x:c>
      <x:c r="G2437" s="23" t="str">
        <x:f>IF(E2437=F2437,"PASS","FAIL")</x:f>
        <x:v>PASS</x:v>
      </x:c>
    </x:row>
    <x:row r="2438">
      <x:c r="B2438" s="21" t="str">
        <x:v>A02432</x:v>
      </x:c>
      <x:c r="C2438" s="21" t="str">
        <x:v>artifact</x:v>
      </x:c>
      <x:c r="D2438" s="21" t="str">
        <x:v>artifact 694 planning state</x:v>
      </x:c>
      <x:c r="E2438" s="21" t="n">
        <x:f>IF(AND('Artifact Ledger'!Q700="OPEN",'Artifact Ledger'!R700="HOLD"),1,0)</x:f>
        <x:v>1</x:v>
      </x:c>
      <x:c r="F2438" s="21" t="n">
        <x:v>1</x:v>
      </x:c>
      <x:c r="G2438" s="23" t="str">
        <x:f>IF(E2438=F2438,"PASS","FAIL")</x:f>
        <x:v>PASS</x:v>
      </x:c>
    </x:row>
    <x:row r="2439">
      <x:c r="B2439" s="21" t="str">
        <x:v>A02433</x:v>
      </x:c>
      <x:c r="C2439" s="21" t="str">
        <x:v>artifact</x:v>
      </x:c>
      <x:c r="D2439" s="21" t="str">
        <x:v>artifact 695 eligibility equation</x:v>
      </x:c>
      <x:c r="E2439" s="21" t="n">
        <x:f>IF(ABS('Artifact Ledger'!P701-IF(AND('Artifact Ledger'!L701=1,'Artifact Ledger'!M701=1,'Artifact Ledger'!N701=1,'Artifact Ledger'!O701&gt;='Artifact Ledger'!G701),'Artifact Ledger'!K701,0))&lt;0.000001,1,0)</x:f>
        <x:v>1</x:v>
      </x:c>
      <x:c r="F2439" s="21" t="n">
        <x:v>1</x:v>
      </x:c>
      <x:c r="G2439" s="23" t="str">
        <x:f>IF(E2439=F2439,"PASS","FAIL")</x:f>
        <x:v>PASS</x:v>
      </x:c>
    </x:row>
    <x:row r="2440">
      <x:c r="B2440" s="21" t="str">
        <x:v>A02434</x:v>
      </x:c>
      <x:c r="C2440" s="21" t="str">
        <x:v>artifact</x:v>
      </x:c>
      <x:c r="D2440" s="21" t="str">
        <x:v>artifact 695 planning state</x:v>
      </x:c>
      <x:c r="E2440" s="21" t="n">
        <x:f>IF(AND('Artifact Ledger'!Q701="OPEN",'Artifact Ledger'!R701="HOLD"),1,0)</x:f>
        <x:v>1</x:v>
      </x:c>
      <x:c r="F2440" s="21" t="n">
        <x:v>1</x:v>
      </x:c>
      <x:c r="G2440" s="23" t="str">
        <x:f>IF(E2440=F2440,"PASS","FAIL")</x:f>
        <x:v>PASS</x:v>
      </x:c>
    </x:row>
    <x:row r="2441">
      <x:c r="B2441" s="21" t="str">
        <x:v>A02435</x:v>
      </x:c>
      <x:c r="C2441" s="21" t="str">
        <x:v>artifact</x:v>
      </x:c>
      <x:c r="D2441" s="21" t="str">
        <x:v>artifact 696 eligibility equation</x:v>
      </x:c>
      <x:c r="E2441" s="21" t="n">
        <x:f>IF(ABS('Artifact Ledger'!P702-IF(AND('Artifact Ledger'!L702=1,'Artifact Ledger'!M702=1,'Artifact Ledger'!N702=1,'Artifact Ledger'!O702&gt;='Artifact Ledger'!G702),'Artifact Ledger'!K702,0))&lt;0.000001,1,0)</x:f>
        <x:v>1</x:v>
      </x:c>
      <x:c r="F2441" s="21" t="n">
        <x:v>1</x:v>
      </x:c>
      <x:c r="G2441" s="23" t="str">
        <x:f>IF(E2441=F2441,"PASS","FAIL")</x:f>
        <x:v>PASS</x:v>
      </x:c>
    </x:row>
    <x:row r="2442">
      <x:c r="B2442" s="21" t="str">
        <x:v>A02436</x:v>
      </x:c>
      <x:c r="C2442" s="21" t="str">
        <x:v>artifact</x:v>
      </x:c>
      <x:c r="D2442" s="21" t="str">
        <x:v>artifact 696 planning state</x:v>
      </x:c>
      <x:c r="E2442" s="21" t="n">
        <x:f>IF(AND('Artifact Ledger'!Q702="OPEN",'Artifact Ledger'!R702="HOLD"),1,0)</x:f>
        <x:v>1</x:v>
      </x:c>
      <x:c r="F2442" s="21" t="n">
        <x:v>1</x:v>
      </x:c>
      <x:c r="G2442" s="23" t="str">
        <x:f>IF(E2442=F2442,"PASS","FAIL")</x:f>
        <x:v>PASS</x:v>
      </x:c>
    </x:row>
    <x:row r="2443">
      <x:c r="B2443" s="21" t="str">
        <x:v>A02437</x:v>
      </x:c>
      <x:c r="C2443" s="21" t="str">
        <x:v>artifact</x:v>
      </x:c>
      <x:c r="D2443" s="21" t="str">
        <x:v>artifact 697 eligibility equation</x:v>
      </x:c>
      <x:c r="E2443" s="21" t="n">
        <x:f>IF(ABS('Artifact Ledger'!P703-IF(AND('Artifact Ledger'!L703=1,'Artifact Ledger'!M703=1,'Artifact Ledger'!N703=1,'Artifact Ledger'!O703&gt;='Artifact Ledger'!G703),'Artifact Ledger'!K703,0))&lt;0.000001,1,0)</x:f>
        <x:v>1</x:v>
      </x:c>
      <x:c r="F2443" s="21" t="n">
        <x:v>1</x:v>
      </x:c>
      <x:c r="G2443" s="23" t="str">
        <x:f>IF(E2443=F2443,"PASS","FAIL")</x:f>
        <x:v>PASS</x:v>
      </x:c>
    </x:row>
    <x:row r="2444">
      <x:c r="B2444" s="21" t="str">
        <x:v>A02438</x:v>
      </x:c>
      <x:c r="C2444" s="21" t="str">
        <x:v>artifact</x:v>
      </x:c>
      <x:c r="D2444" s="21" t="str">
        <x:v>artifact 697 planning state</x:v>
      </x:c>
      <x:c r="E2444" s="21" t="n">
        <x:f>IF(AND('Artifact Ledger'!Q703="OPEN",'Artifact Ledger'!R703="HOLD"),1,0)</x:f>
        <x:v>1</x:v>
      </x:c>
      <x:c r="F2444" s="21" t="n">
        <x:v>1</x:v>
      </x:c>
      <x:c r="G2444" s="23" t="str">
        <x:f>IF(E2444=F2444,"PASS","FAIL")</x:f>
        <x:v>PASS</x:v>
      </x:c>
    </x:row>
    <x:row r="2445">
      <x:c r="B2445" s="21" t="str">
        <x:v>A02439</x:v>
      </x:c>
      <x:c r="C2445" s="21" t="str">
        <x:v>artifact</x:v>
      </x:c>
      <x:c r="D2445" s="21" t="str">
        <x:v>artifact 698 eligibility equation</x:v>
      </x:c>
      <x:c r="E2445" s="21" t="n">
        <x:f>IF(ABS('Artifact Ledger'!P704-IF(AND('Artifact Ledger'!L704=1,'Artifact Ledger'!M704=1,'Artifact Ledger'!N704=1,'Artifact Ledger'!O704&gt;='Artifact Ledger'!G704),'Artifact Ledger'!K704,0))&lt;0.000001,1,0)</x:f>
        <x:v>1</x:v>
      </x:c>
      <x:c r="F2445" s="21" t="n">
        <x:v>1</x:v>
      </x:c>
      <x:c r="G2445" s="23" t="str">
        <x:f>IF(E2445=F2445,"PASS","FAIL")</x:f>
        <x:v>PASS</x:v>
      </x:c>
    </x:row>
    <x:row r="2446">
      <x:c r="B2446" s="21" t="str">
        <x:v>A02440</x:v>
      </x:c>
      <x:c r="C2446" s="21" t="str">
        <x:v>artifact</x:v>
      </x:c>
      <x:c r="D2446" s="21" t="str">
        <x:v>artifact 698 planning state</x:v>
      </x:c>
      <x:c r="E2446" s="21" t="n">
        <x:f>IF(AND('Artifact Ledger'!Q704="OPEN",'Artifact Ledger'!R704="HOLD"),1,0)</x:f>
        <x:v>1</x:v>
      </x:c>
      <x:c r="F2446" s="21" t="n">
        <x:v>1</x:v>
      </x:c>
      <x:c r="G2446" s="23" t="str">
        <x:f>IF(E2446=F2446,"PASS","FAIL")</x:f>
        <x:v>PASS</x:v>
      </x:c>
    </x:row>
    <x:row r="2447">
      <x:c r="B2447" s="21" t="str">
        <x:v>A02441</x:v>
      </x:c>
      <x:c r="C2447" s="21" t="str">
        <x:v>artifact</x:v>
      </x:c>
      <x:c r="D2447" s="21" t="str">
        <x:v>artifact 699 eligibility equation</x:v>
      </x:c>
      <x:c r="E2447" s="21" t="n">
        <x:f>IF(ABS('Artifact Ledger'!P705-IF(AND('Artifact Ledger'!L705=1,'Artifact Ledger'!M705=1,'Artifact Ledger'!N705=1,'Artifact Ledger'!O705&gt;='Artifact Ledger'!G705),'Artifact Ledger'!K705,0))&lt;0.000001,1,0)</x:f>
        <x:v>1</x:v>
      </x:c>
      <x:c r="F2447" s="21" t="n">
        <x:v>1</x:v>
      </x:c>
      <x:c r="G2447" s="23" t="str">
        <x:f>IF(E2447=F2447,"PASS","FAIL")</x:f>
        <x:v>PASS</x:v>
      </x:c>
    </x:row>
    <x:row r="2448">
      <x:c r="B2448" s="21" t="str">
        <x:v>A02442</x:v>
      </x:c>
      <x:c r="C2448" s="21" t="str">
        <x:v>artifact</x:v>
      </x:c>
      <x:c r="D2448" s="21" t="str">
        <x:v>artifact 699 planning state</x:v>
      </x:c>
      <x:c r="E2448" s="21" t="n">
        <x:f>IF(AND('Artifact Ledger'!Q705="OPEN",'Artifact Ledger'!R705="HOLD"),1,0)</x:f>
        <x:v>1</x:v>
      </x:c>
      <x:c r="F2448" s="21" t="n">
        <x:v>1</x:v>
      </x:c>
      <x:c r="G2448" s="23" t="str">
        <x:f>IF(E2448=F2448,"PASS","FAIL")</x:f>
        <x:v>PASS</x:v>
      </x:c>
    </x:row>
    <x:row r="2449">
      <x:c r="B2449" s="21" t="str">
        <x:v>A02443</x:v>
      </x:c>
      <x:c r="C2449" s="21" t="str">
        <x:v>artifact</x:v>
      </x:c>
      <x:c r="D2449" s="21" t="str">
        <x:v>artifact 700 eligibility equation</x:v>
      </x:c>
      <x:c r="E2449" s="21" t="n">
        <x:f>IF(ABS('Artifact Ledger'!P706-IF(AND('Artifact Ledger'!L706=1,'Artifact Ledger'!M706=1,'Artifact Ledger'!N706=1,'Artifact Ledger'!O706&gt;='Artifact Ledger'!G706),'Artifact Ledger'!K706,0))&lt;0.000001,1,0)</x:f>
        <x:v>1</x:v>
      </x:c>
      <x:c r="F2449" s="21" t="n">
        <x:v>1</x:v>
      </x:c>
      <x:c r="G2449" s="23" t="str">
        <x:f>IF(E2449=F2449,"PASS","FAIL")</x:f>
        <x:v>PASS</x:v>
      </x:c>
    </x:row>
    <x:row r="2450">
      <x:c r="B2450" s="21" t="str">
        <x:v>A02444</x:v>
      </x:c>
      <x:c r="C2450" s="21" t="str">
        <x:v>artifact</x:v>
      </x:c>
      <x:c r="D2450" s="21" t="str">
        <x:v>artifact 700 planning state</x:v>
      </x:c>
      <x:c r="E2450" s="21" t="n">
        <x:f>IF(AND('Artifact Ledger'!Q706="OPEN",'Artifact Ledger'!R706="HOLD"),1,0)</x:f>
        <x:v>1</x:v>
      </x:c>
      <x:c r="F2450" s="21" t="n">
        <x:v>1</x:v>
      </x:c>
      <x:c r="G2450" s="23" t="str">
        <x:f>IF(E2450=F2450,"PASS","FAIL")</x:f>
        <x:v>PASS</x:v>
      </x:c>
    </x:row>
    <x:row r="2451">
      <x:c r="B2451" s="21" t="str">
        <x:v>A02445</x:v>
      </x:c>
      <x:c r="C2451" s="21" t="str">
        <x:v>artifact</x:v>
      </x:c>
      <x:c r="D2451" s="21" t="str">
        <x:v>artifact 701 eligibility equation</x:v>
      </x:c>
      <x:c r="E2451" s="21" t="n">
        <x:f>IF(ABS('Artifact Ledger'!P707-IF(AND('Artifact Ledger'!L707=1,'Artifact Ledger'!M707=1,'Artifact Ledger'!N707=1,'Artifact Ledger'!O707&gt;='Artifact Ledger'!G707),'Artifact Ledger'!K707,0))&lt;0.000001,1,0)</x:f>
        <x:v>1</x:v>
      </x:c>
      <x:c r="F2451" s="21" t="n">
        <x:v>1</x:v>
      </x:c>
      <x:c r="G2451" s="23" t="str">
        <x:f>IF(E2451=F2451,"PASS","FAIL")</x:f>
        <x:v>PASS</x:v>
      </x:c>
    </x:row>
    <x:row r="2452">
      <x:c r="B2452" s="21" t="str">
        <x:v>A02446</x:v>
      </x:c>
      <x:c r="C2452" s="21" t="str">
        <x:v>artifact</x:v>
      </x:c>
      <x:c r="D2452" s="21" t="str">
        <x:v>artifact 701 planning state</x:v>
      </x:c>
      <x:c r="E2452" s="21" t="n">
        <x:f>IF(AND('Artifact Ledger'!Q707="OPEN",'Artifact Ledger'!R707="HOLD"),1,0)</x:f>
        <x:v>1</x:v>
      </x:c>
      <x:c r="F2452" s="21" t="n">
        <x:v>1</x:v>
      </x:c>
      <x:c r="G2452" s="23" t="str">
        <x:f>IF(E2452=F2452,"PASS","FAIL")</x:f>
        <x:v>PASS</x:v>
      </x:c>
    </x:row>
    <x:row r="2453">
      <x:c r="B2453" s="21" t="str">
        <x:v>A02447</x:v>
      </x:c>
      <x:c r="C2453" s="21" t="str">
        <x:v>artifact</x:v>
      </x:c>
      <x:c r="D2453" s="21" t="str">
        <x:v>artifact 702 eligibility equation</x:v>
      </x:c>
      <x:c r="E2453" s="21" t="n">
        <x:f>IF(ABS('Artifact Ledger'!P708-IF(AND('Artifact Ledger'!L708=1,'Artifact Ledger'!M708=1,'Artifact Ledger'!N708=1,'Artifact Ledger'!O708&gt;='Artifact Ledger'!G708),'Artifact Ledger'!K708,0))&lt;0.000001,1,0)</x:f>
        <x:v>1</x:v>
      </x:c>
      <x:c r="F2453" s="21" t="n">
        <x:v>1</x:v>
      </x:c>
      <x:c r="G2453" s="23" t="str">
        <x:f>IF(E2453=F2453,"PASS","FAIL")</x:f>
        <x:v>PASS</x:v>
      </x:c>
    </x:row>
    <x:row r="2454">
      <x:c r="B2454" s="21" t="str">
        <x:v>A02448</x:v>
      </x:c>
      <x:c r="C2454" s="21" t="str">
        <x:v>artifact</x:v>
      </x:c>
      <x:c r="D2454" s="21" t="str">
        <x:v>artifact 702 planning state</x:v>
      </x:c>
      <x:c r="E2454" s="21" t="n">
        <x:f>IF(AND('Artifact Ledger'!Q708="OPEN",'Artifact Ledger'!R708="HOLD"),1,0)</x:f>
        <x:v>1</x:v>
      </x:c>
      <x:c r="F2454" s="21" t="n">
        <x:v>1</x:v>
      </x:c>
      <x:c r="G2454" s="23" t="str">
        <x:f>IF(E2454=F2454,"PASS","FAIL")</x:f>
        <x:v>PASS</x:v>
      </x:c>
    </x:row>
    <x:row r="2455">
      <x:c r="B2455" s="21" t="str">
        <x:v>A02449</x:v>
      </x:c>
      <x:c r="C2455" s="21" t="str">
        <x:v>artifact</x:v>
      </x:c>
      <x:c r="D2455" s="21" t="str">
        <x:v>artifact 703 eligibility equation</x:v>
      </x:c>
      <x:c r="E2455" s="21" t="n">
        <x:f>IF(ABS('Artifact Ledger'!P709-IF(AND('Artifact Ledger'!L709=1,'Artifact Ledger'!M709=1,'Artifact Ledger'!N709=1,'Artifact Ledger'!O709&gt;='Artifact Ledger'!G709),'Artifact Ledger'!K709,0))&lt;0.000001,1,0)</x:f>
        <x:v>1</x:v>
      </x:c>
      <x:c r="F2455" s="21" t="n">
        <x:v>1</x:v>
      </x:c>
      <x:c r="G2455" s="23" t="str">
        <x:f>IF(E2455=F2455,"PASS","FAIL")</x:f>
        <x:v>PASS</x:v>
      </x:c>
    </x:row>
    <x:row r="2456">
      <x:c r="B2456" s="21" t="str">
        <x:v>A02450</x:v>
      </x:c>
      <x:c r="C2456" s="21" t="str">
        <x:v>artifact</x:v>
      </x:c>
      <x:c r="D2456" s="21" t="str">
        <x:v>artifact 703 planning state</x:v>
      </x:c>
      <x:c r="E2456" s="21" t="n">
        <x:f>IF(AND('Artifact Ledger'!Q709="OPEN",'Artifact Ledger'!R709="HOLD"),1,0)</x:f>
        <x:v>1</x:v>
      </x:c>
      <x:c r="F2456" s="21" t="n">
        <x:v>1</x:v>
      </x:c>
      <x:c r="G2456" s="23" t="str">
        <x:f>IF(E2456=F2456,"PASS","FAIL")</x:f>
        <x:v>PASS</x:v>
      </x:c>
    </x:row>
    <x:row r="2457">
      <x:c r="B2457" s="21" t="str">
        <x:v>A02451</x:v>
      </x:c>
      <x:c r="C2457" s="21" t="str">
        <x:v>artifact</x:v>
      </x:c>
      <x:c r="D2457" s="21" t="str">
        <x:v>artifact 704 eligibility equation</x:v>
      </x:c>
      <x:c r="E2457" s="21" t="n">
        <x:f>IF(ABS('Artifact Ledger'!P710-IF(AND('Artifact Ledger'!L710=1,'Artifact Ledger'!M710=1,'Artifact Ledger'!N710=1,'Artifact Ledger'!O710&gt;='Artifact Ledger'!G710),'Artifact Ledger'!K710,0))&lt;0.000001,1,0)</x:f>
        <x:v>1</x:v>
      </x:c>
      <x:c r="F2457" s="21" t="n">
        <x:v>1</x:v>
      </x:c>
      <x:c r="G2457" s="23" t="str">
        <x:f>IF(E2457=F2457,"PASS","FAIL")</x:f>
        <x:v>PASS</x:v>
      </x:c>
    </x:row>
    <x:row r="2458">
      <x:c r="B2458" s="21" t="str">
        <x:v>A02452</x:v>
      </x:c>
      <x:c r="C2458" s="21" t="str">
        <x:v>artifact</x:v>
      </x:c>
      <x:c r="D2458" s="21" t="str">
        <x:v>artifact 704 planning state</x:v>
      </x:c>
      <x:c r="E2458" s="21" t="n">
        <x:f>IF(AND('Artifact Ledger'!Q710="OPEN",'Artifact Ledger'!R710="HOLD"),1,0)</x:f>
        <x:v>1</x:v>
      </x:c>
      <x:c r="F2458" s="21" t="n">
        <x:v>1</x:v>
      </x:c>
      <x:c r="G2458" s="23" t="str">
        <x:f>IF(E2458=F2458,"PASS","FAIL")</x:f>
        <x:v>PASS</x:v>
      </x:c>
    </x:row>
    <x:row r="2459">
      <x:c r="B2459" s="21" t="str">
        <x:v>A02453</x:v>
      </x:c>
      <x:c r="C2459" s="21" t="str">
        <x:v>artifact</x:v>
      </x:c>
      <x:c r="D2459" s="21" t="str">
        <x:v>artifact 705 eligibility equation</x:v>
      </x:c>
      <x:c r="E2459" s="21" t="n">
        <x:f>IF(ABS('Artifact Ledger'!P711-IF(AND('Artifact Ledger'!L711=1,'Artifact Ledger'!M711=1,'Artifact Ledger'!N711=1,'Artifact Ledger'!O711&gt;='Artifact Ledger'!G711),'Artifact Ledger'!K711,0))&lt;0.000001,1,0)</x:f>
        <x:v>1</x:v>
      </x:c>
      <x:c r="F2459" s="21" t="n">
        <x:v>1</x:v>
      </x:c>
      <x:c r="G2459" s="23" t="str">
        <x:f>IF(E2459=F2459,"PASS","FAIL")</x:f>
        <x:v>PASS</x:v>
      </x:c>
    </x:row>
    <x:row r="2460">
      <x:c r="B2460" s="21" t="str">
        <x:v>A02454</x:v>
      </x:c>
      <x:c r="C2460" s="21" t="str">
        <x:v>artifact</x:v>
      </x:c>
      <x:c r="D2460" s="21" t="str">
        <x:v>artifact 705 planning state</x:v>
      </x:c>
      <x:c r="E2460" s="21" t="n">
        <x:f>IF(AND('Artifact Ledger'!Q711="OPEN",'Artifact Ledger'!R711="HOLD"),1,0)</x:f>
        <x:v>1</x:v>
      </x:c>
      <x:c r="F2460" s="21" t="n">
        <x:v>1</x:v>
      </x:c>
      <x:c r="G2460" s="23" t="str">
        <x:f>IF(E2460=F2460,"PASS","FAIL")</x:f>
        <x:v>PASS</x:v>
      </x:c>
    </x:row>
    <x:row r="2461">
      <x:c r="B2461" s="21" t="str">
        <x:v>A02455</x:v>
      </x:c>
      <x:c r="C2461" s="21" t="str">
        <x:v>artifact</x:v>
      </x:c>
      <x:c r="D2461" s="21" t="str">
        <x:v>artifact 706 eligibility equation</x:v>
      </x:c>
      <x:c r="E2461" s="21" t="n">
        <x:f>IF(ABS('Artifact Ledger'!P712-IF(AND('Artifact Ledger'!L712=1,'Artifact Ledger'!M712=1,'Artifact Ledger'!N712=1,'Artifact Ledger'!O712&gt;='Artifact Ledger'!G712),'Artifact Ledger'!K712,0))&lt;0.000001,1,0)</x:f>
        <x:v>1</x:v>
      </x:c>
      <x:c r="F2461" s="21" t="n">
        <x:v>1</x:v>
      </x:c>
      <x:c r="G2461" s="23" t="str">
        <x:f>IF(E2461=F2461,"PASS","FAIL")</x:f>
        <x:v>PASS</x:v>
      </x:c>
    </x:row>
    <x:row r="2462">
      <x:c r="B2462" s="21" t="str">
        <x:v>A02456</x:v>
      </x:c>
      <x:c r="C2462" s="21" t="str">
        <x:v>artifact</x:v>
      </x:c>
      <x:c r="D2462" s="21" t="str">
        <x:v>artifact 706 planning state</x:v>
      </x:c>
      <x:c r="E2462" s="21" t="n">
        <x:f>IF(AND('Artifact Ledger'!Q712="OPEN",'Artifact Ledger'!R712="HOLD"),1,0)</x:f>
        <x:v>1</x:v>
      </x:c>
      <x:c r="F2462" s="21" t="n">
        <x:v>1</x:v>
      </x:c>
      <x:c r="G2462" s="23" t="str">
        <x:f>IF(E2462=F2462,"PASS","FAIL")</x:f>
        <x:v>PASS</x:v>
      </x:c>
    </x:row>
    <x:row r="2463">
      <x:c r="B2463" s="21" t="str">
        <x:v>A02457</x:v>
      </x:c>
      <x:c r="C2463" s="21" t="str">
        <x:v>artifact</x:v>
      </x:c>
      <x:c r="D2463" s="21" t="str">
        <x:v>artifact 707 eligibility equation</x:v>
      </x:c>
      <x:c r="E2463" s="21" t="n">
        <x:f>IF(ABS('Artifact Ledger'!P713-IF(AND('Artifact Ledger'!L713=1,'Artifact Ledger'!M713=1,'Artifact Ledger'!N713=1,'Artifact Ledger'!O713&gt;='Artifact Ledger'!G713),'Artifact Ledger'!K713,0))&lt;0.000001,1,0)</x:f>
        <x:v>1</x:v>
      </x:c>
      <x:c r="F2463" s="21" t="n">
        <x:v>1</x:v>
      </x:c>
      <x:c r="G2463" s="23" t="str">
        <x:f>IF(E2463=F2463,"PASS","FAIL")</x:f>
        <x:v>PASS</x:v>
      </x:c>
    </x:row>
    <x:row r="2464">
      <x:c r="B2464" s="21" t="str">
        <x:v>A02458</x:v>
      </x:c>
      <x:c r="C2464" s="21" t="str">
        <x:v>artifact</x:v>
      </x:c>
      <x:c r="D2464" s="21" t="str">
        <x:v>artifact 707 planning state</x:v>
      </x:c>
      <x:c r="E2464" s="21" t="n">
        <x:f>IF(AND('Artifact Ledger'!Q713="OPEN",'Artifact Ledger'!R713="HOLD"),1,0)</x:f>
        <x:v>1</x:v>
      </x:c>
      <x:c r="F2464" s="21" t="n">
        <x:v>1</x:v>
      </x:c>
      <x:c r="G2464" s="23" t="str">
        <x:f>IF(E2464=F2464,"PASS","FAIL")</x:f>
        <x:v>PASS</x:v>
      </x:c>
    </x:row>
    <x:row r="2465">
      <x:c r="B2465" s="21" t="str">
        <x:v>A02459</x:v>
      </x:c>
      <x:c r="C2465" s="21" t="str">
        <x:v>artifact</x:v>
      </x:c>
      <x:c r="D2465" s="21" t="str">
        <x:v>artifact 708 eligibility equation</x:v>
      </x:c>
      <x:c r="E2465" s="21" t="n">
        <x:f>IF(ABS('Artifact Ledger'!P714-IF(AND('Artifact Ledger'!L714=1,'Artifact Ledger'!M714=1,'Artifact Ledger'!N714=1,'Artifact Ledger'!O714&gt;='Artifact Ledger'!G714),'Artifact Ledger'!K714,0))&lt;0.000001,1,0)</x:f>
        <x:v>1</x:v>
      </x:c>
      <x:c r="F2465" s="21" t="n">
        <x:v>1</x:v>
      </x:c>
      <x:c r="G2465" s="23" t="str">
        <x:f>IF(E2465=F2465,"PASS","FAIL")</x:f>
        <x:v>PASS</x:v>
      </x:c>
    </x:row>
    <x:row r="2466">
      <x:c r="B2466" s="21" t="str">
        <x:v>A02460</x:v>
      </x:c>
      <x:c r="C2466" s="21" t="str">
        <x:v>artifact</x:v>
      </x:c>
      <x:c r="D2466" s="21" t="str">
        <x:v>artifact 708 planning state</x:v>
      </x:c>
      <x:c r="E2466" s="21" t="n">
        <x:f>IF(AND('Artifact Ledger'!Q714="OPEN",'Artifact Ledger'!R714="HOLD"),1,0)</x:f>
        <x:v>1</x:v>
      </x:c>
      <x:c r="F2466" s="21" t="n">
        <x:v>1</x:v>
      </x:c>
      <x:c r="G2466" s="23" t="str">
        <x:f>IF(E2466=F2466,"PASS","FAIL")</x:f>
        <x:v>PASS</x:v>
      </x:c>
    </x:row>
    <x:row r="2467">
      <x:c r="B2467" s="21" t="str">
        <x:v>A02461</x:v>
      </x:c>
      <x:c r="C2467" s="21" t="str">
        <x:v>artifact</x:v>
      </x:c>
      <x:c r="D2467" s="21" t="str">
        <x:v>artifact 709 eligibility equation</x:v>
      </x:c>
      <x:c r="E2467" s="21" t="n">
        <x:f>IF(ABS('Artifact Ledger'!P715-IF(AND('Artifact Ledger'!L715=1,'Artifact Ledger'!M715=1,'Artifact Ledger'!N715=1,'Artifact Ledger'!O715&gt;='Artifact Ledger'!G715),'Artifact Ledger'!K715,0))&lt;0.000001,1,0)</x:f>
        <x:v>1</x:v>
      </x:c>
      <x:c r="F2467" s="21" t="n">
        <x:v>1</x:v>
      </x:c>
      <x:c r="G2467" s="23" t="str">
        <x:f>IF(E2467=F2467,"PASS","FAIL")</x:f>
        <x:v>PASS</x:v>
      </x:c>
    </x:row>
    <x:row r="2468">
      <x:c r="B2468" s="21" t="str">
        <x:v>A02462</x:v>
      </x:c>
      <x:c r="C2468" s="21" t="str">
        <x:v>artifact</x:v>
      </x:c>
      <x:c r="D2468" s="21" t="str">
        <x:v>artifact 709 planning state</x:v>
      </x:c>
      <x:c r="E2468" s="21" t="n">
        <x:f>IF(AND('Artifact Ledger'!Q715="OPEN",'Artifact Ledger'!R715="HOLD"),1,0)</x:f>
        <x:v>1</x:v>
      </x:c>
      <x:c r="F2468" s="21" t="n">
        <x:v>1</x:v>
      </x:c>
      <x:c r="G2468" s="23" t="str">
        <x:f>IF(E2468=F2468,"PASS","FAIL")</x:f>
        <x:v>PASS</x:v>
      </x:c>
    </x:row>
    <x:row r="2469">
      <x:c r="B2469" s="21" t="str">
        <x:v>A02463</x:v>
      </x:c>
      <x:c r="C2469" s="21" t="str">
        <x:v>artifact</x:v>
      </x:c>
      <x:c r="D2469" s="21" t="str">
        <x:v>artifact 710 eligibility equation</x:v>
      </x:c>
      <x:c r="E2469" s="21" t="n">
        <x:f>IF(ABS('Artifact Ledger'!P716-IF(AND('Artifact Ledger'!L716=1,'Artifact Ledger'!M716=1,'Artifact Ledger'!N716=1,'Artifact Ledger'!O716&gt;='Artifact Ledger'!G716),'Artifact Ledger'!K716,0))&lt;0.000001,1,0)</x:f>
        <x:v>1</x:v>
      </x:c>
      <x:c r="F2469" s="21" t="n">
        <x:v>1</x:v>
      </x:c>
      <x:c r="G2469" s="23" t="str">
        <x:f>IF(E2469=F2469,"PASS","FAIL")</x:f>
        <x:v>PASS</x:v>
      </x:c>
    </x:row>
    <x:row r="2470">
      <x:c r="B2470" s="21" t="str">
        <x:v>A02464</x:v>
      </x:c>
      <x:c r="C2470" s="21" t="str">
        <x:v>artifact</x:v>
      </x:c>
      <x:c r="D2470" s="21" t="str">
        <x:v>artifact 710 planning state</x:v>
      </x:c>
      <x:c r="E2470" s="21" t="n">
        <x:f>IF(AND('Artifact Ledger'!Q716="OPEN",'Artifact Ledger'!R716="HOLD"),1,0)</x:f>
        <x:v>1</x:v>
      </x:c>
      <x:c r="F2470" s="21" t="n">
        <x:v>1</x:v>
      </x:c>
      <x:c r="G2470" s="23" t="str">
        <x:f>IF(E2470=F2470,"PASS","FAIL")</x:f>
        <x:v>PASS</x:v>
      </x:c>
    </x:row>
    <x:row r="2471">
      <x:c r="B2471" s="21" t="str">
        <x:v>A02465</x:v>
      </x:c>
      <x:c r="C2471" s="21" t="str">
        <x:v>artifact</x:v>
      </x:c>
      <x:c r="D2471" s="21" t="str">
        <x:v>artifact 711 eligibility equation</x:v>
      </x:c>
      <x:c r="E2471" s="21" t="n">
        <x:f>IF(ABS('Artifact Ledger'!P717-IF(AND('Artifact Ledger'!L717=1,'Artifact Ledger'!M717=1,'Artifact Ledger'!N717=1,'Artifact Ledger'!O717&gt;='Artifact Ledger'!G717),'Artifact Ledger'!K717,0))&lt;0.000001,1,0)</x:f>
        <x:v>1</x:v>
      </x:c>
      <x:c r="F2471" s="21" t="n">
        <x:v>1</x:v>
      </x:c>
      <x:c r="G2471" s="23" t="str">
        <x:f>IF(E2471=F2471,"PASS","FAIL")</x:f>
        <x:v>PASS</x:v>
      </x:c>
    </x:row>
    <x:row r="2472">
      <x:c r="B2472" s="21" t="str">
        <x:v>A02466</x:v>
      </x:c>
      <x:c r="C2472" s="21" t="str">
        <x:v>artifact</x:v>
      </x:c>
      <x:c r="D2472" s="21" t="str">
        <x:v>artifact 711 planning state</x:v>
      </x:c>
      <x:c r="E2472" s="21" t="n">
        <x:f>IF(AND('Artifact Ledger'!Q717="OPEN",'Artifact Ledger'!R717="HOLD"),1,0)</x:f>
        <x:v>1</x:v>
      </x:c>
      <x:c r="F2472" s="21" t="n">
        <x:v>1</x:v>
      </x:c>
      <x:c r="G2472" s="23" t="str">
        <x:f>IF(E2472=F2472,"PASS","FAIL")</x:f>
        <x:v>PASS</x:v>
      </x:c>
    </x:row>
    <x:row r="2473">
      <x:c r="B2473" s="21" t="str">
        <x:v>A02467</x:v>
      </x:c>
      <x:c r="C2473" s="21" t="str">
        <x:v>artifact</x:v>
      </x:c>
      <x:c r="D2473" s="21" t="str">
        <x:v>artifact 712 eligibility equation</x:v>
      </x:c>
      <x:c r="E2473" s="21" t="n">
        <x:f>IF(ABS('Artifact Ledger'!P718-IF(AND('Artifact Ledger'!L718=1,'Artifact Ledger'!M718=1,'Artifact Ledger'!N718=1,'Artifact Ledger'!O718&gt;='Artifact Ledger'!G718),'Artifact Ledger'!K718,0))&lt;0.000001,1,0)</x:f>
        <x:v>1</x:v>
      </x:c>
      <x:c r="F2473" s="21" t="n">
        <x:v>1</x:v>
      </x:c>
      <x:c r="G2473" s="23" t="str">
        <x:f>IF(E2473=F2473,"PASS","FAIL")</x:f>
        <x:v>PASS</x:v>
      </x:c>
    </x:row>
    <x:row r="2474">
      <x:c r="B2474" s="21" t="str">
        <x:v>A02468</x:v>
      </x:c>
      <x:c r="C2474" s="21" t="str">
        <x:v>artifact</x:v>
      </x:c>
      <x:c r="D2474" s="21" t="str">
        <x:v>artifact 712 planning state</x:v>
      </x:c>
      <x:c r="E2474" s="21" t="n">
        <x:f>IF(AND('Artifact Ledger'!Q718="OPEN",'Artifact Ledger'!R718="HOLD"),1,0)</x:f>
        <x:v>1</x:v>
      </x:c>
      <x:c r="F2474" s="21" t="n">
        <x:v>1</x:v>
      </x:c>
      <x:c r="G2474" s="23" t="str">
        <x:f>IF(E2474=F2474,"PASS","FAIL")</x:f>
        <x:v>PASS</x:v>
      </x:c>
    </x:row>
    <x:row r="2475">
      <x:c r="B2475" s="21" t="str">
        <x:v>A02469</x:v>
      </x:c>
      <x:c r="C2475" s="21" t="str">
        <x:v>artifact</x:v>
      </x:c>
      <x:c r="D2475" s="21" t="str">
        <x:v>artifact 713 eligibility equation</x:v>
      </x:c>
      <x:c r="E2475" s="21" t="n">
        <x:f>IF(ABS('Artifact Ledger'!P719-IF(AND('Artifact Ledger'!L719=1,'Artifact Ledger'!M719=1,'Artifact Ledger'!N719=1,'Artifact Ledger'!O719&gt;='Artifact Ledger'!G719),'Artifact Ledger'!K719,0))&lt;0.000001,1,0)</x:f>
        <x:v>1</x:v>
      </x:c>
      <x:c r="F2475" s="21" t="n">
        <x:v>1</x:v>
      </x:c>
      <x:c r="G2475" s="23" t="str">
        <x:f>IF(E2475=F2475,"PASS","FAIL")</x:f>
        <x:v>PASS</x:v>
      </x:c>
    </x:row>
    <x:row r="2476">
      <x:c r="B2476" s="21" t="str">
        <x:v>A02470</x:v>
      </x:c>
      <x:c r="C2476" s="21" t="str">
        <x:v>artifact</x:v>
      </x:c>
      <x:c r="D2476" s="21" t="str">
        <x:v>artifact 713 planning state</x:v>
      </x:c>
      <x:c r="E2476" s="21" t="n">
        <x:f>IF(AND('Artifact Ledger'!Q719="OPEN",'Artifact Ledger'!R719="HOLD"),1,0)</x:f>
        <x:v>1</x:v>
      </x:c>
      <x:c r="F2476" s="21" t="n">
        <x:v>1</x:v>
      </x:c>
      <x:c r="G2476" s="23" t="str">
        <x:f>IF(E2476=F2476,"PASS","FAIL")</x:f>
        <x:v>PASS</x:v>
      </x:c>
    </x:row>
    <x:row r="2477">
      <x:c r="B2477" s="21" t="str">
        <x:v>A02471</x:v>
      </x:c>
      <x:c r="C2477" s="21" t="str">
        <x:v>artifact</x:v>
      </x:c>
      <x:c r="D2477" s="21" t="str">
        <x:v>artifact 714 eligibility equation</x:v>
      </x:c>
      <x:c r="E2477" s="21" t="n">
        <x:f>IF(ABS('Artifact Ledger'!P720-IF(AND('Artifact Ledger'!L720=1,'Artifact Ledger'!M720=1,'Artifact Ledger'!N720=1,'Artifact Ledger'!O720&gt;='Artifact Ledger'!G720),'Artifact Ledger'!K720,0))&lt;0.000001,1,0)</x:f>
        <x:v>1</x:v>
      </x:c>
      <x:c r="F2477" s="21" t="n">
        <x:v>1</x:v>
      </x:c>
      <x:c r="G2477" s="23" t="str">
        <x:f>IF(E2477=F2477,"PASS","FAIL")</x:f>
        <x:v>PASS</x:v>
      </x:c>
    </x:row>
    <x:row r="2478">
      <x:c r="B2478" s="21" t="str">
        <x:v>A02472</x:v>
      </x:c>
      <x:c r="C2478" s="21" t="str">
        <x:v>artifact</x:v>
      </x:c>
      <x:c r="D2478" s="21" t="str">
        <x:v>artifact 714 planning state</x:v>
      </x:c>
      <x:c r="E2478" s="21" t="n">
        <x:f>IF(AND('Artifact Ledger'!Q720="OPEN",'Artifact Ledger'!R720="HOLD"),1,0)</x:f>
        <x:v>1</x:v>
      </x:c>
      <x:c r="F2478" s="21" t="n">
        <x:v>1</x:v>
      </x:c>
      <x:c r="G2478" s="23" t="str">
        <x:f>IF(E2478=F2478,"PASS","FAIL")</x:f>
        <x:v>PASS</x:v>
      </x:c>
    </x:row>
    <x:row r="2479">
      <x:c r="B2479" s="21" t="str">
        <x:v>A02473</x:v>
      </x:c>
      <x:c r="C2479" s="21" t="str">
        <x:v>artifact</x:v>
      </x:c>
      <x:c r="D2479" s="21" t="str">
        <x:v>artifact 715 eligibility equation</x:v>
      </x:c>
      <x:c r="E2479" s="21" t="n">
        <x:f>IF(ABS('Artifact Ledger'!P721-IF(AND('Artifact Ledger'!L721=1,'Artifact Ledger'!M721=1,'Artifact Ledger'!N721=1,'Artifact Ledger'!O721&gt;='Artifact Ledger'!G721),'Artifact Ledger'!K721,0))&lt;0.000001,1,0)</x:f>
        <x:v>1</x:v>
      </x:c>
      <x:c r="F2479" s="21" t="n">
        <x:v>1</x:v>
      </x:c>
      <x:c r="G2479" s="23" t="str">
        <x:f>IF(E2479=F2479,"PASS","FAIL")</x:f>
        <x:v>PASS</x:v>
      </x:c>
    </x:row>
    <x:row r="2480">
      <x:c r="B2480" s="21" t="str">
        <x:v>A02474</x:v>
      </x:c>
      <x:c r="C2480" s="21" t="str">
        <x:v>artifact</x:v>
      </x:c>
      <x:c r="D2480" s="21" t="str">
        <x:v>artifact 715 planning state</x:v>
      </x:c>
      <x:c r="E2480" s="21" t="n">
        <x:f>IF(AND('Artifact Ledger'!Q721="OPEN",'Artifact Ledger'!R721="HOLD"),1,0)</x:f>
        <x:v>1</x:v>
      </x:c>
      <x:c r="F2480" s="21" t="n">
        <x:v>1</x:v>
      </x:c>
      <x:c r="G2480" s="23" t="str">
        <x:f>IF(E2480=F2480,"PASS","FAIL")</x:f>
        <x:v>PASS</x:v>
      </x:c>
    </x:row>
    <x:row r="2481">
      <x:c r="B2481" s="21" t="str">
        <x:v>A02475</x:v>
      </x:c>
      <x:c r="C2481" s="21" t="str">
        <x:v>artifact</x:v>
      </x:c>
      <x:c r="D2481" s="21" t="str">
        <x:v>artifact 716 eligibility equation</x:v>
      </x:c>
      <x:c r="E2481" s="21" t="n">
        <x:f>IF(ABS('Artifact Ledger'!P722-IF(AND('Artifact Ledger'!L722=1,'Artifact Ledger'!M722=1,'Artifact Ledger'!N722=1,'Artifact Ledger'!O722&gt;='Artifact Ledger'!G722),'Artifact Ledger'!K722,0))&lt;0.000001,1,0)</x:f>
        <x:v>1</x:v>
      </x:c>
      <x:c r="F2481" s="21" t="n">
        <x:v>1</x:v>
      </x:c>
      <x:c r="G2481" s="23" t="str">
        <x:f>IF(E2481=F2481,"PASS","FAIL")</x:f>
        <x:v>PASS</x:v>
      </x:c>
    </x:row>
    <x:row r="2482">
      <x:c r="B2482" s="21" t="str">
        <x:v>A02476</x:v>
      </x:c>
      <x:c r="C2482" s="21" t="str">
        <x:v>artifact</x:v>
      </x:c>
      <x:c r="D2482" s="21" t="str">
        <x:v>artifact 716 planning state</x:v>
      </x:c>
      <x:c r="E2482" s="21" t="n">
        <x:f>IF(AND('Artifact Ledger'!Q722="OPEN",'Artifact Ledger'!R722="HOLD"),1,0)</x:f>
        <x:v>1</x:v>
      </x:c>
      <x:c r="F2482" s="21" t="n">
        <x:v>1</x:v>
      </x:c>
      <x:c r="G2482" s="23" t="str">
        <x:f>IF(E2482=F2482,"PASS","FAIL")</x:f>
        <x:v>PASS</x:v>
      </x:c>
    </x:row>
    <x:row r="2483">
      <x:c r="B2483" s="21" t="str">
        <x:v>A02477</x:v>
      </x:c>
      <x:c r="C2483" s="21" t="str">
        <x:v>artifact</x:v>
      </x:c>
      <x:c r="D2483" s="21" t="str">
        <x:v>artifact 717 eligibility equation</x:v>
      </x:c>
      <x:c r="E2483" s="21" t="n">
        <x:f>IF(ABS('Artifact Ledger'!P723-IF(AND('Artifact Ledger'!L723=1,'Artifact Ledger'!M723=1,'Artifact Ledger'!N723=1,'Artifact Ledger'!O723&gt;='Artifact Ledger'!G723),'Artifact Ledger'!K723,0))&lt;0.000001,1,0)</x:f>
        <x:v>1</x:v>
      </x:c>
      <x:c r="F2483" s="21" t="n">
        <x:v>1</x:v>
      </x:c>
      <x:c r="G2483" s="23" t="str">
        <x:f>IF(E2483=F2483,"PASS","FAIL")</x:f>
        <x:v>PASS</x:v>
      </x:c>
    </x:row>
    <x:row r="2484">
      <x:c r="B2484" s="21" t="str">
        <x:v>A02478</x:v>
      </x:c>
      <x:c r="C2484" s="21" t="str">
        <x:v>artifact</x:v>
      </x:c>
      <x:c r="D2484" s="21" t="str">
        <x:v>artifact 717 planning state</x:v>
      </x:c>
      <x:c r="E2484" s="21" t="n">
        <x:f>IF(AND('Artifact Ledger'!Q723="OPEN",'Artifact Ledger'!R723="HOLD"),1,0)</x:f>
        <x:v>1</x:v>
      </x:c>
      <x:c r="F2484" s="21" t="n">
        <x:v>1</x:v>
      </x:c>
      <x:c r="G2484" s="23" t="str">
        <x:f>IF(E2484=F2484,"PASS","FAIL")</x:f>
        <x:v>PASS</x:v>
      </x:c>
    </x:row>
    <x:row r="2485">
      <x:c r="B2485" s="21" t="str">
        <x:v>A02479</x:v>
      </x:c>
      <x:c r="C2485" s="21" t="str">
        <x:v>artifact</x:v>
      </x:c>
      <x:c r="D2485" s="21" t="str">
        <x:v>artifact 718 eligibility equation</x:v>
      </x:c>
      <x:c r="E2485" s="21" t="n">
        <x:f>IF(ABS('Artifact Ledger'!P724-IF(AND('Artifact Ledger'!L724=1,'Artifact Ledger'!M724=1,'Artifact Ledger'!N724=1,'Artifact Ledger'!O724&gt;='Artifact Ledger'!G724),'Artifact Ledger'!K724,0))&lt;0.000001,1,0)</x:f>
        <x:v>1</x:v>
      </x:c>
      <x:c r="F2485" s="21" t="n">
        <x:v>1</x:v>
      </x:c>
      <x:c r="G2485" s="23" t="str">
        <x:f>IF(E2485=F2485,"PASS","FAIL")</x:f>
        <x:v>PASS</x:v>
      </x:c>
    </x:row>
    <x:row r="2486">
      <x:c r="B2486" s="21" t="str">
        <x:v>A02480</x:v>
      </x:c>
      <x:c r="C2486" s="21" t="str">
        <x:v>artifact</x:v>
      </x:c>
      <x:c r="D2486" s="21" t="str">
        <x:v>artifact 718 planning state</x:v>
      </x:c>
      <x:c r="E2486" s="21" t="n">
        <x:f>IF(AND('Artifact Ledger'!Q724="OPEN",'Artifact Ledger'!R724="HOLD"),1,0)</x:f>
        <x:v>1</x:v>
      </x:c>
      <x:c r="F2486" s="21" t="n">
        <x:v>1</x:v>
      </x:c>
      <x:c r="G2486" s="23" t="str">
        <x:f>IF(E2486=F2486,"PASS","FAIL")</x:f>
        <x:v>PASS</x:v>
      </x:c>
    </x:row>
    <x:row r="2487">
      <x:c r="B2487" s="21" t="str">
        <x:v>A02481</x:v>
      </x:c>
      <x:c r="C2487" s="21" t="str">
        <x:v>artifact</x:v>
      </x:c>
      <x:c r="D2487" s="21" t="str">
        <x:v>artifact 719 eligibility equation</x:v>
      </x:c>
      <x:c r="E2487" s="21" t="n">
        <x:f>IF(ABS('Artifact Ledger'!P725-IF(AND('Artifact Ledger'!L725=1,'Artifact Ledger'!M725=1,'Artifact Ledger'!N725=1,'Artifact Ledger'!O725&gt;='Artifact Ledger'!G725),'Artifact Ledger'!K725,0))&lt;0.000001,1,0)</x:f>
        <x:v>1</x:v>
      </x:c>
      <x:c r="F2487" s="21" t="n">
        <x:v>1</x:v>
      </x:c>
      <x:c r="G2487" s="23" t="str">
        <x:f>IF(E2487=F2487,"PASS","FAIL")</x:f>
        <x:v>PASS</x:v>
      </x:c>
    </x:row>
    <x:row r="2488">
      <x:c r="B2488" s="21" t="str">
        <x:v>A02482</x:v>
      </x:c>
      <x:c r="C2488" s="21" t="str">
        <x:v>artifact</x:v>
      </x:c>
      <x:c r="D2488" s="21" t="str">
        <x:v>artifact 719 planning state</x:v>
      </x:c>
      <x:c r="E2488" s="21" t="n">
        <x:f>IF(AND('Artifact Ledger'!Q725="OPEN",'Artifact Ledger'!R725="HOLD"),1,0)</x:f>
        <x:v>1</x:v>
      </x:c>
      <x:c r="F2488" s="21" t="n">
        <x:v>1</x:v>
      </x:c>
      <x:c r="G2488" s="23" t="str">
        <x:f>IF(E2488=F2488,"PASS","FAIL")</x:f>
        <x:v>PASS</x:v>
      </x:c>
    </x:row>
    <x:row r="2489">
      <x:c r="B2489" s="21" t="str">
        <x:v>A02483</x:v>
      </x:c>
      <x:c r="C2489" s="21" t="str">
        <x:v>artifact</x:v>
      </x:c>
      <x:c r="D2489" s="21" t="str">
        <x:v>artifact 720 eligibility equation</x:v>
      </x:c>
      <x:c r="E2489" s="21" t="n">
        <x:f>IF(ABS('Artifact Ledger'!P726-IF(AND('Artifact Ledger'!L726=1,'Artifact Ledger'!M726=1,'Artifact Ledger'!N726=1,'Artifact Ledger'!O726&gt;='Artifact Ledger'!G726),'Artifact Ledger'!K726,0))&lt;0.000001,1,0)</x:f>
        <x:v>1</x:v>
      </x:c>
      <x:c r="F2489" s="21" t="n">
        <x:v>1</x:v>
      </x:c>
      <x:c r="G2489" s="23" t="str">
        <x:f>IF(E2489=F2489,"PASS","FAIL")</x:f>
        <x:v>PASS</x:v>
      </x:c>
    </x:row>
    <x:row r="2490">
      <x:c r="B2490" s="21" t="str">
        <x:v>A02484</x:v>
      </x:c>
      <x:c r="C2490" s="21" t="str">
        <x:v>artifact</x:v>
      </x:c>
      <x:c r="D2490" s="21" t="str">
        <x:v>artifact 720 planning state</x:v>
      </x:c>
      <x:c r="E2490" s="21" t="n">
        <x:f>IF(AND('Artifact Ledger'!Q726="OPEN",'Artifact Ledger'!R726="HOLD"),1,0)</x:f>
        <x:v>1</x:v>
      </x:c>
      <x:c r="F2490" s="21" t="n">
        <x:v>1</x:v>
      </x:c>
      <x:c r="G2490" s="23" t="str">
        <x:f>IF(E2490=F2490,"PASS","FAIL")</x:f>
        <x:v>PASS</x:v>
      </x:c>
    </x:row>
    <x:row r="2491">
      <x:c r="B2491" s="21" t="str">
        <x:v>A02485</x:v>
      </x:c>
      <x:c r="C2491" s="21" t="str">
        <x:v>artifact</x:v>
      </x:c>
      <x:c r="D2491" s="21" t="str">
        <x:v>artifact 721 eligibility equation</x:v>
      </x:c>
      <x:c r="E2491" s="21" t="n">
        <x:f>IF(ABS('Artifact Ledger'!P727-IF(AND('Artifact Ledger'!L727=1,'Artifact Ledger'!M727=1,'Artifact Ledger'!N727=1,'Artifact Ledger'!O727&gt;='Artifact Ledger'!G727),'Artifact Ledger'!K727,0))&lt;0.000001,1,0)</x:f>
        <x:v>1</x:v>
      </x:c>
      <x:c r="F2491" s="21" t="n">
        <x:v>1</x:v>
      </x:c>
      <x:c r="G2491" s="23" t="str">
        <x:f>IF(E2491=F2491,"PASS","FAIL")</x:f>
        <x:v>PASS</x:v>
      </x:c>
    </x:row>
    <x:row r="2492">
      <x:c r="B2492" s="21" t="str">
        <x:v>A02486</x:v>
      </x:c>
      <x:c r="C2492" s="21" t="str">
        <x:v>artifact</x:v>
      </x:c>
      <x:c r="D2492" s="21" t="str">
        <x:v>artifact 721 planning state</x:v>
      </x:c>
      <x:c r="E2492" s="21" t="n">
        <x:f>IF(AND('Artifact Ledger'!Q727="OPEN",'Artifact Ledger'!R727="HOLD"),1,0)</x:f>
        <x:v>1</x:v>
      </x:c>
      <x:c r="F2492" s="21" t="n">
        <x:v>1</x:v>
      </x:c>
      <x:c r="G2492" s="23" t="str">
        <x:f>IF(E2492=F2492,"PASS","FAIL")</x:f>
        <x:v>PASS</x:v>
      </x:c>
    </x:row>
    <x:row r="2493">
      <x:c r="B2493" s="21" t="str">
        <x:v>A02487</x:v>
      </x:c>
      <x:c r="C2493" s="21" t="str">
        <x:v>artifact</x:v>
      </x:c>
      <x:c r="D2493" s="21" t="str">
        <x:v>artifact 722 eligibility equation</x:v>
      </x:c>
      <x:c r="E2493" s="21" t="n">
        <x:f>IF(ABS('Artifact Ledger'!P728-IF(AND('Artifact Ledger'!L728=1,'Artifact Ledger'!M728=1,'Artifact Ledger'!N728=1,'Artifact Ledger'!O728&gt;='Artifact Ledger'!G728),'Artifact Ledger'!K728,0))&lt;0.000001,1,0)</x:f>
        <x:v>1</x:v>
      </x:c>
      <x:c r="F2493" s="21" t="n">
        <x:v>1</x:v>
      </x:c>
      <x:c r="G2493" s="23" t="str">
        <x:f>IF(E2493=F2493,"PASS","FAIL")</x:f>
        <x:v>PASS</x:v>
      </x:c>
    </x:row>
    <x:row r="2494">
      <x:c r="B2494" s="21" t="str">
        <x:v>A02488</x:v>
      </x:c>
      <x:c r="C2494" s="21" t="str">
        <x:v>artifact</x:v>
      </x:c>
      <x:c r="D2494" s="21" t="str">
        <x:v>artifact 722 planning state</x:v>
      </x:c>
      <x:c r="E2494" s="21" t="n">
        <x:f>IF(AND('Artifact Ledger'!Q728="OPEN",'Artifact Ledger'!R728="HOLD"),1,0)</x:f>
        <x:v>1</x:v>
      </x:c>
      <x:c r="F2494" s="21" t="n">
        <x:v>1</x:v>
      </x:c>
      <x:c r="G2494" s="23" t="str">
        <x:f>IF(E2494=F2494,"PASS","FAIL")</x:f>
        <x:v>PASS</x:v>
      </x:c>
    </x:row>
    <x:row r="2495">
      <x:c r="B2495" s="21" t="str">
        <x:v>A02489</x:v>
      </x:c>
      <x:c r="C2495" s="21" t="str">
        <x:v>artifact</x:v>
      </x:c>
      <x:c r="D2495" s="21" t="str">
        <x:v>artifact 723 eligibility equation</x:v>
      </x:c>
      <x:c r="E2495" s="21" t="n">
        <x:f>IF(ABS('Artifact Ledger'!P729-IF(AND('Artifact Ledger'!L729=1,'Artifact Ledger'!M729=1,'Artifact Ledger'!N729=1,'Artifact Ledger'!O729&gt;='Artifact Ledger'!G729),'Artifact Ledger'!K729,0))&lt;0.000001,1,0)</x:f>
        <x:v>1</x:v>
      </x:c>
      <x:c r="F2495" s="21" t="n">
        <x:v>1</x:v>
      </x:c>
      <x:c r="G2495" s="23" t="str">
        <x:f>IF(E2495=F2495,"PASS","FAIL")</x:f>
        <x:v>PASS</x:v>
      </x:c>
    </x:row>
    <x:row r="2496">
      <x:c r="B2496" s="21" t="str">
        <x:v>A02490</x:v>
      </x:c>
      <x:c r="C2496" s="21" t="str">
        <x:v>artifact</x:v>
      </x:c>
      <x:c r="D2496" s="21" t="str">
        <x:v>artifact 723 planning state</x:v>
      </x:c>
      <x:c r="E2496" s="21" t="n">
        <x:f>IF(AND('Artifact Ledger'!Q729="OPEN",'Artifact Ledger'!R729="HOLD"),1,0)</x:f>
        <x:v>1</x:v>
      </x:c>
      <x:c r="F2496" s="21" t="n">
        <x:v>1</x:v>
      </x:c>
      <x:c r="G2496" s="23" t="str">
        <x:f>IF(E2496=F2496,"PASS","FAIL")</x:f>
        <x:v>PASS</x:v>
      </x:c>
    </x:row>
    <x:row r="2497">
      <x:c r="B2497" s="21" t="str">
        <x:v>A02491</x:v>
      </x:c>
      <x:c r="C2497" s="21" t="str">
        <x:v>artifact</x:v>
      </x:c>
      <x:c r="D2497" s="21" t="str">
        <x:v>artifact 724 eligibility equation</x:v>
      </x:c>
      <x:c r="E2497" s="21" t="n">
        <x:f>IF(ABS('Artifact Ledger'!P730-IF(AND('Artifact Ledger'!L730=1,'Artifact Ledger'!M730=1,'Artifact Ledger'!N730=1,'Artifact Ledger'!O730&gt;='Artifact Ledger'!G730),'Artifact Ledger'!K730,0))&lt;0.000001,1,0)</x:f>
        <x:v>1</x:v>
      </x:c>
      <x:c r="F2497" s="21" t="n">
        <x:v>1</x:v>
      </x:c>
      <x:c r="G2497" s="23" t="str">
        <x:f>IF(E2497=F2497,"PASS","FAIL")</x:f>
        <x:v>PASS</x:v>
      </x:c>
    </x:row>
    <x:row r="2498">
      <x:c r="B2498" s="21" t="str">
        <x:v>A02492</x:v>
      </x:c>
      <x:c r="C2498" s="21" t="str">
        <x:v>artifact</x:v>
      </x:c>
      <x:c r="D2498" s="21" t="str">
        <x:v>artifact 724 planning state</x:v>
      </x:c>
      <x:c r="E2498" s="21" t="n">
        <x:f>IF(AND('Artifact Ledger'!Q730="OPEN",'Artifact Ledger'!R730="HOLD"),1,0)</x:f>
        <x:v>1</x:v>
      </x:c>
      <x:c r="F2498" s="21" t="n">
        <x:v>1</x:v>
      </x:c>
      <x:c r="G2498" s="23" t="str">
        <x:f>IF(E2498=F2498,"PASS","FAIL")</x:f>
        <x:v>PASS</x:v>
      </x:c>
    </x:row>
    <x:row r="2499">
      <x:c r="B2499" s="21" t="str">
        <x:v>A02493</x:v>
      </x:c>
      <x:c r="C2499" s="21" t="str">
        <x:v>artifact</x:v>
      </x:c>
      <x:c r="D2499" s="21" t="str">
        <x:v>artifact 725 eligibility equation</x:v>
      </x:c>
      <x:c r="E2499" s="21" t="n">
        <x:f>IF(ABS('Artifact Ledger'!P731-IF(AND('Artifact Ledger'!L731=1,'Artifact Ledger'!M731=1,'Artifact Ledger'!N731=1,'Artifact Ledger'!O731&gt;='Artifact Ledger'!G731),'Artifact Ledger'!K731,0))&lt;0.000001,1,0)</x:f>
        <x:v>1</x:v>
      </x:c>
      <x:c r="F2499" s="21" t="n">
        <x:v>1</x:v>
      </x:c>
      <x:c r="G2499" s="23" t="str">
        <x:f>IF(E2499=F2499,"PASS","FAIL")</x:f>
        <x:v>PASS</x:v>
      </x:c>
    </x:row>
    <x:row r="2500">
      <x:c r="B2500" s="21" t="str">
        <x:v>A02494</x:v>
      </x:c>
      <x:c r="C2500" s="21" t="str">
        <x:v>artifact</x:v>
      </x:c>
      <x:c r="D2500" s="21" t="str">
        <x:v>artifact 725 planning state</x:v>
      </x:c>
      <x:c r="E2500" s="21" t="n">
        <x:f>IF(AND('Artifact Ledger'!Q731="OPEN",'Artifact Ledger'!R731="HOLD"),1,0)</x:f>
        <x:v>1</x:v>
      </x:c>
      <x:c r="F2500" s="21" t="n">
        <x:v>1</x:v>
      </x:c>
      <x:c r="G2500" s="23" t="str">
        <x:f>IF(E2500=F2500,"PASS","FAIL")</x:f>
        <x:v>PASS</x:v>
      </x:c>
    </x:row>
    <x:row r="2501">
      <x:c r="B2501" s="21" t="str">
        <x:v>A02495</x:v>
      </x:c>
      <x:c r="C2501" s="21" t="str">
        <x:v>artifact</x:v>
      </x:c>
      <x:c r="D2501" s="21" t="str">
        <x:v>artifact 726 eligibility equation</x:v>
      </x:c>
      <x:c r="E2501" s="21" t="n">
        <x:f>IF(ABS('Artifact Ledger'!P732-IF(AND('Artifact Ledger'!L732=1,'Artifact Ledger'!M732=1,'Artifact Ledger'!N732=1,'Artifact Ledger'!O732&gt;='Artifact Ledger'!G732),'Artifact Ledger'!K732,0))&lt;0.000001,1,0)</x:f>
        <x:v>1</x:v>
      </x:c>
      <x:c r="F2501" s="21" t="n">
        <x:v>1</x:v>
      </x:c>
      <x:c r="G2501" s="23" t="str">
        <x:f>IF(E2501=F2501,"PASS","FAIL")</x:f>
        <x:v>PASS</x:v>
      </x:c>
    </x:row>
    <x:row r="2502">
      <x:c r="B2502" s="21" t="str">
        <x:v>A02496</x:v>
      </x:c>
      <x:c r="C2502" s="21" t="str">
        <x:v>artifact</x:v>
      </x:c>
      <x:c r="D2502" s="21" t="str">
        <x:v>artifact 726 planning state</x:v>
      </x:c>
      <x:c r="E2502" s="21" t="n">
        <x:f>IF(AND('Artifact Ledger'!Q732="OPEN",'Artifact Ledger'!R732="HOLD"),1,0)</x:f>
        <x:v>1</x:v>
      </x:c>
      <x:c r="F2502" s="21" t="n">
        <x:v>1</x:v>
      </x:c>
      <x:c r="G2502" s="23" t="str">
        <x:f>IF(E2502=F2502,"PASS","FAIL")</x:f>
        <x:v>PASS</x:v>
      </x:c>
    </x:row>
    <x:row r="2503">
      <x:c r="B2503" s="21" t="str">
        <x:v>A02497</x:v>
      </x:c>
      <x:c r="C2503" s="21" t="str">
        <x:v>artifact</x:v>
      </x:c>
      <x:c r="D2503" s="21" t="str">
        <x:v>artifact 727 eligibility equation</x:v>
      </x:c>
      <x:c r="E2503" s="21" t="n">
        <x:f>IF(ABS('Artifact Ledger'!P733-IF(AND('Artifact Ledger'!L733=1,'Artifact Ledger'!M733=1,'Artifact Ledger'!N733=1,'Artifact Ledger'!O733&gt;='Artifact Ledger'!G733),'Artifact Ledger'!K733,0))&lt;0.000001,1,0)</x:f>
        <x:v>1</x:v>
      </x:c>
      <x:c r="F2503" s="21" t="n">
        <x:v>1</x:v>
      </x:c>
      <x:c r="G2503" s="23" t="str">
        <x:f>IF(E2503=F2503,"PASS","FAIL")</x:f>
        <x:v>PASS</x:v>
      </x:c>
    </x:row>
    <x:row r="2504">
      <x:c r="B2504" s="21" t="str">
        <x:v>A02498</x:v>
      </x:c>
      <x:c r="C2504" s="21" t="str">
        <x:v>artifact</x:v>
      </x:c>
      <x:c r="D2504" s="21" t="str">
        <x:v>artifact 727 planning state</x:v>
      </x:c>
      <x:c r="E2504" s="21" t="n">
        <x:f>IF(AND('Artifact Ledger'!Q733="OPEN",'Artifact Ledger'!R733="HOLD"),1,0)</x:f>
        <x:v>1</x:v>
      </x:c>
      <x:c r="F2504" s="21" t="n">
        <x:v>1</x:v>
      </x:c>
      <x:c r="G2504" s="23" t="str">
        <x:f>IF(E2504=F2504,"PASS","FAIL")</x:f>
        <x:v>PASS</x:v>
      </x:c>
    </x:row>
    <x:row r="2505">
      <x:c r="B2505" s="21" t="str">
        <x:v>A02499</x:v>
      </x:c>
      <x:c r="C2505" s="21" t="str">
        <x:v>artifact</x:v>
      </x:c>
      <x:c r="D2505" s="21" t="str">
        <x:v>artifact 728 eligibility equation</x:v>
      </x:c>
      <x:c r="E2505" s="21" t="n">
        <x:f>IF(ABS('Artifact Ledger'!P734-IF(AND('Artifact Ledger'!L734=1,'Artifact Ledger'!M734=1,'Artifact Ledger'!N734=1,'Artifact Ledger'!O734&gt;='Artifact Ledger'!G734),'Artifact Ledger'!K734,0))&lt;0.000001,1,0)</x:f>
        <x:v>1</x:v>
      </x:c>
      <x:c r="F2505" s="21" t="n">
        <x:v>1</x:v>
      </x:c>
      <x:c r="G2505" s="23" t="str">
        <x:f>IF(E2505=F2505,"PASS","FAIL")</x:f>
        <x:v>PASS</x:v>
      </x:c>
    </x:row>
    <x:row r="2506">
      <x:c r="B2506" s="21" t="str">
        <x:v>A02500</x:v>
      </x:c>
      <x:c r="C2506" s="21" t="str">
        <x:v>artifact</x:v>
      </x:c>
      <x:c r="D2506" s="21" t="str">
        <x:v>artifact 728 planning state</x:v>
      </x:c>
      <x:c r="E2506" s="21" t="n">
        <x:f>IF(AND('Artifact Ledger'!Q734="OPEN",'Artifact Ledger'!R734="HOLD"),1,0)</x:f>
        <x:v>1</x:v>
      </x:c>
      <x:c r="F2506" s="21" t="n">
        <x:v>1</x:v>
      </x:c>
      <x:c r="G2506" s="23" t="str">
        <x:f>IF(E2506=F2506,"PASS","FAIL")</x:f>
        <x:v>PASS</x:v>
      </x:c>
    </x:row>
    <x:row r="2507">
      <x:c r="B2507" s="21" t="str">
        <x:v>A02501</x:v>
      </x:c>
      <x:c r="C2507" s="21" t="str">
        <x:v>artifact</x:v>
      </x:c>
      <x:c r="D2507" s="21" t="str">
        <x:v>artifact 729 eligibility equation</x:v>
      </x:c>
      <x:c r="E2507" s="21" t="n">
        <x:f>IF(ABS('Artifact Ledger'!P735-IF(AND('Artifact Ledger'!L735=1,'Artifact Ledger'!M735=1,'Artifact Ledger'!N735=1,'Artifact Ledger'!O735&gt;='Artifact Ledger'!G735),'Artifact Ledger'!K735,0))&lt;0.000001,1,0)</x:f>
        <x:v>1</x:v>
      </x:c>
      <x:c r="F2507" s="21" t="n">
        <x:v>1</x:v>
      </x:c>
      <x:c r="G2507" s="23" t="str">
        <x:f>IF(E2507=F2507,"PASS","FAIL")</x:f>
        <x:v>PASS</x:v>
      </x:c>
    </x:row>
    <x:row r="2508">
      <x:c r="B2508" s="21" t="str">
        <x:v>A02502</x:v>
      </x:c>
      <x:c r="C2508" s="21" t="str">
        <x:v>artifact</x:v>
      </x:c>
      <x:c r="D2508" s="21" t="str">
        <x:v>artifact 729 planning state</x:v>
      </x:c>
      <x:c r="E2508" s="21" t="n">
        <x:f>IF(AND('Artifact Ledger'!Q735="OPEN",'Artifact Ledger'!R735="HOLD"),1,0)</x:f>
        <x:v>1</x:v>
      </x:c>
      <x:c r="F2508" s="21" t="n">
        <x:v>1</x:v>
      </x:c>
      <x:c r="G2508" s="23" t="str">
        <x:f>IF(E2508=F2508,"PASS","FAIL")</x:f>
        <x:v>PASS</x:v>
      </x:c>
    </x:row>
    <x:row r="2509">
      <x:c r="B2509" s="21" t="str">
        <x:v>A02503</x:v>
      </x:c>
      <x:c r="C2509" s="21" t="str">
        <x:v>artifact</x:v>
      </x:c>
      <x:c r="D2509" s="21" t="str">
        <x:v>artifact 730 eligibility equation</x:v>
      </x:c>
      <x:c r="E2509" s="21" t="n">
        <x:f>IF(ABS('Artifact Ledger'!P736-IF(AND('Artifact Ledger'!L736=1,'Artifact Ledger'!M736=1,'Artifact Ledger'!N736=1,'Artifact Ledger'!O736&gt;='Artifact Ledger'!G736),'Artifact Ledger'!K736,0))&lt;0.000001,1,0)</x:f>
        <x:v>1</x:v>
      </x:c>
      <x:c r="F2509" s="21" t="n">
        <x:v>1</x:v>
      </x:c>
      <x:c r="G2509" s="23" t="str">
        <x:f>IF(E2509=F2509,"PASS","FAIL")</x:f>
        <x:v>PASS</x:v>
      </x:c>
    </x:row>
    <x:row r="2510">
      <x:c r="B2510" s="21" t="str">
        <x:v>A02504</x:v>
      </x:c>
      <x:c r="C2510" s="21" t="str">
        <x:v>artifact</x:v>
      </x:c>
      <x:c r="D2510" s="21" t="str">
        <x:v>artifact 730 planning state</x:v>
      </x:c>
      <x:c r="E2510" s="21" t="n">
        <x:f>IF(AND('Artifact Ledger'!Q736="OPEN",'Artifact Ledger'!R736="HOLD"),1,0)</x:f>
        <x:v>1</x:v>
      </x:c>
      <x:c r="F2510" s="21" t="n">
        <x:v>1</x:v>
      </x:c>
      <x:c r="G2510" s="23" t="str">
        <x:f>IF(E2510=F2510,"PASS","FAIL")</x:f>
        <x:v>PASS</x:v>
      </x:c>
    </x:row>
    <x:row r="2511">
      <x:c r="B2511" s="21" t="str">
        <x:v>A02505</x:v>
      </x:c>
      <x:c r="C2511" s="21" t="str">
        <x:v>artifact</x:v>
      </x:c>
      <x:c r="D2511" s="21" t="str">
        <x:v>artifact 731 eligibility equation</x:v>
      </x:c>
      <x:c r="E2511" s="21" t="n">
        <x:f>IF(ABS('Artifact Ledger'!P737-IF(AND('Artifact Ledger'!L737=1,'Artifact Ledger'!M737=1,'Artifact Ledger'!N737=1,'Artifact Ledger'!O737&gt;='Artifact Ledger'!G737),'Artifact Ledger'!K737,0))&lt;0.000001,1,0)</x:f>
        <x:v>1</x:v>
      </x:c>
      <x:c r="F2511" s="21" t="n">
        <x:v>1</x:v>
      </x:c>
      <x:c r="G2511" s="23" t="str">
        <x:f>IF(E2511=F2511,"PASS","FAIL")</x:f>
        <x:v>PASS</x:v>
      </x:c>
    </x:row>
    <x:row r="2512">
      <x:c r="B2512" s="21" t="str">
        <x:v>A02506</x:v>
      </x:c>
      <x:c r="C2512" s="21" t="str">
        <x:v>artifact</x:v>
      </x:c>
      <x:c r="D2512" s="21" t="str">
        <x:v>artifact 731 planning state</x:v>
      </x:c>
      <x:c r="E2512" s="21" t="n">
        <x:f>IF(AND('Artifact Ledger'!Q737="OPEN",'Artifact Ledger'!R737="HOLD"),1,0)</x:f>
        <x:v>1</x:v>
      </x:c>
      <x:c r="F2512" s="21" t="n">
        <x:v>1</x:v>
      </x:c>
      <x:c r="G2512" s="23" t="str">
        <x:f>IF(E2512=F2512,"PASS","FAIL")</x:f>
        <x:v>PASS</x:v>
      </x:c>
    </x:row>
    <x:row r="2513">
      <x:c r="B2513" s="21" t="str">
        <x:v>A02507</x:v>
      </x:c>
      <x:c r="C2513" s="21" t="str">
        <x:v>artifact</x:v>
      </x:c>
      <x:c r="D2513" s="21" t="str">
        <x:v>artifact 732 eligibility equation</x:v>
      </x:c>
      <x:c r="E2513" s="21" t="n">
        <x:f>IF(ABS('Artifact Ledger'!P738-IF(AND('Artifact Ledger'!L738=1,'Artifact Ledger'!M738=1,'Artifact Ledger'!N738=1,'Artifact Ledger'!O738&gt;='Artifact Ledger'!G738),'Artifact Ledger'!K738,0))&lt;0.000001,1,0)</x:f>
        <x:v>1</x:v>
      </x:c>
      <x:c r="F2513" s="21" t="n">
        <x:v>1</x:v>
      </x:c>
      <x:c r="G2513" s="23" t="str">
        <x:f>IF(E2513=F2513,"PASS","FAIL")</x:f>
        <x:v>PASS</x:v>
      </x:c>
    </x:row>
    <x:row r="2514">
      <x:c r="B2514" s="21" t="str">
        <x:v>A02508</x:v>
      </x:c>
      <x:c r="C2514" s="21" t="str">
        <x:v>artifact</x:v>
      </x:c>
      <x:c r="D2514" s="21" t="str">
        <x:v>artifact 732 planning state</x:v>
      </x:c>
      <x:c r="E2514" s="21" t="n">
        <x:f>IF(AND('Artifact Ledger'!Q738="OPEN",'Artifact Ledger'!R738="HOLD"),1,0)</x:f>
        <x:v>1</x:v>
      </x:c>
      <x:c r="F2514" s="21" t="n">
        <x:v>1</x:v>
      </x:c>
      <x:c r="G2514" s="23" t="str">
        <x:f>IF(E2514=F2514,"PASS","FAIL")</x:f>
        <x:v>PASS</x:v>
      </x:c>
    </x:row>
    <x:row r="2515">
      <x:c r="B2515" s="21" t="str">
        <x:v>A02509</x:v>
      </x:c>
      <x:c r="C2515" s="21" t="str">
        <x:v>artifact</x:v>
      </x:c>
      <x:c r="D2515" s="21" t="str">
        <x:v>artifact 733 eligibility equation</x:v>
      </x:c>
      <x:c r="E2515" s="21" t="n">
        <x:f>IF(ABS('Artifact Ledger'!P739-IF(AND('Artifact Ledger'!L739=1,'Artifact Ledger'!M739=1,'Artifact Ledger'!N739=1,'Artifact Ledger'!O739&gt;='Artifact Ledger'!G739),'Artifact Ledger'!K739,0))&lt;0.000001,1,0)</x:f>
        <x:v>1</x:v>
      </x:c>
      <x:c r="F2515" s="21" t="n">
        <x:v>1</x:v>
      </x:c>
      <x:c r="G2515" s="23" t="str">
        <x:f>IF(E2515=F2515,"PASS","FAIL")</x:f>
        <x:v>PASS</x:v>
      </x:c>
    </x:row>
    <x:row r="2516">
      <x:c r="B2516" s="21" t="str">
        <x:v>A02510</x:v>
      </x:c>
      <x:c r="C2516" s="21" t="str">
        <x:v>artifact</x:v>
      </x:c>
      <x:c r="D2516" s="21" t="str">
        <x:v>artifact 733 planning state</x:v>
      </x:c>
      <x:c r="E2516" s="21" t="n">
        <x:f>IF(AND('Artifact Ledger'!Q739="OPEN",'Artifact Ledger'!R739="HOLD"),1,0)</x:f>
        <x:v>1</x:v>
      </x:c>
      <x:c r="F2516" s="21" t="n">
        <x:v>1</x:v>
      </x:c>
      <x:c r="G2516" s="23" t="str">
        <x:f>IF(E2516=F2516,"PASS","FAIL")</x:f>
        <x:v>PASS</x:v>
      </x:c>
    </x:row>
    <x:row r="2517">
      <x:c r="B2517" s="21" t="str">
        <x:v>A02511</x:v>
      </x:c>
      <x:c r="C2517" s="21" t="str">
        <x:v>artifact</x:v>
      </x:c>
      <x:c r="D2517" s="21" t="str">
        <x:v>artifact 734 eligibility equation</x:v>
      </x:c>
      <x:c r="E2517" s="21" t="n">
        <x:f>IF(ABS('Artifact Ledger'!P740-IF(AND('Artifact Ledger'!L740=1,'Artifact Ledger'!M740=1,'Artifact Ledger'!N740=1,'Artifact Ledger'!O740&gt;='Artifact Ledger'!G740),'Artifact Ledger'!K740,0))&lt;0.000001,1,0)</x:f>
        <x:v>1</x:v>
      </x:c>
      <x:c r="F2517" s="21" t="n">
        <x:v>1</x:v>
      </x:c>
      <x:c r="G2517" s="23" t="str">
        <x:f>IF(E2517=F2517,"PASS","FAIL")</x:f>
        <x:v>PASS</x:v>
      </x:c>
    </x:row>
    <x:row r="2518">
      <x:c r="B2518" s="21" t="str">
        <x:v>A02512</x:v>
      </x:c>
      <x:c r="C2518" s="21" t="str">
        <x:v>artifact</x:v>
      </x:c>
      <x:c r="D2518" s="21" t="str">
        <x:v>artifact 734 planning state</x:v>
      </x:c>
      <x:c r="E2518" s="21" t="n">
        <x:f>IF(AND('Artifact Ledger'!Q740="OPEN",'Artifact Ledger'!R740="HOLD"),1,0)</x:f>
        <x:v>1</x:v>
      </x:c>
      <x:c r="F2518" s="21" t="n">
        <x:v>1</x:v>
      </x:c>
      <x:c r="G2518" s="23" t="str">
        <x:f>IF(E2518=F2518,"PASS","FAIL")</x:f>
        <x:v>PASS</x:v>
      </x:c>
    </x:row>
    <x:row r="2519">
      <x:c r="B2519" s="21" t="str">
        <x:v>A02513</x:v>
      </x:c>
      <x:c r="C2519" s="21" t="str">
        <x:v>artifact</x:v>
      </x:c>
      <x:c r="D2519" s="21" t="str">
        <x:v>artifact 735 eligibility equation</x:v>
      </x:c>
      <x:c r="E2519" s="21" t="n">
        <x:f>IF(ABS('Artifact Ledger'!P741-IF(AND('Artifact Ledger'!L741=1,'Artifact Ledger'!M741=1,'Artifact Ledger'!N741=1,'Artifact Ledger'!O741&gt;='Artifact Ledger'!G741),'Artifact Ledger'!K741,0))&lt;0.000001,1,0)</x:f>
        <x:v>1</x:v>
      </x:c>
      <x:c r="F2519" s="21" t="n">
        <x:v>1</x:v>
      </x:c>
      <x:c r="G2519" s="23" t="str">
        <x:f>IF(E2519=F2519,"PASS","FAIL")</x:f>
        <x:v>PASS</x:v>
      </x:c>
    </x:row>
    <x:row r="2520">
      <x:c r="B2520" s="21" t="str">
        <x:v>A02514</x:v>
      </x:c>
      <x:c r="C2520" s="21" t="str">
        <x:v>artifact</x:v>
      </x:c>
      <x:c r="D2520" s="21" t="str">
        <x:v>artifact 735 planning state</x:v>
      </x:c>
      <x:c r="E2520" s="21" t="n">
        <x:f>IF(AND('Artifact Ledger'!Q741="OPEN",'Artifact Ledger'!R741="HOLD"),1,0)</x:f>
        <x:v>1</x:v>
      </x:c>
      <x:c r="F2520" s="21" t="n">
        <x:v>1</x:v>
      </x:c>
      <x:c r="G2520" s="23" t="str">
        <x:f>IF(E2520=F2520,"PASS","FAIL")</x:f>
        <x:v>PASS</x:v>
      </x:c>
    </x:row>
    <x:row r="2521">
      <x:c r="B2521" s="21" t="str">
        <x:v>A02515</x:v>
      </x:c>
      <x:c r="C2521" s="21" t="str">
        <x:v>artifact</x:v>
      </x:c>
      <x:c r="D2521" s="21" t="str">
        <x:v>artifact 736 eligibility equation</x:v>
      </x:c>
      <x:c r="E2521" s="21" t="n">
        <x:f>IF(ABS('Artifact Ledger'!P742-IF(AND('Artifact Ledger'!L742=1,'Artifact Ledger'!M742=1,'Artifact Ledger'!N742=1,'Artifact Ledger'!O742&gt;='Artifact Ledger'!G742),'Artifact Ledger'!K742,0))&lt;0.000001,1,0)</x:f>
        <x:v>1</x:v>
      </x:c>
      <x:c r="F2521" s="21" t="n">
        <x:v>1</x:v>
      </x:c>
      <x:c r="G2521" s="23" t="str">
        <x:f>IF(E2521=F2521,"PASS","FAIL")</x:f>
        <x:v>PASS</x:v>
      </x:c>
    </x:row>
    <x:row r="2522">
      <x:c r="B2522" s="21" t="str">
        <x:v>A02516</x:v>
      </x:c>
      <x:c r="C2522" s="21" t="str">
        <x:v>artifact</x:v>
      </x:c>
      <x:c r="D2522" s="21" t="str">
        <x:v>artifact 736 planning state</x:v>
      </x:c>
      <x:c r="E2522" s="21" t="n">
        <x:f>IF(AND('Artifact Ledger'!Q742="OPEN",'Artifact Ledger'!R742="HOLD"),1,0)</x:f>
        <x:v>1</x:v>
      </x:c>
      <x:c r="F2522" s="21" t="n">
        <x:v>1</x:v>
      </x:c>
      <x:c r="G2522" s="23" t="str">
        <x:f>IF(E2522=F2522,"PASS","FAIL")</x:f>
        <x:v>PASS</x:v>
      </x:c>
    </x:row>
    <x:row r="2523">
      <x:c r="B2523" s="21" t="str">
        <x:v>A02517</x:v>
      </x:c>
      <x:c r="C2523" s="21" t="str">
        <x:v>artifact</x:v>
      </x:c>
      <x:c r="D2523" s="21" t="str">
        <x:v>artifact 737 eligibility equation</x:v>
      </x:c>
      <x:c r="E2523" s="21" t="n">
        <x:f>IF(ABS('Artifact Ledger'!P743-IF(AND('Artifact Ledger'!L743=1,'Artifact Ledger'!M743=1,'Artifact Ledger'!N743=1,'Artifact Ledger'!O743&gt;='Artifact Ledger'!G743),'Artifact Ledger'!K743,0))&lt;0.000001,1,0)</x:f>
        <x:v>1</x:v>
      </x:c>
      <x:c r="F2523" s="21" t="n">
        <x:v>1</x:v>
      </x:c>
      <x:c r="G2523" s="23" t="str">
        <x:f>IF(E2523=F2523,"PASS","FAIL")</x:f>
        <x:v>PASS</x:v>
      </x:c>
    </x:row>
    <x:row r="2524">
      <x:c r="B2524" s="21" t="str">
        <x:v>A02518</x:v>
      </x:c>
      <x:c r="C2524" s="21" t="str">
        <x:v>artifact</x:v>
      </x:c>
      <x:c r="D2524" s="21" t="str">
        <x:v>artifact 737 planning state</x:v>
      </x:c>
      <x:c r="E2524" s="21" t="n">
        <x:f>IF(AND('Artifact Ledger'!Q743="OPEN",'Artifact Ledger'!R743="HOLD"),1,0)</x:f>
        <x:v>1</x:v>
      </x:c>
      <x:c r="F2524" s="21" t="n">
        <x:v>1</x:v>
      </x:c>
      <x:c r="G2524" s="23" t="str">
        <x:f>IF(E2524=F2524,"PASS","FAIL")</x:f>
        <x:v>PASS</x:v>
      </x:c>
    </x:row>
    <x:row r="2525">
      <x:c r="B2525" s="21" t="str">
        <x:v>A02519</x:v>
      </x:c>
      <x:c r="C2525" s="21" t="str">
        <x:v>artifact</x:v>
      </x:c>
      <x:c r="D2525" s="21" t="str">
        <x:v>artifact 738 eligibility equation</x:v>
      </x:c>
      <x:c r="E2525" s="21" t="n">
        <x:f>IF(ABS('Artifact Ledger'!P744-IF(AND('Artifact Ledger'!L744=1,'Artifact Ledger'!M744=1,'Artifact Ledger'!N744=1,'Artifact Ledger'!O744&gt;='Artifact Ledger'!G744),'Artifact Ledger'!K744,0))&lt;0.000001,1,0)</x:f>
        <x:v>1</x:v>
      </x:c>
      <x:c r="F2525" s="21" t="n">
        <x:v>1</x:v>
      </x:c>
      <x:c r="G2525" s="23" t="str">
        <x:f>IF(E2525=F2525,"PASS","FAIL")</x:f>
        <x:v>PASS</x:v>
      </x:c>
    </x:row>
    <x:row r="2526">
      <x:c r="B2526" s="21" t="str">
        <x:v>A02520</x:v>
      </x:c>
      <x:c r="C2526" s="21" t="str">
        <x:v>artifact</x:v>
      </x:c>
      <x:c r="D2526" s="21" t="str">
        <x:v>artifact 738 planning state</x:v>
      </x:c>
      <x:c r="E2526" s="21" t="n">
        <x:f>IF(AND('Artifact Ledger'!Q744="OPEN",'Artifact Ledger'!R744="HOLD"),1,0)</x:f>
        <x:v>1</x:v>
      </x:c>
      <x:c r="F2526" s="21" t="n">
        <x:v>1</x:v>
      </x:c>
      <x:c r="G2526" s="23" t="str">
        <x:f>IF(E2526=F2526,"PASS","FAIL")</x:f>
        <x:v>PASS</x:v>
      </x:c>
    </x:row>
    <x:row r="2527">
      <x:c r="B2527" s="21" t="str">
        <x:v>A02521</x:v>
      </x:c>
      <x:c r="C2527" s="21" t="str">
        <x:v>artifact</x:v>
      </x:c>
      <x:c r="D2527" s="21" t="str">
        <x:v>artifact 739 eligibility equation</x:v>
      </x:c>
      <x:c r="E2527" s="21" t="n">
        <x:f>IF(ABS('Artifact Ledger'!P745-IF(AND('Artifact Ledger'!L745=1,'Artifact Ledger'!M745=1,'Artifact Ledger'!N745=1,'Artifact Ledger'!O745&gt;='Artifact Ledger'!G745),'Artifact Ledger'!K745,0))&lt;0.000001,1,0)</x:f>
        <x:v>1</x:v>
      </x:c>
      <x:c r="F2527" s="21" t="n">
        <x:v>1</x:v>
      </x:c>
      <x:c r="G2527" s="23" t="str">
        <x:f>IF(E2527=F2527,"PASS","FAIL")</x:f>
        <x:v>PASS</x:v>
      </x:c>
    </x:row>
    <x:row r="2528">
      <x:c r="B2528" s="21" t="str">
        <x:v>A02522</x:v>
      </x:c>
      <x:c r="C2528" s="21" t="str">
        <x:v>artifact</x:v>
      </x:c>
      <x:c r="D2528" s="21" t="str">
        <x:v>artifact 739 planning state</x:v>
      </x:c>
      <x:c r="E2528" s="21" t="n">
        <x:f>IF(AND('Artifact Ledger'!Q745="OPEN",'Artifact Ledger'!R745="HOLD"),1,0)</x:f>
        <x:v>1</x:v>
      </x:c>
      <x:c r="F2528" s="21" t="n">
        <x:v>1</x:v>
      </x:c>
      <x:c r="G2528" s="23" t="str">
        <x:f>IF(E2528=F2528,"PASS","FAIL")</x:f>
        <x:v>PASS</x:v>
      </x:c>
    </x:row>
    <x:row r="2529">
      <x:c r="B2529" s="21" t="str">
        <x:v>A02523</x:v>
      </x:c>
      <x:c r="C2529" s="21" t="str">
        <x:v>artifact</x:v>
      </x:c>
      <x:c r="D2529" s="21" t="str">
        <x:v>artifact 740 eligibility equation</x:v>
      </x:c>
      <x:c r="E2529" s="21" t="n">
        <x:f>IF(ABS('Artifact Ledger'!P746-IF(AND('Artifact Ledger'!L746=1,'Artifact Ledger'!M746=1,'Artifact Ledger'!N746=1,'Artifact Ledger'!O746&gt;='Artifact Ledger'!G746),'Artifact Ledger'!K746,0))&lt;0.000001,1,0)</x:f>
        <x:v>1</x:v>
      </x:c>
      <x:c r="F2529" s="21" t="n">
        <x:v>1</x:v>
      </x:c>
      <x:c r="G2529" s="23" t="str">
        <x:f>IF(E2529=F2529,"PASS","FAIL")</x:f>
        <x:v>PASS</x:v>
      </x:c>
    </x:row>
    <x:row r="2530">
      <x:c r="B2530" s="21" t="str">
        <x:v>A02524</x:v>
      </x:c>
      <x:c r="C2530" s="21" t="str">
        <x:v>artifact</x:v>
      </x:c>
      <x:c r="D2530" s="21" t="str">
        <x:v>artifact 740 planning state</x:v>
      </x:c>
      <x:c r="E2530" s="21" t="n">
        <x:f>IF(AND('Artifact Ledger'!Q746="OPEN",'Artifact Ledger'!R746="HOLD"),1,0)</x:f>
        <x:v>1</x:v>
      </x:c>
      <x:c r="F2530" s="21" t="n">
        <x:v>1</x:v>
      </x:c>
      <x:c r="G2530" s="23" t="str">
        <x:f>IF(E2530=F2530,"PASS","FAIL")</x:f>
        <x:v>PASS</x:v>
      </x:c>
    </x:row>
    <x:row r="2531">
      <x:c r="B2531" s="21" t="str">
        <x:v>A02525</x:v>
      </x:c>
      <x:c r="C2531" s="21" t="str">
        <x:v>artifact</x:v>
      </x:c>
      <x:c r="D2531" s="21" t="str">
        <x:v>artifact 741 eligibility equation</x:v>
      </x:c>
      <x:c r="E2531" s="21" t="n">
        <x:f>IF(ABS('Artifact Ledger'!P747-IF(AND('Artifact Ledger'!L747=1,'Artifact Ledger'!M747=1,'Artifact Ledger'!N747=1,'Artifact Ledger'!O747&gt;='Artifact Ledger'!G747),'Artifact Ledger'!K747,0))&lt;0.000001,1,0)</x:f>
        <x:v>1</x:v>
      </x:c>
      <x:c r="F2531" s="21" t="n">
        <x:v>1</x:v>
      </x:c>
      <x:c r="G2531" s="23" t="str">
        <x:f>IF(E2531=F2531,"PASS","FAIL")</x:f>
        <x:v>PASS</x:v>
      </x:c>
    </x:row>
    <x:row r="2532">
      <x:c r="B2532" s="21" t="str">
        <x:v>A02526</x:v>
      </x:c>
      <x:c r="C2532" s="21" t="str">
        <x:v>artifact</x:v>
      </x:c>
      <x:c r="D2532" s="21" t="str">
        <x:v>artifact 741 planning state</x:v>
      </x:c>
      <x:c r="E2532" s="21" t="n">
        <x:f>IF(AND('Artifact Ledger'!Q747="OPEN",'Artifact Ledger'!R747="HOLD"),1,0)</x:f>
        <x:v>1</x:v>
      </x:c>
      <x:c r="F2532" s="21" t="n">
        <x:v>1</x:v>
      </x:c>
      <x:c r="G2532" s="23" t="str">
        <x:f>IF(E2532=F2532,"PASS","FAIL")</x:f>
        <x:v>PASS</x:v>
      </x:c>
    </x:row>
    <x:row r="2533">
      <x:c r="B2533" s="21" t="str">
        <x:v>A02527</x:v>
      </x:c>
      <x:c r="C2533" s="21" t="str">
        <x:v>artifact</x:v>
      </x:c>
      <x:c r="D2533" s="21" t="str">
        <x:v>artifact 742 eligibility equation</x:v>
      </x:c>
      <x:c r="E2533" s="21" t="n">
        <x:f>IF(ABS('Artifact Ledger'!P748-IF(AND('Artifact Ledger'!L748=1,'Artifact Ledger'!M748=1,'Artifact Ledger'!N748=1,'Artifact Ledger'!O748&gt;='Artifact Ledger'!G748),'Artifact Ledger'!K748,0))&lt;0.000001,1,0)</x:f>
        <x:v>1</x:v>
      </x:c>
      <x:c r="F2533" s="21" t="n">
        <x:v>1</x:v>
      </x:c>
      <x:c r="G2533" s="23" t="str">
        <x:f>IF(E2533=F2533,"PASS","FAIL")</x:f>
        <x:v>PASS</x:v>
      </x:c>
    </x:row>
    <x:row r="2534">
      <x:c r="B2534" s="21" t="str">
        <x:v>A02528</x:v>
      </x:c>
      <x:c r="C2534" s="21" t="str">
        <x:v>artifact</x:v>
      </x:c>
      <x:c r="D2534" s="21" t="str">
        <x:v>artifact 742 planning state</x:v>
      </x:c>
      <x:c r="E2534" s="21" t="n">
        <x:f>IF(AND('Artifact Ledger'!Q748="OPEN",'Artifact Ledger'!R748="HOLD"),1,0)</x:f>
        <x:v>1</x:v>
      </x:c>
      <x:c r="F2534" s="21" t="n">
        <x:v>1</x:v>
      </x:c>
      <x:c r="G2534" s="23" t="str">
        <x:f>IF(E2534=F2534,"PASS","FAIL")</x:f>
        <x:v>PASS</x:v>
      </x:c>
    </x:row>
    <x:row r="2535">
      <x:c r="B2535" s="21" t="str">
        <x:v>A02529</x:v>
      </x:c>
      <x:c r="C2535" s="21" t="str">
        <x:v>artifact</x:v>
      </x:c>
      <x:c r="D2535" s="21" t="str">
        <x:v>artifact 743 eligibility equation</x:v>
      </x:c>
      <x:c r="E2535" s="21" t="n">
        <x:f>IF(ABS('Artifact Ledger'!P749-IF(AND('Artifact Ledger'!L749=1,'Artifact Ledger'!M749=1,'Artifact Ledger'!N749=1,'Artifact Ledger'!O749&gt;='Artifact Ledger'!G749),'Artifact Ledger'!K749,0))&lt;0.000001,1,0)</x:f>
        <x:v>1</x:v>
      </x:c>
      <x:c r="F2535" s="21" t="n">
        <x:v>1</x:v>
      </x:c>
      <x:c r="G2535" s="23" t="str">
        <x:f>IF(E2535=F2535,"PASS","FAIL")</x:f>
        <x:v>PASS</x:v>
      </x:c>
    </x:row>
    <x:row r="2536">
      <x:c r="B2536" s="21" t="str">
        <x:v>A02530</x:v>
      </x:c>
      <x:c r="C2536" s="21" t="str">
        <x:v>artifact</x:v>
      </x:c>
      <x:c r="D2536" s="21" t="str">
        <x:v>artifact 743 planning state</x:v>
      </x:c>
      <x:c r="E2536" s="21" t="n">
        <x:f>IF(AND('Artifact Ledger'!Q749="OPEN",'Artifact Ledger'!R749="HOLD"),1,0)</x:f>
        <x:v>1</x:v>
      </x:c>
      <x:c r="F2536" s="21" t="n">
        <x:v>1</x:v>
      </x:c>
      <x:c r="G2536" s="23" t="str">
        <x:f>IF(E2536=F2536,"PASS","FAIL")</x:f>
        <x:v>PASS</x:v>
      </x:c>
    </x:row>
    <x:row r="2537">
      <x:c r="B2537" s="21" t="str">
        <x:v>A02531</x:v>
      </x:c>
      <x:c r="C2537" s="21" t="str">
        <x:v>artifact</x:v>
      </x:c>
      <x:c r="D2537" s="21" t="str">
        <x:v>artifact 744 eligibility equation</x:v>
      </x:c>
      <x:c r="E2537" s="21" t="n">
        <x:f>IF(ABS('Artifact Ledger'!P750-IF(AND('Artifact Ledger'!L750=1,'Artifact Ledger'!M750=1,'Artifact Ledger'!N750=1,'Artifact Ledger'!O750&gt;='Artifact Ledger'!G750),'Artifact Ledger'!K750,0))&lt;0.000001,1,0)</x:f>
        <x:v>1</x:v>
      </x:c>
      <x:c r="F2537" s="21" t="n">
        <x:v>1</x:v>
      </x:c>
      <x:c r="G2537" s="23" t="str">
        <x:f>IF(E2537=F2537,"PASS","FAIL")</x:f>
        <x:v>PASS</x:v>
      </x:c>
    </x:row>
    <x:row r="2538">
      <x:c r="B2538" s="21" t="str">
        <x:v>A02532</x:v>
      </x:c>
      <x:c r="C2538" s="21" t="str">
        <x:v>artifact</x:v>
      </x:c>
      <x:c r="D2538" s="21" t="str">
        <x:v>artifact 744 planning state</x:v>
      </x:c>
      <x:c r="E2538" s="21" t="n">
        <x:f>IF(AND('Artifact Ledger'!Q750="OPEN",'Artifact Ledger'!R750="HOLD"),1,0)</x:f>
        <x:v>1</x:v>
      </x:c>
      <x:c r="F2538" s="21" t="n">
        <x:v>1</x:v>
      </x:c>
      <x:c r="G2538" s="23" t="str">
        <x:f>IF(E2538=F2538,"PASS","FAIL")</x:f>
        <x:v>PASS</x:v>
      </x:c>
    </x:row>
    <x:row r="2539">
      <x:c r="B2539" s="21" t="str">
        <x:v>A02533</x:v>
      </x:c>
      <x:c r="C2539" s="21" t="str">
        <x:v>artifact</x:v>
      </x:c>
      <x:c r="D2539" s="21" t="str">
        <x:v>artifact 745 eligibility equation</x:v>
      </x:c>
      <x:c r="E2539" s="21" t="n">
        <x:f>IF(ABS('Artifact Ledger'!P751-IF(AND('Artifact Ledger'!L751=1,'Artifact Ledger'!M751=1,'Artifact Ledger'!N751=1,'Artifact Ledger'!O751&gt;='Artifact Ledger'!G751),'Artifact Ledger'!K751,0))&lt;0.000001,1,0)</x:f>
        <x:v>1</x:v>
      </x:c>
      <x:c r="F2539" s="21" t="n">
        <x:v>1</x:v>
      </x:c>
      <x:c r="G2539" s="23" t="str">
        <x:f>IF(E2539=F2539,"PASS","FAIL")</x:f>
        <x:v>PASS</x:v>
      </x:c>
    </x:row>
    <x:row r="2540">
      <x:c r="B2540" s="21" t="str">
        <x:v>A02534</x:v>
      </x:c>
      <x:c r="C2540" s="21" t="str">
        <x:v>artifact</x:v>
      </x:c>
      <x:c r="D2540" s="21" t="str">
        <x:v>artifact 745 planning state</x:v>
      </x:c>
      <x:c r="E2540" s="21" t="n">
        <x:f>IF(AND('Artifact Ledger'!Q751="OPEN",'Artifact Ledger'!R751="HOLD"),1,0)</x:f>
        <x:v>1</x:v>
      </x:c>
      <x:c r="F2540" s="21" t="n">
        <x:v>1</x:v>
      </x:c>
      <x:c r="G2540" s="23" t="str">
        <x:f>IF(E2540=F2540,"PASS","FAIL")</x:f>
        <x:v>PASS</x:v>
      </x:c>
    </x:row>
    <x:row r="2541">
      <x:c r="B2541" s="21" t="str">
        <x:v>A02535</x:v>
      </x:c>
      <x:c r="C2541" s="21" t="str">
        <x:v>artifact</x:v>
      </x:c>
      <x:c r="D2541" s="21" t="str">
        <x:v>artifact 746 eligibility equation</x:v>
      </x:c>
      <x:c r="E2541" s="21" t="n">
        <x:f>IF(ABS('Artifact Ledger'!P752-IF(AND('Artifact Ledger'!L752=1,'Artifact Ledger'!M752=1,'Artifact Ledger'!N752=1,'Artifact Ledger'!O752&gt;='Artifact Ledger'!G752),'Artifact Ledger'!K752,0))&lt;0.000001,1,0)</x:f>
        <x:v>1</x:v>
      </x:c>
      <x:c r="F2541" s="21" t="n">
        <x:v>1</x:v>
      </x:c>
      <x:c r="G2541" s="23" t="str">
        <x:f>IF(E2541=F2541,"PASS","FAIL")</x:f>
        <x:v>PASS</x:v>
      </x:c>
    </x:row>
    <x:row r="2542">
      <x:c r="B2542" s="21" t="str">
        <x:v>A02536</x:v>
      </x:c>
      <x:c r="C2542" s="21" t="str">
        <x:v>artifact</x:v>
      </x:c>
      <x:c r="D2542" s="21" t="str">
        <x:v>artifact 746 planning state</x:v>
      </x:c>
      <x:c r="E2542" s="21" t="n">
        <x:f>IF(AND('Artifact Ledger'!Q752="OPEN",'Artifact Ledger'!R752="HOLD"),1,0)</x:f>
        <x:v>1</x:v>
      </x:c>
      <x:c r="F2542" s="21" t="n">
        <x:v>1</x:v>
      </x:c>
      <x:c r="G2542" s="23" t="str">
        <x:f>IF(E2542=F2542,"PASS","FAIL")</x:f>
        <x:v>PASS</x:v>
      </x:c>
    </x:row>
    <x:row r="2543">
      <x:c r="B2543" s="21" t="str">
        <x:v>A02537</x:v>
      </x:c>
      <x:c r="C2543" s="21" t="str">
        <x:v>artifact</x:v>
      </x:c>
      <x:c r="D2543" s="21" t="str">
        <x:v>artifact 747 eligibility equation</x:v>
      </x:c>
      <x:c r="E2543" s="21" t="n">
        <x:f>IF(ABS('Artifact Ledger'!P753-IF(AND('Artifact Ledger'!L753=1,'Artifact Ledger'!M753=1,'Artifact Ledger'!N753=1,'Artifact Ledger'!O753&gt;='Artifact Ledger'!G753),'Artifact Ledger'!K753,0))&lt;0.000001,1,0)</x:f>
        <x:v>1</x:v>
      </x:c>
      <x:c r="F2543" s="21" t="n">
        <x:v>1</x:v>
      </x:c>
      <x:c r="G2543" s="23" t="str">
        <x:f>IF(E2543=F2543,"PASS","FAIL")</x:f>
        <x:v>PASS</x:v>
      </x:c>
    </x:row>
    <x:row r="2544">
      <x:c r="B2544" s="21" t="str">
        <x:v>A02538</x:v>
      </x:c>
      <x:c r="C2544" s="21" t="str">
        <x:v>artifact</x:v>
      </x:c>
      <x:c r="D2544" s="21" t="str">
        <x:v>artifact 747 planning state</x:v>
      </x:c>
      <x:c r="E2544" s="21" t="n">
        <x:f>IF(AND('Artifact Ledger'!Q753="OPEN",'Artifact Ledger'!R753="HOLD"),1,0)</x:f>
        <x:v>1</x:v>
      </x:c>
      <x:c r="F2544" s="21" t="n">
        <x:v>1</x:v>
      </x:c>
      <x:c r="G2544" s="23" t="str">
        <x:f>IF(E2544=F2544,"PASS","FAIL")</x:f>
        <x:v>PASS</x:v>
      </x:c>
    </x:row>
    <x:row r="2545">
      <x:c r="B2545" s="21" t="str">
        <x:v>A02539</x:v>
      </x:c>
      <x:c r="C2545" s="21" t="str">
        <x:v>artifact</x:v>
      </x:c>
      <x:c r="D2545" s="21" t="str">
        <x:v>artifact 748 eligibility equation</x:v>
      </x:c>
      <x:c r="E2545" s="21" t="n">
        <x:f>IF(ABS('Artifact Ledger'!P754-IF(AND('Artifact Ledger'!L754=1,'Artifact Ledger'!M754=1,'Artifact Ledger'!N754=1,'Artifact Ledger'!O754&gt;='Artifact Ledger'!G754),'Artifact Ledger'!K754,0))&lt;0.000001,1,0)</x:f>
        <x:v>1</x:v>
      </x:c>
      <x:c r="F2545" s="21" t="n">
        <x:v>1</x:v>
      </x:c>
      <x:c r="G2545" s="23" t="str">
        <x:f>IF(E2545=F2545,"PASS","FAIL")</x:f>
        <x:v>PASS</x:v>
      </x:c>
    </x:row>
    <x:row r="2546">
      <x:c r="B2546" s="21" t="str">
        <x:v>A02540</x:v>
      </x:c>
      <x:c r="C2546" s="21" t="str">
        <x:v>artifact</x:v>
      </x:c>
      <x:c r="D2546" s="21" t="str">
        <x:v>artifact 748 planning state</x:v>
      </x:c>
      <x:c r="E2546" s="21" t="n">
        <x:f>IF(AND('Artifact Ledger'!Q754="OPEN",'Artifact Ledger'!R754="HOLD"),1,0)</x:f>
        <x:v>1</x:v>
      </x:c>
      <x:c r="F2546" s="21" t="n">
        <x:v>1</x:v>
      </x:c>
      <x:c r="G2546" s="23" t="str">
        <x:f>IF(E2546=F2546,"PASS","FAIL")</x:f>
        <x:v>PASS</x:v>
      </x:c>
    </x:row>
    <x:row r="2547">
      <x:c r="B2547" s="21" t="str">
        <x:v>A02541</x:v>
      </x:c>
      <x:c r="C2547" s="21" t="str">
        <x:v>artifact</x:v>
      </x:c>
      <x:c r="D2547" s="21" t="str">
        <x:v>artifact 749 eligibility equation</x:v>
      </x:c>
      <x:c r="E2547" s="21" t="n">
        <x:f>IF(ABS('Artifact Ledger'!P755-IF(AND('Artifact Ledger'!L755=1,'Artifact Ledger'!M755=1,'Artifact Ledger'!N755=1,'Artifact Ledger'!O755&gt;='Artifact Ledger'!G755),'Artifact Ledger'!K755,0))&lt;0.000001,1,0)</x:f>
        <x:v>1</x:v>
      </x:c>
      <x:c r="F2547" s="21" t="n">
        <x:v>1</x:v>
      </x:c>
      <x:c r="G2547" s="23" t="str">
        <x:f>IF(E2547=F2547,"PASS","FAIL")</x:f>
        <x:v>PASS</x:v>
      </x:c>
    </x:row>
    <x:row r="2548">
      <x:c r="B2548" s="21" t="str">
        <x:v>A02542</x:v>
      </x:c>
      <x:c r="C2548" s="21" t="str">
        <x:v>artifact</x:v>
      </x:c>
      <x:c r="D2548" s="21" t="str">
        <x:v>artifact 749 planning state</x:v>
      </x:c>
      <x:c r="E2548" s="21" t="n">
        <x:f>IF(AND('Artifact Ledger'!Q755="OPEN",'Artifact Ledger'!R755="HOLD"),1,0)</x:f>
        <x:v>1</x:v>
      </x:c>
      <x:c r="F2548" s="21" t="n">
        <x:v>1</x:v>
      </x:c>
      <x:c r="G2548" s="23" t="str">
        <x:f>IF(E2548=F2548,"PASS","FAIL")</x:f>
        <x:v>PASS</x:v>
      </x:c>
    </x:row>
    <x:row r="2549">
      <x:c r="B2549" s="21" t="str">
        <x:v>A02543</x:v>
      </x:c>
      <x:c r="C2549" s="21" t="str">
        <x:v>artifact</x:v>
      </x:c>
      <x:c r="D2549" s="21" t="str">
        <x:v>artifact 750 eligibility equation</x:v>
      </x:c>
      <x:c r="E2549" s="21" t="n">
        <x:f>IF(ABS('Artifact Ledger'!P756-IF(AND('Artifact Ledger'!L756=1,'Artifact Ledger'!M756=1,'Artifact Ledger'!N756=1,'Artifact Ledger'!O756&gt;='Artifact Ledger'!G756),'Artifact Ledger'!K756,0))&lt;0.000001,1,0)</x:f>
        <x:v>1</x:v>
      </x:c>
      <x:c r="F2549" s="21" t="n">
        <x:v>1</x:v>
      </x:c>
      <x:c r="G2549" s="23" t="str">
        <x:f>IF(E2549=F2549,"PASS","FAIL")</x:f>
        <x:v>PASS</x:v>
      </x:c>
    </x:row>
    <x:row r="2550">
      <x:c r="B2550" s="21" t="str">
        <x:v>A02544</x:v>
      </x:c>
      <x:c r="C2550" s="21" t="str">
        <x:v>artifact</x:v>
      </x:c>
      <x:c r="D2550" s="21" t="str">
        <x:v>artifact 750 planning state</x:v>
      </x:c>
      <x:c r="E2550" s="21" t="n">
        <x:f>IF(AND('Artifact Ledger'!Q756="OPEN",'Artifact Ledger'!R756="HOLD"),1,0)</x:f>
        <x:v>1</x:v>
      </x:c>
      <x:c r="F2550" s="21" t="n">
        <x:v>1</x:v>
      </x:c>
      <x:c r="G2550" s="23" t="str">
        <x:f>IF(E2550=F2550,"PASS","FAIL")</x:f>
        <x:v>PASS</x:v>
      </x:c>
    </x:row>
    <x:row r="2551">
      <x:c r="B2551" s="21" t="str">
        <x:v>A02545</x:v>
      </x:c>
      <x:c r="C2551" s="21" t="str">
        <x:v>artifact</x:v>
      </x:c>
      <x:c r="D2551" s="21" t="str">
        <x:v>artifact 751 eligibility equation</x:v>
      </x:c>
      <x:c r="E2551" s="21" t="n">
        <x:f>IF(ABS('Artifact Ledger'!P757-IF(AND('Artifact Ledger'!L757=1,'Artifact Ledger'!M757=1,'Artifact Ledger'!N757=1,'Artifact Ledger'!O757&gt;='Artifact Ledger'!G757),'Artifact Ledger'!K757,0))&lt;0.000001,1,0)</x:f>
        <x:v>1</x:v>
      </x:c>
      <x:c r="F2551" s="21" t="n">
        <x:v>1</x:v>
      </x:c>
      <x:c r="G2551" s="23" t="str">
        <x:f>IF(E2551=F2551,"PASS","FAIL")</x:f>
        <x:v>PASS</x:v>
      </x:c>
    </x:row>
    <x:row r="2552">
      <x:c r="B2552" s="21" t="str">
        <x:v>A02546</x:v>
      </x:c>
      <x:c r="C2552" s="21" t="str">
        <x:v>artifact</x:v>
      </x:c>
      <x:c r="D2552" s="21" t="str">
        <x:v>artifact 751 planning state</x:v>
      </x:c>
      <x:c r="E2552" s="21" t="n">
        <x:f>IF(AND('Artifact Ledger'!Q757="OPEN",'Artifact Ledger'!R757="HOLD"),1,0)</x:f>
        <x:v>1</x:v>
      </x:c>
      <x:c r="F2552" s="21" t="n">
        <x:v>1</x:v>
      </x:c>
      <x:c r="G2552" s="23" t="str">
        <x:f>IF(E2552=F2552,"PASS","FAIL")</x:f>
        <x:v>PASS</x:v>
      </x:c>
    </x:row>
    <x:row r="2553">
      <x:c r="B2553" s="21" t="str">
        <x:v>A02547</x:v>
      </x:c>
      <x:c r="C2553" s="21" t="str">
        <x:v>artifact</x:v>
      </x:c>
      <x:c r="D2553" s="21" t="str">
        <x:v>artifact 752 eligibility equation</x:v>
      </x:c>
      <x:c r="E2553" s="21" t="n">
        <x:f>IF(ABS('Artifact Ledger'!P758-IF(AND('Artifact Ledger'!L758=1,'Artifact Ledger'!M758=1,'Artifact Ledger'!N758=1,'Artifact Ledger'!O758&gt;='Artifact Ledger'!G758),'Artifact Ledger'!K758,0))&lt;0.000001,1,0)</x:f>
        <x:v>1</x:v>
      </x:c>
      <x:c r="F2553" s="21" t="n">
        <x:v>1</x:v>
      </x:c>
      <x:c r="G2553" s="23" t="str">
        <x:f>IF(E2553=F2553,"PASS","FAIL")</x:f>
        <x:v>PASS</x:v>
      </x:c>
    </x:row>
    <x:row r="2554">
      <x:c r="B2554" s="21" t="str">
        <x:v>A02548</x:v>
      </x:c>
      <x:c r="C2554" s="21" t="str">
        <x:v>artifact</x:v>
      </x:c>
      <x:c r="D2554" s="21" t="str">
        <x:v>artifact 752 planning state</x:v>
      </x:c>
      <x:c r="E2554" s="21" t="n">
        <x:f>IF(AND('Artifact Ledger'!Q758="OPEN",'Artifact Ledger'!R758="HOLD"),1,0)</x:f>
        <x:v>1</x:v>
      </x:c>
      <x:c r="F2554" s="21" t="n">
        <x:v>1</x:v>
      </x:c>
      <x:c r="G2554" s="23" t="str">
        <x:f>IF(E2554=F2554,"PASS","FAIL")</x:f>
        <x:v>PASS</x:v>
      </x:c>
    </x:row>
    <x:row r="2555">
      <x:c r="B2555" s="21" t="str">
        <x:v>A02549</x:v>
      </x:c>
      <x:c r="C2555" s="21" t="str">
        <x:v>artifact</x:v>
      </x:c>
      <x:c r="D2555" s="21" t="str">
        <x:v>artifact 753 eligibility equation</x:v>
      </x:c>
      <x:c r="E2555" s="21" t="n">
        <x:f>IF(ABS('Artifact Ledger'!P759-IF(AND('Artifact Ledger'!L759=1,'Artifact Ledger'!M759=1,'Artifact Ledger'!N759=1,'Artifact Ledger'!O759&gt;='Artifact Ledger'!G759),'Artifact Ledger'!K759,0))&lt;0.000001,1,0)</x:f>
        <x:v>1</x:v>
      </x:c>
      <x:c r="F2555" s="21" t="n">
        <x:v>1</x:v>
      </x:c>
      <x:c r="G2555" s="23" t="str">
        <x:f>IF(E2555=F2555,"PASS","FAIL")</x:f>
        <x:v>PASS</x:v>
      </x:c>
    </x:row>
    <x:row r="2556">
      <x:c r="B2556" s="21" t="str">
        <x:v>A02550</x:v>
      </x:c>
      <x:c r="C2556" s="21" t="str">
        <x:v>artifact</x:v>
      </x:c>
      <x:c r="D2556" s="21" t="str">
        <x:v>artifact 753 planning state</x:v>
      </x:c>
      <x:c r="E2556" s="21" t="n">
        <x:f>IF(AND('Artifact Ledger'!Q759="OPEN",'Artifact Ledger'!R759="HOLD"),1,0)</x:f>
        <x:v>1</x:v>
      </x:c>
      <x:c r="F2556" s="21" t="n">
        <x:v>1</x:v>
      </x:c>
      <x:c r="G2556" s="23" t="str">
        <x:f>IF(E2556=F2556,"PASS","FAIL")</x:f>
        <x:v>PASS</x:v>
      </x:c>
    </x:row>
    <x:row r="2557">
      <x:c r="B2557" s="21" t="str">
        <x:v>A02551</x:v>
      </x:c>
      <x:c r="C2557" s="21" t="str">
        <x:v>artifact</x:v>
      </x:c>
      <x:c r="D2557" s="21" t="str">
        <x:v>artifact 754 eligibility equation</x:v>
      </x:c>
      <x:c r="E2557" s="21" t="n">
        <x:f>IF(ABS('Artifact Ledger'!P760-IF(AND('Artifact Ledger'!L760=1,'Artifact Ledger'!M760=1,'Artifact Ledger'!N760=1,'Artifact Ledger'!O760&gt;='Artifact Ledger'!G760),'Artifact Ledger'!K760,0))&lt;0.000001,1,0)</x:f>
        <x:v>1</x:v>
      </x:c>
      <x:c r="F2557" s="21" t="n">
        <x:v>1</x:v>
      </x:c>
      <x:c r="G2557" s="23" t="str">
        <x:f>IF(E2557=F2557,"PASS","FAIL")</x:f>
        <x:v>PASS</x:v>
      </x:c>
    </x:row>
    <x:row r="2558">
      <x:c r="B2558" s="21" t="str">
        <x:v>A02552</x:v>
      </x:c>
      <x:c r="C2558" s="21" t="str">
        <x:v>artifact</x:v>
      </x:c>
      <x:c r="D2558" s="21" t="str">
        <x:v>artifact 754 planning state</x:v>
      </x:c>
      <x:c r="E2558" s="21" t="n">
        <x:f>IF(AND('Artifact Ledger'!Q760="OPEN",'Artifact Ledger'!R760="HOLD"),1,0)</x:f>
        <x:v>1</x:v>
      </x:c>
      <x:c r="F2558" s="21" t="n">
        <x:v>1</x:v>
      </x:c>
      <x:c r="G2558" s="23" t="str">
        <x:f>IF(E2558=F2558,"PASS","FAIL")</x:f>
        <x:v>PASS</x:v>
      </x:c>
    </x:row>
    <x:row r="2559">
      <x:c r="B2559" s="21" t="str">
        <x:v>A02553</x:v>
      </x:c>
      <x:c r="C2559" s="21" t="str">
        <x:v>artifact</x:v>
      </x:c>
      <x:c r="D2559" s="21" t="str">
        <x:v>artifact 755 eligibility equation</x:v>
      </x:c>
      <x:c r="E2559" s="21" t="n">
        <x:f>IF(ABS('Artifact Ledger'!P761-IF(AND('Artifact Ledger'!L761=1,'Artifact Ledger'!M761=1,'Artifact Ledger'!N761=1,'Artifact Ledger'!O761&gt;='Artifact Ledger'!G761),'Artifact Ledger'!K761,0))&lt;0.000001,1,0)</x:f>
        <x:v>1</x:v>
      </x:c>
      <x:c r="F2559" s="21" t="n">
        <x:v>1</x:v>
      </x:c>
      <x:c r="G2559" s="23" t="str">
        <x:f>IF(E2559=F2559,"PASS","FAIL")</x:f>
        <x:v>PASS</x:v>
      </x:c>
    </x:row>
    <x:row r="2560">
      <x:c r="B2560" s="21" t="str">
        <x:v>A02554</x:v>
      </x:c>
      <x:c r="C2560" s="21" t="str">
        <x:v>artifact</x:v>
      </x:c>
      <x:c r="D2560" s="21" t="str">
        <x:v>artifact 755 planning state</x:v>
      </x:c>
      <x:c r="E2560" s="21" t="n">
        <x:f>IF(AND('Artifact Ledger'!Q761="OPEN",'Artifact Ledger'!R761="HOLD"),1,0)</x:f>
        <x:v>1</x:v>
      </x:c>
      <x:c r="F2560" s="21" t="n">
        <x:v>1</x:v>
      </x:c>
      <x:c r="G2560" s="23" t="str">
        <x:f>IF(E2560=F2560,"PASS","FAIL")</x:f>
        <x:v>PASS</x:v>
      </x:c>
    </x:row>
    <x:row r="2561">
      <x:c r="B2561" s="21" t="str">
        <x:v>A02555</x:v>
      </x:c>
      <x:c r="C2561" s="21" t="str">
        <x:v>artifact</x:v>
      </x:c>
      <x:c r="D2561" s="21" t="str">
        <x:v>artifact 756 eligibility equation</x:v>
      </x:c>
      <x:c r="E2561" s="21" t="n">
        <x:f>IF(ABS('Artifact Ledger'!P762-IF(AND('Artifact Ledger'!L762=1,'Artifact Ledger'!M762=1,'Artifact Ledger'!N762=1,'Artifact Ledger'!O762&gt;='Artifact Ledger'!G762),'Artifact Ledger'!K762,0))&lt;0.000001,1,0)</x:f>
        <x:v>1</x:v>
      </x:c>
      <x:c r="F2561" s="21" t="n">
        <x:v>1</x:v>
      </x:c>
      <x:c r="G2561" s="23" t="str">
        <x:f>IF(E2561=F2561,"PASS","FAIL")</x:f>
        <x:v>PASS</x:v>
      </x:c>
    </x:row>
    <x:row r="2562">
      <x:c r="B2562" s="21" t="str">
        <x:v>A02556</x:v>
      </x:c>
      <x:c r="C2562" s="21" t="str">
        <x:v>artifact</x:v>
      </x:c>
      <x:c r="D2562" s="21" t="str">
        <x:v>artifact 756 planning state</x:v>
      </x:c>
      <x:c r="E2562" s="21" t="n">
        <x:f>IF(AND('Artifact Ledger'!Q762="OPEN",'Artifact Ledger'!R762="HOLD"),1,0)</x:f>
        <x:v>1</x:v>
      </x:c>
      <x:c r="F2562" s="21" t="n">
        <x:v>1</x:v>
      </x:c>
      <x:c r="G2562" s="23" t="str">
        <x:f>IF(E2562=F2562,"PASS","FAIL")</x:f>
        <x:v>PASS</x:v>
      </x:c>
    </x:row>
    <x:row r="2563">
      <x:c r="B2563" s="21" t="str">
        <x:v>A02557</x:v>
      </x:c>
      <x:c r="C2563" s="21" t="str">
        <x:v>artifact</x:v>
      </x:c>
      <x:c r="D2563" s="21" t="str">
        <x:v>artifact 757 eligibility equation</x:v>
      </x:c>
      <x:c r="E2563" s="21" t="n">
        <x:f>IF(ABS('Artifact Ledger'!P763-IF(AND('Artifact Ledger'!L763=1,'Artifact Ledger'!M763=1,'Artifact Ledger'!N763=1,'Artifact Ledger'!O763&gt;='Artifact Ledger'!G763),'Artifact Ledger'!K763,0))&lt;0.000001,1,0)</x:f>
        <x:v>1</x:v>
      </x:c>
      <x:c r="F2563" s="21" t="n">
        <x:v>1</x:v>
      </x:c>
      <x:c r="G2563" s="23" t="str">
        <x:f>IF(E2563=F2563,"PASS","FAIL")</x:f>
        <x:v>PASS</x:v>
      </x:c>
    </x:row>
    <x:row r="2564">
      <x:c r="B2564" s="21" t="str">
        <x:v>A02558</x:v>
      </x:c>
      <x:c r="C2564" s="21" t="str">
        <x:v>artifact</x:v>
      </x:c>
      <x:c r="D2564" s="21" t="str">
        <x:v>artifact 757 planning state</x:v>
      </x:c>
      <x:c r="E2564" s="21" t="n">
        <x:f>IF(AND('Artifact Ledger'!Q763="OPEN",'Artifact Ledger'!R763="HOLD"),1,0)</x:f>
        <x:v>1</x:v>
      </x:c>
      <x:c r="F2564" s="21" t="n">
        <x:v>1</x:v>
      </x:c>
      <x:c r="G2564" s="23" t="str">
        <x:f>IF(E2564=F2564,"PASS","FAIL")</x:f>
        <x:v>PASS</x:v>
      </x:c>
    </x:row>
    <x:row r="2565">
      <x:c r="B2565" s="21" t="str">
        <x:v>A02559</x:v>
      </x:c>
      <x:c r="C2565" s="21" t="str">
        <x:v>artifact</x:v>
      </x:c>
      <x:c r="D2565" s="21" t="str">
        <x:v>artifact 758 eligibility equation</x:v>
      </x:c>
      <x:c r="E2565" s="21" t="n">
        <x:f>IF(ABS('Artifact Ledger'!P764-IF(AND('Artifact Ledger'!L764=1,'Artifact Ledger'!M764=1,'Artifact Ledger'!N764=1,'Artifact Ledger'!O764&gt;='Artifact Ledger'!G764),'Artifact Ledger'!K764,0))&lt;0.000001,1,0)</x:f>
        <x:v>1</x:v>
      </x:c>
      <x:c r="F2565" s="21" t="n">
        <x:v>1</x:v>
      </x:c>
      <x:c r="G2565" s="23" t="str">
        <x:f>IF(E2565=F2565,"PASS","FAIL")</x:f>
        <x:v>PASS</x:v>
      </x:c>
    </x:row>
    <x:row r="2566">
      <x:c r="B2566" s="21" t="str">
        <x:v>A02560</x:v>
      </x:c>
      <x:c r="C2566" s="21" t="str">
        <x:v>artifact</x:v>
      </x:c>
      <x:c r="D2566" s="21" t="str">
        <x:v>artifact 758 planning state</x:v>
      </x:c>
      <x:c r="E2566" s="21" t="n">
        <x:f>IF(AND('Artifact Ledger'!Q764="OPEN",'Artifact Ledger'!R764="HOLD"),1,0)</x:f>
        <x:v>1</x:v>
      </x:c>
      <x:c r="F2566" s="21" t="n">
        <x:v>1</x:v>
      </x:c>
      <x:c r="G2566" s="23" t="str">
        <x:f>IF(E2566=F2566,"PASS","FAIL")</x:f>
        <x:v>PASS</x:v>
      </x:c>
    </x:row>
    <x:row r="2567">
      <x:c r="B2567" s="21" t="str">
        <x:v>A02561</x:v>
      </x:c>
      <x:c r="C2567" s="21" t="str">
        <x:v>artifact</x:v>
      </x:c>
      <x:c r="D2567" s="21" t="str">
        <x:v>artifact 759 eligibility equation</x:v>
      </x:c>
      <x:c r="E2567" s="21" t="n">
        <x:f>IF(ABS('Artifact Ledger'!P765-IF(AND('Artifact Ledger'!L765=1,'Artifact Ledger'!M765=1,'Artifact Ledger'!N765=1,'Artifact Ledger'!O765&gt;='Artifact Ledger'!G765),'Artifact Ledger'!K765,0))&lt;0.000001,1,0)</x:f>
        <x:v>1</x:v>
      </x:c>
      <x:c r="F2567" s="21" t="n">
        <x:v>1</x:v>
      </x:c>
      <x:c r="G2567" s="23" t="str">
        <x:f>IF(E2567=F2567,"PASS","FAIL")</x:f>
        <x:v>PASS</x:v>
      </x:c>
    </x:row>
    <x:row r="2568">
      <x:c r="B2568" s="21" t="str">
        <x:v>A02562</x:v>
      </x:c>
      <x:c r="C2568" s="21" t="str">
        <x:v>artifact</x:v>
      </x:c>
      <x:c r="D2568" s="21" t="str">
        <x:v>artifact 759 planning state</x:v>
      </x:c>
      <x:c r="E2568" s="21" t="n">
        <x:f>IF(AND('Artifact Ledger'!Q765="OPEN",'Artifact Ledger'!R765="HOLD"),1,0)</x:f>
        <x:v>1</x:v>
      </x:c>
      <x:c r="F2568" s="21" t="n">
        <x:v>1</x:v>
      </x:c>
      <x:c r="G2568" s="23" t="str">
        <x:f>IF(E2568=F2568,"PASS","FAIL")</x:f>
        <x:v>PASS</x:v>
      </x:c>
    </x:row>
    <x:row r="2569">
      <x:c r="B2569" s="21" t="str">
        <x:v>A02563</x:v>
      </x:c>
      <x:c r="C2569" s="21" t="str">
        <x:v>artifact</x:v>
      </x:c>
      <x:c r="D2569" s="21" t="str">
        <x:v>artifact 760 eligibility equation</x:v>
      </x:c>
      <x:c r="E2569" s="21" t="n">
        <x:f>IF(ABS('Artifact Ledger'!P766-IF(AND('Artifact Ledger'!L766=1,'Artifact Ledger'!M766=1,'Artifact Ledger'!N766=1,'Artifact Ledger'!O766&gt;='Artifact Ledger'!G766),'Artifact Ledger'!K766,0))&lt;0.000001,1,0)</x:f>
        <x:v>1</x:v>
      </x:c>
      <x:c r="F2569" s="21" t="n">
        <x:v>1</x:v>
      </x:c>
      <x:c r="G2569" s="23" t="str">
        <x:f>IF(E2569=F2569,"PASS","FAIL")</x:f>
        <x:v>PASS</x:v>
      </x:c>
    </x:row>
    <x:row r="2570">
      <x:c r="B2570" s="21" t="str">
        <x:v>A02564</x:v>
      </x:c>
      <x:c r="C2570" s="21" t="str">
        <x:v>artifact</x:v>
      </x:c>
      <x:c r="D2570" s="21" t="str">
        <x:v>artifact 760 planning state</x:v>
      </x:c>
      <x:c r="E2570" s="21" t="n">
        <x:f>IF(AND('Artifact Ledger'!Q766="OPEN",'Artifact Ledger'!R766="HOLD"),1,0)</x:f>
        <x:v>1</x:v>
      </x:c>
      <x:c r="F2570" s="21" t="n">
        <x:v>1</x:v>
      </x:c>
      <x:c r="G2570" s="23" t="str">
        <x:f>IF(E2570=F2570,"PASS","FAIL")</x:f>
        <x:v>PASS</x:v>
      </x:c>
    </x:row>
    <x:row r="2571">
      <x:c r="B2571" s="21" t="str">
        <x:v>A02565</x:v>
      </x:c>
      <x:c r="C2571" s="21" t="str">
        <x:v>artifact</x:v>
      </x:c>
      <x:c r="D2571" s="21" t="str">
        <x:v>artifact 761 eligibility equation</x:v>
      </x:c>
      <x:c r="E2571" s="21" t="n">
        <x:f>IF(ABS('Artifact Ledger'!P767-IF(AND('Artifact Ledger'!L767=1,'Artifact Ledger'!M767=1,'Artifact Ledger'!N767=1,'Artifact Ledger'!O767&gt;='Artifact Ledger'!G767),'Artifact Ledger'!K767,0))&lt;0.000001,1,0)</x:f>
        <x:v>1</x:v>
      </x:c>
      <x:c r="F2571" s="21" t="n">
        <x:v>1</x:v>
      </x:c>
      <x:c r="G2571" s="23" t="str">
        <x:f>IF(E2571=F2571,"PASS","FAIL")</x:f>
        <x:v>PASS</x:v>
      </x:c>
    </x:row>
    <x:row r="2572">
      <x:c r="B2572" s="21" t="str">
        <x:v>A02566</x:v>
      </x:c>
      <x:c r="C2572" s="21" t="str">
        <x:v>artifact</x:v>
      </x:c>
      <x:c r="D2572" s="21" t="str">
        <x:v>artifact 761 planning state</x:v>
      </x:c>
      <x:c r="E2572" s="21" t="n">
        <x:f>IF(AND('Artifact Ledger'!Q767="OPEN",'Artifact Ledger'!R767="HOLD"),1,0)</x:f>
        <x:v>1</x:v>
      </x:c>
      <x:c r="F2572" s="21" t="n">
        <x:v>1</x:v>
      </x:c>
      <x:c r="G2572" s="23" t="str">
        <x:f>IF(E2572=F2572,"PASS","FAIL")</x:f>
        <x:v>PASS</x:v>
      </x:c>
    </x:row>
    <x:row r="2573">
      <x:c r="B2573" s="21" t="str">
        <x:v>A02567</x:v>
      </x:c>
      <x:c r="C2573" s="21" t="str">
        <x:v>artifact</x:v>
      </x:c>
      <x:c r="D2573" s="21" t="str">
        <x:v>artifact 762 eligibility equation</x:v>
      </x:c>
      <x:c r="E2573" s="21" t="n">
        <x:f>IF(ABS('Artifact Ledger'!P768-IF(AND('Artifact Ledger'!L768=1,'Artifact Ledger'!M768=1,'Artifact Ledger'!N768=1,'Artifact Ledger'!O768&gt;='Artifact Ledger'!G768),'Artifact Ledger'!K768,0))&lt;0.000001,1,0)</x:f>
        <x:v>1</x:v>
      </x:c>
      <x:c r="F2573" s="21" t="n">
        <x:v>1</x:v>
      </x:c>
      <x:c r="G2573" s="23" t="str">
        <x:f>IF(E2573=F2573,"PASS","FAIL")</x:f>
        <x:v>PASS</x:v>
      </x:c>
    </x:row>
    <x:row r="2574">
      <x:c r="B2574" s="21" t="str">
        <x:v>A02568</x:v>
      </x:c>
      <x:c r="C2574" s="21" t="str">
        <x:v>artifact</x:v>
      </x:c>
      <x:c r="D2574" s="21" t="str">
        <x:v>artifact 762 planning state</x:v>
      </x:c>
      <x:c r="E2574" s="21" t="n">
        <x:f>IF(AND('Artifact Ledger'!Q768="OPEN",'Artifact Ledger'!R768="HOLD"),1,0)</x:f>
        <x:v>1</x:v>
      </x:c>
      <x:c r="F2574" s="21" t="n">
        <x:v>1</x:v>
      </x:c>
      <x:c r="G2574" s="23" t="str">
        <x:f>IF(E2574=F2574,"PASS","FAIL")</x:f>
        <x:v>PASS</x:v>
      </x:c>
    </x:row>
    <x:row r="2575">
      <x:c r="B2575" s="21" t="str">
        <x:v>A02569</x:v>
      </x:c>
      <x:c r="C2575" s="21" t="str">
        <x:v>artifact</x:v>
      </x:c>
      <x:c r="D2575" s="21" t="str">
        <x:v>artifact 763 eligibility equation</x:v>
      </x:c>
      <x:c r="E2575" s="21" t="n">
        <x:f>IF(ABS('Artifact Ledger'!P769-IF(AND('Artifact Ledger'!L769=1,'Artifact Ledger'!M769=1,'Artifact Ledger'!N769=1,'Artifact Ledger'!O769&gt;='Artifact Ledger'!G769),'Artifact Ledger'!K769,0))&lt;0.000001,1,0)</x:f>
        <x:v>1</x:v>
      </x:c>
      <x:c r="F2575" s="21" t="n">
        <x:v>1</x:v>
      </x:c>
      <x:c r="G2575" s="23" t="str">
        <x:f>IF(E2575=F2575,"PASS","FAIL")</x:f>
        <x:v>PASS</x:v>
      </x:c>
    </x:row>
    <x:row r="2576">
      <x:c r="B2576" s="21" t="str">
        <x:v>A02570</x:v>
      </x:c>
      <x:c r="C2576" s="21" t="str">
        <x:v>artifact</x:v>
      </x:c>
      <x:c r="D2576" s="21" t="str">
        <x:v>artifact 763 planning state</x:v>
      </x:c>
      <x:c r="E2576" s="21" t="n">
        <x:f>IF(AND('Artifact Ledger'!Q769="OPEN",'Artifact Ledger'!R769="HOLD"),1,0)</x:f>
        <x:v>1</x:v>
      </x:c>
      <x:c r="F2576" s="21" t="n">
        <x:v>1</x:v>
      </x:c>
      <x:c r="G2576" s="23" t="str">
        <x:f>IF(E2576=F2576,"PASS","FAIL")</x:f>
        <x:v>PASS</x:v>
      </x:c>
    </x:row>
    <x:row r="2577">
      <x:c r="B2577" s="21" t="str">
        <x:v>A02571</x:v>
      </x:c>
      <x:c r="C2577" s="21" t="str">
        <x:v>artifact</x:v>
      </x:c>
      <x:c r="D2577" s="21" t="str">
        <x:v>artifact 764 eligibility equation</x:v>
      </x:c>
      <x:c r="E2577" s="21" t="n">
        <x:f>IF(ABS('Artifact Ledger'!P770-IF(AND('Artifact Ledger'!L770=1,'Artifact Ledger'!M770=1,'Artifact Ledger'!N770=1,'Artifact Ledger'!O770&gt;='Artifact Ledger'!G770),'Artifact Ledger'!K770,0))&lt;0.000001,1,0)</x:f>
        <x:v>1</x:v>
      </x:c>
      <x:c r="F2577" s="21" t="n">
        <x:v>1</x:v>
      </x:c>
      <x:c r="G2577" s="23" t="str">
        <x:f>IF(E2577=F2577,"PASS","FAIL")</x:f>
        <x:v>PASS</x:v>
      </x:c>
    </x:row>
    <x:row r="2578">
      <x:c r="B2578" s="21" t="str">
        <x:v>A02572</x:v>
      </x:c>
      <x:c r="C2578" s="21" t="str">
        <x:v>artifact</x:v>
      </x:c>
      <x:c r="D2578" s="21" t="str">
        <x:v>artifact 764 planning state</x:v>
      </x:c>
      <x:c r="E2578" s="21" t="n">
        <x:f>IF(AND('Artifact Ledger'!Q770="OPEN",'Artifact Ledger'!R770="HOLD"),1,0)</x:f>
        <x:v>1</x:v>
      </x:c>
      <x:c r="F2578" s="21" t="n">
        <x:v>1</x:v>
      </x:c>
      <x:c r="G2578" s="23" t="str">
        <x:f>IF(E2578=F2578,"PASS","FAIL")</x:f>
        <x:v>PASS</x:v>
      </x:c>
    </x:row>
    <x:row r="2579">
      <x:c r="B2579" s="21" t="str">
        <x:v>A02573</x:v>
      </x:c>
      <x:c r="C2579" s="21" t="str">
        <x:v>artifact</x:v>
      </x:c>
      <x:c r="D2579" s="21" t="str">
        <x:v>artifact 765 eligibility equation</x:v>
      </x:c>
      <x:c r="E2579" s="21" t="n">
        <x:f>IF(ABS('Artifact Ledger'!P771-IF(AND('Artifact Ledger'!L771=1,'Artifact Ledger'!M771=1,'Artifact Ledger'!N771=1,'Artifact Ledger'!O771&gt;='Artifact Ledger'!G771),'Artifact Ledger'!K771,0))&lt;0.000001,1,0)</x:f>
        <x:v>1</x:v>
      </x:c>
      <x:c r="F2579" s="21" t="n">
        <x:v>1</x:v>
      </x:c>
      <x:c r="G2579" s="23" t="str">
        <x:f>IF(E2579=F2579,"PASS","FAIL")</x:f>
        <x:v>PASS</x:v>
      </x:c>
    </x:row>
    <x:row r="2580">
      <x:c r="B2580" s="21" t="str">
        <x:v>A02574</x:v>
      </x:c>
      <x:c r="C2580" s="21" t="str">
        <x:v>artifact</x:v>
      </x:c>
      <x:c r="D2580" s="21" t="str">
        <x:v>artifact 765 planning state</x:v>
      </x:c>
      <x:c r="E2580" s="21" t="n">
        <x:f>IF(AND('Artifact Ledger'!Q771="OPEN",'Artifact Ledger'!R771="HOLD"),1,0)</x:f>
        <x:v>1</x:v>
      </x:c>
      <x:c r="F2580" s="21" t="n">
        <x:v>1</x:v>
      </x:c>
      <x:c r="G2580" s="23" t="str">
        <x:f>IF(E2580=F2580,"PASS","FAIL")</x:f>
        <x:v>PASS</x:v>
      </x:c>
    </x:row>
    <x:row r="2581">
      <x:c r="B2581" s="21" t="str">
        <x:v>A02575</x:v>
      </x:c>
      <x:c r="C2581" s="21" t="str">
        <x:v>artifact</x:v>
      </x:c>
      <x:c r="D2581" s="21" t="str">
        <x:v>artifact 766 eligibility equation</x:v>
      </x:c>
      <x:c r="E2581" s="21" t="n">
        <x:f>IF(ABS('Artifact Ledger'!P772-IF(AND('Artifact Ledger'!L772=1,'Artifact Ledger'!M772=1,'Artifact Ledger'!N772=1,'Artifact Ledger'!O772&gt;='Artifact Ledger'!G772),'Artifact Ledger'!K772,0))&lt;0.000001,1,0)</x:f>
        <x:v>1</x:v>
      </x:c>
      <x:c r="F2581" s="21" t="n">
        <x:v>1</x:v>
      </x:c>
      <x:c r="G2581" s="23" t="str">
        <x:f>IF(E2581=F2581,"PASS","FAIL")</x:f>
        <x:v>PASS</x:v>
      </x:c>
    </x:row>
    <x:row r="2582">
      <x:c r="B2582" s="21" t="str">
        <x:v>A02576</x:v>
      </x:c>
      <x:c r="C2582" s="21" t="str">
        <x:v>artifact</x:v>
      </x:c>
      <x:c r="D2582" s="21" t="str">
        <x:v>artifact 766 planning state</x:v>
      </x:c>
      <x:c r="E2582" s="21" t="n">
        <x:f>IF(AND('Artifact Ledger'!Q772="OPEN",'Artifact Ledger'!R772="HOLD"),1,0)</x:f>
        <x:v>1</x:v>
      </x:c>
      <x:c r="F2582" s="21" t="n">
        <x:v>1</x:v>
      </x:c>
      <x:c r="G2582" s="23" t="str">
        <x:f>IF(E2582=F2582,"PASS","FAIL")</x:f>
        <x:v>PASS</x:v>
      </x:c>
    </x:row>
    <x:row r="2583">
      <x:c r="B2583" s="21" t="str">
        <x:v>A02577</x:v>
      </x:c>
      <x:c r="C2583" s="21" t="str">
        <x:v>artifact</x:v>
      </x:c>
      <x:c r="D2583" s="21" t="str">
        <x:v>artifact 767 eligibility equation</x:v>
      </x:c>
      <x:c r="E2583" s="21" t="n">
        <x:f>IF(ABS('Artifact Ledger'!P773-IF(AND('Artifact Ledger'!L773=1,'Artifact Ledger'!M773=1,'Artifact Ledger'!N773=1,'Artifact Ledger'!O773&gt;='Artifact Ledger'!G773),'Artifact Ledger'!K773,0))&lt;0.000001,1,0)</x:f>
        <x:v>1</x:v>
      </x:c>
      <x:c r="F2583" s="21" t="n">
        <x:v>1</x:v>
      </x:c>
      <x:c r="G2583" s="23" t="str">
        <x:f>IF(E2583=F2583,"PASS","FAIL")</x:f>
        <x:v>PASS</x:v>
      </x:c>
    </x:row>
    <x:row r="2584">
      <x:c r="B2584" s="21" t="str">
        <x:v>A02578</x:v>
      </x:c>
      <x:c r="C2584" s="21" t="str">
        <x:v>artifact</x:v>
      </x:c>
      <x:c r="D2584" s="21" t="str">
        <x:v>artifact 767 planning state</x:v>
      </x:c>
      <x:c r="E2584" s="21" t="n">
        <x:f>IF(AND('Artifact Ledger'!Q773="OPEN",'Artifact Ledger'!R773="HOLD"),1,0)</x:f>
        <x:v>1</x:v>
      </x:c>
      <x:c r="F2584" s="21" t="n">
        <x:v>1</x:v>
      </x:c>
      <x:c r="G2584" s="23" t="str">
        <x:f>IF(E2584=F2584,"PASS","FAIL")</x:f>
        <x:v>PASS</x:v>
      </x:c>
    </x:row>
    <x:row r="2585">
      <x:c r="B2585" s="21" t="str">
        <x:v>A02579</x:v>
      </x:c>
      <x:c r="C2585" s="21" t="str">
        <x:v>artifact</x:v>
      </x:c>
      <x:c r="D2585" s="21" t="str">
        <x:v>artifact 768 eligibility equation</x:v>
      </x:c>
      <x:c r="E2585" s="21" t="n">
        <x:f>IF(ABS('Artifact Ledger'!P774-IF(AND('Artifact Ledger'!L774=1,'Artifact Ledger'!M774=1,'Artifact Ledger'!N774=1,'Artifact Ledger'!O774&gt;='Artifact Ledger'!G774),'Artifact Ledger'!K774,0))&lt;0.000001,1,0)</x:f>
        <x:v>1</x:v>
      </x:c>
      <x:c r="F2585" s="21" t="n">
        <x:v>1</x:v>
      </x:c>
      <x:c r="G2585" s="23" t="str">
        <x:f>IF(E2585=F2585,"PASS","FAIL")</x:f>
        <x:v>PASS</x:v>
      </x:c>
    </x:row>
    <x:row r="2586">
      <x:c r="B2586" s="21" t="str">
        <x:v>A02580</x:v>
      </x:c>
      <x:c r="C2586" s="21" t="str">
        <x:v>artifact</x:v>
      </x:c>
      <x:c r="D2586" s="21" t="str">
        <x:v>artifact 768 planning state</x:v>
      </x:c>
      <x:c r="E2586" s="21" t="n">
        <x:f>IF(AND('Artifact Ledger'!Q774="OPEN",'Artifact Ledger'!R774="HOLD"),1,0)</x:f>
        <x:v>1</x:v>
      </x:c>
      <x:c r="F2586" s="21" t="n">
        <x:v>1</x:v>
      </x:c>
      <x:c r="G2586" s="23" t="str">
        <x:f>IF(E2586=F2586,"PASS","FAIL")</x:f>
        <x:v>PASS</x:v>
      </x:c>
    </x:row>
    <x:row r="2587">
      <x:c r="B2587" s="21" t="str">
        <x:v>A02581</x:v>
      </x:c>
      <x:c r="C2587" s="21" t="str">
        <x:v>artifact</x:v>
      </x:c>
      <x:c r="D2587" s="21" t="str">
        <x:v>artifact 769 eligibility equation</x:v>
      </x:c>
      <x:c r="E2587" s="21" t="n">
        <x:f>IF(ABS('Artifact Ledger'!P775-IF(AND('Artifact Ledger'!L775=1,'Artifact Ledger'!M775=1,'Artifact Ledger'!N775=1,'Artifact Ledger'!O775&gt;='Artifact Ledger'!G775),'Artifact Ledger'!K775,0))&lt;0.000001,1,0)</x:f>
        <x:v>1</x:v>
      </x:c>
      <x:c r="F2587" s="21" t="n">
        <x:v>1</x:v>
      </x:c>
      <x:c r="G2587" s="23" t="str">
        <x:f>IF(E2587=F2587,"PASS","FAIL")</x:f>
        <x:v>PASS</x:v>
      </x:c>
    </x:row>
    <x:row r="2588">
      <x:c r="B2588" s="21" t="str">
        <x:v>A02582</x:v>
      </x:c>
      <x:c r="C2588" s="21" t="str">
        <x:v>artifact</x:v>
      </x:c>
      <x:c r="D2588" s="21" t="str">
        <x:v>artifact 769 planning state</x:v>
      </x:c>
      <x:c r="E2588" s="21" t="n">
        <x:f>IF(AND('Artifact Ledger'!Q775="OPEN",'Artifact Ledger'!R775="HOLD"),1,0)</x:f>
        <x:v>1</x:v>
      </x:c>
      <x:c r="F2588" s="21" t="n">
        <x:v>1</x:v>
      </x:c>
      <x:c r="G2588" s="23" t="str">
        <x:f>IF(E2588=F2588,"PASS","FAIL")</x:f>
        <x:v>PASS</x:v>
      </x:c>
    </x:row>
    <x:row r="2589">
      <x:c r="B2589" s="21" t="str">
        <x:v>A02583</x:v>
      </x:c>
      <x:c r="C2589" s="21" t="str">
        <x:v>artifact</x:v>
      </x:c>
      <x:c r="D2589" s="21" t="str">
        <x:v>artifact 770 eligibility equation</x:v>
      </x:c>
      <x:c r="E2589" s="21" t="n">
        <x:f>IF(ABS('Artifact Ledger'!P776-IF(AND('Artifact Ledger'!L776=1,'Artifact Ledger'!M776=1,'Artifact Ledger'!N776=1,'Artifact Ledger'!O776&gt;='Artifact Ledger'!G776),'Artifact Ledger'!K776,0))&lt;0.000001,1,0)</x:f>
        <x:v>1</x:v>
      </x:c>
      <x:c r="F2589" s="21" t="n">
        <x:v>1</x:v>
      </x:c>
      <x:c r="G2589" s="23" t="str">
        <x:f>IF(E2589=F2589,"PASS","FAIL")</x:f>
        <x:v>PASS</x:v>
      </x:c>
    </x:row>
    <x:row r="2590">
      <x:c r="B2590" s="21" t="str">
        <x:v>A02584</x:v>
      </x:c>
      <x:c r="C2590" s="21" t="str">
        <x:v>artifact</x:v>
      </x:c>
      <x:c r="D2590" s="21" t="str">
        <x:v>artifact 770 planning state</x:v>
      </x:c>
      <x:c r="E2590" s="21" t="n">
        <x:f>IF(AND('Artifact Ledger'!Q776="OPEN",'Artifact Ledger'!R776="HOLD"),1,0)</x:f>
        <x:v>1</x:v>
      </x:c>
      <x:c r="F2590" s="21" t="n">
        <x:v>1</x:v>
      </x:c>
      <x:c r="G2590" s="23" t="str">
        <x:f>IF(E2590=F2590,"PASS","FAIL")</x:f>
        <x:v>PASS</x:v>
      </x:c>
    </x:row>
    <x:row r="2591">
      <x:c r="B2591" s="21" t="str">
        <x:v>A02585</x:v>
      </x:c>
      <x:c r="C2591" s="21" t="str">
        <x:v>artifact</x:v>
      </x:c>
      <x:c r="D2591" s="21" t="str">
        <x:v>artifact 771 eligibility equation</x:v>
      </x:c>
      <x:c r="E2591" s="21" t="n">
        <x:f>IF(ABS('Artifact Ledger'!P777-IF(AND('Artifact Ledger'!L777=1,'Artifact Ledger'!M777=1,'Artifact Ledger'!N777=1,'Artifact Ledger'!O777&gt;='Artifact Ledger'!G777),'Artifact Ledger'!K777,0))&lt;0.000001,1,0)</x:f>
        <x:v>1</x:v>
      </x:c>
      <x:c r="F2591" s="21" t="n">
        <x:v>1</x:v>
      </x:c>
      <x:c r="G2591" s="23" t="str">
        <x:f>IF(E2591=F2591,"PASS","FAIL")</x:f>
        <x:v>PASS</x:v>
      </x:c>
    </x:row>
    <x:row r="2592">
      <x:c r="B2592" s="21" t="str">
        <x:v>A02586</x:v>
      </x:c>
      <x:c r="C2592" s="21" t="str">
        <x:v>artifact</x:v>
      </x:c>
      <x:c r="D2592" s="21" t="str">
        <x:v>artifact 771 planning state</x:v>
      </x:c>
      <x:c r="E2592" s="21" t="n">
        <x:f>IF(AND('Artifact Ledger'!Q777="OPEN",'Artifact Ledger'!R777="HOLD"),1,0)</x:f>
        <x:v>1</x:v>
      </x:c>
      <x:c r="F2592" s="21" t="n">
        <x:v>1</x:v>
      </x:c>
      <x:c r="G2592" s="23" t="str">
        <x:f>IF(E2592=F2592,"PASS","FAIL")</x:f>
        <x:v>PASS</x:v>
      </x:c>
    </x:row>
    <x:row r="2593">
      <x:c r="B2593" s="21" t="str">
        <x:v>A02587</x:v>
      </x:c>
      <x:c r="C2593" s="21" t="str">
        <x:v>artifact</x:v>
      </x:c>
      <x:c r="D2593" s="21" t="str">
        <x:v>artifact 772 eligibility equation</x:v>
      </x:c>
      <x:c r="E2593" s="21" t="n">
        <x:f>IF(ABS('Artifact Ledger'!P778-IF(AND('Artifact Ledger'!L778=1,'Artifact Ledger'!M778=1,'Artifact Ledger'!N778=1,'Artifact Ledger'!O778&gt;='Artifact Ledger'!G778),'Artifact Ledger'!K778,0))&lt;0.000001,1,0)</x:f>
        <x:v>1</x:v>
      </x:c>
      <x:c r="F2593" s="21" t="n">
        <x:v>1</x:v>
      </x:c>
      <x:c r="G2593" s="23" t="str">
        <x:f>IF(E2593=F2593,"PASS","FAIL")</x:f>
        <x:v>PASS</x:v>
      </x:c>
    </x:row>
    <x:row r="2594">
      <x:c r="B2594" s="21" t="str">
        <x:v>A02588</x:v>
      </x:c>
      <x:c r="C2594" s="21" t="str">
        <x:v>artifact</x:v>
      </x:c>
      <x:c r="D2594" s="21" t="str">
        <x:v>artifact 772 planning state</x:v>
      </x:c>
      <x:c r="E2594" s="21" t="n">
        <x:f>IF(AND('Artifact Ledger'!Q778="OPEN",'Artifact Ledger'!R778="HOLD"),1,0)</x:f>
        <x:v>1</x:v>
      </x:c>
      <x:c r="F2594" s="21" t="n">
        <x:v>1</x:v>
      </x:c>
      <x:c r="G2594" s="23" t="str">
        <x:f>IF(E2594=F2594,"PASS","FAIL")</x:f>
        <x:v>PASS</x:v>
      </x:c>
    </x:row>
    <x:row r="2595">
      <x:c r="B2595" s="21" t="str">
        <x:v>A02589</x:v>
      </x:c>
      <x:c r="C2595" s="21" t="str">
        <x:v>artifact</x:v>
      </x:c>
      <x:c r="D2595" s="21" t="str">
        <x:v>artifact 773 eligibility equation</x:v>
      </x:c>
      <x:c r="E2595" s="21" t="n">
        <x:f>IF(ABS('Artifact Ledger'!P779-IF(AND('Artifact Ledger'!L779=1,'Artifact Ledger'!M779=1,'Artifact Ledger'!N779=1,'Artifact Ledger'!O779&gt;='Artifact Ledger'!G779),'Artifact Ledger'!K779,0))&lt;0.000001,1,0)</x:f>
        <x:v>1</x:v>
      </x:c>
      <x:c r="F2595" s="21" t="n">
        <x:v>1</x:v>
      </x:c>
      <x:c r="G2595" s="23" t="str">
        <x:f>IF(E2595=F2595,"PASS","FAIL")</x:f>
        <x:v>PASS</x:v>
      </x:c>
    </x:row>
    <x:row r="2596">
      <x:c r="B2596" s="21" t="str">
        <x:v>A02590</x:v>
      </x:c>
      <x:c r="C2596" s="21" t="str">
        <x:v>artifact</x:v>
      </x:c>
      <x:c r="D2596" s="21" t="str">
        <x:v>artifact 773 planning state</x:v>
      </x:c>
      <x:c r="E2596" s="21" t="n">
        <x:f>IF(AND('Artifact Ledger'!Q779="OPEN",'Artifact Ledger'!R779="HOLD"),1,0)</x:f>
        <x:v>1</x:v>
      </x:c>
      <x:c r="F2596" s="21" t="n">
        <x:v>1</x:v>
      </x:c>
      <x:c r="G2596" s="23" t="str">
        <x:f>IF(E2596=F2596,"PASS","FAIL")</x:f>
        <x:v>PASS</x:v>
      </x:c>
    </x:row>
    <x:row r="2597">
      <x:c r="B2597" s="21" t="str">
        <x:v>A02591</x:v>
      </x:c>
      <x:c r="C2597" s="21" t="str">
        <x:v>artifact</x:v>
      </x:c>
      <x:c r="D2597" s="21" t="str">
        <x:v>artifact 774 eligibility equation</x:v>
      </x:c>
      <x:c r="E2597" s="21" t="n">
        <x:f>IF(ABS('Artifact Ledger'!P780-IF(AND('Artifact Ledger'!L780=1,'Artifact Ledger'!M780=1,'Artifact Ledger'!N780=1,'Artifact Ledger'!O780&gt;='Artifact Ledger'!G780),'Artifact Ledger'!K780,0))&lt;0.000001,1,0)</x:f>
        <x:v>1</x:v>
      </x:c>
      <x:c r="F2597" s="21" t="n">
        <x:v>1</x:v>
      </x:c>
      <x:c r="G2597" s="23" t="str">
        <x:f>IF(E2597=F2597,"PASS","FAIL")</x:f>
        <x:v>PASS</x:v>
      </x:c>
    </x:row>
    <x:row r="2598">
      <x:c r="B2598" s="21" t="str">
        <x:v>A02592</x:v>
      </x:c>
      <x:c r="C2598" s="21" t="str">
        <x:v>artifact</x:v>
      </x:c>
      <x:c r="D2598" s="21" t="str">
        <x:v>artifact 774 planning state</x:v>
      </x:c>
      <x:c r="E2598" s="21" t="n">
        <x:f>IF(AND('Artifact Ledger'!Q780="OPEN",'Artifact Ledger'!R780="HOLD"),1,0)</x:f>
        <x:v>1</x:v>
      </x:c>
      <x:c r="F2598" s="21" t="n">
        <x:v>1</x:v>
      </x:c>
      <x:c r="G2598" s="23" t="str">
        <x:f>IF(E2598=F2598,"PASS","FAIL")</x:f>
        <x:v>PASS</x:v>
      </x:c>
    </x:row>
    <x:row r="2599">
      <x:c r="B2599" s="21" t="str">
        <x:v>A02593</x:v>
      </x:c>
      <x:c r="C2599" s="21" t="str">
        <x:v>artifact</x:v>
      </x:c>
      <x:c r="D2599" s="21" t="str">
        <x:v>artifact 775 eligibility equation</x:v>
      </x:c>
      <x:c r="E2599" s="21" t="n">
        <x:f>IF(ABS('Artifact Ledger'!P781-IF(AND('Artifact Ledger'!L781=1,'Artifact Ledger'!M781=1,'Artifact Ledger'!N781=1,'Artifact Ledger'!O781&gt;='Artifact Ledger'!G781),'Artifact Ledger'!K781,0))&lt;0.000001,1,0)</x:f>
        <x:v>1</x:v>
      </x:c>
      <x:c r="F2599" s="21" t="n">
        <x:v>1</x:v>
      </x:c>
      <x:c r="G2599" s="23" t="str">
        <x:f>IF(E2599=F2599,"PASS","FAIL")</x:f>
        <x:v>PASS</x:v>
      </x:c>
    </x:row>
    <x:row r="2600">
      <x:c r="B2600" s="21" t="str">
        <x:v>A02594</x:v>
      </x:c>
      <x:c r="C2600" s="21" t="str">
        <x:v>artifact</x:v>
      </x:c>
      <x:c r="D2600" s="21" t="str">
        <x:v>artifact 775 planning state</x:v>
      </x:c>
      <x:c r="E2600" s="21" t="n">
        <x:f>IF(AND('Artifact Ledger'!Q781="OPEN",'Artifact Ledger'!R781="HOLD"),1,0)</x:f>
        <x:v>1</x:v>
      </x:c>
      <x:c r="F2600" s="21" t="n">
        <x:v>1</x:v>
      </x:c>
      <x:c r="G2600" s="23" t="str">
        <x:f>IF(E2600=F2600,"PASS","FAIL")</x:f>
        <x:v>PASS</x:v>
      </x:c>
    </x:row>
    <x:row r="2601">
      <x:c r="B2601" s="21" t="str">
        <x:v>A02595</x:v>
      </x:c>
      <x:c r="C2601" s="21" t="str">
        <x:v>artifact</x:v>
      </x:c>
      <x:c r="D2601" s="21" t="str">
        <x:v>artifact 776 eligibility equation</x:v>
      </x:c>
      <x:c r="E2601" s="21" t="n">
        <x:f>IF(ABS('Artifact Ledger'!P782-IF(AND('Artifact Ledger'!L782=1,'Artifact Ledger'!M782=1,'Artifact Ledger'!N782=1,'Artifact Ledger'!O782&gt;='Artifact Ledger'!G782),'Artifact Ledger'!K782,0))&lt;0.000001,1,0)</x:f>
        <x:v>1</x:v>
      </x:c>
      <x:c r="F2601" s="21" t="n">
        <x:v>1</x:v>
      </x:c>
      <x:c r="G2601" s="23" t="str">
        <x:f>IF(E2601=F2601,"PASS","FAIL")</x:f>
        <x:v>PASS</x:v>
      </x:c>
    </x:row>
    <x:row r="2602">
      <x:c r="B2602" s="21" t="str">
        <x:v>A02596</x:v>
      </x:c>
      <x:c r="C2602" s="21" t="str">
        <x:v>artifact</x:v>
      </x:c>
      <x:c r="D2602" s="21" t="str">
        <x:v>artifact 776 planning state</x:v>
      </x:c>
      <x:c r="E2602" s="21" t="n">
        <x:f>IF(AND('Artifact Ledger'!Q782="OPEN",'Artifact Ledger'!R782="HOLD"),1,0)</x:f>
        <x:v>1</x:v>
      </x:c>
      <x:c r="F2602" s="21" t="n">
        <x:v>1</x:v>
      </x:c>
      <x:c r="G2602" s="23" t="str">
        <x:f>IF(E2602=F2602,"PASS","FAIL")</x:f>
        <x:v>PASS</x:v>
      </x:c>
    </x:row>
    <x:row r="2603">
      <x:c r="B2603" s="21" t="str">
        <x:v>A02597</x:v>
      </x:c>
      <x:c r="C2603" s="21" t="str">
        <x:v>artifact</x:v>
      </x:c>
      <x:c r="D2603" s="21" t="str">
        <x:v>artifact 777 eligibility equation</x:v>
      </x:c>
      <x:c r="E2603" s="21" t="n">
        <x:f>IF(ABS('Artifact Ledger'!P783-IF(AND('Artifact Ledger'!L783=1,'Artifact Ledger'!M783=1,'Artifact Ledger'!N783=1,'Artifact Ledger'!O783&gt;='Artifact Ledger'!G783),'Artifact Ledger'!K783,0))&lt;0.000001,1,0)</x:f>
        <x:v>1</x:v>
      </x:c>
      <x:c r="F2603" s="21" t="n">
        <x:v>1</x:v>
      </x:c>
      <x:c r="G2603" s="23" t="str">
        <x:f>IF(E2603=F2603,"PASS","FAIL")</x:f>
        <x:v>PASS</x:v>
      </x:c>
    </x:row>
    <x:row r="2604">
      <x:c r="B2604" s="21" t="str">
        <x:v>A02598</x:v>
      </x:c>
      <x:c r="C2604" s="21" t="str">
        <x:v>artifact</x:v>
      </x:c>
      <x:c r="D2604" s="21" t="str">
        <x:v>artifact 777 planning state</x:v>
      </x:c>
      <x:c r="E2604" s="21" t="n">
        <x:f>IF(AND('Artifact Ledger'!Q783="OPEN",'Artifact Ledger'!R783="HOLD"),1,0)</x:f>
        <x:v>1</x:v>
      </x:c>
      <x:c r="F2604" s="21" t="n">
        <x:v>1</x:v>
      </x:c>
      <x:c r="G2604" s="23" t="str">
        <x:f>IF(E2604=F2604,"PASS","FAIL")</x:f>
        <x:v>PASS</x:v>
      </x:c>
    </x:row>
    <x:row r="2605">
      <x:c r="B2605" s="21" t="str">
        <x:v>A02599</x:v>
      </x:c>
      <x:c r="C2605" s="21" t="str">
        <x:v>artifact</x:v>
      </x:c>
      <x:c r="D2605" s="21" t="str">
        <x:v>artifact 778 eligibility equation</x:v>
      </x:c>
      <x:c r="E2605" s="21" t="n">
        <x:f>IF(ABS('Artifact Ledger'!P784-IF(AND('Artifact Ledger'!L784=1,'Artifact Ledger'!M784=1,'Artifact Ledger'!N784=1,'Artifact Ledger'!O784&gt;='Artifact Ledger'!G784),'Artifact Ledger'!K784,0))&lt;0.000001,1,0)</x:f>
        <x:v>1</x:v>
      </x:c>
      <x:c r="F2605" s="21" t="n">
        <x:v>1</x:v>
      </x:c>
      <x:c r="G2605" s="23" t="str">
        <x:f>IF(E2605=F2605,"PASS","FAIL")</x:f>
        <x:v>PASS</x:v>
      </x:c>
    </x:row>
    <x:row r="2606">
      <x:c r="B2606" s="21" t="str">
        <x:v>A02600</x:v>
      </x:c>
      <x:c r="C2606" s="21" t="str">
        <x:v>artifact</x:v>
      </x:c>
      <x:c r="D2606" s="21" t="str">
        <x:v>artifact 778 planning state</x:v>
      </x:c>
      <x:c r="E2606" s="21" t="n">
        <x:f>IF(AND('Artifact Ledger'!Q784="OPEN",'Artifact Ledger'!R784="HOLD"),1,0)</x:f>
        <x:v>1</x:v>
      </x:c>
      <x:c r="F2606" s="21" t="n">
        <x:v>1</x:v>
      </x:c>
      <x:c r="G2606" s="23" t="str">
        <x:f>IF(E2606=F2606,"PASS","FAIL")</x:f>
        <x:v>PASS</x:v>
      </x:c>
    </x:row>
    <x:row r="2607">
      <x:c r="B2607" s="21" t="str">
        <x:v>A02601</x:v>
      </x:c>
      <x:c r="C2607" s="21" t="str">
        <x:v>artifact</x:v>
      </x:c>
      <x:c r="D2607" s="21" t="str">
        <x:v>artifact 779 eligibility equation</x:v>
      </x:c>
      <x:c r="E2607" s="21" t="n">
        <x:f>IF(ABS('Artifact Ledger'!P785-IF(AND('Artifact Ledger'!L785=1,'Artifact Ledger'!M785=1,'Artifact Ledger'!N785=1,'Artifact Ledger'!O785&gt;='Artifact Ledger'!G785),'Artifact Ledger'!K785,0))&lt;0.000001,1,0)</x:f>
        <x:v>1</x:v>
      </x:c>
      <x:c r="F2607" s="21" t="n">
        <x:v>1</x:v>
      </x:c>
      <x:c r="G2607" s="23" t="str">
        <x:f>IF(E2607=F2607,"PASS","FAIL")</x:f>
        <x:v>PASS</x:v>
      </x:c>
    </x:row>
    <x:row r="2608">
      <x:c r="B2608" s="21" t="str">
        <x:v>A02602</x:v>
      </x:c>
      <x:c r="C2608" s="21" t="str">
        <x:v>artifact</x:v>
      </x:c>
      <x:c r="D2608" s="21" t="str">
        <x:v>artifact 779 planning state</x:v>
      </x:c>
      <x:c r="E2608" s="21" t="n">
        <x:f>IF(AND('Artifact Ledger'!Q785="OPEN",'Artifact Ledger'!R785="HOLD"),1,0)</x:f>
        <x:v>1</x:v>
      </x:c>
      <x:c r="F2608" s="21" t="n">
        <x:v>1</x:v>
      </x:c>
      <x:c r="G2608" s="23" t="str">
        <x:f>IF(E2608=F2608,"PASS","FAIL")</x:f>
        <x:v>PASS</x:v>
      </x:c>
    </x:row>
    <x:row r="2609">
      <x:c r="B2609" s="21" t="str">
        <x:v>A02603</x:v>
      </x:c>
      <x:c r="C2609" s="21" t="str">
        <x:v>artifact</x:v>
      </x:c>
      <x:c r="D2609" s="21" t="str">
        <x:v>artifact 780 eligibility equation</x:v>
      </x:c>
      <x:c r="E2609" s="21" t="n">
        <x:f>IF(ABS('Artifact Ledger'!P786-IF(AND('Artifact Ledger'!L786=1,'Artifact Ledger'!M786=1,'Artifact Ledger'!N786=1,'Artifact Ledger'!O786&gt;='Artifact Ledger'!G786),'Artifact Ledger'!K786,0))&lt;0.000001,1,0)</x:f>
        <x:v>1</x:v>
      </x:c>
      <x:c r="F2609" s="21" t="n">
        <x:v>1</x:v>
      </x:c>
      <x:c r="G2609" s="23" t="str">
        <x:f>IF(E2609=F2609,"PASS","FAIL")</x:f>
        <x:v>PASS</x:v>
      </x:c>
    </x:row>
    <x:row r="2610">
      <x:c r="B2610" s="21" t="str">
        <x:v>A02604</x:v>
      </x:c>
      <x:c r="C2610" s="21" t="str">
        <x:v>artifact</x:v>
      </x:c>
      <x:c r="D2610" s="21" t="str">
        <x:v>artifact 780 planning state</x:v>
      </x:c>
      <x:c r="E2610" s="21" t="n">
        <x:f>IF(AND('Artifact Ledger'!Q786="OPEN",'Artifact Ledger'!R786="HOLD"),1,0)</x:f>
        <x:v>1</x:v>
      </x:c>
      <x:c r="F2610" s="21" t="n">
        <x:v>1</x:v>
      </x:c>
      <x:c r="G2610" s="23" t="str">
        <x:f>IF(E2610=F2610,"PASS","FAIL")</x:f>
        <x:v>PASS</x:v>
      </x:c>
    </x:row>
    <x:row r="2611">
      <x:c r="B2611" s="21" t="str">
        <x:v>A02605</x:v>
      </x:c>
      <x:c r="C2611" s="21" t="str">
        <x:v>artifact</x:v>
      </x:c>
      <x:c r="D2611" s="21" t="str">
        <x:v>artifact 781 eligibility equation</x:v>
      </x:c>
      <x:c r="E2611" s="21" t="n">
        <x:f>IF(ABS('Artifact Ledger'!P787-IF(AND('Artifact Ledger'!L787=1,'Artifact Ledger'!M787=1,'Artifact Ledger'!N787=1,'Artifact Ledger'!O787&gt;='Artifact Ledger'!G787),'Artifact Ledger'!K787,0))&lt;0.000001,1,0)</x:f>
        <x:v>1</x:v>
      </x:c>
      <x:c r="F2611" s="21" t="n">
        <x:v>1</x:v>
      </x:c>
      <x:c r="G2611" s="23" t="str">
        <x:f>IF(E2611=F2611,"PASS","FAIL")</x:f>
        <x:v>PASS</x:v>
      </x:c>
    </x:row>
    <x:row r="2612">
      <x:c r="B2612" s="21" t="str">
        <x:v>A02606</x:v>
      </x:c>
      <x:c r="C2612" s="21" t="str">
        <x:v>artifact</x:v>
      </x:c>
      <x:c r="D2612" s="21" t="str">
        <x:v>artifact 781 planning state</x:v>
      </x:c>
      <x:c r="E2612" s="21" t="n">
        <x:f>IF(AND('Artifact Ledger'!Q787="OPEN",'Artifact Ledger'!R787="HOLD"),1,0)</x:f>
        <x:v>1</x:v>
      </x:c>
      <x:c r="F2612" s="21" t="n">
        <x:v>1</x:v>
      </x:c>
      <x:c r="G2612" s="23" t="str">
        <x:f>IF(E2612=F2612,"PASS","FAIL")</x:f>
        <x:v>PASS</x:v>
      </x:c>
    </x:row>
    <x:row r="2613">
      <x:c r="B2613" s="21" t="str">
        <x:v>A02607</x:v>
      </x:c>
      <x:c r="C2613" s="21" t="str">
        <x:v>artifact</x:v>
      </x:c>
      <x:c r="D2613" s="21" t="str">
        <x:v>artifact 782 eligibility equation</x:v>
      </x:c>
      <x:c r="E2613" s="21" t="n">
        <x:f>IF(ABS('Artifact Ledger'!P788-IF(AND('Artifact Ledger'!L788=1,'Artifact Ledger'!M788=1,'Artifact Ledger'!N788=1,'Artifact Ledger'!O788&gt;='Artifact Ledger'!G788),'Artifact Ledger'!K788,0))&lt;0.000001,1,0)</x:f>
        <x:v>1</x:v>
      </x:c>
      <x:c r="F2613" s="21" t="n">
        <x:v>1</x:v>
      </x:c>
      <x:c r="G2613" s="23" t="str">
        <x:f>IF(E2613=F2613,"PASS","FAIL")</x:f>
        <x:v>PASS</x:v>
      </x:c>
    </x:row>
    <x:row r="2614">
      <x:c r="B2614" s="21" t="str">
        <x:v>A02608</x:v>
      </x:c>
      <x:c r="C2614" s="21" t="str">
        <x:v>artifact</x:v>
      </x:c>
      <x:c r="D2614" s="21" t="str">
        <x:v>artifact 782 planning state</x:v>
      </x:c>
      <x:c r="E2614" s="21" t="n">
        <x:f>IF(AND('Artifact Ledger'!Q788="OPEN",'Artifact Ledger'!R788="HOLD"),1,0)</x:f>
        <x:v>1</x:v>
      </x:c>
      <x:c r="F2614" s="21" t="n">
        <x:v>1</x:v>
      </x:c>
      <x:c r="G2614" s="23" t="str">
        <x:f>IF(E2614=F2614,"PASS","FAIL")</x:f>
        <x:v>PASS</x:v>
      </x:c>
    </x:row>
    <x:row r="2615">
      <x:c r="B2615" s="21" t="str">
        <x:v>A02609</x:v>
      </x:c>
      <x:c r="C2615" s="21" t="str">
        <x:v>artifact</x:v>
      </x:c>
      <x:c r="D2615" s="21" t="str">
        <x:v>artifact 783 eligibility equation</x:v>
      </x:c>
      <x:c r="E2615" s="21" t="n">
        <x:f>IF(ABS('Artifact Ledger'!P789-IF(AND('Artifact Ledger'!L789=1,'Artifact Ledger'!M789=1,'Artifact Ledger'!N789=1,'Artifact Ledger'!O789&gt;='Artifact Ledger'!G789),'Artifact Ledger'!K789,0))&lt;0.000001,1,0)</x:f>
        <x:v>1</x:v>
      </x:c>
      <x:c r="F2615" s="21" t="n">
        <x:v>1</x:v>
      </x:c>
      <x:c r="G2615" s="23" t="str">
        <x:f>IF(E2615=F2615,"PASS","FAIL")</x:f>
        <x:v>PASS</x:v>
      </x:c>
    </x:row>
    <x:row r="2616">
      <x:c r="B2616" s="21" t="str">
        <x:v>A02610</x:v>
      </x:c>
      <x:c r="C2616" s="21" t="str">
        <x:v>artifact</x:v>
      </x:c>
      <x:c r="D2616" s="21" t="str">
        <x:v>artifact 783 planning state</x:v>
      </x:c>
      <x:c r="E2616" s="21" t="n">
        <x:f>IF(AND('Artifact Ledger'!Q789="OPEN",'Artifact Ledger'!R789="HOLD"),1,0)</x:f>
        <x:v>1</x:v>
      </x:c>
      <x:c r="F2616" s="21" t="n">
        <x:v>1</x:v>
      </x:c>
      <x:c r="G2616" s="23" t="str">
        <x:f>IF(E2616=F2616,"PASS","FAIL")</x:f>
        <x:v>PASS</x:v>
      </x:c>
    </x:row>
    <x:row r="2617">
      <x:c r="B2617" s="21" t="str">
        <x:v>A02611</x:v>
      </x:c>
      <x:c r="C2617" s="21" t="str">
        <x:v>artifact</x:v>
      </x:c>
      <x:c r="D2617" s="21" t="str">
        <x:v>artifact 784 eligibility equation</x:v>
      </x:c>
      <x:c r="E2617" s="21" t="n">
        <x:f>IF(ABS('Artifact Ledger'!P790-IF(AND('Artifact Ledger'!L790=1,'Artifact Ledger'!M790=1,'Artifact Ledger'!N790=1,'Artifact Ledger'!O790&gt;='Artifact Ledger'!G790),'Artifact Ledger'!K790,0))&lt;0.000001,1,0)</x:f>
        <x:v>1</x:v>
      </x:c>
      <x:c r="F2617" s="21" t="n">
        <x:v>1</x:v>
      </x:c>
      <x:c r="G2617" s="23" t="str">
        <x:f>IF(E2617=F2617,"PASS","FAIL")</x:f>
        <x:v>PASS</x:v>
      </x:c>
    </x:row>
    <x:row r="2618">
      <x:c r="B2618" s="21" t="str">
        <x:v>A02612</x:v>
      </x:c>
      <x:c r="C2618" s="21" t="str">
        <x:v>artifact</x:v>
      </x:c>
      <x:c r="D2618" s="21" t="str">
        <x:v>artifact 784 planning state</x:v>
      </x:c>
      <x:c r="E2618" s="21" t="n">
        <x:f>IF(AND('Artifact Ledger'!Q790="OPEN",'Artifact Ledger'!R790="HOLD"),1,0)</x:f>
        <x:v>1</x:v>
      </x:c>
      <x:c r="F2618" s="21" t="n">
        <x:v>1</x:v>
      </x:c>
      <x:c r="G2618" s="23" t="str">
        <x:f>IF(E2618=F2618,"PASS","FAIL")</x:f>
        <x:v>PASS</x:v>
      </x:c>
    </x:row>
    <x:row r="2619">
      <x:c r="B2619" s="21" t="str">
        <x:v>A02613</x:v>
      </x:c>
      <x:c r="C2619" s="21" t="str">
        <x:v>artifact</x:v>
      </x:c>
      <x:c r="D2619" s="21" t="str">
        <x:v>artifact 785 eligibility equation</x:v>
      </x:c>
      <x:c r="E2619" s="21" t="n">
        <x:f>IF(ABS('Artifact Ledger'!P791-IF(AND('Artifact Ledger'!L791=1,'Artifact Ledger'!M791=1,'Artifact Ledger'!N791=1,'Artifact Ledger'!O791&gt;='Artifact Ledger'!G791),'Artifact Ledger'!K791,0))&lt;0.000001,1,0)</x:f>
        <x:v>1</x:v>
      </x:c>
      <x:c r="F2619" s="21" t="n">
        <x:v>1</x:v>
      </x:c>
      <x:c r="G2619" s="23" t="str">
        <x:f>IF(E2619=F2619,"PASS","FAIL")</x:f>
        <x:v>PASS</x:v>
      </x:c>
    </x:row>
    <x:row r="2620">
      <x:c r="B2620" s="21" t="str">
        <x:v>A02614</x:v>
      </x:c>
      <x:c r="C2620" s="21" t="str">
        <x:v>artifact</x:v>
      </x:c>
      <x:c r="D2620" s="21" t="str">
        <x:v>artifact 785 planning state</x:v>
      </x:c>
      <x:c r="E2620" s="21" t="n">
        <x:f>IF(AND('Artifact Ledger'!Q791="OPEN",'Artifact Ledger'!R791="HOLD"),1,0)</x:f>
        <x:v>1</x:v>
      </x:c>
      <x:c r="F2620" s="21" t="n">
        <x:v>1</x:v>
      </x:c>
      <x:c r="G2620" s="23" t="str">
        <x:f>IF(E2620=F2620,"PASS","FAIL")</x:f>
        <x:v>PASS</x:v>
      </x:c>
    </x:row>
    <x:row r="2621">
      <x:c r="B2621" s="21" t="str">
        <x:v>A02615</x:v>
      </x:c>
      <x:c r="C2621" s="21" t="str">
        <x:v>artifact</x:v>
      </x:c>
      <x:c r="D2621" s="21" t="str">
        <x:v>artifact 786 eligibility equation</x:v>
      </x:c>
      <x:c r="E2621" s="21" t="n">
        <x:f>IF(ABS('Artifact Ledger'!P792-IF(AND('Artifact Ledger'!L792=1,'Artifact Ledger'!M792=1,'Artifact Ledger'!N792=1,'Artifact Ledger'!O792&gt;='Artifact Ledger'!G792),'Artifact Ledger'!K792,0))&lt;0.000001,1,0)</x:f>
        <x:v>1</x:v>
      </x:c>
      <x:c r="F2621" s="21" t="n">
        <x:v>1</x:v>
      </x:c>
      <x:c r="G2621" s="23" t="str">
        <x:f>IF(E2621=F2621,"PASS","FAIL")</x:f>
        <x:v>PASS</x:v>
      </x:c>
    </x:row>
    <x:row r="2622">
      <x:c r="B2622" s="21" t="str">
        <x:v>A02616</x:v>
      </x:c>
      <x:c r="C2622" s="21" t="str">
        <x:v>artifact</x:v>
      </x:c>
      <x:c r="D2622" s="21" t="str">
        <x:v>artifact 786 planning state</x:v>
      </x:c>
      <x:c r="E2622" s="21" t="n">
        <x:f>IF(AND('Artifact Ledger'!Q792="OPEN",'Artifact Ledger'!R792="HOLD"),1,0)</x:f>
        <x:v>1</x:v>
      </x:c>
      <x:c r="F2622" s="21" t="n">
        <x:v>1</x:v>
      </x:c>
      <x:c r="G2622" s="23" t="str">
        <x:f>IF(E2622=F2622,"PASS","FAIL")</x:f>
        <x:v>PASS</x:v>
      </x:c>
    </x:row>
    <x:row r="2623">
      <x:c r="B2623" s="21" t="str">
        <x:v>A02617</x:v>
      </x:c>
      <x:c r="C2623" s="21" t="str">
        <x:v>artifact</x:v>
      </x:c>
      <x:c r="D2623" s="21" t="str">
        <x:v>artifact 787 eligibility equation</x:v>
      </x:c>
      <x:c r="E2623" s="21" t="n">
        <x:f>IF(ABS('Artifact Ledger'!P793-IF(AND('Artifact Ledger'!L793=1,'Artifact Ledger'!M793=1,'Artifact Ledger'!N793=1,'Artifact Ledger'!O793&gt;='Artifact Ledger'!G793),'Artifact Ledger'!K793,0))&lt;0.000001,1,0)</x:f>
        <x:v>1</x:v>
      </x:c>
      <x:c r="F2623" s="21" t="n">
        <x:v>1</x:v>
      </x:c>
      <x:c r="G2623" s="23" t="str">
        <x:f>IF(E2623=F2623,"PASS","FAIL")</x:f>
        <x:v>PASS</x:v>
      </x:c>
    </x:row>
    <x:row r="2624">
      <x:c r="B2624" s="21" t="str">
        <x:v>A02618</x:v>
      </x:c>
      <x:c r="C2624" s="21" t="str">
        <x:v>artifact</x:v>
      </x:c>
      <x:c r="D2624" s="21" t="str">
        <x:v>artifact 787 planning state</x:v>
      </x:c>
      <x:c r="E2624" s="21" t="n">
        <x:f>IF(AND('Artifact Ledger'!Q793="OPEN",'Artifact Ledger'!R793="HOLD"),1,0)</x:f>
        <x:v>1</x:v>
      </x:c>
      <x:c r="F2624" s="21" t="n">
        <x:v>1</x:v>
      </x:c>
      <x:c r="G2624" s="23" t="str">
        <x:f>IF(E2624=F2624,"PASS","FAIL")</x:f>
        <x:v>PASS</x:v>
      </x:c>
    </x:row>
    <x:row r="2625">
      <x:c r="B2625" s="21" t="str">
        <x:v>A02619</x:v>
      </x:c>
      <x:c r="C2625" s="21" t="str">
        <x:v>artifact</x:v>
      </x:c>
      <x:c r="D2625" s="21" t="str">
        <x:v>artifact 788 eligibility equation</x:v>
      </x:c>
      <x:c r="E2625" s="21" t="n">
        <x:f>IF(ABS('Artifact Ledger'!P794-IF(AND('Artifact Ledger'!L794=1,'Artifact Ledger'!M794=1,'Artifact Ledger'!N794=1,'Artifact Ledger'!O794&gt;='Artifact Ledger'!G794),'Artifact Ledger'!K794,0))&lt;0.000001,1,0)</x:f>
        <x:v>1</x:v>
      </x:c>
      <x:c r="F2625" s="21" t="n">
        <x:v>1</x:v>
      </x:c>
      <x:c r="G2625" s="23" t="str">
        <x:f>IF(E2625=F2625,"PASS","FAIL")</x:f>
        <x:v>PASS</x:v>
      </x:c>
    </x:row>
    <x:row r="2626">
      <x:c r="B2626" s="21" t="str">
        <x:v>A02620</x:v>
      </x:c>
      <x:c r="C2626" s="21" t="str">
        <x:v>artifact</x:v>
      </x:c>
      <x:c r="D2626" s="21" t="str">
        <x:v>artifact 788 planning state</x:v>
      </x:c>
      <x:c r="E2626" s="21" t="n">
        <x:f>IF(AND('Artifact Ledger'!Q794="OPEN",'Artifact Ledger'!R794="HOLD"),1,0)</x:f>
        <x:v>1</x:v>
      </x:c>
      <x:c r="F2626" s="21" t="n">
        <x:v>1</x:v>
      </x:c>
      <x:c r="G2626" s="23" t="str">
        <x:f>IF(E2626=F2626,"PASS","FAIL")</x:f>
        <x:v>PASS</x:v>
      </x:c>
    </x:row>
    <x:row r="2627">
      <x:c r="B2627" s="21" t="str">
        <x:v>A02621</x:v>
      </x:c>
      <x:c r="C2627" s="21" t="str">
        <x:v>artifact</x:v>
      </x:c>
      <x:c r="D2627" s="21" t="str">
        <x:v>artifact 789 eligibility equation</x:v>
      </x:c>
      <x:c r="E2627" s="21" t="n">
        <x:f>IF(ABS('Artifact Ledger'!P795-IF(AND('Artifact Ledger'!L795=1,'Artifact Ledger'!M795=1,'Artifact Ledger'!N795=1,'Artifact Ledger'!O795&gt;='Artifact Ledger'!G795),'Artifact Ledger'!K795,0))&lt;0.000001,1,0)</x:f>
        <x:v>1</x:v>
      </x:c>
      <x:c r="F2627" s="21" t="n">
        <x:v>1</x:v>
      </x:c>
      <x:c r="G2627" s="23" t="str">
        <x:f>IF(E2627=F2627,"PASS","FAIL")</x:f>
        <x:v>PASS</x:v>
      </x:c>
    </x:row>
    <x:row r="2628">
      <x:c r="B2628" s="21" t="str">
        <x:v>A02622</x:v>
      </x:c>
      <x:c r="C2628" s="21" t="str">
        <x:v>artifact</x:v>
      </x:c>
      <x:c r="D2628" s="21" t="str">
        <x:v>artifact 789 planning state</x:v>
      </x:c>
      <x:c r="E2628" s="21" t="n">
        <x:f>IF(AND('Artifact Ledger'!Q795="OPEN",'Artifact Ledger'!R795="HOLD"),1,0)</x:f>
        <x:v>1</x:v>
      </x:c>
      <x:c r="F2628" s="21" t="n">
        <x:v>1</x:v>
      </x:c>
      <x:c r="G2628" s="23" t="str">
        <x:f>IF(E2628=F2628,"PASS","FAIL")</x:f>
        <x:v>PASS</x:v>
      </x:c>
    </x:row>
    <x:row r="2629">
      <x:c r="B2629" s="21" t="str">
        <x:v>A02623</x:v>
      </x:c>
      <x:c r="C2629" s="21" t="str">
        <x:v>artifact</x:v>
      </x:c>
      <x:c r="D2629" s="21" t="str">
        <x:v>artifact 790 eligibility equation</x:v>
      </x:c>
      <x:c r="E2629" s="21" t="n">
        <x:f>IF(ABS('Artifact Ledger'!P796-IF(AND('Artifact Ledger'!L796=1,'Artifact Ledger'!M796=1,'Artifact Ledger'!N796=1,'Artifact Ledger'!O796&gt;='Artifact Ledger'!G796),'Artifact Ledger'!K796,0))&lt;0.000001,1,0)</x:f>
        <x:v>1</x:v>
      </x:c>
      <x:c r="F2629" s="21" t="n">
        <x:v>1</x:v>
      </x:c>
      <x:c r="G2629" s="23" t="str">
        <x:f>IF(E2629=F2629,"PASS","FAIL")</x:f>
        <x:v>PASS</x:v>
      </x:c>
    </x:row>
    <x:row r="2630">
      <x:c r="B2630" s="21" t="str">
        <x:v>A02624</x:v>
      </x:c>
      <x:c r="C2630" s="21" t="str">
        <x:v>artifact</x:v>
      </x:c>
      <x:c r="D2630" s="21" t="str">
        <x:v>artifact 790 planning state</x:v>
      </x:c>
      <x:c r="E2630" s="21" t="n">
        <x:f>IF(AND('Artifact Ledger'!Q796="OPEN",'Artifact Ledger'!R796="HOLD"),1,0)</x:f>
        <x:v>1</x:v>
      </x:c>
      <x:c r="F2630" s="21" t="n">
        <x:v>1</x:v>
      </x:c>
      <x:c r="G2630" s="23" t="str">
        <x:f>IF(E2630=F2630,"PASS","FAIL")</x:f>
        <x:v>PASS</x:v>
      </x:c>
    </x:row>
    <x:row r="2631">
      <x:c r="B2631" s="21" t="str">
        <x:v>A02625</x:v>
      </x:c>
      <x:c r="C2631" s="21" t="str">
        <x:v>artifact</x:v>
      </x:c>
      <x:c r="D2631" s="21" t="str">
        <x:v>artifact 791 eligibility equation</x:v>
      </x:c>
      <x:c r="E2631" s="21" t="n">
        <x:f>IF(ABS('Artifact Ledger'!P797-IF(AND('Artifact Ledger'!L797=1,'Artifact Ledger'!M797=1,'Artifact Ledger'!N797=1,'Artifact Ledger'!O797&gt;='Artifact Ledger'!G797),'Artifact Ledger'!K797,0))&lt;0.000001,1,0)</x:f>
        <x:v>1</x:v>
      </x:c>
      <x:c r="F2631" s="21" t="n">
        <x:v>1</x:v>
      </x:c>
      <x:c r="G2631" s="23" t="str">
        <x:f>IF(E2631=F2631,"PASS","FAIL")</x:f>
        <x:v>PASS</x:v>
      </x:c>
    </x:row>
    <x:row r="2632">
      <x:c r="B2632" s="21" t="str">
        <x:v>A02626</x:v>
      </x:c>
      <x:c r="C2632" s="21" t="str">
        <x:v>artifact</x:v>
      </x:c>
      <x:c r="D2632" s="21" t="str">
        <x:v>artifact 791 planning state</x:v>
      </x:c>
      <x:c r="E2632" s="21" t="n">
        <x:f>IF(AND('Artifact Ledger'!Q797="OPEN",'Artifact Ledger'!R797="HOLD"),1,0)</x:f>
        <x:v>1</x:v>
      </x:c>
      <x:c r="F2632" s="21" t="n">
        <x:v>1</x:v>
      </x:c>
      <x:c r="G2632" s="23" t="str">
        <x:f>IF(E2632=F2632,"PASS","FAIL")</x:f>
        <x:v>PASS</x:v>
      </x:c>
    </x:row>
    <x:row r="2633">
      <x:c r="B2633" s="21" t="str">
        <x:v>A02627</x:v>
      </x:c>
      <x:c r="C2633" s="21" t="str">
        <x:v>artifact</x:v>
      </x:c>
      <x:c r="D2633" s="21" t="str">
        <x:v>artifact 792 eligibility equation</x:v>
      </x:c>
      <x:c r="E2633" s="21" t="n">
        <x:f>IF(ABS('Artifact Ledger'!P798-IF(AND('Artifact Ledger'!L798=1,'Artifact Ledger'!M798=1,'Artifact Ledger'!N798=1,'Artifact Ledger'!O798&gt;='Artifact Ledger'!G798),'Artifact Ledger'!K798,0))&lt;0.000001,1,0)</x:f>
        <x:v>1</x:v>
      </x:c>
      <x:c r="F2633" s="21" t="n">
        <x:v>1</x:v>
      </x:c>
      <x:c r="G2633" s="23" t="str">
        <x:f>IF(E2633=F2633,"PASS","FAIL")</x:f>
        <x:v>PASS</x:v>
      </x:c>
    </x:row>
    <x:row r="2634">
      <x:c r="B2634" s="21" t="str">
        <x:v>A02628</x:v>
      </x:c>
      <x:c r="C2634" s="21" t="str">
        <x:v>artifact</x:v>
      </x:c>
      <x:c r="D2634" s="21" t="str">
        <x:v>artifact 792 planning state</x:v>
      </x:c>
      <x:c r="E2634" s="21" t="n">
        <x:f>IF(AND('Artifact Ledger'!Q798="OPEN",'Artifact Ledger'!R798="HOLD"),1,0)</x:f>
        <x:v>1</x:v>
      </x:c>
      <x:c r="F2634" s="21" t="n">
        <x:v>1</x:v>
      </x:c>
      <x:c r="G2634" s="23" t="str">
        <x:f>IF(E2634=F2634,"PASS","FAIL")</x:f>
        <x:v>PASS</x:v>
      </x:c>
    </x:row>
    <x:row r="2635">
      <x:c r="B2635" s="21" t="str">
        <x:v>A02629</x:v>
      </x:c>
      <x:c r="C2635" s="21" t="str">
        <x:v>artifact</x:v>
      </x:c>
      <x:c r="D2635" s="21" t="str">
        <x:v>artifact 793 eligibility equation</x:v>
      </x:c>
      <x:c r="E2635" s="21" t="n">
        <x:f>IF(ABS('Artifact Ledger'!P799-IF(AND('Artifact Ledger'!L799=1,'Artifact Ledger'!M799=1,'Artifact Ledger'!N799=1,'Artifact Ledger'!O799&gt;='Artifact Ledger'!G799),'Artifact Ledger'!K799,0))&lt;0.000001,1,0)</x:f>
        <x:v>1</x:v>
      </x:c>
      <x:c r="F2635" s="21" t="n">
        <x:v>1</x:v>
      </x:c>
      <x:c r="G2635" s="23" t="str">
        <x:f>IF(E2635=F2635,"PASS","FAIL")</x:f>
        <x:v>PASS</x:v>
      </x:c>
    </x:row>
    <x:row r="2636">
      <x:c r="B2636" s="21" t="str">
        <x:v>A02630</x:v>
      </x:c>
      <x:c r="C2636" s="21" t="str">
        <x:v>artifact</x:v>
      </x:c>
      <x:c r="D2636" s="21" t="str">
        <x:v>artifact 793 planning state</x:v>
      </x:c>
      <x:c r="E2636" s="21" t="n">
        <x:f>IF(AND('Artifact Ledger'!Q799="OPEN",'Artifact Ledger'!R799="HOLD"),1,0)</x:f>
        <x:v>1</x:v>
      </x:c>
      <x:c r="F2636" s="21" t="n">
        <x:v>1</x:v>
      </x:c>
      <x:c r="G2636" s="23" t="str">
        <x:f>IF(E2636=F2636,"PASS","FAIL")</x:f>
        <x:v>PASS</x:v>
      </x:c>
    </x:row>
    <x:row r="2637">
      <x:c r="B2637" s="21" t="str">
        <x:v>A02631</x:v>
      </x:c>
      <x:c r="C2637" s="21" t="str">
        <x:v>artifact</x:v>
      </x:c>
      <x:c r="D2637" s="21" t="str">
        <x:v>artifact 794 eligibility equation</x:v>
      </x:c>
      <x:c r="E2637" s="21" t="n">
        <x:f>IF(ABS('Artifact Ledger'!P800-IF(AND('Artifact Ledger'!L800=1,'Artifact Ledger'!M800=1,'Artifact Ledger'!N800=1,'Artifact Ledger'!O800&gt;='Artifact Ledger'!G800),'Artifact Ledger'!K800,0))&lt;0.000001,1,0)</x:f>
        <x:v>1</x:v>
      </x:c>
      <x:c r="F2637" s="21" t="n">
        <x:v>1</x:v>
      </x:c>
      <x:c r="G2637" s="23" t="str">
        <x:f>IF(E2637=F2637,"PASS","FAIL")</x:f>
        <x:v>PASS</x:v>
      </x:c>
    </x:row>
    <x:row r="2638">
      <x:c r="B2638" s="21" t="str">
        <x:v>A02632</x:v>
      </x:c>
      <x:c r="C2638" s="21" t="str">
        <x:v>artifact</x:v>
      </x:c>
      <x:c r="D2638" s="21" t="str">
        <x:v>artifact 794 planning state</x:v>
      </x:c>
      <x:c r="E2638" s="21" t="n">
        <x:f>IF(AND('Artifact Ledger'!Q800="OPEN",'Artifact Ledger'!R800="HOLD"),1,0)</x:f>
        <x:v>1</x:v>
      </x:c>
      <x:c r="F2638" s="21" t="n">
        <x:v>1</x:v>
      </x:c>
      <x:c r="G2638" s="23" t="str">
        <x:f>IF(E2638=F2638,"PASS","FAIL")</x:f>
        <x:v>PASS</x:v>
      </x:c>
    </x:row>
    <x:row r="2639">
      <x:c r="B2639" s="21" t="str">
        <x:v>A02633</x:v>
      </x:c>
      <x:c r="C2639" s="21" t="str">
        <x:v>artifact</x:v>
      </x:c>
      <x:c r="D2639" s="21" t="str">
        <x:v>artifact 795 eligibility equation</x:v>
      </x:c>
      <x:c r="E2639" s="21" t="n">
        <x:f>IF(ABS('Artifact Ledger'!P801-IF(AND('Artifact Ledger'!L801=1,'Artifact Ledger'!M801=1,'Artifact Ledger'!N801=1,'Artifact Ledger'!O801&gt;='Artifact Ledger'!G801),'Artifact Ledger'!K801,0))&lt;0.000001,1,0)</x:f>
        <x:v>1</x:v>
      </x:c>
      <x:c r="F2639" s="21" t="n">
        <x:v>1</x:v>
      </x:c>
      <x:c r="G2639" s="23" t="str">
        <x:f>IF(E2639=F2639,"PASS","FAIL")</x:f>
        <x:v>PASS</x:v>
      </x:c>
    </x:row>
    <x:row r="2640">
      <x:c r="B2640" s="21" t="str">
        <x:v>A02634</x:v>
      </x:c>
      <x:c r="C2640" s="21" t="str">
        <x:v>artifact</x:v>
      </x:c>
      <x:c r="D2640" s="21" t="str">
        <x:v>artifact 795 planning state</x:v>
      </x:c>
      <x:c r="E2640" s="21" t="n">
        <x:f>IF(AND('Artifact Ledger'!Q801="OPEN",'Artifact Ledger'!R801="HOLD"),1,0)</x:f>
        <x:v>1</x:v>
      </x:c>
      <x:c r="F2640" s="21" t="n">
        <x:v>1</x:v>
      </x:c>
      <x:c r="G2640" s="23" t="str">
        <x:f>IF(E2640=F2640,"PASS","FAIL")</x:f>
        <x:v>PASS</x:v>
      </x:c>
    </x:row>
    <x:row r="2641">
      <x:c r="B2641" s="21" t="str">
        <x:v>A02635</x:v>
      </x:c>
      <x:c r="C2641" s="21" t="str">
        <x:v>artifact</x:v>
      </x:c>
      <x:c r="D2641" s="21" t="str">
        <x:v>artifact 796 eligibility equation</x:v>
      </x:c>
      <x:c r="E2641" s="21" t="n">
        <x:f>IF(ABS('Artifact Ledger'!P802-IF(AND('Artifact Ledger'!L802=1,'Artifact Ledger'!M802=1,'Artifact Ledger'!N802=1,'Artifact Ledger'!O802&gt;='Artifact Ledger'!G802),'Artifact Ledger'!K802,0))&lt;0.000001,1,0)</x:f>
        <x:v>1</x:v>
      </x:c>
      <x:c r="F2641" s="21" t="n">
        <x:v>1</x:v>
      </x:c>
      <x:c r="G2641" s="23" t="str">
        <x:f>IF(E2641=F2641,"PASS","FAIL")</x:f>
        <x:v>PASS</x:v>
      </x:c>
    </x:row>
    <x:row r="2642">
      <x:c r="B2642" s="21" t="str">
        <x:v>A02636</x:v>
      </x:c>
      <x:c r="C2642" s="21" t="str">
        <x:v>artifact</x:v>
      </x:c>
      <x:c r="D2642" s="21" t="str">
        <x:v>artifact 796 planning state</x:v>
      </x:c>
      <x:c r="E2642" s="21" t="n">
        <x:f>IF(AND('Artifact Ledger'!Q802="OPEN",'Artifact Ledger'!R802="HOLD"),1,0)</x:f>
        <x:v>1</x:v>
      </x:c>
      <x:c r="F2642" s="21" t="n">
        <x:v>1</x:v>
      </x:c>
      <x:c r="G2642" s="23" t="str">
        <x:f>IF(E2642=F2642,"PASS","FAIL")</x:f>
        <x:v>PASS</x:v>
      </x:c>
    </x:row>
    <x:row r="2643">
      <x:c r="B2643" s="21" t="str">
        <x:v>A02637</x:v>
      </x:c>
      <x:c r="C2643" s="21" t="str">
        <x:v>artifact</x:v>
      </x:c>
      <x:c r="D2643" s="21" t="str">
        <x:v>artifact 797 eligibility equation</x:v>
      </x:c>
      <x:c r="E2643" s="21" t="n">
        <x:f>IF(ABS('Artifact Ledger'!P803-IF(AND('Artifact Ledger'!L803=1,'Artifact Ledger'!M803=1,'Artifact Ledger'!N803=1,'Artifact Ledger'!O803&gt;='Artifact Ledger'!G803),'Artifact Ledger'!K803,0))&lt;0.000001,1,0)</x:f>
        <x:v>1</x:v>
      </x:c>
      <x:c r="F2643" s="21" t="n">
        <x:v>1</x:v>
      </x:c>
      <x:c r="G2643" s="23" t="str">
        <x:f>IF(E2643=F2643,"PASS","FAIL")</x:f>
        <x:v>PASS</x:v>
      </x:c>
    </x:row>
    <x:row r="2644">
      <x:c r="B2644" s="21" t="str">
        <x:v>A02638</x:v>
      </x:c>
      <x:c r="C2644" s="21" t="str">
        <x:v>artifact</x:v>
      </x:c>
      <x:c r="D2644" s="21" t="str">
        <x:v>artifact 797 planning state</x:v>
      </x:c>
      <x:c r="E2644" s="21" t="n">
        <x:f>IF(AND('Artifact Ledger'!Q803="OPEN",'Artifact Ledger'!R803="HOLD"),1,0)</x:f>
        <x:v>1</x:v>
      </x:c>
      <x:c r="F2644" s="21" t="n">
        <x:v>1</x:v>
      </x:c>
      <x:c r="G2644" s="23" t="str">
        <x:f>IF(E2644=F2644,"PASS","FAIL")</x:f>
        <x:v>PASS</x:v>
      </x:c>
    </x:row>
    <x:row r="2645">
      <x:c r="B2645" s="21" t="str">
        <x:v>A02639</x:v>
      </x:c>
      <x:c r="C2645" s="21" t="str">
        <x:v>artifact</x:v>
      </x:c>
      <x:c r="D2645" s="21" t="str">
        <x:v>artifact 798 eligibility equation</x:v>
      </x:c>
      <x:c r="E2645" s="21" t="n">
        <x:f>IF(ABS('Artifact Ledger'!P804-IF(AND('Artifact Ledger'!L804=1,'Artifact Ledger'!M804=1,'Artifact Ledger'!N804=1,'Artifact Ledger'!O804&gt;='Artifact Ledger'!G804),'Artifact Ledger'!K804,0))&lt;0.000001,1,0)</x:f>
        <x:v>1</x:v>
      </x:c>
      <x:c r="F2645" s="21" t="n">
        <x:v>1</x:v>
      </x:c>
      <x:c r="G2645" s="23" t="str">
        <x:f>IF(E2645=F2645,"PASS","FAIL")</x:f>
        <x:v>PASS</x:v>
      </x:c>
    </x:row>
    <x:row r="2646">
      <x:c r="B2646" s="21" t="str">
        <x:v>A02640</x:v>
      </x:c>
      <x:c r="C2646" s="21" t="str">
        <x:v>artifact</x:v>
      </x:c>
      <x:c r="D2646" s="21" t="str">
        <x:v>artifact 798 planning state</x:v>
      </x:c>
      <x:c r="E2646" s="21" t="n">
        <x:f>IF(AND('Artifact Ledger'!Q804="OPEN",'Artifact Ledger'!R804="HOLD"),1,0)</x:f>
        <x:v>1</x:v>
      </x:c>
      <x:c r="F2646" s="21" t="n">
        <x:v>1</x:v>
      </x:c>
      <x:c r="G2646" s="23" t="str">
        <x:f>IF(E2646=F2646,"PASS","FAIL")</x:f>
        <x:v>PASS</x:v>
      </x:c>
    </x:row>
    <x:row r="2647">
      <x:c r="B2647" s="21" t="str">
        <x:v>A02641</x:v>
      </x:c>
      <x:c r="C2647" s="21" t="str">
        <x:v>artifact</x:v>
      </x:c>
      <x:c r="D2647" s="21" t="str">
        <x:v>artifact 799 eligibility equation</x:v>
      </x:c>
      <x:c r="E2647" s="21" t="n">
        <x:f>IF(ABS('Artifact Ledger'!P805-IF(AND('Artifact Ledger'!L805=1,'Artifact Ledger'!M805=1,'Artifact Ledger'!N805=1,'Artifact Ledger'!O805&gt;='Artifact Ledger'!G805),'Artifact Ledger'!K805,0))&lt;0.000001,1,0)</x:f>
        <x:v>1</x:v>
      </x:c>
      <x:c r="F2647" s="21" t="n">
        <x:v>1</x:v>
      </x:c>
      <x:c r="G2647" s="23" t="str">
        <x:f>IF(E2647=F2647,"PASS","FAIL")</x:f>
        <x:v>PASS</x:v>
      </x:c>
    </x:row>
    <x:row r="2648">
      <x:c r="B2648" s="21" t="str">
        <x:v>A02642</x:v>
      </x:c>
      <x:c r="C2648" s="21" t="str">
        <x:v>artifact</x:v>
      </x:c>
      <x:c r="D2648" s="21" t="str">
        <x:v>artifact 799 planning state</x:v>
      </x:c>
      <x:c r="E2648" s="21" t="n">
        <x:f>IF(AND('Artifact Ledger'!Q805="OPEN",'Artifact Ledger'!R805="HOLD"),1,0)</x:f>
        <x:v>1</x:v>
      </x:c>
      <x:c r="F2648" s="21" t="n">
        <x:v>1</x:v>
      </x:c>
      <x:c r="G2648" s="23" t="str">
        <x:f>IF(E2648=F2648,"PASS","FAIL")</x:f>
        <x:v>PASS</x:v>
      </x:c>
    </x:row>
    <x:row r="2649">
      <x:c r="B2649" s="21" t="str">
        <x:v>A02643</x:v>
      </x:c>
      <x:c r="C2649" s="21" t="str">
        <x:v>artifact</x:v>
      </x:c>
      <x:c r="D2649" s="21" t="str">
        <x:v>artifact 800 eligibility equation</x:v>
      </x:c>
      <x:c r="E2649" s="21" t="n">
        <x:f>IF(ABS('Artifact Ledger'!P806-IF(AND('Artifact Ledger'!L806=1,'Artifact Ledger'!M806=1,'Artifact Ledger'!N806=1,'Artifact Ledger'!O806&gt;='Artifact Ledger'!G806),'Artifact Ledger'!K806,0))&lt;0.000001,1,0)</x:f>
        <x:v>1</x:v>
      </x:c>
      <x:c r="F2649" s="21" t="n">
        <x:v>1</x:v>
      </x:c>
      <x:c r="G2649" s="23" t="str">
        <x:f>IF(E2649=F2649,"PASS","FAIL")</x:f>
        <x:v>PASS</x:v>
      </x:c>
    </x:row>
    <x:row r="2650">
      <x:c r="B2650" s="21" t="str">
        <x:v>A02644</x:v>
      </x:c>
      <x:c r="C2650" s="21" t="str">
        <x:v>artifact</x:v>
      </x:c>
      <x:c r="D2650" s="21" t="str">
        <x:v>artifact 800 planning state</x:v>
      </x:c>
      <x:c r="E2650" s="21" t="n">
        <x:f>IF(AND('Artifact Ledger'!Q806="OPEN",'Artifact Ledger'!R806="HOLD"),1,0)</x:f>
        <x:v>1</x:v>
      </x:c>
      <x:c r="F2650" s="21" t="n">
        <x:v>1</x:v>
      </x:c>
      <x:c r="G2650" s="23" t="str">
        <x:f>IF(E2650=F2650,"PASS","FAIL")</x:f>
        <x:v>PASS</x:v>
      </x:c>
    </x:row>
    <x:row r="2651">
      <x:c r="B2651" s="21" t="str">
        <x:v>A02645</x:v>
      </x:c>
      <x:c r="C2651" s="21" t="str">
        <x:v>artifact</x:v>
      </x:c>
      <x:c r="D2651" s="21" t="str">
        <x:v>artifact 801 eligibility equation</x:v>
      </x:c>
      <x:c r="E2651" s="21" t="n">
        <x:f>IF(ABS('Artifact Ledger'!P807-IF(AND('Artifact Ledger'!L807=1,'Artifact Ledger'!M807=1,'Artifact Ledger'!N807=1,'Artifact Ledger'!O807&gt;='Artifact Ledger'!G807),'Artifact Ledger'!K807,0))&lt;0.000001,1,0)</x:f>
        <x:v>1</x:v>
      </x:c>
      <x:c r="F2651" s="21" t="n">
        <x:v>1</x:v>
      </x:c>
      <x:c r="G2651" s="23" t="str">
        <x:f>IF(E2651=F2651,"PASS","FAIL")</x:f>
        <x:v>PASS</x:v>
      </x:c>
    </x:row>
    <x:row r="2652">
      <x:c r="B2652" s="21" t="str">
        <x:v>A02646</x:v>
      </x:c>
      <x:c r="C2652" s="21" t="str">
        <x:v>artifact</x:v>
      </x:c>
      <x:c r="D2652" s="21" t="str">
        <x:v>artifact 801 planning state</x:v>
      </x:c>
      <x:c r="E2652" s="21" t="n">
        <x:f>IF(AND('Artifact Ledger'!Q807="OPEN",'Artifact Ledger'!R807="HOLD"),1,0)</x:f>
        <x:v>1</x:v>
      </x:c>
      <x:c r="F2652" s="21" t="n">
        <x:v>1</x:v>
      </x:c>
      <x:c r="G2652" s="23" t="str">
        <x:f>IF(E2652=F2652,"PASS","FAIL")</x:f>
        <x:v>PASS</x:v>
      </x:c>
    </x:row>
    <x:row r="2653">
      <x:c r="B2653" s="21" t="str">
        <x:v>A02647</x:v>
      </x:c>
      <x:c r="C2653" s="21" t="str">
        <x:v>artifact</x:v>
      </x:c>
      <x:c r="D2653" s="21" t="str">
        <x:v>artifact 802 eligibility equation</x:v>
      </x:c>
      <x:c r="E2653" s="21" t="n">
        <x:f>IF(ABS('Artifact Ledger'!P808-IF(AND('Artifact Ledger'!L808=1,'Artifact Ledger'!M808=1,'Artifact Ledger'!N808=1,'Artifact Ledger'!O808&gt;='Artifact Ledger'!G808),'Artifact Ledger'!K808,0))&lt;0.000001,1,0)</x:f>
        <x:v>1</x:v>
      </x:c>
      <x:c r="F2653" s="21" t="n">
        <x:v>1</x:v>
      </x:c>
      <x:c r="G2653" s="23" t="str">
        <x:f>IF(E2653=F2653,"PASS","FAIL")</x:f>
        <x:v>PASS</x:v>
      </x:c>
    </x:row>
    <x:row r="2654">
      <x:c r="B2654" s="21" t="str">
        <x:v>A02648</x:v>
      </x:c>
      <x:c r="C2654" s="21" t="str">
        <x:v>artifact</x:v>
      </x:c>
      <x:c r="D2654" s="21" t="str">
        <x:v>artifact 802 planning state</x:v>
      </x:c>
      <x:c r="E2654" s="21" t="n">
        <x:f>IF(AND('Artifact Ledger'!Q808="OPEN",'Artifact Ledger'!R808="HOLD"),1,0)</x:f>
        <x:v>1</x:v>
      </x:c>
      <x:c r="F2654" s="21" t="n">
        <x:v>1</x:v>
      </x:c>
      <x:c r="G2654" s="23" t="str">
        <x:f>IF(E2654=F2654,"PASS","FAIL")</x:f>
        <x:v>PASS</x:v>
      </x:c>
    </x:row>
    <x:row r="2655">
      <x:c r="B2655" s="21" t="str">
        <x:v>A02649</x:v>
      </x:c>
      <x:c r="C2655" s="21" t="str">
        <x:v>artifact</x:v>
      </x:c>
      <x:c r="D2655" s="21" t="str">
        <x:v>artifact 803 eligibility equation</x:v>
      </x:c>
      <x:c r="E2655" s="21" t="n">
        <x:f>IF(ABS('Artifact Ledger'!P809-IF(AND('Artifact Ledger'!L809=1,'Artifact Ledger'!M809=1,'Artifact Ledger'!N809=1,'Artifact Ledger'!O809&gt;='Artifact Ledger'!G809),'Artifact Ledger'!K809,0))&lt;0.000001,1,0)</x:f>
        <x:v>1</x:v>
      </x:c>
      <x:c r="F2655" s="21" t="n">
        <x:v>1</x:v>
      </x:c>
      <x:c r="G2655" s="23" t="str">
        <x:f>IF(E2655=F2655,"PASS","FAIL")</x:f>
        <x:v>PASS</x:v>
      </x:c>
    </x:row>
    <x:row r="2656">
      <x:c r="B2656" s="21" t="str">
        <x:v>A02650</x:v>
      </x:c>
      <x:c r="C2656" s="21" t="str">
        <x:v>artifact</x:v>
      </x:c>
      <x:c r="D2656" s="21" t="str">
        <x:v>artifact 803 planning state</x:v>
      </x:c>
      <x:c r="E2656" s="21" t="n">
        <x:f>IF(AND('Artifact Ledger'!Q809="OPEN",'Artifact Ledger'!R809="HOLD"),1,0)</x:f>
        <x:v>1</x:v>
      </x:c>
      <x:c r="F2656" s="21" t="n">
        <x:v>1</x:v>
      </x:c>
      <x:c r="G2656" s="23" t="str">
        <x:f>IF(E2656=F2656,"PASS","FAIL")</x:f>
        <x:v>PASS</x:v>
      </x:c>
    </x:row>
    <x:row r="2657">
      <x:c r="B2657" s="21" t="str">
        <x:v>A02651</x:v>
      </x:c>
      <x:c r="C2657" s="21" t="str">
        <x:v>artifact</x:v>
      </x:c>
      <x:c r="D2657" s="21" t="str">
        <x:v>artifact 804 eligibility equation</x:v>
      </x:c>
      <x:c r="E2657" s="21" t="n">
        <x:f>IF(ABS('Artifact Ledger'!P810-IF(AND('Artifact Ledger'!L810=1,'Artifact Ledger'!M810=1,'Artifact Ledger'!N810=1,'Artifact Ledger'!O810&gt;='Artifact Ledger'!G810),'Artifact Ledger'!K810,0))&lt;0.000001,1,0)</x:f>
        <x:v>1</x:v>
      </x:c>
      <x:c r="F2657" s="21" t="n">
        <x:v>1</x:v>
      </x:c>
      <x:c r="G2657" s="23" t="str">
        <x:f>IF(E2657=F2657,"PASS","FAIL")</x:f>
        <x:v>PASS</x:v>
      </x:c>
    </x:row>
    <x:row r="2658">
      <x:c r="B2658" s="21" t="str">
        <x:v>A02652</x:v>
      </x:c>
      <x:c r="C2658" s="21" t="str">
        <x:v>artifact</x:v>
      </x:c>
      <x:c r="D2658" s="21" t="str">
        <x:v>artifact 804 planning state</x:v>
      </x:c>
      <x:c r="E2658" s="21" t="n">
        <x:f>IF(AND('Artifact Ledger'!Q810="OPEN",'Artifact Ledger'!R810="HOLD"),1,0)</x:f>
        <x:v>1</x:v>
      </x:c>
      <x:c r="F2658" s="21" t="n">
        <x:v>1</x:v>
      </x:c>
      <x:c r="G2658" s="23" t="str">
        <x:f>IF(E2658=F2658,"PASS","FAIL")</x:f>
        <x:v>PASS</x:v>
      </x:c>
    </x:row>
    <x:row r="2659">
      <x:c r="B2659" s="21" t="str">
        <x:v>A02653</x:v>
      </x:c>
      <x:c r="C2659" s="21" t="str">
        <x:v>artifact</x:v>
      </x:c>
      <x:c r="D2659" s="21" t="str">
        <x:v>artifact 805 eligibility equation</x:v>
      </x:c>
      <x:c r="E2659" s="21" t="n">
        <x:f>IF(ABS('Artifact Ledger'!P811-IF(AND('Artifact Ledger'!L811=1,'Artifact Ledger'!M811=1,'Artifact Ledger'!N811=1,'Artifact Ledger'!O811&gt;='Artifact Ledger'!G811),'Artifact Ledger'!K811,0))&lt;0.000001,1,0)</x:f>
        <x:v>1</x:v>
      </x:c>
      <x:c r="F2659" s="21" t="n">
        <x:v>1</x:v>
      </x:c>
      <x:c r="G2659" s="23" t="str">
        <x:f>IF(E2659=F2659,"PASS","FAIL")</x:f>
        <x:v>PASS</x:v>
      </x:c>
    </x:row>
    <x:row r="2660">
      <x:c r="B2660" s="21" t="str">
        <x:v>A02654</x:v>
      </x:c>
      <x:c r="C2660" s="21" t="str">
        <x:v>artifact</x:v>
      </x:c>
      <x:c r="D2660" s="21" t="str">
        <x:v>artifact 805 planning state</x:v>
      </x:c>
      <x:c r="E2660" s="21" t="n">
        <x:f>IF(AND('Artifact Ledger'!Q811="OPEN",'Artifact Ledger'!R811="HOLD"),1,0)</x:f>
        <x:v>1</x:v>
      </x:c>
      <x:c r="F2660" s="21" t="n">
        <x:v>1</x:v>
      </x:c>
      <x:c r="G2660" s="23" t="str">
        <x:f>IF(E2660=F2660,"PASS","FAIL")</x:f>
        <x:v>PASS</x:v>
      </x:c>
    </x:row>
    <x:row r="2661">
      <x:c r="B2661" s="21" t="str">
        <x:v>A02655</x:v>
      </x:c>
      <x:c r="C2661" s="21" t="str">
        <x:v>artifact</x:v>
      </x:c>
      <x:c r="D2661" s="21" t="str">
        <x:v>artifact 806 eligibility equation</x:v>
      </x:c>
      <x:c r="E2661" s="21" t="n">
        <x:f>IF(ABS('Artifact Ledger'!P812-IF(AND('Artifact Ledger'!L812=1,'Artifact Ledger'!M812=1,'Artifact Ledger'!N812=1,'Artifact Ledger'!O812&gt;='Artifact Ledger'!G812),'Artifact Ledger'!K812,0))&lt;0.000001,1,0)</x:f>
        <x:v>1</x:v>
      </x:c>
      <x:c r="F2661" s="21" t="n">
        <x:v>1</x:v>
      </x:c>
      <x:c r="G2661" s="23" t="str">
        <x:f>IF(E2661=F2661,"PASS","FAIL")</x:f>
        <x:v>PASS</x:v>
      </x:c>
    </x:row>
    <x:row r="2662">
      <x:c r="B2662" s="21" t="str">
        <x:v>A02656</x:v>
      </x:c>
      <x:c r="C2662" s="21" t="str">
        <x:v>artifact</x:v>
      </x:c>
      <x:c r="D2662" s="21" t="str">
        <x:v>artifact 806 planning state</x:v>
      </x:c>
      <x:c r="E2662" s="21" t="n">
        <x:f>IF(AND('Artifact Ledger'!Q812="OPEN",'Artifact Ledger'!R812="HOLD"),1,0)</x:f>
        <x:v>1</x:v>
      </x:c>
      <x:c r="F2662" s="21" t="n">
        <x:v>1</x:v>
      </x:c>
      <x:c r="G2662" s="23" t="str">
        <x:f>IF(E2662=F2662,"PASS","FAIL")</x:f>
        <x:v>PASS</x:v>
      </x:c>
    </x:row>
    <x:row r="2663">
      <x:c r="B2663" s="21" t="str">
        <x:v>A02657</x:v>
      </x:c>
      <x:c r="C2663" s="21" t="str">
        <x:v>artifact</x:v>
      </x:c>
      <x:c r="D2663" s="21" t="str">
        <x:v>artifact 807 eligibility equation</x:v>
      </x:c>
      <x:c r="E2663" s="21" t="n">
        <x:f>IF(ABS('Artifact Ledger'!P813-IF(AND('Artifact Ledger'!L813=1,'Artifact Ledger'!M813=1,'Artifact Ledger'!N813=1,'Artifact Ledger'!O813&gt;='Artifact Ledger'!G813),'Artifact Ledger'!K813,0))&lt;0.000001,1,0)</x:f>
        <x:v>1</x:v>
      </x:c>
      <x:c r="F2663" s="21" t="n">
        <x:v>1</x:v>
      </x:c>
      <x:c r="G2663" s="23" t="str">
        <x:f>IF(E2663=F2663,"PASS","FAIL")</x:f>
        <x:v>PASS</x:v>
      </x:c>
    </x:row>
    <x:row r="2664">
      <x:c r="B2664" s="21" t="str">
        <x:v>A02658</x:v>
      </x:c>
      <x:c r="C2664" s="21" t="str">
        <x:v>artifact</x:v>
      </x:c>
      <x:c r="D2664" s="21" t="str">
        <x:v>artifact 807 planning state</x:v>
      </x:c>
      <x:c r="E2664" s="21" t="n">
        <x:f>IF(AND('Artifact Ledger'!Q813="OPEN",'Artifact Ledger'!R813="HOLD"),1,0)</x:f>
        <x:v>1</x:v>
      </x:c>
      <x:c r="F2664" s="21" t="n">
        <x:v>1</x:v>
      </x:c>
      <x:c r="G2664" s="23" t="str">
        <x:f>IF(E2664=F2664,"PASS","FAIL")</x:f>
        <x:v>PASS</x:v>
      </x:c>
    </x:row>
    <x:row r="2665">
      <x:c r="B2665" s="21" t="str">
        <x:v>A02659</x:v>
      </x:c>
      <x:c r="C2665" s="21" t="str">
        <x:v>artifact</x:v>
      </x:c>
      <x:c r="D2665" s="21" t="str">
        <x:v>artifact 808 eligibility equation</x:v>
      </x:c>
      <x:c r="E2665" s="21" t="n">
        <x:f>IF(ABS('Artifact Ledger'!P814-IF(AND('Artifact Ledger'!L814=1,'Artifact Ledger'!M814=1,'Artifact Ledger'!N814=1,'Artifact Ledger'!O814&gt;='Artifact Ledger'!G814),'Artifact Ledger'!K814,0))&lt;0.000001,1,0)</x:f>
        <x:v>1</x:v>
      </x:c>
      <x:c r="F2665" s="21" t="n">
        <x:v>1</x:v>
      </x:c>
      <x:c r="G2665" s="23" t="str">
        <x:f>IF(E2665=F2665,"PASS","FAIL")</x:f>
        <x:v>PASS</x:v>
      </x:c>
    </x:row>
    <x:row r="2666">
      <x:c r="B2666" s="21" t="str">
        <x:v>A02660</x:v>
      </x:c>
      <x:c r="C2666" s="21" t="str">
        <x:v>artifact</x:v>
      </x:c>
      <x:c r="D2666" s="21" t="str">
        <x:v>artifact 808 planning state</x:v>
      </x:c>
      <x:c r="E2666" s="21" t="n">
        <x:f>IF(AND('Artifact Ledger'!Q814="OPEN",'Artifact Ledger'!R814="HOLD"),1,0)</x:f>
        <x:v>1</x:v>
      </x:c>
      <x:c r="F2666" s="21" t="n">
        <x:v>1</x:v>
      </x:c>
      <x:c r="G2666" s="23" t="str">
        <x:f>IF(E2666=F2666,"PASS","FAIL")</x:f>
        <x:v>PASS</x:v>
      </x:c>
    </x:row>
    <x:row r="2667">
      <x:c r="B2667" s="21" t="str">
        <x:v>A02661</x:v>
      </x:c>
      <x:c r="C2667" s="21" t="str">
        <x:v>artifact</x:v>
      </x:c>
      <x:c r="D2667" s="21" t="str">
        <x:v>artifact 809 eligibility equation</x:v>
      </x:c>
      <x:c r="E2667" s="21" t="n">
        <x:f>IF(ABS('Artifact Ledger'!P815-IF(AND('Artifact Ledger'!L815=1,'Artifact Ledger'!M815=1,'Artifact Ledger'!N815=1,'Artifact Ledger'!O815&gt;='Artifact Ledger'!G815),'Artifact Ledger'!K815,0))&lt;0.000001,1,0)</x:f>
        <x:v>1</x:v>
      </x:c>
      <x:c r="F2667" s="21" t="n">
        <x:v>1</x:v>
      </x:c>
      <x:c r="G2667" s="23" t="str">
        <x:f>IF(E2667=F2667,"PASS","FAIL")</x:f>
        <x:v>PASS</x:v>
      </x:c>
    </x:row>
    <x:row r="2668">
      <x:c r="B2668" s="21" t="str">
        <x:v>A02662</x:v>
      </x:c>
      <x:c r="C2668" s="21" t="str">
        <x:v>artifact</x:v>
      </x:c>
      <x:c r="D2668" s="21" t="str">
        <x:v>artifact 809 planning state</x:v>
      </x:c>
      <x:c r="E2668" s="21" t="n">
        <x:f>IF(AND('Artifact Ledger'!Q815="OPEN",'Artifact Ledger'!R815="HOLD"),1,0)</x:f>
        <x:v>1</x:v>
      </x:c>
      <x:c r="F2668" s="21" t="n">
        <x:v>1</x:v>
      </x:c>
      <x:c r="G2668" s="23" t="str">
        <x:f>IF(E2668=F2668,"PASS","FAIL")</x:f>
        <x:v>PASS</x:v>
      </x:c>
    </x:row>
    <x:row r="2669">
      <x:c r="B2669" s="21" t="str">
        <x:v>A02663</x:v>
      </x:c>
      <x:c r="C2669" s="21" t="str">
        <x:v>artifact</x:v>
      </x:c>
      <x:c r="D2669" s="21" t="str">
        <x:v>artifact 810 eligibility equation</x:v>
      </x:c>
      <x:c r="E2669" s="21" t="n">
        <x:f>IF(ABS('Artifact Ledger'!P816-IF(AND('Artifact Ledger'!L816=1,'Artifact Ledger'!M816=1,'Artifact Ledger'!N816=1,'Artifact Ledger'!O816&gt;='Artifact Ledger'!G816),'Artifact Ledger'!K816,0))&lt;0.000001,1,0)</x:f>
        <x:v>1</x:v>
      </x:c>
      <x:c r="F2669" s="21" t="n">
        <x:v>1</x:v>
      </x:c>
      <x:c r="G2669" s="23" t="str">
        <x:f>IF(E2669=F2669,"PASS","FAIL")</x:f>
        <x:v>PASS</x:v>
      </x:c>
    </x:row>
    <x:row r="2670">
      <x:c r="B2670" s="21" t="str">
        <x:v>A02664</x:v>
      </x:c>
      <x:c r="C2670" s="21" t="str">
        <x:v>artifact</x:v>
      </x:c>
      <x:c r="D2670" s="21" t="str">
        <x:v>artifact 810 planning state</x:v>
      </x:c>
      <x:c r="E2670" s="21" t="n">
        <x:f>IF(AND('Artifact Ledger'!Q816="OPEN",'Artifact Ledger'!R816="HOLD"),1,0)</x:f>
        <x:v>1</x:v>
      </x:c>
      <x:c r="F2670" s="21" t="n">
        <x:v>1</x:v>
      </x:c>
      <x:c r="G2670" s="23" t="str">
        <x:f>IF(E2670=F2670,"PASS","FAIL")</x:f>
        <x:v>PASS</x:v>
      </x:c>
    </x:row>
    <x:row r="2671">
      <x:c r="B2671" s="21" t="str">
        <x:v>A02665</x:v>
      </x:c>
      <x:c r="C2671" s="21" t="str">
        <x:v>artifact</x:v>
      </x:c>
      <x:c r="D2671" s="21" t="str">
        <x:v>artifact 811 eligibility equation</x:v>
      </x:c>
      <x:c r="E2671" s="21" t="n">
        <x:f>IF(ABS('Artifact Ledger'!P817-IF(AND('Artifact Ledger'!L817=1,'Artifact Ledger'!M817=1,'Artifact Ledger'!N817=1,'Artifact Ledger'!O817&gt;='Artifact Ledger'!G817),'Artifact Ledger'!K817,0))&lt;0.000001,1,0)</x:f>
        <x:v>1</x:v>
      </x:c>
      <x:c r="F2671" s="21" t="n">
        <x:v>1</x:v>
      </x:c>
      <x:c r="G2671" s="23" t="str">
        <x:f>IF(E2671=F2671,"PASS","FAIL")</x:f>
        <x:v>PASS</x:v>
      </x:c>
    </x:row>
    <x:row r="2672">
      <x:c r="B2672" s="21" t="str">
        <x:v>A02666</x:v>
      </x:c>
      <x:c r="C2672" s="21" t="str">
        <x:v>artifact</x:v>
      </x:c>
      <x:c r="D2672" s="21" t="str">
        <x:v>artifact 811 planning state</x:v>
      </x:c>
      <x:c r="E2672" s="21" t="n">
        <x:f>IF(AND('Artifact Ledger'!Q817="OPEN",'Artifact Ledger'!R817="HOLD"),1,0)</x:f>
        <x:v>1</x:v>
      </x:c>
      <x:c r="F2672" s="21" t="n">
        <x:v>1</x:v>
      </x:c>
      <x:c r="G2672" s="23" t="str">
        <x:f>IF(E2672=F2672,"PASS","FAIL")</x:f>
        <x:v>PASS</x:v>
      </x:c>
    </x:row>
    <x:row r="2673">
      <x:c r="B2673" s="21" t="str">
        <x:v>A02667</x:v>
      </x:c>
      <x:c r="C2673" s="21" t="str">
        <x:v>artifact</x:v>
      </x:c>
      <x:c r="D2673" s="21" t="str">
        <x:v>artifact 812 eligibility equation</x:v>
      </x:c>
      <x:c r="E2673" s="21" t="n">
        <x:f>IF(ABS('Artifact Ledger'!P818-IF(AND('Artifact Ledger'!L818=1,'Artifact Ledger'!M818=1,'Artifact Ledger'!N818=1,'Artifact Ledger'!O818&gt;='Artifact Ledger'!G818),'Artifact Ledger'!K818,0))&lt;0.000001,1,0)</x:f>
        <x:v>1</x:v>
      </x:c>
      <x:c r="F2673" s="21" t="n">
        <x:v>1</x:v>
      </x:c>
      <x:c r="G2673" s="23" t="str">
        <x:f>IF(E2673=F2673,"PASS","FAIL")</x:f>
        <x:v>PASS</x:v>
      </x:c>
    </x:row>
    <x:row r="2674">
      <x:c r="B2674" s="21" t="str">
        <x:v>A02668</x:v>
      </x:c>
      <x:c r="C2674" s="21" t="str">
        <x:v>artifact</x:v>
      </x:c>
      <x:c r="D2674" s="21" t="str">
        <x:v>artifact 812 planning state</x:v>
      </x:c>
      <x:c r="E2674" s="21" t="n">
        <x:f>IF(AND('Artifact Ledger'!Q818="OPEN",'Artifact Ledger'!R818="HOLD"),1,0)</x:f>
        <x:v>1</x:v>
      </x:c>
      <x:c r="F2674" s="21" t="n">
        <x:v>1</x:v>
      </x:c>
      <x:c r="G2674" s="23" t="str">
        <x:f>IF(E2674=F2674,"PASS","FAIL")</x:f>
        <x:v>PASS</x:v>
      </x:c>
    </x:row>
    <x:row r="2675">
      <x:c r="B2675" s="21" t="str">
        <x:v>A02669</x:v>
      </x:c>
      <x:c r="C2675" s="21" t="str">
        <x:v>artifact</x:v>
      </x:c>
      <x:c r="D2675" s="21" t="str">
        <x:v>artifact 813 eligibility equation</x:v>
      </x:c>
      <x:c r="E2675" s="21" t="n">
        <x:f>IF(ABS('Artifact Ledger'!P819-IF(AND('Artifact Ledger'!L819=1,'Artifact Ledger'!M819=1,'Artifact Ledger'!N819=1,'Artifact Ledger'!O819&gt;='Artifact Ledger'!G819),'Artifact Ledger'!K819,0))&lt;0.000001,1,0)</x:f>
        <x:v>1</x:v>
      </x:c>
      <x:c r="F2675" s="21" t="n">
        <x:v>1</x:v>
      </x:c>
      <x:c r="G2675" s="23" t="str">
        <x:f>IF(E2675=F2675,"PASS","FAIL")</x:f>
        <x:v>PASS</x:v>
      </x:c>
    </x:row>
    <x:row r="2676">
      <x:c r="B2676" s="21" t="str">
        <x:v>A02670</x:v>
      </x:c>
      <x:c r="C2676" s="21" t="str">
        <x:v>artifact</x:v>
      </x:c>
      <x:c r="D2676" s="21" t="str">
        <x:v>artifact 813 planning state</x:v>
      </x:c>
      <x:c r="E2676" s="21" t="n">
        <x:f>IF(AND('Artifact Ledger'!Q819="OPEN",'Artifact Ledger'!R819="HOLD"),1,0)</x:f>
        <x:v>1</x:v>
      </x:c>
      <x:c r="F2676" s="21" t="n">
        <x:v>1</x:v>
      </x:c>
      <x:c r="G2676" s="23" t="str">
        <x:f>IF(E2676=F2676,"PASS","FAIL")</x:f>
        <x:v>PASS</x:v>
      </x:c>
    </x:row>
    <x:row r="2677">
      <x:c r="B2677" s="21" t="str">
        <x:v>A02671</x:v>
      </x:c>
      <x:c r="C2677" s="21" t="str">
        <x:v>artifact</x:v>
      </x:c>
      <x:c r="D2677" s="21" t="str">
        <x:v>artifact 814 eligibility equation</x:v>
      </x:c>
      <x:c r="E2677" s="21" t="n">
        <x:f>IF(ABS('Artifact Ledger'!P820-IF(AND('Artifact Ledger'!L820=1,'Artifact Ledger'!M820=1,'Artifact Ledger'!N820=1,'Artifact Ledger'!O820&gt;='Artifact Ledger'!G820),'Artifact Ledger'!K820,0))&lt;0.000001,1,0)</x:f>
        <x:v>1</x:v>
      </x:c>
      <x:c r="F2677" s="21" t="n">
        <x:v>1</x:v>
      </x:c>
      <x:c r="G2677" s="23" t="str">
        <x:f>IF(E2677=F2677,"PASS","FAIL")</x:f>
        <x:v>PASS</x:v>
      </x:c>
    </x:row>
    <x:row r="2678">
      <x:c r="B2678" s="21" t="str">
        <x:v>A02672</x:v>
      </x:c>
      <x:c r="C2678" s="21" t="str">
        <x:v>artifact</x:v>
      </x:c>
      <x:c r="D2678" s="21" t="str">
        <x:v>artifact 814 planning state</x:v>
      </x:c>
      <x:c r="E2678" s="21" t="n">
        <x:f>IF(AND('Artifact Ledger'!Q820="OPEN",'Artifact Ledger'!R820="HOLD"),1,0)</x:f>
        <x:v>1</x:v>
      </x:c>
      <x:c r="F2678" s="21" t="n">
        <x:v>1</x:v>
      </x:c>
      <x:c r="G2678" s="23" t="str">
        <x:f>IF(E2678=F2678,"PASS","FAIL")</x:f>
        <x:v>PASS</x:v>
      </x:c>
    </x:row>
    <x:row r="2679">
      <x:c r="B2679" s="21" t="str">
        <x:v>A02673</x:v>
      </x:c>
      <x:c r="C2679" s="21" t="str">
        <x:v>artifact</x:v>
      </x:c>
      <x:c r="D2679" s="21" t="str">
        <x:v>artifact 815 eligibility equation</x:v>
      </x:c>
      <x:c r="E2679" s="21" t="n">
        <x:f>IF(ABS('Artifact Ledger'!P821-IF(AND('Artifact Ledger'!L821=1,'Artifact Ledger'!M821=1,'Artifact Ledger'!N821=1,'Artifact Ledger'!O821&gt;='Artifact Ledger'!G821),'Artifact Ledger'!K821,0))&lt;0.000001,1,0)</x:f>
        <x:v>1</x:v>
      </x:c>
      <x:c r="F2679" s="21" t="n">
        <x:v>1</x:v>
      </x:c>
      <x:c r="G2679" s="23" t="str">
        <x:f>IF(E2679=F2679,"PASS","FAIL")</x:f>
        <x:v>PASS</x:v>
      </x:c>
    </x:row>
    <x:row r="2680">
      <x:c r="B2680" s="21" t="str">
        <x:v>A02674</x:v>
      </x:c>
      <x:c r="C2680" s="21" t="str">
        <x:v>artifact</x:v>
      </x:c>
      <x:c r="D2680" s="21" t="str">
        <x:v>artifact 815 planning state</x:v>
      </x:c>
      <x:c r="E2680" s="21" t="n">
        <x:f>IF(AND('Artifact Ledger'!Q821="OPEN",'Artifact Ledger'!R821="HOLD"),1,0)</x:f>
        <x:v>1</x:v>
      </x:c>
      <x:c r="F2680" s="21" t="n">
        <x:v>1</x:v>
      </x:c>
      <x:c r="G2680" s="23" t="str">
        <x:f>IF(E2680=F2680,"PASS","FAIL")</x:f>
        <x:v>PASS</x:v>
      </x:c>
    </x:row>
    <x:row r="2681">
      <x:c r="B2681" s="21" t="str">
        <x:v>A02675</x:v>
      </x:c>
      <x:c r="C2681" s="21" t="str">
        <x:v>artifact</x:v>
      </x:c>
      <x:c r="D2681" s="21" t="str">
        <x:v>artifact 816 eligibility equation</x:v>
      </x:c>
      <x:c r="E2681" s="21" t="n">
        <x:f>IF(ABS('Artifact Ledger'!P822-IF(AND('Artifact Ledger'!L822=1,'Artifact Ledger'!M822=1,'Artifact Ledger'!N822=1,'Artifact Ledger'!O822&gt;='Artifact Ledger'!G822),'Artifact Ledger'!K822,0))&lt;0.000001,1,0)</x:f>
        <x:v>1</x:v>
      </x:c>
      <x:c r="F2681" s="21" t="n">
        <x:v>1</x:v>
      </x:c>
      <x:c r="G2681" s="23" t="str">
        <x:f>IF(E2681=F2681,"PASS","FAIL")</x:f>
        <x:v>PASS</x:v>
      </x:c>
    </x:row>
    <x:row r="2682">
      <x:c r="B2682" s="21" t="str">
        <x:v>A02676</x:v>
      </x:c>
      <x:c r="C2682" s="21" t="str">
        <x:v>artifact</x:v>
      </x:c>
      <x:c r="D2682" s="21" t="str">
        <x:v>artifact 816 planning state</x:v>
      </x:c>
      <x:c r="E2682" s="21" t="n">
        <x:f>IF(AND('Artifact Ledger'!Q822="OPEN",'Artifact Ledger'!R822="HOLD"),1,0)</x:f>
        <x:v>1</x:v>
      </x:c>
      <x:c r="F2682" s="21" t="n">
        <x:v>1</x:v>
      </x:c>
      <x:c r="G2682" s="23" t="str">
        <x:f>IF(E2682=F2682,"PASS","FAIL")</x:f>
        <x:v>PASS</x:v>
      </x:c>
    </x:row>
    <x:row r="2683">
      <x:c r="B2683" s="21" t="str">
        <x:v>A02677</x:v>
      </x:c>
      <x:c r="C2683" s="21" t="str">
        <x:v>artifact</x:v>
      </x:c>
      <x:c r="D2683" s="21" t="str">
        <x:v>artifact 817 eligibility equation</x:v>
      </x:c>
      <x:c r="E2683" s="21" t="n">
        <x:f>IF(ABS('Artifact Ledger'!P823-IF(AND('Artifact Ledger'!L823=1,'Artifact Ledger'!M823=1,'Artifact Ledger'!N823=1,'Artifact Ledger'!O823&gt;='Artifact Ledger'!G823),'Artifact Ledger'!K823,0))&lt;0.000001,1,0)</x:f>
        <x:v>1</x:v>
      </x:c>
      <x:c r="F2683" s="21" t="n">
        <x:v>1</x:v>
      </x:c>
      <x:c r="G2683" s="23" t="str">
        <x:f>IF(E2683=F2683,"PASS","FAIL")</x:f>
        <x:v>PASS</x:v>
      </x:c>
    </x:row>
    <x:row r="2684">
      <x:c r="B2684" s="21" t="str">
        <x:v>A02678</x:v>
      </x:c>
      <x:c r="C2684" s="21" t="str">
        <x:v>artifact</x:v>
      </x:c>
      <x:c r="D2684" s="21" t="str">
        <x:v>artifact 817 planning state</x:v>
      </x:c>
      <x:c r="E2684" s="21" t="n">
        <x:f>IF(AND('Artifact Ledger'!Q823="OPEN",'Artifact Ledger'!R823="HOLD"),1,0)</x:f>
        <x:v>1</x:v>
      </x:c>
      <x:c r="F2684" s="21" t="n">
        <x:v>1</x:v>
      </x:c>
      <x:c r="G2684" s="23" t="str">
        <x:f>IF(E2684=F2684,"PASS","FAIL")</x:f>
        <x:v>PASS</x:v>
      </x:c>
    </x:row>
    <x:row r="2685">
      <x:c r="B2685" s="21" t="str">
        <x:v>A02679</x:v>
      </x:c>
      <x:c r="C2685" s="21" t="str">
        <x:v>artifact</x:v>
      </x:c>
      <x:c r="D2685" s="21" t="str">
        <x:v>artifact 818 eligibility equation</x:v>
      </x:c>
      <x:c r="E2685" s="21" t="n">
        <x:f>IF(ABS('Artifact Ledger'!P824-IF(AND('Artifact Ledger'!L824=1,'Artifact Ledger'!M824=1,'Artifact Ledger'!N824=1,'Artifact Ledger'!O824&gt;='Artifact Ledger'!G824),'Artifact Ledger'!K824,0))&lt;0.000001,1,0)</x:f>
        <x:v>1</x:v>
      </x:c>
      <x:c r="F2685" s="21" t="n">
        <x:v>1</x:v>
      </x:c>
      <x:c r="G2685" s="23" t="str">
        <x:f>IF(E2685=F2685,"PASS","FAIL")</x:f>
        <x:v>PASS</x:v>
      </x:c>
    </x:row>
    <x:row r="2686">
      <x:c r="B2686" s="21" t="str">
        <x:v>A02680</x:v>
      </x:c>
      <x:c r="C2686" s="21" t="str">
        <x:v>artifact</x:v>
      </x:c>
      <x:c r="D2686" s="21" t="str">
        <x:v>artifact 818 planning state</x:v>
      </x:c>
      <x:c r="E2686" s="21" t="n">
        <x:f>IF(AND('Artifact Ledger'!Q824="OPEN",'Artifact Ledger'!R824="HOLD"),1,0)</x:f>
        <x:v>1</x:v>
      </x:c>
      <x:c r="F2686" s="21" t="n">
        <x:v>1</x:v>
      </x:c>
      <x:c r="G2686" s="23" t="str">
        <x:f>IF(E2686=F2686,"PASS","FAIL")</x:f>
        <x:v>PASS</x:v>
      </x:c>
    </x:row>
    <x:row r="2687">
      <x:c r="B2687" s="21" t="str">
        <x:v>A02681</x:v>
      </x:c>
      <x:c r="C2687" s="21" t="str">
        <x:v>artifact</x:v>
      </x:c>
      <x:c r="D2687" s="21" t="str">
        <x:v>artifact 819 eligibility equation</x:v>
      </x:c>
      <x:c r="E2687" s="21" t="n">
        <x:f>IF(ABS('Artifact Ledger'!P825-IF(AND('Artifact Ledger'!L825=1,'Artifact Ledger'!M825=1,'Artifact Ledger'!N825=1,'Artifact Ledger'!O825&gt;='Artifact Ledger'!G825),'Artifact Ledger'!K825,0))&lt;0.000001,1,0)</x:f>
        <x:v>1</x:v>
      </x:c>
      <x:c r="F2687" s="21" t="n">
        <x:v>1</x:v>
      </x:c>
      <x:c r="G2687" s="23" t="str">
        <x:f>IF(E2687=F2687,"PASS","FAIL")</x:f>
        <x:v>PASS</x:v>
      </x:c>
    </x:row>
    <x:row r="2688">
      <x:c r="B2688" s="21" t="str">
        <x:v>A02682</x:v>
      </x:c>
      <x:c r="C2688" s="21" t="str">
        <x:v>artifact</x:v>
      </x:c>
      <x:c r="D2688" s="21" t="str">
        <x:v>artifact 819 planning state</x:v>
      </x:c>
      <x:c r="E2688" s="21" t="n">
        <x:f>IF(AND('Artifact Ledger'!Q825="OPEN",'Artifact Ledger'!R825="HOLD"),1,0)</x:f>
        <x:v>1</x:v>
      </x:c>
      <x:c r="F2688" s="21" t="n">
        <x:v>1</x:v>
      </x:c>
      <x:c r="G2688" s="23" t="str">
        <x:f>IF(E2688=F2688,"PASS","FAIL")</x:f>
        <x:v>PASS</x:v>
      </x:c>
    </x:row>
    <x:row r="2689">
      <x:c r="B2689" s="21" t="str">
        <x:v>A02683</x:v>
      </x:c>
      <x:c r="C2689" s="21" t="str">
        <x:v>artifact</x:v>
      </x:c>
      <x:c r="D2689" s="21" t="str">
        <x:v>artifact 820 eligibility equation</x:v>
      </x:c>
      <x:c r="E2689" s="21" t="n">
        <x:f>IF(ABS('Artifact Ledger'!P826-IF(AND('Artifact Ledger'!L826=1,'Artifact Ledger'!M826=1,'Artifact Ledger'!N826=1,'Artifact Ledger'!O826&gt;='Artifact Ledger'!G826),'Artifact Ledger'!K826,0))&lt;0.000001,1,0)</x:f>
        <x:v>1</x:v>
      </x:c>
      <x:c r="F2689" s="21" t="n">
        <x:v>1</x:v>
      </x:c>
      <x:c r="G2689" s="23" t="str">
        <x:f>IF(E2689=F2689,"PASS","FAIL")</x:f>
        <x:v>PASS</x:v>
      </x:c>
    </x:row>
    <x:row r="2690">
      <x:c r="B2690" s="21" t="str">
        <x:v>A02684</x:v>
      </x:c>
      <x:c r="C2690" s="21" t="str">
        <x:v>artifact</x:v>
      </x:c>
      <x:c r="D2690" s="21" t="str">
        <x:v>artifact 820 planning state</x:v>
      </x:c>
      <x:c r="E2690" s="21" t="n">
        <x:f>IF(AND('Artifact Ledger'!Q826="OPEN",'Artifact Ledger'!R826="HOLD"),1,0)</x:f>
        <x:v>1</x:v>
      </x:c>
      <x:c r="F2690" s="21" t="n">
        <x:v>1</x:v>
      </x:c>
      <x:c r="G2690" s="23" t="str">
        <x:f>IF(E2690=F2690,"PASS","FAIL")</x:f>
        <x:v>PASS</x:v>
      </x:c>
    </x:row>
    <x:row r="2691">
      <x:c r="B2691" s="21" t="str">
        <x:v>A02685</x:v>
      </x:c>
      <x:c r="C2691" s="21" t="str">
        <x:v>artifact</x:v>
      </x:c>
      <x:c r="D2691" s="21" t="str">
        <x:v>artifact 821 eligibility equation</x:v>
      </x:c>
      <x:c r="E2691" s="21" t="n">
        <x:f>IF(ABS('Artifact Ledger'!P827-IF(AND('Artifact Ledger'!L827=1,'Artifact Ledger'!M827=1,'Artifact Ledger'!N827=1,'Artifact Ledger'!O827&gt;='Artifact Ledger'!G827),'Artifact Ledger'!K827,0))&lt;0.000001,1,0)</x:f>
        <x:v>1</x:v>
      </x:c>
      <x:c r="F2691" s="21" t="n">
        <x:v>1</x:v>
      </x:c>
      <x:c r="G2691" s="23" t="str">
        <x:f>IF(E2691=F2691,"PASS","FAIL")</x:f>
        <x:v>PASS</x:v>
      </x:c>
    </x:row>
    <x:row r="2692">
      <x:c r="B2692" s="21" t="str">
        <x:v>A02686</x:v>
      </x:c>
      <x:c r="C2692" s="21" t="str">
        <x:v>artifact</x:v>
      </x:c>
      <x:c r="D2692" s="21" t="str">
        <x:v>artifact 821 planning state</x:v>
      </x:c>
      <x:c r="E2692" s="21" t="n">
        <x:f>IF(AND('Artifact Ledger'!Q827="OPEN",'Artifact Ledger'!R827="HOLD"),1,0)</x:f>
        <x:v>1</x:v>
      </x:c>
      <x:c r="F2692" s="21" t="n">
        <x:v>1</x:v>
      </x:c>
      <x:c r="G2692" s="23" t="str">
        <x:f>IF(E2692=F2692,"PASS","FAIL")</x:f>
        <x:v>PASS</x:v>
      </x:c>
    </x:row>
    <x:row r="2693">
      <x:c r="B2693" s="21" t="str">
        <x:v>A02687</x:v>
      </x:c>
      <x:c r="C2693" s="21" t="str">
        <x:v>artifact</x:v>
      </x:c>
      <x:c r="D2693" s="21" t="str">
        <x:v>artifact 822 eligibility equation</x:v>
      </x:c>
      <x:c r="E2693" s="21" t="n">
        <x:f>IF(ABS('Artifact Ledger'!P828-IF(AND('Artifact Ledger'!L828=1,'Artifact Ledger'!M828=1,'Artifact Ledger'!N828=1,'Artifact Ledger'!O828&gt;='Artifact Ledger'!G828),'Artifact Ledger'!K828,0))&lt;0.000001,1,0)</x:f>
        <x:v>1</x:v>
      </x:c>
      <x:c r="F2693" s="21" t="n">
        <x:v>1</x:v>
      </x:c>
      <x:c r="G2693" s="23" t="str">
        <x:f>IF(E2693=F2693,"PASS","FAIL")</x:f>
        <x:v>PASS</x:v>
      </x:c>
    </x:row>
    <x:row r="2694">
      <x:c r="B2694" s="21" t="str">
        <x:v>A02688</x:v>
      </x:c>
      <x:c r="C2694" s="21" t="str">
        <x:v>artifact</x:v>
      </x:c>
      <x:c r="D2694" s="21" t="str">
        <x:v>artifact 822 planning state</x:v>
      </x:c>
      <x:c r="E2694" s="21" t="n">
        <x:f>IF(AND('Artifact Ledger'!Q828="OPEN",'Artifact Ledger'!R828="HOLD"),1,0)</x:f>
        <x:v>1</x:v>
      </x:c>
      <x:c r="F2694" s="21" t="n">
        <x:v>1</x:v>
      </x:c>
      <x:c r="G2694" s="23" t="str">
        <x:f>IF(E2694=F2694,"PASS","FAIL")</x:f>
        <x:v>PASS</x:v>
      </x:c>
    </x:row>
    <x:row r="2695">
      <x:c r="B2695" s="21" t="str">
        <x:v>A02689</x:v>
      </x:c>
      <x:c r="C2695" s="21" t="str">
        <x:v>artifact</x:v>
      </x:c>
      <x:c r="D2695" s="21" t="str">
        <x:v>artifact 823 eligibility equation</x:v>
      </x:c>
      <x:c r="E2695" s="21" t="n">
        <x:f>IF(ABS('Artifact Ledger'!P829-IF(AND('Artifact Ledger'!L829=1,'Artifact Ledger'!M829=1,'Artifact Ledger'!N829=1,'Artifact Ledger'!O829&gt;='Artifact Ledger'!G829),'Artifact Ledger'!K829,0))&lt;0.000001,1,0)</x:f>
        <x:v>1</x:v>
      </x:c>
      <x:c r="F2695" s="21" t="n">
        <x:v>1</x:v>
      </x:c>
      <x:c r="G2695" s="23" t="str">
        <x:f>IF(E2695=F2695,"PASS","FAIL")</x:f>
        <x:v>PASS</x:v>
      </x:c>
    </x:row>
    <x:row r="2696">
      <x:c r="B2696" s="21" t="str">
        <x:v>A02690</x:v>
      </x:c>
      <x:c r="C2696" s="21" t="str">
        <x:v>artifact</x:v>
      </x:c>
      <x:c r="D2696" s="21" t="str">
        <x:v>artifact 823 planning state</x:v>
      </x:c>
      <x:c r="E2696" s="21" t="n">
        <x:f>IF(AND('Artifact Ledger'!Q829="OPEN",'Artifact Ledger'!R829="HOLD"),1,0)</x:f>
        <x:v>1</x:v>
      </x:c>
      <x:c r="F2696" s="21" t="n">
        <x:v>1</x:v>
      </x:c>
      <x:c r="G2696" s="23" t="str">
        <x:f>IF(E2696=F2696,"PASS","FAIL")</x:f>
        <x:v>PASS</x:v>
      </x:c>
    </x:row>
    <x:row r="2697">
      <x:c r="B2697" s="21" t="str">
        <x:v>A02691</x:v>
      </x:c>
      <x:c r="C2697" s="21" t="str">
        <x:v>artifact</x:v>
      </x:c>
      <x:c r="D2697" s="21" t="str">
        <x:v>artifact 824 eligibility equation</x:v>
      </x:c>
      <x:c r="E2697" s="21" t="n">
        <x:f>IF(ABS('Artifact Ledger'!P830-IF(AND('Artifact Ledger'!L830=1,'Artifact Ledger'!M830=1,'Artifact Ledger'!N830=1,'Artifact Ledger'!O830&gt;='Artifact Ledger'!G830),'Artifact Ledger'!K830,0))&lt;0.000001,1,0)</x:f>
        <x:v>1</x:v>
      </x:c>
      <x:c r="F2697" s="21" t="n">
        <x:v>1</x:v>
      </x:c>
      <x:c r="G2697" s="23" t="str">
        <x:f>IF(E2697=F2697,"PASS","FAIL")</x:f>
        <x:v>PASS</x:v>
      </x:c>
    </x:row>
    <x:row r="2698">
      <x:c r="B2698" s="21" t="str">
        <x:v>A02692</x:v>
      </x:c>
      <x:c r="C2698" s="21" t="str">
        <x:v>artifact</x:v>
      </x:c>
      <x:c r="D2698" s="21" t="str">
        <x:v>artifact 824 planning state</x:v>
      </x:c>
      <x:c r="E2698" s="21" t="n">
        <x:f>IF(AND('Artifact Ledger'!Q830="OPEN",'Artifact Ledger'!R830="HOLD"),1,0)</x:f>
        <x:v>1</x:v>
      </x:c>
      <x:c r="F2698" s="21" t="n">
        <x:v>1</x:v>
      </x:c>
      <x:c r="G2698" s="23" t="str">
        <x:f>IF(E2698=F2698,"PASS","FAIL")</x:f>
        <x:v>PASS</x:v>
      </x:c>
    </x:row>
    <x:row r="2699">
      <x:c r="B2699" s="21" t="str">
        <x:v>A02693</x:v>
      </x:c>
      <x:c r="C2699" s="21" t="str">
        <x:v>artifact</x:v>
      </x:c>
      <x:c r="D2699" s="21" t="str">
        <x:v>artifact 825 eligibility equation</x:v>
      </x:c>
      <x:c r="E2699" s="21" t="n">
        <x:f>IF(ABS('Artifact Ledger'!P831-IF(AND('Artifact Ledger'!L831=1,'Artifact Ledger'!M831=1,'Artifact Ledger'!N831=1,'Artifact Ledger'!O831&gt;='Artifact Ledger'!G831),'Artifact Ledger'!K831,0))&lt;0.000001,1,0)</x:f>
        <x:v>1</x:v>
      </x:c>
      <x:c r="F2699" s="21" t="n">
        <x:v>1</x:v>
      </x:c>
      <x:c r="G2699" s="23" t="str">
        <x:f>IF(E2699=F2699,"PASS","FAIL")</x:f>
        <x:v>PASS</x:v>
      </x:c>
    </x:row>
    <x:row r="2700">
      <x:c r="B2700" s="21" t="str">
        <x:v>A02694</x:v>
      </x:c>
      <x:c r="C2700" s="21" t="str">
        <x:v>artifact</x:v>
      </x:c>
      <x:c r="D2700" s="21" t="str">
        <x:v>artifact 825 planning state</x:v>
      </x:c>
      <x:c r="E2700" s="21" t="n">
        <x:f>IF(AND('Artifact Ledger'!Q831="OPEN",'Artifact Ledger'!R831="HOLD"),1,0)</x:f>
        <x:v>1</x:v>
      </x:c>
      <x:c r="F2700" s="21" t="n">
        <x:v>1</x:v>
      </x:c>
      <x:c r="G2700" s="23" t="str">
        <x:f>IF(E2700=F2700,"PASS","FAIL")</x:f>
        <x:v>PASS</x:v>
      </x:c>
    </x:row>
    <x:row r="2701">
      <x:c r="B2701" s="21" t="str">
        <x:v>A02695</x:v>
      </x:c>
      <x:c r="C2701" s="21" t="str">
        <x:v>artifact</x:v>
      </x:c>
      <x:c r="D2701" s="21" t="str">
        <x:v>artifact 826 eligibility equation</x:v>
      </x:c>
      <x:c r="E2701" s="21" t="n">
        <x:f>IF(ABS('Artifact Ledger'!P832-IF(AND('Artifact Ledger'!L832=1,'Artifact Ledger'!M832=1,'Artifact Ledger'!N832=1,'Artifact Ledger'!O832&gt;='Artifact Ledger'!G832),'Artifact Ledger'!K832,0))&lt;0.000001,1,0)</x:f>
        <x:v>1</x:v>
      </x:c>
      <x:c r="F2701" s="21" t="n">
        <x:v>1</x:v>
      </x:c>
      <x:c r="G2701" s="23" t="str">
        <x:f>IF(E2701=F2701,"PASS","FAIL")</x:f>
        <x:v>PASS</x:v>
      </x:c>
    </x:row>
    <x:row r="2702">
      <x:c r="B2702" s="21" t="str">
        <x:v>A02696</x:v>
      </x:c>
      <x:c r="C2702" s="21" t="str">
        <x:v>artifact</x:v>
      </x:c>
      <x:c r="D2702" s="21" t="str">
        <x:v>artifact 826 planning state</x:v>
      </x:c>
      <x:c r="E2702" s="21" t="n">
        <x:f>IF(AND('Artifact Ledger'!Q832="OPEN",'Artifact Ledger'!R832="HOLD"),1,0)</x:f>
        <x:v>1</x:v>
      </x:c>
      <x:c r="F2702" s="21" t="n">
        <x:v>1</x:v>
      </x:c>
      <x:c r="G2702" s="23" t="str">
        <x:f>IF(E2702=F2702,"PASS","FAIL")</x:f>
        <x:v>PASS</x:v>
      </x:c>
    </x:row>
    <x:row r="2703">
      <x:c r="B2703" s="21" t="str">
        <x:v>A02697</x:v>
      </x:c>
      <x:c r="C2703" s="21" t="str">
        <x:v>artifact</x:v>
      </x:c>
      <x:c r="D2703" s="21" t="str">
        <x:v>artifact 827 eligibility equation</x:v>
      </x:c>
      <x:c r="E2703" s="21" t="n">
        <x:f>IF(ABS('Artifact Ledger'!P833-IF(AND('Artifact Ledger'!L833=1,'Artifact Ledger'!M833=1,'Artifact Ledger'!N833=1,'Artifact Ledger'!O833&gt;='Artifact Ledger'!G833),'Artifact Ledger'!K833,0))&lt;0.000001,1,0)</x:f>
        <x:v>1</x:v>
      </x:c>
      <x:c r="F2703" s="21" t="n">
        <x:v>1</x:v>
      </x:c>
      <x:c r="G2703" s="23" t="str">
        <x:f>IF(E2703=F2703,"PASS","FAIL")</x:f>
        <x:v>PASS</x:v>
      </x:c>
    </x:row>
    <x:row r="2704">
      <x:c r="B2704" s="21" t="str">
        <x:v>A02698</x:v>
      </x:c>
      <x:c r="C2704" s="21" t="str">
        <x:v>artifact</x:v>
      </x:c>
      <x:c r="D2704" s="21" t="str">
        <x:v>artifact 827 planning state</x:v>
      </x:c>
      <x:c r="E2704" s="21" t="n">
        <x:f>IF(AND('Artifact Ledger'!Q833="OPEN",'Artifact Ledger'!R833="HOLD"),1,0)</x:f>
        <x:v>1</x:v>
      </x:c>
      <x:c r="F2704" s="21" t="n">
        <x:v>1</x:v>
      </x:c>
      <x:c r="G2704" s="23" t="str">
        <x:f>IF(E2704=F2704,"PASS","FAIL")</x:f>
        <x:v>PASS</x:v>
      </x:c>
    </x:row>
    <x:row r="2705">
      <x:c r="B2705" s="21" t="str">
        <x:v>A02699</x:v>
      </x:c>
      <x:c r="C2705" s="21" t="str">
        <x:v>artifact</x:v>
      </x:c>
      <x:c r="D2705" s="21" t="str">
        <x:v>artifact 828 eligibility equation</x:v>
      </x:c>
      <x:c r="E2705" s="21" t="n">
        <x:f>IF(ABS('Artifact Ledger'!P834-IF(AND('Artifact Ledger'!L834=1,'Artifact Ledger'!M834=1,'Artifact Ledger'!N834=1,'Artifact Ledger'!O834&gt;='Artifact Ledger'!G834),'Artifact Ledger'!K834,0))&lt;0.000001,1,0)</x:f>
        <x:v>1</x:v>
      </x:c>
      <x:c r="F2705" s="21" t="n">
        <x:v>1</x:v>
      </x:c>
      <x:c r="G2705" s="23" t="str">
        <x:f>IF(E2705=F2705,"PASS","FAIL")</x:f>
        <x:v>PASS</x:v>
      </x:c>
    </x:row>
    <x:row r="2706">
      <x:c r="B2706" s="21" t="str">
        <x:v>A02700</x:v>
      </x:c>
      <x:c r="C2706" s="21" t="str">
        <x:v>artifact</x:v>
      </x:c>
      <x:c r="D2706" s="21" t="str">
        <x:v>artifact 828 planning state</x:v>
      </x:c>
      <x:c r="E2706" s="21" t="n">
        <x:f>IF(AND('Artifact Ledger'!Q834="OPEN",'Artifact Ledger'!R834="HOLD"),1,0)</x:f>
        <x:v>1</x:v>
      </x:c>
      <x:c r="F2706" s="21" t="n">
        <x:v>1</x:v>
      </x:c>
      <x:c r="G2706" s="23" t="str">
        <x:f>IF(E2706=F2706,"PASS","FAIL")</x:f>
        <x:v>PASS</x:v>
      </x:c>
    </x:row>
    <x:row r="2707">
      <x:c r="B2707" s="21" t="str">
        <x:v>A02701</x:v>
      </x:c>
      <x:c r="C2707" s="21" t="str">
        <x:v>artifact</x:v>
      </x:c>
      <x:c r="D2707" s="21" t="str">
        <x:v>artifact 829 eligibility equation</x:v>
      </x:c>
      <x:c r="E2707" s="21" t="n">
        <x:f>IF(ABS('Artifact Ledger'!P835-IF(AND('Artifact Ledger'!L835=1,'Artifact Ledger'!M835=1,'Artifact Ledger'!N835=1,'Artifact Ledger'!O835&gt;='Artifact Ledger'!G835),'Artifact Ledger'!K835,0))&lt;0.000001,1,0)</x:f>
        <x:v>1</x:v>
      </x:c>
      <x:c r="F2707" s="21" t="n">
        <x:v>1</x:v>
      </x:c>
      <x:c r="G2707" s="23" t="str">
        <x:f>IF(E2707=F2707,"PASS","FAIL")</x:f>
        <x:v>PASS</x:v>
      </x:c>
    </x:row>
    <x:row r="2708">
      <x:c r="B2708" s="21" t="str">
        <x:v>A02702</x:v>
      </x:c>
      <x:c r="C2708" s="21" t="str">
        <x:v>artifact</x:v>
      </x:c>
      <x:c r="D2708" s="21" t="str">
        <x:v>artifact 829 planning state</x:v>
      </x:c>
      <x:c r="E2708" s="21" t="n">
        <x:f>IF(AND('Artifact Ledger'!Q835="OPEN",'Artifact Ledger'!R835="HOLD"),1,0)</x:f>
        <x:v>1</x:v>
      </x:c>
      <x:c r="F2708" s="21" t="n">
        <x:v>1</x:v>
      </x:c>
      <x:c r="G2708" s="23" t="str">
        <x:f>IF(E2708=F2708,"PASS","FAIL")</x:f>
        <x:v>PASS</x:v>
      </x:c>
    </x:row>
    <x:row r="2709">
      <x:c r="B2709" s="21" t="str">
        <x:v>A02703</x:v>
      </x:c>
      <x:c r="C2709" s="21" t="str">
        <x:v>artifact</x:v>
      </x:c>
      <x:c r="D2709" s="21" t="str">
        <x:v>artifact 830 eligibility equation</x:v>
      </x:c>
      <x:c r="E2709" s="21" t="n">
        <x:f>IF(ABS('Artifact Ledger'!P836-IF(AND('Artifact Ledger'!L836=1,'Artifact Ledger'!M836=1,'Artifact Ledger'!N836=1,'Artifact Ledger'!O836&gt;='Artifact Ledger'!G836),'Artifact Ledger'!K836,0))&lt;0.000001,1,0)</x:f>
        <x:v>1</x:v>
      </x:c>
      <x:c r="F2709" s="21" t="n">
        <x:v>1</x:v>
      </x:c>
      <x:c r="G2709" s="23" t="str">
        <x:f>IF(E2709=F2709,"PASS","FAIL")</x:f>
        <x:v>PASS</x:v>
      </x:c>
    </x:row>
    <x:row r="2710">
      <x:c r="B2710" s="21" t="str">
        <x:v>A02704</x:v>
      </x:c>
      <x:c r="C2710" s="21" t="str">
        <x:v>artifact</x:v>
      </x:c>
      <x:c r="D2710" s="21" t="str">
        <x:v>artifact 830 planning state</x:v>
      </x:c>
      <x:c r="E2710" s="21" t="n">
        <x:f>IF(AND('Artifact Ledger'!Q836="OPEN",'Artifact Ledger'!R836="HOLD"),1,0)</x:f>
        <x:v>1</x:v>
      </x:c>
      <x:c r="F2710" s="21" t="n">
        <x:v>1</x:v>
      </x:c>
      <x:c r="G2710" s="23" t="str">
        <x:f>IF(E2710=F2710,"PASS","FAIL")</x:f>
        <x:v>PASS</x:v>
      </x:c>
    </x:row>
    <x:row r="2711">
      <x:c r="B2711" s="21" t="str">
        <x:v>A02705</x:v>
      </x:c>
      <x:c r="C2711" s="21" t="str">
        <x:v>artifact</x:v>
      </x:c>
      <x:c r="D2711" s="21" t="str">
        <x:v>artifact 831 eligibility equation</x:v>
      </x:c>
      <x:c r="E2711" s="21" t="n">
        <x:f>IF(ABS('Artifact Ledger'!P837-IF(AND('Artifact Ledger'!L837=1,'Artifact Ledger'!M837=1,'Artifact Ledger'!N837=1,'Artifact Ledger'!O837&gt;='Artifact Ledger'!G837),'Artifact Ledger'!K837,0))&lt;0.000001,1,0)</x:f>
        <x:v>1</x:v>
      </x:c>
      <x:c r="F2711" s="21" t="n">
        <x:v>1</x:v>
      </x:c>
      <x:c r="G2711" s="23" t="str">
        <x:f>IF(E2711=F2711,"PASS","FAIL")</x:f>
        <x:v>PASS</x:v>
      </x:c>
    </x:row>
    <x:row r="2712">
      <x:c r="B2712" s="21" t="str">
        <x:v>A02706</x:v>
      </x:c>
      <x:c r="C2712" s="21" t="str">
        <x:v>artifact</x:v>
      </x:c>
      <x:c r="D2712" s="21" t="str">
        <x:v>artifact 831 planning state</x:v>
      </x:c>
      <x:c r="E2712" s="21" t="n">
        <x:f>IF(AND('Artifact Ledger'!Q837="OPEN",'Artifact Ledger'!R837="HOLD"),1,0)</x:f>
        <x:v>1</x:v>
      </x:c>
      <x:c r="F2712" s="21" t="n">
        <x:v>1</x:v>
      </x:c>
      <x:c r="G2712" s="23" t="str">
        <x:f>IF(E2712=F2712,"PASS","FAIL")</x:f>
        <x:v>PASS</x:v>
      </x:c>
    </x:row>
    <x:row r="2713">
      <x:c r="B2713" s="21" t="str">
        <x:v>A02707</x:v>
      </x:c>
      <x:c r="C2713" s="21" t="str">
        <x:v>artifact</x:v>
      </x:c>
      <x:c r="D2713" s="21" t="str">
        <x:v>artifact 832 eligibility equation</x:v>
      </x:c>
      <x:c r="E2713" s="21" t="n">
        <x:f>IF(ABS('Artifact Ledger'!P838-IF(AND('Artifact Ledger'!L838=1,'Artifact Ledger'!M838=1,'Artifact Ledger'!N838=1,'Artifact Ledger'!O838&gt;='Artifact Ledger'!G838),'Artifact Ledger'!K838,0))&lt;0.000001,1,0)</x:f>
        <x:v>1</x:v>
      </x:c>
      <x:c r="F2713" s="21" t="n">
        <x:v>1</x:v>
      </x:c>
      <x:c r="G2713" s="23" t="str">
        <x:f>IF(E2713=F2713,"PASS","FAIL")</x:f>
        <x:v>PASS</x:v>
      </x:c>
    </x:row>
    <x:row r="2714">
      <x:c r="B2714" s="21" t="str">
        <x:v>A02708</x:v>
      </x:c>
      <x:c r="C2714" s="21" t="str">
        <x:v>artifact</x:v>
      </x:c>
      <x:c r="D2714" s="21" t="str">
        <x:v>artifact 832 planning state</x:v>
      </x:c>
      <x:c r="E2714" s="21" t="n">
        <x:f>IF(AND('Artifact Ledger'!Q838="OPEN",'Artifact Ledger'!R838="HOLD"),1,0)</x:f>
        <x:v>1</x:v>
      </x:c>
      <x:c r="F2714" s="21" t="n">
        <x:v>1</x:v>
      </x:c>
      <x:c r="G2714" s="23" t="str">
        <x:f>IF(E2714=F2714,"PASS","FAIL")</x:f>
        <x:v>PASS</x:v>
      </x:c>
    </x:row>
    <x:row r="2715">
      <x:c r="B2715" s="21" t="str">
        <x:v>A02709</x:v>
      </x:c>
      <x:c r="C2715" s="21" t="str">
        <x:v>artifact</x:v>
      </x:c>
      <x:c r="D2715" s="21" t="str">
        <x:v>artifact 833 eligibility equation</x:v>
      </x:c>
      <x:c r="E2715" s="21" t="n">
        <x:f>IF(ABS('Artifact Ledger'!P839-IF(AND('Artifact Ledger'!L839=1,'Artifact Ledger'!M839=1,'Artifact Ledger'!N839=1,'Artifact Ledger'!O839&gt;='Artifact Ledger'!G839),'Artifact Ledger'!K839,0))&lt;0.000001,1,0)</x:f>
        <x:v>1</x:v>
      </x:c>
      <x:c r="F2715" s="21" t="n">
        <x:v>1</x:v>
      </x:c>
      <x:c r="G2715" s="23" t="str">
        <x:f>IF(E2715=F2715,"PASS","FAIL")</x:f>
        <x:v>PASS</x:v>
      </x:c>
    </x:row>
    <x:row r="2716">
      <x:c r="B2716" s="21" t="str">
        <x:v>A02710</x:v>
      </x:c>
      <x:c r="C2716" s="21" t="str">
        <x:v>artifact</x:v>
      </x:c>
      <x:c r="D2716" s="21" t="str">
        <x:v>artifact 833 planning state</x:v>
      </x:c>
      <x:c r="E2716" s="21" t="n">
        <x:f>IF(AND('Artifact Ledger'!Q839="OPEN",'Artifact Ledger'!R839="HOLD"),1,0)</x:f>
        <x:v>1</x:v>
      </x:c>
      <x:c r="F2716" s="21" t="n">
        <x:v>1</x:v>
      </x:c>
      <x:c r="G2716" s="23" t="str">
        <x:f>IF(E2716=F2716,"PASS","FAIL")</x:f>
        <x:v>PASS</x:v>
      </x:c>
    </x:row>
    <x:row r="2717">
      <x:c r="B2717" s="21" t="str">
        <x:v>A02711</x:v>
      </x:c>
      <x:c r="C2717" s="21" t="str">
        <x:v>artifact</x:v>
      </x:c>
      <x:c r="D2717" s="21" t="str">
        <x:v>artifact 834 eligibility equation</x:v>
      </x:c>
      <x:c r="E2717" s="21" t="n">
        <x:f>IF(ABS('Artifact Ledger'!P840-IF(AND('Artifact Ledger'!L840=1,'Artifact Ledger'!M840=1,'Artifact Ledger'!N840=1,'Artifact Ledger'!O840&gt;='Artifact Ledger'!G840),'Artifact Ledger'!K840,0))&lt;0.000001,1,0)</x:f>
        <x:v>1</x:v>
      </x:c>
      <x:c r="F2717" s="21" t="n">
        <x:v>1</x:v>
      </x:c>
      <x:c r="G2717" s="23" t="str">
        <x:f>IF(E2717=F2717,"PASS","FAIL")</x:f>
        <x:v>PASS</x:v>
      </x:c>
    </x:row>
    <x:row r="2718">
      <x:c r="B2718" s="21" t="str">
        <x:v>A02712</x:v>
      </x:c>
      <x:c r="C2718" s="21" t="str">
        <x:v>artifact</x:v>
      </x:c>
      <x:c r="D2718" s="21" t="str">
        <x:v>artifact 834 planning state</x:v>
      </x:c>
      <x:c r="E2718" s="21" t="n">
        <x:f>IF(AND('Artifact Ledger'!Q840="OPEN",'Artifact Ledger'!R840="HOLD"),1,0)</x:f>
        <x:v>1</x:v>
      </x:c>
      <x:c r="F2718" s="21" t="n">
        <x:v>1</x:v>
      </x:c>
      <x:c r="G2718" s="23" t="str">
        <x:f>IF(E2718=F2718,"PASS","FAIL")</x:f>
        <x:v>PASS</x:v>
      </x:c>
    </x:row>
    <x:row r="2719">
      <x:c r="B2719" s="21" t="str">
        <x:v>A02713</x:v>
      </x:c>
      <x:c r="C2719" s="21" t="str">
        <x:v>artifact</x:v>
      </x:c>
      <x:c r="D2719" s="21" t="str">
        <x:v>artifact 835 eligibility equation</x:v>
      </x:c>
      <x:c r="E2719" s="21" t="n">
        <x:f>IF(ABS('Artifact Ledger'!P841-IF(AND('Artifact Ledger'!L841=1,'Artifact Ledger'!M841=1,'Artifact Ledger'!N841=1,'Artifact Ledger'!O841&gt;='Artifact Ledger'!G841),'Artifact Ledger'!K841,0))&lt;0.000001,1,0)</x:f>
        <x:v>1</x:v>
      </x:c>
      <x:c r="F2719" s="21" t="n">
        <x:v>1</x:v>
      </x:c>
      <x:c r="G2719" s="23" t="str">
        <x:f>IF(E2719=F2719,"PASS","FAIL")</x:f>
        <x:v>PASS</x:v>
      </x:c>
    </x:row>
    <x:row r="2720">
      <x:c r="B2720" s="21" t="str">
        <x:v>A02714</x:v>
      </x:c>
      <x:c r="C2720" s="21" t="str">
        <x:v>artifact</x:v>
      </x:c>
      <x:c r="D2720" s="21" t="str">
        <x:v>artifact 835 planning state</x:v>
      </x:c>
      <x:c r="E2720" s="21" t="n">
        <x:f>IF(AND('Artifact Ledger'!Q841="OPEN",'Artifact Ledger'!R841="HOLD"),1,0)</x:f>
        <x:v>1</x:v>
      </x:c>
      <x:c r="F2720" s="21" t="n">
        <x:v>1</x:v>
      </x:c>
      <x:c r="G2720" s="23" t="str">
        <x:f>IF(E2720=F2720,"PASS","FAIL")</x:f>
        <x:v>PASS</x:v>
      </x:c>
    </x:row>
    <x:row r="2721">
      <x:c r="B2721" s="21" t="str">
        <x:v>A02715</x:v>
      </x:c>
      <x:c r="C2721" s="21" t="str">
        <x:v>artifact</x:v>
      </x:c>
      <x:c r="D2721" s="21" t="str">
        <x:v>artifact 836 eligibility equation</x:v>
      </x:c>
      <x:c r="E2721" s="21" t="n">
        <x:f>IF(ABS('Artifact Ledger'!P842-IF(AND('Artifact Ledger'!L842=1,'Artifact Ledger'!M842=1,'Artifact Ledger'!N842=1,'Artifact Ledger'!O842&gt;='Artifact Ledger'!G842),'Artifact Ledger'!K842,0))&lt;0.000001,1,0)</x:f>
        <x:v>1</x:v>
      </x:c>
      <x:c r="F2721" s="21" t="n">
        <x:v>1</x:v>
      </x:c>
      <x:c r="G2721" s="23" t="str">
        <x:f>IF(E2721=F2721,"PASS","FAIL")</x:f>
        <x:v>PASS</x:v>
      </x:c>
    </x:row>
    <x:row r="2722">
      <x:c r="B2722" s="21" t="str">
        <x:v>A02716</x:v>
      </x:c>
      <x:c r="C2722" s="21" t="str">
        <x:v>artifact</x:v>
      </x:c>
      <x:c r="D2722" s="21" t="str">
        <x:v>artifact 836 planning state</x:v>
      </x:c>
      <x:c r="E2722" s="21" t="n">
        <x:f>IF(AND('Artifact Ledger'!Q842="OPEN",'Artifact Ledger'!R842="HOLD"),1,0)</x:f>
        <x:v>1</x:v>
      </x:c>
      <x:c r="F2722" s="21" t="n">
        <x:v>1</x:v>
      </x:c>
      <x:c r="G2722" s="23" t="str">
        <x:f>IF(E2722=F2722,"PASS","FAIL")</x:f>
        <x:v>PASS</x:v>
      </x:c>
    </x:row>
    <x:row r="2723">
      <x:c r="B2723" s="21" t="str">
        <x:v>A02717</x:v>
      </x:c>
      <x:c r="C2723" s="21" t="str">
        <x:v>artifact</x:v>
      </x:c>
      <x:c r="D2723" s="21" t="str">
        <x:v>artifact 837 eligibility equation</x:v>
      </x:c>
      <x:c r="E2723" s="21" t="n">
        <x:f>IF(ABS('Artifact Ledger'!P843-IF(AND('Artifact Ledger'!L843=1,'Artifact Ledger'!M843=1,'Artifact Ledger'!N843=1,'Artifact Ledger'!O843&gt;='Artifact Ledger'!G843),'Artifact Ledger'!K843,0))&lt;0.000001,1,0)</x:f>
        <x:v>1</x:v>
      </x:c>
      <x:c r="F2723" s="21" t="n">
        <x:v>1</x:v>
      </x:c>
      <x:c r="G2723" s="23" t="str">
        <x:f>IF(E2723=F2723,"PASS","FAIL")</x:f>
        <x:v>PASS</x:v>
      </x:c>
    </x:row>
    <x:row r="2724">
      <x:c r="B2724" s="21" t="str">
        <x:v>A02718</x:v>
      </x:c>
      <x:c r="C2724" s="21" t="str">
        <x:v>artifact</x:v>
      </x:c>
      <x:c r="D2724" s="21" t="str">
        <x:v>artifact 837 planning state</x:v>
      </x:c>
      <x:c r="E2724" s="21" t="n">
        <x:f>IF(AND('Artifact Ledger'!Q843="OPEN",'Artifact Ledger'!R843="HOLD"),1,0)</x:f>
        <x:v>1</x:v>
      </x:c>
      <x:c r="F2724" s="21" t="n">
        <x:v>1</x:v>
      </x:c>
      <x:c r="G2724" s="23" t="str">
        <x:f>IF(E2724=F2724,"PASS","FAIL")</x:f>
        <x:v>PASS</x:v>
      </x:c>
    </x:row>
    <x:row r="2725">
      <x:c r="B2725" s="21" t="str">
        <x:v>A02719</x:v>
      </x:c>
      <x:c r="C2725" s="21" t="str">
        <x:v>artifact</x:v>
      </x:c>
      <x:c r="D2725" s="21" t="str">
        <x:v>artifact 838 eligibility equation</x:v>
      </x:c>
      <x:c r="E2725" s="21" t="n">
        <x:f>IF(ABS('Artifact Ledger'!P844-IF(AND('Artifact Ledger'!L844=1,'Artifact Ledger'!M844=1,'Artifact Ledger'!N844=1,'Artifact Ledger'!O844&gt;='Artifact Ledger'!G844),'Artifact Ledger'!K844,0))&lt;0.000001,1,0)</x:f>
        <x:v>1</x:v>
      </x:c>
      <x:c r="F2725" s="21" t="n">
        <x:v>1</x:v>
      </x:c>
      <x:c r="G2725" s="23" t="str">
        <x:f>IF(E2725=F2725,"PASS","FAIL")</x:f>
        <x:v>PASS</x:v>
      </x:c>
    </x:row>
    <x:row r="2726">
      <x:c r="B2726" s="21" t="str">
        <x:v>A02720</x:v>
      </x:c>
      <x:c r="C2726" s="21" t="str">
        <x:v>artifact</x:v>
      </x:c>
      <x:c r="D2726" s="21" t="str">
        <x:v>artifact 838 planning state</x:v>
      </x:c>
      <x:c r="E2726" s="21" t="n">
        <x:f>IF(AND('Artifact Ledger'!Q844="OPEN",'Artifact Ledger'!R844="HOLD"),1,0)</x:f>
        <x:v>1</x:v>
      </x:c>
      <x:c r="F2726" s="21" t="n">
        <x:v>1</x:v>
      </x:c>
      <x:c r="G2726" s="23" t="str">
        <x:f>IF(E2726=F2726,"PASS","FAIL")</x:f>
        <x:v>PASS</x:v>
      </x:c>
    </x:row>
    <x:row r="2727">
      <x:c r="B2727" s="21" t="str">
        <x:v>A02721</x:v>
      </x:c>
      <x:c r="C2727" s="21" t="str">
        <x:v>artifact</x:v>
      </x:c>
      <x:c r="D2727" s="21" t="str">
        <x:v>artifact 839 eligibility equation</x:v>
      </x:c>
      <x:c r="E2727" s="21" t="n">
        <x:f>IF(ABS('Artifact Ledger'!P845-IF(AND('Artifact Ledger'!L845=1,'Artifact Ledger'!M845=1,'Artifact Ledger'!N845=1,'Artifact Ledger'!O845&gt;='Artifact Ledger'!G845),'Artifact Ledger'!K845,0))&lt;0.000001,1,0)</x:f>
        <x:v>1</x:v>
      </x:c>
      <x:c r="F2727" s="21" t="n">
        <x:v>1</x:v>
      </x:c>
      <x:c r="G2727" s="23" t="str">
        <x:f>IF(E2727=F2727,"PASS","FAIL")</x:f>
        <x:v>PASS</x:v>
      </x:c>
    </x:row>
    <x:row r="2728">
      <x:c r="B2728" s="21" t="str">
        <x:v>A02722</x:v>
      </x:c>
      <x:c r="C2728" s="21" t="str">
        <x:v>artifact</x:v>
      </x:c>
      <x:c r="D2728" s="21" t="str">
        <x:v>artifact 839 planning state</x:v>
      </x:c>
      <x:c r="E2728" s="21" t="n">
        <x:f>IF(AND('Artifact Ledger'!Q845="OPEN",'Artifact Ledger'!R845="HOLD"),1,0)</x:f>
        <x:v>1</x:v>
      </x:c>
      <x:c r="F2728" s="21" t="n">
        <x:v>1</x:v>
      </x:c>
      <x:c r="G2728" s="23" t="str">
        <x:f>IF(E2728=F2728,"PASS","FAIL")</x:f>
        <x:v>PASS</x:v>
      </x:c>
    </x:row>
    <x:row r="2729">
      <x:c r="B2729" s="21" t="str">
        <x:v>A02723</x:v>
      </x:c>
      <x:c r="C2729" s="21" t="str">
        <x:v>artifact</x:v>
      </x:c>
      <x:c r="D2729" s="21" t="str">
        <x:v>artifact 840 eligibility equation</x:v>
      </x:c>
      <x:c r="E2729" s="21" t="n">
        <x:f>IF(ABS('Artifact Ledger'!P846-IF(AND('Artifact Ledger'!L846=1,'Artifact Ledger'!M846=1,'Artifact Ledger'!N846=1,'Artifact Ledger'!O846&gt;='Artifact Ledger'!G846),'Artifact Ledger'!K846,0))&lt;0.000001,1,0)</x:f>
        <x:v>1</x:v>
      </x:c>
      <x:c r="F2729" s="21" t="n">
        <x:v>1</x:v>
      </x:c>
      <x:c r="G2729" s="23" t="str">
        <x:f>IF(E2729=F2729,"PASS","FAIL")</x:f>
        <x:v>PASS</x:v>
      </x:c>
    </x:row>
    <x:row r="2730">
      <x:c r="B2730" s="21" t="str">
        <x:v>A02724</x:v>
      </x:c>
      <x:c r="C2730" s="21" t="str">
        <x:v>artifact</x:v>
      </x:c>
      <x:c r="D2730" s="21" t="str">
        <x:v>artifact 840 planning state</x:v>
      </x:c>
      <x:c r="E2730" s="21" t="n">
        <x:f>IF(AND('Artifact Ledger'!Q846="OPEN",'Artifact Ledger'!R846="HOLD"),1,0)</x:f>
        <x:v>1</x:v>
      </x:c>
      <x:c r="F2730" s="21" t="n">
        <x:v>1</x:v>
      </x:c>
      <x:c r="G2730" s="23" t="str">
        <x:f>IF(E2730=F2730,"PASS","FAIL")</x:f>
        <x:v>PASS</x:v>
      </x:c>
    </x:row>
    <x:row r="2731">
      <x:c r="B2731" s="21" t="str">
        <x:v>A02725</x:v>
      </x:c>
      <x:c r="C2731" s="21" t="str">
        <x:v>artifact</x:v>
      </x:c>
      <x:c r="D2731" s="21" t="str">
        <x:v>artifact 841 eligibility equation</x:v>
      </x:c>
      <x:c r="E2731" s="21" t="n">
        <x:f>IF(ABS('Artifact Ledger'!P847-IF(AND('Artifact Ledger'!L847=1,'Artifact Ledger'!M847=1,'Artifact Ledger'!N847=1,'Artifact Ledger'!O847&gt;='Artifact Ledger'!G847),'Artifact Ledger'!K847,0))&lt;0.000001,1,0)</x:f>
        <x:v>1</x:v>
      </x:c>
      <x:c r="F2731" s="21" t="n">
        <x:v>1</x:v>
      </x:c>
      <x:c r="G2731" s="23" t="str">
        <x:f>IF(E2731=F2731,"PASS","FAIL")</x:f>
        <x:v>PASS</x:v>
      </x:c>
    </x:row>
    <x:row r="2732">
      <x:c r="B2732" s="21" t="str">
        <x:v>A02726</x:v>
      </x:c>
      <x:c r="C2732" s="21" t="str">
        <x:v>artifact</x:v>
      </x:c>
      <x:c r="D2732" s="21" t="str">
        <x:v>artifact 841 planning state</x:v>
      </x:c>
      <x:c r="E2732" s="21" t="n">
        <x:f>IF(AND('Artifact Ledger'!Q847="OPEN",'Artifact Ledger'!R847="HOLD"),1,0)</x:f>
        <x:v>1</x:v>
      </x:c>
      <x:c r="F2732" s="21" t="n">
        <x:v>1</x:v>
      </x:c>
      <x:c r="G2732" s="23" t="str">
        <x:f>IF(E2732=F2732,"PASS","FAIL")</x:f>
        <x:v>PASS</x:v>
      </x:c>
    </x:row>
    <x:row r="2733">
      <x:c r="B2733" s="21" t="str">
        <x:v>A02727</x:v>
      </x:c>
      <x:c r="C2733" s="21" t="str">
        <x:v>artifact</x:v>
      </x:c>
      <x:c r="D2733" s="21" t="str">
        <x:v>artifact 842 eligibility equation</x:v>
      </x:c>
      <x:c r="E2733" s="21" t="n">
        <x:f>IF(ABS('Artifact Ledger'!P848-IF(AND('Artifact Ledger'!L848=1,'Artifact Ledger'!M848=1,'Artifact Ledger'!N848=1,'Artifact Ledger'!O848&gt;='Artifact Ledger'!G848),'Artifact Ledger'!K848,0))&lt;0.000001,1,0)</x:f>
        <x:v>1</x:v>
      </x:c>
      <x:c r="F2733" s="21" t="n">
        <x:v>1</x:v>
      </x:c>
      <x:c r="G2733" s="23" t="str">
        <x:f>IF(E2733=F2733,"PASS","FAIL")</x:f>
        <x:v>PASS</x:v>
      </x:c>
    </x:row>
    <x:row r="2734">
      <x:c r="B2734" s="21" t="str">
        <x:v>A02728</x:v>
      </x:c>
      <x:c r="C2734" s="21" t="str">
        <x:v>artifact</x:v>
      </x:c>
      <x:c r="D2734" s="21" t="str">
        <x:v>artifact 842 planning state</x:v>
      </x:c>
      <x:c r="E2734" s="21" t="n">
        <x:f>IF(AND('Artifact Ledger'!Q848="OPEN",'Artifact Ledger'!R848="HOLD"),1,0)</x:f>
        <x:v>1</x:v>
      </x:c>
      <x:c r="F2734" s="21" t="n">
        <x:v>1</x:v>
      </x:c>
      <x:c r="G2734" s="23" t="str">
        <x:f>IF(E2734=F2734,"PASS","FAIL")</x:f>
        <x:v>PASS</x:v>
      </x:c>
    </x:row>
    <x:row r="2735">
      <x:c r="B2735" s="21" t="str">
        <x:v>A02729</x:v>
      </x:c>
      <x:c r="C2735" s="21" t="str">
        <x:v>artifact</x:v>
      </x:c>
      <x:c r="D2735" s="21" t="str">
        <x:v>artifact 843 eligibility equation</x:v>
      </x:c>
      <x:c r="E2735" s="21" t="n">
        <x:f>IF(ABS('Artifact Ledger'!P849-IF(AND('Artifact Ledger'!L849=1,'Artifact Ledger'!M849=1,'Artifact Ledger'!N849=1,'Artifact Ledger'!O849&gt;='Artifact Ledger'!G849),'Artifact Ledger'!K849,0))&lt;0.000001,1,0)</x:f>
        <x:v>1</x:v>
      </x:c>
      <x:c r="F2735" s="21" t="n">
        <x:v>1</x:v>
      </x:c>
      <x:c r="G2735" s="23" t="str">
        <x:f>IF(E2735=F2735,"PASS","FAIL")</x:f>
        <x:v>PASS</x:v>
      </x:c>
    </x:row>
    <x:row r="2736">
      <x:c r="B2736" s="21" t="str">
        <x:v>A02730</x:v>
      </x:c>
      <x:c r="C2736" s="21" t="str">
        <x:v>artifact</x:v>
      </x:c>
      <x:c r="D2736" s="21" t="str">
        <x:v>artifact 843 planning state</x:v>
      </x:c>
      <x:c r="E2736" s="21" t="n">
        <x:f>IF(AND('Artifact Ledger'!Q849="OPEN",'Artifact Ledger'!R849="HOLD"),1,0)</x:f>
        <x:v>1</x:v>
      </x:c>
      <x:c r="F2736" s="21" t="n">
        <x:v>1</x:v>
      </x:c>
      <x:c r="G2736" s="23" t="str">
        <x:f>IF(E2736=F2736,"PASS","FAIL")</x:f>
        <x:v>PASS</x:v>
      </x:c>
    </x:row>
    <x:row r="2737">
      <x:c r="B2737" s="21" t="str">
        <x:v>A02731</x:v>
      </x:c>
      <x:c r="C2737" s="21" t="str">
        <x:v>artifact</x:v>
      </x:c>
      <x:c r="D2737" s="21" t="str">
        <x:v>artifact 844 eligibility equation</x:v>
      </x:c>
      <x:c r="E2737" s="21" t="n">
        <x:f>IF(ABS('Artifact Ledger'!P850-IF(AND('Artifact Ledger'!L850=1,'Artifact Ledger'!M850=1,'Artifact Ledger'!N850=1,'Artifact Ledger'!O850&gt;='Artifact Ledger'!G850),'Artifact Ledger'!K850,0))&lt;0.000001,1,0)</x:f>
        <x:v>1</x:v>
      </x:c>
      <x:c r="F2737" s="21" t="n">
        <x:v>1</x:v>
      </x:c>
      <x:c r="G2737" s="23" t="str">
        <x:f>IF(E2737=F2737,"PASS","FAIL")</x:f>
        <x:v>PASS</x:v>
      </x:c>
    </x:row>
    <x:row r="2738">
      <x:c r="B2738" s="21" t="str">
        <x:v>A02732</x:v>
      </x:c>
      <x:c r="C2738" s="21" t="str">
        <x:v>artifact</x:v>
      </x:c>
      <x:c r="D2738" s="21" t="str">
        <x:v>artifact 844 planning state</x:v>
      </x:c>
      <x:c r="E2738" s="21" t="n">
        <x:f>IF(AND('Artifact Ledger'!Q850="OPEN",'Artifact Ledger'!R850="HOLD"),1,0)</x:f>
        <x:v>1</x:v>
      </x:c>
      <x:c r="F2738" s="21" t="n">
        <x:v>1</x:v>
      </x:c>
      <x:c r="G2738" s="23" t="str">
        <x:f>IF(E2738=F2738,"PASS","FAIL")</x:f>
        <x:v>PASS</x:v>
      </x:c>
    </x:row>
    <x:row r="2739">
      <x:c r="B2739" s="21" t="str">
        <x:v>A02733</x:v>
      </x:c>
      <x:c r="C2739" s="21" t="str">
        <x:v>artifact</x:v>
      </x:c>
      <x:c r="D2739" s="21" t="str">
        <x:v>artifact 845 eligibility equation</x:v>
      </x:c>
      <x:c r="E2739" s="21" t="n">
        <x:f>IF(ABS('Artifact Ledger'!P851-IF(AND('Artifact Ledger'!L851=1,'Artifact Ledger'!M851=1,'Artifact Ledger'!N851=1,'Artifact Ledger'!O851&gt;='Artifact Ledger'!G851),'Artifact Ledger'!K851,0))&lt;0.000001,1,0)</x:f>
        <x:v>1</x:v>
      </x:c>
      <x:c r="F2739" s="21" t="n">
        <x:v>1</x:v>
      </x:c>
      <x:c r="G2739" s="23" t="str">
        <x:f>IF(E2739=F2739,"PASS","FAIL")</x:f>
        <x:v>PASS</x:v>
      </x:c>
    </x:row>
    <x:row r="2740">
      <x:c r="B2740" s="21" t="str">
        <x:v>A02734</x:v>
      </x:c>
      <x:c r="C2740" s="21" t="str">
        <x:v>artifact</x:v>
      </x:c>
      <x:c r="D2740" s="21" t="str">
        <x:v>artifact 845 planning state</x:v>
      </x:c>
      <x:c r="E2740" s="21" t="n">
        <x:f>IF(AND('Artifact Ledger'!Q851="OPEN",'Artifact Ledger'!R851="HOLD"),1,0)</x:f>
        <x:v>1</x:v>
      </x:c>
      <x:c r="F2740" s="21" t="n">
        <x:v>1</x:v>
      </x:c>
      <x:c r="G2740" s="23" t="str">
        <x:f>IF(E2740=F2740,"PASS","FAIL")</x:f>
        <x:v>PASS</x:v>
      </x:c>
    </x:row>
    <x:row r="2741">
      <x:c r="B2741" s="21" t="str">
        <x:v>A02735</x:v>
      </x:c>
      <x:c r="C2741" s="21" t="str">
        <x:v>artifact</x:v>
      </x:c>
      <x:c r="D2741" s="21" t="str">
        <x:v>artifact 846 eligibility equation</x:v>
      </x:c>
      <x:c r="E2741" s="21" t="n">
        <x:f>IF(ABS('Artifact Ledger'!P852-IF(AND('Artifact Ledger'!L852=1,'Artifact Ledger'!M852=1,'Artifact Ledger'!N852=1,'Artifact Ledger'!O852&gt;='Artifact Ledger'!G852),'Artifact Ledger'!K852,0))&lt;0.000001,1,0)</x:f>
        <x:v>1</x:v>
      </x:c>
      <x:c r="F2741" s="21" t="n">
        <x:v>1</x:v>
      </x:c>
      <x:c r="G2741" s="23" t="str">
        <x:f>IF(E2741=F2741,"PASS","FAIL")</x:f>
        <x:v>PASS</x:v>
      </x:c>
    </x:row>
    <x:row r="2742">
      <x:c r="B2742" s="21" t="str">
        <x:v>A02736</x:v>
      </x:c>
      <x:c r="C2742" s="21" t="str">
        <x:v>artifact</x:v>
      </x:c>
      <x:c r="D2742" s="21" t="str">
        <x:v>artifact 846 planning state</x:v>
      </x:c>
      <x:c r="E2742" s="21" t="n">
        <x:f>IF(AND('Artifact Ledger'!Q852="OPEN",'Artifact Ledger'!R852="HOLD"),1,0)</x:f>
        <x:v>1</x:v>
      </x:c>
      <x:c r="F2742" s="21" t="n">
        <x:v>1</x:v>
      </x:c>
      <x:c r="G2742" s="23" t="str">
        <x:f>IF(E2742=F2742,"PASS","FAIL")</x:f>
        <x:v>PASS</x:v>
      </x:c>
    </x:row>
    <x:row r="2743">
      <x:c r="B2743" s="21" t="str">
        <x:v>A02737</x:v>
      </x:c>
      <x:c r="C2743" s="21" t="str">
        <x:v>artifact</x:v>
      </x:c>
      <x:c r="D2743" s="21" t="str">
        <x:v>artifact 847 eligibility equation</x:v>
      </x:c>
      <x:c r="E2743" s="21" t="n">
        <x:f>IF(ABS('Artifact Ledger'!P853-IF(AND('Artifact Ledger'!L853=1,'Artifact Ledger'!M853=1,'Artifact Ledger'!N853=1,'Artifact Ledger'!O853&gt;='Artifact Ledger'!G853),'Artifact Ledger'!K853,0))&lt;0.000001,1,0)</x:f>
        <x:v>1</x:v>
      </x:c>
      <x:c r="F2743" s="21" t="n">
        <x:v>1</x:v>
      </x:c>
      <x:c r="G2743" s="23" t="str">
        <x:f>IF(E2743=F2743,"PASS","FAIL")</x:f>
        <x:v>PASS</x:v>
      </x:c>
    </x:row>
    <x:row r="2744">
      <x:c r="B2744" s="21" t="str">
        <x:v>A02738</x:v>
      </x:c>
      <x:c r="C2744" s="21" t="str">
        <x:v>artifact</x:v>
      </x:c>
      <x:c r="D2744" s="21" t="str">
        <x:v>artifact 847 planning state</x:v>
      </x:c>
      <x:c r="E2744" s="21" t="n">
        <x:f>IF(AND('Artifact Ledger'!Q853="OPEN",'Artifact Ledger'!R853="HOLD"),1,0)</x:f>
        <x:v>1</x:v>
      </x:c>
      <x:c r="F2744" s="21" t="n">
        <x:v>1</x:v>
      </x:c>
      <x:c r="G2744" s="23" t="str">
        <x:f>IF(E2744=F2744,"PASS","FAIL")</x:f>
        <x:v>PASS</x:v>
      </x:c>
    </x:row>
    <x:row r="2745">
      <x:c r="B2745" s="21" t="str">
        <x:v>A02739</x:v>
      </x:c>
      <x:c r="C2745" s="21" t="str">
        <x:v>artifact</x:v>
      </x:c>
      <x:c r="D2745" s="21" t="str">
        <x:v>artifact 848 eligibility equation</x:v>
      </x:c>
      <x:c r="E2745" s="21" t="n">
        <x:f>IF(ABS('Artifact Ledger'!P854-IF(AND('Artifact Ledger'!L854=1,'Artifact Ledger'!M854=1,'Artifact Ledger'!N854=1,'Artifact Ledger'!O854&gt;='Artifact Ledger'!G854),'Artifact Ledger'!K854,0))&lt;0.000001,1,0)</x:f>
        <x:v>1</x:v>
      </x:c>
      <x:c r="F2745" s="21" t="n">
        <x:v>1</x:v>
      </x:c>
      <x:c r="G2745" s="23" t="str">
        <x:f>IF(E2745=F2745,"PASS","FAIL")</x:f>
        <x:v>PASS</x:v>
      </x:c>
    </x:row>
    <x:row r="2746">
      <x:c r="B2746" s="21" t="str">
        <x:v>A02740</x:v>
      </x:c>
      <x:c r="C2746" s="21" t="str">
        <x:v>artifact</x:v>
      </x:c>
      <x:c r="D2746" s="21" t="str">
        <x:v>artifact 848 planning state</x:v>
      </x:c>
      <x:c r="E2746" s="21" t="n">
        <x:f>IF(AND('Artifact Ledger'!Q854="OPEN",'Artifact Ledger'!R854="HOLD"),1,0)</x:f>
        <x:v>1</x:v>
      </x:c>
      <x:c r="F2746" s="21" t="n">
        <x:v>1</x:v>
      </x:c>
      <x:c r="G2746" s="23" t="str">
        <x:f>IF(E2746=F2746,"PASS","FAIL")</x:f>
        <x:v>PASS</x:v>
      </x:c>
    </x:row>
    <x:row r="2747">
      <x:c r="B2747" s="21" t="str">
        <x:v>A02741</x:v>
      </x:c>
      <x:c r="C2747" s="21" t="str">
        <x:v>artifact</x:v>
      </x:c>
      <x:c r="D2747" s="21" t="str">
        <x:v>artifact 849 eligibility equation</x:v>
      </x:c>
      <x:c r="E2747" s="21" t="n">
        <x:f>IF(ABS('Artifact Ledger'!P855-IF(AND('Artifact Ledger'!L855=1,'Artifact Ledger'!M855=1,'Artifact Ledger'!N855=1,'Artifact Ledger'!O855&gt;='Artifact Ledger'!G855),'Artifact Ledger'!K855,0))&lt;0.000001,1,0)</x:f>
        <x:v>1</x:v>
      </x:c>
      <x:c r="F2747" s="21" t="n">
        <x:v>1</x:v>
      </x:c>
      <x:c r="G2747" s="23" t="str">
        <x:f>IF(E2747=F2747,"PASS","FAIL")</x:f>
        <x:v>PASS</x:v>
      </x:c>
    </x:row>
    <x:row r="2748">
      <x:c r="B2748" s="21" t="str">
        <x:v>A02742</x:v>
      </x:c>
      <x:c r="C2748" s="21" t="str">
        <x:v>artifact</x:v>
      </x:c>
      <x:c r="D2748" s="21" t="str">
        <x:v>artifact 849 planning state</x:v>
      </x:c>
      <x:c r="E2748" s="21" t="n">
        <x:f>IF(AND('Artifact Ledger'!Q855="OPEN",'Artifact Ledger'!R855="HOLD"),1,0)</x:f>
        <x:v>1</x:v>
      </x:c>
      <x:c r="F2748" s="21" t="n">
        <x:v>1</x:v>
      </x:c>
      <x:c r="G2748" s="23" t="str">
        <x:f>IF(E2748=F2748,"PASS","FAIL")</x:f>
        <x:v>PASS</x:v>
      </x:c>
    </x:row>
    <x:row r="2749">
      <x:c r="B2749" s="21" t="str">
        <x:v>A02743</x:v>
      </x:c>
      <x:c r="C2749" s="21" t="str">
        <x:v>artifact</x:v>
      </x:c>
      <x:c r="D2749" s="21" t="str">
        <x:v>artifact 850 eligibility equation</x:v>
      </x:c>
      <x:c r="E2749" s="21" t="n">
        <x:f>IF(ABS('Artifact Ledger'!P856-IF(AND('Artifact Ledger'!L856=1,'Artifact Ledger'!M856=1,'Artifact Ledger'!N856=1,'Artifact Ledger'!O856&gt;='Artifact Ledger'!G856),'Artifact Ledger'!K856,0))&lt;0.000001,1,0)</x:f>
        <x:v>1</x:v>
      </x:c>
      <x:c r="F2749" s="21" t="n">
        <x:v>1</x:v>
      </x:c>
      <x:c r="G2749" s="23" t="str">
        <x:f>IF(E2749=F2749,"PASS","FAIL")</x:f>
        <x:v>PASS</x:v>
      </x:c>
    </x:row>
    <x:row r="2750">
      <x:c r="B2750" s="21" t="str">
        <x:v>A02744</x:v>
      </x:c>
      <x:c r="C2750" s="21" t="str">
        <x:v>artifact</x:v>
      </x:c>
      <x:c r="D2750" s="21" t="str">
        <x:v>artifact 850 planning state</x:v>
      </x:c>
      <x:c r="E2750" s="21" t="n">
        <x:f>IF(AND('Artifact Ledger'!Q856="OPEN",'Artifact Ledger'!R856="HOLD"),1,0)</x:f>
        <x:v>1</x:v>
      </x:c>
      <x:c r="F2750" s="21" t="n">
        <x:v>1</x:v>
      </x:c>
      <x:c r="G2750" s="23" t="str">
        <x:f>IF(E2750=F2750,"PASS","FAIL")</x:f>
        <x:v>PASS</x:v>
      </x:c>
    </x:row>
    <x:row r="2751">
      <x:c r="B2751" s="21" t="str">
        <x:v>A02745</x:v>
      </x:c>
      <x:c r="C2751" s="21" t="str">
        <x:v>artifact</x:v>
      </x:c>
      <x:c r="D2751" s="21" t="str">
        <x:v>artifact 851 eligibility equation</x:v>
      </x:c>
      <x:c r="E2751" s="21" t="n">
        <x:f>IF(ABS('Artifact Ledger'!P857-IF(AND('Artifact Ledger'!L857=1,'Artifact Ledger'!M857=1,'Artifact Ledger'!N857=1,'Artifact Ledger'!O857&gt;='Artifact Ledger'!G857),'Artifact Ledger'!K857,0))&lt;0.000001,1,0)</x:f>
        <x:v>1</x:v>
      </x:c>
      <x:c r="F2751" s="21" t="n">
        <x:v>1</x:v>
      </x:c>
      <x:c r="G2751" s="23" t="str">
        <x:f>IF(E2751=F2751,"PASS","FAIL")</x:f>
        <x:v>PASS</x:v>
      </x:c>
    </x:row>
    <x:row r="2752">
      <x:c r="B2752" s="21" t="str">
        <x:v>A02746</x:v>
      </x:c>
      <x:c r="C2752" s="21" t="str">
        <x:v>artifact</x:v>
      </x:c>
      <x:c r="D2752" s="21" t="str">
        <x:v>artifact 851 planning state</x:v>
      </x:c>
      <x:c r="E2752" s="21" t="n">
        <x:f>IF(AND('Artifact Ledger'!Q857="OPEN",'Artifact Ledger'!R857="HOLD"),1,0)</x:f>
        <x:v>1</x:v>
      </x:c>
      <x:c r="F2752" s="21" t="n">
        <x:v>1</x:v>
      </x:c>
      <x:c r="G2752" s="23" t="str">
        <x:f>IF(E2752=F2752,"PASS","FAIL")</x:f>
        <x:v>PASS</x:v>
      </x:c>
    </x:row>
    <x:row r="2753">
      <x:c r="B2753" s="21" t="str">
        <x:v>A02747</x:v>
      </x:c>
      <x:c r="C2753" s="21" t="str">
        <x:v>artifact</x:v>
      </x:c>
      <x:c r="D2753" s="21" t="str">
        <x:v>artifact 852 eligibility equation</x:v>
      </x:c>
      <x:c r="E2753" s="21" t="n">
        <x:f>IF(ABS('Artifact Ledger'!P858-IF(AND('Artifact Ledger'!L858=1,'Artifact Ledger'!M858=1,'Artifact Ledger'!N858=1,'Artifact Ledger'!O858&gt;='Artifact Ledger'!G858),'Artifact Ledger'!K858,0))&lt;0.000001,1,0)</x:f>
        <x:v>1</x:v>
      </x:c>
      <x:c r="F2753" s="21" t="n">
        <x:v>1</x:v>
      </x:c>
      <x:c r="G2753" s="23" t="str">
        <x:f>IF(E2753=F2753,"PASS","FAIL")</x:f>
        <x:v>PASS</x:v>
      </x:c>
    </x:row>
    <x:row r="2754">
      <x:c r="B2754" s="21" t="str">
        <x:v>A02748</x:v>
      </x:c>
      <x:c r="C2754" s="21" t="str">
        <x:v>artifact</x:v>
      </x:c>
      <x:c r="D2754" s="21" t="str">
        <x:v>artifact 852 planning state</x:v>
      </x:c>
      <x:c r="E2754" s="21" t="n">
        <x:f>IF(AND('Artifact Ledger'!Q858="OPEN",'Artifact Ledger'!R858="HOLD"),1,0)</x:f>
        <x:v>1</x:v>
      </x:c>
      <x:c r="F2754" s="21" t="n">
        <x:v>1</x:v>
      </x:c>
      <x:c r="G2754" s="23" t="str">
        <x:f>IF(E2754=F2754,"PASS","FAIL")</x:f>
        <x:v>PASS</x:v>
      </x:c>
    </x:row>
    <x:row r="2755">
      <x:c r="B2755" s="21" t="str">
        <x:v>A02749</x:v>
      </x:c>
      <x:c r="C2755" s="21" t="str">
        <x:v>artifact</x:v>
      </x:c>
      <x:c r="D2755" s="21" t="str">
        <x:v>artifact 853 eligibility equation</x:v>
      </x:c>
      <x:c r="E2755" s="21" t="n">
        <x:f>IF(ABS('Artifact Ledger'!P859-IF(AND('Artifact Ledger'!L859=1,'Artifact Ledger'!M859=1,'Artifact Ledger'!N859=1,'Artifact Ledger'!O859&gt;='Artifact Ledger'!G859),'Artifact Ledger'!K859,0))&lt;0.000001,1,0)</x:f>
        <x:v>1</x:v>
      </x:c>
      <x:c r="F2755" s="21" t="n">
        <x:v>1</x:v>
      </x:c>
      <x:c r="G2755" s="23" t="str">
        <x:f>IF(E2755=F2755,"PASS","FAIL")</x:f>
        <x:v>PASS</x:v>
      </x:c>
    </x:row>
    <x:row r="2756">
      <x:c r="B2756" s="21" t="str">
        <x:v>A02750</x:v>
      </x:c>
      <x:c r="C2756" s="21" t="str">
        <x:v>artifact</x:v>
      </x:c>
      <x:c r="D2756" s="21" t="str">
        <x:v>artifact 853 planning state</x:v>
      </x:c>
      <x:c r="E2756" s="21" t="n">
        <x:f>IF(AND('Artifact Ledger'!Q859="OPEN",'Artifact Ledger'!R859="HOLD"),1,0)</x:f>
        <x:v>1</x:v>
      </x:c>
      <x:c r="F2756" s="21" t="n">
        <x:v>1</x:v>
      </x:c>
      <x:c r="G2756" s="23" t="str">
        <x:f>IF(E2756=F2756,"PASS","FAIL")</x:f>
        <x:v>PASS</x:v>
      </x:c>
    </x:row>
    <x:row r="2757">
      <x:c r="B2757" s="21" t="str">
        <x:v>A02751</x:v>
      </x:c>
      <x:c r="C2757" s="21" t="str">
        <x:v>artifact</x:v>
      </x:c>
      <x:c r="D2757" s="21" t="str">
        <x:v>artifact 854 eligibility equation</x:v>
      </x:c>
      <x:c r="E2757" s="21" t="n">
        <x:f>IF(ABS('Artifact Ledger'!P860-IF(AND('Artifact Ledger'!L860=1,'Artifact Ledger'!M860=1,'Artifact Ledger'!N860=1,'Artifact Ledger'!O860&gt;='Artifact Ledger'!G860),'Artifact Ledger'!K860,0))&lt;0.000001,1,0)</x:f>
        <x:v>1</x:v>
      </x:c>
      <x:c r="F2757" s="21" t="n">
        <x:v>1</x:v>
      </x:c>
      <x:c r="G2757" s="23" t="str">
        <x:f>IF(E2757=F2757,"PASS","FAIL")</x:f>
        <x:v>PASS</x:v>
      </x:c>
    </x:row>
    <x:row r="2758">
      <x:c r="B2758" s="21" t="str">
        <x:v>A02752</x:v>
      </x:c>
      <x:c r="C2758" s="21" t="str">
        <x:v>artifact</x:v>
      </x:c>
      <x:c r="D2758" s="21" t="str">
        <x:v>artifact 854 planning state</x:v>
      </x:c>
      <x:c r="E2758" s="21" t="n">
        <x:f>IF(AND('Artifact Ledger'!Q860="OPEN",'Artifact Ledger'!R860="HOLD"),1,0)</x:f>
        <x:v>1</x:v>
      </x:c>
      <x:c r="F2758" s="21" t="n">
        <x:v>1</x:v>
      </x:c>
      <x:c r="G2758" s="23" t="str">
        <x:f>IF(E2758=F2758,"PASS","FAIL")</x:f>
        <x:v>PASS</x:v>
      </x:c>
    </x:row>
    <x:row r="2759">
      <x:c r="B2759" s="21" t="str">
        <x:v>A02753</x:v>
      </x:c>
      <x:c r="C2759" s="21" t="str">
        <x:v>artifact</x:v>
      </x:c>
      <x:c r="D2759" s="21" t="str">
        <x:v>artifact 855 eligibility equation</x:v>
      </x:c>
      <x:c r="E2759" s="21" t="n">
        <x:f>IF(ABS('Artifact Ledger'!P861-IF(AND('Artifact Ledger'!L861=1,'Artifact Ledger'!M861=1,'Artifact Ledger'!N861=1,'Artifact Ledger'!O861&gt;='Artifact Ledger'!G861),'Artifact Ledger'!K861,0))&lt;0.000001,1,0)</x:f>
        <x:v>1</x:v>
      </x:c>
      <x:c r="F2759" s="21" t="n">
        <x:v>1</x:v>
      </x:c>
      <x:c r="G2759" s="23" t="str">
        <x:f>IF(E2759=F2759,"PASS","FAIL")</x:f>
        <x:v>PASS</x:v>
      </x:c>
    </x:row>
    <x:row r="2760">
      <x:c r="B2760" s="21" t="str">
        <x:v>A02754</x:v>
      </x:c>
      <x:c r="C2760" s="21" t="str">
        <x:v>artifact</x:v>
      </x:c>
      <x:c r="D2760" s="21" t="str">
        <x:v>artifact 855 planning state</x:v>
      </x:c>
      <x:c r="E2760" s="21" t="n">
        <x:f>IF(AND('Artifact Ledger'!Q861="OPEN",'Artifact Ledger'!R861="HOLD"),1,0)</x:f>
        <x:v>1</x:v>
      </x:c>
      <x:c r="F2760" s="21" t="n">
        <x:v>1</x:v>
      </x:c>
      <x:c r="G2760" s="23" t="str">
        <x:f>IF(E2760=F2760,"PASS","FAIL")</x:f>
        <x:v>PASS</x:v>
      </x:c>
    </x:row>
    <x:row r="2761">
      <x:c r="B2761" s="21" t="str">
        <x:v>A02755</x:v>
      </x:c>
      <x:c r="C2761" s="21" t="str">
        <x:v>artifact</x:v>
      </x:c>
      <x:c r="D2761" s="21" t="str">
        <x:v>artifact 856 eligibility equation</x:v>
      </x:c>
      <x:c r="E2761" s="21" t="n">
        <x:f>IF(ABS('Artifact Ledger'!P862-IF(AND('Artifact Ledger'!L862=1,'Artifact Ledger'!M862=1,'Artifact Ledger'!N862=1,'Artifact Ledger'!O862&gt;='Artifact Ledger'!G862),'Artifact Ledger'!K862,0))&lt;0.000001,1,0)</x:f>
        <x:v>1</x:v>
      </x:c>
      <x:c r="F2761" s="21" t="n">
        <x:v>1</x:v>
      </x:c>
      <x:c r="G2761" s="23" t="str">
        <x:f>IF(E2761=F2761,"PASS","FAIL")</x:f>
        <x:v>PASS</x:v>
      </x:c>
    </x:row>
    <x:row r="2762">
      <x:c r="B2762" s="21" t="str">
        <x:v>A02756</x:v>
      </x:c>
      <x:c r="C2762" s="21" t="str">
        <x:v>artifact</x:v>
      </x:c>
      <x:c r="D2762" s="21" t="str">
        <x:v>artifact 856 planning state</x:v>
      </x:c>
      <x:c r="E2762" s="21" t="n">
        <x:f>IF(AND('Artifact Ledger'!Q862="OPEN",'Artifact Ledger'!R862="HOLD"),1,0)</x:f>
        <x:v>1</x:v>
      </x:c>
      <x:c r="F2762" s="21" t="n">
        <x:v>1</x:v>
      </x:c>
      <x:c r="G2762" s="23" t="str">
        <x:f>IF(E2762=F2762,"PASS","FAIL")</x:f>
        <x:v>PASS</x:v>
      </x:c>
    </x:row>
    <x:row r="2763">
      <x:c r="B2763" s="21" t="str">
        <x:v>A02757</x:v>
      </x:c>
      <x:c r="C2763" s="21" t="str">
        <x:v>artifact</x:v>
      </x:c>
      <x:c r="D2763" s="21" t="str">
        <x:v>artifact 857 eligibility equation</x:v>
      </x:c>
      <x:c r="E2763" s="21" t="n">
        <x:f>IF(ABS('Artifact Ledger'!P863-IF(AND('Artifact Ledger'!L863=1,'Artifact Ledger'!M863=1,'Artifact Ledger'!N863=1,'Artifact Ledger'!O863&gt;='Artifact Ledger'!G863),'Artifact Ledger'!K863,0))&lt;0.000001,1,0)</x:f>
        <x:v>1</x:v>
      </x:c>
      <x:c r="F2763" s="21" t="n">
        <x:v>1</x:v>
      </x:c>
      <x:c r="G2763" s="23" t="str">
        <x:f>IF(E2763=F2763,"PASS","FAIL")</x:f>
        <x:v>PASS</x:v>
      </x:c>
    </x:row>
    <x:row r="2764">
      <x:c r="B2764" s="21" t="str">
        <x:v>A02758</x:v>
      </x:c>
      <x:c r="C2764" s="21" t="str">
        <x:v>artifact</x:v>
      </x:c>
      <x:c r="D2764" s="21" t="str">
        <x:v>artifact 857 planning state</x:v>
      </x:c>
      <x:c r="E2764" s="21" t="n">
        <x:f>IF(AND('Artifact Ledger'!Q863="OPEN",'Artifact Ledger'!R863="HOLD"),1,0)</x:f>
        <x:v>1</x:v>
      </x:c>
      <x:c r="F2764" s="21" t="n">
        <x:v>1</x:v>
      </x:c>
      <x:c r="G2764" s="23" t="str">
        <x:f>IF(E2764=F2764,"PASS","FAIL")</x:f>
        <x:v>PASS</x:v>
      </x:c>
    </x:row>
    <x:row r="2765">
      <x:c r="B2765" s="21" t="str">
        <x:v>A02759</x:v>
      </x:c>
      <x:c r="C2765" s="21" t="str">
        <x:v>artifact</x:v>
      </x:c>
      <x:c r="D2765" s="21" t="str">
        <x:v>artifact 858 eligibility equation</x:v>
      </x:c>
      <x:c r="E2765" s="21" t="n">
        <x:f>IF(ABS('Artifact Ledger'!P864-IF(AND('Artifact Ledger'!L864=1,'Artifact Ledger'!M864=1,'Artifact Ledger'!N864=1,'Artifact Ledger'!O864&gt;='Artifact Ledger'!G864),'Artifact Ledger'!K864,0))&lt;0.000001,1,0)</x:f>
        <x:v>1</x:v>
      </x:c>
      <x:c r="F2765" s="21" t="n">
        <x:v>1</x:v>
      </x:c>
      <x:c r="G2765" s="23" t="str">
        <x:f>IF(E2765=F2765,"PASS","FAIL")</x:f>
        <x:v>PASS</x:v>
      </x:c>
    </x:row>
    <x:row r="2766">
      <x:c r="B2766" s="21" t="str">
        <x:v>A02760</x:v>
      </x:c>
      <x:c r="C2766" s="21" t="str">
        <x:v>artifact</x:v>
      </x:c>
      <x:c r="D2766" s="21" t="str">
        <x:v>artifact 858 planning state</x:v>
      </x:c>
      <x:c r="E2766" s="21" t="n">
        <x:f>IF(AND('Artifact Ledger'!Q864="OPEN",'Artifact Ledger'!R864="HOLD"),1,0)</x:f>
        <x:v>1</x:v>
      </x:c>
      <x:c r="F2766" s="21" t="n">
        <x:v>1</x:v>
      </x:c>
      <x:c r="G2766" s="23" t="str">
        <x:f>IF(E2766=F2766,"PASS","FAIL")</x:f>
        <x:v>PASS</x:v>
      </x:c>
    </x:row>
    <x:row r="2767">
      <x:c r="B2767" s="21" t="str">
        <x:v>A02761</x:v>
      </x:c>
      <x:c r="C2767" s="21" t="str">
        <x:v>artifact</x:v>
      </x:c>
      <x:c r="D2767" s="21" t="str">
        <x:v>artifact 859 eligibility equation</x:v>
      </x:c>
      <x:c r="E2767" s="21" t="n">
        <x:f>IF(ABS('Artifact Ledger'!P865-IF(AND('Artifact Ledger'!L865=1,'Artifact Ledger'!M865=1,'Artifact Ledger'!N865=1,'Artifact Ledger'!O865&gt;='Artifact Ledger'!G865),'Artifact Ledger'!K865,0))&lt;0.000001,1,0)</x:f>
        <x:v>1</x:v>
      </x:c>
      <x:c r="F2767" s="21" t="n">
        <x:v>1</x:v>
      </x:c>
      <x:c r="G2767" s="23" t="str">
        <x:f>IF(E2767=F2767,"PASS","FAIL")</x:f>
        <x:v>PASS</x:v>
      </x:c>
    </x:row>
    <x:row r="2768">
      <x:c r="B2768" s="21" t="str">
        <x:v>A02762</x:v>
      </x:c>
      <x:c r="C2768" s="21" t="str">
        <x:v>artifact</x:v>
      </x:c>
      <x:c r="D2768" s="21" t="str">
        <x:v>artifact 859 planning state</x:v>
      </x:c>
      <x:c r="E2768" s="21" t="n">
        <x:f>IF(AND('Artifact Ledger'!Q865="OPEN",'Artifact Ledger'!R865="HOLD"),1,0)</x:f>
        <x:v>1</x:v>
      </x:c>
      <x:c r="F2768" s="21" t="n">
        <x:v>1</x:v>
      </x:c>
      <x:c r="G2768" s="23" t="str">
        <x:f>IF(E2768=F2768,"PASS","FAIL")</x:f>
        <x:v>PASS</x:v>
      </x:c>
    </x:row>
    <x:row r="2769">
      <x:c r="B2769" s="21" t="str">
        <x:v>A02763</x:v>
      </x:c>
      <x:c r="C2769" s="21" t="str">
        <x:v>artifact</x:v>
      </x:c>
      <x:c r="D2769" s="21" t="str">
        <x:v>artifact 860 eligibility equation</x:v>
      </x:c>
      <x:c r="E2769" s="21" t="n">
        <x:f>IF(ABS('Artifact Ledger'!P866-IF(AND('Artifact Ledger'!L866=1,'Artifact Ledger'!M866=1,'Artifact Ledger'!N866=1,'Artifact Ledger'!O866&gt;='Artifact Ledger'!G866),'Artifact Ledger'!K866,0))&lt;0.000001,1,0)</x:f>
        <x:v>1</x:v>
      </x:c>
      <x:c r="F2769" s="21" t="n">
        <x:v>1</x:v>
      </x:c>
      <x:c r="G2769" s="23" t="str">
        <x:f>IF(E2769=F2769,"PASS","FAIL")</x:f>
        <x:v>PASS</x:v>
      </x:c>
    </x:row>
    <x:row r="2770">
      <x:c r="B2770" s="21" t="str">
        <x:v>A02764</x:v>
      </x:c>
      <x:c r="C2770" s="21" t="str">
        <x:v>artifact</x:v>
      </x:c>
      <x:c r="D2770" s="21" t="str">
        <x:v>artifact 860 planning state</x:v>
      </x:c>
      <x:c r="E2770" s="21" t="n">
        <x:f>IF(AND('Artifact Ledger'!Q866="OPEN",'Artifact Ledger'!R866="HOLD"),1,0)</x:f>
        <x:v>1</x:v>
      </x:c>
      <x:c r="F2770" s="21" t="n">
        <x:v>1</x:v>
      </x:c>
      <x:c r="G2770" s="23" t="str">
        <x:f>IF(E2770=F2770,"PASS","FAIL")</x:f>
        <x:v>PASS</x:v>
      </x:c>
    </x:row>
    <x:row r="2771">
      <x:c r="B2771" s="21" t="str">
        <x:v>A02765</x:v>
      </x:c>
      <x:c r="C2771" s="21" t="str">
        <x:v>artifact</x:v>
      </x:c>
      <x:c r="D2771" s="21" t="str">
        <x:v>artifact 861 eligibility equation</x:v>
      </x:c>
      <x:c r="E2771" s="21" t="n">
        <x:f>IF(ABS('Artifact Ledger'!P867-IF(AND('Artifact Ledger'!L867=1,'Artifact Ledger'!M867=1,'Artifact Ledger'!N867=1,'Artifact Ledger'!O867&gt;='Artifact Ledger'!G867),'Artifact Ledger'!K867,0))&lt;0.000001,1,0)</x:f>
        <x:v>1</x:v>
      </x:c>
      <x:c r="F2771" s="21" t="n">
        <x:v>1</x:v>
      </x:c>
      <x:c r="G2771" s="23" t="str">
        <x:f>IF(E2771=F2771,"PASS","FAIL")</x:f>
        <x:v>PASS</x:v>
      </x:c>
    </x:row>
    <x:row r="2772">
      <x:c r="B2772" s="21" t="str">
        <x:v>A02766</x:v>
      </x:c>
      <x:c r="C2772" s="21" t="str">
        <x:v>artifact</x:v>
      </x:c>
      <x:c r="D2772" s="21" t="str">
        <x:v>artifact 861 planning state</x:v>
      </x:c>
      <x:c r="E2772" s="21" t="n">
        <x:f>IF(AND('Artifact Ledger'!Q867="OPEN",'Artifact Ledger'!R867="HOLD"),1,0)</x:f>
        <x:v>1</x:v>
      </x:c>
      <x:c r="F2772" s="21" t="n">
        <x:v>1</x:v>
      </x:c>
      <x:c r="G2772" s="23" t="str">
        <x:f>IF(E2772=F2772,"PASS","FAIL")</x:f>
        <x:v>PASS</x:v>
      </x:c>
    </x:row>
    <x:row r="2773">
      <x:c r="B2773" s="21" t="str">
        <x:v>A02767</x:v>
      </x:c>
      <x:c r="C2773" s="21" t="str">
        <x:v>artifact</x:v>
      </x:c>
      <x:c r="D2773" s="21" t="str">
        <x:v>artifact 862 eligibility equation</x:v>
      </x:c>
      <x:c r="E2773" s="21" t="n">
        <x:f>IF(ABS('Artifact Ledger'!P868-IF(AND('Artifact Ledger'!L868=1,'Artifact Ledger'!M868=1,'Artifact Ledger'!N868=1,'Artifact Ledger'!O868&gt;='Artifact Ledger'!G868),'Artifact Ledger'!K868,0))&lt;0.000001,1,0)</x:f>
        <x:v>1</x:v>
      </x:c>
      <x:c r="F2773" s="21" t="n">
        <x:v>1</x:v>
      </x:c>
      <x:c r="G2773" s="23" t="str">
        <x:f>IF(E2773=F2773,"PASS","FAIL")</x:f>
        <x:v>PASS</x:v>
      </x:c>
    </x:row>
    <x:row r="2774">
      <x:c r="B2774" s="21" t="str">
        <x:v>A02768</x:v>
      </x:c>
      <x:c r="C2774" s="21" t="str">
        <x:v>artifact</x:v>
      </x:c>
      <x:c r="D2774" s="21" t="str">
        <x:v>artifact 862 planning state</x:v>
      </x:c>
      <x:c r="E2774" s="21" t="n">
        <x:f>IF(AND('Artifact Ledger'!Q868="OPEN",'Artifact Ledger'!R868="HOLD"),1,0)</x:f>
        <x:v>1</x:v>
      </x:c>
      <x:c r="F2774" s="21" t="n">
        <x:v>1</x:v>
      </x:c>
      <x:c r="G2774" s="23" t="str">
        <x:f>IF(E2774=F2774,"PASS","FAIL")</x:f>
        <x:v>PASS</x:v>
      </x:c>
    </x:row>
    <x:row r="2775">
      <x:c r="B2775" s="21" t="str">
        <x:v>A02769</x:v>
      </x:c>
      <x:c r="C2775" s="21" t="str">
        <x:v>artifact</x:v>
      </x:c>
      <x:c r="D2775" s="21" t="str">
        <x:v>artifact 863 eligibility equation</x:v>
      </x:c>
      <x:c r="E2775" s="21" t="n">
        <x:f>IF(ABS('Artifact Ledger'!P869-IF(AND('Artifact Ledger'!L869=1,'Artifact Ledger'!M869=1,'Artifact Ledger'!N869=1,'Artifact Ledger'!O869&gt;='Artifact Ledger'!G869),'Artifact Ledger'!K869,0))&lt;0.000001,1,0)</x:f>
        <x:v>1</x:v>
      </x:c>
      <x:c r="F2775" s="21" t="n">
        <x:v>1</x:v>
      </x:c>
      <x:c r="G2775" s="23" t="str">
        <x:f>IF(E2775=F2775,"PASS","FAIL")</x:f>
        <x:v>PASS</x:v>
      </x:c>
    </x:row>
    <x:row r="2776">
      <x:c r="B2776" s="21" t="str">
        <x:v>A02770</x:v>
      </x:c>
      <x:c r="C2776" s="21" t="str">
        <x:v>artifact</x:v>
      </x:c>
      <x:c r="D2776" s="21" t="str">
        <x:v>artifact 863 planning state</x:v>
      </x:c>
      <x:c r="E2776" s="21" t="n">
        <x:f>IF(AND('Artifact Ledger'!Q869="OPEN",'Artifact Ledger'!R869="HOLD"),1,0)</x:f>
        <x:v>1</x:v>
      </x:c>
      <x:c r="F2776" s="21" t="n">
        <x:v>1</x:v>
      </x:c>
      <x:c r="G2776" s="23" t="str">
        <x:f>IF(E2776=F2776,"PASS","FAIL")</x:f>
        <x:v>PASS</x:v>
      </x:c>
    </x:row>
    <x:row r="2777">
      <x:c r="B2777" s="21" t="str">
        <x:v>A02771</x:v>
      </x:c>
      <x:c r="C2777" s="21" t="str">
        <x:v>artifact</x:v>
      </x:c>
      <x:c r="D2777" s="21" t="str">
        <x:v>artifact 864 eligibility equation</x:v>
      </x:c>
      <x:c r="E2777" s="21" t="n">
        <x:f>IF(ABS('Artifact Ledger'!P870-IF(AND('Artifact Ledger'!L870=1,'Artifact Ledger'!M870=1,'Artifact Ledger'!N870=1,'Artifact Ledger'!O870&gt;='Artifact Ledger'!G870),'Artifact Ledger'!K870,0))&lt;0.000001,1,0)</x:f>
        <x:v>1</x:v>
      </x:c>
      <x:c r="F2777" s="21" t="n">
        <x:v>1</x:v>
      </x:c>
      <x:c r="G2777" s="23" t="str">
        <x:f>IF(E2777=F2777,"PASS","FAIL")</x:f>
        <x:v>PASS</x:v>
      </x:c>
    </x:row>
    <x:row r="2778">
      <x:c r="B2778" s="21" t="str">
        <x:v>A02772</x:v>
      </x:c>
      <x:c r="C2778" s="21" t="str">
        <x:v>artifact</x:v>
      </x:c>
      <x:c r="D2778" s="21" t="str">
        <x:v>artifact 864 planning state</x:v>
      </x:c>
      <x:c r="E2778" s="21" t="n">
        <x:f>IF(AND('Artifact Ledger'!Q870="OPEN",'Artifact Ledger'!R870="HOLD"),1,0)</x:f>
        <x:v>1</x:v>
      </x:c>
      <x:c r="F2778" s="21" t="n">
        <x:v>1</x:v>
      </x:c>
      <x:c r="G2778" s="23" t="str">
        <x:f>IF(E2778=F2778,"PASS","FAIL")</x:f>
        <x:v>PASS</x:v>
      </x:c>
    </x:row>
    <x:row r="2779">
      <x:c r="B2779" s="21" t="str">
        <x:v>A02773</x:v>
      </x:c>
      <x:c r="C2779" s="21" t="str">
        <x:v>artifact</x:v>
      </x:c>
      <x:c r="D2779" s="21" t="str">
        <x:v>artifact 865 eligibility equation</x:v>
      </x:c>
      <x:c r="E2779" s="21" t="n">
        <x:f>IF(ABS('Artifact Ledger'!P871-IF(AND('Artifact Ledger'!L871=1,'Artifact Ledger'!M871=1,'Artifact Ledger'!N871=1,'Artifact Ledger'!O871&gt;='Artifact Ledger'!G871),'Artifact Ledger'!K871,0))&lt;0.000001,1,0)</x:f>
        <x:v>1</x:v>
      </x:c>
      <x:c r="F2779" s="21" t="n">
        <x:v>1</x:v>
      </x:c>
      <x:c r="G2779" s="23" t="str">
        <x:f>IF(E2779=F2779,"PASS","FAIL")</x:f>
        <x:v>PASS</x:v>
      </x:c>
    </x:row>
    <x:row r="2780">
      <x:c r="B2780" s="21" t="str">
        <x:v>A02774</x:v>
      </x:c>
      <x:c r="C2780" s="21" t="str">
        <x:v>artifact</x:v>
      </x:c>
      <x:c r="D2780" s="21" t="str">
        <x:v>artifact 865 planning state</x:v>
      </x:c>
      <x:c r="E2780" s="21" t="n">
        <x:f>IF(AND('Artifact Ledger'!Q871="OPEN",'Artifact Ledger'!R871="HOLD"),1,0)</x:f>
        <x:v>1</x:v>
      </x:c>
      <x:c r="F2780" s="21" t="n">
        <x:v>1</x:v>
      </x:c>
      <x:c r="G2780" s="23" t="str">
        <x:f>IF(E2780=F2780,"PASS","FAIL")</x:f>
        <x:v>PASS</x:v>
      </x:c>
    </x:row>
    <x:row r="2781">
      <x:c r="B2781" s="21" t="str">
        <x:v>A02775</x:v>
      </x:c>
      <x:c r="C2781" s="21" t="str">
        <x:v>artifact</x:v>
      </x:c>
      <x:c r="D2781" s="21" t="str">
        <x:v>artifact 866 eligibility equation</x:v>
      </x:c>
      <x:c r="E2781" s="21" t="n">
        <x:f>IF(ABS('Artifact Ledger'!P872-IF(AND('Artifact Ledger'!L872=1,'Artifact Ledger'!M872=1,'Artifact Ledger'!N872=1,'Artifact Ledger'!O872&gt;='Artifact Ledger'!G872),'Artifact Ledger'!K872,0))&lt;0.000001,1,0)</x:f>
        <x:v>1</x:v>
      </x:c>
      <x:c r="F2781" s="21" t="n">
        <x:v>1</x:v>
      </x:c>
      <x:c r="G2781" s="23" t="str">
        <x:f>IF(E2781=F2781,"PASS","FAIL")</x:f>
        <x:v>PASS</x:v>
      </x:c>
    </x:row>
    <x:row r="2782">
      <x:c r="B2782" s="21" t="str">
        <x:v>A02776</x:v>
      </x:c>
      <x:c r="C2782" s="21" t="str">
        <x:v>artifact</x:v>
      </x:c>
      <x:c r="D2782" s="21" t="str">
        <x:v>artifact 866 planning state</x:v>
      </x:c>
      <x:c r="E2782" s="21" t="n">
        <x:f>IF(AND('Artifact Ledger'!Q872="OPEN",'Artifact Ledger'!R872="HOLD"),1,0)</x:f>
        <x:v>1</x:v>
      </x:c>
      <x:c r="F2782" s="21" t="n">
        <x:v>1</x:v>
      </x:c>
      <x:c r="G2782" s="23" t="str">
        <x:f>IF(E2782=F2782,"PASS","FAIL")</x:f>
        <x:v>PASS</x:v>
      </x:c>
    </x:row>
    <x:row r="2783">
      <x:c r="B2783" s="21" t="str">
        <x:v>A02777</x:v>
      </x:c>
      <x:c r="C2783" s="21" t="str">
        <x:v>artifact</x:v>
      </x:c>
      <x:c r="D2783" s="21" t="str">
        <x:v>artifact 867 eligibility equation</x:v>
      </x:c>
      <x:c r="E2783" s="21" t="n">
        <x:f>IF(ABS('Artifact Ledger'!P873-IF(AND('Artifact Ledger'!L873=1,'Artifact Ledger'!M873=1,'Artifact Ledger'!N873=1,'Artifact Ledger'!O873&gt;='Artifact Ledger'!G873),'Artifact Ledger'!K873,0))&lt;0.000001,1,0)</x:f>
        <x:v>1</x:v>
      </x:c>
      <x:c r="F2783" s="21" t="n">
        <x:v>1</x:v>
      </x:c>
      <x:c r="G2783" s="23" t="str">
        <x:f>IF(E2783=F2783,"PASS","FAIL")</x:f>
        <x:v>PASS</x:v>
      </x:c>
    </x:row>
    <x:row r="2784">
      <x:c r="B2784" s="21" t="str">
        <x:v>A02778</x:v>
      </x:c>
      <x:c r="C2784" s="21" t="str">
        <x:v>artifact</x:v>
      </x:c>
      <x:c r="D2784" s="21" t="str">
        <x:v>artifact 867 planning state</x:v>
      </x:c>
      <x:c r="E2784" s="21" t="n">
        <x:f>IF(AND('Artifact Ledger'!Q873="OPEN",'Artifact Ledger'!R873="HOLD"),1,0)</x:f>
        <x:v>1</x:v>
      </x:c>
      <x:c r="F2784" s="21" t="n">
        <x:v>1</x:v>
      </x:c>
      <x:c r="G2784" s="23" t="str">
        <x:f>IF(E2784=F2784,"PASS","FAIL")</x:f>
        <x:v>PASS</x:v>
      </x:c>
    </x:row>
    <x:row r="2785">
      <x:c r="B2785" s="21" t="str">
        <x:v>A02779</x:v>
      </x:c>
      <x:c r="C2785" s="21" t="str">
        <x:v>artifact</x:v>
      </x:c>
      <x:c r="D2785" s="21" t="str">
        <x:v>artifact 868 eligibility equation</x:v>
      </x:c>
      <x:c r="E2785" s="21" t="n">
        <x:f>IF(ABS('Artifact Ledger'!P874-IF(AND('Artifact Ledger'!L874=1,'Artifact Ledger'!M874=1,'Artifact Ledger'!N874=1,'Artifact Ledger'!O874&gt;='Artifact Ledger'!G874),'Artifact Ledger'!K874,0))&lt;0.000001,1,0)</x:f>
        <x:v>1</x:v>
      </x:c>
      <x:c r="F2785" s="21" t="n">
        <x:v>1</x:v>
      </x:c>
      <x:c r="G2785" s="23" t="str">
        <x:f>IF(E2785=F2785,"PASS","FAIL")</x:f>
        <x:v>PASS</x:v>
      </x:c>
    </x:row>
    <x:row r="2786">
      <x:c r="B2786" s="21" t="str">
        <x:v>A02780</x:v>
      </x:c>
      <x:c r="C2786" s="21" t="str">
        <x:v>artifact</x:v>
      </x:c>
      <x:c r="D2786" s="21" t="str">
        <x:v>artifact 868 planning state</x:v>
      </x:c>
      <x:c r="E2786" s="21" t="n">
        <x:f>IF(AND('Artifact Ledger'!Q874="OPEN",'Artifact Ledger'!R874="HOLD"),1,0)</x:f>
        <x:v>1</x:v>
      </x:c>
      <x:c r="F2786" s="21" t="n">
        <x:v>1</x:v>
      </x:c>
      <x:c r="G2786" s="23" t="str">
        <x:f>IF(E2786=F2786,"PASS","FAIL")</x:f>
        <x:v>PASS</x:v>
      </x:c>
    </x:row>
    <x:row r="2787">
      <x:c r="B2787" s="21" t="str">
        <x:v>A02781</x:v>
      </x:c>
      <x:c r="C2787" s="21" t="str">
        <x:v>artifact</x:v>
      </x:c>
      <x:c r="D2787" s="21" t="str">
        <x:v>artifact 869 eligibility equation</x:v>
      </x:c>
      <x:c r="E2787" s="21" t="n">
        <x:f>IF(ABS('Artifact Ledger'!P875-IF(AND('Artifact Ledger'!L875=1,'Artifact Ledger'!M875=1,'Artifact Ledger'!N875=1,'Artifact Ledger'!O875&gt;='Artifact Ledger'!G875),'Artifact Ledger'!K875,0))&lt;0.000001,1,0)</x:f>
        <x:v>1</x:v>
      </x:c>
      <x:c r="F2787" s="21" t="n">
        <x:v>1</x:v>
      </x:c>
      <x:c r="G2787" s="23" t="str">
        <x:f>IF(E2787=F2787,"PASS","FAIL")</x:f>
        <x:v>PASS</x:v>
      </x:c>
    </x:row>
    <x:row r="2788">
      <x:c r="B2788" s="21" t="str">
        <x:v>A02782</x:v>
      </x:c>
      <x:c r="C2788" s="21" t="str">
        <x:v>artifact</x:v>
      </x:c>
      <x:c r="D2788" s="21" t="str">
        <x:v>artifact 869 planning state</x:v>
      </x:c>
      <x:c r="E2788" s="21" t="n">
        <x:f>IF(AND('Artifact Ledger'!Q875="OPEN",'Artifact Ledger'!R875="HOLD"),1,0)</x:f>
        <x:v>1</x:v>
      </x:c>
      <x:c r="F2788" s="21" t="n">
        <x:v>1</x:v>
      </x:c>
      <x:c r="G2788" s="23" t="str">
        <x:f>IF(E2788=F2788,"PASS","FAIL")</x:f>
        <x:v>PASS</x:v>
      </x:c>
    </x:row>
    <x:row r="2789">
      <x:c r="B2789" s="21" t="str">
        <x:v>A02783</x:v>
      </x:c>
      <x:c r="C2789" s="21" t="str">
        <x:v>artifact</x:v>
      </x:c>
      <x:c r="D2789" s="21" t="str">
        <x:v>artifact 870 eligibility equation</x:v>
      </x:c>
      <x:c r="E2789" s="21" t="n">
        <x:f>IF(ABS('Artifact Ledger'!P876-IF(AND('Artifact Ledger'!L876=1,'Artifact Ledger'!M876=1,'Artifact Ledger'!N876=1,'Artifact Ledger'!O876&gt;='Artifact Ledger'!G876),'Artifact Ledger'!K876,0))&lt;0.000001,1,0)</x:f>
        <x:v>1</x:v>
      </x:c>
      <x:c r="F2789" s="21" t="n">
        <x:v>1</x:v>
      </x:c>
      <x:c r="G2789" s="23" t="str">
        <x:f>IF(E2789=F2789,"PASS","FAIL")</x:f>
        <x:v>PASS</x:v>
      </x:c>
    </x:row>
    <x:row r="2790">
      <x:c r="B2790" s="21" t="str">
        <x:v>A02784</x:v>
      </x:c>
      <x:c r="C2790" s="21" t="str">
        <x:v>artifact</x:v>
      </x:c>
      <x:c r="D2790" s="21" t="str">
        <x:v>artifact 870 planning state</x:v>
      </x:c>
      <x:c r="E2790" s="21" t="n">
        <x:f>IF(AND('Artifact Ledger'!Q876="OPEN",'Artifact Ledger'!R876="HOLD"),1,0)</x:f>
        <x:v>1</x:v>
      </x:c>
      <x:c r="F2790" s="21" t="n">
        <x:v>1</x:v>
      </x:c>
      <x:c r="G2790" s="23" t="str">
        <x:f>IF(E2790=F2790,"PASS","FAIL")</x:f>
        <x:v>PASS</x:v>
      </x:c>
    </x:row>
    <x:row r="2791">
      <x:c r="B2791" s="21" t="str">
        <x:v>A02785</x:v>
      </x:c>
      <x:c r="C2791" s="21" t="str">
        <x:v>artifact</x:v>
      </x:c>
      <x:c r="D2791" s="21" t="str">
        <x:v>artifact 871 eligibility equation</x:v>
      </x:c>
      <x:c r="E2791" s="21" t="n">
        <x:f>IF(ABS('Artifact Ledger'!P877-IF(AND('Artifact Ledger'!L877=1,'Artifact Ledger'!M877=1,'Artifact Ledger'!N877=1,'Artifact Ledger'!O877&gt;='Artifact Ledger'!G877),'Artifact Ledger'!K877,0))&lt;0.000001,1,0)</x:f>
        <x:v>1</x:v>
      </x:c>
      <x:c r="F2791" s="21" t="n">
        <x:v>1</x:v>
      </x:c>
      <x:c r="G2791" s="23" t="str">
        <x:f>IF(E2791=F2791,"PASS","FAIL")</x:f>
        <x:v>PASS</x:v>
      </x:c>
    </x:row>
    <x:row r="2792">
      <x:c r="B2792" s="21" t="str">
        <x:v>A02786</x:v>
      </x:c>
      <x:c r="C2792" s="21" t="str">
        <x:v>artifact</x:v>
      </x:c>
      <x:c r="D2792" s="21" t="str">
        <x:v>artifact 871 planning state</x:v>
      </x:c>
      <x:c r="E2792" s="21" t="n">
        <x:f>IF(AND('Artifact Ledger'!Q877="OPEN",'Artifact Ledger'!R877="HOLD"),1,0)</x:f>
        <x:v>1</x:v>
      </x:c>
      <x:c r="F2792" s="21" t="n">
        <x:v>1</x:v>
      </x:c>
      <x:c r="G2792" s="23" t="str">
        <x:f>IF(E2792=F2792,"PASS","FAIL")</x:f>
        <x:v>PASS</x:v>
      </x:c>
    </x:row>
    <x:row r="2793">
      <x:c r="B2793" s="21" t="str">
        <x:v>A02787</x:v>
      </x:c>
      <x:c r="C2793" s="21" t="str">
        <x:v>artifact</x:v>
      </x:c>
      <x:c r="D2793" s="21" t="str">
        <x:v>artifact 872 eligibility equation</x:v>
      </x:c>
      <x:c r="E2793" s="21" t="n">
        <x:f>IF(ABS('Artifact Ledger'!P878-IF(AND('Artifact Ledger'!L878=1,'Artifact Ledger'!M878=1,'Artifact Ledger'!N878=1,'Artifact Ledger'!O878&gt;='Artifact Ledger'!G878),'Artifact Ledger'!K878,0))&lt;0.000001,1,0)</x:f>
        <x:v>1</x:v>
      </x:c>
      <x:c r="F2793" s="21" t="n">
        <x:v>1</x:v>
      </x:c>
      <x:c r="G2793" s="23" t="str">
        <x:f>IF(E2793=F2793,"PASS","FAIL")</x:f>
        <x:v>PASS</x:v>
      </x:c>
    </x:row>
    <x:row r="2794">
      <x:c r="B2794" s="21" t="str">
        <x:v>A02788</x:v>
      </x:c>
      <x:c r="C2794" s="21" t="str">
        <x:v>artifact</x:v>
      </x:c>
      <x:c r="D2794" s="21" t="str">
        <x:v>artifact 872 planning state</x:v>
      </x:c>
      <x:c r="E2794" s="21" t="n">
        <x:f>IF(AND('Artifact Ledger'!Q878="OPEN",'Artifact Ledger'!R878="HOLD"),1,0)</x:f>
        <x:v>1</x:v>
      </x:c>
      <x:c r="F2794" s="21" t="n">
        <x:v>1</x:v>
      </x:c>
      <x:c r="G2794" s="23" t="str">
        <x:f>IF(E2794=F2794,"PASS","FAIL")</x:f>
        <x:v>PASS</x:v>
      </x:c>
    </x:row>
    <x:row r="2795">
      <x:c r="B2795" s="21" t="str">
        <x:v>A02789</x:v>
      </x:c>
      <x:c r="C2795" s="21" t="str">
        <x:v>artifact</x:v>
      </x:c>
      <x:c r="D2795" s="21" t="str">
        <x:v>artifact 873 eligibility equation</x:v>
      </x:c>
      <x:c r="E2795" s="21" t="n">
        <x:f>IF(ABS('Artifact Ledger'!P879-IF(AND('Artifact Ledger'!L879=1,'Artifact Ledger'!M879=1,'Artifact Ledger'!N879=1,'Artifact Ledger'!O879&gt;='Artifact Ledger'!G879),'Artifact Ledger'!K879,0))&lt;0.000001,1,0)</x:f>
        <x:v>1</x:v>
      </x:c>
      <x:c r="F2795" s="21" t="n">
        <x:v>1</x:v>
      </x:c>
      <x:c r="G2795" s="23" t="str">
        <x:f>IF(E2795=F2795,"PASS","FAIL")</x:f>
        <x:v>PASS</x:v>
      </x:c>
    </x:row>
    <x:row r="2796">
      <x:c r="B2796" s="21" t="str">
        <x:v>A02790</x:v>
      </x:c>
      <x:c r="C2796" s="21" t="str">
        <x:v>artifact</x:v>
      </x:c>
      <x:c r="D2796" s="21" t="str">
        <x:v>artifact 873 planning state</x:v>
      </x:c>
      <x:c r="E2796" s="21" t="n">
        <x:f>IF(AND('Artifact Ledger'!Q879="OPEN",'Artifact Ledger'!R879="HOLD"),1,0)</x:f>
        <x:v>1</x:v>
      </x:c>
      <x:c r="F2796" s="21" t="n">
        <x:v>1</x:v>
      </x:c>
      <x:c r="G2796" s="23" t="str">
        <x:f>IF(E2796=F2796,"PASS","FAIL")</x:f>
        <x:v>PASS</x:v>
      </x:c>
    </x:row>
    <x:row r="2797">
      <x:c r="B2797" s="21" t="str">
        <x:v>A02791</x:v>
      </x:c>
      <x:c r="C2797" s="21" t="str">
        <x:v>artifact</x:v>
      </x:c>
      <x:c r="D2797" s="21" t="str">
        <x:v>artifact 874 eligibility equation</x:v>
      </x:c>
      <x:c r="E2797" s="21" t="n">
        <x:f>IF(ABS('Artifact Ledger'!P880-IF(AND('Artifact Ledger'!L880=1,'Artifact Ledger'!M880=1,'Artifact Ledger'!N880=1,'Artifact Ledger'!O880&gt;='Artifact Ledger'!G880),'Artifact Ledger'!K880,0))&lt;0.000001,1,0)</x:f>
        <x:v>1</x:v>
      </x:c>
      <x:c r="F2797" s="21" t="n">
        <x:v>1</x:v>
      </x:c>
      <x:c r="G2797" s="23" t="str">
        <x:f>IF(E2797=F2797,"PASS","FAIL")</x:f>
        <x:v>PASS</x:v>
      </x:c>
    </x:row>
    <x:row r="2798">
      <x:c r="B2798" s="21" t="str">
        <x:v>A02792</x:v>
      </x:c>
      <x:c r="C2798" s="21" t="str">
        <x:v>artifact</x:v>
      </x:c>
      <x:c r="D2798" s="21" t="str">
        <x:v>artifact 874 planning state</x:v>
      </x:c>
      <x:c r="E2798" s="21" t="n">
        <x:f>IF(AND('Artifact Ledger'!Q880="OPEN",'Artifact Ledger'!R880="HOLD"),1,0)</x:f>
        <x:v>1</x:v>
      </x:c>
      <x:c r="F2798" s="21" t="n">
        <x:v>1</x:v>
      </x:c>
      <x:c r="G2798" s="23" t="str">
        <x:f>IF(E2798=F2798,"PASS","FAIL")</x:f>
        <x:v>PASS</x:v>
      </x:c>
    </x:row>
    <x:row r="2799">
      <x:c r="B2799" s="21" t="str">
        <x:v>A02793</x:v>
      </x:c>
      <x:c r="C2799" s="21" t="str">
        <x:v>artifact</x:v>
      </x:c>
      <x:c r="D2799" s="21" t="str">
        <x:v>artifact 875 eligibility equation</x:v>
      </x:c>
      <x:c r="E2799" s="21" t="n">
        <x:f>IF(ABS('Artifact Ledger'!P881-IF(AND('Artifact Ledger'!L881=1,'Artifact Ledger'!M881=1,'Artifact Ledger'!N881=1,'Artifact Ledger'!O881&gt;='Artifact Ledger'!G881),'Artifact Ledger'!K881,0))&lt;0.000001,1,0)</x:f>
        <x:v>1</x:v>
      </x:c>
      <x:c r="F2799" s="21" t="n">
        <x:v>1</x:v>
      </x:c>
      <x:c r="G2799" s="23" t="str">
        <x:f>IF(E2799=F2799,"PASS","FAIL")</x:f>
        <x:v>PASS</x:v>
      </x:c>
    </x:row>
    <x:row r="2800">
      <x:c r="B2800" s="21" t="str">
        <x:v>A02794</x:v>
      </x:c>
      <x:c r="C2800" s="21" t="str">
        <x:v>artifact</x:v>
      </x:c>
      <x:c r="D2800" s="21" t="str">
        <x:v>artifact 875 planning state</x:v>
      </x:c>
      <x:c r="E2800" s="21" t="n">
        <x:f>IF(AND('Artifact Ledger'!Q881="OPEN",'Artifact Ledger'!R881="HOLD"),1,0)</x:f>
        <x:v>1</x:v>
      </x:c>
      <x:c r="F2800" s="21" t="n">
        <x:v>1</x:v>
      </x:c>
      <x:c r="G2800" s="23" t="str">
        <x:f>IF(E2800=F2800,"PASS","FAIL")</x:f>
        <x:v>PASS</x:v>
      </x:c>
    </x:row>
    <x:row r="2801">
      <x:c r="B2801" s="21" t="str">
        <x:v>A02795</x:v>
      </x:c>
      <x:c r="C2801" s="21" t="str">
        <x:v>artifact</x:v>
      </x:c>
      <x:c r="D2801" s="21" t="str">
        <x:v>artifact 876 eligibility equation</x:v>
      </x:c>
      <x:c r="E2801" s="21" t="n">
        <x:f>IF(ABS('Artifact Ledger'!P882-IF(AND('Artifact Ledger'!L882=1,'Artifact Ledger'!M882=1,'Artifact Ledger'!N882=1,'Artifact Ledger'!O882&gt;='Artifact Ledger'!G882),'Artifact Ledger'!K882,0))&lt;0.000001,1,0)</x:f>
        <x:v>1</x:v>
      </x:c>
      <x:c r="F2801" s="21" t="n">
        <x:v>1</x:v>
      </x:c>
      <x:c r="G2801" s="23" t="str">
        <x:f>IF(E2801=F2801,"PASS","FAIL")</x:f>
        <x:v>PASS</x:v>
      </x:c>
    </x:row>
    <x:row r="2802">
      <x:c r="B2802" s="21" t="str">
        <x:v>A02796</x:v>
      </x:c>
      <x:c r="C2802" s="21" t="str">
        <x:v>artifact</x:v>
      </x:c>
      <x:c r="D2802" s="21" t="str">
        <x:v>artifact 876 planning state</x:v>
      </x:c>
      <x:c r="E2802" s="21" t="n">
        <x:f>IF(AND('Artifact Ledger'!Q882="OPEN",'Artifact Ledger'!R882="HOLD"),1,0)</x:f>
        <x:v>1</x:v>
      </x:c>
      <x:c r="F2802" s="21" t="n">
        <x:v>1</x:v>
      </x:c>
      <x:c r="G2802" s="23" t="str">
        <x:f>IF(E2802=F2802,"PASS","FAIL")</x:f>
        <x:v>PASS</x:v>
      </x:c>
    </x:row>
    <x:row r="2803">
      <x:c r="B2803" s="21" t="str">
        <x:v>A02797</x:v>
      </x:c>
      <x:c r="C2803" s="21" t="str">
        <x:v>artifact</x:v>
      </x:c>
      <x:c r="D2803" s="21" t="str">
        <x:v>artifact 877 eligibility equation</x:v>
      </x:c>
      <x:c r="E2803" s="21" t="n">
        <x:f>IF(ABS('Artifact Ledger'!P883-IF(AND('Artifact Ledger'!L883=1,'Artifact Ledger'!M883=1,'Artifact Ledger'!N883=1,'Artifact Ledger'!O883&gt;='Artifact Ledger'!G883),'Artifact Ledger'!K883,0))&lt;0.000001,1,0)</x:f>
        <x:v>1</x:v>
      </x:c>
      <x:c r="F2803" s="21" t="n">
        <x:v>1</x:v>
      </x:c>
      <x:c r="G2803" s="23" t="str">
        <x:f>IF(E2803=F2803,"PASS","FAIL")</x:f>
        <x:v>PASS</x:v>
      </x:c>
    </x:row>
    <x:row r="2804">
      <x:c r="B2804" s="21" t="str">
        <x:v>A02798</x:v>
      </x:c>
      <x:c r="C2804" s="21" t="str">
        <x:v>artifact</x:v>
      </x:c>
      <x:c r="D2804" s="21" t="str">
        <x:v>artifact 877 planning state</x:v>
      </x:c>
      <x:c r="E2804" s="21" t="n">
        <x:f>IF(AND('Artifact Ledger'!Q883="OPEN",'Artifact Ledger'!R883="HOLD"),1,0)</x:f>
        <x:v>1</x:v>
      </x:c>
      <x:c r="F2804" s="21" t="n">
        <x:v>1</x:v>
      </x:c>
      <x:c r="G2804" s="23" t="str">
        <x:f>IF(E2804=F2804,"PASS","FAIL")</x:f>
        <x:v>PASS</x:v>
      </x:c>
    </x:row>
    <x:row r="2805">
      <x:c r="B2805" s="21" t="str">
        <x:v>A02799</x:v>
      </x:c>
      <x:c r="C2805" s="21" t="str">
        <x:v>artifact</x:v>
      </x:c>
      <x:c r="D2805" s="21" t="str">
        <x:v>artifact 878 eligibility equation</x:v>
      </x:c>
      <x:c r="E2805" s="21" t="n">
        <x:f>IF(ABS('Artifact Ledger'!P884-IF(AND('Artifact Ledger'!L884=1,'Artifact Ledger'!M884=1,'Artifact Ledger'!N884=1,'Artifact Ledger'!O884&gt;='Artifact Ledger'!G884),'Artifact Ledger'!K884,0))&lt;0.000001,1,0)</x:f>
        <x:v>1</x:v>
      </x:c>
      <x:c r="F2805" s="21" t="n">
        <x:v>1</x:v>
      </x:c>
      <x:c r="G2805" s="23" t="str">
        <x:f>IF(E2805=F2805,"PASS","FAIL")</x:f>
        <x:v>PASS</x:v>
      </x:c>
    </x:row>
    <x:row r="2806">
      <x:c r="B2806" s="21" t="str">
        <x:v>A02800</x:v>
      </x:c>
      <x:c r="C2806" s="21" t="str">
        <x:v>artifact</x:v>
      </x:c>
      <x:c r="D2806" s="21" t="str">
        <x:v>artifact 878 planning state</x:v>
      </x:c>
      <x:c r="E2806" s="21" t="n">
        <x:f>IF(AND('Artifact Ledger'!Q884="OPEN",'Artifact Ledger'!R884="HOLD"),1,0)</x:f>
        <x:v>1</x:v>
      </x:c>
      <x:c r="F2806" s="21" t="n">
        <x:v>1</x:v>
      </x:c>
      <x:c r="G2806" s="23" t="str">
        <x:f>IF(E2806=F2806,"PASS","FAIL")</x:f>
        <x:v>PASS</x:v>
      </x:c>
    </x:row>
    <x:row r="2807">
      <x:c r="B2807" s="21" t="str">
        <x:v>A02801</x:v>
      </x:c>
      <x:c r="C2807" s="21" t="str">
        <x:v>artifact</x:v>
      </x:c>
      <x:c r="D2807" s="21" t="str">
        <x:v>artifact 879 eligibility equation</x:v>
      </x:c>
      <x:c r="E2807" s="21" t="n">
        <x:f>IF(ABS('Artifact Ledger'!P885-IF(AND('Artifact Ledger'!L885=1,'Artifact Ledger'!M885=1,'Artifact Ledger'!N885=1,'Artifact Ledger'!O885&gt;='Artifact Ledger'!G885),'Artifact Ledger'!K885,0))&lt;0.000001,1,0)</x:f>
        <x:v>1</x:v>
      </x:c>
      <x:c r="F2807" s="21" t="n">
        <x:v>1</x:v>
      </x:c>
      <x:c r="G2807" s="23" t="str">
        <x:f>IF(E2807=F2807,"PASS","FAIL")</x:f>
        <x:v>PASS</x:v>
      </x:c>
    </x:row>
    <x:row r="2808">
      <x:c r="B2808" s="21" t="str">
        <x:v>A02802</x:v>
      </x:c>
      <x:c r="C2808" s="21" t="str">
        <x:v>artifact</x:v>
      </x:c>
      <x:c r="D2808" s="21" t="str">
        <x:v>artifact 879 planning state</x:v>
      </x:c>
      <x:c r="E2808" s="21" t="n">
        <x:f>IF(AND('Artifact Ledger'!Q885="OPEN",'Artifact Ledger'!R885="HOLD"),1,0)</x:f>
        <x:v>1</x:v>
      </x:c>
      <x:c r="F2808" s="21" t="n">
        <x:v>1</x:v>
      </x:c>
      <x:c r="G2808" s="23" t="str">
        <x:f>IF(E2808=F2808,"PASS","FAIL")</x:f>
        <x:v>PASS</x:v>
      </x:c>
    </x:row>
    <x:row r="2809">
      <x:c r="B2809" s="21" t="str">
        <x:v>A02803</x:v>
      </x:c>
      <x:c r="C2809" s="21" t="str">
        <x:v>artifact</x:v>
      </x:c>
      <x:c r="D2809" s="21" t="str">
        <x:v>artifact 880 eligibility equation</x:v>
      </x:c>
      <x:c r="E2809" s="21" t="n">
        <x:f>IF(ABS('Artifact Ledger'!P886-IF(AND('Artifact Ledger'!L886=1,'Artifact Ledger'!M886=1,'Artifact Ledger'!N886=1,'Artifact Ledger'!O886&gt;='Artifact Ledger'!G886),'Artifact Ledger'!K886,0))&lt;0.000001,1,0)</x:f>
        <x:v>1</x:v>
      </x:c>
      <x:c r="F2809" s="21" t="n">
        <x:v>1</x:v>
      </x:c>
      <x:c r="G2809" s="23" t="str">
        <x:f>IF(E2809=F2809,"PASS","FAIL")</x:f>
        <x:v>PASS</x:v>
      </x:c>
    </x:row>
    <x:row r="2810">
      <x:c r="B2810" s="21" t="str">
        <x:v>A02804</x:v>
      </x:c>
      <x:c r="C2810" s="21" t="str">
        <x:v>artifact</x:v>
      </x:c>
      <x:c r="D2810" s="21" t="str">
        <x:v>artifact 880 planning state</x:v>
      </x:c>
      <x:c r="E2810" s="21" t="n">
        <x:f>IF(AND('Artifact Ledger'!Q886="OPEN",'Artifact Ledger'!R886="HOLD"),1,0)</x:f>
        <x:v>1</x:v>
      </x:c>
      <x:c r="F2810" s="21" t="n">
        <x:v>1</x:v>
      </x:c>
      <x:c r="G2810" s="23" t="str">
        <x:f>IF(E2810=F2810,"PASS","FAIL")</x:f>
        <x:v>PASS</x:v>
      </x:c>
    </x:row>
    <x:row r="2811">
      <x:c r="B2811" s="21" t="str">
        <x:v>A02805</x:v>
      </x:c>
      <x:c r="C2811" s="21" t="str">
        <x:v>artifact</x:v>
      </x:c>
      <x:c r="D2811" s="21" t="str">
        <x:v>artifact 881 eligibility equation</x:v>
      </x:c>
      <x:c r="E2811" s="21" t="n">
        <x:f>IF(ABS('Artifact Ledger'!P887-IF(AND('Artifact Ledger'!L887=1,'Artifact Ledger'!M887=1,'Artifact Ledger'!N887=1,'Artifact Ledger'!O887&gt;='Artifact Ledger'!G887),'Artifact Ledger'!K887,0))&lt;0.000001,1,0)</x:f>
        <x:v>1</x:v>
      </x:c>
      <x:c r="F2811" s="21" t="n">
        <x:v>1</x:v>
      </x:c>
      <x:c r="G2811" s="23" t="str">
        <x:f>IF(E2811=F2811,"PASS","FAIL")</x:f>
        <x:v>PASS</x:v>
      </x:c>
    </x:row>
    <x:row r="2812">
      <x:c r="B2812" s="21" t="str">
        <x:v>A02806</x:v>
      </x:c>
      <x:c r="C2812" s="21" t="str">
        <x:v>artifact</x:v>
      </x:c>
      <x:c r="D2812" s="21" t="str">
        <x:v>artifact 881 planning state</x:v>
      </x:c>
      <x:c r="E2812" s="21" t="n">
        <x:f>IF(AND('Artifact Ledger'!Q887="OPEN",'Artifact Ledger'!R887="HOLD"),1,0)</x:f>
        <x:v>1</x:v>
      </x:c>
      <x:c r="F2812" s="21" t="n">
        <x:v>1</x:v>
      </x:c>
      <x:c r="G2812" s="23" t="str">
        <x:f>IF(E2812=F2812,"PASS","FAIL")</x:f>
        <x:v>PASS</x:v>
      </x:c>
    </x:row>
    <x:row r="2813">
      <x:c r="B2813" s="21" t="str">
        <x:v>A02807</x:v>
      </x:c>
      <x:c r="C2813" s="21" t="str">
        <x:v>artifact</x:v>
      </x:c>
      <x:c r="D2813" s="21" t="str">
        <x:v>artifact 882 eligibility equation</x:v>
      </x:c>
      <x:c r="E2813" s="21" t="n">
        <x:f>IF(ABS('Artifact Ledger'!P888-IF(AND('Artifact Ledger'!L888=1,'Artifact Ledger'!M888=1,'Artifact Ledger'!N888=1,'Artifact Ledger'!O888&gt;='Artifact Ledger'!G888),'Artifact Ledger'!K888,0))&lt;0.000001,1,0)</x:f>
        <x:v>1</x:v>
      </x:c>
      <x:c r="F2813" s="21" t="n">
        <x:v>1</x:v>
      </x:c>
      <x:c r="G2813" s="23" t="str">
        <x:f>IF(E2813=F2813,"PASS","FAIL")</x:f>
        <x:v>PASS</x:v>
      </x:c>
    </x:row>
    <x:row r="2814">
      <x:c r="B2814" s="21" t="str">
        <x:v>A02808</x:v>
      </x:c>
      <x:c r="C2814" s="21" t="str">
        <x:v>artifact</x:v>
      </x:c>
      <x:c r="D2814" s="21" t="str">
        <x:v>artifact 882 planning state</x:v>
      </x:c>
      <x:c r="E2814" s="21" t="n">
        <x:f>IF(AND('Artifact Ledger'!Q888="OPEN",'Artifact Ledger'!R888="HOLD"),1,0)</x:f>
        <x:v>1</x:v>
      </x:c>
      <x:c r="F2814" s="21" t="n">
        <x:v>1</x:v>
      </x:c>
      <x:c r="G2814" s="23" t="str">
        <x:f>IF(E2814=F2814,"PASS","FAIL")</x:f>
        <x:v>PASS</x:v>
      </x:c>
    </x:row>
    <x:row r="2815">
      <x:c r="B2815" s="21" t="str">
        <x:v>A02809</x:v>
      </x:c>
      <x:c r="C2815" s="21" t="str">
        <x:v>artifact</x:v>
      </x:c>
      <x:c r="D2815" s="21" t="str">
        <x:v>artifact 883 eligibility equation</x:v>
      </x:c>
      <x:c r="E2815" s="21" t="n">
        <x:f>IF(ABS('Artifact Ledger'!P889-IF(AND('Artifact Ledger'!L889=1,'Artifact Ledger'!M889=1,'Artifact Ledger'!N889=1,'Artifact Ledger'!O889&gt;='Artifact Ledger'!G889),'Artifact Ledger'!K889,0))&lt;0.000001,1,0)</x:f>
        <x:v>1</x:v>
      </x:c>
      <x:c r="F2815" s="21" t="n">
        <x:v>1</x:v>
      </x:c>
      <x:c r="G2815" s="23" t="str">
        <x:f>IF(E2815=F2815,"PASS","FAIL")</x:f>
        <x:v>PASS</x:v>
      </x:c>
    </x:row>
    <x:row r="2816">
      <x:c r="B2816" s="21" t="str">
        <x:v>A02810</x:v>
      </x:c>
      <x:c r="C2816" s="21" t="str">
        <x:v>artifact</x:v>
      </x:c>
      <x:c r="D2816" s="21" t="str">
        <x:v>artifact 883 planning state</x:v>
      </x:c>
      <x:c r="E2816" s="21" t="n">
        <x:f>IF(AND('Artifact Ledger'!Q889="OPEN",'Artifact Ledger'!R889="HOLD"),1,0)</x:f>
        <x:v>1</x:v>
      </x:c>
      <x:c r="F2816" s="21" t="n">
        <x:v>1</x:v>
      </x:c>
      <x:c r="G2816" s="23" t="str">
        <x:f>IF(E2816=F2816,"PASS","FAIL")</x:f>
        <x:v>PASS</x:v>
      </x:c>
    </x:row>
    <x:row r="2817">
      <x:c r="B2817" s="21" t="str">
        <x:v>A02811</x:v>
      </x:c>
      <x:c r="C2817" s="21" t="str">
        <x:v>artifact</x:v>
      </x:c>
      <x:c r="D2817" s="21" t="str">
        <x:v>artifact 884 eligibility equation</x:v>
      </x:c>
      <x:c r="E2817" s="21" t="n">
        <x:f>IF(ABS('Artifact Ledger'!P890-IF(AND('Artifact Ledger'!L890=1,'Artifact Ledger'!M890=1,'Artifact Ledger'!N890=1,'Artifact Ledger'!O890&gt;='Artifact Ledger'!G890),'Artifact Ledger'!K890,0))&lt;0.000001,1,0)</x:f>
        <x:v>1</x:v>
      </x:c>
      <x:c r="F2817" s="21" t="n">
        <x:v>1</x:v>
      </x:c>
      <x:c r="G2817" s="23" t="str">
        <x:f>IF(E2817=F2817,"PASS","FAIL")</x:f>
        <x:v>PASS</x:v>
      </x:c>
    </x:row>
    <x:row r="2818">
      <x:c r="B2818" s="21" t="str">
        <x:v>A02812</x:v>
      </x:c>
      <x:c r="C2818" s="21" t="str">
        <x:v>artifact</x:v>
      </x:c>
      <x:c r="D2818" s="21" t="str">
        <x:v>artifact 884 planning state</x:v>
      </x:c>
      <x:c r="E2818" s="21" t="n">
        <x:f>IF(AND('Artifact Ledger'!Q890="OPEN",'Artifact Ledger'!R890="HOLD"),1,0)</x:f>
        <x:v>1</x:v>
      </x:c>
      <x:c r="F2818" s="21" t="n">
        <x:v>1</x:v>
      </x:c>
      <x:c r="G2818" s="23" t="str">
        <x:f>IF(E2818=F2818,"PASS","FAIL")</x:f>
        <x:v>PASS</x:v>
      </x:c>
    </x:row>
    <x:row r="2819">
      <x:c r="B2819" s="21" t="str">
        <x:v>A02813</x:v>
      </x:c>
      <x:c r="C2819" s="21" t="str">
        <x:v>artifact</x:v>
      </x:c>
      <x:c r="D2819" s="21" t="str">
        <x:v>artifact 885 eligibility equation</x:v>
      </x:c>
      <x:c r="E2819" s="21" t="n">
        <x:f>IF(ABS('Artifact Ledger'!P891-IF(AND('Artifact Ledger'!L891=1,'Artifact Ledger'!M891=1,'Artifact Ledger'!N891=1,'Artifact Ledger'!O891&gt;='Artifact Ledger'!G891),'Artifact Ledger'!K891,0))&lt;0.000001,1,0)</x:f>
        <x:v>1</x:v>
      </x:c>
      <x:c r="F2819" s="21" t="n">
        <x:v>1</x:v>
      </x:c>
      <x:c r="G2819" s="23" t="str">
        <x:f>IF(E2819=F2819,"PASS","FAIL")</x:f>
        <x:v>PASS</x:v>
      </x:c>
    </x:row>
    <x:row r="2820">
      <x:c r="B2820" s="21" t="str">
        <x:v>A02814</x:v>
      </x:c>
      <x:c r="C2820" s="21" t="str">
        <x:v>artifact</x:v>
      </x:c>
      <x:c r="D2820" s="21" t="str">
        <x:v>artifact 885 planning state</x:v>
      </x:c>
      <x:c r="E2820" s="21" t="n">
        <x:f>IF(AND('Artifact Ledger'!Q891="OPEN",'Artifact Ledger'!R891="HOLD"),1,0)</x:f>
        <x:v>1</x:v>
      </x:c>
      <x:c r="F2820" s="21" t="n">
        <x:v>1</x:v>
      </x:c>
      <x:c r="G2820" s="23" t="str">
        <x:f>IF(E2820=F2820,"PASS","FAIL")</x:f>
        <x:v>PASS</x:v>
      </x:c>
    </x:row>
    <x:row r="2821">
      <x:c r="B2821" s="21" t="str">
        <x:v>A02815</x:v>
      </x:c>
      <x:c r="C2821" s="21" t="str">
        <x:v>artifact</x:v>
      </x:c>
      <x:c r="D2821" s="21" t="str">
        <x:v>artifact 886 eligibility equation</x:v>
      </x:c>
      <x:c r="E2821" s="21" t="n">
        <x:f>IF(ABS('Artifact Ledger'!P892-IF(AND('Artifact Ledger'!L892=1,'Artifact Ledger'!M892=1,'Artifact Ledger'!N892=1,'Artifact Ledger'!O892&gt;='Artifact Ledger'!G892),'Artifact Ledger'!K892,0))&lt;0.000001,1,0)</x:f>
        <x:v>1</x:v>
      </x:c>
      <x:c r="F2821" s="21" t="n">
        <x:v>1</x:v>
      </x:c>
      <x:c r="G2821" s="23" t="str">
        <x:f>IF(E2821=F2821,"PASS","FAIL")</x:f>
        <x:v>PASS</x:v>
      </x:c>
    </x:row>
    <x:row r="2822">
      <x:c r="B2822" s="21" t="str">
        <x:v>A02816</x:v>
      </x:c>
      <x:c r="C2822" s="21" t="str">
        <x:v>artifact</x:v>
      </x:c>
      <x:c r="D2822" s="21" t="str">
        <x:v>artifact 886 planning state</x:v>
      </x:c>
      <x:c r="E2822" s="21" t="n">
        <x:f>IF(AND('Artifact Ledger'!Q892="OPEN",'Artifact Ledger'!R892="HOLD"),1,0)</x:f>
        <x:v>1</x:v>
      </x:c>
      <x:c r="F2822" s="21" t="n">
        <x:v>1</x:v>
      </x:c>
      <x:c r="G2822" s="23" t="str">
        <x:f>IF(E2822=F2822,"PASS","FAIL")</x:f>
        <x:v>PASS</x:v>
      </x:c>
    </x:row>
    <x:row r="2823">
      <x:c r="B2823" s="21" t="str">
        <x:v>A02817</x:v>
      </x:c>
      <x:c r="C2823" s="21" t="str">
        <x:v>artifact</x:v>
      </x:c>
      <x:c r="D2823" s="21" t="str">
        <x:v>artifact 887 eligibility equation</x:v>
      </x:c>
      <x:c r="E2823" s="21" t="n">
        <x:f>IF(ABS('Artifact Ledger'!P893-IF(AND('Artifact Ledger'!L893=1,'Artifact Ledger'!M893=1,'Artifact Ledger'!N893=1,'Artifact Ledger'!O893&gt;='Artifact Ledger'!G893),'Artifact Ledger'!K893,0))&lt;0.000001,1,0)</x:f>
        <x:v>1</x:v>
      </x:c>
      <x:c r="F2823" s="21" t="n">
        <x:v>1</x:v>
      </x:c>
      <x:c r="G2823" s="23" t="str">
        <x:f>IF(E2823=F2823,"PASS","FAIL")</x:f>
        <x:v>PASS</x:v>
      </x:c>
    </x:row>
    <x:row r="2824">
      <x:c r="B2824" s="21" t="str">
        <x:v>A02818</x:v>
      </x:c>
      <x:c r="C2824" s="21" t="str">
        <x:v>artifact</x:v>
      </x:c>
      <x:c r="D2824" s="21" t="str">
        <x:v>artifact 887 planning state</x:v>
      </x:c>
      <x:c r="E2824" s="21" t="n">
        <x:f>IF(AND('Artifact Ledger'!Q893="OPEN",'Artifact Ledger'!R893="HOLD"),1,0)</x:f>
        <x:v>1</x:v>
      </x:c>
      <x:c r="F2824" s="21" t="n">
        <x:v>1</x:v>
      </x:c>
      <x:c r="G2824" s="23" t="str">
        <x:f>IF(E2824=F2824,"PASS","FAIL")</x:f>
        <x:v>PASS</x:v>
      </x:c>
    </x:row>
    <x:row r="2825">
      <x:c r="B2825" s="21" t="str">
        <x:v>A02819</x:v>
      </x:c>
      <x:c r="C2825" s="21" t="str">
        <x:v>artifact</x:v>
      </x:c>
      <x:c r="D2825" s="21" t="str">
        <x:v>artifact 888 eligibility equation</x:v>
      </x:c>
      <x:c r="E2825" s="21" t="n">
        <x:f>IF(ABS('Artifact Ledger'!P894-IF(AND('Artifact Ledger'!L894=1,'Artifact Ledger'!M894=1,'Artifact Ledger'!N894=1,'Artifact Ledger'!O894&gt;='Artifact Ledger'!G894),'Artifact Ledger'!K894,0))&lt;0.000001,1,0)</x:f>
        <x:v>1</x:v>
      </x:c>
      <x:c r="F2825" s="21" t="n">
        <x:v>1</x:v>
      </x:c>
      <x:c r="G2825" s="23" t="str">
        <x:f>IF(E2825=F2825,"PASS","FAIL")</x:f>
        <x:v>PASS</x:v>
      </x:c>
    </x:row>
    <x:row r="2826">
      <x:c r="B2826" s="21" t="str">
        <x:v>A02820</x:v>
      </x:c>
      <x:c r="C2826" s="21" t="str">
        <x:v>artifact</x:v>
      </x:c>
      <x:c r="D2826" s="21" t="str">
        <x:v>artifact 888 planning state</x:v>
      </x:c>
      <x:c r="E2826" s="21" t="n">
        <x:f>IF(AND('Artifact Ledger'!Q894="OPEN",'Artifact Ledger'!R894="HOLD"),1,0)</x:f>
        <x:v>1</x:v>
      </x:c>
      <x:c r="F2826" s="21" t="n">
        <x:v>1</x:v>
      </x:c>
      <x:c r="G2826" s="23" t="str">
        <x:f>IF(E2826=F2826,"PASS","FAIL")</x:f>
        <x:v>PASS</x:v>
      </x:c>
    </x:row>
    <x:row r="2827">
      <x:c r="B2827" s="21" t="str">
        <x:v>A02821</x:v>
      </x:c>
      <x:c r="C2827" s="21" t="str">
        <x:v>artifact</x:v>
      </x:c>
      <x:c r="D2827" s="21" t="str">
        <x:v>artifact 889 eligibility equation</x:v>
      </x:c>
      <x:c r="E2827" s="21" t="n">
        <x:f>IF(ABS('Artifact Ledger'!P895-IF(AND('Artifact Ledger'!L895=1,'Artifact Ledger'!M895=1,'Artifact Ledger'!N895=1,'Artifact Ledger'!O895&gt;='Artifact Ledger'!G895),'Artifact Ledger'!K895,0))&lt;0.000001,1,0)</x:f>
        <x:v>1</x:v>
      </x:c>
      <x:c r="F2827" s="21" t="n">
        <x:v>1</x:v>
      </x:c>
      <x:c r="G2827" s="23" t="str">
        <x:f>IF(E2827=F2827,"PASS","FAIL")</x:f>
        <x:v>PASS</x:v>
      </x:c>
    </x:row>
    <x:row r="2828">
      <x:c r="B2828" s="21" t="str">
        <x:v>A02822</x:v>
      </x:c>
      <x:c r="C2828" s="21" t="str">
        <x:v>artifact</x:v>
      </x:c>
      <x:c r="D2828" s="21" t="str">
        <x:v>artifact 889 planning state</x:v>
      </x:c>
      <x:c r="E2828" s="21" t="n">
        <x:f>IF(AND('Artifact Ledger'!Q895="OPEN",'Artifact Ledger'!R895="HOLD"),1,0)</x:f>
        <x:v>1</x:v>
      </x:c>
      <x:c r="F2828" s="21" t="n">
        <x:v>1</x:v>
      </x:c>
      <x:c r="G2828" s="23" t="str">
        <x:f>IF(E2828=F2828,"PASS","FAIL")</x:f>
        <x:v>PASS</x:v>
      </x:c>
    </x:row>
    <x:row r="2829">
      <x:c r="B2829" s="21" t="str">
        <x:v>A02823</x:v>
      </x:c>
      <x:c r="C2829" s="21" t="str">
        <x:v>artifact</x:v>
      </x:c>
      <x:c r="D2829" s="21" t="str">
        <x:v>artifact 890 eligibility equation</x:v>
      </x:c>
      <x:c r="E2829" s="21" t="n">
        <x:f>IF(ABS('Artifact Ledger'!P896-IF(AND('Artifact Ledger'!L896=1,'Artifact Ledger'!M896=1,'Artifact Ledger'!N896=1,'Artifact Ledger'!O896&gt;='Artifact Ledger'!G896),'Artifact Ledger'!K896,0))&lt;0.000001,1,0)</x:f>
        <x:v>1</x:v>
      </x:c>
      <x:c r="F2829" s="21" t="n">
        <x:v>1</x:v>
      </x:c>
      <x:c r="G2829" s="23" t="str">
        <x:f>IF(E2829=F2829,"PASS","FAIL")</x:f>
        <x:v>PASS</x:v>
      </x:c>
    </x:row>
    <x:row r="2830">
      <x:c r="B2830" s="21" t="str">
        <x:v>A02824</x:v>
      </x:c>
      <x:c r="C2830" s="21" t="str">
        <x:v>artifact</x:v>
      </x:c>
      <x:c r="D2830" s="21" t="str">
        <x:v>artifact 890 planning state</x:v>
      </x:c>
      <x:c r="E2830" s="21" t="n">
        <x:f>IF(AND('Artifact Ledger'!Q896="OPEN",'Artifact Ledger'!R896="HOLD"),1,0)</x:f>
        <x:v>1</x:v>
      </x:c>
      <x:c r="F2830" s="21" t="n">
        <x:v>1</x:v>
      </x:c>
      <x:c r="G2830" s="23" t="str">
        <x:f>IF(E2830=F2830,"PASS","FAIL")</x:f>
        <x:v>PASS</x:v>
      </x:c>
    </x:row>
    <x:row r="2831">
      <x:c r="B2831" s="21" t="str">
        <x:v>A02825</x:v>
      </x:c>
      <x:c r="C2831" s="21" t="str">
        <x:v>artifact</x:v>
      </x:c>
      <x:c r="D2831" s="21" t="str">
        <x:v>artifact 891 eligibility equation</x:v>
      </x:c>
      <x:c r="E2831" s="21" t="n">
        <x:f>IF(ABS('Artifact Ledger'!P897-IF(AND('Artifact Ledger'!L897=1,'Artifact Ledger'!M897=1,'Artifact Ledger'!N897=1,'Artifact Ledger'!O897&gt;='Artifact Ledger'!G897),'Artifact Ledger'!K897,0))&lt;0.000001,1,0)</x:f>
        <x:v>1</x:v>
      </x:c>
      <x:c r="F2831" s="21" t="n">
        <x:v>1</x:v>
      </x:c>
      <x:c r="G2831" s="23" t="str">
        <x:f>IF(E2831=F2831,"PASS","FAIL")</x:f>
        <x:v>PASS</x:v>
      </x:c>
    </x:row>
    <x:row r="2832">
      <x:c r="B2832" s="21" t="str">
        <x:v>A02826</x:v>
      </x:c>
      <x:c r="C2832" s="21" t="str">
        <x:v>artifact</x:v>
      </x:c>
      <x:c r="D2832" s="21" t="str">
        <x:v>artifact 891 planning state</x:v>
      </x:c>
      <x:c r="E2832" s="21" t="n">
        <x:f>IF(AND('Artifact Ledger'!Q897="OPEN",'Artifact Ledger'!R897="HOLD"),1,0)</x:f>
        <x:v>1</x:v>
      </x:c>
      <x:c r="F2832" s="21" t="n">
        <x:v>1</x:v>
      </x:c>
      <x:c r="G2832" s="23" t="str">
        <x:f>IF(E2832=F2832,"PASS","FAIL")</x:f>
        <x:v>PASS</x:v>
      </x:c>
    </x:row>
    <x:row r="2833">
      <x:c r="B2833" s="21" t="str">
        <x:v>A02827</x:v>
      </x:c>
      <x:c r="C2833" s="21" t="str">
        <x:v>artifact</x:v>
      </x:c>
      <x:c r="D2833" s="21" t="str">
        <x:v>artifact 892 eligibility equation</x:v>
      </x:c>
      <x:c r="E2833" s="21" t="n">
        <x:f>IF(ABS('Artifact Ledger'!P898-IF(AND('Artifact Ledger'!L898=1,'Artifact Ledger'!M898=1,'Artifact Ledger'!N898=1,'Artifact Ledger'!O898&gt;='Artifact Ledger'!G898),'Artifact Ledger'!K898,0))&lt;0.000001,1,0)</x:f>
        <x:v>1</x:v>
      </x:c>
      <x:c r="F2833" s="21" t="n">
        <x:v>1</x:v>
      </x:c>
      <x:c r="G2833" s="23" t="str">
        <x:f>IF(E2833=F2833,"PASS","FAIL")</x:f>
        <x:v>PASS</x:v>
      </x:c>
    </x:row>
    <x:row r="2834">
      <x:c r="B2834" s="21" t="str">
        <x:v>A02828</x:v>
      </x:c>
      <x:c r="C2834" s="21" t="str">
        <x:v>artifact</x:v>
      </x:c>
      <x:c r="D2834" s="21" t="str">
        <x:v>artifact 892 planning state</x:v>
      </x:c>
      <x:c r="E2834" s="21" t="n">
        <x:f>IF(AND('Artifact Ledger'!Q898="OPEN",'Artifact Ledger'!R898="HOLD"),1,0)</x:f>
        <x:v>1</x:v>
      </x:c>
      <x:c r="F2834" s="21" t="n">
        <x:v>1</x:v>
      </x:c>
      <x:c r="G2834" s="23" t="str">
        <x:f>IF(E2834=F2834,"PASS","FAIL")</x:f>
        <x:v>PASS</x:v>
      </x:c>
    </x:row>
    <x:row r="2835">
      <x:c r="B2835" s="21" t="str">
        <x:v>A02829</x:v>
      </x:c>
      <x:c r="C2835" s="21" t="str">
        <x:v>artifact</x:v>
      </x:c>
      <x:c r="D2835" s="21" t="str">
        <x:v>artifact 893 eligibility equation</x:v>
      </x:c>
      <x:c r="E2835" s="21" t="n">
        <x:f>IF(ABS('Artifact Ledger'!P899-IF(AND('Artifact Ledger'!L899=1,'Artifact Ledger'!M899=1,'Artifact Ledger'!N899=1,'Artifact Ledger'!O899&gt;='Artifact Ledger'!G899),'Artifact Ledger'!K899,0))&lt;0.000001,1,0)</x:f>
        <x:v>1</x:v>
      </x:c>
      <x:c r="F2835" s="21" t="n">
        <x:v>1</x:v>
      </x:c>
      <x:c r="G2835" s="23" t="str">
        <x:f>IF(E2835=F2835,"PASS","FAIL")</x:f>
        <x:v>PASS</x:v>
      </x:c>
    </x:row>
    <x:row r="2836">
      <x:c r="B2836" s="21" t="str">
        <x:v>A02830</x:v>
      </x:c>
      <x:c r="C2836" s="21" t="str">
        <x:v>artifact</x:v>
      </x:c>
      <x:c r="D2836" s="21" t="str">
        <x:v>artifact 893 planning state</x:v>
      </x:c>
      <x:c r="E2836" s="21" t="n">
        <x:f>IF(AND('Artifact Ledger'!Q899="OPEN",'Artifact Ledger'!R899="HOLD"),1,0)</x:f>
        <x:v>1</x:v>
      </x:c>
      <x:c r="F2836" s="21" t="n">
        <x:v>1</x:v>
      </x:c>
      <x:c r="G2836" s="23" t="str">
        <x:f>IF(E2836=F2836,"PASS","FAIL")</x:f>
        <x:v>PASS</x:v>
      </x:c>
    </x:row>
    <x:row r="2837">
      <x:c r="B2837" s="21" t="str">
        <x:v>A02831</x:v>
      </x:c>
      <x:c r="C2837" s="21" t="str">
        <x:v>artifact</x:v>
      </x:c>
      <x:c r="D2837" s="21" t="str">
        <x:v>artifact 894 eligibility equation</x:v>
      </x:c>
      <x:c r="E2837" s="21" t="n">
        <x:f>IF(ABS('Artifact Ledger'!P900-IF(AND('Artifact Ledger'!L900=1,'Artifact Ledger'!M900=1,'Artifact Ledger'!N900=1,'Artifact Ledger'!O900&gt;='Artifact Ledger'!G900),'Artifact Ledger'!K900,0))&lt;0.000001,1,0)</x:f>
        <x:v>1</x:v>
      </x:c>
      <x:c r="F2837" s="21" t="n">
        <x:v>1</x:v>
      </x:c>
      <x:c r="G2837" s="23" t="str">
        <x:f>IF(E2837=F2837,"PASS","FAIL")</x:f>
        <x:v>PASS</x:v>
      </x:c>
    </x:row>
    <x:row r="2838">
      <x:c r="B2838" s="21" t="str">
        <x:v>A02832</x:v>
      </x:c>
      <x:c r="C2838" s="21" t="str">
        <x:v>artifact</x:v>
      </x:c>
      <x:c r="D2838" s="21" t="str">
        <x:v>artifact 894 planning state</x:v>
      </x:c>
      <x:c r="E2838" s="21" t="n">
        <x:f>IF(AND('Artifact Ledger'!Q900="OPEN",'Artifact Ledger'!R900="HOLD"),1,0)</x:f>
        <x:v>1</x:v>
      </x:c>
      <x:c r="F2838" s="21" t="n">
        <x:v>1</x:v>
      </x:c>
      <x:c r="G2838" s="23" t="str">
        <x:f>IF(E2838=F2838,"PASS","FAIL")</x:f>
        <x:v>PASS</x:v>
      </x:c>
    </x:row>
    <x:row r="2839">
      <x:c r="B2839" s="21" t="str">
        <x:v>A02833</x:v>
      </x:c>
      <x:c r="C2839" s="21" t="str">
        <x:v>artifact</x:v>
      </x:c>
      <x:c r="D2839" s="21" t="str">
        <x:v>artifact 895 eligibility equation</x:v>
      </x:c>
      <x:c r="E2839" s="21" t="n">
        <x:f>IF(ABS('Artifact Ledger'!P901-IF(AND('Artifact Ledger'!L901=1,'Artifact Ledger'!M901=1,'Artifact Ledger'!N901=1,'Artifact Ledger'!O901&gt;='Artifact Ledger'!G901),'Artifact Ledger'!K901,0))&lt;0.000001,1,0)</x:f>
        <x:v>1</x:v>
      </x:c>
      <x:c r="F2839" s="21" t="n">
        <x:v>1</x:v>
      </x:c>
      <x:c r="G2839" s="23" t="str">
        <x:f>IF(E2839=F2839,"PASS","FAIL")</x:f>
        <x:v>PASS</x:v>
      </x:c>
    </x:row>
    <x:row r="2840">
      <x:c r="B2840" s="21" t="str">
        <x:v>A02834</x:v>
      </x:c>
      <x:c r="C2840" s="21" t="str">
        <x:v>artifact</x:v>
      </x:c>
      <x:c r="D2840" s="21" t="str">
        <x:v>artifact 895 planning state</x:v>
      </x:c>
      <x:c r="E2840" s="21" t="n">
        <x:f>IF(AND('Artifact Ledger'!Q901="OPEN",'Artifact Ledger'!R901="HOLD"),1,0)</x:f>
        <x:v>1</x:v>
      </x:c>
      <x:c r="F2840" s="21" t="n">
        <x:v>1</x:v>
      </x:c>
      <x:c r="G2840" s="23" t="str">
        <x:f>IF(E2840=F2840,"PASS","FAIL")</x:f>
        <x:v>PASS</x:v>
      </x:c>
    </x:row>
    <x:row r="2841">
      <x:c r="B2841" s="21" t="str">
        <x:v>A02835</x:v>
      </x:c>
      <x:c r="C2841" s="21" t="str">
        <x:v>artifact</x:v>
      </x:c>
      <x:c r="D2841" s="21" t="str">
        <x:v>artifact 896 eligibility equation</x:v>
      </x:c>
      <x:c r="E2841" s="21" t="n">
        <x:f>IF(ABS('Artifact Ledger'!P902-IF(AND('Artifact Ledger'!L902=1,'Artifact Ledger'!M902=1,'Artifact Ledger'!N902=1,'Artifact Ledger'!O902&gt;='Artifact Ledger'!G902),'Artifact Ledger'!K902,0))&lt;0.000001,1,0)</x:f>
        <x:v>1</x:v>
      </x:c>
      <x:c r="F2841" s="21" t="n">
        <x:v>1</x:v>
      </x:c>
      <x:c r="G2841" s="23" t="str">
        <x:f>IF(E2841=F2841,"PASS","FAIL")</x:f>
        <x:v>PASS</x:v>
      </x:c>
    </x:row>
    <x:row r="2842">
      <x:c r="B2842" s="21" t="str">
        <x:v>A02836</x:v>
      </x:c>
      <x:c r="C2842" s="21" t="str">
        <x:v>artifact</x:v>
      </x:c>
      <x:c r="D2842" s="21" t="str">
        <x:v>artifact 896 planning state</x:v>
      </x:c>
      <x:c r="E2842" s="21" t="n">
        <x:f>IF(AND('Artifact Ledger'!Q902="OPEN",'Artifact Ledger'!R902="HOLD"),1,0)</x:f>
        <x:v>1</x:v>
      </x:c>
      <x:c r="F2842" s="21" t="n">
        <x:v>1</x:v>
      </x:c>
      <x:c r="G2842" s="23" t="str">
        <x:f>IF(E2842=F2842,"PASS","FAIL")</x:f>
        <x:v>PASS</x:v>
      </x:c>
    </x:row>
    <x:row r="2843">
      <x:c r="B2843" s="21" t="str">
        <x:v>A02837</x:v>
      </x:c>
      <x:c r="C2843" s="21" t="str">
        <x:v>artifact</x:v>
      </x:c>
      <x:c r="D2843" s="21" t="str">
        <x:v>artifact 897 eligibility equation</x:v>
      </x:c>
      <x:c r="E2843" s="21" t="n">
        <x:f>IF(ABS('Artifact Ledger'!P903-IF(AND('Artifact Ledger'!L903=1,'Artifact Ledger'!M903=1,'Artifact Ledger'!N903=1,'Artifact Ledger'!O903&gt;='Artifact Ledger'!G903),'Artifact Ledger'!K903,0))&lt;0.000001,1,0)</x:f>
        <x:v>1</x:v>
      </x:c>
      <x:c r="F2843" s="21" t="n">
        <x:v>1</x:v>
      </x:c>
      <x:c r="G2843" s="23" t="str">
        <x:f>IF(E2843=F2843,"PASS","FAIL")</x:f>
        <x:v>PASS</x:v>
      </x:c>
    </x:row>
    <x:row r="2844">
      <x:c r="B2844" s="21" t="str">
        <x:v>A02838</x:v>
      </x:c>
      <x:c r="C2844" s="21" t="str">
        <x:v>artifact</x:v>
      </x:c>
      <x:c r="D2844" s="21" t="str">
        <x:v>artifact 897 planning state</x:v>
      </x:c>
      <x:c r="E2844" s="21" t="n">
        <x:f>IF(AND('Artifact Ledger'!Q903="OPEN",'Artifact Ledger'!R903="HOLD"),1,0)</x:f>
        <x:v>1</x:v>
      </x:c>
      <x:c r="F2844" s="21" t="n">
        <x:v>1</x:v>
      </x:c>
      <x:c r="G2844" s="23" t="str">
        <x:f>IF(E2844=F2844,"PASS","FAIL")</x:f>
        <x:v>PASS</x:v>
      </x:c>
    </x:row>
    <x:row r="2845">
      <x:c r="B2845" s="21" t="str">
        <x:v>A02839</x:v>
      </x:c>
      <x:c r="C2845" s="21" t="str">
        <x:v>artifact</x:v>
      </x:c>
      <x:c r="D2845" s="21" t="str">
        <x:v>artifact 898 eligibility equation</x:v>
      </x:c>
      <x:c r="E2845" s="21" t="n">
        <x:f>IF(ABS('Artifact Ledger'!P904-IF(AND('Artifact Ledger'!L904=1,'Artifact Ledger'!M904=1,'Artifact Ledger'!N904=1,'Artifact Ledger'!O904&gt;='Artifact Ledger'!G904),'Artifact Ledger'!K904,0))&lt;0.000001,1,0)</x:f>
        <x:v>1</x:v>
      </x:c>
      <x:c r="F2845" s="21" t="n">
        <x:v>1</x:v>
      </x:c>
      <x:c r="G2845" s="23" t="str">
        <x:f>IF(E2845=F2845,"PASS","FAIL")</x:f>
        <x:v>PASS</x:v>
      </x:c>
    </x:row>
    <x:row r="2846">
      <x:c r="B2846" s="21" t="str">
        <x:v>A02840</x:v>
      </x:c>
      <x:c r="C2846" s="21" t="str">
        <x:v>artifact</x:v>
      </x:c>
      <x:c r="D2846" s="21" t="str">
        <x:v>artifact 898 planning state</x:v>
      </x:c>
      <x:c r="E2846" s="21" t="n">
        <x:f>IF(AND('Artifact Ledger'!Q904="OPEN",'Artifact Ledger'!R904="HOLD"),1,0)</x:f>
        <x:v>1</x:v>
      </x:c>
      <x:c r="F2846" s="21" t="n">
        <x:v>1</x:v>
      </x:c>
      <x:c r="G2846" s="23" t="str">
        <x:f>IF(E2846=F2846,"PASS","FAIL")</x:f>
        <x:v>PASS</x:v>
      </x:c>
    </x:row>
    <x:row r="2847">
      <x:c r="B2847" s="21" t="str">
        <x:v>A02841</x:v>
      </x:c>
      <x:c r="C2847" s="21" t="str">
        <x:v>artifact</x:v>
      </x:c>
      <x:c r="D2847" s="21" t="str">
        <x:v>artifact 899 eligibility equation</x:v>
      </x:c>
      <x:c r="E2847" s="21" t="n">
        <x:f>IF(ABS('Artifact Ledger'!P905-IF(AND('Artifact Ledger'!L905=1,'Artifact Ledger'!M905=1,'Artifact Ledger'!N905=1,'Artifact Ledger'!O905&gt;='Artifact Ledger'!G905),'Artifact Ledger'!K905,0))&lt;0.000001,1,0)</x:f>
        <x:v>1</x:v>
      </x:c>
      <x:c r="F2847" s="21" t="n">
        <x:v>1</x:v>
      </x:c>
      <x:c r="G2847" s="23" t="str">
        <x:f>IF(E2847=F2847,"PASS","FAIL")</x:f>
        <x:v>PASS</x:v>
      </x:c>
    </x:row>
    <x:row r="2848">
      <x:c r="B2848" s="21" t="str">
        <x:v>A02842</x:v>
      </x:c>
      <x:c r="C2848" s="21" t="str">
        <x:v>artifact</x:v>
      </x:c>
      <x:c r="D2848" s="21" t="str">
        <x:v>artifact 899 planning state</x:v>
      </x:c>
      <x:c r="E2848" s="21" t="n">
        <x:f>IF(AND('Artifact Ledger'!Q905="OPEN",'Artifact Ledger'!R905="HOLD"),1,0)</x:f>
        <x:v>1</x:v>
      </x:c>
      <x:c r="F2848" s="21" t="n">
        <x:v>1</x:v>
      </x:c>
      <x:c r="G2848" s="23" t="str">
        <x:f>IF(E2848=F2848,"PASS","FAIL")</x:f>
        <x:v>PASS</x:v>
      </x:c>
    </x:row>
    <x:row r="2849">
      <x:c r="B2849" s="21" t="str">
        <x:v>A02843</x:v>
      </x:c>
      <x:c r="C2849" s="21" t="str">
        <x:v>artifact</x:v>
      </x:c>
      <x:c r="D2849" s="21" t="str">
        <x:v>artifact 900 eligibility equation</x:v>
      </x:c>
      <x:c r="E2849" s="21" t="n">
        <x:f>IF(ABS('Artifact Ledger'!P906-IF(AND('Artifact Ledger'!L906=1,'Artifact Ledger'!M906=1,'Artifact Ledger'!N906=1,'Artifact Ledger'!O906&gt;='Artifact Ledger'!G906),'Artifact Ledger'!K906,0))&lt;0.000001,1,0)</x:f>
        <x:v>1</x:v>
      </x:c>
      <x:c r="F2849" s="21" t="n">
        <x:v>1</x:v>
      </x:c>
      <x:c r="G2849" s="23" t="str">
        <x:f>IF(E2849=F2849,"PASS","FAIL")</x:f>
        <x:v>PASS</x:v>
      </x:c>
    </x:row>
    <x:row r="2850">
      <x:c r="B2850" s="21" t="str">
        <x:v>A02844</x:v>
      </x:c>
      <x:c r="C2850" s="21" t="str">
        <x:v>artifact</x:v>
      </x:c>
      <x:c r="D2850" s="21" t="str">
        <x:v>artifact 900 planning state</x:v>
      </x:c>
      <x:c r="E2850" s="21" t="n">
        <x:f>IF(AND('Artifact Ledger'!Q906="OPEN",'Artifact Ledger'!R906="HOLD"),1,0)</x:f>
        <x:v>1</x:v>
      </x:c>
      <x:c r="F2850" s="21" t="n">
        <x:v>1</x:v>
      </x:c>
      <x:c r="G2850" s="23" t="str">
        <x:f>IF(E2850=F2850,"PASS","FAIL")</x:f>
        <x:v>PASS</x:v>
      </x:c>
    </x:row>
    <x:row r="2851">
      <x:c r="B2851" s="21" t="str">
        <x:v>A02845</x:v>
      </x:c>
      <x:c r="C2851" s="21" t="str">
        <x:v>artifact</x:v>
      </x:c>
      <x:c r="D2851" s="21" t="str">
        <x:v>artifact 901 eligibility equation</x:v>
      </x:c>
      <x:c r="E2851" s="21" t="n">
        <x:f>IF(ABS('Artifact Ledger'!P907-IF(AND('Artifact Ledger'!L907=1,'Artifact Ledger'!M907=1,'Artifact Ledger'!N907=1,'Artifact Ledger'!O907&gt;='Artifact Ledger'!G907),'Artifact Ledger'!K907,0))&lt;0.000001,1,0)</x:f>
        <x:v>1</x:v>
      </x:c>
      <x:c r="F2851" s="21" t="n">
        <x:v>1</x:v>
      </x:c>
      <x:c r="G2851" s="23" t="str">
        <x:f>IF(E2851=F2851,"PASS","FAIL")</x:f>
        <x:v>PASS</x:v>
      </x:c>
    </x:row>
    <x:row r="2852">
      <x:c r="B2852" s="21" t="str">
        <x:v>A02846</x:v>
      </x:c>
      <x:c r="C2852" s="21" t="str">
        <x:v>artifact</x:v>
      </x:c>
      <x:c r="D2852" s="21" t="str">
        <x:v>artifact 901 planning state</x:v>
      </x:c>
      <x:c r="E2852" s="21" t="n">
        <x:f>IF(AND('Artifact Ledger'!Q907="OPEN",'Artifact Ledger'!R907="HOLD"),1,0)</x:f>
        <x:v>1</x:v>
      </x:c>
      <x:c r="F2852" s="21" t="n">
        <x:v>1</x:v>
      </x:c>
      <x:c r="G2852" s="23" t="str">
        <x:f>IF(E2852=F2852,"PASS","FAIL")</x:f>
        <x:v>PASS</x:v>
      </x:c>
    </x:row>
    <x:row r="2853">
      <x:c r="B2853" s="21" t="str">
        <x:v>A02847</x:v>
      </x:c>
      <x:c r="C2853" s="21" t="str">
        <x:v>artifact</x:v>
      </x:c>
      <x:c r="D2853" s="21" t="str">
        <x:v>artifact 902 eligibility equation</x:v>
      </x:c>
      <x:c r="E2853" s="21" t="n">
        <x:f>IF(ABS('Artifact Ledger'!P908-IF(AND('Artifact Ledger'!L908=1,'Artifact Ledger'!M908=1,'Artifact Ledger'!N908=1,'Artifact Ledger'!O908&gt;='Artifact Ledger'!G908),'Artifact Ledger'!K908,0))&lt;0.000001,1,0)</x:f>
        <x:v>1</x:v>
      </x:c>
      <x:c r="F2853" s="21" t="n">
        <x:v>1</x:v>
      </x:c>
      <x:c r="G2853" s="23" t="str">
        <x:f>IF(E2853=F2853,"PASS","FAIL")</x:f>
        <x:v>PASS</x:v>
      </x:c>
    </x:row>
    <x:row r="2854">
      <x:c r="B2854" s="21" t="str">
        <x:v>A02848</x:v>
      </x:c>
      <x:c r="C2854" s="21" t="str">
        <x:v>artifact</x:v>
      </x:c>
      <x:c r="D2854" s="21" t="str">
        <x:v>artifact 902 planning state</x:v>
      </x:c>
      <x:c r="E2854" s="21" t="n">
        <x:f>IF(AND('Artifact Ledger'!Q908="OPEN",'Artifact Ledger'!R908="HOLD"),1,0)</x:f>
        <x:v>1</x:v>
      </x:c>
      <x:c r="F2854" s="21" t="n">
        <x:v>1</x:v>
      </x:c>
      <x:c r="G2854" s="23" t="str">
        <x:f>IF(E2854=F2854,"PASS","FAIL")</x:f>
        <x:v>PASS</x:v>
      </x:c>
    </x:row>
    <x:row r="2855">
      <x:c r="B2855" s="21" t="str">
        <x:v>A02849</x:v>
      </x:c>
      <x:c r="C2855" s="21" t="str">
        <x:v>artifact</x:v>
      </x:c>
      <x:c r="D2855" s="21" t="str">
        <x:v>artifact 903 eligibility equation</x:v>
      </x:c>
      <x:c r="E2855" s="21" t="n">
        <x:f>IF(ABS('Artifact Ledger'!P909-IF(AND('Artifact Ledger'!L909=1,'Artifact Ledger'!M909=1,'Artifact Ledger'!N909=1,'Artifact Ledger'!O909&gt;='Artifact Ledger'!G909),'Artifact Ledger'!K909,0))&lt;0.000001,1,0)</x:f>
        <x:v>1</x:v>
      </x:c>
      <x:c r="F2855" s="21" t="n">
        <x:v>1</x:v>
      </x:c>
      <x:c r="G2855" s="23" t="str">
        <x:f>IF(E2855=F2855,"PASS","FAIL")</x:f>
        <x:v>PASS</x:v>
      </x:c>
    </x:row>
    <x:row r="2856">
      <x:c r="B2856" s="21" t="str">
        <x:v>A02850</x:v>
      </x:c>
      <x:c r="C2856" s="21" t="str">
        <x:v>artifact</x:v>
      </x:c>
      <x:c r="D2856" s="21" t="str">
        <x:v>artifact 903 planning state</x:v>
      </x:c>
      <x:c r="E2856" s="21" t="n">
        <x:f>IF(AND('Artifact Ledger'!Q909="OPEN",'Artifact Ledger'!R909="HOLD"),1,0)</x:f>
        <x:v>1</x:v>
      </x:c>
      <x:c r="F2856" s="21" t="n">
        <x:v>1</x:v>
      </x:c>
      <x:c r="G2856" s="23" t="str">
        <x:f>IF(E2856=F2856,"PASS","FAIL")</x:f>
        <x:v>PASS</x:v>
      </x:c>
    </x:row>
    <x:row r="2857">
      <x:c r="B2857" s="21" t="str">
        <x:v>A02851</x:v>
      </x:c>
      <x:c r="C2857" s="21" t="str">
        <x:v>artifact</x:v>
      </x:c>
      <x:c r="D2857" s="21" t="str">
        <x:v>artifact 904 eligibility equation</x:v>
      </x:c>
      <x:c r="E2857" s="21" t="n">
        <x:f>IF(ABS('Artifact Ledger'!P910-IF(AND('Artifact Ledger'!L910=1,'Artifact Ledger'!M910=1,'Artifact Ledger'!N910=1,'Artifact Ledger'!O910&gt;='Artifact Ledger'!G910),'Artifact Ledger'!K910,0))&lt;0.000001,1,0)</x:f>
        <x:v>1</x:v>
      </x:c>
      <x:c r="F2857" s="21" t="n">
        <x:v>1</x:v>
      </x:c>
      <x:c r="G2857" s="23" t="str">
        <x:f>IF(E2857=F2857,"PASS","FAIL")</x:f>
        <x:v>PASS</x:v>
      </x:c>
    </x:row>
    <x:row r="2858">
      <x:c r="B2858" s="21" t="str">
        <x:v>A02852</x:v>
      </x:c>
      <x:c r="C2858" s="21" t="str">
        <x:v>artifact</x:v>
      </x:c>
      <x:c r="D2858" s="21" t="str">
        <x:v>artifact 904 planning state</x:v>
      </x:c>
      <x:c r="E2858" s="21" t="n">
        <x:f>IF(AND('Artifact Ledger'!Q910="OPEN",'Artifact Ledger'!R910="HOLD"),1,0)</x:f>
        <x:v>1</x:v>
      </x:c>
      <x:c r="F2858" s="21" t="n">
        <x:v>1</x:v>
      </x:c>
      <x:c r="G2858" s="23" t="str">
        <x:f>IF(E2858=F2858,"PASS","FAIL")</x:f>
        <x:v>PASS</x:v>
      </x:c>
    </x:row>
    <x:row r="2859">
      <x:c r="B2859" s="21" t="str">
        <x:v>A02853</x:v>
      </x:c>
      <x:c r="C2859" s="21" t="str">
        <x:v>artifact</x:v>
      </x:c>
      <x:c r="D2859" s="21" t="str">
        <x:v>artifact 905 eligibility equation</x:v>
      </x:c>
      <x:c r="E2859" s="21" t="n">
        <x:f>IF(ABS('Artifact Ledger'!P911-IF(AND('Artifact Ledger'!L911=1,'Artifact Ledger'!M911=1,'Artifact Ledger'!N911=1,'Artifact Ledger'!O911&gt;='Artifact Ledger'!G911),'Artifact Ledger'!K911,0))&lt;0.000001,1,0)</x:f>
        <x:v>1</x:v>
      </x:c>
      <x:c r="F2859" s="21" t="n">
        <x:v>1</x:v>
      </x:c>
      <x:c r="G2859" s="23" t="str">
        <x:f>IF(E2859=F2859,"PASS","FAIL")</x:f>
        <x:v>PASS</x:v>
      </x:c>
    </x:row>
    <x:row r="2860">
      <x:c r="B2860" s="21" t="str">
        <x:v>A02854</x:v>
      </x:c>
      <x:c r="C2860" s="21" t="str">
        <x:v>artifact</x:v>
      </x:c>
      <x:c r="D2860" s="21" t="str">
        <x:v>artifact 905 planning state</x:v>
      </x:c>
      <x:c r="E2860" s="21" t="n">
        <x:f>IF(AND('Artifact Ledger'!Q911="OPEN",'Artifact Ledger'!R911="HOLD"),1,0)</x:f>
        <x:v>1</x:v>
      </x:c>
      <x:c r="F2860" s="21" t="n">
        <x:v>1</x:v>
      </x:c>
      <x:c r="G2860" s="23" t="str">
        <x:f>IF(E2860=F2860,"PASS","FAIL")</x:f>
        <x:v>PASS</x:v>
      </x:c>
    </x:row>
    <x:row r="2861">
      <x:c r="B2861" s="21" t="str">
        <x:v>A02855</x:v>
      </x:c>
      <x:c r="C2861" s="21" t="str">
        <x:v>artifact</x:v>
      </x:c>
      <x:c r="D2861" s="21" t="str">
        <x:v>artifact 906 eligibility equation</x:v>
      </x:c>
      <x:c r="E2861" s="21" t="n">
        <x:f>IF(ABS('Artifact Ledger'!P912-IF(AND('Artifact Ledger'!L912=1,'Artifact Ledger'!M912=1,'Artifact Ledger'!N912=1,'Artifact Ledger'!O912&gt;='Artifact Ledger'!G912),'Artifact Ledger'!K912,0))&lt;0.000001,1,0)</x:f>
        <x:v>1</x:v>
      </x:c>
      <x:c r="F2861" s="21" t="n">
        <x:v>1</x:v>
      </x:c>
      <x:c r="G2861" s="23" t="str">
        <x:f>IF(E2861=F2861,"PASS","FAIL")</x:f>
        <x:v>PASS</x:v>
      </x:c>
    </x:row>
    <x:row r="2862">
      <x:c r="B2862" s="21" t="str">
        <x:v>A02856</x:v>
      </x:c>
      <x:c r="C2862" s="21" t="str">
        <x:v>artifact</x:v>
      </x:c>
      <x:c r="D2862" s="21" t="str">
        <x:v>artifact 906 planning state</x:v>
      </x:c>
      <x:c r="E2862" s="21" t="n">
        <x:f>IF(AND('Artifact Ledger'!Q912="OPEN",'Artifact Ledger'!R912="HOLD"),1,0)</x:f>
        <x:v>1</x:v>
      </x:c>
      <x:c r="F2862" s="21" t="n">
        <x:v>1</x:v>
      </x:c>
      <x:c r="G2862" s="23" t="str">
        <x:f>IF(E2862=F2862,"PASS","FAIL")</x:f>
        <x:v>PASS</x:v>
      </x:c>
    </x:row>
    <x:row r="2863">
      <x:c r="B2863" s="21" t="str">
        <x:v>A02857</x:v>
      </x:c>
      <x:c r="C2863" s="21" t="str">
        <x:v>artifact</x:v>
      </x:c>
      <x:c r="D2863" s="21" t="str">
        <x:v>artifact 907 eligibility equation</x:v>
      </x:c>
      <x:c r="E2863" s="21" t="n">
        <x:f>IF(ABS('Artifact Ledger'!P913-IF(AND('Artifact Ledger'!L913=1,'Artifact Ledger'!M913=1,'Artifact Ledger'!N913=1,'Artifact Ledger'!O913&gt;='Artifact Ledger'!G913),'Artifact Ledger'!K913,0))&lt;0.000001,1,0)</x:f>
        <x:v>1</x:v>
      </x:c>
      <x:c r="F2863" s="21" t="n">
        <x:v>1</x:v>
      </x:c>
      <x:c r="G2863" s="23" t="str">
        <x:f>IF(E2863=F2863,"PASS","FAIL")</x:f>
        <x:v>PASS</x:v>
      </x:c>
    </x:row>
    <x:row r="2864">
      <x:c r="B2864" s="21" t="str">
        <x:v>A02858</x:v>
      </x:c>
      <x:c r="C2864" s="21" t="str">
        <x:v>artifact</x:v>
      </x:c>
      <x:c r="D2864" s="21" t="str">
        <x:v>artifact 907 planning state</x:v>
      </x:c>
      <x:c r="E2864" s="21" t="n">
        <x:f>IF(AND('Artifact Ledger'!Q913="OPEN",'Artifact Ledger'!R913="HOLD"),1,0)</x:f>
        <x:v>1</x:v>
      </x:c>
      <x:c r="F2864" s="21" t="n">
        <x:v>1</x:v>
      </x:c>
      <x:c r="G2864" s="23" t="str">
        <x:f>IF(E2864=F2864,"PASS","FAIL")</x:f>
        <x:v>PASS</x:v>
      </x:c>
    </x:row>
    <x:row r="2865">
      <x:c r="B2865" s="21" t="str">
        <x:v>A02859</x:v>
      </x:c>
      <x:c r="C2865" s="21" t="str">
        <x:v>artifact</x:v>
      </x:c>
      <x:c r="D2865" s="21" t="str">
        <x:v>artifact 908 eligibility equation</x:v>
      </x:c>
      <x:c r="E2865" s="21" t="n">
        <x:f>IF(ABS('Artifact Ledger'!P914-IF(AND('Artifact Ledger'!L914=1,'Artifact Ledger'!M914=1,'Artifact Ledger'!N914=1,'Artifact Ledger'!O914&gt;='Artifact Ledger'!G914),'Artifact Ledger'!K914,0))&lt;0.000001,1,0)</x:f>
        <x:v>1</x:v>
      </x:c>
      <x:c r="F2865" s="21" t="n">
        <x:v>1</x:v>
      </x:c>
      <x:c r="G2865" s="23" t="str">
        <x:f>IF(E2865=F2865,"PASS","FAIL")</x:f>
        <x:v>PASS</x:v>
      </x:c>
    </x:row>
    <x:row r="2866">
      <x:c r="B2866" s="21" t="str">
        <x:v>A02860</x:v>
      </x:c>
      <x:c r="C2866" s="21" t="str">
        <x:v>artifact</x:v>
      </x:c>
      <x:c r="D2866" s="21" t="str">
        <x:v>artifact 908 planning state</x:v>
      </x:c>
      <x:c r="E2866" s="21" t="n">
        <x:f>IF(AND('Artifact Ledger'!Q914="OPEN",'Artifact Ledger'!R914="HOLD"),1,0)</x:f>
        <x:v>1</x:v>
      </x:c>
      <x:c r="F2866" s="21" t="n">
        <x:v>1</x:v>
      </x:c>
      <x:c r="G2866" s="23" t="str">
        <x:f>IF(E2866=F2866,"PASS","FAIL")</x:f>
        <x:v>PASS</x:v>
      </x:c>
    </x:row>
    <x:row r="2867">
      <x:c r="B2867" s="21" t="str">
        <x:v>A02861</x:v>
      </x:c>
      <x:c r="C2867" s="21" t="str">
        <x:v>artifact</x:v>
      </x:c>
      <x:c r="D2867" s="21" t="str">
        <x:v>artifact 909 eligibility equation</x:v>
      </x:c>
      <x:c r="E2867" s="21" t="n">
        <x:f>IF(ABS('Artifact Ledger'!P915-IF(AND('Artifact Ledger'!L915=1,'Artifact Ledger'!M915=1,'Artifact Ledger'!N915=1,'Artifact Ledger'!O915&gt;='Artifact Ledger'!G915),'Artifact Ledger'!K915,0))&lt;0.000001,1,0)</x:f>
        <x:v>1</x:v>
      </x:c>
      <x:c r="F2867" s="21" t="n">
        <x:v>1</x:v>
      </x:c>
      <x:c r="G2867" s="23" t="str">
        <x:f>IF(E2867=F2867,"PASS","FAIL")</x:f>
        <x:v>PASS</x:v>
      </x:c>
    </x:row>
    <x:row r="2868">
      <x:c r="B2868" s="21" t="str">
        <x:v>A02862</x:v>
      </x:c>
      <x:c r="C2868" s="21" t="str">
        <x:v>artifact</x:v>
      </x:c>
      <x:c r="D2868" s="21" t="str">
        <x:v>artifact 909 planning state</x:v>
      </x:c>
      <x:c r="E2868" s="21" t="n">
        <x:f>IF(AND('Artifact Ledger'!Q915="OPEN",'Artifact Ledger'!R915="HOLD"),1,0)</x:f>
        <x:v>1</x:v>
      </x:c>
      <x:c r="F2868" s="21" t="n">
        <x:v>1</x:v>
      </x:c>
      <x:c r="G2868" s="23" t="str">
        <x:f>IF(E2868=F2868,"PASS","FAIL")</x:f>
        <x:v>PASS</x:v>
      </x:c>
    </x:row>
    <x:row r="2869">
      <x:c r="B2869" s="21" t="str">
        <x:v>A02863</x:v>
      </x:c>
      <x:c r="C2869" s="21" t="str">
        <x:v>artifact</x:v>
      </x:c>
      <x:c r="D2869" s="21" t="str">
        <x:v>artifact 910 eligibility equation</x:v>
      </x:c>
      <x:c r="E2869" s="21" t="n">
        <x:f>IF(ABS('Artifact Ledger'!P916-IF(AND('Artifact Ledger'!L916=1,'Artifact Ledger'!M916=1,'Artifact Ledger'!N916=1,'Artifact Ledger'!O916&gt;='Artifact Ledger'!G916),'Artifact Ledger'!K916,0))&lt;0.000001,1,0)</x:f>
        <x:v>1</x:v>
      </x:c>
      <x:c r="F2869" s="21" t="n">
        <x:v>1</x:v>
      </x:c>
      <x:c r="G2869" s="23" t="str">
        <x:f>IF(E2869=F2869,"PASS","FAIL")</x:f>
        <x:v>PASS</x:v>
      </x:c>
    </x:row>
    <x:row r="2870">
      <x:c r="B2870" s="21" t="str">
        <x:v>A02864</x:v>
      </x:c>
      <x:c r="C2870" s="21" t="str">
        <x:v>artifact</x:v>
      </x:c>
      <x:c r="D2870" s="21" t="str">
        <x:v>artifact 910 planning state</x:v>
      </x:c>
      <x:c r="E2870" s="21" t="n">
        <x:f>IF(AND('Artifact Ledger'!Q916="OPEN",'Artifact Ledger'!R916="HOLD"),1,0)</x:f>
        <x:v>1</x:v>
      </x:c>
      <x:c r="F2870" s="21" t="n">
        <x:v>1</x:v>
      </x:c>
      <x:c r="G2870" s="23" t="str">
        <x:f>IF(E2870=F2870,"PASS","FAIL")</x:f>
        <x:v>PASS</x:v>
      </x:c>
    </x:row>
    <x:row r="2871">
      <x:c r="B2871" s="21" t="str">
        <x:v>A02865</x:v>
      </x:c>
      <x:c r="C2871" s="21" t="str">
        <x:v>artifact</x:v>
      </x:c>
      <x:c r="D2871" s="21" t="str">
        <x:v>artifact 911 eligibility equation</x:v>
      </x:c>
      <x:c r="E2871" s="21" t="n">
        <x:f>IF(ABS('Artifact Ledger'!P917-IF(AND('Artifact Ledger'!L917=1,'Artifact Ledger'!M917=1,'Artifact Ledger'!N917=1,'Artifact Ledger'!O917&gt;='Artifact Ledger'!G917),'Artifact Ledger'!K917,0))&lt;0.000001,1,0)</x:f>
        <x:v>1</x:v>
      </x:c>
      <x:c r="F2871" s="21" t="n">
        <x:v>1</x:v>
      </x:c>
      <x:c r="G2871" s="23" t="str">
        <x:f>IF(E2871=F2871,"PASS","FAIL")</x:f>
        <x:v>PASS</x:v>
      </x:c>
    </x:row>
    <x:row r="2872">
      <x:c r="B2872" s="21" t="str">
        <x:v>A02866</x:v>
      </x:c>
      <x:c r="C2872" s="21" t="str">
        <x:v>artifact</x:v>
      </x:c>
      <x:c r="D2872" s="21" t="str">
        <x:v>artifact 911 planning state</x:v>
      </x:c>
      <x:c r="E2872" s="21" t="n">
        <x:f>IF(AND('Artifact Ledger'!Q917="OPEN",'Artifact Ledger'!R917="HOLD"),1,0)</x:f>
        <x:v>1</x:v>
      </x:c>
      <x:c r="F2872" s="21" t="n">
        <x:v>1</x:v>
      </x:c>
      <x:c r="G2872" s="23" t="str">
        <x:f>IF(E2872=F2872,"PASS","FAIL")</x:f>
        <x:v>PASS</x:v>
      </x:c>
    </x:row>
    <x:row r="2873">
      <x:c r="B2873" s="21" t="str">
        <x:v>A02867</x:v>
      </x:c>
      <x:c r="C2873" s="21" t="str">
        <x:v>artifact</x:v>
      </x:c>
      <x:c r="D2873" s="21" t="str">
        <x:v>artifact 912 eligibility equation</x:v>
      </x:c>
      <x:c r="E2873" s="21" t="n">
        <x:f>IF(ABS('Artifact Ledger'!P918-IF(AND('Artifact Ledger'!L918=1,'Artifact Ledger'!M918=1,'Artifact Ledger'!N918=1,'Artifact Ledger'!O918&gt;='Artifact Ledger'!G918),'Artifact Ledger'!K918,0))&lt;0.000001,1,0)</x:f>
        <x:v>1</x:v>
      </x:c>
      <x:c r="F2873" s="21" t="n">
        <x:v>1</x:v>
      </x:c>
      <x:c r="G2873" s="23" t="str">
        <x:f>IF(E2873=F2873,"PASS","FAIL")</x:f>
        <x:v>PASS</x:v>
      </x:c>
    </x:row>
    <x:row r="2874">
      <x:c r="B2874" s="21" t="str">
        <x:v>A02868</x:v>
      </x:c>
      <x:c r="C2874" s="21" t="str">
        <x:v>artifact</x:v>
      </x:c>
      <x:c r="D2874" s="21" t="str">
        <x:v>artifact 912 planning state</x:v>
      </x:c>
      <x:c r="E2874" s="21" t="n">
        <x:f>IF(AND('Artifact Ledger'!Q918="OPEN",'Artifact Ledger'!R918="HOLD"),1,0)</x:f>
        <x:v>1</x:v>
      </x:c>
      <x:c r="F2874" s="21" t="n">
        <x:v>1</x:v>
      </x:c>
      <x:c r="G2874" s="23" t="str">
        <x:f>IF(E2874=F2874,"PASS","FAIL")</x:f>
        <x:v>PASS</x:v>
      </x:c>
    </x:row>
    <x:row r="2875">
      <x:c r="B2875" s="21" t="str">
        <x:v>A02869</x:v>
      </x:c>
      <x:c r="C2875" s="21" t="str">
        <x:v>artifact</x:v>
      </x:c>
      <x:c r="D2875" s="21" t="str">
        <x:v>artifact 913 eligibility equation</x:v>
      </x:c>
      <x:c r="E2875" s="21" t="n">
        <x:f>IF(ABS('Artifact Ledger'!P919-IF(AND('Artifact Ledger'!L919=1,'Artifact Ledger'!M919=1,'Artifact Ledger'!N919=1,'Artifact Ledger'!O919&gt;='Artifact Ledger'!G919),'Artifact Ledger'!K919,0))&lt;0.000001,1,0)</x:f>
        <x:v>1</x:v>
      </x:c>
      <x:c r="F2875" s="21" t="n">
        <x:v>1</x:v>
      </x:c>
      <x:c r="G2875" s="23" t="str">
        <x:f>IF(E2875=F2875,"PASS","FAIL")</x:f>
        <x:v>PASS</x:v>
      </x:c>
    </x:row>
    <x:row r="2876">
      <x:c r="B2876" s="21" t="str">
        <x:v>A02870</x:v>
      </x:c>
      <x:c r="C2876" s="21" t="str">
        <x:v>artifact</x:v>
      </x:c>
      <x:c r="D2876" s="21" t="str">
        <x:v>artifact 913 planning state</x:v>
      </x:c>
      <x:c r="E2876" s="21" t="n">
        <x:f>IF(AND('Artifact Ledger'!Q919="OPEN",'Artifact Ledger'!R919="HOLD"),1,0)</x:f>
        <x:v>1</x:v>
      </x:c>
      <x:c r="F2876" s="21" t="n">
        <x:v>1</x:v>
      </x:c>
      <x:c r="G2876" s="23" t="str">
        <x:f>IF(E2876=F2876,"PASS","FAIL")</x:f>
        <x:v>PASS</x:v>
      </x:c>
    </x:row>
    <x:row r="2877">
      <x:c r="B2877" s="21" t="str">
        <x:v>A02871</x:v>
      </x:c>
      <x:c r="C2877" s="21" t="str">
        <x:v>artifact</x:v>
      </x:c>
      <x:c r="D2877" s="21" t="str">
        <x:v>artifact 914 eligibility equation</x:v>
      </x:c>
      <x:c r="E2877" s="21" t="n">
        <x:f>IF(ABS('Artifact Ledger'!P920-IF(AND('Artifact Ledger'!L920=1,'Artifact Ledger'!M920=1,'Artifact Ledger'!N920=1,'Artifact Ledger'!O920&gt;='Artifact Ledger'!G920),'Artifact Ledger'!K920,0))&lt;0.000001,1,0)</x:f>
        <x:v>1</x:v>
      </x:c>
      <x:c r="F2877" s="21" t="n">
        <x:v>1</x:v>
      </x:c>
      <x:c r="G2877" s="23" t="str">
        <x:f>IF(E2877=F2877,"PASS","FAIL")</x:f>
        <x:v>PASS</x:v>
      </x:c>
    </x:row>
    <x:row r="2878">
      <x:c r="B2878" s="21" t="str">
        <x:v>A02872</x:v>
      </x:c>
      <x:c r="C2878" s="21" t="str">
        <x:v>artifact</x:v>
      </x:c>
      <x:c r="D2878" s="21" t="str">
        <x:v>artifact 914 planning state</x:v>
      </x:c>
      <x:c r="E2878" s="21" t="n">
        <x:f>IF(AND('Artifact Ledger'!Q920="OPEN",'Artifact Ledger'!R920="HOLD"),1,0)</x:f>
        <x:v>1</x:v>
      </x:c>
      <x:c r="F2878" s="21" t="n">
        <x:v>1</x:v>
      </x:c>
      <x:c r="G2878" s="23" t="str">
        <x:f>IF(E2878=F2878,"PASS","FAIL")</x:f>
        <x:v>PASS</x:v>
      </x:c>
    </x:row>
    <x:row r="2879">
      <x:c r="B2879" s="21" t="str">
        <x:v>A02873</x:v>
      </x:c>
      <x:c r="C2879" s="21" t="str">
        <x:v>artifact</x:v>
      </x:c>
      <x:c r="D2879" s="21" t="str">
        <x:v>artifact 915 eligibility equation</x:v>
      </x:c>
      <x:c r="E2879" s="21" t="n">
        <x:f>IF(ABS('Artifact Ledger'!P921-IF(AND('Artifact Ledger'!L921=1,'Artifact Ledger'!M921=1,'Artifact Ledger'!N921=1,'Artifact Ledger'!O921&gt;='Artifact Ledger'!G921),'Artifact Ledger'!K921,0))&lt;0.000001,1,0)</x:f>
        <x:v>1</x:v>
      </x:c>
      <x:c r="F2879" s="21" t="n">
        <x:v>1</x:v>
      </x:c>
      <x:c r="G2879" s="23" t="str">
        <x:f>IF(E2879=F2879,"PASS","FAIL")</x:f>
        <x:v>PASS</x:v>
      </x:c>
    </x:row>
    <x:row r="2880">
      <x:c r="B2880" s="21" t="str">
        <x:v>A02874</x:v>
      </x:c>
      <x:c r="C2880" s="21" t="str">
        <x:v>artifact</x:v>
      </x:c>
      <x:c r="D2880" s="21" t="str">
        <x:v>artifact 915 planning state</x:v>
      </x:c>
      <x:c r="E2880" s="21" t="n">
        <x:f>IF(AND('Artifact Ledger'!Q921="OPEN",'Artifact Ledger'!R921="HOLD"),1,0)</x:f>
        <x:v>1</x:v>
      </x:c>
      <x:c r="F2880" s="21" t="n">
        <x:v>1</x:v>
      </x:c>
      <x:c r="G2880" s="23" t="str">
        <x:f>IF(E2880=F2880,"PASS","FAIL")</x:f>
        <x:v>PASS</x:v>
      </x:c>
    </x:row>
    <x:row r="2881">
      <x:c r="B2881" s="21" t="str">
        <x:v>A02875</x:v>
      </x:c>
      <x:c r="C2881" s="21" t="str">
        <x:v>artifact</x:v>
      </x:c>
      <x:c r="D2881" s="21" t="str">
        <x:v>artifact 916 eligibility equation</x:v>
      </x:c>
      <x:c r="E2881" s="21" t="n">
        <x:f>IF(ABS('Artifact Ledger'!P922-IF(AND('Artifact Ledger'!L922=1,'Artifact Ledger'!M922=1,'Artifact Ledger'!N922=1,'Artifact Ledger'!O922&gt;='Artifact Ledger'!G922),'Artifact Ledger'!K922,0))&lt;0.000001,1,0)</x:f>
        <x:v>1</x:v>
      </x:c>
      <x:c r="F2881" s="21" t="n">
        <x:v>1</x:v>
      </x:c>
      <x:c r="G2881" s="23" t="str">
        <x:f>IF(E2881=F2881,"PASS","FAIL")</x:f>
        <x:v>PASS</x:v>
      </x:c>
    </x:row>
    <x:row r="2882">
      <x:c r="B2882" s="21" t="str">
        <x:v>A02876</x:v>
      </x:c>
      <x:c r="C2882" s="21" t="str">
        <x:v>artifact</x:v>
      </x:c>
      <x:c r="D2882" s="21" t="str">
        <x:v>artifact 916 planning state</x:v>
      </x:c>
      <x:c r="E2882" s="21" t="n">
        <x:f>IF(AND('Artifact Ledger'!Q922="OPEN",'Artifact Ledger'!R922="HOLD"),1,0)</x:f>
        <x:v>1</x:v>
      </x:c>
      <x:c r="F2882" s="21" t="n">
        <x:v>1</x:v>
      </x:c>
      <x:c r="G2882" s="23" t="str">
        <x:f>IF(E2882=F2882,"PASS","FAIL")</x:f>
        <x:v>PASS</x:v>
      </x:c>
    </x:row>
    <x:row r="2883">
      <x:c r="B2883" s="21" t="str">
        <x:v>A02877</x:v>
      </x:c>
      <x:c r="C2883" s="21" t="str">
        <x:v>artifact</x:v>
      </x:c>
      <x:c r="D2883" s="21" t="str">
        <x:v>artifact 917 eligibility equation</x:v>
      </x:c>
      <x:c r="E2883" s="21" t="n">
        <x:f>IF(ABS('Artifact Ledger'!P923-IF(AND('Artifact Ledger'!L923=1,'Artifact Ledger'!M923=1,'Artifact Ledger'!N923=1,'Artifact Ledger'!O923&gt;='Artifact Ledger'!G923),'Artifact Ledger'!K923,0))&lt;0.000001,1,0)</x:f>
        <x:v>1</x:v>
      </x:c>
      <x:c r="F2883" s="21" t="n">
        <x:v>1</x:v>
      </x:c>
      <x:c r="G2883" s="23" t="str">
        <x:f>IF(E2883=F2883,"PASS","FAIL")</x:f>
        <x:v>PASS</x:v>
      </x:c>
    </x:row>
    <x:row r="2884">
      <x:c r="B2884" s="21" t="str">
        <x:v>A02878</x:v>
      </x:c>
      <x:c r="C2884" s="21" t="str">
        <x:v>artifact</x:v>
      </x:c>
      <x:c r="D2884" s="21" t="str">
        <x:v>artifact 917 planning state</x:v>
      </x:c>
      <x:c r="E2884" s="21" t="n">
        <x:f>IF(AND('Artifact Ledger'!Q923="OPEN",'Artifact Ledger'!R923="HOLD"),1,0)</x:f>
        <x:v>1</x:v>
      </x:c>
      <x:c r="F2884" s="21" t="n">
        <x:v>1</x:v>
      </x:c>
      <x:c r="G2884" s="23" t="str">
        <x:f>IF(E2884=F2884,"PASS","FAIL")</x:f>
        <x:v>PASS</x:v>
      </x:c>
    </x:row>
    <x:row r="2885">
      <x:c r="B2885" s="21" t="str">
        <x:v>A02879</x:v>
      </x:c>
      <x:c r="C2885" s="21" t="str">
        <x:v>artifact</x:v>
      </x:c>
      <x:c r="D2885" s="21" t="str">
        <x:v>artifact 918 eligibility equation</x:v>
      </x:c>
      <x:c r="E2885" s="21" t="n">
        <x:f>IF(ABS('Artifact Ledger'!P924-IF(AND('Artifact Ledger'!L924=1,'Artifact Ledger'!M924=1,'Artifact Ledger'!N924=1,'Artifact Ledger'!O924&gt;='Artifact Ledger'!G924),'Artifact Ledger'!K924,0))&lt;0.000001,1,0)</x:f>
        <x:v>1</x:v>
      </x:c>
      <x:c r="F2885" s="21" t="n">
        <x:v>1</x:v>
      </x:c>
      <x:c r="G2885" s="23" t="str">
        <x:f>IF(E2885=F2885,"PASS","FAIL")</x:f>
        <x:v>PASS</x:v>
      </x:c>
    </x:row>
    <x:row r="2886">
      <x:c r="B2886" s="21" t="str">
        <x:v>A02880</x:v>
      </x:c>
      <x:c r="C2886" s="21" t="str">
        <x:v>artifact</x:v>
      </x:c>
      <x:c r="D2886" s="21" t="str">
        <x:v>artifact 918 planning state</x:v>
      </x:c>
      <x:c r="E2886" s="21" t="n">
        <x:f>IF(AND('Artifact Ledger'!Q924="OPEN",'Artifact Ledger'!R924="HOLD"),1,0)</x:f>
        <x:v>1</x:v>
      </x:c>
      <x:c r="F2886" s="21" t="n">
        <x:v>1</x:v>
      </x:c>
      <x:c r="G2886" s="23" t="str">
        <x:f>IF(E2886=F2886,"PASS","FAIL")</x:f>
        <x:v>PASS</x:v>
      </x:c>
    </x:row>
    <x:row r="2887">
      <x:c r="B2887" s="21" t="str">
        <x:v>A02881</x:v>
      </x:c>
      <x:c r="C2887" s="21" t="str">
        <x:v>artifact</x:v>
      </x:c>
      <x:c r="D2887" s="21" t="str">
        <x:v>artifact 919 eligibility equation</x:v>
      </x:c>
      <x:c r="E2887" s="21" t="n">
        <x:f>IF(ABS('Artifact Ledger'!P925-IF(AND('Artifact Ledger'!L925=1,'Artifact Ledger'!M925=1,'Artifact Ledger'!N925=1,'Artifact Ledger'!O925&gt;='Artifact Ledger'!G925),'Artifact Ledger'!K925,0))&lt;0.000001,1,0)</x:f>
        <x:v>1</x:v>
      </x:c>
      <x:c r="F2887" s="21" t="n">
        <x:v>1</x:v>
      </x:c>
      <x:c r="G2887" s="23" t="str">
        <x:f>IF(E2887=F2887,"PASS","FAIL")</x:f>
        <x:v>PASS</x:v>
      </x:c>
    </x:row>
    <x:row r="2888">
      <x:c r="B2888" s="21" t="str">
        <x:v>A02882</x:v>
      </x:c>
      <x:c r="C2888" s="21" t="str">
        <x:v>artifact</x:v>
      </x:c>
      <x:c r="D2888" s="21" t="str">
        <x:v>artifact 919 planning state</x:v>
      </x:c>
      <x:c r="E2888" s="21" t="n">
        <x:f>IF(AND('Artifact Ledger'!Q925="OPEN",'Artifact Ledger'!R925="HOLD"),1,0)</x:f>
        <x:v>1</x:v>
      </x:c>
      <x:c r="F2888" s="21" t="n">
        <x:v>1</x:v>
      </x:c>
      <x:c r="G2888" s="23" t="str">
        <x:f>IF(E2888=F2888,"PASS","FAIL")</x:f>
        <x:v>PASS</x:v>
      </x:c>
    </x:row>
    <x:row r="2889">
      <x:c r="B2889" s="21" t="str">
        <x:v>A02883</x:v>
      </x:c>
      <x:c r="C2889" s="21" t="str">
        <x:v>artifact</x:v>
      </x:c>
      <x:c r="D2889" s="21" t="str">
        <x:v>artifact 920 eligibility equation</x:v>
      </x:c>
      <x:c r="E2889" s="21" t="n">
        <x:f>IF(ABS('Artifact Ledger'!P926-IF(AND('Artifact Ledger'!L926=1,'Artifact Ledger'!M926=1,'Artifact Ledger'!N926=1,'Artifact Ledger'!O926&gt;='Artifact Ledger'!G926),'Artifact Ledger'!K926,0))&lt;0.000001,1,0)</x:f>
        <x:v>1</x:v>
      </x:c>
      <x:c r="F2889" s="21" t="n">
        <x:v>1</x:v>
      </x:c>
      <x:c r="G2889" s="23" t="str">
        <x:f>IF(E2889=F2889,"PASS","FAIL")</x:f>
        <x:v>PASS</x:v>
      </x:c>
    </x:row>
    <x:row r="2890">
      <x:c r="B2890" s="21" t="str">
        <x:v>A02884</x:v>
      </x:c>
      <x:c r="C2890" s="21" t="str">
        <x:v>artifact</x:v>
      </x:c>
      <x:c r="D2890" s="21" t="str">
        <x:v>artifact 920 planning state</x:v>
      </x:c>
      <x:c r="E2890" s="21" t="n">
        <x:f>IF(AND('Artifact Ledger'!Q926="OPEN",'Artifact Ledger'!R926="HOLD"),1,0)</x:f>
        <x:v>1</x:v>
      </x:c>
      <x:c r="F2890" s="21" t="n">
        <x:v>1</x:v>
      </x:c>
      <x:c r="G2890" s="23" t="str">
        <x:f>IF(E2890=F2890,"PASS","FAIL")</x:f>
        <x:v>PASS</x:v>
      </x:c>
    </x:row>
    <x:row r="2891">
      <x:c r="B2891" s="21" t="str">
        <x:v>A02885</x:v>
      </x:c>
      <x:c r="C2891" s="21" t="str">
        <x:v>artifact</x:v>
      </x:c>
      <x:c r="D2891" s="21" t="str">
        <x:v>artifact 921 eligibility equation</x:v>
      </x:c>
      <x:c r="E2891" s="21" t="n">
        <x:f>IF(ABS('Artifact Ledger'!P927-IF(AND('Artifact Ledger'!L927=1,'Artifact Ledger'!M927=1,'Artifact Ledger'!N927=1,'Artifact Ledger'!O927&gt;='Artifact Ledger'!G927),'Artifact Ledger'!K927,0))&lt;0.000001,1,0)</x:f>
        <x:v>1</x:v>
      </x:c>
      <x:c r="F2891" s="21" t="n">
        <x:v>1</x:v>
      </x:c>
      <x:c r="G2891" s="23" t="str">
        <x:f>IF(E2891=F2891,"PASS","FAIL")</x:f>
        <x:v>PASS</x:v>
      </x:c>
    </x:row>
    <x:row r="2892">
      <x:c r="B2892" s="21" t="str">
        <x:v>A02886</x:v>
      </x:c>
      <x:c r="C2892" s="21" t="str">
        <x:v>artifact</x:v>
      </x:c>
      <x:c r="D2892" s="21" t="str">
        <x:v>artifact 921 planning state</x:v>
      </x:c>
      <x:c r="E2892" s="21" t="n">
        <x:f>IF(AND('Artifact Ledger'!Q927="OPEN",'Artifact Ledger'!R927="HOLD"),1,0)</x:f>
        <x:v>1</x:v>
      </x:c>
      <x:c r="F2892" s="21" t="n">
        <x:v>1</x:v>
      </x:c>
      <x:c r="G2892" s="23" t="str">
        <x:f>IF(E2892=F2892,"PASS","FAIL")</x:f>
        <x:v>PASS</x:v>
      </x:c>
    </x:row>
    <x:row r="2893">
      <x:c r="B2893" s="21" t="str">
        <x:v>A02887</x:v>
      </x:c>
      <x:c r="C2893" s="21" t="str">
        <x:v>artifact</x:v>
      </x:c>
      <x:c r="D2893" s="21" t="str">
        <x:v>artifact 922 eligibility equation</x:v>
      </x:c>
      <x:c r="E2893" s="21" t="n">
        <x:f>IF(ABS('Artifact Ledger'!P928-IF(AND('Artifact Ledger'!L928=1,'Artifact Ledger'!M928=1,'Artifact Ledger'!N928=1,'Artifact Ledger'!O928&gt;='Artifact Ledger'!G928),'Artifact Ledger'!K928,0))&lt;0.000001,1,0)</x:f>
        <x:v>1</x:v>
      </x:c>
      <x:c r="F2893" s="21" t="n">
        <x:v>1</x:v>
      </x:c>
      <x:c r="G2893" s="23" t="str">
        <x:f>IF(E2893=F2893,"PASS","FAIL")</x:f>
        <x:v>PASS</x:v>
      </x:c>
    </x:row>
    <x:row r="2894">
      <x:c r="B2894" s="21" t="str">
        <x:v>A02888</x:v>
      </x:c>
      <x:c r="C2894" s="21" t="str">
        <x:v>artifact</x:v>
      </x:c>
      <x:c r="D2894" s="21" t="str">
        <x:v>artifact 922 planning state</x:v>
      </x:c>
      <x:c r="E2894" s="21" t="n">
        <x:f>IF(AND('Artifact Ledger'!Q928="OPEN",'Artifact Ledger'!R928="HOLD"),1,0)</x:f>
        <x:v>1</x:v>
      </x:c>
      <x:c r="F2894" s="21" t="n">
        <x:v>1</x:v>
      </x:c>
      <x:c r="G2894" s="23" t="str">
        <x:f>IF(E2894=F2894,"PASS","FAIL")</x:f>
        <x:v>PASS</x:v>
      </x:c>
    </x:row>
    <x:row r="2895">
      <x:c r="B2895" s="21" t="str">
        <x:v>A02889</x:v>
      </x:c>
      <x:c r="C2895" s="21" t="str">
        <x:v>artifact</x:v>
      </x:c>
      <x:c r="D2895" s="21" t="str">
        <x:v>artifact 923 eligibility equation</x:v>
      </x:c>
      <x:c r="E2895" s="21" t="n">
        <x:f>IF(ABS('Artifact Ledger'!P929-IF(AND('Artifact Ledger'!L929=1,'Artifact Ledger'!M929=1,'Artifact Ledger'!N929=1,'Artifact Ledger'!O929&gt;='Artifact Ledger'!G929),'Artifact Ledger'!K929,0))&lt;0.000001,1,0)</x:f>
        <x:v>1</x:v>
      </x:c>
      <x:c r="F2895" s="21" t="n">
        <x:v>1</x:v>
      </x:c>
      <x:c r="G2895" s="23" t="str">
        <x:f>IF(E2895=F2895,"PASS","FAIL")</x:f>
        <x:v>PASS</x:v>
      </x:c>
    </x:row>
    <x:row r="2896">
      <x:c r="B2896" s="21" t="str">
        <x:v>A02890</x:v>
      </x:c>
      <x:c r="C2896" s="21" t="str">
        <x:v>artifact</x:v>
      </x:c>
      <x:c r="D2896" s="21" t="str">
        <x:v>artifact 923 planning state</x:v>
      </x:c>
      <x:c r="E2896" s="21" t="n">
        <x:f>IF(AND('Artifact Ledger'!Q929="OPEN",'Artifact Ledger'!R929="HOLD"),1,0)</x:f>
        <x:v>1</x:v>
      </x:c>
      <x:c r="F2896" s="21" t="n">
        <x:v>1</x:v>
      </x:c>
      <x:c r="G2896" s="23" t="str">
        <x:f>IF(E2896=F2896,"PASS","FAIL")</x:f>
        <x:v>PASS</x:v>
      </x:c>
    </x:row>
    <x:row r="2897">
      <x:c r="B2897" s="21" t="str">
        <x:v>A02891</x:v>
      </x:c>
      <x:c r="C2897" s="21" t="str">
        <x:v>artifact</x:v>
      </x:c>
      <x:c r="D2897" s="21" t="str">
        <x:v>artifact 924 eligibility equation</x:v>
      </x:c>
      <x:c r="E2897" s="21" t="n">
        <x:f>IF(ABS('Artifact Ledger'!P930-IF(AND('Artifact Ledger'!L930=1,'Artifact Ledger'!M930=1,'Artifact Ledger'!N930=1,'Artifact Ledger'!O930&gt;='Artifact Ledger'!G930),'Artifact Ledger'!K930,0))&lt;0.000001,1,0)</x:f>
        <x:v>1</x:v>
      </x:c>
      <x:c r="F2897" s="21" t="n">
        <x:v>1</x:v>
      </x:c>
      <x:c r="G2897" s="23" t="str">
        <x:f>IF(E2897=F2897,"PASS","FAIL")</x:f>
        <x:v>PASS</x:v>
      </x:c>
    </x:row>
    <x:row r="2898">
      <x:c r="B2898" s="21" t="str">
        <x:v>A02892</x:v>
      </x:c>
      <x:c r="C2898" s="21" t="str">
        <x:v>artifact</x:v>
      </x:c>
      <x:c r="D2898" s="21" t="str">
        <x:v>artifact 924 planning state</x:v>
      </x:c>
      <x:c r="E2898" s="21" t="n">
        <x:f>IF(AND('Artifact Ledger'!Q930="OPEN",'Artifact Ledger'!R930="HOLD"),1,0)</x:f>
        <x:v>1</x:v>
      </x:c>
      <x:c r="F2898" s="21" t="n">
        <x:v>1</x:v>
      </x:c>
      <x:c r="G2898" s="23" t="str">
        <x:f>IF(E2898=F2898,"PASS","FAIL")</x:f>
        <x:v>PASS</x:v>
      </x:c>
    </x:row>
    <x:row r="2899">
      <x:c r="B2899" s="21" t="str">
        <x:v>A02893</x:v>
      </x:c>
      <x:c r="C2899" s="21" t="str">
        <x:v>artifact</x:v>
      </x:c>
      <x:c r="D2899" s="21" t="str">
        <x:v>artifact 925 eligibility equation</x:v>
      </x:c>
      <x:c r="E2899" s="21" t="n">
        <x:f>IF(ABS('Artifact Ledger'!P931-IF(AND('Artifact Ledger'!L931=1,'Artifact Ledger'!M931=1,'Artifact Ledger'!N931=1,'Artifact Ledger'!O931&gt;='Artifact Ledger'!G931),'Artifact Ledger'!K931,0))&lt;0.000001,1,0)</x:f>
        <x:v>1</x:v>
      </x:c>
      <x:c r="F2899" s="21" t="n">
        <x:v>1</x:v>
      </x:c>
      <x:c r="G2899" s="23" t="str">
        <x:f>IF(E2899=F2899,"PASS","FAIL")</x:f>
        <x:v>PASS</x:v>
      </x:c>
    </x:row>
    <x:row r="2900">
      <x:c r="B2900" s="21" t="str">
        <x:v>A02894</x:v>
      </x:c>
      <x:c r="C2900" s="21" t="str">
        <x:v>artifact</x:v>
      </x:c>
      <x:c r="D2900" s="21" t="str">
        <x:v>artifact 925 planning state</x:v>
      </x:c>
      <x:c r="E2900" s="21" t="n">
        <x:f>IF(AND('Artifact Ledger'!Q931="OPEN",'Artifact Ledger'!R931="HOLD"),1,0)</x:f>
        <x:v>1</x:v>
      </x:c>
      <x:c r="F2900" s="21" t="n">
        <x:v>1</x:v>
      </x:c>
      <x:c r="G2900" s="23" t="str">
        <x:f>IF(E2900=F2900,"PASS","FAIL")</x:f>
        <x:v>PASS</x:v>
      </x:c>
    </x:row>
    <x:row r="2901">
      <x:c r="B2901" s="21" t="str">
        <x:v>A02895</x:v>
      </x:c>
      <x:c r="C2901" s="21" t="str">
        <x:v>artifact</x:v>
      </x:c>
      <x:c r="D2901" s="21" t="str">
        <x:v>artifact 926 eligibility equation</x:v>
      </x:c>
      <x:c r="E2901" s="21" t="n">
        <x:f>IF(ABS('Artifact Ledger'!P932-IF(AND('Artifact Ledger'!L932=1,'Artifact Ledger'!M932=1,'Artifact Ledger'!N932=1,'Artifact Ledger'!O932&gt;='Artifact Ledger'!G932),'Artifact Ledger'!K932,0))&lt;0.000001,1,0)</x:f>
        <x:v>1</x:v>
      </x:c>
      <x:c r="F2901" s="21" t="n">
        <x:v>1</x:v>
      </x:c>
      <x:c r="G2901" s="23" t="str">
        <x:f>IF(E2901=F2901,"PASS","FAIL")</x:f>
        <x:v>PASS</x:v>
      </x:c>
    </x:row>
    <x:row r="2902">
      <x:c r="B2902" s="21" t="str">
        <x:v>A02896</x:v>
      </x:c>
      <x:c r="C2902" s="21" t="str">
        <x:v>artifact</x:v>
      </x:c>
      <x:c r="D2902" s="21" t="str">
        <x:v>artifact 926 planning state</x:v>
      </x:c>
      <x:c r="E2902" s="21" t="n">
        <x:f>IF(AND('Artifact Ledger'!Q932="OPEN",'Artifact Ledger'!R932="HOLD"),1,0)</x:f>
        <x:v>1</x:v>
      </x:c>
      <x:c r="F2902" s="21" t="n">
        <x:v>1</x:v>
      </x:c>
      <x:c r="G2902" s="23" t="str">
        <x:f>IF(E2902=F2902,"PASS","FAIL")</x:f>
        <x:v>PASS</x:v>
      </x:c>
    </x:row>
    <x:row r="2903">
      <x:c r="B2903" s="21" t="str">
        <x:v>A02897</x:v>
      </x:c>
      <x:c r="C2903" s="21" t="str">
        <x:v>artifact</x:v>
      </x:c>
      <x:c r="D2903" s="21" t="str">
        <x:v>artifact 927 eligibility equation</x:v>
      </x:c>
      <x:c r="E2903" s="21" t="n">
        <x:f>IF(ABS('Artifact Ledger'!P933-IF(AND('Artifact Ledger'!L933=1,'Artifact Ledger'!M933=1,'Artifact Ledger'!N933=1,'Artifact Ledger'!O933&gt;='Artifact Ledger'!G933),'Artifact Ledger'!K933,0))&lt;0.000001,1,0)</x:f>
        <x:v>1</x:v>
      </x:c>
      <x:c r="F2903" s="21" t="n">
        <x:v>1</x:v>
      </x:c>
      <x:c r="G2903" s="23" t="str">
        <x:f>IF(E2903=F2903,"PASS","FAIL")</x:f>
        <x:v>PASS</x:v>
      </x:c>
    </x:row>
    <x:row r="2904">
      <x:c r="B2904" s="21" t="str">
        <x:v>A02898</x:v>
      </x:c>
      <x:c r="C2904" s="21" t="str">
        <x:v>artifact</x:v>
      </x:c>
      <x:c r="D2904" s="21" t="str">
        <x:v>artifact 927 planning state</x:v>
      </x:c>
      <x:c r="E2904" s="21" t="n">
        <x:f>IF(AND('Artifact Ledger'!Q933="OPEN",'Artifact Ledger'!R933="HOLD"),1,0)</x:f>
        <x:v>1</x:v>
      </x:c>
      <x:c r="F2904" s="21" t="n">
        <x:v>1</x:v>
      </x:c>
      <x:c r="G2904" s="23" t="str">
        <x:f>IF(E2904=F2904,"PASS","FAIL")</x:f>
        <x:v>PASS</x:v>
      </x:c>
    </x:row>
    <x:row r="2905">
      <x:c r="B2905" s="21" t="str">
        <x:v>A02899</x:v>
      </x:c>
      <x:c r="C2905" s="21" t="str">
        <x:v>artifact</x:v>
      </x:c>
      <x:c r="D2905" s="21" t="str">
        <x:v>artifact 928 eligibility equation</x:v>
      </x:c>
      <x:c r="E2905" s="21" t="n">
        <x:f>IF(ABS('Artifact Ledger'!P934-IF(AND('Artifact Ledger'!L934=1,'Artifact Ledger'!M934=1,'Artifact Ledger'!N934=1,'Artifact Ledger'!O934&gt;='Artifact Ledger'!G934),'Artifact Ledger'!K934,0))&lt;0.000001,1,0)</x:f>
        <x:v>1</x:v>
      </x:c>
      <x:c r="F2905" s="21" t="n">
        <x:v>1</x:v>
      </x:c>
      <x:c r="G2905" s="23" t="str">
        <x:f>IF(E2905=F2905,"PASS","FAIL")</x:f>
        <x:v>PASS</x:v>
      </x:c>
    </x:row>
    <x:row r="2906">
      <x:c r="B2906" s="21" t="str">
        <x:v>A02900</x:v>
      </x:c>
      <x:c r="C2906" s="21" t="str">
        <x:v>artifact</x:v>
      </x:c>
      <x:c r="D2906" s="21" t="str">
        <x:v>artifact 928 planning state</x:v>
      </x:c>
      <x:c r="E2906" s="21" t="n">
        <x:f>IF(AND('Artifact Ledger'!Q934="OPEN",'Artifact Ledger'!R934="HOLD"),1,0)</x:f>
        <x:v>1</x:v>
      </x:c>
      <x:c r="F2906" s="21" t="n">
        <x:v>1</x:v>
      </x:c>
      <x:c r="G2906" s="23" t="str">
        <x:f>IF(E2906=F2906,"PASS","FAIL")</x:f>
        <x:v>PASS</x:v>
      </x:c>
    </x:row>
    <x:row r="2907">
      <x:c r="B2907" s="21" t="str">
        <x:v>A02901</x:v>
      </x:c>
      <x:c r="C2907" s="21" t="str">
        <x:v>artifact</x:v>
      </x:c>
      <x:c r="D2907" s="21" t="str">
        <x:v>artifact 929 eligibility equation</x:v>
      </x:c>
      <x:c r="E2907" s="21" t="n">
        <x:f>IF(ABS('Artifact Ledger'!P935-IF(AND('Artifact Ledger'!L935=1,'Artifact Ledger'!M935=1,'Artifact Ledger'!N935=1,'Artifact Ledger'!O935&gt;='Artifact Ledger'!G935),'Artifact Ledger'!K935,0))&lt;0.000001,1,0)</x:f>
        <x:v>1</x:v>
      </x:c>
      <x:c r="F2907" s="21" t="n">
        <x:v>1</x:v>
      </x:c>
      <x:c r="G2907" s="23" t="str">
        <x:f>IF(E2907=F2907,"PASS","FAIL")</x:f>
        <x:v>PASS</x:v>
      </x:c>
    </x:row>
    <x:row r="2908">
      <x:c r="B2908" s="21" t="str">
        <x:v>A02902</x:v>
      </x:c>
      <x:c r="C2908" s="21" t="str">
        <x:v>artifact</x:v>
      </x:c>
      <x:c r="D2908" s="21" t="str">
        <x:v>artifact 929 planning state</x:v>
      </x:c>
      <x:c r="E2908" s="21" t="n">
        <x:f>IF(AND('Artifact Ledger'!Q935="OPEN",'Artifact Ledger'!R935="HOLD"),1,0)</x:f>
        <x:v>1</x:v>
      </x:c>
      <x:c r="F2908" s="21" t="n">
        <x:v>1</x:v>
      </x:c>
      <x:c r="G2908" s="23" t="str">
        <x:f>IF(E2908=F2908,"PASS","FAIL")</x:f>
        <x:v>PASS</x:v>
      </x:c>
    </x:row>
    <x:row r="2909">
      <x:c r="B2909" s="21" t="str">
        <x:v>A02903</x:v>
      </x:c>
      <x:c r="C2909" s="21" t="str">
        <x:v>artifact</x:v>
      </x:c>
      <x:c r="D2909" s="21" t="str">
        <x:v>artifact 930 eligibility equation</x:v>
      </x:c>
      <x:c r="E2909" s="21" t="n">
        <x:f>IF(ABS('Artifact Ledger'!P936-IF(AND('Artifact Ledger'!L936=1,'Artifact Ledger'!M936=1,'Artifact Ledger'!N936=1,'Artifact Ledger'!O936&gt;='Artifact Ledger'!G936),'Artifact Ledger'!K936,0))&lt;0.000001,1,0)</x:f>
        <x:v>1</x:v>
      </x:c>
      <x:c r="F2909" s="21" t="n">
        <x:v>1</x:v>
      </x:c>
      <x:c r="G2909" s="23" t="str">
        <x:f>IF(E2909=F2909,"PASS","FAIL")</x:f>
        <x:v>PASS</x:v>
      </x:c>
    </x:row>
    <x:row r="2910">
      <x:c r="B2910" s="21" t="str">
        <x:v>A02904</x:v>
      </x:c>
      <x:c r="C2910" s="21" t="str">
        <x:v>artifact</x:v>
      </x:c>
      <x:c r="D2910" s="21" t="str">
        <x:v>artifact 930 planning state</x:v>
      </x:c>
      <x:c r="E2910" s="21" t="n">
        <x:f>IF(AND('Artifact Ledger'!Q936="OPEN",'Artifact Ledger'!R936="HOLD"),1,0)</x:f>
        <x:v>1</x:v>
      </x:c>
      <x:c r="F2910" s="21" t="n">
        <x:v>1</x:v>
      </x:c>
      <x:c r="G2910" s="23" t="str">
        <x:f>IF(E2910=F2910,"PASS","FAIL")</x:f>
        <x:v>PASS</x:v>
      </x:c>
    </x:row>
    <x:row r="2911">
      <x:c r="B2911" s="21" t="str">
        <x:v>A02905</x:v>
      </x:c>
      <x:c r="C2911" s="21" t="str">
        <x:v>artifact</x:v>
      </x:c>
      <x:c r="D2911" s="21" t="str">
        <x:v>artifact 931 eligibility equation</x:v>
      </x:c>
      <x:c r="E2911" s="21" t="n">
        <x:f>IF(ABS('Artifact Ledger'!P937-IF(AND('Artifact Ledger'!L937=1,'Artifact Ledger'!M937=1,'Artifact Ledger'!N937=1,'Artifact Ledger'!O937&gt;='Artifact Ledger'!G937),'Artifact Ledger'!K937,0))&lt;0.000001,1,0)</x:f>
        <x:v>1</x:v>
      </x:c>
      <x:c r="F2911" s="21" t="n">
        <x:v>1</x:v>
      </x:c>
      <x:c r="G2911" s="23" t="str">
        <x:f>IF(E2911=F2911,"PASS","FAIL")</x:f>
        <x:v>PASS</x:v>
      </x:c>
    </x:row>
    <x:row r="2912">
      <x:c r="B2912" s="21" t="str">
        <x:v>A02906</x:v>
      </x:c>
      <x:c r="C2912" s="21" t="str">
        <x:v>artifact</x:v>
      </x:c>
      <x:c r="D2912" s="21" t="str">
        <x:v>artifact 931 planning state</x:v>
      </x:c>
      <x:c r="E2912" s="21" t="n">
        <x:f>IF(AND('Artifact Ledger'!Q937="OPEN",'Artifact Ledger'!R937="HOLD"),1,0)</x:f>
        <x:v>1</x:v>
      </x:c>
      <x:c r="F2912" s="21" t="n">
        <x:v>1</x:v>
      </x:c>
      <x:c r="G2912" s="23" t="str">
        <x:f>IF(E2912=F2912,"PASS","FAIL")</x:f>
        <x:v>PASS</x:v>
      </x:c>
    </x:row>
    <x:row r="2913">
      <x:c r="B2913" s="21" t="str">
        <x:v>A02907</x:v>
      </x:c>
      <x:c r="C2913" s="21" t="str">
        <x:v>artifact</x:v>
      </x:c>
      <x:c r="D2913" s="21" t="str">
        <x:v>artifact 932 eligibility equation</x:v>
      </x:c>
      <x:c r="E2913" s="21" t="n">
        <x:f>IF(ABS('Artifact Ledger'!P938-IF(AND('Artifact Ledger'!L938=1,'Artifact Ledger'!M938=1,'Artifact Ledger'!N938=1,'Artifact Ledger'!O938&gt;='Artifact Ledger'!G938),'Artifact Ledger'!K938,0))&lt;0.000001,1,0)</x:f>
        <x:v>1</x:v>
      </x:c>
      <x:c r="F2913" s="21" t="n">
        <x:v>1</x:v>
      </x:c>
      <x:c r="G2913" s="23" t="str">
        <x:f>IF(E2913=F2913,"PASS","FAIL")</x:f>
        <x:v>PASS</x:v>
      </x:c>
    </x:row>
    <x:row r="2914">
      <x:c r="B2914" s="21" t="str">
        <x:v>A02908</x:v>
      </x:c>
      <x:c r="C2914" s="21" t="str">
        <x:v>artifact</x:v>
      </x:c>
      <x:c r="D2914" s="21" t="str">
        <x:v>artifact 932 planning state</x:v>
      </x:c>
      <x:c r="E2914" s="21" t="n">
        <x:f>IF(AND('Artifact Ledger'!Q938="OPEN",'Artifact Ledger'!R938="HOLD"),1,0)</x:f>
        <x:v>1</x:v>
      </x:c>
      <x:c r="F2914" s="21" t="n">
        <x:v>1</x:v>
      </x:c>
      <x:c r="G2914" s="23" t="str">
        <x:f>IF(E2914=F2914,"PASS","FAIL")</x:f>
        <x:v>PASS</x:v>
      </x:c>
    </x:row>
    <x:row r="2915">
      <x:c r="B2915" s="21" t="str">
        <x:v>A02909</x:v>
      </x:c>
      <x:c r="C2915" s="21" t="str">
        <x:v>artifact</x:v>
      </x:c>
      <x:c r="D2915" s="21" t="str">
        <x:v>artifact 933 eligibility equation</x:v>
      </x:c>
      <x:c r="E2915" s="21" t="n">
        <x:f>IF(ABS('Artifact Ledger'!P939-IF(AND('Artifact Ledger'!L939=1,'Artifact Ledger'!M939=1,'Artifact Ledger'!N939=1,'Artifact Ledger'!O939&gt;='Artifact Ledger'!G939),'Artifact Ledger'!K939,0))&lt;0.000001,1,0)</x:f>
        <x:v>1</x:v>
      </x:c>
      <x:c r="F2915" s="21" t="n">
        <x:v>1</x:v>
      </x:c>
      <x:c r="G2915" s="23" t="str">
        <x:f>IF(E2915=F2915,"PASS","FAIL")</x:f>
        <x:v>PASS</x:v>
      </x:c>
    </x:row>
    <x:row r="2916">
      <x:c r="B2916" s="21" t="str">
        <x:v>A02910</x:v>
      </x:c>
      <x:c r="C2916" s="21" t="str">
        <x:v>artifact</x:v>
      </x:c>
      <x:c r="D2916" s="21" t="str">
        <x:v>artifact 933 planning state</x:v>
      </x:c>
      <x:c r="E2916" s="21" t="n">
        <x:f>IF(AND('Artifact Ledger'!Q939="OPEN",'Artifact Ledger'!R939="HOLD"),1,0)</x:f>
        <x:v>1</x:v>
      </x:c>
      <x:c r="F2916" s="21" t="n">
        <x:v>1</x:v>
      </x:c>
      <x:c r="G2916" s="23" t="str">
        <x:f>IF(E2916=F2916,"PASS","FAIL")</x:f>
        <x:v>PASS</x:v>
      </x:c>
    </x:row>
    <x:row r="2917">
      <x:c r="B2917" s="21" t="str">
        <x:v>A02911</x:v>
      </x:c>
      <x:c r="C2917" s="21" t="str">
        <x:v>artifact</x:v>
      </x:c>
      <x:c r="D2917" s="21" t="str">
        <x:v>artifact 934 eligibility equation</x:v>
      </x:c>
      <x:c r="E2917" s="21" t="n">
        <x:f>IF(ABS('Artifact Ledger'!P940-IF(AND('Artifact Ledger'!L940=1,'Artifact Ledger'!M940=1,'Artifact Ledger'!N940=1,'Artifact Ledger'!O940&gt;='Artifact Ledger'!G940),'Artifact Ledger'!K940,0))&lt;0.000001,1,0)</x:f>
        <x:v>1</x:v>
      </x:c>
      <x:c r="F2917" s="21" t="n">
        <x:v>1</x:v>
      </x:c>
      <x:c r="G2917" s="23" t="str">
        <x:f>IF(E2917=F2917,"PASS","FAIL")</x:f>
        <x:v>PASS</x:v>
      </x:c>
    </x:row>
    <x:row r="2918">
      <x:c r="B2918" s="21" t="str">
        <x:v>A02912</x:v>
      </x:c>
      <x:c r="C2918" s="21" t="str">
        <x:v>artifact</x:v>
      </x:c>
      <x:c r="D2918" s="21" t="str">
        <x:v>artifact 934 planning state</x:v>
      </x:c>
      <x:c r="E2918" s="21" t="n">
        <x:f>IF(AND('Artifact Ledger'!Q940="OPEN",'Artifact Ledger'!R940="HOLD"),1,0)</x:f>
        <x:v>1</x:v>
      </x:c>
      <x:c r="F2918" s="21" t="n">
        <x:v>1</x:v>
      </x:c>
      <x:c r="G2918" s="23" t="str">
        <x:f>IF(E2918=F2918,"PASS","FAIL")</x:f>
        <x:v>PASS</x:v>
      </x:c>
    </x:row>
    <x:row r="2919">
      <x:c r="B2919" s="21" t="str">
        <x:v>A02913</x:v>
      </x:c>
      <x:c r="C2919" s="21" t="str">
        <x:v>artifact</x:v>
      </x:c>
      <x:c r="D2919" s="21" t="str">
        <x:v>artifact 935 eligibility equation</x:v>
      </x:c>
      <x:c r="E2919" s="21" t="n">
        <x:f>IF(ABS('Artifact Ledger'!P941-IF(AND('Artifact Ledger'!L941=1,'Artifact Ledger'!M941=1,'Artifact Ledger'!N941=1,'Artifact Ledger'!O941&gt;='Artifact Ledger'!G941),'Artifact Ledger'!K941,0))&lt;0.000001,1,0)</x:f>
        <x:v>1</x:v>
      </x:c>
      <x:c r="F2919" s="21" t="n">
        <x:v>1</x:v>
      </x:c>
      <x:c r="G2919" s="23" t="str">
        <x:f>IF(E2919=F2919,"PASS","FAIL")</x:f>
        <x:v>PASS</x:v>
      </x:c>
    </x:row>
    <x:row r="2920">
      <x:c r="B2920" s="21" t="str">
        <x:v>A02914</x:v>
      </x:c>
      <x:c r="C2920" s="21" t="str">
        <x:v>artifact</x:v>
      </x:c>
      <x:c r="D2920" s="21" t="str">
        <x:v>artifact 935 planning state</x:v>
      </x:c>
      <x:c r="E2920" s="21" t="n">
        <x:f>IF(AND('Artifact Ledger'!Q941="OPEN",'Artifact Ledger'!R941="HOLD"),1,0)</x:f>
        <x:v>1</x:v>
      </x:c>
      <x:c r="F2920" s="21" t="n">
        <x:v>1</x:v>
      </x:c>
      <x:c r="G2920" s="23" t="str">
        <x:f>IF(E2920=F2920,"PASS","FAIL")</x:f>
        <x:v>PASS</x:v>
      </x:c>
    </x:row>
    <x:row r="2921">
      <x:c r="B2921" s="21" t="str">
        <x:v>A02915</x:v>
      </x:c>
      <x:c r="C2921" s="21" t="str">
        <x:v>artifact</x:v>
      </x:c>
      <x:c r="D2921" s="21" t="str">
        <x:v>artifact 936 eligibility equation</x:v>
      </x:c>
      <x:c r="E2921" s="21" t="n">
        <x:f>IF(ABS('Artifact Ledger'!P942-IF(AND('Artifact Ledger'!L942=1,'Artifact Ledger'!M942=1,'Artifact Ledger'!N942=1,'Artifact Ledger'!O942&gt;='Artifact Ledger'!G942),'Artifact Ledger'!K942,0))&lt;0.000001,1,0)</x:f>
        <x:v>1</x:v>
      </x:c>
      <x:c r="F2921" s="21" t="n">
        <x:v>1</x:v>
      </x:c>
      <x:c r="G2921" s="23" t="str">
        <x:f>IF(E2921=F2921,"PASS","FAIL")</x:f>
        <x:v>PASS</x:v>
      </x:c>
    </x:row>
    <x:row r="2922">
      <x:c r="B2922" s="21" t="str">
        <x:v>A02916</x:v>
      </x:c>
      <x:c r="C2922" s="21" t="str">
        <x:v>artifact</x:v>
      </x:c>
      <x:c r="D2922" s="21" t="str">
        <x:v>artifact 936 planning state</x:v>
      </x:c>
      <x:c r="E2922" s="21" t="n">
        <x:f>IF(AND('Artifact Ledger'!Q942="OPEN",'Artifact Ledger'!R942="HOLD"),1,0)</x:f>
        <x:v>1</x:v>
      </x:c>
      <x:c r="F2922" s="21" t="n">
        <x:v>1</x:v>
      </x:c>
      <x:c r="G2922" s="23" t="str">
        <x:f>IF(E2922=F2922,"PASS","FAIL")</x:f>
        <x:v>PASS</x:v>
      </x:c>
    </x:row>
    <x:row r="2923">
      <x:c r="B2923" s="21" t="str">
        <x:v>A02917</x:v>
      </x:c>
      <x:c r="C2923" s="21" t="str">
        <x:v>artifact</x:v>
      </x:c>
      <x:c r="D2923" s="21" t="str">
        <x:v>artifact 937 eligibility equation</x:v>
      </x:c>
      <x:c r="E2923" s="21" t="n">
        <x:f>IF(ABS('Artifact Ledger'!P943-IF(AND('Artifact Ledger'!L943=1,'Artifact Ledger'!M943=1,'Artifact Ledger'!N943=1,'Artifact Ledger'!O943&gt;='Artifact Ledger'!G943),'Artifact Ledger'!K943,0))&lt;0.000001,1,0)</x:f>
        <x:v>1</x:v>
      </x:c>
      <x:c r="F2923" s="21" t="n">
        <x:v>1</x:v>
      </x:c>
      <x:c r="G2923" s="23" t="str">
        <x:f>IF(E2923=F2923,"PASS","FAIL")</x:f>
        <x:v>PASS</x:v>
      </x:c>
    </x:row>
    <x:row r="2924">
      <x:c r="B2924" s="21" t="str">
        <x:v>A02918</x:v>
      </x:c>
      <x:c r="C2924" s="21" t="str">
        <x:v>artifact</x:v>
      </x:c>
      <x:c r="D2924" s="21" t="str">
        <x:v>artifact 937 planning state</x:v>
      </x:c>
      <x:c r="E2924" s="21" t="n">
        <x:f>IF(AND('Artifact Ledger'!Q943="OPEN",'Artifact Ledger'!R943="HOLD"),1,0)</x:f>
        <x:v>1</x:v>
      </x:c>
      <x:c r="F2924" s="21" t="n">
        <x:v>1</x:v>
      </x:c>
      <x:c r="G2924" s="23" t="str">
        <x:f>IF(E2924=F2924,"PASS","FAIL")</x:f>
        <x:v>PASS</x:v>
      </x:c>
    </x:row>
    <x:row r="2925">
      <x:c r="B2925" s="21" t="str">
        <x:v>A02919</x:v>
      </x:c>
      <x:c r="C2925" s="21" t="str">
        <x:v>artifact</x:v>
      </x:c>
      <x:c r="D2925" s="21" t="str">
        <x:v>artifact 938 eligibility equation</x:v>
      </x:c>
      <x:c r="E2925" s="21" t="n">
        <x:f>IF(ABS('Artifact Ledger'!P944-IF(AND('Artifact Ledger'!L944=1,'Artifact Ledger'!M944=1,'Artifact Ledger'!N944=1,'Artifact Ledger'!O944&gt;='Artifact Ledger'!G944),'Artifact Ledger'!K944,0))&lt;0.000001,1,0)</x:f>
        <x:v>1</x:v>
      </x:c>
      <x:c r="F2925" s="21" t="n">
        <x:v>1</x:v>
      </x:c>
      <x:c r="G2925" s="23" t="str">
        <x:f>IF(E2925=F2925,"PASS","FAIL")</x:f>
        <x:v>PASS</x:v>
      </x:c>
    </x:row>
    <x:row r="2926">
      <x:c r="B2926" s="21" t="str">
        <x:v>A02920</x:v>
      </x:c>
      <x:c r="C2926" s="21" t="str">
        <x:v>artifact</x:v>
      </x:c>
      <x:c r="D2926" s="21" t="str">
        <x:v>artifact 938 planning state</x:v>
      </x:c>
      <x:c r="E2926" s="21" t="n">
        <x:f>IF(AND('Artifact Ledger'!Q944="OPEN",'Artifact Ledger'!R944="HOLD"),1,0)</x:f>
        <x:v>1</x:v>
      </x:c>
      <x:c r="F2926" s="21" t="n">
        <x:v>1</x:v>
      </x:c>
      <x:c r="G2926" s="23" t="str">
        <x:f>IF(E2926=F2926,"PASS","FAIL")</x:f>
        <x:v>PASS</x:v>
      </x:c>
    </x:row>
    <x:row r="2927">
      <x:c r="B2927" s="21" t="str">
        <x:v>A02921</x:v>
      </x:c>
      <x:c r="C2927" s="21" t="str">
        <x:v>artifact</x:v>
      </x:c>
      <x:c r="D2927" s="21" t="str">
        <x:v>artifact 939 eligibility equation</x:v>
      </x:c>
      <x:c r="E2927" s="21" t="n">
        <x:f>IF(ABS('Artifact Ledger'!P945-IF(AND('Artifact Ledger'!L945=1,'Artifact Ledger'!M945=1,'Artifact Ledger'!N945=1,'Artifact Ledger'!O945&gt;='Artifact Ledger'!G945),'Artifact Ledger'!K945,0))&lt;0.000001,1,0)</x:f>
        <x:v>1</x:v>
      </x:c>
      <x:c r="F2927" s="21" t="n">
        <x:v>1</x:v>
      </x:c>
      <x:c r="G2927" s="23" t="str">
        <x:f>IF(E2927=F2927,"PASS","FAIL")</x:f>
        <x:v>PASS</x:v>
      </x:c>
    </x:row>
    <x:row r="2928">
      <x:c r="B2928" s="21" t="str">
        <x:v>A02922</x:v>
      </x:c>
      <x:c r="C2928" s="21" t="str">
        <x:v>artifact</x:v>
      </x:c>
      <x:c r="D2928" s="21" t="str">
        <x:v>artifact 939 planning state</x:v>
      </x:c>
      <x:c r="E2928" s="21" t="n">
        <x:f>IF(AND('Artifact Ledger'!Q945="OPEN",'Artifact Ledger'!R945="HOLD"),1,0)</x:f>
        <x:v>1</x:v>
      </x:c>
      <x:c r="F2928" s="21" t="n">
        <x:v>1</x:v>
      </x:c>
      <x:c r="G2928" s="23" t="str">
        <x:f>IF(E2928=F2928,"PASS","FAIL")</x:f>
        <x:v>PASS</x:v>
      </x:c>
    </x:row>
    <x:row r="2929">
      <x:c r="B2929" s="21" t="str">
        <x:v>A02923</x:v>
      </x:c>
      <x:c r="C2929" s="21" t="str">
        <x:v>artifact</x:v>
      </x:c>
      <x:c r="D2929" s="21" t="str">
        <x:v>artifact 940 eligibility equation</x:v>
      </x:c>
      <x:c r="E2929" s="21" t="n">
        <x:f>IF(ABS('Artifact Ledger'!P946-IF(AND('Artifact Ledger'!L946=1,'Artifact Ledger'!M946=1,'Artifact Ledger'!N946=1,'Artifact Ledger'!O946&gt;='Artifact Ledger'!G946),'Artifact Ledger'!K946,0))&lt;0.000001,1,0)</x:f>
        <x:v>1</x:v>
      </x:c>
      <x:c r="F2929" s="21" t="n">
        <x:v>1</x:v>
      </x:c>
      <x:c r="G2929" s="23" t="str">
        <x:f>IF(E2929=F2929,"PASS","FAIL")</x:f>
        <x:v>PASS</x:v>
      </x:c>
    </x:row>
    <x:row r="2930">
      <x:c r="B2930" s="21" t="str">
        <x:v>A02924</x:v>
      </x:c>
      <x:c r="C2930" s="21" t="str">
        <x:v>artifact</x:v>
      </x:c>
      <x:c r="D2930" s="21" t="str">
        <x:v>artifact 940 planning state</x:v>
      </x:c>
      <x:c r="E2930" s="21" t="n">
        <x:f>IF(AND('Artifact Ledger'!Q946="OPEN",'Artifact Ledger'!R946="HOLD"),1,0)</x:f>
        <x:v>1</x:v>
      </x:c>
      <x:c r="F2930" s="21" t="n">
        <x:v>1</x:v>
      </x:c>
      <x:c r="G2930" s="23" t="str">
        <x:f>IF(E2930=F2930,"PASS","FAIL")</x:f>
        <x:v>PASS</x:v>
      </x:c>
    </x:row>
    <x:row r="2931">
      <x:c r="B2931" s="21" t="str">
        <x:v>A02925</x:v>
      </x:c>
      <x:c r="C2931" s="21" t="str">
        <x:v>artifact</x:v>
      </x:c>
      <x:c r="D2931" s="21" t="str">
        <x:v>artifact 941 eligibility equation</x:v>
      </x:c>
      <x:c r="E2931" s="21" t="n">
        <x:f>IF(ABS('Artifact Ledger'!P947-IF(AND('Artifact Ledger'!L947=1,'Artifact Ledger'!M947=1,'Artifact Ledger'!N947=1,'Artifact Ledger'!O947&gt;='Artifact Ledger'!G947),'Artifact Ledger'!K947,0))&lt;0.000001,1,0)</x:f>
        <x:v>1</x:v>
      </x:c>
      <x:c r="F2931" s="21" t="n">
        <x:v>1</x:v>
      </x:c>
      <x:c r="G2931" s="23" t="str">
        <x:f>IF(E2931=F2931,"PASS","FAIL")</x:f>
        <x:v>PASS</x:v>
      </x:c>
    </x:row>
    <x:row r="2932">
      <x:c r="B2932" s="21" t="str">
        <x:v>A02926</x:v>
      </x:c>
      <x:c r="C2932" s="21" t="str">
        <x:v>artifact</x:v>
      </x:c>
      <x:c r="D2932" s="21" t="str">
        <x:v>artifact 941 planning state</x:v>
      </x:c>
      <x:c r="E2932" s="21" t="n">
        <x:f>IF(AND('Artifact Ledger'!Q947="OPEN",'Artifact Ledger'!R947="HOLD"),1,0)</x:f>
        <x:v>1</x:v>
      </x:c>
      <x:c r="F2932" s="21" t="n">
        <x:v>1</x:v>
      </x:c>
      <x:c r="G2932" s="23" t="str">
        <x:f>IF(E2932=F2932,"PASS","FAIL")</x:f>
        <x:v>PASS</x:v>
      </x:c>
    </x:row>
    <x:row r="2933">
      <x:c r="B2933" s="21" t="str">
        <x:v>A02927</x:v>
      </x:c>
      <x:c r="C2933" s="21" t="str">
        <x:v>artifact</x:v>
      </x:c>
      <x:c r="D2933" s="21" t="str">
        <x:v>artifact 942 eligibility equation</x:v>
      </x:c>
      <x:c r="E2933" s="21" t="n">
        <x:f>IF(ABS('Artifact Ledger'!P948-IF(AND('Artifact Ledger'!L948=1,'Artifact Ledger'!M948=1,'Artifact Ledger'!N948=1,'Artifact Ledger'!O948&gt;='Artifact Ledger'!G948),'Artifact Ledger'!K948,0))&lt;0.000001,1,0)</x:f>
        <x:v>1</x:v>
      </x:c>
      <x:c r="F2933" s="21" t="n">
        <x:v>1</x:v>
      </x:c>
      <x:c r="G2933" s="23" t="str">
        <x:f>IF(E2933=F2933,"PASS","FAIL")</x:f>
        <x:v>PASS</x:v>
      </x:c>
    </x:row>
    <x:row r="2934">
      <x:c r="B2934" s="21" t="str">
        <x:v>A02928</x:v>
      </x:c>
      <x:c r="C2934" s="21" t="str">
        <x:v>artifact</x:v>
      </x:c>
      <x:c r="D2934" s="21" t="str">
        <x:v>artifact 942 planning state</x:v>
      </x:c>
      <x:c r="E2934" s="21" t="n">
        <x:f>IF(AND('Artifact Ledger'!Q948="OPEN",'Artifact Ledger'!R948="HOLD"),1,0)</x:f>
        <x:v>1</x:v>
      </x:c>
      <x:c r="F2934" s="21" t="n">
        <x:v>1</x:v>
      </x:c>
      <x:c r="G2934" s="23" t="str">
        <x:f>IF(E2934=F2934,"PASS","FAIL")</x:f>
        <x:v>PASS</x:v>
      </x:c>
    </x:row>
    <x:row r="2935">
      <x:c r="B2935" s="21" t="str">
        <x:v>A02929</x:v>
      </x:c>
      <x:c r="C2935" s="21" t="str">
        <x:v>artifact</x:v>
      </x:c>
      <x:c r="D2935" s="21" t="str">
        <x:v>artifact 943 eligibility equation</x:v>
      </x:c>
      <x:c r="E2935" s="21" t="n">
        <x:f>IF(ABS('Artifact Ledger'!P949-IF(AND('Artifact Ledger'!L949=1,'Artifact Ledger'!M949=1,'Artifact Ledger'!N949=1,'Artifact Ledger'!O949&gt;='Artifact Ledger'!G949),'Artifact Ledger'!K949,0))&lt;0.000001,1,0)</x:f>
        <x:v>1</x:v>
      </x:c>
      <x:c r="F2935" s="21" t="n">
        <x:v>1</x:v>
      </x:c>
      <x:c r="G2935" s="23" t="str">
        <x:f>IF(E2935=F2935,"PASS","FAIL")</x:f>
        <x:v>PASS</x:v>
      </x:c>
    </x:row>
    <x:row r="2936">
      <x:c r="B2936" s="21" t="str">
        <x:v>A02930</x:v>
      </x:c>
      <x:c r="C2936" s="21" t="str">
        <x:v>artifact</x:v>
      </x:c>
      <x:c r="D2936" s="21" t="str">
        <x:v>artifact 943 planning state</x:v>
      </x:c>
      <x:c r="E2936" s="21" t="n">
        <x:f>IF(AND('Artifact Ledger'!Q949="OPEN",'Artifact Ledger'!R949="HOLD"),1,0)</x:f>
        <x:v>1</x:v>
      </x:c>
      <x:c r="F2936" s="21" t="n">
        <x:v>1</x:v>
      </x:c>
      <x:c r="G2936" s="23" t="str">
        <x:f>IF(E2936=F2936,"PASS","FAIL")</x:f>
        <x:v>PASS</x:v>
      </x:c>
    </x:row>
    <x:row r="2937">
      <x:c r="B2937" s="21" t="str">
        <x:v>A02931</x:v>
      </x:c>
      <x:c r="C2937" s="21" t="str">
        <x:v>artifact</x:v>
      </x:c>
      <x:c r="D2937" s="21" t="str">
        <x:v>artifact 944 eligibility equation</x:v>
      </x:c>
      <x:c r="E2937" s="21" t="n">
        <x:f>IF(ABS('Artifact Ledger'!P950-IF(AND('Artifact Ledger'!L950=1,'Artifact Ledger'!M950=1,'Artifact Ledger'!N950=1,'Artifact Ledger'!O950&gt;='Artifact Ledger'!G950),'Artifact Ledger'!K950,0))&lt;0.000001,1,0)</x:f>
        <x:v>1</x:v>
      </x:c>
      <x:c r="F2937" s="21" t="n">
        <x:v>1</x:v>
      </x:c>
      <x:c r="G2937" s="23" t="str">
        <x:f>IF(E2937=F2937,"PASS","FAIL")</x:f>
        <x:v>PASS</x:v>
      </x:c>
    </x:row>
    <x:row r="2938">
      <x:c r="B2938" s="21" t="str">
        <x:v>A02932</x:v>
      </x:c>
      <x:c r="C2938" s="21" t="str">
        <x:v>artifact</x:v>
      </x:c>
      <x:c r="D2938" s="21" t="str">
        <x:v>artifact 944 planning state</x:v>
      </x:c>
      <x:c r="E2938" s="21" t="n">
        <x:f>IF(AND('Artifact Ledger'!Q950="OPEN",'Artifact Ledger'!R950="HOLD"),1,0)</x:f>
        <x:v>1</x:v>
      </x:c>
      <x:c r="F2938" s="21" t="n">
        <x:v>1</x:v>
      </x:c>
      <x:c r="G2938" s="23" t="str">
        <x:f>IF(E2938=F2938,"PASS","FAIL")</x:f>
        <x:v>PASS</x:v>
      </x:c>
    </x:row>
    <x:row r="2939">
      <x:c r="B2939" s="21" t="str">
        <x:v>A02933</x:v>
      </x:c>
      <x:c r="C2939" s="21" t="str">
        <x:v>artifact</x:v>
      </x:c>
      <x:c r="D2939" s="21" t="str">
        <x:v>artifact 945 eligibility equation</x:v>
      </x:c>
      <x:c r="E2939" s="21" t="n">
        <x:f>IF(ABS('Artifact Ledger'!P951-IF(AND('Artifact Ledger'!L951=1,'Artifact Ledger'!M951=1,'Artifact Ledger'!N951=1,'Artifact Ledger'!O951&gt;='Artifact Ledger'!G951),'Artifact Ledger'!K951,0))&lt;0.000001,1,0)</x:f>
        <x:v>1</x:v>
      </x:c>
      <x:c r="F2939" s="21" t="n">
        <x:v>1</x:v>
      </x:c>
      <x:c r="G2939" s="23" t="str">
        <x:f>IF(E2939=F2939,"PASS","FAIL")</x:f>
        <x:v>PASS</x:v>
      </x:c>
    </x:row>
    <x:row r="2940">
      <x:c r="B2940" s="21" t="str">
        <x:v>A02934</x:v>
      </x:c>
      <x:c r="C2940" s="21" t="str">
        <x:v>artifact</x:v>
      </x:c>
      <x:c r="D2940" s="21" t="str">
        <x:v>artifact 945 planning state</x:v>
      </x:c>
      <x:c r="E2940" s="21" t="n">
        <x:f>IF(AND('Artifact Ledger'!Q951="OPEN",'Artifact Ledger'!R951="HOLD"),1,0)</x:f>
        <x:v>1</x:v>
      </x:c>
      <x:c r="F2940" s="21" t="n">
        <x:v>1</x:v>
      </x:c>
      <x:c r="G2940" s="23" t="str">
        <x:f>IF(E2940=F2940,"PASS","FAIL")</x:f>
        <x:v>PASS</x:v>
      </x:c>
    </x:row>
    <x:row r="2941">
      <x:c r="B2941" s="21" t="str">
        <x:v>A02935</x:v>
      </x:c>
      <x:c r="C2941" s="21" t="str">
        <x:v>artifact</x:v>
      </x:c>
      <x:c r="D2941" s="21" t="str">
        <x:v>artifact 946 eligibility equation</x:v>
      </x:c>
      <x:c r="E2941" s="21" t="n">
        <x:f>IF(ABS('Artifact Ledger'!P952-IF(AND('Artifact Ledger'!L952=1,'Artifact Ledger'!M952=1,'Artifact Ledger'!N952=1,'Artifact Ledger'!O952&gt;='Artifact Ledger'!G952),'Artifact Ledger'!K952,0))&lt;0.000001,1,0)</x:f>
        <x:v>1</x:v>
      </x:c>
      <x:c r="F2941" s="21" t="n">
        <x:v>1</x:v>
      </x:c>
      <x:c r="G2941" s="23" t="str">
        <x:f>IF(E2941=F2941,"PASS","FAIL")</x:f>
        <x:v>PASS</x:v>
      </x:c>
    </x:row>
    <x:row r="2942">
      <x:c r="B2942" s="21" t="str">
        <x:v>A02936</x:v>
      </x:c>
      <x:c r="C2942" s="21" t="str">
        <x:v>artifact</x:v>
      </x:c>
      <x:c r="D2942" s="21" t="str">
        <x:v>artifact 946 planning state</x:v>
      </x:c>
      <x:c r="E2942" s="21" t="n">
        <x:f>IF(AND('Artifact Ledger'!Q952="OPEN",'Artifact Ledger'!R952="HOLD"),1,0)</x:f>
        <x:v>1</x:v>
      </x:c>
      <x:c r="F2942" s="21" t="n">
        <x:v>1</x:v>
      </x:c>
      <x:c r="G2942" s="23" t="str">
        <x:f>IF(E2942=F2942,"PASS","FAIL")</x:f>
        <x:v>PASS</x:v>
      </x:c>
    </x:row>
    <x:row r="2943">
      <x:c r="B2943" s="21" t="str">
        <x:v>A02937</x:v>
      </x:c>
      <x:c r="C2943" s="21" t="str">
        <x:v>artifact</x:v>
      </x:c>
      <x:c r="D2943" s="21" t="str">
        <x:v>artifact 947 eligibility equation</x:v>
      </x:c>
      <x:c r="E2943" s="21" t="n">
        <x:f>IF(ABS('Artifact Ledger'!P953-IF(AND('Artifact Ledger'!L953=1,'Artifact Ledger'!M953=1,'Artifact Ledger'!N953=1,'Artifact Ledger'!O953&gt;='Artifact Ledger'!G953),'Artifact Ledger'!K953,0))&lt;0.000001,1,0)</x:f>
        <x:v>1</x:v>
      </x:c>
      <x:c r="F2943" s="21" t="n">
        <x:v>1</x:v>
      </x:c>
      <x:c r="G2943" s="23" t="str">
        <x:f>IF(E2943=F2943,"PASS","FAIL")</x:f>
        <x:v>PASS</x:v>
      </x:c>
    </x:row>
    <x:row r="2944">
      <x:c r="B2944" s="21" t="str">
        <x:v>A02938</x:v>
      </x:c>
      <x:c r="C2944" s="21" t="str">
        <x:v>artifact</x:v>
      </x:c>
      <x:c r="D2944" s="21" t="str">
        <x:v>artifact 947 planning state</x:v>
      </x:c>
      <x:c r="E2944" s="21" t="n">
        <x:f>IF(AND('Artifact Ledger'!Q953="OPEN",'Artifact Ledger'!R953="HOLD"),1,0)</x:f>
        <x:v>1</x:v>
      </x:c>
      <x:c r="F2944" s="21" t="n">
        <x:v>1</x:v>
      </x:c>
      <x:c r="G2944" s="23" t="str">
        <x:f>IF(E2944=F2944,"PASS","FAIL")</x:f>
        <x:v>PASS</x:v>
      </x:c>
    </x:row>
    <x:row r="2945">
      <x:c r="B2945" s="21" t="str">
        <x:v>A02939</x:v>
      </x:c>
      <x:c r="C2945" s="21" t="str">
        <x:v>artifact</x:v>
      </x:c>
      <x:c r="D2945" s="21" t="str">
        <x:v>artifact 948 eligibility equation</x:v>
      </x:c>
      <x:c r="E2945" s="21" t="n">
        <x:f>IF(ABS('Artifact Ledger'!P954-IF(AND('Artifact Ledger'!L954=1,'Artifact Ledger'!M954=1,'Artifact Ledger'!N954=1,'Artifact Ledger'!O954&gt;='Artifact Ledger'!G954),'Artifact Ledger'!K954,0))&lt;0.000001,1,0)</x:f>
        <x:v>1</x:v>
      </x:c>
      <x:c r="F2945" s="21" t="n">
        <x:v>1</x:v>
      </x:c>
      <x:c r="G2945" s="23" t="str">
        <x:f>IF(E2945=F2945,"PASS","FAIL")</x:f>
        <x:v>PASS</x:v>
      </x:c>
    </x:row>
    <x:row r="2946">
      <x:c r="B2946" s="21" t="str">
        <x:v>A02940</x:v>
      </x:c>
      <x:c r="C2946" s="21" t="str">
        <x:v>artifact</x:v>
      </x:c>
      <x:c r="D2946" s="21" t="str">
        <x:v>artifact 948 planning state</x:v>
      </x:c>
      <x:c r="E2946" s="21" t="n">
        <x:f>IF(AND('Artifact Ledger'!Q954="OPEN",'Artifact Ledger'!R954="HOLD"),1,0)</x:f>
        <x:v>1</x:v>
      </x:c>
      <x:c r="F2946" s="21" t="n">
        <x:v>1</x:v>
      </x:c>
      <x:c r="G2946" s="23" t="str">
        <x:f>IF(E2946=F2946,"PASS","FAIL")</x:f>
        <x:v>PASS</x:v>
      </x:c>
    </x:row>
    <x:row r="2947">
      <x:c r="B2947" s="21" t="str">
        <x:v>A02941</x:v>
      </x:c>
      <x:c r="C2947" s="21" t="str">
        <x:v>artifact</x:v>
      </x:c>
      <x:c r="D2947" s="21" t="str">
        <x:v>artifact 949 eligibility equation</x:v>
      </x:c>
      <x:c r="E2947" s="21" t="n">
        <x:f>IF(ABS('Artifact Ledger'!P955-IF(AND('Artifact Ledger'!L955=1,'Artifact Ledger'!M955=1,'Artifact Ledger'!N955=1,'Artifact Ledger'!O955&gt;='Artifact Ledger'!G955),'Artifact Ledger'!K955,0))&lt;0.000001,1,0)</x:f>
        <x:v>1</x:v>
      </x:c>
      <x:c r="F2947" s="21" t="n">
        <x:v>1</x:v>
      </x:c>
      <x:c r="G2947" s="23" t="str">
        <x:f>IF(E2947=F2947,"PASS","FAIL")</x:f>
        <x:v>PASS</x:v>
      </x:c>
    </x:row>
    <x:row r="2948">
      <x:c r="B2948" s="21" t="str">
        <x:v>A02942</x:v>
      </x:c>
      <x:c r="C2948" s="21" t="str">
        <x:v>artifact</x:v>
      </x:c>
      <x:c r="D2948" s="21" t="str">
        <x:v>artifact 949 planning state</x:v>
      </x:c>
      <x:c r="E2948" s="21" t="n">
        <x:f>IF(AND('Artifact Ledger'!Q955="OPEN",'Artifact Ledger'!R955="HOLD"),1,0)</x:f>
        <x:v>1</x:v>
      </x:c>
      <x:c r="F2948" s="21" t="n">
        <x:v>1</x:v>
      </x:c>
      <x:c r="G2948" s="23" t="str">
        <x:f>IF(E2948=F2948,"PASS","FAIL")</x:f>
        <x:v>PASS</x:v>
      </x:c>
    </x:row>
    <x:row r="2949">
      <x:c r="B2949" s="21" t="str">
        <x:v>A02943</x:v>
      </x:c>
      <x:c r="C2949" s="21" t="str">
        <x:v>artifact</x:v>
      </x:c>
      <x:c r="D2949" s="21" t="str">
        <x:v>artifact 950 eligibility equation</x:v>
      </x:c>
      <x:c r="E2949" s="21" t="n">
        <x:f>IF(ABS('Artifact Ledger'!P956-IF(AND('Artifact Ledger'!L956=1,'Artifact Ledger'!M956=1,'Artifact Ledger'!N956=1,'Artifact Ledger'!O956&gt;='Artifact Ledger'!G956),'Artifact Ledger'!K956,0))&lt;0.000001,1,0)</x:f>
        <x:v>1</x:v>
      </x:c>
      <x:c r="F2949" s="21" t="n">
        <x:v>1</x:v>
      </x:c>
      <x:c r="G2949" s="23" t="str">
        <x:f>IF(E2949=F2949,"PASS","FAIL")</x:f>
        <x:v>PASS</x:v>
      </x:c>
    </x:row>
    <x:row r="2950">
      <x:c r="B2950" s="21" t="str">
        <x:v>A02944</x:v>
      </x:c>
      <x:c r="C2950" s="21" t="str">
        <x:v>artifact</x:v>
      </x:c>
      <x:c r="D2950" s="21" t="str">
        <x:v>artifact 950 planning state</x:v>
      </x:c>
      <x:c r="E2950" s="21" t="n">
        <x:f>IF(AND('Artifact Ledger'!Q956="OPEN",'Artifact Ledger'!R956="HOLD"),1,0)</x:f>
        <x:v>1</x:v>
      </x:c>
      <x:c r="F2950" s="21" t="n">
        <x:v>1</x:v>
      </x:c>
      <x:c r="G2950" s="23" t="str">
        <x:f>IF(E2950=F2950,"PASS","FAIL")</x:f>
        <x:v>PASS</x:v>
      </x:c>
    </x:row>
    <x:row r="2951">
      <x:c r="B2951" s="21" t="str">
        <x:v>A02945</x:v>
      </x:c>
      <x:c r="C2951" s="21" t="str">
        <x:v>artifact</x:v>
      </x:c>
      <x:c r="D2951" s="21" t="str">
        <x:v>artifact 951 eligibility equation</x:v>
      </x:c>
      <x:c r="E2951" s="21" t="n">
        <x:f>IF(ABS('Artifact Ledger'!P957-IF(AND('Artifact Ledger'!L957=1,'Artifact Ledger'!M957=1,'Artifact Ledger'!N957=1,'Artifact Ledger'!O957&gt;='Artifact Ledger'!G957),'Artifact Ledger'!K957,0))&lt;0.000001,1,0)</x:f>
        <x:v>1</x:v>
      </x:c>
      <x:c r="F2951" s="21" t="n">
        <x:v>1</x:v>
      </x:c>
      <x:c r="G2951" s="23" t="str">
        <x:f>IF(E2951=F2951,"PASS","FAIL")</x:f>
        <x:v>PASS</x:v>
      </x:c>
    </x:row>
    <x:row r="2952">
      <x:c r="B2952" s="21" t="str">
        <x:v>A02946</x:v>
      </x:c>
      <x:c r="C2952" s="21" t="str">
        <x:v>artifact</x:v>
      </x:c>
      <x:c r="D2952" s="21" t="str">
        <x:v>artifact 951 planning state</x:v>
      </x:c>
      <x:c r="E2952" s="21" t="n">
        <x:f>IF(AND('Artifact Ledger'!Q957="OPEN",'Artifact Ledger'!R957="HOLD"),1,0)</x:f>
        <x:v>1</x:v>
      </x:c>
      <x:c r="F2952" s="21" t="n">
        <x:v>1</x:v>
      </x:c>
      <x:c r="G2952" s="23" t="str">
        <x:f>IF(E2952=F2952,"PASS","FAIL")</x:f>
        <x:v>PASS</x:v>
      </x:c>
    </x:row>
    <x:row r="2953">
      <x:c r="B2953" s="21" t="str">
        <x:v>A02947</x:v>
      </x:c>
      <x:c r="C2953" s="21" t="str">
        <x:v>artifact</x:v>
      </x:c>
      <x:c r="D2953" s="21" t="str">
        <x:v>artifact 952 eligibility equation</x:v>
      </x:c>
      <x:c r="E2953" s="21" t="n">
        <x:f>IF(ABS('Artifact Ledger'!P958-IF(AND('Artifact Ledger'!L958=1,'Artifact Ledger'!M958=1,'Artifact Ledger'!N958=1,'Artifact Ledger'!O958&gt;='Artifact Ledger'!G958),'Artifact Ledger'!K958,0))&lt;0.000001,1,0)</x:f>
        <x:v>1</x:v>
      </x:c>
      <x:c r="F2953" s="21" t="n">
        <x:v>1</x:v>
      </x:c>
      <x:c r="G2953" s="23" t="str">
        <x:f>IF(E2953=F2953,"PASS","FAIL")</x:f>
        <x:v>PASS</x:v>
      </x:c>
    </x:row>
    <x:row r="2954">
      <x:c r="B2954" s="21" t="str">
        <x:v>A02948</x:v>
      </x:c>
      <x:c r="C2954" s="21" t="str">
        <x:v>artifact</x:v>
      </x:c>
      <x:c r="D2954" s="21" t="str">
        <x:v>artifact 952 planning state</x:v>
      </x:c>
      <x:c r="E2954" s="21" t="n">
        <x:f>IF(AND('Artifact Ledger'!Q958="OPEN",'Artifact Ledger'!R958="HOLD"),1,0)</x:f>
        <x:v>1</x:v>
      </x:c>
      <x:c r="F2954" s="21" t="n">
        <x:v>1</x:v>
      </x:c>
      <x:c r="G2954" s="23" t="str">
        <x:f>IF(E2954=F2954,"PASS","FAIL")</x:f>
        <x:v>PASS</x:v>
      </x:c>
    </x:row>
    <x:row r="2955">
      <x:c r="B2955" s="21" t="str">
        <x:v>A02949</x:v>
      </x:c>
      <x:c r="C2955" s="21" t="str">
        <x:v>artifact</x:v>
      </x:c>
      <x:c r="D2955" s="21" t="str">
        <x:v>artifact 953 eligibility equation</x:v>
      </x:c>
      <x:c r="E2955" s="21" t="n">
        <x:f>IF(ABS('Artifact Ledger'!P959-IF(AND('Artifact Ledger'!L959=1,'Artifact Ledger'!M959=1,'Artifact Ledger'!N959=1,'Artifact Ledger'!O959&gt;='Artifact Ledger'!G959),'Artifact Ledger'!K959,0))&lt;0.000001,1,0)</x:f>
        <x:v>1</x:v>
      </x:c>
      <x:c r="F2955" s="21" t="n">
        <x:v>1</x:v>
      </x:c>
      <x:c r="G2955" s="23" t="str">
        <x:f>IF(E2955=F2955,"PASS","FAIL")</x:f>
        <x:v>PASS</x:v>
      </x:c>
    </x:row>
    <x:row r="2956">
      <x:c r="B2956" s="21" t="str">
        <x:v>A02950</x:v>
      </x:c>
      <x:c r="C2956" s="21" t="str">
        <x:v>artifact</x:v>
      </x:c>
      <x:c r="D2956" s="21" t="str">
        <x:v>artifact 953 planning state</x:v>
      </x:c>
      <x:c r="E2956" s="21" t="n">
        <x:f>IF(AND('Artifact Ledger'!Q959="OPEN",'Artifact Ledger'!R959="HOLD"),1,0)</x:f>
        <x:v>1</x:v>
      </x:c>
      <x:c r="F2956" s="21" t="n">
        <x:v>1</x:v>
      </x:c>
      <x:c r="G2956" s="23" t="str">
        <x:f>IF(E2956=F2956,"PASS","FAIL")</x:f>
        <x:v>PASS</x:v>
      </x:c>
    </x:row>
    <x:row r="2957">
      <x:c r="B2957" s="21" t="str">
        <x:v>A02951</x:v>
      </x:c>
      <x:c r="C2957" s="21" t="str">
        <x:v>artifact</x:v>
      </x:c>
      <x:c r="D2957" s="21" t="str">
        <x:v>artifact 954 eligibility equation</x:v>
      </x:c>
      <x:c r="E2957" s="21" t="n">
        <x:f>IF(ABS('Artifact Ledger'!P960-IF(AND('Artifact Ledger'!L960=1,'Artifact Ledger'!M960=1,'Artifact Ledger'!N960=1,'Artifact Ledger'!O960&gt;='Artifact Ledger'!G960),'Artifact Ledger'!K960,0))&lt;0.000001,1,0)</x:f>
        <x:v>1</x:v>
      </x:c>
      <x:c r="F2957" s="21" t="n">
        <x:v>1</x:v>
      </x:c>
      <x:c r="G2957" s="23" t="str">
        <x:f>IF(E2957=F2957,"PASS","FAIL")</x:f>
        <x:v>PASS</x:v>
      </x:c>
    </x:row>
    <x:row r="2958">
      <x:c r="B2958" s="21" t="str">
        <x:v>A02952</x:v>
      </x:c>
      <x:c r="C2958" s="21" t="str">
        <x:v>artifact</x:v>
      </x:c>
      <x:c r="D2958" s="21" t="str">
        <x:v>artifact 954 planning state</x:v>
      </x:c>
      <x:c r="E2958" s="21" t="n">
        <x:f>IF(AND('Artifact Ledger'!Q960="OPEN",'Artifact Ledger'!R960="HOLD"),1,0)</x:f>
        <x:v>1</x:v>
      </x:c>
      <x:c r="F2958" s="21" t="n">
        <x:v>1</x:v>
      </x:c>
      <x:c r="G2958" s="23" t="str">
        <x:f>IF(E2958=F2958,"PASS","FAIL")</x:f>
        <x:v>PASS</x:v>
      </x:c>
    </x:row>
    <x:row r="2959">
      <x:c r="B2959" s="21" t="str">
        <x:v>A02953</x:v>
      </x:c>
      <x:c r="C2959" s="21" t="str">
        <x:v>artifact</x:v>
      </x:c>
      <x:c r="D2959" s="21" t="str">
        <x:v>artifact 955 eligibility equation</x:v>
      </x:c>
      <x:c r="E2959" s="21" t="n">
        <x:f>IF(ABS('Artifact Ledger'!P961-IF(AND('Artifact Ledger'!L961=1,'Artifact Ledger'!M961=1,'Artifact Ledger'!N961=1,'Artifact Ledger'!O961&gt;='Artifact Ledger'!G961),'Artifact Ledger'!K961,0))&lt;0.000001,1,0)</x:f>
        <x:v>1</x:v>
      </x:c>
      <x:c r="F2959" s="21" t="n">
        <x:v>1</x:v>
      </x:c>
      <x:c r="G2959" s="23" t="str">
        <x:f>IF(E2959=F2959,"PASS","FAIL")</x:f>
        <x:v>PASS</x:v>
      </x:c>
    </x:row>
    <x:row r="2960">
      <x:c r="B2960" s="21" t="str">
        <x:v>A02954</x:v>
      </x:c>
      <x:c r="C2960" s="21" t="str">
        <x:v>artifact</x:v>
      </x:c>
      <x:c r="D2960" s="21" t="str">
        <x:v>artifact 955 planning state</x:v>
      </x:c>
      <x:c r="E2960" s="21" t="n">
        <x:f>IF(AND('Artifact Ledger'!Q961="OPEN",'Artifact Ledger'!R961="HOLD"),1,0)</x:f>
        <x:v>1</x:v>
      </x:c>
      <x:c r="F2960" s="21" t="n">
        <x:v>1</x:v>
      </x:c>
      <x:c r="G2960" s="23" t="str">
        <x:f>IF(E2960=F2960,"PASS","FAIL")</x:f>
        <x:v>PASS</x:v>
      </x:c>
    </x:row>
    <x:row r="2961">
      <x:c r="B2961" s="21" t="str">
        <x:v>A02955</x:v>
      </x:c>
      <x:c r="C2961" s="21" t="str">
        <x:v>artifact</x:v>
      </x:c>
      <x:c r="D2961" s="21" t="str">
        <x:v>artifact 956 eligibility equation</x:v>
      </x:c>
      <x:c r="E2961" s="21" t="n">
        <x:f>IF(ABS('Artifact Ledger'!P962-IF(AND('Artifact Ledger'!L962=1,'Artifact Ledger'!M962=1,'Artifact Ledger'!N962=1,'Artifact Ledger'!O962&gt;='Artifact Ledger'!G962),'Artifact Ledger'!K962,0))&lt;0.000001,1,0)</x:f>
        <x:v>1</x:v>
      </x:c>
      <x:c r="F2961" s="21" t="n">
        <x:v>1</x:v>
      </x:c>
      <x:c r="G2961" s="23" t="str">
        <x:f>IF(E2961=F2961,"PASS","FAIL")</x:f>
        <x:v>PASS</x:v>
      </x:c>
    </x:row>
    <x:row r="2962">
      <x:c r="B2962" s="21" t="str">
        <x:v>A02956</x:v>
      </x:c>
      <x:c r="C2962" s="21" t="str">
        <x:v>artifact</x:v>
      </x:c>
      <x:c r="D2962" s="21" t="str">
        <x:v>artifact 956 planning state</x:v>
      </x:c>
      <x:c r="E2962" s="21" t="n">
        <x:f>IF(AND('Artifact Ledger'!Q962="OPEN",'Artifact Ledger'!R962="HOLD"),1,0)</x:f>
        <x:v>1</x:v>
      </x:c>
      <x:c r="F2962" s="21" t="n">
        <x:v>1</x:v>
      </x:c>
      <x:c r="G2962" s="23" t="str">
        <x:f>IF(E2962=F2962,"PASS","FAIL")</x:f>
        <x:v>PASS</x:v>
      </x:c>
    </x:row>
    <x:row r="2963">
      <x:c r="B2963" s="21" t="str">
        <x:v>A02957</x:v>
      </x:c>
      <x:c r="C2963" s="21" t="str">
        <x:v>artifact</x:v>
      </x:c>
      <x:c r="D2963" s="21" t="str">
        <x:v>artifact 957 eligibility equation</x:v>
      </x:c>
      <x:c r="E2963" s="21" t="n">
        <x:f>IF(ABS('Artifact Ledger'!P963-IF(AND('Artifact Ledger'!L963=1,'Artifact Ledger'!M963=1,'Artifact Ledger'!N963=1,'Artifact Ledger'!O963&gt;='Artifact Ledger'!G963),'Artifact Ledger'!K963,0))&lt;0.000001,1,0)</x:f>
        <x:v>1</x:v>
      </x:c>
      <x:c r="F2963" s="21" t="n">
        <x:v>1</x:v>
      </x:c>
      <x:c r="G2963" s="23" t="str">
        <x:f>IF(E2963=F2963,"PASS","FAIL")</x:f>
        <x:v>PASS</x:v>
      </x:c>
    </x:row>
    <x:row r="2964">
      <x:c r="B2964" s="21" t="str">
        <x:v>A02958</x:v>
      </x:c>
      <x:c r="C2964" s="21" t="str">
        <x:v>artifact</x:v>
      </x:c>
      <x:c r="D2964" s="21" t="str">
        <x:v>artifact 957 planning state</x:v>
      </x:c>
      <x:c r="E2964" s="21" t="n">
        <x:f>IF(AND('Artifact Ledger'!Q963="OPEN",'Artifact Ledger'!R963="HOLD"),1,0)</x:f>
        <x:v>1</x:v>
      </x:c>
      <x:c r="F2964" s="21" t="n">
        <x:v>1</x:v>
      </x:c>
      <x:c r="G2964" s="23" t="str">
        <x:f>IF(E2964=F2964,"PASS","FAIL")</x:f>
        <x:v>PASS</x:v>
      </x:c>
    </x:row>
    <x:row r="2965">
      <x:c r="B2965" s="21" t="str">
        <x:v>A02959</x:v>
      </x:c>
      <x:c r="C2965" s="21" t="str">
        <x:v>artifact</x:v>
      </x:c>
      <x:c r="D2965" s="21" t="str">
        <x:v>artifact 958 eligibility equation</x:v>
      </x:c>
      <x:c r="E2965" s="21" t="n">
        <x:f>IF(ABS('Artifact Ledger'!P964-IF(AND('Artifact Ledger'!L964=1,'Artifact Ledger'!M964=1,'Artifact Ledger'!N964=1,'Artifact Ledger'!O964&gt;='Artifact Ledger'!G964),'Artifact Ledger'!K964,0))&lt;0.000001,1,0)</x:f>
        <x:v>1</x:v>
      </x:c>
      <x:c r="F2965" s="21" t="n">
        <x:v>1</x:v>
      </x:c>
      <x:c r="G2965" s="23" t="str">
        <x:f>IF(E2965=F2965,"PASS","FAIL")</x:f>
        <x:v>PASS</x:v>
      </x:c>
    </x:row>
    <x:row r="2966">
      <x:c r="B2966" s="21" t="str">
        <x:v>A02960</x:v>
      </x:c>
      <x:c r="C2966" s="21" t="str">
        <x:v>artifact</x:v>
      </x:c>
      <x:c r="D2966" s="21" t="str">
        <x:v>artifact 958 planning state</x:v>
      </x:c>
      <x:c r="E2966" s="21" t="n">
        <x:f>IF(AND('Artifact Ledger'!Q964="OPEN",'Artifact Ledger'!R964="HOLD"),1,0)</x:f>
        <x:v>1</x:v>
      </x:c>
      <x:c r="F2966" s="21" t="n">
        <x:v>1</x:v>
      </x:c>
      <x:c r="G2966" s="23" t="str">
        <x:f>IF(E2966=F2966,"PASS","FAIL")</x:f>
        <x:v>PASS</x:v>
      </x:c>
    </x:row>
    <x:row r="2967">
      <x:c r="B2967" s="21" t="str">
        <x:v>A02961</x:v>
      </x:c>
      <x:c r="C2967" s="21" t="str">
        <x:v>artifact</x:v>
      </x:c>
      <x:c r="D2967" s="21" t="str">
        <x:v>artifact 959 eligibility equation</x:v>
      </x:c>
      <x:c r="E2967" s="21" t="n">
        <x:f>IF(ABS('Artifact Ledger'!P965-IF(AND('Artifact Ledger'!L965=1,'Artifact Ledger'!M965=1,'Artifact Ledger'!N965=1,'Artifact Ledger'!O965&gt;='Artifact Ledger'!G965),'Artifact Ledger'!K965,0))&lt;0.000001,1,0)</x:f>
        <x:v>1</x:v>
      </x:c>
      <x:c r="F2967" s="21" t="n">
        <x:v>1</x:v>
      </x:c>
      <x:c r="G2967" s="23" t="str">
        <x:f>IF(E2967=F2967,"PASS","FAIL")</x:f>
        <x:v>PASS</x:v>
      </x:c>
    </x:row>
    <x:row r="2968">
      <x:c r="B2968" s="21" t="str">
        <x:v>A02962</x:v>
      </x:c>
      <x:c r="C2968" s="21" t="str">
        <x:v>artifact</x:v>
      </x:c>
      <x:c r="D2968" s="21" t="str">
        <x:v>artifact 959 planning state</x:v>
      </x:c>
      <x:c r="E2968" s="21" t="n">
        <x:f>IF(AND('Artifact Ledger'!Q965="OPEN",'Artifact Ledger'!R965="HOLD"),1,0)</x:f>
        <x:v>1</x:v>
      </x:c>
      <x:c r="F2968" s="21" t="n">
        <x:v>1</x:v>
      </x:c>
      <x:c r="G2968" s="23" t="str">
        <x:f>IF(E2968=F2968,"PASS","FAIL")</x:f>
        <x:v>PASS</x:v>
      </x:c>
    </x:row>
    <x:row r="2969">
      <x:c r="B2969" s="21" t="str">
        <x:v>A02963</x:v>
      </x:c>
      <x:c r="C2969" s="21" t="str">
        <x:v>artifact</x:v>
      </x:c>
      <x:c r="D2969" s="21" t="str">
        <x:v>artifact 960 eligibility equation</x:v>
      </x:c>
      <x:c r="E2969" s="21" t="n">
        <x:f>IF(ABS('Artifact Ledger'!P966-IF(AND('Artifact Ledger'!L966=1,'Artifact Ledger'!M966=1,'Artifact Ledger'!N966=1,'Artifact Ledger'!O966&gt;='Artifact Ledger'!G966),'Artifact Ledger'!K966,0))&lt;0.000001,1,0)</x:f>
        <x:v>1</x:v>
      </x:c>
      <x:c r="F2969" s="21" t="n">
        <x:v>1</x:v>
      </x:c>
      <x:c r="G2969" s="23" t="str">
        <x:f>IF(E2969=F2969,"PASS","FAIL")</x:f>
        <x:v>PASS</x:v>
      </x:c>
    </x:row>
    <x:row r="2970">
      <x:c r="B2970" s="21" t="str">
        <x:v>A02964</x:v>
      </x:c>
      <x:c r="C2970" s="21" t="str">
        <x:v>artifact</x:v>
      </x:c>
      <x:c r="D2970" s="21" t="str">
        <x:v>artifact 960 planning state</x:v>
      </x:c>
      <x:c r="E2970" s="21" t="n">
        <x:f>IF(AND('Artifact Ledger'!Q966="OPEN",'Artifact Ledger'!R966="HOLD"),1,0)</x:f>
        <x:v>1</x:v>
      </x:c>
      <x:c r="F2970" s="21" t="n">
        <x:v>1</x:v>
      </x:c>
      <x:c r="G2970" s="23" t="str">
        <x:f>IF(E2970=F2970,"PASS","FAIL")</x:f>
        <x:v>PASS</x:v>
      </x:c>
    </x:row>
    <x:row r="2971">
      <x:c r="B2971" s="21" t="str">
        <x:v>A02965</x:v>
      </x:c>
      <x:c r="C2971" s="21" t="str">
        <x:v>artifact</x:v>
      </x:c>
      <x:c r="D2971" s="21" t="str">
        <x:v>artifact 961 eligibility equation</x:v>
      </x:c>
      <x:c r="E2971" s="21" t="n">
        <x:f>IF(ABS('Artifact Ledger'!P967-IF(AND('Artifact Ledger'!L967=1,'Artifact Ledger'!M967=1,'Artifact Ledger'!N967=1,'Artifact Ledger'!O967&gt;='Artifact Ledger'!G967),'Artifact Ledger'!K967,0))&lt;0.000001,1,0)</x:f>
        <x:v>1</x:v>
      </x:c>
      <x:c r="F2971" s="21" t="n">
        <x:v>1</x:v>
      </x:c>
      <x:c r="G2971" s="23" t="str">
        <x:f>IF(E2971=F2971,"PASS","FAIL")</x:f>
        <x:v>PASS</x:v>
      </x:c>
    </x:row>
    <x:row r="2972">
      <x:c r="B2972" s="21" t="str">
        <x:v>A02966</x:v>
      </x:c>
      <x:c r="C2972" s="21" t="str">
        <x:v>artifact</x:v>
      </x:c>
      <x:c r="D2972" s="21" t="str">
        <x:v>artifact 961 planning state</x:v>
      </x:c>
      <x:c r="E2972" s="21" t="n">
        <x:f>IF(AND('Artifact Ledger'!Q967="OPEN",'Artifact Ledger'!R967="HOLD"),1,0)</x:f>
        <x:v>1</x:v>
      </x:c>
      <x:c r="F2972" s="21" t="n">
        <x:v>1</x:v>
      </x:c>
      <x:c r="G2972" s="23" t="str">
        <x:f>IF(E2972=F2972,"PASS","FAIL")</x:f>
        <x:v>PASS</x:v>
      </x:c>
    </x:row>
    <x:row r="2973">
      <x:c r="B2973" s="21" t="str">
        <x:v>A02967</x:v>
      </x:c>
      <x:c r="C2973" s="21" t="str">
        <x:v>artifact</x:v>
      </x:c>
      <x:c r="D2973" s="21" t="str">
        <x:v>artifact 962 eligibility equation</x:v>
      </x:c>
      <x:c r="E2973" s="21" t="n">
        <x:f>IF(ABS('Artifact Ledger'!P968-IF(AND('Artifact Ledger'!L968=1,'Artifact Ledger'!M968=1,'Artifact Ledger'!N968=1,'Artifact Ledger'!O968&gt;='Artifact Ledger'!G968),'Artifact Ledger'!K968,0))&lt;0.000001,1,0)</x:f>
        <x:v>1</x:v>
      </x:c>
      <x:c r="F2973" s="21" t="n">
        <x:v>1</x:v>
      </x:c>
      <x:c r="G2973" s="23" t="str">
        <x:f>IF(E2973=F2973,"PASS","FAIL")</x:f>
        <x:v>PASS</x:v>
      </x:c>
    </x:row>
    <x:row r="2974">
      <x:c r="B2974" s="21" t="str">
        <x:v>A02968</x:v>
      </x:c>
      <x:c r="C2974" s="21" t="str">
        <x:v>artifact</x:v>
      </x:c>
      <x:c r="D2974" s="21" t="str">
        <x:v>artifact 962 planning state</x:v>
      </x:c>
      <x:c r="E2974" s="21" t="n">
        <x:f>IF(AND('Artifact Ledger'!Q968="OPEN",'Artifact Ledger'!R968="HOLD"),1,0)</x:f>
        <x:v>1</x:v>
      </x:c>
      <x:c r="F2974" s="21" t="n">
        <x:v>1</x:v>
      </x:c>
      <x:c r="G2974" s="23" t="str">
        <x:f>IF(E2974=F2974,"PASS","FAIL")</x:f>
        <x:v>PASS</x:v>
      </x:c>
    </x:row>
    <x:row r="2975">
      <x:c r="B2975" s="21" t="str">
        <x:v>A02969</x:v>
      </x:c>
      <x:c r="C2975" s="21" t="str">
        <x:v>artifact</x:v>
      </x:c>
      <x:c r="D2975" s="21" t="str">
        <x:v>artifact 963 eligibility equation</x:v>
      </x:c>
      <x:c r="E2975" s="21" t="n">
        <x:f>IF(ABS('Artifact Ledger'!P969-IF(AND('Artifact Ledger'!L969=1,'Artifact Ledger'!M969=1,'Artifact Ledger'!N969=1,'Artifact Ledger'!O969&gt;='Artifact Ledger'!G969),'Artifact Ledger'!K969,0))&lt;0.000001,1,0)</x:f>
        <x:v>1</x:v>
      </x:c>
      <x:c r="F2975" s="21" t="n">
        <x:v>1</x:v>
      </x:c>
      <x:c r="G2975" s="23" t="str">
        <x:f>IF(E2975=F2975,"PASS","FAIL")</x:f>
        <x:v>PASS</x:v>
      </x:c>
    </x:row>
    <x:row r="2976">
      <x:c r="B2976" s="21" t="str">
        <x:v>A02970</x:v>
      </x:c>
      <x:c r="C2976" s="21" t="str">
        <x:v>artifact</x:v>
      </x:c>
      <x:c r="D2976" s="21" t="str">
        <x:v>artifact 963 planning state</x:v>
      </x:c>
      <x:c r="E2976" s="21" t="n">
        <x:f>IF(AND('Artifact Ledger'!Q969="OPEN",'Artifact Ledger'!R969="HOLD"),1,0)</x:f>
        <x:v>1</x:v>
      </x:c>
      <x:c r="F2976" s="21" t="n">
        <x:v>1</x:v>
      </x:c>
      <x:c r="G2976" s="23" t="str">
        <x:f>IF(E2976=F2976,"PASS","FAIL")</x:f>
        <x:v>PASS</x:v>
      </x:c>
    </x:row>
    <x:row r="2977">
      <x:c r="B2977" s="21" t="str">
        <x:v>A02971</x:v>
      </x:c>
      <x:c r="C2977" s="21" t="str">
        <x:v>artifact</x:v>
      </x:c>
      <x:c r="D2977" s="21" t="str">
        <x:v>artifact 964 eligibility equation</x:v>
      </x:c>
      <x:c r="E2977" s="21" t="n">
        <x:f>IF(ABS('Artifact Ledger'!P970-IF(AND('Artifact Ledger'!L970=1,'Artifact Ledger'!M970=1,'Artifact Ledger'!N970=1,'Artifact Ledger'!O970&gt;='Artifact Ledger'!G970),'Artifact Ledger'!K970,0))&lt;0.000001,1,0)</x:f>
        <x:v>1</x:v>
      </x:c>
      <x:c r="F2977" s="21" t="n">
        <x:v>1</x:v>
      </x:c>
      <x:c r="G2977" s="23" t="str">
        <x:f>IF(E2977=F2977,"PASS","FAIL")</x:f>
        <x:v>PASS</x:v>
      </x:c>
    </x:row>
    <x:row r="2978">
      <x:c r="B2978" s="21" t="str">
        <x:v>A02972</x:v>
      </x:c>
      <x:c r="C2978" s="21" t="str">
        <x:v>artifact</x:v>
      </x:c>
      <x:c r="D2978" s="21" t="str">
        <x:v>artifact 964 planning state</x:v>
      </x:c>
      <x:c r="E2978" s="21" t="n">
        <x:f>IF(AND('Artifact Ledger'!Q970="OPEN",'Artifact Ledger'!R970="HOLD"),1,0)</x:f>
        <x:v>1</x:v>
      </x:c>
      <x:c r="F2978" s="21" t="n">
        <x:v>1</x:v>
      </x:c>
      <x:c r="G2978" s="23" t="str">
        <x:f>IF(E2978=F2978,"PASS","FAIL")</x:f>
        <x:v>PASS</x:v>
      </x:c>
    </x:row>
    <x:row r="2979">
      <x:c r="B2979" s="21" t="str">
        <x:v>A02973</x:v>
      </x:c>
      <x:c r="C2979" s="21" t="str">
        <x:v>artifact</x:v>
      </x:c>
      <x:c r="D2979" s="21" t="str">
        <x:v>artifact 965 eligibility equation</x:v>
      </x:c>
      <x:c r="E2979" s="21" t="n">
        <x:f>IF(ABS('Artifact Ledger'!P971-IF(AND('Artifact Ledger'!L971=1,'Artifact Ledger'!M971=1,'Artifact Ledger'!N971=1,'Artifact Ledger'!O971&gt;='Artifact Ledger'!G971),'Artifact Ledger'!K971,0))&lt;0.000001,1,0)</x:f>
        <x:v>1</x:v>
      </x:c>
      <x:c r="F2979" s="21" t="n">
        <x:v>1</x:v>
      </x:c>
      <x:c r="G2979" s="23" t="str">
        <x:f>IF(E2979=F2979,"PASS","FAIL")</x:f>
        <x:v>PASS</x:v>
      </x:c>
    </x:row>
    <x:row r="2980">
      <x:c r="B2980" s="21" t="str">
        <x:v>A02974</x:v>
      </x:c>
      <x:c r="C2980" s="21" t="str">
        <x:v>artifact</x:v>
      </x:c>
      <x:c r="D2980" s="21" t="str">
        <x:v>artifact 965 planning state</x:v>
      </x:c>
      <x:c r="E2980" s="21" t="n">
        <x:f>IF(AND('Artifact Ledger'!Q971="OPEN",'Artifact Ledger'!R971="HOLD"),1,0)</x:f>
        <x:v>1</x:v>
      </x:c>
      <x:c r="F2980" s="21" t="n">
        <x:v>1</x:v>
      </x:c>
      <x:c r="G2980" s="23" t="str">
        <x:f>IF(E2980=F2980,"PASS","FAIL")</x:f>
        <x:v>PASS</x:v>
      </x:c>
    </x:row>
    <x:row r="2981">
      <x:c r="B2981" s="21" t="str">
        <x:v>A02975</x:v>
      </x:c>
      <x:c r="C2981" s="21" t="str">
        <x:v>artifact</x:v>
      </x:c>
      <x:c r="D2981" s="21" t="str">
        <x:v>artifact 966 eligibility equation</x:v>
      </x:c>
      <x:c r="E2981" s="21" t="n">
        <x:f>IF(ABS('Artifact Ledger'!P972-IF(AND('Artifact Ledger'!L972=1,'Artifact Ledger'!M972=1,'Artifact Ledger'!N972=1,'Artifact Ledger'!O972&gt;='Artifact Ledger'!G972),'Artifact Ledger'!K972,0))&lt;0.000001,1,0)</x:f>
        <x:v>1</x:v>
      </x:c>
      <x:c r="F2981" s="21" t="n">
        <x:v>1</x:v>
      </x:c>
      <x:c r="G2981" s="23" t="str">
        <x:f>IF(E2981=F2981,"PASS","FAIL")</x:f>
        <x:v>PASS</x:v>
      </x:c>
    </x:row>
    <x:row r="2982">
      <x:c r="B2982" s="21" t="str">
        <x:v>A02976</x:v>
      </x:c>
      <x:c r="C2982" s="21" t="str">
        <x:v>artifact</x:v>
      </x:c>
      <x:c r="D2982" s="21" t="str">
        <x:v>artifact 966 planning state</x:v>
      </x:c>
      <x:c r="E2982" s="21" t="n">
        <x:f>IF(AND('Artifact Ledger'!Q972="OPEN",'Artifact Ledger'!R972="HOLD"),1,0)</x:f>
        <x:v>1</x:v>
      </x:c>
      <x:c r="F2982" s="21" t="n">
        <x:v>1</x:v>
      </x:c>
      <x:c r="G2982" s="23" t="str">
        <x:f>IF(E2982=F2982,"PASS","FAIL")</x:f>
        <x:v>PASS</x:v>
      </x:c>
    </x:row>
    <x:row r="2983">
      <x:c r="B2983" s="21" t="str">
        <x:v>A02977</x:v>
      </x:c>
      <x:c r="C2983" s="21" t="str">
        <x:v>artifact</x:v>
      </x:c>
      <x:c r="D2983" s="21" t="str">
        <x:v>artifact 967 eligibility equation</x:v>
      </x:c>
      <x:c r="E2983" s="21" t="n">
        <x:f>IF(ABS('Artifact Ledger'!P973-IF(AND('Artifact Ledger'!L973=1,'Artifact Ledger'!M973=1,'Artifact Ledger'!N973=1,'Artifact Ledger'!O973&gt;='Artifact Ledger'!G973),'Artifact Ledger'!K973,0))&lt;0.000001,1,0)</x:f>
        <x:v>1</x:v>
      </x:c>
      <x:c r="F2983" s="21" t="n">
        <x:v>1</x:v>
      </x:c>
      <x:c r="G2983" s="23" t="str">
        <x:f>IF(E2983=F2983,"PASS","FAIL")</x:f>
        <x:v>PASS</x:v>
      </x:c>
    </x:row>
    <x:row r="2984">
      <x:c r="B2984" s="21" t="str">
        <x:v>A02978</x:v>
      </x:c>
      <x:c r="C2984" s="21" t="str">
        <x:v>artifact</x:v>
      </x:c>
      <x:c r="D2984" s="21" t="str">
        <x:v>artifact 967 planning state</x:v>
      </x:c>
      <x:c r="E2984" s="21" t="n">
        <x:f>IF(AND('Artifact Ledger'!Q973="OPEN",'Artifact Ledger'!R973="HOLD"),1,0)</x:f>
        <x:v>1</x:v>
      </x:c>
      <x:c r="F2984" s="21" t="n">
        <x:v>1</x:v>
      </x:c>
      <x:c r="G2984" s="23" t="str">
        <x:f>IF(E2984=F2984,"PASS","FAIL")</x:f>
        <x:v>PASS</x:v>
      </x:c>
    </x:row>
    <x:row r="2985">
      <x:c r="B2985" s="21" t="str">
        <x:v>A02979</x:v>
      </x:c>
      <x:c r="C2985" s="21" t="str">
        <x:v>artifact</x:v>
      </x:c>
      <x:c r="D2985" s="21" t="str">
        <x:v>artifact 968 eligibility equation</x:v>
      </x:c>
      <x:c r="E2985" s="21" t="n">
        <x:f>IF(ABS('Artifact Ledger'!P974-IF(AND('Artifact Ledger'!L974=1,'Artifact Ledger'!M974=1,'Artifact Ledger'!N974=1,'Artifact Ledger'!O974&gt;='Artifact Ledger'!G974),'Artifact Ledger'!K974,0))&lt;0.000001,1,0)</x:f>
        <x:v>1</x:v>
      </x:c>
      <x:c r="F2985" s="21" t="n">
        <x:v>1</x:v>
      </x:c>
      <x:c r="G2985" s="23" t="str">
        <x:f>IF(E2985=F2985,"PASS","FAIL")</x:f>
        <x:v>PASS</x:v>
      </x:c>
    </x:row>
    <x:row r="2986">
      <x:c r="B2986" s="21" t="str">
        <x:v>A02980</x:v>
      </x:c>
      <x:c r="C2986" s="21" t="str">
        <x:v>artifact</x:v>
      </x:c>
      <x:c r="D2986" s="21" t="str">
        <x:v>artifact 968 planning state</x:v>
      </x:c>
      <x:c r="E2986" s="21" t="n">
        <x:f>IF(AND('Artifact Ledger'!Q974="OPEN",'Artifact Ledger'!R974="HOLD"),1,0)</x:f>
        <x:v>1</x:v>
      </x:c>
      <x:c r="F2986" s="21" t="n">
        <x:v>1</x:v>
      </x:c>
      <x:c r="G2986" s="23" t="str">
        <x:f>IF(E2986=F2986,"PASS","FAIL")</x:f>
        <x:v>PASS</x:v>
      </x:c>
    </x:row>
    <x:row r="2987">
      <x:c r="B2987" s="21" t="str">
        <x:v>A02981</x:v>
      </x:c>
      <x:c r="C2987" s="21" t="str">
        <x:v>artifact</x:v>
      </x:c>
      <x:c r="D2987" s="21" t="str">
        <x:v>artifact 969 eligibility equation</x:v>
      </x:c>
      <x:c r="E2987" s="21" t="n">
        <x:f>IF(ABS('Artifact Ledger'!P975-IF(AND('Artifact Ledger'!L975=1,'Artifact Ledger'!M975=1,'Artifact Ledger'!N975=1,'Artifact Ledger'!O975&gt;='Artifact Ledger'!G975),'Artifact Ledger'!K975,0))&lt;0.000001,1,0)</x:f>
        <x:v>1</x:v>
      </x:c>
      <x:c r="F2987" s="21" t="n">
        <x:v>1</x:v>
      </x:c>
      <x:c r="G2987" s="23" t="str">
        <x:f>IF(E2987=F2987,"PASS","FAIL")</x:f>
        <x:v>PASS</x:v>
      </x:c>
    </x:row>
    <x:row r="2988">
      <x:c r="B2988" s="21" t="str">
        <x:v>A02982</x:v>
      </x:c>
      <x:c r="C2988" s="21" t="str">
        <x:v>artifact</x:v>
      </x:c>
      <x:c r="D2988" s="21" t="str">
        <x:v>artifact 969 planning state</x:v>
      </x:c>
      <x:c r="E2988" s="21" t="n">
        <x:f>IF(AND('Artifact Ledger'!Q975="OPEN",'Artifact Ledger'!R975="HOLD"),1,0)</x:f>
        <x:v>1</x:v>
      </x:c>
      <x:c r="F2988" s="21" t="n">
        <x:v>1</x:v>
      </x:c>
      <x:c r="G2988" s="23" t="str">
        <x:f>IF(E2988=F2988,"PASS","FAIL")</x:f>
        <x:v>PASS</x:v>
      </x:c>
    </x:row>
    <x:row r="2989">
      <x:c r="B2989" s="21" t="str">
        <x:v>A02983</x:v>
      </x:c>
      <x:c r="C2989" s="21" t="str">
        <x:v>artifact</x:v>
      </x:c>
      <x:c r="D2989" s="21" t="str">
        <x:v>artifact 970 eligibility equation</x:v>
      </x:c>
      <x:c r="E2989" s="21" t="n">
        <x:f>IF(ABS('Artifact Ledger'!P976-IF(AND('Artifact Ledger'!L976=1,'Artifact Ledger'!M976=1,'Artifact Ledger'!N976=1,'Artifact Ledger'!O976&gt;='Artifact Ledger'!G976),'Artifact Ledger'!K976,0))&lt;0.000001,1,0)</x:f>
        <x:v>1</x:v>
      </x:c>
      <x:c r="F2989" s="21" t="n">
        <x:v>1</x:v>
      </x:c>
      <x:c r="G2989" s="23" t="str">
        <x:f>IF(E2989=F2989,"PASS","FAIL")</x:f>
        <x:v>PASS</x:v>
      </x:c>
    </x:row>
    <x:row r="2990">
      <x:c r="B2990" s="21" t="str">
        <x:v>A02984</x:v>
      </x:c>
      <x:c r="C2990" s="21" t="str">
        <x:v>artifact</x:v>
      </x:c>
      <x:c r="D2990" s="21" t="str">
        <x:v>artifact 970 planning state</x:v>
      </x:c>
      <x:c r="E2990" s="21" t="n">
        <x:f>IF(AND('Artifact Ledger'!Q976="OPEN",'Artifact Ledger'!R976="HOLD"),1,0)</x:f>
        <x:v>1</x:v>
      </x:c>
      <x:c r="F2990" s="21" t="n">
        <x:v>1</x:v>
      </x:c>
      <x:c r="G2990" s="23" t="str">
        <x:f>IF(E2990=F2990,"PASS","FAIL")</x:f>
        <x:v>PASS</x:v>
      </x:c>
    </x:row>
    <x:row r="2991">
      <x:c r="B2991" s="21" t="str">
        <x:v>A02985</x:v>
      </x:c>
      <x:c r="C2991" s="21" t="str">
        <x:v>artifact</x:v>
      </x:c>
      <x:c r="D2991" s="21" t="str">
        <x:v>artifact 971 eligibility equation</x:v>
      </x:c>
      <x:c r="E2991" s="21" t="n">
        <x:f>IF(ABS('Artifact Ledger'!P977-IF(AND('Artifact Ledger'!L977=1,'Artifact Ledger'!M977=1,'Artifact Ledger'!N977=1,'Artifact Ledger'!O977&gt;='Artifact Ledger'!G977),'Artifact Ledger'!K977,0))&lt;0.000001,1,0)</x:f>
        <x:v>1</x:v>
      </x:c>
      <x:c r="F2991" s="21" t="n">
        <x:v>1</x:v>
      </x:c>
      <x:c r="G2991" s="23" t="str">
        <x:f>IF(E2991=F2991,"PASS","FAIL")</x:f>
        <x:v>PASS</x:v>
      </x:c>
    </x:row>
    <x:row r="2992">
      <x:c r="B2992" s="21" t="str">
        <x:v>A02986</x:v>
      </x:c>
      <x:c r="C2992" s="21" t="str">
        <x:v>artifact</x:v>
      </x:c>
      <x:c r="D2992" s="21" t="str">
        <x:v>artifact 971 planning state</x:v>
      </x:c>
      <x:c r="E2992" s="21" t="n">
        <x:f>IF(AND('Artifact Ledger'!Q977="OPEN",'Artifact Ledger'!R977="HOLD"),1,0)</x:f>
        <x:v>1</x:v>
      </x:c>
      <x:c r="F2992" s="21" t="n">
        <x:v>1</x:v>
      </x:c>
      <x:c r="G2992" s="23" t="str">
        <x:f>IF(E2992=F2992,"PASS","FAIL")</x:f>
        <x:v>PASS</x:v>
      </x:c>
    </x:row>
    <x:row r="2993">
      <x:c r="B2993" s="21" t="str">
        <x:v>A02987</x:v>
      </x:c>
      <x:c r="C2993" s="21" t="str">
        <x:v>artifact</x:v>
      </x:c>
      <x:c r="D2993" s="21" t="str">
        <x:v>artifact 972 eligibility equation</x:v>
      </x:c>
      <x:c r="E2993" s="21" t="n">
        <x:f>IF(ABS('Artifact Ledger'!P978-IF(AND('Artifact Ledger'!L978=1,'Artifact Ledger'!M978=1,'Artifact Ledger'!N978=1,'Artifact Ledger'!O978&gt;='Artifact Ledger'!G978),'Artifact Ledger'!K978,0))&lt;0.000001,1,0)</x:f>
        <x:v>1</x:v>
      </x:c>
      <x:c r="F2993" s="21" t="n">
        <x:v>1</x:v>
      </x:c>
      <x:c r="G2993" s="23" t="str">
        <x:f>IF(E2993=F2993,"PASS","FAIL")</x:f>
        <x:v>PASS</x:v>
      </x:c>
    </x:row>
    <x:row r="2994">
      <x:c r="B2994" s="21" t="str">
        <x:v>A02988</x:v>
      </x:c>
      <x:c r="C2994" s="21" t="str">
        <x:v>artifact</x:v>
      </x:c>
      <x:c r="D2994" s="21" t="str">
        <x:v>artifact 972 planning state</x:v>
      </x:c>
      <x:c r="E2994" s="21" t="n">
        <x:f>IF(AND('Artifact Ledger'!Q978="OPEN",'Artifact Ledger'!R978="HOLD"),1,0)</x:f>
        <x:v>1</x:v>
      </x:c>
      <x:c r="F2994" s="21" t="n">
        <x:v>1</x:v>
      </x:c>
      <x:c r="G2994" s="23" t="str">
        <x:f>IF(E2994=F2994,"PASS","FAIL")</x:f>
        <x:v>PASS</x:v>
      </x:c>
    </x:row>
    <x:row r="2995">
      <x:c r="B2995" s="21" t="str">
        <x:v>A02989</x:v>
      </x:c>
      <x:c r="C2995" s="21" t="str">
        <x:v>artifact</x:v>
      </x:c>
      <x:c r="D2995" s="21" t="str">
        <x:v>artifact 973 eligibility equation</x:v>
      </x:c>
      <x:c r="E2995" s="21" t="n">
        <x:f>IF(ABS('Artifact Ledger'!P979-IF(AND('Artifact Ledger'!L979=1,'Artifact Ledger'!M979=1,'Artifact Ledger'!N979=1,'Artifact Ledger'!O979&gt;='Artifact Ledger'!G979),'Artifact Ledger'!K979,0))&lt;0.000001,1,0)</x:f>
        <x:v>1</x:v>
      </x:c>
      <x:c r="F2995" s="21" t="n">
        <x:v>1</x:v>
      </x:c>
      <x:c r="G2995" s="23" t="str">
        <x:f>IF(E2995=F2995,"PASS","FAIL")</x:f>
        <x:v>PASS</x:v>
      </x:c>
    </x:row>
    <x:row r="2996">
      <x:c r="B2996" s="21" t="str">
        <x:v>A02990</x:v>
      </x:c>
      <x:c r="C2996" s="21" t="str">
        <x:v>artifact</x:v>
      </x:c>
      <x:c r="D2996" s="21" t="str">
        <x:v>artifact 973 planning state</x:v>
      </x:c>
      <x:c r="E2996" s="21" t="n">
        <x:f>IF(AND('Artifact Ledger'!Q979="OPEN",'Artifact Ledger'!R979="HOLD"),1,0)</x:f>
        <x:v>1</x:v>
      </x:c>
      <x:c r="F2996" s="21" t="n">
        <x:v>1</x:v>
      </x:c>
      <x:c r="G2996" s="23" t="str">
        <x:f>IF(E2996=F2996,"PASS","FAIL")</x:f>
        <x:v>PASS</x:v>
      </x:c>
    </x:row>
    <x:row r="2997">
      <x:c r="B2997" s="21" t="str">
        <x:v>A02991</x:v>
      </x:c>
      <x:c r="C2997" s="21" t="str">
        <x:v>artifact</x:v>
      </x:c>
      <x:c r="D2997" s="21" t="str">
        <x:v>artifact 974 eligibility equation</x:v>
      </x:c>
      <x:c r="E2997" s="21" t="n">
        <x:f>IF(ABS('Artifact Ledger'!P980-IF(AND('Artifact Ledger'!L980=1,'Artifact Ledger'!M980=1,'Artifact Ledger'!N980=1,'Artifact Ledger'!O980&gt;='Artifact Ledger'!G980),'Artifact Ledger'!K980,0))&lt;0.000001,1,0)</x:f>
        <x:v>1</x:v>
      </x:c>
      <x:c r="F2997" s="21" t="n">
        <x:v>1</x:v>
      </x:c>
      <x:c r="G2997" s="23" t="str">
        <x:f>IF(E2997=F2997,"PASS","FAIL")</x:f>
        <x:v>PASS</x:v>
      </x:c>
    </x:row>
    <x:row r="2998">
      <x:c r="B2998" s="21" t="str">
        <x:v>A02992</x:v>
      </x:c>
      <x:c r="C2998" s="21" t="str">
        <x:v>artifact</x:v>
      </x:c>
      <x:c r="D2998" s="21" t="str">
        <x:v>artifact 974 planning state</x:v>
      </x:c>
      <x:c r="E2998" s="21" t="n">
        <x:f>IF(AND('Artifact Ledger'!Q980="OPEN",'Artifact Ledger'!R980="HOLD"),1,0)</x:f>
        <x:v>1</x:v>
      </x:c>
      <x:c r="F2998" s="21" t="n">
        <x:v>1</x:v>
      </x:c>
      <x:c r="G2998" s="23" t="str">
        <x:f>IF(E2998=F2998,"PASS","FAIL")</x:f>
        <x:v>PASS</x:v>
      </x:c>
    </x:row>
    <x:row r="2999">
      <x:c r="B2999" s="21" t="str">
        <x:v>A02993</x:v>
      </x:c>
      <x:c r="C2999" s="21" t="str">
        <x:v>artifact</x:v>
      </x:c>
      <x:c r="D2999" s="21" t="str">
        <x:v>artifact 975 eligibility equation</x:v>
      </x:c>
      <x:c r="E2999" s="21" t="n">
        <x:f>IF(ABS('Artifact Ledger'!P981-IF(AND('Artifact Ledger'!L981=1,'Artifact Ledger'!M981=1,'Artifact Ledger'!N981=1,'Artifact Ledger'!O981&gt;='Artifact Ledger'!G981),'Artifact Ledger'!K981,0))&lt;0.000001,1,0)</x:f>
        <x:v>1</x:v>
      </x:c>
      <x:c r="F2999" s="21" t="n">
        <x:v>1</x:v>
      </x:c>
      <x:c r="G2999" s="23" t="str">
        <x:f>IF(E2999=F2999,"PASS","FAIL")</x:f>
        <x:v>PASS</x:v>
      </x:c>
    </x:row>
    <x:row r="3000">
      <x:c r="B3000" s="21" t="str">
        <x:v>A02994</x:v>
      </x:c>
      <x:c r="C3000" s="21" t="str">
        <x:v>artifact</x:v>
      </x:c>
      <x:c r="D3000" s="21" t="str">
        <x:v>artifact 975 planning state</x:v>
      </x:c>
      <x:c r="E3000" s="21" t="n">
        <x:f>IF(AND('Artifact Ledger'!Q981="OPEN",'Artifact Ledger'!R981="HOLD"),1,0)</x:f>
        <x:v>1</x:v>
      </x:c>
      <x:c r="F3000" s="21" t="n">
        <x:v>1</x:v>
      </x:c>
      <x:c r="G3000" s="23" t="str">
        <x:f>IF(E3000=F3000,"PASS","FAIL")</x:f>
        <x:v>PASS</x:v>
      </x:c>
    </x:row>
    <x:row r="3001">
      <x:c r="B3001" s="21" t="str">
        <x:v>A02995</x:v>
      </x:c>
      <x:c r="C3001" s="21" t="str">
        <x:v>artifact</x:v>
      </x:c>
      <x:c r="D3001" s="21" t="str">
        <x:v>artifact 976 eligibility equation</x:v>
      </x:c>
      <x:c r="E3001" s="21" t="n">
        <x:f>IF(ABS('Artifact Ledger'!P982-IF(AND('Artifact Ledger'!L982=1,'Artifact Ledger'!M982=1,'Artifact Ledger'!N982=1,'Artifact Ledger'!O982&gt;='Artifact Ledger'!G982),'Artifact Ledger'!K982,0))&lt;0.000001,1,0)</x:f>
        <x:v>1</x:v>
      </x:c>
      <x:c r="F3001" s="21" t="n">
        <x:v>1</x:v>
      </x:c>
      <x:c r="G3001" s="23" t="str">
        <x:f>IF(E3001=F3001,"PASS","FAIL")</x:f>
        <x:v>PASS</x:v>
      </x:c>
    </x:row>
    <x:row r="3002">
      <x:c r="B3002" s="21" t="str">
        <x:v>A02996</x:v>
      </x:c>
      <x:c r="C3002" s="21" t="str">
        <x:v>artifact</x:v>
      </x:c>
      <x:c r="D3002" s="21" t="str">
        <x:v>artifact 976 planning state</x:v>
      </x:c>
      <x:c r="E3002" s="21" t="n">
        <x:f>IF(AND('Artifact Ledger'!Q982="OPEN",'Artifact Ledger'!R982="HOLD"),1,0)</x:f>
        <x:v>1</x:v>
      </x:c>
      <x:c r="F3002" s="21" t="n">
        <x:v>1</x:v>
      </x:c>
      <x:c r="G3002" s="23" t="str">
        <x:f>IF(E3002=F3002,"PASS","FAIL")</x:f>
        <x:v>PASS</x:v>
      </x:c>
    </x:row>
    <x:row r="3003">
      <x:c r="B3003" s="21" t="str">
        <x:v>A02997</x:v>
      </x:c>
      <x:c r="C3003" s="21" t="str">
        <x:v>artifact</x:v>
      </x:c>
      <x:c r="D3003" s="21" t="str">
        <x:v>artifact 977 eligibility equation</x:v>
      </x:c>
      <x:c r="E3003" s="21" t="n">
        <x:f>IF(ABS('Artifact Ledger'!P983-IF(AND('Artifact Ledger'!L983=1,'Artifact Ledger'!M983=1,'Artifact Ledger'!N983=1,'Artifact Ledger'!O983&gt;='Artifact Ledger'!G983),'Artifact Ledger'!K983,0))&lt;0.000001,1,0)</x:f>
        <x:v>1</x:v>
      </x:c>
      <x:c r="F3003" s="21" t="n">
        <x:v>1</x:v>
      </x:c>
      <x:c r="G3003" s="23" t="str">
        <x:f>IF(E3003=F3003,"PASS","FAIL")</x:f>
        <x:v>PASS</x:v>
      </x:c>
    </x:row>
    <x:row r="3004">
      <x:c r="B3004" s="21" t="str">
        <x:v>A02998</x:v>
      </x:c>
      <x:c r="C3004" s="21" t="str">
        <x:v>artifact</x:v>
      </x:c>
      <x:c r="D3004" s="21" t="str">
        <x:v>artifact 977 planning state</x:v>
      </x:c>
      <x:c r="E3004" s="21" t="n">
        <x:f>IF(AND('Artifact Ledger'!Q983="OPEN",'Artifact Ledger'!R983="HOLD"),1,0)</x:f>
        <x:v>1</x:v>
      </x:c>
      <x:c r="F3004" s="21" t="n">
        <x:v>1</x:v>
      </x:c>
      <x:c r="G3004" s="23" t="str">
        <x:f>IF(E3004=F3004,"PASS","FAIL")</x:f>
        <x:v>PASS</x:v>
      </x:c>
    </x:row>
    <x:row r="3005">
      <x:c r="B3005" s="21" t="str">
        <x:v>A02999</x:v>
      </x:c>
      <x:c r="C3005" s="21" t="str">
        <x:v>artifact</x:v>
      </x:c>
      <x:c r="D3005" s="21" t="str">
        <x:v>artifact 978 eligibility equation</x:v>
      </x:c>
      <x:c r="E3005" s="21" t="n">
        <x:f>IF(ABS('Artifact Ledger'!P984-IF(AND('Artifact Ledger'!L984=1,'Artifact Ledger'!M984=1,'Artifact Ledger'!N984=1,'Artifact Ledger'!O984&gt;='Artifact Ledger'!G984),'Artifact Ledger'!K984,0))&lt;0.000001,1,0)</x:f>
        <x:v>1</x:v>
      </x:c>
      <x:c r="F3005" s="21" t="n">
        <x:v>1</x:v>
      </x:c>
      <x:c r="G3005" s="23" t="str">
        <x:f>IF(E3005=F3005,"PASS","FAIL")</x:f>
        <x:v>PASS</x:v>
      </x:c>
    </x:row>
    <x:row r="3006">
      <x:c r="B3006" s="21" t="str">
        <x:v>A03000</x:v>
      </x:c>
      <x:c r="C3006" s="21" t="str">
        <x:v>artifact</x:v>
      </x:c>
      <x:c r="D3006" s="21" t="str">
        <x:v>artifact 978 planning state</x:v>
      </x:c>
      <x:c r="E3006" s="21" t="n">
        <x:f>IF(AND('Artifact Ledger'!Q984="OPEN",'Artifact Ledger'!R984="HOLD"),1,0)</x:f>
        <x:v>1</x:v>
      </x:c>
      <x:c r="F3006" s="21" t="n">
        <x:v>1</x:v>
      </x:c>
      <x:c r="G3006" s="23" t="str">
        <x:f>IF(E3006=F3006,"PASS","FAIL")</x:f>
        <x:v>PASS</x:v>
      </x:c>
    </x:row>
    <x:row r="3007">
      <x:c r="B3007" s="21" t="str">
        <x:v>A03001</x:v>
      </x:c>
      <x:c r="C3007" s="21" t="str">
        <x:v>artifact</x:v>
      </x:c>
      <x:c r="D3007" s="21" t="str">
        <x:v>artifact 979 eligibility equation</x:v>
      </x:c>
      <x:c r="E3007" s="21" t="n">
        <x:f>IF(ABS('Artifact Ledger'!P985-IF(AND('Artifact Ledger'!L985=1,'Artifact Ledger'!M985=1,'Artifact Ledger'!N985=1,'Artifact Ledger'!O985&gt;='Artifact Ledger'!G985),'Artifact Ledger'!K985,0))&lt;0.000001,1,0)</x:f>
        <x:v>1</x:v>
      </x:c>
      <x:c r="F3007" s="21" t="n">
        <x:v>1</x:v>
      </x:c>
      <x:c r="G3007" s="23" t="str">
        <x:f>IF(E3007=F3007,"PASS","FAIL")</x:f>
        <x:v>PASS</x:v>
      </x:c>
    </x:row>
    <x:row r="3008">
      <x:c r="B3008" s="21" t="str">
        <x:v>A03002</x:v>
      </x:c>
      <x:c r="C3008" s="21" t="str">
        <x:v>artifact</x:v>
      </x:c>
      <x:c r="D3008" s="21" t="str">
        <x:v>artifact 979 planning state</x:v>
      </x:c>
      <x:c r="E3008" s="21" t="n">
        <x:f>IF(AND('Artifact Ledger'!Q985="OPEN",'Artifact Ledger'!R985="HOLD"),1,0)</x:f>
        <x:v>1</x:v>
      </x:c>
      <x:c r="F3008" s="21" t="n">
        <x:v>1</x:v>
      </x:c>
      <x:c r="G3008" s="23" t="str">
        <x:f>IF(E3008=F3008,"PASS","FAIL")</x:f>
        <x:v>PASS</x:v>
      </x:c>
    </x:row>
    <x:row r="3009">
      <x:c r="B3009" s="21" t="str">
        <x:v>A03003</x:v>
      </x:c>
      <x:c r="C3009" s="21" t="str">
        <x:v>artifact</x:v>
      </x:c>
      <x:c r="D3009" s="21" t="str">
        <x:v>artifact 980 eligibility equation</x:v>
      </x:c>
      <x:c r="E3009" s="21" t="n">
        <x:f>IF(ABS('Artifact Ledger'!P986-IF(AND('Artifact Ledger'!L986=1,'Artifact Ledger'!M986=1,'Artifact Ledger'!N986=1,'Artifact Ledger'!O986&gt;='Artifact Ledger'!G986),'Artifact Ledger'!K986,0))&lt;0.000001,1,0)</x:f>
        <x:v>1</x:v>
      </x:c>
      <x:c r="F3009" s="21" t="n">
        <x:v>1</x:v>
      </x:c>
      <x:c r="G3009" s="23" t="str">
        <x:f>IF(E3009=F3009,"PASS","FAIL")</x:f>
        <x:v>PASS</x:v>
      </x:c>
    </x:row>
    <x:row r="3010">
      <x:c r="B3010" s="21" t="str">
        <x:v>A03004</x:v>
      </x:c>
      <x:c r="C3010" s="21" t="str">
        <x:v>artifact</x:v>
      </x:c>
      <x:c r="D3010" s="21" t="str">
        <x:v>artifact 980 planning state</x:v>
      </x:c>
      <x:c r="E3010" s="21" t="n">
        <x:f>IF(AND('Artifact Ledger'!Q986="OPEN",'Artifact Ledger'!R986="HOLD"),1,0)</x:f>
        <x:v>1</x:v>
      </x:c>
      <x:c r="F3010" s="21" t="n">
        <x:v>1</x:v>
      </x:c>
      <x:c r="G3010" s="23" t="str">
        <x:f>IF(E3010=F3010,"PASS","FAIL")</x:f>
        <x:v>PASS</x:v>
      </x:c>
    </x:row>
    <x:row r="3011">
      <x:c r="B3011" s="21" t="str">
        <x:v>A03005</x:v>
      </x:c>
      <x:c r="C3011" s="21" t="str">
        <x:v>artifact</x:v>
      </x:c>
      <x:c r="D3011" s="21" t="str">
        <x:v>artifact 981 eligibility equation</x:v>
      </x:c>
      <x:c r="E3011" s="21" t="n">
        <x:f>IF(ABS('Artifact Ledger'!P987-IF(AND('Artifact Ledger'!L987=1,'Artifact Ledger'!M987=1,'Artifact Ledger'!N987=1,'Artifact Ledger'!O987&gt;='Artifact Ledger'!G987),'Artifact Ledger'!K987,0))&lt;0.000001,1,0)</x:f>
        <x:v>1</x:v>
      </x:c>
      <x:c r="F3011" s="21" t="n">
        <x:v>1</x:v>
      </x:c>
      <x:c r="G3011" s="23" t="str">
        <x:f>IF(E3011=F3011,"PASS","FAIL")</x:f>
        <x:v>PASS</x:v>
      </x:c>
    </x:row>
    <x:row r="3012">
      <x:c r="B3012" s="21" t="str">
        <x:v>A03006</x:v>
      </x:c>
      <x:c r="C3012" s="21" t="str">
        <x:v>artifact</x:v>
      </x:c>
      <x:c r="D3012" s="21" t="str">
        <x:v>artifact 981 planning state</x:v>
      </x:c>
      <x:c r="E3012" s="21" t="n">
        <x:f>IF(AND('Artifact Ledger'!Q987="OPEN",'Artifact Ledger'!R987="HOLD"),1,0)</x:f>
        <x:v>1</x:v>
      </x:c>
      <x:c r="F3012" s="21" t="n">
        <x:v>1</x:v>
      </x:c>
      <x:c r="G3012" s="23" t="str">
        <x:f>IF(E3012=F3012,"PASS","FAIL")</x:f>
        <x:v>PASS</x:v>
      </x:c>
    </x:row>
    <x:row r="3013">
      <x:c r="B3013" s="21" t="str">
        <x:v>A03007</x:v>
      </x:c>
      <x:c r="C3013" s="21" t="str">
        <x:v>artifact</x:v>
      </x:c>
      <x:c r="D3013" s="21" t="str">
        <x:v>artifact 982 eligibility equation</x:v>
      </x:c>
      <x:c r="E3013" s="21" t="n">
        <x:f>IF(ABS('Artifact Ledger'!P988-IF(AND('Artifact Ledger'!L988=1,'Artifact Ledger'!M988=1,'Artifact Ledger'!N988=1,'Artifact Ledger'!O988&gt;='Artifact Ledger'!G988),'Artifact Ledger'!K988,0))&lt;0.000001,1,0)</x:f>
        <x:v>1</x:v>
      </x:c>
      <x:c r="F3013" s="21" t="n">
        <x:v>1</x:v>
      </x:c>
      <x:c r="G3013" s="23" t="str">
        <x:f>IF(E3013=F3013,"PASS","FAIL")</x:f>
        <x:v>PASS</x:v>
      </x:c>
    </x:row>
    <x:row r="3014">
      <x:c r="B3014" s="21" t="str">
        <x:v>A03008</x:v>
      </x:c>
      <x:c r="C3014" s="21" t="str">
        <x:v>artifact</x:v>
      </x:c>
      <x:c r="D3014" s="21" t="str">
        <x:v>artifact 982 planning state</x:v>
      </x:c>
      <x:c r="E3014" s="21" t="n">
        <x:f>IF(AND('Artifact Ledger'!Q988="OPEN",'Artifact Ledger'!R988="HOLD"),1,0)</x:f>
        <x:v>1</x:v>
      </x:c>
      <x:c r="F3014" s="21" t="n">
        <x:v>1</x:v>
      </x:c>
      <x:c r="G3014" s="23" t="str">
        <x:f>IF(E3014=F3014,"PASS","FAIL")</x:f>
        <x:v>PASS</x:v>
      </x:c>
    </x:row>
    <x:row r="3015">
      <x:c r="B3015" s="21" t="str">
        <x:v>A03009</x:v>
      </x:c>
      <x:c r="C3015" s="21" t="str">
        <x:v>artifact</x:v>
      </x:c>
      <x:c r="D3015" s="21" t="str">
        <x:v>artifact 983 eligibility equation</x:v>
      </x:c>
      <x:c r="E3015" s="21" t="n">
        <x:f>IF(ABS('Artifact Ledger'!P989-IF(AND('Artifact Ledger'!L989=1,'Artifact Ledger'!M989=1,'Artifact Ledger'!N989=1,'Artifact Ledger'!O989&gt;='Artifact Ledger'!G989),'Artifact Ledger'!K989,0))&lt;0.000001,1,0)</x:f>
        <x:v>1</x:v>
      </x:c>
      <x:c r="F3015" s="21" t="n">
        <x:v>1</x:v>
      </x:c>
      <x:c r="G3015" s="23" t="str">
        <x:f>IF(E3015=F3015,"PASS","FAIL")</x:f>
        <x:v>PASS</x:v>
      </x:c>
    </x:row>
    <x:row r="3016">
      <x:c r="B3016" s="21" t="str">
        <x:v>A03010</x:v>
      </x:c>
      <x:c r="C3016" s="21" t="str">
        <x:v>artifact</x:v>
      </x:c>
      <x:c r="D3016" s="21" t="str">
        <x:v>artifact 983 planning state</x:v>
      </x:c>
      <x:c r="E3016" s="21" t="n">
        <x:f>IF(AND('Artifact Ledger'!Q989="OPEN",'Artifact Ledger'!R989="HOLD"),1,0)</x:f>
        <x:v>1</x:v>
      </x:c>
      <x:c r="F3016" s="21" t="n">
        <x:v>1</x:v>
      </x:c>
      <x:c r="G3016" s="23" t="str">
        <x:f>IF(E3016=F3016,"PASS","FAIL")</x:f>
        <x:v>PASS</x:v>
      </x:c>
    </x:row>
    <x:row r="3017">
      <x:c r="B3017" s="21" t="str">
        <x:v>A03011</x:v>
      </x:c>
      <x:c r="C3017" s="21" t="str">
        <x:v>artifact</x:v>
      </x:c>
      <x:c r="D3017" s="21" t="str">
        <x:v>artifact 984 eligibility equation</x:v>
      </x:c>
      <x:c r="E3017" s="21" t="n">
        <x:f>IF(ABS('Artifact Ledger'!P990-IF(AND('Artifact Ledger'!L990=1,'Artifact Ledger'!M990=1,'Artifact Ledger'!N990=1,'Artifact Ledger'!O990&gt;='Artifact Ledger'!G990),'Artifact Ledger'!K990,0))&lt;0.000001,1,0)</x:f>
        <x:v>1</x:v>
      </x:c>
      <x:c r="F3017" s="21" t="n">
        <x:v>1</x:v>
      </x:c>
      <x:c r="G3017" s="23" t="str">
        <x:f>IF(E3017=F3017,"PASS","FAIL")</x:f>
        <x:v>PASS</x:v>
      </x:c>
    </x:row>
    <x:row r="3018">
      <x:c r="B3018" s="21" t="str">
        <x:v>A03012</x:v>
      </x:c>
      <x:c r="C3018" s="21" t="str">
        <x:v>artifact</x:v>
      </x:c>
      <x:c r="D3018" s="21" t="str">
        <x:v>artifact 984 planning state</x:v>
      </x:c>
      <x:c r="E3018" s="21" t="n">
        <x:f>IF(AND('Artifact Ledger'!Q990="OPEN",'Artifact Ledger'!R990="HOLD"),1,0)</x:f>
        <x:v>1</x:v>
      </x:c>
      <x:c r="F3018" s="21" t="n">
        <x:v>1</x:v>
      </x:c>
      <x:c r="G3018" s="23" t="str">
        <x:f>IF(E3018=F3018,"PASS","FAIL")</x:f>
        <x:v>PASS</x:v>
      </x:c>
    </x:row>
    <x:row r="3019">
      <x:c r="B3019" s="21" t="str">
        <x:v>A03013</x:v>
      </x:c>
      <x:c r="C3019" s="21" t="str">
        <x:v>artifact</x:v>
      </x:c>
      <x:c r="D3019" s="21" t="str">
        <x:v>artifact 985 eligibility equation</x:v>
      </x:c>
      <x:c r="E3019" s="21" t="n">
        <x:f>IF(ABS('Artifact Ledger'!P991-IF(AND('Artifact Ledger'!L991=1,'Artifact Ledger'!M991=1,'Artifact Ledger'!N991=1,'Artifact Ledger'!O991&gt;='Artifact Ledger'!G991),'Artifact Ledger'!K991,0))&lt;0.000001,1,0)</x:f>
        <x:v>1</x:v>
      </x:c>
      <x:c r="F3019" s="21" t="n">
        <x:v>1</x:v>
      </x:c>
      <x:c r="G3019" s="23" t="str">
        <x:f>IF(E3019=F3019,"PASS","FAIL")</x:f>
        <x:v>PASS</x:v>
      </x:c>
    </x:row>
    <x:row r="3020">
      <x:c r="B3020" s="21" t="str">
        <x:v>A03014</x:v>
      </x:c>
      <x:c r="C3020" s="21" t="str">
        <x:v>artifact</x:v>
      </x:c>
      <x:c r="D3020" s="21" t="str">
        <x:v>artifact 985 planning state</x:v>
      </x:c>
      <x:c r="E3020" s="21" t="n">
        <x:f>IF(AND('Artifact Ledger'!Q991="OPEN",'Artifact Ledger'!R991="HOLD"),1,0)</x:f>
        <x:v>1</x:v>
      </x:c>
      <x:c r="F3020" s="21" t="n">
        <x:v>1</x:v>
      </x:c>
      <x:c r="G3020" s="23" t="str">
        <x:f>IF(E3020=F3020,"PASS","FAIL")</x:f>
        <x:v>PASS</x:v>
      </x:c>
    </x:row>
    <x:row r="3021">
      <x:c r="B3021" s="21" t="str">
        <x:v>A03015</x:v>
      </x:c>
      <x:c r="C3021" s="21" t="str">
        <x:v>artifact</x:v>
      </x:c>
      <x:c r="D3021" s="21" t="str">
        <x:v>artifact 986 eligibility equation</x:v>
      </x:c>
      <x:c r="E3021" s="21" t="n">
        <x:f>IF(ABS('Artifact Ledger'!P992-IF(AND('Artifact Ledger'!L992=1,'Artifact Ledger'!M992=1,'Artifact Ledger'!N992=1,'Artifact Ledger'!O992&gt;='Artifact Ledger'!G992),'Artifact Ledger'!K992,0))&lt;0.000001,1,0)</x:f>
        <x:v>1</x:v>
      </x:c>
      <x:c r="F3021" s="21" t="n">
        <x:v>1</x:v>
      </x:c>
      <x:c r="G3021" s="23" t="str">
        <x:f>IF(E3021=F3021,"PASS","FAIL")</x:f>
        <x:v>PASS</x:v>
      </x:c>
    </x:row>
    <x:row r="3022">
      <x:c r="B3022" s="21" t="str">
        <x:v>A03016</x:v>
      </x:c>
      <x:c r="C3022" s="21" t="str">
        <x:v>artifact</x:v>
      </x:c>
      <x:c r="D3022" s="21" t="str">
        <x:v>artifact 986 planning state</x:v>
      </x:c>
      <x:c r="E3022" s="21" t="n">
        <x:f>IF(AND('Artifact Ledger'!Q992="OPEN",'Artifact Ledger'!R992="HOLD"),1,0)</x:f>
        <x:v>1</x:v>
      </x:c>
      <x:c r="F3022" s="21" t="n">
        <x:v>1</x:v>
      </x:c>
      <x:c r="G3022" s="23" t="str">
        <x:f>IF(E3022=F3022,"PASS","FAIL")</x:f>
        <x:v>PASS</x:v>
      </x:c>
    </x:row>
    <x:row r="3023">
      <x:c r="B3023" s="21" t="str">
        <x:v>A03017</x:v>
      </x:c>
      <x:c r="C3023" s="21" t="str">
        <x:v>artifact</x:v>
      </x:c>
      <x:c r="D3023" s="21" t="str">
        <x:v>artifact 987 eligibility equation</x:v>
      </x:c>
      <x:c r="E3023" s="21" t="n">
        <x:f>IF(ABS('Artifact Ledger'!P993-IF(AND('Artifact Ledger'!L993=1,'Artifact Ledger'!M993=1,'Artifact Ledger'!N993=1,'Artifact Ledger'!O993&gt;='Artifact Ledger'!G993),'Artifact Ledger'!K993,0))&lt;0.000001,1,0)</x:f>
        <x:v>1</x:v>
      </x:c>
      <x:c r="F3023" s="21" t="n">
        <x:v>1</x:v>
      </x:c>
      <x:c r="G3023" s="23" t="str">
        <x:f>IF(E3023=F3023,"PASS","FAIL")</x:f>
        <x:v>PASS</x:v>
      </x:c>
    </x:row>
    <x:row r="3024">
      <x:c r="B3024" s="21" t="str">
        <x:v>A03018</x:v>
      </x:c>
      <x:c r="C3024" s="21" t="str">
        <x:v>artifact</x:v>
      </x:c>
      <x:c r="D3024" s="21" t="str">
        <x:v>artifact 987 planning state</x:v>
      </x:c>
      <x:c r="E3024" s="21" t="n">
        <x:f>IF(AND('Artifact Ledger'!Q993="OPEN",'Artifact Ledger'!R993="HOLD"),1,0)</x:f>
        <x:v>1</x:v>
      </x:c>
      <x:c r="F3024" s="21" t="n">
        <x:v>1</x:v>
      </x:c>
      <x:c r="G3024" s="23" t="str">
        <x:f>IF(E3024=F3024,"PASS","FAIL")</x:f>
        <x:v>PASS</x:v>
      </x:c>
    </x:row>
    <x:row r="3025">
      <x:c r="B3025" s="21" t="str">
        <x:v>A03019</x:v>
      </x:c>
      <x:c r="C3025" s="21" t="str">
        <x:v>artifact</x:v>
      </x:c>
      <x:c r="D3025" s="21" t="str">
        <x:v>artifact 988 eligibility equation</x:v>
      </x:c>
      <x:c r="E3025" s="21" t="n">
        <x:f>IF(ABS('Artifact Ledger'!P994-IF(AND('Artifact Ledger'!L994=1,'Artifact Ledger'!M994=1,'Artifact Ledger'!N994=1,'Artifact Ledger'!O994&gt;='Artifact Ledger'!G994),'Artifact Ledger'!K994,0))&lt;0.000001,1,0)</x:f>
        <x:v>1</x:v>
      </x:c>
      <x:c r="F3025" s="21" t="n">
        <x:v>1</x:v>
      </x:c>
      <x:c r="G3025" s="23" t="str">
        <x:f>IF(E3025=F3025,"PASS","FAIL")</x:f>
        <x:v>PASS</x:v>
      </x:c>
    </x:row>
    <x:row r="3026">
      <x:c r="B3026" s="21" t="str">
        <x:v>A03020</x:v>
      </x:c>
      <x:c r="C3026" s="21" t="str">
        <x:v>artifact</x:v>
      </x:c>
      <x:c r="D3026" s="21" t="str">
        <x:v>artifact 988 planning state</x:v>
      </x:c>
      <x:c r="E3026" s="21" t="n">
        <x:f>IF(AND('Artifact Ledger'!Q994="OPEN",'Artifact Ledger'!R994="HOLD"),1,0)</x:f>
        <x:v>1</x:v>
      </x:c>
      <x:c r="F3026" s="21" t="n">
        <x:v>1</x:v>
      </x:c>
      <x:c r="G3026" s="23" t="str">
        <x:f>IF(E3026=F3026,"PASS","FAIL")</x:f>
        <x:v>PASS</x:v>
      </x:c>
    </x:row>
    <x:row r="3027">
      <x:c r="B3027" s="21" t="str">
        <x:v>A03021</x:v>
      </x:c>
      <x:c r="C3027" s="21" t="str">
        <x:v>artifact</x:v>
      </x:c>
      <x:c r="D3027" s="21" t="str">
        <x:v>artifact 989 eligibility equation</x:v>
      </x:c>
      <x:c r="E3027" s="21" t="n">
        <x:f>IF(ABS('Artifact Ledger'!P995-IF(AND('Artifact Ledger'!L995=1,'Artifact Ledger'!M995=1,'Artifact Ledger'!N995=1,'Artifact Ledger'!O995&gt;='Artifact Ledger'!G995),'Artifact Ledger'!K995,0))&lt;0.000001,1,0)</x:f>
        <x:v>1</x:v>
      </x:c>
      <x:c r="F3027" s="21" t="n">
        <x:v>1</x:v>
      </x:c>
      <x:c r="G3027" s="23" t="str">
        <x:f>IF(E3027=F3027,"PASS","FAIL")</x:f>
        <x:v>PASS</x:v>
      </x:c>
    </x:row>
    <x:row r="3028">
      <x:c r="B3028" s="21" t="str">
        <x:v>A03022</x:v>
      </x:c>
      <x:c r="C3028" s="21" t="str">
        <x:v>artifact</x:v>
      </x:c>
      <x:c r="D3028" s="21" t="str">
        <x:v>artifact 989 planning state</x:v>
      </x:c>
      <x:c r="E3028" s="21" t="n">
        <x:f>IF(AND('Artifact Ledger'!Q995="OPEN",'Artifact Ledger'!R995="HOLD"),1,0)</x:f>
        <x:v>1</x:v>
      </x:c>
      <x:c r="F3028" s="21" t="n">
        <x:v>1</x:v>
      </x:c>
      <x:c r="G3028" s="23" t="str">
        <x:f>IF(E3028=F3028,"PASS","FAIL")</x:f>
        <x:v>PASS</x:v>
      </x:c>
    </x:row>
    <x:row r="3029">
      <x:c r="B3029" s="21" t="str">
        <x:v>A03023</x:v>
      </x:c>
      <x:c r="C3029" s="21" t="str">
        <x:v>artifact</x:v>
      </x:c>
      <x:c r="D3029" s="21" t="str">
        <x:v>artifact 990 eligibility equation</x:v>
      </x:c>
      <x:c r="E3029" s="21" t="n">
        <x:f>IF(ABS('Artifact Ledger'!P996-IF(AND('Artifact Ledger'!L996=1,'Artifact Ledger'!M996=1,'Artifact Ledger'!N996=1,'Artifact Ledger'!O996&gt;='Artifact Ledger'!G996),'Artifact Ledger'!K996,0))&lt;0.000001,1,0)</x:f>
        <x:v>1</x:v>
      </x:c>
      <x:c r="F3029" s="21" t="n">
        <x:v>1</x:v>
      </x:c>
      <x:c r="G3029" s="23" t="str">
        <x:f>IF(E3029=F3029,"PASS","FAIL")</x:f>
        <x:v>PASS</x:v>
      </x:c>
    </x:row>
    <x:row r="3030">
      <x:c r="B3030" s="21" t="str">
        <x:v>A03024</x:v>
      </x:c>
      <x:c r="C3030" s="21" t="str">
        <x:v>artifact</x:v>
      </x:c>
      <x:c r="D3030" s="21" t="str">
        <x:v>artifact 990 planning state</x:v>
      </x:c>
      <x:c r="E3030" s="21" t="n">
        <x:f>IF(AND('Artifact Ledger'!Q996="OPEN",'Artifact Ledger'!R996="HOLD"),1,0)</x:f>
        <x:v>1</x:v>
      </x:c>
      <x:c r="F3030" s="21" t="n">
        <x:v>1</x:v>
      </x:c>
      <x:c r="G3030" s="23" t="str">
        <x:f>IF(E3030=F3030,"PASS","FAIL")</x:f>
        <x:v>PASS</x:v>
      </x:c>
    </x:row>
    <x:row r="3031">
      <x:c r="B3031" s="21" t="str">
        <x:v>A03025</x:v>
      </x:c>
      <x:c r="C3031" s="21" t="str">
        <x:v>artifact</x:v>
      </x:c>
      <x:c r="D3031" s="21" t="str">
        <x:v>artifact 991 eligibility equation</x:v>
      </x:c>
      <x:c r="E3031" s="21" t="n">
        <x:f>IF(ABS('Artifact Ledger'!P997-IF(AND('Artifact Ledger'!L997=1,'Artifact Ledger'!M997=1,'Artifact Ledger'!N997=1,'Artifact Ledger'!O997&gt;='Artifact Ledger'!G997),'Artifact Ledger'!K997,0))&lt;0.000001,1,0)</x:f>
        <x:v>1</x:v>
      </x:c>
      <x:c r="F3031" s="21" t="n">
        <x:v>1</x:v>
      </x:c>
      <x:c r="G3031" s="23" t="str">
        <x:f>IF(E3031=F3031,"PASS","FAIL")</x:f>
        <x:v>PASS</x:v>
      </x:c>
    </x:row>
    <x:row r="3032">
      <x:c r="B3032" s="21" t="str">
        <x:v>A03026</x:v>
      </x:c>
      <x:c r="C3032" s="21" t="str">
        <x:v>artifact</x:v>
      </x:c>
      <x:c r="D3032" s="21" t="str">
        <x:v>artifact 991 planning state</x:v>
      </x:c>
      <x:c r="E3032" s="21" t="n">
        <x:f>IF(AND('Artifact Ledger'!Q997="OPEN",'Artifact Ledger'!R997="HOLD"),1,0)</x:f>
        <x:v>1</x:v>
      </x:c>
      <x:c r="F3032" s="21" t="n">
        <x:v>1</x:v>
      </x:c>
      <x:c r="G3032" s="23" t="str">
        <x:f>IF(E3032=F3032,"PASS","FAIL")</x:f>
        <x:v>PASS</x:v>
      </x:c>
    </x:row>
    <x:row r="3033">
      <x:c r="B3033" s="21" t="str">
        <x:v>A03027</x:v>
      </x:c>
      <x:c r="C3033" s="21" t="str">
        <x:v>artifact</x:v>
      </x:c>
      <x:c r="D3033" s="21" t="str">
        <x:v>artifact 992 eligibility equation</x:v>
      </x:c>
      <x:c r="E3033" s="21" t="n">
        <x:f>IF(ABS('Artifact Ledger'!P998-IF(AND('Artifact Ledger'!L998=1,'Artifact Ledger'!M998=1,'Artifact Ledger'!N998=1,'Artifact Ledger'!O998&gt;='Artifact Ledger'!G998),'Artifact Ledger'!K998,0))&lt;0.000001,1,0)</x:f>
        <x:v>1</x:v>
      </x:c>
      <x:c r="F3033" s="21" t="n">
        <x:v>1</x:v>
      </x:c>
      <x:c r="G3033" s="23" t="str">
        <x:f>IF(E3033=F3033,"PASS","FAIL")</x:f>
        <x:v>PASS</x:v>
      </x:c>
    </x:row>
    <x:row r="3034">
      <x:c r="B3034" s="21" t="str">
        <x:v>A03028</x:v>
      </x:c>
      <x:c r="C3034" s="21" t="str">
        <x:v>artifact</x:v>
      </x:c>
      <x:c r="D3034" s="21" t="str">
        <x:v>artifact 992 planning state</x:v>
      </x:c>
      <x:c r="E3034" s="21" t="n">
        <x:f>IF(AND('Artifact Ledger'!Q998="OPEN",'Artifact Ledger'!R998="HOLD"),1,0)</x:f>
        <x:v>1</x:v>
      </x:c>
      <x:c r="F3034" s="21" t="n">
        <x:v>1</x:v>
      </x:c>
      <x:c r="G3034" s="23" t="str">
        <x:f>IF(E3034=F3034,"PASS","FAIL")</x:f>
        <x:v>PASS</x:v>
      </x:c>
    </x:row>
    <x:row r="3035">
      <x:c r="B3035" s="21" t="str">
        <x:v>A03029</x:v>
      </x:c>
      <x:c r="C3035" s="21" t="str">
        <x:v>artifact</x:v>
      </x:c>
      <x:c r="D3035" s="21" t="str">
        <x:v>artifact 993 eligibility equation</x:v>
      </x:c>
      <x:c r="E3035" s="21" t="n">
        <x:f>IF(ABS('Artifact Ledger'!P999-IF(AND('Artifact Ledger'!L999=1,'Artifact Ledger'!M999=1,'Artifact Ledger'!N999=1,'Artifact Ledger'!O999&gt;='Artifact Ledger'!G999),'Artifact Ledger'!K999,0))&lt;0.000001,1,0)</x:f>
        <x:v>1</x:v>
      </x:c>
      <x:c r="F3035" s="21" t="n">
        <x:v>1</x:v>
      </x:c>
      <x:c r="G3035" s="23" t="str">
        <x:f>IF(E3035=F3035,"PASS","FAIL")</x:f>
        <x:v>PASS</x:v>
      </x:c>
    </x:row>
    <x:row r="3036">
      <x:c r="B3036" s="21" t="str">
        <x:v>A03030</x:v>
      </x:c>
      <x:c r="C3036" s="21" t="str">
        <x:v>artifact</x:v>
      </x:c>
      <x:c r="D3036" s="21" t="str">
        <x:v>artifact 993 planning state</x:v>
      </x:c>
      <x:c r="E3036" s="21" t="n">
        <x:f>IF(AND('Artifact Ledger'!Q999="OPEN",'Artifact Ledger'!R999="HOLD"),1,0)</x:f>
        <x:v>1</x:v>
      </x:c>
      <x:c r="F3036" s="21" t="n">
        <x:v>1</x:v>
      </x:c>
      <x:c r="G3036" s="23" t="str">
        <x:f>IF(E3036=F3036,"PASS","FAIL")</x:f>
        <x:v>PASS</x:v>
      </x:c>
    </x:row>
    <x:row r="3037">
      <x:c r="B3037" s="21" t="str">
        <x:v>A03031</x:v>
      </x:c>
      <x:c r="C3037" s="21" t="str">
        <x:v>artifact</x:v>
      </x:c>
      <x:c r="D3037" s="21" t="str">
        <x:v>artifact 994 eligibility equation</x:v>
      </x:c>
      <x:c r="E3037" s="21" t="n">
        <x:f>IF(ABS('Artifact Ledger'!P1000-IF(AND('Artifact Ledger'!L1000=1,'Artifact Ledger'!M1000=1,'Artifact Ledger'!N1000=1,'Artifact Ledger'!O1000&gt;='Artifact Ledger'!G1000),'Artifact Ledger'!K1000,0))&lt;0.000001,1,0)</x:f>
        <x:v>1</x:v>
      </x:c>
      <x:c r="F3037" s="21" t="n">
        <x:v>1</x:v>
      </x:c>
      <x:c r="G3037" s="23" t="str">
        <x:f>IF(E3037=F3037,"PASS","FAIL")</x:f>
        <x:v>PASS</x:v>
      </x:c>
    </x:row>
    <x:row r="3038">
      <x:c r="B3038" s="21" t="str">
        <x:v>A03032</x:v>
      </x:c>
      <x:c r="C3038" s="21" t="str">
        <x:v>artifact</x:v>
      </x:c>
      <x:c r="D3038" s="21" t="str">
        <x:v>artifact 994 planning state</x:v>
      </x:c>
      <x:c r="E3038" s="21" t="n">
        <x:f>IF(AND('Artifact Ledger'!Q1000="OPEN",'Artifact Ledger'!R1000="HOLD"),1,0)</x:f>
        <x:v>1</x:v>
      </x:c>
      <x:c r="F3038" s="21" t="n">
        <x:v>1</x:v>
      </x:c>
      <x:c r="G3038" s="23" t="str">
        <x:f>IF(E3038=F3038,"PASS","FAIL")</x:f>
        <x:v>PASS</x:v>
      </x:c>
    </x:row>
    <x:row r="3039">
      <x:c r="B3039" s="21" t="str">
        <x:v>A03033</x:v>
      </x:c>
      <x:c r="C3039" s="21" t="str">
        <x:v>artifact</x:v>
      </x:c>
      <x:c r="D3039" s="21" t="str">
        <x:v>artifact 995 eligibility equation</x:v>
      </x:c>
      <x:c r="E3039" s="21" t="n">
        <x:f>IF(ABS('Artifact Ledger'!P1001-IF(AND('Artifact Ledger'!L1001=1,'Artifact Ledger'!M1001=1,'Artifact Ledger'!N1001=1,'Artifact Ledger'!O1001&gt;='Artifact Ledger'!G1001),'Artifact Ledger'!K1001,0))&lt;0.000001,1,0)</x:f>
        <x:v>1</x:v>
      </x:c>
      <x:c r="F3039" s="21" t="n">
        <x:v>1</x:v>
      </x:c>
      <x:c r="G3039" s="23" t="str">
        <x:f>IF(E3039=F3039,"PASS","FAIL")</x:f>
        <x:v>PASS</x:v>
      </x:c>
    </x:row>
    <x:row r="3040">
      <x:c r="B3040" s="21" t="str">
        <x:v>A03034</x:v>
      </x:c>
      <x:c r="C3040" s="21" t="str">
        <x:v>artifact</x:v>
      </x:c>
      <x:c r="D3040" s="21" t="str">
        <x:v>artifact 995 planning state</x:v>
      </x:c>
      <x:c r="E3040" s="21" t="n">
        <x:f>IF(AND('Artifact Ledger'!Q1001="OPEN",'Artifact Ledger'!R1001="HOLD"),1,0)</x:f>
        <x:v>1</x:v>
      </x:c>
      <x:c r="F3040" s="21" t="n">
        <x:v>1</x:v>
      </x:c>
      <x:c r="G3040" s="23" t="str">
        <x:f>IF(E3040=F3040,"PASS","FAIL")</x:f>
        <x:v>PASS</x:v>
      </x:c>
    </x:row>
    <x:row r="3041">
      <x:c r="B3041" s="21" t="str">
        <x:v>A03035</x:v>
      </x:c>
      <x:c r="C3041" s="21" t="str">
        <x:v>artifact</x:v>
      </x:c>
      <x:c r="D3041" s="21" t="str">
        <x:v>artifact 996 eligibility equation</x:v>
      </x:c>
      <x:c r="E3041" s="21" t="n">
        <x:f>IF(ABS('Artifact Ledger'!P1002-IF(AND('Artifact Ledger'!L1002=1,'Artifact Ledger'!M1002=1,'Artifact Ledger'!N1002=1,'Artifact Ledger'!O1002&gt;='Artifact Ledger'!G1002),'Artifact Ledger'!K1002,0))&lt;0.000001,1,0)</x:f>
        <x:v>1</x:v>
      </x:c>
      <x:c r="F3041" s="21" t="n">
        <x:v>1</x:v>
      </x:c>
      <x:c r="G3041" s="23" t="str">
        <x:f>IF(E3041=F3041,"PASS","FAIL")</x:f>
        <x:v>PASS</x:v>
      </x:c>
    </x:row>
    <x:row r="3042">
      <x:c r="B3042" s="21" t="str">
        <x:v>A03036</x:v>
      </x:c>
      <x:c r="C3042" s="21" t="str">
        <x:v>artifact</x:v>
      </x:c>
      <x:c r="D3042" s="21" t="str">
        <x:v>artifact 996 planning state</x:v>
      </x:c>
      <x:c r="E3042" s="21" t="n">
        <x:f>IF(AND('Artifact Ledger'!Q1002="OPEN",'Artifact Ledger'!R1002="HOLD"),1,0)</x:f>
        <x:v>1</x:v>
      </x:c>
      <x:c r="F3042" s="21" t="n">
        <x:v>1</x:v>
      </x:c>
      <x:c r="G3042" s="23" t="str">
        <x:f>IF(E3042=F3042,"PASS","FAIL")</x:f>
        <x:v>PASS</x:v>
      </x:c>
    </x:row>
    <x:row r="3043">
      <x:c r="B3043" s="21" t="str">
        <x:v>A03037</x:v>
      </x:c>
      <x:c r="C3043" s="21" t="str">
        <x:v>artifact</x:v>
      </x:c>
      <x:c r="D3043" s="21" t="str">
        <x:v>artifact 997 eligibility equation</x:v>
      </x:c>
      <x:c r="E3043" s="21" t="n">
        <x:f>IF(ABS('Artifact Ledger'!P1003-IF(AND('Artifact Ledger'!L1003=1,'Artifact Ledger'!M1003=1,'Artifact Ledger'!N1003=1,'Artifact Ledger'!O1003&gt;='Artifact Ledger'!G1003),'Artifact Ledger'!K1003,0))&lt;0.000001,1,0)</x:f>
        <x:v>1</x:v>
      </x:c>
      <x:c r="F3043" s="21" t="n">
        <x:v>1</x:v>
      </x:c>
      <x:c r="G3043" s="23" t="str">
        <x:f>IF(E3043=F3043,"PASS","FAIL")</x:f>
        <x:v>PASS</x:v>
      </x:c>
    </x:row>
    <x:row r="3044">
      <x:c r="B3044" s="21" t="str">
        <x:v>A03038</x:v>
      </x:c>
      <x:c r="C3044" s="21" t="str">
        <x:v>artifact</x:v>
      </x:c>
      <x:c r="D3044" s="21" t="str">
        <x:v>artifact 997 planning state</x:v>
      </x:c>
      <x:c r="E3044" s="21" t="n">
        <x:f>IF(AND('Artifact Ledger'!Q1003="OPEN",'Artifact Ledger'!R1003="HOLD"),1,0)</x:f>
        <x:v>1</x:v>
      </x:c>
      <x:c r="F3044" s="21" t="n">
        <x:v>1</x:v>
      </x:c>
      <x:c r="G3044" s="23" t="str">
        <x:f>IF(E3044=F3044,"PASS","FAIL")</x:f>
        <x:v>PASS</x:v>
      </x:c>
    </x:row>
    <x:row r="3045">
      <x:c r="B3045" s="21" t="str">
        <x:v>A03039</x:v>
      </x:c>
      <x:c r="C3045" s="21" t="str">
        <x:v>artifact</x:v>
      </x:c>
      <x:c r="D3045" s="21" t="str">
        <x:v>artifact 998 eligibility equation</x:v>
      </x:c>
      <x:c r="E3045" s="21" t="n">
        <x:f>IF(ABS('Artifact Ledger'!P1004-IF(AND('Artifact Ledger'!L1004=1,'Artifact Ledger'!M1004=1,'Artifact Ledger'!N1004=1,'Artifact Ledger'!O1004&gt;='Artifact Ledger'!G1004),'Artifact Ledger'!K1004,0))&lt;0.000001,1,0)</x:f>
        <x:v>1</x:v>
      </x:c>
      <x:c r="F3045" s="21" t="n">
        <x:v>1</x:v>
      </x:c>
      <x:c r="G3045" s="23" t="str">
        <x:f>IF(E3045=F3045,"PASS","FAIL")</x:f>
        <x:v>PASS</x:v>
      </x:c>
    </x:row>
    <x:row r="3046">
      <x:c r="B3046" s="21" t="str">
        <x:v>A03040</x:v>
      </x:c>
      <x:c r="C3046" s="21" t="str">
        <x:v>artifact</x:v>
      </x:c>
      <x:c r="D3046" s="21" t="str">
        <x:v>artifact 998 planning state</x:v>
      </x:c>
      <x:c r="E3046" s="21" t="n">
        <x:f>IF(AND('Artifact Ledger'!Q1004="OPEN",'Artifact Ledger'!R1004="HOLD"),1,0)</x:f>
        <x:v>1</x:v>
      </x:c>
      <x:c r="F3046" s="21" t="n">
        <x:v>1</x:v>
      </x:c>
      <x:c r="G3046" s="23" t="str">
        <x:f>IF(E3046=F3046,"PASS","FAIL")</x:f>
        <x:v>PASS</x:v>
      </x:c>
    </x:row>
    <x:row r="3047">
      <x:c r="B3047" s="21" t="str">
        <x:v>A03041</x:v>
      </x:c>
      <x:c r="C3047" s="21" t="str">
        <x:v>artifact</x:v>
      </x:c>
      <x:c r="D3047" s="21" t="str">
        <x:v>artifact 999 eligibility equation</x:v>
      </x:c>
      <x:c r="E3047" s="21" t="n">
        <x:f>IF(ABS('Artifact Ledger'!P1005-IF(AND('Artifact Ledger'!L1005=1,'Artifact Ledger'!M1005=1,'Artifact Ledger'!N1005=1,'Artifact Ledger'!O1005&gt;='Artifact Ledger'!G1005),'Artifact Ledger'!K1005,0))&lt;0.000001,1,0)</x:f>
        <x:v>1</x:v>
      </x:c>
      <x:c r="F3047" s="21" t="n">
        <x:v>1</x:v>
      </x:c>
      <x:c r="G3047" s="23" t="str">
        <x:f>IF(E3047=F3047,"PASS","FAIL")</x:f>
        <x:v>PASS</x:v>
      </x:c>
    </x:row>
    <x:row r="3048">
      <x:c r="B3048" s="21" t="str">
        <x:v>A03042</x:v>
      </x:c>
      <x:c r="C3048" s="21" t="str">
        <x:v>artifact</x:v>
      </x:c>
      <x:c r="D3048" s="21" t="str">
        <x:v>artifact 999 planning state</x:v>
      </x:c>
      <x:c r="E3048" s="21" t="n">
        <x:f>IF(AND('Artifact Ledger'!Q1005="OPEN",'Artifact Ledger'!R1005="HOLD"),1,0)</x:f>
        <x:v>1</x:v>
      </x:c>
      <x:c r="F3048" s="21" t="n">
        <x:v>1</x:v>
      </x:c>
      <x:c r="G3048" s="23" t="str">
        <x:f>IF(E3048=F3048,"PASS","FAIL")</x:f>
        <x:v>PASS</x:v>
      </x:c>
    </x:row>
    <x:row r="3049">
      <x:c r="B3049" s="21" t="str">
        <x:v>A03043</x:v>
      </x:c>
      <x:c r="C3049" s="21" t="str">
        <x:v>artifact</x:v>
      </x:c>
      <x:c r="D3049" s="21" t="str">
        <x:v>artifact 1000 eligibility equation</x:v>
      </x:c>
      <x:c r="E3049" s="21" t="n">
        <x:f>IF(ABS('Artifact Ledger'!P1006-IF(AND('Artifact Ledger'!L1006=1,'Artifact Ledger'!M1006=1,'Artifact Ledger'!N1006=1,'Artifact Ledger'!O1006&gt;='Artifact Ledger'!G1006),'Artifact Ledger'!K1006,0))&lt;0.000001,1,0)</x:f>
        <x:v>1</x:v>
      </x:c>
      <x:c r="F3049" s="21" t="n">
        <x:v>1</x:v>
      </x:c>
      <x:c r="G3049" s="23" t="str">
        <x:f>IF(E3049=F3049,"PASS","FAIL")</x:f>
        <x:v>PASS</x:v>
      </x:c>
    </x:row>
    <x:row r="3050">
      <x:c r="B3050" s="21" t="str">
        <x:v>A03044</x:v>
      </x:c>
      <x:c r="C3050" s="21" t="str">
        <x:v>artifact</x:v>
      </x:c>
      <x:c r="D3050" s="21" t="str">
        <x:v>artifact 1000 planning state</x:v>
      </x:c>
      <x:c r="E3050" s="21" t="n">
        <x:f>IF(AND('Artifact Ledger'!Q1006="OPEN",'Artifact Ledger'!R1006="HOLD"),1,0)</x:f>
        <x:v>1</x:v>
      </x:c>
      <x:c r="F3050" s="21" t="n">
        <x:v>1</x:v>
      </x:c>
      <x:c r="G3050" s="23" t="str">
        <x:f>IF(E3050=F3050,"PASS","FAIL")</x:f>
        <x:v>PASS</x:v>
      </x:c>
    </x:row>
    <x:row r="3051">
      <x:c r="B3051" s="21" t="str">
        <x:v>A03045</x:v>
      </x:c>
      <x:c r="C3051" s="21" t="str">
        <x:v>artifact</x:v>
      </x:c>
      <x:c r="D3051" s="21" t="str">
        <x:v>artifact 1001 eligibility equation</x:v>
      </x:c>
      <x:c r="E3051" s="21" t="n">
        <x:f>IF(ABS('Artifact Ledger'!P1007-IF(AND('Artifact Ledger'!L1007=1,'Artifact Ledger'!M1007=1,'Artifact Ledger'!N1007=1,'Artifact Ledger'!O1007&gt;='Artifact Ledger'!G1007),'Artifact Ledger'!K1007,0))&lt;0.000001,1,0)</x:f>
        <x:v>1</x:v>
      </x:c>
      <x:c r="F3051" s="21" t="n">
        <x:v>1</x:v>
      </x:c>
      <x:c r="G3051" s="23" t="str">
        <x:f>IF(E3051=F3051,"PASS","FAIL")</x:f>
        <x:v>PASS</x:v>
      </x:c>
    </x:row>
    <x:row r="3052">
      <x:c r="B3052" s="21" t="str">
        <x:v>A03046</x:v>
      </x:c>
      <x:c r="C3052" s="21" t="str">
        <x:v>artifact</x:v>
      </x:c>
      <x:c r="D3052" s="21" t="str">
        <x:v>artifact 1001 planning state</x:v>
      </x:c>
      <x:c r="E3052" s="21" t="n">
        <x:f>IF(AND('Artifact Ledger'!Q1007="OPEN",'Artifact Ledger'!R1007="HOLD"),1,0)</x:f>
        <x:v>1</x:v>
      </x:c>
      <x:c r="F3052" s="21" t="n">
        <x:v>1</x:v>
      </x:c>
      <x:c r="G3052" s="23" t="str">
        <x:f>IF(E3052=F3052,"PASS","FAIL")</x:f>
        <x:v>PASS</x:v>
      </x:c>
    </x:row>
    <x:row r="3053">
      <x:c r="B3053" s="21" t="str">
        <x:v>A03047</x:v>
      </x:c>
      <x:c r="C3053" s="21" t="str">
        <x:v>artifact</x:v>
      </x:c>
      <x:c r="D3053" s="21" t="str">
        <x:v>artifact 1002 eligibility equation</x:v>
      </x:c>
      <x:c r="E3053" s="21" t="n">
        <x:f>IF(ABS('Artifact Ledger'!P1008-IF(AND('Artifact Ledger'!L1008=1,'Artifact Ledger'!M1008=1,'Artifact Ledger'!N1008=1,'Artifact Ledger'!O1008&gt;='Artifact Ledger'!G1008),'Artifact Ledger'!K1008,0))&lt;0.000001,1,0)</x:f>
        <x:v>1</x:v>
      </x:c>
      <x:c r="F3053" s="21" t="n">
        <x:v>1</x:v>
      </x:c>
      <x:c r="G3053" s="23" t="str">
        <x:f>IF(E3053=F3053,"PASS","FAIL")</x:f>
        <x:v>PASS</x:v>
      </x:c>
    </x:row>
    <x:row r="3054">
      <x:c r="B3054" s="21" t="str">
        <x:v>A03048</x:v>
      </x:c>
      <x:c r="C3054" s="21" t="str">
        <x:v>artifact</x:v>
      </x:c>
      <x:c r="D3054" s="21" t="str">
        <x:v>artifact 1002 planning state</x:v>
      </x:c>
      <x:c r="E3054" s="21" t="n">
        <x:f>IF(AND('Artifact Ledger'!Q1008="OPEN",'Artifact Ledger'!R1008="HOLD"),1,0)</x:f>
        <x:v>1</x:v>
      </x:c>
      <x:c r="F3054" s="21" t="n">
        <x:v>1</x:v>
      </x:c>
      <x:c r="G3054" s="23" t="str">
        <x:f>IF(E3054=F3054,"PASS","FAIL")</x:f>
        <x:v>PASS</x:v>
      </x:c>
    </x:row>
    <x:row r="3055">
      <x:c r="B3055" s="21" t="str">
        <x:v>A03049</x:v>
      </x:c>
      <x:c r="C3055" s="21" t="str">
        <x:v>artifact</x:v>
      </x:c>
      <x:c r="D3055" s="21" t="str">
        <x:v>artifact 1003 eligibility equation</x:v>
      </x:c>
      <x:c r="E3055" s="21" t="n">
        <x:f>IF(ABS('Artifact Ledger'!P1009-IF(AND('Artifact Ledger'!L1009=1,'Artifact Ledger'!M1009=1,'Artifact Ledger'!N1009=1,'Artifact Ledger'!O1009&gt;='Artifact Ledger'!G1009),'Artifact Ledger'!K1009,0))&lt;0.000001,1,0)</x:f>
        <x:v>1</x:v>
      </x:c>
      <x:c r="F3055" s="21" t="n">
        <x:v>1</x:v>
      </x:c>
      <x:c r="G3055" s="23" t="str">
        <x:f>IF(E3055=F3055,"PASS","FAIL")</x:f>
        <x:v>PASS</x:v>
      </x:c>
    </x:row>
    <x:row r="3056">
      <x:c r="B3056" s="21" t="str">
        <x:v>A03050</x:v>
      </x:c>
      <x:c r="C3056" s="21" t="str">
        <x:v>artifact</x:v>
      </x:c>
      <x:c r="D3056" s="21" t="str">
        <x:v>artifact 1003 planning state</x:v>
      </x:c>
      <x:c r="E3056" s="21" t="n">
        <x:f>IF(AND('Artifact Ledger'!Q1009="OPEN",'Artifact Ledger'!R1009="HOLD"),1,0)</x:f>
        <x:v>1</x:v>
      </x:c>
      <x:c r="F3056" s="21" t="n">
        <x:v>1</x:v>
      </x:c>
      <x:c r="G3056" s="23" t="str">
        <x:f>IF(E3056=F3056,"PASS","FAIL")</x:f>
        <x:v>PASS</x:v>
      </x:c>
    </x:row>
    <x:row r="3057">
      <x:c r="B3057" s="21" t="str">
        <x:v>A03051</x:v>
      </x:c>
      <x:c r="C3057" s="21" t="str">
        <x:v>artifact</x:v>
      </x:c>
      <x:c r="D3057" s="21" t="str">
        <x:v>artifact 1004 eligibility equation</x:v>
      </x:c>
      <x:c r="E3057" s="21" t="n">
        <x:f>IF(ABS('Artifact Ledger'!P1010-IF(AND('Artifact Ledger'!L1010=1,'Artifact Ledger'!M1010=1,'Artifact Ledger'!N1010=1,'Artifact Ledger'!O1010&gt;='Artifact Ledger'!G1010),'Artifact Ledger'!K1010,0))&lt;0.000001,1,0)</x:f>
        <x:v>1</x:v>
      </x:c>
      <x:c r="F3057" s="21" t="n">
        <x:v>1</x:v>
      </x:c>
      <x:c r="G3057" s="23" t="str">
        <x:f>IF(E3057=F3057,"PASS","FAIL")</x:f>
        <x:v>PASS</x:v>
      </x:c>
    </x:row>
    <x:row r="3058">
      <x:c r="B3058" s="21" t="str">
        <x:v>A03052</x:v>
      </x:c>
      <x:c r="C3058" s="21" t="str">
        <x:v>artifact</x:v>
      </x:c>
      <x:c r="D3058" s="21" t="str">
        <x:v>artifact 1004 planning state</x:v>
      </x:c>
      <x:c r="E3058" s="21" t="n">
        <x:f>IF(AND('Artifact Ledger'!Q1010="OPEN",'Artifact Ledger'!R1010="HOLD"),1,0)</x:f>
        <x:v>1</x:v>
      </x:c>
      <x:c r="F3058" s="21" t="n">
        <x:v>1</x:v>
      </x:c>
      <x:c r="G3058" s="23" t="str">
        <x:f>IF(E3058=F3058,"PASS","FAIL")</x:f>
        <x:v>PASS</x:v>
      </x:c>
    </x:row>
    <x:row r="3059">
      <x:c r="B3059" s="21" t="str">
        <x:v>A03053</x:v>
      </x:c>
      <x:c r="C3059" s="21" t="str">
        <x:v>artifact</x:v>
      </x:c>
      <x:c r="D3059" s="21" t="str">
        <x:v>artifact 1005 eligibility equation</x:v>
      </x:c>
      <x:c r="E3059" s="21" t="n">
        <x:f>IF(ABS('Artifact Ledger'!P1011-IF(AND('Artifact Ledger'!L1011=1,'Artifact Ledger'!M1011=1,'Artifact Ledger'!N1011=1,'Artifact Ledger'!O1011&gt;='Artifact Ledger'!G1011),'Artifact Ledger'!K1011,0))&lt;0.000001,1,0)</x:f>
        <x:v>1</x:v>
      </x:c>
      <x:c r="F3059" s="21" t="n">
        <x:v>1</x:v>
      </x:c>
      <x:c r="G3059" s="23" t="str">
        <x:f>IF(E3059=F3059,"PASS","FAIL")</x:f>
        <x:v>PASS</x:v>
      </x:c>
    </x:row>
    <x:row r="3060">
      <x:c r="B3060" s="21" t="str">
        <x:v>A03054</x:v>
      </x:c>
      <x:c r="C3060" s="21" t="str">
        <x:v>artifact</x:v>
      </x:c>
      <x:c r="D3060" s="21" t="str">
        <x:v>artifact 1005 planning state</x:v>
      </x:c>
      <x:c r="E3060" s="21" t="n">
        <x:f>IF(AND('Artifact Ledger'!Q1011="OPEN",'Artifact Ledger'!R1011="HOLD"),1,0)</x:f>
        <x:v>1</x:v>
      </x:c>
      <x:c r="F3060" s="21" t="n">
        <x:v>1</x:v>
      </x:c>
      <x:c r="G3060" s="23" t="str">
        <x:f>IF(E3060=F3060,"PASS","FAIL")</x:f>
        <x:v>PASS</x:v>
      </x:c>
    </x:row>
    <x:row r="3061">
      <x:c r="B3061" s="21" t="str">
        <x:v>A03055</x:v>
      </x:c>
      <x:c r="C3061" s="21" t="str">
        <x:v>artifact</x:v>
      </x:c>
      <x:c r="D3061" s="21" t="str">
        <x:v>artifact 1006 eligibility equation</x:v>
      </x:c>
      <x:c r="E3061" s="21" t="n">
        <x:f>IF(ABS('Artifact Ledger'!P1012-IF(AND('Artifact Ledger'!L1012=1,'Artifact Ledger'!M1012=1,'Artifact Ledger'!N1012=1,'Artifact Ledger'!O1012&gt;='Artifact Ledger'!G1012),'Artifact Ledger'!K1012,0))&lt;0.000001,1,0)</x:f>
        <x:v>1</x:v>
      </x:c>
      <x:c r="F3061" s="21" t="n">
        <x:v>1</x:v>
      </x:c>
      <x:c r="G3061" s="23" t="str">
        <x:f>IF(E3061=F3061,"PASS","FAIL")</x:f>
        <x:v>PASS</x:v>
      </x:c>
    </x:row>
    <x:row r="3062">
      <x:c r="B3062" s="21" t="str">
        <x:v>A03056</x:v>
      </x:c>
      <x:c r="C3062" s="21" t="str">
        <x:v>artifact</x:v>
      </x:c>
      <x:c r="D3062" s="21" t="str">
        <x:v>artifact 1006 planning state</x:v>
      </x:c>
      <x:c r="E3062" s="21" t="n">
        <x:f>IF(AND('Artifact Ledger'!Q1012="OPEN",'Artifact Ledger'!R1012="HOLD"),1,0)</x:f>
        <x:v>1</x:v>
      </x:c>
      <x:c r="F3062" s="21" t="n">
        <x:v>1</x:v>
      </x:c>
      <x:c r="G3062" s="23" t="str">
        <x:f>IF(E3062=F3062,"PASS","FAIL")</x:f>
        <x:v>PASS</x:v>
      </x:c>
    </x:row>
    <x:row r="3063">
      <x:c r="B3063" s="21" t="str">
        <x:v>A03057</x:v>
      </x:c>
      <x:c r="C3063" s="21" t="str">
        <x:v>artifact</x:v>
      </x:c>
      <x:c r="D3063" s="21" t="str">
        <x:v>artifact 1007 eligibility equation</x:v>
      </x:c>
      <x:c r="E3063" s="21" t="n">
        <x:f>IF(ABS('Artifact Ledger'!P1013-IF(AND('Artifact Ledger'!L1013=1,'Artifact Ledger'!M1013=1,'Artifact Ledger'!N1013=1,'Artifact Ledger'!O1013&gt;='Artifact Ledger'!G1013),'Artifact Ledger'!K1013,0))&lt;0.000001,1,0)</x:f>
        <x:v>1</x:v>
      </x:c>
      <x:c r="F3063" s="21" t="n">
        <x:v>1</x:v>
      </x:c>
      <x:c r="G3063" s="23" t="str">
        <x:f>IF(E3063=F3063,"PASS","FAIL")</x:f>
        <x:v>PASS</x:v>
      </x:c>
    </x:row>
    <x:row r="3064">
      <x:c r="B3064" s="21" t="str">
        <x:v>A03058</x:v>
      </x:c>
      <x:c r="C3064" s="21" t="str">
        <x:v>artifact</x:v>
      </x:c>
      <x:c r="D3064" s="21" t="str">
        <x:v>artifact 1007 planning state</x:v>
      </x:c>
      <x:c r="E3064" s="21" t="n">
        <x:f>IF(AND('Artifact Ledger'!Q1013="OPEN",'Artifact Ledger'!R1013="HOLD"),1,0)</x:f>
        <x:v>1</x:v>
      </x:c>
      <x:c r="F3064" s="21" t="n">
        <x:v>1</x:v>
      </x:c>
      <x:c r="G3064" s="23" t="str">
        <x:f>IF(E3064=F3064,"PASS","FAIL")</x:f>
        <x:v>PASS</x:v>
      </x:c>
    </x:row>
    <x:row r="3065">
      <x:c r="B3065" s="21" t="str">
        <x:v>A03059</x:v>
      </x:c>
      <x:c r="C3065" s="21" t="str">
        <x:v>artifact</x:v>
      </x:c>
      <x:c r="D3065" s="21" t="str">
        <x:v>artifact 1008 eligibility equation</x:v>
      </x:c>
      <x:c r="E3065" s="21" t="n">
        <x:f>IF(ABS('Artifact Ledger'!P1014-IF(AND('Artifact Ledger'!L1014=1,'Artifact Ledger'!M1014=1,'Artifact Ledger'!N1014=1,'Artifact Ledger'!O1014&gt;='Artifact Ledger'!G1014),'Artifact Ledger'!K1014,0))&lt;0.000001,1,0)</x:f>
        <x:v>1</x:v>
      </x:c>
      <x:c r="F3065" s="21" t="n">
        <x:v>1</x:v>
      </x:c>
      <x:c r="G3065" s="23" t="str">
        <x:f>IF(E3065=F3065,"PASS","FAIL")</x:f>
        <x:v>PASS</x:v>
      </x:c>
    </x:row>
    <x:row r="3066">
      <x:c r="B3066" s="21" t="str">
        <x:v>A03060</x:v>
      </x:c>
      <x:c r="C3066" s="21" t="str">
        <x:v>artifact</x:v>
      </x:c>
      <x:c r="D3066" s="21" t="str">
        <x:v>artifact 1008 planning state</x:v>
      </x:c>
      <x:c r="E3066" s="21" t="n">
        <x:f>IF(AND('Artifact Ledger'!Q1014="OPEN",'Artifact Ledger'!R1014="HOLD"),1,0)</x:f>
        <x:v>1</x:v>
      </x:c>
      <x:c r="F3066" s="21" t="n">
        <x:v>1</x:v>
      </x:c>
      <x:c r="G3066" s="23" t="str">
        <x:f>IF(E3066=F3066,"PASS","FAIL")</x:f>
        <x:v>PASS</x:v>
      </x:c>
    </x:row>
    <x:row r="3067">
      <x:c r="B3067" s="21" t="str">
        <x:v>A03061</x:v>
      </x:c>
      <x:c r="C3067" s="21" t="str">
        <x:v>artifact</x:v>
      </x:c>
      <x:c r="D3067" s="21" t="str">
        <x:v>artifact 1009 eligibility equation</x:v>
      </x:c>
      <x:c r="E3067" s="21" t="n">
        <x:f>IF(ABS('Artifact Ledger'!P1015-IF(AND('Artifact Ledger'!L1015=1,'Artifact Ledger'!M1015=1,'Artifact Ledger'!N1015=1,'Artifact Ledger'!O1015&gt;='Artifact Ledger'!G1015),'Artifact Ledger'!K1015,0))&lt;0.000001,1,0)</x:f>
        <x:v>1</x:v>
      </x:c>
      <x:c r="F3067" s="21" t="n">
        <x:v>1</x:v>
      </x:c>
      <x:c r="G3067" s="23" t="str">
        <x:f>IF(E3067=F3067,"PASS","FAIL")</x:f>
        <x:v>PASS</x:v>
      </x:c>
    </x:row>
    <x:row r="3068">
      <x:c r="B3068" s="21" t="str">
        <x:v>A03062</x:v>
      </x:c>
      <x:c r="C3068" s="21" t="str">
        <x:v>artifact</x:v>
      </x:c>
      <x:c r="D3068" s="21" t="str">
        <x:v>artifact 1009 planning state</x:v>
      </x:c>
      <x:c r="E3068" s="21" t="n">
        <x:f>IF(AND('Artifact Ledger'!Q1015="OPEN",'Artifact Ledger'!R1015="HOLD"),1,0)</x:f>
        <x:v>1</x:v>
      </x:c>
      <x:c r="F3068" s="21" t="n">
        <x:v>1</x:v>
      </x:c>
      <x:c r="G3068" s="23" t="str">
        <x:f>IF(E3068=F3068,"PASS","FAIL")</x:f>
        <x:v>PASS</x:v>
      </x:c>
    </x:row>
    <x:row r="3069">
      <x:c r="B3069" s="21" t="str">
        <x:v>A03063</x:v>
      </x:c>
      <x:c r="C3069" s="21" t="str">
        <x:v>artifact</x:v>
      </x:c>
      <x:c r="D3069" s="21" t="str">
        <x:v>artifact 1010 eligibility equation</x:v>
      </x:c>
      <x:c r="E3069" s="21" t="n">
        <x:f>IF(ABS('Artifact Ledger'!P1016-IF(AND('Artifact Ledger'!L1016=1,'Artifact Ledger'!M1016=1,'Artifact Ledger'!N1016=1,'Artifact Ledger'!O1016&gt;='Artifact Ledger'!G1016),'Artifact Ledger'!K1016,0))&lt;0.000001,1,0)</x:f>
        <x:v>1</x:v>
      </x:c>
      <x:c r="F3069" s="21" t="n">
        <x:v>1</x:v>
      </x:c>
      <x:c r="G3069" s="23" t="str">
        <x:f>IF(E3069=F3069,"PASS","FAIL")</x:f>
        <x:v>PASS</x:v>
      </x:c>
    </x:row>
    <x:row r="3070">
      <x:c r="B3070" s="21" t="str">
        <x:v>A03064</x:v>
      </x:c>
      <x:c r="C3070" s="21" t="str">
        <x:v>artifact</x:v>
      </x:c>
      <x:c r="D3070" s="21" t="str">
        <x:v>artifact 1010 planning state</x:v>
      </x:c>
      <x:c r="E3070" s="21" t="n">
        <x:f>IF(AND('Artifact Ledger'!Q1016="OPEN",'Artifact Ledger'!R1016="HOLD"),1,0)</x:f>
        <x:v>1</x:v>
      </x:c>
      <x:c r="F3070" s="21" t="n">
        <x:v>1</x:v>
      </x:c>
      <x:c r="G3070" s="23" t="str">
        <x:f>IF(E3070=F3070,"PASS","FAIL")</x:f>
        <x:v>PASS</x:v>
      </x:c>
    </x:row>
    <x:row r="3071">
      <x:c r="B3071" s="21" t="str">
        <x:v>A03065</x:v>
      </x:c>
      <x:c r="C3071" s="21" t="str">
        <x:v>artifact</x:v>
      </x:c>
      <x:c r="D3071" s="21" t="str">
        <x:v>artifact 1011 eligibility equation</x:v>
      </x:c>
      <x:c r="E3071" s="21" t="n">
        <x:f>IF(ABS('Artifact Ledger'!P1017-IF(AND('Artifact Ledger'!L1017=1,'Artifact Ledger'!M1017=1,'Artifact Ledger'!N1017=1,'Artifact Ledger'!O1017&gt;='Artifact Ledger'!G1017),'Artifact Ledger'!K1017,0))&lt;0.000001,1,0)</x:f>
        <x:v>1</x:v>
      </x:c>
      <x:c r="F3071" s="21" t="n">
        <x:v>1</x:v>
      </x:c>
      <x:c r="G3071" s="23" t="str">
        <x:f>IF(E3071=F3071,"PASS","FAIL")</x:f>
        <x:v>PASS</x:v>
      </x:c>
    </x:row>
    <x:row r="3072">
      <x:c r="B3072" s="21" t="str">
        <x:v>A03066</x:v>
      </x:c>
      <x:c r="C3072" s="21" t="str">
        <x:v>artifact</x:v>
      </x:c>
      <x:c r="D3072" s="21" t="str">
        <x:v>artifact 1011 planning state</x:v>
      </x:c>
      <x:c r="E3072" s="21" t="n">
        <x:f>IF(AND('Artifact Ledger'!Q1017="OPEN",'Artifact Ledger'!R1017="HOLD"),1,0)</x:f>
        <x:v>1</x:v>
      </x:c>
      <x:c r="F3072" s="21" t="n">
        <x:v>1</x:v>
      </x:c>
      <x:c r="G3072" s="23" t="str">
        <x:f>IF(E3072=F3072,"PASS","FAIL")</x:f>
        <x:v>PASS</x:v>
      </x:c>
    </x:row>
    <x:row r="3073">
      <x:c r="B3073" s="21" t="str">
        <x:v>A03067</x:v>
      </x:c>
      <x:c r="C3073" s="21" t="str">
        <x:v>artifact</x:v>
      </x:c>
      <x:c r="D3073" s="21" t="str">
        <x:v>artifact 1012 eligibility equation</x:v>
      </x:c>
      <x:c r="E3073" s="21" t="n">
        <x:f>IF(ABS('Artifact Ledger'!P1018-IF(AND('Artifact Ledger'!L1018=1,'Artifact Ledger'!M1018=1,'Artifact Ledger'!N1018=1,'Artifact Ledger'!O1018&gt;='Artifact Ledger'!G1018),'Artifact Ledger'!K1018,0))&lt;0.000001,1,0)</x:f>
        <x:v>1</x:v>
      </x:c>
      <x:c r="F3073" s="21" t="n">
        <x:v>1</x:v>
      </x:c>
      <x:c r="G3073" s="23" t="str">
        <x:f>IF(E3073=F3073,"PASS","FAIL")</x:f>
        <x:v>PASS</x:v>
      </x:c>
    </x:row>
    <x:row r="3074">
      <x:c r="B3074" s="21" t="str">
        <x:v>A03068</x:v>
      </x:c>
      <x:c r="C3074" s="21" t="str">
        <x:v>artifact</x:v>
      </x:c>
      <x:c r="D3074" s="21" t="str">
        <x:v>artifact 1012 planning state</x:v>
      </x:c>
      <x:c r="E3074" s="21" t="n">
        <x:f>IF(AND('Artifact Ledger'!Q1018="OPEN",'Artifact Ledger'!R1018="HOLD"),1,0)</x:f>
        <x:v>1</x:v>
      </x:c>
      <x:c r="F3074" s="21" t="n">
        <x:v>1</x:v>
      </x:c>
      <x:c r="G3074" s="23" t="str">
        <x:f>IF(E3074=F3074,"PASS","FAIL")</x:f>
        <x:v>PASS</x:v>
      </x:c>
    </x:row>
    <x:row r="3075">
      <x:c r="B3075" s="21" t="str">
        <x:v>A03069</x:v>
      </x:c>
      <x:c r="C3075" s="21" t="str">
        <x:v>artifact</x:v>
      </x:c>
      <x:c r="D3075" s="21" t="str">
        <x:v>artifact 1013 eligibility equation</x:v>
      </x:c>
      <x:c r="E3075" s="21" t="n">
        <x:f>IF(ABS('Artifact Ledger'!P1019-IF(AND('Artifact Ledger'!L1019=1,'Artifact Ledger'!M1019=1,'Artifact Ledger'!N1019=1,'Artifact Ledger'!O1019&gt;='Artifact Ledger'!G1019),'Artifact Ledger'!K1019,0))&lt;0.000001,1,0)</x:f>
        <x:v>1</x:v>
      </x:c>
      <x:c r="F3075" s="21" t="n">
        <x:v>1</x:v>
      </x:c>
      <x:c r="G3075" s="23" t="str">
        <x:f>IF(E3075=F3075,"PASS","FAIL")</x:f>
        <x:v>PASS</x:v>
      </x:c>
    </x:row>
    <x:row r="3076">
      <x:c r="B3076" s="21" t="str">
        <x:v>A03070</x:v>
      </x:c>
      <x:c r="C3076" s="21" t="str">
        <x:v>artifact</x:v>
      </x:c>
      <x:c r="D3076" s="21" t="str">
        <x:v>artifact 1013 planning state</x:v>
      </x:c>
      <x:c r="E3076" s="21" t="n">
        <x:f>IF(AND('Artifact Ledger'!Q1019="OPEN",'Artifact Ledger'!R1019="HOLD"),1,0)</x:f>
        <x:v>1</x:v>
      </x:c>
      <x:c r="F3076" s="21" t="n">
        <x:v>1</x:v>
      </x:c>
      <x:c r="G3076" s="23" t="str">
        <x:f>IF(E3076=F3076,"PASS","FAIL")</x:f>
        <x:v>PASS</x:v>
      </x:c>
    </x:row>
    <x:row r="3077">
      <x:c r="B3077" s="21" t="str">
        <x:v>A03071</x:v>
      </x:c>
      <x:c r="C3077" s="21" t="str">
        <x:v>artifact</x:v>
      </x:c>
      <x:c r="D3077" s="21" t="str">
        <x:v>artifact 1014 eligibility equation</x:v>
      </x:c>
      <x:c r="E3077" s="21" t="n">
        <x:f>IF(ABS('Artifact Ledger'!P1020-IF(AND('Artifact Ledger'!L1020=1,'Artifact Ledger'!M1020=1,'Artifact Ledger'!N1020=1,'Artifact Ledger'!O1020&gt;='Artifact Ledger'!G1020),'Artifact Ledger'!K1020,0))&lt;0.000001,1,0)</x:f>
        <x:v>1</x:v>
      </x:c>
      <x:c r="F3077" s="21" t="n">
        <x:v>1</x:v>
      </x:c>
      <x:c r="G3077" s="23" t="str">
        <x:f>IF(E3077=F3077,"PASS","FAIL")</x:f>
        <x:v>PASS</x:v>
      </x:c>
    </x:row>
    <x:row r="3078">
      <x:c r="B3078" s="21" t="str">
        <x:v>A03072</x:v>
      </x:c>
      <x:c r="C3078" s="21" t="str">
        <x:v>artifact</x:v>
      </x:c>
      <x:c r="D3078" s="21" t="str">
        <x:v>artifact 1014 planning state</x:v>
      </x:c>
      <x:c r="E3078" s="21" t="n">
        <x:f>IF(AND('Artifact Ledger'!Q1020="OPEN",'Artifact Ledger'!R1020="HOLD"),1,0)</x:f>
        <x:v>1</x:v>
      </x:c>
      <x:c r="F3078" s="21" t="n">
        <x:v>1</x:v>
      </x:c>
      <x:c r="G3078" s="23" t="str">
        <x:f>IF(E3078=F3078,"PASS","FAIL")</x:f>
        <x:v>PASS</x:v>
      </x:c>
    </x:row>
    <x:row r="3079">
      <x:c r="B3079" s="21" t="str">
        <x:v>A03073</x:v>
      </x:c>
      <x:c r="C3079" s="21" t="str">
        <x:v>artifact</x:v>
      </x:c>
      <x:c r="D3079" s="21" t="str">
        <x:v>artifact 1015 eligibility equation</x:v>
      </x:c>
      <x:c r="E3079" s="21" t="n">
        <x:f>IF(ABS('Artifact Ledger'!P1021-IF(AND('Artifact Ledger'!L1021=1,'Artifact Ledger'!M1021=1,'Artifact Ledger'!N1021=1,'Artifact Ledger'!O1021&gt;='Artifact Ledger'!G1021),'Artifact Ledger'!K1021,0))&lt;0.000001,1,0)</x:f>
        <x:v>1</x:v>
      </x:c>
      <x:c r="F3079" s="21" t="n">
        <x:v>1</x:v>
      </x:c>
      <x:c r="G3079" s="23" t="str">
        <x:f>IF(E3079=F3079,"PASS","FAIL")</x:f>
        <x:v>PASS</x:v>
      </x:c>
    </x:row>
    <x:row r="3080">
      <x:c r="B3080" s="21" t="str">
        <x:v>A03074</x:v>
      </x:c>
      <x:c r="C3080" s="21" t="str">
        <x:v>artifact</x:v>
      </x:c>
      <x:c r="D3080" s="21" t="str">
        <x:v>artifact 1015 planning state</x:v>
      </x:c>
      <x:c r="E3080" s="21" t="n">
        <x:f>IF(AND('Artifact Ledger'!Q1021="OPEN",'Artifact Ledger'!R1021="HOLD"),1,0)</x:f>
        <x:v>1</x:v>
      </x:c>
      <x:c r="F3080" s="21" t="n">
        <x:v>1</x:v>
      </x:c>
      <x:c r="G3080" s="23" t="str">
        <x:f>IF(E3080=F3080,"PASS","FAIL")</x:f>
        <x:v>PASS</x:v>
      </x:c>
    </x:row>
    <x:row r="3081">
      <x:c r="B3081" s="21" t="str">
        <x:v>A03075</x:v>
      </x:c>
      <x:c r="C3081" s="21" t="str">
        <x:v>artifact</x:v>
      </x:c>
      <x:c r="D3081" s="21" t="str">
        <x:v>artifact 1016 eligibility equation</x:v>
      </x:c>
      <x:c r="E3081" s="21" t="n">
        <x:f>IF(ABS('Artifact Ledger'!P1022-IF(AND('Artifact Ledger'!L1022=1,'Artifact Ledger'!M1022=1,'Artifact Ledger'!N1022=1,'Artifact Ledger'!O1022&gt;='Artifact Ledger'!G1022),'Artifact Ledger'!K1022,0))&lt;0.000001,1,0)</x:f>
        <x:v>1</x:v>
      </x:c>
      <x:c r="F3081" s="21" t="n">
        <x:v>1</x:v>
      </x:c>
      <x:c r="G3081" s="23" t="str">
        <x:f>IF(E3081=F3081,"PASS","FAIL")</x:f>
        <x:v>PASS</x:v>
      </x:c>
    </x:row>
    <x:row r="3082">
      <x:c r="B3082" s="21" t="str">
        <x:v>A03076</x:v>
      </x:c>
      <x:c r="C3082" s="21" t="str">
        <x:v>artifact</x:v>
      </x:c>
      <x:c r="D3082" s="21" t="str">
        <x:v>artifact 1016 planning state</x:v>
      </x:c>
      <x:c r="E3082" s="21" t="n">
        <x:f>IF(AND('Artifact Ledger'!Q1022="OPEN",'Artifact Ledger'!R1022="HOLD"),1,0)</x:f>
        <x:v>1</x:v>
      </x:c>
      <x:c r="F3082" s="21" t="n">
        <x:v>1</x:v>
      </x:c>
      <x:c r="G3082" s="23" t="str">
        <x:f>IF(E3082=F3082,"PASS","FAIL")</x:f>
        <x:v>PASS</x:v>
      </x:c>
    </x:row>
    <x:row r="3083">
      <x:c r="B3083" s="21" t="str">
        <x:v>A03077</x:v>
      </x:c>
      <x:c r="C3083" s="21" t="str">
        <x:v>artifact</x:v>
      </x:c>
      <x:c r="D3083" s="21" t="str">
        <x:v>artifact 1017 eligibility equation</x:v>
      </x:c>
      <x:c r="E3083" s="21" t="n">
        <x:f>IF(ABS('Artifact Ledger'!P1023-IF(AND('Artifact Ledger'!L1023=1,'Artifact Ledger'!M1023=1,'Artifact Ledger'!N1023=1,'Artifact Ledger'!O1023&gt;='Artifact Ledger'!G1023),'Artifact Ledger'!K1023,0))&lt;0.000001,1,0)</x:f>
        <x:v>1</x:v>
      </x:c>
      <x:c r="F3083" s="21" t="n">
        <x:v>1</x:v>
      </x:c>
      <x:c r="G3083" s="23" t="str">
        <x:f>IF(E3083=F3083,"PASS","FAIL")</x:f>
        <x:v>PASS</x:v>
      </x:c>
    </x:row>
    <x:row r="3084">
      <x:c r="B3084" s="21" t="str">
        <x:v>A03078</x:v>
      </x:c>
      <x:c r="C3084" s="21" t="str">
        <x:v>artifact</x:v>
      </x:c>
      <x:c r="D3084" s="21" t="str">
        <x:v>artifact 1017 planning state</x:v>
      </x:c>
      <x:c r="E3084" s="21" t="n">
        <x:f>IF(AND('Artifact Ledger'!Q1023="OPEN",'Artifact Ledger'!R1023="HOLD"),1,0)</x:f>
        <x:v>1</x:v>
      </x:c>
      <x:c r="F3084" s="21" t="n">
        <x:v>1</x:v>
      </x:c>
      <x:c r="G3084" s="23" t="str">
        <x:f>IF(E3084=F3084,"PASS","FAIL")</x:f>
        <x:v>PASS</x:v>
      </x:c>
    </x:row>
    <x:row r="3085">
      <x:c r="B3085" s="21" t="str">
        <x:v>A03079</x:v>
      </x:c>
      <x:c r="C3085" s="21" t="str">
        <x:v>artifact</x:v>
      </x:c>
      <x:c r="D3085" s="21" t="str">
        <x:v>artifact 1018 eligibility equation</x:v>
      </x:c>
      <x:c r="E3085" s="21" t="n">
        <x:f>IF(ABS('Artifact Ledger'!P1024-IF(AND('Artifact Ledger'!L1024=1,'Artifact Ledger'!M1024=1,'Artifact Ledger'!N1024=1,'Artifact Ledger'!O1024&gt;='Artifact Ledger'!G1024),'Artifact Ledger'!K1024,0))&lt;0.000001,1,0)</x:f>
        <x:v>1</x:v>
      </x:c>
      <x:c r="F3085" s="21" t="n">
        <x:v>1</x:v>
      </x:c>
      <x:c r="G3085" s="23" t="str">
        <x:f>IF(E3085=F3085,"PASS","FAIL")</x:f>
        <x:v>PASS</x:v>
      </x:c>
    </x:row>
    <x:row r="3086">
      <x:c r="B3086" s="21" t="str">
        <x:v>A03080</x:v>
      </x:c>
      <x:c r="C3086" s="21" t="str">
        <x:v>artifact</x:v>
      </x:c>
      <x:c r="D3086" s="21" t="str">
        <x:v>artifact 1018 planning state</x:v>
      </x:c>
      <x:c r="E3086" s="21" t="n">
        <x:f>IF(AND('Artifact Ledger'!Q1024="OPEN",'Artifact Ledger'!R1024="HOLD"),1,0)</x:f>
        <x:v>1</x:v>
      </x:c>
      <x:c r="F3086" s="21" t="n">
        <x:v>1</x:v>
      </x:c>
      <x:c r="G3086" s="23" t="str">
        <x:f>IF(E3086=F3086,"PASS","FAIL")</x:f>
        <x:v>PASS</x:v>
      </x:c>
    </x:row>
    <x:row r="3087">
      <x:c r="B3087" s="21" t="str">
        <x:v>A03081</x:v>
      </x:c>
      <x:c r="C3087" s="21" t="str">
        <x:v>artifact</x:v>
      </x:c>
      <x:c r="D3087" s="21" t="str">
        <x:v>artifact 1019 eligibility equation</x:v>
      </x:c>
      <x:c r="E3087" s="21" t="n">
        <x:f>IF(ABS('Artifact Ledger'!P1025-IF(AND('Artifact Ledger'!L1025=1,'Artifact Ledger'!M1025=1,'Artifact Ledger'!N1025=1,'Artifact Ledger'!O1025&gt;='Artifact Ledger'!G1025),'Artifact Ledger'!K1025,0))&lt;0.000001,1,0)</x:f>
        <x:v>1</x:v>
      </x:c>
      <x:c r="F3087" s="21" t="n">
        <x:v>1</x:v>
      </x:c>
      <x:c r="G3087" s="23" t="str">
        <x:f>IF(E3087=F3087,"PASS","FAIL")</x:f>
        <x:v>PASS</x:v>
      </x:c>
    </x:row>
    <x:row r="3088">
      <x:c r="B3088" s="21" t="str">
        <x:v>A03082</x:v>
      </x:c>
      <x:c r="C3088" s="21" t="str">
        <x:v>artifact</x:v>
      </x:c>
      <x:c r="D3088" s="21" t="str">
        <x:v>artifact 1019 planning state</x:v>
      </x:c>
      <x:c r="E3088" s="21" t="n">
        <x:f>IF(AND('Artifact Ledger'!Q1025="OPEN",'Artifact Ledger'!R1025="HOLD"),1,0)</x:f>
        <x:v>1</x:v>
      </x:c>
      <x:c r="F3088" s="21" t="n">
        <x:v>1</x:v>
      </x:c>
      <x:c r="G3088" s="23" t="str">
        <x:f>IF(E3088=F3088,"PASS","FAIL")</x:f>
        <x:v>PASS</x:v>
      </x:c>
    </x:row>
    <x:row r="3089">
      <x:c r="B3089" s="21" t="str">
        <x:v>A03083</x:v>
      </x:c>
      <x:c r="C3089" s="21" t="str">
        <x:v>artifact</x:v>
      </x:c>
      <x:c r="D3089" s="21" t="str">
        <x:v>artifact 1020 eligibility equation</x:v>
      </x:c>
      <x:c r="E3089" s="21" t="n">
        <x:f>IF(ABS('Artifact Ledger'!P1026-IF(AND('Artifact Ledger'!L1026=1,'Artifact Ledger'!M1026=1,'Artifact Ledger'!N1026=1,'Artifact Ledger'!O1026&gt;='Artifact Ledger'!G1026),'Artifact Ledger'!K1026,0))&lt;0.000001,1,0)</x:f>
        <x:v>1</x:v>
      </x:c>
      <x:c r="F3089" s="21" t="n">
        <x:v>1</x:v>
      </x:c>
      <x:c r="G3089" s="23" t="str">
        <x:f>IF(E3089=F3089,"PASS","FAIL")</x:f>
        <x:v>PASS</x:v>
      </x:c>
    </x:row>
    <x:row r="3090">
      <x:c r="B3090" s="21" t="str">
        <x:v>A03084</x:v>
      </x:c>
      <x:c r="C3090" s="21" t="str">
        <x:v>artifact</x:v>
      </x:c>
      <x:c r="D3090" s="21" t="str">
        <x:v>artifact 1020 planning state</x:v>
      </x:c>
      <x:c r="E3090" s="21" t="n">
        <x:f>IF(AND('Artifact Ledger'!Q1026="OPEN",'Artifact Ledger'!R1026="HOLD"),1,0)</x:f>
        <x:v>1</x:v>
      </x:c>
      <x:c r="F3090" s="21" t="n">
        <x:v>1</x:v>
      </x:c>
      <x:c r="G3090" s="23" t="str">
        <x:f>IF(E3090=F3090,"PASS","FAIL")</x:f>
        <x:v>PASS</x:v>
      </x:c>
    </x:row>
    <x:row r="3091">
      <x:c r="B3091" s="21" t="str">
        <x:v>A03085</x:v>
      </x:c>
      <x:c r="C3091" s="21" t="str">
        <x:v>artifact</x:v>
      </x:c>
      <x:c r="D3091" s="21" t="str">
        <x:v>artifact 1021 eligibility equation</x:v>
      </x:c>
      <x:c r="E3091" s="21" t="n">
        <x:f>IF(ABS('Artifact Ledger'!P1027-IF(AND('Artifact Ledger'!L1027=1,'Artifact Ledger'!M1027=1,'Artifact Ledger'!N1027=1,'Artifact Ledger'!O1027&gt;='Artifact Ledger'!G1027),'Artifact Ledger'!K1027,0))&lt;0.000001,1,0)</x:f>
        <x:v>1</x:v>
      </x:c>
      <x:c r="F3091" s="21" t="n">
        <x:v>1</x:v>
      </x:c>
      <x:c r="G3091" s="23" t="str">
        <x:f>IF(E3091=F3091,"PASS","FAIL")</x:f>
        <x:v>PASS</x:v>
      </x:c>
    </x:row>
    <x:row r="3092">
      <x:c r="B3092" s="21" t="str">
        <x:v>A03086</x:v>
      </x:c>
      <x:c r="C3092" s="21" t="str">
        <x:v>artifact</x:v>
      </x:c>
      <x:c r="D3092" s="21" t="str">
        <x:v>artifact 1021 planning state</x:v>
      </x:c>
      <x:c r="E3092" s="21" t="n">
        <x:f>IF(AND('Artifact Ledger'!Q1027="OPEN",'Artifact Ledger'!R1027="HOLD"),1,0)</x:f>
        <x:v>1</x:v>
      </x:c>
      <x:c r="F3092" s="21" t="n">
        <x:v>1</x:v>
      </x:c>
      <x:c r="G3092" s="23" t="str">
        <x:f>IF(E3092=F3092,"PASS","FAIL")</x:f>
        <x:v>PASS</x:v>
      </x:c>
    </x:row>
    <x:row r="3093">
      <x:c r="B3093" s="21" t="str">
        <x:v>A03087</x:v>
      </x:c>
      <x:c r="C3093" s="21" t="str">
        <x:v>artifact</x:v>
      </x:c>
      <x:c r="D3093" s="21" t="str">
        <x:v>artifact 1022 eligibility equation</x:v>
      </x:c>
      <x:c r="E3093" s="21" t="n">
        <x:f>IF(ABS('Artifact Ledger'!P1028-IF(AND('Artifact Ledger'!L1028=1,'Artifact Ledger'!M1028=1,'Artifact Ledger'!N1028=1,'Artifact Ledger'!O1028&gt;='Artifact Ledger'!G1028),'Artifact Ledger'!K1028,0))&lt;0.000001,1,0)</x:f>
        <x:v>1</x:v>
      </x:c>
      <x:c r="F3093" s="21" t="n">
        <x:v>1</x:v>
      </x:c>
      <x:c r="G3093" s="23" t="str">
        <x:f>IF(E3093=F3093,"PASS","FAIL")</x:f>
        <x:v>PASS</x:v>
      </x:c>
    </x:row>
    <x:row r="3094">
      <x:c r="B3094" s="21" t="str">
        <x:v>A03088</x:v>
      </x:c>
      <x:c r="C3094" s="21" t="str">
        <x:v>artifact</x:v>
      </x:c>
      <x:c r="D3094" s="21" t="str">
        <x:v>artifact 1022 planning state</x:v>
      </x:c>
      <x:c r="E3094" s="21" t="n">
        <x:f>IF(AND('Artifact Ledger'!Q1028="OPEN",'Artifact Ledger'!R1028="HOLD"),1,0)</x:f>
        <x:v>1</x:v>
      </x:c>
      <x:c r="F3094" s="21" t="n">
        <x:v>1</x:v>
      </x:c>
      <x:c r="G3094" s="23" t="str">
        <x:f>IF(E3094=F3094,"PASS","FAIL")</x:f>
        <x:v>PASS</x:v>
      </x:c>
    </x:row>
    <x:row r="3095">
      <x:c r="B3095" s="21" t="str">
        <x:v>A03089</x:v>
      </x:c>
      <x:c r="C3095" s="21" t="str">
        <x:v>artifact</x:v>
      </x:c>
      <x:c r="D3095" s="21" t="str">
        <x:v>artifact 1023 eligibility equation</x:v>
      </x:c>
      <x:c r="E3095" s="21" t="n">
        <x:f>IF(ABS('Artifact Ledger'!P1029-IF(AND('Artifact Ledger'!L1029=1,'Artifact Ledger'!M1029=1,'Artifact Ledger'!N1029=1,'Artifact Ledger'!O1029&gt;='Artifact Ledger'!G1029),'Artifact Ledger'!K1029,0))&lt;0.000001,1,0)</x:f>
        <x:v>1</x:v>
      </x:c>
      <x:c r="F3095" s="21" t="n">
        <x:v>1</x:v>
      </x:c>
      <x:c r="G3095" s="23" t="str">
        <x:f>IF(E3095=F3095,"PASS","FAIL")</x:f>
        <x:v>PASS</x:v>
      </x:c>
    </x:row>
    <x:row r="3096">
      <x:c r="B3096" s="21" t="str">
        <x:v>A03090</x:v>
      </x:c>
      <x:c r="C3096" s="21" t="str">
        <x:v>artifact</x:v>
      </x:c>
      <x:c r="D3096" s="21" t="str">
        <x:v>artifact 1023 planning state</x:v>
      </x:c>
      <x:c r="E3096" s="21" t="n">
        <x:f>IF(AND('Artifact Ledger'!Q1029="OPEN",'Artifact Ledger'!R1029="HOLD"),1,0)</x:f>
        <x:v>1</x:v>
      </x:c>
      <x:c r="F3096" s="21" t="n">
        <x:v>1</x:v>
      </x:c>
      <x:c r="G3096" s="23" t="str">
        <x:f>IF(E3096=F3096,"PASS","FAIL")</x:f>
        <x:v>PASS</x:v>
      </x:c>
    </x:row>
    <x:row r="3097">
      <x:c r="B3097" s="21" t="str">
        <x:v>A03091</x:v>
      </x:c>
      <x:c r="C3097" s="21" t="str">
        <x:v>artifact</x:v>
      </x:c>
      <x:c r="D3097" s="21" t="str">
        <x:v>artifact 1024 eligibility equation</x:v>
      </x:c>
      <x:c r="E3097" s="21" t="n">
        <x:f>IF(ABS('Artifact Ledger'!P1030-IF(AND('Artifact Ledger'!L1030=1,'Artifact Ledger'!M1030=1,'Artifact Ledger'!N1030=1,'Artifact Ledger'!O1030&gt;='Artifact Ledger'!G1030),'Artifact Ledger'!K1030,0))&lt;0.000001,1,0)</x:f>
        <x:v>1</x:v>
      </x:c>
      <x:c r="F3097" s="21" t="n">
        <x:v>1</x:v>
      </x:c>
      <x:c r="G3097" s="23" t="str">
        <x:f>IF(E3097=F3097,"PASS","FAIL")</x:f>
        <x:v>PASS</x:v>
      </x:c>
    </x:row>
    <x:row r="3098">
      <x:c r="B3098" s="21" t="str">
        <x:v>A03092</x:v>
      </x:c>
      <x:c r="C3098" s="21" t="str">
        <x:v>artifact</x:v>
      </x:c>
      <x:c r="D3098" s="21" t="str">
        <x:v>artifact 1024 planning state</x:v>
      </x:c>
      <x:c r="E3098" s="21" t="n">
        <x:f>IF(AND('Artifact Ledger'!Q1030="OPEN",'Artifact Ledger'!R1030="HOLD"),1,0)</x:f>
        <x:v>1</x:v>
      </x:c>
      <x:c r="F3098" s="21" t="n">
        <x:v>1</x:v>
      </x:c>
      <x:c r="G3098" s="23" t="str">
        <x:f>IF(E3098=F3098,"PASS","FAIL")</x:f>
        <x:v>PASS</x:v>
      </x:c>
    </x:row>
    <x:row r="3099">
      <x:c r="B3099" s="21" t="str">
        <x:v>A03093</x:v>
      </x:c>
      <x:c r="C3099" s="21" t="str">
        <x:v>artifact</x:v>
      </x:c>
      <x:c r="D3099" s="21" t="str">
        <x:v>artifact 1025 eligibility equation</x:v>
      </x:c>
      <x:c r="E3099" s="21" t="n">
        <x:f>IF(ABS('Artifact Ledger'!P1031-IF(AND('Artifact Ledger'!L1031=1,'Artifact Ledger'!M1031=1,'Artifact Ledger'!N1031=1,'Artifact Ledger'!O1031&gt;='Artifact Ledger'!G1031),'Artifact Ledger'!K1031,0))&lt;0.000001,1,0)</x:f>
        <x:v>1</x:v>
      </x:c>
      <x:c r="F3099" s="21" t="n">
        <x:v>1</x:v>
      </x:c>
      <x:c r="G3099" s="23" t="str">
        <x:f>IF(E3099=F3099,"PASS","FAIL")</x:f>
        <x:v>PASS</x:v>
      </x:c>
    </x:row>
    <x:row r="3100">
      <x:c r="B3100" s="21" t="str">
        <x:v>A03094</x:v>
      </x:c>
      <x:c r="C3100" s="21" t="str">
        <x:v>artifact</x:v>
      </x:c>
      <x:c r="D3100" s="21" t="str">
        <x:v>artifact 1025 planning state</x:v>
      </x:c>
      <x:c r="E3100" s="21" t="n">
        <x:f>IF(AND('Artifact Ledger'!Q1031="OPEN",'Artifact Ledger'!R1031="HOLD"),1,0)</x:f>
        <x:v>1</x:v>
      </x:c>
      <x:c r="F3100" s="21" t="n">
        <x:v>1</x:v>
      </x:c>
      <x:c r="G3100" s="23" t="str">
        <x:f>IF(E3100=F3100,"PASS","FAIL")</x:f>
        <x:v>PASS</x:v>
      </x:c>
    </x:row>
    <x:row r="3101">
      <x:c r="B3101" s="21" t="str">
        <x:v>A03095</x:v>
      </x:c>
      <x:c r="C3101" s="21" t="str">
        <x:v>artifact</x:v>
      </x:c>
      <x:c r="D3101" s="21" t="str">
        <x:v>artifact 1026 eligibility equation</x:v>
      </x:c>
      <x:c r="E3101" s="21" t="n">
        <x:f>IF(ABS('Artifact Ledger'!P1032-IF(AND('Artifact Ledger'!L1032=1,'Artifact Ledger'!M1032=1,'Artifact Ledger'!N1032=1,'Artifact Ledger'!O1032&gt;='Artifact Ledger'!G1032),'Artifact Ledger'!K1032,0))&lt;0.000001,1,0)</x:f>
        <x:v>1</x:v>
      </x:c>
      <x:c r="F3101" s="21" t="n">
        <x:v>1</x:v>
      </x:c>
      <x:c r="G3101" s="23" t="str">
        <x:f>IF(E3101=F3101,"PASS","FAIL")</x:f>
        <x:v>PASS</x:v>
      </x:c>
    </x:row>
    <x:row r="3102">
      <x:c r="B3102" s="21" t="str">
        <x:v>A03096</x:v>
      </x:c>
      <x:c r="C3102" s="21" t="str">
        <x:v>artifact</x:v>
      </x:c>
      <x:c r="D3102" s="21" t="str">
        <x:v>artifact 1026 planning state</x:v>
      </x:c>
      <x:c r="E3102" s="21" t="n">
        <x:f>IF(AND('Artifact Ledger'!Q1032="OPEN",'Artifact Ledger'!R1032="HOLD"),1,0)</x:f>
        <x:v>1</x:v>
      </x:c>
      <x:c r="F3102" s="21" t="n">
        <x:v>1</x:v>
      </x:c>
      <x:c r="G3102" s="23" t="str">
        <x:f>IF(E3102=F3102,"PASS","FAIL")</x:f>
        <x:v>PASS</x:v>
      </x:c>
    </x:row>
    <x:row r="3103">
      <x:c r="B3103" s="21" t="str">
        <x:v>A03097</x:v>
      </x:c>
      <x:c r="C3103" s="21" t="str">
        <x:v>artifact</x:v>
      </x:c>
      <x:c r="D3103" s="21" t="str">
        <x:v>artifact 1027 eligibility equation</x:v>
      </x:c>
      <x:c r="E3103" s="21" t="n">
        <x:f>IF(ABS('Artifact Ledger'!P1033-IF(AND('Artifact Ledger'!L1033=1,'Artifact Ledger'!M1033=1,'Artifact Ledger'!N1033=1,'Artifact Ledger'!O1033&gt;='Artifact Ledger'!G1033),'Artifact Ledger'!K1033,0))&lt;0.000001,1,0)</x:f>
        <x:v>1</x:v>
      </x:c>
      <x:c r="F3103" s="21" t="n">
        <x:v>1</x:v>
      </x:c>
      <x:c r="G3103" s="23" t="str">
        <x:f>IF(E3103=F3103,"PASS","FAIL")</x:f>
        <x:v>PASS</x:v>
      </x:c>
    </x:row>
    <x:row r="3104">
      <x:c r="B3104" s="21" t="str">
        <x:v>A03098</x:v>
      </x:c>
      <x:c r="C3104" s="21" t="str">
        <x:v>artifact</x:v>
      </x:c>
      <x:c r="D3104" s="21" t="str">
        <x:v>artifact 1027 planning state</x:v>
      </x:c>
      <x:c r="E3104" s="21" t="n">
        <x:f>IF(AND('Artifact Ledger'!Q1033="OPEN",'Artifact Ledger'!R1033="HOLD"),1,0)</x:f>
        <x:v>1</x:v>
      </x:c>
      <x:c r="F3104" s="21" t="n">
        <x:v>1</x:v>
      </x:c>
      <x:c r="G3104" s="23" t="str">
        <x:f>IF(E3104=F3104,"PASS","FAIL")</x:f>
        <x:v>PASS</x:v>
      </x:c>
    </x:row>
    <x:row r="3105">
      <x:c r="B3105" s="21" t="str">
        <x:v>A03099</x:v>
      </x:c>
      <x:c r="C3105" s="21" t="str">
        <x:v>artifact</x:v>
      </x:c>
      <x:c r="D3105" s="21" t="str">
        <x:v>artifact 1028 eligibility equation</x:v>
      </x:c>
      <x:c r="E3105" s="21" t="n">
        <x:f>IF(ABS('Artifact Ledger'!P1034-IF(AND('Artifact Ledger'!L1034=1,'Artifact Ledger'!M1034=1,'Artifact Ledger'!N1034=1,'Artifact Ledger'!O1034&gt;='Artifact Ledger'!G1034),'Artifact Ledger'!K1034,0))&lt;0.000001,1,0)</x:f>
        <x:v>1</x:v>
      </x:c>
      <x:c r="F3105" s="21" t="n">
        <x:v>1</x:v>
      </x:c>
      <x:c r="G3105" s="23" t="str">
        <x:f>IF(E3105=F3105,"PASS","FAIL")</x:f>
        <x:v>PASS</x:v>
      </x:c>
    </x:row>
    <x:row r="3106">
      <x:c r="B3106" s="21" t="str">
        <x:v>A03100</x:v>
      </x:c>
      <x:c r="C3106" s="21" t="str">
        <x:v>artifact</x:v>
      </x:c>
      <x:c r="D3106" s="21" t="str">
        <x:v>artifact 1028 planning state</x:v>
      </x:c>
      <x:c r="E3106" s="21" t="n">
        <x:f>IF(AND('Artifact Ledger'!Q1034="OPEN",'Artifact Ledger'!R1034="HOLD"),1,0)</x:f>
        <x:v>1</x:v>
      </x:c>
      <x:c r="F3106" s="21" t="n">
        <x:v>1</x:v>
      </x:c>
      <x:c r="G3106" s="23" t="str">
        <x:f>IF(E3106=F3106,"PASS","FAIL")</x:f>
        <x:v>PASS</x:v>
      </x:c>
    </x:row>
    <x:row r="3107">
      <x:c r="B3107" s="21" t="str">
        <x:v>A03101</x:v>
      </x:c>
      <x:c r="C3107" s="21" t="str">
        <x:v>artifact</x:v>
      </x:c>
      <x:c r="D3107" s="21" t="str">
        <x:v>artifact 1029 eligibility equation</x:v>
      </x:c>
      <x:c r="E3107" s="21" t="n">
        <x:f>IF(ABS('Artifact Ledger'!P1035-IF(AND('Artifact Ledger'!L1035=1,'Artifact Ledger'!M1035=1,'Artifact Ledger'!N1035=1,'Artifact Ledger'!O1035&gt;='Artifact Ledger'!G1035),'Artifact Ledger'!K1035,0))&lt;0.000001,1,0)</x:f>
        <x:v>1</x:v>
      </x:c>
      <x:c r="F3107" s="21" t="n">
        <x:v>1</x:v>
      </x:c>
      <x:c r="G3107" s="23" t="str">
        <x:f>IF(E3107=F3107,"PASS","FAIL")</x:f>
        <x:v>PASS</x:v>
      </x:c>
    </x:row>
    <x:row r="3108">
      <x:c r="B3108" s="21" t="str">
        <x:v>A03102</x:v>
      </x:c>
      <x:c r="C3108" s="21" t="str">
        <x:v>artifact</x:v>
      </x:c>
      <x:c r="D3108" s="21" t="str">
        <x:v>artifact 1029 planning state</x:v>
      </x:c>
      <x:c r="E3108" s="21" t="n">
        <x:f>IF(AND('Artifact Ledger'!Q1035="OPEN",'Artifact Ledger'!R1035="HOLD"),1,0)</x:f>
        <x:v>1</x:v>
      </x:c>
      <x:c r="F3108" s="21" t="n">
        <x:v>1</x:v>
      </x:c>
      <x:c r="G3108" s="23" t="str">
        <x:f>IF(E3108=F3108,"PASS","FAIL")</x:f>
        <x:v>PASS</x:v>
      </x:c>
    </x:row>
    <x:row r="3109">
      <x:c r="B3109" s="21" t="str">
        <x:v>A03103</x:v>
      </x:c>
      <x:c r="C3109" s="21" t="str">
        <x:v>artifact</x:v>
      </x:c>
      <x:c r="D3109" s="21" t="str">
        <x:v>artifact 1030 eligibility equation</x:v>
      </x:c>
      <x:c r="E3109" s="21" t="n">
        <x:f>IF(ABS('Artifact Ledger'!P1036-IF(AND('Artifact Ledger'!L1036=1,'Artifact Ledger'!M1036=1,'Artifact Ledger'!N1036=1,'Artifact Ledger'!O1036&gt;='Artifact Ledger'!G1036),'Artifact Ledger'!K1036,0))&lt;0.000001,1,0)</x:f>
        <x:v>1</x:v>
      </x:c>
      <x:c r="F3109" s="21" t="n">
        <x:v>1</x:v>
      </x:c>
      <x:c r="G3109" s="23" t="str">
        <x:f>IF(E3109=F3109,"PASS","FAIL")</x:f>
        <x:v>PASS</x:v>
      </x:c>
    </x:row>
    <x:row r="3110">
      <x:c r="B3110" s="21" t="str">
        <x:v>A03104</x:v>
      </x:c>
      <x:c r="C3110" s="21" t="str">
        <x:v>artifact</x:v>
      </x:c>
      <x:c r="D3110" s="21" t="str">
        <x:v>artifact 1030 planning state</x:v>
      </x:c>
      <x:c r="E3110" s="21" t="n">
        <x:f>IF(AND('Artifact Ledger'!Q1036="OPEN",'Artifact Ledger'!R1036="HOLD"),1,0)</x:f>
        <x:v>1</x:v>
      </x:c>
      <x:c r="F3110" s="21" t="n">
        <x:v>1</x:v>
      </x:c>
      <x:c r="G3110" s="23" t="str">
        <x:f>IF(E3110=F3110,"PASS","FAIL")</x:f>
        <x:v>PASS</x:v>
      </x:c>
    </x:row>
    <x:row r="3111">
      <x:c r="B3111" s="21" t="str">
        <x:v>A03105</x:v>
      </x:c>
      <x:c r="C3111" s="21" t="str">
        <x:v>artifact</x:v>
      </x:c>
      <x:c r="D3111" s="21" t="str">
        <x:v>artifact 1031 eligibility equation</x:v>
      </x:c>
      <x:c r="E3111" s="21" t="n">
        <x:f>IF(ABS('Artifact Ledger'!P1037-IF(AND('Artifact Ledger'!L1037=1,'Artifact Ledger'!M1037=1,'Artifact Ledger'!N1037=1,'Artifact Ledger'!O1037&gt;='Artifact Ledger'!G1037),'Artifact Ledger'!K1037,0))&lt;0.000001,1,0)</x:f>
        <x:v>1</x:v>
      </x:c>
      <x:c r="F3111" s="21" t="n">
        <x:v>1</x:v>
      </x:c>
      <x:c r="G3111" s="23" t="str">
        <x:f>IF(E3111=F3111,"PASS","FAIL")</x:f>
        <x:v>PASS</x:v>
      </x:c>
    </x:row>
    <x:row r="3112">
      <x:c r="B3112" s="21" t="str">
        <x:v>A03106</x:v>
      </x:c>
      <x:c r="C3112" s="21" t="str">
        <x:v>artifact</x:v>
      </x:c>
      <x:c r="D3112" s="21" t="str">
        <x:v>artifact 1031 planning state</x:v>
      </x:c>
      <x:c r="E3112" s="21" t="n">
        <x:f>IF(AND('Artifact Ledger'!Q1037="OPEN",'Artifact Ledger'!R1037="HOLD"),1,0)</x:f>
        <x:v>1</x:v>
      </x:c>
      <x:c r="F3112" s="21" t="n">
        <x:v>1</x:v>
      </x:c>
      <x:c r="G3112" s="23" t="str">
        <x:f>IF(E3112=F3112,"PASS","FAIL")</x:f>
        <x:v>PASS</x:v>
      </x:c>
    </x:row>
    <x:row r="3113">
      <x:c r="B3113" s="21" t="str">
        <x:v>A03107</x:v>
      </x:c>
      <x:c r="C3113" s="21" t="str">
        <x:v>artifact</x:v>
      </x:c>
      <x:c r="D3113" s="21" t="str">
        <x:v>artifact 1032 eligibility equation</x:v>
      </x:c>
      <x:c r="E3113" s="21" t="n">
        <x:f>IF(ABS('Artifact Ledger'!P1038-IF(AND('Artifact Ledger'!L1038=1,'Artifact Ledger'!M1038=1,'Artifact Ledger'!N1038=1,'Artifact Ledger'!O1038&gt;='Artifact Ledger'!G1038),'Artifact Ledger'!K1038,0))&lt;0.000001,1,0)</x:f>
        <x:v>1</x:v>
      </x:c>
      <x:c r="F3113" s="21" t="n">
        <x:v>1</x:v>
      </x:c>
      <x:c r="G3113" s="23" t="str">
        <x:f>IF(E3113=F3113,"PASS","FAIL")</x:f>
        <x:v>PASS</x:v>
      </x:c>
    </x:row>
    <x:row r="3114">
      <x:c r="B3114" s="21" t="str">
        <x:v>A03108</x:v>
      </x:c>
      <x:c r="C3114" s="21" t="str">
        <x:v>artifact</x:v>
      </x:c>
      <x:c r="D3114" s="21" t="str">
        <x:v>artifact 1032 planning state</x:v>
      </x:c>
      <x:c r="E3114" s="21" t="n">
        <x:f>IF(AND('Artifact Ledger'!Q1038="OPEN",'Artifact Ledger'!R1038="HOLD"),1,0)</x:f>
        <x:v>1</x:v>
      </x:c>
      <x:c r="F3114" s="21" t="n">
        <x:v>1</x:v>
      </x:c>
      <x:c r="G3114" s="23" t="str">
        <x:f>IF(E3114=F3114,"PASS","FAIL")</x:f>
        <x:v>PASS</x:v>
      </x:c>
    </x:row>
    <x:row r="3115">
      <x:c r="B3115" s="21" t="str">
        <x:v>A03109</x:v>
      </x:c>
      <x:c r="C3115" s="21" t="str">
        <x:v>artifact</x:v>
      </x:c>
      <x:c r="D3115" s="21" t="str">
        <x:v>artifact 1033 eligibility equation</x:v>
      </x:c>
      <x:c r="E3115" s="21" t="n">
        <x:f>IF(ABS('Artifact Ledger'!P1039-IF(AND('Artifact Ledger'!L1039=1,'Artifact Ledger'!M1039=1,'Artifact Ledger'!N1039=1,'Artifact Ledger'!O1039&gt;='Artifact Ledger'!G1039),'Artifact Ledger'!K1039,0))&lt;0.000001,1,0)</x:f>
        <x:v>1</x:v>
      </x:c>
      <x:c r="F3115" s="21" t="n">
        <x:v>1</x:v>
      </x:c>
      <x:c r="G3115" s="23" t="str">
        <x:f>IF(E3115=F3115,"PASS","FAIL")</x:f>
        <x:v>PASS</x:v>
      </x:c>
    </x:row>
    <x:row r="3116">
      <x:c r="B3116" s="21" t="str">
        <x:v>A03110</x:v>
      </x:c>
      <x:c r="C3116" s="21" t="str">
        <x:v>artifact</x:v>
      </x:c>
      <x:c r="D3116" s="21" t="str">
        <x:v>artifact 1033 planning state</x:v>
      </x:c>
      <x:c r="E3116" s="21" t="n">
        <x:f>IF(AND('Artifact Ledger'!Q1039="OPEN",'Artifact Ledger'!R1039="HOLD"),1,0)</x:f>
        <x:v>1</x:v>
      </x:c>
      <x:c r="F3116" s="21" t="n">
        <x:v>1</x:v>
      </x:c>
      <x:c r="G3116" s="23" t="str">
        <x:f>IF(E3116=F3116,"PASS","FAIL")</x:f>
        <x:v>PASS</x:v>
      </x:c>
    </x:row>
    <x:row r="3117">
      <x:c r="B3117" s="21" t="str">
        <x:v>A03111</x:v>
      </x:c>
      <x:c r="C3117" s="21" t="str">
        <x:v>artifact</x:v>
      </x:c>
      <x:c r="D3117" s="21" t="str">
        <x:v>artifact 1034 eligibility equation</x:v>
      </x:c>
      <x:c r="E3117" s="21" t="n">
        <x:f>IF(ABS('Artifact Ledger'!P1040-IF(AND('Artifact Ledger'!L1040=1,'Artifact Ledger'!M1040=1,'Artifact Ledger'!N1040=1,'Artifact Ledger'!O1040&gt;='Artifact Ledger'!G1040),'Artifact Ledger'!K1040,0))&lt;0.000001,1,0)</x:f>
        <x:v>1</x:v>
      </x:c>
      <x:c r="F3117" s="21" t="n">
        <x:v>1</x:v>
      </x:c>
      <x:c r="G3117" s="23" t="str">
        <x:f>IF(E3117=F3117,"PASS","FAIL")</x:f>
        <x:v>PASS</x:v>
      </x:c>
    </x:row>
    <x:row r="3118">
      <x:c r="B3118" s="21" t="str">
        <x:v>A03112</x:v>
      </x:c>
      <x:c r="C3118" s="21" t="str">
        <x:v>artifact</x:v>
      </x:c>
      <x:c r="D3118" s="21" t="str">
        <x:v>artifact 1034 planning state</x:v>
      </x:c>
      <x:c r="E3118" s="21" t="n">
        <x:f>IF(AND('Artifact Ledger'!Q1040="OPEN",'Artifact Ledger'!R1040="HOLD"),1,0)</x:f>
        <x:v>1</x:v>
      </x:c>
      <x:c r="F3118" s="21" t="n">
        <x:v>1</x:v>
      </x:c>
      <x:c r="G3118" s="23" t="str">
        <x:f>IF(E3118=F3118,"PASS","FAIL")</x:f>
        <x:v>PASS</x:v>
      </x:c>
    </x:row>
    <x:row r="3119">
      <x:c r="B3119" s="21" t="str">
        <x:v>A03113</x:v>
      </x:c>
      <x:c r="C3119" s="21" t="str">
        <x:v>artifact</x:v>
      </x:c>
      <x:c r="D3119" s="21" t="str">
        <x:v>artifact 1035 eligibility equation</x:v>
      </x:c>
      <x:c r="E3119" s="21" t="n">
        <x:f>IF(ABS('Artifact Ledger'!P1041-IF(AND('Artifact Ledger'!L1041=1,'Artifact Ledger'!M1041=1,'Artifact Ledger'!N1041=1,'Artifact Ledger'!O1041&gt;='Artifact Ledger'!G1041),'Artifact Ledger'!K1041,0))&lt;0.000001,1,0)</x:f>
        <x:v>1</x:v>
      </x:c>
      <x:c r="F3119" s="21" t="n">
        <x:v>1</x:v>
      </x:c>
      <x:c r="G3119" s="23" t="str">
        <x:f>IF(E3119=F3119,"PASS","FAIL")</x:f>
        <x:v>PASS</x:v>
      </x:c>
    </x:row>
    <x:row r="3120">
      <x:c r="B3120" s="21" t="str">
        <x:v>A03114</x:v>
      </x:c>
      <x:c r="C3120" s="21" t="str">
        <x:v>artifact</x:v>
      </x:c>
      <x:c r="D3120" s="21" t="str">
        <x:v>artifact 1035 planning state</x:v>
      </x:c>
      <x:c r="E3120" s="21" t="n">
        <x:f>IF(AND('Artifact Ledger'!Q1041="OPEN",'Artifact Ledger'!R1041="HOLD"),1,0)</x:f>
        <x:v>1</x:v>
      </x:c>
      <x:c r="F3120" s="21" t="n">
        <x:v>1</x:v>
      </x:c>
      <x:c r="G3120" s="23" t="str">
        <x:f>IF(E3120=F3120,"PASS","FAIL")</x:f>
        <x:v>PASS</x:v>
      </x:c>
    </x:row>
    <x:row r="3121">
      <x:c r="B3121" s="21" t="str">
        <x:v>A03115</x:v>
      </x:c>
      <x:c r="C3121" s="21" t="str">
        <x:v>artifact</x:v>
      </x:c>
      <x:c r="D3121" s="21" t="str">
        <x:v>artifact 1036 eligibility equation</x:v>
      </x:c>
      <x:c r="E3121" s="21" t="n">
        <x:f>IF(ABS('Artifact Ledger'!P1042-IF(AND('Artifact Ledger'!L1042=1,'Artifact Ledger'!M1042=1,'Artifact Ledger'!N1042=1,'Artifact Ledger'!O1042&gt;='Artifact Ledger'!G1042),'Artifact Ledger'!K1042,0))&lt;0.000001,1,0)</x:f>
        <x:v>1</x:v>
      </x:c>
      <x:c r="F3121" s="21" t="n">
        <x:v>1</x:v>
      </x:c>
      <x:c r="G3121" s="23" t="str">
        <x:f>IF(E3121=F3121,"PASS","FAIL")</x:f>
        <x:v>PASS</x:v>
      </x:c>
    </x:row>
    <x:row r="3122">
      <x:c r="B3122" s="21" t="str">
        <x:v>A03116</x:v>
      </x:c>
      <x:c r="C3122" s="21" t="str">
        <x:v>artifact</x:v>
      </x:c>
      <x:c r="D3122" s="21" t="str">
        <x:v>artifact 1036 planning state</x:v>
      </x:c>
      <x:c r="E3122" s="21" t="n">
        <x:f>IF(AND('Artifact Ledger'!Q1042="OPEN",'Artifact Ledger'!R1042="HOLD"),1,0)</x:f>
        <x:v>1</x:v>
      </x:c>
      <x:c r="F3122" s="21" t="n">
        <x:v>1</x:v>
      </x:c>
      <x:c r="G3122" s="23" t="str">
        <x:f>IF(E3122=F3122,"PASS","FAIL")</x:f>
        <x:v>PASS</x:v>
      </x:c>
    </x:row>
    <x:row r="3123">
      <x:c r="B3123" s="21" t="str">
        <x:v>A03117</x:v>
      </x:c>
      <x:c r="C3123" s="21" t="str">
        <x:v>artifact</x:v>
      </x:c>
      <x:c r="D3123" s="21" t="str">
        <x:v>artifact 1037 eligibility equation</x:v>
      </x:c>
      <x:c r="E3123" s="21" t="n">
        <x:f>IF(ABS('Artifact Ledger'!P1043-IF(AND('Artifact Ledger'!L1043=1,'Artifact Ledger'!M1043=1,'Artifact Ledger'!N1043=1,'Artifact Ledger'!O1043&gt;='Artifact Ledger'!G1043),'Artifact Ledger'!K1043,0))&lt;0.000001,1,0)</x:f>
        <x:v>1</x:v>
      </x:c>
      <x:c r="F3123" s="21" t="n">
        <x:v>1</x:v>
      </x:c>
      <x:c r="G3123" s="23" t="str">
        <x:f>IF(E3123=F3123,"PASS","FAIL")</x:f>
        <x:v>PASS</x:v>
      </x:c>
    </x:row>
    <x:row r="3124">
      <x:c r="B3124" s="21" t="str">
        <x:v>A03118</x:v>
      </x:c>
      <x:c r="C3124" s="21" t="str">
        <x:v>artifact</x:v>
      </x:c>
      <x:c r="D3124" s="21" t="str">
        <x:v>artifact 1037 planning state</x:v>
      </x:c>
      <x:c r="E3124" s="21" t="n">
        <x:f>IF(AND('Artifact Ledger'!Q1043="OPEN",'Artifact Ledger'!R1043="HOLD"),1,0)</x:f>
        <x:v>1</x:v>
      </x:c>
      <x:c r="F3124" s="21" t="n">
        <x:v>1</x:v>
      </x:c>
      <x:c r="G3124" s="23" t="str">
        <x:f>IF(E3124=F3124,"PASS","FAIL")</x:f>
        <x:v>PASS</x:v>
      </x:c>
    </x:row>
    <x:row r="3125">
      <x:c r="B3125" s="21" t="str">
        <x:v>A03119</x:v>
      </x:c>
      <x:c r="C3125" s="21" t="str">
        <x:v>artifact</x:v>
      </x:c>
      <x:c r="D3125" s="21" t="str">
        <x:v>artifact 1038 eligibility equation</x:v>
      </x:c>
      <x:c r="E3125" s="21" t="n">
        <x:f>IF(ABS('Artifact Ledger'!P1044-IF(AND('Artifact Ledger'!L1044=1,'Artifact Ledger'!M1044=1,'Artifact Ledger'!N1044=1,'Artifact Ledger'!O1044&gt;='Artifact Ledger'!G1044),'Artifact Ledger'!K1044,0))&lt;0.000001,1,0)</x:f>
        <x:v>1</x:v>
      </x:c>
      <x:c r="F3125" s="21" t="n">
        <x:v>1</x:v>
      </x:c>
      <x:c r="G3125" s="23" t="str">
        <x:f>IF(E3125=F3125,"PASS","FAIL")</x:f>
        <x:v>PASS</x:v>
      </x:c>
    </x:row>
    <x:row r="3126">
      <x:c r="B3126" s="21" t="str">
        <x:v>A03120</x:v>
      </x:c>
      <x:c r="C3126" s="21" t="str">
        <x:v>artifact</x:v>
      </x:c>
      <x:c r="D3126" s="21" t="str">
        <x:v>artifact 1038 planning state</x:v>
      </x:c>
      <x:c r="E3126" s="21" t="n">
        <x:f>IF(AND('Artifact Ledger'!Q1044="OPEN",'Artifact Ledger'!R1044="HOLD"),1,0)</x:f>
        <x:v>1</x:v>
      </x:c>
      <x:c r="F3126" s="21" t="n">
        <x:v>1</x:v>
      </x:c>
      <x:c r="G3126" s="23" t="str">
        <x:f>IF(E3126=F3126,"PASS","FAIL")</x:f>
        <x:v>PASS</x:v>
      </x:c>
    </x:row>
    <x:row r="3127">
      <x:c r="B3127" s="21" t="str">
        <x:v>A03121</x:v>
      </x:c>
      <x:c r="C3127" s="21" t="str">
        <x:v>artifact</x:v>
      </x:c>
      <x:c r="D3127" s="21" t="str">
        <x:v>artifact 1039 eligibility equation</x:v>
      </x:c>
      <x:c r="E3127" s="21" t="n">
        <x:f>IF(ABS('Artifact Ledger'!P1045-IF(AND('Artifact Ledger'!L1045=1,'Artifact Ledger'!M1045=1,'Artifact Ledger'!N1045=1,'Artifact Ledger'!O1045&gt;='Artifact Ledger'!G1045),'Artifact Ledger'!K1045,0))&lt;0.000001,1,0)</x:f>
        <x:v>1</x:v>
      </x:c>
      <x:c r="F3127" s="21" t="n">
        <x:v>1</x:v>
      </x:c>
      <x:c r="G3127" s="23" t="str">
        <x:f>IF(E3127=F3127,"PASS","FAIL")</x:f>
        <x:v>PASS</x:v>
      </x:c>
    </x:row>
    <x:row r="3128">
      <x:c r="B3128" s="21" t="str">
        <x:v>A03122</x:v>
      </x:c>
      <x:c r="C3128" s="21" t="str">
        <x:v>artifact</x:v>
      </x:c>
      <x:c r="D3128" s="21" t="str">
        <x:v>artifact 1039 planning state</x:v>
      </x:c>
      <x:c r="E3128" s="21" t="n">
        <x:f>IF(AND('Artifact Ledger'!Q1045="OPEN",'Artifact Ledger'!R1045="HOLD"),1,0)</x:f>
        <x:v>1</x:v>
      </x:c>
      <x:c r="F3128" s="21" t="n">
        <x:v>1</x:v>
      </x:c>
      <x:c r="G3128" s="23" t="str">
        <x:f>IF(E3128=F3128,"PASS","FAIL")</x:f>
        <x:v>PASS</x:v>
      </x:c>
    </x:row>
    <x:row r="3129">
      <x:c r="B3129" s="21" t="str">
        <x:v>A03123</x:v>
      </x:c>
      <x:c r="C3129" s="21" t="str">
        <x:v>artifact</x:v>
      </x:c>
      <x:c r="D3129" s="21" t="str">
        <x:v>artifact 1040 eligibility equation</x:v>
      </x:c>
      <x:c r="E3129" s="21" t="n">
        <x:f>IF(ABS('Artifact Ledger'!P1046-IF(AND('Artifact Ledger'!L1046=1,'Artifact Ledger'!M1046=1,'Artifact Ledger'!N1046=1,'Artifact Ledger'!O1046&gt;='Artifact Ledger'!G1046),'Artifact Ledger'!K1046,0))&lt;0.000001,1,0)</x:f>
        <x:v>1</x:v>
      </x:c>
      <x:c r="F3129" s="21" t="n">
        <x:v>1</x:v>
      </x:c>
      <x:c r="G3129" s="23" t="str">
        <x:f>IF(E3129=F3129,"PASS","FAIL")</x:f>
        <x:v>PASS</x:v>
      </x:c>
    </x:row>
    <x:row r="3130">
      <x:c r="B3130" s="21" t="str">
        <x:v>A03124</x:v>
      </x:c>
      <x:c r="C3130" s="21" t="str">
        <x:v>artifact</x:v>
      </x:c>
      <x:c r="D3130" s="21" t="str">
        <x:v>artifact 1040 planning state</x:v>
      </x:c>
      <x:c r="E3130" s="21" t="n">
        <x:f>IF(AND('Artifact Ledger'!Q1046="OPEN",'Artifact Ledger'!R1046="HOLD"),1,0)</x:f>
        <x:v>1</x:v>
      </x:c>
      <x:c r="F3130" s="21" t="n">
        <x:v>1</x:v>
      </x:c>
      <x:c r="G3130" s="23" t="str">
        <x:f>IF(E3130=F3130,"PASS","FAIL")</x:f>
        <x:v>PASS</x:v>
      </x:c>
    </x:row>
    <x:row r="3131">
      <x:c r="B3131" s="21" t="str">
        <x:v>A03125</x:v>
      </x:c>
      <x:c r="C3131" s="21" t="str">
        <x:v>artifact</x:v>
      </x:c>
      <x:c r="D3131" s="21" t="str">
        <x:v>artifact 1041 eligibility equation</x:v>
      </x:c>
      <x:c r="E3131" s="21" t="n">
        <x:f>IF(ABS('Artifact Ledger'!P1047-IF(AND('Artifact Ledger'!L1047=1,'Artifact Ledger'!M1047=1,'Artifact Ledger'!N1047=1,'Artifact Ledger'!O1047&gt;='Artifact Ledger'!G1047),'Artifact Ledger'!K1047,0))&lt;0.000001,1,0)</x:f>
        <x:v>1</x:v>
      </x:c>
      <x:c r="F3131" s="21" t="n">
        <x:v>1</x:v>
      </x:c>
      <x:c r="G3131" s="23" t="str">
        <x:f>IF(E3131=F3131,"PASS","FAIL")</x:f>
        <x:v>PASS</x:v>
      </x:c>
    </x:row>
    <x:row r="3132">
      <x:c r="B3132" s="21" t="str">
        <x:v>A03126</x:v>
      </x:c>
      <x:c r="C3132" s="21" t="str">
        <x:v>artifact</x:v>
      </x:c>
      <x:c r="D3132" s="21" t="str">
        <x:v>artifact 1041 planning state</x:v>
      </x:c>
      <x:c r="E3132" s="21" t="n">
        <x:f>IF(AND('Artifact Ledger'!Q1047="OPEN",'Artifact Ledger'!R1047="HOLD"),1,0)</x:f>
        <x:v>1</x:v>
      </x:c>
      <x:c r="F3132" s="21" t="n">
        <x:v>1</x:v>
      </x:c>
      <x:c r="G3132" s="23" t="str">
        <x:f>IF(E3132=F3132,"PASS","FAIL")</x:f>
        <x:v>PASS</x:v>
      </x:c>
    </x:row>
    <x:row r="3133">
      <x:c r="B3133" s="21" t="str">
        <x:v>A03127</x:v>
      </x:c>
      <x:c r="C3133" s="21" t="str">
        <x:v>artifact</x:v>
      </x:c>
      <x:c r="D3133" s="21" t="str">
        <x:v>artifact 1042 eligibility equation</x:v>
      </x:c>
      <x:c r="E3133" s="21" t="n">
        <x:f>IF(ABS('Artifact Ledger'!P1048-IF(AND('Artifact Ledger'!L1048=1,'Artifact Ledger'!M1048=1,'Artifact Ledger'!N1048=1,'Artifact Ledger'!O1048&gt;='Artifact Ledger'!G1048),'Artifact Ledger'!K1048,0))&lt;0.000001,1,0)</x:f>
        <x:v>1</x:v>
      </x:c>
      <x:c r="F3133" s="21" t="n">
        <x:v>1</x:v>
      </x:c>
      <x:c r="G3133" s="23" t="str">
        <x:f>IF(E3133=F3133,"PASS","FAIL")</x:f>
        <x:v>PASS</x:v>
      </x:c>
    </x:row>
    <x:row r="3134">
      <x:c r="B3134" s="21" t="str">
        <x:v>A03128</x:v>
      </x:c>
      <x:c r="C3134" s="21" t="str">
        <x:v>artifact</x:v>
      </x:c>
      <x:c r="D3134" s="21" t="str">
        <x:v>artifact 1042 planning state</x:v>
      </x:c>
      <x:c r="E3134" s="21" t="n">
        <x:f>IF(AND('Artifact Ledger'!Q1048="OPEN",'Artifact Ledger'!R1048="HOLD"),1,0)</x:f>
        <x:v>1</x:v>
      </x:c>
      <x:c r="F3134" s="21" t="n">
        <x:v>1</x:v>
      </x:c>
      <x:c r="G3134" s="23" t="str">
        <x:f>IF(E3134=F3134,"PASS","FAIL")</x:f>
        <x:v>PASS</x:v>
      </x:c>
    </x:row>
    <x:row r="3135">
      <x:c r="B3135" s="21" t="str">
        <x:v>A03129</x:v>
      </x:c>
      <x:c r="C3135" s="21" t="str">
        <x:v>artifact</x:v>
      </x:c>
      <x:c r="D3135" s="21" t="str">
        <x:v>artifact 1043 eligibility equation</x:v>
      </x:c>
      <x:c r="E3135" s="21" t="n">
        <x:f>IF(ABS('Artifact Ledger'!P1049-IF(AND('Artifact Ledger'!L1049=1,'Artifact Ledger'!M1049=1,'Artifact Ledger'!N1049=1,'Artifact Ledger'!O1049&gt;='Artifact Ledger'!G1049),'Artifact Ledger'!K1049,0))&lt;0.000001,1,0)</x:f>
        <x:v>1</x:v>
      </x:c>
      <x:c r="F3135" s="21" t="n">
        <x:v>1</x:v>
      </x:c>
      <x:c r="G3135" s="23" t="str">
        <x:f>IF(E3135=F3135,"PASS","FAIL")</x:f>
        <x:v>PASS</x:v>
      </x:c>
    </x:row>
    <x:row r="3136">
      <x:c r="B3136" s="21" t="str">
        <x:v>A03130</x:v>
      </x:c>
      <x:c r="C3136" s="21" t="str">
        <x:v>artifact</x:v>
      </x:c>
      <x:c r="D3136" s="21" t="str">
        <x:v>artifact 1043 planning state</x:v>
      </x:c>
      <x:c r="E3136" s="21" t="n">
        <x:f>IF(AND('Artifact Ledger'!Q1049="OPEN",'Artifact Ledger'!R1049="HOLD"),1,0)</x:f>
        <x:v>1</x:v>
      </x:c>
      <x:c r="F3136" s="21" t="n">
        <x:v>1</x:v>
      </x:c>
      <x:c r="G3136" s="23" t="str">
        <x:f>IF(E3136=F3136,"PASS","FAIL")</x:f>
        <x:v>PASS</x:v>
      </x:c>
    </x:row>
    <x:row r="3137">
      <x:c r="B3137" s="21" t="str">
        <x:v>A03131</x:v>
      </x:c>
      <x:c r="C3137" s="21" t="str">
        <x:v>artifact</x:v>
      </x:c>
      <x:c r="D3137" s="21" t="str">
        <x:v>artifact 1044 eligibility equation</x:v>
      </x:c>
      <x:c r="E3137" s="21" t="n">
        <x:f>IF(ABS('Artifact Ledger'!P1050-IF(AND('Artifact Ledger'!L1050=1,'Artifact Ledger'!M1050=1,'Artifact Ledger'!N1050=1,'Artifact Ledger'!O1050&gt;='Artifact Ledger'!G1050),'Artifact Ledger'!K1050,0))&lt;0.000001,1,0)</x:f>
        <x:v>1</x:v>
      </x:c>
      <x:c r="F3137" s="21" t="n">
        <x:v>1</x:v>
      </x:c>
      <x:c r="G3137" s="23" t="str">
        <x:f>IF(E3137=F3137,"PASS","FAIL")</x:f>
        <x:v>PASS</x:v>
      </x:c>
    </x:row>
    <x:row r="3138">
      <x:c r="B3138" s="21" t="str">
        <x:v>A03132</x:v>
      </x:c>
      <x:c r="C3138" s="21" t="str">
        <x:v>artifact</x:v>
      </x:c>
      <x:c r="D3138" s="21" t="str">
        <x:v>artifact 1044 planning state</x:v>
      </x:c>
      <x:c r="E3138" s="21" t="n">
        <x:f>IF(AND('Artifact Ledger'!Q1050="OPEN",'Artifact Ledger'!R1050="HOLD"),1,0)</x:f>
        <x:v>1</x:v>
      </x:c>
      <x:c r="F3138" s="21" t="n">
        <x:v>1</x:v>
      </x:c>
      <x:c r="G3138" s="23" t="str">
        <x:f>IF(E3138=F3138,"PASS","FAIL")</x:f>
        <x:v>PASS</x:v>
      </x:c>
    </x:row>
    <x:row r="3139">
      <x:c r="B3139" s="21" t="str">
        <x:v>A03133</x:v>
      </x:c>
      <x:c r="C3139" s="21" t="str">
        <x:v>artifact</x:v>
      </x:c>
      <x:c r="D3139" s="21" t="str">
        <x:v>artifact 1045 eligibility equation</x:v>
      </x:c>
      <x:c r="E3139" s="21" t="n">
        <x:f>IF(ABS('Artifact Ledger'!P1051-IF(AND('Artifact Ledger'!L1051=1,'Artifact Ledger'!M1051=1,'Artifact Ledger'!N1051=1,'Artifact Ledger'!O1051&gt;='Artifact Ledger'!G1051),'Artifact Ledger'!K1051,0))&lt;0.000001,1,0)</x:f>
        <x:v>1</x:v>
      </x:c>
      <x:c r="F3139" s="21" t="n">
        <x:v>1</x:v>
      </x:c>
      <x:c r="G3139" s="23" t="str">
        <x:f>IF(E3139=F3139,"PASS","FAIL")</x:f>
        <x:v>PASS</x:v>
      </x:c>
    </x:row>
    <x:row r="3140">
      <x:c r="B3140" s="21" t="str">
        <x:v>A03134</x:v>
      </x:c>
      <x:c r="C3140" s="21" t="str">
        <x:v>artifact</x:v>
      </x:c>
      <x:c r="D3140" s="21" t="str">
        <x:v>artifact 1045 planning state</x:v>
      </x:c>
      <x:c r="E3140" s="21" t="n">
        <x:f>IF(AND('Artifact Ledger'!Q1051="OPEN",'Artifact Ledger'!R1051="HOLD"),1,0)</x:f>
        <x:v>1</x:v>
      </x:c>
      <x:c r="F3140" s="21" t="n">
        <x:v>1</x:v>
      </x:c>
      <x:c r="G3140" s="23" t="str">
        <x:f>IF(E3140=F3140,"PASS","FAIL")</x:f>
        <x:v>PASS</x:v>
      </x:c>
    </x:row>
    <x:row r="3141">
      <x:c r="B3141" s="21" t="str">
        <x:v>A03135</x:v>
      </x:c>
      <x:c r="C3141" s="21" t="str">
        <x:v>artifact</x:v>
      </x:c>
      <x:c r="D3141" s="21" t="str">
        <x:v>artifact 1046 eligibility equation</x:v>
      </x:c>
      <x:c r="E3141" s="21" t="n">
        <x:f>IF(ABS('Artifact Ledger'!P1052-IF(AND('Artifact Ledger'!L1052=1,'Artifact Ledger'!M1052=1,'Artifact Ledger'!N1052=1,'Artifact Ledger'!O1052&gt;='Artifact Ledger'!G1052),'Artifact Ledger'!K1052,0))&lt;0.000001,1,0)</x:f>
        <x:v>1</x:v>
      </x:c>
      <x:c r="F3141" s="21" t="n">
        <x:v>1</x:v>
      </x:c>
      <x:c r="G3141" s="23" t="str">
        <x:f>IF(E3141=F3141,"PASS","FAIL")</x:f>
        <x:v>PASS</x:v>
      </x:c>
    </x:row>
    <x:row r="3142">
      <x:c r="B3142" s="21" t="str">
        <x:v>A03136</x:v>
      </x:c>
      <x:c r="C3142" s="21" t="str">
        <x:v>artifact</x:v>
      </x:c>
      <x:c r="D3142" s="21" t="str">
        <x:v>artifact 1046 planning state</x:v>
      </x:c>
      <x:c r="E3142" s="21" t="n">
        <x:f>IF(AND('Artifact Ledger'!Q1052="OPEN",'Artifact Ledger'!R1052="HOLD"),1,0)</x:f>
        <x:v>1</x:v>
      </x:c>
      <x:c r="F3142" s="21" t="n">
        <x:v>1</x:v>
      </x:c>
      <x:c r="G3142" s="23" t="str">
        <x:f>IF(E3142=F3142,"PASS","FAIL")</x:f>
        <x:v>PASS</x:v>
      </x:c>
    </x:row>
    <x:row r="3143">
      <x:c r="B3143" s="21" t="str">
        <x:v>A03137</x:v>
      </x:c>
      <x:c r="C3143" s="21" t="str">
        <x:v>artifact</x:v>
      </x:c>
      <x:c r="D3143" s="21" t="str">
        <x:v>artifact 1047 eligibility equation</x:v>
      </x:c>
      <x:c r="E3143" s="21" t="n">
        <x:f>IF(ABS('Artifact Ledger'!P1053-IF(AND('Artifact Ledger'!L1053=1,'Artifact Ledger'!M1053=1,'Artifact Ledger'!N1053=1,'Artifact Ledger'!O1053&gt;='Artifact Ledger'!G1053),'Artifact Ledger'!K1053,0))&lt;0.000001,1,0)</x:f>
        <x:v>1</x:v>
      </x:c>
      <x:c r="F3143" s="21" t="n">
        <x:v>1</x:v>
      </x:c>
      <x:c r="G3143" s="23" t="str">
        <x:f>IF(E3143=F3143,"PASS","FAIL")</x:f>
        <x:v>PASS</x:v>
      </x:c>
    </x:row>
    <x:row r="3144">
      <x:c r="B3144" s="21" t="str">
        <x:v>A03138</x:v>
      </x:c>
      <x:c r="C3144" s="21" t="str">
        <x:v>artifact</x:v>
      </x:c>
      <x:c r="D3144" s="21" t="str">
        <x:v>artifact 1047 planning state</x:v>
      </x:c>
      <x:c r="E3144" s="21" t="n">
        <x:f>IF(AND('Artifact Ledger'!Q1053="OPEN",'Artifact Ledger'!R1053="HOLD"),1,0)</x:f>
        <x:v>1</x:v>
      </x:c>
      <x:c r="F3144" s="21" t="n">
        <x:v>1</x:v>
      </x:c>
      <x:c r="G3144" s="23" t="str">
        <x:f>IF(E3144=F3144,"PASS","FAIL")</x:f>
        <x:v>PASS</x:v>
      </x:c>
    </x:row>
    <x:row r="3145">
      <x:c r="B3145" s="21" t="str">
        <x:v>A03139</x:v>
      </x:c>
      <x:c r="C3145" s="21" t="str">
        <x:v>artifact</x:v>
      </x:c>
      <x:c r="D3145" s="21" t="str">
        <x:v>artifact 1048 eligibility equation</x:v>
      </x:c>
      <x:c r="E3145" s="21" t="n">
        <x:f>IF(ABS('Artifact Ledger'!P1054-IF(AND('Artifact Ledger'!L1054=1,'Artifact Ledger'!M1054=1,'Artifact Ledger'!N1054=1,'Artifact Ledger'!O1054&gt;='Artifact Ledger'!G1054),'Artifact Ledger'!K1054,0))&lt;0.000001,1,0)</x:f>
        <x:v>1</x:v>
      </x:c>
      <x:c r="F3145" s="21" t="n">
        <x:v>1</x:v>
      </x:c>
      <x:c r="G3145" s="23" t="str">
        <x:f>IF(E3145=F3145,"PASS","FAIL")</x:f>
        <x:v>PASS</x:v>
      </x:c>
    </x:row>
    <x:row r="3146">
      <x:c r="B3146" s="21" t="str">
        <x:v>A03140</x:v>
      </x:c>
      <x:c r="C3146" s="21" t="str">
        <x:v>artifact</x:v>
      </x:c>
      <x:c r="D3146" s="21" t="str">
        <x:v>artifact 1048 planning state</x:v>
      </x:c>
      <x:c r="E3146" s="21" t="n">
        <x:f>IF(AND('Artifact Ledger'!Q1054="OPEN",'Artifact Ledger'!R1054="HOLD"),1,0)</x:f>
        <x:v>1</x:v>
      </x:c>
      <x:c r="F3146" s="21" t="n">
        <x:v>1</x:v>
      </x:c>
      <x:c r="G3146" s="23" t="str">
        <x:f>IF(E3146=F3146,"PASS","FAIL")</x:f>
        <x:v>PASS</x:v>
      </x:c>
    </x:row>
    <x:row r="3147">
      <x:c r="B3147" s="21" t="str">
        <x:v>A03141</x:v>
      </x:c>
      <x:c r="C3147" s="21" t="str">
        <x:v>artifact</x:v>
      </x:c>
      <x:c r="D3147" s="21" t="str">
        <x:v>artifact 1049 eligibility equation</x:v>
      </x:c>
      <x:c r="E3147" s="21" t="n">
        <x:f>IF(ABS('Artifact Ledger'!P1055-IF(AND('Artifact Ledger'!L1055=1,'Artifact Ledger'!M1055=1,'Artifact Ledger'!N1055=1,'Artifact Ledger'!O1055&gt;='Artifact Ledger'!G1055),'Artifact Ledger'!K1055,0))&lt;0.000001,1,0)</x:f>
        <x:v>1</x:v>
      </x:c>
      <x:c r="F3147" s="21" t="n">
        <x:v>1</x:v>
      </x:c>
      <x:c r="G3147" s="23" t="str">
        <x:f>IF(E3147=F3147,"PASS","FAIL")</x:f>
        <x:v>PASS</x:v>
      </x:c>
    </x:row>
    <x:row r="3148">
      <x:c r="B3148" s="21" t="str">
        <x:v>A03142</x:v>
      </x:c>
      <x:c r="C3148" s="21" t="str">
        <x:v>artifact</x:v>
      </x:c>
      <x:c r="D3148" s="21" t="str">
        <x:v>artifact 1049 planning state</x:v>
      </x:c>
      <x:c r="E3148" s="21" t="n">
        <x:f>IF(AND('Artifact Ledger'!Q1055="OPEN",'Artifact Ledger'!R1055="HOLD"),1,0)</x:f>
        <x:v>1</x:v>
      </x:c>
      <x:c r="F3148" s="21" t="n">
        <x:v>1</x:v>
      </x:c>
      <x:c r="G3148" s="23" t="str">
        <x:f>IF(E3148=F3148,"PASS","FAIL")</x:f>
        <x:v>PASS</x:v>
      </x:c>
    </x:row>
    <x:row r="3149">
      <x:c r="B3149" s="21" t="str">
        <x:v>A03143</x:v>
      </x:c>
      <x:c r="C3149" s="21" t="str">
        <x:v>artifact</x:v>
      </x:c>
      <x:c r="D3149" s="21" t="str">
        <x:v>artifact 1050 eligibility equation</x:v>
      </x:c>
      <x:c r="E3149" s="21" t="n">
        <x:f>IF(ABS('Artifact Ledger'!P1056-IF(AND('Artifact Ledger'!L1056=1,'Artifact Ledger'!M1056=1,'Artifact Ledger'!N1056=1,'Artifact Ledger'!O1056&gt;='Artifact Ledger'!G1056),'Artifact Ledger'!K1056,0))&lt;0.000001,1,0)</x:f>
        <x:v>1</x:v>
      </x:c>
      <x:c r="F3149" s="21" t="n">
        <x:v>1</x:v>
      </x:c>
      <x:c r="G3149" s="23" t="str">
        <x:f>IF(E3149=F3149,"PASS","FAIL")</x:f>
        <x:v>PASS</x:v>
      </x:c>
    </x:row>
    <x:row r="3150">
      <x:c r="B3150" s="21" t="str">
        <x:v>A03144</x:v>
      </x:c>
      <x:c r="C3150" s="21" t="str">
        <x:v>artifact</x:v>
      </x:c>
      <x:c r="D3150" s="21" t="str">
        <x:v>artifact 1050 planning state</x:v>
      </x:c>
      <x:c r="E3150" s="21" t="n">
        <x:f>IF(AND('Artifact Ledger'!Q1056="OPEN",'Artifact Ledger'!R1056="HOLD"),1,0)</x:f>
        <x:v>1</x:v>
      </x:c>
      <x:c r="F3150" s="21" t="n">
        <x:v>1</x:v>
      </x:c>
      <x:c r="G3150" s="23" t="str">
        <x:f>IF(E3150=F3150,"PASS","FAIL")</x:f>
        <x:v>PASS</x:v>
      </x:c>
    </x:row>
    <x:row r="3151">
      <x:c r="B3151" s="21" t="str">
        <x:v>A03145</x:v>
      </x:c>
      <x:c r="C3151" s="21" t="str">
        <x:v>artifact</x:v>
      </x:c>
      <x:c r="D3151" s="21" t="str">
        <x:v>artifact 1051 eligibility equation</x:v>
      </x:c>
      <x:c r="E3151" s="21" t="n">
        <x:f>IF(ABS('Artifact Ledger'!P1057-IF(AND('Artifact Ledger'!L1057=1,'Artifact Ledger'!M1057=1,'Artifact Ledger'!N1057=1,'Artifact Ledger'!O1057&gt;='Artifact Ledger'!G1057),'Artifact Ledger'!K1057,0))&lt;0.000001,1,0)</x:f>
        <x:v>1</x:v>
      </x:c>
      <x:c r="F3151" s="21" t="n">
        <x:v>1</x:v>
      </x:c>
      <x:c r="G3151" s="23" t="str">
        <x:f>IF(E3151=F3151,"PASS","FAIL")</x:f>
        <x:v>PASS</x:v>
      </x:c>
    </x:row>
    <x:row r="3152">
      <x:c r="B3152" s="21" t="str">
        <x:v>A03146</x:v>
      </x:c>
      <x:c r="C3152" s="21" t="str">
        <x:v>artifact</x:v>
      </x:c>
      <x:c r="D3152" s="21" t="str">
        <x:v>artifact 1051 planning state</x:v>
      </x:c>
      <x:c r="E3152" s="21" t="n">
        <x:f>IF(AND('Artifact Ledger'!Q1057="OPEN",'Artifact Ledger'!R1057="HOLD"),1,0)</x:f>
        <x:v>1</x:v>
      </x:c>
      <x:c r="F3152" s="21" t="n">
        <x:v>1</x:v>
      </x:c>
      <x:c r="G3152" s="23" t="str">
        <x:f>IF(E3152=F3152,"PASS","FAIL")</x:f>
        <x:v>PASS</x:v>
      </x:c>
    </x:row>
    <x:row r="3153">
      <x:c r="B3153" s="21" t="str">
        <x:v>A03147</x:v>
      </x:c>
      <x:c r="C3153" s="21" t="str">
        <x:v>artifact</x:v>
      </x:c>
      <x:c r="D3153" s="21" t="str">
        <x:v>artifact 1052 eligibility equation</x:v>
      </x:c>
      <x:c r="E3153" s="21" t="n">
        <x:f>IF(ABS('Artifact Ledger'!P1058-IF(AND('Artifact Ledger'!L1058=1,'Artifact Ledger'!M1058=1,'Artifact Ledger'!N1058=1,'Artifact Ledger'!O1058&gt;='Artifact Ledger'!G1058),'Artifact Ledger'!K1058,0))&lt;0.000001,1,0)</x:f>
        <x:v>1</x:v>
      </x:c>
      <x:c r="F3153" s="21" t="n">
        <x:v>1</x:v>
      </x:c>
      <x:c r="G3153" s="23" t="str">
        <x:f>IF(E3153=F3153,"PASS","FAIL")</x:f>
        <x:v>PASS</x:v>
      </x:c>
    </x:row>
    <x:row r="3154">
      <x:c r="B3154" s="21" t="str">
        <x:v>A03148</x:v>
      </x:c>
      <x:c r="C3154" s="21" t="str">
        <x:v>artifact</x:v>
      </x:c>
      <x:c r="D3154" s="21" t="str">
        <x:v>artifact 1052 planning state</x:v>
      </x:c>
      <x:c r="E3154" s="21" t="n">
        <x:f>IF(AND('Artifact Ledger'!Q1058="OPEN",'Artifact Ledger'!R1058="HOLD"),1,0)</x:f>
        <x:v>1</x:v>
      </x:c>
      <x:c r="F3154" s="21" t="n">
        <x:v>1</x:v>
      </x:c>
      <x:c r="G3154" s="23" t="str">
        <x:f>IF(E3154=F3154,"PASS","FAIL")</x:f>
        <x:v>PASS</x:v>
      </x:c>
    </x:row>
    <x:row r="3155">
      <x:c r="B3155" s="21" t="str">
        <x:v>A03149</x:v>
      </x:c>
      <x:c r="C3155" s="21" t="str">
        <x:v>artifact</x:v>
      </x:c>
      <x:c r="D3155" s="21" t="str">
        <x:v>artifact 1053 eligibility equation</x:v>
      </x:c>
      <x:c r="E3155" s="21" t="n">
        <x:f>IF(ABS('Artifact Ledger'!P1059-IF(AND('Artifact Ledger'!L1059=1,'Artifact Ledger'!M1059=1,'Artifact Ledger'!N1059=1,'Artifact Ledger'!O1059&gt;='Artifact Ledger'!G1059),'Artifact Ledger'!K1059,0))&lt;0.000001,1,0)</x:f>
        <x:v>1</x:v>
      </x:c>
      <x:c r="F3155" s="21" t="n">
        <x:v>1</x:v>
      </x:c>
      <x:c r="G3155" s="23" t="str">
        <x:f>IF(E3155=F3155,"PASS","FAIL")</x:f>
        <x:v>PASS</x:v>
      </x:c>
    </x:row>
    <x:row r="3156">
      <x:c r="B3156" s="21" t="str">
        <x:v>A03150</x:v>
      </x:c>
      <x:c r="C3156" s="21" t="str">
        <x:v>artifact</x:v>
      </x:c>
      <x:c r="D3156" s="21" t="str">
        <x:v>artifact 1053 planning state</x:v>
      </x:c>
      <x:c r="E3156" s="21" t="n">
        <x:f>IF(AND('Artifact Ledger'!Q1059="OPEN",'Artifact Ledger'!R1059="HOLD"),1,0)</x:f>
        <x:v>1</x:v>
      </x:c>
      <x:c r="F3156" s="21" t="n">
        <x:v>1</x:v>
      </x:c>
      <x:c r="G3156" s="23" t="str">
        <x:f>IF(E3156=F3156,"PASS","FAIL")</x:f>
        <x:v>PASS</x:v>
      </x:c>
    </x:row>
    <x:row r="3157">
      <x:c r="B3157" s="21" t="str">
        <x:v>A03151</x:v>
      </x:c>
      <x:c r="C3157" s="21" t="str">
        <x:v>artifact</x:v>
      </x:c>
      <x:c r="D3157" s="21" t="str">
        <x:v>artifact 1054 eligibility equation</x:v>
      </x:c>
      <x:c r="E3157" s="21" t="n">
        <x:f>IF(ABS('Artifact Ledger'!P1060-IF(AND('Artifact Ledger'!L1060=1,'Artifact Ledger'!M1060=1,'Artifact Ledger'!N1060=1,'Artifact Ledger'!O1060&gt;='Artifact Ledger'!G1060),'Artifact Ledger'!K1060,0))&lt;0.000001,1,0)</x:f>
        <x:v>1</x:v>
      </x:c>
      <x:c r="F3157" s="21" t="n">
        <x:v>1</x:v>
      </x:c>
      <x:c r="G3157" s="23" t="str">
        <x:f>IF(E3157=F3157,"PASS","FAIL")</x:f>
        <x:v>PASS</x:v>
      </x:c>
    </x:row>
    <x:row r="3158">
      <x:c r="B3158" s="21" t="str">
        <x:v>A03152</x:v>
      </x:c>
      <x:c r="C3158" s="21" t="str">
        <x:v>artifact</x:v>
      </x:c>
      <x:c r="D3158" s="21" t="str">
        <x:v>artifact 1054 planning state</x:v>
      </x:c>
      <x:c r="E3158" s="21" t="n">
        <x:f>IF(AND('Artifact Ledger'!Q1060="OPEN",'Artifact Ledger'!R1060="HOLD"),1,0)</x:f>
        <x:v>1</x:v>
      </x:c>
      <x:c r="F3158" s="21" t="n">
        <x:v>1</x:v>
      </x:c>
      <x:c r="G3158" s="23" t="str">
        <x:f>IF(E3158=F3158,"PASS","FAIL")</x:f>
        <x:v>PASS</x:v>
      </x:c>
    </x:row>
    <x:row r="3159">
      <x:c r="B3159" s="21" t="str">
        <x:v>A03153</x:v>
      </x:c>
      <x:c r="C3159" s="21" t="str">
        <x:v>artifact</x:v>
      </x:c>
      <x:c r="D3159" s="21" t="str">
        <x:v>artifact 1055 eligibility equation</x:v>
      </x:c>
      <x:c r="E3159" s="21" t="n">
        <x:f>IF(ABS('Artifact Ledger'!P1061-IF(AND('Artifact Ledger'!L1061=1,'Artifact Ledger'!M1061=1,'Artifact Ledger'!N1061=1,'Artifact Ledger'!O1061&gt;='Artifact Ledger'!G1061),'Artifact Ledger'!K1061,0))&lt;0.000001,1,0)</x:f>
        <x:v>1</x:v>
      </x:c>
      <x:c r="F3159" s="21" t="n">
        <x:v>1</x:v>
      </x:c>
      <x:c r="G3159" s="23" t="str">
        <x:f>IF(E3159=F3159,"PASS","FAIL")</x:f>
        <x:v>PASS</x:v>
      </x:c>
    </x:row>
    <x:row r="3160">
      <x:c r="B3160" s="21" t="str">
        <x:v>A03154</x:v>
      </x:c>
      <x:c r="C3160" s="21" t="str">
        <x:v>artifact</x:v>
      </x:c>
      <x:c r="D3160" s="21" t="str">
        <x:v>artifact 1055 planning state</x:v>
      </x:c>
      <x:c r="E3160" s="21" t="n">
        <x:f>IF(AND('Artifact Ledger'!Q1061="OPEN",'Artifact Ledger'!R1061="HOLD"),1,0)</x:f>
        <x:v>1</x:v>
      </x:c>
      <x:c r="F3160" s="21" t="n">
        <x:v>1</x:v>
      </x:c>
      <x:c r="G3160" s="23" t="str">
        <x:f>IF(E3160=F3160,"PASS","FAIL")</x:f>
        <x:v>PASS</x:v>
      </x:c>
    </x:row>
    <x:row r="3161">
      <x:c r="B3161" s="21" t="str">
        <x:v>A03155</x:v>
      </x:c>
      <x:c r="C3161" s="21" t="str">
        <x:v>artifact</x:v>
      </x:c>
      <x:c r="D3161" s="21" t="str">
        <x:v>artifact 1056 eligibility equation</x:v>
      </x:c>
      <x:c r="E3161" s="21" t="n">
        <x:f>IF(ABS('Artifact Ledger'!P1062-IF(AND('Artifact Ledger'!L1062=1,'Artifact Ledger'!M1062=1,'Artifact Ledger'!N1062=1,'Artifact Ledger'!O1062&gt;='Artifact Ledger'!G1062),'Artifact Ledger'!K1062,0))&lt;0.000001,1,0)</x:f>
        <x:v>1</x:v>
      </x:c>
      <x:c r="F3161" s="21" t="n">
        <x:v>1</x:v>
      </x:c>
      <x:c r="G3161" s="23" t="str">
        <x:f>IF(E3161=F3161,"PASS","FAIL")</x:f>
        <x:v>PASS</x:v>
      </x:c>
    </x:row>
    <x:row r="3162">
      <x:c r="B3162" s="21" t="str">
        <x:v>A03156</x:v>
      </x:c>
      <x:c r="C3162" s="21" t="str">
        <x:v>artifact</x:v>
      </x:c>
      <x:c r="D3162" s="21" t="str">
        <x:v>artifact 1056 planning state</x:v>
      </x:c>
      <x:c r="E3162" s="21" t="n">
        <x:f>IF(AND('Artifact Ledger'!Q1062="OPEN",'Artifact Ledger'!R1062="HOLD"),1,0)</x:f>
        <x:v>1</x:v>
      </x:c>
      <x:c r="F3162" s="21" t="n">
        <x:v>1</x:v>
      </x:c>
      <x:c r="G3162" s="23" t="str">
        <x:f>IF(E3162=F3162,"PASS","FAIL")</x:f>
        <x:v>PASS</x:v>
      </x:c>
    </x:row>
    <x:row r="3163">
      <x:c r="B3163" s="21" t="str">
        <x:v>A03157</x:v>
      </x:c>
      <x:c r="C3163" s="21" t="str">
        <x:v>artifact</x:v>
      </x:c>
      <x:c r="D3163" s="21" t="str">
        <x:v>artifact 1057 eligibility equation</x:v>
      </x:c>
      <x:c r="E3163" s="21" t="n">
        <x:f>IF(ABS('Artifact Ledger'!P1063-IF(AND('Artifact Ledger'!L1063=1,'Artifact Ledger'!M1063=1,'Artifact Ledger'!N1063=1,'Artifact Ledger'!O1063&gt;='Artifact Ledger'!G1063),'Artifact Ledger'!K1063,0))&lt;0.000001,1,0)</x:f>
        <x:v>1</x:v>
      </x:c>
      <x:c r="F3163" s="21" t="n">
        <x:v>1</x:v>
      </x:c>
      <x:c r="G3163" s="23" t="str">
        <x:f>IF(E3163=F3163,"PASS","FAIL")</x:f>
        <x:v>PASS</x:v>
      </x:c>
    </x:row>
    <x:row r="3164">
      <x:c r="B3164" s="21" t="str">
        <x:v>A03158</x:v>
      </x:c>
      <x:c r="C3164" s="21" t="str">
        <x:v>artifact</x:v>
      </x:c>
      <x:c r="D3164" s="21" t="str">
        <x:v>artifact 1057 planning state</x:v>
      </x:c>
      <x:c r="E3164" s="21" t="n">
        <x:f>IF(AND('Artifact Ledger'!Q1063="OPEN",'Artifact Ledger'!R1063="HOLD"),1,0)</x:f>
        <x:v>1</x:v>
      </x:c>
      <x:c r="F3164" s="21" t="n">
        <x:v>1</x:v>
      </x:c>
      <x:c r="G3164" s="23" t="str">
        <x:f>IF(E3164=F3164,"PASS","FAIL")</x:f>
        <x:v>PASS</x:v>
      </x:c>
    </x:row>
    <x:row r="3165">
      <x:c r="B3165" s="21" t="str">
        <x:v>A03159</x:v>
      </x:c>
      <x:c r="C3165" s="21" t="str">
        <x:v>artifact</x:v>
      </x:c>
      <x:c r="D3165" s="21" t="str">
        <x:v>artifact 1058 eligibility equation</x:v>
      </x:c>
      <x:c r="E3165" s="21" t="n">
        <x:f>IF(ABS('Artifact Ledger'!P1064-IF(AND('Artifact Ledger'!L1064=1,'Artifact Ledger'!M1064=1,'Artifact Ledger'!N1064=1,'Artifact Ledger'!O1064&gt;='Artifact Ledger'!G1064),'Artifact Ledger'!K1064,0))&lt;0.000001,1,0)</x:f>
        <x:v>1</x:v>
      </x:c>
      <x:c r="F3165" s="21" t="n">
        <x:v>1</x:v>
      </x:c>
      <x:c r="G3165" s="23" t="str">
        <x:f>IF(E3165=F3165,"PASS","FAIL")</x:f>
        <x:v>PASS</x:v>
      </x:c>
    </x:row>
    <x:row r="3166">
      <x:c r="B3166" s="21" t="str">
        <x:v>A03160</x:v>
      </x:c>
      <x:c r="C3166" s="21" t="str">
        <x:v>artifact</x:v>
      </x:c>
      <x:c r="D3166" s="21" t="str">
        <x:v>artifact 1058 planning state</x:v>
      </x:c>
      <x:c r="E3166" s="21" t="n">
        <x:f>IF(AND('Artifact Ledger'!Q1064="OPEN",'Artifact Ledger'!R1064="HOLD"),1,0)</x:f>
        <x:v>1</x:v>
      </x:c>
      <x:c r="F3166" s="21" t="n">
        <x:v>1</x:v>
      </x:c>
      <x:c r="G3166" s="23" t="str">
        <x:f>IF(E3166=F3166,"PASS","FAIL")</x:f>
        <x:v>PASS</x:v>
      </x:c>
    </x:row>
    <x:row r="3167">
      <x:c r="B3167" s="21" t="str">
        <x:v>A03161</x:v>
      </x:c>
      <x:c r="C3167" s="21" t="str">
        <x:v>artifact</x:v>
      </x:c>
      <x:c r="D3167" s="21" t="str">
        <x:v>artifact 1059 eligibility equation</x:v>
      </x:c>
      <x:c r="E3167" s="21" t="n">
        <x:f>IF(ABS('Artifact Ledger'!P1065-IF(AND('Artifact Ledger'!L1065=1,'Artifact Ledger'!M1065=1,'Artifact Ledger'!N1065=1,'Artifact Ledger'!O1065&gt;='Artifact Ledger'!G1065),'Artifact Ledger'!K1065,0))&lt;0.000001,1,0)</x:f>
        <x:v>1</x:v>
      </x:c>
      <x:c r="F3167" s="21" t="n">
        <x:v>1</x:v>
      </x:c>
      <x:c r="G3167" s="23" t="str">
        <x:f>IF(E3167=F3167,"PASS","FAIL")</x:f>
        <x:v>PASS</x:v>
      </x:c>
    </x:row>
    <x:row r="3168">
      <x:c r="B3168" s="21" t="str">
        <x:v>A03162</x:v>
      </x:c>
      <x:c r="C3168" s="21" t="str">
        <x:v>artifact</x:v>
      </x:c>
      <x:c r="D3168" s="21" t="str">
        <x:v>artifact 1059 planning state</x:v>
      </x:c>
      <x:c r="E3168" s="21" t="n">
        <x:f>IF(AND('Artifact Ledger'!Q1065="OPEN",'Artifact Ledger'!R1065="HOLD"),1,0)</x:f>
        <x:v>1</x:v>
      </x:c>
      <x:c r="F3168" s="21" t="n">
        <x:v>1</x:v>
      </x:c>
      <x:c r="G3168" s="23" t="str">
        <x:f>IF(E3168=F3168,"PASS","FAIL")</x:f>
        <x:v>PASS</x:v>
      </x:c>
    </x:row>
    <x:row r="3169">
      <x:c r="B3169" s="21" t="str">
        <x:v>A03163</x:v>
      </x:c>
      <x:c r="C3169" s="21" t="str">
        <x:v>artifact</x:v>
      </x:c>
      <x:c r="D3169" s="21" t="str">
        <x:v>artifact 1060 eligibility equation</x:v>
      </x:c>
      <x:c r="E3169" s="21" t="n">
        <x:f>IF(ABS('Artifact Ledger'!P1066-IF(AND('Artifact Ledger'!L1066=1,'Artifact Ledger'!M1066=1,'Artifact Ledger'!N1066=1,'Artifact Ledger'!O1066&gt;='Artifact Ledger'!G1066),'Artifact Ledger'!K1066,0))&lt;0.000001,1,0)</x:f>
        <x:v>1</x:v>
      </x:c>
      <x:c r="F3169" s="21" t="n">
        <x:v>1</x:v>
      </x:c>
      <x:c r="G3169" s="23" t="str">
        <x:f>IF(E3169=F3169,"PASS","FAIL")</x:f>
        <x:v>PASS</x:v>
      </x:c>
    </x:row>
    <x:row r="3170">
      <x:c r="B3170" s="21" t="str">
        <x:v>A03164</x:v>
      </x:c>
      <x:c r="C3170" s="21" t="str">
        <x:v>artifact</x:v>
      </x:c>
      <x:c r="D3170" s="21" t="str">
        <x:v>artifact 1060 planning state</x:v>
      </x:c>
      <x:c r="E3170" s="21" t="n">
        <x:f>IF(AND('Artifact Ledger'!Q1066="OPEN",'Artifact Ledger'!R1066="HOLD"),1,0)</x:f>
        <x:v>1</x:v>
      </x:c>
      <x:c r="F3170" s="21" t="n">
        <x:v>1</x:v>
      </x:c>
      <x:c r="G3170" s="23" t="str">
        <x:f>IF(E3170=F3170,"PASS","FAIL")</x:f>
        <x:v>PASS</x:v>
      </x:c>
    </x:row>
    <x:row r="3171">
      <x:c r="B3171" s="21" t="str">
        <x:v>A03165</x:v>
      </x:c>
      <x:c r="C3171" s="21" t="str">
        <x:v>artifact</x:v>
      </x:c>
      <x:c r="D3171" s="21" t="str">
        <x:v>artifact 1061 eligibility equation</x:v>
      </x:c>
      <x:c r="E3171" s="21" t="n">
        <x:f>IF(ABS('Artifact Ledger'!P1067-IF(AND('Artifact Ledger'!L1067=1,'Artifact Ledger'!M1067=1,'Artifact Ledger'!N1067=1,'Artifact Ledger'!O1067&gt;='Artifact Ledger'!G1067),'Artifact Ledger'!K1067,0))&lt;0.000001,1,0)</x:f>
        <x:v>1</x:v>
      </x:c>
      <x:c r="F3171" s="21" t="n">
        <x:v>1</x:v>
      </x:c>
      <x:c r="G3171" s="23" t="str">
        <x:f>IF(E3171=F3171,"PASS","FAIL")</x:f>
        <x:v>PASS</x:v>
      </x:c>
    </x:row>
    <x:row r="3172">
      <x:c r="B3172" s="21" t="str">
        <x:v>A03166</x:v>
      </x:c>
      <x:c r="C3172" s="21" t="str">
        <x:v>artifact</x:v>
      </x:c>
      <x:c r="D3172" s="21" t="str">
        <x:v>artifact 1061 planning state</x:v>
      </x:c>
      <x:c r="E3172" s="21" t="n">
        <x:f>IF(AND('Artifact Ledger'!Q1067="OPEN",'Artifact Ledger'!R1067="HOLD"),1,0)</x:f>
        <x:v>1</x:v>
      </x:c>
      <x:c r="F3172" s="21" t="n">
        <x:v>1</x:v>
      </x:c>
      <x:c r="G3172" s="23" t="str">
        <x:f>IF(E3172=F3172,"PASS","FAIL")</x:f>
        <x:v>PASS</x:v>
      </x:c>
    </x:row>
    <x:row r="3173">
      <x:c r="B3173" s="21" t="str">
        <x:v>A03167</x:v>
      </x:c>
      <x:c r="C3173" s="21" t="str">
        <x:v>artifact</x:v>
      </x:c>
      <x:c r="D3173" s="21" t="str">
        <x:v>artifact 1062 eligibility equation</x:v>
      </x:c>
      <x:c r="E3173" s="21" t="n">
        <x:f>IF(ABS('Artifact Ledger'!P1068-IF(AND('Artifact Ledger'!L1068=1,'Artifact Ledger'!M1068=1,'Artifact Ledger'!N1068=1,'Artifact Ledger'!O1068&gt;='Artifact Ledger'!G1068),'Artifact Ledger'!K1068,0))&lt;0.000001,1,0)</x:f>
        <x:v>1</x:v>
      </x:c>
      <x:c r="F3173" s="21" t="n">
        <x:v>1</x:v>
      </x:c>
      <x:c r="G3173" s="23" t="str">
        <x:f>IF(E3173=F3173,"PASS","FAIL")</x:f>
        <x:v>PASS</x:v>
      </x:c>
    </x:row>
    <x:row r="3174">
      <x:c r="B3174" s="21" t="str">
        <x:v>A03168</x:v>
      </x:c>
      <x:c r="C3174" s="21" t="str">
        <x:v>artifact</x:v>
      </x:c>
      <x:c r="D3174" s="21" t="str">
        <x:v>artifact 1062 planning state</x:v>
      </x:c>
      <x:c r="E3174" s="21" t="n">
        <x:f>IF(AND('Artifact Ledger'!Q1068="OPEN",'Artifact Ledger'!R1068="HOLD"),1,0)</x:f>
        <x:v>1</x:v>
      </x:c>
      <x:c r="F3174" s="21" t="n">
        <x:v>1</x:v>
      </x:c>
      <x:c r="G3174" s="23" t="str">
        <x:f>IF(E3174=F3174,"PASS","FAIL")</x:f>
        <x:v>PASS</x:v>
      </x:c>
    </x:row>
    <x:row r="3175">
      <x:c r="B3175" s="21" t="str">
        <x:v>A03169</x:v>
      </x:c>
      <x:c r="C3175" s="21" t="str">
        <x:v>artifact</x:v>
      </x:c>
      <x:c r="D3175" s="21" t="str">
        <x:v>artifact 1063 eligibility equation</x:v>
      </x:c>
      <x:c r="E3175" s="21" t="n">
        <x:f>IF(ABS('Artifact Ledger'!P1069-IF(AND('Artifact Ledger'!L1069=1,'Artifact Ledger'!M1069=1,'Artifact Ledger'!N1069=1,'Artifact Ledger'!O1069&gt;='Artifact Ledger'!G1069),'Artifact Ledger'!K1069,0))&lt;0.000001,1,0)</x:f>
        <x:v>1</x:v>
      </x:c>
      <x:c r="F3175" s="21" t="n">
        <x:v>1</x:v>
      </x:c>
      <x:c r="G3175" s="23" t="str">
        <x:f>IF(E3175=F3175,"PASS","FAIL")</x:f>
        <x:v>PASS</x:v>
      </x:c>
    </x:row>
    <x:row r="3176">
      <x:c r="B3176" s="21" t="str">
        <x:v>A03170</x:v>
      </x:c>
      <x:c r="C3176" s="21" t="str">
        <x:v>artifact</x:v>
      </x:c>
      <x:c r="D3176" s="21" t="str">
        <x:v>artifact 1063 planning state</x:v>
      </x:c>
      <x:c r="E3176" s="21" t="n">
        <x:f>IF(AND('Artifact Ledger'!Q1069="OPEN",'Artifact Ledger'!R1069="HOLD"),1,0)</x:f>
        <x:v>1</x:v>
      </x:c>
      <x:c r="F3176" s="21" t="n">
        <x:v>1</x:v>
      </x:c>
      <x:c r="G3176" s="23" t="str">
        <x:f>IF(E3176=F3176,"PASS","FAIL")</x:f>
        <x:v>PASS</x:v>
      </x:c>
    </x:row>
    <x:row r="3177">
      <x:c r="B3177" s="21" t="str">
        <x:v>A03171</x:v>
      </x:c>
      <x:c r="C3177" s="21" t="str">
        <x:v>artifact</x:v>
      </x:c>
      <x:c r="D3177" s="21" t="str">
        <x:v>artifact 1064 eligibility equation</x:v>
      </x:c>
      <x:c r="E3177" s="21" t="n">
        <x:f>IF(ABS('Artifact Ledger'!P1070-IF(AND('Artifact Ledger'!L1070=1,'Artifact Ledger'!M1070=1,'Artifact Ledger'!N1070=1,'Artifact Ledger'!O1070&gt;='Artifact Ledger'!G1070),'Artifact Ledger'!K1070,0))&lt;0.000001,1,0)</x:f>
        <x:v>1</x:v>
      </x:c>
      <x:c r="F3177" s="21" t="n">
        <x:v>1</x:v>
      </x:c>
      <x:c r="G3177" s="23" t="str">
        <x:f>IF(E3177=F3177,"PASS","FAIL")</x:f>
        <x:v>PASS</x:v>
      </x:c>
    </x:row>
    <x:row r="3178">
      <x:c r="B3178" s="21" t="str">
        <x:v>A03172</x:v>
      </x:c>
      <x:c r="C3178" s="21" t="str">
        <x:v>artifact</x:v>
      </x:c>
      <x:c r="D3178" s="21" t="str">
        <x:v>artifact 1064 planning state</x:v>
      </x:c>
      <x:c r="E3178" s="21" t="n">
        <x:f>IF(AND('Artifact Ledger'!Q1070="OPEN",'Artifact Ledger'!R1070="HOLD"),1,0)</x:f>
        <x:v>1</x:v>
      </x:c>
      <x:c r="F3178" s="21" t="n">
        <x:v>1</x:v>
      </x:c>
      <x:c r="G3178" s="23" t="str">
        <x:f>IF(E3178=F3178,"PASS","FAIL")</x:f>
        <x:v>PASS</x:v>
      </x:c>
    </x:row>
    <x:row r="3179">
      <x:c r="B3179" s="21" t="str">
        <x:v>A03173</x:v>
      </x:c>
      <x:c r="C3179" s="21" t="str">
        <x:v>artifact</x:v>
      </x:c>
      <x:c r="D3179" s="21" t="str">
        <x:v>artifact 1065 eligibility equation</x:v>
      </x:c>
      <x:c r="E3179" s="21" t="n">
        <x:f>IF(ABS('Artifact Ledger'!P1071-IF(AND('Artifact Ledger'!L1071=1,'Artifact Ledger'!M1071=1,'Artifact Ledger'!N1071=1,'Artifact Ledger'!O1071&gt;='Artifact Ledger'!G1071),'Artifact Ledger'!K1071,0))&lt;0.000001,1,0)</x:f>
        <x:v>1</x:v>
      </x:c>
      <x:c r="F3179" s="21" t="n">
        <x:v>1</x:v>
      </x:c>
      <x:c r="G3179" s="23" t="str">
        <x:f>IF(E3179=F3179,"PASS","FAIL")</x:f>
        <x:v>PASS</x:v>
      </x:c>
    </x:row>
    <x:row r="3180">
      <x:c r="B3180" s="21" t="str">
        <x:v>A03174</x:v>
      </x:c>
      <x:c r="C3180" s="21" t="str">
        <x:v>artifact</x:v>
      </x:c>
      <x:c r="D3180" s="21" t="str">
        <x:v>artifact 1065 planning state</x:v>
      </x:c>
      <x:c r="E3180" s="21" t="n">
        <x:f>IF(AND('Artifact Ledger'!Q1071="OPEN",'Artifact Ledger'!R1071="HOLD"),1,0)</x:f>
        <x:v>1</x:v>
      </x:c>
      <x:c r="F3180" s="21" t="n">
        <x:v>1</x:v>
      </x:c>
      <x:c r="G3180" s="23" t="str">
        <x:f>IF(E3180=F3180,"PASS","FAIL")</x:f>
        <x:v>PASS</x:v>
      </x:c>
    </x:row>
    <x:row r="3181">
      <x:c r="B3181" s="21" t="str">
        <x:v>A03175</x:v>
      </x:c>
      <x:c r="C3181" s="21" t="str">
        <x:v>artifact</x:v>
      </x:c>
      <x:c r="D3181" s="21" t="str">
        <x:v>artifact 1066 eligibility equation</x:v>
      </x:c>
      <x:c r="E3181" s="21" t="n">
        <x:f>IF(ABS('Artifact Ledger'!P1072-IF(AND('Artifact Ledger'!L1072=1,'Artifact Ledger'!M1072=1,'Artifact Ledger'!N1072=1,'Artifact Ledger'!O1072&gt;='Artifact Ledger'!G1072),'Artifact Ledger'!K1072,0))&lt;0.000001,1,0)</x:f>
        <x:v>1</x:v>
      </x:c>
      <x:c r="F3181" s="21" t="n">
        <x:v>1</x:v>
      </x:c>
      <x:c r="G3181" s="23" t="str">
        <x:f>IF(E3181=F3181,"PASS","FAIL")</x:f>
        <x:v>PASS</x:v>
      </x:c>
    </x:row>
    <x:row r="3182">
      <x:c r="B3182" s="21" t="str">
        <x:v>A03176</x:v>
      </x:c>
      <x:c r="C3182" s="21" t="str">
        <x:v>artifact</x:v>
      </x:c>
      <x:c r="D3182" s="21" t="str">
        <x:v>artifact 1066 planning state</x:v>
      </x:c>
      <x:c r="E3182" s="21" t="n">
        <x:f>IF(AND('Artifact Ledger'!Q1072="OPEN",'Artifact Ledger'!R1072="HOLD"),1,0)</x:f>
        <x:v>1</x:v>
      </x:c>
      <x:c r="F3182" s="21" t="n">
        <x:v>1</x:v>
      </x:c>
      <x:c r="G3182" s="23" t="str">
        <x:f>IF(E3182=F3182,"PASS","FAIL")</x:f>
        <x:v>PASS</x:v>
      </x:c>
    </x:row>
    <x:row r="3183">
      <x:c r="B3183" s="21" t="str">
        <x:v>A03177</x:v>
      </x:c>
      <x:c r="C3183" s="21" t="str">
        <x:v>artifact</x:v>
      </x:c>
      <x:c r="D3183" s="21" t="str">
        <x:v>artifact 1067 eligibility equation</x:v>
      </x:c>
      <x:c r="E3183" s="21" t="n">
        <x:f>IF(ABS('Artifact Ledger'!P1073-IF(AND('Artifact Ledger'!L1073=1,'Artifact Ledger'!M1073=1,'Artifact Ledger'!N1073=1,'Artifact Ledger'!O1073&gt;='Artifact Ledger'!G1073),'Artifact Ledger'!K1073,0))&lt;0.000001,1,0)</x:f>
        <x:v>1</x:v>
      </x:c>
      <x:c r="F3183" s="21" t="n">
        <x:v>1</x:v>
      </x:c>
      <x:c r="G3183" s="23" t="str">
        <x:f>IF(E3183=F3183,"PASS","FAIL")</x:f>
        <x:v>PASS</x:v>
      </x:c>
    </x:row>
    <x:row r="3184">
      <x:c r="B3184" s="21" t="str">
        <x:v>A03178</x:v>
      </x:c>
      <x:c r="C3184" s="21" t="str">
        <x:v>artifact</x:v>
      </x:c>
      <x:c r="D3184" s="21" t="str">
        <x:v>artifact 1067 planning state</x:v>
      </x:c>
      <x:c r="E3184" s="21" t="n">
        <x:f>IF(AND('Artifact Ledger'!Q1073="OPEN",'Artifact Ledger'!R1073="HOLD"),1,0)</x:f>
        <x:v>1</x:v>
      </x:c>
      <x:c r="F3184" s="21" t="n">
        <x:v>1</x:v>
      </x:c>
      <x:c r="G3184" s="23" t="str">
        <x:f>IF(E3184=F3184,"PASS","FAIL")</x:f>
        <x:v>PASS</x:v>
      </x:c>
    </x:row>
    <x:row r="3185">
      <x:c r="B3185" s="21" t="str">
        <x:v>A03179</x:v>
      </x:c>
      <x:c r="C3185" s="21" t="str">
        <x:v>artifact</x:v>
      </x:c>
      <x:c r="D3185" s="21" t="str">
        <x:v>artifact 1068 eligibility equation</x:v>
      </x:c>
      <x:c r="E3185" s="21" t="n">
        <x:f>IF(ABS('Artifact Ledger'!P1074-IF(AND('Artifact Ledger'!L1074=1,'Artifact Ledger'!M1074=1,'Artifact Ledger'!N1074=1,'Artifact Ledger'!O1074&gt;='Artifact Ledger'!G1074),'Artifact Ledger'!K1074,0))&lt;0.000001,1,0)</x:f>
        <x:v>1</x:v>
      </x:c>
      <x:c r="F3185" s="21" t="n">
        <x:v>1</x:v>
      </x:c>
      <x:c r="G3185" s="23" t="str">
        <x:f>IF(E3185=F3185,"PASS","FAIL")</x:f>
        <x:v>PASS</x:v>
      </x:c>
    </x:row>
    <x:row r="3186">
      <x:c r="B3186" s="21" t="str">
        <x:v>A03180</x:v>
      </x:c>
      <x:c r="C3186" s="21" t="str">
        <x:v>artifact</x:v>
      </x:c>
      <x:c r="D3186" s="21" t="str">
        <x:v>artifact 1068 planning state</x:v>
      </x:c>
      <x:c r="E3186" s="21" t="n">
        <x:f>IF(AND('Artifact Ledger'!Q1074="OPEN",'Artifact Ledger'!R1074="HOLD"),1,0)</x:f>
        <x:v>1</x:v>
      </x:c>
      <x:c r="F3186" s="21" t="n">
        <x:v>1</x:v>
      </x:c>
      <x:c r="G3186" s="23" t="str">
        <x:f>IF(E3186=F3186,"PASS","FAIL")</x:f>
        <x:v>PASS</x:v>
      </x:c>
    </x:row>
    <x:row r="3187">
      <x:c r="B3187" s="21" t="str">
        <x:v>A03181</x:v>
      </x:c>
      <x:c r="C3187" s="21" t="str">
        <x:v>artifact</x:v>
      </x:c>
      <x:c r="D3187" s="21" t="str">
        <x:v>artifact 1069 eligibility equation</x:v>
      </x:c>
      <x:c r="E3187" s="21" t="n">
        <x:f>IF(ABS('Artifact Ledger'!P1075-IF(AND('Artifact Ledger'!L1075=1,'Artifact Ledger'!M1075=1,'Artifact Ledger'!N1075=1,'Artifact Ledger'!O1075&gt;='Artifact Ledger'!G1075),'Artifact Ledger'!K1075,0))&lt;0.000001,1,0)</x:f>
        <x:v>1</x:v>
      </x:c>
      <x:c r="F3187" s="21" t="n">
        <x:v>1</x:v>
      </x:c>
      <x:c r="G3187" s="23" t="str">
        <x:f>IF(E3187=F3187,"PASS","FAIL")</x:f>
        <x:v>PASS</x:v>
      </x:c>
    </x:row>
    <x:row r="3188">
      <x:c r="B3188" s="21" t="str">
        <x:v>A03182</x:v>
      </x:c>
      <x:c r="C3188" s="21" t="str">
        <x:v>artifact</x:v>
      </x:c>
      <x:c r="D3188" s="21" t="str">
        <x:v>artifact 1069 planning state</x:v>
      </x:c>
      <x:c r="E3188" s="21" t="n">
        <x:f>IF(AND('Artifact Ledger'!Q1075="OPEN",'Artifact Ledger'!R1075="HOLD"),1,0)</x:f>
        <x:v>1</x:v>
      </x:c>
      <x:c r="F3188" s="21" t="n">
        <x:v>1</x:v>
      </x:c>
      <x:c r="G3188" s="23" t="str">
        <x:f>IF(E3188=F3188,"PASS","FAIL")</x:f>
        <x:v>PASS</x:v>
      </x:c>
    </x:row>
    <x:row r="3189">
      <x:c r="B3189" s="21" t="str">
        <x:v>A03183</x:v>
      </x:c>
      <x:c r="C3189" s="21" t="str">
        <x:v>artifact</x:v>
      </x:c>
      <x:c r="D3189" s="21" t="str">
        <x:v>artifact 1070 eligibility equation</x:v>
      </x:c>
      <x:c r="E3189" s="21" t="n">
        <x:f>IF(ABS('Artifact Ledger'!P1076-IF(AND('Artifact Ledger'!L1076=1,'Artifact Ledger'!M1076=1,'Artifact Ledger'!N1076=1,'Artifact Ledger'!O1076&gt;='Artifact Ledger'!G1076),'Artifact Ledger'!K1076,0))&lt;0.000001,1,0)</x:f>
        <x:v>1</x:v>
      </x:c>
      <x:c r="F3189" s="21" t="n">
        <x:v>1</x:v>
      </x:c>
      <x:c r="G3189" s="23" t="str">
        <x:f>IF(E3189=F3189,"PASS","FAIL")</x:f>
        <x:v>PASS</x:v>
      </x:c>
    </x:row>
    <x:row r="3190">
      <x:c r="B3190" s="21" t="str">
        <x:v>A03184</x:v>
      </x:c>
      <x:c r="C3190" s="21" t="str">
        <x:v>artifact</x:v>
      </x:c>
      <x:c r="D3190" s="21" t="str">
        <x:v>artifact 1070 planning state</x:v>
      </x:c>
      <x:c r="E3190" s="21" t="n">
        <x:f>IF(AND('Artifact Ledger'!Q1076="OPEN",'Artifact Ledger'!R1076="HOLD"),1,0)</x:f>
        <x:v>1</x:v>
      </x:c>
      <x:c r="F3190" s="21" t="n">
        <x:v>1</x:v>
      </x:c>
      <x:c r="G3190" s="23" t="str">
        <x:f>IF(E3190=F3190,"PASS","FAIL")</x:f>
        <x:v>PASS</x:v>
      </x:c>
    </x:row>
    <x:row r="3191">
      <x:c r="B3191" s="21" t="str">
        <x:v>A03185</x:v>
      </x:c>
      <x:c r="C3191" s="21" t="str">
        <x:v>artifact</x:v>
      </x:c>
      <x:c r="D3191" s="21" t="str">
        <x:v>artifact 1071 eligibility equation</x:v>
      </x:c>
      <x:c r="E3191" s="21" t="n">
        <x:f>IF(ABS('Artifact Ledger'!P1077-IF(AND('Artifact Ledger'!L1077=1,'Artifact Ledger'!M1077=1,'Artifact Ledger'!N1077=1,'Artifact Ledger'!O1077&gt;='Artifact Ledger'!G1077),'Artifact Ledger'!K1077,0))&lt;0.000001,1,0)</x:f>
        <x:v>1</x:v>
      </x:c>
      <x:c r="F3191" s="21" t="n">
        <x:v>1</x:v>
      </x:c>
      <x:c r="G3191" s="23" t="str">
        <x:f>IF(E3191=F3191,"PASS","FAIL")</x:f>
        <x:v>PASS</x:v>
      </x:c>
    </x:row>
    <x:row r="3192">
      <x:c r="B3192" s="21" t="str">
        <x:v>A03186</x:v>
      </x:c>
      <x:c r="C3192" s="21" t="str">
        <x:v>artifact</x:v>
      </x:c>
      <x:c r="D3192" s="21" t="str">
        <x:v>artifact 1071 planning state</x:v>
      </x:c>
      <x:c r="E3192" s="21" t="n">
        <x:f>IF(AND('Artifact Ledger'!Q1077="OPEN",'Artifact Ledger'!R1077="HOLD"),1,0)</x:f>
        <x:v>1</x:v>
      </x:c>
      <x:c r="F3192" s="21" t="n">
        <x:v>1</x:v>
      </x:c>
      <x:c r="G3192" s="23" t="str">
        <x:f>IF(E3192=F3192,"PASS","FAIL")</x:f>
        <x:v>PASS</x:v>
      </x:c>
    </x:row>
    <x:row r="3193">
      <x:c r="B3193" s="21" t="str">
        <x:v>A03187</x:v>
      </x:c>
      <x:c r="C3193" s="21" t="str">
        <x:v>artifact</x:v>
      </x:c>
      <x:c r="D3193" s="21" t="str">
        <x:v>artifact 1072 eligibility equation</x:v>
      </x:c>
      <x:c r="E3193" s="21" t="n">
        <x:f>IF(ABS('Artifact Ledger'!P1078-IF(AND('Artifact Ledger'!L1078=1,'Artifact Ledger'!M1078=1,'Artifact Ledger'!N1078=1,'Artifact Ledger'!O1078&gt;='Artifact Ledger'!G1078),'Artifact Ledger'!K1078,0))&lt;0.000001,1,0)</x:f>
        <x:v>1</x:v>
      </x:c>
      <x:c r="F3193" s="21" t="n">
        <x:v>1</x:v>
      </x:c>
      <x:c r="G3193" s="23" t="str">
        <x:f>IF(E3193=F3193,"PASS","FAIL")</x:f>
        <x:v>PASS</x:v>
      </x:c>
    </x:row>
    <x:row r="3194">
      <x:c r="B3194" s="21" t="str">
        <x:v>A03188</x:v>
      </x:c>
      <x:c r="C3194" s="21" t="str">
        <x:v>artifact</x:v>
      </x:c>
      <x:c r="D3194" s="21" t="str">
        <x:v>artifact 1072 planning state</x:v>
      </x:c>
      <x:c r="E3194" s="21" t="n">
        <x:f>IF(AND('Artifact Ledger'!Q1078="OPEN",'Artifact Ledger'!R1078="HOLD"),1,0)</x:f>
        <x:v>1</x:v>
      </x:c>
      <x:c r="F3194" s="21" t="n">
        <x:v>1</x:v>
      </x:c>
      <x:c r="G3194" s="23" t="str">
        <x:f>IF(E3194=F3194,"PASS","FAIL")</x:f>
        <x:v>PASS</x:v>
      </x:c>
    </x:row>
    <x:row r="3195">
      <x:c r="B3195" s="21" t="str">
        <x:v>A03189</x:v>
      </x:c>
      <x:c r="C3195" s="21" t="str">
        <x:v>artifact</x:v>
      </x:c>
      <x:c r="D3195" s="21" t="str">
        <x:v>artifact 1073 eligibility equation</x:v>
      </x:c>
      <x:c r="E3195" s="21" t="n">
        <x:f>IF(ABS('Artifact Ledger'!P1079-IF(AND('Artifact Ledger'!L1079=1,'Artifact Ledger'!M1079=1,'Artifact Ledger'!N1079=1,'Artifact Ledger'!O1079&gt;='Artifact Ledger'!G1079),'Artifact Ledger'!K1079,0))&lt;0.000001,1,0)</x:f>
        <x:v>1</x:v>
      </x:c>
      <x:c r="F3195" s="21" t="n">
        <x:v>1</x:v>
      </x:c>
      <x:c r="G3195" s="23" t="str">
        <x:f>IF(E3195=F3195,"PASS","FAIL")</x:f>
        <x:v>PASS</x:v>
      </x:c>
    </x:row>
    <x:row r="3196">
      <x:c r="B3196" s="21" t="str">
        <x:v>A03190</x:v>
      </x:c>
      <x:c r="C3196" s="21" t="str">
        <x:v>artifact</x:v>
      </x:c>
      <x:c r="D3196" s="21" t="str">
        <x:v>artifact 1073 planning state</x:v>
      </x:c>
      <x:c r="E3196" s="21" t="n">
        <x:f>IF(AND('Artifact Ledger'!Q1079="OPEN",'Artifact Ledger'!R1079="HOLD"),1,0)</x:f>
        <x:v>1</x:v>
      </x:c>
      <x:c r="F3196" s="21" t="n">
        <x:v>1</x:v>
      </x:c>
      <x:c r="G3196" s="23" t="str">
        <x:f>IF(E3196=F3196,"PASS","FAIL")</x:f>
        <x:v>PASS</x:v>
      </x:c>
    </x:row>
    <x:row r="3197">
      <x:c r="B3197" s="21" t="str">
        <x:v>A03191</x:v>
      </x:c>
      <x:c r="C3197" s="21" t="str">
        <x:v>artifact</x:v>
      </x:c>
      <x:c r="D3197" s="21" t="str">
        <x:v>artifact 1074 eligibility equation</x:v>
      </x:c>
      <x:c r="E3197" s="21" t="n">
        <x:f>IF(ABS('Artifact Ledger'!P1080-IF(AND('Artifact Ledger'!L1080=1,'Artifact Ledger'!M1080=1,'Artifact Ledger'!N1080=1,'Artifact Ledger'!O1080&gt;='Artifact Ledger'!G1080),'Artifact Ledger'!K1080,0))&lt;0.000001,1,0)</x:f>
        <x:v>1</x:v>
      </x:c>
      <x:c r="F3197" s="21" t="n">
        <x:v>1</x:v>
      </x:c>
      <x:c r="G3197" s="23" t="str">
        <x:f>IF(E3197=F3197,"PASS","FAIL")</x:f>
        <x:v>PASS</x:v>
      </x:c>
    </x:row>
    <x:row r="3198">
      <x:c r="B3198" s="21" t="str">
        <x:v>A03192</x:v>
      </x:c>
      <x:c r="C3198" s="21" t="str">
        <x:v>artifact</x:v>
      </x:c>
      <x:c r="D3198" s="21" t="str">
        <x:v>artifact 1074 planning state</x:v>
      </x:c>
      <x:c r="E3198" s="21" t="n">
        <x:f>IF(AND('Artifact Ledger'!Q1080="OPEN",'Artifact Ledger'!R1080="HOLD"),1,0)</x:f>
        <x:v>1</x:v>
      </x:c>
      <x:c r="F3198" s="21" t="n">
        <x:v>1</x:v>
      </x:c>
      <x:c r="G3198" s="23" t="str">
        <x:f>IF(E3198=F3198,"PASS","FAIL")</x:f>
        <x:v>PASS</x:v>
      </x:c>
    </x:row>
    <x:row r="3199">
      <x:c r="B3199" s="21" t="str">
        <x:v>A03193</x:v>
      </x:c>
      <x:c r="C3199" s="21" t="str">
        <x:v>artifact</x:v>
      </x:c>
      <x:c r="D3199" s="21" t="str">
        <x:v>artifact 1075 eligibility equation</x:v>
      </x:c>
      <x:c r="E3199" s="21" t="n">
        <x:f>IF(ABS('Artifact Ledger'!P1081-IF(AND('Artifact Ledger'!L1081=1,'Artifact Ledger'!M1081=1,'Artifact Ledger'!N1081=1,'Artifact Ledger'!O1081&gt;='Artifact Ledger'!G1081),'Artifact Ledger'!K1081,0))&lt;0.000001,1,0)</x:f>
        <x:v>1</x:v>
      </x:c>
      <x:c r="F3199" s="21" t="n">
        <x:v>1</x:v>
      </x:c>
      <x:c r="G3199" s="23" t="str">
        <x:f>IF(E3199=F3199,"PASS","FAIL")</x:f>
        <x:v>PASS</x:v>
      </x:c>
    </x:row>
    <x:row r="3200">
      <x:c r="B3200" s="21" t="str">
        <x:v>A03194</x:v>
      </x:c>
      <x:c r="C3200" s="21" t="str">
        <x:v>artifact</x:v>
      </x:c>
      <x:c r="D3200" s="21" t="str">
        <x:v>artifact 1075 planning state</x:v>
      </x:c>
      <x:c r="E3200" s="21" t="n">
        <x:f>IF(AND('Artifact Ledger'!Q1081="OPEN",'Artifact Ledger'!R1081="HOLD"),1,0)</x:f>
        <x:v>1</x:v>
      </x:c>
      <x:c r="F3200" s="21" t="n">
        <x:v>1</x:v>
      </x:c>
      <x:c r="G3200" s="23" t="str">
        <x:f>IF(E3200=F3200,"PASS","FAIL")</x:f>
        <x:v>PASS</x:v>
      </x:c>
    </x:row>
    <x:row r="3201">
      <x:c r="B3201" s="21" t="str">
        <x:v>A03195</x:v>
      </x:c>
      <x:c r="C3201" s="21" t="str">
        <x:v>artifact</x:v>
      </x:c>
      <x:c r="D3201" s="21" t="str">
        <x:v>artifact 1076 eligibility equation</x:v>
      </x:c>
      <x:c r="E3201" s="21" t="n">
        <x:f>IF(ABS('Artifact Ledger'!P1082-IF(AND('Artifact Ledger'!L1082=1,'Artifact Ledger'!M1082=1,'Artifact Ledger'!N1082=1,'Artifact Ledger'!O1082&gt;='Artifact Ledger'!G1082),'Artifact Ledger'!K1082,0))&lt;0.000001,1,0)</x:f>
        <x:v>1</x:v>
      </x:c>
      <x:c r="F3201" s="21" t="n">
        <x:v>1</x:v>
      </x:c>
      <x:c r="G3201" s="23" t="str">
        <x:f>IF(E3201=F3201,"PASS","FAIL")</x:f>
        <x:v>PASS</x:v>
      </x:c>
    </x:row>
    <x:row r="3202">
      <x:c r="B3202" s="21" t="str">
        <x:v>A03196</x:v>
      </x:c>
      <x:c r="C3202" s="21" t="str">
        <x:v>artifact</x:v>
      </x:c>
      <x:c r="D3202" s="21" t="str">
        <x:v>artifact 1076 planning state</x:v>
      </x:c>
      <x:c r="E3202" s="21" t="n">
        <x:f>IF(AND('Artifact Ledger'!Q1082="OPEN",'Artifact Ledger'!R1082="HOLD"),1,0)</x:f>
        <x:v>1</x:v>
      </x:c>
      <x:c r="F3202" s="21" t="n">
        <x:v>1</x:v>
      </x:c>
      <x:c r="G3202" s="23" t="str">
        <x:f>IF(E3202=F3202,"PASS","FAIL")</x:f>
        <x:v>PASS</x:v>
      </x:c>
    </x:row>
    <x:row r="3203">
      <x:c r="B3203" s="21" t="str">
        <x:v>A03197</x:v>
      </x:c>
      <x:c r="C3203" s="21" t="str">
        <x:v>artifact</x:v>
      </x:c>
      <x:c r="D3203" s="21" t="str">
        <x:v>artifact 1077 eligibility equation</x:v>
      </x:c>
      <x:c r="E3203" s="21" t="n">
        <x:f>IF(ABS('Artifact Ledger'!P1083-IF(AND('Artifact Ledger'!L1083=1,'Artifact Ledger'!M1083=1,'Artifact Ledger'!N1083=1,'Artifact Ledger'!O1083&gt;='Artifact Ledger'!G1083),'Artifact Ledger'!K1083,0))&lt;0.000001,1,0)</x:f>
        <x:v>1</x:v>
      </x:c>
      <x:c r="F3203" s="21" t="n">
        <x:v>1</x:v>
      </x:c>
      <x:c r="G3203" s="23" t="str">
        <x:f>IF(E3203=F3203,"PASS","FAIL")</x:f>
        <x:v>PASS</x:v>
      </x:c>
    </x:row>
    <x:row r="3204">
      <x:c r="B3204" s="21" t="str">
        <x:v>A03198</x:v>
      </x:c>
      <x:c r="C3204" s="21" t="str">
        <x:v>artifact</x:v>
      </x:c>
      <x:c r="D3204" s="21" t="str">
        <x:v>artifact 1077 planning state</x:v>
      </x:c>
      <x:c r="E3204" s="21" t="n">
        <x:f>IF(AND('Artifact Ledger'!Q1083="OPEN",'Artifact Ledger'!R1083="HOLD"),1,0)</x:f>
        <x:v>1</x:v>
      </x:c>
      <x:c r="F3204" s="21" t="n">
        <x:v>1</x:v>
      </x:c>
      <x:c r="G3204" s="23" t="str">
        <x:f>IF(E3204=F3204,"PASS","FAIL")</x:f>
        <x:v>PASS</x:v>
      </x:c>
    </x:row>
    <x:row r="3205">
      <x:c r="B3205" s="21" t="str">
        <x:v>A03199</x:v>
      </x:c>
      <x:c r="C3205" s="21" t="str">
        <x:v>artifact</x:v>
      </x:c>
      <x:c r="D3205" s="21" t="str">
        <x:v>artifact 1078 eligibility equation</x:v>
      </x:c>
      <x:c r="E3205" s="21" t="n">
        <x:f>IF(ABS('Artifact Ledger'!P1084-IF(AND('Artifact Ledger'!L1084=1,'Artifact Ledger'!M1084=1,'Artifact Ledger'!N1084=1,'Artifact Ledger'!O1084&gt;='Artifact Ledger'!G1084),'Artifact Ledger'!K1084,0))&lt;0.000001,1,0)</x:f>
        <x:v>1</x:v>
      </x:c>
      <x:c r="F3205" s="21" t="n">
        <x:v>1</x:v>
      </x:c>
      <x:c r="G3205" s="23" t="str">
        <x:f>IF(E3205=F3205,"PASS","FAIL")</x:f>
        <x:v>PASS</x:v>
      </x:c>
    </x:row>
    <x:row r="3206">
      <x:c r="B3206" s="21" t="str">
        <x:v>A03200</x:v>
      </x:c>
      <x:c r="C3206" s="21" t="str">
        <x:v>artifact</x:v>
      </x:c>
      <x:c r="D3206" s="21" t="str">
        <x:v>artifact 1078 planning state</x:v>
      </x:c>
      <x:c r="E3206" s="21" t="n">
        <x:f>IF(AND('Artifact Ledger'!Q1084="OPEN",'Artifact Ledger'!R1084="HOLD"),1,0)</x:f>
        <x:v>1</x:v>
      </x:c>
      <x:c r="F3206" s="21" t="n">
        <x:v>1</x:v>
      </x:c>
      <x:c r="G3206" s="23" t="str">
        <x:f>IF(E3206=F3206,"PASS","FAIL")</x:f>
        <x:v>PASS</x:v>
      </x:c>
    </x:row>
    <x:row r="3207">
      <x:c r="B3207" s="21" t="str">
        <x:v>A03201</x:v>
      </x:c>
      <x:c r="C3207" s="21" t="str">
        <x:v>artifact</x:v>
      </x:c>
      <x:c r="D3207" s="21" t="str">
        <x:v>artifact 1079 eligibility equation</x:v>
      </x:c>
      <x:c r="E3207" s="21" t="n">
        <x:f>IF(ABS('Artifact Ledger'!P1085-IF(AND('Artifact Ledger'!L1085=1,'Artifact Ledger'!M1085=1,'Artifact Ledger'!N1085=1,'Artifact Ledger'!O1085&gt;='Artifact Ledger'!G1085),'Artifact Ledger'!K1085,0))&lt;0.000001,1,0)</x:f>
        <x:v>1</x:v>
      </x:c>
      <x:c r="F3207" s="21" t="n">
        <x:v>1</x:v>
      </x:c>
      <x:c r="G3207" s="23" t="str">
        <x:f>IF(E3207=F3207,"PASS","FAIL")</x:f>
        <x:v>PASS</x:v>
      </x:c>
    </x:row>
    <x:row r="3208">
      <x:c r="B3208" s="21" t="str">
        <x:v>A03202</x:v>
      </x:c>
      <x:c r="C3208" s="21" t="str">
        <x:v>artifact</x:v>
      </x:c>
      <x:c r="D3208" s="21" t="str">
        <x:v>artifact 1079 planning state</x:v>
      </x:c>
      <x:c r="E3208" s="21" t="n">
        <x:f>IF(AND('Artifact Ledger'!Q1085="OPEN",'Artifact Ledger'!R1085="HOLD"),1,0)</x:f>
        <x:v>1</x:v>
      </x:c>
      <x:c r="F3208" s="21" t="n">
        <x:v>1</x:v>
      </x:c>
      <x:c r="G3208" s="23" t="str">
        <x:f>IF(E3208=F3208,"PASS","FAIL")</x:f>
        <x:v>PASS</x:v>
      </x:c>
    </x:row>
    <x:row r="3209">
      <x:c r="B3209" s="21" t="str">
        <x:v>A03203</x:v>
      </x:c>
      <x:c r="C3209" s="21" t="str">
        <x:v>artifact</x:v>
      </x:c>
      <x:c r="D3209" s="21" t="str">
        <x:v>artifact 1080 eligibility equation</x:v>
      </x:c>
      <x:c r="E3209" s="21" t="n">
        <x:f>IF(ABS('Artifact Ledger'!P1086-IF(AND('Artifact Ledger'!L1086=1,'Artifact Ledger'!M1086=1,'Artifact Ledger'!N1086=1,'Artifact Ledger'!O1086&gt;='Artifact Ledger'!G1086),'Artifact Ledger'!K1086,0))&lt;0.000001,1,0)</x:f>
        <x:v>1</x:v>
      </x:c>
      <x:c r="F3209" s="21" t="n">
        <x:v>1</x:v>
      </x:c>
      <x:c r="G3209" s="23" t="str">
        <x:f>IF(E3209=F3209,"PASS","FAIL")</x:f>
        <x:v>PASS</x:v>
      </x:c>
    </x:row>
    <x:row r="3210">
      <x:c r="B3210" s="21" t="str">
        <x:v>A03204</x:v>
      </x:c>
      <x:c r="C3210" s="21" t="str">
        <x:v>artifact</x:v>
      </x:c>
      <x:c r="D3210" s="21" t="str">
        <x:v>artifact 1080 planning state</x:v>
      </x:c>
      <x:c r="E3210" s="21" t="n">
        <x:f>IF(AND('Artifact Ledger'!Q1086="OPEN",'Artifact Ledger'!R1086="HOLD"),1,0)</x:f>
        <x:v>1</x:v>
      </x:c>
      <x:c r="F3210" s="21" t="n">
        <x:v>1</x:v>
      </x:c>
      <x:c r="G3210" s="23" t="str">
        <x:f>IF(E3210=F3210,"PASS","FAIL")</x:f>
        <x:v>PASS</x:v>
      </x:c>
    </x:row>
    <x:row r="3211">
      <x:c r="B3211" s="21" t="str">
        <x:v>A03205</x:v>
      </x:c>
      <x:c r="C3211" s="21" t="str">
        <x:v>artifact</x:v>
      </x:c>
      <x:c r="D3211" s="21" t="str">
        <x:v>artifact 1081 eligibility equation</x:v>
      </x:c>
      <x:c r="E3211" s="21" t="n">
        <x:f>IF(ABS('Artifact Ledger'!P1087-IF(AND('Artifact Ledger'!L1087=1,'Artifact Ledger'!M1087=1,'Artifact Ledger'!N1087=1,'Artifact Ledger'!O1087&gt;='Artifact Ledger'!G1087),'Artifact Ledger'!K1087,0))&lt;0.000001,1,0)</x:f>
        <x:v>1</x:v>
      </x:c>
      <x:c r="F3211" s="21" t="n">
        <x:v>1</x:v>
      </x:c>
      <x:c r="G3211" s="23" t="str">
        <x:f>IF(E3211=F3211,"PASS","FAIL")</x:f>
        <x:v>PASS</x:v>
      </x:c>
    </x:row>
    <x:row r="3212">
      <x:c r="B3212" s="21" t="str">
        <x:v>A03206</x:v>
      </x:c>
      <x:c r="C3212" s="21" t="str">
        <x:v>artifact</x:v>
      </x:c>
      <x:c r="D3212" s="21" t="str">
        <x:v>artifact 1081 planning state</x:v>
      </x:c>
      <x:c r="E3212" s="21" t="n">
        <x:f>IF(AND('Artifact Ledger'!Q1087="OPEN",'Artifact Ledger'!R1087="HOLD"),1,0)</x:f>
        <x:v>1</x:v>
      </x:c>
      <x:c r="F3212" s="21" t="n">
        <x:v>1</x:v>
      </x:c>
      <x:c r="G3212" s="23" t="str">
        <x:f>IF(E3212=F3212,"PASS","FAIL")</x:f>
        <x:v>PASS</x:v>
      </x:c>
    </x:row>
    <x:row r="3213">
      <x:c r="B3213" s="21" t="str">
        <x:v>A03207</x:v>
      </x:c>
      <x:c r="C3213" s="21" t="str">
        <x:v>artifact</x:v>
      </x:c>
      <x:c r="D3213" s="21" t="str">
        <x:v>artifact 1082 eligibility equation</x:v>
      </x:c>
      <x:c r="E3213" s="21" t="n">
        <x:f>IF(ABS('Artifact Ledger'!P1088-IF(AND('Artifact Ledger'!L1088=1,'Artifact Ledger'!M1088=1,'Artifact Ledger'!N1088=1,'Artifact Ledger'!O1088&gt;='Artifact Ledger'!G1088),'Artifact Ledger'!K1088,0))&lt;0.000001,1,0)</x:f>
        <x:v>1</x:v>
      </x:c>
      <x:c r="F3213" s="21" t="n">
        <x:v>1</x:v>
      </x:c>
      <x:c r="G3213" s="23" t="str">
        <x:f>IF(E3213=F3213,"PASS","FAIL")</x:f>
        <x:v>PASS</x:v>
      </x:c>
    </x:row>
    <x:row r="3214">
      <x:c r="B3214" s="21" t="str">
        <x:v>A03208</x:v>
      </x:c>
      <x:c r="C3214" s="21" t="str">
        <x:v>artifact</x:v>
      </x:c>
      <x:c r="D3214" s="21" t="str">
        <x:v>artifact 1082 planning state</x:v>
      </x:c>
      <x:c r="E3214" s="21" t="n">
        <x:f>IF(AND('Artifact Ledger'!Q1088="OPEN",'Artifact Ledger'!R1088="HOLD"),1,0)</x:f>
        <x:v>1</x:v>
      </x:c>
      <x:c r="F3214" s="21" t="n">
        <x:v>1</x:v>
      </x:c>
      <x:c r="G3214" s="23" t="str">
        <x:f>IF(E3214=F3214,"PASS","FAIL")</x:f>
        <x:v>PASS</x:v>
      </x:c>
    </x:row>
    <x:row r="3215">
      <x:c r="B3215" s="21" t="str">
        <x:v>A03209</x:v>
      </x:c>
      <x:c r="C3215" s="21" t="str">
        <x:v>artifact</x:v>
      </x:c>
      <x:c r="D3215" s="21" t="str">
        <x:v>artifact 1083 eligibility equation</x:v>
      </x:c>
      <x:c r="E3215" s="21" t="n">
        <x:f>IF(ABS('Artifact Ledger'!P1089-IF(AND('Artifact Ledger'!L1089=1,'Artifact Ledger'!M1089=1,'Artifact Ledger'!N1089=1,'Artifact Ledger'!O1089&gt;='Artifact Ledger'!G1089),'Artifact Ledger'!K1089,0))&lt;0.000001,1,0)</x:f>
        <x:v>1</x:v>
      </x:c>
      <x:c r="F3215" s="21" t="n">
        <x:v>1</x:v>
      </x:c>
      <x:c r="G3215" s="23" t="str">
        <x:f>IF(E3215=F3215,"PASS","FAIL")</x:f>
        <x:v>PASS</x:v>
      </x:c>
    </x:row>
    <x:row r="3216">
      <x:c r="B3216" s="21" t="str">
        <x:v>A03210</x:v>
      </x:c>
      <x:c r="C3216" s="21" t="str">
        <x:v>artifact</x:v>
      </x:c>
      <x:c r="D3216" s="21" t="str">
        <x:v>artifact 1083 planning state</x:v>
      </x:c>
      <x:c r="E3216" s="21" t="n">
        <x:f>IF(AND('Artifact Ledger'!Q1089="OPEN",'Artifact Ledger'!R1089="HOLD"),1,0)</x:f>
        <x:v>1</x:v>
      </x:c>
      <x:c r="F3216" s="21" t="n">
        <x:v>1</x:v>
      </x:c>
      <x:c r="G3216" s="23" t="str">
        <x:f>IF(E3216=F3216,"PASS","FAIL")</x:f>
        <x:v>PASS</x:v>
      </x:c>
    </x:row>
    <x:row r="3217">
      <x:c r="B3217" s="21" t="str">
        <x:v>A03211</x:v>
      </x:c>
      <x:c r="C3217" s="21" t="str">
        <x:v>artifact</x:v>
      </x:c>
      <x:c r="D3217" s="21" t="str">
        <x:v>artifact 1084 eligibility equation</x:v>
      </x:c>
      <x:c r="E3217" s="21" t="n">
        <x:f>IF(ABS('Artifact Ledger'!P1090-IF(AND('Artifact Ledger'!L1090=1,'Artifact Ledger'!M1090=1,'Artifact Ledger'!N1090=1,'Artifact Ledger'!O1090&gt;='Artifact Ledger'!G1090),'Artifact Ledger'!K1090,0))&lt;0.000001,1,0)</x:f>
        <x:v>1</x:v>
      </x:c>
      <x:c r="F3217" s="21" t="n">
        <x:v>1</x:v>
      </x:c>
      <x:c r="G3217" s="23" t="str">
        <x:f>IF(E3217=F3217,"PASS","FAIL")</x:f>
        <x:v>PASS</x:v>
      </x:c>
    </x:row>
    <x:row r="3218">
      <x:c r="B3218" s="21" t="str">
        <x:v>A03212</x:v>
      </x:c>
      <x:c r="C3218" s="21" t="str">
        <x:v>artifact</x:v>
      </x:c>
      <x:c r="D3218" s="21" t="str">
        <x:v>artifact 1084 planning state</x:v>
      </x:c>
      <x:c r="E3218" s="21" t="n">
        <x:f>IF(AND('Artifact Ledger'!Q1090="OPEN",'Artifact Ledger'!R1090="HOLD"),1,0)</x:f>
        <x:v>1</x:v>
      </x:c>
      <x:c r="F3218" s="21" t="n">
        <x:v>1</x:v>
      </x:c>
      <x:c r="G3218" s="23" t="str">
        <x:f>IF(E3218=F3218,"PASS","FAIL")</x:f>
        <x:v>PASS</x:v>
      </x:c>
    </x:row>
    <x:row r="3219">
      <x:c r="B3219" s="21" t="str">
        <x:v>A03213</x:v>
      </x:c>
      <x:c r="C3219" s="21" t="str">
        <x:v>artifact</x:v>
      </x:c>
      <x:c r="D3219" s="21" t="str">
        <x:v>artifact 1085 eligibility equation</x:v>
      </x:c>
      <x:c r="E3219" s="21" t="n">
        <x:f>IF(ABS('Artifact Ledger'!P1091-IF(AND('Artifact Ledger'!L1091=1,'Artifact Ledger'!M1091=1,'Artifact Ledger'!N1091=1,'Artifact Ledger'!O1091&gt;='Artifact Ledger'!G1091),'Artifact Ledger'!K1091,0))&lt;0.000001,1,0)</x:f>
        <x:v>1</x:v>
      </x:c>
      <x:c r="F3219" s="21" t="n">
        <x:v>1</x:v>
      </x:c>
      <x:c r="G3219" s="23" t="str">
        <x:f>IF(E3219=F3219,"PASS","FAIL")</x:f>
        <x:v>PASS</x:v>
      </x:c>
    </x:row>
    <x:row r="3220">
      <x:c r="B3220" s="21" t="str">
        <x:v>A03214</x:v>
      </x:c>
      <x:c r="C3220" s="21" t="str">
        <x:v>artifact</x:v>
      </x:c>
      <x:c r="D3220" s="21" t="str">
        <x:v>artifact 1085 planning state</x:v>
      </x:c>
      <x:c r="E3220" s="21" t="n">
        <x:f>IF(AND('Artifact Ledger'!Q1091="OPEN",'Artifact Ledger'!R1091="HOLD"),1,0)</x:f>
        <x:v>1</x:v>
      </x:c>
      <x:c r="F3220" s="21" t="n">
        <x:v>1</x:v>
      </x:c>
      <x:c r="G3220" s="23" t="str">
        <x:f>IF(E3220=F3220,"PASS","FAIL")</x:f>
        <x:v>PASS</x:v>
      </x:c>
    </x:row>
    <x:row r="3221">
      <x:c r="B3221" s="21" t="str">
        <x:v>A03215</x:v>
      </x:c>
      <x:c r="C3221" s="21" t="str">
        <x:v>artifact</x:v>
      </x:c>
      <x:c r="D3221" s="21" t="str">
        <x:v>artifact 1086 eligibility equation</x:v>
      </x:c>
      <x:c r="E3221" s="21" t="n">
        <x:f>IF(ABS('Artifact Ledger'!P1092-IF(AND('Artifact Ledger'!L1092=1,'Artifact Ledger'!M1092=1,'Artifact Ledger'!N1092=1,'Artifact Ledger'!O1092&gt;='Artifact Ledger'!G1092),'Artifact Ledger'!K1092,0))&lt;0.000001,1,0)</x:f>
        <x:v>1</x:v>
      </x:c>
      <x:c r="F3221" s="21" t="n">
        <x:v>1</x:v>
      </x:c>
      <x:c r="G3221" s="23" t="str">
        <x:f>IF(E3221=F3221,"PASS","FAIL")</x:f>
        <x:v>PASS</x:v>
      </x:c>
    </x:row>
    <x:row r="3222">
      <x:c r="B3222" s="21" t="str">
        <x:v>A03216</x:v>
      </x:c>
      <x:c r="C3222" s="21" t="str">
        <x:v>artifact</x:v>
      </x:c>
      <x:c r="D3222" s="21" t="str">
        <x:v>artifact 1086 planning state</x:v>
      </x:c>
      <x:c r="E3222" s="21" t="n">
        <x:f>IF(AND('Artifact Ledger'!Q1092="OPEN",'Artifact Ledger'!R1092="HOLD"),1,0)</x:f>
        <x:v>1</x:v>
      </x:c>
      <x:c r="F3222" s="21" t="n">
        <x:v>1</x:v>
      </x:c>
      <x:c r="G3222" s="23" t="str">
        <x:f>IF(E3222=F3222,"PASS","FAIL")</x:f>
        <x:v>PASS</x:v>
      </x:c>
    </x:row>
    <x:row r="3223">
      <x:c r="B3223" s="21" t="str">
        <x:v>A03217</x:v>
      </x:c>
      <x:c r="C3223" s="21" t="str">
        <x:v>artifact</x:v>
      </x:c>
      <x:c r="D3223" s="21" t="str">
        <x:v>artifact 1087 eligibility equation</x:v>
      </x:c>
      <x:c r="E3223" s="21" t="n">
        <x:f>IF(ABS('Artifact Ledger'!P1093-IF(AND('Artifact Ledger'!L1093=1,'Artifact Ledger'!M1093=1,'Artifact Ledger'!N1093=1,'Artifact Ledger'!O1093&gt;='Artifact Ledger'!G1093),'Artifact Ledger'!K1093,0))&lt;0.000001,1,0)</x:f>
        <x:v>1</x:v>
      </x:c>
      <x:c r="F3223" s="21" t="n">
        <x:v>1</x:v>
      </x:c>
      <x:c r="G3223" s="23" t="str">
        <x:f>IF(E3223=F3223,"PASS","FAIL")</x:f>
        <x:v>PASS</x:v>
      </x:c>
    </x:row>
    <x:row r="3224">
      <x:c r="B3224" s="21" t="str">
        <x:v>A03218</x:v>
      </x:c>
      <x:c r="C3224" s="21" t="str">
        <x:v>artifact</x:v>
      </x:c>
      <x:c r="D3224" s="21" t="str">
        <x:v>artifact 1087 planning state</x:v>
      </x:c>
      <x:c r="E3224" s="21" t="n">
        <x:f>IF(AND('Artifact Ledger'!Q1093="OPEN",'Artifact Ledger'!R1093="HOLD"),1,0)</x:f>
        <x:v>1</x:v>
      </x:c>
      <x:c r="F3224" s="21" t="n">
        <x:v>1</x:v>
      </x:c>
      <x:c r="G3224" s="23" t="str">
        <x:f>IF(E3224=F3224,"PASS","FAIL")</x:f>
        <x:v>PASS</x:v>
      </x:c>
    </x:row>
    <x:row r="3225">
      <x:c r="B3225" s="21" t="str">
        <x:v>A03219</x:v>
      </x:c>
      <x:c r="C3225" s="21" t="str">
        <x:v>artifact</x:v>
      </x:c>
      <x:c r="D3225" s="21" t="str">
        <x:v>artifact 1088 eligibility equation</x:v>
      </x:c>
      <x:c r="E3225" s="21" t="n">
        <x:f>IF(ABS('Artifact Ledger'!P1094-IF(AND('Artifact Ledger'!L1094=1,'Artifact Ledger'!M1094=1,'Artifact Ledger'!N1094=1,'Artifact Ledger'!O1094&gt;='Artifact Ledger'!G1094),'Artifact Ledger'!K1094,0))&lt;0.000001,1,0)</x:f>
        <x:v>1</x:v>
      </x:c>
      <x:c r="F3225" s="21" t="n">
        <x:v>1</x:v>
      </x:c>
      <x:c r="G3225" s="23" t="str">
        <x:f>IF(E3225=F3225,"PASS","FAIL")</x:f>
        <x:v>PASS</x:v>
      </x:c>
    </x:row>
    <x:row r="3226">
      <x:c r="B3226" s="21" t="str">
        <x:v>A03220</x:v>
      </x:c>
      <x:c r="C3226" s="21" t="str">
        <x:v>artifact</x:v>
      </x:c>
      <x:c r="D3226" s="21" t="str">
        <x:v>artifact 1088 planning state</x:v>
      </x:c>
      <x:c r="E3226" s="21" t="n">
        <x:f>IF(AND('Artifact Ledger'!Q1094="OPEN",'Artifact Ledger'!R1094="HOLD"),1,0)</x:f>
        <x:v>1</x:v>
      </x:c>
      <x:c r="F3226" s="21" t="n">
        <x:v>1</x:v>
      </x:c>
      <x:c r="G3226" s="23" t="str">
        <x:f>IF(E3226=F3226,"PASS","FAIL")</x:f>
        <x:v>PASS</x:v>
      </x:c>
    </x:row>
    <x:row r="3227">
      <x:c r="B3227" s="21" t="str">
        <x:v>A03221</x:v>
      </x:c>
      <x:c r="C3227" s="21" t="str">
        <x:v>artifact</x:v>
      </x:c>
      <x:c r="D3227" s="21" t="str">
        <x:v>artifact 1089 eligibility equation</x:v>
      </x:c>
      <x:c r="E3227" s="21" t="n">
        <x:f>IF(ABS('Artifact Ledger'!P1095-IF(AND('Artifact Ledger'!L1095=1,'Artifact Ledger'!M1095=1,'Artifact Ledger'!N1095=1,'Artifact Ledger'!O1095&gt;='Artifact Ledger'!G1095),'Artifact Ledger'!K1095,0))&lt;0.000001,1,0)</x:f>
        <x:v>1</x:v>
      </x:c>
      <x:c r="F3227" s="21" t="n">
        <x:v>1</x:v>
      </x:c>
      <x:c r="G3227" s="23" t="str">
        <x:f>IF(E3227=F3227,"PASS","FAIL")</x:f>
        <x:v>PASS</x:v>
      </x:c>
    </x:row>
    <x:row r="3228">
      <x:c r="B3228" s="21" t="str">
        <x:v>A03222</x:v>
      </x:c>
      <x:c r="C3228" s="21" t="str">
        <x:v>artifact</x:v>
      </x:c>
      <x:c r="D3228" s="21" t="str">
        <x:v>artifact 1089 planning state</x:v>
      </x:c>
      <x:c r="E3228" s="21" t="n">
        <x:f>IF(AND('Artifact Ledger'!Q1095="OPEN",'Artifact Ledger'!R1095="HOLD"),1,0)</x:f>
        <x:v>1</x:v>
      </x:c>
      <x:c r="F3228" s="21" t="n">
        <x:v>1</x:v>
      </x:c>
      <x:c r="G3228" s="23" t="str">
        <x:f>IF(E3228=F3228,"PASS","FAIL")</x:f>
        <x:v>PASS</x:v>
      </x:c>
    </x:row>
    <x:row r="3229">
      <x:c r="B3229" s="21" t="str">
        <x:v>A03223</x:v>
      </x:c>
      <x:c r="C3229" s="21" t="str">
        <x:v>artifact</x:v>
      </x:c>
      <x:c r="D3229" s="21" t="str">
        <x:v>artifact 1090 eligibility equation</x:v>
      </x:c>
      <x:c r="E3229" s="21" t="n">
        <x:f>IF(ABS('Artifact Ledger'!P1096-IF(AND('Artifact Ledger'!L1096=1,'Artifact Ledger'!M1096=1,'Artifact Ledger'!N1096=1,'Artifact Ledger'!O1096&gt;='Artifact Ledger'!G1096),'Artifact Ledger'!K1096,0))&lt;0.000001,1,0)</x:f>
        <x:v>1</x:v>
      </x:c>
      <x:c r="F3229" s="21" t="n">
        <x:v>1</x:v>
      </x:c>
      <x:c r="G3229" s="23" t="str">
        <x:f>IF(E3229=F3229,"PASS","FAIL")</x:f>
        <x:v>PASS</x:v>
      </x:c>
    </x:row>
    <x:row r="3230">
      <x:c r="B3230" s="21" t="str">
        <x:v>A03224</x:v>
      </x:c>
      <x:c r="C3230" s="21" t="str">
        <x:v>artifact</x:v>
      </x:c>
      <x:c r="D3230" s="21" t="str">
        <x:v>artifact 1090 planning state</x:v>
      </x:c>
      <x:c r="E3230" s="21" t="n">
        <x:f>IF(AND('Artifact Ledger'!Q1096="OPEN",'Artifact Ledger'!R1096="HOLD"),1,0)</x:f>
        <x:v>1</x:v>
      </x:c>
      <x:c r="F3230" s="21" t="n">
        <x:v>1</x:v>
      </x:c>
      <x:c r="G3230" s="23" t="str">
        <x:f>IF(E3230=F3230,"PASS","FAIL")</x:f>
        <x:v>PASS</x:v>
      </x:c>
    </x:row>
    <x:row r="3231">
      <x:c r="B3231" s="21" t="str">
        <x:v>A03225</x:v>
      </x:c>
      <x:c r="C3231" s="21" t="str">
        <x:v>artifact</x:v>
      </x:c>
      <x:c r="D3231" s="21" t="str">
        <x:v>artifact 1091 eligibility equation</x:v>
      </x:c>
      <x:c r="E3231" s="21" t="n">
        <x:f>IF(ABS('Artifact Ledger'!P1097-IF(AND('Artifact Ledger'!L1097=1,'Artifact Ledger'!M1097=1,'Artifact Ledger'!N1097=1,'Artifact Ledger'!O1097&gt;='Artifact Ledger'!G1097),'Artifact Ledger'!K1097,0))&lt;0.000001,1,0)</x:f>
        <x:v>1</x:v>
      </x:c>
      <x:c r="F3231" s="21" t="n">
        <x:v>1</x:v>
      </x:c>
      <x:c r="G3231" s="23" t="str">
        <x:f>IF(E3231=F3231,"PASS","FAIL")</x:f>
        <x:v>PASS</x:v>
      </x:c>
    </x:row>
    <x:row r="3232">
      <x:c r="B3232" s="21" t="str">
        <x:v>A03226</x:v>
      </x:c>
      <x:c r="C3232" s="21" t="str">
        <x:v>artifact</x:v>
      </x:c>
      <x:c r="D3232" s="21" t="str">
        <x:v>artifact 1091 planning state</x:v>
      </x:c>
      <x:c r="E3232" s="21" t="n">
        <x:f>IF(AND('Artifact Ledger'!Q1097="OPEN",'Artifact Ledger'!R1097="HOLD"),1,0)</x:f>
        <x:v>1</x:v>
      </x:c>
      <x:c r="F3232" s="21" t="n">
        <x:v>1</x:v>
      </x:c>
      <x:c r="G3232" s="23" t="str">
        <x:f>IF(E3232=F3232,"PASS","FAIL")</x:f>
        <x:v>PASS</x:v>
      </x:c>
    </x:row>
    <x:row r="3233">
      <x:c r="B3233" s="21" t="str">
        <x:v>A03227</x:v>
      </x:c>
      <x:c r="C3233" s="21" t="str">
        <x:v>artifact</x:v>
      </x:c>
      <x:c r="D3233" s="21" t="str">
        <x:v>artifact 1092 eligibility equation</x:v>
      </x:c>
      <x:c r="E3233" s="21" t="n">
        <x:f>IF(ABS('Artifact Ledger'!P1098-IF(AND('Artifact Ledger'!L1098=1,'Artifact Ledger'!M1098=1,'Artifact Ledger'!N1098=1,'Artifact Ledger'!O1098&gt;='Artifact Ledger'!G1098),'Artifact Ledger'!K1098,0))&lt;0.000001,1,0)</x:f>
        <x:v>1</x:v>
      </x:c>
      <x:c r="F3233" s="21" t="n">
        <x:v>1</x:v>
      </x:c>
      <x:c r="G3233" s="23" t="str">
        <x:f>IF(E3233=F3233,"PASS","FAIL")</x:f>
        <x:v>PASS</x:v>
      </x:c>
    </x:row>
    <x:row r="3234">
      <x:c r="B3234" s="21" t="str">
        <x:v>A03228</x:v>
      </x:c>
      <x:c r="C3234" s="21" t="str">
        <x:v>artifact</x:v>
      </x:c>
      <x:c r="D3234" s="21" t="str">
        <x:v>artifact 1092 planning state</x:v>
      </x:c>
      <x:c r="E3234" s="21" t="n">
        <x:f>IF(AND('Artifact Ledger'!Q1098="OPEN",'Artifact Ledger'!R1098="HOLD"),1,0)</x:f>
        <x:v>1</x:v>
      </x:c>
      <x:c r="F3234" s="21" t="n">
        <x:v>1</x:v>
      </x:c>
      <x:c r="G3234" s="23" t="str">
        <x:f>IF(E3234=F3234,"PASS","FAIL")</x:f>
        <x:v>PASS</x:v>
      </x:c>
    </x:row>
    <x:row r="3235">
      <x:c r="B3235" s="21" t="str">
        <x:v>A03229</x:v>
      </x:c>
      <x:c r="C3235" s="21" t="str">
        <x:v>artifact</x:v>
      </x:c>
      <x:c r="D3235" s="21" t="str">
        <x:v>artifact 1093 eligibility equation</x:v>
      </x:c>
      <x:c r="E3235" s="21" t="n">
        <x:f>IF(ABS('Artifact Ledger'!P1099-IF(AND('Artifact Ledger'!L1099=1,'Artifact Ledger'!M1099=1,'Artifact Ledger'!N1099=1,'Artifact Ledger'!O1099&gt;='Artifact Ledger'!G1099),'Artifact Ledger'!K1099,0))&lt;0.000001,1,0)</x:f>
        <x:v>1</x:v>
      </x:c>
      <x:c r="F3235" s="21" t="n">
        <x:v>1</x:v>
      </x:c>
      <x:c r="G3235" s="23" t="str">
        <x:f>IF(E3235=F3235,"PASS","FAIL")</x:f>
        <x:v>PASS</x:v>
      </x:c>
    </x:row>
    <x:row r="3236">
      <x:c r="B3236" s="21" t="str">
        <x:v>A03230</x:v>
      </x:c>
      <x:c r="C3236" s="21" t="str">
        <x:v>artifact</x:v>
      </x:c>
      <x:c r="D3236" s="21" t="str">
        <x:v>artifact 1093 planning state</x:v>
      </x:c>
      <x:c r="E3236" s="21" t="n">
        <x:f>IF(AND('Artifact Ledger'!Q1099="OPEN",'Artifact Ledger'!R1099="HOLD"),1,0)</x:f>
        <x:v>1</x:v>
      </x:c>
      <x:c r="F3236" s="21" t="n">
        <x:v>1</x:v>
      </x:c>
      <x:c r="G3236" s="23" t="str">
        <x:f>IF(E3236=F3236,"PASS","FAIL")</x:f>
        <x:v>PASS</x:v>
      </x:c>
    </x:row>
    <x:row r="3237">
      <x:c r="B3237" s="21" t="str">
        <x:v>A03231</x:v>
      </x:c>
      <x:c r="C3237" s="21" t="str">
        <x:v>artifact</x:v>
      </x:c>
      <x:c r="D3237" s="21" t="str">
        <x:v>artifact 1094 eligibility equation</x:v>
      </x:c>
      <x:c r="E3237" s="21" t="n">
        <x:f>IF(ABS('Artifact Ledger'!P1100-IF(AND('Artifact Ledger'!L1100=1,'Artifact Ledger'!M1100=1,'Artifact Ledger'!N1100=1,'Artifact Ledger'!O1100&gt;='Artifact Ledger'!G1100),'Artifact Ledger'!K1100,0))&lt;0.000001,1,0)</x:f>
        <x:v>1</x:v>
      </x:c>
      <x:c r="F3237" s="21" t="n">
        <x:v>1</x:v>
      </x:c>
      <x:c r="G3237" s="23" t="str">
        <x:f>IF(E3237=F3237,"PASS","FAIL")</x:f>
        <x:v>PASS</x:v>
      </x:c>
    </x:row>
    <x:row r="3238">
      <x:c r="B3238" s="21" t="str">
        <x:v>A03232</x:v>
      </x:c>
      <x:c r="C3238" s="21" t="str">
        <x:v>artifact</x:v>
      </x:c>
      <x:c r="D3238" s="21" t="str">
        <x:v>artifact 1094 planning state</x:v>
      </x:c>
      <x:c r="E3238" s="21" t="n">
        <x:f>IF(AND('Artifact Ledger'!Q1100="OPEN",'Artifact Ledger'!R1100="HOLD"),1,0)</x:f>
        <x:v>1</x:v>
      </x:c>
      <x:c r="F3238" s="21" t="n">
        <x:v>1</x:v>
      </x:c>
      <x:c r="G3238" s="23" t="str">
        <x:f>IF(E3238=F3238,"PASS","FAIL")</x:f>
        <x:v>PASS</x:v>
      </x:c>
    </x:row>
    <x:row r="3239">
      <x:c r="B3239" s="21" t="str">
        <x:v>A03233</x:v>
      </x:c>
      <x:c r="C3239" s="21" t="str">
        <x:v>artifact</x:v>
      </x:c>
      <x:c r="D3239" s="21" t="str">
        <x:v>artifact 1095 eligibility equation</x:v>
      </x:c>
      <x:c r="E3239" s="21" t="n">
        <x:f>IF(ABS('Artifact Ledger'!P1101-IF(AND('Artifact Ledger'!L1101=1,'Artifact Ledger'!M1101=1,'Artifact Ledger'!N1101=1,'Artifact Ledger'!O1101&gt;='Artifact Ledger'!G1101),'Artifact Ledger'!K1101,0))&lt;0.000001,1,0)</x:f>
        <x:v>1</x:v>
      </x:c>
      <x:c r="F3239" s="21" t="n">
        <x:v>1</x:v>
      </x:c>
      <x:c r="G3239" s="23" t="str">
        <x:f>IF(E3239=F3239,"PASS","FAIL")</x:f>
        <x:v>PASS</x:v>
      </x:c>
    </x:row>
    <x:row r="3240">
      <x:c r="B3240" s="21" t="str">
        <x:v>A03234</x:v>
      </x:c>
      <x:c r="C3240" s="21" t="str">
        <x:v>artifact</x:v>
      </x:c>
      <x:c r="D3240" s="21" t="str">
        <x:v>artifact 1095 planning state</x:v>
      </x:c>
      <x:c r="E3240" s="21" t="n">
        <x:f>IF(AND('Artifact Ledger'!Q1101="OPEN",'Artifact Ledger'!R1101="HOLD"),1,0)</x:f>
        <x:v>1</x:v>
      </x:c>
      <x:c r="F3240" s="21" t="n">
        <x:v>1</x:v>
      </x:c>
      <x:c r="G3240" s="23" t="str">
        <x:f>IF(E3240=F3240,"PASS","FAIL")</x:f>
        <x:v>PASS</x:v>
      </x:c>
    </x:row>
    <x:row r="3241">
      <x:c r="B3241" s="21" t="str">
        <x:v>A03235</x:v>
      </x:c>
      <x:c r="C3241" s="21" t="str">
        <x:v>artifact</x:v>
      </x:c>
      <x:c r="D3241" s="21" t="str">
        <x:v>artifact 1096 eligibility equation</x:v>
      </x:c>
      <x:c r="E3241" s="21" t="n">
        <x:f>IF(ABS('Artifact Ledger'!P1102-IF(AND('Artifact Ledger'!L1102=1,'Artifact Ledger'!M1102=1,'Artifact Ledger'!N1102=1,'Artifact Ledger'!O1102&gt;='Artifact Ledger'!G1102),'Artifact Ledger'!K1102,0))&lt;0.000001,1,0)</x:f>
        <x:v>1</x:v>
      </x:c>
      <x:c r="F3241" s="21" t="n">
        <x:v>1</x:v>
      </x:c>
      <x:c r="G3241" s="23" t="str">
        <x:f>IF(E3241=F3241,"PASS","FAIL")</x:f>
        <x:v>PASS</x:v>
      </x:c>
    </x:row>
    <x:row r="3242">
      <x:c r="B3242" s="21" t="str">
        <x:v>A03236</x:v>
      </x:c>
      <x:c r="C3242" s="21" t="str">
        <x:v>artifact</x:v>
      </x:c>
      <x:c r="D3242" s="21" t="str">
        <x:v>artifact 1096 planning state</x:v>
      </x:c>
      <x:c r="E3242" s="21" t="n">
        <x:f>IF(AND('Artifact Ledger'!Q1102="OPEN",'Artifact Ledger'!R1102="HOLD"),1,0)</x:f>
        <x:v>1</x:v>
      </x:c>
      <x:c r="F3242" s="21" t="n">
        <x:v>1</x:v>
      </x:c>
      <x:c r="G3242" s="23" t="str">
        <x:f>IF(E3242=F3242,"PASS","FAIL")</x:f>
        <x:v>PASS</x:v>
      </x:c>
    </x:row>
    <x:row r="3243">
      <x:c r="B3243" s="21" t="str">
        <x:v>A03237</x:v>
      </x:c>
      <x:c r="C3243" s="21" t="str">
        <x:v>artifact</x:v>
      </x:c>
      <x:c r="D3243" s="21" t="str">
        <x:v>artifact 1097 eligibility equation</x:v>
      </x:c>
      <x:c r="E3243" s="21" t="n">
        <x:f>IF(ABS('Artifact Ledger'!P1103-IF(AND('Artifact Ledger'!L1103=1,'Artifact Ledger'!M1103=1,'Artifact Ledger'!N1103=1,'Artifact Ledger'!O1103&gt;='Artifact Ledger'!G1103),'Artifact Ledger'!K1103,0))&lt;0.000001,1,0)</x:f>
        <x:v>1</x:v>
      </x:c>
      <x:c r="F3243" s="21" t="n">
        <x:v>1</x:v>
      </x:c>
      <x:c r="G3243" s="23" t="str">
        <x:f>IF(E3243=F3243,"PASS","FAIL")</x:f>
        <x:v>PASS</x:v>
      </x:c>
    </x:row>
    <x:row r="3244">
      <x:c r="B3244" s="21" t="str">
        <x:v>A03238</x:v>
      </x:c>
      <x:c r="C3244" s="21" t="str">
        <x:v>artifact</x:v>
      </x:c>
      <x:c r="D3244" s="21" t="str">
        <x:v>artifact 1097 planning state</x:v>
      </x:c>
      <x:c r="E3244" s="21" t="n">
        <x:f>IF(AND('Artifact Ledger'!Q1103="OPEN",'Artifact Ledger'!R1103="HOLD"),1,0)</x:f>
        <x:v>1</x:v>
      </x:c>
      <x:c r="F3244" s="21" t="n">
        <x:v>1</x:v>
      </x:c>
      <x:c r="G3244" s="23" t="str">
        <x:f>IF(E3244=F3244,"PASS","FAIL")</x:f>
        <x:v>PASS</x:v>
      </x:c>
    </x:row>
    <x:row r="3245">
      <x:c r="B3245" s="21" t="str">
        <x:v>A03239</x:v>
      </x:c>
      <x:c r="C3245" s="21" t="str">
        <x:v>artifact</x:v>
      </x:c>
      <x:c r="D3245" s="21" t="str">
        <x:v>artifact 1098 eligibility equation</x:v>
      </x:c>
      <x:c r="E3245" s="21" t="n">
        <x:f>IF(ABS('Artifact Ledger'!P1104-IF(AND('Artifact Ledger'!L1104=1,'Artifact Ledger'!M1104=1,'Artifact Ledger'!N1104=1,'Artifact Ledger'!O1104&gt;='Artifact Ledger'!G1104),'Artifact Ledger'!K1104,0))&lt;0.000001,1,0)</x:f>
        <x:v>1</x:v>
      </x:c>
      <x:c r="F3245" s="21" t="n">
        <x:v>1</x:v>
      </x:c>
      <x:c r="G3245" s="23" t="str">
        <x:f>IF(E3245=F3245,"PASS","FAIL")</x:f>
        <x:v>PASS</x:v>
      </x:c>
    </x:row>
    <x:row r="3246">
      <x:c r="B3246" s="21" t="str">
        <x:v>A03240</x:v>
      </x:c>
      <x:c r="C3246" s="21" t="str">
        <x:v>artifact</x:v>
      </x:c>
      <x:c r="D3246" s="21" t="str">
        <x:v>artifact 1098 planning state</x:v>
      </x:c>
      <x:c r="E3246" s="21" t="n">
        <x:f>IF(AND('Artifact Ledger'!Q1104="OPEN",'Artifact Ledger'!R1104="HOLD"),1,0)</x:f>
        <x:v>1</x:v>
      </x:c>
      <x:c r="F3246" s="21" t="n">
        <x:v>1</x:v>
      </x:c>
      <x:c r="G3246" s="23" t="str">
        <x:f>IF(E3246=F3246,"PASS","FAIL")</x:f>
        <x:v>PASS</x:v>
      </x:c>
    </x:row>
    <x:row r="3247">
      <x:c r="B3247" s="21" t="str">
        <x:v>A03241</x:v>
      </x:c>
      <x:c r="C3247" s="21" t="str">
        <x:v>artifact</x:v>
      </x:c>
      <x:c r="D3247" s="21" t="str">
        <x:v>artifact 1099 eligibility equation</x:v>
      </x:c>
      <x:c r="E3247" s="21" t="n">
        <x:f>IF(ABS('Artifact Ledger'!P1105-IF(AND('Artifact Ledger'!L1105=1,'Artifact Ledger'!M1105=1,'Artifact Ledger'!N1105=1,'Artifact Ledger'!O1105&gt;='Artifact Ledger'!G1105),'Artifact Ledger'!K1105,0))&lt;0.000001,1,0)</x:f>
        <x:v>1</x:v>
      </x:c>
      <x:c r="F3247" s="21" t="n">
        <x:v>1</x:v>
      </x:c>
      <x:c r="G3247" s="23" t="str">
        <x:f>IF(E3247=F3247,"PASS","FAIL")</x:f>
        <x:v>PASS</x:v>
      </x:c>
    </x:row>
    <x:row r="3248">
      <x:c r="B3248" s="21" t="str">
        <x:v>A03242</x:v>
      </x:c>
      <x:c r="C3248" s="21" t="str">
        <x:v>artifact</x:v>
      </x:c>
      <x:c r="D3248" s="21" t="str">
        <x:v>artifact 1099 planning state</x:v>
      </x:c>
      <x:c r="E3248" s="21" t="n">
        <x:f>IF(AND('Artifact Ledger'!Q1105="OPEN",'Artifact Ledger'!R1105="HOLD"),1,0)</x:f>
        <x:v>1</x:v>
      </x:c>
      <x:c r="F3248" s="21" t="n">
        <x:v>1</x:v>
      </x:c>
      <x:c r="G3248" s="23" t="str">
        <x:f>IF(E3248=F3248,"PASS","FAIL")</x:f>
        <x:v>PASS</x:v>
      </x:c>
    </x:row>
    <x:row r="3249">
      <x:c r="B3249" s="21" t="str">
        <x:v>A03243</x:v>
      </x:c>
      <x:c r="C3249" s="21" t="str">
        <x:v>artifact</x:v>
      </x:c>
      <x:c r="D3249" s="21" t="str">
        <x:v>artifact 1100 eligibility equation</x:v>
      </x:c>
      <x:c r="E3249" s="21" t="n">
        <x:f>IF(ABS('Artifact Ledger'!P1106-IF(AND('Artifact Ledger'!L1106=1,'Artifact Ledger'!M1106=1,'Artifact Ledger'!N1106=1,'Artifact Ledger'!O1106&gt;='Artifact Ledger'!G1106),'Artifact Ledger'!K1106,0))&lt;0.000001,1,0)</x:f>
        <x:v>1</x:v>
      </x:c>
      <x:c r="F3249" s="21" t="n">
        <x:v>1</x:v>
      </x:c>
      <x:c r="G3249" s="23" t="str">
        <x:f>IF(E3249=F3249,"PASS","FAIL")</x:f>
        <x:v>PASS</x:v>
      </x:c>
    </x:row>
    <x:row r="3250">
      <x:c r="B3250" s="21" t="str">
        <x:v>A03244</x:v>
      </x:c>
      <x:c r="C3250" s="21" t="str">
        <x:v>artifact</x:v>
      </x:c>
      <x:c r="D3250" s="21" t="str">
        <x:v>artifact 1100 planning state</x:v>
      </x:c>
      <x:c r="E3250" s="21" t="n">
        <x:f>IF(AND('Artifact Ledger'!Q1106="OPEN",'Artifact Ledger'!R1106="HOLD"),1,0)</x:f>
        <x:v>1</x:v>
      </x:c>
      <x:c r="F3250" s="21" t="n">
        <x:v>1</x:v>
      </x:c>
      <x:c r="G3250" s="23" t="str">
        <x:f>IF(E3250=F3250,"PASS","FAIL")</x:f>
        <x:v>PASS</x:v>
      </x:c>
    </x:row>
    <x:row r="3251">
      <x:c r="B3251" s="21" t="str">
        <x:v>A03245</x:v>
      </x:c>
      <x:c r="C3251" s="21" t="str">
        <x:v>artifact</x:v>
      </x:c>
      <x:c r="D3251" s="21" t="str">
        <x:v>artifact 1101 eligibility equation</x:v>
      </x:c>
      <x:c r="E3251" s="21" t="n">
        <x:f>IF(ABS('Artifact Ledger'!P1107-IF(AND('Artifact Ledger'!L1107=1,'Artifact Ledger'!M1107=1,'Artifact Ledger'!N1107=1,'Artifact Ledger'!O1107&gt;='Artifact Ledger'!G1107),'Artifact Ledger'!K1107,0))&lt;0.000001,1,0)</x:f>
        <x:v>1</x:v>
      </x:c>
      <x:c r="F3251" s="21" t="n">
        <x:v>1</x:v>
      </x:c>
      <x:c r="G3251" s="23" t="str">
        <x:f>IF(E3251=F3251,"PASS","FAIL")</x:f>
        <x:v>PASS</x:v>
      </x:c>
    </x:row>
    <x:row r="3252">
      <x:c r="B3252" s="21" t="str">
        <x:v>A03246</x:v>
      </x:c>
      <x:c r="C3252" s="21" t="str">
        <x:v>artifact</x:v>
      </x:c>
      <x:c r="D3252" s="21" t="str">
        <x:v>artifact 1101 planning state</x:v>
      </x:c>
      <x:c r="E3252" s="21" t="n">
        <x:f>IF(AND('Artifact Ledger'!Q1107="OPEN",'Artifact Ledger'!R1107="HOLD"),1,0)</x:f>
        <x:v>1</x:v>
      </x:c>
      <x:c r="F3252" s="21" t="n">
        <x:v>1</x:v>
      </x:c>
      <x:c r="G3252" s="23" t="str">
        <x:f>IF(E3252=F3252,"PASS","FAIL")</x:f>
        <x:v>PASS</x:v>
      </x:c>
    </x:row>
    <x:row r="3253">
      <x:c r="B3253" s="21" t="str">
        <x:v>A03247</x:v>
      </x:c>
      <x:c r="C3253" s="21" t="str">
        <x:v>artifact</x:v>
      </x:c>
      <x:c r="D3253" s="21" t="str">
        <x:v>artifact 1102 eligibility equation</x:v>
      </x:c>
      <x:c r="E3253" s="21" t="n">
        <x:f>IF(ABS('Artifact Ledger'!P1108-IF(AND('Artifact Ledger'!L1108=1,'Artifact Ledger'!M1108=1,'Artifact Ledger'!N1108=1,'Artifact Ledger'!O1108&gt;='Artifact Ledger'!G1108),'Artifact Ledger'!K1108,0))&lt;0.000001,1,0)</x:f>
        <x:v>1</x:v>
      </x:c>
      <x:c r="F3253" s="21" t="n">
        <x:v>1</x:v>
      </x:c>
      <x:c r="G3253" s="23" t="str">
        <x:f>IF(E3253=F3253,"PASS","FAIL")</x:f>
        <x:v>PASS</x:v>
      </x:c>
    </x:row>
    <x:row r="3254">
      <x:c r="B3254" s="21" t="str">
        <x:v>A03248</x:v>
      </x:c>
      <x:c r="C3254" s="21" t="str">
        <x:v>artifact</x:v>
      </x:c>
      <x:c r="D3254" s="21" t="str">
        <x:v>artifact 1102 planning state</x:v>
      </x:c>
      <x:c r="E3254" s="21" t="n">
        <x:f>IF(AND('Artifact Ledger'!Q1108="OPEN",'Artifact Ledger'!R1108="HOLD"),1,0)</x:f>
        <x:v>1</x:v>
      </x:c>
      <x:c r="F3254" s="21" t="n">
        <x:v>1</x:v>
      </x:c>
      <x:c r="G3254" s="23" t="str">
        <x:f>IF(E3254=F3254,"PASS","FAIL")</x:f>
        <x:v>PASS</x:v>
      </x:c>
    </x:row>
    <x:row r="3255">
      <x:c r="B3255" s="21" t="str">
        <x:v>A03249</x:v>
      </x:c>
      <x:c r="C3255" s="21" t="str">
        <x:v>artifact</x:v>
      </x:c>
      <x:c r="D3255" s="21" t="str">
        <x:v>artifact 1103 eligibility equation</x:v>
      </x:c>
      <x:c r="E3255" s="21" t="n">
        <x:f>IF(ABS('Artifact Ledger'!P1109-IF(AND('Artifact Ledger'!L1109=1,'Artifact Ledger'!M1109=1,'Artifact Ledger'!N1109=1,'Artifact Ledger'!O1109&gt;='Artifact Ledger'!G1109),'Artifact Ledger'!K1109,0))&lt;0.000001,1,0)</x:f>
        <x:v>1</x:v>
      </x:c>
      <x:c r="F3255" s="21" t="n">
        <x:v>1</x:v>
      </x:c>
      <x:c r="G3255" s="23" t="str">
        <x:f>IF(E3255=F3255,"PASS","FAIL")</x:f>
        <x:v>PASS</x:v>
      </x:c>
    </x:row>
    <x:row r="3256">
      <x:c r="B3256" s="21" t="str">
        <x:v>A03250</x:v>
      </x:c>
      <x:c r="C3256" s="21" t="str">
        <x:v>artifact</x:v>
      </x:c>
      <x:c r="D3256" s="21" t="str">
        <x:v>artifact 1103 planning state</x:v>
      </x:c>
      <x:c r="E3256" s="21" t="n">
        <x:f>IF(AND('Artifact Ledger'!Q1109="OPEN",'Artifact Ledger'!R1109="HOLD"),1,0)</x:f>
        <x:v>1</x:v>
      </x:c>
      <x:c r="F3256" s="21" t="n">
        <x:v>1</x:v>
      </x:c>
      <x:c r="G3256" s="23" t="str">
        <x:f>IF(E3256=F3256,"PASS","FAIL")</x:f>
        <x:v>PASS</x:v>
      </x:c>
    </x:row>
    <x:row r="3257">
      <x:c r="B3257" s="21" t="str">
        <x:v>A03251</x:v>
      </x:c>
      <x:c r="C3257" s="21" t="str">
        <x:v>artifact</x:v>
      </x:c>
      <x:c r="D3257" s="21" t="str">
        <x:v>artifact 1104 eligibility equation</x:v>
      </x:c>
      <x:c r="E3257" s="21" t="n">
        <x:f>IF(ABS('Artifact Ledger'!P1110-IF(AND('Artifact Ledger'!L1110=1,'Artifact Ledger'!M1110=1,'Artifact Ledger'!N1110=1,'Artifact Ledger'!O1110&gt;='Artifact Ledger'!G1110),'Artifact Ledger'!K1110,0))&lt;0.000001,1,0)</x:f>
        <x:v>1</x:v>
      </x:c>
      <x:c r="F3257" s="21" t="n">
        <x:v>1</x:v>
      </x:c>
      <x:c r="G3257" s="23" t="str">
        <x:f>IF(E3257=F3257,"PASS","FAIL")</x:f>
        <x:v>PASS</x:v>
      </x:c>
    </x:row>
    <x:row r="3258">
      <x:c r="B3258" s="21" t="str">
        <x:v>A03252</x:v>
      </x:c>
      <x:c r="C3258" s="21" t="str">
        <x:v>artifact</x:v>
      </x:c>
      <x:c r="D3258" s="21" t="str">
        <x:v>artifact 1104 planning state</x:v>
      </x:c>
      <x:c r="E3258" s="21" t="n">
        <x:f>IF(AND('Artifact Ledger'!Q1110="OPEN",'Artifact Ledger'!R1110="HOLD"),1,0)</x:f>
        <x:v>1</x:v>
      </x:c>
      <x:c r="F3258" s="21" t="n">
        <x:v>1</x:v>
      </x:c>
      <x:c r="G3258" s="23" t="str">
        <x:f>IF(E3258=F3258,"PASS","FAIL")</x:f>
        <x:v>PASS</x:v>
      </x:c>
    </x:row>
    <x:row r="3259">
      <x:c r="B3259" s="21" t="str">
        <x:v>A03253</x:v>
      </x:c>
      <x:c r="C3259" s="21" t="str">
        <x:v>artifact</x:v>
      </x:c>
      <x:c r="D3259" s="21" t="str">
        <x:v>artifact 1105 eligibility equation</x:v>
      </x:c>
      <x:c r="E3259" s="21" t="n">
        <x:f>IF(ABS('Artifact Ledger'!P1111-IF(AND('Artifact Ledger'!L1111=1,'Artifact Ledger'!M1111=1,'Artifact Ledger'!N1111=1,'Artifact Ledger'!O1111&gt;='Artifact Ledger'!G1111),'Artifact Ledger'!K1111,0))&lt;0.000001,1,0)</x:f>
        <x:v>1</x:v>
      </x:c>
      <x:c r="F3259" s="21" t="n">
        <x:v>1</x:v>
      </x:c>
      <x:c r="G3259" s="23" t="str">
        <x:f>IF(E3259=F3259,"PASS","FAIL")</x:f>
        <x:v>PASS</x:v>
      </x:c>
    </x:row>
    <x:row r="3260">
      <x:c r="B3260" s="21" t="str">
        <x:v>A03254</x:v>
      </x:c>
      <x:c r="C3260" s="21" t="str">
        <x:v>artifact</x:v>
      </x:c>
      <x:c r="D3260" s="21" t="str">
        <x:v>artifact 1105 planning state</x:v>
      </x:c>
      <x:c r="E3260" s="21" t="n">
        <x:f>IF(AND('Artifact Ledger'!Q1111="OPEN",'Artifact Ledger'!R1111="HOLD"),1,0)</x:f>
        <x:v>1</x:v>
      </x:c>
      <x:c r="F3260" s="21" t="n">
        <x:v>1</x:v>
      </x:c>
      <x:c r="G3260" s="23" t="str">
        <x:f>IF(E3260=F3260,"PASS","FAIL")</x:f>
        <x:v>PASS</x:v>
      </x:c>
    </x:row>
    <x:row r="3261">
      <x:c r="B3261" s="21" t="str">
        <x:v>A03255</x:v>
      </x:c>
      <x:c r="C3261" s="21" t="str">
        <x:v>artifact</x:v>
      </x:c>
      <x:c r="D3261" s="21" t="str">
        <x:v>artifact 1106 eligibility equation</x:v>
      </x:c>
      <x:c r="E3261" s="21" t="n">
        <x:f>IF(ABS('Artifact Ledger'!P1112-IF(AND('Artifact Ledger'!L1112=1,'Artifact Ledger'!M1112=1,'Artifact Ledger'!N1112=1,'Artifact Ledger'!O1112&gt;='Artifact Ledger'!G1112),'Artifact Ledger'!K1112,0))&lt;0.000001,1,0)</x:f>
        <x:v>1</x:v>
      </x:c>
      <x:c r="F3261" s="21" t="n">
        <x:v>1</x:v>
      </x:c>
      <x:c r="G3261" s="23" t="str">
        <x:f>IF(E3261=F3261,"PASS","FAIL")</x:f>
        <x:v>PASS</x:v>
      </x:c>
    </x:row>
    <x:row r="3262">
      <x:c r="B3262" s="21" t="str">
        <x:v>A03256</x:v>
      </x:c>
      <x:c r="C3262" s="21" t="str">
        <x:v>artifact</x:v>
      </x:c>
      <x:c r="D3262" s="21" t="str">
        <x:v>artifact 1106 planning state</x:v>
      </x:c>
      <x:c r="E3262" s="21" t="n">
        <x:f>IF(AND('Artifact Ledger'!Q1112="OPEN",'Artifact Ledger'!R1112="HOLD"),1,0)</x:f>
        <x:v>1</x:v>
      </x:c>
      <x:c r="F3262" s="21" t="n">
        <x:v>1</x:v>
      </x:c>
      <x:c r="G3262" s="23" t="str">
        <x:f>IF(E3262=F3262,"PASS","FAIL")</x:f>
        <x:v>PASS</x:v>
      </x:c>
    </x:row>
    <x:row r="3263">
      <x:c r="B3263" s="21" t="str">
        <x:v>A03257</x:v>
      </x:c>
      <x:c r="C3263" s="21" t="str">
        <x:v>artifact</x:v>
      </x:c>
      <x:c r="D3263" s="21" t="str">
        <x:v>artifact 1107 eligibility equation</x:v>
      </x:c>
      <x:c r="E3263" s="21" t="n">
        <x:f>IF(ABS('Artifact Ledger'!P1113-IF(AND('Artifact Ledger'!L1113=1,'Artifact Ledger'!M1113=1,'Artifact Ledger'!N1113=1,'Artifact Ledger'!O1113&gt;='Artifact Ledger'!G1113),'Artifact Ledger'!K1113,0))&lt;0.000001,1,0)</x:f>
        <x:v>1</x:v>
      </x:c>
      <x:c r="F3263" s="21" t="n">
        <x:v>1</x:v>
      </x:c>
      <x:c r="G3263" s="23" t="str">
        <x:f>IF(E3263=F3263,"PASS","FAIL")</x:f>
        <x:v>PASS</x:v>
      </x:c>
    </x:row>
    <x:row r="3264">
      <x:c r="B3264" s="21" t="str">
        <x:v>A03258</x:v>
      </x:c>
      <x:c r="C3264" s="21" t="str">
        <x:v>artifact</x:v>
      </x:c>
      <x:c r="D3264" s="21" t="str">
        <x:v>artifact 1107 planning state</x:v>
      </x:c>
      <x:c r="E3264" s="21" t="n">
        <x:f>IF(AND('Artifact Ledger'!Q1113="OPEN",'Artifact Ledger'!R1113="HOLD"),1,0)</x:f>
        <x:v>1</x:v>
      </x:c>
      <x:c r="F3264" s="21" t="n">
        <x:v>1</x:v>
      </x:c>
      <x:c r="G3264" s="23" t="str">
        <x:f>IF(E3264=F3264,"PASS","FAIL")</x:f>
        <x:v>PASS</x:v>
      </x:c>
    </x:row>
    <x:row r="3265">
      <x:c r="B3265" s="21" t="str">
        <x:v>A03259</x:v>
      </x:c>
      <x:c r="C3265" s="21" t="str">
        <x:v>artifact</x:v>
      </x:c>
      <x:c r="D3265" s="21" t="str">
        <x:v>artifact 1108 eligibility equation</x:v>
      </x:c>
      <x:c r="E3265" s="21" t="n">
        <x:f>IF(ABS('Artifact Ledger'!P1114-IF(AND('Artifact Ledger'!L1114=1,'Artifact Ledger'!M1114=1,'Artifact Ledger'!N1114=1,'Artifact Ledger'!O1114&gt;='Artifact Ledger'!G1114),'Artifact Ledger'!K1114,0))&lt;0.000001,1,0)</x:f>
        <x:v>1</x:v>
      </x:c>
      <x:c r="F3265" s="21" t="n">
        <x:v>1</x:v>
      </x:c>
      <x:c r="G3265" s="23" t="str">
        <x:f>IF(E3265=F3265,"PASS","FAIL")</x:f>
        <x:v>PASS</x:v>
      </x:c>
    </x:row>
    <x:row r="3266">
      <x:c r="B3266" s="21" t="str">
        <x:v>A03260</x:v>
      </x:c>
      <x:c r="C3266" s="21" t="str">
        <x:v>artifact</x:v>
      </x:c>
      <x:c r="D3266" s="21" t="str">
        <x:v>artifact 1108 planning state</x:v>
      </x:c>
      <x:c r="E3266" s="21" t="n">
        <x:f>IF(AND('Artifact Ledger'!Q1114="OPEN",'Artifact Ledger'!R1114="HOLD"),1,0)</x:f>
        <x:v>1</x:v>
      </x:c>
      <x:c r="F3266" s="21" t="n">
        <x:v>1</x:v>
      </x:c>
      <x:c r="G3266" s="23" t="str">
        <x:f>IF(E3266=F3266,"PASS","FAIL")</x:f>
        <x:v>PASS</x:v>
      </x:c>
    </x:row>
    <x:row r="3267">
      <x:c r="B3267" s="21" t="str">
        <x:v>A03261</x:v>
      </x:c>
      <x:c r="C3267" s="21" t="str">
        <x:v>artifact</x:v>
      </x:c>
      <x:c r="D3267" s="21" t="str">
        <x:v>artifact 1109 eligibility equation</x:v>
      </x:c>
      <x:c r="E3267" s="21" t="n">
        <x:f>IF(ABS('Artifact Ledger'!P1115-IF(AND('Artifact Ledger'!L1115=1,'Artifact Ledger'!M1115=1,'Artifact Ledger'!N1115=1,'Artifact Ledger'!O1115&gt;='Artifact Ledger'!G1115),'Artifact Ledger'!K1115,0))&lt;0.000001,1,0)</x:f>
        <x:v>1</x:v>
      </x:c>
      <x:c r="F3267" s="21" t="n">
        <x:v>1</x:v>
      </x:c>
      <x:c r="G3267" s="23" t="str">
        <x:f>IF(E3267=F3267,"PASS","FAIL")</x:f>
        <x:v>PASS</x:v>
      </x:c>
    </x:row>
    <x:row r="3268">
      <x:c r="B3268" s="21" t="str">
        <x:v>A03262</x:v>
      </x:c>
      <x:c r="C3268" s="21" t="str">
        <x:v>artifact</x:v>
      </x:c>
      <x:c r="D3268" s="21" t="str">
        <x:v>artifact 1109 planning state</x:v>
      </x:c>
      <x:c r="E3268" s="21" t="n">
        <x:f>IF(AND('Artifact Ledger'!Q1115="OPEN",'Artifact Ledger'!R1115="HOLD"),1,0)</x:f>
        <x:v>1</x:v>
      </x:c>
      <x:c r="F3268" s="21" t="n">
        <x:v>1</x:v>
      </x:c>
      <x:c r="G3268" s="23" t="str">
        <x:f>IF(E3268=F3268,"PASS","FAIL")</x:f>
        <x:v>PASS</x:v>
      </x:c>
    </x:row>
    <x:row r="3269">
      <x:c r="B3269" s="21" t="str">
        <x:v>A03263</x:v>
      </x:c>
      <x:c r="C3269" s="21" t="str">
        <x:v>artifact</x:v>
      </x:c>
      <x:c r="D3269" s="21" t="str">
        <x:v>artifact 1110 eligibility equation</x:v>
      </x:c>
      <x:c r="E3269" s="21" t="n">
        <x:f>IF(ABS('Artifact Ledger'!P1116-IF(AND('Artifact Ledger'!L1116=1,'Artifact Ledger'!M1116=1,'Artifact Ledger'!N1116=1,'Artifact Ledger'!O1116&gt;='Artifact Ledger'!G1116),'Artifact Ledger'!K1116,0))&lt;0.000001,1,0)</x:f>
        <x:v>1</x:v>
      </x:c>
      <x:c r="F3269" s="21" t="n">
        <x:v>1</x:v>
      </x:c>
      <x:c r="G3269" s="23" t="str">
        <x:f>IF(E3269=F3269,"PASS","FAIL")</x:f>
        <x:v>PASS</x:v>
      </x:c>
    </x:row>
    <x:row r="3270">
      <x:c r="B3270" s="21" t="str">
        <x:v>A03264</x:v>
      </x:c>
      <x:c r="C3270" s="21" t="str">
        <x:v>artifact</x:v>
      </x:c>
      <x:c r="D3270" s="21" t="str">
        <x:v>artifact 1110 planning state</x:v>
      </x:c>
      <x:c r="E3270" s="21" t="n">
        <x:f>IF(AND('Artifact Ledger'!Q1116="OPEN",'Artifact Ledger'!R1116="HOLD"),1,0)</x:f>
        <x:v>1</x:v>
      </x:c>
      <x:c r="F3270" s="21" t="n">
        <x:v>1</x:v>
      </x:c>
      <x:c r="G3270" s="23" t="str">
        <x:f>IF(E3270=F3270,"PASS","FAIL")</x:f>
        <x:v>PASS</x:v>
      </x:c>
    </x:row>
    <x:row r="3271">
      <x:c r="B3271" s="21" t="str">
        <x:v>A03265</x:v>
      </x:c>
      <x:c r="C3271" s="21" t="str">
        <x:v>artifact</x:v>
      </x:c>
      <x:c r="D3271" s="21" t="str">
        <x:v>artifact 1111 eligibility equation</x:v>
      </x:c>
      <x:c r="E3271" s="21" t="n">
        <x:f>IF(ABS('Artifact Ledger'!P1117-IF(AND('Artifact Ledger'!L1117=1,'Artifact Ledger'!M1117=1,'Artifact Ledger'!N1117=1,'Artifact Ledger'!O1117&gt;='Artifact Ledger'!G1117),'Artifact Ledger'!K1117,0))&lt;0.000001,1,0)</x:f>
        <x:v>1</x:v>
      </x:c>
      <x:c r="F3271" s="21" t="n">
        <x:v>1</x:v>
      </x:c>
      <x:c r="G3271" s="23" t="str">
        <x:f>IF(E3271=F3271,"PASS","FAIL")</x:f>
        <x:v>PASS</x:v>
      </x:c>
    </x:row>
    <x:row r="3272">
      <x:c r="B3272" s="21" t="str">
        <x:v>A03266</x:v>
      </x:c>
      <x:c r="C3272" s="21" t="str">
        <x:v>artifact</x:v>
      </x:c>
      <x:c r="D3272" s="21" t="str">
        <x:v>artifact 1111 planning state</x:v>
      </x:c>
      <x:c r="E3272" s="21" t="n">
        <x:f>IF(AND('Artifact Ledger'!Q1117="OPEN",'Artifact Ledger'!R1117="HOLD"),1,0)</x:f>
        <x:v>1</x:v>
      </x:c>
      <x:c r="F3272" s="21" t="n">
        <x:v>1</x:v>
      </x:c>
      <x:c r="G3272" s="23" t="str">
        <x:f>IF(E3272=F3272,"PASS","FAIL")</x:f>
        <x:v>PASS</x:v>
      </x:c>
    </x:row>
    <x:row r="3273">
      <x:c r="B3273" s="21" t="str">
        <x:v>A03267</x:v>
      </x:c>
      <x:c r="C3273" s="21" t="str">
        <x:v>artifact</x:v>
      </x:c>
      <x:c r="D3273" s="21" t="str">
        <x:v>artifact 1112 eligibility equation</x:v>
      </x:c>
      <x:c r="E3273" s="21" t="n">
        <x:f>IF(ABS('Artifact Ledger'!P1118-IF(AND('Artifact Ledger'!L1118=1,'Artifact Ledger'!M1118=1,'Artifact Ledger'!N1118=1,'Artifact Ledger'!O1118&gt;='Artifact Ledger'!G1118),'Artifact Ledger'!K1118,0))&lt;0.000001,1,0)</x:f>
        <x:v>1</x:v>
      </x:c>
      <x:c r="F3273" s="21" t="n">
        <x:v>1</x:v>
      </x:c>
      <x:c r="G3273" s="23" t="str">
        <x:f>IF(E3273=F3273,"PASS","FAIL")</x:f>
        <x:v>PASS</x:v>
      </x:c>
    </x:row>
    <x:row r="3274">
      <x:c r="B3274" s="21" t="str">
        <x:v>A03268</x:v>
      </x:c>
      <x:c r="C3274" s="21" t="str">
        <x:v>artifact</x:v>
      </x:c>
      <x:c r="D3274" s="21" t="str">
        <x:v>artifact 1112 planning state</x:v>
      </x:c>
      <x:c r="E3274" s="21" t="n">
        <x:f>IF(AND('Artifact Ledger'!Q1118="OPEN",'Artifact Ledger'!R1118="HOLD"),1,0)</x:f>
        <x:v>1</x:v>
      </x:c>
      <x:c r="F3274" s="21" t="n">
        <x:v>1</x:v>
      </x:c>
      <x:c r="G3274" s="23" t="str">
        <x:f>IF(E3274=F3274,"PASS","FAIL")</x:f>
        <x:v>PASS</x:v>
      </x:c>
    </x:row>
    <x:row r="3275">
      <x:c r="B3275" s="21" t="str">
        <x:v>A03269</x:v>
      </x:c>
      <x:c r="C3275" s="21" t="str">
        <x:v>artifact</x:v>
      </x:c>
      <x:c r="D3275" s="21" t="str">
        <x:v>artifact 1113 eligibility equation</x:v>
      </x:c>
      <x:c r="E3275" s="21" t="n">
        <x:f>IF(ABS('Artifact Ledger'!P1119-IF(AND('Artifact Ledger'!L1119=1,'Artifact Ledger'!M1119=1,'Artifact Ledger'!N1119=1,'Artifact Ledger'!O1119&gt;='Artifact Ledger'!G1119),'Artifact Ledger'!K1119,0))&lt;0.000001,1,0)</x:f>
        <x:v>1</x:v>
      </x:c>
      <x:c r="F3275" s="21" t="n">
        <x:v>1</x:v>
      </x:c>
      <x:c r="G3275" s="23" t="str">
        <x:f>IF(E3275=F3275,"PASS","FAIL")</x:f>
        <x:v>PASS</x:v>
      </x:c>
    </x:row>
    <x:row r="3276">
      <x:c r="B3276" s="21" t="str">
        <x:v>A03270</x:v>
      </x:c>
      <x:c r="C3276" s="21" t="str">
        <x:v>artifact</x:v>
      </x:c>
      <x:c r="D3276" s="21" t="str">
        <x:v>artifact 1113 planning state</x:v>
      </x:c>
      <x:c r="E3276" s="21" t="n">
        <x:f>IF(AND('Artifact Ledger'!Q1119="OPEN",'Artifact Ledger'!R1119="HOLD"),1,0)</x:f>
        <x:v>1</x:v>
      </x:c>
      <x:c r="F3276" s="21" t="n">
        <x:v>1</x:v>
      </x:c>
      <x:c r="G3276" s="23" t="str">
        <x:f>IF(E3276=F3276,"PASS","FAIL")</x:f>
        <x:v>PASS</x:v>
      </x:c>
    </x:row>
    <x:row r="3277">
      <x:c r="B3277" s="21" t="str">
        <x:v>A03271</x:v>
      </x:c>
      <x:c r="C3277" s="21" t="str">
        <x:v>artifact</x:v>
      </x:c>
      <x:c r="D3277" s="21" t="str">
        <x:v>artifact 1114 eligibility equation</x:v>
      </x:c>
      <x:c r="E3277" s="21" t="n">
        <x:f>IF(ABS('Artifact Ledger'!P1120-IF(AND('Artifact Ledger'!L1120=1,'Artifact Ledger'!M1120=1,'Artifact Ledger'!N1120=1,'Artifact Ledger'!O1120&gt;='Artifact Ledger'!G1120),'Artifact Ledger'!K1120,0))&lt;0.000001,1,0)</x:f>
        <x:v>1</x:v>
      </x:c>
      <x:c r="F3277" s="21" t="n">
        <x:v>1</x:v>
      </x:c>
      <x:c r="G3277" s="23" t="str">
        <x:f>IF(E3277=F3277,"PASS","FAIL")</x:f>
        <x:v>PASS</x:v>
      </x:c>
    </x:row>
    <x:row r="3278">
      <x:c r="B3278" s="21" t="str">
        <x:v>A03272</x:v>
      </x:c>
      <x:c r="C3278" s="21" t="str">
        <x:v>artifact</x:v>
      </x:c>
      <x:c r="D3278" s="21" t="str">
        <x:v>artifact 1114 planning state</x:v>
      </x:c>
      <x:c r="E3278" s="21" t="n">
        <x:f>IF(AND('Artifact Ledger'!Q1120="OPEN",'Artifact Ledger'!R1120="HOLD"),1,0)</x:f>
        <x:v>1</x:v>
      </x:c>
      <x:c r="F3278" s="21" t="n">
        <x:v>1</x:v>
      </x:c>
      <x:c r="G3278" s="23" t="str">
        <x:f>IF(E3278=F3278,"PASS","FAIL")</x:f>
        <x:v>PASS</x:v>
      </x:c>
    </x:row>
    <x:row r="3279">
      <x:c r="B3279" s="21" t="str">
        <x:v>A03273</x:v>
      </x:c>
      <x:c r="C3279" s="21" t="str">
        <x:v>artifact</x:v>
      </x:c>
      <x:c r="D3279" s="21" t="str">
        <x:v>artifact 1115 eligibility equation</x:v>
      </x:c>
      <x:c r="E3279" s="21" t="n">
        <x:f>IF(ABS('Artifact Ledger'!P1121-IF(AND('Artifact Ledger'!L1121=1,'Artifact Ledger'!M1121=1,'Artifact Ledger'!N1121=1,'Artifact Ledger'!O1121&gt;='Artifact Ledger'!G1121),'Artifact Ledger'!K1121,0))&lt;0.000001,1,0)</x:f>
        <x:v>1</x:v>
      </x:c>
      <x:c r="F3279" s="21" t="n">
        <x:v>1</x:v>
      </x:c>
      <x:c r="G3279" s="23" t="str">
        <x:f>IF(E3279=F3279,"PASS","FAIL")</x:f>
        <x:v>PASS</x:v>
      </x:c>
    </x:row>
    <x:row r="3280">
      <x:c r="B3280" s="21" t="str">
        <x:v>A03274</x:v>
      </x:c>
      <x:c r="C3280" s="21" t="str">
        <x:v>artifact</x:v>
      </x:c>
      <x:c r="D3280" s="21" t="str">
        <x:v>artifact 1115 planning state</x:v>
      </x:c>
      <x:c r="E3280" s="21" t="n">
        <x:f>IF(AND('Artifact Ledger'!Q1121="OPEN",'Artifact Ledger'!R1121="HOLD"),1,0)</x:f>
        <x:v>1</x:v>
      </x:c>
      <x:c r="F3280" s="21" t="n">
        <x:v>1</x:v>
      </x:c>
      <x:c r="G3280" s="23" t="str">
        <x:f>IF(E3280=F3280,"PASS","FAIL")</x:f>
        <x:v>PASS</x:v>
      </x:c>
    </x:row>
    <x:row r="3281">
      <x:c r="B3281" s="21" t="str">
        <x:v>A03275</x:v>
      </x:c>
      <x:c r="C3281" s="21" t="str">
        <x:v>artifact</x:v>
      </x:c>
      <x:c r="D3281" s="21" t="str">
        <x:v>artifact 1116 eligibility equation</x:v>
      </x:c>
      <x:c r="E3281" s="21" t="n">
        <x:f>IF(ABS('Artifact Ledger'!P1122-IF(AND('Artifact Ledger'!L1122=1,'Artifact Ledger'!M1122=1,'Artifact Ledger'!N1122=1,'Artifact Ledger'!O1122&gt;='Artifact Ledger'!G1122),'Artifact Ledger'!K1122,0))&lt;0.000001,1,0)</x:f>
        <x:v>1</x:v>
      </x:c>
      <x:c r="F3281" s="21" t="n">
        <x:v>1</x:v>
      </x:c>
      <x:c r="G3281" s="23" t="str">
        <x:f>IF(E3281=F3281,"PASS","FAIL")</x:f>
        <x:v>PASS</x:v>
      </x:c>
    </x:row>
    <x:row r="3282">
      <x:c r="B3282" s="21" t="str">
        <x:v>A03276</x:v>
      </x:c>
      <x:c r="C3282" s="21" t="str">
        <x:v>artifact</x:v>
      </x:c>
      <x:c r="D3282" s="21" t="str">
        <x:v>artifact 1116 planning state</x:v>
      </x:c>
      <x:c r="E3282" s="21" t="n">
        <x:f>IF(AND('Artifact Ledger'!Q1122="OPEN",'Artifact Ledger'!R1122="HOLD"),1,0)</x:f>
        <x:v>1</x:v>
      </x:c>
      <x:c r="F3282" s="21" t="n">
        <x:v>1</x:v>
      </x:c>
      <x:c r="G3282" s="23" t="str">
        <x:f>IF(E3282=F3282,"PASS","FAIL")</x:f>
        <x:v>PASS</x:v>
      </x:c>
    </x:row>
    <x:row r="3283">
      <x:c r="B3283" s="21" t="str">
        <x:v>A03277</x:v>
      </x:c>
      <x:c r="C3283" s="21" t="str">
        <x:v>artifact</x:v>
      </x:c>
      <x:c r="D3283" s="21" t="str">
        <x:v>artifact 1117 eligibility equation</x:v>
      </x:c>
      <x:c r="E3283" s="21" t="n">
        <x:f>IF(ABS('Artifact Ledger'!P1123-IF(AND('Artifact Ledger'!L1123=1,'Artifact Ledger'!M1123=1,'Artifact Ledger'!N1123=1,'Artifact Ledger'!O1123&gt;='Artifact Ledger'!G1123),'Artifact Ledger'!K1123,0))&lt;0.000001,1,0)</x:f>
        <x:v>1</x:v>
      </x:c>
      <x:c r="F3283" s="21" t="n">
        <x:v>1</x:v>
      </x:c>
      <x:c r="G3283" s="23" t="str">
        <x:f>IF(E3283=F3283,"PASS","FAIL")</x:f>
        <x:v>PASS</x:v>
      </x:c>
    </x:row>
    <x:row r="3284">
      <x:c r="B3284" s="21" t="str">
        <x:v>A03278</x:v>
      </x:c>
      <x:c r="C3284" s="21" t="str">
        <x:v>artifact</x:v>
      </x:c>
      <x:c r="D3284" s="21" t="str">
        <x:v>artifact 1117 planning state</x:v>
      </x:c>
      <x:c r="E3284" s="21" t="n">
        <x:f>IF(AND('Artifact Ledger'!Q1123="OPEN",'Artifact Ledger'!R1123="HOLD"),1,0)</x:f>
        <x:v>1</x:v>
      </x:c>
      <x:c r="F3284" s="21" t="n">
        <x:v>1</x:v>
      </x:c>
      <x:c r="G3284" s="23" t="str">
        <x:f>IF(E3284=F3284,"PASS","FAIL")</x:f>
        <x:v>PASS</x:v>
      </x:c>
    </x:row>
    <x:row r="3285">
      <x:c r="B3285" s="21" t="str">
        <x:v>A03279</x:v>
      </x:c>
      <x:c r="C3285" s="21" t="str">
        <x:v>artifact</x:v>
      </x:c>
      <x:c r="D3285" s="21" t="str">
        <x:v>artifact 1118 eligibility equation</x:v>
      </x:c>
      <x:c r="E3285" s="21" t="n">
        <x:f>IF(ABS('Artifact Ledger'!P1124-IF(AND('Artifact Ledger'!L1124=1,'Artifact Ledger'!M1124=1,'Artifact Ledger'!N1124=1,'Artifact Ledger'!O1124&gt;='Artifact Ledger'!G1124),'Artifact Ledger'!K1124,0))&lt;0.000001,1,0)</x:f>
        <x:v>1</x:v>
      </x:c>
      <x:c r="F3285" s="21" t="n">
        <x:v>1</x:v>
      </x:c>
      <x:c r="G3285" s="23" t="str">
        <x:f>IF(E3285=F3285,"PASS","FAIL")</x:f>
        <x:v>PASS</x:v>
      </x:c>
    </x:row>
    <x:row r="3286">
      <x:c r="B3286" s="21" t="str">
        <x:v>A03280</x:v>
      </x:c>
      <x:c r="C3286" s="21" t="str">
        <x:v>artifact</x:v>
      </x:c>
      <x:c r="D3286" s="21" t="str">
        <x:v>artifact 1118 planning state</x:v>
      </x:c>
      <x:c r="E3286" s="21" t="n">
        <x:f>IF(AND('Artifact Ledger'!Q1124="OPEN",'Artifact Ledger'!R1124="HOLD"),1,0)</x:f>
        <x:v>1</x:v>
      </x:c>
      <x:c r="F3286" s="21" t="n">
        <x:v>1</x:v>
      </x:c>
      <x:c r="G3286" s="23" t="str">
        <x:f>IF(E3286=F3286,"PASS","FAIL")</x:f>
        <x:v>PASS</x:v>
      </x:c>
    </x:row>
    <x:row r="3287">
      <x:c r="B3287" s="21" t="str">
        <x:v>A03281</x:v>
      </x:c>
      <x:c r="C3287" s="21" t="str">
        <x:v>artifact</x:v>
      </x:c>
      <x:c r="D3287" s="21" t="str">
        <x:v>artifact 1119 eligibility equation</x:v>
      </x:c>
      <x:c r="E3287" s="21" t="n">
        <x:f>IF(ABS('Artifact Ledger'!P1125-IF(AND('Artifact Ledger'!L1125=1,'Artifact Ledger'!M1125=1,'Artifact Ledger'!N1125=1,'Artifact Ledger'!O1125&gt;='Artifact Ledger'!G1125),'Artifact Ledger'!K1125,0))&lt;0.000001,1,0)</x:f>
        <x:v>1</x:v>
      </x:c>
      <x:c r="F3287" s="21" t="n">
        <x:v>1</x:v>
      </x:c>
      <x:c r="G3287" s="23" t="str">
        <x:f>IF(E3287=F3287,"PASS","FAIL")</x:f>
        <x:v>PASS</x:v>
      </x:c>
    </x:row>
    <x:row r="3288">
      <x:c r="B3288" s="21" t="str">
        <x:v>A03282</x:v>
      </x:c>
      <x:c r="C3288" s="21" t="str">
        <x:v>artifact</x:v>
      </x:c>
      <x:c r="D3288" s="21" t="str">
        <x:v>artifact 1119 planning state</x:v>
      </x:c>
      <x:c r="E3288" s="21" t="n">
        <x:f>IF(AND('Artifact Ledger'!Q1125="OPEN",'Artifact Ledger'!R1125="HOLD"),1,0)</x:f>
        <x:v>1</x:v>
      </x:c>
      <x:c r="F3288" s="21" t="n">
        <x:v>1</x:v>
      </x:c>
      <x:c r="G3288" s="23" t="str">
        <x:f>IF(E3288=F3288,"PASS","FAIL")</x:f>
        <x:v>PASS</x:v>
      </x:c>
    </x:row>
    <x:row r="3289">
      <x:c r="B3289" s="21" t="str">
        <x:v>A03283</x:v>
      </x:c>
      <x:c r="C3289" s="21" t="str">
        <x:v>artifact</x:v>
      </x:c>
      <x:c r="D3289" s="21" t="str">
        <x:v>artifact 1120 eligibility equation</x:v>
      </x:c>
      <x:c r="E3289" s="21" t="n">
        <x:f>IF(ABS('Artifact Ledger'!P1126-IF(AND('Artifact Ledger'!L1126=1,'Artifact Ledger'!M1126=1,'Artifact Ledger'!N1126=1,'Artifact Ledger'!O1126&gt;='Artifact Ledger'!G1126),'Artifact Ledger'!K1126,0))&lt;0.000001,1,0)</x:f>
        <x:v>1</x:v>
      </x:c>
      <x:c r="F3289" s="21" t="n">
        <x:v>1</x:v>
      </x:c>
      <x:c r="G3289" s="23" t="str">
        <x:f>IF(E3289=F3289,"PASS","FAIL")</x:f>
        <x:v>PASS</x:v>
      </x:c>
    </x:row>
    <x:row r="3290">
      <x:c r="B3290" s="21" t="str">
        <x:v>A03284</x:v>
      </x:c>
      <x:c r="C3290" s="21" t="str">
        <x:v>artifact</x:v>
      </x:c>
      <x:c r="D3290" s="21" t="str">
        <x:v>artifact 1120 planning state</x:v>
      </x:c>
      <x:c r="E3290" s="21" t="n">
        <x:f>IF(AND('Artifact Ledger'!Q1126="OPEN",'Artifact Ledger'!R1126="HOLD"),1,0)</x:f>
        <x:v>1</x:v>
      </x:c>
      <x:c r="F3290" s="21" t="n">
        <x:v>1</x:v>
      </x:c>
      <x:c r="G3290" s="23" t="str">
        <x:f>IF(E3290=F3290,"PASS","FAIL")</x:f>
        <x:v>PASS</x:v>
      </x:c>
    </x:row>
    <x:row r="3291">
      <x:c r="B3291" s="21" t="str">
        <x:v>A03285</x:v>
      </x:c>
      <x:c r="C3291" s="21" t="str">
        <x:v>artifact</x:v>
      </x:c>
      <x:c r="D3291" s="21" t="str">
        <x:v>artifact 1121 eligibility equation</x:v>
      </x:c>
      <x:c r="E3291" s="21" t="n">
        <x:f>IF(ABS('Artifact Ledger'!P1127-IF(AND('Artifact Ledger'!L1127=1,'Artifact Ledger'!M1127=1,'Artifact Ledger'!N1127=1,'Artifact Ledger'!O1127&gt;='Artifact Ledger'!G1127),'Artifact Ledger'!K1127,0))&lt;0.000001,1,0)</x:f>
        <x:v>1</x:v>
      </x:c>
      <x:c r="F3291" s="21" t="n">
        <x:v>1</x:v>
      </x:c>
      <x:c r="G3291" s="23" t="str">
        <x:f>IF(E3291=F3291,"PASS","FAIL")</x:f>
        <x:v>PASS</x:v>
      </x:c>
    </x:row>
    <x:row r="3292">
      <x:c r="B3292" s="21" t="str">
        <x:v>A03286</x:v>
      </x:c>
      <x:c r="C3292" s="21" t="str">
        <x:v>artifact</x:v>
      </x:c>
      <x:c r="D3292" s="21" t="str">
        <x:v>artifact 1121 planning state</x:v>
      </x:c>
      <x:c r="E3292" s="21" t="n">
        <x:f>IF(AND('Artifact Ledger'!Q1127="OPEN",'Artifact Ledger'!R1127="HOLD"),1,0)</x:f>
        <x:v>1</x:v>
      </x:c>
      <x:c r="F3292" s="21" t="n">
        <x:v>1</x:v>
      </x:c>
      <x:c r="G3292" s="23" t="str">
        <x:f>IF(E3292=F3292,"PASS","FAIL")</x:f>
        <x:v>PASS</x:v>
      </x:c>
    </x:row>
    <x:row r="3293">
      <x:c r="B3293" s="21" t="str">
        <x:v>A03287</x:v>
      </x:c>
      <x:c r="C3293" s="21" t="str">
        <x:v>artifact</x:v>
      </x:c>
      <x:c r="D3293" s="21" t="str">
        <x:v>artifact 1122 eligibility equation</x:v>
      </x:c>
      <x:c r="E3293" s="21" t="n">
        <x:f>IF(ABS('Artifact Ledger'!P1128-IF(AND('Artifact Ledger'!L1128=1,'Artifact Ledger'!M1128=1,'Artifact Ledger'!N1128=1,'Artifact Ledger'!O1128&gt;='Artifact Ledger'!G1128),'Artifact Ledger'!K1128,0))&lt;0.000001,1,0)</x:f>
        <x:v>1</x:v>
      </x:c>
      <x:c r="F3293" s="21" t="n">
        <x:v>1</x:v>
      </x:c>
      <x:c r="G3293" s="23" t="str">
        <x:f>IF(E3293=F3293,"PASS","FAIL")</x:f>
        <x:v>PASS</x:v>
      </x:c>
    </x:row>
    <x:row r="3294">
      <x:c r="B3294" s="21" t="str">
        <x:v>A03288</x:v>
      </x:c>
      <x:c r="C3294" s="21" t="str">
        <x:v>artifact</x:v>
      </x:c>
      <x:c r="D3294" s="21" t="str">
        <x:v>artifact 1122 planning state</x:v>
      </x:c>
      <x:c r="E3294" s="21" t="n">
        <x:f>IF(AND('Artifact Ledger'!Q1128="OPEN",'Artifact Ledger'!R1128="HOLD"),1,0)</x:f>
        <x:v>1</x:v>
      </x:c>
      <x:c r="F3294" s="21" t="n">
        <x:v>1</x:v>
      </x:c>
      <x:c r="G3294" s="23" t="str">
        <x:f>IF(E3294=F3294,"PASS","FAIL")</x:f>
        <x:v>PASS</x:v>
      </x:c>
    </x:row>
    <x:row r="3295">
      <x:c r="B3295" s="21" t="str">
        <x:v>A03289</x:v>
      </x:c>
      <x:c r="C3295" s="21" t="str">
        <x:v>artifact</x:v>
      </x:c>
      <x:c r="D3295" s="21" t="str">
        <x:v>artifact 1123 eligibility equation</x:v>
      </x:c>
      <x:c r="E3295" s="21" t="n">
        <x:f>IF(ABS('Artifact Ledger'!P1129-IF(AND('Artifact Ledger'!L1129=1,'Artifact Ledger'!M1129=1,'Artifact Ledger'!N1129=1,'Artifact Ledger'!O1129&gt;='Artifact Ledger'!G1129),'Artifact Ledger'!K1129,0))&lt;0.000001,1,0)</x:f>
        <x:v>1</x:v>
      </x:c>
      <x:c r="F3295" s="21" t="n">
        <x:v>1</x:v>
      </x:c>
      <x:c r="G3295" s="23" t="str">
        <x:f>IF(E3295=F3295,"PASS","FAIL")</x:f>
        <x:v>PASS</x:v>
      </x:c>
    </x:row>
    <x:row r="3296">
      <x:c r="B3296" s="21" t="str">
        <x:v>A03290</x:v>
      </x:c>
      <x:c r="C3296" s="21" t="str">
        <x:v>artifact</x:v>
      </x:c>
      <x:c r="D3296" s="21" t="str">
        <x:v>artifact 1123 planning state</x:v>
      </x:c>
      <x:c r="E3296" s="21" t="n">
        <x:f>IF(AND('Artifact Ledger'!Q1129="OPEN",'Artifact Ledger'!R1129="HOLD"),1,0)</x:f>
        <x:v>1</x:v>
      </x:c>
      <x:c r="F3296" s="21" t="n">
        <x:v>1</x:v>
      </x:c>
      <x:c r="G3296" s="23" t="str">
        <x:f>IF(E3296=F3296,"PASS","FAIL")</x:f>
        <x:v>PASS</x:v>
      </x:c>
    </x:row>
    <x:row r="3297">
      <x:c r="B3297" s="21" t="str">
        <x:v>A03291</x:v>
      </x:c>
      <x:c r="C3297" s="21" t="str">
        <x:v>artifact</x:v>
      </x:c>
      <x:c r="D3297" s="21" t="str">
        <x:v>artifact 1124 eligibility equation</x:v>
      </x:c>
      <x:c r="E3297" s="21" t="n">
        <x:f>IF(ABS('Artifact Ledger'!P1130-IF(AND('Artifact Ledger'!L1130=1,'Artifact Ledger'!M1130=1,'Artifact Ledger'!N1130=1,'Artifact Ledger'!O1130&gt;='Artifact Ledger'!G1130),'Artifact Ledger'!K1130,0))&lt;0.000001,1,0)</x:f>
        <x:v>1</x:v>
      </x:c>
      <x:c r="F3297" s="21" t="n">
        <x:v>1</x:v>
      </x:c>
      <x:c r="G3297" s="23" t="str">
        <x:f>IF(E3297=F3297,"PASS","FAIL")</x:f>
        <x:v>PASS</x:v>
      </x:c>
    </x:row>
    <x:row r="3298">
      <x:c r="B3298" s="21" t="str">
        <x:v>A03292</x:v>
      </x:c>
      <x:c r="C3298" s="21" t="str">
        <x:v>artifact</x:v>
      </x:c>
      <x:c r="D3298" s="21" t="str">
        <x:v>artifact 1124 planning state</x:v>
      </x:c>
      <x:c r="E3298" s="21" t="n">
        <x:f>IF(AND('Artifact Ledger'!Q1130="OPEN",'Artifact Ledger'!R1130="HOLD"),1,0)</x:f>
        <x:v>1</x:v>
      </x:c>
      <x:c r="F3298" s="21" t="n">
        <x:v>1</x:v>
      </x:c>
      <x:c r="G3298" s="23" t="str">
        <x:f>IF(E3298=F3298,"PASS","FAIL")</x:f>
        <x:v>PASS</x:v>
      </x:c>
    </x:row>
    <x:row r="3299">
      <x:c r="B3299" s="21" t="str">
        <x:v>A03293</x:v>
      </x:c>
      <x:c r="C3299" s="21" t="str">
        <x:v>artifact</x:v>
      </x:c>
      <x:c r="D3299" s="21" t="str">
        <x:v>artifact 1125 eligibility equation</x:v>
      </x:c>
      <x:c r="E3299" s="21" t="n">
        <x:f>IF(ABS('Artifact Ledger'!P1131-IF(AND('Artifact Ledger'!L1131=1,'Artifact Ledger'!M1131=1,'Artifact Ledger'!N1131=1,'Artifact Ledger'!O1131&gt;='Artifact Ledger'!G1131),'Artifact Ledger'!K1131,0))&lt;0.000001,1,0)</x:f>
        <x:v>1</x:v>
      </x:c>
      <x:c r="F3299" s="21" t="n">
        <x:v>1</x:v>
      </x:c>
      <x:c r="G3299" s="23" t="str">
        <x:f>IF(E3299=F3299,"PASS","FAIL")</x:f>
        <x:v>PASS</x:v>
      </x:c>
    </x:row>
    <x:row r="3300">
      <x:c r="B3300" s="21" t="str">
        <x:v>A03294</x:v>
      </x:c>
      <x:c r="C3300" s="21" t="str">
        <x:v>artifact</x:v>
      </x:c>
      <x:c r="D3300" s="21" t="str">
        <x:v>artifact 1125 planning state</x:v>
      </x:c>
      <x:c r="E3300" s="21" t="n">
        <x:f>IF(AND('Artifact Ledger'!Q1131="OPEN",'Artifact Ledger'!R1131="HOLD"),1,0)</x:f>
        <x:v>1</x:v>
      </x:c>
      <x:c r="F3300" s="21" t="n">
        <x:v>1</x:v>
      </x:c>
      <x:c r="G3300" s="23" t="str">
        <x:f>IF(E3300=F3300,"PASS","FAIL")</x:f>
        <x:v>PASS</x:v>
      </x:c>
    </x:row>
    <x:row r="3301">
      <x:c r="B3301" s="21" t="str">
        <x:v>A03295</x:v>
      </x:c>
      <x:c r="C3301" s="21" t="str">
        <x:v>artifact</x:v>
      </x:c>
      <x:c r="D3301" s="21" t="str">
        <x:v>artifact 1126 eligibility equation</x:v>
      </x:c>
      <x:c r="E3301" s="21" t="n">
        <x:f>IF(ABS('Artifact Ledger'!P1132-IF(AND('Artifact Ledger'!L1132=1,'Artifact Ledger'!M1132=1,'Artifact Ledger'!N1132=1,'Artifact Ledger'!O1132&gt;='Artifact Ledger'!G1132),'Artifact Ledger'!K1132,0))&lt;0.000001,1,0)</x:f>
        <x:v>1</x:v>
      </x:c>
      <x:c r="F3301" s="21" t="n">
        <x:v>1</x:v>
      </x:c>
      <x:c r="G3301" s="23" t="str">
        <x:f>IF(E3301=F3301,"PASS","FAIL")</x:f>
        <x:v>PASS</x:v>
      </x:c>
    </x:row>
    <x:row r="3302">
      <x:c r="B3302" s="21" t="str">
        <x:v>A03296</x:v>
      </x:c>
      <x:c r="C3302" s="21" t="str">
        <x:v>artifact</x:v>
      </x:c>
      <x:c r="D3302" s="21" t="str">
        <x:v>artifact 1126 planning state</x:v>
      </x:c>
      <x:c r="E3302" s="21" t="n">
        <x:f>IF(AND('Artifact Ledger'!Q1132="OPEN",'Artifact Ledger'!R1132="HOLD"),1,0)</x:f>
        <x:v>1</x:v>
      </x:c>
      <x:c r="F3302" s="21" t="n">
        <x:v>1</x:v>
      </x:c>
      <x:c r="G3302" s="23" t="str">
        <x:f>IF(E3302=F3302,"PASS","FAIL")</x:f>
        <x:v>PASS</x:v>
      </x:c>
    </x:row>
    <x:row r="3303">
      <x:c r="B3303" s="21" t="str">
        <x:v>A03297</x:v>
      </x:c>
      <x:c r="C3303" s="21" t="str">
        <x:v>artifact</x:v>
      </x:c>
      <x:c r="D3303" s="21" t="str">
        <x:v>artifact 1127 eligibility equation</x:v>
      </x:c>
      <x:c r="E3303" s="21" t="n">
        <x:f>IF(ABS('Artifact Ledger'!P1133-IF(AND('Artifact Ledger'!L1133=1,'Artifact Ledger'!M1133=1,'Artifact Ledger'!N1133=1,'Artifact Ledger'!O1133&gt;='Artifact Ledger'!G1133),'Artifact Ledger'!K1133,0))&lt;0.000001,1,0)</x:f>
        <x:v>1</x:v>
      </x:c>
      <x:c r="F3303" s="21" t="n">
        <x:v>1</x:v>
      </x:c>
      <x:c r="G3303" s="23" t="str">
        <x:f>IF(E3303=F3303,"PASS","FAIL")</x:f>
        <x:v>PASS</x:v>
      </x:c>
    </x:row>
    <x:row r="3304">
      <x:c r="B3304" s="21" t="str">
        <x:v>A03298</x:v>
      </x:c>
      <x:c r="C3304" s="21" t="str">
        <x:v>artifact</x:v>
      </x:c>
      <x:c r="D3304" s="21" t="str">
        <x:v>artifact 1127 planning state</x:v>
      </x:c>
      <x:c r="E3304" s="21" t="n">
        <x:f>IF(AND('Artifact Ledger'!Q1133="OPEN",'Artifact Ledger'!R1133="HOLD"),1,0)</x:f>
        <x:v>1</x:v>
      </x:c>
      <x:c r="F3304" s="21" t="n">
        <x:v>1</x:v>
      </x:c>
      <x:c r="G3304" s="23" t="str">
        <x:f>IF(E3304=F3304,"PASS","FAIL")</x:f>
        <x:v>PASS</x:v>
      </x:c>
    </x:row>
    <x:row r="3305">
      <x:c r="B3305" s="21" t="str">
        <x:v>A03299</x:v>
      </x:c>
      <x:c r="C3305" s="21" t="str">
        <x:v>artifact</x:v>
      </x:c>
      <x:c r="D3305" s="21" t="str">
        <x:v>artifact 1128 eligibility equation</x:v>
      </x:c>
      <x:c r="E3305" s="21" t="n">
        <x:f>IF(ABS('Artifact Ledger'!P1134-IF(AND('Artifact Ledger'!L1134=1,'Artifact Ledger'!M1134=1,'Artifact Ledger'!N1134=1,'Artifact Ledger'!O1134&gt;='Artifact Ledger'!G1134),'Artifact Ledger'!K1134,0))&lt;0.000001,1,0)</x:f>
        <x:v>1</x:v>
      </x:c>
      <x:c r="F3305" s="21" t="n">
        <x:v>1</x:v>
      </x:c>
      <x:c r="G3305" s="23" t="str">
        <x:f>IF(E3305=F3305,"PASS","FAIL")</x:f>
        <x:v>PASS</x:v>
      </x:c>
    </x:row>
    <x:row r="3306">
      <x:c r="B3306" s="21" t="str">
        <x:v>A03300</x:v>
      </x:c>
      <x:c r="C3306" s="21" t="str">
        <x:v>artifact</x:v>
      </x:c>
      <x:c r="D3306" s="21" t="str">
        <x:v>artifact 1128 planning state</x:v>
      </x:c>
      <x:c r="E3306" s="21" t="n">
        <x:f>IF(AND('Artifact Ledger'!Q1134="OPEN",'Artifact Ledger'!R1134="HOLD"),1,0)</x:f>
        <x:v>1</x:v>
      </x:c>
      <x:c r="F3306" s="21" t="n">
        <x:v>1</x:v>
      </x:c>
      <x:c r="G3306" s="23" t="str">
        <x:f>IF(E3306=F3306,"PASS","FAIL")</x:f>
        <x:v>PASS</x:v>
      </x:c>
    </x:row>
    <x:row r="3307">
      <x:c r="B3307" s="21" t="str">
        <x:v>A03301</x:v>
      </x:c>
      <x:c r="C3307" s="21" t="str">
        <x:v>artifact</x:v>
      </x:c>
      <x:c r="D3307" s="21" t="str">
        <x:v>artifact 1129 eligibility equation</x:v>
      </x:c>
      <x:c r="E3307" s="21" t="n">
        <x:f>IF(ABS('Artifact Ledger'!P1135-IF(AND('Artifact Ledger'!L1135=1,'Artifact Ledger'!M1135=1,'Artifact Ledger'!N1135=1,'Artifact Ledger'!O1135&gt;='Artifact Ledger'!G1135),'Artifact Ledger'!K1135,0))&lt;0.000001,1,0)</x:f>
        <x:v>1</x:v>
      </x:c>
      <x:c r="F3307" s="21" t="n">
        <x:v>1</x:v>
      </x:c>
      <x:c r="G3307" s="23" t="str">
        <x:f>IF(E3307=F3307,"PASS","FAIL")</x:f>
        <x:v>PASS</x:v>
      </x:c>
    </x:row>
    <x:row r="3308">
      <x:c r="B3308" s="21" t="str">
        <x:v>A03302</x:v>
      </x:c>
      <x:c r="C3308" s="21" t="str">
        <x:v>artifact</x:v>
      </x:c>
      <x:c r="D3308" s="21" t="str">
        <x:v>artifact 1129 planning state</x:v>
      </x:c>
      <x:c r="E3308" s="21" t="n">
        <x:f>IF(AND('Artifact Ledger'!Q1135="OPEN",'Artifact Ledger'!R1135="HOLD"),1,0)</x:f>
        <x:v>1</x:v>
      </x:c>
      <x:c r="F3308" s="21" t="n">
        <x:v>1</x:v>
      </x:c>
      <x:c r="G3308" s="23" t="str">
        <x:f>IF(E3308=F3308,"PASS","FAIL")</x:f>
        <x:v>PASS</x:v>
      </x:c>
    </x:row>
    <x:row r="3309">
      <x:c r="B3309" s="21" t="str">
        <x:v>A03303</x:v>
      </x:c>
      <x:c r="C3309" s="21" t="str">
        <x:v>artifact</x:v>
      </x:c>
      <x:c r="D3309" s="21" t="str">
        <x:v>artifact 1130 eligibility equation</x:v>
      </x:c>
      <x:c r="E3309" s="21" t="n">
        <x:f>IF(ABS('Artifact Ledger'!P1136-IF(AND('Artifact Ledger'!L1136=1,'Artifact Ledger'!M1136=1,'Artifact Ledger'!N1136=1,'Artifact Ledger'!O1136&gt;='Artifact Ledger'!G1136),'Artifact Ledger'!K1136,0))&lt;0.000001,1,0)</x:f>
        <x:v>1</x:v>
      </x:c>
      <x:c r="F3309" s="21" t="n">
        <x:v>1</x:v>
      </x:c>
      <x:c r="G3309" s="23" t="str">
        <x:f>IF(E3309=F3309,"PASS","FAIL")</x:f>
        <x:v>PASS</x:v>
      </x:c>
    </x:row>
    <x:row r="3310">
      <x:c r="B3310" s="21" t="str">
        <x:v>A03304</x:v>
      </x:c>
      <x:c r="C3310" s="21" t="str">
        <x:v>artifact</x:v>
      </x:c>
      <x:c r="D3310" s="21" t="str">
        <x:v>artifact 1130 planning state</x:v>
      </x:c>
      <x:c r="E3310" s="21" t="n">
        <x:f>IF(AND('Artifact Ledger'!Q1136="OPEN",'Artifact Ledger'!R1136="HOLD"),1,0)</x:f>
        <x:v>1</x:v>
      </x:c>
      <x:c r="F3310" s="21" t="n">
        <x:v>1</x:v>
      </x:c>
      <x:c r="G3310" s="23" t="str">
        <x:f>IF(E3310=F3310,"PASS","FAIL")</x:f>
        <x:v>PASS</x:v>
      </x:c>
    </x:row>
    <x:row r="3311">
      <x:c r="B3311" s="21" t="str">
        <x:v>A03305</x:v>
      </x:c>
      <x:c r="C3311" s="21" t="str">
        <x:v>artifact</x:v>
      </x:c>
      <x:c r="D3311" s="21" t="str">
        <x:v>artifact 1131 eligibility equation</x:v>
      </x:c>
      <x:c r="E3311" s="21" t="n">
        <x:f>IF(ABS('Artifact Ledger'!P1137-IF(AND('Artifact Ledger'!L1137=1,'Artifact Ledger'!M1137=1,'Artifact Ledger'!N1137=1,'Artifact Ledger'!O1137&gt;='Artifact Ledger'!G1137),'Artifact Ledger'!K1137,0))&lt;0.000001,1,0)</x:f>
        <x:v>1</x:v>
      </x:c>
      <x:c r="F3311" s="21" t="n">
        <x:v>1</x:v>
      </x:c>
      <x:c r="G3311" s="23" t="str">
        <x:f>IF(E3311=F3311,"PASS","FAIL")</x:f>
        <x:v>PASS</x:v>
      </x:c>
    </x:row>
    <x:row r="3312">
      <x:c r="B3312" s="21" t="str">
        <x:v>A03306</x:v>
      </x:c>
      <x:c r="C3312" s="21" t="str">
        <x:v>artifact</x:v>
      </x:c>
      <x:c r="D3312" s="21" t="str">
        <x:v>artifact 1131 planning state</x:v>
      </x:c>
      <x:c r="E3312" s="21" t="n">
        <x:f>IF(AND('Artifact Ledger'!Q1137="OPEN",'Artifact Ledger'!R1137="HOLD"),1,0)</x:f>
        <x:v>1</x:v>
      </x:c>
      <x:c r="F3312" s="21" t="n">
        <x:v>1</x:v>
      </x:c>
      <x:c r="G3312" s="23" t="str">
        <x:f>IF(E3312=F3312,"PASS","FAIL")</x:f>
        <x:v>PASS</x:v>
      </x:c>
    </x:row>
    <x:row r="3313">
      <x:c r="B3313" s="21" t="str">
        <x:v>A03307</x:v>
      </x:c>
      <x:c r="C3313" s="21" t="str">
        <x:v>artifact</x:v>
      </x:c>
      <x:c r="D3313" s="21" t="str">
        <x:v>artifact 1132 eligibility equation</x:v>
      </x:c>
      <x:c r="E3313" s="21" t="n">
        <x:f>IF(ABS('Artifact Ledger'!P1138-IF(AND('Artifact Ledger'!L1138=1,'Artifact Ledger'!M1138=1,'Artifact Ledger'!N1138=1,'Artifact Ledger'!O1138&gt;='Artifact Ledger'!G1138),'Artifact Ledger'!K1138,0))&lt;0.000001,1,0)</x:f>
        <x:v>1</x:v>
      </x:c>
      <x:c r="F3313" s="21" t="n">
        <x:v>1</x:v>
      </x:c>
      <x:c r="G3313" s="23" t="str">
        <x:f>IF(E3313=F3313,"PASS","FAIL")</x:f>
        <x:v>PASS</x:v>
      </x:c>
    </x:row>
    <x:row r="3314">
      <x:c r="B3314" s="21" t="str">
        <x:v>A03308</x:v>
      </x:c>
      <x:c r="C3314" s="21" t="str">
        <x:v>artifact</x:v>
      </x:c>
      <x:c r="D3314" s="21" t="str">
        <x:v>artifact 1132 planning state</x:v>
      </x:c>
      <x:c r="E3314" s="21" t="n">
        <x:f>IF(AND('Artifact Ledger'!Q1138="OPEN",'Artifact Ledger'!R1138="HOLD"),1,0)</x:f>
        <x:v>1</x:v>
      </x:c>
      <x:c r="F3314" s="21" t="n">
        <x:v>1</x:v>
      </x:c>
      <x:c r="G3314" s="23" t="str">
        <x:f>IF(E3314=F3314,"PASS","FAIL")</x:f>
        <x:v>PASS</x:v>
      </x:c>
    </x:row>
    <x:row r="3315">
      <x:c r="B3315" s="21" t="str">
        <x:v>A03309</x:v>
      </x:c>
      <x:c r="C3315" s="21" t="str">
        <x:v>artifact</x:v>
      </x:c>
      <x:c r="D3315" s="21" t="str">
        <x:v>artifact 1133 eligibility equation</x:v>
      </x:c>
      <x:c r="E3315" s="21" t="n">
        <x:f>IF(ABS('Artifact Ledger'!P1139-IF(AND('Artifact Ledger'!L1139=1,'Artifact Ledger'!M1139=1,'Artifact Ledger'!N1139=1,'Artifact Ledger'!O1139&gt;='Artifact Ledger'!G1139),'Artifact Ledger'!K1139,0))&lt;0.000001,1,0)</x:f>
        <x:v>1</x:v>
      </x:c>
      <x:c r="F3315" s="21" t="n">
        <x:v>1</x:v>
      </x:c>
      <x:c r="G3315" s="23" t="str">
        <x:f>IF(E3315=F3315,"PASS","FAIL")</x:f>
        <x:v>PASS</x:v>
      </x:c>
    </x:row>
    <x:row r="3316">
      <x:c r="B3316" s="21" t="str">
        <x:v>A03310</x:v>
      </x:c>
      <x:c r="C3316" s="21" t="str">
        <x:v>artifact</x:v>
      </x:c>
      <x:c r="D3316" s="21" t="str">
        <x:v>artifact 1133 planning state</x:v>
      </x:c>
      <x:c r="E3316" s="21" t="n">
        <x:f>IF(AND('Artifact Ledger'!Q1139="OPEN",'Artifact Ledger'!R1139="HOLD"),1,0)</x:f>
        <x:v>1</x:v>
      </x:c>
      <x:c r="F3316" s="21" t="n">
        <x:v>1</x:v>
      </x:c>
      <x:c r="G3316" s="23" t="str">
        <x:f>IF(E3316=F3316,"PASS","FAIL")</x:f>
        <x:v>PASS</x:v>
      </x:c>
    </x:row>
    <x:row r="3317">
      <x:c r="B3317" s="21" t="str">
        <x:v>A03311</x:v>
      </x:c>
      <x:c r="C3317" s="21" t="str">
        <x:v>artifact</x:v>
      </x:c>
      <x:c r="D3317" s="21" t="str">
        <x:v>artifact 1134 eligibility equation</x:v>
      </x:c>
      <x:c r="E3317" s="21" t="n">
        <x:f>IF(ABS('Artifact Ledger'!P1140-IF(AND('Artifact Ledger'!L1140=1,'Artifact Ledger'!M1140=1,'Artifact Ledger'!N1140=1,'Artifact Ledger'!O1140&gt;='Artifact Ledger'!G1140),'Artifact Ledger'!K1140,0))&lt;0.000001,1,0)</x:f>
        <x:v>1</x:v>
      </x:c>
      <x:c r="F3317" s="21" t="n">
        <x:v>1</x:v>
      </x:c>
      <x:c r="G3317" s="23" t="str">
        <x:f>IF(E3317=F3317,"PASS","FAIL")</x:f>
        <x:v>PASS</x:v>
      </x:c>
    </x:row>
    <x:row r="3318">
      <x:c r="B3318" s="21" t="str">
        <x:v>A03312</x:v>
      </x:c>
      <x:c r="C3318" s="21" t="str">
        <x:v>artifact</x:v>
      </x:c>
      <x:c r="D3318" s="21" t="str">
        <x:v>artifact 1134 planning state</x:v>
      </x:c>
      <x:c r="E3318" s="21" t="n">
        <x:f>IF(AND('Artifact Ledger'!Q1140="OPEN",'Artifact Ledger'!R1140="HOLD"),1,0)</x:f>
        <x:v>1</x:v>
      </x:c>
      <x:c r="F3318" s="21" t="n">
        <x:v>1</x:v>
      </x:c>
      <x:c r="G3318" s="23" t="str">
        <x:f>IF(E3318=F3318,"PASS","FAIL")</x:f>
        <x:v>PASS</x:v>
      </x:c>
    </x:row>
    <x:row r="3319">
      <x:c r="B3319" s="21" t="str">
        <x:v>A03313</x:v>
      </x:c>
      <x:c r="C3319" s="21" t="str">
        <x:v>artifact</x:v>
      </x:c>
      <x:c r="D3319" s="21" t="str">
        <x:v>artifact 1135 eligibility equation</x:v>
      </x:c>
      <x:c r="E3319" s="21" t="n">
        <x:f>IF(ABS('Artifact Ledger'!P1141-IF(AND('Artifact Ledger'!L1141=1,'Artifact Ledger'!M1141=1,'Artifact Ledger'!N1141=1,'Artifact Ledger'!O1141&gt;='Artifact Ledger'!G1141),'Artifact Ledger'!K1141,0))&lt;0.000001,1,0)</x:f>
        <x:v>1</x:v>
      </x:c>
      <x:c r="F3319" s="21" t="n">
        <x:v>1</x:v>
      </x:c>
      <x:c r="G3319" s="23" t="str">
        <x:f>IF(E3319=F3319,"PASS","FAIL")</x:f>
        <x:v>PASS</x:v>
      </x:c>
    </x:row>
    <x:row r="3320">
      <x:c r="B3320" s="21" t="str">
        <x:v>A03314</x:v>
      </x:c>
      <x:c r="C3320" s="21" t="str">
        <x:v>artifact</x:v>
      </x:c>
      <x:c r="D3320" s="21" t="str">
        <x:v>artifact 1135 planning state</x:v>
      </x:c>
      <x:c r="E3320" s="21" t="n">
        <x:f>IF(AND('Artifact Ledger'!Q1141="OPEN",'Artifact Ledger'!R1141="HOLD"),1,0)</x:f>
        <x:v>1</x:v>
      </x:c>
      <x:c r="F3320" s="21" t="n">
        <x:v>1</x:v>
      </x:c>
      <x:c r="G3320" s="23" t="str">
        <x:f>IF(E3320=F3320,"PASS","FAIL")</x:f>
        <x:v>PASS</x:v>
      </x:c>
    </x:row>
    <x:row r="3321">
      <x:c r="B3321" s="21" t="str">
        <x:v>A03315</x:v>
      </x:c>
      <x:c r="C3321" s="21" t="str">
        <x:v>artifact</x:v>
      </x:c>
      <x:c r="D3321" s="21" t="str">
        <x:v>artifact 1136 eligibility equation</x:v>
      </x:c>
      <x:c r="E3321" s="21" t="n">
        <x:f>IF(ABS('Artifact Ledger'!P1142-IF(AND('Artifact Ledger'!L1142=1,'Artifact Ledger'!M1142=1,'Artifact Ledger'!N1142=1,'Artifact Ledger'!O1142&gt;='Artifact Ledger'!G1142),'Artifact Ledger'!K1142,0))&lt;0.000001,1,0)</x:f>
        <x:v>1</x:v>
      </x:c>
      <x:c r="F3321" s="21" t="n">
        <x:v>1</x:v>
      </x:c>
      <x:c r="G3321" s="23" t="str">
        <x:f>IF(E3321=F3321,"PASS","FAIL")</x:f>
        <x:v>PASS</x:v>
      </x:c>
    </x:row>
    <x:row r="3322">
      <x:c r="B3322" s="21" t="str">
        <x:v>A03316</x:v>
      </x:c>
      <x:c r="C3322" s="21" t="str">
        <x:v>artifact</x:v>
      </x:c>
      <x:c r="D3322" s="21" t="str">
        <x:v>artifact 1136 planning state</x:v>
      </x:c>
      <x:c r="E3322" s="21" t="n">
        <x:f>IF(AND('Artifact Ledger'!Q1142="OPEN",'Artifact Ledger'!R1142="HOLD"),1,0)</x:f>
        <x:v>1</x:v>
      </x:c>
      <x:c r="F3322" s="21" t="n">
        <x:v>1</x:v>
      </x:c>
      <x:c r="G3322" s="23" t="str">
        <x:f>IF(E3322=F3322,"PASS","FAIL")</x:f>
        <x:v>PASS</x:v>
      </x:c>
    </x:row>
    <x:row r="3323">
      <x:c r="B3323" s="21" t="str">
        <x:v>A03317</x:v>
      </x:c>
      <x:c r="C3323" s="21" t="str">
        <x:v>artifact</x:v>
      </x:c>
      <x:c r="D3323" s="21" t="str">
        <x:v>artifact 1137 eligibility equation</x:v>
      </x:c>
      <x:c r="E3323" s="21" t="n">
        <x:f>IF(ABS('Artifact Ledger'!P1143-IF(AND('Artifact Ledger'!L1143=1,'Artifact Ledger'!M1143=1,'Artifact Ledger'!N1143=1,'Artifact Ledger'!O1143&gt;='Artifact Ledger'!G1143),'Artifact Ledger'!K1143,0))&lt;0.000001,1,0)</x:f>
        <x:v>1</x:v>
      </x:c>
      <x:c r="F3323" s="21" t="n">
        <x:v>1</x:v>
      </x:c>
      <x:c r="G3323" s="23" t="str">
        <x:f>IF(E3323=F3323,"PASS","FAIL")</x:f>
        <x:v>PASS</x:v>
      </x:c>
    </x:row>
    <x:row r="3324">
      <x:c r="B3324" s="21" t="str">
        <x:v>A03318</x:v>
      </x:c>
      <x:c r="C3324" s="21" t="str">
        <x:v>artifact</x:v>
      </x:c>
      <x:c r="D3324" s="21" t="str">
        <x:v>artifact 1137 planning state</x:v>
      </x:c>
      <x:c r="E3324" s="21" t="n">
        <x:f>IF(AND('Artifact Ledger'!Q1143="OPEN",'Artifact Ledger'!R1143="HOLD"),1,0)</x:f>
        <x:v>1</x:v>
      </x:c>
      <x:c r="F3324" s="21" t="n">
        <x:v>1</x:v>
      </x:c>
      <x:c r="G3324" s="23" t="str">
        <x:f>IF(E3324=F3324,"PASS","FAIL")</x:f>
        <x:v>PASS</x:v>
      </x:c>
    </x:row>
    <x:row r="3325">
      <x:c r="B3325" s="21" t="str">
        <x:v>A03319</x:v>
      </x:c>
      <x:c r="C3325" s="21" t="str">
        <x:v>artifact</x:v>
      </x:c>
      <x:c r="D3325" s="21" t="str">
        <x:v>artifact 1138 eligibility equation</x:v>
      </x:c>
      <x:c r="E3325" s="21" t="n">
        <x:f>IF(ABS('Artifact Ledger'!P1144-IF(AND('Artifact Ledger'!L1144=1,'Artifact Ledger'!M1144=1,'Artifact Ledger'!N1144=1,'Artifact Ledger'!O1144&gt;='Artifact Ledger'!G1144),'Artifact Ledger'!K1144,0))&lt;0.000001,1,0)</x:f>
        <x:v>1</x:v>
      </x:c>
      <x:c r="F3325" s="21" t="n">
        <x:v>1</x:v>
      </x:c>
      <x:c r="G3325" s="23" t="str">
        <x:f>IF(E3325=F3325,"PASS","FAIL")</x:f>
        <x:v>PASS</x:v>
      </x:c>
    </x:row>
    <x:row r="3326">
      <x:c r="B3326" s="21" t="str">
        <x:v>A03320</x:v>
      </x:c>
      <x:c r="C3326" s="21" t="str">
        <x:v>artifact</x:v>
      </x:c>
      <x:c r="D3326" s="21" t="str">
        <x:v>artifact 1138 planning state</x:v>
      </x:c>
      <x:c r="E3326" s="21" t="n">
        <x:f>IF(AND('Artifact Ledger'!Q1144="OPEN",'Artifact Ledger'!R1144="HOLD"),1,0)</x:f>
        <x:v>1</x:v>
      </x:c>
      <x:c r="F3326" s="21" t="n">
        <x:v>1</x:v>
      </x:c>
      <x:c r="G3326" s="23" t="str">
        <x:f>IF(E3326=F3326,"PASS","FAIL")</x:f>
        <x:v>PASS</x:v>
      </x:c>
    </x:row>
    <x:row r="3327">
      <x:c r="B3327" s="21" t="str">
        <x:v>A03321</x:v>
      </x:c>
      <x:c r="C3327" s="21" t="str">
        <x:v>artifact</x:v>
      </x:c>
      <x:c r="D3327" s="21" t="str">
        <x:v>artifact 1139 eligibility equation</x:v>
      </x:c>
      <x:c r="E3327" s="21" t="n">
        <x:f>IF(ABS('Artifact Ledger'!P1145-IF(AND('Artifact Ledger'!L1145=1,'Artifact Ledger'!M1145=1,'Artifact Ledger'!N1145=1,'Artifact Ledger'!O1145&gt;='Artifact Ledger'!G1145),'Artifact Ledger'!K1145,0))&lt;0.000001,1,0)</x:f>
        <x:v>1</x:v>
      </x:c>
      <x:c r="F3327" s="21" t="n">
        <x:v>1</x:v>
      </x:c>
      <x:c r="G3327" s="23" t="str">
        <x:f>IF(E3327=F3327,"PASS","FAIL")</x:f>
        <x:v>PASS</x:v>
      </x:c>
    </x:row>
    <x:row r="3328">
      <x:c r="B3328" s="21" t="str">
        <x:v>A03322</x:v>
      </x:c>
      <x:c r="C3328" s="21" t="str">
        <x:v>artifact</x:v>
      </x:c>
      <x:c r="D3328" s="21" t="str">
        <x:v>artifact 1139 planning state</x:v>
      </x:c>
      <x:c r="E3328" s="21" t="n">
        <x:f>IF(AND('Artifact Ledger'!Q1145="OPEN",'Artifact Ledger'!R1145="HOLD"),1,0)</x:f>
        <x:v>1</x:v>
      </x:c>
      <x:c r="F3328" s="21" t="n">
        <x:v>1</x:v>
      </x:c>
      <x:c r="G3328" s="23" t="str">
        <x:f>IF(E3328=F3328,"PASS","FAIL")</x:f>
        <x:v>PASS</x:v>
      </x:c>
    </x:row>
    <x:row r="3329">
      <x:c r="B3329" s="21" t="str">
        <x:v>A03323</x:v>
      </x:c>
      <x:c r="C3329" s="21" t="str">
        <x:v>artifact</x:v>
      </x:c>
      <x:c r="D3329" s="21" t="str">
        <x:v>artifact 1140 eligibility equation</x:v>
      </x:c>
      <x:c r="E3329" s="21" t="n">
        <x:f>IF(ABS('Artifact Ledger'!P1146-IF(AND('Artifact Ledger'!L1146=1,'Artifact Ledger'!M1146=1,'Artifact Ledger'!N1146=1,'Artifact Ledger'!O1146&gt;='Artifact Ledger'!G1146),'Artifact Ledger'!K1146,0))&lt;0.000001,1,0)</x:f>
        <x:v>1</x:v>
      </x:c>
      <x:c r="F3329" s="21" t="n">
        <x:v>1</x:v>
      </x:c>
      <x:c r="G3329" s="23" t="str">
        <x:f>IF(E3329=F3329,"PASS","FAIL")</x:f>
        <x:v>PASS</x:v>
      </x:c>
    </x:row>
    <x:row r="3330">
      <x:c r="B3330" s="21" t="str">
        <x:v>A03324</x:v>
      </x:c>
      <x:c r="C3330" s="21" t="str">
        <x:v>artifact</x:v>
      </x:c>
      <x:c r="D3330" s="21" t="str">
        <x:v>artifact 1140 planning state</x:v>
      </x:c>
      <x:c r="E3330" s="21" t="n">
        <x:f>IF(AND('Artifact Ledger'!Q1146="OPEN",'Artifact Ledger'!R1146="HOLD"),1,0)</x:f>
        <x:v>1</x:v>
      </x:c>
      <x:c r="F3330" s="21" t="n">
        <x:v>1</x:v>
      </x:c>
      <x:c r="G3330" s="23" t="str">
        <x:f>IF(E3330=F3330,"PASS","FAIL")</x:f>
        <x:v>PASS</x:v>
      </x:c>
    </x:row>
    <x:row r="3331">
      <x:c r="B3331" s="21" t="str">
        <x:v>A03325</x:v>
      </x:c>
      <x:c r="C3331" s="21" t="str">
        <x:v>artifact</x:v>
      </x:c>
      <x:c r="D3331" s="21" t="str">
        <x:v>artifact 1141 eligibility equation</x:v>
      </x:c>
      <x:c r="E3331" s="21" t="n">
        <x:f>IF(ABS('Artifact Ledger'!P1147-IF(AND('Artifact Ledger'!L1147=1,'Artifact Ledger'!M1147=1,'Artifact Ledger'!N1147=1,'Artifact Ledger'!O1147&gt;='Artifact Ledger'!G1147),'Artifact Ledger'!K1147,0))&lt;0.000001,1,0)</x:f>
        <x:v>1</x:v>
      </x:c>
      <x:c r="F3331" s="21" t="n">
        <x:v>1</x:v>
      </x:c>
      <x:c r="G3331" s="23" t="str">
        <x:f>IF(E3331=F3331,"PASS","FAIL")</x:f>
        <x:v>PASS</x:v>
      </x:c>
    </x:row>
    <x:row r="3332">
      <x:c r="B3332" s="21" t="str">
        <x:v>A03326</x:v>
      </x:c>
      <x:c r="C3332" s="21" t="str">
        <x:v>artifact</x:v>
      </x:c>
      <x:c r="D3332" s="21" t="str">
        <x:v>artifact 1141 planning state</x:v>
      </x:c>
      <x:c r="E3332" s="21" t="n">
        <x:f>IF(AND('Artifact Ledger'!Q1147="OPEN",'Artifact Ledger'!R1147="HOLD"),1,0)</x:f>
        <x:v>1</x:v>
      </x:c>
      <x:c r="F3332" s="21" t="n">
        <x:v>1</x:v>
      </x:c>
      <x:c r="G3332" s="23" t="str">
        <x:f>IF(E3332=F3332,"PASS","FAIL")</x:f>
        <x:v>PASS</x:v>
      </x:c>
    </x:row>
    <x:row r="3333">
      <x:c r="B3333" s="21" t="str">
        <x:v>A03327</x:v>
      </x:c>
      <x:c r="C3333" s="21" t="str">
        <x:v>artifact</x:v>
      </x:c>
      <x:c r="D3333" s="21" t="str">
        <x:v>artifact 1142 eligibility equation</x:v>
      </x:c>
      <x:c r="E3333" s="21" t="n">
        <x:f>IF(ABS('Artifact Ledger'!P1148-IF(AND('Artifact Ledger'!L1148=1,'Artifact Ledger'!M1148=1,'Artifact Ledger'!N1148=1,'Artifact Ledger'!O1148&gt;='Artifact Ledger'!G1148),'Artifact Ledger'!K1148,0))&lt;0.000001,1,0)</x:f>
        <x:v>1</x:v>
      </x:c>
      <x:c r="F3333" s="21" t="n">
        <x:v>1</x:v>
      </x:c>
      <x:c r="G3333" s="23" t="str">
        <x:f>IF(E3333=F3333,"PASS","FAIL")</x:f>
        <x:v>PASS</x:v>
      </x:c>
    </x:row>
    <x:row r="3334">
      <x:c r="B3334" s="21" t="str">
        <x:v>A03328</x:v>
      </x:c>
      <x:c r="C3334" s="21" t="str">
        <x:v>artifact</x:v>
      </x:c>
      <x:c r="D3334" s="21" t="str">
        <x:v>artifact 1142 planning state</x:v>
      </x:c>
      <x:c r="E3334" s="21" t="n">
        <x:f>IF(AND('Artifact Ledger'!Q1148="OPEN",'Artifact Ledger'!R1148="HOLD"),1,0)</x:f>
        <x:v>1</x:v>
      </x:c>
      <x:c r="F3334" s="21" t="n">
        <x:v>1</x:v>
      </x:c>
      <x:c r="G3334" s="23" t="str">
        <x:f>IF(E3334=F3334,"PASS","FAIL")</x:f>
        <x:v>PASS</x:v>
      </x:c>
    </x:row>
    <x:row r="3335">
      <x:c r="B3335" s="21" t="str">
        <x:v>A03329</x:v>
      </x:c>
      <x:c r="C3335" s="21" t="str">
        <x:v>artifact</x:v>
      </x:c>
      <x:c r="D3335" s="21" t="str">
        <x:v>artifact 1143 eligibility equation</x:v>
      </x:c>
      <x:c r="E3335" s="21" t="n">
        <x:f>IF(ABS('Artifact Ledger'!P1149-IF(AND('Artifact Ledger'!L1149=1,'Artifact Ledger'!M1149=1,'Artifact Ledger'!N1149=1,'Artifact Ledger'!O1149&gt;='Artifact Ledger'!G1149),'Artifact Ledger'!K1149,0))&lt;0.000001,1,0)</x:f>
        <x:v>1</x:v>
      </x:c>
      <x:c r="F3335" s="21" t="n">
        <x:v>1</x:v>
      </x:c>
      <x:c r="G3335" s="23" t="str">
        <x:f>IF(E3335=F3335,"PASS","FAIL")</x:f>
        <x:v>PASS</x:v>
      </x:c>
    </x:row>
    <x:row r="3336">
      <x:c r="B3336" s="21" t="str">
        <x:v>A03330</x:v>
      </x:c>
      <x:c r="C3336" s="21" t="str">
        <x:v>artifact</x:v>
      </x:c>
      <x:c r="D3336" s="21" t="str">
        <x:v>artifact 1143 planning state</x:v>
      </x:c>
      <x:c r="E3336" s="21" t="n">
        <x:f>IF(AND('Artifact Ledger'!Q1149="OPEN",'Artifact Ledger'!R1149="HOLD"),1,0)</x:f>
        <x:v>1</x:v>
      </x:c>
      <x:c r="F3336" s="21" t="n">
        <x:v>1</x:v>
      </x:c>
      <x:c r="G3336" s="23" t="str">
        <x:f>IF(E3336=F3336,"PASS","FAIL")</x:f>
        <x:v>PASS</x:v>
      </x:c>
    </x:row>
    <x:row r="3337">
      <x:c r="B3337" s="21" t="str">
        <x:v>A03331</x:v>
      </x:c>
      <x:c r="C3337" s="21" t="str">
        <x:v>artifact</x:v>
      </x:c>
      <x:c r="D3337" s="21" t="str">
        <x:v>artifact 1144 eligibility equation</x:v>
      </x:c>
      <x:c r="E3337" s="21" t="n">
        <x:f>IF(ABS('Artifact Ledger'!P1150-IF(AND('Artifact Ledger'!L1150=1,'Artifact Ledger'!M1150=1,'Artifact Ledger'!N1150=1,'Artifact Ledger'!O1150&gt;='Artifact Ledger'!G1150),'Artifact Ledger'!K1150,0))&lt;0.000001,1,0)</x:f>
        <x:v>1</x:v>
      </x:c>
      <x:c r="F3337" s="21" t="n">
        <x:v>1</x:v>
      </x:c>
      <x:c r="G3337" s="23" t="str">
        <x:f>IF(E3337=F3337,"PASS","FAIL")</x:f>
        <x:v>PASS</x:v>
      </x:c>
    </x:row>
    <x:row r="3338">
      <x:c r="B3338" s="21" t="str">
        <x:v>A03332</x:v>
      </x:c>
      <x:c r="C3338" s="21" t="str">
        <x:v>artifact</x:v>
      </x:c>
      <x:c r="D3338" s="21" t="str">
        <x:v>artifact 1144 planning state</x:v>
      </x:c>
      <x:c r="E3338" s="21" t="n">
        <x:f>IF(AND('Artifact Ledger'!Q1150="OPEN",'Artifact Ledger'!R1150="HOLD"),1,0)</x:f>
        <x:v>1</x:v>
      </x:c>
      <x:c r="F3338" s="21" t="n">
        <x:v>1</x:v>
      </x:c>
      <x:c r="G3338" s="23" t="str">
        <x:f>IF(E3338=F3338,"PASS","FAIL")</x:f>
        <x:v>PASS</x:v>
      </x:c>
    </x:row>
    <x:row r="3339">
      <x:c r="B3339" s="21" t="str">
        <x:v>A03333</x:v>
      </x:c>
      <x:c r="C3339" s="21" t="str">
        <x:v>artifact</x:v>
      </x:c>
      <x:c r="D3339" s="21" t="str">
        <x:v>artifact 1145 eligibility equation</x:v>
      </x:c>
      <x:c r="E3339" s="21" t="n">
        <x:f>IF(ABS('Artifact Ledger'!P1151-IF(AND('Artifact Ledger'!L1151=1,'Artifact Ledger'!M1151=1,'Artifact Ledger'!N1151=1,'Artifact Ledger'!O1151&gt;='Artifact Ledger'!G1151),'Artifact Ledger'!K1151,0))&lt;0.000001,1,0)</x:f>
        <x:v>1</x:v>
      </x:c>
      <x:c r="F3339" s="21" t="n">
        <x:v>1</x:v>
      </x:c>
      <x:c r="G3339" s="23" t="str">
        <x:f>IF(E3339=F3339,"PASS","FAIL")</x:f>
        <x:v>PASS</x:v>
      </x:c>
    </x:row>
    <x:row r="3340">
      <x:c r="B3340" s="21" t="str">
        <x:v>A03334</x:v>
      </x:c>
      <x:c r="C3340" s="21" t="str">
        <x:v>artifact</x:v>
      </x:c>
      <x:c r="D3340" s="21" t="str">
        <x:v>artifact 1145 planning state</x:v>
      </x:c>
      <x:c r="E3340" s="21" t="n">
        <x:f>IF(AND('Artifact Ledger'!Q1151="OPEN",'Artifact Ledger'!R1151="HOLD"),1,0)</x:f>
        <x:v>1</x:v>
      </x:c>
      <x:c r="F3340" s="21" t="n">
        <x:v>1</x:v>
      </x:c>
      <x:c r="G3340" s="23" t="str">
        <x:f>IF(E3340=F3340,"PASS","FAIL")</x:f>
        <x:v>PASS</x:v>
      </x:c>
    </x:row>
    <x:row r="3341">
      <x:c r="B3341" s="21" t="str">
        <x:v>A03335</x:v>
      </x:c>
      <x:c r="C3341" s="21" t="str">
        <x:v>artifact</x:v>
      </x:c>
      <x:c r="D3341" s="21" t="str">
        <x:v>artifact 1146 eligibility equation</x:v>
      </x:c>
      <x:c r="E3341" s="21" t="n">
        <x:f>IF(ABS('Artifact Ledger'!P1152-IF(AND('Artifact Ledger'!L1152=1,'Artifact Ledger'!M1152=1,'Artifact Ledger'!N1152=1,'Artifact Ledger'!O1152&gt;='Artifact Ledger'!G1152),'Artifact Ledger'!K1152,0))&lt;0.000001,1,0)</x:f>
        <x:v>1</x:v>
      </x:c>
      <x:c r="F3341" s="21" t="n">
        <x:v>1</x:v>
      </x:c>
      <x:c r="G3341" s="23" t="str">
        <x:f>IF(E3341=F3341,"PASS","FAIL")</x:f>
        <x:v>PASS</x:v>
      </x:c>
    </x:row>
    <x:row r="3342">
      <x:c r="B3342" s="21" t="str">
        <x:v>A03336</x:v>
      </x:c>
      <x:c r="C3342" s="21" t="str">
        <x:v>artifact</x:v>
      </x:c>
      <x:c r="D3342" s="21" t="str">
        <x:v>artifact 1146 planning state</x:v>
      </x:c>
      <x:c r="E3342" s="21" t="n">
        <x:f>IF(AND('Artifact Ledger'!Q1152="OPEN",'Artifact Ledger'!R1152="HOLD"),1,0)</x:f>
        <x:v>1</x:v>
      </x:c>
      <x:c r="F3342" s="21" t="n">
        <x:v>1</x:v>
      </x:c>
      <x:c r="G3342" s="23" t="str">
        <x:f>IF(E3342=F3342,"PASS","FAIL")</x:f>
        <x:v>PASS</x:v>
      </x:c>
    </x:row>
    <x:row r="3343">
      <x:c r="B3343" s="21" t="str">
        <x:v>A03337</x:v>
      </x:c>
      <x:c r="C3343" s="21" t="str">
        <x:v>artifact</x:v>
      </x:c>
      <x:c r="D3343" s="21" t="str">
        <x:v>artifact 1147 eligibility equation</x:v>
      </x:c>
      <x:c r="E3343" s="21" t="n">
        <x:f>IF(ABS('Artifact Ledger'!P1153-IF(AND('Artifact Ledger'!L1153=1,'Artifact Ledger'!M1153=1,'Artifact Ledger'!N1153=1,'Artifact Ledger'!O1153&gt;='Artifact Ledger'!G1153),'Artifact Ledger'!K1153,0))&lt;0.000001,1,0)</x:f>
        <x:v>1</x:v>
      </x:c>
      <x:c r="F3343" s="21" t="n">
        <x:v>1</x:v>
      </x:c>
      <x:c r="G3343" s="23" t="str">
        <x:f>IF(E3343=F3343,"PASS","FAIL")</x:f>
        <x:v>PASS</x:v>
      </x:c>
    </x:row>
    <x:row r="3344">
      <x:c r="B3344" s="21" t="str">
        <x:v>A03338</x:v>
      </x:c>
      <x:c r="C3344" s="21" t="str">
        <x:v>artifact</x:v>
      </x:c>
      <x:c r="D3344" s="21" t="str">
        <x:v>artifact 1147 planning state</x:v>
      </x:c>
      <x:c r="E3344" s="21" t="n">
        <x:f>IF(AND('Artifact Ledger'!Q1153="OPEN",'Artifact Ledger'!R1153="HOLD"),1,0)</x:f>
        <x:v>1</x:v>
      </x:c>
      <x:c r="F3344" s="21" t="n">
        <x:v>1</x:v>
      </x:c>
      <x:c r="G3344" s="23" t="str">
        <x:f>IF(E3344=F3344,"PASS","FAIL")</x:f>
        <x:v>PASS</x:v>
      </x:c>
    </x:row>
    <x:row r="3345">
      <x:c r="B3345" s="21" t="str">
        <x:v>A03339</x:v>
      </x:c>
      <x:c r="C3345" s="21" t="str">
        <x:v>artifact</x:v>
      </x:c>
      <x:c r="D3345" s="21" t="str">
        <x:v>artifact 1148 eligibility equation</x:v>
      </x:c>
      <x:c r="E3345" s="21" t="n">
        <x:f>IF(ABS('Artifact Ledger'!P1154-IF(AND('Artifact Ledger'!L1154=1,'Artifact Ledger'!M1154=1,'Artifact Ledger'!N1154=1,'Artifact Ledger'!O1154&gt;='Artifact Ledger'!G1154),'Artifact Ledger'!K1154,0))&lt;0.000001,1,0)</x:f>
        <x:v>1</x:v>
      </x:c>
      <x:c r="F3345" s="21" t="n">
        <x:v>1</x:v>
      </x:c>
      <x:c r="G3345" s="23" t="str">
        <x:f>IF(E3345=F3345,"PASS","FAIL")</x:f>
        <x:v>PASS</x:v>
      </x:c>
    </x:row>
    <x:row r="3346">
      <x:c r="B3346" s="21" t="str">
        <x:v>A03340</x:v>
      </x:c>
      <x:c r="C3346" s="21" t="str">
        <x:v>artifact</x:v>
      </x:c>
      <x:c r="D3346" s="21" t="str">
        <x:v>artifact 1148 planning state</x:v>
      </x:c>
      <x:c r="E3346" s="21" t="n">
        <x:f>IF(AND('Artifact Ledger'!Q1154="OPEN",'Artifact Ledger'!R1154="HOLD"),1,0)</x:f>
        <x:v>1</x:v>
      </x:c>
      <x:c r="F3346" s="21" t="n">
        <x:v>1</x:v>
      </x:c>
      <x:c r="G3346" s="23" t="str">
        <x:f>IF(E3346=F3346,"PASS","FAIL")</x:f>
        <x:v>PASS</x:v>
      </x:c>
    </x:row>
    <x:row r="3347">
      <x:c r="B3347" s="21" t="str">
        <x:v>A03341</x:v>
      </x:c>
      <x:c r="C3347" s="21" t="str">
        <x:v>artifact</x:v>
      </x:c>
      <x:c r="D3347" s="21" t="str">
        <x:v>artifact 1149 eligibility equation</x:v>
      </x:c>
      <x:c r="E3347" s="21" t="n">
        <x:f>IF(ABS('Artifact Ledger'!P1155-IF(AND('Artifact Ledger'!L1155=1,'Artifact Ledger'!M1155=1,'Artifact Ledger'!N1155=1,'Artifact Ledger'!O1155&gt;='Artifact Ledger'!G1155),'Artifact Ledger'!K1155,0))&lt;0.000001,1,0)</x:f>
        <x:v>1</x:v>
      </x:c>
      <x:c r="F3347" s="21" t="n">
        <x:v>1</x:v>
      </x:c>
      <x:c r="G3347" s="23" t="str">
        <x:f>IF(E3347=F3347,"PASS","FAIL")</x:f>
        <x:v>PASS</x:v>
      </x:c>
    </x:row>
    <x:row r="3348">
      <x:c r="B3348" s="21" t="str">
        <x:v>A03342</x:v>
      </x:c>
      <x:c r="C3348" s="21" t="str">
        <x:v>artifact</x:v>
      </x:c>
      <x:c r="D3348" s="21" t="str">
        <x:v>artifact 1149 planning state</x:v>
      </x:c>
      <x:c r="E3348" s="21" t="n">
        <x:f>IF(AND('Artifact Ledger'!Q1155="OPEN",'Artifact Ledger'!R1155="HOLD"),1,0)</x:f>
        <x:v>1</x:v>
      </x:c>
      <x:c r="F3348" s="21" t="n">
        <x:v>1</x:v>
      </x:c>
      <x:c r="G3348" s="23" t="str">
        <x:f>IF(E3348=F3348,"PASS","FAIL")</x:f>
        <x:v>PASS</x:v>
      </x:c>
    </x:row>
    <x:row r="3349">
      <x:c r="B3349" s="21" t="str">
        <x:v>A03343</x:v>
      </x:c>
      <x:c r="C3349" s="21" t="str">
        <x:v>artifact</x:v>
      </x:c>
      <x:c r="D3349" s="21" t="str">
        <x:v>artifact 1150 eligibility equation</x:v>
      </x:c>
      <x:c r="E3349" s="21" t="n">
        <x:f>IF(ABS('Artifact Ledger'!P1156-IF(AND('Artifact Ledger'!L1156=1,'Artifact Ledger'!M1156=1,'Artifact Ledger'!N1156=1,'Artifact Ledger'!O1156&gt;='Artifact Ledger'!G1156),'Artifact Ledger'!K1156,0))&lt;0.000001,1,0)</x:f>
        <x:v>1</x:v>
      </x:c>
      <x:c r="F3349" s="21" t="n">
        <x:v>1</x:v>
      </x:c>
      <x:c r="G3349" s="23" t="str">
        <x:f>IF(E3349=F3349,"PASS","FAIL")</x:f>
        <x:v>PASS</x:v>
      </x:c>
    </x:row>
    <x:row r="3350">
      <x:c r="B3350" s="21" t="str">
        <x:v>A03344</x:v>
      </x:c>
      <x:c r="C3350" s="21" t="str">
        <x:v>artifact</x:v>
      </x:c>
      <x:c r="D3350" s="21" t="str">
        <x:v>artifact 1150 planning state</x:v>
      </x:c>
      <x:c r="E3350" s="21" t="n">
        <x:f>IF(AND('Artifact Ledger'!Q1156="OPEN",'Artifact Ledger'!R1156="HOLD"),1,0)</x:f>
        <x:v>1</x:v>
      </x:c>
      <x:c r="F3350" s="21" t="n">
        <x:v>1</x:v>
      </x:c>
      <x:c r="G3350" s="23" t="str">
        <x:f>IF(E3350=F3350,"PASS","FAIL")</x:f>
        <x:v>PASS</x:v>
      </x:c>
    </x:row>
    <x:row r="3351">
      <x:c r="B3351" s="21" t="str">
        <x:v>A03345</x:v>
      </x:c>
      <x:c r="C3351" s="21" t="str">
        <x:v>artifact</x:v>
      </x:c>
      <x:c r="D3351" s="21" t="str">
        <x:v>artifact 1151 eligibility equation</x:v>
      </x:c>
      <x:c r="E3351" s="21" t="n">
        <x:f>IF(ABS('Artifact Ledger'!P1157-IF(AND('Artifact Ledger'!L1157=1,'Artifact Ledger'!M1157=1,'Artifact Ledger'!N1157=1,'Artifact Ledger'!O1157&gt;='Artifact Ledger'!G1157),'Artifact Ledger'!K1157,0))&lt;0.000001,1,0)</x:f>
        <x:v>1</x:v>
      </x:c>
      <x:c r="F3351" s="21" t="n">
        <x:v>1</x:v>
      </x:c>
      <x:c r="G3351" s="23" t="str">
        <x:f>IF(E3351=F3351,"PASS","FAIL")</x:f>
        <x:v>PASS</x:v>
      </x:c>
    </x:row>
    <x:row r="3352">
      <x:c r="B3352" s="21" t="str">
        <x:v>A03346</x:v>
      </x:c>
      <x:c r="C3352" s="21" t="str">
        <x:v>artifact</x:v>
      </x:c>
      <x:c r="D3352" s="21" t="str">
        <x:v>artifact 1151 planning state</x:v>
      </x:c>
      <x:c r="E3352" s="21" t="n">
        <x:f>IF(AND('Artifact Ledger'!Q1157="OPEN",'Artifact Ledger'!R1157="HOLD"),1,0)</x:f>
        <x:v>1</x:v>
      </x:c>
      <x:c r="F3352" s="21" t="n">
        <x:v>1</x:v>
      </x:c>
      <x:c r="G3352" s="23" t="str">
        <x:f>IF(E3352=F3352,"PASS","FAIL")</x:f>
        <x:v>PASS</x:v>
      </x:c>
    </x:row>
    <x:row r="3353">
      <x:c r="B3353" s="21" t="str">
        <x:v>A03347</x:v>
      </x:c>
      <x:c r="C3353" s="21" t="str">
        <x:v>artifact</x:v>
      </x:c>
      <x:c r="D3353" s="21" t="str">
        <x:v>artifact 1152 eligibility equation</x:v>
      </x:c>
      <x:c r="E3353" s="21" t="n">
        <x:f>IF(ABS('Artifact Ledger'!P1158-IF(AND('Artifact Ledger'!L1158=1,'Artifact Ledger'!M1158=1,'Artifact Ledger'!N1158=1,'Artifact Ledger'!O1158&gt;='Artifact Ledger'!G1158),'Artifact Ledger'!K1158,0))&lt;0.000001,1,0)</x:f>
        <x:v>1</x:v>
      </x:c>
      <x:c r="F3353" s="21" t="n">
        <x:v>1</x:v>
      </x:c>
      <x:c r="G3353" s="23" t="str">
        <x:f>IF(E3353=F3353,"PASS","FAIL")</x:f>
        <x:v>PASS</x:v>
      </x:c>
    </x:row>
    <x:row r="3354">
      <x:c r="B3354" s="21" t="str">
        <x:v>A03348</x:v>
      </x:c>
      <x:c r="C3354" s="21" t="str">
        <x:v>artifact</x:v>
      </x:c>
      <x:c r="D3354" s="21" t="str">
        <x:v>artifact 1152 planning state</x:v>
      </x:c>
      <x:c r="E3354" s="21" t="n">
        <x:f>IF(AND('Artifact Ledger'!Q1158="OPEN",'Artifact Ledger'!R1158="HOLD"),1,0)</x:f>
        <x:v>1</x:v>
      </x:c>
      <x:c r="F3354" s="21" t="n">
        <x:v>1</x:v>
      </x:c>
      <x:c r="G3354" s="23" t="str">
        <x:f>IF(E3354=F3354,"PASS","FAIL")</x:f>
        <x:v>PASS</x:v>
      </x:c>
    </x:row>
    <x:row r="3355">
      <x:c r="B3355" s="21" t="str">
        <x:v>A03349</x:v>
      </x:c>
      <x:c r="C3355" s="21" t="str">
        <x:v>artifact</x:v>
      </x:c>
      <x:c r="D3355" s="21" t="str">
        <x:v>artifact 1153 eligibility equation</x:v>
      </x:c>
      <x:c r="E3355" s="21" t="n">
        <x:f>IF(ABS('Artifact Ledger'!P1159-IF(AND('Artifact Ledger'!L1159=1,'Artifact Ledger'!M1159=1,'Artifact Ledger'!N1159=1,'Artifact Ledger'!O1159&gt;='Artifact Ledger'!G1159),'Artifact Ledger'!K1159,0))&lt;0.000001,1,0)</x:f>
        <x:v>1</x:v>
      </x:c>
      <x:c r="F3355" s="21" t="n">
        <x:v>1</x:v>
      </x:c>
      <x:c r="G3355" s="23" t="str">
        <x:f>IF(E3355=F3355,"PASS","FAIL")</x:f>
        <x:v>PASS</x:v>
      </x:c>
    </x:row>
    <x:row r="3356">
      <x:c r="B3356" s="21" t="str">
        <x:v>A03350</x:v>
      </x:c>
      <x:c r="C3356" s="21" t="str">
        <x:v>artifact</x:v>
      </x:c>
      <x:c r="D3356" s="21" t="str">
        <x:v>artifact 1153 planning state</x:v>
      </x:c>
      <x:c r="E3356" s="21" t="n">
        <x:f>IF(AND('Artifact Ledger'!Q1159="OPEN",'Artifact Ledger'!R1159="HOLD"),1,0)</x:f>
        <x:v>1</x:v>
      </x:c>
      <x:c r="F3356" s="21" t="n">
        <x:v>1</x:v>
      </x:c>
      <x:c r="G3356" s="23" t="str">
        <x:f>IF(E3356=F3356,"PASS","FAIL")</x:f>
        <x:v>PASS</x:v>
      </x:c>
    </x:row>
    <x:row r="3357">
      <x:c r="B3357" s="21" t="str">
        <x:v>A03351</x:v>
      </x:c>
      <x:c r="C3357" s="21" t="str">
        <x:v>artifact</x:v>
      </x:c>
      <x:c r="D3357" s="21" t="str">
        <x:v>artifact 1154 eligibility equation</x:v>
      </x:c>
      <x:c r="E3357" s="21" t="n">
        <x:f>IF(ABS('Artifact Ledger'!P1160-IF(AND('Artifact Ledger'!L1160=1,'Artifact Ledger'!M1160=1,'Artifact Ledger'!N1160=1,'Artifact Ledger'!O1160&gt;='Artifact Ledger'!G1160),'Artifact Ledger'!K1160,0))&lt;0.000001,1,0)</x:f>
        <x:v>1</x:v>
      </x:c>
      <x:c r="F3357" s="21" t="n">
        <x:v>1</x:v>
      </x:c>
      <x:c r="G3357" s="23" t="str">
        <x:f>IF(E3357=F3357,"PASS","FAIL")</x:f>
        <x:v>PASS</x:v>
      </x:c>
    </x:row>
    <x:row r="3358">
      <x:c r="B3358" s="21" t="str">
        <x:v>A03352</x:v>
      </x:c>
      <x:c r="C3358" s="21" t="str">
        <x:v>artifact</x:v>
      </x:c>
      <x:c r="D3358" s="21" t="str">
        <x:v>artifact 1154 planning state</x:v>
      </x:c>
      <x:c r="E3358" s="21" t="n">
        <x:f>IF(AND('Artifact Ledger'!Q1160="OPEN",'Artifact Ledger'!R1160="HOLD"),1,0)</x:f>
        <x:v>1</x:v>
      </x:c>
      <x:c r="F3358" s="21" t="n">
        <x:v>1</x:v>
      </x:c>
      <x:c r="G3358" s="23" t="str">
        <x:f>IF(E3358=F3358,"PASS","FAIL")</x:f>
        <x:v>PASS</x:v>
      </x:c>
    </x:row>
    <x:row r="3359">
      <x:c r="B3359" s="21" t="str">
        <x:v>A03353</x:v>
      </x:c>
      <x:c r="C3359" s="21" t="str">
        <x:v>artifact</x:v>
      </x:c>
      <x:c r="D3359" s="21" t="str">
        <x:v>artifact 1155 eligibility equation</x:v>
      </x:c>
      <x:c r="E3359" s="21" t="n">
        <x:f>IF(ABS('Artifact Ledger'!P1161-IF(AND('Artifact Ledger'!L1161=1,'Artifact Ledger'!M1161=1,'Artifact Ledger'!N1161=1,'Artifact Ledger'!O1161&gt;='Artifact Ledger'!G1161),'Artifact Ledger'!K1161,0))&lt;0.000001,1,0)</x:f>
        <x:v>1</x:v>
      </x:c>
      <x:c r="F3359" s="21" t="n">
        <x:v>1</x:v>
      </x:c>
      <x:c r="G3359" s="23" t="str">
        <x:f>IF(E3359=F3359,"PASS","FAIL")</x:f>
        <x:v>PASS</x:v>
      </x:c>
    </x:row>
    <x:row r="3360">
      <x:c r="B3360" s="21" t="str">
        <x:v>A03354</x:v>
      </x:c>
      <x:c r="C3360" s="21" t="str">
        <x:v>artifact</x:v>
      </x:c>
      <x:c r="D3360" s="21" t="str">
        <x:v>artifact 1155 planning state</x:v>
      </x:c>
      <x:c r="E3360" s="21" t="n">
        <x:f>IF(AND('Artifact Ledger'!Q1161="OPEN",'Artifact Ledger'!R1161="HOLD"),1,0)</x:f>
        <x:v>1</x:v>
      </x:c>
      <x:c r="F3360" s="21" t="n">
        <x:v>1</x:v>
      </x:c>
      <x:c r="G3360" s="23" t="str">
        <x:f>IF(E3360=F3360,"PASS","FAIL")</x:f>
        <x:v>PASS</x:v>
      </x:c>
    </x:row>
    <x:row r="3361">
      <x:c r="B3361" s="21" t="str">
        <x:v>A03355</x:v>
      </x:c>
      <x:c r="C3361" s="21" t="str">
        <x:v>artifact</x:v>
      </x:c>
      <x:c r="D3361" s="21" t="str">
        <x:v>artifact 1156 eligibility equation</x:v>
      </x:c>
      <x:c r="E3361" s="21" t="n">
        <x:f>IF(ABS('Artifact Ledger'!P1162-IF(AND('Artifact Ledger'!L1162=1,'Artifact Ledger'!M1162=1,'Artifact Ledger'!N1162=1,'Artifact Ledger'!O1162&gt;='Artifact Ledger'!G1162),'Artifact Ledger'!K1162,0))&lt;0.000001,1,0)</x:f>
        <x:v>1</x:v>
      </x:c>
      <x:c r="F3361" s="21" t="n">
        <x:v>1</x:v>
      </x:c>
      <x:c r="G3361" s="23" t="str">
        <x:f>IF(E3361=F3361,"PASS","FAIL")</x:f>
        <x:v>PASS</x:v>
      </x:c>
    </x:row>
    <x:row r="3362">
      <x:c r="B3362" s="21" t="str">
        <x:v>A03356</x:v>
      </x:c>
      <x:c r="C3362" s="21" t="str">
        <x:v>artifact</x:v>
      </x:c>
      <x:c r="D3362" s="21" t="str">
        <x:v>artifact 1156 planning state</x:v>
      </x:c>
      <x:c r="E3362" s="21" t="n">
        <x:f>IF(AND('Artifact Ledger'!Q1162="OPEN",'Artifact Ledger'!R1162="HOLD"),1,0)</x:f>
        <x:v>1</x:v>
      </x:c>
      <x:c r="F3362" s="21" t="n">
        <x:v>1</x:v>
      </x:c>
      <x:c r="G3362" s="23" t="str">
        <x:f>IF(E3362=F3362,"PASS","FAIL")</x:f>
        <x:v>PASS</x:v>
      </x:c>
    </x:row>
    <x:row r="3363">
      <x:c r="B3363" s="21" t="str">
        <x:v>A03357</x:v>
      </x:c>
      <x:c r="C3363" s="21" t="str">
        <x:v>artifact</x:v>
      </x:c>
      <x:c r="D3363" s="21" t="str">
        <x:v>artifact 1157 eligibility equation</x:v>
      </x:c>
      <x:c r="E3363" s="21" t="n">
        <x:f>IF(ABS('Artifact Ledger'!P1163-IF(AND('Artifact Ledger'!L1163=1,'Artifact Ledger'!M1163=1,'Artifact Ledger'!N1163=1,'Artifact Ledger'!O1163&gt;='Artifact Ledger'!G1163),'Artifact Ledger'!K1163,0))&lt;0.000001,1,0)</x:f>
        <x:v>1</x:v>
      </x:c>
      <x:c r="F3363" s="21" t="n">
        <x:v>1</x:v>
      </x:c>
      <x:c r="G3363" s="23" t="str">
        <x:f>IF(E3363=F3363,"PASS","FAIL")</x:f>
        <x:v>PASS</x:v>
      </x:c>
    </x:row>
    <x:row r="3364">
      <x:c r="B3364" s="21" t="str">
        <x:v>A03358</x:v>
      </x:c>
      <x:c r="C3364" s="21" t="str">
        <x:v>artifact</x:v>
      </x:c>
      <x:c r="D3364" s="21" t="str">
        <x:v>artifact 1157 planning state</x:v>
      </x:c>
      <x:c r="E3364" s="21" t="n">
        <x:f>IF(AND('Artifact Ledger'!Q1163="OPEN",'Artifact Ledger'!R1163="HOLD"),1,0)</x:f>
        <x:v>1</x:v>
      </x:c>
      <x:c r="F3364" s="21" t="n">
        <x:v>1</x:v>
      </x:c>
      <x:c r="G3364" s="23" t="str">
        <x:f>IF(E3364=F3364,"PASS","FAIL")</x:f>
        <x:v>PASS</x:v>
      </x:c>
    </x:row>
    <x:row r="3365">
      <x:c r="B3365" s="21" t="str">
        <x:v>A03359</x:v>
      </x:c>
      <x:c r="C3365" s="21" t="str">
        <x:v>artifact</x:v>
      </x:c>
      <x:c r="D3365" s="21" t="str">
        <x:v>artifact 1158 eligibility equation</x:v>
      </x:c>
      <x:c r="E3365" s="21" t="n">
        <x:f>IF(ABS('Artifact Ledger'!P1164-IF(AND('Artifact Ledger'!L1164=1,'Artifact Ledger'!M1164=1,'Artifact Ledger'!N1164=1,'Artifact Ledger'!O1164&gt;='Artifact Ledger'!G1164),'Artifact Ledger'!K1164,0))&lt;0.000001,1,0)</x:f>
        <x:v>1</x:v>
      </x:c>
      <x:c r="F3365" s="21" t="n">
        <x:v>1</x:v>
      </x:c>
      <x:c r="G3365" s="23" t="str">
        <x:f>IF(E3365=F3365,"PASS","FAIL")</x:f>
        <x:v>PASS</x:v>
      </x:c>
    </x:row>
    <x:row r="3366">
      <x:c r="B3366" s="21" t="str">
        <x:v>A03360</x:v>
      </x:c>
      <x:c r="C3366" s="21" t="str">
        <x:v>artifact</x:v>
      </x:c>
      <x:c r="D3366" s="21" t="str">
        <x:v>artifact 1158 planning state</x:v>
      </x:c>
      <x:c r="E3366" s="21" t="n">
        <x:f>IF(AND('Artifact Ledger'!Q1164="OPEN",'Artifact Ledger'!R1164="HOLD"),1,0)</x:f>
        <x:v>1</x:v>
      </x:c>
      <x:c r="F3366" s="21" t="n">
        <x:v>1</x:v>
      </x:c>
      <x:c r="G3366" s="23" t="str">
        <x:f>IF(E3366=F3366,"PASS","FAIL")</x:f>
        <x:v>PASS</x:v>
      </x:c>
    </x:row>
    <x:row r="3367">
      <x:c r="B3367" s="21" t="str">
        <x:v>A03361</x:v>
      </x:c>
      <x:c r="C3367" s="21" t="str">
        <x:v>artifact</x:v>
      </x:c>
      <x:c r="D3367" s="21" t="str">
        <x:v>artifact 1159 eligibility equation</x:v>
      </x:c>
      <x:c r="E3367" s="21" t="n">
        <x:f>IF(ABS('Artifact Ledger'!P1165-IF(AND('Artifact Ledger'!L1165=1,'Artifact Ledger'!M1165=1,'Artifact Ledger'!N1165=1,'Artifact Ledger'!O1165&gt;='Artifact Ledger'!G1165),'Artifact Ledger'!K1165,0))&lt;0.000001,1,0)</x:f>
        <x:v>1</x:v>
      </x:c>
      <x:c r="F3367" s="21" t="n">
        <x:v>1</x:v>
      </x:c>
      <x:c r="G3367" s="23" t="str">
        <x:f>IF(E3367=F3367,"PASS","FAIL")</x:f>
        <x:v>PASS</x:v>
      </x:c>
    </x:row>
    <x:row r="3368">
      <x:c r="B3368" s="21" t="str">
        <x:v>A03362</x:v>
      </x:c>
      <x:c r="C3368" s="21" t="str">
        <x:v>artifact</x:v>
      </x:c>
      <x:c r="D3368" s="21" t="str">
        <x:v>artifact 1159 planning state</x:v>
      </x:c>
      <x:c r="E3368" s="21" t="n">
        <x:f>IF(AND('Artifact Ledger'!Q1165="OPEN",'Artifact Ledger'!R1165="HOLD"),1,0)</x:f>
        <x:v>1</x:v>
      </x:c>
      <x:c r="F3368" s="21" t="n">
        <x:v>1</x:v>
      </x:c>
      <x:c r="G3368" s="23" t="str">
        <x:f>IF(E3368=F3368,"PASS","FAIL")</x:f>
        <x:v>PASS</x:v>
      </x:c>
    </x:row>
    <x:row r="3369">
      <x:c r="B3369" s="21" t="str">
        <x:v>A03363</x:v>
      </x:c>
      <x:c r="C3369" s="21" t="str">
        <x:v>artifact</x:v>
      </x:c>
      <x:c r="D3369" s="21" t="str">
        <x:v>artifact 1160 eligibility equation</x:v>
      </x:c>
      <x:c r="E3369" s="21" t="n">
        <x:f>IF(ABS('Artifact Ledger'!P1166-IF(AND('Artifact Ledger'!L1166=1,'Artifact Ledger'!M1166=1,'Artifact Ledger'!N1166=1,'Artifact Ledger'!O1166&gt;='Artifact Ledger'!G1166),'Artifact Ledger'!K1166,0))&lt;0.000001,1,0)</x:f>
        <x:v>1</x:v>
      </x:c>
      <x:c r="F3369" s="21" t="n">
        <x:v>1</x:v>
      </x:c>
      <x:c r="G3369" s="23" t="str">
        <x:f>IF(E3369=F3369,"PASS","FAIL")</x:f>
        <x:v>PASS</x:v>
      </x:c>
    </x:row>
    <x:row r="3370">
      <x:c r="B3370" s="21" t="str">
        <x:v>A03364</x:v>
      </x:c>
      <x:c r="C3370" s="21" t="str">
        <x:v>artifact</x:v>
      </x:c>
      <x:c r="D3370" s="21" t="str">
        <x:v>artifact 1160 planning state</x:v>
      </x:c>
      <x:c r="E3370" s="21" t="n">
        <x:f>IF(AND('Artifact Ledger'!Q1166="OPEN",'Artifact Ledger'!R1166="HOLD"),1,0)</x:f>
        <x:v>1</x:v>
      </x:c>
      <x:c r="F3370" s="21" t="n">
        <x:v>1</x:v>
      </x:c>
      <x:c r="G3370" s="23" t="str">
        <x:f>IF(E3370=F3370,"PASS","FAIL")</x:f>
        <x:v>PASS</x:v>
      </x:c>
    </x:row>
    <x:row r="3371">
      <x:c r="B3371" s="21" t="str">
        <x:v>A03365</x:v>
      </x:c>
      <x:c r="C3371" s="21" t="str">
        <x:v>artifact</x:v>
      </x:c>
      <x:c r="D3371" s="21" t="str">
        <x:v>artifact 1161 eligibility equation</x:v>
      </x:c>
      <x:c r="E3371" s="21" t="n">
        <x:f>IF(ABS('Artifact Ledger'!P1167-IF(AND('Artifact Ledger'!L1167=1,'Artifact Ledger'!M1167=1,'Artifact Ledger'!N1167=1,'Artifact Ledger'!O1167&gt;='Artifact Ledger'!G1167),'Artifact Ledger'!K1167,0))&lt;0.000001,1,0)</x:f>
        <x:v>1</x:v>
      </x:c>
      <x:c r="F3371" s="21" t="n">
        <x:v>1</x:v>
      </x:c>
      <x:c r="G3371" s="23" t="str">
        <x:f>IF(E3371=F3371,"PASS","FAIL")</x:f>
        <x:v>PASS</x:v>
      </x:c>
    </x:row>
    <x:row r="3372">
      <x:c r="B3372" s="21" t="str">
        <x:v>A03366</x:v>
      </x:c>
      <x:c r="C3372" s="21" t="str">
        <x:v>artifact</x:v>
      </x:c>
      <x:c r="D3372" s="21" t="str">
        <x:v>artifact 1161 planning state</x:v>
      </x:c>
      <x:c r="E3372" s="21" t="n">
        <x:f>IF(AND('Artifact Ledger'!Q1167="OPEN",'Artifact Ledger'!R1167="HOLD"),1,0)</x:f>
        <x:v>1</x:v>
      </x:c>
      <x:c r="F3372" s="21" t="n">
        <x:v>1</x:v>
      </x:c>
      <x:c r="G3372" s="23" t="str">
        <x:f>IF(E3372=F3372,"PASS","FAIL")</x:f>
        <x:v>PASS</x:v>
      </x:c>
    </x:row>
    <x:row r="3373">
      <x:c r="B3373" s="21" t="str">
        <x:v>A03367</x:v>
      </x:c>
      <x:c r="C3373" s="21" t="str">
        <x:v>artifact</x:v>
      </x:c>
      <x:c r="D3373" s="21" t="str">
        <x:v>artifact 1162 eligibility equation</x:v>
      </x:c>
      <x:c r="E3373" s="21" t="n">
        <x:f>IF(ABS('Artifact Ledger'!P1168-IF(AND('Artifact Ledger'!L1168=1,'Artifact Ledger'!M1168=1,'Artifact Ledger'!N1168=1,'Artifact Ledger'!O1168&gt;='Artifact Ledger'!G1168),'Artifact Ledger'!K1168,0))&lt;0.000001,1,0)</x:f>
        <x:v>1</x:v>
      </x:c>
      <x:c r="F3373" s="21" t="n">
        <x:v>1</x:v>
      </x:c>
      <x:c r="G3373" s="23" t="str">
        <x:f>IF(E3373=F3373,"PASS","FAIL")</x:f>
        <x:v>PASS</x:v>
      </x:c>
    </x:row>
    <x:row r="3374">
      <x:c r="B3374" s="21" t="str">
        <x:v>A03368</x:v>
      </x:c>
      <x:c r="C3374" s="21" t="str">
        <x:v>artifact</x:v>
      </x:c>
      <x:c r="D3374" s="21" t="str">
        <x:v>artifact 1162 planning state</x:v>
      </x:c>
      <x:c r="E3374" s="21" t="n">
        <x:f>IF(AND('Artifact Ledger'!Q1168="OPEN",'Artifact Ledger'!R1168="HOLD"),1,0)</x:f>
        <x:v>1</x:v>
      </x:c>
      <x:c r="F3374" s="21" t="n">
        <x:v>1</x:v>
      </x:c>
      <x:c r="G3374" s="23" t="str">
        <x:f>IF(E3374=F3374,"PASS","FAIL")</x:f>
        <x:v>PASS</x:v>
      </x:c>
    </x:row>
    <x:row r="3375">
      <x:c r="B3375" s="21" t="str">
        <x:v>A03369</x:v>
      </x:c>
      <x:c r="C3375" s="21" t="str">
        <x:v>artifact</x:v>
      </x:c>
      <x:c r="D3375" s="21" t="str">
        <x:v>artifact 1163 eligibility equation</x:v>
      </x:c>
      <x:c r="E3375" s="21" t="n">
        <x:f>IF(ABS('Artifact Ledger'!P1169-IF(AND('Artifact Ledger'!L1169=1,'Artifact Ledger'!M1169=1,'Artifact Ledger'!N1169=1,'Artifact Ledger'!O1169&gt;='Artifact Ledger'!G1169),'Artifact Ledger'!K1169,0))&lt;0.000001,1,0)</x:f>
        <x:v>1</x:v>
      </x:c>
      <x:c r="F3375" s="21" t="n">
        <x:v>1</x:v>
      </x:c>
      <x:c r="G3375" s="23" t="str">
        <x:f>IF(E3375=F3375,"PASS","FAIL")</x:f>
        <x:v>PASS</x:v>
      </x:c>
    </x:row>
    <x:row r="3376">
      <x:c r="B3376" s="21" t="str">
        <x:v>A03370</x:v>
      </x:c>
      <x:c r="C3376" s="21" t="str">
        <x:v>artifact</x:v>
      </x:c>
      <x:c r="D3376" s="21" t="str">
        <x:v>artifact 1163 planning state</x:v>
      </x:c>
      <x:c r="E3376" s="21" t="n">
        <x:f>IF(AND('Artifact Ledger'!Q1169="OPEN",'Artifact Ledger'!R1169="HOLD"),1,0)</x:f>
        <x:v>1</x:v>
      </x:c>
      <x:c r="F3376" s="21" t="n">
        <x:v>1</x:v>
      </x:c>
      <x:c r="G3376" s="23" t="str">
        <x:f>IF(E3376=F3376,"PASS","FAIL")</x:f>
        <x:v>PASS</x:v>
      </x:c>
    </x:row>
    <x:row r="3377">
      <x:c r="B3377" s="21" t="str">
        <x:v>A03371</x:v>
      </x:c>
      <x:c r="C3377" s="21" t="str">
        <x:v>artifact</x:v>
      </x:c>
      <x:c r="D3377" s="21" t="str">
        <x:v>artifact 1164 eligibility equation</x:v>
      </x:c>
      <x:c r="E3377" s="21" t="n">
        <x:f>IF(ABS('Artifact Ledger'!P1170-IF(AND('Artifact Ledger'!L1170=1,'Artifact Ledger'!M1170=1,'Artifact Ledger'!N1170=1,'Artifact Ledger'!O1170&gt;='Artifact Ledger'!G1170),'Artifact Ledger'!K1170,0))&lt;0.000001,1,0)</x:f>
        <x:v>1</x:v>
      </x:c>
      <x:c r="F3377" s="21" t="n">
        <x:v>1</x:v>
      </x:c>
      <x:c r="G3377" s="23" t="str">
        <x:f>IF(E3377=F3377,"PASS","FAIL")</x:f>
        <x:v>PASS</x:v>
      </x:c>
    </x:row>
    <x:row r="3378">
      <x:c r="B3378" s="21" t="str">
        <x:v>A03372</x:v>
      </x:c>
      <x:c r="C3378" s="21" t="str">
        <x:v>artifact</x:v>
      </x:c>
      <x:c r="D3378" s="21" t="str">
        <x:v>artifact 1164 planning state</x:v>
      </x:c>
      <x:c r="E3378" s="21" t="n">
        <x:f>IF(AND('Artifact Ledger'!Q1170="OPEN",'Artifact Ledger'!R1170="HOLD"),1,0)</x:f>
        <x:v>1</x:v>
      </x:c>
      <x:c r="F3378" s="21" t="n">
        <x:v>1</x:v>
      </x:c>
      <x:c r="G3378" s="23" t="str">
        <x:f>IF(E3378=F3378,"PASS","FAIL")</x:f>
        <x:v>PASS</x:v>
      </x:c>
    </x:row>
    <x:row r="3379">
      <x:c r="B3379" s="21" t="str">
        <x:v>A03373</x:v>
      </x:c>
      <x:c r="C3379" s="21" t="str">
        <x:v>artifact</x:v>
      </x:c>
      <x:c r="D3379" s="21" t="str">
        <x:v>artifact 1165 eligibility equation</x:v>
      </x:c>
      <x:c r="E3379" s="21" t="n">
        <x:f>IF(ABS('Artifact Ledger'!P1171-IF(AND('Artifact Ledger'!L1171=1,'Artifact Ledger'!M1171=1,'Artifact Ledger'!N1171=1,'Artifact Ledger'!O1171&gt;='Artifact Ledger'!G1171),'Artifact Ledger'!K1171,0))&lt;0.000001,1,0)</x:f>
        <x:v>1</x:v>
      </x:c>
      <x:c r="F3379" s="21" t="n">
        <x:v>1</x:v>
      </x:c>
      <x:c r="G3379" s="23" t="str">
        <x:f>IF(E3379=F3379,"PASS","FAIL")</x:f>
        <x:v>PASS</x:v>
      </x:c>
    </x:row>
    <x:row r="3380">
      <x:c r="B3380" s="21" t="str">
        <x:v>A03374</x:v>
      </x:c>
      <x:c r="C3380" s="21" t="str">
        <x:v>artifact</x:v>
      </x:c>
      <x:c r="D3380" s="21" t="str">
        <x:v>artifact 1165 planning state</x:v>
      </x:c>
      <x:c r="E3380" s="21" t="n">
        <x:f>IF(AND('Artifact Ledger'!Q1171="OPEN",'Artifact Ledger'!R1171="HOLD"),1,0)</x:f>
        <x:v>1</x:v>
      </x:c>
      <x:c r="F3380" s="21" t="n">
        <x:v>1</x:v>
      </x:c>
      <x:c r="G3380" s="23" t="str">
        <x:f>IF(E3380=F3380,"PASS","FAIL")</x:f>
        <x:v>PASS</x:v>
      </x:c>
    </x:row>
    <x:row r="3381">
      <x:c r="B3381" s="21" t="str">
        <x:v>A03375</x:v>
      </x:c>
      <x:c r="C3381" s="21" t="str">
        <x:v>artifact</x:v>
      </x:c>
      <x:c r="D3381" s="21" t="str">
        <x:v>artifact 1166 eligibility equation</x:v>
      </x:c>
      <x:c r="E3381" s="21" t="n">
        <x:f>IF(ABS('Artifact Ledger'!P1172-IF(AND('Artifact Ledger'!L1172=1,'Artifact Ledger'!M1172=1,'Artifact Ledger'!N1172=1,'Artifact Ledger'!O1172&gt;='Artifact Ledger'!G1172),'Artifact Ledger'!K1172,0))&lt;0.000001,1,0)</x:f>
        <x:v>1</x:v>
      </x:c>
      <x:c r="F3381" s="21" t="n">
        <x:v>1</x:v>
      </x:c>
      <x:c r="G3381" s="23" t="str">
        <x:f>IF(E3381=F3381,"PASS","FAIL")</x:f>
        <x:v>PASS</x:v>
      </x:c>
    </x:row>
    <x:row r="3382">
      <x:c r="B3382" s="21" t="str">
        <x:v>A03376</x:v>
      </x:c>
      <x:c r="C3382" s="21" t="str">
        <x:v>artifact</x:v>
      </x:c>
      <x:c r="D3382" s="21" t="str">
        <x:v>artifact 1166 planning state</x:v>
      </x:c>
      <x:c r="E3382" s="21" t="n">
        <x:f>IF(AND('Artifact Ledger'!Q1172="OPEN",'Artifact Ledger'!R1172="HOLD"),1,0)</x:f>
        <x:v>1</x:v>
      </x:c>
      <x:c r="F3382" s="21" t="n">
        <x:v>1</x:v>
      </x:c>
      <x:c r="G3382" s="23" t="str">
        <x:f>IF(E3382=F3382,"PASS","FAIL")</x:f>
        <x:v>PASS</x:v>
      </x:c>
    </x:row>
    <x:row r="3383">
      <x:c r="B3383" s="21" t="str">
        <x:v>A03377</x:v>
      </x:c>
      <x:c r="C3383" s="21" t="str">
        <x:v>artifact</x:v>
      </x:c>
      <x:c r="D3383" s="21" t="str">
        <x:v>artifact 1167 eligibility equation</x:v>
      </x:c>
      <x:c r="E3383" s="21" t="n">
        <x:f>IF(ABS('Artifact Ledger'!P1173-IF(AND('Artifact Ledger'!L1173=1,'Artifact Ledger'!M1173=1,'Artifact Ledger'!N1173=1,'Artifact Ledger'!O1173&gt;='Artifact Ledger'!G1173),'Artifact Ledger'!K1173,0))&lt;0.000001,1,0)</x:f>
        <x:v>1</x:v>
      </x:c>
      <x:c r="F3383" s="21" t="n">
        <x:v>1</x:v>
      </x:c>
      <x:c r="G3383" s="23" t="str">
        <x:f>IF(E3383=F3383,"PASS","FAIL")</x:f>
        <x:v>PASS</x:v>
      </x:c>
    </x:row>
    <x:row r="3384">
      <x:c r="B3384" s="21" t="str">
        <x:v>A03378</x:v>
      </x:c>
      <x:c r="C3384" s="21" t="str">
        <x:v>artifact</x:v>
      </x:c>
      <x:c r="D3384" s="21" t="str">
        <x:v>artifact 1167 planning state</x:v>
      </x:c>
      <x:c r="E3384" s="21" t="n">
        <x:f>IF(AND('Artifact Ledger'!Q1173="OPEN",'Artifact Ledger'!R1173="HOLD"),1,0)</x:f>
        <x:v>1</x:v>
      </x:c>
      <x:c r="F3384" s="21" t="n">
        <x:v>1</x:v>
      </x:c>
      <x:c r="G3384" s="23" t="str">
        <x:f>IF(E3384=F3384,"PASS","FAIL")</x:f>
        <x:v>PASS</x:v>
      </x:c>
    </x:row>
    <x:row r="3385">
      <x:c r="B3385" s="21" t="str">
        <x:v>A03379</x:v>
      </x:c>
      <x:c r="C3385" s="21" t="str">
        <x:v>artifact</x:v>
      </x:c>
      <x:c r="D3385" s="21" t="str">
        <x:v>artifact 1168 eligibility equation</x:v>
      </x:c>
      <x:c r="E3385" s="21" t="n">
        <x:f>IF(ABS('Artifact Ledger'!P1174-IF(AND('Artifact Ledger'!L1174=1,'Artifact Ledger'!M1174=1,'Artifact Ledger'!N1174=1,'Artifact Ledger'!O1174&gt;='Artifact Ledger'!G1174),'Artifact Ledger'!K1174,0))&lt;0.000001,1,0)</x:f>
        <x:v>1</x:v>
      </x:c>
      <x:c r="F3385" s="21" t="n">
        <x:v>1</x:v>
      </x:c>
      <x:c r="G3385" s="23" t="str">
        <x:f>IF(E3385=F3385,"PASS","FAIL")</x:f>
        <x:v>PASS</x:v>
      </x:c>
    </x:row>
    <x:row r="3386">
      <x:c r="B3386" s="21" t="str">
        <x:v>A03380</x:v>
      </x:c>
      <x:c r="C3386" s="21" t="str">
        <x:v>artifact</x:v>
      </x:c>
      <x:c r="D3386" s="21" t="str">
        <x:v>artifact 1168 planning state</x:v>
      </x:c>
      <x:c r="E3386" s="21" t="n">
        <x:f>IF(AND('Artifact Ledger'!Q1174="OPEN",'Artifact Ledger'!R1174="HOLD"),1,0)</x:f>
        <x:v>1</x:v>
      </x:c>
      <x:c r="F3386" s="21" t="n">
        <x:v>1</x:v>
      </x:c>
      <x:c r="G3386" s="23" t="str">
        <x:f>IF(E3386=F3386,"PASS","FAIL")</x:f>
        <x:v>PASS</x:v>
      </x:c>
    </x:row>
    <x:row r="3387">
      <x:c r="B3387" s="21" t="str">
        <x:v>A03381</x:v>
      </x:c>
      <x:c r="C3387" s="21" t="str">
        <x:v>artifact</x:v>
      </x:c>
      <x:c r="D3387" s="21" t="str">
        <x:v>artifact 1169 eligibility equation</x:v>
      </x:c>
      <x:c r="E3387" s="21" t="n">
        <x:f>IF(ABS('Artifact Ledger'!P1175-IF(AND('Artifact Ledger'!L1175=1,'Artifact Ledger'!M1175=1,'Artifact Ledger'!N1175=1,'Artifact Ledger'!O1175&gt;='Artifact Ledger'!G1175),'Artifact Ledger'!K1175,0))&lt;0.000001,1,0)</x:f>
        <x:v>1</x:v>
      </x:c>
      <x:c r="F3387" s="21" t="n">
        <x:v>1</x:v>
      </x:c>
      <x:c r="G3387" s="23" t="str">
        <x:f>IF(E3387=F3387,"PASS","FAIL")</x:f>
        <x:v>PASS</x:v>
      </x:c>
    </x:row>
    <x:row r="3388">
      <x:c r="B3388" s="21" t="str">
        <x:v>A03382</x:v>
      </x:c>
      <x:c r="C3388" s="21" t="str">
        <x:v>artifact</x:v>
      </x:c>
      <x:c r="D3388" s="21" t="str">
        <x:v>artifact 1169 planning state</x:v>
      </x:c>
      <x:c r="E3388" s="21" t="n">
        <x:f>IF(AND('Artifact Ledger'!Q1175="OPEN",'Artifact Ledger'!R1175="HOLD"),1,0)</x:f>
        <x:v>1</x:v>
      </x:c>
      <x:c r="F3388" s="21" t="n">
        <x:v>1</x:v>
      </x:c>
      <x:c r="G3388" s="23" t="str">
        <x:f>IF(E3388=F3388,"PASS","FAIL")</x:f>
        <x:v>PASS</x:v>
      </x:c>
    </x:row>
    <x:row r="3389">
      <x:c r="B3389" s="21" t="str">
        <x:v>A03383</x:v>
      </x:c>
      <x:c r="C3389" s="21" t="str">
        <x:v>artifact</x:v>
      </x:c>
      <x:c r="D3389" s="21" t="str">
        <x:v>artifact 1170 eligibility equation</x:v>
      </x:c>
      <x:c r="E3389" s="21" t="n">
        <x:f>IF(ABS('Artifact Ledger'!P1176-IF(AND('Artifact Ledger'!L1176=1,'Artifact Ledger'!M1176=1,'Artifact Ledger'!N1176=1,'Artifact Ledger'!O1176&gt;='Artifact Ledger'!G1176),'Artifact Ledger'!K1176,0))&lt;0.000001,1,0)</x:f>
        <x:v>1</x:v>
      </x:c>
      <x:c r="F3389" s="21" t="n">
        <x:v>1</x:v>
      </x:c>
      <x:c r="G3389" s="23" t="str">
        <x:f>IF(E3389=F3389,"PASS","FAIL")</x:f>
        <x:v>PASS</x:v>
      </x:c>
    </x:row>
    <x:row r="3390">
      <x:c r="B3390" s="21" t="str">
        <x:v>A03384</x:v>
      </x:c>
      <x:c r="C3390" s="21" t="str">
        <x:v>artifact</x:v>
      </x:c>
      <x:c r="D3390" s="21" t="str">
        <x:v>artifact 1170 planning state</x:v>
      </x:c>
      <x:c r="E3390" s="21" t="n">
        <x:f>IF(AND('Artifact Ledger'!Q1176="OPEN",'Artifact Ledger'!R1176="HOLD"),1,0)</x:f>
        <x:v>1</x:v>
      </x:c>
      <x:c r="F3390" s="21" t="n">
        <x:v>1</x:v>
      </x:c>
      <x:c r="G3390" s="23" t="str">
        <x:f>IF(E3390=F3390,"PASS","FAIL")</x:f>
        <x:v>PASS</x:v>
      </x:c>
    </x:row>
    <x:row r="3391">
      <x:c r="B3391" s="21" t="str">
        <x:v>A03385</x:v>
      </x:c>
      <x:c r="C3391" s="21" t="str">
        <x:v>artifact</x:v>
      </x:c>
      <x:c r="D3391" s="21" t="str">
        <x:v>artifact 1171 eligibility equation</x:v>
      </x:c>
      <x:c r="E3391" s="21" t="n">
        <x:f>IF(ABS('Artifact Ledger'!P1177-IF(AND('Artifact Ledger'!L1177=1,'Artifact Ledger'!M1177=1,'Artifact Ledger'!N1177=1,'Artifact Ledger'!O1177&gt;='Artifact Ledger'!G1177),'Artifact Ledger'!K1177,0))&lt;0.000001,1,0)</x:f>
        <x:v>1</x:v>
      </x:c>
      <x:c r="F3391" s="21" t="n">
        <x:v>1</x:v>
      </x:c>
      <x:c r="G3391" s="23" t="str">
        <x:f>IF(E3391=F3391,"PASS","FAIL")</x:f>
        <x:v>PASS</x:v>
      </x:c>
    </x:row>
    <x:row r="3392">
      <x:c r="B3392" s="21" t="str">
        <x:v>A03386</x:v>
      </x:c>
      <x:c r="C3392" s="21" t="str">
        <x:v>artifact</x:v>
      </x:c>
      <x:c r="D3392" s="21" t="str">
        <x:v>artifact 1171 planning state</x:v>
      </x:c>
      <x:c r="E3392" s="21" t="n">
        <x:f>IF(AND('Artifact Ledger'!Q1177="OPEN",'Artifact Ledger'!R1177="HOLD"),1,0)</x:f>
        <x:v>1</x:v>
      </x:c>
      <x:c r="F3392" s="21" t="n">
        <x:v>1</x:v>
      </x:c>
      <x:c r="G3392" s="23" t="str">
        <x:f>IF(E3392=F3392,"PASS","FAIL")</x:f>
        <x:v>PASS</x:v>
      </x:c>
    </x:row>
    <x:row r="3393">
      <x:c r="B3393" s="21" t="str">
        <x:v>A03387</x:v>
      </x:c>
      <x:c r="C3393" s="21" t="str">
        <x:v>artifact</x:v>
      </x:c>
      <x:c r="D3393" s="21" t="str">
        <x:v>artifact 1172 eligibility equation</x:v>
      </x:c>
      <x:c r="E3393" s="21" t="n">
        <x:f>IF(ABS('Artifact Ledger'!P1178-IF(AND('Artifact Ledger'!L1178=1,'Artifact Ledger'!M1178=1,'Artifact Ledger'!N1178=1,'Artifact Ledger'!O1178&gt;='Artifact Ledger'!G1178),'Artifact Ledger'!K1178,0))&lt;0.000001,1,0)</x:f>
        <x:v>1</x:v>
      </x:c>
      <x:c r="F3393" s="21" t="n">
        <x:v>1</x:v>
      </x:c>
      <x:c r="G3393" s="23" t="str">
        <x:f>IF(E3393=F3393,"PASS","FAIL")</x:f>
        <x:v>PASS</x:v>
      </x:c>
    </x:row>
    <x:row r="3394">
      <x:c r="B3394" s="21" t="str">
        <x:v>A03388</x:v>
      </x:c>
      <x:c r="C3394" s="21" t="str">
        <x:v>artifact</x:v>
      </x:c>
      <x:c r="D3394" s="21" t="str">
        <x:v>artifact 1172 planning state</x:v>
      </x:c>
      <x:c r="E3394" s="21" t="n">
        <x:f>IF(AND('Artifact Ledger'!Q1178="OPEN",'Artifact Ledger'!R1178="HOLD"),1,0)</x:f>
        <x:v>1</x:v>
      </x:c>
      <x:c r="F3394" s="21" t="n">
        <x:v>1</x:v>
      </x:c>
      <x:c r="G3394" s="23" t="str">
        <x:f>IF(E3394=F3394,"PASS","FAIL")</x:f>
        <x:v>PASS</x:v>
      </x:c>
    </x:row>
    <x:row r="3395">
      <x:c r="B3395" s="21" t="str">
        <x:v>A03389</x:v>
      </x:c>
      <x:c r="C3395" s="21" t="str">
        <x:v>artifact</x:v>
      </x:c>
      <x:c r="D3395" s="21" t="str">
        <x:v>artifact 1173 eligibility equation</x:v>
      </x:c>
      <x:c r="E3395" s="21" t="n">
        <x:f>IF(ABS('Artifact Ledger'!P1179-IF(AND('Artifact Ledger'!L1179=1,'Artifact Ledger'!M1179=1,'Artifact Ledger'!N1179=1,'Artifact Ledger'!O1179&gt;='Artifact Ledger'!G1179),'Artifact Ledger'!K1179,0))&lt;0.000001,1,0)</x:f>
        <x:v>1</x:v>
      </x:c>
      <x:c r="F3395" s="21" t="n">
        <x:v>1</x:v>
      </x:c>
      <x:c r="G3395" s="23" t="str">
        <x:f>IF(E3395=F3395,"PASS","FAIL")</x:f>
        <x:v>PASS</x:v>
      </x:c>
    </x:row>
    <x:row r="3396">
      <x:c r="B3396" s="21" t="str">
        <x:v>A03390</x:v>
      </x:c>
      <x:c r="C3396" s="21" t="str">
        <x:v>artifact</x:v>
      </x:c>
      <x:c r="D3396" s="21" t="str">
        <x:v>artifact 1173 planning state</x:v>
      </x:c>
      <x:c r="E3396" s="21" t="n">
        <x:f>IF(AND('Artifact Ledger'!Q1179="OPEN",'Artifact Ledger'!R1179="HOLD"),1,0)</x:f>
        <x:v>1</x:v>
      </x:c>
      <x:c r="F3396" s="21" t="n">
        <x:v>1</x:v>
      </x:c>
      <x:c r="G3396" s="23" t="str">
        <x:f>IF(E3396=F3396,"PASS","FAIL")</x:f>
        <x:v>PASS</x:v>
      </x:c>
    </x:row>
    <x:row r="3397">
      <x:c r="B3397" s="21" t="str">
        <x:v>A03391</x:v>
      </x:c>
      <x:c r="C3397" s="21" t="str">
        <x:v>artifact</x:v>
      </x:c>
      <x:c r="D3397" s="21" t="str">
        <x:v>artifact 1174 eligibility equation</x:v>
      </x:c>
      <x:c r="E3397" s="21" t="n">
        <x:f>IF(ABS('Artifact Ledger'!P1180-IF(AND('Artifact Ledger'!L1180=1,'Artifact Ledger'!M1180=1,'Artifact Ledger'!N1180=1,'Artifact Ledger'!O1180&gt;='Artifact Ledger'!G1180),'Artifact Ledger'!K1180,0))&lt;0.000001,1,0)</x:f>
        <x:v>1</x:v>
      </x:c>
      <x:c r="F3397" s="21" t="n">
        <x:v>1</x:v>
      </x:c>
      <x:c r="G3397" s="23" t="str">
        <x:f>IF(E3397=F3397,"PASS","FAIL")</x:f>
        <x:v>PASS</x:v>
      </x:c>
    </x:row>
    <x:row r="3398">
      <x:c r="B3398" s="21" t="str">
        <x:v>A03392</x:v>
      </x:c>
      <x:c r="C3398" s="21" t="str">
        <x:v>artifact</x:v>
      </x:c>
      <x:c r="D3398" s="21" t="str">
        <x:v>artifact 1174 planning state</x:v>
      </x:c>
      <x:c r="E3398" s="21" t="n">
        <x:f>IF(AND('Artifact Ledger'!Q1180="OPEN",'Artifact Ledger'!R1180="HOLD"),1,0)</x:f>
        <x:v>1</x:v>
      </x:c>
      <x:c r="F3398" s="21" t="n">
        <x:v>1</x:v>
      </x:c>
      <x:c r="G3398" s="23" t="str">
        <x:f>IF(E3398=F3398,"PASS","FAIL")</x:f>
        <x:v>PASS</x:v>
      </x:c>
    </x:row>
    <x:row r="3399">
      <x:c r="B3399" s="21" t="str">
        <x:v>A03393</x:v>
      </x:c>
      <x:c r="C3399" s="21" t="str">
        <x:v>artifact</x:v>
      </x:c>
      <x:c r="D3399" s="21" t="str">
        <x:v>artifact 1175 eligibility equation</x:v>
      </x:c>
      <x:c r="E3399" s="21" t="n">
        <x:f>IF(ABS('Artifact Ledger'!P1181-IF(AND('Artifact Ledger'!L1181=1,'Artifact Ledger'!M1181=1,'Artifact Ledger'!N1181=1,'Artifact Ledger'!O1181&gt;='Artifact Ledger'!G1181),'Artifact Ledger'!K1181,0))&lt;0.000001,1,0)</x:f>
        <x:v>1</x:v>
      </x:c>
      <x:c r="F3399" s="21" t="n">
        <x:v>1</x:v>
      </x:c>
      <x:c r="G3399" s="23" t="str">
        <x:f>IF(E3399=F3399,"PASS","FAIL")</x:f>
        <x:v>PASS</x:v>
      </x:c>
    </x:row>
    <x:row r="3400">
      <x:c r="B3400" s="21" t="str">
        <x:v>A03394</x:v>
      </x:c>
      <x:c r="C3400" s="21" t="str">
        <x:v>artifact</x:v>
      </x:c>
      <x:c r="D3400" s="21" t="str">
        <x:v>artifact 1175 planning state</x:v>
      </x:c>
      <x:c r="E3400" s="21" t="n">
        <x:f>IF(AND('Artifact Ledger'!Q1181="OPEN",'Artifact Ledger'!R1181="HOLD"),1,0)</x:f>
        <x:v>1</x:v>
      </x:c>
      <x:c r="F3400" s="21" t="n">
        <x:v>1</x:v>
      </x:c>
      <x:c r="G3400" s="23" t="str">
        <x:f>IF(E3400=F3400,"PASS","FAIL")</x:f>
        <x:v>PASS</x:v>
      </x:c>
    </x:row>
    <x:row r="3401">
      <x:c r="B3401" s="21" t="str">
        <x:v>A03395</x:v>
      </x:c>
      <x:c r="C3401" s="21" t="str">
        <x:v>artifact</x:v>
      </x:c>
      <x:c r="D3401" s="21" t="str">
        <x:v>artifact 1176 eligibility equation</x:v>
      </x:c>
      <x:c r="E3401" s="21" t="n">
        <x:f>IF(ABS('Artifact Ledger'!P1182-IF(AND('Artifact Ledger'!L1182=1,'Artifact Ledger'!M1182=1,'Artifact Ledger'!N1182=1,'Artifact Ledger'!O1182&gt;='Artifact Ledger'!G1182),'Artifact Ledger'!K1182,0))&lt;0.000001,1,0)</x:f>
        <x:v>1</x:v>
      </x:c>
      <x:c r="F3401" s="21" t="n">
        <x:v>1</x:v>
      </x:c>
      <x:c r="G3401" s="23" t="str">
        <x:f>IF(E3401=F3401,"PASS","FAIL")</x:f>
        <x:v>PASS</x:v>
      </x:c>
    </x:row>
    <x:row r="3402">
      <x:c r="B3402" s="21" t="str">
        <x:v>A03396</x:v>
      </x:c>
      <x:c r="C3402" s="21" t="str">
        <x:v>artifact</x:v>
      </x:c>
      <x:c r="D3402" s="21" t="str">
        <x:v>artifact 1176 planning state</x:v>
      </x:c>
      <x:c r="E3402" s="21" t="n">
        <x:f>IF(AND('Artifact Ledger'!Q1182="OPEN",'Artifact Ledger'!R1182="HOLD"),1,0)</x:f>
        <x:v>1</x:v>
      </x:c>
      <x:c r="F3402" s="21" t="n">
        <x:v>1</x:v>
      </x:c>
      <x:c r="G3402" s="23" t="str">
        <x:f>IF(E3402=F3402,"PASS","FAIL")</x:f>
        <x:v>PASS</x:v>
      </x:c>
    </x:row>
    <x:row r="3403">
      <x:c r="B3403" s="21" t="str">
        <x:v>A03397</x:v>
      </x:c>
      <x:c r="C3403" s="21" t="str">
        <x:v>artifact</x:v>
      </x:c>
      <x:c r="D3403" s="21" t="str">
        <x:v>artifact 1177 eligibility equation</x:v>
      </x:c>
      <x:c r="E3403" s="21" t="n">
        <x:f>IF(ABS('Artifact Ledger'!P1183-IF(AND('Artifact Ledger'!L1183=1,'Artifact Ledger'!M1183=1,'Artifact Ledger'!N1183=1,'Artifact Ledger'!O1183&gt;='Artifact Ledger'!G1183),'Artifact Ledger'!K1183,0))&lt;0.000001,1,0)</x:f>
        <x:v>1</x:v>
      </x:c>
      <x:c r="F3403" s="21" t="n">
        <x:v>1</x:v>
      </x:c>
      <x:c r="G3403" s="23" t="str">
        <x:f>IF(E3403=F3403,"PASS","FAIL")</x:f>
        <x:v>PASS</x:v>
      </x:c>
    </x:row>
    <x:row r="3404">
      <x:c r="B3404" s="21" t="str">
        <x:v>A03398</x:v>
      </x:c>
      <x:c r="C3404" s="21" t="str">
        <x:v>artifact</x:v>
      </x:c>
      <x:c r="D3404" s="21" t="str">
        <x:v>artifact 1177 planning state</x:v>
      </x:c>
      <x:c r="E3404" s="21" t="n">
        <x:f>IF(AND('Artifact Ledger'!Q1183="OPEN",'Artifact Ledger'!R1183="HOLD"),1,0)</x:f>
        <x:v>1</x:v>
      </x:c>
      <x:c r="F3404" s="21" t="n">
        <x:v>1</x:v>
      </x:c>
      <x:c r="G3404" s="23" t="str">
        <x:f>IF(E3404=F3404,"PASS","FAIL")</x:f>
        <x:v>PASS</x:v>
      </x:c>
    </x:row>
    <x:row r="3405">
      <x:c r="B3405" s="21" t="str">
        <x:v>A03399</x:v>
      </x:c>
      <x:c r="C3405" s="21" t="str">
        <x:v>artifact</x:v>
      </x:c>
      <x:c r="D3405" s="21" t="str">
        <x:v>artifact 1178 eligibility equation</x:v>
      </x:c>
      <x:c r="E3405" s="21" t="n">
        <x:f>IF(ABS('Artifact Ledger'!P1184-IF(AND('Artifact Ledger'!L1184=1,'Artifact Ledger'!M1184=1,'Artifact Ledger'!N1184=1,'Artifact Ledger'!O1184&gt;='Artifact Ledger'!G1184),'Artifact Ledger'!K1184,0))&lt;0.000001,1,0)</x:f>
        <x:v>1</x:v>
      </x:c>
      <x:c r="F3405" s="21" t="n">
        <x:v>1</x:v>
      </x:c>
      <x:c r="G3405" s="23" t="str">
        <x:f>IF(E3405=F3405,"PASS","FAIL")</x:f>
        <x:v>PASS</x:v>
      </x:c>
    </x:row>
    <x:row r="3406">
      <x:c r="B3406" s="21" t="str">
        <x:v>A03400</x:v>
      </x:c>
      <x:c r="C3406" s="21" t="str">
        <x:v>artifact</x:v>
      </x:c>
      <x:c r="D3406" s="21" t="str">
        <x:v>artifact 1178 planning state</x:v>
      </x:c>
      <x:c r="E3406" s="21" t="n">
        <x:f>IF(AND('Artifact Ledger'!Q1184="OPEN",'Artifact Ledger'!R1184="HOLD"),1,0)</x:f>
        <x:v>1</x:v>
      </x:c>
      <x:c r="F3406" s="21" t="n">
        <x:v>1</x:v>
      </x:c>
      <x:c r="G3406" s="23" t="str">
        <x:f>IF(E3406=F3406,"PASS","FAIL")</x:f>
        <x:v>PASS</x:v>
      </x:c>
    </x:row>
    <x:row r="3407">
      <x:c r="B3407" s="21" t="str">
        <x:v>A03401</x:v>
      </x:c>
      <x:c r="C3407" s="21" t="str">
        <x:v>artifact</x:v>
      </x:c>
      <x:c r="D3407" s="21" t="str">
        <x:v>artifact 1179 eligibility equation</x:v>
      </x:c>
      <x:c r="E3407" s="21" t="n">
        <x:f>IF(ABS('Artifact Ledger'!P1185-IF(AND('Artifact Ledger'!L1185=1,'Artifact Ledger'!M1185=1,'Artifact Ledger'!N1185=1,'Artifact Ledger'!O1185&gt;='Artifact Ledger'!G1185),'Artifact Ledger'!K1185,0))&lt;0.000001,1,0)</x:f>
        <x:v>1</x:v>
      </x:c>
      <x:c r="F3407" s="21" t="n">
        <x:v>1</x:v>
      </x:c>
      <x:c r="G3407" s="23" t="str">
        <x:f>IF(E3407=F3407,"PASS","FAIL")</x:f>
        <x:v>PASS</x:v>
      </x:c>
    </x:row>
    <x:row r="3408">
      <x:c r="B3408" s="21" t="str">
        <x:v>A03402</x:v>
      </x:c>
      <x:c r="C3408" s="21" t="str">
        <x:v>artifact</x:v>
      </x:c>
      <x:c r="D3408" s="21" t="str">
        <x:v>artifact 1179 planning state</x:v>
      </x:c>
      <x:c r="E3408" s="21" t="n">
        <x:f>IF(AND('Artifact Ledger'!Q1185="OPEN",'Artifact Ledger'!R1185="HOLD"),1,0)</x:f>
        <x:v>1</x:v>
      </x:c>
      <x:c r="F3408" s="21" t="n">
        <x:v>1</x:v>
      </x:c>
      <x:c r="G3408" s="23" t="str">
        <x:f>IF(E3408=F3408,"PASS","FAIL")</x:f>
        <x:v>PASS</x:v>
      </x:c>
    </x:row>
    <x:row r="3409">
      <x:c r="B3409" s="21" t="str">
        <x:v>A03403</x:v>
      </x:c>
      <x:c r="C3409" s="21" t="str">
        <x:v>artifact</x:v>
      </x:c>
      <x:c r="D3409" s="21" t="str">
        <x:v>artifact 1180 eligibility equation</x:v>
      </x:c>
      <x:c r="E3409" s="21" t="n">
        <x:f>IF(ABS('Artifact Ledger'!P1186-IF(AND('Artifact Ledger'!L1186=1,'Artifact Ledger'!M1186=1,'Artifact Ledger'!N1186=1,'Artifact Ledger'!O1186&gt;='Artifact Ledger'!G1186),'Artifact Ledger'!K1186,0))&lt;0.000001,1,0)</x:f>
        <x:v>1</x:v>
      </x:c>
      <x:c r="F3409" s="21" t="n">
        <x:v>1</x:v>
      </x:c>
      <x:c r="G3409" s="23" t="str">
        <x:f>IF(E3409=F3409,"PASS","FAIL")</x:f>
        <x:v>PASS</x:v>
      </x:c>
    </x:row>
    <x:row r="3410">
      <x:c r="B3410" s="21" t="str">
        <x:v>A03404</x:v>
      </x:c>
      <x:c r="C3410" s="21" t="str">
        <x:v>artifact</x:v>
      </x:c>
      <x:c r="D3410" s="21" t="str">
        <x:v>artifact 1180 planning state</x:v>
      </x:c>
      <x:c r="E3410" s="21" t="n">
        <x:f>IF(AND('Artifact Ledger'!Q1186="OPEN",'Artifact Ledger'!R1186="HOLD"),1,0)</x:f>
        <x:v>1</x:v>
      </x:c>
      <x:c r="F3410" s="21" t="n">
        <x:v>1</x:v>
      </x:c>
      <x:c r="G3410" s="23" t="str">
        <x:f>IF(E3410=F3410,"PASS","FAIL")</x:f>
        <x:v>PASS</x:v>
      </x:c>
    </x:row>
    <x:row r="3411">
      <x:c r="B3411" s="21" t="str">
        <x:v>A03405</x:v>
      </x:c>
      <x:c r="C3411" s="21" t="str">
        <x:v>artifact</x:v>
      </x:c>
      <x:c r="D3411" s="21" t="str">
        <x:v>artifact 1181 eligibility equation</x:v>
      </x:c>
      <x:c r="E3411" s="21" t="n">
        <x:f>IF(ABS('Artifact Ledger'!P1187-IF(AND('Artifact Ledger'!L1187=1,'Artifact Ledger'!M1187=1,'Artifact Ledger'!N1187=1,'Artifact Ledger'!O1187&gt;='Artifact Ledger'!G1187),'Artifact Ledger'!K1187,0))&lt;0.000001,1,0)</x:f>
        <x:v>1</x:v>
      </x:c>
      <x:c r="F3411" s="21" t="n">
        <x:v>1</x:v>
      </x:c>
      <x:c r="G3411" s="23" t="str">
        <x:f>IF(E3411=F3411,"PASS","FAIL")</x:f>
        <x:v>PASS</x:v>
      </x:c>
    </x:row>
    <x:row r="3412">
      <x:c r="B3412" s="21" t="str">
        <x:v>A03406</x:v>
      </x:c>
      <x:c r="C3412" s="21" t="str">
        <x:v>artifact</x:v>
      </x:c>
      <x:c r="D3412" s="21" t="str">
        <x:v>artifact 1181 planning state</x:v>
      </x:c>
      <x:c r="E3412" s="21" t="n">
        <x:f>IF(AND('Artifact Ledger'!Q1187="OPEN",'Artifact Ledger'!R1187="HOLD"),1,0)</x:f>
        <x:v>1</x:v>
      </x:c>
      <x:c r="F3412" s="21" t="n">
        <x:v>1</x:v>
      </x:c>
      <x:c r="G3412" s="23" t="str">
        <x:f>IF(E3412=F3412,"PASS","FAIL")</x:f>
        <x:v>PASS</x:v>
      </x:c>
    </x:row>
    <x:row r="3413">
      <x:c r="B3413" s="21" t="str">
        <x:v>A03407</x:v>
      </x:c>
      <x:c r="C3413" s="21" t="str">
        <x:v>artifact</x:v>
      </x:c>
      <x:c r="D3413" s="21" t="str">
        <x:v>artifact 1182 eligibility equation</x:v>
      </x:c>
      <x:c r="E3413" s="21" t="n">
        <x:f>IF(ABS('Artifact Ledger'!P1188-IF(AND('Artifact Ledger'!L1188=1,'Artifact Ledger'!M1188=1,'Artifact Ledger'!N1188=1,'Artifact Ledger'!O1188&gt;='Artifact Ledger'!G1188),'Artifact Ledger'!K1188,0))&lt;0.000001,1,0)</x:f>
        <x:v>1</x:v>
      </x:c>
      <x:c r="F3413" s="21" t="n">
        <x:v>1</x:v>
      </x:c>
      <x:c r="G3413" s="23" t="str">
        <x:f>IF(E3413=F3413,"PASS","FAIL")</x:f>
        <x:v>PASS</x:v>
      </x:c>
    </x:row>
    <x:row r="3414">
      <x:c r="B3414" s="21" t="str">
        <x:v>A03408</x:v>
      </x:c>
      <x:c r="C3414" s="21" t="str">
        <x:v>artifact</x:v>
      </x:c>
      <x:c r="D3414" s="21" t="str">
        <x:v>artifact 1182 planning state</x:v>
      </x:c>
      <x:c r="E3414" s="21" t="n">
        <x:f>IF(AND('Artifact Ledger'!Q1188="OPEN",'Artifact Ledger'!R1188="HOLD"),1,0)</x:f>
        <x:v>1</x:v>
      </x:c>
      <x:c r="F3414" s="21" t="n">
        <x:v>1</x:v>
      </x:c>
      <x:c r="G3414" s="23" t="str">
        <x:f>IF(E3414=F3414,"PASS","FAIL")</x:f>
        <x:v>PASS</x:v>
      </x:c>
    </x:row>
    <x:row r="3415">
      <x:c r="B3415" s="21" t="str">
        <x:v>A03409</x:v>
      </x:c>
      <x:c r="C3415" s="21" t="str">
        <x:v>artifact</x:v>
      </x:c>
      <x:c r="D3415" s="21" t="str">
        <x:v>artifact 1183 eligibility equation</x:v>
      </x:c>
      <x:c r="E3415" s="21" t="n">
        <x:f>IF(ABS('Artifact Ledger'!P1189-IF(AND('Artifact Ledger'!L1189=1,'Artifact Ledger'!M1189=1,'Artifact Ledger'!N1189=1,'Artifact Ledger'!O1189&gt;='Artifact Ledger'!G1189),'Artifact Ledger'!K1189,0))&lt;0.000001,1,0)</x:f>
        <x:v>1</x:v>
      </x:c>
      <x:c r="F3415" s="21" t="n">
        <x:v>1</x:v>
      </x:c>
      <x:c r="G3415" s="23" t="str">
        <x:f>IF(E3415=F3415,"PASS","FAIL")</x:f>
        <x:v>PASS</x:v>
      </x:c>
    </x:row>
    <x:row r="3416">
      <x:c r="B3416" s="21" t="str">
        <x:v>A03410</x:v>
      </x:c>
      <x:c r="C3416" s="21" t="str">
        <x:v>artifact</x:v>
      </x:c>
      <x:c r="D3416" s="21" t="str">
        <x:v>artifact 1183 planning state</x:v>
      </x:c>
      <x:c r="E3416" s="21" t="n">
        <x:f>IF(AND('Artifact Ledger'!Q1189="OPEN",'Artifact Ledger'!R1189="HOLD"),1,0)</x:f>
        <x:v>1</x:v>
      </x:c>
      <x:c r="F3416" s="21" t="n">
        <x:v>1</x:v>
      </x:c>
      <x:c r="G3416" s="23" t="str">
        <x:f>IF(E3416=F3416,"PASS","FAIL")</x:f>
        <x:v>PASS</x:v>
      </x:c>
    </x:row>
    <x:row r="3417">
      <x:c r="B3417" s="21" t="str">
        <x:v>A03411</x:v>
      </x:c>
      <x:c r="C3417" s="21" t="str">
        <x:v>artifact</x:v>
      </x:c>
      <x:c r="D3417" s="21" t="str">
        <x:v>artifact 1184 eligibility equation</x:v>
      </x:c>
      <x:c r="E3417" s="21" t="n">
        <x:f>IF(ABS('Artifact Ledger'!P1190-IF(AND('Artifact Ledger'!L1190=1,'Artifact Ledger'!M1190=1,'Artifact Ledger'!N1190=1,'Artifact Ledger'!O1190&gt;='Artifact Ledger'!G1190),'Artifact Ledger'!K1190,0))&lt;0.000001,1,0)</x:f>
        <x:v>1</x:v>
      </x:c>
      <x:c r="F3417" s="21" t="n">
        <x:v>1</x:v>
      </x:c>
      <x:c r="G3417" s="23" t="str">
        <x:f>IF(E3417=F3417,"PASS","FAIL")</x:f>
        <x:v>PASS</x:v>
      </x:c>
    </x:row>
    <x:row r="3418">
      <x:c r="B3418" s="21" t="str">
        <x:v>A03412</x:v>
      </x:c>
      <x:c r="C3418" s="21" t="str">
        <x:v>artifact</x:v>
      </x:c>
      <x:c r="D3418" s="21" t="str">
        <x:v>artifact 1184 planning state</x:v>
      </x:c>
      <x:c r="E3418" s="21" t="n">
        <x:f>IF(AND('Artifact Ledger'!Q1190="OPEN",'Artifact Ledger'!R1190="HOLD"),1,0)</x:f>
        <x:v>1</x:v>
      </x:c>
      <x:c r="F3418" s="21" t="n">
        <x:v>1</x:v>
      </x:c>
      <x:c r="G3418" s="23" t="str">
        <x:f>IF(E3418=F3418,"PASS","FAIL")</x:f>
        <x:v>PASS</x:v>
      </x:c>
    </x:row>
    <x:row r="3419">
      <x:c r="B3419" s="21" t="str">
        <x:v>A03413</x:v>
      </x:c>
      <x:c r="C3419" s="21" t="str">
        <x:v>artifact</x:v>
      </x:c>
      <x:c r="D3419" s="21" t="str">
        <x:v>artifact 1185 eligibility equation</x:v>
      </x:c>
      <x:c r="E3419" s="21" t="n">
        <x:f>IF(ABS('Artifact Ledger'!P1191-IF(AND('Artifact Ledger'!L1191=1,'Artifact Ledger'!M1191=1,'Artifact Ledger'!N1191=1,'Artifact Ledger'!O1191&gt;='Artifact Ledger'!G1191),'Artifact Ledger'!K1191,0))&lt;0.000001,1,0)</x:f>
        <x:v>1</x:v>
      </x:c>
      <x:c r="F3419" s="21" t="n">
        <x:v>1</x:v>
      </x:c>
      <x:c r="G3419" s="23" t="str">
        <x:f>IF(E3419=F3419,"PASS","FAIL")</x:f>
        <x:v>PASS</x:v>
      </x:c>
    </x:row>
    <x:row r="3420">
      <x:c r="B3420" s="21" t="str">
        <x:v>A03414</x:v>
      </x:c>
      <x:c r="C3420" s="21" t="str">
        <x:v>artifact</x:v>
      </x:c>
      <x:c r="D3420" s="21" t="str">
        <x:v>artifact 1185 planning state</x:v>
      </x:c>
      <x:c r="E3420" s="21" t="n">
        <x:f>IF(AND('Artifact Ledger'!Q1191="OPEN",'Artifact Ledger'!R1191="HOLD"),1,0)</x:f>
        <x:v>1</x:v>
      </x:c>
      <x:c r="F3420" s="21" t="n">
        <x:v>1</x:v>
      </x:c>
      <x:c r="G3420" s="23" t="str">
        <x:f>IF(E3420=F3420,"PASS","FAIL")</x:f>
        <x:v>PASS</x:v>
      </x:c>
    </x:row>
    <x:row r="3421">
      <x:c r="B3421" s="21" t="str">
        <x:v>A03415</x:v>
      </x:c>
      <x:c r="C3421" s="21" t="str">
        <x:v>artifact</x:v>
      </x:c>
      <x:c r="D3421" s="21" t="str">
        <x:v>artifact 1186 eligibility equation</x:v>
      </x:c>
      <x:c r="E3421" s="21" t="n">
        <x:f>IF(ABS('Artifact Ledger'!P1192-IF(AND('Artifact Ledger'!L1192=1,'Artifact Ledger'!M1192=1,'Artifact Ledger'!N1192=1,'Artifact Ledger'!O1192&gt;='Artifact Ledger'!G1192),'Artifact Ledger'!K1192,0))&lt;0.000001,1,0)</x:f>
        <x:v>1</x:v>
      </x:c>
      <x:c r="F3421" s="21" t="n">
        <x:v>1</x:v>
      </x:c>
      <x:c r="G3421" s="23" t="str">
        <x:f>IF(E3421=F3421,"PASS","FAIL")</x:f>
        <x:v>PASS</x:v>
      </x:c>
    </x:row>
    <x:row r="3422">
      <x:c r="B3422" s="21" t="str">
        <x:v>A03416</x:v>
      </x:c>
      <x:c r="C3422" s="21" t="str">
        <x:v>artifact</x:v>
      </x:c>
      <x:c r="D3422" s="21" t="str">
        <x:v>artifact 1186 planning state</x:v>
      </x:c>
      <x:c r="E3422" s="21" t="n">
        <x:f>IF(AND('Artifact Ledger'!Q1192="OPEN",'Artifact Ledger'!R1192="HOLD"),1,0)</x:f>
        <x:v>1</x:v>
      </x:c>
      <x:c r="F3422" s="21" t="n">
        <x:v>1</x:v>
      </x:c>
      <x:c r="G3422" s="23" t="str">
        <x:f>IF(E3422=F3422,"PASS","FAIL")</x:f>
        <x:v>PASS</x:v>
      </x:c>
    </x:row>
    <x:row r="3423">
      <x:c r="B3423" s="21" t="str">
        <x:v>A03417</x:v>
      </x:c>
      <x:c r="C3423" s="21" t="str">
        <x:v>artifact</x:v>
      </x:c>
      <x:c r="D3423" s="21" t="str">
        <x:v>artifact 1187 eligibility equation</x:v>
      </x:c>
      <x:c r="E3423" s="21" t="n">
        <x:f>IF(ABS('Artifact Ledger'!P1193-IF(AND('Artifact Ledger'!L1193=1,'Artifact Ledger'!M1193=1,'Artifact Ledger'!N1193=1,'Artifact Ledger'!O1193&gt;='Artifact Ledger'!G1193),'Artifact Ledger'!K1193,0))&lt;0.000001,1,0)</x:f>
        <x:v>1</x:v>
      </x:c>
      <x:c r="F3423" s="21" t="n">
        <x:v>1</x:v>
      </x:c>
      <x:c r="G3423" s="23" t="str">
        <x:f>IF(E3423=F3423,"PASS","FAIL")</x:f>
        <x:v>PASS</x:v>
      </x:c>
    </x:row>
    <x:row r="3424">
      <x:c r="B3424" s="21" t="str">
        <x:v>A03418</x:v>
      </x:c>
      <x:c r="C3424" s="21" t="str">
        <x:v>artifact</x:v>
      </x:c>
      <x:c r="D3424" s="21" t="str">
        <x:v>artifact 1187 planning state</x:v>
      </x:c>
      <x:c r="E3424" s="21" t="n">
        <x:f>IF(AND('Artifact Ledger'!Q1193="OPEN",'Artifact Ledger'!R1193="HOLD"),1,0)</x:f>
        <x:v>1</x:v>
      </x:c>
      <x:c r="F3424" s="21" t="n">
        <x:v>1</x:v>
      </x:c>
      <x:c r="G3424" s="23" t="str">
        <x:f>IF(E3424=F3424,"PASS","FAIL")</x:f>
        <x:v>PASS</x:v>
      </x:c>
    </x:row>
    <x:row r="3425">
      <x:c r="B3425" s="21" t="str">
        <x:v>A03419</x:v>
      </x:c>
      <x:c r="C3425" s="21" t="str">
        <x:v>artifact</x:v>
      </x:c>
      <x:c r="D3425" s="21" t="str">
        <x:v>artifact 1188 eligibility equation</x:v>
      </x:c>
      <x:c r="E3425" s="21" t="n">
        <x:f>IF(ABS('Artifact Ledger'!P1194-IF(AND('Artifact Ledger'!L1194=1,'Artifact Ledger'!M1194=1,'Artifact Ledger'!N1194=1,'Artifact Ledger'!O1194&gt;='Artifact Ledger'!G1194),'Artifact Ledger'!K1194,0))&lt;0.000001,1,0)</x:f>
        <x:v>1</x:v>
      </x:c>
      <x:c r="F3425" s="21" t="n">
        <x:v>1</x:v>
      </x:c>
      <x:c r="G3425" s="23" t="str">
        <x:f>IF(E3425=F3425,"PASS","FAIL")</x:f>
        <x:v>PASS</x:v>
      </x:c>
    </x:row>
    <x:row r="3426">
      <x:c r="B3426" s="21" t="str">
        <x:v>A03420</x:v>
      </x:c>
      <x:c r="C3426" s="21" t="str">
        <x:v>artifact</x:v>
      </x:c>
      <x:c r="D3426" s="21" t="str">
        <x:v>artifact 1188 planning state</x:v>
      </x:c>
      <x:c r="E3426" s="21" t="n">
        <x:f>IF(AND('Artifact Ledger'!Q1194="OPEN",'Artifact Ledger'!R1194="HOLD"),1,0)</x:f>
        <x:v>1</x:v>
      </x:c>
      <x:c r="F3426" s="21" t="n">
        <x:v>1</x:v>
      </x:c>
      <x:c r="G3426" s="23" t="str">
        <x:f>IF(E3426=F3426,"PASS","FAIL")</x:f>
        <x:v>PASS</x:v>
      </x:c>
    </x:row>
    <x:row r="3427">
      <x:c r="B3427" s="21" t="str">
        <x:v>A03421</x:v>
      </x:c>
      <x:c r="C3427" s="21" t="str">
        <x:v>artifact</x:v>
      </x:c>
      <x:c r="D3427" s="21" t="str">
        <x:v>artifact 1189 eligibility equation</x:v>
      </x:c>
      <x:c r="E3427" s="21" t="n">
        <x:f>IF(ABS('Artifact Ledger'!P1195-IF(AND('Artifact Ledger'!L1195=1,'Artifact Ledger'!M1195=1,'Artifact Ledger'!N1195=1,'Artifact Ledger'!O1195&gt;='Artifact Ledger'!G1195),'Artifact Ledger'!K1195,0))&lt;0.000001,1,0)</x:f>
        <x:v>1</x:v>
      </x:c>
      <x:c r="F3427" s="21" t="n">
        <x:v>1</x:v>
      </x:c>
      <x:c r="G3427" s="23" t="str">
        <x:f>IF(E3427=F3427,"PASS","FAIL")</x:f>
        <x:v>PASS</x:v>
      </x:c>
    </x:row>
    <x:row r="3428">
      <x:c r="B3428" s="21" t="str">
        <x:v>A03422</x:v>
      </x:c>
      <x:c r="C3428" s="21" t="str">
        <x:v>artifact</x:v>
      </x:c>
      <x:c r="D3428" s="21" t="str">
        <x:v>artifact 1189 planning state</x:v>
      </x:c>
      <x:c r="E3428" s="21" t="n">
        <x:f>IF(AND('Artifact Ledger'!Q1195="OPEN",'Artifact Ledger'!R1195="HOLD"),1,0)</x:f>
        <x:v>1</x:v>
      </x:c>
      <x:c r="F3428" s="21" t="n">
        <x:v>1</x:v>
      </x:c>
      <x:c r="G3428" s="23" t="str">
        <x:f>IF(E3428=F3428,"PASS","FAIL")</x:f>
        <x:v>PASS</x:v>
      </x:c>
    </x:row>
    <x:row r="3429">
      <x:c r="B3429" s="21" t="str">
        <x:v>A03423</x:v>
      </x:c>
      <x:c r="C3429" s="21" t="str">
        <x:v>artifact</x:v>
      </x:c>
      <x:c r="D3429" s="21" t="str">
        <x:v>artifact 1190 eligibility equation</x:v>
      </x:c>
      <x:c r="E3429" s="21" t="n">
        <x:f>IF(ABS('Artifact Ledger'!P1196-IF(AND('Artifact Ledger'!L1196=1,'Artifact Ledger'!M1196=1,'Artifact Ledger'!N1196=1,'Artifact Ledger'!O1196&gt;='Artifact Ledger'!G1196),'Artifact Ledger'!K1196,0))&lt;0.000001,1,0)</x:f>
        <x:v>1</x:v>
      </x:c>
      <x:c r="F3429" s="21" t="n">
        <x:v>1</x:v>
      </x:c>
      <x:c r="G3429" s="23" t="str">
        <x:f>IF(E3429=F3429,"PASS","FAIL")</x:f>
        <x:v>PASS</x:v>
      </x:c>
    </x:row>
    <x:row r="3430">
      <x:c r="B3430" s="21" t="str">
        <x:v>A03424</x:v>
      </x:c>
      <x:c r="C3430" s="21" t="str">
        <x:v>artifact</x:v>
      </x:c>
      <x:c r="D3430" s="21" t="str">
        <x:v>artifact 1190 planning state</x:v>
      </x:c>
      <x:c r="E3430" s="21" t="n">
        <x:f>IF(AND('Artifact Ledger'!Q1196="OPEN",'Artifact Ledger'!R1196="HOLD"),1,0)</x:f>
        <x:v>1</x:v>
      </x:c>
      <x:c r="F3430" s="21" t="n">
        <x:v>1</x:v>
      </x:c>
      <x:c r="G3430" s="23" t="str">
        <x:f>IF(E3430=F3430,"PASS","FAIL")</x:f>
        <x:v>PASS</x:v>
      </x:c>
    </x:row>
    <x:row r="3431">
      <x:c r="B3431" s="21" t="str">
        <x:v>A03425</x:v>
      </x:c>
      <x:c r="C3431" s="21" t="str">
        <x:v>artifact</x:v>
      </x:c>
      <x:c r="D3431" s="21" t="str">
        <x:v>artifact 1191 eligibility equation</x:v>
      </x:c>
      <x:c r="E3431" s="21" t="n">
        <x:f>IF(ABS('Artifact Ledger'!P1197-IF(AND('Artifact Ledger'!L1197=1,'Artifact Ledger'!M1197=1,'Artifact Ledger'!N1197=1,'Artifact Ledger'!O1197&gt;='Artifact Ledger'!G1197),'Artifact Ledger'!K1197,0))&lt;0.000001,1,0)</x:f>
        <x:v>1</x:v>
      </x:c>
      <x:c r="F3431" s="21" t="n">
        <x:v>1</x:v>
      </x:c>
      <x:c r="G3431" s="23" t="str">
        <x:f>IF(E3431=F3431,"PASS","FAIL")</x:f>
        <x:v>PASS</x:v>
      </x:c>
    </x:row>
    <x:row r="3432">
      <x:c r="B3432" s="21" t="str">
        <x:v>A03426</x:v>
      </x:c>
      <x:c r="C3432" s="21" t="str">
        <x:v>artifact</x:v>
      </x:c>
      <x:c r="D3432" s="21" t="str">
        <x:v>artifact 1191 planning state</x:v>
      </x:c>
      <x:c r="E3432" s="21" t="n">
        <x:f>IF(AND('Artifact Ledger'!Q1197="OPEN",'Artifact Ledger'!R1197="HOLD"),1,0)</x:f>
        <x:v>1</x:v>
      </x:c>
      <x:c r="F3432" s="21" t="n">
        <x:v>1</x:v>
      </x:c>
      <x:c r="G3432" s="23" t="str">
        <x:f>IF(E3432=F3432,"PASS","FAIL")</x:f>
        <x:v>PASS</x:v>
      </x:c>
    </x:row>
    <x:row r="3433">
      <x:c r="B3433" s="21" t="str">
        <x:v>A03427</x:v>
      </x:c>
      <x:c r="C3433" s="21" t="str">
        <x:v>artifact</x:v>
      </x:c>
      <x:c r="D3433" s="21" t="str">
        <x:v>artifact 1192 eligibility equation</x:v>
      </x:c>
      <x:c r="E3433" s="21" t="n">
        <x:f>IF(ABS('Artifact Ledger'!P1198-IF(AND('Artifact Ledger'!L1198=1,'Artifact Ledger'!M1198=1,'Artifact Ledger'!N1198=1,'Artifact Ledger'!O1198&gt;='Artifact Ledger'!G1198),'Artifact Ledger'!K1198,0))&lt;0.000001,1,0)</x:f>
        <x:v>1</x:v>
      </x:c>
      <x:c r="F3433" s="21" t="n">
        <x:v>1</x:v>
      </x:c>
      <x:c r="G3433" s="23" t="str">
        <x:f>IF(E3433=F3433,"PASS","FAIL")</x:f>
        <x:v>PASS</x:v>
      </x:c>
    </x:row>
    <x:row r="3434">
      <x:c r="B3434" s="21" t="str">
        <x:v>A03428</x:v>
      </x:c>
      <x:c r="C3434" s="21" t="str">
        <x:v>artifact</x:v>
      </x:c>
      <x:c r="D3434" s="21" t="str">
        <x:v>artifact 1192 planning state</x:v>
      </x:c>
      <x:c r="E3434" s="21" t="n">
        <x:f>IF(AND('Artifact Ledger'!Q1198="OPEN",'Artifact Ledger'!R1198="HOLD"),1,0)</x:f>
        <x:v>1</x:v>
      </x:c>
      <x:c r="F3434" s="21" t="n">
        <x:v>1</x:v>
      </x:c>
      <x:c r="G3434" s="23" t="str">
        <x:f>IF(E3434=F3434,"PASS","FAIL")</x:f>
        <x:v>PASS</x:v>
      </x:c>
    </x:row>
    <x:row r="3435">
      <x:c r="B3435" s="21" t="str">
        <x:v>A03429</x:v>
      </x:c>
      <x:c r="C3435" s="21" t="str">
        <x:v>artifact</x:v>
      </x:c>
      <x:c r="D3435" s="21" t="str">
        <x:v>artifact 1193 eligibility equation</x:v>
      </x:c>
      <x:c r="E3435" s="21" t="n">
        <x:f>IF(ABS('Artifact Ledger'!P1199-IF(AND('Artifact Ledger'!L1199=1,'Artifact Ledger'!M1199=1,'Artifact Ledger'!N1199=1,'Artifact Ledger'!O1199&gt;='Artifact Ledger'!G1199),'Artifact Ledger'!K1199,0))&lt;0.000001,1,0)</x:f>
        <x:v>1</x:v>
      </x:c>
      <x:c r="F3435" s="21" t="n">
        <x:v>1</x:v>
      </x:c>
      <x:c r="G3435" s="23" t="str">
        <x:f>IF(E3435=F3435,"PASS","FAIL")</x:f>
        <x:v>PASS</x:v>
      </x:c>
    </x:row>
    <x:row r="3436">
      <x:c r="B3436" s="21" t="str">
        <x:v>A03430</x:v>
      </x:c>
      <x:c r="C3436" s="21" t="str">
        <x:v>artifact</x:v>
      </x:c>
      <x:c r="D3436" s="21" t="str">
        <x:v>artifact 1193 planning state</x:v>
      </x:c>
      <x:c r="E3436" s="21" t="n">
        <x:f>IF(AND('Artifact Ledger'!Q1199="OPEN",'Artifact Ledger'!R1199="HOLD"),1,0)</x:f>
        <x:v>1</x:v>
      </x:c>
      <x:c r="F3436" s="21" t="n">
        <x:v>1</x:v>
      </x:c>
      <x:c r="G3436" s="23" t="str">
        <x:f>IF(E3436=F3436,"PASS","FAIL")</x:f>
        <x:v>PASS</x:v>
      </x:c>
    </x:row>
    <x:row r="3437">
      <x:c r="B3437" s="21" t="str">
        <x:v>A03431</x:v>
      </x:c>
      <x:c r="C3437" s="21" t="str">
        <x:v>artifact</x:v>
      </x:c>
      <x:c r="D3437" s="21" t="str">
        <x:v>artifact 1194 eligibility equation</x:v>
      </x:c>
      <x:c r="E3437" s="21" t="n">
        <x:f>IF(ABS('Artifact Ledger'!P1200-IF(AND('Artifact Ledger'!L1200=1,'Artifact Ledger'!M1200=1,'Artifact Ledger'!N1200=1,'Artifact Ledger'!O1200&gt;='Artifact Ledger'!G1200),'Artifact Ledger'!K1200,0))&lt;0.000001,1,0)</x:f>
        <x:v>1</x:v>
      </x:c>
      <x:c r="F3437" s="21" t="n">
        <x:v>1</x:v>
      </x:c>
      <x:c r="G3437" s="23" t="str">
        <x:f>IF(E3437=F3437,"PASS","FAIL")</x:f>
        <x:v>PASS</x:v>
      </x:c>
    </x:row>
    <x:row r="3438">
      <x:c r="B3438" s="21" t="str">
        <x:v>A03432</x:v>
      </x:c>
      <x:c r="C3438" s="21" t="str">
        <x:v>artifact</x:v>
      </x:c>
      <x:c r="D3438" s="21" t="str">
        <x:v>artifact 1194 planning state</x:v>
      </x:c>
      <x:c r="E3438" s="21" t="n">
        <x:f>IF(AND('Artifact Ledger'!Q1200="OPEN",'Artifact Ledger'!R1200="HOLD"),1,0)</x:f>
        <x:v>1</x:v>
      </x:c>
      <x:c r="F3438" s="21" t="n">
        <x:v>1</x:v>
      </x:c>
      <x:c r="G3438" s="23" t="str">
        <x:f>IF(E3438=F3438,"PASS","FAIL")</x:f>
        <x:v>PASS</x:v>
      </x:c>
    </x:row>
    <x:row r="3439">
      <x:c r="B3439" s="21" t="str">
        <x:v>A03433</x:v>
      </x:c>
      <x:c r="C3439" s="21" t="str">
        <x:v>artifact</x:v>
      </x:c>
      <x:c r="D3439" s="21" t="str">
        <x:v>artifact 1195 eligibility equation</x:v>
      </x:c>
      <x:c r="E3439" s="21" t="n">
        <x:f>IF(ABS('Artifact Ledger'!P1201-IF(AND('Artifact Ledger'!L1201=1,'Artifact Ledger'!M1201=1,'Artifact Ledger'!N1201=1,'Artifact Ledger'!O1201&gt;='Artifact Ledger'!G1201),'Artifact Ledger'!K1201,0))&lt;0.000001,1,0)</x:f>
        <x:v>1</x:v>
      </x:c>
      <x:c r="F3439" s="21" t="n">
        <x:v>1</x:v>
      </x:c>
      <x:c r="G3439" s="23" t="str">
        <x:f>IF(E3439=F3439,"PASS","FAIL")</x:f>
        <x:v>PASS</x:v>
      </x:c>
    </x:row>
    <x:row r="3440">
      <x:c r="B3440" s="21" t="str">
        <x:v>A03434</x:v>
      </x:c>
      <x:c r="C3440" s="21" t="str">
        <x:v>artifact</x:v>
      </x:c>
      <x:c r="D3440" s="21" t="str">
        <x:v>artifact 1195 planning state</x:v>
      </x:c>
      <x:c r="E3440" s="21" t="n">
        <x:f>IF(AND('Artifact Ledger'!Q1201="OPEN",'Artifact Ledger'!R1201="HOLD"),1,0)</x:f>
        <x:v>1</x:v>
      </x:c>
      <x:c r="F3440" s="21" t="n">
        <x:v>1</x:v>
      </x:c>
      <x:c r="G3440" s="23" t="str">
        <x:f>IF(E3440=F3440,"PASS","FAIL")</x:f>
        <x:v>PASS</x:v>
      </x:c>
    </x:row>
    <x:row r="3441">
      <x:c r="B3441" s="21" t="str">
        <x:v>A03435</x:v>
      </x:c>
      <x:c r="C3441" s="21" t="str">
        <x:v>artifact</x:v>
      </x:c>
      <x:c r="D3441" s="21" t="str">
        <x:v>artifact 1196 eligibility equation</x:v>
      </x:c>
      <x:c r="E3441" s="21" t="n">
        <x:f>IF(ABS('Artifact Ledger'!P1202-IF(AND('Artifact Ledger'!L1202=1,'Artifact Ledger'!M1202=1,'Artifact Ledger'!N1202=1,'Artifact Ledger'!O1202&gt;='Artifact Ledger'!G1202),'Artifact Ledger'!K1202,0))&lt;0.000001,1,0)</x:f>
        <x:v>1</x:v>
      </x:c>
      <x:c r="F3441" s="21" t="n">
        <x:v>1</x:v>
      </x:c>
      <x:c r="G3441" s="23" t="str">
        <x:f>IF(E3441=F3441,"PASS","FAIL")</x:f>
        <x:v>PASS</x:v>
      </x:c>
    </x:row>
    <x:row r="3442">
      <x:c r="B3442" s="21" t="str">
        <x:v>A03436</x:v>
      </x:c>
      <x:c r="C3442" s="21" t="str">
        <x:v>artifact</x:v>
      </x:c>
      <x:c r="D3442" s="21" t="str">
        <x:v>artifact 1196 planning state</x:v>
      </x:c>
      <x:c r="E3442" s="21" t="n">
        <x:f>IF(AND('Artifact Ledger'!Q1202="OPEN",'Artifact Ledger'!R1202="HOLD"),1,0)</x:f>
        <x:v>1</x:v>
      </x:c>
      <x:c r="F3442" s="21" t="n">
        <x:v>1</x:v>
      </x:c>
      <x:c r="G3442" s="23" t="str">
        <x:f>IF(E3442=F3442,"PASS","FAIL")</x:f>
        <x:v>PASS</x:v>
      </x:c>
    </x:row>
    <x:row r="3443">
      <x:c r="B3443" s="21" t="str">
        <x:v>A03437</x:v>
      </x:c>
      <x:c r="C3443" s="21" t="str">
        <x:v>artifact</x:v>
      </x:c>
      <x:c r="D3443" s="21" t="str">
        <x:v>artifact 1197 eligibility equation</x:v>
      </x:c>
      <x:c r="E3443" s="21" t="n">
        <x:f>IF(ABS('Artifact Ledger'!P1203-IF(AND('Artifact Ledger'!L1203=1,'Artifact Ledger'!M1203=1,'Artifact Ledger'!N1203=1,'Artifact Ledger'!O1203&gt;='Artifact Ledger'!G1203),'Artifact Ledger'!K1203,0))&lt;0.000001,1,0)</x:f>
        <x:v>1</x:v>
      </x:c>
      <x:c r="F3443" s="21" t="n">
        <x:v>1</x:v>
      </x:c>
      <x:c r="G3443" s="23" t="str">
        <x:f>IF(E3443=F3443,"PASS","FAIL")</x:f>
        <x:v>PASS</x:v>
      </x:c>
    </x:row>
    <x:row r="3444">
      <x:c r="B3444" s="21" t="str">
        <x:v>A03438</x:v>
      </x:c>
      <x:c r="C3444" s="21" t="str">
        <x:v>artifact</x:v>
      </x:c>
      <x:c r="D3444" s="21" t="str">
        <x:v>artifact 1197 planning state</x:v>
      </x:c>
      <x:c r="E3444" s="21" t="n">
        <x:f>IF(AND('Artifact Ledger'!Q1203="OPEN",'Artifact Ledger'!R1203="HOLD"),1,0)</x:f>
        <x:v>1</x:v>
      </x:c>
      <x:c r="F3444" s="21" t="n">
        <x:v>1</x:v>
      </x:c>
      <x:c r="G3444" s="23" t="str">
        <x:f>IF(E3444=F3444,"PASS","FAIL")</x:f>
        <x:v>PASS</x:v>
      </x:c>
    </x:row>
    <x:row r="3445">
      <x:c r="B3445" s="21" t="str">
        <x:v>A03439</x:v>
      </x:c>
      <x:c r="C3445" s="21" t="str">
        <x:v>artifact</x:v>
      </x:c>
      <x:c r="D3445" s="21" t="str">
        <x:v>artifact 1198 eligibility equation</x:v>
      </x:c>
      <x:c r="E3445" s="21" t="n">
        <x:f>IF(ABS('Artifact Ledger'!P1204-IF(AND('Artifact Ledger'!L1204=1,'Artifact Ledger'!M1204=1,'Artifact Ledger'!N1204=1,'Artifact Ledger'!O1204&gt;='Artifact Ledger'!G1204),'Artifact Ledger'!K1204,0))&lt;0.000001,1,0)</x:f>
        <x:v>1</x:v>
      </x:c>
      <x:c r="F3445" s="21" t="n">
        <x:v>1</x:v>
      </x:c>
      <x:c r="G3445" s="23" t="str">
        <x:f>IF(E3445=F3445,"PASS","FAIL")</x:f>
        <x:v>PASS</x:v>
      </x:c>
    </x:row>
    <x:row r="3446">
      <x:c r="B3446" s="21" t="str">
        <x:v>A03440</x:v>
      </x:c>
      <x:c r="C3446" s="21" t="str">
        <x:v>artifact</x:v>
      </x:c>
      <x:c r="D3446" s="21" t="str">
        <x:v>artifact 1198 planning state</x:v>
      </x:c>
      <x:c r="E3446" s="21" t="n">
        <x:f>IF(AND('Artifact Ledger'!Q1204="OPEN",'Artifact Ledger'!R1204="HOLD"),1,0)</x:f>
        <x:v>1</x:v>
      </x:c>
      <x:c r="F3446" s="21" t="n">
        <x:v>1</x:v>
      </x:c>
      <x:c r="G3446" s="23" t="str">
        <x:f>IF(E3446=F3446,"PASS","FAIL")</x:f>
        <x:v>PASS</x:v>
      </x:c>
    </x:row>
    <x:row r="3447">
      <x:c r="B3447" s="21" t="str">
        <x:v>A03441</x:v>
      </x:c>
      <x:c r="C3447" s="21" t="str">
        <x:v>artifact</x:v>
      </x:c>
      <x:c r="D3447" s="21" t="str">
        <x:v>artifact 1199 eligibility equation</x:v>
      </x:c>
      <x:c r="E3447" s="21" t="n">
        <x:f>IF(ABS('Artifact Ledger'!P1205-IF(AND('Artifact Ledger'!L1205=1,'Artifact Ledger'!M1205=1,'Artifact Ledger'!N1205=1,'Artifact Ledger'!O1205&gt;='Artifact Ledger'!G1205),'Artifact Ledger'!K1205,0))&lt;0.000001,1,0)</x:f>
        <x:v>1</x:v>
      </x:c>
      <x:c r="F3447" s="21" t="n">
        <x:v>1</x:v>
      </x:c>
      <x:c r="G3447" s="23" t="str">
        <x:f>IF(E3447=F3447,"PASS","FAIL")</x:f>
        <x:v>PASS</x:v>
      </x:c>
    </x:row>
    <x:row r="3448">
      <x:c r="B3448" s="21" t="str">
        <x:v>A03442</x:v>
      </x:c>
      <x:c r="C3448" s="21" t="str">
        <x:v>artifact</x:v>
      </x:c>
      <x:c r="D3448" s="21" t="str">
        <x:v>artifact 1199 planning state</x:v>
      </x:c>
      <x:c r="E3448" s="21" t="n">
        <x:f>IF(AND('Artifact Ledger'!Q1205="OPEN",'Artifact Ledger'!R1205="HOLD"),1,0)</x:f>
        <x:v>1</x:v>
      </x:c>
      <x:c r="F3448" s="21" t="n">
        <x:v>1</x:v>
      </x:c>
      <x:c r="G3448" s="23" t="str">
        <x:f>IF(E3448=F3448,"PASS","FAIL")</x:f>
        <x:v>PASS</x:v>
      </x:c>
    </x:row>
    <x:row r="3449">
      <x:c r="B3449" s="21" t="str">
        <x:v>A03443</x:v>
      </x:c>
      <x:c r="C3449" s="21" t="str">
        <x:v>artifact</x:v>
      </x:c>
      <x:c r="D3449" s="21" t="str">
        <x:v>artifact 1200 eligibility equation</x:v>
      </x:c>
      <x:c r="E3449" s="21" t="n">
        <x:f>IF(ABS('Artifact Ledger'!P1206-IF(AND('Artifact Ledger'!L1206=1,'Artifact Ledger'!M1206=1,'Artifact Ledger'!N1206=1,'Artifact Ledger'!O1206&gt;='Artifact Ledger'!G1206),'Artifact Ledger'!K1206,0))&lt;0.000001,1,0)</x:f>
        <x:v>1</x:v>
      </x:c>
      <x:c r="F3449" s="21" t="n">
        <x:v>1</x:v>
      </x:c>
      <x:c r="G3449" s="23" t="str">
        <x:f>IF(E3449=F3449,"PASS","FAIL")</x:f>
        <x:v>PASS</x:v>
      </x:c>
    </x:row>
    <x:row r="3450">
      <x:c r="B3450" s="21" t="str">
        <x:v>A03444</x:v>
      </x:c>
      <x:c r="C3450" s="21" t="str">
        <x:v>artifact</x:v>
      </x:c>
      <x:c r="D3450" s="21" t="str">
        <x:v>artifact 1200 planning state</x:v>
      </x:c>
      <x:c r="E3450" s="21" t="n">
        <x:f>IF(AND('Artifact Ledger'!Q1206="OPEN",'Artifact Ledger'!R1206="HOLD"),1,0)</x:f>
        <x:v>1</x:v>
      </x:c>
      <x:c r="F3450" s="21" t="n">
        <x:v>1</x:v>
      </x:c>
      <x:c r="G3450" s="23" t="str">
        <x:f>IF(E3450=F3450,"PASS","FAIL")</x:f>
        <x:v>PASS</x:v>
      </x:c>
    </x:row>
    <x:row r="3451">
      <x:c r="B3451" s="21" t="str">
        <x:v>A03445</x:v>
      </x:c>
      <x:c r="C3451" s="21" t="str">
        <x:v>artifact</x:v>
      </x:c>
      <x:c r="D3451" s="21" t="str">
        <x:v>artifact 1201 eligibility equation</x:v>
      </x:c>
      <x:c r="E3451" s="21" t="n">
        <x:f>IF(ABS('Artifact Ledger'!P1207-IF(AND('Artifact Ledger'!L1207=1,'Artifact Ledger'!M1207=1,'Artifact Ledger'!N1207=1,'Artifact Ledger'!O1207&gt;='Artifact Ledger'!G1207),'Artifact Ledger'!K1207,0))&lt;0.000001,1,0)</x:f>
        <x:v>1</x:v>
      </x:c>
      <x:c r="F3451" s="21" t="n">
        <x:v>1</x:v>
      </x:c>
      <x:c r="G3451" s="23" t="str">
        <x:f>IF(E3451=F3451,"PASS","FAIL")</x:f>
        <x:v>PASS</x:v>
      </x:c>
    </x:row>
    <x:row r="3452">
      <x:c r="B3452" s="21" t="str">
        <x:v>A03446</x:v>
      </x:c>
      <x:c r="C3452" s="21" t="str">
        <x:v>artifact</x:v>
      </x:c>
      <x:c r="D3452" s="21" t="str">
        <x:v>artifact 1201 planning state</x:v>
      </x:c>
      <x:c r="E3452" s="21" t="n">
        <x:f>IF(AND('Artifact Ledger'!Q1207="OPEN",'Artifact Ledger'!R1207="HOLD"),1,0)</x:f>
        <x:v>1</x:v>
      </x:c>
      <x:c r="F3452" s="21" t="n">
        <x:v>1</x:v>
      </x:c>
      <x:c r="G3452" s="23" t="str">
        <x:f>IF(E3452=F3452,"PASS","FAIL")</x:f>
        <x:v>PASS</x:v>
      </x:c>
    </x:row>
    <x:row r="3453">
      <x:c r="B3453" s="21" t="str">
        <x:v>A03447</x:v>
      </x:c>
      <x:c r="C3453" s="21" t="str">
        <x:v>artifact</x:v>
      </x:c>
      <x:c r="D3453" s="21" t="str">
        <x:v>artifact 1202 eligibility equation</x:v>
      </x:c>
      <x:c r="E3453" s="21" t="n">
        <x:f>IF(ABS('Artifact Ledger'!P1208-IF(AND('Artifact Ledger'!L1208=1,'Artifact Ledger'!M1208=1,'Artifact Ledger'!N1208=1,'Artifact Ledger'!O1208&gt;='Artifact Ledger'!G1208),'Artifact Ledger'!K1208,0))&lt;0.000001,1,0)</x:f>
        <x:v>1</x:v>
      </x:c>
      <x:c r="F3453" s="21" t="n">
        <x:v>1</x:v>
      </x:c>
      <x:c r="G3453" s="23" t="str">
        <x:f>IF(E3453=F3453,"PASS","FAIL")</x:f>
        <x:v>PASS</x:v>
      </x:c>
    </x:row>
    <x:row r="3454">
      <x:c r="B3454" s="21" t="str">
        <x:v>A03448</x:v>
      </x:c>
      <x:c r="C3454" s="21" t="str">
        <x:v>artifact</x:v>
      </x:c>
      <x:c r="D3454" s="21" t="str">
        <x:v>artifact 1202 planning state</x:v>
      </x:c>
      <x:c r="E3454" s="21" t="n">
        <x:f>IF(AND('Artifact Ledger'!Q1208="OPEN",'Artifact Ledger'!R1208="HOLD"),1,0)</x:f>
        <x:v>1</x:v>
      </x:c>
      <x:c r="F3454" s="21" t="n">
        <x:v>1</x:v>
      </x:c>
      <x:c r="G3454" s="23" t="str">
        <x:f>IF(E3454=F3454,"PASS","FAIL")</x:f>
        <x:v>PASS</x:v>
      </x:c>
    </x:row>
    <x:row r="3455">
      <x:c r="B3455" s="21" t="str">
        <x:v>A03449</x:v>
      </x:c>
      <x:c r="C3455" s="21" t="str">
        <x:v>artifact</x:v>
      </x:c>
      <x:c r="D3455" s="21" t="str">
        <x:v>artifact 1203 eligibility equation</x:v>
      </x:c>
      <x:c r="E3455" s="21" t="n">
        <x:f>IF(ABS('Artifact Ledger'!P1209-IF(AND('Artifact Ledger'!L1209=1,'Artifact Ledger'!M1209=1,'Artifact Ledger'!N1209=1,'Artifact Ledger'!O1209&gt;='Artifact Ledger'!G1209),'Artifact Ledger'!K1209,0))&lt;0.000001,1,0)</x:f>
        <x:v>1</x:v>
      </x:c>
      <x:c r="F3455" s="21" t="n">
        <x:v>1</x:v>
      </x:c>
      <x:c r="G3455" s="23" t="str">
        <x:f>IF(E3455=F3455,"PASS","FAIL")</x:f>
        <x:v>PASS</x:v>
      </x:c>
    </x:row>
    <x:row r="3456">
      <x:c r="B3456" s="21" t="str">
        <x:v>A03450</x:v>
      </x:c>
      <x:c r="C3456" s="21" t="str">
        <x:v>artifact</x:v>
      </x:c>
      <x:c r="D3456" s="21" t="str">
        <x:v>artifact 1203 planning state</x:v>
      </x:c>
      <x:c r="E3456" s="21" t="n">
        <x:f>IF(AND('Artifact Ledger'!Q1209="OPEN",'Artifact Ledger'!R1209="HOLD"),1,0)</x:f>
        <x:v>1</x:v>
      </x:c>
      <x:c r="F3456" s="21" t="n">
        <x:v>1</x:v>
      </x:c>
      <x:c r="G3456" s="23" t="str">
        <x:f>IF(E3456=F3456,"PASS","FAIL")</x:f>
        <x:v>PASS</x:v>
      </x:c>
    </x:row>
    <x:row r="3457">
      <x:c r="B3457" s="21" t="str">
        <x:v>A03451</x:v>
      </x:c>
      <x:c r="C3457" s="21" t="str">
        <x:v>artifact</x:v>
      </x:c>
      <x:c r="D3457" s="21" t="str">
        <x:v>artifact 1204 eligibility equation</x:v>
      </x:c>
      <x:c r="E3457" s="21" t="n">
        <x:f>IF(ABS('Artifact Ledger'!P1210-IF(AND('Artifact Ledger'!L1210=1,'Artifact Ledger'!M1210=1,'Artifact Ledger'!N1210=1,'Artifact Ledger'!O1210&gt;='Artifact Ledger'!G1210),'Artifact Ledger'!K1210,0))&lt;0.000001,1,0)</x:f>
        <x:v>1</x:v>
      </x:c>
      <x:c r="F3457" s="21" t="n">
        <x:v>1</x:v>
      </x:c>
      <x:c r="G3457" s="23" t="str">
        <x:f>IF(E3457=F3457,"PASS","FAIL")</x:f>
        <x:v>PASS</x:v>
      </x:c>
    </x:row>
    <x:row r="3458">
      <x:c r="B3458" s="21" t="str">
        <x:v>A03452</x:v>
      </x:c>
      <x:c r="C3458" s="21" t="str">
        <x:v>artifact</x:v>
      </x:c>
      <x:c r="D3458" s="21" t="str">
        <x:v>artifact 1204 planning state</x:v>
      </x:c>
      <x:c r="E3458" s="21" t="n">
        <x:f>IF(AND('Artifact Ledger'!Q1210="OPEN",'Artifact Ledger'!R1210="HOLD"),1,0)</x:f>
        <x:v>1</x:v>
      </x:c>
      <x:c r="F3458" s="21" t="n">
        <x:v>1</x:v>
      </x:c>
      <x:c r="G3458" s="23" t="str">
        <x:f>IF(E3458=F3458,"PASS","FAIL")</x:f>
        <x:v>PASS</x:v>
      </x:c>
    </x:row>
    <x:row r="3459">
      <x:c r="B3459" s="21" t="str">
        <x:v>A03453</x:v>
      </x:c>
      <x:c r="C3459" s="21" t="str">
        <x:v>artifact</x:v>
      </x:c>
      <x:c r="D3459" s="21" t="str">
        <x:v>artifact 1205 eligibility equation</x:v>
      </x:c>
      <x:c r="E3459" s="21" t="n">
        <x:f>IF(ABS('Artifact Ledger'!P1211-IF(AND('Artifact Ledger'!L1211=1,'Artifact Ledger'!M1211=1,'Artifact Ledger'!N1211=1,'Artifact Ledger'!O1211&gt;='Artifact Ledger'!G1211),'Artifact Ledger'!K1211,0))&lt;0.000001,1,0)</x:f>
        <x:v>1</x:v>
      </x:c>
      <x:c r="F3459" s="21" t="n">
        <x:v>1</x:v>
      </x:c>
      <x:c r="G3459" s="23" t="str">
        <x:f>IF(E3459=F3459,"PASS","FAIL")</x:f>
        <x:v>PASS</x:v>
      </x:c>
    </x:row>
    <x:row r="3460">
      <x:c r="B3460" s="21" t="str">
        <x:v>A03454</x:v>
      </x:c>
      <x:c r="C3460" s="21" t="str">
        <x:v>artifact</x:v>
      </x:c>
      <x:c r="D3460" s="21" t="str">
        <x:v>artifact 1205 planning state</x:v>
      </x:c>
      <x:c r="E3460" s="21" t="n">
        <x:f>IF(AND('Artifact Ledger'!Q1211="OPEN",'Artifact Ledger'!R1211="HOLD"),1,0)</x:f>
        <x:v>1</x:v>
      </x:c>
      <x:c r="F3460" s="21" t="n">
        <x:v>1</x:v>
      </x:c>
      <x:c r="G3460" s="23" t="str">
        <x:f>IF(E3460=F3460,"PASS","FAIL")</x:f>
        <x:v>PASS</x:v>
      </x:c>
    </x:row>
    <x:row r="3461">
      <x:c r="B3461" s="21" t="str">
        <x:v>A03455</x:v>
      </x:c>
      <x:c r="C3461" s="21" t="str">
        <x:v>artifact</x:v>
      </x:c>
      <x:c r="D3461" s="21" t="str">
        <x:v>artifact 1206 eligibility equation</x:v>
      </x:c>
      <x:c r="E3461" s="21" t="n">
        <x:f>IF(ABS('Artifact Ledger'!P1212-IF(AND('Artifact Ledger'!L1212=1,'Artifact Ledger'!M1212=1,'Artifact Ledger'!N1212=1,'Artifact Ledger'!O1212&gt;='Artifact Ledger'!G1212),'Artifact Ledger'!K1212,0))&lt;0.000001,1,0)</x:f>
        <x:v>1</x:v>
      </x:c>
      <x:c r="F3461" s="21" t="n">
        <x:v>1</x:v>
      </x:c>
      <x:c r="G3461" s="23" t="str">
        <x:f>IF(E3461=F3461,"PASS","FAIL")</x:f>
        <x:v>PASS</x:v>
      </x:c>
    </x:row>
    <x:row r="3462">
      <x:c r="B3462" s="21" t="str">
        <x:v>A03456</x:v>
      </x:c>
      <x:c r="C3462" s="21" t="str">
        <x:v>artifact</x:v>
      </x:c>
      <x:c r="D3462" s="21" t="str">
        <x:v>artifact 1206 planning state</x:v>
      </x:c>
      <x:c r="E3462" s="21" t="n">
        <x:f>IF(AND('Artifact Ledger'!Q1212="OPEN",'Artifact Ledger'!R1212="HOLD"),1,0)</x:f>
        <x:v>1</x:v>
      </x:c>
      <x:c r="F3462" s="21" t="n">
        <x:v>1</x:v>
      </x:c>
      <x:c r="G3462" s="23" t="str">
        <x:f>IF(E3462=F3462,"PASS","FAIL")</x:f>
        <x:v>PASS</x:v>
      </x:c>
    </x:row>
    <x:row r="3463">
      <x:c r="B3463" s="21" t="str">
        <x:v>A03457</x:v>
      </x:c>
      <x:c r="C3463" s="21" t="str">
        <x:v>artifact</x:v>
      </x:c>
      <x:c r="D3463" s="21" t="str">
        <x:v>artifact 1207 eligibility equation</x:v>
      </x:c>
      <x:c r="E3463" s="21" t="n">
        <x:f>IF(ABS('Artifact Ledger'!P1213-IF(AND('Artifact Ledger'!L1213=1,'Artifact Ledger'!M1213=1,'Artifact Ledger'!N1213=1,'Artifact Ledger'!O1213&gt;='Artifact Ledger'!G1213),'Artifact Ledger'!K1213,0))&lt;0.000001,1,0)</x:f>
        <x:v>1</x:v>
      </x:c>
      <x:c r="F3463" s="21" t="n">
        <x:v>1</x:v>
      </x:c>
      <x:c r="G3463" s="23" t="str">
        <x:f>IF(E3463=F3463,"PASS","FAIL")</x:f>
        <x:v>PASS</x:v>
      </x:c>
    </x:row>
    <x:row r="3464">
      <x:c r="B3464" s="21" t="str">
        <x:v>A03458</x:v>
      </x:c>
      <x:c r="C3464" s="21" t="str">
        <x:v>artifact</x:v>
      </x:c>
      <x:c r="D3464" s="21" t="str">
        <x:v>artifact 1207 planning state</x:v>
      </x:c>
      <x:c r="E3464" s="21" t="n">
        <x:f>IF(AND('Artifact Ledger'!Q1213="OPEN",'Artifact Ledger'!R1213="HOLD"),1,0)</x:f>
        <x:v>1</x:v>
      </x:c>
      <x:c r="F3464" s="21" t="n">
        <x:v>1</x:v>
      </x:c>
      <x:c r="G3464" s="23" t="str">
        <x:f>IF(E3464=F3464,"PASS","FAIL")</x:f>
        <x:v>PASS</x:v>
      </x:c>
    </x:row>
    <x:row r="3465">
      <x:c r="B3465" s="21" t="str">
        <x:v>A03459</x:v>
      </x:c>
      <x:c r="C3465" s="21" t="str">
        <x:v>artifact</x:v>
      </x:c>
      <x:c r="D3465" s="21" t="str">
        <x:v>artifact 1208 eligibility equation</x:v>
      </x:c>
      <x:c r="E3465" s="21" t="n">
        <x:f>IF(ABS('Artifact Ledger'!P1214-IF(AND('Artifact Ledger'!L1214=1,'Artifact Ledger'!M1214=1,'Artifact Ledger'!N1214=1,'Artifact Ledger'!O1214&gt;='Artifact Ledger'!G1214),'Artifact Ledger'!K1214,0))&lt;0.000001,1,0)</x:f>
        <x:v>1</x:v>
      </x:c>
      <x:c r="F3465" s="21" t="n">
        <x:v>1</x:v>
      </x:c>
      <x:c r="G3465" s="23" t="str">
        <x:f>IF(E3465=F3465,"PASS","FAIL")</x:f>
        <x:v>PASS</x:v>
      </x:c>
    </x:row>
    <x:row r="3466">
      <x:c r="B3466" s="21" t="str">
        <x:v>A03460</x:v>
      </x:c>
      <x:c r="C3466" s="21" t="str">
        <x:v>artifact</x:v>
      </x:c>
      <x:c r="D3466" s="21" t="str">
        <x:v>artifact 1208 planning state</x:v>
      </x:c>
      <x:c r="E3466" s="21" t="n">
        <x:f>IF(AND('Artifact Ledger'!Q1214="OPEN",'Artifact Ledger'!R1214="HOLD"),1,0)</x:f>
        <x:v>1</x:v>
      </x:c>
      <x:c r="F3466" s="21" t="n">
        <x:v>1</x:v>
      </x:c>
      <x:c r="G3466" s="23" t="str">
        <x:f>IF(E3466=F3466,"PASS","FAIL")</x:f>
        <x:v>PASS</x:v>
      </x:c>
    </x:row>
    <x:row r="3467">
      <x:c r="B3467" s="21" t="str">
        <x:v>A03461</x:v>
      </x:c>
      <x:c r="C3467" s="21" t="str">
        <x:v>artifact</x:v>
      </x:c>
      <x:c r="D3467" s="21" t="str">
        <x:v>artifact 1209 eligibility equation</x:v>
      </x:c>
      <x:c r="E3467" s="21" t="n">
        <x:f>IF(ABS('Artifact Ledger'!P1215-IF(AND('Artifact Ledger'!L1215=1,'Artifact Ledger'!M1215=1,'Artifact Ledger'!N1215=1,'Artifact Ledger'!O1215&gt;='Artifact Ledger'!G1215),'Artifact Ledger'!K1215,0))&lt;0.000001,1,0)</x:f>
        <x:v>1</x:v>
      </x:c>
      <x:c r="F3467" s="21" t="n">
        <x:v>1</x:v>
      </x:c>
      <x:c r="G3467" s="23" t="str">
        <x:f>IF(E3467=F3467,"PASS","FAIL")</x:f>
        <x:v>PASS</x:v>
      </x:c>
    </x:row>
    <x:row r="3468">
      <x:c r="B3468" s="21" t="str">
        <x:v>A03462</x:v>
      </x:c>
      <x:c r="C3468" s="21" t="str">
        <x:v>artifact</x:v>
      </x:c>
      <x:c r="D3468" s="21" t="str">
        <x:v>artifact 1209 planning state</x:v>
      </x:c>
      <x:c r="E3468" s="21" t="n">
        <x:f>IF(AND('Artifact Ledger'!Q1215="OPEN",'Artifact Ledger'!R1215="HOLD"),1,0)</x:f>
        <x:v>1</x:v>
      </x:c>
      <x:c r="F3468" s="21" t="n">
        <x:v>1</x:v>
      </x:c>
      <x:c r="G3468" s="23" t="str">
        <x:f>IF(E3468=F3468,"PASS","FAIL")</x:f>
        <x:v>PASS</x:v>
      </x:c>
    </x:row>
    <x:row r="3469">
      <x:c r="B3469" s="21" t="str">
        <x:v>A03463</x:v>
      </x:c>
      <x:c r="C3469" s="21" t="str">
        <x:v>artifact</x:v>
      </x:c>
      <x:c r="D3469" s="21" t="str">
        <x:v>artifact 1210 eligibility equation</x:v>
      </x:c>
      <x:c r="E3469" s="21" t="n">
        <x:f>IF(ABS('Artifact Ledger'!P1216-IF(AND('Artifact Ledger'!L1216=1,'Artifact Ledger'!M1216=1,'Artifact Ledger'!N1216=1,'Artifact Ledger'!O1216&gt;='Artifact Ledger'!G1216),'Artifact Ledger'!K1216,0))&lt;0.000001,1,0)</x:f>
        <x:v>1</x:v>
      </x:c>
      <x:c r="F3469" s="21" t="n">
        <x:v>1</x:v>
      </x:c>
      <x:c r="G3469" s="23" t="str">
        <x:f>IF(E3469=F3469,"PASS","FAIL")</x:f>
        <x:v>PASS</x:v>
      </x:c>
    </x:row>
    <x:row r="3470">
      <x:c r="B3470" s="21" t="str">
        <x:v>A03464</x:v>
      </x:c>
      <x:c r="C3470" s="21" t="str">
        <x:v>artifact</x:v>
      </x:c>
      <x:c r="D3470" s="21" t="str">
        <x:v>artifact 1210 planning state</x:v>
      </x:c>
      <x:c r="E3470" s="21" t="n">
        <x:f>IF(AND('Artifact Ledger'!Q1216="OPEN",'Artifact Ledger'!R1216="HOLD"),1,0)</x:f>
        <x:v>1</x:v>
      </x:c>
      <x:c r="F3470" s="21" t="n">
        <x:v>1</x:v>
      </x:c>
      <x:c r="G3470" s="23" t="str">
        <x:f>IF(E3470=F3470,"PASS","FAIL")</x:f>
        <x:v>PASS</x:v>
      </x:c>
    </x:row>
    <x:row r="3471">
      <x:c r="B3471" s="21" t="str">
        <x:v>A03465</x:v>
      </x:c>
      <x:c r="C3471" s="21" t="str">
        <x:v>artifact</x:v>
      </x:c>
      <x:c r="D3471" s="21" t="str">
        <x:v>artifact 1211 eligibility equation</x:v>
      </x:c>
      <x:c r="E3471" s="21" t="n">
        <x:f>IF(ABS('Artifact Ledger'!P1217-IF(AND('Artifact Ledger'!L1217=1,'Artifact Ledger'!M1217=1,'Artifact Ledger'!N1217=1,'Artifact Ledger'!O1217&gt;='Artifact Ledger'!G1217),'Artifact Ledger'!K1217,0))&lt;0.000001,1,0)</x:f>
        <x:v>1</x:v>
      </x:c>
      <x:c r="F3471" s="21" t="n">
        <x:v>1</x:v>
      </x:c>
      <x:c r="G3471" s="23" t="str">
        <x:f>IF(E3471=F3471,"PASS","FAIL")</x:f>
        <x:v>PASS</x:v>
      </x:c>
    </x:row>
    <x:row r="3472">
      <x:c r="B3472" s="21" t="str">
        <x:v>A03466</x:v>
      </x:c>
      <x:c r="C3472" s="21" t="str">
        <x:v>artifact</x:v>
      </x:c>
      <x:c r="D3472" s="21" t="str">
        <x:v>artifact 1211 planning state</x:v>
      </x:c>
      <x:c r="E3472" s="21" t="n">
        <x:f>IF(AND('Artifact Ledger'!Q1217="OPEN",'Artifact Ledger'!R1217="HOLD"),1,0)</x:f>
        <x:v>1</x:v>
      </x:c>
      <x:c r="F3472" s="21" t="n">
        <x:v>1</x:v>
      </x:c>
      <x:c r="G3472" s="23" t="str">
        <x:f>IF(E3472=F3472,"PASS","FAIL")</x:f>
        <x:v>PASS</x:v>
      </x:c>
    </x:row>
    <x:row r="3473">
      <x:c r="B3473" s="21" t="str">
        <x:v>A03467</x:v>
      </x:c>
      <x:c r="C3473" s="21" t="str">
        <x:v>artifact</x:v>
      </x:c>
      <x:c r="D3473" s="21" t="str">
        <x:v>artifact 1212 eligibility equation</x:v>
      </x:c>
      <x:c r="E3473" s="21" t="n">
        <x:f>IF(ABS('Artifact Ledger'!P1218-IF(AND('Artifact Ledger'!L1218=1,'Artifact Ledger'!M1218=1,'Artifact Ledger'!N1218=1,'Artifact Ledger'!O1218&gt;='Artifact Ledger'!G1218),'Artifact Ledger'!K1218,0))&lt;0.000001,1,0)</x:f>
        <x:v>1</x:v>
      </x:c>
      <x:c r="F3473" s="21" t="n">
        <x:v>1</x:v>
      </x:c>
      <x:c r="G3473" s="23" t="str">
        <x:f>IF(E3473=F3473,"PASS","FAIL")</x:f>
        <x:v>PASS</x:v>
      </x:c>
    </x:row>
    <x:row r="3474">
      <x:c r="B3474" s="21" t="str">
        <x:v>A03468</x:v>
      </x:c>
      <x:c r="C3474" s="21" t="str">
        <x:v>artifact</x:v>
      </x:c>
      <x:c r="D3474" s="21" t="str">
        <x:v>artifact 1212 planning state</x:v>
      </x:c>
      <x:c r="E3474" s="21" t="n">
        <x:f>IF(AND('Artifact Ledger'!Q1218="OPEN",'Artifact Ledger'!R1218="HOLD"),1,0)</x:f>
        <x:v>1</x:v>
      </x:c>
      <x:c r="F3474" s="21" t="n">
        <x:v>1</x:v>
      </x:c>
      <x:c r="G3474" s="23" t="str">
        <x:f>IF(E3474=F3474,"PASS","FAIL")</x:f>
        <x:v>PASS</x:v>
      </x:c>
    </x:row>
    <x:row r="3475">
      <x:c r="B3475" s="21" t="str">
        <x:v>A03469</x:v>
      </x:c>
      <x:c r="C3475" s="21" t="str">
        <x:v>artifact</x:v>
      </x:c>
      <x:c r="D3475" s="21" t="str">
        <x:v>artifact 1213 eligibility equation</x:v>
      </x:c>
      <x:c r="E3475" s="21" t="n">
        <x:f>IF(ABS('Artifact Ledger'!P1219-IF(AND('Artifact Ledger'!L1219=1,'Artifact Ledger'!M1219=1,'Artifact Ledger'!N1219=1,'Artifact Ledger'!O1219&gt;='Artifact Ledger'!G1219),'Artifact Ledger'!K1219,0))&lt;0.000001,1,0)</x:f>
        <x:v>1</x:v>
      </x:c>
      <x:c r="F3475" s="21" t="n">
        <x:v>1</x:v>
      </x:c>
      <x:c r="G3475" s="23" t="str">
        <x:f>IF(E3475=F3475,"PASS","FAIL")</x:f>
        <x:v>PASS</x:v>
      </x:c>
    </x:row>
    <x:row r="3476">
      <x:c r="B3476" s="21" t="str">
        <x:v>A03470</x:v>
      </x:c>
      <x:c r="C3476" s="21" t="str">
        <x:v>artifact</x:v>
      </x:c>
      <x:c r="D3476" s="21" t="str">
        <x:v>artifact 1213 planning state</x:v>
      </x:c>
      <x:c r="E3476" s="21" t="n">
        <x:f>IF(AND('Artifact Ledger'!Q1219="OPEN",'Artifact Ledger'!R1219="HOLD"),1,0)</x:f>
        <x:v>1</x:v>
      </x:c>
      <x:c r="F3476" s="21" t="n">
        <x:v>1</x:v>
      </x:c>
      <x:c r="G3476" s="23" t="str">
        <x:f>IF(E3476=F3476,"PASS","FAIL")</x:f>
        <x:v>PASS</x:v>
      </x:c>
    </x:row>
    <x:row r="3477">
      <x:c r="B3477" s="21" t="str">
        <x:v>A03471</x:v>
      </x:c>
      <x:c r="C3477" s="21" t="str">
        <x:v>artifact</x:v>
      </x:c>
      <x:c r="D3477" s="21" t="str">
        <x:v>artifact 1214 eligibility equation</x:v>
      </x:c>
      <x:c r="E3477" s="21" t="n">
        <x:f>IF(ABS('Artifact Ledger'!P1220-IF(AND('Artifact Ledger'!L1220=1,'Artifact Ledger'!M1220=1,'Artifact Ledger'!N1220=1,'Artifact Ledger'!O1220&gt;='Artifact Ledger'!G1220),'Artifact Ledger'!K1220,0))&lt;0.000001,1,0)</x:f>
        <x:v>1</x:v>
      </x:c>
      <x:c r="F3477" s="21" t="n">
        <x:v>1</x:v>
      </x:c>
      <x:c r="G3477" s="23" t="str">
        <x:f>IF(E3477=F3477,"PASS","FAIL")</x:f>
        <x:v>PASS</x:v>
      </x:c>
    </x:row>
    <x:row r="3478">
      <x:c r="B3478" s="21" t="str">
        <x:v>A03472</x:v>
      </x:c>
      <x:c r="C3478" s="21" t="str">
        <x:v>artifact</x:v>
      </x:c>
      <x:c r="D3478" s="21" t="str">
        <x:v>artifact 1214 planning state</x:v>
      </x:c>
      <x:c r="E3478" s="21" t="n">
        <x:f>IF(AND('Artifact Ledger'!Q1220="OPEN",'Artifact Ledger'!R1220="HOLD"),1,0)</x:f>
        <x:v>1</x:v>
      </x:c>
      <x:c r="F3478" s="21" t="n">
        <x:v>1</x:v>
      </x:c>
      <x:c r="G3478" s="23" t="str">
        <x:f>IF(E3478=F3478,"PASS","FAIL")</x:f>
        <x:v>PASS</x:v>
      </x:c>
    </x:row>
    <x:row r="3479">
      <x:c r="B3479" s="21" t="str">
        <x:v>A03473</x:v>
      </x:c>
      <x:c r="C3479" s="21" t="str">
        <x:v>artifact</x:v>
      </x:c>
      <x:c r="D3479" s="21" t="str">
        <x:v>artifact 1215 eligibility equation</x:v>
      </x:c>
      <x:c r="E3479" s="21" t="n">
        <x:f>IF(ABS('Artifact Ledger'!P1221-IF(AND('Artifact Ledger'!L1221=1,'Artifact Ledger'!M1221=1,'Artifact Ledger'!N1221=1,'Artifact Ledger'!O1221&gt;='Artifact Ledger'!G1221),'Artifact Ledger'!K1221,0))&lt;0.000001,1,0)</x:f>
        <x:v>1</x:v>
      </x:c>
      <x:c r="F3479" s="21" t="n">
        <x:v>1</x:v>
      </x:c>
      <x:c r="G3479" s="23" t="str">
        <x:f>IF(E3479=F3479,"PASS","FAIL")</x:f>
        <x:v>PASS</x:v>
      </x:c>
    </x:row>
    <x:row r="3480">
      <x:c r="B3480" s="21" t="str">
        <x:v>A03474</x:v>
      </x:c>
      <x:c r="C3480" s="21" t="str">
        <x:v>artifact</x:v>
      </x:c>
      <x:c r="D3480" s="21" t="str">
        <x:v>artifact 1215 planning state</x:v>
      </x:c>
      <x:c r="E3480" s="21" t="n">
        <x:f>IF(AND('Artifact Ledger'!Q1221="OPEN",'Artifact Ledger'!R1221="HOLD"),1,0)</x:f>
        <x:v>1</x:v>
      </x:c>
      <x:c r="F3480" s="21" t="n">
        <x:v>1</x:v>
      </x:c>
      <x:c r="G3480" s="23" t="str">
        <x:f>IF(E3480=F3480,"PASS","FAIL")</x:f>
        <x:v>PASS</x:v>
      </x:c>
    </x:row>
    <x:row r="3481">
      <x:c r="B3481" s="21" t="str">
        <x:v>A03475</x:v>
      </x:c>
      <x:c r="C3481" s="21" t="str">
        <x:v>artifact</x:v>
      </x:c>
      <x:c r="D3481" s="21" t="str">
        <x:v>artifact 1216 eligibility equation</x:v>
      </x:c>
      <x:c r="E3481" s="21" t="n">
        <x:f>IF(ABS('Artifact Ledger'!P1222-IF(AND('Artifact Ledger'!L1222=1,'Artifact Ledger'!M1222=1,'Artifact Ledger'!N1222=1,'Artifact Ledger'!O1222&gt;='Artifact Ledger'!G1222),'Artifact Ledger'!K1222,0))&lt;0.000001,1,0)</x:f>
        <x:v>1</x:v>
      </x:c>
      <x:c r="F3481" s="21" t="n">
        <x:v>1</x:v>
      </x:c>
      <x:c r="G3481" s="23" t="str">
        <x:f>IF(E3481=F3481,"PASS","FAIL")</x:f>
        <x:v>PASS</x:v>
      </x:c>
    </x:row>
    <x:row r="3482">
      <x:c r="B3482" s="21" t="str">
        <x:v>A03476</x:v>
      </x:c>
      <x:c r="C3482" s="21" t="str">
        <x:v>artifact</x:v>
      </x:c>
      <x:c r="D3482" s="21" t="str">
        <x:v>artifact 1216 planning state</x:v>
      </x:c>
      <x:c r="E3482" s="21" t="n">
        <x:f>IF(AND('Artifact Ledger'!Q1222="OPEN",'Artifact Ledger'!R1222="HOLD"),1,0)</x:f>
        <x:v>1</x:v>
      </x:c>
      <x:c r="F3482" s="21" t="n">
        <x:v>1</x:v>
      </x:c>
      <x:c r="G3482" s="23" t="str">
        <x:f>IF(E3482=F3482,"PASS","FAIL")</x:f>
        <x:v>PASS</x:v>
      </x:c>
    </x:row>
    <x:row r="3483">
      <x:c r="B3483" s="21" t="str">
        <x:v>A03477</x:v>
      </x:c>
      <x:c r="C3483" s="21" t="str">
        <x:v>artifact</x:v>
      </x:c>
      <x:c r="D3483" s="21" t="str">
        <x:v>artifact 1217 eligibility equation</x:v>
      </x:c>
      <x:c r="E3483" s="21" t="n">
        <x:f>IF(ABS('Artifact Ledger'!P1223-IF(AND('Artifact Ledger'!L1223=1,'Artifact Ledger'!M1223=1,'Artifact Ledger'!N1223=1,'Artifact Ledger'!O1223&gt;='Artifact Ledger'!G1223),'Artifact Ledger'!K1223,0))&lt;0.000001,1,0)</x:f>
        <x:v>1</x:v>
      </x:c>
      <x:c r="F3483" s="21" t="n">
        <x:v>1</x:v>
      </x:c>
      <x:c r="G3483" s="23" t="str">
        <x:f>IF(E3483=F3483,"PASS","FAIL")</x:f>
        <x:v>PASS</x:v>
      </x:c>
    </x:row>
    <x:row r="3484">
      <x:c r="B3484" s="21" t="str">
        <x:v>A03478</x:v>
      </x:c>
      <x:c r="C3484" s="21" t="str">
        <x:v>artifact</x:v>
      </x:c>
      <x:c r="D3484" s="21" t="str">
        <x:v>artifact 1217 planning state</x:v>
      </x:c>
      <x:c r="E3484" s="21" t="n">
        <x:f>IF(AND('Artifact Ledger'!Q1223="OPEN",'Artifact Ledger'!R1223="HOLD"),1,0)</x:f>
        <x:v>1</x:v>
      </x:c>
      <x:c r="F3484" s="21" t="n">
        <x:v>1</x:v>
      </x:c>
      <x:c r="G3484" s="23" t="str">
        <x:f>IF(E3484=F3484,"PASS","FAIL")</x:f>
        <x:v>PASS</x:v>
      </x:c>
    </x:row>
    <x:row r="3485">
      <x:c r="B3485" s="21" t="str">
        <x:v>A03479</x:v>
      </x:c>
      <x:c r="C3485" s="21" t="str">
        <x:v>artifact</x:v>
      </x:c>
      <x:c r="D3485" s="21" t="str">
        <x:v>artifact 1218 eligibility equation</x:v>
      </x:c>
      <x:c r="E3485" s="21" t="n">
        <x:f>IF(ABS('Artifact Ledger'!P1224-IF(AND('Artifact Ledger'!L1224=1,'Artifact Ledger'!M1224=1,'Artifact Ledger'!N1224=1,'Artifact Ledger'!O1224&gt;='Artifact Ledger'!G1224),'Artifact Ledger'!K1224,0))&lt;0.000001,1,0)</x:f>
        <x:v>1</x:v>
      </x:c>
      <x:c r="F3485" s="21" t="n">
        <x:v>1</x:v>
      </x:c>
      <x:c r="G3485" s="23" t="str">
        <x:f>IF(E3485=F3485,"PASS","FAIL")</x:f>
        <x:v>PASS</x:v>
      </x:c>
    </x:row>
    <x:row r="3486">
      <x:c r="B3486" s="21" t="str">
        <x:v>A03480</x:v>
      </x:c>
      <x:c r="C3486" s="21" t="str">
        <x:v>artifact</x:v>
      </x:c>
      <x:c r="D3486" s="21" t="str">
        <x:v>artifact 1218 planning state</x:v>
      </x:c>
      <x:c r="E3486" s="21" t="n">
        <x:f>IF(AND('Artifact Ledger'!Q1224="OPEN",'Artifact Ledger'!R1224="HOLD"),1,0)</x:f>
        <x:v>1</x:v>
      </x:c>
      <x:c r="F3486" s="21" t="n">
        <x:v>1</x:v>
      </x:c>
      <x:c r="G3486" s="23" t="str">
        <x:f>IF(E3486=F3486,"PASS","FAIL")</x:f>
        <x:v>PASS</x:v>
      </x:c>
    </x:row>
    <x:row r="3487">
      <x:c r="B3487" s="21" t="str">
        <x:v>A03481</x:v>
      </x:c>
      <x:c r="C3487" s="21" t="str">
        <x:v>artifact</x:v>
      </x:c>
      <x:c r="D3487" s="21" t="str">
        <x:v>artifact 1219 eligibility equation</x:v>
      </x:c>
      <x:c r="E3487" s="21" t="n">
        <x:f>IF(ABS('Artifact Ledger'!P1225-IF(AND('Artifact Ledger'!L1225=1,'Artifact Ledger'!M1225=1,'Artifact Ledger'!N1225=1,'Artifact Ledger'!O1225&gt;='Artifact Ledger'!G1225),'Artifact Ledger'!K1225,0))&lt;0.000001,1,0)</x:f>
        <x:v>1</x:v>
      </x:c>
      <x:c r="F3487" s="21" t="n">
        <x:v>1</x:v>
      </x:c>
      <x:c r="G3487" s="23" t="str">
        <x:f>IF(E3487=F3487,"PASS","FAIL")</x:f>
        <x:v>PASS</x:v>
      </x:c>
    </x:row>
    <x:row r="3488">
      <x:c r="B3488" s="21" t="str">
        <x:v>A03482</x:v>
      </x:c>
      <x:c r="C3488" s="21" t="str">
        <x:v>artifact</x:v>
      </x:c>
      <x:c r="D3488" s="21" t="str">
        <x:v>artifact 1219 planning state</x:v>
      </x:c>
      <x:c r="E3488" s="21" t="n">
        <x:f>IF(AND('Artifact Ledger'!Q1225="OPEN",'Artifact Ledger'!R1225="HOLD"),1,0)</x:f>
        <x:v>1</x:v>
      </x:c>
      <x:c r="F3488" s="21" t="n">
        <x:v>1</x:v>
      </x:c>
      <x:c r="G3488" s="23" t="str">
        <x:f>IF(E3488=F3488,"PASS","FAIL")</x:f>
        <x:v>PASS</x:v>
      </x:c>
    </x:row>
    <x:row r="3489">
      <x:c r="B3489" s="21" t="str">
        <x:v>A03483</x:v>
      </x:c>
      <x:c r="C3489" s="21" t="str">
        <x:v>artifact</x:v>
      </x:c>
      <x:c r="D3489" s="21" t="str">
        <x:v>artifact 1220 eligibility equation</x:v>
      </x:c>
      <x:c r="E3489" s="21" t="n">
        <x:f>IF(ABS('Artifact Ledger'!P1226-IF(AND('Artifact Ledger'!L1226=1,'Artifact Ledger'!M1226=1,'Artifact Ledger'!N1226=1,'Artifact Ledger'!O1226&gt;='Artifact Ledger'!G1226),'Artifact Ledger'!K1226,0))&lt;0.000001,1,0)</x:f>
        <x:v>1</x:v>
      </x:c>
      <x:c r="F3489" s="21" t="n">
        <x:v>1</x:v>
      </x:c>
      <x:c r="G3489" s="23" t="str">
        <x:f>IF(E3489=F3489,"PASS","FAIL")</x:f>
        <x:v>PASS</x:v>
      </x:c>
    </x:row>
    <x:row r="3490">
      <x:c r="B3490" s="21" t="str">
        <x:v>A03484</x:v>
      </x:c>
      <x:c r="C3490" s="21" t="str">
        <x:v>artifact</x:v>
      </x:c>
      <x:c r="D3490" s="21" t="str">
        <x:v>artifact 1220 planning state</x:v>
      </x:c>
      <x:c r="E3490" s="21" t="n">
        <x:f>IF(AND('Artifact Ledger'!Q1226="OPEN",'Artifact Ledger'!R1226="HOLD"),1,0)</x:f>
        <x:v>1</x:v>
      </x:c>
      <x:c r="F3490" s="21" t="n">
        <x:v>1</x:v>
      </x:c>
      <x:c r="G3490" s="23" t="str">
        <x:f>IF(E3490=F3490,"PASS","FAIL")</x:f>
        <x:v>PASS</x:v>
      </x:c>
    </x:row>
    <x:row r="3491">
      <x:c r="B3491" s="21" t="str">
        <x:v>A03485</x:v>
      </x:c>
      <x:c r="C3491" s="21" t="str">
        <x:v>artifact</x:v>
      </x:c>
      <x:c r="D3491" s="21" t="str">
        <x:v>artifact 1221 eligibility equation</x:v>
      </x:c>
      <x:c r="E3491" s="21" t="n">
        <x:f>IF(ABS('Artifact Ledger'!P1227-IF(AND('Artifact Ledger'!L1227=1,'Artifact Ledger'!M1227=1,'Artifact Ledger'!N1227=1,'Artifact Ledger'!O1227&gt;='Artifact Ledger'!G1227),'Artifact Ledger'!K1227,0))&lt;0.000001,1,0)</x:f>
        <x:v>1</x:v>
      </x:c>
      <x:c r="F3491" s="21" t="n">
        <x:v>1</x:v>
      </x:c>
      <x:c r="G3491" s="23" t="str">
        <x:f>IF(E3491=F3491,"PASS","FAIL")</x:f>
        <x:v>PASS</x:v>
      </x:c>
    </x:row>
    <x:row r="3492">
      <x:c r="B3492" s="21" t="str">
        <x:v>A03486</x:v>
      </x:c>
      <x:c r="C3492" s="21" t="str">
        <x:v>artifact</x:v>
      </x:c>
      <x:c r="D3492" s="21" t="str">
        <x:v>artifact 1221 planning state</x:v>
      </x:c>
      <x:c r="E3492" s="21" t="n">
        <x:f>IF(AND('Artifact Ledger'!Q1227="OPEN",'Artifact Ledger'!R1227="HOLD"),1,0)</x:f>
        <x:v>1</x:v>
      </x:c>
      <x:c r="F3492" s="21" t="n">
        <x:v>1</x:v>
      </x:c>
      <x:c r="G3492" s="23" t="str">
        <x:f>IF(E3492=F3492,"PASS","FAIL")</x:f>
        <x:v>PASS</x:v>
      </x:c>
    </x:row>
    <x:row r="3493">
      <x:c r="B3493" s="21" t="str">
        <x:v>A03487</x:v>
      </x:c>
      <x:c r="C3493" s="21" t="str">
        <x:v>artifact</x:v>
      </x:c>
      <x:c r="D3493" s="21" t="str">
        <x:v>artifact 1222 eligibility equation</x:v>
      </x:c>
      <x:c r="E3493" s="21" t="n">
        <x:f>IF(ABS('Artifact Ledger'!P1228-IF(AND('Artifact Ledger'!L1228=1,'Artifact Ledger'!M1228=1,'Artifact Ledger'!N1228=1,'Artifact Ledger'!O1228&gt;='Artifact Ledger'!G1228),'Artifact Ledger'!K1228,0))&lt;0.000001,1,0)</x:f>
        <x:v>1</x:v>
      </x:c>
      <x:c r="F3493" s="21" t="n">
        <x:v>1</x:v>
      </x:c>
      <x:c r="G3493" s="23" t="str">
        <x:f>IF(E3493=F3493,"PASS","FAIL")</x:f>
        <x:v>PASS</x:v>
      </x:c>
    </x:row>
    <x:row r="3494">
      <x:c r="B3494" s="21" t="str">
        <x:v>A03488</x:v>
      </x:c>
      <x:c r="C3494" s="21" t="str">
        <x:v>artifact</x:v>
      </x:c>
      <x:c r="D3494" s="21" t="str">
        <x:v>artifact 1222 planning state</x:v>
      </x:c>
      <x:c r="E3494" s="21" t="n">
        <x:f>IF(AND('Artifact Ledger'!Q1228="OPEN",'Artifact Ledger'!R1228="HOLD"),1,0)</x:f>
        <x:v>1</x:v>
      </x:c>
      <x:c r="F3494" s="21" t="n">
        <x:v>1</x:v>
      </x:c>
      <x:c r="G3494" s="23" t="str">
        <x:f>IF(E3494=F3494,"PASS","FAIL")</x:f>
        <x:v>PASS</x:v>
      </x:c>
    </x:row>
    <x:row r="3495">
      <x:c r="B3495" s="21" t="str">
        <x:v>A03489</x:v>
      </x:c>
      <x:c r="C3495" s="21" t="str">
        <x:v>artifact</x:v>
      </x:c>
      <x:c r="D3495" s="21" t="str">
        <x:v>artifact 1223 eligibility equation</x:v>
      </x:c>
      <x:c r="E3495" s="21" t="n">
        <x:f>IF(ABS('Artifact Ledger'!P1229-IF(AND('Artifact Ledger'!L1229=1,'Artifact Ledger'!M1229=1,'Artifact Ledger'!N1229=1,'Artifact Ledger'!O1229&gt;='Artifact Ledger'!G1229),'Artifact Ledger'!K1229,0))&lt;0.000001,1,0)</x:f>
        <x:v>1</x:v>
      </x:c>
      <x:c r="F3495" s="21" t="n">
        <x:v>1</x:v>
      </x:c>
      <x:c r="G3495" s="23" t="str">
        <x:f>IF(E3495=F3495,"PASS","FAIL")</x:f>
        <x:v>PASS</x:v>
      </x:c>
    </x:row>
    <x:row r="3496">
      <x:c r="B3496" s="21" t="str">
        <x:v>A03490</x:v>
      </x:c>
      <x:c r="C3496" s="21" t="str">
        <x:v>artifact</x:v>
      </x:c>
      <x:c r="D3496" s="21" t="str">
        <x:v>artifact 1223 planning state</x:v>
      </x:c>
      <x:c r="E3496" s="21" t="n">
        <x:f>IF(AND('Artifact Ledger'!Q1229="OPEN",'Artifact Ledger'!R1229="HOLD"),1,0)</x:f>
        <x:v>1</x:v>
      </x:c>
      <x:c r="F3496" s="21" t="n">
        <x:v>1</x:v>
      </x:c>
      <x:c r="G3496" s="23" t="str">
        <x:f>IF(E3496=F3496,"PASS","FAIL")</x:f>
        <x:v>PASS</x:v>
      </x:c>
    </x:row>
    <x:row r="3497">
      <x:c r="B3497" s="21" t="str">
        <x:v>A03491</x:v>
      </x:c>
      <x:c r="C3497" s="21" t="str">
        <x:v>artifact</x:v>
      </x:c>
      <x:c r="D3497" s="21" t="str">
        <x:v>artifact 1224 eligibility equation</x:v>
      </x:c>
      <x:c r="E3497" s="21" t="n">
        <x:f>IF(ABS('Artifact Ledger'!P1230-IF(AND('Artifact Ledger'!L1230=1,'Artifact Ledger'!M1230=1,'Artifact Ledger'!N1230=1,'Artifact Ledger'!O1230&gt;='Artifact Ledger'!G1230),'Artifact Ledger'!K1230,0))&lt;0.000001,1,0)</x:f>
        <x:v>1</x:v>
      </x:c>
      <x:c r="F3497" s="21" t="n">
        <x:v>1</x:v>
      </x:c>
      <x:c r="G3497" s="23" t="str">
        <x:f>IF(E3497=F3497,"PASS","FAIL")</x:f>
        <x:v>PASS</x:v>
      </x:c>
    </x:row>
    <x:row r="3498">
      <x:c r="B3498" s="21" t="str">
        <x:v>A03492</x:v>
      </x:c>
      <x:c r="C3498" s="21" t="str">
        <x:v>artifact</x:v>
      </x:c>
      <x:c r="D3498" s="21" t="str">
        <x:v>artifact 1224 planning state</x:v>
      </x:c>
      <x:c r="E3498" s="21" t="n">
        <x:f>IF(AND('Artifact Ledger'!Q1230="OPEN",'Artifact Ledger'!R1230="HOLD"),1,0)</x:f>
        <x:v>1</x:v>
      </x:c>
      <x:c r="F3498" s="21" t="n">
        <x:v>1</x:v>
      </x:c>
      <x:c r="G3498" s="23" t="str">
        <x:f>IF(E3498=F3498,"PASS","FAIL")</x:f>
        <x:v>PASS</x:v>
      </x:c>
    </x:row>
    <x:row r="3499">
      <x:c r="B3499" s="21" t="str">
        <x:v>A03493</x:v>
      </x:c>
      <x:c r="C3499" s="21" t="str">
        <x:v>artifact</x:v>
      </x:c>
      <x:c r="D3499" s="21" t="str">
        <x:v>artifact 1225 eligibility equation</x:v>
      </x:c>
      <x:c r="E3499" s="21" t="n">
        <x:f>IF(ABS('Artifact Ledger'!P1231-IF(AND('Artifact Ledger'!L1231=1,'Artifact Ledger'!M1231=1,'Artifact Ledger'!N1231=1,'Artifact Ledger'!O1231&gt;='Artifact Ledger'!G1231),'Artifact Ledger'!K1231,0))&lt;0.000001,1,0)</x:f>
        <x:v>1</x:v>
      </x:c>
      <x:c r="F3499" s="21" t="n">
        <x:v>1</x:v>
      </x:c>
      <x:c r="G3499" s="23" t="str">
        <x:f>IF(E3499=F3499,"PASS","FAIL")</x:f>
        <x:v>PASS</x:v>
      </x:c>
    </x:row>
    <x:row r="3500">
      <x:c r="B3500" s="21" t="str">
        <x:v>A03494</x:v>
      </x:c>
      <x:c r="C3500" s="21" t="str">
        <x:v>artifact</x:v>
      </x:c>
      <x:c r="D3500" s="21" t="str">
        <x:v>artifact 1225 planning state</x:v>
      </x:c>
      <x:c r="E3500" s="21" t="n">
        <x:f>IF(AND('Artifact Ledger'!Q1231="OPEN",'Artifact Ledger'!R1231="HOLD"),1,0)</x:f>
        <x:v>1</x:v>
      </x:c>
      <x:c r="F3500" s="21" t="n">
        <x:v>1</x:v>
      </x:c>
      <x:c r="G3500" s="23" t="str">
        <x:f>IF(E3500=F3500,"PASS","FAIL")</x:f>
        <x:v>PASS</x:v>
      </x:c>
    </x:row>
    <x:row r="3501">
      <x:c r="B3501" s="21" t="str">
        <x:v>A03495</x:v>
      </x:c>
      <x:c r="C3501" s="21" t="str">
        <x:v>artifact</x:v>
      </x:c>
      <x:c r="D3501" s="21" t="str">
        <x:v>artifact 1226 eligibility equation</x:v>
      </x:c>
      <x:c r="E3501" s="21" t="n">
        <x:f>IF(ABS('Artifact Ledger'!P1232-IF(AND('Artifact Ledger'!L1232=1,'Artifact Ledger'!M1232=1,'Artifact Ledger'!N1232=1,'Artifact Ledger'!O1232&gt;='Artifact Ledger'!G1232),'Artifact Ledger'!K1232,0))&lt;0.000001,1,0)</x:f>
        <x:v>1</x:v>
      </x:c>
      <x:c r="F3501" s="21" t="n">
        <x:v>1</x:v>
      </x:c>
      <x:c r="G3501" s="23" t="str">
        <x:f>IF(E3501=F3501,"PASS","FAIL")</x:f>
        <x:v>PASS</x:v>
      </x:c>
    </x:row>
    <x:row r="3502">
      <x:c r="B3502" s="21" t="str">
        <x:v>A03496</x:v>
      </x:c>
      <x:c r="C3502" s="21" t="str">
        <x:v>artifact</x:v>
      </x:c>
      <x:c r="D3502" s="21" t="str">
        <x:v>artifact 1226 planning state</x:v>
      </x:c>
      <x:c r="E3502" s="21" t="n">
        <x:f>IF(AND('Artifact Ledger'!Q1232="OPEN",'Artifact Ledger'!R1232="HOLD"),1,0)</x:f>
        <x:v>1</x:v>
      </x:c>
      <x:c r="F3502" s="21" t="n">
        <x:v>1</x:v>
      </x:c>
      <x:c r="G3502" s="23" t="str">
        <x:f>IF(E3502=F3502,"PASS","FAIL")</x:f>
        <x:v>PASS</x:v>
      </x:c>
    </x:row>
    <x:row r="3503">
      <x:c r="B3503" s="21" t="str">
        <x:v>A03497</x:v>
      </x:c>
      <x:c r="C3503" s="21" t="str">
        <x:v>artifact</x:v>
      </x:c>
      <x:c r="D3503" s="21" t="str">
        <x:v>artifact 1227 eligibility equation</x:v>
      </x:c>
      <x:c r="E3503" s="21" t="n">
        <x:f>IF(ABS('Artifact Ledger'!P1233-IF(AND('Artifact Ledger'!L1233=1,'Artifact Ledger'!M1233=1,'Artifact Ledger'!N1233=1,'Artifact Ledger'!O1233&gt;='Artifact Ledger'!G1233),'Artifact Ledger'!K1233,0))&lt;0.000001,1,0)</x:f>
        <x:v>1</x:v>
      </x:c>
      <x:c r="F3503" s="21" t="n">
        <x:v>1</x:v>
      </x:c>
      <x:c r="G3503" s="23" t="str">
        <x:f>IF(E3503=F3503,"PASS","FAIL")</x:f>
        <x:v>PASS</x:v>
      </x:c>
    </x:row>
    <x:row r="3504">
      <x:c r="B3504" s="21" t="str">
        <x:v>A03498</x:v>
      </x:c>
      <x:c r="C3504" s="21" t="str">
        <x:v>artifact</x:v>
      </x:c>
      <x:c r="D3504" s="21" t="str">
        <x:v>artifact 1227 planning state</x:v>
      </x:c>
      <x:c r="E3504" s="21" t="n">
        <x:f>IF(AND('Artifact Ledger'!Q1233="OPEN",'Artifact Ledger'!R1233="HOLD"),1,0)</x:f>
        <x:v>1</x:v>
      </x:c>
      <x:c r="F3504" s="21" t="n">
        <x:v>1</x:v>
      </x:c>
      <x:c r="G3504" s="23" t="str">
        <x:f>IF(E3504=F3504,"PASS","FAIL")</x:f>
        <x:v>PASS</x:v>
      </x:c>
    </x:row>
    <x:row r="3505">
      <x:c r="B3505" s="21" t="str">
        <x:v>A03499</x:v>
      </x:c>
      <x:c r="C3505" s="21" t="str">
        <x:v>artifact</x:v>
      </x:c>
      <x:c r="D3505" s="21" t="str">
        <x:v>artifact 1228 eligibility equation</x:v>
      </x:c>
      <x:c r="E3505" s="21" t="n">
        <x:f>IF(ABS('Artifact Ledger'!P1234-IF(AND('Artifact Ledger'!L1234=1,'Artifact Ledger'!M1234=1,'Artifact Ledger'!N1234=1,'Artifact Ledger'!O1234&gt;='Artifact Ledger'!G1234),'Artifact Ledger'!K1234,0))&lt;0.000001,1,0)</x:f>
        <x:v>1</x:v>
      </x:c>
      <x:c r="F3505" s="21" t="n">
        <x:v>1</x:v>
      </x:c>
      <x:c r="G3505" s="23" t="str">
        <x:f>IF(E3505=F3505,"PASS","FAIL")</x:f>
        <x:v>PASS</x:v>
      </x:c>
    </x:row>
    <x:row r="3506">
      <x:c r="B3506" s="21" t="str">
        <x:v>A03500</x:v>
      </x:c>
      <x:c r="C3506" s="21" t="str">
        <x:v>artifact</x:v>
      </x:c>
      <x:c r="D3506" s="21" t="str">
        <x:v>artifact 1228 planning state</x:v>
      </x:c>
      <x:c r="E3506" s="21" t="n">
        <x:f>IF(AND('Artifact Ledger'!Q1234="OPEN",'Artifact Ledger'!R1234="HOLD"),1,0)</x:f>
        <x:v>1</x:v>
      </x:c>
      <x:c r="F3506" s="21" t="n">
        <x:v>1</x:v>
      </x:c>
      <x:c r="G3506" s="23" t="str">
        <x:f>IF(E3506=F3506,"PASS","FAIL")</x:f>
        <x:v>PASS</x:v>
      </x:c>
    </x:row>
    <x:row r="3507">
      <x:c r="B3507" s="21" t="str">
        <x:v>A03501</x:v>
      </x:c>
      <x:c r="C3507" s="21" t="str">
        <x:v>artifact</x:v>
      </x:c>
      <x:c r="D3507" s="21" t="str">
        <x:v>artifact 1229 eligibility equation</x:v>
      </x:c>
      <x:c r="E3507" s="21" t="n">
        <x:f>IF(ABS('Artifact Ledger'!P1235-IF(AND('Artifact Ledger'!L1235=1,'Artifact Ledger'!M1235=1,'Artifact Ledger'!N1235=1,'Artifact Ledger'!O1235&gt;='Artifact Ledger'!G1235),'Artifact Ledger'!K1235,0))&lt;0.000001,1,0)</x:f>
        <x:v>1</x:v>
      </x:c>
      <x:c r="F3507" s="21" t="n">
        <x:v>1</x:v>
      </x:c>
      <x:c r="G3507" s="23" t="str">
        <x:f>IF(E3507=F3507,"PASS","FAIL")</x:f>
        <x:v>PASS</x:v>
      </x:c>
    </x:row>
    <x:row r="3508">
      <x:c r="B3508" s="21" t="str">
        <x:v>A03502</x:v>
      </x:c>
      <x:c r="C3508" s="21" t="str">
        <x:v>artifact</x:v>
      </x:c>
      <x:c r="D3508" s="21" t="str">
        <x:v>artifact 1229 planning state</x:v>
      </x:c>
      <x:c r="E3508" s="21" t="n">
        <x:f>IF(AND('Artifact Ledger'!Q1235="OPEN",'Artifact Ledger'!R1235="HOLD"),1,0)</x:f>
        <x:v>1</x:v>
      </x:c>
      <x:c r="F3508" s="21" t="n">
        <x:v>1</x:v>
      </x:c>
      <x:c r="G3508" s="23" t="str">
        <x:f>IF(E3508=F3508,"PASS","FAIL")</x:f>
        <x:v>PASS</x:v>
      </x:c>
    </x:row>
    <x:row r="3509">
      <x:c r="B3509" s="21" t="str">
        <x:v>A03503</x:v>
      </x:c>
      <x:c r="C3509" s="21" t="str">
        <x:v>artifact</x:v>
      </x:c>
      <x:c r="D3509" s="21" t="str">
        <x:v>artifact 1230 eligibility equation</x:v>
      </x:c>
      <x:c r="E3509" s="21" t="n">
        <x:f>IF(ABS('Artifact Ledger'!P1236-IF(AND('Artifact Ledger'!L1236=1,'Artifact Ledger'!M1236=1,'Artifact Ledger'!N1236=1,'Artifact Ledger'!O1236&gt;='Artifact Ledger'!G1236),'Artifact Ledger'!K1236,0))&lt;0.000001,1,0)</x:f>
        <x:v>1</x:v>
      </x:c>
      <x:c r="F3509" s="21" t="n">
        <x:v>1</x:v>
      </x:c>
      <x:c r="G3509" s="23" t="str">
        <x:f>IF(E3509=F3509,"PASS","FAIL")</x:f>
        <x:v>PASS</x:v>
      </x:c>
    </x:row>
    <x:row r="3510">
      <x:c r="B3510" s="21" t="str">
        <x:v>A03504</x:v>
      </x:c>
      <x:c r="C3510" s="21" t="str">
        <x:v>artifact</x:v>
      </x:c>
      <x:c r="D3510" s="21" t="str">
        <x:v>artifact 1230 planning state</x:v>
      </x:c>
      <x:c r="E3510" s="21" t="n">
        <x:f>IF(AND('Artifact Ledger'!Q1236="OPEN",'Artifact Ledger'!R1236="HOLD"),1,0)</x:f>
        <x:v>1</x:v>
      </x:c>
      <x:c r="F3510" s="21" t="n">
        <x:v>1</x:v>
      </x:c>
      <x:c r="G3510" s="23" t="str">
        <x:f>IF(E3510=F3510,"PASS","FAIL")</x:f>
        <x:v>PASS</x:v>
      </x:c>
    </x:row>
    <x:row r="3511">
      <x:c r="B3511" s="21" t="str">
        <x:v>A03505</x:v>
      </x:c>
      <x:c r="C3511" s="21" t="str">
        <x:v>artifact</x:v>
      </x:c>
      <x:c r="D3511" s="21" t="str">
        <x:v>artifact 1231 eligibility equation</x:v>
      </x:c>
      <x:c r="E3511" s="21" t="n">
        <x:f>IF(ABS('Artifact Ledger'!P1237-IF(AND('Artifact Ledger'!L1237=1,'Artifact Ledger'!M1237=1,'Artifact Ledger'!N1237=1,'Artifact Ledger'!O1237&gt;='Artifact Ledger'!G1237),'Artifact Ledger'!K1237,0))&lt;0.000001,1,0)</x:f>
        <x:v>1</x:v>
      </x:c>
      <x:c r="F3511" s="21" t="n">
        <x:v>1</x:v>
      </x:c>
      <x:c r="G3511" s="23" t="str">
        <x:f>IF(E3511=F3511,"PASS","FAIL")</x:f>
        <x:v>PASS</x:v>
      </x:c>
    </x:row>
    <x:row r="3512">
      <x:c r="B3512" s="21" t="str">
        <x:v>A03506</x:v>
      </x:c>
      <x:c r="C3512" s="21" t="str">
        <x:v>artifact</x:v>
      </x:c>
      <x:c r="D3512" s="21" t="str">
        <x:v>artifact 1231 planning state</x:v>
      </x:c>
      <x:c r="E3512" s="21" t="n">
        <x:f>IF(AND('Artifact Ledger'!Q1237="OPEN",'Artifact Ledger'!R1237="HOLD"),1,0)</x:f>
        <x:v>1</x:v>
      </x:c>
      <x:c r="F3512" s="21" t="n">
        <x:v>1</x:v>
      </x:c>
      <x:c r="G3512" s="23" t="str">
        <x:f>IF(E3512=F3512,"PASS","FAIL")</x:f>
        <x:v>PASS</x:v>
      </x:c>
    </x:row>
    <x:row r="3513">
      <x:c r="B3513" s="21" t="str">
        <x:v>A03507</x:v>
      </x:c>
      <x:c r="C3513" s="21" t="str">
        <x:v>artifact</x:v>
      </x:c>
      <x:c r="D3513" s="21" t="str">
        <x:v>artifact 1232 eligibility equation</x:v>
      </x:c>
      <x:c r="E3513" s="21" t="n">
        <x:f>IF(ABS('Artifact Ledger'!P1238-IF(AND('Artifact Ledger'!L1238=1,'Artifact Ledger'!M1238=1,'Artifact Ledger'!N1238=1,'Artifact Ledger'!O1238&gt;='Artifact Ledger'!G1238),'Artifact Ledger'!K1238,0))&lt;0.000001,1,0)</x:f>
        <x:v>1</x:v>
      </x:c>
      <x:c r="F3513" s="21" t="n">
        <x:v>1</x:v>
      </x:c>
      <x:c r="G3513" s="23" t="str">
        <x:f>IF(E3513=F3513,"PASS","FAIL")</x:f>
        <x:v>PASS</x:v>
      </x:c>
    </x:row>
    <x:row r="3514">
      <x:c r="B3514" s="21" t="str">
        <x:v>A03508</x:v>
      </x:c>
      <x:c r="C3514" s="21" t="str">
        <x:v>artifact</x:v>
      </x:c>
      <x:c r="D3514" s="21" t="str">
        <x:v>artifact 1232 planning state</x:v>
      </x:c>
      <x:c r="E3514" s="21" t="n">
        <x:f>IF(AND('Artifact Ledger'!Q1238="OPEN",'Artifact Ledger'!R1238="HOLD"),1,0)</x:f>
        <x:v>1</x:v>
      </x:c>
      <x:c r="F3514" s="21" t="n">
        <x:v>1</x:v>
      </x:c>
      <x:c r="G3514" s="23" t="str">
        <x:f>IF(E3514=F3514,"PASS","FAIL")</x:f>
        <x:v>PASS</x:v>
      </x:c>
    </x:row>
    <x:row r="3515">
      <x:c r="B3515" s="21" t="str">
        <x:v>A03509</x:v>
      </x:c>
      <x:c r="C3515" s="21" t="str">
        <x:v>artifact</x:v>
      </x:c>
      <x:c r="D3515" s="21" t="str">
        <x:v>artifact 1233 eligibility equation</x:v>
      </x:c>
      <x:c r="E3515" s="21" t="n">
        <x:f>IF(ABS('Artifact Ledger'!P1239-IF(AND('Artifact Ledger'!L1239=1,'Artifact Ledger'!M1239=1,'Artifact Ledger'!N1239=1,'Artifact Ledger'!O1239&gt;='Artifact Ledger'!G1239),'Artifact Ledger'!K1239,0))&lt;0.000001,1,0)</x:f>
        <x:v>1</x:v>
      </x:c>
      <x:c r="F3515" s="21" t="n">
        <x:v>1</x:v>
      </x:c>
      <x:c r="G3515" s="23" t="str">
        <x:f>IF(E3515=F3515,"PASS","FAIL")</x:f>
        <x:v>PASS</x:v>
      </x:c>
    </x:row>
    <x:row r="3516">
      <x:c r="B3516" s="21" t="str">
        <x:v>A03510</x:v>
      </x:c>
      <x:c r="C3516" s="21" t="str">
        <x:v>artifact</x:v>
      </x:c>
      <x:c r="D3516" s="21" t="str">
        <x:v>artifact 1233 planning state</x:v>
      </x:c>
      <x:c r="E3516" s="21" t="n">
        <x:f>IF(AND('Artifact Ledger'!Q1239="OPEN",'Artifact Ledger'!R1239="HOLD"),1,0)</x:f>
        <x:v>1</x:v>
      </x:c>
      <x:c r="F3516" s="21" t="n">
        <x:v>1</x:v>
      </x:c>
      <x:c r="G3516" s="23" t="str">
        <x:f>IF(E3516=F3516,"PASS","FAIL")</x:f>
        <x:v>PASS</x:v>
      </x:c>
    </x:row>
    <x:row r="3517">
      <x:c r="B3517" s="21" t="str">
        <x:v>A03511</x:v>
      </x:c>
      <x:c r="C3517" s="21" t="str">
        <x:v>artifact</x:v>
      </x:c>
      <x:c r="D3517" s="21" t="str">
        <x:v>artifact 1234 eligibility equation</x:v>
      </x:c>
      <x:c r="E3517" s="21" t="n">
        <x:f>IF(ABS('Artifact Ledger'!P1240-IF(AND('Artifact Ledger'!L1240=1,'Artifact Ledger'!M1240=1,'Artifact Ledger'!N1240=1,'Artifact Ledger'!O1240&gt;='Artifact Ledger'!G1240),'Artifact Ledger'!K1240,0))&lt;0.000001,1,0)</x:f>
        <x:v>1</x:v>
      </x:c>
      <x:c r="F3517" s="21" t="n">
        <x:v>1</x:v>
      </x:c>
      <x:c r="G3517" s="23" t="str">
        <x:f>IF(E3517=F3517,"PASS","FAIL")</x:f>
        <x:v>PASS</x:v>
      </x:c>
    </x:row>
    <x:row r="3518">
      <x:c r="B3518" s="21" t="str">
        <x:v>A03512</x:v>
      </x:c>
      <x:c r="C3518" s="21" t="str">
        <x:v>artifact</x:v>
      </x:c>
      <x:c r="D3518" s="21" t="str">
        <x:v>artifact 1234 planning state</x:v>
      </x:c>
      <x:c r="E3518" s="21" t="n">
        <x:f>IF(AND('Artifact Ledger'!Q1240="OPEN",'Artifact Ledger'!R1240="HOLD"),1,0)</x:f>
        <x:v>1</x:v>
      </x:c>
      <x:c r="F3518" s="21" t="n">
        <x:v>1</x:v>
      </x:c>
      <x:c r="G3518" s="23" t="str">
        <x:f>IF(E3518=F3518,"PASS","FAIL")</x:f>
        <x:v>PASS</x:v>
      </x:c>
    </x:row>
    <x:row r="3519">
      <x:c r="B3519" s="21" t="str">
        <x:v>A03513</x:v>
      </x:c>
      <x:c r="C3519" s="21" t="str">
        <x:v>artifact</x:v>
      </x:c>
      <x:c r="D3519" s="21" t="str">
        <x:v>artifact 1235 eligibility equation</x:v>
      </x:c>
      <x:c r="E3519" s="21" t="n">
        <x:f>IF(ABS('Artifact Ledger'!P1241-IF(AND('Artifact Ledger'!L1241=1,'Artifact Ledger'!M1241=1,'Artifact Ledger'!N1241=1,'Artifact Ledger'!O1241&gt;='Artifact Ledger'!G1241),'Artifact Ledger'!K1241,0))&lt;0.000001,1,0)</x:f>
        <x:v>1</x:v>
      </x:c>
      <x:c r="F3519" s="21" t="n">
        <x:v>1</x:v>
      </x:c>
      <x:c r="G3519" s="23" t="str">
        <x:f>IF(E3519=F3519,"PASS","FAIL")</x:f>
        <x:v>PASS</x:v>
      </x:c>
    </x:row>
    <x:row r="3520">
      <x:c r="B3520" s="21" t="str">
        <x:v>A03514</x:v>
      </x:c>
      <x:c r="C3520" s="21" t="str">
        <x:v>artifact</x:v>
      </x:c>
      <x:c r="D3520" s="21" t="str">
        <x:v>artifact 1235 planning state</x:v>
      </x:c>
      <x:c r="E3520" s="21" t="n">
        <x:f>IF(AND('Artifact Ledger'!Q1241="OPEN",'Artifact Ledger'!R1241="HOLD"),1,0)</x:f>
        <x:v>1</x:v>
      </x:c>
      <x:c r="F3520" s="21" t="n">
        <x:v>1</x:v>
      </x:c>
      <x:c r="G3520" s="23" t="str">
        <x:f>IF(E3520=F3520,"PASS","FAIL")</x:f>
        <x:v>PASS</x:v>
      </x:c>
    </x:row>
    <x:row r="3521">
      <x:c r="B3521" s="21" t="str">
        <x:v>A03515</x:v>
      </x:c>
      <x:c r="C3521" s="21" t="str">
        <x:v>artifact</x:v>
      </x:c>
      <x:c r="D3521" s="21" t="str">
        <x:v>artifact 1236 eligibility equation</x:v>
      </x:c>
      <x:c r="E3521" s="21" t="n">
        <x:f>IF(ABS('Artifact Ledger'!P1242-IF(AND('Artifact Ledger'!L1242=1,'Artifact Ledger'!M1242=1,'Artifact Ledger'!N1242=1,'Artifact Ledger'!O1242&gt;='Artifact Ledger'!G1242),'Artifact Ledger'!K1242,0))&lt;0.000001,1,0)</x:f>
        <x:v>1</x:v>
      </x:c>
      <x:c r="F3521" s="21" t="n">
        <x:v>1</x:v>
      </x:c>
      <x:c r="G3521" s="23" t="str">
        <x:f>IF(E3521=F3521,"PASS","FAIL")</x:f>
        <x:v>PASS</x:v>
      </x:c>
    </x:row>
    <x:row r="3522">
      <x:c r="B3522" s="21" t="str">
        <x:v>A03516</x:v>
      </x:c>
      <x:c r="C3522" s="21" t="str">
        <x:v>artifact</x:v>
      </x:c>
      <x:c r="D3522" s="21" t="str">
        <x:v>artifact 1236 planning state</x:v>
      </x:c>
      <x:c r="E3522" s="21" t="n">
        <x:f>IF(AND('Artifact Ledger'!Q1242="OPEN",'Artifact Ledger'!R1242="HOLD"),1,0)</x:f>
        <x:v>1</x:v>
      </x:c>
      <x:c r="F3522" s="21" t="n">
        <x:v>1</x:v>
      </x:c>
      <x:c r="G3522" s="23" t="str">
        <x:f>IF(E3522=F3522,"PASS","FAIL")</x:f>
        <x:v>PASS</x:v>
      </x:c>
    </x:row>
    <x:row r="3523">
      <x:c r="B3523" s="21" t="str">
        <x:v>A03517</x:v>
      </x:c>
      <x:c r="C3523" s="21" t="str">
        <x:v>artifact</x:v>
      </x:c>
      <x:c r="D3523" s="21" t="str">
        <x:v>artifact 1237 eligibility equation</x:v>
      </x:c>
      <x:c r="E3523" s="21" t="n">
        <x:f>IF(ABS('Artifact Ledger'!P1243-IF(AND('Artifact Ledger'!L1243=1,'Artifact Ledger'!M1243=1,'Artifact Ledger'!N1243=1,'Artifact Ledger'!O1243&gt;='Artifact Ledger'!G1243),'Artifact Ledger'!K1243,0))&lt;0.000001,1,0)</x:f>
        <x:v>1</x:v>
      </x:c>
      <x:c r="F3523" s="21" t="n">
        <x:v>1</x:v>
      </x:c>
      <x:c r="G3523" s="23" t="str">
        <x:f>IF(E3523=F3523,"PASS","FAIL")</x:f>
        <x:v>PASS</x:v>
      </x:c>
    </x:row>
    <x:row r="3524">
      <x:c r="B3524" s="21" t="str">
        <x:v>A03518</x:v>
      </x:c>
      <x:c r="C3524" s="21" t="str">
        <x:v>artifact</x:v>
      </x:c>
      <x:c r="D3524" s="21" t="str">
        <x:v>artifact 1237 planning state</x:v>
      </x:c>
      <x:c r="E3524" s="21" t="n">
        <x:f>IF(AND('Artifact Ledger'!Q1243="OPEN",'Artifact Ledger'!R1243="HOLD"),1,0)</x:f>
        <x:v>1</x:v>
      </x:c>
      <x:c r="F3524" s="21" t="n">
        <x:v>1</x:v>
      </x:c>
      <x:c r="G3524" s="23" t="str">
        <x:f>IF(E3524=F3524,"PASS","FAIL")</x:f>
        <x:v>PASS</x:v>
      </x:c>
    </x:row>
    <x:row r="3525">
      <x:c r="B3525" s="21" t="str">
        <x:v>A03519</x:v>
      </x:c>
      <x:c r="C3525" s="21" t="str">
        <x:v>artifact</x:v>
      </x:c>
      <x:c r="D3525" s="21" t="str">
        <x:v>artifact 1238 eligibility equation</x:v>
      </x:c>
      <x:c r="E3525" s="21" t="n">
        <x:f>IF(ABS('Artifact Ledger'!P1244-IF(AND('Artifact Ledger'!L1244=1,'Artifact Ledger'!M1244=1,'Artifact Ledger'!N1244=1,'Artifact Ledger'!O1244&gt;='Artifact Ledger'!G1244),'Artifact Ledger'!K1244,0))&lt;0.000001,1,0)</x:f>
        <x:v>1</x:v>
      </x:c>
      <x:c r="F3525" s="21" t="n">
        <x:v>1</x:v>
      </x:c>
      <x:c r="G3525" s="23" t="str">
        <x:f>IF(E3525=F3525,"PASS","FAIL")</x:f>
        <x:v>PASS</x:v>
      </x:c>
    </x:row>
    <x:row r="3526">
      <x:c r="B3526" s="21" t="str">
        <x:v>A03520</x:v>
      </x:c>
      <x:c r="C3526" s="21" t="str">
        <x:v>artifact</x:v>
      </x:c>
      <x:c r="D3526" s="21" t="str">
        <x:v>artifact 1238 planning state</x:v>
      </x:c>
      <x:c r="E3526" s="21" t="n">
        <x:f>IF(AND('Artifact Ledger'!Q1244="OPEN",'Artifact Ledger'!R1244="HOLD"),1,0)</x:f>
        <x:v>1</x:v>
      </x:c>
      <x:c r="F3526" s="21" t="n">
        <x:v>1</x:v>
      </x:c>
      <x:c r="G3526" s="23" t="str">
        <x:f>IF(E3526=F3526,"PASS","FAIL")</x:f>
        <x:v>PASS</x:v>
      </x:c>
    </x:row>
    <x:row r="3527">
      <x:c r="B3527" s="21" t="str">
        <x:v>A03521</x:v>
      </x:c>
      <x:c r="C3527" s="21" t="str">
        <x:v>artifact</x:v>
      </x:c>
      <x:c r="D3527" s="21" t="str">
        <x:v>artifact 1239 eligibility equation</x:v>
      </x:c>
      <x:c r="E3527" s="21" t="n">
        <x:f>IF(ABS('Artifact Ledger'!P1245-IF(AND('Artifact Ledger'!L1245=1,'Artifact Ledger'!M1245=1,'Artifact Ledger'!N1245=1,'Artifact Ledger'!O1245&gt;='Artifact Ledger'!G1245),'Artifact Ledger'!K1245,0))&lt;0.000001,1,0)</x:f>
        <x:v>1</x:v>
      </x:c>
      <x:c r="F3527" s="21" t="n">
        <x:v>1</x:v>
      </x:c>
      <x:c r="G3527" s="23" t="str">
        <x:f>IF(E3527=F3527,"PASS","FAIL")</x:f>
        <x:v>PASS</x:v>
      </x:c>
    </x:row>
    <x:row r="3528">
      <x:c r="B3528" s="21" t="str">
        <x:v>A03522</x:v>
      </x:c>
      <x:c r="C3528" s="21" t="str">
        <x:v>artifact</x:v>
      </x:c>
      <x:c r="D3528" s="21" t="str">
        <x:v>artifact 1239 planning state</x:v>
      </x:c>
      <x:c r="E3528" s="21" t="n">
        <x:f>IF(AND('Artifact Ledger'!Q1245="OPEN",'Artifact Ledger'!R1245="HOLD"),1,0)</x:f>
        <x:v>1</x:v>
      </x:c>
      <x:c r="F3528" s="21" t="n">
        <x:v>1</x:v>
      </x:c>
      <x:c r="G3528" s="23" t="str">
        <x:f>IF(E3528=F3528,"PASS","FAIL")</x:f>
        <x:v>PASS</x:v>
      </x:c>
    </x:row>
    <x:row r="3529">
      <x:c r="B3529" s="21" t="str">
        <x:v>A03523</x:v>
      </x:c>
      <x:c r="C3529" s="21" t="str">
        <x:v>artifact</x:v>
      </x:c>
      <x:c r="D3529" s="21" t="str">
        <x:v>artifact 1240 eligibility equation</x:v>
      </x:c>
      <x:c r="E3529" s="21" t="n">
        <x:f>IF(ABS('Artifact Ledger'!P1246-IF(AND('Artifact Ledger'!L1246=1,'Artifact Ledger'!M1246=1,'Artifact Ledger'!N1246=1,'Artifact Ledger'!O1246&gt;='Artifact Ledger'!G1246),'Artifact Ledger'!K1246,0))&lt;0.000001,1,0)</x:f>
        <x:v>1</x:v>
      </x:c>
      <x:c r="F3529" s="21" t="n">
        <x:v>1</x:v>
      </x:c>
      <x:c r="G3529" s="23" t="str">
        <x:f>IF(E3529=F3529,"PASS","FAIL")</x:f>
        <x:v>PASS</x:v>
      </x:c>
    </x:row>
    <x:row r="3530">
      <x:c r="B3530" s="21" t="str">
        <x:v>A03524</x:v>
      </x:c>
      <x:c r="C3530" s="21" t="str">
        <x:v>artifact</x:v>
      </x:c>
      <x:c r="D3530" s="21" t="str">
        <x:v>artifact 1240 planning state</x:v>
      </x:c>
      <x:c r="E3530" s="21" t="n">
        <x:f>IF(AND('Artifact Ledger'!Q1246="OPEN",'Artifact Ledger'!R1246="HOLD"),1,0)</x:f>
        <x:v>1</x:v>
      </x:c>
      <x:c r="F3530" s="21" t="n">
        <x:v>1</x:v>
      </x:c>
      <x:c r="G3530" s="23" t="str">
        <x:f>IF(E3530=F3530,"PASS","FAIL")</x:f>
        <x:v>PASS</x:v>
      </x:c>
    </x:row>
    <x:row r="3531">
      <x:c r="B3531" s="21" t="str">
        <x:v>A03525</x:v>
      </x:c>
      <x:c r="C3531" s="21" t="str">
        <x:v>artifact</x:v>
      </x:c>
      <x:c r="D3531" s="21" t="str">
        <x:v>artifact 1241 eligibility equation</x:v>
      </x:c>
      <x:c r="E3531" s="21" t="n">
        <x:f>IF(ABS('Artifact Ledger'!P1247-IF(AND('Artifact Ledger'!L1247=1,'Artifact Ledger'!M1247=1,'Artifact Ledger'!N1247=1,'Artifact Ledger'!O1247&gt;='Artifact Ledger'!G1247),'Artifact Ledger'!K1247,0))&lt;0.000001,1,0)</x:f>
        <x:v>1</x:v>
      </x:c>
      <x:c r="F3531" s="21" t="n">
        <x:v>1</x:v>
      </x:c>
      <x:c r="G3531" s="23" t="str">
        <x:f>IF(E3531=F3531,"PASS","FAIL")</x:f>
        <x:v>PASS</x:v>
      </x:c>
    </x:row>
    <x:row r="3532">
      <x:c r="B3532" s="21" t="str">
        <x:v>A03526</x:v>
      </x:c>
      <x:c r="C3532" s="21" t="str">
        <x:v>artifact</x:v>
      </x:c>
      <x:c r="D3532" s="21" t="str">
        <x:v>artifact 1241 planning state</x:v>
      </x:c>
      <x:c r="E3532" s="21" t="n">
        <x:f>IF(AND('Artifact Ledger'!Q1247="OPEN",'Artifact Ledger'!R1247="HOLD"),1,0)</x:f>
        <x:v>1</x:v>
      </x:c>
      <x:c r="F3532" s="21" t="n">
        <x:v>1</x:v>
      </x:c>
      <x:c r="G3532" s="23" t="str">
        <x:f>IF(E3532=F3532,"PASS","FAIL")</x:f>
        <x:v>PASS</x:v>
      </x:c>
    </x:row>
    <x:row r="3533">
      <x:c r="B3533" s="21" t="str">
        <x:v>A03527</x:v>
      </x:c>
      <x:c r="C3533" s="21" t="str">
        <x:v>artifact</x:v>
      </x:c>
      <x:c r="D3533" s="21" t="str">
        <x:v>artifact 1242 eligibility equation</x:v>
      </x:c>
      <x:c r="E3533" s="21" t="n">
        <x:f>IF(ABS('Artifact Ledger'!P1248-IF(AND('Artifact Ledger'!L1248=1,'Artifact Ledger'!M1248=1,'Artifact Ledger'!N1248=1,'Artifact Ledger'!O1248&gt;='Artifact Ledger'!G1248),'Artifact Ledger'!K1248,0))&lt;0.000001,1,0)</x:f>
        <x:v>1</x:v>
      </x:c>
      <x:c r="F3533" s="21" t="n">
        <x:v>1</x:v>
      </x:c>
      <x:c r="G3533" s="23" t="str">
        <x:f>IF(E3533=F3533,"PASS","FAIL")</x:f>
        <x:v>PASS</x:v>
      </x:c>
    </x:row>
    <x:row r="3534">
      <x:c r="B3534" s="21" t="str">
        <x:v>A03528</x:v>
      </x:c>
      <x:c r="C3534" s="21" t="str">
        <x:v>artifact</x:v>
      </x:c>
      <x:c r="D3534" s="21" t="str">
        <x:v>artifact 1242 planning state</x:v>
      </x:c>
      <x:c r="E3534" s="21" t="n">
        <x:f>IF(AND('Artifact Ledger'!Q1248="OPEN",'Artifact Ledger'!R1248="HOLD"),1,0)</x:f>
        <x:v>1</x:v>
      </x:c>
      <x:c r="F3534" s="21" t="n">
        <x:v>1</x:v>
      </x:c>
      <x:c r="G3534" s="23" t="str">
        <x:f>IF(E3534=F3534,"PASS","FAIL")</x:f>
        <x:v>PASS</x:v>
      </x:c>
    </x:row>
    <x:row r="3535">
      <x:c r="B3535" s="21" t="str">
        <x:v>A03529</x:v>
      </x:c>
      <x:c r="C3535" s="21" t="str">
        <x:v>artifact</x:v>
      </x:c>
      <x:c r="D3535" s="21" t="str">
        <x:v>artifact 1243 eligibility equation</x:v>
      </x:c>
      <x:c r="E3535" s="21" t="n">
        <x:f>IF(ABS('Artifact Ledger'!P1249-IF(AND('Artifact Ledger'!L1249=1,'Artifact Ledger'!M1249=1,'Artifact Ledger'!N1249=1,'Artifact Ledger'!O1249&gt;='Artifact Ledger'!G1249),'Artifact Ledger'!K1249,0))&lt;0.000001,1,0)</x:f>
        <x:v>1</x:v>
      </x:c>
      <x:c r="F3535" s="21" t="n">
        <x:v>1</x:v>
      </x:c>
      <x:c r="G3535" s="23" t="str">
        <x:f>IF(E3535=F3535,"PASS","FAIL")</x:f>
        <x:v>PASS</x:v>
      </x:c>
    </x:row>
    <x:row r="3536">
      <x:c r="B3536" s="21" t="str">
        <x:v>A03530</x:v>
      </x:c>
      <x:c r="C3536" s="21" t="str">
        <x:v>artifact</x:v>
      </x:c>
      <x:c r="D3536" s="21" t="str">
        <x:v>artifact 1243 planning state</x:v>
      </x:c>
      <x:c r="E3536" s="21" t="n">
        <x:f>IF(AND('Artifact Ledger'!Q1249="OPEN",'Artifact Ledger'!R1249="HOLD"),1,0)</x:f>
        <x:v>1</x:v>
      </x:c>
      <x:c r="F3536" s="21" t="n">
        <x:v>1</x:v>
      </x:c>
      <x:c r="G3536" s="23" t="str">
        <x:f>IF(E3536=F3536,"PASS","FAIL")</x:f>
        <x:v>PASS</x:v>
      </x:c>
    </x:row>
    <x:row r="3537">
      <x:c r="B3537" s="21" t="str">
        <x:v>A03531</x:v>
      </x:c>
      <x:c r="C3537" s="21" t="str">
        <x:v>artifact</x:v>
      </x:c>
      <x:c r="D3537" s="21" t="str">
        <x:v>artifact 1244 eligibility equation</x:v>
      </x:c>
      <x:c r="E3537" s="21" t="n">
        <x:f>IF(ABS('Artifact Ledger'!P1250-IF(AND('Artifact Ledger'!L1250=1,'Artifact Ledger'!M1250=1,'Artifact Ledger'!N1250=1,'Artifact Ledger'!O1250&gt;='Artifact Ledger'!G1250),'Artifact Ledger'!K1250,0))&lt;0.000001,1,0)</x:f>
        <x:v>1</x:v>
      </x:c>
      <x:c r="F3537" s="21" t="n">
        <x:v>1</x:v>
      </x:c>
      <x:c r="G3537" s="23" t="str">
        <x:f>IF(E3537=F3537,"PASS","FAIL")</x:f>
        <x:v>PASS</x:v>
      </x:c>
    </x:row>
    <x:row r="3538">
      <x:c r="B3538" s="21" t="str">
        <x:v>A03532</x:v>
      </x:c>
      <x:c r="C3538" s="21" t="str">
        <x:v>artifact</x:v>
      </x:c>
      <x:c r="D3538" s="21" t="str">
        <x:v>artifact 1244 planning state</x:v>
      </x:c>
      <x:c r="E3538" s="21" t="n">
        <x:f>IF(AND('Artifact Ledger'!Q1250="OPEN",'Artifact Ledger'!R1250="HOLD"),1,0)</x:f>
        <x:v>1</x:v>
      </x:c>
      <x:c r="F3538" s="21" t="n">
        <x:v>1</x:v>
      </x:c>
      <x:c r="G3538" s="23" t="str">
        <x:f>IF(E3538=F3538,"PASS","FAIL")</x:f>
        <x:v>PASS</x:v>
      </x:c>
    </x:row>
    <x:row r="3539">
      <x:c r="B3539" s="21" t="str">
        <x:v>A03533</x:v>
      </x:c>
      <x:c r="C3539" s="21" t="str">
        <x:v>artifact</x:v>
      </x:c>
      <x:c r="D3539" s="21" t="str">
        <x:v>artifact 1245 eligibility equation</x:v>
      </x:c>
      <x:c r="E3539" s="21" t="n">
        <x:f>IF(ABS('Artifact Ledger'!P1251-IF(AND('Artifact Ledger'!L1251=1,'Artifact Ledger'!M1251=1,'Artifact Ledger'!N1251=1,'Artifact Ledger'!O1251&gt;='Artifact Ledger'!G1251),'Artifact Ledger'!K1251,0))&lt;0.000001,1,0)</x:f>
        <x:v>1</x:v>
      </x:c>
      <x:c r="F3539" s="21" t="n">
        <x:v>1</x:v>
      </x:c>
      <x:c r="G3539" s="23" t="str">
        <x:f>IF(E3539=F3539,"PASS","FAIL")</x:f>
        <x:v>PASS</x:v>
      </x:c>
    </x:row>
    <x:row r="3540">
      <x:c r="B3540" s="21" t="str">
        <x:v>A03534</x:v>
      </x:c>
      <x:c r="C3540" s="21" t="str">
        <x:v>artifact</x:v>
      </x:c>
      <x:c r="D3540" s="21" t="str">
        <x:v>artifact 1245 planning state</x:v>
      </x:c>
      <x:c r="E3540" s="21" t="n">
        <x:f>IF(AND('Artifact Ledger'!Q1251="OPEN",'Artifact Ledger'!R1251="HOLD"),1,0)</x:f>
        <x:v>1</x:v>
      </x:c>
      <x:c r="F3540" s="21" t="n">
        <x:v>1</x:v>
      </x:c>
      <x:c r="G3540" s="23" t="str">
        <x:f>IF(E3540=F3540,"PASS","FAIL")</x:f>
        <x:v>PASS</x:v>
      </x:c>
    </x:row>
    <x:row r="3541">
      <x:c r="B3541" s="21" t="str">
        <x:v>A03535</x:v>
      </x:c>
      <x:c r="C3541" s="21" t="str">
        <x:v>artifact</x:v>
      </x:c>
      <x:c r="D3541" s="21" t="str">
        <x:v>artifact 1246 eligibility equation</x:v>
      </x:c>
      <x:c r="E3541" s="21" t="n">
        <x:f>IF(ABS('Artifact Ledger'!P1252-IF(AND('Artifact Ledger'!L1252=1,'Artifact Ledger'!M1252=1,'Artifact Ledger'!N1252=1,'Artifact Ledger'!O1252&gt;='Artifact Ledger'!G1252),'Artifact Ledger'!K1252,0))&lt;0.000001,1,0)</x:f>
        <x:v>1</x:v>
      </x:c>
      <x:c r="F3541" s="21" t="n">
        <x:v>1</x:v>
      </x:c>
      <x:c r="G3541" s="23" t="str">
        <x:f>IF(E3541=F3541,"PASS","FAIL")</x:f>
        <x:v>PASS</x:v>
      </x:c>
    </x:row>
    <x:row r="3542">
      <x:c r="B3542" s="21" t="str">
        <x:v>A03536</x:v>
      </x:c>
      <x:c r="C3542" s="21" t="str">
        <x:v>artifact</x:v>
      </x:c>
      <x:c r="D3542" s="21" t="str">
        <x:v>artifact 1246 planning state</x:v>
      </x:c>
      <x:c r="E3542" s="21" t="n">
        <x:f>IF(AND('Artifact Ledger'!Q1252="OPEN",'Artifact Ledger'!R1252="HOLD"),1,0)</x:f>
        <x:v>1</x:v>
      </x:c>
      <x:c r="F3542" s="21" t="n">
        <x:v>1</x:v>
      </x:c>
      <x:c r="G3542" s="23" t="str">
        <x:f>IF(E3542=F3542,"PASS","FAIL")</x:f>
        <x:v>PASS</x:v>
      </x:c>
    </x:row>
    <x:row r="3543">
      <x:c r="B3543" s="21" t="str">
        <x:v>A03537</x:v>
      </x:c>
      <x:c r="C3543" s="21" t="str">
        <x:v>artifact</x:v>
      </x:c>
      <x:c r="D3543" s="21" t="str">
        <x:v>artifact 1247 eligibility equation</x:v>
      </x:c>
      <x:c r="E3543" s="21" t="n">
        <x:f>IF(ABS('Artifact Ledger'!P1253-IF(AND('Artifact Ledger'!L1253=1,'Artifact Ledger'!M1253=1,'Artifact Ledger'!N1253=1,'Artifact Ledger'!O1253&gt;='Artifact Ledger'!G1253),'Artifact Ledger'!K1253,0))&lt;0.000001,1,0)</x:f>
        <x:v>1</x:v>
      </x:c>
      <x:c r="F3543" s="21" t="n">
        <x:v>1</x:v>
      </x:c>
      <x:c r="G3543" s="23" t="str">
        <x:f>IF(E3543=F3543,"PASS","FAIL")</x:f>
        <x:v>PASS</x:v>
      </x:c>
    </x:row>
    <x:row r="3544">
      <x:c r="B3544" s="21" t="str">
        <x:v>A03538</x:v>
      </x:c>
      <x:c r="C3544" s="21" t="str">
        <x:v>artifact</x:v>
      </x:c>
      <x:c r="D3544" s="21" t="str">
        <x:v>artifact 1247 planning state</x:v>
      </x:c>
      <x:c r="E3544" s="21" t="n">
        <x:f>IF(AND('Artifact Ledger'!Q1253="OPEN",'Artifact Ledger'!R1253="HOLD"),1,0)</x:f>
        <x:v>1</x:v>
      </x:c>
      <x:c r="F3544" s="21" t="n">
        <x:v>1</x:v>
      </x:c>
      <x:c r="G3544" s="23" t="str">
        <x:f>IF(E3544=F3544,"PASS","FAIL")</x:f>
        <x:v>PASS</x:v>
      </x:c>
    </x:row>
    <x:row r="3545">
      <x:c r="B3545" s="21" t="str">
        <x:v>A03539</x:v>
      </x:c>
      <x:c r="C3545" s="21" t="str">
        <x:v>artifact</x:v>
      </x:c>
      <x:c r="D3545" s="21" t="str">
        <x:v>artifact 1248 eligibility equation</x:v>
      </x:c>
      <x:c r="E3545" s="21" t="n">
        <x:f>IF(ABS('Artifact Ledger'!P1254-IF(AND('Artifact Ledger'!L1254=1,'Artifact Ledger'!M1254=1,'Artifact Ledger'!N1254=1,'Artifact Ledger'!O1254&gt;='Artifact Ledger'!G1254),'Artifact Ledger'!K1254,0))&lt;0.000001,1,0)</x:f>
        <x:v>1</x:v>
      </x:c>
      <x:c r="F3545" s="21" t="n">
        <x:v>1</x:v>
      </x:c>
      <x:c r="G3545" s="23" t="str">
        <x:f>IF(E3545=F3545,"PASS","FAIL")</x:f>
        <x:v>PASS</x:v>
      </x:c>
    </x:row>
    <x:row r="3546">
      <x:c r="B3546" s="21" t="str">
        <x:v>A03540</x:v>
      </x:c>
      <x:c r="C3546" s="21" t="str">
        <x:v>artifact</x:v>
      </x:c>
      <x:c r="D3546" s="21" t="str">
        <x:v>artifact 1248 planning state</x:v>
      </x:c>
      <x:c r="E3546" s="21" t="n">
        <x:f>IF(AND('Artifact Ledger'!Q1254="OPEN",'Artifact Ledger'!R1254="HOLD"),1,0)</x:f>
        <x:v>1</x:v>
      </x:c>
      <x:c r="F3546" s="21" t="n">
        <x:v>1</x:v>
      </x:c>
      <x:c r="G3546" s="23" t="str">
        <x:f>IF(E3546=F3546,"PASS","FAIL")</x:f>
        <x:v>PASS</x:v>
      </x:c>
    </x:row>
    <x:row r="3547">
      <x:c r="B3547" s="21" t="str">
        <x:v>A03541</x:v>
      </x:c>
      <x:c r="C3547" s="21" t="str">
        <x:v>artifact</x:v>
      </x:c>
      <x:c r="D3547" s="21" t="str">
        <x:v>artifact 1249 eligibility equation</x:v>
      </x:c>
      <x:c r="E3547" s="21" t="n">
        <x:f>IF(ABS('Artifact Ledger'!P1255-IF(AND('Artifact Ledger'!L1255=1,'Artifact Ledger'!M1255=1,'Artifact Ledger'!N1255=1,'Artifact Ledger'!O1255&gt;='Artifact Ledger'!G1255),'Artifact Ledger'!K1255,0))&lt;0.000001,1,0)</x:f>
        <x:v>1</x:v>
      </x:c>
      <x:c r="F3547" s="21" t="n">
        <x:v>1</x:v>
      </x:c>
      <x:c r="G3547" s="23" t="str">
        <x:f>IF(E3547=F3547,"PASS","FAIL")</x:f>
        <x:v>PASS</x:v>
      </x:c>
    </x:row>
    <x:row r="3548">
      <x:c r="B3548" s="21" t="str">
        <x:v>A03542</x:v>
      </x:c>
      <x:c r="C3548" s="21" t="str">
        <x:v>artifact</x:v>
      </x:c>
      <x:c r="D3548" s="21" t="str">
        <x:v>artifact 1249 planning state</x:v>
      </x:c>
      <x:c r="E3548" s="21" t="n">
        <x:f>IF(AND('Artifact Ledger'!Q1255="OPEN",'Artifact Ledger'!R1255="HOLD"),1,0)</x:f>
        <x:v>1</x:v>
      </x:c>
      <x:c r="F3548" s="21" t="n">
        <x:v>1</x:v>
      </x:c>
      <x:c r="G3548" s="23" t="str">
        <x:f>IF(E3548=F3548,"PASS","FAIL")</x:f>
        <x:v>PASS</x:v>
      </x:c>
    </x:row>
    <x:row r="3549">
      <x:c r="B3549" s="21" t="str">
        <x:v>A03543</x:v>
      </x:c>
      <x:c r="C3549" s="21" t="str">
        <x:v>artifact</x:v>
      </x:c>
      <x:c r="D3549" s="21" t="str">
        <x:v>artifact 1250 eligibility equation</x:v>
      </x:c>
      <x:c r="E3549" s="21" t="n">
        <x:f>IF(ABS('Artifact Ledger'!P1256-IF(AND('Artifact Ledger'!L1256=1,'Artifact Ledger'!M1256=1,'Artifact Ledger'!N1256=1,'Artifact Ledger'!O1256&gt;='Artifact Ledger'!G1256),'Artifact Ledger'!K1256,0))&lt;0.000001,1,0)</x:f>
        <x:v>1</x:v>
      </x:c>
      <x:c r="F3549" s="21" t="n">
        <x:v>1</x:v>
      </x:c>
      <x:c r="G3549" s="23" t="str">
        <x:f>IF(E3549=F3549,"PASS","FAIL")</x:f>
        <x:v>PASS</x:v>
      </x:c>
    </x:row>
    <x:row r="3550">
      <x:c r="B3550" s="21" t="str">
        <x:v>A03544</x:v>
      </x:c>
      <x:c r="C3550" s="21" t="str">
        <x:v>artifact</x:v>
      </x:c>
      <x:c r="D3550" s="21" t="str">
        <x:v>artifact 1250 planning state</x:v>
      </x:c>
      <x:c r="E3550" s="21" t="n">
        <x:f>IF(AND('Artifact Ledger'!Q1256="OPEN",'Artifact Ledger'!R1256="HOLD"),1,0)</x:f>
        <x:v>1</x:v>
      </x:c>
      <x:c r="F3550" s="21" t="n">
        <x:v>1</x:v>
      </x:c>
      <x:c r="G3550" s="23" t="str">
        <x:f>IF(E3550=F3550,"PASS","FAIL")</x:f>
        <x:v>PASS</x:v>
      </x:c>
    </x:row>
    <x:row r="3551">
      <x:c r="B3551" s="21" t="str">
        <x:v>A03545</x:v>
      </x:c>
      <x:c r="C3551" s="21" t="str">
        <x:v>artifact</x:v>
      </x:c>
      <x:c r="D3551" s="21" t="str">
        <x:v>artifact 1251 eligibility equation</x:v>
      </x:c>
      <x:c r="E3551" s="21" t="n">
        <x:f>IF(ABS('Artifact Ledger'!P1257-IF(AND('Artifact Ledger'!L1257=1,'Artifact Ledger'!M1257=1,'Artifact Ledger'!N1257=1,'Artifact Ledger'!O1257&gt;='Artifact Ledger'!G1257),'Artifact Ledger'!K1257,0))&lt;0.000001,1,0)</x:f>
        <x:v>1</x:v>
      </x:c>
      <x:c r="F3551" s="21" t="n">
        <x:v>1</x:v>
      </x:c>
      <x:c r="G3551" s="23" t="str">
        <x:f>IF(E3551=F3551,"PASS","FAIL")</x:f>
        <x:v>PASS</x:v>
      </x:c>
    </x:row>
    <x:row r="3552">
      <x:c r="B3552" s="21" t="str">
        <x:v>A03546</x:v>
      </x:c>
      <x:c r="C3552" s="21" t="str">
        <x:v>artifact</x:v>
      </x:c>
      <x:c r="D3552" s="21" t="str">
        <x:v>artifact 1251 planning state</x:v>
      </x:c>
      <x:c r="E3552" s="21" t="n">
        <x:f>IF(AND('Artifact Ledger'!Q1257="OPEN",'Artifact Ledger'!R1257="HOLD"),1,0)</x:f>
        <x:v>1</x:v>
      </x:c>
      <x:c r="F3552" s="21" t="n">
        <x:v>1</x:v>
      </x:c>
      <x:c r="G3552" s="23" t="str">
        <x:f>IF(E3552=F3552,"PASS","FAIL")</x:f>
        <x:v>PASS</x:v>
      </x:c>
    </x:row>
    <x:row r="3553">
      <x:c r="B3553" s="21" t="str">
        <x:v>A03547</x:v>
      </x:c>
      <x:c r="C3553" s="21" t="str">
        <x:v>artifact</x:v>
      </x:c>
      <x:c r="D3553" s="21" t="str">
        <x:v>artifact 1252 eligibility equation</x:v>
      </x:c>
      <x:c r="E3553" s="21" t="n">
        <x:f>IF(ABS('Artifact Ledger'!P1258-IF(AND('Artifact Ledger'!L1258=1,'Artifact Ledger'!M1258=1,'Artifact Ledger'!N1258=1,'Artifact Ledger'!O1258&gt;='Artifact Ledger'!G1258),'Artifact Ledger'!K1258,0))&lt;0.000001,1,0)</x:f>
        <x:v>1</x:v>
      </x:c>
      <x:c r="F3553" s="21" t="n">
        <x:v>1</x:v>
      </x:c>
      <x:c r="G3553" s="23" t="str">
        <x:f>IF(E3553=F3553,"PASS","FAIL")</x:f>
        <x:v>PASS</x:v>
      </x:c>
    </x:row>
    <x:row r="3554">
      <x:c r="B3554" s="21" t="str">
        <x:v>A03548</x:v>
      </x:c>
      <x:c r="C3554" s="21" t="str">
        <x:v>artifact</x:v>
      </x:c>
      <x:c r="D3554" s="21" t="str">
        <x:v>artifact 1252 planning state</x:v>
      </x:c>
      <x:c r="E3554" s="21" t="n">
        <x:f>IF(AND('Artifact Ledger'!Q1258="OPEN",'Artifact Ledger'!R1258="HOLD"),1,0)</x:f>
        <x:v>1</x:v>
      </x:c>
      <x:c r="F3554" s="21" t="n">
        <x:v>1</x:v>
      </x:c>
      <x:c r="G3554" s="23" t="str">
        <x:f>IF(E3554=F3554,"PASS","FAIL")</x:f>
        <x:v>PASS</x:v>
      </x:c>
    </x:row>
    <x:row r="3555">
      <x:c r="B3555" s="21" t="str">
        <x:v>A03549</x:v>
      </x:c>
      <x:c r="C3555" s="21" t="str">
        <x:v>artifact</x:v>
      </x:c>
      <x:c r="D3555" s="21" t="str">
        <x:v>artifact 1253 eligibility equation</x:v>
      </x:c>
      <x:c r="E3555" s="21" t="n">
        <x:f>IF(ABS('Artifact Ledger'!P1259-IF(AND('Artifact Ledger'!L1259=1,'Artifact Ledger'!M1259=1,'Artifact Ledger'!N1259=1,'Artifact Ledger'!O1259&gt;='Artifact Ledger'!G1259),'Artifact Ledger'!K1259,0))&lt;0.000001,1,0)</x:f>
        <x:v>1</x:v>
      </x:c>
      <x:c r="F3555" s="21" t="n">
        <x:v>1</x:v>
      </x:c>
      <x:c r="G3555" s="23" t="str">
        <x:f>IF(E3555=F3555,"PASS","FAIL")</x:f>
        <x:v>PASS</x:v>
      </x:c>
    </x:row>
    <x:row r="3556">
      <x:c r="B3556" s="21" t="str">
        <x:v>A03550</x:v>
      </x:c>
      <x:c r="C3556" s="21" t="str">
        <x:v>artifact</x:v>
      </x:c>
      <x:c r="D3556" s="21" t="str">
        <x:v>artifact 1253 planning state</x:v>
      </x:c>
      <x:c r="E3556" s="21" t="n">
        <x:f>IF(AND('Artifact Ledger'!Q1259="OPEN",'Artifact Ledger'!R1259="HOLD"),1,0)</x:f>
        <x:v>1</x:v>
      </x:c>
      <x:c r="F3556" s="21" t="n">
        <x:v>1</x:v>
      </x:c>
      <x:c r="G3556" s="23" t="str">
        <x:f>IF(E3556=F3556,"PASS","FAIL")</x:f>
        <x:v>PASS</x:v>
      </x:c>
    </x:row>
    <x:row r="3557">
      <x:c r="B3557" s="21" t="str">
        <x:v>A03551</x:v>
      </x:c>
      <x:c r="C3557" s="21" t="str">
        <x:v>artifact</x:v>
      </x:c>
      <x:c r="D3557" s="21" t="str">
        <x:v>artifact 1254 eligibility equation</x:v>
      </x:c>
      <x:c r="E3557" s="21" t="n">
        <x:f>IF(ABS('Artifact Ledger'!P1260-IF(AND('Artifact Ledger'!L1260=1,'Artifact Ledger'!M1260=1,'Artifact Ledger'!N1260=1,'Artifact Ledger'!O1260&gt;='Artifact Ledger'!G1260),'Artifact Ledger'!K1260,0))&lt;0.000001,1,0)</x:f>
        <x:v>1</x:v>
      </x:c>
      <x:c r="F3557" s="21" t="n">
        <x:v>1</x:v>
      </x:c>
      <x:c r="G3557" s="23" t="str">
        <x:f>IF(E3557=F3557,"PASS","FAIL")</x:f>
        <x:v>PASS</x:v>
      </x:c>
    </x:row>
    <x:row r="3558">
      <x:c r="B3558" s="21" t="str">
        <x:v>A03552</x:v>
      </x:c>
      <x:c r="C3558" s="21" t="str">
        <x:v>artifact</x:v>
      </x:c>
      <x:c r="D3558" s="21" t="str">
        <x:v>artifact 1254 planning state</x:v>
      </x:c>
      <x:c r="E3558" s="21" t="n">
        <x:f>IF(AND('Artifact Ledger'!Q1260="OPEN",'Artifact Ledger'!R1260="HOLD"),1,0)</x:f>
        <x:v>1</x:v>
      </x:c>
      <x:c r="F3558" s="21" t="n">
        <x:v>1</x:v>
      </x:c>
      <x:c r="G3558" s="23" t="str">
        <x:f>IF(E3558=F3558,"PASS","FAIL")</x:f>
        <x:v>PASS</x:v>
      </x:c>
    </x:row>
    <x:row r="3559">
      <x:c r="B3559" s="21" t="str">
        <x:v>A03553</x:v>
      </x:c>
      <x:c r="C3559" s="21" t="str">
        <x:v>artifact</x:v>
      </x:c>
      <x:c r="D3559" s="21" t="str">
        <x:v>artifact 1255 eligibility equation</x:v>
      </x:c>
      <x:c r="E3559" s="21" t="n">
        <x:f>IF(ABS('Artifact Ledger'!P1261-IF(AND('Artifact Ledger'!L1261=1,'Artifact Ledger'!M1261=1,'Artifact Ledger'!N1261=1,'Artifact Ledger'!O1261&gt;='Artifact Ledger'!G1261),'Artifact Ledger'!K1261,0))&lt;0.000001,1,0)</x:f>
        <x:v>1</x:v>
      </x:c>
      <x:c r="F3559" s="21" t="n">
        <x:v>1</x:v>
      </x:c>
      <x:c r="G3559" s="23" t="str">
        <x:f>IF(E3559=F3559,"PASS","FAIL")</x:f>
        <x:v>PASS</x:v>
      </x:c>
    </x:row>
    <x:row r="3560">
      <x:c r="B3560" s="21" t="str">
        <x:v>A03554</x:v>
      </x:c>
      <x:c r="C3560" s="21" t="str">
        <x:v>artifact</x:v>
      </x:c>
      <x:c r="D3560" s="21" t="str">
        <x:v>artifact 1255 planning state</x:v>
      </x:c>
      <x:c r="E3560" s="21" t="n">
        <x:f>IF(AND('Artifact Ledger'!Q1261="OPEN",'Artifact Ledger'!R1261="HOLD"),1,0)</x:f>
        <x:v>1</x:v>
      </x:c>
      <x:c r="F3560" s="21" t="n">
        <x:v>1</x:v>
      </x:c>
      <x:c r="G3560" s="23" t="str">
        <x:f>IF(E3560=F3560,"PASS","FAIL")</x:f>
        <x:v>PASS</x:v>
      </x:c>
    </x:row>
    <x:row r="3561">
      <x:c r="B3561" s="21" t="str">
        <x:v>A03555</x:v>
      </x:c>
      <x:c r="C3561" s="21" t="str">
        <x:v>artifact</x:v>
      </x:c>
      <x:c r="D3561" s="21" t="str">
        <x:v>artifact 1256 eligibility equation</x:v>
      </x:c>
      <x:c r="E3561" s="21" t="n">
        <x:f>IF(ABS('Artifact Ledger'!P1262-IF(AND('Artifact Ledger'!L1262=1,'Artifact Ledger'!M1262=1,'Artifact Ledger'!N1262=1,'Artifact Ledger'!O1262&gt;='Artifact Ledger'!G1262),'Artifact Ledger'!K1262,0))&lt;0.000001,1,0)</x:f>
        <x:v>1</x:v>
      </x:c>
      <x:c r="F3561" s="21" t="n">
        <x:v>1</x:v>
      </x:c>
      <x:c r="G3561" s="23" t="str">
        <x:f>IF(E3561=F3561,"PASS","FAIL")</x:f>
        <x:v>PASS</x:v>
      </x:c>
    </x:row>
    <x:row r="3562">
      <x:c r="B3562" s="21" t="str">
        <x:v>A03556</x:v>
      </x:c>
      <x:c r="C3562" s="21" t="str">
        <x:v>artifact</x:v>
      </x:c>
      <x:c r="D3562" s="21" t="str">
        <x:v>artifact 1256 planning state</x:v>
      </x:c>
      <x:c r="E3562" s="21" t="n">
        <x:f>IF(AND('Artifact Ledger'!Q1262="OPEN",'Artifact Ledger'!R1262="HOLD"),1,0)</x:f>
        <x:v>1</x:v>
      </x:c>
      <x:c r="F3562" s="21" t="n">
        <x:v>1</x:v>
      </x:c>
      <x:c r="G3562" s="23" t="str">
        <x:f>IF(E3562=F3562,"PASS","FAIL")</x:f>
        <x:v>PASS</x:v>
      </x:c>
    </x:row>
    <x:row r="3563">
      <x:c r="B3563" s="21" t="str">
        <x:v>A03557</x:v>
      </x:c>
      <x:c r="C3563" s="21" t="str">
        <x:v>artifact</x:v>
      </x:c>
      <x:c r="D3563" s="21" t="str">
        <x:v>artifact 1257 eligibility equation</x:v>
      </x:c>
      <x:c r="E3563" s="21" t="n">
        <x:f>IF(ABS('Artifact Ledger'!P1263-IF(AND('Artifact Ledger'!L1263=1,'Artifact Ledger'!M1263=1,'Artifact Ledger'!N1263=1,'Artifact Ledger'!O1263&gt;='Artifact Ledger'!G1263),'Artifact Ledger'!K1263,0))&lt;0.000001,1,0)</x:f>
        <x:v>1</x:v>
      </x:c>
      <x:c r="F3563" s="21" t="n">
        <x:v>1</x:v>
      </x:c>
      <x:c r="G3563" s="23" t="str">
        <x:f>IF(E3563=F3563,"PASS","FAIL")</x:f>
        <x:v>PASS</x:v>
      </x:c>
    </x:row>
    <x:row r="3564">
      <x:c r="B3564" s="21" t="str">
        <x:v>A03558</x:v>
      </x:c>
      <x:c r="C3564" s="21" t="str">
        <x:v>artifact</x:v>
      </x:c>
      <x:c r="D3564" s="21" t="str">
        <x:v>artifact 1257 planning state</x:v>
      </x:c>
      <x:c r="E3564" s="21" t="n">
        <x:f>IF(AND('Artifact Ledger'!Q1263="OPEN",'Artifact Ledger'!R1263="HOLD"),1,0)</x:f>
        <x:v>1</x:v>
      </x:c>
      <x:c r="F3564" s="21" t="n">
        <x:v>1</x:v>
      </x:c>
      <x:c r="G3564" s="23" t="str">
        <x:f>IF(E3564=F3564,"PASS","FAIL")</x:f>
        <x:v>PASS</x:v>
      </x:c>
    </x:row>
    <x:row r="3565">
      <x:c r="B3565" s="21" t="str">
        <x:v>A03559</x:v>
      </x:c>
      <x:c r="C3565" s="21" t="str">
        <x:v>artifact</x:v>
      </x:c>
      <x:c r="D3565" s="21" t="str">
        <x:v>artifact 1258 eligibility equation</x:v>
      </x:c>
      <x:c r="E3565" s="21" t="n">
        <x:f>IF(ABS('Artifact Ledger'!P1264-IF(AND('Artifact Ledger'!L1264=1,'Artifact Ledger'!M1264=1,'Artifact Ledger'!N1264=1,'Artifact Ledger'!O1264&gt;='Artifact Ledger'!G1264),'Artifact Ledger'!K1264,0))&lt;0.000001,1,0)</x:f>
        <x:v>1</x:v>
      </x:c>
      <x:c r="F3565" s="21" t="n">
        <x:v>1</x:v>
      </x:c>
      <x:c r="G3565" s="23" t="str">
        <x:f>IF(E3565=F3565,"PASS","FAIL")</x:f>
        <x:v>PASS</x:v>
      </x:c>
    </x:row>
    <x:row r="3566">
      <x:c r="B3566" s="21" t="str">
        <x:v>A03560</x:v>
      </x:c>
      <x:c r="C3566" s="21" t="str">
        <x:v>artifact</x:v>
      </x:c>
      <x:c r="D3566" s="21" t="str">
        <x:v>artifact 1258 planning state</x:v>
      </x:c>
      <x:c r="E3566" s="21" t="n">
        <x:f>IF(AND('Artifact Ledger'!Q1264="OPEN",'Artifact Ledger'!R1264="HOLD"),1,0)</x:f>
        <x:v>1</x:v>
      </x:c>
      <x:c r="F3566" s="21" t="n">
        <x:v>1</x:v>
      </x:c>
      <x:c r="G3566" s="23" t="str">
        <x:f>IF(E3566=F3566,"PASS","FAIL")</x:f>
        <x:v>PASS</x:v>
      </x:c>
    </x:row>
    <x:row r="3567">
      <x:c r="B3567" s="21" t="str">
        <x:v>A03561</x:v>
      </x:c>
      <x:c r="C3567" s="21" t="str">
        <x:v>artifact</x:v>
      </x:c>
      <x:c r="D3567" s="21" t="str">
        <x:v>artifact 1259 eligibility equation</x:v>
      </x:c>
      <x:c r="E3567" s="21" t="n">
        <x:f>IF(ABS('Artifact Ledger'!P1265-IF(AND('Artifact Ledger'!L1265=1,'Artifact Ledger'!M1265=1,'Artifact Ledger'!N1265=1,'Artifact Ledger'!O1265&gt;='Artifact Ledger'!G1265),'Artifact Ledger'!K1265,0))&lt;0.000001,1,0)</x:f>
        <x:v>1</x:v>
      </x:c>
      <x:c r="F3567" s="21" t="n">
        <x:v>1</x:v>
      </x:c>
      <x:c r="G3567" s="23" t="str">
        <x:f>IF(E3567=F3567,"PASS","FAIL")</x:f>
        <x:v>PASS</x:v>
      </x:c>
    </x:row>
    <x:row r="3568">
      <x:c r="B3568" s="21" t="str">
        <x:v>A03562</x:v>
      </x:c>
      <x:c r="C3568" s="21" t="str">
        <x:v>artifact</x:v>
      </x:c>
      <x:c r="D3568" s="21" t="str">
        <x:v>artifact 1259 planning state</x:v>
      </x:c>
      <x:c r="E3568" s="21" t="n">
        <x:f>IF(AND('Artifact Ledger'!Q1265="OPEN",'Artifact Ledger'!R1265="HOLD"),1,0)</x:f>
        <x:v>1</x:v>
      </x:c>
      <x:c r="F3568" s="21" t="n">
        <x:v>1</x:v>
      </x:c>
      <x:c r="G3568" s="23" t="str">
        <x:f>IF(E3568=F3568,"PASS","FAIL")</x:f>
        <x:v>PASS</x:v>
      </x:c>
    </x:row>
    <x:row r="3569">
      <x:c r="B3569" s="21" t="str">
        <x:v>A03563</x:v>
      </x:c>
      <x:c r="C3569" s="21" t="str">
        <x:v>artifact</x:v>
      </x:c>
      <x:c r="D3569" s="21" t="str">
        <x:v>artifact 1260 eligibility equation</x:v>
      </x:c>
      <x:c r="E3569" s="21" t="n">
        <x:f>IF(ABS('Artifact Ledger'!P1266-IF(AND('Artifact Ledger'!L1266=1,'Artifact Ledger'!M1266=1,'Artifact Ledger'!N1266=1,'Artifact Ledger'!O1266&gt;='Artifact Ledger'!G1266),'Artifact Ledger'!K1266,0))&lt;0.000001,1,0)</x:f>
        <x:v>1</x:v>
      </x:c>
      <x:c r="F3569" s="21" t="n">
        <x:v>1</x:v>
      </x:c>
      <x:c r="G3569" s="23" t="str">
        <x:f>IF(E3569=F3569,"PASS","FAIL")</x:f>
        <x:v>PASS</x:v>
      </x:c>
    </x:row>
    <x:row r="3570">
      <x:c r="B3570" s="21" t="str">
        <x:v>A03564</x:v>
      </x:c>
      <x:c r="C3570" s="21" t="str">
        <x:v>artifact</x:v>
      </x:c>
      <x:c r="D3570" s="21" t="str">
        <x:v>artifact 1260 planning state</x:v>
      </x:c>
      <x:c r="E3570" s="21" t="n">
        <x:f>IF(AND('Artifact Ledger'!Q1266="OPEN",'Artifact Ledger'!R1266="HOLD"),1,0)</x:f>
        <x:v>1</x:v>
      </x:c>
      <x:c r="F3570" s="21" t="n">
        <x:v>1</x:v>
      </x:c>
      <x:c r="G3570" s="23" t="str">
        <x:f>IF(E3570=F3570,"PASS","FAIL")</x:f>
        <x:v>PASS</x:v>
      </x:c>
    </x:row>
    <x:row r="3571">
      <x:c r="B3571" s="21" t="str">
        <x:v>A03565</x:v>
      </x:c>
      <x:c r="C3571" s="21" t="str">
        <x:v>artifact</x:v>
      </x:c>
      <x:c r="D3571" s="21" t="str">
        <x:v>artifact 1261 eligibility equation</x:v>
      </x:c>
      <x:c r="E3571" s="21" t="n">
        <x:f>IF(ABS('Artifact Ledger'!P1267-IF(AND('Artifact Ledger'!L1267=1,'Artifact Ledger'!M1267=1,'Artifact Ledger'!N1267=1,'Artifact Ledger'!O1267&gt;='Artifact Ledger'!G1267),'Artifact Ledger'!K1267,0))&lt;0.000001,1,0)</x:f>
        <x:v>1</x:v>
      </x:c>
      <x:c r="F3571" s="21" t="n">
        <x:v>1</x:v>
      </x:c>
      <x:c r="G3571" s="23" t="str">
        <x:f>IF(E3571=F3571,"PASS","FAIL")</x:f>
        <x:v>PASS</x:v>
      </x:c>
    </x:row>
    <x:row r="3572">
      <x:c r="B3572" s="21" t="str">
        <x:v>A03566</x:v>
      </x:c>
      <x:c r="C3572" s="21" t="str">
        <x:v>artifact</x:v>
      </x:c>
      <x:c r="D3572" s="21" t="str">
        <x:v>artifact 1261 planning state</x:v>
      </x:c>
      <x:c r="E3572" s="21" t="n">
        <x:f>IF(AND('Artifact Ledger'!Q1267="OPEN",'Artifact Ledger'!R1267="HOLD"),1,0)</x:f>
        <x:v>1</x:v>
      </x:c>
      <x:c r="F3572" s="21" t="n">
        <x:v>1</x:v>
      </x:c>
      <x:c r="G3572" s="23" t="str">
        <x:f>IF(E3572=F3572,"PASS","FAIL")</x:f>
        <x:v>PASS</x:v>
      </x:c>
    </x:row>
    <x:row r="3573">
      <x:c r="B3573" s="21" t="str">
        <x:v>A03567</x:v>
      </x:c>
      <x:c r="C3573" s="21" t="str">
        <x:v>artifact</x:v>
      </x:c>
      <x:c r="D3573" s="21" t="str">
        <x:v>artifact 1262 eligibility equation</x:v>
      </x:c>
      <x:c r="E3573" s="21" t="n">
        <x:f>IF(ABS('Artifact Ledger'!P1268-IF(AND('Artifact Ledger'!L1268=1,'Artifact Ledger'!M1268=1,'Artifact Ledger'!N1268=1,'Artifact Ledger'!O1268&gt;='Artifact Ledger'!G1268),'Artifact Ledger'!K1268,0))&lt;0.000001,1,0)</x:f>
        <x:v>1</x:v>
      </x:c>
      <x:c r="F3573" s="21" t="n">
        <x:v>1</x:v>
      </x:c>
      <x:c r="G3573" s="23" t="str">
        <x:f>IF(E3573=F3573,"PASS","FAIL")</x:f>
        <x:v>PASS</x:v>
      </x:c>
    </x:row>
    <x:row r="3574">
      <x:c r="B3574" s="21" t="str">
        <x:v>A03568</x:v>
      </x:c>
      <x:c r="C3574" s="21" t="str">
        <x:v>artifact</x:v>
      </x:c>
      <x:c r="D3574" s="21" t="str">
        <x:v>artifact 1262 planning state</x:v>
      </x:c>
      <x:c r="E3574" s="21" t="n">
        <x:f>IF(AND('Artifact Ledger'!Q1268="OPEN",'Artifact Ledger'!R1268="HOLD"),1,0)</x:f>
        <x:v>1</x:v>
      </x:c>
      <x:c r="F3574" s="21" t="n">
        <x:v>1</x:v>
      </x:c>
      <x:c r="G3574" s="23" t="str">
        <x:f>IF(E3574=F3574,"PASS","FAIL")</x:f>
        <x:v>PASS</x:v>
      </x:c>
    </x:row>
    <x:row r="3575">
      <x:c r="B3575" s="21" t="str">
        <x:v>A03569</x:v>
      </x:c>
      <x:c r="C3575" s="21" t="str">
        <x:v>artifact</x:v>
      </x:c>
      <x:c r="D3575" s="21" t="str">
        <x:v>artifact 1263 eligibility equation</x:v>
      </x:c>
      <x:c r="E3575" s="21" t="n">
        <x:f>IF(ABS('Artifact Ledger'!P1269-IF(AND('Artifact Ledger'!L1269=1,'Artifact Ledger'!M1269=1,'Artifact Ledger'!N1269=1,'Artifact Ledger'!O1269&gt;='Artifact Ledger'!G1269),'Artifact Ledger'!K1269,0))&lt;0.000001,1,0)</x:f>
        <x:v>1</x:v>
      </x:c>
      <x:c r="F3575" s="21" t="n">
        <x:v>1</x:v>
      </x:c>
      <x:c r="G3575" s="23" t="str">
        <x:f>IF(E3575=F3575,"PASS","FAIL")</x:f>
        <x:v>PASS</x:v>
      </x:c>
    </x:row>
    <x:row r="3576">
      <x:c r="B3576" s="21" t="str">
        <x:v>A03570</x:v>
      </x:c>
      <x:c r="C3576" s="21" t="str">
        <x:v>artifact</x:v>
      </x:c>
      <x:c r="D3576" s="21" t="str">
        <x:v>artifact 1263 planning state</x:v>
      </x:c>
      <x:c r="E3576" s="21" t="n">
        <x:f>IF(AND('Artifact Ledger'!Q1269="OPEN",'Artifact Ledger'!R1269="HOLD"),1,0)</x:f>
        <x:v>1</x:v>
      </x:c>
      <x:c r="F3576" s="21" t="n">
        <x:v>1</x:v>
      </x:c>
      <x:c r="G3576" s="23" t="str">
        <x:f>IF(E3576=F3576,"PASS","FAIL")</x:f>
        <x:v>PASS</x:v>
      </x:c>
    </x:row>
    <x:row r="3577">
      <x:c r="B3577" s="21" t="str">
        <x:v>A03571</x:v>
      </x:c>
      <x:c r="C3577" s="21" t="str">
        <x:v>artifact</x:v>
      </x:c>
      <x:c r="D3577" s="21" t="str">
        <x:v>artifact 1264 eligibility equation</x:v>
      </x:c>
      <x:c r="E3577" s="21" t="n">
        <x:f>IF(ABS('Artifact Ledger'!P1270-IF(AND('Artifact Ledger'!L1270=1,'Artifact Ledger'!M1270=1,'Artifact Ledger'!N1270=1,'Artifact Ledger'!O1270&gt;='Artifact Ledger'!G1270),'Artifact Ledger'!K1270,0))&lt;0.000001,1,0)</x:f>
        <x:v>1</x:v>
      </x:c>
      <x:c r="F3577" s="21" t="n">
        <x:v>1</x:v>
      </x:c>
      <x:c r="G3577" s="23" t="str">
        <x:f>IF(E3577=F3577,"PASS","FAIL")</x:f>
        <x:v>PASS</x:v>
      </x:c>
    </x:row>
    <x:row r="3578">
      <x:c r="B3578" s="21" t="str">
        <x:v>A03572</x:v>
      </x:c>
      <x:c r="C3578" s="21" t="str">
        <x:v>artifact</x:v>
      </x:c>
      <x:c r="D3578" s="21" t="str">
        <x:v>artifact 1264 planning state</x:v>
      </x:c>
      <x:c r="E3578" s="21" t="n">
        <x:f>IF(AND('Artifact Ledger'!Q1270="OPEN",'Artifact Ledger'!R1270="HOLD"),1,0)</x:f>
        <x:v>1</x:v>
      </x:c>
      <x:c r="F3578" s="21" t="n">
        <x:v>1</x:v>
      </x:c>
      <x:c r="G3578" s="23" t="str">
        <x:f>IF(E3578=F3578,"PASS","FAIL")</x:f>
        <x:v>PASS</x:v>
      </x:c>
    </x:row>
    <x:row r="3579">
      <x:c r="B3579" s="21" t="str">
        <x:v>A03573</x:v>
      </x:c>
      <x:c r="C3579" s="21" t="str">
        <x:v>artifact</x:v>
      </x:c>
      <x:c r="D3579" s="21" t="str">
        <x:v>artifact 1265 eligibility equation</x:v>
      </x:c>
      <x:c r="E3579" s="21" t="n">
        <x:f>IF(ABS('Artifact Ledger'!P1271-IF(AND('Artifact Ledger'!L1271=1,'Artifact Ledger'!M1271=1,'Artifact Ledger'!N1271=1,'Artifact Ledger'!O1271&gt;='Artifact Ledger'!G1271),'Artifact Ledger'!K1271,0))&lt;0.000001,1,0)</x:f>
        <x:v>1</x:v>
      </x:c>
      <x:c r="F3579" s="21" t="n">
        <x:v>1</x:v>
      </x:c>
      <x:c r="G3579" s="23" t="str">
        <x:f>IF(E3579=F3579,"PASS","FAIL")</x:f>
        <x:v>PASS</x:v>
      </x:c>
    </x:row>
    <x:row r="3580">
      <x:c r="B3580" s="21" t="str">
        <x:v>A03574</x:v>
      </x:c>
      <x:c r="C3580" s="21" t="str">
        <x:v>artifact</x:v>
      </x:c>
      <x:c r="D3580" s="21" t="str">
        <x:v>artifact 1265 planning state</x:v>
      </x:c>
      <x:c r="E3580" s="21" t="n">
        <x:f>IF(AND('Artifact Ledger'!Q1271="OPEN",'Artifact Ledger'!R1271="HOLD"),1,0)</x:f>
        <x:v>1</x:v>
      </x:c>
      <x:c r="F3580" s="21" t="n">
        <x:v>1</x:v>
      </x:c>
      <x:c r="G3580" s="23" t="str">
        <x:f>IF(E3580=F3580,"PASS","FAIL")</x:f>
        <x:v>PASS</x:v>
      </x:c>
    </x:row>
    <x:row r="3581">
      <x:c r="B3581" s="21" t="str">
        <x:v>A03575</x:v>
      </x:c>
      <x:c r="C3581" s="21" t="str">
        <x:v>artifact</x:v>
      </x:c>
      <x:c r="D3581" s="21" t="str">
        <x:v>artifact 1266 eligibility equation</x:v>
      </x:c>
      <x:c r="E3581" s="21" t="n">
        <x:f>IF(ABS('Artifact Ledger'!P1272-IF(AND('Artifact Ledger'!L1272=1,'Artifact Ledger'!M1272=1,'Artifact Ledger'!N1272=1,'Artifact Ledger'!O1272&gt;='Artifact Ledger'!G1272),'Artifact Ledger'!K1272,0))&lt;0.000001,1,0)</x:f>
        <x:v>1</x:v>
      </x:c>
      <x:c r="F3581" s="21" t="n">
        <x:v>1</x:v>
      </x:c>
      <x:c r="G3581" s="23" t="str">
        <x:f>IF(E3581=F3581,"PASS","FAIL")</x:f>
        <x:v>PASS</x:v>
      </x:c>
    </x:row>
    <x:row r="3582">
      <x:c r="B3582" s="21" t="str">
        <x:v>A03576</x:v>
      </x:c>
      <x:c r="C3582" s="21" t="str">
        <x:v>artifact</x:v>
      </x:c>
      <x:c r="D3582" s="21" t="str">
        <x:v>artifact 1266 planning state</x:v>
      </x:c>
      <x:c r="E3582" s="21" t="n">
        <x:f>IF(AND('Artifact Ledger'!Q1272="OPEN",'Artifact Ledger'!R1272="HOLD"),1,0)</x:f>
        <x:v>1</x:v>
      </x:c>
      <x:c r="F3582" s="21" t="n">
        <x:v>1</x:v>
      </x:c>
      <x:c r="G3582" s="23" t="str">
        <x:f>IF(E3582=F3582,"PASS","FAIL")</x:f>
        <x:v>PASS</x:v>
      </x:c>
    </x:row>
    <x:row r="3583">
      <x:c r="B3583" s="21" t="str">
        <x:v>A03577</x:v>
      </x:c>
      <x:c r="C3583" s="21" t="str">
        <x:v>artifact</x:v>
      </x:c>
      <x:c r="D3583" s="21" t="str">
        <x:v>artifact 1267 eligibility equation</x:v>
      </x:c>
      <x:c r="E3583" s="21" t="n">
        <x:f>IF(ABS('Artifact Ledger'!P1273-IF(AND('Artifact Ledger'!L1273=1,'Artifact Ledger'!M1273=1,'Artifact Ledger'!N1273=1,'Artifact Ledger'!O1273&gt;='Artifact Ledger'!G1273),'Artifact Ledger'!K1273,0))&lt;0.000001,1,0)</x:f>
        <x:v>1</x:v>
      </x:c>
      <x:c r="F3583" s="21" t="n">
        <x:v>1</x:v>
      </x:c>
      <x:c r="G3583" s="23" t="str">
        <x:f>IF(E3583=F3583,"PASS","FAIL")</x:f>
        <x:v>PASS</x:v>
      </x:c>
    </x:row>
    <x:row r="3584">
      <x:c r="B3584" s="21" t="str">
        <x:v>A03578</x:v>
      </x:c>
      <x:c r="C3584" s="21" t="str">
        <x:v>artifact</x:v>
      </x:c>
      <x:c r="D3584" s="21" t="str">
        <x:v>artifact 1267 planning state</x:v>
      </x:c>
      <x:c r="E3584" s="21" t="n">
        <x:f>IF(AND('Artifact Ledger'!Q1273="OPEN",'Artifact Ledger'!R1273="HOLD"),1,0)</x:f>
        <x:v>1</x:v>
      </x:c>
      <x:c r="F3584" s="21" t="n">
        <x:v>1</x:v>
      </x:c>
      <x:c r="G3584" s="23" t="str">
        <x:f>IF(E3584=F3584,"PASS","FAIL")</x:f>
        <x:v>PASS</x:v>
      </x:c>
    </x:row>
    <x:row r="3585">
      <x:c r="B3585" s="21" t="str">
        <x:v>A03579</x:v>
      </x:c>
      <x:c r="C3585" s="21" t="str">
        <x:v>artifact</x:v>
      </x:c>
      <x:c r="D3585" s="21" t="str">
        <x:v>artifact 1268 eligibility equation</x:v>
      </x:c>
      <x:c r="E3585" s="21" t="n">
        <x:f>IF(ABS('Artifact Ledger'!P1274-IF(AND('Artifact Ledger'!L1274=1,'Artifact Ledger'!M1274=1,'Artifact Ledger'!N1274=1,'Artifact Ledger'!O1274&gt;='Artifact Ledger'!G1274),'Artifact Ledger'!K1274,0))&lt;0.000001,1,0)</x:f>
        <x:v>1</x:v>
      </x:c>
      <x:c r="F3585" s="21" t="n">
        <x:v>1</x:v>
      </x:c>
      <x:c r="G3585" s="23" t="str">
        <x:f>IF(E3585=F3585,"PASS","FAIL")</x:f>
        <x:v>PASS</x:v>
      </x:c>
    </x:row>
    <x:row r="3586">
      <x:c r="B3586" s="21" t="str">
        <x:v>A03580</x:v>
      </x:c>
      <x:c r="C3586" s="21" t="str">
        <x:v>artifact</x:v>
      </x:c>
      <x:c r="D3586" s="21" t="str">
        <x:v>artifact 1268 planning state</x:v>
      </x:c>
      <x:c r="E3586" s="21" t="n">
        <x:f>IF(AND('Artifact Ledger'!Q1274="OPEN",'Artifact Ledger'!R1274="HOLD"),1,0)</x:f>
        <x:v>1</x:v>
      </x:c>
      <x:c r="F3586" s="21" t="n">
        <x:v>1</x:v>
      </x:c>
      <x:c r="G3586" s="23" t="str">
        <x:f>IF(E3586=F3586,"PASS","FAIL")</x:f>
        <x:v>PASS</x:v>
      </x:c>
    </x:row>
    <x:row r="3587">
      <x:c r="B3587" s="21" t="str">
        <x:v>A03581</x:v>
      </x:c>
      <x:c r="C3587" s="21" t="str">
        <x:v>artifact</x:v>
      </x:c>
      <x:c r="D3587" s="21" t="str">
        <x:v>artifact 1269 eligibility equation</x:v>
      </x:c>
      <x:c r="E3587" s="21" t="n">
        <x:f>IF(ABS('Artifact Ledger'!P1275-IF(AND('Artifact Ledger'!L1275=1,'Artifact Ledger'!M1275=1,'Artifact Ledger'!N1275=1,'Artifact Ledger'!O1275&gt;='Artifact Ledger'!G1275),'Artifact Ledger'!K1275,0))&lt;0.000001,1,0)</x:f>
        <x:v>1</x:v>
      </x:c>
      <x:c r="F3587" s="21" t="n">
        <x:v>1</x:v>
      </x:c>
      <x:c r="G3587" s="23" t="str">
        <x:f>IF(E3587=F3587,"PASS","FAIL")</x:f>
        <x:v>PASS</x:v>
      </x:c>
    </x:row>
    <x:row r="3588">
      <x:c r="B3588" s="21" t="str">
        <x:v>A03582</x:v>
      </x:c>
      <x:c r="C3588" s="21" t="str">
        <x:v>artifact</x:v>
      </x:c>
      <x:c r="D3588" s="21" t="str">
        <x:v>artifact 1269 planning state</x:v>
      </x:c>
      <x:c r="E3588" s="21" t="n">
        <x:f>IF(AND('Artifact Ledger'!Q1275="OPEN",'Artifact Ledger'!R1275="HOLD"),1,0)</x:f>
        <x:v>1</x:v>
      </x:c>
      <x:c r="F3588" s="21" t="n">
        <x:v>1</x:v>
      </x:c>
      <x:c r="G3588" s="23" t="str">
        <x:f>IF(E3588=F3588,"PASS","FAIL")</x:f>
        <x:v>PASS</x:v>
      </x:c>
    </x:row>
    <x:row r="3589">
      <x:c r="B3589" s="21" t="str">
        <x:v>A03583</x:v>
      </x:c>
      <x:c r="C3589" s="21" t="str">
        <x:v>artifact</x:v>
      </x:c>
      <x:c r="D3589" s="21" t="str">
        <x:v>artifact 1270 eligibility equation</x:v>
      </x:c>
      <x:c r="E3589" s="21" t="n">
        <x:f>IF(ABS('Artifact Ledger'!P1276-IF(AND('Artifact Ledger'!L1276=1,'Artifact Ledger'!M1276=1,'Artifact Ledger'!N1276=1,'Artifact Ledger'!O1276&gt;='Artifact Ledger'!G1276),'Artifact Ledger'!K1276,0))&lt;0.000001,1,0)</x:f>
        <x:v>1</x:v>
      </x:c>
      <x:c r="F3589" s="21" t="n">
        <x:v>1</x:v>
      </x:c>
      <x:c r="G3589" s="23" t="str">
        <x:f>IF(E3589=F3589,"PASS","FAIL")</x:f>
        <x:v>PASS</x:v>
      </x:c>
    </x:row>
    <x:row r="3590">
      <x:c r="B3590" s="21" t="str">
        <x:v>A03584</x:v>
      </x:c>
      <x:c r="C3590" s="21" t="str">
        <x:v>artifact</x:v>
      </x:c>
      <x:c r="D3590" s="21" t="str">
        <x:v>artifact 1270 planning state</x:v>
      </x:c>
      <x:c r="E3590" s="21" t="n">
        <x:f>IF(AND('Artifact Ledger'!Q1276="OPEN",'Artifact Ledger'!R1276="HOLD"),1,0)</x:f>
        <x:v>1</x:v>
      </x:c>
      <x:c r="F3590" s="21" t="n">
        <x:v>1</x:v>
      </x:c>
      <x:c r="G3590" s="23" t="str">
        <x:f>IF(E3590=F3590,"PASS","FAIL")</x:f>
        <x:v>PASS</x:v>
      </x:c>
    </x:row>
    <x:row r="3591">
      <x:c r="B3591" s="21" t="str">
        <x:v>A03585</x:v>
      </x:c>
      <x:c r="C3591" s="21" t="str">
        <x:v>artifact</x:v>
      </x:c>
      <x:c r="D3591" s="21" t="str">
        <x:v>artifact 1271 eligibility equation</x:v>
      </x:c>
      <x:c r="E3591" s="21" t="n">
        <x:f>IF(ABS('Artifact Ledger'!P1277-IF(AND('Artifact Ledger'!L1277=1,'Artifact Ledger'!M1277=1,'Artifact Ledger'!N1277=1,'Artifact Ledger'!O1277&gt;='Artifact Ledger'!G1277),'Artifact Ledger'!K1277,0))&lt;0.000001,1,0)</x:f>
        <x:v>1</x:v>
      </x:c>
      <x:c r="F3591" s="21" t="n">
        <x:v>1</x:v>
      </x:c>
      <x:c r="G3591" s="23" t="str">
        <x:f>IF(E3591=F3591,"PASS","FAIL")</x:f>
        <x:v>PASS</x:v>
      </x:c>
    </x:row>
    <x:row r="3592">
      <x:c r="B3592" s="21" t="str">
        <x:v>A03586</x:v>
      </x:c>
      <x:c r="C3592" s="21" t="str">
        <x:v>artifact</x:v>
      </x:c>
      <x:c r="D3592" s="21" t="str">
        <x:v>artifact 1271 planning state</x:v>
      </x:c>
      <x:c r="E3592" s="21" t="n">
        <x:f>IF(AND('Artifact Ledger'!Q1277="OPEN",'Artifact Ledger'!R1277="HOLD"),1,0)</x:f>
        <x:v>1</x:v>
      </x:c>
      <x:c r="F3592" s="21" t="n">
        <x:v>1</x:v>
      </x:c>
      <x:c r="G3592" s="23" t="str">
        <x:f>IF(E3592=F3592,"PASS","FAIL")</x:f>
        <x:v>PASS</x:v>
      </x:c>
    </x:row>
    <x:row r="3593">
      <x:c r="B3593" s="21" t="str">
        <x:v>A03587</x:v>
      </x:c>
      <x:c r="C3593" s="21" t="str">
        <x:v>artifact</x:v>
      </x:c>
      <x:c r="D3593" s="21" t="str">
        <x:v>artifact 1272 eligibility equation</x:v>
      </x:c>
      <x:c r="E3593" s="21" t="n">
        <x:f>IF(ABS('Artifact Ledger'!P1278-IF(AND('Artifact Ledger'!L1278=1,'Artifact Ledger'!M1278=1,'Artifact Ledger'!N1278=1,'Artifact Ledger'!O1278&gt;='Artifact Ledger'!G1278),'Artifact Ledger'!K1278,0))&lt;0.000001,1,0)</x:f>
        <x:v>1</x:v>
      </x:c>
      <x:c r="F3593" s="21" t="n">
        <x:v>1</x:v>
      </x:c>
      <x:c r="G3593" s="23" t="str">
        <x:f>IF(E3593=F3593,"PASS","FAIL")</x:f>
        <x:v>PASS</x:v>
      </x:c>
    </x:row>
    <x:row r="3594">
      <x:c r="B3594" s="21" t="str">
        <x:v>A03588</x:v>
      </x:c>
      <x:c r="C3594" s="21" t="str">
        <x:v>artifact</x:v>
      </x:c>
      <x:c r="D3594" s="21" t="str">
        <x:v>artifact 1272 planning state</x:v>
      </x:c>
      <x:c r="E3594" s="21" t="n">
        <x:f>IF(AND('Artifact Ledger'!Q1278="OPEN",'Artifact Ledger'!R1278="HOLD"),1,0)</x:f>
        <x:v>1</x:v>
      </x:c>
      <x:c r="F3594" s="21" t="n">
        <x:v>1</x:v>
      </x:c>
      <x:c r="G3594" s="23" t="str">
        <x:f>IF(E3594=F3594,"PASS","FAIL")</x:f>
        <x:v>PASS</x:v>
      </x:c>
    </x:row>
    <x:row r="3595">
      <x:c r="B3595" s="21" t="str">
        <x:v>A03589</x:v>
      </x:c>
      <x:c r="C3595" s="21" t="str">
        <x:v>artifact</x:v>
      </x:c>
      <x:c r="D3595" s="21" t="str">
        <x:v>artifact 1273 eligibility equation</x:v>
      </x:c>
      <x:c r="E3595" s="21" t="n">
        <x:f>IF(ABS('Artifact Ledger'!P1279-IF(AND('Artifact Ledger'!L1279=1,'Artifact Ledger'!M1279=1,'Artifact Ledger'!N1279=1,'Artifact Ledger'!O1279&gt;='Artifact Ledger'!G1279),'Artifact Ledger'!K1279,0))&lt;0.000001,1,0)</x:f>
        <x:v>1</x:v>
      </x:c>
      <x:c r="F3595" s="21" t="n">
        <x:v>1</x:v>
      </x:c>
      <x:c r="G3595" s="23" t="str">
        <x:f>IF(E3595=F3595,"PASS","FAIL")</x:f>
        <x:v>PASS</x:v>
      </x:c>
    </x:row>
    <x:row r="3596">
      <x:c r="B3596" s="21" t="str">
        <x:v>A03590</x:v>
      </x:c>
      <x:c r="C3596" s="21" t="str">
        <x:v>artifact</x:v>
      </x:c>
      <x:c r="D3596" s="21" t="str">
        <x:v>artifact 1273 planning state</x:v>
      </x:c>
      <x:c r="E3596" s="21" t="n">
        <x:f>IF(AND('Artifact Ledger'!Q1279="OPEN",'Artifact Ledger'!R1279="HOLD"),1,0)</x:f>
        <x:v>1</x:v>
      </x:c>
      <x:c r="F3596" s="21" t="n">
        <x:v>1</x:v>
      </x:c>
      <x:c r="G3596" s="23" t="str">
        <x:f>IF(E3596=F3596,"PASS","FAIL")</x:f>
        <x:v>PASS</x:v>
      </x:c>
    </x:row>
    <x:row r="3597">
      <x:c r="B3597" s="21" t="str">
        <x:v>A03591</x:v>
      </x:c>
      <x:c r="C3597" s="21" t="str">
        <x:v>artifact</x:v>
      </x:c>
      <x:c r="D3597" s="21" t="str">
        <x:v>artifact 1274 eligibility equation</x:v>
      </x:c>
      <x:c r="E3597" s="21" t="n">
        <x:f>IF(ABS('Artifact Ledger'!P1280-IF(AND('Artifact Ledger'!L1280=1,'Artifact Ledger'!M1280=1,'Artifact Ledger'!N1280=1,'Artifact Ledger'!O1280&gt;='Artifact Ledger'!G1280),'Artifact Ledger'!K1280,0))&lt;0.000001,1,0)</x:f>
        <x:v>1</x:v>
      </x:c>
      <x:c r="F3597" s="21" t="n">
        <x:v>1</x:v>
      </x:c>
      <x:c r="G3597" s="23" t="str">
        <x:f>IF(E3597=F3597,"PASS","FAIL")</x:f>
        <x:v>PASS</x:v>
      </x:c>
    </x:row>
    <x:row r="3598">
      <x:c r="B3598" s="21" t="str">
        <x:v>A03592</x:v>
      </x:c>
      <x:c r="C3598" s="21" t="str">
        <x:v>artifact</x:v>
      </x:c>
      <x:c r="D3598" s="21" t="str">
        <x:v>artifact 1274 planning state</x:v>
      </x:c>
      <x:c r="E3598" s="21" t="n">
        <x:f>IF(AND('Artifact Ledger'!Q1280="OPEN",'Artifact Ledger'!R1280="HOLD"),1,0)</x:f>
        <x:v>1</x:v>
      </x:c>
      <x:c r="F3598" s="21" t="n">
        <x:v>1</x:v>
      </x:c>
      <x:c r="G3598" s="23" t="str">
        <x:f>IF(E3598=F3598,"PASS","FAIL")</x:f>
        <x:v>PASS</x:v>
      </x:c>
    </x:row>
    <x:row r="3599">
      <x:c r="B3599" s="21" t="str">
        <x:v>A03593</x:v>
      </x:c>
      <x:c r="C3599" s="21" t="str">
        <x:v>artifact</x:v>
      </x:c>
      <x:c r="D3599" s="21" t="str">
        <x:v>artifact 1275 eligibility equation</x:v>
      </x:c>
      <x:c r="E3599" s="21" t="n">
        <x:f>IF(ABS('Artifact Ledger'!P1281-IF(AND('Artifact Ledger'!L1281=1,'Artifact Ledger'!M1281=1,'Artifact Ledger'!N1281=1,'Artifact Ledger'!O1281&gt;='Artifact Ledger'!G1281),'Artifact Ledger'!K1281,0))&lt;0.000001,1,0)</x:f>
        <x:v>1</x:v>
      </x:c>
      <x:c r="F3599" s="21" t="n">
        <x:v>1</x:v>
      </x:c>
      <x:c r="G3599" s="23" t="str">
        <x:f>IF(E3599=F3599,"PASS","FAIL")</x:f>
        <x:v>PASS</x:v>
      </x:c>
    </x:row>
    <x:row r="3600">
      <x:c r="B3600" s="21" t="str">
        <x:v>A03594</x:v>
      </x:c>
      <x:c r="C3600" s="21" t="str">
        <x:v>artifact</x:v>
      </x:c>
      <x:c r="D3600" s="21" t="str">
        <x:v>artifact 1275 planning state</x:v>
      </x:c>
      <x:c r="E3600" s="21" t="n">
        <x:f>IF(AND('Artifact Ledger'!Q1281="OPEN",'Artifact Ledger'!R1281="HOLD"),1,0)</x:f>
        <x:v>1</x:v>
      </x:c>
      <x:c r="F3600" s="21" t="n">
        <x:v>1</x:v>
      </x:c>
      <x:c r="G3600" s="23" t="str">
        <x:f>IF(E3600=F3600,"PASS","FAIL")</x:f>
        <x:v>PASS</x:v>
      </x:c>
    </x:row>
    <x:row r="3601">
      <x:c r="B3601" s="21" t="str">
        <x:v>A03595</x:v>
      </x:c>
      <x:c r="C3601" s="21" t="str">
        <x:v>artifact</x:v>
      </x:c>
      <x:c r="D3601" s="21" t="str">
        <x:v>artifact 1276 eligibility equation</x:v>
      </x:c>
      <x:c r="E3601" s="21" t="n">
        <x:f>IF(ABS('Artifact Ledger'!P1282-IF(AND('Artifact Ledger'!L1282=1,'Artifact Ledger'!M1282=1,'Artifact Ledger'!N1282=1,'Artifact Ledger'!O1282&gt;='Artifact Ledger'!G1282),'Artifact Ledger'!K1282,0))&lt;0.000001,1,0)</x:f>
        <x:v>1</x:v>
      </x:c>
      <x:c r="F3601" s="21" t="n">
        <x:v>1</x:v>
      </x:c>
      <x:c r="G3601" s="23" t="str">
        <x:f>IF(E3601=F3601,"PASS","FAIL")</x:f>
        <x:v>PASS</x:v>
      </x:c>
    </x:row>
    <x:row r="3602">
      <x:c r="B3602" s="21" t="str">
        <x:v>A03596</x:v>
      </x:c>
      <x:c r="C3602" s="21" t="str">
        <x:v>artifact</x:v>
      </x:c>
      <x:c r="D3602" s="21" t="str">
        <x:v>artifact 1276 planning state</x:v>
      </x:c>
      <x:c r="E3602" s="21" t="n">
        <x:f>IF(AND('Artifact Ledger'!Q1282="OPEN",'Artifact Ledger'!R1282="HOLD"),1,0)</x:f>
        <x:v>1</x:v>
      </x:c>
      <x:c r="F3602" s="21" t="n">
        <x:v>1</x:v>
      </x:c>
      <x:c r="G3602" s="23" t="str">
        <x:f>IF(E3602=F3602,"PASS","FAIL")</x:f>
        <x:v>PASS</x:v>
      </x:c>
    </x:row>
    <x:row r="3603">
      <x:c r="B3603" s="21" t="str">
        <x:v>A03597</x:v>
      </x:c>
      <x:c r="C3603" s="21" t="str">
        <x:v>artifact</x:v>
      </x:c>
      <x:c r="D3603" s="21" t="str">
        <x:v>artifact 1277 eligibility equation</x:v>
      </x:c>
      <x:c r="E3603" s="21" t="n">
        <x:f>IF(ABS('Artifact Ledger'!P1283-IF(AND('Artifact Ledger'!L1283=1,'Artifact Ledger'!M1283=1,'Artifact Ledger'!N1283=1,'Artifact Ledger'!O1283&gt;='Artifact Ledger'!G1283),'Artifact Ledger'!K1283,0))&lt;0.000001,1,0)</x:f>
        <x:v>1</x:v>
      </x:c>
      <x:c r="F3603" s="21" t="n">
        <x:v>1</x:v>
      </x:c>
      <x:c r="G3603" s="23" t="str">
        <x:f>IF(E3603=F3603,"PASS","FAIL")</x:f>
        <x:v>PASS</x:v>
      </x:c>
    </x:row>
    <x:row r="3604">
      <x:c r="B3604" s="21" t="str">
        <x:v>A03598</x:v>
      </x:c>
      <x:c r="C3604" s="21" t="str">
        <x:v>artifact</x:v>
      </x:c>
      <x:c r="D3604" s="21" t="str">
        <x:v>artifact 1277 planning state</x:v>
      </x:c>
      <x:c r="E3604" s="21" t="n">
        <x:f>IF(AND('Artifact Ledger'!Q1283="OPEN",'Artifact Ledger'!R1283="HOLD"),1,0)</x:f>
        <x:v>1</x:v>
      </x:c>
      <x:c r="F3604" s="21" t="n">
        <x:v>1</x:v>
      </x:c>
      <x:c r="G3604" s="23" t="str">
        <x:f>IF(E3604=F3604,"PASS","FAIL")</x:f>
        <x:v>PASS</x:v>
      </x:c>
    </x:row>
    <x:row r="3605">
      <x:c r="B3605" s="21" t="str">
        <x:v>A03599</x:v>
      </x:c>
      <x:c r="C3605" s="21" t="str">
        <x:v>artifact</x:v>
      </x:c>
      <x:c r="D3605" s="21" t="str">
        <x:v>artifact 1278 eligibility equation</x:v>
      </x:c>
      <x:c r="E3605" s="21" t="n">
        <x:f>IF(ABS('Artifact Ledger'!P1284-IF(AND('Artifact Ledger'!L1284=1,'Artifact Ledger'!M1284=1,'Artifact Ledger'!N1284=1,'Artifact Ledger'!O1284&gt;='Artifact Ledger'!G1284),'Artifact Ledger'!K1284,0))&lt;0.000001,1,0)</x:f>
        <x:v>1</x:v>
      </x:c>
      <x:c r="F3605" s="21" t="n">
        <x:v>1</x:v>
      </x:c>
      <x:c r="G3605" s="23" t="str">
        <x:f>IF(E3605=F3605,"PASS","FAIL")</x:f>
        <x:v>PASS</x:v>
      </x:c>
    </x:row>
    <x:row r="3606">
      <x:c r="B3606" s="21" t="str">
        <x:v>A03600</x:v>
      </x:c>
      <x:c r="C3606" s="21" t="str">
        <x:v>artifact</x:v>
      </x:c>
      <x:c r="D3606" s="21" t="str">
        <x:v>artifact 1278 planning state</x:v>
      </x:c>
      <x:c r="E3606" s="21" t="n">
        <x:f>IF(AND('Artifact Ledger'!Q1284="OPEN",'Artifact Ledger'!R1284="HOLD"),1,0)</x:f>
        <x:v>1</x:v>
      </x:c>
      <x:c r="F3606" s="21" t="n">
        <x:v>1</x:v>
      </x:c>
      <x:c r="G3606" s="23" t="str">
        <x:f>IF(E3606=F3606,"PASS","FAIL")</x:f>
        <x:v>PASS</x:v>
      </x:c>
    </x:row>
    <x:row r="3607">
      <x:c r="B3607" s="21" t="str">
        <x:v>A03601</x:v>
      </x:c>
      <x:c r="C3607" s="21" t="str">
        <x:v>artifact</x:v>
      </x:c>
      <x:c r="D3607" s="21" t="str">
        <x:v>artifact 1279 eligibility equation</x:v>
      </x:c>
      <x:c r="E3607" s="21" t="n">
        <x:f>IF(ABS('Artifact Ledger'!P1285-IF(AND('Artifact Ledger'!L1285=1,'Artifact Ledger'!M1285=1,'Artifact Ledger'!N1285=1,'Artifact Ledger'!O1285&gt;='Artifact Ledger'!G1285),'Artifact Ledger'!K1285,0))&lt;0.000001,1,0)</x:f>
        <x:v>1</x:v>
      </x:c>
      <x:c r="F3607" s="21" t="n">
        <x:v>1</x:v>
      </x:c>
      <x:c r="G3607" s="23" t="str">
        <x:f>IF(E3607=F3607,"PASS","FAIL")</x:f>
        <x:v>PASS</x:v>
      </x:c>
    </x:row>
    <x:row r="3608">
      <x:c r="B3608" s="21" t="str">
        <x:v>A03602</x:v>
      </x:c>
      <x:c r="C3608" s="21" t="str">
        <x:v>artifact</x:v>
      </x:c>
      <x:c r="D3608" s="21" t="str">
        <x:v>artifact 1279 planning state</x:v>
      </x:c>
      <x:c r="E3608" s="21" t="n">
        <x:f>IF(AND('Artifact Ledger'!Q1285="OPEN",'Artifact Ledger'!R1285="HOLD"),1,0)</x:f>
        <x:v>1</x:v>
      </x:c>
      <x:c r="F3608" s="21" t="n">
        <x:v>1</x:v>
      </x:c>
      <x:c r="G3608" s="23" t="str">
        <x:f>IF(E3608=F3608,"PASS","FAIL")</x:f>
        <x:v>PASS</x:v>
      </x:c>
    </x:row>
    <x:row r="3609">
      <x:c r="B3609" s="21" t="str">
        <x:v>A03603</x:v>
      </x:c>
      <x:c r="C3609" s="21" t="str">
        <x:v>artifact</x:v>
      </x:c>
      <x:c r="D3609" s="21" t="str">
        <x:v>artifact 1280 eligibility equation</x:v>
      </x:c>
      <x:c r="E3609" s="21" t="n">
        <x:f>IF(ABS('Artifact Ledger'!P1286-IF(AND('Artifact Ledger'!L1286=1,'Artifact Ledger'!M1286=1,'Artifact Ledger'!N1286=1,'Artifact Ledger'!O1286&gt;='Artifact Ledger'!G1286),'Artifact Ledger'!K1286,0))&lt;0.000001,1,0)</x:f>
        <x:v>1</x:v>
      </x:c>
      <x:c r="F3609" s="21" t="n">
        <x:v>1</x:v>
      </x:c>
      <x:c r="G3609" s="23" t="str">
        <x:f>IF(E3609=F3609,"PASS","FAIL")</x:f>
        <x:v>PASS</x:v>
      </x:c>
    </x:row>
    <x:row r="3610">
      <x:c r="B3610" s="21" t="str">
        <x:v>A03604</x:v>
      </x:c>
      <x:c r="C3610" s="21" t="str">
        <x:v>artifact</x:v>
      </x:c>
      <x:c r="D3610" s="21" t="str">
        <x:v>artifact 1280 planning state</x:v>
      </x:c>
      <x:c r="E3610" s="21" t="n">
        <x:f>IF(AND('Artifact Ledger'!Q1286="OPEN",'Artifact Ledger'!R1286="HOLD"),1,0)</x:f>
        <x:v>1</x:v>
      </x:c>
      <x:c r="F3610" s="21" t="n">
        <x:v>1</x:v>
      </x:c>
      <x:c r="G3610" s="23" t="str">
        <x:f>IF(E3610=F3610,"PASS","FAIL")</x:f>
        <x:v>PASS</x:v>
      </x:c>
    </x:row>
    <x:row r="3611">
      <x:c r="B3611" s="21" t="str">
        <x:v>A03605</x:v>
      </x:c>
      <x:c r="C3611" s="21" t="str">
        <x:v>artifact</x:v>
      </x:c>
      <x:c r="D3611" s="21" t="str">
        <x:v>artifact 1281 eligibility equation</x:v>
      </x:c>
      <x:c r="E3611" s="21" t="n">
        <x:f>IF(ABS('Artifact Ledger'!P1287-IF(AND('Artifact Ledger'!L1287=1,'Artifact Ledger'!M1287=1,'Artifact Ledger'!N1287=1,'Artifact Ledger'!O1287&gt;='Artifact Ledger'!G1287),'Artifact Ledger'!K1287,0))&lt;0.000001,1,0)</x:f>
        <x:v>1</x:v>
      </x:c>
      <x:c r="F3611" s="21" t="n">
        <x:v>1</x:v>
      </x:c>
      <x:c r="G3611" s="23" t="str">
        <x:f>IF(E3611=F3611,"PASS","FAIL")</x:f>
        <x:v>PASS</x:v>
      </x:c>
    </x:row>
    <x:row r="3612">
      <x:c r="B3612" s="21" t="str">
        <x:v>A03606</x:v>
      </x:c>
      <x:c r="C3612" s="21" t="str">
        <x:v>artifact</x:v>
      </x:c>
      <x:c r="D3612" s="21" t="str">
        <x:v>artifact 1281 planning state</x:v>
      </x:c>
      <x:c r="E3612" s="21" t="n">
        <x:f>IF(AND('Artifact Ledger'!Q1287="OPEN",'Artifact Ledger'!R1287="HOLD"),1,0)</x:f>
        <x:v>1</x:v>
      </x:c>
      <x:c r="F3612" s="21" t="n">
        <x:v>1</x:v>
      </x:c>
      <x:c r="G3612" s="23" t="str">
        <x:f>IF(E3612=F3612,"PASS","FAIL")</x:f>
        <x:v>PASS</x:v>
      </x:c>
    </x:row>
    <x:row r="3613">
      <x:c r="B3613" s="21" t="str">
        <x:v>A03607</x:v>
      </x:c>
      <x:c r="C3613" s="21" t="str">
        <x:v>artifact</x:v>
      </x:c>
      <x:c r="D3613" s="21" t="str">
        <x:v>artifact 1282 eligibility equation</x:v>
      </x:c>
      <x:c r="E3613" s="21" t="n">
        <x:f>IF(ABS('Artifact Ledger'!P1288-IF(AND('Artifact Ledger'!L1288=1,'Artifact Ledger'!M1288=1,'Artifact Ledger'!N1288=1,'Artifact Ledger'!O1288&gt;='Artifact Ledger'!G1288),'Artifact Ledger'!K1288,0))&lt;0.000001,1,0)</x:f>
        <x:v>1</x:v>
      </x:c>
      <x:c r="F3613" s="21" t="n">
        <x:v>1</x:v>
      </x:c>
      <x:c r="G3613" s="23" t="str">
        <x:f>IF(E3613=F3613,"PASS","FAIL")</x:f>
        <x:v>PASS</x:v>
      </x:c>
    </x:row>
    <x:row r="3614">
      <x:c r="B3614" s="21" t="str">
        <x:v>A03608</x:v>
      </x:c>
      <x:c r="C3614" s="21" t="str">
        <x:v>artifact</x:v>
      </x:c>
      <x:c r="D3614" s="21" t="str">
        <x:v>artifact 1282 planning state</x:v>
      </x:c>
      <x:c r="E3614" s="21" t="n">
        <x:f>IF(AND('Artifact Ledger'!Q1288="OPEN",'Artifact Ledger'!R1288="HOLD"),1,0)</x:f>
        <x:v>1</x:v>
      </x:c>
      <x:c r="F3614" s="21" t="n">
        <x:v>1</x:v>
      </x:c>
      <x:c r="G3614" s="23" t="str">
        <x:f>IF(E3614=F3614,"PASS","FAIL")</x:f>
        <x:v>PASS</x:v>
      </x:c>
    </x:row>
    <x:row r="3615">
      <x:c r="B3615" s="21" t="str">
        <x:v>A03609</x:v>
      </x:c>
      <x:c r="C3615" s="21" t="str">
        <x:v>artifact</x:v>
      </x:c>
      <x:c r="D3615" s="21" t="str">
        <x:v>artifact 1283 eligibility equation</x:v>
      </x:c>
      <x:c r="E3615" s="21" t="n">
        <x:f>IF(ABS('Artifact Ledger'!P1289-IF(AND('Artifact Ledger'!L1289=1,'Artifact Ledger'!M1289=1,'Artifact Ledger'!N1289=1,'Artifact Ledger'!O1289&gt;='Artifact Ledger'!G1289),'Artifact Ledger'!K1289,0))&lt;0.000001,1,0)</x:f>
        <x:v>1</x:v>
      </x:c>
      <x:c r="F3615" s="21" t="n">
        <x:v>1</x:v>
      </x:c>
      <x:c r="G3615" s="23" t="str">
        <x:f>IF(E3615=F3615,"PASS","FAIL")</x:f>
        <x:v>PASS</x:v>
      </x:c>
    </x:row>
    <x:row r="3616">
      <x:c r="B3616" s="21" t="str">
        <x:v>A03610</x:v>
      </x:c>
      <x:c r="C3616" s="21" t="str">
        <x:v>artifact</x:v>
      </x:c>
      <x:c r="D3616" s="21" t="str">
        <x:v>artifact 1283 planning state</x:v>
      </x:c>
      <x:c r="E3616" s="21" t="n">
        <x:f>IF(AND('Artifact Ledger'!Q1289="OPEN",'Artifact Ledger'!R1289="HOLD"),1,0)</x:f>
        <x:v>1</x:v>
      </x:c>
      <x:c r="F3616" s="21" t="n">
        <x:v>1</x:v>
      </x:c>
      <x:c r="G3616" s="23" t="str">
        <x:f>IF(E3616=F3616,"PASS","FAIL")</x:f>
        <x:v>PASS</x:v>
      </x:c>
    </x:row>
    <x:row r="3617">
      <x:c r="B3617" s="21" t="str">
        <x:v>A03611</x:v>
      </x:c>
      <x:c r="C3617" s="21" t="str">
        <x:v>artifact</x:v>
      </x:c>
      <x:c r="D3617" s="21" t="str">
        <x:v>artifact 1284 eligibility equation</x:v>
      </x:c>
      <x:c r="E3617" s="21" t="n">
        <x:f>IF(ABS('Artifact Ledger'!P1290-IF(AND('Artifact Ledger'!L1290=1,'Artifact Ledger'!M1290=1,'Artifact Ledger'!N1290=1,'Artifact Ledger'!O1290&gt;='Artifact Ledger'!G1290),'Artifact Ledger'!K1290,0))&lt;0.000001,1,0)</x:f>
        <x:v>1</x:v>
      </x:c>
      <x:c r="F3617" s="21" t="n">
        <x:v>1</x:v>
      </x:c>
      <x:c r="G3617" s="23" t="str">
        <x:f>IF(E3617=F3617,"PASS","FAIL")</x:f>
        <x:v>PASS</x:v>
      </x:c>
    </x:row>
    <x:row r="3618">
      <x:c r="B3618" s="21" t="str">
        <x:v>A03612</x:v>
      </x:c>
      <x:c r="C3618" s="21" t="str">
        <x:v>artifact</x:v>
      </x:c>
      <x:c r="D3618" s="21" t="str">
        <x:v>artifact 1284 planning state</x:v>
      </x:c>
      <x:c r="E3618" s="21" t="n">
        <x:f>IF(AND('Artifact Ledger'!Q1290="OPEN",'Artifact Ledger'!R1290="HOLD"),1,0)</x:f>
        <x:v>1</x:v>
      </x:c>
      <x:c r="F3618" s="21" t="n">
        <x:v>1</x:v>
      </x:c>
      <x:c r="G3618" s="23" t="str">
        <x:f>IF(E3618=F3618,"PASS","FAIL")</x:f>
        <x:v>PASS</x:v>
      </x:c>
    </x:row>
    <x:row r="3619">
      <x:c r="B3619" s="21" t="str">
        <x:v>A03613</x:v>
      </x:c>
      <x:c r="C3619" s="21" t="str">
        <x:v>artifact</x:v>
      </x:c>
      <x:c r="D3619" s="21" t="str">
        <x:v>artifact 1285 eligibility equation</x:v>
      </x:c>
      <x:c r="E3619" s="21" t="n">
        <x:f>IF(ABS('Artifact Ledger'!P1291-IF(AND('Artifact Ledger'!L1291=1,'Artifact Ledger'!M1291=1,'Artifact Ledger'!N1291=1,'Artifact Ledger'!O1291&gt;='Artifact Ledger'!G1291),'Artifact Ledger'!K1291,0))&lt;0.000001,1,0)</x:f>
        <x:v>1</x:v>
      </x:c>
      <x:c r="F3619" s="21" t="n">
        <x:v>1</x:v>
      </x:c>
      <x:c r="G3619" s="23" t="str">
        <x:f>IF(E3619=F3619,"PASS","FAIL")</x:f>
        <x:v>PASS</x:v>
      </x:c>
    </x:row>
    <x:row r="3620">
      <x:c r="B3620" s="21" t="str">
        <x:v>A03614</x:v>
      </x:c>
      <x:c r="C3620" s="21" t="str">
        <x:v>artifact</x:v>
      </x:c>
      <x:c r="D3620" s="21" t="str">
        <x:v>artifact 1285 planning state</x:v>
      </x:c>
      <x:c r="E3620" s="21" t="n">
        <x:f>IF(AND('Artifact Ledger'!Q1291="OPEN",'Artifact Ledger'!R1291="HOLD"),1,0)</x:f>
        <x:v>1</x:v>
      </x:c>
      <x:c r="F3620" s="21" t="n">
        <x:v>1</x:v>
      </x:c>
      <x:c r="G3620" s="23" t="str">
        <x:f>IF(E3620=F3620,"PASS","FAIL")</x:f>
        <x:v>PASS</x:v>
      </x:c>
    </x:row>
    <x:row r="3621">
      <x:c r="B3621" s="21" t="str">
        <x:v>A03615</x:v>
      </x:c>
      <x:c r="C3621" s="21" t="str">
        <x:v>artifact</x:v>
      </x:c>
      <x:c r="D3621" s="21" t="str">
        <x:v>artifact 1286 eligibility equation</x:v>
      </x:c>
      <x:c r="E3621" s="21" t="n">
        <x:f>IF(ABS('Artifact Ledger'!P1292-IF(AND('Artifact Ledger'!L1292=1,'Artifact Ledger'!M1292=1,'Artifact Ledger'!N1292=1,'Artifact Ledger'!O1292&gt;='Artifact Ledger'!G1292),'Artifact Ledger'!K1292,0))&lt;0.000001,1,0)</x:f>
        <x:v>1</x:v>
      </x:c>
      <x:c r="F3621" s="21" t="n">
        <x:v>1</x:v>
      </x:c>
      <x:c r="G3621" s="23" t="str">
        <x:f>IF(E3621=F3621,"PASS","FAIL")</x:f>
        <x:v>PASS</x:v>
      </x:c>
    </x:row>
    <x:row r="3622">
      <x:c r="B3622" s="21" t="str">
        <x:v>A03616</x:v>
      </x:c>
      <x:c r="C3622" s="21" t="str">
        <x:v>artifact</x:v>
      </x:c>
      <x:c r="D3622" s="21" t="str">
        <x:v>artifact 1286 planning state</x:v>
      </x:c>
      <x:c r="E3622" s="21" t="n">
        <x:f>IF(AND('Artifact Ledger'!Q1292="OPEN",'Artifact Ledger'!R1292="HOLD"),1,0)</x:f>
        <x:v>1</x:v>
      </x:c>
      <x:c r="F3622" s="21" t="n">
        <x:v>1</x:v>
      </x:c>
      <x:c r="G3622" s="23" t="str">
        <x:f>IF(E3622=F3622,"PASS","FAIL")</x:f>
        <x:v>PASS</x:v>
      </x:c>
    </x:row>
    <x:row r="3623">
      <x:c r="B3623" s="21" t="str">
        <x:v>A03617</x:v>
      </x:c>
      <x:c r="C3623" s="21" t="str">
        <x:v>artifact</x:v>
      </x:c>
      <x:c r="D3623" s="21" t="str">
        <x:v>artifact 1287 eligibility equation</x:v>
      </x:c>
      <x:c r="E3623" s="21" t="n">
        <x:f>IF(ABS('Artifact Ledger'!P1293-IF(AND('Artifact Ledger'!L1293=1,'Artifact Ledger'!M1293=1,'Artifact Ledger'!N1293=1,'Artifact Ledger'!O1293&gt;='Artifact Ledger'!G1293),'Artifact Ledger'!K1293,0))&lt;0.000001,1,0)</x:f>
        <x:v>1</x:v>
      </x:c>
      <x:c r="F3623" s="21" t="n">
        <x:v>1</x:v>
      </x:c>
      <x:c r="G3623" s="23" t="str">
        <x:f>IF(E3623=F3623,"PASS","FAIL")</x:f>
        <x:v>PASS</x:v>
      </x:c>
    </x:row>
    <x:row r="3624">
      <x:c r="B3624" s="21" t="str">
        <x:v>A03618</x:v>
      </x:c>
      <x:c r="C3624" s="21" t="str">
        <x:v>artifact</x:v>
      </x:c>
      <x:c r="D3624" s="21" t="str">
        <x:v>artifact 1287 planning state</x:v>
      </x:c>
      <x:c r="E3624" s="21" t="n">
        <x:f>IF(AND('Artifact Ledger'!Q1293="OPEN",'Artifact Ledger'!R1293="HOLD"),1,0)</x:f>
        <x:v>1</x:v>
      </x:c>
      <x:c r="F3624" s="21" t="n">
        <x:v>1</x:v>
      </x:c>
      <x:c r="G3624" s="23" t="str">
        <x:f>IF(E3624=F3624,"PASS","FAIL")</x:f>
        <x:v>PASS</x:v>
      </x:c>
    </x:row>
    <x:row r="3625">
      <x:c r="B3625" s="21" t="str">
        <x:v>A03619</x:v>
      </x:c>
      <x:c r="C3625" s="21" t="str">
        <x:v>artifact</x:v>
      </x:c>
      <x:c r="D3625" s="21" t="str">
        <x:v>artifact 1288 eligibility equation</x:v>
      </x:c>
      <x:c r="E3625" s="21" t="n">
        <x:f>IF(ABS('Artifact Ledger'!P1294-IF(AND('Artifact Ledger'!L1294=1,'Artifact Ledger'!M1294=1,'Artifact Ledger'!N1294=1,'Artifact Ledger'!O1294&gt;='Artifact Ledger'!G1294),'Artifact Ledger'!K1294,0))&lt;0.000001,1,0)</x:f>
        <x:v>1</x:v>
      </x:c>
      <x:c r="F3625" s="21" t="n">
        <x:v>1</x:v>
      </x:c>
      <x:c r="G3625" s="23" t="str">
        <x:f>IF(E3625=F3625,"PASS","FAIL")</x:f>
        <x:v>PASS</x:v>
      </x:c>
    </x:row>
    <x:row r="3626">
      <x:c r="B3626" s="21" t="str">
        <x:v>A03620</x:v>
      </x:c>
      <x:c r="C3626" s="21" t="str">
        <x:v>artifact</x:v>
      </x:c>
      <x:c r="D3626" s="21" t="str">
        <x:v>artifact 1288 planning state</x:v>
      </x:c>
      <x:c r="E3626" s="21" t="n">
        <x:f>IF(AND('Artifact Ledger'!Q1294="OPEN",'Artifact Ledger'!R1294="HOLD"),1,0)</x:f>
        <x:v>1</x:v>
      </x:c>
      <x:c r="F3626" s="21" t="n">
        <x:v>1</x:v>
      </x:c>
      <x:c r="G3626" s="23" t="str">
        <x:f>IF(E3626=F3626,"PASS","FAIL")</x:f>
        <x:v>PASS</x:v>
      </x:c>
    </x:row>
    <x:row r="3627">
      <x:c r="B3627" s="21" t="str">
        <x:v>A03621</x:v>
      </x:c>
      <x:c r="C3627" s="21" t="str">
        <x:v>artifact</x:v>
      </x:c>
      <x:c r="D3627" s="21" t="str">
        <x:v>artifact 1289 eligibility equation</x:v>
      </x:c>
      <x:c r="E3627" s="21" t="n">
        <x:f>IF(ABS('Artifact Ledger'!P1295-IF(AND('Artifact Ledger'!L1295=1,'Artifact Ledger'!M1295=1,'Artifact Ledger'!N1295=1,'Artifact Ledger'!O1295&gt;='Artifact Ledger'!G1295),'Artifact Ledger'!K1295,0))&lt;0.000001,1,0)</x:f>
        <x:v>1</x:v>
      </x:c>
      <x:c r="F3627" s="21" t="n">
        <x:v>1</x:v>
      </x:c>
      <x:c r="G3627" s="23" t="str">
        <x:f>IF(E3627=F3627,"PASS","FAIL")</x:f>
        <x:v>PASS</x:v>
      </x:c>
    </x:row>
    <x:row r="3628">
      <x:c r="B3628" s="21" t="str">
        <x:v>A03622</x:v>
      </x:c>
      <x:c r="C3628" s="21" t="str">
        <x:v>artifact</x:v>
      </x:c>
      <x:c r="D3628" s="21" t="str">
        <x:v>artifact 1289 planning state</x:v>
      </x:c>
      <x:c r="E3628" s="21" t="n">
        <x:f>IF(AND('Artifact Ledger'!Q1295="OPEN",'Artifact Ledger'!R1295="HOLD"),1,0)</x:f>
        <x:v>1</x:v>
      </x:c>
      <x:c r="F3628" s="21" t="n">
        <x:v>1</x:v>
      </x:c>
      <x:c r="G3628" s="23" t="str">
        <x:f>IF(E3628=F3628,"PASS","FAIL")</x:f>
        <x:v>PASS</x:v>
      </x:c>
    </x:row>
    <x:row r="3629">
      <x:c r="B3629" s="21" t="str">
        <x:v>A03623</x:v>
      </x:c>
      <x:c r="C3629" s="21" t="str">
        <x:v>artifact</x:v>
      </x:c>
      <x:c r="D3629" s="21" t="str">
        <x:v>artifact 1290 eligibility equation</x:v>
      </x:c>
      <x:c r="E3629" s="21" t="n">
        <x:f>IF(ABS('Artifact Ledger'!P1296-IF(AND('Artifact Ledger'!L1296=1,'Artifact Ledger'!M1296=1,'Artifact Ledger'!N1296=1,'Artifact Ledger'!O1296&gt;='Artifact Ledger'!G1296),'Artifact Ledger'!K1296,0))&lt;0.000001,1,0)</x:f>
        <x:v>1</x:v>
      </x:c>
      <x:c r="F3629" s="21" t="n">
        <x:v>1</x:v>
      </x:c>
      <x:c r="G3629" s="23" t="str">
        <x:f>IF(E3629=F3629,"PASS","FAIL")</x:f>
        <x:v>PASS</x:v>
      </x:c>
    </x:row>
    <x:row r="3630">
      <x:c r="B3630" s="21" t="str">
        <x:v>A03624</x:v>
      </x:c>
      <x:c r="C3630" s="21" t="str">
        <x:v>artifact</x:v>
      </x:c>
      <x:c r="D3630" s="21" t="str">
        <x:v>artifact 1290 planning state</x:v>
      </x:c>
      <x:c r="E3630" s="21" t="n">
        <x:f>IF(AND('Artifact Ledger'!Q1296="OPEN",'Artifact Ledger'!R1296="HOLD"),1,0)</x:f>
        <x:v>1</x:v>
      </x:c>
      <x:c r="F3630" s="21" t="n">
        <x:v>1</x:v>
      </x:c>
      <x:c r="G3630" s="23" t="str">
        <x:f>IF(E3630=F3630,"PASS","FAIL")</x:f>
        <x:v>PASS</x:v>
      </x:c>
    </x:row>
    <x:row r="3631">
      <x:c r="B3631" s="21" t="str">
        <x:v>A03625</x:v>
      </x:c>
      <x:c r="C3631" s="21" t="str">
        <x:v>artifact</x:v>
      </x:c>
      <x:c r="D3631" s="21" t="str">
        <x:v>artifact 1291 eligibility equation</x:v>
      </x:c>
      <x:c r="E3631" s="21" t="n">
        <x:f>IF(ABS('Artifact Ledger'!P1297-IF(AND('Artifact Ledger'!L1297=1,'Artifact Ledger'!M1297=1,'Artifact Ledger'!N1297=1,'Artifact Ledger'!O1297&gt;='Artifact Ledger'!G1297),'Artifact Ledger'!K1297,0))&lt;0.000001,1,0)</x:f>
        <x:v>1</x:v>
      </x:c>
      <x:c r="F3631" s="21" t="n">
        <x:v>1</x:v>
      </x:c>
      <x:c r="G3631" s="23" t="str">
        <x:f>IF(E3631=F3631,"PASS","FAIL")</x:f>
        <x:v>PASS</x:v>
      </x:c>
    </x:row>
    <x:row r="3632">
      <x:c r="B3632" s="21" t="str">
        <x:v>A03626</x:v>
      </x:c>
      <x:c r="C3632" s="21" t="str">
        <x:v>artifact</x:v>
      </x:c>
      <x:c r="D3632" s="21" t="str">
        <x:v>artifact 1291 planning state</x:v>
      </x:c>
      <x:c r="E3632" s="21" t="n">
        <x:f>IF(AND('Artifact Ledger'!Q1297="OPEN",'Artifact Ledger'!R1297="HOLD"),1,0)</x:f>
        <x:v>1</x:v>
      </x:c>
      <x:c r="F3632" s="21" t="n">
        <x:v>1</x:v>
      </x:c>
      <x:c r="G3632" s="23" t="str">
        <x:f>IF(E3632=F3632,"PASS","FAIL")</x:f>
        <x:v>PASS</x:v>
      </x:c>
    </x:row>
    <x:row r="3633">
      <x:c r="B3633" s="21" t="str">
        <x:v>A03627</x:v>
      </x:c>
      <x:c r="C3633" s="21" t="str">
        <x:v>artifact</x:v>
      </x:c>
      <x:c r="D3633" s="21" t="str">
        <x:v>artifact 1292 eligibility equation</x:v>
      </x:c>
      <x:c r="E3633" s="21" t="n">
        <x:f>IF(ABS('Artifact Ledger'!P1298-IF(AND('Artifact Ledger'!L1298=1,'Artifact Ledger'!M1298=1,'Artifact Ledger'!N1298=1,'Artifact Ledger'!O1298&gt;='Artifact Ledger'!G1298),'Artifact Ledger'!K1298,0))&lt;0.000001,1,0)</x:f>
        <x:v>1</x:v>
      </x:c>
      <x:c r="F3633" s="21" t="n">
        <x:v>1</x:v>
      </x:c>
      <x:c r="G3633" s="23" t="str">
        <x:f>IF(E3633=F3633,"PASS","FAIL")</x:f>
        <x:v>PASS</x:v>
      </x:c>
    </x:row>
    <x:row r="3634">
      <x:c r="B3634" s="21" t="str">
        <x:v>A03628</x:v>
      </x:c>
      <x:c r="C3634" s="21" t="str">
        <x:v>artifact</x:v>
      </x:c>
      <x:c r="D3634" s="21" t="str">
        <x:v>artifact 1292 planning state</x:v>
      </x:c>
      <x:c r="E3634" s="21" t="n">
        <x:f>IF(AND('Artifact Ledger'!Q1298="OPEN",'Artifact Ledger'!R1298="HOLD"),1,0)</x:f>
        <x:v>1</x:v>
      </x:c>
      <x:c r="F3634" s="21" t="n">
        <x:v>1</x:v>
      </x:c>
      <x:c r="G3634" s="23" t="str">
        <x:f>IF(E3634=F3634,"PASS","FAIL")</x:f>
        <x:v>PASS</x:v>
      </x:c>
    </x:row>
    <x:row r="3635">
      <x:c r="B3635" s="21" t="str">
        <x:v>A03629</x:v>
      </x:c>
      <x:c r="C3635" s="21" t="str">
        <x:v>artifact</x:v>
      </x:c>
      <x:c r="D3635" s="21" t="str">
        <x:v>artifact 1293 eligibility equation</x:v>
      </x:c>
      <x:c r="E3635" s="21" t="n">
        <x:f>IF(ABS('Artifact Ledger'!P1299-IF(AND('Artifact Ledger'!L1299=1,'Artifact Ledger'!M1299=1,'Artifact Ledger'!N1299=1,'Artifact Ledger'!O1299&gt;='Artifact Ledger'!G1299),'Artifact Ledger'!K1299,0))&lt;0.000001,1,0)</x:f>
        <x:v>1</x:v>
      </x:c>
      <x:c r="F3635" s="21" t="n">
        <x:v>1</x:v>
      </x:c>
      <x:c r="G3635" s="23" t="str">
        <x:f>IF(E3635=F3635,"PASS","FAIL")</x:f>
        <x:v>PASS</x:v>
      </x:c>
    </x:row>
    <x:row r="3636">
      <x:c r="B3636" s="21" t="str">
        <x:v>A03630</x:v>
      </x:c>
      <x:c r="C3636" s="21" t="str">
        <x:v>artifact</x:v>
      </x:c>
      <x:c r="D3636" s="21" t="str">
        <x:v>artifact 1293 planning state</x:v>
      </x:c>
      <x:c r="E3636" s="21" t="n">
        <x:f>IF(AND('Artifact Ledger'!Q1299="OPEN",'Artifact Ledger'!R1299="HOLD"),1,0)</x:f>
        <x:v>1</x:v>
      </x:c>
      <x:c r="F3636" s="21" t="n">
        <x:v>1</x:v>
      </x:c>
      <x:c r="G3636" s="23" t="str">
        <x:f>IF(E3636=F3636,"PASS","FAIL")</x:f>
        <x:v>PASS</x:v>
      </x:c>
    </x:row>
    <x:row r="3637">
      <x:c r="B3637" s="21" t="str">
        <x:v>A03631</x:v>
      </x:c>
      <x:c r="C3637" s="21" t="str">
        <x:v>artifact</x:v>
      </x:c>
      <x:c r="D3637" s="21" t="str">
        <x:v>artifact 1294 eligibility equation</x:v>
      </x:c>
      <x:c r="E3637" s="21" t="n">
        <x:f>IF(ABS('Artifact Ledger'!P1300-IF(AND('Artifact Ledger'!L1300=1,'Artifact Ledger'!M1300=1,'Artifact Ledger'!N1300=1,'Artifact Ledger'!O1300&gt;='Artifact Ledger'!G1300),'Artifact Ledger'!K1300,0))&lt;0.000001,1,0)</x:f>
        <x:v>1</x:v>
      </x:c>
      <x:c r="F3637" s="21" t="n">
        <x:v>1</x:v>
      </x:c>
      <x:c r="G3637" s="23" t="str">
        <x:f>IF(E3637=F3637,"PASS","FAIL")</x:f>
        <x:v>PASS</x:v>
      </x:c>
    </x:row>
    <x:row r="3638">
      <x:c r="B3638" s="21" t="str">
        <x:v>A03632</x:v>
      </x:c>
      <x:c r="C3638" s="21" t="str">
        <x:v>artifact</x:v>
      </x:c>
      <x:c r="D3638" s="21" t="str">
        <x:v>artifact 1294 planning state</x:v>
      </x:c>
      <x:c r="E3638" s="21" t="n">
        <x:f>IF(AND('Artifact Ledger'!Q1300="OPEN",'Artifact Ledger'!R1300="HOLD"),1,0)</x:f>
        <x:v>1</x:v>
      </x:c>
      <x:c r="F3638" s="21" t="n">
        <x:v>1</x:v>
      </x:c>
      <x:c r="G3638" s="23" t="str">
        <x:f>IF(E3638=F3638,"PASS","FAIL")</x:f>
        <x:v>PASS</x:v>
      </x:c>
    </x:row>
    <x:row r="3639">
      <x:c r="B3639" s="21" t="str">
        <x:v>A03633</x:v>
      </x:c>
      <x:c r="C3639" s="21" t="str">
        <x:v>artifact</x:v>
      </x:c>
      <x:c r="D3639" s="21" t="str">
        <x:v>artifact 1295 eligibility equation</x:v>
      </x:c>
      <x:c r="E3639" s="21" t="n">
        <x:f>IF(ABS('Artifact Ledger'!P1301-IF(AND('Artifact Ledger'!L1301=1,'Artifact Ledger'!M1301=1,'Artifact Ledger'!N1301=1,'Artifact Ledger'!O1301&gt;='Artifact Ledger'!G1301),'Artifact Ledger'!K1301,0))&lt;0.000001,1,0)</x:f>
        <x:v>1</x:v>
      </x:c>
      <x:c r="F3639" s="21" t="n">
        <x:v>1</x:v>
      </x:c>
      <x:c r="G3639" s="23" t="str">
        <x:f>IF(E3639=F3639,"PASS","FAIL")</x:f>
        <x:v>PASS</x:v>
      </x:c>
    </x:row>
    <x:row r="3640">
      <x:c r="B3640" s="21" t="str">
        <x:v>A03634</x:v>
      </x:c>
      <x:c r="C3640" s="21" t="str">
        <x:v>artifact</x:v>
      </x:c>
      <x:c r="D3640" s="21" t="str">
        <x:v>artifact 1295 planning state</x:v>
      </x:c>
      <x:c r="E3640" s="21" t="n">
        <x:f>IF(AND('Artifact Ledger'!Q1301="OPEN",'Artifact Ledger'!R1301="HOLD"),1,0)</x:f>
        <x:v>1</x:v>
      </x:c>
      <x:c r="F3640" s="21" t="n">
        <x:v>1</x:v>
      </x:c>
      <x:c r="G3640" s="23" t="str">
        <x:f>IF(E3640=F3640,"PASS","FAIL")</x:f>
        <x:v>PASS</x:v>
      </x:c>
    </x:row>
    <x:row r="3641">
      <x:c r="B3641" s="21" t="str">
        <x:v>A03635</x:v>
      </x:c>
      <x:c r="C3641" s="21" t="str">
        <x:v>artifact</x:v>
      </x:c>
      <x:c r="D3641" s="21" t="str">
        <x:v>artifact 1296 eligibility equation</x:v>
      </x:c>
      <x:c r="E3641" s="21" t="n">
        <x:f>IF(ABS('Artifact Ledger'!P1302-IF(AND('Artifact Ledger'!L1302=1,'Artifact Ledger'!M1302=1,'Artifact Ledger'!N1302=1,'Artifact Ledger'!O1302&gt;='Artifact Ledger'!G1302),'Artifact Ledger'!K1302,0))&lt;0.000001,1,0)</x:f>
        <x:v>1</x:v>
      </x:c>
      <x:c r="F3641" s="21" t="n">
        <x:v>1</x:v>
      </x:c>
      <x:c r="G3641" s="23" t="str">
        <x:f>IF(E3641=F3641,"PASS","FAIL")</x:f>
        <x:v>PASS</x:v>
      </x:c>
    </x:row>
    <x:row r="3642">
      <x:c r="B3642" s="21" t="str">
        <x:v>A03636</x:v>
      </x:c>
      <x:c r="C3642" s="21" t="str">
        <x:v>artifact</x:v>
      </x:c>
      <x:c r="D3642" s="21" t="str">
        <x:v>artifact 1296 planning state</x:v>
      </x:c>
      <x:c r="E3642" s="21" t="n">
        <x:f>IF(AND('Artifact Ledger'!Q1302="OPEN",'Artifact Ledger'!R1302="HOLD"),1,0)</x:f>
        <x:v>1</x:v>
      </x:c>
      <x:c r="F3642" s="21" t="n">
        <x:v>1</x:v>
      </x:c>
      <x:c r="G3642" s="23" t="str">
        <x:f>IF(E3642=F3642,"PASS","FAIL")</x:f>
        <x:v>PASS</x:v>
      </x:c>
    </x:row>
    <x:row r="3643">
      <x:c r="B3643" s="21" t="str">
        <x:v>A03637</x:v>
      </x:c>
      <x:c r="C3643" s="21" t="str">
        <x:v>artifact</x:v>
      </x:c>
      <x:c r="D3643" s="21" t="str">
        <x:v>artifact 1297 eligibility equation</x:v>
      </x:c>
      <x:c r="E3643" s="21" t="n">
        <x:f>IF(ABS('Artifact Ledger'!P1303-IF(AND('Artifact Ledger'!L1303=1,'Artifact Ledger'!M1303=1,'Artifact Ledger'!N1303=1,'Artifact Ledger'!O1303&gt;='Artifact Ledger'!G1303),'Artifact Ledger'!K1303,0))&lt;0.000001,1,0)</x:f>
        <x:v>1</x:v>
      </x:c>
      <x:c r="F3643" s="21" t="n">
        <x:v>1</x:v>
      </x:c>
      <x:c r="G3643" s="23" t="str">
        <x:f>IF(E3643=F3643,"PASS","FAIL")</x:f>
        <x:v>PASS</x:v>
      </x:c>
    </x:row>
    <x:row r="3644">
      <x:c r="B3644" s="21" t="str">
        <x:v>A03638</x:v>
      </x:c>
      <x:c r="C3644" s="21" t="str">
        <x:v>artifact</x:v>
      </x:c>
      <x:c r="D3644" s="21" t="str">
        <x:v>artifact 1297 planning state</x:v>
      </x:c>
      <x:c r="E3644" s="21" t="n">
        <x:f>IF(AND('Artifact Ledger'!Q1303="OPEN",'Artifact Ledger'!R1303="HOLD"),1,0)</x:f>
        <x:v>1</x:v>
      </x:c>
      <x:c r="F3644" s="21" t="n">
        <x:v>1</x:v>
      </x:c>
      <x:c r="G3644" s="23" t="str">
        <x:f>IF(E3644=F3644,"PASS","FAIL")</x:f>
        <x:v>PASS</x:v>
      </x:c>
    </x:row>
    <x:row r="3645">
      <x:c r="B3645" s="21" t="str">
        <x:v>A03639</x:v>
      </x:c>
      <x:c r="C3645" s="21" t="str">
        <x:v>artifact</x:v>
      </x:c>
      <x:c r="D3645" s="21" t="str">
        <x:v>artifact 1298 eligibility equation</x:v>
      </x:c>
      <x:c r="E3645" s="21" t="n">
        <x:f>IF(ABS('Artifact Ledger'!P1304-IF(AND('Artifact Ledger'!L1304=1,'Artifact Ledger'!M1304=1,'Artifact Ledger'!N1304=1,'Artifact Ledger'!O1304&gt;='Artifact Ledger'!G1304),'Artifact Ledger'!K1304,0))&lt;0.000001,1,0)</x:f>
        <x:v>1</x:v>
      </x:c>
      <x:c r="F3645" s="21" t="n">
        <x:v>1</x:v>
      </x:c>
      <x:c r="G3645" s="23" t="str">
        <x:f>IF(E3645=F3645,"PASS","FAIL")</x:f>
        <x:v>PASS</x:v>
      </x:c>
    </x:row>
    <x:row r="3646">
      <x:c r="B3646" s="21" t="str">
        <x:v>A03640</x:v>
      </x:c>
      <x:c r="C3646" s="21" t="str">
        <x:v>artifact</x:v>
      </x:c>
      <x:c r="D3646" s="21" t="str">
        <x:v>artifact 1298 planning state</x:v>
      </x:c>
      <x:c r="E3646" s="21" t="n">
        <x:f>IF(AND('Artifact Ledger'!Q1304="OPEN",'Artifact Ledger'!R1304="HOLD"),1,0)</x:f>
        <x:v>1</x:v>
      </x:c>
      <x:c r="F3646" s="21" t="n">
        <x:v>1</x:v>
      </x:c>
      <x:c r="G3646" s="23" t="str">
        <x:f>IF(E3646=F3646,"PASS","FAIL")</x:f>
        <x:v>PASS</x:v>
      </x:c>
    </x:row>
    <x:row r="3647">
      <x:c r="B3647" s="21" t="str">
        <x:v>A03641</x:v>
      </x:c>
      <x:c r="C3647" s="21" t="str">
        <x:v>artifact</x:v>
      </x:c>
      <x:c r="D3647" s="21" t="str">
        <x:v>artifact 1299 eligibility equation</x:v>
      </x:c>
      <x:c r="E3647" s="21" t="n">
        <x:f>IF(ABS('Artifact Ledger'!P1305-IF(AND('Artifact Ledger'!L1305=1,'Artifact Ledger'!M1305=1,'Artifact Ledger'!N1305=1,'Artifact Ledger'!O1305&gt;='Artifact Ledger'!G1305),'Artifact Ledger'!K1305,0))&lt;0.000001,1,0)</x:f>
        <x:v>1</x:v>
      </x:c>
      <x:c r="F3647" s="21" t="n">
        <x:v>1</x:v>
      </x:c>
      <x:c r="G3647" s="23" t="str">
        <x:f>IF(E3647=F3647,"PASS","FAIL")</x:f>
        <x:v>PASS</x:v>
      </x:c>
    </x:row>
    <x:row r="3648">
      <x:c r="B3648" s="21" t="str">
        <x:v>A03642</x:v>
      </x:c>
      <x:c r="C3648" s="21" t="str">
        <x:v>artifact</x:v>
      </x:c>
      <x:c r="D3648" s="21" t="str">
        <x:v>artifact 1299 planning state</x:v>
      </x:c>
      <x:c r="E3648" s="21" t="n">
        <x:f>IF(AND('Artifact Ledger'!Q1305="OPEN",'Artifact Ledger'!R1305="HOLD"),1,0)</x:f>
        <x:v>1</x:v>
      </x:c>
      <x:c r="F3648" s="21" t="n">
        <x:v>1</x:v>
      </x:c>
      <x:c r="G3648" s="23" t="str">
        <x:f>IF(E3648=F3648,"PASS","FAIL")</x:f>
        <x:v>PASS</x:v>
      </x:c>
    </x:row>
    <x:row r="3649">
      <x:c r="B3649" s="21" t="str">
        <x:v>A03643</x:v>
      </x:c>
      <x:c r="C3649" s="21" t="str">
        <x:v>artifact</x:v>
      </x:c>
      <x:c r="D3649" s="21" t="str">
        <x:v>artifact 1300 eligibility equation</x:v>
      </x:c>
      <x:c r="E3649" s="21" t="n">
        <x:f>IF(ABS('Artifact Ledger'!P1306-IF(AND('Artifact Ledger'!L1306=1,'Artifact Ledger'!M1306=1,'Artifact Ledger'!N1306=1,'Artifact Ledger'!O1306&gt;='Artifact Ledger'!G1306),'Artifact Ledger'!K1306,0))&lt;0.000001,1,0)</x:f>
        <x:v>1</x:v>
      </x:c>
      <x:c r="F3649" s="21" t="n">
        <x:v>1</x:v>
      </x:c>
      <x:c r="G3649" s="23" t="str">
        <x:f>IF(E3649=F3649,"PASS","FAIL")</x:f>
        <x:v>PASS</x:v>
      </x:c>
    </x:row>
    <x:row r="3650">
      <x:c r="B3650" s="21" t="str">
        <x:v>A03644</x:v>
      </x:c>
      <x:c r="C3650" s="21" t="str">
        <x:v>artifact</x:v>
      </x:c>
      <x:c r="D3650" s="21" t="str">
        <x:v>artifact 1300 planning state</x:v>
      </x:c>
      <x:c r="E3650" s="21" t="n">
        <x:f>IF(AND('Artifact Ledger'!Q1306="OPEN",'Artifact Ledger'!R1306="HOLD"),1,0)</x:f>
        <x:v>1</x:v>
      </x:c>
      <x:c r="F3650" s="21" t="n">
        <x:v>1</x:v>
      </x:c>
      <x:c r="G3650" s="23" t="str">
        <x:f>IF(E3650=F3650,"PASS","FAIL")</x:f>
        <x:v>PASS</x:v>
      </x:c>
    </x:row>
    <x:row r="3651">
      <x:c r="B3651" s="21" t="str">
        <x:v>A03645</x:v>
      </x:c>
      <x:c r="C3651" s="21" t="str">
        <x:v>artifact</x:v>
      </x:c>
      <x:c r="D3651" s="21" t="str">
        <x:v>artifact 1301 eligibility equation</x:v>
      </x:c>
      <x:c r="E3651" s="21" t="n">
        <x:f>IF(ABS('Artifact Ledger'!P1307-IF(AND('Artifact Ledger'!L1307=1,'Artifact Ledger'!M1307=1,'Artifact Ledger'!N1307=1,'Artifact Ledger'!O1307&gt;='Artifact Ledger'!G1307),'Artifact Ledger'!K1307,0))&lt;0.000001,1,0)</x:f>
        <x:v>1</x:v>
      </x:c>
      <x:c r="F3651" s="21" t="n">
        <x:v>1</x:v>
      </x:c>
      <x:c r="G3651" s="23" t="str">
        <x:f>IF(E3651=F3651,"PASS","FAIL")</x:f>
        <x:v>PASS</x:v>
      </x:c>
    </x:row>
    <x:row r="3652">
      <x:c r="B3652" s="21" t="str">
        <x:v>A03646</x:v>
      </x:c>
      <x:c r="C3652" s="21" t="str">
        <x:v>artifact</x:v>
      </x:c>
      <x:c r="D3652" s="21" t="str">
        <x:v>artifact 1301 planning state</x:v>
      </x:c>
      <x:c r="E3652" s="21" t="n">
        <x:f>IF(AND('Artifact Ledger'!Q1307="OPEN",'Artifact Ledger'!R1307="HOLD"),1,0)</x:f>
        <x:v>1</x:v>
      </x:c>
      <x:c r="F3652" s="21" t="n">
        <x:v>1</x:v>
      </x:c>
      <x:c r="G3652" s="23" t="str">
        <x:f>IF(E3652=F3652,"PASS","FAIL")</x:f>
        <x:v>PASS</x:v>
      </x:c>
    </x:row>
    <x:row r="3653">
      <x:c r="B3653" s="21" t="str">
        <x:v>A03647</x:v>
      </x:c>
      <x:c r="C3653" s="21" t="str">
        <x:v>artifact</x:v>
      </x:c>
      <x:c r="D3653" s="21" t="str">
        <x:v>artifact 1302 eligibility equation</x:v>
      </x:c>
      <x:c r="E3653" s="21" t="n">
        <x:f>IF(ABS('Artifact Ledger'!P1308-IF(AND('Artifact Ledger'!L1308=1,'Artifact Ledger'!M1308=1,'Artifact Ledger'!N1308=1,'Artifact Ledger'!O1308&gt;='Artifact Ledger'!G1308),'Artifact Ledger'!K1308,0))&lt;0.000001,1,0)</x:f>
        <x:v>1</x:v>
      </x:c>
      <x:c r="F3653" s="21" t="n">
        <x:v>1</x:v>
      </x:c>
      <x:c r="G3653" s="23" t="str">
        <x:f>IF(E3653=F3653,"PASS","FAIL")</x:f>
        <x:v>PASS</x:v>
      </x:c>
    </x:row>
    <x:row r="3654">
      <x:c r="B3654" s="21" t="str">
        <x:v>A03648</x:v>
      </x:c>
      <x:c r="C3654" s="21" t="str">
        <x:v>artifact</x:v>
      </x:c>
      <x:c r="D3654" s="21" t="str">
        <x:v>artifact 1302 planning state</x:v>
      </x:c>
      <x:c r="E3654" s="21" t="n">
        <x:f>IF(AND('Artifact Ledger'!Q1308="OPEN",'Artifact Ledger'!R1308="HOLD"),1,0)</x:f>
        <x:v>1</x:v>
      </x:c>
      <x:c r="F3654" s="21" t="n">
        <x:v>1</x:v>
      </x:c>
      <x:c r="G3654" s="23" t="str">
        <x:f>IF(E3654=F3654,"PASS","FAIL")</x:f>
        <x:v>PASS</x:v>
      </x:c>
    </x:row>
    <x:row r="3655">
      <x:c r="B3655" s="21" t="str">
        <x:v>A03649</x:v>
      </x:c>
      <x:c r="C3655" s="21" t="str">
        <x:v>artifact</x:v>
      </x:c>
      <x:c r="D3655" s="21" t="str">
        <x:v>artifact 1303 eligibility equation</x:v>
      </x:c>
      <x:c r="E3655" s="21" t="n">
        <x:f>IF(ABS('Artifact Ledger'!P1309-IF(AND('Artifact Ledger'!L1309=1,'Artifact Ledger'!M1309=1,'Artifact Ledger'!N1309=1,'Artifact Ledger'!O1309&gt;='Artifact Ledger'!G1309),'Artifact Ledger'!K1309,0))&lt;0.000001,1,0)</x:f>
        <x:v>1</x:v>
      </x:c>
      <x:c r="F3655" s="21" t="n">
        <x:v>1</x:v>
      </x:c>
      <x:c r="G3655" s="23" t="str">
        <x:f>IF(E3655=F3655,"PASS","FAIL")</x:f>
        <x:v>PASS</x:v>
      </x:c>
    </x:row>
    <x:row r="3656">
      <x:c r="B3656" s="21" t="str">
        <x:v>A03650</x:v>
      </x:c>
      <x:c r="C3656" s="21" t="str">
        <x:v>artifact</x:v>
      </x:c>
      <x:c r="D3656" s="21" t="str">
        <x:v>artifact 1303 planning state</x:v>
      </x:c>
      <x:c r="E3656" s="21" t="n">
        <x:f>IF(AND('Artifact Ledger'!Q1309="OPEN",'Artifact Ledger'!R1309="HOLD"),1,0)</x:f>
        <x:v>1</x:v>
      </x:c>
      <x:c r="F3656" s="21" t="n">
        <x:v>1</x:v>
      </x:c>
      <x:c r="G3656" s="23" t="str">
        <x:f>IF(E3656=F3656,"PASS","FAIL")</x:f>
        <x:v>PASS</x:v>
      </x:c>
    </x:row>
    <x:row r="3657">
      <x:c r="B3657" s="21" t="str">
        <x:v>A03651</x:v>
      </x:c>
      <x:c r="C3657" s="21" t="str">
        <x:v>artifact</x:v>
      </x:c>
      <x:c r="D3657" s="21" t="str">
        <x:v>artifact 1304 eligibility equation</x:v>
      </x:c>
      <x:c r="E3657" s="21" t="n">
        <x:f>IF(ABS('Artifact Ledger'!P1310-IF(AND('Artifact Ledger'!L1310=1,'Artifact Ledger'!M1310=1,'Artifact Ledger'!N1310=1,'Artifact Ledger'!O1310&gt;='Artifact Ledger'!G1310),'Artifact Ledger'!K1310,0))&lt;0.000001,1,0)</x:f>
        <x:v>1</x:v>
      </x:c>
      <x:c r="F3657" s="21" t="n">
        <x:v>1</x:v>
      </x:c>
      <x:c r="G3657" s="23" t="str">
        <x:f>IF(E3657=F3657,"PASS","FAIL")</x:f>
        <x:v>PASS</x:v>
      </x:c>
    </x:row>
    <x:row r="3658">
      <x:c r="B3658" s="21" t="str">
        <x:v>A03652</x:v>
      </x:c>
      <x:c r="C3658" s="21" t="str">
        <x:v>artifact</x:v>
      </x:c>
      <x:c r="D3658" s="21" t="str">
        <x:v>artifact 1304 planning state</x:v>
      </x:c>
      <x:c r="E3658" s="21" t="n">
        <x:f>IF(AND('Artifact Ledger'!Q1310="OPEN",'Artifact Ledger'!R1310="HOLD"),1,0)</x:f>
        <x:v>1</x:v>
      </x:c>
      <x:c r="F3658" s="21" t="n">
        <x:v>1</x:v>
      </x:c>
      <x:c r="G3658" s="23" t="str">
        <x:f>IF(E3658=F3658,"PASS","FAIL")</x:f>
        <x:v>PASS</x:v>
      </x:c>
    </x:row>
    <x:row r="3659">
      <x:c r="B3659" s="21" t="str">
        <x:v>A03653</x:v>
      </x:c>
      <x:c r="C3659" s="21" t="str">
        <x:v>artifact</x:v>
      </x:c>
      <x:c r="D3659" s="21" t="str">
        <x:v>artifact 1305 eligibility equation</x:v>
      </x:c>
      <x:c r="E3659" s="21" t="n">
        <x:f>IF(ABS('Artifact Ledger'!P1311-IF(AND('Artifact Ledger'!L1311=1,'Artifact Ledger'!M1311=1,'Artifact Ledger'!N1311=1,'Artifact Ledger'!O1311&gt;='Artifact Ledger'!G1311),'Artifact Ledger'!K1311,0))&lt;0.000001,1,0)</x:f>
        <x:v>1</x:v>
      </x:c>
      <x:c r="F3659" s="21" t="n">
        <x:v>1</x:v>
      </x:c>
      <x:c r="G3659" s="23" t="str">
        <x:f>IF(E3659=F3659,"PASS","FAIL")</x:f>
        <x:v>PASS</x:v>
      </x:c>
    </x:row>
    <x:row r="3660">
      <x:c r="B3660" s="21" t="str">
        <x:v>A03654</x:v>
      </x:c>
      <x:c r="C3660" s="21" t="str">
        <x:v>artifact</x:v>
      </x:c>
      <x:c r="D3660" s="21" t="str">
        <x:v>artifact 1305 planning state</x:v>
      </x:c>
      <x:c r="E3660" s="21" t="n">
        <x:f>IF(AND('Artifact Ledger'!Q1311="OPEN",'Artifact Ledger'!R1311="HOLD"),1,0)</x:f>
        <x:v>1</x:v>
      </x:c>
      <x:c r="F3660" s="21" t="n">
        <x:v>1</x:v>
      </x:c>
      <x:c r="G3660" s="23" t="str">
        <x:f>IF(E3660=F3660,"PASS","FAIL")</x:f>
        <x:v>PASS</x:v>
      </x:c>
    </x:row>
    <x:row r="3661">
      <x:c r="B3661" s="21" t="str">
        <x:v>A03655</x:v>
      </x:c>
      <x:c r="C3661" s="21" t="str">
        <x:v>artifact</x:v>
      </x:c>
      <x:c r="D3661" s="21" t="str">
        <x:v>artifact 1306 eligibility equation</x:v>
      </x:c>
      <x:c r="E3661" s="21" t="n">
        <x:f>IF(ABS('Artifact Ledger'!P1312-IF(AND('Artifact Ledger'!L1312=1,'Artifact Ledger'!M1312=1,'Artifact Ledger'!N1312=1,'Artifact Ledger'!O1312&gt;='Artifact Ledger'!G1312),'Artifact Ledger'!K1312,0))&lt;0.000001,1,0)</x:f>
        <x:v>1</x:v>
      </x:c>
      <x:c r="F3661" s="21" t="n">
        <x:v>1</x:v>
      </x:c>
      <x:c r="G3661" s="23" t="str">
        <x:f>IF(E3661=F3661,"PASS","FAIL")</x:f>
        <x:v>PASS</x:v>
      </x:c>
    </x:row>
    <x:row r="3662">
      <x:c r="B3662" s="21" t="str">
        <x:v>A03656</x:v>
      </x:c>
      <x:c r="C3662" s="21" t="str">
        <x:v>artifact</x:v>
      </x:c>
      <x:c r="D3662" s="21" t="str">
        <x:v>artifact 1306 planning state</x:v>
      </x:c>
      <x:c r="E3662" s="21" t="n">
        <x:f>IF(AND('Artifact Ledger'!Q1312="OPEN",'Artifact Ledger'!R1312="HOLD"),1,0)</x:f>
        <x:v>1</x:v>
      </x:c>
      <x:c r="F3662" s="21" t="n">
        <x:v>1</x:v>
      </x:c>
      <x:c r="G3662" s="23" t="str">
        <x:f>IF(E3662=F3662,"PASS","FAIL")</x:f>
        <x:v>PASS</x:v>
      </x:c>
    </x:row>
    <x:row r="3663">
      <x:c r="B3663" s="21" t="str">
        <x:v>A03657</x:v>
      </x:c>
      <x:c r="C3663" s="21" t="str">
        <x:v>artifact</x:v>
      </x:c>
      <x:c r="D3663" s="21" t="str">
        <x:v>artifact 1307 eligibility equation</x:v>
      </x:c>
      <x:c r="E3663" s="21" t="n">
        <x:f>IF(ABS('Artifact Ledger'!P1313-IF(AND('Artifact Ledger'!L1313=1,'Artifact Ledger'!M1313=1,'Artifact Ledger'!N1313=1,'Artifact Ledger'!O1313&gt;='Artifact Ledger'!G1313),'Artifact Ledger'!K1313,0))&lt;0.000001,1,0)</x:f>
        <x:v>1</x:v>
      </x:c>
      <x:c r="F3663" s="21" t="n">
        <x:v>1</x:v>
      </x:c>
      <x:c r="G3663" s="23" t="str">
        <x:f>IF(E3663=F3663,"PASS","FAIL")</x:f>
        <x:v>PASS</x:v>
      </x:c>
    </x:row>
    <x:row r="3664">
      <x:c r="B3664" s="21" t="str">
        <x:v>A03658</x:v>
      </x:c>
      <x:c r="C3664" s="21" t="str">
        <x:v>artifact</x:v>
      </x:c>
      <x:c r="D3664" s="21" t="str">
        <x:v>artifact 1307 planning state</x:v>
      </x:c>
      <x:c r="E3664" s="21" t="n">
        <x:f>IF(AND('Artifact Ledger'!Q1313="OPEN",'Artifact Ledger'!R1313="HOLD"),1,0)</x:f>
        <x:v>1</x:v>
      </x:c>
      <x:c r="F3664" s="21" t="n">
        <x:v>1</x:v>
      </x:c>
      <x:c r="G3664" s="23" t="str">
        <x:f>IF(E3664=F3664,"PASS","FAIL")</x:f>
        <x:v>PASS</x:v>
      </x:c>
    </x:row>
    <x:row r="3665">
      <x:c r="B3665" s="21" t="str">
        <x:v>A03659</x:v>
      </x:c>
      <x:c r="C3665" s="21" t="str">
        <x:v>artifact</x:v>
      </x:c>
      <x:c r="D3665" s="21" t="str">
        <x:v>artifact 1308 eligibility equation</x:v>
      </x:c>
      <x:c r="E3665" s="21" t="n">
        <x:f>IF(ABS('Artifact Ledger'!P1314-IF(AND('Artifact Ledger'!L1314=1,'Artifact Ledger'!M1314=1,'Artifact Ledger'!N1314=1,'Artifact Ledger'!O1314&gt;='Artifact Ledger'!G1314),'Artifact Ledger'!K1314,0))&lt;0.000001,1,0)</x:f>
        <x:v>1</x:v>
      </x:c>
      <x:c r="F3665" s="21" t="n">
        <x:v>1</x:v>
      </x:c>
      <x:c r="G3665" s="23" t="str">
        <x:f>IF(E3665=F3665,"PASS","FAIL")</x:f>
        <x:v>PASS</x:v>
      </x:c>
    </x:row>
    <x:row r="3666">
      <x:c r="B3666" s="21" t="str">
        <x:v>A03660</x:v>
      </x:c>
      <x:c r="C3666" s="21" t="str">
        <x:v>artifact</x:v>
      </x:c>
      <x:c r="D3666" s="21" t="str">
        <x:v>artifact 1308 planning state</x:v>
      </x:c>
      <x:c r="E3666" s="21" t="n">
        <x:f>IF(AND('Artifact Ledger'!Q1314="OPEN",'Artifact Ledger'!R1314="HOLD"),1,0)</x:f>
        <x:v>1</x:v>
      </x:c>
      <x:c r="F3666" s="21" t="n">
        <x:v>1</x:v>
      </x:c>
      <x:c r="G3666" s="23" t="str">
        <x:f>IF(E3666=F3666,"PASS","FAIL")</x:f>
        <x:v>PASS</x:v>
      </x:c>
    </x:row>
    <x:row r="3667">
      <x:c r="B3667" s="21" t="str">
        <x:v>A03661</x:v>
      </x:c>
      <x:c r="C3667" s="21" t="str">
        <x:v>artifact</x:v>
      </x:c>
      <x:c r="D3667" s="21" t="str">
        <x:v>artifact 1309 eligibility equation</x:v>
      </x:c>
      <x:c r="E3667" s="21" t="n">
        <x:f>IF(ABS('Artifact Ledger'!P1315-IF(AND('Artifact Ledger'!L1315=1,'Artifact Ledger'!M1315=1,'Artifact Ledger'!N1315=1,'Artifact Ledger'!O1315&gt;='Artifact Ledger'!G1315),'Artifact Ledger'!K1315,0))&lt;0.000001,1,0)</x:f>
        <x:v>1</x:v>
      </x:c>
      <x:c r="F3667" s="21" t="n">
        <x:v>1</x:v>
      </x:c>
      <x:c r="G3667" s="23" t="str">
        <x:f>IF(E3667=F3667,"PASS","FAIL")</x:f>
        <x:v>PASS</x:v>
      </x:c>
    </x:row>
    <x:row r="3668">
      <x:c r="B3668" s="21" t="str">
        <x:v>A03662</x:v>
      </x:c>
      <x:c r="C3668" s="21" t="str">
        <x:v>artifact</x:v>
      </x:c>
      <x:c r="D3668" s="21" t="str">
        <x:v>artifact 1309 planning state</x:v>
      </x:c>
      <x:c r="E3668" s="21" t="n">
        <x:f>IF(AND('Artifact Ledger'!Q1315="OPEN",'Artifact Ledger'!R1315="HOLD"),1,0)</x:f>
        <x:v>1</x:v>
      </x:c>
      <x:c r="F3668" s="21" t="n">
        <x:v>1</x:v>
      </x:c>
      <x:c r="G3668" s="23" t="str">
        <x:f>IF(E3668=F3668,"PASS","FAIL")</x:f>
        <x:v>PASS</x:v>
      </x:c>
    </x:row>
    <x:row r="3669">
      <x:c r="B3669" s="21" t="str">
        <x:v>A03663</x:v>
      </x:c>
      <x:c r="C3669" s="21" t="str">
        <x:v>artifact</x:v>
      </x:c>
      <x:c r="D3669" s="21" t="str">
        <x:v>artifact 1310 eligibility equation</x:v>
      </x:c>
      <x:c r="E3669" s="21" t="n">
        <x:f>IF(ABS('Artifact Ledger'!P1316-IF(AND('Artifact Ledger'!L1316=1,'Artifact Ledger'!M1316=1,'Artifact Ledger'!N1316=1,'Artifact Ledger'!O1316&gt;='Artifact Ledger'!G1316),'Artifact Ledger'!K1316,0))&lt;0.000001,1,0)</x:f>
        <x:v>1</x:v>
      </x:c>
      <x:c r="F3669" s="21" t="n">
        <x:v>1</x:v>
      </x:c>
      <x:c r="G3669" s="23" t="str">
        <x:f>IF(E3669=F3669,"PASS","FAIL")</x:f>
        <x:v>PASS</x:v>
      </x:c>
    </x:row>
    <x:row r="3670">
      <x:c r="B3670" s="21" t="str">
        <x:v>A03664</x:v>
      </x:c>
      <x:c r="C3670" s="21" t="str">
        <x:v>artifact</x:v>
      </x:c>
      <x:c r="D3670" s="21" t="str">
        <x:v>artifact 1310 planning state</x:v>
      </x:c>
      <x:c r="E3670" s="21" t="n">
        <x:f>IF(AND('Artifact Ledger'!Q1316="OPEN",'Artifact Ledger'!R1316="HOLD"),1,0)</x:f>
        <x:v>1</x:v>
      </x:c>
      <x:c r="F3670" s="21" t="n">
        <x:v>1</x:v>
      </x:c>
      <x:c r="G3670" s="23" t="str">
        <x:f>IF(E3670=F3670,"PASS","FAIL")</x:f>
        <x:v>PASS</x:v>
      </x:c>
    </x:row>
    <x:row r="3671">
      <x:c r="B3671" s="21" t="str">
        <x:v>A03665</x:v>
      </x:c>
      <x:c r="C3671" s="21" t="str">
        <x:v>artifact</x:v>
      </x:c>
      <x:c r="D3671" s="21" t="str">
        <x:v>artifact 1311 eligibility equation</x:v>
      </x:c>
      <x:c r="E3671" s="21" t="n">
        <x:f>IF(ABS('Artifact Ledger'!P1317-IF(AND('Artifact Ledger'!L1317=1,'Artifact Ledger'!M1317=1,'Artifact Ledger'!N1317=1,'Artifact Ledger'!O1317&gt;='Artifact Ledger'!G1317),'Artifact Ledger'!K1317,0))&lt;0.000001,1,0)</x:f>
        <x:v>1</x:v>
      </x:c>
      <x:c r="F3671" s="21" t="n">
        <x:v>1</x:v>
      </x:c>
      <x:c r="G3671" s="23" t="str">
        <x:f>IF(E3671=F3671,"PASS","FAIL")</x:f>
        <x:v>PASS</x:v>
      </x:c>
    </x:row>
    <x:row r="3672">
      <x:c r="B3672" s="21" t="str">
        <x:v>A03666</x:v>
      </x:c>
      <x:c r="C3672" s="21" t="str">
        <x:v>artifact</x:v>
      </x:c>
      <x:c r="D3672" s="21" t="str">
        <x:v>artifact 1311 planning state</x:v>
      </x:c>
      <x:c r="E3672" s="21" t="n">
        <x:f>IF(AND('Artifact Ledger'!Q1317="OPEN",'Artifact Ledger'!R1317="HOLD"),1,0)</x:f>
        <x:v>1</x:v>
      </x:c>
      <x:c r="F3672" s="21" t="n">
        <x:v>1</x:v>
      </x:c>
      <x:c r="G3672" s="23" t="str">
        <x:f>IF(E3672=F3672,"PASS","FAIL")</x:f>
        <x:v>PASS</x:v>
      </x:c>
    </x:row>
    <x:row r="3673">
      <x:c r="B3673" s="21" t="str">
        <x:v>A03667</x:v>
      </x:c>
      <x:c r="C3673" s="21" t="str">
        <x:v>artifact</x:v>
      </x:c>
      <x:c r="D3673" s="21" t="str">
        <x:v>artifact 1312 eligibility equation</x:v>
      </x:c>
      <x:c r="E3673" s="21" t="n">
        <x:f>IF(ABS('Artifact Ledger'!P1318-IF(AND('Artifact Ledger'!L1318=1,'Artifact Ledger'!M1318=1,'Artifact Ledger'!N1318=1,'Artifact Ledger'!O1318&gt;='Artifact Ledger'!G1318),'Artifact Ledger'!K1318,0))&lt;0.000001,1,0)</x:f>
        <x:v>1</x:v>
      </x:c>
      <x:c r="F3673" s="21" t="n">
        <x:v>1</x:v>
      </x:c>
      <x:c r="G3673" s="23" t="str">
        <x:f>IF(E3673=F3673,"PASS","FAIL")</x:f>
        <x:v>PASS</x:v>
      </x:c>
    </x:row>
    <x:row r="3674">
      <x:c r="B3674" s="21" t="str">
        <x:v>A03668</x:v>
      </x:c>
      <x:c r="C3674" s="21" t="str">
        <x:v>artifact</x:v>
      </x:c>
      <x:c r="D3674" s="21" t="str">
        <x:v>artifact 1312 planning state</x:v>
      </x:c>
      <x:c r="E3674" s="21" t="n">
        <x:f>IF(AND('Artifact Ledger'!Q1318="OPEN",'Artifact Ledger'!R1318="HOLD"),1,0)</x:f>
        <x:v>1</x:v>
      </x:c>
      <x:c r="F3674" s="21" t="n">
        <x:v>1</x:v>
      </x:c>
      <x:c r="G3674" s="23" t="str">
        <x:f>IF(E3674=F3674,"PASS","FAIL")</x:f>
        <x:v>PASS</x:v>
      </x:c>
    </x:row>
    <x:row r="3675">
      <x:c r="B3675" s="21" t="str">
        <x:v>A03669</x:v>
      </x:c>
      <x:c r="C3675" s="21" t="str">
        <x:v>artifact</x:v>
      </x:c>
      <x:c r="D3675" s="21" t="str">
        <x:v>artifact 1313 eligibility equation</x:v>
      </x:c>
      <x:c r="E3675" s="21" t="n">
        <x:f>IF(ABS('Artifact Ledger'!P1319-IF(AND('Artifact Ledger'!L1319=1,'Artifact Ledger'!M1319=1,'Artifact Ledger'!N1319=1,'Artifact Ledger'!O1319&gt;='Artifact Ledger'!G1319),'Artifact Ledger'!K1319,0))&lt;0.000001,1,0)</x:f>
        <x:v>1</x:v>
      </x:c>
      <x:c r="F3675" s="21" t="n">
        <x:v>1</x:v>
      </x:c>
      <x:c r="G3675" s="23" t="str">
        <x:f>IF(E3675=F3675,"PASS","FAIL")</x:f>
        <x:v>PASS</x:v>
      </x:c>
    </x:row>
    <x:row r="3676">
      <x:c r="B3676" s="21" t="str">
        <x:v>A03670</x:v>
      </x:c>
      <x:c r="C3676" s="21" t="str">
        <x:v>artifact</x:v>
      </x:c>
      <x:c r="D3676" s="21" t="str">
        <x:v>artifact 1313 planning state</x:v>
      </x:c>
      <x:c r="E3676" s="21" t="n">
        <x:f>IF(AND('Artifact Ledger'!Q1319="OPEN",'Artifact Ledger'!R1319="HOLD"),1,0)</x:f>
        <x:v>1</x:v>
      </x:c>
      <x:c r="F3676" s="21" t="n">
        <x:v>1</x:v>
      </x:c>
      <x:c r="G3676" s="23" t="str">
        <x:f>IF(E3676=F3676,"PASS","FAIL")</x:f>
        <x:v>PASS</x:v>
      </x:c>
    </x:row>
    <x:row r="3677">
      <x:c r="B3677" s="21" t="str">
        <x:v>A03671</x:v>
      </x:c>
      <x:c r="C3677" s="21" t="str">
        <x:v>artifact</x:v>
      </x:c>
      <x:c r="D3677" s="21" t="str">
        <x:v>artifact 1314 eligibility equation</x:v>
      </x:c>
      <x:c r="E3677" s="21" t="n">
        <x:f>IF(ABS('Artifact Ledger'!P1320-IF(AND('Artifact Ledger'!L1320=1,'Artifact Ledger'!M1320=1,'Artifact Ledger'!N1320=1,'Artifact Ledger'!O1320&gt;='Artifact Ledger'!G1320),'Artifact Ledger'!K1320,0))&lt;0.000001,1,0)</x:f>
        <x:v>1</x:v>
      </x:c>
      <x:c r="F3677" s="21" t="n">
        <x:v>1</x:v>
      </x:c>
      <x:c r="G3677" s="23" t="str">
        <x:f>IF(E3677=F3677,"PASS","FAIL")</x:f>
        <x:v>PASS</x:v>
      </x:c>
    </x:row>
    <x:row r="3678">
      <x:c r="B3678" s="21" t="str">
        <x:v>A03672</x:v>
      </x:c>
      <x:c r="C3678" s="21" t="str">
        <x:v>artifact</x:v>
      </x:c>
      <x:c r="D3678" s="21" t="str">
        <x:v>artifact 1314 planning state</x:v>
      </x:c>
      <x:c r="E3678" s="21" t="n">
        <x:f>IF(AND('Artifact Ledger'!Q1320="OPEN",'Artifact Ledger'!R1320="HOLD"),1,0)</x:f>
        <x:v>1</x:v>
      </x:c>
      <x:c r="F3678" s="21" t="n">
        <x:v>1</x:v>
      </x:c>
      <x:c r="G3678" s="23" t="str">
        <x:f>IF(E3678=F3678,"PASS","FAIL")</x:f>
        <x:v>PASS</x:v>
      </x:c>
    </x:row>
    <x:row r="3679">
      <x:c r="B3679" s="21" t="str">
        <x:v>A03673</x:v>
      </x:c>
      <x:c r="C3679" s="21" t="str">
        <x:v>artifact</x:v>
      </x:c>
      <x:c r="D3679" s="21" t="str">
        <x:v>artifact 1315 eligibility equation</x:v>
      </x:c>
      <x:c r="E3679" s="21" t="n">
        <x:f>IF(ABS('Artifact Ledger'!P1321-IF(AND('Artifact Ledger'!L1321=1,'Artifact Ledger'!M1321=1,'Artifact Ledger'!N1321=1,'Artifact Ledger'!O1321&gt;='Artifact Ledger'!G1321),'Artifact Ledger'!K1321,0))&lt;0.000001,1,0)</x:f>
        <x:v>1</x:v>
      </x:c>
      <x:c r="F3679" s="21" t="n">
        <x:v>1</x:v>
      </x:c>
      <x:c r="G3679" s="23" t="str">
        <x:f>IF(E3679=F3679,"PASS","FAIL")</x:f>
        <x:v>PASS</x:v>
      </x:c>
    </x:row>
    <x:row r="3680">
      <x:c r="B3680" s="21" t="str">
        <x:v>A03674</x:v>
      </x:c>
      <x:c r="C3680" s="21" t="str">
        <x:v>artifact</x:v>
      </x:c>
      <x:c r="D3680" s="21" t="str">
        <x:v>artifact 1315 planning state</x:v>
      </x:c>
      <x:c r="E3680" s="21" t="n">
        <x:f>IF(AND('Artifact Ledger'!Q1321="OPEN",'Artifact Ledger'!R1321="HOLD"),1,0)</x:f>
        <x:v>1</x:v>
      </x:c>
      <x:c r="F3680" s="21" t="n">
        <x:v>1</x:v>
      </x:c>
      <x:c r="G3680" s="23" t="str">
        <x:f>IF(E3680=F3680,"PASS","FAIL")</x:f>
        <x:v>PASS</x:v>
      </x:c>
    </x:row>
    <x:row r="3681">
      <x:c r="B3681" s="21" t="str">
        <x:v>A03675</x:v>
      </x:c>
      <x:c r="C3681" s="21" t="str">
        <x:v>artifact</x:v>
      </x:c>
      <x:c r="D3681" s="21" t="str">
        <x:v>artifact 1316 eligibility equation</x:v>
      </x:c>
      <x:c r="E3681" s="21" t="n">
        <x:f>IF(ABS('Artifact Ledger'!P1322-IF(AND('Artifact Ledger'!L1322=1,'Artifact Ledger'!M1322=1,'Artifact Ledger'!N1322=1,'Artifact Ledger'!O1322&gt;='Artifact Ledger'!G1322),'Artifact Ledger'!K1322,0))&lt;0.000001,1,0)</x:f>
        <x:v>1</x:v>
      </x:c>
      <x:c r="F3681" s="21" t="n">
        <x:v>1</x:v>
      </x:c>
      <x:c r="G3681" s="23" t="str">
        <x:f>IF(E3681=F3681,"PASS","FAIL")</x:f>
        <x:v>PASS</x:v>
      </x:c>
    </x:row>
    <x:row r="3682">
      <x:c r="B3682" s="21" t="str">
        <x:v>A03676</x:v>
      </x:c>
      <x:c r="C3682" s="21" t="str">
        <x:v>artifact</x:v>
      </x:c>
      <x:c r="D3682" s="21" t="str">
        <x:v>artifact 1316 planning state</x:v>
      </x:c>
      <x:c r="E3682" s="21" t="n">
        <x:f>IF(AND('Artifact Ledger'!Q1322="OPEN",'Artifact Ledger'!R1322="HOLD"),1,0)</x:f>
        <x:v>1</x:v>
      </x:c>
      <x:c r="F3682" s="21" t="n">
        <x:v>1</x:v>
      </x:c>
      <x:c r="G3682" s="23" t="str">
        <x:f>IF(E3682=F3682,"PASS","FAIL")</x:f>
        <x:v>PASS</x:v>
      </x:c>
    </x:row>
    <x:row r="3683">
      <x:c r="B3683" s="21" t="str">
        <x:v>A03677</x:v>
      </x:c>
      <x:c r="C3683" s="21" t="str">
        <x:v>artifact</x:v>
      </x:c>
      <x:c r="D3683" s="21" t="str">
        <x:v>artifact 1317 eligibility equation</x:v>
      </x:c>
      <x:c r="E3683" s="21" t="n">
        <x:f>IF(ABS('Artifact Ledger'!P1323-IF(AND('Artifact Ledger'!L1323=1,'Artifact Ledger'!M1323=1,'Artifact Ledger'!N1323=1,'Artifact Ledger'!O1323&gt;='Artifact Ledger'!G1323),'Artifact Ledger'!K1323,0))&lt;0.000001,1,0)</x:f>
        <x:v>1</x:v>
      </x:c>
      <x:c r="F3683" s="21" t="n">
        <x:v>1</x:v>
      </x:c>
      <x:c r="G3683" s="23" t="str">
        <x:f>IF(E3683=F3683,"PASS","FAIL")</x:f>
        <x:v>PASS</x:v>
      </x:c>
    </x:row>
    <x:row r="3684">
      <x:c r="B3684" s="21" t="str">
        <x:v>A03678</x:v>
      </x:c>
      <x:c r="C3684" s="21" t="str">
        <x:v>artifact</x:v>
      </x:c>
      <x:c r="D3684" s="21" t="str">
        <x:v>artifact 1317 planning state</x:v>
      </x:c>
      <x:c r="E3684" s="21" t="n">
        <x:f>IF(AND('Artifact Ledger'!Q1323="OPEN",'Artifact Ledger'!R1323="HOLD"),1,0)</x:f>
        <x:v>1</x:v>
      </x:c>
      <x:c r="F3684" s="21" t="n">
        <x:v>1</x:v>
      </x:c>
      <x:c r="G3684" s="23" t="str">
        <x:f>IF(E3684=F3684,"PASS","FAIL")</x:f>
        <x:v>PASS</x:v>
      </x:c>
    </x:row>
    <x:row r="3685">
      <x:c r="B3685" s="21" t="str">
        <x:v>A03679</x:v>
      </x:c>
      <x:c r="C3685" s="21" t="str">
        <x:v>artifact</x:v>
      </x:c>
      <x:c r="D3685" s="21" t="str">
        <x:v>artifact 1318 eligibility equation</x:v>
      </x:c>
      <x:c r="E3685" s="21" t="n">
        <x:f>IF(ABS('Artifact Ledger'!P1324-IF(AND('Artifact Ledger'!L1324=1,'Artifact Ledger'!M1324=1,'Artifact Ledger'!N1324=1,'Artifact Ledger'!O1324&gt;='Artifact Ledger'!G1324),'Artifact Ledger'!K1324,0))&lt;0.000001,1,0)</x:f>
        <x:v>1</x:v>
      </x:c>
      <x:c r="F3685" s="21" t="n">
        <x:v>1</x:v>
      </x:c>
      <x:c r="G3685" s="23" t="str">
        <x:f>IF(E3685=F3685,"PASS","FAIL")</x:f>
        <x:v>PASS</x:v>
      </x:c>
    </x:row>
    <x:row r="3686">
      <x:c r="B3686" s="21" t="str">
        <x:v>A03680</x:v>
      </x:c>
      <x:c r="C3686" s="21" t="str">
        <x:v>artifact</x:v>
      </x:c>
      <x:c r="D3686" s="21" t="str">
        <x:v>artifact 1318 planning state</x:v>
      </x:c>
      <x:c r="E3686" s="21" t="n">
        <x:f>IF(AND('Artifact Ledger'!Q1324="OPEN",'Artifact Ledger'!R1324="HOLD"),1,0)</x:f>
        <x:v>1</x:v>
      </x:c>
      <x:c r="F3686" s="21" t="n">
        <x:v>1</x:v>
      </x:c>
      <x:c r="G3686" s="23" t="str">
        <x:f>IF(E3686=F3686,"PASS","FAIL")</x:f>
        <x:v>PASS</x:v>
      </x:c>
    </x:row>
    <x:row r="3687">
      <x:c r="B3687" s="21" t="str">
        <x:v>A03681</x:v>
      </x:c>
      <x:c r="C3687" s="21" t="str">
        <x:v>artifact</x:v>
      </x:c>
      <x:c r="D3687" s="21" t="str">
        <x:v>artifact 1319 eligibility equation</x:v>
      </x:c>
      <x:c r="E3687" s="21" t="n">
        <x:f>IF(ABS('Artifact Ledger'!P1325-IF(AND('Artifact Ledger'!L1325=1,'Artifact Ledger'!M1325=1,'Artifact Ledger'!N1325=1,'Artifact Ledger'!O1325&gt;='Artifact Ledger'!G1325),'Artifact Ledger'!K1325,0))&lt;0.000001,1,0)</x:f>
        <x:v>1</x:v>
      </x:c>
      <x:c r="F3687" s="21" t="n">
        <x:v>1</x:v>
      </x:c>
      <x:c r="G3687" s="23" t="str">
        <x:f>IF(E3687=F3687,"PASS","FAIL")</x:f>
        <x:v>PASS</x:v>
      </x:c>
    </x:row>
    <x:row r="3688">
      <x:c r="B3688" s="21" t="str">
        <x:v>A03682</x:v>
      </x:c>
      <x:c r="C3688" s="21" t="str">
        <x:v>artifact</x:v>
      </x:c>
      <x:c r="D3688" s="21" t="str">
        <x:v>artifact 1319 planning state</x:v>
      </x:c>
      <x:c r="E3688" s="21" t="n">
        <x:f>IF(AND('Artifact Ledger'!Q1325="OPEN",'Artifact Ledger'!R1325="HOLD"),1,0)</x:f>
        <x:v>1</x:v>
      </x:c>
      <x:c r="F3688" s="21" t="n">
        <x:v>1</x:v>
      </x:c>
      <x:c r="G3688" s="23" t="str">
        <x:f>IF(E3688=F3688,"PASS","FAIL")</x:f>
        <x:v>PASS</x:v>
      </x:c>
    </x:row>
    <x:row r="3689">
      <x:c r="B3689" s="21" t="str">
        <x:v>A03683</x:v>
      </x:c>
      <x:c r="C3689" s="21" t="str">
        <x:v>artifact</x:v>
      </x:c>
      <x:c r="D3689" s="21" t="str">
        <x:v>artifact 1320 eligibility equation</x:v>
      </x:c>
      <x:c r="E3689" s="21" t="n">
        <x:f>IF(ABS('Artifact Ledger'!P1326-IF(AND('Artifact Ledger'!L1326=1,'Artifact Ledger'!M1326=1,'Artifact Ledger'!N1326=1,'Artifact Ledger'!O1326&gt;='Artifact Ledger'!G1326),'Artifact Ledger'!K1326,0))&lt;0.000001,1,0)</x:f>
        <x:v>1</x:v>
      </x:c>
      <x:c r="F3689" s="21" t="n">
        <x:v>1</x:v>
      </x:c>
      <x:c r="G3689" s="23" t="str">
        <x:f>IF(E3689=F3689,"PASS","FAIL")</x:f>
        <x:v>PASS</x:v>
      </x:c>
    </x:row>
    <x:row r="3690">
      <x:c r="B3690" s="21" t="str">
        <x:v>A03684</x:v>
      </x:c>
      <x:c r="C3690" s="21" t="str">
        <x:v>artifact</x:v>
      </x:c>
      <x:c r="D3690" s="21" t="str">
        <x:v>artifact 1320 planning state</x:v>
      </x:c>
      <x:c r="E3690" s="21" t="n">
        <x:f>IF(AND('Artifact Ledger'!Q1326="OPEN",'Artifact Ledger'!R1326="HOLD"),1,0)</x:f>
        <x:v>1</x:v>
      </x:c>
      <x:c r="F3690" s="21" t="n">
        <x:v>1</x:v>
      </x:c>
      <x:c r="G3690" s="23" t="str">
        <x:f>IF(E3690=F3690,"PASS","FAIL")</x:f>
        <x:v>PASS</x:v>
      </x:c>
    </x:row>
    <x:row r="3691">
      <x:c r="B3691" s="21" t="str">
        <x:v>A03685</x:v>
      </x:c>
      <x:c r="C3691" s="21" t="str">
        <x:v>artifact</x:v>
      </x:c>
      <x:c r="D3691" s="21" t="str">
        <x:v>artifact 1321 eligibility equation</x:v>
      </x:c>
      <x:c r="E3691" s="21" t="n">
        <x:f>IF(ABS('Artifact Ledger'!P1327-IF(AND('Artifact Ledger'!L1327=1,'Artifact Ledger'!M1327=1,'Artifact Ledger'!N1327=1,'Artifact Ledger'!O1327&gt;='Artifact Ledger'!G1327),'Artifact Ledger'!K1327,0))&lt;0.000001,1,0)</x:f>
        <x:v>1</x:v>
      </x:c>
      <x:c r="F3691" s="21" t="n">
        <x:v>1</x:v>
      </x:c>
      <x:c r="G3691" s="23" t="str">
        <x:f>IF(E3691=F3691,"PASS","FAIL")</x:f>
        <x:v>PASS</x:v>
      </x:c>
    </x:row>
    <x:row r="3692">
      <x:c r="B3692" s="21" t="str">
        <x:v>A03686</x:v>
      </x:c>
      <x:c r="C3692" s="21" t="str">
        <x:v>artifact</x:v>
      </x:c>
      <x:c r="D3692" s="21" t="str">
        <x:v>artifact 1321 planning state</x:v>
      </x:c>
      <x:c r="E3692" s="21" t="n">
        <x:f>IF(AND('Artifact Ledger'!Q1327="OPEN",'Artifact Ledger'!R1327="HOLD"),1,0)</x:f>
        <x:v>1</x:v>
      </x:c>
      <x:c r="F3692" s="21" t="n">
        <x:v>1</x:v>
      </x:c>
      <x:c r="G3692" s="23" t="str">
        <x:f>IF(E3692=F3692,"PASS","FAIL")</x:f>
        <x:v>PASS</x:v>
      </x:c>
    </x:row>
    <x:row r="3693">
      <x:c r="B3693" s="21" t="str">
        <x:v>A03687</x:v>
      </x:c>
      <x:c r="C3693" s="21" t="str">
        <x:v>artifact</x:v>
      </x:c>
      <x:c r="D3693" s="21" t="str">
        <x:v>artifact 1322 eligibility equation</x:v>
      </x:c>
      <x:c r="E3693" s="21" t="n">
        <x:f>IF(ABS('Artifact Ledger'!P1328-IF(AND('Artifact Ledger'!L1328=1,'Artifact Ledger'!M1328=1,'Artifact Ledger'!N1328=1,'Artifact Ledger'!O1328&gt;='Artifact Ledger'!G1328),'Artifact Ledger'!K1328,0))&lt;0.000001,1,0)</x:f>
        <x:v>1</x:v>
      </x:c>
      <x:c r="F3693" s="21" t="n">
        <x:v>1</x:v>
      </x:c>
      <x:c r="G3693" s="23" t="str">
        <x:f>IF(E3693=F3693,"PASS","FAIL")</x:f>
        <x:v>PASS</x:v>
      </x:c>
    </x:row>
    <x:row r="3694">
      <x:c r="B3694" s="21" t="str">
        <x:v>A03688</x:v>
      </x:c>
      <x:c r="C3694" s="21" t="str">
        <x:v>artifact</x:v>
      </x:c>
      <x:c r="D3694" s="21" t="str">
        <x:v>artifact 1322 planning state</x:v>
      </x:c>
      <x:c r="E3694" s="21" t="n">
        <x:f>IF(AND('Artifact Ledger'!Q1328="OPEN",'Artifact Ledger'!R1328="HOLD"),1,0)</x:f>
        <x:v>1</x:v>
      </x:c>
      <x:c r="F3694" s="21" t="n">
        <x:v>1</x:v>
      </x:c>
      <x:c r="G3694" s="23" t="str">
        <x:f>IF(E3694=F3694,"PASS","FAIL")</x:f>
        <x:v>PASS</x:v>
      </x:c>
    </x:row>
    <x:row r="3695">
      <x:c r="B3695" s="21" t="str">
        <x:v>A03689</x:v>
      </x:c>
      <x:c r="C3695" s="21" t="str">
        <x:v>artifact</x:v>
      </x:c>
      <x:c r="D3695" s="21" t="str">
        <x:v>artifact 1323 eligibility equation</x:v>
      </x:c>
      <x:c r="E3695" s="21" t="n">
        <x:f>IF(ABS('Artifact Ledger'!P1329-IF(AND('Artifact Ledger'!L1329=1,'Artifact Ledger'!M1329=1,'Artifact Ledger'!N1329=1,'Artifact Ledger'!O1329&gt;='Artifact Ledger'!G1329),'Artifact Ledger'!K1329,0))&lt;0.000001,1,0)</x:f>
        <x:v>1</x:v>
      </x:c>
      <x:c r="F3695" s="21" t="n">
        <x:v>1</x:v>
      </x:c>
      <x:c r="G3695" s="23" t="str">
        <x:f>IF(E3695=F3695,"PASS","FAIL")</x:f>
        <x:v>PASS</x:v>
      </x:c>
    </x:row>
    <x:row r="3696">
      <x:c r="B3696" s="21" t="str">
        <x:v>A03690</x:v>
      </x:c>
      <x:c r="C3696" s="21" t="str">
        <x:v>artifact</x:v>
      </x:c>
      <x:c r="D3696" s="21" t="str">
        <x:v>artifact 1323 planning state</x:v>
      </x:c>
      <x:c r="E3696" s="21" t="n">
        <x:f>IF(AND('Artifact Ledger'!Q1329="OPEN",'Artifact Ledger'!R1329="HOLD"),1,0)</x:f>
        <x:v>1</x:v>
      </x:c>
      <x:c r="F3696" s="21" t="n">
        <x:v>1</x:v>
      </x:c>
      <x:c r="G3696" s="23" t="str">
        <x:f>IF(E3696=F3696,"PASS","FAIL")</x:f>
        <x:v>PASS</x:v>
      </x:c>
    </x:row>
    <x:row r="3697">
      <x:c r="B3697" s="21" t="str">
        <x:v>A03691</x:v>
      </x:c>
      <x:c r="C3697" s="21" t="str">
        <x:v>artifact</x:v>
      </x:c>
      <x:c r="D3697" s="21" t="str">
        <x:v>artifact 1324 eligibility equation</x:v>
      </x:c>
      <x:c r="E3697" s="21" t="n">
        <x:f>IF(ABS('Artifact Ledger'!P1330-IF(AND('Artifact Ledger'!L1330=1,'Artifact Ledger'!M1330=1,'Artifact Ledger'!N1330=1,'Artifact Ledger'!O1330&gt;='Artifact Ledger'!G1330),'Artifact Ledger'!K1330,0))&lt;0.000001,1,0)</x:f>
        <x:v>1</x:v>
      </x:c>
      <x:c r="F3697" s="21" t="n">
        <x:v>1</x:v>
      </x:c>
      <x:c r="G3697" s="23" t="str">
        <x:f>IF(E3697=F3697,"PASS","FAIL")</x:f>
        <x:v>PASS</x:v>
      </x:c>
    </x:row>
    <x:row r="3698">
      <x:c r="B3698" s="21" t="str">
        <x:v>A03692</x:v>
      </x:c>
      <x:c r="C3698" s="21" t="str">
        <x:v>artifact</x:v>
      </x:c>
      <x:c r="D3698" s="21" t="str">
        <x:v>artifact 1324 planning state</x:v>
      </x:c>
      <x:c r="E3698" s="21" t="n">
        <x:f>IF(AND('Artifact Ledger'!Q1330="OPEN",'Artifact Ledger'!R1330="HOLD"),1,0)</x:f>
        <x:v>1</x:v>
      </x:c>
      <x:c r="F3698" s="21" t="n">
        <x:v>1</x:v>
      </x:c>
      <x:c r="G3698" s="23" t="str">
        <x:f>IF(E3698=F3698,"PASS","FAIL")</x:f>
        <x:v>PASS</x:v>
      </x:c>
    </x:row>
    <x:row r="3699">
      <x:c r="B3699" s="21" t="str">
        <x:v>A03693</x:v>
      </x:c>
      <x:c r="C3699" s="21" t="str">
        <x:v>artifact</x:v>
      </x:c>
      <x:c r="D3699" s="21" t="str">
        <x:v>artifact 1325 eligibility equation</x:v>
      </x:c>
      <x:c r="E3699" s="21" t="n">
        <x:f>IF(ABS('Artifact Ledger'!P1331-IF(AND('Artifact Ledger'!L1331=1,'Artifact Ledger'!M1331=1,'Artifact Ledger'!N1331=1,'Artifact Ledger'!O1331&gt;='Artifact Ledger'!G1331),'Artifact Ledger'!K1331,0))&lt;0.000001,1,0)</x:f>
        <x:v>1</x:v>
      </x:c>
      <x:c r="F3699" s="21" t="n">
        <x:v>1</x:v>
      </x:c>
      <x:c r="G3699" s="23" t="str">
        <x:f>IF(E3699=F3699,"PASS","FAIL")</x:f>
        <x:v>PASS</x:v>
      </x:c>
    </x:row>
    <x:row r="3700">
      <x:c r="B3700" s="21" t="str">
        <x:v>A03694</x:v>
      </x:c>
      <x:c r="C3700" s="21" t="str">
        <x:v>artifact</x:v>
      </x:c>
      <x:c r="D3700" s="21" t="str">
        <x:v>artifact 1325 planning state</x:v>
      </x:c>
      <x:c r="E3700" s="21" t="n">
        <x:f>IF(AND('Artifact Ledger'!Q1331="OPEN",'Artifact Ledger'!R1331="HOLD"),1,0)</x:f>
        <x:v>1</x:v>
      </x:c>
      <x:c r="F3700" s="21" t="n">
        <x:v>1</x:v>
      </x:c>
      <x:c r="G3700" s="23" t="str">
        <x:f>IF(E3700=F3700,"PASS","FAIL")</x:f>
        <x:v>PASS</x:v>
      </x:c>
    </x:row>
    <x:row r="3701">
      <x:c r="B3701" s="21" t="str">
        <x:v>A03695</x:v>
      </x:c>
      <x:c r="C3701" s="21" t="str">
        <x:v>artifact</x:v>
      </x:c>
      <x:c r="D3701" s="21" t="str">
        <x:v>artifact 1326 eligibility equation</x:v>
      </x:c>
      <x:c r="E3701" s="21" t="n">
        <x:f>IF(ABS('Artifact Ledger'!P1332-IF(AND('Artifact Ledger'!L1332=1,'Artifact Ledger'!M1332=1,'Artifact Ledger'!N1332=1,'Artifact Ledger'!O1332&gt;='Artifact Ledger'!G1332),'Artifact Ledger'!K1332,0))&lt;0.000001,1,0)</x:f>
        <x:v>1</x:v>
      </x:c>
      <x:c r="F3701" s="21" t="n">
        <x:v>1</x:v>
      </x:c>
      <x:c r="G3701" s="23" t="str">
        <x:f>IF(E3701=F3701,"PASS","FAIL")</x:f>
        <x:v>PASS</x:v>
      </x:c>
    </x:row>
    <x:row r="3702">
      <x:c r="B3702" s="21" t="str">
        <x:v>A03696</x:v>
      </x:c>
      <x:c r="C3702" s="21" t="str">
        <x:v>artifact</x:v>
      </x:c>
      <x:c r="D3702" s="21" t="str">
        <x:v>artifact 1326 planning state</x:v>
      </x:c>
      <x:c r="E3702" s="21" t="n">
        <x:f>IF(AND('Artifact Ledger'!Q1332="OPEN",'Artifact Ledger'!R1332="HOLD"),1,0)</x:f>
        <x:v>1</x:v>
      </x:c>
      <x:c r="F3702" s="21" t="n">
        <x:v>1</x:v>
      </x:c>
      <x:c r="G3702" s="23" t="str">
        <x:f>IF(E3702=F3702,"PASS","FAIL")</x:f>
        <x:v>PASS</x:v>
      </x:c>
    </x:row>
    <x:row r="3703">
      <x:c r="B3703" s="21" t="str">
        <x:v>A03697</x:v>
      </x:c>
      <x:c r="C3703" s="21" t="str">
        <x:v>artifact</x:v>
      </x:c>
      <x:c r="D3703" s="21" t="str">
        <x:v>artifact 1327 eligibility equation</x:v>
      </x:c>
      <x:c r="E3703" s="21" t="n">
        <x:f>IF(ABS('Artifact Ledger'!P1333-IF(AND('Artifact Ledger'!L1333=1,'Artifact Ledger'!M1333=1,'Artifact Ledger'!N1333=1,'Artifact Ledger'!O1333&gt;='Artifact Ledger'!G1333),'Artifact Ledger'!K1333,0))&lt;0.000001,1,0)</x:f>
        <x:v>1</x:v>
      </x:c>
      <x:c r="F3703" s="21" t="n">
        <x:v>1</x:v>
      </x:c>
      <x:c r="G3703" s="23" t="str">
        <x:f>IF(E3703=F3703,"PASS","FAIL")</x:f>
        <x:v>PASS</x:v>
      </x:c>
    </x:row>
    <x:row r="3704">
      <x:c r="B3704" s="21" t="str">
        <x:v>A03698</x:v>
      </x:c>
      <x:c r="C3704" s="21" t="str">
        <x:v>artifact</x:v>
      </x:c>
      <x:c r="D3704" s="21" t="str">
        <x:v>artifact 1327 planning state</x:v>
      </x:c>
      <x:c r="E3704" s="21" t="n">
        <x:f>IF(AND('Artifact Ledger'!Q1333="OPEN",'Artifact Ledger'!R1333="HOLD"),1,0)</x:f>
        <x:v>1</x:v>
      </x:c>
      <x:c r="F3704" s="21" t="n">
        <x:v>1</x:v>
      </x:c>
      <x:c r="G3704" s="23" t="str">
        <x:f>IF(E3704=F3704,"PASS","FAIL")</x:f>
        <x:v>PASS</x:v>
      </x:c>
    </x:row>
    <x:row r="3705">
      <x:c r="B3705" s="21" t="str">
        <x:v>A03699</x:v>
      </x:c>
      <x:c r="C3705" s="21" t="str">
        <x:v>artifact</x:v>
      </x:c>
      <x:c r="D3705" s="21" t="str">
        <x:v>artifact 1328 eligibility equation</x:v>
      </x:c>
      <x:c r="E3705" s="21" t="n">
        <x:f>IF(ABS('Artifact Ledger'!P1334-IF(AND('Artifact Ledger'!L1334=1,'Artifact Ledger'!M1334=1,'Artifact Ledger'!N1334=1,'Artifact Ledger'!O1334&gt;='Artifact Ledger'!G1334),'Artifact Ledger'!K1334,0))&lt;0.000001,1,0)</x:f>
        <x:v>1</x:v>
      </x:c>
      <x:c r="F3705" s="21" t="n">
        <x:v>1</x:v>
      </x:c>
      <x:c r="G3705" s="23" t="str">
        <x:f>IF(E3705=F3705,"PASS","FAIL")</x:f>
        <x:v>PASS</x:v>
      </x:c>
    </x:row>
    <x:row r="3706">
      <x:c r="B3706" s="21" t="str">
        <x:v>A03700</x:v>
      </x:c>
      <x:c r="C3706" s="21" t="str">
        <x:v>artifact</x:v>
      </x:c>
      <x:c r="D3706" s="21" t="str">
        <x:v>artifact 1328 planning state</x:v>
      </x:c>
      <x:c r="E3706" s="21" t="n">
        <x:f>IF(AND('Artifact Ledger'!Q1334="OPEN",'Artifact Ledger'!R1334="HOLD"),1,0)</x:f>
        <x:v>1</x:v>
      </x:c>
      <x:c r="F3706" s="21" t="n">
        <x:v>1</x:v>
      </x:c>
      <x:c r="G3706" s="23" t="str">
        <x:f>IF(E3706=F3706,"PASS","FAIL")</x:f>
        <x:v>PASS</x:v>
      </x:c>
    </x:row>
    <x:row r="3707">
      <x:c r="B3707" s="21" t="str">
        <x:v>A03701</x:v>
      </x:c>
      <x:c r="C3707" s="21" t="str">
        <x:v>artifact</x:v>
      </x:c>
      <x:c r="D3707" s="21" t="str">
        <x:v>artifact 1329 eligibility equation</x:v>
      </x:c>
      <x:c r="E3707" s="21" t="n">
        <x:f>IF(ABS('Artifact Ledger'!P1335-IF(AND('Artifact Ledger'!L1335=1,'Artifact Ledger'!M1335=1,'Artifact Ledger'!N1335=1,'Artifact Ledger'!O1335&gt;='Artifact Ledger'!G1335),'Artifact Ledger'!K1335,0))&lt;0.000001,1,0)</x:f>
        <x:v>1</x:v>
      </x:c>
      <x:c r="F3707" s="21" t="n">
        <x:v>1</x:v>
      </x:c>
      <x:c r="G3707" s="23" t="str">
        <x:f>IF(E3707=F3707,"PASS","FAIL")</x:f>
        <x:v>PASS</x:v>
      </x:c>
    </x:row>
    <x:row r="3708">
      <x:c r="B3708" s="21" t="str">
        <x:v>A03702</x:v>
      </x:c>
      <x:c r="C3708" s="21" t="str">
        <x:v>artifact</x:v>
      </x:c>
      <x:c r="D3708" s="21" t="str">
        <x:v>artifact 1329 planning state</x:v>
      </x:c>
      <x:c r="E3708" s="21" t="n">
        <x:f>IF(AND('Artifact Ledger'!Q1335="OPEN",'Artifact Ledger'!R1335="HOLD"),1,0)</x:f>
        <x:v>1</x:v>
      </x:c>
      <x:c r="F3708" s="21" t="n">
        <x:v>1</x:v>
      </x:c>
      <x:c r="G3708" s="23" t="str">
        <x:f>IF(E3708=F3708,"PASS","FAIL")</x:f>
        <x:v>PASS</x:v>
      </x:c>
    </x:row>
    <x:row r="3709">
      <x:c r="B3709" s="21" t="str">
        <x:v>A03703</x:v>
      </x:c>
      <x:c r="C3709" s="21" t="str">
        <x:v>artifact</x:v>
      </x:c>
      <x:c r="D3709" s="21" t="str">
        <x:v>artifact 1330 eligibility equation</x:v>
      </x:c>
      <x:c r="E3709" s="21" t="n">
        <x:f>IF(ABS('Artifact Ledger'!P1336-IF(AND('Artifact Ledger'!L1336=1,'Artifact Ledger'!M1336=1,'Artifact Ledger'!N1336=1,'Artifact Ledger'!O1336&gt;='Artifact Ledger'!G1336),'Artifact Ledger'!K1336,0))&lt;0.000001,1,0)</x:f>
        <x:v>1</x:v>
      </x:c>
      <x:c r="F3709" s="21" t="n">
        <x:v>1</x:v>
      </x:c>
      <x:c r="G3709" s="23" t="str">
        <x:f>IF(E3709=F3709,"PASS","FAIL")</x:f>
        <x:v>PASS</x:v>
      </x:c>
    </x:row>
    <x:row r="3710">
      <x:c r="B3710" s="21" t="str">
        <x:v>A03704</x:v>
      </x:c>
      <x:c r="C3710" s="21" t="str">
        <x:v>artifact</x:v>
      </x:c>
      <x:c r="D3710" s="21" t="str">
        <x:v>artifact 1330 planning state</x:v>
      </x:c>
      <x:c r="E3710" s="21" t="n">
        <x:f>IF(AND('Artifact Ledger'!Q1336="OPEN",'Artifact Ledger'!R1336="HOLD"),1,0)</x:f>
        <x:v>1</x:v>
      </x:c>
      <x:c r="F3710" s="21" t="n">
        <x:v>1</x:v>
      </x:c>
      <x:c r="G3710" s="23" t="str">
        <x:f>IF(E3710=F3710,"PASS","FAIL")</x:f>
        <x:v>PASS</x:v>
      </x:c>
    </x:row>
    <x:row r="3711">
      <x:c r="B3711" s="21" t="str">
        <x:v>A03705</x:v>
      </x:c>
      <x:c r="C3711" s="21" t="str">
        <x:v>artifact</x:v>
      </x:c>
      <x:c r="D3711" s="21" t="str">
        <x:v>artifact 1331 eligibility equation</x:v>
      </x:c>
      <x:c r="E3711" s="21" t="n">
        <x:f>IF(ABS('Artifact Ledger'!P1337-IF(AND('Artifact Ledger'!L1337=1,'Artifact Ledger'!M1337=1,'Artifact Ledger'!N1337=1,'Artifact Ledger'!O1337&gt;='Artifact Ledger'!G1337),'Artifact Ledger'!K1337,0))&lt;0.000001,1,0)</x:f>
        <x:v>1</x:v>
      </x:c>
      <x:c r="F3711" s="21" t="n">
        <x:v>1</x:v>
      </x:c>
      <x:c r="G3711" s="23" t="str">
        <x:f>IF(E3711=F3711,"PASS","FAIL")</x:f>
        <x:v>PASS</x:v>
      </x:c>
    </x:row>
    <x:row r="3712">
      <x:c r="B3712" s="21" t="str">
        <x:v>A03706</x:v>
      </x:c>
      <x:c r="C3712" s="21" t="str">
        <x:v>artifact</x:v>
      </x:c>
      <x:c r="D3712" s="21" t="str">
        <x:v>artifact 1331 planning state</x:v>
      </x:c>
      <x:c r="E3712" s="21" t="n">
        <x:f>IF(AND('Artifact Ledger'!Q1337="OPEN",'Artifact Ledger'!R1337="HOLD"),1,0)</x:f>
        <x:v>1</x:v>
      </x:c>
      <x:c r="F3712" s="21" t="n">
        <x:v>1</x:v>
      </x:c>
      <x:c r="G3712" s="23" t="str">
        <x:f>IF(E3712=F3712,"PASS","FAIL")</x:f>
        <x:v>PASS</x:v>
      </x:c>
    </x:row>
    <x:row r="3713">
      <x:c r="B3713" s="21" t="str">
        <x:v>A03707</x:v>
      </x:c>
      <x:c r="C3713" s="21" t="str">
        <x:v>artifact</x:v>
      </x:c>
      <x:c r="D3713" s="21" t="str">
        <x:v>artifact 1332 eligibility equation</x:v>
      </x:c>
      <x:c r="E3713" s="21" t="n">
        <x:f>IF(ABS('Artifact Ledger'!P1338-IF(AND('Artifact Ledger'!L1338=1,'Artifact Ledger'!M1338=1,'Artifact Ledger'!N1338=1,'Artifact Ledger'!O1338&gt;='Artifact Ledger'!G1338),'Artifact Ledger'!K1338,0))&lt;0.000001,1,0)</x:f>
        <x:v>1</x:v>
      </x:c>
      <x:c r="F3713" s="21" t="n">
        <x:v>1</x:v>
      </x:c>
      <x:c r="G3713" s="23" t="str">
        <x:f>IF(E3713=F3713,"PASS","FAIL")</x:f>
        <x:v>PASS</x:v>
      </x:c>
    </x:row>
    <x:row r="3714">
      <x:c r="B3714" s="21" t="str">
        <x:v>A03708</x:v>
      </x:c>
      <x:c r="C3714" s="21" t="str">
        <x:v>artifact</x:v>
      </x:c>
      <x:c r="D3714" s="21" t="str">
        <x:v>artifact 1332 planning state</x:v>
      </x:c>
      <x:c r="E3714" s="21" t="n">
        <x:f>IF(AND('Artifact Ledger'!Q1338="OPEN",'Artifact Ledger'!R1338="HOLD"),1,0)</x:f>
        <x:v>1</x:v>
      </x:c>
      <x:c r="F3714" s="21" t="n">
        <x:v>1</x:v>
      </x:c>
      <x:c r="G3714" s="23" t="str">
        <x:f>IF(E3714=F3714,"PASS","FAIL")</x:f>
        <x:v>PASS</x:v>
      </x:c>
    </x:row>
    <x:row r="3715">
      <x:c r="B3715" s="21" t="str">
        <x:v>A03709</x:v>
      </x:c>
      <x:c r="C3715" s="21" t="str">
        <x:v>artifact</x:v>
      </x:c>
      <x:c r="D3715" s="21" t="str">
        <x:v>artifact 1333 eligibility equation</x:v>
      </x:c>
      <x:c r="E3715" s="21" t="n">
        <x:f>IF(ABS('Artifact Ledger'!P1339-IF(AND('Artifact Ledger'!L1339=1,'Artifact Ledger'!M1339=1,'Artifact Ledger'!N1339=1,'Artifact Ledger'!O1339&gt;='Artifact Ledger'!G1339),'Artifact Ledger'!K1339,0))&lt;0.000001,1,0)</x:f>
        <x:v>1</x:v>
      </x:c>
      <x:c r="F3715" s="21" t="n">
        <x:v>1</x:v>
      </x:c>
      <x:c r="G3715" s="23" t="str">
        <x:f>IF(E3715=F3715,"PASS","FAIL")</x:f>
        <x:v>PASS</x:v>
      </x:c>
    </x:row>
    <x:row r="3716">
      <x:c r="B3716" s="21" t="str">
        <x:v>A03710</x:v>
      </x:c>
      <x:c r="C3716" s="21" t="str">
        <x:v>artifact</x:v>
      </x:c>
      <x:c r="D3716" s="21" t="str">
        <x:v>artifact 1333 planning state</x:v>
      </x:c>
      <x:c r="E3716" s="21" t="n">
        <x:f>IF(AND('Artifact Ledger'!Q1339="OPEN",'Artifact Ledger'!R1339="HOLD"),1,0)</x:f>
        <x:v>1</x:v>
      </x:c>
      <x:c r="F3716" s="21" t="n">
        <x:v>1</x:v>
      </x:c>
      <x:c r="G3716" s="23" t="str">
        <x:f>IF(E3716=F3716,"PASS","FAIL")</x:f>
        <x:v>PASS</x:v>
      </x:c>
    </x:row>
    <x:row r="3717">
      <x:c r="B3717" s="21" t="str">
        <x:v>A03711</x:v>
      </x:c>
      <x:c r="C3717" s="21" t="str">
        <x:v>artifact</x:v>
      </x:c>
      <x:c r="D3717" s="21" t="str">
        <x:v>artifact 1334 eligibility equation</x:v>
      </x:c>
      <x:c r="E3717" s="21" t="n">
        <x:f>IF(ABS('Artifact Ledger'!P1340-IF(AND('Artifact Ledger'!L1340=1,'Artifact Ledger'!M1340=1,'Artifact Ledger'!N1340=1,'Artifact Ledger'!O1340&gt;='Artifact Ledger'!G1340),'Artifact Ledger'!K1340,0))&lt;0.000001,1,0)</x:f>
        <x:v>1</x:v>
      </x:c>
      <x:c r="F3717" s="21" t="n">
        <x:v>1</x:v>
      </x:c>
      <x:c r="G3717" s="23" t="str">
        <x:f>IF(E3717=F3717,"PASS","FAIL")</x:f>
        <x:v>PASS</x:v>
      </x:c>
    </x:row>
    <x:row r="3718">
      <x:c r="B3718" s="21" t="str">
        <x:v>A03712</x:v>
      </x:c>
      <x:c r="C3718" s="21" t="str">
        <x:v>artifact</x:v>
      </x:c>
      <x:c r="D3718" s="21" t="str">
        <x:v>artifact 1334 planning state</x:v>
      </x:c>
      <x:c r="E3718" s="21" t="n">
        <x:f>IF(AND('Artifact Ledger'!Q1340="OPEN",'Artifact Ledger'!R1340="HOLD"),1,0)</x:f>
        <x:v>1</x:v>
      </x:c>
      <x:c r="F3718" s="21" t="n">
        <x:v>1</x:v>
      </x:c>
      <x:c r="G3718" s="23" t="str">
        <x:f>IF(E3718=F3718,"PASS","FAIL")</x:f>
        <x:v>PASS</x:v>
      </x:c>
    </x:row>
    <x:row r="3719">
      <x:c r="B3719" s="21" t="str">
        <x:v>A03713</x:v>
      </x:c>
      <x:c r="C3719" s="21" t="str">
        <x:v>artifact</x:v>
      </x:c>
      <x:c r="D3719" s="21" t="str">
        <x:v>artifact 1335 eligibility equation</x:v>
      </x:c>
      <x:c r="E3719" s="21" t="n">
        <x:f>IF(ABS('Artifact Ledger'!P1341-IF(AND('Artifact Ledger'!L1341=1,'Artifact Ledger'!M1341=1,'Artifact Ledger'!N1341=1,'Artifact Ledger'!O1341&gt;='Artifact Ledger'!G1341),'Artifact Ledger'!K1341,0))&lt;0.000001,1,0)</x:f>
        <x:v>1</x:v>
      </x:c>
      <x:c r="F3719" s="21" t="n">
        <x:v>1</x:v>
      </x:c>
      <x:c r="G3719" s="23" t="str">
        <x:f>IF(E3719=F3719,"PASS","FAIL")</x:f>
        <x:v>PASS</x:v>
      </x:c>
    </x:row>
    <x:row r="3720">
      <x:c r="B3720" s="21" t="str">
        <x:v>A03714</x:v>
      </x:c>
      <x:c r="C3720" s="21" t="str">
        <x:v>artifact</x:v>
      </x:c>
      <x:c r="D3720" s="21" t="str">
        <x:v>artifact 1335 planning state</x:v>
      </x:c>
      <x:c r="E3720" s="21" t="n">
        <x:f>IF(AND('Artifact Ledger'!Q1341="OPEN",'Artifact Ledger'!R1341="HOLD"),1,0)</x:f>
        <x:v>1</x:v>
      </x:c>
      <x:c r="F3720" s="21" t="n">
        <x:v>1</x:v>
      </x:c>
      <x:c r="G3720" s="23" t="str">
        <x:f>IF(E3720=F3720,"PASS","FAIL")</x:f>
        <x:v>PASS</x:v>
      </x:c>
    </x:row>
    <x:row r="3721">
      <x:c r="B3721" s="21" t="str">
        <x:v>A03715</x:v>
      </x:c>
      <x:c r="C3721" s="21" t="str">
        <x:v>artifact</x:v>
      </x:c>
      <x:c r="D3721" s="21" t="str">
        <x:v>artifact 1336 eligibility equation</x:v>
      </x:c>
      <x:c r="E3721" s="21" t="n">
        <x:f>IF(ABS('Artifact Ledger'!P1342-IF(AND('Artifact Ledger'!L1342=1,'Artifact Ledger'!M1342=1,'Artifact Ledger'!N1342=1,'Artifact Ledger'!O1342&gt;='Artifact Ledger'!G1342),'Artifact Ledger'!K1342,0))&lt;0.000001,1,0)</x:f>
        <x:v>1</x:v>
      </x:c>
      <x:c r="F3721" s="21" t="n">
        <x:v>1</x:v>
      </x:c>
      <x:c r="G3721" s="23" t="str">
        <x:f>IF(E3721=F3721,"PASS","FAIL")</x:f>
        <x:v>PASS</x:v>
      </x:c>
    </x:row>
    <x:row r="3722">
      <x:c r="B3722" s="21" t="str">
        <x:v>A03716</x:v>
      </x:c>
      <x:c r="C3722" s="21" t="str">
        <x:v>artifact</x:v>
      </x:c>
      <x:c r="D3722" s="21" t="str">
        <x:v>artifact 1336 planning state</x:v>
      </x:c>
      <x:c r="E3722" s="21" t="n">
        <x:f>IF(AND('Artifact Ledger'!Q1342="OPEN",'Artifact Ledger'!R1342="HOLD"),1,0)</x:f>
        <x:v>1</x:v>
      </x:c>
      <x:c r="F3722" s="21" t="n">
        <x:v>1</x:v>
      </x:c>
      <x:c r="G3722" s="23" t="str">
        <x:f>IF(E3722=F3722,"PASS","FAIL")</x:f>
        <x:v>PASS</x:v>
      </x:c>
    </x:row>
    <x:row r="3723">
      <x:c r="B3723" s="21" t="str">
        <x:v>A03717</x:v>
      </x:c>
      <x:c r="C3723" s="21" t="str">
        <x:v>artifact</x:v>
      </x:c>
      <x:c r="D3723" s="21" t="str">
        <x:v>artifact 1337 eligibility equation</x:v>
      </x:c>
      <x:c r="E3723" s="21" t="n">
        <x:f>IF(ABS('Artifact Ledger'!P1343-IF(AND('Artifact Ledger'!L1343=1,'Artifact Ledger'!M1343=1,'Artifact Ledger'!N1343=1,'Artifact Ledger'!O1343&gt;='Artifact Ledger'!G1343),'Artifact Ledger'!K1343,0))&lt;0.000001,1,0)</x:f>
        <x:v>1</x:v>
      </x:c>
      <x:c r="F3723" s="21" t="n">
        <x:v>1</x:v>
      </x:c>
      <x:c r="G3723" s="23" t="str">
        <x:f>IF(E3723=F3723,"PASS","FAIL")</x:f>
        <x:v>PASS</x:v>
      </x:c>
    </x:row>
    <x:row r="3724">
      <x:c r="B3724" s="21" t="str">
        <x:v>A03718</x:v>
      </x:c>
      <x:c r="C3724" s="21" t="str">
        <x:v>artifact</x:v>
      </x:c>
      <x:c r="D3724" s="21" t="str">
        <x:v>artifact 1337 planning state</x:v>
      </x:c>
      <x:c r="E3724" s="21" t="n">
        <x:f>IF(AND('Artifact Ledger'!Q1343="OPEN",'Artifact Ledger'!R1343="HOLD"),1,0)</x:f>
        <x:v>1</x:v>
      </x:c>
      <x:c r="F3724" s="21" t="n">
        <x:v>1</x:v>
      </x:c>
      <x:c r="G3724" s="23" t="str">
        <x:f>IF(E3724=F3724,"PASS","FAIL")</x:f>
        <x:v>PASS</x:v>
      </x:c>
    </x:row>
    <x:row r="3725">
      <x:c r="B3725" s="21" t="str">
        <x:v>A03719</x:v>
      </x:c>
      <x:c r="C3725" s="21" t="str">
        <x:v>artifact</x:v>
      </x:c>
      <x:c r="D3725" s="21" t="str">
        <x:v>artifact 1338 eligibility equation</x:v>
      </x:c>
      <x:c r="E3725" s="21" t="n">
        <x:f>IF(ABS('Artifact Ledger'!P1344-IF(AND('Artifact Ledger'!L1344=1,'Artifact Ledger'!M1344=1,'Artifact Ledger'!N1344=1,'Artifact Ledger'!O1344&gt;='Artifact Ledger'!G1344),'Artifact Ledger'!K1344,0))&lt;0.000001,1,0)</x:f>
        <x:v>1</x:v>
      </x:c>
      <x:c r="F3725" s="21" t="n">
        <x:v>1</x:v>
      </x:c>
      <x:c r="G3725" s="23" t="str">
        <x:f>IF(E3725=F3725,"PASS","FAIL")</x:f>
        <x:v>PASS</x:v>
      </x:c>
    </x:row>
    <x:row r="3726">
      <x:c r="B3726" s="21" t="str">
        <x:v>A03720</x:v>
      </x:c>
      <x:c r="C3726" s="21" t="str">
        <x:v>artifact</x:v>
      </x:c>
      <x:c r="D3726" s="21" t="str">
        <x:v>artifact 1338 planning state</x:v>
      </x:c>
      <x:c r="E3726" s="21" t="n">
        <x:f>IF(AND('Artifact Ledger'!Q1344="OPEN",'Artifact Ledger'!R1344="HOLD"),1,0)</x:f>
        <x:v>1</x:v>
      </x:c>
      <x:c r="F3726" s="21" t="n">
        <x:v>1</x:v>
      </x:c>
      <x:c r="G3726" s="23" t="str">
        <x:f>IF(E3726=F3726,"PASS","FAIL")</x:f>
        <x:v>PASS</x:v>
      </x:c>
    </x:row>
    <x:row r="3727">
      <x:c r="B3727" s="21" t="str">
        <x:v>A03721</x:v>
      </x:c>
      <x:c r="C3727" s="21" t="str">
        <x:v>artifact</x:v>
      </x:c>
      <x:c r="D3727" s="21" t="str">
        <x:v>artifact 1339 eligibility equation</x:v>
      </x:c>
      <x:c r="E3727" s="21" t="n">
        <x:f>IF(ABS('Artifact Ledger'!P1345-IF(AND('Artifact Ledger'!L1345=1,'Artifact Ledger'!M1345=1,'Artifact Ledger'!N1345=1,'Artifact Ledger'!O1345&gt;='Artifact Ledger'!G1345),'Artifact Ledger'!K1345,0))&lt;0.000001,1,0)</x:f>
        <x:v>1</x:v>
      </x:c>
      <x:c r="F3727" s="21" t="n">
        <x:v>1</x:v>
      </x:c>
      <x:c r="G3727" s="23" t="str">
        <x:f>IF(E3727=F3727,"PASS","FAIL")</x:f>
        <x:v>PASS</x:v>
      </x:c>
    </x:row>
    <x:row r="3728">
      <x:c r="B3728" s="21" t="str">
        <x:v>A03722</x:v>
      </x:c>
      <x:c r="C3728" s="21" t="str">
        <x:v>artifact</x:v>
      </x:c>
      <x:c r="D3728" s="21" t="str">
        <x:v>artifact 1339 planning state</x:v>
      </x:c>
      <x:c r="E3728" s="21" t="n">
        <x:f>IF(AND('Artifact Ledger'!Q1345="OPEN",'Artifact Ledger'!R1345="HOLD"),1,0)</x:f>
        <x:v>1</x:v>
      </x:c>
      <x:c r="F3728" s="21" t="n">
        <x:v>1</x:v>
      </x:c>
      <x:c r="G3728" s="23" t="str">
        <x:f>IF(E3728=F3728,"PASS","FAIL")</x:f>
        <x:v>PASS</x:v>
      </x:c>
    </x:row>
    <x:row r="3729">
      <x:c r="B3729" s="21" t="str">
        <x:v>A03723</x:v>
      </x:c>
      <x:c r="C3729" s="21" t="str">
        <x:v>artifact</x:v>
      </x:c>
      <x:c r="D3729" s="21" t="str">
        <x:v>artifact 1340 eligibility equation</x:v>
      </x:c>
      <x:c r="E3729" s="21" t="n">
        <x:f>IF(ABS('Artifact Ledger'!P1346-IF(AND('Artifact Ledger'!L1346=1,'Artifact Ledger'!M1346=1,'Artifact Ledger'!N1346=1,'Artifact Ledger'!O1346&gt;='Artifact Ledger'!G1346),'Artifact Ledger'!K1346,0))&lt;0.000001,1,0)</x:f>
        <x:v>1</x:v>
      </x:c>
      <x:c r="F3729" s="21" t="n">
        <x:v>1</x:v>
      </x:c>
      <x:c r="G3729" s="23" t="str">
        <x:f>IF(E3729=F3729,"PASS","FAIL")</x:f>
        <x:v>PASS</x:v>
      </x:c>
    </x:row>
    <x:row r="3730">
      <x:c r="B3730" s="21" t="str">
        <x:v>A03724</x:v>
      </x:c>
      <x:c r="C3730" s="21" t="str">
        <x:v>artifact</x:v>
      </x:c>
      <x:c r="D3730" s="21" t="str">
        <x:v>artifact 1340 planning state</x:v>
      </x:c>
      <x:c r="E3730" s="21" t="n">
        <x:f>IF(AND('Artifact Ledger'!Q1346="OPEN",'Artifact Ledger'!R1346="HOLD"),1,0)</x:f>
        <x:v>1</x:v>
      </x:c>
      <x:c r="F3730" s="21" t="n">
        <x:v>1</x:v>
      </x:c>
      <x:c r="G3730" s="23" t="str">
        <x:f>IF(E3730=F3730,"PASS","FAIL")</x:f>
        <x:v>PASS</x:v>
      </x:c>
    </x:row>
    <x:row r="3731">
      <x:c r="B3731" s="21" t="str">
        <x:v>A03725</x:v>
      </x:c>
      <x:c r="C3731" s="21" t="str">
        <x:v>artifact</x:v>
      </x:c>
      <x:c r="D3731" s="21" t="str">
        <x:v>artifact 1341 eligibility equation</x:v>
      </x:c>
      <x:c r="E3731" s="21" t="n">
        <x:f>IF(ABS('Artifact Ledger'!P1347-IF(AND('Artifact Ledger'!L1347=1,'Artifact Ledger'!M1347=1,'Artifact Ledger'!N1347=1,'Artifact Ledger'!O1347&gt;='Artifact Ledger'!G1347),'Artifact Ledger'!K1347,0))&lt;0.000001,1,0)</x:f>
        <x:v>1</x:v>
      </x:c>
      <x:c r="F3731" s="21" t="n">
        <x:v>1</x:v>
      </x:c>
      <x:c r="G3731" s="23" t="str">
        <x:f>IF(E3731=F3731,"PASS","FAIL")</x:f>
        <x:v>PASS</x:v>
      </x:c>
    </x:row>
    <x:row r="3732">
      <x:c r="B3732" s="21" t="str">
        <x:v>A03726</x:v>
      </x:c>
      <x:c r="C3732" s="21" t="str">
        <x:v>artifact</x:v>
      </x:c>
      <x:c r="D3732" s="21" t="str">
        <x:v>artifact 1341 planning state</x:v>
      </x:c>
      <x:c r="E3732" s="21" t="n">
        <x:f>IF(AND('Artifact Ledger'!Q1347="OPEN",'Artifact Ledger'!R1347="HOLD"),1,0)</x:f>
        <x:v>1</x:v>
      </x:c>
      <x:c r="F3732" s="21" t="n">
        <x:v>1</x:v>
      </x:c>
      <x:c r="G3732" s="23" t="str">
        <x:f>IF(E3732=F3732,"PASS","FAIL")</x:f>
        <x:v>PASS</x:v>
      </x:c>
    </x:row>
    <x:row r="3733">
      <x:c r="B3733" s="21" t="str">
        <x:v>A03727</x:v>
      </x:c>
      <x:c r="C3733" s="21" t="str">
        <x:v>artifact</x:v>
      </x:c>
      <x:c r="D3733" s="21" t="str">
        <x:v>artifact 1342 eligibility equation</x:v>
      </x:c>
      <x:c r="E3733" s="21" t="n">
        <x:f>IF(ABS('Artifact Ledger'!P1348-IF(AND('Artifact Ledger'!L1348=1,'Artifact Ledger'!M1348=1,'Artifact Ledger'!N1348=1,'Artifact Ledger'!O1348&gt;='Artifact Ledger'!G1348),'Artifact Ledger'!K1348,0))&lt;0.000001,1,0)</x:f>
        <x:v>1</x:v>
      </x:c>
      <x:c r="F3733" s="21" t="n">
        <x:v>1</x:v>
      </x:c>
      <x:c r="G3733" s="23" t="str">
        <x:f>IF(E3733=F3733,"PASS","FAIL")</x:f>
        <x:v>PASS</x:v>
      </x:c>
    </x:row>
    <x:row r="3734">
      <x:c r="B3734" s="21" t="str">
        <x:v>A03728</x:v>
      </x:c>
      <x:c r="C3734" s="21" t="str">
        <x:v>artifact</x:v>
      </x:c>
      <x:c r="D3734" s="21" t="str">
        <x:v>artifact 1342 planning state</x:v>
      </x:c>
      <x:c r="E3734" s="21" t="n">
        <x:f>IF(AND('Artifact Ledger'!Q1348="OPEN",'Artifact Ledger'!R1348="HOLD"),1,0)</x:f>
        <x:v>1</x:v>
      </x:c>
      <x:c r="F3734" s="21" t="n">
        <x:v>1</x:v>
      </x:c>
      <x:c r="G3734" s="23" t="str">
        <x:f>IF(E3734=F3734,"PASS","FAIL")</x:f>
        <x:v>PASS</x:v>
      </x:c>
    </x:row>
    <x:row r="3735">
      <x:c r="B3735" s="21" t="str">
        <x:v>A03729</x:v>
      </x:c>
      <x:c r="C3735" s="21" t="str">
        <x:v>artifact</x:v>
      </x:c>
      <x:c r="D3735" s="21" t="str">
        <x:v>artifact 1343 eligibility equation</x:v>
      </x:c>
      <x:c r="E3735" s="21" t="n">
        <x:f>IF(ABS('Artifact Ledger'!P1349-IF(AND('Artifact Ledger'!L1349=1,'Artifact Ledger'!M1349=1,'Artifact Ledger'!N1349=1,'Artifact Ledger'!O1349&gt;='Artifact Ledger'!G1349),'Artifact Ledger'!K1349,0))&lt;0.000001,1,0)</x:f>
        <x:v>1</x:v>
      </x:c>
      <x:c r="F3735" s="21" t="n">
        <x:v>1</x:v>
      </x:c>
      <x:c r="G3735" s="23" t="str">
        <x:f>IF(E3735=F3735,"PASS","FAIL")</x:f>
        <x:v>PASS</x:v>
      </x:c>
    </x:row>
    <x:row r="3736">
      <x:c r="B3736" s="21" t="str">
        <x:v>A03730</x:v>
      </x:c>
      <x:c r="C3736" s="21" t="str">
        <x:v>artifact</x:v>
      </x:c>
      <x:c r="D3736" s="21" t="str">
        <x:v>artifact 1343 planning state</x:v>
      </x:c>
      <x:c r="E3736" s="21" t="n">
        <x:f>IF(AND('Artifact Ledger'!Q1349="OPEN",'Artifact Ledger'!R1349="HOLD"),1,0)</x:f>
        <x:v>1</x:v>
      </x:c>
      <x:c r="F3736" s="21" t="n">
        <x:v>1</x:v>
      </x:c>
      <x:c r="G3736" s="23" t="str">
        <x:f>IF(E3736=F3736,"PASS","FAIL")</x:f>
        <x:v>PASS</x:v>
      </x:c>
    </x:row>
    <x:row r="3737">
      <x:c r="B3737" s="21" t="str">
        <x:v>A03731</x:v>
      </x:c>
      <x:c r="C3737" s="21" t="str">
        <x:v>artifact</x:v>
      </x:c>
      <x:c r="D3737" s="21" t="str">
        <x:v>artifact 1344 eligibility equation</x:v>
      </x:c>
      <x:c r="E3737" s="21" t="n">
        <x:f>IF(ABS('Artifact Ledger'!P1350-IF(AND('Artifact Ledger'!L1350=1,'Artifact Ledger'!M1350=1,'Artifact Ledger'!N1350=1,'Artifact Ledger'!O1350&gt;='Artifact Ledger'!G1350),'Artifact Ledger'!K1350,0))&lt;0.000001,1,0)</x:f>
        <x:v>1</x:v>
      </x:c>
      <x:c r="F3737" s="21" t="n">
        <x:v>1</x:v>
      </x:c>
      <x:c r="G3737" s="23" t="str">
        <x:f>IF(E3737=F3737,"PASS","FAIL")</x:f>
        <x:v>PASS</x:v>
      </x:c>
    </x:row>
    <x:row r="3738">
      <x:c r="B3738" s="21" t="str">
        <x:v>A03732</x:v>
      </x:c>
      <x:c r="C3738" s="21" t="str">
        <x:v>artifact</x:v>
      </x:c>
      <x:c r="D3738" s="21" t="str">
        <x:v>artifact 1344 planning state</x:v>
      </x:c>
      <x:c r="E3738" s="21" t="n">
        <x:f>IF(AND('Artifact Ledger'!Q1350="OPEN",'Artifact Ledger'!R1350="HOLD"),1,0)</x:f>
        <x:v>1</x:v>
      </x:c>
      <x:c r="F3738" s="21" t="n">
        <x:v>1</x:v>
      </x:c>
      <x:c r="G3738" s="23" t="str">
        <x:f>IF(E3738=F3738,"PASS","FAIL")</x:f>
        <x:v>PASS</x:v>
      </x:c>
    </x:row>
    <x:row r="3739">
      <x:c r="B3739" s="21" t="str">
        <x:v>A03733</x:v>
      </x:c>
      <x:c r="C3739" s="21" t="str">
        <x:v>artifact</x:v>
      </x:c>
      <x:c r="D3739" s="21" t="str">
        <x:v>artifact 1345 eligibility equation</x:v>
      </x:c>
      <x:c r="E3739" s="21" t="n">
        <x:f>IF(ABS('Artifact Ledger'!P1351-IF(AND('Artifact Ledger'!L1351=1,'Artifact Ledger'!M1351=1,'Artifact Ledger'!N1351=1,'Artifact Ledger'!O1351&gt;='Artifact Ledger'!G1351),'Artifact Ledger'!K1351,0))&lt;0.000001,1,0)</x:f>
        <x:v>1</x:v>
      </x:c>
      <x:c r="F3739" s="21" t="n">
        <x:v>1</x:v>
      </x:c>
      <x:c r="G3739" s="23" t="str">
        <x:f>IF(E3739=F3739,"PASS","FAIL")</x:f>
        <x:v>PASS</x:v>
      </x:c>
    </x:row>
    <x:row r="3740">
      <x:c r="B3740" s="21" t="str">
        <x:v>A03734</x:v>
      </x:c>
      <x:c r="C3740" s="21" t="str">
        <x:v>artifact</x:v>
      </x:c>
      <x:c r="D3740" s="21" t="str">
        <x:v>artifact 1345 planning state</x:v>
      </x:c>
      <x:c r="E3740" s="21" t="n">
        <x:f>IF(AND('Artifact Ledger'!Q1351="OPEN",'Artifact Ledger'!R1351="HOLD"),1,0)</x:f>
        <x:v>1</x:v>
      </x:c>
      <x:c r="F3740" s="21" t="n">
        <x:v>1</x:v>
      </x:c>
      <x:c r="G3740" s="23" t="str">
        <x:f>IF(E3740=F3740,"PASS","FAIL")</x:f>
        <x:v>PASS</x:v>
      </x:c>
    </x:row>
    <x:row r="3741">
      <x:c r="B3741" s="21" t="str">
        <x:v>A03735</x:v>
      </x:c>
      <x:c r="C3741" s="21" t="str">
        <x:v>artifact</x:v>
      </x:c>
      <x:c r="D3741" s="21" t="str">
        <x:v>artifact 1346 eligibility equation</x:v>
      </x:c>
      <x:c r="E3741" s="21" t="n">
        <x:f>IF(ABS('Artifact Ledger'!P1352-IF(AND('Artifact Ledger'!L1352=1,'Artifact Ledger'!M1352=1,'Artifact Ledger'!N1352=1,'Artifact Ledger'!O1352&gt;='Artifact Ledger'!G1352),'Artifact Ledger'!K1352,0))&lt;0.000001,1,0)</x:f>
        <x:v>1</x:v>
      </x:c>
      <x:c r="F3741" s="21" t="n">
        <x:v>1</x:v>
      </x:c>
      <x:c r="G3741" s="23" t="str">
        <x:f>IF(E3741=F3741,"PASS","FAIL")</x:f>
        <x:v>PASS</x:v>
      </x:c>
    </x:row>
    <x:row r="3742">
      <x:c r="B3742" s="21" t="str">
        <x:v>A03736</x:v>
      </x:c>
      <x:c r="C3742" s="21" t="str">
        <x:v>artifact</x:v>
      </x:c>
      <x:c r="D3742" s="21" t="str">
        <x:v>artifact 1346 planning state</x:v>
      </x:c>
      <x:c r="E3742" s="21" t="n">
        <x:f>IF(AND('Artifact Ledger'!Q1352="OPEN",'Artifact Ledger'!R1352="HOLD"),1,0)</x:f>
        <x:v>1</x:v>
      </x:c>
      <x:c r="F3742" s="21" t="n">
        <x:v>1</x:v>
      </x:c>
      <x:c r="G3742" s="23" t="str">
        <x:f>IF(E3742=F3742,"PASS","FAIL")</x:f>
        <x:v>PASS</x:v>
      </x:c>
    </x:row>
    <x:row r="3743">
      <x:c r="B3743" s="21" t="str">
        <x:v>A03737</x:v>
      </x:c>
      <x:c r="C3743" s="21" t="str">
        <x:v>artifact</x:v>
      </x:c>
      <x:c r="D3743" s="21" t="str">
        <x:v>artifact 1347 eligibility equation</x:v>
      </x:c>
      <x:c r="E3743" s="21" t="n">
        <x:f>IF(ABS('Artifact Ledger'!P1353-IF(AND('Artifact Ledger'!L1353=1,'Artifact Ledger'!M1353=1,'Artifact Ledger'!N1353=1,'Artifact Ledger'!O1353&gt;='Artifact Ledger'!G1353),'Artifact Ledger'!K1353,0))&lt;0.000001,1,0)</x:f>
        <x:v>1</x:v>
      </x:c>
      <x:c r="F3743" s="21" t="n">
        <x:v>1</x:v>
      </x:c>
      <x:c r="G3743" s="23" t="str">
        <x:f>IF(E3743=F3743,"PASS","FAIL")</x:f>
        <x:v>PASS</x:v>
      </x:c>
    </x:row>
    <x:row r="3744">
      <x:c r="B3744" s="21" t="str">
        <x:v>A03738</x:v>
      </x:c>
      <x:c r="C3744" s="21" t="str">
        <x:v>artifact</x:v>
      </x:c>
      <x:c r="D3744" s="21" t="str">
        <x:v>artifact 1347 planning state</x:v>
      </x:c>
      <x:c r="E3744" s="21" t="n">
        <x:f>IF(AND('Artifact Ledger'!Q1353="OPEN",'Artifact Ledger'!R1353="HOLD"),1,0)</x:f>
        <x:v>1</x:v>
      </x:c>
      <x:c r="F3744" s="21" t="n">
        <x:v>1</x:v>
      </x:c>
      <x:c r="G3744" s="23" t="str">
        <x:f>IF(E3744=F3744,"PASS","FAIL")</x:f>
        <x:v>PASS</x:v>
      </x:c>
    </x:row>
    <x:row r="3745">
      <x:c r="B3745" s="21" t="str">
        <x:v>A03739</x:v>
      </x:c>
      <x:c r="C3745" s="21" t="str">
        <x:v>artifact</x:v>
      </x:c>
      <x:c r="D3745" s="21" t="str">
        <x:v>artifact 1348 eligibility equation</x:v>
      </x:c>
      <x:c r="E3745" s="21" t="n">
        <x:f>IF(ABS('Artifact Ledger'!P1354-IF(AND('Artifact Ledger'!L1354=1,'Artifact Ledger'!M1354=1,'Artifact Ledger'!N1354=1,'Artifact Ledger'!O1354&gt;='Artifact Ledger'!G1354),'Artifact Ledger'!K1354,0))&lt;0.000001,1,0)</x:f>
        <x:v>1</x:v>
      </x:c>
      <x:c r="F3745" s="21" t="n">
        <x:v>1</x:v>
      </x:c>
      <x:c r="G3745" s="23" t="str">
        <x:f>IF(E3745=F3745,"PASS","FAIL")</x:f>
        <x:v>PASS</x:v>
      </x:c>
    </x:row>
    <x:row r="3746">
      <x:c r="B3746" s="21" t="str">
        <x:v>A03740</x:v>
      </x:c>
      <x:c r="C3746" s="21" t="str">
        <x:v>artifact</x:v>
      </x:c>
      <x:c r="D3746" s="21" t="str">
        <x:v>artifact 1348 planning state</x:v>
      </x:c>
      <x:c r="E3746" s="21" t="n">
        <x:f>IF(AND('Artifact Ledger'!Q1354="OPEN",'Artifact Ledger'!R1354="HOLD"),1,0)</x:f>
        <x:v>1</x:v>
      </x:c>
      <x:c r="F3746" s="21" t="n">
        <x:v>1</x:v>
      </x:c>
      <x:c r="G3746" s="23" t="str">
        <x:f>IF(E3746=F3746,"PASS","FAIL")</x:f>
        <x:v>PASS</x:v>
      </x:c>
    </x:row>
    <x:row r="3747">
      <x:c r="B3747" s="21" t="str">
        <x:v>A03741</x:v>
      </x:c>
      <x:c r="C3747" s="21" t="str">
        <x:v>artifact</x:v>
      </x:c>
      <x:c r="D3747" s="21" t="str">
        <x:v>artifact 1349 eligibility equation</x:v>
      </x:c>
      <x:c r="E3747" s="21" t="n">
        <x:f>IF(ABS('Artifact Ledger'!P1355-IF(AND('Artifact Ledger'!L1355=1,'Artifact Ledger'!M1355=1,'Artifact Ledger'!N1355=1,'Artifact Ledger'!O1355&gt;='Artifact Ledger'!G1355),'Artifact Ledger'!K1355,0))&lt;0.000001,1,0)</x:f>
        <x:v>1</x:v>
      </x:c>
      <x:c r="F3747" s="21" t="n">
        <x:v>1</x:v>
      </x:c>
      <x:c r="G3747" s="23" t="str">
        <x:f>IF(E3747=F3747,"PASS","FAIL")</x:f>
        <x:v>PASS</x:v>
      </x:c>
    </x:row>
    <x:row r="3748">
      <x:c r="B3748" s="21" t="str">
        <x:v>A03742</x:v>
      </x:c>
      <x:c r="C3748" s="21" t="str">
        <x:v>artifact</x:v>
      </x:c>
      <x:c r="D3748" s="21" t="str">
        <x:v>artifact 1349 planning state</x:v>
      </x:c>
      <x:c r="E3748" s="21" t="n">
        <x:f>IF(AND('Artifact Ledger'!Q1355="OPEN",'Artifact Ledger'!R1355="HOLD"),1,0)</x:f>
        <x:v>1</x:v>
      </x:c>
      <x:c r="F3748" s="21" t="n">
        <x:v>1</x:v>
      </x:c>
      <x:c r="G3748" s="23" t="str">
        <x:f>IF(E3748=F3748,"PASS","FAIL")</x:f>
        <x:v>PASS</x:v>
      </x:c>
    </x:row>
    <x:row r="3749">
      <x:c r="B3749" s="21" t="str">
        <x:v>A03743</x:v>
      </x:c>
      <x:c r="C3749" s="21" t="str">
        <x:v>artifact</x:v>
      </x:c>
      <x:c r="D3749" s="21" t="str">
        <x:v>artifact 1350 eligibility equation</x:v>
      </x:c>
      <x:c r="E3749" s="21" t="n">
        <x:f>IF(ABS('Artifact Ledger'!P1356-IF(AND('Artifact Ledger'!L1356=1,'Artifact Ledger'!M1356=1,'Artifact Ledger'!N1356=1,'Artifact Ledger'!O1356&gt;='Artifact Ledger'!G1356),'Artifact Ledger'!K1356,0))&lt;0.000001,1,0)</x:f>
        <x:v>1</x:v>
      </x:c>
      <x:c r="F3749" s="21" t="n">
        <x:v>1</x:v>
      </x:c>
      <x:c r="G3749" s="23" t="str">
        <x:f>IF(E3749=F3749,"PASS","FAIL")</x:f>
        <x:v>PASS</x:v>
      </x:c>
    </x:row>
    <x:row r="3750">
      <x:c r="B3750" s="21" t="str">
        <x:v>A03744</x:v>
      </x:c>
      <x:c r="C3750" s="21" t="str">
        <x:v>artifact</x:v>
      </x:c>
      <x:c r="D3750" s="21" t="str">
        <x:v>artifact 1350 planning state</x:v>
      </x:c>
      <x:c r="E3750" s="21" t="n">
        <x:f>IF(AND('Artifact Ledger'!Q1356="OPEN",'Artifact Ledger'!R1356="HOLD"),1,0)</x:f>
        <x:v>1</x:v>
      </x:c>
      <x:c r="F3750" s="21" t="n">
        <x:v>1</x:v>
      </x:c>
      <x:c r="G3750" s="23" t="str">
        <x:f>IF(E3750=F3750,"PASS","FAIL")</x:f>
        <x:v>PASS</x:v>
      </x:c>
    </x:row>
    <x:row r="3751">
      <x:c r="B3751" s="21" t="str">
        <x:v>A03745</x:v>
      </x:c>
      <x:c r="C3751" s="21" t="str">
        <x:v>artifact</x:v>
      </x:c>
      <x:c r="D3751" s="21" t="str">
        <x:v>artifact 1351 eligibility equation</x:v>
      </x:c>
      <x:c r="E3751" s="21" t="n">
        <x:f>IF(ABS('Artifact Ledger'!P1357-IF(AND('Artifact Ledger'!L1357=1,'Artifact Ledger'!M1357=1,'Artifact Ledger'!N1357=1,'Artifact Ledger'!O1357&gt;='Artifact Ledger'!G1357),'Artifact Ledger'!K1357,0))&lt;0.000001,1,0)</x:f>
        <x:v>1</x:v>
      </x:c>
      <x:c r="F3751" s="21" t="n">
        <x:v>1</x:v>
      </x:c>
      <x:c r="G3751" s="23" t="str">
        <x:f>IF(E3751=F3751,"PASS","FAIL")</x:f>
        <x:v>PASS</x:v>
      </x:c>
    </x:row>
    <x:row r="3752">
      <x:c r="B3752" s="21" t="str">
        <x:v>A03746</x:v>
      </x:c>
      <x:c r="C3752" s="21" t="str">
        <x:v>artifact</x:v>
      </x:c>
      <x:c r="D3752" s="21" t="str">
        <x:v>artifact 1351 planning state</x:v>
      </x:c>
      <x:c r="E3752" s="21" t="n">
        <x:f>IF(AND('Artifact Ledger'!Q1357="OPEN",'Artifact Ledger'!R1357="HOLD"),1,0)</x:f>
        <x:v>1</x:v>
      </x:c>
      <x:c r="F3752" s="21" t="n">
        <x:v>1</x:v>
      </x:c>
      <x:c r="G3752" s="23" t="str">
        <x:f>IF(E3752=F3752,"PASS","FAIL")</x:f>
        <x:v>PASS</x:v>
      </x:c>
    </x:row>
    <x:row r="3753">
      <x:c r="B3753" s="21" t="str">
        <x:v>A03747</x:v>
      </x:c>
      <x:c r="C3753" s="21" t="str">
        <x:v>artifact</x:v>
      </x:c>
      <x:c r="D3753" s="21" t="str">
        <x:v>artifact 1352 eligibility equation</x:v>
      </x:c>
      <x:c r="E3753" s="21" t="n">
        <x:f>IF(ABS('Artifact Ledger'!P1358-IF(AND('Artifact Ledger'!L1358=1,'Artifact Ledger'!M1358=1,'Artifact Ledger'!N1358=1,'Artifact Ledger'!O1358&gt;='Artifact Ledger'!G1358),'Artifact Ledger'!K1358,0))&lt;0.000001,1,0)</x:f>
        <x:v>1</x:v>
      </x:c>
      <x:c r="F3753" s="21" t="n">
        <x:v>1</x:v>
      </x:c>
      <x:c r="G3753" s="23" t="str">
        <x:f>IF(E3753=F3753,"PASS","FAIL")</x:f>
        <x:v>PASS</x:v>
      </x:c>
    </x:row>
    <x:row r="3754">
      <x:c r="B3754" s="21" t="str">
        <x:v>A03748</x:v>
      </x:c>
      <x:c r="C3754" s="21" t="str">
        <x:v>artifact</x:v>
      </x:c>
      <x:c r="D3754" s="21" t="str">
        <x:v>artifact 1352 planning state</x:v>
      </x:c>
      <x:c r="E3754" s="21" t="n">
        <x:f>IF(AND('Artifact Ledger'!Q1358="OPEN",'Artifact Ledger'!R1358="HOLD"),1,0)</x:f>
        <x:v>1</x:v>
      </x:c>
      <x:c r="F3754" s="21" t="n">
        <x:v>1</x:v>
      </x:c>
      <x:c r="G3754" s="23" t="str">
        <x:f>IF(E3754=F3754,"PASS","FAIL")</x:f>
        <x:v>PASS</x:v>
      </x:c>
    </x:row>
    <x:row r="3755">
      <x:c r="B3755" s="21" t="str">
        <x:v>A03749</x:v>
      </x:c>
      <x:c r="C3755" s="21" t="str">
        <x:v>artifact</x:v>
      </x:c>
      <x:c r="D3755" s="21" t="str">
        <x:v>artifact 1353 eligibility equation</x:v>
      </x:c>
      <x:c r="E3755" s="21" t="n">
        <x:f>IF(ABS('Artifact Ledger'!P1359-IF(AND('Artifact Ledger'!L1359=1,'Artifact Ledger'!M1359=1,'Artifact Ledger'!N1359=1,'Artifact Ledger'!O1359&gt;='Artifact Ledger'!G1359),'Artifact Ledger'!K1359,0))&lt;0.000001,1,0)</x:f>
        <x:v>1</x:v>
      </x:c>
      <x:c r="F3755" s="21" t="n">
        <x:v>1</x:v>
      </x:c>
      <x:c r="G3755" s="23" t="str">
        <x:f>IF(E3755=F3755,"PASS","FAIL")</x:f>
        <x:v>PASS</x:v>
      </x:c>
    </x:row>
    <x:row r="3756">
      <x:c r="B3756" s="21" t="str">
        <x:v>A03750</x:v>
      </x:c>
      <x:c r="C3756" s="21" t="str">
        <x:v>artifact</x:v>
      </x:c>
      <x:c r="D3756" s="21" t="str">
        <x:v>artifact 1353 planning state</x:v>
      </x:c>
      <x:c r="E3756" s="21" t="n">
        <x:f>IF(AND('Artifact Ledger'!Q1359="OPEN",'Artifact Ledger'!R1359="HOLD"),1,0)</x:f>
        <x:v>1</x:v>
      </x:c>
      <x:c r="F3756" s="21" t="n">
        <x:v>1</x:v>
      </x:c>
      <x:c r="G3756" s="23" t="str">
        <x:f>IF(E3756=F3756,"PASS","FAIL")</x:f>
        <x:v>PASS</x:v>
      </x:c>
    </x:row>
    <x:row r="3757">
      <x:c r="B3757" s="21" t="str">
        <x:v>A03751</x:v>
      </x:c>
      <x:c r="C3757" s="21" t="str">
        <x:v>artifact</x:v>
      </x:c>
      <x:c r="D3757" s="21" t="str">
        <x:v>artifact 1354 eligibility equation</x:v>
      </x:c>
      <x:c r="E3757" s="21" t="n">
        <x:f>IF(ABS('Artifact Ledger'!P1360-IF(AND('Artifact Ledger'!L1360=1,'Artifact Ledger'!M1360=1,'Artifact Ledger'!N1360=1,'Artifact Ledger'!O1360&gt;='Artifact Ledger'!G1360),'Artifact Ledger'!K1360,0))&lt;0.000001,1,0)</x:f>
        <x:v>1</x:v>
      </x:c>
      <x:c r="F3757" s="21" t="n">
        <x:v>1</x:v>
      </x:c>
      <x:c r="G3757" s="23" t="str">
        <x:f>IF(E3757=F3757,"PASS","FAIL")</x:f>
        <x:v>PASS</x:v>
      </x:c>
    </x:row>
    <x:row r="3758">
      <x:c r="B3758" s="21" t="str">
        <x:v>A03752</x:v>
      </x:c>
      <x:c r="C3758" s="21" t="str">
        <x:v>artifact</x:v>
      </x:c>
      <x:c r="D3758" s="21" t="str">
        <x:v>artifact 1354 planning state</x:v>
      </x:c>
      <x:c r="E3758" s="21" t="n">
        <x:f>IF(AND('Artifact Ledger'!Q1360="OPEN",'Artifact Ledger'!R1360="HOLD"),1,0)</x:f>
        <x:v>1</x:v>
      </x:c>
      <x:c r="F3758" s="21" t="n">
        <x:v>1</x:v>
      </x:c>
      <x:c r="G3758" s="23" t="str">
        <x:f>IF(E3758=F3758,"PASS","FAIL")</x:f>
        <x:v>PASS</x:v>
      </x:c>
    </x:row>
    <x:row r="3759">
      <x:c r="B3759" s="21" t="str">
        <x:v>A03753</x:v>
      </x:c>
      <x:c r="C3759" s="21" t="str">
        <x:v>artifact</x:v>
      </x:c>
      <x:c r="D3759" s="21" t="str">
        <x:v>artifact 1355 eligibility equation</x:v>
      </x:c>
      <x:c r="E3759" s="21" t="n">
        <x:f>IF(ABS('Artifact Ledger'!P1361-IF(AND('Artifact Ledger'!L1361=1,'Artifact Ledger'!M1361=1,'Artifact Ledger'!N1361=1,'Artifact Ledger'!O1361&gt;='Artifact Ledger'!G1361),'Artifact Ledger'!K1361,0))&lt;0.000001,1,0)</x:f>
        <x:v>1</x:v>
      </x:c>
      <x:c r="F3759" s="21" t="n">
        <x:v>1</x:v>
      </x:c>
      <x:c r="G3759" s="23" t="str">
        <x:f>IF(E3759=F3759,"PASS","FAIL")</x:f>
        <x:v>PASS</x:v>
      </x:c>
    </x:row>
    <x:row r="3760">
      <x:c r="B3760" s="21" t="str">
        <x:v>A03754</x:v>
      </x:c>
      <x:c r="C3760" s="21" t="str">
        <x:v>artifact</x:v>
      </x:c>
      <x:c r="D3760" s="21" t="str">
        <x:v>artifact 1355 planning state</x:v>
      </x:c>
      <x:c r="E3760" s="21" t="n">
        <x:f>IF(AND('Artifact Ledger'!Q1361="OPEN",'Artifact Ledger'!R1361="HOLD"),1,0)</x:f>
        <x:v>1</x:v>
      </x:c>
      <x:c r="F3760" s="21" t="n">
        <x:v>1</x:v>
      </x:c>
      <x:c r="G3760" s="23" t="str">
        <x:f>IF(E3760=F3760,"PASS","FAIL")</x:f>
        <x:v>PASS</x:v>
      </x:c>
    </x:row>
    <x:row r="3761">
      <x:c r="B3761" s="21" t="str">
        <x:v>A03755</x:v>
      </x:c>
      <x:c r="C3761" s="21" t="str">
        <x:v>artifact</x:v>
      </x:c>
      <x:c r="D3761" s="21" t="str">
        <x:v>artifact 1356 eligibility equation</x:v>
      </x:c>
      <x:c r="E3761" s="21" t="n">
        <x:f>IF(ABS('Artifact Ledger'!P1362-IF(AND('Artifact Ledger'!L1362=1,'Artifact Ledger'!M1362=1,'Artifact Ledger'!N1362=1,'Artifact Ledger'!O1362&gt;='Artifact Ledger'!G1362),'Artifact Ledger'!K1362,0))&lt;0.000001,1,0)</x:f>
        <x:v>1</x:v>
      </x:c>
      <x:c r="F3761" s="21" t="n">
        <x:v>1</x:v>
      </x:c>
      <x:c r="G3761" s="23" t="str">
        <x:f>IF(E3761=F3761,"PASS","FAIL")</x:f>
        <x:v>PASS</x:v>
      </x:c>
    </x:row>
    <x:row r="3762">
      <x:c r="B3762" s="21" t="str">
        <x:v>A03756</x:v>
      </x:c>
      <x:c r="C3762" s="21" t="str">
        <x:v>artifact</x:v>
      </x:c>
      <x:c r="D3762" s="21" t="str">
        <x:v>artifact 1356 planning state</x:v>
      </x:c>
      <x:c r="E3762" s="21" t="n">
        <x:f>IF(AND('Artifact Ledger'!Q1362="OPEN",'Artifact Ledger'!R1362="HOLD"),1,0)</x:f>
        <x:v>1</x:v>
      </x:c>
      <x:c r="F3762" s="21" t="n">
        <x:v>1</x:v>
      </x:c>
      <x:c r="G3762" s="23" t="str">
        <x:f>IF(E3762=F3762,"PASS","FAIL")</x:f>
        <x:v>PASS</x:v>
      </x:c>
    </x:row>
    <x:row r="3763">
      <x:c r="B3763" s="21" t="str">
        <x:v>A03757</x:v>
      </x:c>
      <x:c r="C3763" s="21" t="str">
        <x:v>artifact</x:v>
      </x:c>
      <x:c r="D3763" s="21" t="str">
        <x:v>artifact 1357 eligibility equation</x:v>
      </x:c>
      <x:c r="E3763" s="21" t="n">
        <x:f>IF(ABS('Artifact Ledger'!P1363-IF(AND('Artifact Ledger'!L1363=1,'Artifact Ledger'!M1363=1,'Artifact Ledger'!N1363=1,'Artifact Ledger'!O1363&gt;='Artifact Ledger'!G1363),'Artifact Ledger'!K1363,0))&lt;0.000001,1,0)</x:f>
        <x:v>1</x:v>
      </x:c>
      <x:c r="F3763" s="21" t="n">
        <x:v>1</x:v>
      </x:c>
      <x:c r="G3763" s="23" t="str">
        <x:f>IF(E3763=F3763,"PASS","FAIL")</x:f>
        <x:v>PASS</x:v>
      </x:c>
    </x:row>
    <x:row r="3764">
      <x:c r="B3764" s="21" t="str">
        <x:v>A03758</x:v>
      </x:c>
      <x:c r="C3764" s="21" t="str">
        <x:v>artifact</x:v>
      </x:c>
      <x:c r="D3764" s="21" t="str">
        <x:v>artifact 1357 planning state</x:v>
      </x:c>
      <x:c r="E3764" s="21" t="n">
        <x:f>IF(AND('Artifact Ledger'!Q1363="OPEN",'Artifact Ledger'!R1363="HOLD"),1,0)</x:f>
        <x:v>1</x:v>
      </x:c>
      <x:c r="F3764" s="21" t="n">
        <x:v>1</x:v>
      </x:c>
      <x:c r="G3764" s="23" t="str">
        <x:f>IF(E3764=F3764,"PASS","FAIL")</x:f>
        <x:v>PASS</x:v>
      </x:c>
    </x:row>
    <x:row r="3765">
      <x:c r="B3765" s="21" t="str">
        <x:v>A03759</x:v>
      </x:c>
      <x:c r="C3765" s="21" t="str">
        <x:v>artifact</x:v>
      </x:c>
      <x:c r="D3765" s="21" t="str">
        <x:v>artifact 1358 eligibility equation</x:v>
      </x:c>
      <x:c r="E3765" s="21" t="n">
        <x:f>IF(ABS('Artifact Ledger'!P1364-IF(AND('Artifact Ledger'!L1364=1,'Artifact Ledger'!M1364=1,'Artifact Ledger'!N1364=1,'Artifact Ledger'!O1364&gt;='Artifact Ledger'!G1364),'Artifact Ledger'!K1364,0))&lt;0.000001,1,0)</x:f>
        <x:v>1</x:v>
      </x:c>
      <x:c r="F3765" s="21" t="n">
        <x:v>1</x:v>
      </x:c>
      <x:c r="G3765" s="23" t="str">
        <x:f>IF(E3765=F3765,"PASS","FAIL")</x:f>
        <x:v>PASS</x:v>
      </x:c>
    </x:row>
    <x:row r="3766">
      <x:c r="B3766" s="21" t="str">
        <x:v>A03760</x:v>
      </x:c>
      <x:c r="C3766" s="21" t="str">
        <x:v>artifact</x:v>
      </x:c>
      <x:c r="D3766" s="21" t="str">
        <x:v>artifact 1358 planning state</x:v>
      </x:c>
      <x:c r="E3766" s="21" t="n">
        <x:f>IF(AND('Artifact Ledger'!Q1364="OPEN",'Artifact Ledger'!R1364="HOLD"),1,0)</x:f>
        <x:v>1</x:v>
      </x:c>
      <x:c r="F3766" s="21" t="n">
        <x:v>1</x:v>
      </x:c>
      <x:c r="G3766" s="23" t="str">
        <x:f>IF(E3766=F3766,"PASS","FAIL")</x:f>
        <x:v>PASS</x:v>
      </x:c>
    </x:row>
    <x:row r="3767">
      <x:c r="B3767" s="21" t="str">
        <x:v>A03761</x:v>
      </x:c>
      <x:c r="C3767" s="21" t="str">
        <x:v>artifact</x:v>
      </x:c>
      <x:c r="D3767" s="21" t="str">
        <x:v>artifact 1359 eligibility equation</x:v>
      </x:c>
      <x:c r="E3767" s="21" t="n">
        <x:f>IF(ABS('Artifact Ledger'!P1365-IF(AND('Artifact Ledger'!L1365=1,'Artifact Ledger'!M1365=1,'Artifact Ledger'!N1365=1,'Artifact Ledger'!O1365&gt;='Artifact Ledger'!G1365),'Artifact Ledger'!K1365,0))&lt;0.000001,1,0)</x:f>
        <x:v>1</x:v>
      </x:c>
      <x:c r="F3767" s="21" t="n">
        <x:v>1</x:v>
      </x:c>
      <x:c r="G3767" s="23" t="str">
        <x:f>IF(E3767=F3767,"PASS","FAIL")</x:f>
        <x:v>PASS</x:v>
      </x:c>
    </x:row>
    <x:row r="3768">
      <x:c r="B3768" s="21" t="str">
        <x:v>A03762</x:v>
      </x:c>
      <x:c r="C3768" s="21" t="str">
        <x:v>artifact</x:v>
      </x:c>
      <x:c r="D3768" s="21" t="str">
        <x:v>artifact 1359 planning state</x:v>
      </x:c>
      <x:c r="E3768" s="21" t="n">
        <x:f>IF(AND('Artifact Ledger'!Q1365="OPEN",'Artifact Ledger'!R1365="HOLD"),1,0)</x:f>
        <x:v>1</x:v>
      </x:c>
      <x:c r="F3768" s="21" t="n">
        <x:v>1</x:v>
      </x:c>
      <x:c r="G3768" s="23" t="str">
        <x:f>IF(E3768=F3768,"PASS","FAIL")</x:f>
        <x:v>PASS</x:v>
      </x:c>
    </x:row>
    <x:row r="3769">
      <x:c r="B3769" s="21" t="str">
        <x:v>A03763</x:v>
      </x:c>
      <x:c r="C3769" s="21" t="str">
        <x:v>artifact</x:v>
      </x:c>
      <x:c r="D3769" s="21" t="str">
        <x:v>artifact 1360 eligibility equation</x:v>
      </x:c>
      <x:c r="E3769" s="21" t="n">
        <x:f>IF(ABS('Artifact Ledger'!P1366-IF(AND('Artifact Ledger'!L1366=1,'Artifact Ledger'!M1366=1,'Artifact Ledger'!N1366=1,'Artifact Ledger'!O1366&gt;='Artifact Ledger'!G1366),'Artifact Ledger'!K1366,0))&lt;0.000001,1,0)</x:f>
        <x:v>1</x:v>
      </x:c>
      <x:c r="F3769" s="21" t="n">
        <x:v>1</x:v>
      </x:c>
      <x:c r="G3769" s="23" t="str">
        <x:f>IF(E3769=F3769,"PASS","FAIL")</x:f>
        <x:v>PASS</x:v>
      </x:c>
    </x:row>
    <x:row r="3770">
      <x:c r="B3770" s="21" t="str">
        <x:v>A03764</x:v>
      </x:c>
      <x:c r="C3770" s="21" t="str">
        <x:v>artifact</x:v>
      </x:c>
      <x:c r="D3770" s="21" t="str">
        <x:v>artifact 1360 planning state</x:v>
      </x:c>
      <x:c r="E3770" s="21" t="n">
        <x:f>IF(AND('Artifact Ledger'!Q1366="OPEN",'Artifact Ledger'!R1366="HOLD"),1,0)</x:f>
        <x:v>1</x:v>
      </x:c>
      <x:c r="F3770" s="21" t="n">
        <x:v>1</x:v>
      </x:c>
      <x:c r="G3770" s="23" t="str">
        <x:f>IF(E3770=F3770,"PASS","FAIL")</x:f>
        <x:v>PASS</x:v>
      </x:c>
    </x:row>
    <x:row r="3771">
      <x:c r="B3771" s="21" t="str">
        <x:v>A03765</x:v>
      </x:c>
      <x:c r="C3771" s="21" t="str">
        <x:v>artifact</x:v>
      </x:c>
      <x:c r="D3771" s="21" t="str">
        <x:v>artifact 1361 eligibility equation</x:v>
      </x:c>
      <x:c r="E3771" s="21" t="n">
        <x:f>IF(ABS('Artifact Ledger'!P1367-IF(AND('Artifact Ledger'!L1367=1,'Artifact Ledger'!M1367=1,'Artifact Ledger'!N1367=1,'Artifact Ledger'!O1367&gt;='Artifact Ledger'!G1367),'Artifact Ledger'!K1367,0))&lt;0.000001,1,0)</x:f>
        <x:v>1</x:v>
      </x:c>
      <x:c r="F3771" s="21" t="n">
        <x:v>1</x:v>
      </x:c>
      <x:c r="G3771" s="23" t="str">
        <x:f>IF(E3771=F3771,"PASS","FAIL")</x:f>
        <x:v>PASS</x:v>
      </x:c>
    </x:row>
    <x:row r="3772">
      <x:c r="B3772" s="21" t="str">
        <x:v>A03766</x:v>
      </x:c>
      <x:c r="C3772" s="21" t="str">
        <x:v>artifact</x:v>
      </x:c>
      <x:c r="D3772" s="21" t="str">
        <x:v>artifact 1361 planning state</x:v>
      </x:c>
      <x:c r="E3772" s="21" t="n">
        <x:f>IF(AND('Artifact Ledger'!Q1367="OPEN",'Artifact Ledger'!R1367="HOLD"),1,0)</x:f>
        <x:v>1</x:v>
      </x:c>
      <x:c r="F3772" s="21" t="n">
        <x:v>1</x:v>
      </x:c>
      <x:c r="G3772" s="23" t="str">
        <x:f>IF(E3772=F3772,"PASS","FAIL")</x:f>
        <x:v>PASS</x:v>
      </x:c>
    </x:row>
    <x:row r="3773">
      <x:c r="B3773" s="21" t="str">
        <x:v>A03767</x:v>
      </x:c>
      <x:c r="C3773" s="21" t="str">
        <x:v>artifact</x:v>
      </x:c>
      <x:c r="D3773" s="21" t="str">
        <x:v>artifact 1362 eligibility equation</x:v>
      </x:c>
      <x:c r="E3773" s="21" t="n">
        <x:f>IF(ABS('Artifact Ledger'!P1368-IF(AND('Artifact Ledger'!L1368=1,'Artifact Ledger'!M1368=1,'Artifact Ledger'!N1368=1,'Artifact Ledger'!O1368&gt;='Artifact Ledger'!G1368),'Artifact Ledger'!K1368,0))&lt;0.000001,1,0)</x:f>
        <x:v>1</x:v>
      </x:c>
      <x:c r="F3773" s="21" t="n">
        <x:v>1</x:v>
      </x:c>
      <x:c r="G3773" s="23" t="str">
        <x:f>IF(E3773=F3773,"PASS","FAIL")</x:f>
        <x:v>PASS</x:v>
      </x:c>
    </x:row>
    <x:row r="3774">
      <x:c r="B3774" s="21" t="str">
        <x:v>A03768</x:v>
      </x:c>
      <x:c r="C3774" s="21" t="str">
        <x:v>artifact</x:v>
      </x:c>
      <x:c r="D3774" s="21" t="str">
        <x:v>artifact 1362 planning state</x:v>
      </x:c>
      <x:c r="E3774" s="21" t="n">
        <x:f>IF(AND('Artifact Ledger'!Q1368="OPEN",'Artifact Ledger'!R1368="HOLD"),1,0)</x:f>
        <x:v>1</x:v>
      </x:c>
      <x:c r="F3774" s="21" t="n">
        <x:v>1</x:v>
      </x:c>
      <x:c r="G3774" s="23" t="str">
        <x:f>IF(E3774=F3774,"PASS","FAIL")</x:f>
        <x:v>PASS</x:v>
      </x:c>
    </x:row>
    <x:row r="3775">
      <x:c r="B3775" s="21" t="str">
        <x:v>A03769</x:v>
      </x:c>
      <x:c r="C3775" s="21" t="str">
        <x:v>artifact</x:v>
      </x:c>
      <x:c r="D3775" s="21" t="str">
        <x:v>artifact 1363 eligibility equation</x:v>
      </x:c>
      <x:c r="E3775" s="21" t="n">
        <x:f>IF(ABS('Artifact Ledger'!P1369-IF(AND('Artifact Ledger'!L1369=1,'Artifact Ledger'!M1369=1,'Artifact Ledger'!N1369=1,'Artifact Ledger'!O1369&gt;='Artifact Ledger'!G1369),'Artifact Ledger'!K1369,0))&lt;0.000001,1,0)</x:f>
        <x:v>1</x:v>
      </x:c>
      <x:c r="F3775" s="21" t="n">
        <x:v>1</x:v>
      </x:c>
      <x:c r="G3775" s="23" t="str">
        <x:f>IF(E3775=F3775,"PASS","FAIL")</x:f>
        <x:v>PASS</x:v>
      </x:c>
    </x:row>
    <x:row r="3776">
      <x:c r="B3776" s="21" t="str">
        <x:v>A03770</x:v>
      </x:c>
      <x:c r="C3776" s="21" t="str">
        <x:v>artifact</x:v>
      </x:c>
      <x:c r="D3776" s="21" t="str">
        <x:v>artifact 1363 planning state</x:v>
      </x:c>
      <x:c r="E3776" s="21" t="n">
        <x:f>IF(AND('Artifact Ledger'!Q1369="OPEN",'Artifact Ledger'!R1369="HOLD"),1,0)</x:f>
        <x:v>1</x:v>
      </x:c>
      <x:c r="F3776" s="21" t="n">
        <x:v>1</x:v>
      </x:c>
      <x:c r="G3776" s="23" t="str">
        <x:f>IF(E3776=F3776,"PASS","FAIL")</x:f>
        <x:v>PASS</x:v>
      </x:c>
    </x:row>
    <x:row r="3777">
      <x:c r="B3777" s="21" t="str">
        <x:v>A03771</x:v>
      </x:c>
      <x:c r="C3777" s="21" t="str">
        <x:v>artifact</x:v>
      </x:c>
      <x:c r="D3777" s="21" t="str">
        <x:v>artifact 1364 eligibility equation</x:v>
      </x:c>
      <x:c r="E3777" s="21" t="n">
        <x:f>IF(ABS('Artifact Ledger'!P1370-IF(AND('Artifact Ledger'!L1370=1,'Artifact Ledger'!M1370=1,'Artifact Ledger'!N1370=1,'Artifact Ledger'!O1370&gt;='Artifact Ledger'!G1370),'Artifact Ledger'!K1370,0))&lt;0.000001,1,0)</x:f>
        <x:v>1</x:v>
      </x:c>
      <x:c r="F3777" s="21" t="n">
        <x:v>1</x:v>
      </x:c>
      <x:c r="G3777" s="23" t="str">
        <x:f>IF(E3777=F3777,"PASS","FAIL")</x:f>
        <x:v>PASS</x:v>
      </x:c>
    </x:row>
    <x:row r="3778">
      <x:c r="B3778" s="21" t="str">
        <x:v>A03772</x:v>
      </x:c>
      <x:c r="C3778" s="21" t="str">
        <x:v>artifact</x:v>
      </x:c>
      <x:c r="D3778" s="21" t="str">
        <x:v>artifact 1364 planning state</x:v>
      </x:c>
      <x:c r="E3778" s="21" t="n">
        <x:f>IF(AND('Artifact Ledger'!Q1370="OPEN",'Artifact Ledger'!R1370="HOLD"),1,0)</x:f>
        <x:v>1</x:v>
      </x:c>
      <x:c r="F3778" s="21" t="n">
        <x:v>1</x:v>
      </x:c>
      <x:c r="G3778" s="23" t="str">
        <x:f>IF(E3778=F3778,"PASS","FAIL")</x:f>
        <x:v>PASS</x:v>
      </x:c>
    </x:row>
    <x:row r="3779">
      <x:c r="B3779" s="21" t="str">
        <x:v>A03773</x:v>
      </x:c>
      <x:c r="C3779" s="21" t="str">
        <x:v>artifact</x:v>
      </x:c>
      <x:c r="D3779" s="21" t="str">
        <x:v>artifact 1365 eligibility equation</x:v>
      </x:c>
      <x:c r="E3779" s="21" t="n">
        <x:f>IF(ABS('Artifact Ledger'!P1371-IF(AND('Artifact Ledger'!L1371=1,'Artifact Ledger'!M1371=1,'Artifact Ledger'!N1371=1,'Artifact Ledger'!O1371&gt;='Artifact Ledger'!G1371),'Artifact Ledger'!K1371,0))&lt;0.000001,1,0)</x:f>
        <x:v>1</x:v>
      </x:c>
      <x:c r="F3779" s="21" t="n">
        <x:v>1</x:v>
      </x:c>
      <x:c r="G3779" s="23" t="str">
        <x:f>IF(E3779=F3779,"PASS","FAIL")</x:f>
        <x:v>PASS</x:v>
      </x:c>
    </x:row>
    <x:row r="3780">
      <x:c r="B3780" s="21" t="str">
        <x:v>A03774</x:v>
      </x:c>
      <x:c r="C3780" s="21" t="str">
        <x:v>artifact</x:v>
      </x:c>
      <x:c r="D3780" s="21" t="str">
        <x:v>artifact 1365 planning state</x:v>
      </x:c>
      <x:c r="E3780" s="21" t="n">
        <x:f>IF(AND('Artifact Ledger'!Q1371="OPEN",'Artifact Ledger'!R1371="HOLD"),1,0)</x:f>
        <x:v>1</x:v>
      </x:c>
      <x:c r="F3780" s="21" t="n">
        <x:v>1</x:v>
      </x:c>
      <x:c r="G3780" s="23" t="str">
        <x:f>IF(E3780=F3780,"PASS","FAIL")</x:f>
        <x:v>PASS</x:v>
      </x:c>
    </x:row>
    <x:row r="3781">
      <x:c r="B3781" s="21" t="str">
        <x:v>A03775</x:v>
      </x:c>
      <x:c r="C3781" s="21" t="str">
        <x:v>artifact</x:v>
      </x:c>
      <x:c r="D3781" s="21" t="str">
        <x:v>artifact 1366 eligibility equation</x:v>
      </x:c>
      <x:c r="E3781" s="21" t="n">
        <x:f>IF(ABS('Artifact Ledger'!P1372-IF(AND('Artifact Ledger'!L1372=1,'Artifact Ledger'!M1372=1,'Artifact Ledger'!N1372=1,'Artifact Ledger'!O1372&gt;='Artifact Ledger'!G1372),'Artifact Ledger'!K1372,0))&lt;0.000001,1,0)</x:f>
        <x:v>1</x:v>
      </x:c>
      <x:c r="F3781" s="21" t="n">
        <x:v>1</x:v>
      </x:c>
      <x:c r="G3781" s="23" t="str">
        <x:f>IF(E3781=F3781,"PASS","FAIL")</x:f>
        <x:v>PASS</x:v>
      </x:c>
    </x:row>
    <x:row r="3782">
      <x:c r="B3782" s="21" t="str">
        <x:v>A03776</x:v>
      </x:c>
      <x:c r="C3782" s="21" t="str">
        <x:v>artifact</x:v>
      </x:c>
      <x:c r="D3782" s="21" t="str">
        <x:v>artifact 1366 planning state</x:v>
      </x:c>
      <x:c r="E3782" s="21" t="n">
        <x:f>IF(AND('Artifact Ledger'!Q1372="OPEN",'Artifact Ledger'!R1372="HOLD"),1,0)</x:f>
        <x:v>1</x:v>
      </x:c>
      <x:c r="F3782" s="21" t="n">
        <x:v>1</x:v>
      </x:c>
      <x:c r="G3782" s="23" t="str">
        <x:f>IF(E3782=F3782,"PASS","FAIL")</x:f>
        <x:v>PASS</x:v>
      </x:c>
    </x:row>
    <x:row r="3783">
      <x:c r="B3783" s="21" t="str">
        <x:v>A03777</x:v>
      </x:c>
      <x:c r="C3783" s="21" t="str">
        <x:v>artifact</x:v>
      </x:c>
      <x:c r="D3783" s="21" t="str">
        <x:v>artifact 1367 eligibility equation</x:v>
      </x:c>
      <x:c r="E3783" s="21" t="n">
        <x:f>IF(ABS('Artifact Ledger'!P1373-IF(AND('Artifact Ledger'!L1373=1,'Artifact Ledger'!M1373=1,'Artifact Ledger'!N1373=1,'Artifact Ledger'!O1373&gt;='Artifact Ledger'!G1373),'Artifact Ledger'!K1373,0))&lt;0.000001,1,0)</x:f>
        <x:v>1</x:v>
      </x:c>
      <x:c r="F3783" s="21" t="n">
        <x:v>1</x:v>
      </x:c>
      <x:c r="G3783" s="23" t="str">
        <x:f>IF(E3783=F3783,"PASS","FAIL")</x:f>
        <x:v>PASS</x:v>
      </x:c>
    </x:row>
    <x:row r="3784">
      <x:c r="B3784" s="21" t="str">
        <x:v>A03778</x:v>
      </x:c>
      <x:c r="C3784" s="21" t="str">
        <x:v>artifact</x:v>
      </x:c>
      <x:c r="D3784" s="21" t="str">
        <x:v>artifact 1367 planning state</x:v>
      </x:c>
      <x:c r="E3784" s="21" t="n">
        <x:f>IF(AND('Artifact Ledger'!Q1373="OPEN",'Artifact Ledger'!R1373="HOLD"),1,0)</x:f>
        <x:v>1</x:v>
      </x:c>
      <x:c r="F3784" s="21" t="n">
        <x:v>1</x:v>
      </x:c>
      <x:c r="G3784" s="23" t="str">
        <x:f>IF(E3784=F3784,"PASS","FAIL")</x:f>
        <x:v>PASS</x:v>
      </x:c>
    </x:row>
    <x:row r="3785">
      <x:c r="B3785" s="21" t="str">
        <x:v>A03779</x:v>
      </x:c>
      <x:c r="C3785" s="21" t="str">
        <x:v>artifact</x:v>
      </x:c>
      <x:c r="D3785" s="21" t="str">
        <x:v>artifact 1368 eligibility equation</x:v>
      </x:c>
      <x:c r="E3785" s="21" t="n">
        <x:f>IF(ABS('Artifact Ledger'!P1374-IF(AND('Artifact Ledger'!L1374=1,'Artifact Ledger'!M1374=1,'Artifact Ledger'!N1374=1,'Artifact Ledger'!O1374&gt;='Artifact Ledger'!G1374),'Artifact Ledger'!K1374,0))&lt;0.000001,1,0)</x:f>
        <x:v>1</x:v>
      </x:c>
      <x:c r="F3785" s="21" t="n">
        <x:v>1</x:v>
      </x:c>
      <x:c r="G3785" s="23" t="str">
        <x:f>IF(E3785=F3785,"PASS","FAIL")</x:f>
        <x:v>PASS</x:v>
      </x:c>
    </x:row>
    <x:row r="3786">
      <x:c r="B3786" s="21" t="str">
        <x:v>A03780</x:v>
      </x:c>
      <x:c r="C3786" s="21" t="str">
        <x:v>artifact</x:v>
      </x:c>
      <x:c r="D3786" s="21" t="str">
        <x:v>artifact 1368 planning state</x:v>
      </x:c>
      <x:c r="E3786" s="21" t="n">
        <x:f>IF(AND('Artifact Ledger'!Q1374="OPEN",'Artifact Ledger'!R1374="HOLD"),1,0)</x:f>
        <x:v>1</x:v>
      </x:c>
      <x:c r="F3786" s="21" t="n">
        <x:v>1</x:v>
      </x:c>
      <x:c r="G3786" s="23" t="str">
        <x:f>IF(E3786=F3786,"PASS","FAIL")</x:f>
        <x:v>PASS</x:v>
      </x:c>
    </x:row>
    <x:row r="3787">
      <x:c r="B3787" s="21" t="str">
        <x:v>A03781</x:v>
      </x:c>
      <x:c r="C3787" s="21" t="str">
        <x:v>artifact</x:v>
      </x:c>
      <x:c r="D3787" s="21" t="str">
        <x:v>artifact 1369 eligibility equation</x:v>
      </x:c>
      <x:c r="E3787" s="21" t="n">
        <x:f>IF(ABS('Artifact Ledger'!P1375-IF(AND('Artifact Ledger'!L1375=1,'Artifact Ledger'!M1375=1,'Artifact Ledger'!N1375=1,'Artifact Ledger'!O1375&gt;='Artifact Ledger'!G1375),'Artifact Ledger'!K1375,0))&lt;0.000001,1,0)</x:f>
        <x:v>1</x:v>
      </x:c>
      <x:c r="F3787" s="21" t="n">
        <x:v>1</x:v>
      </x:c>
      <x:c r="G3787" s="23" t="str">
        <x:f>IF(E3787=F3787,"PASS","FAIL")</x:f>
        <x:v>PASS</x:v>
      </x:c>
    </x:row>
    <x:row r="3788">
      <x:c r="B3788" s="21" t="str">
        <x:v>A03782</x:v>
      </x:c>
      <x:c r="C3788" s="21" t="str">
        <x:v>artifact</x:v>
      </x:c>
      <x:c r="D3788" s="21" t="str">
        <x:v>artifact 1369 planning state</x:v>
      </x:c>
      <x:c r="E3788" s="21" t="n">
        <x:f>IF(AND('Artifact Ledger'!Q1375="OPEN",'Artifact Ledger'!R1375="HOLD"),1,0)</x:f>
        <x:v>1</x:v>
      </x:c>
      <x:c r="F3788" s="21" t="n">
        <x:v>1</x:v>
      </x:c>
      <x:c r="G3788" s="23" t="str">
        <x:f>IF(E3788=F3788,"PASS","FAIL")</x:f>
        <x:v>PASS</x:v>
      </x:c>
    </x:row>
    <x:row r="3789">
      <x:c r="B3789" s="21" t="str">
        <x:v>A03783</x:v>
      </x:c>
      <x:c r="C3789" s="21" t="str">
        <x:v>artifact</x:v>
      </x:c>
      <x:c r="D3789" s="21" t="str">
        <x:v>artifact 1370 eligibility equation</x:v>
      </x:c>
      <x:c r="E3789" s="21" t="n">
        <x:f>IF(ABS('Artifact Ledger'!P1376-IF(AND('Artifact Ledger'!L1376=1,'Artifact Ledger'!M1376=1,'Artifact Ledger'!N1376=1,'Artifact Ledger'!O1376&gt;='Artifact Ledger'!G1376),'Artifact Ledger'!K1376,0))&lt;0.000001,1,0)</x:f>
        <x:v>1</x:v>
      </x:c>
      <x:c r="F3789" s="21" t="n">
        <x:v>1</x:v>
      </x:c>
      <x:c r="G3789" s="23" t="str">
        <x:f>IF(E3789=F3789,"PASS","FAIL")</x:f>
        <x:v>PASS</x:v>
      </x:c>
    </x:row>
    <x:row r="3790">
      <x:c r="B3790" s="21" t="str">
        <x:v>A03784</x:v>
      </x:c>
      <x:c r="C3790" s="21" t="str">
        <x:v>artifact</x:v>
      </x:c>
      <x:c r="D3790" s="21" t="str">
        <x:v>artifact 1370 planning state</x:v>
      </x:c>
      <x:c r="E3790" s="21" t="n">
        <x:f>IF(AND('Artifact Ledger'!Q1376="OPEN",'Artifact Ledger'!R1376="HOLD"),1,0)</x:f>
        <x:v>1</x:v>
      </x:c>
      <x:c r="F3790" s="21" t="n">
        <x:v>1</x:v>
      </x:c>
      <x:c r="G3790" s="23" t="str">
        <x:f>IF(E3790=F3790,"PASS","FAIL")</x:f>
        <x:v>PASS</x:v>
      </x:c>
    </x:row>
    <x:row r="3791">
      <x:c r="B3791" s="21" t="str">
        <x:v>A03785</x:v>
      </x:c>
      <x:c r="C3791" s="21" t="str">
        <x:v>artifact</x:v>
      </x:c>
      <x:c r="D3791" s="21" t="str">
        <x:v>artifact 1371 eligibility equation</x:v>
      </x:c>
      <x:c r="E3791" s="21" t="n">
        <x:f>IF(ABS('Artifact Ledger'!P1377-IF(AND('Artifact Ledger'!L1377=1,'Artifact Ledger'!M1377=1,'Artifact Ledger'!N1377=1,'Artifact Ledger'!O1377&gt;='Artifact Ledger'!G1377),'Artifact Ledger'!K1377,0))&lt;0.000001,1,0)</x:f>
        <x:v>1</x:v>
      </x:c>
      <x:c r="F3791" s="21" t="n">
        <x:v>1</x:v>
      </x:c>
      <x:c r="G3791" s="23" t="str">
        <x:f>IF(E3791=F3791,"PASS","FAIL")</x:f>
        <x:v>PASS</x:v>
      </x:c>
    </x:row>
    <x:row r="3792">
      <x:c r="B3792" s="21" t="str">
        <x:v>A03786</x:v>
      </x:c>
      <x:c r="C3792" s="21" t="str">
        <x:v>artifact</x:v>
      </x:c>
      <x:c r="D3792" s="21" t="str">
        <x:v>artifact 1371 planning state</x:v>
      </x:c>
      <x:c r="E3792" s="21" t="n">
        <x:f>IF(AND('Artifact Ledger'!Q1377="OPEN",'Artifact Ledger'!R1377="HOLD"),1,0)</x:f>
        <x:v>1</x:v>
      </x:c>
      <x:c r="F3792" s="21" t="n">
        <x:v>1</x:v>
      </x:c>
      <x:c r="G3792" s="23" t="str">
        <x:f>IF(E3792=F3792,"PASS","FAIL")</x:f>
        <x:v>PASS</x:v>
      </x:c>
    </x:row>
    <x:row r="3793">
      <x:c r="B3793" s="21" t="str">
        <x:v>A03787</x:v>
      </x:c>
      <x:c r="C3793" s="21" t="str">
        <x:v>artifact</x:v>
      </x:c>
      <x:c r="D3793" s="21" t="str">
        <x:v>artifact 1372 eligibility equation</x:v>
      </x:c>
      <x:c r="E3793" s="21" t="n">
        <x:f>IF(ABS('Artifact Ledger'!P1378-IF(AND('Artifact Ledger'!L1378=1,'Artifact Ledger'!M1378=1,'Artifact Ledger'!N1378=1,'Artifact Ledger'!O1378&gt;='Artifact Ledger'!G1378),'Artifact Ledger'!K1378,0))&lt;0.000001,1,0)</x:f>
        <x:v>1</x:v>
      </x:c>
      <x:c r="F3793" s="21" t="n">
        <x:v>1</x:v>
      </x:c>
      <x:c r="G3793" s="23" t="str">
        <x:f>IF(E3793=F3793,"PASS","FAIL")</x:f>
        <x:v>PASS</x:v>
      </x:c>
    </x:row>
    <x:row r="3794">
      <x:c r="B3794" s="21" t="str">
        <x:v>A03788</x:v>
      </x:c>
      <x:c r="C3794" s="21" t="str">
        <x:v>artifact</x:v>
      </x:c>
      <x:c r="D3794" s="21" t="str">
        <x:v>artifact 1372 planning state</x:v>
      </x:c>
      <x:c r="E3794" s="21" t="n">
        <x:f>IF(AND('Artifact Ledger'!Q1378="OPEN",'Artifact Ledger'!R1378="HOLD"),1,0)</x:f>
        <x:v>1</x:v>
      </x:c>
      <x:c r="F3794" s="21" t="n">
        <x:v>1</x:v>
      </x:c>
      <x:c r="G3794" s="23" t="str">
        <x:f>IF(E3794=F3794,"PASS","FAIL")</x:f>
        <x:v>PASS</x:v>
      </x:c>
    </x:row>
    <x:row r="3795">
      <x:c r="B3795" s="21" t="str">
        <x:v>A03789</x:v>
      </x:c>
      <x:c r="C3795" s="21" t="str">
        <x:v>artifact</x:v>
      </x:c>
      <x:c r="D3795" s="21" t="str">
        <x:v>artifact 1373 eligibility equation</x:v>
      </x:c>
      <x:c r="E3795" s="21" t="n">
        <x:f>IF(ABS('Artifact Ledger'!P1379-IF(AND('Artifact Ledger'!L1379=1,'Artifact Ledger'!M1379=1,'Artifact Ledger'!N1379=1,'Artifact Ledger'!O1379&gt;='Artifact Ledger'!G1379),'Artifact Ledger'!K1379,0))&lt;0.000001,1,0)</x:f>
        <x:v>1</x:v>
      </x:c>
      <x:c r="F3795" s="21" t="n">
        <x:v>1</x:v>
      </x:c>
      <x:c r="G3795" s="23" t="str">
        <x:f>IF(E3795=F3795,"PASS","FAIL")</x:f>
        <x:v>PASS</x:v>
      </x:c>
    </x:row>
    <x:row r="3796">
      <x:c r="B3796" s="21" t="str">
        <x:v>A03790</x:v>
      </x:c>
      <x:c r="C3796" s="21" t="str">
        <x:v>artifact</x:v>
      </x:c>
      <x:c r="D3796" s="21" t="str">
        <x:v>artifact 1373 planning state</x:v>
      </x:c>
      <x:c r="E3796" s="21" t="n">
        <x:f>IF(AND('Artifact Ledger'!Q1379="OPEN",'Artifact Ledger'!R1379="HOLD"),1,0)</x:f>
        <x:v>1</x:v>
      </x:c>
      <x:c r="F3796" s="21" t="n">
        <x:v>1</x:v>
      </x:c>
      <x:c r="G3796" s="23" t="str">
        <x:f>IF(E3796=F3796,"PASS","FAIL")</x:f>
        <x:v>PASS</x:v>
      </x:c>
    </x:row>
    <x:row r="3797">
      <x:c r="B3797" s="21" t="str">
        <x:v>A03791</x:v>
      </x:c>
      <x:c r="C3797" s="21" t="str">
        <x:v>artifact</x:v>
      </x:c>
      <x:c r="D3797" s="21" t="str">
        <x:v>artifact 1374 eligibility equation</x:v>
      </x:c>
      <x:c r="E3797" s="21" t="n">
        <x:f>IF(ABS('Artifact Ledger'!P1380-IF(AND('Artifact Ledger'!L1380=1,'Artifact Ledger'!M1380=1,'Artifact Ledger'!N1380=1,'Artifact Ledger'!O1380&gt;='Artifact Ledger'!G1380),'Artifact Ledger'!K1380,0))&lt;0.000001,1,0)</x:f>
        <x:v>1</x:v>
      </x:c>
      <x:c r="F3797" s="21" t="n">
        <x:v>1</x:v>
      </x:c>
      <x:c r="G3797" s="23" t="str">
        <x:f>IF(E3797=F3797,"PASS","FAIL")</x:f>
        <x:v>PASS</x:v>
      </x:c>
    </x:row>
    <x:row r="3798">
      <x:c r="B3798" s="21" t="str">
        <x:v>A03792</x:v>
      </x:c>
      <x:c r="C3798" s="21" t="str">
        <x:v>artifact</x:v>
      </x:c>
      <x:c r="D3798" s="21" t="str">
        <x:v>artifact 1374 planning state</x:v>
      </x:c>
      <x:c r="E3798" s="21" t="n">
        <x:f>IF(AND('Artifact Ledger'!Q1380="OPEN",'Artifact Ledger'!R1380="HOLD"),1,0)</x:f>
        <x:v>1</x:v>
      </x:c>
      <x:c r="F3798" s="21" t="n">
        <x:v>1</x:v>
      </x:c>
      <x:c r="G3798" s="23" t="str">
        <x:f>IF(E3798=F3798,"PASS","FAIL")</x:f>
        <x:v>PASS</x:v>
      </x:c>
    </x:row>
    <x:row r="3799">
      <x:c r="B3799" s="21" t="str">
        <x:v>A03793</x:v>
      </x:c>
      <x:c r="C3799" s="21" t="str">
        <x:v>artifact</x:v>
      </x:c>
      <x:c r="D3799" s="21" t="str">
        <x:v>artifact 1375 eligibility equation</x:v>
      </x:c>
      <x:c r="E3799" s="21" t="n">
        <x:f>IF(ABS('Artifact Ledger'!P1381-IF(AND('Artifact Ledger'!L1381=1,'Artifact Ledger'!M1381=1,'Artifact Ledger'!N1381=1,'Artifact Ledger'!O1381&gt;='Artifact Ledger'!G1381),'Artifact Ledger'!K1381,0))&lt;0.000001,1,0)</x:f>
        <x:v>1</x:v>
      </x:c>
      <x:c r="F3799" s="21" t="n">
        <x:v>1</x:v>
      </x:c>
      <x:c r="G3799" s="23" t="str">
        <x:f>IF(E3799=F3799,"PASS","FAIL")</x:f>
        <x:v>PASS</x:v>
      </x:c>
    </x:row>
    <x:row r="3800">
      <x:c r="B3800" s="21" t="str">
        <x:v>A03794</x:v>
      </x:c>
      <x:c r="C3800" s="21" t="str">
        <x:v>artifact</x:v>
      </x:c>
      <x:c r="D3800" s="21" t="str">
        <x:v>artifact 1375 planning state</x:v>
      </x:c>
      <x:c r="E3800" s="21" t="n">
        <x:f>IF(AND('Artifact Ledger'!Q1381="OPEN",'Artifact Ledger'!R1381="HOLD"),1,0)</x:f>
        <x:v>1</x:v>
      </x:c>
      <x:c r="F3800" s="21" t="n">
        <x:v>1</x:v>
      </x:c>
      <x:c r="G3800" s="23" t="str">
        <x:f>IF(E3800=F3800,"PASS","FAIL")</x:f>
        <x:v>PASS</x:v>
      </x:c>
    </x:row>
    <x:row r="3801">
      <x:c r="B3801" s="21" t="str">
        <x:v>A03795</x:v>
      </x:c>
      <x:c r="C3801" s="21" t="str">
        <x:v>artifact</x:v>
      </x:c>
      <x:c r="D3801" s="21" t="str">
        <x:v>artifact 1376 eligibility equation</x:v>
      </x:c>
      <x:c r="E3801" s="21" t="n">
        <x:f>IF(ABS('Artifact Ledger'!P1382-IF(AND('Artifact Ledger'!L1382=1,'Artifact Ledger'!M1382=1,'Artifact Ledger'!N1382=1,'Artifact Ledger'!O1382&gt;='Artifact Ledger'!G1382),'Artifact Ledger'!K1382,0))&lt;0.000001,1,0)</x:f>
        <x:v>1</x:v>
      </x:c>
      <x:c r="F3801" s="21" t="n">
        <x:v>1</x:v>
      </x:c>
      <x:c r="G3801" s="23" t="str">
        <x:f>IF(E3801=F3801,"PASS","FAIL")</x:f>
        <x:v>PASS</x:v>
      </x:c>
    </x:row>
    <x:row r="3802">
      <x:c r="B3802" s="21" t="str">
        <x:v>A03796</x:v>
      </x:c>
      <x:c r="C3802" s="21" t="str">
        <x:v>artifact</x:v>
      </x:c>
      <x:c r="D3802" s="21" t="str">
        <x:v>artifact 1376 planning state</x:v>
      </x:c>
      <x:c r="E3802" s="21" t="n">
        <x:f>IF(AND('Artifact Ledger'!Q1382="OPEN",'Artifact Ledger'!R1382="HOLD"),1,0)</x:f>
        <x:v>1</x:v>
      </x:c>
      <x:c r="F3802" s="21" t="n">
        <x:v>1</x:v>
      </x:c>
      <x:c r="G3802" s="23" t="str">
        <x:f>IF(E3802=F3802,"PASS","FAIL")</x:f>
        <x:v>PASS</x:v>
      </x:c>
    </x:row>
    <x:row r="3803">
      <x:c r="B3803" s="21" t="str">
        <x:v>A03797</x:v>
      </x:c>
      <x:c r="C3803" s="21" t="str">
        <x:v>artifact</x:v>
      </x:c>
      <x:c r="D3803" s="21" t="str">
        <x:v>artifact 1377 eligibility equation</x:v>
      </x:c>
      <x:c r="E3803" s="21" t="n">
        <x:f>IF(ABS('Artifact Ledger'!P1383-IF(AND('Artifact Ledger'!L1383=1,'Artifact Ledger'!M1383=1,'Artifact Ledger'!N1383=1,'Artifact Ledger'!O1383&gt;='Artifact Ledger'!G1383),'Artifact Ledger'!K1383,0))&lt;0.000001,1,0)</x:f>
        <x:v>1</x:v>
      </x:c>
      <x:c r="F3803" s="21" t="n">
        <x:v>1</x:v>
      </x:c>
      <x:c r="G3803" s="23" t="str">
        <x:f>IF(E3803=F3803,"PASS","FAIL")</x:f>
        <x:v>PASS</x:v>
      </x:c>
    </x:row>
    <x:row r="3804">
      <x:c r="B3804" s="21" t="str">
        <x:v>A03798</x:v>
      </x:c>
      <x:c r="C3804" s="21" t="str">
        <x:v>artifact</x:v>
      </x:c>
      <x:c r="D3804" s="21" t="str">
        <x:v>artifact 1377 planning state</x:v>
      </x:c>
      <x:c r="E3804" s="21" t="n">
        <x:f>IF(AND('Artifact Ledger'!Q1383="OPEN",'Artifact Ledger'!R1383="HOLD"),1,0)</x:f>
        <x:v>1</x:v>
      </x:c>
      <x:c r="F3804" s="21" t="n">
        <x:v>1</x:v>
      </x:c>
      <x:c r="G3804" s="23" t="str">
        <x:f>IF(E3804=F3804,"PASS","FAIL")</x:f>
        <x:v>PASS</x:v>
      </x:c>
    </x:row>
    <x:row r="3805">
      <x:c r="B3805" s="21" t="str">
        <x:v>A03799</x:v>
      </x:c>
      <x:c r="C3805" s="21" t="str">
        <x:v>artifact</x:v>
      </x:c>
      <x:c r="D3805" s="21" t="str">
        <x:v>artifact 1378 eligibility equation</x:v>
      </x:c>
      <x:c r="E3805" s="21" t="n">
        <x:f>IF(ABS('Artifact Ledger'!P1384-IF(AND('Artifact Ledger'!L1384=1,'Artifact Ledger'!M1384=1,'Artifact Ledger'!N1384=1,'Artifact Ledger'!O1384&gt;='Artifact Ledger'!G1384),'Artifact Ledger'!K1384,0))&lt;0.000001,1,0)</x:f>
        <x:v>1</x:v>
      </x:c>
      <x:c r="F3805" s="21" t="n">
        <x:v>1</x:v>
      </x:c>
      <x:c r="G3805" s="23" t="str">
        <x:f>IF(E3805=F3805,"PASS","FAIL")</x:f>
        <x:v>PASS</x:v>
      </x:c>
    </x:row>
    <x:row r="3806">
      <x:c r="B3806" s="21" t="str">
        <x:v>A03800</x:v>
      </x:c>
      <x:c r="C3806" s="21" t="str">
        <x:v>artifact</x:v>
      </x:c>
      <x:c r="D3806" s="21" t="str">
        <x:v>artifact 1378 planning state</x:v>
      </x:c>
      <x:c r="E3806" s="21" t="n">
        <x:f>IF(AND('Artifact Ledger'!Q1384="OPEN",'Artifact Ledger'!R1384="HOLD"),1,0)</x:f>
        <x:v>1</x:v>
      </x:c>
      <x:c r="F3806" s="21" t="n">
        <x:v>1</x:v>
      </x:c>
      <x:c r="G3806" s="23" t="str">
        <x:f>IF(E3806=F3806,"PASS","FAIL")</x:f>
        <x:v>PASS</x:v>
      </x:c>
    </x:row>
    <x:row r="3807">
      <x:c r="B3807" s="21" t="str">
        <x:v>A03801</x:v>
      </x:c>
      <x:c r="C3807" s="21" t="str">
        <x:v>artifact</x:v>
      </x:c>
      <x:c r="D3807" s="21" t="str">
        <x:v>artifact 1379 eligibility equation</x:v>
      </x:c>
      <x:c r="E3807" s="21" t="n">
        <x:f>IF(ABS('Artifact Ledger'!P1385-IF(AND('Artifact Ledger'!L1385=1,'Artifact Ledger'!M1385=1,'Artifact Ledger'!N1385=1,'Artifact Ledger'!O1385&gt;='Artifact Ledger'!G1385),'Artifact Ledger'!K1385,0))&lt;0.000001,1,0)</x:f>
        <x:v>1</x:v>
      </x:c>
      <x:c r="F3807" s="21" t="n">
        <x:v>1</x:v>
      </x:c>
      <x:c r="G3807" s="23" t="str">
        <x:f>IF(E3807=F3807,"PASS","FAIL")</x:f>
        <x:v>PASS</x:v>
      </x:c>
    </x:row>
    <x:row r="3808">
      <x:c r="B3808" s="21" t="str">
        <x:v>A03802</x:v>
      </x:c>
      <x:c r="C3808" s="21" t="str">
        <x:v>artifact</x:v>
      </x:c>
      <x:c r="D3808" s="21" t="str">
        <x:v>artifact 1379 planning state</x:v>
      </x:c>
      <x:c r="E3808" s="21" t="n">
        <x:f>IF(AND('Artifact Ledger'!Q1385="OPEN",'Artifact Ledger'!R1385="HOLD"),1,0)</x:f>
        <x:v>1</x:v>
      </x:c>
      <x:c r="F3808" s="21" t="n">
        <x:v>1</x:v>
      </x:c>
      <x:c r="G3808" s="23" t="str">
        <x:f>IF(E3808=F3808,"PASS","FAIL")</x:f>
        <x:v>PASS</x:v>
      </x:c>
    </x:row>
    <x:row r="3809">
      <x:c r="B3809" s="21" t="str">
        <x:v>A03803</x:v>
      </x:c>
      <x:c r="C3809" s="21" t="str">
        <x:v>artifact</x:v>
      </x:c>
      <x:c r="D3809" s="21" t="str">
        <x:v>artifact 1380 eligibility equation</x:v>
      </x:c>
      <x:c r="E3809" s="21" t="n">
        <x:f>IF(ABS('Artifact Ledger'!P1386-IF(AND('Artifact Ledger'!L1386=1,'Artifact Ledger'!M1386=1,'Artifact Ledger'!N1386=1,'Artifact Ledger'!O1386&gt;='Artifact Ledger'!G1386),'Artifact Ledger'!K1386,0))&lt;0.000001,1,0)</x:f>
        <x:v>1</x:v>
      </x:c>
      <x:c r="F3809" s="21" t="n">
        <x:v>1</x:v>
      </x:c>
      <x:c r="G3809" s="23" t="str">
        <x:f>IF(E3809=F3809,"PASS","FAIL")</x:f>
        <x:v>PASS</x:v>
      </x:c>
    </x:row>
    <x:row r="3810">
      <x:c r="B3810" s="21" t="str">
        <x:v>A03804</x:v>
      </x:c>
      <x:c r="C3810" s="21" t="str">
        <x:v>artifact</x:v>
      </x:c>
      <x:c r="D3810" s="21" t="str">
        <x:v>artifact 1380 planning state</x:v>
      </x:c>
      <x:c r="E3810" s="21" t="n">
        <x:f>IF(AND('Artifact Ledger'!Q1386="OPEN",'Artifact Ledger'!R1386="HOLD"),1,0)</x:f>
        <x:v>1</x:v>
      </x:c>
      <x:c r="F3810" s="21" t="n">
        <x:v>1</x:v>
      </x:c>
      <x:c r="G3810" s="23" t="str">
        <x:f>IF(E3810=F3810,"PASS","FAIL")</x:f>
        <x:v>PASS</x:v>
      </x:c>
    </x:row>
    <x:row r="3811">
      <x:c r="B3811" s="21" t="str">
        <x:v>A03805</x:v>
      </x:c>
      <x:c r="C3811" s="21" t="str">
        <x:v>artifact</x:v>
      </x:c>
      <x:c r="D3811" s="21" t="str">
        <x:v>artifact 1381 eligibility equation</x:v>
      </x:c>
      <x:c r="E3811" s="21" t="n">
        <x:f>IF(ABS('Artifact Ledger'!P1387-IF(AND('Artifact Ledger'!L1387=1,'Artifact Ledger'!M1387=1,'Artifact Ledger'!N1387=1,'Artifact Ledger'!O1387&gt;='Artifact Ledger'!G1387),'Artifact Ledger'!K1387,0))&lt;0.000001,1,0)</x:f>
        <x:v>1</x:v>
      </x:c>
      <x:c r="F3811" s="21" t="n">
        <x:v>1</x:v>
      </x:c>
      <x:c r="G3811" s="23" t="str">
        <x:f>IF(E3811=F3811,"PASS","FAIL")</x:f>
        <x:v>PASS</x:v>
      </x:c>
    </x:row>
    <x:row r="3812">
      <x:c r="B3812" s="21" t="str">
        <x:v>A03806</x:v>
      </x:c>
      <x:c r="C3812" s="21" t="str">
        <x:v>artifact</x:v>
      </x:c>
      <x:c r="D3812" s="21" t="str">
        <x:v>artifact 1381 planning state</x:v>
      </x:c>
      <x:c r="E3812" s="21" t="n">
        <x:f>IF(AND('Artifact Ledger'!Q1387="OPEN",'Artifact Ledger'!R1387="HOLD"),1,0)</x:f>
        <x:v>1</x:v>
      </x:c>
      <x:c r="F3812" s="21" t="n">
        <x:v>1</x:v>
      </x:c>
      <x:c r="G3812" s="23" t="str">
        <x:f>IF(E3812=F3812,"PASS","FAIL")</x:f>
        <x:v>PASS</x:v>
      </x:c>
    </x:row>
    <x:row r="3813">
      <x:c r="B3813" s="21" t="str">
        <x:v>A03807</x:v>
      </x:c>
      <x:c r="C3813" s="21" t="str">
        <x:v>artifact</x:v>
      </x:c>
      <x:c r="D3813" s="21" t="str">
        <x:v>artifact 1382 eligibility equation</x:v>
      </x:c>
      <x:c r="E3813" s="21" t="n">
        <x:f>IF(ABS('Artifact Ledger'!P1388-IF(AND('Artifact Ledger'!L1388=1,'Artifact Ledger'!M1388=1,'Artifact Ledger'!N1388=1,'Artifact Ledger'!O1388&gt;='Artifact Ledger'!G1388),'Artifact Ledger'!K1388,0))&lt;0.000001,1,0)</x:f>
        <x:v>1</x:v>
      </x:c>
      <x:c r="F3813" s="21" t="n">
        <x:v>1</x:v>
      </x:c>
      <x:c r="G3813" s="23" t="str">
        <x:f>IF(E3813=F3813,"PASS","FAIL")</x:f>
        <x:v>PASS</x:v>
      </x:c>
    </x:row>
    <x:row r="3814">
      <x:c r="B3814" s="21" t="str">
        <x:v>A03808</x:v>
      </x:c>
      <x:c r="C3814" s="21" t="str">
        <x:v>artifact</x:v>
      </x:c>
      <x:c r="D3814" s="21" t="str">
        <x:v>artifact 1382 planning state</x:v>
      </x:c>
      <x:c r="E3814" s="21" t="n">
        <x:f>IF(AND('Artifact Ledger'!Q1388="OPEN",'Artifact Ledger'!R1388="HOLD"),1,0)</x:f>
        <x:v>1</x:v>
      </x:c>
      <x:c r="F3814" s="21" t="n">
        <x:v>1</x:v>
      </x:c>
      <x:c r="G3814" s="23" t="str">
        <x:f>IF(E3814=F3814,"PASS","FAIL")</x:f>
        <x:v>PASS</x:v>
      </x:c>
    </x:row>
    <x:row r="3815">
      <x:c r="B3815" s="21" t="str">
        <x:v>A03809</x:v>
      </x:c>
      <x:c r="C3815" s="21" t="str">
        <x:v>artifact</x:v>
      </x:c>
      <x:c r="D3815" s="21" t="str">
        <x:v>artifact 1383 eligibility equation</x:v>
      </x:c>
      <x:c r="E3815" s="21" t="n">
        <x:f>IF(ABS('Artifact Ledger'!P1389-IF(AND('Artifact Ledger'!L1389=1,'Artifact Ledger'!M1389=1,'Artifact Ledger'!N1389=1,'Artifact Ledger'!O1389&gt;='Artifact Ledger'!G1389),'Artifact Ledger'!K1389,0))&lt;0.000001,1,0)</x:f>
        <x:v>1</x:v>
      </x:c>
      <x:c r="F3815" s="21" t="n">
        <x:v>1</x:v>
      </x:c>
      <x:c r="G3815" s="23" t="str">
        <x:f>IF(E3815=F3815,"PASS","FAIL")</x:f>
        <x:v>PASS</x:v>
      </x:c>
    </x:row>
    <x:row r="3816">
      <x:c r="B3816" s="21" t="str">
        <x:v>A03810</x:v>
      </x:c>
      <x:c r="C3816" s="21" t="str">
        <x:v>artifact</x:v>
      </x:c>
      <x:c r="D3816" s="21" t="str">
        <x:v>artifact 1383 planning state</x:v>
      </x:c>
      <x:c r="E3816" s="21" t="n">
        <x:f>IF(AND('Artifact Ledger'!Q1389="OPEN",'Artifact Ledger'!R1389="HOLD"),1,0)</x:f>
        <x:v>1</x:v>
      </x:c>
      <x:c r="F3816" s="21" t="n">
        <x:v>1</x:v>
      </x:c>
      <x:c r="G3816" s="23" t="str">
        <x:f>IF(E3816=F3816,"PASS","FAIL")</x:f>
        <x:v>PASS</x:v>
      </x:c>
    </x:row>
    <x:row r="3817">
      <x:c r="B3817" s="21" t="str">
        <x:v>A03811</x:v>
      </x:c>
      <x:c r="C3817" s="21" t="str">
        <x:v>artifact</x:v>
      </x:c>
      <x:c r="D3817" s="21" t="str">
        <x:v>artifact 1384 eligibility equation</x:v>
      </x:c>
      <x:c r="E3817" s="21" t="n">
        <x:f>IF(ABS('Artifact Ledger'!P1390-IF(AND('Artifact Ledger'!L1390=1,'Artifact Ledger'!M1390=1,'Artifact Ledger'!N1390=1,'Artifact Ledger'!O1390&gt;='Artifact Ledger'!G1390),'Artifact Ledger'!K1390,0))&lt;0.000001,1,0)</x:f>
        <x:v>1</x:v>
      </x:c>
      <x:c r="F3817" s="21" t="n">
        <x:v>1</x:v>
      </x:c>
      <x:c r="G3817" s="23" t="str">
        <x:f>IF(E3817=F3817,"PASS","FAIL")</x:f>
        <x:v>PASS</x:v>
      </x:c>
    </x:row>
    <x:row r="3818">
      <x:c r="B3818" s="21" t="str">
        <x:v>A03812</x:v>
      </x:c>
      <x:c r="C3818" s="21" t="str">
        <x:v>artifact</x:v>
      </x:c>
      <x:c r="D3818" s="21" t="str">
        <x:v>artifact 1384 planning state</x:v>
      </x:c>
      <x:c r="E3818" s="21" t="n">
        <x:f>IF(AND('Artifact Ledger'!Q1390="OPEN",'Artifact Ledger'!R1390="HOLD"),1,0)</x:f>
        <x:v>1</x:v>
      </x:c>
      <x:c r="F3818" s="21" t="n">
        <x:v>1</x:v>
      </x:c>
      <x:c r="G3818" s="23" t="str">
        <x:f>IF(E3818=F3818,"PASS","FAIL")</x:f>
        <x:v>PASS</x:v>
      </x:c>
    </x:row>
    <x:row r="3819">
      <x:c r="B3819" s="21" t="str">
        <x:v>A03813</x:v>
      </x:c>
      <x:c r="C3819" s="21" t="str">
        <x:v>artifact</x:v>
      </x:c>
      <x:c r="D3819" s="21" t="str">
        <x:v>artifact 1385 eligibility equation</x:v>
      </x:c>
      <x:c r="E3819" s="21" t="n">
        <x:f>IF(ABS('Artifact Ledger'!P1391-IF(AND('Artifact Ledger'!L1391=1,'Artifact Ledger'!M1391=1,'Artifact Ledger'!N1391=1,'Artifact Ledger'!O1391&gt;='Artifact Ledger'!G1391),'Artifact Ledger'!K1391,0))&lt;0.000001,1,0)</x:f>
        <x:v>1</x:v>
      </x:c>
      <x:c r="F3819" s="21" t="n">
        <x:v>1</x:v>
      </x:c>
      <x:c r="G3819" s="23" t="str">
        <x:f>IF(E3819=F3819,"PASS","FAIL")</x:f>
        <x:v>PASS</x:v>
      </x:c>
    </x:row>
    <x:row r="3820">
      <x:c r="B3820" s="21" t="str">
        <x:v>A03814</x:v>
      </x:c>
      <x:c r="C3820" s="21" t="str">
        <x:v>artifact</x:v>
      </x:c>
      <x:c r="D3820" s="21" t="str">
        <x:v>artifact 1385 planning state</x:v>
      </x:c>
      <x:c r="E3820" s="21" t="n">
        <x:f>IF(AND('Artifact Ledger'!Q1391="OPEN",'Artifact Ledger'!R1391="HOLD"),1,0)</x:f>
        <x:v>1</x:v>
      </x:c>
      <x:c r="F3820" s="21" t="n">
        <x:v>1</x:v>
      </x:c>
      <x:c r="G3820" s="23" t="str">
        <x:f>IF(E3820=F3820,"PASS","FAIL")</x:f>
        <x:v>PASS</x:v>
      </x:c>
    </x:row>
    <x:row r="3821">
      <x:c r="B3821" s="21" t="str">
        <x:v>A03815</x:v>
      </x:c>
      <x:c r="C3821" s="21" t="str">
        <x:v>artifact</x:v>
      </x:c>
      <x:c r="D3821" s="21" t="str">
        <x:v>artifact 1386 eligibility equation</x:v>
      </x:c>
      <x:c r="E3821" s="21" t="n">
        <x:f>IF(ABS('Artifact Ledger'!P1392-IF(AND('Artifact Ledger'!L1392=1,'Artifact Ledger'!M1392=1,'Artifact Ledger'!N1392=1,'Artifact Ledger'!O1392&gt;='Artifact Ledger'!G1392),'Artifact Ledger'!K1392,0))&lt;0.000001,1,0)</x:f>
        <x:v>1</x:v>
      </x:c>
      <x:c r="F3821" s="21" t="n">
        <x:v>1</x:v>
      </x:c>
      <x:c r="G3821" s="23" t="str">
        <x:f>IF(E3821=F3821,"PASS","FAIL")</x:f>
        <x:v>PASS</x:v>
      </x:c>
    </x:row>
    <x:row r="3822">
      <x:c r="B3822" s="21" t="str">
        <x:v>A03816</x:v>
      </x:c>
      <x:c r="C3822" s="21" t="str">
        <x:v>artifact</x:v>
      </x:c>
      <x:c r="D3822" s="21" t="str">
        <x:v>artifact 1386 planning state</x:v>
      </x:c>
      <x:c r="E3822" s="21" t="n">
        <x:f>IF(AND('Artifact Ledger'!Q1392="OPEN",'Artifact Ledger'!R1392="HOLD"),1,0)</x:f>
        <x:v>1</x:v>
      </x:c>
      <x:c r="F3822" s="21" t="n">
        <x:v>1</x:v>
      </x:c>
      <x:c r="G3822" s="23" t="str">
        <x:f>IF(E3822=F3822,"PASS","FAIL")</x:f>
        <x:v>PASS</x:v>
      </x:c>
    </x:row>
    <x:row r="3823">
      <x:c r="B3823" s="21" t="str">
        <x:v>A03817</x:v>
      </x:c>
      <x:c r="C3823" s="21" t="str">
        <x:v>artifact</x:v>
      </x:c>
      <x:c r="D3823" s="21" t="str">
        <x:v>artifact 1387 eligibility equation</x:v>
      </x:c>
      <x:c r="E3823" s="21" t="n">
        <x:f>IF(ABS('Artifact Ledger'!P1393-IF(AND('Artifact Ledger'!L1393=1,'Artifact Ledger'!M1393=1,'Artifact Ledger'!N1393=1,'Artifact Ledger'!O1393&gt;='Artifact Ledger'!G1393),'Artifact Ledger'!K1393,0))&lt;0.000001,1,0)</x:f>
        <x:v>1</x:v>
      </x:c>
      <x:c r="F3823" s="21" t="n">
        <x:v>1</x:v>
      </x:c>
      <x:c r="G3823" s="23" t="str">
        <x:f>IF(E3823=F3823,"PASS","FAIL")</x:f>
        <x:v>PASS</x:v>
      </x:c>
    </x:row>
    <x:row r="3824">
      <x:c r="B3824" s="21" t="str">
        <x:v>A03818</x:v>
      </x:c>
      <x:c r="C3824" s="21" t="str">
        <x:v>artifact</x:v>
      </x:c>
      <x:c r="D3824" s="21" t="str">
        <x:v>artifact 1387 planning state</x:v>
      </x:c>
      <x:c r="E3824" s="21" t="n">
        <x:f>IF(AND('Artifact Ledger'!Q1393="OPEN",'Artifact Ledger'!R1393="HOLD"),1,0)</x:f>
        <x:v>1</x:v>
      </x:c>
      <x:c r="F3824" s="21" t="n">
        <x:v>1</x:v>
      </x:c>
      <x:c r="G3824" s="23" t="str">
        <x:f>IF(E3824=F3824,"PASS","FAIL")</x:f>
        <x:v>PASS</x:v>
      </x:c>
    </x:row>
    <x:row r="3825">
      <x:c r="B3825" s="21" t="str">
        <x:v>A03819</x:v>
      </x:c>
      <x:c r="C3825" s="21" t="str">
        <x:v>artifact</x:v>
      </x:c>
      <x:c r="D3825" s="21" t="str">
        <x:v>artifact 1388 eligibility equation</x:v>
      </x:c>
      <x:c r="E3825" s="21" t="n">
        <x:f>IF(ABS('Artifact Ledger'!P1394-IF(AND('Artifact Ledger'!L1394=1,'Artifact Ledger'!M1394=1,'Artifact Ledger'!N1394=1,'Artifact Ledger'!O1394&gt;='Artifact Ledger'!G1394),'Artifact Ledger'!K1394,0))&lt;0.000001,1,0)</x:f>
        <x:v>1</x:v>
      </x:c>
      <x:c r="F3825" s="21" t="n">
        <x:v>1</x:v>
      </x:c>
      <x:c r="G3825" s="23" t="str">
        <x:f>IF(E3825=F3825,"PASS","FAIL")</x:f>
        <x:v>PASS</x:v>
      </x:c>
    </x:row>
    <x:row r="3826">
      <x:c r="B3826" s="21" t="str">
        <x:v>A03820</x:v>
      </x:c>
      <x:c r="C3826" s="21" t="str">
        <x:v>artifact</x:v>
      </x:c>
      <x:c r="D3826" s="21" t="str">
        <x:v>artifact 1388 planning state</x:v>
      </x:c>
      <x:c r="E3826" s="21" t="n">
        <x:f>IF(AND('Artifact Ledger'!Q1394="OPEN",'Artifact Ledger'!R1394="HOLD"),1,0)</x:f>
        <x:v>1</x:v>
      </x:c>
      <x:c r="F3826" s="21" t="n">
        <x:v>1</x:v>
      </x:c>
      <x:c r="G3826" s="23" t="str">
        <x:f>IF(E3826=F3826,"PASS","FAIL")</x:f>
        <x:v>PASS</x:v>
      </x:c>
    </x:row>
    <x:row r="3827">
      <x:c r="B3827" s="21" t="str">
        <x:v>A03821</x:v>
      </x:c>
      <x:c r="C3827" s="21" t="str">
        <x:v>artifact</x:v>
      </x:c>
      <x:c r="D3827" s="21" t="str">
        <x:v>artifact 1389 eligibility equation</x:v>
      </x:c>
      <x:c r="E3827" s="21" t="n">
        <x:f>IF(ABS('Artifact Ledger'!P1395-IF(AND('Artifact Ledger'!L1395=1,'Artifact Ledger'!M1395=1,'Artifact Ledger'!N1395=1,'Artifact Ledger'!O1395&gt;='Artifact Ledger'!G1395),'Artifact Ledger'!K1395,0))&lt;0.000001,1,0)</x:f>
        <x:v>1</x:v>
      </x:c>
      <x:c r="F3827" s="21" t="n">
        <x:v>1</x:v>
      </x:c>
      <x:c r="G3827" s="23" t="str">
        <x:f>IF(E3827=F3827,"PASS","FAIL")</x:f>
        <x:v>PASS</x:v>
      </x:c>
    </x:row>
    <x:row r="3828">
      <x:c r="B3828" s="21" t="str">
        <x:v>A03822</x:v>
      </x:c>
      <x:c r="C3828" s="21" t="str">
        <x:v>artifact</x:v>
      </x:c>
      <x:c r="D3828" s="21" t="str">
        <x:v>artifact 1389 planning state</x:v>
      </x:c>
      <x:c r="E3828" s="21" t="n">
        <x:f>IF(AND('Artifact Ledger'!Q1395="OPEN",'Artifact Ledger'!R1395="HOLD"),1,0)</x:f>
        <x:v>1</x:v>
      </x:c>
      <x:c r="F3828" s="21" t="n">
        <x:v>1</x:v>
      </x:c>
      <x:c r="G3828" s="23" t="str">
        <x:f>IF(E3828=F3828,"PASS","FAIL")</x:f>
        <x:v>PASS</x:v>
      </x:c>
    </x:row>
    <x:row r="3829">
      <x:c r="B3829" s="21" t="str">
        <x:v>A03823</x:v>
      </x:c>
      <x:c r="C3829" s="21" t="str">
        <x:v>artifact</x:v>
      </x:c>
      <x:c r="D3829" s="21" t="str">
        <x:v>artifact 1390 eligibility equation</x:v>
      </x:c>
      <x:c r="E3829" s="21" t="n">
        <x:f>IF(ABS('Artifact Ledger'!P1396-IF(AND('Artifact Ledger'!L1396=1,'Artifact Ledger'!M1396=1,'Artifact Ledger'!N1396=1,'Artifact Ledger'!O1396&gt;='Artifact Ledger'!G1396),'Artifact Ledger'!K1396,0))&lt;0.000001,1,0)</x:f>
        <x:v>1</x:v>
      </x:c>
      <x:c r="F3829" s="21" t="n">
        <x:v>1</x:v>
      </x:c>
      <x:c r="G3829" s="23" t="str">
        <x:f>IF(E3829=F3829,"PASS","FAIL")</x:f>
        <x:v>PASS</x:v>
      </x:c>
    </x:row>
    <x:row r="3830">
      <x:c r="B3830" s="21" t="str">
        <x:v>A03824</x:v>
      </x:c>
      <x:c r="C3830" s="21" t="str">
        <x:v>artifact</x:v>
      </x:c>
      <x:c r="D3830" s="21" t="str">
        <x:v>artifact 1390 planning state</x:v>
      </x:c>
      <x:c r="E3830" s="21" t="n">
        <x:f>IF(AND('Artifact Ledger'!Q1396="OPEN",'Artifact Ledger'!R1396="HOLD"),1,0)</x:f>
        <x:v>1</x:v>
      </x:c>
      <x:c r="F3830" s="21" t="n">
        <x:v>1</x:v>
      </x:c>
      <x:c r="G3830" s="23" t="str">
        <x:f>IF(E3830=F3830,"PASS","FAIL")</x:f>
        <x:v>PASS</x:v>
      </x:c>
    </x:row>
    <x:row r="3831">
      <x:c r="B3831" s="21" t="str">
        <x:v>A03825</x:v>
      </x:c>
      <x:c r="C3831" s="21" t="str">
        <x:v>artifact</x:v>
      </x:c>
      <x:c r="D3831" s="21" t="str">
        <x:v>artifact 1391 eligibility equation</x:v>
      </x:c>
      <x:c r="E3831" s="21" t="n">
        <x:f>IF(ABS('Artifact Ledger'!P1397-IF(AND('Artifact Ledger'!L1397=1,'Artifact Ledger'!M1397=1,'Artifact Ledger'!N1397=1,'Artifact Ledger'!O1397&gt;='Artifact Ledger'!G1397),'Artifact Ledger'!K1397,0))&lt;0.000001,1,0)</x:f>
        <x:v>1</x:v>
      </x:c>
      <x:c r="F3831" s="21" t="n">
        <x:v>1</x:v>
      </x:c>
      <x:c r="G3831" s="23" t="str">
        <x:f>IF(E3831=F3831,"PASS","FAIL")</x:f>
        <x:v>PASS</x:v>
      </x:c>
    </x:row>
    <x:row r="3832">
      <x:c r="B3832" s="21" t="str">
        <x:v>A03826</x:v>
      </x:c>
      <x:c r="C3832" s="21" t="str">
        <x:v>artifact</x:v>
      </x:c>
      <x:c r="D3832" s="21" t="str">
        <x:v>artifact 1391 planning state</x:v>
      </x:c>
      <x:c r="E3832" s="21" t="n">
        <x:f>IF(AND('Artifact Ledger'!Q1397="OPEN",'Artifact Ledger'!R1397="HOLD"),1,0)</x:f>
        <x:v>1</x:v>
      </x:c>
      <x:c r="F3832" s="21" t="n">
        <x:v>1</x:v>
      </x:c>
      <x:c r="G3832" s="23" t="str">
        <x:f>IF(E3832=F3832,"PASS","FAIL")</x:f>
        <x:v>PASS</x:v>
      </x:c>
    </x:row>
    <x:row r="3833">
      <x:c r="B3833" s="21" t="str">
        <x:v>A03827</x:v>
      </x:c>
      <x:c r="C3833" s="21" t="str">
        <x:v>artifact</x:v>
      </x:c>
      <x:c r="D3833" s="21" t="str">
        <x:v>artifact 1392 eligibility equation</x:v>
      </x:c>
      <x:c r="E3833" s="21" t="n">
        <x:f>IF(ABS('Artifact Ledger'!P1398-IF(AND('Artifact Ledger'!L1398=1,'Artifact Ledger'!M1398=1,'Artifact Ledger'!N1398=1,'Artifact Ledger'!O1398&gt;='Artifact Ledger'!G1398),'Artifact Ledger'!K1398,0))&lt;0.000001,1,0)</x:f>
        <x:v>1</x:v>
      </x:c>
      <x:c r="F3833" s="21" t="n">
        <x:v>1</x:v>
      </x:c>
      <x:c r="G3833" s="23" t="str">
        <x:f>IF(E3833=F3833,"PASS","FAIL")</x:f>
        <x:v>PASS</x:v>
      </x:c>
    </x:row>
    <x:row r="3834">
      <x:c r="B3834" s="21" t="str">
        <x:v>A03828</x:v>
      </x:c>
      <x:c r="C3834" s="21" t="str">
        <x:v>artifact</x:v>
      </x:c>
      <x:c r="D3834" s="21" t="str">
        <x:v>artifact 1392 planning state</x:v>
      </x:c>
      <x:c r="E3834" s="21" t="n">
        <x:f>IF(AND('Artifact Ledger'!Q1398="OPEN",'Artifact Ledger'!R1398="HOLD"),1,0)</x:f>
        <x:v>1</x:v>
      </x:c>
      <x:c r="F3834" s="21" t="n">
        <x:v>1</x:v>
      </x:c>
      <x:c r="G3834" s="23" t="str">
        <x:f>IF(E3834=F3834,"PASS","FAIL")</x:f>
        <x:v>PASS</x:v>
      </x:c>
    </x:row>
    <x:row r="3835">
      <x:c r="B3835" s="21" t="str">
        <x:v>A03829</x:v>
      </x:c>
      <x:c r="C3835" s="21" t="str">
        <x:v>artifact</x:v>
      </x:c>
      <x:c r="D3835" s="21" t="str">
        <x:v>artifact 1393 eligibility equation</x:v>
      </x:c>
      <x:c r="E3835" s="21" t="n">
        <x:f>IF(ABS('Artifact Ledger'!P1399-IF(AND('Artifact Ledger'!L1399=1,'Artifact Ledger'!M1399=1,'Artifact Ledger'!N1399=1,'Artifact Ledger'!O1399&gt;='Artifact Ledger'!G1399),'Artifact Ledger'!K1399,0))&lt;0.000001,1,0)</x:f>
        <x:v>1</x:v>
      </x:c>
      <x:c r="F3835" s="21" t="n">
        <x:v>1</x:v>
      </x:c>
      <x:c r="G3835" s="23" t="str">
        <x:f>IF(E3835=F3835,"PASS","FAIL")</x:f>
        <x:v>PASS</x:v>
      </x:c>
    </x:row>
    <x:row r="3836">
      <x:c r="B3836" s="21" t="str">
        <x:v>A03830</x:v>
      </x:c>
      <x:c r="C3836" s="21" t="str">
        <x:v>artifact</x:v>
      </x:c>
      <x:c r="D3836" s="21" t="str">
        <x:v>artifact 1393 planning state</x:v>
      </x:c>
      <x:c r="E3836" s="21" t="n">
        <x:f>IF(AND('Artifact Ledger'!Q1399="OPEN",'Artifact Ledger'!R1399="HOLD"),1,0)</x:f>
        <x:v>1</x:v>
      </x:c>
      <x:c r="F3836" s="21" t="n">
        <x:v>1</x:v>
      </x:c>
      <x:c r="G3836" s="23" t="str">
        <x:f>IF(E3836=F3836,"PASS","FAIL")</x:f>
        <x:v>PASS</x:v>
      </x:c>
    </x:row>
    <x:row r="3837">
      <x:c r="B3837" s="21" t="str">
        <x:v>A03831</x:v>
      </x:c>
      <x:c r="C3837" s="21" t="str">
        <x:v>artifact</x:v>
      </x:c>
      <x:c r="D3837" s="21" t="str">
        <x:v>artifact 1394 eligibility equation</x:v>
      </x:c>
      <x:c r="E3837" s="21" t="n">
        <x:f>IF(ABS('Artifact Ledger'!P1400-IF(AND('Artifact Ledger'!L1400=1,'Artifact Ledger'!M1400=1,'Artifact Ledger'!N1400=1,'Artifact Ledger'!O1400&gt;='Artifact Ledger'!G1400),'Artifact Ledger'!K1400,0))&lt;0.000001,1,0)</x:f>
        <x:v>1</x:v>
      </x:c>
      <x:c r="F3837" s="21" t="n">
        <x:v>1</x:v>
      </x:c>
      <x:c r="G3837" s="23" t="str">
        <x:f>IF(E3837=F3837,"PASS","FAIL")</x:f>
        <x:v>PASS</x:v>
      </x:c>
    </x:row>
    <x:row r="3838">
      <x:c r="B3838" s="21" t="str">
        <x:v>A03832</x:v>
      </x:c>
      <x:c r="C3838" s="21" t="str">
        <x:v>artifact</x:v>
      </x:c>
      <x:c r="D3838" s="21" t="str">
        <x:v>artifact 1394 planning state</x:v>
      </x:c>
      <x:c r="E3838" s="21" t="n">
        <x:f>IF(AND('Artifact Ledger'!Q1400="OPEN",'Artifact Ledger'!R1400="HOLD"),1,0)</x:f>
        <x:v>1</x:v>
      </x:c>
      <x:c r="F3838" s="21" t="n">
        <x:v>1</x:v>
      </x:c>
      <x:c r="G3838" s="23" t="str">
        <x:f>IF(E3838=F3838,"PASS","FAIL")</x:f>
        <x:v>PASS</x:v>
      </x:c>
    </x:row>
    <x:row r="3839">
      <x:c r="B3839" s="21" t="str">
        <x:v>A03833</x:v>
      </x:c>
      <x:c r="C3839" s="21" t="str">
        <x:v>artifact</x:v>
      </x:c>
      <x:c r="D3839" s="21" t="str">
        <x:v>artifact 1395 eligibility equation</x:v>
      </x:c>
      <x:c r="E3839" s="21" t="n">
        <x:f>IF(ABS('Artifact Ledger'!P1401-IF(AND('Artifact Ledger'!L1401=1,'Artifact Ledger'!M1401=1,'Artifact Ledger'!N1401=1,'Artifact Ledger'!O1401&gt;='Artifact Ledger'!G1401),'Artifact Ledger'!K1401,0))&lt;0.000001,1,0)</x:f>
        <x:v>1</x:v>
      </x:c>
      <x:c r="F3839" s="21" t="n">
        <x:v>1</x:v>
      </x:c>
      <x:c r="G3839" s="23" t="str">
        <x:f>IF(E3839=F3839,"PASS","FAIL")</x:f>
        <x:v>PASS</x:v>
      </x:c>
    </x:row>
    <x:row r="3840">
      <x:c r="B3840" s="21" t="str">
        <x:v>A03834</x:v>
      </x:c>
      <x:c r="C3840" s="21" t="str">
        <x:v>artifact</x:v>
      </x:c>
      <x:c r="D3840" s="21" t="str">
        <x:v>artifact 1395 planning state</x:v>
      </x:c>
      <x:c r="E3840" s="21" t="n">
        <x:f>IF(AND('Artifact Ledger'!Q1401="OPEN",'Artifact Ledger'!R1401="HOLD"),1,0)</x:f>
        <x:v>1</x:v>
      </x:c>
      <x:c r="F3840" s="21" t="n">
        <x:v>1</x:v>
      </x:c>
      <x:c r="G3840" s="23" t="str">
        <x:f>IF(E3840=F3840,"PASS","FAIL")</x:f>
        <x:v>PASS</x:v>
      </x:c>
    </x:row>
    <x:row r="3841">
      <x:c r="B3841" s="21" t="str">
        <x:v>A03835</x:v>
      </x:c>
      <x:c r="C3841" s="21" t="str">
        <x:v>artifact</x:v>
      </x:c>
      <x:c r="D3841" s="21" t="str">
        <x:v>artifact 1396 eligibility equation</x:v>
      </x:c>
      <x:c r="E3841" s="21" t="n">
        <x:f>IF(ABS('Artifact Ledger'!P1402-IF(AND('Artifact Ledger'!L1402=1,'Artifact Ledger'!M1402=1,'Artifact Ledger'!N1402=1,'Artifact Ledger'!O1402&gt;='Artifact Ledger'!G1402),'Artifact Ledger'!K1402,0))&lt;0.000001,1,0)</x:f>
        <x:v>1</x:v>
      </x:c>
      <x:c r="F3841" s="21" t="n">
        <x:v>1</x:v>
      </x:c>
      <x:c r="G3841" s="23" t="str">
        <x:f>IF(E3841=F3841,"PASS","FAIL")</x:f>
        <x:v>PASS</x:v>
      </x:c>
    </x:row>
    <x:row r="3842">
      <x:c r="B3842" s="21" t="str">
        <x:v>A03836</x:v>
      </x:c>
      <x:c r="C3842" s="21" t="str">
        <x:v>artifact</x:v>
      </x:c>
      <x:c r="D3842" s="21" t="str">
        <x:v>artifact 1396 planning state</x:v>
      </x:c>
      <x:c r="E3842" s="21" t="n">
        <x:f>IF(AND('Artifact Ledger'!Q1402="OPEN",'Artifact Ledger'!R1402="HOLD"),1,0)</x:f>
        <x:v>1</x:v>
      </x:c>
      <x:c r="F3842" s="21" t="n">
        <x:v>1</x:v>
      </x:c>
      <x:c r="G3842" s="23" t="str">
        <x:f>IF(E3842=F3842,"PASS","FAIL")</x:f>
        <x:v>PASS</x:v>
      </x:c>
    </x:row>
    <x:row r="3843">
      <x:c r="B3843" s="21" t="str">
        <x:v>A03837</x:v>
      </x:c>
      <x:c r="C3843" s="21" t="str">
        <x:v>artifact</x:v>
      </x:c>
      <x:c r="D3843" s="21" t="str">
        <x:v>artifact 1397 eligibility equation</x:v>
      </x:c>
      <x:c r="E3843" s="21" t="n">
        <x:f>IF(ABS('Artifact Ledger'!P1403-IF(AND('Artifact Ledger'!L1403=1,'Artifact Ledger'!M1403=1,'Artifact Ledger'!N1403=1,'Artifact Ledger'!O1403&gt;='Artifact Ledger'!G1403),'Artifact Ledger'!K1403,0))&lt;0.000001,1,0)</x:f>
        <x:v>1</x:v>
      </x:c>
      <x:c r="F3843" s="21" t="n">
        <x:v>1</x:v>
      </x:c>
      <x:c r="G3843" s="23" t="str">
        <x:f>IF(E3843=F3843,"PASS","FAIL")</x:f>
        <x:v>PASS</x:v>
      </x:c>
    </x:row>
    <x:row r="3844">
      <x:c r="B3844" s="21" t="str">
        <x:v>A03838</x:v>
      </x:c>
      <x:c r="C3844" s="21" t="str">
        <x:v>artifact</x:v>
      </x:c>
      <x:c r="D3844" s="21" t="str">
        <x:v>artifact 1397 planning state</x:v>
      </x:c>
      <x:c r="E3844" s="21" t="n">
        <x:f>IF(AND('Artifact Ledger'!Q1403="OPEN",'Artifact Ledger'!R1403="HOLD"),1,0)</x:f>
        <x:v>1</x:v>
      </x:c>
      <x:c r="F3844" s="21" t="n">
        <x:v>1</x:v>
      </x:c>
      <x:c r="G3844" s="23" t="str">
        <x:f>IF(E3844=F3844,"PASS","FAIL")</x:f>
        <x:v>PASS</x:v>
      </x:c>
    </x:row>
    <x:row r="3845">
      <x:c r="B3845" s="21" t="str">
        <x:v>A03839</x:v>
      </x:c>
      <x:c r="C3845" s="21" t="str">
        <x:v>artifact</x:v>
      </x:c>
      <x:c r="D3845" s="21" t="str">
        <x:v>artifact 1398 eligibility equation</x:v>
      </x:c>
      <x:c r="E3845" s="21" t="n">
        <x:f>IF(ABS('Artifact Ledger'!P1404-IF(AND('Artifact Ledger'!L1404=1,'Artifact Ledger'!M1404=1,'Artifact Ledger'!N1404=1,'Artifact Ledger'!O1404&gt;='Artifact Ledger'!G1404),'Artifact Ledger'!K1404,0))&lt;0.000001,1,0)</x:f>
        <x:v>1</x:v>
      </x:c>
      <x:c r="F3845" s="21" t="n">
        <x:v>1</x:v>
      </x:c>
      <x:c r="G3845" s="23" t="str">
        <x:f>IF(E3845=F3845,"PASS","FAIL")</x:f>
        <x:v>PASS</x:v>
      </x:c>
    </x:row>
    <x:row r="3846">
      <x:c r="B3846" s="21" t="str">
        <x:v>A03840</x:v>
      </x:c>
      <x:c r="C3846" s="21" t="str">
        <x:v>artifact</x:v>
      </x:c>
      <x:c r="D3846" s="21" t="str">
        <x:v>artifact 1398 planning state</x:v>
      </x:c>
      <x:c r="E3846" s="21" t="n">
        <x:f>IF(AND('Artifact Ledger'!Q1404="OPEN",'Artifact Ledger'!R1404="HOLD"),1,0)</x:f>
        <x:v>1</x:v>
      </x:c>
      <x:c r="F3846" s="21" t="n">
        <x:v>1</x:v>
      </x:c>
      <x:c r="G3846" s="23" t="str">
        <x:f>IF(E3846=F3846,"PASS","FAIL")</x:f>
        <x:v>PASS</x:v>
      </x:c>
    </x:row>
    <x:row r="3847">
      <x:c r="B3847" s="21" t="str">
        <x:v>A03841</x:v>
      </x:c>
      <x:c r="C3847" s="21" t="str">
        <x:v>artifact</x:v>
      </x:c>
      <x:c r="D3847" s="21" t="str">
        <x:v>artifact 1399 eligibility equation</x:v>
      </x:c>
      <x:c r="E3847" s="21" t="n">
        <x:f>IF(ABS('Artifact Ledger'!P1405-IF(AND('Artifact Ledger'!L1405=1,'Artifact Ledger'!M1405=1,'Artifact Ledger'!N1405=1,'Artifact Ledger'!O1405&gt;='Artifact Ledger'!G1405),'Artifact Ledger'!K1405,0))&lt;0.000001,1,0)</x:f>
        <x:v>1</x:v>
      </x:c>
      <x:c r="F3847" s="21" t="n">
        <x:v>1</x:v>
      </x:c>
      <x:c r="G3847" s="23" t="str">
        <x:f>IF(E3847=F3847,"PASS","FAIL")</x:f>
        <x:v>PASS</x:v>
      </x:c>
    </x:row>
    <x:row r="3848">
      <x:c r="B3848" s="21" t="str">
        <x:v>A03842</x:v>
      </x:c>
      <x:c r="C3848" s="21" t="str">
        <x:v>artifact</x:v>
      </x:c>
      <x:c r="D3848" s="21" t="str">
        <x:v>artifact 1399 planning state</x:v>
      </x:c>
      <x:c r="E3848" s="21" t="n">
        <x:f>IF(AND('Artifact Ledger'!Q1405="OPEN",'Artifact Ledger'!R1405="HOLD"),1,0)</x:f>
        <x:v>1</x:v>
      </x:c>
      <x:c r="F3848" s="21" t="n">
        <x:v>1</x:v>
      </x:c>
      <x:c r="G3848" s="23" t="str">
        <x:f>IF(E3848=F3848,"PASS","FAIL")</x:f>
        <x:v>PASS</x:v>
      </x:c>
    </x:row>
    <x:row r="3849">
      <x:c r="B3849" s="21" t="str">
        <x:v>A03843</x:v>
      </x:c>
      <x:c r="C3849" s="21" t="str">
        <x:v>artifact</x:v>
      </x:c>
      <x:c r="D3849" s="21" t="str">
        <x:v>artifact 1400 eligibility equation</x:v>
      </x:c>
      <x:c r="E3849" s="21" t="n">
        <x:f>IF(ABS('Artifact Ledger'!P1406-IF(AND('Artifact Ledger'!L1406=1,'Artifact Ledger'!M1406=1,'Artifact Ledger'!N1406=1,'Artifact Ledger'!O1406&gt;='Artifact Ledger'!G1406),'Artifact Ledger'!K1406,0))&lt;0.000001,1,0)</x:f>
        <x:v>1</x:v>
      </x:c>
      <x:c r="F3849" s="21" t="n">
        <x:v>1</x:v>
      </x:c>
      <x:c r="G3849" s="23" t="str">
        <x:f>IF(E3849=F3849,"PASS","FAIL")</x:f>
        <x:v>PASS</x:v>
      </x:c>
    </x:row>
    <x:row r="3850">
      <x:c r="B3850" s="21" t="str">
        <x:v>A03844</x:v>
      </x:c>
      <x:c r="C3850" s="21" t="str">
        <x:v>artifact</x:v>
      </x:c>
      <x:c r="D3850" s="21" t="str">
        <x:v>artifact 1400 planning state</x:v>
      </x:c>
      <x:c r="E3850" s="21" t="n">
        <x:f>IF(AND('Artifact Ledger'!Q1406="OPEN",'Artifact Ledger'!R1406="HOLD"),1,0)</x:f>
        <x:v>1</x:v>
      </x:c>
      <x:c r="F3850" s="21" t="n">
        <x:v>1</x:v>
      </x:c>
      <x:c r="G3850" s="23" t="str">
        <x:f>IF(E3850=F3850,"PASS","FAIL")</x:f>
        <x:v>PASS</x:v>
      </x:c>
    </x:row>
    <x:row r="3851">
      <x:c r="B3851" s="21" t="str">
        <x:v>A03845</x:v>
      </x:c>
      <x:c r="C3851" s="21" t="str">
        <x:v>artifact</x:v>
      </x:c>
      <x:c r="D3851" s="21" t="str">
        <x:v>artifact 1401 eligibility equation</x:v>
      </x:c>
      <x:c r="E3851" s="21" t="n">
        <x:f>IF(ABS('Artifact Ledger'!P1407-IF(AND('Artifact Ledger'!L1407=1,'Artifact Ledger'!M1407=1,'Artifact Ledger'!N1407=1,'Artifact Ledger'!O1407&gt;='Artifact Ledger'!G1407),'Artifact Ledger'!K1407,0))&lt;0.000001,1,0)</x:f>
        <x:v>1</x:v>
      </x:c>
      <x:c r="F3851" s="21" t="n">
        <x:v>1</x:v>
      </x:c>
      <x:c r="G3851" s="23" t="str">
        <x:f>IF(E3851=F3851,"PASS","FAIL")</x:f>
        <x:v>PASS</x:v>
      </x:c>
    </x:row>
    <x:row r="3852">
      <x:c r="B3852" s="21" t="str">
        <x:v>A03846</x:v>
      </x:c>
      <x:c r="C3852" s="21" t="str">
        <x:v>artifact</x:v>
      </x:c>
      <x:c r="D3852" s="21" t="str">
        <x:v>artifact 1401 planning state</x:v>
      </x:c>
      <x:c r="E3852" s="21" t="n">
        <x:f>IF(AND('Artifact Ledger'!Q1407="OPEN",'Artifact Ledger'!R1407="HOLD"),1,0)</x:f>
        <x:v>1</x:v>
      </x:c>
      <x:c r="F3852" s="21" t="n">
        <x:v>1</x:v>
      </x:c>
      <x:c r="G3852" s="23" t="str">
        <x:f>IF(E3852=F3852,"PASS","FAIL")</x:f>
        <x:v>PASS</x:v>
      </x:c>
    </x:row>
    <x:row r="3853">
      <x:c r="B3853" s="21" t="str">
        <x:v>A03847</x:v>
      </x:c>
      <x:c r="C3853" s="21" t="str">
        <x:v>artifact</x:v>
      </x:c>
      <x:c r="D3853" s="21" t="str">
        <x:v>artifact 1402 eligibility equation</x:v>
      </x:c>
      <x:c r="E3853" s="21" t="n">
        <x:f>IF(ABS('Artifact Ledger'!P1408-IF(AND('Artifact Ledger'!L1408=1,'Artifact Ledger'!M1408=1,'Artifact Ledger'!N1408=1,'Artifact Ledger'!O1408&gt;='Artifact Ledger'!G1408),'Artifact Ledger'!K1408,0))&lt;0.000001,1,0)</x:f>
        <x:v>1</x:v>
      </x:c>
      <x:c r="F3853" s="21" t="n">
        <x:v>1</x:v>
      </x:c>
      <x:c r="G3853" s="23" t="str">
        <x:f>IF(E3853=F3853,"PASS","FAIL")</x:f>
        <x:v>PASS</x:v>
      </x:c>
    </x:row>
    <x:row r="3854">
      <x:c r="B3854" s="21" t="str">
        <x:v>A03848</x:v>
      </x:c>
      <x:c r="C3854" s="21" t="str">
        <x:v>artifact</x:v>
      </x:c>
      <x:c r="D3854" s="21" t="str">
        <x:v>artifact 1402 planning state</x:v>
      </x:c>
      <x:c r="E3854" s="21" t="n">
        <x:f>IF(AND('Artifact Ledger'!Q1408="OPEN",'Artifact Ledger'!R1408="HOLD"),1,0)</x:f>
        <x:v>1</x:v>
      </x:c>
      <x:c r="F3854" s="21" t="n">
        <x:v>1</x:v>
      </x:c>
      <x:c r="G3854" s="23" t="str">
        <x:f>IF(E3854=F3854,"PASS","FAIL")</x:f>
        <x:v>PASS</x:v>
      </x:c>
    </x:row>
    <x:row r="3855">
      <x:c r="B3855" s="21" t="str">
        <x:v>A03849</x:v>
      </x:c>
      <x:c r="C3855" s="21" t="str">
        <x:v>artifact</x:v>
      </x:c>
      <x:c r="D3855" s="21" t="str">
        <x:v>artifact 1403 eligibility equation</x:v>
      </x:c>
      <x:c r="E3855" s="21" t="n">
        <x:f>IF(ABS('Artifact Ledger'!P1409-IF(AND('Artifact Ledger'!L1409=1,'Artifact Ledger'!M1409=1,'Artifact Ledger'!N1409=1,'Artifact Ledger'!O1409&gt;='Artifact Ledger'!G1409),'Artifact Ledger'!K1409,0))&lt;0.000001,1,0)</x:f>
        <x:v>1</x:v>
      </x:c>
      <x:c r="F3855" s="21" t="n">
        <x:v>1</x:v>
      </x:c>
      <x:c r="G3855" s="23" t="str">
        <x:f>IF(E3855=F3855,"PASS","FAIL")</x:f>
        <x:v>PASS</x:v>
      </x:c>
    </x:row>
    <x:row r="3856">
      <x:c r="B3856" s="21" t="str">
        <x:v>A03850</x:v>
      </x:c>
      <x:c r="C3856" s="21" t="str">
        <x:v>artifact</x:v>
      </x:c>
      <x:c r="D3856" s="21" t="str">
        <x:v>artifact 1403 planning state</x:v>
      </x:c>
      <x:c r="E3856" s="21" t="n">
        <x:f>IF(AND('Artifact Ledger'!Q1409="OPEN",'Artifact Ledger'!R1409="HOLD"),1,0)</x:f>
        <x:v>1</x:v>
      </x:c>
      <x:c r="F3856" s="21" t="n">
        <x:v>1</x:v>
      </x:c>
      <x:c r="G3856" s="23" t="str">
        <x:f>IF(E3856=F3856,"PASS","FAIL")</x:f>
        <x:v>PASS</x:v>
      </x:c>
    </x:row>
    <x:row r="3857">
      <x:c r="B3857" s="21" t="str">
        <x:v>A03851</x:v>
      </x:c>
      <x:c r="C3857" s="21" t="str">
        <x:v>artifact</x:v>
      </x:c>
      <x:c r="D3857" s="21" t="str">
        <x:v>artifact 1404 eligibility equation</x:v>
      </x:c>
      <x:c r="E3857" s="21" t="n">
        <x:f>IF(ABS('Artifact Ledger'!P1410-IF(AND('Artifact Ledger'!L1410=1,'Artifact Ledger'!M1410=1,'Artifact Ledger'!N1410=1,'Artifact Ledger'!O1410&gt;='Artifact Ledger'!G1410),'Artifact Ledger'!K1410,0))&lt;0.000001,1,0)</x:f>
        <x:v>1</x:v>
      </x:c>
      <x:c r="F3857" s="21" t="n">
        <x:v>1</x:v>
      </x:c>
      <x:c r="G3857" s="23" t="str">
        <x:f>IF(E3857=F3857,"PASS","FAIL")</x:f>
        <x:v>PASS</x:v>
      </x:c>
    </x:row>
    <x:row r="3858">
      <x:c r="B3858" s="21" t="str">
        <x:v>A03852</x:v>
      </x:c>
      <x:c r="C3858" s="21" t="str">
        <x:v>artifact</x:v>
      </x:c>
      <x:c r="D3858" s="21" t="str">
        <x:v>artifact 1404 planning state</x:v>
      </x:c>
      <x:c r="E3858" s="21" t="n">
        <x:f>IF(AND('Artifact Ledger'!Q1410="OPEN",'Artifact Ledger'!R1410="HOLD"),1,0)</x:f>
        <x:v>1</x:v>
      </x:c>
      <x:c r="F3858" s="21" t="n">
        <x:v>1</x:v>
      </x:c>
      <x:c r="G3858" s="23" t="str">
        <x:f>IF(E3858=F3858,"PASS","FAIL")</x:f>
        <x:v>PASS</x:v>
      </x:c>
    </x:row>
    <x:row r="3859">
      <x:c r="B3859" s="21" t="str">
        <x:v>A03853</x:v>
      </x:c>
      <x:c r="C3859" s="21" t="str">
        <x:v>artifact</x:v>
      </x:c>
      <x:c r="D3859" s="21" t="str">
        <x:v>artifact 1405 eligibility equation</x:v>
      </x:c>
      <x:c r="E3859" s="21" t="n">
        <x:f>IF(ABS('Artifact Ledger'!P1411-IF(AND('Artifact Ledger'!L1411=1,'Artifact Ledger'!M1411=1,'Artifact Ledger'!N1411=1,'Artifact Ledger'!O1411&gt;='Artifact Ledger'!G1411),'Artifact Ledger'!K1411,0))&lt;0.000001,1,0)</x:f>
        <x:v>1</x:v>
      </x:c>
      <x:c r="F3859" s="21" t="n">
        <x:v>1</x:v>
      </x:c>
      <x:c r="G3859" s="23" t="str">
        <x:f>IF(E3859=F3859,"PASS","FAIL")</x:f>
        <x:v>PASS</x:v>
      </x:c>
    </x:row>
    <x:row r="3860">
      <x:c r="B3860" s="21" t="str">
        <x:v>A03854</x:v>
      </x:c>
      <x:c r="C3860" s="21" t="str">
        <x:v>artifact</x:v>
      </x:c>
      <x:c r="D3860" s="21" t="str">
        <x:v>artifact 1405 planning state</x:v>
      </x:c>
      <x:c r="E3860" s="21" t="n">
        <x:f>IF(AND('Artifact Ledger'!Q1411="OPEN",'Artifact Ledger'!R1411="HOLD"),1,0)</x:f>
        <x:v>1</x:v>
      </x:c>
      <x:c r="F3860" s="21" t="n">
        <x:v>1</x:v>
      </x:c>
      <x:c r="G3860" s="23" t="str">
        <x:f>IF(E3860=F3860,"PASS","FAIL")</x:f>
        <x:v>PASS</x:v>
      </x:c>
    </x:row>
    <x:row r="3861">
      <x:c r="B3861" s="21" t="str">
        <x:v>A03855</x:v>
      </x:c>
      <x:c r="C3861" s="21" t="str">
        <x:v>artifact</x:v>
      </x:c>
      <x:c r="D3861" s="21" t="str">
        <x:v>artifact 1406 eligibility equation</x:v>
      </x:c>
      <x:c r="E3861" s="21" t="n">
        <x:f>IF(ABS('Artifact Ledger'!P1412-IF(AND('Artifact Ledger'!L1412=1,'Artifact Ledger'!M1412=1,'Artifact Ledger'!N1412=1,'Artifact Ledger'!O1412&gt;='Artifact Ledger'!G1412),'Artifact Ledger'!K1412,0))&lt;0.000001,1,0)</x:f>
        <x:v>1</x:v>
      </x:c>
      <x:c r="F3861" s="21" t="n">
        <x:v>1</x:v>
      </x:c>
      <x:c r="G3861" s="23" t="str">
        <x:f>IF(E3861=F3861,"PASS","FAIL")</x:f>
        <x:v>PASS</x:v>
      </x:c>
    </x:row>
    <x:row r="3862">
      <x:c r="B3862" s="21" t="str">
        <x:v>A03856</x:v>
      </x:c>
      <x:c r="C3862" s="21" t="str">
        <x:v>artifact</x:v>
      </x:c>
      <x:c r="D3862" s="21" t="str">
        <x:v>artifact 1406 planning state</x:v>
      </x:c>
      <x:c r="E3862" s="21" t="n">
        <x:f>IF(AND('Artifact Ledger'!Q1412="OPEN",'Artifact Ledger'!R1412="HOLD"),1,0)</x:f>
        <x:v>1</x:v>
      </x:c>
      <x:c r="F3862" s="21" t="n">
        <x:v>1</x:v>
      </x:c>
      <x:c r="G3862" s="23" t="str">
        <x:f>IF(E3862=F3862,"PASS","FAIL")</x:f>
        <x:v>PASS</x:v>
      </x:c>
    </x:row>
    <x:row r="3863">
      <x:c r="B3863" s="21" t="str">
        <x:v>A03857</x:v>
      </x:c>
      <x:c r="C3863" s="21" t="str">
        <x:v>artifact</x:v>
      </x:c>
      <x:c r="D3863" s="21" t="str">
        <x:v>artifact 1407 eligibility equation</x:v>
      </x:c>
      <x:c r="E3863" s="21" t="n">
        <x:f>IF(ABS('Artifact Ledger'!P1413-IF(AND('Artifact Ledger'!L1413=1,'Artifact Ledger'!M1413=1,'Artifact Ledger'!N1413=1,'Artifact Ledger'!O1413&gt;='Artifact Ledger'!G1413),'Artifact Ledger'!K1413,0))&lt;0.000001,1,0)</x:f>
        <x:v>1</x:v>
      </x:c>
      <x:c r="F3863" s="21" t="n">
        <x:v>1</x:v>
      </x:c>
      <x:c r="G3863" s="23" t="str">
        <x:f>IF(E3863=F3863,"PASS","FAIL")</x:f>
        <x:v>PASS</x:v>
      </x:c>
    </x:row>
    <x:row r="3864">
      <x:c r="B3864" s="21" t="str">
        <x:v>A03858</x:v>
      </x:c>
      <x:c r="C3864" s="21" t="str">
        <x:v>artifact</x:v>
      </x:c>
      <x:c r="D3864" s="21" t="str">
        <x:v>artifact 1407 planning state</x:v>
      </x:c>
      <x:c r="E3864" s="21" t="n">
        <x:f>IF(AND('Artifact Ledger'!Q1413="OPEN",'Artifact Ledger'!R1413="HOLD"),1,0)</x:f>
        <x:v>1</x:v>
      </x:c>
      <x:c r="F3864" s="21" t="n">
        <x:v>1</x:v>
      </x:c>
      <x:c r="G3864" s="23" t="str">
        <x:f>IF(E3864=F3864,"PASS","FAIL")</x:f>
        <x:v>PASS</x:v>
      </x:c>
    </x:row>
    <x:row r="3865">
      <x:c r="B3865" s="21" t="str">
        <x:v>A03859</x:v>
      </x:c>
      <x:c r="C3865" s="21" t="str">
        <x:v>artifact</x:v>
      </x:c>
      <x:c r="D3865" s="21" t="str">
        <x:v>artifact 1408 eligibility equation</x:v>
      </x:c>
      <x:c r="E3865" s="21" t="n">
        <x:f>IF(ABS('Artifact Ledger'!P1414-IF(AND('Artifact Ledger'!L1414=1,'Artifact Ledger'!M1414=1,'Artifact Ledger'!N1414=1,'Artifact Ledger'!O1414&gt;='Artifact Ledger'!G1414),'Artifact Ledger'!K1414,0))&lt;0.000001,1,0)</x:f>
        <x:v>1</x:v>
      </x:c>
      <x:c r="F3865" s="21" t="n">
        <x:v>1</x:v>
      </x:c>
      <x:c r="G3865" s="23" t="str">
        <x:f>IF(E3865=F3865,"PASS","FAIL")</x:f>
        <x:v>PASS</x:v>
      </x:c>
    </x:row>
    <x:row r="3866">
      <x:c r="B3866" s="21" t="str">
        <x:v>A03860</x:v>
      </x:c>
      <x:c r="C3866" s="21" t="str">
        <x:v>artifact</x:v>
      </x:c>
      <x:c r="D3866" s="21" t="str">
        <x:v>artifact 1408 planning state</x:v>
      </x:c>
      <x:c r="E3866" s="21" t="n">
        <x:f>IF(AND('Artifact Ledger'!Q1414="OPEN",'Artifact Ledger'!R1414="HOLD"),1,0)</x:f>
        <x:v>1</x:v>
      </x:c>
      <x:c r="F3866" s="21" t="n">
        <x:v>1</x:v>
      </x:c>
      <x:c r="G3866" s="23" t="str">
        <x:f>IF(E3866=F3866,"PASS","FAIL")</x:f>
        <x:v>PASS</x:v>
      </x:c>
    </x:row>
    <x:row r="3867">
      <x:c r="B3867" s="21" t="str">
        <x:v>A03861</x:v>
      </x:c>
      <x:c r="C3867" s="21" t="str">
        <x:v>artifact</x:v>
      </x:c>
      <x:c r="D3867" s="21" t="str">
        <x:v>artifact 1409 eligibility equation</x:v>
      </x:c>
      <x:c r="E3867" s="21" t="n">
        <x:f>IF(ABS('Artifact Ledger'!P1415-IF(AND('Artifact Ledger'!L1415=1,'Artifact Ledger'!M1415=1,'Artifact Ledger'!N1415=1,'Artifact Ledger'!O1415&gt;='Artifact Ledger'!G1415),'Artifact Ledger'!K1415,0))&lt;0.000001,1,0)</x:f>
        <x:v>1</x:v>
      </x:c>
      <x:c r="F3867" s="21" t="n">
        <x:v>1</x:v>
      </x:c>
      <x:c r="G3867" s="23" t="str">
        <x:f>IF(E3867=F3867,"PASS","FAIL")</x:f>
        <x:v>PASS</x:v>
      </x:c>
    </x:row>
    <x:row r="3868">
      <x:c r="B3868" s="21" t="str">
        <x:v>A03862</x:v>
      </x:c>
      <x:c r="C3868" s="21" t="str">
        <x:v>artifact</x:v>
      </x:c>
      <x:c r="D3868" s="21" t="str">
        <x:v>artifact 1409 planning state</x:v>
      </x:c>
      <x:c r="E3868" s="21" t="n">
        <x:f>IF(AND('Artifact Ledger'!Q1415="OPEN",'Artifact Ledger'!R1415="HOLD"),1,0)</x:f>
        <x:v>1</x:v>
      </x:c>
      <x:c r="F3868" s="21" t="n">
        <x:v>1</x:v>
      </x:c>
      <x:c r="G3868" s="23" t="str">
        <x:f>IF(E3868=F3868,"PASS","FAIL")</x:f>
        <x:v>PASS</x:v>
      </x:c>
    </x:row>
    <x:row r="3869">
      <x:c r="B3869" s="21" t="str">
        <x:v>A03863</x:v>
      </x:c>
      <x:c r="C3869" s="21" t="str">
        <x:v>artifact</x:v>
      </x:c>
      <x:c r="D3869" s="21" t="str">
        <x:v>artifact 1410 eligibility equation</x:v>
      </x:c>
      <x:c r="E3869" s="21" t="n">
        <x:f>IF(ABS('Artifact Ledger'!P1416-IF(AND('Artifact Ledger'!L1416=1,'Artifact Ledger'!M1416=1,'Artifact Ledger'!N1416=1,'Artifact Ledger'!O1416&gt;='Artifact Ledger'!G1416),'Artifact Ledger'!K1416,0))&lt;0.000001,1,0)</x:f>
        <x:v>1</x:v>
      </x:c>
      <x:c r="F3869" s="21" t="n">
        <x:v>1</x:v>
      </x:c>
      <x:c r="G3869" s="23" t="str">
        <x:f>IF(E3869=F3869,"PASS","FAIL")</x:f>
        <x:v>PASS</x:v>
      </x:c>
    </x:row>
    <x:row r="3870">
      <x:c r="B3870" s="21" t="str">
        <x:v>A03864</x:v>
      </x:c>
      <x:c r="C3870" s="21" t="str">
        <x:v>artifact</x:v>
      </x:c>
      <x:c r="D3870" s="21" t="str">
        <x:v>artifact 1410 planning state</x:v>
      </x:c>
      <x:c r="E3870" s="21" t="n">
        <x:f>IF(AND('Artifact Ledger'!Q1416="OPEN",'Artifact Ledger'!R1416="HOLD"),1,0)</x:f>
        <x:v>1</x:v>
      </x:c>
      <x:c r="F3870" s="21" t="n">
        <x:v>1</x:v>
      </x:c>
      <x:c r="G3870" s="23" t="str">
        <x:f>IF(E3870=F3870,"PASS","FAIL")</x:f>
        <x:v>PASS</x:v>
      </x:c>
    </x:row>
    <x:row r="3871">
      <x:c r="B3871" s="21" t="str">
        <x:v>A03865</x:v>
      </x:c>
      <x:c r="C3871" s="21" t="str">
        <x:v>artifact</x:v>
      </x:c>
      <x:c r="D3871" s="21" t="str">
        <x:v>artifact 1411 eligibility equation</x:v>
      </x:c>
      <x:c r="E3871" s="21" t="n">
        <x:f>IF(ABS('Artifact Ledger'!P1417-IF(AND('Artifact Ledger'!L1417=1,'Artifact Ledger'!M1417=1,'Artifact Ledger'!N1417=1,'Artifact Ledger'!O1417&gt;='Artifact Ledger'!G1417),'Artifact Ledger'!K1417,0))&lt;0.000001,1,0)</x:f>
        <x:v>1</x:v>
      </x:c>
      <x:c r="F3871" s="21" t="n">
        <x:v>1</x:v>
      </x:c>
      <x:c r="G3871" s="23" t="str">
        <x:f>IF(E3871=F3871,"PASS","FAIL")</x:f>
        <x:v>PASS</x:v>
      </x:c>
    </x:row>
    <x:row r="3872">
      <x:c r="B3872" s="21" t="str">
        <x:v>A03866</x:v>
      </x:c>
      <x:c r="C3872" s="21" t="str">
        <x:v>artifact</x:v>
      </x:c>
      <x:c r="D3872" s="21" t="str">
        <x:v>artifact 1411 planning state</x:v>
      </x:c>
      <x:c r="E3872" s="21" t="n">
        <x:f>IF(AND('Artifact Ledger'!Q1417="OPEN",'Artifact Ledger'!R1417="HOLD"),1,0)</x:f>
        <x:v>1</x:v>
      </x:c>
      <x:c r="F3872" s="21" t="n">
        <x:v>1</x:v>
      </x:c>
      <x:c r="G3872" s="23" t="str">
        <x:f>IF(E3872=F3872,"PASS","FAIL")</x:f>
        <x:v>PASS</x:v>
      </x:c>
    </x:row>
    <x:row r="3873">
      <x:c r="B3873" s="21" t="str">
        <x:v>A03867</x:v>
      </x:c>
      <x:c r="C3873" s="21" t="str">
        <x:v>artifact</x:v>
      </x:c>
      <x:c r="D3873" s="21" t="str">
        <x:v>artifact 1412 eligibility equation</x:v>
      </x:c>
      <x:c r="E3873" s="21" t="n">
        <x:f>IF(ABS('Artifact Ledger'!P1418-IF(AND('Artifact Ledger'!L1418=1,'Artifact Ledger'!M1418=1,'Artifact Ledger'!N1418=1,'Artifact Ledger'!O1418&gt;='Artifact Ledger'!G1418),'Artifact Ledger'!K1418,0))&lt;0.000001,1,0)</x:f>
        <x:v>1</x:v>
      </x:c>
      <x:c r="F3873" s="21" t="n">
        <x:v>1</x:v>
      </x:c>
      <x:c r="G3873" s="23" t="str">
        <x:f>IF(E3873=F3873,"PASS","FAIL")</x:f>
        <x:v>PASS</x:v>
      </x:c>
    </x:row>
    <x:row r="3874">
      <x:c r="B3874" s="21" t="str">
        <x:v>A03868</x:v>
      </x:c>
      <x:c r="C3874" s="21" t="str">
        <x:v>artifact</x:v>
      </x:c>
      <x:c r="D3874" s="21" t="str">
        <x:v>artifact 1412 planning state</x:v>
      </x:c>
      <x:c r="E3874" s="21" t="n">
        <x:f>IF(AND('Artifact Ledger'!Q1418="OPEN",'Artifact Ledger'!R1418="HOLD"),1,0)</x:f>
        <x:v>1</x:v>
      </x:c>
      <x:c r="F3874" s="21" t="n">
        <x:v>1</x:v>
      </x:c>
      <x:c r="G3874" s="23" t="str">
        <x:f>IF(E3874=F3874,"PASS","FAIL")</x:f>
        <x:v>PASS</x:v>
      </x:c>
    </x:row>
    <x:row r="3875">
      <x:c r="B3875" s="21" t="str">
        <x:v>A03869</x:v>
      </x:c>
      <x:c r="C3875" s="21" t="str">
        <x:v>artifact</x:v>
      </x:c>
      <x:c r="D3875" s="21" t="str">
        <x:v>artifact 1413 eligibility equation</x:v>
      </x:c>
      <x:c r="E3875" s="21" t="n">
        <x:f>IF(ABS('Artifact Ledger'!P1419-IF(AND('Artifact Ledger'!L1419=1,'Artifact Ledger'!M1419=1,'Artifact Ledger'!N1419=1,'Artifact Ledger'!O1419&gt;='Artifact Ledger'!G1419),'Artifact Ledger'!K1419,0))&lt;0.000001,1,0)</x:f>
        <x:v>1</x:v>
      </x:c>
      <x:c r="F3875" s="21" t="n">
        <x:v>1</x:v>
      </x:c>
      <x:c r="G3875" s="23" t="str">
        <x:f>IF(E3875=F3875,"PASS","FAIL")</x:f>
        <x:v>PASS</x:v>
      </x:c>
    </x:row>
    <x:row r="3876">
      <x:c r="B3876" s="21" t="str">
        <x:v>A03870</x:v>
      </x:c>
      <x:c r="C3876" s="21" t="str">
        <x:v>artifact</x:v>
      </x:c>
      <x:c r="D3876" s="21" t="str">
        <x:v>artifact 1413 planning state</x:v>
      </x:c>
      <x:c r="E3876" s="21" t="n">
        <x:f>IF(AND('Artifact Ledger'!Q1419="OPEN",'Artifact Ledger'!R1419="HOLD"),1,0)</x:f>
        <x:v>1</x:v>
      </x:c>
      <x:c r="F3876" s="21" t="n">
        <x:v>1</x:v>
      </x:c>
      <x:c r="G3876" s="23" t="str">
        <x:f>IF(E3876=F3876,"PASS","FAIL")</x:f>
        <x:v>PASS</x:v>
      </x:c>
    </x:row>
    <x:row r="3877">
      <x:c r="B3877" s="21" t="str">
        <x:v>A03871</x:v>
      </x:c>
      <x:c r="C3877" s="21" t="str">
        <x:v>artifact</x:v>
      </x:c>
      <x:c r="D3877" s="21" t="str">
        <x:v>artifact 1414 eligibility equation</x:v>
      </x:c>
      <x:c r="E3877" s="21" t="n">
        <x:f>IF(ABS('Artifact Ledger'!P1420-IF(AND('Artifact Ledger'!L1420=1,'Artifact Ledger'!M1420=1,'Artifact Ledger'!N1420=1,'Artifact Ledger'!O1420&gt;='Artifact Ledger'!G1420),'Artifact Ledger'!K1420,0))&lt;0.000001,1,0)</x:f>
        <x:v>1</x:v>
      </x:c>
      <x:c r="F3877" s="21" t="n">
        <x:v>1</x:v>
      </x:c>
      <x:c r="G3877" s="23" t="str">
        <x:f>IF(E3877=F3877,"PASS","FAIL")</x:f>
        <x:v>PASS</x:v>
      </x:c>
    </x:row>
    <x:row r="3878">
      <x:c r="B3878" s="21" t="str">
        <x:v>A03872</x:v>
      </x:c>
      <x:c r="C3878" s="21" t="str">
        <x:v>artifact</x:v>
      </x:c>
      <x:c r="D3878" s="21" t="str">
        <x:v>artifact 1414 planning state</x:v>
      </x:c>
      <x:c r="E3878" s="21" t="n">
        <x:f>IF(AND('Artifact Ledger'!Q1420="OPEN",'Artifact Ledger'!R1420="HOLD"),1,0)</x:f>
        <x:v>1</x:v>
      </x:c>
      <x:c r="F3878" s="21" t="n">
        <x:v>1</x:v>
      </x:c>
      <x:c r="G3878" s="23" t="str">
        <x:f>IF(E3878=F3878,"PASS","FAIL")</x:f>
        <x:v>PASS</x:v>
      </x:c>
    </x:row>
    <x:row r="3879">
      <x:c r="B3879" s="21" t="str">
        <x:v>A03873</x:v>
      </x:c>
      <x:c r="C3879" s="21" t="str">
        <x:v>artifact</x:v>
      </x:c>
      <x:c r="D3879" s="21" t="str">
        <x:v>artifact 1415 eligibility equation</x:v>
      </x:c>
      <x:c r="E3879" s="21" t="n">
        <x:f>IF(ABS('Artifact Ledger'!P1421-IF(AND('Artifact Ledger'!L1421=1,'Artifact Ledger'!M1421=1,'Artifact Ledger'!N1421=1,'Artifact Ledger'!O1421&gt;='Artifact Ledger'!G1421),'Artifact Ledger'!K1421,0))&lt;0.000001,1,0)</x:f>
        <x:v>1</x:v>
      </x:c>
      <x:c r="F3879" s="21" t="n">
        <x:v>1</x:v>
      </x:c>
      <x:c r="G3879" s="23" t="str">
        <x:f>IF(E3879=F3879,"PASS","FAIL")</x:f>
        <x:v>PASS</x:v>
      </x:c>
    </x:row>
    <x:row r="3880">
      <x:c r="B3880" s="21" t="str">
        <x:v>A03874</x:v>
      </x:c>
      <x:c r="C3880" s="21" t="str">
        <x:v>artifact</x:v>
      </x:c>
      <x:c r="D3880" s="21" t="str">
        <x:v>artifact 1415 planning state</x:v>
      </x:c>
      <x:c r="E3880" s="21" t="n">
        <x:f>IF(AND('Artifact Ledger'!Q1421="OPEN",'Artifact Ledger'!R1421="HOLD"),1,0)</x:f>
        <x:v>1</x:v>
      </x:c>
      <x:c r="F3880" s="21" t="n">
        <x:v>1</x:v>
      </x:c>
      <x:c r="G3880" s="23" t="str">
        <x:f>IF(E3880=F3880,"PASS","FAIL")</x:f>
        <x:v>PASS</x:v>
      </x:c>
    </x:row>
    <x:row r="3881">
      <x:c r="B3881" s="21" t="str">
        <x:v>A03875</x:v>
      </x:c>
      <x:c r="C3881" s="21" t="str">
        <x:v>artifact</x:v>
      </x:c>
      <x:c r="D3881" s="21" t="str">
        <x:v>artifact 1416 eligibility equation</x:v>
      </x:c>
      <x:c r="E3881" s="21" t="n">
        <x:f>IF(ABS('Artifact Ledger'!P1422-IF(AND('Artifact Ledger'!L1422=1,'Artifact Ledger'!M1422=1,'Artifact Ledger'!N1422=1,'Artifact Ledger'!O1422&gt;='Artifact Ledger'!G1422),'Artifact Ledger'!K1422,0))&lt;0.000001,1,0)</x:f>
        <x:v>1</x:v>
      </x:c>
      <x:c r="F3881" s="21" t="n">
        <x:v>1</x:v>
      </x:c>
      <x:c r="G3881" s="23" t="str">
        <x:f>IF(E3881=F3881,"PASS","FAIL")</x:f>
        <x:v>PASS</x:v>
      </x:c>
    </x:row>
    <x:row r="3882">
      <x:c r="B3882" s="21" t="str">
        <x:v>A03876</x:v>
      </x:c>
      <x:c r="C3882" s="21" t="str">
        <x:v>artifact</x:v>
      </x:c>
      <x:c r="D3882" s="21" t="str">
        <x:v>artifact 1416 planning state</x:v>
      </x:c>
      <x:c r="E3882" s="21" t="n">
        <x:f>IF(AND('Artifact Ledger'!Q1422="OPEN",'Artifact Ledger'!R1422="HOLD"),1,0)</x:f>
        <x:v>1</x:v>
      </x:c>
      <x:c r="F3882" s="21" t="n">
        <x:v>1</x:v>
      </x:c>
      <x:c r="G3882" s="23" t="str">
        <x:f>IF(E3882=F3882,"PASS","FAIL")</x:f>
        <x:v>PASS</x:v>
      </x:c>
    </x:row>
    <x:row r="3883">
      <x:c r="B3883" s="21" t="str">
        <x:v>A03877</x:v>
      </x:c>
      <x:c r="C3883" s="21" t="str">
        <x:v>artifact</x:v>
      </x:c>
      <x:c r="D3883" s="21" t="str">
        <x:v>artifact 1417 eligibility equation</x:v>
      </x:c>
      <x:c r="E3883" s="21" t="n">
        <x:f>IF(ABS('Artifact Ledger'!P1423-IF(AND('Artifact Ledger'!L1423=1,'Artifact Ledger'!M1423=1,'Artifact Ledger'!N1423=1,'Artifact Ledger'!O1423&gt;='Artifact Ledger'!G1423),'Artifact Ledger'!K1423,0))&lt;0.000001,1,0)</x:f>
        <x:v>1</x:v>
      </x:c>
      <x:c r="F3883" s="21" t="n">
        <x:v>1</x:v>
      </x:c>
      <x:c r="G3883" s="23" t="str">
        <x:f>IF(E3883=F3883,"PASS","FAIL")</x:f>
        <x:v>PASS</x:v>
      </x:c>
    </x:row>
    <x:row r="3884">
      <x:c r="B3884" s="21" t="str">
        <x:v>A03878</x:v>
      </x:c>
      <x:c r="C3884" s="21" t="str">
        <x:v>artifact</x:v>
      </x:c>
      <x:c r="D3884" s="21" t="str">
        <x:v>artifact 1417 planning state</x:v>
      </x:c>
      <x:c r="E3884" s="21" t="n">
        <x:f>IF(AND('Artifact Ledger'!Q1423="OPEN",'Artifact Ledger'!R1423="HOLD"),1,0)</x:f>
        <x:v>1</x:v>
      </x:c>
      <x:c r="F3884" s="21" t="n">
        <x:v>1</x:v>
      </x:c>
      <x:c r="G3884" s="23" t="str">
        <x:f>IF(E3884=F3884,"PASS","FAIL")</x:f>
        <x:v>PASS</x:v>
      </x:c>
    </x:row>
    <x:row r="3885">
      <x:c r="B3885" s="21" t="str">
        <x:v>A03879</x:v>
      </x:c>
      <x:c r="C3885" s="21" t="str">
        <x:v>artifact</x:v>
      </x:c>
      <x:c r="D3885" s="21" t="str">
        <x:v>artifact 1418 eligibility equation</x:v>
      </x:c>
      <x:c r="E3885" s="21" t="n">
        <x:f>IF(ABS('Artifact Ledger'!P1424-IF(AND('Artifact Ledger'!L1424=1,'Artifact Ledger'!M1424=1,'Artifact Ledger'!N1424=1,'Artifact Ledger'!O1424&gt;='Artifact Ledger'!G1424),'Artifact Ledger'!K1424,0))&lt;0.000001,1,0)</x:f>
        <x:v>1</x:v>
      </x:c>
      <x:c r="F3885" s="21" t="n">
        <x:v>1</x:v>
      </x:c>
      <x:c r="G3885" s="23" t="str">
        <x:f>IF(E3885=F3885,"PASS","FAIL")</x:f>
        <x:v>PASS</x:v>
      </x:c>
    </x:row>
    <x:row r="3886">
      <x:c r="B3886" s="21" t="str">
        <x:v>A03880</x:v>
      </x:c>
      <x:c r="C3886" s="21" t="str">
        <x:v>artifact</x:v>
      </x:c>
      <x:c r="D3886" s="21" t="str">
        <x:v>artifact 1418 planning state</x:v>
      </x:c>
      <x:c r="E3886" s="21" t="n">
        <x:f>IF(AND('Artifact Ledger'!Q1424="OPEN",'Artifact Ledger'!R1424="HOLD"),1,0)</x:f>
        <x:v>1</x:v>
      </x:c>
      <x:c r="F3886" s="21" t="n">
        <x:v>1</x:v>
      </x:c>
      <x:c r="G3886" s="23" t="str">
        <x:f>IF(E3886=F3886,"PASS","FAIL")</x:f>
        <x:v>PASS</x:v>
      </x:c>
    </x:row>
    <x:row r="3887">
      <x:c r="B3887" s="21" t="str">
        <x:v>A03881</x:v>
      </x:c>
      <x:c r="C3887" s="21" t="str">
        <x:v>artifact</x:v>
      </x:c>
      <x:c r="D3887" s="21" t="str">
        <x:v>artifact 1419 eligibility equation</x:v>
      </x:c>
      <x:c r="E3887" s="21" t="n">
        <x:f>IF(ABS('Artifact Ledger'!P1425-IF(AND('Artifact Ledger'!L1425=1,'Artifact Ledger'!M1425=1,'Artifact Ledger'!N1425=1,'Artifact Ledger'!O1425&gt;='Artifact Ledger'!G1425),'Artifact Ledger'!K1425,0))&lt;0.000001,1,0)</x:f>
        <x:v>1</x:v>
      </x:c>
      <x:c r="F3887" s="21" t="n">
        <x:v>1</x:v>
      </x:c>
      <x:c r="G3887" s="23" t="str">
        <x:f>IF(E3887=F3887,"PASS","FAIL")</x:f>
        <x:v>PASS</x:v>
      </x:c>
    </x:row>
    <x:row r="3888">
      <x:c r="B3888" s="21" t="str">
        <x:v>A03882</x:v>
      </x:c>
      <x:c r="C3888" s="21" t="str">
        <x:v>artifact</x:v>
      </x:c>
      <x:c r="D3888" s="21" t="str">
        <x:v>artifact 1419 planning state</x:v>
      </x:c>
      <x:c r="E3888" s="21" t="n">
        <x:f>IF(AND('Artifact Ledger'!Q1425="OPEN",'Artifact Ledger'!R1425="HOLD"),1,0)</x:f>
        <x:v>1</x:v>
      </x:c>
      <x:c r="F3888" s="21" t="n">
        <x:v>1</x:v>
      </x:c>
      <x:c r="G3888" s="23" t="str">
        <x:f>IF(E3888=F3888,"PASS","FAIL")</x:f>
        <x:v>PASS</x:v>
      </x:c>
    </x:row>
    <x:row r="3889">
      <x:c r="B3889" s="21" t="str">
        <x:v>A03883</x:v>
      </x:c>
      <x:c r="C3889" s="21" t="str">
        <x:v>artifact</x:v>
      </x:c>
      <x:c r="D3889" s="21" t="str">
        <x:v>artifact 1420 eligibility equation</x:v>
      </x:c>
      <x:c r="E3889" s="21" t="n">
        <x:f>IF(ABS('Artifact Ledger'!P1426-IF(AND('Artifact Ledger'!L1426=1,'Artifact Ledger'!M1426=1,'Artifact Ledger'!N1426=1,'Artifact Ledger'!O1426&gt;='Artifact Ledger'!G1426),'Artifact Ledger'!K1426,0))&lt;0.000001,1,0)</x:f>
        <x:v>1</x:v>
      </x:c>
      <x:c r="F3889" s="21" t="n">
        <x:v>1</x:v>
      </x:c>
      <x:c r="G3889" s="23" t="str">
        <x:f>IF(E3889=F3889,"PASS","FAIL")</x:f>
        <x:v>PASS</x:v>
      </x:c>
    </x:row>
    <x:row r="3890">
      <x:c r="B3890" s="21" t="str">
        <x:v>A03884</x:v>
      </x:c>
      <x:c r="C3890" s="21" t="str">
        <x:v>artifact</x:v>
      </x:c>
      <x:c r="D3890" s="21" t="str">
        <x:v>artifact 1420 planning state</x:v>
      </x:c>
      <x:c r="E3890" s="21" t="n">
        <x:f>IF(AND('Artifact Ledger'!Q1426="OPEN",'Artifact Ledger'!R1426="HOLD"),1,0)</x:f>
        <x:v>1</x:v>
      </x:c>
      <x:c r="F3890" s="21" t="n">
        <x:v>1</x:v>
      </x:c>
      <x:c r="G3890" s="23" t="str">
        <x:f>IF(E3890=F3890,"PASS","FAIL")</x:f>
        <x:v>PASS</x:v>
      </x:c>
    </x:row>
    <x:row r="3891">
      <x:c r="B3891" s="21" t="str">
        <x:v>A03885</x:v>
      </x:c>
      <x:c r="C3891" s="21" t="str">
        <x:v>artifact</x:v>
      </x:c>
      <x:c r="D3891" s="21" t="str">
        <x:v>artifact 1421 eligibility equation</x:v>
      </x:c>
      <x:c r="E3891" s="21" t="n">
        <x:f>IF(ABS('Artifact Ledger'!P1427-IF(AND('Artifact Ledger'!L1427=1,'Artifact Ledger'!M1427=1,'Artifact Ledger'!N1427=1,'Artifact Ledger'!O1427&gt;='Artifact Ledger'!G1427),'Artifact Ledger'!K1427,0))&lt;0.000001,1,0)</x:f>
        <x:v>1</x:v>
      </x:c>
      <x:c r="F3891" s="21" t="n">
        <x:v>1</x:v>
      </x:c>
      <x:c r="G3891" s="23" t="str">
        <x:f>IF(E3891=F3891,"PASS","FAIL")</x:f>
        <x:v>PASS</x:v>
      </x:c>
    </x:row>
    <x:row r="3892">
      <x:c r="B3892" s="21" t="str">
        <x:v>A03886</x:v>
      </x:c>
      <x:c r="C3892" s="21" t="str">
        <x:v>artifact</x:v>
      </x:c>
      <x:c r="D3892" s="21" t="str">
        <x:v>artifact 1421 planning state</x:v>
      </x:c>
      <x:c r="E3892" s="21" t="n">
        <x:f>IF(AND('Artifact Ledger'!Q1427="OPEN",'Artifact Ledger'!R1427="HOLD"),1,0)</x:f>
        <x:v>1</x:v>
      </x:c>
      <x:c r="F3892" s="21" t="n">
        <x:v>1</x:v>
      </x:c>
      <x:c r="G3892" s="23" t="str">
        <x:f>IF(E3892=F3892,"PASS","FAIL")</x:f>
        <x:v>PASS</x:v>
      </x:c>
    </x:row>
    <x:row r="3893">
      <x:c r="B3893" s="21" t="str">
        <x:v>A03887</x:v>
      </x:c>
      <x:c r="C3893" s="21" t="str">
        <x:v>artifact</x:v>
      </x:c>
      <x:c r="D3893" s="21" t="str">
        <x:v>artifact 1422 eligibility equation</x:v>
      </x:c>
      <x:c r="E3893" s="21" t="n">
        <x:f>IF(ABS('Artifact Ledger'!P1428-IF(AND('Artifact Ledger'!L1428=1,'Artifact Ledger'!M1428=1,'Artifact Ledger'!N1428=1,'Artifact Ledger'!O1428&gt;='Artifact Ledger'!G1428),'Artifact Ledger'!K1428,0))&lt;0.000001,1,0)</x:f>
        <x:v>1</x:v>
      </x:c>
      <x:c r="F3893" s="21" t="n">
        <x:v>1</x:v>
      </x:c>
      <x:c r="G3893" s="23" t="str">
        <x:f>IF(E3893=F3893,"PASS","FAIL")</x:f>
        <x:v>PASS</x:v>
      </x:c>
    </x:row>
    <x:row r="3894">
      <x:c r="B3894" s="21" t="str">
        <x:v>A03888</x:v>
      </x:c>
      <x:c r="C3894" s="21" t="str">
        <x:v>artifact</x:v>
      </x:c>
      <x:c r="D3894" s="21" t="str">
        <x:v>artifact 1422 planning state</x:v>
      </x:c>
      <x:c r="E3894" s="21" t="n">
        <x:f>IF(AND('Artifact Ledger'!Q1428="OPEN",'Artifact Ledger'!R1428="HOLD"),1,0)</x:f>
        <x:v>1</x:v>
      </x:c>
      <x:c r="F3894" s="21" t="n">
        <x:v>1</x:v>
      </x:c>
      <x:c r="G3894" s="23" t="str">
        <x:f>IF(E3894=F3894,"PASS","FAIL")</x:f>
        <x:v>PASS</x:v>
      </x:c>
    </x:row>
    <x:row r="3895">
      <x:c r="B3895" s="21" t="str">
        <x:v>A03889</x:v>
      </x:c>
      <x:c r="C3895" s="21" t="str">
        <x:v>artifact</x:v>
      </x:c>
      <x:c r="D3895" s="21" t="str">
        <x:v>artifact 1423 eligibility equation</x:v>
      </x:c>
      <x:c r="E3895" s="21" t="n">
        <x:f>IF(ABS('Artifact Ledger'!P1429-IF(AND('Artifact Ledger'!L1429=1,'Artifact Ledger'!M1429=1,'Artifact Ledger'!N1429=1,'Artifact Ledger'!O1429&gt;='Artifact Ledger'!G1429),'Artifact Ledger'!K1429,0))&lt;0.000001,1,0)</x:f>
        <x:v>1</x:v>
      </x:c>
      <x:c r="F3895" s="21" t="n">
        <x:v>1</x:v>
      </x:c>
      <x:c r="G3895" s="23" t="str">
        <x:f>IF(E3895=F3895,"PASS","FAIL")</x:f>
        <x:v>PASS</x:v>
      </x:c>
    </x:row>
    <x:row r="3896">
      <x:c r="B3896" s="21" t="str">
        <x:v>A03890</x:v>
      </x:c>
      <x:c r="C3896" s="21" t="str">
        <x:v>artifact</x:v>
      </x:c>
      <x:c r="D3896" s="21" t="str">
        <x:v>artifact 1423 planning state</x:v>
      </x:c>
      <x:c r="E3896" s="21" t="n">
        <x:f>IF(AND('Artifact Ledger'!Q1429="OPEN",'Artifact Ledger'!R1429="HOLD"),1,0)</x:f>
        <x:v>1</x:v>
      </x:c>
      <x:c r="F3896" s="21" t="n">
        <x:v>1</x:v>
      </x:c>
      <x:c r="G3896" s="23" t="str">
        <x:f>IF(E3896=F3896,"PASS","FAIL")</x:f>
        <x:v>PASS</x:v>
      </x:c>
    </x:row>
    <x:row r="3897">
      <x:c r="B3897" s="21" t="str">
        <x:v>A03891</x:v>
      </x:c>
      <x:c r="C3897" s="21" t="str">
        <x:v>artifact</x:v>
      </x:c>
      <x:c r="D3897" s="21" t="str">
        <x:v>artifact 1424 eligibility equation</x:v>
      </x:c>
      <x:c r="E3897" s="21" t="n">
        <x:f>IF(ABS('Artifact Ledger'!P1430-IF(AND('Artifact Ledger'!L1430=1,'Artifact Ledger'!M1430=1,'Artifact Ledger'!N1430=1,'Artifact Ledger'!O1430&gt;='Artifact Ledger'!G1430),'Artifact Ledger'!K1430,0))&lt;0.000001,1,0)</x:f>
        <x:v>1</x:v>
      </x:c>
      <x:c r="F3897" s="21" t="n">
        <x:v>1</x:v>
      </x:c>
      <x:c r="G3897" s="23" t="str">
        <x:f>IF(E3897=F3897,"PASS","FAIL")</x:f>
        <x:v>PASS</x:v>
      </x:c>
    </x:row>
    <x:row r="3898">
      <x:c r="B3898" s="21" t="str">
        <x:v>A03892</x:v>
      </x:c>
      <x:c r="C3898" s="21" t="str">
        <x:v>artifact</x:v>
      </x:c>
      <x:c r="D3898" s="21" t="str">
        <x:v>artifact 1424 planning state</x:v>
      </x:c>
      <x:c r="E3898" s="21" t="n">
        <x:f>IF(AND('Artifact Ledger'!Q1430="OPEN",'Artifact Ledger'!R1430="HOLD"),1,0)</x:f>
        <x:v>1</x:v>
      </x:c>
      <x:c r="F3898" s="21" t="n">
        <x:v>1</x:v>
      </x:c>
      <x:c r="G3898" s="23" t="str">
        <x:f>IF(E3898=F3898,"PASS","FAIL")</x:f>
        <x:v>PASS</x:v>
      </x:c>
    </x:row>
    <x:row r="3899">
      <x:c r="B3899" s="21" t="str">
        <x:v>A03893</x:v>
      </x:c>
      <x:c r="C3899" s="21" t="str">
        <x:v>artifact</x:v>
      </x:c>
      <x:c r="D3899" s="21" t="str">
        <x:v>artifact 1425 eligibility equation</x:v>
      </x:c>
      <x:c r="E3899" s="21" t="n">
        <x:f>IF(ABS('Artifact Ledger'!P1431-IF(AND('Artifact Ledger'!L1431=1,'Artifact Ledger'!M1431=1,'Artifact Ledger'!N1431=1,'Artifact Ledger'!O1431&gt;='Artifact Ledger'!G1431),'Artifact Ledger'!K1431,0))&lt;0.000001,1,0)</x:f>
        <x:v>1</x:v>
      </x:c>
      <x:c r="F3899" s="21" t="n">
        <x:v>1</x:v>
      </x:c>
      <x:c r="G3899" s="23" t="str">
        <x:f>IF(E3899=F3899,"PASS","FAIL")</x:f>
        <x:v>PASS</x:v>
      </x:c>
    </x:row>
    <x:row r="3900">
      <x:c r="B3900" s="21" t="str">
        <x:v>A03894</x:v>
      </x:c>
      <x:c r="C3900" s="21" t="str">
        <x:v>artifact</x:v>
      </x:c>
      <x:c r="D3900" s="21" t="str">
        <x:v>artifact 1425 planning state</x:v>
      </x:c>
      <x:c r="E3900" s="21" t="n">
        <x:f>IF(AND('Artifact Ledger'!Q1431="OPEN",'Artifact Ledger'!R1431="HOLD"),1,0)</x:f>
        <x:v>1</x:v>
      </x:c>
      <x:c r="F3900" s="21" t="n">
        <x:v>1</x:v>
      </x:c>
      <x:c r="G3900" s="23" t="str">
        <x:f>IF(E3900=F3900,"PASS","FAIL")</x:f>
        <x:v>PASS</x:v>
      </x:c>
    </x:row>
    <x:row r="3901">
      <x:c r="B3901" s="21" t="str">
        <x:v>A03895</x:v>
      </x:c>
      <x:c r="C3901" s="21" t="str">
        <x:v>artifact</x:v>
      </x:c>
      <x:c r="D3901" s="21" t="str">
        <x:v>artifact 1426 eligibility equation</x:v>
      </x:c>
      <x:c r="E3901" s="21" t="n">
        <x:f>IF(ABS('Artifact Ledger'!P1432-IF(AND('Artifact Ledger'!L1432=1,'Artifact Ledger'!M1432=1,'Artifact Ledger'!N1432=1,'Artifact Ledger'!O1432&gt;='Artifact Ledger'!G1432),'Artifact Ledger'!K1432,0))&lt;0.000001,1,0)</x:f>
        <x:v>1</x:v>
      </x:c>
      <x:c r="F3901" s="21" t="n">
        <x:v>1</x:v>
      </x:c>
      <x:c r="G3901" s="23" t="str">
        <x:f>IF(E3901=F3901,"PASS","FAIL")</x:f>
        <x:v>PASS</x:v>
      </x:c>
    </x:row>
    <x:row r="3902">
      <x:c r="B3902" s="21" t="str">
        <x:v>A03896</x:v>
      </x:c>
      <x:c r="C3902" s="21" t="str">
        <x:v>artifact</x:v>
      </x:c>
      <x:c r="D3902" s="21" t="str">
        <x:v>artifact 1426 planning state</x:v>
      </x:c>
      <x:c r="E3902" s="21" t="n">
        <x:f>IF(AND('Artifact Ledger'!Q1432="OPEN",'Artifact Ledger'!R1432="HOLD"),1,0)</x:f>
        <x:v>1</x:v>
      </x:c>
      <x:c r="F3902" s="21" t="n">
        <x:v>1</x:v>
      </x:c>
      <x:c r="G3902" s="23" t="str">
        <x:f>IF(E3902=F3902,"PASS","FAIL")</x:f>
        <x:v>PASS</x:v>
      </x:c>
    </x:row>
    <x:row r="3903">
      <x:c r="B3903" s="21" t="str">
        <x:v>A03897</x:v>
      </x:c>
      <x:c r="C3903" s="21" t="str">
        <x:v>artifact</x:v>
      </x:c>
      <x:c r="D3903" s="21" t="str">
        <x:v>artifact 1427 eligibility equation</x:v>
      </x:c>
      <x:c r="E3903" s="21" t="n">
        <x:f>IF(ABS('Artifact Ledger'!P1433-IF(AND('Artifact Ledger'!L1433=1,'Artifact Ledger'!M1433=1,'Artifact Ledger'!N1433=1,'Artifact Ledger'!O1433&gt;='Artifact Ledger'!G1433),'Artifact Ledger'!K1433,0))&lt;0.000001,1,0)</x:f>
        <x:v>1</x:v>
      </x:c>
      <x:c r="F3903" s="21" t="n">
        <x:v>1</x:v>
      </x:c>
      <x:c r="G3903" s="23" t="str">
        <x:f>IF(E3903=F3903,"PASS","FAIL")</x:f>
        <x:v>PASS</x:v>
      </x:c>
    </x:row>
    <x:row r="3904">
      <x:c r="B3904" s="21" t="str">
        <x:v>A03898</x:v>
      </x:c>
      <x:c r="C3904" s="21" t="str">
        <x:v>artifact</x:v>
      </x:c>
      <x:c r="D3904" s="21" t="str">
        <x:v>artifact 1427 planning state</x:v>
      </x:c>
      <x:c r="E3904" s="21" t="n">
        <x:f>IF(AND('Artifact Ledger'!Q1433="OPEN",'Artifact Ledger'!R1433="HOLD"),1,0)</x:f>
        <x:v>1</x:v>
      </x:c>
      <x:c r="F3904" s="21" t="n">
        <x:v>1</x:v>
      </x:c>
      <x:c r="G3904" s="23" t="str">
        <x:f>IF(E3904=F3904,"PASS","FAIL")</x:f>
        <x:v>PASS</x:v>
      </x:c>
    </x:row>
    <x:row r="3905">
      <x:c r="B3905" s="21" t="str">
        <x:v>A03899</x:v>
      </x:c>
      <x:c r="C3905" s="21" t="str">
        <x:v>artifact</x:v>
      </x:c>
      <x:c r="D3905" s="21" t="str">
        <x:v>artifact 1428 eligibility equation</x:v>
      </x:c>
      <x:c r="E3905" s="21" t="n">
        <x:f>IF(ABS('Artifact Ledger'!P1434-IF(AND('Artifact Ledger'!L1434=1,'Artifact Ledger'!M1434=1,'Artifact Ledger'!N1434=1,'Artifact Ledger'!O1434&gt;='Artifact Ledger'!G1434),'Artifact Ledger'!K1434,0))&lt;0.000001,1,0)</x:f>
        <x:v>1</x:v>
      </x:c>
      <x:c r="F3905" s="21" t="n">
        <x:v>1</x:v>
      </x:c>
      <x:c r="G3905" s="23" t="str">
        <x:f>IF(E3905=F3905,"PASS","FAIL")</x:f>
        <x:v>PASS</x:v>
      </x:c>
    </x:row>
    <x:row r="3906">
      <x:c r="B3906" s="21" t="str">
        <x:v>A03900</x:v>
      </x:c>
      <x:c r="C3906" s="21" t="str">
        <x:v>artifact</x:v>
      </x:c>
      <x:c r="D3906" s="21" t="str">
        <x:v>artifact 1428 planning state</x:v>
      </x:c>
      <x:c r="E3906" s="21" t="n">
        <x:f>IF(AND('Artifact Ledger'!Q1434="OPEN",'Artifact Ledger'!R1434="HOLD"),1,0)</x:f>
        <x:v>1</x:v>
      </x:c>
      <x:c r="F3906" s="21" t="n">
        <x:v>1</x:v>
      </x:c>
      <x:c r="G3906" s="23" t="str">
        <x:f>IF(E3906=F3906,"PASS","FAIL")</x:f>
        <x:v>PASS</x:v>
      </x:c>
    </x:row>
    <x:row r="3907">
      <x:c r="B3907" s="21" t="str">
        <x:v>A03901</x:v>
      </x:c>
      <x:c r="C3907" s="21" t="str">
        <x:v>artifact</x:v>
      </x:c>
      <x:c r="D3907" s="21" t="str">
        <x:v>artifact 1429 eligibility equation</x:v>
      </x:c>
      <x:c r="E3907" s="21" t="n">
        <x:f>IF(ABS('Artifact Ledger'!P1435-IF(AND('Artifact Ledger'!L1435=1,'Artifact Ledger'!M1435=1,'Artifact Ledger'!N1435=1,'Artifact Ledger'!O1435&gt;='Artifact Ledger'!G1435),'Artifact Ledger'!K1435,0))&lt;0.000001,1,0)</x:f>
        <x:v>1</x:v>
      </x:c>
      <x:c r="F3907" s="21" t="n">
        <x:v>1</x:v>
      </x:c>
      <x:c r="G3907" s="23" t="str">
        <x:f>IF(E3907=F3907,"PASS","FAIL")</x:f>
        <x:v>PASS</x:v>
      </x:c>
    </x:row>
    <x:row r="3908">
      <x:c r="B3908" s="21" t="str">
        <x:v>A03902</x:v>
      </x:c>
      <x:c r="C3908" s="21" t="str">
        <x:v>artifact</x:v>
      </x:c>
      <x:c r="D3908" s="21" t="str">
        <x:v>artifact 1429 planning state</x:v>
      </x:c>
      <x:c r="E3908" s="21" t="n">
        <x:f>IF(AND('Artifact Ledger'!Q1435="OPEN",'Artifact Ledger'!R1435="HOLD"),1,0)</x:f>
        <x:v>1</x:v>
      </x:c>
      <x:c r="F3908" s="21" t="n">
        <x:v>1</x:v>
      </x:c>
      <x:c r="G3908" s="23" t="str">
        <x:f>IF(E3908=F3908,"PASS","FAIL")</x:f>
        <x:v>PASS</x:v>
      </x:c>
    </x:row>
    <x:row r="3909">
      <x:c r="B3909" s="21" t="str">
        <x:v>A03903</x:v>
      </x:c>
      <x:c r="C3909" s="21" t="str">
        <x:v>artifact</x:v>
      </x:c>
      <x:c r="D3909" s="21" t="str">
        <x:v>artifact 1430 eligibility equation</x:v>
      </x:c>
      <x:c r="E3909" s="21" t="n">
        <x:f>IF(ABS('Artifact Ledger'!P1436-IF(AND('Artifact Ledger'!L1436=1,'Artifact Ledger'!M1436=1,'Artifact Ledger'!N1436=1,'Artifact Ledger'!O1436&gt;='Artifact Ledger'!G1436),'Artifact Ledger'!K1436,0))&lt;0.000001,1,0)</x:f>
        <x:v>1</x:v>
      </x:c>
      <x:c r="F3909" s="21" t="n">
        <x:v>1</x:v>
      </x:c>
      <x:c r="G3909" s="23" t="str">
        <x:f>IF(E3909=F3909,"PASS","FAIL")</x:f>
        <x:v>PASS</x:v>
      </x:c>
    </x:row>
    <x:row r="3910">
      <x:c r="B3910" s="21" t="str">
        <x:v>A03904</x:v>
      </x:c>
      <x:c r="C3910" s="21" t="str">
        <x:v>artifact</x:v>
      </x:c>
      <x:c r="D3910" s="21" t="str">
        <x:v>artifact 1430 planning state</x:v>
      </x:c>
      <x:c r="E3910" s="21" t="n">
        <x:f>IF(AND('Artifact Ledger'!Q1436="OPEN",'Artifact Ledger'!R1436="HOLD"),1,0)</x:f>
        <x:v>1</x:v>
      </x:c>
      <x:c r="F3910" s="21" t="n">
        <x:v>1</x:v>
      </x:c>
      <x:c r="G3910" s="23" t="str">
        <x:f>IF(E3910=F3910,"PASS","FAIL")</x:f>
        <x:v>PASS</x:v>
      </x:c>
    </x:row>
    <x:row r="3911">
      <x:c r="B3911" s="21" t="str">
        <x:v>A03905</x:v>
      </x:c>
      <x:c r="C3911" s="21" t="str">
        <x:v>artifact</x:v>
      </x:c>
      <x:c r="D3911" s="21" t="str">
        <x:v>artifact 1431 eligibility equation</x:v>
      </x:c>
      <x:c r="E3911" s="21" t="n">
        <x:f>IF(ABS('Artifact Ledger'!P1437-IF(AND('Artifact Ledger'!L1437=1,'Artifact Ledger'!M1437=1,'Artifact Ledger'!N1437=1,'Artifact Ledger'!O1437&gt;='Artifact Ledger'!G1437),'Artifact Ledger'!K1437,0))&lt;0.000001,1,0)</x:f>
        <x:v>1</x:v>
      </x:c>
      <x:c r="F3911" s="21" t="n">
        <x:v>1</x:v>
      </x:c>
      <x:c r="G3911" s="23" t="str">
        <x:f>IF(E3911=F3911,"PASS","FAIL")</x:f>
        <x:v>PASS</x:v>
      </x:c>
    </x:row>
    <x:row r="3912">
      <x:c r="B3912" s="21" t="str">
        <x:v>A03906</x:v>
      </x:c>
      <x:c r="C3912" s="21" t="str">
        <x:v>artifact</x:v>
      </x:c>
      <x:c r="D3912" s="21" t="str">
        <x:v>artifact 1431 planning state</x:v>
      </x:c>
      <x:c r="E3912" s="21" t="n">
        <x:f>IF(AND('Artifact Ledger'!Q1437="OPEN",'Artifact Ledger'!R1437="HOLD"),1,0)</x:f>
        <x:v>1</x:v>
      </x:c>
      <x:c r="F3912" s="21" t="n">
        <x:v>1</x:v>
      </x:c>
      <x:c r="G3912" s="23" t="str">
        <x:f>IF(E3912=F3912,"PASS","FAIL")</x:f>
        <x:v>PASS</x:v>
      </x:c>
    </x:row>
    <x:row r="3913">
      <x:c r="B3913" s="21" t="str">
        <x:v>A03907</x:v>
      </x:c>
      <x:c r="C3913" s="21" t="str">
        <x:v>artifact</x:v>
      </x:c>
      <x:c r="D3913" s="21" t="str">
        <x:v>artifact 1432 eligibility equation</x:v>
      </x:c>
      <x:c r="E3913" s="21" t="n">
        <x:f>IF(ABS('Artifact Ledger'!P1438-IF(AND('Artifact Ledger'!L1438=1,'Artifact Ledger'!M1438=1,'Artifact Ledger'!N1438=1,'Artifact Ledger'!O1438&gt;='Artifact Ledger'!G1438),'Artifact Ledger'!K1438,0))&lt;0.000001,1,0)</x:f>
        <x:v>1</x:v>
      </x:c>
      <x:c r="F3913" s="21" t="n">
        <x:v>1</x:v>
      </x:c>
      <x:c r="G3913" s="23" t="str">
        <x:f>IF(E3913=F3913,"PASS","FAIL")</x:f>
        <x:v>PASS</x:v>
      </x:c>
    </x:row>
    <x:row r="3914">
      <x:c r="B3914" s="21" t="str">
        <x:v>A03908</x:v>
      </x:c>
      <x:c r="C3914" s="21" t="str">
        <x:v>artifact</x:v>
      </x:c>
      <x:c r="D3914" s="21" t="str">
        <x:v>artifact 1432 planning state</x:v>
      </x:c>
      <x:c r="E3914" s="21" t="n">
        <x:f>IF(AND('Artifact Ledger'!Q1438="OPEN",'Artifact Ledger'!R1438="HOLD"),1,0)</x:f>
        <x:v>1</x:v>
      </x:c>
      <x:c r="F3914" s="21" t="n">
        <x:v>1</x:v>
      </x:c>
      <x:c r="G3914" s="23" t="str">
        <x:f>IF(E3914=F3914,"PASS","FAIL")</x:f>
        <x:v>PASS</x:v>
      </x:c>
    </x:row>
    <x:row r="3915">
      <x:c r="B3915" s="21" t="str">
        <x:v>A03909</x:v>
      </x:c>
      <x:c r="C3915" s="21" t="str">
        <x:v>artifact</x:v>
      </x:c>
      <x:c r="D3915" s="21" t="str">
        <x:v>artifact 1433 eligibility equation</x:v>
      </x:c>
      <x:c r="E3915" s="21" t="n">
        <x:f>IF(ABS('Artifact Ledger'!P1439-IF(AND('Artifact Ledger'!L1439=1,'Artifact Ledger'!M1439=1,'Artifact Ledger'!N1439=1,'Artifact Ledger'!O1439&gt;='Artifact Ledger'!G1439),'Artifact Ledger'!K1439,0))&lt;0.000001,1,0)</x:f>
        <x:v>1</x:v>
      </x:c>
      <x:c r="F3915" s="21" t="n">
        <x:v>1</x:v>
      </x:c>
      <x:c r="G3915" s="23" t="str">
        <x:f>IF(E3915=F3915,"PASS","FAIL")</x:f>
        <x:v>PASS</x:v>
      </x:c>
    </x:row>
    <x:row r="3916">
      <x:c r="B3916" s="21" t="str">
        <x:v>A03910</x:v>
      </x:c>
      <x:c r="C3916" s="21" t="str">
        <x:v>artifact</x:v>
      </x:c>
      <x:c r="D3916" s="21" t="str">
        <x:v>artifact 1433 planning state</x:v>
      </x:c>
      <x:c r="E3916" s="21" t="n">
        <x:f>IF(AND('Artifact Ledger'!Q1439="OPEN",'Artifact Ledger'!R1439="HOLD"),1,0)</x:f>
        <x:v>1</x:v>
      </x:c>
      <x:c r="F3916" s="21" t="n">
        <x:v>1</x:v>
      </x:c>
      <x:c r="G3916" s="23" t="str">
        <x:f>IF(E3916=F3916,"PASS","FAIL")</x:f>
        <x:v>PASS</x:v>
      </x:c>
    </x:row>
    <x:row r="3917">
      <x:c r="B3917" s="21" t="str">
        <x:v>A03911</x:v>
      </x:c>
      <x:c r="C3917" s="21" t="str">
        <x:v>artifact</x:v>
      </x:c>
      <x:c r="D3917" s="21" t="str">
        <x:v>artifact 1434 eligibility equation</x:v>
      </x:c>
      <x:c r="E3917" s="21" t="n">
        <x:f>IF(ABS('Artifact Ledger'!P1440-IF(AND('Artifact Ledger'!L1440=1,'Artifact Ledger'!M1440=1,'Artifact Ledger'!N1440=1,'Artifact Ledger'!O1440&gt;='Artifact Ledger'!G1440),'Artifact Ledger'!K1440,0))&lt;0.000001,1,0)</x:f>
        <x:v>1</x:v>
      </x:c>
      <x:c r="F3917" s="21" t="n">
        <x:v>1</x:v>
      </x:c>
      <x:c r="G3917" s="23" t="str">
        <x:f>IF(E3917=F3917,"PASS","FAIL")</x:f>
        <x:v>PASS</x:v>
      </x:c>
    </x:row>
    <x:row r="3918">
      <x:c r="B3918" s="21" t="str">
        <x:v>A03912</x:v>
      </x:c>
      <x:c r="C3918" s="21" t="str">
        <x:v>artifact</x:v>
      </x:c>
      <x:c r="D3918" s="21" t="str">
        <x:v>artifact 1434 planning state</x:v>
      </x:c>
      <x:c r="E3918" s="21" t="n">
        <x:f>IF(AND('Artifact Ledger'!Q1440="OPEN",'Artifact Ledger'!R1440="HOLD"),1,0)</x:f>
        <x:v>1</x:v>
      </x:c>
      <x:c r="F3918" s="21" t="n">
        <x:v>1</x:v>
      </x:c>
      <x:c r="G3918" s="23" t="str">
        <x:f>IF(E3918=F3918,"PASS","FAIL")</x:f>
        <x:v>PASS</x:v>
      </x:c>
    </x:row>
    <x:row r="3919">
      <x:c r="B3919" s="21" t="str">
        <x:v>A03913</x:v>
      </x:c>
      <x:c r="C3919" s="21" t="str">
        <x:v>artifact</x:v>
      </x:c>
      <x:c r="D3919" s="21" t="str">
        <x:v>artifact 1435 eligibility equation</x:v>
      </x:c>
      <x:c r="E3919" s="21" t="n">
        <x:f>IF(ABS('Artifact Ledger'!P1441-IF(AND('Artifact Ledger'!L1441=1,'Artifact Ledger'!M1441=1,'Artifact Ledger'!N1441=1,'Artifact Ledger'!O1441&gt;='Artifact Ledger'!G1441),'Artifact Ledger'!K1441,0))&lt;0.000001,1,0)</x:f>
        <x:v>1</x:v>
      </x:c>
      <x:c r="F3919" s="21" t="n">
        <x:v>1</x:v>
      </x:c>
      <x:c r="G3919" s="23" t="str">
        <x:f>IF(E3919=F3919,"PASS","FAIL")</x:f>
        <x:v>PASS</x:v>
      </x:c>
    </x:row>
    <x:row r="3920">
      <x:c r="B3920" s="21" t="str">
        <x:v>A03914</x:v>
      </x:c>
      <x:c r="C3920" s="21" t="str">
        <x:v>artifact</x:v>
      </x:c>
      <x:c r="D3920" s="21" t="str">
        <x:v>artifact 1435 planning state</x:v>
      </x:c>
      <x:c r="E3920" s="21" t="n">
        <x:f>IF(AND('Artifact Ledger'!Q1441="OPEN",'Artifact Ledger'!R1441="HOLD"),1,0)</x:f>
        <x:v>1</x:v>
      </x:c>
      <x:c r="F3920" s="21" t="n">
        <x:v>1</x:v>
      </x:c>
      <x:c r="G3920" s="23" t="str">
        <x:f>IF(E3920=F3920,"PASS","FAIL")</x:f>
        <x:v>PASS</x:v>
      </x:c>
    </x:row>
    <x:row r="3921">
      <x:c r="B3921" s="21" t="str">
        <x:v>A03915</x:v>
      </x:c>
      <x:c r="C3921" s="21" t="str">
        <x:v>artifact</x:v>
      </x:c>
      <x:c r="D3921" s="21" t="str">
        <x:v>artifact 1436 eligibility equation</x:v>
      </x:c>
      <x:c r="E3921" s="21" t="n">
        <x:f>IF(ABS('Artifact Ledger'!P1442-IF(AND('Artifact Ledger'!L1442=1,'Artifact Ledger'!M1442=1,'Artifact Ledger'!N1442=1,'Artifact Ledger'!O1442&gt;='Artifact Ledger'!G1442),'Artifact Ledger'!K1442,0))&lt;0.000001,1,0)</x:f>
        <x:v>1</x:v>
      </x:c>
      <x:c r="F3921" s="21" t="n">
        <x:v>1</x:v>
      </x:c>
      <x:c r="G3921" s="23" t="str">
        <x:f>IF(E3921=F3921,"PASS","FAIL")</x:f>
        <x:v>PASS</x:v>
      </x:c>
    </x:row>
    <x:row r="3922">
      <x:c r="B3922" s="21" t="str">
        <x:v>A03916</x:v>
      </x:c>
      <x:c r="C3922" s="21" t="str">
        <x:v>artifact</x:v>
      </x:c>
      <x:c r="D3922" s="21" t="str">
        <x:v>artifact 1436 planning state</x:v>
      </x:c>
      <x:c r="E3922" s="21" t="n">
        <x:f>IF(AND('Artifact Ledger'!Q1442="OPEN",'Artifact Ledger'!R1442="HOLD"),1,0)</x:f>
        <x:v>1</x:v>
      </x:c>
      <x:c r="F3922" s="21" t="n">
        <x:v>1</x:v>
      </x:c>
      <x:c r="G3922" s="23" t="str">
        <x:f>IF(E3922=F3922,"PASS","FAIL")</x:f>
        <x:v>PASS</x:v>
      </x:c>
    </x:row>
    <x:row r="3923">
      <x:c r="B3923" s="21" t="str">
        <x:v>A03917</x:v>
      </x:c>
      <x:c r="C3923" s="21" t="str">
        <x:v>artifact</x:v>
      </x:c>
      <x:c r="D3923" s="21" t="str">
        <x:v>artifact 1437 eligibility equation</x:v>
      </x:c>
      <x:c r="E3923" s="21" t="n">
        <x:f>IF(ABS('Artifact Ledger'!P1443-IF(AND('Artifact Ledger'!L1443=1,'Artifact Ledger'!M1443=1,'Artifact Ledger'!N1443=1,'Artifact Ledger'!O1443&gt;='Artifact Ledger'!G1443),'Artifact Ledger'!K1443,0))&lt;0.000001,1,0)</x:f>
        <x:v>1</x:v>
      </x:c>
      <x:c r="F3923" s="21" t="n">
        <x:v>1</x:v>
      </x:c>
      <x:c r="G3923" s="23" t="str">
        <x:f>IF(E3923=F3923,"PASS","FAIL")</x:f>
        <x:v>PASS</x:v>
      </x:c>
    </x:row>
    <x:row r="3924">
      <x:c r="B3924" s="21" t="str">
        <x:v>A03918</x:v>
      </x:c>
      <x:c r="C3924" s="21" t="str">
        <x:v>artifact</x:v>
      </x:c>
      <x:c r="D3924" s="21" t="str">
        <x:v>artifact 1437 planning state</x:v>
      </x:c>
      <x:c r="E3924" s="21" t="n">
        <x:f>IF(AND('Artifact Ledger'!Q1443="OPEN",'Artifact Ledger'!R1443="HOLD"),1,0)</x:f>
        <x:v>1</x:v>
      </x:c>
      <x:c r="F3924" s="21" t="n">
        <x:v>1</x:v>
      </x:c>
      <x:c r="G3924" s="23" t="str">
        <x:f>IF(E3924=F3924,"PASS","FAIL")</x:f>
        <x:v>PASS</x:v>
      </x:c>
    </x:row>
    <x:row r="3925">
      <x:c r="B3925" s="21" t="str">
        <x:v>A03919</x:v>
      </x:c>
      <x:c r="C3925" s="21" t="str">
        <x:v>artifact</x:v>
      </x:c>
      <x:c r="D3925" s="21" t="str">
        <x:v>artifact 1438 eligibility equation</x:v>
      </x:c>
      <x:c r="E3925" s="21" t="n">
        <x:f>IF(ABS('Artifact Ledger'!P1444-IF(AND('Artifact Ledger'!L1444=1,'Artifact Ledger'!M1444=1,'Artifact Ledger'!N1444=1,'Artifact Ledger'!O1444&gt;='Artifact Ledger'!G1444),'Artifact Ledger'!K1444,0))&lt;0.000001,1,0)</x:f>
        <x:v>1</x:v>
      </x:c>
      <x:c r="F3925" s="21" t="n">
        <x:v>1</x:v>
      </x:c>
      <x:c r="G3925" s="23" t="str">
        <x:f>IF(E3925=F3925,"PASS","FAIL")</x:f>
        <x:v>PASS</x:v>
      </x:c>
    </x:row>
    <x:row r="3926">
      <x:c r="B3926" s="21" t="str">
        <x:v>A03920</x:v>
      </x:c>
      <x:c r="C3926" s="21" t="str">
        <x:v>artifact</x:v>
      </x:c>
      <x:c r="D3926" s="21" t="str">
        <x:v>artifact 1438 planning state</x:v>
      </x:c>
      <x:c r="E3926" s="21" t="n">
        <x:f>IF(AND('Artifact Ledger'!Q1444="OPEN",'Artifact Ledger'!R1444="HOLD"),1,0)</x:f>
        <x:v>1</x:v>
      </x:c>
      <x:c r="F3926" s="21" t="n">
        <x:v>1</x:v>
      </x:c>
      <x:c r="G3926" s="23" t="str">
        <x:f>IF(E3926=F3926,"PASS","FAIL")</x:f>
        <x:v>PASS</x:v>
      </x:c>
    </x:row>
    <x:row r="3927">
      <x:c r="B3927" s="21" t="str">
        <x:v>A03921</x:v>
      </x:c>
      <x:c r="C3927" s="21" t="str">
        <x:v>artifact</x:v>
      </x:c>
      <x:c r="D3927" s="21" t="str">
        <x:v>artifact 1439 eligibility equation</x:v>
      </x:c>
      <x:c r="E3927" s="21" t="n">
        <x:f>IF(ABS('Artifact Ledger'!P1445-IF(AND('Artifact Ledger'!L1445=1,'Artifact Ledger'!M1445=1,'Artifact Ledger'!N1445=1,'Artifact Ledger'!O1445&gt;='Artifact Ledger'!G1445),'Artifact Ledger'!K1445,0))&lt;0.000001,1,0)</x:f>
        <x:v>1</x:v>
      </x:c>
      <x:c r="F3927" s="21" t="n">
        <x:v>1</x:v>
      </x:c>
      <x:c r="G3927" s="23" t="str">
        <x:f>IF(E3927=F3927,"PASS","FAIL")</x:f>
        <x:v>PASS</x:v>
      </x:c>
    </x:row>
    <x:row r="3928">
      <x:c r="B3928" s="21" t="str">
        <x:v>A03922</x:v>
      </x:c>
      <x:c r="C3928" s="21" t="str">
        <x:v>artifact</x:v>
      </x:c>
      <x:c r="D3928" s="21" t="str">
        <x:v>artifact 1439 planning state</x:v>
      </x:c>
      <x:c r="E3928" s="21" t="n">
        <x:f>IF(AND('Artifact Ledger'!Q1445="OPEN",'Artifact Ledger'!R1445="HOLD"),1,0)</x:f>
        <x:v>1</x:v>
      </x:c>
      <x:c r="F3928" s="21" t="n">
        <x:v>1</x:v>
      </x:c>
      <x:c r="G3928" s="23" t="str">
        <x:f>IF(E3928=F3928,"PASS","FAIL")</x:f>
        <x:v>PASS</x:v>
      </x:c>
    </x:row>
    <x:row r="3929">
      <x:c r="B3929" s="21" t="str">
        <x:v>A03923</x:v>
      </x:c>
      <x:c r="C3929" s="21" t="str">
        <x:v>artifact</x:v>
      </x:c>
      <x:c r="D3929" s="21" t="str">
        <x:v>artifact 1440 eligibility equation</x:v>
      </x:c>
      <x:c r="E3929" s="21" t="n">
        <x:f>IF(ABS('Artifact Ledger'!P1446-IF(AND('Artifact Ledger'!L1446=1,'Artifact Ledger'!M1446=1,'Artifact Ledger'!N1446=1,'Artifact Ledger'!O1446&gt;='Artifact Ledger'!G1446),'Artifact Ledger'!K1446,0))&lt;0.000001,1,0)</x:f>
        <x:v>1</x:v>
      </x:c>
      <x:c r="F3929" s="21" t="n">
        <x:v>1</x:v>
      </x:c>
      <x:c r="G3929" s="23" t="str">
        <x:f>IF(E3929=F3929,"PASS","FAIL")</x:f>
        <x:v>PASS</x:v>
      </x:c>
    </x:row>
    <x:row r="3930">
      <x:c r="B3930" s="21" t="str">
        <x:v>A03924</x:v>
      </x:c>
      <x:c r="C3930" s="21" t="str">
        <x:v>artifact</x:v>
      </x:c>
      <x:c r="D3930" s="21" t="str">
        <x:v>artifact 1440 planning state</x:v>
      </x:c>
      <x:c r="E3930" s="21" t="n">
        <x:f>IF(AND('Artifact Ledger'!Q1446="OPEN",'Artifact Ledger'!R1446="HOLD"),1,0)</x:f>
        <x:v>1</x:v>
      </x:c>
      <x:c r="F3930" s="21" t="n">
        <x:v>1</x:v>
      </x:c>
      <x:c r="G3930" s="23" t="str">
        <x:f>IF(E3930=F3930,"PASS","FAIL")</x:f>
        <x:v>PASS</x:v>
      </x:c>
    </x:row>
    <x:row r="3931">
      <x:c r="B3931" s="21" t="str">
        <x:v>A03925</x:v>
      </x:c>
      <x:c r="C3931" s="21" t="str">
        <x:v>artifact</x:v>
      </x:c>
      <x:c r="D3931" s="21" t="str">
        <x:v>artifact 1441 eligibility equation</x:v>
      </x:c>
      <x:c r="E3931" s="21" t="n">
        <x:f>IF(ABS('Artifact Ledger'!P1447-IF(AND('Artifact Ledger'!L1447=1,'Artifact Ledger'!M1447=1,'Artifact Ledger'!N1447=1,'Artifact Ledger'!O1447&gt;='Artifact Ledger'!G1447),'Artifact Ledger'!K1447,0))&lt;0.000001,1,0)</x:f>
        <x:v>1</x:v>
      </x:c>
      <x:c r="F3931" s="21" t="n">
        <x:v>1</x:v>
      </x:c>
      <x:c r="G3931" s="23" t="str">
        <x:f>IF(E3931=F3931,"PASS","FAIL")</x:f>
        <x:v>PASS</x:v>
      </x:c>
    </x:row>
    <x:row r="3932">
      <x:c r="B3932" s="21" t="str">
        <x:v>A03926</x:v>
      </x:c>
      <x:c r="C3932" s="21" t="str">
        <x:v>artifact</x:v>
      </x:c>
      <x:c r="D3932" s="21" t="str">
        <x:v>artifact 1441 planning state</x:v>
      </x:c>
      <x:c r="E3932" s="21" t="n">
        <x:f>IF(AND('Artifact Ledger'!Q1447="OPEN",'Artifact Ledger'!R1447="HOLD"),1,0)</x:f>
        <x:v>1</x:v>
      </x:c>
      <x:c r="F3932" s="21" t="n">
        <x:v>1</x:v>
      </x:c>
      <x:c r="G3932" s="23" t="str">
        <x:f>IF(E3932=F3932,"PASS","FAIL")</x:f>
        <x:v>PASS</x:v>
      </x:c>
    </x:row>
    <x:row r="3933">
      <x:c r="B3933" s="21" t="str">
        <x:v>A03927</x:v>
      </x:c>
      <x:c r="C3933" s="21" t="str">
        <x:v>artifact</x:v>
      </x:c>
      <x:c r="D3933" s="21" t="str">
        <x:v>artifact 1442 eligibility equation</x:v>
      </x:c>
      <x:c r="E3933" s="21" t="n">
        <x:f>IF(ABS('Artifact Ledger'!P1448-IF(AND('Artifact Ledger'!L1448=1,'Artifact Ledger'!M1448=1,'Artifact Ledger'!N1448=1,'Artifact Ledger'!O1448&gt;='Artifact Ledger'!G1448),'Artifact Ledger'!K1448,0))&lt;0.000001,1,0)</x:f>
        <x:v>1</x:v>
      </x:c>
      <x:c r="F3933" s="21" t="n">
        <x:v>1</x:v>
      </x:c>
      <x:c r="G3933" s="23" t="str">
        <x:f>IF(E3933=F3933,"PASS","FAIL")</x:f>
        <x:v>PASS</x:v>
      </x:c>
    </x:row>
    <x:row r="3934">
      <x:c r="B3934" s="21" t="str">
        <x:v>A03928</x:v>
      </x:c>
      <x:c r="C3934" s="21" t="str">
        <x:v>artifact</x:v>
      </x:c>
      <x:c r="D3934" s="21" t="str">
        <x:v>artifact 1442 planning state</x:v>
      </x:c>
      <x:c r="E3934" s="21" t="n">
        <x:f>IF(AND('Artifact Ledger'!Q1448="OPEN",'Artifact Ledger'!R1448="HOLD"),1,0)</x:f>
        <x:v>1</x:v>
      </x:c>
      <x:c r="F3934" s="21" t="n">
        <x:v>1</x:v>
      </x:c>
      <x:c r="G3934" s="23" t="str">
        <x:f>IF(E3934=F3934,"PASS","FAIL")</x:f>
        <x:v>PASS</x:v>
      </x:c>
    </x:row>
    <x:row r="3935">
      <x:c r="B3935" s="21" t="str">
        <x:v>A03929</x:v>
      </x:c>
      <x:c r="C3935" s="21" t="str">
        <x:v>artifact</x:v>
      </x:c>
      <x:c r="D3935" s="21" t="str">
        <x:v>artifact 1443 eligibility equation</x:v>
      </x:c>
      <x:c r="E3935" s="21" t="n">
        <x:f>IF(ABS('Artifact Ledger'!P1449-IF(AND('Artifact Ledger'!L1449=1,'Artifact Ledger'!M1449=1,'Artifact Ledger'!N1449=1,'Artifact Ledger'!O1449&gt;='Artifact Ledger'!G1449),'Artifact Ledger'!K1449,0))&lt;0.000001,1,0)</x:f>
        <x:v>1</x:v>
      </x:c>
      <x:c r="F3935" s="21" t="n">
        <x:v>1</x:v>
      </x:c>
      <x:c r="G3935" s="23" t="str">
        <x:f>IF(E3935=F3935,"PASS","FAIL")</x:f>
        <x:v>PASS</x:v>
      </x:c>
    </x:row>
    <x:row r="3936">
      <x:c r="B3936" s="21" t="str">
        <x:v>A03930</x:v>
      </x:c>
      <x:c r="C3936" s="21" t="str">
        <x:v>artifact</x:v>
      </x:c>
      <x:c r="D3936" s="21" t="str">
        <x:v>artifact 1443 planning state</x:v>
      </x:c>
      <x:c r="E3936" s="21" t="n">
        <x:f>IF(AND('Artifact Ledger'!Q1449="OPEN",'Artifact Ledger'!R1449="HOLD"),1,0)</x:f>
        <x:v>1</x:v>
      </x:c>
      <x:c r="F3936" s="21" t="n">
        <x:v>1</x:v>
      </x:c>
      <x:c r="G3936" s="23" t="str">
        <x:f>IF(E3936=F3936,"PASS","FAIL")</x:f>
        <x:v>PASS</x:v>
      </x:c>
    </x:row>
    <x:row r="3937">
      <x:c r="B3937" s="21" t="str">
        <x:v>A03931</x:v>
      </x:c>
      <x:c r="C3937" s="21" t="str">
        <x:v>artifact</x:v>
      </x:c>
      <x:c r="D3937" s="21" t="str">
        <x:v>artifact 1444 eligibility equation</x:v>
      </x:c>
      <x:c r="E3937" s="21" t="n">
        <x:f>IF(ABS('Artifact Ledger'!P1450-IF(AND('Artifact Ledger'!L1450=1,'Artifact Ledger'!M1450=1,'Artifact Ledger'!N1450=1,'Artifact Ledger'!O1450&gt;='Artifact Ledger'!G1450),'Artifact Ledger'!K1450,0))&lt;0.000001,1,0)</x:f>
        <x:v>1</x:v>
      </x:c>
      <x:c r="F3937" s="21" t="n">
        <x:v>1</x:v>
      </x:c>
      <x:c r="G3937" s="23" t="str">
        <x:f>IF(E3937=F3937,"PASS","FAIL")</x:f>
        <x:v>PASS</x:v>
      </x:c>
    </x:row>
    <x:row r="3938">
      <x:c r="B3938" s="21" t="str">
        <x:v>A03932</x:v>
      </x:c>
      <x:c r="C3938" s="21" t="str">
        <x:v>artifact</x:v>
      </x:c>
      <x:c r="D3938" s="21" t="str">
        <x:v>artifact 1444 planning state</x:v>
      </x:c>
      <x:c r="E3938" s="21" t="n">
        <x:f>IF(AND('Artifact Ledger'!Q1450="OPEN",'Artifact Ledger'!R1450="HOLD"),1,0)</x:f>
        <x:v>1</x:v>
      </x:c>
      <x:c r="F3938" s="21" t="n">
        <x:v>1</x:v>
      </x:c>
      <x:c r="G3938" s="23" t="str">
        <x:f>IF(E3938=F3938,"PASS","FAIL")</x:f>
        <x:v>PASS</x:v>
      </x:c>
    </x:row>
    <x:row r="3939">
      <x:c r="B3939" s="21" t="str">
        <x:v>A03933</x:v>
      </x:c>
      <x:c r="C3939" s="21" t="str">
        <x:v>artifact</x:v>
      </x:c>
      <x:c r="D3939" s="21" t="str">
        <x:v>artifact 1445 eligibility equation</x:v>
      </x:c>
      <x:c r="E3939" s="21" t="n">
        <x:f>IF(ABS('Artifact Ledger'!P1451-IF(AND('Artifact Ledger'!L1451=1,'Artifact Ledger'!M1451=1,'Artifact Ledger'!N1451=1,'Artifact Ledger'!O1451&gt;='Artifact Ledger'!G1451),'Artifact Ledger'!K1451,0))&lt;0.000001,1,0)</x:f>
        <x:v>1</x:v>
      </x:c>
      <x:c r="F3939" s="21" t="n">
        <x:v>1</x:v>
      </x:c>
      <x:c r="G3939" s="23" t="str">
        <x:f>IF(E3939=F3939,"PASS","FAIL")</x:f>
        <x:v>PASS</x:v>
      </x:c>
    </x:row>
    <x:row r="3940">
      <x:c r="B3940" s="21" t="str">
        <x:v>A03934</x:v>
      </x:c>
      <x:c r="C3940" s="21" t="str">
        <x:v>artifact</x:v>
      </x:c>
      <x:c r="D3940" s="21" t="str">
        <x:v>artifact 1445 planning state</x:v>
      </x:c>
      <x:c r="E3940" s="21" t="n">
        <x:f>IF(AND('Artifact Ledger'!Q1451="OPEN",'Artifact Ledger'!R1451="HOLD"),1,0)</x:f>
        <x:v>1</x:v>
      </x:c>
      <x:c r="F3940" s="21" t="n">
        <x:v>1</x:v>
      </x:c>
      <x:c r="G3940" s="23" t="str">
        <x:f>IF(E3940=F3940,"PASS","FAIL")</x:f>
        <x:v>PASS</x:v>
      </x:c>
    </x:row>
    <x:row r="3941">
      <x:c r="B3941" s="21" t="str">
        <x:v>A03935</x:v>
      </x:c>
      <x:c r="C3941" s="21" t="str">
        <x:v>artifact</x:v>
      </x:c>
      <x:c r="D3941" s="21" t="str">
        <x:v>artifact 1446 eligibility equation</x:v>
      </x:c>
      <x:c r="E3941" s="21" t="n">
        <x:f>IF(ABS('Artifact Ledger'!P1452-IF(AND('Artifact Ledger'!L1452=1,'Artifact Ledger'!M1452=1,'Artifact Ledger'!N1452=1,'Artifact Ledger'!O1452&gt;='Artifact Ledger'!G1452),'Artifact Ledger'!K1452,0))&lt;0.000001,1,0)</x:f>
        <x:v>1</x:v>
      </x:c>
      <x:c r="F3941" s="21" t="n">
        <x:v>1</x:v>
      </x:c>
      <x:c r="G3941" s="23" t="str">
        <x:f>IF(E3941=F3941,"PASS","FAIL")</x:f>
        <x:v>PASS</x:v>
      </x:c>
    </x:row>
    <x:row r="3942">
      <x:c r="B3942" s="21" t="str">
        <x:v>A03936</x:v>
      </x:c>
      <x:c r="C3942" s="21" t="str">
        <x:v>artifact</x:v>
      </x:c>
      <x:c r="D3942" s="21" t="str">
        <x:v>artifact 1446 planning state</x:v>
      </x:c>
      <x:c r="E3942" s="21" t="n">
        <x:f>IF(AND('Artifact Ledger'!Q1452="OPEN",'Artifact Ledger'!R1452="HOLD"),1,0)</x:f>
        <x:v>1</x:v>
      </x:c>
      <x:c r="F3942" s="21" t="n">
        <x:v>1</x:v>
      </x:c>
      <x:c r="G3942" s="23" t="str">
        <x:f>IF(E3942=F3942,"PASS","FAIL")</x:f>
        <x:v>PASS</x:v>
      </x:c>
    </x:row>
    <x:row r="3943">
      <x:c r="B3943" s="21" t="str">
        <x:v>A03937</x:v>
      </x:c>
      <x:c r="C3943" s="21" t="str">
        <x:v>artifact</x:v>
      </x:c>
      <x:c r="D3943" s="21" t="str">
        <x:v>artifact 1447 eligibility equation</x:v>
      </x:c>
      <x:c r="E3943" s="21" t="n">
        <x:f>IF(ABS('Artifact Ledger'!P1453-IF(AND('Artifact Ledger'!L1453=1,'Artifact Ledger'!M1453=1,'Artifact Ledger'!N1453=1,'Artifact Ledger'!O1453&gt;='Artifact Ledger'!G1453),'Artifact Ledger'!K1453,0))&lt;0.000001,1,0)</x:f>
        <x:v>1</x:v>
      </x:c>
      <x:c r="F3943" s="21" t="n">
        <x:v>1</x:v>
      </x:c>
      <x:c r="G3943" s="23" t="str">
        <x:f>IF(E3943=F3943,"PASS","FAIL")</x:f>
        <x:v>PASS</x:v>
      </x:c>
    </x:row>
    <x:row r="3944">
      <x:c r="B3944" s="21" t="str">
        <x:v>A03938</x:v>
      </x:c>
      <x:c r="C3944" s="21" t="str">
        <x:v>artifact</x:v>
      </x:c>
      <x:c r="D3944" s="21" t="str">
        <x:v>artifact 1447 planning state</x:v>
      </x:c>
      <x:c r="E3944" s="21" t="n">
        <x:f>IF(AND('Artifact Ledger'!Q1453="OPEN",'Artifact Ledger'!R1453="HOLD"),1,0)</x:f>
        <x:v>1</x:v>
      </x:c>
      <x:c r="F3944" s="21" t="n">
        <x:v>1</x:v>
      </x:c>
      <x:c r="G3944" s="23" t="str">
        <x:f>IF(E3944=F3944,"PASS","FAIL")</x:f>
        <x:v>PASS</x:v>
      </x:c>
    </x:row>
    <x:row r="3945">
      <x:c r="B3945" s="21" t="str">
        <x:v>A03939</x:v>
      </x:c>
      <x:c r="C3945" s="21" t="str">
        <x:v>artifact</x:v>
      </x:c>
      <x:c r="D3945" s="21" t="str">
        <x:v>artifact 1448 eligibility equation</x:v>
      </x:c>
      <x:c r="E3945" s="21" t="n">
        <x:f>IF(ABS('Artifact Ledger'!P1454-IF(AND('Artifact Ledger'!L1454=1,'Artifact Ledger'!M1454=1,'Artifact Ledger'!N1454=1,'Artifact Ledger'!O1454&gt;='Artifact Ledger'!G1454),'Artifact Ledger'!K1454,0))&lt;0.000001,1,0)</x:f>
        <x:v>1</x:v>
      </x:c>
      <x:c r="F3945" s="21" t="n">
        <x:v>1</x:v>
      </x:c>
      <x:c r="G3945" s="23" t="str">
        <x:f>IF(E3945=F3945,"PASS","FAIL")</x:f>
        <x:v>PASS</x:v>
      </x:c>
    </x:row>
    <x:row r="3946">
      <x:c r="B3946" s="21" t="str">
        <x:v>A03940</x:v>
      </x:c>
      <x:c r="C3946" s="21" t="str">
        <x:v>artifact</x:v>
      </x:c>
      <x:c r="D3946" s="21" t="str">
        <x:v>artifact 1448 planning state</x:v>
      </x:c>
      <x:c r="E3946" s="21" t="n">
        <x:f>IF(AND('Artifact Ledger'!Q1454="OPEN",'Artifact Ledger'!R1454="HOLD"),1,0)</x:f>
        <x:v>1</x:v>
      </x:c>
      <x:c r="F3946" s="21" t="n">
        <x:v>1</x:v>
      </x:c>
      <x:c r="G3946" s="23" t="str">
        <x:f>IF(E3946=F3946,"PASS","FAIL")</x:f>
        <x:v>PASS</x:v>
      </x:c>
    </x:row>
    <x:row r="3947">
      <x:c r="B3947" s="21" t="str">
        <x:v>A03941</x:v>
      </x:c>
      <x:c r="C3947" s="21" t="str">
        <x:v>artifact</x:v>
      </x:c>
      <x:c r="D3947" s="21" t="str">
        <x:v>artifact 1449 eligibility equation</x:v>
      </x:c>
      <x:c r="E3947" s="21" t="n">
        <x:f>IF(ABS('Artifact Ledger'!P1455-IF(AND('Artifact Ledger'!L1455=1,'Artifact Ledger'!M1455=1,'Artifact Ledger'!N1455=1,'Artifact Ledger'!O1455&gt;='Artifact Ledger'!G1455),'Artifact Ledger'!K1455,0))&lt;0.000001,1,0)</x:f>
        <x:v>1</x:v>
      </x:c>
      <x:c r="F3947" s="21" t="n">
        <x:v>1</x:v>
      </x:c>
      <x:c r="G3947" s="23" t="str">
        <x:f>IF(E3947=F3947,"PASS","FAIL")</x:f>
        <x:v>PASS</x:v>
      </x:c>
    </x:row>
    <x:row r="3948">
      <x:c r="B3948" s="21" t="str">
        <x:v>A03942</x:v>
      </x:c>
      <x:c r="C3948" s="21" t="str">
        <x:v>artifact</x:v>
      </x:c>
      <x:c r="D3948" s="21" t="str">
        <x:v>artifact 1449 planning state</x:v>
      </x:c>
      <x:c r="E3948" s="21" t="n">
        <x:f>IF(AND('Artifact Ledger'!Q1455="OPEN",'Artifact Ledger'!R1455="HOLD"),1,0)</x:f>
        <x:v>1</x:v>
      </x:c>
      <x:c r="F3948" s="21" t="n">
        <x:v>1</x:v>
      </x:c>
      <x:c r="G3948" s="23" t="str">
        <x:f>IF(E3948=F3948,"PASS","FAIL")</x:f>
        <x:v>PASS</x:v>
      </x:c>
    </x:row>
    <x:row r="3949">
      <x:c r="B3949" s="21" t="str">
        <x:v>A03943</x:v>
      </x:c>
      <x:c r="C3949" s="21" t="str">
        <x:v>artifact</x:v>
      </x:c>
      <x:c r="D3949" s="21" t="str">
        <x:v>artifact 1450 eligibility equation</x:v>
      </x:c>
      <x:c r="E3949" s="21" t="n">
        <x:f>IF(ABS('Artifact Ledger'!P1456-IF(AND('Artifact Ledger'!L1456=1,'Artifact Ledger'!M1456=1,'Artifact Ledger'!N1456=1,'Artifact Ledger'!O1456&gt;='Artifact Ledger'!G1456),'Artifact Ledger'!K1456,0))&lt;0.000001,1,0)</x:f>
        <x:v>1</x:v>
      </x:c>
      <x:c r="F3949" s="21" t="n">
        <x:v>1</x:v>
      </x:c>
      <x:c r="G3949" s="23" t="str">
        <x:f>IF(E3949=F3949,"PASS","FAIL")</x:f>
        <x:v>PASS</x:v>
      </x:c>
    </x:row>
    <x:row r="3950">
      <x:c r="B3950" s="21" t="str">
        <x:v>A03944</x:v>
      </x:c>
      <x:c r="C3950" s="21" t="str">
        <x:v>artifact</x:v>
      </x:c>
      <x:c r="D3950" s="21" t="str">
        <x:v>artifact 1450 planning state</x:v>
      </x:c>
      <x:c r="E3950" s="21" t="n">
        <x:f>IF(AND('Artifact Ledger'!Q1456="OPEN",'Artifact Ledger'!R1456="HOLD"),1,0)</x:f>
        <x:v>1</x:v>
      </x:c>
      <x:c r="F3950" s="21" t="n">
        <x:v>1</x:v>
      </x:c>
      <x:c r="G3950" s="23" t="str">
        <x:f>IF(E3950=F3950,"PASS","FAIL")</x:f>
        <x:v>PASS</x:v>
      </x:c>
    </x:row>
    <x:row r="3951">
      <x:c r="B3951" s="21" t="str">
        <x:v>A03945</x:v>
      </x:c>
      <x:c r="C3951" s="21" t="str">
        <x:v>artifact</x:v>
      </x:c>
      <x:c r="D3951" s="21" t="str">
        <x:v>artifact 1451 eligibility equation</x:v>
      </x:c>
      <x:c r="E3951" s="21" t="n">
        <x:f>IF(ABS('Artifact Ledger'!P1457-IF(AND('Artifact Ledger'!L1457=1,'Artifact Ledger'!M1457=1,'Artifact Ledger'!N1457=1,'Artifact Ledger'!O1457&gt;='Artifact Ledger'!G1457),'Artifact Ledger'!K1457,0))&lt;0.000001,1,0)</x:f>
        <x:v>1</x:v>
      </x:c>
      <x:c r="F3951" s="21" t="n">
        <x:v>1</x:v>
      </x:c>
      <x:c r="G3951" s="23" t="str">
        <x:f>IF(E3951=F3951,"PASS","FAIL")</x:f>
        <x:v>PASS</x:v>
      </x:c>
    </x:row>
    <x:row r="3952">
      <x:c r="B3952" s="21" t="str">
        <x:v>A03946</x:v>
      </x:c>
      <x:c r="C3952" s="21" t="str">
        <x:v>artifact</x:v>
      </x:c>
      <x:c r="D3952" s="21" t="str">
        <x:v>artifact 1451 planning state</x:v>
      </x:c>
      <x:c r="E3952" s="21" t="n">
        <x:f>IF(AND('Artifact Ledger'!Q1457="OPEN",'Artifact Ledger'!R1457="HOLD"),1,0)</x:f>
        <x:v>1</x:v>
      </x:c>
      <x:c r="F3952" s="21" t="n">
        <x:v>1</x:v>
      </x:c>
      <x:c r="G3952" s="23" t="str">
        <x:f>IF(E3952=F3952,"PASS","FAIL")</x:f>
        <x:v>PASS</x:v>
      </x:c>
    </x:row>
    <x:row r="3953">
      <x:c r="B3953" s="21" t="str">
        <x:v>A03947</x:v>
      </x:c>
      <x:c r="C3953" s="21" t="str">
        <x:v>artifact</x:v>
      </x:c>
      <x:c r="D3953" s="21" t="str">
        <x:v>artifact 1452 eligibility equation</x:v>
      </x:c>
      <x:c r="E3953" s="21" t="n">
        <x:f>IF(ABS('Artifact Ledger'!P1458-IF(AND('Artifact Ledger'!L1458=1,'Artifact Ledger'!M1458=1,'Artifact Ledger'!N1458=1,'Artifact Ledger'!O1458&gt;='Artifact Ledger'!G1458),'Artifact Ledger'!K1458,0))&lt;0.000001,1,0)</x:f>
        <x:v>1</x:v>
      </x:c>
      <x:c r="F3953" s="21" t="n">
        <x:v>1</x:v>
      </x:c>
      <x:c r="G3953" s="23" t="str">
        <x:f>IF(E3953=F3953,"PASS","FAIL")</x:f>
        <x:v>PASS</x:v>
      </x:c>
    </x:row>
    <x:row r="3954">
      <x:c r="B3954" s="21" t="str">
        <x:v>A03948</x:v>
      </x:c>
      <x:c r="C3954" s="21" t="str">
        <x:v>artifact</x:v>
      </x:c>
      <x:c r="D3954" s="21" t="str">
        <x:v>artifact 1452 planning state</x:v>
      </x:c>
      <x:c r="E3954" s="21" t="n">
        <x:f>IF(AND('Artifact Ledger'!Q1458="OPEN",'Artifact Ledger'!R1458="HOLD"),1,0)</x:f>
        <x:v>1</x:v>
      </x:c>
      <x:c r="F3954" s="21" t="n">
        <x:v>1</x:v>
      </x:c>
      <x:c r="G3954" s="23" t="str">
        <x:f>IF(E3954=F3954,"PASS","FAIL")</x:f>
        <x:v>PASS</x:v>
      </x:c>
    </x:row>
    <x:row r="3955">
      <x:c r="B3955" s="21" t="str">
        <x:v>A03949</x:v>
      </x:c>
      <x:c r="C3955" s="21" t="str">
        <x:v>artifact</x:v>
      </x:c>
      <x:c r="D3955" s="21" t="str">
        <x:v>artifact 1453 eligibility equation</x:v>
      </x:c>
      <x:c r="E3955" s="21" t="n">
        <x:f>IF(ABS('Artifact Ledger'!P1459-IF(AND('Artifact Ledger'!L1459=1,'Artifact Ledger'!M1459=1,'Artifact Ledger'!N1459=1,'Artifact Ledger'!O1459&gt;='Artifact Ledger'!G1459),'Artifact Ledger'!K1459,0))&lt;0.000001,1,0)</x:f>
        <x:v>1</x:v>
      </x:c>
      <x:c r="F3955" s="21" t="n">
        <x:v>1</x:v>
      </x:c>
      <x:c r="G3955" s="23" t="str">
        <x:f>IF(E3955=F3955,"PASS","FAIL")</x:f>
        <x:v>PASS</x:v>
      </x:c>
    </x:row>
    <x:row r="3956">
      <x:c r="B3956" s="21" t="str">
        <x:v>A03950</x:v>
      </x:c>
      <x:c r="C3956" s="21" t="str">
        <x:v>artifact</x:v>
      </x:c>
      <x:c r="D3956" s="21" t="str">
        <x:v>artifact 1453 planning state</x:v>
      </x:c>
      <x:c r="E3956" s="21" t="n">
        <x:f>IF(AND('Artifact Ledger'!Q1459="OPEN",'Artifact Ledger'!R1459="HOLD"),1,0)</x:f>
        <x:v>1</x:v>
      </x:c>
      <x:c r="F3956" s="21" t="n">
        <x:v>1</x:v>
      </x:c>
      <x:c r="G3956" s="23" t="str">
        <x:f>IF(E3956=F3956,"PASS","FAIL")</x:f>
        <x:v>PASS</x:v>
      </x:c>
    </x:row>
    <x:row r="3957">
      <x:c r="B3957" s="21" t="str">
        <x:v>A03951</x:v>
      </x:c>
      <x:c r="C3957" s="21" t="str">
        <x:v>artifact</x:v>
      </x:c>
      <x:c r="D3957" s="21" t="str">
        <x:v>artifact 1454 eligibility equation</x:v>
      </x:c>
      <x:c r="E3957" s="21" t="n">
        <x:f>IF(ABS('Artifact Ledger'!P1460-IF(AND('Artifact Ledger'!L1460=1,'Artifact Ledger'!M1460=1,'Artifact Ledger'!N1460=1,'Artifact Ledger'!O1460&gt;='Artifact Ledger'!G1460),'Artifact Ledger'!K1460,0))&lt;0.000001,1,0)</x:f>
        <x:v>1</x:v>
      </x:c>
      <x:c r="F3957" s="21" t="n">
        <x:v>1</x:v>
      </x:c>
      <x:c r="G3957" s="23" t="str">
        <x:f>IF(E3957=F3957,"PASS","FAIL")</x:f>
        <x:v>PASS</x:v>
      </x:c>
    </x:row>
    <x:row r="3958">
      <x:c r="B3958" s="21" t="str">
        <x:v>A03952</x:v>
      </x:c>
      <x:c r="C3958" s="21" t="str">
        <x:v>artifact</x:v>
      </x:c>
      <x:c r="D3958" s="21" t="str">
        <x:v>artifact 1454 planning state</x:v>
      </x:c>
      <x:c r="E3958" s="21" t="n">
        <x:f>IF(AND('Artifact Ledger'!Q1460="OPEN",'Artifact Ledger'!R1460="HOLD"),1,0)</x:f>
        <x:v>1</x:v>
      </x:c>
      <x:c r="F3958" s="21" t="n">
        <x:v>1</x:v>
      </x:c>
      <x:c r="G3958" s="23" t="str">
        <x:f>IF(E3958=F3958,"PASS","FAIL")</x:f>
        <x:v>PASS</x:v>
      </x:c>
    </x:row>
    <x:row r="3959">
      <x:c r="B3959" s="21" t="str">
        <x:v>A03953</x:v>
      </x:c>
      <x:c r="C3959" s="21" t="str">
        <x:v>artifact</x:v>
      </x:c>
      <x:c r="D3959" s="21" t="str">
        <x:v>artifact 1455 eligibility equation</x:v>
      </x:c>
      <x:c r="E3959" s="21" t="n">
        <x:f>IF(ABS('Artifact Ledger'!P1461-IF(AND('Artifact Ledger'!L1461=1,'Artifact Ledger'!M1461=1,'Artifact Ledger'!N1461=1,'Artifact Ledger'!O1461&gt;='Artifact Ledger'!G1461),'Artifact Ledger'!K1461,0))&lt;0.000001,1,0)</x:f>
        <x:v>1</x:v>
      </x:c>
      <x:c r="F3959" s="21" t="n">
        <x:v>1</x:v>
      </x:c>
      <x:c r="G3959" s="23" t="str">
        <x:f>IF(E3959=F3959,"PASS","FAIL")</x:f>
        <x:v>PASS</x:v>
      </x:c>
    </x:row>
    <x:row r="3960">
      <x:c r="B3960" s="21" t="str">
        <x:v>A03954</x:v>
      </x:c>
      <x:c r="C3960" s="21" t="str">
        <x:v>artifact</x:v>
      </x:c>
      <x:c r="D3960" s="21" t="str">
        <x:v>artifact 1455 planning state</x:v>
      </x:c>
      <x:c r="E3960" s="21" t="n">
        <x:f>IF(AND('Artifact Ledger'!Q1461="OPEN",'Artifact Ledger'!R1461="HOLD"),1,0)</x:f>
        <x:v>1</x:v>
      </x:c>
      <x:c r="F3960" s="21" t="n">
        <x:v>1</x:v>
      </x:c>
      <x:c r="G3960" s="23" t="str">
        <x:f>IF(E3960=F3960,"PASS","FAIL")</x:f>
        <x:v>PASS</x:v>
      </x:c>
    </x:row>
    <x:row r="3961">
      <x:c r="B3961" s="21" t="str">
        <x:v>A03955</x:v>
      </x:c>
      <x:c r="C3961" s="21" t="str">
        <x:v>artifact</x:v>
      </x:c>
      <x:c r="D3961" s="21" t="str">
        <x:v>artifact 1456 eligibility equation</x:v>
      </x:c>
      <x:c r="E3961" s="21" t="n">
        <x:f>IF(ABS('Artifact Ledger'!P1462-IF(AND('Artifact Ledger'!L1462=1,'Artifact Ledger'!M1462=1,'Artifact Ledger'!N1462=1,'Artifact Ledger'!O1462&gt;='Artifact Ledger'!G1462),'Artifact Ledger'!K1462,0))&lt;0.000001,1,0)</x:f>
        <x:v>1</x:v>
      </x:c>
      <x:c r="F3961" s="21" t="n">
        <x:v>1</x:v>
      </x:c>
      <x:c r="G3961" s="23" t="str">
        <x:f>IF(E3961=F3961,"PASS","FAIL")</x:f>
        <x:v>PASS</x:v>
      </x:c>
    </x:row>
    <x:row r="3962">
      <x:c r="B3962" s="21" t="str">
        <x:v>A03956</x:v>
      </x:c>
      <x:c r="C3962" s="21" t="str">
        <x:v>artifact</x:v>
      </x:c>
      <x:c r="D3962" s="21" t="str">
        <x:v>artifact 1456 planning state</x:v>
      </x:c>
      <x:c r="E3962" s="21" t="n">
        <x:f>IF(AND('Artifact Ledger'!Q1462="OPEN",'Artifact Ledger'!R1462="HOLD"),1,0)</x:f>
        <x:v>1</x:v>
      </x:c>
      <x:c r="F3962" s="21" t="n">
        <x:v>1</x:v>
      </x:c>
      <x:c r="G3962" s="23" t="str">
        <x:f>IF(E3962=F3962,"PASS","FAIL")</x:f>
        <x:v>PASS</x:v>
      </x:c>
    </x:row>
    <x:row r="3963">
      <x:c r="B3963" s="21" t="str">
        <x:v>A03957</x:v>
      </x:c>
      <x:c r="C3963" s="21" t="str">
        <x:v>artifact</x:v>
      </x:c>
      <x:c r="D3963" s="21" t="str">
        <x:v>artifact 1457 eligibility equation</x:v>
      </x:c>
      <x:c r="E3963" s="21" t="n">
        <x:f>IF(ABS('Artifact Ledger'!P1463-IF(AND('Artifact Ledger'!L1463=1,'Artifact Ledger'!M1463=1,'Artifact Ledger'!N1463=1,'Artifact Ledger'!O1463&gt;='Artifact Ledger'!G1463),'Artifact Ledger'!K1463,0))&lt;0.000001,1,0)</x:f>
        <x:v>1</x:v>
      </x:c>
      <x:c r="F3963" s="21" t="n">
        <x:v>1</x:v>
      </x:c>
      <x:c r="G3963" s="23" t="str">
        <x:f>IF(E3963=F3963,"PASS","FAIL")</x:f>
        <x:v>PASS</x:v>
      </x:c>
    </x:row>
    <x:row r="3964">
      <x:c r="B3964" s="21" t="str">
        <x:v>A03958</x:v>
      </x:c>
      <x:c r="C3964" s="21" t="str">
        <x:v>artifact</x:v>
      </x:c>
      <x:c r="D3964" s="21" t="str">
        <x:v>artifact 1457 planning state</x:v>
      </x:c>
      <x:c r="E3964" s="21" t="n">
        <x:f>IF(AND('Artifact Ledger'!Q1463="OPEN",'Artifact Ledger'!R1463="HOLD"),1,0)</x:f>
        <x:v>1</x:v>
      </x:c>
      <x:c r="F3964" s="21" t="n">
        <x:v>1</x:v>
      </x:c>
      <x:c r="G3964" s="23" t="str">
        <x:f>IF(E3964=F3964,"PASS","FAIL")</x:f>
        <x:v>PASS</x:v>
      </x:c>
    </x:row>
    <x:row r="3965">
      <x:c r="B3965" s="21" t="str">
        <x:v>A03959</x:v>
      </x:c>
      <x:c r="C3965" s="21" t="str">
        <x:v>artifact</x:v>
      </x:c>
      <x:c r="D3965" s="21" t="str">
        <x:v>artifact 1458 eligibility equation</x:v>
      </x:c>
      <x:c r="E3965" s="21" t="n">
        <x:f>IF(ABS('Artifact Ledger'!P1464-IF(AND('Artifact Ledger'!L1464=1,'Artifact Ledger'!M1464=1,'Artifact Ledger'!N1464=1,'Artifact Ledger'!O1464&gt;='Artifact Ledger'!G1464),'Artifact Ledger'!K1464,0))&lt;0.000001,1,0)</x:f>
        <x:v>1</x:v>
      </x:c>
      <x:c r="F3965" s="21" t="n">
        <x:v>1</x:v>
      </x:c>
      <x:c r="G3965" s="23" t="str">
        <x:f>IF(E3965=F3965,"PASS","FAIL")</x:f>
        <x:v>PASS</x:v>
      </x:c>
    </x:row>
    <x:row r="3966">
      <x:c r="B3966" s="21" t="str">
        <x:v>A03960</x:v>
      </x:c>
      <x:c r="C3966" s="21" t="str">
        <x:v>artifact</x:v>
      </x:c>
      <x:c r="D3966" s="21" t="str">
        <x:v>artifact 1458 planning state</x:v>
      </x:c>
      <x:c r="E3966" s="21" t="n">
        <x:f>IF(AND('Artifact Ledger'!Q1464="OPEN",'Artifact Ledger'!R1464="HOLD"),1,0)</x:f>
        <x:v>1</x:v>
      </x:c>
      <x:c r="F3966" s="21" t="n">
        <x:v>1</x:v>
      </x:c>
      <x:c r="G3966" s="23" t="str">
        <x:f>IF(E3966=F3966,"PASS","FAIL")</x:f>
        <x:v>PASS</x:v>
      </x:c>
    </x:row>
    <x:row r="3967">
      <x:c r="B3967" s="21" t="str">
        <x:v>A03961</x:v>
      </x:c>
      <x:c r="C3967" s="21" t="str">
        <x:v>artifact</x:v>
      </x:c>
      <x:c r="D3967" s="21" t="str">
        <x:v>artifact 1459 eligibility equation</x:v>
      </x:c>
      <x:c r="E3967" s="21" t="n">
        <x:f>IF(ABS('Artifact Ledger'!P1465-IF(AND('Artifact Ledger'!L1465=1,'Artifact Ledger'!M1465=1,'Artifact Ledger'!N1465=1,'Artifact Ledger'!O1465&gt;='Artifact Ledger'!G1465),'Artifact Ledger'!K1465,0))&lt;0.000001,1,0)</x:f>
        <x:v>1</x:v>
      </x:c>
      <x:c r="F3967" s="21" t="n">
        <x:v>1</x:v>
      </x:c>
      <x:c r="G3967" s="23" t="str">
        <x:f>IF(E3967=F3967,"PASS","FAIL")</x:f>
        <x:v>PASS</x:v>
      </x:c>
    </x:row>
    <x:row r="3968">
      <x:c r="B3968" s="21" t="str">
        <x:v>A03962</x:v>
      </x:c>
      <x:c r="C3968" s="21" t="str">
        <x:v>artifact</x:v>
      </x:c>
      <x:c r="D3968" s="21" t="str">
        <x:v>artifact 1459 planning state</x:v>
      </x:c>
      <x:c r="E3968" s="21" t="n">
        <x:f>IF(AND('Artifact Ledger'!Q1465="OPEN",'Artifact Ledger'!R1465="HOLD"),1,0)</x:f>
        <x:v>1</x:v>
      </x:c>
      <x:c r="F3968" s="21" t="n">
        <x:v>1</x:v>
      </x:c>
      <x:c r="G3968" s="23" t="str">
        <x:f>IF(E3968=F3968,"PASS","FAIL")</x:f>
        <x:v>PASS</x:v>
      </x:c>
    </x:row>
    <x:row r="3969">
      <x:c r="B3969" s="21" t="str">
        <x:v>A03963</x:v>
      </x:c>
      <x:c r="C3969" s="21" t="str">
        <x:v>artifact</x:v>
      </x:c>
      <x:c r="D3969" s="21" t="str">
        <x:v>artifact 1460 eligibility equation</x:v>
      </x:c>
      <x:c r="E3969" s="21" t="n">
        <x:f>IF(ABS('Artifact Ledger'!P1466-IF(AND('Artifact Ledger'!L1466=1,'Artifact Ledger'!M1466=1,'Artifact Ledger'!N1466=1,'Artifact Ledger'!O1466&gt;='Artifact Ledger'!G1466),'Artifact Ledger'!K1466,0))&lt;0.000001,1,0)</x:f>
        <x:v>1</x:v>
      </x:c>
      <x:c r="F3969" s="21" t="n">
        <x:v>1</x:v>
      </x:c>
      <x:c r="G3969" s="23" t="str">
        <x:f>IF(E3969=F3969,"PASS","FAIL")</x:f>
        <x:v>PASS</x:v>
      </x:c>
    </x:row>
    <x:row r="3970">
      <x:c r="B3970" s="21" t="str">
        <x:v>A03964</x:v>
      </x:c>
      <x:c r="C3970" s="21" t="str">
        <x:v>artifact</x:v>
      </x:c>
      <x:c r="D3970" s="21" t="str">
        <x:v>artifact 1460 planning state</x:v>
      </x:c>
      <x:c r="E3970" s="21" t="n">
        <x:f>IF(AND('Artifact Ledger'!Q1466="OPEN",'Artifact Ledger'!R1466="HOLD"),1,0)</x:f>
        <x:v>1</x:v>
      </x:c>
      <x:c r="F3970" s="21" t="n">
        <x:v>1</x:v>
      </x:c>
      <x:c r="G3970" s="23" t="str">
        <x:f>IF(E3970=F3970,"PASS","FAIL")</x:f>
        <x:v>PASS</x:v>
      </x:c>
    </x:row>
    <x:row r="3971">
      <x:c r="B3971" s="21" t="str">
        <x:v>A03965</x:v>
      </x:c>
      <x:c r="C3971" s="21" t="str">
        <x:v>artifact</x:v>
      </x:c>
      <x:c r="D3971" s="21" t="str">
        <x:v>artifact 1461 eligibility equation</x:v>
      </x:c>
      <x:c r="E3971" s="21" t="n">
        <x:f>IF(ABS('Artifact Ledger'!P1467-IF(AND('Artifact Ledger'!L1467=1,'Artifact Ledger'!M1467=1,'Artifact Ledger'!N1467=1,'Artifact Ledger'!O1467&gt;='Artifact Ledger'!G1467),'Artifact Ledger'!K1467,0))&lt;0.000001,1,0)</x:f>
        <x:v>1</x:v>
      </x:c>
      <x:c r="F3971" s="21" t="n">
        <x:v>1</x:v>
      </x:c>
      <x:c r="G3971" s="23" t="str">
        <x:f>IF(E3971=F3971,"PASS","FAIL")</x:f>
        <x:v>PASS</x:v>
      </x:c>
    </x:row>
    <x:row r="3972">
      <x:c r="B3972" s="21" t="str">
        <x:v>A03966</x:v>
      </x:c>
      <x:c r="C3972" s="21" t="str">
        <x:v>artifact</x:v>
      </x:c>
      <x:c r="D3972" s="21" t="str">
        <x:v>artifact 1461 planning state</x:v>
      </x:c>
      <x:c r="E3972" s="21" t="n">
        <x:f>IF(AND('Artifact Ledger'!Q1467="OPEN",'Artifact Ledger'!R1467="HOLD"),1,0)</x:f>
        <x:v>1</x:v>
      </x:c>
      <x:c r="F3972" s="21" t="n">
        <x:v>1</x:v>
      </x:c>
      <x:c r="G3972" s="23" t="str">
        <x:f>IF(E3972=F3972,"PASS","FAIL")</x:f>
        <x:v>PASS</x:v>
      </x:c>
    </x:row>
    <x:row r="3973">
      <x:c r="B3973" s="21" t="str">
        <x:v>A03967</x:v>
      </x:c>
      <x:c r="C3973" s="21" t="str">
        <x:v>artifact</x:v>
      </x:c>
      <x:c r="D3973" s="21" t="str">
        <x:v>artifact 1462 eligibility equation</x:v>
      </x:c>
      <x:c r="E3973" s="21" t="n">
        <x:f>IF(ABS('Artifact Ledger'!P1468-IF(AND('Artifact Ledger'!L1468=1,'Artifact Ledger'!M1468=1,'Artifact Ledger'!N1468=1,'Artifact Ledger'!O1468&gt;='Artifact Ledger'!G1468),'Artifact Ledger'!K1468,0))&lt;0.000001,1,0)</x:f>
        <x:v>1</x:v>
      </x:c>
      <x:c r="F3973" s="21" t="n">
        <x:v>1</x:v>
      </x:c>
      <x:c r="G3973" s="23" t="str">
        <x:f>IF(E3973=F3973,"PASS","FAIL")</x:f>
        <x:v>PASS</x:v>
      </x:c>
    </x:row>
    <x:row r="3974">
      <x:c r="B3974" s="21" t="str">
        <x:v>A03968</x:v>
      </x:c>
      <x:c r="C3974" s="21" t="str">
        <x:v>artifact</x:v>
      </x:c>
      <x:c r="D3974" s="21" t="str">
        <x:v>artifact 1462 planning state</x:v>
      </x:c>
      <x:c r="E3974" s="21" t="n">
        <x:f>IF(AND('Artifact Ledger'!Q1468="OPEN",'Artifact Ledger'!R1468="HOLD"),1,0)</x:f>
        <x:v>1</x:v>
      </x:c>
      <x:c r="F3974" s="21" t="n">
        <x:v>1</x:v>
      </x:c>
      <x:c r="G3974" s="23" t="str">
        <x:f>IF(E3974=F3974,"PASS","FAIL")</x:f>
        <x:v>PASS</x:v>
      </x:c>
    </x:row>
    <x:row r="3975">
      <x:c r="B3975" s="21" t="str">
        <x:v>A03969</x:v>
      </x:c>
      <x:c r="C3975" s="21" t="str">
        <x:v>artifact</x:v>
      </x:c>
      <x:c r="D3975" s="21" t="str">
        <x:v>artifact 1463 eligibility equation</x:v>
      </x:c>
      <x:c r="E3975" s="21" t="n">
        <x:f>IF(ABS('Artifact Ledger'!P1469-IF(AND('Artifact Ledger'!L1469=1,'Artifact Ledger'!M1469=1,'Artifact Ledger'!N1469=1,'Artifact Ledger'!O1469&gt;='Artifact Ledger'!G1469),'Artifact Ledger'!K1469,0))&lt;0.000001,1,0)</x:f>
        <x:v>1</x:v>
      </x:c>
      <x:c r="F3975" s="21" t="n">
        <x:v>1</x:v>
      </x:c>
      <x:c r="G3975" s="23" t="str">
        <x:f>IF(E3975=F3975,"PASS","FAIL")</x:f>
        <x:v>PASS</x:v>
      </x:c>
    </x:row>
    <x:row r="3976">
      <x:c r="B3976" s="21" t="str">
        <x:v>A03970</x:v>
      </x:c>
      <x:c r="C3976" s="21" t="str">
        <x:v>artifact</x:v>
      </x:c>
      <x:c r="D3976" s="21" t="str">
        <x:v>artifact 1463 planning state</x:v>
      </x:c>
      <x:c r="E3976" s="21" t="n">
        <x:f>IF(AND('Artifact Ledger'!Q1469="OPEN",'Artifact Ledger'!R1469="HOLD"),1,0)</x:f>
        <x:v>1</x:v>
      </x:c>
      <x:c r="F3976" s="21" t="n">
        <x:v>1</x:v>
      </x:c>
      <x:c r="G3976" s="23" t="str">
        <x:f>IF(E3976=F3976,"PASS","FAIL")</x:f>
        <x:v>PASS</x:v>
      </x:c>
    </x:row>
    <x:row r="3977">
      <x:c r="B3977" s="21" t="str">
        <x:v>A03971</x:v>
      </x:c>
      <x:c r="C3977" s="21" t="str">
        <x:v>artifact</x:v>
      </x:c>
      <x:c r="D3977" s="21" t="str">
        <x:v>artifact 1464 eligibility equation</x:v>
      </x:c>
      <x:c r="E3977" s="21" t="n">
        <x:f>IF(ABS('Artifact Ledger'!P1470-IF(AND('Artifact Ledger'!L1470=1,'Artifact Ledger'!M1470=1,'Artifact Ledger'!N1470=1,'Artifact Ledger'!O1470&gt;='Artifact Ledger'!G1470),'Artifact Ledger'!K1470,0))&lt;0.000001,1,0)</x:f>
        <x:v>1</x:v>
      </x:c>
      <x:c r="F3977" s="21" t="n">
        <x:v>1</x:v>
      </x:c>
      <x:c r="G3977" s="23" t="str">
        <x:f>IF(E3977=F3977,"PASS","FAIL")</x:f>
        <x:v>PASS</x:v>
      </x:c>
    </x:row>
    <x:row r="3978">
      <x:c r="B3978" s="21" t="str">
        <x:v>A03972</x:v>
      </x:c>
      <x:c r="C3978" s="21" t="str">
        <x:v>artifact</x:v>
      </x:c>
      <x:c r="D3978" s="21" t="str">
        <x:v>artifact 1464 planning state</x:v>
      </x:c>
      <x:c r="E3978" s="21" t="n">
        <x:f>IF(AND('Artifact Ledger'!Q1470="OPEN",'Artifact Ledger'!R1470="HOLD"),1,0)</x:f>
        <x:v>1</x:v>
      </x:c>
      <x:c r="F3978" s="21" t="n">
        <x:v>1</x:v>
      </x:c>
      <x:c r="G3978" s="23" t="str">
        <x:f>IF(E3978=F3978,"PASS","FAIL")</x:f>
        <x:v>PASS</x:v>
      </x:c>
    </x:row>
    <x:row r="3979">
      <x:c r="B3979" s="21" t="str">
        <x:v>A03973</x:v>
      </x:c>
      <x:c r="C3979" s="21" t="str">
        <x:v>artifact</x:v>
      </x:c>
      <x:c r="D3979" s="21" t="str">
        <x:v>artifact 1465 eligibility equation</x:v>
      </x:c>
      <x:c r="E3979" s="21" t="n">
        <x:f>IF(ABS('Artifact Ledger'!P1471-IF(AND('Artifact Ledger'!L1471=1,'Artifact Ledger'!M1471=1,'Artifact Ledger'!N1471=1,'Artifact Ledger'!O1471&gt;='Artifact Ledger'!G1471),'Artifact Ledger'!K1471,0))&lt;0.000001,1,0)</x:f>
        <x:v>1</x:v>
      </x:c>
      <x:c r="F3979" s="21" t="n">
        <x:v>1</x:v>
      </x:c>
      <x:c r="G3979" s="23" t="str">
        <x:f>IF(E3979=F3979,"PASS","FAIL")</x:f>
        <x:v>PASS</x:v>
      </x:c>
    </x:row>
    <x:row r="3980">
      <x:c r="B3980" s="21" t="str">
        <x:v>A03974</x:v>
      </x:c>
      <x:c r="C3980" s="21" t="str">
        <x:v>artifact</x:v>
      </x:c>
      <x:c r="D3980" s="21" t="str">
        <x:v>artifact 1465 planning state</x:v>
      </x:c>
      <x:c r="E3980" s="21" t="n">
        <x:f>IF(AND('Artifact Ledger'!Q1471="OPEN",'Artifact Ledger'!R1471="HOLD"),1,0)</x:f>
        <x:v>1</x:v>
      </x:c>
      <x:c r="F3980" s="21" t="n">
        <x:v>1</x:v>
      </x:c>
      <x:c r="G3980" s="23" t="str">
        <x:f>IF(E3980=F3980,"PASS","FAIL")</x:f>
        <x:v>PASS</x:v>
      </x:c>
    </x:row>
    <x:row r="3981">
      <x:c r="B3981" s="21" t="str">
        <x:v>A03975</x:v>
      </x:c>
      <x:c r="C3981" s="21" t="str">
        <x:v>artifact</x:v>
      </x:c>
      <x:c r="D3981" s="21" t="str">
        <x:v>artifact 1466 eligibility equation</x:v>
      </x:c>
      <x:c r="E3981" s="21" t="n">
        <x:f>IF(ABS('Artifact Ledger'!P1472-IF(AND('Artifact Ledger'!L1472=1,'Artifact Ledger'!M1472=1,'Artifact Ledger'!N1472=1,'Artifact Ledger'!O1472&gt;='Artifact Ledger'!G1472),'Artifact Ledger'!K1472,0))&lt;0.000001,1,0)</x:f>
        <x:v>1</x:v>
      </x:c>
      <x:c r="F3981" s="21" t="n">
        <x:v>1</x:v>
      </x:c>
      <x:c r="G3981" s="23" t="str">
        <x:f>IF(E3981=F3981,"PASS","FAIL")</x:f>
        <x:v>PASS</x:v>
      </x:c>
    </x:row>
    <x:row r="3982">
      <x:c r="B3982" s="21" t="str">
        <x:v>A03976</x:v>
      </x:c>
      <x:c r="C3982" s="21" t="str">
        <x:v>artifact</x:v>
      </x:c>
      <x:c r="D3982" s="21" t="str">
        <x:v>artifact 1466 planning state</x:v>
      </x:c>
      <x:c r="E3982" s="21" t="n">
        <x:f>IF(AND('Artifact Ledger'!Q1472="OPEN",'Artifact Ledger'!R1472="HOLD"),1,0)</x:f>
        <x:v>1</x:v>
      </x:c>
      <x:c r="F3982" s="21" t="n">
        <x:v>1</x:v>
      </x:c>
      <x:c r="G3982" s="23" t="str">
        <x:f>IF(E3982=F3982,"PASS","FAIL")</x:f>
        <x:v>PASS</x:v>
      </x:c>
    </x:row>
    <x:row r="3983">
      <x:c r="B3983" s="21" t="str">
        <x:v>A03977</x:v>
      </x:c>
      <x:c r="C3983" s="21" t="str">
        <x:v>artifact</x:v>
      </x:c>
      <x:c r="D3983" s="21" t="str">
        <x:v>artifact 1467 eligibility equation</x:v>
      </x:c>
      <x:c r="E3983" s="21" t="n">
        <x:f>IF(ABS('Artifact Ledger'!P1473-IF(AND('Artifact Ledger'!L1473=1,'Artifact Ledger'!M1473=1,'Artifact Ledger'!N1473=1,'Artifact Ledger'!O1473&gt;='Artifact Ledger'!G1473),'Artifact Ledger'!K1473,0))&lt;0.000001,1,0)</x:f>
        <x:v>1</x:v>
      </x:c>
      <x:c r="F3983" s="21" t="n">
        <x:v>1</x:v>
      </x:c>
      <x:c r="G3983" s="23" t="str">
        <x:f>IF(E3983=F3983,"PASS","FAIL")</x:f>
        <x:v>PASS</x:v>
      </x:c>
    </x:row>
    <x:row r="3984">
      <x:c r="B3984" s="21" t="str">
        <x:v>A03978</x:v>
      </x:c>
      <x:c r="C3984" s="21" t="str">
        <x:v>artifact</x:v>
      </x:c>
      <x:c r="D3984" s="21" t="str">
        <x:v>artifact 1467 planning state</x:v>
      </x:c>
      <x:c r="E3984" s="21" t="n">
        <x:f>IF(AND('Artifact Ledger'!Q1473="OPEN",'Artifact Ledger'!R1473="HOLD"),1,0)</x:f>
        <x:v>1</x:v>
      </x:c>
      <x:c r="F3984" s="21" t="n">
        <x:v>1</x:v>
      </x:c>
      <x:c r="G3984" s="23" t="str">
        <x:f>IF(E3984=F3984,"PASS","FAIL")</x:f>
        <x:v>PASS</x:v>
      </x:c>
    </x:row>
    <x:row r="3985">
      <x:c r="B3985" s="21" t="str">
        <x:v>A03979</x:v>
      </x:c>
      <x:c r="C3985" s="21" t="str">
        <x:v>artifact</x:v>
      </x:c>
      <x:c r="D3985" s="21" t="str">
        <x:v>artifact 1468 eligibility equation</x:v>
      </x:c>
      <x:c r="E3985" s="21" t="n">
        <x:f>IF(ABS('Artifact Ledger'!P1474-IF(AND('Artifact Ledger'!L1474=1,'Artifact Ledger'!M1474=1,'Artifact Ledger'!N1474=1,'Artifact Ledger'!O1474&gt;='Artifact Ledger'!G1474),'Artifact Ledger'!K1474,0))&lt;0.000001,1,0)</x:f>
        <x:v>1</x:v>
      </x:c>
      <x:c r="F3985" s="21" t="n">
        <x:v>1</x:v>
      </x:c>
      <x:c r="G3985" s="23" t="str">
        <x:f>IF(E3985=F3985,"PASS","FAIL")</x:f>
        <x:v>PASS</x:v>
      </x:c>
    </x:row>
    <x:row r="3986">
      <x:c r="B3986" s="21" t="str">
        <x:v>A03980</x:v>
      </x:c>
      <x:c r="C3986" s="21" t="str">
        <x:v>artifact</x:v>
      </x:c>
      <x:c r="D3986" s="21" t="str">
        <x:v>artifact 1468 planning state</x:v>
      </x:c>
      <x:c r="E3986" s="21" t="n">
        <x:f>IF(AND('Artifact Ledger'!Q1474="OPEN",'Artifact Ledger'!R1474="HOLD"),1,0)</x:f>
        <x:v>1</x:v>
      </x:c>
      <x:c r="F3986" s="21" t="n">
        <x:v>1</x:v>
      </x:c>
      <x:c r="G3986" s="23" t="str">
        <x:f>IF(E3986=F3986,"PASS","FAIL")</x:f>
        <x:v>PASS</x:v>
      </x:c>
    </x:row>
    <x:row r="3987">
      <x:c r="B3987" s="21" t="str">
        <x:v>A03981</x:v>
      </x:c>
      <x:c r="C3987" s="21" t="str">
        <x:v>artifact</x:v>
      </x:c>
      <x:c r="D3987" s="21" t="str">
        <x:v>artifact 1469 eligibility equation</x:v>
      </x:c>
      <x:c r="E3987" s="21" t="n">
        <x:f>IF(ABS('Artifact Ledger'!P1475-IF(AND('Artifact Ledger'!L1475=1,'Artifact Ledger'!M1475=1,'Artifact Ledger'!N1475=1,'Artifact Ledger'!O1475&gt;='Artifact Ledger'!G1475),'Artifact Ledger'!K1475,0))&lt;0.000001,1,0)</x:f>
        <x:v>1</x:v>
      </x:c>
      <x:c r="F3987" s="21" t="n">
        <x:v>1</x:v>
      </x:c>
      <x:c r="G3987" s="23" t="str">
        <x:f>IF(E3987=F3987,"PASS","FAIL")</x:f>
        <x:v>PASS</x:v>
      </x:c>
    </x:row>
    <x:row r="3988">
      <x:c r="B3988" s="21" t="str">
        <x:v>A03982</x:v>
      </x:c>
      <x:c r="C3988" s="21" t="str">
        <x:v>artifact</x:v>
      </x:c>
      <x:c r="D3988" s="21" t="str">
        <x:v>artifact 1469 planning state</x:v>
      </x:c>
      <x:c r="E3988" s="21" t="n">
        <x:f>IF(AND('Artifact Ledger'!Q1475="OPEN",'Artifact Ledger'!R1475="HOLD"),1,0)</x:f>
        <x:v>1</x:v>
      </x:c>
      <x:c r="F3988" s="21" t="n">
        <x:v>1</x:v>
      </x:c>
      <x:c r="G3988" s="23" t="str">
        <x:f>IF(E3988=F3988,"PASS","FAIL")</x:f>
        <x:v>PASS</x:v>
      </x:c>
    </x:row>
    <x:row r="3989">
      <x:c r="B3989" s="21" t="str">
        <x:v>A03983</x:v>
      </x:c>
      <x:c r="C3989" s="21" t="str">
        <x:v>artifact</x:v>
      </x:c>
      <x:c r="D3989" s="21" t="str">
        <x:v>artifact 1470 eligibility equation</x:v>
      </x:c>
      <x:c r="E3989" s="21" t="n">
        <x:f>IF(ABS('Artifact Ledger'!P1476-IF(AND('Artifact Ledger'!L1476=1,'Artifact Ledger'!M1476=1,'Artifact Ledger'!N1476=1,'Artifact Ledger'!O1476&gt;='Artifact Ledger'!G1476),'Artifact Ledger'!K1476,0))&lt;0.000001,1,0)</x:f>
        <x:v>1</x:v>
      </x:c>
      <x:c r="F3989" s="21" t="n">
        <x:v>1</x:v>
      </x:c>
      <x:c r="G3989" s="23" t="str">
        <x:f>IF(E3989=F3989,"PASS","FAIL")</x:f>
        <x:v>PASS</x:v>
      </x:c>
    </x:row>
    <x:row r="3990">
      <x:c r="B3990" s="21" t="str">
        <x:v>A03984</x:v>
      </x:c>
      <x:c r="C3990" s="21" t="str">
        <x:v>artifact</x:v>
      </x:c>
      <x:c r="D3990" s="21" t="str">
        <x:v>artifact 1470 planning state</x:v>
      </x:c>
      <x:c r="E3990" s="21" t="n">
        <x:f>IF(AND('Artifact Ledger'!Q1476="OPEN",'Artifact Ledger'!R1476="HOLD"),1,0)</x:f>
        <x:v>1</x:v>
      </x:c>
      <x:c r="F3990" s="21" t="n">
        <x:v>1</x:v>
      </x:c>
      <x:c r="G3990" s="23" t="str">
        <x:f>IF(E3990=F3990,"PASS","FAIL")</x:f>
        <x:v>PASS</x:v>
      </x:c>
    </x:row>
    <x:row r="3991">
      <x:c r="B3991" s="21" t="str">
        <x:v>A03985</x:v>
      </x:c>
      <x:c r="C3991" s="21" t="str">
        <x:v>artifact</x:v>
      </x:c>
      <x:c r="D3991" s="21" t="str">
        <x:v>artifact 1471 eligibility equation</x:v>
      </x:c>
      <x:c r="E3991" s="21" t="n">
        <x:f>IF(ABS('Artifact Ledger'!P1477-IF(AND('Artifact Ledger'!L1477=1,'Artifact Ledger'!M1477=1,'Artifact Ledger'!N1477=1,'Artifact Ledger'!O1477&gt;='Artifact Ledger'!G1477),'Artifact Ledger'!K1477,0))&lt;0.000001,1,0)</x:f>
        <x:v>1</x:v>
      </x:c>
      <x:c r="F3991" s="21" t="n">
        <x:v>1</x:v>
      </x:c>
      <x:c r="G3991" s="23" t="str">
        <x:f>IF(E3991=F3991,"PASS","FAIL")</x:f>
        <x:v>PASS</x:v>
      </x:c>
    </x:row>
    <x:row r="3992">
      <x:c r="B3992" s="21" t="str">
        <x:v>A03986</x:v>
      </x:c>
      <x:c r="C3992" s="21" t="str">
        <x:v>artifact</x:v>
      </x:c>
      <x:c r="D3992" s="21" t="str">
        <x:v>artifact 1471 planning state</x:v>
      </x:c>
      <x:c r="E3992" s="21" t="n">
        <x:f>IF(AND('Artifact Ledger'!Q1477="OPEN",'Artifact Ledger'!R1477="HOLD"),1,0)</x:f>
        <x:v>1</x:v>
      </x:c>
      <x:c r="F3992" s="21" t="n">
        <x:v>1</x:v>
      </x:c>
      <x:c r="G3992" s="23" t="str">
        <x:f>IF(E3992=F3992,"PASS","FAIL")</x:f>
        <x:v>PASS</x:v>
      </x:c>
    </x:row>
    <x:row r="3993">
      <x:c r="B3993" s="21" t="str">
        <x:v>A03987</x:v>
      </x:c>
      <x:c r="C3993" s="21" t="str">
        <x:v>artifact</x:v>
      </x:c>
      <x:c r="D3993" s="21" t="str">
        <x:v>artifact 1472 eligibility equation</x:v>
      </x:c>
      <x:c r="E3993" s="21" t="n">
        <x:f>IF(ABS('Artifact Ledger'!P1478-IF(AND('Artifact Ledger'!L1478=1,'Artifact Ledger'!M1478=1,'Artifact Ledger'!N1478=1,'Artifact Ledger'!O1478&gt;='Artifact Ledger'!G1478),'Artifact Ledger'!K1478,0))&lt;0.000001,1,0)</x:f>
        <x:v>1</x:v>
      </x:c>
      <x:c r="F3993" s="21" t="n">
        <x:v>1</x:v>
      </x:c>
      <x:c r="G3993" s="23" t="str">
        <x:f>IF(E3993=F3993,"PASS","FAIL")</x:f>
        <x:v>PASS</x:v>
      </x:c>
    </x:row>
    <x:row r="3994">
      <x:c r="B3994" s="21" t="str">
        <x:v>A03988</x:v>
      </x:c>
      <x:c r="C3994" s="21" t="str">
        <x:v>artifact</x:v>
      </x:c>
      <x:c r="D3994" s="21" t="str">
        <x:v>artifact 1472 planning state</x:v>
      </x:c>
      <x:c r="E3994" s="21" t="n">
        <x:f>IF(AND('Artifact Ledger'!Q1478="OPEN",'Artifact Ledger'!R1478="HOLD"),1,0)</x:f>
        <x:v>1</x:v>
      </x:c>
      <x:c r="F3994" s="21" t="n">
        <x:v>1</x:v>
      </x:c>
      <x:c r="G3994" s="23" t="str">
        <x:f>IF(E3994=F3994,"PASS","FAIL")</x:f>
        <x:v>PASS</x:v>
      </x:c>
    </x:row>
    <x:row r="3995">
      <x:c r="B3995" s="21" t="str">
        <x:v>A03989</x:v>
      </x:c>
      <x:c r="C3995" s="21" t="str">
        <x:v>artifact</x:v>
      </x:c>
      <x:c r="D3995" s="21" t="str">
        <x:v>artifact 1473 eligibility equation</x:v>
      </x:c>
      <x:c r="E3995" s="21" t="n">
        <x:f>IF(ABS('Artifact Ledger'!P1479-IF(AND('Artifact Ledger'!L1479=1,'Artifact Ledger'!M1479=1,'Artifact Ledger'!N1479=1,'Artifact Ledger'!O1479&gt;='Artifact Ledger'!G1479),'Artifact Ledger'!K1479,0))&lt;0.000001,1,0)</x:f>
        <x:v>1</x:v>
      </x:c>
      <x:c r="F3995" s="21" t="n">
        <x:v>1</x:v>
      </x:c>
      <x:c r="G3995" s="23" t="str">
        <x:f>IF(E3995=F3995,"PASS","FAIL")</x:f>
        <x:v>PASS</x:v>
      </x:c>
    </x:row>
    <x:row r="3996">
      <x:c r="B3996" s="21" t="str">
        <x:v>A03990</x:v>
      </x:c>
      <x:c r="C3996" s="21" t="str">
        <x:v>artifact</x:v>
      </x:c>
      <x:c r="D3996" s="21" t="str">
        <x:v>artifact 1473 planning state</x:v>
      </x:c>
      <x:c r="E3996" s="21" t="n">
        <x:f>IF(AND('Artifact Ledger'!Q1479="OPEN",'Artifact Ledger'!R1479="HOLD"),1,0)</x:f>
        <x:v>1</x:v>
      </x:c>
      <x:c r="F3996" s="21" t="n">
        <x:v>1</x:v>
      </x:c>
      <x:c r="G3996" s="23" t="str">
        <x:f>IF(E3996=F3996,"PASS","FAIL")</x:f>
        <x:v>PASS</x:v>
      </x:c>
    </x:row>
    <x:row r="3997">
      <x:c r="B3997" s="21" t="str">
        <x:v>A03991</x:v>
      </x:c>
      <x:c r="C3997" s="21" t="str">
        <x:v>artifact</x:v>
      </x:c>
      <x:c r="D3997" s="21" t="str">
        <x:v>artifact 1474 eligibility equation</x:v>
      </x:c>
      <x:c r="E3997" s="21" t="n">
        <x:f>IF(ABS('Artifact Ledger'!P1480-IF(AND('Artifact Ledger'!L1480=1,'Artifact Ledger'!M1480=1,'Artifact Ledger'!N1480=1,'Artifact Ledger'!O1480&gt;='Artifact Ledger'!G1480),'Artifact Ledger'!K1480,0))&lt;0.000001,1,0)</x:f>
        <x:v>1</x:v>
      </x:c>
      <x:c r="F3997" s="21" t="n">
        <x:v>1</x:v>
      </x:c>
      <x:c r="G3997" s="23" t="str">
        <x:f>IF(E3997=F3997,"PASS","FAIL")</x:f>
        <x:v>PASS</x:v>
      </x:c>
    </x:row>
    <x:row r="3998">
      <x:c r="B3998" s="21" t="str">
        <x:v>A03992</x:v>
      </x:c>
      <x:c r="C3998" s="21" t="str">
        <x:v>artifact</x:v>
      </x:c>
      <x:c r="D3998" s="21" t="str">
        <x:v>artifact 1474 planning state</x:v>
      </x:c>
      <x:c r="E3998" s="21" t="n">
        <x:f>IF(AND('Artifact Ledger'!Q1480="OPEN",'Artifact Ledger'!R1480="HOLD"),1,0)</x:f>
        <x:v>1</x:v>
      </x:c>
      <x:c r="F3998" s="21" t="n">
        <x:v>1</x:v>
      </x:c>
      <x:c r="G3998" s="23" t="str">
        <x:f>IF(E3998=F3998,"PASS","FAIL")</x:f>
        <x:v>PASS</x:v>
      </x:c>
    </x:row>
    <x:row r="3999">
      <x:c r="B3999" s="21" t="str">
        <x:v>A03993</x:v>
      </x:c>
      <x:c r="C3999" s="21" t="str">
        <x:v>artifact</x:v>
      </x:c>
      <x:c r="D3999" s="21" t="str">
        <x:v>artifact 1475 eligibility equation</x:v>
      </x:c>
      <x:c r="E3999" s="21" t="n">
        <x:f>IF(ABS('Artifact Ledger'!P1481-IF(AND('Artifact Ledger'!L1481=1,'Artifact Ledger'!M1481=1,'Artifact Ledger'!N1481=1,'Artifact Ledger'!O1481&gt;='Artifact Ledger'!G1481),'Artifact Ledger'!K1481,0))&lt;0.000001,1,0)</x:f>
        <x:v>1</x:v>
      </x:c>
      <x:c r="F3999" s="21" t="n">
        <x:v>1</x:v>
      </x:c>
      <x:c r="G3999" s="23" t="str">
        <x:f>IF(E3999=F3999,"PASS","FAIL")</x:f>
        <x:v>PASS</x:v>
      </x:c>
    </x:row>
    <x:row r="4000">
      <x:c r="B4000" s="21" t="str">
        <x:v>A03994</x:v>
      </x:c>
      <x:c r="C4000" s="21" t="str">
        <x:v>artifact</x:v>
      </x:c>
      <x:c r="D4000" s="21" t="str">
        <x:v>artifact 1475 planning state</x:v>
      </x:c>
      <x:c r="E4000" s="21" t="n">
        <x:f>IF(AND('Artifact Ledger'!Q1481="OPEN",'Artifact Ledger'!R1481="HOLD"),1,0)</x:f>
        <x:v>1</x:v>
      </x:c>
      <x:c r="F4000" s="21" t="n">
        <x:v>1</x:v>
      </x:c>
      <x:c r="G4000" s="23" t="str">
        <x:f>IF(E4000=F4000,"PASS","FAIL")</x:f>
        <x:v>PASS</x:v>
      </x:c>
    </x:row>
    <x:row r="4001">
      <x:c r="B4001" s="21" t="str">
        <x:v>A03995</x:v>
      </x:c>
      <x:c r="C4001" s="21" t="str">
        <x:v>artifact</x:v>
      </x:c>
      <x:c r="D4001" s="21" t="str">
        <x:v>artifact 1476 eligibility equation</x:v>
      </x:c>
      <x:c r="E4001" s="21" t="n">
        <x:f>IF(ABS('Artifact Ledger'!P1482-IF(AND('Artifact Ledger'!L1482=1,'Artifact Ledger'!M1482=1,'Artifact Ledger'!N1482=1,'Artifact Ledger'!O1482&gt;='Artifact Ledger'!G1482),'Artifact Ledger'!K1482,0))&lt;0.000001,1,0)</x:f>
        <x:v>1</x:v>
      </x:c>
      <x:c r="F4001" s="21" t="n">
        <x:v>1</x:v>
      </x:c>
      <x:c r="G4001" s="23" t="str">
        <x:f>IF(E4001=F4001,"PASS","FAIL")</x:f>
        <x:v>PASS</x:v>
      </x:c>
    </x:row>
    <x:row r="4002">
      <x:c r="B4002" s="21" t="str">
        <x:v>A03996</x:v>
      </x:c>
      <x:c r="C4002" s="21" t="str">
        <x:v>artifact</x:v>
      </x:c>
      <x:c r="D4002" s="21" t="str">
        <x:v>artifact 1476 planning state</x:v>
      </x:c>
      <x:c r="E4002" s="21" t="n">
        <x:f>IF(AND('Artifact Ledger'!Q1482="OPEN",'Artifact Ledger'!R1482="HOLD"),1,0)</x:f>
        <x:v>1</x:v>
      </x:c>
      <x:c r="F4002" s="21" t="n">
        <x:v>1</x:v>
      </x:c>
      <x:c r="G4002" s="23" t="str">
        <x:f>IF(E4002=F4002,"PASS","FAIL")</x:f>
        <x:v>PASS</x:v>
      </x:c>
    </x:row>
    <x:row r="4003">
      <x:c r="B4003" s="21" t="str">
        <x:v>A03997</x:v>
      </x:c>
      <x:c r="C4003" s="21" t="str">
        <x:v>artifact</x:v>
      </x:c>
      <x:c r="D4003" s="21" t="str">
        <x:v>artifact 1477 eligibility equation</x:v>
      </x:c>
      <x:c r="E4003" s="21" t="n">
        <x:f>IF(ABS('Artifact Ledger'!P1483-IF(AND('Artifact Ledger'!L1483=1,'Artifact Ledger'!M1483=1,'Artifact Ledger'!N1483=1,'Artifact Ledger'!O1483&gt;='Artifact Ledger'!G1483),'Artifact Ledger'!K1483,0))&lt;0.000001,1,0)</x:f>
        <x:v>1</x:v>
      </x:c>
      <x:c r="F4003" s="21" t="n">
        <x:v>1</x:v>
      </x:c>
      <x:c r="G4003" s="23" t="str">
        <x:f>IF(E4003=F4003,"PASS","FAIL")</x:f>
        <x:v>PASS</x:v>
      </x:c>
    </x:row>
    <x:row r="4004">
      <x:c r="B4004" s="21" t="str">
        <x:v>A03998</x:v>
      </x:c>
      <x:c r="C4004" s="21" t="str">
        <x:v>artifact</x:v>
      </x:c>
      <x:c r="D4004" s="21" t="str">
        <x:v>artifact 1477 planning state</x:v>
      </x:c>
      <x:c r="E4004" s="21" t="n">
        <x:f>IF(AND('Artifact Ledger'!Q1483="OPEN",'Artifact Ledger'!R1483="HOLD"),1,0)</x:f>
        <x:v>1</x:v>
      </x:c>
      <x:c r="F4004" s="21" t="n">
        <x:v>1</x:v>
      </x:c>
      <x:c r="G4004" s="23" t="str">
        <x:f>IF(E4004=F4004,"PASS","FAIL")</x:f>
        <x:v>PASS</x:v>
      </x:c>
    </x:row>
    <x:row r="4005">
      <x:c r="B4005" s="21" t="str">
        <x:v>A03999</x:v>
      </x:c>
      <x:c r="C4005" s="21" t="str">
        <x:v>artifact</x:v>
      </x:c>
      <x:c r="D4005" s="21" t="str">
        <x:v>artifact 1478 eligibility equation</x:v>
      </x:c>
      <x:c r="E4005" s="21" t="n">
        <x:f>IF(ABS('Artifact Ledger'!P1484-IF(AND('Artifact Ledger'!L1484=1,'Artifact Ledger'!M1484=1,'Artifact Ledger'!N1484=1,'Artifact Ledger'!O1484&gt;='Artifact Ledger'!G1484),'Artifact Ledger'!K1484,0))&lt;0.000001,1,0)</x:f>
        <x:v>1</x:v>
      </x:c>
      <x:c r="F4005" s="21" t="n">
        <x:v>1</x:v>
      </x:c>
      <x:c r="G4005" s="23" t="str">
        <x:f>IF(E4005=F4005,"PASS","FAIL")</x:f>
        <x:v>PASS</x:v>
      </x:c>
    </x:row>
    <x:row r="4006">
      <x:c r="B4006" s="21" t="str">
        <x:v>A04000</x:v>
      </x:c>
      <x:c r="C4006" s="21" t="str">
        <x:v>artifact</x:v>
      </x:c>
      <x:c r="D4006" s="21" t="str">
        <x:v>artifact 1478 planning state</x:v>
      </x:c>
      <x:c r="E4006" s="21" t="n">
        <x:f>IF(AND('Artifact Ledger'!Q1484="OPEN",'Artifact Ledger'!R1484="HOLD"),1,0)</x:f>
        <x:v>1</x:v>
      </x:c>
      <x:c r="F4006" s="21" t="n">
        <x:v>1</x:v>
      </x:c>
      <x:c r="G4006" s="23" t="str">
        <x:f>IF(E4006=F4006,"PASS","FAIL")</x:f>
        <x:v>PASS</x:v>
      </x:c>
    </x:row>
    <x:row r="4007">
      <x:c r="B4007" s="21" t="str">
        <x:v>A04001</x:v>
      </x:c>
      <x:c r="C4007" s="21" t="str">
        <x:v>artifact</x:v>
      </x:c>
      <x:c r="D4007" s="21" t="str">
        <x:v>artifact 1479 eligibility equation</x:v>
      </x:c>
      <x:c r="E4007" s="21" t="n">
        <x:f>IF(ABS('Artifact Ledger'!P1485-IF(AND('Artifact Ledger'!L1485=1,'Artifact Ledger'!M1485=1,'Artifact Ledger'!N1485=1,'Artifact Ledger'!O1485&gt;='Artifact Ledger'!G1485),'Artifact Ledger'!K1485,0))&lt;0.000001,1,0)</x:f>
        <x:v>1</x:v>
      </x:c>
      <x:c r="F4007" s="21" t="n">
        <x:v>1</x:v>
      </x:c>
      <x:c r="G4007" s="23" t="str">
        <x:f>IF(E4007=F4007,"PASS","FAIL")</x:f>
        <x:v>PASS</x:v>
      </x:c>
    </x:row>
    <x:row r="4008">
      <x:c r="B4008" s="21" t="str">
        <x:v>A04002</x:v>
      </x:c>
      <x:c r="C4008" s="21" t="str">
        <x:v>artifact</x:v>
      </x:c>
      <x:c r="D4008" s="21" t="str">
        <x:v>artifact 1479 planning state</x:v>
      </x:c>
      <x:c r="E4008" s="21" t="n">
        <x:f>IF(AND('Artifact Ledger'!Q1485="OPEN",'Artifact Ledger'!R1485="HOLD"),1,0)</x:f>
        <x:v>1</x:v>
      </x:c>
      <x:c r="F4008" s="21" t="n">
        <x:v>1</x:v>
      </x:c>
      <x:c r="G4008" s="23" t="str">
        <x:f>IF(E4008=F4008,"PASS","FAIL")</x:f>
        <x:v>PASS</x:v>
      </x:c>
    </x:row>
    <x:row r="4009">
      <x:c r="B4009" s="21" t="str">
        <x:v>A04003</x:v>
      </x:c>
      <x:c r="C4009" s="21" t="str">
        <x:v>artifact</x:v>
      </x:c>
      <x:c r="D4009" s="21" t="str">
        <x:v>artifact 1480 eligibility equation</x:v>
      </x:c>
      <x:c r="E4009" s="21" t="n">
        <x:f>IF(ABS('Artifact Ledger'!P1486-IF(AND('Artifact Ledger'!L1486=1,'Artifact Ledger'!M1486=1,'Artifact Ledger'!N1486=1,'Artifact Ledger'!O1486&gt;='Artifact Ledger'!G1486),'Artifact Ledger'!K1486,0))&lt;0.000001,1,0)</x:f>
        <x:v>1</x:v>
      </x:c>
      <x:c r="F4009" s="21" t="n">
        <x:v>1</x:v>
      </x:c>
      <x:c r="G4009" s="23" t="str">
        <x:f>IF(E4009=F4009,"PASS","FAIL")</x:f>
        <x:v>PASS</x:v>
      </x:c>
    </x:row>
    <x:row r="4010">
      <x:c r="B4010" s="21" t="str">
        <x:v>A04004</x:v>
      </x:c>
      <x:c r="C4010" s="21" t="str">
        <x:v>artifact</x:v>
      </x:c>
      <x:c r="D4010" s="21" t="str">
        <x:v>artifact 1480 planning state</x:v>
      </x:c>
      <x:c r="E4010" s="21" t="n">
        <x:f>IF(AND('Artifact Ledger'!Q1486="OPEN",'Artifact Ledger'!R1486="HOLD"),1,0)</x:f>
        <x:v>1</x:v>
      </x:c>
      <x:c r="F4010" s="21" t="n">
        <x:v>1</x:v>
      </x:c>
      <x:c r="G4010" s="23" t="str">
        <x:f>IF(E4010=F4010,"PASS","FAIL")</x:f>
        <x:v>PASS</x:v>
      </x:c>
    </x:row>
    <x:row r="4011">
      <x:c r="B4011" s="21" t="str">
        <x:v>A04005</x:v>
      </x:c>
      <x:c r="C4011" s="21" t="str">
        <x:v>artifact</x:v>
      </x:c>
      <x:c r="D4011" s="21" t="str">
        <x:v>artifact 1481 eligibility equation</x:v>
      </x:c>
      <x:c r="E4011" s="21" t="n">
        <x:f>IF(ABS('Artifact Ledger'!P1487-IF(AND('Artifact Ledger'!L1487=1,'Artifact Ledger'!M1487=1,'Artifact Ledger'!N1487=1,'Artifact Ledger'!O1487&gt;='Artifact Ledger'!G1487),'Artifact Ledger'!K1487,0))&lt;0.000001,1,0)</x:f>
        <x:v>1</x:v>
      </x:c>
      <x:c r="F4011" s="21" t="n">
        <x:v>1</x:v>
      </x:c>
      <x:c r="G4011" s="23" t="str">
        <x:f>IF(E4011=F4011,"PASS","FAIL")</x:f>
        <x:v>PASS</x:v>
      </x:c>
    </x:row>
    <x:row r="4012">
      <x:c r="B4012" s="21" t="str">
        <x:v>A04006</x:v>
      </x:c>
      <x:c r="C4012" s="21" t="str">
        <x:v>artifact</x:v>
      </x:c>
      <x:c r="D4012" s="21" t="str">
        <x:v>artifact 1481 planning state</x:v>
      </x:c>
      <x:c r="E4012" s="21" t="n">
        <x:f>IF(AND('Artifact Ledger'!Q1487="OPEN",'Artifact Ledger'!R1487="HOLD"),1,0)</x:f>
        <x:v>1</x:v>
      </x:c>
      <x:c r="F4012" s="21" t="n">
        <x:v>1</x:v>
      </x:c>
      <x:c r="G4012" s="23" t="str">
        <x:f>IF(E4012=F4012,"PASS","FAIL")</x:f>
        <x:v>PASS</x:v>
      </x:c>
    </x:row>
    <x:row r="4013">
      <x:c r="B4013" s="21" t="str">
        <x:v>A04007</x:v>
      </x:c>
      <x:c r="C4013" s="21" t="str">
        <x:v>artifact</x:v>
      </x:c>
      <x:c r="D4013" s="21" t="str">
        <x:v>artifact 1482 eligibility equation</x:v>
      </x:c>
      <x:c r="E4013" s="21" t="n">
        <x:f>IF(ABS('Artifact Ledger'!P1488-IF(AND('Artifact Ledger'!L1488=1,'Artifact Ledger'!M1488=1,'Artifact Ledger'!N1488=1,'Artifact Ledger'!O1488&gt;='Artifact Ledger'!G1488),'Artifact Ledger'!K1488,0))&lt;0.000001,1,0)</x:f>
        <x:v>1</x:v>
      </x:c>
      <x:c r="F4013" s="21" t="n">
        <x:v>1</x:v>
      </x:c>
      <x:c r="G4013" s="23" t="str">
        <x:f>IF(E4013=F4013,"PASS","FAIL")</x:f>
        <x:v>PASS</x:v>
      </x:c>
    </x:row>
    <x:row r="4014">
      <x:c r="B4014" s="21" t="str">
        <x:v>A04008</x:v>
      </x:c>
      <x:c r="C4014" s="21" t="str">
        <x:v>artifact</x:v>
      </x:c>
      <x:c r="D4014" s="21" t="str">
        <x:v>artifact 1482 planning state</x:v>
      </x:c>
      <x:c r="E4014" s="21" t="n">
        <x:f>IF(AND('Artifact Ledger'!Q1488="OPEN",'Artifact Ledger'!R1488="HOLD"),1,0)</x:f>
        <x:v>1</x:v>
      </x:c>
      <x:c r="F4014" s="21" t="n">
        <x:v>1</x:v>
      </x:c>
      <x:c r="G4014" s="23" t="str">
        <x:f>IF(E4014=F4014,"PASS","FAIL")</x:f>
        <x:v>PASS</x:v>
      </x:c>
    </x:row>
    <x:row r="4015">
      <x:c r="B4015" s="21" t="str">
        <x:v>A04009</x:v>
      </x:c>
      <x:c r="C4015" s="21" t="str">
        <x:v>artifact</x:v>
      </x:c>
      <x:c r="D4015" s="21" t="str">
        <x:v>artifact 1483 eligibility equation</x:v>
      </x:c>
      <x:c r="E4015" s="21" t="n">
        <x:f>IF(ABS('Artifact Ledger'!P1489-IF(AND('Artifact Ledger'!L1489=1,'Artifact Ledger'!M1489=1,'Artifact Ledger'!N1489=1,'Artifact Ledger'!O1489&gt;='Artifact Ledger'!G1489),'Artifact Ledger'!K1489,0))&lt;0.000001,1,0)</x:f>
        <x:v>1</x:v>
      </x:c>
      <x:c r="F4015" s="21" t="n">
        <x:v>1</x:v>
      </x:c>
      <x:c r="G4015" s="23" t="str">
        <x:f>IF(E4015=F4015,"PASS","FAIL")</x:f>
        <x:v>PASS</x:v>
      </x:c>
    </x:row>
    <x:row r="4016">
      <x:c r="B4016" s="21" t="str">
        <x:v>A04010</x:v>
      </x:c>
      <x:c r="C4016" s="21" t="str">
        <x:v>artifact</x:v>
      </x:c>
      <x:c r="D4016" s="21" t="str">
        <x:v>artifact 1483 planning state</x:v>
      </x:c>
      <x:c r="E4016" s="21" t="n">
        <x:f>IF(AND('Artifact Ledger'!Q1489="OPEN",'Artifact Ledger'!R1489="HOLD"),1,0)</x:f>
        <x:v>1</x:v>
      </x:c>
      <x:c r="F4016" s="21" t="n">
        <x:v>1</x:v>
      </x:c>
      <x:c r="G4016" s="23" t="str">
        <x:f>IF(E4016=F4016,"PASS","FAIL")</x:f>
        <x:v>PASS</x:v>
      </x:c>
    </x:row>
    <x:row r="4017">
      <x:c r="B4017" s="21" t="str">
        <x:v>A04011</x:v>
      </x:c>
      <x:c r="C4017" s="21" t="str">
        <x:v>artifact</x:v>
      </x:c>
      <x:c r="D4017" s="21" t="str">
        <x:v>artifact 1484 eligibility equation</x:v>
      </x:c>
      <x:c r="E4017" s="21" t="n">
        <x:f>IF(ABS('Artifact Ledger'!P1490-IF(AND('Artifact Ledger'!L1490=1,'Artifact Ledger'!M1490=1,'Artifact Ledger'!N1490=1,'Artifact Ledger'!O1490&gt;='Artifact Ledger'!G1490),'Artifact Ledger'!K1490,0))&lt;0.000001,1,0)</x:f>
        <x:v>1</x:v>
      </x:c>
      <x:c r="F4017" s="21" t="n">
        <x:v>1</x:v>
      </x:c>
      <x:c r="G4017" s="23" t="str">
        <x:f>IF(E4017=F4017,"PASS","FAIL")</x:f>
        <x:v>PASS</x:v>
      </x:c>
    </x:row>
    <x:row r="4018">
      <x:c r="B4018" s="21" t="str">
        <x:v>A04012</x:v>
      </x:c>
      <x:c r="C4018" s="21" t="str">
        <x:v>artifact</x:v>
      </x:c>
      <x:c r="D4018" s="21" t="str">
        <x:v>artifact 1484 planning state</x:v>
      </x:c>
      <x:c r="E4018" s="21" t="n">
        <x:f>IF(AND('Artifact Ledger'!Q1490="OPEN",'Artifact Ledger'!R1490="HOLD"),1,0)</x:f>
        <x:v>1</x:v>
      </x:c>
      <x:c r="F4018" s="21" t="n">
        <x:v>1</x:v>
      </x:c>
      <x:c r="G4018" s="23" t="str">
        <x:f>IF(E4018=F4018,"PASS","FAIL")</x:f>
        <x:v>PASS</x:v>
      </x:c>
    </x:row>
    <x:row r="4019">
      <x:c r="B4019" s="21" t="str">
        <x:v>A04013</x:v>
      </x:c>
      <x:c r="C4019" s="21" t="str">
        <x:v>artifact</x:v>
      </x:c>
      <x:c r="D4019" s="21" t="str">
        <x:v>artifact 1485 eligibility equation</x:v>
      </x:c>
      <x:c r="E4019" s="21" t="n">
        <x:f>IF(ABS('Artifact Ledger'!P1491-IF(AND('Artifact Ledger'!L1491=1,'Artifact Ledger'!M1491=1,'Artifact Ledger'!N1491=1,'Artifact Ledger'!O1491&gt;='Artifact Ledger'!G1491),'Artifact Ledger'!K1491,0))&lt;0.000001,1,0)</x:f>
        <x:v>1</x:v>
      </x:c>
      <x:c r="F4019" s="21" t="n">
        <x:v>1</x:v>
      </x:c>
      <x:c r="G4019" s="23" t="str">
        <x:f>IF(E4019=F4019,"PASS","FAIL")</x:f>
        <x:v>PASS</x:v>
      </x:c>
    </x:row>
    <x:row r="4020">
      <x:c r="B4020" s="21" t="str">
        <x:v>A04014</x:v>
      </x:c>
      <x:c r="C4020" s="21" t="str">
        <x:v>artifact</x:v>
      </x:c>
      <x:c r="D4020" s="21" t="str">
        <x:v>artifact 1485 planning state</x:v>
      </x:c>
      <x:c r="E4020" s="21" t="n">
        <x:f>IF(AND('Artifact Ledger'!Q1491="OPEN",'Artifact Ledger'!R1491="HOLD"),1,0)</x:f>
        <x:v>1</x:v>
      </x:c>
      <x:c r="F4020" s="21" t="n">
        <x:v>1</x:v>
      </x:c>
      <x:c r="G4020" s="23" t="str">
        <x:f>IF(E4020=F4020,"PASS","FAIL")</x:f>
        <x:v>PASS</x:v>
      </x:c>
    </x:row>
    <x:row r="4021">
      <x:c r="B4021" s="21" t="str">
        <x:v>A04015</x:v>
      </x:c>
      <x:c r="C4021" s="21" t="str">
        <x:v>artifact</x:v>
      </x:c>
      <x:c r="D4021" s="21" t="str">
        <x:v>artifact 1486 eligibility equation</x:v>
      </x:c>
      <x:c r="E4021" s="21" t="n">
        <x:f>IF(ABS('Artifact Ledger'!P1492-IF(AND('Artifact Ledger'!L1492=1,'Artifact Ledger'!M1492=1,'Artifact Ledger'!N1492=1,'Artifact Ledger'!O1492&gt;='Artifact Ledger'!G1492),'Artifact Ledger'!K1492,0))&lt;0.000001,1,0)</x:f>
        <x:v>1</x:v>
      </x:c>
      <x:c r="F4021" s="21" t="n">
        <x:v>1</x:v>
      </x:c>
      <x:c r="G4021" s="23" t="str">
        <x:f>IF(E4021=F4021,"PASS","FAIL")</x:f>
        <x:v>PASS</x:v>
      </x:c>
    </x:row>
    <x:row r="4022">
      <x:c r="B4022" s="21" t="str">
        <x:v>A04016</x:v>
      </x:c>
      <x:c r="C4022" s="21" t="str">
        <x:v>artifact</x:v>
      </x:c>
      <x:c r="D4022" s="21" t="str">
        <x:v>artifact 1486 planning state</x:v>
      </x:c>
      <x:c r="E4022" s="21" t="n">
        <x:f>IF(AND('Artifact Ledger'!Q1492="OPEN",'Artifact Ledger'!R1492="HOLD"),1,0)</x:f>
        <x:v>1</x:v>
      </x:c>
      <x:c r="F4022" s="21" t="n">
        <x:v>1</x:v>
      </x:c>
      <x:c r="G4022" s="23" t="str">
        <x:f>IF(E4022=F4022,"PASS","FAIL")</x:f>
        <x:v>PASS</x:v>
      </x:c>
    </x:row>
    <x:row r="4023">
      <x:c r="B4023" s="21" t="str">
        <x:v>A04017</x:v>
      </x:c>
      <x:c r="C4023" s="21" t="str">
        <x:v>artifact</x:v>
      </x:c>
      <x:c r="D4023" s="21" t="str">
        <x:v>artifact 1487 eligibility equation</x:v>
      </x:c>
      <x:c r="E4023" s="21" t="n">
        <x:f>IF(ABS('Artifact Ledger'!P1493-IF(AND('Artifact Ledger'!L1493=1,'Artifact Ledger'!M1493=1,'Artifact Ledger'!N1493=1,'Artifact Ledger'!O1493&gt;='Artifact Ledger'!G1493),'Artifact Ledger'!K1493,0))&lt;0.000001,1,0)</x:f>
        <x:v>1</x:v>
      </x:c>
      <x:c r="F4023" s="21" t="n">
        <x:v>1</x:v>
      </x:c>
      <x:c r="G4023" s="23" t="str">
        <x:f>IF(E4023=F4023,"PASS","FAIL")</x:f>
        <x:v>PASS</x:v>
      </x:c>
    </x:row>
    <x:row r="4024">
      <x:c r="B4024" s="21" t="str">
        <x:v>A04018</x:v>
      </x:c>
      <x:c r="C4024" s="21" t="str">
        <x:v>artifact</x:v>
      </x:c>
      <x:c r="D4024" s="21" t="str">
        <x:v>artifact 1487 planning state</x:v>
      </x:c>
      <x:c r="E4024" s="21" t="n">
        <x:f>IF(AND('Artifact Ledger'!Q1493="OPEN",'Artifact Ledger'!R1493="HOLD"),1,0)</x:f>
        <x:v>1</x:v>
      </x:c>
      <x:c r="F4024" s="21" t="n">
        <x:v>1</x:v>
      </x:c>
      <x:c r="G4024" s="23" t="str">
        <x:f>IF(E4024=F4024,"PASS","FAIL")</x:f>
        <x:v>PASS</x:v>
      </x:c>
    </x:row>
    <x:row r="4025">
      <x:c r="B4025" s="21" t="str">
        <x:v>A04019</x:v>
      </x:c>
      <x:c r="C4025" s="21" t="str">
        <x:v>artifact</x:v>
      </x:c>
      <x:c r="D4025" s="21" t="str">
        <x:v>artifact 1488 eligibility equation</x:v>
      </x:c>
      <x:c r="E4025" s="21" t="n">
        <x:f>IF(ABS('Artifact Ledger'!P1494-IF(AND('Artifact Ledger'!L1494=1,'Artifact Ledger'!M1494=1,'Artifact Ledger'!N1494=1,'Artifact Ledger'!O1494&gt;='Artifact Ledger'!G1494),'Artifact Ledger'!K1494,0))&lt;0.000001,1,0)</x:f>
        <x:v>1</x:v>
      </x:c>
      <x:c r="F4025" s="21" t="n">
        <x:v>1</x:v>
      </x:c>
      <x:c r="G4025" s="23" t="str">
        <x:f>IF(E4025=F4025,"PASS","FAIL")</x:f>
        <x:v>PASS</x:v>
      </x:c>
    </x:row>
    <x:row r="4026">
      <x:c r="B4026" s="21" t="str">
        <x:v>A04020</x:v>
      </x:c>
      <x:c r="C4026" s="21" t="str">
        <x:v>artifact</x:v>
      </x:c>
      <x:c r="D4026" s="21" t="str">
        <x:v>artifact 1488 planning state</x:v>
      </x:c>
      <x:c r="E4026" s="21" t="n">
        <x:f>IF(AND('Artifact Ledger'!Q1494="OPEN",'Artifact Ledger'!R1494="HOLD"),1,0)</x:f>
        <x:v>1</x:v>
      </x:c>
      <x:c r="F4026" s="21" t="n">
        <x:v>1</x:v>
      </x:c>
      <x:c r="G4026" s="23" t="str">
        <x:f>IF(E4026=F4026,"PASS","FAIL")</x:f>
        <x:v>PASS</x:v>
      </x:c>
    </x:row>
    <x:row r="4027">
      <x:c r="B4027" s="21" t="str">
        <x:v>A04021</x:v>
      </x:c>
      <x:c r="C4027" s="21" t="str">
        <x:v>artifact</x:v>
      </x:c>
      <x:c r="D4027" s="21" t="str">
        <x:v>artifact 1489 eligibility equation</x:v>
      </x:c>
      <x:c r="E4027" s="21" t="n">
        <x:f>IF(ABS('Artifact Ledger'!P1495-IF(AND('Artifact Ledger'!L1495=1,'Artifact Ledger'!M1495=1,'Artifact Ledger'!N1495=1,'Artifact Ledger'!O1495&gt;='Artifact Ledger'!G1495),'Artifact Ledger'!K1495,0))&lt;0.000001,1,0)</x:f>
        <x:v>1</x:v>
      </x:c>
      <x:c r="F4027" s="21" t="n">
        <x:v>1</x:v>
      </x:c>
      <x:c r="G4027" s="23" t="str">
        <x:f>IF(E4027=F4027,"PASS","FAIL")</x:f>
        <x:v>PASS</x:v>
      </x:c>
    </x:row>
    <x:row r="4028">
      <x:c r="B4028" s="21" t="str">
        <x:v>A04022</x:v>
      </x:c>
      <x:c r="C4028" s="21" t="str">
        <x:v>artifact</x:v>
      </x:c>
      <x:c r="D4028" s="21" t="str">
        <x:v>artifact 1489 planning state</x:v>
      </x:c>
      <x:c r="E4028" s="21" t="n">
        <x:f>IF(AND('Artifact Ledger'!Q1495="OPEN",'Artifact Ledger'!R1495="HOLD"),1,0)</x:f>
        <x:v>1</x:v>
      </x:c>
      <x:c r="F4028" s="21" t="n">
        <x:v>1</x:v>
      </x:c>
      <x:c r="G4028" s="23" t="str">
        <x:f>IF(E4028=F4028,"PASS","FAIL")</x:f>
        <x:v>PASS</x:v>
      </x:c>
    </x:row>
    <x:row r="4029">
      <x:c r="B4029" s="21" t="str">
        <x:v>A04023</x:v>
      </x:c>
      <x:c r="C4029" s="21" t="str">
        <x:v>artifact</x:v>
      </x:c>
      <x:c r="D4029" s="21" t="str">
        <x:v>artifact 1490 eligibility equation</x:v>
      </x:c>
      <x:c r="E4029" s="21" t="n">
        <x:f>IF(ABS('Artifact Ledger'!P1496-IF(AND('Artifact Ledger'!L1496=1,'Artifact Ledger'!M1496=1,'Artifact Ledger'!N1496=1,'Artifact Ledger'!O1496&gt;='Artifact Ledger'!G1496),'Artifact Ledger'!K1496,0))&lt;0.000001,1,0)</x:f>
        <x:v>1</x:v>
      </x:c>
      <x:c r="F4029" s="21" t="n">
        <x:v>1</x:v>
      </x:c>
      <x:c r="G4029" s="23" t="str">
        <x:f>IF(E4029=F4029,"PASS","FAIL")</x:f>
        <x:v>PASS</x:v>
      </x:c>
    </x:row>
    <x:row r="4030">
      <x:c r="B4030" s="21" t="str">
        <x:v>A04024</x:v>
      </x:c>
      <x:c r="C4030" s="21" t="str">
        <x:v>artifact</x:v>
      </x:c>
      <x:c r="D4030" s="21" t="str">
        <x:v>artifact 1490 planning state</x:v>
      </x:c>
      <x:c r="E4030" s="21" t="n">
        <x:f>IF(AND('Artifact Ledger'!Q1496="OPEN",'Artifact Ledger'!R1496="HOLD"),1,0)</x:f>
        <x:v>1</x:v>
      </x:c>
      <x:c r="F4030" s="21" t="n">
        <x:v>1</x:v>
      </x:c>
      <x:c r="G4030" s="23" t="str">
        <x:f>IF(E4030=F4030,"PASS","FAIL")</x:f>
        <x:v>PASS</x:v>
      </x:c>
    </x:row>
    <x:row r="4031">
      <x:c r="B4031" s="21" t="str">
        <x:v>A04025</x:v>
      </x:c>
      <x:c r="C4031" s="21" t="str">
        <x:v>artifact</x:v>
      </x:c>
      <x:c r="D4031" s="21" t="str">
        <x:v>artifact 1491 eligibility equation</x:v>
      </x:c>
      <x:c r="E4031" s="21" t="n">
        <x:f>IF(ABS('Artifact Ledger'!P1497-IF(AND('Artifact Ledger'!L1497=1,'Artifact Ledger'!M1497=1,'Artifact Ledger'!N1497=1,'Artifact Ledger'!O1497&gt;='Artifact Ledger'!G1497),'Artifact Ledger'!K1497,0))&lt;0.000001,1,0)</x:f>
        <x:v>1</x:v>
      </x:c>
      <x:c r="F4031" s="21" t="n">
        <x:v>1</x:v>
      </x:c>
      <x:c r="G4031" s="23" t="str">
        <x:f>IF(E4031=F4031,"PASS","FAIL")</x:f>
        <x:v>PASS</x:v>
      </x:c>
    </x:row>
    <x:row r="4032">
      <x:c r="B4032" s="21" t="str">
        <x:v>A04026</x:v>
      </x:c>
      <x:c r="C4032" s="21" t="str">
        <x:v>artifact</x:v>
      </x:c>
      <x:c r="D4032" s="21" t="str">
        <x:v>artifact 1491 planning state</x:v>
      </x:c>
      <x:c r="E4032" s="21" t="n">
        <x:f>IF(AND('Artifact Ledger'!Q1497="OPEN",'Artifact Ledger'!R1497="HOLD"),1,0)</x:f>
        <x:v>1</x:v>
      </x:c>
      <x:c r="F4032" s="21" t="n">
        <x:v>1</x:v>
      </x:c>
      <x:c r="G4032" s="23" t="str">
        <x:f>IF(E4032=F4032,"PASS","FAIL")</x:f>
        <x:v>PASS</x:v>
      </x:c>
    </x:row>
    <x:row r="4033">
      <x:c r="B4033" s="21" t="str">
        <x:v>A04027</x:v>
      </x:c>
      <x:c r="C4033" s="21" t="str">
        <x:v>artifact</x:v>
      </x:c>
      <x:c r="D4033" s="21" t="str">
        <x:v>artifact 1492 eligibility equation</x:v>
      </x:c>
      <x:c r="E4033" s="21" t="n">
        <x:f>IF(ABS('Artifact Ledger'!P1498-IF(AND('Artifact Ledger'!L1498=1,'Artifact Ledger'!M1498=1,'Artifact Ledger'!N1498=1,'Artifact Ledger'!O1498&gt;='Artifact Ledger'!G1498),'Artifact Ledger'!K1498,0))&lt;0.000001,1,0)</x:f>
        <x:v>1</x:v>
      </x:c>
      <x:c r="F4033" s="21" t="n">
        <x:v>1</x:v>
      </x:c>
      <x:c r="G4033" s="23" t="str">
        <x:f>IF(E4033=F4033,"PASS","FAIL")</x:f>
        <x:v>PASS</x:v>
      </x:c>
    </x:row>
    <x:row r="4034">
      <x:c r="B4034" s="21" t="str">
        <x:v>A04028</x:v>
      </x:c>
      <x:c r="C4034" s="21" t="str">
        <x:v>artifact</x:v>
      </x:c>
      <x:c r="D4034" s="21" t="str">
        <x:v>artifact 1492 planning state</x:v>
      </x:c>
      <x:c r="E4034" s="21" t="n">
        <x:f>IF(AND('Artifact Ledger'!Q1498="OPEN",'Artifact Ledger'!R1498="HOLD"),1,0)</x:f>
        <x:v>1</x:v>
      </x:c>
      <x:c r="F4034" s="21" t="n">
        <x:v>1</x:v>
      </x:c>
      <x:c r="G4034" s="23" t="str">
        <x:f>IF(E4034=F4034,"PASS","FAIL")</x:f>
        <x:v>PASS</x:v>
      </x:c>
    </x:row>
    <x:row r="4035">
      <x:c r="B4035" s="21" t="str">
        <x:v>A04029</x:v>
      </x:c>
      <x:c r="C4035" s="21" t="str">
        <x:v>artifact</x:v>
      </x:c>
      <x:c r="D4035" s="21" t="str">
        <x:v>artifact 1493 eligibility equation</x:v>
      </x:c>
      <x:c r="E4035" s="21" t="n">
        <x:f>IF(ABS('Artifact Ledger'!P1499-IF(AND('Artifact Ledger'!L1499=1,'Artifact Ledger'!M1499=1,'Artifact Ledger'!N1499=1,'Artifact Ledger'!O1499&gt;='Artifact Ledger'!G1499),'Artifact Ledger'!K1499,0))&lt;0.000001,1,0)</x:f>
        <x:v>1</x:v>
      </x:c>
      <x:c r="F4035" s="21" t="n">
        <x:v>1</x:v>
      </x:c>
      <x:c r="G4035" s="23" t="str">
        <x:f>IF(E4035=F4035,"PASS","FAIL")</x:f>
        <x:v>PASS</x:v>
      </x:c>
    </x:row>
    <x:row r="4036">
      <x:c r="B4036" s="21" t="str">
        <x:v>A04030</x:v>
      </x:c>
      <x:c r="C4036" s="21" t="str">
        <x:v>artifact</x:v>
      </x:c>
      <x:c r="D4036" s="21" t="str">
        <x:v>artifact 1493 planning state</x:v>
      </x:c>
      <x:c r="E4036" s="21" t="n">
        <x:f>IF(AND('Artifact Ledger'!Q1499="OPEN",'Artifact Ledger'!R1499="HOLD"),1,0)</x:f>
        <x:v>1</x:v>
      </x:c>
      <x:c r="F4036" s="21" t="n">
        <x:v>1</x:v>
      </x:c>
      <x:c r="G4036" s="23" t="str">
        <x:f>IF(E4036=F4036,"PASS","FAIL")</x:f>
        <x:v>PASS</x:v>
      </x:c>
    </x:row>
    <x:row r="4037">
      <x:c r="B4037" s="21" t="str">
        <x:v>A04031</x:v>
      </x:c>
      <x:c r="C4037" s="21" t="str">
        <x:v>artifact</x:v>
      </x:c>
      <x:c r="D4037" s="21" t="str">
        <x:v>artifact 1494 eligibility equation</x:v>
      </x:c>
      <x:c r="E4037" s="21" t="n">
        <x:f>IF(ABS('Artifact Ledger'!P1500-IF(AND('Artifact Ledger'!L1500=1,'Artifact Ledger'!M1500=1,'Artifact Ledger'!N1500=1,'Artifact Ledger'!O1500&gt;='Artifact Ledger'!G1500),'Artifact Ledger'!K1500,0))&lt;0.000001,1,0)</x:f>
        <x:v>1</x:v>
      </x:c>
      <x:c r="F4037" s="21" t="n">
        <x:v>1</x:v>
      </x:c>
      <x:c r="G4037" s="23" t="str">
        <x:f>IF(E4037=F4037,"PASS","FAIL")</x:f>
        <x:v>PASS</x:v>
      </x:c>
    </x:row>
    <x:row r="4038">
      <x:c r="B4038" s="21" t="str">
        <x:v>A04032</x:v>
      </x:c>
      <x:c r="C4038" s="21" t="str">
        <x:v>artifact</x:v>
      </x:c>
      <x:c r="D4038" s="21" t="str">
        <x:v>artifact 1494 planning state</x:v>
      </x:c>
      <x:c r="E4038" s="21" t="n">
        <x:f>IF(AND('Artifact Ledger'!Q1500="OPEN",'Artifact Ledger'!R1500="HOLD"),1,0)</x:f>
        <x:v>1</x:v>
      </x:c>
      <x:c r="F4038" s="21" t="n">
        <x:v>1</x:v>
      </x:c>
      <x:c r="G4038" s="23" t="str">
        <x:f>IF(E4038=F4038,"PASS","FAIL")</x:f>
        <x:v>PASS</x:v>
      </x:c>
    </x:row>
    <x:row r="4039">
      <x:c r="B4039" s="21" t="str">
        <x:v>A04033</x:v>
      </x:c>
      <x:c r="C4039" s="21" t="str">
        <x:v>artifact</x:v>
      </x:c>
      <x:c r="D4039" s="21" t="str">
        <x:v>artifact 1495 eligibility equation</x:v>
      </x:c>
      <x:c r="E4039" s="21" t="n">
        <x:f>IF(ABS('Artifact Ledger'!P1501-IF(AND('Artifact Ledger'!L1501=1,'Artifact Ledger'!M1501=1,'Artifact Ledger'!N1501=1,'Artifact Ledger'!O1501&gt;='Artifact Ledger'!G1501),'Artifact Ledger'!K1501,0))&lt;0.000001,1,0)</x:f>
        <x:v>1</x:v>
      </x:c>
      <x:c r="F4039" s="21" t="n">
        <x:v>1</x:v>
      </x:c>
      <x:c r="G4039" s="23" t="str">
        <x:f>IF(E4039=F4039,"PASS","FAIL")</x:f>
        <x:v>PASS</x:v>
      </x:c>
    </x:row>
    <x:row r="4040">
      <x:c r="B4040" s="21" t="str">
        <x:v>A04034</x:v>
      </x:c>
      <x:c r="C4040" s="21" t="str">
        <x:v>artifact</x:v>
      </x:c>
      <x:c r="D4040" s="21" t="str">
        <x:v>artifact 1495 planning state</x:v>
      </x:c>
      <x:c r="E4040" s="21" t="n">
        <x:f>IF(AND('Artifact Ledger'!Q1501="OPEN",'Artifact Ledger'!R1501="HOLD"),1,0)</x:f>
        <x:v>1</x:v>
      </x:c>
      <x:c r="F4040" s="21" t="n">
        <x:v>1</x:v>
      </x:c>
      <x:c r="G4040" s="23" t="str">
        <x:f>IF(E4040=F4040,"PASS","FAIL")</x:f>
        <x:v>PASS</x:v>
      </x:c>
    </x:row>
    <x:row r="4041">
      <x:c r="B4041" s="21" t="str">
        <x:v>A04035</x:v>
      </x:c>
      <x:c r="C4041" s="21" t="str">
        <x:v>artifact</x:v>
      </x:c>
      <x:c r="D4041" s="21" t="str">
        <x:v>artifact 1496 eligibility equation</x:v>
      </x:c>
      <x:c r="E4041" s="21" t="n">
        <x:f>IF(ABS('Artifact Ledger'!P1502-IF(AND('Artifact Ledger'!L1502=1,'Artifact Ledger'!M1502=1,'Artifact Ledger'!N1502=1,'Artifact Ledger'!O1502&gt;='Artifact Ledger'!G1502),'Artifact Ledger'!K1502,0))&lt;0.000001,1,0)</x:f>
        <x:v>1</x:v>
      </x:c>
      <x:c r="F4041" s="21" t="n">
        <x:v>1</x:v>
      </x:c>
      <x:c r="G4041" s="23" t="str">
        <x:f>IF(E4041=F4041,"PASS","FAIL")</x:f>
        <x:v>PASS</x:v>
      </x:c>
    </x:row>
    <x:row r="4042">
      <x:c r="B4042" s="21" t="str">
        <x:v>A04036</x:v>
      </x:c>
      <x:c r="C4042" s="21" t="str">
        <x:v>artifact</x:v>
      </x:c>
      <x:c r="D4042" s="21" t="str">
        <x:v>artifact 1496 planning state</x:v>
      </x:c>
      <x:c r="E4042" s="21" t="n">
        <x:f>IF(AND('Artifact Ledger'!Q1502="OPEN",'Artifact Ledger'!R1502="HOLD"),1,0)</x:f>
        <x:v>1</x:v>
      </x:c>
      <x:c r="F4042" s="21" t="n">
        <x:v>1</x:v>
      </x:c>
      <x:c r="G4042" s="23" t="str">
        <x:f>IF(E4042=F4042,"PASS","FAIL")</x:f>
        <x:v>PASS</x:v>
      </x:c>
    </x:row>
    <x:row r="4043">
      <x:c r="B4043" s="21" t="str">
        <x:v>A04037</x:v>
      </x:c>
      <x:c r="C4043" s="21" t="str">
        <x:v>artifact</x:v>
      </x:c>
      <x:c r="D4043" s="21" t="str">
        <x:v>artifact 1497 eligibility equation</x:v>
      </x:c>
      <x:c r="E4043" s="21" t="n">
        <x:f>IF(ABS('Artifact Ledger'!P1503-IF(AND('Artifact Ledger'!L1503=1,'Artifact Ledger'!M1503=1,'Artifact Ledger'!N1503=1,'Artifact Ledger'!O1503&gt;='Artifact Ledger'!G1503),'Artifact Ledger'!K1503,0))&lt;0.000001,1,0)</x:f>
        <x:v>1</x:v>
      </x:c>
      <x:c r="F4043" s="21" t="n">
        <x:v>1</x:v>
      </x:c>
      <x:c r="G4043" s="23" t="str">
        <x:f>IF(E4043=F4043,"PASS","FAIL")</x:f>
        <x:v>PASS</x:v>
      </x:c>
    </x:row>
    <x:row r="4044">
      <x:c r="B4044" s="21" t="str">
        <x:v>A04038</x:v>
      </x:c>
      <x:c r="C4044" s="21" t="str">
        <x:v>artifact</x:v>
      </x:c>
      <x:c r="D4044" s="21" t="str">
        <x:v>artifact 1497 planning state</x:v>
      </x:c>
      <x:c r="E4044" s="21" t="n">
        <x:f>IF(AND('Artifact Ledger'!Q1503="OPEN",'Artifact Ledger'!R1503="HOLD"),1,0)</x:f>
        <x:v>1</x:v>
      </x:c>
      <x:c r="F4044" s="21" t="n">
        <x:v>1</x:v>
      </x:c>
      <x:c r="G4044" s="23" t="str">
        <x:f>IF(E4044=F4044,"PASS","FAIL")</x:f>
        <x:v>PASS</x:v>
      </x:c>
    </x:row>
    <x:row r="4045">
      <x:c r="B4045" s="21" t="str">
        <x:v>A04039</x:v>
      </x:c>
      <x:c r="C4045" s="21" t="str">
        <x:v>artifact</x:v>
      </x:c>
      <x:c r="D4045" s="21" t="str">
        <x:v>artifact 1498 eligibility equation</x:v>
      </x:c>
      <x:c r="E4045" s="21" t="n">
        <x:f>IF(ABS('Artifact Ledger'!P1504-IF(AND('Artifact Ledger'!L1504=1,'Artifact Ledger'!M1504=1,'Artifact Ledger'!N1504=1,'Artifact Ledger'!O1504&gt;='Artifact Ledger'!G1504),'Artifact Ledger'!K1504,0))&lt;0.000001,1,0)</x:f>
        <x:v>1</x:v>
      </x:c>
      <x:c r="F4045" s="21" t="n">
        <x:v>1</x:v>
      </x:c>
      <x:c r="G4045" s="23" t="str">
        <x:f>IF(E4045=F4045,"PASS","FAIL")</x:f>
        <x:v>PASS</x:v>
      </x:c>
    </x:row>
    <x:row r="4046">
      <x:c r="B4046" s="21" t="str">
        <x:v>A04040</x:v>
      </x:c>
      <x:c r="C4046" s="21" t="str">
        <x:v>artifact</x:v>
      </x:c>
      <x:c r="D4046" s="21" t="str">
        <x:v>artifact 1498 planning state</x:v>
      </x:c>
      <x:c r="E4046" s="21" t="n">
        <x:f>IF(AND('Artifact Ledger'!Q1504="OPEN",'Artifact Ledger'!R1504="HOLD"),1,0)</x:f>
        <x:v>1</x:v>
      </x:c>
      <x:c r="F4046" s="21" t="n">
        <x:v>1</x:v>
      </x:c>
      <x:c r="G4046" s="23" t="str">
        <x:f>IF(E4046=F4046,"PASS","FAIL")</x:f>
        <x:v>PASS</x:v>
      </x:c>
    </x:row>
    <x:row r="4047">
      <x:c r="B4047" s="21" t="str">
        <x:v>A04041</x:v>
      </x:c>
      <x:c r="C4047" s="21" t="str">
        <x:v>artifact</x:v>
      </x:c>
      <x:c r="D4047" s="21" t="str">
        <x:v>artifact 1499 eligibility equation</x:v>
      </x:c>
      <x:c r="E4047" s="21" t="n">
        <x:f>IF(ABS('Artifact Ledger'!P1505-IF(AND('Artifact Ledger'!L1505=1,'Artifact Ledger'!M1505=1,'Artifact Ledger'!N1505=1,'Artifact Ledger'!O1505&gt;='Artifact Ledger'!G1505),'Artifact Ledger'!K1505,0))&lt;0.000001,1,0)</x:f>
        <x:v>1</x:v>
      </x:c>
      <x:c r="F4047" s="21" t="n">
        <x:v>1</x:v>
      </x:c>
      <x:c r="G4047" s="23" t="str">
        <x:f>IF(E4047=F4047,"PASS","FAIL")</x:f>
        <x:v>PASS</x:v>
      </x:c>
    </x:row>
    <x:row r="4048">
      <x:c r="B4048" s="21" t="str">
        <x:v>A04042</x:v>
      </x:c>
      <x:c r="C4048" s="21" t="str">
        <x:v>artifact</x:v>
      </x:c>
      <x:c r="D4048" s="21" t="str">
        <x:v>artifact 1499 planning state</x:v>
      </x:c>
      <x:c r="E4048" s="21" t="n">
        <x:f>IF(AND('Artifact Ledger'!Q1505="OPEN",'Artifact Ledger'!R1505="HOLD"),1,0)</x:f>
        <x:v>1</x:v>
      </x:c>
      <x:c r="F4048" s="21" t="n">
        <x:v>1</x:v>
      </x:c>
      <x:c r="G4048" s="23" t="str">
        <x:f>IF(E4048=F4048,"PASS","FAIL")</x:f>
        <x:v>PASS</x:v>
      </x:c>
    </x:row>
    <x:row r="4049">
      <x:c r="B4049" s="21" t="str">
        <x:v>A04043</x:v>
      </x:c>
      <x:c r="C4049" s="21" t="str">
        <x:v>artifact</x:v>
      </x:c>
      <x:c r="D4049" s="21" t="str">
        <x:v>artifact 1500 eligibility equation</x:v>
      </x:c>
      <x:c r="E4049" s="21" t="n">
        <x:f>IF(ABS('Artifact Ledger'!P1506-IF(AND('Artifact Ledger'!L1506=1,'Artifact Ledger'!M1506=1,'Artifact Ledger'!N1506=1,'Artifact Ledger'!O1506&gt;='Artifact Ledger'!G1506),'Artifact Ledger'!K1506,0))&lt;0.000001,1,0)</x:f>
        <x:v>1</x:v>
      </x:c>
      <x:c r="F4049" s="21" t="n">
        <x:v>1</x:v>
      </x:c>
      <x:c r="G4049" s="23" t="str">
        <x:f>IF(E4049=F4049,"PASS","FAIL")</x:f>
        <x:v>PASS</x:v>
      </x:c>
    </x:row>
    <x:row r="4050">
      <x:c r="B4050" s="21" t="str">
        <x:v>A04044</x:v>
      </x:c>
      <x:c r="C4050" s="21" t="str">
        <x:v>artifact</x:v>
      </x:c>
      <x:c r="D4050" s="21" t="str">
        <x:v>artifact 1500 planning state</x:v>
      </x:c>
      <x:c r="E4050" s="21" t="n">
        <x:f>IF(AND('Artifact Ledger'!Q1506="OPEN",'Artifact Ledger'!R1506="HOLD"),1,0)</x:f>
        <x:v>1</x:v>
      </x:c>
      <x:c r="F4050" s="21" t="n">
        <x:v>1</x:v>
      </x:c>
      <x:c r="G4050" s="23" t="str">
        <x:f>IF(E4050=F4050,"PASS","FAIL")</x:f>
        <x:v>PASS</x:v>
      </x:c>
    </x:row>
    <x:row r="4051">
      <x:c r="B4051" s="21" t="str">
        <x:v>A04045</x:v>
      </x:c>
      <x:c r="C4051" s="21" t="str">
        <x:v>artifact</x:v>
      </x:c>
      <x:c r="D4051" s="21" t="str">
        <x:v>artifact 1501 eligibility equation</x:v>
      </x:c>
      <x:c r="E4051" s="21" t="n">
        <x:f>IF(ABS('Artifact Ledger'!P1507-IF(AND('Artifact Ledger'!L1507=1,'Artifact Ledger'!M1507=1,'Artifact Ledger'!N1507=1,'Artifact Ledger'!O1507&gt;='Artifact Ledger'!G1507),'Artifact Ledger'!K1507,0))&lt;0.000001,1,0)</x:f>
        <x:v>1</x:v>
      </x:c>
      <x:c r="F4051" s="21" t="n">
        <x:v>1</x:v>
      </x:c>
      <x:c r="G4051" s="23" t="str">
        <x:f>IF(E4051=F4051,"PASS","FAIL")</x:f>
        <x:v>PASS</x:v>
      </x:c>
    </x:row>
    <x:row r="4052">
      <x:c r="B4052" s="21" t="str">
        <x:v>A04046</x:v>
      </x:c>
      <x:c r="C4052" s="21" t="str">
        <x:v>artifact</x:v>
      </x:c>
      <x:c r="D4052" s="21" t="str">
        <x:v>artifact 1501 planning state</x:v>
      </x:c>
      <x:c r="E4052" s="21" t="n">
        <x:f>IF(AND('Artifact Ledger'!Q1507="OPEN",'Artifact Ledger'!R1507="HOLD"),1,0)</x:f>
        <x:v>1</x:v>
      </x:c>
      <x:c r="F4052" s="21" t="n">
        <x:v>1</x:v>
      </x:c>
      <x:c r="G4052" s="23" t="str">
        <x:f>IF(E4052=F4052,"PASS","FAIL")</x:f>
        <x:v>PASS</x:v>
      </x:c>
    </x:row>
    <x:row r="4053">
      <x:c r="B4053" s="21" t="str">
        <x:v>A04047</x:v>
      </x:c>
      <x:c r="C4053" s="21" t="str">
        <x:v>artifact</x:v>
      </x:c>
      <x:c r="D4053" s="21" t="str">
        <x:v>artifact 1502 eligibility equation</x:v>
      </x:c>
      <x:c r="E4053" s="21" t="n">
        <x:f>IF(ABS('Artifact Ledger'!P1508-IF(AND('Artifact Ledger'!L1508=1,'Artifact Ledger'!M1508=1,'Artifact Ledger'!N1508=1,'Artifact Ledger'!O1508&gt;='Artifact Ledger'!G1508),'Artifact Ledger'!K1508,0))&lt;0.000001,1,0)</x:f>
        <x:v>1</x:v>
      </x:c>
      <x:c r="F4053" s="21" t="n">
        <x:v>1</x:v>
      </x:c>
      <x:c r="G4053" s="23" t="str">
        <x:f>IF(E4053=F4053,"PASS","FAIL")</x:f>
        <x:v>PASS</x:v>
      </x:c>
    </x:row>
    <x:row r="4054">
      <x:c r="B4054" s="21" t="str">
        <x:v>A04048</x:v>
      </x:c>
      <x:c r="C4054" s="21" t="str">
        <x:v>artifact</x:v>
      </x:c>
      <x:c r="D4054" s="21" t="str">
        <x:v>artifact 1502 planning state</x:v>
      </x:c>
      <x:c r="E4054" s="21" t="n">
        <x:f>IF(AND('Artifact Ledger'!Q1508="OPEN",'Artifact Ledger'!R1508="HOLD"),1,0)</x:f>
        <x:v>1</x:v>
      </x:c>
      <x:c r="F4054" s="21" t="n">
        <x:v>1</x:v>
      </x:c>
      <x:c r="G4054" s="23" t="str">
        <x:f>IF(E4054=F4054,"PASS","FAIL")</x:f>
        <x:v>PASS</x:v>
      </x:c>
    </x:row>
    <x:row r="4055">
      <x:c r="B4055" s="21" t="str">
        <x:v>A04049</x:v>
      </x:c>
      <x:c r="C4055" s="21" t="str">
        <x:v>artifact</x:v>
      </x:c>
      <x:c r="D4055" s="21" t="str">
        <x:v>artifact 1503 eligibility equation</x:v>
      </x:c>
      <x:c r="E4055" s="21" t="n">
        <x:f>IF(ABS('Artifact Ledger'!P1509-IF(AND('Artifact Ledger'!L1509=1,'Artifact Ledger'!M1509=1,'Artifact Ledger'!N1509=1,'Artifact Ledger'!O1509&gt;='Artifact Ledger'!G1509),'Artifact Ledger'!K1509,0))&lt;0.000001,1,0)</x:f>
        <x:v>1</x:v>
      </x:c>
      <x:c r="F4055" s="21" t="n">
        <x:v>1</x:v>
      </x:c>
      <x:c r="G4055" s="23" t="str">
        <x:f>IF(E4055=F4055,"PASS","FAIL")</x:f>
        <x:v>PASS</x:v>
      </x:c>
    </x:row>
    <x:row r="4056">
      <x:c r="B4056" s="21" t="str">
        <x:v>A04050</x:v>
      </x:c>
      <x:c r="C4056" s="21" t="str">
        <x:v>artifact</x:v>
      </x:c>
      <x:c r="D4056" s="21" t="str">
        <x:v>artifact 1503 planning state</x:v>
      </x:c>
      <x:c r="E4056" s="21" t="n">
        <x:f>IF(AND('Artifact Ledger'!Q1509="OPEN",'Artifact Ledger'!R1509="HOLD"),1,0)</x:f>
        <x:v>1</x:v>
      </x:c>
      <x:c r="F4056" s="21" t="n">
        <x:v>1</x:v>
      </x:c>
      <x:c r="G4056" s="23" t="str">
        <x:f>IF(E4056=F4056,"PASS","FAIL")</x:f>
        <x:v>PASS</x:v>
      </x:c>
    </x:row>
    <x:row r="4057">
      <x:c r="B4057" s="21" t="str">
        <x:v>A04051</x:v>
      </x:c>
      <x:c r="C4057" s="21" t="str">
        <x:v>artifact</x:v>
      </x:c>
      <x:c r="D4057" s="21" t="str">
        <x:v>artifact 1504 eligibility equation</x:v>
      </x:c>
      <x:c r="E4057" s="21" t="n">
        <x:f>IF(ABS('Artifact Ledger'!P1510-IF(AND('Artifact Ledger'!L1510=1,'Artifact Ledger'!M1510=1,'Artifact Ledger'!N1510=1,'Artifact Ledger'!O1510&gt;='Artifact Ledger'!G1510),'Artifact Ledger'!K1510,0))&lt;0.000001,1,0)</x:f>
        <x:v>1</x:v>
      </x:c>
      <x:c r="F4057" s="21" t="n">
        <x:v>1</x:v>
      </x:c>
      <x:c r="G4057" s="23" t="str">
        <x:f>IF(E4057=F4057,"PASS","FAIL")</x:f>
        <x:v>PASS</x:v>
      </x:c>
    </x:row>
    <x:row r="4058">
      <x:c r="B4058" s="21" t="str">
        <x:v>A04052</x:v>
      </x:c>
      <x:c r="C4058" s="21" t="str">
        <x:v>artifact</x:v>
      </x:c>
      <x:c r="D4058" s="21" t="str">
        <x:v>artifact 1504 planning state</x:v>
      </x:c>
      <x:c r="E4058" s="21" t="n">
        <x:f>IF(AND('Artifact Ledger'!Q1510="OPEN",'Artifact Ledger'!R1510="HOLD"),1,0)</x:f>
        <x:v>1</x:v>
      </x:c>
      <x:c r="F4058" s="21" t="n">
        <x:v>1</x:v>
      </x:c>
      <x:c r="G4058" s="23" t="str">
        <x:f>IF(E4058=F4058,"PASS","FAIL")</x:f>
        <x:v>PASS</x:v>
      </x:c>
    </x:row>
    <x:row r="4059">
      <x:c r="B4059" s="21" t="str">
        <x:v>A04053</x:v>
      </x:c>
      <x:c r="C4059" s="21" t="str">
        <x:v>artifact</x:v>
      </x:c>
      <x:c r="D4059" s="21" t="str">
        <x:v>artifact 1505 eligibility equation</x:v>
      </x:c>
      <x:c r="E4059" s="21" t="n">
        <x:f>IF(ABS('Artifact Ledger'!P1511-IF(AND('Artifact Ledger'!L1511=1,'Artifact Ledger'!M1511=1,'Artifact Ledger'!N1511=1,'Artifact Ledger'!O1511&gt;='Artifact Ledger'!G1511),'Artifact Ledger'!K1511,0))&lt;0.000001,1,0)</x:f>
        <x:v>1</x:v>
      </x:c>
      <x:c r="F4059" s="21" t="n">
        <x:v>1</x:v>
      </x:c>
      <x:c r="G4059" s="23" t="str">
        <x:f>IF(E4059=F4059,"PASS","FAIL")</x:f>
        <x:v>PASS</x:v>
      </x:c>
    </x:row>
    <x:row r="4060">
      <x:c r="B4060" s="21" t="str">
        <x:v>A04054</x:v>
      </x:c>
      <x:c r="C4060" s="21" t="str">
        <x:v>artifact</x:v>
      </x:c>
      <x:c r="D4060" s="21" t="str">
        <x:v>artifact 1505 planning state</x:v>
      </x:c>
      <x:c r="E4060" s="21" t="n">
        <x:f>IF(AND('Artifact Ledger'!Q1511="OPEN",'Artifact Ledger'!R1511="HOLD"),1,0)</x:f>
        <x:v>1</x:v>
      </x:c>
      <x:c r="F4060" s="21" t="n">
        <x:v>1</x:v>
      </x:c>
      <x:c r="G4060" s="23" t="str">
        <x:f>IF(E4060=F4060,"PASS","FAIL")</x:f>
        <x:v>PASS</x:v>
      </x:c>
    </x:row>
    <x:row r="4061">
      <x:c r="B4061" s="21" t="str">
        <x:v>A04055</x:v>
      </x:c>
      <x:c r="C4061" s="21" t="str">
        <x:v>artifact</x:v>
      </x:c>
      <x:c r="D4061" s="21" t="str">
        <x:v>artifact 1506 eligibility equation</x:v>
      </x:c>
      <x:c r="E4061" s="21" t="n">
        <x:f>IF(ABS('Artifact Ledger'!P1512-IF(AND('Artifact Ledger'!L1512=1,'Artifact Ledger'!M1512=1,'Artifact Ledger'!N1512=1,'Artifact Ledger'!O1512&gt;='Artifact Ledger'!G1512),'Artifact Ledger'!K1512,0))&lt;0.000001,1,0)</x:f>
        <x:v>1</x:v>
      </x:c>
      <x:c r="F4061" s="21" t="n">
        <x:v>1</x:v>
      </x:c>
      <x:c r="G4061" s="23" t="str">
        <x:f>IF(E4061=F4061,"PASS","FAIL")</x:f>
        <x:v>PASS</x:v>
      </x:c>
    </x:row>
    <x:row r="4062">
      <x:c r="B4062" s="21" t="str">
        <x:v>A04056</x:v>
      </x:c>
      <x:c r="C4062" s="21" t="str">
        <x:v>artifact</x:v>
      </x:c>
      <x:c r="D4062" s="21" t="str">
        <x:v>artifact 1506 planning state</x:v>
      </x:c>
      <x:c r="E4062" s="21" t="n">
        <x:f>IF(AND('Artifact Ledger'!Q1512="OPEN",'Artifact Ledger'!R1512="HOLD"),1,0)</x:f>
        <x:v>1</x:v>
      </x:c>
      <x:c r="F4062" s="21" t="n">
        <x:v>1</x:v>
      </x:c>
      <x:c r="G4062" s="23" t="str">
        <x:f>IF(E4062=F4062,"PASS","FAIL")</x:f>
        <x:v>PASS</x:v>
      </x:c>
    </x:row>
    <x:row r="4063">
      <x:c r="B4063" s="21" t="str">
        <x:v>A04057</x:v>
      </x:c>
      <x:c r="C4063" s="21" t="str">
        <x:v>artifact</x:v>
      </x:c>
      <x:c r="D4063" s="21" t="str">
        <x:v>artifact 1507 eligibility equation</x:v>
      </x:c>
      <x:c r="E4063" s="21" t="n">
        <x:f>IF(ABS('Artifact Ledger'!P1513-IF(AND('Artifact Ledger'!L1513=1,'Artifact Ledger'!M1513=1,'Artifact Ledger'!N1513=1,'Artifact Ledger'!O1513&gt;='Artifact Ledger'!G1513),'Artifact Ledger'!K1513,0))&lt;0.000001,1,0)</x:f>
        <x:v>1</x:v>
      </x:c>
      <x:c r="F4063" s="21" t="n">
        <x:v>1</x:v>
      </x:c>
      <x:c r="G4063" s="23" t="str">
        <x:f>IF(E4063=F4063,"PASS","FAIL")</x:f>
        <x:v>PASS</x:v>
      </x:c>
    </x:row>
    <x:row r="4064">
      <x:c r="B4064" s="21" t="str">
        <x:v>A04058</x:v>
      </x:c>
      <x:c r="C4064" s="21" t="str">
        <x:v>artifact</x:v>
      </x:c>
      <x:c r="D4064" s="21" t="str">
        <x:v>artifact 1507 planning state</x:v>
      </x:c>
      <x:c r="E4064" s="21" t="n">
        <x:f>IF(AND('Artifact Ledger'!Q1513="OPEN",'Artifact Ledger'!R1513="HOLD"),1,0)</x:f>
        <x:v>1</x:v>
      </x:c>
      <x:c r="F4064" s="21" t="n">
        <x:v>1</x:v>
      </x:c>
      <x:c r="G4064" s="23" t="str">
        <x:f>IF(E4064=F4064,"PASS","FAIL")</x:f>
        <x:v>PASS</x:v>
      </x:c>
    </x:row>
    <x:row r="4065">
      <x:c r="B4065" s="21" t="str">
        <x:v>A04059</x:v>
      </x:c>
      <x:c r="C4065" s="21" t="str">
        <x:v>artifact</x:v>
      </x:c>
      <x:c r="D4065" s="21" t="str">
        <x:v>artifact 1508 eligibility equation</x:v>
      </x:c>
      <x:c r="E4065" s="21" t="n">
        <x:f>IF(ABS('Artifact Ledger'!P1514-IF(AND('Artifact Ledger'!L1514=1,'Artifact Ledger'!M1514=1,'Artifact Ledger'!N1514=1,'Artifact Ledger'!O1514&gt;='Artifact Ledger'!G1514),'Artifact Ledger'!K1514,0))&lt;0.000001,1,0)</x:f>
        <x:v>1</x:v>
      </x:c>
      <x:c r="F4065" s="21" t="n">
        <x:v>1</x:v>
      </x:c>
      <x:c r="G4065" s="23" t="str">
        <x:f>IF(E4065=F4065,"PASS","FAIL")</x:f>
        <x:v>PASS</x:v>
      </x:c>
    </x:row>
    <x:row r="4066">
      <x:c r="B4066" s="21" t="str">
        <x:v>A04060</x:v>
      </x:c>
      <x:c r="C4066" s="21" t="str">
        <x:v>artifact</x:v>
      </x:c>
      <x:c r="D4066" s="21" t="str">
        <x:v>artifact 1508 planning state</x:v>
      </x:c>
      <x:c r="E4066" s="21" t="n">
        <x:f>IF(AND('Artifact Ledger'!Q1514="OPEN",'Artifact Ledger'!R1514="HOLD"),1,0)</x:f>
        <x:v>1</x:v>
      </x:c>
      <x:c r="F4066" s="21" t="n">
        <x:v>1</x:v>
      </x:c>
      <x:c r="G4066" s="23" t="str">
        <x:f>IF(E4066=F4066,"PASS","FAIL")</x:f>
        <x:v>PASS</x:v>
      </x:c>
    </x:row>
    <x:row r="4067">
      <x:c r="B4067" s="21" t="str">
        <x:v>A04061</x:v>
      </x:c>
      <x:c r="C4067" s="21" t="str">
        <x:v>artifact</x:v>
      </x:c>
      <x:c r="D4067" s="21" t="str">
        <x:v>artifact 1509 eligibility equation</x:v>
      </x:c>
      <x:c r="E4067" s="21" t="n">
        <x:f>IF(ABS('Artifact Ledger'!P1515-IF(AND('Artifact Ledger'!L1515=1,'Artifact Ledger'!M1515=1,'Artifact Ledger'!N1515=1,'Artifact Ledger'!O1515&gt;='Artifact Ledger'!G1515),'Artifact Ledger'!K1515,0))&lt;0.000001,1,0)</x:f>
        <x:v>1</x:v>
      </x:c>
      <x:c r="F4067" s="21" t="n">
        <x:v>1</x:v>
      </x:c>
      <x:c r="G4067" s="23" t="str">
        <x:f>IF(E4067=F4067,"PASS","FAIL")</x:f>
        <x:v>PASS</x:v>
      </x:c>
    </x:row>
    <x:row r="4068">
      <x:c r="B4068" s="21" t="str">
        <x:v>A04062</x:v>
      </x:c>
      <x:c r="C4068" s="21" t="str">
        <x:v>artifact</x:v>
      </x:c>
      <x:c r="D4068" s="21" t="str">
        <x:v>artifact 1509 planning state</x:v>
      </x:c>
      <x:c r="E4068" s="21" t="n">
        <x:f>IF(AND('Artifact Ledger'!Q1515="OPEN",'Artifact Ledger'!R1515="HOLD"),1,0)</x:f>
        <x:v>1</x:v>
      </x:c>
      <x:c r="F4068" s="21" t="n">
        <x:v>1</x:v>
      </x:c>
      <x:c r="G4068" s="23" t="str">
        <x:f>IF(E4068=F4068,"PASS","FAIL")</x:f>
        <x:v>PASS</x:v>
      </x:c>
    </x:row>
    <x:row r="4069">
      <x:c r="B4069" s="21" t="str">
        <x:v>A04063</x:v>
      </x:c>
      <x:c r="C4069" s="21" t="str">
        <x:v>artifact</x:v>
      </x:c>
      <x:c r="D4069" s="21" t="str">
        <x:v>artifact 1510 eligibility equation</x:v>
      </x:c>
      <x:c r="E4069" s="21" t="n">
        <x:f>IF(ABS('Artifact Ledger'!P1516-IF(AND('Artifact Ledger'!L1516=1,'Artifact Ledger'!M1516=1,'Artifact Ledger'!N1516=1,'Artifact Ledger'!O1516&gt;='Artifact Ledger'!G1516),'Artifact Ledger'!K1516,0))&lt;0.000001,1,0)</x:f>
        <x:v>1</x:v>
      </x:c>
      <x:c r="F4069" s="21" t="n">
        <x:v>1</x:v>
      </x:c>
      <x:c r="G4069" s="23" t="str">
        <x:f>IF(E4069=F4069,"PASS","FAIL")</x:f>
        <x:v>PASS</x:v>
      </x:c>
    </x:row>
    <x:row r="4070">
      <x:c r="B4070" s="21" t="str">
        <x:v>A04064</x:v>
      </x:c>
      <x:c r="C4070" s="21" t="str">
        <x:v>artifact</x:v>
      </x:c>
      <x:c r="D4070" s="21" t="str">
        <x:v>artifact 1510 planning state</x:v>
      </x:c>
      <x:c r="E4070" s="21" t="n">
        <x:f>IF(AND('Artifact Ledger'!Q1516="OPEN",'Artifact Ledger'!R1516="HOLD"),1,0)</x:f>
        <x:v>1</x:v>
      </x:c>
      <x:c r="F4070" s="21" t="n">
        <x:v>1</x:v>
      </x:c>
      <x:c r="G4070" s="23" t="str">
        <x:f>IF(E4070=F4070,"PASS","FAIL")</x:f>
        <x:v>PASS</x:v>
      </x:c>
    </x:row>
    <x:row r="4071">
      <x:c r="B4071" s="21" t="str">
        <x:v>A04065</x:v>
      </x:c>
      <x:c r="C4071" s="21" t="str">
        <x:v>artifact</x:v>
      </x:c>
      <x:c r="D4071" s="21" t="str">
        <x:v>artifact 1511 eligibility equation</x:v>
      </x:c>
      <x:c r="E4071" s="21" t="n">
        <x:f>IF(ABS('Artifact Ledger'!P1517-IF(AND('Artifact Ledger'!L1517=1,'Artifact Ledger'!M1517=1,'Artifact Ledger'!N1517=1,'Artifact Ledger'!O1517&gt;='Artifact Ledger'!G1517),'Artifact Ledger'!K1517,0))&lt;0.000001,1,0)</x:f>
        <x:v>1</x:v>
      </x:c>
      <x:c r="F4071" s="21" t="n">
        <x:v>1</x:v>
      </x:c>
      <x:c r="G4071" s="23" t="str">
        <x:f>IF(E4071=F4071,"PASS","FAIL")</x:f>
        <x:v>PASS</x:v>
      </x:c>
    </x:row>
    <x:row r="4072">
      <x:c r="B4072" s="21" t="str">
        <x:v>A04066</x:v>
      </x:c>
      <x:c r="C4072" s="21" t="str">
        <x:v>artifact</x:v>
      </x:c>
      <x:c r="D4072" s="21" t="str">
        <x:v>artifact 1511 planning state</x:v>
      </x:c>
      <x:c r="E4072" s="21" t="n">
        <x:f>IF(AND('Artifact Ledger'!Q1517="OPEN",'Artifact Ledger'!R1517="HOLD"),1,0)</x:f>
        <x:v>1</x:v>
      </x:c>
      <x:c r="F4072" s="21" t="n">
        <x:v>1</x:v>
      </x:c>
      <x:c r="G4072" s="23" t="str">
        <x:f>IF(E4072=F4072,"PASS","FAIL")</x:f>
        <x:v>PASS</x:v>
      </x:c>
    </x:row>
    <x:row r="4073">
      <x:c r="B4073" s="21" t="str">
        <x:v>A04067</x:v>
      </x:c>
      <x:c r="C4073" s="21" t="str">
        <x:v>artifact</x:v>
      </x:c>
      <x:c r="D4073" s="21" t="str">
        <x:v>artifact 1512 eligibility equation</x:v>
      </x:c>
      <x:c r="E4073" s="21" t="n">
        <x:f>IF(ABS('Artifact Ledger'!P1518-IF(AND('Artifact Ledger'!L1518=1,'Artifact Ledger'!M1518=1,'Artifact Ledger'!N1518=1,'Artifact Ledger'!O1518&gt;='Artifact Ledger'!G1518),'Artifact Ledger'!K1518,0))&lt;0.000001,1,0)</x:f>
        <x:v>1</x:v>
      </x:c>
      <x:c r="F4073" s="21" t="n">
        <x:v>1</x:v>
      </x:c>
      <x:c r="G4073" s="23" t="str">
        <x:f>IF(E4073=F4073,"PASS","FAIL")</x:f>
        <x:v>PASS</x:v>
      </x:c>
    </x:row>
    <x:row r="4074">
      <x:c r="B4074" s="21" t="str">
        <x:v>A04068</x:v>
      </x:c>
      <x:c r="C4074" s="21" t="str">
        <x:v>artifact</x:v>
      </x:c>
      <x:c r="D4074" s="21" t="str">
        <x:v>artifact 1512 planning state</x:v>
      </x:c>
      <x:c r="E4074" s="21" t="n">
        <x:f>IF(AND('Artifact Ledger'!Q1518="OPEN",'Artifact Ledger'!R1518="HOLD"),1,0)</x:f>
        <x:v>1</x:v>
      </x:c>
      <x:c r="F4074" s="21" t="n">
        <x:v>1</x:v>
      </x:c>
      <x:c r="G4074" s="23" t="str">
        <x:f>IF(E4074=F4074,"PASS","FAIL")</x:f>
        <x:v>PASS</x:v>
      </x:c>
    </x:row>
    <x:row r="4075">
      <x:c r="B4075" s="21" t="str">
        <x:v>A04069</x:v>
      </x:c>
      <x:c r="C4075" s="21" t="str">
        <x:v>artifact</x:v>
      </x:c>
      <x:c r="D4075" s="21" t="str">
        <x:v>artifact 1513 eligibility equation</x:v>
      </x:c>
      <x:c r="E4075" s="21" t="n">
        <x:f>IF(ABS('Artifact Ledger'!P1519-IF(AND('Artifact Ledger'!L1519=1,'Artifact Ledger'!M1519=1,'Artifact Ledger'!N1519=1,'Artifact Ledger'!O1519&gt;='Artifact Ledger'!G1519),'Artifact Ledger'!K1519,0))&lt;0.000001,1,0)</x:f>
        <x:v>1</x:v>
      </x:c>
      <x:c r="F4075" s="21" t="n">
        <x:v>1</x:v>
      </x:c>
      <x:c r="G4075" s="23" t="str">
        <x:f>IF(E4075=F4075,"PASS","FAIL")</x:f>
        <x:v>PASS</x:v>
      </x:c>
    </x:row>
    <x:row r="4076">
      <x:c r="B4076" s="21" t="str">
        <x:v>A04070</x:v>
      </x:c>
      <x:c r="C4076" s="21" t="str">
        <x:v>artifact</x:v>
      </x:c>
      <x:c r="D4076" s="21" t="str">
        <x:v>artifact 1513 planning state</x:v>
      </x:c>
      <x:c r="E4076" s="21" t="n">
        <x:f>IF(AND('Artifact Ledger'!Q1519="OPEN",'Artifact Ledger'!R1519="HOLD"),1,0)</x:f>
        <x:v>1</x:v>
      </x:c>
      <x:c r="F4076" s="21" t="n">
        <x:v>1</x:v>
      </x:c>
      <x:c r="G4076" s="23" t="str">
        <x:f>IF(E4076=F4076,"PASS","FAIL")</x:f>
        <x:v>PASS</x:v>
      </x:c>
    </x:row>
    <x:row r="4077">
      <x:c r="B4077" s="21" t="str">
        <x:v>A04071</x:v>
      </x:c>
      <x:c r="C4077" s="21" t="str">
        <x:v>artifact</x:v>
      </x:c>
      <x:c r="D4077" s="21" t="str">
        <x:v>artifact 1514 eligibility equation</x:v>
      </x:c>
      <x:c r="E4077" s="21" t="n">
        <x:f>IF(ABS('Artifact Ledger'!P1520-IF(AND('Artifact Ledger'!L1520=1,'Artifact Ledger'!M1520=1,'Artifact Ledger'!N1520=1,'Artifact Ledger'!O1520&gt;='Artifact Ledger'!G1520),'Artifact Ledger'!K1520,0))&lt;0.000001,1,0)</x:f>
        <x:v>1</x:v>
      </x:c>
      <x:c r="F4077" s="21" t="n">
        <x:v>1</x:v>
      </x:c>
      <x:c r="G4077" s="23" t="str">
        <x:f>IF(E4077=F4077,"PASS","FAIL")</x:f>
        <x:v>PASS</x:v>
      </x:c>
    </x:row>
    <x:row r="4078">
      <x:c r="B4078" s="21" t="str">
        <x:v>A04072</x:v>
      </x:c>
      <x:c r="C4078" s="21" t="str">
        <x:v>artifact</x:v>
      </x:c>
      <x:c r="D4078" s="21" t="str">
        <x:v>artifact 1514 planning state</x:v>
      </x:c>
      <x:c r="E4078" s="21" t="n">
        <x:f>IF(AND('Artifact Ledger'!Q1520="OPEN",'Artifact Ledger'!R1520="HOLD"),1,0)</x:f>
        <x:v>1</x:v>
      </x:c>
      <x:c r="F4078" s="21" t="n">
        <x:v>1</x:v>
      </x:c>
      <x:c r="G4078" s="23" t="str">
        <x:f>IF(E4078=F4078,"PASS","FAIL")</x:f>
        <x:v>PASS</x:v>
      </x:c>
    </x:row>
    <x:row r="4079">
      <x:c r="B4079" s="21" t="str">
        <x:v>A04073</x:v>
      </x:c>
      <x:c r="C4079" s="21" t="str">
        <x:v>artifact</x:v>
      </x:c>
      <x:c r="D4079" s="21" t="str">
        <x:v>artifact 1515 eligibility equation</x:v>
      </x:c>
      <x:c r="E4079" s="21" t="n">
        <x:f>IF(ABS('Artifact Ledger'!P1521-IF(AND('Artifact Ledger'!L1521=1,'Artifact Ledger'!M1521=1,'Artifact Ledger'!N1521=1,'Artifact Ledger'!O1521&gt;='Artifact Ledger'!G1521),'Artifact Ledger'!K1521,0))&lt;0.000001,1,0)</x:f>
        <x:v>1</x:v>
      </x:c>
      <x:c r="F4079" s="21" t="n">
        <x:v>1</x:v>
      </x:c>
      <x:c r="G4079" s="23" t="str">
        <x:f>IF(E4079=F4079,"PASS","FAIL")</x:f>
        <x:v>PASS</x:v>
      </x:c>
    </x:row>
    <x:row r="4080">
      <x:c r="B4080" s="21" t="str">
        <x:v>A04074</x:v>
      </x:c>
      <x:c r="C4080" s="21" t="str">
        <x:v>artifact</x:v>
      </x:c>
      <x:c r="D4080" s="21" t="str">
        <x:v>artifact 1515 planning state</x:v>
      </x:c>
      <x:c r="E4080" s="21" t="n">
        <x:f>IF(AND('Artifact Ledger'!Q1521="OPEN",'Artifact Ledger'!R1521="HOLD"),1,0)</x:f>
        <x:v>1</x:v>
      </x:c>
      <x:c r="F4080" s="21" t="n">
        <x:v>1</x:v>
      </x:c>
      <x:c r="G4080" s="23" t="str">
        <x:f>IF(E4080=F4080,"PASS","FAIL")</x:f>
        <x:v>PASS</x:v>
      </x:c>
    </x:row>
    <x:row r="4081">
      <x:c r="B4081" s="21" t="str">
        <x:v>A04075</x:v>
      </x:c>
      <x:c r="C4081" s="21" t="str">
        <x:v>artifact</x:v>
      </x:c>
      <x:c r="D4081" s="21" t="str">
        <x:v>artifact 1516 eligibility equation</x:v>
      </x:c>
      <x:c r="E4081" s="21" t="n">
        <x:f>IF(ABS('Artifact Ledger'!P1522-IF(AND('Artifact Ledger'!L1522=1,'Artifact Ledger'!M1522=1,'Artifact Ledger'!N1522=1,'Artifact Ledger'!O1522&gt;='Artifact Ledger'!G1522),'Artifact Ledger'!K1522,0))&lt;0.000001,1,0)</x:f>
        <x:v>1</x:v>
      </x:c>
      <x:c r="F4081" s="21" t="n">
        <x:v>1</x:v>
      </x:c>
      <x:c r="G4081" s="23" t="str">
        <x:f>IF(E4081=F4081,"PASS","FAIL")</x:f>
        <x:v>PASS</x:v>
      </x:c>
    </x:row>
    <x:row r="4082">
      <x:c r="B4082" s="21" t="str">
        <x:v>A04076</x:v>
      </x:c>
      <x:c r="C4082" s="21" t="str">
        <x:v>artifact</x:v>
      </x:c>
      <x:c r="D4082" s="21" t="str">
        <x:v>artifact 1516 planning state</x:v>
      </x:c>
      <x:c r="E4082" s="21" t="n">
        <x:f>IF(AND('Artifact Ledger'!Q1522="OPEN",'Artifact Ledger'!R1522="HOLD"),1,0)</x:f>
        <x:v>1</x:v>
      </x:c>
      <x:c r="F4082" s="21" t="n">
        <x:v>1</x:v>
      </x:c>
      <x:c r="G4082" s="23" t="str">
        <x:f>IF(E4082=F4082,"PASS","FAIL")</x:f>
        <x:v>PASS</x:v>
      </x:c>
    </x:row>
    <x:row r="4083">
      <x:c r="B4083" s="21" t="str">
        <x:v>A04077</x:v>
      </x:c>
      <x:c r="C4083" s="21" t="str">
        <x:v>artifact</x:v>
      </x:c>
      <x:c r="D4083" s="21" t="str">
        <x:v>artifact 1517 eligibility equation</x:v>
      </x:c>
      <x:c r="E4083" s="21" t="n">
        <x:f>IF(ABS('Artifact Ledger'!P1523-IF(AND('Artifact Ledger'!L1523=1,'Artifact Ledger'!M1523=1,'Artifact Ledger'!N1523=1,'Artifact Ledger'!O1523&gt;='Artifact Ledger'!G1523),'Artifact Ledger'!K1523,0))&lt;0.000001,1,0)</x:f>
        <x:v>1</x:v>
      </x:c>
      <x:c r="F4083" s="21" t="n">
        <x:v>1</x:v>
      </x:c>
      <x:c r="G4083" s="23" t="str">
        <x:f>IF(E4083=F4083,"PASS","FAIL")</x:f>
        <x:v>PASS</x:v>
      </x:c>
    </x:row>
    <x:row r="4084">
      <x:c r="B4084" s="21" t="str">
        <x:v>A04078</x:v>
      </x:c>
      <x:c r="C4084" s="21" t="str">
        <x:v>artifact</x:v>
      </x:c>
      <x:c r="D4084" s="21" t="str">
        <x:v>artifact 1517 planning state</x:v>
      </x:c>
      <x:c r="E4084" s="21" t="n">
        <x:f>IF(AND('Artifact Ledger'!Q1523="OPEN",'Artifact Ledger'!R1523="HOLD"),1,0)</x:f>
        <x:v>1</x:v>
      </x:c>
      <x:c r="F4084" s="21" t="n">
        <x:v>1</x:v>
      </x:c>
      <x:c r="G4084" s="23" t="str">
        <x:f>IF(E4084=F4084,"PASS","FAIL")</x:f>
        <x:v>PASS</x:v>
      </x:c>
    </x:row>
    <x:row r="4085">
      <x:c r="B4085" s="21" t="str">
        <x:v>A04079</x:v>
      </x:c>
      <x:c r="C4085" s="21" t="str">
        <x:v>artifact</x:v>
      </x:c>
      <x:c r="D4085" s="21" t="str">
        <x:v>artifact 1518 eligibility equation</x:v>
      </x:c>
      <x:c r="E4085" s="21" t="n">
        <x:f>IF(ABS('Artifact Ledger'!P1524-IF(AND('Artifact Ledger'!L1524=1,'Artifact Ledger'!M1524=1,'Artifact Ledger'!N1524=1,'Artifact Ledger'!O1524&gt;='Artifact Ledger'!G1524),'Artifact Ledger'!K1524,0))&lt;0.000001,1,0)</x:f>
        <x:v>1</x:v>
      </x:c>
      <x:c r="F4085" s="21" t="n">
        <x:v>1</x:v>
      </x:c>
      <x:c r="G4085" s="23" t="str">
        <x:f>IF(E4085=F4085,"PASS","FAIL")</x:f>
        <x:v>PASS</x:v>
      </x:c>
    </x:row>
    <x:row r="4086">
      <x:c r="B4086" s="21" t="str">
        <x:v>A04080</x:v>
      </x:c>
      <x:c r="C4086" s="21" t="str">
        <x:v>artifact</x:v>
      </x:c>
      <x:c r="D4086" s="21" t="str">
        <x:v>artifact 1518 planning state</x:v>
      </x:c>
      <x:c r="E4086" s="21" t="n">
        <x:f>IF(AND('Artifact Ledger'!Q1524="OPEN",'Artifact Ledger'!R1524="HOLD"),1,0)</x:f>
        <x:v>1</x:v>
      </x:c>
      <x:c r="F4086" s="21" t="n">
        <x:v>1</x:v>
      </x:c>
      <x:c r="G4086" s="23" t="str">
        <x:f>IF(E4086=F4086,"PASS","FAIL")</x:f>
        <x:v>PASS</x:v>
      </x:c>
    </x:row>
    <x:row r="4087">
      <x:c r="B4087" s="21" t="str">
        <x:v>A04081</x:v>
      </x:c>
      <x:c r="C4087" s="21" t="str">
        <x:v>artifact</x:v>
      </x:c>
      <x:c r="D4087" s="21" t="str">
        <x:v>artifact 1519 eligibility equation</x:v>
      </x:c>
      <x:c r="E4087" s="21" t="n">
        <x:f>IF(ABS('Artifact Ledger'!P1525-IF(AND('Artifact Ledger'!L1525=1,'Artifact Ledger'!M1525=1,'Artifact Ledger'!N1525=1,'Artifact Ledger'!O1525&gt;='Artifact Ledger'!G1525),'Artifact Ledger'!K1525,0))&lt;0.000001,1,0)</x:f>
        <x:v>1</x:v>
      </x:c>
      <x:c r="F4087" s="21" t="n">
        <x:v>1</x:v>
      </x:c>
      <x:c r="G4087" s="23" t="str">
        <x:f>IF(E4087=F4087,"PASS","FAIL")</x:f>
        <x:v>PASS</x:v>
      </x:c>
    </x:row>
    <x:row r="4088">
      <x:c r="B4088" s="21" t="str">
        <x:v>A04082</x:v>
      </x:c>
      <x:c r="C4088" s="21" t="str">
        <x:v>artifact</x:v>
      </x:c>
      <x:c r="D4088" s="21" t="str">
        <x:v>artifact 1519 planning state</x:v>
      </x:c>
      <x:c r="E4088" s="21" t="n">
        <x:f>IF(AND('Artifact Ledger'!Q1525="OPEN",'Artifact Ledger'!R1525="HOLD"),1,0)</x:f>
        <x:v>1</x:v>
      </x:c>
      <x:c r="F4088" s="21" t="n">
        <x:v>1</x:v>
      </x:c>
      <x:c r="G4088" s="23" t="str">
        <x:f>IF(E4088=F4088,"PASS","FAIL")</x:f>
        <x:v>PASS</x:v>
      </x:c>
    </x:row>
    <x:row r="4089">
      <x:c r="B4089" s="21" t="str">
        <x:v>A04083</x:v>
      </x:c>
      <x:c r="C4089" s="21" t="str">
        <x:v>artifact</x:v>
      </x:c>
      <x:c r="D4089" s="21" t="str">
        <x:v>artifact 1520 eligibility equation</x:v>
      </x:c>
      <x:c r="E4089" s="21" t="n">
        <x:f>IF(ABS('Artifact Ledger'!P1526-IF(AND('Artifact Ledger'!L1526=1,'Artifact Ledger'!M1526=1,'Artifact Ledger'!N1526=1,'Artifact Ledger'!O1526&gt;='Artifact Ledger'!G1526),'Artifact Ledger'!K1526,0))&lt;0.000001,1,0)</x:f>
        <x:v>1</x:v>
      </x:c>
      <x:c r="F4089" s="21" t="n">
        <x:v>1</x:v>
      </x:c>
      <x:c r="G4089" s="23" t="str">
        <x:f>IF(E4089=F4089,"PASS","FAIL")</x:f>
        <x:v>PASS</x:v>
      </x:c>
    </x:row>
    <x:row r="4090">
      <x:c r="B4090" s="21" t="str">
        <x:v>A04084</x:v>
      </x:c>
      <x:c r="C4090" s="21" t="str">
        <x:v>artifact</x:v>
      </x:c>
      <x:c r="D4090" s="21" t="str">
        <x:v>artifact 1520 planning state</x:v>
      </x:c>
      <x:c r="E4090" s="21" t="n">
        <x:f>IF(AND('Artifact Ledger'!Q1526="OPEN",'Artifact Ledger'!R1526="HOLD"),1,0)</x:f>
        <x:v>1</x:v>
      </x:c>
      <x:c r="F4090" s="21" t="n">
        <x:v>1</x:v>
      </x:c>
      <x:c r="G4090" s="23" t="str">
        <x:f>IF(E4090=F4090,"PASS","FAIL")</x:f>
        <x:v>PASS</x:v>
      </x:c>
    </x:row>
    <x:row r="4091">
      <x:c r="B4091" s="21" t="str">
        <x:v>A04085</x:v>
      </x:c>
      <x:c r="C4091" s="21" t="str">
        <x:v>artifact</x:v>
      </x:c>
      <x:c r="D4091" s="21" t="str">
        <x:v>artifact 1521 eligibility equation</x:v>
      </x:c>
      <x:c r="E4091" s="21" t="n">
        <x:f>IF(ABS('Artifact Ledger'!P1527-IF(AND('Artifact Ledger'!L1527=1,'Artifact Ledger'!M1527=1,'Artifact Ledger'!N1527=1,'Artifact Ledger'!O1527&gt;='Artifact Ledger'!G1527),'Artifact Ledger'!K1527,0))&lt;0.000001,1,0)</x:f>
        <x:v>1</x:v>
      </x:c>
      <x:c r="F4091" s="21" t="n">
        <x:v>1</x:v>
      </x:c>
      <x:c r="G4091" s="23" t="str">
        <x:f>IF(E4091=F4091,"PASS","FAIL")</x:f>
        <x:v>PASS</x:v>
      </x:c>
    </x:row>
    <x:row r="4092">
      <x:c r="B4092" s="21" t="str">
        <x:v>A04086</x:v>
      </x:c>
      <x:c r="C4092" s="21" t="str">
        <x:v>artifact</x:v>
      </x:c>
      <x:c r="D4092" s="21" t="str">
        <x:v>artifact 1521 planning state</x:v>
      </x:c>
      <x:c r="E4092" s="21" t="n">
        <x:f>IF(AND('Artifact Ledger'!Q1527="OPEN",'Artifact Ledger'!R1527="HOLD"),1,0)</x:f>
        <x:v>1</x:v>
      </x:c>
      <x:c r="F4092" s="21" t="n">
        <x:v>1</x:v>
      </x:c>
      <x:c r="G4092" s="23" t="str">
        <x:f>IF(E4092=F4092,"PASS","FAIL")</x:f>
        <x:v>PASS</x:v>
      </x:c>
    </x:row>
    <x:row r="4093">
      <x:c r="B4093" s="21" t="str">
        <x:v>A04087</x:v>
      </x:c>
      <x:c r="C4093" s="21" t="str">
        <x:v>artifact</x:v>
      </x:c>
      <x:c r="D4093" s="21" t="str">
        <x:v>artifact 1522 eligibility equation</x:v>
      </x:c>
      <x:c r="E4093" s="21" t="n">
        <x:f>IF(ABS('Artifact Ledger'!P1528-IF(AND('Artifact Ledger'!L1528=1,'Artifact Ledger'!M1528=1,'Artifact Ledger'!N1528=1,'Artifact Ledger'!O1528&gt;='Artifact Ledger'!G1528),'Artifact Ledger'!K1528,0))&lt;0.000001,1,0)</x:f>
        <x:v>1</x:v>
      </x:c>
      <x:c r="F4093" s="21" t="n">
        <x:v>1</x:v>
      </x:c>
      <x:c r="G4093" s="23" t="str">
        <x:f>IF(E4093=F4093,"PASS","FAIL")</x:f>
        <x:v>PASS</x:v>
      </x:c>
    </x:row>
    <x:row r="4094">
      <x:c r="B4094" s="21" t="str">
        <x:v>A04088</x:v>
      </x:c>
      <x:c r="C4094" s="21" t="str">
        <x:v>artifact</x:v>
      </x:c>
      <x:c r="D4094" s="21" t="str">
        <x:v>artifact 1522 planning state</x:v>
      </x:c>
      <x:c r="E4094" s="21" t="n">
        <x:f>IF(AND('Artifact Ledger'!Q1528="OPEN",'Artifact Ledger'!R1528="HOLD"),1,0)</x:f>
        <x:v>1</x:v>
      </x:c>
      <x:c r="F4094" s="21" t="n">
        <x:v>1</x:v>
      </x:c>
      <x:c r="G4094" s="23" t="str">
        <x:f>IF(E4094=F4094,"PASS","FAIL")</x:f>
        <x:v>PASS</x:v>
      </x:c>
    </x:row>
    <x:row r="4095">
      <x:c r="B4095" s="21" t="str">
        <x:v>A04089</x:v>
      </x:c>
      <x:c r="C4095" s="21" t="str">
        <x:v>artifact</x:v>
      </x:c>
      <x:c r="D4095" s="21" t="str">
        <x:v>artifact 1523 eligibility equation</x:v>
      </x:c>
      <x:c r="E4095" s="21" t="n">
        <x:f>IF(ABS('Artifact Ledger'!P1529-IF(AND('Artifact Ledger'!L1529=1,'Artifact Ledger'!M1529=1,'Artifact Ledger'!N1529=1,'Artifact Ledger'!O1529&gt;='Artifact Ledger'!G1529),'Artifact Ledger'!K1529,0))&lt;0.000001,1,0)</x:f>
        <x:v>1</x:v>
      </x:c>
      <x:c r="F4095" s="21" t="n">
        <x:v>1</x:v>
      </x:c>
      <x:c r="G4095" s="23" t="str">
        <x:f>IF(E4095=F4095,"PASS","FAIL")</x:f>
        <x:v>PASS</x:v>
      </x:c>
    </x:row>
    <x:row r="4096">
      <x:c r="B4096" s="21" t="str">
        <x:v>A04090</x:v>
      </x:c>
      <x:c r="C4096" s="21" t="str">
        <x:v>artifact</x:v>
      </x:c>
      <x:c r="D4096" s="21" t="str">
        <x:v>artifact 1523 planning state</x:v>
      </x:c>
      <x:c r="E4096" s="21" t="n">
        <x:f>IF(AND('Artifact Ledger'!Q1529="OPEN",'Artifact Ledger'!R1529="HOLD"),1,0)</x:f>
        <x:v>1</x:v>
      </x:c>
      <x:c r="F4096" s="21" t="n">
        <x:v>1</x:v>
      </x:c>
      <x:c r="G4096" s="23" t="str">
        <x:f>IF(E4096=F4096,"PASS","FAIL")</x:f>
        <x:v>PASS</x:v>
      </x:c>
    </x:row>
    <x:row r="4097">
      <x:c r="B4097" s="21" t="str">
        <x:v>A04091</x:v>
      </x:c>
      <x:c r="C4097" s="21" t="str">
        <x:v>artifact</x:v>
      </x:c>
      <x:c r="D4097" s="21" t="str">
        <x:v>artifact 1524 eligibility equation</x:v>
      </x:c>
      <x:c r="E4097" s="21" t="n">
        <x:f>IF(ABS('Artifact Ledger'!P1530-IF(AND('Artifact Ledger'!L1530=1,'Artifact Ledger'!M1530=1,'Artifact Ledger'!N1530=1,'Artifact Ledger'!O1530&gt;='Artifact Ledger'!G1530),'Artifact Ledger'!K1530,0))&lt;0.000001,1,0)</x:f>
        <x:v>1</x:v>
      </x:c>
      <x:c r="F4097" s="21" t="n">
        <x:v>1</x:v>
      </x:c>
      <x:c r="G4097" s="23" t="str">
        <x:f>IF(E4097=F4097,"PASS","FAIL")</x:f>
        <x:v>PASS</x:v>
      </x:c>
    </x:row>
    <x:row r="4098">
      <x:c r="B4098" s="21" t="str">
        <x:v>A04092</x:v>
      </x:c>
      <x:c r="C4098" s="21" t="str">
        <x:v>artifact</x:v>
      </x:c>
      <x:c r="D4098" s="21" t="str">
        <x:v>artifact 1524 planning state</x:v>
      </x:c>
      <x:c r="E4098" s="21" t="n">
        <x:f>IF(AND('Artifact Ledger'!Q1530="OPEN",'Artifact Ledger'!R1530="HOLD"),1,0)</x:f>
        <x:v>1</x:v>
      </x:c>
      <x:c r="F4098" s="21" t="n">
        <x:v>1</x:v>
      </x:c>
      <x:c r="G4098" s="23" t="str">
        <x:f>IF(E4098=F4098,"PASS","FAIL")</x:f>
        <x:v>PASS</x:v>
      </x:c>
    </x:row>
    <x:row r="4099">
      <x:c r="B4099" s="21" t="str">
        <x:v>A04093</x:v>
      </x:c>
      <x:c r="C4099" s="21" t="str">
        <x:v>artifact</x:v>
      </x:c>
      <x:c r="D4099" s="21" t="str">
        <x:v>artifact 1525 eligibility equation</x:v>
      </x:c>
      <x:c r="E4099" s="21" t="n">
        <x:f>IF(ABS('Artifact Ledger'!P1531-IF(AND('Artifact Ledger'!L1531=1,'Artifact Ledger'!M1531=1,'Artifact Ledger'!N1531=1,'Artifact Ledger'!O1531&gt;='Artifact Ledger'!G1531),'Artifact Ledger'!K1531,0))&lt;0.000001,1,0)</x:f>
        <x:v>1</x:v>
      </x:c>
      <x:c r="F4099" s="21" t="n">
        <x:v>1</x:v>
      </x:c>
      <x:c r="G4099" s="23" t="str">
        <x:f>IF(E4099=F4099,"PASS","FAIL")</x:f>
        <x:v>PASS</x:v>
      </x:c>
    </x:row>
    <x:row r="4100">
      <x:c r="B4100" s="21" t="str">
        <x:v>A04094</x:v>
      </x:c>
      <x:c r="C4100" s="21" t="str">
        <x:v>artifact</x:v>
      </x:c>
      <x:c r="D4100" s="21" t="str">
        <x:v>artifact 1525 planning state</x:v>
      </x:c>
      <x:c r="E4100" s="21" t="n">
        <x:f>IF(AND('Artifact Ledger'!Q1531="OPEN",'Artifact Ledger'!R1531="HOLD"),1,0)</x:f>
        <x:v>1</x:v>
      </x:c>
      <x:c r="F4100" s="21" t="n">
        <x:v>1</x:v>
      </x:c>
      <x:c r="G4100" s="23" t="str">
        <x:f>IF(E4100=F4100,"PASS","FAIL")</x:f>
        <x:v>PASS</x:v>
      </x:c>
    </x:row>
    <x:row r="4101">
      <x:c r="B4101" s="21" t="str">
        <x:v>A04095</x:v>
      </x:c>
      <x:c r="C4101" s="21" t="str">
        <x:v>artifact</x:v>
      </x:c>
      <x:c r="D4101" s="21" t="str">
        <x:v>artifact 1526 eligibility equation</x:v>
      </x:c>
      <x:c r="E4101" s="21" t="n">
        <x:f>IF(ABS('Artifact Ledger'!P1532-IF(AND('Artifact Ledger'!L1532=1,'Artifact Ledger'!M1532=1,'Artifact Ledger'!N1532=1,'Artifact Ledger'!O1532&gt;='Artifact Ledger'!G1532),'Artifact Ledger'!K1532,0))&lt;0.000001,1,0)</x:f>
        <x:v>1</x:v>
      </x:c>
      <x:c r="F4101" s="21" t="n">
        <x:v>1</x:v>
      </x:c>
      <x:c r="G4101" s="23" t="str">
        <x:f>IF(E4101=F4101,"PASS","FAIL")</x:f>
        <x:v>PASS</x:v>
      </x:c>
    </x:row>
    <x:row r="4102">
      <x:c r="B4102" s="21" t="str">
        <x:v>A04096</x:v>
      </x:c>
      <x:c r="C4102" s="21" t="str">
        <x:v>artifact</x:v>
      </x:c>
      <x:c r="D4102" s="21" t="str">
        <x:v>artifact 1526 planning state</x:v>
      </x:c>
      <x:c r="E4102" s="21" t="n">
        <x:f>IF(AND('Artifact Ledger'!Q1532="OPEN",'Artifact Ledger'!R1532="HOLD"),1,0)</x:f>
        <x:v>1</x:v>
      </x:c>
      <x:c r="F4102" s="21" t="n">
        <x:v>1</x:v>
      </x:c>
      <x:c r="G4102" s="23" t="str">
        <x:f>IF(E4102=F4102,"PASS","FAIL")</x:f>
        <x:v>PASS</x:v>
      </x:c>
    </x:row>
    <x:row r="4103">
      <x:c r="B4103" s="21" t="str">
        <x:v>A04097</x:v>
      </x:c>
      <x:c r="C4103" s="21" t="str">
        <x:v>artifact</x:v>
      </x:c>
      <x:c r="D4103" s="21" t="str">
        <x:v>artifact 1527 eligibility equation</x:v>
      </x:c>
      <x:c r="E4103" s="21" t="n">
        <x:f>IF(ABS('Artifact Ledger'!P1533-IF(AND('Artifact Ledger'!L1533=1,'Artifact Ledger'!M1533=1,'Artifact Ledger'!N1533=1,'Artifact Ledger'!O1533&gt;='Artifact Ledger'!G1533),'Artifact Ledger'!K1533,0))&lt;0.000001,1,0)</x:f>
        <x:v>1</x:v>
      </x:c>
      <x:c r="F4103" s="21" t="n">
        <x:v>1</x:v>
      </x:c>
      <x:c r="G4103" s="23" t="str">
        <x:f>IF(E4103=F4103,"PASS","FAIL")</x:f>
        <x:v>PASS</x:v>
      </x:c>
    </x:row>
    <x:row r="4104">
      <x:c r="B4104" s="21" t="str">
        <x:v>A04098</x:v>
      </x:c>
      <x:c r="C4104" s="21" t="str">
        <x:v>artifact</x:v>
      </x:c>
      <x:c r="D4104" s="21" t="str">
        <x:v>artifact 1527 planning state</x:v>
      </x:c>
      <x:c r="E4104" s="21" t="n">
        <x:f>IF(AND('Artifact Ledger'!Q1533="OPEN",'Artifact Ledger'!R1533="HOLD"),1,0)</x:f>
        <x:v>1</x:v>
      </x:c>
      <x:c r="F4104" s="21" t="n">
        <x:v>1</x:v>
      </x:c>
      <x:c r="G4104" s="23" t="str">
        <x:f>IF(E4104=F4104,"PASS","FAIL")</x:f>
        <x:v>PASS</x:v>
      </x:c>
    </x:row>
    <x:row r="4105">
      <x:c r="B4105" s="21" t="str">
        <x:v>A04099</x:v>
      </x:c>
      <x:c r="C4105" s="21" t="str">
        <x:v>artifact</x:v>
      </x:c>
      <x:c r="D4105" s="21" t="str">
        <x:v>artifact 1528 eligibility equation</x:v>
      </x:c>
      <x:c r="E4105" s="21" t="n">
        <x:f>IF(ABS('Artifact Ledger'!P1534-IF(AND('Artifact Ledger'!L1534=1,'Artifact Ledger'!M1534=1,'Artifact Ledger'!N1534=1,'Artifact Ledger'!O1534&gt;='Artifact Ledger'!G1534),'Artifact Ledger'!K1534,0))&lt;0.000001,1,0)</x:f>
        <x:v>1</x:v>
      </x:c>
      <x:c r="F4105" s="21" t="n">
        <x:v>1</x:v>
      </x:c>
      <x:c r="G4105" s="23" t="str">
        <x:f>IF(E4105=F4105,"PASS","FAIL")</x:f>
        <x:v>PASS</x:v>
      </x:c>
    </x:row>
    <x:row r="4106">
      <x:c r="B4106" s="21" t="str">
        <x:v>A04100</x:v>
      </x:c>
      <x:c r="C4106" s="21" t="str">
        <x:v>artifact</x:v>
      </x:c>
      <x:c r="D4106" s="21" t="str">
        <x:v>artifact 1528 planning state</x:v>
      </x:c>
      <x:c r="E4106" s="21" t="n">
        <x:f>IF(AND('Artifact Ledger'!Q1534="OPEN",'Artifact Ledger'!R1534="HOLD"),1,0)</x:f>
        <x:v>1</x:v>
      </x:c>
      <x:c r="F4106" s="21" t="n">
        <x:v>1</x:v>
      </x:c>
      <x:c r="G4106" s="23" t="str">
        <x:f>IF(E4106=F4106,"PASS","FAIL")</x:f>
        <x:v>PASS</x:v>
      </x:c>
    </x:row>
    <x:row r="4107">
      <x:c r="B4107" s="21" t="str">
        <x:v>A04101</x:v>
      </x:c>
      <x:c r="C4107" s="21" t="str">
        <x:v>artifact</x:v>
      </x:c>
      <x:c r="D4107" s="21" t="str">
        <x:v>artifact 1529 eligibility equation</x:v>
      </x:c>
      <x:c r="E4107" s="21" t="n">
        <x:f>IF(ABS('Artifact Ledger'!P1535-IF(AND('Artifact Ledger'!L1535=1,'Artifact Ledger'!M1535=1,'Artifact Ledger'!N1535=1,'Artifact Ledger'!O1535&gt;='Artifact Ledger'!G1535),'Artifact Ledger'!K1535,0))&lt;0.000001,1,0)</x:f>
        <x:v>1</x:v>
      </x:c>
      <x:c r="F4107" s="21" t="n">
        <x:v>1</x:v>
      </x:c>
      <x:c r="G4107" s="23" t="str">
        <x:f>IF(E4107=F4107,"PASS","FAIL")</x:f>
        <x:v>PASS</x:v>
      </x:c>
    </x:row>
    <x:row r="4108">
      <x:c r="B4108" s="21" t="str">
        <x:v>A04102</x:v>
      </x:c>
      <x:c r="C4108" s="21" t="str">
        <x:v>artifact</x:v>
      </x:c>
      <x:c r="D4108" s="21" t="str">
        <x:v>artifact 1529 planning state</x:v>
      </x:c>
      <x:c r="E4108" s="21" t="n">
        <x:f>IF(AND('Artifact Ledger'!Q1535="OPEN",'Artifact Ledger'!R1535="HOLD"),1,0)</x:f>
        <x:v>1</x:v>
      </x:c>
      <x:c r="F4108" s="21" t="n">
        <x:v>1</x:v>
      </x:c>
      <x:c r="G4108" s="23" t="str">
        <x:f>IF(E4108=F4108,"PASS","FAIL")</x:f>
        <x:v>PASS</x:v>
      </x:c>
    </x:row>
    <x:row r="4109">
      <x:c r="B4109" s="21" t="str">
        <x:v>A04103</x:v>
      </x:c>
      <x:c r="C4109" s="21" t="str">
        <x:v>artifact</x:v>
      </x:c>
      <x:c r="D4109" s="21" t="str">
        <x:v>artifact 1530 eligibility equation</x:v>
      </x:c>
      <x:c r="E4109" s="21" t="n">
        <x:f>IF(ABS('Artifact Ledger'!P1536-IF(AND('Artifact Ledger'!L1536=1,'Artifact Ledger'!M1536=1,'Artifact Ledger'!N1536=1,'Artifact Ledger'!O1536&gt;='Artifact Ledger'!G1536),'Artifact Ledger'!K1536,0))&lt;0.000001,1,0)</x:f>
        <x:v>1</x:v>
      </x:c>
      <x:c r="F4109" s="21" t="n">
        <x:v>1</x:v>
      </x:c>
      <x:c r="G4109" s="23" t="str">
        <x:f>IF(E4109=F4109,"PASS","FAIL")</x:f>
        <x:v>PASS</x:v>
      </x:c>
    </x:row>
    <x:row r="4110">
      <x:c r="B4110" s="21" t="str">
        <x:v>A04104</x:v>
      </x:c>
      <x:c r="C4110" s="21" t="str">
        <x:v>artifact</x:v>
      </x:c>
      <x:c r="D4110" s="21" t="str">
        <x:v>artifact 1530 planning state</x:v>
      </x:c>
      <x:c r="E4110" s="21" t="n">
        <x:f>IF(AND('Artifact Ledger'!Q1536="OPEN",'Artifact Ledger'!R1536="HOLD"),1,0)</x:f>
        <x:v>1</x:v>
      </x:c>
      <x:c r="F4110" s="21" t="n">
        <x:v>1</x:v>
      </x:c>
      <x:c r="G4110" s="23" t="str">
        <x:f>IF(E4110=F4110,"PASS","FAIL")</x:f>
        <x:v>PASS</x:v>
      </x:c>
    </x:row>
    <x:row r="4111">
      <x:c r="B4111" s="21" t="str">
        <x:v>A04105</x:v>
      </x:c>
      <x:c r="C4111" s="21" t="str">
        <x:v>artifact</x:v>
      </x:c>
      <x:c r="D4111" s="21" t="str">
        <x:v>artifact 1531 eligibility equation</x:v>
      </x:c>
      <x:c r="E4111" s="21" t="n">
        <x:f>IF(ABS('Artifact Ledger'!P1537-IF(AND('Artifact Ledger'!L1537=1,'Artifact Ledger'!M1537=1,'Artifact Ledger'!N1537=1,'Artifact Ledger'!O1537&gt;='Artifact Ledger'!G1537),'Artifact Ledger'!K1537,0))&lt;0.000001,1,0)</x:f>
        <x:v>1</x:v>
      </x:c>
      <x:c r="F4111" s="21" t="n">
        <x:v>1</x:v>
      </x:c>
      <x:c r="G4111" s="23" t="str">
        <x:f>IF(E4111=F4111,"PASS","FAIL")</x:f>
        <x:v>PASS</x:v>
      </x:c>
    </x:row>
    <x:row r="4112">
      <x:c r="B4112" s="21" t="str">
        <x:v>A04106</x:v>
      </x:c>
      <x:c r="C4112" s="21" t="str">
        <x:v>artifact</x:v>
      </x:c>
      <x:c r="D4112" s="21" t="str">
        <x:v>artifact 1531 planning state</x:v>
      </x:c>
      <x:c r="E4112" s="21" t="n">
        <x:f>IF(AND('Artifact Ledger'!Q1537="OPEN",'Artifact Ledger'!R1537="HOLD"),1,0)</x:f>
        <x:v>1</x:v>
      </x:c>
      <x:c r="F4112" s="21" t="n">
        <x:v>1</x:v>
      </x:c>
      <x:c r="G4112" s="23" t="str">
        <x:f>IF(E4112=F4112,"PASS","FAIL")</x:f>
        <x:v>PASS</x:v>
      </x:c>
    </x:row>
    <x:row r="4113">
      <x:c r="B4113" s="21" t="str">
        <x:v>A04107</x:v>
      </x:c>
      <x:c r="C4113" s="21" t="str">
        <x:v>artifact</x:v>
      </x:c>
      <x:c r="D4113" s="21" t="str">
        <x:v>artifact 1532 eligibility equation</x:v>
      </x:c>
      <x:c r="E4113" s="21" t="n">
        <x:f>IF(ABS('Artifact Ledger'!P1538-IF(AND('Artifact Ledger'!L1538=1,'Artifact Ledger'!M1538=1,'Artifact Ledger'!N1538=1,'Artifact Ledger'!O1538&gt;='Artifact Ledger'!G1538),'Artifact Ledger'!K1538,0))&lt;0.000001,1,0)</x:f>
        <x:v>1</x:v>
      </x:c>
      <x:c r="F4113" s="21" t="n">
        <x:v>1</x:v>
      </x:c>
      <x:c r="G4113" s="23" t="str">
        <x:f>IF(E4113=F4113,"PASS","FAIL")</x:f>
        <x:v>PASS</x:v>
      </x:c>
    </x:row>
    <x:row r="4114">
      <x:c r="B4114" s="21" t="str">
        <x:v>A04108</x:v>
      </x:c>
      <x:c r="C4114" s="21" t="str">
        <x:v>artifact</x:v>
      </x:c>
      <x:c r="D4114" s="21" t="str">
        <x:v>artifact 1532 planning state</x:v>
      </x:c>
      <x:c r="E4114" s="21" t="n">
        <x:f>IF(AND('Artifact Ledger'!Q1538="OPEN",'Artifact Ledger'!R1538="HOLD"),1,0)</x:f>
        <x:v>1</x:v>
      </x:c>
      <x:c r="F4114" s="21" t="n">
        <x:v>1</x:v>
      </x:c>
      <x:c r="G4114" s="23" t="str">
        <x:f>IF(E4114=F4114,"PASS","FAIL")</x:f>
        <x:v>PASS</x:v>
      </x:c>
    </x:row>
    <x:row r="4115">
      <x:c r="B4115" s="21" t="str">
        <x:v>A04109</x:v>
      </x:c>
      <x:c r="C4115" s="21" t="str">
        <x:v>artifact</x:v>
      </x:c>
      <x:c r="D4115" s="21" t="str">
        <x:v>artifact 1533 eligibility equation</x:v>
      </x:c>
      <x:c r="E4115" s="21" t="n">
        <x:f>IF(ABS('Artifact Ledger'!P1539-IF(AND('Artifact Ledger'!L1539=1,'Artifact Ledger'!M1539=1,'Artifact Ledger'!N1539=1,'Artifact Ledger'!O1539&gt;='Artifact Ledger'!G1539),'Artifact Ledger'!K1539,0))&lt;0.000001,1,0)</x:f>
        <x:v>1</x:v>
      </x:c>
      <x:c r="F4115" s="21" t="n">
        <x:v>1</x:v>
      </x:c>
      <x:c r="G4115" s="23" t="str">
        <x:f>IF(E4115=F4115,"PASS","FAIL")</x:f>
        <x:v>PASS</x:v>
      </x:c>
    </x:row>
    <x:row r="4116">
      <x:c r="B4116" s="21" t="str">
        <x:v>A04110</x:v>
      </x:c>
      <x:c r="C4116" s="21" t="str">
        <x:v>artifact</x:v>
      </x:c>
      <x:c r="D4116" s="21" t="str">
        <x:v>artifact 1533 planning state</x:v>
      </x:c>
      <x:c r="E4116" s="21" t="n">
        <x:f>IF(AND('Artifact Ledger'!Q1539="OPEN",'Artifact Ledger'!R1539="HOLD"),1,0)</x:f>
        <x:v>1</x:v>
      </x:c>
      <x:c r="F4116" s="21" t="n">
        <x:v>1</x:v>
      </x:c>
      <x:c r="G4116" s="23" t="str">
        <x:f>IF(E4116=F4116,"PASS","FAIL")</x:f>
        <x:v>PASS</x:v>
      </x:c>
    </x:row>
    <x:row r="4117">
      <x:c r="B4117" s="21" t="str">
        <x:v>A04111</x:v>
      </x:c>
      <x:c r="C4117" s="21" t="str">
        <x:v>artifact</x:v>
      </x:c>
      <x:c r="D4117" s="21" t="str">
        <x:v>artifact 1534 eligibility equation</x:v>
      </x:c>
      <x:c r="E4117" s="21" t="n">
        <x:f>IF(ABS('Artifact Ledger'!P1540-IF(AND('Artifact Ledger'!L1540=1,'Artifact Ledger'!M1540=1,'Artifact Ledger'!N1540=1,'Artifact Ledger'!O1540&gt;='Artifact Ledger'!G1540),'Artifact Ledger'!K1540,0))&lt;0.000001,1,0)</x:f>
        <x:v>1</x:v>
      </x:c>
      <x:c r="F4117" s="21" t="n">
        <x:v>1</x:v>
      </x:c>
      <x:c r="G4117" s="23" t="str">
        <x:f>IF(E4117=F4117,"PASS","FAIL")</x:f>
        <x:v>PASS</x:v>
      </x:c>
    </x:row>
    <x:row r="4118">
      <x:c r="B4118" s="21" t="str">
        <x:v>A04112</x:v>
      </x:c>
      <x:c r="C4118" s="21" t="str">
        <x:v>artifact</x:v>
      </x:c>
      <x:c r="D4118" s="21" t="str">
        <x:v>artifact 1534 planning state</x:v>
      </x:c>
      <x:c r="E4118" s="21" t="n">
        <x:f>IF(AND('Artifact Ledger'!Q1540="OPEN",'Artifact Ledger'!R1540="HOLD"),1,0)</x:f>
        <x:v>1</x:v>
      </x:c>
      <x:c r="F4118" s="21" t="n">
        <x:v>1</x:v>
      </x:c>
      <x:c r="G4118" s="23" t="str">
        <x:f>IF(E4118=F4118,"PASS","FAIL")</x:f>
        <x:v>PASS</x:v>
      </x:c>
    </x:row>
    <x:row r="4119">
      <x:c r="B4119" s="21" t="str">
        <x:v>A04113</x:v>
      </x:c>
      <x:c r="C4119" s="21" t="str">
        <x:v>artifact</x:v>
      </x:c>
      <x:c r="D4119" s="21" t="str">
        <x:v>artifact 1535 eligibility equation</x:v>
      </x:c>
      <x:c r="E4119" s="21" t="n">
        <x:f>IF(ABS('Artifact Ledger'!P1541-IF(AND('Artifact Ledger'!L1541=1,'Artifact Ledger'!M1541=1,'Artifact Ledger'!N1541=1,'Artifact Ledger'!O1541&gt;='Artifact Ledger'!G1541),'Artifact Ledger'!K1541,0))&lt;0.000001,1,0)</x:f>
        <x:v>1</x:v>
      </x:c>
      <x:c r="F4119" s="21" t="n">
        <x:v>1</x:v>
      </x:c>
      <x:c r="G4119" s="23" t="str">
        <x:f>IF(E4119=F4119,"PASS","FAIL")</x:f>
        <x:v>PASS</x:v>
      </x:c>
    </x:row>
    <x:row r="4120">
      <x:c r="B4120" s="21" t="str">
        <x:v>A04114</x:v>
      </x:c>
      <x:c r="C4120" s="21" t="str">
        <x:v>artifact</x:v>
      </x:c>
      <x:c r="D4120" s="21" t="str">
        <x:v>artifact 1535 planning state</x:v>
      </x:c>
      <x:c r="E4120" s="21" t="n">
        <x:f>IF(AND('Artifact Ledger'!Q1541="OPEN",'Artifact Ledger'!R1541="HOLD"),1,0)</x:f>
        <x:v>1</x:v>
      </x:c>
      <x:c r="F4120" s="21" t="n">
        <x:v>1</x:v>
      </x:c>
      <x:c r="G4120" s="23" t="str">
        <x:f>IF(E4120=F4120,"PASS","FAIL")</x:f>
        <x:v>PASS</x:v>
      </x:c>
    </x:row>
    <x:row r="4121">
      <x:c r="B4121" s="21" t="str">
        <x:v>A04115</x:v>
      </x:c>
      <x:c r="C4121" s="21" t="str">
        <x:v>artifact</x:v>
      </x:c>
      <x:c r="D4121" s="21" t="str">
        <x:v>artifact 1536 eligibility equation</x:v>
      </x:c>
      <x:c r="E4121" s="21" t="n">
        <x:f>IF(ABS('Artifact Ledger'!P1542-IF(AND('Artifact Ledger'!L1542=1,'Artifact Ledger'!M1542=1,'Artifact Ledger'!N1542=1,'Artifact Ledger'!O1542&gt;='Artifact Ledger'!G1542),'Artifact Ledger'!K1542,0))&lt;0.000001,1,0)</x:f>
        <x:v>1</x:v>
      </x:c>
      <x:c r="F4121" s="21" t="n">
        <x:v>1</x:v>
      </x:c>
      <x:c r="G4121" s="23" t="str">
        <x:f>IF(E4121=F4121,"PASS","FAIL")</x:f>
        <x:v>PASS</x:v>
      </x:c>
    </x:row>
    <x:row r="4122">
      <x:c r="B4122" s="21" t="str">
        <x:v>A04116</x:v>
      </x:c>
      <x:c r="C4122" s="21" t="str">
        <x:v>artifact</x:v>
      </x:c>
      <x:c r="D4122" s="21" t="str">
        <x:v>artifact 1536 planning state</x:v>
      </x:c>
      <x:c r="E4122" s="21" t="n">
        <x:f>IF(AND('Artifact Ledger'!Q1542="OPEN",'Artifact Ledger'!R1542="HOLD"),1,0)</x:f>
        <x:v>1</x:v>
      </x:c>
      <x:c r="F4122" s="21" t="n">
        <x:v>1</x:v>
      </x:c>
      <x:c r="G4122" s="23" t="str">
        <x:f>IF(E4122=F4122,"PASS","FAIL")</x:f>
        <x:v>PASS</x:v>
      </x:c>
    </x:row>
    <x:row r="4123">
      <x:c r="B4123" s="21" t="str">
        <x:v>A04117</x:v>
      </x:c>
      <x:c r="C4123" s="21" t="str">
        <x:v>artifact</x:v>
      </x:c>
      <x:c r="D4123" s="21" t="str">
        <x:v>artifact 1537 eligibility equation</x:v>
      </x:c>
      <x:c r="E4123" s="21" t="n">
        <x:f>IF(ABS('Artifact Ledger'!P1543-IF(AND('Artifact Ledger'!L1543=1,'Artifact Ledger'!M1543=1,'Artifact Ledger'!N1543=1,'Artifact Ledger'!O1543&gt;='Artifact Ledger'!G1543),'Artifact Ledger'!K1543,0))&lt;0.000001,1,0)</x:f>
        <x:v>1</x:v>
      </x:c>
      <x:c r="F4123" s="21" t="n">
        <x:v>1</x:v>
      </x:c>
      <x:c r="G4123" s="23" t="str">
        <x:f>IF(E4123=F4123,"PASS","FAIL")</x:f>
        <x:v>PASS</x:v>
      </x:c>
    </x:row>
    <x:row r="4124">
      <x:c r="B4124" s="21" t="str">
        <x:v>A04118</x:v>
      </x:c>
      <x:c r="C4124" s="21" t="str">
        <x:v>artifact</x:v>
      </x:c>
      <x:c r="D4124" s="21" t="str">
        <x:v>artifact 1537 planning state</x:v>
      </x:c>
      <x:c r="E4124" s="21" t="n">
        <x:f>IF(AND('Artifact Ledger'!Q1543="OPEN",'Artifact Ledger'!R1543="HOLD"),1,0)</x:f>
        <x:v>1</x:v>
      </x:c>
      <x:c r="F4124" s="21" t="n">
        <x:v>1</x:v>
      </x:c>
      <x:c r="G4124" s="23" t="str">
        <x:f>IF(E4124=F4124,"PASS","FAIL")</x:f>
        <x:v>PASS</x:v>
      </x:c>
    </x:row>
    <x:row r="4125">
      <x:c r="B4125" s="21" t="str">
        <x:v>A04119</x:v>
      </x:c>
      <x:c r="C4125" s="21" t="str">
        <x:v>artifact</x:v>
      </x:c>
      <x:c r="D4125" s="21" t="str">
        <x:v>artifact 1538 eligibility equation</x:v>
      </x:c>
      <x:c r="E4125" s="21" t="n">
        <x:f>IF(ABS('Artifact Ledger'!P1544-IF(AND('Artifact Ledger'!L1544=1,'Artifact Ledger'!M1544=1,'Artifact Ledger'!N1544=1,'Artifact Ledger'!O1544&gt;='Artifact Ledger'!G1544),'Artifact Ledger'!K1544,0))&lt;0.000001,1,0)</x:f>
        <x:v>1</x:v>
      </x:c>
      <x:c r="F4125" s="21" t="n">
        <x:v>1</x:v>
      </x:c>
      <x:c r="G4125" s="23" t="str">
        <x:f>IF(E4125=F4125,"PASS","FAIL")</x:f>
        <x:v>PASS</x:v>
      </x:c>
    </x:row>
    <x:row r="4126">
      <x:c r="B4126" s="21" t="str">
        <x:v>A04120</x:v>
      </x:c>
      <x:c r="C4126" s="21" t="str">
        <x:v>artifact</x:v>
      </x:c>
      <x:c r="D4126" s="21" t="str">
        <x:v>artifact 1538 planning state</x:v>
      </x:c>
      <x:c r="E4126" s="21" t="n">
        <x:f>IF(AND('Artifact Ledger'!Q1544="OPEN",'Artifact Ledger'!R1544="HOLD"),1,0)</x:f>
        <x:v>1</x:v>
      </x:c>
      <x:c r="F4126" s="21" t="n">
        <x:v>1</x:v>
      </x:c>
      <x:c r="G4126" s="23" t="str">
        <x:f>IF(E4126=F4126,"PASS","FAIL")</x:f>
        <x:v>PASS</x:v>
      </x:c>
    </x:row>
    <x:row r="4127">
      <x:c r="B4127" s="21" t="str">
        <x:v>A04121</x:v>
      </x:c>
      <x:c r="C4127" s="21" t="str">
        <x:v>artifact</x:v>
      </x:c>
      <x:c r="D4127" s="21" t="str">
        <x:v>artifact 1539 eligibility equation</x:v>
      </x:c>
      <x:c r="E4127" s="21" t="n">
        <x:f>IF(ABS('Artifact Ledger'!P1545-IF(AND('Artifact Ledger'!L1545=1,'Artifact Ledger'!M1545=1,'Artifact Ledger'!N1545=1,'Artifact Ledger'!O1545&gt;='Artifact Ledger'!G1545),'Artifact Ledger'!K1545,0))&lt;0.000001,1,0)</x:f>
        <x:v>1</x:v>
      </x:c>
      <x:c r="F4127" s="21" t="n">
        <x:v>1</x:v>
      </x:c>
      <x:c r="G4127" s="23" t="str">
        <x:f>IF(E4127=F4127,"PASS","FAIL")</x:f>
        <x:v>PASS</x:v>
      </x:c>
    </x:row>
    <x:row r="4128">
      <x:c r="B4128" s="21" t="str">
        <x:v>A04122</x:v>
      </x:c>
      <x:c r="C4128" s="21" t="str">
        <x:v>artifact</x:v>
      </x:c>
      <x:c r="D4128" s="21" t="str">
        <x:v>artifact 1539 planning state</x:v>
      </x:c>
      <x:c r="E4128" s="21" t="n">
        <x:f>IF(AND('Artifact Ledger'!Q1545="OPEN",'Artifact Ledger'!R1545="HOLD"),1,0)</x:f>
        <x:v>1</x:v>
      </x:c>
      <x:c r="F4128" s="21" t="n">
        <x:v>1</x:v>
      </x:c>
      <x:c r="G4128" s="23" t="str">
        <x:f>IF(E4128=F4128,"PASS","FAIL")</x:f>
        <x:v>PASS</x:v>
      </x:c>
    </x:row>
    <x:row r="4129">
      <x:c r="B4129" s="21" t="str">
        <x:v>A04123</x:v>
      </x:c>
      <x:c r="C4129" s="21" t="str">
        <x:v>artifact</x:v>
      </x:c>
      <x:c r="D4129" s="21" t="str">
        <x:v>artifact 1540 eligibility equation</x:v>
      </x:c>
      <x:c r="E4129" s="21" t="n">
        <x:f>IF(ABS('Artifact Ledger'!P1546-IF(AND('Artifact Ledger'!L1546=1,'Artifact Ledger'!M1546=1,'Artifact Ledger'!N1546=1,'Artifact Ledger'!O1546&gt;='Artifact Ledger'!G1546),'Artifact Ledger'!K1546,0))&lt;0.000001,1,0)</x:f>
        <x:v>1</x:v>
      </x:c>
      <x:c r="F4129" s="21" t="n">
        <x:v>1</x:v>
      </x:c>
      <x:c r="G4129" s="23" t="str">
        <x:f>IF(E4129=F4129,"PASS","FAIL")</x:f>
        <x:v>PASS</x:v>
      </x:c>
    </x:row>
    <x:row r="4130">
      <x:c r="B4130" s="21" t="str">
        <x:v>A04124</x:v>
      </x:c>
      <x:c r="C4130" s="21" t="str">
        <x:v>artifact</x:v>
      </x:c>
      <x:c r="D4130" s="21" t="str">
        <x:v>artifact 1540 planning state</x:v>
      </x:c>
      <x:c r="E4130" s="21" t="n">
        <x:f>IF(AND('Artifact Ledger'!Q1546="OPEN",'Artifact Ledger'!R1546="HOLD"),1,0)</x:f>
        <x:v>1</x:v>
      </x:c>
      <x:c r="F4130" s="21" t="n">
        <x:v>1</x:v>
      </x:c>
      <x:c r="G4130" s="23" t="str">
        <x:f>IF(E4130=F4130,"PASS","FAIL")</x:f>
        <x:v>PASS</x:v>
      </x:c>
    </x:row>
    <x:row r="4131">
      <x:c r="B4131" s="21" t="str">
        <x:v>A04125</x:v>
      </x:c>
      <x:c r="C4131" s="21" t="str">
        <x:v>artifact</x:v>
      </x:c>
      <x:c r="D4131" s="21" t="str">
        <x:v>artifact 1541 eligibility equation</x:v>
      </x:c>
      <x:c r="E4131" s="21" t="n">
        <x:f>IF(ABS('Artifact Ledger'!P1547-IF(AND('Artifact Ledger'!L1547=1,'Artifact Ledger'!M1547=1,'Artifact Ledger'!N1547=1,'Artifact Ledger'!O1547&gt;='Artifact Ledger'!G1547),'Artifact Ledger'!K1547,0))&lt;0.000001,1,0)</x:f>
        <x:v>1</x:v>
      </x:c>
      <x:c r="F4131" s="21" t="n">
        <x:v>1</x:v>
      </x:c>
      <x:c r="G4131" s="23" t="str">
        <x:f>IF(E4131=F4131,"PASS","FAIL")</x:f>
        <x:v>PASS</x:v>
      </x:c>
    </x:row>
    <x:row r="4132">
      <x:c r="B4132" s="21" t="str">
        <x:v>A04126</x:v>
      </x:c>
      <x:c r="C4132" s="21" t="str">
        <x:v>artifact</x:v>
      </x:c>
      <x:c r="D4132" s="21" t="str">
        <x:v>artifact 1541 planning state</x:v>
      </x:c>
      <x:c r="E4132" s="21" t="n">
        <x:f>IF(AND('Artifact Ledger'!Q1547="OPEN",'Artifact Ledger'!R1547="HOLD"),1,0)</x:f>
        <x:v>1</x:v>
      </x:c>
      <x:c r="F4132" s="21" t="n">
        <x:v>1</x:v>
      </x:c>
      <x:c r="G4132" s="23" t="str">
        <x:f>IF(E4132=F4132,"PASS","FAIL")</x:f>
        <x:v>PASS</x:v>
      </x:c>
    </x:row>
    <x:row r="4133">
      <x:c r="B4133" s="21" t="str">
        <x:v>A04127</x:v>
      </x:c>
      <x:c r="C4133" s="21" t="str">
        <x:v>artifact</x:v>
      </x:c>
      <x:c r="D4133" s="21" t="str">
        <x:v>artifact 1542 eligibility equation</x:v>
      </x:c>
      <x:c r="E4133" s="21" t="n">
        <x:f>IF(ABS('Artifact Ledger'!P1548-IF(AND('Artifact Ledger'!L1548=1,'Artifact Ledger'!M1548=1,'Artifact Ledger'!N1548=1,'Artifact Ledger'!O1548&gt;='Artifact Ledger'!G1548),'Artifact Ledger'!K1548,0))&lt;0.000001,1,0)</x:f>
        <x:v>1</x:v>
      </x:c>
      <x:c r="F4133" s="21" t="n">
        <x:v>1</x:v>
      </x:c>
      <x:c r="G4133" s="23" t="str">
        <x:f>IF(E4133=F4133,"PASS","FAIL")</x:f>
        <x:v>PASS</x:v>
      </x:c>
    </x:row>
    <x:row r="4134">
      <x:c r="B4134" s="21" t="str">
        <x:v>A04128</x:v>
      </x:c>
      <x:c r="C4134" s="21" t="str">
        <x:v>artifact</x:v>
      </x:c>
      <x:c r="D4134" s="21" t="str">
        <x:v>artifact 1542 planning state</x:v>
      </x:c>
      <x:c r="E4134" s="21" t="n">
        <x:f>IF(AND('Artifact Ledger'!Q1548="OPEN",'Artifact Ledger'!R1548="HOLD"),1,0)</x:f>
        <x:v>1</x:v>
      </x:c>
      <x:c r="F4134" s="21" t="n">
        <x:v>1</x:v>
      </x:c>
      <x:c r="G4134" s="23" t="str">
        <x:f>IF(E4134=F4134,"PASS","FAIL")</x:f>
        <x:v>PASS</x:v>
      </x:c>
    </x:row>
    <x:row r="4135">
      <x:c r="B4135" s="21" t="str">
        <x:v>A04129</x:v>
      </x:c>
      <x:c r="C4135" s="21" t="str">
        <x:v>artifact</x:v>
      </x:c>
      <x:c r="D4135" s="21" t="str">
        <x:v>artifact 1543 eligibility equation</x:v>
      </x:c>
      <x:c r="E4135" s="21" t="n">
        <x:f>IF(ABS('Artifact Ledger'!P1549-IF(AND('Artifact Ledger'!L1549=1,'Artifact Ledger'!M1549=1,'Artifact Ledger'!N1549=1,'Artifact Ledger'!O1549&gt;='Artifact Ledger'!G1549),'Artifact Ledger'!K1549,0))&lt;0.000001,1,0)</x:f>
        <x:v>1</x:v>
      </x:c>
      <x:c r="F4135" s="21" t="n">
        <x:v>1</x:v>
      </x:c>
      <x:c r="G4135" s="23" t="str">
        <x:f>IF(E4135=F4135,"PASS","FAIL")</x:f>
        <x:v>PASS</x:v>
      </x:c>
    </x:row>
    <x:row r="4136">
      <x:c r="B4136" s="21" t="str">
        <x:v>A04130</x:v>
      </x:c>
      <x:c r="C4136" s="21" t="str">
        <x:v>artifact</x:v>
      </x:c>
      <x:c r="D4136" s="21" t="str">
        <x:v>artifact 1543 planning state</x:v>
      </x:c>
      <x:c r="E4136" s="21" t="n">
        <x:f>IF(AND('Artifact Ledger'!Q1549="OPEN",'Artifact Ledger'!R1549="HOLD"),1,0)</x:f>
        <x:v>1</x:v>
      </x:c>
      <x:c r="F4136" s="21" t="n">
        <x:v>1</x:v>
      </x:c>
      <x:c r="G4136" s="23" t="str">
        <x:f>IF(E4136=F4136,"PASS","FAIL")</x:f>
        <x:v>PASS</x:v>
      </x:c>
    </x:row>
    <x:row r="4137">
      <x:c r="B4137" s="21" t="str">
        <x:v>A04131</x:v>
      </x:c>
      <x:c r="C4137" s="21" t="str">
        <x:v>artifact</x:v>
      </x:c>
      <x:c r="D4137" s="21" t="str">
        <x:v>artifact 1544 eligibility equation</x:v>
      </x:c>
      <x:c r="E4137" s="21" t="n">
        <x:f>IF(ABS('Artifact Ledger'!P1550-IF(AND('Artifact Ledger'!L1550=1,'Artifact Ledger'!M1550=1,'Artifact Ledger'!N1550=1,'Artifact Ledger'!O1550&gt;='Artifact Ledger'!G1550),'Artifact Ledger'!K1550,0))&lt;0.000001,1,0)</x:f>
        <x:v>1</x:v>
      </x:c>
      <x:c r="F4137" s="21" t="n">
        <x:v>1</x:v>
      </x:c>
      <x:c r="G4137" s="23" t="str">
        <x:f>IF(E4137=F4137,"PASS","FAIL")</x:f>
        <x:v>PASS</x:v>
      </x:c>
    </x:row>
    <x:row r="4138">
      <x:c r="B4138" s="21" t="str">
        <x:v>A04132</x:v>
      </x:c>
      <x:c r="C4138" s="21" t="str">
        <x:v>artifact</x:v>
      </x:c>
      <x:c r="D4138" s="21" t="str">
        <x:v>artifact 1544 planning state</x:v>
      </x:c>
      <x:c r="E4138" s="21" t="n">
        <x:f>IF(AND('Artifact Ledger'!Q1550="OPEN",'Artifact Ledger'!R1550="HOLD"),1,0)</x:f>
        <x:v>1</x:v>
      </x:c>
      <x:c r="F4138" s="21" t="n">
        <x:v>1</x:v>
      </x:c>
      <x:c r="G4138" s="23" t="str">
        <x:f>IF(E4138=F4138,"PASS","FAIL")</x:f>
        <x:v>PASS</x:v>
      </x:c>
    </x:row>
    <x:row r="4139">
      <x:c r="B4139" s="21" t="str">
        <x:v>A04133</x:v>
      </x:c>
      <x:c r="C4139" s="21" t="str">
        <x:v>artifact</x:v>
      </x:c>
      <x:c r="D4139" s="21" t="str">
        <x:v>artifact 1545 eligibility equation</x:v>
      </x:c>
      <x:c r="E4139" s="21" t="n">
        <x:f>IF(ABS('Artifact Ledger'!P1551-IF(AND('Artifact Ledger'!L1551=1,'Artifact Ledger'!M1551=1,'Artifact Ledger'!N1551=1,'Artifact Ledger'!O1551&gt;='Artifact Ledger'!G1551),'Artifact Ledger'!K1551,0))&lt;0.000001,1,0)</x:f>
        <x:v>1</x:v>
      </x:c>
      <x:c r="F4139" s="21" t="n">
        <x:v>1</x:v>
      </x:c>
      <x:c r="G4139" s="23" t="str">
        <x:f>IF(E4139=F4139,"PASS","FAIL")</x:f>
        <x:v>PASS</x:v>
      </x:c>
    </x:row>
    <x:row r="4140">
      <x:c r="B4140" s="21" t="str">
        <x:v>A04134</x:v>
      </x:c>
      <x:c r="C4140" s="21" t="str">
        <x:v>artifact</x:v>
      </x:c>
      <x:c r="D4140" s="21" t="str">
        <x:v>artifact 1545 planning state</x:v>
      </x:c>
      <x:c r="E4140" s="21" t="n">
        <x:f>IF(AND('Artifact Ledger'!Q1551="OPEN",'Artifact Ledger'!R1551="HOLD"),1,0)</x:f>
        <x:v>1</x:v>
      </x:c>
      <x:c r="F4140" s="21" t="n">
        <x:v>1</x:v>
      </x:c>
      <x:c r="G4140" s="23" t="str">
        <x:f>IF(E4140=F4140,"PASS","FAIL")</x:f>
        <x:v>PASS</x:v>
      </x:c>
    </x:row>
    <x:row r="4141">
      <x:c r="B4141" s="21" t="str">
        <x:v>A04135</x:v>
      </x:c>
      <x:c r="C4141" s="21" t="str">
        <x:v>artifact</x:v>
      </x:c>
      <x:c r="D4141" s="21" t="str">
        <x:v>artifact 1546 eligibility equation</x:v>
      </x:c>
      <x:c r="E4141" s="21" t="n">
        <x:f>IF(ABS('Artifact Ledger'!P1552-IF(AND('Artifact Ledger'!L1552=1,'Artifact Ledger'!M1552=1,'Artifact Ledger'!N1552=1,'Artifact Ledger'!O1552&gt;='Artifact Ledger'!G1552),'Artifact Ledger'!K1552,0))&lt;0.000001,1,0)</x:f>
        <x:v>1</x:v>
      </x:c>
      <x:c r="F4141" s="21" t="n">
        <x:v>1</x:v>
      </x:c>
      <x:c r="G4141" s="23" t="str">
        <x:f>IF(E4141=F4141,"PASS","FAIL")</x:f>
        <x:v>PASS</x:v>
      </x:c>
    </x:row>
    <x:row r="4142">
      <x:c r="B4142" s="21" t="str">
        <x:v>A04136</x:v>
      </x:c>
      <x:c r="C4142" s="21" t="str">
        <x:v>artifact</x:v>
      </x:c>
      <x:c r="D4142" s="21" t="str">
        <x:v>artifact 1546 planning state</x:v>
      </x:c>
      <x:c r="E4142" s="21" t="n">
        <x:f>IF(AND('Artifact Ledger'!Q1552="OPEN",'Artifact Ledger'!R1552="HOLD"),1,0)</x:f>
        <x:v>1</x:v>
      </x:c>
      <x:c r="F4142" s="21" t="n">
        <x:v>1</x:v>
      </x:c>
      <x:c r="G4142" s="23" t="str">
        <x:f>IF(E4142=F4142,"PASS","FAIL")</x:f>
        <x:v>PASS</x:v>
      </x:c>
    </x:row>
    <x:row r="4143">
      <x:c r="B4143" s="21" t="str">
        <x:v>A04137</x:v>
      </x:c>
      <x:c r="C4143" s="21" t="str">
        <x:v>artifact</x:v>
      </x:c>
      <x:c r="D4143" s="21" t="str">
        <x:v>artifact 1547 eligibility equation</x:v>
      </x:c>
      <x:c r="E4143" s="21" t="n">
        <x:f>IF(ABS('Artifact Ledger'!P1553-IF(AND('Artifact Ledger'!L1553=1,'Artifact Ledger'!M1553=1,'Artifact Ledger'!N1553=1,'Artifact Ledger'!O1553&gt;='Artifact Ledger'!G1553),'Artifact Ledger'!K1553,0))&lt;0.000001,1,0)</x:f>
        <x:v>1</x:v>
      </x:c>
      <x:c r="F4143" s="21" t="n">
        <x:v>1</x:v>
      </x:c>
      <x:c r="G4143" s="23" t="str">
        <x:f>IF(E4143=F4143,"PASS","FAIL")</x:f>
        <x:v>PASS</x:v>
      </x:c>
    </x:row>
    <x:row r="4144">
      <x:c r="B4144" s="21" t="str">
        <x:v>A04138</x:v>
      </x:c>
      <x:c r="C4144" s="21" t="str">
        <x:v>artifact</x:v>
      </x:c>
      <x:c r="D4144" s="21" t="str">
        <x:v>artifact 1547 planning state</x:v>
      </x:c>
      <x:c r="E4144" s="21" t="n">
        <x:f>IF(AND('Artifact Ledger'!Q1553="OPEN",'Artifact Ledger'!R1553="HOLD"),1,0)</x:f>
        <x:v>1</x:v>
      </x:c>
      <x:c r="F4144" s="21" t="n">
        <x:v>1</x:v>
      </x:c>
      <x:c r="G4144" s="23" t="str">
        <x:f>IF(E4144=F4144,"PASS","FAIL")</x:f>
        <x:v>PASS</x:v>
      </x:c>
    </x:row>
    <x:row r="4145">
      <x:c r="B4145" s="21" t="str">
        <x:v>A04139</x:v>
      </x:c>
      <x:c r="C4145" s="21" t="str">
        <x:v>artifact</x:v>
      </x:c>
      <x:c r="D4145" s="21" t="str">
        <x:v>artifact 1548 eligibility equation</x:v>
      </x:c>
      <x:c r="E4145" s="21" t="n">
        <x:f>IF(ABS('Artifact Ledger'!P1554-IF(AND('Artifact Ledger'!L1554=1,'Artifact Ledger'!M1554=1,'Artifact Ledger'!N1554=1,'Artifact Ledger'!O1554&gt;='Artifact Ledger'!G1554),'Artifact Ledger'!K1554,0))&lt;0.000001,1,0)</x:f>
        <x:v>1</x:v>
      </x:c>
      <x:c r="F4145" s="21" t="n">
        <x:v>1</x:v>
      </x:c>
      <x:c r="G4145" s="23" t="str">
        <x:f>IF(E4145=F4145,"PASS","FAIL")</x:f>
        <x:v>PASS</x:v>
      </x:c>
    </x:row>
    <x:row r="4146">
      <x:c r="B4146" s="21" t="str">
        <x:v>A04140</x:v>
      </x:c>
      <x:c r="C4146" s="21" t="str">
        <x:v>artifact</x:v>
      </x:c>
      <x:c r="D4146" s="21" t="str">
        <x:v>artifact 1548 planning state</x:v>
      </x:c>
      <x:c r="E4146" s="21" t="n">
        <x:f>IF(AND('Artifact Ledger'!Q1554="OPEN",'Artifact Ledger'!R1554="HOLD"),1,0)</x:f>
        <x:v>1</x:v>
      </x:c>
      <x:c r="F4146" s="21" t="n">
        <x:v>1</x:v>
      </x:c>
      <x:c r="G4146" s="23" t="str">
        <x:f>IF(E4146=F4146,"PASS","FAIL")</x:f>
        <x:v>PASS</x:v>
      </x:c>
    </x:row>
    <x:row r="4147">
      <x:c r="B4147" s="21" t="str">
        <x:v>A04141</x:v>
      </x:c>
      <x:c r="C4147" s="21" t="str">
        <x:v>artifact</x:v>
      </x:c>
      <x:c r="D4147" s="21" t="str">
        <x:v>artifact 1549 eligibility equation</x:v>
      </x:c>
      <x:c r="E4147" s="21" t="n">
        <x:f>IF(ABS('Artifact Ledger'!P1555-IF(AND('Artifact Ledger'!L1555=1,'Artifact Ledger'!M1555=1,'Artifact Ledger'!N1555=1,'Artifact Ledger'!O1555&gt;='Artifact Ledger'!G1555),'Artifact Ledger'!K1555,0))&lt;0.000001,1,0)</x:f>
        <x:v>1</x:v>
      </x:c>
      <x:c r="F4147" s="21" t="n">
        <x:v>1</x:v>
      </x:c>
      <x:c r="G4147" s="23" t="str">
        <x:f>IF(E4147=F4147,"PASS","FAIL")</x:f>
        <x:v>PASS</x:v>
      </x:c>
    </x:row>
    <x:row r="4148">
      <x:c r="B4148" s="21" t="str">
        <x:v>A04142</x:v>
      </x:c>
      <x:c r="C4148" s="21" t="str">
        <x:v>artifact</x:v>
      </x:c>
      <x:c r="D4148" s="21" t="str">
        <x:v>artifact 1549 planning state</x:v>
      </x:c>
      <x:c r="E4148" s="21" t="n">
        <x:f>IF(AND('Artifact Ledger'!Q1555="OPEN",'Artifact Ledger'!R1555="HOLD"),1,0)</x:f>
        <x:v>1</x:v>
      </x:c>
      <x:c r="F4148" s="21" t="n">
        <x:v>1</x:v>
      </x:c>
      <x:c r="G4148" s="23" t="str">
        <x:f>IF(E4148=F4148,"PASS","FAIL")</x:f>
        <x:v>PASS</x:v>
      </x:c>
    </x:row>
    <x:row r="4149">
      <x:c r="B4149" s="21" t="str">
        <x:v>A04143</x:v>
      </x:c>
      <x:c r="C4149" s="21" t="str">
        <x:v>artifact</x:v>
      </x:c>
      <x:c r="D4149" s="21" t="str">
        <x:v>artifact 1550 eligibility equation</x:v>
      </x:c>
      <x:c r="E4149" s="21" t="n">
        <x:f>IF(ABS('Artifact Ledger'!P1556-IF(AND('Artifact Ledger'!L1556=1,'Artifact Ledger'!M1556=1,'Artifact Ledger'!N1556=1,'Artifact Ledger'!O1556&gt;='Artifact Ledger'!G1556),'Artifact Ledger'!K1556,0))&lt;0.000001,1,0)</x:f>
        <x:v>1</x:v>
      </x:c>
      <x:c r="F4149" s="21" t="n">
        <x:v>1</x:v>
      </x:c>
      <x:c r="G4149" s="23" t="str">
        <x:f>IF(E4149=F4149,"PASS","FAIL")</x:f>
        <x:v>PASS</x:v>
      </x:c>
    </x:row>
    <x:row r="4150">
      <x:c r="B4150" s="21" t="str">
        <x:v>A04144</x:v>
      </x:c>
      <x:c r="C4150" s="21" t="str">
        <x:v>artifact</x:v>
      </x:c>
      <x:c r="D4150" s="21" t="str">
        <x:v>artifact 1550 planning state</x:v>
      </x:c>
      <x:c r="E4150" s="21" t="n">
        <x:f>IF(AND('Artifact Ledger'!Q1556="OPEN",'Artifact Ledger'!R1556="HOLD"),1,0)</x:f>
        <x:v>1</x:v>
      </x:c>
      <x:c r="F4150" s="21" t="n">
        <x:v>1</x:v>
      </x:c>
      <x:c r="G4150" s="23" t="str">
        <x:f>IF(E4150=F4150,"PASS","FAIL")</x:f>
        <x:v>PASS</x:v>
      </x:c>
    </x:row>
    <x:row r="4151">
      <x:c r="B4151" s="21" t="str">
        <x:v>A04145</x:v>
      </x:c>
      <x:c r="C4151" s="21" t="str">
        <x:v>artifact</x:v>
      </x:c>
      <x:c r="D4151" s="21" t="str">
        <x:v>artifact 1551 eligibility equation</x:v>
      </x:c>
      <x:c r="E4151" s="21" t="n">
        <x:f>IF(ABS('Artifact Ledger'!P1557-IF(AND('Artifact Ledger'!L1557=1,'Artifact Ledger'!M1557=1,'Artifact Ledger'!N1557=1,'Artifact Ledger'!O1557&gt;='Artifact Ledger'!G1557),'Artifact Ledger'!K1557,0))&lt;0.000001,1,0)</x:f>
        <x:v>1</x:v>
      </x:c>
      <x:c r="F4151" s="21" t="n">
        <x:v>1</x:v>
      </x:c>
      <x:c r="G4151" s="23" t="str">
        <x:f>IF(E4151=F4151,"PASS","FAIL")</x:f>
        <x:v>PASS</x:v>
      </x:c>
    </x:row>
    <x:row r="4152">
      <x:c r="B4152" s="21" t="str">
        <x:v>A04146</x:v>
      </x:c>
      <x:c r="C4152" s="21" t="str">
        <x:v>artifact</x:v>
      </x:c>
      <x:c r="D4152" s="21" t="str">
        <x:v>artifact 1551 planning state</x:v>
      </x:c>
      <x:c r="E4152" s="21" t="n">
        <x:f>IF(AND('Artifact Ledger'!Q1557="OPEN",'Artifact Ledger'!R1557="HOLD"),1,0)</x:f>
        <x:v>1</x:v>
      </x:c>
      <x:c r="F4152" s="21" t="n">
        <x:v>1</x:v>
      </x:c>
      <x:c r="G4152" s="23" t="str">
        <x:f>IF(E4152=F4152,"PASS","FAIL")</x:f>
        <x:v>PASS</x:v>
      </x:c>
    </x:row>
    <x:row r="4153">
      <x:c r="B4153" s="21" t="str">
        <x:v>A04147</x:v>
      </x:c>
      <x:c r="C4153" s="21" t="str">
        <x:v>artifact</x:v>
      </x:c>
      <x:c r="D4153" s="21" t="str">
        <x:v>artifact 1552 eligibility equation</x:v>
      </x:c>
      <x:c r="E4153" s="21" t="n">
        <x:f>IF(ABS('Artifact Ledger'!P1558-IF(AND('Artifact Ledger'!L1558=1,'Artifact Ledger'!M1558=1,'Artifact Ledger'!N1558=1,'Artifact Ledger'!O1558&gt;='Artifact Ledger'!G1558),'Artifact Ledger'!K1558,0))&lt;0.000001,1,0)</x:f>
        <x:v>1</x:v>
      </x:c>
      <x:c r="F4153" s="21" t="n">
        <x:v>1</x:v>
      </x:c>
      <x:c r="G4153" s="23" t="str">
        <x:f>IF(E4153=F4153,"PASS","FAIL")</x:f>
        <x:v>PASS</x:v>
      </x:c>
    </x:row>
    <x:row r="4154">
      <x:c r="B4154" s="21" t="str">
        <x:v>A04148</x:v>
      </x:c>
      <x:c r="C4154" s="21" t="str">
        <x:v>artifact</x:v>
      </x:c>
      <x:c r="D4154" s="21" t="str">
        <x:v>artifact 1552 planning state</x:v>
      </x:c>
      <x:c r="E4154" s="21" t="n">
        <x:f>IF(AND('Artifact Ledger'!Q1558="OPEN",'Artifact Ledger'!R1558="HOLD"),1,0)</x:f>
        <x:v>1</x:v>
      </x:c>
      <x:c r="F4154" s="21" t="n">
        <x:v>1</x:v>
      </x:c>
      <x:c r="G4154" s="23" t="str">
        <x:f>IF(E4154=F4154,"PASS","FAIL")</x:f>
        <x:v>PASS</x:v>
      </x:c>
    </x:row>
    <x:row r="4155">
      <x:c r="B4155" s="21" t="str">
        <x:v>A04149</x:v>
      </x:c>
      <x:c r="C4155" s="21" t="str">
        <x:v>artifact</x:v>
      </x:c>
      <x:c r="D4155" s="21" t="str">
        <x:v>artifact 1553 eligibility equation</x:v>
      </x:c>
      <x:c r="E4155" s="21" t="n">
        <x:f>IF(ABS('Artifact Ledger'!P1559-IF(AND('Artifact Ledger'!L1559=1,'Artifact Ledger'!M1559=1,'Artifact Ledger'!N1559=1,'Artifact Ledger'!O1559&gt;='Artifact Ledger'!G1559),'Artifact Ledger'!K1559,0))&lt;0.000001,1,0)</x:f>
        <x:v>1</x:v>
      </x:c>
      <x:c r="F4155" s="21" t="n">
        <x:v>1</x:v>
      </x:c>
      <x:c r="G4155" s="23" t="str">
        <x:f>IF(E4155=F4155,"PASS","FAIL")</x:f>
        <x:v>PASS</x:v>
      </x:c>
    </x:row>
    <x:row r="4156">
      <x:c r="B4156" s="21" t="str">
        <x:v>A04150</x:v>
      </x:c>
      <x:c r="C4156" s="21" t="str">
        <x:v>artifact</x:v>
      </x:c>
      <x:c r="D4156" s="21" t="str">
        <x:v>artifact 1553 planning state</x:v>
      </x:c>
      <x:c r="E4156" s="21" t="n">
        <x:f>IF(AND('Artifact Ledger'!Q1559="OPEN",'Artifact Ledger'!R1559="HOLD"),1,0)</x:f>
        <x:v>1</x:v>
      </x:c>
      <x:c r="F4156" s="21" t="n">
        <x:v>1</x:v>
      </x:c>
      <x:c r="G4156" s="23" t="str">
        <x:f>IF(E4156=F4156,"PASS","FAIL")</x:f>
        <x:v>PASS</x:v>
      </x:c>
    </x:row>
    <x:row r="4157">
      <x:c r="B4157" s="21" t="str">
        <x:v>A04151</x:v>
      </x:c>
      <x:c r="C4157" s="21" t="str">
        <x:v>artifact</x:v>
      </x:c>
      <x:c r="D4157" s="21" t="str">
        <x:v>artifact 1554 eligibility equation</x:v>
      </x:c>
      <x:c r="E4157" s="21" t="n">
        <x:f>IF(ABS('Artifact Ledger'!P1560-IF(AND('Artifact Ledger'!L1560=1,'Artifact Ledger'!M1560=1,'Artifact Ledger'!N1560=1,'Artifact Ledger'!O1560&gt;='Artifact Ledger'!G1560),'Artifact Ledger'!K1560,0))&lt;0.000001,1,0)</x:f>
        <x:v>1</x:v>
      </x:c>
      <x:c r="F4157" s="21" t="n">
        <x:v>1</x:v>
      </x:c>
      <x:c r="G4157" s="23" t="str">
        <x:f>IF(E4157=F4157,"PASS","FAIL")</x:f>
        <x:v>PASS</x:v>
      </x:c>
    </x:row>
    <x:row r="4158">
      <x:c r="B4158" s="21" t="str">
        <x:v>A04152</x:v>
      </x:c>
      <x:c r="C4158" s="21" t="str">
        <x:v>artifact</x:v>
      </x:c>
      <x:c r="D4158" s="21" t="str">
        <x:v>artifact 1554 planning state</x:v>
      </x:c>
      <x:c r="E4158" s="21" t="n">
        <x:f>IF(AND('Artifact Ledger'!Q1560="OPEN",'Artifact Ledger'!R1560="HOLD"),1,0)</x:f>
        <x:v>1</x:v>
      </x:c>
      <x:c r="F4158" s="21" t="n">
        <x:v>1</x:v>
      </x:c>
      <x:c r="G4158" s="23" t="str">
        <x:f>IF(E4158=F4158,"PASS","FAIL")</x:f>
        <x:v>PASS</x:v>
      </x:c>
    </x:row>
    <x:row r="4159">
      <x:c r="B4159" s="21" t="str">
        <x:v>A04153</x:v>
      </x:c>
      <x:c r="C4159" s="21" t="str">
        <x:v>artifact</x:v>
      </x:c>
      <x:c r="D4159" s="21" t="str">
        <x:v>artifact 1555 eligibility equation</x:v>
      </x:c>
      <x:c r="E4159" s="21" t="n">
        <x:f>IF(ABS('Artifact Ledger'!P1561-IF(AND('Artifact Ledger'!L1561=1,'Artifact Ledger'!M1561=1,'Artifact Ledger'!N1561=1,'Artifact Ledger'!O1561&gt;='Artifact Ledger'!G1561),'Artifact Ledger'!K1561,0))&lt;0.000001,1,0)</x:f>
        <x:v>1</x:v>
      </x:c>
      <x:c r="F4159" s="21" t="n">
        <x:v>1</x:v>
      </x:c>
      <x:c r="G4159" s="23" t="str">
        <x:f>IF(E4159=F4159,"PASS","FAIL")</x:f>
        <x:v>PASS</x:v>
      </x:c>
    </x:row>
    <x:row r="4160">
      <x:c r="B4160" s="21" t="str">
        <x:v>A04154</x:v>
      </x:c>
      <x:c r="C4160" s="21" t="str">
        <x:v>artifact</x:v>
      </x:c>
      <x:c r="D4160" s="21" t="str">
        <x:v>artifact 1555 planning state</x:v>
      </x:c>
      <x:c r="E4160" s="21" t="n">
        <x:f>IF(AND('Artifact Ledger'!Q1561="OPEN",'Artifact Ledger'!R1561="HOLD"),1,0)</x:f>
        <x:v>1</x:v>
      </x:c>
      <x:c r="F4160" s="21" t="n">
        <x:v>1</x:v>
      </x:c>
      <x:c r="G4160" s="23" t="str">
        <x:f>IF(E4160=F4160,"PASS","FAIL")</x:f>
        <x:v>PASS</x:v>
      </x:c>
    </x:row>
    <x:row r="4161">
      <x:c r="B4161" s="21" t="str">
        <x:v>A04155</x:v>
      </x:c>
      <x:c r="C4161" s="21" t="str">
        <x:v>artifact</x:v>
      </x:c>
      <x:c r="D4161" s="21" t="str">
        <x:v>artifact 1556 eligibility equation</x:v>
      </x:c>
      <x:c r="E4161" s="21" t="n">
        <x:f>IF(ABS('Artifact Ledger'!P1562-IF(AND('Artifact Ledger'!L1562=1,'Artifact Ledger'!M1562=1,'Artifact Ledger'!N1562=1,'Artifact Ledger'!O1562&gt;='Artifact Ledger'!G1562),'Artifact Ledger'!K1562,0))&lt;0.000001,1,0)</x:f>
        <x:v>1</x:v>
      </x:c>
      <x:c r="F4161" s="21" t="n">
        <x:v>1</x:v>
      </x:c>
      <x:c r="G4161" s="23" t="str">
        <x:f>IF(E4161=F4161,"PASS","FAIL")</x:f>
        <x:v>PASS</x:v>
      </x:c>
    </x:row>
    <x:row r="4162">
      <x:c r="B4162" s="21" t="str">
        <x:v>A04156</x:v>
      </x:c>
      <x:c r="C4162" s="21" t="str">
        <x:v>artifact</x:v>
      </x:c>
      <x:c r="D4162" s="21" t="str">
        <x:v>artifact 1556 planning state</x:v>
      </x:c>
      <x:c r="E4162" s="21" t="n">
        <x:f>IF(AND('Artifact Ledger'!Q1562="OPEN",'Artifact Ledger'!R1562="HOLD"),1,0)</x:f>
        <x:v>1</x:v>
      </x:c>
      <x:c r="F4162" s="21" t="n">
        <x:v>1</x:v>
      </x:c>
      <x:c r="G4162" s="23" t="str">
        <x:f>IF(E4162=F4162,"PASS","FAIL")</x:f>
        <x:v>PASS</x:v>
      </x:c>
    </x:row>
    <x:row r="4163">
      <x:c r="B4163" s="21" t="str">
        <x:v>A04157</x:v>
      </x:c>
      <x:c r="C4163" s="21" t="str">
        <x:v>artifact</x:v>
      </x:c>
      <x:c r="D4163" s="21" t="str">
        <x:v>artifact 1557 eligibility equation</x:v>
      </x:c>
      <x:c r="E4163" s="21" t="n">
        <x:f>IF(ABS('Artifact Ledger'!P1563-IF(AND('Artifact Ledger'!L1563=1,'Artifact Ledger'!M1563=1,'Artifact Ledger'!N1563=1,'Artifact Ledger'!O1563&gt;='Artifact Ledger'!G1563),'Artifact Ledger'!K1563,0))&lt;0.000001,1,0)</x:f>
        <x:v>1</x:v>
      </x:c>
      <x:c r="F4163" s="21" t="n">
        <x:v>1</x:v>
      </x:c>
      <x:c r="G4163" s="23" t="str">
        <x:f>IF(E4163=F4163,"PASS","FAIL")</x:f>
        <x:v>PASS</x:v>
      </x:c>
    </x:row>
    <x:row r="4164">
      <x:c r="B4164" s="21" t="str">
        <x:v>A04158</x:v>
      </x:c>
      <x:c r="C4164" s="21" t="str">
        <x:v>artifact</x:v>
      </x:c>
      <x:c r="D4164" s="21" t="str">
        <x:v>artifact 1557 planning state</x:v>
      </x:c>
      <x:c r="E4164" s="21" t="n">
        <x:f>IF(AND('Artifact Ledger'!Q1563="OPEN",'Artifact Ledger'!R1563="HOLD"),1,0)</x:f>
        <x:v>1</x:v>
      </x:c>
      <x:c r="F4164" s="21" t="n">
        <x:v>1</x:v>
      </x:c>
      <x:c r="G4164" s="23" t="str">
        <x:f>IF(E4164=F4164,"PASS","FAIL")</x:f>
        <x:v>PASS</x:v>
      </x:c>
    </x:row>
    <x:row r="4165">
      <x:c r="B4165" s="21" t="str">
        <x:v>A04159</x:v>
      </x:c>
      <x:c r="C4165" s="21" t="str">
        <x:v>artifact</x:v>
      </x:c>
      <x:c r="D4165" s="21" t="str">
        <x:v>artifact 1558 eligibility equation</x:v>
      </x:c>
      <x:c r="E4165" s="21" t="n">
        <x:f>IF(ABS('Artifact Ledger'!P1564-IF(AND('Artifact Ledger'!L1564=1,'Artifact Ledger'!M1564=1,'Artifact Ledger'!N1564=1,'Artifact Ledger'!O1564&gt;='Artifact Ledger'!G1564),'Artifact Ledger'!K1564,0))&lt;0.000001,1,0)</x:f>
        <x:v>1</x:v>
      </x:c>
      <x:c r="F4165" s="21" t="n">
        <x:v>1</x:v>
      </x:c>
      <x:c r="G4165" s="23" t="str">
        <x:f>IF(E4165=F4165,"PASS","FAIL")</x:f>
        <x:v>PASS</x:v>
      </x:c>
    </x:row>
    <x:row r="4166">
      <x:c r="B4166" s="21" t="str">
        <x:v>A04160</x:v>
      </x:c>
      <x:c r="C4166" s="21" t="str">
        <x:v>artifact</x:v>
      </x:c>
      <x:c r="D4166" s="21" t="str">
        <x:v>artifact 1558 planning state</x:v>
      </x:c>
      <x:c r="E4166" s="21" t="n">
        <x:f>IF(AND('Artifact Ledger'!Q1564="OPEN",'Artifact Ledger'!R1564="HOLD"),1,0)</x:f>
        <x:v>1</x:v>
      </x:c>
      <x:c r="F4166" s="21" t="n">
        <x:v>1</x:v>
      </x:c>
      <x:c r="G4166" s="23" t="str">
        <x:f>IF(E4166=F4166,"PASS","FAIL")</x:f>
        <x:v>PASS</x:v>
      </x:c>
    </x:row>
    <x:row r="4167">
      <x:c r="B4167" s="21" t="str">
        <x:v>A04161</x:v>
      </x:c>
      <x:c r="C4167" s="21" t="str">
        <x:v>artifact</x:v>
      </x:c>
      <x:c r="D4167" s="21" t="str">
        <x:v>artifact 1559 eligibility equation</x:v>
      </x:c>
      <x:c r="E4167" s="21" t="n">
        <x:f>IF(ABS('Artifact Ledger'!P1565-IF(AND('Artifact Ledger'!L1565=1,'Artifact Ledger'!M1565=1,'Artifact Ledger'!N1565=1,'Artifact Ledger'!O1565&gt;='Artifact Ledger'!G1565),'Artifact Ledger'!K1565,0))&lt;0.000001,1,0)</x:f>
        <x:v>1</x:v>
      </x:c>
      <x:c r="F4167" s="21" t="n">
        <x:v>1</x:v>
      </x:c>
      <x:c r="G4167" s="23" t="str">
        <x:f>IF(E4167=F4167,"PASS","FAIL")</x:f>
        <x:v>PASS</x:v>
      </x:c>
    </x:row>
    <x:row r="4168">
      <x:c r="B4168" s="21" t="str">
        <x:v>A04162</x:v>
      </x:c>
      <x:c r="C4168" s="21" t="str">
        <x:v>artifact</x:v>
      </x:c>
      <x:c r="D4168" s="21" t="str">
        <x:v>artifact 1559 planning state</x:v>
      </x:c>
      <x:c r="E4168" s="21" t="n">
        <x:f>IF(AND('Artifact Ledger'!Q1565="OPEN",'Artifact Ledger'!R1565="HOLD"),1,0)</x:f>
        <x:v>1</x:v>
      </x:c>
      <x:c r="F4168" s="21" t="n">
        <x:v>1</x:v>
      </x:c>
      <x:c r="G4168" s="23" t="str">
        <x:f>IF(E4168=F4168,"PASS","FAIL")</x:f>
        <x:v>PASS</x:v>
      </x:c>
    </x:row>
    <x:row r="4169">
      <x:c r="B4169" s="21" t="str">
        <x:v>A04163</x:v>
      </x:c>
      <x:c r="C4169" s="21" t="str">
        <x:v>artifact</x:v>
      </x:c>
      <x:c r="D4169" s="21" t="str">
        <x:v>artifact 1560 eligibility equation</x:v>
      </x:c>
      <x:c r="E4169" s="21" t="n">
        <x:f>IF(ABS('Artifact Ledger'!P1566-IF(AND('Artifact Ledger'!L1566=1,'Artifact Ledger'!M1566=1,'Artifact Ledger'!N1566=1,'Artifact Ledger'!O1566&gt;='Artifact Ledger'!G1566),'Artifact Ledger'!K1566,0))&lt;0.000001,1,0)</x:f>
        <x:v>1</x:v>
      </x:c>
      <x:c r="F4169" s="21" t="n">
        <x:v>1</x:v>
      </x:c>
      <x:c r="G4169" s="23" t="str">
        <x:f>IF(E4169=F4169,"PASS","FAIL")</x:f>
        <x:v>PASS</x:v>
      </x:c>
    </x:row>
    <x:row r="4170">
      <x:c r="B4170" s="21" t="str">
        <x:v>A04164</x:v>
      </x:c>
      <x:c r="C4170" s="21" t="str">
        <x:v>artifact</x:v>
      </x:c>
      <x:c r="D4170" s="21" t="str">
        <x:v>artifact 1560 planning state</x:v>
      </x:c>
      <x:c r="E4170" s="21" t="n">
        <x:f>IF(AND('Artifact Ledger'!Q1566="OPEN",'Artifact Ledger'!R1566="HOLD"),1,0)</x:f>
        <x:v>1</x:v>
      </x:c>
      <x:c r="F4170" s="21" t="n">
        <x:v>1</x:v>
      </x:c>
      <x:c r="G4170" s="23" t="str">
        <x:f>IF(E4170=F4170,"PASS","FAIL")</x:f>
        <x:v>PASS</x:v>
      </x:c>
    </x:row>
    <x:row r="4171">
      <x:c r="B4171" s="21" t="str">
        <x:v>A04165</x:v>
      </x:c>
      <x:c r="C4171" s="21" t="str">
        <x:v>artifact</x:v>
      </x:c>
      <x:c r="D4171" s="21" t="str">
        <x:v>artifact 1561 eligibility equation</x:v>
      </x:c>
      <x:c r="E4171" s="21" t="n">
        <x:f>IF(ABS('Artifact Ledger'!P1567-IF(AND('Artifact Ledger'!L1567=1,'Artifact Ledger'!M1567=1,'Artifact Ledger'!N1567=1,'Artifact Ledger'!O1567&gt;='Artifact Ledger'!G1567),'Artifact Ledger'!K1567,0))&lt;0.000001,1,0)</x:f>
        <x:v>1</x:v>
      </x:c>
      <x:c r="F4171" s="21" t="n">
        <x:v>1</x:v>
      </x:c>
      <x:c r="G4171" s="23" t="str">
        <x:f>IF(E4171=F4171,"PASS","FAIL")</x:f>
        <x:v>PASS</x:v>
      </x:c>
    </x:row>
    <x:row r="4172">
      <x:c r="B4172" s="21" t="str">
        <x:v>A04166</x:v>
      </x:c>
      <x:c r="C4172" s="21" t="str">
        <x:v>artifact</x:v>
      </x:c>
      <x:c r="D4172" s="21" t="str">
        <x:v>artifact 1561 planning state</x:v>
      </x:c>
      <x:c r="E4172" s="21" t="n">
        <x:f>IF(AND('Artifact Ledger'!Q1567="OPEN",'Artifact Ledger'!R1567="HOLD"),1,0)</x:f>
        <x:v>1</x:v>
      </x:c>
      <x:c r="F4172" s="21" t="n">
        <x:v>1</x:v>
      </x:c>
      <x:c r="G4172" s="23" t="str">
        <x:f>IF(E4172=F4172,"PASS","FAIL")</x:f>
        <x:v>PASS</x:v>
      </x:c>
    </x:row>
    <x:row r="4173">
      <x:c r="B4173" s="21" t="str">
        <x:v>A04167</x:v>
      </x:c>
      <x:c r="C4173" s="21" t="str">
        <x:v>artifact</x:v>
      </x:c>
      <x:c r="D4173" s="21" t="str">
        <x:v>artifact 1562 eligibility equation</x:v>
      </x:c>
      <x:c r="E4173" s="21" t="n">
        <x:f>IF(ABS('Artifact Ledger'!P1568-IF(AND('Artifact Ledger'!L1568=1,'Artifact Ledger'!M1568=1,'Artifact Ledger'!N1568=1,'Artifact Ledger'!O1568&gt;='Artifact Ledger'!G1568),'Artifact Ledger'!K1568,0))&lt;0.000001,1,0)</x:f>
        <x:v>1</x:v>
      </x:c>
      <x:c r="F4173" s="21" t="n">
        <x:v>1</x:v>
      </x:c>
      <x:c r="G4173" s="23" t="str">
        <x:f>IF(E4173=F4173,"PASS","FAIL")</x:f>
        <x:v>PASS</x:v>
      </x:c>
    </x:row>
    <x:row r="4174">
      <x:c r="B4174" s="21" t="str">
        <x:v>A04168</x:v>
      </x:c>
      <x:c r="C4174" s="21" t="str">
        <x:v>artifact</x:v>
      </x:c>
      <x:c r="D4174" s="21" t="str">
        <x:v>artifact 1562 planning state</x:v>
      </x:c>
      <x:c r="E4174" s="21" t="n">
        <x:f>IF(AND('Artifact Ledger'!Q1568="OPEN",'Artifact Ledger'!R1568="HOLD"),1,0)</x:f>
        <x:v>1</x:v>
      </x:c>
      <x:c r="F4174" s="21" t="n">
        <x:v>1</x:v>
      </x:c>
      <x:c r="G4174" s="23" t="str">
        <x:f>IF(E4174=F4174,"PASS","FAIL")</x:f>
        <x:v>PASS</x:v>
      </x:c>
    </x:row>
    <x:row r="4175">
      <x:c r="B4175" s="21" t="str">
        <x:v>A04169</x:v>
      </x:c>
      <x:c r="C4175" s="21" t="str">
        <x:v>artifact</x:v>
      </x:c>
      <x:c r="D4175" s="21" t="str">
        <x:v>artifact 1563 eligibility equation</x:v>
      </x:c>
      <x:c r="E4175" s="21" t="n">
        <x:f>IF(ABS('Artifact Ledger'!P1569-IF(AND('Artifact Ledger'!L1569=1,'Artifact Ledger'!M1569=1,'Artifact Ledger'!N1569=1,'Artifact Ledger'!O1569&gt;='Artifact Ledger'!G1569),'Artifact Ledger'!K1569,0))&lt;0.000001,1,0)</x:f>
        <x:v>1</x:v>
      </x:c>
      <x:c r="F4175" s="21" t="n">
        <x:v>1</x:v>
      </x:c>
      <x:c r="G4175" s="23" t="str">
        <x:f>IF(E4175=F4175,"PASS","FAIL")</x:f>
        <x:v>PASS</x:v>
      </x:c>
    </x:row>
    <x:row r="4176">
      <x:c r="B4176" s="21" t="str">
        <x:v>A04170</x:v>
      </x:c>
      <x:c r="C4176" s="21" t="str">
        <x:v>artifact</x:v>
      </x:c>
      <x:c r="D4176" s="21" t="str">
        <x:v>artifact 1563 planning state</x:v>
      </x:c>
      <x:c r="E4176" s="21" t="n">
        <x:f>IF(AND('Artifact Ledger'!Q1569="OPEN",'Artifact Ledger'!R1569="HOLD"),1,0)</x:f>
        <x:v>1</x:v>
      </x:c>
      <x:c r="F4176" s="21" t="n">
        <x:v>1</x:v>
      </x:c>
      <x:c r="G4176" s="23" t="str">
        <x:f>IF(E4176=F4176,"PASS","FAIL")</x:f>
        <x:v>PASS</x:v>
      </x:c>
    </x:row>
    <x:row r="4177">
      <x:c r="B4177" s="21" t="str">
        <x:v>A04171</x:v>
      </x:c>
      <x:c r="C4177" s="21" t="str">
        <x:v>artifact</x:v>
      </x:c>
      <x:c r="D4177" s="21" t="str">
        <x:v>artifact 1564 eligibility equation</x:v>
      </x:c>
      <x:c r="E4177" s="21" t="n">
        <x:f>IF(ABS('Artifact Ledger'!P1570-IF(AND('Artifact Ledger'!L1570=1,'Artifact Ledger'!M1570=1,'Artifact Ledger'!N1570=1,'Artifact Ledger'!O1570&gt;='Artifact Ledger'!G1570),'Artifact Ledger'!K1570,0))&lt;0.000001,1,0)</x:f>
        <x:v>1</x:v>
      </x:c>
      <x:c r="F4177" s="21" t="n">
        <x:v>1</x:v>
      </x:c>
      <x:c r="G4177" s="23" t="str">
        <x:f>IF(E4177=F4177,"PASS","FAIL")</x:f>
        <x:v>PASS</x:v>
      </x:c>
    </x:row>
    <x:row r="4178">
      <x:c r="B4178" s="21" t="str">
        <x:v>A04172</x:v>
      </x:c>
      <x:c r="C4178" s="21" t="str">
        <x:v>artifact</x:v>
      </x:c>
      <x:c r="D4178" s="21" t="str">
        <x:v>artifact 1564 planning state</x:v>
      </x:c>
      <x:c r="E4178" s="21" t="n">
        <x:f>IF(AND('Artifact Ledger'!Q1570="OPEN",'Artifact Ledger'!R1570="HOLD"),1,0)</x:f>
        <x:v>1</x:v>
      </x:c>
      <x:c r="F4178" s="21" t="n">
        <x:v>1</x:v>
      </x:c>
      <x:c r="G4178" s="23" t="str">
        <x:f>IF(E4178=F4178,"PASS","FAIL")</x:f>
        <x:v>PASS</x:v>
      </x:c>
    </x:row>
    <x:row r="4179">
      <x:c r="B4179" s="21" t="str">
        <x:v>A04173</x:v>
      </x:c>
      <x:c r="C4179" s="21" t="str">
        <x:v>artifact</x:v>
      </x:c>
      <x:c r="D4179" s="21" t="str">
        <x:v>artifact 1565 eligibility equation</x:v>
      </x:c>
      <x:c r="E4179" s="21" t="n">
        <x:f>IF(ABS('Artifact Ledger'!P1571-IF(AND('Artifact Ledger'!L1571=1,'Artifact Ledger'!M1571=1,'Artifact Ledger'!N1571=1,'Artifact Ledger'!O1571&gt;='Artifact Ledger'!G1571),'Artifact Ledger'!K1571,0))&lt;0.000001,1,0)</x:f>
        <x:v>1</x:v>
      </x:c>
      <x:c r="F4179" s="21" t="n">
        <x:v>1</x:v>
      </x:c>
      <x:c r="G4179" s="23" t="str">
        <x:f>IF(E4179=F4179,"PASS","FAIL")</x:f>
        <x:v>PASS</x:v>
      </x:c>
    </x:row>
    <x:row r="4180">
      <x:c r="B4180" s="21" t="str">
        <x:v>A04174</x:v>
      </x:c>
      <x:c r="C4180" s="21" t="str">
        <x:v>artifact</x:v>
      </x:c>
      <x:c r="D4180" s="21" t="str">
        <x:v>artifact 1565 planning state</x:v>
      </x:c>
      <x:c r="E4180" s="21" t="n">
        <x:f>IF(AND('Artifact Ledger'!Q1571="OPEN",'Artifact Ledger'!R1571="HOLD"),1,0)</x:f>
        <x:v>1</x:v>
      </x:c>
      <x:c r="F4180" s="21" t="n">
        <x:v>1</x:v>
      </x:c>
      <x:c r="G4180" s="23" t="str">
        <x:f>IF(E4180=F4180,"PASS","FAIL")</x:f>
        <x:v>PASS</x:v>
      </x:c>
    </x:row>
    <x:row r="4181">
      <x:c r="B4181" s="21" t="str">
        <x:v>A04175</x:v>
      </x:c>
      <x:c r="C4181" s="21" t="str">
        <x:v>artifact</x:v>
      </x:c>
      <x:c r="D4181" s="21" t="str">
        <x:v>artifact 1566 eligibility equation</x:v>
      </x:c>
      <x:c r="E4181" s="21" t="n">
        <x:f>IF(ABS('Artifact Ledger'!P1572-IF(AND('Artifact Ledger'!L1572=1,'Artifact Ledger'!M1572=1,'Artifact Ledger'!N1572=1,'Artifact Ledger'!O1572&gt;='Artifact Ledger'!G1572),'Artifact Ledger'!K1572,0))&lt;0.000001,1,0)</x:f>
        <x:v>1</x:v>
      </x:c>
      <x:c r="F4181" s="21" t="n">
        <x:v>1</x:v>
      </x:c>
      <x:c r="G4181" s="23" t="str">
        <x:f>IF(E4181=F4181,"PASS","FAIL")</x:f>
        <x:v>PASS</x:v>
      </x:c>
    </x:row>
    <x:row r="4182">
      <x:c r="B4182" s="21" t="str">
        <x:v>A04176</x:v>
      </x:c>
      <x:c r="C4182" s="21" t="str">
        <x:v>artifact</x:v>
      </x:c>
      <x:c r="D4182" s="21" t="str">
        <x:v>artifact 1566 planning state</x:v>
      </x:c>
      <x:c r="E4182" s="21" t="n">
        <x:f>IF(AND('Artifact Ledger'!Q1572="OPEN",'Artifact Ledger'!R1572="HOLD"),1,0)</x:f>
        <x:v>1</x:v>
      </x:c>
      <x:c r="F4182" s="21" t="n">
        <x:v>1</x:v>
      </x:c>
      <x:c r="G4182" s="23" t="str">
        <x:f>IF(E4182=F4182,"PASS","FAIL")</x:f>
        <x:v>PASS</x:v>
      </x:c>
    </x:row>
    <x:row r="4183">
      <x:c r="B4183" s="21" t="str">
        <x:v>A04177</x:v>
      </x:c>
      <x:c r="C4183" s="21" t="str">
        <x:v>artifact</x:v>
      </x:c>
      <x:c r="D4183" s="21" t="str">
        <x:v>artifact 1567 eligibility equation</x:v>
      </x:c>
      <x:c r="E4183" s="21" t="n">
        <x:f>IF(ABS('Artifact Ledger'!P1573-IF(AND('Artifact Ledger'!L1573=1,'Artifact Ledger'!M1573=1,'Artifact Ledger'!N1573=1,'Artifact Ledger'!O1573&gt;='Artifact Ledger'!G1573),'Artifact Ledger'!K1573,0))&lt;0.000001,1,0)</x:f>
        <x:v>1</x:v>
      </x:c>
      <x:c r="F4183" s="21" t="n">
        <x:v>1</x:v>
      </x:c>
      <x:c r="G4183" s="23" t="str">
        <x:f>IF(E4183=F4183,"PASS","FAIL")</x:f>
        <x:v>PASS</x:v>
      </x:c>
    </x:row>
    <x:row r="4184">
      <x:c r="B4184" s="21" t="str">
        <x:v>A04178</x:v>
      </x:c>
      <x:c r="C4184" s="21" t="str">
        <x:v>artifact</x:v>
      </x:c>
      <x:c r="D4184" s="21" t="str">
        <x:v>artifact 1567 planning state</x:v>
      </x:c>
      <x:c r="E4184" s="21" t="n">
        <x:f>IF(AND('Artifact Ledger'!Q1573="OPEN",'Artifact Ledger'!R1573="HOLD"),1,0)</x:f>
        <x:v>1</x:v>
      </x:c>
      <x:c r="F4184" s="21" t="n">
        <x:v>1</x:v>
      </x:c>
      <x:c r="G4184" s="23" t="str">
        <x:f>IF(E4184=F4184,"PASS","FAIL")</x:f>
        <x:v>PASS</x:v>
      </x:c>
    </x:row>
    <x:row r="4185">
      <x:c r="B4185" s="21" t="str">
        <x:v>A04179</x:v>
      </x:c>
      <x:c r="C4185" s="21" t="str">
        <x:v>artifact</x:v>
      </x:c>
      <x:c r="D4185" s="21" t="str">
        <x:v>artifact 1568 eligibility equation</x:v>
      </x:c>
      <x:c r="E4185" s="21" t="n">
        <x:f>IF(ABS('Artifact Ledger'!P1574-IF(AND('Artifact Ledger'!L1574=1,'Artifact Ledger'!M1574=1,'Artifact Ledger'!N1574=1,'Artifact Ledger'!O1574&gt;='Artifact Ledger'!G1574),'Artifact Ledger'!K1574,0))&lt;0.000001,1,0)</x:f>
        <x:v>1</x:v>
      </x:c>
      <x:c r="F4185" s="21" t="n">
        <x:v>1</x:v>
      </x:c>
      <x:c r="G4185" s="23" t="str">
        <x:f>IF(E4185=F4185,"PASS","FAIL")</x:f>
        <x:v>PASS</x:v>
      </x:c>
    </x:row>
    <x:row r="4186">
      <x:c r="B4186" s="21" t="str">
        <x:v>A04180</x:v>
      </x:c>
      <x:c r="C4186" s="21" t="str">
        <x:v>artifact</x:v>
      </x:c>
      <x:c r="D4186" s="21" t="str">
        <x:v>artifact 1568 planning state</x:v>
      </x:c>
      <x:c r="E4186" s="21" t="n">
        <x:f>IF(AND('Artifact Ledger'!Q1574="OPEN",'Artifact Ledger'!R1574="HOLD"),1,0)</x:f>
        <x:v>1</x:v>
      </x:c>
      <x:c r="F4186" s="21" t="n">
        <x:v>1</x:v>
      </x:c>
      <x:c r="G4186" s="23" t="str">
        <x:f>IF(E4186=F4186,"PASS","FAIL")</x:f>
        <x:v>PASS</x:v>
      </x:c>
    </x:row>
    <x:row r="4187">
      <x:c r="B4187" s="21" t="str">
        <x:v>A04181</x:v>
      </x:c>
      <x:c r="C4187" s="21" t="str">
        <x:v>artifact</x:v>
      </x:c>
      <x:c r="D4187" s="21" t="str">
        <x:v>artifact 1569 eligibility equation</x:v>
      </x:c>
      <x:c r="E4187" s="21" t="n">
        <x:f>IF(ABS('Artifact Ledger'!P1575-IF(AND('Artifact Ledger'!L1575=1,'Artifact Ledger'!M1575=1,'Artifact Ledger'!N1575=1,'Artifact Ledger'!O1575&gt;='Artifact Ledger'!G1575),'Artifact Ledger'!K1575,0))&lt;0.000001,1,0)</x:f>
        <x:v>1</x:v>
      </x:c>
      <x:c r="F4187" s="21" t="n">
        <x:v>1</x:v>
      </x:c>
      <x:c r="G4187" s="23" t="str">
        <x:f>IF(E4187=F4187,"PASS","FAIL")</x:f>
        <x:v>PASS</x:v>
      </x:c>
    </x:row>
    <x:row r="4188">
      <x:c r="B4188" s="21" t="str">
        <x:v>A04182</x:v>
      </x:c>
      <x:c r="C4188" s="21" t="str">
        <x:v>artifact</x:v>
      </x:c>
      <x:c r="D4188" s="21" t="str">
        <x:v>artifact 1569 planning state</x:v>
      </x:c>
      <x:c r="E4188" s="21" t="n">
        <x:f>IF(AND('Artifact Ledger'!Q1575="OPEN",'Artifact Ledger'!R1575="HOLD"),1,0)</x:f>
        <x:v>1</x:v>
      </x:c>
      <x:c r="F4188" s="21" t="n">
        <x:v>1</x:v>
      </x:c>
      <x:c r="G4188" s="23" t="str">
        <x:f>IF(E4188=F4188,"PASS","FAIL")</x:f>
        <x:v>PASS</x:v>
      </x:c>
    </x:row>
    <x:row r="4189">
      <x:c r="B4189" s="21" t="str">
        <x:v>A04183</x:v>
      </x:c>
      <x:c r="C4189" s="21" t="str">
        <x:v>artifact</x:v>
      </x:c>
      <x:c r="D4189" s="21" t="str">
        <x:v>artifact 1570 eligibility equation</x:v>
      </x:c>
      <x:c r="E4189" s="21" t="n">
        <x:f>IF(ABS('Artifact Ledger'!P1576-IF(AND('Artifact Ledger'!L1576=1,'Artifact Ledger'!M1576=1,'Artifact Ledger'!N1576=1,'Artifact Ledger'!O1576&gt;='Artifact Ledger'!G1576),'Artifact Ledger'!K1576,0))&lt;0.000001,1,0)</x:f>
        <x:v>1</x:v>
      </x:c>
      <x:c r="F4189" s="21" t="n">
        <x:v>1</x:v>
      </x:c>
      <x:c r="G4189" s="23" t="str">
        <x:f>IF(E4189=F4189,"PASS","FAIL")</x:f>
        <x:v>PASS</x:v>
      </x:c>
    </x:row>
    <x:row r="4190">
      <x:c r="B4190" s="21" t="str">
        <x:v>A04184</x:v>
      </x:c>
      <x:c r="C4190" s="21" t="str">
        <x:v>artifact</x:v>
      </x:c>
      <x:c r="D4190" s="21" t="str">
        <x:v>artifact 1570 planning state</x:v>
      </x:c>
      <x:c r="E4190" s="21" t="n">
        <x:f>IF(AND('Artifact Ledger'!Q1576="OPEN",'Artifact Ledger'!R1576="HOLD"),1,0)</x:f>
        <x:v>1</x:v>
      </x:c>
      <x:c r="F4190" s="21" t="n">
        <x:v>1</x:v>
      </x:c>
      <x:c r="G4190" s="23" t="str">
        <x:f>IF(E4190=F4190,"PASS","FAIL")</x:f>
        <x:v>PASS</x:v>
      </x:c>
    </x:row>
    <x:row r="4191">
      <x:c r="B4191" s="21" t="str">
        <x:v>A04185</x:v>
      </x:c>
      <x:c r="C4191" s="21" t="str">
        <x:v>artifact</x:v>
      </x:c>
      <x:c r="D4191" s="21" t="str">
        <x:v>artifact 1571 eligibility equation</x:v>
      </x:c>
      <x:c r="E4191" s="21" t="n">
        <x:f>IF(ABS('Artifact Ledger'!P1577-IF(AND('Artifact Ledger'!L1577=1,'Artifact Ledger'!M1577=1,'Artifact Ledger'!N1577=1,'Artifact Ledger'!O1577&gt;='Artifact Ledger'!G1577),'Artifact Ledger'!K1577,0))&lt;0.000001,1,0)</x:f>
        <x:v>1</x:v>
      </x:c>
      <x:c r="F4191" s="21" t="n">
        <x:v>1</x:v>
      </x:c>
      <x:c r="G4191" s="23" t="str">
        <x:f>IF(E4191=F4191,"PASS","FAIL")</x:f>
        <x:v>PASS</x:v>
      </x:c>
    </x:row>
    <x:row r="4192">
      <x:c r="B4192" s="21" t="str">
        <x:v>A04186</x:v>
      </x:c>
      <x:c r="C4192" s="21" t="str">
        <x:v>artifact</x:v>
      </x:c>
      <x:c r="D4192" s="21" t="str">
        <x:v>artifact 1571 planning state</x:v>
      </x:c>
      <x:c r="E4192" s="21" t="n">
        <x:f>IF(AND('Artifact Ledger'!Q1577="OPEN",'Artifact Ledger'!R1577="HOLD"),1,0)</x:f>
        <x:v>1</x:v>
      </x:c>
      <x:c r="F4192" s="21" t="n">
        <x:v>1</x:v>
      </x:c>
      <x:c r="G4192" s="23" t="str">
        <x:f>IF(E4192=F4192,"PASS","FAIL")</x:f>
        <x:v>PASS</x:v>
      </x:c>
    </x:row>
    <x:row r="4193">
      <x:c r="B4193" s="21" t="str">
        <x:v>A04187</x:v>
      </x:c>
      <x:c r="C4193" s="21" t="str">
        <x:v>artifact</x:v>
      </x:c>
      <x:c r="D4193" s="21" t="str">
        <x:v>artifact 1572 eligibility equation</x:v>
      </x:c>
      <x:c r="E4193" s="21" t="n">
        <x:f>IF(ABS('Artifact Ledger'!P1578-IF(AND('Artifact Ledger'!L1578=1,'Artifact Ledger'!M1578=1,'Artifact Ledger'!N1578=1,'Artifact Ledger'!O1578&gt;='Artifact Ledger'!G1578),'Artifact Ledger'!K1578,0))&lt;0.000001,1,0)</x:f>
        <x:v>1</x:v>
      </x:c>
      <x:c r="F4193" s="21" t="n">
        <x:v>1</x:v>
      </x:c>
      <x:c r="G4193" s="23" t="str">
        <x:f>IF(E4193=F4193,"PASS","FAIL")</x:f>
        <x:v>PASS</x:v>
      </x:c>
    </x:row>
    <x:row r="4194">
      <x:c r="B4194" s="21" t="str">
        <x:v>A04188</x:v>
      </x:c>
      <x:c r="C4194" s="21" t="str">
        <x:v>artifact</x:v>
      </x:c>
      <x:c r="D4194" s="21" t="str">
        <x:v>artifact 1572 planning state</x:v>
      </x:c>
      <x:c r="E4194" s="21" t="n">
        <x:f>IF(AND('Artifact Ledger'!Q1578="OPEN",'Artifact Ledger'!R1578="HOLD"),1,0)</x:f>
        <x:v>1</x:v>
      </x:c>
      <x:c r="F4194" s="21" t="n">
        <x:v>1</x:v>
      </x:c>
      <x:c r="G4194" s="23" t="str">
        <x:f>IF(E4194=F4194,"PASS","FAIL")</x:f>
        <x:v>PASS</x:v>
      </x:c>
    </x:row>
    <x:row r="4195">
      <x:c r="B4195" s="21" t="str">
        <x:v>A04189</x:v>
      </x:c>
      <x:c r="C4195" s="21" t="str">
        <x:v>artifact</x:v>
      </x:c>
      <x:c r="D4195" s="21" t="str">
        <x:v>artifact 1573 eligibility equation</x:v>
      </x:c>
      <x:c r="E4195" s="21" t="n">
        <x:f>IF(ABS('Artifact Ledger'!P1579-IF(AND('Artifact Ledger'!L1579=1,'Artifact Ledger'!M1579=1,'Artifact Ledger'!N1579=1,'Artifact Ledger'!O1579&gt;='Artifact Ledger'!G1579),'Artifact Ledger'!K1579,0))&lt;0.000001,1,0)</x:f>
        <x:v>1</x:v>
      </x:c>
      <x:c r="F4195" s="21" t="n">
        <x:v>1</x:v>
      </x:c>
      <x:c r="G4195" s="23" t="str">
        <x:f>IF(E4195=F4195,"PASS","FAIL")</x:f>
        <x:v>PASS</x:v>
      </x:c>
    </x:row>
    <x:row r="4196">
      <x:c r="B4196" s="21" t="str">
        <x:v>A04190</x:v>
      </x:c>
      <x:c r="C4196" s="21" t="str">
        <x:v>artifact</x:v>
      </x:c>
      <x:c r="D4196" s="21" t="str">
        <x:v>artifact 1573 planning state</x:v>
      </x:c>
      <x:c r="E4196" s="21" t="n">
        <x:f>IF(AND('Artifact Ledger'!Q1579="OPEN",'Artifact Ledger'!R1579="HOLD"),1,0)</x:f>
        <x:v>1</x:v>
      </x:c>
      <x:c r="F4196" s="21" t="n">
        <x:v>1</x:v>
      </x:c>
      <x:c r="G4196" s="23" t="str">
        <x:f>IF(E4196=F4196,"PASS","FAIL")</x:f>
        <x:v>PASS</x:v>
      </x:c>
    </x:row>
    <x:row r="4197">
      <x:c r="B4197" s="21" t="str">
        <x:v>A04191</x:v>
      </x:c>
      <x:c r="C4197" s="21" t="str">
        <x:v>artifact</x:v>
      </x:c>
      <x:c r="D4197" s="21" t="str">
        <x:v>artifact 1574 eligibility equation</x:v>
      </x:c>
      <x:c r="E4197" s="21" t="n">
        <x:f>IF(ABS('Artifact Ledger'!P1580-IF(AND('Artifact Ledger'!L1580=1,'Artifact Ledger'!M1580=1,'Artifact Ledger'!N1580=1,'Artifact Ledger'!O1580&gt;='Artifact Ledger'!G1580),'Artifact Ledger'!K1580,0))&lt;0.000001,1,0)</x:f>
        <x:v>1</x:v>
      </x:c>
      <x:c r="F4197" s="21" t="n">
        <x:v>1</x:v>
      </x:c>
      <x:c r="G4197" s="23" t="str">
        <x:f>IF(E4197=F4197,"PASS","FAIL")</x:f>
        <x:v>PASS</x:v>
      </x:c>
    </x:row>
    <x:row r="4198">
      <x:c r="B4198" s="21" t="str">
        <x:v>A04192</x:v>
      </x:c>
      <x:c r="C4198" s="21" t="str">
        <x:v>artifact</x:v>
      </x:c>
      <x:c r="D4198" s="21" t="str">
        <x:v>artifact 1574 planning state</x:v>
      </x:c>
      <x:c r="E4198" s="21" t="n">
        <x:f>IF(AND('Artifact Ledger'!Q1580="OPEN",'Artifact Ledger'!R1580="HOLD"),1,0)</x:f>
        <x:v>1</x:v>
      </x:c>
      <x:c r="F4198" s="21" t="n">
        <x:v>1</x:v>
      </x:c>
      <x:c r="G4198" s="23" t="str">
        <x:f>IF(E4198=F4198,"PASS","FAIL")</x:f>
        <x:v>PASS</x:v>
      </x:c>
    </x:row>
    <x:row r="4199">
      <x:c r="B4199" s="21" t="str">
        <x:v>A04193</x:v>
      </x:c>
      <x:c r="C4199" s="21" t="str">
        <x:v>artifact</x:v>
      </x:c>
      <x:c r="D4199" s="21" t="str">
        <x:v>artifact 1575 eligibility equation</x:v>
      </x:c>
      <x:c r="E4199" s="21" t="n">
        <x:f>IF(ABS('Artifact Ledger'!P1581-IF(AND('Artifact Ledger'!L1581=1,'Artifact Ledger'!M1581=1,'Artifact Ledger'!N1581=1,'Artifact Ledger'!O1581&gt;='Artifact Ledger'!G1581),'Artifact Ledger'!K1581,0))&lt;0.000001,1,0)</x:f>
        <x:v>1</x:v>
      </x:c>
      <x:c r="F4199" s="21" t="n">
        <x:v>1</x:v>
      </x:c>
      <x:c r="G4199" s="23" t="str">
        <x:f>IF(E4199=F4199,"PASS","FAIL")</x:f>
        <x:v>PASS</x:v>
      </x:c>
    </x:row>
    <x:row r="4200">
      <x:c r="B4200" s="21" t="str">
        <x:v>A04194</x:v>
      </x:c>
      <x:c r="C4200" s="21" t="str">
        <x:v>artifact</x:v>
      </x:c>
      <x:c r="D4200" s="21" t="str">
        <x:v>artifact 1575 planning state</x:v>
      </x:c>
      <x:c r="E4200" s="21" t="n">
        <x:f>IF(AND('Artifact Ledger'!Q1581="OPEN",'Artifact Ledger'!R1581="HOLD"),1,0)</x:f>
        <x:v>1</x:v>
      </x:c>
      <x:c r="F4200" s="21" t="n">
        <x:v>1</x:v>
      </x:c>
      <x:c r="G4200" s="23" t="str">
        <x:f>IF(E4200=F4200,"PASS","FAIL")</x:f>
        <x:v>PASS</x:v>
      </x:c>
    </x:row>
    <x:row r="4201">
      <x:c r="B4201" s="21" t="str">
        <x:v>A04195</x:v>
      </x:c>
      <x:c r="C4201" s="21" t="str">
        <x:v>artifact</x:v>
      </x:c>
      <x:c r="D4201" s="21" t="str">
        <x:v>artifact 1576 eligibility equation</x:v>
      </x:c>
      <x:c r="E4201" s="21" t="n">
        <x:f>IF(ABS('Artifact Ledger'!P1582-IF(AND('Artifact Ledger'!L1582=1,'Artifact Ledger'!M1582=1,'Artifact Ledger'!N1582=1,'Artifact Ledger'!O1582&gt;='Artifact Ledger'!G1582),'Artifact Ledger'!K1582,0))&lt;0.000001,1,0)</x:f>
        <x:v>1</x:v>
      </x:c>
      <x:c r="F4201" s="21" t="n">
        <x:v>1</x:v>
      </x:c>
      <x:c r="G4201" s="23" t="str">
        <x:f>IF(E4201=F4201,"PASS","FAIL")</x:f>
        <x:v>PASS</x:v>
      </x:c>
    </x:row>
    <x:row r="4202">
      <x:c r="B4202" s="21" t="str">
        <x:v>A04196</x:v>
      </x:c>
      <x:c r="C4202" s="21" t="str">
        <x:v>artifact</x:v>
      </x:c>
      <x:c r="D4202" s="21" t="str">
        <x:v>artifact 1576 planning state</x:v>
      </x:c>
      <x:c r="E4202" s="21" t="n">
        <x:f>IF(AND('Artifact Ledger'!Q1582="OPEN",'Artifact Ledger'!R1582="HOLD"),1,0)</x:f>
        <x:v>1</x:v>
      </x:c>
      <x:c r="F4202" s="21" t="n">
        <x:v>1</x:v>
      </x:c>
      <x:c r="G4202" s="23" t="str">
        <x:f>IF(E4202=F4202,"PASS","FAIL")</x:f>
        <x:v>PASS</x:v>
      </x:c>
    </x:row>
    <x:row r="4203">
      <x:c r="B4203" s="21" t="str">
        <x:v>A04197</x:v>
      </x:c>
      <x:c r="C4203" s="21" t="str">
        <x:v>artifact</x:v>
      </x:c>
      <x:c r="D4203" s="21" t="str">
        <x:v>artifact 1577 eligibility equation</x:v>
      </x:c>
      <x:c r="E4203" s="21" t="n">
        <x:f>IF(ABS('Artifact Ledger'!P1583-IF(AND('Artifact Ledger'!L1583=1,'Artifact Ledger'!M1583=1,'Artifact Ledger'!N1583=1,'Artifact Ledger'!O1583&gt;='Artifact Ledger'!G1583),'Artifact Ledger'!K1583,0))&lt;0.000001,1,0)</x:f>
        <x:v>1</x:v>
      </x:c>
      <x:c r="F4203" s="21" t="n">
        <x:v>1</x:v>
      </x:c>
      <x:c r="G4203" s="23" t="str">
        <x:f>IF(E4203=F4203,"PASS","FAIL")</x:f>
        <x:v>PASS</x:v>
      </x:c>
    </x:row>
    <x:row r="4204">
      <x:c r="B4204" s="21" t="str">
        <x:v>A04198</x:v>
      </x:c>
      <x:c r="C4204" s="21" t="str">
        <x:v>artifact</x:v>
      </x:c>
      <x:c r="D4204" s="21" t="str">
        <x:v>artifact 1577 planning state</x:v>
      </x:c>
      <x:c r="E4204" s="21" t="n">
        <x:f>IF(AND('Artifact Ledger'!Q1583="OPEN",'Artifact Ledger'!R1583="HOLD"),1,0)</x:f>
        <x:v>1</x:v>
      </x:c>
      <x:c r="F4204" s="21" t="n">
        <x:v>1</x:v>
      </x:c>
      <x:c r="G4204" s="23" t="str">
        <x:f>IF(E4204=F4204,"PASS","FAIL")</x:f>
        <x:v>PASS</x:v>
      </x:c>
    </x:row>
    <x:row r="4205">
      <x:c r="B4205" s="21" t="str">
        <x:v>A04199</x:v>
      </x:c>
      <x:c r="C4205" s="21" t="str">
        <x:v>artifact</x:v>
      </x:c>
      <x:c r="D4205" s="21" t="str">
        <x:v>artifact 1578 eligibility equation</x:v>
      </x:c>
      <x:c r="E4205" s="21" t="n">
        <x:f>IF(ABS('Artifact Ledger'!P1584-IF(AND('Artifact Ledger'!L1584=1,'Artifact Ledger'!M1584=1,'Artifact Ledger'!N1584=1,'Artifact Ledger'!O1584&gt;='Artifact Ledger'!G1584),'Artifact Ledger'!K1584,0))&lt;0.000001,1,0)</x:f>
        <x:v>1</x:v>
      </x:c>
      <x:c r="F4205" s="21" t="n">
        <x:v>1</x:v>
      </x:c>
      <x:c r="G4205" s="23" t="str">
        <x:f>IF(E4205=F4205,"PASS","FAIL")</x:f>
        <x:v>PASS</x:v>
      </x:c>
    </x:row>
    <x:row r="4206">
      <x:c r="B4206" s="21" t="str">
        <x:v>A04200</x:v>
      </x:c>
      <x:c r="C4206" s="21" t="str">
        <x:v>artifact</x:v>
      </x:c>
      <x:c r="D4206" s="21" t="str">
        <x:v>artifact 1578 planning state</x:v>
      </x:c>
      <x:c r="E4206" s="21" t="n">
        <x:f>IF(AND('Artifact Ledger'!Q1584="OPEN",'Artifact Ledger'!R1584="HOLD"),1,0)</x:f>
        <x:v>1</x:v>
      </x:c>
      <x:c r="F4206" s="21" t="n">
        <x:v>1</x:v>
      </x:c>
      <x:c r="G4206" s="23" t="str">
        <x:f>IF(E4206=F4206,"PASS","FAIL")</x:f>
        <x:v>PASS</x:v>
      </x:c>
    </x:row>
    <x:row r="4207">
      <x:c r="B4207" s="21" t="str">
        <x:v>A04201</x:v>
      </x:c>
      <x:c r="C4207" s="21" t="str">
        <x:v>artifact</x:v>
      </x:c>
      <x:c r="D4207" s="21" t="str">
        <x:v>artifact 1579 eligibility equation</x:v>
      </x:c>
      <x:c r="E4207" s="21" t="n">
        <x:f>IF(ABS('Artifact Ledger'!P1585-IF(AND('Artifact Ledger'!L1585=1,'Artifact Ledger'!M1585=1,'Artifact Ledger'!N1585=1,'Artifact Ledger'!O1585&gt;='Artifact Ledger'!G1585),'Artifact Ledger'!K1585,0))&lt;0.000001,1,0)</x:f>
        <x:v>1</x:v>
      </x:c>
      <x:c r="F4207" s="21" t="n">
        <x:v>1</x:v>
      </x:c>
      <x:c r="G4207" s="23" t="str">
        <x:f>IF(E4207=F4207,"PASS","FAIL")</x:f>
        <x:v>PASS</x:v>
      </x:c>
    </x:row>
    <x:row r="4208">
      <x:c r="B4208" s="21" t="str">
        <x:v>A04202</x:v>
      </x:c>
      <x:c r="C4208" s="21" t="str">
        <x:v>artifact</x:v>
      </x:c>
      <x:c r="D4208" s="21" t="str">
        <x:v>artifact 1579 planning state</x:v>
      </x:c>
      <x:c r="E4208" s="21" t="n">
        <x:f>IF(AND('Artifact Ledger'!Q1585="OPEN",'Artifact Ledger'!R1585="HOLD"),1,0)</x:f>
        <x:v>1</x:v>
      </x:c>
      <x:c r="F4208" s="21" t="n">
        <x:v>1</x:v>
      </x:c>
      <x:c r="G4208" s="23" t="str">
        <x:f>IF(E4208=F4208,"PASS","FAIL")</x:f>
        <x:v>PASS</x:v>
      </x:c>
    </x:row>
    <x:row r="4209">
      <x:c r="B4209" s="21" t="str">
        <x:v>A04203</x:v>
      </x:c>
      <x:c r="C4209" s="21" t="str">
        <x:v>artifact</x:v>
      </x:c>
      <x:c r="D4209" s="21" t="str">
        <x:v>artifact 1580 eligibility equation</x:v>
      </x:c>
      <x:c r="E4209" s="21" t="n">
        <x:f>IF(ABS('Artifact Ledger'!P1586-IF(AND('Artifact Ledger'!L1586=1,'Artifact Ledger'!M1586=1,'Artifact Ledger'!N1586=1,'Artifact Ledger'!O1586&gt;='Artifact Ledger'!G1586),'Artifact Ledger'!K1586,0))&lt;0.000001,1,0)</x:f>
        <x:v>1</x:v>
      </x:c>
      <x:c r="F4209" s="21" t="n">
        <x:v>1</x:v>
      </x:c>
      <x:c r="G4209" s="23" t="str">
        <x:f>IF(E4209=F4209,"PASS","FAIL")</x:f>
        <x:v>PASS</x:v>
      </x:c>
    </x:row>
    <x:row r="4210">
      <x:c r="B4210" s="21" t="str">
        <x:v>A04204</x:v>
      </x:c>
      <x:c r="C4210" s="21" t="str">
        <x:v>artifact</x:v>
      </x:c>
      <x:c r="D4210" s="21" t="str">
        <x:v>artifact 1580 planning state</x:v>
      </x:c>
      <x:c r="E4210" s="21" t="n">
        <x:f>IF(AND('Artifact Ledger'!Q1586="OPEN",'Artifact Ledger'!R1586="HOLD"),1,0)</x:f>
        <x:v>1</x:v>
      </x:c>
      <x:c r="F4210" s="21" t="n">
        <x:v>1</x:v>
      </x:c>
      <x:c r="G4210" s="23" t="str">
        <x:f>IF(E4210=F4210,"PASS","FAIL")</x:f>
        <x:v>PASS</x:v>
      </x:c>
    </x:row>
    <x:row r="4211">
      <x:c r="B4211" s="21" t="str">
        <x:v>A04205</x:v>
      </x:c>
      <x:c r="C4211" s="21" t="str">
        <x:v>artifact</x:v>
      </x:c>
      <x:c r="D4211" s="21" t="str">
        <x:v>artifact 1581 eligibility equation</x:v>
      </x:c>
      <x:c r="E4211" s="21" t="n">
        <x:f>IF(ABS('Artifact Ledger'!P1587-IF(AND('Artifact Ledger'!L1587=1,'Artifact Ledger'!M1587=1,'Artifact Ledger'!N1587=1,'Artifact Ledger'!O1587&gt;='Artifact Ledger'!G1587),'Artifact Ledger'!K1587,0))&lt;0.000001,1,0)</x:f>
        <x:v>1</x:v>
      </x:c>
      <x:c r="F4211" s="21" t="n">
        <x:v>1</x:v>
      </x:c>
      <x:c r="G4211" s="23" t="str">
        <x:f>IF(E4211=F4211,"PASS","FAIL")</x:f>
        <x:v>PASS</x:v>
      </x:c>
    </x:row>
    <x:row r="4212">
      <x:c r="B4212" s="21" t="str">
        <x:v>A04206</x:v>
      </x:c>
      <x:c r="C4212" s="21" t="str">
        <x:v>artifact</x:v>
      </x:c>
      <x:c r="D4212" s="21" t="str">
        <x:v>artifact 1581 planning state</x:v>
      </x:c>
      <x:c r="E4212" s="21" t="n">
        <x:f>IF(AND('Artifact Ledger'!Q1587="OPEN",'Artifact Ledger'!R1587="HOLD"),1,0)</x:f>
        <x:v>1</x:v>
      </x:c>
      <x:c r="F4212" s="21" t="n">
        <x:v>1</x:v>
      </x:c>
      <x:c r="G4212" s="23" t="str">
        <x:f>IF(E4212=F4212,"PASS","FAIL")</x:f>
        <x:v>PASS</x:v>
      </x:c>
    </x:row>
    <x:row r="4213">
      <x:c r="B4213" s="21" t="str">
        <x:v>A04207</x:v>
      </x:c>
      <x:c r="C4213" s="21" t="str">
        <x:v>artifact</x:v>
      </x:c>
      <x:c r="D4213" s="21" t="str">
        <x:v>artifact 1582 eligibility equation</x:v>
      </x:c>
      <x:c r="E4213" s="21" t="n">
        <x:f>IF(ABS('Artifact Ledger'!P1588-IF(AND('Artifact Ledger'!L1588=1,'Artifact Ledger'!M1588=1,'Artifact Ledger'!N1588=1,'Artifact Ledger'!O1588&gt;='Artifact Ledger'!G1588),'Artifact Ledger'!K1588,0))&lt;0.000001,1,0)</x:f>
        <x:v>1</x:v>
      </x:c>
      <x:c r="F4213" s="21" t="n">
        <x:v>1</x:v>
      </x:c>
      <x:c r="G4213" s="23" t="str">
        <x:f>IF(E4213=F4213,"PASS","FAIL")</x:f>
        <x:v>PASS</x:v>
      </x:c>
    </x:row>
    <x:row r="4214">
      <x:c r="B4214" s="21" t="str">
        <x:v>A04208</x:v>
      </x:c>
      <x:c r="C4214" s="21" t="str">
        <x:v>artifact</x:v>
      </x:c>
      <x:c r="D4214" s="21" t="str">
        <x:v>artifact 1582 planning state</x:v>
      </x:c>
      <x:c r="E4214" s="21" t="n">
        <x:f>IF(AND('Artifact Ledger'!Q1588="OPEN",'Artifact Ledger'!R1588="HOLD"),1,0)</x:f>
        <x:v>1</x:v>
      </x:c>
      <x:c r="F4214" s="21" t="n">
        <x:v>1</x:v>
      </x:c>
      <x:c r="G4214" s="23" t="str">
        <x:f>IF(E4214=F4214,"PASS","FAIL")</x:f>
        <x:v>PASS</x:v>
      </x:c>
    </x:row>
    <x:row r="4215">
      <x:c r="B4215" s="21" t="str">
        <x:v>A04209</x:v>
      </x:c>
      <x:c r="C4215" s="21" t="str">
        <x:v>artifact</x:v>
      </x:c>
      <x:c r="D4215" s="21" t="str">
        <x:v>artifact 1583 eligibility equation</x:v>
      </x:c>
      <x:c r="E4215" s="21" t="n">
        <x:f>IF(ABS('Artifact Ledger'!P1589-IF(AND('Artifact Ledger'!L1589=1,'Artifact Ledger'!M1589=1,'Artifact Ledger'!N1589=1,'Artifact Ledger'!O1589&gt;='Artifact Ledger'!G1589),'Artifact Ledger'!K1589,0))&lt;0.000001,1,0)</x:f>
        <x:v>1</x:v>
      </x:c>
      <x:c r="F4215" s="21" t="n">
        <x:v>1</x:v>
      </x:c>
      <x:c r="G4215" s="23" t="str">
        <x:f>IF(E4215=F4215,"PASS","FAIL")</x:f>
        <x:v>PASS</x:v>
      </x:c>
    </x:row>
    <x:row r="4216">
      <x:c r="B4216" s="21" t="str">
        <x:v>A04210</x:v>
      </x:c>
      <x:c r="C4216" s="21" t="str">
        <x:v>artifact</x:v>
      </x:c>
      <x:c r="D4216" s="21" t="str">
        <x:v>artifact 1583 planning state</x:v>
      </x:c>
      <x:c r="E4216" s="21" t="n">
        <x:f>IF(AND('Artifact Ledger'!Q1589="OPEN",'Artifact Ledger'!R1589="HOLD"),1,0)</x:f>
        <x:v>1</x:v>
      </x:c>
      <x:c r="F4216" s="21" t="n">
        <x:v>1</x:v>
      </x:c>
      <x:c r="G4216" s="23" t="str">
        <x:f>IF(E4216=F4216,"PASS","FAIL")</x:f>
        <x:v>PASS</x:v>
      </x:c>
    </x:row>
    <x:row r="4217">
      <x:c r="B4217" s="21" t="str">
        <x:v>A04211</x:v>
      </x:c>
      <x:c r="C4217" s="21" t="str">
        <x:v>artifact</x:v>
      </x:c>
      <x:c r="D4217" s="21" t="str">
        <x:v>artifact 1584 eligibility equation</x:v>
      </x:c>
      <x:c r="E4217" s="21" t="n">
        <x:f>IF(ABS('Artifact Ledger'!P1590-IF(AND('Artifact Ledger'!L1590=1,'Artifact Ledger'!M1590=1,'Artifact Ledger'!N1590=1,'Artifact Ledger'!O1590&gt;='Artifact Ledger'!G1590),'Artifact Ledger'!K1590,0))&lt;0.000001,1,0)</x:f>
        <x:v>1</x:v>
      </x:c>
      <x:c r="F4217" s="21" t="n">
        <x:v>1</x:v>
      </x:c>
      <x:c r="G4217" s="23" t="str">
        <x:f>IF(E4217=F4217,"PASS","FAIL")</x:f>
        <x:v>PASS</x:v>
      </x:c>
    </x:row>
    <x:row r="4218">
      <x:c r="B4218" s="21" t="str">
        <x:v>A04212</x:v>
      </x:c>
      <x:c r="C4218" s="21" t="str">
        <x:v>artifact</x:v>
      </x:c>
      <x:c r="D4218" s="21" t="str">
        <x:v>artifact 1584 planning state</x:v>
      </x:c>
      <x:c r="E4218" s="21" t="n">
        <x:f>IF(AND('Artifact Ledger'!Q1590="OPEN",'Artifact Ledger'!R1590="HOLD"),1,0)</x:f>
        <x:v>1</x:v>
      </x:c>
      <x:c r="F4218" s="21" t="n">
        <x:v>1</x:v>
      </x:c>
      <x:c r="G4218" s="23" t="str">
        <x:f>IF(E4218=F4218,"PASS","FAIL")</x:f>
        <x:v>PASS</x:v>
      </x:c>
    </x:row>
    <x:row r="4219">
      <x:c r="B4219" s="21" t="str">
        <x:v>A04213</x:v>
      </x:c>
      <x:c r="C4219" s="21" t="str">
        <x:v>artifact</x:v>
      </x:c>
      <x:c r="D4219" s="21" t="str">
        <x:v>artifact 1585 eligibility equation</x:v>
      </x:c>
      <x:c r="E4219" s="21" t="n">
        <x:f>IF(ABS('Artifact Ledger'!P1591-IF(AND('Artifact Ledger'!L1591=1,'Artifact Ledger'!M1591=1,'Artifact Ledger'!N1591=1,'Artifact Ledger'!O1591&gt;='Artifact Ledger'!G1591),'Artifact Ledger'!K1591,0))&lt;0.000001,1,0)</x:f>
        <x:v>1</x:v>
      </x:c>
      <x:c r="F4219" s="21" t="n">
        <x:v>1</x:v>
      </x:c>
      <x:c r="G4219" s="23" t="str">
        <x:f>IF(E4219=F4219,"PASS","FAIL")</x:f>
        <x:v>PASS</x:v>
      </x:c>
    </x:row>
    <x:row r="4220">
      <x:c r="B4220" s="21" t="str">
        <x:v>A04214</x:v>
      </x:c>
      <x:c r="C4220" s="21" t="str">
        <x:v>artifact</x:v>
      </x:c>
      <x:c r="D4220" s="21" t="str">
        <x:v>artifact 1585 planning state</x:v>
      </x:c>
      <x:c r="E4220" s="21" t="n">
        <x:f>IF(AND('Artifact Ledger'!Q1591="OPEN",'Artifact Ledger'!R1591="HOLD"),1,0)</x:f>
        <x:v>1</x:v>
      </x:c>
      <x:c r="F4220" s="21" t="n">
        <x:v>1</x:v>
      </x:c>
      <x:c r="G4220" s="23" t="str">
        <x:f>IF(E4220=F4220,"PASS","FAIL")</x:f>
        <x:v>PASS</x:v>
      </x:c>
    </x:row>
    <x:row r="4221">
      <x:c r="B4221" s="21" t="str">
        <x:v>A04215</x:v>
      </x:c>
      <x:c r="C4221" s="21" t="str">
        <x:v>artifact</x:v>
      </x:c>
      <x:c r="D4221" s="21" t="str">
        <x:v>artifact 1586 eligibility equation</x:v>
      </x:c>
      <x:c r="E4221" s="21" t="n">
        <x:f>IF(ABS('Artifact Ledger'!P1592-IF(AND('Artifact Ledger'!L1592=1,'Artifact Ledger'!M1592=1,'Artifact Ledger'!N1592=1,'Artifact Ledger'!O1592&gt;='Artifact Ledger'!G1592),'Artifact Ledger'!K1592,0))&lt;0.000001,1,0)</x:f>
        <x:v>1</x:v>
      </x:c>
      <x:c r="F4221" s="21" t="n">
        <x:v>1</x:v>
      </x:c>
      <x:c r="G4221" s="23" t="str">
        <x:f>IF(E4221=F4221,"PASS","FAIL")</x:f>
        <x:v>PASS</x:v>
      </x:c>
    </x:row>
    <x:row r="4222">
      <x:c r="B4222" s="21" t="str">
        <x:v>A04216</x:v>
      </x:c>
      <x:c r="C4222" s="21" t="str">
        <x:v>artifact</x:v>
      </x:c>
      <x:c r="D4222" s="21" t="str">
        <x:v>artifact 1586 planning state</x:v>
      </x:c>
      <x:c r="E4222" s="21" t="n">
        <x:f>IF(AND('Artifact Ledger'!Q1592="OPEN",'Artifact Ledger'!R1592="HOLD"),1,0)</x:f>
        <x:v>1</x:v>
      </x:c>
      <x:c r="F4222" s="21" t="n">
        <x:v>1</x:v>
      </x:c>
      <x:c r="G4222" s="23" t="str">
        <x:f>IF(E4222=F4222,"PASS","FAIL")</x:f>
        <x:v>PASS</x:v>
      </x:c>
    </x:row>
    <x:row r="4223">
      <x:c r="B4223" s="21" t="str">
        <x:v>A04217</x:v>
      </x:c>
      <x:c r="C4223" s="21" t="str">
        <x:v>artifact</x:v>
      </x:c>
      <x:c r="D4223" s="21" t="str">
        <x:v>artifact 1587 eligibility equation</x:v>
      </x:c>
      <x:c r="E4223" s="21" t="n">
        <x:f>IF(ABS('Artifact Ledger'!P1593-IF(AND('Artifact Ledger'!L1593=1,'Artifact Ledger'!M1593=1,'Artifact Ledger'!N1593=1,'Artifact Ledger'!O1593&gt;='Artifact Ledger'!G1593),'Artifact Ledger'!K1593,0))&lt;0.000001,1,0)</x:f>
        <x:v>1</x:v>
      </x:c>
      <x:c r="F4223" s="21" t="n">
        <x:v>1</x:v>
      </x:c>
      <x:c r="G4223" s="23" t="str">
        <x:f>IF(E4223=F4223,"PASS","FAIL")</x:f>
        <x:v>PASS</x:v>
      </x:c>
    </x:row>
    <x:row r="4224">
      <x:c r="B4224" s="21" t="str">
        <x:v>A04218</x:v>
      </x:c>
      <x:c r="C4224" s="21" t="str">
        <x:v>artifact</x:v>
      </x:c>
      <x:c r="D4224" s="21" t="str">
        <x:v>artifact 1587 planning state</x:v>
      </x:c>
      <x:c r="E4224" s="21" t="n">
        <x:f>IF(AND('Artifact Ledger'!Q1593="OPEN",'Artifact Ledger'!R1593="HOLD"),1,0)</x:f>
        <x:v>1</x:v>
      </x:c>
      <x:c r="F4224" s="21" t="n">
        <x:v>1</x:v>
      </x:c>
      <x:c r="G4224" s="23" t="str">
        <x:f>IF(E4224=F4224,"PASS","FAIL")</x:f>
        <x:v>PASS</x:v>
      </x:c>
    </x:row>
    <x:row r="4225">
      <x:c r="B4225" s="21" t="str">
        <x:v>A04219</x:v>
      </x:c>
      <x:c r="C4225" s="21" t="str">
        <x:v>artifact</x:v>
      </x:c>
      <x:c r="D4225" s="21" t="str">
        <x:v>artifact 1588 eligibility equation</x:v>
      </x:c>
      <x:c r="E4225" s="21" t="n">
        <x:f>IF(ABS('Artifact Ledger'!P1594-IF(AND('Artifact Ledger'!L1594=1,'Artifact Ledger'!M1594=1,'Artifact Ledger'!N1594=1,'Artifact Ledger'!O1594&gt;='Artifact Ledger'!G1594),'Artifact Ledger'!K1594,0))&lt;0.000001,1,0)</x:f>
        <x:v>1</x:v>
      </x:c>
      <x:c r="F4225" s="21" t="n">
        <x:v>1</x:v>
      </x:c>
      <x:c r="G4225" s="23" t="str">
        <x:f>IF(E4225=F4225,"PASS","FAIL")</x:f>
        <x:v>PASS</x:v>
      </x:c>
    </x:row>
    <x:row r="4226">
      <x:c r="B4226" s="21" t="str">
        <x:v>A04220</x:v>
      </x:c>
      <x:c r="C4226" s="21" t="str">
        <x:v>artifact</x:v>
      </x:c>
      <x:c r="D4226" s="21" t="str">
        <x:v>artifact 1588 planning state</x:v>
      </x:c>
      <x:c r="E4226" s="21" t="n">
        <x:f>IF(AND('Artifact Ledger'!Q1594="OPEN",'Artifact Ledger'!R1594="HOLD"),1,0)</x:f>
        <x:v>1</x:v>
      </x:c>
      <x:c r="F4226" s="21" t="n">
        <x:v>1</x:v>
      </x:c>
      <x:c r="G4226" s="23" t="str">
        <x:f>IF(E4226=F4226,"PASS","FAIL")</x:f>
        <x:v>PASS</x:v>
      </x:c>
    </x:row>
    <x:row r="4227">
      <x:c r="B4227" s="21" t="str">
        <x:v>A04221</x:v>
      </x:c>
      <x:c r="C4227" s="21" t="str">
        <x:v>artifact</x:v>
      </x:c>
      <x:c r="D4227" s="21" t="str">
        <x:v>artifact 1589 eligibility equation</x:v>
      </x:c>
      <x:c r="E4227" s="21" t="n">
        <x:f>IF(ABS('Artifact Ledger'!P1595-IF(AND('Artifact Ledger'!L1595=1,'Artifact Ledger'!M1595=1,'Artifact Ledger'!N1595=1,'Artifact Ledger'!O1595&gt;='Artifact Ledger'!G1595),'Artifact Ledger'!K1595,0))&lt;0.000001,1,0)</x:f>
        <x:v>1</x:v>
      </x:c>
      <x:c r="F4227" s="21" t="n">
        <x:v>1</x:v>
      </x:c>
      <x:c r="G4227" s="23" t="str">
        <x:f>IF(E4227=F4227,"PASS","FAIL")</x:f>
        <x:v>PASS</x:v>
      </x:c>
    </x:row>
    <x:row r="4228">
      <x:c r="B4228" s="21" t="str">
        <x:v>A04222</x:v>
      </x:c>
      <x:c r="C4228" s="21" t="str">
        <x:v>artifact</x:v>
      </x:c>
      <x:c r="D4228" s="21" t="str">
        <x:v>artifact 1589 planning state</x:v>
      </x:c>
      <x:c r="E4228" s="21" t="n">
        <x:f>IF(AND('Artifact Ledger'!Q1595="OPEN",'Artifact Ledger'!R1595="HOLD"),1,0)</x:f>
        <x:v>1</x:v>
      </x:c>
      <x:c r="F4228" s="21" t="n">
        <x:v>1</x:v>
      </x:c>
      <x:c r="G4228" s="23" t="str">
        <x:f>IF(E4228=F4228,"PASS","FAIL")</x:f>
        <x:v>PASS</x:v>
      </x:c>
    </x:row>
    <x:row r="4229">
      <x:c r="B4229" s="21" t="str">
        <x:v>A04223</x:v>
      </x:c>
      <x:c r="C4229" s="21" t="str">
        <x:v>artifact</x:v>
      </x:c>
      <x:c r="D4229" s="21" t="str">
        <x:v>artifact 1590 eligibility equation</x:v>
      </x:c>
      <x:c r="E4229" s="21" t="n">
        <x:f>IF(ABS('Artifact Ledger'!P1596-IF(AND('Artifact Ledger'!L1596=1,'Artifact Ledger'!M1596=1,'Artifact Ledger'!N1596=1,'Artifact Ledger'!O1596&gt;='Artifact Ledger'!G1596),'Artifact Ledger'!K1596,0))&lt;0.000001,1,0)</x:f>
        <x:v>1</x:v>
      </x:c>
      <x:c r="F4229" s="21" t="n">
        <x:v>1</x:v>
      </x:c>
      <x:c r="G4229" s="23" t="str">
        <x:f>IF(E4229=F4229,"PASS","FAIL")</x:f>
        <x:v>PASS</x:v>
      </x:c>
    </x:row>
    <x:row r="4230">
      <x:c r="B4230" s="21" t="str">
        <x:v>A04224</x:v>
      </x:c>
      <x:c r="C4230" s="21" t="str">
        <x:v>artifact</x:v>
      </x:c>
      <x:c r="D4230" s="21" t="str">
        <x:v>artifact 1590 planning state</x:v>
      </x:c>
      <x:c r="E4230" s="21" t="n">
        <x:f>IF(AND('Artifact Ledger'!Q1596="OPEN",'Artifact Ledger'!R1596="HOLD"),1,0)</x:f>
        <x:v>1</x:v>
      </x:c>
      <x:c r="F4230" s="21" t="n">
        <x:v>1</x:v>
      </x:c>
      <x:c r="G4230" s="23" t="str">
        <x:f>IF(E4230=F4230,"PASS","FAIL")</x:f>
        <x:v>PASS</x:v>
      </x:c>
    </x:row>
    <x:row r="4231">
      <x:c r="B4231" s="21" t="str">
        <x:v>A04225</x:v>
      </x:c>
      <x:c r="C4231" s="21" t="str">
        <x:v>artifact</x:v>
      </x:c>
      <x:c r="D4231" s="21" t="str">
        <x:v>artifact 1591 eligibility equation</x:v>
      </x:c>
      <x:c r="E4231" s="21" t="n">
        <x:f>IF(ABS('Artifact Ledger'!P1597-IF(AND('Artifact Ledger'!L1597=1,'Artifact Ledger'!M1597=1,'Artifact Ledger'!N1597=1,'Artifact Ledger'!O1597&gt;='Artifact Ledger'!G1597),'Artifact Ledger'!K1597,0))&lt;0.000001,1,0)</x:f>
        <x:v>1</x:v>
      </x:c>
      <x:c r="F4231" s="21" t="n">
        <x:v>1</x:v>
      </x:c>
      <x:c r="G4231" s="23" t="str">
        <x:f>IF(E4231=F4231,"PASS","FAIL")</x:f>
        <x:v>PASS</x:v>
      </x:c>
    </x:row>
    <x:row r="4232">
      <x:c r="B4232" s="21" t="str">
        <x:v>A04226</x:v>
      </x:c>
      <x:c r="C4232" s="21" t="str">
        <x:v>artifact</x:v>
      </x:c>
      <x:c r="D4232" s="21" t="str">
        <x:v>artifact 1591 planning state</x:v>
      </x:c>
      <x:c r="E4232" s="21" t="n">
        <x:f>IF(AND('Artifact Ledger'!Q1597="OPEN",'Artifact Ledger'!R1597="HOLD"),1,0)</x:f>
        <x:v>1</x:v>
      </x:c>
      <x:c r="F4232" s="21" t="n">
        <x:v>1</x:v>
      </x:c>
      <x:c r="G4232" s="23" t="str">
        <x:f>IF(E4232=F4232,"PASS","FAIL")</x:f>
        <x:v>PASS</x:v>
      </x:c>
    </x:row>
    <x:row r="4233">
      <x:c r="B4233" s="21" t="str">
        <x:v>A04227</x:v>
      </x:c>
      <x:c r="C4233" s="21" t="str">
        <x:v>artifact</x:v>
      </x:c>
      <x:c r="D4233" s="21" t="str">
        <x:v>artifact 1592 eligibility equation</x:v>
      </x:c>
      <x:c r="E4233" s="21" t="n">
        <x:f>IF(ABS('Artifact Ledger'!P1598-IF(AND('Artifact Ledger'!L1598=1,'Artifact Ledger'!M1598=1,'Artifact Ledger'!N1598=1,'Artifact Ledger'!O1598&gt;='Artifact Ledger'!G1598),'Artifact Ledger'!K1598,0))&lt;0.000001,1,0)</x:f>
        <x:v>1</x:v>
      </x:c>
      <x:c r="F4233" s="21" t="n">
        <x:v>1</x:v>
      </x:c>
      <x:c r="G4233" s="23" t="str">
        <x:f>IF(E4233=F4233,"PASS","FAIL")</x:f>
        <x:v>PASS</x:v>
      </x:c>
    </x:row>
    <x:row r="4234">
      <x:c r="B4234" s="21" t="str">
        <x:v>A04228</x:v>
      </x:c>
      <x:c r="C4234" s="21" t="str">
        <x:v>artifact</x:v>
      </x:c>
      <x:c r="D4234" s="21" t="str">
        <x:v>artifact 1592 planning state</x:v>
      </x:c>
      <x:c r="E4234" s="21" t="n">
        <x:f>IF(AND('Artifact Ledger'!Q1598="OPEN",'Artifact Ledger'!R1598="HOLD"),1,0)</x:f>
        <x:v>1</x:v>
      </x:c>
      <x:c r="F4234" s="21" t="n">
        <x:v>1</x:v>
      </x:c>
      <x:c r="G4234" s="23" t="str">
        <x:f>IF(E4234=F4234,"PASS","FAIL")</x:f>
        <x:v>PASS</x:v>
      </x:c>
    </x:row>
    <x:row r="4235">
      <x:c r="B4235" s="21" t="str">
        <x:v>A04229</x:v>
      </x:c>
      <x:c r="C4235" s="21" t="str">
        <x:v>artifact</x:v>
      </x:c>
      <x:c r="D4235" s="21" t="str">
        <x:v>artifact 1593 eligibility equation</x:v>
      </x:c>
      <x:c r="E4235" s="21" t="n">
        <x:f>IF(ABS('Artifact Ledger'!P1599-IF(AND('Artifact Ledger'!L1599=1,'Artifact Ledger'!M1599=1,'Artifact Ledger'!N1599=1,'Artifact Ledger'!O1599&gt;='Artifact Ledger'!G1599),'Artifact Ledger'!K1599,0))&lt;0.000001,1,0)</x:f>
        <x:v>1</x:v>
      </x:c>
      <x:c r="F4235" s="21" t="n">
        <x:v>1</x:v>
      </x:c>
      <x:c r="G4235" s="23" t="str">
        <x:f>IF(E4235=F4235,"PASS","FAIL")</x:f>
        <x:v>PASS</x:v>
      </x:c>
    </x:row>
    <x:row r="4236">
      <x:c r="B4236" s="21" t="str">
        <x:v>A04230</x:v>
      </x:c>
      <x:c r="C4236" s="21" t="str">
        <x:v>artifact</x:v>
      </x:c>
      <x:c r="D4236" s="21" t="str">
        <x:v>artifact 1593 planning state</x:v>
      </x:c>
      <x:c r="E4236" s="21" t="n">
        <x:f>IF(AND('Artifact Ledger'!Q1599="OPEN",'Artifact Ledger'!R1599="HOLD"),1,0)</x:f>
        <x:v>1</x:v>
      </x:c>
      <x:c r="F4236" s="21" t="n">
        <x:v>1</x:v>
      </x:c>
      <x:c r="G4236" s="23" t="str">
        <x:f>IF(E4236=F4236,"PASS","FAIL")</x:f>
        <x:v>PASS</x:v>
      </x:c>
    </x:row>
    <x:row r="4237">
      <x:c r="B4237" s="21" t="str">
        <x:v>A04231</x:v>
      </x:c>
      <x:c r="C4237" s="21" t="str">
        <x:v>artifact</x:v>
      </x:c>
      <x:c r="D4237" s="21" t="str">
        <x:v>artifact 1594 eligibility equation</x:v>
      </x:c>
      <x:c r="E4237" s="21" t="n">
        <x:f>IF(ABS('Artifact Ledger'!P1600-IF(AND('Artifact Ledger'!L1600=1,'Artifact Ledger'!M1600=1,'Artifact Ledger'!N1600=1,'Artifact Ledger'!O1600&gt;='Artifact Ledger'!G1600),'Artifact Ledger'!K1600,0))&lt;0.000001,1,0)</x:f>
        <x:v>1</x:v>
      </x:c>
      <x:c r="F4237" s="21" t="n">
        <x:v>1</x:v>
      </x:c>
      <x:c r="G4237" s="23" t="str">
        <x:f>IF(E4237=F4237,"PASS","FAIL")</x:f>
        <x:v>PASS</x:v>
      </x:c>
    </x:row>
    <x:row r="4238">
      <x:c r="B4238" s="21" t="str">
        <x:v>A04232</x:v>
      </x:c>
      <x:c r="C4238" s="21" t="str">
        <x:v>artifact</x:v>
      </x:c>
      <x:c r="D4238" s="21" t="str">
        <x:v>artifact 1594 planning state</x:v>
      </x:c>
      <x:c r="E4238" s="21" t="n">
        <x:f>IF(AND('Artifact Ledger'!Q1600="OPEN",'Artifact Ledger'!R1600="HOLD"),1,0)</x:f>
        <x:v>1</x:v>
      </x:c>
      <x:c r="F4238" s="21" t="n">
        <x:v>1</x:v>
      </x:c>
      <x:c r="G4238" s="23" t="str">
        <x:f>IF(E4238=F4238,"PASS","FAIL")</x:f>
        <x:v>PASS</x:v>
      </x:c>
    </x:row>
    <x:row r="4239">
      <x:c r="B4239" s="21" t="str">
        <x:v>A04233</x:v>
      </x:c>
      <x:c r="C4239" s="21" t="str">
        <x:v>artifact</x:v>
      </x:c>
      <x:c r="D4239" s="21" t="str">
        <x:v>artifact 1595 eligibility equation</x:v>
      </x:c>
      <x:c r="E4239" s="21" t="n">
        <x:f>IF(ABS('Artifact Ledger'!P1601-IF(AND('Artifact Ledger'!L1601=1,'Artifact Ledger'!M1601=1,'Artifact Ledger'!N1601=1,'Artifact Ledger'!O1601&gt;='Artifact Ledger'!G1601),'Artifact Ledger'!K1601,0))&lt;0.000001,1,0)</x:f>
        <x:v>1</x:v>
      </x:c>
      <x:c r="F4239" s="21" t="n">
        <x:v>1</x:v>
      </x:c>
      <x:c r="G4239" s="23" t="str">
        <x:f>IF(E4239=F4239,"PASS","FAIL")</x:f>
        <x:v>PASS</x:v>
      </x:c>
    </x:row>
    <x:row r="4240">
      <x:c r="B4240" s="21" t="str">
        <x:v>A04234</x:v>
      </x:c>
      <x:c r="C4240" s="21" t="str">
        <x:v>artifact</x:v>
      </x:c>
      <x:c r="D4240" s="21" t="str">
        <x:v>artifact 1595 planning state</x:v>
      </x:c>
      <x:c r="E4240" s="21" t="n">
        <x:f>IF(AND('Artifact Ledger'!Q1601="OPEN",'Artifact Ledger'!R1601="HOLD"),1,0)</x:f>
        <x:v>1</x:v>
      </x:c>
      <x:c r="F4240" s="21" t="n">
        <x:v>1</x:v>
      </x:c>
      <x:c r="G4240" s="23" t="str">
        <x:f>IF(E4240=F4240,"PASS","FAIL")</x:f>
        <x:v>PASS</x:v>
      </x:c>
    </x:row>
    <x:row r="4241">
      <x:c r="B4241" s="21" t="str">
        <x:v>A04235</x:v>
      </x:c>
      <x:c r="C4241" s="21" t="str">
        <x:v>artifact</x:v>
      </x:c>
      <x:c r="D4241" s="21" t="str">
        <x:v>artifact 1596 eligibility equation</x:v>
      </x:c>
      <x:c r="E4241" s="21" t="n">
        <x:f>IF(ABS('Artifact Ledger'!P1602-IF(AND('Artifact Ledger'!L1602=1,'Artifact Ledger'!M1602=1,'Artifact Ledger'!N1602=1,'Artifact Ledger'!O1602&gt;='Artifact Ledger'!G1602),'Artifact Ledger'!K1602,0))&lt;0.000001,1,0)</x:f>
        <x:v>1</x:v>
      </x:c>
      <x:c r="F4241" s="21" t="n">
        <x:v>1</x:v>
      </x:c>
      <x:c r="G4241" s="23" t="str">
        <x:f>IF(E4241=F4241,"PASS","FAIL")</x:f>
        <x:v>PASS</x:v>
      </x:c>
    </x:row>
    <x:row r="4242">
      <x:c r="B4242" s="21" t="str">
        <x:v>A04236</x:v>
      </x:c>
      <x:c r="C4242" s="21" t="str">
        <x:v>artifact</x:v>
      </x:c>
      <x:c r="D4242" s="21" t="str">
        <x:v>artifact 1596 planning state</x:v>
      </x:c>
      <x:c r="E4242" s="21" t="n">
        <x:f>IF(AND('Artifact Ledger'!Q1602="OPEN",'Artifact Ledger'!R1602="HOLD"),1,0)</x:f>
        <x:v>1</x:v>
      </x:c>
      <x:c r="F4242" s="21" t="n">
        <x:v>1</x:v>
      </x:c>
      <x:c r="G4242" s="23" t="str">
        <x:f>IF(E4242=F4242,"PASS","FAIL")</x:f>
        <x:v>PASS</x:v>
      </x:c>
    </x:row>
    <x:row r="4243">
      <x:c r="B4243" s="21" t="str">
        <x:v>A04237</x:v>
      </x:c>
      <x:c r="C4243" s="21" t="str">
        <x:v>artifact</x:v>
      </x:c>
      <x:c r="D4243" s="21" t="str">
        <x:v>artifact 1597 eligibility equation</x:v>
      </x:c>
      <x:c r="E4243" s="21" t="n">
        <x:f>IF(ABS('Artifact Ledger'!P1603-IF(AND('Artifact Ledger'!L1603=1,'Artifact Ledger'!M1603=1,'Artifact Ledger'!N1603=1,'Artifact Ledger'!O1603&gt;='Artifact Ledger'!G1603),'Artifact Ledger'!K1603,0))&lt;0.000001,1,0)</x:f>
        <x:v>1</x:v>
      </x:c>
      <x:c r="F4243" s="21" t="n">
        <x:v>1</x:v>
      </x:c>
      <x:c r="G4243" s="23" t="str">
        <x:f>IF(E4243=F4243,"PASS","FAIL")</x:f>
        <x:v>PASS</x:v>
      </x:c>
    </x:row>
    <x:row r="4244">
      <x:c r="B4244" s="21" t="str">
        <x:v>A04238</x:v>
      </x:c>
      <x:c r="C4244" s="21" t="str">
        <x:v>artifact</x:v>
      </x:c>
      <x:c r="D4244" s="21" t="str">
        <x:v>artifact 1597 planning state</x:v>
      </x:c>
      <x:c r="E4244" s="21" t="n">
        <x:f>IF(AND('Artifact Ledger'!Q1603="OPEN",'Artifact Ledger'!R1603="HOLD"),1,0)</x:f>
        <x:v>1</x:v>
      </x:c>
      <x:c r="F4244" s="21" t="n">
        <x:v>1</x:v>
      </x:c>
      <x:c r="G4244" s="23" t="str">
        <x:f>IF(E4244=F4244,"PASS","FAIL")</x:f>
        <x:v>PASS</x:v>
      </x:c>
    </x:row>
    <x:row r="4245">
      <x:c r="B4245" s="21" t="str">
        <x:v>A04239</x:v>
      </x:c>
      <x:c r="C4245" s="21" t="str">
        <x:v>artifact</x:v>
      </x:c>
      <x:c r="D4245" s="21" t="str">
        <x:v>artifact 1598 eligibility equation</x:v>
      </x:c>
      <x:c r="E4245" s="21" t="n">
        <x:f>IF(ABS('Artifact Ledger'!P1604-IF(AND('Artifact Ledger'!L1604=1,'Artifact Ledger'!M1604=1,'Artifact Ledger'!N1604=1,'Artifact Ledger'!O1604&gt;='Artifact Ledger'!G1604),'Artifact Ledger'!K1604,0))&lt;0.000001,1,0)</x:f>
        <x:v>1</x:v>
      </x:c>
      <x:c r="F4245" s="21" t="n">
        <x:v>1</x:v>
      </x:c>
      <x:c r="G4245" s="23" t="str">
        <x:f>IF(E4245=F4245,"PASS","FAIL")</x:f>
        <x:v>PASS</x:v>
      </x:c>
    </x:row>
    <x:row r="4246">
      <x:c r="B4246" s="21" t="str">
        <x:v>A04240</x:v>
      </x:c>
      <x:c r="C4246" s="21" t="str">
        <x:v>artifact</x:v>
      </x:c>
      <x:c r="D4246" s="21" t="str">
        <x:v>artifact 1598 planning state</x:v>
      </x:c>
      <x:c r="E4246" s="21" t="n">
        <x:f>IF(AND('Artifact Ledger'!Q1604="OPEN",'Artifact Ledger'!R1604="HOLD"),1,0)</x:f>
        <x:v>1</x:v>
      </x:c>
      <x:c r="F4246" s="21" t="n">
        <x:v>1</x:v>
      </x:c>
      <x:c r="G4246" s="23" t="str">
        <x:f>IF(E4246=F4246,"PASS","FAIL")</x:f>
        <x:v>PASS</x:v>
      </x:c>
    </x:row>
    <x:row r="4247">
      <x:c r="B4247" s="21" t="str">
        <x:v>A04241</x:v>
      </x:c>
      <x:c r="C4247" s="21" t="str">
        <x:v>artifact</x:v>
      </x:c>
      <x:c r="D4247" s="21" t="str">
        <x:v>artifact 1599 eligibility equation</x:v>
      </x:c>
      <x:c r="E4247" s="21" t="n">
        <x:f>IF(ABS('Artifact Ledger'!P1605-IF(AND('Artifact Ledger'!L1605=1,'Artifact Ledger'!M1605=1,'Artifact Ledger'!N1605=1,'Artifact Ledger'!O1605&gt;='Artifact Ledger'!G1605),'Artifact Ledger'!K1605,0))&lt;0.000001,1,0)</x:f>
        <x:v>1</x:v>
      </x:c>
      <x:c r="F4247" s="21" t="n">
        <x:v>1</x:v>
      </x:c>
      <x:c r="G4247" s="23" t="str">
        <x:f>IF(E4247=F4247,"PASS","FAIL")</x:f>
        <x:v>PASS</x:v>
      </x:c>
    </x:row>
    <x:row r="4248">
      <x:c r="B4248" s="21" t="str">
        <x:v>A04242</x:v>
      </x:c>
      <x:c r="C4248" s="21" t="str">
        <x:v>artifact</x:v>
      </x:c>
      <x:c r="D4248" s="21" t="str">
        <x:v>artifact 1599 planning state</x:v>
      </x:c>
      <x:c r="E4248" s="21" t="n">
        <x:f>IF(AND('Artifact Ledger'!Q1605="OPEN",'Artifact Ledger'!R1605="HOLD"),1,0)</x:f>
        <x:v>1</x:v>
      </x:c>
      <x:c r="F4248" s="21" t="n">
        <x:v>1</x:v>
      </x:c>
      <x:c r="G4248" s="23" t="str">
        <x:f>IF(E4248=F4248,"PASS","FAIL")</x:f>
        <x:v>PASS</x:v>
      </x:c>
    </x:row>
    <x:row r="4249">
      <x:c r="B4249" s="21" t="str">
        <x:v>A04243</x:v>
      </x:c>
      <x:c r="C4249" s="21" t="str">
        <x:v>artifact</x:v>
      </x:c>
      <x:c r="D4249" s="21" t="str">
        <x:v>artifact 1600 eligibility equation</x:v>
      </x:c>
      <x:c r="E4249" s="21" t="n">
        <x:f>IF(ABS('Artifact Ledger'!P1606-IF(AND('Artifact Ledger'!L1606=1,'Artifact Ledger'!M1606=1,'Artifact Ledger'!N1606=1,'Artifact Ledger'!O1606&gt;='Artifact Ledger'!G1606),'Artifact Ledger'!K1606,0))&lt;0.000001,1,0)</x:f>
        <x:v>1</x:v>
      </x:c>
      <x:c r="F4249" s="21" t="n">
        <x:v>1</x:v>
      </x:c>
      <x:c r="G4249" s="23" t="str">
        <x:f>IF(E4249=F4249,"PASS","FAIL")</x:f>
        <x:v>PASS</x:v>
      </x:c>
    </x:row>
    <x:row r="4250">
      <x:c r="B4250" s="21" t="str">
        <x:v>A04244</x:v>
      </x:c>
      <x:c r="C4250" s="21" t="str">
        <x:v>artifact</x:v>
      </x:c>
      <x:c r="D4250" s="21" t="str">
        <x:v>artifact 1600 planning state</x:v>
      </x:c>
      <x:c r="E4250" s="21" t="n">
        <x:f>IF(AND('Artifact Ledger'!Q1606="OPEN",'Artifact Ledger'!R1606="HOLD"),1,0)</x:f>
        <x:v>1</x:v>
      </x:c>
      <x:c r="F4250" s="21" t="n">
        <x:v>1</x:v>
      </x:c>
      <x:c r="G4250" s="23" t="str">
        <x:f>IF(E4250=F4250,"PASS","FAIL")</x:f>
        <x:v>PASS</x:v>
      </x:c>
    </x:row>
    <x:row r="4251">
      <x:c r="B4251" s="21" t="str">
        <x:v>A04245</x:v>
      </x:c>
      <x:c r="C4251" s="21" t="str">
        <x:v>artifact</x:v>
      </x:c>
      <x:c r="D4251" s="21" t="str">
        <x:v>artifact 1601 eligibility equation</x:v>
      </x:c>
      <x:c r="E4251" s="21" t="n">
        <x:f>IF(ABS('Artifact Ledger'!P1607-IF(AND('Artifact Ledger'!L1607=1,'Artifact Ledger'!M1607=1,'Artifact Ledger'!N1607=1,'Artifact Ledger'!O1607&gt;='Artifact Ledger'!G1607),'Artifact Ledger'!K1607,0))&lt;0.000001,1,0)</x:f>
        <x:v>1</x:v>
      </x:c>
      <x:c r="F4251" s="21" t="n">
        <x:v>1</x:v>
      </x:c>
      <x:c r="G4251" s="23" t="str">
        <x:f>IF(E4251=F4251,"PASS","FAIL")</x:f>
        <x:v>PASS</x:v>
      </x:c>
    </x:row>
    <x:row r="4252">
      <x:c r="B4252" s="21" t="str">
        <x:v>A04246</x:v>
      </x:c>
      <x:c r="C4252" s="21" t="str">
        <x:v>artifact</x:v>
      </x:c>
      <x:c r="D4252" s="21" t="str">
        <x:v>artifact 1601 planning state</x:v>
      </x:c>
      <x:c r="E4252" s="21" t="n">
        <x:f>IF(AND('Artifact Ledger'!Q1607="OPEN",'Artifact Ledger'!R1607="HOLD"),1,0)</x:f>
        <x:v>1</x:v>
      </x:c>
      <x:c r="F4252" s="21" t="n">
        <x:v>1</x:v>
      </x:c>
      <x:c r="G4252" s="23" t="str">
        <x:f>IF(E4252=F4252,"PASS","FAIL")</x:f>
        <x:v>PASS</x:v>
      </x:c>
    </x:row>
    <x:row r="4253">
      <x:c r="B4253" s="21" t="str">
        <x:v>A04247</x:v>
      </x:c>
      <x:c r="C4253" s="21" t="str">
        <x:v>artifact</x:v>
      </x:c>
      <x:c r="D4253" s="21" t="str">
        <x:v>artifact 1602 eligibility equation</x:v>
      </x:c>
      <x:c r="E4253" s="21" t="n">
        <x:f>IF(ABS('Artifact Ledger'!P1608-IF(AND('Artifact Ledger'!L1608=1,'Artifact Ledger'!M1608=1,'Artifact Ledger'!N1608=1,'Artifact Ledger'!O1608&gt;='Artifact Ledger'!G1608),'Artifact Ledger'!K1608,0))&lt;0.000001,1,0)</x:f>
        <x:v>1</x:v>
      </x:c>
      <x:c r="F4253" s="21" t="n">
        <x:v>1</x:v>
      </x:c>
      <x:c r="G4253" s="23" t="str">
        <x:f>IF(E4253=F4253,"PASS","FAIL")</x:f>
        <x:v>PASS</x:v>
      </x:c>
    </x:row>
    <x:row r="4254">
      <x:c r="B4254" s="21" t="str">
        <x:v>A04248</x:v>
      </x:c>
      <x:c r="C4254" s="21" t="str">
        <x:v>artifact</x:v>
      </x:c>
      <x:c r="D4254" s="21" t="str">
        <x:v>artifact 1602 planning state</x:v>
      </x:c>
      <x:c r="E4254" s="21" t="n">
        <x:f>IF(AND('Artifact Ledger'!Q1608="OPEN",'Artifact Ledger'!R1608="HOLD"),1,0)</x:f>
        <x:v>1</x:v>
      </x:c>
      <x:c r="F4254" s="21" t="n">
        <x:v>1</x:v>
      </x:c>
      <x:c r="G4254" s="23" t="str">
        <x:f>IF(E4254=F4254,"PASS","FAIL")</x:f>
        <x:v>PASS</x:v>
      </x:c>
    </x:row>
    <x:row r="4255">
      <x:c r="B4255" s="21" t="str">
        <x:v>A04249</x:v>
      </x:c>
      <x:c r="C4255" s="21" t="str">
        <x:v>artifact</x:v>
      </x:c>
      <x:c r="D4255" s="21" t="str">
        <x:v>artifact 1603 eligibility equation</x:v>
      </x:c>
      <x:c r="E4255" s="21" t="n">
        <x:f>IF(ABS('Artifact Ledger'!P1609-IF(AND('Artifact Ledger'!L1609=1,'Artifact Ledger'!M1609=1,'Artifact Ledger'!N1609=1,'Artifact Ledger'!O1609&gt;='Artifact Ledger'!G1609),'Artifact Ledger'!K1609,0))&lt;0.000001,1,0)</x:f>
        <x:v>1</x:v>
      </x:c>
      <x:c r="F4255" s="21" t="n">
        <x:v>1</x:v>
      </x:c>
      <x:c r="G4255" s="23" t="str">
        <x:f>IF(E4255=F4255,"PASS","FAIL")</x:f>
        <x:v>PASS</x:v>
      </x:c>
    </x:row>
    <x:row r="4256">
      <x:c r="B4256" s="21" t="str">
        <x:v>A04250</x:v>
      </x:c>
      <x:c r="C4256" s="21" t="str">
        <x:v>artifact</x:v>
      </x:c>
      <x:c r="D4256" s="21" t="str">
        <x:v>artifact 1603 planning state</x:v>
      </x:c>
      <x:c r="E4256" s="21" t="n">
        <x:f>IF(AND('Artifact Ledger'!Q1609="OPEN",'Artifact Ledger'!R1609="HOLD"),1,0)</x:f>
        <x:v>1</x:v>
      </x:c>
      <x:c r="F4256" s="21" t="n">
        <x:v>1</x:v>
      </x:c>
      <x:c r="G4256" s="23" t="str">
        <x:f>IF(E4256=F4256,"PASS","FAIL")</x:f>
        <x:v>PASS</x:v>
      </x:c>
    </x:row>
    <x:row r="4257">
      <x:c r="B4257" s="21" t="str">
        <x:v>A04251</x:v>
      </x:c>
      <x:c r="C4257" s="21" t="str">
        <x:v>artifact</x:v>
      </x:c>
      <x:c r="D4257" s="21" t="str">
        <x:v>artifact 1604 eligibility equation</x:v>
      </x:c>
      <x:c r="E4257" s="21" t="n">
        <x:f>IF(ABS('Artifact Ledger'!P1610-IF(AND('Artifact Ledger'!L1610=1,'Artifact Ledger'!M1610=1,'Artifact Ledger'!N1610=1,'Artifact Ledger'!O1610&gt;='Artifact Ledger'!G1610),'Artifact Ledger'!K1610,0))&lt;0.000001,1,0)</x:f>
        <x:v>1</x:v>
      </x:c>
      <x:c r="F4257" s="21" t="n">
        <x:v>1</x:v>
      </x:c>
      <x:c r="G4257" s="23" t="str">
        <x:f>IF(E4257=F4257,"PASS","FAIL")</x:f>
        <x:v>PASS</x:v>
      </x:c>
    </x:row>
    <x:row r="4258">
      <x:c r="B4258" s="21" t="str">
        <x:v>A04252</x:v>
      </x:c>
      <x:c r="C4258" s="21" t="str">
        <x:v>artifact</x:v>
      </x:c>
      <x:c r="D4258" s="21" t="str">
        <x:v>artifact 1604 planning state</x:v>
      </x:c>
      <x:c r="E4258" s="21" t="n">
        <x:f>IF(AND('Artifact Ledger'!Q1610="OPEN",'Artifact Ledger'!R1610="HOLD"),1,0)</x:f>
        <x:v>1</x:v>
      </x:c>
      <x:c r="F4258" s="21" t="n">
        <x:v>1</x:v>
      </x:c>
      <x:c r="G4258" s="23" t="str">
        <x:f>IF(E4258=F4258,"PASS","FAIL")</x:f>
        <x:v>PASS</x:v>
      </x:c>
    </x:row>
    <x:row r="4259">
      <x:c r="B4259" s="21" t="str">
        <x:v>A04253</x:v>
      </x:c>
      <x:c r="C4259" s="21" t="str">
        <x:v>artifact</x:v>
      </x:c>
      <x:c r="D4259" s="21" t="str">
        <x:v>artifact 1605 eligibility equation</x:v>
      </x:c>
      <x:c r="E4259" s="21" t="n">
        <x:f>IF(ABS('Artifact Ledger'!P1611-IF(AND('Artifact Ledger'!L1611=1,'Artifact Ledger'!M1611=1,'Artifact Ledger'!N1611=1,'Artifact Ledger'!O1611&gt;='Artifact Ledger'!G1611),'Artifact Ledger'!K1611,0))&lt;0.000001,1,0)</x:f>
        <x:v>1</x:v>
      </x:c>
      <x:c r="F4259" s="21" t="n">
        <x:v>1</x:v>
      </x:c>
      <x:c r="G4259" s="23" t="str">
        <x:f>IF(E4259=F4259,"PASS","FAIL")</x:f>
        <x:v>PASS</x:v>
      </x:c>
    </x:row>
    <x:row r="4260">
      <x:c r="B4260" s="21" t="str">
        <x:v>A04254</x:v>
      </x:c>
      <x:c r="C4260" s="21" t="str">
        <x:v>artifact</x:v>
      </x:c>
      <x:c r="D4260" s="21" t="str">
        <x:v>artifact 1605 planning state</x:v>
      </x:c>
      <x:c r="E4260" s="21" t="n">
        <x:f>IF(AND('Artifact Ledger'!Q1611="OPEN",'Artifact Ledger'!R1611="HOLD"),1,0)</x:f>
        <x:v>1</x:v>
      </x:c>
      <x:c r="F4260" s="21" t="n">
        <x:v>1</x:v>
      </x:c>
      <x:c r="G4260" s="23" t="str">
        <x:f>IF(E4260=F4260,"PASS","FAIL")</x:f>
        <x:v>PASS</x:v>
      </x:c>
    </x:row>
    <x:row r="4261">
      <x:c r="B4261" s="21" t="str">
        <x:v>A04255</x:v>
      </x:c>
      <x:c r="C4261" s="21" t="str">
        <x:v>artifact</x:v>
      </x:c>
      <x:c r="D4261" s="21" t="str">
        <x:v>artifact 1606 eligibility equation</x:v>
      </x:c>
      <x:c r="E4261" s="21" t="n">
        <x:f>IF(ABS('Artifact Ledger'!P1612-IF(AND('Artifact Ledger'!L1612=1,'Artifact Ledger'!M1612=1,'Artifact Ledger'!N1612=1,'Artifact Ledger'!O1612&gt;='Artifact Ledger'!G1612),'Artifact Ledger'!K1612,0))&lt;0.000001,1,0)</x:f>
        <x:v>1</x:v>
      </x:c>
      <x:c r="F4261" s="21" t="n">
        <x:v>1</x:v>
      </x:c>
      <x:c r="G4261" s="23" t="str">
        <x:f>IF(E4261=F4261,"PASS","FAIL")</x:f>
        <x:v>PASS</x:v>
      </x:c>
    </x:row>
    <x:row r="4262">
      <x:c r="B4262" s="21" t="str">
        <x:v>A04256</x:v>
      </x:c>
      <x:c r="C4262" s="21" t="str">
        <x:v>artifact</x:v>
      </x:c>
      <x:c r="D4262" s="21" t="str">
        <x:v>artifact 1606 planning state</x:v>
      </x:c>
      <x:c r="E4262" s="21" t="n">
        <x:f>IF(AND('Artifact Ledger'!Q1612="OPEN",'Artifact Ledger'!R1612="HOLD"),1,0)</x:f>
        <x:v>1</x:v>
      </x:c>
      <x:c r="F4262" s="21" t="n">
        <x:v>1</x:v>
      </x:c>
      <x:c r="G4262" s="23" t="str">
        <x:f>IF(E4262=F4262,"PASS","FAIL")</x:f>
        <x:v>PASS</x:v>
      </x:c>
    </x:row>
    <x:row r="4263">
      <x:c r="B4263" s="21" t="str">
        <x:v>A04257</x:v>
      </x:c>
      <x:c r="C4263" s="21" t="str">
        <x:v>artifact</x:v>
      </x:c>
      <x:c r="D4263" s="21" t="str">
        <x:v>artifact 1607 eligibility equation</x:v>
      </x:c>
      <x:c r="E4263" s="21" t="n">
        <x:f>IF(ABS('Artifact Ledger'!P1613-IF(AND('Artifact Ledger'!L1613=1,'Artifact Ledger'!M1613=1,'Artifact Ledger'!N1613=1,'Artifact Ledger'!O1613&gt;='Artifact Ledger'!G1613),'Artifact Ledger'!K1613,0))&lt;0.000001,1,0)</x:f>
        <x:v>1</x:v>
      </x:c>
      <x:c r="F4263" s="21" t="n">
        <x:v>1</x:v>
      </x:c>
      <x:c r="G4263" s="23" t="str">
        <x:f>IF(E4263=F4263,"PASS","FAIL")</x:f>
        <x:v>PASS</x:v>
      </x:c>
    </x:row>
    <x:row r="4264">
      <x:c r="B4264" s="21" t="str">
        <x:v>A04258</x:v>
      </x:c>
      <x:c r="C4264" s="21" t="str">
        <x:v>artifact</x:v>
      </x:c>
      <x:c r="D4264" s="21" t="str">
        <x:v>artifact 1607 planning state</x:v>
      </x:c>
      <x:c r="E4264" s="21" t="n">
        <x:f>IF(AND('Artifact Ledger'!Q1613="OPEN",'Artifact Ledger'!R1613="HOLD"),1,0)</x:f>
        <x:v>1</x:v>
      </x:c>
      <x:c r="F4264" s="21" t="n">
        <x:v>1</x:v>
      </x:c>
      <x:c r="G4264" s="23" t="str">
        <x:f>IF(E4264=F4264,"PASS","FAIL")</x:f>
        <x:v>PASS</x:v>
      </x:c>
    </x:row>
    <x:row r="4265">
      <x:c r="B4265" s="21" t="str">
        <x:v>A04259</x:v>
      </x:c>
      <x:c r="C4265" s="21" t="str">
        <x:v>artifact</x:v>
      </x:c>
      <x:c r="D4265" s="21" t="str">
        <x:v>artifact 1608 eligibility equation</x:v>
      </x:c>
      <x:c r="E4265" s="21" t="n">
        <x:f>IF(ABS('Artifact Ledger'!P1614-IF(AND('Artifact Ledger'!L1614=1,'Artifact Ledger'!M1614=1,'Artifact Ledger'!N1614=1,'Artifact Ledger'!O1614&gt;='Artifact Ledger'!G1614),'Artifact Ledger'!K1614,0))&lt;0.000001,1,0)</x:f>
        <x:v>1</x:v>
      </x:c>
      <x:c r="F4265" s="21" t="n">
        <x:v>1</x:v>
      </x:c>
      <x:c r="G4265" s="23" t="str">
        <x:f>IF(E4265=F4265,"PASS","FAIL")</x:f>
        <x:v>PASS</x:v>
      </x:c>
    </x:row>
    <x:row r="4266">
      <x:c r="B4266" s="21" t="str">
        <x:v>A04260</x:v>
      </x:c>
      <x:c r="C4266" s="21" t="str">
        <x:v>artifact</x:v>
      </x:c>
      <x:c r="D4266" s="21" t="str">
        <x:v>artifact 1608 planning state</x:v>
      </x:c>
      <x:c r="E4266" s="21" t="n">
        <x:f>IF(AND('Artifact Ledger'!Q1614="OPEN",'Artifact Ledger'!R1614="HOLD"),1,0)</x:f>
        <x:v>1</x:v>
      </x:c>
      <x:c r="F4266" s="21" t="n">
        <x:v>1</x:v>
      </x:c>
      <x:c r="G4266" s="23" t="str">
        <x:f>IF(E4266=F4266,"PASS","FAIL")</x:f>
        <x:v>PASS</x:v>
      </x:c>
    </x:row>
    <x:row r="4267">
      <x:c r="B4267" s="21" t="str">
        <x:v>A04261</x:v>
      </x:c>
      <x:c r="C4267" s="21" t="str">
        <x:v>artifact</x:v>
      </x:c>
      <x:c r="D4267" s="21" t="str">
        <x:v>artifact 1609 eligibility equation</x:v>
      </x:c>
      <x:c r="E4267" s="21" t="n">
        <x:f>IF(ABS('Artifact Ledger'!P1615-IF(AND('Artifact Ledger'!L1615=1,'Artifact Ledger'!M1615=1,'Artifact Ledger'!N1615=1,'Artifact Ledger'!O1615&gt;='Artifact Ledger'!G1615),'Artifact Ledger'!K1615,0))&lt;0.000001,1,0)</x:f>
        <x:v>1</x:v>
      </x:c>
      <x:c r="F4267" s="21" t="n">
        <x:v>1</x:v>
      </x:c>
      <x:c r="G4267" s="23" t="str">
        <x:f>IF(E4267=F4267,"PASS","FAIL")</x:f>
        <x:v>PASS</x:v>
      </x:c>
    </x:row>
    <x:row r="4268">
      <x:c r="B4268" s="21" t="str">
        <x:v>A04262</x:v>
      </x:c>
      <x:c r="C4268" s="21" t="str">
        <x:v>artifact</x:v>
      </x:c>
      <x:c r="D4268" s="21" t="str">
        <x:v>artifact 1609 planning state</x:v>
      </x:c>
      <x:c r="E4268" s="21" t="n">
        <x:f>IF(AND('Artifact Ledger'!Q1615="OPEN",'Artifact Ledger'!R1615="HOLD"),1,0)</x:f>
        <x:v>1</x:v>
      </x:c>
      <x:c r="F4268" s="21" t="n">
        <x:v>1</x:v>
      </x:c>
      <x:c r="G4268" s="23" t="str">
        <x:f>IF(E4268=F4268,"PASS","FAIL")</x:f>
        <x:v>PASS</x:v>
      </x:c>
    </x:row>
    <x:row r="4269">
      <x:c r="B4269" s="21" t="str">
        <x:v>A04263</x:v>
      </x:c>
      <x:c r="C4269" s="21" t="str">
        <x:v>artifact</x:v>
      </x:c>
      <x:c r="D4269" s="21" t="str">
        <x:v>artifact 1610 eligibility equation</x:v>
      </x:c>
      <x:c r="E4269" s="21" t="n">
        <x:f>IF(ABS('Artifact Ledger'!P1616-IF(AND('Artifact Ledger'!L1616=1,'Artifact Ledger'!M1616=1,'Artifact Ledger'!N1616=1,'Artifact Ledger'!O1616&gt;='Artifact Ledger'!G1616),'Artifact Ledger'!K1616,0))&lt;0.000001,1,0)</x:f>
        <x:v>1</x:v>
      </x:c>
      <x:c r="F4269" s="21" t="n">
        <x:v>1</x:v>
      </x:c>
      <x:c r="G4269" s="23" t="str">
        <x:f>IF(E4269=F4269,"PASS","FAIL")</x:f>
        <x:v>PASS</x:v>
      </x:c>
    </x:row>
    <x:row r="4270">
      <x:c r="B4270" s="21" t="str">
        <x:v>A04264</x:v>
      </x:c>
      <x:c r="C4270" s="21" t="str">
        <x:v>artifact</x:v>
      </x:c>
      <x:c r="D4270" s="21" t="str">
        <x:v>artifact 1610 planning state</x:v>
      </x:c>
      <x:c r="E4270" s="21" t="n">
        <x:f>IF(AND('Artifact Ledger'!Q1616="OPEN",'Artifact Ledger'!R1616="HOLD"),1,0)</x:f>
        <x:v>1</x:v>
      </x:c>
      <x:c r="F4270" s="21" t="n">
        <x:v>1</x:v>
      </x:c>
      <x:c r="G4270" s="23" t="str">
        <x:f>IF(E4270=F4270,"PASS","FAIL")</x:f>
        <x:v>PASS</x:v>
      </x:c>
    </x:row>
    <x:row r="4271">
      <x:c r="B4271" s="21" t="str">
        <x:v>A04265</x:v>
      </x:c>
      <x:c r="C4271" s="21" t="str">
        <x:v>artifact</x:v>
      </x:c>
      <x:c r="D4271" s="21" t="str">
        <x:v>artifact 1611 eligibility equation</x:v>
      </x:c>
      <x:c r="E4271" s="21" t="n">
        <x:f>IF(ABS('Artifact Ledger'!P1617-IF(AND('Artifact Ledger'!L1617=1,'Artifact Ledger'!M1617=1,'Artifact Ledger'!N1617=1,'Artifact Ledger'!O1617&gt;='Artifact Ledger'!G1617),'Artifact Ledger'!K1617,0))&lt;0.000001,1,0)</x:f>
        <x:v>1</x:v>
      </x:c>
      <x:c r="F4271" s="21" t="n">
        <x:v>1</x:v>
      </x:c>
      <x:c r="G4271" s="23" t="str">
        <x:f>IF(E4271=F4271,"PASS","FAIL")</x:f>
        <x:v>PASS</x:v>
      </x:c>
    </x:row>
    <x:row r="4272">
      <x:c r="B4272" s="21" t="str">
        <x:v>A04266</x:v>
      </x:c>
      <x:c r="C4272" s="21" t="str">
        <x:v>artifact</x:v>
      </x:c>
      <x:c r="D4272" s="21" t="str">
        <x:v>artifact 1611 planning state</x:v>
      </x:c>
      <x:c r="E4272" s="21" t="n">
        <x:f>IF(AND('Artifact Ledger'!Q1617="OPEN",'Artifact Ledger'!R1617="HOLD"),1,0)</x:f>
        <x:v>1</x:v>
      </x:c>
      <x:c r="F4272" s="21" t="n">
        <x:v>1</x:v>
      </x:c>
      <x:c r="G4272" s="23" t="str">
        <x:f>IF(E4272=F4272,"PASS","FAIL")</x:f>
        <x:v>PASS</x:v>
      </x:c>
    </x:row>
    <x:row r="4273">
      <x:c r="B4273" s="21" t="str">
        <x:v>A04267</x:v>
      </x:c>
      <x:c r="C4273" s="21" t="str">
        <x:v>artifact</x:v>
      </x:c>
      <x:c r="D4273" s="21" t="str">
        <x:v>artifact 1612 eligibility equation</x:v>
      </x:c>
      <x:c r="E4273" s="21" t="n">
        <x:f>IF(ABS('Artifact Ledger'!P1618-IF(AND('Artifact Ledger'!L1618=1,'Artifact Ledger'!M1618=1,'Artifact Ledger'!N1618=1,'Artifact Ledger'!O1618&gt;='Artifact Ledger'!G1618),'Artifact Ledger'!K1618,0))&lt;0.000001,1,0)</x:f>
        <x:v>1</x:v>
      </x:c>
      <x:c r="F4273" s="21" t="n">
        <x:v>1</x:v>
      </x:c>
      <x:c r="G4273" s="23" t="str">
        <x:f>IF(E4273=F4273,"PASS","FAIL")</x:f>
        <x:v>PASS</x:v>
      </x:c>
    </x:row>
    <x:row r="4274">
      <x:c r="B4274" s="21" t="str">
        <x:v>A04268</x:v>
      </x:c>
      <x:c r="C4274" s="21" t="str">
        <x:v>artifact</x:v>
      </x:c>
      <x:c r="D4274" s="21" t="str">
        <x:v>artifact 1612 planning state</x:v>
      </x:c>
      <x:c r="E4274" s="21" t="n">
        <x:f>IF(AND('Artifact Ledger'!Q1618="OPEN",'Artifact Ledger'!R1618="HOLD"),1,0)</x:f>
        <x:v>1</x:v>
      </x:c>
      <x:c r="F4274" s="21" t="n">
        <x:v>1</x:v>
      </x:c>
      <x:c r="G4274" s="23" t="str">
        <x:f>IF(E4274=F4274,"PASS","FAIL")</x:f>
        <x:v>PASS</x:v>
      </x:c>
    </x:row>
    <x:row r="4275">
      <x:c r="B4275" s="21" t="str">
        <x:v>A04269</x:v>
      </x:c>
      <x:c r="C4275" s="21" t="str">
        <x:v>artifact</x:v>
      </x:c>
      <x:c r="D4275" s="21" t="str">
        <x:v>artifact 1613 eligibility equation</x:v>
      </x:c>
      <x:c r="E4275" s="21" t="n">
        <x:f>IF(ABS('Artifact Ledger'!P1619-IF(AND('Artifact Ledger'!L1619=1,'Artifact Ledger'!M1619=1,'Artifact Ledger'!N1619=1,'Artifact Ledger'!O1619&gt;='Artifact Ledger'!G1619),'Artifact Ledger'!K1619,0))&lt;0.000001,1,0)</x:f>
        <x:v>1</x:v>
      </x:c>
      <x:c r="F4275" s="21" t="n">
        <x:v>1</x:v>
      </x:c>
      <x:c r="G4275" s="23" t="str">
        <x:f>IF(E4275=F4275,"PASS","FAIL")</x:f>
        <x:v>PASS</x:v>
      </x:c>
    </x:row>
    <x:row r="4276">
      <x:c r="B4276" s="21" t="str">
        <x:v>A04270</x:v>
      </x:c>
      <x:c r="C4276" s="21" t="str">
        <x:v>artifact</x:v>
      </x:c>
      <x:c r="D4276" s="21" t="str">
        <x:v>artifact 1613 planning state</x:v>
      </x:c>
      <x:c r="E4276" s="21" t="n">
        <x:f>IF(AND('Artifact Ledger'!Q1619="OPEN",'Artifact Ledger'!R1619="HOLD"),1,0)</x:f>
        <x:v>1</x:v>
      </x:c>
      <x:c r="F4276" s="21" t="n">
        <x:v>1</x:v>
      </x:c>
      <x:c r="G4276" s="23" t="str">
        <x:f>IF(E4276=F4276,"PASS","FAIL")</x:f>
        <x:v>PASS</x:v>
      </x:c>
    </x:row>
    <x:row r="4277">
      <x:c r="B4277" s="21" t="str">
        <x:v>A04271</x:v>
      </x:c>
      <x:c r="C4277" s="21" t="str">
        <x:v>artifact</x:v>
      </x:c>
      <x:c r="D4277" s="21" t="str">
        <x:v>artifact 1614 eligibility equation</x:v>
      </x:c>
      <x:c r="E4277" s="21" t="n">
        <x:f>IF(ABS('Artifact Ledger'!P1620-IF(AND('Artifact Ledger'!L1620=1,'Artifact Ledger'!M1620=1,'Artifact Ledger'!N1620=1,'Artifact Ledger'!O1620&gt;='Artifact Ledger'!G1620),'Artifact Ledger'!K1620,0))&lt;0.000001,1,0)</x:f>
        <x:v>1</x:v>
      </x:c>
      <x:c r="F4277" s="21" t="n">
        <x:v>1</x:v>
      </x:c>
      <x:c r="G4277" s="23" t="str">
        <x:f>IF(E4277=F4277,"PASS","FAIL")</x:f>
        <x:v>PASS</x:v>
      </x:c>
    </x:row>
    <x:row r="4278">
      <x:c r="B4278" s="21" t="str">
        <x:v>A04272</x:v>
      </x:c>
      <x:c r="C4278" s="21" t="str">
        <x:v>artifact</x:v>
      </x:c>
      <x:c r="D4278" s="21" t="str">
        <x:v>artifact 1614 planning state</x:v>
      </x:c>
      <x:c r="E4278" s="21" t="n">
        <x:f>IF(AND('Artifact Ledger'!Q1620="OPEN",'Artifact Ledger'!R1620="HOLD"),1,0)</x:f>
        <x:v>1</x:v>
      </x:c>
      <x:c r="F4278" s="21" t="n">
        <x:v>1</x:v>
      </x:c>
      <x:c r="G4278" s="23" t="str">
        <x:f>IF(E4278=F4278,"PASS","FAIL")</x:f>
        <x:v>PASS</x:v>
      </x:c>
    </x:row>
    <x:row r="4279">
      <x:c r="B4279" s="21" t="str">
        <x:v>A04273</x:v>
      </x:c>
      <x:c r="C4279" s="21" t="str">
        <x:v>artifact</x:v>
      </x:c>
      <x:c r="D4279" s="21" t="str">
        <x:v>artifact 1615 eligibility equation</x:v>
      </x:c>
      <x:c r="E4279" s="21" t="n">
        <x:f>IF(ABS('Artifact Ledger'!P1621-IF(AND('Artifact Ledger'!L1621=1,'Artifact Ledger'!M1621=1,'Artifact Ledger'!N1621=1,'Artifact Ledger'!O1621&gt;='Artifact Ledger'!G1621),'Artifact Ledger'!K1621,0))&lt;0.000001,1,0)</x:f>
        <x:v>1</x:v>
      </x:c>
      <x:c r="F4279" s="21" t="n">
        <x:v>1</x:v>
      </x:c>
      <x:c r="G4279" s="23" t="str">
        <x:f>IF(E4279=F4279,"PASS","FAIL")</x:f>
        <x:v>PASS</x:v>
      </x:c>
    </x:row>
    <x:row r="4280">
      <x:c r="B4280" s="21" t="str">
        <x:v>A04274</x:v>
      </x:c>
      <x:c r="C4280" s="21" t="str">
        <x:v>artifact</x:v>
      </x:c>
      <x:c r="D4280" s="21" t="str">
        <x:v>artifact 1615 planning state</x:v>
      </x:c>
      <x:c r="E4280" s="21" t="n">
        <x:f>IF(AND('Artifact Ledger'!Q1621="OPEN",'Artifact Ledger'!R1621="HOLD"),1,0)</x:f>
        <x:v>1</x:v>
      </x:c>
      <x:c r="F4280" s="21" t="n">
        <x:v>1</x:v>
      </x:c>
      <x:c r="G4280" s="23" t="str">
        <x:f>IF(E4280=F4280,"PASS","FAIL")</x:f>
        <x:v>PASS</x:v>
      </x:c>
    </x:row>
    <x:row r="4281">
      <x:c r="B4281" s="21" t="str">
        <x:v>A04275</x:v>
      </x:c>
      <x:c r="C4281" s="21" t="str">
        <x:v>artifact</x:v>
      </x:c>
      <x:c r="D4281" s="21" t="str">
        <x:v>artifact 1616 eligibility equation</x:v>
      </x:c>
      <x:c r="E4281" s="21" t="n">
        <x:f>IF(ABS('Artifact Ledger'!P1622-IF(AND('Artifact Ledger'!L1622=1,'Artifact Ledger'!M1622=1,'Artifact Ledger'!N1622=1,'Artifact Ledger'!O1622&gt;='Artifact Ledger'!G1622),'Artifact Ledger'!K1622,0))&lt;0.000001,1,0)</x:f>
        <x:v>1</x:v>
      </x:c>
      <x:c r="F4281" s="21" t="n">
        <x:v>1</x:v>
      </x:c>
      <x:c r="G4281" s="23" t="str">
        <x:f>IF(E4281=F4281,"PASS","FAIL")</x:f>
        <x:v>PASS</x:v>
      </x:c>
    </x:row>
    <x:row r="4282">
      <x:c r="B4282" s="21" t="str">
        <x:v>A04276</x:v>
      </x:c>
      <x:c r="C4282" s="21" t="str">
        <x:v>artifact</x:v>
      </x:c>
      <x:c r="D4282" s="21" t="str">
        <x:v>artifact 1616 planning state</x:v>
      </x:c>
      <x:c r="E4282" s="21" t="n">
        <x:f>IF(AND('Artifact Ledger'!Q1622="OPEN",'Artifact Ledger'!R1622="HOLD"),1,0)</x:f>
        <x:v>1</x:v>
      </x:c>
      <x:c r="F4282" s="21" t="n">
        <x:v>1</x:v>
      </x:c>
      <x:c r="G4282" s="23" t="str">
        <x:f>IF(E4282=F4282,"PASS","FAIL")</x:f>
        <x:v>PASS</x:v>
      </x:c>
    </x:row>
    <x:row r="4283">
      <x:c r="B4283" s="21" t="str">
        <x:v>A04277</x:v>
      </x:c>
      <x:c r="C4283" s="21" t="str">
        <x:v>artifact</x:v>
      </x:c>
      <x:c r="D4283" s="21" t="str">
        <x:v>artifact 1617 eligibility equation</x:v>
      </x:c>
      <x:c r="E4283" s="21" t="n">
        <x:f>IF(ABS('Artifact Ledger'!P1623-IF(AND('Artifact Ledger'!L1623=1,'Artifact Ledger'!M1623=1,'Artifact Ledger'!N1623=1,'Artifact Ledger'!O1623&gt;='Artifact Ledger'!G1623),'Artifact Ledger'!K1623,0))&lt;0.000001,1,0)</x:f>
        <x:v>1</x:v>
      </x:c>
      <x:c r="F4283" s="21" t="n">
        <x:v>1</x:v>
      </x:c>
      <x:c r="G4283" s="23" t="str">
        <x:f>IF(E4283=F4283,"PASS","FAIL")</x:f>
        <x:v>PASS</x:v>
      </x:c>
    </x:row>
    <x:row r="4284">
      <x:c r="B4284" s="21" t="str">
        <x:v>A04278</x:v>
      </x:c>
      <x:c r="C4284" s="21" t="str">
        <x:v>artifact</x:v>
      </x:c>
      <x:c r="D4284" s="21" t="str">
        <x:v>artifact 1617 planning state</x:v>
      </x:c>
      <x:c r="E4284" s="21" t="n">
        <x:f>IF(AND('Artifact Ledger'!Q1623="OPEN",'Artifact Ledger'!R1623="HOLD"),1,0)</x:f>
        <x:v>1</x:v>
      </x:c>
      <x:c r="F4284" s="21" t="n">
        <x:v>1</x:v>
      </x:c>
      <x:c r="G4284" s="23" t="str">
        <x:f>IF(E4284=F4284,"PASS","FAIL")</x:f>
        <x:v>PASS</x:v>
      </x:c>
    </x:row>
    <x:row r="4285">
      <x:c r="B4285" s="21" t="str">
        <x:v>A04279</x:v>
      </x:c>
      <x:c r="C4285" s="21" t="str">
        <x:v>artifact</x:v>
      </x:c>
      <x:c r="D4285" s="21" t="str">
        <x:v>artifact 1618 eligibility equation</x:v>
      </x:c>
      <x:c r="E4285" s="21" t="n">
        <x:f>IF(ABS('Artifact Ledger'!P1624-IF(AND('Artifact Ledger'!L1624=1,'Artifact Ledger'!M1624=1,'Artifact Ledger'!N1624=1,'Artifact Ledger'!O1624&gt;='Artifact Ledger'!G1624),'Artifact Ledger'!K1624,0))&lt;0.000001,1,0)</x:f>
        <x:v>1</x:v>
      </x:c>
      <x:c r="F4285" s="21" t="n">
        <x:v>1</x:v>
      </x:c>
      <x:c r="G4285" s="23" t="str">
        <x:f>IF(E4285=F4285,"PASS","FAIL")</x:f>
        <x:v>PASS</x:v>
      </x:c>
    </x:row>
    <x:row r="4286">
      <x:c r="B4286" s="21" t="str">
        <x:v>A04280</x:v>
      </x:c>
      <x:c r="C4286" s="21" t="str">
        <x:v>artifact</x:v>
      </x:c>
      <x:c r="D4286" s="21" t="str">
        <x:v>artifact 1618 planning state</x:v>
      </x:c>
      <x:c r="E4286" s="21" t="n">
        <x:f>IF(AND('Artifact Ledger'!Q1624="OPEN",'Artifact Ledger'!R1624="HOLD"),1,0)</x:f>
        <x:v>1</x:v>
      </x:c>
      <x:c r="F4286" s="21" t="n">
        <x:v>1</x:v>
      </x:c>
      <x:c r="G4286" s="23" t="str">
        <x:f>IF(E4286=F4286,"PASS","FAIL")</x:f>
        <x:v>PASS</x:v>
      </x:c>
    </x:row>
    <x:row r="4287">
      <x:c r="B4287" s="21" t="str">
        <x:v>A04281</x:v>
      </x:c>
      <x:c r="C4287" s="21" t="str">
        <x:v>artifact</x:v>
      </x:c>
      <x:c r="D4287" s="21" t="str">
        <x:v>artifact 1619 eligibility equation</x:v>
      </x:c>
      <x:c r="E4287" s="21" t="n">
        <x:f>IF(ABS('Artifact Ledger'!P1625-IF(AND('Artifact Ledger'!L1625=1,'Artifact Ledger'!M1625=1,'Artifact Ledger'!N1625=1,'Artifact Ledger'!O1625&gt;='Artifact Ledger'!G1625),'Artifact Ledger'!K1625,0))&lt;0.000001,1,0)</x:f>
        <x:v>1</x:v>
      </x:c>
      <x:c r="F4287" s="21" t="n">
        <x:v>1</x:v>
      </x:c>
      <x:c r="G4287" s="23" t="str">
        <x:f>IF(E4287=F4287,"PASS","FAIL")</x:f>
        <x:v>PASS</x:v>
      </x:c>
    </x:row>
    <x:row r="4288">
      <x:c r="B4288" s="21" t="str">
        <x:v>A04282</x:v>
      </x:c>
      <x:c r="C4288" s="21" t="str">
        <x:v>artifact</x:v>
      </x:c>
      <x:c r="D4288" s="21" t="str">
        <x:v>artifact 1619 planning state</x:v>
      </x:c>
      <x:c r="E4288" s="21" t="n">
        <x:f>IF(AND('Artifact Ledger'!Q1625="OPEN",'Artifact Ledger'!R1625="HOLD"),1,0)</x:f>
        <x:v>1</x:v>
      </x:c>
      <x:c r="F4288" s="21" t="n">
        <x:v>1</x:v>
      </x:c>
      <x:c r="G4288" s="23" t="str">
        <x:f>IF(E4288=F4288,"PASS","FAIL")</x:f>
        <x:v>PASS</x:v>
      </x:c>
    </x:row>
    <x:row r="4289">
      <x:c r="B4289" s="21" t="str">
        <x:v>A04283</x:v>
      </x:c>
      <x:c r="C4289" s="21" t="str">
        <x:v>artifact</x:v>
      </x:c>
      <x:c r="D4289" s="21" t="str">
        <x:v>artifact 1620 eligibility equation</x:v>
      </x:c>
      <x:c r="E4289" s="21" t="n">
        <x:f>IF(ABS('Artifact Ledger'!P1626-IF(AND('Artifact Ledger'!L1626=1,'Artifact Ledger'!M1626=1,'Artifact Ledger'!N1626=1,'Artifact Ledger'!O1626&gt;='Artifact Ledger'!G1626),'Artifact Ledger'!K1626,0))&lt;0.000001,1,0)</x:f>
        <x:v>1</x:v>
      </x:c>
      <x:c r="F4289" s="21" t="n">
        <x:v>1</x:v>
      </x:c>
      <x:c r="G4289" s="23" t="str">
        <x:f>IF(E4289=F4289,"PASS","FAIL")</x:f>
        <x:v>PASS</x:v>
      </x:c>
    </x:row>
    <x:row r="4290">
      <x:c r="B4290" s="21" t="str">
        <x:v>A04284</x:v>
      </x:c>
      <x:c r="C4290" s="21" t="str">
        <x:v>artifact</x:v>
      </x:c>
      <x:c r="D4290" s="21" t="str">
        <x:v>artifact 1620 planning state</x:v>
      </x:c>
      <x:c r="E4290" s="21" t="n">
        <x:f>IF(AND('Artifact Ledger'!Q1626="OPEN",'Artifact Ledger'!R1626="HOLD"),1,0)</x:f>
        <x:v>1</x:v>
      </x:c>
      <x:c r="F4290" s="21" t="n">
        <x:v>1</x:v>
      </x:c>
      <x:c r="G4290" s="23" t="str">
        <x:f>IF(E4290=F4290,"PASS","FAIL")</x:f>
        <x:v>PASS</x:v>
      </x:c>
    </x:row>
    <x:row r="4291">
      <x:c r="B4291" s="21" t="str">
        <x:v>A04285</x:v>
      </x:c>
      <x:c r="C4291" s="21" t="str">
        <x:v>artifact</x:v>
      </x:c>
      <x:c r="D4291" s="21" t="str">
        <x:v>artifact 1621 eligibility equation</x:v>
      </x:c>
      <x:c r="E4291" s="21" t="n">
        <x:f>IF(ABS('Artifact Ledger'!P1627-IF(AND('Artifact Ledger'!L1627=1,'Artifact Ledger'!M1627=1,'Artifact Ledger'!N1627=1,'Artifact Ledger'!O1627&gt;='Artifact Ledger'!G1627),'Artifact Ledger'!K1627,0))&lt;0.000001,1,0)</x:f>
        <x:v>1</x:v>
      </x:c>
      <x:c r="F4291" s="21" t="n">
        <x:v>1</x:v>
      </x:c>
      <x:c r="G4291" s="23" t="str">
        <x:f>IF(E4291=F4291,"PASS","FAIL")</x:f>
        <x:v>PASS</x:v>
      </x:c>
    </x:row>
    <x:row r="4292">
      <x:c r="B4292" s="21" t="str">
        <x:v>A04286</x:v>
      </x:c>
      <x:c r="C4292" s="21" t="str">
        <x:v>artifact</x:v>
      </x:c>
      <x:c r="D4292" s="21" t="str">
        <x:v>artifact 1621 planning state</x:v>
      </x:c>
      <x:c r="E4292" s="21" t="n">
        <x:f>IF(AND('Artifact Ledger'!Q1627="OPEN",'Artifact Ledger'!R1627="HOLD"),1,0)</x:f>
        <x:v>1</x:v>
      </x:c>
      <x:c r="F4292" s="21" t="n">
        <x:v>1</x:v>
      </x:c>
      <x:c r="G4292" s="23" t="str">
        <x:f>IF(E4292=F4292,"PASS","FAIL")</x:f>
        <x:v>PASS</x:v>
      </x:c>
    </x:row>
    <x:row r="4293">
      <x:c r="B4293" s="21" t="str">
        <x:v>A04287</x:v>
      </x:c>
      <x:c r="C4293" s="21" t="str">
        <x:v>artifact</x:v>
      </x:c>
      <x:c r="D4293" s="21" t="str">
        <x:v>artifact 1622 eligibility equation</x:v>
      </x:c>
      <x:c r="E4293" s="21" t="n">
        <x:f>IF(ABS('Artifact Ledger'!P1628-IF(AND('Artifact Ledger'!L1628=1,'Artifact Ledger'!M1628=1,'Artifact Ledger'!N1628=1,'Artifact Ledger'!O1628&gt;='Artifact Ledger'!G1628),'Artifact Ledger'!K1628,0))&lt;0.000001,1,0)</x:f>
        <x:v>1</x:v>
      </x:c>
      <x:c r="F4293" s="21" t="n">
        <x:v>1</x:v>
      </x:c>
      <x:c r="G4293" s="23" t="str">
        <x:f>IF(E4293=F4293,"PASS","FAIL")</x:f>
        <x:v>PASS</x:v>
      </x:c>
    </x:row>
    <x:row r="4294">
      <x:c r="B4294" s="21" t="str">
        <x:v>A04288</x:v>
      </x:c>
      <x:c r="C4294" s="21" t="str">
        <x:v>artifact</x:v>
      </x:c>
      <x:c r="D4294" s="21" t="str">
        <x:v>artifact 1622 planning state</x:v>
      </x:c>
      <x:c r="E4294" s="21" t="n">
        <x:f>IF(AND('Artifact Ledger'!Q1628="OPEN",'Artifact Ledger'!R1628="HOLD"),1,0)</x:f>
        <x:v>1</x:v>
      </x:c>
      <x:c r="F4294" s="21" t="n">
        <x:v>1</x:v>
      </x:c>
      <x:c r="G4294" s="23" t="str">
        <x:f>IF(E4294=F4294,"PASS","FAIL")</x:f>
        <x:v>PASS</x:v>
      </x:c>
    </x:row>
    <x:row r="4295">
      <x:c r="B4295" s="21" t="str">
        <x:v>A04289</x:v>
      </x:c>
      <x:c r="C4295" s="21" t="str">
        <x:v>artifact</x:v>
      </x:c>
      <x:c r="D4295" s="21" t="str">
        <x:v>artifact 1623 eligibility equation</x:v>
      </x:c>
      <x:c r="E4295" s="21" t="n">
        <x:f>IF(ABS('Artifact Ledger'!P1629-IF(AND('Artifact Ledger'!L1629=1,'Artifact Ledger'!M1629=1,'Artifact Ledger'!N1629=1,'Artifact Ledger'!O1629&gt;='Artifact Ledger'!G1629),'Artifact Ledger'!K1629,0))&lt;0.000001,1,0)</x:f>
        <x:v>1</x:v>
      </x:c>
      <x:c r="F4295" s="21" t="n">
        <x:v>1</x:v>
      </x:c>
      <x:c r="G4295" s="23" t="str">
        <x:f>IF(E4295=F4295,"PASS","FAIL")</x:f>
        <x:v>PASS</x:v>
      </x:c>
    </x:row>
    <x:row r="4296">
      <x:c r="B4296" s="21" t="str">
        <x:v>A04290</x:v>
      </x:c>
      <x:c r="C4296" s="21" t="str">
        <x:v>artifact</x:v>
      </x:c>
      <x:c r="D4296" s="21" t="str">
        <x:v>artifact 1623 planning state</x:v>
      </x:c>
      <x:c r="E4296" s="21" t="n">
        <x:f>IF(AND('Artifact Ledger'!Q1629="OPEN",'Artifact Ledger'!R1629="HOLD"),1,0)</x:f>
        <x:v>1</x:v>
      </x:c>
      <x:c r="F4296" s="21" t="n">
        <x:v>1</x:v>
      </x:c>
      <x:c r="G4296" s="23" t="str">
        <x:f>IF(E4296=F4296,"PASS","FAIL")</x:f>
        <x:v>PASS</x:v>
      </x:c>
    </x:row>
    <x:row r="4297">
      <x:c r="B4297" s="21" t="str">
        <x:v>A04291</x:v>
      </x:c>
      <x:c r="C4297" s="21" t="str">
        <x:v>artifact</x:v>
      </x:c>
      <x:c r="D4297" s="21" t="str">
        <x:v>artifact 1624 eligibility equation</x:v>
      </x:c>
      <x:c r="E4297" s="21" t="n">
        <x:f>IF(ABS('Artifact Ledger'!P1630-IF(AND('Artifact Ledger'!L1630=1,'Artifact Ledger'!M1630=1,'Artifact Ledger'!N1630=1,'Artifact Ledger'!O1630&gt;='Artifact Ledger'!G1630),'Artifact Ledger'!K1630,0))&lt;0.000001,1,0)</x:f>
        <x:v>1</x:v>
      </x:c>
      <x:c r="F4297" s="21" t="n">
        <x:v>1</x:v>
      </x:c>
      <x:c r="G4297" s="23" t="str">
        <x:f>IF(E4297=F4297,"PASS","FAIL")</x:f>
        <x:v>PASS</x:v>
      </x:c>
    </x:row>
    <x:row r="4298">
      <x:c r="B4298" s="21" t="str">
        <x:v>A04292</x:v>
      </x:c>
      <x:c r="C4298" s="21" t="str">
        <x:v>artifact</x:v>
      </x:c>
      <x:c r="D4298" s="21" t="str">
        <x:v>artifact 1624 planning state</x:v>
      </x:c>
      <x:c r="E4298" s="21" t="n">
        <x:f>IF(AND('Artifact Ledger'!Q1630="OPEN",'Artifact Ledger'!R1630="HOLD"),1,0)</x:f>
        <x:v>1</x:v>
      </x:c>
      <x:c r="F4298" s="21" t="n">
        <x:v>1</x:v>
      </x:c>
      <x:c r="G4298" s="23" t="str">
        <x:f>IF(E4298=F4298,"PASS","FAIL")</x:f>
        <x:v>PASS</x:v>
      </x:c>
    </x:row>
    <x:row r="4299">
      <x:c r="B4299" s="21" t="str">
        <x:v>A04293</x:v>
      </x:c>
      <x:c r="C4299" s="21" t="str">
        <x:v>artifact</x:v>
      </x:c>
      <x:c r="D4299" s="21" t="str">
        <x:v>artifact 1625 eligibility equation</x:v>
      </x:c>
      <x:c r="E4299" s="21" t="n">
        <x:f>IF(ABS('Artifact Ledger'!P1631-IF(AND('Artifact Ledger'!L1631=1,'Artifact Ledger'!M1631=1,'Artifact Ledger'!N1631=1,'Artifact Ledger'!O1631&gt;='Artifact Ledger'!G1631),'Artifact Ledger'!K1631,0))&lt;0.000001,1,0)</x:f>
        <x:v>1</x:v>
      </x:c>
      <x:c r="F4299" s="21" t="n">
        <x:v>1</x:v>
      </x:c>
      <x:c r="G4299" s="23" t="str">
        <x:f>IF(E4299=F4299,"PASS","FAIL")</x:f>
        <x:v>PASS</x:v>
      </x:c>
    </x:row>
    <x:row r="4300">
      <x:c r="B4300" s="21" t="str">
        <x:v>A04294</x:v>
      </x:c>
      <x:c r="C4300" s="21" t="str">
        <x:v>artifact</x:v>
      </x:c>
      <x:c r="D4300" s="21" t="str">
        <x:v>artifact 1625 planning state</x:v>
      </x:c>
      <x:c r="E4300" s="21" t="n">
        <x:f>IF(AND('Artifact Ledger'!Q1631="OPEN",'Artifact Ledger'!R1631="HOLD"),1,0)</x:f>
        <x:v>1</x:v>
      </x:c>
      <x:c r="F4300" s="21" t="n">
        <x:v>1</x:v>
      </x:c>
      <x:c r="G4300" s="23" t="str">
        <x:f>IF(E4300=F4300,"PASS","FAIL")</x:f>
        <x:v>PASS</x:v>
      </x:c>
    </x:row>
    <x:row r="4301">
      <x:c r="B4301" s="21" t="str">
        <x:v>A04295</x:v>
      </x:c>
      <x:c r="C4301" s="21" t="str">
        <x:v>artifact</x:v>
      </x:c>
      <x:c r="D4301" s="21" t="str">
        <x:v>artifact 1626 eligibility equation</x:v>
      </x:c>
      <x:c r="E4301" s="21" t="n">
        <x:f>IF(ABS('Artifact Ledger'!P1632-IF(AND('Artifact Ledger'!L1632=1,'Artifact Ledger'!M1632=1,'Artifact Ledger'!N1632=1,'Artifact Ledger'!O1632&gt;='Artifact Ledger'!G1632),'Artifact Ledger'!K1632,0))&lt;0.000001,1,0)</x:f>
        <x:v>1</x:v>
      </x:c>
      <x:c r="F4301" s="21" t="n">
        <x:v>1</x:v>
      </x:c>
      <x:c r="G4301" s="23" t="str">
        <x:f>IF(E4301=F4301,"PASS","FAIL")</x:f>
        <x:v>PASS</x:v>
      </x:c>
    </x:row>
    <x:row r="4302">
      <x:c r="B4302" s="21" t="str">
        <x:v>A04296</x:v>
      </x:c>
      <x:c r="C4302" s="21" t="str">
        <x:v>artifact</x:v>
      </x:c>
      <x:c r="D4302" s="21" t="str">
        <x:v>artifact 1626 planning state</x:v>
      </x:c>
      <x:c r="E4302" s="21" t="n">
        <x:f>IF(AND('Artifact Ledger'!Q1632="OPEN",'Artifact Ledger'!R1632="HOLD"),1,0)</x:f>
        <x:v>1</x:v>
      </x:c>
      <x:c r="F4302" s="21" t="n">
        <x:v>1</x:v>
      </x:c>
      <x:c r="G4302" s="23" t="str">
        <x:f>IF(E4302=F4302,"PASS","FAIL")</x:f>
        <x:v>PASS</x:v>
      </x:c>
    </x:row>
    <x:row r="4303">
      <x:c r="B4303" s="21" t="str">
        <x:v>A04297</x:v>
      </x:c>
      <x:c r="C4303" s="21" t="str">
        <x:v>artifact</x:v>
      </x:c>
      <x:c r="D4303" s="21" t="str">
        <x:v>artifact 1627 eligibility equation</x:v>
      </x:c>
      <x:c r="E4303" s="21" t="n">
        <x:f>IF(ABS('Artifact Ledger'!P1633-IF(AND('Artifact Ledger'!L1633=1,'Artifact Ledger'!M1633=1,'Artifact Ledger'!N1633=1,'Artifact Ledger'!O1633&gt;='Artifact Ledger'!G1633),'Artifact Ledger'!K1633,0))&lt;0.000001,1,0)</x:f>
        <x:v>1</x:v>
      </x:c>
      <x:c r="F4303" s="21" t="n">
        <x:v>1</x:v>
      </x:c>
      <x:c r="G4303" s="23" t="str">
        <x:f>IF(E4303=F4303,"PASS","FAIL")</x:f>
        <x:v>PASS</x:v>
      </x:c>
    </x:row>
    <x:row r="4304">
      <x:c r="B4304" s="21" t="str">
        <x:v>A04298</x:v>
      </x:c>
      <x:c r="C4304" s="21" t="str">
        <x:v>artifact</x:v>
      </x:c>
      <x:c r="D4304" s="21" t="str">
        <x:v>artifact 1627 planning state</x:v>
      </x:c>
      <x:c r="E4304" s="21" t="n">
        <x:f>IF(AND('Artifact Ledger'!Q1633="OPEN",'Artifact Ledger'!R1633="HOLD"),1,0)</x:f>
        <x:v>1</x:v>
      </x:c>
      <x:c r="F4304" s="21" t="n">
        <x:v>1</x:v>
      </x:c>
      <x:c r="G4304" s="23" t="str">
        <x:f>IF(E4304=F4304,"PASS","FAIL")</x:f>
        <x:v>PASS</x:v>
      </x:c>
    </x:row>
    <x:row r="4305">
      <x:c r="B4305" s="21" t="str">
        <x:v>A04299</x:v>
      </x:c>
      <x:c r="C4305" s="21" t="str">
        <x:v>artifact</x:v>
      </x:c>
      <x:c r="D4305" s="21" t="str">
        <x:v>artifact 1628 eligibility equation</x:v>
      </x:c>
      <x:c r="E4305" s="21" t="n">
        <x:f>IF(ABS('Artifact Ledger'!P1634-IF(AND('Artifact Ledger'!L1634=1,'Artifact Ledger'!M1634=1,'Artifact Ledger'!N1634=1,'Artifact Ledger'!O1634&gt;='Artifact Ledger'!G1634),'Artifact Ledger'!K1634,0))&lt;0.000001,1,0)</x:f>
        <x:v>1</x:v>
      </x:c>
      <x:c r="F4305" s="21" t="n">
        <x:v>1</x:v>
      </x:c>
      <x:c r="G4305" s="23" t="str">
        <x:f>IF(E4305=F4305,"PASS","FAIL")</x:f>
        <x:v>PASS</x:v>
      </x:c>
    </x:row>
    <x:row r="4306">
      <x:c r="B4306" s="21" t="str">
        <x:v>A04300</x:v>
      </x:c>
      <x:c r="C4306" s="21" t="str">
        <x:v>artifact</x:v>
      </x:c>
      <x:c r="D4306" s="21" t="str">
        <x:v>artifact 1628 planning state</x:v>
      </x:c>
      <x:c r="E4306" s="21" t="n">
        <x:f>IF(AND('Artifact Ledger'!Q1634="OPEN",'Artifact Ledger'!R1634="HOLD"),1,0)</x:f>
        <x:v>1</x:v>
      </x:c>
      <x:c r="F4306" s="21" t="n">
        <x:v>1</x:v>
      </x:c>
      <x:c r="G4306" s="23" t="str">
        <x:f>IF(E4306=F4306,"PASS","FAIL")</x:f>
        <x:v>PASS</x:v>
      </x:c>
    </x:row>
    <x:row r="4307">
      <x:c r="B4307" s="21" t="str">
        <x:v>A04301</x:v>
      </x:c>
      <x:c r="C4307" s="21" t="str">
        <x:v>artifact</x:v>
      </x:c>
      <x:c r="D4307" s="21" t="str">
        <x:v>artifact 1629 eligibility equation</x:v>
      </x:c>
      <x:c r="E4307" s="21" t="n">
        <x:f>IF(ABS('Artifact Ledger'!P1635-IF(AND('Artifact Ledger'!L1635=1,'Artifact Ledger'!M1635=1,'Artifact Ledger'!N1635=1,'Artifact Ledger'!O1635&gt;='Artifact Ledger'!G1635),'Artifact Ledger'!K1635,0))&lt;0.000001,1,0)</x:f>
        <x:v>1</x:v>
      </x:c>
      <x:c r="F4307" s="21" t="n">
        <x:v>1</x:v>
      </x:c>
      <x:c r="G4307" s="23" t="str">
        <x:f>IF(E4307=F4307,"PASS","FAIL")</x:f>
        <x:v>PASS</x:v>
      </x:c>
    </x:row>
    <x:row r="4308">
      <x:c r="B4308" s="21" t="str">
        <x:v>A04302</x:v>
      </x:c>
      <x:c r="C4308" s="21" t="str">
        <x:v>artifact</x:v>
      </x:c>
      <x:c r="D4308" s="21" t="str">
        <x:v>artifact 1629 planning state</x:v>
      </x:c>
      <x:c r="E4308" s="21" t="n">
        <x:f>IF(AND('Artifact Ledger'!Q1635="OPEN",'Artifact Ledger'!R1635="HOLD"),1,0)</x:f>
        <x:v>1</x:v>
      </x:c>
      <x:c r="F4308" s="21" t="n">
        <x:v>1</x:v>
      </x:c>
      <x:c r="G4308" s="23" t="str">
        <x:f>IF(E4308=F4308,"PASS","FAIL")</x:f>
        <x:v>PASS</x:v>
      </x:c>
    </x:row>
    <x:row r="4309">
      <x:c r="B4309" s="21" t="str">
        <x:v>A04303</x:v>
      </x:c>
      <x:c r="C4309" s="21" t="str">
        <x:v>artifact</x:v>
      </x:c>
      <x:c r="D4309" s="21" t="str">
        <x:v>artifact 1630 eligibility equation</x:v>
      </x:c>
      <x:c r="E4309" s="21" t="n">
        <x:f>IF(ABS('Artifact Ledger'!P1636-IF(AND('Artifact Ledger'!L1636=1,'Artifact Ledger'!M1636=1,'Artifact Ledger'!N1636=1,'Artifact Ledger'!O1636&gt;='Artifact Ledger'!G1636),'Artifact Ledger'!K1636,0))&lt;0.000001,1,0)</x:f>
        <x:v>1</x:v>
      </x:c>
      <x:c r="F4309" s="21" t="n">
        <x:v>1</x:v>
      </x:c>
      <x:c r="G4309" s="23" t="str">
        <x:f>IF(E4309=F4309,"PASS","FAIL")</x:f>
        <x:v>PASS</x:v>
      </x:c>
    </x:row>
    <x:row r="4310">
      <x:c r="B4310" s="21" t="str">
        <x:v>A04304</x:v>
      </x:c>
      <x:c r="C4310" s="21" t="str">
        <x:v>artifact</x:v>
      </x:c>
      <x:c r="D4310" s="21" t="str">
        <x:v>artifact 1630 planning state</x:v>
      </x:c>
      <x:c r="E4310" s="21" t="n">
        <x:f>IF(AND('Artifact Ledger'!Q1636="OPEN",'Artifact Ledger'!R1636="HOLD"),1,0)</x:f>
        <x:v>1</x:v>
      </x:c>
      <x:c r="F4310" s="21" t="n">
        <x:v>1</x:v>
      </x:c>
      <x:c r="G4310" s="23" t="str">
        <x:f>IF(E4310=F4310,"PASS","FAIL")</x:f>
        <x:v>PASS</x:v>
      </x:c>
    </x:row>
    <x:row r="4311">
      <x:c r="B4311" s="21" t="str">
        <x:v>A04305</x:v>
      </x:c>
      <x:c r="C4311" s="21" t="str">
        <x:v>artifact</x:v>
      </x:c>
      <x:c r="D4311" s="21" t="str">
        <x:v>artifact 1631 eligibility equation</x:v>
      </x:c>
      <x:c r="E4311" s="21" t="n">
        <x:f>IF(ABS('Artifact Ledger'!P1637-IF(AND('Artifact Ledger'!L1637=1,'Artifact Ledger'!M1637=1,'Artifact Ledger'!N1637=1,'Artifact Ledger'!O1637&gt;='Artifact Ledger'!G1637),'Artifact Ledger'!K1637,0))&lt;0.000001,1,0)</x:f>
        <x:v>1</x:v>
      </x:c>
      <x:c r="F4311" s="21" t="n">
        <x:v>1</x:v>
      </x:c>
      <x:c r="G4311" s="23" t="str">
        <x:f>IF(E4311=F4311,"PASS","FAIL")</x:f>
        <x:v>PASS</x:v>
      </x:c>
    </x:row>
    <x:row r="4312">
      <x:c r="B4312" s="21" t="str">
        <x:v>A04306</x:v>
      </x:c>
      <x:c r="C4312" s="21" t="str">
        <x:v>artifact</x:v>
      </x:c>
      <x:c r="D4312" s="21" t="str">
        <x:v>artifact 1631 planning state</x:v>
      </x:c>
      <x:c r="E4312" s="21" t="n">
        <x:f>IF(AND('Artifact Ledger'!Q1637="OPEN",'Artifact Ledger'!R1637="HOLD"),1,0)</x:f>
        <x:v>1</x:v>
      </x:c>
      <x:c r="F4312" s="21" t="n">
        <x:v>1</x:v>
      </x:c>
      <x:c r="G4312" s="23" t="str">
        <x:f>IF(E4312=F4312,"PASS","FAIL")</x:f>
        <x:v>PASS</x:v>
      </x:c>
    </x:row>
    <x:row r="4313">
      <x:c r="B4313" s="21" t="str">
        <x:v>A04307</x:v>
      </x:c>
      <x:c r="C4313" s="21" t="str">
        <x:v>artifact</x:v>
      </x:c>
      <x:c r="D4313" s="21" t="str">
        <x:v>artifact 1632 eligibility equation</x:v>
      </x:c>
      <x:c r="E4313" s="21" t="n">
        <x:f>IF(ABS('Artifact Ledger'!P1638-IF(AND('Artifact Ledger'!L1638=1,'Artifact Ledger'!M1638=1,'Artifact Ledger'!N1638=1,'Artifact Ledger'!O1638&gt;='Artifact Ledger'!G1638),'Artifact Ledger'!K1638,0))&lt;0.000001,1,0)</x:f>
        <x:v>1</x:v>
      </x:c>
      <x:c r="F4313" s="21" t="n">
        <x:v>1</x:v>
      </x:c>
      <x:c r="G4313" s="23" t="str">
        <x:f>IF(E4313=F4313,"PASS","FAIL")</x:f>
        <x:v>PASS</x:v>
      </x:c>
    </x:row>
    <x:row r="4314">
      <x:c r="B4314" s="21" t="str">
        <x:v>A04308</x:v>
      </x:c>
      <x:c r="C4314" s="21" t="str">
        <x:v>artifact</x:v>
      </x:c>
      <x:c r="D4314" s="21" t="str">
        <x:v>artifact 1632 planning state</x:v>
      </x:c>
      <x:c r="E4314" s="21" t="n">
        <x:f>IF(AND('Artifact Ledger'!Q1638="OPEN",'Artifact Ledger'!R1638="HOLD"),1,0)</x:f>
        <x:v>1</x:v>
      </x:c>
      <x:c r="F4314" s="21" t="n">
        <x:v>1</x:v>
      </x:c>
      <x:c r="G4314" s="23" t="str">
        <x:f>IF(E4314=F4314,"PASS","FAIL")</x:f>
        <x:v>PASS</x:v>
      </x:c>
    </x:row>
    <x:row r="4315">
      <x:c r="B4315" s="21" t="str">
        <x:v>A04309</x:v>
      </x:c>
      <x:c r="C4315" s="21" t="str">
        <x:v>artifact</x:v>
      </x:c>
      <x:c r="D4315" s="21" t="str">
        <x:v>artifact 1633 eligibility equation</x:v>
      </x:c>
      <x:c r="E4315" s="21" t="n">
        <x:f>IF(ABS('Artifact Ledger'!P1639-IF(AND('Artifact Ledger'!L1639=1,'Artifact Ledger'!M1639=1,'Artifact Ledger'!N1639=1,'Artifact Ledger'!O1639&gt;='Artifact Ledger'!G1639),'Artifact Ledger'!K1639,0))&lt;0.000001,1,0)</x:f>
        <x:v>1</x:v>
      </x:c>
      <x:c r="F4315" s="21" t="n">
        <x:v>1</x:v>
      </x:c>
      <x:c r="G4315" s="23" t="str">
        <x:f>IF(E4315=F4315,"PASS","FAIL")</x:f>
        <x:v>PASS</x:v>
      </x:c>
    </x:row>
    <x:row r="4316">
      <x:c r="B4316" s="21" t="str">
        <x:v>A04310</x:v>
      </x:c>
      <x:c r="C4316" s="21" t="str">
        <x:v>artifact</x:v>
      </x:c>
      <x:c r="D4316" s="21" t="str">
        <x:v>artifact 1633 planning state</x:v>
      </x:c>
      <x:c r="E4316" s="21" t="n">
        <x:f>IF(AND('Artifact Ledger'!Q1639="OPEN",'Artifact Ledger'!R1639="HOLD"),1,0)</x:f>
        <x:v>1</x:v>
      </x:c>
      <x:c r="F4316" s="21" t="n">
        <x:v>1</x:v>
      </x:c>
      <x:c r="G4316" s="23" t="str">
        <x:f>IF(E4316=F4316,"PASS","FAIL")</x:f>
        <x:v>PASS</x:v>
      </x:c>
    </x:row>
    <x:row r="4317">
      <x:c r="B4317" s="21" t="str">
        <x:v>A04311</x:v>
      </x:c>
      <x:c r="C4317" s="21" t="str">
        <x:v>artifact</x:v>
      </x:c>
      <x:c r="D4317" s="21" t="str">
        <x:v>artifact 1634 eligibility equation</x:v>
      </x:c>
      <x:c r="E4317" s="21" t="n">
        <x:f>IF(ABS('Artifact Ledger'!P1640-IF(AND('Artifact Ledger'!L1640=1,'Artifact Ledger'!M1640=1,'Artifact Ledger'!N1640=1,'Artifact Ledger'!O1640&gt;='Artifact Ledger'!G1640),'Artifact Ledger'!K1640,0))&lt;0.000001,1,0)</x:f>
        <x:v>1</x:v>
      </x:c>
      <x:c r="F4317" s="21" t="n">
        <x:v>1</x:v>
      </x:c>
      <x:c r="G4317" s="23" t="str">
        <x:f>IF(E4317=F4317,"PASS","FAIL")</x:f>
        <x:v>PASS</x:v>
      </x:c>
    </x:row>
    <x:row r="4318">
      <x:c r="B4318" s="21" t="str">
        <x:v>A04312</x:v>
      </x:c>
      <x:c r="C4318" s="21" t="str">
        <x:v>artifact</x:v>
      </x:c>
      <x:c r="D4318" s="21" t="str">
        <x:v>artifact 1634 planning state</x:v>
      </x:c>
      <x:c r="E4318" s="21" t="n">
        <x:f>IF(AND('Artifact Ledger'!Q1640="OPEN",'Artifact Ledger'!R1640="HOLD"),1,0)</x:f>
        <x:v>1</x:v>
      </x:c>
      <x:c r="F4318" s="21" t="n">
        <x:v>1</x:v>
      </x:c>
      <x:c r="G4318" s="23" t="str">
        <x:f>IF(E4318=F4318,"PASS","FAIL")</x:f>
        <x:v>PASS</x:v>
      </x:c>
    </x:row>
    <x:row r="4319">
      <x:c r="B4319" s="21" t="str">
        <x:v>A04313</x:v>
      </x:c>
      <x:c r="C4319" s="21" t="str">
        <x:v>artifact</x:v>
      </x:c>
      <x:c r="D4319" s="21" t="str">
        <x:v>artifact 1635 eligibility equation</x:v>
      </x:c>
      <x:c r="E4319" s="21" t="n">
        <x:f>IF(ABS('Artifact Ledger'!P1641-IF(AND('Artifact Ledger'!L1641=1,'Artifact Ledger'!M1641=1,'Artifact Ledger'!N1641=1,'Artifact Ledger'!O1641&gt;='Artifact Ledger'!G1641),'Artifact Ledger'!K1641,0))&lt;0.000001,1,0)</x:f>
        <x:v>1</x:v>
      </x:c>
      <x:c r="F4319" s="21" t="n">
        <x:v>1</x:v>
      </x:c>
      <x:c r="G4319" s="23" t="str">
        <x:f>IF(E4319=F4319,"PASS","FAIL")</x:f>
        <x:v>PASS</x:v>
      </x:c>
    </x:row>
    <x:row r="4320">
      <x:c r="B4320" s="21" t="str">
        <x:v>A04314</x:v>
      </x:c>
      <x:c r="C4320" s="21" t="str">
        <x:v>artifact</x:v>
      </x:c>
      <x:c r="D4320" s="21" t="str">
        <x:v>artifact 1635 planning state</x:v>
      </x:c>
      <x:c r="E4320" s="21" t="n">
        <x:f>IF(AND('Artifact Ledger'!Q1641="OPEN",'Artifact Ledger'!R1641="HOLD"),1,0)</x:f>
        <x:v>1</x:v>
      </x:c>
      <x:c r="F4320" s="21" t="n">
        <x:v>1</x:v>
      </x:c>
      <x:c r="G4320" s="23" t="str">
        <x:f>IF(E4320=F4320,"PASS","FAIL")</x:f>
        <x:v>PASS</x:v>
      </x:c>
    </x:row>
    <x:row r="4321">
      <x:c r="B4321" s="21" t="str">
        <x:v>A04315</x:v>
      </x:c>
      <x:c r="C4321" s="21" t="str">
        <x:v>artifact</x:v>
      </x:c>
      <x:c r="D4321" s="21" t="str">
        <x:v>artifact 1636 eligibility equation</x:v>
      </x:c>
      <x:c r="E4321" s="21" t="n">
        <x:f>IF(ABS('Artifact Ledger'!P1642-IF(AND('Artifact Ledger'!L1642=1,'Artifact Ledger'!M1642=1,'Artifact Ledger'!N1642=1,'Artifact Ledger'!O1642&gt;='Artifact Ledger'!G1642),'Artifact Ledger'!K1642,0))&lt;0.000001,1,0)</x:f>
        <x:v>1</x:v>
      </x:c>
      <x:c r="F4321" s="21" t="n">
        <x:v>1</x:v>
      </x:c>
      <x:c r="G4321" s="23" t="str">
        <x:f>IF(E4321=F4321,"PASS","FAIL")</x:f>
        <x:v>PASS</x:v>
      </x:c>
    </x:row>
    <x:row r="4322">
      <x:c r="B4322" s="21" t="str">
        <x:v>A04316</x:v>
      </x:c>
      <x:c r="C4322" s="21" t="str">
        <x:v>artifact</x:v>
      </x:c>
      <x:c r="D4322" s="21" t="str">
        <x:v>artifact 1636 planning state</x:v>
      </x:c>
      <x:c r="E4322" s="21" t="n">
        <x:f>IF(AND('Artifact Ledger'!Q1642="OPEN",'Artifact Ledger'!R1642="HOLD"),1,0)</x:f>
        <x:v>1</x:v>
      </x:c>
      <x:c r="F4322" s="21" t="n">
        <x:v>1</x:v>
      </x:c>
      <x:c r="G4322" s="23" t="str">
        <x:f>IF(E4322=F4322,"PASS","FAIL")</x:f>
        <x:v>PASS</x:v>
      </x:c>
    </x:row>
    <x:row r="4323">
      <x:c r="B4323" s="21" t="str">
        <x:v>A04317</x:v>
      </x:c>
      <x:c r="C4323" s="21" t="str">
        <x:v>artifact</x:v>
      </x:c>
      <x:c r="D4323" s="21" t="str">
        <x:v>artifact 1637 eligibility equation</x:v>
      </x:c>
      <x:c r="E4323" s="21" t="n">
        <x:f>IF(ABS('Artifact Ledger'!P1643-IF(AND('Artifact Ledger'!L1643=1,'Artifact Ledger'!M1643=1,'Artifact Ledger'!N1643=1,'Artifact Ledger'!O1643&gt;='Artifact Ledger'!G1643),'Artifact Ledger'!K1643,0))&lt;0.000001,1,0)</x:f>
        <x:v>1</x:v>
      </x:c>
      <x:c r="F4323" s="21" t="n">
        <x:v>1</x:v>
      </x:c>
      <x:c r="G4323" s="23" t="str">
        <x:f>IF(E4323=F4323,"PASS","FAIL")</x:f>
        <x:v>PASS</x:v>
      </x:c>
    </x:row>
    <x:row r="4324">
      <x:c r="B4324" s="21" t="str">
        <x:v>A04318</x:v>
      </x:c>
      <x:c r="C4324" s="21" t="str">
        <x:v>artifact</x:v>
      </x:c>
      <x:c r="D4324" s="21" t="str">
        <x:v>artifact 1637 planning state</x:v>
      </x:c>
      <x:c r="E4324" s="21" t="n">
        <x:f>IF(AND('Artifact Ledger'!Q1643="OPEN",'Artifact Ledger'!R1643="HOLD"),1,0)</x:f>
        <x:v>1</x:v>
      </x:c>
      <x:c r="F4324" s="21" t="n">
        <x:v>1</x:v>
      </x:c>
      <x:c r="G4324" s="23" t="str">
        <x:f>IF(E4324=F4324,"PASS","FAIL")</x:f>
        <x:v>PASS</x:v>
      </x:c>
    </x:row>
    <x:row r="4325">
      <x:c r="B4325" s="21" t="str">
        <x:v>A04319</x:v>
      </x:c>
      <x:c r="C4325" s="21" t="str">
        <x:v>artifact</x:v>
      </x:c>
      <x:c r="D4325" s="21" t="str">
        <x:v>artifact 1638 eligibility equation</x:v>
      </x:c>
      <x:c r="E4325" s="21" t="n">
        <x:f>IF(ABS('Artifact Ledger'!P1644-IF(AND('Artifact Ledger'!L1644=1,'Artifact Ledger'!M1644=1,'Artifact Ledger'!N1644=1,'Artifact Ledger'!O1644&gt;='Artifact Ledger'!G1644),'Artifact Ledger'!K1644,0))&lt;0.000001,1,0)</x:f>
        <x:v>1</x:v>
      </x:c>
      <x:c r="F4325" s="21" t="n">
        <x:v>1</x:v>
      </x:c>
      <x:c r="G4325" s="23" t="str">
        <x:f>IF(E4325=F4325,"PASS","FAIL")</x:f>
        <x:v>PASS</x:v>
      </x:c>
    </x:row>
    <x:row r="4326">
      <x:c r="B4326" s="21" t="str">
        <x:v>A04320</x:v>
      </x:c>
      <x:c r="C4326" s="21" t="str">
        <x:v>artifact</x:v>
      </x:c>
      <x:c r="D4326" s="21" t="str">
        <x:v>artifact 1638 planning state</x:v>
      </x:c>
      <x:c r="E4326" s="21" t="n">
        <x:f>IF(AND('Artifact Ledger'!Q1644="OPEN",'Artifact Ledger'!R1644="HOLD"),1,0)</x:f>
        <x:v>1</x:v>
      </x:c>
      <x:c r="F4326" s="21" t="n">
        <x:v>1</x:v>
      </x:c>
      <x:c r="G4326" s="23" t="str">
        <x:f>IF(E4326=F4326,"PASS","FAIL")</x:f>
        <x:v>PASS</x:v>
      </x:c>
    </x:row>
    <x:row r="4327">
      <x:c r="B4327" s="21" t="str">
        <x:v>A04321</x:v>
      </x:c>
      <x:c r="C4327" s="21" t="str">
        <x:v>artifact</x:v>
      </x:c>
      <x:c r="D4327" s="21" t="str">
        <x:v>artifact 1639 eligibility equation</x:v>
      </x:c>
      <x:c r="E4327" s="21" t="n">
        <x:f>IF(ABS('Artifact Ledger'!P1645-IF(AND('Artifact Ledger'!L1645=1,'Artifact Ledger'!M1645=1,'Artifact Ledger'!N1645=1,'Artifact Ledger'!O1645&gt;='Artifact Ledger'!G1645),'Artifact Ledger'!K1645,0))&lt;0.000001,1,0)</x:f>
        <x:v>1</x:v>
      </x:c>
      <x:c r="F4327" s="21" t="n">
        <x:v>1</x:v>
      </x:c>
      <x:c r="G4327" s="23" t="str">
        <x:f>IF(E4327=F4327,"PASS","FAIL")</x:f>
        <x:v>PASS</x:v>
      </x:c>
    </x:row>
    <x:row r="4328">
      <x:c r="B4328" s="21" t="str">
        <x:v>A04322</x:v>
      </x:c>
      <x:c r="C4328" s="21" t="str">
        <x:v>artifact</x:v>
      </x:c>
      <x:c r="D4328" s="21" t="str">
        <x:v>artifact 1639 planning state</x:v>
      </x:c>
      <x:c r="E4328" s="21" t="n">
        <x:f>IF(AND('Artifact Ledger'!Q1645="OPEN",'Artifact Ledger'!R1645="HOLD"),1,0)</x:f>
        <x:v>1</x:v>
      </x:c>
      <x:c r="F4328" s="21" t="n">
        <x:v>1</x:v>
      </x:c>
      <x:c r="G4328" s="23" t="str">
        <x:f>IF(E4328=F4328,"PASS","FAIL")</x:f>
        <x:v>PASS</x:v>
      </x:c>
    </x:row>
    <x:row r="4329">
      <x:c r="B4329" s="21" t="str">
        <x:v>A04323</x:v>
      </x:c>
      <x:c r="C4329" s="21" t="str">
        <x:v>artifact</x:v>
      </x:c>
      <x:c r="D4329" s="21" t="str">
        <x:v>artifact 1640 eligibility equation</x:v>
      </x:c>
      <x:c r="E4329" s="21" t="n">
        <x:f>IF(ABS('Artifact Ledger'!P1646-IF(AND('Artifact Ledger'!L1646=1,'Artifact Ledger'!M1646=1,'Artifact Ledger'!N1646=1,'Artifact Ledger'!O1646&gt;='Artifact Ledger'!G1646),'Artifact Ledger'!K1646,0))&lt;0.000001,1,0)</x:f>
        <x:v>1</x:v>
      </x:c>
      <x:c r="F4329" s="21" t="n">
        <x:v>1</x:v>
      </x:c>
      <x:c r="G4329" s="23" t="str">
        <x:f>IF(E4329=F4329,"PASS","FAIL")</x:f>
        <x:v>PASS</x:v>
      </x:c>
    </x:row>
    <x:row r="4330">
      <x:c r="B4330" s="21" t="str">
        <x:v>A04324</x:v>
      </x:c>
      <x:c r="C4330" s="21" t="str">
        <x:v>artifact</x:v>
      </x:c>
      <x:c r="D4330" s="21" t="str">
        <x:v>artifact 1640 planning state</x:v>
      </x:c>
      <x:c r="E4330" s="21" t="n">
        <x:f>IF(AND('Artifact Ledger'!Q1646="OPEN",'Artifact Ledger'!R1646="HOLD"),1,0)</x:f>
        <x:v>1</x:v>
      </x:c>
      <x:c r="F4330" s="21" t="n">
        <x:v>1</x:v>
      </x:c>
      <x:c r="G4330" s="23" t="str">
        <x:f>IF(E4330=F4330,"PASS","FAIL")</x:f>
        <x:v>PASS</x:v>
      </x:c>
    </x:row>
    <x:row r="4331">
      <x:c r="B4331" s="21" t="str">
        <x:v>A04325</x:v>
      </x:c>
      <x:c r="C4331" s="21" t="str">
        <x:v>artifact</x:v>
      </x:c>
      <x:c r="D4331" s="21" t="str">
        <x:v>artifact 1641 eligibility equation</x:v>
      </x:c>
      <x:c r="E4331" s="21" t="n">
        <x:f>IF(ABS('Artifact Ledger'!P1647-IF(AND('Artifact Ledger'!L1647=1,'Artifact Ledger'!M1647=1,'Artifact Ledger'!N1647=1,'Artifact Ledger'!O1647&gt;='Artifact Ledger'!G1647),'Artifact Ledger'!K1647,0))&lt;0.000001,1,0)</x:f>
        <x:v>1</x:v>
      </x:c>
      <x:c r="F4331" s="21" t="n">
        <x:v>1</x:v>
      </x:c>
      <x:c r="G4331" s="23" t="str">
        <x:f>IF(E4331=F4331,"PASS","FAIL")</x:f>
        <x:v>PASS</x:v>
      </x:c>
    </x:row>
    <x:row r="4332">
      <x:c r="B4332" s="21" t="str">
        <x:v>A04326</x:v>
      </x:c>
      <x:c r="C4332" s="21" t="str">
        <x:v>artifact</x:v>
      </x:c>
      <x:c r="D4332" s="21" t="str">
        <x:v>artifact 1641 planning state</x:v>
      </x:c>
      <x:c r="E4332" s="21" t="n">
        <x:f>IF(AND('Artifact Ledger'!Q1647="OPEN",'Artifact Ledger'!R1647="HOLD"),1,0)</x:f>
        <x:v>1</x:v>
      </x:c>
      <x:c r="F4332" s="21" t="n">
        <x:v>1</x:v>
      </x:c>
      <x:c r="G4332" s="23" t="str">
        <x:f>IF(E4332=F4332,"PASS","FAIL")</x:f>
        <x:v>PASS</x:v>
      </x:c>
    </x:row>
    <x:row r="4333">
      <x:c r="B4333" s="21" t="str">
        <x:v>A04327</x:v>
      </x:c>
      <x:c r="C4333" s="21" t="str">
        <x:v>artifact</x:v>
      </x:c>
      <x:c r="D4333" s="21" t="str">
        <x:v>artifact 1642 eligibility equation</x:v>
      </x:c>
      <x:c r="E4333" s="21" t="n">
        <x:f>IF(ABS('Artifact Ledger'!P1648-IF(AND('Artifact Ledger'!L1648=1,'Artifact Ledger'!M1648=1,'Artifact Ledger'!N1648=1,'Artifact Ledger'!O1648&gt;='Artifact Ledger'!G1648),'Artifact Ledger'!K1648,0))&lt;0.000001,1,0)</x:f>
        <x:v>1</x:v>
      </x:c>
      <x:c r="F4333" s="21" t="n">
        <x:v>1</x:v>
      </x:c>
      <x:c r="G4333" s="23" t="str">
        <x:f>IF(E4333=F4333,"PASS","FAIL")</x:f>
        <x:v>PASS</x:v>
      </x:c>
    </x:row>
    <x:row r="4334">
      <x:c r="B4334" s="21" t="str">
        <x:v>A04328</x:v>
      </x:c>
      <x:c r="C4334" s="21" t="str">
        <x:v>artifact</x:v>
      </x:c>
      <x:c r="D4334" s="21" t="str">
        <x:v>artifact 1642 planning state</x:v>
      </x:c>
      <x:c r="E4334" s="21" t="n">
        <x:f>IF(AND('Artifact Ledger'!Q1648="OPEN",'Artifact Ledger'!R1648="HOLD"),1,0)</x:f>
        <x:v>1</x:v>
      </x:c>
      <x:c r="F4334" s="21" t="n">
        <x:v>1</x:v>
      </x:c>
      <x:c r="G4334" s="23" t="str">
        <x:f>IF(E4334=F4334,"PASS","FAIL")</x:f>
        <x:v>PASS</x:v>
      </x:c>
    </x:row>
    <x:row r="4335">
      <x:c r="B4335" s="21" t="str">
        <x:v>A04329</x:v>
      </x:c>
      <x:c r="C4335" s="21" t="str">
        <x:v>artifact</x:v>
      </x:c>
      <x:c r="D4335" s="21" t="str">
        <x:v>artifact 1643 eligibility equation</x:v>
      </x:c>
      <x:c r="E4335" s="21" t="n">
        <x:f>IF(ABS('Artifact Ledger'!P1649-IF(AND('Artifact Ledger'!L1649=1,'Artifact Ledger'!M1649=1,'Artifact Ledger'!N1649=1,'Artifact Ledger'!O1649&gt;='Artifact Ledger'!G1649),'Artifact Ledger'!K1649,0))&lt;0.000001,1,0)</x:f>
        <x:v>1</x:v>
      </x:c>
      <x:c r="F4335" s="21" t="n">
        <x:v>1</x:v>
      </x:c>
      <x:c r="G4335" s="23" t="str">
        <x:f>IF(E4335=F4335,"PASS","FAIL")</x:f>
        <x:v>PASS</x:v>
      </x:c>
    </x:row>
    <x:row r="4336">
      <x:c r="B4336" s="21" t="str">
        <x:v>A04330</x:v>
      </x:c>
      <x:c r="C4336" s="21" t="str">
        <x:v>artifact</x:v>
      </x:c>
      <x:c r="D4336" s="21" t="str">
        <x:v>artifact 1643 planning state</x:v>
      </x:c>
      <x:c r="E4336" s="21" t="n">
        <x:f>IF(AND('Artifact Ledger'!Q1649="OPEN",'Artifact Ledger'!R1649="HOLD"),1,0)</x:f>
        <x:v>1</x:v>
      </x:c>
      <x:c r="F4336" s="21" t="n">
        <x:v>1</x:v>
      </x:c>
      <x:c r="G4336" s="23" t="str">
        <x:f>IF(E4336=F4336,"PASS","FAIL")</x:f>
        <x:v>PASS</x:v>
      </x:c>
    </x:row>
    <x:row r="4337">
      <x:c r="B4337" s="21" t="str">
        <x:v>A04331</x:v>
      </x:c>
      <x:c r="C4337" s="21" t="str">
        <x:v>artifact</x:v>
      </x:c>
      <x:c r="D4337" s="21" t="str">
        <x:v>artifact 1644 eligibility equation</x:v>
      </x:c>
      <x:c r="E4337" s="21" t="n">
        <x:f>IF(ABS('Artifact Ledger'!P1650-IF(AND('Artifact Ledger'!L1650=1,'Artifact Ledger'!M1650=1,'Artifact Ledger'!N1650=1,'Artifact Ledger'!O1650&gt;='Artifact Ledger'!G1650),'Artifact Ledger'!K1650,0))&lt;0.000001,1,0)</x:f>
        <x:v>1</x:v>
      </x:c>
      <x:c r="F4337" s="21" t="n">
        <x:v>1</x:v>
      </x:c>
      <x:c r="G4337" s="23" t="str">
        <x:f>IF(E4337=F4337,"PASS","FAIL")</x:f>
        <x:v>PASS</x:v>
      </x:c>
    </x:row>
    <x:row r="4338">
      <x:c r="B4338" s="21" t="str">
        <x:v>A04332</x:v>
      </x:c>
      <x:c r="C4338" s="21" t="str">
        <x:v>artifact</x:v>
      </x:c>
      <x:c r="D4338" s="21" t="str">
        <x:v>artifact 1644 planning state</x:v>
      </x:c>
      <x:c r="E4338" s="21" t="n">
        <x:f>IF(AND('Artifact Ledger'!Q1650="OPEN",'Artifact Ledger'!R1650="HOLD"),1,0)</x:f>
        <x:v>1</x:v>
      </x:c>
      <x:c r="F4338" s="21" t="n">
        <x:v>1</x:v>
      </x:c>
      <x:c r="G4338" s="23" t="str">
        <x:f>IF(E4338=F4338,"PASS","FAIL")</x:f>
        <x:v>PASS</x:v>
      </x:c>
    </x:row>
    <x:row r="4339">
      <x:c r="B4339" s="21" t="str">
        <x:v>A04333</x:v>
      </x:c>
      <x:c r="C4339" s="21" t="str">
        <x:v>artifact</x:v>
      </x:c>
      <x:c r="D4339" s="21" t="str">
        <x:v>artifact 1645 eligibility equation</x:v>
      </x:c>
      <x:c r="E4339" s="21" t="n">
        <x:f>IF(ABS('Artifact Ledger'!P1651-IF(AND('Artifact Ledger'!L1651=1,'Artifact Ledger'!M1651=1,'Artifact Ledger'!N1651=1,'Artifact Ledger'!O1651&gt;='Artifact Ledger'!G1651),'Artifact Ledger'!K1651,0))&lt;0.000001,1,0)</x:f>
        <x:v>1</x:v>
      </x:c>
      <x:c r="F4339" s="21" t="n">
        <x:v>1</x:v>
      </x:c>
      <x:c r="G4339" s="23" t="str">
        <x:f>IF(E4339=F4339,"PASS","FAIL")</x:f>
        <x:v>PASS</x:v>
      </x:c>
    </x:row>
    <x:row r="4340">
      <x:c r="B4340" s="21" t="str">
        <x:v>A04334</x:v>
      </x:c>
      <x:c r="C4340" s="21" t="str">
        <x:v>artifact</x:v>
      </x:c>
      <x:c r="D4340" s="21" t="str">
        <x:v>artifact 1645 planning state</x:v>
      </x:c>
      <x:c r="E4340" s="21" t="n">
        <x:f>IF(AND('Artifact Ledger'!Q1651="OPEN",'Artifact Ledger'!R1651="HOLD"),1,0)</x:f>
        <x:v>1</x:v>
      </x:c>
      <x:c r="F4340" s="21" t="n">
        <x:v>1</x:v>
      </x:c>
      <x:c r="G4340" s="23" t="str">
        <x:f>IF(E4340=F4340,"PASS","FAIL")</x:f>
        <x:v>PASS</x:v>
      </x:c>
    </x:row>
    <x:row r="4341">
      <x:c r="B4341" s="21" t="str">
        <x:v>A04335</x:v>
      </x:c>
      <x:c r="C4341" s="21" t="str">
        <x:v>artifact</x:v>
      </x:c>
      <x:c r="D4341" s="21" t="str">
        <x:v>artifact 1646 eligibility equation</x:v>
      </x:c>
      <x:c r="E4341" s="21" t="n">
        <x:f>IF(ABS('Artifact Ledger'!P1652-IF(AND('Artifact Ledger'!L1652=1,'Artifact Ledger'!M1652=1,'Artifact Ledger'!N1652=1,'Artifact Ledger'!O1652&gt;='Artifact Ledger'!G1652),'Artifact Ledger'!K1652,0))&lt;0.000001,1,0)</x:f>
        <x:v>1</x:v>
      </x:c>
      <x:c r="F4341" s="21" t="n">
        <x:v>1</x:v>
      </x:c>
      <x:c r="G4341" s="23" t="str">
        <x:f>IF(E4341=F4341,"PASS","FAIL")</x:f>
        <x:v>PASS</x:v>
      </x:c>
    </x:row>
    <x:row r="4342">
      <x:c r="B4342" s="21" t="str">
        <x:v>A04336</x:v>
      </x:c>
      <x:c r="C4342" s="21" t="str">
        <x:v>artifact</x:v>
      </x:c>
      <x:c r="D4342" s="21" t="str">
        <x:v>artifact 1646 planning state</x:v>
      </x:c>
      <x:c r="E4342" s="21" t="n">
        <x:f>IF(AND('Artifact Ledger'!Q1652="OPEN",'Artifact Ledger'!R1652="HOLD"),1,0)</x:f>
        <x:v>1</x:v>
      </x:c>
      <x:c r="F4342" s="21" t="n">
        <x:v>1</x:v>
      </x:c>
      <x:c r="G4342" s="23" t="str">
        <x:f>IF(E4342=F4342,"PASS","FAIL")</x:f>
        <x:v>PASS</x:v>
      </x:c>
    </x:row>
    <x:row r="4343">
      <x:c r="B4343" s="21" t="str">
        <x:v>A04337</x:v>
      </x:c>
      <x:c r="C4343" s="21" t="str">
        <x:v>artifact</x:v>
      </x:c>
      <x:c r="D4343" s="21" t="str">
        <x:v>artifact 1647 eligibility equation</x:v>
      </x:c>
      <x:c r="E4343" s="21" t="n">
        <x:f>IF(ABS('Artifact Ledger'!P1653-IF(AND('Artifact Ledger'!L1653=1,'Artifact Ledger'!M1653=1,'Artifact Ledger'!N1653=1,'Artifact Ledger'!O1653&gt;='Artifact Ledger'!G1653),'Artifact Ledger'!K1653,0))&lt;0.000001,1,0)</x:f>
        <x:v>1</x:v>
      </x:c>
      <x:c r="F4343" s="21" t="n">
        <x:v>1</x:v>
      </x:c>
      <x:c r="G4343" s="23" t="str">
        <x:f>IF(E4343=F4343,"PASS","FAIL")</x:f>
        <x:v>PASS</x:v>
      </x:c>
    </x:row>
    <x:row r="4344">
      <x:c r="B4344" s="21" t="str">
        <x:v>A04338</x:v>
      </x:c>
      <x:c r="C4344" s="21" t="str">
        <x:v>artifact</x:v>
      </x:c>
      <x:c r="D4344" s="21" t="str">
        <x:v>artifact 1647 planning state</x:v>
      </x:c>
      <x:c r="E4344" s="21" t="n">
        <x:f>IF(AND('Artifact Ledger'!Q1653="OPEN",'Artifact Ledger'!R1653="HOLD"),1,0)</x:f>
        <x:v>1</x:v>
      </x:c>
      <x:c r="F4344" s="21" t="n">
        <x:v>1</x:v>
      </x:c>
      <x:c r="G4344" s="23" t="str">
        <x:f>IF(E4344=F4344,"PASS","FAIL")</x:f>
        <x:v>PASS</x:v>
      </x:c>
    </x:row>
    <x:row r="4345">
      <x:c r="B4345" s="21" t="str">
        <x:v>A04339</x:v>
      </x:c>
      <x:c r="C4345" s="21" t="str">
        <x:v>artifact</x:v>
      </x:c>
      <x:c r="D4345" s="21" t="str">
        <x:v>artifact 1648 eligibility equation</x:v>
      </x:c>
      <x:c r="E4345" s="21" t="n">
        <x:f>IF(ABS('Artifact Ledger'!P1654-IF(AND('Artifact Ledger'!L1654=1,'Artifact Ledger'!M1654=1,'Artifact Ledger'!N1654=1,'Artifact Ledger'!O1654&gt;='Artifact Ledger'!G1654),'Artifact Ledger'!K1654,0))&lt;0.000001,1,0)</x:f>
        <x:v>1</x:v>
      </x:c>
      <x:c r="F4345" s="21" t="n">
        <x:v>1</x:v>
      </x:c>
      <x:c r="G4345" s="23" t="str">
        <x:f>IF(E4345=F4345,"PASS","FAIL")</x:f>
        <x:v>PASS</x:v>
      </x:c>
    </x:row>
    <x:row r="4346">
      <x:c r="B4346" s="21" t="str">
        <x:v>A04340</x:v>
      </x:c>
      <x:c r="C4346" s="21" t="str">
        <x:v>artifact</x:v>
      </x:c>
      <x:c r="D4346" s="21" t="str">
        <x:v>artifact 1648 planning state</x:v>
      </x:c>
      <x:c r="E4346" s="21" t="n">
        <x:f>IF(AND('Artifact Ledger'!Q1654="OPEN",'Artifact Ledger'!R1654="HOLD"),1,0)</x:f>
        <x:v>1</x:v>
      </x:c>
      <x:c r="F4346" s="21" t="n">
        <x:v>1</x:v>
      </x:c>
      <x:c r="G4346" s="23" t="str">
        <x:f>IF(E4346=F4346,"PASS","FAIL")</x:f>
        <x:v>PASS</x:v>
      </x:c>
    </x:row>
    <x:row r="4347">
      <x:c r="B4347" s="21" t="str">
        <x:v>A04341</x:v>
      </x:c>
      <x:c r="C4347" s="21" t="str">
        <x:v>artifact</x:v>
      </x:c>
      <x:c r="D4347" s="21" t="str">
        <x:v>artifact 1649 eligibility equation</x:v>
      </x:c>
      <x:c r="E4347" s="21" t="n">
        <x:f>IF(ABS('Artifact Ledger'!P1655-IF(AND('Artifact Ledger'!L1655=1,'Artifact Ledger'!M1655=1,'Artifact Ledger'!N1655=1,'Artifact Ledger'!O1655&gt;='Artifact Ledger'!G1655),'Artifact Ledger'!K1655,0))&lt;0.000001,1,0)</x:f>
        <x:v>1</x:v>
      </x:c>
      <x:c r="F4347" s="21" t="n">
        <x:v>1</x:v>
      </x:c>
      <x:c r="G4347" s="23" t="str">
        <x:f>IF(E4347=F4347,"PASS","FAIL")</x:f>
        <x:v>PASS</x:v>
      </x:c>
    </x:row>
    <x:row r="4348">
      <x:c r="B4348" s="21" t="str">
        <x:v>A04342</x:v>
      </x:c>
      <x:c r="C4348" s="21" t="str">
        <x:v>artifact</x:v>
      </x:c>
      <x:c r="D4348" s="21" t="str">
        <x:v>artifact 1649 planning state</x:v>
      </x:c>
      <x:c r="E4348" s="21" t="n">
        <x:f>IF(AND('Artifact Ledger'!Q1655="OPEN",'Artifact Ledger'!R1655="HOLD"),1,0)</x:f>
        <x:v>1</x:v>
      </x:c>
      <x:c r="F4348" s="21" t="n">
        <x:v>1</x:v>
      </x:c>
      <x:c r="G4348" s="23" t="str">
        <x:f>IF(E4348=F4348,"PASS","FAIL")</x:f>
        <x:v>PASS</x:v>
      </x:c>
    </x:row>
    <x:row r="4349">
      <x:c r="B4349" s="21" t="str">
        <x:v>A04343</x:v>
      </x:c>
      <x:c r="C4349" s="21" t="str">
        <x:v>artifact</x:v>
      </x:c>
      <x:c r="D4349" s="21" t="str">
        <x:v>artifact 1650 eligibility equation</x:v>
      </x:c>
      <x:c r="E4349" s="21" t="n">
        <x:f>IF(ABS('Artifact Ledger'!P1656-IF(AND('Artifact Ledger'!L1656=1,'Artifact Ledger'!M1656=1,'Artifact Ledger'!N1656=1,'Artifact Ledger'!O1656&gt;='Artifact Ledger'!G1656),'Artifact Ledger'!K1656,0))&lt;0.000001,1,0)</x:f>
        <x:v>1</x:v>
      </x:c>
      <x:c r="F4349" s="21" t="n">
        <x:v>1</x:v>
      </x:c>
      <x:c r="G4349" s="23" t="str">
        <x:f>IF(E4349=F4349,"PASS","FAIL")</x:f>
        <x:v>PASS</x:v>
      </x:c>
    </x:row>
    <x:row r="4350">
      <x:c r="B4350" s="21" t="str">
        <x:v>A04344</x:v>
      </x:c>
      <x:c r="C4350" s="21" t="str">
        <x:v>artifact</x:v>
      </x:c>
      <x:c r="D4350" s="21" t="str">
        <x:v>artifact 1650 planning state</x:v>
      </x:c>
      <x:c r="E4350" s="21" t="n">
        <x:f>IF(AND('Artifact Ledger'!Q1656="OPEN",'Artifact Ledger'!R1656="HOLD"),1,0)</x:f>
        <x:v>1</x:v>
      </x:c>
      <x:c r="F4350" s="21" t="n">
        <x:v>1</x:v>
      </x:c>
      <x:c r="G4350" s="23" t="str">
        <x:f>IF(E4350=F4350,"PASS","FAIL")</x:f>
        <x:v>PASS</x:v>
      </x:c>
    </x:row>
    <x:row r="4351">
      <x:c r="B4351" s="21" t="str">
        <x:v>A04345</x:v>
      </x:c>
      <x:c r="C4351" s="21" t="str">
        <x:v>artifact</x:v>
      </x:c>
      <x:c r="D4351" s="21" t="str">
        <x:v>artifact 1651 eligibility equation</x:v>
      </x:c>
      <x:c r="E4351" s="21" t="n">
        <x:f>IF(ABS('Artifact Ledger'!P1657-IF(AND('Artifact Ledger'!L1657=1,'Artifact Ledger'!M1657=1,'Artifact Ledger'!N1657=1,'Artifact Ledger'!O1657&gt;='Artifact Ledger'!G1657),'Artifact Ledger'!K1657,0))&lt;0.000001,1,0)</x:f>
        <x:v>1</x:v>
      </x:c>
      <x:c r="F4351" s="21" t="n">
        <x:v>1</x:v>
      </x:c>
      <x:c r="G4351" s="23" t="str">
        <x:f>IF(E4351=F4351,"PASS","FAIL")</x:f>
        <x:v>PASS</x:v>
      </x:c>
    </x:row>
    <x:row r="4352">
      <x:c r="B4352" s="21" t="str">
        <x:v>A04346</x:v>
      </x:c>
      <x:c r="C4352" s="21" t="str">
        <x:v>artifact</x:v>
      </x:c>
      <x:c r="D4352" s="21" t="str">
        <x:v>artifact 1651 planning state</x:v>
      </x:c>
      <x:c r="E4352" s="21" t="n">
        <x:f>IF(AND('Artifact Ledger'!Q1657="OPEN",'Artifact Ledger'!R1657="HOLD"),1,0)</x:f>
        <x:v>1</x:v>
      </x:c>
      <x:c r="F4352" s="21" t="n">
        <x:v>1</x:v>
      </x:c>
      <x:c r="G4352" s="23" t="str">
        <x:f>IF(E4352=F4352,"PASS","FAIL")</x:f>
        <x:v>PASS</x:v>
      </x:c>
    </x:row>
    <x:row r="4353">
      <x:c r="B4353" s="21" t="str">
        <x:v>A04347</x:v>
      </x:c>
      <x:c r="C4353" s="21" t="str">
        <x:v>artifact</x:v>
      </x:c>
      <x:c r="D4353" s="21" t="str">
        <x:v>artifact 1652 eligibility equation</x:v>
      </x:c>
      <x:c r="E4353" s="21" t="n">
        <x:f>IF(ABS('Artifact Ledger'!P1658-IF(AND('Artifact Ledger'!L1658=1,'Artifact Ledger'!M1658=1,'Artifact Ledger'!N1658=1,'Artifact Ledger'!O1658&gt;='Artifact Ledger'!G1658),'Artifact Ledger'!K1658,0))&lt;0.000001,1,0)</x:f>
        <x:v>1</x:v>
      </x:c>
      <x:c r="F4353" s="21" t="n">
        <x:v>1</x:v>
      </x:c>
      <x:c r="G4353" s="23" t="str">
        <x:f>IF(E4353=F4353,"PASS","FAIL")</x:f>
        <x:v>PASS</x:v>
      </x:c>
    </x:row>
    <x:row r="4354">
      <x:c r="B4354" s="21" t="str">
        <x:v>A04348</x:v>
      </x:c>
      <x:c r="C4354" s="21" t="str">
        <x:v>artifact</x:v>
      </x:c>
      <x:c r="D4354" s="21" t="str">
        <x:v>artifact 1652 planning state</x:v>
      </x:c>
      <x:c r="E4354" s="21" t="n">
        <x:f>IF(AND('Artifact Ledger'!Q1658="OPEN",'Artifact Ledger'!R1658="HOLD"),1,0)</x:f>
        <x:v>1</x:v>
      </x:c>
      <x:c r="F4354" s="21" t="n">
        <x:v>1</x:v>
      </x:c>
      <x:c r="G4354" s="23" t="str">
        <x:f>IF(E4354=F4354,"PASS","FAIL")</x:f>
        <x:v>PASS</x:v>
      </x:c>
    </x:row>
    <x:row r="4355">
      <x:c r="B4355" s="21" t="str">
        <x:v>A04349</x:v>
      </x:c>
      <x:c r="C4355" s="21" t="str">
        <x:v>artifact</x:v>
      </x:c>
      <x:c r="D4355" s="21" t="str">
        <x:v>artifact 1653 eligibility equation</x:v>
      </x:c>
      <x:c r="E4355" s="21" t="n">
        <x:f>IF(ABS('Artifact Ledger'!P1659-IF(AND('Artifact Ledger'!L1659=1,'Artifact Ledger'!M1659=1,'Artifact Ledger'!N1659=1,'Artifact Ledger'!O1659&gt;='Artifact Ledger'!G1659),'Artifact Ledger'!K1659,0))&lt;0.000001,1,0)</x:f>
        <x:v>1</x:v>
      </x:c>
      <x:c r="F4355" s="21" t="n">
        <x:v>1</x:v>
      </x:c>
      <x:c r="G4355" s="23" t="str">
        <x:f>IF(E4355=F4355,"PASS","FAIL")</x:f>
        <x:v>PASS</x:v>
      </x:c>
    </x:row>
    <x:row r="4356">
      <x:c r="B4356" s="21" t="str">
        <x:v>A04350</x:v>
      </x:c>
      <x:c r="C4356" s="21" t="str">
        <x:v>artifact</x:v>
      </x:c>
      <x:c r="D4356" s="21" t="str">
        <x:v>artifact 1653 planning state</x:v>
      </x:c>
      <x:c r="E4356" s="21" t="n">
        <x:f>IF(AND('Artifact Ledger'!Q1659="OPEN",'Artifact Ledger'!R1659="HOLD"),1,0)</x:f>
        <x:v>1</x:v>
      </x:c>
      <x:c r="F4356" s="21" t="n">
        <x:v>1</x:v>
      </x:c>
      <x:c r="G4356" s="23" t="str">
        <x:f>IF(E4356=F4356,"PASS","FAIL")</x:f>
        <x:v>PASS</x:v>
      </x:c>
    </x:row>
    <x:row r="4357">
      <x:c r="B4357" s="21" t="str">
        <x:v>A04351</x:v>
      </x:c>
      <x:c r="C4357" s="21" t="str">
        <x:v>artifact</x:v>
      </x:c>
      <x:c r="D4357" s="21" t="str">
        <x:v>artifact 1654 eligibility equation</x:v>
      </x:c>
      <x:c r="E4357" s="21" t="n">
        <x:f>IF(ABS('Artifact Ledger'!P1660-IF(AND('Artifact Ledger'!L1660=1,'Artifact Ledger'!M1660=1,'Artifact Ledger'!N1660=1,'Artifact Ledger'!O1660&gt;='Artifact Ledger'!G1660),'Artifact Ledger'!K1660,0))&lt;0.000001,1,0)</x:f>
        <x:v>1</x:v>
      </x:c>
      <x:c r="F4357" s="21" t="n">
        <x:v>1</x:v>
      </x:c>
      <x:c r="G4357" s="23" t="str">
        <x:f>IF(E4357=F4357,"PASS","FAIL")</x:f>
        <x:v>PASS</x:v>
      </x:c>
    </x:row>
    <x:row r="4358">
      <x:c r="B4358" s="21" t="str">
        <x:v>A04352</x:v>
      </x:c>
      <x:c r="C4358" s="21" t="str">
        <x:v>artifact</x:v>
      </x:c>
      <x:c r="D4358" s="21" t="str">
        <x:v>artifact 1654 planning state</x:v>
      </x:c>
      <x:c r="E4358" s="21" t="n">
        <x:f>IF(AND('Artifact Ledger'!Q1660="OPEN",'Artifact Ledger'!R1660="HOLD"),1,0)</x:f>
        <x:v>1</x:v>
      </x:c>
      <x:c r="F4358" s="21" t="n">
        <x:v>1</x:v>
      </x:c>
      <x:c r="G4358" s="23" t="str">
        <x:f>IF(E4358=F4358,"PASS","FAIL")</x:f>
        <x:v>PASS</x:v>
      </x:c>
    </x:row>
    <x:row r="4359">
      <x:c r="B4359" s="21" t="str">
        <x:v>A04353</x:v>
      </x:c>
      <x:c r="C4359" s="21" t="str">
        <x:v>artifact</x:v>
      </x:c>
      <x:c r="D4359" s="21" t="str">
        <x:v>artifact 1655 eligibility equation</x:v>
      </x:c>
      <x:c r="E4359" s="21" t="n">
        <x:f>IF(ABS('Artifact Ledger'!P1661-IF(AND('Artifact Ledger'!L1661=1,'Artifact Ledger'!M1661=1,'Artifact Ledger'!N1661=1,'Artifact Ledger'!O1661&gt;='Artifact Ledger'!G1661),'Artifact Ledger'!K1661,0))&lt;0.000001,1,0)</x:f>
        <x:v>1</x:v>
      </x:c>
      <x:c r="F4359" s="21" t="n">
        <x:v>1</x:v>
      </x:c>
      <x:c r="G4359" s="23" t="str">
        <x:f>IF(E4359=F4359,"PASS","FAIL")</x:f>
        <x:v>PASS</x:v>
      </x:c>
    </x:row>
    <x:row r="4360">
      <x:c r="B4360" s="21" t="str">
        <x:v>A04354</x:v>
      </x:c>
      <x:c r="C4360" s="21" t="str">
        <x:v>artifact</x:v>
      </x:c>
      <x:c r="D4360" s="21" t="str">
        <x:v>artifact 1655 planning state</x:v>
      </x:c>
      <x:c r="E4360" s="21" t="n">
        <x:f>IF(AND('Artifact Ledger'!Q1661="OPEN",'Artifact Ledger'!R1661="HOLD"),1,0)</x:f>
        <x:v>1</x:v>
      </x:c>
      <x:c r="F4360" s="21" t="n">
        <x:v>1</x:v>
      </x:c>
      <x:c r="G4360" s="23" t="str">
        <x:f>IF(E4360=F4360,"PASS","FAIL")</x:f>
        <x:v>PASS</x:v>
      </x:c>
    </x:row>
    <x:row r="4361">
      <x:c r="B4361" s="21" t="str">
        <x:v>A04355</x:v>
      </x:c>
      <x:c r="C4361" s="21" t="str">
        <x:v>artifact</x:v>
      </x:c>
      <x:c r="D4361" s="21" t="str">
        <x:v>artifact 1656 eligibility equation</x:v>
      </x:c>
      <x:c r="E4361" s="21" t="n">
        <x:f>IF(ABS('Artifact Ledger'!P1662-IF(AND('Artifact Ledger'!L1662=1,'Artifact Ledger'!M1662=1,'Artifact Ledger'!N1662=1,'Artifact Ledger'!O1662&gt;='Artifact Ledger'!G1662),'Artifact Ledger'!K1662,0))&lt;0.000001,1,0)</x:f>
        <x:v>1</x:v>
      </x:c>
      <x:c r="F4361" s="21" t="n">
        <x:v>1</x:v>
      </x:c>
      <x:c r="G4361" s="23" t="str">
        <x:f>IF(E4361=F4361,"PASS","FAIL")</x:f>
        <x:v>PASS</x:v>
      </x:c>
    </x:row>
    <x:row r="4362">
      <x:c r="B4362" s="21" t="str">
        <x:v>A04356</x:v>
      </x:c>
      <x:c r="C4362" s="21" t="str">
        <x:v>artifact</x:v>
      </x:c>
      <x:c r="D4362" s="21" t="str">
        <x:v>artifact 1656 planning state</x:v>
      </x:c>
      <x:c r="E4362" s="21" t="n">
        <x:f>IF(AND('Artifact Ledger'!Q1662="OPEN",'Artifact Ledger'!R1662="HOLD"),1,0)</x:f>
        <x:v>1</x:v>
      </x:c>
      <x:c r="F4362" s="21" t="n">
        <x:v>1</x:v>
      </x:c>
      <x:c r="G4362" s="23" t="str">
        <x:f>IF(E4362=F4362,"PASS","FAIL")</x:f>
        <x:v>PASS</x:v>
      </x:c>
    </x:row>
    <x:row r="4363">
      <x:c r="B4363" s="21" t="str">
        <x:v>A04357</x:v>
      </x:c>
      <x:c r="C4363" s="21" t="str">
        <x:v>artifact</x:v>
      </x:c>
      <x:c r="D4363" s="21" t="str">
        <x:v>artifact 1657 eligibility equation</x:v>
      </x:c>
      <x:c r="E4363" s="21" t="n">
        <x:f>IF(ABS('Artifact Ledger'!P1663-IF(AND('Artifact Ledger'!L1663=1,'Artifact Ledger'!M1663=1,'Artifact Ledger'!N1663=1,'Artifact Ledger'!O1663&gt;='Artifact Ledger'!G1663),'Artifact Ledger'!K1663,0))&lt;0.000001,1,0)</x:f>
        <x:v>1</x:v>
      </x:c>
      <x:c r="F4363" s="21" t="n">
        <x:v>1</x:v>
      </x:c>
      <x:c r="G4363" s="23" t="str">
        <x:f>IF(E4363=F4363,"PASS","FAIL")</x:f>
        <x:v>PASS</x:v>
      </x:c>
    </x:row>
    <x:row r="4364">
      <x:c r="B4364" s="21" t="str">
        <x:v>A04358</x:v>
      </x:c>
      <x:c r="C4364" s="21" t="str">
        <x:v>artifact</x:v>
      </x:c>
      <x:c r="D4364" s="21" t="str">
        <x:v>artifact 1657 planning state</x:v>
      </x:c>
      <x:c r="E4364" s="21" t="n">
        <x:f>IF(AND('Artifact Ledger'!Q1663="OPEN",'Artifact Ledger'!R1663="HOLD"),1,0)</x:f>
        <x:v>1</x:v>
      </x:c>
      <x:c r="F4364" s="21" t="n">
        <x:v>1</x:v>
      </x:c>
      <x:c r="G4364" s="23" t="str">
        <x:f>IF(E4364=F4364,"PASS","FAIL")</x:f>
        <x:v>PASS</x:v>
      </x:c>
    </x:row>
    <x:row r="4365">
      <x:c r="B4365" s="21" t="str">
        <x:v>A04359</x:v>
      </x:c>
      <x:c r="C4365" s="21" t="str">
        <x:v>artifact</x:v>
      </x:c>
      <x:c r="D4365" s="21" t="str">
        <x:v>artifact 1658 eligibility equation</x:v>
      </x:c>
      <x:c r="E4365" s="21" t="n">
        <x:f>IF(ABS('Artifact Ledger'!P1664-IF(AND('Artifact Ledger'!L1664=1,'Artifact Ledger'!M1664=1,'Artifact Ledger'!N1664=1,'Artifact Ledger'!O1664&gt;='Artifact Ledger'!G1664),'Artifact Ledger'!K1664,0))&lt;0.000001,1,0)</x:f>
        <x:v>1</x:v>
      </x:c>
      <x:c r="F4365" s="21" t="n">
        <x:v>1</x:v>
      </x:c>
      <x:c r="G4365" s="23" t="str">
        <x:f>IF(E4365=F4365,"PASS","FAIL")</x:f>
        <x:v>PASS</x:v>
      </x:c>
    </x:row>
    <x:row r="4366">
      <x:c r="B4366" s="21" t="str">
        <x:v>A04360</x:v>
      </x:c>
      <x:c r="C4366" s="21" t="str">
        <x:v>artifact</x:v>
      </x:c>
      <x:c r="D4366" s="21" t="str">
        <x:v>artifact 1658 planning state</x:v>
      </x:c>
      <x:c r="E4366" s="21" t="n">
        <x:f>IF(AND('Artifact Ledger'!Q1664="OPEN",'Artifact Ledger'!R1664="HOLD"),1,0)</x:f>
        <x:v>1</x:v>
      </x:c>
      <x:c r="F4366" s="21" t="n">
        <x:v>1</x:v>
      </x:c>
      <x:c r="G4366" s="23" t="str">
        <x:f>IF(E4366=F4366,"PASS","FAIL")</x:f>
        <x:v>PASS</x:v>
      </x:c>
    </x:row>
    <x:row r="4367">
      <x:c r="B4367" s="21" t="str">
        <x:v>A04361</x:v>
      </x:c>
      <x:c r="C4367" s="21" t="str">
        <x:v>artifact</x:v>
      </x:c>
      <x:c r="D4367" s="21" t="str">
        <x:v>artifact 1659 eligibility equation</x:v>
      </x:c>
      <x:c r="E4367" s="21" t="n">
        <x:f>IF(ABS('Artifact Ledger'!P1665-IF(AND('Artifact Ledger'!L1665=1,'Artifact Ledger'!M1665=1,'Artifact Ledger'!N1665=1,'Artifact Ledger'!O1665&gt;='Artifact Ledger'!G1665),'Artifact Ledger'!K1665,0))&lt;0.000001,1,0)</x:f>
        <x:v>1</x:v>
      </x:c>
      <x:c r="F4367" s="21" t="n">
        <x:v>1</x:v>
      </x:c>
      <x:c r="G4367" s="23" t="str">
        <x:f>IF(E4367=F4367,"PASS","FAIL")</x:f>
        <x:v>PASS</x:v>
      </x:c>
    </x:row>
    <x:row r="4368">
      <x:c r="B4368" s="21" t="str">
        <x:v>A04362</x:v>
      </x:c>
      <x:c r="C4368" s="21" t="str">
        <x:v>artifact</x:v>
      </x:c>
      <x:c r="D4368" s="21" t="str">
        <x:v>artifact 1659 planning state</x:v>
      </x:c>
      <x:c r="E4368" s="21" t="n">
        <x:f>IF(AND('Artifact Ledger'!Q1665="OPEN",'Artifact Ledger'!R1665="HOLD"),1,0)</x:f>
        <x:v>1</x:v>
      </x:c>
      <x:c r="F4368" s="21" t="n">
        <x:v>1</x:v>
      </x:c>
      <x:c r="G4368" s="23" t="str">
        <x:f>IF(E4368=F4368,"PASS","FAIL")</x:f>
        <x:v>PASS</x:v>
      </x:c>
    </x:row>
    <x:row r="4369">
      <x:c r="B4369" s="21" t="str">
        <x:v>A04363</x:v>
      </x:c>
      <x:c r="C4369" s="21" t="str">
        <x:v>artifact</x:v>
      </x:c>
      <x:c r="D4369" s="21" t="str">
        <x:v>artifact 1660 eligibility equation</x:v>
      </x:c>
      <x:c r="E4369" s="21" t="n">
        <x:f>IF(ABS('Artifact Ledger'!P1666-IF(AND('Artifact Ledger'!L1666=1,'Artifact Ledger'!M1666=1,'Artifact Ledger'!N1666=1,'Artifact Ledger'!O1666&gt;='Artifact Ledger'!G1666),'Artifact Ledger'!K1666,0))&lt;0.000001,1,0)</x:f>
        <x:v>1</x:v>
      </x:c>
      <x:c r="F4369" s="21" t="n">
        <x:v>1</x:v>
      </x:c>
      <x:c r="G4369" s="23" t="str">
        <x:f>IF(E4369=F4369,"PASS","FAIL")</x:f>
        <x:v>PASS</x:v>
      </x:c>
    </x:row>
    <x:row r="4370">
      <x:c r="B4370" s="21" t="str">
        <x:v>A04364</x:v>
      </x:c>
      <x:c r="C4370" s="21" t="str">
        <x:v>artifact</x:v>
      </x:c>
      <x:c r="D4370" s="21" t="str">
        <x:v>artifact 1660 planning state</x:v>
      </x:c>
      <x:c r="E4370" s="21" t="n">
        <x:f>IF(AND('Artifact Ledger'!Q1666="OPEN",'Artifact Ledger'!R1666="HOLD"),1,0)</x:f>
        <x:v>1</x:v>
      </x:c>
      <x:c r="F4370" s="21" t="n">
        <x:v>1</x:v>
      </x:c>
      <x:c r="G4370" s="23" t="str">
        <x:f>IF(E4370=F4370,"PASS","FAIL")</x:f>
        <x:v>PASS</x:v>
      </x:c>
    </x:row>
    <x:row r="4371">
      <x:c r="B4371" s="21" t="str">
        <x:v>A04365</x:v>
      </x:c>
      <x:c r="C4371" s="21" t="str">
        <x:v>artifact</x:v>
      </x:c>
      <x:c r="D4371" s="21" t="str">
        <x:v>artifact 1661 eligibility equation</x:v>
      </x:c>
      <x:c r="E4371" s="21" t="n">
        <x:f>IF(ABS('Artifact Ledger'!P1667-IF(AND('Artifact Ledger'!L1667=1,'Artifact Ledger'!M1667=1,'Artifact Ledger'!N1667=1,'Artifact Ledger'!O1667&gt;='Artifact Ledger'!G1667),'Artifact Ledger'!K1667,0))&lt;0.000001,1,0)</x:f>
        <x:v>1</x:v>
      </x:c>
      <x:c r="F4371" s="21" t="n">
        <x:v>1</x:v>
      </x:c>
      <x:c r="G4371" s="23" t="str">
        <x:f>IF(E4371=F4371,"PASS","FAIL")</x:f>
        <x:v>PASS</x:v>
      </x:c>
    </x:row>
    <x:row r="4372">
      <x:c r="B4372" s="21" t="str">
        <x:v>A04366</x:v>
      </x:c>
      <x:c r="C4372" s="21" t="str">
        <x:v>artifact</x:v>
      </x:c>
      <x:c r="D4372" s="21" t="str">
        <x:v>artifact 1661 planning state</x:v>
      </x:c>
      <x:c r="E4372" s="21" t="n">
        <x:f>IF(AND('Artifact Ledger'!Q1667="OPEN",'Artifact Ledger'!R1667="HOLD"),1,0)</x:f>
        <x:v>1</x:v>
      </x:c>
      <x:c r="F4372" s="21" t="n">
        <x:v>1</x:v>
      </x:c>
      <x:c r="G4372" s="23" t="str">
        <x:f>IF(E4372=F4372,"PASS","FAIL")</x:f>
        <x:v>PASS</x:v>
      </x:c>
    </x:row>
    <x:row r="4373">
      <x:c r="B4373" s="21" t="str">
        <x:v>A04367</x:v>
      </x:c>
      <x:c r="C4373" s="21" t="str">
        <x:v>artifact</x:v>
      </x:c>
      <x:c r="D4373" s="21" t="str">
        <x:v>artifact 1662 eligibility equation</x:v>
      </x:c>
      <x:c r="E4373" s="21" t="n">
        <x:f>IF(ABS('Artifact Ledger'!P1668-IF(AND('Artifact Ledger'!L1668=1,'Artifact Ledger'!M1668=1,'Artifact Ledger'!N1668=1,'Artifact Ledger'!O1668&gt;='Artifact Ledger'!G1668),'Artifact Ledger'!K1668,0))&lt;0.000001,1,0)</x:f>
        <x:v>1</x:v>
      </x:c>
      <x:c r="F4373" s="21" t="n">
        <x:v>1</x:v>
      </x:c>
      <x:c r="G4373" s="23" t="str">
        <x:f>IF(E4373=F4373,"PASS","FAIL")</x:f>
        <x:v>PASS</x:v>
      </x:c>
    </x:row>
    <x:row r="4374">
      <x:c r="B4374" s="21" t="str">
        <x:v>A04368</x:v>
      </x:c>
      <x:c r="C4374" s="21" t="str">
        <x:v>artifact</x:v>
      </x:c>
      <x:c r="D4374" s="21" t="str">
        <x:v>artifact 1662 planning state</x:v>
      </x:c>
      <x:c r="E4374" s="21" t="n">
        <x:f>IF(AND('Artifact Ledger'!Q1668="OPEN",'Artifact Ledger'!R1668="HOLD"),1,0)</x:f>
        <x:v>1</x:v>
      </x:c>
      <x:c r="F4374" s="21" t="n">
        <x:v>1</x:v>
      </x:c>
      <x:c r="G4374" s="23" t="str">
        <x:f>IF(E4374=F4374,"PASS","FAIL")</x:f>
        <x:v>PASS</x:v>
      </x:c>
    </x:row>
    <x:row r="4375">
      <x:c r="B4375" s="21" t="str">
        <x:v>A04369</x:v>
      </x:c>
      <x:c r="C4375" s="21" t="str">
        <x:v>artifact</x:v>
      </x:c>
      <x:c r="D4375" s="21" t="str">
        <x:v>artifact 1663 eligibility equation</x:v>
      </x:c>
      <x:c r="E4375" s="21" t="n">
        <x:f>IF(ABS('Artifact Ledger'!P1669-IF(AND('Artifact Ledger'!L1669=1,'Artifact Ledger'!M1669=1,'Artifact Ledger'!N1669=1,'Artifact Ledger'!O1669&gt;='Artifact Ledger'!G1669),'Artifact Ledger'!K1669,0))&lt;0.000001,1,0)</x:f>
        <x:v>1</x:v>
      </x:c>
      <x:c r="F4375" s="21" t="n">
        <x:v>1</x:v>
      </x:c>
      <x:c r="G4375" s="23" t="str">
        <x:f>IF(E4375=F4375,"PASS","FAIL")</x:f>
        <x:v>PASS</x:v>
      </x:c>
    </x:row>
    <x:row r="4376">
      <x:c r="B4376" s="21" t="str">
        <x:v>A04370</x:v>
      </x:c>
      <x:c r="C4376" s="21" t="str">
        <x:v>artifact</x:v>
      </x:c>
      <x:c r="D4376" s="21" t="str">
        <x:v>artifact 1663 planning state</x:v>
      </x:c>
      <x:c r="E4376" s="21" t="n">
        <x:f>IF(AND('Artifact Ledger'!Q1669="OPEN",'Artifact Ledger'!R1669="HOLD"),1,0)</x:f>
        <x:v>1</x:v>
      </x:c>
      <x:c r="F4376" s="21" t="n">
        <x:v>1</x:v>
      </x:c>
      <x:c r="G4376" s="23" t="str">
        <x:f>IF(E4376=F4376,"PASS","FAIL")</x:f>
        <x:v>PASS</x:v>
      </x:c>
    </x:row>
    <x:row r="4377">
      <x:c r="B4377" s="21" t="str">
        <x:v>A04371</x:v>
      </x:c>
      <x:c r="C4377" s="21" t="str">
        <x:v>artifact</x:v>
      </x:c>
      <x:c r="D4377" s="21" t="str">
        <x:v>artifact 1664 eligibility equation</x:v>
      </x:c>
      <x:c r="E4377" s="21" t="n">
        <x:f>IF(ABS('Artifact Ledger'!P1670-IF(AND('Artifact Ledger'!L1670=1,'Artifact Ledger'!M1670=1,'Artifact Ledger'!N1670=1,'Artifact Ledger'!O1670&gt;='Artifact Ledger'!G1670),'Artifact Ledger'!K1670,0))&lt;0.000001,1,0)</x:f>
        <x:v>1</x:v>
      </x:c>
      <x:c r="F4377" s="21" t="n">
        <x:v>1</x:v>
      </x:c>
      <x:c r="G4377" s="23" t="str">
        <x:f>IF(E4377=F4377,"PASS","FAIL")</x:f>
        <x:v>PASS</x:v>
      </x:c>
    </x:row>
    <x:row r="4378">
      <x:c r="B4378" s="21" t="str">
        <x:v>A04372</x:v>
      </x:c>
      <x:c r="C4378" s="21" t="str">
        <x:v>artifact</x:v>
      </x:c>
      <x:c r="D4378" s="21" t="str">
        <x:v>artifact 1664 planning state</x:v>
      </x:c>
      <x:c r="E4378" s="21" t="n">
        <x:f>IF(AND('Artifact Ledger'!Q1670="OPEN",'Artifact Ledger'!R1670="HOLD"),1,0)</x:f>
        <x:v>1</x:v>
      </x:c>
      <x:c r="F4378" s="21" t="n">
        <x:v>1</x:v>
      </x:c>
      <x:c r="G4378" s="23" t="str">
        <x:f>IF(E4378=F4378,"PASS","FAIL")</x:f>
        <x:v>PASS</x:v>
      </x:c>
    </x:row>
    <x:row r="4379">
      <x:c r="B4379" s="21" t="str">
        <x:v>A04373</x:v>
      </x:c>
      <x:c r="C4379" s="21" t="str">
        <x:v>artifact</x:v>
      </x:c>
      <x:c r="D4379" s="21" t="str">
        <x:v>artifact 1665 eligibility equation</x:v>
      </x:c>
      <x:c r="E4379" s="21" t="n">
        <x:f>IF(ABS('Artifact Ledger'!P1671-IF(AND('Artifact Ledger'!L1671=1,'Artifact Ledger'!M1671=1,'Artifact Ledger'!N1671=1,'Artifact Ledger'!O1671&gt;='Artifact Ledger'!G1671),'Artifact Ledger'!K1671,0))&lt;0.000001,1,0)</x:f>
        <x:v>1</x:v>
      </x:c>
      <x:c r="F4379" s="21" t="n">
        <x:v>1</x:v>
      </x:c>
      <x:c r="G4379" s="23" t="str">
        <x:f>IF(E4379=F4379,"PASS","FAIL")</x:f>
        <x:v>PASS</x:v>
      </x:c>
    </x:row>
    <x:row r="4380">
      <x:c r="B4380" s="21" t="str">
        <x:v>A04374</x:v>
      </x:c>
      <x:c r="C4380" s="21" t="str">
        <x:v>artifact</x:v>
      </x:c>
      <x:c r="D4380" s="21" t="str">
        <x:v>artifact 1665 planning state</x:v>
      </x:c>
      <x:c r="E4380" s="21" t="n">
        <x:f>IF(AND('Artifact Ledger'!Q1671="OPEN",'Artifact Ledger'!R1671="HOLD"),1,0)</x:f>
        <x:v>1</x:v>
      </x:c>
      <x:c r="F4380" s="21" t="n">
        <x:v>1</x:v>
      </x:c>
      <x:c r="G4380" s="23" t="str">
        <x:f>IF(E4380=F4380,"PASS","FAIL")</x:f>
        <x:v>PASS</x:v>
      </x:c>
    </x:row>
    <x:row r="4381">
      <x:c r="B4381" s="21" t="str">
        <x:v>A04375</x:v>
      </x:c>
      <x:c r="C4381" s="21" t="str">
        <x:v>artifact</x:v>
      </x:c>
      <x:c r="D4381" s="21" t="str">
        <x:v>artifact 1666 eligibility equation</x:v>
      </x:c>
      <x:c r="E4381" s="21" t="n">
        <x:f>IF(ABS('Artifact Ledger'!P1672-IF(AND('Artifact Ledger'!L1672=1,'Artifact Ledger'!M1672=1,'Artifact Ledger'!N1672=1,'Artifact Ledger'!O1672&gt;='Artifact Ledger'!G1672),'Artifact Ledger'!K1672,0))&lt;0.000001,1,0)</x:f>
        <x:v>1</x:v>
      </x:c>
      <x:c r="F4381" s="21" t="n">
        <x:v>1</x:v>
      </x:c>
      <x:c r="G4381" s="23" t="str">
        <x:f>IF(E4381=F4381,"PASS","FAIL")</x:f>
        <x:v>PASS</x:v>
      </x:c>
    </x:row>
    <x:row r="4382">
      <x:c r="B4382" s="21" t="str">
        <x:v>A04376</x:v>
      </x:c>
      <x:c r="C4382" s="21" t="str">
        <x:v>artifact</x:v>
      </x:c>
      <x:c r="D4382" s="21" t="str">
        <x:v>artifact 1666 planning state</x:v>
      </x:c>
      <x:c r="E4382" s="21" t="n">
        <x:f>IF(AND('Artifact Ledger'!Q1672="OPEN",'Artifact Ledger'!R1672="HOLD"),1,0)</x:f>
        <x:v>1</x:v>
      </x:c>
      <x:c r="F4382" s="21" t="n">
        <x:v>1</x:v>
      </x:c>
      <x:c r="G4382" s="23" t="str">
        <x:f>IF(E4382=F4382,"PASS","FAIL")</x:f>
        <x:v>PASS</x:v>
      </x:c>
    </x:row>
    <x:row r="4383">
      <x:c r="B4383" s="21" t="str">
        <x:v>A04377</x:v>
      </x:c>
      <x:c r="C4383" s="21" t="str">
        <x:v>artifact</x:v>
      </x:c>
      <x:c r="D4383" s="21" t="str">
        <x:v>artifact 1667 eligibility equation</x:v>
      </x:c>
      <x:c r="E4383" s="21" t="n">
        <x:f>IF(ABS('Artifact Ledger'!P1673-IF(AND('Artifact Ledger'!L1673=1,'Artifact Ledger'!M1673=1,'Artifact Ledger'!N1673=1,'Artifact Ledger'!O1673&gt;='Artifact Ledger'!G1673),'Artifact Ledger'!K1673,0))&lt;0.000001,1,0)</x:f>
        <x:v>1</x:v>
      </x:c>
      <x:c r="F4383" s="21" t="n">
        <x:v>1</x:v>
      </x:c>
      <x:c r="G4383" s="23" t="str">
        <x:f>IF(E4383=F4383,"PASS","FAIL")</x:f>
        <x:v>PASS</x:v>
      </x:c>
    </x:row>
    <x:row r="4384">
      <x:c r="B4384" s="21" t="str">
        <x:v>A04378</x:v>
      </x:c>
      <x:c r="C4384" s="21" t="str">
        <x:v>artifact</x:v>
      </x:c>
      <x:c r="D4384" s="21" t="str">
        <x:v>artifact 1667 planning state</x:v>
      </x:c>
      <x:c r="E4384" s="21" t="n">
        <x:f>IF(AND('Artifact Ledger'!Q1673="OPEN",'Artifact Ledger'!R1673="HOLD"),1,0)</x:f>
        <x:v>1</x:v>
      </x:c>
      <x:c r="F4384" s="21" t="n">
        <x:v>1</x:v>
      </x:c>
      <x:c r="G4384" s="23" t="str">
        <x:f>IF(E4384=F4384,"PASS","FAIL")</x:f>
        <x:v>PASS</x:v>
      </x:c>
    </x:row>
    <x:row r="4385">
      <x:c r="B4385" s="21" t="str">
        <x:v>A04379</x:v>
      </x:c>
      <x:c r="C4385" s="21" t="str">
        <x:v>artifact</x:v>
      </x:c>
      <x:c r="D4385" s="21" t="str">
        <x:v>artifact 1668 eligibility equation</x:v>
      </x:c>
      <x:c r="E4385" s="21" t="n">
        <x:f>IF(ABS('Artifact Ledger'!P1674-IF(AND('Artifact Ledger'!L1674=1,'Artifact Ledger'!M1674=1,'Artifact Ledger'!N1674=1,'Artifact Ledger'!O1674&gt;='Artifact Ledger'!G1674),'Artifact Ledger'!K1674,0))&lt;0.000001,1,0)</x:f>
        <x:v>1</x:v>
      </x:c>
      <x:c r="F4385" s="21" t="n">
        <x:v>1</x:v>
      </x:c>
      <x:c r="G4385" s="23" t="str">
        <x:f>IF(E4385=F4385,"PASS","FAIL")</x:f>
        <x:v>PASS</x:v>
      </x:c>
    </x:row>
    <x:row r="4386">
      <x:c r="B4386" s="21" t="str">
        <x:v>A04380</x:v>
      </x:c>
      <x:c r="C4386" s="21" t="str">
        <x:v>artifact</x:v>
      </x:c>
      <x:c r="D4386" s="21" t="str">
        <x:v>artifact 1668 planning state</x:v>
      </x:c>
      <x:c r="E4386" s="21" t="n">
        <x:f>IF(AND('Artifact Ledger'!Q1674="OPEN",'Artifact Ledger'!R1674="HOLD"),1,0)</x:f>
        <x:v>1</x:v>
      </x:c>
      <x:c r="F4386" s="21" t="n">
        <x:v>1</x:v>
      </x:c>
      <x:c r="G4386" s="23" t="str">
        <x:f>IF(E4386=F4386,"PASS","FAIL")</x:f>
        <x:v>PASS</x:v>
      </x:c>
    </x:row>
    <x:row r="4387">
      <x:c r="B4387" s="21" t="str">
        <x:v>A04381</x:v>
      </x:c>
      <x:c r="C4387" s="21" t="str">
        <x:v>artifact</x:v>
      </x:c>
      <x:c r="D4387" s="21" t="str">
        <x:v>artifact 1669 eligibility equation</x:v>
      </x:c>
      <x:c r="E4387" s="21" t="n">
        <x:f>IF(ABS('Artifact Ledger'!P1675-IF(AND('Artifact Ledger'!L1675=1,'Artifact Ledger'!M1675=1,'Artifact Ledger'!N1675=1,'Artifact Ledger'!O1675&gt;='Artifact Ledger'!G1675),'Artifact Ledger'!K1675,0))&lt;0.000001,1,0)</x:f>
        <x:v>1</x:v>
      </x:c>
      <x:c r="F4387" s="21" t="n">
        <x:v>1</x:v>
      </x:c>
      <x:c r="G4387" s="23" t="str">
        <x:f>IF(E4387=F4387,"PASS","FAIL")</x:f>
        <x:v>PASS</x:v>
      </x:c>
    </x:row>
    <x:row r="4388">
      <x:c r="B4388" s="21" t="str">
        <x:v>A04382</x:v>
      </x:c>
      <x:c r="C4388" s="21" t="str">
        <x:v>artifact</x:v>
      </x:c>
      <x:c r="D4388" s="21" t="str">
        <x:v>artifact 1669 planning state</x:v>
      </x:c>
      <x:c r="E4388" s="21" t="n">
        <x:f>IF(AND('Artifact Ledger'!Q1675="OPEN",'Artifact Ledger'!R1675="HOLD"),1,0)</x:f>
        <x:v>1</x:v>
      </x:c>
      <x:c r="F4388" s="21" t="n">
        <x:v>1</x:v>
      </x:c>
      <x:c r="G4388" s="23" t="str">
        <x:f>IF(E4388=F4388,"PASS","FAIL")</x:f>
        <x:v>PASS</x:v>
      </x:c>
    </x:row>
    <x:row r="4389">
      <x:c r="B4389" s="21" t="str">
        <x:v>A04383</x:v>
      </x:c>
      <x:c r="C4389" s="21" t="str">
        <x:v>artifact</x:v>
      </x:c>
      <x:c r="D4389" s="21" t="str">
        <x:v>artifact 1670 eligibility equation</x:v>
      </x:c>
      <x:c r="E4389" s="21" t="n">
        <x:f>IF(ABS('Artifact Ledger'!P1676-IF(AND('Artifact Ledger'!L1676=1,'Artifact Ledger'!M1676=1,'Artifact Ledger'!N1676=1,'Artifact Ledger'!O1676&gt;='Artifact Ledger'!G1676),'Artifact Ledger'!K1676,0))&lt;0.000001,1,0)</x:f>
        <x:v>1</x:v>
      </x:c>
      <x:c r="F4389" s="21" t="n">
        <x:v>1</x:v>
      </x:c>
      <x:c r="G4389" s="23" t="str">
        <x:f>IF(E4389=F4389,"PASS","FAIL")</x:f>
        <x:v>PASS</x:v>
      </x:c>
    </x:row>
    <x:row r="4390">
      <x:c r="B4390" s="21" t="str">
        <x:v>A04384</x:v>
      </x:c>
      <x:c r="C4390" s="21" t="str">
        <x:v>artifact</x:v>
      </x:c>
      <x:c r="D4390" s="21" t="str">
        <x:v>artifact 1670 planning state</x:v>
      </x:c>
      <x:c r="E4390" s="21" t="n">
        <x:f>IF(AND('Artifact Ledger'!Q1676="OPEN",'Artifact Ledger'!R1676="HOLD"),1,0)</x:f>
        <x:v>1</x:v>
      </x:c>
      <x:c r="F4390" s="21" t="n">
        <x:v>1</x:v>
      </x:c>
      <x:c r="G4390" s="23" t="str">
        <x:f>IF(E4390=F4390,"PASS","FAIL")</x:f>
        <x:v>PASS</x:v>
      </x:c>
    </x:row>
    <x:row r="4391">
      <x:c r="B4391" s="21" t="str">
        <x:v>A04385</x:v>
      </x:c>
      <x:c r="C4391" s="21" t="str">
        <x:v>artifact</x:v>
      </x:c>
      <x:c r="D4391" s="21" t="str">
        <x:v>artifact 1671 eligibility equation</x:v>
      </x:c>
      <x:c r="E4391" s="21" t="n">
        <x:f>IF(ABS('Artifact Ledger'!P1677-IF(AND('Artifact Ledger'!L1677=1,'Artifact Ledger'!M1677=1,'Artifact Ledger'!N1677=1,'Artifact Ledger'!O1677&gt;='Artifact Ledger'!G1677),'Artifact Ledger'!K1677,0))&lt;0.000001,1,0)</x:f>
        <x:v>1</x:v>
      </x:c>
      <x:c r="F4391" s="21" t="n">
        <x:v>1</x:v>
      </x:c>
      <x:c r="G4391" s="23" t="str">
        <x:f>IF(E4391=F4391,"PASS","FAIL")</x:f>
        <x:v>PASS</x:v>
      </x:c>
    </x:row>
    <x:row r="4392">
      <x:c r="B4392" s="21" t="str">
        <x:v>A04386</x:v>
      </x:c>
      <x:c r="C4392" s="21" t="str">
        <x:v>artifact</x:v>
      </x:c>
      <x:c r="D4392" s="21" t="str">
        <x:v>artifact 1671 planning state</x:v>
      </x:c>
      <x:c r="E4392" s="21" t="n">
        <x:f>IF(AND('Artifact Ledger'!Q1677="OPEN",'Artifact Ledger'!R1677="HOLD"),1,0)</x:f>
        <x:v>1</x:v>
      </x:c>
      <x:c r="F4392" s="21" t="n">
        <x:v>1</x:v>
      </x:c>
      <x:c r="G4392" s="23" t="str">
        <x:f>IF(E4392=F4392,"PASS","FAIL")</x:f>
        <x:v>PASS</x:v>
      </x:c>
    </x:row>
    <x:row r="4393">
      <x:c r="B4393" s="21" t="str">
        <x:v>A04387</x:v>
      </x:c>
      <x:c r="C4393" s="21" t="str">
        <x:v>artifact</x:v>
      </x:c>
      <x:c r="D4393" s="21" t="str">
        <x:v>artifact 1672 eligibility equation</x:v>
      </x:c>
      <x:c r="E4393" s="21" t="n">
        <x:f>IF(ABS('Artifact Ledger'!P1678-IF(AND('Artifact Ledger'!L1678=1,'Artifact Ledger'!M1678=1,'Artifact Ledger'!N1678=1,'Artifact Ledger'!O1678&gt;='Artifact Ledger'!G1678),'Artifact Ledger'!K1678,0))&lt;0.000001,1,0)</x:f>
        <x:v>1</x:v>
      </x:c>
      <x:c r="F4393" s="21" t="n">
        <x:v>1</x:v>
      </x:c>
      <x:c r="G4393" s="23" t="str">
        <x:f>IF(E4393=F4393,"PASS","FAIL")</x:f>
        <x:v>PASS</x:v>
      </x:c>
    </x:row>
    <x:row r="4394">
      <x:c r="B4394" s="21" t="str">
        <x:v>A04388</x:v>
      </x:c>
      <x:c r="C4394" s="21" t="str">
        <x:v>artifact</x:v>
      </x:c>
      <x:c r="D4394" s="21" t="str">
        <x:v>artifact 1672 planning state</x:v>
      </x:c>
      <x:c r="E4394" s="21" t="n">
        <x:f>IF(AND('Artifact Ledger'!Q1678="OPEN",'Artifact Ledger'!R1678="HOLD"),1,0)</x:f>
        <x:v>1</x:v>
      </x:c>
      <x:c r="F4394" s="21" t="n">
        <x:v>1</x:v>
      </x:c>
      <x:c r="G4394" s="23" t="str">
        <x:f>IF(E4394=F4394,"PASS","FAIL")</x:f>
        <x:v>PASS</x:v>
      </x:c>
    </x:row>
    <x:row r="4395">
      <x:c r="B4395" s="21" t="str">
        <x:v>A04389</x:v>
      </x:c>
      <x:c r="C4395" s="21" t="str">
        <x:v>artifact</x:v>
      </x:c>
      <x:c r="D4395" s="21" t="str">
        <x:v>artifact 1673 eligibility equation</x:v>
      </x:c>
      <x:c r="E4395" s="21" t="n">
        <x:f>IF(ABS('Artifact Ledger'!P1679-IF(AND('Artifact Ledger'!L1679=1,'Artifact Ledger'!M1679=1,'Artifact Ledger'!N1679=1,'Artifact Ledger'!O1679&gt;='Artifact Ledger'!G1679),'Artifact Ledger'!K1679,0))&lt;0.000001,1,0)</x:f>
        <x:v>1</x:v>
      </x:c>
      <x:c r="F4395" s="21" t="n">
        <x:v>1</x:v>
      </x:c>
      <x:c r="G4395" s="23" t="str">
        <x:f>IF(E4395=F4395,"PASS","FAIL")</x:f>
        <x:v>PASS</x:v>
      </x:c>
    </x:row>
    <x:row r="4396">
      <x:c r="B4396" s="21" t="str">
        <x:v>A04390</x:v>
      </x:c>
      <x:c r="C4396" s="21" t="str">
        <x:v>artifact</x:v>
      </x:c>
      <x:c r="D4396" s="21" t="str">
        <x:v>artifact 1673 planning state</x:v>
      </x:c>
      <x:c r="E4396" s="21" t="n">
        <x:f>IF(AND('Artifact Ledger'!Q1679="OPEN",'Artifact Ledger'!R1679="HOLD"),1,0)</x:f>
        <x:v>1</x:v>
      </x:c>
      <x:c r="F4396" s="21" t="n">
        <x:v>1</x:v>
      </x:c>
      <x:c r="G4396" s="23" t="str">
        <x:f>IF(E4396=F4396,"PASS","FAIL")</x:f>
        <x:v>PASS</x:v>
      </x:c>
    </x:row>
    <x:row r="4397">
      <x:c r="B4397" s="21" t="str">
        <x:v>A04391</x:v>
      </x:c>
      <x:c r="C4397" s="21" t="str">
        <x:v>artifact</x:v>
      </x:c>
      <x:c r="D4397" s="21" t="str">
        <x:v>artifact 1674 eligibility equation</x:v>
      </x:c>
      <x:c r="E4397" s="21" t="n">
        <x:f>IF(ABS('Artifact Ledger'!P1680-IF(AND('Artifact Ledger'!L1680=1,'Artifact Ledger'!M1680=1,'Artifact Ledger'!N1680=1,'Artifact Ledger'!O1680&gt;='Artifact Ledger'!G1680),'Artifact Ledger'!K1680,0))&lt;0.000001,1,0)</x:f>
        <x:v>1</x:v>
      </x:c>
      <x:c r="F4397" s="21" t="n">
        <x:v>1</x:v>
      </x:c>
      <x:c r="G4397" s="23" t="str">
        <x:f>IF(E4397=F4397,"PASS","FAIL")</x:f>
        <x:v>PASS</x:v>
      </x:c>
    </x:row>
    <x:row r="4398">
      <x:c r="B4398" s="21" t="str">
        <x:v>A04392</x:v>
      </x:c>
      <x:c r="C4398" s="21" t="str">
        <x:v>artifact</x:v>
      </x:c>
      <x:c r="D4398" s="21" t="str">
        <x:v>artifact 1674 planning state</x:v>
      </x:c>
      <x:c r="E4398" s="21" t="n">
        <x:f>IF(AND('Artifact Ledger'!Q1680="OPEN",'Artifact Ledger'!R1680="HOLD"),1,0)</x:f>
        <x:v>1</x:v>
      </x:c>
      <x:c r="F4398" s="21" t="n">
        <x:v>1</x:v>
      </x:c>
      <x:c r="G4398" s="23" t="str">
        <x:f>IF(E4398=F4398,"PASS","FAIL")</x:f>
        <x:v>PASS</x:v>
      </x:c>
    </x:row>
    <x:row r="4399">
      <x:c r="B4399" s="21" t="str">
        <x:v>A04393</x:v>
      </x:c>
      <x:c r="C4399" s="21" t="str">
        <x:v>artifact</x:v>
      </x:c>
      <x:c r="D4399" s="21" t="str">
        <x:v>artifact 1675 eligibility equation</x:v>
      </x:c>
      <x:c r="E4399" s="21" t="n">
        <x:f>IF(ABS('Artifact Ledger'!P1681-IF(AND('Artifact Ledger'!L1681=1,'Artifact Ledger'!M1681=1,'Artifact Ledger'!N1681=1,'Artifact Ledger'!O1681&gt;='Artifact Ledger'!G1681),'Artifact Ledger'!K1681,0))&lt;0.000001,1,0)</x:f>
        <x:v>1</x:v>
      </x:c>
      <x:c r="F4399" s="21" t="n">
        <x:v>1</x:v>
      </x:c>
      <x:c r="G4399" s="23" t="str">
        <x:f>IF(E4399=F4399,"PASS","FAIL")</x:f>
        <x:v>PASS</x:v>
      </x:c>
    </x:row>
    <x:row r="4400">
      <x:c r="B4400" s="21" t="str">
        <x:v>A04394</x:v>
      </x:c>
      <x:c r="C4400" s="21" t="str">
        <x:v>artifact</x:v>
      </x:c>
      <x:c r="D4400" s="21" t="str">
        <x:v>artifact 1675 planning state</x:v>
      </x:c>
      <x:c r="E4400" s="21" t="n">
        <x:f>IF(AND('Artifact Ledger'!Q1681="OPEN",'Artifact Ledger'!R1681="HOLD"),1,0)</x:f>
        <x:v>1</x:v>
      </x:c>
      <x:c r="F4400" s="21" t="n">
        <x:v>1</x:v>
      </x:c>
      <x:c r="G4400" s="23" t="str">
        <x:f>IF(E4400=F4400,"PASS","FAIL")</x:f>
        <x:v>PASS</x:v>
      </x:c>
    </x:row>
    <x:row r="4401">
      <x:c r="B4401" s="21" t="str">
        <x:v>A04395</x:v>
      </x:c>
      <x:c r="C4401" s="21" t="str">
        <x:v>artifact</x:v>
      </x:c>
      <x:c r="D4401" s="21" t="str">
        <x:v>artifact 1676 eligibility equation</x:v>
      </x:c>
      <x:c r="E4401" s="21" t="n">
        <x:f>IF(ABS('Artifact Ledger'!P1682-IF(AND('Artifact Ledger'!L1682=1,'Artifact Ledger'!M1682=1,'Artifact Ledger'!N1682=1,'Artifact Ledger'!O1682&gt;='Artifact Ledger'!G1682),'Artifact Ledger'!K1682,0))&lt;0.000001,1,0)</x:f>
        <x:v>1</x:v>
      </x:c>
      <x:c r="F4401" s="21" t="n">
        <x:v>1</x:v>
      </x:c>
      <x:c r="G4401" s="23" t="str">
        <x:f>IF(E4401=F4401,"PASS","FAIL")</x:f>
        <x:v>PASS</x:v>
      </x:c>
    </x:row>
    <x:row r="4402">
      <x:c r="B4402" s="21" t="str">
        <x:v>A04396</x:v>
      </x:c>
      <x:c r="C4402" s="21" t="str">
        <x:v>artifact</x:v>
      </x:c>
      <x:c r="D4402" s="21" t="str">
        <x:v>artifact 1676 planning state</x:v>
      </x:c>
      <x:c r="E4402" s="21" t="n">
        <x:f>IF(AND('Artifact Ledger'!Q1682="OPEN",'Artifact Ledger'!R1682="HOLD"),1,0)</x:f>
        <x:v>1</x:v>
      </x:c>
      <x:c r="F4402" s="21" t="n">
        <x:v>1</x:v>
      </x:c>
      <x:c r="G4402" s="23" t="str">
        <x:f>IF(E4402=F4402,"PASS","FAIL")</x:f>
        <x:v>PASS</x:v>
      </x:c>
    </x:row>
    <x:row r="4403">
      <x:c r="B4403" s="21" t="str">
        <x:v>A04397</x:v>
      </x:c>
      <x:c r="C4403" s="21" t="str">
        <x:v>artifact</x:v>
      </x:c>
      <x:c r="D4403" s="21" t="str">
        <x:v>artifact 1677 eligibility equation</x:v>
      </x:c>
      <x:c r="E4403" s="21" t="n">
        <x:f>IF(ABS('Artifact Ledger'!P1683-IF(AND('Artifact Ledger'!L1683=1,'Artifact Ledger'!M1683=1,'Artifact Ledger'!N1683=1,'Artifact Ledger'!O1683&gt;='Artifact Ledger'!G1683),'Artifact Ledger'!K1683,0))&lt;0.000001,1,0)</x:f>
        <x:v>1</x:v>
      </x:c>
      <x:c r="F4403" s="21" t="n">
        <x:v>1</x:v>
      </x:c>
      <x:c r="G4403" s="23" t="str">
        <x:f>IF(E4403=F4403,"PASS","FAIL")</x:f>
        <x:v>PASS</x:v>
      </x:c>
    </x:row>
    <x:row r="4404">
      <x:c r="B4404" s="21" t="str">
        <x:v>A04398</x:v>
      </x:c>
      <x:c r="C4404" s="21" t="str">
        <x:v>artifact</x:v>
      </x:c>
      <x:c r="D4404" s="21" t="str">
        <x:v>artifact 1677 planning state</x:v>
      </x:c>
      <x:c r="E4404" s="21" t="n">
        <x:f>IF(AND('Artifact Ledger'!Q1683="OPEN",'Artifact Ledger'!R1683="HOLD"),1,0)</x:f>
        <x:v>1</x:v>
      </x:c>
      <x:c r="F4404" s="21" t="n">
        <x:v>1</x:v>
      </x:c>
      <x:c r="G4404" s="23" t="str">
        <x:f>IF(E4404=F4404,"PASS","FAIL")</x:f>
        <x:v>PASS</x:v>
      </x:c>
    </x:row>
    <x:row r="4405">
      <x:c r="B4405" s="21" t="str">
        <x:v>A04399</x:v>
      </x:c>
      <x:c r="C4405" s="21" t="str">
        <x:v>artifact</x:v>
      </x:c>
      <x:c r="D4405" s="21" t="str">
        <x:v>artifact 1678 eligibility equation</x:v>
      </x:c>
      <x:c r="E4405" s="21" t="n">
        <x:f>IF(ABS('Artifact Ledger'!P1684-IF(AND('Artifact Ledger'!L1684=1,'Artifact Ledger'!M1684=1,'Artifact Ledger'!N1684=1,'Artifact Ledger'!O1684&gt;='Artifact Ledger'!G1684),'Artifact Ledger'!K1684,0))&lt;0.000001,1,0)</x:f>
        <x:v>1</x:v>
      </x:c>
      <x:c r="F4405" s="21" t="n">
        <x:v>1</x:v>
      </x:c>
      <x:c r="G4405" s="23" t="str">
        <x:f>IF(E4405=F4405,"PASS","FAIL")</x:f>
        <x:v>PASS</x:v>
      </x:c>
    </x:row>
    <x:row r="4406">
      <x:c r="B4406" s="21" t="str">
        <x:v>A04400</x:v>
      </x:c>
      <x:c r="C4406" s="21" t="str">
        <x:v>artifact</x:v>
      </x:c>
      <x:c r="D4406" s="21" t="str">
        <x:v>artifact 1678 planning state</x:v>
      </x:c>
      <x:c r="E4406" s="21" t="n">
        <x:f>IF(AND('Artifact Ledger'!Q1684="OPEN",'Artifact Ledger'!R1684="HOLD"),1,0)</x:f>
        <x:v>1</x:v>
      </x:c>
      <x:c r="F4406" s="21" t="n">
        <x:v>1</x:v>
      </x:c>
      <x:c r="G4406" s="23" t="str">
        <x:f>IF(E4406=F4406,"PASS","FAIL")</x:f>
        <x:v>PASS</x:v>
      </x:c>
    </x:row>
    <x:row r="4407">
      <x:c r="B4407" s="21" t="str">
        <x:v>A04401</x:v>
      </x:c>
      <x:c r="C4407" s="21" t="str">
        <x:v>artifact</x:v>
      </x:c>
      <x:c r="D4407" s="21" t="str">
        <x:v>artifact 1679 eligibility equation</x:v>
      </x:c>
      <x:c r="E4407" s="21" t="n">
        <x:f>IF(ABS('Artifact Ledger'!P1685-IF(AND('Artifact Ledger'!L1685=1,'Artifact Ledger'!M1685=1,'Artifact Ledger'!N1685=1,'Artifact Ledger'!O1685&gt;='Artifact Ledger'!G1685),'Artifact Ledger'!K1685,0))&lt;0.000001,1,0)</x:f>
        <x:v>1</x:v>
      </x:c>
      <x:c r="F4407" s="21" t="n">
        <x:v>1</x:v>
      </x:c>
      <x:c r="G4407" s="23" t="str">
        <x:f>IF(E4407=F4407,"PASS","FAIL")</x:f>
        <x:v>PASS</x:v>
      </x:c>
    </x:row>
    <x:row r="4408">
      <x:c r="B4408" s="21" t="str">
        <x:v>A04402</x:v>
      </x:c>
      <x:c r="C4408" s="21" t="str">
        <x:v>artifact</x:v>
      </x:c>
      <x:c r="D4408" s="21" t="str">
        <x:v>artifact 1679 planning state</x:v>
      </x:c>
      <x:c r="E4408" s="21" t="n">
        <x:f>IF(AND('Artifact Ledger'!Q1685="OPEN",'Artifact Ledger'!R1685="HOLD"),1,0)</x:f>
        <x:v>1</x:v>
      </x:c>
      <x:c r="F4408" s="21" t="n">
        <x:v>1</x:v>
      </x:c>
      <x:c r="G4408" s="23" t="str">
        <x:f>IF(E4408=F4408,"PASS","FAIL")</x:f>
        <x:v>PASS</x:v>
      </x:c>
    </x:row>
    <x:row r="4409">
      <x:c r="B4409" s="21" t="str">
        <x:v>A04403</x:v>
      </x:c>
      <x:c r="C4409" s="21" t="str">
        <x:v>artifact</x:v>
      </x:c>
      <x:c r="D4409" s="21" t="str">
        <x:v>artifact 1680 eligibility equation</x:v>
      </x:c>
      <x:c r="E4409" s="21" t="n">
        <x:f>IF(ABS('Artifact Ledger'!P1686-IF(AND('Artifact Ledger'!L1686=1,'Artifact Ledger'!M1686=1,'Artifact Ledger'!N1686=1,'Artifact Ledger'!O1686&gt;='Artifact Ledger'!G1686),'Artifact Ledger'!K1686,0))&lt;0.000001,1,0)</x:f>
        <x:v>1</x:v>
      </x:c>
      <x:c r="F4409" s="21" t="n">
        <x:v>1</x:v>
      </x:c>
      <x:c r="G4409" s="23" t="str">
        <x:f>IF(E4409=F4409,"PASS","FAIL")</x:f>
        <x:v>PASS</x:v>
      </x:c>
    </x:row>
    <x:row r="4410">
      <x:c r="B4410" s="21" t="str">
        <x:v>A04404</x:v>
      </x:c>
      <x:c r="C4410" s="21" t="str">
        <x:v>artifact</x:v>
      </x:c>
      <x:c r="D4410" s="21" t="str">
        <x:v>artifact 1680 planning state</x:v>
      </x:c>
      <x:c r="E4410" s="21" t="n">
        <x:f>IF(AND('Artifact Ledger'!Q1686="OPEN",'Artifact Ledger'!R1686="HOLD"),1,0)</x:f>
        <x:v>1</x:v>
      </x:c>
      <x:c r="F4410" s="21" t="n">
        <x:v>1</x:v>
      </x:c>
      <x:c r="G4410" s="23" t="str">
        <x:f>IF(E4410=F4410,"PASS","FAIL")</x:f>
        <x:v>PASS</x:v>
      </x:c>
    </x:row>
    <x:row r="4411">
      <x:c r="B4411" s="21" t="str">
        <x:v>A04405</x:v>
      </x:c>
      <x:c r="C4411" s="21" t="str">
        <x:v>artifact</x:v>
      </x:c>
      <x:c r="D4411" s="21" t="str">
        <x:v>artifact 1681 eligibility equation</x:v>
      </x:c>
      <x:c r="E4411" s="21" t="n">
        <x:f>IF(ABS('Artifact Ledger'!P1687-IF(AND('Artifact Ledger'!L1687=1,'Artifact Ledger'!M1687=1,'Artifact Ledger'!N1687=1,'Artifact Ledger'!O1687&gt;='Artifact Ledger'!G1687),'Artifact Ledger'!K1687,0))&lt;0.000001,1,0)</x:f>
        <x:v>1</x:v>
      </x:c>
      <x:c r="F4411" s="21" t="n">
        <x:v>1</x:v>
      </x:c>
      <x:c r="G4411" s="23" t="str">
        <x:f>IF(E4411=F4411,"PASS","FAIL")</x:f>
        <x:v>PASS</x:v>
      </x:c>
    </x:row>
    <x:row r="4412">
      <x:c r="B4412" s="21" t="str">
        <x:v>A04406</x:v>
      </x:c>
      <x:c r="C4412" s="21" t="str">
        <x:v>artifact</x:v>
      </x:c>
      <x:c r="D4412" s="21" t="str">
        <x:v>artifact 1681 planning state</x:v>
      </x:c>
      <x:c r="E4412" s="21" t="n">
        <x:f>IF(AND('Artifact Ledger'!Q1687="OPEN",'Artifact Ledger'!R1687="HOLD"),1,0)</x:f>
        <x:v>1</x:v>
      </x:c>
      <x:c r="F4412" s="21" t="n">
        <x:v>1</x:v>
      </x:c>
      <x:c r="G4412" s="23" t="str">
        <x:f>IF(E4412=F4412,"PASS","FAIL")</x:f>
        <x:v>PASS</x:v>
      </x:c>
    </x:row>
    <x:row r="4413">
      <x:c r="B4413" s="21" t="str">
        <x:v>A04407</x:v>
      </x:c>
      <x:c r="C4413" s="21" t="str">
        <x:v>artifact</x:v>
      </x:c>
      <x:c r="D4413" s="21" t="str">
        <x:v>artifact 1682 eligibility equation</x:v>
      </x:c>
      <x:c r="E4413" s="21" t="n">
        <x:f>IF(ABS('Artifact Ledger'!P1688-IF(AND('Artifact Ledger'!L1688=1,'Artifact Ledger'!M1688=1,'Artifact Ledger'!N1688=1,'Artifact Ledger'!O1688&gt;='Artifact Ledger'!G1688),'Artifact Ledger'!K1688,0))&lt;0.000001,1,0)</x:f>
        <x:v>1</x:v>
      </x:c>
      <x:c r="F4413" s="21" t="n">
        <x:v>1</x:v>
      </x:c>
      <x:c r="G4413" s="23" t="str">
        <x:f>IF(E4413=F4413,"PASS","FAIL")</x:f>
        <x:v>PASS</x:v>
      </x:c>
    </x:row>
    <x:row r="4414">
      <x:c r="B4414" s="21" t="str">
        <x:v>A04408</x:v>
      </x:c>
      <x:c r="C4414" s="21" t="str">
        <x:v>artifact</x:v>
      </x:c>
      <x:c r="D4414" s="21" t="str">
        <x:v>artifact 1682 planning state</x:v>
      </x:c>
      <x:c r="E4414" s="21" t="n">
        <x:f>IF(AND('Artifact Ledger'!Q1688="OPEN",'Artifact Ledger'!R1688="HOLD"),1,0)</x:f>
        <x:v>1</x:v>
      </x:c>
      <x:c r="F4414" s="21" t="n">
        <x:v>1</x:v>
      </x:c>
      <x:c r="G4414" s="23" t="str">
        <x:f>IF(E4414=F4414,"PASS","FAIL")</x:f>
        <x:v>PASS</x:v>
      </x:c>
    </x:row>
    <x:row r="4415">
      <x:c r="B4415" s="21" t="str">
        <x:v>A04409</x:v>
      </x:c>
      <x:c r="C4415" s="21" t="str">
        <x:v>artifact</x:v>
      </x:c>
      <x:c r="D4415" s="21" t="str">
        <x:v>artifact 1683 eligibility equation</x:v>
      </x:c>
      <x:c r="E4415" s="21" t="n">
        <x:f>IF(ABS('Artifact Ledger'!P1689-IF(AND('Artifact Ledger'!L1689=1,'Artifact Ledger'!M1689=1,'Artifact Ledger'!N1689=1,'Artifact Ledger'!O1689&gt;='Artifact Ledger'!G1689),'Artifact Ledger'!K1689,0))&lt;0.000001,1,0)</x:f>
        <x:v>1</x:v>
      </x:c>
      <x:c r="F4415" s="21" t="n">
        <x:v>1</x:v>
      </x:c>
      <x:c r="G4415" s="23" t="str">
        <x:f>IF(E4415=F4415,"PASS","FAIL")</x:f>
        <x:v>PASS</x:v>
      </x:c>
    </x:row>
    <x:row r="4416">
      <x:c r="B4416" s="21" t="str">
        <x:v>A04410</x:v>
      </x:c>
      <x:c r="C4416" s="21" t="str">
        <x:v>artifact</x:v>
      </x:c>
      <x:c r="D4416" s="21" t="str">
        <x:v>artifact 1683 planning state</x:v>
      </x:c>
      <x:c r="E4416" s="21" t="n">
        <x:f>IF(AND('Artifact Ledger'!Q1689="OPEN",'Artifact Ledger'!R1689="HOLD"),1,0)</x:f>
        <x:v>1</x:v>
      </x:c>
      <x:c r="F4416" s="21" t="n">
        <x:v>1</x:v>
      </x:c>
      <x:c r="G4416" s="23" t="str">
        <x:f>IF(E4416=F4416,"PASS","FAIL")</x:f>
        <x:v>PASS</x:v>
      </x:c>
    </x:row>
    <x:row r="4417">
      <x:c r="B4417" s="21" t="str">
        <x:v>A04411</x:v>
      </x:c>
      <x:c r="C4417" s="21" t="str">
        <x:v>artifact</x:v>
      </x:c>
      <x:c r="D4417" s="21" t="str">
        <x:v>artifact 1684 eligibility equation</x:v>
      </x:c>
      <x:c r="E4417" s="21" t="n">
        <x:f>IF(ABS('Artifact Ledger'!P1690-IF(AND('Artifact Ledger'!L1690=1,'Artifact Ledger'!M1690=1,'Artifact Ledger'!N1690=1,'Artifact Ledger'!O1690&gt;='Artifact Ledger'!G1690),'Artifact Ledger'!K1690,0))&lt;0.000001,1,0)</x:f>
        <x:v>1</x:v>
      </x:c>
      <x:c r="F4417" s="21" t="n">
        <x:v>1</x:v>
      </x:c>
      <x:c r="G4417" s="23" t="str">
        <x:f>IF(E4417=F4417,"PASS","FAIL")</x:f>
        <x:v>PASS</x:v>
      </x:c>
    </x:row>
    <x:row r="4418">
      <x:c r="B4418" s="21" t="str">
        <x:v>A04412</x:v>
      </x:c>
      <x:c r="C4418" s="21" t="str">
        <x:v>artifact</x:v>
      </x:c>
      <x:c r="D4418" s="21" t="str">
        <x:v>artifact 1684 planning state</x:v>
      </x:c>
      <x:c r="E4418" s="21" t="n">
        <x:f>IF(AND('Artifact Ledger'!Q1690="OPEN",'Artifact Ledger'!R1690="HOLD"),1,0)</x:f>
        <x:v>1</x:v>
      </x:c>
      <x:c r="F4418" s="21" t="n">
        <x:v>1</x:v>
      </x:c>
      <x:c r="G4418" s="23" t="str">
        <x:f>IF(E4418=F4418,"PASS","FAIL")</x:f>
        <x:v>PASS</x:v>
      </x:c>
    </x:row>
    <x:row r="4419">
      <x:c r="B4419" s="21" t="str">
        <x:v>A04413</x:v>
      </x:c>
      <x:c r="C4419" s="21" t="str">
        <x:v>artifact</x:v>
      </x:c>
      <x:c r="D4419" s="21" t="str">
        <x:v>artifact 1685 eligibility equation</x:v>
      </x:c>
      <x:c r="E4419" s="21" t="n">
        <x:f>IF(ABS('Artifact Ledger'!P1691-IF(AND('Artifact Ledger'!L1691=1,'Artifact Ledger'!M1691=1,'Artifact Ledger'!N1691=1,'Artifact Ledger'!O1691&gt;='Artifact Ledger'!G1691),'Artifact Ledger'!K1691,0))&lt;0.000001,1,0)</x:f>
        <x:v>1</x:v>
      </x:c>
      <x:c r="F4419" s="21" t="n">
        <x:v>1</x:v>
      </x:c>
      <x:c r="G4419" s="23" t="str">
        <x:f>IF(E4419=F4419,"PASS","FAIL")</x:f>
        <x:v>PASS</x:v>
      </x:c>
    </x:row>
    <x:row r="4420">
      <x:c r="B4420" s="21" t="str">
        <x:v>A04414</x:v>
      </x:c>
      <x:c r="C4420" s="21" t="str">
        <x:v>artifact</x:v>
      </x:c>
      <x:c r="D4420" s="21" t="str">
        <x:v>artifact 1685 planning state</x:v>
      </x:c>
      <x:c r="E4420" s="21" t="n">
        <x:f>IF(AND('Artifact Ledger'!Q1691="OPEN",'Artifact Ledger'!R1691="HOLD"),1,0)</x:f>
        <x:v>1</x:v>
      </x:c>
      <x:c r="F4420" s="21" t="n">
        <x:v>1</x:v>
      </x:c>
      <x:c r="G4420" s="23" t="str">
        <x:f>IF(E4420=F4420,"PASS","FAIL")</x:f>
        <x:v>PASS</x:v>
      </x:c>
    </x:row>
    <x:row r="4421">
      <x:c r="B4421" s="21" t="str">
        <x:v>A04415</x:v>
      </x:c>
      <x:c r="C4421" s="21" t="str">
        <x:v>artifact</x:v>
      </x:c>
      <x:c r="D4421" s="21" t="str">
        <x:v>artifact 1686 eligibility equation</x:v>
      </x:c>
      <x:c r="E4421" s="21" t="n">
        <x:f>IF(ABS('Artifact Ledger'!P1692-IF(AND('Artifact Ledger'!L1692=1,'Artifact Ledger'!M1692=1,'Artifact Ledger'!N1692=1,'Artifact Ledger'!O1692&gt;='Artifact Ledger'!G1692),'Artifact Ledger'!K1692,0))&lt;0.000001,1,0)</x:f>
        <x:v>1</x:v>
      </x:c>
      <x:c r="F4421" s="21" t="n">
        <x:v>1</x:v>
      </x:c>
      <x:c r="G4421" s="23" t="str">
        <x:f>IF(E4421=F4421,"PASS","FAIL")</x:f>
        <x:v>PASS</x:v>
      </x:c>
    </x:row>
    <x:row r="4422">
      <x:c r="B4422" s="21" t="str">
        <x:v>A04416</x:v>
      </x:c>
      <x:c r="C4422" s="21" t="str">
        <x:v>artifact</x:v>
      </x:c>
      <x:c r="D4422" s="21" t="str">
        <x:v>artifact 1686 planning state</x:v>
      </x:c>
      <x:c r="E4422" s="21" t="n">
        <x:f>IF(AND('Artifact Ledger'!Q1692="OPEN",'Artifact Ledger'!R1692="HOLD"),1,0)</x:f>
        <x:v>1</x:v>
      </x:c>
      <x:c r="F4422" s="21" t="n">
        <x:v>1</x:v>
      </x:c>
      <x:c r="G4422" s="23" t="str">
        <x:f>IF(E4422=F4422,"PASS","FAIL")</x:f>
        <x:v>PASS</x:v>
      </x:c>
    </x:row>
    <x:row r="4423">
      <x:c r="B4423" s="21" t="str">
        <x:v>A04417</x:v>
      </x:c>
      <x:c r="C4423" s="21" t="str">
        <x:v>artifact</x:v>
      </x:c>
      <x:c r="D4423" s="21" t="str">
        <x:v>artifact 1687 eligibility equation</x:v>
      </x:c>
      <x:c r="E4423" s="21" t="n">
        <x:f>IF(ABS('Artifact Ledger'!P1693-IF(AND('Artifact Ledger'!L1693=1,'Artifact Ledger'!M1693=1,'Artifact Ledger'!N1693=1,'Artifact Ledger'!O1693&gt;='Artifact Ledger'!G1693),'Artifact Ledger'!K1693,0))&lt;0.000001,1,0)</x:f>
        <x:v>1</x:v>
      </x:c>
      <x:c r="F4423" s="21" t="n">
        <x:v>1</x:v>
      </x:c>
      <x:c r="G4423" s="23" t="str">
        <x:f>IF(E4423=F4423,"PASS","FAIL")</x:f>
        <x:v>PASS</x:v>
      </x:c>
    </x:row>
    <x:row r="4424">
      <x:c r="B4424" s="21" t="str">
        <x:v>A04418</x:v>
      </x:c>
      <x:c r="C4424" s="21" t="str">
        <x:v>artifact</x:v>
      </x:c>
      <x:c r="D4424" s="21" t="str">
        <x:v>artifact 1687 planning state</x:v>
      </x:c>
      <x:c r="E4424" s="21" t="n">
        <x:f>IF(AND('Artifact Ledger'!Q1693="OPEN",'Artifact Ledger'!R1693="HOLD"),1,0)</x:f>
        <x:v>1</x:v>
      </x:c>
      <x:c r="F4424" s="21" t="n">
        <x:v>1</x:v>
      </x:c>
      <x:c r="G4424" s="23" t="str">
        <x:f>IF(E4424=F4424,"PASS","FAIL")</x:f>
        <x:v>PASS</x:v>
      </x:c>
    </x:row>
    <x:row r="4425">
      <x:c r="B4425" s="21" t="str">
        <x:v>A04419</x:v>
      </x:c>
      <x:c r="C4425" s="21" t="str">
        <x:v>artifact</x:v>
      </x:c>
      <x:c r="D4425" s="21" t="str">
        <x:v>artifact 1688 eligibility equation</x:v>
      </x:c>
      <x:c r="E4425" s="21" t="n">
        <x:f>IF(ABS('Artifact Ledger'!P1694-IF(AND('Artifact Ledger'!L1694=1,'Artifact Ledger'!M1694=1,'Artifact Ledger'!N1694=1,'Artifact Ledger'!O1694&gt;='Artifact Ledger'!G1694),'Artifact Ledger'!K1694,0))&lt;0.000001,1,0)</x:f>
        <x:v>1</x:v>
      </x:c>
      <x:c r="F4425" s="21" t="n">
        <x:v>1</x:v>
      </x:c>
      <x:c r="G4425" s="23" t="str">
        <x:f>IF(E4425=F4425,"PASS","FAIL")</x:f>
        <x:v>PASS</x:v>
      </x:c>
    </x:row>
    <x:row r="4426">
      <x:c r="B4426" s="21" t="str">
        <x:v>A04420</x:v>
      </x:c>
      <x:c r="C4426" s="21" t="str">
        <x:v>artifact</x:v>
      </x:c>
      <x:c r="D4426" s="21" t="str">
        <x:v>artifact 1688 planning state</x:v>
      </x:c>
      <x:c r="E4426" s="21" t="n">
        <x:f>IF(AND('Artifact Ledger'!Q1694="OPEN",'Artifact Ledger'!R1694="HOLD"),1,0)</x:f>
        <x:v>1</x:v>
      </x:c>
      <x:c r="F4426" s="21" t="n">
        <x:v>1</x:v>
      </x:c>
      <x:c r="G4426" s="23" t="str">
        <x:f>IF(E4426=F4426,"PASS","FAIL")</x:f>
        <x:v>PASS</x:v>
      </x:c>
    </x:row>
    <x:row r="4427">
      <x:c r="B4427" s="21" t="str">
        <x:v>A04421</x:v>
      </x:c>
      <x:c r="C4427" s="21" t="str">
        <x:v>artifact</x:v>
      </x:c>
      <x:c r="D4427" s="21" t="str">
        <x:v>artifact 1689 eligibility equation</x:v>
      </x:c>
      <x:c r="E4427" s="21" t="n">
        <x:f>IF(ABS('Artifact Ledger'!P1695-IF(AND('Artifact Ledger'!L1695=1,'Artifact Ledger'!M1695=1,'Artifact Ledger'!N1695=1,'Artifact Ledger'!O1695&gt;='Artifact Ledger'!G1695),'Artifact Ledger'!K1695,0))&lt;0.000001,1,0)</x:f>
        <x:v>1</x:v>
      </x:c>
      <x:c r="F4427" s="21" t="n">
        <x:v>1</x:v>
      </x:c>
      <x:c r="G4427" s="23" t="str">
        <x:f>IF(E4427=F4427,"PASS","FAIL")</x:f>
        <x:v>PASS</x:v>
      </x:c>
    </x:row>
    <x:row r="4428">
      <x:c r="B4428" s="21" t="str">
        <x:v>A04422</x:v>
      </x:c>
      <x:c r="C4428" s="21" t="str">
        <x:v>artifact</x:v>
      </x:c>
      <x:c r="D4428" s="21" t="str">
        <x:v>artifact 1689 planning state</x:v>
      </x:c>
      <x:c r="E4428" s="21" t="n">
        <x:f>IF(AND('Artifact Ledger'!Q1695="OPEN",'Artifact Ledger'!R1695="HOLD"),1,0)</x:f>
        <x:v>1</x:v>
      </x:c>
      <x:c r="F4428" s="21" t="n">
        <x:v>1</x:v>
      </x:c>
      <x:c r="G4428" s="23" t="str">
        <x:f>IF(E4428=F4428,"PASS","FAIL")</x:f>
        <x:v>PASS</x:v>
      </x:c>
    </x:row>
    <x:row r="4429">
      <x:c r="B4429" s="21" t="str">
        <x:v>A04423</x:v>
      </x:c>
      <x:c r="C4429" s="21" t="str">
        <x:v>artifact</x:v>
      </x:c>
      <x:c r="D4429" s="21" t="str">
        <x:v>artifact 1690 eligibility equation</x:v>
      </x:c>
      <x:c r="E4429" s="21" t="n">
        <x:f>IF(ABS('Artifact Ledger'!P1696-IF(AND('Artifact Ledger'!L1696=1,'Artifact Ledger'!M1696=1,'Artifact Ledger'!N1696=1,'Artifact Ledger'!O1696&gt;='Artifact Ledger'!G1696),'Artifact Ledger'!K1696,0))&lt;0.000001,1,0)</x:f>
        <x:v>1</x:v>
      </x:c>
      <x:c r="F4429" s="21" t="n">
        <x:v>1</x:v>
      </x:c>
      <x:c r="G4429" s="23" t="str">
        <x:f>IF(E4429=F4429,"PASS","FAIL")</x:f>
        <x:v>PASS</x:v>
      </x:c>
    </x:row>
    <x:row r="4430">
      <x:c r="B4430" s="21" t="str">
        <x:v>A04424</x:v>
      </x:c>
      <x:c r="C4430" s="21" t="str">
        <x:v>artifact</x:v>
      </x:c>
      <x:c r="D4430" s="21" t="str">
        <x:v>artifact 1690 planning state</x:v>
      </x:c>
      <x:c r="E4430" s="21" t="n">
        <x:f>IF(AND('Artifact Ledger'!Q1696="OPEN",'Artifact Ledger'!R1696="HOLD"),1,0)</x:f>
        <x:v>1</x:v>
      </x:c>
      <x:c r="F4430" s="21" t="n">
        <x:v>1</x:v>
      </x:c>
      <x:c r="G4430" s="23" t="str">
        <x:f>IF(E4430=F4430,"PASS","FAIL")</x:f>
        <x:v>PASS</x:v>
      </x:c>
    </x:row>
    <x:row r="4431">
      <x:c r="B4431" s="21" t="str">
        <x:v>A04425</x:v>
      </x:c>
      <x:c r="C4431" s="21" t="str">
        <x:v>artifact</x:v>
      </x:c>
      <x:c r="D4431" s="21" t="str">
        <x:v>artifact 1691 eligibility equation</x:v>
      </x:c>
      <x:c r="E4431" s="21" t="n">
        <x:f>IF(ABS('Artifact Ledger'!P1697-IF(AND('Artifact Ledger'!L1697=1,'Artifact Ledger'!M1697=1,'Artifact Ledger'!N1697=1,'Artifact Ledger'!O1697&gt;='Artifact Ledger'!G1697),'Artifact Ledger'!K1697,0))&lt;0.000001,1,0)</x:f>
        <x:v>1</x:v>
      </x:c>
      <x:c r="F4431" s="21" t="n">
        <x:v>1</x:v>
      </x:c>
      <x:c r="G4431" s="23" t="str">
        <x:f>IF(E4431=F4431,"PASS","FAIL")</x:f>
        <x:v>PASS</x:v>
      </x:c>
    </x:row>
    <x:row r="4432">
      <x:c r="B4432" s="21" t="str">
        <x:v>A04426</x:v>
      </x:c>
      <x:c r="C4432" s="21" t="str">
        <x:v>artifact</x:v>
      </x:c>
      <x:c r="D4432" s="21" t="str">
        <x:v>artifact 1691 planning state</x:v>
      </x:c>
      <x:c r="E4432" s="21" t="n">
        <x:f>IF(AND('Artifact Ledger'!Q1697="OPEN",'Artifact Ledger'!R1697="HOLD"),1,0)</x:f>
        <x:v>1</x:v>
      </x:c>
      <x:c r="F4432" s="21" t="n">
        <x:v>1</x:v>
      </x:c>
      <x:c r="G4432" s="23" t="str">
        <x:f>IF(E4432=F4432,"PASS","FAIL")</x:f>
        <x:v>PASS</x:v>
      </x:c>
    </x:row>
    <x:row r="4433">
      <x:c r="B4433" s="21" t="str">
        <x:v>A04427</x:v>
      </x:c>
      <x:c r="C4433" s="21" t="str">
        <x:v>artifact</x:v>
      </x:c>
      <x:c r="D4433" s="21" t="str">
        <x:v>artifact 1692 eligibility equation</x:v>
      </x:c>
      <x:c r="E4433" s="21" t="n">
        <x:f>IF(ABS('Artifact Ledger'!P1698-IF(AND('Artifact Ledger'!L1698=1,'Artifact Ledger'!M1698=1,'Artifact Ledger'!N1698=1,'Artifact Ledger'!O1698&gt;='Artifact Ledger'!G1698),'Artifact Ledger'!K1698,0))&lt;0.000001,1,0)</x:f>
        <x:v>1</x:v>
      </x:c>
      <x:c r="F4433" s="21" t="n">
        <x:v>1</x:v>
      </x:c>
      <x:c r="G4433" s="23" t="str">
        <x:f>IF(E4433=F4433,"PASS","FAIL")</x:f>
        <x:v>PASS</x:v>
      </x:c>
    </x:row>
    <x:row r="4434">
      <x:c r="B4434" s="21" t="str">
        <x:v>A04428</x:v>
      </x:c>
      <x:c r="C4434" s="21" t="str">
        <x:v>artifact</x:v>
      </x:c>
      <x:c r="D4434" s="21" t="str">
        <x:v>artifact 1692 planning state</x:v>
      </x:c>
      <x:c r="E4434" s="21" t="n">
        <x:f>IF(AND('Artifact Ledger'!Q1698="OPEN",'Artifact Ledger'!R1698="HOLD"),1,0)</x:f>
        <x:v>1</x:v>
      </x:c>
      <x:c r="F4434" s="21" t="n">
        <x:v>1</x:v>
      </x:c>
      <x:c r="G4434" s="23" t="str">
        <x:f>IF(E4434=F4434,"PASS","FAIL")</x:f>
        <x:v>PASS</x:v>
      </x:c>
    </x:row>
    <x:row r="4435">
      <x:c r="B4435" s="21" t="str">
        <x:v>A04429</x:v>
      </x:c>
      <x:c r="C4435" s="21" t="str">
        <x:v>artifact</x:v>
      </x:c>
      <x:c r="D4435" s="21" t="str">
        <x:v>artifact 1693 eligibility equation</x:v>
      </x:c>
      <x:c r="E4435" s="21" t="n">
        <x:f>IF(ABS('Artifact Ledger'!P1699-IF(AND('Artifact Ledger'!L1699=1,'Artifact Ledger'!M1699=1,'Artifact Ledger'!N1699=1,'Artifact Ledger'!O1699&gt;='Artifact Ledger'!G1699),'Artifact Ledger'!K1699,0))&lt;0.000001,1,0)</x:f>
        <x:v>1</x:v>
      </x:c>
      <x:c r="F4435" s="21" t="n">
        <x:v>1</x:v>
      </x:c>
      <x:c r="G4435" s="23" t="str">
        <x:f>IF(E4435=F4435,"PASS","FAIL")</x:f>
        <x:v>PASS</x:v>
      </x:c>
    </x:row>
    <x:row r="4436">
      <x:c r="B4436" s="21" t="str">
        <x:v>A04430</x:v>
      </x:c>
      <x:c r="C4436" s="21" t="str">
        <x:v>artifact</x:v>
      </x:c>
      <x:c r="D4436" s="21" t="str">
        <x:v>artifact 1693 planning state</x:v>
      </x:c>
      <x:c r="E4436" s="21" t="n">
        <x:f>IF(AND('Artifact Ledger'!Q1699="OPEN",'Artifact Ledger'!R1699="HOLD"),1,0)</x:f>
        <x:v>1</x:v>
      </x:c>
      <x:c r="F4436" s="21" t="n">
        <x:v>1</x:v>
      </x:c>
      <x:c r="G4436" s="23" t="str">
        <x:f>IF(E4436=F4436,"PASS","FAIL")</x:f>
        <x:v>PASS</x:v>
      </x:c>
    </x:row>
    <x:row r="4437">
      <x:c r="B4437" s="21" t="str">
        <x:v>A04431</x:v>
      </x:c>
      <x:c r="C4437" s="21" t="str">
        <x:v>artifact</x:v>
      </x:c>
      <x:c r="D4437" s="21" t="str">
        <x:v>artifact 1694 eligibility equation</x:v>
      </x:c>
      <x:c r="E4437" s="21" t="n">
        <x:f>IF(ABS('Artifact Ledger'!P1700-IF(AND('Artifact Ledger'!L1700=1,'Artifact Ledger'!M1700=1,'Artifact Ledger'!N1700=1,'Artifact Ledger'!O1700&gt;='Artifact Ledger'!G1700),'Artifact Ledger'!K1700,0))&lt;0.000001,1,0)</x:f>
        <x:v>1</x:v>
      </x:c>
      <x:c r="F4437" s="21" t="n">
        <x:v>1</x:v>
      </x:c>
      <x:c r="G4437" s="23" t="str">
        <x:f>IF(E4437=F4437,"PASS","FAIL")</x:f>
        <x:v>PASS</x:v>
      </x:c>
    </x:row>
    <x:row r="4438">
      <x:c r="B4438" s="21" t="str">
        <x:v>A04432</x:v>
      </x:c>
      <x:c r="C4438" s="21" t="str">
        <x:v>artifact</x:v>
      </x:c>
      <x:c r="D4438" s="21" t="str">
        <x:v>artifact 1694 planning state</x:v>
      </x:c>
      <x:c r="E4438" s="21" t="n">
        <x:f>IF(AND('Artifact Ledger'!Q1700="OPEN",'Artifact Ledger'!R1700="HOLD"),1,0)</x:f>
        <x:v>1</x:v>
      </x:c>
      <x:c r="F4438" s="21" t="n">
        <x:v>1</x:v>
      </x:c>
      <x:c r="G4438" s="23" t="str">
        <x:f>IF(E4438=F4438,"PASS","FAIL")</x:f>
        <x:v>PASS</x:v>
      </x:c>
    </x:row>
    <x:row r="4439">
      <x:c r="B4439" s="21" t="str">
        <x:v>A04433</x:v>
      </x:c>
      <x:c r="C4439" s="21" t="str">
        <x:v>artifact</x:v>
      </x:c>
      <x:c r="D4439" s="21" t="str">
        <x:v>artifact 1695 eligibility equation</x:v>
      </x:c>
      <x:c r="E4439" s="21" t="n">
        <x:f>IF(ABS('Artifact Ledger'!P1701-IF(AND('Artifact Ledger'!L1701=1,'Artifact Ledger'!M1701=1,'Artifact Ledger'!N1701=1,'Artifact Ledger'!O1701&gt;='Artifact Ledger'!G1701),'Artifact Ledger'!K1701,0))&lt;0.000001,1,0)</x:f>
        <x:v>1</x:v>
      </x:c>
      <x:c r="F4439" s="21" t="n">
        <x:v>1</x:v>
      </x:c>
      <x:c r="G4439" s="23" t="str">
        <x:f>IF(E4439=F4439,"PASS","FAIL")</x:f>
        <x:v>PASS</x:v>
      </x:c>
    </x:row>
    <x:row r="4440">
      <x:c r="B4440" s="21" t="str">
        <x:v>A04434</x:v>
      </x:c>
      <x:c r="C4440" s="21" t="str">
        <x:v>artifact</x:v>
      </x:c>
      <x:c r="D4440" s="21" t="str">
        <x:v>artifact 1695 planning state</x:v>
      </x:c>
      <x:c r="E4440" s="21" t="n">
        <x:f>IF(AND('Artifact Ledger'!Q1701="OPEN",'Artifact Ledger'!R1701="HOLD"),1,0)</x:f>
        <x:v>1</x:v>
      </x:c>
      <x:c r="F4440" s="21" t="n">
        <x:v>1</x:v>
      </x:c>
      <x:c r="G4440" s="23" t="str">
        <x:f>IF(E4440=F4440,"PASS","FAIL")</x:f>
        <x:v>PASS</x:v>
      </x:c>
    </x:row>
    <x:row r="4441">
      <x:c r="B4441" s="21" t="str">
        <x:v>A04435</x:v>
      </x:c>
      <x:c r="C4441" s="21" t="str">
        <x:v>artifact</x:v>
      </x:c>
      <x:c r="D4441" s="21" t="str">
        <x:v>artifact 1696 eligibility equation</x:v>
      </x:c>
      <x:c r="E4441" s="21" t="n">
        <x:f>IF(ABS('Artifact Ledger'!P1702-IF(AND('Artifact Ledger'!L1702=1,'Artifact Ledger'!M1702=1,'Artifact Ledger'!N1702=1,'Artifact Ledger'!O1702&gt;='Artifact Ledger'!G1702),'Artifact Ledger'!K1702,0))&lt;0.000001,1,0)</x:f>
        <x:v>1</x:v>
      </x:c>
      <x:c r="F4441" s="21" t="n">
        <x:v>1</x:v>
      </x:c>
      <x:c r="G4441" s="23" t="str">
        <x:f>IF(E4441=F4441,"PASS","FAIL")</x:f>
        <x:v>PASS</x:v>
      </x:c>
    </x:row>
    <x:row r="4442">
      <x:c r="B4442" s="21" t="str">
        <x:v>A04436</x:v>
      </x:c>
      <x:c r="C4442" s="21" t="str">
        <x:v>artifact</x:v>
      </x:c>
      <x:c r="D4442" s="21" t="str">
        <x:v>artifact 1696 planning state</x:v>
      </x:c>
      <x:c r="E4442" s="21" t="n">
        <x:f>IF(AND('Artifact Ledger'!Q1702="OPEN",'Artifact Ledger'!R1702="HOLD"),1,0)</x:f>
        <x:v>1</x:v>
      </x:c>
      <x:c r="F4442" s="21" t="n">
        <x:v>1</x:v>
      </x:c>
      <x:c r="G4442" s="23" t="str">
        <x:f>IF(E4442=F4442,"PASS","FAIL")</x:f>
        <x:v>PASS</x:v>
      </x:c>
    </x:row>
    <x:row r="4443">
      <x:c r="B4443" s="21" t="str">
        <x:v>A04437</x:v>
      </x:c>
      <x:c r="C4443" s="21" t="str">
        <x:v>artifact</x:v>
      </x:c>
      <x:c r="D4443" s="21" t="str">
        <x:v>artifact 1697 eligibility equation</x:v>
      </x:c>
      <x:c r="E4443" s="21" t="n">
        <x:f>IF(ABS('Artifact Ledger'!P1703-IF(AND('Artifact Ledger'!L1703=1,'Artifact Ledger'!M1703=1,'Artifact Ledger'!N1703=1,'Artifact Ledger'!O1703&gt;='Artifact Ledger'!G1703),'Artifact Ledger'!K1703,0))&lt;0.000001,1,0)</x:f>
        <x:v>1</x:v>
      </x:c>
      <x:c r="F4443" s="21" t="n">
        <x:v>1</x:v>
      </x:c>
      <x:c r="G4443" s="23" t="str">
        <x:f>IF(E4443=F4443,"PASS","FAIL")</x:f>
        <x:v>PASS</x:v>
      </x:c>
    </x:row>
    <x:row r="4444">
      <x:c r="B4444" s="21" t="str">
        <x:v>A04438</x:v>
      </x:c>
      <x:c r="C4444" s="21" t="str">
        <x:v>artifact</x:v>
      </x:c>
      <x:c r="D4444" s="21" t="str">
        <x:v>artifact 1697 planning state</x:v>
      </x:c>
      <x:c r="E4444" s="21" t="n">
        <x:f>IF(AND('Artifact Ledger'!Q1703="OPEN",'Artifact Ledger'!R1703="HOLD"),1,0)</x:f>
        <x:v>1</x:v>
      </x:c>
      <x:c r="F4444" s="21" t="n">
        <x:v>1</x:v>
      </x:c>
      <x:c r="G4444" s="23" t="str">
        <x:f>IF(E4444=F4444,"PASS","FAIL")</x:f>
        <x:v>PASS</x:v>
      </x:c>
    </x:row>
    <x:row r="4445">
      <x:c r="B4445" s="21" t="str">
        <x:v>A04439</x:v>
      </x:c>
      <x:c r="C4445" s="21" t="str">
        <x:v>artifact</x:v>
      </x:c>
      <x:c r="D4445" s="21" t="str">
        <x:v>artifact 1698 eligibility equation</x:v>
      </x:c>
      <x:c r="E4445" s="21" t="n">
        <x:f>IF(ABS('Artifact Ledger'!P1704-IF(AND('Artifact Ledger'!L1704=1,'Artifact Ledger'!M1704=1,'Artifact Ledger'!N1704=1,'Artifact Ledger'!O1704&gt;='Artifact Ledger'!G1704),'Artifact Ledger'!K1704,0))&lt;0.000001,1,0)</x:f>
        <x:v>1</x:v>
      </x:c>
      <x:c r="F4445" s="21" t="n">
        <x:v>1</x:v>
      </x:c>
      <x:c r="G4445" s="23" t="str">
        <x:f>IF(E4445=F4445,"PASS","FAIL")</x:f>
        <x:v>PASS</x:v>
      </x:c>
    </x:row>
    <x:row r="4446">
      <x:c r="B4446" s="21" t="str">
        <x:v>A04440</x:v>
      </x:c>
      <x:c r="C4446" s="21" t="str">
        <x:v>artifact</x:v>
      </x:c>
      <x:c r="D4446" s="21" t="str">
        <x:v>artifact 1698 planning state</x:v>
      </x:c>
      <x:c r="E4446" s="21" t="n">
        <x:f>IF(AND('Artifact Ledger'!Q1704="OPEN",'Artifact Ledger'!R1704="HOLD"),1,0)</x:f>
        <x:v>1</x:v>
      </x:c>
      <x:c r="F4446" s="21" t="n">
        <x:v>1</x:v>
      </x:c>
      <x:c r="G4446" s="23" t="str">
        <x:f>IF(E4446=F4446,"PASS","FAIL")</x:f>
        <x:v>PASS</x:v>
      </x:c>
    </x:row>
    <x:row r="4447">
      <x:c r="B4447" s="21" t="str">
        <x:v>A04441</x:v>
      </x:c>
      <x:c r="C4447" s="21" t="str">
        <x:v>artifact</x:v>
      </x:c>
      <x:c r="D4447" s="21" t="str">
        <x:v>artifact 1699 eligibility equation</x:v>
      </x:c>
      <x:c r="E4447" s="21" t="n">
        <x:f>IF(ABS('Artifact Ledger'!P1705-IF(AND('Artifact Ledger'!L1705=1,'Artifact Ledger'!M1705=1,'Artifact Ledger'!N1705=1,'Artifact Ledger'!O1705&gt;='Artifact Ledger'!G1705),'Artifact Ledger'!K1705,0))&lt;0.000001,1,0)</x:f>
        <x:v>1</x:v>
      </x:c>
      <x:c r="F4447" s="21" t="n">
        <x:v>1</x:v>
      </x:c>
      <x:c r="G4447" s="23" t="str">
        <x:f>IF(E4447=F4447,"PASS","FAIL")</x:f>
        <x:v>PASS</x:v>
      </x:c>
    </x:row>
    <x:row r="4448">
      <x:c r="B4448" s="21" t="str">
        <x:v>A04442</x:v>
      </x:c>
      <x:c r="C4448" s="21" t="str">
        <x:v>artifact</x:v>
      </x:c>
      <x:c r="D4448" s="21" t="str">
        <x:v>artifact 1699 planning state</x:v>
      </x:c>
      <x:c r="E4448" s="21" t="n">
        <x:f>IF(AND('Artifact Ledger'!Q1705="OPEN",'Artifact Ledger'!R1705="HOLD"),1,0)</x:f>
        <x:v>1</x:v>
      </x:c>
      <x:c r="F4448" s="21" t="n">
        <x:v>1</x:v>
      </x:c>
      <x:c r="G4448" s="23" t="str">
        <x:f>IF(E4448=F4448,"PASS","FAIL")</x:f>
        <x:v>PASS</x:v>
      </x:c>
    </x:row>
    <x:row r="4449">
      <x:c r="B4449" s="21" t="str">
        <x:v>A04443</x:v>
      </x:c>
      <x:c r="C4449" s="21" t="str">
        <x:v>artifact</x:v>
      </x:c>
      <x:c r="D4449" s="21" t="str">
        <x:v>artifact 1700 eligibility equation</x:v>
      </x:c>
      <x:c r="E4449" s="21" t="n">
        <x:f>IF(ABS('Artifact Ledger'!P1706-IF(AND('Artifact Ledger'!L1706=1,'Artifact Ledger'!M1706=1,'Artifact Ledger'!N1706=1,'Artifact Ledger'!O1706&gt;='Artifact Ledger'!G1706),'Artifact Ledger'!K1706,0))&lt;0.000001,1,0)</x:f>
        <x:v>1</x:v>
      </x:c>
      <x:c r="F4449" s="21" t="n">
        <x:v>1</x:v>
      </x:c>
      <x:c r="G4449" s="23" t="str">
        <x:f>IF(E4449=F4449,"PASS","FAIL")</x:f>
        <x:v>PASS</x:v>
      </x:c>
    </x:row>
    <x:row r="4450">
      <x:c r="B4450" s="21" t="str">
        <x:v>A04444</x:v>
      </x:c>
      <x:c r="C4450" s="21" t="str">
        <x:v>artifact</x:v>
      </x:c>
      <x:c r="D4450" s="21" t="str">
        <x:v>artifact 1700 planning state</x:v>
      </x:c>
      <x:c r="E4450" s="21" t="n">
        <x:f>IF(AND('Artifact Ledger'!Q1706="OPEN",'Artifact Ledger'!R1706="HOLD"),1,0)</x:f>
        <x:v>1</x:v>
      </x:c>
      <x:c r="F4450" s="21" t="n">
        <x:v>1</x:v>
      </x:c>
      <x:c r="G4450" s="23" t="str">
        <x:f>IF(E4450=F4450,"PASS","FAIL")</x:f>
        <x:v>PASS</x:v>
      </x:c>
    </x:row>
    <x:row r="4451">
      <x:c r="B4451" s="21" t="str">
        <x:v>A04445</x:v>
      </x:c>
      <x:c r="C4451" s="21" t="str">
        <x:v>artifact</x:v>
      </x:c>
      <x:c r="D4451" s="21" t="str">
        <x:v>artifact 1701 eligibility equation</x:v>
      </x:c>
      <x:c r="E4451" s="21" t="n">
        <x:f>IF(ABS('Artifact Ledger'!P1707-IF(AND('Artifact Ledger'!L1707=1,'Artifact Ledger'!M1707=1,'Artifact Ledger'!N1707=1,'Artifact Ledger'!O1707&gt;='Artifact Ledger'!G1707),'Artifact Ledger'!K1707,0))&lt;0.000001,1,0)</x:f>
        <x:v>1</x:v>
      </x:c>
      <x:c r="F4451" s="21" t="n">
        <x:v>1</x:v>
      </x:c>
      <x:c r="G4451" s="23" t="str">
        <x:f>IF(E4451=F4451,"PASS","FAIL")</x:f>
        <x:v>PASS</x:v>
      </x:c>
    </x:row>
    <x:row r="4452">
      <x:c r="B4452" s="21" t="str">
        <x:v>A04446</x:v>
      </x:c>
      <x:c r="C4452" s="21" t="str">
        <x:v>artifact</x:v>
      </x:c>
      <x:c r="D4452" s="21" t="str">
        <x:v>artifact 1701 planning state</x:v>
      </x:c>
      <x:c r="E4452" s="21" t="n">
        <x:f>IF(AND('Artifact Ledger'!Q1707="OPEN",'Artifact Ledger'!R1707="HOLD"),1,0)</x:f>
        <x:v>1</x:v>
      </x:c>
      <x:c r="F4452" s="21" t="n">
        <x:v>1</x:v>
      </x:c>
      <x:c r="G4452" s="23" t="str">
        <x:f>IF(E4452=F4452,"PASS","FAIL")</x:f>
        <x:v>PASS</x:v>
      </x:c>
    </x:row>
    <x:row r="4453">
      <x:c r="B4453" s="21" t="str">
        <x:v>A04447</x:v>
      </x:c>
      <x:c r="C4453" s="21" t="str">
        <x:v>artifact</x:v>
      </x:c>
      <x:c r="D4453" s="21" t="str">
        <x:v>artifact 1702 eligibility equation</x:v>
      </x:c>
      <x:c r="E4453" s="21" t="n">
        <x:f>IF(ABS('Artifact Ledger'!P1708-IF(AND('Artifact Ledger'!L1708=1,'Artifact Ledger'!M1708=1,'Artifact Ledger'!N1708=1,'Artifact Ledger'!O1708&gt;='Artifact Ledger'!G1708),'Artifact Ledger'!K1708,0))&lt;0.000001,1,0)</x:f>
        <x:v>1</x:v>
      </x:c>
      <x:c r="F4453" s="21" t="n">
        <x:v>1</x:v>
      </x:c>
      <x:c r="G4453" s="23" t="str">
        <x:f>IF(E4453=F4453,"PASS","FAIL")</x:f>
        <x:v>PASS</x:v>
      </x:c>
    </x:row>
    <x:row r="4454">
      <x:c r="B4454" s="21" t="str">
        <x:v>A04448</x:v>
      </x:c>
      <x:c r="C4454" s="21" t="str">
        <x:v>artifact</x:v>
      </x:c>
      <x:c r="D4454" s="21" t="str">
        <x:v>artifact 1702 planning state</x:v>
      </x:c>
      <x:c r="E4454" s="21" t="n">
        <x:f>IF(AND('Artifact Ledger'!Q1708="OPEN",'Artifact Ledger'!R1708="HOLD"),1,0)</x:f>
        <x:v>1</x:v>
      </x:c>
      <x:c r="F4454" s="21" t="n">
        <x:v>1</x:v>
      </x:c>
      <x:c r="G4454" s="23" t="str">
        <x:f>IF(E4454=F4454,"PASS","FAIL")</x:f>
        <x:v>PASS</x:v>
      </x:c>
    </x:row>
    <x:row r="4455">
      <x:c r="B4455" s="21" t="str">
        <x:v>A04449</x:v>
      </x:c>
      <x:c r="C4455" s="21" t="str">
        <x:v>artifact</x:v>
      </x:c>
      <x:c r="D4455" s="21" t="str">
        <x:v>artifact 1703 eligibility equation</x:v>
      </x:c>
      <x:c r="E4455" s="21" t="n">
        <x:f>IF(ABS('Artifact Ledger'!P1709-IF(AND('Artifact Ledger'!L1709=1,'Artifact Ledger'!M1709=1,'Artifact Ledger'!N1709=1,'Artifact Ledger'!O1709&gt;='Artifact Ledger'!G1709),'Artifact Ledger'!K1709,0))&lt;0.000001,1,0)</x:f>
        <x:v>1</x:v>
      </x:c>
      <x:c r="F4455" s="21" t="n">
        <x:v>1</x:v>
      </x:c>
      <x:c r="G4455" s="23" t="str">
        <x:f>IF(E4455=F4455,"PASS","FAIL")</x:f>
        <x:v>PASS</x:v>
      </x:c>
    </x:row>
    <x:row r="4456">
      <x:c r="B4456" s="21" t="str">
        <x:v>A04450</x:v>
      </x:c>
      <x:c r="C4456" s="21" t="str">
        <x:v>artifact</x:v>
      </x:c>
      <x:c r="D4456" s="21" t="str">
        <x:v>artifact 1703 planning state</x:v>
      </x:c>
      <x:c r="E4456" s="21" t="n">
        <x:f>IF(AND('Artifact Ledger'!Q1709="OPEN",'Artifact Ledger'!R1709="HOLD"),1,0)</x:f>
        <x:v>1</x:v>
      </x:c>
      <x:c r="F4456" s="21" t="n">
        <x:v>1</x:v>
      </x:c>
      <x:c r="G4456" s="23" t="str">
        <x:f>IF(E4456=F4456,"PASS","FAIL")</x:f>
        <x:v>PASS</x:v>
      </x:c>
    </x:row>
    <x:row r="4457">
      <x:c r="B4457" s="21" t="str">
        <x:v>A04451</x:v>
      </x:c>
      <x:c r="C4457" s="21" t="str">
        <x:v>artifact</x:v>
      </x:c>
      <x:c r="D4457" s="21" t="str">
        <x:v>artifact 1704 eligibility equation</x:v>
      </x:c>
      <x:c r="E4457" s="21" t="n">
        <x:f>IF(ABS('Artifact Ledger'!P1710-IF(AND('Artifact Ledger'!L1710=1,'Artifact Ledger'!M1710=1,'Artifact Ledger'!N1710=1,'Artifact Ledger'!O1710&gt;='Artifact Ledger'!G1710),'Artifact Ledger'!K1710,0))&lt;0.000001,1,0)</x:f>
        <x:v>1</x:v>
      </x:c>
      <x:c r="F4457" s="21" t="n">
        <x:v>1</x:v>
      </x:c>
      <x:c r="G4457" s="23" t="str">
        <x:f>IF(E4457=F4457,"PASS","FAIL")</x:f>
        <x:v>PASS</x:v>
      </x:c>
    </x:row>
    <x:row r="4458">
      <x:c r="B4458" s="21" t="str">
        <x:v>A04452</x:v>
      </x:c>
      <x:c r="C4458" s="21" t="str">
        <x:v>artifact</x:v>
      </x:c>
      <x:c r="D4458" s="21" t="str">
        <x:v>artifact 1704 planning state</x:v>
      </x:c>
      <x:c r="E4458" s="21" t="n">
        <x:f>IF(AND('Artifact Ledger'!Q1710="OPEN",'Artifact Ledger'!R1710="HOLD"),1,0)</x:f>
        <x:v>1</x:v>
      </x:c>
      <x:c r="F4458" s="21" t="n">
        <x:v>1</x:v>
      </x:c>
      <x:c r="G4458" s="23" t="str">
        <x:f>IF(E4458=F4458,"PASS","FAIL")</x:f>
        <x:v>PASS</x:v>
      </x:c>
    </x:row>
    <x:row r="4459">
      <x:c r="B4459" s="21" t="str">
        <x:v>A04453</x:v>
      </x:c>
      <x:c r="C4459" s="21" t="str">
        <x:v>artifact</x:v>
      </x:c>
      <x:c r="D4459" s="21" t="str">
        <x:v>artifact 1705 eligibility equation</x:v>
      </x:c>
      <x:c r="E4459" s="21" t="n">
        <x:f>IF(ABS('Artifact Ledger'!P1711-IF(AND('Artifact Ledger'!L1711=1,'Artifact Ledger'!M1711=1,'Artifact Ledger'!N1711=1,'Artifact Ledger'!O1711&gt;='Artifact Ledger'!G1711),'Artifact Ledger'!K1711,0))&lt;0.000001,1,0)</x:f>
        <x:v>1</x:v>
      </x:c>
      <x:c r="F4459" s="21" t="n">
        <x:v>1</x:v>
      </x:c>
      <x:c r="G4459" s="23" t="str">
        <x:f>IF(E4459=F4459,"PASS","FAIL")</x:f>
        <x:v>PASS</x:v>
      </x:c>
    </x:row>
    <x:row r="4460">
      <x:c r="B4460" s="21" t="str">
        <x:v>A04454</x:v>
      </x:c>
      <x:c r="C4460" s="21" t="str">
        <x:v>artifact</x:v>
      </x:c>
      <x:c r="D4460" s="21" t="str">
        <x:v>artifact 1705 planning state</x:v>
      </x:c>
      <x:c r="E4460" s="21" t="n">
        <x:f>IF(AND('Artifact Ledger'!Q1711="OPEN",'Artifact Ledger'!R1711="HOLD"),1,0)</x:f>
        <x:v>1</x:v>
      </x:c>
      <x:c r="F4460" s="21" t="n">
        <x:v>1</x:v>
      </x:c>
      <x:c r="G4460" s="23" t="str">
        <x:f>IF(E4460=F4460,"PASS","FAIL")</x:f>
        <x:v>PASS</x:v>
      </x:c>
    </x:row>
    <x:row r="4461">
      <x:c r="B4461" s="21" t="str">
        <x:v>A04455</x:v>
      </x:c>
      <x:c r="C4461" s="21" t="str">
        <x:v>artifact</x:v>
      </x:c>
      <x:c r="D4461" s="21" t="str">
        <x:v>artifact 1706 eligibility equation</x:v>
      </x:c>
      <x:c r="E4461" s="21" t="n">
        <x:f>IF(ABS('Artifact Ledger'!P1712-IF(AND('Artifact Ledger'!L1712=1,'Artifact Ledger'!M1712=1,'Artifact Ledger'!N1712=1,'Artifact Ledger'!O1712&gt;='Artifact Ledger'!G1712),'Artifact Ledger'!K1712,0))&lt;0.000001,1,0)</x:f>
        <x:v>1</x:v>
      </x:c>
      <x:c r="F4461" s="21" t="n">
        <x:v>1</x:v>
      </x:c>
      <x:c r="G4461" s="23" t="str">
        <x:f>IF(E4461=F4461,"PASS","FAIL")</x:f>
        <x:v>PASS</x:v>
      </x:c>
    </x:row>
    <x:row r="4462">
      <x:c r="B4462" s="21" t="str">
        <x:v>A04456</x:v>
      </x:c>
      <x:c r="C4462" s="21" t="str">
        <x:v>artifact</x:v>
      </x:c>
      <x:c r="D4462" s="21" t="str">
        <x:v>artifact 1706 planning state</x:v>
      </x:c>
      <x:c r="E4462" s="21" t="n">
        <x:f>IF(AND('Artifact Ledger'!Q1712="OPEN",'Artifact Ledger'!R1712="HOLD"),1,0)</x:f>
        <x:v>1</x:v>
      </x:c>
      <x:c r="F4462" s="21" t="n">
        <x:v>1</x:v>
      </x:c>
      <x:c r="G4462" s="23" t="str">
        <x:f>IF(E4462=F4462,"PASS","FAIL")</x:f>
        <x:v>PASS</x:v>
      </x:c>
    </x:row>
    <x:row r="4463">
      <x:c r="B4463" s="21" t="str">
        <x:v>A04457</x:v>
      </x:c>
      <x:c r="C4463" s="21" t="str">
        <x:v>artifact</x:v>
      </x:c>
      <x:c r="D4463" s="21" t="str">
        <x:v>artifact 1707 eligibility equation</x:v>
      </x:c>
      <x:c r="E4463" s="21" t="n">
        <x:f>IF(ABS('Artifact Ledger'!P1713-IF(AND('Artifact Ledger'!L1713=1,'Artifact Ledger'!M1713=1,'Artifact Ledger'!N1713=1,'Artifact Ledger'!O1713&gt;='Artifact Ledger'!G1713),'Artifact Ledger'!K1713,0))&lt;0.000001,1,0)</x:f>
        <x:v>1</x:v>
      </x:c>
      <x:c r="F4463" s="21" t="n">
        <x:v>1</x:v>
      </x:c>
      <x:c r="G4463" s="23" t="str">
        <x:f>IF(E4463=F4463,"PASS","FAIL")</x:f>
        <x:v>PASS</x:v>
      </x:c>
    </x:row>
    <x:row r="4464">
      <x:c r="B4464" s="21" t="str">
        <x:v>A04458</x:v>
      </x:c>
      <x:c r="C4464" s="21" t="str">
        <x:v>artifact</x:v>
      </x:c>
      <x:c r="D4464" s="21" t="str">
        <x:v>artifact 1707 planning state</x:v>
      </x:c>
      <x:c r="E4464" s="21" t="n">
        <x:f>IF(AND('Artifact Ledger'!Q1713="OPEN",'Artifact Ledger'!R1713="HOLD"),1,0)</x:f>
        <x:v>1</x:v>
      </x:c>
      <x:c r="F4464" s="21" t="n">
        <x:v>1</x:v>
      </x:c>
      <x:c r="G4464" s="23" t="str">
        <x:f>IF(E4464=F4464,"PASS","FAIL")</x:f>
        <x:v>PASS</x:v>
      </x:c>
    </x:row>
    <x:row r="4465">
      <x:c r="B4465" s="21" t="str">
        <x:v>A04459</x:v>
      </x:c>
      <x:c r="C4465" s="21" t="str">
        <x:v>artifact</x:v>
      </x:c>
      <x:c r="D4465" s="21" t="str">
        <x:v>artifact 1708 eligibility equation</x:v>
      </x:c>
      <x:c r="E4465" s="21" t="n">
        <x:f>IF(ABS('Artifact Ledger'!P1714-IF(AND('Artifact Ledger'!L1714=1,'Artifact Ledger'!M1714=1,'Artifact Ledger'!N1714=1,'Artifact Ledger'!O1714&gt;='Artifact Ledger'!G1714),'Artifact Ledger'!K1714,0))&lt;0.000001,1,0)</x:f>
        <x:v>1</x:v>
      </x:c>
      <x:c r="F4465" s="21" t="n">
        <x:v>1</x:v>
      </x:c>
      <x:c r="G4465" s="23" t="str">
        <x:f>IF(E4465=F4465,"PASS","FAIL")</x:f>
        <x:v>PASS</x:v>
      </x:c>
    </x:row>
    <x:row r="4466">
      <x:c r="B4466" s="21" t="str">
        <x:v>A04460</x:v>
      </x:c>
      <x:c r="C4466" s="21" t="str">
        <x:v>artifact</x:v>
      </x:c>
      <x:c r="D4466" s="21" t="str">
        <x:v>artifact 1708 planning state</x:v>
      </x:c>
      <x:c r="E4466" s="21" t="n">
        <x:f>IF(AND('Artifact Ledger'!Q1714="OPEN",'Artifact Ledger'!R1714="HOLD"),1,0)</x:f>
        <x:v>1</x:v>
      </x:c>
      <x:c r="F4466" s="21" t="n">
        <x:v>1</x:v>
      </x:c>
      <x:c r="G4466" s="23" t="str">
        <x:f>IF(E4466=F4466,"PASS","FAIL")</x:f>
        <x:v>PASS</x:v>
      </x:c>
    </x:row>
    <x:row r="4467">
      <x:c r="B4467" s="21" t="str">
        <x:v>A04461</x:v>
      </x:c>
      <x:c r="C4467" s="21" t="str">
        <x:v>artifact</x:v>
      </x:c>
      <x:c r="D4467" s="21" t="str">
        <x:v>artifact 1709 eligibility equation</x:v>
      </x:c>
      <x:c r="E4467" s="21" t="n">
        <x:f>IF(ABS('Artifact Ledger'!P1715-IF(AND('Artifact Ledger'!L1715=1,'Artifact Ledger'!M1715=1,'Artifact Ledger'!N1715=1,'Artifact Ledger'!O1715&gt;='Artifact Ledger'!G1715),'Artifact Ledger'!K1715,0))&lt;0.000001,1,0)</x:f>
        <x:v>1</x:v>
      </x:c>
      <x:c r="F4467" s="21" t="n">
        <x:v>1</x:v>
      </x:c>
      <x:c r="G4467" s="23" t="str">
        <x:f>IF(E4467=F4467,"PASS","FAIL")</x:f>
        <x:v>PASS</x:v>
      </x:c>
    </x:row>
    <x:row r="4468">
      <x:c r="B4468" s="21" t="str">
        <x:v>A04462</x:v>
      </x:c>
      <x:c r="C4468" s="21" t="str">
        <x:v>artifact</x:v>
      </x:c>
      <x:c r="D4468" s="21" t="str">
        <x:v>artifact 1709 planning state</x:v>
      </x:c>
      <x:c r="E4468" s="21" t="n">
        <x:f>IF(AND('Artifact Ledger'!Q1715="OPEN",'Artifact Ledger'!R1715="HOLD"),1,0)</x:f>
        <x:v>1</x:v>
      </x:c>
      <x:c r="F4468" s="21" t="n">
        <x:v>1</x:v>
      </x:c>
      <x:c r="G4468" s="23" t="str">
        <x:f>IF(E4468=F4468,"PASS","FAIL")</x:f>
        <x:v>PASS</x:v>
      </x:c>
    </x:row>
    <x:row r="4469">
      <x:c r="B4469" s="21" t="str">
        <x:v>A04463</x:v>
      </x:c>
      <x:c r="C4469" s="21" t="str">
        <x:v>artifact</x:v>
      </x:c>
      <x:c r="D4469" s="21" t="str">
        <x:v>artifact 1710 eligibility equation</x:v>
      </x:c>
      <x:c r="E4469" s="21" t="n">
        <x:f>IF(ABS('Artifact Ledger'!P1716-IF(AND('Artifact Ledger'!L1716=1,'Artifact Ledger'!M1716=1,'Artifact Ledger'!N1716=1,'Artifact Ledger'!O1716&gt;='Artifact Ledger'!G1716),'Artifact Ledger'!K1716,0))&lt;0.000001,1,0)</x:f>
        <x:v>1</x:v>
      </x:c>
      <x:c r="F4469" s="21" t="n">
        <x:v>1</x:v>
      </x:c>
      <x:c r="G4469" s="23" t="str">
        <x:f>IF(E4469=F4469,"PASS","FAIL")</x:f>
        <x:v>PASS</x:v>
      </x:c>
    </x:row>
    <x:row r="4470">
      <x:c r="B4470" s="21" t="str">
        <x:v>A04464</x:v>
      </x:c>
      <x:c r="C4470" s="21" t="str">
        <x:v>artifact</x:v>
      </x:c>
      <x:c r="D4470" s="21" t="str">
        <x:v>artifact 1710 planning state</x:v>
      </x:c>
      <x:c r="E4470" s="21" t="n">
        <x:f>IF(AND('Artifact Ledger'!Q1716="OPEN",'Artifact Ledger'!R1716="HOLD"),1,0)</x:f>
        <x:v>1</x:v>
      </x:c>
      <x:c r="F4470" s="21" t="n">
        <x:v>1</x:v>
      </x:c>
      <x:c r="G4470" s="23" t="str">
        <x:f>IF(E4470=F4470,"PASS","FAIL")</x:f>
        <x:v>PASS</x:v>
      </x:c>
    </x:row>
    <x:row r="4471">
      <x:c r="B4471" s="21" t="str">
        <x:v>A04465</x:v>
      </x:c>
      <x:c r="C4471" s="21" t="str">
        <x:v>artifact</x:v>
      </x:c>
      <x:c r="D4471" s="21" t="str">
        <x:v>artifact 1711 eligibility equation</x:v>
      </x:c>
      <x:c r="E4471" s="21" t="n">
        <x:f>IF(ABS('Artifact Ledger'!P1717-IF(AND('Artifact Ledger'!L1717=1,'Artifact Ledger'!M1717=1,'Artifact Ledger'!N1717=1,'Artifact Ledger'!O1717&gt;='Artifact Ledger'!G1717),'Artifact Ledger'!K1717,0))&lt;0.000001,1,0)</x:f>
        <x:v>1</x:v>
      </x:c>
      <x:c r="F4471" s="21" t="n">
        <x:v>1</x:v>
      </x:c>
      <x:c r="G4471" s="23" t="str">
        <x:f>IF(E4471=F4471,"PASS","FAIL")</x:f>
        <x:v>PASS</x:v>
      </x:c>
    </x:row>
    <x:row r="4472">
      <x:c r="B4472" s="21" t="str">
        <x:v>A04466</x:v>
      </x:c>
      <x:c r="C4472" s="21" t="str">
        <x:v>artifact</x:v>
      </x:c>
      <x:c r="D4472" s="21" t="str">
        <x:v>artifact 1711 planning state</x:v>
      </x:c>
      <x:c r="E4472" s="21" t="n">
        <x:f>IF(AND('Artifact Ledger'!Q1717="OPEN",'Artifact Ledger'!R1717="HOLD"),1,0)</x:f>
        <x:v>1</x:v>
      </x:c>
      <x:c r="F4472" s="21" t="n">
        <x:v>1</x:v>
      </x:c>
      <x:c r="G4472" s="23" t="str">
        <x:f>IF(E4472=F4472,"PASS","FAIL")</x:f>
        <x:v>PASS</x:v>
      </x:c>
    </x:row>
    <x:row r="4473">
      <x:c r="B4473" s="21" t="str">
        <x:v>A04467</x:v>
      </x:c>
      <x:c r="C4473" s="21" t="str">
        <x:v>artifact</x:v>
      </x:c>
      <x:c r="D4473" s="21" t="str">
        <x:v>artifact 1712 eligibility equation</x:v>
      </x:c>
      <x:c r="E4473" s="21" t="n">
        <x:f>IF(ABS('Artifact Ledger'!P1718-IF(AND('Artifact Ledger'!L1718=1,'Artifact Ledger'!M1718=1,'Artifact Ledger'!N1718=1,'Artifact Ledger'!O1718&gt;='Artifact Ledger'!G1718),'Artifact Ledger'!K1718,0))&lt;0.000001,1,0)</x:f>
        <x:v>1</x:v>
      </x:c>
      <x:c r="F4473" s="21" t="n">
        <x:v>1</x:v>
      </x:c>
      <x:c r="G4473" s="23" t="str">
        <x:f>IF(E4473=F4473,"PASS","FAIL")</x:f>
        <x:v>PASS</x:v>
      </x:c>
    </x:row>
    <x:row r="4474">
      <x:c r="B4474" s="21" t="str">
        <x:v>A04468</x:v>
      </x:c>
      <x:c r="C4474" s="21" t="str">
        <x:v>artifact</x:v>
      </x:c>
      <x:c r="D4474" s="21" t="str">
        <x:v>artifact 1712 planning state</x:v>
      </x:c>
      <x:c r="E4474" s="21" t="n">
        <x:f>IF(AND('Artifact Ledger'!Q1718="OPEN",'Artifact Ledger'!R1718="HOLD"),1,0)</x:f>
        <x:v>1</x:v>
      </x:c>
      <x:c r="F4474" s="21" t="n">
        <x:v>1</x:v>
      </x:c>
      <x:c r="G4474" s="23" t="str">
        <x:f>IF(E4474=F4474,"PASS","FAIL")</x:f>
        <x:v>PASS</x:v>
      </x:c>
    </x:row>
    <x:row r="4475">
      <x:c r="B4475" s="21" t="str">
        <x:v>A04469</x:v>
      </x:c>
      <x:c r="C4475" s="21" t="str">
        <x:v>artifact</x:v>
      </x:c>
      <x:c r="D4475" s="21" t="str">
        <x:v>artifact 1713 eligibility equation</x:v>
      </x:c>
      <x:c r="E4475" s="21" t="n">
        <x:f>IF(ABS('Artifact Ledger'!P1719-IF(AND('Artifact Ledger'!L1719=1,'Artifact Ledger'!M1719=1,'Artifact Ledger'!N1719=1,'Artifact Ledger'!O1719&gt;='Artifact Ledger'!G1719),'Artifact Ledger'!K1719,0))&lt;0.000001,1,0)</x:f>
        <x:v>1</x:v>
      </x:c>
      <x:c r="F4475" s="21" t="n">
        <x:v>1</x:v>
      </x:c>
      <x:c r="G4475" s="23" t="str">
        <x:f>IF(E4475=F4475,"PASS","FAIL")</x:f>
        <x:v>PASS</x:v>
      </x:c>
    </x:row>
    <x:row r="4476">
      <x:c r="B4476" s="21" t="str">
        <x:v>A04470</x:v>
      </x:c>
      <x:c r="C4476" s="21" t="str">
        <x:v>artifact</x:v>
      </x:c>
      <x:c r="D4476" s="21" t="str">
        <x:v>artifact 1713 planning state</x:v>
      </x:c>
      <x:c r="E4476" s="21" t="n">
        <x:f>IF(AND('Artifact Ledger'!Q1719="OPEN",'Artifact Ledger'!R1719="HOLD"),1,0)</x:f>
        <x:v>1</x:v>
      </x:c>
      <x:c r="F4476" s="21" t="n">
        <x:v>1</x:v>
      </x:c>
      <x:c r="G4476" s="23" t="str">
        <x:f>IF(E4476=F4476,"PASS","FAIL")</x:f>
        <x:v>PASS</x:v>
      </x:c>
    </x:row>
    <x:row r="4477">
      <x:c r="B4477" s="21" t="str">
        <x:v>A04471</x:v>
      </x:c>
      <x:c r="C4477" s="21" t="str">
        <x:v>artifact</x:v>
      </x:c>
      <x:c r="D4477" s="21" t="str">
        <x:v>artifact 1714 eligibility equation</x:v>
      </x:c>
      <x:c r="E4477" s="21" t="n">
        <x:f>IF(ABS('Artifact Ledger'!P1720-IF(AND('Artifact Ledger'!L1720=1,'Artifact Ledger'!M1720=1,'Artifact Ledger'!N1720=1,'Artifact Ledger'!O1720&gt;='Artifact Ledger'!G1720),'Artifact Ledger'!K1720,0))&lt;0.000001,1,0)</x:f>
        <x:v>1</x:v>
      </x:c>
      <x:c r="F4477" s="21" t="n">
        <x:v>1</x:v>
      </x:c>
      <x:c r="G4477" s="23" t="str">
        <x:f>IF(E4477=F4477,"PASS","FAIL")</x:f>
        <x:v>PASS</x:v>
      </x:c>
    </x:row>
    <x:row r="4478">
      <x:c r="B4478" s="21" t="str">
        <x:v>A04472</x:v>
      </x:c>
      <x:c r="C4478" s="21" t="str">
        <x:v>artifact</x:v>
      </x:c>
      <x:c r="D4478" s="21" t="str">
        <x:v>artifact 1714 planning state</x:v>
      </x:c>
      <x:c r="E4478" s="21" t="n">
        <x:f>IF(AND('Artifact Ledger'!Q1720="OPEN",'Artifact Ledger'!R1720="HOLD"),1,0)</x:f>
        <x:v>1</x:v>
      </x:c>
      <x:c r="F4478" s="21" t="n">
        <x:v>1</x:v>
      </x:c>
      <x:c r="G4478" s="23" t="str">
        <x:f>IF(E4478=F4478,"PASS","FAIL")</x:f>
        <x:v>PASS</x:v>
      </x:c>
    </x:row>
    <x:row r="4479">
      <x:c r="B4479" s="21" t="str">
        <x:v>A04473</x:v>
      </x:c>
      <x:c r="C4479" s="21" t="str">
        <x:v>artifact</x:v>
      </x:c>
      <x:c r="D4479" s="21" t="str">
        <x:v>artifact 1715 eligibility equation</x:v>
      </x:c>
      <x:c r="E4479" s="21" t="n">
        <x:f>IF(ABS('Artifact Ledger'!P1721-IF(AND('Artifact Ledger'!L1721=1,'Artifact Ledger'!M1721=1,'Artifact Ledger'!N1721=1,'Artifact Ledger'!O1721&gt;='Artifact Ledger'!G1721),'Artifact Ledger'!K1721,0))&lt;0.000001,1,0)</x:f>
        <x:v>1</x:v>
      </x:c>
      <x:c r="F4479" s="21" t="n">
        <x:v>1</x:v>
      </x:c>
      <x:c r="G4479" s="23" t="str">
        <x:f>IF(E4479=F4479,"PASS","FAIL")</x:f>
        <x:v>PASS</x:v>
      </x:c>
    </x:row>
    <x:row r="4480">
      <x:c r="B4480" s="21" t="str">
        <x:v>A04474</x:v>
      </x:c>
      <x:c r="C4480" s="21" t="str">
        <x:v>artifact</x:v>
      </x:c>
      <x:c r="D4480" s="21" t="str">
        <x:v>artifact 1715 planning state</x:v>
      </x:c>
      <x:c r="E4480" s="21" t="n">
        <x:f>IF(AND('Artifact Ledger'!Q1721="OPEN",'Artifact Ledger'!R1721="HOLD"),1,0)</x:f>
        <x:v>1</x:v>
      </x:c>
      <x:c r="F4480" s="21" t="n">
        <x:v>1</x:v>
      </x:c>
      <x:c r="G4480" s="23" t="str">
        <x:f>IF(E4480=F4480,"PASS","FAIL")</x:f>
        <x:v>PASS</x:v>
      </x:c>
    </x:row>
    <x:row r="4481">
      <x:c r="B4481" s="21" t="str">
        <x:v>A04475</x:v>
      </x:c>
      <x:c r="C4481" s="21" t="str">
        <x:v>artifact</x:v>
      </x:c>
      <x:c r="D4481" s="21" t="str">
        <x:v>artifact 1716 eligibility equation</x:v>
      </x:c>
      <x:c r="E4481" s="21" t="n">
        <x:f>IF(ABS('Artifact Ledger'!P1722-IF(AND('Artifact Ledger'!L1722=1,'Artifact Ledger'!M1722=1,'Artifact Ledger'!N1722=1,'Artifact Ledger'!O1722&gt;='Artifact Ledger'!G1722),'Artifact Ledger'!K1722,0))&lt;0.000001,1,0)</x:f>
        <x:v>1</x:v>
      </x:c>
      <x:c r="F4481" s="21" t="n">
        <x:v>1</x:v>
      </x:c>
      <x:c r="G4481" s="23" t="str">
        <x:f>IF(E4481=F4481,"PASS","FAIL")</x:f>
        <x:v>PASS</x:v>
      </x:c>
    </x:row>
    <x:row r="4482">
      <x:c r="B4482" s="21" t="str">
        <x:v>A04476</x:v>
      </x:c>
      <x:c r="C4482" s="21" t="str">
        <x:v>artifact</x:v>
      </x:c>
      <x:c r="D4482" s="21" t="str">
        <x:v>artifact 1716 planning state</x:v>
      </x:c>
      <x:c r="E4482" s="21" t="n">
        <x:f>IF(AND('Artifact Ledger'!Q1722="OPEN",'Artifact Ledger'!R1722="HOLD"),1,0)</x:f>
        <x:v>1</x:v>
      </x:c>
      <x:c r="F4482" s="21" t="n">
        <x:v>1</x:v>
      </x:c>
      <x:c r="G4482" s="23" t="str">
        <x:f>IF(E4482=F4482,"PASS","FAIL")</x:f>
        <x:v>PASS</x:v>
      </x:c>
    </x:row>
    <x:row r="4483">
      <x:c r="B4483" s="21" t="str">
        <x:v>A04477</x:v>
      </x:c>
      <x:c r="C4483" s="21" t="str">
        <x:v>artifact</x:v>
      </x:c>
      <x:c r="D4483" s="21" t="str">
        <x:v>artifact 1717 eligibility equation</x:v>
      </x:c>
      <x:c r="E4483" s="21" t="n">
        <x:f>IF(ABS('Artifact Ledger'!P1723-IF(AND('Artifact Ledger'!L1723=1,'Artifact Ledger'!M1723=1,'Artifact Ledger'!N1723=1,'Artifact Ledger'!O1723&gt;='Artifact Ledger'!G1723),'Artifact Ledger'!K1723,0))&lt;0.000001,1,0)</x:f>
        <x:v>1</x:v>
      </x:c>
      <x:c r="F4483" s="21" t="n">
        <x:v>1</x:v>
      </x:c>
      <x:c r="G4483" s="23" t="str">
        <x:f>IF(E4483=F4483,"PASS","FAIL")</x:f>
        <x:v>PASS</x:v>
      </x:c>
    </x:row>
    <x:row r="4484">
      <x:c r="B4484" s="21" t="str">
        <x:v>A04478</x:v>
      </x:c>
      <x:c r="C4484" s="21" t="str">
        <x:v>artifact</x:v>
      </x:c>
      <x:c r="D4484" s="21" t="str">
        <x:v>artifact 1717 planning state</x:v>
      </x:c>
      <x:c r="E4484" s="21" t="n">
        <x:f>IF(AND('Artifact Ledger'!Q1723="OPEN",'Artifact Ledger'!R1723="HOLD"),1,0)</x:f>
        <x:v>1</x:v>
      </x:c>
      <x:c r="F4484" s="21" t="n">
        <x:v>1</x:v>
      </x:c>
      <x:c r="G4484" s="23" t="str">
        <x:f>IF(E4484=F4484,"PASS","FAIL")</x:f>
        <x:v>PASS</x:v>
      </x:c>
    </x:row>
    <x:row r="4485">
      <x:c r="B4485" s="21" t="str">
        <x:v>A04479</x:v>
      </x:c>
      <x:c r="C4485" s="21" t="str">
        <x:v>artifact</x:v>
      </x:c>
      <x:c r="D4485" s="21" t="str">
        <x:v>artifact 1718 eligibility equation</x:v>
      </x:c>
      <x:c r="E4485" s="21" t="n">
        <x:f>IF(ABS('Artifact Ledger'!P1724-IF(AND('Artifact Ledger'!L1724=1,'Artifact Ledger'!M1724=1,'Artifact Ledger'!N1724=1,'Artifact Ledger'!O1724&gt;='Artifact Ledger'!G1724),'Artifact Ledger'!K1724,0))&lt;0.000001,1,0)</x:f>
        <x:v>1</x:v>
      </x:c>
      <x:c r="F4485" s="21" t="n">
        <x:v>1</x:v>
      </x:c>
      <x:c r="G4485" s="23" t="str">
        <x:f>IF(E4485=F4485,"PASS","FAIL")</x:f>
        <x:v>PASS</x:v>
      </x:c>
    </x:row>
    <x:row r="4486">
      <x:c r="B4486" s="21" t="str">
        <x:v>A04480</x:v>
      </x:c>
      <x:c r="C4486" s="21" t="str">
        <x:v>artifact</x:v>
      </x:c>
      <x:c r="D4486" s="21" t="str">
        <x:v>artifact 1718 planning state</x:v>
      </x:c>
      <x:c r="E4486" s="21" t="n">
        <x:f>IF(AND('Artifact Ledger'!Q1724="OPEN",'Artifact Ledger'!R1724="HOLD"),1,0)</x:f>
        <x:v>1</x:v>
      </x:c>
      <x:c r="F4486" s="21" t="n">
        <x:v>1</x:v>
      </x:c>
      <x:c r="G4486" s="23" t="str">
        <x:f>IF(E4486=F4486,"PASS","FAIL")</x:f>
        <x:v>PASS</x:v>
      </x:c>
    </x:row>
    <x:row r="4487">
      <x:c r="B4487" s="21" t="str">
        <x:v>A04481</x:v>
      </x:c>
      <x:c r="C4487" s="21" t="str">
        <x:v>artifact</x:v>
      </x:c>
      <x:c r="D4487" s="21" t="str">
        <x:v>artifact 1719 eligibility equation</x:v>
      </x:c>
      <x:c r="E4487" s="21" t="n">
        <x:f>IF(ABS('Artifact Ledger'!P1725-IF(AND('Artifact Ledger'!L1725=1,'Artifact Ledger'!M1725=1,'Artifact Ledger'!N1725=1,'Artifact Ledger'!O1725&gt;='Artifact Ledger'!G1725),'Artifact Ledger'!K1725,0))&lt;0.000001,1,0)</x:f>
        <x:v>1</x:v>
      </x:c>
      <x:c r="F4487" s="21" t="n">
        <x:v>1</x:v>
      </x:c>
      <x:c r="G4487" s="23" t="str">
        <x:f>IF(E4487=F4487,"PASS","FAIL")</x:f>
        <x:v>PASS</x:v>
      </x:c>
    </x:row>
    <x:row r="4488">
      <x:c r="B4488" s="21" t="str">
        <x:v>A04482</x:v>
      </x:c>
      <x:c r="C4488" s="21" t="str">
        <x:v>artifact</x:v>
      </x:c>
      <x:c r="D4488" s="21" t="str">
        <x:v>artifact 1719 planning state</x:v>
      </x:c>
      <x:c r="E4488" s="21" t="n">
        <x:f>IF(AND('Artifact Ledger'!Q1725="OPEN",'Artifact Ledger'!R1725="HOLD"),1,0)</x:f>
        <x:v>1</x:v>
      </x:c>
      <x:c r="F4488" s="21" t="n">
        <x:v>1</x:v>
      </x:c>
      <x:c r="G4488" s="23" t="str">
        <x:f>IF(E4488=F4488,"PASS","FAIL")</x:f>
        <x:v>PASS</x:v>
      </x:c>
    </x:row>
    <x:row r="4489">
      <x:c r="B4489" s="21" t="str">
        <x:v>A04483</x:v>
      </x:c>
      <x:c r="C4489" s="21" t="str">
        <x:v>artifact</x:v>
      </x:c>
      <x:c r="D4489" s="21" t="str">
        <x:v>artifact 1720 eligibility equation</x:v>
      </x:c>
      <x:c r="E4489" s="21" t="n">
        <x:f>IF(ABS('Artifact Ledger'!P1726-IF(AND('Artifact Ledger'!L1726=1,'Artifact Ledger'!M1726=1,'Artifact Ledger'!N1726=1,'Artifact Ledger'!O1726&gt;='Artifact Ledger'!G1726),'Artifact Ledger'!K1726,0))&lt;0.000001,1,0)</x:f>
        <x:v>1</x:v>
      </x:c>
      <x:c r="F4489" s="21" t="n">
        <x:v>1</x:v>
      </x:c>
      <x:c r="G4489" s="23" t="str">
        <x:f>IF(E4489=F4489,"PASS","FAIL")</x:f>
        <x:v>PASS</x:v>
      </x:c>
    </x:row>
    <x:row r="4490">
      <x:c r="B4490" s="21" t="str">
        <x:v>A04484</x:v>
      </x:c>
      <x:c r="C4490" s="21" t="str">
        <x:v>artifact</x:v>
      </x:c>
      <x:c r="D4490" s="21" t="str">
        <x:v>artifact 1720 planning state</x:v>
      </x:c>
      <x:c r="E4490" s="21" t="n">
        <x:f>IF(AND('Artifact Ledger'!Q1726="OPEN",'Artifact Ledger'!R1726="HOLD"),1,0)</x:f>
        <x:v>1</x:v>
      </x:c>
      <x:c r="F4490" s="21" t="n">
        <x:v>1</x:v>
      </x:c>
      <x:c r="G4490" s="23" t="str">
        <x:f>IF(E4490=F4490,"PASS","FAIL")</x:f>
        <x:v>PASS</x:v>
      </x:c>
    </x:row>
    <x:row r="4491">
      <x:c r="B4491" s="21" t="str">
        <x:v>A04485</x:v>
      </x:c>
      <x:c r="C4491" s="21" t="str">
        <x:v>artifact</x:v>
      </x:c>
      <x:c r="D4491" s="21" t="str">
        <x:v>artifact 1721 eligibility equation</x:v>
      </x:c>
      <x:c r="E4491" s="21" t="n">
        <x:f>IF(ABS('Artifact Ledger'!P1727-IF(AND('Artifact Ledger'!L1727=1,'Artifact Ledger'!M1727=1,'Artifact Ledger'!N1727=1,'Artifact Ledger'!O1727&gt;='Artifact Ledger'!G1727),'Artifact Ledger'!K1727,0))&lt;0.000001,1,0)</x:f>
        <x:v>1</x:v>
      </x:c>
      <x:c r="F4491" s="21" t="n">
        <x:v>1</x:v>
      </x:c>
      <x:c r="G4491" s="23" t="str">
        <x:f>IF(E4491=F4491,"PASS","FAIL")</x:f>
        <x:v>PASS</x:v>
      </x:c>
    </x:row>
    <x:row r="4492">
      <x:c r="B4492" s="21" t="str">
        <x:v>A04486</x:v>
      </x:c>
      <x:c r="C4492" s="21" t="str">
        <x:v>artifact</x:v>
      </x:c>
      <x:c r="D4492" s="21" t="str">
        <x:v>artifact 1721 planning state</x:v>
      </x:c>
      <x:c r="E4492" s="21" t="n">
        <x:f>IF(AND('Artifact Ledger'!Q1727="OPEN",'Artifact Ledger'!R1727="HOLD"),1,0)</x:f>
        <x:v>1</x:v>
      </x:c>
      <x:c r="F4492" s="21" t="n">
        <x:v>1</x:v>
      </x:c>
      <x:c r="G4492" s="23" t="str">
        <x:f>IF(E4492=F4492,"PASS","FAIL")</x:f>
        <x:v>PASS</x:v>
      </x:c>
    </x:row>
    <x:row r="4493">
      <x:c r="B4493" s="21" t="str">
        <x:v>A04487</x:v>
      </x:c>
      <x:c r="C4493" s="21" t="str">
        <x:v>artifact</x:v>
      </x:c>
      <x:c r="D4493" s="21" t="str">
        <x:v>artifact 1722 eligibility equation</x:v>
      </x:c>
      <x:c r="E4493" s="21" t="n">
        <x:f>IF(ABS('Artifact Ledger'!P1728-IF(AND('Artifact Ledger'!L1728=1,'Artifact Ledger'!M1728=1,'Artifact Ledger'!N1728=1,'Artifact Ledger'!O1728&gt;='Artifact Ledger'!G1728),'Artifact Ledger'!K1728,0))&lt;0.000001,1,0)</x:f>
        <x:v>1</x:v>
      </x:c>
      <x:c r="F4493" s="21" t="n">
        <x:v>1</x:v>
      </x:c>
      <x:c r="G4493" s="23" t="str">
        <x:f>IF(E4493=F4493,"PASS","FAIL")</x:f>
        <x:v>PASS</x:v>
      </x:c>
    </x:row>
    <x:row r="4494">
      <x:c r="B4494" s="21" t="str">
        <x:v>A04488</x:v>
      </x:c>
      <x:c r="C4494" s="21" t="str">
        <x:v>artifact</x:v>
      </x:c>
      <x:c r="D4494" s="21" t="str">
        <x:v>artifact 1722 planning state</x:v>
      </x:c>
      <x:c r="E4494" s="21" t="n">
        <x:f>IF(AND('Artifact Ledger'!Q1728="OPEN",'Artifact Ledger'!R1728="HOLD"),1,0)</x:f>
        <x:v>1</x:v>
      </x:c>
      <x:c r="F4494" s="21" t="n">
        <x:v>1</x:v>
      </x:c>
      <x:c r="G4494" s="23" t="str">
        <x:f>IF(E4494=F4494,"PASS","FAIL")</x:f>
        <x:v>PASS</x:v>
      </x:c>
    </x:row>
    <x:row r="4495">
      <x:c r="B4495" s="21" t="str">
        <x:v>A04489</x:v>
      </x:c>
      <x:c r="C4495" s="21" t="str">
        <x:v>artifact</x:v>
      </x:c>
      <x:c r="D4495" s="21" t="str">
        <x:v>artifact 1723 eligibility equation</x:v>
      </x:c>
      <x:c r="E4495" s="21" t="n">
        <x:f>IF(ABS('Artifact Ledger'!P1729-IF(AND('Artifact Ledger'!L1729=1,'Artifact Ledger'!M1729=1,'Artifact Ledger'!N1729=1,'Artifact Ledger'!O1729&gt;='Artifact Ledger'!G1729),'Artifact Ledger'!K1729,0))&lt;0.000001,1,0)</x:f>
        <x:v>1</x:v>
      </x:c>
      <x:c r="F4495" s="21" t="n">
        <x:v>1</x:v>
      </x:c>
      <x:c r="G4495" s="23" t="str">
        <x:f>IF(E4495=F4495,"PASS","FAIL")</x:f>
        <x:v>PASS</x:v>
      </x:c>
    </x:row>
    <x:row r="4496">
      <x:c r="B4496" s="21" t="str">
        <x:v>A04490</x:v>
      </x:c>
      <x:c r="C4496" s="21" t="str">
        <x:v>artifact</x:v>
      </x:c>
      <x:c r="D4496" s="21" t="str">
        <x:v>artifact 1723 planning state</x:v>
      </x:c>
      <x:c r="E4496" s="21" t="n">
        <x:f>IF(AND('Artifact Ledger'!Q1729="OPEN",'Artifact Ledger'!R1729="HOLD"),1,0)</x:f>
        <x:v>1</x:v>
      </x:c>
      <x:c r="F4496" s="21" t="n">
        <x:v>1</x:v>
      </x:c>
      <x:c r="G4496" s="23" t="str">
        <x:f>IF(E4496=F4496,"PASS","FAIL")</x:f>
        <x:v>PASS</x:v>
      </x:c>
    </x:row>
    <x:row r="4497">
      <x:c r="B4497" s="21" t="str">
        <x:v>A04491</x:v>
      </x:c>
      <x:c r="C4497" s="21" t="str">
        <x:v>artifact</x:v>
      </x:c>
      <x:c r="D4497" s="21" t="str">
        <x:v>artifact 1724 eligibility equation</x:v>
      </x:c>
      <x:c r="E4497" s="21" t="n">
        <x:f>IF(ABS('Artifact Ledger'!P1730-IF(AND('Artifact Ledger'!L1730=1,'Artifact Ledger'!M1730=1,'Artifact Ledger'!N1730=1,'Artifact Ledger'!O1730&gt;='Artifact Ledger'!G1730),'Artifact Ledger'!K1730,0))&lt;0.000001,1,0)</x:f>
        <x:v>1</x:v>
      </x:c>
      <x:c r="F4497" s="21" t="n">
        <x:v>1</x:v>
      </x:c>
      <x:c r="G4497" s="23" t="str">
        <x:f>IF(E4497=F4497,"PASS","FAIL")</x:f>
        <x:v>PASS</x:v>
      </x:c>
    </x:row>
    <x:row r="4498">
      <x:c r="B4498" s="21" t="str">
        <x:v>A04492</x:v>
      </x:c>
      <x:c r="C4498" s="21" t="str">
        <x:v>artifact</x:v>
      </x:c>
      <x:c r="D4498" s="21" t="str">
        <x:v>artifact 1724 planning state</x:v>
      </x:c>
      <x:c r="E4498" s="21" t="n">
        <x:f>IF(AND('Artifact Ledger'!Q1730="OPEN",'Artifact Ledger'!R1730="HOLD"),1,0)</x:f>
        <x:v>1</x:v>
      </x:c>
      <x:c r="F4498" s="21" t="n">
        <x:v>1</x:v>
      </x:c>
      <x:c r="G4498" s="23" t="str">
        <x:f>IF(E4498=F4498,"PASS","FAIL")</x:f>
        <x:v>PASS</x:v>
      </x:c>
    </x:row>
    <x:row r="4499">
      <x:c r="B4499" s="21" t="str">
        <x:v>A04493</x:v>
      </x:c>
      <x:c r="C4499" s="21" t="str">
        <x:v>artifact</x:v>
      </x:c>
      <x:c r="D4499" s="21" t="str">
        <x:v>artifact 1725 eligibility equation</x:v>
      </x:c>
      <x:c r="E4499" s="21" t="n">
        <x:f>IF(ABS('Artifact Ledger'!P1731-IF(AND('Artifact Ledger'!L1731=1,'Artifact Ledger'!M1731=1,'Artifact Ledger'!N1731=1,'Artifact Ledger'!O1731&gt;='Artifact Ledger'!G1731),'Artifact Ledger'!K1731,0))&lt;0.000001,1,0)</x:f>
        <x:v>1</x:v>
      </x:c>
      <x:c r="F4499" s="21" t="n">
        <x:v>1</x:v>
      </x:c>
      <x:c r="G4499" s="23" t="str">
        <x:f>IF(E4499=F4499,"PASS","FAIL")</x:f>
        <x:v>PASS</x:v>
      </x:c>
    </x:row>
    <x:row r="4500">
      <x:c r="B4500" s="21" t="str">
        <x:v>A04494</x:v>
      </x:c>
      <x:c r="C4500" s="21" t="str">
        <x:v>artifact</x:v>
      </x:c>
      <x:c r="D4500" s="21" t="str">
        <x:v>artifact 1725 planning state</x:v>
      </x:c>
      <x:c r="E4500" s="21" t="n">
        <x:f>IF(AND('Artifact Ledger'!Q1731="OPEN",'Artifact Ledger'!R1731="HOLD"),1,0)</x:f>
        <x:v>1</x:v>
      </x:c>
      <x:c r="F4500" s="21" t="n">
        <x:v>1</x:v>
      </x:c>
      <x:c r="G4500" s="23" t="str">
        <x:f>IF(E4500=F4500,"PASS","FAIL")</x:f>
        <x:v>PASS</x:v>
      </x:c>
    </x:row>
    <x:row r="4501">
      <x:c r="B4501" s="21" t="str">
        <x:v>A04495</x:v>
      </x:c>
      <x:c r="C4501" s="21" t="str">
        <x:v>artifact</x:v>
      </x:c>
      <x:c r="D4501" s="21" t="str">
        <x:v>artifact 1726 eligibility equation</x:v>
      </x:c>
      <x:c r="E4501" s="21" t="n">
        <x:f>IF(ABS('Artifact Ledger'!P1732-IF(AND('Artifact Ledger'!L1732=1,'Artifact Ledger'!M1732=1,'Artifact Ledger'!N1732=1,'Artifact Ledger'!O1732&gt;='Artifact Ledger'!G1732),'Artifact Ledger'!K1732,0))&lt;0.000001,1,0)</x:f>
        <x:v>1</x:v>
      </x:c>
      <x:c r="F4501" s="21" t="n">
        <x:v>1</x:v>
      </x:c>
      <x:c r="G4501" s="23" t="str">
        <x:f>IF(E4501=F4501,"PASS","FAIL")</x:f>
        <x:v>PASS</x:v>
      </x:c>
    </x:row>
    <x:row r="4502">
      <x:c r="B4502" s="21" t="str">
        <x:v>A04496</x:v>
      </x:c>
      <x:c r="C4502" s="21" t="str">
        <x:v>artifact</x:v>
      </x:c>
      <x:c r="D4502" s="21" t="str">
        <x:v>artifact 1726 planning state</x:v>
      </x:c>
      <x:c r="E4502" s="21" t="n">
        <x:f>IF(AND('Artifact Ledger'!Q1732="OPEN",'Artifact Ledger'!R1732="HOLD"),1,0)</x:f>
        <x:v>1</x:v>
      </x:c>
      <x:c r="F4502" s="21" t="n">
        <x:v>1</x:v>
      </x:c>
      <x:c r="G4502" s="23" t="str">
        <x:f>IF(E4502=F4502,"PASS","FAIL")</x:f>
        <x:v>PASS</x:v>
      </x:c>
    </x:row>
    <x:row r="4503">
      <x:c r="B4503" s="21" t="str">
        <x:v>A04497</x:v>
      </x:c>
      <x:c r="C4503" s="21" t="str">
        <x:v>artifact</x:v>
      </x:c>
      <x:c r="D4503" s="21" t="str">
        <x:v>artifact 1727 eligibility equation</x:v>
      </x:c>
      <x:c r="E4503" s="21" t="n">
        <x:f>IF(ABS('Artifact Ledger'!P1733-IF(AND('Artifact Ledger'!L1733=1,'Artifact Ledger'!M1733=1,'Artifact Ledger'!N1733=1,'Artifact Ledger'!O1733&gt;='Artifact Ledger'!G1733),'Artifact Ledger'!K1733,0))&lt;0.000001,1,0)</x:f>
        <x:v>1</x:v>
      </x:c>
      <x:c r="F4503" s="21" t="n">
        <x:v>1</x:v>
      </x:c>
      <x:c r="G4503" s="23" t="str">
        <x:f>IF(E4503=F4503,"PASS","FAIL")</x:f>
        <x:v>PASS</x:v>
      </x:c>
    </x:row>
    <x:row r="4504">
      <x:c r="B4504" s="21" t="str">
        <x:v>A04498</x:v>
      </x:c>
      <x:c r="C4504" s="21" t="str">
        <x:v>artifact</x:v>
      </x:c>
      <x:c r="D4504" s="21" t="str">
        <x:v>artifact 1727 planning state</x:v>
      </x:c>
      <x:c r="E4504" s="21" t="n">
        <x:f>IF(AND('Artifact Ledger'!Q1733="OPEN",'Artifact Ledger'!R1733="HOLD"),1,0)</x:f>
        <x:v>1</x:v>
      </x:c>
      <x:c r="F4504" s="21" t="n">
        <x:v>1</x:v>
      </x:c>
      <x:c r="G4504" s="23" t="str">
        <x:f>IF(E4504=F4504,"PASS","FAIL")</x:f>
        <x:v>PASS</x:v>
      </x:c>
    </x:row>
    <x:row r="4505">
      <x:c r="B4505" s="21" t="str">
        <x:v>A04499</x:v>
      </x:c>
      <x:c r="C4505" s="21" t="str">
        <x:v>artifact</x:v>
      </x:c>
      <x:c r="D4505" s="21" t="str">
        <x:v>artifact 1728 eligibility equation</x:v>
      </x:c>
      <x:c r="E4505" s="21" t="n">
        <x:f>IF(ABS('Artifact Ledger'!P1734-IF(AND('Artifact Ledger'!L1734=1,'Artifact Ledger'!M1734=1,'Artifact Ledger'!N1734=1,'Artifact Ledger'!O1734&gt;='Artifact Ledger'!G1734),'Artifact Ledger'!K1734,0))&lt;0.000001,1,0)</x:f>
        <x:v>1</x:v>
      </x:c>
      <x:c r="F4505" s="21" t="n">
        <x:v>1</x:v>
      </x:c>
      <x:c r="G4505" s="23" t="str">
        <x:f>IF(E4505=F4505,"PASS","FAIL")</x:f>
        <x:v>PASS</x:v>
      </x:c>
    </x:row>
    <x:row r="4506">
      <x:c r="B4506" s="21" t="str">
        <x:v>A04500</x:v>
      </x:c>
      <x:c r="C4506" s="21" t="str">
        <x:v>artifact</x:v>
      </x:c>
      <x:c r="D4506" s="21" t="str">
        <x:v>artifact 1728 planning state</x:v>
      </x:c>
      <x:c r="E4506" s="21" t="n">
        <x:f>IF(AND('Artifact Ledger'!Q1734="OPEN",'Artifact Ledger'!R1734="HOLD"),1,0)</x:f>
        <x:v>1</x:v>
      </x:c>
      <x:c r="F4506" s="21" t="n">
        <x:v>1</x:v>
      </x:c>
      <x:c r="G4506" s="23" t="str">
        <x:f>IF(E4506=F4506,"PASS","FAIL")</x:f>
        <x:v>PASS</x:v>
      </x:c>
    </x:row>
    <x:row r="4507">
      <x:c r="B4507" s="21" t="str">
        <x:v>A04501</x:v>
      </x:c>
      <x:c r="C4507" s="21" t="str">
        <x:v>artifact</x:v>
      </x:c>
      <x:c r="D4507" s="21" t="str">
        <x:v>artifact 1729 eligibility equation</x:v>
      </x:c>
      <x:c r="E4507" s="21" t="n">
        <x:f>IF(ABS('Artifact Ledger'!P1735-IF(AND('Artifact Ledger'!L1735=1,'Artifact Ledger'!M1735=1,'Artifact Ledger'!N1735=1,'Artifact Ledger'!O1735&gt;='Artifact Ledger'!G1735),'Artifact Ledger'!K1735,0))&lt;0.000001,1,0)</x:f>
        <x:v>1</x:v>
      </x:c>
      <x:c r="F4507" s="21" t="n">
        <x:v>1</x:v>
      </x:c>
      <x:c r="G4507" s="23" t="str">
        <x:f>IF(E4507=F4507,"PASS","FAIL")</x:f>
        <x:v>PASS</x:v>
      </x:c>
    </x:row>
    <x:row r="4508">
      <x:c r="B4508" s="21" t="str">
        <x:v>A04502</x:v>
      </x:c>
      <x:c r="C4508" s="21" t="str">
        <x:v>artifact</x:v>
      </x:c>
      <x:c r="D4508" s="21" t="str">
        <x:v>artifact 1729 planning state</x:v>
      </x:c>
      <x:c r="E4508" s="21" t="n">
        <x:f>IF(AND('Artifact Ledger'!Q1735="OPEN",'Artifact Ledger'!R1735="HOLD"),1,0)</x:f>
        <x:v>1</x:v>
      </x:c>
      <x:c r="F4508" s="21" t="n">
        <x:v>1</x:v>
      </x:c>
      <x:c r="G4508" s="23" t="str">
        <x:f>IF(E4508=F4508,"PASS","FAIL")</x:f>
        <x:v>PASS</x:v>
      </x:c>
    </x:row>
    <x:row r="4509">
      <x:c r="B4509" s="21" t="str">
        <x:v>A04503</x:v>
      </x:c>
      <x:c r="C4509" s="21" t="str">
        <x:v>artifact</x:v>
      </x:c>
      <x:c r="D4509" s="21" t="str">
        <x:v>artifact 1730 eligibility equation</x:v>
      </x:c>
      <x:c r="E4509" s="21" t="n">
        <x:f>IF(ABS('Artifact Ledger'!P1736-IF(AND('Artifact Ledger'!L1736=1,'Artifact Ledger'!M1736=1,'Artifact Ledger'!N1736=1,'Artifact Ledger'!O1736&gt;='Artifact Ledger'!G1736),'Artifact Ledger'!K1736,0))&lt;0.000001,1,0)</x:f>
        <x:v>1</x:v>
      </x:c>
      <x:c r="F4509" s="21" t="n">
        <x:v>1</x:v>
      </x:c>
      <x:c r="G4509" s="23" t="str">
        <x:f>IF(E4509=F4509,"PASS","FAIL")</x:f>
        <x:v>PASS</x:v>
      </x:c>
    </x:row>
    <x:row r="4510">
      <x:c r="B4510" s="21" t="str">
        <x:v>A04504</x:v>
      </x:c>
      <x:c r="C4510" s="21" t="str">
        <x:v>artifact</x:v>
      </x:c>
      <x:c r="D4510" s="21" t="str">
        <x:v>artifact 1730 planning state</x:v>
      </x:c>
      <x:c r="E4510" s="21" t="n">
        <x:f>IF(AND('Artifact Ledger'!Q1736="OPEN",'Artifact Ledger'!R1736="HOLD"),1,0)</x:f>
        <x:v>1</x:v>
      </x:c>
      <x:c r="F4510" s="21" t="n">
        <x:v>1</x:v>
      </x:c>
      <x:c r="G4510" s="23" t="str">
        <x:f>IF(E4510=F4510,"PASS","FAIL")</x:f>
        <x:v>PASS</x:v>
      </x:c>
    </x:row>
    <x:row r="4511">
      <x:c r="B4511" s="21" t="str">
        <x:v>A04505</x:v>
      </x:c>
      <x:c r="C4511" s="21" t="str">
        <x:v>artifact</x:v>
      </x:c>
      <x:c r="D4511" s="21" t="str">
        <x:v>artifact 1731 eligibility equation</x:v>
      </x:c>
      <x:c r="E4511" s="21" t="n">
        <x:f>IF(ABS('Artifact Ledger'!P1737-IF(AND('Artifact Ledger'!L1737=1,'Artifact Ledger'!M1737=1,'Artifact Ledger'!N1737=1,'Artifact Ledger'!O1737&gt;='Artifact Ledger'!G1737),'Artifact Ledger'!K1737,0))&lt;0.000001,1,0)</x:f>
        <x:v>1</x:v>
      </x:c>
      <x:c r="F4511" s="21" t="n">
        <x:v>1</x:v>
      </x:c>
      <x:c r="G4511" s="23" t="str">
        <x:f>IF(E4511=F4511,"PASS","FAIL")</x:f>
        <x:v>PASS</x:v>
      </x:c>
    </x:row>
    <x:row r="4512">
      <x:c r="B4512" s="21" t="str">
        <x:v>A04506</x:v>
      </x:c>
      <x:c r="C4512" s="21" t="str">
        <x:v>artifact</x:v>
      </x:c>
      <x:c r="D4512" s="21" t="str">
        <x:v>artifact 1731 planning state</x:v>
      </x:c>
      <x:c r="E4512" s="21" t="n">
        <x:f>IF(AND('Artifact Ledger'!Q1737="OPEN",'Artifact Ledger'!R1737="HOLD"),1,0)</x:f>
        <x:v>1</x:v>
      </x:c>
      <x:c r="F4512" s="21" t="n">
        <x:v>1</x:v>
      </x:c>
      <x:c r="G4512" s="23" t="str">
        <x:f>IF(E4512=F4512,"PASS","FAIL")</x:f>
        <x:v>PASS</x:v>
      </x:c>
    </x:row>
    <x:row r="4513">
      <x:c r="B4513" s="21" t="str">
        <x:v>A04507</x:v>
      </x:c>
      <x:c r="C4513" s="21" t="str">
        <x:v>artifact</x:v>
      </x:c>
      <x:c r="D4513" s="21" t="str">
        <x:v>artifact 1732 eligibility equation</x:v>
      </x:c>
      <x:c r="E4513" s="21" t="n">
        <x:f>IF(ABS('Artifact Ledger'!P1738-IF(AND('Artifact Ledger'!L1738=1,'Artifact Ledger'!M1738=1,'Artifact Ledger'!N1738=1,'Artifact Ledger'!O1738&gt;='Artifact Ledger'!G1738),'Artifact Ledger'!K1738,0))&lt;0.000001,1,0)</x:f>
        <x:v>1</x:v>
      </x:c>
      <x:c r="F4513" s="21" t="n">
        <x:v>1</x:v>
      </x:c>
      <x:c r="G4513" s="23" t="str">
        <x:f>IF(E4513=F4513,"PASS","FAIL")</x:f>
        <x:v>PASS</x:v>
      </x:c>
    </x:row>
    <x:row r="4514">
      <x:c r="B4514" s="21" t="str">
        <x:v>A04508</x:v>
      </x:c>
      <x:c r="C4514" s="21" t="str">
        <x:v>artifact</x:v>
      </x:c>
      <x:c r="D4514" s="21" t="str">
        <x:v>artifact 1732 planning state</x:v>
      </x:c>
      <x:c r="E4514" s="21" t="n">
        <x:f>IF(AND('Artifact Ledger'!Q1738="OPEN",'Artifact Ledger'!R1738="HOLD"),1,0)</x:f>
        <x:v>1</x:v>
      </x:c>
      <x:c r="F4514" s="21" t="n">
        <x:v>1</x:v>
      </x:c>
      <x:c r="G4514" s="23" t="str">
        <x:f>IF(E4514=F4514,"PASS","FAIL")</x:f>
        <x:v>PASS</x:v>
      </x:c>
    </x:row>
    <x:row r="4515">
      <x:c r="B4515" s="21" t="str">
        <x:v>A04509</x:v>
      </x:c>
      <x:c r="C4515" s="21" t="str">
        <x:v>artifact</x:v>
      </x:c>
      <x:c r="D4515" s="21" t="str">
        <x:v>artifact 1733 eligibility equation</x:v>
      </x:c>
      <x:c r="E4515" s="21" t="n">
        <x:f>IF(ABS('Artifact Ledger'!P1739-IF(AND('Artifact Ledger'!L1739=1,'Artifact Ledger'!M1739=1,'Artifact Ledger'!N1739=1,'Artifact Ledger'!O1739&gt;='Artifact Ledger'!G1739),'Artifact Ledger'!K1739,0))&lt;0.000001,1,0)</x:f>
        <x:v>1</x:v>
      </x:c>
      <x:c r="F4515" s="21" t="n">
        <x:v>1</x:v>
      </x:c>
      <x:c r="G4515" s="23" t="str">
        <x:f>IF(E4515=F4515,"PASS","FAIL")</x:f>
        <x:v>PASS</x:v>
      </x:c>
    </x:row>
    <x:row r="4516">
      <x:c r="B4516" s="21" t="str">
        <x:v>A04510</x:v>
      </x:c>
      <x:c r="C4516" s="21" t="str">
        <x:v>artifact</x:v>
      </x:c>
      <x:c r="D4516" s="21" t="str">
        <x:v>artifact 1733 planning state</x:v>
      </x:c>
      <x:c r="E4516" s="21" t="n">
        <x:f>IF(AND('Artifact Ledger'!Q1739="OPEN",'Artifact Ledger'!R1739="HOLD"),1,0)</x:f>
        <x:v>1</x:v>
      </x:c>
      <x:c r="F4516" s="21" t="n">
        <x:v>1</x:v>
      </x:c>
      <x:c r="G4516" s="23" t="str">
        <x:f>IF(E4516=F4516,"PASS","FAIL")</x:f>
        <x:v>PASS</x:v>
      </x:c>
    </x:row>
    <x:row r="4517">
      <x:c r="B4517" s="21" t="str">
        <x:v>A04511</x:v>
      </x:c>
      <x:c r="C4517" s="21" t="str">
        <x:v>artifact</x:v>
      </x:c>
      <x:c r="D4517" s="21" t="str">
        <x:v>artifact 1734 eligibility equation</x:v>
      </x:c>
      <x:c r="E4517" s="21" t="n">
        <x:f>IF(ABS('Artifact Ledger'!P1740-IF(AND('Artifact Ledger'!L1740=1,'Artifact Ledger'!M1740=1,'Artifact Ledger'!N1740=1,'Artifact Ledger'!O1740&gt;='Artifact Ledger'!G1740),'Artifact Ledger'!K1740,0))&lt;0.000001,1,0)</x:f>
        <x:v>1</x:v>
      </x:c>
      <x:c r="F4517" s="21" t="n">
        <x:v>1</x:v>
      </x:c>
      <x:c r="G4517" s="23" t="str">
        <x:f>IF(E4517=F4517,"PASS","FAIL")</x:f>
        <x:v>PASS</x:v>
      </x:c>
    </x:row>
    <x:row r="4518">
      <x:c r="B4518" s="21" t="str">
        <x:v>A04512</x:v>
      </x:c>
      <x:c r="C4518" s="21" t="str">
        <x:v>artifact</x:v>
      </x:c>
      <x:c r="D4518" s="21" t="str">
        <x:v>artifact 1734 planning state</x:v>
      </x:c>
      <x:c r="E4518" s="21" t="n">
        <x:f>IF(AND('Artifact Ledger'!Q1740="OPEN",'Artifact Ledger'!R1740="HOLD"),1,0)</x:f>
        <x:v>1</x:v>
      </x:c>
      <x:c r="F4518" s="21" t="n">
        <x:v>1</x:v>
      </x:c>
      <x:c r="G4518" s="23" t="str">
        <x:f>IF(E4518=F4518,"PASS","FAIL")</x:f>
        <x:v>PASS</x:v>
      </x:c>
    </x:row>
    <x:row r="4519">
      <x:c r="B4519" s="21" t="str">
        <x:v>A04513</x:v>
      </x:c>
      <x:c r="C4519" s="21" t="str">
        <x:v>artifact</x:v>
      </x:c>
      <x:c r="D4519" s="21" t="str">
        <x:v>artifact 1735 eligibility equation</x:v>
      </x:c>
      <x:c r="E4519" s="21" t="n">
        <x:f>IF(ABS('Artifact Ledger'!P1741-IF(AND('Artifact Ledger'!L1741=1,'Artifact Ledger'!M1741=1,'Artifact Ledger'!N1741=1,'Artifact Ledger'!O1741&gt;='Artifact Ledger'!G1741),'Artifact Ledger'!K1741,0))&lt;0.000001,1,0)</x:f>
        <x:v>1</x:v>
      </x:c>
      <x:c r="F4519" s="21" t="n">
        <x:v>1</x:v>
      </x:c>
      <x:c r="G4519" s="23" t="str">
        <x:f>IF(E4519=F4519,"PASS","FAIL")</x:f>
        <x:v>PASS</x:v>
      </x:c>
    </x:row>
    <x:row r="4520">
      <x:c r="B4520" s="21" t="str">
        <x:v>A04514</x:v>
      </x:c>
      <x:c r="C4520" s="21" t="str">
        <x:v>artifact</x:v>
      </x:c>
      <x:c r="D4520" s="21" t="str">
        <x:v>artifact 1735 planning state</x:v>
      </x:c>
      <x:c r="E4520" s="21" t="n">
        <x:f>IF(AND('Artifact Ledger'!Q1741="OPEN",'Artifact Ledger'!R1741="HOLD"),1,0)</x:f>
        <x:v>1</x:v>
      </x:c>
      <x:c r="F4520" s="21" t="n">
        <x:v>1</x:v>
      </x:c>
      <x:c r="G4520" s="23" t="str">
        <x:f>IF(E4520=F4520,"PASS","FAIL")</x:f>
        <x:v>PASS</x:v>
      </x:c>
    </x:row>
    <x:row r="4521">
      <x:c r="B4521" s="21" t="str">
        <x:v>A04515</x:v>
      </x:c>
      <x:c r="C4521" s="21" t="str">
        <x:v>artifact</x:v>
      </x:c>
      <x:c r="D4521" s="21" t="str">
        <x:v>artifact 1736 eligibility equation</x:v>
      </x:c>
      <x:c r="E4521" s="21" t="n">
        <x:f>IF(ABS('Artifact Ledger'!P1742-IF(AND('Artifact Ledger'!L1742=1,'Artifact Ledger'!M1742=1,'Artifact Ledger'!N1742=1,'Artifact Ledger'!O1742&gt;='Artifact Ledger'!G1742),'Artifact Ledger'!K1742,0))&lt;0.000001,1,0)</x:f>
        <x:v>1</x:v>
      </x:c>
      <x:c r="F4521" s="21" t="n">
        <x:v>1</x:v>
      </x:c>
      <x:c r="G4521" s="23" t="str">
        <x:f>IF(E4521=F4521,"PASS","FAIL")</x:f>
        <x:v>PASS</x:v>
      </x:c>
    </x:row>
    <x:row r="4522">
      <x:c r="B4522" s="21" t="str">
        <x:v>A04516</x:v>
      </x:c>
      <x:c r="C4522" s="21" t="str">
        <x:v>artifact</x:v>
      </x:c>
      <x:c r="D4522" s="21" t="str">
        <x:v>artifact 1736 planning state</x:v>
      </x:c>
      <x:c r="E4522" s="21" t="n">
        <x:f>IF(AND('Artifact Ledger'!Q1742="OPEN",'Artifact Ledger'!R1742="HOLD"),1,0)</x:f>
        <x:v>1</x:v>
      </x:c>
      <x:c r="F4522" s="21" t="n">
        <x:v>1</x:v>
      </x:c>
      <x:c r="G4522" s="23" t="str">
        <x:f>IF(E4522=F4522,"PASS","FAIL")</x:f>
        <x:v>PASS</x:v>
      </x:c>
    </x:row>
    <x:row r="4523">
      <x:c r="B4523" s="21" t="str">
        <x:v>A04517</x:v>
      </x:c>
      <x:c r="C4523" s="21" t="str">
        <x:v>artifact</x:v>
      </x:c>
      <x:c r="D4523" s="21" t="str">
        <x:v>artifact 1737 eligibility equation</x:v>
      </x:c>
      <x:c r="E4523" s="21" t="n">
        <x:f>IF(ABS('Artifact Ledger'!P1743-IF(AND('Artifact Ledger'!L1743=1,'Artifact Ledger'!M1743=1,'Artifact Ledger'!N1743=1,'Artifact Ledger'!O1743&gt;='Artifact Ledger'!G1743),'Artifact Ledger'!K1743,0))&lt;0.000001,1,0)</x:f>
        <x:v>1</x:v>
      </x:c>
      <x:c r="F4523" s="21" t="n">
        <x:v>1</x:v>
      </x:c>
      <x:c r="G4523" s="23" t="str">
        <x:f>IF(E4523=F4523,"PASS","FAIL")</x:f>
        <x:v>PASS</x:v>
      </x:c>
    </x:row>
    <x:row r="4524">
      <x:c r="B4524" s="21" t="str">
        <x:v>A04518</x:v>
      </x:c>
      <x:c r="C4524" s="21" t="str">
        <x:v>artifact</x:v>
      </x:c>
      <x:c r="D4524" s="21" t="str">
        <x:v>artifact 1737 planning state</x:v>
      </x:c>
      <x:c r="E4524" s="21" t="n">
        <x:f>IF(AND('Artifact Ledger'!Q1743="OPEN",'Artifact Ledger'!R1743="HOLD"),1,0)</x:f>
        <x:v>1</x:v>
      </x:c>
      <x:c r="F4524" s="21" t="n">
        <x:v>1</x:v>
      </x:c>
      <x:c r="G4524" s="23" t="str">
        <x:f>IF(E4524=F4524,"PASS","FAIL")</x:f>
        <x:v>PASS</x:v>
      </x:c>
    </x:row>
    <x:row r="4525">
      <x:c r="B4525" s="21" t="str">
        <x:v>A04519</x:v>
      </x:c>
      <x:c r="C4525" s="21" t="str">
        <x:v>artifact</x:v>
      </x:c>
      <x:c r="D4525" s="21" t="str">
        <x:v>artifact 1738 eligibility equation</x:v>
      </x:c>
      <x:c r="E4525" s="21" t="n">
        <x:f>IF(ABS('Artifact Ledger'!P1744-IF(AND('Artifact Ledger'!L1744=1,'Artifact Ledger'!M1744=1,'Artifact Ledger'!N1744=1,'Artifact Ledger'!O1744&gt;='Artifact Ledger'!G1744),'Artifact Ledger'!K1744,0))&lt;0.000001,1,0)</x:f>
        <x:v>1</x:v>
      </x:c>
      <x:c r="F4525" s="21" t="n">
        <x:v>1</x:v>
      </x:c>
      <x:c r="G4525" s="23" t="str">
        <x:f>IF(E4525=F4525,"PASS","FAIL")</x:f>
        <x:v>PASS</x:v>
      </x:c>
    </x:row>
    <x:row r="4526">
      <x:c r="B4526" s="21" t="str">
        <x:v>A04520</x:v>
      </x:c>
      <x:c r="C4526" s="21" t="str">
        <x:v>artifact</x:v>
      </x:c>
      <x:c r="D4526" s="21" t="str">
        <x:v>artifact 1738 planning state</x:v>
      </x:c>
      <x:c r="E4526" s="21" t="n">
        <x:f>IF(AND('Artifact Ledger'!Q1744="OPEN",'Artifact Ledger'!R1744="HOLD"),1,0)</x:f>
        <x:v>1</x:v>
      </x:c>
      <x:c r="F4526" s="21" t="n">
        <x:v>1</x:v>
      </x:c>
      <x:c r="G4526" s="23" t="str">
        <x:f>IF(E4526=F4526,"PASS","FAIL")</x:f>
        <x:v>PASS</x:v>
      </x:c>
    </x:row>
    <x:row r="4527">
      <x:c r="B4527" s="21" t="str">
        <x:v>A04521</x:v>
      </x:c>
      <x:c r="C4527" s="21" t="str">
        <x:v>artifact</x:v>
      </x:c>
      <x:c r="D4527" s="21" t="str">
        <x:v>artifact 1739 eligibility equation</x:v>
      </x:c>
      <x:c r="E4527" s="21" t="n">
        <x:f>IF(ABS('Artifact Ledger'!P1745-IF(AND('Artifact Ledger'!L1745=1,'Artifact Ledger'!M1745=1,'Artifact Ledger'!N1745=1,'Artifact Ledger'!O1745&gt;='Artifact Ledger'!G1745),'Artifact Ledger'!K1745,0))&lt;0.000001,1,0)</x:f>
        <x:v>1</x:v>
      </x:c>
      <x:c r="F4527" s="21" t="n">
        <x:v>1</x:v>
      </x:c>
      <x:c r="G4527" s="23" t="str">
        <x:f>IF(E4527=F4527,"PASS","FAIL")</x:f>
        <x:v>PASS</x:v>
      </x:c>
    </x:row>
    <x:row r="4528">
      <x:c r="B4528" s="21" t="str">
        <x:v>A04522</x:v>
      </x:c>
      <x:c r="C4528" s="21" t="str">
        <x:v>artifact</x:v>
      </x:c>
      <x:c r="D4528" s="21" t="str">
        <x:v>artifact 1739 planning state</x:v>
      </x:c>
      <x:c r="E4528" s="21" t="n">
        <x:f>IF(AND('Artifact Ledger'!Q1745="OPEN",'Artifact Ledger'!R1745="HOLD"),1,0)</x:f>
        <x:v>1</x:v>
      </x:c>
      <x:c r="F4528" s="21" t="n">
        <x:v>1</x:v>
      </x:c>
      <x:c r="G4528" s="23" t="str">
        <x:f>IF(E4528=F4528,"PASS","FAIL")</x:f>
        <x:v>PASS</x:v>
      </x:c>
    </x:row>
    <x:row r="4529">
      <x:c r="B4529" s="21" t="str">
        <x:v>A04523</x:v>
      </x:c>
      <x:c r="C4529" s="21" t="str">
        <x:v>artifact</x:v>
      </x:c>
      <x:c r="D4529" s="21" t="str">
        <x:v>artifact 1740 eligibility equation</x:v>
      </x:c>
      <x:c r="E4529" s="21" t="n">
        <x:f>IF(ABS('Artifact Ledger'!P1746-IF(AND('Artifact Ledger'!L1746=1,'Artifact Ledger'!M1746=1,'Artifact Ledger'!N1746=1,'Artifact Ledger'!O1746&gt;='Artifact Ledger'!G1746),'Artifact Ledger'!K1746,0))&lt;0.000001,1,0)</x:f>
        <x:v>1</x:v>
      </x:c>
      <x:c r="F4529" s="21" t="n">
        <x:v>1</x:v>
      </x:c>
      <x:c r="G4529" s="23" t="str">
        <x:f>IF(E4529=F4529,"PASS","FAIL")</x:f>
        <x:v>PASS</x:v>
      </x:c>
    </x:row>
    <x:row r="4530">
      <x:c r="B4530" s="21" t="str">
        <x:v>A04524</x:v>
      </x:c>
      <x:c r="C4530" s="21" t="str">
        <x:v>artifact</x:v>
      </x:c>
      <x:c r="D4530" s="21" t="str">
        <x:v>artifact 1740 planning state</x:v>
      </x:c>
      <x:c r="E4530" s="21" t="n">
        <x:f>IF(AND('Artifact Ledger'!Q1746="OPEN",'Artifact Ledger'!R1746="HOLD"),1,0)</x:f>
        <x:v>1</x:v>
      </x:c>
      <x:c r="F4530" s="21" t="n">
        <x:v>1</x:v>
      </x:c>
      <x:c r="G4530" s="23" t="str">
        <x:f>IF(E4530=F4530,"PASS","FAIL")</x:f>
        <x:v>PASS</x:v>
      </x:c>
    </x:row>
    <x:row r="4531">
      <x:c r="B4531" s="21" t="str">
        <x:v>A04525</x:v>
      </x:c>
      <x:c r="C4531" s="21" t="str">
        <x:v>artifact</x:v>
      </x:c>
      <x:c r="D4531" s="21" t="str">
        <x:v>artifact 1741 eligibility equation</x:v>
      </x:c>
      <x:c r="E4531" s="21" t="n">
        <x:f>IF(ABS('Artifact Ledger'!P1747-IF(AND('Artifact Ledger'!L1747=1,'Artifact Ledger'!M1747=1,'Artifact Ledger'!N1747=1,'Artifact Ledger'!O1747&gt;='Artifact Ledger'!G1747),'Artifact Ledger'!K1747,0))&lt;0.000001,1,0)</x:f>
        <x:v>1</x:v>
      </x:c>
      <x:c r="F4531" s="21" t="n">
        <x:v>1</x:v>
      </x:c>
      <x:c r="G4531" s="23" t="str">
        <x:f>IF(E4531=F4531,"PASS","FAIL")</x:f>
        <x:v>PASS</x:v>
      </x:c>
    </x:row>
    <x:row r="4532">
      <x:c r="B4532" s="21" t="str">
        <x:v>A04526</x:v>
      </x:c>
      <x:c r="C4532" s="21" t="str">
        <x:v>artifact</x:v>
      </x:c>
      <x:c r="D4532" s="21" t="str">
        <x:v>artifact 1741 planning state</x:v>
      </x:c>
      <x:c r="E4532" s="21" t="n">
        <x:f>IF(AND('Artifact Ledger'!Q1747="OPEN",'Artifact Ledger'!R1747="HOLD"),1,0)</x:f>
        <x:v>1</x:v>
      </x:c>
      <x:c r="F4532" s="21" t="n">
        <x:v>1</x:v>
      </x:c>
      <x:c r="G4532" s="23" t="str">
        <x:f>IF(E4532=F4532,"PASS","FAIL")</x:f>
        <x:v>PASS</x:v>
      </x:c>
    </x:row>
    <x:row r="4533">
      <x:c r="B4533" s="21" t="str">
        <x:v>A04527</x:v>
      </x:c>
      <x:c r="C4533" s="21" t="str">
        <x:v>artifact</x:v>
      </x:c>
      <x:c r="D4533" s="21" t="str">
        <x:v>artifact 1742 eligibility equation</x:v>
      </x:c>
      <x:c r="E4533" s="21" t="n">
        <x:f>IF(ABS('Artifact Ledger'!P1748-IF(AND('Artifact Ledger'!L1748=1,'Artifact Ledger'!M1748=1,'Artifact Ledger'!N1748=1,'Artifact Ledger'!O1748&gt;='Artifact Ledger'!G1748),'Artifact Ledger'!K1748,0))&lt;0.000001,1,0)</x:f>
        <x:v>1</x:v>
      </x:c>
      <x:c r="F4533" s="21" t="n">
        <x:v>1</x:v>
      </x:c>
      <x:c r="G4533" s="23" t="str">
        <x:f>IF(E4533=F4533,"PASS","FAIL")</x:f>
        <x:v>PASS</x:v>
      </x:c>
    </x:row>
    <x:row r="4534">
      <x:c r="B4534" s="21" t="str">
        <x:v>A04528</x:v>
      </x:c>
      <x:c r="C4534" s="21" t="str">
        <x:v>artifact</x:v>
      </x:c>
      <x:c r="D4534" s="21" t="str">
        <x:v>artifact 1742 planning state</x:v>
      </x:c>
      <x:c r="E4534" s="21" t="n">
        <x:f>IF(AND('Artifact Ledger'!Q1748="OPEN",'Artifact Ledger'!R1748="HOLD"),1,0)</x:f>
        <x:v>1</x:v>
      </x:c>
      <x:c r="F4534" s="21" t="n">
        <x:v>1</x:v>
      </x:c>
      <x:c r="G4534" s="23" t="str">
        <x:f>IF(E4534=F4534,"PASS","FAIL")</x:f>
        <x:v>PASS</x:v>
      </x:c>
    </x:row>
    <x:row r="4535">
      <x:c r="B4535" s="21" t="str">
        <x:v>A04529</x:v>
      </x:c>
      <x:c r="C4535" s="21" t="str">
        <x:v>artifact</x:v>
      </x:c>
      <x:c r="D4535" s="21" t="str">
        <x:v>artifact 1743 eligibility equation</x:v>
      </x:c>
      <x:c r="E4535" s="21" t="n">
        <x:f>IF(ABS('Artifact Ledger'!P1749-IF(AND('Artifact Ledger'!L1749=1,'Artifact Ledger'!M1749=1,'Artifact Ledger'!N1749=1,'Artifact Ledger'!O1749&gt;='Artifact Ledger'!G1749),'Artifact Ledger'!K1749,0))&lt;0.000001,1,0)</x:f>
        <x:v>1</x:v>
      </x:c>
      <x:c r="F4535" s="21" t="n">
        <x:v>1</x:v>
      </x:c>
      <x:c r="G4535" s="23" t="str">
        <x:f>IF(E4535=F4535,"PASS","FAIL")</x:f>
        <x:v>PASS</x:v>
      </x:c>
    </x:row>
    <x:row r="4536">
      <x:c r="B4536" s="21" t="str">
        <x:v>A04530</x:v>
      </x:c>
      <x:c r="C4536" s="21" t="str">
        <x:v>artifact</x:v>
      </x:c>
      <x:c r="D4536" s="21" t="str">
        <x:v>artifact 1743 planning state</x:v>
      </x:c>
      <x:c r="E4536" s="21" t="n">
        <x:f>IF(AND('Artifact Ledger'!Q1749="OPEN",'Artifact Ledger'!R1749="HOLD"),1,0)</x:f>
        <x:v>1</x:v>
      </x:c>
      <x:c r="F4536" s="21" t="n">
        <x:v>1</x:v>
      </x:c>
      <x:c r="G4536" s="23" t="str">
        <x:f>IF(E4536=F4536,"PASS","FAIL")</x:f>
        <x:v>PASS</x:v>
      </x:c>
    </x:row>
    <x:row r="4537">
      <x:c r="B4537" s="21" t="str">
        <x:v>A04531</x:v>
      </x:c>
      <x:c r="C4537" s="21" t="str">
        <x:v>artifact</x:v>
      </x:c>
      <x:c r="D4537" s="21" t="str">
        <x:v>artifact 1744 eligibility equation</x:v>
      </x:c>
      <x:c r="E4537" s="21" t="n">
        <x:f>IF(ABS('Artifact Ledger'!P1750-IF(AND('Artifact Ledger'!L1750=1,'Artifact Ledger'!M1750=1,'Artifact Ledger'!N1750=1,'Artifact Ledger'!O1750&gt;='Artifact Ledger'!G1750),'Artifact Ledger'!K1750,0))&lt;0.000001,1,0)</x:f>
        <x:v>1</x:v>
      </x:c>
      <x:c r="F4537" s="21" t="n">
        <x:v>1</x:v>
      </x:c>
      <x:c r="G4537" s="23" t="str">
        <x:f>IF(E4537=F4537,"PASS","FAIL")</x:f>
        <x:v>PASS</x:v>
      </x:c>
    </x:row>
    <x:row r="4538">
      <x:c r="B4538" s="21" t="str">
        <x:v>A04532</x:v>
      </x:c>
      <x:c r="C4538" s="21" t="str">
        <x:v>artifact</x:v>
      </x:c>
      <x:c r="D4538" s="21" t="str">
        <x:v>artifact 1744 planning state</x:v>
      </x:c>
      <x:c r="E4538" s="21" t="n">
        <x:f>IF(AND('Artifact Ledger'!Q1750="OPEN",'Artifact Ledger'!R1750="HOLD"),1,0)</x:f>
        <x:v>1</x:v>
      </x:c>
      <x:c r="F4538" s="21" t="n">
        <x:v>1</x:v>
      </x:c>
      <x:c r="G4538" s="23" t="str">
        <x:f>IF(E4538=F4538,"PASS","FAIL")</x:f>
        <x:v>PASS</x:v>
      </x:c>
    </x:row>
    <x:row r="4539">
      <x:c r="B4539" s="21" t="str">
        <x:v>A04533</x:v>
      </x:c>
      <x:c r="C4539" s="21" t="str">
        <x:v>artifact</x:v>
      </x:c>
      <x:c r="D4539" s="21" t="str">
        <x:v>artifact 1745 eligibility equation</x:v>
      </x:c>
      <x:c r="E4539" s="21" t="n">
        <x:f>IF(ABS('Artifact Ledger'!P1751-IF(AND('Artifact Ledger'!L1751=1,'Artifact Ledger'!M1751=1,'Artifact Ledger'!N1751=1,'Artifact Ledger'!O1751&gt;='Artifact Ledger'!G1751),'Artifact Ledger'!K1751,0))&lt;0.000001,1,0)</x:f>
        <x:v>1</x:v>
      </x:c>
      <x:c r="F4539" s="21" t="n">
        <x:v>1</x:v>
      </x:c>
      <x:c r="G4539" s="23" t="str">
        <x:f>IF(E4539=F4539,"PASS","FAIL")</x:f>
        <x:v>PASS</x:v>
      </x:c>
    </x:row>
    <x:row r="4540">
      <x:c r="B4540" s="21" t="str">
        <x:v>A04534</x:v>
      </x:c>
      <x:c r="C4540" s="21" t="str">
        <x:v>artifact</x:v>
      </x:c>
      <x:c r="D4540" s="21" t="str">
        <x:v>artifact 1745 planning state</x:v>
      </x:c>
      <x:c r="E4540" s="21" t="n">
        <x:f>IF(AND('Artifact Ledger'!Q1751="OPEN",'Artifact Ledger'!R1751="HOLD"),1,0)</x:f>
        <x:v>1</x:v>
      </x:c>
      <x:c r="F4540" s="21" t="n">
        <x:v>1</x:v>
      </x:c>
      <x:c r="G4540" s="23" t="str">
        <x:f>IF(E4540=F4540,"PASS","FAIL")</x:f>
        <x:v>PASS</x:v>
      </x:c>
    </x:row>
    <x:row r="4541">
      <x:c r="B4541" s="21" t="str">
        <x:v>A04535</x:v>
      </x:c>
      <x:c r="C4541" s="21" t="str">
        <x:v>artifact</x:v>
      </x:c>
      <x:c r="D4541" s="21" t="str">
        <x:v>artifact 1746 eligibility equation</x:v>
      </x:c>
      <x:c r="E4541" s="21" t="n">
        <x:f>IF(ABS('Artifact Ledger'!P1752-IF(AND('Artifact Ledger'!L1752=1,'Artifact Ledger'!M1752=1,'Artifact Ledger'!N1752=1,'Artifact Ledger'!O1752&gt;='Artifact Ledger'!G1752),'Artifact Ledger'!K1752,0))&lt;0.000001,1,0)</x:f>
        <x:v>1</x:v>
      </x:c>
      <x:c r="F4541" s="21" t="n">
        <x:v>1</x:v>
      </x:c>
      <x:c r="G4541" s="23" t="str">
        <x:f>IF(E4541=F4541,"PASS","FAIL")</x:f>
        <x:v>PASS</x:v>
      </x:c>
    </x:row>
    <x:row r="4542">
      <x:c r="B4542" s="21" t="str">
        <x:v>A04536</x:v>
      </x:c>
      <x:c r="C4542" s="21" t="str">
        <x:v>artifact</x:v>
      </x:c>
      <x:c r="D4542" s="21" t="str">
        <x:v>artifact 1746 planning state</x:v>
      </x:c>
      <x:c r="E4542" s="21" t="n">
        <x:f>IF(AND('Artifact Ledger'!Q1752="OPEN",'Artifact Ledger'!R1752="HOLD"),1,0)</x:f>
        <x:v>1</x:v>
      </x:c>
      <x:c r="F4542" s="21" t="n">
        <x:v>1</x:v>
      </x:c>
      <x:c r="G4542" s="23" t="str">
        <x:f>IF(E4542=F4542,"PASS","FAIL")</x:f>
        <x:v>PASS</x:v>
      </x:c>
    </x:row>
    <x:row r="4543">
      <x:c r="B4543" s="21" t="str">
        <x:v>A04537</x:v>
      </x:c>
      <x:c r="C4543" s="21" t="str">
        <x:v>artifact</x:v>
      </x:c>
      <x:c r="D4543" s="21" t="str">
        <x:v>artifact 1747 eligibility equation</x:v>
      </x:c>
      <x:c r="E4543" s="21" t="n">
        <x:f>IF(ABS('Artifact Ledger'!P1753-IF(AND('Artifact Ledger'!L1753=1,'Artifact Ledger'!M1753=1,'Artifact Ledger'!N1753=1,'Artifact Ledger'!O1753&gt;='Artifact Ledger'!G1753),'Artifact Ledger'!K1753,0))&lt;0.000001,1,0)</x:f>
        <x:v>1</x:v>
      </x:c>
      <x:c r="F4543" s="21" t="n">
        <x:v>1</x:v>
      </x:c>
      <x:c r="G4543" s="23" t="str">
        <x:f>IF(E4543=F4543,"PASS","FAIL")</x:f>
        <x:v>PASS</x:v>
      </x:c>
    </x:row>
    <x:row r="4544">
      <x:c r="B4544" s="21" t="str">
        <x:v>A04538</x:v>
      </x:c>
      <x:c r="C4544" s="21" t="str">
        <x:v>artifact</x:v>
      </x:c>
      <x:c r="D4544" s="21" t="str">
        <x:v>artifact 1747 planning state</x:v>
      </x:c>
      <x:c r="E4544" s="21" t="n">
        <x:f>IF(AND('Artifact Ledger'!Q1753="OPEN",'Artifact Ledger'!R1753="HOLD"),1,0)</x:f>
        <x:v>1</x:v>
      </x:c>
      <x:c r="F4544" s="21" t="n">
        <x:v>1</x:v>
      </x:c>
      <x:c r="G4544" s="23" t="str">
        <x:f>IF(E4544=F4544,"PASS","FAIL")</x:f>
        <x:v>PASS</x:v>
      </x:c>
    </x:row>
    <x:row r="4545">
      <x:c r="B4545" s="21" t="str">
        <x:v>A04539</x:v>
      </x:c>
      <x:c r="C4545" s="21" t="str">
        <x:v>artifact</x:v>
      </x:c>
      <x:c r="D4545" s="21" t="str">
        <x:v>artifact 1748 eligibility equation</x:v>
      </x:c>
      <x:c r="E4545" s="21" t="n">
        <x:f>IF(ABS('Artifact Ledger'!P1754-IF(AND('Artifact Ledger'!L1754=1,'Artifact Ledger'!M1754=1,'Artifact Ledger'!N1754=1,'Artifact Ledger'!O1754&gt;='Artifact Ledger'!G1754),'Artifact Ledger'!K1754,0))&lt;0.000001,1,0)</x:f>
        <x:v>1</x:v>
      </x:c>
      <x:c r="F4545" s="21" t="n">
        <x:v>1</x:v>
      </x:c>
      <x:c r="G4545" s="23" t="str">
        <x:f>IF(E4545=F4545,"PASS","FAIL")</x:f>
        <x:v>PASS</x:v>
      </x:c>
    </x:row>
    <x:row r="4546">
      <x:c r="B4546" s="21" t="str">
        <x:v>A04540</x:v>
      </x:c>
      <x:c r="C4546" s="21" t="str">
        <x:v>artifact</x:v>
      </x:c>
      <x:c r="D4546" s="21" t="str">
        <x:v>artifact 1748 planning state</x:v>
      </x:c>
      <x:c r="E4546" s="21" t="n">
        <x:f>IF(AND('Artifact Ledger'!Q1754="OPEN",'Artifact Ledger'!R1754="HOLD"),1,0)</x:f>
        <x:v>1</x:v>
      </x:c>
      <x:c r="F4546" s="21" t="n">
        <x:v>1</x:v>
      </x:c>
      <x:c r="G4546" s="23" t="str">
        <x:f>IF(E4546=F4546,"PASS","FAIL")</x:f>
        <x:v>PASS</x:v>
      </x:c>
    </x:row>
    <x:row r="4547">
      <x:c r="B4547" s="21" t="str">
        <x:v>A04541</x:v>
      </x:c>
      <x:c r="C4547" s="21" t="str">
        <x:v>artifact</x:v>
      </x:c>
      <x:c r="D4547" s="21" t="str">
        <x:v>artifact 1749 eligibility equation</x:v>
      </x:c>
      <x:c r="E4547" s="21" t="n">
        <x:f>IF(ABS('Artifact Ledger'!P1755-IF(AND('Artifact Ledger'!L1755=1,'Artifact Ledger'!M1755=1,'Artifact Ledger'!N1755=1,'Artifact Ledger'!O1755&gt;='Artifact Ledger'!G1755),'Artifact Ledger'!K1755,0))&lt;0.000001,1,0)</x:f>
        <x:v>1</x:v>
      </x:c>
      <x:c r="F4547" s="21" t="n">
        <x:v>1</x:v>
      </x:c>
      <x:c r="G4547" s="23" t="str">
        <x:f>IF(E4547=F4547,"PASS","FAIL")</x:f>
        <x:v>PASS</x:v>
      </x:c>
    </x:row>
    <x:row r="4548">
      <x:c r="B4548" s="21" t="str">
        <x:v>A04542</x:v>
      </x:c>
      <x:c r="C4548" s="21" t="str">
        <x:v>artifact</x:v>
      </x:c>
      <x:c r="D4548" s="21" t="str">
        <x:v>artifact 1749 planning state</x:v>
      </x:c>
      <x:c r="E4548" s="21" t="n">
        <x:f>IF(AND('Artifact Ledger'!Q1755="OPEN",'Artifact Ledger'!R1755="HOLD"),1,0)</x:f>
        <x:v>1</x:v>
      </x:c>
      <x:c r="F4548" s="21" t="n">
        <x:v>1</x:v>
      </x:c>
      <x:c r="G4548" s="23" t="str">
        <x:f>IF(E4548=F4548,"PASS","FAIL")</x:f>
        <x:v>PASS</x:v>
      </x:c>
    </x:row>
    <x:row r="4549">
      <x:c r="B4549" s="21" t="str">
        <x:v>A04543</x:v>
      </x:c>
      <x:c r="C4549" s="21" t="str">
        <x:v>artifact</x:v>
      </x:c>
      <x:c r="D4549" s="21" t="str">
        <x:v>artifact 1750 eligibility equation</x:v>
      </x:c>
      <x:c r="E4549" s="21" t="n">
        <x:f>IF(ABS('Artifact Ledger'!P1756-IF(AND('Artifact Ledger'!L1756=1,'Artifact Ledger'!M1756=1,'Artifact Ledger'!N1756=1,'Artifact Ledger'!O1756&gt;='Artifact Ledger'!G1756),'Artifact Ledger'!K1756,0))&lt;0.000001,1,0)</x:f>
        <x:v>1</x:v>
      </x:c>
      <x:c r="F4549" s="21" t="n">
        <x:v>1</x:v>
      </x:c>
      <x:c r="G4549" s="23" t="str">
        <x:f>IF(E4549=F4549,"PASS","FAIL")</x:f>
        <x:v>PASS</x:v>
      </x:c>
    </x:row>
    <x:row r="4550">
      <x:c r="B4550" s="21" t="str">
        <x:v>A04544</x:v>
      </x:c>
      <x:c r="C4550" s="21" t="str">
        <x:v>artifact</x:v>
      </x:c>
      <x:c r="D4550" s="21" t="str">
        <x:v>artifact 1750 planning state</x:v>
      </x:c>
      <x:c r="E4550" s="21" t="n">
        <x:f>IF(AND('Artifact Ledger'!Q1756="OPEN",'Artifact Ledger'!R1756="HOLD"),1,0)</x:f>
        <x:v>1</x:v>
      </x:c>
      <x:c r="F4550" s="21" t="n">
        <x:v>1</x:v>
      </x:c>
      <x:c r="G4550" s="23" t="str">
        <x:f>IF(E4550=F4550,"PASS","FAIL")</x:f>
        <x:v>PASS</x:v>
      </x:c>
    </x:row>
    <x:row r="4551">
      <x:c r="B4551" s="21" t="str">
        <x:v>A04545</x:v>
      </x:c>
      <x:c r="C4551" s="21" t="str">
        <x:v>artifact</x:v>
      </x:c>
      <x:c r="D4551" s="21" t="str">
        <x:v>artifact 1751 eligibility equation</x:v>
      </x:c>
      <x:c r="E4551" s="21" t="n">
        <x:f>IF(ABS('Artifact Ledger'!P1757-IF(AND('Artifact Ledger'!L1757=1,'Artifact Ledger'!M1757=1,'Artifact Ledger'!N1757=1,'Artifact Ledger'!O1757&gt;='Artifact Ledger'!G1757),'Artifact Ledger'!K1757,0))&lt;0.000001,1,0)</x:f>
        <x:v>1</x:v>
      </x:c>
      <x:c r="F4551" s="21" t="n">
        <x:v>1</x:v>
      </x:c>
      <x:c r="G4551" s="23" t="str">
        <x:f>IF(E4551=F4551,"PASS","FAIL")</x:f>
        <x:v>PASS</x:v>
      </x:c>
    </x:row>
    <x:row r="4552">
      <x:c r="B4552" s="21" t="str">
        <x:v>A04546</x:v>
      </x:c>
      <x:c r="C4552" s="21" t="str">
        <x:v>artifact</x:v>
      </x:c>
      <x:c r="D4552" s="21" t="str">
        <x:v>artifact 1751 planning state</x:v>
      </x:c>
      <x:c r="E4552" s="21" t="n">
        <x:f>IF(AND('Artifact Ledger'!Q1757="OPEN",'Artifact Ledger'!R1757="HOLD"),1,0)</x:f>
        <x:v>1</x:v>
      </x:c>
      <x:c r="F4552" s="21" t="n">
        <x:v>1</x:v>
      </x:c>
      <x:c r="G4552" s="23" t="str">
        <x:f>IF(E4552=F4552,"PASS","FAIL")</x:f>
        <x:v>PASS</x:v>
      </x:c>
    </x:row>
    <x:row r="4553">
      <x:c r="B4553" s="21" t="str">
        <x:v>A04547</x:v>
      </x:c>
      <x:c r="C4553" s="21" t="str">
        <x:v>artifact</x:v>
      </x:c>
      <x:c r="D4553" s="21" t="str">
        <x:v>artifact 1752 eligibility equation</x:v>
      </x:c>
      <x:c r="E4553" s="21" t="n">
        <x:f>IF(ABS('Artifact Ledger'!P1758-IF(AND('Artifact Ledger'!L1758=1,'Artifact Ledger'!M1758=1,'Artifact Ledger'!N1758=1,'Artifact Ledger'!O1758&gt;='Artifact Ledger'!G1758),'Artifact Ledger'!K1758,0))&lt;0.000001,1,0)</x:f>
        <x:v>1</x:v>
      </x:c>
      <x:c r="F4553" s="21" t="n">
        <x:v>1</x:v>
      </x:c>
      <x:c r="G4553" s="23" t="str">
        <x:f>IF(E4553=F4553,"PASS","FAIL")</x:f>
        <x:v>PASS</x:v>
      </x:c>
    </x:row>
    <x:row r="4554">
      <x:c r="B4554" s="21" t="str">
        <x:v>A04548</x:v>
      </x:c>
      <x:c r="C4554" s="21" t="str">
        <x:v>artifact</x:v>
      </x:c>
      <x:c r="D4554" s="21" t="str">
        <x:v>artifact 1752 planning state</x:v>
      </x:c>
      <x:c r="E4554" s="21" t="n">
        <x:f>IF(AND('Artifact Ledger'!Q1758="OPEN",'Artifact Ledger'!R1758="HOLD"),1,0)</x:f>
        <x:v>1</x:v>
      </x:c>
      <x:c r="F4554" s="21" t="n">
        <x:v>1</x:v>
      </x:c>
      <x:c r="G4554" s="23" t="str">
        <x:f>IF(E4554=F4554,"PASS","FAIL")</x:f>
        <x:v>PASS</x:v>
      </x:c>
    </x:row>
    <x:row r="4555">
      <x:c r="B4555" s="21" t="str">
        <x:v>A04549</x:v>
      </x:c>
      <x:c r="C4555" s="21" t="str">
        <x:v>artifact</x:v>
      </x:c>
      <x:c r="D4555" s="21" t="str">
        <x:v>artifact 1753 eligibility equation</x:v>
      </x:c>
      <x:c r="E4555" s="21" t="n">
        <x:f>IF(ABS('Artifact Ledger'!P1759-IF(AND('Artifact Ledger'!L1759=1,'Artifact Ledger'!M1759=1,'Artifact Ledger'!N1759=1,'Artifact Ledger'!O1759&gt;='Artifact Ledger'!G1759),'Artifact Ledger'!K1759,0))&lt;0.000001,1,0)</x:f>
        <x:v>1</x:v>
      </x:c>
      <x:c r="F4555" s="21" t="n">
        <x:v>1</x:v>
      </x:c>
      <x:c r="G4555" s="23" t="str">
        <x:f>IF(E4555=F4555,"PASS","FAIL")</x:f>
        <x:v>PASS</x:v>
      </x:c>
    </x:row>
    <x:row r="4556">
      <x:c r="B4556" s="21" t="str">
        <x:v>A04550</x:v>
      </x:c>
      <x:c r="C4556" s="21" t="str">
        <x:v>artifact</x:v>
      </x:c>
      <x:c r="D4556" s="21" t="str">
        <x:v>artifact 1753 planning state</x:v>
      </x:c>
      <x:c r="E4556" s="21" t="n">
        <x:f>IF(AND('Artifact Ledger'!Q1759="OPEN",'Artifact Ledger'!R1759="HOLD"),1,0)</x:f>
        <x:v>1</x:v>
      </x:c>
      <x:c r="F4556" s="21" t="n">
        <x:v>1</x:v>
      </x:c>
      <x:c r="G4556" s="23" t="str">
        <x:f>IF(E4556=F4556,"PASS","FAIL")</x:f>
        <x:v>PASS</x:v>
      </x:c>
    </x:row>
    <x:row r="4557">
      <x:c r="B4557" s="21" t="str">
        <x:v>A04551</x:v>
      </x:c>
      <x:c r="C4557" s="21" t="str">
        <x:v>artifact</x:v>
      </x:c>
      <x:c r="D4557" s="21" t="str">
        <x:v>artifact 1754 eligibility equation</x:v>
      </x:c>
      <x:c r="E4557" s="21" t="n">
        <x:f>IF(ABS('Artifact Ledger'!P1760-IF(AND('Artifact Ledger'!L1760=1,'Artifact Ledger'!M1760=1,'Artifact Ledger'!N1760=1,'Artifact Ledger'!O1760&gt;='Artifact Ledger'!G1760),'Artifact Ledger'!K1760,0))&lt;0.000001,1,0)</x:f>
        <x:v>1</x:v>
      </x:c>
      <x:c r="F4557" s="21" t="n">
        <x:v>1</x:v>
      </x:c>
      <x:c r="G4557" s="23" t="str">
        <x:f>IF(E4557=F4557,"PASS","FAIL")</x:f>
        <x:v>PASS</x:v>
      </x:c>
    </x:row>
    <x:row r="4558">
      <x:c r="B4558" s="21" t="str">
        <x:v>A04552</x:v>
      </x:c>
      <x:c r="C4558" s="21" t="str">
        <x:v>artifact</x:v>
      </x:c>
      <x:c r="D4558" s="21" t="str">
        <x:v>artifact 1754 planning state</x:v>
      </x:c>
      <x:c r="E4558" s="21" t="n">
        <x:f>IF(AND('Artifact Ledger'!Q1760="OPEN",'Artifact Ledger'!R1760="HOLD"),1,0)</x:f>
        <x:v>1</x:v>
      </x:c>
      <x:c r="F4558" s="21" t="n">
        <x:v>1</x:v>
      </x:c>
      <x:c r="G4558" s="23" t="str">
        <x:f>IF(E4558=F4558,"PASS","FAIL")</x:f>
        <x:v>PASS</x:v>
      </x:c>
    </x:row>
    <x:row r="4559">
      <x:c r="B4559" s="21" t="str">
        <x:v>A04553</x:v>
      </x:c>
      <x:c r="C4559" s="21" t="str">
        <x:v>artifact</x:v>
      </x:c>
      <x:c r="D4559" s="21" t="str">
        <x:v>artifact 1755 eligibility equation</x:v>
      </x:c>
      <x:c r="E4559" s="21" t="n">
        <x:f>IF(ABS('Artifact Ledger'!P1761-IF(AND('Artifact Ledger'!L1761=1,'Artifact Ledger'!M1761=1,'Artifact Ledger'!N1761=1,'Artifact Ledger'!O1761&gt;='Artifact Ledger'!G1761),'Artifact Ledger'!K1761,0))&lt;0.000001,1,0)</x:f>
        <x:v>1</x:v>
      </x:c>
      <x:c r="F4559" s="21" t="n">
        <x:v>1</x:v>
      </x:c>
      <x:c r="G4559" s="23" t="str">
        <x:f>IF(E4559=F4559,"PASS","FAIL")</x:f>
        <x:v>PASS</x:v>
      </x:c>
    </x:row>
    <x:row r="4560">
      <x:c r="B4560" s="21" t="str">
        <x:v>A04554</x:v>
      </x:c>
      <x:c r="C4560" s="21" t="str">
        <x:v>artifact</x:v>
      </x:c>
      <x:c r="D4560" s="21" t="str">
        <x:v>artifact 1755 planning state</x:v>
      </x:c>
      <x:c r="E4560" s="21" t="n">
        <x:f>IF(AND('Artifact Ledger'!Q1761="OPEN",'Artifact Ledger'!R1761="HOLD"),1,0)</x:f>
        <x:v>1</x:v>
      </x:c>
      <x:c r="F4560" s="21" t="n">
        <x:v>1</x:v>
      </x:c>
      <x:c r="G4560" s="23" t="str">
        <x:f>IF(E4560=F4560,"PASS","FAIL")</x:f>
        <x:v>PASS</x:v>
      </x:c>
    </x:row>
    <x:row r="4561">
      <x:c r="B4561" s="21" t="str">
        <x:v>A04555</x:v>
      </x:c>
      <x:c r="C4561" s="21" t="str">
        <x:v>artifact</x:v>
      </x:c>
      <x:c r="D4561" s="21" t="str">
        <x:v>artifact 1756 eligibility equation</x:v>
      </x:c>
      <x:c r="E4561" s="21" t="n">
        <x:f>IF(ABS('Artifact Ledger'!P1762-IF(AND('Artifact Ledger'!L1762=1,'Artifact Ledger'!M1762=1,'Artifact Ledger'!N1762=1,'Artifact Ledger'!O1762&gt;='Artifact Ledger'!G1762),'Artifact Ledger'!K1762,0))&lt;0.000001,1,0)</x:f>
        <x:v>1</x:v>
      </x:c>
      <x:c r="F4561" s="21" t="n">
        <x:v>1</x:v>
      </x:c>
      <x:c r="G4561" s="23" t="str">
        <x:f>IF(E4561=F4561,"PASS","FAIL")</x:f>
        <x:v>PASS</x:v>
      </x:c>
    </x:row>
    <x:row r="4562">
      <x:c r="B4562" s="21" t="str">
        <x:v>A04556</x:v>
      </x:c>
      <x:c r="C4562" s="21" t="str">
        <x:v>artifact</x:v>
      </x:c>
      <x:c r="D4562" s="21" t="str">
        <x:v>artifact 1756 planning state</x:v>
      </x:c>
      <x:c r="E4562" s="21" t="n">
        <x:f>IF(AND('Artifact Ledger'!Q1762="OPEN",'Artifact Ledger'!R1762="HOLD"),1,0)</x:f>
        <x:v>1</x:v>
      </x:c>
      <x:c r="F4562" s="21" t="n">
        <x:v>1</x:v>
      </x:c>
      <x:c r="G4562" s="23" t="str">
        <x:f>IF(E4562=F4562,"PASS","FAIL")</x:f>
        <x:v>PASS</x:v>
      </x:c>
    </x:row>
    <x:row r="4563">
      <x:c r="B4563" s="21" t="str">
        <x:v>A04557</x:v>
      </x:c>
      <x:c r="C4563" s="21" t="str">
        <x:v>artifact</x:v>
      </x:c>
      <x:c r="D4563" s="21" t="str">
        <x:v>artifact 1757 eligibility equation</x:v>
      </x:c>
      <x:c r="E4563" s="21" t="n">
        <x:f>IF(ABS('Artifact Ledger'!P1763-IF(AND('Artifact Ledger'!L1763=1,'Artifact Ledger'!M1763=1,'Artifact Ledger'!N1763=1,'Artifact Ledger'!O1763&gt;='Artifact Ledger'!G1763),'Artifact Ledger'!K1763,0))&lt;0.000001,1,0)</x:f>
        <x:v>1</x:v>
      </x:c>
      <x:c r="F4563" s="21" t="n">
        <x:v>1</x:v>
      </x:c>
      <x:c r="G4563" s="23" t="str">
        <x:f>IF(E4563=F4563,"PASS","FAIL")</x:f>
        <x:v>PASS</x:v>
      </x:c>
    </x:row>
    <x:row r="4564">
      <x:c r="B4564" s="21" t="str">
        <x:v>A04558</x:v>
      </x:c>
      <x:c r="C4564" s="21" t="str">
        <x:v>artifact</x:v>
      </x:c>
      <x:c r="D4564" s="21" t="str">
        <x:v>artifact 1757 planning state</x:v>
      </x:c>
      <x:c r="E4564" s="21" t="n">
        <x:f>IF(AND('Artifact Ledger'!Q1763="OPEN",'Artifact Ledger'!R1763="HOLD"),1,0)</x:f>
        <x:v>1</x:v>
      </x:c>
      <x:c r="F4564" s="21" t="n">
        <x:v>1</x:v>
      </x:c>
      <x:c r="G4564" s="23" t="str">
        <x:f>IF(E4564=F4564,"PASS","FAIL")</x:f>
        <x:v>PASS</x:v>
      </x:c>
    </x:row>
    <x:row r="4565">
      <x:c r="B4565" s="21" t="str">
        <x:v>A04559</x:v>
      </x:c>
      <x:c r="C4565" s="21" t="str">
        <x:v>artifact</x:v>
      </x:c>
      <x:c r="D4565" s="21" t="str">
        <x:v>artifact 1758 eligibility equation</x:v>
      </x:c>
      <x:c r="E4565" s="21" t="n">
        <x:f>IF(ABS('Artifact Ledger'!P1764-IF(AND('Artifact Ledger'!L1764=1,'Artifact Ledger'!M1764=1,'Artifact Ledger'!N1764=1,'Artifact Ledger'!O1764&gt;='Artifact Ledger'!G1764),'Artifact Ledger'!K1764,0))&lt;0.000001,1,0)</x:f>
        <x:v>1</x:v>
      </x:c>
      <x:c r="F4565" s="21" t="n">
        <x:v>1</x:v>
      </x:c>
      <x:c r="G4565" s="23" t="str">
        <x:f>IF(E4565=F4565,"PASS","FAIL")</x:f>
        <x:v>PASS</x:v>
      </x:c>
    </x:row>
    <x:row r="4566">
      <x:c r="B4566" s="21" t="str">
        <x:v>A04560</x:v>
      </x:c>
      <x:c r="C4566" s="21" t="str">
        <x:v>artifact</x:v>
      </x:c>
      <x:c r="D4566" s="21" t="str">
        <x:v>artifact 1758 planning state</x:v>
      </x:c>
      <x:c r="E4566" s="21" t="n">
        <x:f>IF(AND('Artifact Ledger'!Q1764="OPEN",'Artifact Ledger'!R1764="HOLD"),1,0)</x:f>
        <x:v>1</x:v>
      </x:c>
      <x:c r="F4566" s="21" t="n">
        <x:v>1</x:v>
      </x:c>
      <x:c r="G4566" s="23" t="str">
        <x:f>IF(E4566=F4566,"PASS","FAIL")</x:f>
        <x:v>PASS</x:v>
      </x:c>
    </x:row>
    <x:row r="4567">
      <x:c r="B4567" s="21" t="str">
        <x:v>A04561</x:v>
      </x:c>
      <x:c r="C4567" s="21" t="str">
        <x:v>artifact</x:v>
      </x:c>
      <x:c r="D4567" s="21" t="str">
        <x:v>artifact 1759 eligibility equation</x:v>
      </x:c>
      <x:c r="E4567" s="21" t="n">
        <x:f>IF(ABS('Artifact Ledger'!P1765-IF(AND('Artifact Ledger'!L1765=1,'Artifact Ledger'!M1765=1,'Artifact Ledger'!N1765=1,'Artifact Ledger'!O1765&gt;='Artifact Ledger'!G1765),'Artifact Ledger'!K1765,0))&lt;0.000001,1,0)</x:f>
        <x:v>1</x:v>
      </x:c>
      <x:c r="F4567" s="21" t="n">
        <x:v>1</x:v>
      </x:c>
      <x:c r="G4567" s="23" t="str">
        <x:f>IF(E4567=F4567,"PASS","FAIL")</x:f>
        <x:v>PASS</x:v>
      </x:c>
    </x:row>
    <x:row r="4568">
      <x:c r="B4568" s="21" t="str">
        <x:v>A04562</x:v>
      </x:c>
      <x:c r="C4568" s="21" t="str">
        <x:v>artifact</x:v>
      </x:c>
      <x:c r="D4568" s="21" t="str">
        <x:v>artifact 1759 planning state</x:v>
      </x:c>
      <x:c r="E4568" s="21" t="n">
        <x:f>IF(AND('Artifact Ledger'!Q1765="OPEN",'Artifact Ledger'!R1765="HOLD"),1,0)</x:f>
        <x:v>1</x:v>
      </x:c>
      <x:c r="F4568" s="21" t="n">
        <x:v>1</x:v>
      </x:c>
      <x:c r="G4568" s="23" t="str">
        <x:f>IF(E4568=F4568,"PASS","FAIL")</x:f>
        <x:v>PASS</x:v>
      </x:c>
    </x:row>
    <x:row r="4569">
      <x:c r="B4569" s="21" t="str">
        <x:v>A04563</x:v>
      </x:c>
      <x:c r="C4569" s="21" t="str">
        <x:v>artifact</x:v>
      </x:c>
      <x:c r="D4569" s="21" t="str">
        <x:v>artifact 1760 eligibility equation</x:v>
      </x:c>
      <x:c r="E4569" s="21" t="n">
        <x:f>IF(ABS('Artifact Ledger'!P1766-IF(AND('Artifact Ledger'!L1766=1,'Artifact Ledger'!M1766=1,'Artifact Ledger'!N1766=1,'Artifact Ledger'!O1766&gt;='Artifact Ledger'!G1766),'Artifact Ledger'!K1766,0))&lt;0.000001,1,0)</x:f>
        <x:v>1</x:v>
      </x:c>
      <x:c r="F4569" s="21" t="n">
        <x:v>1</x:v>
      </x:c>
      <x:c r="G4569" s="23" t="str">
        <x:f>IF(E4569=F4569,"PASS","FAIL")</x:f>
        <x:v>PASS</x:v>
      </x:c>
    </x:row>
    <x:row r="4570">
      <x:c r="B4570" s="21" t="str">
        <x:v>A04564</x:v>
      </x:c>
      <x:c r="C4570" s="21" t="str">
        <x:v>artifact</x:v>
      </x:c>
      <x:c r="D4570" s="21" t="str">
        <x:v>artifact 1760 planning state</x:v>
      </x:c>
      <x:c r="E4570" s="21" t="n">
        <x:f>IF(AND('Artifact Ledger'!Q1766="OPEN",'Artifact Ledger'!R1766="HOLD"),1,0)</x:f>
        <x:v>1</x:v>
      </x:c>
      <x:c r="F4570" s="21" t="n">
        <x:v>1</x:v>
      </x:c>
      <x:c r="G4570" s="23" t="str">
        <x:f>IF(E4570=F4570,"PASS","FAIL")</x:f>
        <x:v>PASS</x:v>
      </x:c>
    </x:row>
    <x:row r="4571">
      <x:c r="B4571" s="21" t="str">
        <x:v>A04565</x:v>
      </x:c>
      <x:c r="C4571" s="21" t="str">
        <x:v>artifact</x:v>
      </x:c>
      <x:c r="D4571" s="21" t="str">
        <x:v>artifact 1761 eligibility equation</x:v>
      </x:c>
      <x:c r="E4571" s="21" t="n">
        <x:f>IF(ABS('Artifact Ledger'!P1767-IF(AND('Artifact Ledger'!L1767=1,'Artifact Ledger'!M1767=1,'Artifact Ledger'!N1767=1,'Artifact Ledger'!O1767&gt;='Artifact Ledger'!G1767),'Artifact Ledger'!K1767,0))&lt;0.000001,1,0)</x:f>
        <x:v>1</x:v>
      </x:c>
      <x:c r="F4571" s="21" t="n">
        <x:v>1</x:v>
      </x:c>
      <x:c r="G4571" s="23" t="str">
        <x:f>IF(E4571=F4571,"PASS","FAIL")</x:f>
        <x:v>PASS</x:v>
      </x:c>
    </x:row>
    <x:row r="4572">
      <x:c r="B4572" s="21" t="str">
        <x:v>A04566</x:v>
      </x:c>
      <x:c r="C4572" s="21" t="str">
        <x:v>artifact</x:v>
      </x:c>
      <x:c r="D4572" s="21" t="str">
        <x:v>artifact 1761 planning state</x:v>
      </x:c>
      <x:c r="E4572" s="21" t="n">
        <x:f>IF(AND('Artifact Ledger'!Q1767="OPEN",'Artifact Ledger'!R1767="HOLD"),1,0)</x:f>
        <x:v>1</x:v>
      </x:c>
      <x:c r="F4572" s="21" t="n">
        <x:v>1</x:v>
      </x:c>
      <x:c r="G4572" s="23" t="str">
        <x:f>IF(E4572=F4572,"PASS","FAIL")</x:f>
        <x:v>PASS</x:v>
      </x:c>
    </x:row>
    <x:row r="4573">
      <x:c r="B4573" s="21" t="str">
        <x:v>A04567</x:v>
      </x:c>
      <x:c r="C4573" s="21" t="str">
        <x:v>artifact</x:v>
      </x:c>
      <x:c r="D4573" s="21" t="str">
        <x:v>artifact 1762 eligibility equation</x:v>
      </x:c>
      <x:c r="E4573" s="21" t="n">
        <x:f>IF(ABS('Artifact Ledger'!P1768-IF(AND('Artifact Ledger'!L1768=1,'Artifact Ledger'!M1768=1,'Artifact Ledger'!N1768=1,'Artifact Ledger'!O1768&gt;='Artifact Ledger'!G1768),'Artifact Ledger'!K1768,0))&lt;0.000001,1,0)</x:f>
        <x:v>1</x:v>
      </x:c>
      <x:c r="F4573" s="21" t="n">
        <x:v>1</x:v>
      </x:c>
      <x:c r="G4573" s="23" t="str">
        <x:f>IF(E4573=F4573,"PASS","FAIL")</x:f>
        <x:v>PASS</x:v>
      </x:c>
    </x:row>
    <x:row r="4574">
      <x:c r="B4574" s="21" t="str">
        <x:v>A04568</x:v>
      </x:c>
      <x:c r="C4574" s="21" t="str">
        <x:v>artifact</x:v>
      </x:c>
      <x:c r="D4574" s="21" t="str">
        <x:v>artifact 1762 planning state</x:v>
      </x:c>
      <x:c r="E4574" s="21" t="n">
        <x:f>IF(AND('Artifact Ledger'!Q1768="OPEN",'Artifact Ledger'!R1768="HOLD"),1,0)</x:f>
        <x:v>1</x:v>
      </x:c>
      <x:c r="F4574" s="21" t="n">
        <x:v>1</x:v>
      </x:c>
      <x:c r="G4574" s="23" t="str">
        <x:f>IF(E4574=F4574,"PASS","FAIL")</x:f>
        <x:v>PASS</x:v>
      </x:c>
    </x:row>
    <x:row r="4575">
      <x:c r="B4575" s="21" t="str">
        <x:v>A04569</x:v>
      </x:c>
      <x:c r="C4575" s="21" t="str">
        <x:v>artifact</x:v>
      </x:c>
      <x:c r="D4575" s="21" t="str">
        <x:v>artifact 1763 eligibility equation</x:v>
      </x:c>
      <x:c r="E4575" s="21" t="n">
        <x:f>IF(ABS('Artifact Ledger'!P1769-IF(AND('Artifact Ledger'!L1769=1,'Artifact Ledger'!M1769=1,'Artifact Ledger'!N1769=1,'Artifact Ledger'!O1769&gt;='Artifact Ledger'!G1769),'Artifact Ledger'!K1769,0))&lt;0.000001,1,0)</x:f>
        <x:v>1</x:v>
      </x:c>
      <x:c r="F4575" s="21" t="n">
        <x:v>1</x:v>
      </x:c>
      <x:c r="G4575" s="23" t="str">
        <x:f>IF(E4575=F4575,"PASS","FAIL")</x:f>
        <x:v>PASS</x:v>
      </x:c>
    </x:row>
    <x:row r="4576">
      <x:c r="B4576" s="21" t="str">
        <x:v>A04570</x:v>
      </x:c>
      <x:c r="C4576" s="21" t="str">
        <x:v>artifact</x:v>
      </x:c>
      <x:c r="D4576" s="21" t="str">
        <x:v>artifact 1763 planning state</x:v>
      </x:c>
      <x:c r="E4576" s="21" t="n">
        <x:f>IF(AND('Artifact Ledger'!Q1769="OPEN",'Artifact Ledger'!R1769="HOLD"),1,0)</x:f>
        <x:v>1</x:v>
      </x:c>
      <x:c r="F4576" s="21" t="n">
        <x:v>1</x:v>
      </x:c>
      <x:c r="G4576" s="23" t="str">
        <x:f>IF(E4576=F4576,"PASS","FAIL")</x:f>
        <x:v>PASS</x:v>
      </x:c>
    </x:row>
    <x:row r="4577">
      <x:c r="B4577" s="21" t="str">
        <x:v>A04571</x:v>
      </x:c>
      <x:c r="C4577" s="21" t="str">
        <x:v>artifact</x:v>
      </x:c>
      <x:c r="D4577" s="21" t="str">
        <x:v>artifact 1764 eligibility equation</x:v>
      </x:c>
      <x:c r="E4577" s="21" t="n">
        <x:f>IF(ABS('Artifact Ledger'!P1770-IF(AND('Artifact Ledger'!L1770=1,'Artifact Ledger'!M1770=1,'Artifact Ledger'!N1770=1,'Artifact Ledger'!O1770&gt;='Artifact Ledger'!G1770),'Artifact Ledger'!K1770,0))&lt;0.000001,1,0)</x:f>
        <x:v>1</x:v>
      </x:c>
      <x:c r="F4577" s="21" t="n">
        <x:v>1</x:v>
      </x:c>
      <x:c r="G4577" s="23" t="str">
        <x:f>IF(E4577=F4577,"PASS","FAIL")</x:f>
        <x:v>PASS</x:v>
      </x:c>
    </x:row>
    <x:row r="4578">
      <x:c r="B4578" s="21" t="str">
        <x:v>A04572</x:v>
      </x:c>
      <x:c r="C4578" s="21" t="str">
        <x:v>artifact</x:v>
      </x:c>
      <x:c r="D4578" s="21" t="str">
        <x:v>artifact 1764 planning state</x:v>
      </x:c>
      <x:c r="E4578" s="21" t="n">
        <x:f>IF(AND('Artifact Ledger'!Q1770="OPEN",'Artifact Ledger'!R1770="HOLD"),1,0)</x:f>
        <x:v>1</x:v>
      </x:c>
      <x:c r="F4578" s="21" t="n">
        <x:v>1</x:v>
      </x:c>
      <x:c r="G4578" s="23" t="str">
        <x:f>IF(E4578=F4578,"PASS","FAIL")</x:f>
        <x:v>PASS</x:v>
      </x:c>
    </x:row>
    <x:row r="4579">
      <x:c r="B4579" s="21" t="str">
        <x:v>A04573</x:v>
      </x:c>
      <x:c r="C4579" s="21" t="str">
        <x:v>artifact</x:v>
      </x:c>
      <x:c r="D4579" s="21" t="str">
        <x:v>artifact 1765 eligibility equation</x:v>
      </x:c>
      <x:c r="E4579" s="21" t="n">
        <x:f>IF(ABS('Artifact Ledger'!P1771-IF(AND('Artifact Ledger'!L1771=1,'Artifact Ledger'!M1771=1,'Artifact Ledger'!N1771=1,'Artifact Ledger'!O1771&gt;='Artifact Ledger'!G1771),'Artifact Ledger'!K1771,0))&lt;0.000001,1,0)</x:f>
        <x:v>1</x:v>
      </x:c>
      <x:c r="F4579" s="21" t="n">
        <x:v>1</x:v>
      </x:c>
      <x:c r="G4579" s="23" t="str">
        <x:f>IF(E4579=F4579,"PASS","FAIL")</x:f>
        <x:v>PASS</x:v>
      </x:c>
    </x:row>
    <x:row r="4580">
      <x:c r="B4580" s="21" t="str">
        <x:v>A04574</x:v>
      </x:c>
      <x:c r="C4580" s="21" t="str">
        <x:v>artifact</x:v>
      </x:c>
      <x:c r="D4580" s="21" t="str">
        <x:v>artifact 1765 planning state</x:v>
      </x:c>
      <x:c r="E4580" s="21" t="n">
        <x:f>IF(AND('Artifact Ledger'!Q1771="OPEN",'Artifact Ledger'!R1771="HOLD"),1,0)</x:f>
        <x:v>1</x:v>
      </x:c>
      <x:c r="F4580" s="21" t="n">
        <x:v>1</x:v>
      </x:c>
      <x:c r="G4580" s="23" t="str">
        <x:f>IF(E4580=F4580,"PASS","FAIL")</x:f>
        <x:v>PASS</x:v>
      </x:c>
    </x:row>
    <x:row r="4581">
      <x:c r="B4581" s="21" t="str">
        <x:v>A04575</x:v>
      </x:c>
      <x:c r="C4581" s="21" t="str">
        <x:v>artifact</x:v>
      </x:c>
      <x:c r="D4581" s="21" t="str">
        <x:v>artifact 1766 eligibility equation</x:v>
      </x:c>
      <x:c r="E4581" s="21" t="n">
        <x:f>IF(ABS('Artifact Ledger'!P1772-IF(AND('Artifact Ledger'!L1772=1,'Artifact Ledger'!M1772=1,'Artifact Ledger'!N1772=1,'Artifact Ledger'!O1772&gt;='Artifact Ledger'!G1772),'Artifact Ledger'!K1772,0))&lt;0.000001,1,0)</x:f>
        <x:v>1</x:v>
      </x:c>
      <x:c r="F4581" s="21" t="n">
        <x:v>1</x:v>
      </x:c>
      <x:c r="G4581" s="23" t="str">
        <x:f>IF(E4581=F4581,"PASS","FAIL")</x:f>
        <x:v>PASS</x:v>
      </x:c>
    </x:row>
    <x:row r="4582">
      <x:c r="B4582" s="21" t="str">
        <x:v>A04576</x:v>
      </x:c>
      <x:c r="C4582" s="21" t="str">
        <x:v>artifact</x:v>
      </x:c>
      <x:c r="D4582" s="21" t="str">
        <x:v>artifact 1766 planning state</x:v>
      </x:c>
      <x:c r="E4582" s="21" t="n">
        <x:f>IF(AND('Artifact Ledger'!Q1772="OPEN",'Artifact Ledger'!R1772="HOLD"),1,0)</x:f>
        <x:v>1</x:v>
      </x:c>
      <x:c r="F4582" s="21" t="n">
        <x:v>1</x:v>
      </x:c>
      <x:c r="G4582" s="23" t="str">
        <x:f>IF(E4582=F4582,"PASS","FAIL")</x:f>
        <x:v>PASS</x:v>
      </x:c>
    </x:row>
    <x:row r="4583">
      <x:c r="B4583" s="21" t="str">
        <x:v>A04577</x:v>
      </x:c>
      <x:c r="C4583" s="21" t="str">
        <x:v>artifact</x:v>
      </x:c>
      <x:c r="D4583" s="21" t="str">
        <x:v>artifact 1767 eligibility equation</x:v>
      </x:c>
      <x:c r="E4583" s="21" t="n">
        <x:f>IF(ABS('Artifact Ledger'!P1773-IF(AND('Artifact Ledger'!L1773=1,'Artifact Ledger'!M1773=1,'Artifact Ledger'!N1773=1,'Artifact Ledger'!O1773&gt;='Artifact Ledger'!G1773),'Artifact Ledger'!K1773,0))&lt;0.000001,1,0)</x:f>
        <x:v>1</x:v>
      </x:c>
      <x:c r="F4583" s="21" t="n">
        <x:v>1</x:v>
      </x:c>
      <x:c r="G4583" s="23" t="str">
        <x:f>IF(E4583=F4583,"PASS","FAIL")</x:f>
        <x:v>PASS</x:v>
      </x:c>
    </x:row>
    <x:row r="4584">
      <x:c r="B4584" s="21" t="str">
        <x:v>A04578</x:v>
      </x:c>
      <x:c r="C4584" s="21" t="str">
        <x:v>artifact</x:v>
      </x:c>
      <x:c r="D4584" s="21" t="str">
        <x:v>artifact 1767 planning state</x:v>
      </x:c>
      <x:c r="E4584" s="21" t="n">
        <x:f>IF(AND('Artifact Ledger'!Q1773="OPEN",'Artifact Ledger'!R1773="HOLD"),1,0)</x:f>
        <x:v>1</x:v>
      </x:c>
      <x:c r="F4584" s="21" t="n">
        <x:v>1</x:v>
      </x:c>
      <x:c r="G4584" s="23" t="str">
        <x:f>IF(E4584=F4584,"PASS","FAIL")</x:f>
        <x:v>PASS</x:v>
      </x:c>
    </x:row>
    <x:row r="4585">
      <x:c r="B4585" s="21" t="str">
        <x:v>A04579</x:v>
      </x:c>
      <x:c r="C4585" s="21" t="str">
        <x:v>artifact</x:v>
      </x:c>
      <x:c r="D4585" s="21" t="str">
        <x:v>artifact 1768 eligibility equation</x:v>
      </x:c>
      <x:c r="E4585" s="21" t="n">
        <x:f>IF(ABS('Artifact Ledger'!P1774-IF(AND('Artifact Ledger'!L1774=1,'Artifact Ledger'!M1774=1,'Artifact Ledger'!N1774=1,'Artifact Ledger'!O1774&gt;='Artifact Ledger'!G1774),'Artifact Ledger'!K1774,0))&lt;0.000001,1,0)</x:f>
        <x:v>1</x:v>
      </x:c>
      <x:c r="F4585" s="21" t="n">
        <x:v>1</x:v>
      </x:c>
      <x:c r="G4585" s="23" t="str">
        <x:f>IF(E4585=F4585,"PASS","FAIL")</x:f>
        <x:v>PASS</x:v>
      </x:c>
    </x:row>
    <x:row r="4586">
      <x:c r="B4586" s="21" t="str">
        <x:v>A04580</x:v>
      </x:c>
      <x:c r="C4586" s="21" t="str">
        <x:v>artifact</x:v>
      </x:c>
      <x:c r="D4586" s="21" t="str">
        <x:v>artifact 1768 planning state</x:v>
      </x:c>
      <x:c r="E4586" s="21" t="n">
        <x:f>IF(AND('Artifact Ledger'!Q1774="OPEN",'Artifact Ledger'!R1774="HOLD"),1,0)</x:f>
        <x:v>1</x:v>
      </x:c>
      <x:c r="F4586" s="21" t="n">
        <x:v>1</x:v>
      </x:c>
      <x:c r="G4586" s="23" t="str">
        <x:f>IF(E4586=F4586,"PASS","FAIL")</x:f>
        <x:v>PASS</x:v>
      </x:c>
    </x:row>
    <x:row r="4587">
      <x:c r="B4587" s="21" t="str">
        <x:v>A04581</x:v>
      </x:c>
      <x:c r="C4587" s="21" t="str">
        <x:v>artifact</x:v>
      </x:c>
      <x:c r="D4587" s="21" t="str">
        <x:v>artifact 1769 eligibility equation</x:v>
      </x:c>
      <x:c r="E4587" s="21" t="n">
        <x:f>IF(ABS('Artifact Ledger'!P1775-IF(AND('Artifact Ledger'!L1775=1,'Artifact Ledger'!M1775=1,'Artifact Ledger'!N1775=1,'Artifact Ledger'!O1775&gt;='Artifact Ledger'!G1775),'Artifact Ledger'!K1775,0))&lt;0.000001,1,0)</x:f>
        <x:v>1</x:v>
      </x:c>
      <x:c r="F4587" s="21" t="n">
        <x:v>1</x:v>
      </x:c>
      <x:c r="G4587" s="23" t="str">
        <x:f>IF(E4587=F4587,"PASS","FAIL")</x:f>
        <x:v>PASS</x:v>
      </x:c>
    </x:row>
    <x:row r="4588">
      <x:c r="B4588" s="21" t="str">
        <x:v>A04582</x:v>
      </x:c>
      <x:c r="C4588" s="21" t="str">
        <x:v>artifact</x:v>
      </x:c>
      <x:c r="D4588" s="21" t="str">
        <x:v>artifact 1769 planning state</x:v>
      </x:c>
      <x:c r="E4588" s="21" t="n">
        <x:f>IF(AND('Artifact Ledger'!Q1775="OPEN",'Artifact Ledger'!R1775="HOLD"),1,0)</x:f>
        <x:v>1</x:v>
      </x:c>
      <x:c r="F4588" s="21" t="n">
        <x:v>1</x:v>
      </x:c>
      <x:c r="G4588" s="23" t="str">
        <x:f>IF(E4588=F4588,"PASS","FAIL")</x:f>
        <x:v>PASS</x:v>
      </x:c>
    </x:row>
    <x:row r="4589">
      <x:c r="B4589" s="21" t="str">
        <x:v>A04583</x:v>
      </x:c>
      <x:c r="C4589" s="21" t="str">
        <x:v>artifact</x:v>
      </x:c>
      <x:c r="D4589" s="21" t="str">
        <x:v>artifact 1770 eligibility equation</x:v>
      </x:c>
      <x:c r="E4589" s="21" t="n">
        <x:f>IF(ABS('Artifact Ledger'!P1776-IF(AND('Artifact Ledger'!L1776=1,'Artifact Ledger'!M1776=1,'Artifact Ledger'!N1776=1,'Artifact Ledger'!O1776&gt;='Artifact Ledger'!G1776),'Artifact Ledger'!K1776,0))&lt;0.000001,1,0)</x:f>
        <x:v>1</x:v>
      </x:c>
      <x:c r="F4589" s="21" t="n">
        <x:v>1</x:v>
      </x:c>
      <x:c r="G4589" s="23" t="str">
        <x:f>IF(E4589=F4589,"PASS","FAIL")</x:f>
        <x:v>PASS</x:v>
      </x:c>
    </x:row>
    <x:row r="4590">
      <x:c r="B4590" s="21" t="str">
        <x:v>A04584</x:v>
      </x:c>
      <x:c r="C4590" s="21" t="str">
        <x:v>artifact</x:v>
      </x:c>
      <x:c r="D4590" s="21" t="str">
        <x:v>artifact 1770 planning state</x:v>
      </x:c>
      <x:c r="E4590" s="21" t="n">
        <x:f>IF(AND('Artifact Ledger'!Q1776="OPEN",'Artifact Ledger'!R1776="HOLD"),1,0)</x:f>
        <x:v>1</x:v>
      </x:c>
      <x:c r="F4590" s="21" t="n">
        <x:v>1</x:v>
      </x:c>
      <x:c r="G4590" s="23" t="str">
        <x:f>IF(E4590=F4590,"PASS","FAIL")</x:f>
        <x:v>PASS</x:v>
      </x:c>
    </x:row>
    <x:row r="4591">
      <x:c r="B4591" s="21" t="str">
        <x:v>A04585</x:v>
      </x:c>
      <x:c r="C4591" s="21" t="str">
        <x:v>artifact</x:v>
      </x:c>
      <x:c r="D4591" s="21" t="str">
        <x:v>artifact 1771 eligibility equation</x:v>
      </x:c>
      <x:c r="E4591" s="21" t="n">
        <x:f>IF(ABS('Artifact Ledger'!P1777-IF(AND('Artifact Ledger'!L1777=1,'Artifact Ledger'!M1777=1,'Artifact Ledger'!N1777=1,'Artifact Ledger'!O1777&gt;='Artifact Ledger'!G1777),'Artifact Ledger'!K1777,0))&lt;0.000001,1,0)</x:f>
        <x:v>1</x:v>
      </x:c>
      <x:c r="F4591" s="21" t="n">
        <x:v>1</x:v>
      </x:c>
      <x:c r="G4591" s="23" t="str">
        <x:f>IF(E4591=F4591,"PASS","FAIL")</x:f>
        <x:v>PASS</x:v>
      </x:c>
    </x:row>
    <x:row r="4592">
      <x:c r="B4592" s="21" t="str">
        <x:v>A04586</x:v>
      </x:c>
      <x:c r="C4592" s="21" t="str">
        <x:v>artifact</x:v>
      </x:c>
      <x:c r="D4592" s="21" t="str">
        <x:v>artifact 1771 planning state</x:v>
      </x:c>
      <x:c r="E4592" s="21" t="n">
        <x:f>IF(AND('Artifact Ledger'!Q1777="OPEN",'Artifact Ledger'!R1777="HOLD"),1,0)</x:f>
        <x:v>1</x:v>
      </x:c>
      <x:c r="F4592" s="21" t="n">
        <x:v>1</x:v>
      </x:c>
      <x:c r="G4592" s="23" t="str">
        <x:f>IF(E4592=F4592,"PASS","FAIL")</x:f>
        <x:v>PASS</x:v>
      </x:c>
    </x:row>
    <x:row r="4593">
      <x:c r="B4593" s="21" t="str">
        <x:v>A04587</x:v>
      </x:c>
      <x:c r="C4593" s="21" t="str">
        <x:v>artifact</x:v>
      </x:c>
      <x:c r="D4593" s="21" t="str">
        <x:v>artifact 1772 eligibility equation</x:v>
      </x:c>
      <x:c r="E4593" s="21" t="n">
        <x:f>IF(ABS('Artifact Ledger'!P1778-IF(AND('Artifact Ledger'!L1778=1,'Artifact Ledger'!M1778=1,'Artifact Ledger'!N1778=1,'Artifact Ledger'!O1778&gt;='Artifact Ledger'!G1778),'Artifact Ledger'!K1778,0))&lt;0.000001,1,0)</x:f>
        <x:v>1</x:v>
      </x:c>
      <x:c r="F4593" s="21" t="n">
        <x:v>1</x:v>
      </x:c>
      <x:c r="G4593" s="23" t="str">
        <x:f>IF(E4593=F4593,"PASS","FAIL")</x:f>
        <x:v>PASS</x:v>
      </x:c>
    </x:row>
    <x:row r="4594">
      <x:c r="B4594" s="21" t="str">
        <x:v>A04588</x:v>
      </x:c>
      <x:c r="C4594" s="21" t="str">
        <x:v>artifact</x:v>
      </x:c>
      <x:c r="D4594" s="21" t="str">
        <x:v>artifact 1772 planning state</x:v>
      </x:c>
      <x:c r="E4594" s="21" t="n">
        <x:f>IF(AND('Artifact Ledger'!Q1778="OPEN",'Artifact Ledger'!R1778="HOLD"),1,0)</x:f>
        <x:v>1</x:v>
      </x:c>
      <x:c r="F4594" s="21" t="n">
        <x:v>1</x:v>
      </x:c>
      <x:c r="G4594" s="23" t="str">
        <x:f>IF(E4594=F4594,"PASS","FAIL")</x:f>
        <x:v>PASS</x:v>
      </x:c>
    </x:row>
    <x:row r="4595">
      <x:c r="B4595" s="21" t="str">
        <x:v>A04589</x:v>
      </x:c>
      <x:c r="C4595" s="21" t="str">
        <x:v>artifact</x:v>
      </x:c>
      <x:c r="D4595" s="21" t="str">
        <x:v>artifact 1773 eligibility equation</x:v>
      </x:c>
      <x:c r="E4595" s="21" t="n">
        <x:f>IF(ABS('Artifact Ledger'!P1779-IF(AND('Artifact Ledger'!L1779=1,'Artifact Ledger'!M1779=1,'Artifact Ledger'!N1779=1,'Artifact Ledger'!O1779&gt;='Artifact Ledger'!G1779),'Artifact Ledger'!K1779,0))&lt;0.000001,1,0)</x:f>
        <x:v>1</x:v>
      </x:c>
      <x:c r="F4595" s="21" t="n">
        <x:v>1</x:v>
      </x:c>
      <x:c r="G4595" s="23" t="str">
        <x:f>IF(E4595=F4595,"PASS","FAIL")</x:f>
        <x:v>PASS</x:v>
      </x:c>
    </x:row>
    <x:row r="4596">
      <x:c r="B4596" s="21" t="str">
        <x:v>A04590</x:v>
      </x:c>
      <x:c r="C4596" s="21" t="str">
        <x:v>artifact</x:v>
      </x:c>
      <x:c r="D4596" s="21" t="str">
        <x:v>artifact 1773 planning state</x:v>
      </x:c>
      <x:c r="E4596" s="21" t="n">
        <x:f>IF(AND('Artifact Ledger'!Q1779="OPEN",'Artifact Ledger'!R1779="HOLD"),1,0)</x:f>
        <x:v>1</x:v>
      </x:c>
      <x:c r="F4596" s="21" t="n">
        <x:v>1</x:v>
      </x:c>
      <x:c r="G4596" s="23" t="str">
        <x:f>IF(E4596=F4596,"PASS","FAIL")</x:f>
        <x:v>PASS</x:v>
      </x:c>
    </x:row>
    <x:row r="4597">
      <x:c r="B4597" s="21" t="str">
        <x:v>A04591</x:v>
      </x:c>
      <x:c r="C4597" s="21" t="str">
        <x:v>artifact</x:v>
      </x:c>
      <x:c r="D4597" s="21" t="str">
        <x:v>artifact 1774 eligibility equation</x:v>
      </x:c>
      <x:c r="E4597" s="21" t="n">
        <x:f>IF(ABS('Artifact Ledger'!P1780-IF(AND('Artifact Ledger'!L1780=1,'Artifact Ledger'!M1780=1,'Artifact Ledger'!N1780=1,'Artifact Ledger'!O1780&gt;='Artifact Ledger'!G1780),'Artifact Ledger'!K1780,0))&lt;0.000001,1,0)</x:f>
        <x:v>1</x:v>
      </x:c>
      <x:c r="F4597" s="21" t="n">
        <x:v>1</x:v>
      </x:c>
      <x:c r="G4597" s="23" t="str">
        <x:f>IF(E4597=F4597,"PASS","FAIL")</x:f>
        <x:v>PASS</x:v>
      </x:c>
    </x:row>
    <x:row r="4598">
      <x:c r="B4598" s="21" t="str">
        <x:v>A04592</x:v>
      </x:c>
      <x:c r="C4598" s="21" t="str">
        <x:v>artifact</x:v>
      </x:c>
      <x:c r="D4598" s="21" t="str">
        <x:v>artifact 1774 planning state</x:v>
      </x:c>
      <x:c r="E4598" s="21" t="n">
        <x:f>IF(AND('Artifact Ledger'!Q1780="OPEN",'Artifact Ledger'!R1780="HOLD"),1,0)</x:f>
        <x:v>1</x:v>
      </x:c>
      <x:c r="F4598" s="21" t="n">
        <x:v>1</x:v>
      </x:c>
      <x:c r="G4598" s="23" t="str">
        <x:f>IF(E4598=F4598,"PASS","FAIL")</x:f>
        <x:v>PASS</x:v>
      </x:c>
    </x:row>
    <x:row r="4599">
      <x:c r="B4599" s="21" t="str">
        <x:v>A04593</x:v>
      </x:c>
      <x:c r="C4599" s="21" t="str">
        <x:v>artifact</x:v>
      </x:c>
      <x:c r="D4599" s="21" t="str">
        <x:v>artifact 1775 eligibility equation</x:v>
      </x:c>
      <x:c r="E4599" s="21" t="n">
        <x:f>IF(ABS('Artifact Ledger'!P1781-IF(AND('Artifact Ledger'!L1781=1,'Artifact Ledger'!M1781=1,'Artifact Ledger'!N1781=1,'Artifact Ledger'!O1781&gt;='Artifact Ledger'!G1781),'Artifact Ledger'!K1781,0))&lt;0.000001,1,0)</x:f>
        <x:v>1</x:v>
      </x:c>
      <x:c r="F4599" s="21" t="n">
        <x:v>1</x:v>
      </x:c>
      <x:c r="G4599" s="23" t="str">
        <x:f>IF(E4599=F4599,"PASS","FAIL")</x:f>
        <x:v>PASS</x:v>
      </x:c>
    </x:row>
    <x:row r="4600">
      <x:c r="B4600" s="21" t="str">
        <x:v>A04594</x:v>
      </x:c>
      <x:c r="C4600" s="21" t="str">
        <x:v>artifact</x:v>
      </x:c>
      <x:c r="D4600" s="21" t="str">
        <x:v>artifact 1775 planning state</x:v>
      </x:c>
      <x:c r="E4600" s="21" t="n">
        <x:f>IF(AND('Artifact Ledger'!Q1781="OPEN",'Artifact Ledger'!R1781="HOLD"),1,0)</x:f>
        <x:v>1</x:v>
      </x:c>
      <x:c r="F4600" s="21" t="n">
        <x:v>1</x:v>
      </x:c>
      <x:c r="G4600" s="23" t="str">
        <x:f>IF(E4600=F4600,"PASS","FAIL")</x:f>
        <x:v>PASS</x:v>
      </x:c>
    </x:row>
    <x:row r="4601">
      <x:c r="B4601" s="21" t="str">
        <x:v>A04595</x:v>
      </x:c>
      <x:c r="C4601" s="21" t="str">
        <x:v>artifact</x:v>
      </x:c>
      <x:c r="D4601" s="21" t="str">
        <x:v>artifact 1776 eligibility equation</x:v>
      </x:c>
      <x:c r="E4601" s="21" t="n">
        <x:f>IF(ABS('Artifact Ledger'!P1782-IF(AND('Artifact Ledger'!L1782=1,'Artifact Ledger'!M1782=1,'Artifact Ledger'!N1782=1,'Artifact Ledger'!O1782&gt;='Artifact Ledger'!G1782),'Artifact Ledger'!K1782,0))&lt;0.000001,1,0)</x:f>
        <x:v>1</x:v>
      </x:c>
      <x:c r="F4601" s="21" t="n">
        <x:v>1</x:v>
      </x:c>
      <x:c r="G4601" s="23" t="str">
        <x:f>IF(E4601=F4601,"PASS","FAIL")</x:f>
        <x:v>PASS</x:v>
      </x:c>
    </x:row>
    <x:row r="4602">
      <x:c r="B4602" s="21" t="str">
        <x:v>A04596</x:v>
      </x:c>
      <x:c r="C4602" s="21" t="str">
        <x:v>artifact</x:v>
      </x:c>
      <x:c r="D4602" s="21" t="str">
        <x:v>artifact 1776 planning state</x:v>
      </x:c>
      <x:c r="E4602" s="21" t="n">
        <x:f>IF(AND('Artifact Ledger'!Q1782="OPEN",'Artifact Ledger'!R1782="HOLD"),1,0)</x:f>
        <x:v>1</x:v>
      </x:c>
      <x:c r="F4602" s="21" t="n">
        <x:v>1</x:v>
      </x:c>
      <x:c r="G4602" s="23" t="str">
        <x:f>IF(E4602=F4602,"PASS","FAIL")</x:f>
        <x:v>PASS</x:v>
      </x:c>
    </x:row>
    <x:row r="4603">
      <x:c r="B4603" s="21" t="str">
        <x:v>A04597</x:v>
      </x:c>
      <x:c r="C4603" s="21" t="str">
        <x:v>artifact</x:v>
      </x:c>
      <x:c r="D4603" s="21" t="str">
        <x:v>artifact 1777 eligibility equation</x:v>
      </x:c>
      <x:c r="E4603" s="21" t="n">
        <x:f>IF(ABS('Artifact Ledger'!P1783-IF(AND('Artifact Ledger'!L1783=1,'Artifact Ledger'!M1783=1,'Artifact Ledger'!N1783=1,'Artifact Ledger'!O1783&gt;='Artifact Ledger'!G1783),'Artifact Ledger'!K1783,0))&lt;0.000001,1,0)</x:f>
        <x:v>1</x:v>
      </x:c>
      <x:c r="F4603" s="21" t="n">
        <x:v>1</x:v>
      </x:c>
      <x:c r="G4603" s="23" t="str">
        <x:f>IF(E4603=F4603,"PASS","FAIL")</x:f>
        <x:v>PASS</x:v>
      </x:c>
    </x:row>
    <x:row r="4604">
      <x:c r="B4604" s="21" t="str">
        <x:v>A04598</x:v>
      </x:c>
      <x:c r="C4604" s="21" t="str">
        <x:v>artifact</x:v>
      </x:c>
      <x:c r="D4604" s="21" t="str">
        <x:v>artifact 1777 planning state</x:v>
      </x:c>
      <x:c r="E4604" s="21" t="n">
        <x:f>IF(AND('Artifact Ledger'!Q1783="OPEN",'Artifact Ledger'!R1783="HOLD"),1,0)</x:f>
        <x:v>1</x:v>
      </x:c>
      <x:c r="F4604" s="21" t="n">
        <x:v>1</x:v>
      </x:c>
      <x:c r="G4604" s="23" t="str">
        <x:f>IF(E4604=F4604,"PASS","FAIL")</x:f>
        <x:v>PASS</x:v>
      </x:c>
    </x:row>
    <x:row r="4605">
      <x:c r="B4605" s="21" t="str">
        <x:v>A04599</x:v>
      </x:c>
      <x:c r="C4605" s="21" t="str">
        <x:v>artifact</x:v>
      </x:c>
      <x:c r="D4605" s="21" t="str">
        <x:v>artifact 1778 eligibility equation</x:v>
      </x:c>
      <x:c r="E4605" s="21" t="n">
        <x:f>IF(ABS('Artifact Ledger'!P1784-IF(AND('Artifact Ledger'!L1784=1,'Artifact Ledger'!M1784=1,'Artifact Ledger'!N1784=1,'Artifact Ledger'!O1784&gt;='Artifact Ledger'!G1784),'Artifact Ledger'!K1784,0))&lt;0.000001,1,0)</x:f>
        <x:v>1</x:v>
      </x:c>
      <x:c r="F4605" s="21" t="n">
        <x:v>1</x:v>
      </x:c>
      <x:c r="G4605" s="23" t="str">
        <x:f>IF(E4605=F4605,"PASS","FAIL")</x:f>
        <x:v>PASS</x:v>
      </x:c>
    </x:row>
    <x:row r="4606">
      <x:c r="B4606" s="21" t="str">
        <x:v>A04600</x:v>
      </x:c>
      <x:c r="C4606" s="21" t="str">
        <x:v>artifact</x:v>
      </x:c>
      <x:c r="D4606" s="21" t="str">
        <x:v>artifact 1778 planning state</x:v>
      </x:c>
      <x:c r="E4606" s="21" t="n">
        <x:f>IF(AND('Artifact Ledger'!Q1784="OPEN",'Artifact Ledger'!R1784="HOLD"),1,0)</x:f>
        <x:v>1</x:v>
      </x:c>
      <x:c r="F4606" s="21" t="n">
        <x:v>1</x:v>
      </x:c>
      <x:c r="G4606" s="23" t="str">
        <x:f>IF(E4606=F4606,"PASS","FAIL")</x:f>
        <x:v>PASS</x:v>
      </x:c>
    </x:row>
    <x:row r="4607">
      <x:c r="B4607" s="21" t="str">
        <x:v>A04601</x:v>
      </x:c>
      <x:c r="C4607" s="21" t="str">
        <x:v>artifact</x:v>
      </x:c>
      <x:c r="D4607" s="21" t="str">
        <x:v>artifact 1779 eligibility equation</x:v>
      </x:c>
      <x:c r="E4607" s="21" t="n">
        <x:f>IF(ABS('Artifact Ledger'!P1785-IF(AND('Artifact Ledger'!L1785=1,'Artifact Ledger'!M1785=1,'Artifact Ledger'!N1785=1,'Artifact Ledger'!O1785&gt;='Artifact Ledger'!G1785),'Artifact Ledger'!K1785,0))&lt;0.000001,1,0)</x:f>
        <x:v>1</x:v>
      </x:c>
      <x:c r="F4607" s="21" t="n">
        <x:v>1</x:v>
      </x:c>
      <x:c r="G4607" s="23" t="str">
        <x:f>IF(E4607=F4607,"PASS","FAIL")</x:f>
        <x:v>PASS</x:v>
      </x:c>
    </x:row>
    <x:row r="4608">
      <x:c r="B4608" s="21" t="str">
        <x:v>A04602</x:v>
      </x:c>
      <x:c r="C4608" s="21" t="str">
        <x:v>artifact</x:v>
      </x:c>
      <x:c r="D4608" s="21" t="str">
        <x:v>artifact 1779 planning state</x:v>
      </x:c>
      <x:c r="E4608" s="21" t="n">
        <x:f>IF(AND('Artifact Ledger'!Q1785="OPEN",'Artifact Ledger'!R1785="HOLD"),1,0)</x:f>
        <x:v>1</x:v>
      </x:c>
      <x:c r="F4608" s="21" t="n">
        <x:v>1</x:v>
      </x:c>
      <x:c r="G4608" s="23" t="str">
        <x:f>IF(E4608=F4608,"PASS","FAIL")</x:f>
        <x:v>PASS</x:v>
      </x:c>
    </x:row>
    <x:row r="4609">
      <x:c r="B4609" s="21" t="str">
        <x:v>A04603</x:v>
      </x:c>
      <x:c r="C4609" s="21" t="str">
        <x:v>artifact</x:v>
      </x:c>
      <x:c r="D4609" s="21" t="str">
        <x:v>artifact 1780 eligibility equation</x:v>
      </x:c>
      <x:c r="E4609" s="21" t="n">
        <x:f>IF(ABS('Artifact Ledger'!P1786-IF(AND('Artifact Ledger'!L1786=1,'Artifact Ledger'!M1786=1,'Artifact Ledger'!N1786=1,'Artifact Ledger'!O1786&gt;='Artifact Ledger'!G1786),'Artifact Ledger'!K1786,0))&lt;0.000001,1,0)</x:f>
        <x:v>1</x:v>
      </x:c>
      <x:c r="F4609" s="21" t="n">
        <x:v>1</x:v>
      </x:c>
      <x:c r="G4609" s="23" t="str">
        <x:f>IF(E4609=F4609,"PASS","FAIL")</x:f>
        <x:v>PASS</x:v>
      </x:c>
    </x:row>
    <x:row r="4610">
      <x:c r="B4610" s="21" t="str">
        <x:v>A04604</x:v>
      </x:c>
      <x:c r="C4610" s="21" t="str">
        <x:v>artifact</x:v>
      </x:c>
      <x:c r="D4610" s="21" t="str">
        <x:v>artifact 1780 planning state</x:v>
      </x:c>
      <x:c r="E4610" s="21" t="n">
        <x:f>IF(AND('Artifact Ledger'!Q1786="OPEN",'Artifact Ledger'!R1786="HOLD"),1,0)</x:f>
        <x:v>1</x:v>
      </x:c>
      <x:c r="F4610" s="21" t="n">
        <x:v>1</x:v>
      </x:c>
      <x:c r="G4610" s="23" t="str">
        <x:f>IF(E4610=F4610,"PASS","FAIL")</x:f>
        <x:v>PASS</x:v>
      </x:c>
    </x:row>
    <x:row r="4611">
      <x:c r="B4611" s="21" t="str">
        <x:v>A04605</x:v>
      </x:c>
      <x:c r="C4611" s="21" t="str">
        <x:v>artifact</x:v>
      </x:c>
      <x:c r="D4611" s="21" t="str">
        <x:v>artifact 1781 eligibility equation</x:v>
      </x:c>
      <x:c r="E4611" s="21" t="n">
        <x:f>IF(ABS('Artifact Ledger'!P1787-IF(AND('Artifact Ledger'!L1787=1,'Artifact Ledger'!M1787=1,'Artifact Ledger'!N1787=1,'Artifact Ledger'!O1787&gt;='Artifact Ledger'!G1787),'Artifact Ledger'!K1787,0))&lt;0.000001,1,0)</x:f>
        <x:v>1</x:v>
      </x:c>
      <x:c r="F4611" s="21" t="n">
        <x:v>1</x:v>
      </x:c>
      <x:c r="G4611" s="23" t="str">
        <x:f>IF(E4611=F4611,"PASS","FAIL")</x:f>
        <x:v>PASS</x:v>
      </x:c>
    </x:row>
    <x:row r="4612">
      <x:c r="B4612" s="21" t="str">
        <x:v>A04606</x:v>
      </x:c>
      <x:c r="C4612" s="21" t="str">
        <x:v>artifact</x:v>
      </x:c>
      <x:c r="D4612" s="21" t="str">
        <x:v>artifact 1781 planning state</x:v>
      </x:c>
      <x:c r="E4612" s="21" t="n">
        <x:f>IF(AND('Artifact Ledger'!Q1787="OPEN",'Artifact Ledger'!R1787="HOLD"),1,0)</x:f>
        <x:v>1</x:v>
      </x:c>
      <x:c r="F4612" s="21" t="n">
        <x:v>1</x:v>
      </x:c>
      <x:c r="G4612" s="23" t="str">
        <x:f>IF(E4612=F4612,"PASS","FAIL")</x:f>
        <x:v>PASS</x:v>
      </x:c>
    </x:row>
    <x:row r="4613">
      <x:c r="B4613" s="21" t="str">
        <x:v>A04607</x:v>
      </x:c>
      <x:c r="C4613" s="21" t="str">
        <x:v>artifact</x:v>
      </x:c>
      <x:c r="D4613" s="21" t="str">
        <x:v>artifact 1782 eligibility equation</x:v>
      </x:c>
      <x:c r="E4613" s="21" t="n">
        <x:f>IF(ABS('Artifact Ledger'!P1788-IF(AND('Artifact Ledger'!L1788=1,'Artifact Ledger'!M1788=1,'Artifact Ledger'!N1788=1,'Artifact Ledger'!O1788&gt;='Artifact Ledger'!G1788),'Artifact Ledger'!K1788,0))&lt;0.000001,1,0)</x:f>
        <x:v>1</x:v>
      </x:c>
      <x:c r="F4613" s="21" t="n">
        <x:v>1</x:v>
      </x:c>
      <x:c r="G4613" s="23" t="str">
        <x:f>IF(E4613=F4613,"PASS","FAIL")</x:f>
        <x:v>PASS</x:v>
      </x:c>
    </x:row>
    <x:row r="4614">
      <x:c r="B4614" s="21" t="str">
        <x:v>A04608</x:v>
      </x:c>
      <x:c r="C4614" s="21" t="str">
        <x:v>artifact</x:v>
      </x:c>
      <x:c r="D4614" s="21" t="str">
        <x:v>artifact 1782 planning state</x:v>
      </x:c>
      <x:c r="E4614" s="21" t="n">
        <x:f>IF(AND('Artifact Ledger'!Q1788="OPEN",'Artifact Ledger'!R1788="HOLD"),1,0)</x:f>
        <x:v>1</x:v>
      </x:c>
      <x:c r="F4614" s="21" t="n">
        <x:v>1</x:v>
      </x:c>
      <x:c r="G4614" s="23" t="str">
        <x:f>IF(E4614=F4614,"PASS","FAIL")</x:f>
        <x:v>PASS</x:v>
      </x:c>
    </x:row>
    <x:row r="4615">
      <x:c r="B4615" s="21" t="str">
        <x:v>A04609</x:v>
      </x:c>
      <x:c r="C4615" s="21" t="str">
        <x:v>artifact</x:v>
      </x:c>
      <x:c r="D4615" s="21" t="str">
        <x:v>artifact 1783 eligibility equation</x:v>
      </x:c>
      <x:c r="E4615" s="21" t="n">
        <x:f>IF(ABS('Artifact Ledger'!P1789-IF(AND('Artifact Ledger'!L1789=1,'Artifact Ledger'!M1789=1,'Artifact Ledger'!N1789=1,'Artifact Ledger'!O1789&gt;='Artifact Ledger'!G1789),'Artifact Ledger'!K1789,0))&lt;0.000001,1,0)</x:f>
        <x:v>1</x:v>
      </x:c>
      <x:c r="F4615" s="21" t="n">
        <x:v>1</x:v>
      </x:c>
      <x:c r="G4615" s="23" t="str">
        <x:f>IF(E4615=F4615,"PASS","FAIL")</x:f>
        <x:v>PASS</x:v>
      </x:c>
    </x:row>
    <x:row r="4616">
      <x:c r="B4616" s="21" t="str">
        <x:v>A04610</x:v>
      </x:c>
      <x:c r="C4616" s="21" t="str">
        <x:v>artifact</x:v>
      </x:c>
      <x:c r="D4616" s="21" t="str">
        <x:v>artifact 1783 planning state</x:v>
      </x:c>
      <x:c r="E4616" s="21" t="n">
        <x:f>IF(AND('Artifact Ledger'!Q1789="OPEN",'Artifact Ledger'!R1789="HOLD"),1,0)</x:f>
        <x:v>1</x:v>
      </x:c>
      <x:c r="F4616" s="21" t="n">
        <x:v>1</x:v>
      </x:c>
      <x:c r="G4616" s="23" t="str">
        <x:f>IF(E4616=F4616,"PASS","FAIL")</x:f>
        <x:v>PASS</x:v>
      </x:c>
    </x:row>
    <x:row r="4617">
      <x:c r="B4617" s="21" t="str">
        <x:v>A04611</x:v>
      </x:c>
      <x:c r="C4617" s="21" t="str">
        <x:v>artifact</x:v>
      </x:c>
      <x:c r="D4617" s="21" t="str">
        <x:v>artifact 1784 eligibility equation</x:v>
      </x:c>
      <x:c r="E4617" s="21" t="n">
        <x:f>IF(ABS('Artifact Ledger'!P1790-IF(AND('Artifact Ledger'!L1790=1,'Artifact Ledger'!M1790=1,'Artifact Ledger'!N1790=1,'Artifact Ledger'!O1790&gt;='Artifact Ledger'!G1790),'Artifact Ledger'!K1790,0))&lt;0.000001,1,0)</x:f>
        <x:v>1</x:v>
      </x:c>
      <x:c r="F4617" s="21" t="n">
        <x:v>1</x:v>
      </x:c>
      <x:c r="G4617" s="23" t="str">
        <x:f>IF(E4617=F4617,"PASS","FAIL")</x:f>
        <x:v>PASS</x:v>
      </x:c>
    </x:row>
    <x:row r="4618">
      <x:c r="B4618" s="21" t="str">
        <x:v>A04612</x:v>
      </x:c>
      <x:c r="C4618" s="21" t="str">
        <x:v>artifact</x:v>
      </x:c>
      <x:c r="D4618" s="21" t="str">
        <x:v>artifact 1784 planning state</x:v>
      </x:c>
      <x:c r="E4618" s="21" t="n">
        <x:f>IF(AND('Artifact Ledger'!Q1790="OPEN",'Artifact Ledger'!R1790="HOLD"),1,0)</x:f>
        <x:v>1</x:v>
      </x:c>
      <x:c r="F4618" s="21" t="n">
        <x:v>1</x:v>
      </x:c>
      <x:c r="G4618" s="23" t="str">
        <x:f>IF(E4618=F4618,"PASS","FAIL")</x:f>
        <x:v>PASS</x:v>
      </x:c>
    </x:row>
    <x:row r="4619">
      <x:c r="B4619" s="21" t="str">
        <x:v>A04613</x:v>
      </x:c>
      <x:c r="C4619" s="21" t="str">
        <x:v>artifact</x:v>
      </x:c>
      <x:c r="D4619" s="21" t="str">
        <x:v>artifact 1785 eligibility equation</x:v>
      </x:c>
      <x:c r="E4619" s="21" t="n">
        <x:f>IF(ABS('Artifact Ledger'!P1791-IF(AND('Artifact Ledger'!L1791=1,'Artifact Ledger'!M1791=1,'Artifact Ledger'!N1791=1,'Artifact Ledger'!O1791&gt;='Artifact Ledger'!G1791),'Artifact Ledger'!K1791,0))&lt;0.000001,1,0)</x:f>
        <x:v>1</x:v>
      </x:c>
      <x:c r="F4619" s="21" t="n">
        <x:v>1</x:v>
      </x:c>
      <x:c r="G4619" s="23" t="str">
        <x:f>IF(E4619=F4619,"PASS","FAIL")</x:f>
        <x:v>PASS</x:v>
      </x:c>
    </x:row>
    <x:row r="4620">
      <x:c r="B4620" s="21" t="str">
        <x:v>A04614</x:v>
      </x:c>
      <x:c r="C4620" s="21" t="str">
        <x:v>artifact</x:v>
      </x:c>
      <x:c r="D4620" s="21" t="str">
        <x:v>artifact 1785 planning state</x:v>
      </x:c>
      <x:c r="E4620" s="21" t="n">
        <x:f>IF(AND('Artifact Ledger'!Q1791="OPEN",'Artifact Ledger'!R1791="HOLD"),1,0)</x:f>
        <x:v>1</x:v>
      </x:c>
      <x:c r="F4620" s="21" t="n">
        <x:v>1</x:v>
      </x:c>
      <x:c r="G4620" s="23" t="str">
        <x:f>IF(E4620=F4620,"PASS","FAIL")</x:f>
        <x:v>PASS</x:v>
      </x:c>
    </x:row>
    <x:row r="4621">
      <x:c r="B4621" s="21" t="str">
        <x:v>A04615</x:v>
      </x:c>
      <x:c r="C4621" s="21" t="str">
        <x:v>artifact</x:v>
      </x:c>
      <x:c r="D4621" s="21" t="str">
        <x:v>artifact 1786 eligibility equation</x:v>
      </x:c>
      <x:c r="E4621" s="21" t="n">
        <x:f>IF(ABS('Artifact Ledger'!P1792-IF(AND('Artifact Ledger'!L1792=1,'Artifact Ledger'!M1792=1,'Artifact Ledger'!N1792=1,'Artifact Ledger'!O1792&gt;='Artifact Ledger'!G1792),'Artifact Ledger'!K1792,0))&lt;0.000001,1,0)</x:f>
        <x:v>1</x:v>
      </x:c>
      <x:c r="F4621" s="21" t="n">
        <x:v>1</x:v>
      </x:c>
      <x:c r="G4621" s="23" t="str">
        <x:f>IF(E4621=F4621,"PASS","FAIL")</x:f>
        <x:v>PASS</x:v>
      </x:c>
    </x:row>
    <x:row r="4622">
      <x:c r="B4622" s="21" t="str">
        <x:v>A04616</x:v>
      </x:c>
      <x:c r="C4622" s="21" t="str">
        <x:v>artifact</x:v>
      </x:c>
      <x:c r="D4622" s="21" t="str">
        <x:v>artifact 1786 planning state</x:v>
      </x:c>
      <x:c r="E4622" s="21" t="n">
        <x:f>IF(AND('Artifact Ledger'!Q1792="OPEN",'Artifact Ledger'!R1792="HOLD"),1,0)</x:f>
        <x:v>1</x:v>
      </x:c>
      <x:c r="F4622" s="21" t="n">
        <x:v>1</x:v>
      </x:c>
      <x:c r="G4622" s="23" t="str">
        <x:f>IF(E4622=F4622,"PASS","FAIL")</x:f>
        <x:v>PASS</x:v>
      </x:c>
    </x:row>
    <x:row r="4623">
      <x:c r="B4623" s="21" t="str">
        <x:v>A04617</x:v>
      </x:c>
      <x:c r="C4623" s="21" t="str">
        <x:v>artifact</x:v>
      </x:c>
      <x:c r="D4623" s="21" t="str">
        <x:v>artifact 1787 eligibility equation</x:v>
      </x:c>
      <x:c r="E4623" s="21" t="n">
        <x:f>IF(ABS('Artifact Ledger'!P1793-IF(AND('Artifact Ledger'!L1793=1,'Artifact Ledger'!M1793=1,'Artifact Ledger'!N1793=1,'Artifact Ledger'!O1793&gt;='Artifact Ledger'!G1793),'Artifact Ledger'!K1793,0))&lt;0.000001,1,0)</x:f>
        <x:v>1</x:v>
      </x:c>
      <x:c r="F4623" s="21" t="n">
        <x:v>1</x:v>
      </x:c>
      <x:c r="G4623" s="23" t="str">
        <x:f>IF(E4623=F4623,"PASS","FAIL")</x:f>
        <x:v>PASS</x:v>
      </x:c>
    </x:row>
    <x:row r="4624">
      <x:c r="B4624" s="21" t="str">
        <x:v>A04618</x:v>
      </x:c>
      <x:c r="C4624" s="21" t="str">
        <x:v>artifact</x:v>
      </x:c>
      <x:c r="D4624" s="21" t="str">
        <x:v>artifact 1787 planning state</x:v>
      </x:c>
      <x:c r="E4624" s="21" t="n">
        <x:f>IF(AND('Artifact Ledger'!Q1793="OPEN",'Artifact Ledger'!R1793="HOLD"),1,0)</x:f>
        <x:v>1</x:v>
      </x:c>
      <x:c r="F4624" s="21" t="n">
        <x:v>1</x:v>
      </x:c>
      <x:c r="G4624" s="23" t="str">
        <x:f>IF(E4624=F4624,"PASS","FAIL")</x:f>
        <x:v>PASS</x:v>
      </x:c>
    </x:row>
    <x:row r="4625">
      <x:c r="B4625" s="21" t="str">
        <x:v>A04619</x:v>
      </x:c>
      <x:c r="C4625" s="21" t="str">
        <x:v>artifact</x:v>
      </x:c>
      <x:c r="D4625" s="21" t="str">
        <x:v>artifact 1788 eligibility equation</x:v>
      </x:c>
      <x:c r="E4625" s="21" t="n">
        <x:f>IF(ABS('Artifact Ledger'!P1794-IF(AND('Artifact Ledger'!L1794=1,'Artifact Ledger'!M1794=1,'Artifact Ledger'!N1794=1,'Artifact Ledger'!O1794&gt;='Artifact Ledger'!G1794),'Artifact Ledger'!K1794,0))&lt;0.000001,1,0)</x:f>
        <x:v>1</x:v>
      </x:c>
      <x:c r="F4625" s="21" t="n">
        <x:v>1</x:v>
      </x:c>
      <x:c r="G4625" s="23" t="str">
        <x:f>IF(E4625=F4625,"PASS","FAIL")</x:f>
        <x:v>PASS</x:v>
      </x:c>
    </x:row>
    <x:row r="4626">
      <x:c r="B4626" s="21" t="str">
        <x:v>A04620</x:v>
      </x:c>
      <x:c r="C4626" s="21" t="str">
        <x:v>artifact</x:v>
      </x:c>
      <x:c r="D4626" s="21" t="str">
        <x:v>artifact 1788 planning state</x:v>
      </x:c>
      <x:c r="E4626" s="21" t="n">
        <x:f>IF(AND('Artifact Ledger'!Q1794="OPEN",'Artifact Ledger'!R1794="HOLD"),1,0)</x:f>
        <x:v>1</x:v>
      </x:c>
      <x:c r="F4626" s="21" t="n">
        <x:v>1</x:v>
      </x:c>
      <x:c r="G4626" s="23" t="str">
        <x:f>IF(E4626=F4626,"PASS","FAIL")</x:f>
        <x:v>PASS</x:v>
      </x:c>
    </x:row>
    <x:row r="4627">
      <x:c r="B4627" s="21" t="str">
        <x:v>A04621</x:v>
      </x:c>
      <x:c r="C4627" s="21" t="str">
        <x:v>artifact</x:v>
      </x:c>
      <x:c r="D4627" s="21" t="str">
        <x:v>artifact 1789 eligibility equation</x:v>
      </x:c>
      <x:c r="E4627" s="21" t="n">
        <x:f>IF(ABS('Artifact Ledger'!P1795-IF(AND('Artifact Ledger'!L1795=1,'Artifact Ledger'!M1795=1,'Artifact Ledger'!N1795=1,'Artifact Ledger'!O1795&gt;='Artifact Ledger'!G1795),'Artifact Ledger'!K1795,0))&lt;0.000001,1,0)</x:f>
        <x:v>1</x:v>
      </x:c>
      <x:c r="F4627" s="21" t="n">
        <x:v>1</x:v>
      </x:c>
      <x:c r="G4627" s="23" t="str">
        <x:f>IF(E4627=F4627,"PASS","FAIL")</x:f>
        <x:v>PASS</x:v>
      </x:c>
    </x:row>
    <x:row r="4628">
      <x:c r="B4628" s="21" t="str">
        <x:v>A04622</x:v>
      </x:c>
      <x:c r="C4628" s="21" t="str">
        <x:v>artifact</x:v>
      </x:c>
      <x:c r="D4628" s="21" t="str">
        <x:v>artifact 1789 planning state</x:v>
      </x:c>
      <x:c r="E4628" s="21" t="n">
        <x:f>IF(AND('Artifact Ledger'!Q1795="OPEN",'Artifact Ledger'!R1795="HOLD"),1,0)</x:f>
        <x:v>1</x:v>
      </x:c>
      <x:c r="F4628" s="21" t="n">
        <x:v>1</x:v>
      </x:c>
      <x:c r="G4628" s="23" t="str">
        <x:f>IF(E4628=F4628,"PASS","FAIL")</x:f>
        <x:v>PASS</x:v>
      </x:c>
    </x:row>
    <x:row r="4629">
      <x:c r="B4629" s="21" t="str">
        <x:v>A04623</x:v>
      </x:c>
      <x:c r="C4629" s="21" t="str">
        <x:v>artifact</x:v>
      </x:c>
      <x:c r="D4629" s="21" t="str">
        <x:v>artifact 1790 eligibility equation</x:v>
      </x:c>
      <x:c r="E4629" s="21" t="n">
        <x:f>IF(ABS('Artifact Ledger'!P1796-IF(AND('Artifact Ledger'!L1796=1,'Artifact Ledger'!M1796=1,'Artifact Ledger'!N1796=1,'Artifact Ledger'!O1796&gt;='Artifact Ledger'!G1796),'Artifact Ledger'!K1796,0))&lt;0.000001,1,0)</x:f>
        <x:v>1</x:v>
      </x:c>
      <x:c r="F4629" s="21" t="n">
        <x:v>1</x:v>
      </x:c>
      <x:c r="G4629" s="23" t="str">
        <x:f>IF(E4629=F4629,"PASS","FAIL")</x:f>
        <x:v>PASS</x:v>
      </x:c>
    </x:row>
    <x:row r="4630">
      <x:c r="B4630" s="21" t="str">
        <x:v>A04624</x:v>
      </x:c>
      <x:c r="C4630" s="21" t="str">
        <x:v>artifact</x:v>
      </x:c>
      <x:c r="D4630" s="21" t="str">
        <x:v>artifact 1790 planning state</x:v>
      </x:c>
      <x:c r="E4630" s="21" t="n">
        <x:f>IF(AND('Artifact Ledger'!Q1796="OPEN",'Artifact Ledger'!R1796="HOLD"),1,0)</x:f>
        <x:v>1</x:v>
      </x:c>
      <x:c r="F4630" s="21" t="n">
        <x:v>1</x:v>
      </x:c>
      <x:c r="G4630" s="23" t="str">
        <x:f>IF(E4630=F4630,"PASS","FAIL")</x:f>
        <x:v>PASS</x:v>
      </x:c>
    </x:row>
    <x:row r="4631">
      <x:c r="B4631" s="21" t="str">
        <x:v>A04625</x:v>
      </x:c>
      <x:c r="C4631" s="21" t="str">
        <x:v>artifact</x:v>
      </x:c>
      <x:c r="D4631" s="21" t="str">
        <x:v>artifact 1791 eligibility equation</x:v>
      </x:c>
      <x:c r="E4631" s="21" t="n">
        <x:f>IF(ABS('Artifact Ledger'!P1797-IF(AND('Artifact Ledger'!L1797=1,'Artifact Ledger'!M1797=1,'Artifact Ledger'!N1797=1,'Artifact Ledger'!O1797&gt;='Artifact Ledger'!G1797),'Artifact Ledger'!K1797,0))&lt;0.000001,1,0)</x:f>
        <x:v>1</x:v>
      </x:c>
      <x:c r="F4631" s="21" t="n">
        <x:v>1</x:v>
      </x:c>
      <x:c r="G4631" s="23" t="str">
        <x:f>IF(E4631=F4631,"PASS","FAIL")</x:f>
        <x:v>PASS</x:v>
      </x:c>
    </x:row>
    <x:row r="4632">
      <x:c r="B4632" s="21" t="str">
        <x:v>A04626</x:v>
      </x:c>
      <x:c r="C4632" s="21" t="str">
        <x:v>artifact</x:v>
      </x:c>
      <x:c r="D4632" s="21" t="str">
        <x:v>artifact 1791 planning state</x:v>
      </x:c>
      <x:c r="E4632" s="21" t="n">
        <x:f>IF(AND('Artifact Ledger'!Q1797="OPEN",'Artifact Ledger'!R1797="HOLD"),1,0)</x:f>
        <x:v>1</x:v>
      </x:c>
      <x:c r="F4632" s="21" t="n">
        <x:v>1</x:v>
      </x:c>
      <x:c r="G4632" s="23" t="str">
        <x:f>IF(E4632=F4632,"PASS","FAIL")</x:f>
        <x:v>PASS</x:v>
      </x:c>
    </x:row>
    <x:row r="4633">
      <x:c r="B4633" s="21" t="str">
        <x:v>A04627</x:v>
      </x:c>
      <x:c r="C4633" s="21" t="str">
        <x:v>artifact</x:v>
      </x:c>
      <x:c r="D4633" s="21" t="str">
        <x:v>artifact 1792 eligibility equation</x:v>
      </x:c>
      <x:c r="E4633" s="21" t="n">
        <x:f>IF(ABS('Artifact Ledger'!P1798-IF(AND('Artifact Ledger'!L1798=1,'Artifact Ledger'!M1798=1,'Artifact Ledger'!N1798=1,'Artifact Ledger'!O1798&gt;='Artifact Ledger'!G1798),'Artifact Ledger'!K1798,0))&lt;0.000001,1,0)</x:f>
        <x:v>1</x:v>
      </x:c>
      <x:c r="F4633" s="21" t="n">
        <x:v>1</x:v>
      </x:c>
      <x:c r="G4633" s="23" t="str">
        <x:f>IF(E4633=F4633,"PASS","FAIL")</x:f>
        <x:v>PASS</x:v>
      </x:c>
    </x:row>
    <x:row r="4634">
      <x:c r="B4634" s="21" t="str">
        <x:v>A04628</x:v>
      </x:c>
      <x:c r="C4634" s="21" t="str">
        <x:v>artifact</x:v>
      </x:c>
      <x:c r="D4634" s="21" t="str">
        <x:v>artifact 1792 planning state</x:v>
      </x:c>
      <x:c r="E4634" s="21" t="n">
        <x:f>IF(AND('Artifact Ledger'!Q1798="OPEN",'Artifact Ledger'!R1798="HOLD"),1,0)</x:f>
        <x:v>1</x:v>
      </x:c>
      <x:c r="F4634" s="21" t="n">
        <x:v>1</x:v>
      </x:c>
      <x:c r="G4634" s="23" t="str">
        <x:f>IF(E4634=F4634,"PASS","FAIL")</x:f>
        <x:v>PASS</x:v>
      </x:c>
    </x:row>
    <x:row r="4635">
      <x:c r="B4635" s="21" t="str">
        <x:v>A04629</x:v>
      </x:c>
      <x:c r="C4635" s="21" t="str">
        <x:v>artifact</x:v>
      </x:c>
      <x:c r="D4635" s="21" t="str">
        <x:v>artifact 1793 eligibility equation</x:v>
      </x:c>
      <x:c r="E4635" s="21" t="n">
        <x:f>IF(ABS('Artifact Ledger'!P1799-IF(AND('Artifact Ledger'!L1799=1,'Artifact Ledger'!M1799=1,'Artifact Ledger'!N1799=1,'Artifact Ledger'!O1799&gt;='Artifact Ledger'!G1799),'Artifact Ledger'!K1799,0))&lt;0.000001,1,0)</x:f>
        <x:v>1</x:v>
      </x:c>
      <x:c r="F4635" s="21" t="n">
        <x:v>1</x:v>
      </x:c>
      <x:c r="G4635" s="23" t="str">
        <x:f>IF(E4635=F4635,"PASS","FAIL")</x:f>
        <x:v>PASS</x:v>
      </x:c>
    </x:row>
    <x:row r="4636">
      <x:c r="B4636" s="21" t="str">
        <x:v>A04630</x:v>
      </x:c>
      <x:c r="C4636" s="21" t="str">
        <x:v>artifact</x:v>
      </x:c>
      <x:c r="D4636" s="21" t="str">
        <x:v>artifact 1793 planning state</x:v>
      </x:c>
      <x:c r="E4636" s="21" t="n">
        <x:f>IF(AND('Artifact Ledger'!Q1799="OPEN",'Artifact Ledger'!R1799="HOLD"),1,0)</x:f>
        <x:v>1</x:v>
      </x:c>
      <x:c r="F4636" s="21" t="n">
        <x:v>1</x:v>
      </x:c>
      <x:c r="G4636" s="23" t="str">
        <x:f>IF(E4636=F4636,"PASS","FAIL")</x:f>
        <x:v>PASS</x:v>
      </x:c>
    </x:row>
    <x:row r="4637">
      <x:c r="B4637" s="21" t="str">
        <x:v>A04631</x:v>
      </x:c>
      <x:c r="C4637" s="21" t="str">
        <x:v>artifact</x:v>
      </x:c>
      <x:c r="D4637" s="21" t="str">
        <x:v>artifact 1794 eligibility equation</x:v>
      </x:c>
      <x:c r="E4637" s="21" t="n">
        <x:f>IF(ABS('Artifact Ledger'!P1800-IF(AND('Artifact Ledger'!L1800=1,'Artifact Ledger'!M1800=1,'Artifact Ledger'!N1800=1,'Artifact Ledger'!O1800&gt;='Artifact Ledger'!G1800),'Artifact Ledger'!K1800,0))&lt;0.000001,1,0)</x:f>
        <x:v>1</x:v>
      </x:c>
      <x:c r="F4637" s="21" t="n">
        <x:v>1</x:v>
      </x:c>
      <x:c r="G4637" s="23" t="str">
        <x:f>IF(E4637=F4637,"PASS","FAIL")</x:f>
        <x:v>PASS</x:v>
      </x:c>
    </x:row>
    <x:row r="4638">
      <x:c r="B4638" s="21" t="str">
        <x:v>A04632</x:v>
      </x:c>
      <x:c r="C4638" s="21" t="str">
        <x:v>artifact</x:v>
      </x:c>
      <x:c r="D4638" s="21" t="str">
        <x:v>artifact 1794 planning state</x:v>
      </x:c>
      <x:c r="E4638" s="21" t="n">
        <x:f>IF(AND('Artifact Ledger'!Q1800="OPEN",'Artifact Ledger'!R1800="HOLD"),1,0)</x:f>
        <x:v>1</x:v>
      </x:c>
      <x:c r="F4638" s="21" t="n">
        <x:v>1</x:v>
      </x:c>
      <x:c r="G4638" s="23" t="str">
        <x:f>IF(E4638=F4638,"PASS","FAIL")</x:f>
        <x:v>PASS</x:v>
      </x:c>
    </x:row>
    <x:row r="4639">
      <x:c r="B4639" s="21" t="str">
        <x:v>A04633</x:v>
      </x:c>
      <x:c r="C4639" s="21" t="str">
        <x:v>artifact</x:v>
      </x:c>
      <x:c r="D4639" s="21" t="str">
        <x:v>artifact 1795 eligibility equation</x:v>
      </x:c>
      <x:c r="E4639" s="21" t="n">
        <x:f>IF(ABS('Artifact Ledger'!P1801-IF(AND('Artifact Ledger'!L1801=1,'Artifact Ledger'!M1801=1,'Artifact Ledger'!N1801=1,'Artifact Ledger'!O1801&gt;='Artifact Ledger'!G1801),'Artifact Ledger'!K1801,0))&lt;0.000001,1,0)</x:f>
        <x:v>1</x:v>
      </x:c>
      <x:c r="F4639" s="21" t="n">
        <x:v>1</x:v>
      </x:c>
      <x:c r="G4639" s="23" t="str">
        <x:f>IF(E4639=F4639,"PASS","FAIL")</x:f>
        <x:v>PASS</x:v>
      </x:c>
    </x:row>
    <x:row r="4640">
      <x:c r="B4640" s="21" t="str">
        <x:v>A04634</x:v>
      </x:c>
      <x:c r="C4640" s="21" t="str">
        <x:v>artifact</x:v>
      </x:c>
      <x:c r="D4640" s="21" t="str">
        <x:v>artifact 1795 planning state</x:v>
      </x:c>
      <x:c r="E4640" s="21" t="n">
        <x:f>IF(AND('Artifact Ledger'!Q1801="OPEN",'Artifact Ledger'!R1801="HOLD"),1,0)</x:f>
        <x:v>1</x:v>
      </x:c>
      <x:c r="F4640" s="21" t="n">
        <x:v>1</x:v>
      </x:c>
      <x:c r="G4640" s="23" t="str">
        <x:f>IF(E4640=F4640,"PASS","FAIL")</x:f>
        <x:v>PASS</x:v>
      </x:c>
    </x:row>
    <x:row r="4641">
      <x:c r="B4641" s="21" t="str">
        <x:v>A04635</x:v>
      </x:c>
      <x:c r="C4641" s="21" t="str">
        <x:v>artifact</x:v>
      </x:c>
      <x:c r="D4641" s="21" t="str">
        <x:v>artifact 1796 eligibility equation</x:v>
      </x:c>
      <x:c r="E4641" s="21" t="n">
        <x:f>IF(ABS('Artifact Ledger'!P1802-IF(AND('Artifact Ledger'!L1802=1,'Artifact Ledger'!M1802=1,'Artifact Ledger'!N1802=1,'Artifact Ledger'!O1802&gt;='Artifact Ledger'!G1802),'Artifact Ledger'!K1802,0))&lt;0.000001,1,0)</x:f>
        <x:v>1</x:v>
      </x:c>
      <x:c r="F4641" s="21" t="n">
        <x:v>1</x:v>
      </x:c>
      <x:c r="G4641" s="23" t="str">
        <x:f>IF(E4641=F4641,"PASS","FAIL")</x:f>
        <x:v>PASS</x:v>
      </x:c>
    </x:row>
    <x:row r="4642">
      <x:c r="B4642" s="21" t="str">
        <x:v>A04636</x:v>
      </x:c>
      <x:c r="C4642" s="21" t="str">
        <x:v>artifact</x:v>
      </x:c>
      <x:c r="D4642" s="21" t="str">
        <x:v>artifact 1796 planning state</x:v>
      </x:c>
      <x:c r="E4642" s="21" t="n">
        <x:f>IF(AND('Artifact Ledger'!Q1802="OPEN",'Artifact Ledger'!R1802="HOLD"),1,0)</x:f>
        <x:v>1</x:v>
      </x:c>
      <x:c r="F4642" s="21" t="n">
        <x:v>1</x:v>
      </x:c>
      <x:c r="G4642" s="23" t="str">
        <x:f>IF(E4642=F4642,"PASS","FAIL")</x:f>
        <x:v>PASS</x:v>
      </x:c>
    </x:row>
    <x:row r="4643">
      <x:c r="B4643" s="21" t="str">
        <x:v>A04637</x:v>
      </x:c>
      <x:c r="C4643" s="21" t="str">
        <x:v>artifact</x:v>
      </x:c>
      <x:c r="D4643" s="21" t="str">
        <x:v>artifact 1797 eligibility equation</x:v>
      </x:c>
      <x:c r="E4643" s="21" t="n">
        <x:f>IF(ABS('Artifact Ledger'!P1803-IF(AND('Artifact Ledger'!L1803=1,'Artifact Ledger'!M1803=1,'Artifact Ledger'!N1803=1,'Artifact Ledger'!O1803&gt;='Artifact Ledger'!G1803),'Artifact Ledger'!K1803,0))&lt;0.000001,1,0)</x:f>
        <x:v>1</x:v>
      </x:c>
      <x:c r="F4643" s="21" t="n">
        <x:v>1</x:v>
      </x:c>
      <x:c r="G4643" s="23" t="str">
        <x:f>IF(E4643=F4643,"PASS","FAIL")</x:f>
        <x:v>PASS</x:v>
      </x:c>
    </x:row>
    <x:row r="4644">
      <x:c r="B4644" s="21" t="str">
        <x:v>A04638</x:v>
      </x:c>
      <x:c r="C4644" s="21" t="str">
        <x:v>artifact</x:v>
      </x:c>
      <x:c r="D4644" s="21" t="str">
        <x:v>artifact 1797 planning state</x:v>
      </x:c>
      <x:c r="E4644" s="21" t="n">
        <x:f>IF(AND('Artifact Ledger'!Q1803="OPEN",'Artifact Ledger'!R1803="HOLD"),1,0)</x:f>
        <x:v>1</x:v>
      </x:c>
      <x:c r="F4644" s="21" t="n">
        <x:v>1</x:v>
      </x:c>
      <x:c r="G4644" s="23" t="str">
        <x:f>IF(E4644=F4644,"PASS","FAIL")</x:f>
        <x:v>PASS</x:v>
      </x:c>
    </x:row>
    <x:row r="4645">
      <x:c r="B4645" s="21" t="str">
        <x:v>A04639</x:v>
      </x:c>
      <x:c r="C4645" s="21" t="str">
        <x:v>artifact</x:v>
      </x:c>
      <x:c r="D4645" s="21" t="str">
        <x:v>artifact 1798 eligibility equation</x:v>
      </x:c>
      <x:c r="E4645" s="21" t="n">
        <x:f>IF(ABS('Artifact Ledger'!P1804-IF(AND('Artifact Ledger'!L1804=1,'Artifact Ledger'!M1804=1,'Artifact Ledger'!N1804=1,'Artifact Ledger'!O1804&gt;='Artifact Ledger'!G1804),'Artifact Ledger'!K1804,0))&lt;0.000001,1,0)</x:f>
        <x:v>1</x:v>
      </x:c>
      <x:c r="F4645" s="21" t="n">
        <x:v>1</x:v>
      </x:c>
      <x:c r="G4645" s="23" t="str">
        <x:f>IF(E4645=F4645,"PASS","FAIL")</x:f>
        <x:v>PASS</x:v>
      </x:c>
    </x:row>
    <x:row r="4646">
      <x:c r="B4646" s="21" t="str">
        <x:v>A04640</x:v>
      </x:c>
      <x:c r="C4646" s="21" t="str">
        <x:v>artifact</x:v>
      </x:c>
      <x:c r="D4646" s="21" t="str">
        <x:v>artifact 1798 planning state</x:v>
      </x:c>
      <x:c r="E4646" s="21" t="n">
        <x:f>IF(AND('Artifact Ledger'!Q1804="OPEN",'Artifact Ledger'!R1804="HOLD"),1,0)</x:f>
        <x:v>1</x:v>
      </x:c>
      <x:c r="F4646" s="21" t="n">
        <x:v>1</x:v>
      </x:c>
      <x:c r="G4646" s="23" t="str">
        <x:f>IF(E4646=F4646,"PASS","FAIL")</x:f>
        <x:v>PASS</x:v>
      </x:c>
    </x:row>
    <x:row r="4647">
      <x:c r="B4647" s="21" t="str">
        <x:v>A04641</x:v>
      </x:c>
      <x:c r="C4647" s="21" t="str">
        <x:v>artifact</x:v>
      </x:c>
      <x:c r="D4647" s="21" t="str">
        <x:v>artifact 1799 eligibility equation</x:v>
      </x:c>
      <x:c r="E4647" s="21" t="n">
        <x:f>IF(ABS('Artifact Ledger'!P1805-IF(AND('Artifact Ledger'!L1805=1,'Artifact Ledger'!M1805=1,'Artifact Ledger'!N1805=1,'Artifact Ledger'!O1805&gt;='Artifact Ledger'!G1805),'Artifact Ledger'!K1805,0))&lt;0.000001,1,0)</x:f>
        <x:v>1</x:v>
      </x:c>
      <x:c r="F4647" s="21" t="n">
        <x:v>1</x:v>
      </x:c>
      <x:c r="G4647" s="23" t="str">
        <x:f>IF(E4647=F4647,"PASS","FAIL")</x:f>
        <x:v>PASS</x:v>
      </x:c>
    </x:row>
    <x:row r="4648">
      <x:c r="B4648" s="21" t="str">
        <x:v>A04642</x:v>
      </x:c>
      <x:c r="C4648" s="21" t="str">
        <x:v>artifact</x:v>
      </x:c>
      <x:c r="D4648" s="21" t="str">
        <x:v>artifact 1799 planning state</x:v>
      </x:c>
      <x:c r="E4648" s="21" t="n">
        <x:f>IF(AND('Artifact Ledger'!Q1805="OPEN",'Artifact Ledger'!R1805="HOLD"),1,0)</x:f>
        <x:v>1</x:v>
      </x:c>
      <x:c r="F4648" s="21" t="n">
        <x:v>1</x:v>
      </x:c>
      <x:c r="G4648" s="23" t="str">
        <x:f>IF(E4648=F4648,"PASS","FAIL")</x:f>
        <x:v>PASS</x:v>
      </x:c>
    </x:row>
    <x:row r="4649">
      <x:c r="B4649" s="21" t="str">
        <x:v>A04643</x:v>
      </x:c>
      <x:c r="C4649" s="21" t="str">
        <x:v>artifact</x:v>
      </x:c>
      <x:c r="D4649" s="21" t="str">
        <x:v>artifact 1800 eligibility equation</x:v>
      </x:c>
      <x:c r="E4649" s="21" t="n">
        <x:f>IF(ABS('Artifact Ledger'!P1806-IF(AND('Artifact Ledger'!L1806=1,'Artifact Ledger'!M1806=1,'Artifact Ledger'!N1806=1,'Artifact Ledger'!O1806&gt;='Artifact Ledger'!G1806),'Artifact Ledger'!K1806,0))&lt;0.000001,1,0)</x:f>
        <x:v>1</x:v>
      </x:c>
      <x:c r="F4649" s="21" t="n">
        <x:v>1</x:v>
      </x:c>
      <x:c r="G4649" s="23" t="str">
        <x:f>IF(E4649=F4649,"PASS","FAIL")</x:f>
        <x:v>PASS</x:v>
      </x:c>
    </x:row>
    <x:row r="4650">
      <x:c r="B4650" s="21" t="str">
        <x:v>A04644</x:v>
      </x:c>
      <x:c r="C4650" s="21" t="str">
        <x:v>artifact</x:v>
      </x:c>
      <x:c r="D4650" s="21" t="str">
        <x:v>artifact 1800 planning state</x:v>
      </x:c>
      <x:c r="E4650" s="21" t="n">
        <x:f>IF(AND('Artifact Ledger'!Q1806="OPEN",'Artifact Ledger'!R1806="HOLD"),1,0)</x:f>
        <x:v>1</x:v>
      </x:c>
      <x:c r="F4650" s="21" t="n">
        <x:v>1</x:v>
      </x:c>
      <x:c r="G4650" s="23" t="str">
        <x:f>IF(E4650=F4650,"PASS","FAIL")</x:f>
        <x:v>PASS</x:v>
      </x:c>
    </x:row>
    <x:row r="4651">
      <x:c r="B4651" s="21" t="str">
        <x:v>A04645</x:v>
      </x:c>
      <x:c r="C4651" s="21" t="str">
        <x:v>artifact</x:v>
      </x:c>
      <x:c r="D4651" s="21" t="str">
        <x:v>artifact 1801 eligibility equation</x:v>
      </x:c>
      <x:c r="E4651" s="21" t="n">
        <x:f>IF(ABS('Artifact Ledger'!P1807-IF(AND('Artifact Ledger'!L1807=1,'Artifact Ledger'!M1807=1,'Artifact Ledger'!N1807=1,'Artifact Ledger'!O1807&gt;='Artifact Ledger'!G1807),'Artifact Ledger'!K1807,0))&lt;0.000001,1,0)</x:f>
        <x:v>1</x:v>
      </x:c>
      <x:c r="F4651" s="21" t="n">
        <x:v>1</x:v>
      </x:c>
      <x:c r="G4651" s="23" t="str">
        <x:f>IF(E4651=F4651,"PASS","FAIL")</x:f>
        <x:v>PASS</x:v>
      </x:c>
    </x:row>
    <x:row r="4652">
      <x:c r="B4652" s="21" t="str">
        <x:v>A04646</x:v>
      </x:c>
      <x:c r="C4652" s="21" t="str">
        <x:v>artifact</x:v>
      </x:c>
      <x:c r="D4652" s="21" t="str">
        <x:v>artifact 1801 planning state</x:v>
      </x:c>
      <x:c r="E4652" s="21" t="n">
        <x:f>IF(AND('Artifact Ledger'!Q1807="OPEN",'Artifact Ledger'!R1807="HOLD"),1,0)</x:f>
        <x:v>1</x:v>
      </x:c>
      <x:c r="F4652" s="21" t="n">
        <x:v>1</x:v>
      </x:c>
      <x:c r="G4652" s="23" t="str">
        <x:f>IF(E4652=F4652,"PASS","FAIL")</x:f>
        <x:v>PASS</x:v>
      </x:c>
    </x:row>
    <x:row r="4653">
      <x:c r="B4653" s="21" t="str">
        <x:v>A04647</x:v>
      </x:c>
      <x:c r="C4653" s="21" t="str">
        <x:v>artifact</x:v>
      </x:c>
      <x:c r="D4653" s="21" t="str">
        <x:v>artifact 1802 eligibility equation</x:v>
      </x:c>
      <x:c r="E4653" s="21" t="n">
        <x:f>IF(ABS('Artifact Ledger'!P1808-IF(AND('Artifact Ledger'!L1808=1,'Artifact Ledger'!M1808=1,'Artifact Ledger'!N1808=1,'Artifact Ledger'!O1808&gt;='Artifact Ledger'!G1808),'Artifact Ledger'!K1808,0))&lt;0.000001,1,0)</x:f>
        <x:v>1</x:v>
      </x:c>
      <x:c r="F4653" s="21" t="n">
        <x:v>1</x:v>
      </x:c>
      <x:c r="G4653" s="23" t="str">
        <x:f>IF(E4653=F4653,"PASS","FAIL")</x:f>
        <x:v>PASS</x:v>
      </x:c>
    </x:row>
    <x:row r="4654">
      <x:c r="B4654" s="21" t="str">
        <x:v>A04648</x:v>
      </x:c>
      <x:c r="C4654" s="21" t="str">
        <x:v>artifact</x:v>
      </x:c>
      <x:c r="D4654" s="21" t="str">
        <x:v>artifact 1802 planning state</x:v>
      </x:c>
      <x:c r="E4654" s="21" t="n">
        <x:f>IF(AND('Artifact Ledger'!Q1808="OPEN",'Artifact Ledger'!R1808="HOLD"),1,0)</x:f>
        <x:v>1</x:v>
      </x:c>
      <x:c r="F4654" s="21" t="n">
        <x:v>1</x:v>
      </x:c>
      <x:c r="G4654" s="23" t="str">
        <x:f>IF(E4654=F4654,"PASS","FAIL")</x:f>
        <x:v>PASS</x:v>
      </x:c>
    </x:row>
    <x:row r="4655">
      <x:c r="B4655" s="21" t="str">
        <x:v>A04649</x:v>
      </x:c>
      <x:c r="C4655" s="21" t="str">
        <x:v>artifact</x:v>
      </x:c>
      <x:c r="D4655" s="21" t="str">
        <x:v>artifact 1803 eligibility equation</x:v>
      </x:c>
      <x:c r="E4655" s="21" t="n">
        <x:f>IF(ABS('Artifact Ledger'!P1809-IF(AND('Artifact Ledger'!L1809=1,'Artifact Ledger'!M1809=1,'Artifact Ledger'!N1809=1,'Artifact Ledger'!O1809&gt;='Artifact Ledger'!G1809),'Artifact Ledger'!K1809,0))&lt;0.000001,1,0)</x:f>
        <x:v>1</x:v>
      </x:c>
      <x:c r="F4655" s="21" t="n">
        <x:v>1</x:v>
      </x:c>
      <x:c r="G4655" s="23" t="str">
        <x:f>IF(E4655=F4655,"PASS","FAIL")</x:f>
        <x:v>PASS</x:v>
      </x:c>
    </x:row>
    <x:row r="4656">
      <x:c r="B4656" s="21" t="str">
        <x:v>A04650</x:v>
      </x:c>
      <x:c r="C4656" s="21" t="str">
        <x:v>artifact</x:v>
      </x:c>
      <x:c r="D4656" s="21" t="str">
        <x:v>artifact 1803 planning state</x:v>
      </x:c>
      <x:c r="E4656" s="21" t="n">
        <x:f>IF(AND('Artifact Ledger'!Q1809="OPEN",'Artifact Ledger'!R1809="HOLD"),1,0)</x:f>
        <x:v>1</x:v>
      </x:c>
      <x:c r="F4656" s="21" t="n">
        <x:v>1</x:v>
      </x:c>
      <x:c r="G4656" s="23" t="str">
        <x:f>IF(E4656=F4656,"PASS","FAIL")</x:f>
        <x:v>PASS</x:v>
      </x:c>
    </x:row>
    <x:row r="4657">
      <x:c r="B4657" s="21" t="str">
        <x:v>A04651</x:v>
      </x:c>
      <x:c r="C4657" s="21" t="str">
        <x:v>artifact</x:v>
      </x:c>
      <x:c r="D4657" s="21" t="str">
        <x:v>artifact 1804 eligibility equation</x:v>
      </x:c>
      <x:c r="E4657" s="21" t="n">
        <x:f>IF(ABS('Artifact Ledger'!P1810-IF(AND('Artifact Ledger'!L1810=1,'Artifact Ledger'!M1810=1,'Artifact Ledger'!N1810=1,'Artifact Ledger'!O1810&gt;='Artifact Ledger'!G1810),'Artifact Ledger'!K1810,0))&lt;0.000001,1,0)</x:f>
        <x:v>1</x:v>
      </x:c>
      <x:c r="F4657" s="21" t="n">
        <x:v>1</x:v>
      </x:c>
      <x:c r="G4657" s="23" t="str">
        <x:f>IF(E4657=F4657,"PASS","FAIL")</x:f>
        <x:v>PASS</x:v>
      </x:c>
    </x:row>
    <x:row r="4658">
      <x:c r="B4658" s="21" t="str">
        <x:v>A04652</x:v>
      </x:c>
      <x:c r="C4658" s="21" t="str">
        <x:v>artifact</x:v>
      </x:c>
      <x:c r="D4658" s="21" t="str">
        <x:v>artifact 1804 planning state</x:v>
      </x:c>
      <x:c r="E4658" s="21" t="n">
        <x:f>IF(AND('Artifact Ledger'!Q1810="OPEN",'Artifact Ledger'!R1810="HOLD"),1,0)</x:f>
        <x:v>1</x:v>
      </x:c>
      <x:c r="F4658" s="21" t="n">
        <x:v>1</x:v>
      </x:c>
      <x:c r="G4658" s="23" t="str">
        <x:f>IF(E4658=F4658,"PASS","FAIL")</x:f>
        <x:v>PASS</x:v>
      </x:c>
    </x:row>
    <x:row r="4659">
      <x:c r="B4659" s="21" t="str">
        <x:v>A04653</x:v>
      </x:c>
      <x:c r="C4659" s="21" t="str">
        <x:v>artifact</x:v>
      </x:c>
      <x:c r="D4659" s="21" t="str">
        <x:v>artifact 1805 eligibility equation</x:v>
      </x:c>
      <x:c r="E4659" s="21" t="n">
        <x:f>IF(ABS('Artifact Ledger'!P1811-IF(AND('Artifact Ledger'!L1811=1,'Artifact Ledger'!M1811=1,'Artifact Ledger'!N1811=1,'Artifact Ledger'!O1811&gt;='Artifact Ledger'!G1811),'Artifact Ledger'!K1811,0))&lt;0.000001,1,0)</x:f>
        <x:v>1</x:v>
      </x:c>
      <x:c r="F4659" s="21" t="n">
        <x:v>1</x:v>
      </x:c>
      <x:c r="G4659" s="23" t="str">
        <x:f>IF(E4659=F4659,"PASS","FAIL")</x:f>
        <x:v>PASS</x:v>
      </x:c>
    </x:row>
    <x:row r="4660">
      <x:c r="B4660" s="21" t="str">
        <x:v>A04654</x:v>
      </x:c>
      <x:c r="C4660" s="21" t="str">
        <x:v>artifact</x:v>
      </x:c>
      <x:c r="D4660" s="21" t="str">
        <x:v>artifact 1805 planning state</x:v>
      </x:c>
      <x:c r="E4660" s="21" t="n">
        <x:f>IF(AND('Artifact Ledger'!Q1811="OPEN",'Artifact Ledger'!R1811="HOLD"),1,0)</x:f>
        <x:v>1</x:v>
      </x:c>
      <x:c r="F4660" s="21" t="n">
        <x:v>1</x:v>
      </x:c>
      <x:c r="G4660" s="23" t="str">
        <x:f>IF(E4660=F4660,"PASS","FAIL")</x:f>
        <x:v>PASS</x:v>
      </x:c>
    </x:row>
    <x:row r="4661">
      <x:c r="B4661" s="21" t="str">
        <x:v>A04655</x:v>
      </x:c>
      <x:c r="C4661" s="21" t="str">
        <x:v>artifact</x:v>
      </x:c>
      <x:c r="D4661" s="21" t="str">
        <x:v>artifact 1806 eligibility equation</x:v>
      </x:c>
      <x:c r="E4661" s="21" t="n">
        <x:f>IF(ABS('Artifact Ledger'!P1812-IF(AND('Artifact Ledger'!L1812=1,'Artifact Ledger'!M1812=1,'Artifact Ledger'!N1812=1,'Artifact Ledger'!O1812&gt;='Artifact Ledger'!G1812),'Artifact Ledger'!K1812,0))&lt;0.000001,1,0)</x:f>
        <x:v>1</x:v>
      </x:c>
      <x:c r="F4661" s="21" t="n">
        <x:v>1</x:v>
      </x:c>
      <x:c r="G4661" s="23" t="str">
        <x:f>IF(E4661=F4661,"PASS","FAIL")</x:f>
        <x:v>PASS</x:v>
      </x:c>
    </x:row>
    <x:row r="4662">
      <x:c r="B4662" s="21" t="str">
        <x:v>A04656</x:v>
      </x:c>
      <x:c r="C4662" s="21" t="str">
        <x:v>artifact</x:v>
      </x:c>
      <x:c r="D4662" s="21" t="str">
        <x:v>artifact 1806 planning state</x:v>
      </x:c>
      <x:c r="E4662" s="21" t="n">
        <x:f>IF(AND('Artifact Ledger'!Q1812="OPEN",'Artifact Ledger'!R1812="HOLD"),1,0)</x:f>
        <x:v>1</x:v>
      </x:c>
      <x:c r="F4662" s="21" t="n">
        <x:v>1</x:v>
      </x:c>
      <x:c r="G4662" s="23" t="str">
        <x:f>IF(E4662=F4662,"PASS","FAIL")</x:f>
        <x:v>PASS</x:v>
      </x:c>
    </x:row>
    <x:row r="4663">
      <x:c r="B4663" s="21" t="str">
        <x:v>A04657</x:v>
      </x:c>
      <x:c r="C4663" s="21" t="str">
        <x:v>artifact</x:v>
      </x:c>
      <x:c r="D4663" s="21" t="str">
        <x:v>artifact 1807 eligibility equation</x:v>
      </x:c>
      <x:c r="E4663" s="21" t="n">
        <x:f>IF(ABS('Artifact Ledger'!P1813-IF(AND('Artifact Ledger'!L1813=1,'Artifact Ledger'!M1813=1,'Artifact Ledger'!N1813=1,'Artifact Ledger'!O1813&gt;='Artifact Ledger'!G1813),'Artifact Ledger'!K1813,0))&lt;0.000001,1,0)</x:f>
        <x:v>1</x:v>
      </x:c>
      <x:c r="F4663" s="21" t="n">
        <x:v>1</x:v>
      </x:c>
      <x:c r="G4663" s="23" t="str">
        <x:f>IF(E4663=F4663,"PASS","FAIL")</x:f>
        <x:v>PASS</x:v>
      </x:c>
    </x:row>
    <x:row r="4664">
      <x:c r="B4664" s="21" t="str">
        <x:v>A04658</x:v>
      </x:c>
      <x:c r="C4664" s="21" t="str">
        <x:v>artifact</x:v>
      </x:c>
      <x:c r="D4664" s="21" t="str">
        <x:v>artifact 1807 planning state</x:v>
      </x:c>
      <x:c r="E4664" s="21" t="n">
        <x:f>IF(AND('Artifact Ledger'!Q1813="OPEN",'Artifact Ledger'!R1813="HOLD"),1,0)</x:f>
        <x:v>1</x:v>
      </x:c>
      <x:c r="F4664" s="21" t="n">
        <x:v>1</x:v>
      </x:c>
      <x:c r="G4664" s="23" t="str">
        <x:f>IF(E4664=F4664,"PASS","FAIL")</x:f>
        <x:v>PASS</x:v>
      </x:c>
    </x:row>
    <x:row r="4665">
      <x:c r="B4665" s="21" t="str">
        <x:v>A04659</x:v>
      </x:c>
      <x:c r="C4665" s="21" t="str">
        <x:v>artifact</x:v>
      </x:c>
      <x:c r="D4665" s="21" t="str">
        <x:v>artifact 1808 eligibility equation</x:v>
      </x:c>
      <x:c r="E4665" s="21" t="n">
        <x:f>IF(ABS('Artifact Ledger'!P1814-IF(AND('Artifact Ledger'!L1814=1,'Artifact Ledger'!M1814=1,'Artifact Ledger'!N1814=1,'Artifact Ledger'!O1814&gt;='Artifact Ledger'!G1814),'Artifact Ledger'!K1814,0))&lt;0.000001,1,0)</x:f>
        <x:v>1</x:v>
      </x:c>
      <x:c r="F4665" s="21" t="n">
        <x:v>1</x:v>
      </x:c>
      <x:c r="G4665" s="23" t="str">
        <x:f>IF(E4665=F4665,"PASS","FAIL")</x:f>
        <x:v>PASS</x:v>
      </x:c>
    </x:row>
    <x:row r="4666">
      <x:c r="B4666" s="21" t="str">
        <x:v>A04660</x:v>
      </x:c>
      <x:c r="C4666" s="21" t="str">
        <x:v>artifact</x:v>
      </x:c>
      <x:c r="D4666" s="21" t="str">
        <x:v>artifact 1808 planning state</x:v>
      </x:c>
      <x:c r="E4666" s="21" t="n">
        <x:f>IF(AND('Artifact Ledger'!Q1814="OPEN",'Artifact Ledger'!R1814="HOLD"),1,0)</x:f>
        <x:v>1</x:v>
      </x:c>
      <x:c r="F4666" s="21" t="n">
        <x:v>1</x:v>
      </x:c>
      <x:c r="G4666" s="23" t="str">
        <x:f>IF(E4666=F4666,"PASS","FAIL")</x:f>
        <x:v>PASS</x:v>
      </x:c>
    </x:row>
    <x:row r="4667">
      <x:c r="B4667" s="21" t="str">
        <x:v>A04661</x:v>
      </x:c>
      <x:c r="C4667" s="21" t="str">
        <x:v>artifact</x:v>
      </x:c>
      <x:c r="D4667" s="21" t="str">
        <x:v>artifact 1809 eligibility equation</x:v>
      </x:c>
      <x:c r="E4667" s="21" t="n">
        <x:f>IF(ABS('Artifact Ledger'!P1815-IF(AND('Artifact Ledger'!L1815=1,'Artifact Ledger'!M1815=1,'Artifact Ledger'!N1815=1,'Artifact Ledger'!O1815&gt;='Artifact Ledger'!G1815),'Artifact Ledger'!K1815,0))&lt;0.000001,1,0)</x:f>
        <x:v>1</x:v>
      </x:c>
      <x:c r="F4667" s="21" t="n">
        <x:v>1</x:v>
      </x:c>
      <x:c r="G4667" s="23" t="str">
        <x:f>IF(E4667=F4667,"PASS","FAIL")</x:f>
        <x:v>PASS</x:v>
      </x:c>
    </x:row>
    <x:row r="4668">
      <x:c r="B4668" s="21" t="str">
        <x:v>A04662</x:v>
      </x:c>
      <x:c r="C4668" s="21" t="str">
        <x:v>artifact</x:v>
      </x:c>
      <x:c r="D4668" s="21" t="str">
        <x:v>artifact 1809 planning state</x:v>
      </x:c>
      <x:c r="E4668" s="21" t="n">
        <x:f>IF(AND('Artifact Ledger'!Q1815="OPEN",'Artifact Ledger'!R1815="HOLD"),1,0)</x:f>
        <x:v>1</x:v>
      </x:c>
      <x:c r="F4668" s="21" t="n">
        <x:v>1</x:v>
      </x:c>
      <x:c r="G4668" s="23" t="str">
        <x:f>IF(E4668=F4668,"PASS","FAIL")</x:f>
        <x:v>PASS</x:v>
      </x:c>
    </x:row>
    <x:row r="4669">
      <x:c r="B4669" s="21" t="str">
        <x:v>A04663</x:v>
      </x:c>
      <x:c r="C4669" s="21" t="str">
        <x:v>artifact</x:v>
      </x:c>
      <x:c r="D4669" s="21" t="str">
        <x:v>artifact 1810 eligibility equation</x:v>
      </x:c>
      <x:c r="E4669" s="21" t="n">
        <x:f>IF(ABS('Artifact Ledger'!P1816-IF(AND('Artifact Ledger'!L1816=1,'Artifact Ledger'!M1816=1,'Artifact Ledger'!N1816=1,'Artifact Ledger'!O1816&gt;='Artifact Ledger'!G1816),'Artifact Ledger'!K1816,0))&lt;0.000001,1,0)</x:f>
        <x:v>1</x:v>
      </x:c>
      <x:c r="F4669" s="21" t="n">
        <x:v>1</x:v>
      </x:c>
      <x:c r="G4669" s="23" t="str">
        <x:f>IF(E4669=F4669,"PASS","FAIL")</x:f>
        <x:v>PASS</x:v>
      </x:c>
    </x:row>
    <x:row r="4670">
      <x:c r="B4670" s="21" t="str">
        <x:v>A04664</x:v>
      </x:c>
      <x:c r="C4670" s="21" t="str">
        <x:v>artifact</x:v>
      </x:c>
      <x:c r="D4670" s="21" t="str">
        <x:v>artifact 1810 planning state</x:v>
      </x:c>
      <x:c r="E4670" s="21" t="n">
        <x:f>IF(AND('Artifact Ledger'!Q1816="OPEN",'Artifact Ledger'!R1816="HOLD"),1,0)</x:f>
        <x:v>1</x:v>
      </x:c>
      <x:c r="F4670" s="21" t="n">
        <x:v>1</x:v>
      </x:c>
      <x:c r="G4670" s="23" t="str">
        <x:f>IF(E4670=F4670,"PASS","FAIL")</x:f>
        <x:v>PASS</x:v>
      </x:c>
    </x:row>
    <x:row r="4671">
      <x:c r="B4671" s="21" t="str">
        <x:v>A04665</x:v>
      </x:c>
      <x:c r="C4671" s="21" t="str">
        <x:v>artifact</x:v>
      </x:c>
      <x:c r="D4671" s="21" t="str">
        <x:v>artifact 1811 eligibility equation</x:v>
      </x:c>
      <x:c r="E4671" s="21" t="n">
        <x:f>IF(ABS('Artifact Ledger'!P1817-IF(AND('Artifact Ledger'!L1817=1,'Artifact Ledger'!M1817=1,'Artifact Ledger'!N1817=1,'Artifact Ledger'!O1817&gt;='Artifact Ledger'!G1817),'Artifact Ledger'!K1817,0))&lt;0.000001,1,0)</x:f>
        <x:v>1</x:v>
      </x:c>
      <x:c r="F4671" s="21" t="n">
        <x:v>1</x:v>
      </x:c>
      <x:c r="G4671" s="23" t="str">
        <x:f>IF(E4671=F4671,"PASS","FAIL")</x:f>
        <x:v>PASS</x:v>
      </x:c>
    </x:row>
    <x:row r="4672">
      <x:c r="B4672" s="21" t="str">
        <x:v>A04666</x:v>
      </x:c>
      <x:c r="C4672" s="21" t="str">
        <x:v>artifact</x:v>
      </x:c>
      <x:c r="D4672" s="21" t="str">
        <x:v>artifact 1811 planning state</x:v>
      </x:c>
      <x:c r="E4672" s="21" t="n">
        <x:f>IF(AND('Artifact Ledger'!Q1817="OPEN",'Artifact Ledger'!R1817="HOLD"),1,0)</x:f>
        <x:v>1</x:v>
      </x:c>
      <x:c r="F4672" s="21" t="n">
        <x:v>1</x:v>
      </x:c>
      <x:c r="G4672" s="23" t="str">
        <x:f>IF(E4672=F4672,"PASS","FAIL")</x:f>
        <x:v>PASS</x:v>
      </x:c>
    </x:row>
    <x:row r="4673">
      <x:c r="B4673" s="21" t="str">
        <x:v>A04667</x:v>
      </x:c>
      <x:c r="C4673" s="21" t="str">
        <x:v>artifact</x:v>
      </x:c>
      <x:c r="D4673" s="21" t="str">
        <x:v>artifact 1812 eligibility equation</x:v>
      </x:c>
      <x:c r="E4673" s="21" t="n">
        <x:f>IF(ABS('Artifact Ledger'!P1818-IF(AND('Artifact Ledger'!L1818=1,'Artifact Ledger'!M1818=1,'Artifact Ledger'!N1818=1,'Artifact Ledger'!O1818&gt;='Artifact Ledger'!G1818),'Artifact Ledger'!K1818,0))&lt;0.000001,1,0)</x:f>
        <x:v>1</x:v>
      </x:c>
      <x:c r="F4673" s="21" t="n">
        <x:v>1</x:v>
      </x:c>
      <x:c r="G4673" s="23" t="str">
        <x:f>IF(E4673=F4673,"PASS","FAIL")</x:f>
        <x:v>PASS</x:v>
      </x:c>
    </x:row>
    <x:row r="4674">
      <x:c r="B4674" s="21" t="str">
        <x:v>A04668</x:v>
      </x:c>
      <x:c r="C4674" s="21" t="str">
        <x:v>artifact</x:v>
      </x:c>
      <x:c r="D4674" s="21" t="str">
        <x:v>artifact 1812 planning state</x:v>
      </x:c>
      <x:c r="E4674" s="21" t="n">
        <x:f>IF(AND('Artifact Ledger'!Q1818="OPEN",'Artifact Ledger'!R1818="HOLD"),1,0)</x:f>
        <x:v>1</x:v>
      </x:c>
      <x:c r="F4674" s="21" t="n">
        <x:v>1</x:v>
      </x:c>
      <x:c r="G4674" s="23" t="str">
        <x:f>IF(E4674=F4674,"PASS","FAIL")</x:f>
        <x:v>PASS</x:v>
      </x:c>
    </x:row>
    <x:row r="4675">
      <x:c r="B4675" s="21" t="str">
        <x:v>A04669</x:v>
      </x:c>
      <x:c r="C4675" s="21" t="str">
        <x:v>artifact</x:v>
      </x:c>
      <x:c r="D4675" s="21" t="str">
        <x:v>artifact 1813 eligibility equation</x:v>
      </x:c>
      <x:c r="E4675" s="21" t="n">
        <x:f>IF(ABS('Artifact Ledger'!P1819-IF(AND('Artifact Ledger'!L1819=1,'Artifact Ledger'!M1819=1,'Artifact Ledger'!N1819=1,'Artifact Ledger'!O1819&gt;='Artifact Ledger'!G1819),'Artifact Ledger'!K1819,0))&lt;0.000001,1,0)</x:f>
        <x:v>1</x:v>
      </x:c>
      <x:c r="F4675" s="21" t="n">
        <x:v>1</x:v>
      </x:c>
      <x:c r="G4675" s="23" t="str">
        <x:f>IF(E4675=F4675,"PASS","FAIL")</x:f>
        <x:v>PASS</x:v>
      </x:c>
    </x:row>
    <x:row r="4676">
      <x:c r="B4676" s="21" t="str">
        <x:v>A04670</x:v>
      </x:c>
      <x:c r="C4676" s="21" t="str">
        <x:v>artifact</x:v>
      </x:c>
      <x:c r="D4676" s="21" t="str">
        <x:v>artifact 1813 planning state</x:v>
      </x:c>
      <x:c r="E4676" s="21" t="n">
        <x:f>IF(AND('Artifact Ledger'!Q1819="OPEN",'Artifact Ledger'!R1819="HOLD"),1,0)</x:f>
        <x:v>1</x:v>
      </x:c>
      <x:c r="F4676" s="21" t="n">
        <x:v>1</x:v>
      </x:c>
      <x:c r="G4676" s="23" t="str">
        <x:f>IF(E4676=F4676,"PASS","FAIL")</x:f>
        <x:v>PASS</x:v>
      </x:c>
    </x:row>
    <x:row r="4677">
      <x:c r="B4677" s="21" t="str">
        <x:v>A04671</x:v>
      </x:c>
      <x:c r="C4677" s="21" t="str">
        <x:v>artifact</x:v>
      </x:c>
      <x:c r="D4677" s="21" t="str">
        <x:v>artifact 1814 eligibility equation</x:v>
      </x:c>
      <x:c r="E4677" s="21" t="n">
        <x:f>IF(ABS('Artifact Ledger'!P1820-IF(AND('Artifact Ledger'!L1820=1,'Artifact Ledger'!M1820=1,'Artifact Ledger'!N1820=1,'Artifact Ledger'!O1820&gt;='Artifact Ledger'!G1820),'Artifact Ledger'!K1820,0))&lt;0.000001,1,0)</x:f>
        <x:v>1</x:v>
      </x:c>
      <x:c r="F4677" s="21" t="n">
        <x:v>1</x:v>
      </x:c>
      <x:c r="G4677" s="23" t="str">
        <x:f>IF(E4677=F4677,"PASS","FAIL")</x:f>
        <x:v>PASS</x:v>
      </x:c>
    </x:row>
    <x:row r="4678">
      <x:c r="B4678" s="21" t="str">
        <x:v>A04672</x:v>
      </x:c>
      <x:c r="C4678" s="21" t="str">
        <x:v>artifact</x:v>
      </x:c>
      <x:c r="D4678" s="21" t="str">
        <x:v>artifact 1814 planning state</x:v>
      </x:c>
      <x:c r="E4678" s="21" t="n">
        <x:f>IF(AND('Artifact Ledger'!Q1820="OPEN",'Artifact Ledger'!R1820="HOLD"),1,0)</x:f>
        <x:v>1</x:v>
      </x:c>
      <x:c r="F4678" s="21" t="n">
        <x:v>1</x:v>
      </x:c>
      <x:c r="G4678" s="23" t="str">
        <x:f>IF(E4678=F4678,"PASS","FAIL")</x:f>
        <x:v>PASS</x:v>
      </x:c>
    </x:row>
    <x:row r="4679">
      <x:c r="B4679" s="21" t="str">
        <x:v>A04673</x:v>
      </x:c>
      <x:c r="C4679" s="21" t="str">
        <x:v>artifact</x:v>
      </x:c>
      <x:c r="D4679" s="21" t="str">
        <x:v>artifact 1815 eligibility equation</x:v>
      </x:c>
      <x:c r="E4679" s="21" t="n">
        <x:f>IF(ABS('Artifact Ledger'!P1821-IF(AND('Artifact Ledger'!L1821=1,'Artifact Ledger'!M1821=1,'Artifact Ledger'!N1821=1,'Artifact Ledger'!O1821&gt;='Artifact Ledger'!G1821),'Artifact Ledger'!K1821,0))&lt;0.000001,1,0)</x:f>
        <x:v>1</x:v>
      </x:c>
      <x:c r="F4679" s="21" t="n">
        <x:v>1</x:v>
      </x:c>
      <x:c r="G4679" s="23" t="str">
        <x:f>IF(E4679=F4679,"PASS","FAIL")</x:f>
        <x:v>PASS</x:v>
      </x:c>
    </x:row>
    <x:row r="4680">
      <x:c r="B4680" s="21" t="str">
        <x:v>A04674</x:v>
      </x:c>
      <x:c r="C4680" s="21" t="str">
        <x:v>artifact</x:v>
      </x:c>
      <x:c r="D4680" s="21" t="str">
        <x:v>artifact 1815 planning state</x:v>
      </x:c>
      <x:c r="E4680" s="21" t="n">
        <x:f>IF(AND('Artifact Ledger'!Q1821="OPEN",'Artifact Ledger'!R1821="HOLD"),1,0)</x:f>
        <x:v>1</x:v>
      </x:c>
      <x:c r="F4680" s="21" t="n">
        <x:v>1</x:v>
      </x:c>
      <x:c r="G4680" s="23" t="str">
        <x:f>IF(E4680=F4680,"PASS","FAIL")</x:f>
        <x:v>PASS</x:v>
      </x:c>
    </x:row>
    <x:row r="4681">
      <x:c r="B4681" s="21" t="str">
        <x:v>A04675</x:v>
      </x:c>
      <x:c r="C4681" s="21" t="str">
        <x:v>artifact</x:v>
      </x:c>
      <x:c r="D4681" s="21" t="str">
        <x:v>artifact 1816 eligibility equation</x:v>
      </x:c>
      <x:c r="E4681" s="21" t="n">
        <x:f>IF(ABS('Artifact Ledger'!P1822-IF(AND('Artifact Ledger'!L1822=1,'Artifact Ledger'!M1822=1,'Artifact Ledger'!N1822=1,'Artifact Ledger'!O1822&gt;='Artifact Ledger'!G1822),'Artifact Ledger'!K1822,0))&lt;0.000001,1,0)</x:f>
        <x:v>1</x:v>
      </x:c>
      <x:c r="F4681" s="21" t="n">
        <x:v>1</x:v>
      </x:c>
      <x:c r="G4681" s="23" t="str">
        <x:f>IF(E4681=F4681,"PASS","FAIL")</x:f>
        <x:v>PASS</x:v>
      </x:c>
    </x:row>
    <x:row r="4682">
      <x:c r="B4682" s="21" t="str">
        <x:v>A04676</x:v>
      </x:c>
      <x:c r="C4682" s="21" t="str">
        <x:v>artifact</x:v>
      </x:c>
      <x:c r="D4682" s="21" t="str">
        <x:v>artifact 1816 planning state</x:v>
      </x:c>
      <x:c r="E4682" s="21" t="n">
        <x:f>IF(AND('Artifact Ledger'!Q1822="OPEN",'Artifact Ledger'!R1822="HOLD"),1,0)</x:f>
        <x:v>1</x:v>
      </x:c>
      <x:c r="F4682" s="21" t="n">
        <x:v>1</x:v>
      </x:c>
      <x:c r="G4682" s="23" t="str">
        <x:f>IF(E4682=F4682,"PASS","FAIL")</x:f>
        <x:v>PASS</x:v>
      </x:c>
    </x:row>
    <x:row r="4683">
      <x:c r="B4683" s="21" t="str">
        <x:v>A04677</x:v>
      </x:c>
      <x:c r="C4683" s="21" t="str">
        <x:v>artifact</x:v>
      </x:c>
      <x:c r="D4683" s="21" t="str">
        <x:v>artifact 1817 eligibility equation</x:v>
      </x:c>
      <x:c r="E4683" s="21" t="n">
        <x:f>IF(ABS('Artifact Ledger'!P1823-IF(AND('Artifact Ledger'!L1823=1,'Artifact Ledger'!M1823=1,'Artifact Ledger'!N1823=1,'Artifact Ledger'!O1823&gt;='Artifact Ledger'!G1823),'Artifact Ledger'!K1823,0))&lt;0.000001,1,0)</x:f>
        <x:v>1</x:v>
      </x:c>
      <x:c r="F4683" s="21" t="n">
        <x:v>1</x:v>
      </x:c>
      <x:c r="G4683" s="23" t="str">
        <x:f>IF(E4683=F4683,"PASS","FAIL")</x:f>
        <x:v>PASS</x:v>
      </x:c>
    </x:row>
    <x:row r="4684">
      <x:c r="B4684" s="21" t="str">
        <x:v>A04678</x:v>
      </x:c>
      <x:c r="C4684" s="21" t="str">
        <x:v>artifact</x:v>
      </x:c>
      <x:c r="D4684" s="21" t="str">
        <x:v>artifact 1817 planning state</x:v>
      </x:c>
      <x:c r="E4684" s="21" t="n">
        <x:f>IF(AND('Artifact Ledger'!Q1823="OPEN",'Artifact Ledger'!R1823="HOLD"),1,0)</x:f>
        <x:v>1</x:v>
      </x:c>
      <x:c r="F4684" s="21" t="n">
        <x:v>1</x:v>
      </x:c>
      <x:c r="G4684" s="23" t="str">
        <x:f>IF(E4684=F4684,"PASS","FAIL")</x:f>
        <x:v>PASS</x:v>
      </x:c>
    </x:row>
    <x:row r="4685">
      <x:c r="B4685" s="21" t="str">
        <x:v>A04679</x:v>
      </x:c>
      <x:c r="C4685" s="21" t="str">
        <x:v>artifact</x:v>
      </x:c>
      <x:c r="D4685" s="21" t="str">
        <x:v>artifact 1818 eligibility equation</x:v>
      </x:c>
      <x:c r="E4685" s="21" t="n">
        <x:f>IF(ABS('Artifact Ledger'!P1824-IF(AND('Artifact Ledger'!L1824=1,'Artifact Ledger'!M1824=1,'Artifact Ledger'!N1824=1,'Artifact Ledger'!O1824&gt;='Artifact Ledger'!G1824),'Artifact Ledger'!K1824,0))&lt;0.000001,1,0)</x:f>
        <x:v>1</x:v>
      </x:c>
      <x:c r="F4685" s="21" t="n">
        <x:v>1</x:v>
      </x:c>
      <x:c r="G4685" s="23" t="str">
        <x:f>IF(E4685=F4685,"PASS","FAIL")</x:f>
        <x:v>PASS</x:v>
      </x:c>
    </x:row>
    <x:row r="4686">
      <x:c r="B4686" s="21" t="str">
        <x:v>A04680</x:v>
      </x:c>
      <x:c r="C4686" s="21" t="str">
        <x:v>artifact</x:v>
      </x:c>
      <x:c r="D4686" s="21" t="str">
        <x:v>artifact 1818 planning state</x:v>
      </x:c>
      <x:c r="E4686" s="21" t="n">
        <x:f>IF(AND('Artifact Ledger'!Q1824="OPEN",'Artifact Ledger'!R1824="HOLD"),1,0)</x:f>
        <x:v>1</x:v>
      </x:c>
      <x:c r="F4686" s="21" t="n">
        <x:v>1</x:v>
      </x:c>
      <x:c r="G4686" s="23" t="str">
        <x:f>IF(E4686=F4686,"PASS","FAIL")</x:f>
        <x:v>PASS</x:v>
      </x:c>
    </x:row>
    <x:row r="4687">
      <x:c r="B4687" s="21" t="str">
        <x:v>A04681</x:v>
      </x:c>
      <x:c r="C4687" s="21" t="str">
        <x:v>artifact</x:v>
      </x:c>
      <x:c r="D4687" s="21" t="str">
        <x:v>artifact 1819 eligibility equation</x:v>
      </x:c>
      <x:c r="E4687" s="21" t="n">
        <x:f>IF(ABS('Artifact Ledger'!P1825-IF(AND('Artifact Ledger'!L1825=1,'Artifact Ledger'!M1825=1,'Artifact Ledger'!N1825=1,'Artifact Ledger'!O1825&gt;='Artifact Ledger'!G1825),'Artifact Ledger'!K1825,0))&lt;0.000001,1,0)</x:f>
        <x:v>1</x:v>
      </x:c>
      <x:c r="F4687" s="21" t="n">
        <x:v>1</x:v>
      </x:c>
      <x:c r="G4687" s="23" t="str">
        <x:f>IF(E4687=F4687,"PASS","FAIL")</x:f>
        <x:v>PASS</x:v>
      </x:c>
    </x:row>
    <x:row r="4688">
      <x:c r="B4688" s="21" t="str">
        <x:v>A04682</x:v>
      </x:c>
      <x:c r="C4688" s="21" t="str">
        <x:v>artifact</x:v>
      </x:c>
      <x:c r="D4688" s="21" t="str">
        <x:v>artifact 1819 planning state</x:v>
      </x:c>
      <x:c r="E4688" s="21" t="n">
        <x:f>IF(AND('Artifact Ledger'!Q1825="OPEN",'Artifact Ledger'!R1825="HOLD"),1,0)</x:f>
        <x:v>1</x:v>
      </x:c>
      <x:c r="F4688" s="21" t="n">
        <x:v>1</x:v>
      </x:c>
      <x:c r="G4688" s="23" t="str">
        <x:f>IF(E4688=F4688,"PASS","FAIL")</x:f>
        <x:v>PASS</x:v>
      </x:c>
    </x:row>
    <x:row r="4689">
      <x:c r="B4689" s="21" t="str">
        <x:v>A04683</x:v>
      </x:c>
      <x:c r="C4689" s="21" t="str">
        <x:v>artifact</x:v>
      </x:c>
      <x:c r="D4689" s="21" t="str">
        <x:v>artifact 1820 eligibility equation</x:v>
      </x:c>
      <x:c r="E4689" s="21" t="n">
        <x:f>IF(ABS('Artifact Ledger'!P1826-IF(AND('Artifact Ledger'!L1826=1,'Artifact Ledger'!M1826=1,'Artifact Ledger'!N1826=1,'Artifact Ledger'!O1826&gt;='Artifact Ledger'!G1826),'Artifact Ledger'!K1826,0))&lt;0.000001,1,0)</x:f>
        <x:v>1</x:v>
      </x:c>
      <x:c r="F4689" s="21" t="n">
        <x:v>1</x:v>
      </x:c>
      <x:c r="G4689" s="23" t="str">
        <x:f>IF(E4689=F4689,"PASS","FAIL")</x:f>
        <x:v>PASS</x:v>
      </x:c>
    </x:row>
    <x:row r="4690">
      <x:c r="B4690" s="21" t="str">
        <x:v>A04684</x:v>
      </x:c>
      <x:c r="C4690" s="21" t="str">
        <x:v>artifact</x:v>
      </x:c>
      <x:c r="D4690" s="21" t="str">
        <x:v>artifact 1820 planning state</x:v>
      </x:c>
      <x:c r="E4690" s="21" t="n">
        <x:f>IF(AND('Artifact Ledger'!Q1826="OPEN",'Artifact Ledger'!R1826="HOLD"),1,0)</x:f>
        <x:v>1</x:v>
      </x:c>
      <x:c r="F4690" s="21" t="n">
        <x:v>1</x:v>
      </x:c>
      <x:c r="G4690" s="23" t="str">
        <x:f>IF(E4690=F4690,"PASS","FAIL")</x:f>
        <x:v>PASS</x:v>
      </x:c>
    </x:row>
    <x:row r="4691">
      <x:c r="B4691" s="21" t="str">
        <x:v>A04685</x:v>
      </x:c>
      <x:c r="C4691" s="21" t="str">
        <x:v>artifact</x:v>
      </x:c>
      <x:c r="D4691" s="21" t="str">
        <x:v>artifact 1821 eligibility equation</x:v>
      </x:c>
      <x:c r="E4691" s="21" t="n">
        <x:f>IF(ABS('Artifact Ledger'!P1827-IF(AND('Artifact Ledger'!L1827=1,'Artifact Ledger'!M1827=1,'Artifact Ledger'!N1827=1,'Artifact Ledger'!O1827&gt;='Artifact Ledger'!G1827),'Artifact Ledger'!K1827,0))&lt;0.000001,1,0)</x:f>
        <x:v>1</x:v>
      </x:c>
      <x:c r="F4691" s="21" t="n">
        <x:v>1</x:v>
      </x:c>
      <x:c r="G4691" s="23" t="str">
        <x:f>IF(E4691=F4691,"PASS","FAIL")</x:f>
        <x:v>PASS</x:v>
      </x:c>
    </x:row>
    <x:row r="4692">
      <x:c r="B4692" s="21" t="str">
        <x:v>A04686</x:v>
      </x:c>
      <x:c r="C4692" s="21" t="str">
        <x:v>artifact</x:v>
      </x:c>
      <x:c r="D4692" s="21" t="str">
        <x:v>artifact 1821 planning state</x:v>
      </x:c>
      <x:c r="E4692" s="21" t="n">
        <x:f>IF(AND('Artifact Ledger'!Q1827="OPEN",'Artifact Ledger'!R1827="HOLD"),1,0)</x:f>
        <x:v>1</x:v>
      </x:c>
      <x:c r="F4692" s="21" t="n">
        <x:v>1</x:v>
      </x:c>
      <x:c r="G4692" s="23" t="str">
        <x:f>IF(E4692=F4692,"PASS","FAIL")</x:f>
        <x:v>PASS</x:v>
      </x:c>
    </x:row>
    <x:row r="4693">
      <x:c r="B4693" s="21" t="str">
        <x:v>A04687</x:v>
      </x:c>
      <x:c r="C4693" s="21" t="str">
        <x:v>artifact</x:v>
      </x:c>
      <x:c r="D4693" s="21" t="str">
        <x:v>artifact 1822 eligibility equation</x:v>
      </x:c>
      <x:c r="E4693" s="21" t="n">
        <x:f>IF(ABS('Artifact Ledger'!P1828-IF(AND('Artifact Ledger'!L1828=1,'Artifact Ledger'!M1828=1,'Artifact Ledger'!N1828=1,'Artifact Ledger'!O1828&gt;='Artifact Ledger'!G1828),'Artifact Ledger'!K1828,0))&lt;0.000001,1,0)</x:f>
        <x:v>1</x:v>
      </x:c>
      <x:c r="F4693" s="21" t="n">
        <x:v>1</x:v>
      </x:c>
      <x:c r="G4693" s="23" t="str">
        <x:f>IF(E4693=F4693,"PASS","FAIL")</x:f>
        <x:v>PASS</x:v>
      </x:c>
    </x:row>
    <x:row r="4694">
      <x:c r="B4694" s="21" t="str">
        <x:v>A04688</x:v>
      </x:c>
      <x:c r="C4694" s="21" t="str">
        <x:v>artifact</x:v>
      </x:c>
      <x:c r="D4694" s="21" t="str">
        <x:v>artifact 1822 planning state</x:v>
      </x:c>
      <x:c r="E4694" s="21" t="n">
        <x:f>IF(AND('Artifact Ledger'!Q1828="OPEN",'Artifact Ledger'!R1828="HOLD"),1,0)</x:f>
        <x:v>1</x:v>
      </x:c>
      <x:c r="F4694" s="21" t="n">
        <x:v>1</x:v>
      </x:c>
      <x:c r="G4694" s="23" t="str">
        <x:f>IF(E4694=F4694,"PASS","FAIL")</x:f>
        <x:v>PASS</x:v>
      </x:c>
    </x:row>
    <x:row r="4695">
      <x:c r="B4695" s="21" t="str">
        <x:v>A04689</x:v>
      </x:c>
      <x:c r="C4695" s="21" t="str">
        <x:v>artifact</x:v>
      </x:c>
      <x:c r="D4695" s="21" t="str">
        <x:v>artifact 1823 eligibility equation</x:v>
      </x:c>
      <x:c r="E4695" s="21" t="n">
        <x:f>IF(ABS('Artifact Ledger'!P1829-IF(AND('Artifact Ledger'!L1829=1,'Artifact Ledger'!M1829=1,'Artifact Ledger'!N1829=1,'Artifact Ledger'!O1829&gt;='Artifact Ledger'!G1829),'Artifact Ledger'!K1829,0))&lt;0.000001,1,0)</x:f>
        <x:v>1</x:v>
      </x:c>
      <x:c r="F4695" s="21" t="n">
        <x:v>1</x:v>
      </x:c>
      <x:c r="G4695" s="23" t="str">
        <x:f>IF(E4695=F4695,"PASS","FAIL")</x:f>
        <x:v>PASS</x:v>
      </x:c>
    </x:row>
    <x:row r="4696">
      <x:c r="B4696" s="21" t="str">
        <x:v>A04690</x:v>
      </x:c>
      <x:c r="C4696" s="21" t="str">
        <x:v>artifact</x:v>
      </x:c>
      <x:c r="D4696" s="21" t="str">
        <x:v>artifact 1823 planning state</x:v>
      </x:c>
      <x:c r="E4696" s="21" t="n">
        <x:f>IF(AND('Artifact Ledger'!Q1829="OPEN",'Artifact Ledger'!R1829="HOLD"),1,0)</x:f>
        <x:v>1</x:v>
      </x:c>
      <x:c r="F4696" s="21" t="n">
        <x:v>1</x:v>
      </x:c>
      <x:c r="G4696" s="23" t="str">
        <x:f>IF(E4696=F4696,"PASS","FAIL")</x:f>
        <x:v>PASS</x:v>
      </x:c>
    </x:row>
    <x:row r="4697">
      <x:c r="B4697" s="21" t="str">
        <x:v>A04691</x:v>
      </x:c>
      <x:c r="C4697" s="21" t="str">
        <x:v>artifact</x:v>
      </x:c>
      <x:c r="D4697" s="21" t="str">
        <x:v>artifact 1824 eligibility equation</x:v>
      </x:c>
      <x:c r="E4697" s="21" t="n">
        <x:f>IF(ABS('Artifact Ledger'!P1830-IF(AND('Artifact Ledger'!L1830=1,'Artifact Ledger'!M1830=1,'Artifact Ledger'!N1830=1,'Artifact Ledger'!O1830&gt;='Artifact Ledger'!G1830),'Artifact Ledger'!K1830,0))&lt;0.000001,1,0)</x:f>
        <x:v>1</x:v>
      </x:c>
      <x:c r="F4697" s="21" t="n">
        <x:v>1</x:v>
      </x:c>
      <x:c r="G4697" s="23" t="str">
        <x:f>IF(E4697=F4697,"PASS","FAIL")</x:f>
        <x:v>PASS</x:v>
      </x:c>
    </x:row>
    <x:row r="4698">
      <x:c r="B4698" s="21" t="str">
        <x:v>A04692</x:v>
      </x:c>
      <x:c r="C4698" s="21" t="str">
        <x:v>artifact</x:v>
      </x:c>
      <x:c r="D4698" s="21" t="str">
        <x:v>artifact 1824 planning state</x:v>
      </x:c>
      <x:c r="E4698" s="21" t="n">
        <x:f>IF(AND('Artifact Ledger'!Q1830="OPEN",'Artifact Ledger'!R1830="HOLD"),1,0)</x:f>
        <x:v>1</x:v>
      </x:c>
      <x:c r="F4698" s="21" t="n">
        <x:v>1</x:v>
      </x:c>
      <x:c r="G4698" s="23" t="str">
        <x:f>IF(E4698=F4698,"PASS","FAIL")</x:f>
        <x:v>PASS</x:v>
      </x:c>
    </x:row>
    <x:row r="4699">
      <x:c r="B4699" s="21" t="str">
        <x:v>A04693</x:v>
      </x:c>
      <x:c r="C4699" s="21" t="str">
        <x:v>artifact</x:v>
      </x:c>
      <x:c r="D4699" s="21" t="str">
        <x:v>artifact 1825 eligibility equation</x:v>
      </x:c>
      <x:c r="E4699" s="21" t="n">
        <x:f>IF(ABS('Artifact Ledger'!P1831-IF(AND('Artifact Ledger'!L1831=1,'Artifact Ledger'!M1831=1,'Artifact Ledger'!N1831=1,'Artifact Ledger'!O1831&gt;='Artifact Ledger'!G1831),'Artifact Ledger'!K1831,0))&lt;0.000001,1,0)</x:f>
        <x:v>1</x:v>
      </x:c>
      <x:c r="F4699" s="21" t="n">
        <x:v>1</x:v>
      </x:c>
      <x:c r="G4699" s="23" t="str">
        <x:f>IF(E4699=F4699,"PASS","FAIL")</x:f>
        <x:v>PASS</x:v>
      </x:c>
    </x:row>
    <x:row r="4700">
      <x:c r="B4700" s="21" t="str">
        <x:v>A04694</x:v>
      </x:c>
      <x:c r="C4700" s="21" t="str">
        <x:v>artifact</x:v>
      </x:c>
      <x:c r="D4700" s="21" t="str">
        <x:v>artifact 1825 planning state</x:v>
      </x:c>
      <x:c r="E4700" s="21" t="n">
        <x:f>IF(AND('Artifact Ledger'!Q1831="OPEN",'Artifact Ledger'!R1831="HOLD"),1,0)</x:f>
        <x:v>1</x:v>
      </x:c>
      <x:c r="F4700" s="21" t="n">
        <x:v>1</x:v>
      </x:c>
      <x:c r="G4700" s="23" t="str">
        <x:f>IF(E4700=F4700,"PASS","FAIL")</x:f>
        <x:v>PASS</x:v>
      </x:c>
    </x:row>
    <x:row r="4701">
      <x:c r="B4701" s="21" t="str">
        <x:v>A04695</x:v>
      </x:c>
      <x:c r="C4701" s="21" t="str">
        <x:v>artifact</x:v>
      </x:c>
      <x:c r="D4701" s="21" t="str">
        <x:v>artifact 1826 eligibility equation</x:v>
      </x:c>
      <x:c r="E4701" s="21" t="n">
        <x:f>IF(ABS('Artifact Ledger'!P1832-IF(AND('Artifact Ledger'!L1832=1,'Artifact Ledger'!M1832=1,'Artifact Ledger'!N1832=1,'Artifact Ledger'!O1832&gt;='Artifact Ledger'!G1832),'Artifact Ledger'!K1832,0))&lt;0.000001,1,0)</x:f>
        <x:v>1</x:v>
      </x:c>
      <x:c r="F4701" s="21" t="n">
        <x:v>1</x:v>
      </x:c>
      <x:c r="G4701" s="23" t="str">
        <x:f>IF(E4701=F4701,"PASS","FAIL")</x:f>
        <x:v>PASS</x:v>
      </x:c>
    </x:row>
    <x:row r="4702">
      <x:c r="B4702" s="21" t="str">
        <x:v>A04696</x:v>
      </x:c>
      <x:c r="C4702" s="21" t="str">
        <x:v>artifact</x:v>
      </x:c>
      <x:c r="D4702" s="21" t="str">
        <x:v>artifact 1826 planning state</x:v>
      </x:c>
      <x:c r="E4702" s="21" t="n">
        <x:f>IF(AND('Artifact Ledger'!Q1832="OPEN",'Artifact Ledger'!R1832="HOLD"),1,0)</x:f>
        <x:v>1</x:v>
      </x:c>
      <x:c r="F4702" s="21" t="n">
        <x:v>1</x:v>
      </x:c>
      <x:c r="G4702" s="23" t="str">
        <x:f>IF(E4702=F4702,"PASS","FAIL")</x:f>
        <x:v>PASS</x:v>
      </x:c>
    </x:row>
    <x:row r="4703">
      <x:c r="B4703" s="21" t="str">
        <x:v>A04697</x:v>
      </x:c>
      <x:c r="C4703" s="21" t="str">
        <x:v>artifact</x:v>
      </x:c>
      <x:c r="D4703" s="21" t="str">
        <x:v>artifact 1827 eligibility equation</x:v>
      </x:c>
      <x:c r="E4703" s="21" t="n">
        <x:f>IF(ABS('Artifact Ledger'!P1833-IF(AND('Artifact Ledger'!L1833=1,'Artifact Ledger'!M1833=1,'Artifact Ledger'!N1833=1,'Artifact Ledger'!O1833&gt;='Artifact Ledger'!G1833),'Artifact Ledger'!K1833,0))&lt;0.000001,1,0)</x:f>
        <x:v>1</x:v>
      </x:c>
      <x:c r="F4703" s="21" t="n">
        <x:v>1</x:v>
      </x:c>
      <x:c r="G4703" s="23" t="str">
        <x:f>IF(E4703=F4703,"PASS","FAIL")</x:f>
        <x:v>PASS</x:v>
      </x:c>
    </x:row>
    <x:row r="4704">
      <x:c r="B4704" s="21" t="str">
        <x:v>A04698</x:v>
      </x:c>
      <x:c r="C4704" s="21" t="str">
        <x:v>artifact</x:v>
      </x:c>
      <x:c r="D4704" s="21" t="str">
        <x:v>artifact 1827 planning state</x:v>
      </x:c>
      <x:c r="E4704" s="21" t="n">
        <x:f>IF(AND('Artifact Ledger'!Q1833="OPEN",'Artifact Ledger'!R1833="HOLD"),1,0)</x:f>
        <x:v>1</x:v>
      </x:c>
      <x:c r="F4704" s="21" t="n">
        <x:v>1</x:v>
      </x:c>
      <x:c r="G4704" s="23" t="str">
        <x:f>IF(E4704=F4704,"PASS","FAIL")</x:f>
        <x:v>PASS</x:v>
      </x:c>
    </x:row>
    <x:row r="4705">
      <x:c r="B4705" s="21" t="str">
        <x:v>A04699</x:v>
      </x:c>
      <x:c r="C4705" s="21" t="str">
        <x:v>artifact</x:v>
      </x:c>
      <x:c r="D4705" s="21" t="str">
        <x:v>artifact 1828 eligibility equation</x:v>
      </x:c>
      <x:c r="E4705" s="21" t="n">
        <x:f>IF(ABS('Artifact Ledger'!P1834-IF(AND('Artifact Ledger'!L1834=1,'Artifact Ledger'!M1834=1,'Artifact Ledger'!N1834=1,'Artifact Ledger'!O1834&gt;='Artifact Ledger'!G1834),'Artifact Ledger'!K1834,0))&lt;0.000001,1,0)</x:f>
        <x:v>1</x:v>
      </x:c>
      <x:c r="F4705" s="21" t="n">
        <x:v>1</x:v>
      </x:c>
      <x:c r="G4705" s="23" t="str">
        <x:f>IF(E4705=F4705,"PASS","FAIL")</x:f>
        <x:v>PASS</x:v>
      </x:c>
    </x:row>
    <x:row r="4706">
      <x:c r="B4706" s="21" t="str">
        <x:v>A04700</x:v>
      </x:c>
      <x:c r="C4706" s="21" t="str">
        <x:v>artifact</x:v>
      </x:c>
      <x:c r="D4706" s="21" t="str">
        <x:v>artifact 1828 planning state</x:v>
      </x:c>
      <x:c r="E4706" s="21" t="n">
        <x:f>IF(AND('Artifact Ledger'!Q1834="OPEN",'Artifact Ledger'!R1834="HOLD"),1,0)</x:f>
        <x:v>1</x:v>
      </x:c>
      <x:c r="F4706" s="21" t="n">
        <x:v>1</x:v>
      </x:c>
      <x:c r="G4706" s="23" t="str">
        <x:f>IF(E4706=F4706,"PASS","FAIL")</x:f>
        <x:v>PASS</x:v>
      </x:c>
    </x:row>
    <x:row r="4707">
      <x:c r="B4707" s="21" t="str">
        <x:v>A04701</x:v>
      </x:c>
      <x:c r="C4707" s="21" t="str">
        <x:v>artifact</x:v>
      </x:c>
      <x:c r="D4707" s="21" t="str">
        <x:v>artifact 1829 eligibility equation</x:v>
      </x:c>
      <x:c r="E4707" s="21" t="n">
        <x:f>IF(ABS('Artifact Ledger'!P1835-IF(AND('Artifact Ledger'!L1835=1,'Artifact Ledger'!M1835=1,'Artifact Ledger'!N1835=1,'Artifact Ledger'!O1835&gt;='Artifact Ledger'!G1835),'Artifact Ledger'!K1835,0))&lt;0.000001,1,0)</x:f>
        <x:v>1</x:v>
      </x:c>
      <x:c r="F4707" s="21" t="n">
        <x:v>1</x:v>
      </x:c>
      <x:c r="G4707" s="23" t="str">
        <x:f>IF(E4707=F4707,"PASS","FAIL")</x:f>
        <x:v>PASS</x:v>
      </x:c>
    </x:row>
    <x:row r="4708">
      <x:c r="B4708" s="21" t="str">
        <x:v>A04702</x:v>
      </x:c>
      <x:c r="C4708" s="21" t="str">
        <x:v>artifact</x:v>
      </x:c>
      <x:c r="D4708" s="21" t="str">
        <x:v>artifact 1829 planning state</x:v>
      </x:c>
      <x:c r="E4708" s="21" t="n">
        <x:f>IF(AND('Artifact Ledger'!Q1835="OPEN",'Artifact Ledger'!R1835="HOLD"),1,0)</x:f>
        <x:v>1</x:v>
      </x:c>
      <x:c r="F4708" s="21" t="n">
        <x:v>1</x:v>
      </x:c>
      <x:c r="G4708" s="23" t="str">
        <x:f>IF(E4708=F4708,"PASS","FAIL")</x:f>
        <x:v>PASS</x:v>
      </x:c>
    </x:row>
    <x:row r="4709">
      <x:c r="B4709" s="21" t="str">
        <x:v>A04703</x:v>
      </x:c>
      <x:c r="C4709" s="21" t="str">
        <x:v>artifact</x:v>
      </x:c>
      <x:c r="D4709" s="21" t="str">
        <x:v>artifact 1830 eligibility equation</x:v>
      </x:c>
      <x:c r="E4709" s="21" t="n">
        <x:f>IF(ABS('Artifact Ledger'!P1836-IF(AND('Artifact Ledger'!L1836=1,'Artifact Ledger'!M1836=1,'Artifact Ledger'!N1836=1,'Artifact Ledger'!O1836&gt;='Artifact Ledger'!G1836),'Artifact Ledger'!K1836,0))&lt;0.000001,1,0)</x:f>
        <x:v>1</x:v>
      </x:c>
      <x:c r="F4709" s="21" t="n">
        <x:v>1</x:v>
      </x:c>
      <x:c r="G4709" s="23" t="str">
        <x:f>IF(E4709=F4709,"PASS","FAIL")</x:f>
        <x:v>PASS</x:v>
      </x:c>
    </x:row>
    <x:row r="4710">
      <x:c r="B4710" s="21" t="str">
        <x:v>A04704</x:v>
      </x:c>
      <x:c r="C4710" s="21" t="str">
        <x:v>artifact</x:v>
      </x:c>
      <x:c r="D4710" s="21" t="str">
        <x:v>artifact 1830 planning state</x:v>
      </x:c>
      <x:c r="E4710" s="21" t="n">
        <x:f>IF(AND('Artifact Ledger'!Q1836="OPEN",'Artifact Ledger'!R1836="HOLD"),1,0)</x:f>
        <x:v>1</x:v>
      </x:c>
      <x:c r="F4710" s="21" t="n">
        <x:v>1</x:v>
      </x:c>
      <x:c r="G4710" s="23" t="str">
        <x:f>IF(E4710=F4710,"PASS","FAIL")</x:f>
        <x:v>PASS</x:v>
      </x:c>
    </x:row>
    <x:row r="4711">
      <x:c r="B4711" s="21" t="str">
        <x:v>A04705</x:v>
      </x:c>
      <x:c r="C4711" s="21" t="str">
        <x:v>artifact</x:v>
      </x:c>
      <x:c r="D4711" s="21" t="str">
        <x:v>artifact 1831 eligibility equation</x:v>
      </x:c>
      <x:c r="E4711" s="21" t="n">
        <x:f>IF(ABS('Artifact Ledger'!P1837-IF(AND('Artifact Ledger'!L1837=1,'Artifact Ledger'!M1837=1,'Artifact Ledger'!N1837=1,'Artifact Ledger'!O1837&gt;='Artifact Ledger'!G1837),'Artifact Ledger'!K1837,0))&lt;0.000001,1,0)</x:f>
        <x:v>1</x:v>
      </x:c>
      <x:c r="F4711" s="21" t="n">
        <x:v>1</x:v>
      </x:c>
      <x:c r="G4711" s="23" t="str">
        <x:f>IF(E4711=F4711,"PASS","FAIL")</x:f>
        <x:v>PASS</x:v>
      </x:c>
    </x:row>
    <x:row r="4712">
      <x:c r="B4712" s="21" t="str">
        <x:v>A04706</x:v>
      </x:c>
      <x:c r="C4712" s="21" t="str">
        <x:v>artifact</x:v>
      </x:c>
      <x:c r="D4712" s="21" t="str">
        <x:v>artifact 1831 planning state</x:v>
      </x:c>
      <x:c r="E4712" s="21" t="n">
        <x:f>IF(AND('Artifact Ledger'!Q1837="OPEN",'Artifact Ledger'!R1837="HOLD"),1,0)</x:f>
        <x:v>1</x:v>
      </x:c>
      <x:c r="F4712" s="21" t="n">
        <x:v>1</x:v>
      </x:c>
      <x:c r="G4712" s="23" t="str">
        <x:f>IF(E4712=F4712,"PASS","FAIL")</x:f>
        <x:v>PASS</x:v>
      </x:c>
    </x:row>
    <x:row r="4713">
      <x:c r="B4713" s="21" t="str">
        <x:v>A04707</x:v>
      </x:c>
      <x:c r="C4713" s="21" t="str">
        <x:v>artifact</x:v>
      </x:c>
      <x:c r="D4713" s="21" t="str">
        <x:v>artifact 1832 eligibility equation</x:v>
      </x:c>
      <x:c r="E4713" s="21" t="n">
        <x:f>IF(ABS('Artifact Ledger'!P1838-IF(AND('Artifact Ledger'!L1838=1,'Artifact Ledger'!M1838=1,'Artifact Ledger'!N1838=1,'Artifact Ledger'!O1838&gt;='Artifact Ledger'!G1838),'Artifact Ledger'!K1838,0))&lt;0.000001,1,0)</x:f>
        <x:v>1</x:v>
      </x:c>
      <x:c r="F4713" s="21" t="n">
        <x:v>1</x:v>
      </x:c>
      <x:c r="G4713" s="23" t="str">
        <x:f>IF(E4713=F4713,"PASS","FAIL")</x:f>
        <x:v>PASS</x:v>
      </x:c>
    </x:row>
    <x:row r="4714">
      <x:c r="B4714" s="21" t="str">
        <x:v>A04708</x:v>
      </x:c>
      <x:c r="C4714" s="21" t="str">
        <x:v>artifact</x:v>
      </x:c>
      <x:c r="D4714" s="21" t="str">
        <x:v>artifact 1832 planning state</x:v>
      </x:c>
      <x:c r="E4714" s="21" t="n">
        <x:f>IF(AND('Artifact Ledger'!Q1838="OPEN",'Artifact Ledger'!R1838="HOLD"),1,0)</x:f>
        <x:v>1</x:v>
      </x:c>
      <x:c r="F4714" s="21" t="n">
        <x:v>1</x:v>
      </x:c>
      <x:c r="G4714" s="23" t="str">
        <x:f>IF(E4714=F4714,"PASS","FAIL")</x:f>
        <x:v>PASS</x:v>
      </x:c>
    </x:row>
    <x:row r="4715">
      <x:c r="B4715" s="21" t="str">
        <x:v>A04709</x:v>
      </x:c>
      <x:c r="C4715" s="21" t="str">
        <x:v>artifact</x:v>
      </x:c>
      <x:c r="D4715" s="21" t="str">
        <x:v>artifact 1833 eligibility equation</x:v>
      </x:c>
      <x:c r="E4715" s="21" t="n">
        <x:f>IF(ABS('Artifact Ledger'!P1839-IF(AND('Artifact Ledger'!L1839=1,'Artifact Ledger'!M1839=1,'Artifact Ledger'!N1839=1,'Artifact Ledger'!O1839&gt;='Artifact Ledger'!G1839),'Artifact Ledger'!K1839,0))&lt;0.000001,1,0)</x:f>
        <x:v>1</x:v>
      </x:c>
      <x:c r="F4715" s="21" t="n">
        <x:v>1</x:v>
      </x:c>
      <x:c r="G4715" s="23" t="str">
        <x:f>IF(E4715=F4715,"PASS","FAIL")</x:f>
        <x:v>PASS</x:v>
      </x:c>
    </x:row>
    <x:row r="4716">
      <x:c r="B4716" s="21" t="str">
        <x:v>A04710</x:v>
      </x:c>
      <x:c r="C4716" s="21" t="str">
        <x:v>artifact</x:v>
      </x:c>
      <x:c r="D4716" s="21" t="str">
        <x:v>artifact 1833 planning state</x:v>
      </x:c>
      <x:c r="E4716" s="21" t="n">
        <x:f>IF(AND('Artifact Ledger'!Q1839="OPEN",'Artifact Ledger'!R1839="HOLD"),1,0)</x:f>
        <x:v>1</x:v>
      </x:c>
      <x:c r="F4716" s="21" t="n">
        <x:v>1</x:v>
      </x:c>
      <x:c r="G4716" s="23" t="str">
        <x:f>IF(E4716=F4716,"PASS","FAIL")</x:f>
        <x:v>PASS</x:v>
      </x:c>
    </x:row>
    <x:row r="4717">
      <x:c r="B4717" s="21" t="str">
        <x:v>A04711</x:v>
      </x:c>
      <x:c r="C4717" s="21" t="str">
        <x:v>artifact</x:v>
      </x:c>
      <x:c r="D4717" s="21" t="str">
        <x:v>artifact 1834 eligibility equation</x:v>
      </x:c>
      <x:c r="E4717" s="21" t="n">
        <x:f>IF(ABS('Artifact Ledger'!P1840-IF(AND('Artifact Ledger'!L1840=1,'Artifact Ledger'!M1840=1,'Artifact Ledger'!N1840=1,'Artifact Ledger'!O1840&gt;='Artifact Ledger'!G1840),'Artifact Ledger'!K1840,0))&lt;0.000001,1,0)</x:f>
        <x:v>1</x:v>
      </x:c>
      <x:c r="F4717" s="21" t="n">
        <x:v>1</x:v>
      </x:c>
      <x:c r="G4717" s="23" t="str">
        <x:f>IF(E4717=F4717,"PASS","FAIL")</x:f>
        <x:v>PASS</x:v>
      </x:c>
    </x:row>
    <x:row r="4718">
      <x:c r="B4718" s="21" t="str">
        <x:v>A04712</x:v>
      </x:c>
      <x:c r="C4718" s="21" t="str">
        <x:v>artifact</x:v>
      </x:c>
      <x:c r="D4718" s="21" t="str">
        <x:v>artifact 1834 planning state</x:v>
      </x:c>
      <x:c r="E4718" s="21" t="n">
        <x:f>IF(AND('Artifact Ledger'!Q1840="OPEN",'Artifact Ledger'!R1840="HOLD"),1,0)</x:f>
        <x:v>1</x:v>
      </x:c>
      <x:c r="F4718" s="21" t="n">
        <x:v>1</x:v>
      </x:c>
      <x:c r="G4718" s="23" t="str">
        <x:f>IF(E4718=F4718,"PASS","FAIL")</x:f>
        <x:v>PASS</x:v>
      </x:c>
    </x:row>
    <x:row r="4719">
      <x:c r="B4719" s="21" t="str">
        <x:v>A04713</x:v>
      </x:c>
      <x:c r="C4719" s="21" t="str">
        <x:v>artifact</x:v>
      </x:c>
      <x:c r="D4719" s="21" t="str">
        <x:v>artifact 1835 eligibility equation</x:v>
      </x:c>
      <x:c r="E4719" s="21" t="n">
        <x:f>IF(ABS('Artifact Ledger'!P1841-IF(AND('Artifact Ledger'!L1841=1,'Artifact Ledger'!M1841=1,'Artifact Ledger'!N1841=1,'Artifact Ledger'!O1841&gt;='Artifact Ledger'!G1841),'Artifact Ledger'!K1841,0))&lt;0.000001,1,0)</x:f>
        <x:v>1</x:v>
      </x:c>
      <x:c r="F4719" s="21" t="n">
        <x:v>1</x:v>
      </x:c>
      <x:c r="G4719" s="23" t="str">
        <x:f>IF(E4719=F4719,"PASS","FAIL")</x:f>
        <x:v>PASS</x:v>
      </x:c>
    </x:row>
    <x:row r="4720">
      <x:c r="B4720" s="21" t="str">
        <x:v>A04714</x:v>
      </x:c>
      <x:c r="C4720" s="21" t="str">
        <x:v>artifact</x:v>
      </x:c>
      <x:c r="D4720" s="21" t="str">
        <x:v>artifact 1835 planning state</x:v>
      </x:c>
      <x:c r="E4720" s="21" t="n">
        <x:f>IF(AND('Artifact Ledger'!Q1841="OPEN",'Artifact Ledger'!R1841="HOLD"),1,0)</x:f>
        <x:v>1</x:v>
      </x:c>
      <x:c r="F4720" s="21" t="n">
        <x:v>1</x:v>
      </x:c>
      <x:c r="G4720" s="23" t="str">
        <x:f>IF(E4720=F4720,"PASS","FAIL")</x:f>
        <x:v>PASS</x:v>
      </x:c>
    </x:row>
    <x:row r="4721">
      <x:c r="B4721" s="21" t="str">
        <x:v>A04715</x:v>
      </x:c>
      <x:c r="C4721" s="21" t="str">
        <x:v>artifact</x:v>
      </x:c>
      <x:c r="D4721" s="21" t="str">
        <x:v>artifact 1836 eligibility equation</x:v>
      </x:c>
      <x:c r="E4721" s="21" t="n">
        <x:f>IF(ABS('Artifact Ledger'!P1842-IF(AND('Artifact Ledger'!L1842=1,'Artifact Ledger'!M1842=1,'Artifact Ledger'!N1842=1,'Artifact Ledger'!O1842&gt;='Artifact Ledger'!G1842),'Artifact Ledger'!K1842,0))&lt;0.000001,1,0)</x:f>
        <x:v>1</x:v>
      </x:c>
      <x:c r="F4721" s="21" t="n">
        <x:v>1</x:v>
      </x:c>
      <x:c r="G4721" s="23" t="str">
        <x:f>IF(E4721=F4721,"PASS","FAIL")</x:f>
        <x:v>PASS</x:v>
      </x:c>
    </x:row>
    <x:row r="4722">
      <x:c r="B4722" s="21" t="str">
        <x:v>A04716</x:v>
      </x:c>
      <x:c r="C4722" s="21" t="str">
        <x:v>artifact</x:v>
      </x:c>
      <x:c r="D4722" s="21" t="str">
        <x:v>artifact 1836 planning state</x:v>
      </x:c>
      <x:c r="E4722" s="21" t="n">
        <x:f>IF(AND('Artifact Ledger'!Q1842="OPEN",'Artifact Ledger'!R1842="HOLD"),1,0)</x:f>
        <x:v>1</x:v>
      </x:c>
      <x:c r="F4722" s="21" t="n">
        <x:v>1</x:v>
      </x:c>
      <x:c r="G4722" s="23" t="str">
        <x:f>IF(E4722=F4722,"PASS","FAIL")</x:f>
        <x:v>PASS</x:v>
      </x:c>
    </x:row>
    <x:row r="4723">
      <x:c r="B4723" s="21" t="str">
        <x:v>A04717</x:v>
      </x:c>
      <x:c r="C4723" s="21" t="str">
        <x:v>artifact</x:v>
      </x:c>
      <x:c r="D4723" s="21" t="str">
        <x:v>artifact 1837 eligibility equation</x:v>
      </x:c>
      <x:c r="E4723" s="21" t="n">
        <x:f>IF(ABS('Artifact Ledger'!P1843-IF(AND('Artifact Ledger'!L1843=1,'Artifact Ledger'!M1843=1,'Artifact Ledger'!N1843=1,'Artifact Ledger'!O1843&gt;='Artifact Ledger'!G1843),'Artifact Ledger'!K1843,0))&lt;0.000001,1,0)</x:f>
        <x:v>1</x:v>
      </x:c>
      <x:c r="F4723" s="21" t="n">
        <x:v>1</x:v>
      </x:c>
      <x:c r="G4723" s="23" t="str">
        <x:f>IF(E4723=F4723,"PASS","FAIL")</x:f>
        <x:v>PASS</x:v>
      </x:c>
    </x:row>
    <x:row r="4724">
      <x:c r="B4724" s="21" t="str">
        <x:v>A04718</x:v>
      </x:c>
      <x:c r="C4724" s="21" t="str">
        <x:v>artifact</x:v>
      </x:c>
      <x:c r="D4724" s="21" t="str">
        <x:v>artifact 1837 planning state</x:v>
      </x:c>
      <x:c r="E4724" s="21" t="n">
        <x:f>IF(AND('Artifact Ledger'!Q1843="OPEN",'Artifact Ledger'!R1843="HOLD"),1,0)</x:f>
        <x:v>1</x:v>
      </x:c>
      <x:c r="F4724" s="21" t="n">
        <x:v>1</x:v>
      </x:c>
      <x:c r="G4724" s="23" t="str">
        <x:f>IF(E4724=F4724,"PASS","FAIL")</x:f>
        <x:v>PASS</x:v>
      </x:c>
    </x:row>
    <x:row r="4725">
      <x:c r="B4725" s="21" t="str">
        <x:v>A04719</x:v>
      </x:c>
      <x:c r="C4725" s="21" t="str">
        <x:v>artifact</x:v>
      </x:c>
      <x:c r="D4725" s="21" t="str">
        <x:v>artifact 1838 eligibility equation</x:v>
      </x:c>
      <x:c r="E4725" s="21" t="n">
        <x:f>IF(ABS('Artifact Ledger'!P1844-IF(AND('Artifact Ledger'!L1844=1,'Artifact Ledger'!M1844=1,'Artifact Ledger'!N1844=1,'Artifact Ledger'!O1844&gt;='Artifact Ledger'!G1844),'Artifact Ledger'!K1844,0))&lt;0.000001,1,0)</x:f>
        <x:v>1</x:v>
      </x:c>
      <x:c r="F4725" s="21" t="n">
        <x:v>1</x:v>
      </x:c>
      <x:c r="G4725" s="23" t="str">
        <x:f>IF(E4725=F4725,"PASS","FAIL")</x:f>
        <x:v>PASS</x:v>
      </x:c>
    </x:row>
    <x:row r="4726">
      <x:c r="B4726" s="21" t="str">
        <x:v>A04720</x:v>
      </x:c>
      <x:c r="C4726" s="21" t="str">
        <x:v>artifact</x:v>
      </x:c>
      <x:c r="D4726" s="21" t="str">
        <x:v>artifact 1838 planning state</x:v>
      </x:c>
      <x:c r="E4726" s="21" t="n">
        <x:f>IF(AND('Artifact Ledger'!Q1844="OPEN",'Artifact Ledger'!R1844="HOLD"),1,0)</x:f>
        <x:v>1</x:v>
      </x:c>
      <x:c r="F4726" s="21" t="n">
        <x:v>1</x:v>
      </x:c>
      <x:c r="G4726" s="23" t="str">
        <x:f>IF(E4726=F4726,"PASS","FAIL")</x:f>
        <x:v>PASS</x:v>
      </x:c>
    </x:row>
    <x:row r="4727">
      <x:c r="B4727" s="21" t="str">
        <x:v>A04721</x:v>
      </x:c>
      <x:c r="C4727" s="21" t="str">
        <x:v>artifact</x:v>
      </x:c>
      <x:c r="D4727" s="21" t="str">
        <x:v>artifact 1839 eligibility equation</x:v>
      </x:c>
      <x:c r="E4727" s="21" t="n">
        <x:f>IF(ABS('Artifact Ledger'!P1845-IF(AND('Artifact Ledger'!L1845=1,'Artifact Ledger'!M1845=1,'Artifact Ledger'!N1845=1,'Artifact Ledger'!O1845&gt;='Artifact Ledger'!G1845),'Artifact Ledger'!K1845,0))&lt;0.000001,1,0)</x:f>
        <x:v>1</x:v>
      </x:c>
      <x:c r="F4727" s="21" t="n">
        <x:v>1</x:v>
      </x:c>
      <x:c r="G4727" s="23" t="str">
        <x:f>IF(E4727=F4727,"PASS","FAIL")</x:f>
        <x:v>PASS</x:v>
      </x:c>
    </x:row>
    <x:row r="4728">
      <x:c r="B4728" s="21" t="str">
        <x:v>A04722</x:v>
      </x:c>
      <x:c r="C4728" s="21" t="str">
        <x:v>artifact</x:v>
      </x:c>
      <x:c r="D4728" s="21" t="str">
        <x:v>artifact 1839 planning state</x:v>
      </x:c>
      <x:c r="E4728" s="21" t="n">
        <x:f>IF(AND('Artifact Ledger'!Q1845="OPEN",'Artifact Ledger'!R1845="HOLD"),1,0)</x:f>
        <x:v>1</x:v>
      </x:c>
      <x:c r="F4728" s="21" t="n">
        <x:v>1</x:v>
      </x:c>
      <x:c r="G4728" s="23" t="str">
        <x:f>IF(E4728=F4728,"PASS","FAIL")</x:f>
        <x:v>PASS</x:v>
      </x:c>
    </x:row>
    <x:row r="4729">
      <x:c r="B4729" s="21" t="str">
        <x:v>A04723</x:v>
      </x:c>
      <x:c r="C4729" s="21" t="str">
        <x:v>artifact</x:v>
      </x:c>
      <x:c r="D4729" s="21" t="str">
        <x:v>artifact 1840 eligibility equation</x:v>
      </x:c>
      <x:c r="E4729" s="21" t="n">
        <x:f>IF(ABS('Artifact Ledger'!P1846-IF(AND('Artifact Ledger'!L1846=1,'Artifact Ledger'!M1846=1,'Artifact Ledger'!N1846=1,'Artifact Ledger'!O1846&gt;='Artifact Ledger'!G1846),'Artifact Ledger'!K1846,0))&lt;0.000001,1,0)</x:f>
        <x:v>1</x:v>
      </x:c>
      <x:c r="F4729" s="21" t="n">
        <x:v>1</x:v>
      </x:c>
      <x:c r="G4729" s="23" t="str">
        <x:f>IF(E4729=F4729,"PASS","FAIL")</x:f>
        <x:v>PASS</x:v>
      </x:c>
    </x:row>
    <x:row r="4730">
      <x:c r="B4730" s="21" t="str">
        <x:v>A04724</x:v>
      </x:c>
      <x:c r="C4730" s="21" t="str">
        <x:v>artifact</x:v>
      </x:c>
      <x:c r="D4730" s="21" t="str">
        <x:v>artifact 1840 planning state</x:v>
      </x:c>
      <x:c r="E4730" s="21" t="n">
        <x:f>IF(AND('Artifact Ledger'!Q1846="OPEN",'Artifact Ledger'!R1846="HOLD"),1,0)</x:f>
        <x:v>1</x:v>
      </x:c>
      <x:c r="F4730" s="21" t="n">
        <x:v>1</x:v>
      </x:c>
      <x:c r="G4730" s="23" t="str">
        <x:f>IF(E4730=F4730,"PASS","FAIL")</x:f>
        <x:v>PASS</x:v>
      </x:c>
    </x:row>
    <x:row r="4731">
      <x:c r="B4731" s="21" t="str">
        <x:v>A04725</x:v>
      </x:c>
      <x:c r="C4731" s="21" t="str">
        <x:v>artifact</x:v>
      </x:c>
      <x:c r="D4731" s="21" t="str">
        <x:v>artifact 1841 eligibility equation</x:v>
      </x:c>
      <x:c r="E4731" s="21" t="n">
        <x:f>IF(ABS('Artifact Ledger'!P1847-IF(AND('Artifact Ledger'!L1847=1,'Artifact Ledger'!M1847=1,'Artifact Ledger'!N1847=1,'Artifact Ledger'!O1847&gt;='Artifact Ledger'!G1847),'Artifact Ledger'!K1847,0))&lt;0.000001,1,0)</x:f>
        <x:v>1</x:v>
      </x:c>
      <x:c r="F4731" s="21" t="n">
        <x:v>1</x:v>
      </x:c>
      <x:c r="G4731" s="23" t="str">
        <x:f>IF(E4731=F4731,"PASS","FAIL")</x:f>
        <x:v>PASS</x:v>
      </x:c>
    </x:row>
    <x:row r="4732">
      <x:c r="B4732" s="21" t="str">
        <x:v>A04726</x:v>
      </x:c>
      <x:c r="C4732" s="21" t="str">
        <x:v>artifact</x:v>
      </x:c>
      <x:c r="D4732" s="21" t="str">
        <x:v>artifact 1841 planning state</x:v>
      </x:c>
      <x:c r="E4732" s="21" t="n">
        <x:f>IF(AND('Artifact Ledger'!Q1847="OPEN",'Artifact Ledger'!R1847="HOLD"),1,0)</x:f>
        <x:v>1</x:v>
      </x:c>
      <x:c r="F4732" s="21" t="n">
        <x:v>1</x:v>
      </x:c>
      <x:c r="G4732" s="23" t="str">
        <x:f>IF(E4732=F4732,"PASS","FAIL")</x:f>
        <x:v>PASS</x:v>
      </x:c>
    </x:row>
    <x:row r="4733">
      <x:c r="B4733" s="21" t="str">
        <x:v>A04727</x:v>
      </x:c>
      <x:c r="C4733" s="21" t="str">
        <x:v>artifact</x:v>
      </x:c>
      <x:c r="D4733" s="21" t="str">
        <x:v>artifact 1842 eligibility equation</x:v>
      </x:c>
      <x:c r="E4733" s="21" t="n">
        <x:f>IF(ABS('Artifact Ledger'!P1848-IF(AND('Artifact Ledger'!L1848=1,'Artifact Ledger'!M1848=1,'Artifact Ledger'!N1848=1,'Artifact Ledger'!O1848&gt;='Artifact Ledger'!G1848),'Artifact Ledger'!K1848,0))&lt;0.000001,1,0)</x:f>
        <x:v>1</x:v>
      </x:c>
      <x:c r="F4733" s="21" t="n">
        <x:v>1</x:v>
      </x:c>
      <x:c r="G4733" s="23" t="str">
        <x:f>IF(E4733=F4733,"PASS","FAIL")</x:f>
        <x:v>PASS</x:v>
      </x:c>
    </x:row>
    <x:row r="4734">
      <x:c r="B4734" s="21" t="str">
        <x:v>A04728</x:v>
      </x:c>
      <x:c r="C4734" s="21" t="str">
        <x:v>artifact</x:v>
      </x:c>
      <x:c r="D4734" s="21" t="str">
        <x:v>artifact 1842 planning state</x:v>
      </x:c>
      <x:c r="E4734" s="21" t="n">
        <x:f>IF(AND('Artifact Ledger'!Q1848="OPEN",'Artifact Ledger'!R1848="HOLD"),1,0)</x:f>
        <x:v>1</x:v>
      </x:c>
      <x:c r="F4734" s="21" t="n">
        <x:v>1</x:v>
      </x:c>
      <x:c r="G4734" s="23" t="str">
        <x:f>IF(E4734=F4734,"PASS","FAIL")</x:f>
        <x:v>PASS</x:v>
      </x:c>
    </x:row>
    <x:row r="4735">
      <x:c r="B4735" s="21" t="str">
        <x:v>A04729</x:v>
      </x:c>
      <x:c r="C4735" s="21" t="str">
        <x:v>artifact</x:v>
      </x:c>
      <x:c r="D4735" s="21" t="str">
        <x:v>artifact 1843 eligibility equation</x:v>
      </x:c>
      <x:c r="E4735" s="21" t="n">
        <x:f>IF(ABS('Artifact Ledger'!P1849-IF(AND('Artifact Ledger'!L1849=1,'Artifact Ledger'!M1849=1,'Artifact Ledger'!N1849=1,'Artifact Ledger'!O1849&gt;='Artifact Ledger'!G1849),'Artifact Ledger'!K1849,0))&lt;0.000001,1,0)</x:f>
        <x:v>1</x:v>
      </x:c>
      <x:c r="F4735" s="21" t="n">
        <x:v>1</x:v>
      </x:c>
      <x:c r="G4735" s="23" t="str">
        <x:f>IF(E4735=F4735,"PASS","FAIL")</x:f>
        <x:v>PASS</x:v>
      </x:c>
    </x:row>
    <x:row r="4736">
      <x:c r="B4736" s="21" t="str">
        <x:v>A04730</x:v>
      </x:c>
      <x:c r="C4736" s="21" t="str">
        <x:v>artifact</x:v>
      </x:c>
      <x:c r="D4736" s="21" t="str">
        <x:v>artifact 1843 planning state</x:v>
      </x:c>
      <x:c r="E4736" s="21" t="n">
        <x:f>IF(AND('Artifact Ledger'!Q1849="OPEN",'Artifact Ledger'!R1849="HOLD"),1,0)</x:f>
        <x:v>1</x:v>
      </x:c>
      <x:c r="F4736" s="21" t="n">
        <x:v>1</x:v>
      </x:c>
      <x:c r="G4736" s="23" t="str">
        <x:f>IF(E4736=F4736,"PASS","FAIL")</x:f>
        <x:v>PASS</x:v>
      </x:c>
    </x:row>
    <x:row r="4737">
      <x:c r="B4737" s="21" t="str">
        <x:v>A04731</x:v>
      </x:c>
      <x:c r="C4737" s="21" t="str">
        <x:v>artifact</x:v>
      </x:c>
      <x:c r="D4737" s="21" t="str">
        <x:v>artifact 1844 eligibility equation</x:v>
      </x:c>
      <x:c r="E4737" s="21" t="n">
        <x:f>IF(ABS('Artifact Ledger'!P1850-IF(AND('Artifact Ledger'!L1850=1,'Artifact Ledger'!M1850=1,'Artifact Ledger'!N1850=1,'Artifact Ledger'!O1850&gt;='Artifact Ledger'!G1850),'Artifact Ledger'!K1850,0))&lt;0.000001,1,0)</x:f>
        <x:v>1</x:v>
      </x:c>
      <x:c r="F4737" s="21" t="n">
        <x:v>1</x:v>
      </x:c>
      <x:c r="G4737" s="23" t="str">
        <x:f>IF(E4737=F4737,"PASS","FAIL")</x:f>
        <x:v>PASS</x:v>
      </x:c>
    </x:row>
    <x:row r="4738">
      <x:c r="B4738" s="21" t="str">
        <x:v>A04732</x:v>
      </x:c>
      <x:c r="C4738" s="21" t="str">
        <x:v>artifact</x:v>
      </x:c>
      <x:c r="D4738" s="21" t="str">
        <x:v>artifact 1844 planning state</x:v>
      </x:c>
      <x:c r="E4738" s="21" t="n">
        <x:f>IF(AND('Artifact Ledger'!Q1850="OPEN",'Artifact Ledger'!R1850="HOLD"),1,0)</x:f>
        <x:v>1</x:v>
      </x:c>
      <x:c r="F4738" s="21" t="n">
        <x:v>1</x:v>
      </x:c>
      <x:c r="G4738" s="23" t="str">
        <x:f>IF(E4738=F4738,"PASS","FAIL")</x:f>
        <x:v>PASS</x:v>
      </x:c>
    </x:row>
    <x:row r="4739">
      <x:c r="B4739" s="21" t="str">
        <x:v>A04733</x:v>
      </x:c>
      <x:c r="C4739" s="21" t="str">
        <x:v>artifact</x:v>
      </x:c>
      <x:c r="D4739" s="21" t="str">
        <x:v>artifact 1845 eligibility equation</x:v>
      </x:c>
      <x:c r="E4739" s="21" t="n">
        <x:f>IF(ABS('Artifact Ledger'!P1851-IF(AND('Artifact Ledger'!L1851=1,'Artifact Ledger'!M1851=1,'Artifact Ledger'!N1851=1,'Artifact Ledger'!O1851&gt;='Artifact Ledger'!G1851),'Artifact Ledger'!K1851,0))&lt;0.000001,1,0)</x:f>
        <x:v>1</x:v>
      </x:c>
      <x:c r="F4739" s="21" t="n">
        <x:v>1</x:v>
      </x:c>
      <x:c r="G4739" s="23" t="str">
        <x:f>IF(E4739=F4739,"PASS","FAIL")</x:f>
        <x:v>PASS</x:v>
      </x:c>
    </x:row>
    <x:row r="4740">
      <x:c r="B4740" s="21" t="str">
        <x:v>A04734</x:v>
      </x:c>
      <x:c r="C4740" s="21" t="str">
        <x:v>artifact</x:v>
      </x:c>
      <x:c r="D4740" s="21" t="str">
        <x:v>artifact 1845 planning state</x:v>
      </x:c>
      <x:c r="E4740" s="21" t="n">
        <x:f>IF(AND('Artifact Ledger'!Q1851="OPEN",'Artifact Ledger'!R1851="HOLD"),1,0)</x:f>
        <x:v>1</x:v>
      </x:c>
      <x:c r="F4740" s="21" t="n">
        <x:v>1</x:v>
      </x:c>
      <x:c r="G4740" s="23" t="str">
        <x:f>IF(E4740=F4740,"PASS","FAIL")</x:f>
        <x:v>PASS</x:v>
      </x:c>
    </x:row>
    <x:row r="4741">
      <x:c r="B4741" s="21" t="str">
        <x:v>A04735</x:v>
      </x:c>
      <x:c r="C4741" s="21" t="str">
        <x:v>artifact</x:v>
      </x:c>
      <x:c r="D4741" s="21" t="str">
        <x:v>artifact 1846 eligibility equation</x:v>
      </x:c>
      <x:c r="E4741" s="21" t="n">
        <x:f>IF(ABS('Artifact Ledger'!P1852-IF(AND('Artifact Ledger'!L1852=1,'Artifact Ledger'!M1852=1,'Artifact Ledger'!N1852=1,'Artifact Ledger'!O1852&gt;='Artifact Ledger'!G1852),'Artifact Ledger'!K1852,0))&lt;0.000001,1,0)</x:f>
        <x:v>1</x:v>
      </x:c>
      <x:c r="F4741" s="21" t="n">
        <x:v>1</x:v>
      </x:c>
      <x:c r="G4741" s="23" t="str">
        <x:f>IF(E4741=F4741,"PASS","FAIL")</x:f>
        <x:v>PASS</x:v>
      </x:c>
    </x:row>
    <x:row r="4742">
      <x:c r="B4742" s="21" t="str">
        <x:v>A04736</x:v>
      </x:c>
      <x:c r="C4742" s="21" t="str">
        <x:v>artifact</x:v>
      </x:c>
      <x:c r="D4742" s="21" t="str">
        <x:v>artifact 1846 planning state</x:v>
      </x:c>
      <x:c r="E4742" s="21" t="n">
        <x:f>IF(AND('Artifact Ledger'!Q1852="OPEN",'Artifact Ledger'!R1852="HOLD"),1,0)</x:f>
        <x:v>1</x:v>
      </x:c>
      <x:c r="F4742" s="21" t="n">
        <x:v>1</x:v>
      </x:c>
      <x:c r="G4742" s="23" t="str">
        <x:f>IF(E4742=F4742,"PASS","FAIL")</x:f>
        <x:v>PASS</x:v>
      </x:c>
    </x:row>
    <x:row r="4743">
      <x:c r="B4743" s="21" t="str">
        <x:v>A04737</x:v>
      </x:c>
      <x:c r="C4743" s="21" t="str">
        <x:v>artifact</x:v>
      </x:c>
      <x:c r="D4743" s="21" t="str">
        <x:v>artifact 1847 eligibility equation</x:v>
      </x:c>
      <x:c r="E4743" s="21" t="n">
        <x:f>IF(ABS('Artifact Ledger'!P1853-IF(AND('Artifact Ledger'!L1853=1,'Artifact Ledger'!M1853=1,'Artifact Ledger'!N1853=1,'Artifact Ledger'!O1853&gt;='Artifact Ledger'!G1853),'Artifact Ledger'!K1853,0))&lt;0.000001,1,0)</x:f>
        <x:v>1</x:v>
      </x:c>
      <x:c r="F4743" s="21" t="n">
        <x:v>1</x:v>
      </x:c>
      <x:c r="G4743" s="23" t="str">
        <x:f>IF(E4743=F4743,"PASS","FAIL")</x:f>
        <x:v>PASS</x:v>
      </x:c>
    </x:row>
    <x:row r="4744">
      <x:c r="B4744" s="21" t="str">
        <x:v>A04738</x:v>
      </x:c>
      <x:c r="C4744" s="21" t="str">
        <x:v>artifact</x:v>
      </x:c>
      <x:c r="D4744" s="21" t="str">
        <x:v>artifact 1847 planning state</x:v>
      </x:c>
      <x:c r="E4744" s="21" t="n">
        <x:f>IF(AND('Artifact Ledger'!Q1853="OPEN",'Artifact Ledger'!R1853="HOLD"),1,0)</x:f>
        <x:v>1</x:v>
      </x:c>
      <x:c r="F4744" s="21" t="n">
        <x:v>1</x:v>
      </x:c>
      <x:c r="G4744" s="23" t="str">
        <x:f>IF(E4744=F4744,"PASS","FAIL")</x:f>
        <x:v>PASS</x:v>
      </x:c>
    </x:row>
    <x:row r="4745">
      <x:c r="B4745" s="21" t="str">
        <x:v>A04739</x:v>
      </x:c>
      <x:c r="C4745" s="21" t="str">
        <x:v>artifact</x:v>
      </x:c>
      <x:c r="D4745" s="21" t="str">
        <x:v>artifact 1848 eligibility equation</x:v>
      </x:c>
      <x:c r="E4745" s="21" t="n">
        <x:f>IF(ABS('Artifact Ledger'!P1854-IF(AND('Artifact Ledger'!L1854=1,'Artifact Ledger'!M1854=1,'Artifact Ledger'!N1854=1,'Artifact Ledger'!O1854&gt;='Artifact Ledger'!G1854),'Artifact Ledger'!K1854,0))&lt;0.000001,1,0)</x:f>
        <x:v>1</x:v>
      </x:c>
      <x:c r="F4745" s="21" t="n">
        <x:v>1</x:v>
      </x:c>
      <x:c r="G4745" s="23" t="str">
        <x:f>IF(E4745=F4745,"PASS","FAIL")</x:f>
        <x:v>PASS</x:v>
      </x:c>
    </x:row>
    <x:row r="4746">
      <x:c r="B4746" s="21" t="str">
        <x:v>A04740</x:v>
      </x:c>
      <x:c r="C4746" s="21" t="str">
        <x:v>artifact</x:v>
      </x:c>
      <x:c r="D4746" s="21" t="str">
        <x:v>artifact 1848 planning state</x:v>
      </x:c>
      <x:c r="E4746" s="21" t="n">
        <x:f>IF(AND('Artifact Ledger'!Q1854="OPEN",'Artifact Ledger'!R1854="HOLD"),1,0)</x:f>
        <x:v>1</x:v>
      </x:c>
      <x:c r="F4746" s="21" t="n">
        <x:v>1</x:v>
      </x:c>
      <x:c r="G4746" s="23" t="str">
        <x:f>IF(E4746=F4746,"PASS","FAIL")</x:f>
        <x:v>PASS</x:v>
      </x:c>
    </x:row>
    <x:row r="4747">
      <x:c r="B4747" s="21" t="str">
        <x:v>A04741</x:v>
      </x:c>
      <x:c r="C4747" s="21" t="str">
        <x:v>artifact</x:v>
      </x:c>
      <x:c r="D4747" s="21" t="str">
        <x:v>artifact 1849 eligibility equation</x:v>
      </x:c>
      <x:c r="E4747" s="21" t="n">
        <x:f>IF(ABS('Artifact Ledger'!P1855-IF(AND('Artifact Ledger'!L1855=1,'Artifact Ledger'!M1855=1,'Artifact Ledger'!N1855=1,'Artifact Ledger'!O1855&gt;='Artifact Ledger'!G1855),'Artifact Ledger'!K1855,0))&lt;0.000001,1,0)</x:f>
        <x:v>1</x:v>
      </x:c>
      <x:c r="F4747" s="21" t="n">
        <x:v>1</x:v>
      </x:c>
      <x:c r="G4747" s="23" t="str">
        <x:f>IF(E4747=F4747,"PASS","FAIL")</x:f>
        <x:v>PASS</x:v>
      </x:c>
    </x:row>
    <x:row r="4748">
      <x:c r="B4748" s="21" t="str">
        <x:v>A04742</x:v>
      </x:c>
      <x:c r="C4748" s="21" t="str">
        <x:v>artifact</x:v>
      </x:c>
      <x:c r="D4748" s="21" t="str">
        <x:v>artifact 1849 planning state</x:v>
      </x:c>
      <x:c r="E4748" s="21" t="n">
        <x:f>IF(AND('Artifact Ledger'!Q1855="OPEN",'Artifact Ledger'!R1855="HOLD"),1,0)</x:f>
        <x:v>1</x:v>
      </x:c>
      <x:c r="F4748" s="21" t="n">
        <x:v>1</x:v>
      </x:c>
      <x:c r="G4748" s="23" t="str">
        <x:f>IF(E4748=F4748,"PASS","FAIL")</x:f>
        <x:v>PASS</x:v>
      </x:c>
    </x:row>
    <x:row r="4749">
      <x:c r="B4749" s="21" t="str">
        <x:v>A04743</x:v>
      </x:c>
      <x:c r="C4749" s="21" t="str">
        <x:v>artifact</x:v>
      </x:c>
      <x:c r="D4749" s="21" t="str">
        <x:v>artifact 1850 eligibility equation</x:v>
      </x:c>
      <x:c r="E4749" s="21" t="n">
        <x:f>IF(ABS('Artifact Ledger'!P1856-IF(AND('Artifact Ledger'!L1856=1,'Artifact Ledger'!M1856=1,'Artifact Ledger'!N1856=1,'Artifact Ledger'!O1856&gt;='Artifact Ledger'!G1856),'Artifact Ledger'!K1856,0))&lt;0.000001,1,0)</x:f>
        <x:v>1</x:v>
      </x:c>
      <x:c r="F4749" s="21" t="n">
        <x:v>1</x:v>
      </x:c>
      <x:c r="G4749" s="23" t="str">
        <x:f>IF(E4749=F4749,"PASS","FAIL")</x:f>
        <x:v>PASS</x:v>
      </x:c>
    </x:row>
    <x:row r="4750">
      <x:c r="B4750" s="21" t="str">
        <x:v>A04744</x:v>
      </x:c>
      <x:c r="C4750" s="21" t="str">
        <x:v>artifact</x:v>
      </x:c>
      <x:c r="D4750" s="21" t="str">
        <x:v>artifact 1850 planning state</x:v>
      </x:c>
      <x:c r="E4750" s="21" t="n">
        <x:f>IF(AND('Artifact Ledger'!Q1856="OPEN",'Artifact Ledger'!R1856="HOLD"),1,0)</x:f>
        <x:v>1</x:v>
      </x:c>
      <x:c r="F4750" s="21" t="n">
        <x:v>1</x:v>
      </x:c>
      <x:c r="G4750" s="23" t="str">
        <x:f>IF(E4750=F4750,"PASS","FAIL")</x:f>
        <x:v>PASS</x:v>
      </x:c>
    </x:row>
    <x:row r="4751">
      <x:c r="B4751" s="21" t="str">
        <x:v>A04745</x:v>
      </x:c>
      <x:c r="C4751" s="21" t="str">
        <x:v>artifact</x:v>
      </x:c>
      <x:c r="D4751" s="21" t="str">
        <x:v>artifact 1851 eligibility equation</x:v>
      </x:c>
      <x:c r="E4751" s="21" t="n">
        <x:f>IF(ABS('Artifact Ledger'!P1857-IF(AND('Artifact Ledger'!L1857=1,'Artifact Ledger'!M1857=1,'Artifact Ledger'!N1857=1,'Artifact Ledger'!O1857&gt;='Artifact Ledger'!G1857),'Artifact Ledger'!K1857,0))&lt;0.000001,1,0)</x:f>
        <x:v>1</x:v>
      </x:c>
      <x:c r="F4751" s="21" t="n">
        <x:v>1</x:v>
      </x:c>
      <x:c r="G4751" s="23" t="str">
        <x:f>IF(E4751=F4751,"PASS","FAIL")</x:f>
        <x:v>PASS</x:v>
      </x:c>
    </x:row>
    <x:row r="4752">
      <x:c r="B4752" s="21" t="str">
        <x:v>A04746</x:v>
      </x:c>
      <x:c r="C4752" s="21" t="str">
        <x:v>artifact</x:v>
      </x:c>
      <x:c r="D4752" s="21" t="str">
        <x:v>artifact 1851 planning state</x:v>
      </x:c>
      <x:c r="E4752" s="21" t="n">
        <x:f>IF(AND('Artifact Ledger'!Q1857="OPEN",'Artifact Ledger'!R1857="HOLD"),1,0)</x:f>
        <x:v>1</x:v>
      </x:c>
      <x:c r="F4752" s="21" t="n">
        <x:v>1</x:v>
      </x:c>
      <x:c r="G4752" s="23" t="str">
        <x:f>IF(E4752=F4752,"PASS","FAIL")</x:f>
        <x:v>PASS</x:v>
      </x:c>
    </x:row>
    <x:row r="4753">
      <x:c r="B4753" s="21" t="str">
        <x:v>A04747</x:v>
      </x:c>
      <x:c r="C4753" s="21" t="str">
        <x:v>artifact</x:v>
      </x:c>
      <x:c r="D4753" s="21" t="str">
        <x:v>artifact 1852 eligibility equation</x:v>
      </x:c>
      <x:c r="E4753" s="21" t="n">
        <x:f>IF(ABS('Artifact Ledger'!P1858-IF(AND('Artifact Ledger'!L1858=1,'Artifact Ledger'!M1858=1,'Artifact Ledger'!N1858=1,'Artifact Ledger'!O1858&gt;='Artifact Ledger'!G1858),'Artifact Ledger'!K1858,0))&lt;0.000001,1,0)</x:f>
        <x:v>1</x:v>
      </x:c>
      <x:c r="F4753" s="21" t="n">
        <x:v>1</x:v>
      </x:c>
      <x:c r="G4753" s="23" t="str">
        <x:f>IF(E4753=F4753,"PASS","FAIL")</x:f>
        <x:v>PASS</x:v>
      </x:c>
    </x:row>
    <x:row r="4754">
      <x:c r="B4754" s="21" t="str">
        <x:v>A04748</x:v>
      </x:c>
      <x:c r="C4754" s="21" t="str">
        <x:v>artifact</x:v>
      </x:c>
      <x:c r="D4754" s="21" t="str">
        <x:v>artifact 1852 planning state</x:v>
      </x:c>
      <x:c r="E4754" s="21" t="n">
        <x:f>IF(AND('Artifact Ledger'!Q1858="OPEN",'Artifact Ledger'!R1858="HOLD"),1,0)</x:f>
        <x:v>1</x:v>
      </x:c>
      <x:c r="F4754" s="21" t="n">
        <x:v>1</x:v>
      </x:c>
      <x:c r="G4754" s="23" t="str">
        <x:f>IF(E4754=F4754,"PASS","FAIL")</x:f>
        <x:v>PASS</x:v>
      </x:c>
    </x:row>
    <x:row r="4755">
      <x:c r="B4755" s="21" t="str">
        <x:v>A04749</x:v>
      </x:c>
      <x:c r="C4755" s="21" t="str">
        <x:v>artifact</x:v>
      </x:c>
      <x:c r="D4755" s="21" t="str">
        <x:v>artifact 1853 eligibility equation</x:v>
      </x:c>
      <x:c r="E4755" s="21" t="n">
        <x:f>IF(ABS('Artifact Ledger'!P1859-IF(AND('Artifact Ledger'!L1859=1,'Artifact Ledger'!M1859=1,'Artifact Ledger'!N1859=1,'Artifact Ledger'!O1859&gt;='Artifact Ledger'!G1859),'Artifact Ledger'!K1859,0))&lt;0.000001,1,0)</x:f>
        <x:v>1</x:v>
      </x:c>
      <x:c r="F4755" s="21" t="n">
        <x:v>1</x:v>
      </x:c>
      <x:c r="G4755" s="23" t="str">
        <x:f>IF(E4755=F4755,"PASS","FAIL")</x:f>
        <x:v>PASS</x:v>
      </x:c>
    </x:row>
    <x:row r="4756">
      <x:c r="B4756" s="21" t="str">
        <x:v>A04750</x:v>
      </x:c>
      <x:c r="C4756" s="21" t="str">
        <x:v>artifact</x:v>
      </x:c>
      <x:c r="D4756" s="21" t="str">
        <x:v>artifact 1853 planning state</x:v>
      </x:c>
      <x:c r="E4756" s="21" t="n">
        <x:f>IF(AND('Artifact Ledger'!Q1859="OPEN",'Artifact Ledger'!R1859="HOLD"),1,0)</x:f>
        <x:v>1</x:v>
      </x:c>
      <x:c r="F4756" s="21" t="n">
        <x:v>1</x:v>
      </x:c>
      <x:c r="G4756" s="23" t="str">
        <x:f>IF(E4756=F4756,"PASS","FAIL")</x:f>
        <x:v>PASS</x:v>
      </x:c>
    </x:row>
    <x:row r="4757">
      <x:c r="B4757" s="21" t="str">
        <x:v>A04751</x:v>
      </x:c>
      <x:c r="C4757" s="21" t="str">
        <x:v>artifact</x:v>
      </x:c>
      <x:c r="D4757" s="21" t="str">
        <x:v>artifact 1854 eligibility equation</x:v>
      </x:c>
      <x:c r="E4757" s="21" t="n">
        <x:f>IF(ABS('Artifact Ledger'!P1860-IF(AND('Artifact Ledger'!L1860=1,'Artifact Ledger'!M1860=1,'Artifact Ledger'!N1860=1,'Artifact Ledger'!O1860&gt;='Artifact Ledger'!G1860),'Artifact Ledger'!K1860,0))&lt;0.000001,1,0)</x:f>
        <x:v>1</x:v>
      </x:c>
      <x:c r="F4757" s="21" t="n">
        <x:v>1</x:v>
      </x:c>
      <x:c r="G4757" s="23" t="str">
        <x:f>IF(E4757=F4757,"PASS","FAIL")</x:f>
        <x:v>PASS</x:v>
      </x:c>
    </x:row>
    <x:row r="4758">
      <x:c r="B4758" s="21" t="str">
        <x:v>A04752</x:v>
      </x:c>
      <x:c r="C4758" s="21" t="str">
        <x:v>artifact</x:v>
      </x:c>
      <x:c r="D4758" s="21" t="str">
        <x:v>artifact 1854 planning state</x:v>
      </x:c>
      <x:c r="E4758" s="21" t="n">
        <x:f>IF(AND('Artifact Ledger'!Q1860="OPEN",'Artifact Ledger'!R1860="HOLD"),1,0)</x:f>
        <x:v>1</x:v>
      </x:c>
      <x:c r="F4758" s="21" t="n">
        <x:v>1</x:v>
      </x:c>
      <x:c r="G4758" s="23" t="str">
        <x:f>IF(E4758=F4758,"PASS","FAIL")</x:f>
        <x:v>PASS</x:v>
      </x:c>
    </x:row>
    <x:row r="4759">
      <x:c r="B4759" s="21" t="str">
        <x:v>A04753</x:v>
      </x:c>
      <x:c r="C4759" s="21" t="str">
        <x:v>artifact</x:v>
      </x:c>
      <x:c r="D4759" s="21" t="str">
        <x:v>artifact 1855 eligibility equation</x:v>
      </x:c>
      <x:c r="E4759" s="21" t="n">
        <x:f>IF(ABS('Artifact Ledger'!P1861-IF(AND('Artifact Ledger'!L1861=1,'Artifact Ledger'!M1861=1,'Artifact Ledger'!N1861=1,'Artifact Ledger'!O1861&gt;='Artifact Ledger'!G1861),'Artifact Ledger'!K1861,0))&lt;0.000001,1,0)</x:f>
        <x:v>1</x:v>
      </x:c>
      <x:c r="F4759" s="21" t="n">
        <x:v>1</x:v>
      </x:c>
      <x:c r="G4759" s="23" t="str">
        <x:f>IF(E4759=F4759,"PASS","FAIL")</x:f>
        <x:v>PASS</x:v>
      </x:c>
    </x:row>
    <x:row r="4760">
      <x:c r="B4760" s="21" t="str">
        <x:v>A04754</x:v>
      </x:c>
      <x:c r="C4760" s="21" t="str">
        <x:v>artifact</x:v>
      </x:c>
      <x:c r="D4760" s="21" t="str">
        <x:v>artifact 1855 planning state</x:v>
      </x:c>
      <x:c r="E4760" s="21" t="n">
        <x:f>IF(AND('Artifact Ledger'!Q1861="OPEN",'Artifact Ledger'!R1861="HOLD"),1,0)</x:f>
        <x:v>1</x:v>
      </x:c>
      <x:c r="F4760" s="21" t="n">
        <x:v>1</x:v>
      </x:c>
      <x:c r="G4760" s="23" t="str">
        <x:f>IF(E4760=F4760,"PASS","FAIL")</x:f>
        <x:v>PASS</x:v>
      </x:c>
    </x:row>
    <x:row r="4761">
      <x:c r="B4761" s="21" t="str">
        <x:v>A04755</x:v>
      </x:c>
      <x:c r="C4761" s="21" t="str">
        <x:v>artifact</x:v>
      </x:c>
      <x:c r="D4761" s="21" t="str">
        <x:v>artifact 1856 eligibility equation</x:v>
      </x:c>
      <x:c r="E4761" s="21" t="n">
        <x:f>IF(ABS('Artifact Ledger'!P1862-IF(AND('Artifact Ledger'!L1862=1,'Artifact Ledger'!M1862=1,'Artifact Ledger'!N1862=1,'Artifact Ledger'!O1862&gt;='Artifact Ledger'!G1862),'Artifact Ledger'!K1862,0))&lt;0.000001,1,0)</x:f>
        <x:v>1</x:v>
      </x:c>
      <x:c r="F4761" s="21" t="n">
        <x:v>1</x:v>
      </x:c>
      <x:c r="G4761" s="23" t="str">
        <x:f>IF(E4761=F4761,"PASS","FAIL")</x:f>
        <x:v>PASS</x:v>
      </x:c>
    </x:row>
    <x:row r="4762">
      <x:c r="B4762" s="21" t="str">
        <x:v>A04756</x:v>
      </x:c>
      <x:c r="C4762" s="21" t="str">
        <x:v>artifact</x:v>
      </x:c>
      <x:c r="D4762" s="21" t="str">
        <x:v>artifact 1856 planning state</x:v>
      </x:c>
      <x:c r="E4762" s="21" t="n">
        <x:f>IF(AND('Artifact Ledger'!Q1862="OPEN",'Artifact Ledger'!R1862="HOLD"),1,0)</x:f>
        <x:v>1</x:v>
      </x:c>
      <x:c r="F4762" s="21" t="n">
        <x:v>1</x:v>
      </x:c>
      <x:c r="G4762" s="23" t="str">
        <x:f>IF(E4762=F4762,"PASS","FAIL")</x:f>
        <x:v>PASS</x:v>
      </x:c>
    </x:row>
    <x:row r="4763">
      <x:c r="B4763" s="21" t="str">
        <x:v>A04757</x:v>
      </x:c>
      <x:c r="C4763" s="21" t="str">
        <x:v>artifact</x:v>
      </x:c>
      <x:c r="D4763" s="21" t="str">
        <x:v>artifact 1857 eligibility equation</x:v>
      </x:c>
      <x:c r="E4763" s="21" t="n">
        <x:f>IF(ABS('Artifact Ledger'!P1863-IF(AND('Artifact Ledger'!L1863=1,'Artifact Ledger'!M1863=1,'Artifact Ledger'!N1863=1,'Artifact Ledger'!O1863&gt;='Artifact Ledger'!G1863),'Artifact Ledger'!K1863,0))&lt;0.000001,1,0)</x:f>
        <x:v>1</x:v>
      </x:c>
      <x:c r="F4763" s="21" t="n">
        <x:v>1</x:v>
      </x:c>
      <x:c r="G4763" s="23" t="str">
        <x:f>IF(E4763=F4763,"PASS","FAIL")</x:f>
        <x:v>PASS</x:v>
      </x:c>
    </x:row>
    <x:row r="4764">
      <x:c r="B4764" s="21" t="str">
        <x:v>A04758</x:v>
      </x:c>
      <x:c r="C4764" s="21" t="str">
        <x:v>artifact</x:v>
      </x:c>
      <x:c r="D4764" s="21" t="str">
        <x:v>artifact 1857 planning state</x:v>
      </x:c>
      <x:c r="E4764" s="21" t="n">
        <x:f>IF(AND('Artifact Ledger'!Q1863="OPEN",'Artifact Ledger'!R1863="HOLD"),1,0)</x:f>
        <x:v>1</x:v>
      </x:c>
      <x:c r="F4764" s="21" t="n">
        <x:v>1</x:v>
      </x:c>
      <x:c r="G4764" s="23" t="str">
        <x:f>IF(E4764=F4764,"PASS","FAIL")</x:f>
        <x:v>PASS</x:v>
      </x:c>
    </x:row>
    <x:row r="4765">
      <x:c r="B4765" s="21" t="str">
        <x:v>A04759</x:v>
      </x:c>
      <x:c r="C4765" s="21" t="str">
        <x:v>artifact</x:v>
      </x:c>
      <x:c r="D4765" s="21" t="str">
        <x:v>artifact 1858 eligibility equation</x:v>
      </x:c>
      <x:c r="E4765" s="21" t="n">
        <x:f>IF(ABS('Artifact Ledger'!P1864-IF(AND('Artifact Ledger'!L1864=1,'Artifact Ledger'!M1864=1,'Artifact Ledger'!N1864=1,'Artifact Ledger'!O1864&gt;='Artifact Ledger'!G1864),'Artifact Ledger'!K1864,0))&lt;0.000001,1,0)</x:f>
        <x:v>1</x:v>
      </x:c>
      <x:c r="F4765" s="21" t="n">
        <x:v>1</x:v>
      </x:c>
      <x:c r="G4765" s="23" t="str">
        <x:f>IF(E4765=F4765,"PASS","FAIL")</x:f>
        <x:v>PASS</x:v>
      </x:c>
    </x:row>
    <x:row r="4766">
      <x:c r="B4766" s="21" t="str">
        <x:v>A04760</x:v>
      </x:c>
      <x:c r="C4766" s="21" t="str">
        <x:v>artifact</x:v>
      </x:c>
      <x:c r="D4766" s="21" t="str">
        <x:v>artifact 1858 planning state</x:v>
      </x:c>
      <x:c r="E4766" s="21" t="n">
        <x:f>IF(AND('Artifact Ledger'!Q1864="OPEN",'Artifact Ledger'!R1864="HOLD"),1,0)</x:f>
        <x:v>1</x:v>
      </x:c>
      <x:c r="F4766" s="21" t="n">
        <x:v>1</x:v>
      </x:c>
      <x:c r="G4766" s="23" t="str">
        <x:f>IF(E4766=F4766,"PASS","FAIL")</x:f>
        <x:v>PASS</x:v>
      </x:c>
    </x:row>
    <x:row r="4767">
      <x:c r="B4767" s="21" t="str">
        <x:v>A04761</x:v>
      </x:c>
      <x:c r="C4767" s="21" t="str">
        <x:v>artifact</x:v>
      </x:c>
      <x:c r="D4767" s="21" t="str">
        <x:v>artifact 1859 eligibility equation</x:v>
      </x:c>
      <x:c r="E4767" s="21" t="n">
        <x:f>IF(ABS('Artifact Ledger'!P1865-IF(AND('Artifact Ledger'!L1865=1,'Artifact Ledger'!M1865=1,'Artifact Ledger'!N1865=1,'Artifact Ledger'!O1865&gt;='Artifact Ledger'!G1865),'Artifact Ledger'!K1865,0))&lt;0.000001,1,0)</x:f>
        <x:v>1</x:v>
      </x:c>
      <x:c r="F4767" s="21" t="n">
        <x:v>1</x:v>
      </x:c>
      <x:c r="G4767" s="23" t="str">
        <x:f>IF(E4767=F4767,"PASS","FAIL")</x:f>
        <x:v>PASS</x:v>
      </x:c>
    </x:row>
    <x:row r="4768">
      <x:c r="B4768" s="21" t="str">
        <x:v>A04762</x:v>
      </x:c>
      <x:c r="C4768" s="21" t="str">
        <x:v>artifact</x:v>
      </x:c>
      <x:c r="D4768" s="21" t="str">
        <x:v>artifact 1859 planning state</x:v>
      </x:c>
      <x:c r="E4768" s="21" t="n">
        <x:f>IF(AND('Artifact Ledger'!Q1865="OPEN",'Artifact Ledger'!R1865="HOLD"),1,0)</x:f>
        <x:v>1</x:v>
      </x:c>
      <x:c r="F4768" s="21" t="n">
        <x:v>1</x:v>
      </x:c>
      <x:c r="G4768" s="23" t="str">
        <x:f>IF(E4768=F4768,"PASS","FAIL")</x:f>
        <x:v>PASS</x:v>
      </x:c>
    </x:row>
    <x:row r="4769">
      <x:c r="B4769" s="21" t="str">
        <x:v>A04763</x:v>
      </x:c>
      <x:c r="C4769" s="21" t="str">
        <x:v>artifact</x:v>
      </x:c>
      <x:c r="D4769" s="21" t="str">
        <x:v>artifact 1860 eligibility equation</x:v>
      </x:c>
      <x:c r="E4769" s="21" t="n">
        <x:f>IF(ABS('Artifact Ledger'!P1866-IF(AND('Artifact Ledger'!L1866=1,'Artifact Ledger'!M1866=1,'Artifact Ledger'!N1866=1,'Artifact Ledger'!O1866&gt;='Artifact Ledger'!G1866),'Artifact Ledger'!K1866,0))&lt;0.000001,1,0)</x:f>
        <x:v>1</x:v>
      </x:c>
      <x:c r="F4769" s="21" t="n">
        <x:v>1</x:v>
      </x:c>
      <x:c r="G4769" s="23" t="str">
        <x:f>IF(E4769=F4769,"PASS","FAIL")</x:f>
        <x:v>PASS</x:v>
      </x:c>
    </x:row>
    <x:row r="4770">
      <x:c r="B4770" s="21" t="str">
        <x:v>A04764</x:v>
      </x:c>
      <x:c r="C4770" s="21" t="str">
        <x:v>artifact</x:v>
      </x:c>
      <x:c r="D4770" s="21" t="str">
        <x:v>artifact 1860 planning state</x:v>
      </x:c>
      <x:c r="E4770" s="21" t="n">
        <x:f>IF(AND('Artifact Ledger'!Q1866="OPEN",'Artifact Ledger'!R1866="HOLD"),1,0)</x:f>
        <x:v>1</x:v>
      </x:c>
      <x:c r="F4770" s="21" t="n">
        <x:v>1</x:v>
      </x:c>
      <x:c r="G4770" s="23" t="str">
        <x:f>IF(E4770=F4770,"PASS","FAIL")</x:f>
        <x:v>PASS</x:v>
      </x:c>
    </x:row>
    <x:row r="4771">
      <x:c r="B4771" s="21" t="str">
        <x:v>A04765</x:v>
      </x:c>
      <x:c r="C4771" s="21" t="str">
        <x:v>artifact</x:v>
      </x:c>
      <x:c r="D4771" s="21" t="str">
        <x:v>artifact 1861 eligibility equation</x:v>
      </x:c>
      <x:c r="E4771" s="21" t="n">
        <x:f>IF(ABS('Artifact Ledger'!P1867-IF(AND('Artifact Ledger'!L1867=1,'Artifact Ledger'!M1867=1,'Artifact Ledger'!N1867=1,'Artifact Ledger'!O1867&gt;='Artifact Ledger'!G1867),'Artifact Ledger'!K1867,0))&lt;0.000001,1,0)</x:f>
        <x:v>1</x:v>
      </x:c>
      <x:c r="F4771" s="21" t="n">
        <x:v>1</x:v>
      </x:c>
      <x:c r="G4771" s="23" t="str">
        <x:f>IF(E4771=F4771,"PASS","FAIL")</x:f>
        <x:v>PASS</x:v>
      </x:c>
    </x:row>
    <x:row r="4772">
      <x:c r="B4772" s="21" t="str">
        <x:v>A04766</x:v>
      </x:c>
      <x:c r="C4772" s="21" t="str">
        <x:v>artifact</x:v>
      </x:c>
      <x:c r="D4772" s="21" t="str">
        <x:v>artifact 1861 planning state</x:v>
      </x:c>
      <x:c r="E4772" s="21" t="n">
        <x:f>IF(AND('Artifact Ledger'!Q1867="OPEN",'Artifact Ledger'!R1867="HOLD"),1,0)</x:f>
        <x:v>1</x:v>
      </x:c>
      <x:c r="F4772" s="21" t="n">
        <x:v>1</x:v>
      </x:c>
      <x:c r="G4772" s="23" t="str">
        <x:f>IF(E4772=F4772,"PASS","FAIL")</x:f>
        <x:v>PASS</x:v>
      </x:c>
    </x:row>
    <x:row r="4773">
      <x:c r="B4773" s="21" t="str">
        <x:v>A04767</x:v>
      </x:c>
      <x:c r="C4773" s="21" t="str">
        <x:v>artifact</x:v>
      </x:c>
      <x:c r="D4773" s="21" t="str">
        <x:v>artifact 1862 eligibility equation</x:v>
      </x:c>
      <x:c r="E4773" s="21" t="n">
        <x:f>IF(ABS('Artifact Ledger'!P1868-IF(AND('Artifact Ledger'!L1868=1,'Artifact Ledger'!M1868=1,'Artifact Ledger'!N1868=1,'Artifact Ledger'!O1868&gt;='Artifact Ledger'!G1868),'Artifact Ledger'!K1868,0))&lt;0.000001,1,0)</x:f>
        <x:v>1</x:v>
      </x:c>
      <x:c r="F4773" s="21" t="n">
        <x:v>1</x:v>
      </x:c>
      <x:c r="G4773" s="23" t="str">
        <x:f>IF(E4773=F4773,"PASS","FAIL")</x:f>
        <x:v>PASS</x:v>
      </x:c>
    </x:row>
    <x:row r="4774">
      <x:c r="B4774" s="21" t="str">
        <x:v>A04768</x:v>
      </x:c>
      <x:c r="C4774" s="21" t="str">
        <x:v>artifact</x:v>
      </x:c>
      <x:c r="D4774" s="21" t="str">
        <x:v>artifact 1862 planning state</x:v>
      </x:c>
      <x:c r="E4774" s="21" t="n">
        <x:f>IF(AND('Artifact Ledger'!Q1868="OPEN",'Artifact Ledger'!R1868="HOLD"),1,0)</x:f>
        <x:v>1</x:v>
      </x:c>
      <x:c r="F4774" s="21" t="n">
        <x:v>1</x:v>
      </x:c>
      <x:c r="G4774" s="23" t="str">
        <x:f>IF(E4774=F4774,"PASS","FAIL")</x:f>
        <x:v>PASS</x:v>
      </x:c>
    </x:row>
    <x:row r="4775">
      <x:c r="B4775" s="21" t="str">
        <x:v>A04769</x:v>
      </x:c>
      <x:c r="C4775" s="21" t="str">
        <x:v>artifact</x:v>
      </x:c>
      <x:c r="D4775" s="21" t="str">
        <x:v>artifact 1863 eligibility equation</x:v>
      </x:c>
      <x:c r="E4775" s="21" t="n">
        <x:f>IF(ABS('Artifact Ledger'!P1869-IF(AND('Artifact Ledger'!L1869=1,'Artifact Ledger'!M1869=1,'Artifact Ledger'!N1869=1,'Artifact Ledger'!O1869&gt;='Artifact Ledger'!G1869),'Artifact Ledger'!K1869,0))&lt;0.000001,1,0)</x:f>
        <x:v>1</x:v>
      </x:c>
      <x:c r="F4775" s="21" t="n">
        <x:v>1</x:v>
      </x:c>
      <x:c r="G4775" s="23" t="str">
        <x:f>IF(E4775=F4775,"PASS","FAIL")</x:f>
        <x:v>PASS</x:v>
      </x:c>
    </x:row>
    <x:row r="4776">
      <x:c r="B4776" s="21" t="str">
        <x:v>A04770</x:v>
      </x:c>
      <x:c r="C4776" s="21" t="str">
        <x:v>artifact</x:v>
      </x:c>
      <x:c r="D4776" s="21" t="str">
        <x:v>artifact 1863 planning state</x:v>
      </x:c>
      <x:c r="E4776" s="21" t="n">
        <x:f>IF(AND('Artifact Ledger'!Q1869="OPEN",'Artifact Ledger'!R1869="HOLD"),1,0)</x:f>
        <x:v>1</x:v>
      </x:c>
      <x:c r="F4776" s="21" t="n">
        <x:v>1</x:v>
      </x:c>
      <x:c r="G4776" s="23" t="str">
        <x:f>IF(E4776=F4776,"PASS","FAIL")</x:f>
        <x:v>PASS</x:v>
      </x:c>
    </x:row>
    <x:row r="4777">
      <x:c r="B4777" s="21" t="str">
        <x:v>A04771</x:v>
      </x:c>
      <x:c r="C4777" s="21" t="str">
        <x:v>artifact</x:v>
      </x:c>
      <x:c r="D4777" s="21" t="str">
        <x:v>artifact 1864 eligibility equation</x:v>
      </x:c>
      <x:c r="E4777" s="21" t="n">
        <x:f>IF(ABS('Artifact Ledger'!P1870-IF(AND('Artifact Ledger'!L1870=1,'Artifact Ledger'!M1870=1,'Artifact Ledger'!N1870=1,'Artifact Ledger'!O1870&gt;='Artifact Ledger'!G1870),'Artifact Ledger'!K1870,0))&lt;0.000001,1,0)</x:f>
        <x:v>1</x:v>
      </x:c>
      <x:c r="F4777" s="21" t="n">
        <x:v>1</x:v>
      </x:c>
      <x:c r="G4777" s="23" t="str">
        <x:f>IF(E4777=F4777,"PASS","FAIL")</x:f>
        <x:v>PASS</x:v>
      </x:c>
    </x:row>
    <x:row r="4778">
      <x:c r="B4778" s="21" t="str">
        <x:v>A04772</x:v>
      </x:c>
      <x:c r="C4778" s="21" t="str">
        <x:v>artifact</x:v>
      </x:c>
      <x:c r="D4778" s="21" t="str">
        <x:v>artifact 1864 planning state</x:v>
      </x:c>
      <x:c r="E4778" s="21" t="n">
        <x:f>IF(AND('Artifact Ledger'!Q1870="OPEN",'Artifact Ledger'!R1870="HOLD"),1,0)</x:f>
        <x:v>1</x:v>
      </x:c>
      <x:c r="F4778" s="21" t="n">
        <x:v>1</x:v>
      </x:c>
      <x:c r="G4778" s="23" t="str">
        <x:f>IF(E4778=F4778,"PASS","FAIL")</x:f>
        <x:v>PASS</x:v>
      </x:c>
    </x:row>
    <x:row r="4779">
      <x:c r="B4779" s="21" t="str">
        <x:v>A04773</x:v>
      </x:c>
      <x:c r="C4779" s="21" t="str">
        <x:v>artifact</x:v>
      </x:c>
      <x:c r="D4779" s="21" t="str">
        <x:v>artifact 1865 eligibility equation</x:v>
      </x:c>
      <x:c r="E4779" s="21" t="n">
        <x:f>IF(ABS('Artifact Ledger'!P1871-IF(AND('Artifact Ledger'!L1871=1,'Artifact Ledger'!M1871=1,'Artifact Ledger'!N1871=1,'Artifact Ledger'!O1871&gt;='Artifact Ledger'!G1871),'Artifact Ledger'!K1871,0))&lt;0.000001,1,0)</x:f>
        <x:v>1</x:v>
      </x:c>
      <x:c r="F4779" s="21" t="n">
        <x:v>1</x:v>
      </x:c>
      <x:c r="G4779" s="23" t="str">
        <x:f>IF(E4779=F4779,"PASS","FAIL")</x:f>
        <x:v>PASS</x:v>
      </x:c>
    </x:row>
    <x:row r="4780">
      <x:c r="B4780" s="21" t="str">
        <x:v>A04774</x:v>
      </x:c>
      <x:c r="C4780" s="21" t="str">
        <x:v>artifact</x:v>
      </x:c>
      <x:c r="D4780" s="21" t="str">
        <x:v>artifact 1865 planning state</x:v>
      </x:c>
      <x:c r="E4780" s="21" t="n">
        <x:f>IF(AND('Artifact Ledger'!Q1871="OPEN",'Artifact Ledger'!R1871="HOLD"),1,0)</x:f>
        <x:v>1</x:v>
      </x:c>
      <x:c r="F4780" s="21" t="n">
        <x:v>1</x:v>
      </x:c>
      <x:c r="G4780" s="23" t="str">
        <x:f>IF(E4780=F4780,"PASS","FAIL")</x:f>
        <x:v>PASS</x:v>
      </x:c>
    </x:row>
    <x:row r="4781">
      <x:c r="B4781" s="21" t="str">
        <x:v>A04775</x:v>
      </x:c>
      <x:c r="C4781" s="21" t="str">
        <x:v>artifact</x:v>
      </x:c>
      <x:c r="D4781" s="21" t="str">
        <x:v>artifact 1866 eligibility equation</x:v>
      </x:c>
      <x:c r="E4781" s="21" t="n">
        <x:f>IF(ABS('Artifact Ledger'!P1872-IF(AND('Artifact Ledger'!L1872=1,'Artifact Ledger'!M1872=1,'Artifact Ledger'!N1872=1,'Artifact Ledger'!O1872&gt;='Artifact Ledger'!G1872),'Artifact Ledger'!K1872,0))&lt;0.000001,1,0)</x:f>
        <x:v>1</x:v>
      </x:c>
      <x:c r="F4781" s="21" t="n">
        <x:v>1</x:v>
      </x:c>
      <x:c r="G4781" s="23" t="str">
        <x:f>IF(E4781=F4781,"PASS","FAIL")</x:f>
        <x:v>PASS</x:v>
      </x:c>
    </x:row>
    <x:row r="4782">
      <x:c r="B4782" s="21" t="str">
        <x:v>A04776</x:v>
      </x:c>
      <x:c r="C4782" s="21" t="str">
        <x:v>artifact</x:v>
      </x:c>
      <x:c r="D4782" s="21" t="str">
        <x:v>artifact 1866 planning state</x:v>
      </x:c>
      <x:c r="E4782" s="21" t="n">
        <x:f>IF(AND('Artifact Ledger'!Q1872="OPEN",'Artifact Ledger'!R1872="HOLD"),1,0)</x:f>
        <x:v>1</x:v>
      </x:c>
      <x:c r="F4782" s="21" t="n">
        <x:v>1</x:v>
      </x:c>
      <x:c r="G4782" s="23" t="str">
        <x:f>IF(E4782=F4782,"PASS","FAIL")</x:f>
        <x:v>PASS</x:v>
      </x:c>
    </x:row>
    <x:row r="4783">
      <x:c r="B4783" s="21" t="str">
        <x:v>A04777</x:v>
      </x:c>
      <x:c r="C4783" s="21" t="str">
        <x:v>artifact</x:v>
      </x:c>
      <x:c r="D4783" s="21" t="str">
        <x:v>artifact 1867 eligibility equation</x:v>
      </x:c>
      <x:c r="E4783" s="21" t="n">
        <x:f>IF(ABS('Artifact Ledger'!P1873-IF(AND('Artifact Ledger'!L1873=1,'Artifact Ledger'!M1873=1,'Artifact Ledger'!N1873=1,'Artifact Ledger'!O1873&gt;='Artifact Ledger'!G1873),'Artifact Ledger'!K1873,0))&lt;0.000001,1,0)</x:f>
        <x:v>1</x:v>
      </x:c>
      <x:c r="F4783" s="21" t="n">
        <x:v>1</x:v>
      </x:c>
      <x:c r="G4783" s="23" t="str">
        <x:f>IF(E4783=F4783,"PASS","FAIL")</x:f>
        <x:v>PASS</x:v>
      </x:c>
    </x:row>
    <x:row r="4784">
      <x:c r="B4784" s="21" t="str">
        <x:v>A04778</x:v>
      </x:c>
      <x:c r="C4784" s="21" t="str">
        <x:v>artifact</x:v>
      </x:c>
      <x:c r="D4784" s="21" t="str">
        <x:v>artifact 1867 planning state</x:v>
      </x:c>
      <x:c r="E4784" s="21" t="n">
        <x:f>IF(AND('Artifact Ledger'!Q1873="OPEN",'Artifact Ledger'!R1873="HOLD"),1,0)</x:f>
        <x:v>1</x:v>
      </x:c>
      <x:c r="F4784" s="21" t="n">
        <x:v>1</x:v>
      </x:c>
      <x:c r="G4784" s="23" t="str">
        <x:f>IF(E4784=F4784,"PASS","FAIL")</x:f>
        <x:v>PASS</x:v>
      </x:c>
    </x:row>
    <x:row r="4785">
      <x:c r="B4785" s="21" t="str">
        <x:v>A04779</x:v>
      </x:c>
      <x:c r="C4785" s="21" t="str">
        <x:v>artifact</x:v>
      </x:c>
      <x:c r="D4785" s="21" t="str">
        <x:v>artifact 1868 eligibility equation</x:v>
      </x:c>
      <x:c r="E4785" s="21" t="n">
        <x:f>IF(ABS('Artifact Ledger'!P1874-IF(AND('Artifact Ledger'!L1874=1,'Artifact Ledger'!M1874=1,'Artifact Ledger'!N1874=1,'Artifact Ledger'!O1874&gt;='Artifact Ledger'!G1874),'Artifact Ledger'!K1874,0))&lt;0.000001,1,0)</x:f>
        <x:v>1</x:v>
      </x:c>
      <x:c r="F4785" s="21" t="n">
        <x:v>1</x:v>
      </x:c>
      <x:c r="G4785" s="23" t="str">
        <x:f>IF(E4785=F4785,"PASS","FAIL")</x:f>
        <x:v>PASS</x:v>
      </x:c>
    </x:row>
    <x:row r="4786">
      <x:c r="B4786" s="21" t="str">
        <x:v>A04780</x:v>
      </x:c>
      <x:c r="C4786" s="21" t="str">
        <x:v>artifact</x:v>
      </x:c>
      <x:c r="D4786" s="21" t="str">
        <x:v>artifact 1868 planning state</x:v>
      </x:c>
      <x:c r="E4786" s="21" t="n">
        <x:f>IF(AND('Artifact Ledger'!Q1874="OPEN",'Artifact Ledger'!R1874="HOLD"),1,0)</x:f>
        <x:v>1</x:v>
      </x:c>
      <x:c r="F4786" s="21" t="n">
        <x:v>1</x:v>
      </x:c>
      <x:c r="G4786" s="23" t="str">
        <x:f>IF(E4786=F4786,"PASS","FAIL")</x:f>
        <x:v>PASS</x:v>
      </x:c>
    </x:row>
    <x:row r="4787">
      <x:c r="B4787" s="21" t="str">
        <x:v>A04781</x:v>
      </x:c>
      <x:c r="C4787" s="21" t="str">
        <x:v>artifact</x:v>
      </x:c>
      <x:c r="D4787" s="21" t="str">
        <x:v>artifact 1869 eligibility equation</x:v>
      </x:c>
      <x:c r="E4787" s="21" t="n">
        <x:f>IF(ABS('Artifact Ledger'!P1875-IF(AND('Artifact Ledger'!L1875=1,'Artifact Ledger'!M1875=1,'Artifact Ledger'!N1875=1,'Artifact Ledger'!O1875&gt;='Artifact Ledger'!G1875),'Artifact Ledger'!K1875,0))&lt;0.000001,1,0)</x:f>
        <x:v>1</x:v>
      </x:c>
      <x:c r="F4787" s="21" t="n">
        <x:v>1</x:v>
      </x:c>
      <x:c r="G4787" s="23" t="str">
        <x:f>IF(E4787=F4787,"PASS","FAIL")</x:f>
        <x:v>PASS</x:v>
      </x:c>
    </x:row>
    <x:row r="4788">
      <x:c r="B4788" s="21" t="str">
        <x:v>A04782</x:v>
      </x:c>
      <x:c r="C4788" s="21" t="str">
        <x:v>artifact</x:v>
      </x:c>
      <x:c r="D4788" s="21" t="str">
        <x:v>artifact 1869 planning state</x:v>
      </x:c>
      <x:c r="E4788" s="21" t="n">
        <x:f>IF(AND('Artifact Ledger'!Q1875="OPEN",'Artifact Ledger'!R1875="HOLD"),1,0)</x:f>
        <x:v>1</x:v>
      </x:c>
      <x:c r="F4788" s="21" t="n">
        <x:v>1</x:v>
      </x:c>
      <x:c r="G4788" s="23" t="str">
        <x:f>IF(E4788=F4788,"PASS","FAIL")</x:f>
        <x:v>PASS</x:v>
      </x:c>
    </x:row>
    <x:row r="4789">
      <x:c r="B4789" s="21" t="str">
        <x:v>A04783</x:v>
      </x:c>
      <x:c r="C4789" s="21" t="str">
        <x:v>artifact</x:v>
      </x:c>
      <x:c r="D4789" s="21" t="str">
        <x:v>artifact 1870 eligibility equation</x:v>
      </x:c>
      <x:c r="E4789" s="21" t="n">
        <x:f>IF(ABS('Artifact Ledger'!P1876-IF(AND('Artifact Ledger'!L1876=1,'Artifact Ledger'!M1876=1,'Artifact Ledger'!N1876=1,'Artifact Ledger'!O1876&gt;='Artifact Ledger'!G1876),'Artifact Ledger'!K1876,0))&lt;0.000001,1,0)</x:f>
        <x:v>1</x:v>
      </x:c>
      <x:c r="F4789" s="21" t="n">
        <x:v>1</x:v>
      </x:c>
      <x:c r="G4789" s="23" t="str">
        <x:f>IF(E4789=F4789,"PASS","FAIL")</x:f>
        <x:v>PASS</x:v>
      </x:c>
    </x:row>
    <x:row r="4790">
      <x:c r="B4790" s="21" t="str">
        <x:v>A04784</x:v>
      </x:c>
      <x:c r="C4790" s="21" t="str">
        <x:v>artifact</x:v>
      </x:c>
      <x:c r="D4790" s="21" t="str">
        <x:v>artifact 1870 planning state</x:v>
      </x:c>
      <x:c r="E4790" s="21" t="n">
        <x:f>IF(AND('Artifact Ledger'!Q1876="OPEN",'Artifact Ledger'!R1876="HOLD"),1,0)</x:f>
        <x:v>1</x:v>
      </x:c>
      <x:c r="F4790" s="21" t="n">
        <x:v>1</x:v>
      </x:c>
      <x:c r="G4790" s="23" t="str">
        <x:f>IF(E4790=F4790,"PASS","FAIL")</x:f>
        <x:v>PASS</x:v>
      </x:c>
    </x:row>
    <x:row r="4791">
      <x:c r="B4791" s="21" t="str">
        <x:v>A04785</x:v>
      </x:c>
      <x:c r="C4791" s="21" t="str">
        <x:v>artifact</x:v>
      </x:c>
      <x:c r="D4791" s="21" t="str">
        <x:v>artifact 1871 eligibility equation</x:v>
      </x:c>
      <x:c r="E4791" s="21" t="n">
        <x:f>IF(ABS('Artifact Ledger'!P1877-IF(AND('Artifact Ledger'!L1877=1,'Artifact Ledger'!M1877=1,'Artifact Ledger'!N1877=1,'Artifact Ledger'!O1877&gt;='Artifact Ledger'!G1877),'Artifact Ledger'!K1877,0))&lt;0.000001,1,0)</x:f>
        <x:v>1</x:v>
      </x:c>
      <x:c r="F4791" s="21" t="n">
        <x:v>1</x:v>
      </x:c>
      <x:c r="G4791" s="23" t="str">
        <x:f>IF(E4791=F4791,"PASS","FAIL")</x:f>
        <x:v>PASS</x:v>
      </x:c>
    </x:row>
    <x:row r="4792">
      <x:c r="B4792" s="21" t="str">
        <x:v>A04786</x:v>
      </x:c>
      <x:c r="C4792" s="21" t="str">
        <x:v>artifact</x:v>
      </x:c>
      <x:c r="D4792" s="21" t="str">
        <x:v>artifact 1871 planning state</x:v>
      </x:c>
      <x:c r="E4792" s="21" t="n">
        <x:f>IF(AND('Artifact Ledger'!Q1877="OPEN",'Artifact Ledger'!R1877="HOLD"),1,0)</x:f>
        <x:v>1</x:v>
      </x:c>
      <x:c r="F4792" s="21" t="n">
        <x:v>1</x:v>
      </x:c>
      <x:c r="G4792" s="23" t="str">
        <x:f>IF(E4792=F4792,"PASS","FAIL")</x:f>
        <x:v>PASS</x:v>
      </x:c>
    </x:row>
    <x:row r="4793">
      <x:c r="B4793" s="21" t="str">
        <x:v>A04787</x:v>
      </x:c>
      <x:c r="C4793" s="21" t="str">
        <x:v>artifact</x:v>
      </x:c>
      <x:c r="D4793" s="21" t="str">
        <x:v>artifact 1872 eligibility equation</x:v>
      </x:c>
      <x:c r="E4793" s="21" t="n">
        <x:f>IF(ABS('Artifact Ledger'!P1878-IF(AND('Artifact Ledger'!L1878=1,'Artifact Ledger'!M1878=1,'Artifact Ledger'!N1878=1,'Artifact Ledger'!O1878&gt;='Artifact Ledger'!G1878),'Artifact Ledger'!K1878,0))&lt;0.000001,1,0)</x:f>
        <x:v>1</x:v>
      </x:c>
      <x:c r="F4793" s="21" t="n">
        <x:v>1</x:v>
      </x:c>
      <x:c r="G4793" s="23" t="str">
        <x:f>IF(E4793=F4793,"PASS","FAIL")</x:f>
        <x:v>PASS</x:v>
      </x:c>
    </x:row>
    <x:row r="4794">
      <x:c r="B4794" s="21" t="str">
        <x:v>A04788</x:v>
      </x:c>
      <x:c r="C4794" s="21" t="str">
        <x:v>artifact</x:v>
      </x:c>
      <x:c r="D4794" s="21" t="str">
        <x:v>artifact 1872 planning state</x:v>
      </x:c>
      <x:c r="E4794" s="21" t="n">
        <x:f>IF(AND('Artifact Ledger'!Q1878="OPEN",'Artifact Ledger'!R1878="HOLD"),1,0)</x:f>
        <x:v>1</x:v>
      </x:c>
      <x:c r="F4794" s="21" t="n">
        <x:v>1</x:v>
      </x:c>
      <x:c r="G4794" s="23" t="str">
        <x:f>IF(E4794=F4794,"PASS","FAIL")</x:f>
        <x:v>PASS</x:v>
      </x:c>
    </x:row>
    <x:row r="4795">
      <x:c r="B4795" s="21" t="str">
        <x:v>A04789</x:v>
      </x:c>
      <x:c r="C4795" s="21" t="str">
        <x:v>artifact</x:v>
      </x:c>
      <x:c r="D4795" s="21" t="str">
        <x:v>artifact 1873 eligibility equation</x:v>
      </x:c>
      <x:c r="E4795" s="21" t="n">
        <x:f>IF(ABS('Artifact Ledger'!P1879-IF(AND('Artifact Ledger'!L1879=1,'Artifact Ledger'!M1879=1,'Artifact Ledger'!N1879=1,'Artifact Ledger'!O1879&gt;='Artifact Ledger'!G1879),'Artifact Ledger'!K1879,0))&lt;0.000001,1,0)</x:f>
        <x:v>1</x:v>
      </x:c>
      <x:c r="F4795" s="21" t="n">
        <x:v>1</x:v>
      </x:c>
      <x:c r="G4795" s="23" t="str">
        <x:f>IF(E4795=F4795,"PASS","FAIL")</x:f>
        <x:v>PASS</x:v>
      </x:c>
    </x:row>
    <x:row r="4796">
      <x:c r="B4796" s="21" t="str">
        <x:v>A04790</x:v>
      </x:c>
      <x:c r="C4796" s="21" t="str">
        <x:v>artifact</x:v>
      </x:c>
      <x:c r="D4796" s="21" t="str">
        <x:v>artifact 1873 planning state</x:v>
      </x:c>
      <x:c r="E4796" s="21" t="n">
        <x:f>IF(AND('Artifact Ledger'!Q1879="OPEN",'Artifact Ledger'!R1879="HOLD"),1,0)</x:f>
        <x:v>1</x:v>
      </x:c>
      <x:c r="F4796" s="21" t="n">
        <x:v>1</x:v>
      </x:c>
      <x:c r="G4796" s="23" t="str">
        <x:f>IF(E4796=F4796,"PASS","FAIL")</x:f>
        <x:v>PASS</x:v>
      </x:c>
    </x:row>
    <x:row r="4797">
      <x:c r="B4797" s="21" t="str">
        <x:v>A04791</x:v>
      </x:c>
      <x:c r="C4797" s="21" t="str">
        <x:v>artifact</x:v>
      </x:c>
      <x:c r="D4797" s="21" t="str">
        <x:v>artifact 1874 eligibility equation</x:v>
      </x:c>
      <x:c r="E4797" s="21" t="n">
        <x:f>IF(ABS('Artifact Ledger'!P1880-IF(AND('Artifact Ledger'!L1880=1,'Artifact Ledger'!M1880=1,'Artifact Ledger'!N1880=1,'Artifact Ledger'!O1880&gt;='Artifact Ledger'!G1880),'Artifact Ledger'!K1880,0))&lt;0.000001,1,0)</x:f>
        <x:v>1</x:v>
      </x:c>
      <x:c r="F4797" s="21" t="n">
        <x:v>1</x:v>
      </x:c>
      <x:c r="G4797" s="23" t="str">
        <x:f>IF(E4797=F4797,"PASS","FAIL")</x:f>
        <x:v>PASS</x:v>
      </x:c>
    </x:row>
    <x:row r="4798">
      <x:c r="B4798" s="21" t="str">
        <x:v>A04792</x:v>
      </x:c>
      <x:c r="C4798" s="21" t="str">
        <x:v>artifact</x:v>
      </x:c>
      <x:c r="D4798" s="21" t="str">
        <x:v>artifact 1874 planning state</x:v>
      </x:c>
      <x:c r="E4798" s="21" t="n">
        <x:f>IF(AND('Artifact Ledger'!Q1880="OPEN",'Artifact Ledger'!R1880="HOLD"),1,0)</x:f>
        <x:v>1</x:v>
      </x:c>
      <x:c r="F4798" s="21" t="n">
        <x:v>1</x:v>
      </x:c>
      <x:c r="G4798" s="23" t="str">
        <x:f>IF(E4798=F4798,"PASS","FAIL")</x:f>
        <x:v>PASS</x:v>
      </x:c>
    </x:row>
    <x:row r="4799">
      <x:c r="B4799" s="21" t="str">
        <x:v>A04793</x:v>
      </x:c>
      <x:c r="C4799" s="21" t="str">
        <x:v>artifact</x:v>
      </x:c>
      <x:c r="D4799" s="21" t="str">
        <x:v>artifact 1875 eligibility equation</x:v>
      </x:c>
      <x:c r="E4799" s="21" t="n">
        <x:f>IF(ABS('Artifact Ledger'!P1881-IF(AND('Artifact Ledger'!L1881=1,'Artifact Ledger'!M1881=1,'Artifact Ledger'!N1881=1,'Artifact Ledger'!O1881&gt;='Artifact Ledger'!G1881),'Artifact Ledger'!K1881,0))&lt;0.000001,1,0)</x:f>
        <x:v>1</x:v>
      </x:c>
      <x:c r="F4799" s="21" t="n">
        <x:v>1</x:v>
      </x:c>
      <x:c r="G4799" s="23" t="str">
        <x:f>IF(E4799=F4799,"PASS","FAIL")</x:f>
        <x:v>PASS</x:v>
      </x:c>
    </x:row>
    <x:row r="4800">
      <x:c r="B4800" s="21" t="str">
        <x:v>A04794</x:v>
      </x:c>
      <x:c r="C4800" s="21" t="str">
        <x:v>artifact</x:v>
      </x:c>
      <x:c r="D4800" s="21" t="str">
        <x:v>artifact 1875 planning state</x:v>
      </x:c>
      <x:c r="E4800" s="21" t="n">
        <x:f>IF(AND('Artifact Ledger'!Q1881="OPEN",'Artifact Ledger'!R1881="HOLD"),1,0)</x:f>
        <x:v>1</x:v>
      </x:c>
      <x:c r="F4800" s="21" t="n">
        <x:v>1</x:v>
      </x:c>
      <x:c r="G4800" s="23" t="str">
        <x:f>IF(E4800=F4800,"PASS","FAIL")</x:f>
        <x:v>PASS</x:v>
      </x:c>
    </x:row>
    <x:row r="4801">
      <x:c r="B4801" s="21" t="str">
        <x:v>A04795</x:v>
      </x:c>
      <x:c r="C4801" s="21" t="str">
        <x:v>artifact</x:v>
      </x:c>
      <x:c r="D4801" s="21" t="str">
        <x:v>artifact 1876 eligibility equation</x:v>
      </x:c>
      <x:c r="E4801" s="21" t="n">
        <x:f>IF(ABS('Artifact Ledger'!P1882-IF(AND('Artifact Ledger'!L1882=1,'Artifact Ledger'!M1882=1,'Artifact Ledger'!N1882=1,'Artifact Ledger'!O1882&gt;='Artifact Ledger'!G1882),'Artifact Ledger'!K1882,0))&lt;0.000001,1,0)</x:f>
        <x:v>1</x:v>
      </x:c>
      <x:c r="F4801" s="21" t="n">
        <x:v>1</x:v>
      </x:c>
      <x:c r="G4801" s="23" t="str">
        <x:f>IF(E4801=F4801,"PASS","FAIL")</x:f>
        <x:v>PASS</x:v>
      </x:c>
    </x:row>
    <x:row r="4802">
      <x:c r="B4802" s="21" t="str">
        <x:v>A04796</x:v>
      </x:c>
      <x:c r="C4802" s="21" t="str">
        <x:v>artifact</x:v>
      </x:c>
      <x:c r="D4802" s="21" t="str">
        <x:v>artifact 1876 planning state</x:v>
      </x:c>
      <x:c r="E4802" s="21" t="n">
        <x:f>IF(AND('Artifact Ledger'!Q1882="OPEN",'Artifact Ledger'!R1882="HOLD"),1,0)</x:f>
        <x:v>1</x:v>
      </x:c>
      <x:c r="F4802" s="21" t="n">
        <x:v>1</x:v>
      </x:c>
      <x:c r="G4802" s="23" t="str">
        <x:f>IF(E4802=F4802,"PASS","FAIL")</x:f>
        <x:v>PASS</x:v>
      </x:c>
    </x:row>
    <x:row r="4803">
      <x:c r="B4803" s="21" t="str">
        <x:v>A04797</x:v>
      </x:c>
      <x:c r="C4803" s="21" t="str">
        <x:v>artifact</x:v>
      </x:c>
      <x:c r="D4803" s="21" t="str">
        <x:v>artifact 1877 eligibility equation</x:v>
      </x:c>
      <x:c r="E4803" s="21" t="n">
        <x:f>IF(ABS('Artifact Ledger'!P1883-IF(AND('Artifact Ledger'!L1883=1,'Artifact Ledger'!M1883=1,'Artifact Ledger'!N1883=1,'Artifact Ledger'!O1883&gt;='Artifact Ledger'!G1883),'Artifact Ledger'!K1883,0))&lt;0.000001,1,0)</x:f>
        <x:v>1</x:v>
      </x:c>
      <x:c r="F4803" s="21" t="n">
        <x:v>1</x:v>
      </x:c>
      <x:c r="G4803" s="23" t="str">
        <x:f>IF(E4803=F4803,"PASS","FAIL")</x:f>
        <x:v>PASS</x:v>
      </x:c>
    </x:row>
    <x:row r="4804">
      <x:c r="B4804" s="21" t="str">
        <x:v>A04798</x:v>
      </x:c>
      <x:c r="C4804" s="21" t="str">
        <x:v>artifact</x:v>
      </x:c>
      <x:c r="D4804" s="21" t="str">
        <x:v>artifact 1877 planning state</x:v>
      </x:c>
      <x:c r="E4804" s="21" t="n">
        <x:f>IF(AND('Artifact Ledger'!Q1883="OPEN",'Artifact Ledger'!R1883="HOLD"),1,0)</x:f>
        <x:v>1</x:v>
      </x:c>
      <x:c r="F4804" s="21" t="n">
        <x:v>1</x:v>
      </x:c>
      <x:c r="G4804" s="23" t="str">
        <x:f>IF(E4804=F4804,"PASS","FAIL")</x:f>
        <x:v>PASS</x:v>
      </x:c>
    </x:row>
    <x:row r="4805">
      <x:c r="B4805" s="21" t="str">
        <x:v>A04799</x:v>
      </x:c>
      <x:c r="C4805" s="21" t="str">
        <x:v>artifact</x:v>
      </x:c>
      <x:c r="D4805" s="21" t="str">
        <x:v>artifact 1878 eligibility equation</x:v>
      </x:c>
      <x:c r="E4805" s="21" t="n">
        <x:f>IF(ABS('Artifact Ledger'!P1884-IF(AND('Artifact Ledger'!L1884=1,'Artifact Ledger'!M1884=1,'Artifact Ledger'!N1884=1,'Artifact Ledger'!O1884&gt;='Artifact Ledger'!G1884),'Artifact Ledger'!K1884,0))&lt;0.000001,1,0)</x:f>
        <x:v>1</x:v>
      </x:c>
      <x:c r="F4805" s="21" t="n">
        <x:v>1</x:v>
      </x:c>
      <x:c r="G4805" s="23" t="str">
        <x:f>IF(E4805=F4805,"PASS","FAIL")</x:f>
        <x:v>PASS</x:v>
      </x:c>
    </x:row>
    <x:row r="4806">
      <x:c r="B4806" s="21" t="str">
        <x:v>A04800</x:v>
      </x:c>
      <x:c r="C4806" s="21" t="str">
        <x:v>artifact</x:v>
      </x:c>
      <x:c r="D4806" s="21" t="str">
        <x:v>artifact 1878 planning state</x:v>
      </x:c>
      <x:c r="E4806" s="21" t="n">
        <x:f>IF(AND('Artifact Ledger'!Q1884="OPEN",'Artifact Ledger'!R1884="HOLD"),1,0)</x:f>
        <x:v>1</x:v>
      </x:c>
      <x:c r="F4806" s="21" t="n">
        <x:v>1</x:v>
      </x:c>
      <x:c r="G4806" s="23" t="str">
        <x:f>IF(E4806=F4806,"PASS","FAIL")</x:f>
        <x:v>PASS</x:v>
      </x:c>
    </x:row>
    <x:row r="4807">
      <x:c r="B4807" s="21" t="str">
        <x:v>A04801</x:v>
      </x:c>
      <x:c r="C4807" s="21" t="str">
        <x:v>artifact</x:v>
      </x:c>
      <x:c r="D4807" s="21" t="str">
        <x:v>artifact 1879 eligibility equation</x:v>
      </x:c>
      <x:c r="E4807" s="21" t="n">
        <x:f>IF(ABS('Artifact Ledger'!P1885-IF(AND('Artifact Ledger'!L1885=1,'Artifact Ledger'!M1885=1,'Artifact Ledger'!N1885=1,'Artifact Ledger'!O1885&gt;='Artifact Ledger'!G1885),'Artifact Ledger'!K1885,0))&lt;0.000001,1,0)</x:f>
        <x:v>1</x:v>
      </x:c>
      <x:c r="F4807" s="21" t="n">
        <x:v>1</x:v>
      </x:c>
      <x:c r="G4807" s="23" t="str">
        <x:f>IF(E4807=F4807,"PASS","FAIL")</x:f>
        <x:v>PASS</x:v>
      </x:c>
    </x:row>
    <x:row r="4808">
      <x:c r="B4808" s="21" t="str">
        <x:v>A04802</x:v>
      </x:c>
      <x:c r="C4808" s="21" t="str">
        <x:v>artifact</x:v>
      </x:c>
      <x:c r="D4808" s="21" t="str">
        <x:v>artifact 1879 planning state</x:v>
      </x:c>
      <x:c r="E4808" s="21" t="n">
        <x:f>IF(AND('Artifact Ledger'!Q1885="OPEN",'Artifact Ledger'!R1885="HOLD"),1,0)</x:f>
        <x:v>1</x:v>
      </x:c>
      <x:c r="F4808" s="21" t="n">
        <x:v>1</x:v>
      </x:c>
      <x:c r="G4808" s="23" t="str">
        <x:f>IF(E4808=F4808,"PASS","FAIL")</x:f>
        <x:v>PASS</x:v>
      </x:c>
    </x:row>
    <x:row r="4809">
      <x:c r="B4809" s="21" t="str">
        <x:v>A04803</x:v>
      </x:c>
      <x:c r="C4809" s="21" t="str">
        <x:v>artifact</x:v>
      </x:c>
      <x:c r="D4809" s="21" t="str">
        <x:v>artifact 1880 eligibility equation</x:v>
      </x:c>
      <x:c r="E4809" s="21" t="n">
        <x:f>IF(ABS('Artifact Ledger'!P1886-IF(AND('Artifact Ledger'!L1886=1,'Artifact Ledger'!M1886=1,'Artifact Ledger'!N1886=1,'Artifact Ledger'!O1886&gt;='Artifact Ledger'!G1886),'Artifact Ledger'!K1886,0))&lt;0.000001,1,0)</x:f>
        <x:v>1</x:v>
      </x:c>
      <x:c r="F4809" s="21" t="n">
        <x:v>1</x:v>
      </x:c>
      <x:c r="G4809" s="23" t="str">
        <x:f>IF(E4809=F4809,"PASS","FAIL")</x:f>
        <x:v>PASS</x:v>
      </x:c>
    </x:row>
    <x:row r="4810">
      <x:c r="B4810" s="21" t="str">
        <x:v>A04804</x:v>
      </x:c>
      <x:c r="C4810" s="21" t="str">
        <x:v>artifact</x:v>
      </x:c>
      <x:c r="D4810" s="21" t="str">
        <x:v>artifact 1880 planning state</x:v>
      </x:c>
      <x:c r="E4810" s="21" t="n">
        <x:f>IF(AND('Artifact Ledger'!Q1886="OPEN",'Artifact Ledger'!R1886="HOLD"),1,0)</x:f>
        <x:v>1</x:v>
      </x:c>
      <x:c r="F4810" s="21" t="n">
        <x:v>1</x:v>
      </x:c>
      <x:c r="G4810" s="23" t="str">
        <x:f>IF(E4810=F4810,"PASS","FAIL")</x:f>
        <x:v>PASS</x:v>
      </x:c>
    </x:row>
    <x:row r="4811">
      <x:c r="B4811" s="21" t="str">
        <x:v>A04805</x:v>
      </x:c>
      <x:c r="C4811" s="21" t="str">
        <x:v>artifact</x:v>
      </x:c>
      <x:c r="D4811" s="21" t="str">
        <x:v>artifact 1881 eligibility equation</x:v>
      </x:c>
      <x:c r="E4811" s="21" t="n">
        <x:f>IF(ABS('Artifact Ledger'!P1887-IF(AND('Artifact Ledger'!L1887=1,'Artifact Ledger'!M1887=1,'Artifact Ledger'!N1887=1,'Artifact Ledger'!O1887&gt;='Artifact Ledger'!G1887),'Artifact Ledger'!K1887,0))&lt;0.000001,1,0)</x:f>
        <x:v>1</x:v>
      </x:c>
      <x:c r="F4811" s="21" t="n">
        <x:v>1</x:v>
      </x:c>
      <x:c r="G4811" s="23" t="str">
        <x:f>IF(E4811=F4811,"PASS","FAIL")</x:f>
        <x:v>PASS</x:v>
      </x:c>
    </x:row>
    <x:row r="4812">
      <x:c r="B4812" s="21" t="str">
        <x:v>A04806</x:v>
      </x:c>
      <x:c r="C4812" s="21" t="str">
        <x:v>artifact</x:v>
      </x:c>
      <x:c r="D4812" s="21" t="str">
        <x:v>artifact 1881 planning state</x:v>
      </x:c>
      <x:c r="E4812" s="21" t="n">
        <x:f>IF(AND('Artifact Ledger'!Q1887="OPEN",'Artifact Ledger'!R1887="HOLD"),1,0)</x:f>
        <x:v>1</x:v>
      </x:c>
      <x:c r="F4812" s="21" t="n">
        <x:v>1</x:v>
      </x:c>
      <x:c r="G4812" s="23" t="str">
        <x:f>IF(E4812=F4812,"PASS","FAIL")</x:f>
        <x:v>PASS</x:v>
      </x:c>
    </x:row>
    <x:row r="4813">
      <x:c r="B4813" s="21" t="str">
        <x:v>A04807</x:v>
      </x:c>
      <x:c r="C4813" s="21" t="str">
        <x:v>artifact</x:v>
      </x:c>
      <x:c r="D4813" s="21" t="str">
        <x:v>artifact 1882 eligibility equation</x:v>
      </x:c>
      <x:c r="E4813" s="21" t="n">
        <x:f>IF(ABS('Artifact Ledger'!P1888-IF(AND('Artifact Ledger'!L1888=1,'Artifact Ledger'!M1888=1,'Artifact Ledger'!N1888=1,'Artifact Ledger'!O1888&gt;='Artifact Ledger'!G1888),'Artifact Ledger'!K1888,0))&lt;0.000001,1,0)</x:f>
        <x:v>1</x:v>
      </x:c>
      <x:c r="F4813" s="21" t="n">
        <x:v>1</x:v>
      </x:c>
      <x:c r="G4813" s="23" t="str">
        <x:f>IF(E4813=F4813,"PASS","FAIL")</x:f>
        <x:v>PASS</x:v>
      </x:c>
    </x:row>
    <x:row r="4814">
      <x:c r="B4814" s="21" t="str">
        <x:v>A04808</x:v>
      </x:c>
      <x:c r="C4814" s="21" t="str">
        <x:v>artifact</x:v>
      </x:c>
      <x:c r="D4814" s="21" t="str">
        <x:v>artifact 1882 planning state</x:v>
      </x:c>
      <x:c r="E4814" s="21" t="n">
        <x:f>IF(AND('Artifact Ledger'!Q1888="OPEN",'Artifact Ledger'!R1888="HOLD"),1,0)</x:f>
        <x:v>1</x:v>
      </x:c>
      <x:c r="F4814" s="21" t="n">
        <x:v>1</x:v>
      </x:c>
      <x:c r="G4814" s="23" t="str">
        <x:f>IF(E4814=F4814,"PASS","FAIL")</x:f>
        <x:v>PASS</x:v>
      </x:c>
    </x:row>
    <x:row r="4815">
      <x:c r="B4815" s="21" t="str">
        <x:v>A04809</x:v>
      </x:c>
      <x:c r="C4815" s="21" t="str">
        <x:v>artifact</x:v>
      </x:c>
      <x:c r="D4815" s="21" t="str">
        <x:v>artifact 1883 eligibility equation</x:v>
      </x:c>
      <x:c r="E4815" s="21" t="n">
        <x:f>IF(ABS('Artifact Ledger'!P1889-IF(AND('Artifact Ledger'!L1889=1,'Artifact Ledger'!M1889=1,'Artifact Ledger'!N1889=1,'Artifact Ledger'!O1889&gt;='Artifact Ledger'!G1889),'Artifact Ledger'!K1889,0))&lt;0.000001,1,0)</x:f>
        <x:v>1</x:v>
      </x:c>
      <x:c r="F4815" s="21" t="n">
        <x:v>1</x:v>
      </x:c>
      <x:c r="G4815" s="23" t="str">
        <x:f>IF(E4815=F4815,"PASS","FAIL")</x:f>
        <x:v>PASS</x:v>
      </x:c>
    </x:row>
    <x:row r="4816">
      <x:c r="B4816" s="21" t="str">
        <x:v>A04810</x:v>
      </x:c>
      <x:c r="C4816" s="21" t="str">
        <x:v>artifact</x:v>
      </x:c>
      <x:c r="D4816" s="21" t="str">
        <x:v>artifact 1883 planning state</x:v>
      </x:c>
      <x:c r="E4816" s="21" t="n">
        <x:f>IF(AND('Artifact Ledger'!Q1889="OPEN",'Artifact Ledger'!R1889="HOLD"),1,0)</x:f>
        <x:v>1</x:v>
      </x:c>
      <x:c r="F4816" s="21" t="n">
        <x:v>1</x:v>
      </x:c>
      <x:c r="G4816" s="23" t="str">
        <x:f>IF(E4816=F4816,"PASS","FAIL")</x:f>
        <x:v>PASS</x:v>
      </x:c>
    </x:row>
    <x:row r="4817">
      <x:c r="B4817" s="21" t="str">
        <x:v>A04811</x:v>
      </x:c>
      <x:c r="C4817" s="21" t="str">
        <x:v>artifact</x:v>
      </x:c>
      <x:c r="D4817" s="21" t="str">
        <x:v>artifact 1884 eligibility equation</x:v>
      </x:c>
      <x:c r="E4817" s="21" t="n">
        <x:f>IF(ABS('Artifact Ledger'!P1890-IF(AND('Artifact Ledger'!L1890=1,'Artifact Ledger'!M1890=1,'Artifact Ledger'!N1890=1,'Artifact Ledger'!O1890&gt;='Artifact Ledger'!G1890),'Artifact Ledger'!K1890,0))&lt;0.000001,1,0)</x:f>
        <x:v>1</x:v>
      </x:c>
      <x:c r="F4817" s="21" t="n">
        <x:v>1</x:v>
      </x:c>
      <x:c r="G4817" s="23" t="str">
        <x:f>IF(E4817=F4817,"PASS","FAIL")</x:f>
        <x:v>PASS</x:v>
      </x:c>
    </x:row>
    <x:row r="4818">
      <x:c r="B4818" s="21" t="str">
        <x:v>A04812</x:v>
      </x:c>
      <x:c r="C4818" s="21" t="str">
        <x:v>artifact</x:v>
      </x:c>
      <x:c r="D4818" s="21" t="str">
        <x:v>artifact 1884 planning state</x:v>
      </x:c>
      <x:c r="E4818" s="21" t="n">
        <x:f>IF(AND('Artifact Ledger'!Q1890="OPEN",'Artifact Ledger'!R1890="HOLD"),1,0)</x:f>
        <x:v>1</x:v>
      </x:c>
      <x:c r="F4818" s="21" t="n">
        <x:v>1</x:v>
      </x:c>
      <x:c r="G4818" s="23" t="str">
        <x:f>IF(E4818=F4818,"PASS","FAIL")</x:f>
        <x:v>PASS</x:v>
      </x:c>
    </x:row>
    <x:row r="4819">
      <x:c r="B4819" s="21" t="str">
        <x:v>A04813</x:v>
      </x:c>
      <x:c r="C4819" s="21" t="str">
        <x:v>artifact</x:v>
      </x:c>
      <x:c r="D4819" s="21" t="str">
        <x:v>artifact 1885 eligibility equation</x:v>
      </x:c>
      <x:c r="E4819" s="21" t="n">
        <x:f>IF(ABS('Artifact Ledger'!P1891-IF(AND('Artifact Ledger'!L1891=1,'Artifact Ledger'!M1891=1,'Artifact Ledger'!N1891=1,'Artifact Ledger'!O1891&gt;='Artifact Ledger'!G1891),'Artifact Ledger'!K1891,0))&lt;0.000001,1,0)</x:f>
        <x:v>1</x:v>
      </x:c>
      <x:c r="F4819" s="21" t="n">
        <x:v>1</x:v>
      </x:c>
      <x:c r="G4819" s="23" t="str">
        <x:f>IF(E4819=F4819,"PASS","FAIL")</x:f>
        <x:v>PASS</x:v>
      </x:c>
    </x:row>
    <x:row r="4820">
      <x:c r="B4820" s="21" t="str">
        <x:v>A04814</x:v>
      </x:c>
      <x:c r="C4820" s="21" t="str">
        <x:v>artifact</x:v>
      </x:c>
      <x:c r="D4820" s="21" t="str">
        <x:v>artifact 1885 planning state</x:v>
      </x:c>
      <x:c r="E4820" s="21" t="n">
        <x:f>IF(AND('Artifact Ledger'!Q1891="OPEN",'Artifact Ledger'!R1891="HOLD"),1,0)</x:f>
        <x:v>1</x:v>
      </x:c>
      <x:c r="F4820" s="21" t="n">
        <x:v>1</x:v>
      </x:c>
      <x:c r="G4820" s="23" t="str">
        <x:f>IF(E4820=F4820,"PASS","FAIL")</x:f>
        <x:v>PASS</x:v>
      </x:c>
    </x:row>
    <x:row r="4821">
      <x:c r="B4821" s="21" t="str">
        <x:v>A04815</x:v>
      </x:c>
      <x:c r="C4821" s="21" t="str">
        <x:v>artifact</x:v>
      </x:c>
      <x:c r="D4821" s="21" t="str">
        <x:v>artifact 1886 eligibility equation</x:v>
      </x:c>
      <x:c r="E4821" s="21" t="n">
        <x:f>IF(ABS('Artifact Ledger'!P1892-IF(AND('Artifact Ledger'!L1892=1,'Artifact Ledger'!M1892=1,'Artifact Ledger'!N1892=1,'Artifact Ledger'!O1892&gt;='Artifact Ledger'!G1892),'Artifact Ledger'!K1892,0))&lt;0.000001,1,0)</x:f>
        <x:v>1</x:v>
      </x:c>
      <x:c r="F4821" s="21" t="n">
        <x:v>1</x:v>
      </x:c>
      <x:c r="G4821" s="23" t="str">
        <x:f>IF(E4821=F4821,"PASS","FAIL")</x:f>
        <x:v>PASS</x:v>
      </x:c>
    </x:row>
    <x:row r="4822">
      <x:c r="B4822" s="21" t="str">
        <x:v>A04816</x:v>
      </x:c>
      <x:c r="C4822" s="21" t="str">
        <x:v>artifact</x:v>
      </x:c>
      <x:c r="D4822" s="21" t="str">
        <x:v>artifact 1886 planning state</x:v>
      </x:c>
      <x:c r="E4822" s="21" t="n">
        <x:f>IF(AND('Artifact Ledger'!Q1892="OPEN",'Artifact Ledger'!R1892="HOLD"),1,0)</x:f>
        <x:v>1</x:v>
      </x:c>
      <x:c r="F4822" s="21" t="n">
        <x:v>1</x:v>
      </x:c>
      <x:c r="G4822" s="23" t="str">
        <x:f>IF(E4822=F4822,"PASS","FAIL")</x:f>
        <x:v>PASS</x:v>
      </x:c>
    </x:row>
    <x:row r="4823">
      <x:c r="B4823" s="21" t="str">
        <x:v>A04817</x:v>
      </x:c>
      <x:c r="C4823" s="21" t="str">
        <x:v>artifact</x:v>
      </x:c>
      <x:c r="D4823" s="21" t="str">
        <x:v>artifact 1887 eligibility equation</x:v>
      </x:c>
      <x:c r="E4823" s="21" t="n">
        <x:f>IF(ABS('Artifact Ledger'!P1893-IF(AND('Artifact Ledger'!L1893=1,'Artifact Ledger'!M1893=1,'Artifact Ledger'!N1893=1,'Artifact Ledger'!O1893&gt;='Artifact Ledger'!G1893),'Artifact Ledger'!K1893,0))&lt;0.000001,1,0)</x:f>
        <x:v>1</x:v>
      </x:c>
      <x:c r="F4823" s="21" t="n">
        <x:v>1</x:v>
      </x:c>
      <x:c r="G4823" s="23" t="str">
        <x:f>IF(E4823=F4823,"PASS","FAIL")</x:f>
        <x:v>PASS</x:v>
      </x:c>
    </x:row>
    <x:row r="4824">
      <x:c r="B4824" s="21" t="str">
        <x:v>A04818</x:v>
      </x:c>
      <x:c r="C4824" s="21" t="str">
        <x:v>artifact</x:v>
      </x:c>
      <x:c r="D4824" s="21" t="str">
        <x:v>artifact 1887 planning state</x:v>
      </x:c>
      <x:c r="E4824" s="21" t="n">
        <x:f>IF(AND('Artifact Ledger'!Q1893="OPEN",'Artifact Ledger'!R1893="HOLD"),1,0)</x:f>
        <x:v>1</x:v>
      </x:c>
      <x:c r="F4824" s="21" t="n">
        <x:v>1</x:v>
      </x:c>
      <x:c r="G4824" s="23" t="str">
        <x:f>IF(E4824=F4824,"PASS","FAIL")</x:f>
        <x:v>PASS</x:v>
      </x:c>
    </x:row>
    <x:row r="4825">
      <x:c r="B4825" s="21" t="str">
        <x:v>A04819</x:v>
      </x:c>
      <x:c r="C4825" s="21" t="str">
        <x:v>artifact</x:v>
      </x:c>
      <x:c r="D4825" s="21" t="str">
        <x:v>artifact 1888 eligibility equation</x:v>
      </x:c>
      <x:c r="E4825" s="21" t="n">
        <x:f>IF(ABS('Artifact Ledger'!P1894-IF(AND('Artifact Ledger'!L1894=1,'Artifact Ledger'!M1894=1,'Artifact Ledger'!N1894=1,'Artifact Ledger'!O1894&gt;='Artifact Ledger'!G1894),'Artifact Ledger'!K1894,0))&lt;0.000001,1,0)</x:f>
        <x:v>1</x:v>
      </x:c>
      <x:c r="F4825" s="21" t="n">
        <x:v>1</x:v>
      </x:c>
      <x:c r="G4825" s="23" t="str">
        <x:f>IF(E4825=F4825,"PASS","FAIL")</x:f>
        <x:v>PASS</x:v>
      </x:c>
    </x:row>
    <x:row r="4826">
      <x:c r="B4826" s="21" t="str">
        <x:v>A04820</x:v>
      </x:c>
      <x:c r="C4826" s="21" t="str">
        <x:v>artifact</x:v>
      </x:c>
      <x:c r="D4826" s="21" t="str">
        <x:v>artifact 1888 planning state</x:v>
      </x:c>
      <x:c r="E4826" s="21" t="n">
        <x:f>IF(AND('Artifact Ledger'!Q1894="OPEN",'Artifact Ledger'!R1894="HOLD"),1,0)</x:f>
        <x:v>1</x:v>
      </x:c>
      <x:c r="F4826" s="21" t="n">
        <x:v>1</x:v>
      </x:c>
      <x:c r="G4826" s="23" t="str">
        <x:f>IF(E4826=F4826,"PASS","FAIL")</x:f>
        <x:v>PASS</x:v>
      </x:c>
    </x:row>
    <x:row r="4827">
      <x:c r="B4827" s="21" t="str">
        <x:v>A04821</x:v>
      </x:c>
      <x:c r="C4827" s="21" t="str">
        <x:v>artifact</x:v>
      </x:c>
      <x:c r="D4827" s="21" t="str">
        <x:v>artifact 1889 eligibility equation</x:v>
      </x:c>
      <x:c r="E4827" s="21" t="n">
        <x:f>IF(ABS('Artifact Ledger'!P1895-IF(AND('Artifact Ledger'!L1895=1,'Artifact Ledger'!M1895=1,'Artifact Ledger'!N1895=1,'Artifact Ledger'!O1895&gt;='Artifact Ledger'!G1895),'Artifact Ledger'!K1895,0))&lt;0.000001,1,0)</x:f>
        <x:v>1</x:v>
      </x:c>
      <x:c r="F4827" s="21" t="n">
        <x:v>1</x:v>
      </x:c>
      <x:c r="G4827" s="23" t="str">
        <x:f>IF(E4827=F4827,"PASS","FAIL")</x:f>
        <x:v>PASS</x:v>
      </x:c>
    </x:row>
    <x:row r="4828">
      <x:c r="B4828" s="21" t="str">
        <x:v>A04822</x:v>
      </x:c>
      <x:c r="C4828" s="21" t="str">
        <x:v>artifact</x:v>
      </x:c>
      <x:c r="D4828" s="21" t="str">
        <x:v>artifact 1889 planning state</x:v>
      </x:c>
      <x:c r="E4828" s="21" t="n">
        <x:f>IF(AND('Artifact Ledger'!Q1895="OPEN",'Artifact Ledger'!R1895="HOLD"),1,0)</x:f>
        <x:v>1</x:v>
      </x:c>
      <x:c r="F4828" s="21" t="n">
        <x:v>1</x:v>
      </x:c>
      <x:c r="G4828" s="23" t="str">
        <x:f>IF(E4828=F4828,"PASS","FAIL")</x:f>
        <x:v>PASS</x:v>
      </x:c>
    </x:row>
    <x:row r="4829">
      <x:c r="B4829" s="21" t="str">
        <x:v>A04823</x:v>
      </x:c>
      <x:c r="C4829" s="21" t="str">
        <x:v>artifact</x:v>
      </x:c>
      <x:c r="D4829" s="21" t="str">
        <x:v>artifact 1890 eligibility equation</x:v>
      </x:c>
      <x:c r="E4829" s="21" t="n">
        <x:f>IF(ABS('Artifact Ledger'!P1896-IF(AND('Artifact Ledger'!L1896=1,'Artifact Ledger'!M1896=1,'Artifact Ledger'!N1896=1,'Artifact Ledger'!O1896&gt;='Artifact Ledger'!G1896),'Artifact Ledger'!K1896,0))&lt;0.000001,1,0)</x:f>
        <x:v>1</x:v>
      </x:c>
      <x:c r="F4829" s="21" t="n">
        <x:v>1</x:v>
      </x:c>
      <x:c r="G4829" s="23" t="str">
        <x:f>IF(E4829=F4829,"PASS","FAIL")</x:f>
        <x:v>PASS</x:v>
      </x:c>
    </x:row>
    <x:row r="4830">
      <x:c r="B4830" s="21" t="str">
        <x:v>A04824</x:v>
      </x:c>
      <x:c r="C4830" s="21" t="str">
        <x:v>artifact</x:v>
      </x:c>
      <x:c r="D4830" s="21" t="str">
        <x:v>artifact 1890 planning state</x:v>
      </x:c>
      <x:c r="E4830" s="21" t="n">
        <x:f>IF(AND('Artifact Ledger'!Q1896="OPEN",'Artifact Ledger'!R1896="HOLD"),1,0)</x:f>
        <x:v>1</x:v>
      </x:c>
      <x:c r="F4830" s="21" t="n">
        <x:v>1</x:v>
      </x:c>
      <x:c r="G4830" s="23" t="str">
        <x:f>IF(E4830=F4830,"PASS","FAIL")</x:f>
        <x:v>PASS</x:v>
      </x:c>
    </x:row>
    <x:row r="4831">
      <x:c r="B4831" s="21" t="str">
        <x:v>A04825</x:v>
      </x:c>
      <x:c r="C4831" s="21" t="str">
        <x:v>artifact</x:v>
      </x:c>
      <x:c r="D4831" s="21" t="str">
        <x:v>artifact 1891 eligibility equation</x:v>
      </x:c>
      <x:c r="E4831" s="21" t="n">
        <x:f>IF(ABS('Artifact Ledger'!P1897-IF(AND('Artifact Ledger'!L1897=1,'Artifact Ledger'!M1897=1,'Artifact Ledger'!N1897=1,'Artifact Ledger'!O1897&gt;='Artifact Ledger'!G1897),'Artifact Ledger'!K1897,0))&lt;0.000001,1,0)</x:f>
        <x:v>1</x:v>
      </x:c>
      <x:c r="F4831" s="21" t="n">
        <x:v>1</x:v>
      </x:c>
      <x:c r="G4831" s="23" t="str">
        <x:f>IF(E4831=F4831,"PASS","FAIL")</x:f>
        <x:v>PASS</x:v>
      </x:c>
    </x:row>
    <x:row r="4832">
      <x:c r="B4832" s="21" t="str">
        <x:v>A04826</x:v>
      </x:c>
      <x:c r="C4832" s="21" t="str">
        <x:v>artifact</x:v>
      </x:c>
      <x:c r="D4832" s="21" t="str">
        <x:v>artifact 1891 planning state</x:v>
      </x:c>
      <x:c r="E4832" s="21" t="n">
        <x:f>IF(AND('Artifact Ledger'!Q1897="OPEN",'Artifact Ledger'!R1897="HOLD"),1,0)</x:f>
        <x:v>1</x:v>
      </x:c>
      <x:c r="F4832" s="21" t="n">
        <x:v>1</x:v>
      </x:c>
      <x:c r="G4832" s="23" t="str">
        <x:f>IF(E4832=F4832,"PASS","FAIL")</x:f>
        <x:v>PASS</x:v>
      </x:c>
    </x:row>
    <x:row r="4833">
      <x:c r="B4833" s="21" t="str">
        <x:v>A04827</x:v>
      </x:c>
      <x:c r="C4833" s="21" t="str">
        <x:v>artifact</x:v>
      </x:c>
      <x:c r="D4833" s="21" t="str">
        <x:v>artifact 1892 eligibility equation</x:v>
      </x:c>
      <x:c r="E4833" s="21" t="n">
        <x:f>IF(ABS('Artifact Ledger'!P1898-IF(AND('Artifact Ledger'!L1898=1,'Artifact Ledger'!M1898=1,'Artifact Ledger'!N1898=1,'Artifact Ledger'!O1898&gt;='Artifact Ledger'!G1898),'Artifact Ledger'!K1898,0))&lt;0.000001,1,0)</x:f>
        <x:v>1</x:v>
      </x:c>
      <x:c r="F4833" s="21" t="n">
        <x:v>1</x:v>
      </x:c>
      <x:c r="G4833" s="23" t="str">
        <x:f>IF(E4833=F4833,"PASS","FAIL")</x:f>
        <x:v>PASS</x:v>
      </x:c>
    </x:row>
    <x:row r="4834">
      <x:c r="B4834" s="21" t="str">
        <x:v>A04828</x:v>
      </x:c>
      <x:c r="C4834" s="21" t="str">
        <x:v>artifact</x:v>
      </x:c>
      <x:c r="D4834" s="21" t="str">
        <x:v>artifact 1892 planning state</x:v>
      </x:c>
      <x:c r="E4834" s="21" t="n">
        <x:f>IF(AND('Artifact Ledger'!Q1898="OPEN",'Artifact Ledger'!R1898="HOLD"),1,0)</x:f>
        <x:v>1</x:v>
      </x:c>
      <x:c r="F4834" s="21" t="n">
        <x:v>1</x:v>
      </x:c>
      <x:c r="G4834" s="23" t="str">
        <x:f>IF(E4834=F4834,"PASS","FAIL")</x:f>
        <x:v>PASS</x:v>
      </x:c>
    </x:row>
    <x:row r="4835">
      <x:c r="B4835" s="21" t="str">
        <x:v>A04829</x:v>
      </x:c>
      <x:c r="C4835" s="21" t="str">
        <x:v>artifact</x:v>
      </x:c>
      <x:c r="D4835" s="21" t="str">
        <x:v>artifact 1893 eligibility equation</x:v>
      </x:c>
      <x:c r="E4835" s="21" t="n">
        <x:f>IF(ABS('Artifact Ledger'!P1899-IF(AND('Artifact Ledger'!L1899=1,'Artifact Ledger'!M1899=1,'Artifact Ledger'!N1899=1,'Artifact Ledger'!O1899&gt;='Artifact Ledger'!G1899),'Artifact Ledger'!K1899,0))&lt;0.000001,1,0)</x:f>
        <x:v>1</x:v>
      </x:c>
      <x:c r="F4835" s="21" t="n">
        <x:v>1</x:v>
      </x:c>
      <x:c r="G4835" s="23" t="str">
        <x:f>IF(E4835=F4835,"PASS","FAIL")</x:f>
        <x:v>PASS</x:v>
      </x:c>
    </x:row>
    <x:row r="4836">
      <x:c r="B4836" s="21" t="str">
        <x:v>A04830</x:v>
      </x:c>
      <x:c r="C4836" s="21" t="str">
        <x:v>artifact</x:v>
      </x:c>
      <x:c r="D4836" s="21" t="str">
        <x:v>artifact 1893 planning state</x:v>
      </x:c>
      <x:c r="E4836" s="21" t="n">
        <x:f>IF(AND('Artifact Ledger'!Q1899="OPEN",'Artifact Ledger'!R1899="HOLD"),1,0)</x:f>
        <x:v>1</x:v>
      </x:c>
      <x:c r="F4836" s="21" t="n">
        <x:v>1</x:v>
      </x:c>
      <x:c r="G4836" s="23" t="str">
        <x:f>IF(E4836=F4836,"PASS","FAIL")</x:f>
        <x:v>PASS</x:v>
      </x:c>
    </x:row>
    <x:row r="4837">
      <x:c r="B4837" s="21" t="str">
        <x:v>A04831</x:v>
      </x:c>
      <x:c r="C4837" s="21" t="str">
        <x:v>artifact</x:v>
      </x:c>
      <x:c r="D4837" s="21" t="str">
        <x:v>artifact 1894 eligibility equation</x:v>
      </x:c>
      <x:c r="E4837" s="21" t="n">
        <x:f>IF(ABS('Artifact Ledger'!P1900-IF(AND('Artifact Ledger'!L1900=1,'Artifact Ledger'!M1900=1,'Artifact Ledger'!N1900=1,'Artifact Ledger'!O1900&gt;='Artifact Ledger'!G1900),'Artifact Ledger'!K1900,0))&lt;0.000001,1,0)</x:f>
        <x:v>1</x:v>
      </x:c>
      <x:c r="F4837" s="21" t="n">
        <x:v>1</x:v>
      </x:c>
      <x:c r="G4837" s="23" t="str">
        <x:f>IF(E4837=F4837,"PASS","FAIL")</x:f>
        <x:v>PASS</x:v>
      </x:c>
    </x:row>
    <x:row r="4838">
      <x:c r="B4838" s="21" t="str">
        <x:v>A04832</x:v>
      </x:c>
      <x:c r="C4838" s="21" t="str">
        <x:v>artifact</x:v>
      </x:c>
      <x:c r="D4838" s="21" t="str">
        <x:v>artifact 1894 planning state</x:v>
      </x:c>
      <x:c r="E4838" s="21" t="n">
        <x:f>IF(AND('Artifact Ledger'!Q1900="OPEN",'Artifact Ledger'!R1900="HOLD"),1,0)</x:f>
        <x:v>1</x:v>
      </x:c>
      <x:c r="F4838" s="21" t="n">
        <x:v>1</x:v>
      </x:c>
      <x:c r="G4838" s="23" t="str">
        <x:f>IF(E4838=F4838,"PASS","FAIL")</x:f>
        <x:v>PASS</x:v>
      </x:c>
    </x:row>
    <x:row r="4839">
      <x:c r="B4839" s="21" t="str">
        <x:v>A04833</x:v>
      </x:c>
      <x:c r="C4839" s="21" t="str">
        <x:v>artifact</x:v>
      </x:c>
      <x:c r="D4839" s="21" t="str">
        <x:v>artifact 1895 eligibility equation</x:v>
      </x:c>
      <x:c r="E4839" s="21" t="n">
        <x:f>IF(ABS('Artifact Ledger'!P1901-IF(AND('Artifact Ledger'!L1901=1,'Artifact Ledger'!M1901=1,'Artifact Ledger'!N1901=1,'Artifact Ledger'!O1901&gt;='Artifact Ledger'!G1901),'Artifact Ledger'!K1901,0))&lt;0.000001,1,0)</x:f>
        <x:v>1</x:v>
      </x:c>
      <x:c r="F4839" s="21" t="n">
        <x:v>1</x:v>
      </x:c>
      <x:c r="G4839" s="23" t="str">
        <x:f>IF(E4839=F4839,"PASS","FAIL")</x:f>
        <x:v>PASS</x:v>
      </x:c>
    </x:row>
    <x:row r="4840">
      <x:c r="B4840" s="21" t="str">
        <x:v>A04834</x:v>
      </x:c>
      <x:c r="C4840" s="21" t="str">
        <x:v>artifact</x:v>
      </x:c>
      <x:c r="D4840" s="21" t="str">
        <x:v>artifact 1895 planning state</x:v>
      </x:c>
      <x:c r="E4840" s="21" t="n">
        <x:f>IF(AND('Artifact Ledger'!Q1901="OPEN",'Artifact Ledger'!R1901="HOLD"),1,0)</x:f>
        <x:v>1</x:v>
      </x:c>
      <x:c r="F4840" s="21" t="n">
        <x:v>1</x:v>
      </x:c>
      <x:c r="G4840" s="23" t="str">
        <x:f>IF(E4840=F4840,"PASS","FAIL")</x:f>
        <x:v>PASS</x:v>
      </x:c>
    </x:row>
    <x:row r="4841">
      <x:c r="B4841" s="21" t="str">
        <x:v>A04835</x:v>
      </x:c>
      <x:c r="C4841" s="21" t="str">
        <x:v>artifact</x:v>
      </x:c>
      <x:c r="D4841" s="21" t="str">
        <x:v>artifact 1896 eligibility equation</x:v>
      </x:c>
      <x:c r="E4841" s="21" t="n">
        <x:f>IF(ABS('Artifact Ledger'!P1902-IF(AND('Artifact Ledger'!L1902=1,'Artifact Ledger'!M1902=1,'Artifact Ledger'!N1902=1,'Artifact Ledger'!O1902&gt;='Artifact Ledger'!G1902),'Artifact Ledger'!K1902,0))&lt;0.000001,1,0)</x:f>
        <x:v>1</x:v>
      </x:c>
      <x:c r="F4841" s="21" t="n">
        <x:v>1</x:v>
      </x:c>
      <x:c r="G4841" s="23" t="str">
        <x:f>IF(E4841=F4841,"PASS","FAIL")</x:f>
        <x:v>PASS</x:v>
      </x:c>
    </x:row>
    <x:row r="4842">
      <x:c r="B4842" s="21" t="str">
        <x:v>A04836</x:v>
      </x:c>
      <x:c r="C4842" s="21" t="str">
        <x:v>artifact</x:v>
      </x:c>
      <x:c r="D4842" s="21" t="str">
        <x:v>artifact 1896 planning state</x:v>
      </x:c>
      <x:c r="E4842" s="21" t="n">
        <x:f>IF(AND('Artifact Ledger'!Q1902="OPEN",'Artifact Ledger'!R1902="HOLD"),1,0)</x:f>
        <x:v>1</x:v>
      </x:c>
      <x:c r="F4842" s="21" t="n">
        <x:v>1</x:v>
      </x:c>
      <x:c r="G4842" s="23" t="str">
        <x:f>IF(E4842=F4842,"PASS","FAIL")</x:f>
        <x:v>PASS</x:v>
      </x:c>
    </x:row>
    <x:row r="4843">
      <x:c r="B4843" s="21" t="str">
        <x:v>A04837</x:v>
      </x:c>
      <x:c r="C4843" s="21" t="str">
        <x:v>artifact</x:v>
      </x:c>
      <x:c r="D4843" s="21" t="str">
        <x:v>artifact 1897 eligibility equation</x:v>
      </x:c>
      <x:c r="E4843" s="21" t="n">
        <x:f>IF(ABS('Artifact Ledger'!P1903-IF(AND('Artifact Ledger'!L1903=1,'Artifact Ledger'!M1903=1,'Artifact Ledger'!N1903=1,'Artifact Ledger'!O1903&gt;='Artifact Ledger'!G1903),'Artifact Ledger'!K1903,0))&lt;0.000001,1,0)</x:f>
        <x:v>1</x:v>
      </x:c>
      <x:c r="F4843" s="21" t="n">
        <x:v>1</x:v>
      </x:c>
      <x:c r="G4843" s="23" t="str">
        <x:f>IF(E4843=F4843,"PASS","FAIL")</x:f>
        <x:v>PASS</x:v>
      </x:c>
    </x:row>
    <x:row r="4844">
      <x:c r="B4844" s="21" t="str">
        <x:v>A04838</x:v>
      </x:c>
      <x:c r="C4844" s="21" t="str">
        <x:v>artifact</x:v>
      </x:c>
      <x:c r="D4844" s="21" t="str">
        <x:v>artifact 1897 planning state</x:v>
      </x:c>
      <x:c r="E4844" s="21" t="n">
        <x:f>IF(AND('Artifact Ledger'!Q1903="OPEN",'Artifact Ledger'!R1903="HOLD"),1,0)</x:f>
        <x:v>1</x:v>
      </x:c>
      <x:c r="F4844" s="21" t="n">
        <x:v>1</x:v>
      </x:c>
      <x:c r="G4844" s="23" t="str">
        <x:f>IF(E4844=F4844,"PASS","FAIL")</x:f>
        <x:v>PASS</x:v>
      </x:c>
    </x:row>
    <x:row r="4845">
      <x:c r="B4845" s="21" t="str">
        <x:v>A04839</x:v>
      </x:c>
      <x:c r="C4845" s="21" t="str">
        <x:v>artifact</x:v>
      </x:c>
      <x:c r="D4845" s="21" t="str">
        <x:v>artifact 1898 eligibility equation</x:v>
      </x:c>
      <x:c r="E4845" s="21" t="n">
        <x:f>IF(ABS('Artifact Ledger'!P1904-IF(AND('Artifact Ledger'!L1904=1,'Artifact Ledger'!M1904=1,'Artifact Ledger'!N1904=1,'Artifact Ledger'!O1904&gt;='Artifact Ledger'!G1904),'Artifact Ledger'!K1904,0))&lt;0.000001,1,0)</x:f>
        <x:v>1</x:v>
      </x:c>
      <x:c r="F4845" s="21" t="n">
        <x:v>1</x:v>
      </x:c>
      <x:c r="G4845" s="23" t="str">
        <x:f>IF(E4845=F4845,"PASS","FAIL")</x:f>
        <x:v>PASS</x:v>
      </x:c>
    </x:row>
    <x:row r="4846">
      <x:c r="B4846" s="21" t="str">
        <x:v>A04840</x:v>
      </x:c>
      <x:c r="C4846" s="21" t="str">
        <x:v>artifact</x:v>
      </x:c>
      <x:c r="D4846" s="21" t="str">
        <x:v>artifact 1898 planning state</x:v>
      </x:c>
      <x:c r="E4846" s="21" t="n">
        <x:f>IF(AND('Artifact Ledger'!Q1904="OPEN",'Artifact Ledger'!R1904="HOLD"),1,0)</x:f>
        <x:v>1</x:v>
      </x:c>
      <x:c r="F4846" s="21" t="n">
        <x:v>1</x:v>
      </x:c>
      <x:c r="G4846" s="23" t="str">
        <x:f>IF(E4846=F4846,"PASS","FAIL")</x:f>
        <x:v>PASS</x:v>
      </x:c>
    </x:row>
    <x:row r="4847">
      <x:c r="B4847" s="21" t="str">
        <x:v>A04841</x:v>
      </x:c>
      <x:c r="C4847" s="21" t="str">
        <x:v>artifact</x:v>
      </x:c>
      <x:c r="D4847" s="21" t="str">
        <x:v>artifact 1899 eligibility equation</x:v>
      </x:c>
      <x:c r="E4847" s="21" t="n">
        <x:f>IF(ABS('Artifact Ledger'!P1905-IF(AND('Artifact Ledger'!L1905=1,'Artifact Ledger'!M1905=1,'Artifact Ledger'!N1905=1,'Artifact Ledger'!O1905&gt;='Artifact Ledger'!G1905),'Artifact Ledger'!K1905,0))&lt;0.000001,1,0)</x:f>
        <x:v>1</x:v>
      </x:c>
      <x:c r="F4847" s="21" t="n">
        <x:v>1</x:v>
      </x:c>
      <x:c r="G4847" s="23" t="str">
        <x:f>IF(E4847=F4847,"PASS","FAIL")</x:f>
        <x:v>PASS</x:v>
      </x:c>
    </x:row>
    <x:row r="4848">
      <x:c r="B4848" s="21" t="str">
        <x:v>A04842</x:v>
      </x:c>
      <x:c r="C4848" s="21" t="str">
        <x:v>artifact</x:v>
      </x:c>
      <x:c r="D4848" s="21" t="str">
        <x:v>artifact 1899 planning state</x:v>
      </x:c>
      <x:c r="E4848" s="21" t="n">
        <x:f>IF(AND('Artifact Ledger'!Q1905="OPEN",'Artifact Ledger'!R1905="HOLD"),1,0)</x:f>
        <x:v>1</x:v>
      </x:c>
      <x:c r="F4848" s="21" t="n">
        <x:v>1</x:v>
      </x:c>
      <x:c r="G4848" s="23" t="str">
        <x:f>IF(E4848=F4848,"PASS","FAIL")</x:f>
        <x:v>PASS</x:v>
      </x:c>
    </x:row>
    <x:row r="4849">
      <x:c r="B4849" s="21" t="str">
        <x:v>A04843</x:v>
      </x:c>
      <x:c r="C4849" s="21" t="str">
        <x:v>artifact</x:v>
      </x:c>
      <x:c r="D4849" s="21" t="str">
        <x:v>artifact 1900 eligibility equation</x:v>
      </x:c>
      <x:c r="E4849" s="21" t="n">
        <x:f>IF(ABS('Artifact Ledger'!P1906-IF(AND('Artifact Ledger'!L1906=1,'Artifact Ledger'!M1906=1,'Artifact Ledger'!N1906=1,'Artifact Ledger'!O1906&gt;='Artifact Ledger'!G1906),'Artifact Ledger'!K1906,0))&lt;0.000001,1,0)</x:f>
        <x:v>1</x:v>
      </x:c>
      <x:c r="F4849" s="21" t="n">
        <x:v>1</x:v>
      </x:c>
      <x:c r="G4849" s="23" t="str">
        <x:f>IF(E4849=F4849,"PASS","FAIL")</x:f>
        <x:v>PASS</x:v>
      </x:c>
    </x:row>
    <x:row r="4850">
      <x:c r="B4850" s="21" t="str">
        <x:v>A04844</x:v>
      </x:c>
      <x:c r="C4850" s="21" t="str">
        <x:v>artifact</x:v>
      </x:c>
      <x:c r="D4850" s="21" t="str">
        <x:v>artifact 1900 planning state</x:v>
      </x:c>
      <x:c r="E4850" s="21" t="n">
        <x:f>IF(AND('Artifact Ledger'!Q1906="OPEN",'Artifact Ledger'!R1906="HOLD"),1,0)</x:f>
        <x:v>1</x:v>
      </x:c>
      <x:c r="F4850" s="21" t="n">
        <x:v>1</x:v>
      </x:c>
      <x:c r="G4850" s="23" t="str">
        <x:f>IF(E4850=F4850,"PASS","FAIL")</x:f>
        <x:v>PASS</x:v>
      </x:c>
    </x:row>
    <x:row r="4851">
      <x:c r="B4851" s="21" t="str">
        <x:v>A04845</x:v>
      </x:c>
      <x:c r="C4851" s="21" t="str">
        <x:v>artifact</x:v>
      </x:c>
      <x:c r="D4851" s="21" t="str">
        <x:v>artifact 1901 eligibility equation</x:v>
      </x:c>
      <x:c r="E4851" s="21" t="n">
        <x:f>IF(ABS('Artifact Ledger'!P1907-IF(AND('Artifact Ledger'!L1907=1,'Artifact Ledger'!M1907=1,'Artifact Ledger'!N1907=1,'Artifact Ledger'!O1907&gt;='Artifact Ledger'!G1907),'Artifact Ledger'!K1907,0))&lt;0.000001,1,0)</x:f>
        <x:v>1</x:v>
      </x:c>
      <x:c r="F4851" s="21" t="n">
        <x:v>1</x:v>
      </x:c>
      <x:c r="G4851" s="23" t="str">
        <x:f>IF(E4851=F4851,"PASS","FAIL")</x:f>
        <x:v>PASS</x:v>
      </x:c>
    </x:row>
    <x:row r="4852">
      <x:c r="B4852" s="21" t="str">
        <x:v>A04846</x:v>
      </x:c>
      <x:c r="C4852" s="21" t="str">
        <x:v>artifact</x:v>
      </x:c>
      <x:c r="D4852" s="21" t="str">
        <x:v>artifact 1901 planning state</x:v>
      </x:c>
      <x:c r="E4852" s="21" t="n">
        <x:f>IF(AND('Artifact Ledger'!Q1907="OPEN",'Artifact Ledger'!R1907="HOLD"),1,0)</x:f>
        <x:v>1</x:v>
      </x:c>
      <x:c r="F4852" s="21" t="n">
        <x:v>1</x:v>
      </x:c>
      <x:c r="G4852" s="23" t="str">
        <x:f>IF(E4852=F4852,"PASS","FAIL")</x:f>
        <x:v>PASS</x:v>
      </x:c>
    </x:row>
    <x:row r="4853">
      <x:c r="B4853" s="21" t="str">
        <x:v>A04847</x:v>
      </x:c>
      <x:c r="C4853" s="21" t="str">
        <x:v>artifact</x:v>
      </x:c>
      <x:c r="D4853" s="21" t="str">
        <x:v>artifact 1902 eligibility equation</x:v>
      </x:c>
      <x:c r="E4853" s="21" t="n">
        <x:f>IF(ABS('Artifact Ledger'!P1908-IF(AND('Artifact Ledger'!L1908=1,'Artifact Ledger'!M1908=1,'Artifact Ledger'!N1908=1,'Artifact Ledger'!O1908&gt;='Artifact Ledger'!G1908),'Artifact Ledger'!K1908,0))&lt;0.000001,1,0)</x:f>
        <x:v>1</x:v>
      </x:c>
      <x:c r="F4853" s="21" t="n">
        <x:v>1</x:v>
      </x:c>
      <x:c r="G4853" s="23" t="str">
        <x:f>IF(E4853=F4853,"PASS","FAIL")</x:f>
        <x:v>PASS</x:v>
      </x:c>
    </x:row>
    <x:row r="4854">
      <x:c r="B4854" s="21" t="str">
        <x:v>A04848</x:v>
      </x:c>
      <x:c r="C4854" s="21" t="str">
        <x:v>artifact</x:v>
      </x:c>
      <x:c r="D4854" s="21" t="str">
        <x:v>artifact 1902 planning state</x:v>
      </x:c>
      <x:c r="E4854" s="21" t="n">
        <x:f>IF(AND('Artifact Ledger'!Q1908="OPEN",'Artifact Ledger'!R1908="HOLD"),1,0)</x:f>
        <x:v>1</x:v>
      </x:c>
      <x:c r="F4854" s="21" t="n">
        <x:v>1</x:v>
      </x:c>
      <x:c r="G4854" s="23" t="str">
        <x:f>IF(E4854=F4854,"PASS","FAIL")</x:f>
        <x:v>PASS</x:v>
      </x:c>
    </x:row>
    <x:row r="4855">
      <x:c r="B4855" s="21" t="str">
        <x:v>A04849</x:v>
      </x:c>
      <x:c r="C4855" s="21" t="str">
        <x:v>artifact</x:v>
      </x:c>
      <x:c r="D4855" s="21" t="str">
        <x:v>artifact 1903 eligibility equation</x:v>
      </x:c>
      <x:c r="E4855" s="21" t="n">
        <x:f>IF(ABS('Artifact Ledger'!P1909-IF(AND('Artifact Ledger'!L1909=1,'Artifact Ledger'!M1909=1,'Artifact Ledger'!N1909=1,'Artifact Ledger'!O1909&gt;='Artifact Ledger'!G1909),'Artifact Ledger'!K1909,0))&lt;0.000001,1,0)</x:f>
        <x:v>1</x:v>
      </x:c>
      <x:c r="F4855" s="21" t="n">
        <x:v>1</x:v>
      </x:c>
      <x:c r="G4855" s="23" t="str">
        <x:f>IF(E4855=F4855,"PASS","FAIL")</x:f>
        <x:v>PASS</x:v>
      </x:c>
    </x:row>
    <x:row r="4856">
      <x:c r="B4856" s="21" t="str">
        <x:v>A04850</x:v>
      </x:c>
      <x:c r="C4856" s="21" t="str">
        <x:v>artifact</x:v>
      </x:c>
      <x:c r="D4856" s="21" t="str">
        <x:v>artifact 1903 planning state</x:v>
      </x:c>
      <x:c r="E4856" s="21" t="n">
        <x:f>IF(AND('Artifact Ledger'!Q1909="OPEN",'Artifact Ledger'!R1909="HOLD"),1,0)</x:f>
        <x:v>1</x:v>
      </x:c>
      <x:c r="F4856" s="21" t="n">
        <x:v>1</x:v>
      </x:c>
      <x:c r="G4856" s="23" t="str">
        <x:f>IF(E4856=F4856,"PASS","FAIL")</x:f>
        <x:v>PASS</x:v>
      </x:c>
    </x:row>
    <x:row r="4857">
      <x:c r="B4857" s="21" t="str">
        <x:v>A04851</x:v>
      </x:c>
      <x:c r="C4857" s="21" t="str">
        <x:v>artifact</x:v>
      </x:c>
      <x:c r="D4857" s="21" t="str">
        <x:v>artifact 1904 eligibility equation</x:v>
      </x:c>
      <x:c r="E4857" s="21" t="n">
        <x:f>IF(ABS('Artifact Ledger'!P1910-IF(AND('Artifact Ledger'!L1910=1,'Artifact Ledger'!M1910=1,'Artifact Ledger'!N1910=1,'Artifact Ledger'!O1910&gt;='Artifact Ledger'!G1910),'Artifact Ledger'!K1910,0))&lt;0.000001,1,0)</x:f>
        <x:v>1</x:v>
      </x:c>
      <x:c r="F4857" s="21" t="n">
        <x:v>1</x:v>
      </x:c>
      <x:c r="G4857" s="23" t="str">
        <x:f>IF(E4857=F4857,"PASS","FAIL")</x:f>
        <x:v>PASS</x:v>
      </x:c>
    </x:row>
    <x:row r="4858">
      <x:c r="B4858" s="21" t="str">
        <x:v>A04852</x:v>
      </x:c>
      <x:c r="C4858" s="21" t="str">
        <x:v>artifact</x:v>
      </x:c>
      <x:c r="D4858" s="21" t="str">
        <x:v>artifact 1904 planning state</x:v>
      </x:c>
      <x:c r="E4858" s="21" t="n">
        <x:f>IF(AND('Artifact Ledger'!Q1910="OPEN",'Artifact Ledger'!R1910="HOLD"),1,0)</x:f>
        <x:v>1</x:v>
      </x:c>
      <x:c r="F4858" s="21" t="n">
        <x:v>1</x:v>
      </x:c>
      <x:c r="G4858" s="23" t="str">
        <x:f>IF(E4858=F4858,"PASS","FAIL")</x:f>
        <x:v>PASS</x:v>
      </x:c>
    </x:row>
    <x:row r="4859">
      <x:c r="B4859" s="21" t="str">
        <x:v>A04853</x:v>
      </x:c>
      <x:c r="C4859" s="21" t="str">
        <x:v>artifact</x:v>
      </x:c>
      <x:c r="D4859" s="21" t="str">
        <x:v>artifact 1905 eligibility equation</x:v>
      </x:c>
      <x:c r="E4859" s="21" t="n">
        <x:f>IF(ABS('Artifact Ledger'!P1911-IF(AND('Artifact Ledger'!L1911=1,'Artifact Ledger'!M1911=1,'Artifact Ledger'!N1911=1,'Artifact Ledger'!O1911&gt;='Artifact Ledger'!G1911),'Artifact Ledger'!K1911,0))&lt;0.000001,1,0)</x:f>
        <x:v>1</x:v>
      </x:c>
      <x:c r="F4859" s="21" t="n">
        <x:v>1</x:v>
      </x:c>
      <x:c r="G4859" s="23" t="str">
        <x:f>IF(E4859=F4859,"PASS","FAIL")</x:f>
        <x:v>PASS</x:v>
      </x:c>
    </x:row>
    <x:row r="4860">
      <x:c r="B4860" s="21" t="str">
        <x:v>A04854</x:v>
      </x:c>
      <x:c r="C4860" s="21" t="str">
        <x:v>artifact</x:v>
      </x:c>
      <x:c r="D4860" s="21" t="str">
        <x:v>artifact 1905 planning state</x:v>
      </x:c>
      <x:c r="E4860" s="21" t="n">
        <x:f>IF(AND('Artifact Ledger'!Q1911="OPEN",'Artifact Ledger'!R1911="HOLD"),1,0)</x:f>
        <x:v>1</x:v>
      </x:c>
      <x:c r="F4860" s="21" t="n">
        <x:v>1</x:v>
      </x:c>
      <x:c r="G4860" s="23" t="str">
        <x:f>IF(E4860=F4860,"PASS","FAIL")</x:f>
        <x:v>PASS</x:v>
      </x:c>
    </x:row>
    <x:row r="4861">
      <x:c r="B4861" s="21" t="str">
        <x:v>A04855</x:v>
      </x:c>
      <x:c r="C4861" s="21" t="str">
        <x:v>artifact</x:v>
      </x:c>
      <x:c r="D4861" s="21" t="str">
        <x:v>artifact 1906 eligibility equation</x:v>
      </x:c>
      <x:c r="E4861" s="21" t="n">
        <x:f>IF(ABS('Artifact Ledger'!P1912-IF(AND('Artifact Ledger'!L1912=1,'Artifact Ledger'!M1912=1,'Artifact Ledger'!N1912=1,'Artifact Ledger'!O1912&gt;='Artifact Ledger'!G1912),'Artifact Ledger'!K1912,0))&lt;0.000001,1,0)</x:f>
        <x:v>1</x:v>
      </x:c>
      <x:c r="F4861" s="21" t="n">
        <x:v>1</x:v>
      </x:c>
      <x:c r="G4861" s="23" t="str">
        <x:f>IF(E4861=F4861,"PASS","FAIL")</x:f>
        <x:v>PASS</x:v>
      </x:c>
    </x:row>
    <x:row r="4862">
      <x:c r="B4862" s="21" t="str">
        <x:v>A04856</x:v>
      </x:c>
      <x:c r="C4862" s="21" t="str">
        <x:v>artifact</x:v>
      </x:c>
      <x:c r="D4862" s="21" t="str">
        <x:v>artifact 1906 planning state</x:v>
      </x:c>
      <x:c r="E4862" s="21" t="n">
        <x:f>IF(AND('Artifact Ledger'!Q1912="OPEN",'Artifact Ledger'!R1912="HOLD"),1,0)</x:f>
        <x:v>1</x:v>
      </x:c>
      <x:c r="F4862" s="21" t="n">
        <x:v>1</x:v>
      </x:c>
      <x:c r="G4862" s="23" t="str">
        <x:f>IF(E4862=F4862,"PASS","FAIL")</x:f>
        <x:v>PASS</x:v>
      </x:c>
    </x:row>
    <x:row r="4863">
      <x:c r="B4863" s="21" t="str">
        <x:v>A04857</x:v>
      </x:c>
      <x:c r="C4863" s="21" t="str">
        <x:v>artifact</x:v>
      </x:c>
      <x:c r="D4863" s="21" t="str">
        <x:v>artifact 1907 eligibility equation</x:v>
      </x:c>
      <x:c r="E4863" s="21" t="n">
        <x:f>IF(ABS('Artifact Ledger'!P1913-IF(AND('Artifact Ledger'!L1913=1,'Artifact Ledger'!M1913=1,'Artifact Ledger'!N1913=1,'Artifact Ledger'!O1913&gt;='Artifact Ledger'!G1913),'Artifact Ledger'!K1913,0))&lt;0.000001,1,0)</x:f>
        <x:v>1</x:v>
      </x:c>
      <x:c r="F4863" s="21" t="n">
        <x:v>1</x:v>
      </x:c>
      <x:c r="G4863" s="23" t="str">
        <x:f>IF(E4863=F4863,"PASS","FAIL")</x:f>
        <x:v>PASS</x:v>
      </x:c>
    </x:row>
    <x:row r="4864">
      <x:c r="B4864" s="21" t="str">
        <x:v>A04858</x:v>
      </x:c>
      <x:c r="C4864" s="21" t="str">
        <x:v>artifact</x:v>
      </x:c>
      <x:c r="D4864" s="21" t="str">
        <x:v>artifact 1907 planning state</x:v>
      </x:c>
      <x:c r="E4864" s="21" t="n">
        <x:f>IF(AND('Artifact Ledger'!Q1913="OPEN",'Artifact Ledger'!R1913="HOLD"),1,0)</x:f>
        <x:v>1</x:v>
      </x:c>
      <x:c r="F4864" s="21" t="n">
        <x:v>1</x:v>
      </x:c>
      <x:c r="G4864" s="23" t="str">
        <x:f>IF(E4864=F4864,"PASS","FAIL")</x:f>
        <x:v>PASS</x:v>
      </x:c>
    </x:row>
    <x:row r="4865">
      <x:c r="B4865" s="21" t="str">
        <x:v>A04859</x:v>
      </x:c>
      <x:c r="C4865" s="21" t="str">
        <x:v>artifact</x:v>
      </x:c>
      <x:c r="D4865" s="21" t="str">
        <x:v>artifact 1908 eligibility equation</x:v>
      </x:c>
      <x:c r="E4865" s="21" t="n">
        <x:f>IF(ABS('Artifact Ledger'!P1914-IF(AND('Artifact Ledger'!L1914=1,'Artifact Ledger'!M1914=1,'Artifact Ledger'!N1914=1,'Artifact Ledger'!O1914&gt;='Artifact Ledger'!G1914),'Artifact Ledger'!K1914,0))&lt;0.000001,1,0)</x:f>
        <x:v>1</x:v>
      </x:c>
      <x:c r="F4865" s="21" t="n">
        <x:v>1</x:v>
      </x:c>
      <x:c r="G4865" s="23" t="str">
        <x:f>IF(E4865=F4865,"PASS","FAIL")</x:f>
        <x:v>PASS</x:v>
      </x:c>
    </x:row>
    <x:row r="4866">
      <x:c r="B4866" s="21" t="str">
        <x:v>A04860</x:v>
      </x:c>
      <x:c r="C4866" s="21" t="str">
        <x:v>artifact</x:v>
      </x:c>
      <x:c r="D4866" s="21" t="str">
        <x:v>artifact 1908 planning state</x:v>
      </x:c>
      <x:c r="E4866" s="21" t="n">
        <x:f>IF(AND('Artifact Ledger'!Q1914="OPEN",'Artifact Ledger'!R1914="HOLD"),1,0)</x:f>
        <x:v>1</x:v>
      </x:c>
      <x:c r="F4866" s="21" t="n">
        <x:v>1</x:v>
      </x:c>
      <x:c r="G4866" s="23" t="str">
        <x:f>IF(E4866=F4866,"PASS","FAIL")</x:f>
        <x:v>PASS</x:v>
      </x:c>
    </x:row>
    <x:row r="4867">
      <x:c r="B4867" s="21" t="str">
        <x:v>A04861</x:v>
      </x:c>
      <x:c r="C4867" s="21" t="str">
        <x:v>artifact</x:v>
      </x:c>
      <x:c r="D4867" s="21" t="str">
        <x:v>artifact 1909 eligibility equation</x:v>
      </x:c>
      <x:c r="E4867" s="21" t="n">
        <x:f>IF(ABS('Artifact Ledger'!P1915-IF(AND('Artifact Ledger'!L1915=1,'Artifact Ledger'!M1915=1,'Artifact Ledger'!N1915=1,'Artifact Ledger'!O1915&gt;='Artifact Ledger'!G1915),'Artifact Ledger'!K1915,0))&lt;0.000001,1,0)</x:f>
        <x:v>1</x:v>
      </x:c>
      <x:c r="F4867" s="21" t="n">
        <x:v>1</x:v>
      </x:c>
      <x:c r="G4867" s="23" t="str">
        <x:f>IF(E4867=F4867,"PASS","FAIL")</x:f>
        <x:v>PASS</x:v>
      </x:c>
    </x:row>
    <x:row r="4868">
      <x:c r="B4868" s="21" t="str">
        <x:v>A04862</x:v>
      </x:c>
      <x:c r="C4868" s="21" t="str">
        <x:v>artifact</x:v>
      </x:c>
      <x:c r="D4868" s="21" t="str">
        <x:v>artifact 1909 planning state</x:v>
      </x:c>
      <x:c r="E4868" s="21" t="n">
        <x:f>IF(AND('Artifact Ledger'!Q1915="OPEN",'Artifact Ledger'!R1915="HOLD"),1,0)</x:f>
        <x:v>1</x:v>
      </x:c>
      <x:c r="F4868" s="21" t="n">
        <x:v>1</x:v>
      </x:c>
      <x:c r="G4868" s="23" t="str">
        <x:f>IF(E4868=F4868,"PASS","FAIL")</x:f>
        <x:v>PASS</x:v>
      </x:c>
    </x:row>
    <x:row r="4869">
      <x:c r="B4869" s="21" t="str">
        <x:v>A04863</x:v>
      </x:c>
      <x:c r="C4869" s="21" t="str">
        <x:v>artifact</x:v>
      </x:c>
      <x:c r="D4869" s="21" t="str">
        <x:v>artifact 1910 eligibility equation</x:v>
      </x:c>
      <x:c r="E4869" s="21" t="n">
        <x:f>IF(ABS('Artifact Ledger'!P1916-IF(AND('Artifact Ledger'!L1916=1,'Artifact Ledger'!M1916=1,'Artifact Ledger'!N1916=1,'Artifact Ledger'!O1916&gt;='Artifact Ledger'!G1916),'Artifact Ledger'!K1916,0))&lt;0.000001,1,0)</x:f>
        <x:v>1</x:v>
      </x:c>
      <x:c r="F4869" s="21" t="n">
        <x:v>1</x:v>
      </x:c>
      <x:c r="G4869" s="23" t="str">
        <x:f>IF(E4869=F4869,"PASS","FAIL")</x:f>
        <x:v>PASS</x:v>
      </x:c>
    </x:row>
    <x:row r="4870">
      <x:c r="B4870" s="21" t="str">
        <x:v>A04864</x:v>
      </x:c>
      <x:c r="C4870" s="21" t="str">
        <x:v>artifact</x:v>
      </x:c>
      <x:c r="D4870" s="21" t="str">
        <x:v>artifact 1910 planning state</x:v>
      </x:c>
      <x:c r="E4870" s="21" t="n">
        <x:f>IF(AND('Artifact Ledger'!Q1916="OPEN",'Artifact Ledger'!R1916="HOLD"),1,0)</x:f>
        <x:v>1</x:v>
      </x:c>
      <x:c r="F4870" s="21" t="n">
        <x:v>1</x:v>
      </x:c>
      <x:c r="G4870" s="23" t="str">
        <x:f>IF(E4870=F4870,"PASS","FAIL")</x:f>
        <x:v>PASS</x:v>
      </x:c>
    </x:row>
    <x:row r="4871">
      <x:c r="B4871" s="21" t="str">
        <x:v>A04865</x:v>
      </x:c>
      <x:c r="C4871" s="21" t="str">
        <x:v>artifact</x:v>
      </x:c>
      <x:c r="D4871" s="21" t="str">
        <x:v>artifact 1911 eligibility equation</x:v>
      </x:c>
      <x:c r="E4871" s="21" t="n">
        <x:f>IF(ABS('Artifact Ledger'!P1917-IF(AND('Artifact Ledger'!L1917=1,'Artifact Ledger'!M1917=1,'Artifact Ledger'!N1917=1,'Artifact Ledger'!O1917&gt;='Artifact Ledger'!G1917),'Artifact Ledger'!K1917,0))&lt;0.000001,1,0)</x:f>
        <x:v>1</x:v>
      </x:c>
      <x:c r="F4871" s="21" t="n">
        <x:v>1</x:v>
      </x:c>
      <x:c r="G4871" s="23" t="str">
        <x:f>IF(E4871=F4871,"PASS","FAIL")</x:f>
        <x:v>PASS</x:v>
      </x:c>
    </x:row>
    <x:row r="4872">
      <x:c r="B4872" s="21" t="str">
        <x:v>A04866</x:v>
      </x:c>
      <x:c r="C4872" s="21" t="str">
        <x:v>artifact</x:v>
      </x:c>
      <x:c r="D4872" s="21" t="str">
        <x:v>artifact 1911 planning state</x:v>
      </x:c>
      <x:c r="E4872" s="21" t="n">
        <x:f>IF(AND('Artifact Ledger'!Q1917="OPEN",'Artifact Ledger'!R1917="HOLD"),1,0)</x:f>
        <x:v>1</x:v>
      </x:c>
      <x:c r="F4872" s="21" t="n">
        <x:v>1</x:v>
      </x:c>
      <x:c r="G4872" s="23" t="str">
        <x:f>IF(E4872=F4872,"PASS","FAIL")</x:f>
        <x:v>PASS</x:v>
      </x:c>
    </x:row>
    <x:row r="4873">
      <x:c r="B4873" s="21" t="str">
        <x:v>A04867</x:v>
      </x:c>
      <x:c r="C4873" s="21" t="str">
        <x:v>artifact</x:v>
      </x:c>
      <x:c r="D4873" s="21" t="str">
        <x:v>artifact 1912 eligibility equation</x:v>
      </x:c>
      <x:c r="E4873" s="21" t="n">
        <x:f>IF(ABS('Artifact Ledger'!P1918-IF(AND('Artifact Ledger'!L1918=1,'Artifact Ledger'!M1918=1,'Artifact Ledger'!N1918=1,'Artifact Ledger'!O1918&gt;='Artifact Ledger'!G1918),'Artifact Ledger'!K1918,0))&lt;0.000001,1,0)</x:f>
        <x:v>1</x:v>
      </x:c>
      <x:c r="F4873" s="21" t="n">
        <x:v>1</x:v>
      </x:c>
      <x:c r="G4873" s="23" t="str">
        <x:f>IF(E4873=F4873,"PASS","FAIL")</x:f>
        <x:v>PASS</x:v>
      </x:c>
    </x:row>
    <x:row r="4874">
      <x:c r="B4874" s="21" t="str">
        <x:v>A04868</x:v>
      </x:c>
      <x:c r="C4874" s="21" t="str">
        <x:v>artifact</x:v>
      </x:c>
      <x:c r="D4874" s="21" t="str">
        <x:v>artifact 1912 planning state</x:v>
      </x:c>
      <x:c r="E4874" s="21" t="n">
        <x:f>IF(AND('Artifact Ledger'!Q1918="OPEN",'Artifact Ledger'!R1918="HOLD"),1,0)</x:f>
        <x:v>1</x:v>
      </x:c>
      <x:c r="F4874" s="21" t="n">
        <x:v>1</x:v>
      </x:c>
      <x:c r="G4874" s="23" t="str">
        <x:f>IF(E4874=F4874,"PASS","FAIL")</x:f>
        <x:v>PASS</x:v>
      </x:c>
    </x:row>
    <x:row r="4875">
      <x:c r="B4875" s="21" t="str">
        <x:v>A04869</x:v>
      </x:c>
      <x:c r="C4875" s="21" t="str">
        <x:v>artifact</x:v>
      </x:c>
      <x:c r="D4875" s="21" t="str">
        <x:v>artifact 1913 eligibility equation</x:v>
      </x:c>
      <x:c r="E4875" s="21" t="n">
        <x:f>IF(ABS('Artifact Ledger'!P1919-IF(AND('Artifact Ledger'!L1919=1,'Artifact Ledger'!M1919=1,'Artifact Ledger'!N1919=1,'Artifact Ledger'!O1919&gt;='Artifact Ledger'!G1919),'Artifact Ledger'!K1919,0))&lt;0.000001,1,0)</x:f>
        <x:v>1</x:v>
      </x:c>
      <x:c r="F4875" s="21" t="n">
        <x:v>1</x:v>
      </x:c>
      <x:c r="G4875" s="23" t="str">
        <x:f>IF(E4875=F4875,"PASS","FAIL")</x:f>
        <x:v>PASS</x:v>
      </x:c>
    </x:row>
    <x:row r="4876">
      <x:c r="B4876" s="21" t="str">
        <x:v>A04870</x:v>
      </x:c>
      <x:c r="C4876" s="21" t="str">
        <x:v>artifact</x:v>
      </x:c>
      <x:c r="D4876" s="21" t="str">
        <x:v>artifact 1913 planning state</x:v>
      </x:c>
      <x:c r="E4876" s="21" t="n">
        <x:f>IF(AND('Artifact Ledger'!Q1919="OPEN",'Artifact Ledger'!R1919="HOLD"),1,0)</x:f>
        <x:v>1</x:v>
      </x:c>
      <x:c r="F4876" s="21" t="n">
        <x:v>1</x:v>
      </x:c>
      <x:c r="G4876" s="23" t="str">
        <x:f>IF(E4876=F4876,"PASS","FAIL")</x:f>
        <x:v>PASS</x:v>
      </x:c>
    </x:row>
    <x:row r="4877">
      <x:c r="B4877" s="21" t="str">
        <x:v>A04871</x:v>
      </x:c>
      <x:c r="C4877" s="21" t="str">
        <x:v>artifact</x:v>
      </x:c>
      <x:c r="D4877" s="21" t="str">
        <x:v>artifact 1914 eligibility equation</x:v>
      </x:c>
      <x:c r="E4877" s="21" t="n">
        <x:f>IF(ABS('Artifact Ledger'!P1920-IF(AND('Artifact Ledger'!L1920=1,'Artifact Ledger'!M1920=1,'Artifact Ledger'!N1920=1,'Artifact Ledger'!O1920&gt;='Artifact Ledger'!G1920),'Artifact Ledger'!K1920,0))&lt;0.000001,1,0)</x:f>
        <x:v>1</x:v>
      </x:c>
      <x:c r="F4877" s="21" t="n">
        <x:v>1</x:v>
      </x:c>
      <x:c r="G4877" s="23" t="str">
        <x:f>IF(E4877=F4877,"PASS","FAIL")</x:f>
        <x:v>PASS</x:v>
      </x:c>
    </x:row>
    <x:row r="4878">
      <x:c r="B4878" s="21" t="str">
        <x:v>A04872</x:v>
      </x:c>
      <x:c r="C4878" s="21" t="str">
        <x:v>artifact</x:v>
      </x:c>
      <x:c r="D4878" s="21" t="str">
        <x:v>artifact 1914 planning state</x:v>
      </x:c>
      <x:c r="E4878" s="21" t="n">
        <x:f>IF(AND('Artifact Ledger'!Q1920="OPEN",'Artifact Ledger'!R1920="HOLD"),1,0)</x:f>
        <x:v>1</x:v>
      </x:c>
      <x:c r="F4878" s="21" t="n">
        <x:v>1</x:v>
      </x:c>
      <x:c r="G4878" s="23" t="str">
        <x:f>IF(E4878=F4878,"PASS","FAIL")</x:f>
        <x:v>PASS</x:v>
      </x:c>
    </x:row>
    <x:row r="4879">
      <x:c r="B4879" s="21" t="str">
        <x:v>A04873</x:v>
      </x:c>
      <x:c r="C4879" s="21" t="str">
        <x:v>artifact</x:v>
      </x:c>
      <x:c r="D4879" s="21" t="str">
        <x:v>artifact 1915 eligibility equation</x:v>
      </x:c>
      <x:c r="E4879" s="21" t="n">
        <x:f>IF(ABS('Artifact Ledger'!P1921-IF(AND('Artifact Ledger'!L1921=1,'Artifact Ledger'!M1921=1,'Artifact Ledger'!N1921=1,'Artifact Ledger'!O1921&gt;='Artifact Ledger'!G1921),'Artifact Ledger'!K1921,0))&lt;0.000001,1,0)</x:f>
        <x:v>1</x:v>
      </x:c>
      <x:c r="F4879" s="21" t="n">
        <x:v>1</x:v>
      </x:c>
      <x:c r="G4879" s="23" t="str">
        <x:f>IF(E4879=F4879,"PASS","FAIL")</x:f>
        <x:v>PASS</x:v>
      </x:c>
    </x:row>
    <x:row r="4880">
      <x:c r="B4880" s="21" t="str">
        <x:v>A04874</x:v>
      </x:c>
      <x:c r="C4880" s="21" t="str">
        <x:v>artifact</x:v>
      </x:c>
      <x:c r="D4880" s="21" t="str">
        <x:v>artifact 1915 planning state</x:v>
      </x:c>
      <x:c r="E4880" s="21" t="n">
        <x:f>IF(AND('Artifact Ledger'!Q1921="OPEN",'Artifact Ledger'!R1921="HOLD"),1,0)</x:f>
        <x:v>1</x:v>
      </x:c>
      <x:c r="F4880" s="21" t="n">
        <x:v>1</x:v>
      </x:c>
      <x:c r="G4880" s="23" t="str">
        <x:f>IF(E4880=F4880,"PASS","FAIL")</x:f>
        <x:v>PASS</x:v>
      </x:c>
    </x:row>
    <x:row r="4881">
      <x:c r="B4881" s="21" t="str">
        <x:v>A04875</x:v>
      </x:c>
      <x:c r="C4881" s="21" t="str">
        <x:v>artifact</x:v>
      </x:c>
      <x:c r="D4881" s="21" t="str">
        <x:v>artifact 1916 eligibility equation</x:v>
      </x:c>
      <x:c r="E4881" s="21" t="n">
        <x:f>IF(ABS('Artifact Ledger'!P1922-IF(AND('Artifact Ledger'!L1922=1,'Artifact Ledger'!M1922=1,'Artifact Ledger'!N1922=1,'Artifact Ledger'!O1922&gt;='Artifact Ledger'!G1922),'Artifact Ledger'!K1922,0))&lt;0.000001,1,0)</x:f>
        <x:v>1</x:v>
      </x:c>
      <x:c r="F4881" s="21" t="n">
        <x:v>1</x:v>
      </x:c>
      <x:c r="G4881" s="23" t="str">
        <x:f>IF(E4881=F4881,"PASS","FAIL")</x:f>
        <x:v>PASS</x:v>
      </x:c>
    </x:row>
    <x:row r="4882">
      <x:c r="B4882" s="21" t="str">
        <x:v>A04876</x:v>
      </x:c>
      <x:c r="C4882" s="21" t="str">
        <x:v>artifact</x:v>
      </x:c>
      <x:c r="D4882" s="21" t="str">
        <x:v>artifact 1916 planning state</x:v>
      </x:c>
      <x:c r="E4882" s="21" t="n">
        <x:f>IF(AND('Artifact Ledger'!Q1922="OPEN",'Artifact Ledger'!R1922="HOLD"),1,0)</x:f>
        <x:v>1</x:v>
      </x:c>
      <x:c r="F4882" s="21" t="n">
        <x:v>1</x:v>
      </x:c>
      <x:c r="G4882" s="23" t="str">
        <x:f>IF(E4882=F4882,"PASS","FAIL")</x:f>
        <x:v>PASS</x:v>
      </x:c>
    </x:row>
    <x:row r="4883">
      <x:c r="B4883" s="21" t="str">
        <x:v>A04877</x:v>
      </x:c>
      <x:c r="C4883" s="21" t="str">
        <x:v>artifact</x:v>
      </x:c>
      <x:c r="D4883" s="21" t="str">
        <x:v>artifact 1917 eligibility equation</x:v>
      </x:c>
      <x:c r="E4883" s="21" t="n">
        <x:f>IF(ABS('Artifact Ledger'!P1923-IF(AND('Artifact Ledger'!L1923=1,'Artifact Ledger'!M1923=1,'Artifact Ledger'!N1923=1,'Artifact Ledger'!O1923&gt;='Artifact Ledger'!G1923),'Artifact Ledger'!K1923,0))&lt;0.000001,1,0)</x:f>
        <x:v>1</x:v>
      </x:c>
      <x:c r="F4883" s="21" t="n">
        <x:v>1</x:v>
      </x:c>
      <x:c r="G4883" s="23" t="str">
        <x:f>IF(E4883=F4883,"PASS","FAIL")</x:f>
        <x:v>PASS</x:v>
      </x:c>
    </x:row>
    <x:row r="4884">
      <x:c r="B4884" s="21" t="str">
        <x:v>A04878</x:v>
      </x:c>
      <x:c r="C4884" s="21" t="str">
        <x:v>artifact</x:v>
      </x:c>
      <x:c r="D4884" s="21" t="str">
        <x:v>artifact 1917 planning state</x:v>
      </x:c>
      <x:c r="E4884" s="21" t="n">
        <x:f>IF(AND('Artifact Ledger'!Q1923="OPEN",'Artifact Ledger'!R1923="HOLD"),1,0)</x:f>
        <x:v>1</x:v>
      </x:c>
      <x:c r="F4884" s="21" t="n">
        <x:v>1</x:v>
      </x:c>
      <x:c r="G4884" s="23" t="str">
        <x:f>IF(E4884=F4884,"PASS","FAIL")</x:f>
        <x:v>PASS</x:v>
      </x:c>
    </x:row>
    <x:row r="4885">
      <x:c r="B4885" s="21" t="str">
        <x:v>A04879</x:v>
      </x:c>
      <x:c r="C4885" s="21" t="str">
        <x:v>artifact</x:v>
      </x:c>
      <x:c r="D4885" s="21" t="str">
        <x:v>artifact 1918 eligibility equation</x:v>
      </x:c>
      <x:c r="E4885" s="21" t="n">
        <x:f>IF(ABS('Artifact Ledger'!P1924-IF(AND('Artifact Ledger'!L1924=1,'Artifact Ledger'!M1924=1,'Artifact Ledger'!N1924=1,'Artifact Ledger'!O1924&gt;='Artifact Ledger'!G1924),'Artifact Ledger'!K1924,0))&lt;0.000001,1,0)</x:f>
        <x:v>1</x:v>
      </x:c>
      <x:c r="F4885" s="21" t="n">
        <x:v>1</x:v>
      </x:c>
      <x:c r="G4885" s="23" t="str">
        <x:f>IF(E4885=F4885,"PASS","FAIL")</x:f>
        <x:v>PASS</x:v>
      </x:c>
    </x:row>
    <x:row r="4886">
      <x:c r="B4886" s="21" t="str">
        <x:v>A04880</x:v>
      </x:c>
      <x:c r="C4886" s="21" t="str">
        <x:v>artifact</x:v>
      </x:c>
      <x:c r="D4886" s="21" t="str">
        <x:v>artifact 1918 planning state</x:v>
      </x:c>
      <x:c r="E4886" s="21" t="n">
        <x:f>IF(AND('Artifact Ledger'!Q1924="OPEN",'Artifact Ledger'!R1924="HOLD"),1,0)</x:f>
        <x:v>1</x:v>
      </x:c>
      <x:c r="F4886" s="21" t="n">
        <x:v>1</x:v>
      </x:c>
      <x:c r="G4886" s="23" t="str">
        <x:f>IF(E4886=F4886,"PASS","FAIL")</x:f>
        <x:v>PASS</x:v>
      </x:c>
    </x:row>
    <x:row r="4887">
      <x:c r="B4887" s="21" t="str">
        <x:v>A04881</x:v>
      </x:c>
      <x:c r="C4887" s="21" t="str">
        <x:v>artifact</x:v>
      </x:c>
      <x:c r="D4887" s="21" t="str">
        <x:v>artifact 1919 eligibility equation</x:v>
      </x:c>
      <x:c r="E4887" s="21" t="n">
        <x:f>IF(ABS('Artifact Ledger'!P1925-IF(AND('Artifact Ledger'!L1925=1,'Artifact Ledger'!M1925=1,'Artifact Ledger'!N1925=1,'Artifact Ledger'!O1925&gt;='Artifact Ledger'!G1925),'Artifact Ledger'!K1925,0))&lt;0.000001,1,0)</x:f>
        <x:v>1</x:v>
      </x:c>
      <x:c r="F4887" s="21" t="n">
        <x:v>1</x:v>
      </x:c>
      <x:c r="G4887" s="23" t="str">
        <x:f>IF(E4887=F4887,"PASS","FAIL")</x:f>
        <x:v>PASS</x:v>
      </x:c>
    </x:row>
    <x:row r="4888">
      <x:c r="B4888" s="21" t="str">
        <x:v>A04882</x:v>
      </x:c>
      <x:c r="C4888" s="21" t="str">
        <x:v>artifact</x:v>
      </x:c>
      <x:c r="D4888" s="21" t="str">
        <x:v>artifact 1919 planning state</x:v>
      </x:c>
      <x:c r="E4888" s="21" t="n">
        <x:f>IF(AND('Artifact Ledger'!Q1925="OPEN",'Artifact Ledger'!R1925="HOLD"),1,0)</x:f>
        <x:v>1</x:v>
      </x:c>
      <x:c r="F4888" s="21" t="n">
        <x:v>1</x:v>
      </x:c>
      <x:c r="G4888" s="23" t="str">
        <x:f>IF(E4888=F4888,"PASS","FAIL")</x:f>
        <x:v>PASS</x:v>
      </x:c>
    </x:row>
    <x:row r="4889">
      <x:c r="B4889" s="21" t="str">
        <x:v>A04883</x:v>
      </x:c>
      <x:c r="C4889" s="21" t="str">
        <x:v>artifact</x:v>
      </x:c>
      <x:c r="D4889" s="21" t="str">
        <x:v>artifact 1920 eligibility equation</x:v>
      </x:c>
      <x:c r="E4889" s="21" t="n">
        <x:f>IF(ABS('Artifact Ledger'!P1926-IF(AND('Artifact Ledger'!L1926=1,'Artifact Ledger'!M1926=1,'Artifact Ledger'!N1926=1,'Artifact Ledger'!O1926&gt;='Artifact Ledger'!G1926),'Artifact Ledger'!K1926,0))&lt;0.000001,1,0)</x:f>
        <x:v>1</x:v>
      </x:c>
      <x:c r="F4889" s="21" t="n">
        <x:v>1</x:v>
      </x:c>
      <x:c r="G4889" s="23" t="str">
        <x:f>IF(E4889=F4889,"PASS","FAIL")</x:f>
        <x:v>PASS</x:v>
      </x:c>
    </x:row>
    <x:row r="4890">
      <x:c r="B4890" s="21" t="str">
        <x:v>A04884</x:v>
      </x:c>
      <x:c r="C4890" s="21" t="str">
        <x:v>artifact</x:v>
      </x:c>
      <x:c r="D4890" s="21" t="str">
        <x:v>artifact 1920 planning state</x:v>
      </x:c>
      <x:c r="E4890" s="21" t="n">
        <x:f>IF(AND('Artifact Ledger'!Q1926="OPEN",'Artifact Ledger'!R1926="HOLD"),1,0)</x:f>
        <x:v>1</x:v>
      </x:c>
      <x:c r="F4890" s="21" t="n">
        <x:v>1</x:v>
      </x:c>
      <x:c r="G4890" s="23" t="str">
        <x:f>IF(E4890=F4890,"PASS","FAIL")</x:f>
        <x:v>PASS</x:v>
      </x:c>
    </x:row>
    <x:row r="4891">
      <x:c r="B4891" s="21" t="str">
        <x:v>A04885</x:v>
      </x:c>
      <x:c r="C4891" s="21" t="str">
        <x:v>baseline</x:v>
      </x:c>
      <x:c r="D4891" s="21" t="str">
        <x:v>baseline 1 planning state</x:v>
      </x:c>
      <x:c r="E4891" s="21" t="n">
        <x:f>IF(AND('Baseline Register'!G7="0.0.0",'Baseline Register'!I7="OPEN",'Baseline Register'!J7="HOLD"),1,0)</x:f>
        <x:v>1</x:v>
      </x:c>
      <x:c r="F4891" s="21" t="n">
        <x:v>1</x:v>
      </x:c>
      <x:c r="G4891" s="23" t="str">
        <x:f>IF(E4891=F4891,"PASS","FAIL")</x:f>
        <x:v>PASS</x:v>
      </x:c>
    </x:row>
    <x:row r="4892">
      <x:c r="B4892" s="21" t="str">
        <x:v>A04886</x:v>
      </x:c>
      <x:c r="C4892" s="21" t="str">
        <x:v>baseline</x:v>
      </x:c>
      <x:c r="D4892" s="21" t="str">
        <x:v>baseline 2 planning state</x:v>
      </x:c>
      <x:c r="E4892" s="21" t="n">
        <x:f>IF(AND('Baseline Register'!G8="0.0.0",'Baseline Register'!I8="OPEN",'Baseline Register'!J8="HOLD"),1,0)</x:f>
        <x:v>1</x:v>
      </x:c>
      <x:c r="F4892" s="21" t="n">
        <x:v>1</x:v>
      </x:c>
      <x:c r="G4892" s="23" t="str">
        <x:f>IF(E4892=F4892,"PASS","FAIL")</x:f>
        <x:v>PASS</x:v>
      </x:c>
    </x:row>
    <x:row r="4893">
      <x:c r="B4893" s="21" t="str">
        <x:v>A04887</x:v>
      </x:c>
      <x:c r="C4893" s="21" t="str">
        <x:v>baseline</x:v>
      </x:c>
      <x:c r="D4893" s="21" t="str">
        <x:v>baseline 3 planning state</x:v>
      </x:c>
      <x:c r="E4893" s="21" t="n">
        <x:f>IF(AND('Baseline Register'!G9="0.0.0",'Baseline Register'!I9="OPEN",'Baseline Register'!J9="HOLD"),1,0)</x:f>
        <x:v>1</x:v>
      </x:c>
      <x:c r="F4893" s="21" t="n">
        <x:v>1</x:v>
      </x:c>
      <x:c r="G4893" s="23" t="str">
        <x:f>IF(E4893=F4893,"PASS","FAIL")</x:f>
        <x:v>PASS</x:v>
      </x:c>
    </x:row>
    <x:row r="4894">
      <x:c r="B4894" s="21" t="str">
        <x:v>A04888</x:v>
      </x:c>
      <x:c r="C4894" s="21" t="str">
        <x:v>baseline</x:v>
      </x:c>
      <x:c r="D4894" s="21" t="str">
        <x:v>baseline 4 planning state</x:v>
      </x:c>
      <x:c r="E4894" s="21" t="n">
        <x:f>IF(AND('Baseline Register'!G10="0.0.0",'Baseline Register'!I10="OPEN",'Baseline Register'!J10="HOLD"),1,0)</x:f>
        <x:v>1</x:v>
      </x:c>
      <x:c r="F4894" s="21" t="n">
        <x:v>1</x:v>
      </x:c>
      <x:c r="G4894" s="23" t="str">
        <x:f>IF(E4894=F4894,"PASS","FAIL")</x:f>
        <x:v>PASS</x:v>
      </x:c>
    </x:row>
    <x:row r="4895">
      <x:c r="B4895" s="21" t="str">
        <x:v>A04889</x:v>
      </x:c>
      <x:c r="C4895" s="21" t="str">
        <x:v>baseline</x:v>
      </x:c>
      <x:c r="D4895" s="21" t="str">
        <x:v>baseline 5 planning state</x:v>
      </x:c>
      <x:c r="E4895" s="21" t="n">
        <x:f>IF(AND('Baseline Register'!G11="0.0.0",'Baseline Register'!I11="OPEN",'Baseline Register'!J11="HOLD"),1,0)</x:f>
        <x:v>1</x:v>
      </x:c>
      <x:c r="F4895" s="21" t="n">
        <x:v>1</x:v>
      </x:c>
      <x:c r="G4895" s="23" t="str">
        <x:f>IF(E4895=F4895,"PASS","FAIL")</x:f>
        <x:v>PASS</x:v>
      </x:c>
    </x:row>
    <x:row r="4896">
      <x:c r="B4896" s="21" t="str">
        <x:v>A04890</x:v>
      </x:c>
      <x:c r="C4896" s="21" t="str">
        <x:v>baseline</x:v>
      </x:c>
      <x:c r="D4896" s="21" t="str">
        <x:v>baseline 6 planning state</x:v>
      </x:c>
      <x:c r="E4896" s="21" t="n">
        <x:f>IF(AND('Baseline Register'!G12="0.0.0",'Baseline Register'!I12="OPEN",'Baseline Register'!J12="HOLD"),1,0)</x:f>
        <x:v>1</x:v>
      </x:c>
      <x:c r="F4896" s="21" t="n">
        <x:v>1</x:v>
      </x:c>
      <x:c r="G4896" s="23" t="str">
        <x:f>IF(E4896=F4896,"PASS","FAIL")</x:f>
        <x:v>PASS</x:v>
      </x:c>
    </x:row>
    <x:row r="4897">
      <x:c r="B4897" s="21" t="str">
        <x:v>A04891</x:v>
      </x:c>
      <x:c r="C4897" s="21" t="str">
        <x:v>baseline</x:v>
      </x:c>
      <x:c r="D4897" s="21" t="str">
        <x:v>baseline 7 planning state</x:v>
      </x:c>
      <x:c r="E4897" s="21" t="n">
        <x:f>IF(AND('Baseline Register'!G13="0.0.0",'Baseline Register'!I13="OPEN",'Baseline Register'!J13="HOLD"),1,0)</x:f>
        <x:v>1</x:v>
      </x:c>
      <x:c r="F4897" s="21" t="n">
        <x:v>1</x:v>
      </x:c>
      <x:c r="G4897" s="23" t="str">
        <x:f>IF(E4897=F4897,"PASS","FAIL")</x:f>
        <x:v>PASS</x:v>
      </x:c>
    </x:row>
    <x:row r="4898">
      <x:c r="B4898" s="21" t="str">
        <x:v>A04892</x:v>
      </x:c>
      <x:c r="C4898" s="21" t="str">
        <x:v>baseline</x:v>
      </x:c>
      <x:c r="D4898" s="21" t="str">
        <x:v>baseline 8 planning state</x:v>
      </x:c>
      <x:c r="E4898" s="21" t="n">
        <x:f>IF(AND('Baseline Register'!G14="0.0.0",'Baseline Register'!I14="OPEN",'Baseline Register'!J14="HOLD"),1,0)</x:f>
        <x:v>1</x:v>
      </x:c>
      <x:c r="F4898" s="21" t="n">
        <x:v>1</x:v>
      </x:c>
      <x:c r="G4898" s="23" t="str">
        <x:f>IF(E4898=F4898,"PASS","FAIL")</x:f>
        <x:v>PASS</x:v>
      </x:c>
    </x:row>
    <x:row r="4899">
      <x:c r="B4899" s="21" t="str">
        <x:v>A04893</x:v>
      </x:c>
      <x:c r="C4899" s="21" t="str">
        <x:v>baseline</x:v>
      </x:c>
      <x:c r="D4899" s="21" t="str">
        <x:v>baseline 9 planning state</x:v>
      </x:c>
      <x:c r="E4899" s="21" t="n">
        <x:f>IF(AND('Baseline Register'!G15="0.0.0",'Baseline Register'!I15="OPEN",'Baseline Register'!J15="HOLD"),1,0)</x:f>
        <x:v>1</x:v>
      </x:c>
      <x:c r="F4899" s="21" t="n">
        <x:v>1</x:v>
      </x:c>
      <x:c r="G4899" s="23" t="str">
        <x:f>IF(E4899=F4899,"PASS","FAIL")</x:f>
        <x:v>PASS</x:v>
      </x:c>
    </x:row>
    <x:row r="4900">
      <x:c r="B4900" s="21" t="str">
        <x:v>A04894</x:v>
      </x:c>
      <x:c r="C4900" s="21" t="str">
        <x:v>baseline</x:v>
      </x:c>
      <x:c r="D4900" s="21" t="str">
        <x:v>baseline 10 planning state</x:v>
      </x:c>
      <x:c r="E4900" s="21" t="n">
        <x:f>IF(AND('Baseline Register'!G16="0.0.0",'Baseline Register'!I16="OPEN",'Baseline Register'!J16="HOLD"),1,0)</x:f>
        <x:v>1</x:v>
      </x:c>
      <x:c r="F4900" s="21" t="n">
        <x:v>1</x:v>
      </x:c>
      <x:c r="G4900" s="23" t="str">
        <x:f>IF(E4900=F4900,"PASS","FAIL")</x:f>
        <x:v>PASS</x:v>
      </x:c>
    </x:row>
    <x:row r="4901">
      <x:c r="B4901" s="21" t="str">
        <x:v>A04895</x:v>
      </x:c>
      <x:c r="C4901" s="21" t="str">
        <x:v>baseline</x:v>
      </x:c>
      <x:c r="D4901" s="21" t="str">
        <x:v>baseline 11 planning state</x:v>
      </x:c>
      <x:c r="E4901" s="21" t="n">
        <x:f>IF(AND('Baseline Register'!G17="0.0.0",'Baseline Register'!I17="OPEN",'Baseline Register'!J17="HOLD"),1,0)</x:f>
        <x:v>1</x:v>
      </x:c>
      <x:c r="F4901" s="21" t="n">
        <x:v>1</x:v>
      </x:c>
      <x:c r="G4901" s="23" t="str">
        <x:f>IF(E4901=F4901,"PASS","FAIL")</x:f>
        <x:v>PASS</x:v>
      </x:c>
    </x:row>
    <x:row r="4902">
      <x:c r="B4902" s="21" t="str">
        <x:v>A04896</x:v>
      </x:c>
      <x:c r="C4902" s="21" t="str">
        <x:v>baseline</x:v>
      </x:c>
      <x:c r="D4902" s="21" t="str">
        <x:v>baseline 12 planning state</x:v>
      </x:c>
      <x:c r="E4902" s="21" t="n">
        <x:f>IF(AND('Baseline Register'!G18="0.0.0",'Baseline Register'!I18="OPEN",'Baseline Register'!J18="HOLD"),1,0)</x:f>
        <x:v>1</x:v>
      </x:c>
      <x:c r="F4902" s="21" t="n">
        <x:v>1</x:v>
      </x:c>
      <x:c r="G4902" s="23" t="str">
        <x:f>IF(E4902=F4902,"PASS","FAIL")</x:f>
        <x:v>PASS</x:v>
      </x:c>
    </x:row>
    <x:row r="4903">
      <x:c r="B4903" s="21" t="str">
        <x:v>A04897</x:v>
      </x:c>
      <x:c r="C4903" s="21" t="str">
        <x:v>baseline</x:v>
      </x:c>
      <x:c r="D4903" s="21" t="str">
        <x:v>baseline 13 planning state</x:v>
      </x:c>
      <x:c r="E4903" s="21" t="n">
        <x:f>IF(AND('Baseline Register'!G19="0.0.0",'Baseline Register'!I19="OPEN",'Baseline Register'!J19="HOLD"),1,0)</x:f>
        <x:v>1</x:v>
      </x:c>
      <x:c r="F4903" s="21" t="n">
        <x:v>1</x:v>
      </x:c>
      <x:c r="G4903" s="23" t="str">
        <x:f>IF(E4903=F4903,"PASS","FAIL")</x:f>
        <x:v>PASS</x:v>
      </x:c>
    </x:row>
    <x:row r="4904">
      <x:c r="B4904" s="21" t="str">
        <x:v>A04898</x:v>
      </x:c>
      <x:c r="C4904" s="21" t="str">
        <x:v>baseline</x:v>
      </x:c>
      <x:c r="D4904" s="21" t="str">
        <x:v>baseline 14 planning state</x:v>
      </x:c>
      <x:c r="E4904" s="21" t="n">
        <x:f>IF(AND('Baseline Register'!G20="0.0.0",'Baseline Register'!I20="OPEN",'Baseline Register'!J20="HOLD"),1,0)</x:f>
        <x:v>1</x:v>
      </x:c>
      <x:c r="F4904" s="21" t="n">
        <x:v>1</x:v>
      </x:c>
      <x:c r="G4904" s="23" t="str">
        <x:f>IF(E4904=F4904,"PASS","FAIL")</x:f>
        <x:v>PASS</x:v>
      </x:c>
    </x:row>
    <x:row r="4905">
      <x:c r="B4905" s="21" t="str">
        <x:v>A04899</x:v>
      </x:c>
      <x:c r="C4905" s="21" t="str">
        <x:v>baseline</x:v>
      </x:c>
      <x:c r="D4905" s="21" t="str">
        <x:v>baseline 15 planning state</x:v>
      </x:c>
      <x:c r="E4905" s="21" t="n">
        <x:f>IF(AND('Baseline Register'!G21="0.0.0",'Baseline Register'!I21="OPEN",'Baseline Register'!J21="HOLD"),1,0)</x:f>
        <x:v>1</x:v>
      </x:c>
      <x:c r="F4905" s="21" t="n">
        <x:v>1</x:v>
      </x:c>
      <x:c r="G4905" s="23" t="str">
        <x:f>IF(E4905=F4905,"PASS","FAIL")</x:f>
        <x:v>PASS</x:v>
      </x:c>
    </x:row>
    <x:row r="4906">
      <x:c r="B4906" s="21" t="str">
        <x:v>A04900</x:v>
      </x:c>
      <x:c r="C4906" s="21" t="str">
        <x:v>baseline</x:v>
      </x:c>
      <x:c r="D4906" s="21" t="str">
        <x:v>baseline 16 planning state</x:v>
      </x:c>
      <x:c r="E4906" s="21" t="n">
        <x:f>IF(AND('Baseline Register'!G22="0.0.0",'Baseline Register'!I22="OPEN",'Baseline Register'!J22="HOLD"),1,0)</x:f>
        <x:v>1</x:v>
      </x:c>
      <x:c r="F4906" s="21" t="n">
        <x:v>1</x:v>
      </x:c>
      <x:c r="G4906" s="23" t="str">
        <x:f>IF(E4906=F4906,"PASS","FAIL")</x:f>
        <x:v>PASS</x:v>
      </x:c>
    </x:row>
    <x:row r="4907">
      <x:c r="B4907" s="21" t="str">
        <x:v>A04901</x:v>
      </x:c>
      <x:c r="C4907" s="21" t="str">
        <x:v>baseline</x:v>
      </x:c>
      <x:c r="D4907" s="21" t="str">
        <x:v>baseline 17 planning state</x:v>
      </x:c>
      <x:c r="E4907" s="21" t="n">
        <x:f>IF(AND('Baseline Register'!G23="0.0.0",'Baseline Register'!I23="OPEN",'Baseline Register'!J23="HOLD"),1,0)</x:f>
        <x:v>1</x:v>
      </x:c>
      <x:c r="F4907" s="21" t="n">
        <x:v>1</x:v>
      </x:c>
      <x:c r="G4907" s="23" t="str">
        <x:f>IF(E4907=F4907,"PASS","FAIL")</x:f>
        <x:v>PASS</x:v>
      </x:c>
    </x:row>
    <x:row r="4908">
      <x:c r="B4908" s="21" t="str">
        <x:v>A04902</x:v>
      </x:c>
      <x:c r="C4908" s="21" t="str">
        <x:v>baseline</x:v>
      </x:c>
      <x:c r="D4908" s="21" t="str">
        <x:v>baseline 18 planning state</x:v>
      </x:c>
      <x:c r="E4908" s="21" t="n">
        <x:f>IF(AND('Baseline Register'!G24="0.0.0",'Baseline Register'!I24="OPEN",'Baseline Register'!J24="HOLD"),1,0)</x:f>
        <x:v>1</x:v>
      </x:c>
      <x:c r="F4908" s="21" t="n">
        <x:v>1</x:v>
      </x:c>
      <x:c r="G4908" s="23" t="str">
        <x:f>IF(E4908=F4908,"PASS","FAIL")</x:f>
        <x:v>PASS</x:v>
      </x:c>
    </x:row>
    <x:row r="4909">
      <x:c r="B4909" s="21" t="str">
        <x:v>A04903</x:v>
      </x:c>
      <x:c r="C4909" s="21" t="str">
        <x:v>baseline</x:v>
      </x:c>
      <x:c r="D4909" s="21" t="str">
        <x:v>baseline 19 planning state</x:v>
      </x:c>
      <x:c r="E4909" s="21" t="n">
        <x:f>IF(AND('Baseline Register'!G25="0.0.0",'Baseline Register'!I25="OPEN",'Baseline Register'!J25="HOLD"),1,0)</x:f>
        <x:v>1</x:v>
      </x:c>
      <x:c r="F4909" s="21" t="n">
        <x:v>1</x:v>
      </x:c>
      <x:c r="G4909" s="23" t="str">
        <x:f>IF(E4909=F4909,"PASS","FAIL")</x:f>
        <x:v>PASS</x:v>
      </x:c>
    </x:row>
    <x:row r="4910">
      <x:c r="B4910" s="21" t="str">
        <x:v>A04904</x:v>
      </x:c>
      <x:c r="C4910" s="21" t="str">
        <x:v>baseline</x:v>
      </x:c>
      <x:c r="D4910" s="21" t="str">
        <x:v>baseline 20 planning state</x:v>
      </x:c>
      <x:c r="E4910" s="21" t="n">
        <x:f>IF(AND('Baseline Register'!G26="0.0.0",'Baseline Register'!I26="OPEN",'Baseline Register'!J26="HOLD"),1,0)</x:f>
        <x:v>1</x:v>
      </x:c>
      <x:c r="F4910" s="21" t="n">
        <x:v>1</x:v>
      </x:c>
      <x:c r="G4910" s="23" t="str">
        <x:f>IF(E4910=F4910,"PASS","FAIL")</x:f>
        <x:v>PASS</x:v>
      </x:c>
    </x:row>
    <x:row r="4911">
      <x:c r="B4911" s="21" t="str">
        <x:v>A04905</x:v>
      </x:c>
      <x:c r="C4911" s="21" t="str">
        <x:v>baseline</x:v>
      </x:c>
      <x:c r="D4911" s="21" t="str">
        <x:v>baseline 21 planning state</x:v>
      </x:c>
      <x:c r="E4911" s="21" t="n">
        <x:f>IF(AND('Baseline Register'!G27="0.0.0",'Baseline Register'!I27="OPEN",'Baseline Register'!J27="HOLD"),1,0)</x:f>
        <x:v>1</x:v>
      </x:c>
      <x:c r="F4911" s="21" t="n">
        <x:v>1</x:v>
      </x:c>
      <x:c r="G4911" s="23" t="str">
        <x:f>IF(E4911=F4911,"PASS","FAIL")</x:f>
        <x:v>PASS</x:v>
      </x:c>
    </x:row>
    <x:row r="4912">
      <x:c r="B4912" s="21" t="str">
        <x:v>A04906</x:v>
      </x:c>
      <x:c r="C4912" s="21" t="str">
        <x:v>baseline</x:v>
      </x:c>
      <x:c r="D4912" s="21" t="str">
        <x:v>baseline 22 planning state</x:v>
      </x:c>
      <x:c r="E4912" s="21" t="n">
        <x:f>IF(AND('Baseline Register'!G28="0.0.0",'Baseline Register'!I28="OPEN",'Baseline Register'!J28="HOLD"),1,0)</x:f>
        <x:v>1</x:v>
      </x:c>
      <x:c r="F4912" s="21" t="n">
        <x:v>1</x:v>
      </x:c>
      <x:c r="G4912" s="23" t="str">
        <x:f>IF(E4912=F4912,"PASS","FAIL")</x:f>
        <x:v>PASS</x:v>
      </x:c>
    </x:row>
    <x:row r="4913">
      <x:c r="B4913" s="21" t="str">
        <x:v>A04907</x:v>
      </x:c>
      <x:c r="C4913" s="21" t="str">
        <x:v>baseline</x:v>
      </x:c>
      <x:c r="D4913" s="21" t="str">
        <x:v>baseline 23 planning state</x:v>
      </x:c>
      <x:c r="E4913" s="21" t="n">
        <x:f>IF(AND('Baseline Register'!G29="0.0.0",'Baseline Register'!I29="OPEN",'Baseline Register'!J29="HOLD"),1,0)</x:f>
        <x:v>1</x:v>
      </x:c>
      <x:c r="F4913" s="21" t="n">
        <x:v>1</x:v>
      </x:c>
      <x:c r="G4913" s="23" t="str">
        <x:f>IF(E4913=F4913,"PASS","FAIL")</x:f>
        <x:v>PASS</x:v>
      </x:c>
    </x:row>
    <x:row r="4914">
      <x:c r="B4914" s="21" t="str">
        <x:v>A04908</x:v>
      </x:c>
      <x:c r="C4914" s="21" t="str">
        <x:v>baseline</x:v>
      </x:c>
      <x:c r="D4914" s="21" t="str">
        <x:v>baseline 24 planning state</x:v>
      </x:c>
      <x:c r="E4914" s="21" t="n">
        <x:f>IF(AND('Baseline Register'!G30="0.0.0",'Baseline Register'!I30="OPEN",'Baseline Register'!J30="HOLD"),1,0)</x:f>
        <x:v>1</x:v>
      </x:c>
      <x:c r="F4914" s="21" t="n">
        <x:v>1</x:v>
      </x:c>
      <x:c r="G4914" s="23" t="str">
        <x:f>IF(E4914=F4914,"PASS","FAIL")</x:f>
        <x:v>PASS</x:v>
      </x:c>
    </x:row>
    <x:row r="4915">
      <x:c r="B4915" s="21" t="str">
        <x:v>A04909</x:v>
      </x:c>
      <x:c r="C4915" s="21" t="str">
        <x:v>baseline</x:v>
      </x:c>
      <x:c r="D4915" s="21" t="str">
        <x:v>baseline 25 planning state</x:v>
      </x:c>
      <x:c r="E4915" s="21" t="n">
        <x:f>IF(AND('Baseline Register'!G31="0.0.0",'Baseline Register'!I31="OPEN",'Baseline Register'!J31="HOLD"),1,0)</x:f>
        <x:v>1</x:v>
      </x:c>
      <x:c r="F4915" s="21" t="n">
        <x:v>1</x:v>
      </x:c>
      <x:c r="G4915" s="23" t="str">
        <x:f>IF(E4915=F4915,"PASS","FAIL")</x:f>
        <x:v>PASS</x:v>
      </x:c>
    </x:row>
    <x:row r="4916">
      <x:c r="B4916" s="21" t="str">
        <x:v>A04910</x:v>
      </x:c>
      <x:c r="C4916" s="21" t="str">
        <x:v>baseline</x:v>
      </x:c>
      <x:c r="D4916" s="21" t="str">
        <x:v>baseline 26 planning state</x:v>
      </x:c>
      <x:c r="E4916" s="21" t="n">
        <x:f>IF(AND('Baseline Register'!G32="0.0.0",'Baseline Register'!I32="OPEN",'Baseline Register'!J32="HOLD"),1,0)</x:f>
        <x:v>1</x:v>
      </x:c>
      <x:c r="F4916" s="21" t="n">
        <x:v>1</x:v>
      </x:c>
      <x:c r="G4916" s="23" t="str">
        <x:f>IF(E4916=F4916,"PASS","FAIL")</x:f>
        <x:v>PASS</x:v>
      </x:c>
    </x:row>
    <x:row r="4917">
      <x:c r="B4917" s="21" t="str">
        <x:v>A04911</x:v>
      </x:c>
      <x:c r="C4917" s="21" t="str">
        <x:v>baseline</x:v>
      </x:c>
      <x:c r="D4917" s="21" t="str">
        <x:v>baseline 27 planning state</x:v>
      </x:c>
      <x:c r="E4917" s="21" t="n">
        <x:f>IF(AND('Baseline Register'!G33="0.0.0",'Baseline Register'!I33="OPEN",'Baseline Register'!J33="HOLD"),1,0)</x:f>
        <x:v>1</x:v>
      </x:c>
      <x:c r="F4917" s="21" t="n">
        <x:v>1</x:v>
      </x:c>
      <x:c r="G4917" s="23" t="str">
        <x:f>IF(E4917=F4917,"PASS","FAIL")</x:f>
        <x:v>PASS</x:v>
      </x:c>
    </x:row>
    <x:row r="4918">
      <x:c r="B4918" s="21" t="str">
        <x:v>A04912</x:v>
      </x:c>
      <x:c r="C4918" s="21" t="str">
        <x:v>baseline</x:v>
      </x:c>
      <x:c r="D4918" s="21" t="str">
        <x:v>baseline 28 planning state</x:v>
      </x:c>
      <x:c r="E4918" s="21" t="n">
        <x:f>IF(AND('Baseline Register'!G34="0.0.0",'Baseline Register'!I34="OPEN",'Baseline Register'!J34="HOLD"),1,0)</x:f>
        <x:v>1</x:v>
      </x:c>
      <x:c r="F4918" s="21" t="n">
        <x:v>1</x:v>
      </x:c>
      <x:c r="G4918" s="23" t="str">
        <x:f>IF(E4918=F4918,"PASS","FAIL")</x:f>
        <x:v>PASS</x:v>
      </x:c>
    </x:row>
    <x:row r="4919">
      <x:c r="B4919" s="21" t="str">
        <x:v>A04913</x:v>
      </x:c>
      <x:c r="C4919" s="21" t="str">
        <x:v>baseline</x:v>
      </x:c>
      <x:c r="D4919" s="21" t="str">
        <x:v>baseline 29 planning state</x:v>
      </x:c>
      <x:c r="E4919" s="21" t="n">
        <x:f>IF(AND('Baseline Register'!G35="0.0.0",'Baseline Register'!I35="OPEN",'Baseline Register'!J35="HOLD"),1,0)</x:f>
        <x:v>1</x:v>
      </x:c>
      <x:c r="F4919" s="21" t="n">
        <x:v>1</x:v>
      </x:c>
      <x:c r="G4919" s="23" t="str">
        <x:f>IF(E4919=F4919,"PASS","FAIL")</x:f>
        <x:v>PASS</x:v>
      </x:c>
    </x:row>
    <x:row r="4920">
      <x:c r="B4920" s="21" t="str">
        <x:v>A04914</x:v>
      </x:c>
      <x:c r="C4920" s="21" t="str">
        <x:v>baseline</x:v>
      </x:c>
      <x:c r="D4920" s="21" t="str">
        <x:v>baseline 30 planning state</x:v>
      </x:c>
      <x:c r="E4920" s="21" t="n">
        <x:f>IF(AND('Baseline Register'!G36="0.0.0",'Baseline Register'!I36="OPEN",'Baseline Register'!J36="HOLD"),1,0)</x:f>
        <x:v>1</x:v>
      </x:c>
      <x:c r="F4920" s="21" t="n">
        <x:v>1</x:v>
      </x:c>
      <x:c r="G4920" s="23" t="str">
        <x:f>IF(E4920=F4920,"PASS","FAIL")</x:f>
        <x:v>PASS</x:v>
      </x:c>
    </x:row>
    <x:row r="4921">
      <x:c r="B4921" s="21" t="str">
        <x:v>A04915</x:v>
      </x:c>
      <x:c r="C4921" s="21" t="str">
        <x:v>baseline</x:v>
      </x:c>
      <x:c r="D4921" s="21" t="str">
        <x:v>baseline 31 planning state</x:v>
      </x:c>
      <x:c r="E4921" s="21" t="n">
        <x:f>IF(AND('Baseline Register'!G37="0.0.0",'Baseline Register'!I37="OPEN",'Baseline Register'!J37="HOLD"),1,0)</x:f>
        <x:v>1</x:v>
      </x:c>
      <x:c r="F4921" s="21" t="n">
        <x:v>1</x:v>
      </x:c>
      <x:c r="G4921" s="23" t="str">
        <x:f>IF(E4921=F4921,"PASS","FAIL")</x:f>
        <x:v>PASS</x:v>
      </x:c>
    </x:row>
    <x:row r="4922">
      <x:c r="B4922" s="21" t="str">
        <x:v>A04916</x:v>
      </x:c>
      <x:c r="C4922" s="21" t="str">
        <x:v>baseline</x:v>
      </x:c>
      <x:c r="D4922" s="21" t="str">
        <x:v>baseline 32 planning state</x:v>
      </x:c>
      <x:c r="E4922" s="21" t="n">
        <x:f>IF(AND('Baseline Register'!G38="0.0.0",'Baseline Register'!I38="OPEN",'Baseline Register'!J38="HOLD"),1,0)</x:f>
        <x:v>1</x:v>
      </x:c>
      <x:c r="F4922" s="21" t="n">
        <x:v>1</x:v>
      </x:c>
      <x:c r="G4922" s="23" t="str">
        <x:f>IF(E4922=F4922,"PASS","FAIL")</x:f>
        <x:v>PASS</x:v>
      </x:c>
    </x:row>
    <x:row r="4923">
      <x:c r="B4923" s="21" t="str">
        <x:v>A04917</x:v>
      </x:c>
      <x:c r="C4923" s="21" t="str">
        <x:v>baseline</x:v>
      </x:c>
      <x:c r="D4923" s="21" t="str">
        <x:v>baseline 33 planning state</x:v>
      </x:c>
      <x:c r="E4923" s="21" t="n">
        <x:f>IF(AND('Baseline Register'!G39="0.0.0",'Baseline Register'!I39="OPEN",'Baseline Register'!J39="HOLD"),1,0)</x:f>
        <x:v>1</x:v>
      </x:c>
      <x:c r="F4923" s="21" t="n">
        <x:v>1</x:v>
      </x:c>
      <x:c r="G4923" s="23" t="str">
        <x:f>IF(E4923=F4923,"PASS","FAIL")</x:f>
        <x:v>PASS</x:v>
      </x:c>
    </x:row>
    <x:row r="4924">
      <x:c r="B4924" s="21" t="str">
        <x:v>A04918</x:v>
      </x:c>
      <x:c r="C4924" s="21" t="str">
        <x:v>baseline</x:v>
      </x:c>
      <x:c r="D4924" s="21" t="str">
        <x:v>baseline 34 planning state</x:v>
      </x:c>
      <x:c r="E4924" s="21" t="n">
        <x:f>IF(AND('Baseline Register'!G40="0.0.0",'Baseline Register'!I40="OPEN",'Baseline Register'!J40="HOLD"),1,0)</x:f>
        <x:v>1</x:v>
      </x:c>
      <x:c r="F4924" s="21" t="n">
        <x:v>1</x:v>
      </x:c>
      <x:c r="G4924" s="23" t="str">
        <x:f>IF(E4924=F4924,"PASS","FAIL")</x:f>
        <x:v>PASS</x:v>
      </x:c>
    </x:row>
    <x:row r="4925">
      <x:c r="B4925" s="21" t="str">
        <x:v>A04919</x:v>
      </x:c>
      <x:c r="C4925" s="21" t="str">
        <x:v>baseline</x:v>
      </x:c>
      <x:c r="D4925" s="21" t="str">
        <x:v>baseline 35 planning state</x:v>
      </x:c>
      <x:c r="E4925" s="21" t="n">
        <x:f>IF(AND('Baseline Register'!G41="0.0.0",'Baseline Register'!I41="OPEN",'Baseline Register'!J41="HOLD"),1,0)</x:f>
        <x:v>1</x:v>
      </x:c>
      <x:c r="F4925" s="21" t="n">
        <x:v>1</x:v>
      </x:c>
      <x:c r="G4925" s="23" t="str">
        <x:f>IF(E4925=F4925,"PASS","FAIL")</x:f>
        <x:v>PASS</x:v>
      </x:c>
    </x:row>
    <x:row r="4926">
      <x:c r="B4926" s="21" t="str">
        <x:v>A04920</x:v>
      </x:c>
      <x:c r="C4926" s="21" t="str">
        <x:v>baseline</x:v>
      </x:c>
      <x:c r="D4926" s="21" t="str">
        <x:v>baseline 36 planning state</x:v>
      </x:c>
      <x:c r="E4926" s="21" t="n">
        <x:f>IF(AND('Baseline Register'!G42="0.0.0",'Baseline Register'!I42="OPEN",'Baseline Register'!J42="HOLD"),1,0)</x:f>
        <x:v>1</x:v>
      </x:c>
      <x:c r="F4926" s="21" t="n">
        <x:v>1</x:v>
      </x:c>
      <x:c r="G4926" s="23" t="str">
        <x:f>IF(E4926=F4926,"PASS","FAIL")</x:f>
        <x:v>PASS</x:v>
      </x:c>
    </x:row>
    <x:row r="4927">
      <x:c r="B4927" s="21" t="str">
        <x:v>A04921</x:v>
      </x:c>
      <x:c r="C4927" s="21" t="str">
        <x:v>baseline</x:v>
      </x:c>
      <x:c r="D4927" s="21" t="str">
        <x:v>baseline 37 planning state</x:v>
      </x:c>
      <x:c r="E4927" s="21" t="n">
        <x:f>IF(AND('Baseline Register'!G43="0.0.0",'Baseline Register'!I43="OPEN",'Baseline Register'!J43="HOLD"),1,0)</x:f>
        <x:v>1</x:v>
      </x:c>
      <x:c r="F4927" s="21" t="n">
        <x:v>1</x:v>
      </x:c>
      <x:c r="G4927" s="23" t="str">
        <x:f>IF(E4927=F4927,"PASS","FAIL")</x:f>
        <x:v>PASS</x:v>
      </x:c>
    </x:row>
    <x:row r="4928">
      <x:c r="B4928" s="21" t="str">
        <x:v>A04922</x:v>
      </x:c>
      <x:c r="C4928" s="21" t="str">
        <x:v>baseline</x:v>
      </x:c>
      <x:c r="D4928" s="21" t="str">
        <x:v>baseline 38 planning state</x:v>
      </x:c>
      <x:c r="E4928" s="21" t="n">
        <x:f>IF(AND('Baseline Register'!G44="0.0.0",'Baseline Register'!I44="OPEN",'Baseline Register'!J44="HOLD"),1,0)</x:f>
        <x:v>1</x:v>
      </x:c>
      <x:c r="F4928" s="21" t="n">
        <x:v>1</x:v>
      </x:c>
      <x:c r="G4928" s="23" t="str">
        <x:f>IF(E4928=F4928,"PASS","FAIL")</x:f>
        <x:v>PASS</x:v>
      </x:c>
    </x:row>
    <x:row r="4929">
      <x:c r="B4929" s="21" t="str">
        <x:v>A04923</x:v>
      </x:c>
      <x:c r="C4929" s="21" t="str">
        <x:v>baseline</x:v>
      </x:c>
      <x:c r="D4929" s="21" t="str">
        <x:v>baseline 39 planning state</x:v>
      </x:c>
      <x:c r="E4929" s="21" t="n">
        <x:f>IF(AND('Baseline Register'!G45="0.0.0",'Baseline Register'!I45="OPEN",'Baseline Register'!J45="HOLD"),1,0)</x:f>
        <x:v>1</x:v>
      </x:c>
      <x:c r="F4929" s="21" t="n">
        <x:v>1</x:v>
      </x:c>
      <x:c r="G4929" s="23" t="str">
        <x:f>IF(E4929=F4929,"PASS","FAIL")</x:f>
        <x:v>PASS</x:v>
      </x:c>
    </x:row>
    <x:row r="4930">
      <x:c r="B4930" s="21" t="str">
        <x:v>A04924</x:v>
      </x:c>
      <x:c r="C4930" s="21" t="str">
        <x:v>baseline</x:v>
      </x:c>
      <x:c r="D4930" s="21" t="str">
        <x:v>baseline 40 planning state</x:v>
      </x:c>
      <x:c r="E4930" s="21" t="n">
        <x:f>IF(AND('Baseline Register'!G46="0.0.0",'Baseline Register'!I46="OPEN",'Baseline Register'!J46="HOLD"),1,0)</x:f>
        <x:v>1</x:v>
      </x:c>
      <x:c r="F4930" s="21" t="n">
        <x:v>1</x:v>
      </x:c>
      <x:c r="G4930" s="23" t="str">
        <x:f>IF(E4930=F4930,"PASS","FAIL")</x:f>
        <x:v>PASS</x:v>
      </x:c>
    </x:row>
    <x:row r="4931">
      <x:c r="B4931" s="21" t="str">
        <x:v>A04925</x:v>
      </x:c>
      <x:c r="C4931" s="21" t="str">
        <x:v>baseline</x:v>
      </x:c>
      <x:c r="D4931" s="21" t="str">
        <x:v>baseline 41 planning state</x:v>
      </x:c>
      <x:c r="E4931" s="21" t="n">
        <x:f>IF(AND('Baseline Register'!G47="0.0.0",'Baseline Register'!I47="OPEN",'Baseline Register'!J47="HOLD"),1,0)</x:f>
        <x:v>1</x:v>
      </x:c>
      <x:c r="F4931" s="21" t="n">
        <x:v>1</x:v>
      </x:c>
      <x:c r="G4931" s="23" t="str">
        <x:f>IF(E4931=F4931,"PASS","FAIL")</x:f>
        <x:v>PASS</x:v>
      </x:c>
    </x:row>
    <x:row r="4932">
      <x:c r="B4932" s="21" t="str">
        <x:v>A04926</x:v>
      </x:c>
      <x:c r="C4932" s="21" t="str">
        <x:v>baseline</x:v>
      </x:c>
      <x:c r="D4932" s="21" t="str">
        <x:v>baseline 42 planning state</x:v>
      </x:c>
      <x:c r="E4932" s="21" t="n">
        <x:f>IF(AND('Baseline Register'!G48="0.0.0",'Baseline Register'!I48="OPEN",'Baseline Register'!J48="HOLD"),1,0)</x:f>
        <x:v>1</x:v>
      </x:c>
      <x:c r="F4932" s="21" t="n">
        <x:v>1</x:v>
      </x:c>
      <x:c r="G4932" s="23" t="str">
        <x:f>IF(E4932=F4932,"PASS","FAIL")</x:f>
        <x:v>PASS</x:v>
      </x:c>
    </x:row>
    <x:row r="4933">
      <x:c r="B4933" s="21" t="str">
        <x:v>A04927</x:v>
      </x:c>
      <x:c r="C4933" s="21" t="str">
        <x:v>baseline</x:v>
      </x:c>
      <x:c r="D4933" s="21" t="str">
        <x:v>baseline 43 planning state</x:v>
      </x:c>
      <x:c r="E4933" s="21" t="n">
        <x:f>IF(AND('Baseline Register'!G49="0.0.0",'Baseline Register'!I49="OPEN",'Baseline Register'!J49="HOLD"),1,0)</x:f>
        <x:v>1</x:v>
      </x:c>
      <x:c r="F4933" s="21" t="n">
        <x:v>1</x:v>
      </x:c>
      <x:c r="G4933" s="23" t="str">
        <x:f>IF(E4933=F4933,"PASS","FAIL")</x:f>
        <x:v>PASS</x:v>
      </x:c>
    </x:row>
    <x:row r="4934">
      <x:c r="B4934" s="21" t="str">
        <x:v>A04928</x:v>
      </x:c>
      <x:c r="C4934" s="21" t="str">
        <x:v>baseline</x:v>
      </x:c>
      <x:c r="D4934" s="21" t="str">
        <x:v>baseline 44 planning state</x:v>
      </x:c>
      <x:c r="E4934" s="21" t="n">
        <x:f>IF(AND('Baseline Register'!G50="0.0.0",'Baseline Register'!I50="OPEN",'Baseline Register'!J50="HOLD"),1,0)</x:f>
        <x:v>1</x:v>
      </x:c>
      <x:c r="F4934" s="21" t="n">
        <x:v>1</x:v>
      </x:c>
      <x:c r="G4934" s="23" t="str">
        <x:f>IF(E4934=F4934,"PASS","FAIL")</x:f>
        <x:v>PASS</x:v>
      </x:c>
    </x:row>
    <x:row r="4935">
      <x:c r="B4935" s="21" t="str">
        <x:v>A04929</x:v>
      </x:c>
      <x:c r="C4935" s="21" t="str">
        <x:v>baseline</x:v>
      </x:c>
      <x:c r="D4935" s="21" t="str">
        <x:v>baseline 45 planning state</x:v>
      </x:c>
      <x:c r="E4935" s="21" t="n">
        <x:f>IF(AND('Baseline Register'!G51="0.0.0",'Baseline Register'!I51="OPEN",'Baseline Register'!J51="HOLD"),1,0)</x:f>
        <x:v>1</x:v>
      </x:c>
      <x:c r="F4935" s="21" t="n">
        <x:v>1</x:v>
      </x:c>
      <x:c r="G4935" s="23" t="str">
        <x:f>IF(E4935=F4935,"PASS","FAIL")</x:f>
        <x:v>PASS</x:v>
      </x:c>
    </x:row>
    <x:row r="4936">
      <x:c r="B4936" s="21" t="str">
        <x:v>A04930</x:v>
      </x:c>
      <x:c r="C4936" s="21" t="str">
        <x:v>baseline</x:v>
      </x:c>
      <x:c r="D4936" s="21" t="str">
        <x:v>baseline 46 planning state</x:v>
      </x:c>
      <x:c r="E4936" s="21" t="n">
        <x:f>IF(AND('Baseline Register'!G52="0.0.0",'Baseline Register'!I52="OPEN",'Baseline Register'!J52="HOLD"),1,0)</x:f>
        <x:v>1</x:v>
      </x:c>
      <x:c r="F4936" s="21" t="n">
        <x:v>1</x:v>
      </x:c>
      <x:c r="G4936" s="23" t="str">
        <x:f>IF(E4936=F4936,"PASS","FAIL")</x:f>
        <x:v>PASS</x:v>
      </x:c>
    </x:row>
    <x:row r="4937">
      <x:c r="B4937" s="21" t="str">
        <x:v>A04931</x:v>
      </x:c>
      <x:c r="C4937" s="21" t="str">
        <x:v>baseline</x:v>
      </x:c>
      <x:c r="D4937" s="21" t="str">
        <x:v>baseline 47 planning state</x:v>
      </x:c>
      <x:c r="E4937" s="21" t="n">
        <x:f>IF(AND('Baseline Register'!G53="0.0.0",'Baseline Register'!I53="OPEN",'Baseline Register'!J53="HOLD"),1,0)</x:f>
        <x:v>1</x:v>
      </x:c>
      <x:c r="F4937" s="21" t="n">
        <x:v>1</x:v>
      </x:c>
      <x:c r="G4937" s="23" t="str">
        <x:f>IF(E4937=F4937,"PASS","FAIL")</x:f>
        <x:v>PASS</x:v>
      </x:c>
    </x:row>
    <x:row r="4938">
      <x:c r="B4938" s="21" t="str">
        <x:v>A04932</x:v>
      </x:c>
      <x:c r="C4938" s="21" t="str">
        <x:v>baseline</x:v>
      </x:c>
      <x:c r="D4938" s="21" t="str">
        <x:v>baseline 48 planning state</x:v>
      </x:c>
      <x:c r="E4938" s="21" t="n">
        <x:f>IF(AND('Baseline Register'!G54="0.0.0",'Baseline Register'!I54="OPEN",'Baseline Register'!J54="HOLD"),1,0)</x:f>
        <x:v>1</x:v>
      </x:c>
      <x:c r="F4938" s="21" t="n">
        <x:v>1</x:v>
      </x:c>
      <x:c r="G4938" s="23" t="str">
        <x:f>IF(E4938=F4938,"PASS","FAIL")</x:f>
        <x:v>PASS</x:v>
      </x:c>
    </x:row>
    <x:row r="4939">
      <x:c r="B4939" s="21" t="str">
        <x:v>A04933</x:v>
      </x:c>
      <x:c r="C4939" s="21" t="str">
        <x:v>baseline</x:v>
      </x:c>
      <x:c r="D4939" s="21" t="str">
        <x:v>baseline 49 planning state</x:v>
      </x:c>
      <x:c r="E4939" s="21" t="n">
        <x:f>IF(AND('Baseline Register'!G55="0.0.0",'Baseline Register'!I55="OPEN",'Baseline Register'!J55="HOLD"),1,0)</x:f>
        <x:v>1</x:v>
      </x:c>
      <x:c r="F4939" s="21" t="n">
        <x:v>1</x:v>
      </x:c>
      <x:c r="G4939" s="23" t="str">
        <x:f>IF(E4939=F4939,"PASS","FAIL")</x:f>
        <x:v>PASS</x:v>
      </x:c>
    </x:row>
    <x:row r="4940">
      <x:c r="B4940" s="21" t="str">
        <x:v>A04934</x:v>
      </x:c>
      <x:c r="C4940" s="21" t="str">
        <x:v>baseline</x:v>
      </x:c>
      <x:c r="D4940" s="21" t="str">
        <x:v>baseline 50 planning state</x:v>
      </x:c>
      <x:c r="E4940" s="21" t="n">
        <x:f>IF(AND('Baseline Register'!G56="0.0.0",'Baseline Register'!I56="OPEN",'Baseline Register'!J56="HOLD"),1,0)</x:f>
        <x:v>1</x:v>
      </x:c>
      <x:c r="F4940" s="21" t="n">
        <x:v>1</x:v>
      </x:c>
      <x:c r="G4940" s="23" t="str">
        <x:f>IF(E4940=F4940,"PASS","FAIL")</x:f>
        <x:v>PASS</x:v>
      </x:c>
    </x:row>
    <x:row r="4941">
      <x:c r="B4941" s="21" t="str">
        <x:v>A04935</x:v>
      </x:c>
      <x:c r="C4941" s="21" t="str">
        <x:v>baseline</x:v>
      </x:c>
      <x:c r="D4941" s="21" t="str">
        <x:v>baseline 51 planning state</x:v>
      </x:c>
      <x:c r="E4941" s="21" t="n">
        <x:f>IF(AND('Baseline Register'!G57="0.0.0",'Baseline Register'!I57="OPEN",'Baseline Register'!J57="HOLD"),1,0)</x:f>
        <x:v>1</x:v>
      </x:c>
      <x:c r="F4941" s="21" t="n">
        <x:v>1</x:v>
      </x:c>
      <x:c r="G4941" s="23" t="str">
        <x:f>IF(E4941=F4941,"PASS","FAIL")</x:f>
        <x:v>PASS</x:v>
      </x:c>
    </x:row>
    <x:row r="4942">
      <x:c r="B4942" s="21" t="str">
        <x:v>A04936</x:v>
      </x:c>
      <x:c r="C4942" s="21" t="str">
        <x:v>baseline</x:v>
      </x:c>
      <x:c r="D4942" s="21" t="str">
        <x:v>baseline 52 planning state</x:v>
      </x:c>
      <x:c r="E4942" s="21" t="n">
        <x:f>IF(AND('Baseline Register'!G58="0.0.0",'Baseline Register'!I58="OPEN",'Baseline Register'!J58="HOLD"),1,0)</x:f>
        <x:v>1</x:v>
      </x:c>
      <x:c r="F4942" s="21" t="n">
        <x:v>1</x:v>
      </x:c>
      <x:c r="G4942" s="23" t="str">
        <x:f>IF(E4942=F4942,"PASS","FAIL")</x:f>
        <x:v>PASS</x:v>
      </x:c>
    </x:row>
    <x:row r="4943">
      <x:c r="B4943" s="21" t="str">
        <x:v>A04937</x:v>
      </x:c>
      <x:c r="C4943" s="21" t="str">
        <x:v>baseline</x:v>
      </x:c>
      <x:c r="D4943" s="21" t="str">
        <x:v>baseline 53 planning state</x:v>
      </x:c>
      <x:c r="E4943" s="21" t="n">
        <x:f>IF(AND('Baseline Register'!G59="0.0.0",'Baseline Register'!I59="OPEN",'Baseline Register'!J59="HOLD"),1,0)</x:f>
        <x:v>1</x:v>
      </x:c>
      <x:c r="F4943" s="21" t="n">
        <x:v>1</x:v>
      </x:c>
      <x:c r="G4943" s="23" t="str">
        <x:f>IF(E4943=F4943,"PASS","FAIL")</x:f>
        <x:v>PASS</x:v>
      </x:c>
    </x:row>
    <x:row r="4944">
      <x:c r="B4944" s="21" t="str">
        <x:v>A04938</x:v>
      </x:c>
      <x:c r="C4944" s="21" t="str">
        <x:v>baseline</x:v>
      </x:c>
      <x:c r="D4944" s="21" t="str">
        <x:v>baseline 54 planning state</x:v>
      </x:c>
      <x:c r="E4944" s="21" t="n">
        <x:f>IF(AND('Baseline Register'!G60="0.0.0",'Baseline Register'!I60="OPEN",'Baseline Register'!J60="HOLD"),1,0)</x:f>
        <x:v>1</x:v>
      </x:c>
      <x:c r="F4944" s="21" t="n">
        <x:v>1</x:v>
      </x:c>
      <x:c r="G4944" s="23" t="str">
        <x:f>IF(E4944=F4944,"PASS","FAIL")</x:f>
        <x:v>PASS</x:v>
      </x:c>
    </x:row>
    <x:row r="4945">
      <x:c r="B4945" s="21" t="str">
        <x:v>A04939</x:v>
      </x:c>
      <x:c r="C4945" s="21" t="str">
        <x:v>baseline</x:v>
      </x:c>
      <x:c r="D4945" s="21" t="str">
        <x:v>baseline 55 planning state</x:v>
      </x:c>
      <x:c r="E4945" s="21" t="n">
        <x:f>IF(AND('Baseline Register'!G61="0.0.0",'Baseline Register'!I61="OPEN",'Baseline Register'!J61="HOLD"),1,0)</x:f>
        <x:v>1</x:v>
      </x:c>
      <x:c r="F4945" s="21" t="n">
        <x:v>1</x:v>
      </x:c>
      <x:c r="G4945" s="23" t="str">
        <x:f>IF(E4945=F4945,"PASS","FAIL")</x:f>
        <x:v>PASS</x:v>
      </x:c>
    </x:row>
    <x:row r="4946">
      <x:c r="B4946" s="21" t="str">
        <x:v>A04940</x:v>
      </x:c>
      <x:c r="C4946" s="21" t="str">
        <x:v>baseline</x:v>
      </x:c>
      <x:c r="D4946" s="21" t="str">
        <x:v>baseline 56 planning state</x:v>
      </x:c>
      <x:c r="E4946" s="21" t="n">
        <x:f>IF(AND('Baseline Register'!G62="0.0.0",'Baseline Register'!I62="OPEN",'Baseline Register'!J62="HOLD"),1,0)</x:f>
        <x:v>1</x:v>
      </x:c>
      <x:c r="F4946" s="21" t="n">
        <x:v>1</x:v>
      </x:c>
      <x:c r="G4946" s="23" t="str">
        <x:f>IF(E4946=F4946,"PASS","FAIL")</x:f>
        <x:v>PASS</x:v>
      </x:c>
    </x:row>
    <x:row r="4947">
      <x:c r="B4947" s="21" t="str">
        <x:v>A04941</x:v>
      </x:c>
      <x:c r="C4947" s="21" t="str">
        <x:v>baseline</x:v>
      </x:c>
      <x:c r="D4947" s="21" t="str">
        <x:v>baseline 57 planning state</x:v>
      </x:c>
      <x:c r="E4947" s="21" t="n">
        <x:f>IF(AND('Baseline Register'!G63="0.0.0",'Baseline Register'!I63="OPEN",'Baseline Register'!J63="HOLD"),1,0)</x:f>
        <x:v>1</x:v>
      </x:c>
      <x:c r="F4947" s="21" t="n">
        <x:v>1</x:v>
      </x:c>
      <x:c r="G4947" s="23" t="str">
        <x:f>IF(E4947=F4947,"PASS","FAIL")</x:f>
        <x:v>PASS</x:v>
      </x:c>
    </x:row>
    <x:row r="4948">
      <x:c r="B4948" s="21" t="str">
        <x:v>A04942</x:v>
      </x:c>
      <x:c r="C4948" s="21" t="str">
        <x:v>baseline</x:v>
      </x:c>
      <x:c r="D4948" s="21" t="str">
        <x:v>baseline 58 planning state</x:v>
      </x:c>
      <x:c r="E4948" s="21" t="n">
        <x:f>IF(AND('Baseline Register'!G64="0.0.0",'Baseline Register'!I64="OPEN",'Baseline Register'!J64="HOLD"),1,0)</x:f>
        <x:v>1</x:v>
      </x:c>
      <x:c r="F4948" s="21" t="n">
        <x:v>1</x:v>
      </x:c>
      <x:c r="G4948" s="23" t="str">
        <x:f>IF(E4948=F4948,"PASS","FAIL")</x:f>
        <x:v>PASS</x:v>
      </x:c>
    </x:row>
    <x:row r="4949">
      <x:c r="B4949" s="21" t="str">
        <x:v>A04943</x:v>
      </x:c>
      <x:c r="C4949" s="21" t="str">
        <x:v>baseline</x:v>
      </x:c>
      <x:c r="D4949" s="21" t="str">
        <x:v>baseline 59 planning state</x:v>
      </x:c>
      <x:c r="E4949" s="21" t="n">
        <x:f>IF(AND('Baseline Register'!G65="0.0.0",'Baseline Register'!I65="OPEN",'Baseline Register'!J65="HOLD"),1,0)</x:f>
        <x:v>1</x:v>
      </x:c>
      <x:c r="F4949" s="21" t="n">
        <x:v>1</x:v>
      </x:c>
      <x:c r="G4949" s="23" t="str">
        <x:f>IF(E4949=F4949,"PASS","FAIL")</x:f>
        <x:v>PASS</x:v>
      </x:c>
    </x:row>
    <x:row r="4950">
      <x:c r="B4950" s="21" t="str">
        <x:v>A04944</x:v>
      </x:c>
      <x:c r="C4950" s="21" t="str">
        <x:v>baseline</x:v>
      </x:c>
      <x:c r="D4950" s="21" t="str">
        <x:v>baseline 60 planning state</x:v>
      </x:c>
      <x:c r="E4950" s="21" t="n">
        <x:f>IF(AND('Baseline Register'!G66="0.0.0",'Baseline Register'!I66="OPEN",'Baseline Register'!J66="HOLD"),1,0)</x:f>
        <x:v>1</x:v>
      </x:c>
      <x:c r="F4950" s="21" t="n">
        <x:v>1</x:v>
      </x:c>
      <x:c r="G4950" s="23" t="str">
        <x:f>IF(E4950=F4950,"PASS","FAIL")</x:f>
        <x:v>PASS</x:v>
      </x:c>
    </x:row>
    <x:row r="4951">
      <x:c r="B4951" s="21" t="str">
        <x:v>A04945</x:v>
      </x:c>
      <x:c r="C4951" s="21" t="str">
        <x:v>baseline</x:v>
      </x:c>
      <x:c r="D4951" s="21" t="str">
        <x:v>baseline 61 planning state</x:v>
      </x:c>
      <x:c r="E4951" s="21" t="n">
        <x:f>IF(AND('Baseline Register'!G67="0.0.0",'Baseline Register'!I67="OPEN",'Baseline Register'!J67="HOLD"),1,0)</x:f>
        <x:v>1</x:v>
      </x:c>
      <x:c r="F4951" s="21" t="n">
        <x:v>1</x:v>
      </x:c>
      <x:c r="G4951" s="23" t="str">
        <x:f>IF(E4951=F4951,"PASS","FAIL")</x:f>
        <x:v>PASS</x:v>
      </x:c>
    </x:row>
    <x:row r="4952">
      <x:c r="B4952" s="21" t="str">
        <x:v>A04946</x:v>
      </x:c>
      <x:c r="C4952" s="21" t="str">
        <x:v>baseline</x:v>
      </x:c>
      <x:c r="D4952" s="21" t="str">
        <x:v>baseline 62 planning state</x:v>
      </x:c>
      <x:c r="E4952" s="21" t="n">
        <x:f>IF(AND('Baseline Register'!G68="0.0.0",'Baseline Register'!I68="OPEN",'Baseline Register'!J68="HOLD"),1,0)</x:f>
        <x:v>1</x:v>
      </x:c>
      <x:c r="F4952" s="21" t="n">
        <x:v>1</x:v>
      </x:c>
      <x:c r="G4952" s="23" t="str">
        <x:f>IF(E4952=F4952,"PASS","FAIL")</x:f>
        <x:v>PASS</x:v>
      </x:c>
    </x:row>
    <x:row r="4953">
      <x:c r="B4953" s="21" t="str">
        <x:v>A04947</x:v>
      </x:c>
      <x:c r="C4953" s="21" t="str">
        <x:v>baseline</x:v>
      </x:c>
      <x:c r="D4953" s="21" t="str">
        <x:v>baseline 63 planning state</x:v>
      </x:c>
      <x:c r="E4953" s="21" t="n">
        <x:f>IF(AND('Baseline Register'!G69="0.0.0",'Baseline Register'!I69="OPEN",'Baseline Register'!J69="HOLD"),1,0)</x:f>
        <x:v>1</x:v>
      </x:c>
      <x:c r="F4953" s="21" t="n">
        <x:v>1</x:v>
      </x:c>
      <x:c r="G4953" s="23" t="str">
        <x:f>IF(E4953=F4953,"PASS","FAIL")</x:f>
        <x:v>PASS</x:v>
      </x:c>
    </x:row>
    <x:row r="4954">
      <x:c r="B4954" s="21" t="str">
        <x:v>A04948</x:v>
      </x:c>
      <x:c r="C4954" s="21" t="str">
        <x:v>baseline</x:v>
      </x:c>
      <x:c r="D4954" s="21" t="str">
        <x:v>baseline 64 planning state</x:v>
      </x:c>
      <x:c r="E4954" s="21" t="n">
        <x:f>IF(AND('Baseline Register'!G70="0.0.0",'Baseline Register'!I70="OPEN",'Baseline Register'!J70="HOLD"),1,0)</x:f>
        <x:v>1</x:v>
      </x:c>
      <x:c r="F4954" s="21" t="n">
        <x:v>1</x:v>
      </x:c>
      <x:c r="G4954" s="23" t="str">
        <x:f>IF(E4954=F4954,"PASS","FAIL")</x:f>
        <x:v>PASS</x:v>
      </x:c>
    </x:row>
    <x:row r="4955">
      <x:c r="B4955" s="21" t="str">
        <x:v>A04949</x:v>
      </x:c>
      <x:c r="C4955" s="21" t="str">
        <x:v>baseline</x:v>
      </x:c>
      <x:c r="D4955" s="21" t="str">
        <x:v>baseline 65 planning state</x:v>
      </x:c>
      <x:c r="E4955" s="21" t="n">
        <x:f>IF(AND('Baseline Register'!G71="0.0.0",'Baseline Register'!I71="OPEN",'Baseline Register'!J71="HOLD"),1,0)</x:f>
        <x:v>1</x:v>
      </x:c>
      <x:c r="F4955" s="21" t="n">
        <x:v>1</x:v>
      </x:c>
      <x:c r="G4955" s="23" t="str">
        <x:f>IF(E4955=F4955,"PASS","FAIL")</x:f>
        <x:v>PASS</x:v>
      </x:c>
    </x:row>
    <x:row r="4956">
      <x:c r="B4956" s="21" t="str">
        <x:v>A04950</x:v>
      </x:c>
      <x:c r="C4956" s="21" t="str">
        <x:v>baseline</x:v>
      </x:c>
      <x:c r="D4956" s="21" t="str">
        <x:v>baseline 66 planning state</x:v>
      </x:c>
      <x:c r="E4956" s="21" t="n">
        <x:f>IF(AND('Baseline Register'!G72="0.0.0",'Baseline Register'!I72="OPEN",'Baseline Register'!J72="HOLD"),1,0)</x:f>
        <x:v>1</x:v>
      </x:c>
      <x:c r="F4956" s="21" t="n">
        <x:v>1</x:v>
      </x:c>
      <x:c r="G4956" s="23" t="str">
        <x:f>IF(E4956=F4956,"PASS","FAIL")</x:f>
        <x:v>PASS</x:v>
      </x:c>
    </x:row>
    <x:row r="4957">
      <x:c r="B4957" s="21" t="str">
        <x:v>A04951</x:v>
      </x:c>
      <x:c r="C4957" s="21" t="str">
        <x:v>baseline</x:v>
      </x:c>
      <x:c r="D4957" s="21" t="str">
        <x:v>baseline 67 planning state</x:v>
      </x:c>
      <x:c r="E4957" s="21" t="n">
        <x:f>IF(AND('Baseline Register'!G73="0.0.0",'Baseline Register'!I73="OPEN",'Baseline Register'!J73="HOLD"),1,0)</x:f>
        <x:v>1</x:v>
      </x:c>
      <x:c r="F4957" s="21" t="n">
        <x:v>1</x:v>
      </x:c>
      <x:c r="G4957" s="23" t="str">
        <x:f>IF(E4957=F4957,"PASS","FAIL")</x:f>
        <x:v>PASS</x:v>
      </x:c>
    </x:row>
    <x:row r="4958">
      <x:c r="B4958" s="21" t="str">
        <x:v>A04952</x:v>
      </x:c>
      <x:c r="C4958" s="21" t="str">
        <x:v>baseline</x:v>
      </x:c>
      <x:c r="D4958" s="21" t="str">
        <x:v>baseline 68 planning state</x:v>
      </x:c>
      <x:c r="E4958" s="21" t="n">
        <x:f>IF(AND('Baseline Register'!G74="0.0.0",'Baseline Register'!I74="OPEN",'Baseline Register'!J74="HOLD"),1,0)</x:f>
        <x:v>1</x:v>
      </x:c>
      <x:c r="F4958" s="21" t="n">
        <x:v>1</x:v>
      </x:c>
      <x:c r="G4958" s="23" t="str">
        <x:f>IF(E4958=F4958,"PASS","FAIL")</x:f>
        <x:v>PASS</x:v>
      </x:c>
    </x:row>
    <x:row r="4959">
      <x:c r="B4959" s="21" t="str">
        <x:v>A04953</x:v>
      </x:c>
      <x:c r="C4959" s="21" t="str">
        <x:v>baseline</x:v>
      </x:c>
      <x:c r="D4959" s="21" t="str">
        <x:v>baseline 69 planning state</x:v>
      </x:c>
      <x:c r="E4959" s="21" t="n">
        <x:f>IF(AND('Baseline Register'!G75="0.0.0",'Baseline Register'!I75="OPEN",'Baseline Register'!J75="HOLD"),1,0)</x:f>
        <x:v>1</x:v>
      </x:c>
      <x:c r="F4959" s="21" t="n">
        <x:v>1</x:v>
      </x:c>
      <x:c r="G4959" s="23" t="str">
        <x:f>IF(E4959=F4959,"PASS","FAIL")</x:f>
        <x:v>PASS</x:v>
      </x:c>
    </x:row>
    <x:row r="4960">
      <x:c r="B4960" s="21" t="str">
        <x:v>A04954</x:v>
      </x:c>
      <x:c r="C4960" s="21" t="str">
        <x:v>baseline</x:v>
      </x:c>
      <x:c r="D4960" s="21" t="str">
        <x:v>baseline 70 planning state</x:v>
      </x:c>
      <x:c r="E4960" s="21" t="n">
        <x:f>IF(AND('Baseline Register'!G76="0.0.0",'Baseline Register'!I76="OPEN",'Baseline Register'!J76="HOLD"),1,0)</x:f>
        <x:v>1</x:v>
      </x:c>
      <x:c r="F4960" s="21" t="n">
        <x:v>1</x:v>
      </x:c>
      <x:c r="G4960" s="23" t="str">
        <x:f>IF(E4960=F4960,"PASS","FAIL")</x:f>
        <x:v>PASS</x:v>
      </x:c>
    </x:row>
    <x:row r="4961">
      <x:c r="B4961" s="21" t="str">
        <x:v>A04955</x:v>
      </x:c>
      <x:c r="C4961" s="21" t="str">
        <x:v>baseline</x:v>
      </x:c>
      <x:c r="D4961" s="21" t="str">
        <x:v>baseline 71 planning state</x:v>
      </x:c>
      <x:c r="E4961" s="21" t="n">
        <x:f>IF(AND('Baseline Register'!G77="0.0.0",'Baseline Register'!I77="OPEN",'Baseline Register'!J77="HOLD"),1,0)</x:f>
        <x:v>1</x:v>
      </x:c>
      <x:c r="F4961" s="21" t="n">
        <x:v>1</x:v>
      </x:c>
      <x:c r="G4961" s="23" t="str">
        <x:f>IF(E4961=F4961,"PASS","FAIL")</x:f>
        <x:v>PASS</x:v>
      </x:c>
    </x:row>
    <x:row r="4962">
      <x:c r="B4962" s="21" t="str">
        <x:v>A04956</x:v>
      </x:c>
      <x:c r="C4962" s="21" t="str">
        <x:v>baseline</x:v>
      </x:c>
      <x:c r="D4962" s="21" t="str">
        <x:v>baseline 72 planning state</x:v>
      </x:c>
      <x:c r="E4962" s="21" t="n">
        <x:f>IF(AND('Baseline Register'!G78="0.0.0",'Baseline Register'!I78="OPEN",'Baseline Register'!J78="HOLD"),1,0)</x:f>
        <x:v>1</x:v>
      </x:c>
      <x:c r="F4962" s="21" t="n">
        <x:v>1</x:v>
      </x:c>
      <x:c r="G4962" s="23" t="str">
        <x:f>IF(E4962=F4962,"PASS","FAIL")</x:f>
        <x:v>PASS</x:v>
      </x:c>
    </x:row>
    <x:row r="4963">
      <x:c r="B4963" s="21" t="str">
        <x:v>A04957</x:v>
      </x:c>
      <x:c r="C4963" s="21" t="str">
        <x:v>baseline</x:v>
      </x:c>
      <x:c r="D4963" s="21" t="str">
        <x:v>baseline 73 planning state</x:v>
      </x:c>
      <x:c r="E4963" s="21" t="n">
        <x:f>IF(AND('Baseline Register'!G79="0.0.0",'Baseline Register'!I79="OPEN",'Baseline Register'!J79="HOLD"),1,0)</x:f>
        <x:v>1</x:v>
      </x:c>
      <x:c r="F4963" s="21" t="n">
        <x:v>1</x:v>
      </x:c>
      <x:c r="G4963" s="23" t="str">
        <x:f>IF(E4963=F4963,"PASS","FAIL")</x:f>
        <x:v>PASS</x:v>
      </x:c>
    </x:row>
    <x:row r="4964">
      <x:c r="B4964" s="21" t="str">
        <x:v>A04958</x:v>
      </x:c>
      <x:c r="C4964" s="21" t="str">
        <x:v>baseline</x:v>
      </x:c>
      <x:c r="D4964" s="21" t="str">
        <x:v>baseline 74 planning state</x:v>
      </x:c>
      <x:c r="E4964" s="21" t="n">
        <x:f>IF(AND('Baseline Register'!G80="0.0.0",'Baseline Register'!I80="OPEN",'Baseline Register'!J80="HOLD"),1,0)</x:f>
        <x:v>1</x:v>
      </x:c>
      <x:c r="F4964" s="21" t="n">
        <x:v>1</x:v>
      </x:c>
      <x:c r="G4964" s="23" t="str">
        <x:f>IF(E4964=F4964,"PASS","FAIL")</x:f>
        <x:v>PASS</x:v>
      </x:c>
    </x:row>
    <x:row r="4965">
      <x:c r="B4965" s="21" t="str">
        <x:v>A04959</x:v>
      </x:c>
      <x:c r="C4965" s="21" t="str">
        <x:v>baseline</x:v>
      </x:c>
      <x:c r="D4965" s="21" t="str">
        <x:v>baseline 75 planning state</x:v>
      </x:c>
      <x:c r="E4965" s="21" t="n">
        <x:f>IF(AND('Baseline Register'!G81="0.0.0",'Baseline Register'!I81="OPEN",'Baseline Register'!J81="HOLD"),1,0)</x:f>
        <x:v>1</x:v>
      </x:c>
      <x:c r="F4965" s="21" t="n">
        <x:v>1</x:v>
      </x:c>
      <x:c r="G4965" s="23" t="str">
        <x:f>IF(E4965=F4965,"PASS","FAIL")</x:f>
        <x:v>PASS</x:v>
      </x:c>
    </x:row>
    <x:row r="4966">
      <x:c r="B4966" s="21" t="str">
        <x:v>A04960</x:v>
      </x:c>
      <x:c r="C4966" s="21" t="str">
        <x:v>baseline</x:v>
      </x:c>
      <x:c r="D4966" s="21" t="str">
        <x:v>baseline 76 planning state</x:v>
      </x:c>
      <x:c r="E4966" s="21" t="n">
        <x:f>IF(AND('Baseline Register'!G82="0.0.0",'Baseline Register'!I82="OPEN",'Baseline Register'!J82="HOLD"),1,0)</x:f>
        <x:v>1</x:v>
      </x:c>
      <x:c r="F4966" s="21" t="n">
        <x:v>1</x:v>
      </x:c>
      <x:c r="G4966" s="23" t="str">
        <x:f>IF(E4966=F4966,"PASS","FAIL")</x:f>
        <x:v>PASS</x:v>
      </x:c>
    </x:row>
    <x:row r="4967">
      <x:c r="B4967" s="21" t="str">
        <x:v>A04961</x:v>
      </x:c>
      <x:c r="C4967" s="21" t="str">
        <x:v>baseline</x:v>
      </x:c>
      <x:c r="D4967" s="21" t="str">
        <x:v>baseline 77 planning state</x:v>
      </x:c>
      <x:c r="E4967" s="21" t="n">
        <x:f>IF(AND('Baseline Register'!G83="0.0.0",'Baseline Register'!I83="OPEN",'Baseline Register'!J83="HOLD"),1,0)</x:f>
        <x:v>1</x:v>
      </x:c>
      <x:c r="F4967" s="21" t="n">
        <x:v>1</x:v>
      </x:c>
      <x:c r="G4967" s="23" t="str">
        <x:f>IF(E4967=F4967,"PASS","FAIL")</x:f>
        <x:v>PASS</x:v>
      </x:c>
    </x:row>
    <x:row r="4968">
      <x:c r="B4968" s="21" t="str">
        <x:v>A04962</x:v>
      </x:c>
      <x:c r="C4968" s="21" t="str">
        <x:v>baseline</x:v>
      </x:c>
      <x:c r="D4968" s="21" t="str">
        <x:v>baseline 78 planning state</x:v>
      </x:c>
      <x:c r="E4968" s="21" t="n">
        <x:f>IF(AND('Baseline Register'!G84="0.0.0",'Baseline Register'!I84="OPEN",'Baseline Register'!J84="HOLD"),1,0)</x:f>
        <x:v>1</x:v>
      </x:c>
      <x:c r="F4968" s="21" t="n">
        <x:v>1</x:v>
      </x:c>
      <x:c r="G4968" s="23" t="str">
        <x:f>IF(E4968=F4968,"PASS","FAIL")</x:f>
        <x:v>PASS</x:v>
      </x:c>
    </x:row>
    <x:row r="4969">
      <x:c r="B4969" s="21" t="str">
        <x:v>A04963</x:v>
      </x:c>
      <x:c r="C4969" s="21" t="str">
        <x:v>baseline</x:v>
      </x:c>
      <x:c r="D4969" s="21" t="str">
        <x:v>baseline 79 planning state</x:v>
      </x:c>
      <x:c r="E4969" s="21" t="n">
        <x:f>IF(AND('Baseline Register'!G85="0.0.0",'Baseline Register'!I85="OPEN",'Baseline Register'!J85="HOLD"),1,0)</x:f>
        <x:v>1</x:v>
      </x:c>
      <x:c r="F4969" s="21" t="n">
        <x:v>1</x:v>
      </x:c>
      <x:c r="G4969" s="23" t="str">
        <x:f>IF(E4969=F4969,"PASS","FAIL")</x:f>
        <x:v>PASS</x:v>
      </x:c>
    </x:row>
    <x:row r="4970">
      <x:c r="B4970" s="21" t="str">
        <x:v>A04964</x:v>
      </x:c>
      <x:c r="C4970" s="21" t="str">
        <x:v>baseline</x:v>
      </x:c>
      <x:c r="D4970" s="21" t="str">
        <x:v>baseline 80 planning state</x:v>
      </x:c>
      <x:c r="E4970" s="21" t="n">
        <x:f>IF(AND('Baseline Register'!G86="0.0.0",'Baseline Register'!I86="OPEN",'Baseline Register'!J86="HOLD"),1,0)</x:f>
        <x:v>1</x:v>
      </x:c>
      <x:c r="F4970" s="21" t="n">
        <x:v>1</x:v>
      </x:c>
      <x:c r="G4970" s="23" t="str">
        <x:f>IF(E4970=F4970,"PASS","FAIL")</x:f>
        <x:v>PASS</x:v>
      </x:c>
    </x:row>
    <x:row r="4971">
      <x:c r="B4971" s="21" t="str">
        <x:v>A04965</x:v>
      </x:c>
      <x:c r="C4971" s="21" t="str">
        <x:v>baseline</x:v>
      </x:c>
      <x:c r="D4971" s="21" t="str">
        <x:v>baseline 81 planning state</x:v>
      </x:c>
      <x:c r="E4971" s="21" t="n">
        <x:f>IF(AND('Baseline Register'!G87="0.0.0",'Baseline Register'!I87="OPEN",'Baseline Register'!J87="HOLD"),1,0)</x:f>
        <x:v>1</x:v>
      </x:c>
      <x:c r="F4971" s="21" t="n">
        <x:v>1</x:v>
      </x:c>
      <x:c r="G4971" s="23" t="str">
        <x:f>IF(E4971=F4971,"PASS","FAIL")</x:f>
        <x:v>PASS</x:v>
      </x:c>
    </x:row>
    <x:row r="4972">
      <x:c r="B4972" s="21" t="str">
        <x:v>A04966</x:v>
      </x:c>
      <x:c r="C4972" s="21" t="str">
        <x:v>baseline</x:v>
      </x:c>
      <x:c r="D4972" s="21" t="str">
        <x:v>baseline 82 planning state</x:v>
      </x:c>
      <x:c r="E4972" s="21" t="n">
        <x:f>IF(AND('Baseline Register'!G88="0.0.0",'Baseline Register'!I88="OPEN",'Baseline Register'!J88="HOLD"),1,0)</x:f>
        <x:v>1</x:v>
      </x:c>
      <x:c r="F4972" s="21" t="n">
        <x:v>1</x:v>
      </x:c>
      <x:c r="G4972" s="23" t="str">
        <x:f>IF(E4972=F4972,"PASS","FAIL")</x:f>
        <x:v>PASS</x:v>
      </x:c>
    </x:row>
    <x:row r="4973">
      <x:c r="B4973" s="21" t="str">
        <x:v>A04967</x:v>
      </x:c>
      <x:c r="C4973" s="21" t="str">
        <x:v>baseline</x:v>
      </x:c>
      <x:c r="D4973" s="21" t="str">
        <x:v>baseline 83 planning state</x:v>
      </x:c>
      <x:c r="E4973" s="21" t="n">
        <x:f>IF(AND('Baseline Register'!G89="0.0.0",'Baseline Register'!I89="OPEN",'Baseline Register'!J89="HOLD"),1,0)</x:f>
        <x:v>1</x:v>
      </x:c>
      <x:c r="F4973" s="21" t="n">
        <x:v>1</x:v>
      </x:c>
      <x:c r="G4973" s="23" t="str">
        <x:f>IF(E4973=F4973,"PASS","FAIL")</x:f>
        <x:v>PASS</x:v>
      </x:c>
    </x:row>
    <x:row r="4974">
      <x:c r="B4974" s="21" t="str">
        <x:v>A04968</x:v>
      </x:c>
      <x:c r="C4974" s="21" t="str">
        <x:v>baseline</x:v>
      </x:c>
      <x:c r="D4974" s="21" t="str">
        <x:v>baseline 84 planning state</x:v>
      </x:c>
      <x:c r="E4974" s="21" t="n">
        <x:f>IF(AND('Baseline Register'!G90="0.0.0",'Baseline Register'!I90="OPEN",'Baseline Register'!J90="HOLD"),1,0)</x:f>
        <x:v>1</x:v>
      </x:c>
      <x:c r="F4974" s="21" t="n">
        <x:v>1</x:v>
      </x:c>
      <x:c r="G4974" s="23" t="str">
        <x:f>IF(E4974=F4974,"PASS","FAIL")</x:f>
        <x:v>PASS</x:v>
      </x:c>
    </x:row>
    <x:row r="4975">
      <x:c r="B4975" s="21" t="str">
        <x:v>A04969</x:v>
      </x:c>
      <x:c r="C4975" s="21" t="str">
        <x:v>baseline</x:v>
      </x:c>
      <x:c r="D4975" s="21" t="str">
        <x:v>baseline 85 planning state</x:v>
      </x:c>
      <x:c r="E4975" s="21" t="n">
        <x:f>IF(AND('Baseline Register'!G91="0.0.0",'Baseline Register'!I91="OPEN",'Baseline Register'!J91="HOLD"),1,0)</x:f>
        <x:v>1</x:v>
      </x:c>
      <x:c r="F4975" s="21" t="n">
        <x:v>1</x:v>
      </x:c>
      <x:c r="G4975" s="23" t="str">
        <x:f>IF(E4975=F4975,"PASS","FAIL")</x:f>
        <x:v>PASS</x:v>
      </x:c>
    </x:row>
    <x:row r="4976">
      <x:c r="B4976" s="21" t="str">
        <x:v>A04970</x:v>
      </x:c>
      <x:c r="C4976" s="21" t="str">
        <x:v>baseline</x:v>
      </x:c>
      <x:c r="D4976" s="21" t="str">
        <x:v>baseline 86 planning state</x:v>
      </x:c>
      <x:c r="E4976" s="21" t="n">
        <x:f>IF(AND('Baseline Register'!G92="0.0.0",'Baseline Register'!I92="OPEN",'Baseline Register'!J92="HOLD"),1,0)</x:f>
        <x:v>1</x:v>
      </x:c>
      <x:c r="F4976" s="21" t="n">
        <x:v>1</x:v>
      </x:c>
      <x:c r="G4976" s="23" t="str">
        <x:f>IF(E4976=F4976,"PASS","FAIL")</x:f>
        <x:v>PASS</x:v>
      </x:c>
    </x:row>
    <x:row r="4977">
      <x:c r="B4977" s="21" t="str">
        <x:v>A04971</x:v>
      </x:c>
      <x:c r="C4977" s="21" t="str">
        <x:v>baseline</x:v>
      </x:c>
      <x:c r="D4977" s="21" t="str">
        <x:v>baseline 87 planning state</x:v>
      </x:c>
      <x:c r="E4977" s="21" t="n">
        <x:f>IF(AND('Baseline Register'!G93="0.0.0",'Baseline Register'!I93="OPEN",'Baseline Register'!J93="HOLD"),1,0)</x:f>
        <x:v>1</x:v>
      </x:c>
      <x:c r="F4977" s="21" t="n">
        <x:v>1</x:v>
      </x:c>
      <x:c r="G4977" s="23" t="str">
        <x:f>IF(E4977=F4977,"PASS","FAIL")</x:f>
        <x:v>PASS</x:v>
      </x:c>
    </x:row>
    <x:row r="4978">
      <x:c r="B4978" s="21" t="str">
        <x:v>A04972</x:v>
      </x:c>
      <x:c r="C4978" s="21" t="str">
        <x:v>baseline</x:v>
      </x:c>
      <x:c r="D4978" s="21" t="str">
        <x:v>baseline 88 planning state</x:v>
      </x:c>
      <x:c r="E4978" s="21" t="n">
        <x:f>IF(AND('Baseline Register'!G94="0.0.0",'Baseline Register'!I94="OPEN",'Baseline Register'!J94="HOLD"),1,0)</x:f>
        <x:v>1</x:v>
      </x:c>
      <x:c r="F4978" s="21" t="n">
        <x:v>1</x:v>
      </x:c>
      <x:c r="G4978" s="23" t="str">
        <x:f>IF(E4978=F4978,"PASS","FAIL")</x:f>
        <x:v>PASS</x:v>
      </x:c>
    </x:row>
    <x:row r="4979">
      <x:c r="B4979" s="21" t="str">
        <x:v>A04973</x:v>
      </x:c>
      <x:c r="C4979" s="21" t="str">
        <x:v>baseline</x:v>
      </x:c>
      <x:c r="D4979" s="21" t="str">
        <x:v>baseline 89 planning state</x:v>
      </x:c>
      <x:c r="E4979" s="21" t="n">
        <x:f>IF(AND('Baseline Register'!G95="0.0.0",'Baseline Register'!I95="OPEN",'Baseline Register'!J95="HOLD"),1,0)</x:f>
        <x:v>1</x:v>
      </x:c>
      <x:c r="F4979" s="21" t="n">
        <x:v>1</x:v>
      </x:c>
      <x:c r="G4979" s="23" t="str">
        <x:f>IF(E4979=F4979,"PASS","FAIL")</x:f>
        <x:v>PASS</x:v>
      </x:c>
    </x:row>
    <x:row r="4980">
      <x:c r="B4980" s="21" t="str">
        <x:v>A04974</x:v>
      </x:c>
      <x:c r="C4980" s="21" t="str">
        <x:v>baseline</x:v>
      </x:c>
      <x:c r="D4980" s="21" t="str">
        <x:v>baseline 90 planning state</x:v>
      </x:c>
      <x:c r="E4980" s="21" t="n">
        <x:f>IF(AND('Baseline Register'!G96="0.0.0",'Baseline Register'!I96="OPEN",'Baseline Register'!J96="HOLD"),1,0)</x:f>
        <x:v>1</x:v>
      </x:c>
      <x:c r="F4980" s="21" t="n">
        <x:v>1</x:v>
      </x:c>
      <x:c r="G4980" s="23" t="str">
        <x:f>IF(E4980=F4980,"PASS","FAIL")</x:f>
        <x:v>PASS</x:v>
      </x:c>
    </x:row>
    <x:row r="4981">
      <x:c r="B4981" s="21" t="str">
        <x:v>A04975</x:v>
      </x:c>
      <x:c r="C4981" s="21" t="str">
        <x:v>baseline</x:v>
      </x:c>
      <x:c r="D4981" s="21" t="str">
        <x:v>baseline 91 planning state</x:v>
      </x:c>
      <x:c r="E4981" s="21" t="n">
        <x:f>IF(AND('Baseline Register'!G97="0.0.0",'Baseline Register'!I97="OPEN",'Baseline Register'!J97="HOLD"),1,0)</x:f>
        <x:v>1</x:v>
      </x:c>
      <x:c r="F4981" s="21" t="n">
        <x:v>1</x:v>
      </x:c>
      <x:c r="G4981" s="23" t="str">
        <x:f>IF(E4981=F4981,"PASS","FAIL")</x:f>
        <x:v>PASS</x:v>
      </x:c>
    </x:row>
    <x:row r="4982">
      <x:c r="B4982" s="21" t="str">
        <x:v>A04976</x:v>
      </x:c>
      <x:c r="C4982" s="21" t="str">
        <x:v>baseline</x:v>
      </x:c>
      <x:c r="D4982" s="21" t="str">
        <x:v>baseline 92 planning state</x:v>
      </x:c>
      <x:c r="E4982" s="21" t="n">
        <x:f>IF(AND('Baseline Register'!G98="0.0.0",'Baseline Register'!I98="OPEN",'Baseline Register'!J98="HOLD"),1,0)</x:f>
        <x:v>1</x:v>
      </x:c>
      <x:c r="F4982" s="21" t="n">
        <x:v>1</x:v>
      </x:c>
      <x:c r="G4982" s="23" t="str">
        <x:f>IF(E4982=F4982,"PASS","FAIL")</x:f>
        <x:v>PASS</x:v>
      </x:c>
    </x:row>
    <x:row r="4983">
      <x:c r="B4983" s="21" t="str">
        <x:v>A04977</x:v>
      </x:c>
      <x:c r="C4983" s="21" t="str">
        <x:v>baseline</x:v>
      </x:c>
      <x:c r="D4983" s="21" t="str">
        <x:v>baseline 93 planning state</x:v>
      </x:c>
      <x:c r="E4983" s="21" t="n">
        <x:f>IF(AND('Baseline Register'!G99="0.0.0",'Baseline Register'!I99="OPEN",'Baseline Register'!J99="HOLD"),1,0)</x:f>
        <x:v>1</x:v>
      </x:c>
      <x:c r="F4983" s="21" t="n">
        <x:v>1</x:v>
      </x:c>
      <x:c r="G4983" s="23" t="str">
        <x:f>IF(E4983=F4983,"PASS","FAIL")</x:f>
        <x:v>PASS</x:v>
      </x:c>
    </x:row>
    <x:row r="4984">
      <x:c r="B4984" s="21" t="str">
        <x:v>A04978</x:v>
      </x:c>
      <x:c r="C4984" s="21" t="str">
        <x:v>baseline</x:v>
      </x:c>
      <x:c r="D4984" s="21" t="str">
        <x:v>baseline 94 planning state</x:v>
      </x:c>
      <x:c r="E4984" s="21" t="n">
        <x:f>IF(AND('Baseline Register'!G100="0.0.0",'Baseline Register'!I100="OPEN",'Baseline Register'!J100="HOLD"),1,0)</x:f>
        <x:v>1</x:v>
      </x:c>
      <x:c r="F4984" s="21" t="n">
        <x:v>1</x:v>
      </x:c>
      <x:c r="G4984" s="23" t="str">
        <x:f>IF(E4984=F4984,"PASS","FAIL")</x:f>
        <x:v>PASS</x:v>
      </x:c>
    </x:row>
    <x:row r="4985">
      <x:c r="B4985" s="21" t="str">
        <x:v>A04979</x:v>
      </x:c>
      <x:c r="C4985" s="21" t="str">
        <x:v>baseline</x:v>
      </x:c>
      <x:c r="D4985" s="21" t="str">
        <x:v>baseline 95 planning state</x:v>
      </x:c>
      <x:c r="E4985" s="21" t="n">
        <x:f>IF(AND('Baseline Register'!G101="0.0.0",'Baseline Register'!I101="OPEN",'Baseline Register'!J101="HOLD"),1,0)</x:f>
        <x:v>1</x:v>
      </x:c>
      <x:c r="F4985" s="21" t="n">
        <x:v>1</x:v>
      </x:c>
      <x:c r="G4985" s="23" t="str">
        <x:f>IF(E4985=F4985,"PASS","FAIL")</x:f>
        <x:v>PASS</x:v>
      </x:c>
    </x:row>
    <x:row r="4986">
      <x:c r="B4986" s="21" t="str">
        <x:v>A04980</x:v>
      </x:c>
      <x:c r="C4986" s="21" t="str">
        <x:v>baseline</x:v>
      </x:c>
      <x:c r="D4986" s="21" t="str">
        <x:v>baseline 96 planning state</x:v>
      </x:c>
      <x:c r="E4986" s="21" t="n">
        <x:f>IF(AND('Baseline Register'!G102="0.0.0",'Baseline Register'!I102="OPEN",'Baseline Register'!J102="HOLD"),1,0)</x:f>
        <x:v>1</x:v>
      </x:c>
      <x:c r="F4986" s="21" t="n">
        <x:v>1</x:v>
      </x:c>
      <x:c r="G4986" s="23" t="str">
        <x:f>IF(E4986=F4986,"PASS","FAIL")</x:f>
        <x:v>PASS</x:v>
      </x:c>
    </x:row>
    <x:row r="4987">
      <x:c r="B4987" s="21" t="str">
        <x:v>A04981</x:v>
      </x:c>
      <x:c r="C4987" s="21" t="str">
        <x:v>baseline</x:v>
      </x:c>
      <x:c r="D4987" s="21" t="str">
        <x:v>baseline 97 planning state</x:v>
      </x:c>
      <x:c r="E4987" s="21" t="n">
        <x:f>IF(AND('Baseline Register'!G103="0.0.0",'Baseline Register'!I103="OPEN",'Baseline Register'!J103="HOLD"),1,0)</x:f>
        <x:v>1</x:v>
      </x:c>
      <x:c r="F4987" s="21" t="n">
        <x:v>1</x:v>
      </x:c>
      <x:c r="G4987" s="23" t="str">
        <x:f>IF(E4987=F4987,"PASS","FAIL")</x:f>
        <x:v>PASS</x:v>
      </x:c>
    </x:row>
    <x:row r="4988">
      <x:c r="B4988" s="21" t="str">
        <x:v>A04982</x:v>
      </x:c>
      <x:c r="C4988" s="21" t="str">
        <x:v>baseline</x:v>
      </x:c>
      <x:c r="D4988" s="21" t="str">
        <x:v>baseline 98 planning state</x:v>
      </x:c>
      <x:c r="E4988" s="21" t="n">
        <x:f>IF(AND('Baseline Register'!G104="0.0.0",'Baseline Register'!I104="OPEN",'Baseline Register'!J104="HOLD"),1,0)</x:f>
        <x:v>1</x:v>
      </x:c>
      <x:c r="F4988" s="21" t="n">
        <x:v>1</x:v>
      </x:c>
      <x:c r="G4988" s="23" t="str">
        <x:f>IF(E4988=F4988,"PASS","FAIL")</x:f>
        <x:v>PASS</x:v>
      </x:c>
    </x:row>
    <x:row r="4989">
      <x:c r="B4989" s="21" t="str">
        <x:v>A04983</x:v>
      </x:c>
      <x:c r="C4989" s="21" t="str">
        <x:v>baseline</x:v>
      </x:c>
      <x:c r="D4989" s="21" t="str">
        <x:v>baseline 99 planning state</x:v>
      </x:c>
      <x:c r="E4989" s="21" t="n">
        <x:f>IF(AND('Baseline Register'!G105="0.0.0",'Baseline Register'!I105="OPEN",'Baseline Register'!J105="HOLD"),1,0)</x:f>
        <x:v>1</x:v>
      </x:c>
      <x:c r="F4989" s="21" t="n">
        <x:v>1</x:v>
      </x:c>
      <x:c r="G4989" s="23" t="str">
        <x:f>IF(E4989=F4989,"PASS","FAIL")</x:f>
        <x:v>PASS</x:v>
      </x:c>
    </x:row>
    <x:row r="4990">
      <x:c r="B4990" s="21" t="str">
        <x:v>A04984</x:v>
      </x:c>
      <x:c r="C4990" s="21" t="str">
        <x:v>baseline</x:v>
      </x:c>
      <x:c r="D4990" s="21" t="str">
        <x:v>baseline 100 planning state</x:v>
      </x:c>
      <x:c r="E4990" s="21" t="n">
        <x:f>IF(AND('Baseline Register'!G106="0.0.0",'Baseline Register'!I106="OPEN",'Baseline Register'!J106="HOLD"),1,0)</x:f>
        <x:v>1</x:v>
      </x:c>
      <x:c r="F4990" s="21" t="n">
        <x:v>1</x:v>
      </x:c>
      <x:c r="G4990" s="23" t="str">
        <x:f>IF(E4990=F4990,"PASS","FAIL")</x:f>
        <x:v>PASS</x:v>
      </x:c>
    </x:row>
    <x:row r="4991">
      <x:c r="B4991" s="21" t="str">
        <x:v>A04985</x:v>
      </x:c>
      <x:c r="C4991" s="21" t="str">
        <x:v>baseline</x:v>
      </x:c>
      <x:c r="D4991" s="21" t="str">
        <x:v>baseline 101 planning state</x:v>
      </x:c>
      <x:c r="E4991" s="21" t="n">
        <x:f>IF(AND('Baseline Register'!G107="0.0.0",'Baseline Register'!I107="OPEN",'Baseline Register'!J107="HOLD"),1,0)</x:f>
        <x:v>1</x:v>
      </x:c>
      <x:c r="F4991" s="21" t="n">
        <x:v>1</x:v>
      </x:c>
      <x:c r="G4991" s="23" t="str">
        <x:f>IF(E4991=F4991,"PASS","FAIL")</x:f>
        <x:v>PASS</x:v>
      </x:c>
    </x:row>
    <x:row r="4992">
      <x:c r="B4992" s="21" t="str">
        <x:v>A04986</x:v>
      </x:c>
      <x:c r="C4992" s="21" t="str">
        <x:v>baseline</x:v>
      </x:c>
      <x:c r="D4992" s="21" t="str">
        <x:v>baseline 102 planning state</x:v>
      </x:c>
      <x:c r="E4992" s="21" t="n">
        <x:f>IF(AND('Baseline Register'!G108="0.0.0",'Baseline Register'!I108="OPEN",'Baseline Register'!J108="HOLD"),1,0)</x:f>
        <x:v>1</x:v>
      </x:c>
      <x:c r="F4992" s="21" t="n">
        <x:v>1</x:v>
      </x:c>
      <x:c r="G4992" s="23" t="str">
        <x:f>IF(E4992=F4992,"PASS","FAIL")</x:f>
        <x:v>PASS</x:v>
      </x:c>
    </x:row>
    <x:row r="4993">
      <x:c r="B4993" s="21" t="str">
        <x:v>A04987</x:v>
      </x:c>
      <x:c r="C4993" s="21" t="str">
        <x:v>baseline</x:v>
      </x:c>
      <x:c r="D4993" s="21" t="str">
        <x:v>baseline 103 planning state</x:v>
      </x:c>
      <x:c r="E4993" s="21" t="n">
        <x:f>IF(AND('Baseline Register'!G109="0.0.0",'Baseline Register'!I109="OPEN",'Baseline Register'!J109="HOLD"),1,0)</x:f>
        <x:v>1</x:v>
      </x:c>
      <x:c r="F4993" s="21" t="n">
        <x:v>1</x:v>
      </x:c>
      <x:c r="G4993" s="23" t="str">
        <x:f>IF(E4993=F4993,"PASS","FAIL")</x:f>
        <x:v>PASS</x:v>
      </x:c>
    </x:row>
    <x:row r="4994">
      <x:c r="B4994" s="21" t="str">
        <x:v>A04988</x:v>
      </x:c>
      <x:c r="C4994" s="21" t="str">
        <x:v>baseline</x:v>
      </x:c>
      <x:c r="D4994" s="21" t="str">
        <x:v>baseline 104 planning state</x:v>
      </x:c>
      <x:c r="E4994" s="21" t="n">
        <x:f>IF(AND('Baseline Register'!G110="0.0.0",'Baseline Register'!I110="OPEN",'Baseline Register'!J110="HOLD"),1,0)</x:f>
        <x:v>1</x:v>
      </x:c>
      <x:c r="F4994" s="21" t="n">
        <x:v>1</x:v>
      </x:c>
      <x:c r="G4994" s="23" t="str">
        <x:f>IF(E4994=F4994,"PASS","FAIL")</x:f>
        <x:v>PASS</x:v>
      </x:c>
    </x:row>
    <x:row r="4995">
      <x:c r="B4995" s="21" t="str">
        <x:v>A04989</x:v>
      </x:c>
      <x:c r="C4995" s="21" t="str">
        <x:v>baseline</x:v>
      </x:c>
      <x:c r="D4995" s="21" t="str">
        <x:v>baseline 105 planning state</x:v>
      </x:c>
      <x:c r="E4995" s="21" t="n">
        <x:f>IF(AND('Baseline Register'!G111="0.0.0",'Baseline Register'!I111="OPEN",'Baseline Register'!J111="HOLD"),1,0)</x:f>
        <x:v>1</x:v>
      </x:c>
      <x:c r="F4995" s="21" t="n">
        <x:v>1</x:v>
      </x:c>
      <x:c r="G4995" s="23" t="str">
        <x:f>IF(E4995=F4995,"PASS","FAIL")</x:f>
        <x:v>PASS</x:v>
      </x:c>
    </x:row>
    <x:row r="4996">
      <x:c r="B4996" s="21" t="str">
        <x:v>A04990</x:v>
      </x:c>
      <x:c r="C4996" s="21" t="str">
        <x:v>baseline</x:v>
      </x:c>
      <x:c r="D4996" s="21" t="str">
        <x:v>baseline 106 planning state</x:v>
      </x:c>
      <x:c r="E4996" s="21" t="n">
        <x:f>IF(AND('Baseline Register'!G112="0.0.0",'Baseline Register'!I112="OPEN",'Baseline Register'!J112="HOLD"),1,0)</x:f>
        <x:v>1</x:v>
      </x:c>
      <x:c r="F4996" s="21" t="n">
        <x:v>1</x:v>
      </x:c>
      <x:c r="G4996" s="23" t="str">
        <x:f>IF(E4996=F4996,"PASS","FAIL")</x:f>
        <x:v>PASS</x:v>
      </x:c>
    </x:row>
    <x:row r="4997">
      <x:c r="B4997" s="21" t="str">
        <x:v>A04991</x:v>
      </x:c>
      <x:c r="C4997" s="21" t="str">
        <x:v>baseline</x:v>
      </x:c>
      <x:c r="D4997" s="21" t="str">
        <x:v>baseline 107 planning state</x:v>
      </x:c>
      <x:c r="E4997" s="21" t="n">
        <x:f>IF(AND('Baseline Register'!G113="0.0.0",'Baseline Register'!I113="OPEN",'Baseline Register'!J113="HOLD"),1,0)</x:f>
        <x:v>1</x:v>
      </x:c>
      <x:c r="F4997" s="21" t="n">
        <x:v>1</x:v>
      </x:c>
      <x:c r="G4997" s="23" t="str">
        <x:f>IF(E4997=F4997,"PASS","FAIL")</x:f>
        <x:v>PASS</x:v>
      </x:c>
    </x:row>
    <x:row r="4998">
      <x:c r="B4998" s="21" t="str">
        <x:v>A04992</x:v>
      </x:c>
      <x:c r="C4998" s="21" t="str">
        <x:v>baseline</x:v>
      </x:c>
      <x:c r="D4998" s="21" t="str">
        <x:v>baseline 108 planning state</x:v>
      </x:c>
      <x:c r="E4998" s="21" t="n">
        <x:f>IF(AND('Baseline Register'!G114="0.0.0",'Baseline Register'!I114="OPEN",'Baseline Register'!J114="HOLD"),1,0)</x:f>
        <x:v>1</x:v>
      </x:c>
      <x:c r="F4998" s="21" t="n">
        <x:v>1</x:v>
      </x:c>
      <x:c r="G4998" s="23" t="str">
        <x:f>IF(E4998=F4998,"PASS","FAIL")</x:f>
        <x:v>PASS</x:v>
      </x:c>
    </x:row>
    <x:row r="4999">
      <x:c r="B4999" s="21" t="str">
        <x:v>A04993</x:v>
      </x:c>
      <x:c r="C4999" s="21" t="str">
        <x:v>baseline</x:v>
      </x:c>
      <x:c r="D4999" s="21" t="str">
        <x:v>baseline 109 planning state</x:v>
      </x:c>
      <x:c r="E4999" s="21" t="n">
        <x:f>IF(AND('Baseline Register'!G115="0.0.0",'Baseline Register'!I115="OPEN",'Baseline Register'!J115="HOLD"),1,0)</x:f>
        <x:v>1</x:v>
      </x:c>
      <x:c r="F4999" s="21" t="n">
        <x:v>1</x:v>
      </x:c>
      <x:c r="G4999" s="23" t="str">
        <x:f>IF(E4999=F4999,"PASS","FAIL")</x:f>
        <x:v>PASS</x:v>
      </x:c>
    </x:row>
    <x:row r="5000">
      <x:c r="B5000" s="21" t="str">
        <x:v>A04994</x:v>
      </x:c>
      <x:c r="C5000" s="21" t="str">
        <x:v>baseline</x:v>
      </x:c>
      <x:c r="D5000" s="21" t="str">
        <x:v>baseline 110 planning state</x:v>
      </x:c>
      <x:c r="E5000" s="21" t="n">
        <x:f>IF(AND('Baseline Register'!G116="0.0.0",'Baseline Register'!I116="OPEN",'Baseline Register'!J116="HOLD"),1,0)</x:f>
        <x:v>1</x:v>
      </x:c>
      <x:c r="F5000" s="21" t="n">
        <x:v>1</x:v>
      </x:c>
      <x:c r="G5000" s="23" t="str">
        <x:f>IF(E5000=F5000,"PASS","FAIL")</x:f>
        <x:v>PASS</x:v>
      </x:c>
    </x:row>
    <x:row r="5001">
      <x:c r="B5001" s="21" t="str">
        <x:v>A04995</x:v>
      </x:c>
      <x:c r="C5001" s="21" t="str">
        <x:v>baseline</x:v>
      </x:c>
      <x:c r="D5001" s="21" t="str">
        <x:v>baseline 111 planning state</x:v>
      </x:c>
      <x:c r="E5001" s="21" t="n">
        <x:f>IF(AND('Baseline Register'!G117="0.0.0",'Baseline Register'!I117="OPEN",'Baseline Register'!J117="HOLD"),1,0)</x:f>
        <x:v>1</x:v>
      </x:c>
      <x:c r="F5001" s="21" t="n">
        <x:v>1</x:v>
      </x:c>
      <x:c r="G5001" s="23" t="str">
        <x:f>IF(E5001=F5001,"PASS","FAIL")</x:f>
        <x:v>PASS</x:v>
      </x:c>
    </x:row>
    <x:row r="5002">
      <x:c r="B5002" s="21" t="str">
        <x:v>A04996</x:v>
      </x:c>
      <x:c r="C5002" s="21" t="str">
        <x:v>baseline</x:v>
      </x:c>
      <x:c r="D5002" s="21" t="str">
        <x:v>baseline 112 planning state</x:v>
      </x:c>
      <x:c r="E5002" s="21" t="n">
        <x:f>IF(AND('Baseline Register'!G118="0.0.0",'Baseline Register'!I118="OPEN",'Baseline Register'!J118="HOLD"),1,0)</x:f>
        <x:v>1</x:v>
      </x:c>
      <x:c r="F5002" s="21" t="n">
        <x:v>1</x:v>
      </x:c>
      <x:c r="G5002" s="23" t="str">
        <x:f>IF(E5002=F5002,"PASS","FAIL")</x:f>
        <x:v>PASS</x:v>
      </x:c>
    </x:row>
    <x:row r="5003">
      <x:c r="B5003" s="21" t="str">
        <x:v>A04997</x:v>
      </x:c>
      <x:c r="C5003" s="21" t="str">
        <x:v>baseline</x:v>
      </x:c>
      <x:c r="D5003" s="21" t="str">
        <x:v>baseline 113 planning state</x:v>
      </x:c>
      <x:c r="E5003" s="21" t="n">
        <x:f>IF(AND('Baseline Register'!G119="0.0.0",'Baseline Register'!I119="OPEN",'Baseline Register'!J119="HOLD"),1,0)</x:f>
        <x:v>1</x:v>
      </x:c>
      <x:c r="F5003" s="21" t="n">
        <x:v>1</x:v>
      </x:c>
      <x:c r="G5003" s="23" t="str">
        <x:f>IF(E5003=F5003,"PASS","FAIL")</x:f>
        <x:v>PASS</x:v>
      </x:c>
    </x:row>
    <x:row r="5004">
      <x:c r="B5004" s="21" t="str">
        <x:v>A04998</x:v>
      </x:c>
      <x:c r="C5004" s="21" t="str">
        <x:v>baseline</x:v>
      </x:c>
      <x:c r="D5004" s="21" t="str">
        <x:v>baseline 114 planning state</x:v>
      </x:c>
      <x:c r="E5004" s="21" t="n">
        <x:f>IF(AND('Baseline Register'!G120="0.0.0",'Baseline Register'!I120="OPEN",'Baseline Register'!J120="HOLD"),1,0)</x:f>
        <x:v>1</x:v>
      </x:c>
      <x:c r="F5004" s="21" t="n">
        <x:v>1</x:v>
      </x:c>
      <x:c r="G5004" s="23" t="str">
        <x:f>IF(E5004=F5004,"PASS","FAIL")</x:f>
        <x:v>PASS</x:v>
      </x:c>
    </x:row>
    <x:row r="5005">
      <x:c r="B5005" s="21" t="str">
        <x:v>A04999</x:v>
      </x:c>
      <x:c r="C5005" s="21" t="str">
        <x:v>baseline</x:v>
      </x:c>
      <x:c r="D5005" s="21" t="str">
        <x:v>baseline 115 planning state</x:v>
      </x:c>
      <x:c r="E5005" s="21" t="n">
        <x:f>IF(AND('Baseline Register'!G121="0.0.0",'Baseline Register'!I121="OPEN",'Baseline Register'!J121="HOLD"),1,0)</x:f>
        <x:v>1</x:v>
      </x:c>
      <x:c r="F5005" s="21" t="n">
        <x:v>1</x:v>
      </x:c>
      <x:c r="G5005" s="23" t="str">
        <x:f>IF(E5005=F5005,"PASS","FAIL")</x:f>
        <x:v>PASS</x:v>
      </x:c>
    </x:row>
    <x:row r="5006">
      <x:c r="B5006" s="21" t="str">
        <x:v>A05000</x:v>
      </x:c>
      <x:c r="C5006" s="21" t="str">
        <x:v>baseline</x:v>
      </x:c>
      <x:c r="D5006" s="21" t="str">
        <x:v>baseline 116 planning state</x:v>
      </x:c>
      <x:c r="E5006" s="21" t="n">
        <x:f>IF(AND('Baseline Register'!G122="0.0.0",'Baseline Register'!I122="OPEN",'Baseline Register'!J122="HOLD"),1,0)</x:f>
        <x:v>1</x:v>
      </x:c>
      <x:c r="F5006" s="21" t="n">
        <x:v>1</x:v>
      </x:c>
      <x:c r="G5006" s="23" t="str">
        <x:f>IF(E5006=F5006,"PASS","FAIL")</x:f>
        <x:v>PASS</x:v>
      </x:c>
    </x:row>
    <x:row r="5007">
      <x:c r="B5007" s="21" t="str">
        <x:v>A05001</x:v>
      </x:c>
      <x:c r="C5007" s="21" t="str">
        <x:v>baseline</x:v>
      </x:c>
      <x:c r="D5007" s="21" t="str">
        <x:v>baseline 117 planning state</x:v>
      </x:c>
      <x:c r="E5007" s="21" t="n">
        <x:f>IF(AND('Baseline Register'!G123="0.0.0",'Baseline Register'!I123="OPEN",'Baseline Register'!J123="HOLD"),1,0)</x:f>
        <x:v>1</x:v>
      </x:c>
      <x:c r="F5007" s="21" t="n">
        <x:v>1</x:v>
      </x:c>
      <x:c r="G5007" s="23" t="str">
        <x:f>IF(E5007=F5007,"PASS","FAIL")</x:f>
        <x:v>PASS</x:v>
      </x:c>
    </x:row>
    <x:row r="5008">
      <x:c r="B5008" s="21" t="str">
        <x:v>A05002</x:v>
      </x:c>
      <x:c r="C5008" s="21" t="str">
        <x:v>baseline</x:v>
      </x:c>
      <x:c r="D5008" s="21" t="str">
        <x:v>baseline 118 planning state</x:v>
      </x:c>
      <x:c r="E5008" s="21" t="n">
        <x:f>IF(AND('Baseline Register'!G124="0.0.0",'Baseline Register'!I124="OPEN",'Baseline Register'!J124="HOLD"),1,0)</x:f>
        <x:v>1</x:v>
      </x:c>
      <x:c r="F5008" s="21" t="n">
        <x:v>1</x:v>
      </x:c>
      <x:c r="G5008" s="23" t="str">
        <x:f>IF(E5008=F5008,"PASS","FAIL")</x:f>
        <x:v>PASS</x:v>
      </x:c>
    </x:row>
    <x:row r="5009">
      <x:c r="B5009" s="21" t="str">
        <x:v>A05003</x:v>
      </x:c>
      <x:c r="C5009" s="21" t="str">
        <x:v>baseline</x:v>
      </x:c>
      <x:c r="D5009" s="21" t="str">
        <x:v>baseline 119 planning state</x:v>
      </x:c>
      <x:c r="E5009" s="21" t="n">
        <x:f>IF(AND('Baseline Register'!G125="0.0.0",'Baseline Register'!I125="OPEN",'Baseline Register'!J125="HOLD"),1,0)</x:f>
        <x:v>1</x:v>
      </x:c>
      <x:c r="F5009" s="21" t="n">
        <x:v>1</x:v>
      </x:c>
      <x:c r="G5009" s="23" t="str">
        <x:f>IF(E5009=F5009,"PASS","FAIL")</x:f>
        <x:v>PASS</x:v>
      </x:c>
    </x:row>
    <x:row r="5010">
      <x:c r="B5010" s="21" t="str">
        <x:v>A05004</x:v>
      </x:c>
      <x:c r="C5010" s="21" t="str">
        <x:v>baseline</x:v>
      </x:c>
      <x:c r="D5010" s="21" t="str">
        <x:v>baseline 120 planning state</x:v>
      </x:c>
      <x:c r="E5010" s="21" t="n">
        <x:f>IF(AND('Baseline Register'!G126="0.0.0",'Baseline Register'!I126="OPEN",'Baseline Register'!J126="HOLD"),1,0)</x:f>
        <x:v>1</x:v>
      </x:c>
      <x:c r="F5010" s="21" t="n">
        <x:v>1</x:v>
      </x:c>
      <x:c r="G5010" s="23" t="str">
        <x:f>IF(E5010=F5010,"PASS","FAIL")</x:f>
        <x:v>PASS</x:v>
      </x:c>
    </x:row>
    <x:row r="5011">
      <x:c r="B5011" s="21" t="str">
        <x:v>A05005</x:v>
      </x:c>
      <x:c r="C5011" s="21" t="str">
        <x:v>baseline</x:v>
      </x:c>
      <x:c r="D5011" s="21" t="str">
        <x:v>baseline 121 planning state</x:v>
      </x:c>
      <x:c r="E5011" s="21" t="n">
        <x:f>IF(AND('Baseline Register'!G127="0.0.0",'Baseline Register'!I127="OPEN",'Baseline Register'!J127="HOLD"),1,0)</x:f>
        <x:v>1</x:v>
      </x:c>
      <x:c r="F5011" s="21" t="n">
        <x:v>1</x:v>
      </x:c>
      <x:c r="G5011" s="23" t="str">
        <x:f>IF(E5011=F5011,"PASS","FAIL")</x:f>
        <x:v>PASS</x:v>
      </x:c>
    </x:row>
    <x:row r="5012">
      <x:c r="B5012" s="21" t="str">
        <x:v>A05006</x:v>
      </x:c>
      <x:c r="C5012" s="21" t="str">
        <x:v>baseline</x:v>
      </x:c>
      <x:c r="D5012" s="21" t="str">
        <x:v>baseline 122 planning state</x:v>
      </x:c>
      <x:c r="E5012" s="21" t="n">
        <x:f>IF(AND('Baseline Register'!G128="0.0.0",'Baseline Register'!I128="OPEN",'Baseline Register'!J128="HOLD"),1,0)</x:f>
        <x:v>1</x:v>
      </x:c>
      <x:c r="F5012" s="21" t="n">
        <x:v>1</x:v>
      </x:c>
      <x:c r="G5012" s="23" t="str">
        <x:f>IF(E5012=F5012,"PASS","FAIL")</x:f>
        <x:v>PASS</x:v>
      </x:c>
    </x:row>
    <x:row r="5013">
      <x:c r="B5013" s="21" t="str">
        <x:v>A05007</x:v>
      </x:c>
      <x:c r="C5013" s="21" t="str">
        <x:v>baseline</x:v>
      </x:c>
      <x:c r="D5013" s="21" t="str">
        <x:v>baseline 123 planning state</x:v>
      </x:c>
      <x:c r="E5013" s="21" t="n">
        <x:f>IF(AND('Baseline Register'!G129="0.0.0",'Baseline Register'!I129="OPEN",'Baseline Register'!J129="HOLD"),1,0)</x:f>
        <x:v>1</x:v>
      </x:c>
      <x:c r="F5013" s="21" t="n">
        <x:v>1</x:v>
      </x:c>
      <x:c r="G5013" s="23" t="str">
        <x:f>IF(E5013=F5013,"PASS","FAIL")</x:f>
        <x:v>PASS</x:v>
      </x:c>
    </x:row>
    <x:row r="5014">
      <x:c r="B5014" s="21" t="str">
        <x:v>A05008</x:v>
      </x:c>
      <x:c r="C5014" s="21" t="str">
        <x:v>baseline</x:v>
      </x:c>
      <x:c r="D5014" s="21" t="str">
        <x:v>baseline 124 planning state</x:v>
      </x:c>
      <x:c r="E5014" s="21" t="n">
        <x:f>IF(AND('Baseline Register'!G130="0.0.0",'Baseline Register'!I130="OPEN",'Baseline Register'!J130="HOLD"),1,0)</x:f>
        <x:v>1</x:v>
      </x:c>
      <x:c r="F5014" s="21" t="n">
        <x:v>1</x:v>
      </x:c>
      <x:c r="G5014" s="23" t="str">
        <x:f>IF(E5014=F5014,"PASS","FAIL")</x:f>
        <x:v>PASS</x:v>
      </x:c>
    </x:row>
    <x:row r="5015">
      <x:c r="B5015" s="21" t="str">
        <x:v>A05009</x:v>
      </x:c>
      <x:c r="C5015" s="21" t="str">
        <x:v>baseline</x:v>
      </x:c>
      <x:c r="D5015" s="21" t="str">
        <x:v>baseline 125 planning state</x:v>
      </x:c>
      <x:c r="E5015" s="21" t="n">
        <x:f>IF(AND('Baseline Register'!G131="0.0.0",'Baseline Register'!I131="OPEN",'Baseline Register'!J131="HOLD"),1,0)</x:f>
        <x:v>1</x:v>
      </x:c>
      <x:c r="F5015" s="21" t="n">
        <x:v>1</x:v>
      </x:c>
      <x:c r="G5015" s="23" t="str">
        <x:f>IF(E5015=F5015,"PASS","FAIL")</x:f>
        <x:v>PASS</x:v>
      </x:c>
    </x:row>
    <x:row r="5016">
      <x:c r="B5016" s="21" t="str">
        <x:v>A05010</x:v>
      </x:c>
      <x:c r="C5016" s="21" t="str">
        <x:v>baseline</x:v>
      </x:c>
      <x:c r="D5016" s="21" t="str">
        <x:v>baseline 126 planning state</x:v>
      </x:c>
      <x:c r="E5016" s="21" t="n">
        <x:f>IF(AND('Baseline Register'!G132="0.0.0",'Baseline Register'!I132="OPEN",'Baseline Register'!J132="HOLD"),1,0)</x:f>
        <x:v>1</x:v>
      </x:c>
      <x:c r="F5016" s="21" t="n">
        <x:v>1</x:v>
      </x:c>
      <x:c r="G5016" s="23" t="str">
        <x:f>IF(E5016=F5016,"PASS","FAIL")</x:f>
        <x:v>PASS</x:v>
      </x:c>
    </x:row>
    <x:row r="5017">
      <x:c r="B5017" s="21" t="str">
        <x:v>A05011</x:v>
      </x:c>
      <x:c r="C5017" s="21" t="str">
        <x:v>baseline</x:v>
      </x:c>
      <x:c r="D5017" s="21" t="str">
        <x:v>baseline 127 planning state</x:v>
      </x:c>
      <x:c r="E5017" s="21" t="n">
        <x:f>IF(AND('Baseline Register'!G133="0.0.0",'Baseline Register'!I133="OPEN",'Baseline Register'!J133="HOLD"),1,0)</x:f>
        <x:v>1</x:v>
      </x:c>
      <x:c r="F5017" s="21" t="n">
        <x:v>1</x:v>
      </x:c>
      <x:c r="G5017" s="23" t="str">
        <x:f>IF(E5017=F5017,"PASS","FAIL")</x:f>
        <x:v>PASS</x:v>
      </x:c>
    </x:row>
    <x:row r="5018">
      <x:c r="B5018" s="21" t="str">
        <x:v>A05012</x:v>
      </x:c>
      <x:c r="C5018" s="21" t="str">
        <x:v>baseline</x:v>
      </x:c>
      <x:c r="D5018" s="21" t="str">
        <x:v>baseline 128 planning state</x:v>
      </x:c>
      <x:c r="E5018" s="21" t="n">
        <x:f>IF(AND('Baseline Register'!G134="0.0.0",'Baseline Register'!I134="OPEN",'Baseline Register'!J134="HOLD"),1,0)</x:f>
        <x:v>1</x:v>
      </x:c>
      <x:c r="F5018" s="21" t="n">
        <x:v>1</x:v>
      </x:c>
      <x:c r="G5018" s="23" t="str">
        <x:f>IF(E5018=F5018,"PASS","FAIL")</x:f>
        <x:v>PASS</x:v>
      </x:c>
    </x:row>
    <x:row r="5019">
      <x:c r="B5019" s="21" t="str">
        <x:v>A05013</x:v>
      </x:c>
      <x:c r="C5019" s="21" t="str">
        <x:v>baseline</x:v>
      </x:c>
      <x:c r="D5019" s="21" t="str">
        <x:v>baseline 129 planning state</x:v>
      </x:c>
      <x:c r="E5019" s="21" t="n">
        <x:f>IF(AND('Baseline Register'!G135="0.0.0",'Baseline Register'!I135="OPEN",'Baseline Register'!J135="HOLD"),1,0)</x:f>
        <x:v>1</x:v>
      </x:c>
      <x:c r="F5019" s="21" t="n">
        <x:v>1</x:v>
      </x:c>
      <x:c r="G5019" s="23" t="str">
        <x:f>IF(E5019=F5019,"PASS","FAIL")</x:f>
        <x:v>PASS</x:v>
      </x:c>
    </x:row>
    <x:row r="5020">
      <x:c r="B5020" s="21" t="str">
        <x:v>A05014</x:v>
      </x:c>
      <x:c r="C5020" s="21" t="str">
        <x:v>baseline</x:v>
      </x:c>
      <x:c r="D5020" s="21" t="str">
        <x:v>baseline 130 planning state</x:v>
      </x:c>
      <x:c r="E5020" s="21" t="n">
        <x:f>IF(AND('Baseline Register'!G136="0.0.0",'Baseline Register'!I136="OPEN",'Baseline Register'!J136="HOLD"),1,0)</x:f>
        <x:v>1</x:v>
      </x:c>
      <x:c r="F5020" s="21" t="n">
        <x:v>1</x:v>
      </x:c>
      <x:c r="G5020" s="23" t="str">
        <x:f>IF(E5020=F5020,"PASS","FAIL")</x:f>
        <x:v>PASS</x:v>
      </x:c>
    </x:row>
    <x:row r="5021">
      <x:c r="B5021" s="21" t="str">
        <x:v>A05015</x:v>
      </x:c>
      <x:c r="C5021" s="21" t="str">
        <x:v>baseline</x:v>
      </x:c>
      <x:c r="D5021" s="21" t="str">
        <x:v>baseline 131 planning state</x:v>
      </x:c>
      <x:c r="E5021" s="21" t="n">
        <x:f>IF(AND('Baseline Register'!G137="0.0.0",'Baseline Register'!I137="OPEN",'Baseline Register'!J137="HOLD"),1,0)</x:f>
        <x:v>1</x:v>
      </x:c>
      <x:c r="F5021" s="21" t="n">
        <x:v>1</x:v>
      </x:c>
      <x:c r="G5021" s="23" t="str">
        <x:f>IF(E5021=F5021,"PASS","FAIL")</x:f>
        <x:v>PASS</x:v>
      </x:c>
    </x:row>
    <x:row r="5022">
      <x:c r="B5022" s="21" t="str">
        <x:v>A05016</x:v>
      </x:c>
      <x:c r="C5022" s="21" t="str">
        <x:v>baseline</x:v>
      </x:c>
      <x:c r="D5022" s="21" t="str">
        <x:v>baseline 132 planning state</x:v>
      </x:c>
      <x:c r="E5022" s="21" t="n">
        <x:f>IF(AND('Baseline Register'!G138="0.0.0",'Baseline Register'!I138="OPEN",'Baseline Register'!J138="HOLD"),1,0)</x:f>
        <x:v>1</x:v>
      </x:c>
      <x:c r="F5022" s="21" t="n">
        <x:v>1</x:v>
      </x:c>
      <x:c r="G5022" s="23" t="str">
        <x:f>IF(E5022=F5022,"PASS","FAIL")</x:f>
        <x:v>PASS</x:v>
      </x:c>
    </x:row>
    <x:row r="5023">
      <x:c r="B5023" s="21" t="str">
        <x:v>A05017</x:v>
      </x:c>
      <x:c r="C5023" s="21" t="str">
        <x:v>baseline</x:v>
      </x:c>
      <x:c r="D5023" s="21" t="str">
        <x:v>baseline 133 planning state</x:v>
      </x:c>
      <x:c r="E5023" s="21" t="n">
        <x:f>IF(AND('Baseline Register'!G139="0.0.0",'Baseline Register'!I139="OPEN",'Baseline Register'!J139="HOLD"),1,0)</x:f>
        <x:v>1</x:v>
      </x:c>
      <x:c r="F5023" s="21" t="n">
        <x:v>1</x:v>
      </x:c>
      <x:c r="G5023" s="23" t="str">
        <x:f>IF(E5023=F5023,"PASS","FAIL")</x:f>
        <x:v>PASS</x:v>
      </x:c>
    </x:row>
    <x:row r="5024">
      <x:c r="B5024" s="21" t="str">
        <x:v>A05018</x:v>
      </x:c>
      <x:c r="C5024" s="21" t="str">
        <x:v>baseline</x:v>
      </x:c>
      <x:c r="D5024" s="21" t="str">
        <x:v>baseline 134 planning state</x:v>
      </x:c>
      <x:c r="E5024" s="21" t="n">
        <x:f>IF(AND('Baseline Register'!G140="0.0.0",'Baseline Register'!I140="OPEN",'Baseline Register'!J140="HOLD"),1,0)</x:f>
        <x:v>1</x:v>
      </x:c>
      <x:c r="F5024" s="21" t="n">
        <x:v>1</x:v>
      </x:c>
      <x:c r="G5024" s="23" t="str">
        <x:f>IF(E5024=F5024,"PASS","FAIL")</x:f>
        <x:v>PASS</x:v>
      </x:c>
    </x:row>
    <x:row r="5025">
      <x:c r="B5025" s="21" t="str">
        <x:v>A05019</x:v>
      </x:c>
      <x:c r="C5025" s="21" t="str">
        <x:v>baseline</x:v>
      </x:c>
      <x:c r="D5025" s="21" t="str">
        <x:v>baseline 135 planning state</x:v>
      </x:c>
      <x:c r="E5025" s="21" t="n">
        <x:f>IF(AND('Baseline Register'!G141="0.0.0",'Baseline Register'!I141="OPEN",'Baseline Register'!J141="HOLD"),1,0)</x:f>
        <x:v>1</x:v>
      </x:c>
      <x:c r="F5025" s="21" t="n">
        <x:v>1</x:v>
      </x:c>
      <x:c r="G5025" s="23" t="str">
        <x:f>IF(E5025=F5025,"PASS","FAIL")</x:f>
        <x:v>PASS</x:v>
      </x:c>
    </x:row>
    <x:row r="5026">
      <x:c r="B5026" s="21" t="str">
        <x:v>A05020</x:v>
      </x:c>
      <x:c r="C5026" s="21" t="str">
        <x:v>baseline</x:v>
      </x:c>
      <x:c r="D5026" s="21" t="str">
        <x:v>baseline 136 planning state</x:v>
      </x:c>
      <x:c r="E5026" s="21" t="n">
        <x:f>IF(AND('Baseline Register'!G142="0.0.0",'Baseline Register'!I142="OPEN",'Baseline Register'!J142="HOLD"),1,0)</x:f>
        <x:v>1</x:v>
      </x:c>
      <x:c r="F5026" s="21" t="n">
        <x:v>1</x:v>
      </x:c>
      <x:c r="G5026" s="23" t="str">
        <x:f>IF(E5026=F5026,"PASS","FAIL")</x:f>
        <x:v>PASS</x:v>
      </x:c>
    </x:row>
    <x:row r="5027">
      <x:c r="B5027" s="21" t="str">
        <x:v>A05021</x:v>
      </x:c>
      <x:c r="C5027" s="21" t="str">
        <x:v>baseline</x:v>
      </x:c>
      <x:c r="D5027" s="21" t="str">
        <x:v>baseline 137 planning state</x:v>
      </x:c>
      <x:c r="E5027" s="21" t="n">
        <x:f>IF(AND('Baseline Register'!G143="0.0.0",'Baseline Register'!I143="OPEN",'Baseline Register'!J143="HOLD"),1,0)</x:f>
        <x:v>1</x:v>
      </x:c>
      <x:c r="F5027" s="21" t="n">
        <x:v>1</x:v>
      </x:c>
      <x:c r="G5027" s="23" t="str">
        <x:f>IF(E5027=F5027,"PASS","FAIL")</x:f>
        <x:v>PASS</x:v>
      </x:c>
    </x:row>
    <x:row r="5028">
      <x:c r="B5028" s="21" t="str">
        <x:v>A05022</x:v>
      </x:c>
      <x:c r="C5028" s="21" t="str">
        <x:v>baseline</x:v>
      </x:c>
      <x:c r="D5028" s="21" t="str">
        <x:v>baseline 138 planning state</x:v>
      </x:c>
      <x:c r="E5028" s="21" t="n">
        <x:f>IF(AND('Baseline Register'!G144="0.0.0",'Baseline Register'!I144="OPEN",'Baseline Register'!J144="HOLD"),1,0)</x:f>
        <x:v>1</x:v>
      </x:c>
      <x:c r="F5028" s="21" t="n">
        <x:v>1</x:v>
      </x:c>
      <x:c r="G5028" s="23" t="str">
        <x:f>IF(E5028=F5028,"PASS","FAIL")</x:f>
        <x:v>PASS</x:v>
      </x:c>
    </x:row>
    <x:row r="5029">
      <x:c r="B5029" s="21" t="str">
        <x:v>A05023</x:v>
      </x:c>
      <x:c r="C5029" s="21" t="str">
        <x:v>baseline</x:v>
      </x:c>
      <x:c r="D5029" s="21" t="str">
        <x:v>baseline 139 planning state</x:v>
      </x:c>
      <x:c r="E5029" s="21" t="n">
        <x:f>IF(AND('Baseline Register'!G145="0.0.0",'Baseline Register'!I145="OPEN",'Baseline Register'!J145="HOLD"),1,0)</x:f>
        <x:v>1</x:v>
      </x:c>
      <x:c r="F5029" s="21" t="n">
        <x:v>1</x:v>
      </x:c>
      <x:c r="G5029" s="23" t="str">
        <x:f>IF(E5029=F5029,"PASS","FAIL")</x:f>
        <x:v>PASS</x:v>
      </x:c>
    </x:row>
    <x:row r="5030">
      <x:c r="B5030" s="21" t="str">
        <x:v>A05024</x:v>
      </x:c>
      <x:c r="C5030" s="21" t="str">
        <x:v>baseline</x:v>
      </x:c>
      <x:c r="D5030" s="21" t="str">
        <x:v>baseline 140 planning state</x:v>
      </x:c>
      <x:c r="E5030" s="21" t="n">
        <x:f>IF(AND('Baseline Register'!G146="0.0.0",'Baseline Register'!I146="OPEN",'Baseline Register'!J146="HOLD"),1,0)</x:f>
        <x:v>1</x:v>
      </x:c>
      <x:c r="F5030" s="21" t="n">
        <x:v>1</x:v>
      </x:c>
      <x:c r="G5030" s="23" t="str">
        <x:f>IF(E5030=F5030,"PASS","FAIL")</x:f>
        <x:v>PASS</x:v>
      </x:c>
    </x:row>
    <x:row r="5031">
      <x:c r="B5031" s="21" t="str">
        <x:v>A05025</x:v>
      </x:c>
      <x:c r="C5031" s="21" t="str">
        <x:v>baseline</x:v>
      </x:c>
      <x:c r="D5031" s="21" t="str">
        <x:v>baseline 141 planning state</x:v>
      </x:c>
      <x:c r="E5031" s="21" t="n">
        <x:f>IF(AND('Baseline Register'!G147="0.0.0",'Baseline Register'!I147="OPEN",'Baseline Register'!J147="HOLD"),1,0)</x:f>
        <x:v>1</x:v>
      </x:c>
      <x:c r="F5031" s="21" t="n">
        <x:v>1</x:v>
      </x:c>
      <x:c r="G5031" s="23" t="str">
        <x:f>IF(E5031=F5031,"PASS","FAIL")</x:f>
        <x:v>PASS</x:v>
      </x:c>
    </x:row>
    <x:row r="5032">
      <x:c r="B5032" s="21" t="str">
        <x:v>A05026</x:v>
      </x:c>
      <x:c r="C5032" s="21" t="str">
        <x:v>baseline</x:v>
      </x:c>
      <x:c r="D5032" s="21" t="str">
        <x:v>baseline 142 planning state</x:v>
      </x:c>
      <x:c r="E5032" s="21" t="n">
        <x:f>IF(AND('Baseline Register'!G148="0.0.0",'Baseline Register'!I148="OPEN",'Baseline Register'!J148="HOLD"),1,0)</x:f>
        <x:v>1</x:v>
      </x:c>
      <x:c r="F5032" s="21" t="n">
        <x:v>1</x:v>
      </x:c>
      <x:c r="G5032" s="23" t="str">
        <x:f>IF(E5032=F5032,"PASS","FAIL")</x:f>
        <x:v>PASS</x:v>
      </x:c>
    </x:row>
    <x:row r="5033">
      <x:c r="B5033" s="21" t="str">
        <x:v>A05027</x:v>
      </x:c>
      <x:c r="C5033" s="21" t="str">
        <x:v>baseline</x:v>
      </x:c>
      <x:c r="D5033" s="21" t="str">
        <x:v>baseline 143 planning state</x:v>
      </x:c>
      <x:c r="E5033" s="21" t="n">
        <x:f>IF(AND('Baseline Register'!G149="0.0.0",'Baseline Register'!I149="OPEN",'Baseline Register'!J149="HOLD"),1,0)</x:f>
        <x:v>1</x:v>
      </x:c>
      <x:c r="F5033" s="21" t="n">
        <x:v>1</x:v>
      </x:c>
      <x:c r="G5033" s="23" t="str">
        <x:f>IF(E5033=F5033,"PASS","FAIL")</x:f>
        <x:v>PASS</x:v>
      </x:c>
    </x:row>
    <x:row r="5034">
      <x:c r="B5034" s="21" t="str">
        <x:v>A05028</x:v>
      </x:c>
      <x:c r="C5034" s="21" t="str">
        <x:v>baseline</x:v>
      </x:c>
      <x:c r="D5034" s="21" t="str">
        <x:v>baseline 144 planning state</x:v>
      </x:c>
      <x:c r="E5034" s="21" t="n">
        <x:f>IF(AND('Baseline Register'!G150="0.0.0",'Baseline Register'!I150="OPEN",'Baseline Register'!J150="HOLD"),1,0)</x:f>
        <x:v>1</x:v>
      </x:c>
      <x:c r="F5034" s="21" t="n">
        <x:v>1</x:v>
      </x:c>
      <x:c r="G5034" s="23" t="str">
        <x:f>IF(E5034=F5034,"PASS","FAIL")</x:f>
        <x:v>PASS</x:v>
      </x:c>
    </x:row>
    <x:row r="5035">
      <x:c r="B5035" s="21" t="str">
        <x:v>A05029</x:v>
      </x:c>
      <x:c r="C5035" s="21" t="str">
        <x:v>baseline</x:v>
      </x:c>
      <x:c r="D5035" s="21" t="str">
        <x:v>baseline 145 planning state</x:v>
      </x:c>
      <x:c r="E5035" s="21" t="n">
        <x:f>IF(AND('Baseline Register'!G151="0.0.0",'Baseline Register'!I151="OPEN",'Baseline Register'!J151="HOLD"),1,0)</x:f>
        <x:v>1</x:v>
      </x:c>
      <x:c r="F5035" s="21" t="n">
        <x:v>1</x:v>
      </x:c>
      <x:c r="G5035" s="23" t="str">
        <x:f>IF(E5035=F5035,"PASS","FAIL")</x:f>
        <x:v>PASS</x:v>
      </x:c>
    </x:row>
    <x:row r="5036">
      <x:c r="B5036" s="21" t="str">
        <x:v>A05030</x:v>
      </x:c>
      <x:c r="C5036" s="21" t="str">
        <x:v>baseline</x:v>
      </x:c>
      <x:c r="D5036" s="21" t="str">
        <x:v>baseline 146 planning state</x:v>
      </x:c>
      <x:c r="E5036" s="21" t="n">
        <x:f>IF(AND('Baseline Register'!G152="0.0.0",'Baseline Register'!I152="OPEN",'Baseline Register'!J152="HOLD"),1,0)</x:f>
        <x:v>1</x:v>
      </x:c>
      <x:c r="F5036" s="21" t="n">
        <x:v>1</x:v>
      </x:c>
      <x:c r="G5036" s="23" t="str">
        <x:f>IF(E5036=F5036,"PASS","FAIL")</x:f>
        <x:v>PASS</x:v>
      </x:c>
    </x:row>
    <x:row r="5037">
      <x:c r="B5037" s="21" t="str">
        <x:v>A05031</x:v>
      </x:c>
      <x:c r="C5037" s="21" t="str">
        <x:v>baseline</x:v>
      </x:c>
      <x:c r="D5037" s="21" t="str">
        <x:v>baseline 147 planning state</x:v>
      </x:c>
      <x:c r="E5037" s="21" t="n">
        <x:f>IF(AND('Baseline Register'!G153="0.0.0",'Baseline Register'!I153="OPEN",'Baseline Register'!J153="HOLD"),1,0)</x:f>
        <x:v>1</x:v>
      </x:c>
      <x:c r="F5037" s="21" t="n">
        <x:v>1</x:v>
      </x:c>
      <x:c r="G5037" s="23" t="str">
        <x:f>IF(E5037=F5037,"PASS","FAIL")</x:f>
        <x:v>PASS</x:v>
      </x:c>
    </x:row>
    <x:row r="5038">
      <x:c r="B5038" s="21" t="str">
        <x:v>A05032</x:v>
      </x:c>
      <x:c r="C5038" s="21" t="str">
        <x:v>baseline</x:v>
      </x:c>
      <x:c r="D5038" s="21" t="str">
        <x:v>baseline 148 planning state</x:v>
      </x:c>
      <x:c r="E5038" s="21" t="n">
        <x:f>IF(AND('Baseline Register'!G154="0.0.0",'Baseline Register'!I154="OPEN",'Baseline Register'!J154="HOLD"),1,0)</x:f>
        <x:v>1</x:v>
      </x:c>
      <x:c r="F5038" s="21" t="n">
        <x:v>1</x:v>
      </x:c>
      <x:c r="G5038" s="23" t="str">
        <x:f>IF(E5038=F5038,"PASS","FAIL")</x:f>
        <x:v>PASS</x:v>
      </x:c>
    </x:row>
    <x:row r="5039">
      <x:c r="B5039" s="21" t="str">
        <x:v>A05033</x:v>
      </x:c>
      <x:c r="C5039" s="21" t="str">
        <x:v>baseline</x:v>
      </x:c>
      <x:c r="D5039" s="21" t="str">
        <x:v>baseline 149 planning state</x:v>
      </x:c>
      <x:c r="E5039" s="21" t="n">
        <x:f>IF(AND('Baseline Register'!G155="0.0.0",'Baseline Register'!I155="OPEN",'Baseline Register'!J155="HOLD"),1,0)</x:f>
        <x:v>1</x:v>
      </x:c>
      <x:c r="F5039" s="21" t="n">
        <x:v>1</x:v>
      </x:c>
      <x:c r="G5039" s="23" t="str">
        <x:f>IF(E5039=F5039,"PASS","FAIL")</x:f>
        <x:v>PASS</x:v>
      </x:c>
    </x:row>
    <x:row r="5040">
      <x:c r="B5040" s="21" t="str">
        <x:v>A05034</x:v>
      </x:c>
      <x:c r="C5040" s="21" t="str">
        <x:v>baseline</x:v>
      </x:c>
      <x:c r="D5040" s="21" t="str">
        <x:v>baseline 150 planning state</x:v>
      </x:c>
      <x:c r="E5040" s="21" t="n">
        <x:f>IF(AND('Baseline Register'!G156="0.0.0",'Baseline Register'!I156="OPEN",'Baseline Register'!J156="HOLD"),1,0)</x:f>
        <x:v>1</x:v>
      </x:c>
      <x:c r="F5040" s="21" t="n">
        <x:v>1</x:v>
      </x:c>
      <x:c r="G5040" s="23" t="str">
        <x:f>IF(E5040=F5040,"PASS","FAIL")</x:f>
        <x:v>PASS</x:v>
      </x:c>
    </x:row>
    <x:row r="5041">
      <x:c r="B5041" s="21" t="str">
        <x:v>A05035</x:v>
      </x:c>
      <x:c r="C5041" s="21" t="str">
        <x:v>baseline</x:v>
      </x:c>
      <x:c r="D5041" s="21" t="str">
        <x:v>baseline 151 planning state</x:v>
      </x:c>
      <x:c r="E5041" s="21" t="n">
        <x:f>IF(AND('Baseline Register'!G157="0.0.0",'Baseline Register'!I157="OPEN",'Baseline Register'!J157="HOLD"),1,0)</x:f>
        <x:v>1</x:v>
      </x:c>
      <x:c r="F5041" s="21" t="n">
        <x:v>1</x:v>
      </x:c>
      <x:c r="G5041" s="23" t="str">
        <x:f>IF(E5041=F5041,"PASS","FAIL")</x:f>
        <x:v>PASS</x:v>
      </x:c>
    </x:row>
    <x:row r="5042">
      <x:c r="B5042" s="21" t="str">
        <x:v>A05036</x:v>
      </x:c>
      <x:c r="C5042" s="21" t="str">
        <x:v>baseline</x:v>
      </x:c>
      <x:c r="D5042" s="21" t="str">
        <x:v>baseline 152 planning state</x:v>
      </x:c>
      <x:c r="E5042" s="21" t="n">
        <x:f>IF(AND('Baseline Register'!G158="0.0.0",'Baseline Register'!I158="OPEN",'Baseline Register'!J158="HOLD"),1,0)</x:f>
        <x:v>1</x:v>
      </x:c>
      <x:c r="F5042" s="21" t="n">
        <x:v>1</x:v>
      </x:c>
      <x:c r="G5042" s="23" t="str">
        <x:f>IF(E5042=F5042,"PASS","FAIL")</x:f>
        <x:v>PASS</x:v>
      </x:c>
    </x:row>
    <x:row r="5043">
      <x:c r="B5043" s="21" t="str">
        <x:v>A05037</x:v>
      </x:c>
      <x:c r="C5043" s="21" t="str">
        <x:v>baseline</x:v>
      </x:c>
      <x:c r="D5043" s="21" t="str">
        <x:v>baseline 153 planning state</x:v>
      </x:c>
      <x:c r="E5043" s="21" t="n">
        <x:f>IF(AND('Baseline Register'!G159="0.0.0",'Baseline Register'!I159="OPEN",'Baseline Register'!J159="HOLD"),1,0)</x:f>
        <x:v>1</x:v>
      </x:c>
      <x:c r="F5043" s="21" t="n">
        <x:v>1</x:v>
      </x:c>
      <x:c r="G5043" s="23" t="str">
        <x:f>IF(E5043=F5043,"PASS","FAIL")</x:f>
        <x:v>PASS</x:v>
      </x:c>
    </x:row>
    <x:row r="5044">
      <x:c r="B5044" s="21" t="str">
        <x:v>A05038</x:v>
      </x:c>
      <x:c r="C5044" s="21" t="str">
        <x:v>baseline</x:v>
      </x:c>
      <x:c r="D5044" s="21" t="str">
        <x:v>baseline 154 planning state</x:v>
      </x:c>
      <x:c r="E5044" s="21" t="n">
        <x:f>IF(AND('Baseline Register'!G160="0.0.0",'Baseline Register'!I160="OPEN",'Baseline Register'!J160="HOLD"),1,0)</x:f>
        <x:v>1</x:v>
      </x:c>
      <x:c r="F5044" s="21" t="n">
        <x:v>1</x:v>
      </x:c>
      <x:c r="G5044" s="23" t="str">
        <x:f>IF(E5044=F5044,"PASS","FAIL")</x:f>
        <x:v>PASS</x:v>
      </x:c>
    </x:row>
    <x:row r="5045">
      <x:c r="B5045" s="21" t="str">
        <x:v>A05039</x:v>
      </x:c>
      <x:c r="C5045" s="21" t="str">
        <x:v>baseline</x:v>
      </x:c>
      <x:c r="D5045" s="21" t="str">
        <x:v>baseline 155 planning state</x:v>
      </x:c>
      <x:c r="E5045" s="21" t="n">
        <x:f>IF(AND('Baseline Register'!G161="0.0.0",'Baseline Register'!I161="OPEN",'Baseline Register'!J161="HOLD"),1,0)</x:f>
        <x:v>1</x:v>
      </x:c>
      <x:c r="F5045" s="21" t="n">
        <x:v>1</x:v>
      </x:c>
      <x:c r="G5045" s="23" t="str">
        <x:f>IF(E5045=F5045,"PASS","FAIL")</x:f>
        <x:v>PASS</x:v>
      </x:c>
    </x:row>
    <x:row r="5046">
      <x:c r="B5046" s="21" t="str">
        <x:v>A05040</x:v>
      </x:c>
      <x:c r="C5046" s="21" t="str">
        <x:v>baseline</x:v>
      </x:c>
      <x:c r="D5046" s="21" t="str">
        <x:v>baseline 156 planning state</x:v>
      </x:c>
      <x:c r="E5046" s="21" t="n">
        <x:f>IF(AND('Baseline Register'!G162="0.0.0",'Baseline Register'!I162="OPEN",'Baseline Register'!J162="HOLD"),1,0)</x:f>
        <x:v>1</x:v>
      </x:c>
      <x:c r="F5046" s="21" t="n">
        <x:v>1</x:v>
      </x:c>
      <x:c r="G5046" s="23" t="str">
        <x:f>IF(E5046=F5046,"PASS","FAIL")</x:f>
        <x:v>PASS</x:v>
      </x:c>
    </x:row>
    <x:row r="5047">
      <x:c r="B5047" s="21" t="str">
        <x:v>A05041</x:v>
      </x:c>
      <x:c r="C5047" s="21" t="str">
        <x:v>baseline</x:v>
      </x:c>
      <x:c r="D5047" s="21" t="str">
        <x:v>baseline 157 planning state</x:v>
      </x:c>
      <x:c r="E5047" s="21" t="n">
        <x:f>IF(AND('Baseline Register'!G163="0.0.0",'Baseline Register'!I163="OPEN",'Baseline Register'!J163="HOLD"),1,0)</x:f>
        <x:v>1</x:v>
      </x:c>
      <x:c r="F5047" s="21" t="n">
        <x:v>1</x:v>
      </x:c>
      <x:c r="G5047" s="23" t="str">
        <x:f>IF(E5047=F5047,"PASS","FAIL")</x:f>
        <x:v>PASS</x:v>
      </x:c>
    </x:row>
    <x:row r="5048">
      <x:c r="B5048" s="21" t="str">
        <x:v>A05042</x:v>
      </x:c>
      <x:c r="C5048" s="21" t="str">
        <x:v>baseline</x:v>
      </x:c>
      <x:c r="D5048" s="21" t="str">
        <x:v>baseline 158 planning state</x:v>
      </x:c>
      <x:c r="E5048" s="21" t="n">
        <x:f>IF(AND('Baseline Register'!G164="0.0.0",'Baseline Register'!I164="OPEN",'Baseline Register'!J164="HOLD"),1,0)</x:f>
        <x:v>1</x:v>
      </x:c>
      <x:c r="F5048" s="21" t="n">
        <x:v>1</x:v>
      </x:c>
      <x:c r="G5048" s="23" t="str">
        <x:f>IF(E5048=F5048,"PASS","FAIL")</x:f>
        <x:v>PASS</x:v>
      </x:c>
    </x:row>
    <x:row r="5049">
      <x:c r="B5049" s="21" t="str">
        <x:v>A05043</x:v>
      </x:c>
      <x:c r="C5049" s="21" t="str">
        <x:v>baseline</x:v>
      </x:c>
      <x:c r="D5049" s="21" t="str">
        <x:v>baseline 159 planning state</x:v>
      </x:c>
      <x:c r="E5049" s="21" t="n">
        <x:f>IF(AND('Baseline Register'!G165="0.0.0",'Baseline Register'!I165="OPEN",'Baseline Register'!J165="HOLD"),1,0)</x:f>
        <x:v>1</x:v>
      </x:c>
      <x:c r="F5049" s="21" t="n">
        <x:v>1</x:v>
      </x:c>
      <x:c r="G5049" s="23" t="str">
        <x:f>IF(E5049=F5049,"PASS","FAIL")</x:f>
        <x:v>PASS</x:v>
      </x:c>
    </x:row>
    <x:row r="5050">
      <x:c r="B5050" s="21" t="str">
        <x:v>A05044</x:v>
      </x:c>
      <x:c r="C5050" s="21" t="str">
        <x:v>baseline</x:v>
      </x:c>
      <x:c r="D5050" s="21" t="str">
        <x:v>baseline 160 planning state</x:v>
      </x:c>
      <x:c r="E5050" s="21" t="n">
        <x:f>IF(AND('Baseline Register'!G166="0.0.0",'Baseline Register'!I166="OPEN",'Baseline Register'!J166="HOLD"),1,0)</x:f>
        <x:v>1</x:v>
      </x:c>
      <x:c r="F5050" s="21" t="n">
        <x:v>1</x:v>
      </x:c>
      <x:c r="G5050" s="23" t="str">
        <x:f>IF(E5050=F5050,"PASS","FAIL")</x:f>
        <x:v>PASS</x:v>
      </x:c>
    </x:row>
    <x:row r="5051">
      <x:c r="B5051" s="21" t="str">
        <x:v>A05045</x:v>
      </x:c>
      <x:c r="C5051" s="21" t="str">
        <x:v>baseline</x:v>
      </x:c>
      <x:c r="D5051" s="21" t="str">
        <x:v>baseline 161 planning state</x:v>
      </x:c>
      <x:c r="E5051" s="21" t="n">
        <x:f>IF(AND('Baseline Register'!G167="0.0.0",'Baseline Register'!I167="OPEN",'Baseline Register'!J167="HOLD"),1,0)</x:f>
        <x:v>1</x:v>
      </x:c>
      <x:c r="F5051" s="21" t="n">
        <x:v>1</x:v>
      </x:c>
      <x:c r="G5051" s="23" t="str">
        <x:f>IF(E5051=F5051,"PASS","FAIL")</x:f>
        <x:v>PASS</x:v>
      </x:c>
    </x:row>
    <x:row r="5052">
      <x:c r="B5052" s="21" t="str">
        <x:v>A05046</x:v>
      </x:c>
      <x:c r="C5052" s="21" t="str">
        <x:v>baseline</x:v>
      </x:c>
      <x:c r="D5052" s="21" t="str">
        <x:v>baseline 162 planning state</x:v>
      </x:c>
      <x:c r="E5052" s="21" t="n">
        <x:f>IF(AND('Baseline Register'!G168="0.0.0",'Baseline Register'!I168="OPEN",'Baseline Register'!J168="HOLD"),1,0)</x:f>
        <x:v>1</x:v>
      </x:c>
      <x:c r="F5052" s="21" t="n">
        <x:v>1</x:v>
      </x:c>
      <x:c r="G5052" s="23" t="str">
        <x:f>IF(E5052=F5052,"PASS","FAIL")</x:f>
        <x:v>PASS</x:v>
      </x:c>
    </x:row>
    <x:row r="5053">
      <x:c r="B5053" s="21" t="str">
        <x:v>A05047</x:v>
      </x:c>
      <x:c r="C5053" s="21" t="str">
        <x:v>baseline</x:v>
      </x:c>
      <x:c r="D5053" s="21" t="str">
        <x:v>baseline 163 planning state</x:v>
      </x:c>
      <x:c r="E5053" s="21" t="n">
        <x:f>IF(AND('Baseline Register'!G169="0.0.0",'Baseline Register'!I169="OPEN",'Baseline Register'!J169="HOLD"),1,0)</x:f>
        <x:v>1</x:v>
      </x:c>
      <x:c r="F5053" s="21" t="n">
        <x:v>1</x:v>
      </x:c>
      <x:c r="G5053" s="23" t="str">
        <x:f>IF(E5053=F5053,"PASS","FAIL")</x:f>
        <x:v>PASS</x:v>
      </x:c>
    </x:row>
    <x:row r="5054">
      <x:c r="B5054" s="21" t="str">
        <x:v>A05048</x:v>
      </x:c>
      <x:c r="C5054" s="21" t="str">
        <x:v>baseline</x:v>
      </x:c>
      <x:c r="D5054" s="21" t="str">
        <x:v>baseline 164 planning state</x:v>
      </x:c>
      <x:c r="E5054" s="21" t="n">
        <x:f>IF(AND('Baseline Register'!G170="0.0.0",'Baseline Register'!I170="OPEN",'Baseline Register'!J170="HOLD"),1,0)</x:f>
        <x:v>1</x:v>
      </x:c>
      <x:c r="F5054" s="21" t="n">
        <x:v>1</x:v>
      </x:c>
      <x:c r="G5054" s="23" t="str">
        <x:f>IF(E5054=F5054,"PASS","FAIL")</x:f>
        <x:v>PASS</x:v>
      </x:c>
    </x:row>
    <x:row r="5055">
      <x:c r="B5055" s="21" t="str">
        <x:v>A05049</x:v>
      </x:c>
      <x:c r="C5055" s="21" t="str">
        <x:v>baseline</x:v>
      </x:c>
      <x:c r="D5055" s="21" t="str">
        <x:v>baseline 165 planning state</x:v>
      </x:c>
      <x:c r="E5055" s="21" t="n">
        <x:f>IF(AND('Baseline Register'!G171="0.0.0",'Baseline Register'!I171="OPEN",'Baseline Register'!J171="HOLD"),1,0)</x:f>
        <x:v>1</x:v>
      </x:c>
      <x:c r="F5055" s="21" t="n">
        <x:v>1</x:v>
      </x:c>
      <x:c r="G5055" s="23" t="str">
        <x:f>IF(E5055=F5055,"PASS","FAIL")</x:f>
        <x:v>PASS</x:v>
      </x:c>
    </x:row>
    <x:row r="5056">
      <x:c r="B5056" s="21" t="str">
        <x:v>A05050</x:v>
      </x:c>
      <x:c r="C5056" s="21" t="str">
        <x:v>baseline</x:v>
      </x:c>
      <x:c r="D5056" s="21" t="str">
        <x:v>baseline 166 planning state</x:v>
      </x:c>
      <x:c r="E5056" s="21" t="n">
        <x:f>IF(AND('Baseline Register'!G172="0.0.0",'Baseline Register'!I172="OPEN",'Baseline Register'!J172="HOLD"),1,0)</x:f>
        <x:v>1</x:v>
      </x:c>
      <x:c r="F5056" s="21" t="n">
        <x:v>1</x:v>
      </x:c>
      <x:c r="G5056" s="23" t="str">
        <x:f>IF(E5056=F5056,"PASS","FAIL")</x:f>
        <x:v>PASS</x:v>
      </x:c>
    </x:row>
    <x:row r="5057">
      <x:c r="B5057" s="21" t="str">
        <x:v>A05051</x:v>
      </x:c>
      <x:c r="C5057" s="21" t="str">
        <x:v>baseline</x:v>
      </x:c>
      <x:c r="D5057" s="21" t="str">
        <x:v>baseline 167 planning state</x:v>
      </x:c>
      <x:c r="E5057" s="21" t="n">
        <x:f>IF(AND('Baseline Register'!G173="0.0.0",'Baseline Register'!I173="OPEN",'Baseline Register'!J173="HOLD"),1,0)</x:f>
        <x:v>1</x:v>
      </x:c>
      <x:c r="F5057" s="21" t="n">
        <x:v>1</x:v>
      </x:c>
      <x:c r="G5057" s="23" t="str">
        <x:f>IF(E5057=F5057,"PASS","FAIL")</x:f>
        <x:v>PASS</x:v>
      </x:c>
    </x:row>
    <x:row r="5058">
      <x:c r="B5058" s="21" t="str">
        <x:v>A05052</x:v>
      </x:c>
      <x:c r="C5058" s="21" t="str">
        <x:v>baseline</x:v>
      </x:c>
      <x:c r="D5058" s="21" t="str">
        <x:v>baseline 168 planning state</x:v>
      </x:c>
      <x:c r="E5058" s="21" t="n">
        <x:f>IF(AND('Baseline Register'!G174="0.0.0",'Baseline Register'!I174="OPEN",'Baseline Register'!J174="HOLD"),1,0)</x:f>
        <x:v>1</x:v>
      </x:c>
      <x:c r="F5058" s="21" t="n">
        <x:v>1</x:v>
      </x:c>
      <x:c r="G5058" s="23" t="str">
        <x:f>IF(E5058=F5058,"PASS","FAIL")</x:f>
        <x:v>PASS</x:v>
      </x:c>
    </x:row>
    <x:row r="5059">
      <x:c r="B5059" s="21" t="str">
        <x:v>A05053</x:v>
      </x:c>
      <x:c r="C5059" s="21" t="str">
        <x:v>baseline</x:v>
      </x:c>
      <x:c r="D5059" s="21" t="str">
        <x:v>baseline 169 planning state</x:v>
      </x:c>
      <x:c r="E5059" s="21" t="n">
        <x:f>IF(AND('Baseline Register'!G175="0.0.0",'Baseline Register'!I175="OPEN",'Baseline Register'!J175="HOLD"),1,0)</x:f>
        <x:v>1</x:v>
      </x:c>
      <x:c r="F5059" s="21" t="n">
        <x:v>1</x:v>
      </x:c>
      <x:c r="G5059" s="23" t="str">
        <x:f>IF(E5059=F5059,"PASS","FAIL")</x:f>
        <x:v>PASS</x:v>
      </x:c>
    </x:row>
    <x:row r="5060">
      <x:c r="B5060" s="21" t="str">
        <x:v>A05054</x:v>
      </x:c>
      <x:c r="C5060" s="21" t="str">
        <x:v>baseline</x:v>
      </x:c>
      <x:c r="D5060" s="21" t="str">
        <x:v>baseline 170 planning state</x:v>
      </x:c>
      <x:c r="E5060" s="21" t="n">
        <x:f>IF(AND('Baseline Register'!G176="0.0.0",'Baseline Register'!I176="OPEN",'Baseline Register'!J176="HOLD"),1,0)</x:f>
        <x:v>1</x:v>
      </x:c>
      <x:c r="F5060" s="21" t="n">
        <x:v>1</x:v>
      </x:c>
      <x:c r="G5060" s="23" t="str">
        <x:f>IF(E5060=F5060,"PASS","FAIL")</x:f>
        <x:v>PASS</x:v>
      </x:c>
    </x:row>
    <x:row r="5061">
      <x:c r="B5061" s="21" t="str">
        <x:v>A05055</x:v>
      </x:c>
      <x:c r="C5061" s="21" t="str">
        <x:v>baseline</x:v>
      </x:c>
      <x:c r="D5061" s="21" t="str">
        <x:v>baseline 171 planning state</x:v>
      </x:c>
      <x:c r="E5061" s="21" t="n">
        <x:f>IF(AND('Baseline Register'!G177="0.0.0",'Baseline Register'!I177="OPEN",'Baseline Register'!J177="HOLD"),1,0)</x:f>
        <x:v>1</x:v>
      </x:c>
      <x:c r="F5061" s="21" t="n">
        <x:v>1</x:v>
      </x:c>
      <x:c r="G5061" s="23" t="str">
        <x:f>IF(E5061=F5061,"PASS","FAIL")</x:f>
        <x:v>PASS</x:v>
      </x:c>
    </x:row>
    <x:row r="5062">
      <x:c r="B5062" s="21" t="str">
        <x:v>A05056</x:v>
      </x:c>
      <x:c r="C5062" s="21" t="str">
        <x:v>baseline</x:v>
      </x:c>
      <x:c r="D5062" s="21" t="str">
        <x:v>baseline 172 planning state</x:v>
      </x:c>
      <x:c r="E5062" s="21" t="n">
        <x:f>IF(AND('Baseline Register'!G178="0.0.0",'Baseline Register'!I178="OPEN",'Baseline Register'!J178="HOLD"),1,0)</x:f>
        <x:v>1</x:v>
      </x:c>
      <x:c r="F5062" s="21" t="n">
        <x:v>1</x:v>
      </x:c>
      <x:c r="G5062" s="23" t="str">
        <x:f>IF(E5062=F5062,"PASS","FAIL")</x:f>
        <x:v>PASS</x:v>
      </x:c>
    </x:row>
    <x:row r="5063">
      <x:c r="B5063" s="21" t="str">
        <x:v>A05057</x:v>
      </x:c>
      <x:c r="C5063" s="21" t="str">
        <x:v>baseline</x:v>
      </x:c>
      <x:c r="D5063" s="21" t="str">
        <x:v>baseline 173 planning state</x:v>
      </x:c>
      <x:c r="E5063" s="21" t="n">
        <x:f>IF(AND('Baseline Register'!G179="0.0.0",'Baseline Register'!I179="OPEN",'Baseline Register'!J179="HOLD"),1,0)</x:f>
        <x:v>1</x:v>
      </x:c>
      <x:c r="F5063" s="21" t="n">
        <x:v>1</x:v>
      </x:c>
      <x:c r="G5063" s="23" t="str">
        <x:f>IF(E5063=F5063,"PASS","FAIL")</x:f>
        <x:v>PASS</x:v>
      </x:c>
    </x:row>
    <x:row r="5064">
      <x:c r="B5064" s="21" t="str">
        <x:v>A05058</x:v>
      </x:c>
      <x:c r="C5064" s="21" t="str">
        <x:v>baseline</x:v>
      </x:c>
      <x:c r="D5064" s="21" t="str">
        <x:v>baseline 174 planning state</x:v>
      </x:c>
      <x:c r="E5064" s="21" t="n">
        <x:f>IF(AND('Baseline Register'!G180="0.0.0",'Baseline Register'!I180="OPEN",'Baseline Register'!J180="HOLD"),1,0)</x:f>
        <x:v>1</x:v>
      </x:c>
      <x:c r="F5064" s="21" t="n">
        <x:v>1</x:v>
      </x:c>
      <x:c r="G5064" s="23" t="str">
        <x:f>IF(E5064=F5064,"PASS","FAIL")</x:f>
        <x:v>PASS</x:v>
      </x:c>
    </x:row>
    <x:row r="5065">
      <x:c r="B5065" s="21" t="str">
        <x:v>A05059</x:v>
      </x:c>
      <x:c r="C5065" s="21" t="str">
        <x:v>baseline</x:v>
      </x:c>
      <x:c r="D5065" s="21" t="str">
        <x:v>baseline 175 planning state</x:v>
      </x:c>
      <x:c r="E5065" s="21" t="n">
        <x:f>IF(AND('Baseline Register'!G181="0.0.0",'Baseline Register'!I181="OPEN",'Baseline Register'!J181="HOLD"),1,0)</x:f>
        <x:v>1</x:v>
      </x:c>
      <x:c r="F5065" s="21" t="n">
        <x:v>1</x:v>
      </x:c>
      <x:c r="G5065" s="23" t="str">
        <x:f>IF(E5065=F5065,"PASS","FAIL")</x:f>
        <x:v>PASS</x:v>
      </x:c>
    </x:row>
    <x:row r="5066">
      <x:c r="B5066" s="21" t="str">
        <x:v>A05060</x:v>
      </x:c>
      <x:c r="C5066" s="21" t="str">
        <x:v>baseline</x:v>
      </x:c>
      <x:c r="D5066" s="21" t="str">
        <x:v>baseline 176 planning state</x:v>
      </x:c>
      <x:c r="E5066" s="21" t="n">
        <x:f>IF(AND('Baseline Register'!G182="0.0.0",'Baseline Register'!I182="OPEN",'Baseline Register'!J182="HOLD"),1,0)</x:f>
        <x:v>1</x:v>
      </x:c>
      <x:c r="F5066" s="21" t="n">
        <x:v>1</x:v>
      </x:c>
      <x:c r="G5066" s="23" t="str">
        <x:f>IF(E5066=F5066,"PASS","FAIL")</x:f>
        <x:v>PASS</x:v>
      </x:c>
    </x:row>
    <x:row r="5067">
      <x:c r="B5067" s="21" t="str">
        <x:v>A05061</x:v>
      </x:c>
      <x:c r="C5067" s="21" t="str">
        <x:v>baseline</x:v>
      </x:c>
      <x:c r="D5067" s="21" t="str">
        <x:v>baseline 177 planning state</x:v>
      </x:c>
      <x:c r="E5067" s="21" t="n">
        <x:f>IF(AND('Baseline Register'!G183="0.0.0",'Baseline Register'!I183="OPEN",'Baseline Register'!J183="HOLD"),1,0)</x:f>
        <x:v>1</x:v>
      </x:c>
      <x:c r="F5067" s="21" t="n">
        <x:v>1</x:v>
      </x:c>
      <x:c r="G5067" s="23" t="str">
        <x:f>IF(E5067=F5067,"PASS","FAIL")</x:f>
        <x:v>PASS</x:v>
      </x:c>
    </x:row>
    <x:row r="5068">
      <x:c r="B5068" s="21" t="str">
        <x:v>A05062</x:v>
      </x:c>
      <x:c r="C5068" s="21" t="str">
        <x:v>baseline</x:v>
      </x:c>
      <x:c r="D5068" s="21" t="str">
        <x:v>baseline 178 planning state</x:v>
      </x:c>
      <x:c r="E5068" s="21" t="n">
        <x:f>IF(AND('Baseline Register'!G184="0.0.0",'Baseline Register'!I184="OPEN",'Baseline Register'!J184="HOLD"),1,0)</x:f>
        <x:v>1</x:v>
      </x:c>
      <x:c r="F5068" s="21" t="n">
        <x:v>1</x:v>
      </x:c>
      <x:c r="G5068" s="23" t="str">
        <x:f>IF(E5068=F5068,"PASS","FAIL")</x:f>
        <x:v>PASS</x:v>
      </x:c>
    </x:row>
    <x:row r="5069">
      <x:c r="B5069" s="21" t="str">
        <x:v>A05063</x:v>
      </x:c>
      <x:c r="C5069" s="21" t="str">
        <x:v>baseline</x:v>
      </x:c>
      <x:c r="D5069" s="21" t="str">
        <x:v>baseline 179 planning state</x:v>
      </x:c>
      <x:c r="E5069" s="21" t="n">
        <x:f>IF(AND('Baseline Register'!G185="0.0.0",'Baseline Register'!I185="OPEN",'Baseline Register'!J185="HOLD"),1,0)</x:f>
        <x:v>1</x:v>
      </x:c>
      <x:c r="F5069" s="21" t="n">
        <x:v>1</x:v>
      </x:c>
      <x:c r="G5069" s="23" t="str">
        <x:f>IF(E5069=F5069,"PASS","FAIL")</x:f>
        <x:v>PASS</x:v>
      </x:c>
    </x:row>
    <x:row r="5070">
      <x:c r="B5070" s="21" t="str">
        <x:v>A05064</x:v>
      </x:c>
      <x:c r="C5070" s="21" t="str">
        <x:v>baseline</x:v>
      </x:c>
      <x:c r="D5070" s="21" t="str">
        <x:v>baseline 180 planning state</x:v>
      </x:c>
      <x:c r="E5070" s="21" t="n">
        <x:f>IF(AND('Baseline Register'!G186="0.0.0",'Baseline Register'!I186="OPEN",'Baseline Register'!J186="HOLD"),1,0)</x:f>
        <x:v>1</x:v>
      </x:c>
      <x:c r="F5070" s="21" t="n">
        <x:v>1</x:v>
      </x:c>
      <x:c r="G5070" s="23" t="str">
        <x:f>IF(E5070=F5070,"PASS","FAIL")</x:f>
        <x:v>PASS</x:v>
      </x:c>
    </x:row>
    <x:row r="5071">
      <x:c r="B5071" s="21" t="str">
        <x:v>A05065</x:v>
      </x:c>
      <x:c r="C5071" s="21" t="str">
        <x:v>baseline</x:v>
      </x:c>
      <x:c r="D5071" s="21" t="str">
        <x:v>baseline 181 planning state</x:v>
      </x:c>
      <x:c r="E5071" s="21" t="n">
        <x:f>IF(AND('Baseline Register'!G187="0.0.0",'Baseline Register'!I187="OPEN",'Baseline Register'!J187="HOLD"),1,0)</x:f>
        <x:v>1</x:v>
      </x:c>
      <x:c r="F5071" s="21" t="n">
        <x:v>1</x:v>
      </x:c>
      <x:c r="G5071" s="23" t="str">
        <x:f>IF(E5071=F5071,"PASS","FAIL")</x:f>
        <x:v>PASS</x:v>
      </x:c>
    </x:row>
    <x:row r="5072">
      <x:c r="B5072" s="21" t="str">
        <x:v>A05066</x:v>
      </x:c>
      <x:c r="C5072" s="21" t="str">
        <x:v>baseline</x:v>
      </x:c>
      <x:c r="D5072" s="21" t="str">
        <x:v>baseline 182 planning state</x:v>
      </x:c>
      <x:c r="E5072" s="21" t="n">
        <x:f>IF(AND('Baseline Register'!G188="0.0.0",'Baseline Register'!I188="OPEN",'Baseline Register'!J188="HOLD"),1,0)</x:f>
        <x:v>1</x:v>
      </x:c>
      <x:c r="F5072" s="21" t="n">
        <x:v>1</x:v>
      </x:c>
      <x:c r="G5072" s="23" t="str">
        <x:f>IF(E5072=F5072,"PASS","FAIL")</x:f>
        <x:v>PASS</x:v>
      </x:c>
    </x:row>
    <x:row r="5073">
      <x:c r="B5073" s="21" t="str">
        <x:v>A05067</x:v>
      </x:c>
      <x:c r="C5073" s="21" t="str">
        <x:v>baseline</x:v>
      </x:c>
      <x:c r="D5073" s="21" t="str">
        <x:v>baseline 183 planning state</x:v>
      </x:c>
      <x:c r="E5073" s="21" t="n">
        <x:f>IF(AND('Baseline Register'!G189="0.0.0",'Baseline Register'!I189="OPEN",'Baseline Register'!J189="HOLD"),1,0)</x:f>
        <x:v>1</x:v>
      </x:c>
      <x:c r="F5073" s="21" t="n">
        <x:v>1</x:v>
      </x:c>
      <x:c r="G5073" s="23" t="str">
        <x:f>IF(E5073=F5073,"PASS","FAIL")</x:f>
        <x:v>PASS</x:v>
      </x:c>
    </x:row>
    <x:row r="5074">
      <x:c r="B5074" s="21" t="str">
        <x:v>A05068</x:v>
      </x:c>
      <x:c r="C5074" s="21" t="str">
        <x:v>baseline</x:v>
      </x:c>
      <x:c r="D5074" s="21" t="str">
        <x:v>baseline 184 planning state</x:v>
      </x:c>
      <x:c r="E5074" s="21" t="n">
        <x:f>IF(AND('Baseline Register'!G190="0.0.0",'Baseline Register'!I190="OPEN",'Baseline Register'!J190="HOLD"),1,0)</x:f>
        <x:v>1</x:v>
      </x:c>
      <x:c r="F5074" s="21" t="n">
        <x:v>1</x:v>
      </x:c>
      <x:c r="G5074" s="23" t="str">
        <x:f>IF(E5074=F5074,"PASS","FAIL")</x:f>
        <x:v>PASS</x:v>
      </x:c>
    </x:row>
    <x:row r="5075">
      <x:c r="B5075" s="21" t="str">
        <x:v>A05069</x:v>
      </x:c>
      <x:c r="C5075" s="21" t="str">
        <x:v>baseline</x:v>
      </x:c>
      <x:c r="D5075" s="21" t="str">
        <x:v>baseline 185 planning state</x:v>
      </x:c>
      <x:c r="E5075" s="21" t="n">
        <x:f>IF(AND('Baseline Register'!G191="0.0.0",'Baseline Register'!I191="OPEN",'Baseline Register'!J191="HOLD"),1,0)</x:f>
        <x:v>1</x:v>
      </x:c>
      <x:c r="F5075" s="21" t="n">
        <x:v>1</x:v>
      </x:c>
      <x:c r="G5075" s="23" t="str">
        <x:f>IF(E5075=F5075,"PASS","FAIL")</x:f>
        <x:v>PASS</x:v>
      </x:c>
    </x:row>
    <x:row r="5076">
      <x:c r="B5076" s="21" t="str">
        <x:v>A05070</x:v>
      </x:c>
      <x:c r="C5076" s="21" t="str">
        <x:v>baseline</x:v>
      </x:c>
      <x:c r="D5076" s="21" t="str">
        <x:v>baseline 186 planning state</x:v>
      </x:c>
      <x:c r="E5076" s="21" t="n">
        <x:f>IF(AND('Baseline Register'!G192="0.0.0",'Baseline Register'!I192="OPEN",'Baseline Register'!J192="HOLD"),1,0)</x:f>
        <x:v>1</x:v>
      </x:c>
      <x:c r="F5076" s="21" t="n">
        <x:v>1</x:v>
      </x:c>
      <x:c r="G5076" s="23" t="str">
        <x:f>IF(E5076=F5076,"PASS","FAIL")</x:f>
        <x:v>PASS</x:v>
      </x:c>
    </x:row>
    <x:row r="5077">
      <x:c r="B5077" s="21" t="str">
        <x:v>A05071</x:v>
      </x:c>
      <x:c r="C5077" s="21" t="str">
        <x:v>baseline</x:v>
      </x:c>
      <x:c r="D5077" s="21" t="str">
        <x:v>baseline 187 planning state</x:v>
      </x:c>
      <x:c r="E5077" s="21" t="n">
        <x:f>IF(AND('Baseline Register'!G193="0.0.0",'Baseline Register'!I193="OPEN",'Baseline Register'!J193="HOLD"),1,0)</x:f>
        <x:v>1</x:v>
      </x:c>
      <x:c r="F5077" s="21" t="n">
        <x:v>1</x:v>
      </x:c>
      <x:c r="G5077" s="23" t="str">
        <x:f>IF(E5077=F5077,"PASS","FAIL")</x:f>
        <x:v>PASS</x:v>
      </x:c>
    </x:row>
    <x:row r="5078">
      <x:c r="B5078" s="21" t="str">
        <x:v>A05072</x:v>
      </x:c>
      <x:c r="C5078" s="21" t="str">
        <x:v>baseline</x:v>
      </x:c>
      <x:c r="D5078" s="21" t="str">
        <x:v>baseline 188 planning state</x:v>
      </x:c>
      <x:c r="E5078" s="21" t="n">
        <x:f>IF(AND('Baseline Register'!G194="0.0.0",'Baseline Register'!I194="OPEN",'Baseline Register'!J194="HOLD"),1,0)</x:f>
        <x:v>1</x:v>
      </x:c>
      <x:c r="F5078" s="21" t="n">
        <x:v>1</x:v>
      </x:c>
      <x:c r="G5078" s="23" t="str">
        <x:f>IF(E5078=F5078,"PASS","FAIL")</x:f>
        <x:v>PASS</x:v>
      </x:c>
    </x:row>
    <x:row r="5079">
      <x:c r="B5079" s="21" t="str">
        <x:v>A05073</x:v>
      </x:c>
      <x:c r="C5079" s="21" t="str">
        <x:v>baseline</x:v>
      </x:c>
      <x:c r="D5079" s="21" t="str">
        <x:v>baseline 189 planning state</x:v>
      </x:c>
      <x:c r="E5079" s="21" t="n">
        <x:f>IF(AND('Baseline Register'!G195="0.0.0",'Baseline Register'!I195="OPEN",'Baseline Register'!J195="HOLD"),1,0)</x:f>
        <x:v>1</x:v>
      </x:c>
      <x:c r="F5079" s="21" t="n">
        <x:v>1</x:v>
      </x:c>
      <x:c r="G5079" s="23" t="str">
        <x:f>IF(E5079=F5079,"PASS","FAIL")</x:f>
        <x:v>PASS</x:v>
      </x:c>
    </x:row>
    <x:row r="5080">
      <x:c r="B5080" s="21" t="str">
        <x:v>A05074</x:v>
      </x:c>
      <x:c r="C5080" s="21" t="str">
        <x:v>baseline</x:v>
      </x:c>
      <x:c r="D5080" s="21" t="str">
        <x:v>baseline 190 planning state</x:v>
      </x:c>
      <x:c r="E5080" s="21" t="n">
        <x:f>IF(AND('Baseline Register'!G196="0.0.0",'Baseline Register'!I196="OPEN",'Baseline Register'!J196="HOLD"),1,0)</x:f>
        <x:v>1</x:v>
      </x:c>
      <x:c r="F5080" s="21" t="n">
        <x:v>1</x:v>
      </x:c>
      <x:c r="G5080" s="23" t="str">
        <x:f>IF(E5080=F5080,"PASS","FAIL")</x:f>
        <x:v>PASS</x:v>
      </x:c>
    </x:row>
    <x:row r="5081">
      <x:c r="B5081" s="21" t="str">
        <x:v>A05075</x:v>
      </x:c>
      <x:c r="C5081" s="21" t="str">
        <x:v>baseline</x:v>
      </x:c>
      <x:c r="D5081" s="21" t="str">
        <x:v>baseline 191 planning state</x:v>
      </x:c>
      <x:c r="E5081" s="21" t="n">
        <x:f>IF(AND('Baseline Register'!G197="0.0.0",'Baseline Register'!I197="OPEN",'Baseline Register'!J197="HOLD"),1,0)</x:f>
        <x:v>1</x:v>
      </x:c>
      <x:c r="F5081" s="21" t="n">
        <x:v>1</x:v>
      </x:c>
      <x:c r="G5081" s="23" t="str">
        <x:f>IF(E5081=F5081,"PASS","FAIL")</x:f>
        <x:v>PASS</x:v>
      </x:c>
    </x:row>
    <x:row r="5082">
      <x:c r="B5082" s="21" t="str">
        <x:v>A05076</x:v>
      </x:c>
      <x:c r="C5082" s="21" t="str">
        <x:v>baseline</x:v>
      </x:c>
      <x:c r="D5082" s="21" t="str">
        <x:v>baseline 192 planning state</x:v>
      </x:c>
      <x:c r="E5082" s="21" t="n">
        <x:f>IF(AND('Baseline Register'!G198="0.0.0",'Baseline Register'!I198="OPEN",'Baseline Register'!J198="HOLD"),1,0)</x:f>
        <x:v>1</x:v>
      </x:c>
      <x:c r="F5082" s="21" t="n">
        <x:v>1</x:v>
      </x:c>
      <x:c r="G5082" s="23" t="str">
        <x:f>IF(E5082=F5082,"PASS","FAIL")</x:f>
        <x:v>PASS</x:v>
      </x:c>
    </x:row>
    <x:row r="5083">
      <x:c r="B5083" s="21" t="str">
        <x:v>A05077</x:v>
      </x:c>
      <x:c r="C5083" s="21" t="str">
        <x:v>baseline</x:v>
      </x:c>
      <x:c r="D5083" s="21" t="str">
        <x:v>baseline 193 planning state</x:v>
      </x:c>
      <x:c r="E5083" s="21" t="n">
        <x:f>IF(AND('Baseline Register'!G199="0.0.0",'Baseline Register'!I199="OPEN",'Baseline Register'!J199="HOLD"),1,0)</x:f>
        <x:v>1</x:v>
      </x:c>
      <x:c r="F5083" s="21" t="n">
        <x:v>1</x:v>
      </x:c>
      <x:c r="G5083" s="23" t="str">
        <x:f>IF(E5083=F5083,"PASS","FAIL")</x:f>
        <x:v>PASS</x:v>
      </x:c>
    </x:row>
    <x:row r="5084">
      <x:c r="B5084" s="21" t="str">
        <x:v>A05078</x:v>
      </x:c>
      <x:c r="C5084" s="21" t="str">
        <x:v>baseline</x:v>
      </x:c>
      <x:c r="D5084" s="21" t="str">
        <x:v>baseline 194 planning state</x:v>
      </x:c>
      <x:c r="E5084" s="21" t="n">
        <x:f>IF(AND('Baseline Register'!G200="0.0.0",'Baseline Register'!I200="OPEN",'Baseline Register'!J200="HOLD"),1,0)</x:f>
        <x:v>1</x:v>
      </x:c>
      <x:c r="F5084" s="21" t="n">
        <x:v>1</x:v>
      </x:c>
      <x:c r="G5084" s="23" t="str">
        <x:f>IF(E5084=F5084,"PASS","FAIL")</x:f>
        <x:v>PASS</x:v>
      </x:c>
    </x:row>
    <x:row r="5085">
      <x:c r="B5085" s="21" t="str">
        <x:v>A05079</x:v>
      </x:c>
      <x:c r="C5085" s="21" t="str">
        <x:v>baseline</x:v>
      </x:c>
      <x:c r="D5085" s="21" t="str">
        <x:v>baseline 195 planning state</x:v>
      </x:c>
      <x:c r="E5085" s="21" t="n">
        <x:f>IF(AND('Baseline Register'!G201="0.0.0",'Baseline Register'!I201="OPEN",'Baseline Register'!J201="HOLD"),1,0)</x:f>
        <x:v>1</x:v>
      </x:c>
      <x:c r="F5085" s="21" t="n">
        <x:v>1</x:v>
      </x:c>
      <x:c r="G5085" s="23" t="str">
        <x:f>IF(E5085=F5085,"PASS","FAIL")</x:f>
        <x:v>PASS</x:v>
      </x:c>
    </x:row>
    <x:row r="5086">
      <x:c r="B5086" s="21" t="str">
        <x:v>A05080</x:v>
      </x:c>
      <x:c r="C5086" s="21" t="str">
        <x:v>baseline</x:v>
      </x:c>
      <x:c r="D5086" s="21" t="str">
        <x:v>baseline 196 planning state</x:v>
      </x:c>
      <x:c r="E5086" s="21" t="n">
        <x:f>IF(AND('Baseline Register'!G202="0.0.0",'Baseline Register'!I202="OPEN",'Baseline Register'!J202="HOLD"),1,0)</x:f>
        <x:v>1</x:v>
      </x:c>
      <x:c r="F5086" s="21" t="n">
        <x:v>1</x:v>
      </x:c>
      <x:c r="G5086" s="23" t="str">
        <x:f>IF(E5086=F5086,"PASS","FAIL")</x:f>
        <x:v>PASS</x:v>
      </x:c>
    </x:row>
    <x:row r="5087">
      <x:c r="B5087" s="21" t="str">
        <x:v>A05081</x:v>
      </x:c>
      <x:c r="C5087" s="21" t="str">
        <x:v>baseline</x:v>
      </x:c>
      <x:c r="D5087" s="21" t="str">
        <x:v>baseline 197 planning state</x:v>
      </x:c>
      <x:c r="E5087" s="21" t="n">
        <x:f>IF(AND('Baseline Register'!G203="0.0.0",'Baseline Register'!I203="OPEN",'Baseline Register'!J203="HOLD"),1,0)</x:f>
        <x:v>1</x:v>
      </x:c>
      <x:c r="F5087" s="21" t="n">
        <x:v>1</x:v>
      </x:c>
      <x:c r="G5087" s="23" t="str">
        <x:f>IF(E5087=F5087,"PASS","FAIL")</x:f>
        <x:v>PASS</x:v>
      </x:c>
    </x:row>
    <x:row r="5088">
      <x:c r="B5088" s="21" t="str">
        <x:v>A05082</x:v>
      </x:c>
      <x:c r="C5088" s="21" t="str">
        <x:v>baseline</x:v>
      </x:c>
      <x:c r="D5088" s="21" t="str">
        <x:v>baseline 198 planning state</x:v>
      </x:c>
      <x:c r="E5088" s="21" t="n">
        <x:f>IF(AND('Baseline Register'!G204="0.0.0",'Baseline Register'!I204="OPEN",'Baseline Register'!J204="HOLD"),1,0)</x:f>
        <x:v>1</x:v>
      </x:c>
      <x:c r="F5088" s="21" t="n">
        <x:v>1</x:v>
      </x:c>
      <x:c r="G5088" s="23" t="str">
        <x:f>IF(E5088=F5088,"PASS","FAIL")</x:f>
        <x:v>PASS</x:v>
      </x:c>
    </x:row>
    <x:row r="5089">
      <x:c r="B5089" s="21" t="str">
        <x:v>A05083</x:v>
      </x:c>
      <x:c r="C5089" s="21" t="str">
        <x:v>baseline</x:v>
      </x:c>
      <x:c r="D5089" s="21" t="str">
        <x:v>baseline 199 planning state</x:v>
      </x:c>
      <x:c r="E5089" s="21" t="n">
        <x:f>IF(AND('Baseline Register'!G205="0.0.0",'Baseline Register'!I205="OPEN",'Baseline Register'!J205="HOLD"),1,0)</x:f>
        <x:v>1</x:v>
      </x:c>
      <x:c r="F5089" s="21" t="n">
        <x:v>1</x:v>
      </x:c>
      <x:c r="G5089" s="23" t="str">
        <x:f>IF(E5089=F5089,"PASS","FAIL")</x:f>
        <x:v>PASS</x:v>
      </x:c>
    </x:row>
    <x:row r="5090">
      <x:c r="B5090" s="21" t="str">
        <x:v>A05084</x:v>
      </x:c>
      <x:c r="C5090" s="21" t="str">
        <x:v>baseline</x:v>
      </x:c>
      <x:c r="D5090" s="21" t="str">
        <x:v>baseline 200 planning state</x:v>
      </x:c>
      <x:c r="E5090" s="21" t="n">
        <x:f>IF(AND('Baseline Register'!G206="0.0.0",'Baseline Register'!I206="OPEN",'Baseline Register'!J206="HOLD"),1,0)</x:f>
        <x:v>1</x:v>
      </x:c>
      <x:c r="F5090" s="21" t="n">
        <x:v>1</x:v>
      </x:c>
      <x:c r="G5090" s="23" t="str">
        <x:f>IF(E5090=F5090,"PASS","FAIL")</x:f>
        <x:v>PASS</x:v>
      </x:c>
    </x:row>
    <x:row r="5091">
      <x:c r="B5091" s="21" t="str">
        <x:v>A05085</x:v>
      </x:c>
      <x:c r="C5091" s="21" t="str">
        <x:v>baseline</x:v>
      </x:c>
      <x:c r="D5091" s="21" t="str">
        <x:v>baseline 201 planning state</x:v>
      </x:c>
      <x:c r="E5091" s="21" t="n">
        <x:f>IF(AND('Baseline Register'!G207="0.0.0",'Baseline Register'!I207="OPEN",'Baseline Register'!J207="HOLD"),1,0)</x:f>
        <x:v>1</x:v>
      </x:c>
      <x:c r="F5091" s="21" t="n">
        <x:v>1</x:v>
      </x:c>
      <x:c r="G5091" s="23" t="str">
        <x:f>IF(E5091=F5091,"PASS","FAIL")</x:f>
        <x:v>PASS</x:v>
      </x:c>
    </x:row>
    <x:row r="5092">
      <x:c r="B5092" s="21" t="str">
        <x:v>A05086</x:v>
      </x:c>
      <x:c r="C5092" s="21" t="str">
        <x:v>baseline</x:v>
      </x:c>
      <x:c r="D5092" s="21" t="str">
        <x:v>baseline 202 planning state</x:v>
      </x:c>
      <x:c r="E5092" s="21" t="n">
        <x:f>IF(AND('Baseline Register'!G208="0.0.0",'Baseline Register'!I208="OPEN",'Baseline Register'!J208="HOLD"),1,0)</x:f>
        <x:v>1</x:v>
      </x:c>
      <x:c r="F5092" s="21" t="n">
        <x:v>1</x:v>
      </x:c>
      <x:c r="G5092" s="23" t="str">
        <x:f>IF(E5092=F5092,"PASS","FAIL")</x:f>
        <x:v>PASS</x:v>
      </x:c>
    </x:row>
    <x:row r="5093">
      <x:c r="B5093" s="21" t="str">
        <x:v>A05087</x:v>
      </x:c>
      <x:c r="C5093" s="21" t="str">
        <x:v>baseline</x:v>
      </x:c>
      <x:c r="D5093" s="21" t="str">
        <x:v>baseline 203 planning state</x:v>
      </x:c>
      <x:c r="E5093" s="21" t="n">
        <x:f>IF(AND('Baseline Register'!G209="0.0.0",'Baseline Register'!I209="OPEN",'Baseline Register'!J209="HOLD"),1,0)</x:f>
        <x:v>1</x:v>
      </x:c>
      <x:c r="F5093" s="21" t="n">
        <x:v>1</x:v>
      </x:c>
      <x:c r="G5093" s="23" t="str">
        <x:f>IF(E5093=F5093,"PASS","FAIL")</x:f>
        <x:v>PASS</x:v>
      </x:c>
    </x:row>
    <x:row r="5094">
      <x:c r="B5094" s="21" t="str">
        <x:v>A05088</x:v>
      </x:c>
      <x:c r="C5094" s="21" t="str">
        <x:v>baseline</x:v>
      </x:c>
      <x:c r="D5094" s="21" t="str">
        <x:v>baseline 204 planning state</x:v>
      </x:c>
      <x:c r="E5094" s="21" t="n">
        <x:f>IF(AND('Baseline Register'!G210="0.0.0",'Baseline Register'!I210="OPEN",'Baseline Register'!J210="HOLD"),1,0)</x:f>
        <x:v>1</x:v>
      </x:c>
      <x:c r="F5094" s="21" t="n">
        <x:v>1</x:v>
      </x:c>
      <x:c r="G5094" s="23" t="str">
        <x:f>IF(E5094=F5094,"PASS","FAIL")</x:f>
        <x:v>PASS</x:v>
      </x:c>
    </x:row>
    <x:row r="5095">
      <x:c r="B5095" s="21" t="str">
        <x:v>A05089</x:v>
      </x:c>
      <x:c r="C5095" s="21" t="str">
        <x:v>baseline</x:v>
      </x:c>
      <x:c r="D5095" s="21" t="str">
        <x:v>baseline 205 planning state</x:v>
      </x:c>
      <x:c r="E5095" s="21" t="n">
        <x:f>IF(AND('Baseline Register'!G211="0.0.0",'Baseline Register'!I211="OPEN",'Baseline Register'!J211="HOLD"),1,0)</x:f>
        <x:v>1</x:v>
      </x:c>
      <x:c r="F5095" s="21" t="n">
        <x:v>1</x:v>
      </x:c>
      <x:c r="G5095" s="23" t="str">
        <x:f>IF(E5095=F5095,"PASS","FAIL")</x:f>
        <x:v>PASS</x:v>
      </x:c>
    </x:row>
    <x:row r="5096">
      <x:c r="B5096" s="21" t="str">
        <x:v>A05090</x:v>
      </x:c>
      <x:c r="C5096" s="21" t="str">
        <x:v>baseline</x:v>
      </x:c>
      <x:c r="D5096" s="21" t="str">
        <x:v>baseline 206 planning state</x:v>
      </x:c>
      <x:c r="E5096" s="21" t="n">
        <x:f>IF(AND('Baseline Register'!G212="0.0.0",'Baseline Register'!I212="OPEN",'Baseline Register'!J212="HOLD"),1,0)</x:f>
        <x:v>1</x:v>
      </x:c>
      <x:c r="F5096" s="21" t="n">
        <x:v>1</x:v>
      </x:c>
      <x:c r="G5096" s="23" t="str">
        <x:f>IF(E5096=F5096,"PASS","FAIL")</x:f>
        <x:v>PASS</x:v>
      </x:c>
    </x:row>
    <x:row r="5097">
      <x:c r="B5097" s="21" t="str">
        <x:v>A05091</x:v>
      </x:c>
      <x:c r="C5097" s="21" t="str">
        <x:v>baseline</x:v>
      </x:c>
      <x:c r="D5097" s="21" t="str">
        <x:v>baseline 207 planning state</x:v>
      </x:c>
      <x:c r="E5097" s="21" t="n">
        <x:f>IF(AND('Baseline Register'!G213="0.0.0",'Baseline Register'!I213="OPEN",'Baseline Register'!J213="HOLD"),1,0)</x:f>
        <x:v>1</x:v>
      </x:c>
      <x:c r="F5097" s="21" t="n">
        <x:v>1</x:v>
      </x:c>
      <x:c r="G5097" s="23" t="str">
        <x:f>IF(E5097=F5097,"PASS","FAIL")</x:f>
        <x:v>PASS</x:v>
      </x:c>
    </x:row>
    <x:row r="5098">
      <x:c r="B5098" s="21" t="str">
        <x:v>A05092</x:v>
      </x:c>
      <x:c r="C5098" s="21" t="str">
        <x:v>baseline</x:v>
      </x:c>
      <x:c r="D5098" s="21" t="str">
        <x:v>baseline 208 planning state</x:v>
      </x:c>
      <x:c r="E5098" s="21" t="n">
        <x:f>IF(AND('Baseline Register'!G214="0.0.0",'Baseline Register'!I214="OPEN",'Baseline Register'!J214="HOLD"),1,0)</x:f>
        <x:v>1</x:v>
      </x:c>
      <x:c r="F5098" s="21" t="n">
        <x:v>1</x:v>
      </x:c>
      <x:c r="G5098" s="23" t="str">
        <x:f>IF(E5098=F5098,"PASS","FAIL")</x:f>
        <x:v>PASS</x:v>
      </x:c>
    </x:row>
    <x:row r="5099">
      <x:c r="B5099" s="21" t="str">
        <x:v>A05093</x:v>
      </x:c>
      <x:c r="C5099" s="21" t="str">
        <x:v>baseline</x:v>
      </x:c>
      <x:c r="D5099" s="21" t="str">
        <x:v>baseline 209 planning state</x:v>
      </x:c>
      <x:c r="E5099" s="21" t="n">
        <x:f>IF(AND('Baseline Register'!G215="0.0.0",'Baseline Register'!I215="OPEN",'Baseline Register'!J215="HOLD"),1,0)</x:f>
        <x:v>1</x:v>
      </x:c>
      <x:c r="F5099" s="21" t="n">
        <x:v>1</x:v>
      </x:c>
      <x:c r="G5099" s="23" t="str">
        <x:f>IF(E5099=F5099,"PASS","FAIL")</x:f>
        <x:v>PASS</x:v>
      </x:c>
    </x:row>
    <x:row r="5100">
      <x:c r="B5100" s="21" t="str">
        <x:v>A05094</x:v>
      </x:c>
      <x:c r="C5100" s="21" t="str">
        <x:v>baseline</x:v>
      </x:c>
      <x:c r="D5100" s="21" t="str">
        <x:v>baseline 210 planning state</x:v>
      </x:c>
      <x:c r="E5100" s="21" t="n">
        <x:f>IF(AND('Baseline Register'!G216="0.0.0",'Baseline Register'!I216="OPEN",'Baseline Register'!J216="HOLD"),1,0)</x:f>
        <x:v>1</x:v>
      </x:c>
      <x:c r="F5100" s="21" t="n">
        <x:v>1</x:v>
      </x:c>
      <x:c r="G5100" s="23" t="str">
        <x:f>IF(E5100=F5100,"PASS","FAIL")</x:f>
        <x:v>PASS</x:v>
      </x:c>
    </x:row>
    <x:row r="5101">
      <x:c r="B5101" s="21" t="str">
        <x:v>A05095</x:v>
      </x:c>
      <x:c r="C5101" s="21" t="str">
        <x:v>baseline</x:v>
      </x:c>
      <x:c r="D5101" s="21" t="str">
        <x:v>baseline 211 planning state</x:v>
      </x:c>
      <x:c r="E5101" s="21" t="n">
        <x:f>IF(AND('Baseline Register'!G217="0.0.0",'Baseline Register'!I217="OPEN",'Baseline Register'!J217="HOLD"),1,0)</x:f>
        <x:v>1</x:v>
      </x:c>
      <x:c r="F5101" s="21" t="n">
        <x:v>1</x:v>
      </x:c>
      <x:c r="G5101" s="23" t="str">
        <x:f>IF(E5101=F5101,"PASS","FAIL")</x:f>
        <x:v>PASS</x:v>
      </x:c>
    </x:row>
    <x:row r="5102">
      <x:c r="B5102" s="21" t="str">
        <x:v>A05096</x:v>
      </x:c>
      <x:c r="C5102" s="21" t="str">
        <x:v>baseline</x:v>
      </x:c>
      <x:c r="D5102" s="21" t="str">
        <x:v>baseline 212 planning state</x:v>
      </x:c>
      <x:c r="E5102" s="21" t="n">
        <x:f>IF(AND('Baseline Register'!G218="0.0.0",'Baseline Register'!I218="OPEN",'Baseline Register'!J218="HOLD"),1,0)</x:f>
        <x:v>1</x:v>
      </x:c>
      <x:c r="F5102" s="21" t="n">
        <x:v>1</x:v>
      </x:c>
      <x:c r="G5102" s="23" t="str">
        <x:f>IF(E5102=F5102,"PASS","FAIL")</x:f>
        <x:v>PASS</x:v>
      </x:c>
    </x:row>
    <x:row r="5103">
      <x:c r="B5103" s="21" t="str">
        <x:v>A05097</x:v>
      </x:c>
      <x:c r="C5103" s="21" t="str">
        <x:v>baseline</x:v>
      </x:c>
      <x:c r="D5103" s="21" t="str">
        <x:v>baseline 213 planning state</x:v>
      </x:c>
      <x:c r="E5103" s="21" t="n">
        <x:f>IF(AND('Baseline Register'!G219="0.0.0",'Baseline Register'!I219="OPEN",'Baseline Register'!J219="HOLD"),1,0)</x:f>
        <x:v>1</x:v>
      </x:c>
      <x:c r="F5103" s="21" t="n">
        <x:v>1</x:v>
      </x:c>
      <x:c r="G5103" s="23" t="str">
        <x:f>IF(E5103=F5103,"PASS","FAIL")</x:f>
        <x:v>PASS</x:v>
      </x:c>
    </x:row>
    <x:row r="5104">
      <x:c r="B5104" s="21" t="str">
        <x:v>A05098</x:v>
      </x:c>
      <x:c r="C5104" s="21" t="str">
        <x:v>baseline</x:v>
      </x:c>
      <x:c r="D5104" s="21" t="str">
        <x:v>baseline 214 planning state</x:v>
      </x:c>
      <x:c r="E5104" s="21" t="n">
        <x:f>IF(AND('Baseline Register'!G220="0.0.0",'Baseline Register'!I220="OPEN",'Baseline Register'!J220="HOLD"),1,0)</x:f>
        <x:v>1</x:v>
      </x:c>
      <x:c r="F5104" s="21" t="n">
        <x:v>1</x:v>
      </x:c>
      <x:c r="G5104" s="23" t="str">
        <x:f>IF(E5104=F5104,"PASS","FAIL")</x:f>
        <x:v>PASS</x:v>
      </x:c>
    </x:row>
    <x:row r="5105">
      <x:c r="B5105" s="21" t="str">
        <x:v>A05099</x:v>
      </x:c>
      <x:c r="C5105" s="21" t="str">
        <x:v>baseline</x:v>
      </x:c>
      <x:c r="D5105" s="21" t="str">
        <x:v>baseline 215 planning state</x:v>
      </x:c>
      <x:c r="E5105" s="21" t="n">
        <x:f>IF(AND('Baseline Register'!G221="0.0.0",'Baseline Register'!I221="OPEN",'Baseline Register'!J221="HOLD"),1,0)</x:f>
        <x:v>1</x:v>
      </x:c>
      <x:c r="F5105" s="21" t="n">
        <x:v>1</x:v>
      </x:c>
      <x:c r="G5105" s="23" t="str">
        <x:f>IF(E5105=F5105,"PASS","FAIL")</x:f>
        <x:v>PASS</x:v>
      </x:c>
    </x:row>
    <x:row r="5106">
      <x:c r="B5106" s="21" t="str">
        <x:v>A05100</x:v>
      </x:c>
      <x:c r="C5106" s="21" t="str">
        <x:v>baseline</x:v>
      </x:c>
      <x:c r="D5106" s="21" t="str">
        <x:v>baseline 216 planning state</x:v>
      </x:c>
      <x:c r="E5106" s="21" t="n">
        <x:f>IF(AND('Baseline Register'!G222="0.0.0",'Baseline Register'!I222="OPEN",'Baseline Register'!J222="HOLD"),1,0)</x:f>
        <x:v>1</x:v>
      </x:c>
      <x:c r="F5106" s="21" t="n">
        <x:v>1</x:v>
      </x:c>
      <x:c r="G5106" s="23" t="str">
        <x:f>IF(E5106=F5106,"PASS","FAIL")</x:f>
        <x:v>PASS</x:v>
      </x:c>
    </x:row>
    <x:row r="5107">
      <x:c r="B5107" s="21" t="str">
        <x:v>A05101</x:v>
      </x:c>
      <x:c r="C5107" s="21" t="str">
        <x:v>baseline</x:v>
      </x:c>
      <x:c r="D5107" s="21" t="str">
        <x:v>baseline 217 planning state</x:v>
      </x:c>
      <x:c r="E5107" s="21" t="n">
        <x:f>IF(AND('Baseline Register'!G223="0.0.0",'Baseline Register'!I223="OPEN",'Baseline Register'!J223="HOLD"),1,0)</x:f>
        <x:v>1</x:v>
      </x:c>
      <x:c r="F5107" s="21" t="n">
        <x:v>1</x:v>
      </x:c>
      <x:c r="G5107" s="23" t="str">
        <x:f>IF(E5107=F5107,"PASS","FAIL")</x:f>
        <x:v>PASS</x:v>
      </x:c>
    </x:row>
    <x:row r="5108">
      <x:c r="B5108" s="21" t="str">
        <x:v>A05102</x:v>
      </x:c>
      <x:c r="C5108" s="21" t="str">
        <x:v>baseline</x:v>
      </x:c>
      <x:c r="D5108" s="21" t="str">
        <x:v>baseline 218 planning state</x:v>
      </x:c>
      <x:c r="E5108" s="21" t="n">
        <x:f>IF(AND('Baseline Register'!G224="0.0.0",'Baseline Register'!I224="OPEN",'Baseline Register'!J224="HOLD"),1,0)</x:f>
        <x:v>1</x:v>
      </x:c>
      <x:c r="F5108" s="21" t="n">
        <x:v>1</x:v>
      </x:c>
      <x:c r="G5108" s="23" t="str">
        <x:f>IF(E5108=F5108,"PASS","FAIL")</x:f>
        <x:v>PASS</x:v>
      </x:c>
    </x:row>
    <x:row r="5109">
      <x:c r="B5109" s="21" t="str">
        <x:v>A05103</x:v>
      </x:c>
      <x:c r="C5109" s="21" t="str">
        <x:v>baseline</x:v>
      </x:c>
      <x:c r="D5109" s="21" t="str">
        <x:v>baseline 219 planning state</x:v>
      </x:c>
      <x:c r="E5109" s="21" t="n">
        <x:f>IF(AND('Baseline Register'!G225="0.0.0",'Baseline Register'!I225="OPEN",'Baseline Register'!J225="HOLD"),1,0)</x:f>
        <x:v>1</x:v>
      </x:c>
      <x:c r="F5109" s="21" t="n">
        <x:v>1</x:v>
      </x:c>
      <x:c r="G5109" s="23" t="str">
        <x:f>IF(E5109=F5109,"PASS","FAIL")</x:f>
        <x:v>PASS</x:v>
      </x:c>
    </x:row>
    <x:row r="5110">
      <x:c r="B5110" s="21" t="str">
        <x:v>A05104</x:v>
      </x:c>
      <x:c r="C5110" s="21" t="str">
        <x:v>baseline</x:v>
      </x:c>
      <x:c r="D5110" s="21" t="str">
        <x:v>baseline 220 planning state</x:v>
      </x:c>
      <x:c r="E5110" s="21" t="n">
        <x:f>IF(AND('Baseline Register'!G226="0.0.0",'Baseline Register'!I226="OPEN",'Baseline Register'!J226="HOLD"),1,0)</x:f>
        <x:v>1</x:v>
      </x:c>
      <x:c r="F5110" s="21" t="n">
        <x:v>1</x:v>
      </x:c>
      <x:c r="G5110" s="23" t="str">
        <x:f>IF(E5110=F5110,"PASS","FAIL")</x:f>
        <x:v>PASS</x:v>
      </x:c>
    </x:row>
    <x:row r="5111">
      <x:c r="B5111" s="21" t="str">
        <x:v>A05105</x:v>
      </x:c>
      <x:c r="C5111" s="21" t="str">
        <x:v>baseline</x:v>
      </x:c>
      <x:c r="D5111" s="21" t="str">
        <x:v>baseline 221 planning state</x:v>
      </x:c>
      <x:c r="E5111" s="21" t="n">
        <x:f>IF(AND('Baseline Register'!G227="0.0.0",'Baseline Register'!I227="OPEN",'Baseline Register'!J227="HOLD"),1,0)</x:f>
        <x:v>1</x:v>
      </x:c>
      <x:c r="F5111" s="21" t="n">
        <x:v>1</x:v>
      </x:c>
      <x:c r="G5111" s="23" t="str">
        <x:f>IF(E5111=F5111,"PASS","FAIL")</x:f>
        <x:v>PASS</x:v>
      </x:c>
    </x:row>
    <x:row r="5112">
      <x:c r="B5112" s="21" t="str">
        <x:v>A05106</x:v>
      </x:c>
      <x:c r="C5112" s="21" t="str">
        <x:v>baseline</x:v>
      </x:c>
      <x:c r="D5112" s="21" t="str">
        <x:v>baseline 222 planning state</x:v>
      </x:c>
      <x:c r="E5112" s="21" t="n">
        <x:f>IF(AND('Baseline Register'!G228="0.0.0",'Baseline Register'!I228="OPEN",'Baseline Register'!J228="HOLD"),1,0)</x:f>
        <x:v>1</x:v>
      </x:c>
      <x:c r="F5112" s="21" t="n">
        <x:v>1</x:v>
      </x:c>
      <x:c r="G5112" s="23" t="str">
        <x:f>IF(E5112=F5112,"PASS","FAIL")</x:f>
        <x:v>PASS</x:v>
      </x:c>
    </x:row>
    <x:row r="5113">
      <x:c r="B5113" s="21" t="str">
        <x:v>A05107</x:v>
      </x:c>
      <x:c r="C5113" s="21" t="str">
        <x:v>baseline</x:v>
      </x:c>
      <x:c r="D5113" s="21" t="str">
        <x:v>baseline 223 planning state</x:v>
      </x:c>
      <x:c r="E5113" s="21" t="n">
        <x:f>IF(AND('Baseline Register'!G229="0.0.0",'Baseline Register'!I229="OPEN",'Baseline Register'!J229="HOLD"),1,0)</x:f>
        <x:v>1</x:v>
      </x:c>
      <x:c r="F5113" s="21" t="n">
        <x:v>1</x:v>
      </x:c>
      <x:c r="G5113" s="23" t="str">
        <x:f>IF(E5113=F5113,"PASS","FAIL")</x:f>
        <x:v>PASS</x:v>
      </x:c>
    </x:row>
    <x:row r="5114">
      <x:c r="B5114" s="21" t="str">
        <x:v>A05108</x:v>
      </x:c>
      <x:c r="C5114" s="21" t="str">
        <x:v>baseline</x:v>
      </x:c>
      <x:c r="D5114" s="21" t="str">
        <x:v>baseline 224 planning state</x:v>
      </x:c>
      <x:c r="E5114" s="21" t="n">
        <x:f>IF(AND('Baseline Register'!G230="0.0.0",'Baseline Register'!I230="OPEN",'Baseline Register'!J230="HOLD"),1,0)</x:f>
        <x:v>1</x:v>
      </x:c>
      <x:c r="F5114" s="21" t="n">
        <x:v>1</x:v>
      </x:c>
      <x:c r="G5114" s="23" t="str">
        <x:f>IF(E5114=F5114,"PASS","FAIL")</x:f>
        <x:v>PASS</x:v>
      </x:c>
    </x:row>
    <x:row r="5115">
      <x:c r="B5115" s="21" t="str">
        <x:v>A05109</x:v>
      </x:c>
      <x:c r="C5115" s="21" t="str">
        <x:v>baseline</x:v>
      </x:c>
      <x:c r="D5115" s="21" t="str">
        <x:v>baseline 225 planning state</x:v>
      </x:c>
      <x:c r="E5115" s="21" t="n">
        <x:f>IF(AND('Baseline Register'!G231="0.0.0",'Baseline Register'!I231="OPEN",'Baseline Register'!J231="HOLD"),1,0)</x:f>
        <x:v>1</x:v>
      </x:c>
      <x:c r="F5115" s="21" t="n">
        <x:v>1</x:v>
      </x:c>
      <x:c r="G5115" s="23" t="str">
        <x:f>IF(E5115=F5115,"PASS","FAIL")</x:f>
        <x:v>PASS</x:v>
      </x:c>
    </x:row>
    <x:row r="5116">
      <x:c r="B5116" s="21" t="str">
        <x:v>A05110</x:v>
      </x:c>
      <x:c r="C5116" s="21" t="str">
        <x:v>baseline</x:v>
      </x:c>
      <x:c r="D5116" s="21" t="str">
        <x:v>baseline 226 planning state</x:v>
      </x:c>
      <x:c r="E5116" s="21" t="n">
        <x:f>IF(AND('Baseline Register'!G232="0.0.0",'Baseline Register'!I232="OPEN",'Baseline Register'!J232="HOLD"),1,0)</x:f>
        <x:v>1</x:v>
      </x:c>
      <x:c r="F5116" s="21" t="n">
        <x:v>1</x:v>
      </x:c>
      <x:c r="G5116" s="23" t="str">
        <x:f>IF(E5116=F5116,"PASS","FAIL")</x:f>
        <x:v>PASS</x:v>
      </x:c>
    </x:row>
    <x:row r="5117">
      <x:c r="B5117" s="21" t="str">
        <x:v>A05111</x:v>
      </x:c>
      <x:c r="C5117" s="21" t="str">
        <x:v>baseline</x:v>
      </x:c>
      <x:c r="D5117" s="21" t="str">
        <x:v>baseline 227 planning state</x:v>
      </x:c>
      <x:c r="E5117" s="21" t="n">
        <x:f>IF(AND('Baseline Register'!G233="0.0.0",'Baseline Register'!I233="OPEN",'Baseline Register'!J233="HOLD"),1,0)</x:f>
        <x:v>1</x:v>
      </x:c>
      <x:c r="F5117" s="21" t="n">
        <x:v>1</x:v>
      </x:c>
      <x:c r="G5117" s="23" t="str">
        <x:f>IF(E5117=F5117,"PASS","FAIL")</x:f>
        <x:v>PASS</x:v>
      </x:c>
    </x:row>
    <x:row r="5118">
      <x:c r="B5118" s="21" t="str">
        <x:v>A05112</x:v>
      </x:c>
      <x:c r="C5118" s="21" t="str">
        <x:v>baseline</x:v>
      </x:c>
      <x:c r="D5118" s="21" t="str">
        <x:v>baseline 228 planning state</x:v>
      </x:c>
      <x:c r="E5118" s="21" t="n">
        <x:f>IF(AND('Baseline Register'!G234="0.0.0",'Baseline Register'!I234="OPEN",'Baseline Register'!J234="HOLD"),1,0)</x:f>
        <x:v>1</x:v>
      </x:c>
      <x:c r="F5118" s="21" t="n">
        <x:v>1</x:v>
      </x:c>
      <x:c r="G5118" s="23" t="str">
        <x:f>IF(E5118=F5118,"PASS","FAIL")</x:f>
        <x:v>PASS</x:v>
      </x:c>
    </x:row>
    <x:row r="5119">
      <x:c r="B5119" s="21" t="str">
        <x:v>A05113</x:v>
      </x:c>
      <x:c r="C5119" s="21" t="str">
        <x:v>baseline</x:v>
      </x:c>
      <x:c r="D5119" s="21" t="str">
        <x:v>baseline 229 planning state</x:v>
      </x:c>
      <x:c r="E5119" s="21" t="n">
        <x:f>IF(AND('Baseline Register'!G235="0.0.0",'Baseline Register'!I235="OPEN",'Baseline Register'!J235="HOLD"),1,0)</x:f>
        <x:v>1</x:v>
      </x:c>
      <x:c r="F5119" s="21" t="n">
        <x:v>1</x:v>
      </x:c>
      <x:c r="G5119" s="23" t="str">
        <x:f>IF(E5119=F5119,"PASS","FAIL")</x:f>
        <x:v>PASS</x:v>
      </x:c>
    </x:row>
    <x:row r="5120">
      <x:c r="B5120" s="21" t="str">
        <x:v>A05114</x:v>
      </x:c>
      <x:c r="C5120" s="21" t="str">
        <x:v>baseline</x:v>
      </x:c>
      <x:c r="D5120" s="21" t="str">
        <x:v>baseline 230 planning state</x:v>
      </x:c>
      <x:c r="E5120" s="21" t="n">
        <x:f>IF(AND('Baseline Register'!G236="0.0.0",'Baseline Register'!I236="OPEN",'Baseline Register'!J236="HOLD"),1,0)</x:f>
        <x:v>1</x:v>
      </x:c>
      <x:c r="F5120" s="21" t="n">
        <x:v>1</x:v>
      </x:c>
      <x:c r="G5120" s="23" t="str">
        <x:f>IF(E5120=F5120,"PASS","FAIL")</x:f>
        <x:v>PASS</x:v>
      </x:c>
    </x:row>
    <x:row r="5121">
      <x:c r="B5121" s="21" t="str">
        <x:v>A05115</x:v>
      </x:c>
      <x:c r="C5121" s="21" t="str">
        <x:v>baseline</x:v>
      </x:c>
      <x:c r="D5121" s="21" t="str">
        <x:v>baseline 231 planning state</x:v>
      </x:c>
      <x:c r="E5121" s="21" t="n">
        <x:f>IF(AND('Baseline Register'!G237="0.0.0",'Baseline Register'!I237="OPEN",'Baseline Register'!J237="HOLD"),1,0)</x:f>
        <x:v>1</x:v>
      </x:c>
      <x:c r="F5121" s="21" t="n">
        <x:v>1</x:v>
      </x:c>
      <x:c r="G5121" s="23" t="str">
        <x:f>IF(E5121=F5121,"PASS","FAIL")</x:f>
        <x:v>PASS</x:v>
      </x:c>
    </x:row>
    <x:row r="5122">
      <x:c r="B5122" s="21" t="str">
        <x:v>A05116</x:v>
      </x:c>
      <x:c r="C5122" s="21" t="str">
        <x:v>baseline</x:v>
      </x:c>
      <x:c r="D5122" s="21" t="str">
        <x:v>baseline 232 planning state</x:v>
      </x:c>
      <x:c r="E5122" s="21" t="n">
        <x:f>IF(AND('Baseline Register'!G238="0.0.0",'Baseline Register'!I238="OPEN",'Baseline Register'!J238="HOLD"),1,0)</x:f>
        <x:v>1</x:v>
      </x:c>
      <x:c r="F5122" s="21" t="n">
        <x:v>1</x:v>
      </x:c>
      <x:c r="G5122" s="23" t="str">
        <x:f>IF(E5122=F5122,"PASS","FAIL")</x:f>
        <x:v>PASS</x:v>
      </x:c>
    </x:row>
    <x:row r="5123">
      <x:c r="B5123" s="21" t="str">
        <x:v>A05117</x:v>
      </x:c>
      <x:c r="C5123" s="21" t="str">
        <x:v>baseline</x:v>
      </x:c>
      <x:c r="D5123" s="21" t="str">
        <x:v>baseline 233 planning state</x:v>
      </x:c>
      <x:c r="E5123" s="21" t="n">
        <x:f>IF(AND('Baseline Register'!G239="0.0.0",'Baseline Register'!I239="OPEN",'Baseline Register'!J239="HOLD"),1,0)</x:f>
        <x:v>1</x:v>
      </x:c>
      <x:c r="F5123" s="21" t="n">
        <x:v>1</x:v>
      </x:c>
      <x:c r="G5123" s="23" t="str">
        <x:f>IF(E5123=F5123,"PASS","FAIL")</x:f>
        <x:v>PASS</x:v>
      </x:c>
    </x:row>
    <x:row r="5124">
      <x:c r="B5124" s="21" t="str">
        <x:v>A05118</x:v>
      </x:c>
      <x:c r="C5124" s="21" t="str">
        <x:v>baseline</x:v>
      </x:c>
      <x:c r="D5124" s="21" t="str">
        <x:v>baseline 234 planning state</x:v>
      </x:c>
      <x:c r="E5124" s="21" t="n">
        <x:f>IF(AND('Baseline Register'!G240="0.0.0",'Baseline Register'!I240="OPEN",'Baseline Register'!J240="HOLD"),1,0)</x:f>
        <x:v>1</x:v>
      </x:c>
      <x:c r="F5124" s="21" t="n">
        <x:v>1</x:v>
      </x:c>
      <x:c r="G5124" s="23" t="str">
        <x:f>IF(E5124=F5124,"PASS","FAIL")</x:f>
        <x:v>PASS</x:v>
      </x:c>
    </x:row>
    <x:row r="5125">
      <x:c r="B5125" s="21" t="str">
        <x:v>A05119</x:v>
      </x:c>
      <x:c r="C5125" s="21" t="str">
        <x:v>baseline</x:v>
      </x:c>
      <x:c r="D5125" s="21" t="str">
        <x:v>baseline 235 planning state</x:v>
      </x:c>
      <x:c r="E5125" s="21" t="n">
        <x:f>IF(AND('Baseline Register'!G241="0.0.0",'Baseline Register'!I241="OPEN",'Baseline Register'!J241="HOLD"),1,0)</x:f>
        <x:v>1</x:v>
      </x:c>
      <x:c r="F5125" s="21" t="n">
        <x:v>1</x:v>
      </x:c>
      <x:c r="G5125" s="23" t="str">
        <x:f>IF(E5125=F5125,"PASS","FAIL")</x:f>
        <x:v>PASS</x:v>
      </x:c>
    </x:row>
    <x:row r="5126">
      <x:c r="B5126" s="21" t="str">
        <x:v>A05120</x:v>
      </x:c>
      <x:c r="C5126" s="21" t="str">
        <x:v>baseline</x:v>
      </x:c>
      <x:c r="D5126" s="21" t="str">
        <x:v>baseline 236 planning state</x:v>
      </x:c>
      <x:c r="E5126" s="21" t="n">
        <x:f>IF(AND('Baseline Register'!G242="0.0.0",'Baseline Register'!I242="OPEN",'Baseline Register'!J242="HOLD"),1,0)</x:f>
        <x:v>1</x:v>
      </x:c>
      <x:c r="F5126" s="21" t="n">
        <x:v>1</x:v>
      </x:c>
      <x:c r="G5126" s="23" t="str">
        <x:f>IF(E5126=F5126,"PASS","FAIL")</x:f>
        <x:v>PASS</x:v>
      </x:c>
    </x:row>
    <x:row r="5127">
      <x:c r="B5127" s="21" t="str">
        <x:v>A05121</x:v>
      </x:c>
      <x:c r="C5127" s="21" t="str">
        <x:v>baseline</x:v>
      </x:c>
      <x:c r="D5127" s="21" t="str">
        <x:v>baseline 237 planning state</x:v>
      </x:c>
      <x:c r="E5127" s="21" t="n">
        <x:f>IF(AND('Baseline Register'!G243="0.0.0",'Baseline Register'!I243="OPEN",'Baseline Register'!J243="HOLD"),1,0)</x:f>
        <x:v>1</x:v>
      </x:c>
      <x:c r="F5127" s="21" t="n">
        <x:v>1</x:v>
      </x:c>
      <x:c r="G5127" s="23" t="str">
        <x:f>IF(E5127=F5127,"PASS","FAIL")</x:f>
        <x:v>PASS</x:v>
      </x:c>
    </x:row>
    <x:row r="5128">
      <x:c r="B5128" s="21" t="str">
        <x:v>A05122</x:v>
      </x:c>
      <x:c r="C5128" s="21" t="str">
        <x:v>baseline</x:v>
      </x:c>
      <x:c r="D5128" s="21" t="str">
        <x:v>baseline 238 planning state</x:v>
      </x:c>
      <x:c r="E5128" s="21" t="n">
        <x:f>IF(AND('Baseline Register'!G244="0.0.0",'Baseline Register'!I244="OPEN",'Baseline Register'!J244="HOLD"),1,0)</x:f>
        <x:v>1</x:v>
      </x:c>
      <x:c r="F5128" s="21" t="n">
        <x:v>1</x:v>
      </x:c>
      <x:c r="G5128" s="23" t="str">
        <x:f>IF(E5128=F5128,"PASS","FAIL")</x:f>
        <x:v>PASS</x:v>
      </x:c>
    </x:row>
    <x:row r="5129">
      <x:c r="B5129" s="21" t="str">
        <x:v>A05123</x:v>
      </x:c>
      <x:c r="C5129" s="21" t="str">
        <x:v>baseline</x:v>
      </x:c>
      <x:c r="D5129" s="21" t="str">
        <x:v>baseline 239 planning state</x:v>
      </x:c>
      <x:c r="E5129" s="21" t="n">
        <x:f>IF(AND('Baseline Register'!G245="0.0.0",'Baseline Register'!I245="OPEN",'Baseline Register'!J245="HOLD"),1,0)</x:f>
        <x:v>1</x:v>
      </x:c>
      <x:c r="F5129" s="21" t="n">
        <x:v>1</x:v>
      </x:c>
      <x:c r="G5129" s="23" t="str">
        <x:f>IF(E5129=F5129,"PASS","FAIL")</x:f>
        <x:v>PASS</x:v>
      </x:c>
    </x:row>
    <x:row r="5130">
      <x:c r="B5130" s="21" t="str">
        <x:v>A05124</x:v>
      </x:c>
      <x:c r="C5130" s="21" t="str">
        <x:v>baseline</x:v>
      </x:c>
      <x:c r="D5130" s="21" t="str">
        <x:v>baseline 240 planning state</x:v>
      </x:c>
      <x:c r="E5130" s="21" t="n">
        <x:f>IF(AND('Baseline Register'!G246="0.0.0",'Baseline Register'!I246="OPEN",'Baseline Register'!J246="HOLD"),1,0)</x:f>
        <x:v>1</x:v>
      </x:c>
      <x:c r="F5130" s="21" t="n">
        <x:v>1</x:v>
      </x:c>
      <x:c r="G5130" s="23" t="str">
        <x:f>IF(E5130=F5130,"PASS","FAIL")</x:f>
        <x:v>PASS</x:v>
      </x:c>
    </x:row>
    <x:row r="5131">
      <x:c r="B5131" s="21" t="str">
        <x:v>A05125</x:v>
      </x:c>
      <x:c r="C5131" s="21" t="str">
        <x:v>baseline</x:v>
      </x:c>
      <x:c r="D5131" s="21" t="str">
        <x:v>baseline 241 planning state</x:v>
      </x:c>
      <x:c r="E5131" s="21" t="n">
        <x:f>IF(AND('Baseline Register'!G247="0.0.0",'Baseline Register'!I247="OPEN",'Baseline Register'!J247="HOLD"),1,0)</x:f>
        <x:v>1</x:v>
      </x:c>
      <x:c r="F5131" s="21" t="n">
        <x:v>1</x:v>
      </x:c>
      <x:c r="G5131" s="23" t="str">
        <x:f>IF(E5131=F5131,"PASS","FAIL")</x:f>
        <x:v>PASS</x:v>
      </x:c>
    </x:row>
    <x:row r="5132">
      <x:c r="B5132" s="21" t="str">
        <x:v>A05126</x:v>
      </x:c>
      <x:c r="C5132" s="21" t="str">
        <x:v>baseline</x:v>
      </x:c>
      <x:c r="D5132" s="21" t="str">
        <x:v>baseline 242 planning state</x:v>
      </x:c>
      <x:c r="E5132" s="21" t="n">
        <x:f>IF(AND('Baseline Register'!G248="0.0.0",'Baseline Register'!I248="OPEN",'Baseline Register'!J248="HOLD"),1,0)</x:f>
        <x:v>1</x:v>
      </x:c>
      <x:c r="F5132" s="21" t="n">
        <x:v>1</x:v>
      </x:c>
      <x:c r="G5132" s="23" t="str">
        <x:f>IF(E5132=F5132,"PASS","FAIL")</x:f>
        <x:v>PASS</x:v>
      </x:c>
    </x:row>
    <x:row r="5133">
      <x:c r="B5133" s="21" t="str">
        <x:v>A05127</x:v>
      </x:c>
      <x:c r="C5133" s="21" t="str">
        <x:v>baseline</x:v>
      </x:c>
      <x:c r="D5133" s="21" t="str">
        <x:v>baseline 243 planning state</x:v>
      </x:c>
      <x:c r="E5133" s="21" t="n">
        <x:f>IF(AND('Baseline Register'!G249="0.0.0",'Baseline Register'!I249="OPEN",'Baseline Register'!J249="HOLD"),1,0)</x:f>
        <x:v>1</x:v>
      </x:c>
      <x:c r="F5133" s="21" t="n">
        <x:v>1</x:v>
      </x:c>
      <x:c r="G5133" s="23" t="str">
        <x:f>IF(E5133=F5133,"PASS","FAIL")</x:f>
        <x:v>PASS</x:v>
      </x:c>
    </x:row>
    <x:row r="5134">
      <x:c r="B5134" s="21" t="str">
        <x:v>A05128</x:v>
      </x:c>
      <x:c r="C5134" s="21" t="str">
        <x:v>baseline</x:v>
      </x:c>
      <x:c r="D5134" s="21" t="str">
        <x:v>baseline 244 planning state</x:v>
      </x:c>
      <x:c r="E5134" s="21" t="n">
        <x:f>IF(AND('Baseline Register'!G250="0.0.0",'Baseline Register'!I250="OPEN",'Baseline Register'!J250="HOLD"),1,0)</x:f>
        <x:v>1</x:v>
      </x:c>
      <x:c r="F5134" s="21" t="n">
        <x:v>1</x:v>
      </x:c>
      <x:c r="G5134" s="23" t="str">
        <x:f>IF(E5134=F5134,"PASS","FAIL")</x:f>
        <x:v>PASS</x:v>
      </x:c>
    </x:row>
    <x:row r="5135">
      <x:c r="B5135" s="21" t="str">
        <x:v>A05129</x:v>
      </x:c>
      <x:c r="C5135" s="21" t="str">
        <x:v>baseline</x:v>
      </x:c>
      <x:c r="D5135" s="21" t="str">
        <x:v>baseline 245 planning state</x:v>
      </x:c>
      <x:c r="E5135" s="21" t="n">
        <x:f>IF(AND('Baseline Register'!G251="0.0.0",'Baseline Register'!I251="OPEN",'Baseline Register'!J251="HOLD"),1,0)</x:f>
        <x:v>1</x:v>
      </x:c>
      <x:c r="F5135" s="21" t="n">
        <x:v>1</x:v>
      </x:c>
      <x:c r="G5135" s="23" t="str">
        <x:f>IF(E5135=F5135,"PASS","FAIL")</x:f>
        <x:v>PASS</x:v>
      </x:c>
    </x:row>
    <x:row r="5136">
      <x:c r="B5136" s="21" t="str">
        <x:v>A05130</x:v>
      </x:c>
      <x:c r="C5136" s="21" t="str">
        <x:v>baseline</x:v>
      </x:c>
      <x:c r="D5136" s="21" t="str">
        <x:v>baseline 246 planning state</x:v>
      </x:c>
      <x:c r="E5136" s="21" t="n">
        <x:f>IF(AND('Baseline Register'!G252="0.0.0",'Baseline Register'!I252="OPEN",'Baseline Register'!J252="HOLD"),1,0)</x:f>
        <x:v>1</x:v>
      </x:c>
      <x:c r="F5136" s="21" t="n">
        <x:v>1</x:v>
      </x:c>
      <x:c r="G5136" s="23" t="str">
        <x:f>IF(E5136=F5136,"PASS","FAIL")</x:f>
        <x:v>PASS</x:v>
      </x:c>
    </x:row>
    <x:row r="5137">
      <x:c r="B5137" s="21" t="str">
        <x:v>A05131</x:v>
      </x:c>
      <x:c r="C5137" s="21" t="str">
        <x:v>baseline</x:v>
      </x:c>
      <x:c r="D5137" s="21" t="str">
        <x:v>baseline 247 planning state</x:v>
      </x:c>
      <x:c r="E5137" s="21" t="n">
        <x:f>IF(AND('Baseline Register'!G253="0.0.0",'Baseline Register'!I253="OPEN",'Baseline Register'!J253="HOLD"),1,0)</x:f>
        <x:v>1</x:v>
      </x:c>
      <x:c r="F5137" s="21" t="n">
        <x:v>1</x:v>
      </x:c>
      <x:c r="G5137" s="23" t="str">
        <x:f>IF(E5137=F5137,"PASS","FAIL")</x:f>
        <x:v>PASS</x:v>
      </x:c>
    </x:row>
    <x:row r="5138">
      <x:c r="B5138" s="21" t="str">
        <x:v>A05132</x:v>
      </x:c>
      <x:c r="C5138" s="21" t="str">
        <x:v>baseline</x:v>
      </x:c>
      <x:c r="D5138" s="21" t="str">
        <x:v>baseline 248 planning state</x:v>
      </x:c>
      <x:c r="E5138" s="21" t="n">
        <x:f>IF(AND('Baseline Register'!G254="0.0.0",'Baseline Register'!I254="OPEN",'Baseline Register'!J254="HOLD"),1,0)</x:f>
        <x:v>1</x:v>
      </x:c>
      <x:c r="F5138" s="21" t="n">
        <x:v>1</x:v>
      </x:c>
      <x:c r="G5138" s="23" t="str">
        <x:f>IF(E5138=F5138,"PASS","FAIL")</x:f>
        <x:v>PASS</x:v>
      </x:c>
    </x:row>
    <x:row r="5139">
      <x:c r="B5139" s="21" t="str">
        <x:v>A05133</x:v>
      </x:c>
      <x:c r="C5139" s="21" t="str">
        <x:v>baseline</x:v>
      </x:c>
      <x:c r="D5139" s="21" t="str">
        <x:v>baseline 249 planning state</x:v>
      </x:c>
      <x:c r="E5139" s="21" t="n">
        <x:f>IF(AND('Baseline Register'!G255="0.0.0",'Baseline Register'!I255="OPEN",'Baseline Register'!J255="HOLD"),1,0)</x:f>
        <x:v>1</x:v>
      </x:c>
      <x:c r="F5139" s="21" t="n">
        <x:v>1</x:v>
      </x:c>
      <x:c r="G5139" s="23" t="str">
        <x:f>IF(E5139=F5139,"PASS","FAIL")</x:f>
        <x:v>PASS</x:v>
      </x:c>
    </x:row>
    <x:row r="5140">
      <x:c r="B5140" s="21" t="str">
        <x:v>A05134</x:v>
      </x:c>
      <x:c r="C5140" s="21" t="str">
        <x:v>baseline</x:v>
      </x:c>
      <x:c r="D5140" s="21" t="str">
        <x:v>baseline 250 planning state</x:v>
      </x:c>
      <x:c r="E5140" s="21" t="n">
        <x:f>IF(AND('Baseline Register'!G256="0.0.0",'Baseline Register'!I256="OPEN",'Baseline Register'!J256="HOLD"),1,0)</x:f>
        <x:v>1</x:v>
      </x:c>
      <x:c r="F5140" s="21" t="n">
        <x:v>1</x:v>
      </x:c>
      <x:c r="G5140" s="23" t="str">
        <x:f>IF(E5140=F5140,"PASS","FAIL")</x:f>
        <x:v>PASS</x:v>
      </x:c>
    </x:row>
    <x:row r="5141">
      <x:c r="B5141" s="21" t="str">
        <x:v>A05135</x:v>
      </x:c>
      <x:c r="C5141" s="21" t="str">
        <x:v>baseline</x:v>
      </x:c>
      <x:c r="D5141" s="21" t="str">
        <x:v>baseline 251 planning state</x:v>
      </x:c>
      <x:c r="E5141" s="21" t="n">
        <x:f>IF(AND('Baseline Register'!G257="0.0.0",'Baseline Register'!I257="OPEN",'Baseline Register'!J257="HOLD"),1,0)</x:f>
        <x:v>1</x:v>
      </x:c>
      <x:c r="F5141" s="21" t="n">
        <x:v>1</x:v>
      </x:c>
      <x:c r="G5141" s="23" t="str">
        <x:f>IF(E5141=F5141,"PASS","FAIL")</x:f>
        <x:v>PASS</x:v>
      </x:c>
    </x:row>
    <x:row r="5142">
      <x:c r="B5142" s="21" t="str">
        <x:v>A05136</x:v>
      </x:c>
      <x:c r="C5142" s="21" t="str">
        <x:v>baseline</x:v>
      </x:c>
      <x:c r="D5142" s="21" t="str">
        <x:v>baseline 252 planning state</x:v>
      </x:c>
      <x:c r="E5142" s="21" t="n">
        <x:f>IF(AND('Baseline Register'!G258="0.0.0",'Baseline Register'!I258="OPEN",'Baseline Register'!J258="HOLD"),1,0)</x:f>
        <x:v>1</x:v>
      </x:c>
      <x:c r="F5142" s="21" t="n">
        <x:v>1</x:v>
      </x:c>
      <x:c r="G5142" s="23" t="str">
        <x:f>IF(E5142=F5142,"PASS","FAIL")</x:f>
        <x:v>PASS</x:v>
      </x:c>
    </x:row>
    <x:row r="5143">
      <x:c r="B5143" s="21" t="str">
        <x:v>A05137</x:v>
      </x:c>
      <x:c r="C5143" s="21" t="str">
        <x:v>baseline</x:v>
      </x:c>
      <x:c r="D5143" s="21" t="str">
        <x:v>baseline 253 planning state</x:v>
      </x:c>
      <x:c r="E5143" s="21" t="n">
        <x:f>IF(AND('Baseline Register'!G259="0.0.0",'Baseline Register'!I259="OPEN",'Baseline Register'!J259="HOLD"),1,0)</x:f>
        <x:v>1</x:v>
      </x:c>
      <x:c r="F5143" s="21" t="n">
        <x:v>1</x:v>
      </x:c>
      <x:c r="G5143" s="23" t="str">
        <x:f>IF(E5143=F5143,"PASS","FAIL")</x:f>
        <x:v>PASS</x:v>
      </x:c>
    </x:row>
    <x:row r="5144">
      <x:c r="B5144" s="21" t="str">
        <x:v>A05138</x:v>
      </x:c>
      <x:c r="C5144" s="21" t="str">
        <x:v>baseline</x:v>
      </x:c>
      <x:c r="D5144" s="21" t="str">
        <x:v>baseline 254 planning state</x:v>
      </x:c>
      <x:c r="E5144" s="21" t="n">
        <x:f>IF(AND('Baseline Register'!G260="0.0.0",'Baseline Register'!I260="OPEN",'Baseline Register'!J260="HOLD"),1,0)</x:f>
        <x:v>1</x:v>
      </x:c>
      <x:c r="F5144" s="21" t="n">
        <x:v>1</x:v>
      </x:c>
      <x:c r="G5144" s="23" t="str">
        <x:f>IF(E5144=F5144,"PASS","FAIL")</x:f>
        <x:v>PASS</x:v>
      </x:c>
    </x:row>
    <x:row r="5145">
      <x:c r="B5145" s="21" t="str">
        <x:v>A05139</x:v>
      </x:c>
      <x:c r="C5145" s="21" t="str">
        <x:v>baseline</x:v>
      </x:c>
      <x:c r="D5145" s="21" t="str">
        <x:v>baseline 255 planning state</x:v>
      </x:c>
      <x:c r="E5145" s="21" t="n">
        <x:f>IF(AND('Baseline Register'!G261="0.0.0",'Baseline Register'!I261="OPEN",'Baseline Register'!J261="HOLD"),1,0)</x:f>
        <x:v>1</x:v>
      </x:c>
      <x:c r="F5145" s="21" t="n">
        <x:v>1</x:v>
      </x:c>
      <x:c r="G5145" s="23" t="str">
        <x:f>IF(E5145=F5145,"PASS","FAIL")</x:f>
        <x:v>PASS</x:v>
      </x:c>
    </x:row>
    <x:row r="5146">
      <x:c r="B5146" s="21" t="str">
        <x:v>A05140</x:v>
      </x:c>
      <x:c r="C5146" s="21" t="str">
        <x:v>baseline</x:v>
      </x:c>
      <x:c r="D5146" s="21" t="str">
        <x:v>baseline 256 planning state</x:v>
      </x:c>
      <x:c r="E5146" s="21" t="n">
        <x:f>IF(AND('Baseline Register'!G262="0.0.0",'Baseline Register'!I262="OPEN",'Baseline Register'!J262="HOLD"),1,0)</x:f>
        <x:v>1</x:v>
      </x:c>
      <x:c r="F5146" s="21" t="n">
        <x:v>1</x:v>
      </x:c>
      <x:c r="G5146" s="23" t="str">
        <x:f>IF(E5146=F5146,"PASS","FAIL")</x:f>
        <x:v>PASS</x:v>
      </x:c>
    </x:row>
    <x:row r="5147">
      <x:c r="B5147" s="21" t="str">
        <x:v>A05141</x:v>
      </x:c>
      <x:c r="C5147" s="21" t="str">
        <x:v>baseline</x:v>
      </x:c>
      <x:c r="D5147" s="21" t="str">
        <x:v>baseline 257 planning state</x:v>
      </x:c>
      <x:c r="E5147" s="21" t="n">
        <x:f>IF(AND('Baseline Register'!G263="0.0.0",'Baseline Register'!I263="OPEN",'Baseline Register'!J263="HOLD"),1,0)</x:f>
        <x:v>1</x:v>
      </x:c>
      <x:c r="F5147" s="21" t="n">
        <x:v>1</x:v>
      </x:c>
      <x:c r="G5147" s="23" t="str">
        <x:f>IF(E5147=F5147,"PASS","FAIL")</x:f>
        <x:v>PASS</x:v>
      </x:c>
    </x:row>
    <x:row r="5148">
      <x:c r="B5148" s="21" t="str">
        <x:v>A05142</x:v>
      </x:c>
      <x:c r="C5148" s="21" t="str">
        <x:v>baseline</x:v>
      </x:c>
      <x:c r="D5148" s="21" t="str">
        <x:v>baseline 258 planning state</x:v>
      </x:c>
      <x:c r="E5148" s="21" t="n">
        <x:f>IF(AND('Baseline Register'!G264="0.0.0",'Baseline Register'!I264="OPEN",'Baseline Register'!J264="HOLD"),1,0)</x:f>
        <x:v>1</x:v>
      </x:c>
      <x:c r="F5148" s="21" t="n">
        <x:v>1</x:v>
      </x:c>
      <x:c r="G5148" s="23" t="str">
        <x:f>IF(E5148=F5148,"PASS","FAIL")</x:f>
        <x:v>PASS</x:v>
      </x:c>
    </x:row>
    <x:row r="5149">
      <x:c r="B5149" s="21" t="str">
        <x:v>A05143</x:v>
      </x:c>
      <x:c r="C5149" s="21" t="str">
        <x:v>baseline</x:v>
      </x:c>
      <x:c r="D5149" s="21" t="str">
        <x:v>baseline 259 planning state</x:v>
      </x:c>
      <x:c r="E5149" s="21" t="n">
        <x:f>IF(AND('Baseline Register'!G265="0.0.0",'Baseline Register'!I265="OPEN",'Baseline Register'!J265="HOLD"),1,0)</x:f>
        <x:v>1</x:v>
      </x:c>
      <x:c r="F5149" s="21" t="n">
        <x:v>1</x:v>
      </x:c>
      <x:c r="G5149" s="23" t="str">
        <x:f>IF(E5149=F5149,"PASS","FAIL")</x:f>
        <x:v>PASS</x:v>
      </x:c>
    </x:row>
    <x:row r="5150">
      <x:c r="B5150" s="21" t="str">
        <x:v>A05144</x:v>
      </x:c>
      <x:c r="C5150" s="21" t="str">
        <x:v>baseline</x:v>
      </x:c>
      <x:c r="D5150" s="21" t="str">
        <x:v>baseline 260 planning state</x:v>
      </x:c>
      <x:c r="E5150" s="21" t="n">
        <x:f>IF(AND('Baseline Register'!G266="0.0.0",'Baseline Register'!I266="OPEN",'Baseline Register'!J266="HOLD"),1,0)</x:f>
        <x:v>1</x:v>
      </x:c>
      <x:c r="F5150" s="21" t="n">
        <x:v>1</x:v>
      </x:c>
      <x:c r="G5150" s="23" t="str">
        <x:f>IF(E5150=F5150,"PASS","FAIL")</x:f>
        <x:v>PASS</x:v>
      </x:c>
    </x:row>
    <x:row r="5151">
      <x:c r="B5151" s="21" t="str">
        <x:v>A05145</x:v>
      </x:c>
      <x:c r="C5151" s="21" t="str">
        <x:v>baseline</x:v>
      </x:c>
      <x:c r="D5151" s="21" t="str">
        <x:v>baseline 261 planning state</x:v>
      </x:c>
      <x:c r="E5151" s="21" t="n">
        <x:f>IF(AND('Baseline Register'!G267="0.0.0",'Baseline Register'!I267="OPEN",'Baseline Register'!J267="HOLD"),1,0)</x:f>
        <x:v>1</x:v>
      </x:c>
      <x:c r="F5151" s="21" t="n">
        <x:v>1</x:v>
      </x:c>
      <x:c r="G5151" s="23" t="str">
        <x:f>IF(E5151=F5151,"PASS","FAIL")</x:f>
        <x:v>PASS</x:v>
      </x:c>
    </x:row>
    <x:row r="5152">
      <x:c r="B5152" s="21" t="str">
        <x:v>A05146</x:v>
      </x:c>
      <x:c r="C5152" s="21" t="str">
        <x:v>baseline</x:v>
      </x:c>
      <x:c r="D5152" s="21" t="str">
        <x:v>baseline 262 planning state</x:v>
      </x:c>
      <x:c r="E5152" s="21" t="n">
        <x:f>IF(AND('Baseline Register'!G268="0.0.0",'Baseline Register'!I268="OPEN",'Baseline Register'!J268="HOLD"),1,0)</x:f>
        <x:v>1</x:v>
      </x:c>
      <x:c r="F5152" s="21" t="n">
        <x:v>1</x:v>
      </x:c>
      <x:c r="G5152" s="23" t="str">
        <x:f>IF(E5152=F5152,"PASS","FAIL")</x:f>
        <x:v>PASS</x:v>
      </x:c>
    </x:row>
    <x:row r="5153">
      <x:c r="B5153" s="21" t="str">
        <x:v>A05147</x:v>
      </x:c>
      <x:c r="C5153" s="21" t="str">
        <x:v>baseline</x:v>
      </x:c>
      <x:c r="D5153" s="21" t="str">
        <x:v>baseline 263 planning state</x:v>
      </x:c>
      <x:c r="E5153" s="21" t="n">
        <x:f>IF(AND('Baseline Register'!G269="0.0.0",'Baseline Register'!I269="OPEN",'Baseline Register'!J269="HOLD"),1,0)</x:f>
        <x:v>1</x:v>
      </x:c>
      <x:c r="F5153" s="21" t="n">
        <x:v>1</x:v>
      </x:c>
      <x:c r="G5153" s="23" t="str">
        <x:f>IF(E5153=F5153,"PASS","FAIL")</x:f>
        <x:v>PASS</x:v>
      </x:c>
    </x:row>
    <x:row r="5154">
      <x:c r="B5154" s="21" t="str">
        <x:v>A05148</x:v>
      </x:c>
      <x:c r="C5154" s="21" t="str">
        <x:v>baseline</x:v>
      </x:c>
      <x:c r="D5154" s="21" t="str">
        <x:v>baseline 264 planning state</x:v>
      </x:c>
      <x:c r="E5154" s="21" t="n">
        <x:f>IF(AND('Baseline Register'!G270="0.0.0",'Baseline Register'!I270="OPEN",'Baseline Register'!J270="HOLD"),1,0)</x:f>
        <x:v>1</x:v>
      </x:c>
      <x:c r="F5154" s="21" t="n">
        <x:v>1</x:v>
      </x:c>
      <x:c r="G5154" s="23" t="str">
        <x:f>IF(E5154=F5154,"PASS","FAIL")</x:f>
        <x:v>PASS</x:v>
      </x:c>
    </x:row>
    <x:row r="5155">
      <x:c r="B5155" s="21" t="str">
        <x:v>A05149</x:v>
      </x:c>
      <x:c r="C5155" s="21" t="str">
        <x:v>baseline</x:v>
      </x:c>
      <x:c r="D5155" s="21" t="str">
        <x:v>baseline 265 planning state</x:v>
      </x:c>
      <x:c r="E5155" s="21" t="n">
        <x:f>IF(AND('Baseline Register'!G271="0.0.0",'Baseline Register'!I271="OPEN",'Baseline Register'!J271="HOLD"),1,0)</x:f>
        <x:v>1</x:v>
      </x:c>
      <x:c r="F5155" s="21" t="n">
        <x:v>1</x:v>
      </x:c>
      <x:c r="G5155" s="23" t="str">
        <x:f>IF(E5155=F5155,"PASS","FAIL")</x:f>
        <x:v>PASS</x:v>
      </x:c>
    </x:row>
    <x:row r="5156">
      <x:c r="B5156" s="21" t="str">
        <x:v>A05150</x:v>
      </x:c>
      <x:c r="C5156" s="21" t="str">
        <x:v>baseline</x:v>
      </x:c>
      <x:c r="D5156" s="21" t="str">
        <x:v>baseline 266 planning state</x:v>
      </x:c>
      <x:c r="E5156" s="21" t="n">
        <x:f>IF(AND('Baseline Register'!G272="0.0.0",'Baseline Register'!I272="OPEN",'Baseline Register'!J272="HOLD"),1,0)</x:f>
        <x:v>1</x:v>
      </x:c>
      <x:c r="F5156" s="21" t="n">
        <x:v>1</x:v>
      </x:c>
      <x:c r="G5156" s="23" t="str">
        <x:f>IF(E5156=F5156,"PASS","FAIL")</x:f>
        <x:v>PASS</x:v>
      </x:c>
    </x:row>
    <x:row r="5157">
      <x:c r="B5157" s="21" t="str">
        <x:v>A05151</x:v>
      </x:c>
      <x:c r="C5157" s="21" t="str">
        <x:v>baseline</x:v>
      </x:c>
      <x:c r="D5157" s="21" t="str">
        <x:v>baseline 267 planning state</x:v>
      </x:c>
      <x:c r="E5157" s="21" t="n">
        <x:f>IF(AND('Baseline Register'!G273="0.0.0",'Baseline Register'!I273="OPEN",'Baseline Register'!J273="HOLD"),1,0)</x:f>
        <x:v>1</x:v>
      </x:c>
      <x:c r="F5157" s="21" t="n">
        <x:v>1</x:v>
      </x:c>
      <x:c r="G5157" s="23" t="str">
        <x:f>IF(E5157=F5157,"PASS","FAIL")</x:f>
        <x:v>PASS</x:v>
      </x:c>
    </x:row>
    <x:row r="5158">
      <x:c r="B5158" s="21" t="str">
        <x:v>A05152</x:v>
      </x:c>
      <x:c r="C5158" s="21" t="str">
        <x:v>baseline</x:v>
      </x:c>
      <x:c r="D5158" s="21" t="str">
        <x:v>baseline 268 planning state</x:v>
      </x:c>
      <x:c r="E5158" s="21" t="n">
        <x:f>IF(AND('Baseline Register'!G274="0.0.0",'Baseline Register'!I274="OPEN",'Baseline Register'!J274="HOLD"),1,0)</x:f>
        <x:v>1</x:v>
      </x:c>
      <x:c r="F5158" s="21" t="n">
        <x:v>1</x:v>
      </x:c>
      <x:c r="G5158" s="23" t="str">
        <x:f>IF(E5158=F5158,"PASS","FAIL")</x:f>
        <x:v>PASS</x:v>
      </x:c>
    </x:row>
    <x:row r="5159">
      <x:c r="B5159" s="21" t="str">
        <x:v>A05153</x:v>
      </x:c>
      <x:c r="C5159" s="21" t="str">
        <x:v>baseline</x:v>
      </x:c>
      <x:c r="D5159" s="21" t="str">
        <x:v>baseline 269 planning state</x:v>
      </x:c>
      <x:c r="E5159" s="21" t="n">
        <x:f>IF(AND('Baseline Register'!G275="0.0.0",'Baseline Register'!I275="OPEN",'Baseline Register'!J275="HOLD"),1,0)</x:f>
        <x:v>1</x:v>
      </x:c>
      <x:c r="F5159" s="21" t="n">
        <x:v>1</x:v>
      </x:c>
      <x:c r="G5159" s="23" t="str">
        <x:f>IF(E5159=F5159,"PASS","FAIL")</x:f>
        <x:v>PASS</x:v>
      </x:c>
    </x:row>
    <x:row r="5160">
      <x:c r="B5160" s="21" t="str">
        <x:v>A05154</x:v>
      </x:c>
      <x:c r="C5160" s="21" t="str">
        <x:v>baseline</x:v>
      </x:c>
      <x:c r="D5160" s="21" t="str">
        <x:v>baseline 270 planning state</x:v>
      </x:c>
      <x:c r="E5160" s="21" t="n">
        <x:f>IF(AND('Baseline Register'!G276="0.0.0",'Baseline Register'!I276="OPEN",'Baseline Register'!J276="HOLD"),1,0)</x:f>
        <x:v>1</x:v>
      </x:c>
      <x:c r="F5160" s="21" t="n">
        <x:v>1</x:v>
      </x:c>
      <x:c r="G5160" s="23" t="str">
        <x:f>IF(E5160=F5160,"PASS","FAIL")</x:f>
        <x:v>PASS</x:v>
      </x:c>
    </x:row>
    <x:row r="5161">
      <x:c r="B5161" s="21" t="str">
        <x:v>A05155</x:v>
      </x:c>
      <x:c r="C5161" s="21" t="str">
        <x:v>baseline</x:v>
      </x:c>
      <x:c r="D5161" s="21" t="str">
        <x:v>baseline 271 planning state</x:v>
      </x:c>
      <x:c r="E5161" s="21" t="n">
        <x:f>IF(AND('Baseline Register'!G277="0.0.0",'Baseline Register'!I277="OPEN",'Baseline Register'!J277="HOLD"),1,0)</x:f>
        <x:v>1</x:v>
      </x:c>
      <x:c r="F5161" s="21" t="n">
        <x:v>1</x:v>
      </x:c>
      <x:c r="G5161" s="23" t="str">
        <x:f>IF(E5161=F5161,"PASS","FAIL")</x:f>
        <x:v>PASS</x:v>
      </x:c>
    </x:row>
    <x:row r="5162">
      <x:c r="B5162" s="21" t="str">
        <x:v>A05156</x:v>
      </x:c>
      <x:c r="C5162" s="21" t="str">
        <x:v>baseline</x:v>
      </x:c>
      <x:c r="D5162" s="21" t="str">
        <x:v>baseline 272 planning state</x:v>
      </x:c>
      <x:c r="E5162" s="21" t="n">
        <x:f>IF(AND('Baseline Register'!G278="0.0.0",'Baseline Register'!I278="OPEN",'Baseline Register'!J278="HOLD"),1,0)</x:f>
        <x:v>1</x:v>
      </x:c>
      <x:c r="F5162" s="21" t="n">
        <x:v>1</x:v>
      </x:c>
      <x:c r="G5162" s="23" t="str">
        <x:f>IF(E5162=F5162,"PASS","FAIL")</x:f>
        <x:v>PASS</x:v>
      </x:c>
    </x:row>
    <x:row r="5163">
      <x:c r="B5163" s="21" t="str">
        <x:v>A05157</x:v>
      </x:c>
      <x:c r="C5163" s="21" t="str">
        <x:v>baseline</x:v>
      </x:c>
      <x:c r="D5163" s="21" t="str">
        <x:v>baseline 273 planning state</x:v>
      </x:c>
      <x:c r="E5163" s="21" t="n">
        <x:f>IF(AND('Baseline Register'!G279="0.0.0",'Baseline Register'!I279="OPEN",'Baseline Register'!J279="HOLD"),1,0)</x:f>
        <x:v>1</x:v>
      </x:c>
      <x:c r="F5163" s="21" t="n">
        <x:v>1</x:v>
      </x:c>
      <x:c r="G5163" s="23" t="str">
        <x:f>IF(E5163=F5163,"PASS","FAIL")</x:f>
        <x:v>PASS</x:v>
      </x:c>
    </x:row>
    <x:row r="5164">
      <x:c r="B5164" s="21" t="str">
        <x:v>A05158</x:v>
      </x:c>
      <x:c r="C5164" s="21" t="str">
        <x:v>baseline</x:v>
      </x:c>
      <x:c r="D5164" s="21" t="str">
        <x:v>baseline 274 planning state</x:v>
      </x:c>
      <x:c r="E5164" s="21" t="n">
        <x:f>IF(AND('Baseline Register'!G280="0.0.0",'Baseline Register'!I280="OPEN",'Baseline Register'!J280="HOLD"),1,0)</x:f>
        <x:v>1</x:v>
      </x:c>
      <x:c r="F5164" s="21" t="n">
        <x:v>1</x:v>
      </x:c>
      <x:c r="G5164" s="23" t="str">
        <x:f>IF(E5164=F5164,"PASS","FAIL")</x:f>
        <x:v>PASS</x:v>
      </x:c>
    </x:row>
    <x:row r="5165">
      <x:c r="B5165" s="21" t="str">
        <x:v>A05159</x:v>
      </x:c>
      <x:c r="C5165" s="21" t="str">
        <x:v>baseline</x:v>
      </x:c>
      <x:c r="D5165" s="21" t="str">
        <x:v>baseline 275 planning state</x:v>
      </x:c>
      <x:c r="E5165" s="21" t="n">
        <x:f>IF(AND('Baseline Register'!G281="0.0.0",'Baseline Register'!I281="OPEN",'Baseline Register'!J281="HOLD"),1,0)</x:f>
        <x:v>1</x:v>
      </x:c>
      <x:c r="F5165" s="21" t="n">
        <x:v>1</x:v>
      </x:c>
      <x:c r="G5165" s="23" t="str">
        <x:f>IF(E5165=F5165,"PASS","FAIL")</x:f>
        <x:v>PASS</x:v>
      </x:c>
    </x:row>
    <x:row r="5166">
      <x:c r="B5166" s="21" t="str">
        <x:v>A05160</x:v>
      </x:c>
      <x:c r="C5166" s="21" t="str">
        <x:v>baseline</x:v>
      </x:c>
      <x:c r="D5166" s="21" t="str">
        <x:v>baseline 276 planning state</x:v>
      </x:c>
      <x:c r="E5166" s="21" t="n">
        <x:f>IF(AND('Baseline Register'!G282="0.0.0",'Baseline Register'!I282="OPEN",'Baseline Register'!J282="HOLD"),1,0)</x:f>
        <x:v>1</x:v>
      </x:c>
      <x:c r="F5166" s="21" t="n">
        <x:v>1</x:v>
      </x:c>
      <x:c r="G5166" s="23" t="str">
        <x:f>IF(E5166=F5166,"PASS","FAIL")</x:f>
        <x:v>PASS</x:v>
      </x:c>
    </x:row>
    <x:row r="5167">
      <x:c r="B5167" s="21" t="str">
        <x:v>A05161</x:v>
      </x:c>
      <x:c r="C5167" s="21" t="str">
        <x:v>baseline</x:v>
      </x:c>
      <x:c r="D5167" s="21" t="str">
        <x:v>baseline 277 planning state</x:v>
      </x:c>
      <x:c r="E5167" s="21" t="n">
        <x:f>IF(AND('Baseline Register'!G283="0.0.0",'Baseline Register'!I283="OPEN",'Baseline Register'!J283="HOLD"),1,0)</x:f>
        <x:v>1</x:v>
      </x:c>
      <x:c r="F5167" s="21" t="n">
        <x:v>1</x:v>
      </x:c>
      <x:c r="G5167" s="23" t="str">
        <x:f>IF(E5167=F5167,"PASS","FAIL")</x:f>
        <x:v>PASS</x:v>
      </x:c>
    </x:row>
    <x:row r="5168">
      <x:c r="B5168" s="21" t="str">
        <x:v>A05162</x:v>
      </x:c>
      <x:c r="C5168" s="21" t="str">
        <x:v>baseline</x:v>
      </x:c>
      <x:c r="D5168" s="21" t="str">
        <x:v>baseline 278 planning state</x:v>
      </x:c>
      <x:c r="E5168" s="21" t="n">
        <x:f>IF(AND('Baseline Register'!G284="0.0.0",'Baseline Register'!I284="OPEN",'Baseline Register'!J284="HOLD"),1,0)</x:f>
        <x:v>1</x:v>
      </x:c>
      <x:c r="F5168" s="21" t="n">
        <x:v>1</x:v>
      </x:c>
      <x:c r="G5168" s="23" t="str">
        <x:f>IF(E5168=F5168,"PASS","FAIL")</x:f>
        <x:v>PASS</x:v>
      </x:c>
    </x:row>
    <x:row r="5169">
      <x:c r="B5169" s="21" t="str">
        <x:v>A05163</x:v>
      </x:c>
      <x:c r="C5169" s="21" t="str">
        <x:v>baseline</x:v>
      </x:c>
      <x:c r="D5169" s="21" t="str">
        <x:v>baseline 279 planning state</x:v>
      </x:c>
      <x:c r="E5169" s="21" t="n">
        <x:f>IF(AND('Baseline Register'!G285="0.0.0",'Baseline Register'!I285="OPEN",'Baseline Register'!J285="HOLD"),1,0)</x:f>
        <x:v>1</x:v>
      </x:c>
      <x:c r="F5169" s="21" t="n">
        <x:v>1</x:v>
      </x:c>
      <x:c r="G5169" s="23" t="str">
        <x:f>IF(E5169=F5169,"PASS","FAIL")</x:f>
        <x:v>PASS</x:v>
      </x:c>
    </x:row>
    <x:row r="5170">
      <x:c r="B5170" s="21" t="str">
        <x:v>A05164</x:v>
      </x:c>
      <x:c r="C5170" s="21" t="str">
        <x:v>baseline</x:v>
      </x:c>
      <x:c r="D5170" s="21" t="str">
        <x:v>baseline 280 planning state</x:v>
      </x:c>
      <x:c r="E5170" s="21" t="n">
        <x:f>IF(AND('Baseline Register'!G286="0.0.0",'Baseline Register'!I286="OPEN",'Baseline Register'!J286="HOLD"),1,0)</x:f>
        <x:v>1</x:v>
      </x:c>
      <x:c r="F5170" s="21" t="n">
        <x:v>1</x:v>
      </x:c>
      <x:c r="G5170" s="23" t="str">
        <x:f>IF(E5170=F5170,"PASS","FAIL")</x:f>
        <x:v>PASS</x:v>
      </x:c>
    </x:row>
    <x:row r="5171">
      <x:c r="B5171" s="21" t="str">
        <x:v>A05165</x:v>
      </x:c>
      <x:c r="C5171" s="21" t="str">
        <x:v>baseline</x:v>
      </x:c>
      <x:c r="D5171" s="21" t="str">
        <x:v>baseline 281 planning state</x:v>
      </x:c>
      <x:c r="E5171" s="21" t="n">
        <x:f>IF(AND('Baseline Register'!G287="0.0.0",'Baseline Register'!I287="OPEN",'Baseline Register'!J287="HOLD"),1,0)</x:f>
        <x:v>1</x:v>
      </x:c>
      <x:c r="F5171" s="21" t="n">
        <x:v>1</x:v>
      </x:c>
      <x:c r="G5171" s="23" t="str">
        <x:f>IF(E5171=F5171,"PASS","FAIL")</x:f>
        <x:v>PASS</x:v>
      </x:c>
    </x:row>
    <x:row r="5172">
      <x:c r="B5172" s="21" t="str">
        <x:v>A05166</x:v>
      </x:c>
      <x:c r="C5172" s="21" t="str">
        <x:v>baseline</x:v>
      </x:c>
      <x:c r="D5172" s="21" t="str">
        <x:v>baseline 282 planning state</x:v>
      </x:c>
      <x:c r="E5172" s="21" t="n">
        <x:f>IF(AND('Baseline Register'!G288="0.0.0",'Baseline Register'!I288="OPEN",'Baseline Register'!J288="HOLD"),1,0)</x:f>
        <x:v>1</x:v>
      </x:c>
      <x:c r="F5172" s="21" t="n">
        <x:v>1</x:v>
      </x:c>
      <x:c r="G5172" s="23" t="str">
        <x:f>IF(E5172=F5172,"PASS","FAIL")</x:f>
        <x:v>PASS</x:v>
      </x:c>
    </x:row>
    <x:row r="5173">
      <x:c r="B5173" s="21" t="str">
        <x:v>A05167</x:v>
      </x:c>
      <x:c r="C5173" s="21" t="str">
        <x:v>baseline</x:v>
      </x:c>
      <x:c r="D5173" s="21" t="str">
        <x:v>baseline 283 planning state</x:v>
      </x:c>
      <x:c r="E5173" s="21" t="n">
        <x:f>IF(AND('Baseline Register'!G289="0.0.0",'Baseline Register'!I289="OPEN",'Baseline Register'!J289="HOLD"),1,0)</x:f>
        <x:v>1</x:v>
      </x:c>
      <x:c r="F5173" s="21" t="n">
        <x:v>1</x:v>
      </x:c>
      <x:c r="G5173" s="23" t="str">
        <x:f>IF(E5173=F5173,"PASS","FAIL")</x:f>
        <x:v>PASS</x:v>
      </x:c>
    </x:row>
    <x:row r="5174">
      <x:c r="B5174" s="21" t="str">
        <x:v>A05168</x:v>
      </x:c>
      <x:c r="C5174" s="21" t="str">
        <x:v>baseline</x:v>
      </x:c>
      <x:c r="D5174" s="21" t="str">
        <x:v>baseline 284 planning state</x:v>
      </x:c>
      <x:c r="E5174" s="21" t="n">
        <x:f>IF(AND('Baseline Register'!G290="0.0.0",'Baseline Register'!I290="OPEN",'Baseline Register'!J290="HOLD"),1,0)</x:f>
        <x:v>1</x:v>
      </x:c>
      <x:c r="F5174" s="21" t="n">
        <x:v>1</x:v>
      </x:c>
      <x:c r="G5174" s="23" t="str">
        <x:f>IF(E5174=F5174,"PASS","FAIL")</x:f>
        <x:v>PASS</x:v>
      </x:c>
    </x:row>
    <x:row r="5175">
      <x:c r="B5175" s="21" t="str">
        <x:v>A05169</x:v>
      </x:c>
      <x:c r="C5175" s="21" t="str">
        <x:v>baseline</x:v>
      </x:c>
      <x:c r="D5175" s="21" t="str">
        <x:v>baseline 285 planning state</x:v>
      </x:c>
      <x:c r="E5175" s="21" t="n">
        <x:f>IF(AND('Baseline Register'!G291="0.0.0",'Baseline Register'!I291="OPEN",'Baseline Register'!J291="HOLD"),1,0)</x:f>
        <x:v>1</x:v>
      </x:c>
      <x:c r="F5175" s="21" t="n">
        <x:v>1</x:v>
      </x:c>
      <x:c r="G5175" s="23" t="str">
        <x:f>IF(E5175=F5175,"PASS","FAIL")</x:f>
        <x:v>PASS</x:v>
      </x:c>
    </x:row>
    <x:row r="5176">
      <x:c r="B5176" s="21" t="str">
        <x:v>A05170</x:v>
      </x:c>
      <x:c r="C5176" s="21" t="str">
        <x:v>baseline</x:v>
      </x:c>
      <x:c r="D5176" s="21" t="str">
        <x:v>baseline 286 planning state</x:v>
      </x:c>
      <x:c r="E5176" s="21" t="n">
        <x:f>IF(AND('Baseline Register'!G292="0.0.0",'Baseline Register'!I292="OPEN",'Baseline Register'!J292="HOLD"),1,0)</x:f>
        <x:v>1</x:v>
      </x:c>
      <x:c r="F5176" s="21" t="n">
        <x:v>1</x:v>
      </x:c>
      <x:c r="G5176" s="23" t="str">
        <x:f>IF(E5176=F5176,"PASS","FAIL")</x:f>
        <x:v>PASS</x:v>
      </x:c>
    </x:row>
    <x:row r="5177">
      <x:c r="B5177" s="21" t="str">
        <x:v>A05171</x:v>
      </x:c>
      <x:c r="C5177" s="21" t="str">
        <x:v>baseline</x:v>
      </x:c>
      <x:c r="D5177" s="21" t="str">
        <x:v>baseline 287 planning state</x:v>
      </x:c>
      <x:c r="E5177" s="21" t="n">
        <x:f>IF(AND('Baseline Register'!G293="0.0.0",'Baseline Register'!I293="OPEN",'Baseline Register'!J293="HOLD"),1,0)</x:f>
        <x:v>1</x:v>
      </x:c>
      <x:c r="F5177" s="21" t="n">
        <x:v>1</x:v>
      </x:c>
      <x:c r="G5177" s="23" t="str">
        <x:f>IF(E5177=F5177,"PASS","FAIL")</x:f>
        <x:v>PASS</x:v>
      </x:c>
    </x:row>
    <x:row r="5178">
      <x:c r="B5178" s="21" t="str">
        <x:v>A05172</x:v>
      </x:c>
      <x:c r="C5178" s="21" t="str">
        <x:v>baseline</x:v>
      </x:c>
      <x:c r="D5178" s="21" t="str">
        <x:v>baseline 288 planning state</x:v>
      </x:c>
      <x:c r="E5178" s="21" t="n">
        <x:f>IF(AND('Baseline Register'!G294="0.0.0",'Baseline Register'!I294="OPEN",'Baseline Register'!J294="HOLD"),1,0)</x:f>
        <x:v>1</x:v>
      </x:c>
      <x:c r="F5178" s="21" t="n">
        <x:v>1</x:v>
      </x:c>
      <x:c r="G5178" s="23" t="str">
        <x:f>IF(E5178=F5178,"PASS","FAIL")</x:f>
        <x:v>PASS</x:v>
      </x:c>
    </x:row>
    <x:row r="5179">
      <x:c r="B5179" s="21" t="str">
        <x:v>A05173</x:v>
      </x:c>
      <x:c r="C5179" s="21" t="str">
        <x:v>baseline</x:v>
      </x:c>
      <x:c r="D5179" s="21" t="str">
        <x:v>baseline 289 planning state</x:v>
      </x:c>
      <x:c r="E5179" s="21" t="n">
        <x:f>IF(AND('Baseline Register'!G295="0.0.0",'Baseline Register'!I295="OPEN",'Baseline Register'!J295="HOLD"),1,0)</x:f>
        <x:v>1</x:v>
      </x:c>
      <x:c r="F5179" s="21" t="n">
        <x:v>1</x:v>
      </x:c>
      <x:c r="G5179" s="23" t="str">
        <x:f>IF(E5179=F5179,"PASS","FAIL")</x:f>
        <x:v>PASS</x:v>
      </x:c>
    </x:row>
    <x:row r="5180">
      <x:c r="B5180" s="21" t="str">
        <x:v>A05174</x:v>
      </x:c>
      <x:c r="C5180" s="21" t="str">
        <x:v>baseline</x:v>
      </x:c>
      <x:c r="D5180" s="21" t="str">
        <x:v>baseline 290 planning state</x:v>
      </x:c>
      <x:c r="E5180" s="21" t="n">
        <x:f>IF(AND('Baseline Register'!G296="0.0.0",'Baseline Register'!I296="OPEN",'Baseline Register'!J296="HOLD"),1,0)</x:f>
        <x:v>1</x:v>
      </x:c>
      <x:c r="F5180" s="21" t="n">
        <x:v>1</x:v>
      </x:c>
      <x:c r="G5180" s="23" t="str">
        <x:f>IF(E5180=F5180,"PASS","FAIL")</x:f>
        <x:v>PASS</x:v>
      </x:c>
    </x:row>
    <x:row r="5181">
      <x:c r="B5181" s="21" t="str">
        <x:v>A05175</x:v>
      </x:c>
      <x:c r="C5181" s="21" t="str">
        <x:v>baseline</x:v>
      </x:c>
      <x:c r="D5181" s="21" t="str">
        <x:v>baseline 291 planning state</x:v>
      </x:c>
      <x:c r="E5181" s="21" t="n">
        <x:f>IF(AND('Baseline Register'!G297="0.0.0",'Baseline Register'!I297="OPEN",'Baseline Register'!J297="HOLD"),1,0)</x:f>
        <x:v>1</x:v>
      </x:c>
      <x:c r="F5181" s="21" t="n">
        <x:v>1</x:v>
      </x:c>
      <x:c r="G5181" s="23" t="str">
        <x:f>IF(E5181=F5181,"PASS","FAIL")</x:f>
        <x:v>PASS</x:v>
      </x:c>
    </x:row>
    <x:row r="5182">
      <x:c r="B5182" s="21" t="str">
        <x:v>A05176</x:v>
      </x:c>
      <x:c r="C5182" s="21" t="str">
        <x:v>baseline</x:v>
      </x:c>
      <x:c r="D5182" s="21" t="str">
        <x:v>baseline 292 planning state</x:v>
      </x:c>
      <x:c r="E5182" s="21" t="n">
        <x:f>IF(AND('Baseline Register'!G298="0.0.0",'Baseline Register'!I298="OPEN",'Baseline Register'!J298="HOLD"),1,0)</x:f>
        <x:v>1</x:v>
      </x:c>
      <x:c r="F5182" s="21" t="n">
        <x:v>1</x:v>
      </x:c>
      <x:c r="G5182" s="23" t="str">
        <x:f>IF(E5182=F5182,"PASS","FAIL")</x:f>
        <x:v>PASS</x:v>
      </x:c>
    </x:row>
    <x:row r="5183">
      <x:c r="B5183" s="21" t="str">
        <x:v>A05177</x:v>
      </x:c>
      <x:c r="C5183" s="21" t="str">
        <x:v>baseline</x:v>
      </x:c>
      <x:c r="D5183" s="21" t="str">
        <x:v>baseline 293 planning state</x:v>
      </x:c>
      <x:c r="E5183" s="21" t="n">
        <x:f>IF(AND('Baseline Register'!G299="0.0.0",'Baseline Register'!I299="OPEN",'Baseline Register'!J299="HOLD"),1,0)</x:f>
        <x:v>1</x:v>
      </x:c>
      <x:c r="F5183" s="21" t="n">
        <x:v>1</x:v>
      </x:c>
      <x:c r="G5183" s="23" t="str">
        <x:f>IF(E5183=F5183,"PASS","FAIL")</x:f>
        <x:v>PASS</x:v>
      </x:c>
    </x:row>
    <x:row r="5184">
      <x:c r="B5184" s="21" t="str">
        <x:v>A05178</x:v>
      </x:c>
      <x:c r="C5184" s="21" t="str">
        <x:v>baseline</x:v>
      </x:c>
      <x:c r="D5184" s="21" t="str">
        <x:v>baseline 294 planning state</x:v>
      </x:c>
      <x:c r="E5184" s="21" t="n">
        <x:f>IF(AND('Baseline Register'!G300="0.0.0",'Baseline Register'!I300="OPEN",'Baseline Register'!J300="HOLD"),1,0)</x:f>
        <x:v>1</x:v>
      </x:c>
      <x:c r="F5184" s="21" t="n">
        <x:v>1</x:v>
      </x:c>
      <x:c r="G5184" s="23" t="str">
        <x:f>IF(E5184=F5184,"PASS","FAIL")</x:f>
        <x:v>PASS</x:v>
      </x:c>
    </x:row>
    <x:row r="5185">
      <x:c r="B5185" s="21" t="str">
        <x:v>A05179</x:v>
      </x:c>
      <x:c r="C5185" s="21" t="str">
        <x:v>baseline</x:v>
      </x:c>
      <x:c r="D5185" s="21" t="str">
        <x:v>baseline 295 planning state</x:v>
      </x:c>
      <x:c r="E5185" s="21" t="n">
        <x:f>IF(AND('Baseline Register'!G301="0.0.0",'Baseline Register'!I301="OPEN",'Baseline Register'!J301="HOLD"),1,0)</x:f>
        <x:v>1</x:v>
      </x:c>
      <x:c r="F5185" s="21" t="n">
        <x:v>1</x:v>
      </x:c>
      <x:c r="G5185" s="23" t="str">
        <x:f>IF(E5185=F5185,"PASS","FAIL")</x:f>
        <x:v>PASS</x:v>
      </x:c>
    </x:row>
    <x:row r="5186">
      <x:c r="B5186" s="21" t="str">
        <x:v>A05180</x:v>
      </x:c>
      <x:c r="C5186" s="21" t="str">
        <x:v>baseline</x:v>
      </x:c>
      <x:c r="D5186" s="21" t="str">
        <x:v>baseline 296 planning state</x:v>
      </x:c>
      <x:c r="E5186" s="21" t="n">
        <x:f>IF(AND('Baseline Register'!G302="0.0.0",'Baseline Register'!I302="OPEN",'Baseline Register'!J302="HOLD"),1,0)</x:f>
        <x:v>1</x:v>
      </x:c>
      <x:c r="F5186" s="21" t="n">
        <x:v>1</x:v>
      </x:c>
      <x:c r="G5186" s="23" t="str">
        <x:f>IF(E5186=F5186,"PASS","FAIL")</x:f>
        <x:v>PASS</x:v>
      </x:c>
    </x:row>
    <x:row r="5187">
      <x:c r="B5187" s="21" t="str">
        <x:v>A05181</x:v>
      </x:c>
      <x:c r="C5187" s="21" t="str">
        <x:v>baseline</x:v>
      </x:c>
      <x:c r="D5187" s="21" t="str">
        <x:v>baseline 297 planning state</x:v>
      </x:c>
      <x:c r="E5187" s="21" t="n">
        <x:f>IF(AND('Baseline Register'!G303="0.0.0",'Baseline Register'!I303="OPEN",'Baseline Register'!J303="HOLD"),1,0)</x:f>
        <x:v>1</x:v>
      </x:c>
      <x:c r="F5187" s="21" t="n">
        <x:v>1</x:v>
      </x:c>
      <x:c r="G5187" s="23" t="str">
        <x:f>IF(E5187=F5187,"PASS","FAIL")</x:f>
        <x:v>PASS</x:v>
      </x:c>
    </x:row>
    <x:row r="5188">
      <x:c r="B5188" s="21" t="str">
        <x:v>A05182</x:v>
      </x:c>
      <x:c r="C5188" s="21" t="str">
        <x:v>baseline</x:v>
      </x:c>
      <x:c r="D5188" s="21" t="str">
        <x:v>baseline 298 planning state</x:v>
      </x:c>
      <x:c r="E5188" s="21" t="n">
        <x:f>IF(AND('Baseline Register'!G304="0.0.0",'Baseline Register'!I304="OPEN",'Baseline Register'!J304="HOLD"),1,0)</x:f>
        <x:v>1</x:v>
      </x:c>
      <x:c r="F5188" s="21" t="n">
        <x:v>1</x:v>
      </x:c>
      <x:c r="G5188" s="23" t="str">
        <x:f>IF(E5188=F5188,"PASS","FAIL")</x:f>
        <x:v>PASS</x:v>
      </x:c>
    </x:row>
    <x:row r="5189">
      <x:c r="B5189" s="21" t="str">
        <x:v>A05183</x:v>
      </x:c>
      <x:c r="C5189" s="21" t="str">
        <x:v>baseline</x:v>
      </x:c>
      <x:c r="D5189" s="21" t="str">
        <x:v>baseline 299 planning state</x:v>
      </x:c>
      <x:c r="E5189" s="21" t="n">
        <x:f>IF(AND('Baseline Register'!G305="0.0.0",'Baseline Register'!I305="OPEN",'Baseline Register'!J305="HOLD"),1,0)</x:f>
        <x:v>1</x:v>
      </x:c>
      <x:c r="F5189" s="21" t="n">
        <x:v>1</x:v>
      </x:c>
      <x:c r="G5189" s="23" t="str">
        <x:f>IF(E5189=F5189,"PASS","FAIL")</x:f>
        <x:v>PASS</x:v>
      </x:c>
    </x:row>
    <x:row r="5190">
      <x:c r="B5190" s="21" t="str">
        <x:v>A05184</x:v>
      </x:c>
      <x:c r="C5190" s="21" t="str">
        <x:v>baseline</x:v>
      </x:c>
      <x:c r="D5190" s="21" t="str">
        <x:v>baseline 300 planning state</x:v>
      </x:c>
      <x:c r="E5190" s="21" t="n">
        <x:f>IF(AND('Baseline Register'!G306="0.0.0",'Baseline Register'!I306="OPEN",'Baseline Register'!J306="HOLD"),1,0)</x:f>
        <x:v>1</x:v>
      </x:c>
      <x:c r="F5190" s="21" t="n">
        <x:v>1</x:v>
      </x:c>
      <x:c r="G5190" s="23" t="str">
        <x:f>IF(E5190=F5190,"PASS","FAIL")</x:f>
        <x:v>PASS</x:v>
      </x:c>
    </x:row>
    <x:row r="5191">
      <x:c r="B5191" s="21" t="str">
        <x:v>A05185</x:v>
      </x:c>
      <x:c r="C5191" s="21" t="str">
        <x:v>baseline</x:v>
      </x:c>
      <x:c r="D5191" s="21" t="str">
        <x:v>baseline 301 planning state</x:v>
      </x:c>
      <x:c r="E5191" s="21" t="n">
        <x:f>IF(AND('Baseline Register'!G307="0.0.0",'Baseline Register'!I307="OPEN",'Baseline Register'!J307="HOLD"),1,0)</x:f>
        <x:v>1</x:v>
      </x:c>
      <x:c r="F5191" s="21" t="n">
        <x:v>1</x:v>
      </x:c>
      <x:c r="G5191" s="23" t="str">
        <x:f>IF(E5191=F5191,"PASS","FAIL")</x:f>
        <x:v>PASS</x:v>
      </x:c>
    </x:row>
    <x:row r="5192">
      <x:c r="B5192" s="21" t="str">
        <x:v>A05186</x:v>
      </x:c>
      <x:c r="C5192" s="21" t="str">
        <x:v>baseline</x:v>
      </x:c>
      <x:c r="D5192" s="21" t="str">
        <x:v>baseline 302 planning state</x:v>
      </x:c>
      <x:c r="E5192" s="21" t="n">
        <x:f>IF(AND('Baseline Register'!G308="0.0.0",'Baseline Register'!I308="OPEN",'Baseline Register'!J308="HOLD"),1,0)</x:f>
        <x:v>1</x:v>
      </x:c>
      <x:c r="F5192" s="21" t="n">
        <x:v>1</x:v>
      </x:c>
      <x:c r="G5192" s="23" t="str">
        <x:f>IF(E5192=F5192,"PASS","FAIL")</x:f>
        <x:v>PASS</x:v>
      </x:c>
    </x:row>
    <x:row r="5193">
      <x:c r="B5193" s="21" t="str">
        <x:v>A05187</x:v>
      </x:c>
      <x:c r="C5193" s="21" t="str">
        <x:v>baseline</x:v>
      </x:c>
      <x:c r="D5193" s="21" t="str">
        <x:v>baseline 303 planning state</x:v>
      </x:c>
      <x:c r="E5193" s="21" t="n">
        <x:f>IF(AND('Baseline Register'!G309="0.0.0",'Baseline Register'!I309="OPEN",'Baseline Register'!J309="HOLD"),1,0)</x:f>
        <x:v>1</x:v>
      </x:c>
      <x:c r="F5193" s="21" t="n">
        <x:v>1</x:v>
      </x:c>
      <x:c r="G5193" s="23" t="str">
        <x:f>IF(E5193=F5193,"PASS","FAIL")</x:f>
        <x:v>PASS</x:v>
      </x:c>
    </x:row>
    <x:row r="5194">
      <x:c r="B5194" s="21" t="str">
        <x:v>A05188</x:v>
      </x:c>
      <x:c r="C5194" s="21" t="str">
        <x:v>baseline</x:v>
      </x:c>
      <x:c r="D5194" s="21" t="str">
        <x:v>baseline 304 planning state</x:v>
      </x:c>
      <x:c r="E5194" s="21" t="n">
        <x:f>IF(AND('Baseline Register'!G310="0.0.0",'Baseline Register'!I310="OPEN",'Baseline Register'!J310="HOLD"),1,0)</x:f>
        <x:v>1</x:v>
      </x:c>
      <x:c r="F5194" s="21" t="n">
        <x:v>1</x:v>
      </x:c>
      <x:c r="G5194" s="23" t="str">
        <x:f>IF(E5194=F5194,"PASS","FAIL")</x:f>
        <x:v>PASS</x:v>
      </x:c>
    </x:row>
    <x:row r="5195">
      <x:c r="B5195" s="21" t="str">
        <x:v>A05189</x:v>
      </x:c>
      <x:c r="C5195" s="21" t="str">
        <x:v>baseline</x:v>
      </x:c>
      <x:c r="D5195" s="21" t="str">
        <x:v>baseline 305 planning state</x:v>
      </x:c>
      <x:c r="E5195" s="21" t="n">
        <x:f>IF(AND('Baseline Register'!G311="0.0.0",'Baseline Register'!I311="OPEN",'Baseline Register'!J311="HOLD"),1,0)</x:f>
        <x:v>1</x:v>
      </x:c>
      <x:c r="F5195" s="21" t="n">
        <x:v>1</x:v>
      </x:c>
      <x:c r="G5195" s="23" t="str">
        <x:f>IF(E5195=F5195,"PASS","FAIL")</x:f>
        <x:v>PASS</x:v>
      </x:c>
    </x:row>
    <x:row r="5196">
      <x:c r="B5196" s="21" t="str">
        <x:v>A05190</x:v>
      </x:c>
      <x:c r="C5196" s="21" t="str">
        <x:v>baseline</x:v>
      </x:c>
      <x:c r="D5196" s="21" t="str">
        <x:v>baseline 306 planning state</x:v>
      </x:c>
      <x:c r="E5196" s="21" t="n">
        <x:f>IF(AND('Baseline Register'!G312="0.0.0",'Baseline Register'!I312="OPEN",'Baseline Register'!J312="HOLD"),1,0)</x:f>
        <x:v>1</x:v>
      </x:c>
      <x:c r="F5196" s="21" t="n">
        <x:v>1</x:v>
      </x:c>
      <x:c r="G5196" s="23" t="str">
        <x:f>IF(E5196=F5196,"PASS","FAIL")</x:f>
        <x:v>PASS</x:v>
      </x:c>
    </x:row>
    <x:row r="5197">
      <x:c r="B5197" s="21" t="str">
        <x:v>A05191</x:v>
      </x:c>
      <x:c r="C5197" s="21" t="str">
        <x:v>baseline</x:v>
      </x:c>
      <x:c r="D5197" s="21" t="str">
        <x:v>baseline 307 planning state</x:v>
      </x:c>
      <x:c r="E5197" s="21" t="n">
        <x:f>IF(AND('Baseline Register'!G313="0.0.0",'Baseline Register'!I313="OPEN",'Baseline Register'!J313="HOLD"),1,0)</x:f>
        <x:v>1</x:v>
      </x:c>
      <x:c r="F5197" s="21" t="n">
        <x:v>1</x:v>
      </x:c>
      <x:c r="G5197" s="23" t="str">
        <x:f>IF(E5197=F5197,"PASS","FAIL")</x:f>
        <x:v>PASS</x:v>
      </x:c>
    </x:row>
    <x:row r="5198">
      <x:c r="B5198" s="21" t="str">
        <x:v>A05192</x:v>
      </x:c>
      <x:c r="C5198" s="21" t="str">
        <x:v>baseline</x:v>
      </x:c>
      <x:c r="D5198" s="21" t="str">
        <x:v>baseline 308 planning state</x:v>
      </x:c>
      <x:c r="E5198" s="21" t="n">
        <x:f>IF(AND('Baseline Register'!G314="0.0.0",'Baseline Register'!I314="OPEN",'Baseline Register'!J314="HOLD"),1,0)</x:f>
        <x:v>1</x:v>
      </x:c>
      <x:c r="F5198" s="21" t="n">
        <x:v>1</x:v>
      </x:c>
      <x:c r="G5198" s="23" t="str">
        <x:f>IF(E5198=F5198,"PASS","FAIL")</x:f>
        <x:v>PASS</x:v>
      </x:c>
    </x:row>
    <x:row r="5199">
      <x:c r="B5199" s="21" t="str">
        <x:v>A05193</x:v>
      </x:c>
      <x:c r="C5199" s="21" t="str">
        <x:v>baseline</x:v>
      </x:c>
      <x:c r="D5199" s="21" t="str">
        <x:v>baseline 309 planning state</x:v>
      </x:c>
      <x:c r="E5199" s="21" t="n">
        <x:f>IF(AND('Baseline Register'!G315="0.0.0",'Baseline Register'!I315="OPEN",'Baseline Register'!J315="HOLD"),1,0)</x:f>
        <x:v>1</x:v>
      </x:c>
      <x:c r="F5199" s="21" t="n">
        <x:v>1</x:v>
      </x:c>
      <x:c r="G5199" s="23" t="str">
        <x:f>IF(E5199=F5199,"PASS","FAIL")</x:f>
        <x:v>PASS</x:v>
      </x:c>
    </x:row>
    <x:row r="5200">
      <x:c r="B5200" s="21" t="str">
        <x:v>A05194</x:v>
      </x:c>
      <x:c r="C5200" s="21" t="str">
        <x:v>baseline</x:v>
      </x:c>
      <x:c r="D5200" s="21" t="str">
        <x:v>baseline 310 planning state</x:v>
      </x:c>
      <x:c r="E5200" s="21" t="n">
        <x:f>IF(AND('Baseline Register'!G316="0.0.0",'Baseline Register'!I316="OPEN",'Baseline Register'!J316="HOLD"),1,0)</x:f>
        <x:v>1</x:v>
      </x:c>
      <x:c r="F5200" s="21" t="n">
        <x:v>1</x:v>
      </x:c>
      <x:c r="G5200" s="23" t="str">
        <x:f>IF(E5200=F5200,"PASS","FAIL")</x:f>
        <x:v>PASS</x:v>
      </x:c>
    </x:row>
    <x:row r="5201">
      <x:c r="B5201" s="21" t="str">
        <x:v>A05195</x:v>
      </x:c>
      <x:c r="C5201" s="21" t="str">
        <x:v>baseline</x:v>
      </x:c>
      <x:c r="D5201" s="21" t="str">
        <x:v>baseline 311 planning state</x:v>
      </x:c>
      <x:c r="E5201" s="21" t="n">
        <x:f>IF(AND('Baseline Register'!G317="0.0.0",'Baseline Register'!I317="OPEN",'Baseline Register'!J317="HOLD"),1,0)</x:f>
        <x:v>1</x:v>
      </x:c>
      <x:c r="F5201" s="21" t="n">
        <x:v>1</x:v>
      </x:c>
      <x:c r="G5201" s="23" t="str">
        <x:f>IF(E5201=F5201,"PASS","FAIL")</x:f>
        <x:v>PASS</x:v>
      </x:c>
    </x:row>
    <x:row r="5202">
      <x:c r="B5202" s="21" t="str">
        <x:v>A05196</x:v>
      </x:c>
      <x:c r="C5202" s="21" t="str">
        <x:v>baseline</x:v>
      </x:c>
      <x:c r="D5202" s="21" t="str">
        <x:v>baseline 312 planning state</x:v>
      </x:c>
      <x:c r="E5202" s="21" t="n">
        <x:f>IF(AND('Baseline Register'!G318="0.0.0",'Baseline Register'!I318="OPEN",'Baseline Register'!J318="HOLD"),1,0)</x:f>
        <x:v>1</x:v>
      </x:c>
      <x:c r="F5202" s="21" t="n">
        <x:v>1</x:v>
      </x:c>
      <x:c r="G5202" s="23" t="str">
        <x:f>IF(E5202=F5202,"PASS","FAIL")</x:f>
        <x:v>PASS</x:v>
      </x:c>
    </x:row>
    <x:row r="5203">
      <x:c r="B5203" s="21" t="str">
        <x:v>A05197</x:v>
      </x:c>
      <x:c r="C5203" s="21" t="str">
        <x:v>baseline</x:v>
      </x:c>
      <x:c r="D5203" s="21" t="str">
        <x:v>baseline 313 planning state</x:v>
      </x:c>
      <x:c r="E5203" s="21" t="n">
        <x:f>IF(AND('Baseline Register'!G319="0.0.0",'Baseline Register'!I319="OPEN",'Baseline Register'!J319="HOLD"),1,0)</x:f>
        <x:v>1</x:v>
      </x:c>
      <x:c r="F5203" s="21" t="n">
        <x:v>1</x:v>
      </x:c>
      <x:c r="G5203" s="23" t="str">
        <x:f>IF(E5203=F5203,"PASS","FAIL")</x:f>
        <x:v>PASS</x:v>
      </x:c>
    </x:row>
    <x:row r="5204">
      <x:c r="B5204" s="21" t="str">
        <x:v>A05198</x:v>
      </x:c>
      <x:c r="C5204" s="21" t="str">
        <x:v>baseline</x:v>
      </x:c>
      <x:c r="D5204" s="21" t="str">
        <x:v>baseline 314 planning state</x:v>
      </x:c>
      <x:c r="E5204" s="21" t="n">
        <x:f>IF(AND('Baseline Register'!G320="0.0.0",'Baseline Register'!I320="OPEN",'Baseline Register'!J320="HOLD"),1,0)</x:f>
        <x:v>1</x:v>
      </x:c>
      <x:c r="F5204" s="21" t="n">
        <x:v>1</x:v>
      </x:c>
      <x:c r="G5204" s="23" t="str">
        <x:f>IF(E5204=F5204,"PASS","FAIL")</x:f>
        <x:v>PASS</x:v>
      </x:c>
    </x:row>
    <x:row r="5205">
      <x:c r="B5205" s="21" t="str">
        <x:v>A05199</x:v>
      </x:c>
      <x:c r="C5205" s="21" t="str">
        <x:v>baseline</x:v>
      </x:c>
      <x:c r="D5205" s="21" t="str">
        <x:v>baseline 315 planning state</x:v>
      </x:c>
      <x:c r="E5205" s="21" t="n">
        <x:f>IF(AND('Baseline Register'!G321="0.0.0",'Baseline Register'!I321="OPEN",'Baseline Register'!J321="HOLD"),1,0)</x:f>
        <x:v>1</x:v>
      </x:c>
      <x:c r="F5205" s="21" t="n">
        <x:v>1</x:v>
      </x:c>
      <x:c r="G5205" s="23" t="str">
        <x:f>IF(E5205=F5205,"PASS","FAIL")</x:f>
        <x:v>PASS</x:v>
      </x:c>
    </x:row>
    <x:row r="5206">
      <x:c r="B5206" s="21" t="str">
        <x:v>A05200</x:v>
      </x:c>
      <x:c r="C5206" s="21" t="str">
        <x:v>baseline</x:v>
      </x:c>
      <x:c r="D5206" s="21" t="str">
        <x:v>baseline 316 planning state</x:v>
      </x:c>
      <x:c r="E5206" s="21" t="n">
        <x:f>IF(AND('Baseline Register'!G322="0.0.0",'Baseline Register'!I322="OPEN",'Baseline Register'!J322="HOLD"),1,0)</x:f>
        <x:v>1</x:v>
      </x:c>
      <x:c r="F5206" s="21" t="n">
        <x:v>1</x:v>
      </x:c>
      <x:c r="G5206" s="23" t="str">
        <x:f>IF(E5206=F5206,"PASS","FAIL")</x:f>
        <x:v>PASS</x:v>
      </x:c>
    </x:row>
    <x:row r="5207">
      <x:c r="B5207" s="21" t="str">
        <x:v>A05201</x:v>
      </x:c>
      <x:c r="C5207" s="21" t="str">
        <x:v>baseline</x:v>
      </x:c>
      <x:c r="D5207" s="21" t="str">
        <x:v>baseline 317 planning state</x:v>
      </x:c>
      <x:c r="E5207" s="21" t="n">
        <x:f>IF(AND('Baseline Register'!G323="0.0.0",'Baseline Register'!I323="OPEN",'Baseline Register'!J323="HOLD"),1,0)</x:f>
        <x:v>1</x:v>
      </x:c>
      <x:c r="F5207" s="21" t="n">
        <x:v>1</x:v>
      </x:c>
      <x:c r="G5207" s="23" t="str">
        <x:f>IF(E5207=F5207,"PASS","FAIL")</x:f>
        <x:v>PASS</x:v>
      </x:c>
    </x:row>
    <x:row r="5208">
      <x:c r="B5208" s="21" t="str">
        <x:v>A05202</x:v>
      </x:c>
      <x:c r="C5208" s="21" t="str">
        <x:v>baseline</x:v>
      </x:c>
      <x:c r="D5208" s="21" t="str">
        <x:v>baseline 318 planning state</x:v>
      </x:c>
      <x:c r="E5208" s="21" t="n">
        <x:f>IF(AND('Baseline Register'!G324="0.0.0",'Baseline Register'!I324="OPEN",'Baseline Register'!J324="HOLD"),1,0)</x:f>
        <x:v>1</x:v>
      </x:c>
      <x:c r="F5208" s="21" t="n">
        <x:v>1</x:v>
      </x:c>
      <x:c r="G5208" s="23" t="str">
        <x:f>IF(E5208=F5208,"PASS","FAIL")</x:f>
        <x:v>PASS</x:v>
      </x:c>
    </x:row>
    <x:row r="5209">
      <x:c r="B5209" s="21" t="str">
        <x:v>A05203</x:v>
      </x:c>
      <x:c r="C5209" s="21" t="str">
        <x:v>baseline</x:v>
      </x:c>
      <x:c r="D5209" s="21" t="str">
        <x:v>baseline 319 planning state</x:v>
      </x:c>
      <x:c r="E5209" s="21" t="n">
        <x:f>IF(AND('Baseline Register'!G325="0.0.0",'Baseline Register'!I325="OPEN",'Baseline Register'!J325="HOLD"),1,0)</x:f>
        <x:v>1</x:v>
      </x:c>
      <x:c r="F5209" s="21" t="n">
        <x:v>1</x:v>
      </x:c>
      <x:c r="G5209" s="23" t="str">
        <x:f>IF(E5209=F5209,"PASS","FAIL")</x:f>
        <x:v>PASS</x:v>
      </x:c>
    </x:row>
    <x:row r="5210">
      <x:c r="B5210" s="21" t="str">
        <x:v>A05204</x:v>
      </x:c>
      <x:c r="C5210" s="21" t="str">
        <x:v>baseline</x:v>
      </x:c>
      <x:c r="D5210" s="21" t="str">
        <x:v>baseline 320 planning state</x:v>
      </x:c>
      <x:c r="E5210" s="21" t="n">
        <x:f>IF(AND('Baseline Register'!G326="0.0.0",'Baseline Register'!I326="OPEN",'Baseline Register'!J326="HOLD"),1,0)</x:f>
        <x:v>1</x:v>
      </x:c>
      <x:c r="F5210" s="21" t="n">
        <x:v>1</x:v>
      </x:c>
      <x:c r="G5210" s="23" t="str">
        <x:f>IF(E5210=F5210,"PASS","FAIL")</x:f>
        <x:v>PASS</x:v>
      </x:c>
    </x:row>
    <x:row r="5211">
      <x:c r="B5211" s="21" t="str">
        <x:v>A05205</x:v>
      </x:c>
      <x:c r="C5211" s="21" t="str">
        <x:v>baseline</x:v>
      </x:c>
      <x:c r="D5211" s="21" t="str">
        <x:v>baseline 321 planning state</x:v>
      </x:c>
      <x:c r="E5211" s="21" t="n">
        <x:f>IF(AND('Baseline Register'!G327="0.0.0",'Baseline Register'!I327="OPEN",'Baseline Register'!J327="HOLD"),1,0)</x:f>
        <x:v>1</x:v>
      </x:c>
      <x:c r="F5211" s="21" t="n">
        <x:v>1</x:v>
      </x:c>
      <x:c r="G5211" s="23" t="str">
        <x:f>IF(E5211=F5211,"PASS","FAIL")</x:f>
        <x:v>PASS</x:v>
      </x:c>
    </x:row>
    <x:row r="5212">
      <x:c r="B5212" s="21" t="str">
        <x:v>A05206</x:v>
      </x:c>
      <x:c r="C5212" s="21" t="str">
        <x:v>baseline</x:v>
      </x:c>
      <x:c r="D5212" s="21" t="str">
        <x:v>baseline 322 planning state</x:v>
      </x:c>
      <x:c r="E5212" s="21" t="n">
        <x:f>IF(AND('Baseline Register'!G328="0.0.0",'Baseline Register'!I328="OPEN",'Baseline Register'!J328="HOLD"),1,0)</x:f>
        <x:v>1</x:v>
      </x:c>
      <x:c r="F5212" s="21" t="n">
        <x:v>1</x:v>
      </x:c>
      <x:c r="G5212" s="23" t="str">
        <x:f>IF(E5212=F5212,"PASS","FAIL")</x:f>
        <x:v>PASS</x:v>
      </x:c>
    </x:row>
    <x:row r="5213">
      <x:c r="B5213" s="21" t="str">
        <x:v>A05207</x:v>
      </x:c>
      <x:c r="C5213" s="21" t="str">
        <x:v>baseline</x:v>
      </x:c>
      <x:c r="D5213" s="21" t="str">
        <x:v>baseline 323 planning state</x:v>
      </x:c>
      <x:c r="E5213" s="21" t="n">
        <x:f>IF(AND('Baseline Register'!G329="0.0.0",'Baseline Register'!I329="OPEN",'Baseline Register'!J329="HOLD"),1,0)</x:f>
        <x:v>1</x:v>
      </x:c>
      <x:c r="F5213" s="21" t="n">
        <x:v>1</x:v>
      </x:c>
      <x:c r="G5213" s="23" t="str">
        <x:f>IF(E5213=F5213,"PASS","FAIL")</x:f>
        <x:v>PASS</x:v>
      </x:c>
    </x:row>
    <x:row r="5214">
      <x:c r="B5214" s="21" t="str">
        <x:v>A05208</x:v>
      </x:c>
      <x:c r="C5214" s="21" t="str">
        <x:v>baseline</x:v>
      </x:c>
      <x:c r="D5214" s="21" t="str">
        <x:v>baseline 324 planning state</x:v>
      </x:c>
      <x:c r="E5214" s="21" t="n">
        <x:f>IF(AND('Baseline Register'!G330="0.0.0",'Baseline Register'!I330="OPEN",'Baseline Register'!J330="HOLD"),1,0)</x:f>
        <x:v>1</x:v>
      </x:c>
      <x:c r="F5214" s="21" t="n">
        <x:v>1</x:v>
      </x:c>
      <x:c r="G5214" s="23" t="str">
        <x:f>IF(E5214=F5214,"PASS","FAIL")</x:f>
        <x:v>PASS</x:v>
      </x:c>
    </x:row>
    <x:row r="5215">
      <x:c r="B5215" s="21" t="str">
        <x:v>A05209</x:v>
      </x:c>
      <x:c r="C5215" s="21" t="str">
        <x:v>baseline</x:v>
      </x:c>
      <x:c r="D5215" s="21" t="str">
        <x:v>baseline 325 planning state</x:v>
      </x:c>
      <x:c r="E5215" s="21" t="n">
        <x:f>IF(AND('Baseline Register'!G331="0.0.0",'Baseline Register'!I331="OPEN",'Baseline Register'!J331="HOLD"),1,0)</x:f>
        <x:v>1</x:v>
      </x:c>
      <x:c r="F5215" s="21" t="n">
        <x:v>1</x:v>
      </x:c>
      <x:c r="G5215" s="23" t="str">
        <x:f>IF(E5215=F5215,"PASS","FAIL")</x:f>
        <x:v>PASS</x:v>
      </x:c>
    </x:row>
    <x:row r="5216">
      <x:c r="B5216" s="21" t="str">
        <x:v>A05210</x:v>
      </x:c>
      <x:c r="C5216" s="21" t="str">
        <x:v>baseline</x:v>
      </x:c>
      <x:c r="D5216" s="21" t="str">
        <x:v>baseline 326 planning state</x:v>
      </x:c>
      <x:c r="E5216" s="21" t="n">
        <x:f>IF(AND('Baseline Register'!G332="0.0.0",'Baseline Register'!I332="OPEN",'Baseline Register'!J332="HOLD"),1,0)</x:f>
        <x:v>1</x:v>
      </x:c>
      <x:c r="F5216" s="21" t="n">
        <x:v>1</x:v>
      </x:c>
      <x:c r="G5216" s="23" t="str">
        <x:f>IF(E5216=F5216,"PASS","FAIL")</x:f>
        <x:v>PASS</x:v>
      </x:c>
    </x:row>
    <x:row r="5217">
      <x:c r="B5217" s="21" t="str">
        <x:v>A05211</x:v>
      </x:c>
      <x:c r="C5217" s="21" t="str">
        <x:v>baseline</x:v>
      </x:c>
      <x:c r="D5217" s="21" t="str">
        <x:v>baseline 327 planning state</x:v>
      </x:c>
      <x:c r="E5217" s="21" t="n">
        <x:f>IF(AND('Baseline Register'!G333="0.0.0",'Baseline Register'!I333="OPEN",'Baseline Register'!J333="HOLD"),1,0)</x:f>
        <x:v>1</x:v>
      </x:c>
      <x:c r="F5217" s="21" t="n">
        <x:v>1</x:v>
      </x:c>
      <x:c r="G5217" s="23" t="str">
        <x:f>IF(E5217=F5217,"PASS","FAIL")</x:f>
        <x:v>PASS</x:v>
      </x:c>
    </x:row>
    <x:row r="5218">
      <x:c r="B5218" s="21" t="str">
        <x:v>A05212</x:v>
      </x:c>
      <x:c r="C5218" s="21" t="str">
        <x:v>baseline</x:v>
      </x:c>
      <x:c r="D5218" s="21" t="str">
        <x:v>baseline 328 planning state</x:v>
      </x:c>
      <x:c r="E5218" s="21" t="n">
        <x:f>IF(AND('Baseline Register'!G334="0.0.0",'Baseline Register'!I334="OPEN",'Baseline Register'!J334="HOLD"),1,0)</x:f>
        <x:v>1</x:v>
      </x:c>
      <x:c r="F5218" s="21" t="n">
        <x:v>1</x:v>
      </x:c>
      <x:c r="G5218" s="23" t="str">
        <x:f>IF(E5218=F5218,"PASS","FAIL")</x:f>
        <x:v>PASS</x:v>
      </x:c>
    </x:row>
    <x:row r="5219">
      <x:c r="B5219" s="21" t="str">
        <x:v>A05213</x:v>
      </x:c>
      <x:c r="C5219" s="21" t="str">
        <x:v>baseline</x:v>
      </x:c>
      <x:c r="D5219" s="21" t="str">
        <x:v>baseline 329 planning state</x:v>
      </x:c>
      <x:c r="E5219" s="21" t="n">
        <x:f>IF(AND('Baseline Register'!G335="0.0.0",'Baseline Register'!I335="OPEN",'Baseline Register'!J335="HOLD"),1,0)</x:f>
        <x:v>1</x:v>
      </x:c>
      <x:c r="F5219" s="21" t="n">
        <x:v>1</x:v>
      </x:c>
      <x:c r="G5219" s="23" t="str">
        <x:f>IF(E5219=F5219,"PASS","FAIL")</x:f>
        <x:v>PASS</x:v>
      </x:c>
    </x:row>
    <x:row r="5220">
      <x:c r="B5220" s="21" t="str">
        <x:v>A05214</x:v>
      </x:c>
      <x:c r="C5220" s="21" t="str">
        <x:v>baseline</x:v>
      </x:c>
      <x:c r="D5220" s="21" t="str">
        <x:v>baseline 330 planning state</x:v>
      </x:c>
      <x:c r="E5220" s="21" t="n">
        <x:f>IF(AND('Baseline Register'!G336="0.0.0",'Baseline Register'!I336="OPEN",'Baseline Register'!J336="HOLD"),1,0)</x:f>
        <x:v>1</x:v>
      </x:c>
      <x:c r="F5220" s="21" t="n">
        <x:v>1</x:v>
      </x:c>
      <x:c r="G5220" s="23" t="str">
        <x:f>IF(E5220=F5220,"PASS","FAIL")</x:f>
        <x:v>PASS</x:v>
      </x:c>
    </x:row>
    <x:row r="5221">
      <x:c r="B5221" s="21" t="str">
        <x:v>A05215</x:v>
      </x:c>
      <x:c r="C5221" s="21" t="str">
        <x:v>baseline</x:v>
      </x:c>
      <x:c r="D5221" s="21" t="str">
        <x:v>baseline 331 planning state</x:v>
      </x:c>
      <x:c r="E5221" s="21" t="n">
        <x:f>IF(AND('Baseline Register'!G337="0.0.0",'Baseline Register'!I337="OPEN",'Baseline Register'!J337="HOLD"),1,0)</x:f>
        <x:v>1</x:v>
      </x:c>
      <x:c r="F5221" s="21" t="n">
        <x:v>1</x:v>
      </x:c>
      <x:c r="G5221" s="23" t="str">
        <x:f>IF(E5221=F5221,"PASS","FAIL")</x:f>
        <x:v>PASS</x:v>
      </x:c>
    </x:row>
    <x:row r="5222">
      <x:c r="B5222" s="21" t="str">
        <x:v>A05216</x:v>
      </x:c>
      <x:c r="C5222" s="21" t="str">
        <x:v>baseline</x:v>
      </x:c>
      <x:c r="D5222" s="21" t="str">
        <x:v>baseline 332 planning state</x:v>
      </x:c>
      <x:c r="E5222" s="21" t="n">
        <x:f>IF(AND('Baseline Register'!G338="0.0.0",'Baseline Register'!I338="OPEN",'Baseline Register'!J338="HOLD"),1,0)</x:f>
        <x:v>1</x:v>
      </x:c>
      <x:c r="F5222" s="21" t="n">
        <x:v>1</x:v>
      </x:c>
      <x:c r="G5222" s="23" t="str">
        <x:f>IF(E5222=F5222,"PASS","FAIL")</x:f>
        <x:v>PASS</x:v>
      </x:c>
    </x:row>
    <x:row r="5223">
      <x:c r="B5223" s="21" t="str">
        <x:v>A05217</x:v>
      </x:c>
      <x:c r="C5223" s="21" t="str">
        <x:v>baseline</x:v>
      </x:c>
      <x:c r="D5223" s="21" t="str">
        <x:v>baseline 333 planning state</x:v>
      </x:c>
      <x:c r="E5223" s="21" t="n">
        <x:f>IF(AND('Baseline Register'!G339="0.0.0",'Baseline Register'!I339="OPEN",'Baseline Register'!J339="HOLD"),1,0)</x:f>
        <x:v>1</x:v>
      </x:c>
      <x:c r="F5223" s="21" t="n">
        <x:v>1</x:v>
      </x:c>
      <x:c r="G5223" s="23" t="str">
        <x:f>IF(E5223=F5223,"PASS","FAIL")</x:f>
        <x:v>PASS</x:v>
      </x:c>
    </x:row>
    <x:row r="5224">
      <x:c r="B5224" s="21" t="str">
        <x:v>A05218</x:v>
      </x:c>
      <x:c r="C5224" s="21" t="str">
        <x:v>baseline</x:v>
      </x:c>
      <x:c r="D5224" s="21" t="str">
        <x:v>baseline 334 planning state</x:v>
      </x:c>
      <x:c r="E5224" s="21" t="n">
        <x:f>IF(AND('Baseline Register'!G340="0.0.0",'Baseline Register'!I340="OPEN",'Baseline Register'!J340="HOLD"),1,0)</x:f>
        <x:v>1</x:v>
      </x:c>
      <x:c r="F5224" s="21" t="n">
        <x:v>1</x:v>
      </x:c>
      <x:c r="G5224" s="23" t="str">
        <x:f>IF(E5224=F5224,"PASS","FAIL")</x:f>
        <x:v>PASS</x:v>
      </x:c>
    </x:row>
    <x:row r="5225">
      <x:c r="B5225" s="21" t="str">
        <x:v>A05219</x:v>
      </x:c>
      <x:c r="C5225" s="21" t="str">
        <x:v>baseline</x:v>
      </x:c>
      <x:c r="D5225" s="21" t="str">
        <x:v>baseline 335 planning state</x:v>
      </x:c>
      <x:c r="E5225" s="21" t="n">
        <x:f>IF(AND('Baseline Register'!G341="0.0.0",'Baseline Register'!I341="OPEN",'Baseline Register'!J341="HOLD"),1,0)</x:f>
        <x:v>1</x:v>
      </x:c>
      <x:c r="F5225" s="21" t="n">
        <x:v>1</x:v>
      </x:c>
      <x:c r="G5225" s="23" t="str">
        <x:f>IF(E5225=F5225,"PASS","FAIL")</x:f>
        <x:v>PASS</x:v>
      </x:c>
    </x:row>
    <x:row r="5226">
      <x:c r="B5226" s="21" t="str">
        <x:v>A05220</x:v>
      </x:c>
      <x:c r="C5226" s="21" t="str">
        <x:v>baseline</x:v>
      </x:c>
      <x:c r="D5226" s="21" t="str">
        <x:v>baseline 336 planning state</x:v>
      </x:c>
      <x:c r="E5226" s="21" t="n">
        <x:f>IF(AND('Baseline Register'!G342="0.0.0",'Baseline Register'!I342="OPEN",'Baseline Register'!J342="HOLD"),1,0)</x:f>
        <x:v>1</x:v>
      </x:c>
      <x:c r="F5226" s="21" t="n">
        <x:v>1</x:v>
      </x:c>
      <x:c r="G5226" s="23" t="str">
        <x:f>IF(E5226=F5226,"PASS","FAIL")</x:f>
        <x:v>PASS</x:v>
      </x:c>
    </x:row>
    <x:row r="5227">
      <x:c r="B5227" s="21" t="str">
        <x:v>A05221</x:v>
      </x:c>
      <x:c r="C5227" s="21" t="str">
        <x:v>baseline</x:v>
      </x:c>
      <x:c r="D5227" s="21" t="str">
        <x:v>baseline 337 planning state</x:v>
      </x:c>
      <x:c r="E5227" s="21" t="n">
        <x:f>IF(AND('Baseline Register'!G343="0.0.0",'Baseline Register'!I343="OPEN",'Baseline Register'!J343="HOLD"),1,0)</x:f>
        <x:v>1</x:v>
      </x:c>
      <x:c r="F5227" s="21" t="n">
        <x:v>1</x:v>
      </x:c>
      <x:c r="G5227" s="23" t="str">
        <x:f>IF(E5227=F5227,"PASS","FAIL")</x:f>
        <x:v>PASS</x:v>
      </x:c>
    </x:row>
    <x:row r="5228">
      <x:c r="B5228" s="21" t="str">
        <x:v>A05222</x:v>
      </x:c>
      <x:c r="C5228" s="21" t="str">
        <x:v>baseline</x:v>
      </x:c>
      <x:c r="D5228" s="21" t="str">
        <x:v>baseline 338 planning state</x:v>
      </x:c>
      <x:c r="E5228" s="21" t="n">
        <x:f>IF(AND('Baseline Register'!G344="0.0.0",'Baseline Register'!I344="OPEN",'Baseline Register'!J344="HOLD"),1,0)</x:f>
        <x:v>1</x:v>
      </x:c>
      <x:c r="F5228" s="21" t="n">
        <x:v>1</x:v>
      </x:c>
      <x:c r="G5228" s="23" t="str">
        <x:f>IF(E5228=F5228,"PASS","FAIL")</x:f>
        <x:v>PASS</x:v>
      </x:c>
    </x:row>
    <x:row r="5229">
      <x:c r="B5229" s="21" t="str">
        <x:v>A05223</x:v>
      </x:c>
      <x:c r="C5229" s="21" t="str">
        <x:v>baseline</x:v>
      </x:c>
      <x:c r="D5229" s="21" t="str">
        <x:v>baseline 339 planning state</x:v>
      </x:c>
      <x:c r="E5229" s="21" t="n">
        <x:f>IF(AND('Baseline Register'!G345="0.0.0",'Baseline Register'!I345="OPEN",'Baseline Register'!J345="HOLD"),1,0)</x:f>
        <x:v>1</x:v>
      </x:c>
      <x:c r="F5229" s="21" t="n">
        <x:v>1</x:v>
      </x:c>
      <x:c r="G5229" s="23" t="str">
        <x:f>IF(E5229=F5229,"PASS","FAIL")</x:f>
        <x:v>PASS</x:v>
      </x:c>
    </x:row>
    <x:row r="5230">
      <x:c r="B5230" s="21" t="str">
        <x:v>A05224</x:v>
      </x:c>
      <x:c r="C5230" s="21" t="str">
        <x:v>baseline</x:v>
      </x:c>
      <x:c r="D5230" s="21" t="str">
        <x:v>baseline 340 planning state</x:v>
      </x:c>
      <x:c r="E5230" s="21" t="n">
        <x:f>IF(AND('Baseline Register'!G346="0.0.0",'Baseline Register'!I346="OPEN",'Baseline Register'!J346="HOLD"),1,0)</x:f>
        <x:v>1</x:v>
      </x:c>
      <x:c r="F5230" s="21" t="n">
        <x:v>1</x:v>
      </x:c>
      <x:c r="G5230" s="23" t="str">
        <x:f>IF(E5230=F5230,"PASS","FAIL")</x:f>
        <x:v>PASS</x:v>
      </x:c>
    </x:row>
    <x:row r="5231">
      <x:c r="B5231" s="21" t="str">
        <x:v>A05225</x:v>
      </x:c>
      <x:c r="C5231" s="21" t="str">
        <x:v>baseline</x:v>
      </x:c>
      <x:c r="D5231" s="21" t="str">
        <x:v>baseline 341 planning state</x:v>
      </x:c>
      <x:c r="E5231" s="21" t="n">
        <x:f>IF(AND('Baseline Register'!G347="0.0.0",'Baseline Register'!I347="OPEN",'Baseline Register'!J347="HOLD"),1,0)</x:f>
        <x:v>1</x:v>
      </x:c>
      <x:c r="F5231" s="21" t="n">
        <x:v>1</x:v>
      </x:c>
      <x:c r="G5231" s="23" t="str">
        <x:f>IF(E5231=F5231,"PASS","FAIL")</x:f>
        <x:v>PASS</x:v>
      </x:c>
    </x:row>
    <x:row r="5232">
      <x:c r="B5232" s="21" t="str">
        <x:v>A05226</x:v>
      </x:c>
      <x:c r="C5232" s="21" t="str">
        <x:v>baseline</x:v>
      </x:c>
      <x:c r="D5232" s="21" t="str">
        <x:v>baseline 342 planning state</x:v>
      </x:c>
      <x:c r="E5232" s="21" t="n">
        <x:f>IF(AND('Baseline Register'!G348="0.0.0",'Baseline Register'!I348="OPEN",'Baseline Register'!J348="HOLD"),1,0)</x:f>
        <x:v>1</x:v>
      </x:c>
      <x:c r="F5232" s="21" t="n">
        <x:v>1</x:v>
      </x:c>
      <x:c r="G5232" s="23" t="str">
        <x:f>IF(E5232=F5232,"PASS","FAIL")</x:f>
        <x:v>PASS</x:v>
      </x:c>
    </x:row>
    <x:row r="5233">
      <x:c r="B5233" s="21" t="str">
        <x:v>A05227</x:v>
      </x:c>
      <x:c r="C5233" s="21" t="str">
        <x:v>baseline</x:v>
      </x:c>
      <x:c r="D5233" s="21" t="str">
        <x:v>baseline 343 planning state</x:v>
      </x:c>
      <x:c r="E5233" s="21" t="n">
        <x:f>IF(AND('Baseline Register'!G349="0.0.0",'Baseline Register'!I349="OPEN",'Baseline Register'!J349="HOLD"),1,0)</x:f>
        <x:v>1</x:v>
      </x:c>
      <x:c r="F5233" s="21" t="n">
        <x:v>1</x:v>
      </x:c>
      <x:c r="G5233" s="23" t="str">
        <x:f>IF(E5233=F5233,"PASS","FAIL")</x:f>
        <x:v>PASS</x:v>
      </x:c>
    </x:row>
    <x:row r="5234">
      <x:c r="B5234" s="21" t="str">
        <x:v>A05228</x:v>
      </x:c>
      <x:c r="C5234" s="21" t="str">
        <x:v>baseline</x:v>
      </x:c>
      <x:c r="D5234" s="21" t="str">
        <x:v>baseline 344 planning state</x:v>
      </x:c>
      <x:c r="E5234" s="21" t="n">
        <x:f>IF(AND('Baseline Register'!G350="0.0.0",'Baseline Register'!I350="OPEN",'Baseline Register'!J350="HOLD"),1,0)</x:f>
        <x:v>1</x:v>
      </x:c>
      <x:c r="F5234" s="21" t="n">
        <x:v>1</x:v>
      </x:c>
      <x:c r="G5234" s="23" t="str">
        <x:f>IF(E5234=F5234,"PASS","FAIL")</x:f>
        <x:v>PASS</x:v>
      </x:c>
    </x:row>
    <x:row r="5235">
      <x:c r="B5235" s="21" t="str">
        <x:v>A05229</x:v>
      </x:c>
      <x:c r="C5235" s="21" t="str">
        <x:v>baseline</x:v>
      </x:c>
      <x:c r="D5235" s="21" t="str">
        <x:v>baseline 345 planning state</x:v>
      </x:c>
      <x:c r="E5235" s="21" t="n">
        <x:f>IF(AND('Baseline Register'!G351="0.0.0",'Baseline Register'!I351="OPEN",'Baseline Register'!J351="HOLD"),1,0)</x:f>
        <x:v>1</x:v>
      </x:c>
      <x:c r="F5235" s="21" t="n">
        <x:v>1</x:v>
      </x:c>
      <x:c r="G5235" s="23" t="str">
        <x:f>IF(E5235=F5235,"PASS","FAIL")</x:f>
        <x:v>PASS</x:v>
      </x:c>
    </x:row>
    <x:row r="5236">
      <x:c r="B5236" s="21" t="str">
        <x:v>A05230</x:v>
      </x:c>
      <x:c r="C5236" s="21" t="str">
        <x:v>baseline</x:v>
      </x:c>
      <x:c r="D5236" s="21" t="str">
        <x:v>baseline 346 planning state</x:v>
      </x:c>
      <x:c r="E5236" s="21" t="n">
        <x:f>IF(AND('Baseline Register'!G352="0.0.0",'Baseline Register'!I352="OPEN",'Baseline Register'!J352="HOLD"),1,0)</x:f>
        <x:v>1</x:v>
      </x:c>
      <x:c r="F5236" s="21" t="n">
        <x:v>1</x:v>
      </x:c>
      <x:c r="G5236" s="23" t="str">
        <x:f>IF(E5236=F5236,"PASS","FAIL")</x:f>
        <x:v>PASS</x:v>
      </x:c>
    </x:row>
    <x:row r="5237">
      <x:c r="B5237" s="21" t="str">
        <x:v>A05231</x:v>
      </x:c>
      <x:c r="C5237" s="21" t="str">
        <x:v>baseline</x:v>
      </x:c>
      <x:c r="D5237" s="21" t="str">
        <x:v>baseline 347 planning state</x:v>
      </x:c>
      <x:c r="E5237" s="21" t="n">
        <x:f>IF(AND('Baseline Register'!G353="0.0.0",'Baseline Register'!I353="OPEN",'Baseline Register'!J353="HOLD"),1,0)</x:f>
        <x:v>1</x:v>
      </x:c>
      <x:c r="F5237" s="21" t="n">
        <x:v>1</x:v>
      </x:c>
      <x:c r="G5237" s="23" t="str">
        <x:f>IF(E5237=F5237,"PASS","FAIL")</x:f>
        <x:v>PASS</x:v>
      </x:c>
    </x:row>
    <x:row r="5238">
      <x:c r="B5238" s="21" t="str">
        <x:v>A05232</x:v>
      </x:c>
      <x:c r="C5238" s="21" t="str">
        <x:v>baseline</x:v>
      </x:c>
      <x:c r="D5238" s="21" t="str">
        <x:v>baseline 348 planning state</x:v>
      </x:c>
      <x:c r="E5238" s="21" t="n">
        <x:f>IF(AND('Baseline Register'!G354="0.0.0",'Baseline Register'!I354="OPEN",'Baseline Register'!J354="HOLD"),1,0)</x:f>
        <x:v>1</x:v>
      </x:c>
      <x:c r="F5238" s="21" t="n">
        <x:v>1</x:v>
      </x:c>
      <x:c r="G5238" s="23" t="str">
        <x:f>IF(E5238=F5238,"PASS","FAIL")</x:f>
        <x:v>PASS</x:v>
      </x:c>
    </x:row>
    <x:row r="5239">
      <x:c r="B5239" s="21" t="str">
        <x:v>A05233</x:v>
      </x:c>
      <x:c r="C5239" s="21" t="str">
        <x:v>baseline</x:v>
      </x:c>
      <x:c r="D5239" s="21" t="str">
        <x:v>baseline 349 planning state</x:v>
      </x:c>
      <x:c r="E5239" s="21" t="n">
        <x:f>IF(AND('Baseline Register'!G355="0.0.0",'Baseline Register'!I355="OPEN",'Baseline Register'!J355="HOLD"),1,0)</x:f>
        <x:v>1</x:v>
      </x:c>
      <x:c r="F5239" s="21" t="n">
        <x:v>1</x:v>
      </x:c>
      <x:c r="G5239" s="23" t="str">
        <x:f>IF(E5239=F5239,"PASS","FAIL")</x:f>
        <x:v>PASS</x:v>
      </x:c>
    </x:row>
    <x:row r="5240">
      <x:c r="B5240" s="21" t="str">
        <x:v>A05234</x:v>
      </x:c>
      <x:c r="C5240" s="21" t="str">
        <x:v>baseline</x:v>
      </x:c>
      <x:c r="D5240" s="21" t="str">
        <x:v>baseline 350 planning state</x:v>
      </x:c>
      <x:c r="E5240" s="21" t="n">
        <x:f>IF(AND('Baseline Register'!G356="0.0.0",'Baseline Register'!I356="OPEN",'Baseline Register'!J356="HOLD"),1,0)</x:f>
        <x:v>1</x:v>
      </x:c>
      <x:c r="F5240" s="21" t="n">
        <x:v>1</x:v>
      </x:c>
      <x:c r="G5240" s="23" t="str">
        <x:f>IF(E5240=F5240,"PASS","FAIL")</x:f>
        <x:v>PASS</x:v>
      </x:c>
    </x:row>
    <x:row r="5241">
      <x:c r="B5241" s="21" t="str">
        <x:v>A05235</x:v>
      </x:c>
      <x:c r="C5241" s="21" t="str">
        <x:v>baseline</x:v>
      </x:c>
      <x:c r="D5241" s="21" t="str">
        <x:v>baseline 351 planning state</x:v>
      </x:c>
      <x:c r="E5241" s="21" t="n">
        <x:f>IF(AND('Baseline Register'!G357="0.0.0",'Baseline Register'!I357="OPEN",'Baseline Register'!J357="HOLD"),1,0)</x:f>
        <x:v>1</x:v>
      </x:c>
      <x:c r="F5241" s="21" t="n">
        <x:v>1</x:v>
      </x:c>
      <x:c r="G5241" s="23" t="str">
        <x:f>IF(E5241=F5241,"PASS","FAIL")</x:f>
        <x:v>PASS</x:v>
      </x:c>
    </x:row>
    <x:row r="5242">
      <x:c r="B5242" s="21" t="str">
        <x:v>A05236</x:v>
      </x:c>
      <x:c r="C5242" s="21" t="str">
        <x:v>baseline</x:v>
      </x:c>
      <x:c r="D5242" s="21" t="str">
        <x:v>baseline 352 planning state</x:v>
      </x:c>
      <x:c r="E5242" s="21" t="n">
        <x:f>IF(AND('Baseline Register'!G358="0.0.0",'Baseline Register'!I358="OPEN",'Baseline Register'!J358="HOLD"),1,0)</x:f>
        <x:v>1</x:v>
      </x:c>
      <x:c r="F5242" s="21" t="n">
        <x:v>1</x:v>
      </x:c>
      <x:c r="G5242" s="23" t="str">
        <x:f>IF(E5242=F5242,"PASS","FAIL")</x:f>
        <x:v>PASS</x:v>
      </x:c>
    </x:row>
    <x:row r="5243">
      <x:c r="B5243" s="21" t="str">
        <x:v>A05237</x:v>
      </x:c>
      <x:c r="C5243" s="21" t="str">
        <x:v>baseline</x:v>
      </x:c>
      <x:c r="D5243" s="21" t="str">
        <x:v>baseline 353 planning state</x:v>
      </x:c>
      <x:c r="E5243" s="21" t="n">
        <x:f>IF(AND('Baseline Register'!G359="0.0.0",'Baseline Register'!I359="OPEN",'Baseline Register'!J359="HOLD"),1,0)</x:f>
        <x:v>1</x:v>
      </x:c>
      <x:c r="F5243" s="21" t="n">
        <x:v>1</x:v>
      </x:c>
      <x:c r="G5243" s="23" t="str">
        <x:f>IF(E5243=F5243,"PASS","FAIL")</x:f>
        <x:v>PASS</x:v>
      </x:c>
    </x:row>
    <x:row r="5244">
      <x:c r="B5244" s="21" t="str">
        <x:v>A05238</x:v>
      </x:c>
      <x:c r="C5244" s="21" t="str">
        <x:v>baseline</x:v>
      </x:c>
      <x:c r="D5244" s="21" t="str">
        <x:v>baseline 354 planning state</x:v>
      </x:c>
      <x:c r="E5244" s="21" t="n">
        <x:f>IF(AND('Baseline Register'!G360="0.0.0",'Baseline Register'!I360="OPEN",'Baseline Register'!J360="HOLD"),1,0)</x:f>
        <x:v>1</x:v>
      </x:c>
      <x:c r="F5244" s="21" t="n">
        <x:v>1</x:v>
      </x:c>
      <x:c r="G5244" s="23" t="str">
        <x:f>IF(E5244=F5244,"PASS","FAIL")</x:f>
        <x:v>PASS</x:v>
      </x:c>
    </x:row>
    <x:row r="5245">
      <x:c r="B5245" s="21" t="str">
        <x:v>A05239</x:v>
      </x:c>
      <x:c r="C5245" s="21" t="str">
        <x:v>baseline</x:v>
      </x:c>
      <x:c r="D5245" s="21" t="str">
        <x:v>baseline 355 planning state</x:v>
      </x:c>
      <x:c r="E5245" s="21" t="n">
        <x:f>IF(AND('Baseline Register'!G361="0.0.0",'Baseline Register'!I361="OPEN",'Baseline Register'!J361="HOLD"),1,0)</x:f>
        <x:v>1</x:v>
      </x:c>
      <x:c r="F5245" s="21" t="n">
        <x:v>1</x:v>
      </x:c>
      <x:c r="G5245" s="23" t="str">
        <x:f>IF(E5245=F5245,"PASS","FAIL")</x:f>
        <x:v>PASS</x:v>
      </x:c>
    </x:row>
    <x:row r="5246">
      <x:c r="B5246" s="21" t="str">
        <x:v>A05240</x:v>
      </x:c>
      <x:c r="C5246" s="21" t="str">
        <x:v>baseline</x:v>
      </x:c>
      <x:c r="D5246" s="21" t="str">
        <x:v>baseline 356 planning state</x:v>
      </x:c>
      <x:c r="E5246" s="21" t="n">
        <x:f>IF(AND('Baseline Register'!G362="0.0.0",'Baseline Register'!I362="OPEN",'Baseline Register'!J362="HOLD"),1,0)</x:f>
        <x:v>1</x:v>
      </x:c>
      <x:c r="F5246" s="21" t="n">
        <x:v>1</x:v>
      </x:c>
      <x:c r="G5246" s="23" t="str">
        <x:f>IF(E5246=F5246,"PASS","FAIL")</x:f>
        <x:v>PASS</x:v>
      </x:c>
    </x:row>
    <x:row r="5247">
      <x:c r="B5247" s="21" t="str">
        <x:v>A05241</x:v>
      </x:c>
      <x:c r="C5247" s="21" t="str">
        <x:v>baseline</x:v>
      </x:c>
      <x:c r="D5247" s="21" t="str">
        <x:v>baseline 357 planning state</x:v>
      </x:c>
      <x:c r="E5247" s="21" t="n">
        <x:f>IF(AND('Baseline Register'!G363="0.0.0",'Baseline Register'!I363="OPEN",'Baseline Register'!J363="HOLD"),1,0)</x:f>
        <x:v>1</x:v>
      </x:c>
      <x:c r="F5247" s="21" t="n">
        <x:v>1</x:v>
      </x:c>
      <x:c r="G5247" s="23" t="str">
        <x:f>IF(E5247=F5247,"PASS","FAIL")</x:f>
        <x:v>PASS</x:v>
      </x:c>
    </x:row>
    <x:row r="5248">
      <x:c r="B5248" s="21" t="str">
        <x:v>A05242</x:v>
      </x:c>
      <x:c r="C5248" s="21" t="str">
        <x:v>baseline</x:v>
      </x:c>
      <x:c r="D5248" s="21" t="str">
        <x:v>baseline 358 planning state</x:v>
      </x:c>
      <x:c r="E5248" s="21" t="n">
        <x:f>IF(AND('Baseline Register'!G364="0.0.0",'Baseline Register'!I364="OPEN",'Baseline Register'!J364="HOLD"),1,0)</x:f>
        <x:v>1</x:v>
      </x:c>
      <x:c r="F5248" s="21" t="n">
        <x:v>1</x:v>
      </x:c>
      <x:c r="G5248" s="23" t="str">
        <x:f>IF(E5248=F5248,"PASS","FAIL")</x:f>
        <x:v>PASS</x:v>
      </x:c>
    </x:row>
    <x:row r="5249">
      <x:c r="B5249" s="21" t="str">
        <x:v>A05243</x:v>
      </x:c>
      <x:c r="C5249" s="21" t="str">
        <x:v>baseline</x:v>
      </x:c>
      <x:c r="D5249" s="21" t="str">
        <x:v>baseline 359 planning state</x:v>
      </x:c>
      <x:c r="E5249" s="21" t="n">
        <x:f>IF(AND('Baseline Register'!G365="0.0.0",'Baseline Register'!I365="OPEN",'Baseline Register'!J365="HOLD"),1,0)</x:f>
        <x:v>1</x:v>
      </x:c>
      <x:c r="F5249" s="21" t="n">
        <x:v>1</x:v>
      </x:c>
      <x:c r="G5249" s="23" t="str">
        <x:f>IF(E5249=F5249,"PASS","FAIL")</x:f>
        <x:v>PASS</x:v>
      </x:c>
    </x:row>
    <x:row r="5250">
      <x:c r="B5250" s="21" t="str">
        <x:v>A05244</x:v>
      </x:c>
      <x:c r="C5250" s="21" t="str">
        <x:v>baseline</x:v>
      </x:c>
      <x:c r="D5250" s="21" t="str">
        <x:v>baseline 360 planning state</x:v>
      </x:c>
      <x:c r="E5250" s="21" t="n">
        <x:f>IF(AND('Baseline Register'!G366="0.0.0",'Baseline Register'!I366="OPEN",'Baseline Register'!J366="HOLD"),1,0)</x:f>
        <x:v>1</x:v>
      </x:c>
      <x:c r="F5250" s="21" t="n">
        <x:v>1</x:v>
      </x:c>
      <x:c r="G5250" s="23" t="str">
        <x:f>IF(E5250=F5250,"PASS","FAIL")</x:f>
        <x:v>PASS</x:v>
      </x:c>
    </x:row>
    <x:row r="5251">
      <x:c r="B5251" s="21" t="str">
        <x:v>A05245</x:v>
      </x:c>
      <x:c r="C5251" s="21" t="str">
        <x:v>baseline</x:v>
      </x:c>
      <x:c r="D5251" s="21" t="str">
        <x:v>baseline 361 planning state</x:v>
      </x:c>
      <x:c r="E5251" s="21" t="n">
        <x:f>IF(AND('Baseline Register'!G367="0.0.0",'Baseline Register'!I367="OPEN",'Baseline Register'!J367="HOLD"),1,0)</x:f>
        <x:v>1</x:v>
      </x:c>
      <x:c r="F5251" s="21" t="n">
        <x:v>1</x:v>
      </x:c>
      <x:c r="G5251" s="23" t="str">
        <x:f>IF(E5251=F5251,"PASS","FAIL")</x:f>
        <x:v>PASS</x:v>
      </x:c>
    </x:row>
    <x:row r="5252">
      <x:c r="B5252" s="21" t="str">
        <x:v>A05246</x:v>
      </x:c>
      <x:c r="C5252" s="21" t="str">
        <x:v>baseline</x:v>
      </x:c>
      <x:c r="D5252" s="21" t="str">
        <x:v>baseline 362 planning state</x:v>
      </x:c>
      <x:c r="E5252" s="21" t="n">
        <x:f>IF(AND('Baseline Register'!G368="0.0.0",'Baseline Register'!I368="OPEN",'Baseline Register'!J368="HOLD"),1,0)</x:f>
        <x:v>1</x:v>
      </x:c>
      <x:c r="F5252" s="21" t="n">
        <x:v>1</x:v>
      </x:c>
      <x:c r="G5252" s="23" t="str">
        <x:f>IF(E5252=F5252,"PASS","FAIL")</x:f>
        <x:v>PASS</x:v>
      </x:c>
    </x:row>
    <x:row r="5253">
      <x:c r="B5253" s="21" t="str">
        <x:v>A05247</x:v>
      </x:c>
      <x:c r="C5253" s="21" t="str">
        <x:v>baseline</x:v>
      </x:c>
      <x:c r="D5253" s="21" t="str">
        <x:v>baseline 363 planning state</x:v>
      </x:c>
      <x:c r="E5253" s="21" t="n">
        <x:f>IF(AND('Baseline Register'!G369="0.0.0",'Baseline Register'!I369="OPEN",'Baseline Register'!J369="HOLD"),1,0)</x:f>
        <x:v>1</x:v>
      </x:c>
      <x:c r="F5253" s="21" t="n">
        <x:v>1</x:v>
      </x:c>
      <x:c r="G5253" s="23" t="str">
        <x:f>IF(E5253=F5253,"PASS","FAIL")</x:f>
        <x:v>PASS</x:v>
      </x:c>
    </x:row>
    <x:row r="5254">
      <x:c r="B5254" s="21" t="str">
        <x:v>A05248</x:v>
      </x:c>
      <x:c r="C5254" s="21" t="str">
        <x:v>baseline</x:v>
      </x:c>
      <x:c r="D5254" s="21" t="str">
        <x:v>baseline 364 planning state</x:v>
      </x:c>
      <x:c r="E5254" s="21" t="n">
        <x:f>IF(AND('Baseline Register'!G370="0.0.0",'Baseline Register'!I370="OPEN",'Baseline Register'!J370="HOLD"),1,0)</x:f>
        <x:v>1</x:v>
      </x:c>
      <x:c r="F5254" s="21" t="n">
        <x:v>1</x:v>
      </x:c>
      <x:c r="G5254" s="23" t="str">
        <x:f>IF(E5254=F5254,"PASS","FAIL")</x:f>
        <x:v>PASS</x:v>
      </x:c>
    </x:row>
    <x:row r="5255">
      <x:c r="B5255" s="21" t="str">
        <x:v>A05249</x:v>
      </x:c>
      <x:c r="C5255" s="21" t="str">
        <x:v>baseline</x:v>
      </x:c>
      <x:c r="D5255" s="21" t="str">
        <x:v>baseline 365 planning state</x:v>
      </x:c>
      <x:c r="E5255" s="21" t="n">
        <x:f>IF(AND('Baseline Register'!G371="0.0.0",'Baseline Register'!I371="OPEN",'Baseline Register'!J371="HOLD"),1,0)</x:f>
        <x:v>1</x:v>
      </x:c>
      <x:c r="F5255" s="21" t="n">
        <x:v>1</x:v>
      </x:c>
      <x:c r="G5255" s="23" t="str">
        <x:f>IF(E5255=F5255,"PASS","FAIL")</x:f>
        <x:v>PASS</x:v>
      </x:c>
    </x:row>
    <x:row r="5256">
      <x:c r="B5256" s="21" t="str">
        <x:v>A05250</x:v>
      </x:c>
      <x:c r="C5256" s="21" t="str">
        <x:v>baseline</x:v>
      </x:c>
      <x:c r="D5256" s="21" t="str">
        <x:v>baseline 366 planning state</x:v>
      </x:c>
      <x:c r="E5256" s="21" t="n">
        <x:f>IF(AND('Baseline Register'!G372="0.0.0",'Baseline Register'!I372="OPEN",'Baseline Register'!J372="HOLD"),1,0)</x:f>
        <x:v>1</x:v>
      </x:c>
      <x:c r="F5256" s="21" t="n">
        <x:v>1</x:v>
      </x:c>
      <x:c r="G5256" s="23" t="str">
        <x:f>IF(E5256=F5256,"PASS","FAIL")</x:f>
        <x:v>PASS</x:v>
      </x:c>
    </x:row>
    <x:row r="5257">
      <x:c r="B5257" s="21" t="str">
        <x:v>A05251</x:v>
      </x:c>
      <x:c r="C5257" s="21" t="str">
        <x:v>baseline</x:v>
      </x:c>
      <x:c r="D5257" s="21" t="str">
        <x:v>baseline 367 planning state</x:v>
      </x:c>
      <x:c r="E5257" s="21" t="n">
        <x:f>IF(AND('Baseline Register'!G373="0.0.0",'Baseline Register'!I373="OPEN",'Baseline Register'!J373="HOLD"),1,0)</x:f>
        <x:v>1</x:v>
      </x:c>
      <x:c r="F5257" s="21" t="n">
        <x:v>1</x:v>
      </x:c>
      <x:c r="G5257" s="23" t="str">
        <x:f>IF(E5257=F5257,"PASS","FAIL")</x:f>
        <x:v>PASS</x:v>
      </x:c>
    </x:row>
    <x:row r="5258">
      <x:c r="B5258" s="21" t="str">
        <x:v>A05252</x:v>
      </x:c>
      <x:c r="C5258" s="21" t="str">
        <x:v>baseline</x:v>
      </x:c>
      <x:c r="D5258" s="21" t="str">
        <x:v>baseline 368 planning state</x:v>
      </x:c>
      <x:c r="E5258" s="21" t="n">
        <x:f>IF(AND('Baseline Register'!G374="0.0.0",'Baseline Register'!I374="OPEN",'Baseline Register'!J374="HOLD"),1,0)</x:f>
        <x:v>1</x:v>
      </x:c>
      <x:c r="F5258" s="21" t="n">
        <x:v>1</x:v>
      </x:c>
      <x:c r="G5258" s="23" t="str">
        <x:f>IF(E5258=F5258,"PASS","FAIL")</x:f>
        <x:v>PASS</x:v>
      </x:c>
    </x:row>
    <x:row r="5259">
      <x:c r="B5259" s="21" t="str">
        <x:v>A05253</x:v>
      </x:c>
      <x:c r="C5259" s="21" t="str">
        <x:v>baseline</x:v>
      </x:c>
      <x:c r="D5259" s="21" t="str">
        <x:v>baseline 369 planning state</x:v>
      </x:c>
      <x:c r="E5259" s="21" t="n">
        <x:f>IF(AND('Baseline Register'!G375="0.0.0",'Baseline Register'!I375="OPEN",'Baseline Register'!J375="HOLD"),1,0)</x:f>
        <x:v>1</x:v>
      </x:c>
      <x:c r="F5259" s="21" t="n">
        <x:v>1</x:v>
      </x:c>
      <x:c r="G5259" s="23" t="str">
        <x:f>IF(E5259=F5259,"PASS","FAIL")</x:f>
        <x:v>PASS</x:v>
      </x:c>
    </x:row>
    <x:row r="5260">
      <x:c r="B5260" s="21" t="str">
        <x:v>A05254</x:v>
      </x:c>
      <x:c r="C5260" s="21" t="str">
        <x:v>baseline</x:v>
      </x:c>
      <x:c r="D5260" s="21" t="str">
        <x:v>baseline 370 planning state</x:v>
      </x:c>
      <x:c r="E5260" s="21" t="n">
        <x:f>IF(AND('Baseline Register'!G376="0.0.0",'Baseline Register'!I376="OPEN",'Baseline Register'!J376="HOLD"),1,0)</x:f>
        <x:v>1</x:v>
      </x:c>
      <x:c r="F5260" s="21" t="n">
        <x:v>1</x:v>
      </x:c>
      <x:c r="G5260" s="23" t="str">
        <x:f>IF(E5260=F5260,"PASS","FAIL")</x:f>
        <x:v>PASS</x:v>
      </x:c>
    </x:row>
    <x:row r="5261">
      <x:c r="B5261" s="21" t="str">
        <x:v>A05255</x:v>
      </x:c>
      <x:c r="C5261" s="21" t="str">
        <x:v>baseline</x:v>
      </x:c>
      <x:c r="D5261" s="21" t="str">
        <x:v>baseline 371 planning state</x:v>
      </x:c>
      <x:c r="E5261" s="21" t="n">
        <x:f>IF(AND('Baseline Register'!G377="0.0.0",'Baseline Register'!I377="OPEN",'Baseline Register'!J377="HOLD"),1,0)</x:f>
        <x:v>1</x:v>
      </x:c>
      <x:c r="F5261" s="21" t="n">
        <x:v>1</x:v>
      </x:c>
      <x:c r="G5261" s="23" t="str">
        <x:f>IF(E5261=F5261,"PASS","FAIL")</x:f>
        <x:v>PASS</x:v>
      </x:c>
    </x:row>
    <x:row r="5262">
      <x:c r="B5262" s="21" t="str">
        <x:v>A05256</x:v>
      </x:c>
      <x:c r="C5262" s="21" t="str">
        <x:v>baseline</x:v>
      </x:c>
      <x:c r="D5262" s="21" t="str">
        <x:v>baseline 372 planning state</x:v>
      </x:c>
      <x:c r="E5262" s="21" t="n">
        <x:f>IF(AND('Baseline Register'!G378="0.0.0",'Baseline Register'!I378="OPEN",'Baseline Register'!J378="HOLD"),1,0)</x:f>
        <x:v>1</x:v>
      </x:c>
      <x:c r="F5262" s="21" t="n">
        <x:v>1</x:v>
      </x:c>
      <x:c r="G5262" s="23" t="str">
        <x:f>IF(E5262=F5262,"PASS","FAIL")</x:f>
        <x:v>PASS</x:v>
      </x:c>
    </x:row>
    <x:row r="5263">
      <x:c r="B5263" s="21" t="str">
        <x:v>A05257</x:v>
      </x:c>
      <x:c r="C5263" s="21" t="str">
        <x:v>baseline</x:v>
      </x:c>
      <x:c r="D5263" s="21" t="str">
        <x:v>baseline 373 planning state</x:v>
      </x:c>
      <x:c r="E5263" s="21" t="n">
        <x:f>IF(AND('Baseline Register'!G379="0.0.0",'Baseline Register'!I379="OPEN",'Baseline Register'!J379="HOLD"),1,0)</x:f>
        <x:v>1</x:v>
      </x:c>
      <x:c r="F5263" s="21" t="n">
        <x:v>1</x:v>
      </x:c>
      <x:c r="G5263" s="23" t="str">
        <x:f>IF(E5263=F5263,"PASS","FAIL")</x:f>
        <x:v>PASS</x:v>
      </x:c>
    </x:row>
    <x:row r="5264">
      <x:c r="B5264" s="21" t="str">
        <x:v>A05258</x:v>
      </x:c>
      <x:c r="C5264" s="21" t="str">
        <x:v>baseline</x:v>
      </x:c>
      <x:c r="D5264" s="21" t="str">
        <x:v>baseline 374 planning state</x:v>
      </x:c>
      <x:c r="E5264" s="21" t="n">
        <x:f>IF(AND('Baseline Register'!G380="0.0.0",'Baseline Register'!I380="OPEN",'Baseline Register'!J380="HOLD"),1,0)</x:f>
        <x:v>1</x:v>
      </x:c>
      <x:c r="F5264" s="21" t="n">
        <x:v>1</x:v>
      </x:c>
      <x:c r="G5264" s="23" t="str">
        <x:f>IF(E5264=F5264,"PASS","FAIL")</x:f>
        <x:v>PASS</x:v>
      </x:c>
    </x:row>
    <x:row r="5265">
      <x:c r="B5265" s="21" t="str">
        <x:v>A05259</x:v>
      </x:c>
      <x:c r="C5265" s="21" t="str">
        <x:v>baseline</x:v>
      </x:c>
      <x:c r="D5265" s="21" t="str">
        <x:v>baseline 375 planning state</x:v>
      </x:c>
      <x:c r="E5265" s="21" t="n">
        <x:f>IF(AND('Baseline Register'!G381="0.0.0",'Baseline Register'!I381="OPEN",'Baseline Register'!J381="HOLD"),1,0)</x:f>
        <x:v>1</x:v>
      </x:c>
      <x:c r="F5265" s="21" t="n">
        <x:v>1</x:v>
      </x:c>
      <x:c r="G5265" s="23" t="str">
        <x:f>IF(E5265=F5265,"PASS","FAIL")</x:f>
        <x:v>PASS</x:v>
      </x:c>
    </x:row>
    <x:row r="5266">
      <x:c r="B5266" s="21" t="str">
        <x:v>A05260</x:v>
      </x:c>
      <x:c r="C5266" s="21" t="str">
        <x:v>baseline</x:v>
      </x:c>
      <x:c r="D5266" s="21" t="str">
        <x:v>baseline 376 planning state</x:v>
      </x:c>
      <x:c r="E5266" s="21" t="n">
        <x:f>IF(AND('Baseline Register'!G382="0.0.0",'Baseline Register'!I382="OPEN",'Baseline Register'!J382="HOLD"),1,0)</x:f>
        <x:v>1</x:v>
      </x:c>
      <x:c r="F5266" s="21" t="n">
        <x:v>1</x:v>
      </x:c>
      <x:c r="G5266" s="23" t="str">
        <x:f>IF(E5266=F5266,"PASS","FAIL")</x:f>
        <x:v>PASS</x:v>
      </x:c>
    </x:row>
    <x:row r="5267">
      <x:c r="B5267" s="21" t="str">
        <x:v>A05261</x:v>
      </x:c>
      <x:c r="C5267" s="21" t="str">
        <x:v>baseline</x:v>
      </x:c>
      <x:c r="D5267" s="21" t="str">
        <x:v>baseline 377 planning state</x:v>
      </x:c>
      <x:c r="E5267" s="21" t="n">
        <x:f>IF(AND('Baseline Register'!G383="0.0.0",'Baseline Register'!I383="OPEN",'Baseline Register'!J383="HOLD"),1,0)</x:f>
        <x:v>1</x:v>
      </x:c>
      <x:c r="F5267" s="21" t="n">
        <x:v>1</x:v>
      </x:c>
      <x:c r="G5267" s="23" t="str">
        <x:f>IF(E5267=F5267,"PASS","FAIL")</x:f>
        <x:v>PASS</x:v>
      </x:c>
    </x:row>
    <x:row r="5268">
      <x:c r="B5268" s="21" t="str">
        <x:v>A05262</x:v>
      </x:c>
      <x:c r="C5268" s="21" t="str">
        <x:v>baseline</x:v>
      </x:c>
      <x:c r="D5268" s="21" t="str">
        <x:v>baseline 378 planning state</x:v>
      </x:c>
      <x:c r="E5268" s="21" t="n">
        <x:f>IF(AND('Baseline Register'!G384="0.0.0",'Baseline Register'!I384="OPEN",'Baseline Register'!J384="HOLD"),1,0)</x:f>
        <x:v>1</x:v>
      </x:c>
      <x:c r="F5268" s="21" t="n">
        <x:v>1</x:v>
      </x:c>
      <x:c r="G5268" s="23" t="str">
        <x:f>IF(E5268=F5268,"PASS","FAIL")</x:f>
        <x:v>PASS</x:v>
      </x:c>
    </x:row>
    <x:row r="5269">
      <x:c r="B5269" s="21" t="str">
        <x:v>A05263</x:v>
      </x:c>
      <x:c r="C5269" s="21" t="str">
        <x:v>baseline</x:v>
      </x:c>
      <x:c r="D5269" s="21" t="str">
        <x:v>baseline 379 planning state</x:v>
      </x:c>
      <x:c r="E5269" s="21" t="n">
        <x:f>IF(AND('Baseline Register'!G385="0.0.0",'Baseline Register'!I385="OPEN",'Baseline Register'!J385="HOLD"),1,0)</x:f>
        <x:v>1</x:v>
      </x:c>
      <x:c r="F5269" s="21" t="n">
        <x:v>1</x:v>
      </x:c>
      <x:c r="G5269" s="23" t="str">
        <x:f>IF(E5269=F5269,"PASS","FAIL")</x:f>
        <x:v>PASS</x:v>
      </x:c>
    </x:row>
    <x:row r="5270">
      <x:c r="B5270" s="21" t="str">
        <x:v>A05264</x:v>
      </x:c>
      <x:c r="C5270" s="21" t="str">
        <x:v>baseline</x:v>
      </x:c>
      <x:c r="D5270" s="21" t="str">
        <x:v>baseline 380 planning state</x:v>
      </x:c>
      <x:c r="E5270" s="21" t="n">
        <x:f>IF(AND('Baseline Register'!G386="0.0.0",'Baseline Register'!I386="OPEN",'Baseline Register'!J386="HOLD"),1,0)</x:f>
        <x:v>1</x:v>
      </x:c>
      <x:c r="F5270" s="21" t="n">
        <x:v>1</x:v>
      </x:c>
      <x:c r="G5270" s="23" t="str">
        <x:f>IF(E5270=F5270,"PASS","FAIL")</x:f>
        <x:v>PASS</x:v>
      </x:c>
    </x:row>
    <x:row r="5271">
      <x:c r="B5271" s="21" t="str">
        <x:v>A05265</x:v>
      </x:c>
      <x:c r="C5271" s="21" t="str">
        <x:v>baseline</x:v>
      </x:c>
      <x:c r="D5271" s="21" t="str">
        <x:v>baseline 381 planning state</x:v>
      </x:c>
      <x:c r="E5271" s="21" t="n">
        <x:f>IF(AND('Baseline Register'!G387="0.0.0",'Baseline Register'!I387="OPEN",'Baseline Register'!J387="HOLD"),1,0)</x:f>
        <x:v>1</x:v>
      </x:c>
      <x:c r="F5271" s="21" t="n">
        <x:v>1</x:v>
      </x:c>
      <x:c r="G5271" s="23" t="str">
        <x:f>IF(E5271=F5271,"PASS","FAIL")</x:f>
        <x:v>PASS</x:v>
      </x:c>
    </x:row>
    <x:row r="5272">
      <x:c r="B5272" s="21" t="str">
        <x:v>A05266</x:v>
      </x:c>
      <x:c r="C5272" s="21" t="str">
        <x:v>baseline</x:v>
      </x:c>
      <x:c r="D5272" s="21" t="str">
        <x:v>baseline 382 planning state</x:v>
      </x:c>
      <x:c r="E5272" s="21" t="n">
        <x:f>IF(AND('Baseline Register'!G388="0.0.0",'Baseline Register'!I388="OPEN",'Baseline Register'!J388="HOLD"),1,0)</x:f>
        <x:v>1</x:v>
      </x:c>
      <x:c r="F5272" s="21" t="n">
        <x:v>1</x:v>
      </x:c>
      <x:c r="G5272" s="23" t="str">
        <x:f>IF(E5272=F5272,"PASS","FAIL")</x:f>
        <x:v>PASS</x:v>
      </x:c>
    </x:row>
    <x:row r="5273">
      <x:c r="B5273" s="21" t="str">
        <x:v>A05267</x:v>
      </x:c>
      <x:c r="C5273" s="21" t="str">
        <x:v>baseline</x:v>
      </x:c>
      <x:c r="D5273" s="21" t="str">
        <x:v>baseline 383 planning state</x:v>
      </x:c>
      <x:c r="E5273" s="21" t="n">
        <x:f>IF(AND('Baseline Register'!G389="0.0.0",'Baseline Register'!I389="OPEN",'Baseline Register'!J389="HOLD"),1,0)</x:f>
        <x:v>1</x:v>
      </x:c>
      <x:c r="F5273" s="21" t="n">
        <x:v>1</x:v>
      </x:c>
      <x:c r="G5273" s="23" t="str">
        <x:f>IF(E5273=F5273,"PASS","FAIL")</x:f>
        <x:v>PASS</x:v>
      </x:c>
    </x:row>
    <x:row r="5274">
      <x:c r="B5274" s="21" t="str">
        <x:v>A05268</x:v>
      </x:c>
      <x:c r="C5274" s="21" t="str">
        <x:v>baseline</x:v>
      </x:c>
      <x:c r="D5274" s="21" t="str">
        <x:v>baseline 384 planning state</x:v>
      </x:c>
      <x:c r="E5274" s="21" t="n">
        <x:f>IF(AND('Baseline Register'!G390="0.0.0",'Baseline Register'!I390="OPEN",'Baseline Register'!J390="HOLD"),1,0)</x:f>
        <x:v>1</x:v>
      </x:c>
      <x:c r="F5274" s="21" t="n">
        <x:v>1</x:v>
      </x:c>
      <x:c r="G5274" s="23" t="str">
        <x:f>IF(E5274=F5274,"PASS","FAIL")</x:f>
        <x:v>PASS</x:v>
      </x:c>
    </x:row>
    <x:row r="5275">
      <x:c r="B5275" s="21" t="str">
        <x:v>A05269</x:v>
      </x:c>
      <x:c r="C5275" s="21" t="str">
        <x:v>baseline</x:v>
      </x:c>
      <x:c r="D5275" s="21" t="str">
        <x:v>baseline 385 planning state</x:v>
      </x:c>
      <x:c r="E5275" s="21" t="n">
        <x:f>IF(AND('Baseline Register'!G391="0.0.0",'Baseline Register'!I391="OPEN",'Baseline Register'!J391="HOLD"),1,0)</x:f>
        <x:v>1</x:v>
      </x:c>
      <x:c r="F5275" s="21" t="n">
        <x:v>1</x:v>
      </x:c>
      <x:c r="G5275" s="23" t="str">
        <x:f>IF(E5275=F5275,"PASS","FAIL")</x:f>
        <x:v>PASS</x:v>
      </x:c>
    </x:row>
    <x:row r="5276">
      <x:c r="B5276" s="21" t="str">
        <x:v>A05270</x:v>
      </x:c>
      <x:c r="C5276" s="21" t="str">
        <x:v>baseline</x:v>
      </x:c>
      <x:c r="D5276" s="21" t="str">
        <x:v>baseline 386 planning state</x:v>
      </x:c>
      <x:c r="E5276" s="21" t="n">
        <x:f>IF(AND('Baseline Register'!G392="0.0.0",'Baseline Register'!I392="OPEN",'Baseline Register'!J392="HOLD"),1,0)</x:f>
        <x:v>1</x:v>
      </x:c>
      <x:c r="F5276" s="21" t="n">
        <x:v>1</x:v>
      </x:c>
      <x:c r="G5276" s="23" t="str">
        <x:f>IF(E5276=F5276,"PASS","FAIL")</x:f>
        <x:v>PASS</x:v>
      </x:c>
    </x:row>
    <x:row r="5277">
      <x:c r="B5277" s="21" t="str">
        <x:v>A05271</x:v>
      </x:c>
      <x:c r="C5277" s="21" t="str">
        <x:v>baseline</x:v>
      </x:c>
      <x:c r="D5277" s="21" t="str">
        <x:v>baseline 387 planning state</x:v>
      </x:c>
      <x:c r="E5277" s="21" t="n">
        <x:f>IF(AND('Baseline Register'!G393="0.0.0",'Baseline Register'!I393="OPEN",'Baseline Register'!J393="HOLD"),1,0)</x:f>
        <x:v>1</x:v>
      </x:c>
      <x:c r="F5277" s="21" t="n">
        <x:v>1</x:v>
      </x:c>
      <x:c r="G5277" s="23" t="str">
        <x:f>IF(E5277=F5277,"PASS","FAIL")</x:f>
        <x:v>PASS</x:v>
      </x:c>
    </x:row>
    <x:row r="5278">
      <x:c r="B5278" s="21" t="str">
        <x:v>A05272</x:v>
      </x:c>
      <x:c r="C5278" s="21" t="str">
        <x:v>baseline</x:v>
      </x:c>
      <x:c r="D5278" s="21" t="str">
        <x:v>baseline 388 planning state</x:v>
      </x:c>
      <x:c r="E5278" s="21" t="n">
        <x:f>IF(AND('Baseline Register'!G394="0.0.0",'Baseline Register'!I394="OPEN",'Baseline Register'!J394="HOLD"),1,0)</x:f>
        <x:v>1</x:v>
      </x:c>
      <x:c r="F5278" s="21" t="n">
        <x:v>1</x:v>
      </x:c>
      <x:c r="G5278" s="23" t="str">
        <x:f>IF(E5278=F5278,"PASS","FAIL")</x:f>
        <x:v>PASS</x:v>
      </x:c>
    </x:row>
    <x:row r="5279">
      <x:c r="B5279" s="21" t="str">
        <x:v>A05273</x:v>
      </x:c>
      <x:c r="C5279" s="21" t="str">
        <x:v>baseline</x:v>
      </x:c>
      <x:c r="D5279" s="21" t="str">
        <x:v>baseline 389 planning state</x:v>
      </x:c>
      <x:c r="E5279" s="21" t="n">
        <x:f>IF(AND('Baseline Register'!G395="0.0.0",'Baseline Register'!I395="OPEN",'Baseline Register'!J395="HOLD"),1,0)</x:f>
        <x:v>1</x:v>
      </x:c>
      <x:c r="F5279" s="21" t="n">
        <x:v>1</x:v>
      </x:c>
      <x:c r="G5279" s="23" t="str">
        <x:f>IF(E5279=F5279,"PASS","FAIL")</x:f>
        <x:v>PASS</x:v>
      </x:c>
    </x:row>
    <x:row r="5280">
      <x:c r="B5280" s="21" t="str">
        <x:v>A05274</x:v>
      </x:c>
      <x:c r="C5280" s="21" t="str">
        <x:v>baseline</x:v>
      </x:c>
      <x:c r="D5280" s="21" t="str">
        <x:v>baseline 390 planning state</x:v>
      </x:c>
      <x:c r="E5280" s="21" t="n">
        <x:f>IF(AND('Baseline Register'!G396="0.0.0",'Baseline Register'!I396="OPEN",'Baseline Register'!J396="HOLD"),1,0)</x:f>
        <x:v>1</x:v>
      </x:c>
      <x:c r="F5280" s="21" t="n">
        <x:v>1</x:v>
      </x:c>
      <x:c r="G5280" s="23" t="str">
        <x:f>IF(E5280=F5280,"PASS","FAIL")</x:f>
        <x:v>PASS</x:v>
      </x:c>
    </x:row>
    <x:row r="5281">
      <x:c r="B5281" s="21" t="str">
        <x:v>A05275</x:v>
      </x:c>
      <x:c r="C5281" s="21" t="str">
        <x:v>baseline</x:v>
      </x:c>
      <x:c r="D5281" s="21" t="str">
        <x:v>baseline 391 planning state</x:v>
      </x:c>
      <x:c r="E5281" s="21" t="n">
        <x:f>IF(AND('Baseline Register'!G397="0.0.0",'Baseline Register'!I397="OPEN",'Baseline Register'!J397="HOLD"),1,0)</x:f>
        <x:v>1</x:v>
      </x:c>
      <x:c r="F5281" s="21" t="n">
        <x:v>1</x:v>
      </x:c>
      <x:c r="G5281" s="23" t="str">
        <x:f>IF(E5281=F5281,"PASS","FAIL")</x:f>
        <x:v>PASS</x:v>
      </x:c>
    </x:row>
    <x:row r="5282">
      <x:c r="B5282" s="21" t="str">
        <x:v>A05276</x:v>
      </x:c>
      <x:c r="C5282" s="21" t="str">
        <x:v>baseline</x:v>
      </x:c>
      <x:c r="D5282" s="21" t="str">
        <x:v>baseline 392 planning state</x:v>
      </x:c>
      <x:c r="E5282" s="21" t="n">
        <x:f>IF(AND('Baseline Register'!G398="0.0.0",'Baseline Register'!I398="OPEN",'Baseline Register'!J398="HOLD"),1,0)</x:f>
        <x:v>1</x:v>
      </x:c>
      <x:c r="F5282" s="21" t="n">
        <x:v>1</x:v>
      </x:c>
      <x:c r="G5282" s="23" t="str">
        <x:f>IF(E5282=F5282,"PASS","FAIL")</x:f>
        <x:v>PASS</x:v>
      </x:c>
    </x:row>
    <x:row r="5283">
      <x:c r="B5283" s="21" t="str">
        <x:v>A05277</x:v>
      </x:c>
      <x:c r="C5283" s="21" t="str">
        <x:v>baseline</x:v>
      </x:c>
      <x:c r="D5283" s="21" t="str">
        <x:v>baseline 393 planning state</x:v>
      </x:c>
      <x:c r="E5283" s="21" t="n">
        <x:f>IF(AND('Baseline Register'!G399="0.0.0",'Baseline Register'!I399="OPEN",'Baseline Register'!J399="HOLD"),1,0)</x:f>
        <x:v>1</x:v>
      </x:c>
      <x:c r="F5283" s="21" t="n">
        <x:v>1</x:v>
      </x:c>
      <x:c r="G5283" s="23" t="str">
        <x:f>IF(E5283=F5283,"PASS","FAIL")</x:f>
        <x:v>PASS</x:v>
      </x:c>
    </x:row>
    <x:row r="5284">
      <x:c r="B5284" s="21" t="str">
        <x:v>A05278</x:v>
      </x:c>
      <x:c r="C5284" s="21" t="str">
        <x:v>baseline</x:v>
      </x:c>
      <x:c r="D5284" s="21" t="str">
        <x:v>baseline 394 planning state</x:v>
      </x:c>
      <x:c r="E5284" s="21" t="n">
        <x:f>IF(AND('Baseline Register'!G400="0.0.0",'Baseline Register'!I400="OPEN",'Baseline Register'!J400="HOLD"),1,0)</x:f>
        <x:v>1</x:v>
      </x:c>
      <x:c r="F5284" s="21" t="n">
        <x:v>1</x:v>
      </x:c>
      <x:c r="G5284" s="23" t="str">
        <x:f>IF(E5284=F5284,"PASS","FAIL")</x:f>
        <x:v>PASS</x:v>
      </x:c>
    </x:row>
    <x:row r="5285">
      <x:c r="B5285" s="21" t="str">
        <x:v>A05279</x:v>
      </x:c>
      <x:c r="C5285" s="21" t="str">
        <x:v>baseline</x:v>
      </x:c>
      <x:c r="D5285" s="21" t="str">
        <x:v>baseline 395 planning state</x:v>
      </x:c>
      <x:c r="E5285" s="21" t="n">
        <x:f>IF(AND('Baseline Register'!G401="0.0.0",'Baseline Register'!I401="OPEN",'Baseline Register'!J401="HOLD"),1,0)</x:f>
        <x:v>1</x:v>
      </x:c>
      <x:c r="F5285" s="21" t="n">
        <x:v>1</x:v>
      </x:c>
      <x:c r="G5285" s="23" t="str">
        <x:f>IF(E5285=F5285,"PASS","FAIL")</x:f>
        <x:v>PASS</x:v>
      </x:c>
    </x:row>
    <x:row r="5286">
      <x:c r="B5286" s="21" t="str">
        <x:v>A05280</x:v>
      </x:c>
      <x:c r="C5286" s="21" t="str">
        <x:v>baseline</x:v>
      </x:c>
      <x:c r="D5286" s="21" t="str">
        <x:v>baseline 396 planning state</x:v>
      </x:c>
      <x:c r="E5286" s="21" t="n">
        <x:f>IF(AND('Baseline Register'!G402="0.0.0",'Baseline Register'!I402="OPEN",'Baseline Register'!J402="HOLD"),1,0)</x:f>
        <x:v>1</x:v>
      </x:c>
      <x:c r="F5286" s="21" t="n">
        <x:v>1</x:v>
      </x:c>
      <x:c r="G5286" s="23" t="str">
        <x:f>IF(E5286=F5286,"PASS","FAIL")</x:f>
        <x:v>PASS</x:v>
      </x:c>
    </x:row>
    <x:row r="5287">
      <x:c r="B5287" s="21" t="str">
        <x:v>A05281</x:v>
      </x:c>
      <x:c r="C5287" s="21" t="str">
        <x:v>baseline</x:v>
      </x:c>
      <x:c r="D5287" s="21" t="str">
        <x:v>baseline 397 planning state</x:v>
      </x:c>
      <x:c r="E5287" s="21" t="n">
        <x:f>IF(AND('Baseline Register'!G403="0.0.0",'Baseline Register'!I403="OPEN",'Baseline Register'!J403="HOLD"),1,0)</x:f>
        <x:v>1</x:v>
      </x:c>
      <x:c r="F5287" s="21" t="n">
        <x:v>1</x:v>
      </x:c>
      <x:c r="G5287" s="23" t="str">
        <x:f>IF(E5287=F5287,"PASS","FAIL")</x:f>
        <x:v>PASS</x:v>
      </x:c>
    </x:row>
    <x:row r="5288">
      <x:c r="B5288" s="21" t="str">
        <x:v>A05282</x:v>
      </x:c>
      <x:c r="C5288" s="21" t="str">
        <x:v>baseline</x:v>
      </x:c>
      <x:c r="D5288" s="21" t="str">
        <x:v>baseline 398 planning state</x:v>
      </x:c>
      <x:c r="E5288" s="21" t="n">
        <x:f>IF(AND('Baseline Register'!G404="0.0.0",'Baseline Register'!I404="OPEN",'Baseline Register'!J404="HOLD"),1,0)</x:f>
        <x:v>1</x:v>
      </x:c>
      <x:c r="F5288" s="21" t="n">
        <x:v>1</x:v>
      </x:c>
      <x:c r="G5288" s="23" t="str">
        <x:f>IF(E5288=F5288,"PASS","FAIL")</x:f>
        <x:v>PASS</x:v>
      </x:c>
    </x:row>
    <x:row r="5289">
      <x:c r="B5289" s="21" t="str">
        <x:v>A05283</x:v>
      </x:c>
      <x:c r="C5289" s="21" t="str">
        <x:v>baseline</x:v>
      </x:c>
      <x:c r="D5289" s="21" t="str">
        <x:v>baseline 399 planning state</x:v>
      </x:c>
      <x:c r="E5289" s="21" t="n">
        <x:f>IF(AND('Baseline Register'!G405="0.0.0",'Baseline Register'!I405="OPEN",'Baseline Register'!J405="HOLD"),1,0)</x:f>
        <x:v>1</x:v>
      </x:c>
      <x:c r="F5289" s="21" t="n">
        <x:v>1</x:v>
      </x:c>
      <x:c r="G5289" s="23" t="str">
        <x:f>IF(E5289=F5289,"PASS","FAIL")</x:f>
        <x:v>PASS</x:v>
      </x:c>
    </x:row>
    <x:row r="5290">
      <x:c r="B5290" s="21" t="str">
        <x:v>A05284</x:v>
      </x:c>
      <x:c r="C5290" s="21" t="str">
        <x:v>baseline</x:v>
      </x:c>
      <x:c r="D5290" s="21" t="str">
        <x:v>baseline 400 planning state</x:v>
      </x:c>
      <x:c r="E5290" s="21" t="n">
        <x:f>IF(AND('Baseline Register'!G406="0.0.0",'Baseline Register'!I406="OPEN",'Baseline Register'!J406="HOLD"),1,0)</x:f>
        <x:v>1</x:v>
      </x:c>
      <x:c r="F5290" s="21" t="n">
        <x:v>1</x:v>
      </x:c>
      <x:c r="G5290" s="23" t="str">
        <x:f>IF(E5290=F5290,"PASS","FAIL")</x:f>
        <x:v>PASS</x:v>
      </x:c>
    </x:row>
    <x:row r="5291">
      <x:c r="B5291" s="21" t="str">
        <x:v>A05285</x:v>
      </x:c>
      <x:c r="C5291" s="21" t="str">
        <x:v>baseline</x:v>
      </x:c>
      <x:c r="D5291" s="21" t="str">
        <x:v>baseline 401 planning state</x:v>
      </x:c>
      <x:c r="E5291" s="21" t="n">
        <x:f>IF(AND('Baseline Register'!G407="0.0.0",'Baseline Register'!I407="OPEN",'Baseline Register'!J407="HOLD"),1,0)</x:f>
        <x:v>1</x:v>
      </x:c>
      <x:c r="F5291" s="21" t="n">
        <x:v>1</x:v>
      </x:c>
      <x:c r="G5291" s="23" t="str">
        <x:f>IF(E5291=F5291,"PASS","FAIL")</x:f>
        <x:v>PASS</x:v>
      </x:c>
    </x:row>
    <x:row r="5292">
      <x:c r="B5292" s="21" t="str">
        <x:v>A05286</x:v>
      </x:c>
      <x:c r="C5292" s="21" t="str">
        <x:v>baseline</x:v>
      </x:c>
      <x:c r="D5292" s="21" t="str">
        <x:v>baseline 402 planning state</x:v>
      </x:c>
      <x:c r="E5292" s="21" t="n">
        <x:f>IF(AND('Baseline Register'!G408="0.0.0",'Baseline Register'!I408="OPEN",'Baseline Register'!J408="HOLD"),1,0)</x:f>
        <x:v>1</x:v>
      </x:c>
      <x:c r="F5292" s="21" t="n">
        <x:v>1</x:v>
      </x:c>
      <x:c r="G5292" s="23" t="str">
        <x:f>IF(E5292=F5292,"PASS","FAIL")</x:f>
        <x:v>PASS</x:v>
      </x:c>
    </x:row>
    <x:row r="5293">
      <x:c r="B5293" s="21" t="str">
        <x:v>A05287</x:v>
      </x:c>
      <x:c r="C5293" s="21" t="str">
        <x:v>baseline</x:v>
      </x:c>
      <x:c r="D5293" s="21" t="str">
        <x:v>baseline 403 planning state</x:v>
      </x:c>
      <x:c r="E5293" s="21" t="n">
        <x:f>IF(AND('Baseline Register'!G409="0.0.0",'Baseline Register'!I409="OPEN",'Baseline Register'!J409="HOLD"),1,0)</x:f>
        <x:v>1</x:v>
      </x:c>
      <x:c r="F5293" s="21" t="n">
        <x:v>1</x:v>
      </x:c>
      <x:c r="G5293" s="23" t="str">
        <x:f>IF(E5293=F5293,"PASS","FAIL")</x:f>
        <x:v>PASS</x:v>
      </x:c>
    </x:row>
    <x:row r="5294">
      <x:c r="B5294" s="21" t="str">
        <x:v>A05288</x:v>
      </x:c>
      <x:c r="C5294" s="21" t="str">
        <x:v>baseline</x:v>
      </x:c>
      <x:c r="D5294" s="21" t="str">
        <x:v>baseline 404 planning state</x:v>
      </x:c>
      <x:c r="E5294" s="21" t="n">
        <x:f>IF(AND('Baseline Register'!G410="0.0.0",'Baseline Register'!I410="OPEN",'Baseline Register'!J410="HOLD"),1,0)</x:f>
        <x:v>1</x:v>
      </x:c>
      <x:c r="F5294" s="21" t="n">
        <x:v>1</x:v>
      </x:c>
      <x:c r="G5294" s="23" t="str">
        <x:f>IF(E5294=F5294,"PASS","FAIL")</x:f>
        <x:v>PASS</x:v>
      </x:c>
    </x:row>
    <x:row r="5295">
      <x:c r="B5295" s="21" t="str">
        <x:v>A05289</x:v>
      </x:c>
      <x:c r="C5295" s="21" t="str">
        <x:v>baseline</x:v>
      </x:c>
      <x:c r="D5295" s="21" t="str">
        <x:v>baseline 405 planning state</x:v>
      </x:c>
      <x:c r="E5295" s="21" t="n">
        <x:f>IF(AND('Baseline Register'!G411="0.0.0",'Baseline Register'!I411="OPEN",'Baseline Register'!J411="HOLD"),1,0)</x:f>
        <x:v>1</x:v>
      </x:c>
      <x:c r="F5295" s="21" t="n">
        <x:v>1</x:v>
      </x:c>
      <x:c r="G5295" s="23" t="str">
        <x:f>IF(E5295=F5295,"PASS","FAIL")</x:f>
        <x:v>PASS</x:v>
      </x:c>
    </x:row>
    <x:row r="5296">
      <x:c r="B5296" s="21" t="str">
        <x:v>A05290</x:v>
      </x:c>
      <x:c r="C5296" s="21" t="str">
        <x:v>baseline</x:v>
      </x:c>
      <x:c r="D5296" s="21" t="str">
        <x:v>baseline 406 planning state</x:v>
      </x:c>
      <x:c r="E5296" s="21" t="n">
        <x:f>IF(AND('Baseline Register'!G412="0.0.0",'Baseline Register'!I412="OPEN",'Baseline Register'!J412="HOLD"),1,0)</x:f>
        <x:v>1</x:v>
      </x:c>
      <x:c r="F5296" s="21" t="n">
        <x:v>1</x:v>
      </x:c>
      <x:c r="G5296" s="23" t="str">
        <x:f>IF(E5296=F5296,"PASS","FAIL")</x:f>
        <x:v>PASS</x:v>
      </x:c>
    </x:row>
    <x:row r="5297">
      <x:c r="B5297" s="21" t="str">
        <x:v>A05291</x:v>
      </x:c>
      <x:c r="C5297" s="21" t="str">
        <x:v>baseline</x:v>
      </x:c>
      <x:c r="D5297" s="21" t="str">
        <x:v>baseline 407 planning state</x:v>
      </x:c>
      <x:c r="E5297" s="21" t="n">
        <x:f>IF(AND('Baseline Register'!G413="0.0.0",'Baseline Register'!I413="OPEN",'Baseline Register'!J413="HOLD"),1,0)</x:f>
        <x:v>1</x:v>
      </x:c>
      <x:c r="F5297" s="21" t="n">
        <x:v>1</x:v>
      </x:c>
      <x:c r="G5297" s="23" t="str">
        <x:f>IF(E5297=F5297,"PASS","FAIL")</x:f>
        <x:v>PASS</x:v>
      </x:c>
    </x:row>
    <x:row r="5298">
      <x:c r="B5298" s="21" t="str">
        <x:v>A05292</x:v>
      </x:c>
      <x:c r="C5298" s="21" t="str">
        <x:v>baseline</x:v>
      </x:c>
      <x:c r="D5298" s="21" t="str">
        <x:v>baseline 408 planning state</x:v>
      </x:c>
      <x:c r="E5298" s="21" t="n">
        <x:f>IF(AND('Baseline Register'!G414="0.0.0",'Baseline Register'!I414="OPEN",'Baseline Register'!J414="HOLD"),1,0)</x:f>
        <x:v>1</x:v>
      </x:c>
      <x:c r="F5298" s="21" t="n">
        <x:v>1</x:v>
      </x:c>
      <x:c r="G5298" s="23" t="str">
        <x:f>IF(E5298=F5298,"PASS","FAIL")</x:f>
        <x:v>PASS</x:v>
      </x:c>
    </x:row>
    <x:row r="5299">
      <x:c r="B5299" s="21" t="str">
        <x:v>A05293</x:v>
      </x:c>
      <x:c r="C5299" s="21" t="str">
        <x:v>baseline</x:v>
      </x:c>
      <x:c r="D5299" s="21" t="str">
        <x:v>baseline 409 planning state</x:v>
      </x:c>
      <x:c r="E5299" s="21" t="n">
        <x:f>IF(AND('Baseline Register'!G415="0.0.0",'Baseline Register'!I415="OPEN",'Baseline Register'!J415="HOLD"),1,0)</x:f>
        <x:v>1</x:v>
      </x:c>
      <x:c r="F5299" s="21" t="n">
        <x:v>1</x:v>
      </x:c>
      <x:c r="G5299" s="23" t="str">
        <x:f>IF(E5299=F5299,"PASS","FAIL")</x:f>
        <x:v>PASS</x:v>
      </x:c>
    </x:row>
    <x:row r="5300">
      <x:c r="B5300" s="21" t="str">
        <x:v>A05294</x:v>
      </x:c>
      <x:c r="C5300" s="21" t="str">
        <x:v>baseline</x:v>
      </x:c>
      <x:c r="D5300" s="21" t="str">
        <x:v>baseline 410 planning state</x:v>
      </x:c>
      <x:c r="E5300" s="21" t="n">
        <x:f>IF(AND('Baseline Register'!G416="0.0.0",'Baseline Register'!I416="OPEN",'Baseline Register'!J416="HOLD"),1,0)</x:f>
        <x:v>1</x:v>
      </x:c>
      <x:c r="F5300" s="21" t="n">
        <x:v>1</x:v>
      </x:c>
      <x:c r="G5300" s="23" t="str">
        <x:f>IF(E5300=F5300,"PASS","FAIL")</x:f>
        <x:v>PASS</x:v>
      </x:c>
    </x:row>
    <x:row r="5301">
      <x:c r="B5301" s="21" t="str">
        <x:v>A05295</x:v>
      </x:c>
      <x:c r="C5301" s="21" t="str">
        <x:v>baseline</x:v>
      </x:c>
      <x:c r="D5301" s="21" t="str">
        <x:v>baseline 411 planning state</x:v>
      </x:c>
      <x:c r="E5301" s="21" t="n">
        <x:f>IF(AND('Baseline Register'!G417="0.0.0",'Baseline Register'!I417="OPEN",'Baseline Register'!J417="HOLD"),1,0)</x:f>
        <x:v>1</x:v>
      </x:c>
      <x:c r="F5301" s="21" t="n">
        <x:v>1</x:v>
      </x:c>
      <x:c r="G5301" s="23" t="str">
        <x:f>IF(E5301=F5301,"PASS","FAIL")</x:f>
        <x:v>PASS</x:v>
      </x:c>
    </x:row>
    <x:row r="5302">
      <x:c r="B5302" s="21" t="str">
        <x:v>A05296</x:v>
      </x:c>
      <x:c r="C5302" s="21" t="str">
        <x:v>baseline</x:v>
      </x:c>
      <x:c r="D5302" s="21" t="str">
        <x:v>baseline 412 planning state</x:v>
      </x:c>
      <x:c r="E5302" s="21" t="n">
        <x:f>IF(AND('Baseline Register'!G418="0.0.0",'Baseline Register'!I418="OPEN",'Baseline Register'!J418="HOLD"),1,0)</x:f>
        <x:v>1</x:v>
      </x:c>
      <x:c r="F5302" s="21" t="n">
        <x:v>1</x:v>
      </x:c>
      <x:c r="G5302" s="23" t="str">
        <x:f>IF(E5302=F5302,"PASS","FAIL")</x:f>
        <x:v>PASS</x:v>
      </x:c>
    </x:row>
    <x:row r="5303">
      <x:c r="B5303" s="21" t="str">
        <x:v>A05297</x:v>
      </x:c>
      <x:c r="C5303" s="21" t="str">
        <x:v>baseline</x:v>
      </x:c>
      <x:c r="D5303" s="21" t="str">
        <x:v>baseline 413 planning state</x:v>
      </x:c>
      <x:c r="E5303" s="21" t="n">
        <x:f>IF(AND('Baseline Register'!G419="0.0.0",'Baseline Register'!I419="OPEN",'Baseline Register'!J419="HOLD"),1,0)</x:f>
        <x:v>1</x:v>
      </x:c>
      <x:c r="F5303" s="21" t="n">
        <x:v>1</x:v>
      </x:c>
      <x:c r="G5303" s="23" t="str">
        <x:f>IF(E5303=F5303,"PASS","FAIL")</x:f>
        <x:v>PASS</x:v>
      </x:c>
    </x:row>
    <x:row r="5304">
      <x:c r="B5304" s="21" t="str">
        <x:v>A05298</x:v>
      </x:c>
      <x:c r="C5304" s="21" t="str">
        <x:v>baseline</x:v>
      </x:c>
      <x:c r="D5304" s="21" t="str">
        <x:v>baseline 414 planning state</x:v>
      </x:c>
      <x:c r="E5304" s="21" t="n">
        <x:f>IF(AND('Baseline Register'!G420="0.0.0",'Baseline Register'!I420="OPEN",'Baseline Register'!J420="HOLD"),1,0)</x:f>
        <x:v>1</x:v>
      </x:c>
      <x:c r="F5304" s="21" t="n">
        <x:v>1</x:v>
      </x:c>
      <x:c r="G5304" s="23" t="str">
        <x:f>IF(E5304=F5304,"PASS","FAIL")</x:f>
        <x:v>PASS</x:v>
      </x:c>
    </x:row>
    <x:row r="5305">
      <x:c r="B5305" s="21" t="str">
        <x:v>A05299</x:v>
      </x:c>
      <x:c r="C5305" s="21" t="str">
        <x:v>baseline</x:v>
      </x:c>
      <x:c r="D5305" s="21" t="str">
        <x:v>baseline 415 planning state</x:v>
      </x:c>
      <x:c r="E5305" s="21" t="n">
        <x:f>IF(AND('Baseline Register'!G421="0.0.0",'Baseline Register'!I421="OPEN",'Baseline Register'!J421="HOLD"),1,0)</x:f>
        <x:v>1</x:v>
      </x:c>
      <x:c r="F5305" s="21" t="n">
        <x:v>1</x:v>
      </x:c>
      <x:c r="G5305" s="23" t="str">
        <x:f>IF(E5305=F5305,"PASS","FAIL")</x:f>
        <x:v>PASS</x:v>
      </x:c>
    </x:row>
    <x:row r="5306">
      <x:c r="B5306" s="21" t="str">
        <x:v>A05300</x:v>
      </x:c>
      <x:c r="C5306" s="21" t="str">
        <x:v>baseline</x:v>
      </x:c>
      <x:c r="D5306" s="21" t="str">
        <x:v>baseline 416 planning state</x:v>
      </x:c>
      <x:c r="E5306" s="21" t="n">
        <x:f>IF(AND('Baseline Register'!G422="0.0.0",'Baseline Register'!I422="OPEN",'Baseline Register'!J422="HOLD"),1,0)</x:f>
        <x:v>1</x:v>
      </x:c>
      <x:c r="F5306" s="21" t="n">
        <x:v>1</x:v>
      </x:c>
      <x:c r="G5306" s="23" t="str">
        <x:f>IF(E5306=F5306,"PASS","FAIL")</x:f>
        <x:v>PASS</x:v>
      </x:c>
    </x:row>
    <x:row r="5307">
      <x:c r="B5307" s="21" t="str">
        <x:v>A05301</x:v>
      </x:c>
      <x:c r="C5307" s="21" t="str">
        <x:v>baseline</x:v>
      </x:c>
      <x:c r="D5307" s="21" t="str">
        <x:v>baseline 417 planning state</x:v>
      </x:c>
      <x:c r="E5307" s="21" t="n">
        <x:f>IF(AND('Baseline Register'!G423="0.0.0",'Baseline Register'!I423="OPEN",'Baseline Register'!J423="HOLD"),1,0)</x:f>
        <x:v>1</x:v>
      </x:c>
      <x:c r="F5307" s="21" t="n">
        <x:v>1</x:v>
      </x:c>
      <x:c r="G5307" s="23" t="str">
        <x:f>IF(E5307=F5307,"PASS","FAIL")</x:f>
        <x:v>PASS</x:v>
      </x:c>
    </x:row>
    <x:row r="5308">
      <x:c r="B5308" s="21" t="str">
        <x:v>A05302</x:v>
      </x:c>
      <x:c r="C5308" s="21" t="str">
        <x:v>baseline</x:v>
      </x:c>
      <x:c r="D5308" s="21" t="str">
        <x:v>baseline 418 planning state</x:v>
      </x:c>
      <x:c r="E5308" s="21" t="n">
        <x:f>IF(AND('Baseline Register'!G424="0.0.0",'Baseline Register'!I424="OPEN",'Baseline Register'!J424="HOLD"),1,0)</x:f>
        <x:v>1</x:v>
      </x:c>
      <x:c r="F5308" s="21" t="n">
        <x:v>1</x:v>
      </x:c>
      <x:c r="G5308" s="23" t="str">
        <x:f>IF(E5308=F5308,"PASS","FAIL")</x:f>
        <x:v>PASS</x:v>
      </x:c>
    </x:row>
    <x:row r="5309">
      <x:c r="B5309" s="21" t="str">
        <x:v>A05303</x:v>
      </x:c>
      <x:c r="C5309" s="21" t="str">
        <x:v>baseline</x:v>
      </x:c>
      <x:c r="D5309" s="21" t="str">
        <x:v>baseline 419 planning state</x:v>
      </x:c>
      <x:c r="E5309" s="21" t="n">
        <x:f>IF(AND('Baseline Register'!G425="0.0.0",'Baseline Register'!I425="OPEN",'Baseline Register'!J425="HOLD"),1,0)</x:f>
        <x:v>1</x:v>
      </x:c>
      <x:c r="F5309" s="21" t="n">
        <x:v>1</x:v>
      </x:c>
      <x:c r="G5309" s="23" t="str">
        <x:f>IF(E5309=F5309,"PASS","FAIL")</x:f>
        <x:v>PASS</x:v>
      </x:c>
    </x:row>
    <x:row r="5310">
      <x:c r="B5310" s="21" t="str">
        <x:v>A05304</x:v>
      </x:c>
      <x:c r="C5310" s="21" t="str">
        <x:v>baseline</x:v>
      </x:c>
      <x:c r="D5310" s="21" t="str">
        <x:v>baseline 420 planning state</x:v>
      </x:c>
      <x:c r="E5310" s="21" t="n">
        <x:f>IF(AND('Baseline Register'!G426="0.0.0",'Baseline Register'!I426="OPEN",'Baseline Register'!J426="HOLD"),1,0)</x:f>
        <x:v>1</x:v>
      </x:c>
      <x:c r="F5310" s="21" t="n">
        <x:v>1</x:v>
      </x:c>
      <x:c r="G5310" s="23" t="str">
        <x:f>IF(E5310=F5310,"PASS","FAIL")</x:f>
        <x:v>PASS</x:v>
      </x:c>
    </x:row>
    <x:row r="5311">
      <x:c r="B5311" s="21" t="str">
        <x:v>A05305</x:v>
      </x:c>
      <x:c r="C5311" s="21" t="str">
        <x:v>baseline</x:v>
      </x:c>
      <x:c r="D5311" s="21" t="str">
        <x:v>baseline 421 planning state</x:v>
      </x:c>
      <x:c r="E5311" s="21" t="n">
        <x:f>IF(AND('Baseline Register'!G427="0.0.0",'Baseline Register'!I427="OPEN",'Baseline Register'!J427="HOLD"),1,0)</x:f>
        <x:v>1</x:v>
      </x:c>
      <x:c r="F5311" s="21" t="n">
        <x:v>1</x:v>
      </x:c>
      <x:c r="G5311" s="23" t="str">
        <x:f>IF(E5311=F5311,"PASS","FAIL")</x:f>
        <x:v>PASS</x:v>
      </x:c>
    </x:row>
    <x:row r="5312">
      <x:c r="B5312" s="21" t="str">
        <x:v>A05306</x:v>
      </x:c>
      <x:c r="C5312" s="21" t="str">
        <x:v>baseline</x:v>
      </x:c>
      <x:c r="D5312" s="21" t="str">
        <x:v>baseline 422 planning state</x:v>
      </x:c>
      <x:c r="E5312" s="21" t="n">
        <x:f>IF(AND('Baseline Register'!G428="0.0.0",'Baseline Register'!I428="OPEN",'Baseline Register'!J428="HOLD"),1,0)</x:f>
        <x:v>1</x:v>
      </x:c>
      <x:c r="F5312" s="21" t="n">
        <x:v>1</x:v>
      </x:c>
      <x:c r="G5312" s="23" t="str">
        <x:f>IF(E5312=F5312,"PASS","FAIL")</x:f>
        <x:v>PASS</x:v>
      </x:c>
    </x:row>
    <x:row r="5313">
      <x:c r="B5313" s="21" t="str">
        <x:v>A05307</x:v>
      </x:c>
      <x:c r="C5313" s="21" t="str">
        <x:v>baseline</x:v>
      </x:c>
      <x:c r="D5313" s="21" t="str">
        <x:v>baseline 423 planning state</x:v>
      </x:c>
      <x:c r="E5313" s="21" t="n">
        <x:f>IF(AND('Baseline Register'!G429="0.0.0",'Baseline Register'!I429="OPEN",'Baseline Register'!J429="HOLD"),1,0)</x:f>
        <x:v>1</x:v>
      </x:c>
      <x:c r="F5313" s="21" t="n">
        <x:v>1</x:v>
      </x:c>
      <x:c r="G5313" s="23" t="str">
        <x:f>IF(E5313=F5313,"PASS","FAIL")</x:f>
        <x:v>PASS</x:v>
      </x:c>
    </x:row>
    <x:row r="5314">
      <x:c r="B5314" s="21" t="str">
        <x:v>A05308</x:v>
      </x:c>
      <x:c r="C5314" s="21" t="str">
        <x:v>baseline</x:v>
      </x:c>
      <x:c r="D5314" s="21" t="str">
        <x:v>baseline 424 planning state</x:v>
      </x:c>
      <x:c r="E5314" s="21" t="n">
        <x:f>IF(AND('Baseline Register'!G430="0.0.0",'Baseline Register'!I430="OPEN",'Baseline Register'!J430="HOLD"),1,0)</x:f>
        <x:v>1</x:v>
      </x:c>
      <x:c r="F5314" s="21" t="n">
        <x:v>1</x:v>
      </x:c>
      <x:c r="G5314" s="23" t="str">
        <x:f>IF(E5314=F5314,"PASS","FAIL")</x:f>
        <x:v>PASS</x:v>
      </x:c>
    </x:row>
    <x:row r="5315">
      <x:c r="B5315" s="21" t="str">
        <x:v>A05309</x:v>
      </x:c>
      <x:c r="C5315" s="21" t="str">
        <x:v>baseline</x:v>
      </x:c>
      <x:c r="D5315" s="21" t="str">
        <x:v>baseline 425 planning state</x:v>
      </x:c>
      <x:c r="E5315" s="21" t="n">
        <x:f>IF(AND('Baseline Register'!G431="0.0.0",'Baseline Register'!I431="OPEN",'Baseline Register'!J431="HOLD"),1,0)</x:f>
        <x:v>1</x:v>
      </x:c>
      <x:c r="F5315" s="21" t="n">
        <x:v>1</x:v>
      </x:c>
      <x:c r="G5315" s="23" t="str">
        <x:f>IF(E5315=F5315,"PASS","FAIL")</x:f>
        <x:v>PASS</x:v>
      </x:c>
    </x:row>
    <x:row r="5316">
      <x:c r="B5316" s="21" t="str">
        <x:v>A05310</x:v>
      </x:c>
      <x:c r="C5316" s="21" t="str">
        <x:v>baseline</x:v>
      </x:c>
      <x:c r="D5316" s="21" t="str">
        <x:v>baseline 426 planning state</x:v>
      </x:c>
      <x:c r="E5316" s="21" t="n">
        <x:f>IF(AND('Baseline Register'!G432="0.0.0",'Baseline Register'!I432="OPEN",'Baseline Register'!J432="HOLD"),1,0)</x:f>
        <x:v>1</x:v>
      </x:c>
      <x:c r="F5316" s="21" t="n">
        <x:v>1</x:v>
      </x:c>
      <x:c r="G5316" s="23" t="str">
        <x:f>IF(E5316=F5316,"PASS","FAIL")</x:f>
        <x:v>PASS</x:v>
      </x:c>
    </x:row>
    <x:row r="5317">
      <x:c r="B5317" s="21" t="str">
        <x:v>A05311</x:v>
      </x:c>
      <x:c r="C5317" s="21" t="str">
        <x:v>baseline</x:v>
      </x:c>
      <x:c r="D5317" s="21" t="str">
        <x:v>baseline 427 planning state</x:v>
      </x:c>
      <x:c r="E5317" s="21" t="n">
        <x:f>IF(AND('Baseline Register'!G433="0.0.0",'Baseline Register'!I433="OPEN",'Baseline Register'!J433="HOLD"),1,0)</x:f>
        <x:v>1</x:v>
      </x:c>
      <x:c r="F5317" s="21" t="n">
        <x:v>1</x:v>
      </x:c>
      <x:c r="G5317" s="23" t="str">
        <x:f>IF(E5317=F5317,"PASS","FAIL")</x:f>
        <x:v>PASS</x:v>
      </x:c>
    </x:row>
    <x:row r="5318">
      <x:c r="B5318" s="21" t="str">
        <x:v>A05312</x:v>
      </x:c>
      <x:c r="C5318" s="21" t="str">
        <x:v>baseline</x:v>
      </x:c>
      <x:c r="D5318" s="21" t="str">
        <x:v>baseline 428 planning state</x:v>
      </x:c>
      <x:c r="E5318" s="21" t="n">
        <x:f>IF(AND('Baseline Register'!G434="0.0.0",'Baseline Register'!I434="OPEN",'Baseline Register'!J434="HOLD"),1,0)</x:f>
        <x:v>1</x:v>
      </x:c>
      <x:c r="F5318" s="21" t="n">
        <x:v>1</x:v>
      </x:c>
      <x:c r="G5318" s="23" t="str">
        <x:f>IF(E5318=F5318,"PASS","FAIL")</x:f>
        <x:v>PASS</x:v>
      </x:c>
    </x:row>
    <x:row r="5319">
      <x:c r="B5319" s="21" t="str">
        <x:v>A05313</x:v>
      </x:c>
      <x:c r="C5319" s="21" t="str">
        <x:v>baseline</x:v>
      </x:c>
      <x:c r="D5319" s="21" t="str">
        <x:v>baseline 429 planning state</x:v>
      </x:c>
      <x:c r="E5319" s="21" t="n">
        <x:f>IF(AND('Baseline Register'!G435="0.0.0",'Baseline Register'!I435="OPEN",'Baseline Register'!J435="HOLD"),1,0)</x:f>
        <x:v>1</x:v>
      </x:c>
      <x:c r="F5319" s="21" t="n">
        <x:v>1</x:v>
      </x:c>
      <x:c r="G5319" s="23" t="str">
        <x:f>IF(E5319=F5319,"PASS","FAIL")</x:f>
        <x:v>PASS</x:v>
      </x:c>
    </x:row>
    <x:row r="5320">
      <x:c r="B5320" s="21" t="str">
        <x:v>A05314</x:v>
      </x:c>
      <x:c r="C5320" s="21" t="str">
        <x:v>baseline</x:v>
      </x:c>
      <x:c r="D5320" s="21" t="str">
        <x:v>baseline 430 planning state</x:v>
      </x:c>
      <x:c r="E5320" s="21" t="n">
        <x:f>IF(AND('Baseline Register'!G436="0.0.0",'Baseline Register'!I436="OPEN",'Baseline Register'!J436="HOLD"),1,0)</x:f>
        <x:v>1</x:v>
      </x:c>
      <x:c r="F5320" s="21" t="n">
        <x:v>1</x:v>
      </x:c>
      <x:c r="G5320" s="23" t="str">
        <x:f>IF(E5320=F5320,"PASS","FAIL")</x:f>
        <x:v>PASS</x:v>
      </x:c>
    </x:row>
    <x:row r="5321">
      <x:c r="B5321" s="21" t="str">
        <x:v>A05315</x:v>
      </x:c>
      <x:c r="C5321" s="21" t="str">
        <x:v>baseline</x:v>
      </x:c>
      <x:c r="D5321" s="21" t="str">
        <x:v>baseline 431 planning state</x:v>
      </x:c>
      <x:c r="E5321" s="21" t="n">
        <x:f>IF(AND('Baseline Register'!G437="0.0.0",'Baseline Register'!I437="OPEN",'Baseline Register'!J437="HOLD"),1,0)</x:f>
        <x:v>1</x:v>
      </x:c>
      <x:c r="F5321" s="21" t="n">
        <x:v>1</x:v>
      </x:c>
      <x:c r="G5321" s="23" t="str">
        <x:f>IF(E5321=F5321,"PASS","FAIL")</x:f>
        <x:v>PASS</x:v>
      </x:c>
    </x:row>
    <x:row r="5322">
      <x:c r="B5322" s="21" t="str">
        <x:v>A05316</x:v>
      </x:c>
      <x:c r="C5322" s="21" t="str">
        <x:v>baseline</x:v>
      </x:c>
      <x:c r="D5322" s="21" t="str">
        <x:v>baseline 432 planning state</x:v>
      </x:c>
      <x:c r="E5322" s="21" t="n">
        <x:f>IF(AND('Baseline Register'!G438="0.0.0",'Baseline Register'!I438="OPEN",'Baseline Register'!J438="HOLD"),1,0)</x:f>
        <x:v>1</x:v>
      </x:c>
      <x:c r="F5322" s="21" t="n">
        <x:v>1</x:v>
      </x:c>
      <x:c r="G5322" s="23" t="str">
        <x:f>IF(E5322=F5322,"PASS","FAIL")</x:f>
        <x:v>PASS</x:v>
      </x:c>
    </x:row>
    <x:row r="5323">
      <x:c r="B5323" s="21" t="str">
        <x:v>A05317</x:v>
      </x:c>
      <x:c r="C5323" s="21" t="str">
        <x:v>baseline</x:v>
      </x:c>
      <x:c r="D5323" s="21" t="str">
        <x:v>baseline 433 planning state</x:v>
      </x:c>
      <x:c r="E5323" s="21" t="n">
        <x:f>IF(AND('Baseline Register'!G439="0.0.0",'Baseline Register'!I439="OPEN",'Baseline Register'!J439="HOLD"),1,0)</x:f>
        <x:v>1</x:v>
      </x:c>
      <x:c r="F5323" s="21" t="n">
        <x:v>1</x:v>
      </x:c>
      <x:c r="G5323" s="23" t="str">
        <x:f>IF(E5323=F5323,"PASS","FAIL")</x:f>
        <x:v>PASS</x:v>
      </x:c>
    </x:row>
    <x:row r="5324">
      <x:c r="B5324" s="21" t="str">
        <x:v>A05318</x:v>
      </x:c>
      <x:c r="C5324" s="21" t="str">
        <x:v>baseline</x:v>
      </x:c>
      <x:c r="D5324" s="21" t="str">
        <x:v>baseline 434 planning state</x:v>
      </x:c>
      <x:c r="E5324" s="21" t="n">
        <x:f>IF(AND('Baseline Register'!G440="0.0.0",'Baseline Register'!I440="OPEN",'Baseline Register'!J440="HOLD"),1,0)</x:f>
        <x:v>1</x:v>
      </x:c>
      <x:c r="F5324" s="21" t="n">
        <x:v>1</x:v>
      </x:c>
      <x:c r="G5324" s="23" t="str">
        <x:f>IF(E5324=F5324,"PASS","FAIL")</x:f>
        <x:v>PASS</x:v>
      </x:c>
    </x:row>
    <x:row r="5325">
      <x:c r="B5325" s="21" t="str">
        <x:v>A05319</x:v>
      </x:c>
      <x:c r="C5325" s="21" t="str">
        <x:v>baseline</x:v>
      </x:c>
      <x:c r="D5325" s="21" t="str">
        <x:v>baseline 435 planning state</x:v>
      </x:c>
      <x:c r="E5325" s="21" t="n">
        <x:f>IF(AND('Baseline Register'!G441="0.0.0",'Baseline Register'!I441="OPEN",'Baseline Register'!J441="HOLD"),1,0)</x:f>
        <x:v>1</x:v>
      </x:c>
      <x:c r="F5325" s="21" t="n">
        <x:v>1</x:v>
      </x:c>
      <x:c r="G5325" s="23" t="str">
        <x:f>IF(E5325=F5325,"PASS","FAIL")</x:f>
        <x:v>PASS</x:v>
      </x:c>
    </x:row>
    <x:row r="5326">
      <x:c r="B5326" s="21" t="str">
        <x:v>A05320</x:v>
      </x:c>
      <x:c r="C5326" s="21" t="str">
        <x:v>baseline</x:v>
      </x:c>
      <x:c r="D5326" s="21" t="str">
        <x:v>baseline 436 planning state</x:v>
      </x:c>
      <x:c r="E5326" s="21" t="n">
        <x:f>IF(AND('Baseline Register'!G442="0.0.0",'Baseline Register'!I442="OPEN",'Baseline Register'!J442="HOLD"),1,0)</x:f>
        <x:v>1</x:v>
      </x:c>
      <x:c r="F5326" s="21" t="n">
        <x:v>1</x:v>
      </x:c>
      <x:c r="G5326" s="23" t="str">
        <x:f>IF(E5326=F5326,"PASS","FAIL")</x:f>
        <x:v>PASS</x:v>
      </x:c>
    </x:row>
    <x:row r="5327">
      <x:c r="B5327" s="21" t="str">
        <x:v>A05321</x:v>
      </x:c>
      <x:c r="C5327" s="21" t="str">
        <x:v>baseline</x:v>
      </x:c>
      <x:c r="D5327" s="21" t="str">
        <x:v>baseline 437 planning state</x:v>
      </x:c>
      <x:c r="E5327" s="21" t="n">
        <x:f>IF(AND('Baseline Register'!G443="0.0.0",'Baseline Register'!I443="OPEN",'Baseline Register'!J443="HOLD"),1,0)</x:f>
        <x:v>1</x:v>
      </x:c>
      <x:c r="F5327" s="21" t="n">
        <x:v>1</x:v>
      </x:c>
      <x:c r="G5327" s="23" t="str">
        <x:f>IF(E5327=F5327,"PASS","FAIL")</x:f>
        <x:v>PASS</x:v>
      </x:c>
    </x:row>
    <x:row r="5328">
      <x:c r="B5328" s="21" t="str">
        <x:v>A05322</x:v>
      </x:c>
      <x:c r="C5328" s="21" t="str">
        <x:v>baseline</x:v>
      </x:c>
      <x:c r="D5328" s="21" t="str">
        <x:v>baseline 438 planning state</x:v>
      </x:c>
      <x:c r="E5328" s="21" t="n">
        <x:f>IF(AND('Baseline Register'!G444="0.0.0",'Baseline Register'!I444="OPEN",'Baseline Register'!J444="HOLD"),1,0)</x:f>
        <x:v>1</x:v>
      </x:c>
      <x:c r="F5328" s="21" t="n">
        <x:v>1</x:v>
      </x:c>
      <x:c r="G5328" s="23" t="str">
        <x:f>IF(E5328=F5328,"PASS","FAIL")</x:f>
        <x:v>PASS</x:v>
      </x:c>
    </x:row>
    <x:row r="5329">
      <x:c r="B5329" s="21" t="str">
        <x:v>A05323</x:v>
      </x:c>
      <x:c r="C5329" s="21" t="str">
        <x:v>baseline</x:v>
      </x:c>
      <x:c r="D5329" s="21" t="str">
        <x:v>baseline 439 planning state</x:v>
      </x:c>
      <x:c r="E5329" s="21" t="n">
        <x:f>IF(AND('Baseline Register'!G445="0.0.0",'Baseline Register'!I445="OPEN",'Baseline Register'!J445="HOLD"),1,0)</x:f>
        <x:v>1</x:v>
      </x:c>
      <x:c r="F5329" s="21" t="n">
        <x:v>1</x:v>
      </x:c>
      <x:c r="G5329" s="23" t="str">
        <x:f>IF(E5329=F5329,"PASS","FAIL")</x:f>
        <x:v>PASS</x:v>
      </x:c>
    </x:row>
    <x:row r="5330">
      <x:c r="B5330" s="21" t="str">
        <x:v>A05324</x:v>
      </x:c>
      <x:c r="C5330" s="21" t="str">
        <x:v>baseline</x:v>
      </x:c>
      <x:c r="D5330" s="21" t="str">
        <x:v>baseline 440 planning state</x:v>
      </x:c>
      <x:c r="E5330" s="21" t="n">
        <x:f>IF(AND('Baseline Register'!G446="0.0.0",'Baseline Register'!I446="OPEN",'Baseline Register'!J446="HOLD"),1,0)</x:f>
        <x:v>1</x:v>
      </x:c>
      <x:c r="F5330" s="21" t="n">
        <x:v>1</x:v>
      </x:c>
      <x:c r="G5330" s="23" t="str">
        <x:f>IF(E5330=F5330,"PASS","FAIL")</x:f>
        <x:v>PASS</x:v>
      </x:c>
    </x:row>
    <x:row r="5331">
      <x:c r="B5331" s="21" t="str">
        <x:v>A05325</x:v>
      </x:c>
      <x:c r="C5331" s="21" t="str">
        <x:v>baseline</x:v>
      </x:c>
      <x:c r="D5331" s="21" t="str">
        <x:v>baseline 441 planning state</x:v>
      </x:c>
      <x:c r="E5331" s="21" t="n">
        <x:f>IF(AND('Baseline Register'!G447="0.0.0",'Baseline Register'!I447="OPEN",'Baseline Register'!J447="HOLD"),1,0)</x:f>
        <x:v>1</x:v>
      </x:c>
      <x:c r="F5331" s="21" t="n">
        <x:v>1</x:v>
      </x:c>
      <x:c r="G5331" s="23" t="str">
        <x:f>IF(E5331=F5331,"PASS","FAIL")</x:f>
        <x:v>PASS</x:v>
      </x:c>
    </x:row>
    <x:row r="5332">
      <x:c r="B5332" s="21" t="str">
        <x:v>A05326</x:v>
      </x:c>
      <x:c r="C5332" s="21" t="str">
        <x:v>baseline</x:v>
      </x:c>
      <x:c r="D5332" s="21" t="str">
        <x:v>baseline 442 planning state</x:v>
      </x:c>
      <x:c r="E5332" s="21" t="n">
        <x:f>IF(AND('Baseline Register'!G448="0.0.0",'Baseline Register'!I448="OPEN",'Baseline Register'!J448="HOLD"),1,0)</x:f>
        <x:v>1</x:v>
      </x:c>
      <x:c r="F5332" s="21" t="n">
        <x:v>1</x:v>
      </x:c>
      <x:c r="G5332" s="23" t="str">
        <x:f>IF(E5332=F5332,"PASS","FAIL")</x:f>
        <x:v>PASS</x:v>
      </x:c>
    </x:row>
    <x:row r="5333">
      <x:c r="B5333" s="21" t="str">
        <x:v>A05327</x:v>
      </x:c>
      <x:c r="C5333" s="21" t="str">
        <x:v>baseline</x:v>
      </x:c>
      <x:c r="D5333" s="21" t="str">
        <x:v>baseline 443 planning state</x:v>
      </x:c>
      <x:c r="E5333" s="21" t="n">
        <x:f>IF(AND('Baseline Register'!G449="0.0.0",'Baseline Register'!I449="OPEN",'Baseline Register'!J449="HOLD"),1,0)</x:f>
        <x:v>1</x:v>
      </x:c>
      <x:c r="F5333" s="21" t="n">
        <x:v>1</x:v>
      </x:c>
      <x:c r="G5333" s="23" t="str">
        <x:f>IF(E5333=F5333,"PASS","FAIL")</x:f>
        <x:v>PASS</x:v>
      </x:c>
    </x:row>
    <x:row r="5334">
      <x:c r="B5334" s="21" t="str">
        <x:v>A05328</x:v>
      </x:c>
      <x:c r="C5334" s="21" t="str">
        <x:v>baseline</x:v>
      </x:c>
      <x:c r="D5334" s="21" t="str">
        <x:v>baseline 444 planning state</x:v>
      </x:c>
      <x:c r="E5334" s="21" t="n">
        <x:f>IF(AND('Baseline Register'!G450="0.0.0",'Baseline Register'!I450="OPEN",'Baseline Register'!J450="HOLD"),1,0)</x:f>
        <x:v>1</x:v>
      </x:c>
      <x:c r="F5334" s="21" t="n">
        <x:v>1</x:v>
      </x:c>
      <x:c r="G5334" s="23" t="str">
        <x:f>IF(E5334=F5334,"PASS","FAIL")</x:f>
        <x:v>PASS</x:v>
      </x:c>
    </x:row>
    <x:row r="5335">
      <x:c r="B5335" s="21" t="str">
        <x:v>A05329</x:v>
      </x:c>
      <x:c r="C5335" s="21" t="str">
        <x:v>baseline</x:v>
      </x:c>
      <x:c r="D5335" s="21" t="str">
        <x:v>baseline 445 planning state</x:v>
      </x:c>
      <x:c r="E5335" s="21" t="n">
        <x:f>IF(AND('Baseline Register'!G451="0.0.0",'Baseline Register'!I451="OPEN",'Baseline Register'!J451="HOLD"),1,0)</x:f>
        <x:v>1</x:v>
      </x:c>
      <x:c r="F5335" s="21" t="n">
        <x:v>1</x:v>
      </x:c>
      <x:c r="G5335" s="23" t="str">
        <x:f>IF(E5335=F5335,"PASS","FAIL")</x:f>
        <x:v>PASS</x:v>
      </x:c>
    </x:row>
    <x:row r="5336">
      <x:c r="B5336" s="21" t="str">
        <x:v>A05330</x:v>
      </x:c>
      <x:c r="C5336" s="21" t="str">
        <x:v>baseline</x:v>
      </x:c>
      <x:c r="D5336" s="21" t="str">
        <x:v>baseline 446 planning state</x:v>
      </x:c>
      <x:c r="E5336" s="21" t="n">
        <x:f>IF(AND('Baseline Register'!G452="0.0.0",'Baseline Register'!I452="OPEN",'Baseline Register'!J452="HOLD"),1,0)</x:f>
        <x:v>1</x:v>
      </x:c>
      <x:c r="F5336" s="21" t="n">
        <x:v>1</x:v>
      </x:c>
      <x:c r="G5336" s="23" t="str">
        <x:f>IF(E5336=F5336,"PASS","FAIL")</x:f>
        <x:v>PASS</x:v>
      </x:c>
    </x:row>
    <x:row r="5337">
      <x:c r="B5337" s="21" t="str">
        <x:v>A05331</x:v>
      </x:c>
      <x:c r="C5337" s="21" t="str">
        <x:v>baseline</x:v>
      </x:c>
      <x:c r="D5337" s="21" t="str">
        <x:v>baseline 447 planning state</x:v>
      </x:c>
      <x:c r="E5337" s="21" t="n">
        <x:f>IF(AND('Baseline Register'!G453="0.0.0",'Baseline Register'!I453="OPEN",'Baseline Register'!J453="HOLD"),1,0)</x:f>
        <x:v>1</x:v>
      </x:c>
      <x:c r="F5337" s="21" t="n">
        <x:v>1</x:v>
      </x:c>
      <x:c r="G5337" s="23" t="str">
        <x:f>IF(E5337=F5337,"PASS","FAIL")</x:f>
        <x:v>PASS</x:v>
      </x:c>
    </x:row>
    <x:row r="5338">
      <x:c r="B5338" s="21" t="str">
        <x:v>A05332</x:v>
      </x:c>
      <x:c r="C5338" s="21" t="str">
        <x:v>baseline</x:v>
      </x:c>
      <x:c r="D5338" s="21" t="str">
        <x:v>baseline 448 planning state</x:v>
      </x:c>
      <x:c r="E5338" s="21" t="n">
        <x:f>IF(AND('Baseline Register'!G454="0.0.0",'Baseline Register'!I454="OPEN",'Baseline Register'!J454="HOLD"),1,0)</x:f>
        <x:v>1</x:v>
      </x:c>
      <x:c r="F5338" s="21" t="n">
        <x:v>1</x:v>
      </x:c>
      <x:c r="G5338" s="23" t="str">
        <x:f>IF(E5338=F5338,"PASS","FAIL")</x:f>
        <x:v>PASS</x:v>
      </x:c>
    </x:row>
    <x:row r="5339">
      <x:c r="B5339" s="21" t="str">
        <x:v>A05333</x:v>
      </x:c>
      <x:c r="C5339" s="21" t="str">
        <x:v>baseline</x:v>
      </x:c>
      <x:c r="D5339" s="21" t="str">
        <x:v>baseline 449 planning state</x:v>
      </x:c>
      <x:c r="E5339" s="21" t="n">
        <x:f>IF(AND('Baseline Register'!G455="0.0.0",'Baseline Register'!I455="OPEN",'Baseline Register'!J455="HOLD"),1,0)</x:f>
        <x:v>1</x:v>
      </x:c>
      <x:c r="F5339" s="21" t="n">
        <x:v>1</x:v>
      </x:c>
      <x:c r="G5339" s="23" t="str">
        <x:f>IF(E5339=F5339,"PASS","FAIL")</x:f>
        <x:v>PASS</x:v>
      </x:c>
    </x:row>
    <x:row r="5340">
      <x:c r="B5340" s="21" t="str">
        <x:v>A05334</x:v>
      </x:c>
      <x:c r="C5340" s="21" t="str">
        <x:v>baseline</x:v>
      </x:c>
      <x:c r="D5340" s="21" t="str">
        <x:v>baseline 450 planning state</x:v>
      </x:c>
      <x:c r="E5340" s="21" t="n">
        <x:f>IF(AND('Baseline Register'!G456="0.0.0",'Baseline Register'!I456="OPEN",'Baseline Register'!J456="HOLD"),1,0)</x:f>
        <x:v>1</x:v>
      </x:c>
      <x:c r="F5340" s="21" t="n">
        <x:v>1</x:v>
      </x:c>
      <x:c r="G5340" s="23" t="str">
        <x:f>IF(E5340=F5340,"PASS","FAIL")</x:f>
        <x:v>PASS</x:v>
      </x:c>
    </x:row>
    <x:row r="5341">
      <x:c r="B5341" s="21" t="str">
        <x:v>A05335</x:v>
      </x:c>
      <x:c r="C5341" s="21" t="str">
        <x:v>baseline</x:v>
      </x:c>
      <x:c r="D5341" s="21" t="str">
        <x:v>baseline 451 planning state</x:v>
      </x:c>
      <x:c r="E5341" s="21" t="n">
        <x:f>IF(AND('Baseline Register'!G457="0.0.0",'Baseline Register'!I457="OPEN",'Baseline Register'!J457="HOLD"),1,0)</x:f>
        <x:v>1</x:v>
      </x:c>
      <x:c r="F5341" s="21" t="n">
        <x:v>1</x:v>
      </x:c>
      <x:c r="G5341" s="23" t="str">
        <x:f>IF(E5341=F5341,"PASS","FAIL")</x:f>
        <x:v>PASS</x:v>
      </x:c>
    </x:row>
    <x:row r="5342">
      <x:c r="B5342" s="21" t="str">
        <x:v>A05336</x:v>
      </x:c>
      <x:c r="C5342" s="21" t="str">
        <x:v>baseline</x:v>
      </x:c>
      <x:c r="D5342" s="21" t="str">
        <x:v>baseline 452 planning state</x:v>
      </x:c>
      <x:c r="E5342" s="21" t="n">
        <x:f>IF(AND('Baseline Register'!G458="0.0.0",'Baseline Register'!I458="OPEN",'Baseline Register'!J458="HOLD"),1,0)</x:f>
        <x:v>1</x:v>
      </x:c>
      <x:c r="F5342" s="21" t="n">
        <x:v>1</x:v>
      </x:c>
      <x:c r="G5342" s="23" t="str">
        <x:f>IF(E5342=F5342,"PASS","FAIL")</x:f>
        <x:v>PASS</x:v>
      </x:c>
    </x:row>
    <x:row r="5343">
      <x:c r="B5343" s="21" t="str">
        <x:v>A05337</x:v>
      </x:c>
      <x:c r="C5343" s="21" t="str">
        <x:v>baseline</x:v>
      </x:c>
      <x:c r="D5343" s="21" t="str">
        <x:v>baseline 453 planning state</x:v>
      </x:c>
      <x:c r="E5343" s="21" t="n">
        <x:f>IF(AND('Baseline Register'!G459="0.0.0",'Baseline Register'!I459="OPEN",'Baseline Register'!J459="HOLD"),1,0)</x:f>
        <x:v>1</x:v>
      </x:c>
      <x:c r="F5343" s="21" t="n">
        <x:v>1</x:v>
      </x:c>
      <x:c r="G5343" s="23" t="str">
        <x:f>IF(E5343=F5343,"PASS","FAIL")</x:f>
        <x:v>PASS</x:v>
      </x:c>
    </x:row>
    <x:row r="5344">
      <x:c r="B5344" s="21" t="str">
        <x:v>A05338</x:v>
      </x:c>
      <x:c r="C5344" s="21" t="str">
        <x:v>baseline</x:v>
      </x:c>
      <x:c r="D5344" s="21" t="str">
        <x:v>baseline 454 planning state</x:v>
      </x:c>
      <x:c r="E5344" s="21" t="n">
        <x:f>IF(AND('Baseline Register'!G460="0.0.0",'Baseline Register'!I460="OPEN",'Baseline Register'!J460="HOLD"),1,0)</x:f>
        <x:v>1</x:v>
      </x:c>
      <x:c r="F5344" s="21" t="n">
        <x:v>1</x:v>
      </x:c>
      <x:c r="G5344" s="23" t="str">
        <x:f>IF(E5344=F5344,"PASS","FAIL")</x:f>
        <x:v>PASS</x:v>
      </x:c>
    </x:row>
    <x:row r="5345">
      <x:c r="B5345" s="21" t="str">
        <x:v>A05339</x:v>
      </x:c>
      <x:c r="C5345" s="21" t="str">
        <x:v>baseline</x:v>
      </x:c>
      <x:c r="D5345" s="21" t="str">
        <x:v>baseline 455 planning state</x:v>
      </x:c>
      <x:c r="E5345" s="21" t="n">
        <x:f>IF(AND('Baseline Register'!G461="0.0.0",'Baseline Register'!I461="OPEN",'Baseline Register'!J461="HOLD"),1,0)</x:f>
        <x:v>1</x:v>
      </x:c>
      <x:c r="F5345" s="21" t="n">
        <x:v>1</x:v>
      </x:c>
      <x:c r="G5345" s="23" t="str">
        <x:f>IF(E5345=F5345,"PASS","FAIL")</x:f>
        <x:v>PASS</x:v>
      </x:c>
    </x:row>
    <x:row r="5346">
      <x:c r="B5346" s="21" t="str">
        <x:v>A05340</x:v>
      </x:c>
      <x:c r="C5346" s="21" t="str">
        <x:v>baseline</x:v>
      </x:c>
      <x:c r="D5346" s="21" t="str">
        <x:v>baseline 456 planning state</x:v>
      </x:c>
      <x:c r="E5346" s="21" t="n">
        <x:f>IF(AND('Baseline Register'!G462="0.0.0",'Baseline Register'!I462="OPEN",'Baseline Register'!J462="HOLD"),1,0)</x:f>
        <x:v>1</x:v>
      </x:c>
      <x:c r="F5346" s="21" t="n">
        <x:v>1</x:v>
      </x:c>
      <x:c r="G5346" s="23" t="str">
        <x:f>IF(E5346=F5346,"PASS","FAIL")</x:f>
        <x:v>PASS</x:v>
      </x:c>
    </x:row>
    <x:row r="5347">
      <x:c r="B5347" s="21" t="str">
        <x:v>A05341</x:v>
      </x:c>
      <x:c r="C5347" s="21" t="str">
        <x:v>baseline</x:v>
      </x:c>
      <x:c r="D5347" s="21" t="str">
        <x:v>baseline 457 planning state</x:v>
      </x:c>
      <x:c r="E5347" s="21" t="n">
        <x:f>IF(AND('Baseline Register'!G463="0.0.0",'Baseline Register'!I463="OPEN",'Baseline Register'!J463="HOLD"),1,0)</x:f>
        <x:v>1</x:v>
      </x:c>
      <x:c r="F5347" s="21" t="n">
        <x:v>1</x:v>
      </x:c>
      <x:c r="G5347" s="23" t="str">
        <x:f>IF(E5347=F5347,"PASS","FAIL")</x:f>
        <x:v>PASS</x:v>
      </x:c>
    </x:row>
    <x:row r="5348">
      <x:c r="B5348" s="21" t="str">
        <x:v>A05342</x:v>
      </x:c>
      <x:c r="C5348" s="21" t="str">
        <x:v>baseline</x:v>
      </x:c>
      <x:c r="D5348" s="21" t="str">
        <x:v>baseline 458 planning state</x:v>
      </x:c>
      <x:c r="E5348" s="21" t="n">
        <x:f>IF(AND('Baseline Register'!G464="0.0.0",'Baseline Register'!I464="OPEN",'Baseline Register'!J464="HOLD"),1,0)</x:f>
        <x:v>1</x:v>
      </x:c>
      <x:c r="F5348" s="21" t="n">
        <x:v>1</x:v>
      </x:c>
      <x:c r="G5348" s="23" t="str">
        <x:f>IF(E5348=F5348,"PASS","FAIL")</x:f>
        <x:v>PASS</x:v>
      </x:c>
    </x:row>
    <x:row r="5349">
      <x:c r="B5349" s="21" t="str">
        <x:v>A05343</x:v>
      </x:c>
      <x:c r="C5349" s="21" t="str">
        <x:v>baseline</x:v>
      </x:c>
      <x:c r="D5349" s="21" t="str">
        <x:v>baseline 459 planning state</x:v>
      </x:c>
      <x:c r="E5349" s="21" t="n">
        <x:f>IF(AND('Baseline Register'!G465="0.0.0",'Baseline Register'!I465="OPEN",'Baseline Register'!J465="HOLD"),1,0)</x:f>
        <x:v>1</x:v>
      </x:c>
      <x:c r="F5349" s="21" t="n">
        <x:v>1</x:v>
      </x:c>
      <x:c r="G5349" s="23" t="str">
        <x:f>IF(E5349=F5349,"PASS","FAIL")</x:f>
        <x:v>PASS</x:v>
      </x:c>
    </x:row>
    <x:row r="5350">
      <x:c r="B5350" s="21" t="str">
        <x:v>A05344</x:v>
      </x:c>
      <x:c r="C5350" s="21" t="str">
        <x:v>baseline</x:v>
      </x:c>
      <x:c r="D5350" s="21" t="str">
        <x:v>baseline 460 planning state</x:v>
      </x:c>
      <x:c r="E5350" s="21" t="n">
        <x:f>IF(AND('Baseline Register'!G466="0.0.0",'Baseline Register'!I466="OPEN",'Baseline Register'!J466="HOLD"),1,0)</x:f>
        <x:v>1</x:v>
      </x:c>
      <x:c r="F5350" s="21" t="n">
        <x:v>1</x:v>
      </x:c>
      <x:c r="G5350" s="23" t="str">
        <x:f>IF(E5350=F5350,"PASS","FAIL")</x:f>
        <x:v>PASS</x:v>
      </x:c>
    </x:row>
    <x:row r="5351">
      <x:c r="B5351" s="21" t="str">
        <x:v>A05345</x:v>
      </x:c>
      <x:c r="C5351" s="21" t="str">
        <x:v>baseline</x:v>
      </x:c>
      <x:c r="D5351" s="21" t="str">
        <x:v>baseline 461 planning state</x:v>
      </x:c>
      <x:c r="E5351" s="21" t="n">
        <x:f>IF(AND('Baseline Register'!G467="0.0.0",'Baseline Register'!I467="OPEN",'Baseline Register'!J467="HOLD"),1,0)</x:f>
        <x:v>1</x:v>
      </x:c>
      <x:c r="F5351" s="21" t="n">
        <x:v>1</x:v>
      </x:c>
      <x:c r="G5351" s="23" t="str">
        <x:f>IF(E5351=F5351,"PASS","FAIL")</x:f>
        <x:v>PASS</x:v>
      </x:c>
    </x:row>
    <x:row r="5352">
      <x:c r="B5352" s="21" t="str">
        <x:v>A05346</x:v>
      </x:c>
      <x:c r="C5352" s="21" t="str">
        <x:v>baseline</x:v>
      </x:c>
      <x:c r="D5352" s="21" t="str">
        <x:v>baseline 462 planning state</x:v>
      </x:c>
      <x:c r="E5352" s="21" t="n">
        <x:f>IF(AND('Baseline Register'!G468="0.0.0",'Baseline Register'!I468="OPEN",'Baseline Register'!J468="HOLD"),1,0)</x:f>
        <x:v>1</x:v>
      </x:c>
      <x:c r="F5352" s="21" t="n">
        <x:v>1</x:v>
      </x:c>
      <x:c r="G5352" s="23" t="str">
        <x:f>IF(E5352=F5352,"PASS","FAIL")</x:f>
        <x:v>PASS</x:v>
      </x:c>
    </x:row>
    <x:row r="5353">
      <x:c r="B5353" s="21" t="str">
        <x:v>A05347</x:v>
      </x:c>
      <x:c r="C5353" s="21" t="str">
        <x:v>baseline</x:v>
      </x:c>
      <x:c r="D5353" s="21" t="str">
        <x:v>baseline 463 planning state</x:v>
      </x:c>
      <x:c r="E5353" s="21" t="n">
        <x:f>IF(AND('Baseline Register'!G469="0.0.0",'Baseline Register'!I469="OPEN",'Baseline Register'!J469="HOLD"),1,0)</x:f>
        <x:v>1</x:v>
      </x:c>
      <x:c r="F5353" s="21" t="n">
        <x:v>1</x:v>
      </x:c>
      <x:c r="G5353" s="23" t="str">
        <x:f>IF(E5353=F5353,"PASS","FAIL")</x:f>
        <x:v>PASS</x:v>
      </x:c>
    </x:row>
    <x:row r="5354">
      <x:c r="B5354" s="21" t="str">
        <x:v>A05348</x:v>
      </x:c>
      <x:c r="C5354" s="21" t="str">
        <x:v>baseline</x:v>
      </x:c>
      <x:c r="D5354" s="21" t="str">
        <x:v>baseline 464 planning state</x:v>
      </x:c>
      <x:c r="E5354" s="21" t="n">
        <x:f>IF(AND('Baseline Register'!G470="0.0.0",'Baseline Register'!I470="OPEN",'Baseline Register'!J470="HOLD"),1,0)</x:f>
        <x:v>1</x:v>
      </x:c>
      <x:c r="F5354" s="21" t="n">
        <x:v>1</x:v>
      </x:c>
      <x:c r="G5354" s="23" t="str">
        <x:f>IF(E5354=F5354,"PASS","FAIL")</x:f>
        <x:v>PASS</x:v>
      </x:c>
    </x:row>
    <x:row r="5355">
      <x:c r="B5355" s="21" t="str">
        <x:v>A05349</x:v>
      </x:c>
      <x:c r="C5355" s="21" t="str">
        <x:v>baseline</x:v>
      </x:c>
      <x:c r="D5355" s="21" t="str">
        <x:v>baseline 465 planning state</x:v>
      </x:c>
      <x:c r="E5355" s="21" t="n">
        <x:f>IF(AND('Baseline Register'!G471="0.0.0",'Baseline Register'!I471="OPEN",'Baseline Register'!J471="HOLD"),1,0)</x:f>
        <x:v>1</x:v>
      </x:c>
      <x:c r="F5355" s="21" t="n">
        <x:v>1</x:v>
      </x:c>
      <x:c r="G5355" s="23" t="str">
        <x:f>IF(E5355=F5355,"PASS","FAIL")</x:f>
        <x:v>PASS</x:v>
      </x:c>
    </x:row>
    <x:row r="5356">
      <x:c r="B5356" s="21" t="str">
        <x:v>A05350</x:v>
      </x:c>
      <x:c r="C5356" s="21" t="str">
        <x:v>baseline</x:v>
      </x:c>
      <x:c r="D5356" s="21" t="str">
        <x:v>baseline 466 planning state</x:v>
      </x:c>
      <x:c r="E5356" s="21" t="n">
        <x:f>IF(AND('Baseline Register'!G472="0.0.0",'Baseline Register'!I472="OPEN",'Baseline Register'!J472="HOLD"),1,0)</x:f>
        <x:v>1</x:v>
      </x:c>
      <x:c r="F5356" s="21" t="n">
        <x:v>1</x:v>
      </x:c>
      <x:c r="G5356" s="23" t="str">
        <x:f>IF(E5356=F5356,"PASS","FAIL")</x:f>
        <x:v>PASS</x:v>
      </x:c>
    </x:row>
    <x:row r="5357">
      <x:c r="B5357" s="21" t="str">
        <x:v>A05351</x:v>
      </x:c>
      <x:c r="C5357" s="21" t="str">
        <x:v>baseline</x:v>
      </x:c>
      <x:c r="D5357" s="21" t="str">
        <x:v>baseline 467 planning state</x:v>
      </x:c>
      <x:c r="E5357" s="21" t="n">
        <x:f>IF(AND('Baseline Register'!G473="0.0.0",'Baseline Register'!I473="OPEN",'Baseline Register'!J473="HOLD"),1,0)</x:f>
        <x:v>1</x:v>
      </x:c>
      <x:c r="F5357" s="21" t="n">
        <x:v>1</x:v>
      </x:c>
      <x:c r="G5357" s="23" t="str">
        <x:f>IF(E5357=F5357,"PASS","FAIL")</x:f>
        <x:v>PASS</x:v>
      </x:c>
    </x:row>
    <x:row r="5358">
      <x:c r="B5358" s="21" t="str">
        <x:v>A05352</x:v>
      </x:c>
      <x:c r="C5358" s="21" t="str">
        <x:v>baseline</x:v>
      </x:c>
      <x:c r="D5358" s="21" t="str">
        <x:v>baseline 468 planning state</x:v>
      </x:c>
      <x:c r="E5358" s="21" t="n">
        <x:f>IF(AND('Baseline Register'!G474="0.0.0",'Baseline Register'!I474="OPEN",'Baseline Register'!J474="HOLD"),1,0)</x:f>
        <x:v>1</x:v>
      </x:c>
      <x:c r="F5358" s="21" t="n">
        <x:v>1</x:v>
      </x:c>
      <x:c r="G5358" s="23" t="str">
        <x:f>IF(E5358=F5358,"PASS","FAIL")</x:f>
        <x:v>PASS</x:v>
      </x:c>
    </x:row>
    <x:row r="5359">
      <x:c r="B5359" s="21" t="str">
        <x:v>A05353</x:v>
      </x:c>
      <x:c r="C5359" s="21" t="str">
        <x:v>baseline</x:v>
      </x:c>
      <x:c r="D5359" s="21" t="str">
        <x:v>baseline 469 planning state</x:v>
      </x:c>
      <x:c r="E5359" s="21" t="n">
        <x:f>IF(AND('Baseline Register'!G475="0.0.0",'Baseline Register'!I475="OPEN",'Baseline Register'!J475="HOLD"),1,0)</x:f>
        <x:v>1</x:v>
      </x:c>
      <x:c r="F5359" s="21" t="n">
        <x:v>1</x:v>
      </x:c>
      <x:c r="G5359" s="23" t="str">
        <x:f>IF(E5359=F5359,"PASS","FAIL")</x:f>
        <x:v>PASS</x:v>
      </x:c>
    </x:row>
    <x:row r="5360">
      <x:c r="B5360" s="21" t="str">
        <x:v>A05354</x:v>
      </x:c>
      <x:c r="C5360" s="21" t="str">
        <x:v>baseline</x:v>
      </x:c>
      <x:c r="D5360" s="21" t="str">
        <x:v>baseline 470 planning state</x:v>
      </x:c>
      <x:c r="E5360" s="21" t="n">
        <x:f>IF(AND('Baseline Register'!G476="0.0.0",'Baseline Register'!I476="OPEN",'Baseline Register'!J476="HOLD"),1,0)</x:f>
        <x:v>1</x:v>
      </x:c>
      <x:c r="F5360" s="21" t="n">
        <x:v>1</x:v>
      </x:c>
      <x:c r="G5360" s="23" t="str">
        <x:f>IF(E5360=F5360,"PASS","FAIL")</x:f>
        <x:v>PASS</x:v>
      </x:c>
    </x:row>
    <x:row r="5361">
      <x:c r="B5361" s="21" t="str">
        <x:v>A05355</x:v>
      </x:c>
      <x:c r="C5361" s="21" t="str">
        <x:v>baseline</x:v>
      </x:c>
      <x:c r="D5361" s="21" t="str">
        <x:v>baseline 471 planning state</x:v>
      </x:c>
      <x:c r="E5361" s="21" t="n">
        <x:f>IF(AND('Baseline Register'!G477="0.0.0",'Baseline Register'!I477="OPEN",'Baseline Register'!J477="HOLD"),1,0)</x:f>
        <x:v>1</x:v>
      </x:c>
      <x:c r="F5361" s="21" t="n">
        <x:v>1</x:v>
      </x:c>
      <x:c r="G5361" s="23" t="str">
        <x:f>IF(E5361=F5361,"PASS","FAIL")</x:f>
        <x:v>PASS</x:v>
      </x:c>
    </x:row>
    <x:row r="5362">
      <x:c r="B5362" s="21" t="str">
        <x:v>A05356</x:v>
      </x:c>
      <x:c r="C5362" s="21" t="str">
        <x:v>baseline</x:v>
      </x:c>
      <x:c r="D5362" s="21" t="str">
        <x:v>baseline 472 planning state</x:v>
      </x:c>
      <x:c r="E5362" s="21" t="n">
        <x:f>IF(AND('Baseline Register'!G478="0.0.0",'Baseline Register'!I478="OPEN",'Baseline Register'!J478="HOLD"),1,0)</x:f>
        <x:v>1</x:v>
      </x:c>
      <x:c r="F5362" s="21" t="n">
        <x:v>1</x:v>
      </x:c>
      <x:c r="G5362" s="23" t="str">
        <x:f>IF(E5362=F5362,"PASS","FAIL")</x:f>
        <x:v>PASS</x:v>
      </x:c>
    </x:row>
    <x:row r="5363">
      <x:c r="B5363" s="21" t="str">
        <x:v>A05357</x:v>
      </x:c>
      <x:c r="C5363" s="21" t="str">
        <x:v>baseline</x:v>
      </x:c>
      <x:c r="D5363" s="21" t="str">
        <x:v>baseline 473 planning state</x:v>
      </x:c>
      <x:c r="E5363" s="21" t="n">
        <x:f>IF(AND('Baseline Register'!G479="0.0.0",'Baseline Register'!I479="OPEN",'Baseline Register'!J479="HOLD"),1,0)</x:f>
        <x:v>1</x:v>
      </x:c>
      <x:c r="F5363" s="21" t="n">
        <x:v>1</x:v>
      </x:c>
      <x:c r="G5363" s="23" t="str">
        <x:f>IF(E5363=F5363,"PASS","FAIL")</x:f>
        <x:v>PASS</x:v>
      </x:c>
    </x:row>
    <x:row r="5364">
      <x:c r="B5364" s="21" t="str">
        <x:v>A05358</x:v>
      </x:c>
      <x:c r="C5364" s="21" t="str">
        <x:v>baseline</x:v>
      </x:c>
      <x:c r="D5364" s="21" t="str">
        <x:v>baseline 474 planning state</x:v>
      </x:c>
      <x:c r="E5364" s="21" t="n">
        <x:f>IF(AND('Baseline Register'!G480="0.0.0",'Baseline Register'!I480="OPEN",'Baseline Register'!J480="HOLD"),1,0)</x:f>
        <x:v>1</x:v>
      </x:c>
      <x:c r="F5364" s="21" t="n">
        <x:v>1</x:v>
      </x:c>
      <x:c r="G5364" s="23" t="str">
        <x:f>IF(E5364=F5364,"PASS","FAIL")</x:f>
        <x:v>PASS</x:v>
      </x:c>
    </x:row>
    <x:row r="5365">
      <x:c r="B5365" s="21" t="str">
        <x:v>A05359</x:v>
      </x:c>
      <x:c r="C5365" s="21" t="str">
        <x:v>baseline</x:v>
      </x:c>
      <x:c r="D5365" s="21" t="str">
        <x:v>baseline 475 planning state</x:v>
      </x:c>
      <x:c r="E5365" s="21" t="n">
        <x:f>IF(AND('Baseline Register'!G481="0.0.0",'Baseline Register'!I481="OPEN",'Baseline Register'!J481="HOLD"),1,0)</x:f>
        <x:v>1</x:v>
      </x:c>
      <x:c r="F5365" s="21" t="n">
        <x:v>1</x:v>
      </x:c>
      <x:c r="G5365" s="23" t="str">
        <x:f>IF(E5365=F5365,"PASS","FAIL")</x:f>
        <x:v>PASS</x:v>
      </x:c>
    </x:row>
    <x:row r="5366">
      <x:c r="B5366" s="21" t="str">
        <x:v>A05360</x:v>
      </x:c>
      <x:c r="C5366" s="21" t="str">
        <x:v>baseline</x:v>
      </x:c>
      <x:c r="D5366" s="21" t="str">
        <x:v>baseline 476 planning state</x:v>
      </x:c>
      <x:c r="E5366" s="21" t="n">
        <x:f>IF(AND('Baseline Register'!G482="0.0.0",'Baseline Register'!I482="OPEN",'Baseline Register'!J482="HOLD"),1,0)</x:f>
        <x:v>1</x:v>
      </x:c>
      <x:c r="F5366" s="21" t="n">
        <x:v>1</x:v>
      </x:c>
      <x:c r="G5366" s="23" t="str">
        <x:f>IF(E5366=F5366,"PASS","FAIL")</x:f>
        <x:v>PASS</x:v>
      </x:c>
    </x:row>
    <x:row r="5367">
      <x:c r="B5367" s="21" t="str">
        <x:v>A05361</x:v>
      </x:c>
      <x:c r="C5367" s="21" t="str">
        <x:v>baseline</x:v>
      </x:c>
      <x:c r="D5367" s="21" t="str">
        <x:v>baseline 477 planning state</x:v>
      </x:c>
      <x:c r="E5367" s="21" t="n">
        <x:f>IF(AND('Baseline Register'!G483="0.0.0",'Baseline Register'!I483="OPEN",'Baseline Register'!J483="HOLD"),1,0)</x:f>
        <x:v>1</x:v>
      </x:c>
      <x:c r="F5367" s="21" t="n">
        <x:v>1</x:v>
      </x:c>
      <x:c r="G5367" s="23" t="str">
        <x:f>IF(E5367=F5367,"PASS","FAIL")</x:f>
        <x:v>PASS</x:v>
      </x:c>
    </x:row>
    <x:row r="5368">
      <x:c r="B5368" s="21" t="str">
        <x:v>A05362</x:v>
      </x:c>
      <x:c r="C5368" s="21" t="str">
        <x:v>baseline</x:v>
      </x:c>
      <x:c r="D5368" s="21" t="str">
        <x:v>baseline 478 planning state</x:v>
      </x:c>
      <x:c r="E5368" s="21" t="n">
        <x:f>IF(AND('Baseline Register'!G484="0.0.0",'Baseline Register'!I484="OPEN",'Baseline Register'!J484="HOLD"),1,0)</x:f>
        <x:v>1</x:v>
      </x:c>
      <x:c r="F5368" s="21" t="n">
        <x:v>1</x:v>
      </x:c>
      <x:c r="G5368" s="23" t="str">
        <x:f>IF(E5368=F5368,"PASS","FAIL")</x:f>
        <x:v>PASS</x:v>
      </x:c>
    </x:row>
    <x:row r="5369">
      <x:c r="B5369" s="21" t="str">
        <x:v>A05363</x:v>
      </x:c>
      <x:c r="C5369" s="21" t="str">
        <x:v>baseline</x:v>
      </x:c>
      <x:c r="D5369" s="21" t="str">
        <x:v>baseline 479 planning state</x:v>
      </x:c>
      <x:c r="E5369" s="21" t="n">
        <x:f>IF(AND('Baseline Register'!G485="0.0.0",'Baseline Register'!I485="OPEN",'Baseline Register'!J485="HOLD"),1,0)</x:f>
        <x:v>1</x:v>
      </x:c>
      <x:c r="F5369" s="21" t="n">
        <x:v>1</x:v>
      </x:c>
      <x:c r="G5369" s="23" t="str">
        <x:f>IF(E5369=F5369,"PASS","FAIL")</x:f>
        <x:v>PASS</x:v>
      </x:c>
    </x:row>
    <x:row r="5370">
      <x:c r="B5370" s="21" t="str">
        <x:v>A05364</x:v>
      </x:c>
      <x:c r="C5370" s="21" t="str">
        <x:v>baseline</x:v>
      </x:c>
      <x:c r="D5370" s="21" t="str">
        <x:v>baseline 480 planning state</x:v>
      </x:c>
      <x:c r="E5370" s="21" t="n">
        <x:f>IF(AND('Baseline Register'!G486="0.0.0",'Baseline Register'!I486="OPEN",'Baseline Register'!J486="HOLD"),1,0)</x:f>
        <x:v>1</x:v>
      </x:c>
      <x:c r="F5370" s="21" t="n">
        <x:v>1</x:v>
      </x:c>
      <x:c r="G5370" s="23" t="str">
        <x:f>IF(E5370=F5370,"PASS","FAIL")</x:f>
        <x:v>PASS</x:v>
      </x:c>
    </x:row>
    <x:row r="5371">
      <x:c r="B5371" s="21" t="str">
        <x:v>A05365</x:v>
      </x:c>
      <x:c r="C5371" s="21" t="str">
        <x:v>baseline</x:v>
      </x:c>
      <x:c r="D5371" s="21" t="str">
        <x:v>baseline 481 planning state</x:v>
      </x:c>
      <x:c r="E5371" s="21" t="n">
        <x:f>IF(AND('Baseline Register'!G487="0.0.0",'Baseline Register'!I487="OPEN",'Baseline Register'!J487="HOLD"),1,0)</x:f>
        <x:v>1</x:v>
      </x:c>
      <x:c r="F5371" s="21" t="n">
        <x:v>1</x:v>
      </x:c>
      <x:c r="G5371" s="23" t="str">
        <x:f>IF(E5371=F5371,"PASS","FAIL")</x:f>
        <x:v>PASS</x:v>
      </x:c>
    </x:row>
    <x:row r="5372">
      <x:c r="B5372" s="21" t="str">
        <x:v>A05366</x:v>
      </x:c>
      <x:c r="C5372" s="21" t="str">
        <x:v>baseline</x:v>
      </x:c>
      <x:c r="D5372" s="21" t="str">
        <x:v>baseline 482 planning state</x:v>
      </x:c>
      <x:c r="E5372" s="21" t="n">
        <x:f>IF(AND('Baseline Register'!G488="0.0.0",'Baseline Register'!I488="OPEN",'Baseline Register'!J488="HOLD"),1,0)</x:f>
        <x:v>1</x:v>
      </x:c>
      <x:c r="F5372" s="21" t="n">
        <x:v>1</x:v>
      </x:c>
      <x:c r="G5372" s="23" t="str">
        <x:f>IF(E5372=F5372,"PASS","FAIL")</x:f>
        <x:v>PASS</x:v>
      </x:c>
    </x:row>
    <x:row r="5373">
      <x:c r="B5373" s="21" t="str">
        <x:v>A05367</x:v>
      </x:c>
      <x:c r="C5373" s="21" t="str">
        <x:v>baseline</x:v>
      </x:c>
      <x:c r="D5373" s="21" t="str">
        <x:v>baseline 483 planning state</x:v>
      </x:c>
      <x:c r="E5373" s="21" t="n">
        <x:f>IF(AND('Baseline Register'!G489="0.0.0",'Baseline Register'!I489="OPEN",'Baseline Register'!J489="HOLD"),1,0)</x:f>
        <x:v>1</x:v>
      </x:c>
      <x:c r="F5373" s="21" t="n">
        <x:v>1</x:v>
      </x:c>
      <x:c r="G5373" s="23" t="str">
        <x:f>IF(E5373=F5373,"PASS","FAIL")</x:f>
        <x:v>PASS</x:v>
      </x:c>
    </x:row>
    <x:row r="5374">
      <x:c r="B5374" s="21" t="str">
        <x:v>A05368</x:v>
      </x:c>
      <x:c r="C5374" s="21" t="str">
        <x:v>baseline</x:v>
      </x:c>
      <x:c r="D5374" s="21" t="str">
        <x:v>baseline 484 planning state</x:v>
      </x:c>
      <x:c r="E5374" s="21" t="n">
        <x:f>IF(AND('Baseline Register'!G490="0.0.0",'Baseline Register'!I490="OPEN",'Baseline Register'!J490="HOLD"),1,0)</x:f>
        <x:v>1</x:v>
      </x:c>
      <x:c r="F5374" s="21" t="n">
        <x:v>1</x:v>
      </x:c>
      <x:c r="G5374" s="23" t="str">
        <x:f>IF(E5374=F5374,"PASS","FAIL")</x:f>
        <x:v>PASS</x:v>
      </x:c>
    </x:row>
    <x:row r="5375">
      <x:c r="B5375" s="21" t="str">
        <x:v>A05369</x:v>
      </x:c>
      <x:c r="C5375" s="21" t="str">
        <x:v>baseline</x:v>
      </x:c>
      <x:c r="D5375" s="21" t="str">
        <x:v>baseline 485 planning state</x:v>
      </x:c>
      <x:c r="E5375" s="21" t="n">
        <x:f>IF(AND('Baseline Register'!G491="0.0.0",'Baseline Register'!I491="OPEN",'Baseline Register'!J491="HOLD"),1,0)</x:f>
        <x:v>1</x:v>
      </x:c>
      <x:c r="F5375" s="21" t="n">
        <x:v>1</x:v>
      </x:c>
      <x:c r="G5375" s="23" t="str">
        <x:f>IF(E5375=F5375,"PASS","FAIL")</x:f>
        <x:v>PASS</x:v>
      </x:c>
    </x:row>
    <x:row r="5376">
      <x:c r="B5376" s="21" t="str">
        <x:v>A05370</x:v>
      </x:c>
      <x:c r="C5376" s="21" t="str">
        <x:v>baseline</x:v>
      </x:c>
      <x:c r="D5376" s="21" t="str">
        <x:v>baseline 486 planning state</x:v>
      </x:c>
      <x:c r="E5376" s="21" t="n">
        <x:f>IF(AND('Baseline Register'!G492="0.0.0",'Baseline Register'!I492="OPEN",'Baseline Register'!J492="HOLD"),1,0)</x:f>
        <x:v>1</x:v>
      </x:c>
      <x:c r="F5376" s="21" t="n">
        <x:v>1</x:v>
      </x:c>
      <x:c r="G5376" s="23" t="str">
        <x:f>IF(E5376=F5376,"PASS","FAIL")</x:f>
        <x:v>PASS</x:v>
      </x:c>
    </x:row>
    <x:row r="5377">
      <x:c r="B5377" s="21" t="str">
        <x:v>A05371</x:v>
      </x:c>
      <x:c r="C5377" s="21" t="str">
        <x:v>baseline</x:v>
      </x:c>
      <x:c r="D5377" s="21" t="str">
        <x:v>baseline 487 planning state</x:v>
      </x:c>
      <x:c r="E5377" s="21" t="n">
        <x:f>IF(AND('Baseline Register'!G493="0.0.0",'Baseline Register'!I493="OPEN",'Baseline Register'!J493="HOLD"),1,0)</x:f>
        <x:v>1</x:v>
      </x:c>
      <x:c r="F5377" s="21" t="n">
        <x:v>1</x:v>
      </x:c>
      <x:c r="G5377" s="23" t="str">
        <x:f>IF(E5377=F5377,"PASS","FAIL")</x:f>
        <x:v>PASS</x:v>
      </x:c>
    </x:row>
    <x:row r="5378">
      <x:c r="B5378" s="21" t="str">
        <x:v>A05372</x:v>
      </x:c>
      <x:c r="C5378" s="21" t="str">
        <x:v>baseline</x:v>
      </x:c>
      <x:c r="D5378" s="21" t="str">
        <x:v>baseline 488 planning state</x:v>
      </x:c>
      <x:c r="E5378" s="21" t="n">
        <x:f>IF(AND('Baseline Register'!G494="0.0.0",'Baseline Register'!I494="OPEN",'Baseline Register'!J494="HOLD"),1,0)</x:f>
        <x:v>1</x:v>
      </x:c>
      <x:c r="F5378" s="21" t="n">
        <x:v>1</x:v>
      </x:c>
      <x:c r="G5378" s="23" t="str">
        <x:f>IF(E5378=F5378,"PASS","FAIL")</x:f>
        <x:v>PASS</x:v>
      </x:c>
    </x:row>
    <x:row r="5379">
      <x:c r="B5379" s="21" t="str">
        <x:v>A05373</x:v>
      </x:c>
      <x:c r="C5379" s="21" t="str">
        <x:v>baseline</x:v>
      </x:c>
      <x:c r="D5379" s="21" t="str">
        <x:v>baseline 489 planning state</x:v>
      </x:c>
      <x:c r="E5379" s="21" t="n">
        <x:f>IF(AND('Baseline Register'!G495="0.0.0",'Baseline Register'!I495="OPEN",'Baseline Register'!J495="HOLD"),1,0)</x:f>
        <x:v>1</x:v>
      </x:c>
      <x:c r="F5379" s="21" t="n">
        <x:v>1</x:v>
      </x:c>
      <x:c r="G5379" s="23" t="str">
        <x:f>IF(E5379=F5379,"PASS","FAIL")</x:f>
        <x:v>PASS</x:v>
      </x:c>
    </x:row>
    <x:row r="5380">
      <x:c r="B5380" s="21" t="str">
        <x:v>A05374</x:v>
      </x:c>
      <x:c r="C5380" s="21" t="str">
        <x:v>baseline</x:v>
      </x:c>
      <x:c r="D5380" s="21" t="str">
        <x:v>baseline 490 planning state</x:v>
      </x:c>
      <x:c r="E5380" s="21" t="n">
        <x:f>IF(AND('Baseline Register'!G496="0.0.0",'Baseline Register'!I496="OPEN",'Baseline Register'!J496="HOLD"),1,0)</x:f>
        <x:v>1</x:v>
      </x:c>
      <x:c r="F5380" s="21" t="n">
        <x:v>1</x:v>
      </x:c>
      <x:c r="G5380" s="23" t="str">
        <x:f>IF(E5380=F5380,"PASS","FAIL")</x:f>
        <x:v>PASS</x:v>
      </x:c>
    </x:row>
    <x:row r="5381">
      <x:c r="B5381" s="21" t="str">
        <x:v>A05375</x:v>
      </x:c>
      <x:c r="C5381" s="21" t="str">
        <x:v>baseline</x:v>
      </x:c>
      <x:c r="D5381" s="21" t="str">
        <x:v>baseline 491 planning state</x:v>
      </x:c>
      <x:c r="E5381" s="21" t="n">
        <x:f>IF(AND('Baseline Register'!G497="0.0.0",'Baseline Register'!I497="OPEN",'Baseline Register'!J497="HOLD"),1,0)</x:f>
        <x:v>1</x:v>
      </x:c>
      <x:c r="F5381" s="21" t="n">
        <x:v>1</x:v>
      </x:c>
      <x:c r="G5381" s="23" t="str">
        <x:f>IF(E5381=F5381,"PASS","FAIL")</x:f>
        <x:v>PASS</x:v>
      </x:c>
    </x:row>
    <x:row r="5382">
      <x:c r="B5382" s="21" t="str">
        <x:v>A05376</x:v>
      </x:c>
      <x:c r="C5382" s="21" t="str">
        <x:v>baseline</x:v>
      </x:c>
      <x:c r="D5382" s="21" t="str">
        <x:v>baseline 492 planning state</x:v>
      </x:c>
      <x:c r="E5382" s="21" t="n">
        <x:f>IF(AND('Baseline Register'!G498="0.0.0",'Baseline Register'!I498="OPEN",'Baseline Register'!J498="HOLD"),1,0)</x:f>
        <x:v>1</x:v>
      </x:c>
      <x:c r="F5382" s="21" t="n">
        <x:v>1</x:v>
      </x:c>
      <x:c r="G5382" s="23" t="str">
        <x:f>IF(E5382=F5382,"PASS","FAIL")</x:f>
        <x:v>PASS</x:v>
      </x:c>
    </x:row>
    <x:row r="5383">
      <x:c r="B5383" s="21" t="str">
        <x:v>A05377</x:v>
      </x:c>
      <x:c r="C5383" s="21" t="str">
        <x:v>baseline</x:v>
      </x:c>
      <x:c r="D5383" s="21" t="str">
        <x:v>baseline 493 planning state</x:v>
      </x:c>
      <x:c r="E5383" s="21" t="n">
        <x:f>IF(AND('Baseline Register'!G499="0.0.0",'Baseline Register'!I499="OPEN",'Baseline Register'!J499="HOLD"),1,0)</x:f>
        <x:v>1</x:v>
      </x:c>
      <x:c r="F5383" s="21" t="n">
        <x:v>1</x:v>
      </x:c>
      <x:c r="G5383" s="23" t="str">
        <x:f>IF(E5383=F5383,"PASS","FAIL")</x:f>
        <x:v>PASS</x:v>
      </x:c>
    </x:row>
    <x:row r="5384">
      <x:c r="B5384" s="21" t="str">
        <x:v>A05378</x:v>
      </x:c>
      <x:c r="C5384" s="21" t="str">
        <x:v>baseline</x:v>
      </x:c>
      <x:c r="D5384" s="21" t="str">
        <x:v>baseline 494 planning state</x:v>
      </x:c>
      <x:c r="E5384" s="21" t="n">
        <x:f>IF(AND('Baseline Register'!G500="0.0.0",'Baseline Register'!I500="OPEN",'Baseline Register'!J500="HOLD"),1,0)</x:f>
        <x:v>1</x:v>
      </x:c>
      <x:c r="F5384" s="21" t="n">
        <x:v>1</x:v>
      </x:c>
      <x:c r="G5384" s="23" t="str">
        <x:f>IF(E5384=F5384,"PASS","FAIL")</x:f>
        <x:v>PASS</x:v>
      </x:c>
    </x:row>
    <x:row r="5385">
      <x:c r="B5385" s="21" t="str">
        <x:v>A05379</x:v>
      </x:c>
      <x:c r="C5385" s="21" t="str">
        <x:v>baseline</x:v>
      </x:c>
      <x:c r="D5385" s="21" t="str">
        <x:v>baseline 495 planning state</x:v>
      </x:c>
      <x:c r="E5385" s="21" t="n">
        <x:f>IF(AND('Baseline Register'!G501="0.0.0",'Baseline Register'!I501="OPEN",'Baseline Register'!J501="HOLD"),1,0)</x:f>
        <x:v>1</x:v>
      </x:c>
      <x:c r="F5385" s="21" t="n">
        <x:v>1</x:v>
      </x:c>
      <x:c r="G5385" s="23" t="str">
        <x:f>IF(E5385=F5385,"PASS","FAIL")</x:f>
        <x:v>PASS</x:v>
      </x:c>
    </x:row>
    <x:row r="5386">
      <x:c r="B5386" s="21" t="str">
        <x:v>A05380</x:v>
      </x:c>
      <x:c r="C5386" s="21" t="str">
        <x:v>baseline</x:v>
      </x:c>
      <x:c r="D5386" s="21" t="str">
        <x:v>baseline 496 planning state</x:v>
      </x:c>
      <x:c r="E5386" s="21" t="n">
        <x:f>IF(AND('Baseline Register'!G502="0.0.0",'Baseline Register'!I502="OPEN",'Baseline Register'!J502="HOLD"),1,0)</x:f>
        <x:v>1</x:v>
      </x:c>
      <x:c r="F5386" s="21" t="n">
        <x:v>1</x:v>
      </x:c>
      <x:c r="G5386" s="23" t="str">
        <x:f>IF(E5386=F5386,"PASS","FAIL")</x:f>
        <x:v>PASS</x:v>
      </x:c>
    </x:row>
    <x:row r="5387">
      <x:c r="B5387" s="21" t="str">
        <x:v>A05381</x:v>
      </x:c>
      <x:c r="C5387" s="21" t="str">
        <x:v>baseline</x:v>
      </x:c>
      <x:c r="D5387" s="21" t="str">
        <x:v>baseline 497 planning state</x:v>
      </x:c>
      <x:c r="E5387" s="21" t="n">
        <x:f>IF(AND('Baseline Register'!G503="0.0.0",'Baseline Register'!I503="OPEN",'Baseline Register'!J503="HOLD"),1,0)</x:f>
        <x:v>1</x:v>
      </x:c>
      <x:c r="F5387" s="21" t="n">
        <x:v>1</x:v>
      </x:c>
      <x:c r="G5387" s="23" t="str">
        <x:f>IF(E5387=F5387,"PASS","FAIL")</x:f>
        <x:v>PASS</x:v>
      </x:c>
    </x:row>
    <x:row r="5388">
      <x:c r="B5388" s="21" t="str">
        <x:v>A05382</x:v>
      </x:c>
      <x:c r="C5388" s="21" t="str">
        <x:v>baseline</x:v>
      </x:c>
      <x:c r="D5388" s="21" t="str">
        <x:v>baseline 498 planning state</x:v>
      </x:c>
      <x:c r="E5388" s="21" t="n">
        <x:f>IF(AND('Baseline Register'!G504="0.0.0",'Baseline Register'!I504="OPEN",'Baseline Register'!J504="HOLD"),1,0)</x:f>
        <x:v>1</x:v>
      </x:c>
      <x:c r="F5388" s="21" t="n">
        <x:v>1</x:v>
      </x:c>
      <x:c r="G5388" s="23" t="str">
        <x:f>IF(E5388=F5388,"PASS","FAIL")</x:f>
        <x:v>PASS</x:v>
      </x:c>
    </x:row>
    <x:row r="5389">
      <x:c r="B5389" s="21" t="str">
        <x:v>A05383</x:v>
      </x:c>
      <x:c r="C5389" s="21" t="str">
        <x:v>baseline</x:v>
      </x:c>
      <x:c r="D5389" s="21" t="str">
        <x:v>baseline 499 planning state</x:v>
      </x:c>
      <x:c r="E5389" s="21" t="n">
        <x:f>IF(AND('Baseline Register'!G505="0.0.0",'Baseline Register'!I505="OPEN",'Baseline Register'!J505="HOLD"),1,0)</x:f>
        <x:v>1</x:v>
      </x:c>
      <x:c r="F5389" s="21" t="n">
        <x:v>1</x:v>
      </x:c>
      <x:c r="G5389" s="23" t="str">
        <x:f>IF(E5389=F5389,"PASS","FAIL")</x:f>
        <x:v>PASS</x:v>
      </x:c>
    </x:row>
    <x:row r="5390">
      <x:c r="B5390" s="21" t="str">
        <x:v>A05384</x:v>
      </x:c>
      <x:c r="C5390" s="21" t="str">
        <x:v>baseline</x:v>
      </x:c>
      <x:c r="D5390" s="21" t="str">
        <x:v>baseline 500 planning state</x:v>
      </x:c>
      <x:c r="E5390" s="21" t="n">
        <x:f>IF(AND('Baseline Register'!G506="0.0.0",'Baseline Register'!I506="OPEN",'Baseline Register'!J506="HOLD"),1,0)</x:f>
        <x:v>1</x:v>
      </x:c>
      <x:c r="F5390" s="21" t="n">
        <x:v>1</x:v>
      </x:c>
      <x:c r="G5390" s="23" t="str">
        <x:f>IF(E5390=F5390,"PASS","FAIL")</x:f>
        <x:v>PASS</x:v>
      </x:c>
    </x:row>
    <x:row r="5391">
      <x:c r="B5391" s="21" t="str">
        <x:v>A05385</x:v>
      </x:c>
      <x:c r="C5391" s="21" t="str">
        <x:v>baseline</x:v>
      </x:c>
      <x:c r="D5391" s="21" t="str">
        <x:v>baseline 501 planning state</x:v>
      </x:c>
      <x:c r="E5391" s="21" t="n">
        <x:f>IF(AND('Baseline Register'!G507="0.0.0",'Baseline Register'!I507="OPEN",'Baseline Register'!J507="HOLD"),1,0)</x:f>
        <x:v>1</x:v>
      </x:c>
      <x:c r="F5391" s="21" t="n">
        <x:v>1</x:v>
      </x:c>
      <x:c r="G5391" s="23" t="str">
        <x:f>IF(E5391=F5391,"PASS","FAIL")</x:f>
        <x:v>PASS</x:v>
      </x:c>
    </x:row>
    <x:row r="5392">
      <x:c r="B5392" s="21" t="str">
        <x:v>A05386</x:v>
      </x:c>
      <x:c r="C5392" s="21" t="str">
        <x:v>baseline</x:v>
      </x:c>
      <x:c r="D5392" s="21" t="str">
        <x:v>baseline 502 planning state</x:v>
      </x:c>
      <x:c r="E5392" s="21" t="n">
        <x:f>IF(AND('Baseline Register'!G508="0.0.0",'Baseline Register'!I508="OPEN",'Baseline Register'!J508="HOLD"),1,0)</x:f>
        <x:v>1</x:v>
      </x:c>
      <x:c r="F5392" s="21" t="n">
        <x:v>1</x:v>
      </x:c>
      <x:c r="G5392" s="23" t="str">
        <x:f>IF(E5392=F5392,"PASS","FAIL")</x:f>
        <x:v>PASS</x:v>
      </x:c>
    </x:row>
    <x:row r="5393">
      <x:c r="B5393" s="21" t="str">
        <x:v>A05387</x:v>
      </x:c>
      <x:c r="C5393" s="21" t="str">
        <x:v>baseline</x:v>
      </x:c>
      <x:c r="D5393" s="21" t="str">
        <x:v>baseline 503 planning state</x:v>
      </x:c>
      <x:c r="E5393" s="21" t="n">
        <x:f>IF(AND('Baseline Register'!G509="0.0.0",'Baseline Register'!I509="OPEN",'Baseline Register'!J509="HOLD"),1,0)</x:f>
        <x:v>1</x:v>
      </x:c>
      <x:c r="F5393" s="21" t="n">
        <x:v>1</x:v>
      </x:c>
      <x:c r="G5393" s="23" t="str">
        <x:f>IF(E5393=F5393,"PASS","FAIL")</x:f>
        <x:v>PASS</x:v>
      </x:c>
    </x:row>
    <x:row r="5394">
      <x:c r="B5394" s="21" t="str">
        <x:v>A05388</x:v>
      </x:c>
      <x:c r="C5394" s="21" t="str">
        <x:v>baseline</x:v>
      </x:c>
      <x:c r="D5394" s="21" t="str">
        <x:v>baseline 504 planning state</x:v>
      </x:c>
      <x:c r="E5394" s="21" t="n">
        <x:f>IF(AND('Baseline Register'!G510="0.0.0",'Baseline Register'!I510="OPEN",'Baseline Register'!J510="HOLD"),1,0)</x:f>
        <x:v>1</x:v>
      </x:c>
      <x:c r="F5394" s="21" t="n">
        <x:v>1</x:v>
      </x:c>
      <x:c r="G5394" s="23" t="str">
        <x:f>IF(E5394=F5394,"PASS","FAIL")</x:f>
        <x:v>PASS</x:v>
      </x:c>
    </x:row>
    <x:row r="5395">
      <x:c r="B5395" s="21" t="str">
        <x:v>A05389</x:v>
      </x:c>
      <x:c r="C5395" s="21" t="str">
        <x:v>baseline</x:v>
      </x:c>
      <x:c r="D5395" s="21" t="str">
        <x:v>baseline 505 planning state</x:v>
      </x:c>
      <x:c r="E5395" s="21" t="n">
        <x:f>IF(AND('Baseline Register'!G511="0.0.0",'Baseline Register'!I511="OPEN",'Baseline Register'!J511="HOLD"),1,0)</x:f>
        <x:v>1</x:v>
      </x:c>
      <x:c r="F5395" s="21" t="n">
        <x:v>1</x:v>
      </x:c>
      <x:c r="G5395" s="23" t="str">
        <x:f>IF(E5395=F5395,"PASS","FAIL")</x:f>
        <x:v>PASS</x:v>
      </x:c>
    </x:row>
    <x:row r="5396">
      <x:c r="B5396" s="21" t="str">
        <x:v>A05390</x:v>
      </x:c>
      <x:c r="C5396" s="21" t="str">
        <x:v>baseline</x:v>
      </x:c>
      <x:c r="D5396" s="21" t="str">
        <x:v>baseline 506 planning state</x:v>
      </x:c>
      <x:c r="E5396" s="21" t="n">
        <x:f>IF(AND('Baseline Register'!G512="0.0.0",'Baseline Register'!I512="OPEN",'Baseline Register'!J512="HOLD"),1,0)</x:f>
        <x:v>1</x:v>
      </x:c>
      <x:c r="F5396" s="21" t="n">
        <x:v>1</x:v>
      </x:c>
      <x:c r="G5396" s="23" t="str">
        <x:f>IF(E5396=F5396,"PASS","FAIL")</x:f>
        <x:v>PASS</x:v>
      </x:c>
    </x:row>
    <x:row r="5397">
      <x:c r="B5397" s="21" t="str">
        <x:v>A05391</x:v>
      </x:c>
      <x:c r="C5397" s="21" t="str">
        <x:v>baseline</x:v>
      </x:c>
      <x:c r="D5397" s="21" t="str">
        <x:v>baseline 507 planning state</x:v>
      </x:c>
      <x:c r="E5397" s="21" t="n">
        <x:f>IF(AND('Baseline Register'!G513="0.0.0",'Baseline Register'!I513="OPEN",'Baseline Register'!J513="HOLD"),1,0)</x:f>
        <x:v>1</x:v>
      </x:c>
      <x:c r="F5397" s="21" t="n">
        <x:v>1</x:v>
      </x:c>
      <x:c r="G5397" s="23" t="str">
        <x:f>IF(E5397=F5397,"PASS","FAIL")</x:f>
        <x:v>PASS</x:v>
      </x:c>
    </x:row>
    <x:row r="5398">
      <x:c r="B5398" s="21" t="str">
        <x:v>A05392</x:v>
      </x:c>
      <x:c r="C5398" s="21" t="str">
        <x:v>baseline</x:v>
      </x:c>
      <x:c r="D5398" s="21" t="str">
        <x:v>baseline 508 planning state</x:v>
      </x:c>
      <x:c r="E5398" s="21" t="n">
        <x:f>IF(AND('Baseline Register'!G514="0.0.0",'Baseline Register'!I514="OPEN",'Baseline Register'!J514="HOLD"),1,0)</x:f>
        <x:v>1</x:v>
      </x:c>
      <x:c r="F5398" s="21" t="n">
        <x:v>1</x:v>
      </x:c>
      <x:c r="G5398" s="23" t="str">
        <x:f>IF(E5398=F5398,"PASS","FAIL")</x:f>
        <x:v>PASS</x:v>
      </x:c>
    </x:row>
    <x:row r="5399">
      <x:c r="B5399" s="21" t="str">
        <x:v>A05393</x:v>
      </x:c>
      <x:c r="C5399" s="21" t="str">
        <x:v>baseline</x:v>
      </x:c>
      <x:c r="D5399" s="21" t="str">
        <x:v>baseline 509 planning state</x:v>
      </x:c>
      <x:c r="E5399" s="21" t="n">
        <x:f>IF(AND('Baseline Register'!G515="0.0.0",'Baseline Register'!I515="OPEN",'Baseline Register'!J515="HOLD"),1,0)</x:f>
        <x:v>1</x:v>
      </x:c>
      <x:c r="F5399" s="21" t="n">
        <x:v>1</x:v>
      </x:c>
      <x:c r="G5399" s="23" t="str">
        <x:f>IF(E5399=F5399,"PASS","FAIL")</x:f>
        <x:v>PASS</x:v>
      </x:c>
    </x:row>
    <x:row r="5400">
      <x:c r="B5400" s="21" t="str">
        <x:v>A05394</x:v>
      </x:c>
      <x:c r="C5400" s="21" t="str">
        <x:v>baseline</x:v>
      </x:c>
      <x:c r="D5400" s="21" t="str">
        <x:v>baseline 510 planning state</x:v>
      </x:c>
      <x:c r="E5400" s="21" t="n">
        <x:f>IF(AND('Baseline Register'!G516="0.0.0",'Baseline Register'!I516="OPEN",'Baseline Register'!J516="HOLD"),1,0)</x:f>
        <x:v>1</x:v>
      </x:c>
      <x:c r="F5400" s="21" t="n">
        <x:v>1</x:v>
      </x:c>
      <x:c r="G5400" s="23" t="str">
        <x:f>IF(E5400=F5400,"PASS","FAIL")</x:f>
        <x:v>PASS</x:v>
      </x:c>
    </x:row>
    <x:row r="5401">
      <x:c r="B5401" s="21" t="str">
        <x:v>A05395</x:v>
      </x:c>
      <x:c r="C5401" s="21" t="str">
        <x:v>baseline</x:v>
      </x:c>
      <x:c r="D5401" s="21" t="str">
        <x:v>baseline 511 planning state</x:v>
      </x:c>
      <x:c r="E5401" s="21" t="n">
        <x:f>IF(AND('Baseline Register'!G517="0.0.0",'Baseline Register'!I517="OPEN",'Baseline Register'!J517="HOLD"),1,0)</x:f>
        <x:v>1</x:v>
      </x:c>
      <x:c r="F5401" s="21" t="n">
        <x:v>1</x:v>
      </x:c>
      <x:c r="G5401" s="23" t="str">
        <x:f>IF(E5401=F5401,"PASS","FAIL")</x:f>
        <x:v>PASS</x:v>
      </x:c>
    </x:row>
    <x:row r="5402">
      <x:c r="B5402" s="21" t="str">
        <x:v>A05396</x:v>
      </x:c>
      <x:c r="C5402" s="21" t="str">
        <x:v>baseline</x:v>
      </x:c>
      <x:c r="D5402" s="21" t="str">
        <x:v>baseline 512 planning state</x:v>
      </x:c>
      <x:c r="E5402" s="21" t="n">
        <x:f>IF(AND('Baseline Register'!G518="0.0.0",'Baseline Register'!I518="OPEN",'Baseline Register'!J518="HOLD"),1,0)</x:f>
        <x:v>1</x:v>
      </x:c>
      <x:c r="F5402" s="21" t="n">
        <x:v>1</x:v>
      </x:c>
      <x:c r="G5402" s="23" t="str">
        <x:f>IF(E5402=F5402,"PASS","FAIL")</x:f>
        <x:v>PASS</x:v>
      </x:c>
    </x:row>
    <x:row r="5403">
      <x:c r="B5403" s="21" t="str">
        <x:v>A05397</x:v>
      </x:c>
      <x:c r="C5403" s="21" t="str">
        <x:v>baseline</x:v>
      </x:c>
      <x:c r="D5403" s="21" t="str">
        <x:v>baseline 513 planning state</x:v>
      </x:c>
      <x:c r="E5403" s="21" t="n">
        <x:f>IF(AND('Baseline Register'!G519="0.0.0",'Baseline Register'!I519="OPEN",'Baseline Register'!J519="HOLD"),1,0)</x:f>
        <x:v>1</x:v>
      </x:c>
      <x:c r="F5403" s="21" t="n">
        <x:v>1</x:v>
      </x:c>
      <x:c r="G5403" s="23" t="str">
        <x:f>IF(E5403=F5403,"PASS","FAIL")</x:f>
        <x:v>PASS</x:v>
      </x:c>
    </x:row>
    <x:row r="5404">
      <x:c r="B5404" s="21" t="str">
        <x:v>A05398</x:v>
      </x:c>
      <x:c r="C5404" s="21" t="str">
        <x:v>baseline</x:v>
      </x:c>
      <x:c r="D5404" s="21" t="str">
        <x:v>baseline 514 planning state</x:v>
      </x:c>
      <x:c r="E5404" s="21" t="n">
        <x:f>IF(AND('Baseline Register'!G520="0.0.0",'Baseline Register'!I520="OPEN",'Baseline Register'!J520="HOLD"),1,0)</x:f>
        <x:v>1</x:v>
      </x:c>
      <x:c r="F5404" s="21" t="n">
        <x:v>1</x:v>
      </x:c>
      <x:c r="G5404" s="23" t="str">
        <x:f>IF(E5404=F5404,"PASS","FAIL")</x:f>
        <x:v>PASS</x:v>
      </x:c>
    </x:row>
    <x:row r="5405">
      <x:c r="B5405" s="21" t="str">
        <x:v>A05399</x:v>
      </x:c>
      <x:c r="C5405" s="21" t="str">
        <x:v>baseline</x:v>
      </x:c>
      <x:c r="D5405" s="21" t="str">
        <x:v>baseline 515 planning state</x:v>
      </x:c>
      <x:c r="E5405" s="21" t="n">
        <x:f>IF(AND('Baseline Register'!G521="0.0.0",'Baseline Register'!I521="OPEN",'Baseline Register'!J521="HOLD"),1,0)</x:f>
        <x:v>1</x:v>
      </x:c>
      <x:c r="F5405" s="21" t="n">
        <x:v>1</x:v>
      </x:c>
      <x:c r="G5405" s="23" t="str">
        <x:f>IF(E5405=F5405,"PASS","FAIL")</x:f>
        <x:v>PASS</x:v>
      </x:c>
    </x:row>
    <x:row r="5406">
      <x:c r="B5406" s="21" t="str">
        <x:v>A05400</x:v>
      </x:c>
      <x:c r="C5406" s="21" t="str">
        <x:v>baseline</x:v>
      </x:c>
      <x:c r="D5406" s="21" t="str">
        <x:v>baseline 516 planning state</x:v>
      </x:c>
      <x:c r="E5406" s="21" t="n">
        <x:f>IF(AND('Baseline Register'!G522="0.0.0",'Baseline Register'!I522="OPEN",'Baseline Register'!J522="HOLD"),1,0)</x:f>
        <x:v>1</x:v>
      </x:c>
      <x:c r="F5406" s="21" t="n">
        <x:v>1</x:v>
      </x:c>
      <x:c r="G5406" s="23" t="str">
        <x:f>IF(E5406=F5406,"PASS","FAIL")</x:f>
        <x:v>PASS</x:v>
      </x:c>
    </x:row>
    <x:row r="5407">
      <x:c r="B5407" s="21" t="str">
        <x:v>A05401</x:v>
      </x:c>
      <x:c r="C5407" s="21" t="str">
        <x:v>baseline</x:v>
      </x:c>
      <x:c r="D5407" s="21" t="str">
        <x:v>baseline 517 planning state</x:v>
      </x:c>
      <x:c r="E5407" s="21" t="n">
        <x:f>IF(AND('Baseline Register'!G523="0.0.0",'Baseline Register'!I523="OPEN",'Baseline Register'!J523="HOLD"),1,0)</x:f>
        <x:v>1</x:v>
      </x:c>
      <x:c r="F5407" s="21" t="n">
        <x:v>1</x:v>
      </x:c>
      <x:c r="G5407" s="23" t="str">
        <x:f>IF(E5407=F5407,"PASS","FAIL")</x:f>
        <x:v>PASS</x:v>
      </x:c>
    </x:row>
    <x:row r="5408">
      <x:c r="B5408" s="21" t="str">
        <x:v>A05402</x:v>
      </x:c>
      <x:c r="C5408" s="21" t="str">
        <x:v>baseline</x:v>
      </x:c>
      <x:c r="D5408" s="21" t="str">
        <x:v>baseline 518 planning state</x:v>
      </x:c>
      <x:c r="E5408" s="21" t="n">
        <x:f>IF(AND('Baseline Register'!G524="0.0.0",'Baseline Register'!I524="OPEN",'Baseline Register'!J524="HOLD"),1,0)</x:f>
        <x:v>1</x:v>
      </x:c>
      <x:c r="F5408" s="21" t="n">
        <x:v>1</x:v>
      </x:c>
      <x:c r="G5408" s="23" t="str">
        <x:f>IF(E5408=F5408,"PASS","FAIL")</x:f>
        <x:v>PASS</x:v>
      </x:c>
    </x:row>
    <x:row r="5409">
      <x:c r="B5409" s="21" t="str">
        <x:v>A05403</x:v>
      </x:c>
      <x:c r="C5409" s="21" t="str">
        <x:v>baseline</x:v>
      </x:c>
      <x:c r="D5409" s="21" t="str">
        <x:v>baseline 519 planning state</x:v>
      </x:c>
      <x:c r="E5409" s="21" t="n">
        <x:f>IF(AND('Baseline Register'!G525="0.0.0",'Baseline Register'!I525="OPEN",'Baseline Register'!J525="HOLD"),1,0)</x:f>
        <x:v>1</x:v>
      </x:c>
      <x:c r="F5409" s="21" t="n">
        <x:v>1</x:v>
      </x:c>
      <x:c r="G5409" s="23" t="str">
        <x:f>IF(E5409=F5409,"PASS","FAIL")</x:f>
        <x:v>PASS</x:v>
      </x:c>
    </x:row>
    <x:row r="5410">
      <x:c r="B5410" s="21" t="str">
        <x:v>A05404</x:v>
      </x:c>
      <x:c r="C5410" s="21" t="str">
        <x:v>baseline</x:v>
      </x:c>
      <x:c r="D5410" s="21" t="str">
        <x:v>baseline 520 planning state</x:v>
      </x:c>
      <x:c r="E5410" s="21" t="n">
        <x:f>IF(AND('Baseline Register'!G526="0.0.0",'Baseline Register'!I526="OPEN",'Baseline Register'!J526="HOLD"),1,0)</x:f>
        <x:v>1</x:v>
      </x:c>
      <x:c r="F5410" s="21" t="n">
        <x:v>1</x:v>
      </x:c>
      <x:c r="G5410" s="23" t="str">
        <x:f>IF(E5410=F5410,"PASS","FAIL")</x:f>
        <x:v>PASS</x:v>
      </x:c>
    </x:row>
    <x:row r="5411">
      <x:c r="B5411" s="21" t="str">
        <x:v>A05405</x:v>
      </x:c>
      <x:c r="C5411" s="21" t="str">
        <x:v>baseline</x:v>
      </x:c>
      <x:c r="D5411" s="21" t="str">
        <x:v>baseline 521 planning state</x:v>
      </x:c>
      <x:c r="E5411" s="21" t="n">
        <x:f>IF(AND('Baseline Register'!G527="0.0.0",'Baseline Register'!I527="OPEN",'Baseline Register'!J527="HOLD"),1,0)</x:f>
        <x:v>1</x:v>
      </x:c>
      <x:c r="F5411" s="21" t="n">
        <x:v>1</x:v>
      </x:c>
      <x:c r="G5411" s="23" t="str">
        <x:f>IF(E5411=F5411,"PASS","FAIL")</x:f>
        <x:v>PASS</x:v>
      </x:c>
    </x:row>
    <x:row r="5412">
      <x:c r="B5412" s="21" t="str">
        <x:v>A05406</x:v>
      </x:c>
      <x:c r="C5412" s="21" t="str">
        <x:v>baseline</x:v>
      </x:c>
      <x:c r="D5412" s="21" t="str">
        <x:v>baseline 522 planning state</x:v>
      </x:c>
      <x:c r="E5412" s="21" t="n">
        <x:f>IF(AND('Baseline Register'!G528="0.0.0",'Baseline Register'!I528="OPEN",'Baseline Register'!J528="HOLD"),1,0)</x:f>
        <x:v>1</x:v>
      </x:c>
      <x:c r="F5412" s="21" t="n">
        <x:v>1</x:v>
      </x:c>
      <x:c r="G5412" s="23" t="str">
        <x:f>IF(E5412=F5412,"PASS","FAIL")</x:f>
        <x:v>PASS</x:v>
      </x:c>
    </x:row>
    <x:row r="5413">
      <x:c r="B5413" s="21" t="str">
        <x:v>A05407</x:v>
      </x:c>
      <x:c r="C5413" s="21" t="str">
        <x:v>baseline</x:v>
      </x:c>
      <x:c r="D5413" s="21" t="str">
        <x:v>baseline 523 planning state</x:v>
      </x:c>
      <x:c r="E5413" s="21" t="n">
        <x:f>IF(AND('Baseline Register'!G529="0.0.0",'Baseline Register'!I529="OPEN",'Baseline Register'!J529="HOLD"),1,0)</x:f>
        <x:v>1</x:v>
      </x:c>
      <x:c r="F5413" s="21" t="n">
        <x:v>1</x:v>
      </x:c>
      <x:c r="G5413" s="23" t="str">
        <x:f>IF(E5413=F5413,"PASS","FAIL")</x:f>
        <x:v>PASS</x:v>
      </x:c>
    </x:row>
    <x:row r="5414">
      <x:c r="B5414" s="21" t="str">
        <x:v>A05408</x:v>
      </x:c>
      <x:c r="C5414" s="21" t="str">
        <x:v>baseline</x:v>
      </x:c>
      <x:c r="D5414" s="21" t="str">
        <x:v>baseline 524 planning state</x:v>
      </x:c>
      <x:c r="E5414" s="21" t="n">
        <x:f>IF(AND('Baseline Register'!G530="0.0.0",'Baseline Register'!I530="OPEN",'Baseline Register'!J530="HOLD"),1,0)</x:f>
        <x:v>1</x:v>
      </x:c>
      <x:c r="F5414" s="21" t="n">
        <x:v>1</x:v>
      </x:c>
      <x:c r="G5414" s="23" t="str">
        <x:f>IF(E5414=F5414,"PASS","FAIL")</x:f>
        <x:v>PASS</x:v>
      </x:c>
    </x:row>
    <x:row r="5415">
      <x:c r="B5415" s="21" t="str">
        <x:v>A05409</x:v>
      </x:c>
      <x:c r="C5415" s="21" t="str">
        <x:v>baseline</x:v>
      </x:c>
      <x:c r="D5415" s="21" t="str">
        <x:v>baseline 525 planning state</x:v>
      </x:c>
      <x:c r="E5415" s="21" t="n">
        <x:f>IF(AND('Baseline Register'!G531="0.0.0",'Baseline Register'!I531="OPEN",'Baseline Register'!J531="HOLD"),1,0)</x:f>
        <x:v>1</x:v>
      </x:c>
      <x:c r="F5415" s="21" t="n">
        <x:v>1</x:v>
      </x:c>
      <x:c r="G5415" s="23" t="str">
        <x:f>IF(E5415=F5415,"PASS","FAIL")</x:f>
        <x:v>PASS</x:v>
      </x:c>
    </x:row>
    <x:row r="5416">
      <x:c r="B5416" s="21" t="str">
        <x:v>A05410</x:v>
      </x:c>
      <x:c r="C5416" s="21" t="str">
        <x:v>baseline</x:v>
      </x:c>
      <x:c r="D5416" s="21" t="str">
        <x:v>baseline 526 planning state</x:v>
      </x:c>
      <x:c r="E5416" s="21" t="n">
        <x:f>IF(AND('Baseline Register'!G532="0.0.0",'Baseline Register'!I532="OPEN",'Baseline Register'!J532="HOLD"),1,0)</x:f>
        <x:v>1</x:v>
      </x:c>
      <x:c r="F5416" s="21" t="n">
        <x:v>1</x:v>
      </x:c>
      <x:c r="G5416" s="23" t="str">
        <x:f>IF(E5416=F5416,"PASS","FAIL")</x:f>
        <x:v>PASS</x:v>
      </x:c>
    </x:row>
    <x:row r="5417">
      <x:c r="B5417" s="21" t="str">
        <x:v>A05411</x:v>
      </x:c>
      <x:c r="C5417" s="21" t="str">
        <x:v>baseline</x:v>
      </x:c>
      <x:c r="D5417" s="21" t="str">
        <x:v>baseline 527 planning state</x:v>
      </x:c>
      <x:c r="E5417" s="21" t="n">
        <x:f>IF(AND('Baseline Register'!G533="0.0.0",'Baseline Register'!I533="OPEN",'Baseline Register'!J533="HOLD"),1,0)</x:f>
        <x:v>1</x:v>
      </x:c>
      <x:c r="F5417" s="21" t="n">
        <x:v>1</x:v>
      </x:c>
      <x:c r="G5417" s="23" t="str">
        <x:f>IF(E5417=F5417,"PASS","FAIL")</x:f>
        <x:v>PASS</x:v>
      </x:c>
    </x:row>
    <x:row r="5418">
      <x:c r="B5418" s="21" t="str">
        <x:v>A05412</x:v>
      </x:c>
      <x:c r="C5418" s="21" t="str">
        <x:v>baseline</x:v>
      </x:c>
      <x:c r="D5418" s="21" t="str">
        <x:v>baseline 528 planning state</x:v>
      </x:c>
      <x:c r="E5418" s="21" t="n">
        <x:f>IF(AND('Baseline Register'!G534="0.0.0",'Baseline Register'!I534="OPEN",'Baseline Register'!J534="HOLD"),1,0)</x:f>
        <x:v>1</x:v>
      </x:c>
      <x:c r="F5418" s="21" t="n">
        <x:v>1</x:v>
      </x:c>
      <x:c r="G5418" s="23" t="str">
        <x:f>IF(E5418=F5418,"PASS","FAIL")</x:f>
        <x:v>PASS</x:v>
      </x:c>
    </x:row>
    <x:row r="5419">
      <x:c r="B5419" s="21" t="str">
        <x:v>A05413</x:v>
      </x:c>
      <x:c r="C5419" s="21" t="str">
        <x:v>baseline</x:v>
      </x:c>
      <x:c r="D5419" s="21" t="str">
        <x:v>baseline 529 planning state</x:v>
      </x:c>
      <x:c r="E5419" s="21" t="n">
        <x:f>IF(AND('Baseline Register'!G535="0.0.0",'Baseline Register'!I535="OPEN",'Baseline Register'!J535="HOLD"),1,0)</x:f>
        <x:v>1</x:v>
      </x:c>
      <x:c r="F5419" s="21" t="n">
        <x:v>1</x:v>
      </x:c>
      <x:c r="G5419" s="23" t="str">
        <x:f>IF(E5419=F5419,"PASS","FAIL")</x:f>
        <x:v>PASS</x:v>
      </x:c>
    </x:row>
    <x:row r="5420">
      <x:c r="B5420" s="21" t="str">
        <x:v>A05414</x:v>
      </x:c>
      <x:c r="C5420" s="21" t="str">
        <x:v>baseline</x:v>
      </x:c>
      <x:c r="D5420" s="21" t="str">
        <x:v>baseline 530 planning state</x:v>
      </x:c>
      <x:c r="E5420" s="21" t="n">
        <x:f>IF(AND('Baseline Register'!G536="0.0.0",'Baseline Register'!I536="OPEN",'Baseline Register'!J536="HOLD"),1,0)</x:f>
        <x:v>1</x:v>
      </x:c>
      <x:c r="F5420" s="21" t="n">
        <x:v>1</x:v>
      </x:c>
      <x:c r="G5420" s="23" t="str">
        <x:f>IF(E5420=F5420,"PASS","FAIL")</x:f>
        <x:v>PASS</x:v>
      </x:c>
    </x:row>
    <x:row r="5421">
      <x:c r="B5421" s="21" t="str">
        <x:v>A05415</x:v>
      </x:c>
      <x:c r="C5421" s="21" t="str">
        <x:v>baseline</x:v>
      </x:c>
      <x:c r="D5421" s="21" t="str">
        <x:v>baseline 531 planning state</x:v>
      </x:c>
      <x:c r="E5421" s="21" t="n">
        <x:f>IF(AND('Baseline Register'!G537="0.0.0",'Baseline Register'!I537="OPEN",'Baseline Register'!J537="HOLD"),1,0)</x:f>
        <x:v>1</x:v>
      </x:c>
      <x:c r="F5421" s="21" t="n">
        <x:v>1</x:v>
      </x:c>
      <x:c r="G5421" s="23" t="str">
        <x:f>IF(E5421=F5421,"PASS","FAIL")</x:f>
        <x:v>PASS</x:v>
      </x:c>
    </x:row>
    <x:row r="5422">
      <x:c r="B5422" s="21" t="str">
        <x:v>A05416</x:v>
      </x:c>
      <x:c r="C5422" s="21" t="str">
        <x:v>baseline</x:v>
      </x:c>
      <x:c r="D5422" s="21" t="str">
        <x:v>baseline 532 planning state</x:v>
      </x:c>
      <x:c r="E5422" s="21" t="n">
        <x:f>IF(AND('Baseline Register'!G538="0.0.0",'Baseline Register'!I538="OPEN",'Baseline Register'!J538="HOLD"),1,0)</x:f>
        <x:v>1</x:v>
      </x:c>
      <x:c r="F5422" s="21" t="n">
        <x:v>1</x:v>
      </x:c>
      <x:c r="G5422" s="23" t="str">
        <x:f>IF(E5422=F5422,"PASS","FAIL")</x:f>
        <x:v>PASS</x:v>
      </x:c>
    </x:row>
    <x:row r="5423">
      <x:c r="B5423" s="21" t="str">
        <x:v>A05417</x:v>
      </x:c>
      <x:c r="C5423" s="21" t="str">
        <x:v>baseline</x:v>
      </x:c>
      <x:c r="D5423" s="21" t="str">
        <x:v>baseline 533 planning state</x:v>
      </x:c>
      <x:c r="E5423" s="21" t="n">
        <x:f>IF(AND('Baseline Register'!G539="0.0.0",'Baseline Register'!I539="OPEN",'Baseline Register'!J539="HOLD"),1,0)</x:f>
        <x:v>1</x:v>
      </x:c>
      <x:c r="F5423" s="21" t="n">
        <x:v>1</x:v>
      </x:c>
      <x:c r="G5423" s="23" t="str">
        <x:f>IF(E5423=F5423,"PASS","FAIL")</x:f>
        <x:v>PASS</x:v>
      </x:c>
    </x:row>
    <x:row r="5424">
      <x:c r="B5424" s="21" t="str">
        <x:v>A05418</x:v>
      </x:c>
      <x:c r="C5424" s="21" t="str">
        <x:v>baseline</x:v>
      </x:c>
      <x:c r="D5424" s="21" t="str">
        <x:v>baseline 534 planning state</x:v>
      </x:c>
      <x:c r="E5424" s="21" t="n">
        <x:f>IF(AND('Baseline Register'!G540="0.0.0",'Baseline Register'!I540="OPEN",'Baseline Register'!J540="HOLD"),1,0)</x:f>
        <x:v>1</x:v>
      </x:c>
      <x:c r="F5424" s="21" t="n">
        <x:v>1</x:v>
      </x:c>
      <x:c r="G5424" s="23" t="str">
        <x:f>IF(E5424=F5424,"PASS","FAIL")</x:f>
        <x:v>PASS</x:v>
      </x:c>
    </x:row>
    <x:row r="5425">
      <x:c r="B5425" s="21" t="str">
        <x:v>A05419</x:v>
      </x:c>
      <x:c r="C5425" s="21" t="str">
        <x:v>baseline</x:v>
      </x:c>
      <x:c r="D5425" s="21" t="str">
        <x:v>baseline 535 planning state</x:v>
      </x:c>
      <x:c r="E5425" s="21" t="n">
        <x:f>IF(AND('Baseline Register'!G541="0.0.0",'Baseline Register'!I541="OPEN",'Baseline Register'!J541="HOLD"),1,0)</x:f>
        <x:v>1</x:v>
      </x:c>
      <x:c r="F5425" s="21" t="n">
        <x:v>1</x:v>
      </x:c>
      <x:c r="G5425" s="23" t="str">
        <x:f>IF(E5425=F5425,"PASS","FAIL")</x:f>
        <x:v>PASS</x:v>
      </x:c>
    </x:row>
    <x:row r="5426">
      <x:c r="B5426" s="21" t="str">
        <x:v>A05420</x:v>
      </x:c>
      <x:c r="C5426" s="21" t="str">
        <x:v>baseline</x:v>
      </x:c>
      <x:c r="D5426" s="21" t="str">
        <x:v>baseline 536 planning state</x:v>
      </x:c>
      <x:c r="E5426" s="21" t="n">
        <x:f>IF(AND('Baseline Register'!G542="0.0.0",'Baseline Register'!I542="OPEN",'Baseline Register'!J542="HOLD"),1,0)</x:f>
        <x:v>1</x:v>
      </x:c>
      <x:c r="F5426" s="21" t="n">
        <x:v>1</x:v>
      </x:c>
      <x:c r="G5426" s="23" t="str">
        <x:f>IF(E5426=F5426,"PASS","FAIL")</x:f>
        <x:v>PASS</x:v>
      </x:c>
    </x:row>
    <x:row r="5427">
      <x:c r="B5427" s="21" t="str">
        <x:v>A05421</x:v>
      </x:c>
      <x:c r="C5427" s="21" t="str">
        <x:v>baseline</x:v>
      </x:c>
      <x:c r="D5427" s="21" t="str">
        <x:v>baseline 537 planning state</x:v>
      </x:c>
      <x:c r="E5427" s="21" t="n">
        <x:f>IF(AND('Baseline Register'!G543="0.0.0",'Baseline Register'!I543="OPEN",'Baseline Register'!J543="HOLD"),1,0)</x:f>
        <x:v>1</x:v>
      </x:c>
      <x:c r="F5427" s="21" t="n">
        <x:v>1</x:v>
      </x:c>
      <x:c r="G5427" s="23" t="str">
        <x:f>IF(E5427=F5427,"PASS","FAIL")</x:f>
        <x:v>PASS</x:v>
      </x:c>
    </x:row>
    <x:row r="5428">
      <x:c r="B5428" s="21" t="str">
        <x:v>A05422</x:v>
      </x:c>
      <x:c r="C5428" s="21" t="str">
        <x:v>baseline</x:v>
      </x:c>
      <x:c r="D5428" s="21" t="str">
        <x:v>baseline 538 planning state</x:v>
      </x:c>
      <x:c r="E5428" s="21" t="n">
        <x:f>IF(AND('Baseline Register'!G544="0.0.0",'Baseline Register'!I544="OPEN",'Baseline Register'!J544="HOLD"),1,0)</x:f>
        <x:v>1</x:v>
      </x:c>
      <x:c r="F5428" s="21" t="n">
        <x:v>1</x:v>
      </x:c>
      <x:c r="G5428" s="23" t="str">
        <x:f>IF(E5428=F5428,"PASS","FAIL")</x:f>
        <x:v>PASS</x:v>
      </x:c>
    </x:row>
    <x:row r="5429">
      <x:c r="B5429" s="21" t="str">
        <x:v>A05423</x:v>
      </x:c>
      <x:c r="C5429" s="21" t="str">
        <x:v>baseline</x:v>
      </x:c>
      <x:c r="D5429" s="21" t="str">
        <x:v>baseline 539 planning state</x:v>
      </x:c>
      <x:c r="E5429" s="21" t="n">
        <x:f>IF(AND('Baseline Register'!G545="0.0.0",'Baseline Register'!I545="OPEN",'Baseline Register'!J545="HOLD"),1,0)</x:f>
        <x:v>1</x:v>
      </x:c>
      <x:c r="F5429" s="21" t="n">
        <x:v>1</x:v>
      </x:c>
      <x:c r="G5429" s="23" t="str">
        <x:f>IF(E5429=F5429,"PASS","FAIL")</x:f>
        <x:v>PASS</x:v>
      </x:c>
    </x:row>
    <x:row r="5430">
      <x:c r="B5430" s="21" t="str">
        <x:v>A05424</x:v>
      </x:c>
      <x:c r="C5430" s="21" t="str">
        <x:v>baseline</x:v>
      </x:c>
      <x:c r="D5430" s="21" t="str">
        <x:v>baseline 540 planning state</x:v>
      </x:c>
      <x:c r="E5430" s="21" t="n">
        <x:f>IF(AND('Baseline Register'!G546="0.0.0",'Baseline Register'!I546="OPEN",'Baseline Register'!J546="HOLD"),1,0)</x:f>
        <x:v>1</x:v>
      </x:c>
      <x:c r="F5430" s="21" t="n">
        <x:v>1</x:v>
      </x:c>
      <x:c r="G5430" s="23" t="str">
        <x:f>IF(E5430=F5430,"PASS","FAIL")</x:f>
        <x:v>PASS</x:v>
      </x:c>
    </x:row>
    <x:row r="5431">
      <x:c r="B5431" s="21" t="str">
        <x:v>A05425</x:v>
      </x:c>
      <x:c r="C5431" s="21" t="str">
        <x:v>baseline</x:v>
      </x:c>
      <x:c r="D5431" s="21" t="str">
        <x:v>baseline 541 planning state</x:v>
      </x:c>
      <x:c r="E5431" s="21" t="n">
        <x:f>IF(AND('Baseline Register'!G547="0.0.0",'Baseline Register'!I547="OPEN",'Baseline Register'!J547="HOLD"),1,0)</x:f>
        <x:v>1</x:v>
      </x:c>
      <x:c r="F5431" s="21" t="n">
        <x:v>1</x:v>
      </x:c>
      <x:c r="G5431" s="23" t="str">
        <x:f>IF(E5431=F5431,"PASS","FAIL")</x:f>
        <x:v>PASS</x:v>
      </x:c>
    </x:row>
    <x:row r="5432">
      <x:c r="B5432" s="21" t="str">
        <x:v>A05426</x:v>
      </x:c>
      <x:c r="C5432" s="21" t="str">
        <x:v>baseline</x:v>
      </x:c>
      <x:c r="D5432" s="21" t="str">
        <x:v>baseline 542 planning state</x:v>
      </x:c>
      <x:c r="E5432" s="21" t="n">
        <x:f>IF(AND('Baseline Register'!G548="0.0.0",'Baseline Register'!I548="OPEN",'Baseline Register'!J548="HOLD"),1,0)</x:f>
        <x:v>1</x:v>
      </x:c>
      <x:c r="F5432" s="21" t="n">
        <x:v>1</x:v>
      </x:c>
      <x:c r="G5432" s="23" t="str">
        <x:f>IF(E5432=F5432,"PASS","FAIL")</x:f>
        <x:v>PASS</x:v>
      </x:c>
    </x:row>
    <x:row r="5433">
      <x:c r="B5433" s="21" t="str">
        <x:v>A05427</x:v>
      </x:c>
      <x:c r="C5433" s="21" t="str">
        <x:v>baseline</x:v>
      </x:c>
      <x:c r="D5433" s="21" t="str">
        <x:v>baseline 543 planning state</x:v>
      </x:c>
      <x:c r="E5433" s="21" t="n">
        <x:f>IF(AND('Baseline Register'!G549="0.0.0",'Baseline Register'!I549="OPEN",'Baseline Register'!J549="HOLD"),1,0)</x:f>
        <x:v>1</x:v>
      </x:c>
      <x:c r="F5433" s="21" t="n">
        <x:v>1</x:v>
      </x:c>
      <x:c r="G5433" s="23" t="str">
        <x:f>IF(E5433=F5433,"PASS","FAIL")</x:f>
        <x:v>PASS</x:v>
      </x:c>
    </x:row>
    <x:row r="5434">
      <x:c r="B5434" s="21" t="str">
        <x:v>A05428</x:v>
      </x:c>
      <x:c r="C5434" s="21" t="str">
        <x:v>baseline</x:v>
      </x:c>
      <x:c r="D5434" s="21" t="str">
        <x:v>baseline 544 planning state</x:v>
      </x:c>
      <x:c r="E5434" s="21" t="n">
        <x:f>IF(AND('Baseline Register'!G550="0.0.0",'Baseline Register'!I550="OPEN",'Baseline Register'!J550="HOLD"),1,0)</x:f>
        <x:v>1</x:v>
      </x:c>
      <x:c r="F5434" s="21" t="n">
        <x:v>1</x:v>
      </x:c>
      <x:c r="G5434" s="23" t="str">
        <x:f>IF(E5434=F5434,"PASS","FAIL")</x:f>
        <x:v>PASS</x:v>
      </x:c>
    </x:row>
    <x:row r="5435">
      <x:c r="B5435" s="21" t="str">
        <x:v>A05429</x:v>
      </x:c>
      <x:c r="C5435" s="21" t="str">
        <x:v>baseline</x:v>
      </x:c>
      <x:c r="D5435" s="21" t="str">
        <x:v>baseline 545 planning state</x:v>
      </x:c>
      <x:c r="E5435" s="21" t="n">
        <x:f>IF(AND('Baseline Register'!G551="0.0.0",'Baseline Register'!I551="OPEN",'Baseline Register'!J551="HOLD"),1,0)</x:f>
        <x:v>1</x:v>
      </x:c>
      <x:c r="F5435" s="21" t="n">
        <x:v>1</x:v>
      </x:c>
      <x:c r="G5435" s="23" t="str">
        <x:f>IF(E5435=F5435,"PASS","FAIL")</x:f>
        <x:v>PASS</x:v>
      </x:c>
    </x:row>
    <x:row r="5436">
      <x:c r="B5436" s="21" t="str">
        <x:v>A05430</x:v>
      </x:c>
      <x:c r="C5436" s="21" t="str">
        <x:v>baseline</x:v>
      </x:c>
      <x:c r="D5436" s="21" t="str">
        <x:v>baseline 546 planning state</x:v>
      </x:c>
      <x:c r="E5436" s="21" t="n">
        <x:f>IF(AND('Baseline Register'!G552="0.0.0",'Baseline Register'!I552="OPEN",'Baseline Register'!J552="HOLD"),1,0)</x:f>
        <x:v>1</x:v>
      </x:c>
      <x:c r="F5436" s="21" t="n">
        <x:v>1</x:v>
      </x:c>
      <x:c r="G5436" s="23" t="str">
        <x:f>IF(E5436=F5436,"PASS","FAIL")</x:f>
        <x:v>PASS</x:v>
      </x:c>
    </x:row>
    <x:row r="5437">
      <x:c r="B5437" s="21" t="str">
        <x:v>A05431</x:v>
      </x:c>
      <x:c r="C5437" s="21" t="str">
        <x:v>baseline</x:v>
      </x:c>
      <x:c r="D5437" s="21" t="str">
        <x:v>baseline 547 planning state</x:v>
      </x:c>
      <x:c r="E5437" s="21" t="n">
        <x:f>IF(AND('Baseline Register'!G553="0.0.0",'Baseline Register'!I553="OPEN",'Baseline Register'!J553="HOLD"),1,0)</x:f>
        <x:v>1</x:v>
      </x:c>
      <x:c r="F5437" s="21" t="n">
        <x:v>1</x:v>
      </x:c>
      <x:c r="G5437" s="23" t="str">
        <x:f>IF(E5437=F5437,"PASS","FAIL")</x:f>
        <x:v>PASS</x:v>
      </x:c>
    </x:row>
    <x:row r="5438">
      <x:c r="B5438" s="21" t="str">
        <x:v>A05432</x:v>
      </x:c>
      <x:c r="C5438" s="21" t="str">
        <x:v>baseline</x:v>
      </x:c>
      <x:c r="D5438" s="21" t="str">
        <x:v>baseline 548 planning state</x:v>
      </x:c>
      <x:c r="E5438" s="21" t="n">
        <x:f>IF(AND('Baseline Register'!G554="0.0.0",'Baseline Register'!I554="OPEN",'Baseline Register'!J554="HOLD"),1,0)</x:f>
        <x:v>1</x:v>
      </x:c>
      <x:c r="F5438" s="21" t="n">
        <x:v>1</x:v>
      </x:c>
      <x:c r="G5438" s="23" t="str">
        <x:f>IF(E5438=F5438,"PASS","FAIL")</x:f>
        <x:v>PASS</x:v>
      </x:c>
    </x:row>
    <x:row r="5439">
      <x:c r="B5439" s="21" t="str">
        <x:v>A05433</x:v>
      </x:c>
      <x:c r="C5439" s="21" t="str">
        <x:v>baseline</x:v>
      </x:c>
      <x:c r="D5439" s="21" t="str">
        <x:v>baseline 549 planning state</x:v>
      </x:c>
      <x:c r="E5439" s="21" t="n">
        <x:f>IF(AND('Baseline Register'!G555="0.0.0",'Baseline Register'!I555="OPEN",'Baseline Register'!J555="HOLD"),1,0)</x:f>
        <x:v>1</x:v>
      </x:c>
      <x:c r="F5439" s="21" t="n">
        <x:v>1</x:v>
      </x:c>
      <x:c r="G5439" s="23" t="str">
        <x:f>IF(E5439=F5439,"PASS","FAIL")</x:f>
        <x:v>PASS</x:v>
      </x:c>
    </x:row>
    <x:row r="5440">
      <x:c r="B5440" s="21" t="str">
        <x:v>A05434</x:v>
      </x:c>
      <x:c r="C5440" s="21" t="str">
        <x:v>baseline</x:v>
      </x:c>
      <x:c r="D5440" s="21" t="str">
        <x:v>baseline 550 planning state</x:v>
      </x:c>
      <x:c r="E5440" s="21" t="n">
        <x:f>IF(AND('Baseline Register'!G556="0.0.0",'Baseline Register'!I556="OPEN",'Baseline Register'!J556="HOLD"),1,0)</x:f>
        <x:v>1</x:v>
      </x:c>
      <x:c r="F5440" s="21" t="n">
        <x:v>1</x:v>
      </x:c>
      <x:c r="G5440" s="23" t="str">
        <x:f>IF(E5440=F5440,"PASS","FAIL")</x:f>
        <x:v>PASS</x:v>
      </x:c>
    </x:row>
    <x:row r="5441">
      <x:c r="B5441" s="21" t="str">
        <x:v>A05435</x:v>
      </x:c>
      <x:c r="C5441" s="21" t="str">
        <x:v>baseline</x:v>
      </x:c>
      <x:c r="D5441" s="21" t="str">
        <x:v>baseline 551 planning state</x:v>
      </x:c>
      <x:c r="E5441" s="21" t="n">
        <x:f>IF(AND('Baseline Register'!G557="0.0.0",'Baseline Register'!I557="OPEN",'Baseline Register'!J557="HOLD"),1,0)</x:f>
        <x:v>1</x:v>
      </x:c>
      <x:c r="F5441" s="21" t="n">
        <x:v>1</x:v>
      </x:c>
      <x:c r="G5441" s="23" t="str">
        <x:f>IF(E5441=F5441,"PASS","FAIL")</x:f>
        <x:v>PASS</x:v>
      </x:c>
    </x:row>
    <x:row r="5442">
      <x:c r="B5442" s="21" t="str">
        <x:v>A05436</x:v>
      </x:c>
      <x:c r="C5442" s="21" t="str">
        <x:v>baseline</x:v>
      </x:c>
      <x:c r="D5442" s="21" t="str">
        <x:v>baseline 552 planning state</x:v>
      </x:c>
      <x:c r="E5442" s="21" t="n">
        <x:f>IF(AND('Baseline Register'!G558="0.0.0",'Baseline Register'!I558="OPEN",'Baseline Register'!J558="HOLD"),1,0)</x:f>
        <x:v>1</x:v>
      </x:c>
      <x:c r="F5442" s="21" t="n">
        <x:v>1</x:v>
      </x:c>
      <x:c r="G5442" s="23" t="str">
        <x:f>IF(E5442=F5442,"PASS","FAIL")</x:f>
        <x:v>PASS</x:v>
      </x:c>
    </x:row>
    <x:row r="5443">
      <x:c r="B5443" s="21" t="str">
        <x:v>A05437</x:v>
      </x:c>
      <x:c r="C5443" s="21" t="str">
        <x:v>baseline</x:v>
      </x:c>
      <x:c r="D5443" s="21" t="str">
        <x:v>baseline 553 planning state</x:v>
      </x:c>
      <x:c r="E5443" s="21" t="n">
        <x:f>IF(AND('Baseline Register'!G559="0.0.0",'Baseline Register'!I559="OPEN",'Baseline Register'!J559="HOLD"),1,0)</x:f>
        <x:v>1</x:v>
      </x:c>
      <x:c r="F5443" s="21" t="n">
        <x:v>1</x:v>
      </x:c>
      <x:c r="G5443" s="23" t="str">
        <x:f>IF(E5443=F5443,"PASS","FAIL")</x:f>
        <x:v>PASS</x:v>
      </x:c>
    </x:row>
    <x:row r="5444">
      <x:c r="B5444" s="21" t="str">
        <x:v>A05438</x:v>
      </x:c>
      <x:c r="C5444" s="21" t="str">
        <x:v>baseline</x:v>
      </x:c>
      <x:c r="D5444" s="21" t="str">
        <x:v>baseline 554 planning state</x:v>
      </x:c>
      <x:c r="E5444" s="21" t="n">
        <x:f>IF(AND('Baseline Register'!G560="0.0.0",'Baseline Register'!I560="OPEN",'Baseline Register'!J560="HOLD"),1,0)</x:f>
        <x:v>1</x:v>
      </x:c>
      <x:c r="F5444" s="21" t="n">
        <x:v>1</x:v>
      </x:c>
      <x:c r="G5444" s="23" t="str">
        <x:f>IF(E5444=F5444,"PASS","FAIL")</x:f>
        <x:v>PASS</x:v>
      </x:c>
    </x:row>
    <x:row r="5445">
      <x:c r="B5445" s="21" t="str">
        <x:v>A05439</x:v>
      </x:c>
      <x:c r="C5445" s="21" t="str">
        <x:v>baseline</x:v>
      </x:c>
      <x:c r="D5445" s="21" t="str">
        <x:v>baseline 555 planning state</x:v>
      </x:c>
      <x:c r="E5445" s="21" t="n">
        <x:f>IF(AND('Baseline Register'!G561="0.0.0",'Baseline Register'!I561="OPEN",'Baseline Register'!J561="HOLD"),1,0)</x:f>
        <x:v>1</x:v>
      </x:c>
      <x:c r="F5445" s="21" t="n">
        <x:v>1</x:v>
      </x:c>
      <x:c r="G5445" s="23" t="str">
        <x:f>IF(E5445=F5445,"PASS","FAIL")</x:f>
        <x:v>PASS</x:v>
      </x:c>
    </x:row>
    <x:row r="5446">
      <x:c r="B5446" s="21" t="str">
        <x:v>A05440</x:v>
      </x:c>
      <x:c r="C5446" s="21" t="str">
        <x:v>baseline</x:v>
      </x:c>
      <x:c r="D5446" s="21" t="str">
        <x:v>baseline 556 planning state</x:v>
      </x:c>
      <x:c r="E5446" s="21" t="n">
        <x:f>IF(AND('Baseline Register'!G562="0.0.0",'Baseline Register'!I562="OPEN",'Baseline Register'!J562="HOLD"),1,0)</x:f>
        <x:v>1</x:v>
      </x:c>
      <x:c r="F5446" s="21" t="n">
        <x:v>1</x:v>
      </x:c>
      <x:c r="G5446" s="23" t="str">
        <x:f>IF(E5446=F5446,"PASS","FAIL")</x:f>
        <x:v>PASS</x:v>
      </x:c>
    </x:row>
    <x:row r="5447">
      <x:c r="B5447" s="21" t="str">
        <x:v>A05441</x:v>
      </x:c>
      <x:c r="C5447" s="21" t="str">
        <x:v>baseline</x:v>
      </x:c>
      <x:c r="D5447" s="21" t="str">
        <x:v>baseline 557 planning state</x:v>
      </x:c>
      <x:c r="E5447" s="21" t="n">
        <x:f>IF(AND('Baseline Register'!G563="0.0.0",'Baseline Register'!I563="OPEN",'Baseline Register'!J563="HOLD"),1,0)</x:f>
        <x:v>1</x:v>
      </x:c>
      <x:c r="F5447" s="21" t="n">
        <x:v>1</x:v>
      </x:c>
      <x:c r="G5447" s="23" t="str">
        <x:f>IF(E5447=F5447,"PASS","FAIL")</x:f>
        <x:v>PASS</x:v>
      </x:c>
    </x:row>
    <x:row r="5448">
      <x:c r="B5448" s="21" t="str">
        <x:v>A05442</x:v>
      </x:c>
      <x:c r="C5448" s="21" t="str">
        <x:v>baseline</x:v>
      </x:c>
      <x:c r="D5448" s="21" t="str">
        <x:v>baseline 558 planning state</x:v>
      </x:c>
      <x:c r="E5448" s="21" t="n">
        <x:f>IF(AND('Baseline Register'!G564="0.0.0",'Baseline Register'!I564="OPEN",'Baseline Register'!J564="HOLD"),1,0)</x:f>
        <x:v>1</x:v>
      </x:c>
      <x:c r="F5448" s="21" t="n">
        <x:v>1</x:v>
      </x:c>
      <x:c r="G5448" s="23" t="str">
        <x:f>IF(E5448=F5448,"PASS","FAIL")</x:f>
        <x:v>PASS</x:v>
      </x:c>
    </x:row>
    <x:row r="5449">
      <x:c r="B5449" s="21" t="str">
        <x:v>A05443</x:v>
      </x:c>
      <x:c r="C5449" s="21" t="str">
        <x:v>baseline</x:v>
      </x:c>
      <x:c r="D5449" s="21" t="str">
        <x:v>baseline 559 planning state</x:v>
      </x:c>
      <x:c r="E5449" s="21" t="n">
        <x:f>IF(AND('Baseline Register'!G565="0.0.0",'Baseline Register'!I565="OPEN",'Baseline Register'!J565="HOLD"),1,0)</x:f>
        <x:v>1</x:v>
      </x:c>
      <x:c r="F5449" s="21" t="n">
        <x:v>1</x:v>
      </x:c>
      <x:c r="G5449" s="23" t="str">
        <x:f>IF(E5449=F5449,"PASS","FAIL")</x:f>
        <x:v>PASS</x:v>
      </x:c>
    </x:row>
    <x:row r="5450">
      <x:c r="B5450" s="21" t="str">
        <x:v>A05444</x:v>
      </x:c>
      <x:c r="C5450" s="21" t="str">
        <x:v>baseline</x:v>
      </x:c>
      <x:c r="D5450" s="21" t="str">
        <x:v>baseline 560 planning state</x:v>
      </x:c>
      <x:c r="E5450" s="21" t="n">
        <x:f>IF(AND('Baseline Register'!G566="0.0.0",'Baseline Register'!I566="OPEN",'Baseline Register'!J566="HOLD"),1,0)</x:f>
        <x:v>1</x:v>
      </x:c>
      <x:c r="F5450" s="21" t="n">
        <x:v>1</x:v>
      </x:c>
      <x:c r="G5450" s="23" t="str">
        <x:f>IF(E5450=F5450,"PASS","FAIL")</x:f>
        <x:v>PASS</x:v>
      </x:c>
    </x:row>
    <x:row r="5451">
      <x:c r="B5451" s="21" t="str">
        <x:v>A05445</x:v>
      </x:c>
      <x:c r="C5451" s="21" t="str">
        <x:v>baseline</x:v>
      </x:c>
      <x:c r="D5451" s="21" t="str">
        <x:v>baseline 561 planning state</x:v>
      </x:c>
      <x:c r="E5451" s="21" t="n">
        <x:f>IF(AND('Baseline Register'!G567="0.0.0",'Baseline Register'!I567="OPEN",'Baseline Register'!J567="HOLD"),1,0)</x:f>
        <x:v>1</x:v>
      </x:c>
      <x:c r="F5451" s="21" t="n">
        <x:v>1</x:v>
      </x:c>
      <x:c r="G5451" s="23" t="str">
        <x:f>IF(E5451=F5451,"PASS","FAIL")</x:f>
        <x:v>PASS</x:v>
      </x:c>
    </x:row>
    <x:row r="5452">
      <x:c r="B5452" s="21" t="str">
        <x:v>A05446</x:v>
      </x:c>
      <x:c r="C5452" s="21" t="str">
        <x:v>baseline</x:v>
      </x:c>
      <x:c r="D5452" s="21" t="str">
        <x:v>baseline 562 planning state</x:v>
      </x:c>
      <x:c r="E5452" s="21" t="n">
        <x:f>IF(AND('Baseline Register'!G568="0.0.0",'Baseline Register'!I568="OPEN",'Baseline Register'!J568="HOLD"),1,0)</x:f>
        <x:v>1</x:v>
      </x:c>
      <x:c r="F5452" s="21" t="n">
        <x:v>1</x:v>
      </x:c>
      <x:c r="G5452" s="23" t="str">
        <x:f>IF(E5452=F5452,"PASS","FAIL")</x:f>
        <x:v>PASS</x:v>
      </x:c>
    </x:row>
    <x:row r="5453">
      <x:c r="B5453" s="21" t="str">
        <x:v>A05447</x:v>
      </x:c>
      <x:c r="C5453" s="21" t="str">
        <x:v>baseline</x:v>
      </x:c>
      <x:c r="D5453" s="21" t="str">
        <x:v>baseline 563 planning state</x:v>
      </x:c>
      <x:c r="E5453" s="21" t="n">
        <x:f>IF(AND('Baseline Register'!G569="0.0.0",'Baseline Register'!I569="OPEN",'Baseline Register'!J569="HOLD"),1,0)</x:f>
        <x:v>1</x:v>
      </x:c>
      <x:c r="F5453" s="21" t="n">
        <x:v>1</x:v>
      </x:c>
      <x:c r="G5453" s="23" t="str">
        <x:f>IF(E5453=F5453,"PASS","FAIL")</x:f>
        <x:v>PASS</x:v>
      </x:c>
    </x:row>
    <x:row r="5454">
      <x:c r="B5454" s="21" t="str">
        <x:v>A05448</x:v>
      </x:c>
      <x:c r="C5454" s="21" t="str">
        <x:v>baseline</x:v>
      </x:c>
      <x:c r="D5454" s="21" t="str">
        <x:v>baseline 564 planning state</x:v>
      </x:c>
      <x:c r="E5454" s="21" t="n">
        <x:f>IF(AND('Baseline Register'!G570="0.0.0",'Baseline Register'!I570="OPEN",'Baseline Register'!J570="HOLD"),1,0)</x:f>
        <x:v>1</x:v>
      </x:c>
      <x:c r="F5454" s="21" t="n">
        <x:v>1</x:v>
      </x:c>
      <x:c r="G5454" s="23" t="str">
        <x:f>IF(E5454=F5454,"PASS","FAIL")</x:f>
        <x:v>PASS</x:v>
      </x:c>
    </x:row>
    <x:row r="5455">
      <x:c r="B5455" s="21" t="str">
        <x:v>A05449</x:v>
      </x:c>
      <x:c r="C5455" s="21" t="str">
        <x:v>baseline</x:v>
      </x:c>
      <x:c r="D5455" s="21" t="str">
        <x:v>baseline 565 planning state</x:v>
      </x:c>
      <x:c r="E5455" s="21" t="n">
        <x:f>IF(AND('Baseline Register'!G571="0.0.0",'Baseline Register'!I571="OPEN",'Baseline Register'!J571="HOLD"),1,0)</x:f>
        <x:v>1</x:v>
      </x:c>
      <x:c r="F5455" s="21" t="n">
        <x:v>1</x:v>
      </x:c>
      <x:c r="G5455" s="23" t="str">
        <x:f>IF(E5455=F5455,"PASS","FAIL")</x:f>
        <x:v>PASS</x:v>
      </x:c>
    </x:row>
    <x:row r="5456">
      <x:c r="B5456" s="21" t="str">
        <x:v>A05450</x:v>
      </x:c>
      <x:c r="C5456" s="21" t="str">
        <x:v>baseline</x:v>
      </x:c>
      <x:c r="D5456" s="21" t="str">
        <x:v>baseline 566 planning state</x:v>
      </x:c>
      <x:c r="E5456" s="21" t="n">
        <x:f>IF(AND('Baseline Register'!G572="0.0.0",'Baseline Register'!I572="OPEN",'Baseline Register'!J572="HOLD"),1,0)</x:f>
        <x:v>1</x:v>
      </x:c>
      <x:c r="F5456" s="21" t="n">
        <x:v>1</x:v>
      </x:c>
      <x:c r="G5456" s="23" t="str">
        <x:f>IF(E5456=F5456,"PASS","FAIL")</x:f>
        <x:v>PASS</x:v>
      </x:c>
    </x:row>
    <x:row r="5457">
      <x:c r="B5457" s="21" t="str">
        <x:v>A05451</x:v>
      </x:c>
      <x:c r="C5457" s="21" t="str">
        <x:v>baseline</x:v>
      </x:c>
      <x:c r="D5457" s="21" t="str">
        <x:v>baseline 567 planning state</x:v>
      </x:c>
      <x:c r="E5457" s="21" t="n">
        <x:f>IF(AND('Baseline Register'!G573="0.0.0",'Baseline Register'!I573="OPEN",'Baseline Register'!J573="HOLD"),1,0)</x:f>
        <x:v>1</x:v>
      </x:c>
      <x:c r="F5457" s="21" t="n">
        <x:v>1</x:v>
      </x:c>
      <x:c r="G5457" s="23" t="str">
        <x:f>IF(E5457=F5457,"PASS","FAIL")</x:f>
        <x:v>PASS</x:v>
      </x:c>
    </x:row>
    <x:row r="5458">
      <x:c r="B5458" s="21" t="str">
        <x:v>A05452</x:v>
      </x:c>
      <x:c r="C5458" s="21" t="str">
        <x:v>baseline</x:v>
      </x:c>
      <x:c r="D5458" s="21" t="str">
        <x:v>baseline 568 planning state</x:v>
      </x:c>
      <x:c r="E5458" s="21" t="n">
        <x:f>IF(AND('Baseline Register'!G574="0.0.0",'Baseline Register'!I574="OPEN",'Baseline Register'!J574="HOLD"),1,0)</x:f>
        <x:v>1</x:v>
      </x:c>
      <x:c r="F5458" s="21" t="n">
        <x:v>1</x:v>
      </x:c>
      <x:c r="G5458" s="23" t="str">
        <x:f>IF(E5458=F5458,"PASS","FAIL")</x:f>
        <x:v>PASS</x:v>
      </x:c>
    </x:row>
    <x:row r="5459">
      <x:c r="B5459" s="21" t="str">
        <x:v>A05453</x:v>
      </x:c>
      <x:c r="C5459" s="21" t="str">
        <x:v>baseline</x:v>
      </x:c>
      <x:c r="D5459" s="21" t="str">
        <x:v>baseline 569 planning state</x:v>
      </x:c>
      <x:c r="E5459" s="21" t="n">
        <x:f>IF(AND('Baseline Register'!G575="0.0.0",'Baseline Register'!I575="OPEN",'Baseline Register'!J575="HOLD"),1,0)</x:f>
        <x:v>1</x:v>
      </x:c>
      <x:c r="F5459" s="21" t="n">
        <x:v>1</x:v>
      </x:c>
      <x:c r="G5459" s="23" t="str">
        <x:f>IF(E5459=F5459,"PASS","FAIL")</x:f>
        <x:v>PASS</x:v>
      </x:c>
    </x:row>
    <x:row r="5460">
      <x:c r="B5460" s="21" t="str">
        <x:v>A05454</x:v>
      </x:c>
      <x:c r="C5460" s="21" t="str">
        <x:v>baseline</x:v>
      </x:c>
      <x:c r="D5460" s="21" t="str">
        <x:v>baseline 570 planning state</x:v>
      </x:c>
      <x:c r="E5460" s="21" t="n">
        <x:f>IF(AND('Baseline Register'!G576="0.0.0",'Baseline Register'!I576="OPEN",'Baseline Register'!J576="HOLD"),1,0)</x:f>
        <x:v>1</x:v>
      </x:c>
      <x:c r="F5460" s="21" t="n">
        <x:v>1</x:v>
      </x:c>
      <x:c r="G5460" s="23" t="str">
        <x:f>IF(E5460=F5460,"PASS","FAIL")</x:f>
        <x:v>PASS</x:v>
      </x:c>
    </x:row>
    <x:row r="5461">
      <x:c r="B5461" s="21" t="str">
        <x:v>A05455</x:v>
      </x:c>
      <x:c r="C5461" s="21" t="str">
        <x:v>baseline</x:v>
      </x:c>
      <x:c r="D5461" s="21" t="str">
        <x:v>baseline 571 planning state</x:v>
      </x:c>
      <x:c r="E5461" s="21" t="n">
        <x:f>IF(AND('Baseline Register'!G577="0.0.0",'Baseline Register'!I577="OPEN",'Baseline Register'!J577="HOLD"),1,0)</x:f>
        <x:v>1</x:v>
      </x:c>
      <x:c r="F5461" s="21" t="n">
        <x:v>1</x:v>
      </x:c>
      <x:c r="G5461" s="23" t="str">
        <x:f>IF(E5461=F5461,"PASS","FAIL")</x:f>
        <x:v>PASS</x:v>
      </x:c>
    </x:row>
    <x:row r="5462">
      <x:c r="B5462" s="21" t="str">
        <x:v>A05456</x:v>
      </x:c>
      <x:c r="C5462" s="21" t="str">
        <x:v>baseline</x:v>
      </x:c>
      <x:c r="D5462" s="21" t="str">
        <x:v>baseline 572 planning state</x:v>
      </x:c>
      <x:c r="E5462" s="21" t="n">
        <x:f>IF(AND('Baseline Register'!G578="0.0.0",'Baseline Register'!I578="OPEN",'Baseline Register'!J578="HOLD"),1,0)</x:f>
        <x:v>1</x:v>
      </x:c>
      <x:c r="F5462" s="21" t="n">
        <x:v>1</x:v>
      </x:c>
      <x:c r="G5462" s="23" t="str">
        <x:f>IF(E5462=F5462,"PASS","FAIL")</x:f>
        <x:v>PASS</x:v>
      </x:c>
    </x:row>
    <x:row r="5463">
      <x:c r="B5463" s="21" t="str">
        <x:v>A05457</x:v>
      </x:c>
      <x:c r="C5463" s="21" t="str">
        <x:v>baseline</x:v>
      </x:c>
      <x:c r="D5463" s="21" t="str">
        <x:v>baseline 573 planning state</x:v>
      </x:c>
      <x:c r="E5463" s="21" t="n">
        <x:f>IF(AND('Baseline Register'!G579="0.0.0",'Baseline Register'!I579="OPEN",'Baseline Register'!J579="HOLD"),1,0)</x:f>
        <x:v>1</x:v>
      </x:c>
      <x:c r="F5463" s="21" t="n">
        <x:v>1</x:v>
      </x:c>
      <x:c r="G5463" s="23" t="str">
        <x:f>IF(E5463=F5463,"PASS","FAIL")</x:f>
        <x:v>PASS</x:v>
      </x:c>
    </x:row>
    <x:row r="5464">
      <x:c r="B5464" s="21" t="str">
        <x:v>A05458</x:v>
      </x:c>
      <x:c r="C5464" s="21" t="str">
        <x:v>baseline</x:v>
      </x:c>
      <x:c r="D5464" s="21" t="str">
        <x:v>baseline 574 planning state</x:v>
      </x:c>
      <x:c r="E5464" s="21" t="n">
        <x:f>IF(AND('Baseline Register'!G580="0.0.0",'Baseline Register'!I580="OPEN",'Baseline Register'!J580="HOLD"),1,0)</x:f>
        <x:v>1</x:v>
      </x:c>
      <x:c r="F5464" s="21" t="n">
        <x:v>1</x:v>
      </x:c>
      <x:c r="G5464" s="23" t="str">
        <x:f>IF(E5464=F5464,"PASS","FAIL")</x:f>
        <x:v>PASS</x:v>
      </x:c>
    </x:row>
    <x:row r="5465">
      <x:c r="B5465" s="21" t="str">
        <x:v>A05459</x:v>
      </x:c>
      <x:c r="C5465" s="21" t="str">
        <x:v>baseline</x:v>
      </x:c>
      <x:c r="D5465" s="21" t="str">
        <x:v>baseline 575 planning state</x:v>
      </x:c>
      <x:c r="E5465" s="21" t="n">
        <x:f>IF(AND('Baseline Register'!G581="0.0.0",'Baseline Register'!I581="OPEN",'Baseline Register'!J581="HOLD"),1,0)</x:f>
        <x:v>1</x:v>
      </x:c>
      <x:c r="F5465" s="21" t="n">
        <x:v>1</x:v>
      </x:c>
      <x:c r="G5465" s="23" t="str">
        <x:f>IF(E5465=F5465,"PASS","FAIL")</x:f>
        <x:v>PASS</x:v>
      </x:c>
    </x:row>
    <x:row r="5466">
      <x:c r="B5466" s="21" t="str">
        <x:v>A05460</x:v>
      </x:c>
      <x:c r="C5466" s="21" t="str">
        <x:v>baseline</x:v>
      </x:c>
      <x:c r="D5466" s="21" t="str">
        <x:v>baseline 576 planning state</x:v>
      </x:c>
      <x:c r="E5466" s="21" t="n">
        <x:f>IF(AND('Baseline Register'!G582="0.0.0",'Baseline Register'!I582="OPEN",'Baseline Register'!J582="HOLD"),1,0)</x:f>
        <x:v>1</x:v>
      </x:c>
      <x:c r="F5466" s="21" t="n">
        <x:v>1</x:v>
      </x:c>
      <x:c r="G5466" s="23" t="str">
        <x:f>IF(E5466=F5466,"PASS","FAIL")</x:f>
        <x:v>PASS</x:v>
      </x:c>
    </x:row>
    <x:row r="5467">
      <x:c r="B5467" s="21" t="str">
        <x:v>A05461</x:v>
      </x:c>
      <x:c r="C5467" s="21" t="str">
        <x:v>baseline</x:v>
      </x:c>
      <x:c r="D5467" s="21" t="str">
        <x:v>baseline 577 planning state</x:v>
      </x:c>
      <x:c r="E5467" s="21" t="n">
        <x:f>IF(AND('Baseline Register'!G583="0.0.0",'Baseline Register'!I583="OPEN",'Baseline Register'!J583="HOLD"),1,0)</x:f>
        <x:v>1</x:v>
      </x:c>
      <x:c r="F5467" s="21" t="n">
        <x:v>1</x:v>
      </x:c>
      <x:c r="G5467" s="23" t="str">
        <x:f>IF(E5467=F5467,"PASS","FAIL")</x:f>
        <x:v>PASS</x:v>
      </x:c>
    </x:row>
    <x:row r="5468">
      <x:c r="B5468" s="21" t="str">
        <x:v>A05462</x:v>
      </x:c>
      <x:c r="C5468" s="21" t="str">
        <x:v>baseline</x:v>
      </x:c>
      <x:c r="D5468" s="21" t="str">
        <x:v>baseline 578 planning state</x:v>
      </x:c>
      <x:c r="E5468" s="21" t="n">
        <x:f>IF(AND('Baseline Register'!G584="0.0.0",'Baseline Register'!I584="OPEN",'Baseline Register'!J584="HOLD"),1,0)</x:f>
        <x:v>1</x:v>
      </x:c>
      <x:c r="F5468" s="21" t="n">
        <x:v>1</x:v>
      </x:c>
      <x:c r="G5468" s="23" t="str">
        <x:f>IF(E5468=F5468,"PASS","FAIL")</x:f>
        <x:v>PASS</x:v>
      </x:c>
    </x:row>
    <x:row r="5469">
      <x:c r="B5469" s="21" t="str">
        <x:v>A05463</x:v>
      </x:c>
      <x:c r="C5469" s="21" t="str">
        <x:v>baseline</x:v>
      </x:c>
      <x:c r="D5469" s="21" t="str">
        <x:v>baseline 579 planning state</x:v>
      </x:c>
      <x:c r="E5469" s="21" t="n">
        <x:f>IF(AND('Baseline Register'!G585="0.0.0",'Baseline Register'!I585="OPEN",'Baseline Register'!J585="HOLD"),1,0)</x:f>
        <x:v>1</x:v>
      </x:c>
      <x:c r="F5469" s="21" t="n">
        <x:v>1</x:v>
      </x:c>
      <x:c r="G5469" s="23" t="str">
        <x:f>IF(E5469=F5469,"PASS","FAIL")</x:f>
        <x:v>PASS</x:v>
      </x:c>
    </x:row>
    <x:row r="5470">
      <x:c r="B5470" s="21" t="str">
        <x:v>A05464</x:v>
      </x:c>
      <x:c r="C5470" s="21" t="str">
        <x:v>baseline</x:v>
      </x:c>
      <x:c r="D5470" s="21" t="str">
        <x:v>baseline 580 planning state</x:v>
      </x:c>
      <x:c r="E5470" s="21" t="n">
        <x:f>IF(AND('Baseline Register'!G586="0.0.0",'Baseline Register'!I586="OPEN",'Baseline Register'!J586="HOLD"),1,0)</x:f>
        <x:v>1</x:v>
      </x:c>
      <x:c r="F5470" s="21" t="n">
        <x:v>1</x:v>
      </x:c>
      <x:c r="G5470" s="23" t="str">
        <x:f>IF(E5470=F5470,"PASS","FAIL")</x:f>
        <x:v>PASS</x:v>
      </x:c>
    </x:row>
    <x:row r="5471">
      <x:c r="B5471" s="21" t="str">
        <x:v>A05465</x:v>
      </x:c>
      <x:c r="C5471" s="21" t="str">
        <x:v>baseline</x:v>
      </x:c>
      <x:c r="D5471" s="21" t="str">
        <x:v>baseline 581 planning state</x:v>
      </x:c>
      <x:c r="E5471" s="21" t="n">
        <x:f>IF(AND('Baseline Register'!G587="0.0.0",'Baseline Register'!I587="OPEN",'Baseline Register'!J587="HOLD"),1,0)</x:f>
        <x:v>1</x:v>
      </x:c>
      <x:c r="F5471" s="21" t="n">
        <x:v>1</x:v>
      </x:c>
      <x:c r="G5471" s="23" t="str">
        <x:f>IF(E5471=F5471,"PASS","FAIL")</x:f>
        <x:v>PASS</x:v>
      </x:c>
    </x:row>
    <x:row r="5472">
      <x:c r="B5472" s="21" t="str">
        <x:v>A05466</x:v>
      </x:c>
      <x:c r="C5472" s="21" t="str">
        <x:v>baseline</x:v>
      </x:c>
      <x:c r="D5472" s="21" t="str">
        <x:v>baseline 582 planning state</x:v>
      </x:c>
      <x:c r="E5472" s="21" t="n">
        <x:f>IF(AND('Baseline Register'!G588="0.0.0",'Baseline Register'!I588="OPEN",'Baseline Register'!J588="HOLD"),1,0)</x:f>
        <x:v>1</x:v>
      </x:c>
      <x:c r="F5472" s="21" t="n">
        <x:v>1</x:v>
      </x:c>
      <x:c r="G5472" s="23" t="str">
        <x:f>IF(E5472=F5472,"PASS","FAIL")</x:f>
        <x:v>PASS</x:v>
      </x:c>
    </x:row>
    <x:row r="5473">
      <x:c r="B5473" s="21" t="str">
        <x:v>A05467</x:v>
      </x:c>
      <x:c r="C5473" s="21" t="str">
        <x:v>baseline</x:v>
      </x:c>
      <x:c r="D5473" s="21" t="str">
        <x:v>baseline 583 planning state</x:v>
      </x:c>
      <x:c r="E5473" s="21" t="n">
        <x:f>IF(AND('Baseline Register'!G589="0.0.0",'Baseline Register'!I589="OPEN",'Baseline Register'!J589="HOLD"),1,0)</x:f>
        <x:v>1</x:v>
      </x:c>
      <x:c r="F5473" s="21" t="n">
        <x:v>1</x:v>
      </x:c>
      <x:c r="G5473" s="23" t="str">
        <x:f>IF(E5473=F5473,"PASS","FAIL")</x:f>
        <x:v>PASS</x:v>
      </x:c>
    </x:row>
    <x:row r="5474">
      <x:c r="B5474" s="21" t="str">
        <x:v>A05468</x:v>
      </x:c>
      <x:c r="C5474" s="21" t="str">
        <x:v>baseline</x:v>
      </x:c>
      <x:c r="D5474" s="21" t="str">
        <x:v>baseline 584 planning state</x:v>
      </x:c>
      <x:c r="E5474" s="21" t="n">
        <x:f>IF(AND('Baseline Register'!G590="0.0.0",'Baseline Register'!I590="OPEN",'Baseline Register'!J590="HOLD"),1,0)</x:f>
        <x:v>1</x:v>
      </x:c>
      <x:c r="F5474" s="21" t="n">
        <x:v>1</x:v>
      </x:c>
      <x:c r="G5474" s="23" t="str">
        <x:f>IF(E5474=F5474,"PASS","FAIL")</x:f>
        <x:v>PASS</x:v>
      </x:c>
    </x:row>
    <x:row r="5475">
      <x:c r="B5475" s="21" t="str">
        <x:v>A05469</x:v>
      </x:c>
      <x:c r="C5475" s="21" t="str">
        <x:v>baseline</x:v>
      </x:c>
      <x:c r="D5475" s="21" t="str">
        <x:v>baseline 585 planning state</x:v>
      </x:c>
      <x:c r="E5475" s="21" t="n">
        <x:f>IF(AND('Baseline Register'!G591="0.0.0",'Baseline Register'!I591="OPEN",'Baseline Register'!J591="HOLD"),1,0)</x:f>
        <x:v>1</x:v>
      </x:c>
      <x:c r="F5475" s="21" t="n">
        <x:v>1</x:v>
      </x:c>
      <x:c r="G5475" s="23" t="str">
        <x:f>IF(E5475=F5475,"PASS","FAIL")</x:f>
        <x:v>PASS</x:v>
      </x:c>
    </x:row>
    <x:row r="5476">
      <x:c r="B5476" s="21" t="str">
        <x:v>A05470</x:v>
      </x:c>
      <x:c r="C5476" s="21" t="str">
        <x:v>baseline</x:v>
      </x:c>
      <x:c r="D5476" s="21" t="str">
        <x:v>baseline 586 planning state</x:v>
      </x:c>
      <x:c r="E5476" s="21" t="n">
        <x:f>IF(AND('Baseline Register'!G592="0.0.0",'Baseline Register'!I592="OPEN",'Baseline Register'!J592="HOLD"),1,0)</x:f>
        <x:v>1</x:v>
      </x:c>
      <x:c r="F5476" s="21" t="n">
        <x:v>1</x:v>
      </x:c>
      <x:c r="G5476" s="23" t="str">
        <x:f>IF(E5476=F5476,"PASS","FAIL")</x:f>
        <x:v>PASS</x:v>
      </x:c>
    </x:row>
    <x:row r="5477">
      <x:c r="B5477" s="21" t="str">
        <x:v>A05471</x:v>
      </x:c>
      <x:c r="C5477" s="21" t="str">
        <x:v>baseline</x:v>
      </x:c>
      <x:c r="D5477" s="21" t="str">
        <x:v>baseline 587 planning state</x:v>
      </x:c>
      <x:c r="E5477" s="21" t="n">
        <x:f>IF(AND('Baseline Register'!G593="0.0.0",'Baseline Register'!I593="OPEN",'Baseline Register'!J593="HOLD"),1,0)</x:f>
        <x:v>1</x:v>
      </x:c>
      <x:c r="F5477" s="21" t="n">
        <x:v>1</x:v>
      </x:c>
      <x:c r="G5477" s="23" t="str">
        <x:f>IF(E5477=F5477,"PASS","FAIL")</x:f>
        <x:v>PASS</x:v>
      </x:c>
    </x:row>
    <x:row r="5478">
      <x:c r="B5478" s="21" t="str">
        <x:v>A05472</x:v>
      </x:c>
      <x:c r="C5478" s="21" t="str">
        <x:v>baseline</x:v>
      </x:c>
      <x:c r="D5478" s="21" t="str">
        <x:v>baseline 588 planning state</x:v>
      </x:c>
      <x:c r="E5478" s="21" t="n">
        <x:f>IF(AND('Baseline Register'!G594="0.0.0",'Baseline Register'!I594="OPEN",'Baseline Register'!J594="HOLD"),1,0)</x:f>
        <x:v>1</x:v>
      </x:c>
      <x:c r="F5478" s="21" t="n">
        <x:v>1</x:v>
      </x:c>
      <x:c r="G5478" s="23" t="str">
        <x:f>IF(E5478=F5478,"PASS","FAIL")</x:f>
        <x:v>PASS</x:v>
      </x:c>
    </x:row>
    <x:row r="5479">
      <x:c r="B5479" s="21" t="str">
        <x:v>A05473</x:v>
      </x:c>
      <x:c r="C5479" s="21" t="str">
        <x:v>baseline</x:v>
      </x:c>
      <x:c r="D5479" s="21" t="str">
        <x:v>baseline 589 planning state</x:v>
      </x:c>
      <x:c r="E5479" s="21" t="n">
        <x:f>IF(AND('Baseline Register'!G595="0.0.0",'Baseline Register'!I595="OPEN",'Baseline Register'!J595="HOLD"),1,0)</x:f>
        <x:v>1</x:v>
      </x:c>
      <x:c r="F5479" s="21" t="n">
        <x:v>1</x:v>
      </x:c>
      <x:c r="G5479" s="23" t="str">
        <x:f>IF(E5479=F5479,"PASS","FAIL")</x:f>
        <x:v>PASS</x:v>
      </x:c>
    </x:row>
    <x:row r="5480">
      <x:c r="B5480" s="21" t="str">
        <x:v>A05474</x:v>
      </x:c>
      <x:c r="C5480" s="21" t="str">
        <x:v>baseline</x:v>
      </x:c>
      <x:c r="D5480" s="21" t="str">
        <x:v>baseline 590 planning state</x:v>
      </x:c>
      <x:c r="E5480" s="21" t="n">
        <x:f>IF(AND('Baseline Register'!G596="0.0.0",'Baseline Register'!I596="OPEN",'Baseline Register'!J596="HOLD"),1,0)</x:f>
        <x:v>1</x:v>
      </x:c>
      <x:c r="F5480" s="21" t="n">
        <x:v>1</x:v>
      </x:c>
      <x:c r="G5480" s="23" t="str">
        <x:f>IF(E5480=F5480,"PASS","FAIL")</x:f>
        <x:v>PASS</x:v>
      </x:c>
    </x:row>
    <x:row r="5481">
      <x:c r="B5481" s="21" t="str">
        <x:v>A05475</x:v>
      </x:c>
      <x:c r="C5481" s="21" t="str">
        <x:v>baseline</x:v>
      </x:c>
      <x:c r="D5481" s="21" t="str">
        <x:v>baseline 591 planning state</x:v>
      </x:c>
      <x:c r="E5481" s="21" t="n">
        <x:f>IF(AND('Baseline Register'!G597="0.0.0",'Baseline Register'!I597="OPEN",'Baseline Register'!J597="HOLD"),1,0)</x:f>
        <x:v>1</x:v>
      </x:c>
      <x:c r="F5481" s="21" t="n">
        <x:v>1</x:v>
      </x:c>
      <x:c r="G5481" s="23" t="str">
        <x:f>IF(E5481=F5481,"PASS","FAIL")</x:f>
        <x:v>PASS</x:v>
      </x:c>
    </x:row>
    <x:row r="5482">
      <x:c r="B5482" s="21" t="str">
        <x:v>A05476</x:v>
      </x:c>
      <x:c r="C5482" s="21" t="str">
        <x:v>baseline</x:v>
      </x:c>
      <x:c r="D5482" s="21" t="str">
        <x:v>baseline 592 planning state</x:v>
      </x:c>
      <x:c r="E5482" s="21" t="n">
        <x:f>IF(AND('Baseline Register'!G598="0.0.0",'Baseline Register'!I598="OPEN",'Baseline Register'!J598="HOLD"),1,0)</x:f>
        <x:v>1</x:v>
      </x:c>
      <x:c r="F5482" s="21" t="n">
        <x:v>1</x:v>
      </x:c>
      <x:c r="G5482" s="23" t="str">
        <x:f>IF(E5482=F5482,"PASS","FAIL")</x:f>
        <x:v>PASS</x:v>
      </x:c>
    </x:row>
    <x:row r="5483">
      <x:c r="B5483" s="21" t="str">
        <x:v>A05477</x:v>
      </x:c>
      <x:c r="C5483" s="21" t="str">
        <x:v>baseline</x:v>
      </x:c>
      <x:c r="D5483" s="21" t="str">
        <x:v>baseline 593 planning state</x:v>
      </x:c>
      <x:c r="E5483" s="21" t="n">
        <x:f>IF(AND('Baseline Register'!G599="0.0.0",'Baseline Register'!I599="OPEN",'Baseline Register'!J599="HOLD"),1,0)</x:f>
        <x:v>1</x:v>
      </x:c>
      <x:c r="F5483" s="21" t="n">
        <x:v>1</x:v>
      </x:c>
      <x:c r="G5483" s="23" t="str">
        <x:f>IF(E5483=F5483,"PASS","FAIL")</x:f>
        <x:v>PASS</x:v>
      </x:c>
    </x:row>
    <x:row r="5484">
      <x:c r="B5484" s="21" t="str">
        <x:v>A05478</x:v>
      </x:c>
      <x:c r="C5484" s="21" t="str">
        <x:v>baseline</x:v>
      </x:c>
      <x:c r="D5484" s="21" t="str">
        <x:v>baseline 594 planning state</x:v>
      </x:c>
      <x:c r="E5484" s="21" t="n">
        <x:f>IF(AND('Baseline Register'!G600="0.0.0",'Baseline Register'!I600="OPEN",'Baseline Register'!J600="HOLD"),1,0)</x:f>
        <x:v>1</x:v>
      </x:c>
      <x:c r="F5484" s="21" t="n">
        <x:v>1</x:v>
      </x:c>
      <x:c r="G5484" s="23" t="str">
        <x:f>IF(E5484=F5484,"PASS","FAIL")</x:f>
        <x:v>PASS</x:v>
      </x:c>
    </x:row>
    <x:row r="5485">
      <x:c r="B5485" s="21" t="str">
        <x:v>A05479</x:v>
      </x:c>
      <x:c r="C5485" s="21" t="str">
        <x:v>baseline</x:v>
      </x:c>
      <x:c r="D5485" s="21" t="str">
        <x:v>baseline 595 planning state</x:v>
      </x:c>
      <x:c r="E5485" s="21" t="n">
        <x:f>IF(AND('Baseline Register'!G601="0.0.0",'Baseline Register'!I601="OPEN",'Baseline Register'!J601="HOLD"),1,0)</x:f>
        <x:v>1</x:v>
      </x:c>
      <x:c r="F5485" s="21" t="n">
        <x:v>1</x:v>
      </x:c>
      <x:c r="G5485" s="23" t="str">
        <x:f>IF(E5485=F5485,"PASS","FAIL")</x:f>
        <x:v>PASS</x:v>
      </x:c>
    </x:row>
    <x:row r="5486">
      <x:c r="B5486" s="21" t="str">
        <x:v>A05480</x:v>
      </x:c>
      <x:c r="C5486" s="21" t="str">
        <x:v>baseline</x:v>
      </x:c>
      <x:c r="D5486" s="21" t="str">
        <x:v>baseline 596 planning state</x:v>
      </x:c>
      <x:c r="E5486" s="21" t="n">
        <x:f>IF(AND('Baseline Register'!G602="0.0.0",'Baseline Register'!I602="OPEN",'Baseline Register'!J602="HOLD"),1,0)</x:f>
        <x:v>1</x:v>
      </x:c>
      <x:c r="F5486" s="21" t="n">
        <x:v>1</x:v>
      </x:c>
      <x:c r="G5486" s="23" t="str">
        <x:f>IF(E5486=F5486,"PASS","FAIL")</x:f>
        <x:v>PASS</x:v>
      </x:c>
    </x:row>
    <x:row r="5487">
      <x:c r="B5487" s="21" t="str">
        <x:v>A05481</x:v>
      </x:c>
      <x:c r="C5487" s="21" t="str">
        <x:v>baseline</x:v>
      </x:c>
      <x:c r="D5487" s="21" t="str">
        <x:v>baseline 597 planning state</x:v>
      </x:c>
      <x:c r="E5487" s="21" t="n">
        <x:f>IF(AND('Baseline Register'!G603="0.0.0",'Baseline Register'!I603="OPEN",'Baseline Register'!J603="HOLD"),1,0)</x:f>
        <x:v>1</x:v>
      </x:c>
      <x:c r="F5487" s="21" t="n">
        <x:v>1</x:v>
      </x:c>
      <x:c r="G5487" s="23" t="str">
        <x:f>IF(E5487=F5487,"PASS","FAIL")</x:f>
        <x:v>PASS</x:v>
      </x:c>
    </x:row>
    <x:row r="5488">
      <x:c r="B5488" s="21" t="str">
        <x:v>A05482</x:v>
      </x:c>
      <x:c r="C5488" s="21" t="str">
        <x:v>baseline</x:v>
      </x:c>
      <x:c r="D5488" s="21" t="str">
        <x:v>baseline 598 planning state</x:v>
      </x:c>
      <x:c r="E5488" s="21" t="n">
        <x:f>IF(AND('Baseline Register'!G604="0.0.0",'Baseline Register'!I604="OPEN",'Baseline Register'!J604="HOLD"),1,0)</x:f>
        <x:v>1</x:v>
      </x:c>
      <x:c r="F5488" s="21" t="n">
        <x:v>1</x:v>
      </x:c>
      <x:c r="G5488" s="23" t="str">
        <x:f>IF(E5488=F5488,"PASS","FAIL")</x:f>
        <x:v>PASS</x:v>
      </x:c>
    </x:row>
    <x:row r="5489">
      <x:c r="B5489" s="21" t="str">
        <x:v>A05483</x:v>
      </x:c>
      <x:c r="C5489" s="21" t="str">
        <x:v>baseline</x:v>
      </x:c>
      <x:c r="D5489" s="21" t="str">
        <x:v>baseline 599 planning state</x:v>
      </x:c>
      <x:c r="E5489" s="21" t="n">
        <x:f>IF(AND('Baseline Register'!G605="0.0.0",'Baseline Register'!I605="OPEN",'Baseline Register'!J605="HOLD"),1,0)</x:f>
        <x:v>1</x:v>
      </x:c>
      <x:c r="F5489" s="21" t="n">
        <x:v>1</x:v>
      </x:c>
      <x:c r="G5489" s="23" t="str">
        <x:f>IF(E5489=F5489,"PASS","FAIL")</x:f>
        <x:v>PASS</x:v>
      </x:c>
    </x:row>
    <x:row r="5490">
      <x:c r="B5490" s="21" t="str">
        <x:v>A05484</x:v>
      </x:c>
      <x:c r="C5490" s="21" t="str">
        <x:v>baseline</x:v>
      </x:c>
      <x:c r="D5490" s="21" t="str">
        <x:v>baseline 600 planning state</x:v>
      </x:c>
      <x:c r="E5490" s="21" t="n">
        <x:f>IF(AND('Baseline Register'!G606="0.0.0",'Baseline Register'!I606="OPEN",'Baseline Register'!J606="HOLD"),1,0)</x:f>
        <x:v>1</x:v>
      </x:c>
      <x:c r="F5490" s="21" t="n">
        <x:v>1</x:v>
      </x:c>
      <x:c r="G5490" s="23" t="str">
        <x:f>IF(E5490=F5490,"PASS","FAIL")</x:f>
        <x:v>PASS</x:v>
      </x:c>
    </x:row>
    <x:row r="5491">
      <x:c r="B5491" s="21" t="str">
        <x:v>A05485</x:v>
      </x:c>
      <x:c r="C5491" s="21" t="str">
        <x:v>baseline</x:v>
      </x:c>
      <x:c r="D5491" s="21" t="str">
        <x:v>baseline 601 planning state</x:v>
      </x:c>
      <x:c r="E5491" s="21" t="n">
        <x:f>IF(AND('Baseline Register'!G607="0.0.0",'Baseline Register'!I607="OPEN",'Baseline Register'!J607="HOLD"),1,0)</x:f>
        <x:v>1</x:v>
      </x:c>
      <x:c r="F5491" s="21" t="n">
        <x:v>1</x:v>
      </x:c>
      <x:c r="G5491" s="23" t="str">
        <x:f>IF(E5491=F5491,"PASS","FAIL")</x:f>
        <x:v>PASS</x:v>
      </x:c>
    </x:row>
    <x:row r="5492">
      <x:c r="B5492" s="21" t="str">
        <x:v>A05486</x:v>
      </x:c>
      <x:c r="C5492" s="21" t="str">
        <x:v>baseline</x:v>
      </x:c>
      <x:c r="D5492" s="21" t="str">
        <x:v>baseline 602 planning state</x:v>
      </x:c>
      <x:c r="E5492" s="21" t="n">
        <x:f>IF(AND('Baseline Register'!G608="0.0.0",'Baseline Register'!I608="OPEN",'Baseline Register'!J608="HOLD"),1,0)</x:f>
        <x:v>1</x:v>
      </x:c>
      <x:c r="F5492" s="21" t="n">
        <x:v>1</x:v>
      </x:c>
      <x:c r="G5492" s="23" t="str">
        <x:f>IF(E5492=F5492,"PASS","FAIL")</x:f>
        <x:v>PASS</x:v>
      </x:c>
    </x:row>
    <x:row r="5493">
      <x:c r="B5493" s="21" t="str">
        <x:v>A05487</x:v>
      </x:c>
      <x:c r="C5493" s="21" t="str">
        <x:v>baseline</x:v>
      </x:c>
      <x:c r="D5493" s="21" t="str">
        <x:v>baseline 603 planning state</x:v>
      </x:c>
      <x:c r="E5493" s="21" t="n">
        <x:f>IF(AND('Baseline Register'!G609="0.0.0",'Baseline Register'!I609="OPEN",'Baseline Register'!J609="HOLD"),1,0)</x:f>
        <x:v>1</x:v>
      </x:c>
      <x:c r="F5493" s="21" t="n">
        <x:v>1</x:v>
      </x:c>
      <x:c r="G5493" s="23" t="str">
        <x:f>IF(E5493=F5493,"PASS","FAIL")</x:f>
        <x:v>PASS</x:v>
      </x:c>
    </x:row>
    <x:row r="5494">
      <x:c r="B5494" s="21" t="str">
        <x:v>A05488</x:v>
      </x:c>
      <x:c r="C5494" s="21" t="str">
        <x:v>baseline</x:v>
      </x:c>
      <x:c r="D5494" s="21" t="str">
        <x:v>baseline 604 planning state</x:v>
      </x:c>
      <x:c r="E5494" s="21" t="n">
        <x:f>IF(AND('Baseline Register'!G610="0.0.0",'Baseline Register'!I610="OPEN",'Baseline Register'!J610="HOLD"),1,0)</x:f>
        <x:v>1</x:v>
      </x:c>
      <x:c r="F5494" s="21" t="n">
        <x:v>1</x:v>
      </x:c>
      <x:c r="G5494" s="23" t="str">
        <x:f>IF(E5494=F5494,"PASS","FAIL")</x:f>
        <x:v>PASS</x:v>
      </x:c>
    </x:row>
    <x:row r="5495">
      <x:c r="B5495" s="21" t="str">
        <x:v>A05489</x:v>
      </x:c>
      <x:c r="C5495" s="21" t="str">
        <x:v>baseline</x:v>
      </x:c>
      <x:c r="D5495" s="21" t="str">
        <x:v>baseline 605 planning state</x:v>
      </x:c>
      <x:c r="E5495" s="21" t="n">
        <x:f>IF(AND('Baseline Register'!G611="0.0.0",'Baseline Register'!I611="OPEN",'Baseline Register'!J611="HOLD"),1,0)</x:f>
        <x:v>1</x:v>
      </x:c>
      <x:c r="F5495" s="21" t="n">
        <x:v>1</x:v>
      </x:c>
      <x:c r="G5495" s="23" t="str">
        <x:f>IF(E5495=F5495,"PASS","FAIL")</x:f>
        <x:v>PASS</x:v>
      </x:c>
    </x:row>
    <x:row r="5496">
      <x:c r="B5496" s="21" t="str">
        <x:v>A05490</x:v>
      </x:c>
      <x:c r="C5496" s="21" t="str">
        <x:v>baseline</x:v>
      </x:c>
      <x:c r="D5496" s="21" t="str">
        <x:v>baseline 606 planning state</x:v>
      </x:c>
      <x:c r="E5496" s="21" t="n">
        <x:f>IF(AND('Baseline Register'!G612="0.0.0",'Baseline Register'!I612="OPEN",'Baseline Register'!J612="HOLD"),1,0)</x:f>
        <x:v>1</x:v>
      </x:c>
      <x:c r="F5496" s="21" t="n">
        <x:v>1</x:v>
      </x:c>
      <x:c r="G5496" s="23" t="str">
        <x:f>IF(E5496=F5496,"PASS","FAIL")</x:f>
        <x:v>PASS</x:v>
      </x:c>
    </x:row>
    <x:row r="5497">
      <x:c r="B5497" s="21" t="str">
        <x:v>A05491</x:v>
      </x:c>
      <x:c r="C5497" s="21" t="str">
        <x:v>baseline</x:v>
      </x:c>
      <x:c r="D5497" s="21" t="str">
        <x:v>baseline 607 planning state</x:v>
      </x:c>
      <x:c r="E5497" s="21" t="n">
        <x:f>IF(AND('Baseline Register'!G613="0.0.0",'Baseline Register'!I613="OPEN",'Baseline Register'!J613="HOLD"),1,0)</x:f>
        <x:v>1</x:v>
      </x:c>
      <x:c r="F5497" s="21" t="n">
        <x:v>1</x:v>
      </x:c>
      <x:c r="G5497" s="23" t="str">
        <x:f>IF(E5497=F5497,"PASS","FAIL")</x:f>
        <x:v>PASS</x:v>
      </x:c>
    </x:row>
    <x:row r="5498">
      <x:c r="B5498" s="21" t="str">
        <x:v>A05492</x:v>
      </x:c>
      <x:c r="C5498" s="21" t="str">
        <x:v>baseline</x:v>
      </x:c>
      <x:c r="D5498" s="21" t="str">
        <x:v>baseline 608 planning state</x:v>
      </x:c>
      <x:c r="E5498" s="21" t="n">
        <x:f>IF(AND('Baseline Register'!G614="0.0.0",'Baseline Register'!I614="OPEN",'Baseline Register'!J614="HOLD"),1,0)</x:f>
        <x:v>1</x:v>
      </x:c>
      <x:c r="F5498" s="21" t="n">
        <x:v>1</x:v>
      </x:c>
      <x:c r="G5498" s="23" t="str">
        <x:f>IF(E5498=F5498,"PASS","FAIL")</x:f>
        <x:v>PASS</x:v>
      </x:c>
    </x:row>
    <x:row r="5499">
      <x:c r="B5499" s="21" t="str">
        <x:v>A05493</x:v>
      </x:c>
      <x:c r="C5499" s="21" t="str">
        <x:v>baseline</x:v>
      </x:c>
      <x:c r="D5499" s="21" t="str">
        <x:v>baseline 609 planning state</x:v>
      </x:c>
      <x:c r="E5499" s="21" t="n">
        <x:f>IF(AND('Baseline Register'!G615="0.0.0",'Baseline Register'!I615="OPEN",'Baseline Register'!J615="HOLD"),1,0)</x:f>
        <x:v>1</x:v>
      </x:c>
      <x:c r="F5499" s="21" t="n">
        <x:v>1</x:v>
      </x:c>
      <x:c r="G5499" s="23" t="str">
        <x:f>IF(E5499=F5499,"PASS","FAIL")</x:f>
        <x:v>PASS</x:v>
      </x:c>
    </x:row>
    <x:row r="5500">
      <x:c r="B5500" s="21" t="str">
        <x:v>A05494</x:v>
      </x:c>
      <x:c r="C5500" s="21" t="str">
        <x:v>baseline</x:v>
      </x:c>
      <x:c r="D5500" s="21" t="str">
        <x:v>baseline 610 planning state</x:v>
      </x:c>
      <x:c r="E5500" s="21" t="n">
        <x:f>IF(AND('Baseline Register'!G616="0.0.0",'Baseline Register'!I616="OPEN",'Baseline Register'!J616="HOLD"),1,0)</x:f>
        <x:v>1</x:v>
      </x:c>
      <x:c r="F5500" s="21" t="n">
        <x:v>1</x:v>
      </x:c>
      <x:c r="G5500" s="23" t="str">
        <x:f>IF(E5500=F5500,"PASS","FAIL")</x:f>
        <x:v>PASS</x:v>
      </x:c>
    </x:row>
    <x:row r="5501">
      <x:c r="B5501" s="21" t="str">
        <x:v>A05495</x:v>
      </x:c>
      <x:c r="C5501" s="21" t="str">
        <x:v>baseline</x:v>
      </x:c>
      <x:c r="D5501" s="21" t="str">
        <x:v>baseline 611 planning state</x:v>
      </x:c>
      <x:c r="E5501" s="21" t="n">
        <x:f>IF(AND('Baseline Register'!G617="0.0.0",'Baseline Register'!I617="OPEN",'Baseline Register'!J617="HOLD"),1,0)</x:f>
        <x:v>1</x:v>
      </x:c>
      <x:c r="F5501" s="21" t="n">
        <x:v>1</x:v>
      </x:c>
      <x:c r="G5501" s="23" t="str">
        <x:f>IF(E5501=F5501,"PASS","FAIL")</x:f>
        <x:v>PASS</x:v>
      </x:c>
    </x:row>
    <x:row r="5502">
      <x:c r="B5502" s="21" t="str">
        <x:v>A05496</x:v>
      </x:c>
      <x:c r="C5502" s="21" t="str">
        <x:v>baseline</x:v>
      </x:c>
      <x:c r="D5502" s="21" t="str">
        <x:v>baseline 612 planning state</x:v>
      </x:c>
      <x:c r="E5502" s="21" t="n">
        <x:f>IF(AND('Baseline Register'!G618="0.0.0",'Baseline Register'!I618="OPEN",'Baseline Register'!J618="HOLD"),1,0)</x:f>
        <x:v>1</x:v>
      </x:c>
      <x:c r="F5502" s="21" t="n">
        <x:v>1</x:v>
      </x:c>
      <x:c r="G5502" s="23" t="str">
        <x:f>IF(E5502=F5502,"PASS","FAIL")</x:f>
        <x:v>PASS</x:v>
      </x:c>
    </x:row>
    <x:row r="5503">
      <x:c r="B5503" s="21" t="str">
        <x:v>A05497</x:v>
      </x:c>
      <x:c r="C5503" s="21" t="str">
        <x:v>baseline</x:v>
      </x:c>
      <x:c r="D5503" s="21" t="str">
        <x:v>baseline 613 planning state</x:v>
      </x:c>
      <x:c r="E5503" s="21" t="n">
        <x:f>IF(AND('Baseline Register'!G619="0.0.0",'Baseline Register'!I619="OPEN",'Baseline Register'!J619="HOLD"),1,0)</x:f>
        <x:v>1</x:v>
      </x:c>
      <x:c r="F5503" s="21" t="n">
        <x:v>1</x:v>
      </x:c>
      <x:c r="G5503" s="23" t="str">
        <x:f>IF(E5503=F5503,"PASS","FAIL")</x:f>
        <x:v>PASS</x:v>
      </x:c>
    </x:row>
    <x:row r="5504">
      <x:c r="B5504" s="21" t="str">
        <x:v>A05498</x:v>
      </x:c>
      <x:c r="C5504" s="21" t="str">
        <x:v>baseline</x:v>
      </x:c>
      <x:c r="D5504" s="21" t="str">
        <x:v>baseline 614 planning state</x:v>
      </x:c>
      <x:c r="E5504" s="21" t="n">
        <x:f>IF(AND('Baseline Register'!G620="0.0.0",'Baseline Register'!I620="OPEN",'Baseline Register'!J620="HOLD"),1,0)</x:f>
        <x:v>1</x:v>
      </x:c>
      <x:c r="F5504" s="21" t="n">
        <x:v>1</x:v>
      </x:c>
      <x:c r="G5504" s="23" t="str">
        <x:f>IF(E5504=F5504,"PASS","FAIL")</x:f>
        <x:v>PASS</x:v>
      </x:c>
    </x:row>
    <x:row r="5505">
      <x:c r="B5505" s="21" t="str">
        <x:v>A05499</x:v>
      </x:c>
      <x:c r="C5505" s="21" t="str">
        <x:v>baseline</x:v>
      </x:c>
      <x:c r="D5505" s="21" t="str">
        <x:v>baseline 615 planning state</x:v>
      </x:c>
      <x:c r="E5505" s="21" t="n">
        <x:f>IF(AND('Baseline Register'!G621="0.0.0",'Baseline Register'!I621="OPEN",'Baseline Register'!J621="HOLD"),1,0)</x:f>
        <x:v>1</x:v>
      </x:c>
      <x:c r="F5505" s="21" t="n">
        <x:v>1</x:v>
      </x:c>
      <x:c r="G5505" s="23" t="str">
        <x:f>IF(E5505=F5505,"PASS","FAIL")</x:f>
        <x:v>PASS</x:v>
      </x:c>
    </x:row>
    <x:row r="5506">
      <x:c r="B5506" s="21" t="str">
        <x:v>A05500</x:v>
      </x:c>
      <x:c r="C5506" s="21" t="str">
        <x:v>baseline</x:v>
      </x:c>
      <x:c r="D5506" s="21" t="str">
        <x:v>baseline 616 planning state</x:v>
      </x:c>
      <x:c r="E5506" s="21" t="n">
        <x:f>IF(AND('Baseline Register'!G622="0.0.0",'Baseline Register'!I622="OPEN",'Baseline Register'!J622="HOLD"),1,0)</x:f>
        <x:v>1</x:v>
      </x:c>
      <x:c r="F5506" s="21" t="n">
        <x:v>1</x:v>
      </x:c>
      <x:c r="G5506" s="23" t="str">
        <x:f>IF(E5506=F5506,"PASS","FAIL")</x:f>
        <x:v>PASS</x:v>
      </x:c>
    </x:row>
    <x:row r="5507">
      <x:c r="B5507" s="21" t="str">
        <x:v>A05501</x:v>
      </x:c>
      <x:c r="C5507" s="21" t="str">
        <x:v>baseline</x:v>
      </x:c>
      <x:c r="D5507" s="21" t="str">
        <x:v>baseline 617 planning state</x:v>
      </x:c>
      <x:c r="E5507" s="21" t="n">
        <x:f>IF(AND('Baseline Register'!G623="0.0.0",'Baseline Register'!I623="OPEN",'Baseline Register'!J623="HOLD"),1,0)</x:f>
        <x:v>1</x:v>
      </x:c>
      <x:c r="F5507" s="21" t="n">
        <x:v>1</x:v>
      </x:c>
      <x:c r="G5507" s="23" t="str">
        <x:f>IF(E5507=F5507,"PASS","FAIL")</x:f>
        <x:v>PASS</x:v>
      </x:c>
    </x:row>
    <x:row r="5508">
      <x:c r="B5508" s="21" t="str">
        <x:v>A05502</x:v>
      </x:c>
      <x:c r="C5508" s="21" t="str">
        <x:v>baseline</x:v>
      </x:c>
      <x:c r="D5508" s="21" t="str">
        <x:v>baseline 618 planning state</x:v>
      </x:c>
      <x:c r="E5508" s="21" t="n">
        <x:f>IF(AND('Baseline Register'!G624="0.0.0",'Baseline Register'!I624="OPEN",'Baseline Register'!J624="HOLD"),1,0)</x:f>
        <x:v>1</x:v>
      </x:c>
      <x:c r="F5508" s="21" t="n">
        <x:v>1</x:v>
      </x:c>
      <x:c r="G5508" s="23" t="str">
        <x:f>IF(E5508=F5508,"PASS","FAIL")</x:f>
        <x:v>PASS</x:v>
      </x:c>
    </x:row>
    <x:row r="5509">
      <x:c r="B5509" s="21" t="str">
        <x:v>A05503</x:v>
      </x:c>
      <x:c r="C5509" s="21" t="str">
        <x:v>baseline</x:v>
      </x:c>
      <x:c r="D5509" s="21" t="str">
        <x:v>baseline 619 planning state</x:v>
      </x:c>
      <x:c r="E5509" s="21" t="n">
        <x:f>IF(AND('Baseline Register'!G625="0.0.0",'Baseline Register'!I625="OPEN",'Baseline Register'!J625="HOLD"),1,0)</x:f>
        <x:v>1</x:v>
      </x:c>
      <x:c r="F5509" s="21" t="n">
        <x:v>1</x:v>
      </x:c>
      <x:c r="G5509" s="23" t="str">
        <x:f>IF(E5509=F5509,"PASS","FAIL")</x:f>
        <x:v>PASS</x:v>
      </x:c>
    </x:row>
    <x:row r="5510">
      <x:c r="B5510" s="21" t="str">
        <x:v>A05504</x:v>
      </x:c>
      <x:c r="C5510" s="21" t="str">
        <x:v>baseline</x:v>
      </x:c>
      <x:c r="D5510" s="21" t="str">
        <x:v>baseline 620 planning state</x:v>
      </x:c>
      <x:c r="E5510" s="21" t="n">
        <x:f>IF(AND('Baseline Register'!G626="0.0.0",'Baseline Register'!I626="OPEN",'Baseline Register'!J626="HOLD"),1,0)</x:f>
        <x:v>1</x:v>
      </x:c>
      <x:c r="F5510" s="21" t="n">
        <x:v>1</x:v>
      </x:c>
      <x:c r="G5510" s="23" t="str">
        <x:f>IF(E5510=F5510,"PASS","FAIL")</x:f>
        <x:v>PASS</x:v>
      </x:c>
    </x:row>
    <x:row r="5511">
      <x:c r="B5511" s="21" t="str">
        <x:v>A05505</x:v>
      </x:c>
      <x:c r="C5511" s="21" t="str">
        <x:v>baseline</x:v>
      </x:c>
      <x:c r="D5511" s="21" t="str">
        <x:v>baseline 621 planning state</x:v>
      </x:c>
      <x:c r="E5511" s="21" t="n">
        <x:f>IF(AND('Baseline Register'!G627="0.0.0",'Baseline Register'!I627="OPEN",'Baseline Register'!J627="HOLD"),1,0)</x:f>
        <x:v>1</x:v>
      </x:c>
      <x:c r="F5511" s="21" t="n">
        <x:v>1</x:v>
      </x:c>
      <x:c r="G5511" s="23" t="str">
        <x:f>IF(E5511=F5511,"PASS","FAIL")</x:f>
        <x:v>PASS</x:v>
      </x:c>
    </x:row>
    <x:row r="5512">
      <x:c r="B5512" s="21" t="str">
        <x:v>A05506</x:v>
      </x:c>
      <x:c r="C5512" s="21" t="str">
        <x:v>baseline</x:v>
      </x:c>
      <x:c r="D5512" s="21" t="str">
        <x:v>baseline 622 planning state</x:v>
      </x:c>
      <x:c r="E5512" s="21" t="n">
        <x:f>IF(AND('Baseline Register'!G628="0.0.0",'Baseline Register'!I628="OPEN",'Baseline Register'!J628="HOLD"),1,0)</x:f>
        <x:v>1</x:v>
      </x:c>
      <x:c r="F5512" s="21" t="n">
        <x:v>1</x:v>
      </x:c>
      <x:c r="G5512" s="23" t="str">
        <x:f>IF(E5512=F5512,"PASS","FAIL")</x:f>
        <x:v>PASS</x:v>
      </x:c>
    </x:row>
    <x:row r="5513">
      <x:c r="B5513" s="21" t="str">
        <x:v>A05507</x:v>
      </x:c>
      <x:c r="C5513" s="21" t="str">
        <x:v>baseline</x:v>
      </x:c>
      <x:c r="D5513" s="21" t="str">
        <x:v>baseline 623 planning state</x:v>
      </x:c>
      <x:c r="E5513" s="21" t="n">
        <x:f>IF(AND('Baseline Register'!G629="0.0.0",'Baseline Register'!I629="OPEN",'Baseline Register'!J629="HOLD"),1,0)</x:f>
        <x:v>1</x:v>
      </x:c>
      <x:c r="F5513" s="21" t="n">
        <x:v>1</x:v>
      </x:c>
      <x:c r="G5513" s="23" t="str">
        <x:f>IF(E5513=F5513,"PASS","FAIL")</x:f>
        <x:v>PASS</x:v>
      </x:c>
    </x:row>
    <x:row r="5514">
      <x:c r="B5514" s="21" t="str">
        <x:v>A05508</x:v>
      </x:c>
      <x:c r="C5514" s="21" t="str">
        <x:v>baseline</x:v>
      </x:c>
      <x:c r="D5514" s="21" t="str">
        <x:v>baseline 624 planning state</x:v>
      </x:c>
      <x:c r="E5514" s="21" t="n">
        <x:f>IF(AND('Baseline Register'!G630="0.0.0",'Baseline Register'!I630="OPEN",'Baseline Register'!J630="HOLD"),1,0)</x:f>
        <x:v>1</x:v>
      </x:c>
      <x:c r="F5514" s="21" t="n">
        <x:v>1</x:v>
      </x:c>
      <x:c r="G5514" s="23" t="str">
        <x:f>IF(E5514=F5514,"PASS","FAIL")</x:f>
        <x:v>PASS</x:v>
      </x:c>
    </x:row>
    <x:row r="5515">
      <x:c r="B5515" s="21" t="str">
        <x:v>A05509</x:v>
      </x:c>
      <x:c r="C5515" s="21" t="str">
        <x:v>baseline</x:v>
      </x:c>
      <x:c r="D5515" s="21" t="str">
        <x:v>baseline 625 planning state</x:v>
      </x:c>
      <x:c r="E5515" s="21" t="n">
        <x:f>IF(AND('Baseline Register'!G631="0.0.0",'Baseline Register'!I631="OPEN",'Baseline Register'!J631="HOLD"),1,0)</x:f>
        <x:v>1</x:v>
      </x:c>
      <x:c r="F5515" s="21" t="n">
        <x:v>1</x:v>
      </x:c>
      <x:c r="G5515" s="23" t="str">
        <x:f>IF(E5515=F5515,"PASS","FAIL")</x:f>
        <x:v>PASS</x:v>
      </x:c>
    </x:row>
    <x:row r="5516">
      <x:c r="B5516" s="21" t="str">
        <x:v>A05510</x:v>
      </x:c>
      <x:c r="C5516" s="21" t="str">
        <x:v>baseline</x:v>
      </x:c>
      <x:c r="D5516" s="21" t="str">
        <x:v>baseline 626 planning state</x:v>
      </x:c>
      <x:c r="E5516" s="21" t="n">
        <x:f>IF(AND('Baseline Register'!G632="0.0.0",'Baseline Register'!I632="OPEN",'Baseline Register'!J632="HOLD"),1,0)</x:f>
        <x:v>1</x:v>
      </x:c>
      <x:c r="F5516" s="21" t="n">
        <x:v>1</x:v>
      </x:c>
      <x:c r="G5516" s="23" t="str">
        <x:f>IF(E5516=F5516,"PASS","FAIL")</x:f>
        <x:v>PASS</x:v>
      </x:c>
    </x:row>
    <x:row r="5517">
      <x:c r="B5517" s="21" t="str">
        <x:v>A05511</x:v>
      </x:c>
      <x:c r="C5517" s="21" t="str">
        <x:v>baseline</x:v>
      </x:c>
      <x:c r="D5517" s="21" t="str">
        <x:v>baseline 627 planning state</x:v>
      </x:c>
      <x:c r="E5517" s="21" t="n">
        <x:f>IF(AND('Baseline Register'!G633="0.0.0",'Baseline Register'!I633="OPEN",'Baseline Register'!J633="HOLD"),1,0)</x:f>
        <x:v>1</x:v>
      </x:c>
      <x:c r="F5517" s="21" t="n">
        <x:v>1</x:v>
      </x:c>
      <x:c r="G5517" s="23" t="str">
        <x:f>IF(E5517=F5517,"PASS","FAIL")</x:f>
        <x:v>PASS</x:v>
      </x:c>
    </x:row>
    <x:row r="5518">
      <x:c r="B5518" s="21" t="str">
        <x:v>A05512</x:v>
      </x:c>
      <x:c r="C5518" s="21" t="str">
        <x:v>baseline</x:v>
      </x:c>
      <x:c r="D5518" s="21" t="str">
        <x:v>baseline 628 planning state</x:v>
      </x:c>
      <x:c r="E5518" s="21" t="n">
        <x:f>IF(AND('Baseline Register'!G634="0.0.0",'Baseline Register'!I634="OPEN",'Baseline Register'!J634="HOLD"),1,0)</x:f>
        <x:v>1</x:v>
      </x:c>
      <x:c r="F5518" s="21" t="n">
        <x:v>1</x:v>
      </x:c>
      <x:c r="G5518" s="23" t="str">
        <x:f>IF(E5518=F5518,"PASS","FAIL")</x:f>
        <x:v>PASS</x:v>
      </x:c>
    </x:row>
    <x:row r="5519">
      <x:c r="B5519" s="21" t="str">
        <x:v>A05513</x:v>
      </x:c>
      <x:c r="C5519" s="21" t="str">
        <x:v>baseline</x:v>
      </x:c>
      <x:c r="D5519" s="21" t="str">
        <x:v>baseline 629 planning state</x:v>
      </x:c>
      <x:c r="E5519" s="21" t="n">
        <x:f>IF(AND('Baseline Register'!G635="0.0.0",'Baseline Register'!I635="OPEN",'Baseline Register'!J635="HOLD"),1,0)</x:f>
        <x:v>1</x:v>
      </x:c>
      <x:c r="F5519" s="21" t="n">
        <x:v>1</x:v>
      </x:c>
      <x:c r="G5519" s="23" t="str">
        <x:f>IF(E5519=F5519,"PASS","FAIL")</x:f>
        <x:v>PASS</x:v>
      </x:c>
    </x:row>
    <x:row r="5520">
      <x:c r="B5520" s="21" t="str">
        <x:v>A05514</x:v>
      </x:c>
      <x:c r="C5520" s="21" t="str">
        <x:v>baseline</x:v>
      </x:c>
      <x:c r="D5520" s="21" t="str">
        <x:v>baseline 630 planning state</x:v>
      </x:c>
      <x:c r="E5520" s="21" t="n">
        <x:f>IF(AND('Baseline Register'!G636="0.0.0",'Baseline Register'!I636="OPEN",'Baseline Register'!J636="HOLD"),1,0)</x:f>
        <x:v>1</x:v>
      </x:c>
      <x:c r="F5520" s="21" t="n">
        <x:v>1</x:v>
      </x:c>
      <x:c r="G5520" s="23" t="str">
        <x:f>IF(E5520=F5520,"PASS","FAIL")</x:f>
        <x:v>PASS</x:v>
      </x:c>
    </x:row>
    <x:row r="5521">
      <x:c r="B5521" s="21" t="str">
        <x:v>A05515</x:v>
      </x:c>
      <x:c r="C5521" s="21" t="str">
        <x:v>baseline</x:v>
      </x:c>
      <x:c r="D5521" s="21" t="str">
        <x:v>baseline 631 planning state</x:v>
      </x:c>
      <x:c r="E5521" s="21" t="n">
        <x:f>IF(AND('Baseline Register'!G637="0.0.0",'Baseline Register'!I637="OPEN",'Baseline Register'!J637="HOLD"),1,0)</x:f>
        <x:v>1</x:v>
      </x:c>
      <x:c r="F5521" s="21" t="n">
        <x:v>1</x:v>
      </x:c>
      <x:c r="G5521" s="23" t="str">
        <x:f>IF(E5521=F5521,"PASS","FAIL")</x:f>
        <x:v>PASS</x:v>
      </x:c>
    </x:row>
    <x:row r="5522">
      <x:c r="B5522" s="21" t="str">
        <x:v>A05516</x:v>
      </x:c>
      <x:c r="C5522" s="21" t="str">
        <x:v>baseline</x:v>
      </x:c>
      <x:c r="D5522" s="21" t="str">
        <x:v>baseline 632 planning state</x:v>
      </x:c>
      <x:c r="E5522" s="21" t="n">
        <x:f>IF(AND('Baseline Register'!G638="0.0.0",'Baseline Register'!I638="OPEN",'Baseline Register'!J638="HOLD"),1,0)</x:f>
        <x:v>1</x:v>
      </x:c>
      <x:c r="F5522" s="21" t="n">
        <x:v>1</x:v>
      </x:c>
      <x:c r="G5522" s="23" t="str">
        <x:f>IF(E5522=F5522,"PASS","FAIL")</x:f>
        <x:v>PASS</x:v>
      </x:c>
    </x:row>
    <x:row r="5523">
      <x:c r="B5523" s="21" t="str">
        <x:v>A05517</x:v>
      </x:c>
      <x:c r="C5523" s="21" t="str">
        <x:v>baseline</x:v>
      </x:c>
      <x:c r="D5523" s="21" t="str">
        <x:v>baseline 633 planning state</x:v>
      </x:c>
      <x:c r="E5523" s="21" t="n">
        <x:f>IF(AND('Baseline Register'!G639="0.0.0",'Baseline Register'!I639="OPEN",'Baseline Register'!J639="HOLD"),1,0)</x:f>
        <x:v>1</x:v>
      </x:c>
      <x:c r="F5523" s="21" t="n">
        <x:v>1</x:v>
      </x:c>
      <x:c r="G5523" s="23" t="str">
        <x:f>IF(E5523=F5523,"PASS","FAIL")</x:f>
        <x:v>PASS</x:v>
      </x:c>
    </x:row>
    <x:row r="5524">
      <x:c r="B5524" s="21" t="str">
        <x:v>A05518</x:v>
      </x:c>
      <x:c r="C5524" s="21" t="str">
        <x:v>baseline</x:v>
      </x:c>
      <x:c r="D5524" s="21" t="str">
        <x:v>baseline 634 planning state</x:v>
      </x:c>
      <x:c r="E5524" s="21" t="n">
        <x:f>IF(AND('Baseline Register'!G640="0.0.0",'Baseline Register'!I640="OPEN",'Baseline Register'!J640="HOLD"),1,0)</x:f>
        <x:v>1</x:v>
      </x:c>
      <x:c r="F5524" s="21" t="n">
        <x:v>1</x:v>
      </x:c>
      <x:c r="G5524" s="23" t="str">
        <x:f>IF(E5524=F5524,"PASS","FAIL")</x:f>
        <x:v>PASS</x:v>
      </x:c>
    </x:row>
    <x:row r="5525">
      <x:c r="B5525" s="21" t="str">
        <x:v>A05519</x:v>
      </x:c>
      <x:c r="C5525" s="21" t="str">
        <x:v>baseline</x:v>
      </x:c>
      <x:c r="D5525" s="21" t="str">
        <x:v>baseline 635 planning state</x:v>
      </x:c>
      <x:c r="E5525" s="21" t="n">
        <x:f>IF(AND('Baseline Register'!G641="0.0.0",'Baseline Register'!I641="OPEN",'Baseline Register'!J641="HOLD"),1,0)</x:f>
        <x:v>1</x:v>
      </x:c>
      <x:c r="F5525" s="21" t="n">
        <x:v>1</x:v>
      </x:c>
      <x:c r="G5525" s="23" t="str">
        <x:f>IF(E5525=F5525,"PASS","FAIL")</x:f>
        <x:v>PASS</x:v>
      </x:c>
    </x:row>
    <x:row r="5526">
      <x:c r="B5526" s="21" t="str">
        <x:v>A05520</x:v>
      </x:c>
      <x:c r="C5526" s="21" t="str">
        <x:v>baseline</x:v>
      </x:c>
      <x:c r="D5526" s="21" t="str">
        <x:v>baseline 636 planning state</x:v>
      </x:c>
      <x:c r="E5526" s="21" t="n">
        <x:f>IF(AND('Baseline Register'!G642="0.0.0",'Baseline Register'!I642="OPEN",'Baseline Register'!J642="HOLD"),1,0)</x:f>
        <x:v>1</x:v>
      </x:c>
      <x:c r="F5526" s="21" t="n">
        <x:v>1</x:v>
      </x:c>
      <x:c r="G5526" s="23" t="str">
        <x:f>IF(E5526=F5526,"PASS","FAIL")</x:f>
        <x:v>PASS</x:v>
      </x:c>
    </x:row>
    <x:row r="5527">
      <x:c r="B5527" s="21" t="str">
        <x:v>A05521</x:v>
      </x:c>
      <x:c r="C5527" s="21" t="str">
        <x:v>baseline</x:v>
      </x:c>
      <x:c r="D5527" s="21" t="str">
        <x:v>baseline 637 planning state</x:v>
      </x:c>
      <x:c r="E5527" s="21" t="n">
        <x:f>IF(AND('Baseline Register'!G643="0.0.0",'Baseline Register'!I643="OPEN",'Baseline Register'!J643="HOLD"),1,0)</x:f>
        <x:v>1</x:v>
      </x:c>
      <x:c r="F5527" s="21" t="n">
        <x:v>1</x:v>
      </x:c>
      <x:c r="G5527" s="23" t="str">
        <x:f>IF(E5527=F5527,"PASS","FAIL")</x:f>
        <x:v>PASS</x:v>
      </x:c>
    </x:row>
    <x:row r="5528">
      <x:c r="B5528" s="21" t="str">
        <x:v>A05522</x:v>
      </x:c>
      <x:c r="C5528" s="21" t="str">
        <x:v>baseline</x:v>
      </x:c>
      <x:c r="D5528" s="21" t="str">
        <x:v>baseline 638 planning state</x:v>
      </x:c>
      <x:c r="E5528" s="21" t="n">
        <x:f>IF(AND('Baseline Register'!G644="0.0.0",'Baseline Register'!I644="OPEN",'Baseline Register'!J644="HOLD"),1,0)</x:f>
        <x:v>1</x:v>
      </x:c>
      <x:c r="F5528" s="21" t="n">
        <x:v>1</x:v>
      </x:c>
      <x:c r="G5528" s="23" t="str">
        <x:f>IF(E5528=F5528,"PASS","FAIL")</x:f>
        <x:v>PASS</x:v>
      </x:c>
    </x:row>
    <x:row r="5529">
      <x:c r="B5529" s="21" t="str">
        <x:v>A05523</x:v>
      </x:c>
      <x:c r="C5529" s="21" t="str">
        <x:v>baseline</x:v>
      </x:c>
      <x:c r="D5529" s="21" t="str">
        <x:v>baseline 639 planning state</x:v>
      </x:c>
      <x:c r="E5529" s="21" t="n">
        <x:f>IF(AND('Baseline Register'!G645="0.0.0",'Baseline Register'!I645="OPEN",'Baseline Register'!J645="HOLD"),1,0)</x:f>
        <x:v>1</x:v>
      </x:c>
      <x:c r="F5529" s="21" t="n">
        <x:v>1</x:v>
      </x:c>
      <x:c r="G5529" s="23" t="str">
        <x:f>IF(E5529=F5529,"PASS","FAIL")</x:f>
        <x:v>PASS</x:v>
      </x:c>
    </x:row>
    <x:row r="5530">
      <x:c r="B5530" s="21" t="str">
        <x:v>A05524</x:v>
      </x:c>
      <x:c r="C5530" s="21" t="str">
        <x:v>baseline</x:v>
      </x:c>
      <x:c r="D5530" s="21" t="str">
        <x:v>baseline 640 planning state</x:v>
      </x:c>
      <x:c r="E5530" s="21" t="n">
        <x:f>IF(AND('Baseline Register'!G646="0.0.0",'Baseline Register'!I646="OPEN",'Baseline Register'!J646="HOLD"),1,0)</x:f>
        <x:v>1</x:v>
      </x:c>
      <x:c r="F5530" s="21" t="n">
        <x:v>1</x:v>
      </x:c>
      <x:c r="G5530" s="23" t="str">
        <x:f>IF(E5530=F5530,"PASS","FAIL")</x:f>
        <x:v>PASS</x:v>
      </x:c>
    </x:row>
    <x:row r="5531">
      <x:c r="B5531" s="21" t="str">
        <x:v>A05525</x:v>
      </x:c>
      <x:c r="C5531" s="21" t="str">
        <x:v>baseline</x:v>
      </x:c>
      <x:c r="D5531" s="21" t="str">
        <x:v>baseline 641 planning state</x:v>
      </x:c>
      <x:c r="E5531" s="21" t="n">
        <x:f>IF(AND('Baseline Register'!G647="0.0.0",'Baseline Register'!I647="OPEN",'Baseline Register'!J647="HOLD"),1,0)</x:f>
        <x:v>1</x:v>
      </x:c>
      <x:c r="F5531" s="21" t="n">
        <x:v>1</x:v>
      </x:c>
      <x:c r="G5531" s="23" t="str">
        <x:f>IF(E5531=F5531,"PASS","FAIL")</x:f>
        <x:v>PASS</x:v>
      </x:c>
    </x:row>
    <x:row r="5532">
      <x:c r="B5532" s="21" t="str">
        <x:v>A05526</x:v>
      </x:c>
      <x:c r="C5532" s="21" t="str">
        <x:v>baseline</x:v>
      </x:c>
      <x:c r="D5532" s="21" t="str">
        <x:v>baseline 642 planning state</x:v>
      </x:c>
      <x:c r="E5532" s="21" t="n">
        <x:f>IF(AND('Baseline Register'!G648="0.0.0",'Baseline Register'!I648="OPEN",'Baseline Register'!J648="HOLD"),1,0)</x:f>
        <x:v>1</x:v>
      </x:c>
      <x:c r="F5532" s="21" t="n">
        <x:v>1</x:v>
      </x:c>
      <x:c r="G5532" s="23" t="str">
        <x:f>IF(E5532=F5532,"PASS","FAIL")</x:f>
        <x:v>PASS</x:v>
      </x:c>
    </x:row>
    <x:row r="5533">
      <x:c r="B5533" s="21" t="str">
        <x:v>A05527</x:v>
      </x:c>
      <x:c r="C5533" s="21" t="str">
        <x:v>baseline</x:v>
      </x:c>
      <x:c r="D5533" s="21" t="str">
        <x:v>baseline 643 planning state</x:v>
      </x:c>
      <x:c r="E5533" s="21" t="n">
        <x:f>IF(AND('Baseline Register'!G649="0.0.0",'Baseline Register'!I649="OPEN",'Baseline Register'!J649="HOLD"),1,0)</x:f>
        <x:v>1</x:v>
      </x:c>
      <x:c r="F5533" s="21" t="n">
        <x:v>1</x:v>
      </x:c>
      <x:c r="G5533" s="23" t="str">
        <x:f>IF(E5533=F5533,"PASS","FAIL")</x:f>
        <x:v>PASS</x:v>
      </x:c>
    </x:row>
    <x:row r="5534">
      <x:c r="B5534" s="21" t="str">
        <x:v>A05528</x:v>
      </x:c>
      <x:c r="C5534" s="21" t="str">
        <x:v>baseline</x:v>
      </x:c>
      <x:c r="D5534" s="21" t="str">
        <x:v>baseline 644 planning state</x:v>
      </x:c>
      <x:c r="E5534" s="21" t="n">
        <x:f>IF(AND('Baseline Register'!G650="0.0.0",'Baseline Register'!I650="OPEN",'Baseline Register'!J650="HOLD"),1,0)</x:f>
        <x:v>1</x:v>
      </x:c>
      <x:c r="F5534" s="21" t="n">
        <x:v>1</x:v>
      </x:c>
      <x:c r="G5534" s="23" t="str">
        <x:f>IF(E5534=F5534,"PASS","FAIL")</x:f>
        <x:v>PASS</x:v>
      </x:c>
    </x:row>
    <x:row r="5535">
      <x:c r="B5535" s="21" t="str">
        <x:v>A05529</x:v>
      </x:c>
      <x:c r="C5535" s="21" t="str">
        <x:v>baseline</x:v>
      </x:c>
      <x:c r="D5535" s="21" t="str">
        <x:v>baseline 645 planning state</x:v>
      </x:c>
      <x:c r="E5535" s="21" t="n">
        <x:f>IF(AND('Baseline Register'!G651="0.0.0",'Baseline Register'!I651="OPEN",'Baseline Register'!J651="HOLD"),1,0)</x:f>
        <x:v>1</x:v>
      </x:c>
      <x:c r="F5535" s="21" t="n">
        <x:v>1</x:v>
      </x:c>
      <x:c r="G5535" s="23" t="str">
        <x:f>IF(E5535=F5535,"PASS","FAIL")</x:f>
        <x:v>PASS</x:v>
      </x:c>
    </x:row>
    <x:row r="5536">
      <x:c r="B5536" s="21" t="str">
        <x:v>A05530</x:v>
      </x:c>
      <x:c r="C5536" s="21" t="str">
        <x:v>baseline</x:v>
      </x:c>
      <x:c r="D5536" s="21" t="str">
        <x:v>baseline 646 planning state</x:v>
      </x:c>
      <x:c r="E5536" s="21" t="n">
        <x:f>IF(AND('Baseline Register'!G652="0.0.0",'Baseline Register'!I652="OPEN",'Baseline Register'!J652="HOLD"),1,0)</x:f>
        <x:v>1</x:v>
      </x:c>
      <x:c r="F5536" s="21" t="n">
        <x:v>1</x:v>
      </x:c>
      <x:c r="G5536" s="23" t="str">
        <x:f>IF(E5536=F5536,"PASS","FAIL")</x:f>
        <x:v>PASS</x:v>
      </x:c>
    </x:row>
    <x:row r="5537">
      <x:c r="B5537" s="21" t="str">
        <x:v>A05531</x:v>
      </x:c>
      <x:c r="C5537" s="21" t="str">
        <x:v>baseline</x:v>
      </x:c>
      <x:c r="D5537" s="21" t="str">
        <x:v>baseline 647 planning state</x:v>
      </x:c>
      <x:c r="E5537" s="21" t="n">
        <x:f>IF(AND('Baseline Register'!G653="0.0.0",'Baseline Register'!I653="OPEN",'Baseline Register'!J653="HOLD"),1,0)</x:f>
        <x:v>1</x:v>
      </x:c>
      <x:c r="F5537" s="21" t="n">
        <x:v>1</x:v>
      </x:c>
      <x:c r="G5537" s="23" t="str">
        <x:f>IF(E5537=F5537,"PASS","FAIL")</x:f>
        <x:v>PASS</x:v>
      </x:c>
    </x:row>
    <x:row r="5538">
      <x:c r="B5538" s="21" t="str">
        <x:v>A05532</x:v>
      </x:c>
      <x:c r="C5538" s="21" t="str">
        <x:v>baseline</x:v>
      </x:c>
      <x:c r="D5538" s="21" t="str">
        <x:v>baseline 648 planning state</x:v>
      </x:c>
      <x:c r="E5538" s="21" t="n">
        <x:f>IF(AND('Baseline Register'!G654="0.0.0",'Baseline Register'!I654="OPEN",'Baseline Register'!J654="HOLD"),1,0)</x:f>
        <x:v>1</x:v>
      </x:c>
      <x:c r="F5538" s="21" t="n">
        <x:v>1</x:v>
      </x:c>
      <x:c r="G5538" s="23" t="str">
        <x:f>IF(E5538=F5538,"PASS","FAIL")</x:f>
        <x:v>PASS</x:v>
      </x:c>
    </x:row>
    <x:row r="5539">
      <x:c r="B5539" s="21" t="str">
        <x:v>A05533</x:v>
      </x:c>
      <x:c r="C5539" s="21" t="str">
        <x:v>baseline</x:v>
      </x:c>
      <x:c r="D5539" s="21" t="str">
        <x:v>baseline 649 planning state</x:v>
      </x:c>
      <x:c r="E5539" s="21" t="n">
        <x:f>IF(AND('Baseline Register'!G655="0.0.0",'Baseline Register'!I655="OPEN",'Baseline Register'!J655="HOLD"),1,0)</x:f>
        <x:v>1</x:v>
      </x:c>
      <x:c r="F5539" s="21" t="n">
        <x:v>1</x:v>
      </x:c>
      <x:c r="G5539" s="23" t="str">
        <x:f>IF(E5539=F5539,"PASS","FAIL")</x:f>
        <x:v>PASS</x:v>
      </x:c>
    </x:row>
    <x:row r="5540">
      <x:c r="B5540" s="21" t="str">
        <x:v>A05534</x:v>
      </x:c>
      <x:c r="C5540" s="21" t="str">
        <x:v>baseline</x:v>
      </x:c>
      <x:c r="D5540" s="21" t="str">
        <x:v>baseline 650 planning state</x:v>
      </x:c>
      <x:c r="E5540" s="21" t="n">
        <x:f>IF(AND('Baseline Register'!G656="0.0.0",'Baseline Register'!I656="OPEN",'Baseline Register'!J656="HOLD"),1,0)</x:f>
        <x:v>1</x:v>
      </x:c>
      <x:c r="F5540" s="21" t="n">
        <x:v>1</x:v>
      </x:c>
      <x:c r="G5540" s="23" t="str">
        <x:f>IF(E5540=F5540,"PASS","FAIL")</x:f>
        <x:v>PASS</x:v>
      </x:c>
    </x:row>
    <x:row r="5541">
      <x:c r="B5541" s="21" t="str">
        <x:v>A05535</x:v>
      </x:c>
      <x:c r="C5541" s="21" t="str">
        <x:v>baseline</x:v>
      </x:c>
      <x:c r="D5541" s="21" t="str">
        <x:v>baseline 651 planning state</x:v>
      </x:c>
      <x:c r="E5541" s="21" t="n">
        <x:f>IF(AND('Baseline Register'!G657="0.0.0",'Baseline Register'!I657="OPEN",'Baseline Register'!J657="HOLD"),1,0)</x:f>
        <x:v>1</x:v>
      </x:c>
      <x:c r="F5541" s="21" t="n">
        <x:v>1</x:v>
      </x:c>
      <x:c r="G5541" s="23" t="str">
        <x:f>IF(E5541=F5541,"PASS","FAIL")</x:f>
        <x:v>PASS</x:v>
      </x:c>
    </x:row>
    <x:row r="5542">
      <x:c r="B5542" s="21" t="str">
        <x:v>A05536</x:v>
      </x:c>
      <x:c r="C5542" s="21" t="str">
        <x:v>baseline</x:v>
      </x:c>
      <x:c r="D5542" s="21" t="str">
        <x:v>baseline 652 planning state</x:v>
      </x:c>
      <x:c r="E5542" s="21" t="n">
        <x:f>IF(AND('Baseline Register'!G658="0.0.0",'Baseline Register'!I658="OPEN",'Baseline Register'!J658="HOLD"),1,0)</x:f>
        <x:v>1</x:v>
      </x:c>
      <x:c r="F5542" s="21" t="n">
        <x:v>1</x:v>
      </x:c>
      <x:c r="G5542" s="23" t="str">
        <x:f>IF(E5542=F5542,"PASS","FAIL")</x:f>
        <x:v>PASS</x:v>
      </x:c>
    </x:row>
    <x:row r="5543">
      <x:c r="B5543" s="21" t="str">
        <x:v>A05537</x:v>
      </x:c>
      <x:c r="C5543" s="21" t="str">
        <x:v>baseline</x:v>
      </x:c>
      <x:c r="D5543" s="21" t="str">
        <x:v>baseline 653 planning state</x:v>
      </x:c>
      <x:c r="E5543" s="21" t="n">
        <x:f>IF(AND('Baseline Register'!G659="0.0.0",'Baseline Register'!I659="OPEN",'Baseline Register'!J659="HOLD"),1,0)</x:f>
        <x:v>1</x:v>
      </x:c>
      <x:c r="F5543" s="21" t="n">
        <x:v>1</x:v>
      </x:c>
      <x:c r="G5543" s="23" t="str">
        <x:f>IF(E5543=F5543,"PASS","FAIL")</x:f>
        <x:v>PASS</x:v>
      </x:c>
    </x:row>
    <x:row r="5544">
      <x:c r="B5544" s="21" t="str">
        <x:v>A05538</x:v>
      </x:c>
      <x:c r="C5544" s="21" t="str">
        <x:v>baseline</x:v>
      </x:c>
      <x:c r="D5544" s="21" t="str">
        <x:v>baseline 654 planning state</x:v>
      </x:c>
      <x:c r="E5544" s="21" t="n">
        <x:f>IF(AND('Baseline Register'!G660="0.0.0",'Baseline Register'!I660="OPEN",'Baseline Register'!J660="HOLD"),1,0)</x:f>
        <x:v>1</x:v>
      </x:c>
      <x:c r="F5544" s="21" t="n">
        <x:v>1</x:v>
      </x:c>
      <x:c r="G5544" s="23" t="str">
        <x:f>IF(E5544=F5544,"PASS","FAIL")</x:f>
        <x:v>PASS</x:v>
      </x:c>
    </x:row>
    <x:row r="5545">
      <x:c r="B5545" s="21" t="str">
        <x:v>A05539</x:v>
      </x:c>
      <x:c r="C5545" s="21" t="str">
        <x:v>baseline</x:v>
      </x:c>
      <x:c r="D5545" s="21" t="str">
        <x:v>baseline 655 planning state</x:v>
      </x:c>
      <x:c r="E5545" s="21" t="n">
        <x:f>IF(AND('Baseline Register'!G661="0.0.0",'Baseline Register'!I661="OPEN",'Baseline Register'!J661="HOLD"),1,0)</x:f>
        <x:v>1</x:v>
      </x:c>
      <x:c r="F5545" s="21" t="n">
        <x:v>1</x:v>
      </x:c>
      <x:c r="G5545" s="23" t="str">
        <x:f>IF(E5545=F5545,"PASS","FAIL")</x:f>
        <x:v>PASS</x:v>
      </x:c>
    </x:row>
    <x:row r="5546">
      <x:c r="B5546" s="21" t="str">
        <x:v>A05540</x:v>
      </x:c>
      <x:c r="C5546" s="21" t="str">
        <x:v>baseline</x:v>
      </x:c>
      <x:c r="D5546" s="21" t="str">
        <x:v>baseline 656 planning state</x:v>
      </x:c>
      <x:c r="E5546" s="21" t="n">
        <x:f>IF(AND('Baseline Register'!G662="0.0.0",'Baseline Register'!I662="OPEN",'Baseline Register'!J662="HOLD"),1,0)</x:f>
        <x:v>1</x:v>
      </x:c>
      <x:c r="F5546" s="21" t="n">
        <x:v>1</x:v>
      </x:c>
      <x:c r="G5546" s="23" t="str">
        <x:f>IF(E5546=F5546,"PASS","FAIL")</x:f>
        <x:v>PASS</x:v>
      </x:c>
    </x:row>
    <x:row r="5547">
      <x:c r="B5547" s="21" t="str">
        <x:v>A05541</x:v>
      </x:c>
      <x:c r="C5547" s="21" t="str">
        <x:v>baseline</x:v>
      </x:c>
      <x:c r="D5547" s="21" t="str">
        <x:v>baseline 657 planning state</x:v>
      </x:c>
      <x:c r="E5547" s="21" t="n">
        <x:f>IF(AND('Baseline Register'!G663="0.0.0",'Baseline Register'!I663="OPEN",'Baseline Register'!J663="HOLD"),1,0)</x:f>
        <x:v>1</x:v>
      </x:c>
      <x:c r="F5547" s="21" t="n">
        <x:v>1</x:v>
      </x:c>
      <x:c r="G5547" s="23" t="str">
        <x:f>IF(E5547=F5547,"PASS","FAIL")</x:f>
        <x:v>PASS</x:v>
      </x:c>
    </x:row>
    <x:row r="5548">
      <x:c r="B5548" s="21" t="str">
        <x:v>A05542</x:v>
      </x:c>
      <x:c r="C5548" s="21" t="str">
        <x:v>baseline</x:v>
      </x:c>
      <x:c r="D5548" s="21" t="str">
        <x:v>baseline 658 planning state</x:v>
      </x:c>
      <x:c r="E5548" s="21" t="n">
        <x:f>IF(AND('Baseline Register'!G664="0.0.0",'Baseline Register'!I664="OPEN",'Baseline Register'!J664="HOLD"),1,0)</x:f>
        <x:v>1</x:v>
      </x:c>
      <x:c r="F5548" s="21" t="n">
        <x:v>1</x:v>
      </x:c>
      <x:c r="G5548" s="23" t="str">
        <x:f>IF(E5548=F5548,"PASS","FAIL")</x:f>
        <x:v>PASS</x:v>
      </x:c>
    </x:row>
    <x:row r="5549">
      <x:c r="B5549" s="21" t="str">
        <x:v>A05543</x:v>
      </x:c>
      <x:c r="C5549" s="21" t="str">
        <x:v>baseline</x:v>
      </x:c>
      <x:c r="D5549" s="21" t="str">
        <x:v>baseline 659 planning state</x:v>
      </x:c>
      <x:c r="E5549" s="21" t="n">
        <x:f>IF(AND('Baseline Register'!G665="0.0.0",'Baseline Register'!I665="OPEN",'Baseline Register'!J665="HOLD"),1,0)</x:f>
        <x:v>1</x:v>
      </x:c>
      <x:c r="F5549" s="21" t="n">
        <x:v>1</x:v>
      </x:c>
      <x:c r="G5549" s="23" t="str">
        <x:f>IF(E5549=F5549,"PASS","FAIL")</x:f>
        <x:v>PASS</x:v>
      </x:c>
    </x:row>
    <x:row r="5550">
      <x:c r="B5550" s="21" t="str">
        <x:v>A05544</x:v>
      </x:c>
      <x:c r="C5550" s="21" t="str">
        <x:v>baseline</x:v>
      </x:c>
      <x:c r="D5550" s="21" t="str">
        <x:v>baseline 660 planning state</x:v>
      </x:c>
      <x:c r="E5550" s="21" t="n">
        <x:f>IF(AND('Baseline Register'!G666="0.0.0",'Baseline Register'!I666="OPEN",'Baseline Register'!J666="HOLD"),1,0)</x:f>
        <x:v>1</x:v>
      </x:c>
      <x:c r="F5550" s="21" t="n">
        <x:v>1</x:v>
      </x:c>
      <x:c r="G5550" s="23" t="str">
        <x:f>IF(E5550=F5550,"PASS","FAIL")</x:f>
        <x:v>PASS</x:v>
      </x:c>
    </x:row>
    <x:row r="5551">
      <x:c r="B5551" s="21" t="str">
        <x:v>A05545</x:v>
      </x:c>
      <x:c r="C5551" s="21" t="str">
        <x:v>baseline</x:v>
      </x:c>
      <x:c r="D5551" s="21" t="str">
        <x:v>baseline 661 planning state</x:v>
      </x:c>
      <x:c r="E5551" s="21" t="n">
        <x:f>IF(AND('Baseline Register'!G667="0.0.0",'Baseline Register'!I667="OPEN",'Baseline Register'!J667="HOLD"),1,0)</x:f>
        <x:v>1</x:v>
      </x:c>
      <x:c r="F5551" s="21" t="n">
        <x:v>1</x:v>
      </x:c>
      <x:c r="G5551" s="23" t="str">
        <x:f>IF(E5551=F5551,"PASS","FAIL")</x:f>
        <x:v>PASS</x:v>
      </x:c>
    </x:row>
    <x:row r="5552">
      <x:c r="B5552" s="21" t="str">
        <x:v>A05546</x:v>
      </x:c>
      <x:c r="C5552" s="21" t="str">
        <x:v>baseline</x:v>
      </x:c>
      <x:c r="D5552" s="21" t="str">
        <x:v>baseline 662 planning state</x:v>
      </x:c>
      <x:c r="E5552" s="21" t="n">
        <x:f>IF(AND('Baseline Register'!G668="0.0.0",'Baseline Register'!I668="OPEN",'Baseline Register'!J668="HOLD"),1,0)</x:f>
        <x:v>1</x:v>
      </x:c>
      <x:c r="F5552" s="21" t="n">
        <x:v>1</x:v>
      </x:c>
      <x:c r="G5552" s="23" t="str">
        <x:f>IF(E5552=F5552,"PASS","FAIL")</x:f>
        <x:v>PASS</x:v>
      </x:c>
    </x:row>
    <x:row r="5553">
      <x:c r="B5553" s="21" t="str">
        <x:v>A05547</x:v>
      </x:c>
      <x:c r="C5553" s="21" t="str">
        <x:v>baseline</x:v>
      </x:c>
      <x:c r="D5553" s="21" t="str">
        <x:v>baseline 663 planning state</x:v>
      </x:c>
      <x:c r="E5553" s="21" t="n">
        <x:f>IF(AND('Baseline Register'!G669="0.0.0",'Baseline Register'!I669="OPEN",'Baseline Register'!J669="HOLD"),1,0)</x:f>
        <x:v>1</x:v>
      </x:c>
      <x:c r="F5553" s="21" t="n">
        <x:v>1</x:v>
      </x:c>
      <x:c r="G5553" s="23" t="str">
        <x:f>IF(E5553=F5553,"PASS","FAIL")</x:f>
        <x:v>PASS</x:v>
      </x:c>
    </x:row>
    <x:row r="5554">
      <x:c r="B5554" s="21" t="str">
        <x:v>A05548</x:v>
      </x:c>
      <x:c r="C5554" s="21" t="str">
        <x:v>baseline</x:v>
      </x:c>
      <x:c r="D5554" s="21" t="str">
        <x:v>baseline 664 planning state</x:v>
      </x:c>
      <x:c r="E5554" s="21" t="n">
        <x:f>IF(AND('Baseline Register'!G670="0.0.0",'Baseline Register'!I670="OPEN",'Baseline Register'!J670="HOLD"),1,0)</x:f>
        <x:v>1</x:v>
      </x:c>
      <x:c r="F5554" s="21" t="n">
        <x:v>1</x:v>
      </x:c>
      <x:c r="G5554" s="23" t="str">
        <x:f>IF(E5554=F5554,"PASS","FAIL")</x:f>
        <x:v>PASS</x:v>
      </x:c>
    </x:row>
    <x:row r="5555">
      <x:c r="B5555" s="21" t="str">
        <x:v>A05549</x:v>
      </x:c>
      <x:c r="C5555" s="21" t="str">
        <x:v>baseline</x:v>
      </x:c>
      <x:c r="D5555" s="21" t="str">
        <x:v>baseline 665 planning state</x:v>
      </x:c>
      <x:c r="E5555" s="21" t="n">
        <x:f>IF(AND('Baseline Register'!G671="0.0.0",'Baseline Register'!I671="OPEN",'Baseline Register'!J671="HOLD"),1,0)</x:f>
        <x:v>1</x:v>
      </x:c>
      <x:c r="F5555" s="21" t="n">
        <x:v>1</x:v>
      </x:c>
      <x:c r="G5555" s="23" t="str">
        <x:f>IF(E5555=F5555,"PASS","FAIL")</x:f>
        <x:v>PASS</x:v>
      </x:c>
    </x:row>
    <x:row r="5556">
      <x:c r="B5556" s="21" t="str">
        <x:v>A05550</x:v>
      </x:c>
      <x:c r="C5556" s="21" t="str">
        <x:v>baseline</x:v>
      </x:c>
      <x:c r="D5556" s="21" t="str">
        <x:v>baseline 666 planning state</x:v>
      </x:c>
      <x:c r="E5556" s="21" t="n">
        <x:f>IF(AND('Baseline Register'!G672="0.0.0",'Baseline Register'!I672="OPEN",'Baseline Register'!J672="HOLD"),1,0)</x:f>
        <x:v>1</x:v>
      </x:c>
      <x:c r="F5556" s="21" t="n">
        <x:v>1</x:v>
      </x:c>
      <x:c r="G5556" s="23" t="str">
        <x:f>IF(E5556=F5556,"PASS","FAIL")</x:f>
        <x:v>PASS</x:v>
      </x:c>
    </x:row>
    <x:row r="5557">
      <x:c r="B5557" s="21" t="str">
        <x:v>A05551</x:v>
      </x:c>
      <x:c r="C5557" s="21" t="str">
        <x:v>baseline</x:v>
      </x:c>
      <x:c r="D5557" s="21" t="str">
        <x:v>baseline 667 planning state</x:v>
      </x:c>
      <x:c r="E5557" s="21" t="n">
        <x:f>IF(AND('Baseline Register'!G673="0.0.0",'Baseline Register'!I673="OPEN",'Baseline Register'!J673="HOLD"),1,0)</x:f>
        <x:v>1</x:v>
      </x:c>
      <x:c r="F5557" s="21" t="n">
        <x:v>1</x:v>
      </x:c>
      <x:c r="G5557" s="23" t="str">
        <x:f>IF(E5557=F5557,"PASS","FAIL")</x:f>
        <x:v>PASS</x:v>
      </x:c>
    </x:row>
    <x:row r="5558">
      <x:c r="B5558" s="21" t="str">
        <x:v>A05552</x:v>
      </x:c>
      <x:c r="C5558" s="21" t="str">
        <x:v>baseline</x:v>
      </x:c>
      <x:c r="D5558" s="21" t="str">
        <x:v>baseline 668 planning state</x:v>
      </x:c>
      <x:c r="E5558" s="21" t="n">
        <x:f>IF(AND('Baseline Register'!G674="0.0.0",'Baseline Register'!I674="OPEN",'Baseline Register'!J674="HOLD"),1,0)</x:f>
        <x:v>1</x:v>
      </x:c>
      <x:c r="F5558" s="21" t="n">
        <x:v>1</x:v>
      </x:c>
      <x:c r="G5558" s="23" t="str">
        <x:f>IF(E5558=F5558,"PASS","FAIL")</x:f>
        <x:v>PASS</x:v>
      </x:c>
    </x:row>
    <x:row r="5559">
      <x:c r="B5559" s="21" t="str">
        <x:v>A05553</x:v>
      </x:c>
      <x:c r="C5559" s="21" t="str">
        <x:v>baseline</x:v>
      </x:c>
      <x:c r="D5559" s="21" t="str">
        <x:v>baseline 669 planning state</x:v>
      </x:c>
      <x:c r="E5559" s="21" t="n">
        <x:f>IF(AND('Baseline Register'!G675="0.0.0",'Baseline Register'!I675="OPEN",'Baseline Register'!J675="HOLD"),1,0)</x:f>
        <x:v>1</x:v>
      </x:c>
      <x:c r="F5559" s="21" t="n">
        <x:v>1</x:v>
      </x:c>
      <x:c r="G5559" s="23" t="str">
        <x:f>IF(E5559=F5559,"PASS","FAIL")</x:f>
        <x:v>PASS</x:v>
      </x:c>
    </x:row>
    <x:row r="5560">
      <x:c r="B5560" s="21" t="str">
        <x:v>A05554</x:v>
      </x:c>
      <x:c r="C5560" s="21" t="str">
        <x:v>baseline</x:v>
      </x:c>
      <x:c r="D5560" s="21" t="str">
        <x:v>baseline 670 planning state</x:v>
      </x:c>
      <x:c r="E5560" s="21" t="n">
        <x:f>IF(AND('Baseline Register'!G676="0.0.0",'Baseline Register'!I676="OPEN",'Baseline Register'!J676="HOLD"),1,0)</x:f>
        <x:v>1</x:v>
      </x:c>
      <x:c r="F5560" s="21" t="n">
        <x:v>1</x:v>
      </x:c>
      <x:c r="G5560" s="23" t="str">
        <x:f>IF(E5560=F5560,"PASS","FAIL")</x:f>
        <x:v>PASS</x:v>
      </x:c>
    </x:row>
    <x:row r="5561">
      <x:c r="B5561" s="21" t="str">
        <x:v>A05555</x:v>
      </x:c>
      <x:c r="C5561" s="21" t="str">
        <x:v>baseline</x:v>
      </x:c>
      <x:c r="D5561" s="21" t="str">
        <x:v>baseline 671 planning state</x:v>
      </x:c>
      <x:c r="E5561" s="21" t="n">
        <x:f>IF(AND('Baseline Register'!G677="0.0.0",'Baseline Register'!I677="OPEN",'Baseline Register'!J677="HOLD"),1,0)</x:f>
        <x:v>1</x:v>
      </x:c>
      <x:c r="F5561" s="21" t="n">
        <x:v>1</x:v>
      </x:c>
      <x:c r="G5561" s="23" t="str">
        <x:f>IF(E5561=F5561,"PASS","FAIL")</x:f>
        <x:v>PASS</x:v>
      </x:c>
    </x:row>
    <x:row r="5562">
      <x:c r="B5562" s="21" t="str">
        <x:v>A05556</x:v>
      </x:c>
      <x:c r="C5562" s="21" t="str">
        <x:v>baseline</x:v>
      </x:c>
      <x:c r="D5562" s="21" t="str">
        <x:v>baseline 672 planning state</x:v>
      </x:c>
      <x:c r="E5562" s="21" t="n">
        <x:f>IF(AND('Baseline Register'!G678="0.0.0",'Baseline Register'!I678="OPEN",'Baseline Register'!J678="HOLD"),1,0)</x:f>
        <x:v>1</x:v>
      </x:c>
      <x:c r="F5562" s="21" t="n">
        <x:v>1</x:v>
      </x:c>
      <x:c r="G5562" s="23" t="str">
        <x:f>IF(E5562=F5562,"PASS","FAIL")</x:f>
        <x:v>PASS</x:v>
      </x:c>
    </x:row>
    <x:row r="5563">
      <x:c r="B5563" s="21" t="str">
        <x:v>A05557</x:v>
      </x:c>
      <x:c r="C5563" s="21" t="str">
        <x:v>baseline</x:v>
      </x:c>
      <x:c r="D5563" s="21" t="str">
        <x:v>baseline 673 planning state</x:v>
      </x:c>
      <x:c r="E5563" s="21" t="n">
        <x:f>IF(AND('Baseline Register'!G679="0.0.0",'Baseline Register'!I679="OPEN",'Baseline Register'!J679="HOLD"),1,0)</x:f>
        <x:v>1</x:v>
      </x:c>
      <x:c r="F5563" s="21" t="n">
        <x:v>1</x:v>
      </x:c>
      <x:c r="G5563" s="23" t="str">
        <x:f>IF(E5563=F5563,"PASS","FAIL")</x:f>
        <x:v>PASS</x:v>
      </x:c>
    </x:row>
    <x:row r="5564">
      <x:c r="B5564" s="21" t="str">
        <x:v>A05558</x:v>
      </x:c>
      <x:c r="C5564" s="21" t="str">
        <x:v>baseline</x:v>
      </x:c>
      <x:c r="D5564" s="21" t="str">
        <x:v>baseline 674 planning state</x:v>
      </x:c>
      <x:c r="E5564" s="21" t="n">
        <x:f>IF(AND('Baseline Register'!G680="0.0.0",'Baseline Register'!I680="OPEN",'Baseline Register'!J680="HOLD"),1,0)</x:f>
        <x:v>1</x:v>
      </x:c>
      <x:c r="F5564" s="21" t="n">
        <x:v>1</x:v>
      </x:c>
      <x:c r="G5564" s="23" t="str">
        <x:f>IF(E5564=F5564,"PASS","FAIL")</x:f>
        <x:v>PASS</x:v>
      </x:c>
    </x:row>
    <x:row r="5565">
      <x:c r="B5565" s="21" t="str">
        <x:v>A05559</x:v>
      </x:c>
      <x:c r="C5565" s="21" t="str">
        <x:v>baseline</x:v>
      </x:c>
      <x:c r="D5565" s="21" t="str">
        <x:v>baseline 675 planning state</x:v>
      </x:c>
      <x:c r="E5565" s="21" t="n">
        <x:f>IF(AND('Baseline Register'!G681="0.0.0",'Baseline Register'!I681="OPEN",'Baseline Register'!J681="HOLD"),1,0)</x:f>
        <x:v>1</x:v>
      </x:c>
      <x:c r="F5565" s="21" t="n">
        <x:v>1</x:v>
      </x:c>
      <x:c r="G5565" s="23" t="str">
        <x:f>IF(E5565=F5565,"PASS","FAIL")</x:f>
        <x:v>PASS</x:v>
      </x:c>
    </x:row>
    <x:row r="5566">
      <x:c r="B5566" s="21" t="str">
        <x:v>A05560</x:v>
      </x:c>
      <x:c r="C5566" s="21" t="str">
        <x:v>baseline</x:v>
      </x:c>
      <x:c r="D5566" s="21" t="str">
        <x:v>baseline 676 planning state</x:v>
      </x:c>
      <x:c r="E5566" s="21" t="n">
        <x:f>IF(AND('Baseline Register'!G682="0.0.0",'Baseline Register'!I682="OPEN",'Baseline Register'!J682="HOLD"),1,0)</x:f>
        <x:v>1</x:v>
      </x:c>
      <x:c r="F5566" s="21" t="n">
        <x:v>1</x:v>
      </x:c>
      <x:c r="G5566" s="23" t="str">
        <x:f>IF(E5566=F5566,"PASS","FAIL")</x:f>
        <x:v>PASS</x:v>
      </x:c>
    </x:row>
    <x:row r="5567">
      <x:c r="B5567" s="21" t="str">
        <x:v>A05561</x:v>
      </x:c>
      <x:c r="C5567" s="21" t="str">
        <x:v>baseline</x:v>
      </x:c>
      <x:c r="D5567" s="21" t="str">
        <x:v>baseline 677 planning state</x:v>
      </x:c>
      <x:c r="E5567" s="21" t="n">
        <x:f>IF(AND('Baseline Register'!G683="0.0.0",'Baseline Register'!I683="OPEN",'Baseline Register'!J683="HOLD"),1,0)</x:f>
        <x:v>1</x:v>
      </x:c>
      <x:c r="F5567" s="21" t="n">
        <x:v>1</x:v>
      </x:c>
      <x:c r="G5567" s="23" t="str">
        <x:f>IF(E5567=F5567,"PASS","FAIL")</x:f>
        <x:v>PASS</x:v>
      </x:c>
    </x:row>
    <x:row r="5568">
      <x:c r="B5568" s="21" t="str">
        <x:v>A05562</x:v>
      </x:c>
      <x:c r="C5568" s="21" t="str">
        <x:v>baseline</x:v>
      </x:c>
      <x:c r="D5568" s="21" t="str">
        <x:v>baseline 678 planning state</x:v>
      </x:c>
      <x:c r="E5568" s="21" t="n">
        <x:f>IF(AND('Baseline Register'!G684="0.0.0",'Baseline Register'!I684="OPEN",'Baseline Register'!J684="HOLD"),1,0)</x:f>
        <x:v>1</x:v>
      </x:c>
      <x:c r="F5568" s="21" t="n">
        <x:v>1</x:v>
      </x:c>
      <x:c r="G5568" s="23" t="str">
        <x:f>IF(E5568=F5568,"PASS","FAIL")</x:f>
        <x:v>PASS</x:v>
      </x:c>
    </x:row>
    <x:row r="5569">
      <x:c r="B5569" s="21" t="str">
        <x:v>A05563</x:v>
      </x:c>
      <x:c r="C5569" s="21" t="str">
        <x:v>baseline</x:v>
      </x:c>
      <x:c r="D5569" s="21" t="str">
        <x:v>baseline 679 planning state</x:v>
      </x:c>
      <x:c r="E5569" s="21" t="n">
        <x:f>IF(AND('Baseline Register'!G685="0.0.0",'Baseline Register'!I685="OPEN",'Baseline Register'!J685="HOLD"),1,0)</x:f>
        <x:v>1</x:v>
      </x:c>
      <x:c r="F5569" s="21" t="n">
        <x:v>1</x:v>
      </x:c>
      <x:c r="G5569" s="23" t="str">
        <x:f>IF(E5569=F5569,"PASS","FAIL")</x:f>
        <x:v>PASS</x:v>
      </x:c>
    </x:row>
    <x:row r="5570">
      <x:c r="B5570" s="21" t="str">
        <x:v>A05564</x:v>
      </x:c>
      <x:c r="C5570" s="21" t="str">
        <x:v>baseline</x:v>
      </x:c>
      <x:c r="D5570" s="21" t="str">
        <x:v>baseline 680 planning state</x:v>
      </x:c>
      <x:c r="E5570" s="21" t="n">
        <x:f>IF(AND('Baseline Register'!G686="0.0.0",'Baseline Register'!I686="OPEN",'Baseline Register'!J686="HOLD"),1,0)</x:f>
        <x:v>1</x:v>
      </x:c>
      <x:c r="F5570" s="21" t="n">
        <x:v>1</x:v>
      </x:c>
      <x:c r="G5570" s="23" t="str">
        <x:f>IF(E5570=F5570,"PASS","FAIL")</x:f>
        <x:v>PASS</x:v>
      </x:c>
    </x:row>
    <x:row r="5571">
      <x:c r="B5571" s="21" t="str">
        <x:v>A05565</x:v>
      </x:c>
      <x:c r="C5571" s="21" t="str">
        <x:v>baseline</x:v>
      </x:c>
      <x:c r="D5571" s="21" t="str">
        <x:v>baseline 681 planning state</x:v>
      </x:c>
      <x:c r="E5571" s="21" t="n">
        <x:f>IF(AND('Baseline Register'!G687="0.0.0",'Baseline Register'!I687="OPEN",'Baseline Register'!J687="HOLD"),1,0)</x:f>
        <x:v>1</x:v>
      </x:c>
      <x:c r="F5571" s="21" t="n">
        <x:v>1</x:v>
      </x:c>
      <x:c r="G5571" s="23" t="str">
        <x:f>IF(E5571=F5571,"PASS","FAIL")</x:f>
        <x:v>PASS</x:v>
      </x:c>
    </x:row>
    <x:row r="5572">
      <x:c r="B5572" s="21" t="str">
        <x:v>A05566</x:v>
      </x:c>
      <x:c r="C5572" s="21" t="str">
        <x:v>baseline</x:v>
      </x:c>
      <x:c r="D5572" s="21" t="str">
        <x:v>baseline 682 planning state</x:v>
      </x:c>
      <x:c r="E5572" s="21" t="n">
        <x:f>IF(AND('Baseline Register'!G688="0.0.0",'Baseline Register'!I688="OPEN",'Baseline Register'!J688="HOLD"),1,0)</x:f>
        <x:v>1</x:v>
      </x:c>
      <x:c r="F5572" s="21" t="n">
        <x:v>1</x:v>
      </x:c>
      <x:c r="G5572" s="23" t="str">
        <x:f>IF(E5572=F5572,"PASS","FAIL")</x:f>
        <x:v>PASS</x:v>
      </x:c>
    </x:row>
    <x:row r="5573">
      <x:c r="B5573" s="21" t="str">
        <x:v>A05567</x:v>
      </x:c>
      <x:c r="C5573" s="21" t="str">
        <x:v>baseline</x:v>
      </x:c>
      <x:c r="D5573" s="21" t="str">
        <x:v>baseline 683 planning state</x:v>
      </x:c>
      <x:c r="E5573" s="21" t="n">
        <x:f>IF(AND('Baseline Register'!G689="0.0.0",'Baseline Register'!I689="OPEN",'Baseline Register'!J689="HOLD"),1,0)</x:f>
        <x:v>1</x:v>
      </x:c>
      <x:c r="F5573" s="21" t="n">
        <x:v>1</x:v>
      </x:c>
      <x:c r="G5573" s="23" t="str">
        <x:f>IF(E5573=F5573,"PASS","FAIL")</x:f>
        <x:v>PASS</x:v>
      </x:c>
    </x:row>
    <x:row r="5574">
      <x:c r="B5574" s="21" t="str">
        <x:v>A05568</x:v>
      </x:c>
      <x:c r="C5574" s="21" t="str">
        <x:v>baseline</x:v>
      </x:c>
      <x:c r="D5574" s="21" t="str">
        <x:v>baseline 684 planning state</x:v>
      </x:c>
      <x:c r="E5574" s="21" t="n">
        <x:f>IF(AND('Baseline Register'!G690="0.0.0",'Baseline Register'!I690="OPEN",'Baseline Register'!J690="HOLD"),1,0)</x:f>
        <x:v>1</x:v>
      </x:c>
      <x:c r="F5574" s="21" t="n">
        <x:v>1</x:v>
      </x:c>
      <x:c r="G5574" s="23" t="str">
        <x:f>IF(E5574=F5574,"PASS","FAIL")</x:f>
        <x:v>PASS</x:v>
      </x:c>
    </x:row>
    <x:row r="5575">
      <x:c r="B5575" s="21" t="str">
        <x:v>A05569</x:v>
      </x:c>
      <x:c r="C5575" s="21" t="str">
        <x:v>baseline</x:v>
      </x:c>
      <x:c r="D5575" s="21" t="str">
        <x:v>baseline 685 planning state</x:v>
      </x:c>
      <x:c r="E5575" s="21" t="n">
        <x:f>IF(AND('Baseline Register'!G691="0.0.0",'Baseline Register'!I691="OPEN",'Baseline Register'!J691="HOLD"),1,0)</x:f>
        <x:v>1</x:v>
      </x:c>
      <x:c r="F5575" s="21" t="n">
        <x:v>1</x:v>
      </x:c>
      <x:c r="G5575" s="23" t="str">
        <x:f>IF(E5575=F5575,"PASS","FAIL")</x:f>
        <x:v>PASS</x:v>
      </x:c>
    </x:row>
    <x:row r="5576">
      <x:c r="B5576" s="21" t="str">
        <x:v>A05570</x:v>
      </x:c>
      <x:c r="C5576" s="21" t="str">
        <x:v>baseline</x:v>
      </x:c>
      <x:c r="D5576" s="21" t="str">
        <x:v>baseline 686 planning state</x:v>
      </x:c>
      <x:c r="E5576" s="21" t="n">
        <x:f>IF(AND('Baseline Register'!G692="0.0.0",'Baseline Register'!I692="OPEN",'Baseline Register'!J692="HOLD"),1,0)</x:f>
        <x:v>1</x:v>
      </x:c>
      <x:c r="F5576" s="21" t="n">
        <x:v>1</x:v>
      </x:c>
      <x:c r="G5576" s="23" t="str">
        <x:f>IF(E5576=F5576,"PASS","FAIL")</x:f>
        <x:v>PASS</x:v>
      </x:c>
    </x:row>
    <x:row r="5577">
      <x:c r="B5577" s="21" t="str">
        <x:v>A05571</x:v>
      </x:c>
      <x:c r="C5577" s="21" t="str">
        <x:v>baseline</x:v>
      </x:c>
      <x:c r="D5577" s="21" t="str">
        <x:v>baseline 687 planning state</x:v>
      </x:c>
      <x:c r="E5577" s="21" t="n">
        <x:f>IF(AND('Baseline Register'!G693="0.0.0",'Baseline Register'!I693="OPEN",'Baseline Register'!J693="HOLD"),1,0)</x:f>
        <x:v>1</x:v>
      </x:c>
      <x:c r="F5577" s="21" t="n">
        <x:v>1</x:v>
      </x:c>
      <x:c r="G5577" s="23" t="str">
        <x:f>IF(E5577=F5577,"PASS","FAIL")</x:f>
        <x:v>PASS</x:v>
      </x:c>
    </x:row>
    <x:row r="5578">
      <x:c r="B5578" s="21" t="str">
        <x:v>A05572</x:v>
      </x:c>
      <x:c r="C5578" s="21" t="str">
        <x:v>baseline</x:v>
      </x:c>
      <x:c r="D5578" s="21" t="str">
        <x:v>baseline 688 planning state</x:v>
      </x:c>
      <x:c r="E5578" s="21" t="n">
        <x:f>IF(AND('Baseline Register'!G694="0.0.0",'Baseline Register'!I694="OPEN",'Baseline Register'!J694="HOLD"),1,0)</x:f>
        <x:v>1</x:v>
      </x:c>
      <x:c r="F5578" s="21" t="n">
        <x:v>1</x:v>
      </x:c>
      <x:c r="G5578" s="23" t="str">
        <x:f>IF(E5578=F5578,"PASS","FAIL")</x:f>
        <x:v>PASS</x:v>
      </x:c>
    </x:row>
    <x:row r="5579">
      <x:c r="B5579" s="21" t="str">
        <x:v>A05573</x:v>
      </x:c>
      <x:c r="C5579" s="21" t="str">
        <x:v>baseline</x:v>
      </x:c>
      <x:c r="D5579" s="21" t="str">
        <x:v>baseline 689 planning state</x:v>
      </x:c>
      <x:c r="E5579" s="21" t="n">
        <x:f>IF(AND('Baseline Register'!G695="0.0.0",'Baseline Register'!I695="OPEN",'Baseline Register'!J695="HOLD"),1,0)</x:f>
        <x:v>1</x:v>
      </x:c>
      <x:c r="F5579" s="21" t="n">
        <x:v>1</x:v>
      </x:c>
      <x:c r="G5579" s="23" t="str">
        <x:f>IF(E5579=F5579,"PASS","FAIL")</x:f>
        <x:v>PASS</x:v>
      </x:c>
    </x:row>
    <x:row r="5580">
      <x:c r="B5580" s="21" t="str">
        <x:v>A05574</x:v>
      </x:c>
      <x:c r="C5580" s="21" t="str">
        <x:v>baseline</x:v>
      </x:c>
      <x:c r="D5580" s="21" t="str">
        <x:v>baseline 690 planning state</x:v>
      </x:c>
      <x:c r="E5580" s="21" t="n">
        <x:f>IF(AND('Baseline Register'!G696="0.0.0",'Baseline Register'!I696="OPEN",'Baseline Register'!J696="HOLD"),1,0)</x:f>
        <x:v>1</x:v>
      </x:c>
      <x:c r="F5580" s="21" t="n">
        <x:v>1</x:v>
      </x:c>
      <x:c r="G5580" s="23" t="str">
        <x:f>IF(E5580=F5580,"PASS","FAIL")</x:f>
        <x:v>PASS</x:v>
      </x:c>
    </x:row>
    <x:row r="5581">
      <x:c r="B5581" s="21" t="str">
        <x:v>A05575</x:v>
      </x:c>
      <x:c r="C5581" s="21" t="str">
        <x:v>baseline</x:v>
      </x:c>
      <x:c r="D5581" s="21" t="str">
        <x:v>baseline 691 planning state</x:v>
      </x:c>
      <x:c r="E5581" s="21" t="n">
        <x:f>IF(AND('Baseline Register'!G697="0.0.0",'Baseline Register'!I697="OPEN",'Baseline Register'!J697="HOLD"),1,0)</x:f>
        <x:v>1</x:v>
      </x:c>
      <x:c r="F5581" s="21" t="n">
        <x:v>1</x:v>
      </x:c>
      <x:c r="G5581" s="23" t="str">
        <x:f>IF(E5581=F5581,"PASS","FAIL")</x:f>
        <x:v>PASS</x:v>
      </x:c>
    </x:row>
    <x:row r="5582">
      <x:c r="B5582" s="21" t="str">
        <x:v>A05576</x:v>
      </x:c>
      <x:c r="C5582" s="21" t="str">
        <x:v>baseline</x:v>
      </x:c>
      <x:c r="D5582" s="21" t="str">
        <x:v>baseline 692 planning state</x:v>
      </x:c>
      <x:c r="E5582" s="21" t="n">
        <x:f>IF(AND('Baseline Register'!G698="0.0.0",'Baseline Register'!I698="OPEN",'Baseline Register'!J698="HOLD"),1,0)</x:f>
        <x:v>1</x:v>
      </x:c>
      <x:c r="F5582" s="21" t="n">
        <x:v>1</x:v>
      </x:c>
      <x:c r="G5582" s="23" t="str">
        <x:f>IF(E5582=F5582,"PASS","FAIL")</x:f>
        <x:v>PASS</x:v>
      </x:c>
    </x:row>
    <x:row r="5583">
      <x:c r="B5583" s="21" t="str">
        <x:v>A05577</x:v>
      </x:c>
      <x:c r="C5583" s="21" t="str">
        <x:v>baseline</x:v>
      </x:c>
      <x:c r="D5583" s="21" t="str">
        <x:v>baseline 693 planning state</x:v>
      </x:c>
      <x:c r="E5583" s="21" t="n">
        <x:f>IF(AND('Baseline Register'!G699="0.0.0",'Baseline Register'!I699="OPEN",'Baseline Register'!J699="HOLD"),1,0)</x:f>
        <x:v>1</x:v>
      </x:c>
      <x:c r="F5583" s="21" t="n">
        <x:v>1</x:v>
      </x:c>
      <x:c r="G5583" s="23" t="str">
        <x:f>IF(E5583=F5583,"PASS","FAIL")</x:f>
        <x:v>PASS</x:v>
      </x:c>
    </x:row>
    <x:row r="5584">
      <x:c r="B5584" s="21" t="str">
        <x:v>A05578</x:v>
      </x:c>
      <x:c r="C5584" s="21" t="str">
        <x:v>baseline</x:v>
      </x:c>
      <x:c r="D5584" s="21" t="str">
        <x:v>baseline 694 planning state</x:v>
      </x:c>
      <x:c r="E5584" s="21" t="n">
        <x:f>IF(AND('Baseline Register'!G700="0.0.0",'Baseline Register'!I700="OPEN",'Baseline Register'!J700="HOLD"),1,0)</x:f>
        <x:v>1</x:v>
      </x:c>
      <x:c r="F5584" s="21" t="n">
        <x:v>1</x:v>
      </x:c>
      <x:c r="G5584" s="23" t="str">
        <x:f>IF(E5584=F5584,"PASS","FAIL")</x:f>
        <x:v>PASS</x:v>
      </x:c>
    </x:row>
    <x:row r="5585">
      <x:c r="B5585" s="21" t="str">
        <x:v>A05579</x:v>
      </x:c>
      <x:c r="C5585" s="21" t="str">
        <x:v>baseline</x:v>
      </x:c>
      <x:c r="D5585" s="21" t="str">
        <x:v>baseline 695 planning state</x:v>
      </x:c>
      <x:c r="E5585" s="21" t="n">
        <x:f>IF(AND('Baseline Register'!G701="0.0.0",'Baseline Register'!I701="OPEN",'Baseline Register'!J701="HOLD"),1,0)</x:f>
        <x:v>1</x:v>
      </x:c>
      <x:c r="F5585" s="21" t="n">
        <x:v>1</x:v>
      </x:c>
      <x:c r="G5585" s="23" t="str">
        <x:f>IF(E5585=F5585,"PASS","FAIL")</x:f>
        <x:v>PASS</x:v>
      </x:c>
    </x:row>
    <x:row r="5586">
      <x:c r="B5586" s="21" t="str">
        <x:v>A05580</x:v>
      </x:c>
      <x:c r="C5586" s="21" t="str">
        <x:v>baseline</x:v>
      </x:c>
      <x:c r="D5586" s="21" t="str">
        <x:v>baseline 696 planning state</x:v>
      </x:c>
      <x:c r="E5586" s="21" t="n">
        <x:f>IF(AND('Baseline Register'!G702="0.0.0",'Baseline Register'!I702="OPEN",'Baseline Register'!J702="HOLD"),1,0)</x:f>
        <x:v>1</x:v>
      </x:c>
      <x:c r="F5586" s="21" t="n">
        <x:v>1</x:v>
      </x:c>
      <x:c r="G5586" s="23" t="str">
        <x:f>IF(E5586=F5586,"PASS","FAIL")</x:f>
        <x:v>PASS</x:v>
      </x:c>
    </x:row>
    <x:row r="5587">
      <x:c r="B5587" s="21" t="str">
        <x:v>A05581</x:v>
      </x:c>
      <x:c r="C5587" s="21" t="str">
        <x:v>baseline</x:v>
      </x:c>
      <x:c r="D5587" s="21" t="str">
        <x:v>baseline 697 planning state</x:v>
      </x:c>
      <x:c r="E5587" s="21" t="n">
        <x:f>IF(AND('Baseline Register'!G703="0.0.0",'Baseline Register'!I703="OPEN",'Baseline Register'!J703="HOLD"),1,0)</x:f>
        <x:v>1</x:v>
      </x:c>
      <x:c r="F5587" s="21" t="n">
        <x:v>1</x:v>
      </x:c>
      <x:c r="G5587" s="23" t="str">
        <x:f>IF(E5587=F5587,"PASS","FAIL")</x:f>
        <x:v>PASS</x:v>
      </x:c>
    </x:row>
    <x:row r="5588">
      <x:c r="B5588" s="21" t="str">
        <x:v>A05582</x:v>
      </x:c>
      <x:c r="C5588" s="21" t="str">
        <x:v>baseline</x:v>
      </x:c>
      <x:c r="D5588" s="21" t="str">
        <x:v>baseline 698 planning state</x:v>
      </x:c>
      <x:c r="E5588" s="21" t="n">
        <x:f>IF(AND('Baseline Register'!G704="0.0.0",'Baseline Register'!I704="OPEN",'Baseline Register'!J704="HOLD"),1,0)</x:f>
        <x:v>1</x:v>
      </x:c>
      <x:c r="F5588" s="21" t="n">
        <x:v>1</x:v>
      </x:c>
      <x:c r="G5588" s="23" t="str">
        <x:f>IF(E5588=F5588,"PASS","FAIL")</x:f>
        <x:v>PASS</x:v>
      </x:c>
    </x:row>
    <x:row r="5589">
      <x:c r="B5589" s="21" t="str">
        <x:v>A05583</x:v>
      </x:c>
      <x:c r="C5589" s="21" t="str">
        <x:v>baseline</x:v>
      </x:c>
      <x:c r="D5589" s="21" t="str">
        <x:v>baseline 699 planning state</x:v>
      </x:c>
      <x:c r="E5589" s="21" t="n">
        <x:f>IF(AND('Baseline Register'!G705="0.0.0",'Baseline Register'!I705="OPEN",'Baseline Register'!J705="HOLD"),1,0)</x:f>
        <x:v>1</x:v>
      </x:c>
      <x:c r="F5589" s="21" t="n">
        <x:v>1</x:v>
      </x:c>
      <x:c r="G5589" s="23" t="str">
        <x:f>IF(E5589=F5589,"PASS","FAIL")</x:f>
        <x:v>PASS</x:v>
      </x:c>
    </x:row>
    <x:row r="5590">
      <x:c r="B5590" s="21" t="str">
        <x:v>A05584</x:v>
      </x:c>
      <x:c r="C5590" s="21" t="str">
        <x:v>baseline</x:v>
      </x:c>
      <x:c r="D5590" s="21" t="str">
        <x:v>baseline 700 planning state</x:v>
      </x:c>
      <x:c r="E5590" s="21" t="n">
        <x:f>IF(AND('Baseline Register'!G706="0.0.0",'Baseline Register'!I706="OPEN",'Baseline Register'!J706="HOLD"),1,0)</x:f>
        <x:v>1</x:v>
      </x:c>
      <x:c r="F5590" s="21" t="n">
        <x:v>1</x:v>
      </x:c>
      <x:c r="G5590" s="23" t="str">
        <x:f>IF(E5590=F5590,"PASS","FAIL")</x:f>
        <x:v>PASS</x:v>
      </x:c>
    </x:row>
    <x:row r="5591">
      <x:c r="B5591" s="21" t="str">
        <x:v>A05585</x:v>
      </x:c>
      <x:c r="C5591" s="21" t="str">
        <x:v>baseline</x:v>
      </x:c>
      <x:c r="D5591" s="21" t="str">
        <x:v>baseline 701 planning state</x:v>
      </x:c>
      <x:c r="E5591" s="21" t="n">
        <x:f>IF(AND('Baseline Register'!G707="0.0.0",'Baseline Register'!I707="OPEN",'Baseline Register'!J707="HOLD"),1,0)</x:f>
        <x:v>1</x:v>
      </x:c>
      <x:c r="F5591" s="21" t="n">
        <x:v>1</x:v>
      </x:c>
      <x:c r="G5591" s="23" t="str">
        <x:f>IF(E5591=F5591,"PASS","FAIL")</x:f>
        <x:v>PASS</x:v>
      </x:c>
    </x:row>
    <x:row r="5592">
      <x:c r="B5592" s="21" t="str">
        <x:v>A05586</x:v>
      </x:c>
      <x:c r="C5592" s="21" t="str">
        <x:v>baseline</x:v>
      </x:c>
      <x:c r="D5592" s="21" t="str">
        <x:v>baseline 702 planning state</x:v>
      </x:c>
      <x:c r="E5592" s="21" t="n">
        <x:f>IF(AND('Baseline Register'!G708="0.0.0",'Baseline Register'!I708="OPEN",'Baseline Register'!J708="HOLD"),1,0)</x:f>
        <x:v>1</x:v>
      </x:c>
      <x:c r="F5592" s="21" t="n">
        <x:v>1</x:v>
      </x:c>
      <x:c r="G5592" s="23" t="str">
        <x:f>IF(E5592=F5592,"PASS","FAIL")</x:f>
        <x:v>PASS</x:v>
      </x:c>
    </x:row>
    <x:row r="5593">
      <x:c r="B5593" s="21" t="str">
        <x:v>A05587</x:v>
      </x:c>
      <x:c r="C5593" s="21" t="str">
        <x:v>baseline</x:v>
      </x:c>
      <x:c r="D5593" s="21" t="str">
        <x:v>baseline 703 planning state</x:v>
      </x:c>
      <x:c r="E5593" s="21" t="n">
        <x:f>IF(AND('Baseline Register'!G709="0.0.0",'Baseline Register'!I709="OPEN",'Baseline Register'!J709="HOLD"),1,0)</x:f>
        <x:v>1</x:v>
      </x:c>
      <x:c r="F5593" s="21" t="n">
        <x:v>1</x:v>
      </x:c>
      <x:c r="G5593" s="23" t="str">
        <x:f>IF(E5593=F5593,"PASS","FAIL")</x:f>
        <x:v>PASS</x:v>
      </x:c>
    </x:row>
    <x:row r="5594">
      <x:c r="B5594" s="21" t="str">
        <x:v>A05588</x:v>
      </x:c>
      <x:c r="C5594" s="21" t="str">
        <x:v>baseline</x:v>
      </x:c>
      <x:c r="D5594" s="21" t="str">
        <x:v>baseline 704 planning state</x:v>
      </x:c>
      <x:c r="E5594" s="21" t="n">
        <x:f>IF(AND('Baseline Register'!G710="0.0.0",'Baseline Register'!I710="OPEN",'Baseline Register'!J710="HOLD"),1,0)</x:f>
        <x:v>1</x:v>
      </x:c>
      <x:c r="F5594" s="21" t="n">
        <x:v>1</x:v>
      </x:c>
      <x:c r="G5594" s="23" t="str">
        <x:f>IF(E5594=F5594,"PASS","FAIL")</x:f>
        <x:v>PASS</x:v>
      </x:c>
    </x:row>
    <x:row r="5595">
      <x:c r="B5595" s="21" t="str">
        <x:v>A05589</x:v>
      </x:c>
      <x:c r="C5595" s="21" t="str">
        <x:v>baseline</x:v>
      </x:c>
      <x:c r="D5595" s="21" t="str">
        <x:v>baseline 705 planning state</x:v>
      </x:c>
      <x:c r="E5595" s="21" t="n">
        <x:f>IF(AND('Baseline Register'!G711="0.0.0",'Baseline Register'!I711="OPEN",'Baseline Register'!J711="HOLD"),1,0)</x:f>
        <x:v>1</x:v>
      </x:c>
      <x:c r="F5595" s="21" t="n">
        <x:v>1</x:v>
      </x:c>
      <x:c r="G5595" s="23" t="str">
        <x:f>IF(E5595=F5595,"PASS","FAIL")</x:f>
        <x:v>PASS</x:v>
      </x:c>
    </x:row>
    <x:row r="5596">
      <x:c r="B5596" s="21" t="str">
        <x:v>A05590</x:v>
      </x:c>
      <x:c r="C5596" s="21" t="str">
        <x:v>baseline</x:v>
      </x:c>
      <x:c r="D5596" s="21" t="str">
        <x:v>baseline 706 planning state</x:v>
      </x:c>
      <x:c r="E5596" s="21" t="n">
        <x:f>IF(AND('Baseline Register'!G712="0.0.0",'Baseline Register'!I712="OPEN",'Baseline Register'!J712="HOLD"),1,0)</x:f>
        <x:v>1</x:v>
      </x:c>
      <x:c r="F5596" s="21" t="n">
        <x:v>1</x:v>
      </x:c>
      <x:c r="G5596" s="23" t="str">
        <x:f>IF(E5596=F5596,"PASS","FAIL")</x:f>
        <x:v>PASS</x:v>
      </x:c>
    </x:row>
    <x:row r="5597">
      <x:c r="B5597" s="21" t="str">
        <x:v>A05591</x:v>
      </x:c>
      <x:c r="C5597" s="21" t="str">
        <x:v>baseline</x:v>
      </x:c>
      <x:c r="D5597" s="21" t="str">
        <x:v>baseline 707 planning state</x:v>
      </x:c>
      <x:c r="E5597" s="21" t="n">
        <x:f>IF(AND('Baseline Register'!G713="0.0.0",'Baseline Register'!I713="OPEN",'Baseline Register'!J713="HOLD"),1,0)</x:f>
        <x:v>1</x:v>
      </x:c>
      <x:c r="F5597" s="21" t="n">
        <x:v>1</x:v>
      </x:c>
      <x:c r="G5597" s="23" t="str">
        <x:f>IF(E5597=F5597,"PASS","FAIL")</x:f>
        <x:v>PASS</x:v>
      </x:c>
    </x:row>
    <x:row r="5598">
      <x:c r="B5598" s="21" t="str">
        <x:v>A05592</x:v>
      </x:c>
      <x:c r="C5598" s="21" t="str">
        <x:v>baseline</x:v>
      </x:c>
      <x:c r="D5598" s="21" t="str">
        <x:v>baseline 708 planning state</x:v>
      </x:c>
      <x:c r="E5598" s="21" t="n">
        <x:f>IF(AND('Baseline Register'!G714="0.0.0",'Baseline Register'!I714="OPEN",'Baseline Register'!J714="HOLD"),1,0)</x:f>
        <x:v>1</x:v>
      </x:c>
      <x:c r="F5598" s="21" t="n">
        <x:v>1</x:v>
      </x:c>
      <x:c r="G5598" s="23" t="str">
        <x:f>IF(E5598=F5598,"PASS","FAIL")</x:f>
        <x:v>PASS</x:v>
      </x:c>
    </x:row>
    <x:row r="5599">
      <x:c r="B5599" s="21" t="str">
        <x:v>A05593</x:v>
      </x:c>
      <x:c r="C5599" s="21" t="str">
        <x:v>baseline</x:v>
      </x:c>
      <x:c r="D5599" s="21" t="str">
        <x:v>baseline 709 planning state</x:v>
      </x:c>
      <x:c r="E5599" s="21" t="n">
        <x:f>IF(AND('Baseline Register'!G715="0.0.0",'Baseline Register'!I715="OPEN",'Baseline Register'!J715="HOLD"),1,0)</x:f>
        <x:v>1</x:v>
      </x:c>
      <x:c r="F5599" s="21" t="n">
        <x:v>1</x:v>
      </x:c>
      <x:c r="G5599" s="23" t="str">
        <x:f>IF(E5599=F5599,"PASS","FAIL")</x:f>
        <x:v>PASS</x:v>
      </x:c>
    </x:row>
    <x:row r="5600">
      <x:c r="B5600" s="21" t="str">
        <x:v>A05594</x:v>
      </x:c>
      <x:c r="C5600" s="21" t="str">
        <x:v>baseline</x:v>
      </x:c>
      <x:c r="D5600" s="21" t="str">
        <x:v>baseline 710 planning state</x:v>
      </x:c>
      <x:c r="E5600" s="21" t="n">
        <x:f>IF(AND('Baseline Register'!G716="0.0.0",'Baseline Register'!I716="OPEN",'Baseline Register'!J716="HOLD"),1,0)</x:f>
        <x:v>1</x:v>
      </x:c>
      <x:c r="F5600" s="21" t="n">
        <x:v>1</x:v>
      </x:c>
      <x:c r="G5600" s="23" t="str">
        <x:f>IF(E5600=F5600,"PASS","FAIL")</x:f>
        <x:v>PASS</x:v>
      </x:c>
    </x:row>
    <x:row r="5601">
      <x:c r="B5601" s="21" t="str">
        <x:v>A05595</x:v>
      </x:c>
      <x:c r="C5601" s="21" t="str">
        <x:v>baseline</x:v>
      </x:c>
      <x:c r="D5601" s="21" t="str">
        <x:v>baseline 711 planning state</x:v>
      </x:c>
      <x:c r="E5601" s="21" t="n">
        <x:f>IF(AND('Baseline Register'!G717="0.0.0",'Baseline Register'!I717="OPEN",'Baseline Register'!J717="HOLD"),1,0)</x:f>
        <x:v>1</x:v>
      </x:c>
      <x:c r="F5601" s="21" t="n">
        <x:v>1</x:v>
      </x:c>
      <x:c r="G5601" s="23" t="str">
        <x:f>IF(E5601=F5601,"PASS","FAIL")</x:f>
        <x:v>PASS</x:v>
      </x:c>
    </x:row>
    <x:row r="5602">
      <x:c r="B5602" s="21" t="str">
        <x:v>A05596</x:v>
      </x:c>
      <x:c r="C5602" s="21" t="str">
        <x:v>baseline</x:v>
      </x:c>
      <x:c r="D5602" s="21" t="str">
        <x:v>baseline 712 planning state</x:v>
      </x:c>
      <x:c r="E5602" s="21" t="n">
        <x:f>IF(AND('Baseline Register'!G718="0.0.0",'Baseline Register'!I718="OPEN",'Baseline Register'!J718="HOLD"),1,0)</x:f>
        <x:v>1</x:v>
      </x:c>
      <x:c r="F5602" s="21" t="n">
        <x:v>1</x:v>
      </x:c>
      <x:c r="G5602" s="23" t="str">
        <x:f>IF(E5602=F5602,"PASS","FAIL")</x:f>
        <x:v>PASS</x:v>
      </x:c>
    </x:row>
    <x:row r="5603">
      <x:c r="B5603" s="21" t="str">
        <x:v>A05597</x:v>
      </x:c>
      <x:c r="C5603" s="21" t="str">
        <x:v>baseline</x:v>
      </x:c>
      <x:c r="D5603" s="21" t="str">
        <x:v>baseline 713 planning state</x:v>
      </x:c>
      <x:c r="E5603" s="21" t="n">
        <x:f>IF(AND('Baseline Register'!G719="0.0.0",'Baseline Register'!I719="OPEN",'Baseline Register'!J719="HOLD"),1,0)</x:f>
        <x:v>1</x:v>
      </x:c>
      <x:c r="F5603" s="21" t="n">
        <x:v>1</x:v>
      </x:c>
      <x:c r="G5603" s="23" t="str">
        <x:f>IF(E5603=F5603,"PASS","FAIL")</x:f>
        <x:v>PASS</x:v>
      </x:c>
    </x:row>
    <x:row r="5604">
      <x:c r="B5604" s="21" t="str">
        <x:v>A05598</x:v>
      </x:c>
      <x:c r="C5604" s="21" t="str">
        <x:v>baseline</x:v>
      </x:c>
      <x:c r="D5604" s="21" t="str">
        <x:v>baseline 714 planning state</x:v>
      </x:c>
      <x:c r="E5604" s="21" t="n">
        <x:f>IF(AND('Baseline Register'!G720="0.0.0",'Baseline Register'!I720="OPEN",'Baseline Register'!J720="HOLD"),1,0)</x:f>
        <x:v>1</x:v>
      </x:c>
      <x:c r="F5604" s="21" t="n">
        <x:v>1</x:v>
      </x:c>
      <x:c r="G5604" s="23" t="str">
        <x:f>IF(E5604=F5604,"PASS","FAIL")</x:f>
        <x:v>PASS</x:v>
      </x:c>
    </x:row>
    <x:row r="5605">
      <x:c r="B5605" s="21" t="str">
        <x:v>A05599</x:v>
      </x:c>
      <x:c r="C5605" s="21" t="str">
        <x:v>baseline</x:v>
      </x:c>
      <x:c r="D5605" s="21" t="str">
        <x:v>baseline 715 planning state</x:v>
      </x:c>
      <x:c r="E5605" s="21" t="n">
        <x:f>IF(AND('Baseline Register'!G721="0.0.0",'Baseline Register'!I721="OPEN",'Baseline Register'!J721="HOLD"),1,0)</x:f>
        <x:v>1</x:v>
      </x:c>
      <x:c r="F5605" s="21" t="n">
        <x:v>1</x:v>
      </x:c>
      <x:c r="G5605" s="23" t="str">
        <x:f>IF(E5605=F5605,"PASS","FAIL")</x:f>
        <x:v>PASS</x:v>
      </x:c>
    </x:row>
    <x:row r="5606">
      <x:c r="B5606" s="21" t="str">
        <x:v>A05600</x:v>
      </x:c>
      <x:c r="C5606" s="21" t="str">
        <x:v>baseline</x:v>
      </x:c>
      <x:c r="D5606" s="21" t="str">
        <x:v>baseline 716 planning state</x:v>
      </x:c>
      <x:c r="E5606" s="21" t="n">
        <x:f>IF(AND('Baseline Register'!G722="0.0.0",'Baseline Register'!I722="OPEN",'Baseline Register'!J722="HOLD"),1,0)</x:f>
        <x:v>1</x:v>
      </x:c>
      <x:c r="F5606" s="21" t="n">
        <x:v>1</x:v>
      </x:c>
      <x:c r="G5606" s="23" t="str">
        <x:f>IF(E5606=F5606,"PASS","FAIL")</x:f>
        <x:v>PASS</x:v>
      </x:c>
    </x:row>
    <x:row r="5607">
      <x:c r="B5607" s="21" t="str">
        <x:v>A05601</x:v>
      </x:c>
      <x:c r="C5607" s="21" t="str">
        <x:v>baseline</x:v>
      </x:c>
      <x:c r="D5607" s="21" t="str">
        <x:v>baseline 717 planning state</x:v>
      </x:c>
      <x:c r="E5607" s="21" t="n">
        <x:f>IF(AND('Baseline Register'!G723="0.0.0",'Baseline Register'!I723="OPEN",'Baseline Register'!J723="HOLD"),1,0)</x:f>
        <x:v>1</x:v>
      </x:c>
      <x:c r="F5607" s="21" t="n">
        <x:v>1</x:v>
      </x:c>
      <x:c r="G5607" s="23" t="str">
        <x:f>IF(E5607=F5607,"PASS","FAIL")</x:f>
        <x:v>PASS</x:v>
      </x:c>
    </x:row>
    <x:row r="5608">
      <x:c r="B5608" s="21" t="str">
        <x:v>A05602</x:v>
      </x:c>
      <x:c r="C5608" s="21" t="str">
        <x:v>baseline</x:v>
      </x:c>
      <x:c r="D5608" s="21" t="str">
        <x:v>baseline 718 planning state</x:v>
      </x:c>
      <x:c r="E5608" s="21" t="n">
        <x:f>IF(AND('Baseline Register'!G724="0.0.0",'Baseline Register'!I724="OPEN",'Baseline Register'!J724="HOLD"),1,0)</x:f>
        <x:v>1</x:v>
      </x:c>
      <x:c r="F5608" s="21" t="n">
        <x:v>1</x:v>
      </x:c>
      <x:c r="G5608" s="23" t="str">
        <x:f>IF(E5608=F5608,"PASS","FAIL")</x:f>
        <x:v>PASS</x:v>
      </x:c>
    </x:row>
    <x:row r="5609">
      <x:c r="B5609" s="21" t="str">
        <x:v>A05603</x:v>
      </x:c>
      <x:c r="C5609" s="21" t="str">
        <x:v>baseline</x:v>
      </x:c>
      <x:c r="D5609" s="21" t="str">
        <x:v>baseline 719 planning state</x:v>
      </x:c>
      <x:c r="E5609" s="21" t="n">
        <x:f>IF(AND('Baseline Register'!G725="0.0.0",'Baseline Register'!I725="OPEN",'Baseline Register'!J725="HOLD"),1,0)</x:f>
        <x:v>1</x:v>
      </x:c>
      <x:c r="F5609" s="21" t="n">
        <x:v>1</x:v>
      </x:c>
      <x:c r="G5609" s="23" t="str">
        <x:f>IF(E5609=F5609,"PASS","FAIL")</x:f>
        <x:v>PASS</x:v>
      </x:c>
    </x:row>
    <x:row r="5610">
      <x:c r="B5610" s="21" t="str">
        <x:v>A05604</x:v>
      </x:c>
      <x:c r="C5610" s="21" t="str">
        <x:v>baseline</x:v>
      </x:c>
      <x:c r="D5610" s="21" t="str">
        <x:v>baseline 720 planning state</x:v>
      </x:c>
      <x:c r="E5610" s="21" t="n">
        <x:f>IF(AND('Baseline Register'!G726="0.0.0",'Baseline Register'!I726="OPEN",'Baseline Register'!J726="HOLD"),1,0)</x:f>
        <x:v>1</x:v>
      </x:c>
      <x:c r="F5610" s="21" t="n">
        <x:v>1</x:v>
      </x:c>
      <x:c r="G5610" s="23" t="str">
        <x:f>IF(E5610=F5610,"PASS","FAIL")</x:f>
        <x:v>PASS</x:v>
      </x:c>
    </x:row>
    <x:row r="5611">
      <x:c r="B5611" s="21" t="str">
        <x:v>A05605</x:v>
      </x:c>
      <x:c r="C5611" s="21" t="str">
        <x:v>baseline</x:v>
      </x:c>
      <x:c r="D5611" s="21" t="str">
        <x:v>baseline 721 planning state</x:v>
      </x:c>
      <x:c r="E5611" s="21" t="n">
        <x:f>IF(AND('Baseline Register'!G727="0.0.0",'Baseline Register'!I727="OPEN",'Baseline Register'!J727="HOLD"),1,0)</x:f>
        <x:v>1</x:v>
      </x:c>
      <x:c r="F5611" s="21" t="n">
        <x:v>1</x:v>
      </x:c>
      <x:c r="G5611" s="23" t="str">
        <x:f>IF(E5611=F5611,"PASS","FAIL")</x:f>
        <x:v>PASS</x:v>
      </x:c>
    </x:row>
    <x:row r="5612">
      <x:c r="B5612" s="21" t="str">
        <x:v>A05606</x:v>
      </x:c>
      <x:c r="C5612" s="21" t="str">
        <x:v>baseline</x:v>
      </x:c>
      <x:c r="D5612" s="21" t="str">
        <x:v>baseline 722 planning state</x:v>
      </x:c>
      <x:c r="E5612" s="21" t="n">
        <x:f>IF(AND('Baseline Register'!G728="0.0.0",'Baseline Register'!I728="OPEN",'Baseline Register'!J728="HOLD"),1,0)</x:f>
        <x:v>1</x:v>
      </x:c>
      <x:c r="F5612" s="21" t="n">
        <x:v>1</x:v>
      </x:c>
      <x:c r="G5612" s="23" t="str">
        <x:f>IF(E5612=F5612,"PASS","FAIL")</x:f>
        <x:v>PASS</x:v>
      </x:c>
    </x:row>
    <x:row r="5613">
      <x:c r="B5613" s="21" t="str">
        <x:v>A05607</x:v>
      </x:c>
      <x:c r="C5613" s="21" t="str">
        <x:v>baseline</x:v>
      </x:c>
      <x:c r="D5613" s="21" t="str">
        <x:v>baseline 723 planning state</x:v>
      </x:c>
      <x:c r="E5613" s="21" t="n">
        <x:f>IF(AND('Baseline Register'!G729="0.0.0",'Baseline Register'!I729="OPEN",'Baseline Register'!J729="HOLD"),1,0)</x:f>
        <x:v>1</x:v>
      </x:c>
      <x:c r="F5613" s="21" t="n">
        <x:v>1</x:v>
      </x:c>
      <x:c r="G5613" s="23" t="str">
        <x:f>IF(E5613=F5613,"PASS","FAIL")</x:f>
        <x:v>PASS</x:v>
      </x:c>
    </x:row>
    <x:row r="5614">
      <x:c r="B5614" s="21" t="str">
        <x:v>A05608</x:v>
      </x:c>
      <x:c r="C5614" s="21" t="str">
        <x:v>baseline</x:v>
      </x:c>
      <x:c r="D5614" s="21" t="str">
        <x:v>baseline 724 planning state</x:v>
      </x:c>
      <x:c r="E5614" s="21" t="n">
        <x:f>IF(AND('Baseline Register'!G730="0.0.0",'Baseline Register'!I730="OPEN",'Baseline Register'!J730="HOLD"),1,0)</x:f>
        <x:v>1</x:v>
      </x:c>
      <x:c r="F5614" s="21" t="n">
        <x:v>1</x:v>
      </x:c>
      <x:c r="G5614" s="23" t="str">
        <x:f>IF(E5614=F5614,"PASS","FAIL")</x:f>
        <x:v>PASS</x:v>
      </x:c>
    </x:row>
    <x:row r="5615">
      <x:c r="B5615" s="21" t="str">
        <x:v>A05609</x:v>
      </x:c>
      <x:c r="C5615" s="21" t="str">
        <x:v>baseline</x:v>
      </x:c>
      <x:c r="D5615" s="21" t="str">
        <x:v>baseline 725 planning state</x:v>
      </x:c>
      <x:c r="E5615" s="21" t="n">
        <x:f>IF(AND('Baseline Register'!G731="0.0.0",'Baseline Register'!I731="OPEN",'Baseline Register'!J731="HOLD"),1,0)</x:f>
        <x:v>1</x:v>
      </x:c>
      <x:c r="F5615" s="21" t="n">
        <x:v>1</x:v>
      </x:c>
      <x:c r="G5615" s="23" t="str">
        <x:f>IF(E5615=F5615,"PASS","FAIL")</x:f>
        <x:v>PASS</x:v>
      </x:c>
    </x:row>
    <x:row r="5616">
      <x:c r="B5616" s="21" t="str">
        <x:v>A05610</x:v>
      </x:c>
      <x:c r="C5616" s="21" t="str">
        <x:v>baseline</x:v>
      </x:c>
      <x:c r="D5616" s="21" t="str">
        <x:v>baseline 726 planning state</x:v>
      </x:c>
      <x:c r="E5616" s="21" t="n">
        <x:f>IF(AND('Baseline Register'!G732="0.0.0",'Baseline Register'!I732="OPEN",'Baseline Register'!J732="HOLD"),1,0)</x:f>
        <x:v>1</x:v>
      </x:c>
      <x:c r="F5616" s="21" t="n">
        <x:v>1</x:v>
      </x:c>
      <x:c r="G5616" s="23" t="str">
        <x:f>IF(E5616=F5616,"PASS","FAIL")</x:f>
        <x:v>PASS</x:v>
      </x:c>
    </x:row>
    <x:row r="5617">
      <x:c r="B5617" s="21" t="str">
        <x:v>A05611</x:v>
      </x:c>
      <x:c r="C5617" s="21" t="str">
        <x:v>baseline</x:v>
      </x:c>
      <x:c r="D5617" s="21" t="str">
        <x:v>baseline 727 planning state</x:v>
      </x:c>
      <x:c r="E5617" s="21" t="n">
        <x:f>IF(AND('Baseline Register'!G733="0.0.0",'Baseline Register'!I733="OPEN",'Baseline Register'!J733="HOLD"),1,0)</x:f>
        <x:v>1</x:v>
      </x:c>
      <x:c r="F5617" s="21" t="n">
        <x:v>1</x:v>
      </x:c>
      <x:c r="G5617" s="23" t="str">
        <x:f>IF(E5617=F5617,"PASS","FAIL")</x:f>
        <x:v>PASS</x:v>
      </x:c>
    </x:row>
    <x:row r="5618">
      <x:c r="B5618" s="21" t="str">
        <x:v>A05612</x:v>
      </x:c>
      <x:c r="C5618" s="21" t="str">
        <x:v>baseline</x:v>
      </x:c>
      <x:c r="D5618" s="21" t="str">
        <x:v>baseline 728 planning state</x:v>
      </x:c>
      <x:c r="E5618" s="21" t="n">
        <x:f>IF(AND('Baseline Register'!G734="0.0.0",'Baseline Register'!I734="OPEN",'Baseline Register'!J734="HOLD"),1,0)</x:f>
        <x:v>1</x:v>
      </x:c>
      <x:c r="F5618" s="21" t="n">
        <x:v>1</x:v>
      </x:c>
      <x:c r="G5618" s="23" t="str">
        <x:f>IF(E5618=F5618,"PASS","FAIL")</x:f>
        <x:v>PASS</x:v>
      </x:c>
    </x:row>
    <x:row r="5619">
      <x:c r="B5619" s="21" t="str">
        <x:v>A05613</x:v>
      </x:c>
      <x:c r="C5619" s="21" t="str">
        <x:v>baseline</x:v>
      </x:c>
      <x:c r="D5619" s="21" t="str">
        <x:v>baseline 729 planning state</x:v>
      </x:c>
      <x:c r="E5619" s="21" t="n">
        <x:f>IF(AND('Baseline Register'!G735="0.0.0",'Baseline Register'!I735="OPEN",'Baseline Register'!J735="HOLD"),1,0)</x:f>
        <x:v>1</x:v>
      </x:c>
      <x:c r="F5619" s="21" t="n">
        <x:v>1</x:v>
      </x:c>
      <x:c r="G5619" s="23" t="str">
        <x:f>IF(E5619=F5619,"PASS","FAIL")</x:f>
        <x:v>PASS</x:v>
      </x:c>
    </x:row>
    <x:row r="5620">
      <x:c r="B5620" s="21" t="str">
        <x:v>A05614</x:v>
      </x:c>
      <x:c r="C5620" s="21" t="str">
        <x:v>baseline</x:v>
      </x:c>
      <x:c r="D5620" s="21" t="str">
        <x:v>baseline 730 planning state</x:v>
      </x:c>
      <x:c r="E5620" s="21" t="n">
        <x:f>IF(AND('Baseline Register'!G736="0.0.0",'Baseline Register'!I736="OPEN",'Baseline Register'!J736="HOLD"),1,0)</x:f>
        <x:v>1</x:v>
      </x:c>
      <x:c r="F5620" s="21" t="n">
        <x:v>1</x:v>
      </x:c>
      <x:c r="G5620" s="23" t="str">
        <x:f>IF(E5620=F5620,"PASS","FAIL")</x:f>
        <x:v>PASS</x:v>
      </x:c>
    </x:row>
    <x:row r="5621">
      <x:c r="B5621" s="21" t="str">
        <x:v>A05615</x:v>
      </x:c>
      <x:c r="C5621" s="21" t="str">
        <x:v>baseline</x:v>
      </x:c>
      <x:c r="D5621" s="21" t="str">
        <x:v>baseline 731 planning state</x:v>
      </x:c>
      <x:c r="E5621" s="21" t="n">
        <x:f>IF(AND('Baseline Register'!G737="0.0.0",'Baseline Register'!I737="OPEN",'Baseline Register'!J737="HOLD"),1,0)</x:f>
        <x:v>1</x:v>
      </x:c>
      <x:c r="F5621" s="21" t="n">
        <x:v>1</x:v>
      </x:c>
      <x:c r="G5621" s="23" t="str">
        <x:f>IF(E5621=F5621,"PASS","FAIL")</x:f>
        <x:v>PASS</x:v>
      </x:c>
    </x:row>
    <x:row r="5622">
      <x:c r="B5622" s="21" t="str">
        <x:v>A05616</x:v>
      </x:c>
      <x:c r="C5622" s="21" t="str">
        <x:v>baseline</x:v>
      </x:c>
      <x:c r="D5622" s="21" t="str">
        <x:v>baseline 732 planning state</x:v>
      </x:c>
      <x:c r="E5622" s="21" t="n">
        <x:f>IF(AND('Baseline Register'!G738="0.0.0",'Baseline Register'!I738="OPEN",'Baseline Register'!J738="HOLD"),1,0)</x:f>
        <x:v>1</x:v>
      </x:c>
      <x:c r="F5622" s="21" t="n">
        <x:v>1</x:v>
      </x:c>
      <x:c r="G5622" s="23" t="str">
        <x:f>IF(E5622=F5622,"PASS","FAIL")</x:f>
        <x:v>PASS</x:v>
      </x:c>
    </x:row>
    <x:row r="5623">
      <x:c r="B5623" s="21" t="str">
        <x:v>A05617</x:v>
      </x:c>
      <x:c r="C5623" s="21" t="str">
        <x:v>baseline</x:v>
      </x:c>
      <x:c r="D5623" s="21" t="str">
        <x:v>baseline 733 planning state</x:v>
      </x:c>
      <x:c r="E5623" s="21" t="n">
        <x:f>IF(AND('Baseline Register'!G739="0.0.0",'Baseline Register'!I739="OPEN",'Baseline Register'!J739="HOLD"),1,0)</x:f>
        <x:v>1</x:v>
      </x:c>
      <x:c r="F5623" s="21" t="n">
        <x:v>1</x:v>
      </x:c>
      <x:c r="G5623" s="23" t="str">
        <x:f>IF(E5623=F5623,"PASS","FAIL")</x:f>
        <x:v>PASS</x:v>
      </x:c>
    </x:row>
    <x:row r="5624">
      <x:c r="B5624" s="21" t="str">
        <x:v>A05618</x:v>
      </x:c>
      <x:c r="C5624" s="21" t="str">
        <x:v>baseline</x:v>
      </x:c>
      <x:c r="D5624" s="21" t="str">
        <x:v>baseline 734 planning state</x:v>
      </x:c>
      <x:c r="E5624" s="21" t="n">
        <x:f>IF(AND('Baseline Register'!G740="0.0.0",'Baseline Register'!I740="OPEN",'Baseline Register'!J740="HOLD"),1,0)</x:f>
        <x:v>1</x:v>
      </x:c>
      <x:c r="F5624" s="21" t="n">
        <x:v>1</x:v>
      </x:c>
      <x:c r="G5624" s="23" t="str">
        <x:f>IF(E5624=F5624,"PASS","FAIL")</x:f>
        <x:v>PASS</x:v>
      </x:c>
    </x:row>
    <x:row r="5625">
      <x:c r="B5625" s="21" t="str">
        <x:v>A05619</x:v>
      </x:c>
      <x:c r="C5625" s="21" t="str">
        <x:v>baseline</x:v>
      </x:c>
      <x:c r="D5625" s="21" t="str">
        <x:v>baseline 735 planning state</x:v>
      </x:c>
      <x:c r="E5625" s="21" t="n">
        <x:f>IF(AND('Baseline Register'!G741="0.0.0",'Baseline Register'!I741="OPEN",'Baseline Register'!J741="HOLD"),1,0)</x:f>
        <x:v>1</x:v>
      </x:c>
      <x:c r="F5625" s="21" t="n">
        <x:v>1</x:v>
      </x:c>
      <x:c r="G5625" s="23" t="str">
        <x:f>IF(E5625=F5625,"PASS","FAIL")</x:f>
        <x:v>PASS</x:v>
      </x:c>
    </x:row>
    <x:row r="5626">
      <x:c r="B5626" s="21" t="str">
        <x:v>A05620</x:v>
      </x:c>
      <x:c r="C5626" s="21" t="str">
        <x:v>baseline</x:v>
      </x:c>
      <x:c r="D5626" s="21" t="str">
        <x:v>baseline 736 planning state</x:v>
      </x:c>
      <x:c r="E5626" s="21" t="n">
        <x:f>IF(AND('Baseline Register'!G742="0.0.0",'Baseline Register'!I742="OPEN",'Baseline Register'!J742="HOLD"),1,0)</x:f>
        <x:v>1</x:v>
      </x:c>
      <x:c r="F5626" s="21" t="n">
        <x:v>1</x:v>
      </x:c>
      <x:c r="G5626" s="23" t="str">
        <x:f>IF(E5626=F5626,"PASS","FAIL")</x:f>
        <x:v>PASS</x:v>
      </x:c>
    </x:row>
    <x:row r="5627">
      <x:c r="B5627" s="21" t="str">
        <x:v>A05621</x:v>
      </x:c>
      <x:c r="C5627" s="21" t="str">
        <x:v>baseline</x:v>
      </x:c>
      <x:c r="D5627" s="21" t="str">
        <x:v>baseline 737 planning state</x:v>
      </x:c>
      <x:c r="E5627" s="21" t="n">
        <x:f>IF(AND('Baseline Register'!G743="0.0.0",'Baseline Register'!I743="OPEN",'Baseline Register'!J743="HOLD"),1,0)</x:f>
        <x:v>1</x:v>
      </x:c>
      <x:c r="F5627" s="21" t="n">
        <x:v>1</x:v>
      </x:c>
      <x:c r="G5627" s="23" t="str">
        <x:f>IF(E5627=F5627,"PASS","FAIL")</x:f>
        <x:v>PASS</x:v>
      </x:c>
    </x:row>
    <x:row r="5628">
      <x:c r="B5628" s="21" t="str">
        <x:v>A05622</x:v>
      </x:c>
      <x:c r="C5628" s="21" t="str">
        <x:v>baseline</x:v>
      </x:c>
      <x:c r="D5628" s="21" t="str">
        <x:v>baseline 738 planning state</x:v>
      </x:c>
      <x:c r="E5628" s="21" t="n">
        <x:f>IF(AND('Baseline Register'!G744="0.0.0",'Baseline Register'!I744="OPEN",'Baseline Register'!J744="HOLD"),1,0)</x:f>
        <x:v>1</x:v>
      </x:c>
      <x:c r="F5628" s="21" t="n">
        <x:v>1</x:v>
      </x:c>
      <x:c r="G5628" s="23" t="str">
        <x:f>IF(E5628=F5628,"PASS","FAIL")</x:f>
        <x:v>PASS</x:v>
      </x:c>
    </x:row>
    <x:row r="5629">
      <x:c r="B5629" s="21" t="str">
        <x:v>A05623</x:v>
      </x:c>
      <x:c r="C5629" s="21" t="str">
        <x:v>baseline</x:v>
      </x:c>
      <x:c r="D5629" s="21" t="str">
        <x:v>baseline 739 planning state</x:v>
      </x:c>
      <x:c r="E5629" s="21" t="n">
        <x:f>IF(AND('Baseline Register'!G745="0.0.0",'Baseline Register'!I745="OPEN",'Baseline Register'!J745="HOLD"),1,0)</x:f>
        <x:v>1</x:v>
      </x:c>
      <x:c r="F5629" s="21" t="n">
        <x:v>1</x:v>
      </x:c>
      <x:c r="G5629" s="23" t="str">
        <x:f>IF(E5629=F5629,"PASS","FAIL")</x:f>
        <x:v>PASS</x:v>
      </x:c>
    </x:row>
    <x:row r="5630">
      <x:c r="B5630" s="21" t="str">
        <x:v>A05624</x:v>
      </x:c>
      <x:c r="C5630" s="21" t="str">
        <x:v>baseline</x:v>
      </x:c>
      <x:c r="D5630" s="21" t="str">
        <x:v>baseline 740 planning state</x:v>
      </x:c>
      <x:c r="E5630" s="21" t="n">
        <x:f>IF(AND('Baseline Register'!G746="0.0.0",'Baseline Register'!I746="OPEN",'Baseline Register'!J746="HOLD"),1,0)</x:f>
        <x:v>1</x:v>
      </x:c>
      <x:c r="F5630" s="21" t="n">
        <x:v>1</x:v>
      </x:c>
      <x:c r="G5630" s="23" t="str">
        <x:f>IF(E5630=F5630,"PASS","FAIL")</x:f>
        <x:v>PASS</x:v>
      </x:c>
    </x:row>
    <x:row r="5631">
      <x:c r="B5631" s="21" t="str">
        <x:v>A05625</x:v>
      </x:c>
      <x:c r="C5631" s="21" t="str">
        <x:v>baseline</x:v>
      </x:c>
      <x:c r="D5631" s="21" t="str">
        <x:v>baseline 741 planning state</x:v>
      </x:c>
      <x:c r="E5631" s="21" t="n">
        <x:f>IF(AND('Baseline Register'!G747="0.0.0",'Baseline Register'!I747="OPEN",'Baseline Register'!J747="HOLD"),1,0)</x:f>
        <x:v>1</x:v>
      </x:c>
      <x:c r="F5631" s="21" t="n">
        <x:v>1</x:v>
      </x:c>
      <x:c r="G5631" s="23" t="str">
        <x:f>IF(E5631=F5631,"PASS","FAIL")</x:f>
        <x:v>PASS</x:v>
      </x:c>
    </x:row>
    <x:row r="5632">
      <x:c r="B5632" s="21" t="str">
        <x:v>A05626</x:v>
      </x:c>
      <x:c r="C5632" s="21" t="str">
        <x:v>baseline</x:v>
      </x:c>
      <x:c r="D5632" s="21" t="str">
        <x:v>baseline 742 planning state</x:v>
      </x:c>
      <x:c r="E5632" s="21" t="n">
        <x:f>IF(AND('Baseline Register'!G748="0.0.0",'Baseline Register'!I748="OPEN",'Baseline Register'!J748="HOLD"),1,0)</x:f>
        <x:v>1</x:v>
      </x:c>
      <x:c r="F5632" s="21" t="n">
        <x:v>1</x:v>
      </x:c>
      <x:c r="G5632" s="23" t="str">
        <x:f>IF(E5632=F5632,"PASS","FAIL")</x:f>
        <x:v>PASS</x:v>
      </x:c>
    </x:row>
    <x:row r="5633">
      <x:c r="B5633" s="21" t="str">
        <x:v>A05627</x:v>
      </x:c>
      <x:c r="C5633" s="21" t="str">
        <x:v>baseline</x:v>
      </x:c>
      <x:c r="D5633" s="21" t="str">
        <x:v>baseline 743 planning state</x:v>
      </x:c>
      <x:c r="E5633" s="21" t="n">
        <x:f>IF(AND('Baseline Register'!G749="0.0.0",'Baseline Register'!I749="OPEN",'Baseline Register'!J749="HOLD"),1,0)</x:f>
        <x:v>1</x:v>
      </x:c>
      <x:c r="F5633" s="21" t="n">
        <x:v>1</x:v>
      </x:c>
      <x:c r="G5633" s="23" t="str">
        <x:f>IF(E5633=F5633,"PASS","FAIL")</x:f>
        <x:v>PASS</x:v>
      </x:c>
    </x:row>
    <x:row r="5634">
      <x:c r="B5634" s="21" t="str">
        <x:v>A05628</x:v>
      </x:c>
      <x:c r="C5634" s="21" t="str">
        <x:v>baseline</x:v>
      </x:c>
      <x:c r="D5634" s="21" t="str">
        <x:v>baseline 744 planning state</x:v>
      </x:c>
      <x:c r="E5634" s="21" t="n">
        <x:f>IF(AND('Baseline Register'!G750="0.0.0",'Baseline Register'!I750="OPEN",'Baseline Register'!J750="HOLD"),1,0)</x:f>
        <x:v>1</x:v>
      </x:c>
      <x:c r="F5634" s="21" t="n">
        <x:v>1</x:v>
      </x:c>
      <x:c r="G5634" s="23" t="str">
        <x:f>IF(E5634=F5634,"PASS","FAIL")</x:f>
        <x:v>PASS</x:v>
      </x:c>
    </x:row>
    <x:row r="5635">
      <x:c r="B5635" s="21" t="str">
        <x:v>A05629</x:v>
      </x:c>
      <x:c r="C5635" s="21" t="str">
        <x:v>baseline</x:v>
      </x:c>
      <x:c r="D5635" s="21" t="str">
        <x:v>baseline 745 planning state</x:v>
      </x:c>
      <x:c r="E5635" s="21" t="n">
        <x:f>IF(AND('Baseline Register'!G751="0.0.0",'Baseline Register'!I751="OPEN",'Baseline Register'!J751="HOLD"),1,0)</x:f>
        <x:v>1</x:v>
      </x:c>
      <x:c r="F5635" s="21" t="n">
        <x:v>1</x:v>
      </x:c>
      <x:c r="G5635" s="23" t="str">
        <x:f>IF(E5635=F5635,"PASS","FAIL")</x:f>
        <x:v>PASS</x:v>
      </x:c>
    </x:row>
    <x:row r="5636">
      <x:c r="B5636" s="21" t="str">
        <x:v>A05630</x:v>
      </x:c>
      <x:c r="C5636" s="21" t="str">
        <x:v>baseline</x:v>
      </x:c>
      <x:c r="D5636" s="21" t="str">
        <x:v>baseline 746 planning state</x:v>
      </x:c>
      <x:c r="E5636" s="21" t="n">
        <x:f>IF(AND('Baseline Register'!G752="0.0.0",'Baseline Register'!I752="OPEN",'Baseline Register'!J752="HOLD"),1,0)</x:f>
        <x:v>1</x:v>
      </x:c>
      <x:c r="F5636" s="21" t="n">
        <x:v>1</x:v>
      </x:c>
      <x:c r="G5636" s="23" t="str">
        <x:f>IF(E5636=F5636,"PASS","FAIL")</x:f>
        <x:v>PASS</x:v>
      </x:c>
    </x:row>
    <x:row r="5637">
      <x:c r="B5637" s="21" t="str">
        <x:v>A05631</x:v>
      </x:c>
      <x:c r="C5637" s="21" t="str">
        <x:v>baseline</x:v>
      </x:c>
      <x:c r="D5637" s="21" t="str">
        <x:v>baseline 747 planning state</x:v>
      </x:c>
      <x:c r="E5637" s="21" t="n">
        <x:f>IF(AND('Baseline Register'!G753="0.0.0",'Baseline Register'!I753="OPEN",'Baseline Register'!J753="HOLD"),1,0)</x:f>
        <x:v>1</x:v>
      </x:c>
      <x:c r="F5637" s="21" t="n">
        <x:v>1</x:v>
      </x:c>
      <x:c r="G5637" s="23" t="str">
        <x:f>IF(E5637=F5637,"PASS","FAIL")</x:f>
        <x:v>PASS</x:v>
      </x:c>
    </x:row>
    <x:row r="5638">
      <x:c r="B5638" s="21" t="str">
        <x:v>A05632</x:v>
      </x:c>
      <x:c r="C5638" s="21" t="str">
        <x:v>baseline</x:v>
      </x:c>
      <x:c r="D5638" s="21" t="str">
        <x:v>baseline 748 planning state</x:v>
      </x:c>
      <x:c r="E5638" s="21" t="n">
        <x:f>IF(AND('Baseline Register'!G754="0.0.0",'Baseline Register'!I754="OPEN",'Baseline Register'!J754="HOLD"),1,0)</x:f>
        <x:v>1</x:v>
      </x:c>
      <x:c r="F5638" s="21" t="n">
        <x:v>1</x:v>
      </x:c>
      <x:c r="G5638" s="23" t="str">
        <x:f>IF(E5638=F5638,"PASS","FAIL")</x:f>
        <x:v>PASS</x:v>
      </x:c>
    </x:row>
    <x:row r="5639">
      <x:c r="B5639" s="21" t="str">
        <x:v>A05633</x:v>
      </x:c>
      <x:c r="C5639" s="21" t="str">
        <x:v>baseline</x:v>
      </x:c>
      <x:c r="D5639" s="21" t="str">
        <x:v>baseline 749 planning state</x:v>
      </x:c>
      <x:c r="E5639" s="21" t="n">
        <x:f>IF(AND('Baseline Register'!G755="0.0.0",'Baseline Register'!I755="OPEN",'Baseline Register'!J755="HOLD"),1,0)</x:f>
        <x:v>1</x:v>
      </x:c>
      <x:c r="F5639" s="21" t="n">
        <x:v>1</x:v>
      </x:c>
      <x:c r="G5639" s="23" t="str">
        <x:f>IF(E5639=F5639,"PASS","FAIL")</x:f>
        <x:v>PASS</x:v>
      </x:c>
    </x:row>
    <x:row r="5640">
      <x:c r="B5640" s="21" t="str">
        <x:v>A05634</x:v>
      </x:c>
      <x:c r="C5640" s="21" t="str">
        <x:v>baseline</x:v>
      </x:c>
      <x:c r="D5640" s="21" t="str">
        <x:v>baseline 750 planning state</x:v>
      </x:c>
      <x:c r="E5640" s="21" t="n">
        <x:f>IF(AND('Baseline Register'!G756="0.0.0",'Baseline Register'!I756="OPEN",'Baseline Register'!J756="HOLD"),1,0)</x:f>
        <x:v>1</x:v>
      </x:c>
      <x:c r="F5640" s="21" t="n">
        <x:v>1</x:v>
      </x:c>
      <x:c r="G5640" s="23" t="str">
        <x:f>IF(E5640=F5640,"PASS","FAIL")</x:f>
        <x:v>PASS</x:v>
      </x:c>
    </x:row>
    <x:row r="5641">
      <x:c r="B5641" s="21" t="str">
        <x:v>A05635</x:v>
      </x:c>
      <x:c r="C5641" s="21" t="str">
        <x:v>baseline</x:v>
      </x:c>
      <x:c r="D5641" s="21" t="str">
        <x:v>baseline 751 planning state</x:v>
      </x:c>
      <x:c r="E5641" s="21" t="n">
        <x:f>IF(AND('Baseline Register'!G757="0.0.0",'Baseline Register'!I757="OPEN",'Baseline Register'!J757="HOLD"),1,0)</x:f>
        <x:v>1</x:v>
      </x:c>
      <x:c r="F5641" s="21" t="n">
        <x:v>1</x:v>
      </x:c>
      <x:c r="G5641" s="23" t="str">
        <x:f>IF(E5641=F5641,"PASS","FAIL")</x:f>
        <x:v>PASS</x:v>
      </x:c>
    </x:row>
    <x:row r="5642">
      <x:c r="B5642" s="21" t="str">
        <x:v>A05636</x:v>
      </x:c>
      <x:c r="C5642" s="21" t="str">
        <x:v>baseline</x:v>
      </x:c>
      <x:c r="D5642" s="21" t="str">
        <x:v>baseline 752 planning state</x:v>
      </x:c>
      <x:c r="E5642" s="21" t="n">
        <x:f>IF(AND('Baseline Register'!G758="0.0.0",'Baseline Register'!I758="OPEN",'Baseline Register'!J758="HOLD"),1,0)</x:f>
        <x:v>1</x:v>
      </x:c>
      <x:c r="F5642" s="21" t="n">
        <x:v>1</x:v>
      </x:c>
      <x:c r="G5642" s="23" t="str">
        <x:f>IF(E5642=F5642,"PASS","FAIL")</x:f>
        <x:v>PASS</x:v>
      </x:c>
    </x:row>
    <x:row r="5643">
      <x:c r="B5643" s="21" t="str">
        <x:v>A05637</x:v>
      </x:c>
      <x:c r="C5643" s="21" t="str">
        <x:v>baseline</x:v>
      </x:c>
      <x:c r="D5643" s="21" t="str">
        <x:v>baseline 753 planning state</x:v>
      </x:c>
      <x:c r="E5643" s="21" t="n">
        <x:f>IF(AND('Baseline Register'!G759="0.0.0",'Baseline Register'!I759="OPEN",'Baseline Register'!J759="HOLD"),1,0)</x:f>
        <x:v>1</x:v>
      </x:c>
      <x:c r="F5643" s="21" t="n">
        <x:v>1</x:v>
      </x:c>
      <x:c r="G5643" s="23" t="str">
        <x:f>IF(E5643=F5643,"PASS","FAIL")</x:f>
        <x:v>PASS</x:v>
      </x:c>
    </x:row>
    <x:row r="5644">
      <x:c r="B5644" s="21" t="str">
        <x:v>A05638</x:v>
      </x:c>
      <x:c r="C5644" s="21" t="str">
        <x:v>baseline</x:v>
      </x:c>
      <x:c r="D5644" s="21" t="str">
        <x:v>baseline 754 planning state</x:v>
      </x:c>
      <x:c r="E5644" s="21" t="n">
        <x:f>IF(AND('Baseline Register'!G760="0.0.0",'Baseline Register'!I760="OPEN",'Baseline Register'!J760="HOLD"),1,0)</x:f>
        <x:v>1</x:v>
      </x:c>
      <x:c r="F5644" s="21" t="n">
        <x:v>1</x:v>
      </x:c>
      <x:c r="G5644" s="23" t="str">
        <x:f>IF(E5644=F5644,"PASS","FAIL")</x:f>
        <x:v>PASS</x:v>
      </x:c>
    </x:row>
    <x:row r="5645">
      <x:c r="B5645" s="21" t="str">
        <x:v>A05639</x:v>
      </x:c>
      <x:c r="C5645" s="21" t="str">
        <x:v>baseline</x:v>
      </x:c>
      <x:c r="D5645" s="21" t="str">
        <x:v>baseline 755 planning state</x:v>
      </x:c>
      <x:c r="E5645" s="21" t="n">
        <x:f>IF(AND('Baseline Register'!G761="0.0.0",'Baseline Register'!I761="OPEN",'Baseline Register'!J761="HOLD"),1,0)</x:f>
        <x:v>1</x:v>
      </x:c>
      <x:c r="F5645" s="21" t="n">
        <x:v>1</x:v>
      </x:c>
      <x:c r="G5645" s="23" t="str">
        <x:f>IF(E5645=F5645,"PASS","FAIL")</x:f>
        <x:v>PASS</x:v>
      </x:c>
    </x:row>
    <x:row r="5646">
      <x:c r="B5646" s="21" t="str">
        <x:v>A05640</x:v>
      </x:c>
      <x:c r="C5646" s="21" t="str">
        <x:v>baseline</x:v>
      </x:c>
      <x:c r="D5646" s="21" t="str">
        <x:v>baseline 756 planning state</x:v>
      </x:c>
      <x:c r="E5646" s="21" t="n">
        <x:f>IF(AND('Baseline Register'!G762="0.0.0",'Baseline Register'!I762="OPEN",'Baseline Register'!J762="HOLD"),1,0)</x:f>
        <x:v>1</x:v>
      </x:c>
      <x:c r="F5646" s="21" t="n">
        <x:v>1</x:v>
      </x:c>
      <x:c r="G5646" s="23" t="str">
        <x:f>IF(E5646=F5646,"PASS","FAIL")</x:f>
        <x:v>PASS</x:v>
      </x:c>
    </x:row>
    <x:row r="5647">
      <x:c r="B5647" s="21" t="str">
        <x:v>A05641</x:v>
      </x:c>
      <x:c r="C5647" s="21" t="str">
        <x:v>baseline</x:v>
      </x:c>
      <x:c r="D5647" s="21" t="str">
        <x:v>baseline 757 planning state</x:v>
      </x:c>
      <x:c r="E5647" s="21" t="n">
        <x:f>IF(AND('Baseline Register'!G763="0.0.0",'Baseline Register'!I763="OPEN",'Baseline Register'!J763="HOLD"),1,0)</x:f>
        <x:v>1</x:v>
      </x:c>
      <x:c r="F5647" s="21" t="n">
        <x:v>1</x:v>
      </x:c>
      <x:c r="G5647" s="23" t="str">
        <x:f>IF(E5647=F5647,"PASS","FAIL")</x:f>
        <x:v>PASS</x:v>
      </x:c>
    </x:row>
    <x:row r="5648">
      <x:c r="B5648" s="21" t="str">
        <x:v>A05642</x:v>
      </x:c>
      <x:c r="C5648" s="21" t="str">
        <x:v>baseline</x:v>
      </x:c>
      <x:c r="D5648" s="21" t="str">
        <x:v>baseline 758 planning state</x:v>
      </x:c>
      <x:c r="E5648" s="21" t="n">
        <x:f>IF(AND('Baseline Register'!G764="0.0.0",'Baseline Register'!I764="OPEN",'Baseline Register'!J764="HOLD"),1,0)</x:f>
        <x:v>1</x:v>
      </x:c>
      <x:c r="F5648" s="21" t="n">
        <x:v>1</x:v>
      </x:c>
      <x:c r="G5648" s="23" t="str">
        <x:f>IF(E5648=F5648,"PASS","FAIL")</x:f>
        <x:v>PASS</x:v>
      </x:c>
    </x:row>
    <x:row r="5649">
      <x:c r="B5649" s="21" t="str">
        <x:v>A05643</x:v>
      </x:c>
      <x:c r="C5649" s="21" t="str">
        <x:v>baseline</x:v>
      </x:c>
      <x:c r="D5649" s="21" t="str">
        <x:v>baseline 759 planning state</x:v>
      </x:c>
      <x:c r="E5649" s="21" t="n">
        <x:f>IF(AND('Baseline Register'!G765="0.0.0",'Baseline Register'!I765="OPEN",'Baseline Register'!J765="HOLD"),1,0)</x:f>
        <x:v>1</x:v>
      </x:c>
      <x:c r="F5649" s="21" t="n">
        <x:v>1</x:v>
      </x:c>
      <x:c r="G5649" s="23" t="str">
        <x:f>IF(E5649=F5649,"PASS","FAIL")</x:f>
        <x:v>PASS</x:v>
      </x:c>
    </x:row>
    <x:row r="5650">
      <x:c r="B5650" s="21" t="str">
        <x:v>A05644</x:v>
      </x:c>
      <x:c r="C5650" s="21" t="str">
        <x:v>baseline</x:v>
      </x:c>
      <x:c r="D5650" s="21" t="str">
        <x:v>baseline 760 planning state</x:v>
      </x:c>
      <x:c r="E5650" s="21" t="n">
        <x:f>IF(AND('Baseline Register'!G766="0.0.0",'Baseline Register'!I766="OPEN",'Baseline Register'!J766="HOLD"),1,0)</x:f>
        <x:v>1</x:v>
      </x:c>
      <x:c r="F5650" s="21" t="n">
        <x:v>1</x:v>
      </x:c>
      <x:c r="G5650" s="23" t="str">
        <x:f>IF(E5650=F5650,"PASS","FAIL")</x:f>
        <x:v>PASS</x:v>
      </x:c>
    </x:row>
    <x:row r="5651">
      <x:c r="B5651" s="21" t="str">
        <x:v>A05645</x:v>
      </x:c>
      <x:c r="C5651" s="21" t="str">
        <x:v>baseline</x:v>
      </x:c>
      <x:c r="D5651" s="21" t="str">
        <x:v>baseline 761 planning state</x:v>
      </x:c>
      <x:c r="E5651" s="21" t="n">
        <x:f>IF(AND('Baseline Register'!G767="0.0.0",'Baseline Register'!I767="OPEN",'Baseline Register'!J767="HOLD"),1,0)</x:f>
        <x:v>1</x:v>
      </x:c>
      <x:c r="F5651" s="21" t="n">
        <x:v>1</x:v>
      </x:c>
      <x:c r="G5651" s="23" t="str">
        <x:f>IF(E5651=F5651,"PASS","FAIL")</x:f>
        <x:v>PASS</x:v>
      </x:c>
    </x:row>
    <x:row r="5652">
      <x:c r="B5652" s="21" t="str">
        <x:v>A05646</x:v>
      </x:c>
      <x:c r="C5652" s="21" t="str">
        <x:v>baseline</x:v>
      </x:c>
      <x:c r="D5652" s="21" t="str">
        <x:v>baseline 762 planning state</x:v>
      </x:c>
      <x:c r="E5652" s="21" t="n">
        <x:f>IF(AND('Baseline Register'!G768="0.0.0",'Baseline Register'!I768="OPEN",'Baseline Register'!J768="HOLD"),1,0)</x:f>
        <x:v>1</x:v>
      </x:c>
      <x:c r="F5652" s="21" t="n">
        <x:v>1</x:v>
      </x:c>
      <x:c r="G5652" s="23" t="str">
        <x:f>IF(E5652=F5652,"PASS","FAIL")</x:f>
        <x:v>PASS</x:v>
      </x:c>
    </x:row>
    <x:row r="5653">
      <x:c r="B5653" s="21" t="str">
        <x:v>A05647</x:v>
      </x:c>
      <x:c r="C5653" s="21" t="str">
        <x:v>baseline</x:v>
      </x:c>
      <x:c r="D5653" s="21" t="str">
        <x:v>baseline 763 planning state</x:v>
      </x:c>
      <x:c r="E5653" s="21" t="n">
        <x:f>IF(AND('Baseline Register'!G769="0.0.0",'Baseline Register'!I769="OPEN",'Baseline Register'!J769="HOLD"),1,0)</x:f>
        <x:v>1</x:v>
      </x:c>
      <x:c r="F5653" s="21" t="n">
        <x:v>1</x:v>
      </x:c>
      <x:c r="G5653" s="23" t="str">
        <x:f>IF(E5653=F5653,"PASS","FAIL")</x:f>
        <x:v>PASS</x:v>
      </x:c>
    </x:row>
    <x:row r="5654">
      <x:c r="B5654" s="21" t="str">
        <x:v>A05648</x:v>
      </x:c>
      <x:c r="C5654" s="21" t="str">
        <x:v>baseline</x:v>
      </x:c>
      <x:c r="D5654" s="21" t="str">
        <x:v>baseline 764 planning state</x:v>
      </x:c>
      <x:c r="E5654" s="21" t="n">
        <x:f>IF(AND('Baseline Register'!G770="0.0.0",'Baseline Register'!I770="OPEN",'Baseline Register'!J770="HOLD"),1,0)</x:f>
        <x:v>1</x:v>
      </x:c>
      <x:c r="F5654" s="21" t="n">
        <x:v>1</x:v>
      </x:c>
      <x:c r="G5654" s="23" t="str">
        <x:f>IF(E5654=F5654,"PASS","FAIL")</x:f>
        <x:v>PASS</x:v>
      </x:c>
    </x:row>
    <x:row r="5655">
      <x:c r="B5655" s="21" t="str">
        <x:v>A05649</x:v>
      </x:c>
      <x:c r="C5655" s="21" t="str">
        <x:v>baseline</x:v>
      </x:c>
      <x:c r="D5655" s="21" t="str">
        <x:v>baseline 765 planning state</x:v>
      </x:c>
      <x:c r="E5655" s="21" t="n">
        <x:f>IF(AND('Baseline Register'!G771="0.0.0",'Baseline Register'!I771="OPEN",'Baseline Register'!J771="HOLD"),1,0)</x:f>
        <x:v>1</x:v>
      </x:c>
      <x:c r="F5655" s="21" t="n">
        <x:v>1</x:v>
      </x:c>
      <x:c r="G5655" s="23" t="str">
        <x:f>IF(E5655=F5655,"PASS","FAIL")</x:f>
        <x:v>PASS</x:v>
      </x:c>
    </x:row>
    <x:row r="5656">
      <x:c r="B5656" s="21" t="str">
        <x:v>A05650</x:v>
      </x:c>
      <x:c r="C5656" s="21" t="str">
        <x:v>baseline</x:v>
      </x:c>
      <x:c r="D5656" s="21" t="str">
        <x:v>baseline 766 planning state</x:v>
      </x:c>
      <x:c r="E5656" s="21" t="n">
        <x:f>IF(AND('Baseline Register'!G772="0.0.0",'Baseline Register'!I772="OPEN",'Baseline Register'!J772="HOLD"),1,0)</x:f>
        <x:v>1</x:v>
      </x:c>
      <x:c r="F5656" s="21" t="n">
        <x:v>1</x:v>
      </x:c>
      <x:c r="G5656" s="23" t="str">
        <x:f>IF(E5656=F5656,"PASS","FAIL")</x:f>
        <x:v>PASS</x:v>
      </x:c>
    </x:row>
    <x:row r="5657">
      <x:c r="B5657" s="21" t="str">
        <x:v>A05651</x:v>
      </x:c>
      <x:c r="C5657" s="21" t="str">
        <x:v>baseline</x:v>
      </x:c>
      <x:c r="D5657" s="21" t="str">
        <x:v>baseline 767 planning state</x:v>
      </x:c>
      <x:c r="E5657" s="21" t="n">
        <x:f>IF(AND('Baseline Register'!G773="0.0.0",'Baseline Register'!I773="OPEN",'Baseline Register'!J773="HOLD"),1,0)</x:f>
        <x:v>1</x:v>
      </x:c>
      <x:c r="F5657" s="21" t="n">
        <x:v>1</x:v>
      </x:c>
      <x:c r="G5657" s="23" t="str">
        <x:f>IF(E5657=F5657,"PASS","FAIL")</x:f>
        <x:v>PASS</x:v>
      </x:c>
    </x:row>
    <x:row r="5658">
      <x:c r="B5658" s="21" t="str">
        <x:v>A05652</x:v>
      </x:c>
      <x:c r="C5658" s="21" t="str">
        <x:v>baseline</x:v>
      </x:c>
      <x:c r="D5658" s="21" t="str">
        <x:v>baseline 768 planning state</x:v>
      </x:c>
      <x:c r="E5658" s="21" t="n">
        <x:f>IF(AND('Baseline Register'!G774="0.0.0",'Baseline Register'!I774="OPEN",'Baseline Register'!J774="HOLD"),1,0)</x:f>
        <x:v>1</x:v>
      </x:c>
      <x:c r="F5658" s="21" t="n">
        <x:v>1</x:v>
      </x:c>
      <x:c r="G5658" s="23" t="str">
        <x:f>IF(E5658=F5658,"PASS","FAIL")</x:f>
        <x:v>PASS</x:v>
      </x:c>
    </x:row>
    <x:row r="5659">
      <x:c r="B5659" s="21" t="str">
        <x:v>A05653</x:v>
      </x:c>
      <x:c r="C5659" s="21" t="str">
        <x:v>baseline</x:v>
      </x:c>
      <x:c r="D5659" s="21" t="str">
        <x:v>baseline 769 planning state</x:v>
      </x:c>
      <x:c r="E5659" s="21" t="n">
        <x:f>IF(AND('Baseline Register'!G775="0.0.0",'Baseline Register'!I775="OPEN",'Baseline Register'!J775="HOLD"),1,0)</x:f>
        <x:v>1</x:v>
      </x:c>
      <x:c r="F5659" s="21" t="n">
        <x:v>1</x:v>
      </x:c>
      <x:c r="G5659" s="23" t="str">
        <x:f>IF(E5659=F5659,"PASS","FAIL")</x:f>
        <x:v>PASS</x:v>
      </x:c>
    </x:row>
    <x:row r="5660">
      <x:c r="B5660" s="21" t="str">
        <x:v>A05654</x:v>
      </x:c>
      <x:c r="C5660" s="21" t="str">
        <x:v>baseline</x:v>
      </x:c>
      <x:c r="D5660" s="21" t="str">
        <x:v>baseline 770 planning state</x:v>
      </x:c>
      <x:c r="E5660" s="21" t="n">
        <x:f>IF(AND('Baseline Register'!G776="0.0.0",'Baseline Register'!I776="OPEN",'Baseline Register'!J776="HOLD"),1,0)</x:f>
        <x:v>1</x:v>
      </x:c>
      <x:c r="F5660" s="21" t="n">
        <x:v>1</x:v>
      </x:c>
      <x:c r="G5660" s="23" t="str">
        <x:f>IF(E5660=F5660,"PASS","FAIL")</x:f>
        <x:v>PASS</x:v>
      </x:c>
    </x:row>
    <x:row r="5661">
      <x:c r="B5661" s="21" t="str">
        <x:v>A05655</x:v>
      </x:c>
      <x:c r="C5661" s="21" t="str">
        <x:v>baseline</x:v>
      </x:c>
      <x:c r="D5661" s="21" t="str">
        <x:v>baseline 771 planning state</x:v>
      </x:c>
      <x:c r="E5661" s="21" t="n">
        <x:f>IF(AND('Baseline Register'!G777="0.0.0",'Baseline Register'!I777="OPEN",'Baseline Register'!J777="HOLD"),1,0)</x:f>
        <x:v>1</x:v>
      </x:c>
      <x:c r="F5661" s="21" t="n">
        <x:v>1</x:v>
      </x:c>
      <x:c r="G5661" s="23" t="str">
        <x:f>IF(E5661=F5661,"PASS","FAIL")</x:f>
        <x:v>PASS</x:v>
      </x:c>
    </x:row>
    <x:row r="5662">
      <x:c r="B5662" s="21" t="str">
        <x:v>A05656</x:v>
      </x:c>
      <x:c r="C5662" s="21" t="str">
        <x:v>baseline</x:v>
      </x:c>
      <x:c r="D5662" s="21" t="str">
        <x:v>baseline 772 planning state</x:v>
      </x:c>
      <x:c r="E5662" s="21" t="n">
        <x:f>IF(AND('Baseline Register'!G778="0.0.0",'Baseline Register'!I778="OPEN",'Baseline Register'!J778="HOLD"),1,0)</x:f>
        <x:v>1</x:v>
      </x:c>
      <x:c r="F5662" s="21" t="n">
        <x:v>1</x:v>
      </x:c>
      <x:c r="G5662" s="23" t="str">
        <x:f>IF(E5662=F5662,"PASS","FAIL")</x:f>
        <x:v>PASS</x:v>
      </x:c>
    </x:row>
    <x:row r="5663">
      <x:c r="B5663" s="21" t="str">
        <x:v>A05657</x:v>
      </x:c>
      <x:c r="C5663" s="21" t="str">
        <x:v>baseline</x:v>
      </x:c>
      <x:c r="D5663" s="21" t="str">
        <x:v>baseline 773 planning state</x:v>
      </x:c>
      <x:c r="E5663" s="21" t="n">
        <x:f>IF(AND('Baseline Register'!G779="0.0.0",'Baseline Register'!I779="OPEN",'Baseline Register'!J779="HOLD"),1,0)</x:f>
        <x:v>1</x:v>
      </x:c>
      <x:c r="F5663" s="21" t="n">
        <x:v>1</x:v>
      </x:c>
      <x:c r="G5663" s="23" t="str">
        <x:f>IF(E5663=F5663,"PASS","FAIL")</x:f>
        <x:v>PASS</x:v>
      </x:c>
    </x:row>
    <x:row r="5664">
      <x:c r="B5664" s="21" t="str">
        <x:v>A05658</x:v>
      </x:c>
      <x:c r="C5664" s="21" t="str">
        <x:v>baseline</x:v>
      </x:c>
      <x:c r="D5664" s="21" t="str">
        <x:v>baseline 774 planning state</x:v>
      </x:c>
      <x:c r="E5664" s="21" t="n">
        <x:f>IF(AND('Baseline Register'!G780="0.0.0",'Baseline Register'!I780="OPEN",'Baseline Register'!J780="HOLD"),1,0)</x:f>
        <x:v>1</x:v>
      </x:c>
      <x:c r="F5664" s="21" t="n">
        <x:v>1</x:v>
      </x:c>
      <x:c r="G5664" s="23" t="str">
        <x:f>IF(E5664=F5664,"PASS","FAIL")</x:f>
        <x:v>PASS</x:v>
      </x:c>
    </x:row>
    <x:row r="5665">
      <x:c r="B5665" s="21" t="str">
        <x:v>A05659</x:v>
      </x:c>
      <x:c r="C5665" s="21" t="str">
        <x:v>baseline</x:v>
      </x:c>
      <x:c r="D5665" s="21" t="str">
        <x:v>baseline 775 planning state</x:v>
      </x:c>
      <x:c r="E5665" s="21" t="n">
        <x:f>IF(AND('Baseline Register'!G781="0.0.0",'Baseline Register'!I781="OPEN",'Baseline Register'!J781="HOLD"),1,0)</x:f>
        <x:v>1</x:v>
      </x:c>
      <x:c r="F5665" s="21" t="n">
        <x:v>1</x:v>
      </x:c>
      <x:c r="G5665" s="23" t="str">
        <x:f>IF(E5665=F5665,"PASS","FAIL")</x:f>
        <x:v>PASS</x:v>
      </x:c>
    </x:row>
    <x:row r="5666">
      <x:c r="B5666" s="21" t="str">
        <x:v>A05660</x:v>
      </x:c>
      <x:c r="C5666" s="21" t="str">
        <x:v>baseline</x:v>
      </x:c>
      <x:c r="D5666" s="21" t="str">
        <x:v>baseline 776 planning state</x:v>
      </x:c>
      <x:c r="E5666" s="21" t="n">
        <x:f>IF(AND('Baseline Register'!G782="0.0.0",'Baseline Register'!I782="OPEN",'Baseline Register'!J782="HOLD"),1,0)</x:f>
        <x:v>1</x:v>
      </x:c>
      <x:c r="F5666" s="21" t="n">
        <x:v>1</x:v>
      </x:c>
      <x:c r="G5666" s="23" t="str">
        <x:f>IF(E5666=F5666,"PASS","FAIL")</x:f>
        <x:v>PASS</x:v>
      </x:c>
    </x:row>
    <x:row r="5667">
      <x:c r="B5667" s="21" t="str">
        <x:v>A05661</x:v>
      </x:c>
      <x:c r="C5667" s="21" t="str">
        <x:v>baseline</x:v>
      </x:c>
      <x:c r="D5667" s="21" t="str">
        <x:v>baseline 777 planning state</x:v>
      </x:c>
      <x:c r="E5667" s="21" t="n">
        <x:f>IF(AND('Baseline Register'!G783="0.0.0",'Baseline Register'!I783="OPEN",'Baseline Register'!J783="HOLD"),1,0)</x:f>
        <x:v>1</x:v>
      </x:c>
      <x:c r="F5667" s="21" t="n">
        <x:v>1</x:v>
      </x:c>
      <x:c r="G5667" s="23" t="str">
        <x:f>IF(E5667=F5667,"PASS","FAIL")</x:f>
        <x:v>PASS</x:v>
      </x:c>
    </x:row>
    <x:row r="5668">
      <x:c r="B5668" s="21" t="str">
        <x:v>A05662</x:v>
      </x:c>
      <x:c r="C5668" s="21" t="str">
        <x:v>baseline</x:v>
      </x:c>
      <x:c r="D5668" s="21" t="str">
        <x:v>baseline 778 planning state</x:v>
      </x:c>
      <x:c r="E5668" s="21" t="n">
        <x:f>IF(AND('Baseline Register'!G784="0.0.0",'Baseline Register'!I784="OPEN",'Baseline Register'!J784="HOLD"),1,0)</x:f>
        <x:v>1</x:v>
      </x:c>
      <x:c r="F5668" s="21" t="n">
        <x:v>1</x:v>
      </x:c>
      <x:c r="G5668" s="23" t="str">
        <x:f>IF(E5668=F5668,"PASS","FAIL")</x:f>
        <x:v>PASS</x:v>
      </x:c>
    </x:row>
    <x:row r="5669">
      <x:c r="B5669" s="21" t="str">
        <x:v>A05663</x:v>
      </x:c>
      <x:c r="C5669" s="21" t="str">
        <x:v>baseline</x:v>
      </x:c>
      <x:c r="D5669" s="21" t="str">
        <x:v>baseline 779 planning state</x:v>
      </x:c>
      <x:c r="E5669" s="21" t="n">
        <x:f>IF(AND('Baseline Register'!G785="0.0.0",'Baseline Register'!I785="OPEN",'Baseline Register'!J785="HOLD"),1,0)</x:f>
        <x:v>1</x:v>
      </x:c>
      <x:c r="F5669" s="21" t="n">
        <x:v>1</x:v>
      </x:c>
      <x:c r="G5669" s="23" t="str">
        <x:f>IF(E5669=F5669,"PASS","FAIL")</x:f>
        <x:v>PASS</x:v>
      </x:c>
    </x:row>
    <x:row r="5670">
      <x:c r="B5670" s="21" t="str">
        <x:v>A05664</x:v>
      </x:c>
      <x:c r="C5670" s="21" t="str">
        <x:v>baseline</x:v>
      </x:c>
      <x:c r="D5670" s="21" t="str">
        <x:v>baseline 780 planning state</x:v>
      </x:c>
      <x:c r="E5670" s="21" t="n">
        <x:f>IF(AND('Baseline Register'!G786="0.0.0",'Baseline Register'!I786="OPEN",'Baseline Register'!J786="HOLD"),1,0)</x:f>
        <x:v>1</x:v>
      </x:c>
      <x:c r="F5670" s="21" t="n">
        <x:v>1</x:v>
      </x:c>
      <x:c r="G5670" s="23" t="str">
        <x:f>IF(E5670=F5670,"PASS","FAIL")</x:f>
        <x:v>PASS</x:v>
      </x:c>
    </x:row>
    <x:row r="5671">
      <x:c r="B5671" s="21" t="str">
        <x:v>A05665</x:v>
      </x:c>
      <x:c r="C5671" s="21" t="str">
        <x:v>baseline</x:v>
      </x:c>
      <x:c r="D5671" s="21" t="str">
        <x:v>baseline 781 planning state</x:v>
      </x:c>
      <x:c r="E5671" s="21" t="n">
        <x:f>IF(AND('Baseline Register'!G787="0.0.0",'Baseline Register'!I787="OPEN",'Baseline Register'!J787="HOLD"),1,0)</x:f>
        <x:v>1</x:v>
      </x:c>
      <x:c r="F5671" s="21" t="n">
        <x:v>1</x:v>
      </x:c>
      <x:c r="G5671" s="23" t="str">
        <x:f>IF(E5671=F5671,"PASS","FAIL")</x:f>
        <x:v>PASS</x:v>
      </x:c>
    </x:row>
    <x:row r="5672">
      <x:c r="B5672" s="21" t="str">
        <x:v>A05666</x:v>
      </x:c>
      <x:c r="C5672" s="21" t="str">
        <x:v>baseline</x:v>
      </x:c>
      <x:c r="D5672" s="21" t="str">
        <x:v>baseline 782 planning state</x:v>
      </x:c>
      <x:c r="E5672" s="21" t="n">
        <x:f>IF(AND('Baseline Register'!G788="0.0.0",'Baseline Register'!I788="OPEN",'Baseline Register'!J788="HOLD"),1,0)</x:f>
        <x:v>1</x:v>
      </x:c>
      <x:c r="F5672" s="21" t="n">
        <x:v>1</x:v>
      </x:c>
      <x:c r="G5672" s="23" t="str">
        <x:f>IF(E5672=F5672,"PASS","FAIL")</x:f>
        <x:v>PASS</x:v>
      </x:c>
    </x:row>
    <x:row r="5673">
      <x:c r="B5673" s="21" t="str">
        <x:v>A05667</x:v>
      </x:c>
      <x:c r="C5673" s="21" t="str">
        <x:v>baseline</x:v>
      </x:c>
      <x:c r="D5673" s="21" t="str">
        <x:v>baseline 783 planning state</x:v>
      </x:c>
      <x:c r="E5673" s="21" t="n">
        <x:f>IF(AND('Baseline Register'!G789="0.0.0",'Baseline Register'!I789="OPEN",'Baseline Register'!J789="HOLD"),1,0)</x:f>
        <x:v>1</x:v>
      </x:c>
      <x:c r="F5673" s="21" t="n">
        <x:v>1</x:v>
      </x:c>
      <x:c r="G5673" s="23" t="str">
        <x:f>IF(E5673=F5673,"PASS","FAIL")</x:f>
        <x:v>PASS</x:v>
      </x:c>
    </x:row>
    <x:row r="5674">
      <x:c r="B5674" s="21" t="str">
        <x:v>A05668</x:v>
      </x:c>
      <x:c r="C5674" s="21" t="str">
        <x:v>baseline</x:v>
      </x:c>
      <x:c r="D5674" s="21" t="str">
        <x:v>baseline 784 planning state</x:v>
      </x:c>
      <x:c r="E5674" s="21" t="n">
        <x:f>IF(AND('Baseline Register'!G790="0.0.0",'Baseline Register'!I790="OPEN",'Baseline Register'!J790="HOLD"),1,0)</x:f>
        <x:v>1</x:v>
      </x:c>
      <x:c r="F5674" s="21" t="n">
        <x:v>1</x:v>
      </x:c>
      <x:c r="G5674" s="23" t="str">
        <x:f>IF(E5674=F5674,"PASS","FAIL")</x:f>
        <x:v>PASS</x:v>
      </x:c>
    </x:row>
    <x:row r="5675">
      <x:c r="B5675" s="21" t="str">
        <x:v>A05669</x:v>
      </x:c>
      <x:c r="C5675" s="21" t="str">
        <x:v>baseline</x:v>
      </x:c>
      <x:c r="D5675" s="21" t="str">
        <x:v>baseline 785 planning state</x:v>
      </x:c>
      <x:c r="E5675" s="21" t="n">
        <x:f>IF(AND('Baseline Register'!G791="0.0.0",'Baseline Register'!I791="OPEN",'Baseline Register'!J791="HOLD"),1,0)</x:f>
        <x:v>1</x:v>
      </x:c>
      <x:c r="F5675" s="21" t="n">
        <x:v>1</x:v>
      </x:c>
      <x:c r="G5675" s="23" t="str">
        <x:f>IF(E5675=F5675,"PASS","FAIL")</x:f>
        <x:v>PASS</x:v>
      </x:c>
    </x:row>
    <x:row r="5676">
      <x:c r="B5676" s="21" t="str">
        <x:v>A05670</x:v>
      </x:c>
      <x:c r="C5676" s="21" t="str">
        <x:v>baseline</x:v>
      </x:c>
      <x:c r="D5676" s="21" t="str">
        <x:v>baseline 786 planning state</x:v>
      </x:c>
      <x:c r="E5676" s="21" t="n">
        <x:f>IF(AND('Baseline Register'!G792="0.0.0",'Baseline Register'!I792="OPEN",'Baseline Register'!J792="HOLD"),1,0)</x:f>
        <x:v>1</x:v>
      </x:c>
      <x:c r="F5676" s="21" t="n">
        <x:v>1</x:v>
      </x:c>
      <x:c r="G5676" s="23" t="str">
        <x:f>IF(E5676=F5676,"PASS","FAIL")</x:f>
        <x:v>PASS</x:v>
      </x:c>
    </x:row>
    <x:row r="5677">
      <x:c r="B5677" s="21" t="str">
        <x:v>A05671</x:v>
      </x:c>
      <x:c r="C5677" s="21" t="str">
        <x:v>baseline</x:v>
      </x:c>
      <x:c r="D5677" s="21" t="str">
        <x:v>baseline 787 planning state</x:v>
      </x:c>
      <x:c r="E5677" s="21" t="n">
        <x:f>IF(AND('Baseline Register'!G793="0.0.0",'Baseline Register'!I793="OPEN",'Baseline Register'!J793="HOLD"),1,0)</x:f>
        <x:v>1</x:v>
      </x:c>
      <x:c r="F5677" s="21" t="n">
        <x:v>1</x:v>
      </x:c>
      <x:c r="G5677" s="23" t="str">
        <x:f>IF(E5677=F5677,"PASS","FAIL")</x:f>
        <x:v>PASS</x:v>
      </x:c>
    </x:row>
    <x:row r="5678">
      <x:c r="B5678" s="21" t="str">
        <x:v>A05672</x:v>
      </x:c>
      <x:c r="C5678" s="21" t="str">
        <x:v>baseline</x:v>
      </x:c>
      <x:c r="D5678" s="21" t="str">
        <x:v>baseline 788 planning state</x:v>
      </x:c>
      <x:c r="E5678" s="21" t="n">
        <x:f>IF(AND('Baseline Register'!G794="0.0.0",'Baseline Register'!I794="OPEN",'Baseline Register'!J794="HOLD"),1,0)</x:f>
        <x:v>1</x:v>
      </x:c>
      <x:c r="F5678" s="21" t="n">
        <x:v>1</x:v>
      </x:c>
      <x:c r="G5678" s="23" t="str">
        <x:f>IF(E5678=F5678,"PASS","FAIL")</x:f>
        <x:v>PASS</x:v>
      </x:c>
    </x:row>
    <x:row r="5679">
      <x:c r="B5679" s="21" t="str">
        <x:v>A05673</x:v>
      </x:c>
      <x:c r="C5679" s="21" t="str">
        <x:v>baseline</x:v>
      </x:c>
      <x:c r="D5679" s="21" t="str">
        <x:v>baseline 789 planning state</x:v>
      </x:c>
      <x:c r="E5679" s="21" t="n">
        <x:f>IF(AND('Baseline Register'!G795="0.0.0",'Baseline Register'!I795="OPEN",'Baseline Register'!J795="HOLD"),1,0)</x:f>
        <x:v>1</x:v>
      </x:c>
      <x:c r="F5679" s="21" t="n">
        <x:v>1</x:v>
      </x:c>
      <x:c r="G5679" s="23" t="str">
        <x:f>IF(E5679=F5679,"PASS","FAIL")</x:f>
        <x:v>PASS</x:v>
      </x:c>
    </x:row>
    <x:row r="5680">
      <x:c r="B5680" s="21" t="str">
        <x:v>A05674</x:v>
      </x:c>
      <x:c r="C5680" s="21" t="str">
        <x:v>baseline</x:v>
      </x:c>
      <x:c r="D5680" s="21" t="str">
        <x:v>baseline 790 planning state</x:v>
      </x:c>
      <x:c r="E5680" s="21" t="n">
        <x:f>IF(AND('Baseline Register'!G796="0.0.0",'Baseline Register'!I796="OPEN",'Baseline Register'!J796="HOLD"),1,0)</x:f>
        <x:v>1</x:v>
      </x:c>
      <x:c r="F5680" s="21" t="n">
        <x:v>1</x:v>
      </x:c>
      <x:c r="G5680" s="23" t="str">
        <x:f>IF(E5680=F5680,"PASS","FAIL")</x:f>
        <x:v>PASS</x:v>
      </x:c>
    </x:row>
    <x:row r="5681">
      <x:c r="B5681" s="21" t="str">
        <x:v>A05675</x:v>
      </x:c>
      <x:c r="C5681" s="21" t="str">
        <x:v>baseline</x:v>
      </x:c>
      <x:c r="D5681" s="21" t="str">
        <x:v>baseline 791 planning state</x:v>
      </x:c>
      <x:c r="E5681" s="21" t="n">
        <x:f>IF(AND('Baseline Register'!G797="0.0.0",'Baseline Register'!I797="OPEN",'Baseline Register'!J797="HOLD"),1,0)</x:f>
        <x:v>1</x:v>
      </x:c>
      <x:c r="F5681" s="21" t="n">
        <x:v>1</x:v>
      </x:c>
      <x:c r="G5681" s="23" t="str">
        <x:f>IF(E5681=F5681,"PASS","FAIL")</x:f>
        <x:v>PASS</x:v>
      </x:c>
    </x:row>
    <x:row r="5682">
      <x:c r="B5682" s="21" t="str">
        <x:v>A05676</x:v>
      </x:c>
      <x:c r="C5682" s="21" t="str">
        <x:v>baseline</x:v>
      </x:c>
      <x:c r="D5682" s="21" t="str">
        <x:v>baseline 792 planning state</x:v>
      </x:c>
      <x:c r="E5682" s="21" t="n">
        <x:f>IF(AND('Baseline Register'!G798="0.0.0",'Baseline Register'!I798="OPEN",'Baseline Register'!J798="HOLD"),1,0)</x:f>
        <x:v>1</x:v>
      </x:c>
      <x:c r="F5682" s="21" t="n">
        <x:v>1</x:v>
      </x:c>
      <x:c r="G5682" s="23" t="str">
        <x:f>IF(E5682=F5682,"PASS","FAIL")</x:f>
        <x:v>PASS</x:v>
      </x:c>
    </x:row>
    <x:row r="5683">
      <x:c r="B5683" s="21" t="str">
        <x:v>A05677</x:v>
      </x:c>
      <x:c r="C5683" s="21" t="str">
        <x:v>baseline</x:v>
      </x:c>
      <x:c r="D5683" s="21" t="str">
        <x:v>baseline 793 planning state</x:v>
      </x:c>
      <x:c r="E5683" s="21" t="n">
        <x:f>IF(AND('Baseline Register'!G799="0.0.0",'Baseline Register'!I799="OPEN",'Baseline Register'!J799="HOLD"),1,0)</x:f>
        <x:v>1</x:v>
      </x:c>
      <x:c r="F5683" s="21" t="n">
        <x:v>1</x:v>
      </x:c>
      <x:c r="G5683" s="23" t="str">
        <x:f>IF(E5683=F5683,"PASS","FAIL")</x:f>
        <x:v>PASS</x:v>
      </x:c>
    </x:row>
    <x:row r="5684">
      <x:c r="B5684" s="21" t="str">
        <x:v>A05678</x:v>
      </x:c>
      <x:c r="C5684" s="21" t="str">
        <x:v>baseline</x:v>
      </x:c>
      <x:c r="D5684" s="21" t="str">
        <x:v>baseline 794 planning state</x:v>
      </x:c>
      <x:c r="E5684" s="21" t="n">
        <x:f>IF(AND('Baseline Register'!G800="0.0.0",'Baseline Register'!I800="OPEN",'Baseline Register'!J800="HOLD"),1,0)</x:f>
        <x:v>1</x:v>
      </x:c>
      <x:c r="F5684" s="21" t="n">
        <x:v>1</x:v>
      </x:c>
      <x:c r="G5684" s="23" t="str">
        <x:f>IF(E5684=F5684,"PASS","FAIL")</x:f>
        <x:v>PASS</x:v>
      </x:c>
    </x:row>
    <x:row r="5685">
      <x:c r="B5685" s="21" t="str">
        <x:v>A05679</x:v>
      </x:c>
      <x:c r="C5685" s="21" t="str">
        <x:v>baseline</x:v>
      </x:c>
      <x:c r="D5685" s="21" t="str">
        <x:v>baseline 795 planning state</x:v>
      </x:c>
      <x:c r="E5685" s="21" t="n">
        <x:f>IF(AND('Baseline Register'!G801="0.0.0",'Baseline Register'!I801="OPEN",'Baseline Register'!J801="HOLD"),1,0)</x:f>
        <x:v>1</x:v>
      </x:c>
      <x:c r="F5685" s="21" t="n">
        <x:v>1</x:v>
      </x:c>
      <x:c r="G5685" s="23" t="str">
        <x:f>IF(E5685=F5685,"PASS","FAIL")</x:f>
        <x:v>PASS</x:v>
      </x:c>
    </x:row>
    <x:row r="5686">
      <x:c r="B5686" s="21" t="str">
        <x:v>A05680</x:v>
      </x:c>
      <x:c r="C5686" s="21" t="str">
        <x:v>baseline</x:v>
      </x:c>
      <x:c r="D5686" s="21" t="str">
        <x:v>baseline 796 planning state</x:v>
      </x:c>
      <x:c r="E5686" s="21" t="n">
        <x:f>IF(AND('Baseline Register'!G802="0.0.0",'Baseline Register'!I802="OPEN",'Baseline Register'!J802="HOLD"),1,0)</x:f>
        <x:v>1</x:v>
      </x:c>
      <x:c r="F5686" s="21" t="n">
        <x:v>1</x:v>
      </x:c>
      <x:c r="G5686" s="23" t="str">
        <x:f>IF(E5686=F5686,"PASS","FAIL")</x:f>
        <x:v>PASS</x:v>
      </x:c>
    </x:row>
    <x:row r="5687">
      <x:c r="B5687" s="21" t="str">
        <x:v>A05681</x:v>
      </x:c>
      <x:c r="C5687" s="21" t="str">
        <x:v>baseline</x:v>
      </x:c>
      <x:c r="D5687" s="21" t="str">
        <x:v>baseline 797 planning state</x:v>
      </x:c>
      <x:c r="E5687" s="21" t="n">
        <x:f>IF(AND('Baseline Register'!G803="0.0.0",'Baseline Register'!I803="OPEN",'Baseline Register'!J803="HOLD"),1,0)</x:f>
        <x:v>1</x:v>
      </x:c>
      <x:c r="F5687" s="21" t="n">
        <x:v>1</x:v>
      </x:c>
      <x:c r="G5687" s="23" t="str">
        <x:f>IF(E5687=F5687,"PASS","FAIL")</x:f>
        <x:v>PASS</x:v>
      </x:c>
    </x:row>
    <x:row r="5688">
      <x:c r="B5688" s="21" t="str">
        <x:v>A05682</x:v>
      </x:c>
      <x:c r="C5688" s="21" t="str">
        <x:v>baseline</x:v>
      </x:c>
      <x:c r="D5688" s="21" t="str">
        <x:v>baseline 798 planning state</x:v>
      </x:c>
      <x:c r="E5688" s="21" t="n">
        <x:f>IF(AND('Baseline Register'!G804="0.0.0",'Baseline Register'!I804="OPEN",'Baseline Register'!J804="HOLD"),1,0)</x:f>
        <x:v>1</x:v>
      </x:c>
      <x:c r="F5688" s="21" t="n">
        <x:v>1</x:v>
      </x:c>
      <x:c r="G5688" s="23" t="str">
        <x:f>IF(E5688=F5688,"PASS","FAIL")</x:f>
        <x:v>PASS</x:v>
      </x:c>
    </x:row>
    <x:row r="5689">
      <x:c r="B5689" s="21" t="str">
        <x:v>A05683</x:v>
      </x:c>
      <x:c r="C5689" s="21" t="str">
        <x:v>baseline</x:v>
      </x:c>
      <x:c r="D5689" s="21" t="str">
        <x:v>baseline 799 planning state</x:v>
      </x:c>
      <x:c r="E5689" s="21" t="n">
        <x:f>IF(AND('Baseline Register'!G805="0.0.0",'Baseline Register'!I805="OPEN",'Baseline Register'!J805="HOLD"),1,0)</x:f>
        <x:v>1</x:v>
      </x:c>
      <x:c r="F5689" s="21" t="n">
        <x:v>1</x:v>
      </x:c>
      <x:c r="G5689" s="23" t="str">
        <x:f>IF(E5689=F5689,"PASS","FAIL")</x:f>
        <x:v>PASS</x:v>
      </x:c>
    </x:row>
    <x:row r="5690">
      <x:c r="B5690" s="21" t="str">
        <x:v>A05684</x:v>
      </x:c>
      <x:c r="C5690" s="21" t="str">
        <x:v>baseline</x:v>
      </x:c>
      <x:c r="D5690" s="21" t="str">
        <x:v>baseline 800 planning state</x:v>
      </x:c>
      <x:c r="E5690" s="21" t="n">
        <x:f>IF(AND('Baseline Register'!G806="0.0.0",'Baseline Register'!I806="OPEN",'Baseline Register'!J806="HOLD"),1,0)</x:f>
        <x:v>1</x:v>
      </x:c>
      <x:c r="F5690" s="21" t="n">
        <x:v>1</x:v>
      </x:c>
      <x:c r="G5690" s="23" t="str">
        <x:f>IF(E5690=F5690,"PASS","FAIL")</x:f>
        <x:v>PASS</x:v>
      </x:c>
    </x:row>
    <x:row r="5691">
      <x:c r="B5691" s="21" t="str">
        <x:v>A05685</x:v>
      </x:c>
      <x:c r="C5691" s="21" t="str">
        <x:v>baseline</x:v>
      </x:c>
      <x:c r="D5691" s="21" t="str">
        <x:v>baseline 801 planning state</x:v>
      </x:c>
      <x:c r="E5691" s="21" t="n">
        <x:f>IF(AND('Baseline Register'!G807="0.0.0",'Baseline Register'!I807="OPEN",'Baseline Register'!J807="HOLD"),1,0)</x:f>
        <x:v>1</x:v>
      </x:c>
      <x:c r="F5691" s="21" t="n">
        <x:v>1</x:v>
      </x:c>
      <x:c r="G5691" s="23" t="str">
        <x:f>IF(E5691=F5691,"PASS","FAIL")</x:f>
        <x:v>PASS</x:v>
      </x:c>
    </x:row>
    <x:row r="5692">
      <x:c r="B5692" s="21" t="str">
        <x:v>A05686</x:v>
      </x:c>
      <x:c r="C5692" s="21" t="str">
        <x:v>baseline</x:v>
      </x:c>
      <x:c r="D5692" s="21" t="str">
        <x:v>baseline 802 planning state</x:v>
      </x:c>
      <x:c r="E5692" s="21" t="n">
        <x:f>IF(AND('Baseline Register'!G808="0.0.0",'Baseline Register'!I808="OPEN",'Baseline Register'!J808="HOLD"),1,0)</x:f>
        <x:v>1</x:v>
      </x:c>
      <x:c r="F5692" s="21" t="n">
        <x:v>1</x:v>
      </x:c>
      <x:c r="G5692" s="23" t="str">
        <x:f>IF(E5692=F5692,"PASS","FAIL")</x:f>
        <x:v>PASS</x:v>
      </x:c>
    </x:row>
    <x:row r="5693">
      <x:c r="B5693" s="21" t="str">
        <x:v>A05687</x:v>
      </x:c>
      <x:c r="C5693" s="21" t="str">
        <x:v>baseline</x:v>
      </x:c>
      <x:c r="D5693" s="21" t="str">
        <x:v>baseline 803 planning state</x:v>
      </x:c>
      <x:c r="E5693" s="21" t="n">
        <x:f>IF(AND('Baseline Register'!G809="0.0.0",'Baseline Register'!I809="OPEN",'Baseline Register'!J809="HOLD"),1,0)</x:f>
        <x:v>1</x:v>
      </x:c>
      <x:c r="F5693" s="21" t="n">
        <x:v>1</x:v>
      </x:c>
      <x:c r="G5693" s="23" t="str">
        <x:f>IF(E5693=F5693,"PASS","FAIL")</x:f>
        <x:v>PASS</x:v>
      </x:c>
    </x:row>
    <x:row r="5694">
      <x:c r="B5694" s="21" t="str">
        <x:v>A05688</x:v>
      </x:c>
      <x:c r="C5694" s="21" t="str">
        <x:v>baseline</x:v>
      </x:c>
      <x:c r="D5694" s="21" t="str">
        <x:v>baseline 804 planning state</x:v>
      </x:c>
      <x:c r="E5694" s="21" t="n">
        <x:f>IF(AND('Baseline Register'!G810="0.0.0",'Baseline Register'!I810="OPEN",'Baseline Register'!J810="HOLD"),1,0)</x:f>
        <x:v>1</x:v>
      </x:c>
      <x:c r="F5694" s="21" t="n">
        <x:v>1</x:v>
      </x:c>
      <x:c r="G5694" s="23" t="str">
        <x:f>IF(E5694=F5694,"PASS","FAIL")</x:f>
        <x:v>PASS</x:v>
      </x:c>
    </x:row>
    <x:row r="5695">
      <x:c r="B5695" s="21" t="str">
        <x:v>A05689</x:v>
      </x:c>
      <x:c r="C5695" s="21" t="str">
        <x:v>baseline</x:v>
      </x:c>
      <x:c r="D5695" s="21" t="str">
        <x:v>baseline 805 planning state</x:v>
      </x:c>
      <x:c r="E5695" s="21" t="n">
        <x:f>IF(AND('Baseline Register'!G811="0.0.0",'Baseline Register'!I811="OPEN",'Baseline Register'!J811="HOLD"),1,0)</x:f>
        <x:v>1</x:v>
      </x:c>
      <x:c r="F5695" s="21" t="n">
        <x:v>1</x:v>
      </x:c>
      <x:c r="G5695" s="23" t="str">
        <x:f>IF(E5695=F5695,"PASS","FAIL")</x:f>
        <x:v>PASS</x:v>
      </x:c>
    </x:row>
    <x:row r="5696">
      <x:c r="B5696" s="21" t="str">
        <x:v>A05690</x:v>
      </x:c>
      <x:c r="C5696" s="21" t="str">
        <x:v>baseline</x:v>
      </x:c>
      <x:c r="D5696" s="21" t="str">
        <x:v>baseline 806 planning state</x:v>
      </x:c>
      <x:c r="E5696" s="21" t="n">
        <x:f>IF(AND('Baseline Register'!G812="0.0.0",'Baseline Register'!I812="OPEN",'Baseline Register'!J812="HOLD"),1,0)</x:f>
        <x:v>1</x:v>
      </x:c>
      <x:c r="F5696" s="21" t="n">
        <x:v>1</x:v>
      </x:c>
      <x:c r="G5696" s="23" t="str">
        <x:f>IF(E5696=F5696,"PASS","FAIL")</x:f>
        <x:v>PASS</x:v>
      </x:c>
    </x:row>
    <x:row r="5697">
      <x:c r="B5697" s="21" t="str">
        <x:v>A05691</x:v>
      </x:c>
      <x:c r="C5697" s="21" t="str">
        <x:v>baseline</x:v>
      </x:c>
      <x:c r="D5697" s="21" t="str">
        <x:v>baseline 807 planning state</x:v>
      </x:c>
      <x:c r="E5697" s="21" t="n">
        <x:f>IF(AND('Baseline Register'!G813="0.0.0",'Baseline Register'!I813="OPEN",'Baseline Register'!J813="HOLD"),1,0)</x:f>
        <x:v>1</x:v>
      </x:c>
      <x:c r="F5697" s="21" t="n">
        <x:v>1</x:v>
      </x:c>
      <x:c r="G5697" s="23" t="str">
        <x:f>IF(E5697=F5697,"PASS","FAIL")</x:f>
        <x:v>PASS</x:v>
      </x:c>
    </x:row>
    <x:row r="5698">
      <x:c r="B5698" s="21" t="str">
        <x:v>A05692</x:v>
      </x:c>
      <x:c r="C5698" s="21" t="str">
        <x:v>baseline</x:v>
      </x:c>
      <x:c r="D5698" s="21" t="str">
        <x:v>baseline 808 planning state</x:v>
      </x:c>
      <x:c r="E5698" s="21" t="n">
        <x:f>IF(AND('Baseline Register'!G814="0.0.0",'Baseline Register'!I814="OPEN",'Baseline Register'!J814="HOLD"),1,0)</x:f>
        <x:v>1</x:v>
      </x:c>
      <x:c r="F5698" s="21" t="n">
        <x:v>1</x:v>
      </x:c>
      <x:c r="G5698" s="23" t="str">
        <x:f>IF(E5698=F5698,"PASS","FAIL")</x:f>
        <x:v>PASS</x:v>
      </x:c>
    </x:row>
    <x:row r="5699">
      <x:c r="B5699" s="21" t="str">
        <x:v>A05693</x:v>
      </x:c>
      <x:c r="C5699" s="21" t="str">
        <x:v>baseline</x:v>
      </x:c>
      <x:c r="D5699" s="21" t="str">
        <x:v>baseline 809 planning state</x:v>
      </x:c>
      <x:c r="E5699" s="21" t="n">
        <x:f>IF(AND('Baseline Register'!G815="0.0.0",'Baseline Register'!I815="OPEN",'Baseline Register'!J815="HOLD"),1,0)</x:f>
        <x:v>1</x:v>
      </x:c>
      <x:c r="F5699" s="21" t="n">
        <x:v>1</x:v>
      </x:c>
      <x:c r="G5699" s="23" t="str">
        <x:f>IF(E5699=F5699,"PASS","FAIL")</x:f>
        <x:v>PASS</x:v>
      </x:c>
    </x:row>
    <x:row r="5700">
      <x:c r="B5700" s="21" t="str">
        <x:v>A05694</x:v>
      </x:c>
      <x:c r="C5700" s="21" t="str">
        <x:v>baseline</x:v>
      </x:c>
      <x:c r="D5700" s="21" t="str">
        <x:v>baseline 810 planning state</x:v>
      </x:c>
      <x:c r="E5700" s="21" t="n">
        <x:f>IF(AND('Baseline Register'!G816="0.0.0",'Baseline Register'!I816="OPEN",'Baseline Register'!J816="HOLD"),1,0)</x:f>
        <x:v>1</x:v>
      </x:c>
      <x:c r="F5700" s="21" t="n">
        <x:v>1</x:v>
      </x:c>
      <x:c r="G5700" s="23" t="str">
        <x:f>IF(E5700=F5700,"PASS","FAIL")</x:f>
        <x:v>PASS</x:v>
      </x:c>
    </x:row>
    <x:row r="5701">
      <x:c r="B5701" s="21" t="str">
        <x:v>A05695</x:v>
      </x:c>
      <x:c r="C5701" s="21" t="str">
        <x:v>baseline</x:v>
      </x:c>
      <x:c r="D5701" s="21" t="str">
        <x:v>baseline 811 planning state</x:v>
      </x:c>
      <x:c r="E5701" s="21" t="n">
        <x:f>IF(AND('Baseline Register'!G817="0.0.0",'Baseline Register'!I817="OPEN",'Baseline Register'!J817="HOLD"),1,0)</x:f>
        <x:v>1</x:v>
      </x:c>
      <x:c r="F5701" s="21" t="n">
        <x:v>1</x:v>
      </x:c>
      <x:c r="G5701" s="23" t="str">
        <x:f>IF(E5701=F5701,"PASS","FAIL")</x:f>
        <x:v>PASS</x:v>
      </x:c>
    </x:row>
    <x:row r="5702">
      <x:c r="B5702" s="21" t="str">
        <x:v>A05696</x:v>
      </x:c>
      <x:c r="C5702" s="21" t="str">
        <x:v>baseline</x:v>
      </x:c>
      <x:c r="D5702" s="21" t="str">
        <x:v>baseline 812 planning state</x:v>
      </x:c>
      <x:c r="E5702" s="21" t="n">
        <x:f>IF(AND('Baseline Register'!G818="0.0.0",'Baseline Register'!I818="OPEN",'Baseline Register'!J818="HOLD"),1,0)</x:f>
        <x:v>1</x:v>
      </x:c>
      <x:c r="F5702" s="21" t="n">
        <x:v>1</x:v>
      </x:c>
      <x:c r="G5702" s="23" t="str">
        <x:f>IF(E5702=F5702,"PASS","FAIL")</x:f>
        <x:v>PASS</x:v>
      </x:c>
    </x:row>
    <x:row r="5703">
      <x:c r="B5703" s="21" t="str">
        <x:v>A05697</x:v>
      </x:c>
      <x:c r="C5703" s="21" t="str">
        <x:v>baseline</x:v>
      </x:c>
      <x:c r="D5703" s="21" t="str">
        <x:v>baseline 813 planning state</x:v>
      </x:c>
      <x:c r="E5703" s="21" t="n">
        <x:f>IF(AND('Baseline Register'!G819="0.0.0",'Baseline Register'!I819="OPEN",'Baseline Register'!J819="HOLD"),1,0)</x:f>
        <x:v>1</x:v>
      </x:c>
      <x:c r="F5703" s="21" t="n">
        <x:v>1</x:v>
      </x:c>
      <x:c r="G5703" s="23" t="str">
        <x:f>IF(E5703=F5703,"PASS","FAIL")</x:f>
        <x:v>PASS</x:v>
      </x:c>
    </x:row>
    <x:row r="5704">
      <x:c r="B5704" s="21" t="str">
        <x:v>A05698</x:v>
      </x:c>
      <x:c r="C5704" s="21" t="str">
        <x:v>baseline</x:v>
      </x:c>
      <x:c r="D5704" s="21" t="str">
        <x:v>baseline 814 planning state</x:v>
      </x:c>
      <x:c r="E5704" s="21" t="n">
        <x:f>IF(AND('Baseline Register'!G820="0.0.0",'Baseline Register'!I820="OPEN",'Baseline Register'!J820="HOLD"),1,0)</x:f>
        <x:v>1</x:v>
      </x:c>
      <x:c r="F5704" s="21" t="n">
        <x:v>1</x:v>
      </x:c>
      <x:c r="G5704" s="23" t="str">
        <x:f>IF(E5704=F5704,"PASS","FAIL")</x:f>
        <x:v>PASS</x:v>
      </x:c>
    </x:row>
    <x:row r="5705">
      <x:c r="B5705" s="21" t="str">
        <x:v>A05699</x:v>
      </x:c>
      <x:c r="C5705" s="21" t="str">
        <x:v>baseline</x:v>
      </x:c>
      <x:c r="D5705" s="21" t="str">
        <x:v>baseline 815 planning state</x:v>
      </x:c>
      <x:c r="E5705" s="21" t="n">
        <x:f>IF(AND('Baseline Register'!G821="0.0.0",'Baseline Register'!I821="OPEN",'Baseline Register'!J821="HOLD"),1,0)</x:f>
        <x:v>1</x:v>
      </x:c>
      <x:c r="F5705" s="21" t="n">
        <x:v>1</x:v>
      </x:c>
      <x:c r="G5705" s="23" t="str">
        <x:f>IF(E5705=F5705,"PASS","FAIL")</x:f>
        <x:v>PASS</x:v>
      </x:c>
    </x:row>
    <x:row r="5706">
      <x:c r="B5706" s="21" t="str">
        <x:v>A05700</x:v>
      </x:c>
      <x:c r="C5706" s="21" t="str">
        <x:v>baseline</x:v>
      </x:c>
      <x:c r="D5706" s="21" t="str">
        <x:v>baseline 816 planning state</x:v>
      </x:c>
      <x:c r="E5706" s="21" t="n">
        <x:f>IF(AND('Baseline Register'!G822="0.0.0",'Baseline Register'!I822="OPEN",'Baseline Register'!J822="HOLD"),1,0)</x:f>
        <x:v>1</x:v>
      </x:c>
      <x:c r="F5706" s="21" t="n">
        <x:v>1</x:v>
      </x:c>
      <x:c r="G5706" s="23" t="str">
        <x:f>IF(E5706=F5706,"PASS","FAIL")</x:f>
        <x:v>PASS</x:v>
      </x:c>
    </x:row>
    <x:row r="5707">
      <x:c r="B5707" s="21" t="str">
        <x:v>A05701</x:v>
      </x:c>
      <x:c r="C5707" s="21" t="str">
        <x:v>baseline</x:v>
      </x:c>
      <x:c r="D5707" s="21" t="str">
        <x:v>baseline 817 planning state</x:v>
      </x:c>
      <x:c r="E5707" s="21" t="n">
        <x:f>IF(AND('Baseline Register'!G823="0.0.0",'Baseline Register'!I823="OPEN",'Baseline Register'!J823="HOLD"),1,0)</x:f>
        <x:v>1</x:v>
      </x:c>
      <x:c r="F5707" s="21" t="n">
        <x:v>1</x:v>
      </x:c>
      <x:c r="G5707" s="23" t="str">
        <x:f>IF(E5707=F5707,"PASS","FAIL")</x:f>
        <x:v>PASS</x:v>
      </x:c>
    </x:row>
    <x:row r="5708">
      <x:c r="B5708" s="21" t="str">
        <x:v>A05702</x:v>
      </x:c>
      <x:c r="C5708" s="21" t="str">
        <x:v>baseline</x:v>
      </x:c>
      <x:c r="D5708" s="21" t="str">
        <x:v>baseline 818 planning state</x:v>
      </x:c>
      <x:c r="E5708" s="21" t="n">
        <x:f>IF(AND('Baseline Register'!G824="0.0.0",'Baseline Register'!I824="OPEN",'Baseline Register'!J824="HOLD"),1,0)</x:f>
        <x:v>1</x:v>
      </x:c>
      <x:c r="F5708" s="21" t="n">
        <x:v>1</x:v>
      </x:c>
      <x:c r="G5708" s="23" t="str">
        <x:f>IF(E5708=F5708,"PASS","FAIL")</x:f>
        <x:v>PASS</x:v>
      </x:c>
    </x:row>
    <x:row r="5709">
      <x:c r="B5709" s="21" t="str">
        <x:v>A05703</x:v>
      </x:c>
      <x:c r="C5709" s="21" t="str">
        <x:v>baseline</x:v>
      </x:c>
      <x:c r="D5709" s="21" t="str">
        <x:v>baseline 819 planning state</x:v>
      </x:c>
      <x:c r="E5709" s="21" t="n">
        <x:f>IF(AND('Baseline Register'!G825="0.0.0",'Baseline Register'!I825="OPEN",'Baseline Register'!J825="HOLD"),1,0)</x:f>
        <x:v>1</x:v>
      </x:c>
      <x:c r="F5709" s="21" t="n">
        <x:v>1</x:v>
      </x:c>
      <x:c r="G5709" s="23" t="str">
        <x:f>IF(E5709=F5709,"PASS","FAIL")</x:f>
        <x:v>PASS</x:v>
      </x:c>
    </x:row>
    <x:row r="5710">
      <x:c r="B5710" s="21" t="str">
        <x:v>A05704</x:v>
      </x:c>
      <x:c r="C5710" s="21" t="str">
        <x:v>baseline</x:v>
      </x:c>
      <x:c r="D5710" s="21" t="str">
        <x:v>baseline 820 planning state</x:v>
      </x:c>
      <x:c r="E5710" s="21" t="n">
        <x:f>IF(AND('Baseline Register'!G826="0.0.0",'Baseline Register'!I826="OPEN",'Baseline Register'!J826="HOLD"),1,0)</x:f>
        <x:v>1</x:v>
      </x:c>
      <x:c r="F5710" s="21" t="n">
        <x:v>1</x:v>
      </x:c>
      <x:c r="G5710" s="23" t="str">
        <x:f>IF(E5710=F5710,"PASS","FAIL")</x:f>
        <x:v>PASS</x:v>
      </x:c>
    </x:row>
    <x:row r="5711">
      <x:c r="B5711" s="21" t="str">
        <x:v>A05705</x:v>
      </x:c>
      <x:c r="C5711" s="21" t="str">
        <x:v>baseline</x:v>
      </x:c>
      <x:c r="D5711" s="21" t="str">
        <x:v>baseline 821 planning state</x:v>
      </x:c>
      <x:c r="E5711" s="21" t="n">
        <x:f>IF(AND('Baseline Register'!G827="0.0.0",'Baseline Register'!I827="OPEN",'Baseline Register'!J827="HOLD"),1,0)</x:f>
        <x:v>1</x:v>
      </x:c>
      <x:c r="F5711" s="21" t="n">
        <x:v>1</x:v>
      </x:c>
      <x:c r="G5711" s="23" t="str">
        <x:f>IF(E5711=F5711,"PASS","FAIL")</x:f>
        <x:v>PASS</x:v>
      </x:c>
    </x:row>
    <x:row r="5712">
      <x:c r="B5712" s="21" t="str">
        <x:v>A05706</x:v>
      </x:c>
      <x:c r="C5712" s="21" t="str">
        <x:v>baseline</x:v>
      </x:c>
      <x:c r="D5712" s="21" t="str">
        <x:v>baseline 822 planning state</x:v>
      </x:c>
      <x:c r="E5712" s="21" t="n">
        <x:f>IF(AND('Baseline Register'!G828="0.0.0",'Baseline Register'!I828="OPEN",'Baseline Register'!J828="HOLD"),1,0)</x:f>
        <x:v>1</x:v>
      </x:c>
      <x:c r="F5712" s="21" t="n">
        <x:v>1</x:v>
      </x:c>
      <x:c r="G5712" s="23" t="str">
        <x:f>IF(E5712=F5712,"PASS","FAIL")</x:f>
        <x:v>PASS</x:v>
      </x:c>
    </x:row>
    <x:row r="5713">
      <x:c r="B5713" s="21" t="str">
        <x:v>A05707</x:v>
      </x:c>
      <x:c r="C5713" s="21" t="str">
        <x:v>baseline</x:v>
      </x:c>
      <x:c r="D5713" s="21" t="str">
        <x:v>baseline 823 planning state</x:v>
      </x:c>
      <x:c r="E5713" s="21" t="n">
        <x:f>IF(AND('Baseline Register'!G829="0.0.0",'Baseline Register'!I829="OPEN",'Baseline Register'!J829="HOLD"),1,0)</x:f>
        <x:v>1</x:v>
      </x:c>
      <x:c r="F5713" s="21" t="n">
        <x:v>1</x:v>
      </x:c>
      <x:c r="G5713" s="23" t="str">
        <x:f>IF(E5713=F5713,"PASS","FAIL")</x:f>
        <x:v>PASS</x:v>
      </x:c>
    </x:row>
    <x:row r="5714">
      <x:c r="B5714" s="21" t="str">
        <x:v>A05708</x:v>
      </x:c>
      <x:c r="C5714" s="21" t="str">
        <x:v>baseline</x:v>
      </x:c>
      <x:c r="D5714" s="21" t="str">
        <x:v>baseline 824 planning state</x:v>
      </x:c>
      <x:c r="E5714" s="21" t="n">
        <x:f>IF(AND('Baseline Register'!G830="0.0.0",'Baseline Register'!I830="OPEN",'Baseline Register'!J830="HOLD"),1,0)</x:f>
        <x:v>1</x:v>
      </x:c>
      <x:c r="F5714" s="21" t="n">
        <x:v>1</x:v>
      </x:c>
      <x:c r="G5714" s="23" t="str">
        <x:f>IF(E5714=F5714,"PASS","FAIL")</x:f>
        <x:v>PASS</x:v>
      </x:c>
    </x:row>
    <x:row r="5715">
      <x:c r="B5715" s="21" t="str">
        <x:v>A05709</x:v>
      </x:c>
      <x:c r="C5715" s="21" t="str">
        <x:v>baseline</x:v>
      </x:c>
      <x:c r="D5715" s="21" t="str">
        <x:v>baseline 825 planning state</x:v>
      </x:c>
      <x:c r="E5715" s="21" t="n">
        <x:f>IF(AND('Baseline Register'!G831="0.0.0",'Baseline Register'!I831="OPEN",'Baseline Register'!J831="HOLD"),1,0)</x:f>
        <x:v>1</x:v>
      </x:c>
      <x:c r="F5715" s="21" t="n">
        <x:v>1</x:v>
      </x:c>
      <x:c r="G5715" s="23" t="str">
        <x:f>IF(E5715=F5715,"PASS","FAIL")</x:f>
        <x:v>PASS</x:v>
      </x:c>
    </x:row>
    <x:row r="5716">
      <x:c r="B5716" s="21" t="str">
        <x:v>A05710</x:v>
      </x:c>
      <x:c r="C5716" s="21" t="str">
        <x:v>baseline</x:v>
      </x:c>
      <x:c r="D5716" s="21" t="str">
        <x:v>baseline 826 planning state</x:v>
      </x:c>
      <x:c r="E5716" s="21" t="n">
        <x:f>IF(AND('Baseline Register'!G832="0.0.0",'Baseline Register'!I832="OPEN",'Baseline Register'!J832="HOLD"),1,0)</x:f>
        <x:v>1</x:v>
      </x:c>
      <x:c r="F5716" s="21" t="n">
        <x:v>1</x:v>
      </x:c>
      <x:c r="G5716" s="23" t="str">
        <x:f>IF(E5716=F5716,"PASS","FAIL")</x:f>
        <x:v>PASS</x:v>
      </x:c>
    </x:row>
    <x:row r="5717">
      <x:c r="B5717" s="21" t="str">
        <x:v>A05711</x:v>
      </x:c>
      <x:c r="C5717" s="21" t="str">
        <x:v>baseline</x:v>
      </x:c>
      <x:c r="D5717" s="21" t="str">
        <x:v>baseline 827 planning state</x:v>
      </x:c>
      <x:c r="E5717" s="21" t="n">
        <x:f>IF(AND('Baseline Register'!G833="0.0.0",'Baseline Register'!I833="OPEN",'Baseline Register'!J833="HOLD"),1,0)</x:f>
        <x:v>1</x:v>
      </x:c>
      <x:c r="F5717" s="21" t="n">
        <x:v>1</x:v>
      </x:c>
      <x:c r="G5717" s="23" t="str">
        <x:f>IF(E5717=F5717,"PASS","FAIL")</x:f>
        <x:v>PASS</x:v>
      </x:c>
    </x:row>
    <x:row r="5718">
      <x:c r="B5718" s="21" t="str">
        <x:v>A05712</x:v>
      </x:c>
      <x:c r="C5718" s="21" t="str">
        <x:v>baseline</x:v>
      </x:c>
      <x:c r="D5718" s="21" t="str">
        <x:v>baseline 828 planning state</x:v>
      </x:c>
      <x:c r="E5718" s="21" t="n">
        <x:f>IF(AND('Baseline Register'!G834="0.0.0",'Baseline Register'!I834="OPEN",'Baseline Register'!J834="HOLD"),1,0)</x:f>
        <x:v>1</x:v>
      </x:c>
      <x:c r="F5718" s="21" t="n">
        <x:v>1</x:v>
      </x:c>
      <x:c r="G5718" s="23" t="str">
        <x:f>IF(E5718=F5718,"PASS","FAIL")</x:f>
        <x:v>PASS</x:v>
      </x:c>
    </x:row>
    <x:row r="5719">
      <x:c r="B5719" s="21" t="str">
        <x:v>A05713</x:v>
      </x:c>
      <x:c r="C5719" s="21" t="str">
        <x:v>baseline</x:v>
      </x:c>
      <x:c r="D5719" s="21" t="str">
        <x:v>baseline 829 planning state</x:v>
      </x:c>
      <x:c r="E5719" s="21" t="n">
        <x:f>IF(AND('Baseline Register'!G835="0.0.0",'Baseline Register'!I835="OPEN",'Baseline Register'!J835="HOLD"),1,0)</x:f>
        <x:v>1</x:v>
      </x:c>
      <x:c r="F5719" s="21" t="n">
        <x:v>1</x:v>
      </x:c>
      <x:c r="G5719" s="23" t="str">
        <x:f>IF(E5719=F5719,"PASS","FAIL")</x:f>
        <x:v>PASS</x:v>
      </x:c>
    </x:row>
    <x:row r="5720">
      <x:c r="B5720" s="21" t="str">
        <x:v>A05714</x:v>
      </x:c>
      <x:c r="C5720" s="21" t="str">
        <x:v>baseline</x:v>
      </x:c>
      <x:c r="D5720" s="21" t="str">
        <x:v>baseline 830 planning state</x:v>
      </x:c>
      <x:c r="E5720" s="21" t="n">
        <x:f>IF(AND('Baseline Register'!G836="0.0.0",'Baseline Register'!I836="OPEN",'Baseline Register'!J836="HOLD"),1,0)</x:f>
        <x:v>1</x:v>
      </x:c>
      <x:c r="F5720" s="21" t="n">
        <x:v>1</x:v>
      </x:c>
      <x:c r="G5720" s="23" t="str">
        <x:f>IF(E5720=F5720,"PASS","FAIL")</x:f>
        <x:v>PASS</x:v>
      </x:c>
    </x:row>
    <x:row r="5721">
      <x:c r="B5721" s="21" t="str">
        <x:v>A05715</x:v>
      </x:c>
      <x:c r="C5721" s="21" t="str">
        <x:v>baseline</x:v>
      </x:c>
      <x:c r="D5721" s="21" t="str">
        <x:v>baseline 831 planning state</x:v>
      </x:c>
      <x:c r="E5721" s="21" t="n">
        <x:f>IF(AND('Baseline Register'!G837="0.0.0",'Baseline Register'!I837="OPEN",'Baseline Register'!J837="HOLD"),1,0)</x:f>
        <x:v>1</x:v>
      </x:c>
      <x:c r="F5721" s="21" t="n">
        <x:v>1</x:v>
      </x:c>
      <x:c r="G5721" s="23" t="str">
        <x:f>IF(E5721=F5721,"PASS","FAIL")</x:f>
        <x:v>PASS</x:v>
      </x:c>
    </x:row>
    <x:row r="5722">
      <x:c r="B5722" s="21" t="str">
        <x:v>A05716</x:v>
      </x:c>
      <x:c r="C5722" s="21" t="str">
        <x:v>baseline</x:v>
      </x:c>
      <x:c r="D5722" s="21" t="str">
        <x:v>baseline 832 planning state</x:v>
      </x:c>
      <x:c r="E5722" s="21" t="n">
        <x:f>IF(AND('Baseline Register'!G838="0.0.0",'Baseline Register'!I838="OPEN",'Baseline Register'!J838="HOLD"),1,0)</x:f>
        <x:v>1</x:v>
      </x:c>
      <x:c r="F5722" s="21" t="n">
        <x:v>1</x:v>
      </x:c>
      <x:c r="G5722" s="23" t="str">
        <x:f>IF(E5722=F5722,"PASS","FAIL")</x:f>
        <x:v>PASS</x:v>
      </x:c>
    </x:row>
    <x:row r="5723">
      <x:c r="B5723" s="21" t="str">
        <x:v>A05717</x:v>
      </x:c>
      <x:c r="C5723" s="21" t="str">
        <x:v>baseline</x:v>
      </x:c>
      <x:c r="D5723" s="21" t="str">
        <x:v>baseline 833 planning state</x:v>
      </x:c>
      <x:c r="E5723" s="21" t="n">
        <x:f>IF(AND('Baseline Register'!G839="0.0.0",'Baseline Register'!I839="OPEN",'Baseline Register'!J839="HOLD"),1,0)</x:f>
        <x:v>1</x:v>
      </x:c>
      <x:c r="F5723" s="21" t="n">
        <x:v>1</x:v>
      </x:c>
      <x:c r="G5723" s="23" t="str">
        <x:f>IF(E5723=F5723,"PASS","FAIL")</x:f>
        <x:v>PASS</x:v>
      </x:c>
    </x:row>
    <x:row r="5724">
      <x:c r="B5724" s="21" t="str">
        <x:v>A05718</x:v>
      </x:c>
      <x:c r="C5724" s="21" t="str">
        <x:v>baseline</x:v>
      </x:c>
      <x:c r="D5724" s="21" t="str">
        <x:v>baseline 834 planning state</x:v>
      </x:c>
      <x:c r="E5724" s="21" t="n">
        <x:f>IF(AND('Baseline Register'!G840="0.0.0",'Baseline Register'!I840="OPEN",'Baseline Register'!J840="HOLD"),1,0)</x:f>
        <x:v>1</x:v>
      </x:c>
      <x:c r="F5724" s="21" t="n">
        <x:v>1</x:v>
      </x:c>
      <x:c r="G5724" s="23" t="str">
        <x:f>IF(E5724=F5724,"PASS","FAIL")</x:f>
        <x:v>PASS</x:v>
      </x:c>
    </x:row>
    <x:row r="5725">
      <x:c r="B5725" s="21" t="str">
        <x:v>A05719</x:v>
      </x:c>
      <x:c r="C5725" s="21" t="str">
        <x:v>baseline</x:v>
      </x:c>
      <x:c r="D5725" s="21" t="str">
        <x:v>baseline 835 planning state</x:v>
      </x:c>
      <x:c r="E5725" s="21" t="n">
        <x:f>IF(AND('Baseline Register'!G841="0.0.0",'Baseline Register'!I841="OPEN",'Baseline Register'!J841="HOLD"),1,0)</x:f>
        <x:v>1</x:v>
      </x:c>
      <x:c r="F5725" s="21" t="n">
        <x:v>1</x:v>
      </x:c>
      <x:c r="G5725" s="23" t="str">
        <x:f>IF(E5725=F5725,"PASS","FAIL")</x:f>
        <x:v>PASS</x:v>
      </x:c>
    </x:row>
    <x:row r="5726">
      <x:c r="B5726" s="21" t="str">
        <x:v>A05720</x:v>
      </x:c>
      <x:c r="C5726" s="21" t="str">
        <x:v>baseline</x:v>
      </x:c>
      <x:c r="D5726" s="21" t="str">
        <x:v>baseline 836 planning state</x:v>
      </x:c>
      <x:c r="E5726" s="21" t="n">
        <x:f>IF(AND('Baseline Register'!G842="0.0.0",'Baseline Register'!I842="OPEN",'Baseline Register'!J842="HOLD"),1,0)</x:f>
        <x:v>1</x:v>
      </x:c>
      <x:c r="F5726" s="21" t="n">
        <x:v>1</x:v>
      </x:c>
      <x:c r="G5726" s="23" t="str">
        <x:f>IF(E5726=F5726,"PASS","FAIL")</x:f>
        <x:v>PASS</x:v>
      </x:c>
    </x:row>
    <x:row r="5727">
      <x:c r="B5727" s="21" t="str">
        <x:v>A05721</x:v>
      </x:c>
      <x:c r="C5727" s="21" t="str">
        <x:v>baseline</x:v>
      </x:c>
      <x:c r="D5727" s="21" t="str">
        <x:v>baseline 837 planning state</x:v>
      </x:c>
      <x:c r="E5727" s="21" t="n">
        <x:f>IF(AND('Baseline Register'!G843="0.0.0",'Baseline Register'!I843="OPEN",'Baseline Register'!J843="HOLD"),1,0)</x:f>
        <x:v>1</x:v>
      </x:c>
      <x:c r="F5727" s="21" t="n">
        <x:v>1</x:v>
      </x:c>
      <x:c r="G5727" s="23" t="str">
        <x:f>IF(E5727=F5727,"PASS","FAIL")</x:f>
        <x:v>PASS</x:v>
      </x:c>
    </x:row>
    <x:row r="5728">
      <x:c r="B5728" s="21" t="str">
        <x:v>A05722</x:v>
      </x:c>
      <x:c r="C5728" s="21" t="str">
        <x:v>baseline</x:v>
      </x:c>
      <x:c r="D5728" s="21" t="str">
        <x:v>baseline 838 planning state</x:v>
      </x:c>
      <x:c r="E5728" s="21" t="n">
        <x:f>IF(AND('Baseline Register'!G844="0.0.0",'Baseline Register'!I844="OPEN",'Baseline Register'!J844="HOLD"),1,0)</x:f>
        <x:v>1</x:v>
      </x:c>
      <x:c r="F5728" s="21" t="n">
        <x:v>1</x:v>
      </x:c>
      <x:c r="G5728" s="23" t="str">
        <x:f>IF(E5728=F5728,"PASS","FAIL")</x:f>
        <x:v>PASS</x:v>
      </x:c>
    </x:row>
    <x:row r="5729">
      <x:c r="B5729" s="21" t="str">
        <x:v>A05723</x:v>
      </x:c>
      <x:c r="C5729" s="21" t="str">
        <x:v>baseline</x:v>
      </x:c>
      <x:c r="D5729" s="21" t="str">
        <x:v>baseline 839 planning state</x:v>
      </x:c>
      <x:c r="E5729" s="21" t="n">
        <x:f>IF(AND('Baseline Register'!G845="0.0.0",'Baseline Register'!I845="OPEN",'Baseline Register'!J845="HOLD"),1,0)</x:f>
        <x:v>1</x:v>
      </x:c>
      <x:c r="F5729" s="21" t="n">
        <x:v>1</x:v>
      </x:c>
      <x:c r="G5729" s="23" t="str">
        <x:f>IF(E5729=F5729,"PASS","FAIL")</x:f>
        <x:v>PASS</x:v>
      </x:c>
    </x:row>
    <x:row r="5730">
      <x:c r="B5730" s="21" t="str">
        <x:v>A05724</x:v>
      </x:c>
      <x:c r="C5730" s="21" t="str">
        <x:v>baseline</x:v>
      </x:c>
      <x:c r="D5730" s="21" t="str">
        <x:v>baseline 840 planning state</x:v>
      </x:c>
      <x:c r="E5730" s="21" t="n">
        <x:f>IF(AND('Baseline Register'!G846="0.0.0",'Baseline Register'!I846="OPEN",'Baseline Register'!J846="HOLD"),1,0)</x:f>
        <x:v>1</x:v>
      </x:c>
      <x:c r="F5730" s="21" t="n">
        <x:v>1</x:v>
      </x:c>
      <x:c r="G5730" s="23" t="str">
        <x:f>IF(E5730=F5730,"PASS","FAIL")</x:f>
        <x:v>PASS</x:v>
      </x:c>
    </x:row>
    <x:row r="5731">
      <x:c r="B5731" s="21" t="str">
        <x:v>A05725</x:v>
      </x:c>
      <x:c r="C5731" s="21" t="str">
        <x:v>baseline</x:v>
      </x:c>
      <x:c r="D5731" s="21" t="str">
        <x:v>baseline 841 planning state</x:v>
      </x:c>
      <x:c r="E5731" s="21" t="n">
        <x:f>IF(AND('Baseline Register'!G847="0.0.0",'Baseline Register'!I847="OPEN",'Baseline Register'!J847="HOLD"),1,0)</x:f>
        <x:v>1</x:v>
      </x:c>
      <x:c r="F5731" s="21" t="n">
        <x:v>1</x:v>
      </x:c>
      <x:c r="G5731" s="23" t="str">
        <x:f>IF(E5731=F5731,"PASS","FAIL")</x:f>
        <x:v>PASS</x:v>
      </x:c>
    </x:row>
    <x:row r="5732">
      <x:c r="B5732" s="21" t="str">
        <x:v>A05726</x:v>
      </x:c>
      <x:c r="C5732" s="21" t="str">
        <x:v>baseline</x:v>
      </x:c>
      <x:c r="D5732" s="21" t="str">
        <x:v>baseline 842 planning state</x:v>
      </x:c>
      <x:c r="E5732" s="21" t="n">
        <x:f>IF(AND('Baseline Register'!G848="0.0.0",'Baseline Register'!I848="OPEN",'Baseline Register'!J848="HOLD"),1,0)</x:f>
        <x:v>1</x:v>
      </x:c>
      <x:c r="F5732" s="21" t="n">
        <x:v>1</x:v>
      </x:c>
      <x:c r="G5732" s="23" t="str">
        <x:f>IF(E5732=F5732,"PASS","FAIL")</x:f>
        <x:v>PASS</x:v>
      </x:c>
    </x:row>
    <x:row r="5733">
      <x:c r="B5733" s="21" t="str">
        <x:v>A05727</x:v>
      </x:c>
      <x:c r="C5733" s="21" t="str">
        <x:v>baseline</x:v>
      </x:c>
      <x:c r="D5733" s="21" t="str">
        <x:v>baseline 843 planning state</x:v>
      </x:c>
      <x:c r="E5733" s="21" t="n">
        <x:f>IF(AND('Baseline Register'!G849="0.0.0",'Baseline Register'!I849="OPEN",'Baseline Register'!J849="HOLD"),1,0)</x:f>
        <x:v>1</x:v>
      </x:c>
      <x:c r="F5733" s="21" t="n">
        <x:v>1</x:v>
      </x:c>
      <x:c r="G5733" s="23" t="str">
        <x:f>IF(E5733=F5733,"PASS","FAIL")</x:f>
        <x:v>PASS</x:v>
      </x:c>
    </x:row>
    <x:row r="5734">
      <x:c r="B5734" s="21" t="str">
        <x:v>A05728</x:v>
      </x:c>
      <x:c r="C5734" s="21" t="str">
        <x:v>baseline</x:v>
      </x:c>
      <x:c r="D5734" s="21" t="str">
        <x:v>baseline 844 planning state</x:v>
      </x:c>
      <x:c r="E5734" s="21" t="n">
        <x:f>IF(AND('Baseline Register'!G850="0.0.0",'Baseline Register'!I850="OPEN",'Baseline Register'!J850="HOLD"),1,0)</x:f>
        <x:v>1</x:v>
      </x:c>
      <x:c r="F5734" s="21" t="n">
        <x:v>1</x:v>
      </x:c>
      <x:c r="G5734" s="23" t="str">
        <x:f>IF(E5734=F5734,"PASS","FAIL")</x:f>
        <x:v>PASS</x:v>
      </x:c>
    </x:row>
    <x:row r="5735">
      <x:c r="B5735" s="21" t="str">
        <x:v>A05729</x:v>
      </x:c>
      <x:c r="C5735" s="21" t="str">
        <x:v>baseline</x:v>
      </x:c>
      <x:c r="D5735" s="21" t="str">
        <x:v>baseline 845 planning state</x:v>
      </x:c>
      <x:c r="E5735" s="21" t="n">
        <x:f>IF(AND('Baseline Register'!G851="0.0.0",'Baseline Register'!I851="OPEN",'Baseline Register'!J851="HOLD"),1,0)</x:f>
        <x:v>1</x:v>
      </x:c>
      <x:c r="F5735" s="21" t="n">
        <x:v>1</x:v>
      </x:c>
      <x:c r="G5735" s="23" t="str">
        <x:f>IF(E5735=F5735,"PASS","FAIL")</x:f>
        <x:v>PASS</x:v>
      </x:c>
    </x:row>
    <x:row r="5736">
      <x:c r="B5736" s="21" t="str">
        <x:v>A05730</x:v>
      </x:c>
      <x:c r="C5736" s="21" t="str">
        <x:v>baseline</x:v>
      </x:c>
      <x:c r="D5736" s="21" t="str">
        <x:v>baseline 846 planning state</x:v>
      </x:c>
      <x:c r="E5736" s="21" t="n">
        <x:f>IF(AND('Baseline Register'!G852="0.0.0",'Baseline Register'!I852="OPEN",'Baseline Register'!J852="HOLD"),1,0)</x:f>
        <x:v>1</x:v>
      </x:c>
      <x:c r="F5736" s="21" t="n">
        <x:v>1</x:v>
      </x:c>
      <x:c r="G5736" s="23" t="str">
        <x:f>IF(E5736=F5736,"PASS","FAIL")</x:f>
        <x:v>PASS</x:v>
      </x:c>
    </x:row>
    <x:row r="5737">
      <x:c r="B5737" s="21" t="str">
        <x:v>A05731</x:v>
      </x:c>
      <x:c r="C5737" s="21" t="str">
        <x:v>baseline</x:v>
      </x:c>
      <x:c r="D5737" s="21" t="str">
        <x:v>baseline 847 planning state</x:v>
      </x:c>
      <x:c r="E5737" s="21" t="n">
        <x:f>IF(AND('Baseline Register'!G853="0.0.0",'Baseline Register'!I853="OPEN",'Baseline Register'!J853="HOLD"),1,0)</x:f>
        <x:v>1</x:v>
      </x:c>
      <x:c r="F5737" s="21" t="n">
        <x:v>1</x:v>
      </x:c>
      <x:c r="G5737" s="23" t="str">
        <x:f>IF(E5737=F5737,"PASS","FAIL")</x:f>
        <x:v>PASS</x:v>
      </x:c>
    </x:row>
    <x:row r="5738">
      <x:c r="B5738" s="21" t="str">
        <x:v>A05732</x:v>
      </x:c>
      <x:c r="C5738" s="21" t="str">
        <x:v>baseline</x:v>
      </x:c>
      <x:c r="D5738" s="21" t="str">
        <x:v>baseline 848 planning state</x:v>
      </x:c>
      <x:c r="E5738" s="21" t="n">
        <x:f>IF(AND('Baseline Register'!G854="0.0.0",'Baseline Register'!I854="OPEN",'Baseline Register'!J854="HOLD"),1,0)</x:f>
        <x:v>1</x:v>
      </x:c>
      <x:c r="F5738" s="21" t="n">
        <x:v>1</x:v>
      </x:c>
      <x:c r="G5738" s="23" t="str">
        <x:f>IF(E5738=F5738,"PASS","FAIL")</x:f>
        <x:v>PASS</x:v>
      </x:c>
    </x:row>
    <x:row r="5739">
      <x:c r="B5739" s="21" t="str">
        <x:v>A05733</x:v>
      </x:c>
      <x:c r="C5739" s="21" t="str">
        <x:v>baseline</x:v>
      </x:c>
      <x:c r="D5739" s="21" t="str">
        <x:v>baseline 849 planning state</x:v>
      </x:c>
      <x:c r="E5739" s="21" t="n">
        <x:f>IF(AND('Baseline Register'!G855="0.0.0",'Baseline Register'!I855="OPEN",'Baseline Register'!J855="HOLD"),1,0)</x:f>
        <x:v>1</x:v>
      </x:c>
      <x:c r="F5739" s="21" t="n">
        <x:v>1</x:v>
      </x:c>
      <x:c r="G5739" s="23" t="str">
        <x:f>IF(E5739=F5739,"PASS","FAIL")</x:f>
        <x:v>PASS</x:v>
      </x:c>
    </x:row>
    <x:row r="5740">
      <x:c r="B5740" s="21" t="str">
        <x:v>A05734</x:v>
      </x:c>
      <x:c r="C5740" s="21" t="str">
        <x:v>baseline</x:v>
      </x:c>
      <x:c r="D5740" s="21" t="str">
        <x:v>baseline 850 planning state</x:v>
      </x:c>
      <x:c r="E5740" s="21" t="n">
        <x:f>IF(AND('Baseline Register'!G856="0.0.0",'Baseline Register'!I856="OPEN",'Baseline Register'!J856="HOLD"),1,0)</x:f>
        <x:v>1</x:v>
      </x:c>
      <x:c r="F5740" s="21" t="n">
        <x:v>1</x:v>
      </x:c>
      <x:c r="G5740" s="23" t="str">
        <x:f>IF(E5740=F5740,"PASS","FAIL")</x:f>
        <x:v>PASS</x:v>
      </x:c>
    </x:row>
    <x:row r="5741">
      <x:c r="B5741" s="21" t="str">
        <x:v>A05735</x:v>
      </x:c>
      <x:c r="C5741" s="21" t="str">
        <x:v>baseline</x:v>
      </x:c>
      <x:c r="D5741" s="21" t="str">
        <x:v>baseline 851 planning state</x:v>
      </x:c>
      <x:c r="E5741" s="21" t="n">
        <x:f>IF(AND('Baseline Register'!G857="0.0.0",'Baseline Register'!I857="OPEN",'Baseline Register'!J857="HOLD"),1,0)</x:f>
        <x:v>1</x:v>
      </x:c>
      <x:c r="F5741" s="21" t="n">
        <x:v>1</x:v>
      </x:c>
      <x:c r="G5741" s="23" t="str">
        <x:f>IF(E5741=F5741,"PASS","FAIL")</x:f>
        <x:v>PASS</x:v>
      </x:c>
    </x:row>
    <x:row r="5742">
      <x:c r="B5742" s="21" t="str">
        <x:v>A05736</x:v>
      </x:c>
      <x:c r="C5742" s="21" t="str">
        <x:v>baseline</x:v>
      </x:c>
      <x:c r="D5742" s="21" t="str">
        <x:v>baseline 852 planning state</x:v>
      </x:c>
      <x:c r="E5742" s="21" t="n">
        <x:f>IF(AND('Baseline Register'!G858="0.0.0",'Baseline Register'!I858="OPEN",'Baseline Register'!J858="HOLD"),1,0)</x:f>
        <x:v>1</x:v>
      </x:c>
      <x:c r="F5742" s="21" t="n">
        <x:v>1</x:v>
      </x:c>
      <x:c r="G5742" s="23" t="str">
        <x:f>IF(E5742=F5742,"PASS","FAIL")</x:f>
        <x:v>PASS</x:v>
      </x:c>
    </x:row>
    <x:row r="5743">
      <x:c r="B5743" s="21" t="str">
        <x:v>A05737</x:v>
      </x:c>
      <x:c r="C5743" s="21" t="str">
        <x:v>baseline</x:v>
      </x:c>
      <x:c r="D5743" s="21" t="str">
        <x:v>baseline 853 planning state</x:v>
      </x:c>
      <x:c r="E5743" s="21" t="n">
        <x:f>IF(AND('Baseline Register'!G859="0.0.0",'Baseline Register'!I859="OPEN",'Baseline Register'!J859="HOLD"),1,0)</x:f>
        <x:v>1</x:v>
      </x:c>
      <x:c r="F5743" s="21" t="n">
        <x:v>1</x:v>
      </x:c>
      <x:c r="G5743" s="23" t="str">
        <x:f>IF(E5743=F5743,"PASS","FAIL")</x:f>
        <x:v>PASS</x:v>
      </x:c>
    </x:row>
    <x:row r="5744">
      <x:c r="B5744" s="21" t="str">
        <x:v>A05738</x:v>
      </x:c>
      <x:c r="C5744" s="21" t="str">
        <x:v>baseline</x:v>
      </x:c>
      <x:c r="D5744" s="21" t="str">
        <x:v>baseline 854 planning state</x:v>
      </x:c>
      <x:c r="E5744" s="21" t="n">
        <x:f>IF(AND('Baseline Register'!G860="0.0.0",'Baseline Register'!I860="OPEN",'Baseline Register'!J860="HOLD"),1,0)</x:f>
        <x:v>1</x:v>
      </x:c>
      <x:c r="F5744" s="21" t="n">
        <x:v>1</x:v>
      </x:c>
      <x:c r="G5744" s="23" t="str">
        <x:f>IF(E5744=F5744,"PASS","FAIL")</x:f>
        <x:v>PASS</x:v>
      </x:c>
    </x:row>
    <x:row r="5745">
      <x:c r="B5745" s="21" t="str">
        <x:v>A05739</x:v>
      </x:c>
      <x:c r="C5745" s="21" t="str">
        <x:v>baseline</x:v>
      </x:c>
      <x:c r="D5745" s="21" t="str">
        <x:v>baseline 855 planning state</x:v>
      </x:c>
      <x:c r="E5745" s="21" t="n">
        <x:f>IF(AND('Baseline Register'!G861="0.0.0",'Baseline Register'!I861="OPEN",'Baseline Register'!J861="HOLD"),1,0)</x:f>
        <x:v>1</x:v>
      </x:c>
      <x:c r="F5745" s="21" t="n">
        <x:v>1</x:v>
      </x:c>
      <x:c r="G5745" s="23" t="str">
        <x:f>IF(E5745=F5745,"PASS","FAIL")</x:f>
        <x:v>PASS</x:v>
      </x:c>
    </x:row>
    <x:row r="5746">
      <x:c r="B5746" s="21" t="str">
        <x:v>A05740</x:v>
      </x:c>
      <x:c r="C5746" s="21" t="str">
        <x:v>baseline</x:v>
      </x:c>
      <x:c r="D5746" s="21" t="str">
        <x:v>baseline 856 planning state</x:v>
      </x:c>
      <x:c r="E5746" s="21" t="n">
        <x:f>IF(AND('Baseline Register'!G862="0.0.0",'Baseline Register'!I862="OPEN",'Baseline Register'!J862="HOLD"),1,0)</x:f>
        <x:v>1</x:v>
      </x:c>
      <x:c r="F5746" s="21" t="n">
        <x:v>1</x:v>
      </x:c>
      <x:c r="G5746" s="23" t="str">
        <x:f>IF(E5746=F5746,"PASS","FAIL")</x:f>
        <x:v>PASS</x:v>
      </x:c>
    </x:row>
    <x:row r="5747">
      <x:c r="B5747" s="21" t="str">
        <x:v>A05741</x:v>
      </x:c>
      <x:c r="C5747" s="21" t="str">
        <x:v>baseline</x:v>
      </x:c>
      <x:c r="D5747" s="21" t="str">
        <x:v>baseline 857 planning state</x:v>
      </x:c>
      <x:c r="E5747" s="21" t="n">
        <x:f>IF(AND('Baseline Register'!G863="0.0.0",'Baseline Register'!I863="OPEN",'Baseline Register'!J863="HOLD"),1,0)</x:f>
        <x:v>1</x:v>
      </x:c>
      <x:c r="F5747" s="21" t="n">
        <x:v>1</x:v>
      </x:c>
      <x:c r="G5747" s="23" t="str">
        <x:f>IF(E5747=F5747,"PASS","FAIL")</x:f>
        <x:v>PASS</x:v>
      </x:c>
    </x:row>
    <x:row r="5748">
      <x:c r="B5748" s="21" t="str">
        <x:v>A05742</x:v>
      </x:c>
      <x:c r="C5748" s="21" t="str">
        <x:v>baseline</x:v>
      </x:c>
      <x:c r="D5748" s="21" t="str">
        <x:v>baseline 858 planning state</x:v>
      </x:c>
      <x:c r="E5748" s="21" t="n">
        <x:f>IF(AND('Baseline Register'!G864="0.0.0",'Baseline Register'!I864="OPEN",'Baseline Register'!J864="HOLD"),1,0)</x:f>
        <x:v>1</x:v>
      </x:c>
      <x:c r="F5748" s="21" t="n">
        <x:v>1</x:v>
      </x:c>
      <x:c r="G5748" s="23" t="str">
        <x:f>IF(E5748=F5748,"PASS","FAIL")</x:f>
        <x:v>PASS</x:v>
      </x:c>
    </x:row>
    <x:row r="5749">
      <x:c r="B5749" s="21" t="str">
        <x:v>A05743</x:v>
      </x:c>
      <x:c r="C5749" s="21" t="str">
        <x:v>baseline</x:v>
      </x:c>
      <x:c r="D5749" s="21" t="str">
        <x:v>baseline 859 planning state</x:v>
      </x:c>
      <x:c r="E5749" s="21" t="n">
        <x:f>IF(AND('Baseline Register'!G865="0.0.0",'Baseline Register'!I865="OPEN",'Baseline Register'!J865="HOLD"),1,0)</x:f>
        <x:v>1</x:v>
      </x:c>
      <x:c r="F5749" s="21" t="n">
        <x:v>1</x:v>
      </x:c>
      <x:c r="G5749" s="23" t="str">
        <x:f>IF(E5749=F5749,"PASS","FAIL")</x:f>
        <x:v>PASS</x:v>
      </x:c>
    </x:row>
    <x:row r="5750">
      <x:c r="B5750" s="21" t="str">
        <x:v>A05744</x:v>
      </x:c>
      <x:c r="C5750" s="21" t="str">
        <x:v>baseline</x:v>
      </x:c>
      <x:c r="D5750" s="21" t="str">
        <x:v>baseline 860 planning state</x:v>
      </x:c>
      <x:c r="E5750" s="21" t="n">
        <x:f>IF(AND('Baseline Register'!G866="0.0.0",'Baseline Register'!I866="OPEN",'Baseline Register'!J866="HOLD"),1,0)</x:f>
        <x:v>1</x:v>
      </x:c>
      <x:c r="F5750" s="21" t="n">
        <x:v>1</x:v>
      </x:c>
      <x:c r="G5750" s="23" t="str">
        <x:f>IF(E5750=F5750,"PASS","FAIL")</x:f>
        <x:v>PASS</x:v>
      </x:c>
    </x:row>
    <x:row r="5751">
      <x:c r="B5751" s="21" t="str">
        <x:v>A05745</x:v>
      </x:c>
      <x:c r="C5751" s="21" t="str">
        <x:v>baseline</x:v>
      </x:c>
      <x:c r="D5751" s="21" t="str">
        <x:v>baseline 861 planning state</x:v>
      </x:c>
      <x:c r="E5751" s="21" t="n">
        <x:f>IF(AND('Baseline Register'!G867="0.0.0",'Baseline Register'!I867="OPEN",'Baseline Register'!J867="HOLD"),1,0)</x:f>
        <x:v>1</x:v>
      </x:c>
      <x:c r="F5751" s="21" t="n">
        <x:v>1</x:v>
      </x:c>
      <x:c r="G5751" s="23" t="str">
        <x:f>IF(E5751=F5751,"PASS","FAIL")</x:f>
        <x:v>PASS</x:v>
      </x:c>
    </x:row>
    <x:row r="5752">
      <x:c r="B5752" s="21" t="str">
        <x:v>A05746</x:v>
      </x:c>
      <x:c r="C5752" s="21" t="str">
        <x:v>baseline</x:v>
      </x:c>
      <x:c r="D5752" s="21" t="str">
        <x:v>baseline 862 planning state</x:v>
      </x:c>
      <x:c r="E5752" s="21" t="n">
        <x:f>IF(AND('Baseline Register'!G868="0.0.0",'Baseline Register'!I868="OPEN",'Baseline Register'!J868="HOLD"),1,0)</x:f>
        <x:v>1</x:v>
      </x:c>
      <x:c r="F5752" s="21" t="n">
        <x:v>1</x:v>
      </x:c>
      <x:c r="G5752" s="23" t="str">
        <x:f>IF(E5752=F5752,"PASS","FAIL")</x:f>
        <x:v>PASS</x:v>
      </x:c>
    </x:row>
    <x:row r="5753">
      <x:c r="B5753" s="21" t="str">
        <x:v>A05747</x:v>
      </x:c>
      <x:c r="C5753" s="21" t="str">
        <x:v>baseline</x:v>
      </x:c>
      <x:c r="D5753" s="21" t="str">
        <x:v>baseline 863 planning state</x:v>
      </x:c>
      <x:c r="E5753" s="21" t="n">
        <x:f>IF(AND('Baseline Register'!G869="0.0.0",'Baseline Register'!I869="OPEN",'Baseline Register'!J869="HOLD"),1,0)</x:f>
        <x:v>1</x:v>
      </x:c>
      <x:c r="F5753" s="21" t="n">
        <x:v>1</x:v>
      </x:c>
      <x:c r="G5753" s="23" t="str">
        <x:f>IF(E5753=F5753,"PASS","FAIL")</x:f>
        <x:v>PASS</x:v>
      </x:c>
    </x:row>
    <x:row r="5754">
      <x:c r="B5754" s="21" t="str">
        <x:v>A05748</x:v>
      </x:c>
      <x:c r="C5754" s="21" t="str">
        <x:v>baseline</x:v>
      </x:c>
      <x:c r="D5754" s="21" t="str">
        <x:v>baseline 864 planning state</x:v>
      </x:c>
      <x:c r="E5754" s="21" t="n">
        <x:f>IF(AND('Baseline Register'!G870="0.0.0",'Baseline Register'!I870="OPEN",'Baseline Register'!J870="HOLD"),1,0)</x:f>
        <x:v>1</x:v>
      </x:c>
      <x:c r="F5754" s="21" t="n">
        <x:v>1</x:v>
      </x:c>
      <x:c r="G5754" s="23" t="str">
        <x:f>IF(E5754=F5754,"PASS","FAIL")</x:f>
        <x:v>PASS</x:v>
      </x:c>
    </x:row>
    <x:row r="5755">
      <x:c r="B5755" s="21" t="str">
        <x:v>A05749</x:v>
      </x:c>
      <x:c r="C5755" s="21" t="str">
        <x:v>baseline</x:v>
      </x:c>
      <x:c r="D5755" s="21" t="str">
        <x:v>baseline 865 planning state</x:v>
      </x:c>
      <x:c r="E5755" s="21" t="n">
        <x:f>IF(AND('Baseline Register'!G871="0.0.0",'Baseline Register'!I871="OPEN",'Baseline Register'!J871="HOLD"),1,0)</x:f>
        <x:v>1</x:v>
      </x:c>
      <x:c r="F5755" s="21" t="n">
        <x:v>1</x:v>
      </x:c>
      <x:c r="G5755" s="23" t="str">
        <x:f>IF(E5755=F5755,"PASS","FAIL")</x:f>
        <x:v>PASS</x:v>
      </x:c>
    </x:row>
    <x:row r="5756">
      <x:c r="B5756" s="21" t="str">
        <x:v>A05750</x:v>
      </x:c>
      <x:c r="C5756" s="21" t="str">
        <x:v>baseline</x:v>
      </x:c>
      <x:c r="D5756" s="21" t="str">
        <x:v>baseline 866 planning state</x:v>
      </x:c>
      <x:c r="E5756" s="21" t="n">
        <x:f>IF(AND('Baseline Register'!G872="0.0.0",'Baseline Register'!I872="OPEN",'Baseline Register'!J872="HOLD"),1,0)</x:f>
        <x:v>1</x:v>
      </x:c>
      <x:c r="F5756" s="21" t="n">
        <x:v>1</x:v>
      </x:c>
      <x:c r="G5756" s="23" t="str">
        <x:f>IF(E5756=F5756,"PASS","FAIL")</x:f>
        <x:v>PASS</x:v>
      </x:c>
    </x:row>
    <x:row r="5757">
      <x:c r="B5757" s="21" t="str">
        <x:v>A05751</x:v>
      </x:c>
      <x:c r="C5757" s="21" t="str">
        <x:v>baseline</x:v>
      </x:c>
      <x:c r="D5757" s="21" t="str">
        <x:v>baseline 867 planning state</x:v>
      </x:c>
      <x:c r="E5757" s="21" t="n">
        <x:f>IF(AND('Baseline Register'!G873="0.0.0",'Baseline Register'!I873="OPEN",'Baseline Register'!J873="HOLD"),1,0)</x:f>
        <x:v>1</x:v>
      </x:c>
      <x:c r="F5757" s="21" t="n">
        <x:v>1</x:v>
      </x:c>
      <x:c r="G5757" s="23" t="str">
        <x:f>IF(E5757=F5757,"PASS","FAIL")</x:f>
        <x:v>PASS</x:v>
      </x:c>
    </x:row>
    <x:row r="5758">
      <x:c r="B5758" s="21" t="str">
        <x:v>A05752</x:v>
      </x:c>
      <x:c r="C5758" s="21" t="str">
        <x:v>baseline</x:v>
      </x:c>
      <x:c r="D5758" s="21" t="str">
        <x:v>baseline 868 planning state</x:v>
      </x:c>
      <x:c r="E5758" s="21" t="n">
        <x:f>IF(AND('Baseline Register'!G874="0.0.0",'Baseline Register'!I874="OPEN",'Baseline Register'!J874="HOLD"),1,0)</x:f>
        <x:v>1</x:v>
      </x:c>
      <x:c r="F5758" s="21" t="n">
        <x:v>1</x:v>
      </x:c>
      <x:c r="G5758" s="23" t="str">
        <x:f>IF(E5758=F5758,"PASS","FAIL")</x:f>
        <x:v>PASS</x:v>
      </x:c>
    </x:row>
    <x:row r="5759">
      <x:c r="B5759" s="21" t="str">
        <x:v>A05753</x:v>
      </x:c>
      <x:c r="C5759" s="21" t="str">
        <x:v>baseline</x:v>
      </x:c>
      <x:c r="D5759" s="21" t="str">
        <x:v>baseline 869 planning state</x:v>
      </x:c>
      <x:c r="E5759" s="21" t="n">
        <x:f>IF(AND('Baseline Register'!G875="0.0.0",'Baseline Register'!I875="OPEN",'Baseline Register'!J875="HOLD"),1,0)</x:f>
        <x:v>1</x:v>
      </x:c>
      <x:c r="F5759" s="21" t="n">
        <x:v>1</x:v>
      </x:c>
      <x:c r="G5759" s="23" t="str">
        <x:f>IF(E5759=F5759,"PASS","FAIL")</x:f>
        <x:v>PASS</x:v>
      </x:c>
    </x:row>
    <x:row r="5760">
      <x:c r="B5760" s="21" t="str">
        <x:v>A05754</x:v>
      </x:c>
      <x:c r="C5760" s="21" t="str">
        <x:v>baseline</x:v>
      </x:c>
      <x:c r="D5760" s="21" t="str">
        <x:v>baseline 870 planning state</x:v>
      </x:c>
      <x:c r="E5760" s="21" t="n">
        <x:f>IF(AND('Baseline Register'!G876="0.0.0",'Baseline Register'!I876="OPEN",'Baseline Register'!J876="HOLD"),1,0)</x:f>
        <x:v>1</x:v>
      </x:c>
      <x:c r="F5760" s="21" t="n">
        <x:v>1</x:v>
      </x:c>
      <x:c r="G5760" s="23" t="str">
        <x:f>IF(E5760=F5760,"PASS","FAIL")</x:f>
        <x:v>PASS</x:v>
      </x:c>
    </x:row>
    <x:row r="5761">
      <x:c r="B5761" s="21" t="str">
        <x:v>A05755</x:v>
      </x:c>
      <x:c r="C5761" s="21" t="str">
        <x:v>baseline</x:v>
      </x:c>
      <x:c r="D5761" s="21" t="str">
        <x:v>baseline 871 planning state</x:v>
      </x:c>
      <x:c r="E5761" s="21" t="n">
        <x:f>IF(AND('Baseline Register'!G877="0.0.0",'Baseline Register'!I877="OPEN",'Baseline Register'!J877="HOLD"),1,0)</x:f>
        <x:v>1</x:v>
      </x:c>
      <x:c r="F5761" s="21" t="n">
        <x:v>1</x:v>
      </x:c>
      <x:c r="G5761" s="23" t="str">
        <x:f>IF(E5761=F5761,"PASS","FAIL")</x:f>
        <x:v>PASS</x:v>
      </x:c>
    </x:row>
    <x:row r="5762">
      <x:c r="B5762" s="21" t="str">
        <x:v>A05756</x:v>
      </x:c>
      <x:c r="C5762" s="21" t="str">
        <x:v>baseline</x:v>
      </x:c>
      <x:c r="D5762" s="21" t="str">
        <x:v>baseline 872 planning state</x:v>
      </x:c>
      <x:c r="E5762" s="21" t="n">
        <x:f>IF(AND('Baseline Register'!G878="0.0.0",'Baseline Register'!I878="OPEN",'Baseline Register'!J878="HOLD"),1,0)</x:f>
        <x:v>1</x:v>
      </x:c>
      <x:c r="F5762" s="21" t="n">
        <x:v>1</x:v>
      </x:c>
      <x:c r="G5762" s="23" t="str">
        <x:f>IF(E5762=F5762,"PASS","FAIL")</x:f>
        <x:v>PASS</x:v>
      </x:c>
    </x:row>
    <x:row r="5763">
      <x:c r="B5763" s="21" t="str">
        <x:v>A05757</x:v>
      </x:c>
      <x:c r="C5763" s="21" t="str">
        <x:v>baseline</x:v>
      </x:c>
      <x:c r="D5763" s="21" t="str">
        <x:v>baseline 873 planning state</x:v>
      </x:c>
      <x:c r="E5763" s="21" t="n">
        <x:f>IF(AND('Baseline Register'!G879="0.0.0",'Baseline Register'!I879="OPEN",'Baseline Register'!J879="HOLD"),1,0)</x:f>
        <x:v>1</x:v>
      </x:c>
      <x:c r="F5763" s="21" t="n">
        <x:v>1</x:v>
      </x:c>
      <x:c r="G5763" s="23" t="str">
        <x:f>IF(E5763=F5763,"PASS","FAIL")</x:f>
        <x:v>PASS</x:v>
      </x:c>
    </x:row>
    <x:row r="5764">
      <x:c r="B5764" s="21" t="str">
        <x:v>A05758</x:v>
      </x:c>
      <x:c r="C5764" s="21" t="str">
        <x:v>baseline</x:v>
      </x:c>
      <x:c r="D5764" s="21" t="str">
        <x:v>baseline 874 planning state</x:v>
      </x:c>
      <x:c r="E5764" s="21" t="n">
        <x:f>IF(AND('Baseline Register'!G880="0.0.0",'Baseline Register'!I880="OPEN",'Baseline Register'!J880="HOLD"),1,0)</x:f>
        <x:v>1</x:v>
      </x:c>
      <x:c r="F5764" s="21" t="n">
        <x:v>1</x:v>
      </x:c>
      <x:c r="G5764" s="23" t="str">
        <x:f>IF(E5764=F5764,"PASS","FAIL")</x:f>
        <x:v>PASS</x:v>
      </x:c>
    </x:row>
    <x:row r="5765">
      <x:c r="B5765" s="21" t="str">
        <x:v>A05759</x:v>
      </x:c>
      <x:c r="C5765" s="21" t="str">
        <x:v>baseline</x:v>
      </x:c>
      <x:c r="D5765" s="21" t="str">
        <x:v>baseline 875 planning state</x:v>
      </x:c>
      <x:c r="E5765" s="21" t="n">
        <x:f>IF(AND('Baseline Register'!G881="0.0.0",'Baseline Register'!I881="OPEN",'Baseline Register'!J881="HOLD"),1,0)</x:f>
        <x:v>1</x:v>
      </x:c>
      <x:c r="F5765" s="21" t="n">
        <x:v>1</x:v>
      </x:c>
      <x:c r="G5765" s="23" t="str">
        <x:f>IF(E5765=F5765,"PASS","FAIL")</x:f>
        <x:v>PASS</x:v>
      </x:c>
    </x:row>
    <x:row r="5766">
      <x:c r="B5766" s="21" t="str">
        <x:v>A05760</x:v>
      </x:c>
      <x:c r="C5766" s="21" t="str">
        <x:v>baseline</x:v>
      </x:c>
      <x:c r="D5766" s="21" t="str">
        <x:v>baseline 876 planning state</x:v>
      </x:c>
      <x:c r="E5766" s="21" t="n">
        <x:f>IF(AND('Baseline Register'!G882="0.0.0",'Baseline Register'!I882="OPEN",'Baseline Register'!J882="HOLD"),1,0)</x:f>
        <x:v>1</x:v>
      </x:c>
      <x:c r="F5766" s="21" t="n">
        <x:v>1</x:v>
      </x:c>
      <x:c r="G5766" s="23" t="str">
        <x:f>IF(E5766=F5766,"PASS","FAIL")</x:f>
        <x:v>PASS</x:v>
      </x:c>
    </x:row>
    <x:row r="5767">
      <x:c r="B5767" s="21" t="str">
        <x:v>A05761</x:v>
      </x:c>
      <x:c r="C5767" s="21" t="str">
        <x:v>baseline</x:v>
      </x:c>
      <x:c r="D5767" s="21" t="str">
        <x:v>baseline 877 planning state</x:v>
      </x:c>
      <x:c r="E5767" s="21" t="n">
        <x:f>IF(AND('Baseline Register'!G883="0.0.0",'Baseline Register'!I883="OPEN",'Baseline Register'!J883="HOLD"),1,0)</x:f>
        <x:v>1</x:v>
      </x:c>
      <x:c r="F5767" s="21" t="n">
        <x:v>1</x:v>
      </x:c>
      <x:c r="G5767" s="23" t="str">
        <x:f>IF(E5767=F5767,"PASS","FAIL")</x:f>
        <x:v>PASS</x:v>
      </x:c>
    </x:row>
    <x:row r="5768">
      <x:c r="B5768" s="21" t="str">
        <x:v>A05762</x:v>
      </x:c>
      <x:c r="C5768" s="21" t="str">
        <x:v>baseline</x:v>
      </x:c>
      <x:c r="D5768" s="21" t="str">
        <x:v>baseline 878 planning state</x:v>
      </x:c>
      <x:c r="E5768" s="21" t="n">
        <x:f>IF(AND('Baseline Register'!G884="0.0.0",'Baseline Register'!I884="OPEN",'Baseline Register'!J884="HOLD"),1,0)</x:f>
        <x:v>1</x:v>
      </x:c>
      <x:c r="F5768" s="21" t="n">
        <x:v>1</x:v>
      </x:c>
      <x:c r="G5768" s="23" t="str">
        <x:f>IF(E5768=F5768,"PASS","FAIL")</x:f>
        <x:v>PASS</x:v>
      </x:c>
    </x:row>
    <x:row r="5769">
      <x:c r="B5769" s="21" t="str">
        <x:v>A05763</x:v>
      </x:c>
      <x:c r="C5769" s="21" t="str">
        <x:v>baseline</x:v>
      </x:c>
      <x:c r="D5769" s="21" t="str">
        <x:v>baseline 879 planning state</x:v>
      </x:c>
      <x:c r="E5769" s="21" t="n">
        <x:f>IF(AND('Baseline Register'!G885="0.0.0",'Baseline Register'!I885="OPEN",'Baseline Register'!J885="HOLD"),1,0)</x:f>
        <x:v>1</x:v>
      </x:c>
      <x:c r="F5769" s="21" t="n">
        <x:v>1</x:v>
      </x:c>
      <x:c r="G5769" s="23" t="str">
        <x:f>IF(E5769=F5769,"PASS","FAIL")</x:f>
        <x:v>PASS</x:v>
      </x:c>
    </x:row>
    <x:row r="5770">
      <x:c r="B5770" s="21" t="str">
        <x:v>A05764</x:v>
      </x:c>
      <x:c r="C5770" s="21" t="str">
        <x:v>baseline</x:v>
      </x:c>
      <x:c r="D5770" s="21" t="str">
        <x:v>baseline 880 planning state</x:v>
      </x:c>
      <x:c r="E5770" s="21" t="n">
        <x:f>IF(AND('Baseline Register'!G886="0.0.0",'Baseline Register'!I886="OPEN",'Baseline Register'!J886="HOLD"),1,0)</x:f>
        <x:v>1</x:v>
      </x:c>
      <x:c r="F5770" s="21" t="n">
        <x:v>1</x:v>
      </x:c>
      <x:c r="G5770" s="23" t="str">
        <x:f>IF(E5770=F5770,"PASS","FAIL")</x:f>
        <x:v>PASS</x:v>
      </x:c>
    </x:row>
    <x:row r="5771">
      <x:c r="B5771" s="21" t="str">
        <x:v>A05765</x:v>
      </x:c>
      <x:c r="C5771" s="21" t="str">
        <x:v>baseline</x:v>
      </x:c>
      <x:c r="D5771" s="21" t="str">
        <x:v>baseline 881 planning state</x:v>
      </x:c>
      <x:c r="E5771" s="21" t="n">
        <x:f>IF(AND('Baseline Register'!G887="0.0.0",'Baseline Register'!I887="OPEN",'Baseline Register'!J887="HOLD"),1,0)</x:f>
        <x:v>1</x:v>
      </x:c>
      <x:c r="F5771" s="21" t="n">
        <x:v>1</x:v>
      </x:c>
      <x:c r="G5771" s="23" t="str">
        <x:f>IF(E5771=F5771,"PASS","FAIL")</x:f>
        <x:v>PASS</x:v>
      </x:c>
    </x:row>
    <x:row r="5772">
      <x:c r="B5772" s="21" t="str">
        <x:v>A05766</x:v>
      </x:c>
      <x:c r="C5772" s="21" t="str">
        <x:v>baseline</x:v>
      </x:c>
      <x:c r="D5772" s="21" t="str">
        <x:v>baseline 882 planning state</x:v>
      </x:c>
      <x:c r="E5772" s="21" t="n">
        <x:f>IF(AND('Baseline Register'!G888="0.0.0",'Baseline Register'!I888="OPEN",'Baseline Register'!J888="HOLD"),1,0)</x:f>
        <x:v>1</x:v>
      </x:c>
      <x:c r="F5772" s="21" t="n">
        <x:v>1</x:v>
      </x:c>
      <x:c r="G5772" s="23" t="str">
        <x:f>IF(E5772=F5772,"PASS","FAIL")</x:f>
        <x:v>PASS</x:v>
      </x:c>
    </x:row>
    <x:row r="5773">
      <x:c r="B5773" s="21" t="str">
        <x:v>A05767</x:v>
      </x:c>
      <x:c r="C5773" s="21" t="str">
        <x:v>baseline</x:v>
      </x:c>
      <x:c r="D5773" s="21" t="str">
        <x:v>baseline 883 planning state</x:v>
      </x:c>
      <x:c r="E5773" s="21" t="n">
        <x:f>IF(AND('Baseline Register'!G889="0.0.0",'Baseline Register'!I889="OPEN",'Baseline Register'!J889="HOLD"),1,0)</x:f>
        <x:v>1</x:v>
      </x:c>
      <x:c r="F5773" s="21" t="n">
        <x:v>1</x:v>
      </x:c>
      <x:c r="G5773" s="23" t="str">
        <x:f>IF(E5773=F5773,"PASS","FAIL")</x:f>
        <x:v>PASS</x:v>
      </x:c>
    </x:row>
    <x:row r="5774">
      <x:c r="B5774" s="21" t="str">
        <x:v>A05768</x:v>
      </x:c>
      <x:c r="C5774" s="21" t="str">
        <x:v>baseline</x:v>
      </x:c>
      <x:c r="D5774" s="21" t="str">
        <x:v>baseline 884 planning state</x:v>
      </x:c>
      <x:c r="E5774" s="21" t="n">
        <x:f>IF(AND('Baseline Register'!G890="0.0.0",'Baseline Register'!I890="OPEN",'Baseline Register'!J890="HOLD"),1,0)</x:f>
        <x:v>1</x:v>
      </x:c>
      <x:c r="F5774" s="21" t="n">
        <x:v>1</x:v>
      </x:c>
      <x:c r="G5774" s="23" t="str">
        <x:f>IF(E5774=F5774,"PASS","FAIL")</x:f>
        <x:v>PASS</x:v>
      </x:c>
    </x:row>
    <x:row r="5775">
      <x:c r="B5775" s="21" t="str">
        <x:v>A05769</x:v>
      </x:c>
      <x:c r="C5775" s="21" t="str">
        <x:v>baseline</x:v>
      </x:c>
      <x:c r="D5775" s="21" t="str">
        <x:v>baseline 885 planning state</x:v>
      </x:c>
      <x:c r="E5775" s="21" t="n">
        <x:f>IF(AND('Baseline Register'!G891="0.0.0",'Baseline Register'!I891="OPEN",'Baseline Register'!J891="HOLD"),1,0)</x:f>
        <x:v>1</x:v>
      </x:c>
      <x:c r="F5775" s="21" t="n">
        <x:v>1</x:v>
      </x:c>
      <x:c r="G5775" s="23" t="str">
        <x:f>IF(E5775=F5775,"PASS","FAIL")</x:f>
        <x:v>PASS</x:v>
      </x:c>
    </x:row>
    <x:row r="5776">
      <x:c r="B5776" s="21" t="str">
        <x:v>A05770</x:v>
      </x:c>
      <x:c r="C5776" s="21" t="str">
        <x:v>baseline</x:v>
      </x:c>
      <x:c r="D5776" s="21" t="str">
        <x:v>baseline 886 planning state</x:v>
      </x:c>
      <x:c r="E5776" s="21" t="n">
        <x:f>IF(AND('Baseline Register'!G892="0.0.0",'Baseline Register'!I892="OPEN",'Baseline Register'!J892="HOLD"),1,0)</x:f>
        <x:v>1</x:v>
      </x:c>
      <x:c r="F5776" s="21" t="n">
        <x:v>1</x:v>
      </x:c>
      <x:c r="G5776" s="23" t="str">
        <x:f>IF(E5776=F5776,"PASS","FAIL")</x:f>
        <x:v>PASS</x:v>
      </x:c>
    </x:row>
    <x:row r="5777">
      <x:c r="B5777" s="21" t="str">
        <x:v>A05771</x:v>
      </x:c>
      <x:c r="C5777" s="21" t="str">
        <x:v>baseline</x:v>
      </x:c>
      <x:c r="D5777" s="21" t="str">
        <x:v>baseline 887 planning state</x:v>
      </x:c>
      <x:c r="E5777" s="21" t="n">
        <x:f>IF(AND('Baseline Register'!G893="0.0.0",'Baseline Register'!I893="OPEN",'Baseline Register'!J893="HOLD"),1,0)</x:f>
        <x:v>1</x:v>
      </x:c>
      <x:c r="F5777" s="21" t="n">
        <x:v>1</x:v>
      </x:c>
      <x:c r="G5777" s="23" t="str">
        <x:f>IF(E5777=F5777,"PASS","FAIL")</x:f>
        <x:v>PASS</x:v>
      </x:c>
    </x:row>
    <x:row r="5778">
      <x:c r="B5778" s="21" t="str">
        <x:v>A05772</x:v>
      </x:c>
      <x:c r="C5778" s="21" t="str">
        <x:v>baseline</x:v>
      </x:c>
      <x:c r="D5778" s="21" t="str">
        <x:v>baseline 888 planning state</x:v>
      </x:c>
      <x:c r="E5778" s="21" t="n">
        <x:f>IF(AND('Baseline Register'!G894="0.0.0",'Baseline Register'!I894="OPEN",'Baseline Register'!J894="HOLD"),1,0)</x:f>
        <x:v>1</x:v>
      </x:c>
      <x:c r="F5778" s="21" t="n">
        <x:v>1</x:v>
      </x:c>
      <x:c r="G5778" s="23" t="str">
        <x:f>IF(E5778=F5778,"PASS","FAIL")</x:f>
        <x:v>PASS</x:v>
      </x:c>
    </x:row>
    <x:row r="5779">
      <x:c r="B5779" s="21" t="str">
        <x:v>A05773</x:v>
      </x:c>
      <x:c r="C5779" s="21" t="str">
        <x:v>baseline</x:v>
      </x:c>
      <x:c r="D5779" s="21" t="str">
        <x:v>baseline 889 planning state</x:v>
      </x:c>
      <x:c r="E5779" s="21" t="n">
        <x:f>IF(AND('Baseline Register'!G895="0.0.0",'Baseline Register'!I895="OPEN",'Baseline Register'!J895="HOLD"),1,0)</x:f>
        <x:v>1</x:v>
      </x:c>
      <x:c r="F5779" s="21" t="n">
        <x:v>1</x:v>
      </x:c>
      <x:c r="G5779" s="23" t="str">
        <x:f>IF(E5779=F5779,"PASS","FAIL")</x:f>
        <x:v>PASS</x:v>
      </x:c>
    </x:row>
    <x:row r="5780">
      <x:c r="B5780" s="21" t="str">
        <x:v>A05774</x:v>
      </x:c>
      <x:c r="C5780" s="21" t="str">
        <x:v>baseline</x:v>
      </x:c>
      <x:c r="D5780" s="21" t="str">
        <x:v>baseline 890 planning state</x:v>
      </x:c>
      <x:c r="E5780" s="21" t="n">
        <x:f>IF(AND('Baseline Register'!G896="0.0.0",'Baseline Register'!I896="OPEN",'Baseline Register'!J896="HOLD"),1,0)</x:f>
        <x:v>1</x:v>
      </x:c>
      <x:c r="F5780" s="21" t="n">
        <x:v>1</x:v>
      </x:c>
      <x:c r="G5780" s="23" t="str">
        <x:f>IF(E5780=F5780,"PASS","FAIL")</x:f>
        <x:v>PASS</x:v>
      </x:c>
    </x:row>
    <x:row r="5781">
      <x:c r="B5781" s="21" t="str">
        <x:v>A05775</x:v>
      </x:c>
      <x:c r="C5781" s="21" t="str">
        <x:v>baseline</x:v>
      </x:c>
      <x:c r="D5781" s="21" t="str">
        <x:v>baseline 891 planning state</x:v>
      </x:c>
      <x:c r="E5781" s="21" t="n">
        <x:f>IF(AND('Baseline Register'!G897="0.0.0",'Baseline Register'!I897="OPEN",'Baseline Register'!J897="HOLD"),1,0)</x:f>
        <x:v>1</x:v>
      </x:c>
      <x:c r="F5781" s="21" t="n">
        <x:v>1</x:v>
      </x:c>
      <x:c r="G5781" s="23" t="str">
        <x:f>IF(E5781=F5781,"PASS","FAIL")</x:f>
        <x:v>PASS</x:v>
      </x:c>
    </x:row>
    <x:row r="5782">
      <x:c r="B5782" s="21" t="str">
        <x:v>A05776</x:v>
      </x:c>
      <x:c r="C5782" s="21" t="str">
        <x:v>baseline</x:v>
      </x:c>
      <x:c r="D5782" s="21" t="str">
        <x:v>baseline 892 planning state</x:v>
      </x:c>
      <x:c r="E5782" s="21" t="n">
        <x:f>IF(AND('Baseline Register'!G898="0.0.0",'Baseline Register'!I898="OPEN",'Baseline Register'!J898="HOLD"),1,0)</x:f>
        <x:v>1</x:v>
      </x:c>
      <x:c r="F5782" s="21" t="n">
        <x:v>1</x:v>
      </x:c>
      <x:c r="G5782" s="23" t="str">
        <x:f>IF(E5782=F5782,"PASS","FAIL")</x:f>
        <x:v>PASS</x:v>
      </x:c>
    </x:row>
    <x:row r="5783">
      <x:c r="B5783" s="21" t="str">
        <x:v>A05777</x:v>
      </x:c>
      <x:c r="C5783" s="21" t="str">
        <x:v>baseline</x:v>
      </x:c>
      <x:c r="D5783" s="21" t="str">
        <x:v>baseline 893 planning state</x:v>
      </x:c>
      <x:c r="E5783" s="21" t="n">
        <x:f>IF(AND('Baseline Register'!G899="0.0.0",'Baseline Register'!I899="OPEN",'Baseline Register'!J899="HOLD"),1,0)</x:f>
        <x:v>1</x:v>
      </x:c>
      <x:c r="F5783" s="21" t="n">
        <x:v>1</x:v>
      </x:c>
      <x:c r="G5783" s="23" t="str">
        <x:f>IF(E5783=F5783,"PASS","FAIL")</x:f>
        <x:v>PASS</x:v>
      </x:c>
    </x:row>
    <x:row r="5784">
      <x:c r="B5784" s="21" t="str">
        <x:v>A05778</x:v>
      </x:c>
      <x:c r="C5784" s="21" t="str">
        <x:v>baseline</x:v>
      </x:c>
      <x:c r="D5784" s="21" t="str">
        <x:v>baseline 894 planning state</x:v>
      </x:c>
      <x:c r="E5784" s="21" t="n">
        <x:f>IF(AND('Baseline Register'!G900="0.0.0",'Baseline Register'!I900="OPEN",'Baseline Register'!J900="HOLD"),1,0)</x:f>
        <x:v>1</x:v>
      </x:c>
      <x:c r="F5784" s="21" t="n">
        <x:v>1</x:v>
      </x:c>
      <x:c r="G5784" s="23" t="str">
        <x:f>IF(E5784=F5784,"PASS","FAIL")</x:f>
        <x:v>PASS</x:v>
      </x:c>
    </x:row>
    <x:row r="5785">
      <x:c r="B5785" s="21" t="str">
        <x:v>A05779</x:v>
      </x:c>
      <x:c r="C5785" s="21" t="str">
        <x:v>baseline</x:v>
      </x:c>
      <x:c r="D5785" s="21" t="str">
        <x:v>baseline 895 planning state</x:v>
      </x:c>
      <x:c r="E5785" s="21" t="n">
        <x:f>IF(AND('Baseline Register'!G901="0.0.0",'Baseline Register'!I901="OPEN",'Baseline Register'!J901="HOLD"),1,0)</x:f>
        <x:v>1</x:v>
      </x:c>
      <x:c r="F5785" s="21" t="n">
        <x:v>1</x:v>
      </x:c>
      <x:c r="G5785" s="23" t="str">
        <x:f>IF(E5785=F5785,"PASS","FAIL")</x:f>
        <x:v>PASS</x:v>
      </x:c>
    </x:row>
    <x:row r="5786">
      <x:c r="B5786" s="21" t="str">
        <x:v>A05780</x:v>
      </x:c>
      <x:c r="C5786" s="21" t="str">
        <x:v>baseline</x:v>
      </x:c>
      <x:c r="D5786" s="21" t="str">
        <x:v>baseline 896 planning state</x:v>
      </x:c>
      <x:c r="E5786" s="21" t="n">
        <x:f>IF(AND('Baseline Register'!G902="0.0.0",'Baseline Register'!I902="OPEN",'Baseline Register'!J902="HOLD"),1,0)</x:f>
        <x:v>1</x:v>
      </x:c>
      <x:c r="F5786" s="21" t="n">
        <x:v>1</x:v>
      </x:c>
      <x:c r="G5786" s="23" t="str">
        <x:f>IF(E5786=F5786,"PASS","FAIL")</x:f>
        <x:v>PASS</x:v>
      </x:c>
    </x:row>
    <x:row r="5787">
      <x:c r="B5787" s="21" t="str">
        <x:v>A05781</x:v>
      </x:c>
      <x:c r="C5787" s="21" t="str">
        <x:v>baseline</x:v>
      </x:c>
      <x:c r="D5787" s="21" t="str">
        <x:v>baseline 897 planning state</x:v>
      </x:c>
      <x:c r="E5787" s="21" t="n">
        <x:f>IF(AND('Baseline Register'!G903="0.0.0",'Baseline Register'!I903="OPEN",'Baseline Register'!J903="HOLD"),1,0)</x:f>
        <x:v>1</x:v>
      </x:c>
      <x:c r="F5787" s="21" t="n">
        <x:v>1</x:v>
      </x:c>
      <x:c r="G5787" s="23" t="str">
        <x:f>IF(E5787=F5787,"PASS","FAIL")</x:f>
        <x:v>PASS</x:v>
      </x:c>
    </x:row>
    <x:row r="5788">
      <x:c r="B5788" s="21" t="str">
        <x:v>A05782</x:v>
      </x:c>
      <x:c r="C5788" s="21" t="str">
        <x:v>baseline</x:v>
      </x:c>
      <x:c r="D5788" s="21" t="str">
        <x:v>baseline 898 planning state</x:v>
      </x:c>
      <x:c r="E5788" s="21" t="n">
        <x:f>IF(AND('Baseline Register'!G904="0.0.0",'Baseline Register'!I904="OPEN",'Baseline Register'!J904="HOLD"),1,0)</x:f>
        <x:v>1</x:v>
      </x:c>
      <x:c r="F5788" s="21" t="n">
        <x:v>1</x:v>
      </x:c>
      <x:c r="G5788" s="23" t="str">
        <x:f>IF(E5788=F5788,"PASS","FAIL")</x:f>
        <x:v>PASS</x:v>
      </x:c>
    </x:row>
    <x:row r="5789">
      <x:c r="B5789" s="21" t="str">
        <x:v>A05783</x:v>
      </x:c>
      <x:c r="C5789" s="21" t="str">
        <x:v>baseline</x:v>
      </x:c>
      <x:c r="D5789" s="21" t="str">
        <x:v>baseline 899 planning state</x:v>
      </x:c>
      <x:c r="E5789" s="21" t="n">
        <x:f>IF(AND('Baseline Register'!G905="0.0.0",'Baseline Register'!I905="OPEN",'Baseline Register'!J905="HOLD"),1,0)</x:f>
        <x:v>1</x:v>
      </x:c>
      <x:c r="F5789" s="21" t="n">
        <x:v>1</x:v>
      </x:c>
      <x:c r="G5789" s="23" t="str">
        <x:f>IF(E5789=F5789,"PASS","FAIL")</x:f>
        <x:v>PASS</x:v>
      </x:c>
    </x:row>
    <x:row r="5790">
      <x:c r="B5790" s="21" t="str">
        <x:v>A05784</x:v>
      </x:c>
      <x:c r="C5790" s="21" t="str">
        <x:v>baseline</x:v>
      </x:c>
      <x:c r="D5790" s="21" t="str">
        <x:v>baseline 900 planning state</x:v>
      </x:c>
      <x:c r="E5790" s="21" t="n">
        <x:f>IF(AND('Baseline Register'!G906="0.0.0",'Baseline Register'!I906="OPEN",'Baseline Register'!J906="HOLD"),1,0)</x:f>
        <x:v>1</x:v>
      </x:c>
      <x:c r="F5790" s="21" t="n">
        <x:v>1</x:v>
      </x:c>
      <x:c r="G5790" s="23" t="str">
        <x:f>IF(E5790=F5790,"PASS","FAIL")</x:f>
        <x:v>PASS</x:v>
      </x:c>
    </x:row>
    <x:row r="5791">
      <x:c r="B5791" s="21" t="str">
        <x:v>A05785</x:v>
      </x:c>
      <x:c r="C5791" s="21" t="str">
        <x:v>baseline</x:v>
      </x:c>
      <x:c r="D5791" s="21" t="str">
        <x:v>baseline 901 planning state</x:v>
      </x:c>
      <x:c r="E5791" s="21" t="n">
        <x:f>IF(AND('Baseline Register'!G907="0.0.0",'Baseline Register'!I907="OPEN",'Baseline Register'!J907="HOLD"),1,0)</x:f>
        <x:v>1</x:v>
      </x:c>
      <x:c r="F5791" s="21" t="n">
        <x:v>1</x:v>
      </x:c>
      <x:c r="G5791" s="23" t="str">
        <x:f>IF(E5791=F5791,"PASS","FAIL")</x:f>
        <x:v>PASS</x:v>
      </x:c>
    </x:row>
    <x:row r="5792">
      <x:c r="B5792" s="21" t="str">
        <x:v>A05786</x:v>
      </x:c>
      <x:c r="C5792" s="21" t="str">
        <x:v>baseline</x:v>
      </x:c>
      <x:c r="D5792" s="21" t="str">
        <x:v>baseline 902 planning state</x:v>
      </x:c>
      <x:c r="E5792" s="21" t="n">
        <x:f>IF(AND('Baseline Register'!G908="0.0.0",'Baseline Register'!I908="OPEN",'Baseline Register'!J908="HOLD"),1,0)</x:f>
        <x:v>1</x:v>
      </x:c>
      <x:c r="F5792" s="21" t="n">
        <x:v>1</x:v>
      </x:c>
      <x:c r="G5792" s="23" t="str">
        <x:f>IF(E5792=F5792,"PASS","FAIL")</x:f>
        <x:v>PASS</x:v>
      </x:c>
    </x:row>
    <x:row r="5793">
      <x:c r="B5793" s="21" t="str">
        <x:v>A05787</x:v>
      </x:c>
      <x:c r="C5793" s="21" t="str">
        <x:v>baseline</x:v>
      </x:c>
      <x:c r="D5793" s="21" t="str">
        <x:v>baseline 903 planning state</x:v>
      </x:c>
      <x:c r="E5793" s="21" t="n">
        <x:f>IF(AND('Baseline Register'!G909="0.0.0",'Baseline Register'!I909="OPEN",'Baseline Register'!J909="HOLD"),1,0)</x:f>
        <x:v>1</x:v>
      </x:c>
      <x:c r="F5793" s="21" t="n">
        <x:v>1</x:v>
      </x:c>
      <x:c r="G5793" s="23" t="str">
        <x:f>IF(E5793=F5793,"PASS","FAIL")</x:f>
        <x:v>PASS</x:v>
      </x:c>
    </x:row>
    <x:row r="5794">
      <x:c r="B5794" s="21" t="str">
        <x:v>A05788</x:v>
      </x:c>
      <x:c r="C5794" s="21" t="str">
        <x:v>baseline</x:v>
      </x:c>
      <x:c r="D5794" s="21" t="str">
        <x:v>baseline 904 planning state</x:v>
      </x:c>
      <x:c r="E5794" s="21" t="n">
        <x:f>IF(AND('Baseline Register'!G910="0.0.0",'Baseline Register'!I910="OPEN",'Baseline Register'!J910="HOLD"),1,0)</x:f>
        <x:v>1</x:v>
      </x:c>
      <x:c r="F5794" s="21" t="n">
        <x:v>1</x:v>
      </x:c>
      <x:c r="G5794" s="23" t="str">
        <x:f>IF(E5794=F5794,"PASS","FAIL")</x:f>
        <x:v>PASS</x:v>
      </x:c>
    </x:row>
    <x:row r="5795">
      <x:c r="B5795" s="21" t="str">
        <x:v>A05789</x:v>
      </x:c>
      <x:c r="C5795" s="21" t="str">
        <x:v>baseline</x:v>
      </x:c>
      <x:c r="D5795" s="21" t="str">
        <x:v>baseline 905 planning state</x:v>
      </x:c>
      <x:c r="E5795" s="21" t="n">
        <x:f>IF(AND('Baseline Register'!G911="0.0.0",'Baseline Register'!I911="OPEN",'Baseline Register'!J911="HOLD"),1,0)</x:f>
        <x:v>1</x:v>
      </x:c>
      <x:c r="F5795" s="21" t="n">
        <x:v>1</x:v>
      </x:c>
      <x:c r="G5795" s="23" t="str">
        <x:f>IF(E5795=F5795,"PASS","FAIL")</x:f>
        <x:v>PASS</x:v>
      </x:c>
    </x:row>
    <x:row r="5796">
      <x:c r="B5796" s="21" t="str">
        <x:v>A05790</x:v>
      </x:c>
      <x:c r="C5796" s="21" t="str">
        <x:v>baseline</x:v>
      </x:c>
      <x:c r="D5796" s="21" t="str">
        <x:v>baseline 906 planning state</x:v>
      </x:c>
      <x:c r="E5796" s="21" t="n">
        <x:f>IF(AND('Baseline Register'!G912="0.0.0",'Baseline Register'!I912="OPEN",'Baseline Register'!J912="HOLD"),1,0)</x:f>
        <x:v>1</x:v>
      </x:c>
      <x:c r="F5796" s="21" t="n">
        <x:v>1</x:v>
      </x:c>
      <x:c r="G5796" s="23" t="str">
        <x:f>IF(E5796=F5796,"PASS","FAIL")</x:f>
        <x:v>PASS</x:v>
      </x:c>
    </x:row>
    <x:row r="5797">
      <x:c r="B5797" s="21" t="str">
        <x:v>A05791</x:v>
      </x:c>
      <x:c r="C5797" s="21" t="str">
        <x:v>baseline</x:v>
      </x:c>
      <x:c r="D5797" s="21" t="str">
        <x:v>baseline 907 planning state</x:v>
      </x:c>
      <x:c r="E5797" s="21" t="n">
        <x:f>IF(AND('Baseline Register'!G913="0.0.0",'Baseline Register'!I913="OPEN",'Baseline Register'!J913="HOLD"),1,0)</x:f>
        <x:v>1</x:v>
      </x:c>
      <x:c r="F5797" s="21" t="n">
        <x:v>1</x:v>
      </x:c>
      <x:c r="G5797" s="23" t="str">
        <x:f>IF(E5797=F5797,"PASS","FAIL")</x:f>
        <x:v>PASS</x:v>
      </x:c>
    </x:row>
    <x:row r="5798">
      <x:c r="B5798" s="21" t="str">
        <x:v>A05792</x:v>
      </x:c>
      <x:c r="C5798" s="21" t="str">
        <x:v>baseline</x:v>
      </x:c>
      <x:c r="D5798" s="21" t="str">
        <x:v>baseline 908 planning state</x:v>
      </x:c>
      <x:c r="E5798" s="21" t="n">
        <x:f>IF(AND('Baseline Register'!G914="0.0.0",'Baseline Register'!I914="OPEN",'Baseline Register'!J914="HOLD"),1,0)</x:f>
        <x:v>1</x:v>
      </x:c>
      <x:c r="F5798" s="21" t="n">
        <x:v>1</x:v>
      </x:c>
      <x:c r="G5798" s="23" t="str">
        <x:f>IF(E5798=F5798,"PASS","FAIL")</x:f>
        <x:v>PASS</x:v>
      </x:c>
    </x:row>
    <x:row r="5799">
      <x:c r="B5799" s="21" t="str">
        <x:v>A05793</x:v>
      </x:c>
      <x:c r="C5799" s="21" t="str">
        <x:v>baseline</x:v>
      </x:c>
      <x:c r="D5799" s="21" t="str">
        <x:v>baseline 909 planning state</x:v>
      </x:c>
      <x:c r="E5799" s="21" t="n">
        <x:f>IF(AND('Baseline Register'!G915="0.0.0",'Baseline Register'!I915="OPEN",'Baseline Register'!J915="HOLD"),1,0)</x:f>
        <x:v>1</x:v>
      </x:c>
      <x:c r="F5799" s="21" t="n">
        <x:v>1</x:v>
      </x:c>
      <x:c r="G5799" s="23" t="str">
        <x:f>IF(E5799=F5799,"PASS","FAIL")</x:f>
        <x:v>PASS</x:v>
      </x:c>
    </x:row>
    <x:row r="5800">
      <x:c r="B5800" s="21" t="str">
        <x:v>A05794</x:v>
      </x:c>
      <x:c r="C5800" s="21" t="str">
        <x:v>baseline</x:v>
      </x:c>
      <x:c r="D5800" s="21" t="str">
        <x:v>baseline 910 planning state</x:v>
      </x:c>
      <x:c r="E5800" s="21" t="n">
        <x:f>IF(AND('Baseline Register'!G916="0.0.0",'Baseline Register'!I916="OPEN",'Baseline Register'!J916="HOLD"),1,0)</x:f>
        <x:v>1</x:v>
      </x:c>
      <x:c r="F5800" s="21" t="n">
        <x:v>1</x:v>
      </x:c>
      <x:c r="G5800" s="23" t="str">
        <x:f>IF(E5800=F5800,"PASS","FAIL")</x:f>
        <x:v>PASS</x:v>
      </x:c>
    </x:row>
    <x:row r="5801">
      <x:c r="B5801" s="21" t="str">
        <x:v>A05795</x:v>
      </x:c>
      <x:c r="C5801" s="21" t="str">
        <x:v>baseline</x:v>
      </x:c>
      <x:c r="D5801" s="21" t="str">
        <x:v>baseline 911 planning state</x:v>
      </x:c>
      <x:c r="E5801" s="21" t="n">
        <x:f>IF(AND('Baseline Register'!G917="0.0.0",'Baseline Register'!I917="OPEN",'Baseline Register'!J917="HOLD"),1,0)</x:f>
        <x:v>1</x:v>
      </x:c>
      <x:c r="F5801" s="21" t="n">
        <x:v>1</x:v>
      </x:c>
      <x:c r="G5801" s="23" t="str">
        <x:f>IF(E5801=F5801,"PASS","FAIL")</x:f>
        <x:v>PASS</x:v>
      </x:c>
    </x:row>
    <x:row r="5802">
      <x:c r="B5802" s="21" t="str">
        <x:v>A05796</x:v>
      </x:c>
      <x:c r="C5802" s="21" t="str">
        <x:v>baseline</x:v>
      </x:c>
      <x:c r="D5802" s="21" t="str">
        <x:v>baseline 912 planning state</x:v>
      </x:c>
      <x:c r="E5802" s="21" t="n">
        <x:f>IF(AND('Baseline Register'!G918="0.0.0",'Baseline Register'!I918="OPEN",'Baseline Register'!J918="HOLD"),1,0)</x:f>
        <x:v>1</x:v>
      </x:c>
      <x:c r="F5802" s="21" t="n">
        <x:v>1</x:v>
      </x:c>
      <x:c r="G5802" s="23" t="str">
        <x:f>IF(E5802=F5802,"PASS","FAIL")</x:f>
        <x:v>PASS</x:v>
      </x:c>
    </x:row>
    <x:row r="5803">
      <x:c r="B5803" s="21" t="str">
        <x:v>A05797</x:v>
      </x:c>
      <x:c r="C5803" s="21" t="str">
        <x:v>baseline</x:v>
      </x:c>
      <x:c r="D5803" s="21" t="str">
        <x:v>baseline 913 planning state</x:v>
      </x:c>
      <x:c r="E5803" s="21" t="n">
        <x:f>IF(AND('Baseline Register'!G919="0.0.0",'Baseline Register'!I919="OPEN",'Baseline Register'!J919="HOLD"),1,0)</x:f>
        <x:v>1</x:v>
      </x:c>
      <x:c r="F5803" s="21" t="n">
        <x:v>1</x:v>
      </x:c>
      <x:c r="G5803" s="23" t="str">
        <x:f>IF(E5803=F5803,"PASS","FAIL")</x:f>
        <x:v>PASS</x:v>
      </x:c>
    </x:row>
    <x:row r="5804">
      <x:c r="B5804" s="21" t="str">
        <x:v>A05798</x:v>
      </x:c>
      <x:c r="C5804" s="21" t="str">
        <x:v>baseline</x:v>
      </x:c>
      <x:c r="D5804" s="21" t="str">
        <x:v>baseline 914 planning state</x:v>
      </x:c>
      <x:c r="E5804" s="21" t="n">
        <x:f>IF(AND('Baseline Register'!G920="0.0.0",'Baseline Register'!I920="OPEN",'Baseline Register'!J920="HOLD"),1,0)</x:f>
        <x:v>1</x:v>
      </x:c>
      <x:c r="F5804" s="21" t="n">
        <x:v>1</x:v>
      </x:c>
      <x:c r="G5804" s="23" t="str">
        <x:f>IF(E5804=F5804,"PASS","FAIL")</x:f>
        <x:v>PASS</x:v>
      </x:c>
    </x:row>
    <x:row r="5805">
      <x:c r="B5805" s="21" t="str">
        <x:v>A05799</x:v>
      </x:c>
      <x:c r="C5805" s="21" t="str">
        <x:v>baseline</x:v>
      </x:c>
      <x:c r="D5805" s="21" t="str">
        <x:v>baseline 915 planning state</x:v>
      </x:c>
      <x:c r="E5805" s="21" t="n">
        <x:f>IF(AND('Baseline Register'!G921="0.0.0",'Baseline Register'!I921="OPEN",'Baseline Register'!J921="HOLD"),1,0)</x:f>
        <x:v>1</x:v>
      </x:c>
      <x:c r="F5805" s="21" t="n">
        <x:v>1</x:v>
      </x:c>
      <x:c r="G5805" s="23" t="str">
        <x:f>IF(E5805=F5805,"PASS","FAIL")</x:f>
        <x:v>PASS</x:v>
      </x:c>
    </x:row>
    <x:row r="5806">
      <x:c r="B5806" s="21" t="str">
        <x:v>A05800</x:v>
      </x:c>
      <x:c r="C5806" s="21" t="str">
        <x:v>baseline</x:v>
      </x:c>
      <x:c r="D5806" s="21" t="str">
        <x:v>baseline 916 planning state</x:v>
      </x:c>
      <x:c r="E5806" s="21" t="n">
        <x:f>IF(AND('Baseline Register'!G922="0.0.0",'Baseline Register'!I922="OPEN",'Baseline Register'!J922="HOLD"),1,0)</x:f>
        <x:v>1</x:v>
      </x:c>
      <x:c r="F5806" s="21" t="n">
        <x:v>1</x:v>
      </x:c>
      <x:c r="G5806" s="23" t="str">
        <x:f>IF(E5806=F5806,"PASS","FAIL")</x:f>
        <x:v>PASS</x:v>
      </x:c>
    </x:row>
    <x:row r="5807">
      <x:c r="B5807" s="21" t="str">
        <x:v>A05801</x:v>
      </x:c>
      <x:c r="C5807" s="21" t="str">
        <x:v>baseline</x:v>
      </x:c>
      <x:c r="D5807" s="21" t="str">
        <x:v>baseline 917 planning state</x:v>
      </x:c>
      <x:c r="E5807" s="21" t="n">
        <x:f>IF(AND('Baseline Register'!G923="0.0.0",'Baseline Register'!I923="OPEN",'Baseline Register'!J923="HOLD"),1,0)</x:f>
        <x:v>1</x:v>
      </x:c>
      <x:c r="F5807" s="21" t="n">
        <x:v>1</x:v>
      </x:c>
      <x:c r="G5807" s="23" t="str">
        <x:f>IF(E5807=F5807,"PASS","FAIL")</x:f>
        <x:v>PASS</x:v>
      </x:c>
    </x:row>
    <x:row r="5808">
      <x:c r="B5808" s="21" t="str">
        <x:v>A05802</x:v>
      </x:c>
      <x:c r="C5808" s="21" t="str">
        <x:v>baseline</x:v>
      </x:c>
      <x:c r="D5808" s="21" t="str">
        <x:v>baseline 918 planning state</x:v>
      </x:c>
      <x:c r="E5808" s="21" t="n">
        <x:f>IF(AND('Baseline Register'!G924="0.0.0",'Baseline Register'!I924="OPEN",'Baseline Register'!J924="HOLD"),1,0)</x:f>
        <x:v>1</x:v>
      </x:c>
      <x:c r="F5808" s="21" t="n">
        <x:v>1</x:v>
      </x:c>
      <x:c r="G5808" s="23" t="str">
        <x:f>IF(E5808=F5808,"PASS","FAIL")</x:f>
        <x:v>PASS</x:v>
      </x:c>
    </x:row>
    <x:row r="5809">
      <x:c r="B5809" s="21" t="str">
        <x:v>A05803</x:v>
      </x:c>
      <x:c r="C5809" s="21" t="str">
        <x:v>baseline</x:v>
      </x:c>
      <x:c r="D5809" s="21" t="str">
        <x:v>baseline 919 planning state</x:v>
      </x:c>
      <x:c r="E5809" s="21" t="n">
        <x:f>IF(AND('Baseline Register'!G925="0.0.0",'Baseline Register'!I925="OPEN",'Baseline Register'!J925="HOLD"),1,0)</x:f>
        <x:v>1</x:v>
      </x:c>
      <x:c r="F5809" s="21" t="n">
        <x:v>1</x:v>
      </x:c>
      <x:c r="G5809" s="23" t="str">
        <x:f>IF(E5809=F5809,"PASS","FAIL")</x:f>
        <x:v>PASS</x:v>
      </x:c>
    </x:row>
    <x:row r="5810">
      <x:c r="B5810" s="21" t="str">
        <x:v>A05804</x:v>
      </x:c>
      <x:c r="C5810" s="21" t="str">
        <x:v>baseline</x:v>
      </x:c>
      <x:c r="D5810" s="21" t="str">
        <x:v>baseline 920 planning state</x:v>
      </x:c>
      <x:c r="E5810" s="21" t="n">
        <x:f>IF(AND('Baseline Register'!G926="0.0.0",'Baseline Register'!I926="OPEN",'Baseline Register'!J926="HOLD"),1,0)</x:f>
        <x:v>1</x:v>
      </x:c>
      <x:c r="F5810" s="21" t="n">
        <x:v>1</x:v>
      </x:c>
      <x:c r="G5810" s="23" t="str">
        <x:f>IF(E5810=F5810,"PASS","FAIL")</x:f>
        <x:v>PASS</x:v>
      </x:c>
    </x:row>
    <x:row r="5811">
      <x:c r="B5811" s="21" t="str">
        <x:v>A05805</x:v>
      </x:c>
      <x:c r="C5811" s="21" t="str">
        <x:v>baseline</x:v>
      </x:c>
      <x:c r="D5811" s="21" t="str">
        <x:v>baseline 921 planning state</x:v>
      </x:c>
      <x:c r="E5811" s="21" t="n">
        <x:f>IF(AND('Baseline Register'!G927="0.0.0",'Baseline Register'!I927="OPEN",'Baseline Register'!J927="HOLD"),1,0)</x:f>
        <x:v>1</x:v>
      </x:c>
      <x:c r="F5811" s="21" t="n">
        <x:v>1</x:v>
      </x:c>
      <x:c r="G5811" s="23" t="str">
        <x:f>IF(E5811=F5811,"PASS","FAIL")</x:f>
        <x:v>PASS</x:v>
      </x:c>
    </x:row>
    <x:row r="5812">
      <x:c r="B5812" s="21" t="str">
        <x:v>A05806</x:v>
      </x:c>
      <x:c r="C5812" s="21" t="str">
        <x:v>baseline</x:v>
      </x:c>
      <x:c r="D5812" s="21" t="str">
        <x:v>baseline 922 planning state</x:v>
      </x:c>
      <x:c r="E5812" s="21" t="n">
        <x:f>IF(AND('Baseline Register'!G928="0.0.0",'Baseline Register'!I928="OPEN",'Baseline Register'!J928="HOLD"),1,0)</x:f>
        <x:v>1</x:v>
      </x:c>
      <x:c r="F5812" s="21" t="n">
        <x:v>1</x:v>
      </x:c>
      <x:c r="G5812" s="23" t="str">
        <x:f>IF(E5812=F5812,"PASS","FAIL")</x:f>
        <x:v>PASS</x:v>
      </x:c>
    </x:row>
    <x:row r="5813">
      <x:c r="B5813" s="21" t="str">
        <x:v>A05807</x:v>
      </x:c>
      <x:c r="C5813" s="21" t="str">
        <x:v>baseline</x:v>
      </x:c>
      <x:c r="D5813" s="21" t="str">
        <x:v>baseline 923 planning state</x:v>
      </x:c>
      <x:c r="E5813" s="21" t="n">
        <x:f>IF(AND('Baseline Register'!G929="0.0.0",'Baseline Register'!I929="OPEN",'Baseline Register'!J929="HOLD"),1,0)</x:f>
        <x:v>1</x:v>
      </x:c>
      <x:c r="F5813" s="21" t="n">
        <x:v>1</x:v>
      </x:c>
      <x:c r="G5813" s="23" t="str">
        <x:f>IF(E5813=F5813,"PASS","FAIL")</x:f>
        <x:v>PASS</x:v>
      </x:c>
    </x:row>
    <x:row r="5814">
      <x:c r="B5814" s="21" t="str">
        <x:v>A05808</x:v>
      </x:c>
      <x:c r="C5814" s="21" t="str">
        <x:v>baseline</x:v>
      </x:c>
      <x:c r="D5814" s="21" t="str">
        <x:v>baseline 924 planning state</x:v>
      </x:c>
      <x:c r="E5814" s="21" t="n">
        <x:f>IF(AND('Baseline Register'!G930="0.0.0",'Baseline Register'!I930="OPEN",'Baseline Register'!J930="HOLD"),1,0)</x:f>
        <x:v>1</x:v>
      </x:c>
      <x:c r="F5814" s="21" t="n">
        <x:v>1</x:v>
      </x:c>
      <x:c r="G5814" s="23" t="str">
        <x:f>IF(E5814=F5814,"PASS","FAIL")</x:f>
        <x:v>PASS</x:v>
      </x:c>
    </x:row>
    <x:row r="5815">
      <x:c r="B5815" s="21" t="str">
        <x:v>A05809</x:v>
      </x:c>
      <x:c r="C5815" s="21" t="str">
        <x:v>baseline</x:v>
      </x:c>
      <x:c r="D5815" s="21" t="str">
        <x:v>baseline 925 planning state</x:v>
      </x:c>
      <x:c r="E5815" s="21" t="n">
        <x:f>IF(AND('Baseline Register'!G931="0.0.0",'Baseline Register'!I931="OPEN",'Baseline Register'!J931="HOLD"),1,0)</x:f>
        <x:v>1</x:v>
      </x:c>
      <x:c r="F5815" s="21" t="n">
        <x:v>1</x:v>
      </x:c>
      <x:c r="G5815" s="23" t="str">
        <x:f>IF(E5815=F5815,"PASS","FAIL")</x:f>
        <x:v>PASS</x:v>
      </x:c>
    </x:row>
    <x:row r="5816">
      <x:c r="B5816" s="21" t="str">
        <x:v>A05810</x:v>
      </x:c>
      <x:c r="C5816" s="21" t="str">
        <x:v>baseline</x:v>
      </x:c>
      <x:c r="D5816" s="21" t="str">
        <x:v>baseline 926 planning state</x:v>
      </x:c>
      <x:c r="E5816" s="21" t="n">
        <x:f>IF(AND('Baseline Register'!G932="0.0.0",'Baseline Register'!I932="OPEN",'Baseline Register'!J932="HOLD"),1,0)</x:f>
        <x:v>1</x:v>
      </x:c>
      <x:c r="F5816" s="21" t="n">
        <x:v>1</x:v>
      </x:c>
      <x:c r="G5816" s="23" t="str">
        <x:f>IF(E5816=F5816,"PASS","FAIL")</x:f>
        <x:v>PASS</x:v>
      </x:c>
    </x:row>
    <x:row r="5817">
      <x:c r="B5817" s="21" t="str">
        <x:v>A05811</x:v>
      </x:c>
      <x:c r="C5817" s="21" t="str">
        <x:v>baseline</x:v>
      </x:c>
      <x:c r="D5817" s="21" t="str">
        <x:v>baseline 927 planning state</x:v>
      </x:c>
      <x:c r="E5817" s="21" t="n">
        <x:f>IF(AND('Baseline Register'!G933="0.0.0",'Baseline Register'!I933="OPEN",'Baseline Register'!J933="HOLD"),1,0)</x:f>
        <x:v>1</x:v>
      </x:c>
      <x:c r="F5817" s="21" t="n">
        <x:v>1</x:v>
      </x:c>
      <x:c r="G5817" s="23" t="str">
        <x:f>IF(E5817=F5817,"PASS","FAIL")</x:f>
        <x:v>PASS</x:v>
      </x:c>
    </x:row>
    <x:row r="5818">
      <x:c r="B5818" s="21" t="str">
        <x:v>A05812</x:v>
      </x:c>
      <x:c r="C5818" s="21" t="str">
        <x:v>baseline</x:v>
      </x:c>
      <x:c r="D5818" s="21" t="str">
        <x:v>baseline 928 planning state</x:v>
      </x:c>
      <x:c r="E5818" s="21" t="n">
        <x:f>IF(AND('Baseline Register'!G934="0.0.0",'Baseline Register'!I934="OPEN",'Baseline Register'!J934="HOLD"),1,0)</x:f>
        <x:v>1</x:v>
      </x:c>
      <x:c r="F5818" s="21" t="n">
        <x:v>1</x:v>
      </x:c>
      <x:c r="G5818" s="23" t="str">
        <x:f>IF(E5818=F5818,"PASS","FAIL")</x:f>
        <x:v>PASS</x:v>
      </x:c>
    </x:row>
    <x:row r="5819">
      <x:c r="B5819" s="21" t="str">
        <x:v>A05813</x:v>
      </x:c>
      <x:c r="C5819" s="21" t="str">
        <x:v>baseline</x:v>
      </x:c>
      <x:c r="D5819" s="21" t="str">
        <x:v>baseline 929 planning state</x:v>
      </x:c>
      <x:c r="E5819" s="21" t="n">
        <x:f>IF(AND('Baseline Register'!G935="0.0.0",'Baseline Register'!I935="OPEN",'Baseline Register'!J935="HOLD"),1,0)</x:f>
        <x:v>1</x:v>
      </x:c>
      <x:c r="F5819" s="21" t="n">
        <x:v>1</x:v>
      </x:c>
      <x:c r="G5819" s="23" t="str">
        <x:f>IF(E5819=F5819,"PASS","FAIL")</x:f>
        <x:v>PASS</x:v>
      </x:c>
    </x:row>
    <x:row r="5820">
      <x:c r="B5820" s="21" t="str">
        <x:v>A05814</x:v>
      </x:c>
      <x:c r="C5820" s="21" t="str">
        <x:v>baseline</x:v>
      </x:c>
      <x:c r="D5820" s="21" t="str">
        <x:v>baseline 930 planning state</x:v>
      </x:c>
      <x:c r="E5820" s="21" t="n">
        <x:f>IF(AND('Baseline Register'!G936="0.0.0",'Baseline Register'!I936="OPEN",'Baseline Register'!J936="HOLD"),1,0)</x:f>
        <x:v>1</x:v>
      </x:c>
      <x:c r="F5820" s="21" t="n">
        <x:v>1</x:v>
      </x:c>
      <x:c r="G5820" s="23" t="str">
        <x:f>IF(E5820=F5820,"PASS","FAIL")</x:f>
        <x:v>PASS</x:v>
      </x:c>
    </x:row>
    <x:row r="5821">
      <x:c r="B5821" s="21" t="str">
        <x:v>A05815</x:v>
      </x:c>
      <x:c r="C5821" s="21" t="str">
        <x:v>baseline</x:v>
      </x:c>
      <x:c r="D5821" s="21" t="str">
        <x:v>baseline 931 planning state</x:v>
      </x:c>
      <x:c r="E5821" s="21" t="n">
        <x:f>IF(AND('Baseline Register'!G937="0.0.0",'Baseline Register'!I937="OPEN",'Baseline Register'!J937="HOLD"),1,0)</x:f>
        <x:v>1</x:v>
      </x:c>
      <x:c r="F5821" s="21" t="n">
        <x:v>1</x:v>
      </x:c>
      <x:c r="G5821" s="23" t="str">
        <x:f>IF(E5821=F5821,"PASS","FAIL")</x:f>
        <x:v>PASS</x:v>
      </x:c>
    </x:row>
    <x:row r="5822">
      <x:c r="B5822" s="21" t="str">
        <x:v>A05816</x:v>
      </x:c>
      <x:c r="C5822" s="21" t="str">
        <x:v>baseline</x:v>
      </x:c>
      <x:c r="D5822" s="21" t="str">
        <x:v>baseline 932 planning state</x:v>
      </x:c>
      <x:c r="E5822" s="21" t="n">
        <x:f>IF(AND('Baseline Register'!G938="0.0.0",'Baseline Register'!I938="OPEN",'Baseline Register'!J938="HOLD"),1,0)</x:f>
        <x:v>1</x:v>
      </x:c>
      <x:c r="F5822" s="21" t="n">
        <x:v>1</x:v>
      </x:c>
      <x:c r="G5822" s="23" t="str">
        <x:f>IF(E5822=F5822,"PASS","FAIL")</x:f>
        <x:v>PASS</x:v>
      </x:c>
    </x:row>
    <x:row r="5823">
      <x:c r="B5823" s="21" t="str">
        <x:v>A05817</x:v>
      </x:c>
      <x:c r="C5823" s="21" t="str">
        <x:v>baseline</x:v>
      </x:c>
      <x:c r="D5823" s="21" t="str">
        <x:v>baseline 933 planning state</x:v>
      </x:c>
      <x:c r="E5823" s="21" t="n">
        <x:f>IF(AND('Baseline Register'!G939="0.0.0",'Baseline Register'!I939="OPEN",'Baseline Register'!J939="HOLD"),1,0)</x:f>
        <x:v>1</x:v>
      </x:c>
      <x:c r="F5823" s="21" t="n">
        <x:v>1</x:v>
      </x:c>
      <x:c r="G5823" s="23" t="str">
        <x:f>IF(E5823=F5823,"PASS","FAIL")</x:f>
        <x:v>PASS</x:v>
      </x:c>
    </x:row>
    <x:row r="5824">
      <x:c r="B5824" s="21" t="str">
        <x:v>A05818</x:v>
      </x:c>
      <x:c r="C5824" s="21" t="str">
        <x:v>baseline</x:v>
      </x:c>
      <x:c r="D5824" s="21" t="str">
        <x:v>baseline 934 planning state</x:v>
      </x:c>
      <x:c r="E5824" s="21" t="n">
        <x:f>IF(AND('Baseline Register'!G940="0.0.0",'Baseline Register'!I940="OPEN",'Baseline Register'!J940="HOLD"),1,0)</x:f>
        <x:v>1</x:v>
      </x:c>
      <x:c r="F5824" s="21" t="n">
        <x:v>1</x:v>
      </x:c>
      <x:c r="G5824" s="23" t="str">
        <x:f>IF(E5824=F5824,"PASS","FAIL")</x:f>
        <x:v>PASS</x:v>
      </x:c>
    </x:row>
    <x:row r="5825">
      <x:c r="B5825" s="21" t="str">
        <x:v>A05819</x:v>
      </x:c>
      <x:c r="C5825" s="21" t="str">
        <x:v>baseline</x:v>
      </x:c>
      <x:c r="D5825" s="21" t="str">
        <x:v>baseline 935 planning state</x:v>
      </x:c>
      <x:c r="E5825" s="21" t="n">
        <x:f>IF(AND('Baseline Register'!G941="0.0.0",'Baseline Register'!I941="OPEN",'Baseline Register'!J941="HOLD"),1,0)</x:f>
        <x:v>1</x:v>
      </x:c>
      <x:c r="F5825" s="21" t="n">
        <x:v>1</x:v>
      </x:c>
      <x:c r="G5825" s="23" t="str">
        <x:f>IF(E5825=F5825,"PASS","FAIL")</x:f>
        <x:v>PASS</x:v>
      </x:c>
    </x:row>
    <x:row r="5826">
      <x:c r="B5826" s="21" t="str">
        <x:v>A05820</x:v>
      </x:c>
      <x:c r="C5826" s="21" t="str">
        <x:v>baseline</x:v>
      </x:c>
      <x:c r="D5826" s="21" t="str">
        <x:v>baseline 936 planning state</x:v>
      </x:c>
      <x:c r="E5826" s="21" t="n">
        <x:f>IF(AND('Baseline Register'!G942="0.0.0",'Baseline Register'!I942="OPEN",'Baseline Register'!J942="HOLD"),1,0)</x:f>
        <x:v>1</x:v>
      </x:c>
      <x:c r="F5826" s="21" t="n">
        <x:v>1</x:v>
      </x:c>
      <x:c r="G5826" s="23" t="str">
        <x:f>IF(E5826=F5826,"PASS","FAIL")</x:f>
        <x:v>PASS</x:v>
      </x:c>
    </x:row>
    <x:row r="5827">
      <x:c r="B5827" s="21" t="str">
        <x:v>A05821</x:v>
      </x:c>
      <x:c r="C5827" s="21" t="str">
        <x:v>baseline</x:v>
      </x:c>
      <x:c r="D5827" s="21" t="str">
        <x:v>baseline 937 planning state</x:v>
      </x:c>
      <x:c r="E5827" s="21" t="n">
        <x:f>IF(AND('Baseline Register'!G943="0.0.0",'Baseline Register'!I943="OPEN",'Baseline Register'!J943="HOLD"),1,0)</x:f>
        <x:v>1</x:v>
      </x:c>
      <x:c r="F5827" s="21" t="n">
        <x:v>1</x:v>
      </x:c>
      <x:c r="G5827" s="23" t="str">
        <x:f>IF(E5827=F5827,"PASS","FAIL")</x:f>
        <x:v>PASS</x:v>
      </x:c>
    </x:row>
    <x:row r="5828">
      <x:c r="B5828" s="21" t="str">
        <x:v>A05822</x:v>
      </x:c>
      <x:c r="C5828" s="21" t="str">
        <x:v>baseline</x:v>
      </x:c>
      <x:c r="D5828" s="21" t="str">
        <x:v>baseline 938 planning state</x:v>
      </x:c>
      <x:c r="E5828" s="21" t="n">
        <x:f>IF(AND('Baseline Register'!G944="0.0.0",'Baseline Register'!I944="OPEN",'Baseline Register'!J944="HOLD"),1,0)</x:f>
        <x:v>1</x:v>
      </x:c>
      <x:c r="F5828" s="21" t="n">
        <x:v>1</x:v>
      </x:c>
      <x:c r="G5828" s="23" t="str">
        <x:f>IF(E5828=F5828,"PASS","FAIL")</x:f>
        <x:v>PASS</x:v>
      </x:c>
    </x:row>
    <x:row r="5829">
      <x:c r="B5829" s="21" t="str">
        <x:v>A05823</x:v>
      </x:c>
      <x:c r="C5829" s="21" t="str">
        <x:v>baseline</x:v>
      </x:c>
      <x:c r="D5829" s="21" t="str">
        <x:v>baseline 939 planning state</x:v>
      </x:c>
      <x:c r="E5829" s="21" t="n">
        <x:f>IF(AND('Baseline Register'!G945="0.0.0",'Baseline Register'!I945="OPEN",'Baseline Register'!J945="HOLD"),1,0)</x:f>
        <x:v>1</x:v>
      </x:c>
      <x:c r="F5829" s="21" t="n">
        <x:v>1</x:v>
      </x:c>
      <x:c r="G5829" s="23" t="str">
        <x:f>IF(E5829=F5829,"PASS","FAIL")</x:f>
        <x:v>PASS</x:v>
      </x:c>
    </x:row>
    <x:row r="5830">
      <x:c r="B5830" s="21" t="str">
        <x:v>A05824</x:v>
      </x:c>
      <x:c r="C5830" s="21" t="str">
        <x:v>baseline</x:v>
      </x:c>
      <x:c r="D5830" s="21" t="str">
        <x:v>baseline 940 planning state</x:v>
      </x:c>
      <x:c r="E5830" s="21" t="n">
        <x:f>IF(AND('Baseline Register'!G946="0.0.0",'Baseline Register'!I946="OPEN",'Baseline Register'!J946="HOLD"),1,0)</x:f>
        <x:v>1</x:v>
      </x:c>
      <x:c r="F5830" s="21" t="n">
        <x:v>1</x:v>
      </x:c>
      <x:c r="G5830" s="23" t="str">
        <x:f>IF(E5830=F5830,"PASS","FAIL")</x:f>
        <x:v>PASS</x:v>
      </x:c>
    </x:row>
    <x:row r="5831">
      <x:c r="B5831" s="21" t="str">
        <x:v>A05825</x:v>
      </x:c>
      <x:c r="C5831" s="21" t="str">
        <x:v>baseline</x:v>
      </x:c>
      <x:c r="D5831" s="21" t="str">
        <x:v>baseline 941 planning state</x:v>
      </x:c>
      <x:c r="E5831" s="21" t="n">
        <x:f>IF(AND('Baseline Register'!G947="0.0.0",'Baseline Register'!I947="OPEN",'Baseline Register'!J947="HOLD"),1,0)</x:f>
        <x:v>1</x:v>
      </x:c>
      <x:c r="F5831" s="21" t="n">
        <x:v>1</x:v>
      </x:c>
      <x:c r="G5831" s="23" t="str">
        <x:f>IF(E5831=F5831,"PASS","FAIL")</x:f>
        <x:v>PASS</x:v>
      </x:c>
    </x:row>
    <x:row r="5832">
      <x:c r="B5832" s="21" t="str">
        <x:v>A05826</x:v>
      </x:c>
      <x:c r="C5832" s="21" t="str">
        <x:v>baseline</x:v>
      </x:c>
      <x:c r="D5832" s="21" t="str">
        <x:v>baseline 942 planning state</x:v>
      </x:c>
      <x:c r="E5832" s="21" t="n">
        <x:f>IF(AND('Baseline Register'!G948="0.0.0",'Baseline Register'!I948="OPEN",'Baseline Register'!J948="HOLD"),1,0)</x:f>
        <x:v>1</x:v>
      </x:c>
      <x:c r="F5832" s="21" t="n">
        <x:v>1</x:v>
      </x:c>
      <x:c r="G5832" s="23" t="str">
        <x:f>IF(E5832=F5832,"PASS","FAIL")</x:f>
        <x:v>PASS</x:v>
      </x:c>
    </x:row>
    <x:row r="5833">
      <x:c r="B5833" s="21" t="str">
        <x:v>A05827</x:v>
      </x:c>
      <x:c r="C5833" s="21" t="str">
        <x:v>baseline</x:v>
      </x:c>
      <x:c r="D5833" s="21" t="str">
        <x:v>baseline 943 planning state</x:v>
      </x:c>
      <x:c r="E5833" s="21" t="n">
        <x:f>IF(AND('Baseline Register'!G949="0.0.0",'Baseline Register'!I949="OPEN",'Baseline Register'!J949="HOLD"),1,0)</x:f>
        <x:v>1</x:v>
      </x:c>
      <x:c r="F5833" s="21" t="n">
        <x:v>1</x:v>
      </x:c>
      <x:c r="G5833" s="23" t="str">
        <x:f>IF(E5833=F5833,"PASS","FAIL")</x:f>
        <x:v>PASS</x:v>
      </x:c>
    </x:row>
    <x:row r="5834">
      <x:c r="B5834" s="21" t="str">
        <x:v>A05828</x:v>
      </x:c>
      <x:c r="C5834" s="21" t="str">
        <x:v>baseline</x:v>
      </x:c>
      <x:c r="D5834" s="21" t="str">
        <x:v>baseline 944 planning state</x:v>
      </x:c>
      <x:c r="E5834" s="21" t="n">
        <x:f>IF(AND('Baseline Register'!G950="0.0.0",'Baseline Register'!I950="OPEN",'Baseline Register'!J950="HOLD"),1,0)</x:f>
        <x:v>1</x:v>
      </x:c>
      <x:c r="F5834" s="21" t="n">
        <x:v>1</x:v>
      </x:c>
      <x:c r="G5834" s="23" t="str">
        <x:f>IF(E5834=F5834,"PASS","FAIL")</x:f>
        <x:v>PASS</x:v>
      </x:c>
    </x:row>
    <x:row r="5835">
      <x:c r="B5835" s="21" t="str">
        <x:v>A05829</x:v>
      </x:c>
      <x:c r="C5835" s="21" t="str">
        <x:v>baseline</x:v>
      </x:c>
      <x:c r="D5835" s="21" t="str">
        <x:v>baseline 945 planning state</x:v>
      </x:c>
      <x:c r="E5835" s="21" t="n">
        <x:f>IF(AND('Baseline Register'!G951="0.0.0",'Baseline Register'!I951="OPEN",'Baseline Register'!J951="HOLD"),1,0)</x:f>
        <x:v>1</x:v>
      </x:c>
      <x:c r="F5835" s="21" t="n">
        <x:v>1</x:v>
      </x:c>
      <x:c r="G5835" s="23" t="str">
        <x:f>IF(E5835=F5835,"PASS","FAIL")</x:f>
        <x:v>PASS</x:v>
      </x:c>
    </x:row>
    <x:row r="5836">
      <x:c r="B5836" s="21" t="str">
        <x:v>A05830</x:v>
      </x:c>
      <x:c r="C5836" s="21" t="str">
        <x:v>baseline</x:v>
      </x:c>
      <x:c r="D5836" s="21" t="str">
        <x:v>baseline 946 planning state</x:v>
      </x:c>
      <x:c r="E5836" s="21" t="n">
        <x:f>IF(AND('Baseline Register'!G952="0.0.0",'Baseline Register'!I952="OPEN",'Baseline Register'!J952="HOLD"),1,0)</x:f>
        <x:v>1</x:v>
      </x:c>
      <x:c r="F5836" s="21" t="n">
        <x:v>1</x:v>
      </x:c>
      <x:c r="G5836" s="23" t="str">
        <x:f>IF(E5836=F5836,"PASS","FAIL")</x:f>
        <x:v>PASS</x:v>
      </x:c>
    </x:row>
    <x:row r="5837">
      <x:c r="B5837" s="21" t="str">
        <x:v>A05831</x:v>
      </x:c>
      <x:c r="C5837" s="21" t="str">
        <x:v>baseline</x:v>
      </x:c>
      <x:c r="D5837" s="21" t="str">
        <x:v>baseline 947 planning state</x:v>
      </x:c>
      <x:c r="E5837" s="21" t="n">
        <x:f>IF(AND('Baseline Register'!G953="0.0.0",'Baseline Register'!I953="OPEN",'Baseline Register'!J953="HOLD"),1,0)</x:f>
        <x:v>1</x:v>
      </x:c>
      <x:c r="F5837" s="21" t="n">
        <x:v>1</x:v>
      </x:c>
      <x:c r="G5837" s="23" t="str">
        <x:f>IF(E5837=F5837,"PASS","FAIL")</x:f>
        <x:v>PASS</x:v>
      </x:c>
    </x:row>
    <x:row r="5838">
      <x:c r="B5838" s="21" t="str">
        <x:v>A05832</x:v>
      </x:c>
      <x:c r="C5838" s="21" t="str">
        <x:v>baseline</x:v>
      </x:c>
      <x:c r="D5838" s="21" t="str">
        <x:v>baseline 948 planning state</x:v>
      </x:c>
      <x:c r="E5838" s="21" t="n">
        <x:f>IF(AND('Baseline Register'!G954="0.0.0",'Baseline Register'!I954="OPEN",'Baseline Register'!J954="HOLD"),1,0)</x:f>
        <x:v>1</x:v>
      </x:c>
      <x:c r="F5838" s="21" t="n">
        <x:v>1</x:v>
      </x:c>
      <x:c r="G5838" s="23" t="str">
        <x:f>IF(E5838=F5838,"PASS","FAIL")</x:f>
        <x:v>PASS</x:v>
      </x:c>
    </x:row>
    <x:row r="5839">
      <x:c r="B5839" s="21" t="str">
        <x:v>A05833</x:v>
      </x:c>
      <x:c r="C5839" s="21" t="str">
        <x:v>baseline</x:v>
      </x:c>
      <x:c r="D5839" s="21" t="str">
        <x:v>baseline 949 planning state</x:v>
      </x:c>
      <x:c r="E5839" s="21" t="n">
        <x:f>IF(AND('Baseline Register'!G955="0.0.0",'Baseline Register'!I955="OPEN",'Baseline Register'!J955="HOLD"),1,0)</x:f>
        <x:v>1</x:v>
      </x:c>
      <x:c r="F5839" s="21" t="n">
        <x:v>1</x:v>
      </x:c>
      <x:c r="G5839" s="23" t="str">
        <x:f>IF(E5839=F5839,"PASS","FAIL")</x:f>
        <x:v>PASS</x:v>
      </x:c>
    </x:row>
    <x:row r="5840">
      <x:c r="B5840" s="21" t="str">
        <x:v>A05834</x:v>
      </x:c>
      <x:c r="C5840" s="21" t="str">
        <x:v>baseline</x:v>
      </x:c>
      <x:c r="D5840" s="21" t="str">
        <x:v>baseline 950 planning state</x:v>
      </x:c>
      <x:c r="E5840" s="21" t="n">
        <x:f>IF(AND('Baseline Register'!G956="0.0.0",'Baseline Register'!I956="OPEN",'Baseline Register'!J956="HOLD"),1,0)</x:f>
        <x:v>1</x:v>
      </x:c>
      <x:c r="F5840" s="21" t="n">
        <x:v>1</x:v>
      </x:c>
      <x:c r="G5840" s="23" t="str">
        <x:f>IF(E5840=F5840,"PASS","FAIL")</x:f>
        <x:v>PASS</x:v>
      </x:c>
    </x:row>
    <x:row r="5841">
      <x:c r="B5841" s="21" t="str">
        <x:v>A05835</x:v>
      </x:c>
      <x:c r="C5841" s="21" t="str">
        <x:v>baseline</x:v>
      </x:c>
      <x:c r="D5841" s="21" t="str">
        <x:v>baseline 951 planning state</x:v>
      </x:c>
      <x:c r="E5841" s="21" t="n">
        <x:f>IF(AND('Baseline Register'!G957="0.0.0",'Baseline Register'!I957="OPEN",'Baseline Register'!J957="HOLD"),1,0)</x:f>
        <x:v>1</x:v>
      </x:c>
      <x:c r="F5841" s="21" t="n">
        <x:v>1</x:v>
      </x:c>
      <x:c r="G5841" s="23" t="str">
        <x:f>IF(E5841=F5841,"PASS","FAIL")</x:f>
        <x:v>PASS</x:v>
      </x:c>
    </x:row>
    <x:row r="5842">
      <x:c r="B5842" s="21" t="str">
        <x:v>A05836</x:v>
      </x:c>
      <x:c r="C5842" s="21" t="str">
        <x:v>baseline</x:v>
      </x:c>
      <x:c r="D5842" s="21" t="str">
        <x:v>baseline 952 planning state</x:v>
      </x:c>
      <x:c r="E5842" s="21" t="n">
        <x:f>IF(AND('Baseline Register'!G958="0.0.0",'Baseline Register'!I958="OPEN",'Baseline Register'!J958="HOLD"),1,0)</x:f>
        <x:v>1</x:v>
      </x:c>
      <x:c r="F5842" s="21" t="n">
        <x:v>1</x:v>
      </x:c>
      <x:c r="G5842" s="23" t="str">
        <x:f>IF(E5842=F5842,"PASS","FAIL")</x:f>
        <x:v>PASS</x:v>
      </x:c>
    </x:row>
    <x:row r="5843">
      <x:c r="B5843" s="21" t="str">
        <x:v>A05837</x:v>
      </x:c>
      <x:c r="C5843" s="21" t="str">
        <x:v>baseline</x:v>
      </x:c>
      <x:c r="D5843" s="21" t="str">
        <x:v>baseline 953 planning state</x:v>
      </x:c>
      <x:c r="E5843" s="21" t="n">
        <x:f>IF(AND('Baseline Register'!G959="0.0.0",'Baseline Register'!I959="OPEN",'Baseline Register'!J959="HOLD"),1,0)</x:f>
        <x:v>1</x:v>
      </x:c>
      <x:c r="F5843" s="21" t="n">
        <x:v>1</x:v>
      </x:c>
      <x:c r="G5843" s="23" t="str">
        <x:f>IF(E5843=F5843,"PASS","FAIL")</x:f>
        <x:v>PASS</x:v>
      </x:c>
    </x:row>
    <x:row r="5844">
      <x:c r="B5844" s="21" t="str">
        <x:v>A05838</x:v>
      </x:c>
      <x:c r="C5844" s="21" t="str">
        <x:v>baseline</x:v>
      </x:c>
      <x:c r="D5844" s="21" t="str">
        <x:v>baseline 954 planning state</x:v>
      </x:c>
      <x:c r="E5844" s="21" t="n">
        <x:f>IF(AND('Baseline Register'!G960="0.0.0",'Baseline Register'!I960="OPEN",'Baseline Register'!J960="HOLD"),1,0)</x:f>
        <x:v>1</x:v>
      </x:c>
      <x:c r="F5844" s="21" t="n">
        <x:v>1</x:v>
      </x:c>
      <x:c r="G5844" s="23" t="str">
        <x:f>IF(E5844=F5844,"PASS","FAIL")</x:f>
        <x:v>PASS</x:v>
      </x:c>
    </x:row>
    <x:row r="5845">
      <x:c r="B5845" s="21" t="str">
        <x:v>A05839</x:v>
      </x:c>
      <x:c r="C5845" s="21" t="str">
        <x:v>baseline</x:v>
      </x:c>
      <x:c r="D5845" s="21" t="str">
        <x:v>baseline 955 planning state</x:v>
      </x:c>
      <x:c r="E5845" s="21" t="n">
        <x:f>IF(AND('Baseline Register'!G961="0.0.0",'Baseline Register'!I961="OPEN",'Baseline Register'!J961="HOLD"),1,0)</x:f>
        <x:v>1</x:v>
      </x:c>
      <x:c r="F5845" s="21" t="n">
        <x:v>1</x:v>
      </x:c>
      <x:c r="G5845" s="23" t="str">
        <x:f>IF(E5845=F5845,"PASS","FAIL")</x:f>
        <x:v>PASS</x:v>
      </x:c>
    </x:row>
    <x:row r="5846">
      <x:c r="B5846" s="21" t="str">
        <x:v>A05840</x:v>
      </x:c>
      <x:c r="C5846" s="21" t="str">
        <x:v>baseline</x:v>
      </x:c>
      <x:c r="D5846" s="21" t="str">
        <x:v>baseline 956 planning state</x:v>
      </x:c>
      <x:c r="E5846" s="21" t="n">
        <x:f>IF(AND('Baseline Register'!G962="0.0.0",'Baseline Register'!I962="OPEN",'Baseline Register'!J962="HOLD"),1,0)</x:f>
        <x:v>1</x:v>
      </x:c>
      <x:c r="F5846" s="21" t="n">
        <x:v>1</x:v>
      </x:c>
      <x:c r="G5846" s="23" t="str">
        <x:f>IF(E5846=F5846,"PASS","FAIL")</x:f>
        <x:v>PASS</x:v>
      </x:c>
    </x:row>
    <x:row r="5847">
      <x:c r="B5847" s="21" t="str">
        <x:v>A05841</x:v>
      </x:c>
      <x:c r="C5847" s="21" t="str">
        <x:v>baseline</x:v>
      </x:c>
      <x:c r="D5847" s="21" t="str">
        <x:v>baseline 957 planning state</x:v>
      </x:c>
      <x:c r="E5847" s="21" t="n">
        <x:f>IF(AND('Baseline Register'!G963="0.0.0",'Baseline Register'!I963="OPEN",'Baseline Register'!J963="HOLD"),1,0)</x:f>
        <x:v>1</x:v>
      </x:c>
      <x:c r="F5847" s="21" t="n">
        <x:v>1</x:v>
      </x:c>
      <x:c r="G5847" s="23" t="str">
        <x:f>IF(E5847=F5847,"PASS","FAIL")</x:f>
        <x:v>PASS</x:v>
      </x:c>
    </x:row>
    <x:row r="5848">
      <x:c r="B5848" s="21" t="str">
        <x:v>A05842</x:v>
      </x:c>
      <x:c r="C5848" s="21" t="str">
        <x:v>baseline</x:v>
      </x:c>
      <x:c r="D5848" s="21" t="str">
        <x:v>baseline 958 planning state</x:v>
      </x:c>
      <x:c r="E5848" s="21" t="n">
        <x:f>IF(AND('Baseline Register'!G964="0.0.0",'Baseline Register'!I964="OPEN",'Baseline Register'!J964="HOLD"),1,0)</x:f>
        <x:v>1</x:v>
      </x:c>
      <x:c r="F5848" s="21" t="n">
        <x:v>1</x:v>
      </x:c>
      <x:c r="G5848" s="23" t="str">
        <x:f>IF(E5848=F5848,"PASS","FAIL")</x:f>
        <x:v>PASS</x:v>
      </x:c>
    </x:row>
    <x:row r="5849">
      <x:c r="B5849" s="21" t="str">
        <x:v>A05843</x:v>
      </x:c>
      <x:c r="C5849" s="21" t="str">
        <x:v>baseline</x:v>
      </x:c>
      <x:c r="D5849" s="21" t="str">
        <x:v>baseline 959 planning state</x:v>
      </x:c>
      <x:c r="E5849" s="21" t="n">
        <x:f>IF(AND('Baseline Register'!G965="0.0.0",'Baseline Register'!I965="OPEN",'Baseline Register'!J965="HOLD"),1,0)</x:f>
        <x:v>1</x:v>
      </x:c>
      <x:c r="F5849" s="21" t="n">
        <x:v>1</x:v>
      </x:c>
      <x:c r="G5849" s="23" t="str">
        <x:f>IF(E5849=F5849,"PASS","FAIL")</x:f>
        <x:v>PASS</x:v>
      </x:c>
    </x:row>
    <x:row r="5850">
      <x:c r="B5850" s="21" t="str">
        <x:v>A05844</x:v>
      </x:c>
      <x:c r="C5850" s="21" t="str">
        <x:v>baseline</x:v>
      </x:c>
      <x:c r="D5850" s="21" t="str">
        <x:v>baseline 960 planning state</x:v>
      </x:c>
      <x:c r="E5850" s="21" t="n">
        <x:f>IF(AND('Baseline Register'!G966="0.0.0",'Baseline Register'!I966="OPEN",'Baseline Register'!J966="HOLD"),1,0)</x:f>
        <x:v>1</x:v>
      </x:c>
      <x:c r="F5850" s="21" t="n">
        <x:v>1</x:v>
      </x:c>
      <x:c r="G5850" s="23" t="str">
        <x:f>IF(E5850=F5850,"PASS","FAIL")</x:f>
        <x:v>PASS</x:v>
      </x:c>
    </x:row>
    <x:row r="5851">
      <x:c r="B5851" s="21" t="str">
        <x:v>A05845</x:v>
      </x:c>
      <x:c r="C5851" s="21" t="str">
        <x:v>baseline</x:v>
      </x:c>
      <x:c r="D5851" s="21" t="str">
        <x:v>baseline 961 planning state</x:v>
      </x:c>
      <x:c r="E5851" s="21" t="n">
        <x:f>IF(AND('Baseline Register'!G967="0.0.0",'Baseline Register'!I967="OPEN",'Baseline Register'!J967="HOLD"),1,0)</x:f>
        <x:v>1</x:v>
      </x:c>
      <x:c r="F5851" s="21" t="n">
        <x:v>1</x:v>
      </x:c>
      <x:c r="G5851" s="23" t="str">
        <x:f>IF(E5851=F5851,"PASS","FAIL")</x:f>
        <x:v>PASS</x:v>
      </x:c>
    </x:row>
    <x:row r="5852">
      <x:c r="B5852" s="21" t="str">
        <x:v>A05846</x:v>
      </x:c>
      <x:c r="C5852" s="21" t="str">
        <x:v>baseline</x:v>
      </x:c>
      <x:c r="D5852" s="21" t="str">
        <x:v>baseline 962 planning state</x:v>
      </x:c>
      <x:c r="E5852" s="21" t="n">
        <x:f>IF(AND('Baseline Register'!G968="0.0.0",'Baseline Register'!I968="OPEN",'Baseline Register'!J968="HOLD"),1,0)</x:f>
        <x:v>1</x:v>
      </x:c>
      <x:c r="F5852" s="21" t="n">
        <x:v>1</x:v>
      </x:c>
      <x:c r="G5852" s="23" t="str">
        <x:f>IF(E5852=F5852,"PASS","FAIL")</x:f>
        <x:v>PASS</x:v>
      </x:c>
    </x:row>
    <x:row r="5853">
      <x:c r="B5853" s="21" t="str">
        <x:v>A05847</x:v>
      </x:c>
      <x:c r="C5853" s="21" t="str">
        <x:v>baseline</x:v>
      </x:c>
      <x:c r="D5853" s="21" t="str">
        <x:v>baseline 963 planning state</x:v>
      </x:c>
      <x:c r="E5853" s="21" t="n">
        <x:f>IF(AND('Baseline Register'!G969="0.0.0",'Baseline Register'!I969="OPEN",'Baseline Register'!J969="HOLD"),1,0)</x:f>
        <x:v>1</x:v>
      </x:c>
      <x:c r="F5853" s="21" t="n">
        <x:v>1</x:v>
      </x:c>
      <x:c r="G5853" s="23" t="str">
        <x:f>IF(E5853=F5853,"PASS","FAIL")</x:f>
        <x:v>PASS</x:v>
      </x:c>
    </x:row>
    <x:row r="5854">
      <x:c r="B5854" s="21" t="str">
        <x:v>A05848</x:v>
      </x:c>
      <x:c r="C5854" s="21" t="str">
        <x:v>baseline</x:v>
      </x:c>
      <x:c r="D5854" s="21" t="str">
        <x:v>baseline 964 planning state</x:v>
      </x:c>
      <x:c r="E5854" s="21" t="n">
        <x:f>IF(AND('Baseline Register'!G970="0.0.0",'Baseline Register'!I970="OPEN",'Baseline Register'!J970="HOLD"),1,0)</x:f>
        <x:v>1</x:v>
      </x:c>
      <x:c r="F5854" s="21" t="n">
        <x:v>1</x:v>
      </x:c>
      <x:c r="G5854" s="23" t="str">
        <x:f>IF(E5854=F5854,"PASS","FAIL")</x:f>
        <x:v>PASS</x:v>
      </x:c>
    </x:row>
    <x:row r="5855">
      <x:c r="B5855" s="21" t="str">
        <x:v>A05849</x:v>
      </x:c>
      <x:c r="C5855" s="21" t="str">
        <x:v>baseline</x:v>
      </x:c>
      <x:c r="D5855" s="21" t="str">
        <x:v>baseline 965 planning state</x:v>
      </x:c>
      <x:c r="E5855" s="21" t="n">
        <x:f>IF(AND('Baseline Register'!G971="0.0.0",'Baseline Register'!I971="OPEN",'Baseline Register'!J971="HOLD"),1,0)</x:f>
        <x:v>1</x:v>
      </x:c>
      <x:c r="F5855" s="21" t="n">
        <x:v>1</x:v>
      </x:c>
      <x:c r="G5855" s="23" t="str">
        <x:f>IF(E5855=F5855,"PASS","FAIL")</x:f>
        <x:v>PASS</x:v>
      </x:c>
    </x:row>
    <x:row r="5856">
      <x:c r="B5856" s="21" t="str">
        <x:v>A05850</x:v>
      </x:c>
      <x:c r="C5856" s="21" t="str">
        <x:v>baseline</x:v>
      </x:c>
      <x:c r="D5856" s="21" t="str">
        <x:v>baseline 966 planning state</x:v>
      </x:c>
      <x:c r="E5856" s="21" t="n">
        <x:f>IF(AND('Baseline Register'!G972="0.0.0",'Baseline Register'!I972="OPEN",'Baseline Register'!J972="HOLD"),1,0)</x:f>
        <x:v>1</x:v>
      </x:c>
      <x:c r="F5856" s="21" t="n">
        <x:v>1</x:v>
      </x:c>
      <x:c r="G5856" s="23" t="str">
        <x:f>IF(E5856=F5856,"PASS","FAIL")</x:f>
        <x:v>PASS</x:v>
      </x:c>
    </x:row>
    <x:row r="5857">
      <x:c r="B5857" s="21" t="str">
        <x:v>A05851</x:v>
      </x:c>
      <x:c r="C5857" s="21" t="str">
        <x:v>baseline</x:v>
      </x:c>
      <x:c r="D5857" s="21" t="str">
        <x:v>baseline 967 planning state</x:v>
      </x:c>
      <x:c r="E5857" s="21" t="n">
        <x:f>IF(AND('Baseline Register'!G973="0.0.0",'Baseline Register'!I973="OPEN",'Baseline Register'!J973="HOLD"),1,0)</x:f>
        <x:v>1</x:v>
      </x:c>
      <x:c r="F5857" s="21" t="n">
        <x:v>1</x:v>
      </x:c>
      <x:c r="G5857" s="23" t="str">
        <x:f>IF(E5857=F5857,"PASS","FAIL")</x:f>
        <x:v>PASS</x:v>
      </x:c>
    </x:row>
    <x:row r="5858">
      <x:c r="B5858" s="21" t="str">
        <x:v>A05852</x:v>
      </x:c>
      <x:c r="C5858" s="21" t="str">
        <x:v>baseline</x:v>
      </x:c>
      <x:c r="D5858" s="21" t="str">
        <x:v>baseline 968 planning state</x:v>
      </x:c>
      <x:c r="E5858" s="21" t="n">
        <x:f>IF(AND('Baseline Register'!G974="0.0.0",'Baseline Register'!I974="OPEN",'Baseline Register'!J974="HOLD"),1,0)</x:f>
        <x:v>1</x:v>
      </x:c>
      <x:c r="F5858" s="21" t="n">
        <x:v>1</x:v>
      </x:c>
      <x:c r="G5858" s="23" t="str">
        <x:f>IF(E5858=F5858,"PASS","FAIL")</x:f>
        <x:v>PASS</x:v>
      </x:c>
    </x:row>
    <x:row r="5859">
      <x:c r="B5859" s="21" t="str">
        <x:v>A05853</x:v>
      </x:c>
      <x:c r="C5859" s="21" t="str">
        <x:v>baseline</x:v>
      </x:c>
      <x:c r="D5859" s="21" t="str">
        <x:v>baseline 969 planning state</x:v>
      </x:c>
      <x:c r="E5859" s="21" t="n">
        <x:f>IF(AND('Baseline Register'!G975="0.0.0",'Baseline Register'!I975="OPEN",'Baseline Register'!J975="HOLD"),1,0)</x:f>
        <x:v>1</x:v>
      </x:c>
      <x:c r="F5859" s="21" t="n">
        <x:v>1</x:v>
      </x:c>
      <x:c r="G5859" s="23" t="str">
        <x:f>IF(E5859=F5859,"PASS","FAIL")</x:f>
        <x:v>PASS</x:v>
      </x:c>
    </x:row>
    <x:row r="5860">
      <x:c r="B5860" s="21" t="str">
        <x:v>A05854</x:v>
      </x:c>
      <x:c r="C5860" s="21" t="str">
        <x:v>baseline</x:v>
      </x:c>
      <x:c r="D5860" s="21" t="str">
        <x:v>baseline 970 planning state</x:v>
      </x:c>
      <x:c r="E5860" s="21" t="n">
        <x:f>IF(AND('Baseline Register'!G976="0.0.0",'Baseline Register'!I976="OPEN",'Baseline Register'!J976="HOLD"),1,0)</x:f>
        <x:v>1</x:v>
      </x:c>
      <x:c r="F5860" s="21" t="n">
        <x:v>1</x:v>
      </x:c>
      <x:c r="G5860" s="23" t="str">
        <x:f>IF(E5860=F5860,"PASS","FAIL")</x:f>
        <x:v>PASS</x:v>
      </x:c>
    </x:row>
    <x:row r="5861">
      <x:c r="B5861" s="21" t="str">
        <x:v>A05855</x:v>
      </x:c>
      <x:c r="C5861" s="21" t="str">
        <x:v>baseline</x:v>
      </x:c>
      <x:c r="D5861" s="21" t="str">
        <x:v>baseline 971 planning state</x:v>
      </x:c>
      <x:c r="E5861" s="21" t="n">
        <x:f>IF(AND('Baseline Register'!G977="0.0.0",'Baseline Register'!I977="OPEN",'Baseline Register'!J977="HOLD"),1,0)</x:f>
        <x:v>1</x:v>
      </x:c>
      <x:c r="F5861" s="21" t="n">
        <x:v>1</x:v>
      </x:c>
      <x:c r="G5861" s="23" t="str">
        <x:f>IF(E5861=F5861,"PASS","FAIL")</x:f>
        <x:v>PASS</x:v>
      </x:c>
    </x:row>
    <x:row r="5862">
      <x:c r="B5862" s="21" t="str">
        <x:v>A05856</x:v>
      </x:c>
      <x:c r="C5862" s="21" t="str">
        <x:v>baseline</x:v>
      </x:c>
      <x:c r="D5862" s="21" t="str">
        <x:v>baseline 972 planning state</x:v>
      </x:c>
      <x:c r="E5862" s="21" t="n">
        <x:f>IF(AND('Baseline Register'!G978="0.0.0",'Baseline Register'!I978="OPEN",'Baseline Register'!J978="HOLD"),1,0)</x:f>
        <x:v>1</x:v>
      </x:c>
      <x:c r="F5862" s="21" t="n">
        <x:v>1</x:v>
      </x:c>
      <x:c r="G5862" s="23" t="str">
        <x:f>IF(E5862=F5862,"PASS","FAIL")</x:f>
        <x:v>PASS</x:v>
      </x:c>
    </x:row>
    <x:row r="5863">
      <x:c r="B5863" s="21" t="str">
        <x:v>A05857</x:v>
      </x:c>
      <x:c r="C5863" s="21" t="str">
        <x:v>baseline</x:v>
      </x:c>
      <x:c r="D5863" s="21" t="str">
        <x:v>baseline 973 planning state</x:v>
      </x:c>
      <x:c r="E5863" s="21" t="n">
        <x:f>IF(AND('Baseline Register'!G979="0.0.0",'Baseline Register'!I979="OPEN",'Baseline Register'!J979="HOLD"),1,0)</x:f>
        <x:v>1</x:v>
      </x:c>
      <x:c r="F5863" s="21" t="n">
        <x:v>1</x:v>
      </x:c>
      <x:c r="G5863" s="23" t="str">
        <x:f>IF(E5863=F5863,"PASS","FAIL")</x:f>
        <x:v>PASS</x:v>
      </x:c>
    </x:row>
    <x:row r="5864">
      <x:c r="B5864" s="21" t="str">
        <x:v>A05858</x:v>
      </x:c>
      <x:c r="C5864" s="21" t="str">
        <x:v>baseline</x:v>
      </x:c>
      <x:c r="D5864" s="21" t="str">
        <x:v>baseline 974 planning state</x:v>
      </x:c>
      <x:c r="E5864" s="21" t="n">
        <x:f>IF(AND('Baseline Register'!G980="0.0.0",'Baseline Register'!I980="OPEN",'Baseline Register'!J980="HOLD"),1,0)</x:f>
        <x:v>1</x:v>
      </x:c>
      <x:c r="F5864" s="21" t="n">
        <x:v>1</x:v>
      </x:c>
      <x:c r="G5864" s="23" t="str">
        <x:f>IF(E5864=F5864,"PASS","FAIL")</x:f>
        <x:v>PASS</x:v>
      </x:c>
    </x:row>
    <x:row r="5865">
      <x:c r="B5865" s="21" t="str">
        <x:v>A05859</x:v>
      </x:c>
      <x:c r="C5865" s="21" t="str">
        <x:v>baseline</x:v>
      </x:c>
      <x:c r="D5865" s="21" t="str">
        <x:v>baseline 975 planning state</x:v>
      </x:c>
      <x:c r="E5865" s="21" t="n">
        <x:f>IF(AND('Baseline Register'!G981="0.0.0",'Baseline Register'!I981="OPEN",'Baseline Register'!J981="HOLD"),1,0)</x:f>
        <x:v>1</x:v>
      </x:c>
      <x:c r="F5865" s="21" t="n">
        <x:v>1</x:v>
      </x:c>
      <x:c r="G5865" s="23" t="str">
        <x:f>IF(E5865=F5865,"PASS","FAIL")</x:f>
        <x:v>PASS</x:v>
      </x:c>
    </x:row>
    <x:row r="5866">
      <x:c r="B5866" s="21" t="str">
        <x:v>A05860</x:v>
      </x:c>
      <x:c r="C5866" s="21" t="str">
        <x:v>baseline</x:v>
      </x:c>
      <x:c r="D5866" s="21" t="str">
        <x:v>baseline 976 planning state</x:v>
      </x:c>
      <x:c r="E5866" s="21" t="n">
        <x:f>IF(AND('Baseline Register'!G982="0.0.0",'Baseline Register'!I982="OPEN",'Baseline Register'!J982="HOLD"),1,0)</x:f>
        <x:v>1</x:v>
      </x:c>
      <x:c r="F5866" s="21" t="n">
        <x:v>1</x:v>
      </x:c>
      <x:c r="G5866" s="23" t="str">
        <x:f>IF(E5866=F5866,"PASS","FAIL")</x:f>
        <x:v>PASS</x:v>
      </x:c>
    </x:row>
    <x:row r="5867">
      <x:c r="B5867" s="21" t="str">
        <x:v>A05861</x:v>
      </x:c>
      <x:c r="C5867" s="21" t="str">
        <x:v>baseline</x:v>
      </x:c>
      <x:c r="D5867" s="21" t="str">
        <x:v>baseline 977 planning state</x:v>
      </x:c>
      <x:c r="E5867" s="21" t="n">
        <x:f>IF(AND('Baseline Register'!G983="0.0.0",'Baseline Register'!I983="OPEN",'Baseline Register'!J983="HOLD"),1,0)</x:f>
        <x:v>1</x:v>
      </x:c>
      <x:c r="F5867" s="21" t="n">
        <x:v>1</x:v>
      </x:c>
      <x:c r="G5867" s="23" t="str">
        <x:f>IF(E5867=F5867,"PASS","FAIL")</x:f>
        <x:v>PASS</x:v>
      </x:c>
    </x:row>
    <x:row r="5868">
      <x:c r="B5868" s="21" t="str">
        <x:v>A05862</x:v>
      </x:c>
      <x:c r="C5868" s="21" t="str">
        <x:v>baseline</x:v>
      </x:c>
      <x:c r="D5868" s="21" t="str">
        <x:v>baseline 978 planning state</x:v>
      </x:c>
      <x:c r="E5868" s="21" t="n">
        <x:f>IF(AND('Baseline Register'!G984="0.0.0",'Baseline Register'!I984="OPEN",'Baseline Register'!J984="HOLD"),1,0)</x:f>
        <x:v>1</x:v>
      </x:c>
      <x:c r="F5868" s="21" t="n">
        <x:v>1</x:v>
      </x:c>
      <x:c r="G5868" s="23" t="str">
        <x:f>IF(E5868=F5868,"PASS","FAIL")</x:f>
        <x:v>PASS</x:v>
      </x:c>
    </x:row>
    <x:row r="5869">
      <x:c r="B5869" s="21" t="str">
        <x:v>A05863</x:v>
      </x:c>
      <x:c r="C5869" s="21" t="str">
        <x:v>baseline</x:v>
      </x:c>
      <x:c r="D5869" s="21" t="str">
        <x:v>baseline 979 planning state</x:v>
      </x:c>
      <x:c r="E5869" s="21" t="n">
        <x:f>IF(AND('Baseline Register'!G985="0.0.0",'Baseline Register'!I985="OPEN",'Baseline Register'!J985="HOLD"),1,0)</x:f>
        <x:v>1</x:v>
      </x:c>
      <x:c r="F5869" s="21" t="n">
        <x:v>1</x:v>
      </x:c>
      <x:c r="G5869" s="23" t="str">
        <x:f>IF(E5869=F5869,"PASS","FAIL")</x:f>
        <x:v>PASS</x:v>
      </x:c>
    </x:row>
    <x:row r="5870">
      <x:c r="B5870" s="21" t="str">
        <x:v>A05864</x:v>
      </x:c>
      <x:c r="C5870" s="21" t="str">
        <x:v>baseline</x:v>
      </x:c>
      <x:c r="D5870" s="21" t="str">
        <x:v>baseline 980 planning state</x:v>
      </x:c>
      <x:c r="E5870" s="21" t="n">
        <x:f>IF(AND('Baseline Register'!G986="0.0.0",'Baseline Register'!I986="OPEN",'Baseline Register'!J986="HOLD"),1,0)</x:f>
        <x:v>1</x:v>
      </x:c>
      <x:c r="F5870" s="21" t="n">
        <x:v>1</x:v>
      </x:c>
      <x:c r="G5870" s="23" t="str">
        <x:f>IF(E5870=F5870,"PASS","FAIL")</x:f>
        <x:v>PASS</x:v>
      </x:c>
    </x:row>
    <x:row r="5871">
      <x:c r="B5871" s="21" t="str">
        <x:v>A05865</x:v>
      </x:c>
      <x:c r="C5871" s="21" t="str">
        <x:v>baseline</x:v>
      </x:c>
      <x:c r="D5871" s="21" t="str">
        <x:v>baseline 981 planning state</x:v>
      </x:c>
      <x:c r="E5871" s="21" t="n">
        <x:f>IF(AND('Baseline Register'!G987="0.0.0",'Baseline Register'!I987="OPEN",'Baseline Register'!J987="HOLD"),1,0)</x:f>
        <x:v>1</x:v>
      </x:c>
      <x:c r="F5871" s="21" t="n">
        <x:v>1</x:v>
      </x:c>
      <x:c r="G5871" s="23" t="str">
        <x:f>IF(E5871=F5871,"PASS","FAIL")</x:f>
        <x:v>PASS</x:v>
      </x:c>
    </x:row>
    <x:row r="5872">
      <x:c r="B5872" s="21" t="str">
        <x:v>A05866</x:v>
      </x:c>
      <x:c r="C5872" s="21" t="str">
        <x:v>baseline</x:v>
      </x:c>
      <x:c r="D5872" s="21" t="str">
        <x:v>baseline 982 planning state</x:v>
      </x:c>
      <x:c r="E5872" s="21" t="n">
        <x:f>IF(AND('Baseline Register'!G988="0.0.0",'Baseline Register'!I988="OPEN",'Baseline Register'!J988="HOLD"),1,0)</x:f>
        <x:v>1</x:v>
      </x:c>
      <x:c r="F5872" s="21" t="n">
        <x:v>1</x:v>
      </x:c>
      <x:c r="G5872" s="23" t="str">
        <x:f>IF(E5872=F5872,"PASS","FAIL")</x:f>
        <x:v>PASS</x:v>
      </x:c>
    </x:row>
    <x:row r="5873">
      <x:c r="B5873" s="21" t="str">
        <x:v>A05867</x:v>
      </x:c>
      <x:c r="C5873" s="21" t="str">
        <x:v>baseline</x:v>
      </x:c>
      <x:c r="D5873" s="21" t="str">
        <x:v>baseline 983 planning state</x:v>
      </x:c>
      <x:c r="E5873" s="21" t="n">
        <x:f>IF(AND('Baseline Register'!G989="0.0.0",'Baseline Register'!I989="OPEN",'Baseline Register'!J989="HOLD"),1,0)</x:f>
        <x:v>1</x:v>
      </x:c>
      <x:c r="F5873" s="21" t="n">
        <x:v>1</x:v>
      </x:c>
      <x:c r="G5873" s="23" t="str">
        <x:f>IF(E5873=F5873,"PASS","FAIL")</x:f>
        <x:v>PASS</x:v>
      </x:c>
    </x:row>
    <x:row r="5874">
      <x:c r="B5874" s="21" t="str">
        <x:v>A05868</x:v>
      </x:c>
      <x:c r="C5874" s="21" t="str">
        <x:v>baseline</x:v>
      </x:c>
      <x:c r="D5874" s="21" t="str">
        <x:v>baseline 984 planning state</x:v>
      </x:c>
      <x:c r="E5874" s="21" t="n">
        <x:f>IF(AND('Baseline Register'!G990="0.0.0",'Baseline Register'!I990="OPEN",'Baseline Register'!J990="HOLD"),1,0)</x:f>
        <x:v>1</x:v>
      </x:c>
      <x:c r="F5874" s="21" t="n">
        <x:v>1</x:v>
      </x:c>
      <x:c r="G5874" s="23" t="str">
        <x:f>IF(E5874=F5874,"PASS","FAIL")</x:f>
        <x:v>PASS</x:v>
      </x:c>
    </x:row>
    <x:row r="5875">
      <x:c r="B5875" s="21" t="str">
        <x:v>A05869</x:v>
      </x:c>
      <x:c r="C5875" s="21" t="str">
        <x:v>baseline</x:v>
      </x:c>
      <x:c r="D5875" s="21" t="str">
        <x:v>baseline 985 planning state</x:v>
      </x:c>
      <x:c r="E5875" s="21" t="n">
        <x:f>IF(AND('Baseline Register'!G991="0.0.0",'Baseline Register'!I991="OPEN",'Baseline Register'!J991="HOLD"),1,0)</x:f>
        <x:v>1</x:v>
      </x:c>
      <x:c r="F5875" s="21" t="n">
        <x:v>1</x:v>
      </x:c>
      <x:c r="G5875" s="23" t="str">
        <x:f>IF(E5875=F5875,"PASS","FAIL")</x:f>
        <x:v>PASS</x:v>
      </x:c>
    </x:row>
    <x:row r="5876">
      <x:c r="B5876" s="21" t="str">
        <x:v>A05870</x:v>
      </x:c>
      <x:c r="C5876" s="21" t="str">
        <x:v>baseline</x:v>
      </x:c>
      <x:c r="D5876" s="21" t="str">
        <x:v>baseline 986 planning state</x:v>
      </x:c>
      <x:c r="E5876" s="21" t="n">
        <x:f>IF(AND('Baseline Register'!G992="0.0.0",'Baseline Register'!I992="OPEN",'Baseline Register'!J992="HOLD"),1,0)</x:f>
        <x:v>1</x:v>
      </x:c>
      <x:c r="F5876" s="21" t="n">
        <x:v>1</x:v>
      </x:c>
      <x:c r="G5876" s="23" t="str">
        <x:f>IF(E5876=F5876,"PASS","FAIL")</x:f>
        <x:v>PASS</x:v>
      </x:c>
    </x:row>
    <x:row r="5877">
      <x:c r="B5877" s="21" t="str">
        <x:v>A05871</x:v>
      </x:c>
      <x:c r="C5877" s="21" t="str">
        <x:v>baseline</x:v>
      </x:c>
      <x:c r="D5877" s="21" t="str">
        <x:v>baseline 987 planning state</x:v>
      </x:c>
      <x:c r="E5877" s="21" t="n">
        <x:f>IF(AND('Baseline Register'!G993="0.0.0",'Baseline Register'!I993="OPEN",'Baseline Register'!J993="HOLD"),1,0)</x:f>
        <x:v>1</x:v>
      </x:c>
      <x:c r="F5877" s="21" t="n">
        <x:v>1</x:v>
      </x:c>
      <x:c r="G5877" s="23" t="str">
        <x:f>IF(E5877=F5877,"PASS","FAIL")</x:f>
        <x:v>PASS</x:v>
      </x:c>
    </x:row>
    <x:row r="5878">
      <x:c r="B5878" s="21" t="str">
        <x:v>A05872</x:v>
      </x:c>
      <x:c r="C5878" s="21" t="str">
        <x:v>baseline</x:v>
      </x:c>
      <x:c r="D5878" s="21" t="str">
        <x:v>baseline 988 planning state</x:v>
      </x:c>
      <x:c r="E5878" s="21" t="n">
        <x:f>IF(AND('Baseline Register'!G994="0.0.0",'Baseline Register'!I994="OPEN",'Baseline Register'!J994="HOLD"),1,0)</x:f>
        <x:v>1</x:v>
      </x:c>
      <x:c r="F5878" s="21" t="n">
        <x:v>1</x:v>
      </x:c>
      <x:c r="G5878" s="23" t="str">
        <x:f>IF(E5878=F5878,"PASS","FAIL")</x:f>
        <x:v>PASS</x:v>
      </x:c>
    </x:row>
    <x:row r="5879">
      <x:c r="B5879" s="21" t="str">
        <x:v>A05873</x:v>
      </x:c>
      <x:c r="C5879" s="21" t="str">
        <x:v>baseline</x:v>
      </x:c>
      <x:c r="D5879" s="21" t="str">
        <x:v>baseline 989 planning state</x:v>
      </x:c>
      <x:c r="E5879" s="21" t="n">
        <x:f>IF(AND('Baseline Register'!G995="0.0.0",'Baseline Register'!I995="OPEN",'Baseline Register'!J995="HOLD"),1,0)</x:f>
        <x:v>1</x:v>
      </x:c>
      <x:c r="F5879" s="21" t="n">
        <x:v>1</x:v>
      </x:c>
      <x:c r="G5879" s="23" t="str">
        <x:f>IF(E5879=F5879,"PASS","FAIL")</x:f>
        <x:v>PASS</x:v>
      </x:c>
    </x:row>
    <x:row r="5880">
      <x:c r="B5880" s="21" t="str">
        <x:v>A05874</x:v>
      </x:c>
      <x:c r="C5880" s="21" t="str">
        <x:v>baseline</x:v>
      </x:c>
      <x:c r="D5880" s="21" t="str">
        <x:v>baseline 990 planning state</x:v>
      </x:c>
      <x:c r="E5880" s="21" t="n">
        <x:f>IF(AND('Baseline Register'!G996="0.0.0",'Baseline Register'!I996="OPEN",'Baseline Register'!J996="HOLD"),1,0)</x:f>
        <x:v>1</x:v>
      </x:c>
      <x:c r="F5880" s="21" t="n">
        <x:v>1</x:v>
      </x:c>
      <x:c r="G5880" s="23" t="str">
        <x:f>IF(E5880=F5880,"PASS","FAIL")</x:f>
        <x:v>PASS</x:v>
      </x:c>
    </x:row>
    <x:row r="5881">
      <x:c r="B5881" s="21" t="str">
        <x:v>A05875</x:v>
      </x:c>
      <x:c r="C5881" s="21" t="str">
        <x:v>baseline</x:v>
      </x:c>
      <x:c r="D5881" s="21" t="str">
        <x:v>baseline 991 planning state</x:v>
      </x:c>
      <x:c r="E5881" s="21" t="n">
        <x:f>IF(AND('Baseline Register'!G997="0.0.0",'Baseline Register'!I997="OPEN",'Baseline Register'!J997="HOLD"),1,0)</x:f>
        <x:v>1</x:v>
      </x:c>
      <x:c r="F5881" s="21" t="n">
        <x:v>1</x:v>
      </x:c>
      <x:c r="G5881" s="23" t="str">
        <x:f>IF(E5881=F5881,"PASS","FAIL")</x:f>
        <x:v>PASS</x:v>
      </x:c>
    </x:row>
    <x:row r="5882">
      <x:c r="B5882" s="21" t="str">
        <x:v>A05876</x:v>
      </x:c>
      <x:c r="C5882" s="21" t="str">
        <x:v>baseline</x:v>
      </x:c>
      <x:c r="D5882" s="21" t="str">
        <x:v>baseline 992 planning state</x:v>
      </x:c>
      <x:c r="E5882" s="21" t="n">
        <x:f>IF(AND('Baseline Register'!G998="0.0.0",'Baseline Register'!I998="OPEN",'Baseline Register'!J998="HOLD"),1,0)</x:f>
        <x:v>1</x:v>
      </x:c>
      <x:c r="F5882" s="21" t="n">
        <x:v>1</x:v>
      </x:c>
      <x:c r="G5882" s="23" t="str">
        <x:f>IF(E5882=F5882,"PASS","FAIL")</x:f>
        <x:v>PASS</x:v>
      </x:c>
    </x:row>
    <x:row r="5883">
      <x:c r="B5883" s="21" t="str">
        <x:v>A05877</x:v>
      </x:c>
      <x:c r="C5883" s="21" t="str">
        <x:v>baseline</x:v>
      </x:c>
      <x:c r="D5883" s="21" t="str">
        <x:v>baseline 993 planning state</x:v>
      </x:c>
      <x:c r="E5883" s="21" t="n">
        <x:f>IF(AND('Baseline Register'!G999="0.0.0",'Baseline Register'!I999="OPEN",'Baseline Register'!J999="HOLD"),1,0)</x:f>
        <x:v>1</x:v>
      </x:c>
      <x:c r="F5883" s="21" t="n">
        <x:v>1</x:v>
      </x:c>
      <x:c r="G5883" s="23" t="str">
        <x:f>IF(E5883=F5883,"PASS","FAIL")</x:f>
        <x:v>PASS</x:v>
      </x:c>
    </x:row>
    <x:row r="5884">
      <x:c r="B5884" s="21" t="str">
        <x:v>A05878</x:v>
      </x:c>
      <x:c r="C5884" s="21" t="str">
        <x:v>baseline</x:v>
      </x:c>
      <x:c r="D5884" s="21" t="str">
        <x:v>baseline 994 planning state</x:v>
      </x:c>
      <x:c r="E5884" s="21" t="n">
        <x:f>IF(AND('Baseline Register'!G1000="0.0.0",'Baseline Register'!I1000="OPEN",'Baseline Register'!J1000="HOLD"),1,0)</x:f>
        <x:v>1</x:v>
      </x:c>
      <x:c r="F5884" s="21" t="n">
        <x:v>1</x:v>
      </x:c>
      <x:c r="G5884" s="23" t="str">
        <x:f>IF(E5884=F5884,"PASS","FAIL")</x:f>
        <x:v>PASS</x:v>
      </x:c>
    </x:row>
    <x:row r="5885">
      <x:c r="B5885" s="21" t="str">
        <x:v>A05879</x:v>
      </x:c>
      <x:c r="C5885" s="21" t="str">
        <x:v>baseline</x:v>
      </x:c>
      <x:c r="D5885" s="21" t="str">
        <x:v>baseline 995 planning state</x:v>
      </x:c>
      <x:c r="E5885" s="21" t="n">
        <x:f>IF(AND('Baseline Register'!G1001="0.0.0",'Baseline Register'!I1001="OPEN",'Baseline Register'!J1001="HOLD"),1,0)</x:f>
        <x:v>1</x:v>
      </x:c>
      <x:c r="F5885" s="21" t="n">
        <x:v>1</x:v>
      </x:c>
      <x:c r="G5885" s="23" t="str">
        <x:f>IF(E5885=F5885,"PASS","FAIL")</x:f>
        <x:v>PASS</x:v>
      </x:c>
    </x:row>
    <x:row r="5886">
      <x:c r="B5886" s="21" t="str">
        <x:v>A05880</x:v>
      </x:c>
      <x:c r="C5886" s="21" t="str">
        <x:v>baseline</x:v>
      </x:c>
      <x:c r="D5886" s="21" t="str">
        <x:v>baseline 996 planning state</x:v>
      </x:c>
      <x:c r="E5886" s="21" t="n">
        <x:f>IF(AND('Baseline Register'!G1002="0.0.0",'Baseline Register'!I1002="OPEN",'Baseline Register'!J1002="HOLD"),1,0)</x:f>
        <x:v>1</x:v>
      </x:c>
      <x:c r="F5886" s="21" t="n">
        <x:v>1</x:v>
      </x:c>
      <x:c r="G5886" s="23" t="str">
        <x:f>IF(E5886=F5886,"PASS","FAIL")</x:f>
        <x:v>PASS</x:v>
      </x:c>
    </x:row>
    <x:row r="5887">
      <x:c r="B5887" s="21" t="str">
        <x:v>A05881</x:v>
      </x:c>
      <x:c r="C5887" s="21" t="str">
        <x:v>baseline</x:v>
      </x:c>
      <x:c r="D5887" s="21" t="str">
        <x:v>baseline 997 planning state</x:v>
      </x:c>
      <x:c r="E5887" s="21" t="n">
        <x:f>IF(AND('Baseline Register'!G1003="0.0.0",'Baseline Register'!I1003="OPEN",'Baseline Register'!J1003="HOLD"),1,0)</x:f>
        <x:v>1</x:v>
      </x:c>
      <x:c r="F5887" s="21" t="n">
        <x:v>1</x:v>
      </x:c>
      <x:c r="G5887" s="23" t="str">
        <x:f>IF(E5887=F5887,"PASS","FAIL")</x:f>
        <x:v>PASS</x:v>
      </x:c>
    </x:row>
    <x:row r="5888">
      <x:c r="B5888" s="21" t="str">
        <x:v>A05882</x:v>
      </x:c>
      <x:c r="C5888" s="21" t="str">
        <x:v>baseline</x:v>
      </x:c>
      <x:c r="D5888" s="21" t="str">
        <x:v>baseline 998 planning state</x:v>
      </x:c>
      <x:c r="E5888" s="21" t="n">
        <x:f>IF(AND('Baseline Register'!G1004="0.0.0",'Baseline Register'!I1004="OPEN",'Baseline Register'!J1004="HOLD"),1,0)</x:f>
        <x:v>1</x:v>
      </x:c>
      <x:c r="F5888" s="21" t="n">
        <x:v>1</x:v>
      </x:c>
      <x:c r="G5888" s="23" t="str">
        <x:f>IF(E5888=F5888,"PASS","FAIL")</x:f>
        <x:v>PASS</x:v>
      </x:c>
    </x:row>
    <x:row r="5889">
      <x:c r="B5889" s="21" t="str">
        <x:v>A05883</x:v>
      </x:c>
      <x:c r="C5889" s="21" t="str">
        <x:v>baseline</x:v>
      </x:c>
      <x:c r="D5889" s="21" t="str">
        <x:v>baseline 999 planning state</x:v>
      </x:c>
      <x:c r="E5889" s="21" t="n">
        <x:f>IF(AND('Baseline Register'!G1005="0.0.0",'Baseline Register'!I1005="OPEN",'Baseline Register'!J1005="HOLD"),1,0)</x:f>
        <x:v>1</x:v>
      </x:c>
      <x:c r="F5889" s="21" t="n">
        <x:v>1</x:v>
      </x:c>
      <x:c r="G5889" s="23" t="str">
        <x:f>IF(E5889=F5889,"PASS","FAIL")</x:f>
        <x:v>PASS</x:v>
      </x:c>
    </x:row>
    <x:row r="5890">
      <x:c r="B5890" s="21" t="str">
        <x:v>A05884</x:v>
      </x:c>
      <x:c r="C5890" s="21" t="str">
        <x:v>baseline</x:v>
      </x:c>
      <x:c r="D5890" s="21" t="str">
        <x:v>baseline 1000 planning state</x:v>
      </x:c>
      <x:c r="E5890" s="21" t="n">
        <x:f>IF(AND('Baseline Register'!G1006="0.0.0",'Baseline Register'!I1006="OPEN",'Baseline Register'!J1006="HOLD"),1,0)</x:f>
        <x:v>1</x:v>
      </x:c>
      <x:c r="F5890" s="21" t="n">
        <x:v>1</x:v>
      </x:c>
      <x:c r="G5890" s="23" t="str">
        <x:f>IF(E5890=F5890,"PASS","FAIL")</x:f>
        <x:v>PASS</x:v>
      </x:c>
    </x:row>
    <x:row r="5891">
      <x:c r="B5891" s="21" t="str">
        <x:v>A05885</x:v>
      </x:c>
      <x:c r="C5891" s="21" t="str">
        <x:v>baseline</x:v>
      </x:c>
      <x:c r="D5891" s="21" t="str">
        <x:v>baseline 1001 planning state</x:v>
      </x:c>
      <x:c r="E5891" s="21" t="n">
        <x:f>IF(AND('Baseline Register'!G1007="0.0.0",'Baseline Register'!I1007="OPEN",'Baseline Register'!J1007="HOLD"),1,0)</x:f>
        <x:v>1</x:v>
      </x:c>
      <x:c r="F5891" s="21" t="n">
        <x:v>1</x:v>
      </x:c>
      <x:c r="G5891" s="23" t="str">
        <x:f>IF(E5891=F5891,"PASS","FAIL")</x:f>
        <x:v>PASS</x:v>
      </x:c>
    </x:row>
    <x:row r="5892">
      <x:c r="B5892" s="21" t="str">
        <x:v>A05886</x:v>
      </x:c>
      <x:c r="C5892" s="21" t="str">
        <x:v>baseline</x:v>
      </x:c>
      <x:c r="D5892" s="21" t="str">
        <x:v>baseline 1002 planning state</x:v>
      </x:c>
      <x:c r="E5892" s="21" t="n">
        <x:f>IF(AND('Baseline Register'!G1008="0.0.0",'Baseline Register'!I1008="OPEN",'Baseline Register'!J1008="HOLD"),1,0)</x:f>
        <x:v>1</x:v>
      </x:c>
      <x:c r="F5892" s="21" t="n">
        <x:v>1</x:v>
      </x:c>
      <x:c r="G5892" s="23" t="str">
        <x:f>IF(E5892=F5892,"PASS","FAIL")</x:f>
        <x:v>PASS</x:v>
      </x:c>
    </x:row>
    <x:row r="5893">
      <x:c r="B5893" s="21" t="str">
        <x:v>A05887</x:v>
      </x:c>
      <x:c r="C5893" s="21" t="str">
        <x:v>baseline</x:v>
      </x:c>
      <x:c r="D5893" s="21" t="str">
        <x:v>baseline 1003 planning state</x:v>
      </x:c>
      <x:c r="E5893" s="21" t="n">
        <x:f>IF(AND('Baseline Register'!G1009="0.0.0",'Baseline Register'!I1009="OPEN",'Baseline Register'!J1009="HOLD"),1,0)</x:f>
        <x:v>1</x:v>
      </x:c>
      <x:c r="F5893" s="21" t="n">
        <x:v>1</x:v>
      </x:c>
      <x:c r="G5893" s="23" t="str">
        <x:f>IF(E5893=F5893,"PASS","FAIL")</x:f>
        <x:v>PASS</x:v>
      </x:c>
    </x:row>
    <x:row r="5894">
      <x:c r="B5894" s="21" t="str">
        <x:v>A05888</x:v>
      </x:c>
      <x:c r="C5894" s="21" t="str">
        <x:v>baseline</x:v>
      </x:c>
      <x:c r="D5894" s="21" t="str">
        <x:v>baseline 1004 planning state</x:v>
      </x:c>
      <x:c r="E5894" s="21" t="n">
        <x:f>IF(AND('Baseline Register'!G1010="0.0.0",'Baseline Register'!I1010="OPEN",'Baseline Register'!J1010="HOLD"),1,0)</x:f>
        <x:v>1</x:v>
      </x:c>
      <x:c r="F5894" s="21" t="n">
        <x:v>1</x:v>
      </x:c>
      <x:c r="G5894" s="23" t="str">
        <x:f>IF(E5894=F5894,"PASS","FAIL")</x:f>
        <x:v>PASS</x:v>
      </x:c>
    </x:row>
    <x:row r="5895">
      <x:c r="B5895" s="21" t="str">
        <x:v>A05889</x:v>
      </x:c>
      <x:c r="C5895" s="21" t="str">
        <x:v>baseline</x:v>
      </x:c>
      <x:c r="D5895" s="21" t="str">
        <x:v>baseline 1005 planning state</x:v>
      </x:c>
      <x:c r="E5895" s="21" t="n">
        <x:f>IF(AND('Baseline Register'!G1011="0.0.0",'Baseline Register'!I1011="OPEN",'Baseline Register'!J1011="HOLD"),1,0)</x:f>
        <x:v>1</x:v>
      </x:c>
      <x:c r="F5895" s="21" t="n">
        <x:v>1</x:v>
      </x:c>
      <x:c r="G5895" s="23" t="str">
        <x:f>IF(E5895=F5895,"PASS","FAIL")</x:f>
        <x:v>PASS</x:v>
      </x:c>
    </x:row>
    <x:row r="5896">
      <x:c r="B5896" s="21" t="str">
        <x:v>A05890</x:v>
      </x:c>
      <x:c r="C5896" s="21" t="str">
        <x:v>baseline</x:v>
      </x:c>
      <x:c r="D5896" s="21" t="str">
        <x:v>baseline 1006 planning state</x:v>
      </x:c>
      <x:c r="E5896" s="21" t="n">
        <x:f>IF(AND('Baseline Register'!G1012="0.0.0",'Baseline Register'!I1012="OPEN",'Baseline Register'!J1012="HOLD"),1,0)</x:f>
        <x:v>1</x:v>
      </x:c>
      <x:c r="F5896" s="21" t="n">
        <x:v>1</x:v>
      </x:c>
      <x:c r="G5896" s="23" t="str">
        <x:f>IF(E5896=F5896,"PASS","FAIL")</x:f>
        <x:v>PASS</x:v>
      </x:c>
    </x:row>
    <x:row r="5897">
      <x:c r="B5897" s="21" t="str">
        <x:v>A05891</x:v>
      </x:c>
      <x:c r="C5897" s="21" t="str">
        <x:v>baseline</x:v>
      </x:c>
      <x:c r="D5897" s="21" t="str">
        <x:v>baseline 1007 planning state</x:v>
      </x:c>
      <x:c r="E5897" s="21" t="n">
        <x:f>IF(AND('Baseline Register'!G1013="0.0.0",'Baseline Register'!I1013="OPEN",'Baseline Register'!J1013="HOLD"),1,0)</x:f>
        <x:v>1</x:v>
      </x:c>
      <x:c r="F5897" s="21" t="n">
        <x:v>1</x:v>
      </x:c>
      <x:c r="G5897" s="23" t="str">
        <x:f>IF(E5897=F5897,"PASS","FAIL")</x:f>
        <x:v>PASS</x:v>
      </x:c>
    </x:row>
    <x:row r="5898">
      <x:c r="B5898" s="21" t="str">
        <x:v>A05892</x:v>
      </x:c>
      <x:c r="C5898" s="21" t="str">
        <x:v>baseline</x:v>
      </x:c>
      <x:c r="D5898" s="21" t="str">
        <x:v>baseline 1008 planning state</x:v>
      </x:c>
      <x:c r="E5898" s="21" t="n">
        <x:f>IF(AND('Baseline Register'!G1014="0.0.0",'Baseline Register'!I1014="OPEN",'Baseline Register'!J1014="HOLD"),1,0)</x:f>
        <x:v>1</x:v>
      </x:c>
      <x:c r="F5898" s="21" t="n">
        <x:v>1</x:v>
      </x:c>
      <x:c r="G5898" s="23" t="str">
        <x:f>IF(E5898=F5898,"PASS","FAIL")</x:f>
        <x:v>PASS</x:v>
      </x:c>
    </x:row>
    <x:row r="5899">
      <x:c r="B5899" s="21" t="str">
        <x:v>A05893</x:v>
      </x:c>
      <x:c r="C5899" s="21" t="str">
        <x:v>baseline</x:v>
      </x:c>
      <x:c r="D5899" s="21" t="str">
        <x:v>baseline 1009 planning state</x:v>
      </x:c>
      <x:c r="E5899" s="21" t="n">
        <x:f>IF(AND('Baseline Register'!G1015="0.0.0",'Baseline Register'!I1015="OPEN",'Baseline Register'!J1015="HOLD"),1,0)</x:f>
        <x:v>1</x:v>
      </x:c>
      <x:c r="F5899" s="21" t="n">
        <x:v>1</x:v>
      </x:c>
      <x:c r="G5899" s="23" t="str">
        <x:f>IF(E5899=F5899,"PASS","FAIL")</x:f>
        <x:v>PASS</x:v>
      </x:c>
    </x:row>
    <x:row r="5900">
      <x:c r="B5900" s="21" t="str">
        <x:v>A05894</x:v>
      </x:c>
      <x:c r="C5900" s="21" t="str">
        <x:v>baseline</x:v>
      </x:c>
      <x:c r="D5900" s="21" t="str">
        <x:v>baseline 1010 planning state</x:v>
      </x:c>
      <x:c r="E5900" s="21" t="n">
        <x:f>IF(AND('Baseline Register'!G1016="0.0.0",'Baseline Register'!I1016="OPEN",'Baseline Register'!J1016="HOLD"),1,0)</x:f>
        <x:v>1</x:v>
      </x:c>
      <x:c r="F5900" s="21" t="n">
        <x:v>1</x:v>
      </x:c>
      <x:c r="G5900" s="23" t="str">
        <x:f>IF(E5900=F5900,"PASS","FAIL")</x:f>
        <x:v>PASS</x:v>
      </x:c>
    </x:row>
    <x:row r="5901">
      <x:c r="B5901" s="21" t="str">
        <x:v>A05895</x:v>
      </x:c>
      <x:c r="C5901" s="21" t="str">
        <x:v>baseline</x:v>
      </x:c>
      <x:c r="D5901" s="21" t="str">
        <x:v>baseline 1011 planning state</x:v>
      </x:c>
      <x:c r="E5901" s="21" t="n">
        <x:f>IF(AND('Baseline Register'!G1017="0.0.0",'Baseline Register'!I1017="OPEN",'Baseline Register'!J1017="HOLD"),1,0)</x:f>
        <x:v>1</x:v>
      </x:c>
      <x:c r="F5901" s="21" t="n">
        <x:v>1</x:v>
      </x:c>
      <x:c r="G5901" s="23" t="str">
        <x:f>IF(E5901=F5901,"PASS","FAIL")</x:f>
        <x:v>PASS</x:v>
      </x:c>
    </x:row>
    <x:row r="5902">
      <x:c r="B5902" s="21" t="str">
        <x:v>A05896</x:v>
      </x:c>
      <x:c r="C5902" s="21" t="str">
        <x:v>baseline</x:v>
      </x:c>
      <x:c r="D5902" s="21" t="str">
        <x:v>baseline 1012 planning state</x:v>
      </x:c>
      <x:c r="E5902" s="21" t="n">
        <x:f>IF(AND('Baseline Register'!G1018="0.0.0",'Baseline Register'!I1018="OPEN",'Baseline Register'!J1018="HOLD"),1,0)</x:f>
        <x:v>1</x:v>
      </x:c>
      <x:c r="F5902" s="21" t="n">
        <x:v>1</x:v>
      </x:c>
      <x:c r="G5902" s="23" t="str">
        <x:f>IF(E5902=F5902,"PASS","FAIL")</x:f>
        <x:v>PASS</x:v>
      </x:c>
    </x:row>
    <x:row r="5903">
      <x:c r="B5903" s="21" t="str">
        <x:v>A05897</x:v>
      </x:c>
      <x:c r="C5903" s="21" t="str">
        <x:v>baseline</x:v>
      </x:c>
      <x:c r="D5903" s="21" t="str">
        <x:v>baseline 1013 planning state</x:v>
      </x:c>
      <x:c r="E5903" s="21" t="n">
        <x:f>IF(AND('Baseline Register'!G1019="0.0.0",'Baseline Register'!I1019="OPEN",'Baseline Register'!J1019="HOLD"),1,0)</x:f>
        <x:v>1</x:v>
      </x:c>
      <x:c r="F5903" s="21" t="n">
        <x:v>1</x:v>
      </x:c>
      <x:c r="G5903" s="23" t="str">
        <x:f>IF(E5903=F5903,"PASS","FAIL")</x:f>
        <x:v>PASS</x:v>
      </x:c>
    </x:row>
    <x:row r="5904">
      <x:c r="B5904" s="21" t="str">
        <x:v>A05898</x:v>
      </x:c>
      <x:c r="C5904" s="21" t="str">
        <x:v>baseline</x:v>
      </x:c>
      <x:c r="D5904" s="21" t="str">
        <x:v>baseline 1014 planning state</x:v>
      </x:c>
      <x:c r="E5904" s="21" t="n">
        <x:f>IF(AND('Baseline Register'!G1020="0.0.0",'Baseline Register'!I1020="OPEN",'Baseline Register'!J1020="HOLD"),1,0)</x:f>
        <x:v>1</x:v>
      </x:c>
      <x:c r="F5904" s="21" t="n">
        <x:v>1</x:v>
      </x:c>
      <x:c r="G5904" s="23" t="str">
        <x:f>IF(E5904=F5904,"PASS","FAIL")</x:f>
        <x:v>PASS</x:v>
      </x:c>
    </x:row>
    <x:row r="5905">
      <x:c r="B5905" s="21" t="str">
        <x:v>A05899</x:v>
      </x:c>
      <x:c r="C5905" s="21" t="str">
        <x:v>baseline</x:v>
      </x:c>
      <x:c r="D5905" s="21" t="str">
        <x:v>baseline 1015 planning state</x:v>
      </x:c>
      <x:c r="E5905" s="21" t="n">
        <x:f>IF(AND('Baseline Register'!G1021="0.0.0",'Baseline Register'!I1021="OPEN",'Baseline Register'!J1021="HOLD"),1,0)</x:f>
        <x:v>1</x:v>
      </x:c>
      <x:c r="F5905" s="21" t="n">
        <x:v>1</x:v>
      </x:c>
      <x:c r="G5905" s="23" t="str">
        <x:f>IF(E5905=F5905,"PASS","FAIL")</x:f>
        <x:v>PASS</x:v>
      </x:c>
    </x:row>
    <x:row r="5906">
      <x:c r="B5906" s="21" t="str">
        <x:v>A05900</x:v>
      </x:c>
      <x:c r="C5906" s="21" t="str">
        <x:v>baseline</x:v>
      </x:c>
      <x:c r="D5906" s="21" t="str">
        <x:v>baseline 1016 planning state</x:v>
      </x:c>
      <x:c r="E5906" s="21" t="n">
        <x:f>IF(AND('Baseline Register'!G1022="0.0.0",'Baseline Register'!I1022="OPEN",'Baseline Register'!J1022="HOLD"),1,0)</x:f>
        <x:v>1</x:v>
      </x:c>
      <x:c r="F5906" s="21" t="n">
        <x:v>1</x:v>
      </x:c>
      <x:c r="G5906" s="23" t="str">
        <x:f>IF(E5906=F5906,"PASS","FAIL")</x:f>
        <x:v>PASS</x:v>
      </x:c>
    </x:row>
    <x:row r="5907">
      <x:c r="B5907" s="21" t="str">
        <x:v>A05901</x:v>
      </x:c>
      <x:c r="C5907" s="21" t="str">
        <x:v>baseline</x:v>
      </x:c>
      <x:c r="D5907" s="21" t="str">
        <x:v>baseline 1017 planning state</x:v>
      </x:c>
      <x:c r="E5907" s="21" t="n">
        <x:f>IF(AND('Baseline Register'!G1023="0.0.0",'Baseline Register'!I1023="OPEN",'Baseline Register'!J1023="HOLD"),1,0)</x:f>
        <x:v>1</x:v>
      </x:c>
      <x:c r="F5907" s="21" t="n">
        <x:v>1</x:v>
      </x:c>
      <x:c r="G5907" s="23" t="str">
        <x:f>IF(E5907=F5907,"PASS","FAIL")</x:f>
        <x:v>PASS</x:v>
      </x:c>
    </x:row>
    <x:row r="5908">
      <x:c r="B5908" s="21" t="str">
        <x:v>A05902</x:v>
      </x:c>
      <x:c r="C5908" s="21" t="str">
        <x:v>baseline</x:v>
      </x:c>
      <x:c r="D5908" s="21" t="str">
        <x:v>baseline 1018 planning state</x:v>
      </x:c>
      <x:c r="E5908" s="21" t="n">
        <x:f>IF(AND('Baseline Register'!G1024="0.0.0",'Baseline Register'!I1024="OPEN",'Baseline Register'!J1024="HOLD"),1,0)</x:f>
        <x:v>1</x:v>
      </x:c>
      <x:c r="F5908" s="21" t="n">
        <x:v>1</x:v>
      </x:c>
      <x:c r="G5908" s="23" t="str">
        <x:f>IF(E5908=F5908,"PASS","FAIL")</x:f>
        <x:v>PASS</x:v>
      </x:c>
    </x:row>
    <x:row r="5909">
      <x:c r="B5909" s="21" t="str">
        <x:v>A05903</x:v>
      </x:c>
      <x:c r="C5909" s="21" t="str">
        <x:v>baseline</x:v>
      </x:c>
      <x:c r="D5909" s="21" t="str">
        <x:v>baseline 1019 planning state</x:v>
      </x:c>
      <x:c r="E5909" s="21" t="n">
        <x:f>IF(AND('Baseline Register'!G1025="0.0.0",'Baseline Register'!I1025="OPEN",'Baseline Register'!J1025="HOLD"),1,0)</x:f>
        <x:v>1</x:v>
      </x:c>
      <x:c r="F5909" s="21" t="n">
        <x:v>1</x:v>
      </x:c>
      <x:c r="G5909" s="23" t="str">
        <x:f>IF(E5909=F5909,"PASS","FAIL")</x:f>
        <x:v>PASS</x:v>
      </x:c>
    </x:row>
    <x:row r="5910">
      <x:c r="B5910" s="21" t="str">
        <x:v>A05904</x:v>
      </x:c>
      <x:c r="C5910" s="21" t="str">
        <x:v>baseline</x:v>
      </x:c>
      <x:c r="D5910" s="21" t="str">
        <x:v>baseline 1020 planning state</x:v>
      </x:c>
      <x:c r="E5910" s="21" t="n">
        <x:f>IF(AND('Baseline Register'!G1026="0.0.0",'Baseline Register'!I1026="OPEN",'Baseline Register'!J1026="HOLD"),1,0)</x:f>
        <x:v>1</x:v>
      </x:c>
      <x:c r="F5910" s="21" t="n">
        <x:v>1</x:v>
      </x:c>
      <x:c r="G5910" s="23" t="str">
        <x:f>IF(E5910=F5910,"PASS","FAIL")</x:f>
        <x:v>PASS</x:v>
      </x:c>
    </x:row>
    <x:row r="5911">
      <x:c r="B5911" s="21" t="str">
        <x:v>A05905</x:v>
      </x:c>
      <x:c r="C5911" s="21" t="str">
        <x:v>baseline</x:v>
      </x:c>
      <x:c r="D5911" s="21" t="str">
        <x:v>baseline 1021 planning state</x:v>
      </x:c>
      <x:c r="E5911" s="21" t="n">
        <x:f>IF(AND('Baseline Register'!G1027="0.0.0",'Baseline Register'!I1027="OPEN",'Baseline Register'!J1027="HOLD"),1,0)</x:f>
        <x:v>1</x:v>
      </x:c>
      <x:c r="F5911" s="21" t="n">
        <x:v>1</x:v>
      </x:c>
      <x:c r="G5911" s="23" t="str">
        <x:f>IF(E5911=F5911,"PASS","FAIL")</x:f>
        <x:v>PASS</x:v>
      </x:c>
    </x:row>
    <x:row r="5912">
      <x:c r="B5912" s="21" t="str">
        <x:v>A05906</x:v>
      </x:c>
      <x:c r="C5912" s="21" t="str">
        <x:v>baseline</x:v>
      </x:c>
      <x:c r="D5912" s="21" t="str">
        <x:v>baseline 1022 planning state</x:v>
      </x:c>
      <x:c r="E5912" s="21" t="n">
        <x:f>IF(AND('Baseline Register'!G1028="0.0.0",'Baseline Register'!I1028="OPEN",'Baseline Register'!J1028="HOLD"),1,0)</x:f>
        <x:v>1</x:v>
      </x:c>
      <x:c r="F5912" s="21" t="n">
        <x:v>1</x:v>
      </x:c>
      <x:c r="G5912" s="23" t="str">
        <x:f>IF(E5912=F5912,"PASS","FAIL")</x:f>
        <x:v>PASS</x:v>
      </x:c>
    </x:row>
    <x:row r="5913">
      <x:c r="B5913" s="21" t="str">
        <x:v>A05907</x:v>
      </x:c>
      <x:c r="C5913" s="21" t="str">
        <x:v>baseline</x:v>
      </x:c>
      <x:c r="D5913" s="21" t="str">
        <x:v>baseline 1023 planning state</x:v>
      </x:c>
      <x:c r="E5913" s="21" t="n">
        <x:f>IF(AND('Baseline Register'!G1029="0.0.0",'Baseline Register'!I1029="OPEN",'Baseline Register'!J1029="HOLD"),1,0)</x:f>
        <x:v>1</x:v>
      </x:c>
      <x:c r="F5913" s="21" t="n">
        <x:v>1</x:v>
      </x:c>
      <x:c r="G5913" s="23" t="str">
        <x:f>IF(E5913=F5913,"PASS","FAIL")</x:f>
        <x:v>PASS</x:v>
      </x:c>
    </x:row>
    <x:row r="5914">
      <x:c r="B5914" s="21" t="str">
        <x:v>A05908</x:v>
      </x:c>
      <x:c r="C5914" s="21" t="str">
        <x:v>baseline</x:v>
      </x:c>
      <x:c r="D5914" s="21" t="str">
        <x:v>baseline 1024 planning state</x:v>
      </x:c>
      <x:c r="E5914" s="21" t="n">
        <x:f>IF(AND('Baseline Register'!G1030="0.0.0",'Baseline Register'!I1030="OPEN",'Baseline Register'!J1030="HOLD"),1,0)</x:f>
        <x:v>1</x:v>
      </x:c>
      <x:c r="F5914" s="21" t="n">
        <x:v>1</x:v>
      </x:c>
      <x:c r="G5914" s="23" t="str">
        <x:f>IF(E5914=F5914,"PASS","FAIL")</x:f>
        <x:v>PASS</x:v>
      </x:c>
    </x:row>
    <x:row r="5915">
      <x:c r="B5915" s="21" t="str">
        <x:v>A05909</x:v>
      </x:c>
      <x:c r="C5915" s="21" t="str">
        <x:v>baseline</x:v>
      </x:c>
      <x:c r="D5915" s="21" t="str">
        <x:v>baseline 1025 planning state</x:v>
      </x:c>
      <x:c r="E5915" s="21" t="n">
        <x:f>IF(AND('Baseline Register'!G1031="0.0.0",'Baseline Register'!I1031="OPEN",'Baseline Register'!J1031="HOLD"),1,0)</x:f>
        <x:v>1</x:v>
      </x:c>
      <x:c r="F5915" s="21" t="n">
        <x:v>1</x:v>
      </x:c>
      <x:c r="G5915" s="23" t="str">
        <x:f>IF(E5915=F5915,"PASS","FAIL")</x:f>
        <x:v>PASS</x:v>
      </x:c>
    </x:row>
    <x:row r="5916">
      <x:c r="B5916" s="21" t="str">
        <x:v>A05910</x:v>
      </x:c>
      <x:c r="C5916" s="21" t="str">
        <x:v>baseline</x:v>
      </x:c>
      <x:c r="D5916" s="21" t="str">
        <x:v>baseline 1026 planning state</x:v>
      </x:c>
      <x:c r="E5916" s="21" t="n">
        <x:f>IF(AND('Baseline Register'!G1032="0.0.0",'Baseline Register'!I1032="OPEN",'Baseline Register'!J1032="HOLD"),1,0)</x:f>
        <x:v>1</x:v>
      </x:c>
      <x:c r="F5916" s="21" t="n">
        <x:v>1</x:v>
      </x:c>
      <x:c r="G5916" s="23" t="str">
        <x:f>IF(E5916=F5916,"PASS","FAIL")</x:f>
        <x:v>PASS</x:v>
      </x:c>
    </x:row>
    <x:row r="5917">
      <x:c r="B5917" s="21" t="str">
        <x:v>A05911</x:v>
      </x:c>
      <x:c r="C5917" s="21" t="str">
        <x:v>baseline</x:v>
      </x:c>
      <x:c r="D5917" s="21" t="str">
        <x:v>baseline 1027 planning state</x:v>
      </x:c>
      <x:c r="E5917" s="21" t="n">
        <x:f>IF(AND('Baseline Register'!G1033="0.0.0",'Baseline Register'!I1033="OPEN",'Baseline Register'!J1033="HOLD"),1,0)</x:f>
        <x:v>1</x:v>
      </x:c>
      <x:c r="F5917" s="21" t="n">
        <x:v>1</x:v>
      </x:c>
      <x:c r="G5917" s="23" t="str">
        <x:f>IF(E5917=F5917,"PASS","FAIL")</x:f>
        <x:v>PASS</x:v>
      </x:c>
    </x:row>
    <x:row r="5918">
      <x:c r="B5918" s="21" t="str">
        <x:v>A05912</x:v>
      </x:c>
      <x:c r="C5918" s="21" t="str">
        <x:v>baseline</x:v>
      </x:c>
      <x:c r="D5918" s="21" t="str">
        <x:v>baseline 1028 planning state</x:v>
      </x:c>
      <x:c r="E5918" s="21" t="n">
        <x:f>IF(AND('Baseline Register'!G1034="0.0.0",'Baseline Register'!I1034="OPEN",'Baseline Register'!J1034="HOLD"),1,0)</x:f>
        <x:v>1</x:v>
      </x:c>
      <x:c r="F5918" s="21" t="n">
        <x:v>1</x:v>
      </x:c>
      <x:c r="G5918" s="23" t="str">
        <x:f>IF(E5918=F5918,"PASS","FAIL")</x:f>
        <x:v>PASS</x:v>
      </x:c>
    </x:row>
    <x:row r="5919">
      <x:c r="B5919" s="21" t="str">
        <x:v>A05913</x:v>
      </x:c>
      <x:c r="C5919" s="21" t="str">
        <x:v>baseline</x:v>
      </x:c>
      <x:c r="D5919" s="21" t="str">
        <x:v>baseline 1029 planning state</x:v>
      </x:c>
      <x:c r="E5919" s="21" t="n">
        <x:f>IF(AND('Baseline Register'!G1035="0.0.0",'Baseline Register'!I1035="OPEN",'Baseline Register'!J1035="HOLD"),1,0)</x:f>
        <x:v>1</x:v>
      </x:c>
      <x:c r="F5919" s="21" t="n">
        <x:v>1</x:v>
      </x:c>
      <x:c r="G5919" s="23" t="str">
        <x:f>IF(E5919=F5919,"PASS","FAIL")</x:f>
        <x:v>PASS</x:v>
      </x:c>
    </x:row>
    <x:row r="5920">
      <x:c r="B5920" s="21" t="str">
        <x:v>A05914</x:v>
      </x:c>
      <x:c r="C5920" s="21" t="str">
        <x:v>baseline</x:v>
      </x:c>
      <x:c r="D5920" s="21" t="str">
        <x:v>baseline 1030 planning state</x:v>
      </x:c>
      <x:c r="E5920" s="21" t="n">
        <x:f>IF(AND('Baseline Register'!G1036="0.0.0",'Baseline Register'!I1036="OPEN",'Baseline Register'!J1036="HOLD"),1,0)</x:f>
        <x:v>1</x:v>
      </x:c>
      <x:c r="F5920" s="21" t="n">
        <x:v>1</x:v>
      </x:c>
      <x:c r="G5920" s="23" t="str">
        <x:f>IF(E5920=F5920,"PASS","FAIL")</x:f>
        <x:v>PASS</x:v>
      </x:c>
    </x:row>
    <x:row r="5921">
      <x:c r="B5921" s="21" t="str">
        <x:v>A05915</x:v>
      </x:c>
      <x:c r="C5921" s="21" t="str">
        <x:v>baseline</x:v>
      </x:c>
      <x:c r="D5921" s="21" t="str">
        <x:v>baseline 1031 planning state</x:v>
      </x:c>
      <x:c r="E5921" s="21" t="n">
        <x:f>IF(AND('Baseline Register'!G1037="0.0.0",'Baseline Register'!I1037="OPEN",'Baseline Register'!J1037="HOLD"),1,0)</x:f>
        <x:v>1</x:v>
      </x:c>
      <x:c r="F5921" s="21" t="n">
        <x:v>1</x:v>
      </x:c>
      <x:c r="G5921" s="23" t="str">
        <x:f>IF(E5921=F5921,"PASS","FAIL")</x:f>
        <x:v>PASS</x:v>
      </x:c>
    </x:row>
    <x:row r="5922">
      <x:c r="B5922" s="21" t="str">
        <x:v>A05916</x:v>
      </x:c>
      <x:c r="C5922" s="21" t="str">
        <x:v>baseline</x:v>
      </x:c>
      <x:c r="D5922" s="21" t="str">
        <x:v>baseline 1032 planning state</x:v>
      </x:c>
      <x:c r="E5922" s="21" t="n">
        <x:f>IF(AND('Baseline Register'!G1038="0.0.0",'Baseline Register'!I1038="OPEN",'Baseline Register'!J1038="HOLD"),1,0)</x:f>
        <x:v>1</x:v>
      </x:c>
      <x:c r="F5922" s="21" t="n">
        <x:v>1</x:v>
      </x:c>
      <x:c r="G5922" s="23" t="str">
        <x:f>IF(E5922=F5922,"PASS","FAIL")</x:f>
        <x:v>PASS</x:v>
      </x:c>
    </x:row>
    <x:row r="5923">
      <x:c r="B5923" s="21" t="str">
        <x:v>A05917</x:v>
      </x:c>
      <x:c r="C5923" s="21" t="str">
        <x:v>baseline</x:v>
      </x:c>
      <x:c r="D5923" s="21" t="str">
        <x:v>baseline 1033 planning state</x:v>
      </x:c>
      <x:c r="E5923" s="21" t="n">
        <x:f>IF(AND('Baseline Register'!G1039="0.0.0",'Baseline Register'!I1039="OPEN",'Baseline Register'!J1039="HOLD"),1,0)</x:f>
        <x:v>1</x:v>
      </x:c>
      <x:c r="F5923" s="21" t="n">
        <x:v>1</x:v>
      </x:c>
      <x:c r="G5923" s="23" t="str">
        <x:f>IF(E5923=F5923,"PASS","FAIL")</x:f>
        <x:v>PASS</x:v>
      </x:c>
    </x:row>
    <x:row r="5924">
      <x:c r="B5924" s="21" t="str">
        <x:v>A05918</x:v>
      </x:c>
      <x:c r="C5924" s="21" t="str">
        <x:v>baseline</x:v>
      </x:c>
      <x:c r="D5924" s="21" t="str">
        <x:v>baseline 1034 planning state</x:v>
      </x:c>
      <x:c r="E5924" s="21" t="n">
        <x:f>IF(AND('Baseline Register'!G1040="0.0.0",'Baseline Register'!I1040="OPEN",'Baseline Register'!J1040="HOLD"),1,0)</x:f>
        <x:v>1</x:v>
      </x:c>
      <x:c r="F5924" s="21" t="n">
        <x:v>1</x:v>
      </x:c>
      <x:c r="G5924" s="23" t="str">
        <x:f>IF(E5924=F5924,"PASS","FAIL")</x:f>
        <x:v>PASS</x:v>
      </x:c>
    </x:row>
    <x:row r="5925">
      <x:c r="B5925" s="21" t="str">
        <x:v>A05919</x:v>
      </x:c>
      <x:c r="C5925" s="21" t="str">
        <x:v>baseline</x:v>
      </x:c>
      <x:c r="D5925" s="21" t="str">
        <x:v>baseline 1035 planning state</x:v>
      </x:c>
      <x:c r="E5925" s="21" t="n">
        <x:f>IF(AND('Baseline Register'!G1041="0.0.0",'Baseline Register'!I1041="OPEN",'Baseline Register'!J1041="HOLD"),1,0)</x:f>
        <x:v>1</x:v>
      </x:c>
      <x:c r="F5925" s="21" t="n">
        <x:v>1</x:v>
      </x:c>
      <x:c r="G5925" s="23" t="str">
        <x:f>IF(E5925=F5925,"PASS","FAIL")</x:f>
        <x:v>PASS</x:v>
      </x:c>
    </x:row>
    <x:row r="5926">
      <x:c r="B5926" s="21" t="str">
        <x:v>A05920</x:v>
      </x:c>
      <x:c r="C5926" s="21" t="str">
        <x:v>baseline</x:v>
      </x:c>
      <x:c r="D5926" s="21" t="str">
        <x:v>baseline 1036 planning state</x:v>
      </x:c>
      <x:c r="E5926" s="21" t="n">
        <x:f>IF(AND('Baseline Register'!G1042="0.0.0",'Baseline Register'!I1042="OPEN",'Baseline Register'!J1042="HOLD"),1,0)</x:f>
        <x:v>1</x:v>
      </x:c>
      <x:c r="F5926" s="21" t="n">
        <x:v>1</x:v>
      </x:c>
      <x:c r="G5926" s="23" t="str">
        <x:f>IF(E5926=F5926,"PASS","FAIL")</x:f>
        <x:v>PASS</x:v>
      </x:c>
    </x:row>
    <x:row r="5927">
      <x:c r="B5927" s="21" t="str">
        <x:v>A05921</x:v>
      </x:c>
      <x:c r="C5927" s="21" t="str">
        <x:v>baseline</x:v>
      </x:c>
      <x:c r="D5927" s="21" t="str">
        <x:v>baseline 1037 planning state</x:v>
      </x:c>
      <x:c r="E5927" s="21" t="n">
        <x:f>IF(AND('Baseline Register'!G1043="0.0.0",'Baseline Register'!I1043="OPEN",'Baseline Register'!J1043="HOLD"),1,0)</x:f>
        <x:v>1</x:v>
      </x:c>
      <x:c r="F5927" s="21" t="n">
        <x:v>1</x:v>
      </x:c>
      <x:c r="G5927" s="23" t="str">
        <x:f>IF(E5927=F5927,"PASS","FAIL")</x:f>
        <x:v>PASS</x:v>
      </x:c>
    </x:row>
    <x:row r="5928">
      <x:c r="B5928" s="21" t="str">
        <x:v>A05922</x:v>
      </x:c>
      <x:c r="C5928" s="21" t="str">
        <x:v>baseline</x:v>
      </x:c>
      <x:c r="D5928" s="21" t="str">
        <x:v>baseline 1038 planning state</x:v>
      </x:c>
      <x:c r="E5928" s="21" t="n">
        <x:f>IF(AND('Baseline Register'!G1044="0.0.0",'Baseline Register'!I1044="OPEN",'Baseline Register'!J1044="HOLD"),1,0)</x:f>
        <x:v>1</x:v>
      </x:c>
      <x:c r="F5928" s="21" t="n">
        <x:v>1</x:v>
      </x:c>
      <x:c r="G5928" s="23" t="str">
        <x:f>IF(E5928=F5928,"PASS","FAIL")</x:f>
        <x:v>PASS</x:v>
      </x:c>
    </x:row>
    <x:row r="5929">
      <x:c r="B5929" s="21" t="str">
        <x:v>A05923</x:v>
      </x:c>
      <x:c r="C5929" s="21" t="str">
        <x:v>baseline</x:v>
      </x:c>
      <x:c r="D5929" s="21" t="str">
        <x:v>baseline 1039 planning state</x:v>
      </x:c>
      <x:c r="E5929" s="21" t="n">
        <x:f>IF(AND('Baseline Register'!G1045="0.0.0",'Baseline Register'!I1045="OPEN",'Baseline Register'!J1045="HOLD"),1,0)</x:f>
        <x:v>1</x:v>
      </x:c>
      <x:c r="F5929" s="21" t="n">
        <x:v>1</x:v>
      </x:c>
      <x:c r="G5929" s="23" t="str">
        <x:f>IF(E5929=F5929,"PASS","FAIL")</x:f>
        <x:v>PASS</x:v>
      </x:c>
    </x:row>
    <x:row r="5930">
      <x:c r="B5930" s="21" t="str">
        <x:v>A05924</x:v>
      </x:c>
      <x:c r="C5930" s="21" t="str">
        <x:v>baseline</x:v>
      </x:c>
      <x:c r="D5930" s="21" t="str">
        <x:v>baseline 1040 planning state</x:v>
      </x:c>
      <x:c r="E5930" s="21" t="n">
        <x:f>IF(AND('Baseline Register'!G1046="0.0.0",'Baseline Register'!I1046="OPEN",'Baseline Register'!J1046="HOLD"),1,0)</x:f>
        <x:v>1</x:v>
      </x:c>
      <x:c r="F5930" s="21" t="n">
        <x:v>1</x:v>
      </x:c>
      <x:c r="G5930" s="23" t="str">
        <x:f>IF(E5930=F5930,"PASS","FAIL")</x:f>
        <x:v>PASS</x:v>
      </x:c>
    </x:row>
    <x:row r="5931">
      <x:c r="B5931" s="21" t="str">
        <x:v>A05925</x:v>
      </x:c>
      <x:c r="C5931" s="21" t="str">
        <x:v>baseline</x:v>
      </x:c>
      <x:c r="D5931" s="21" t="str">
        <x:v>baseline 1041 planning state</x:v>
      </x:c>
      <x:c r="E5931" s="21" t="n">
        <x:f>IF(AND('Baseline Register'!G1047="0.0.0",'Baseline Register'!I1047="OPEN",'Baseline Register'!J1047="HOLD"),1,0)</x:f>
        <x:v>1</x:v>
      </x:c>
      <x:c r="F5931" s="21" t="n">
        <x:v>1</x:v>
      </x:c>
      <x:c r="G5931" s="23" t="str">
        <x:f>IF(E5931=F5931,"PASS","FAIL")</x:f>
        <x:v>PASS</x:v>
      </x:c>
    </x:row>
    <x:row r="5932">
      <x:c r="B5932" s="21" t="str">
        <x:v>A05926</x:v>
      </x:c>
      <x:c r="C5932" s="21" t="str">
        <x:v>baseline</x:v>
      </x:c>
      <x:c r="D5932" s="21" t="str">
        <x:v>baseline 1042 planning state</x:v>
      </x:c>
      <x:c r="E5932" s="21" t="n">
        <x:f>IF(AND('Baseline Register'!G1048="0.0.0",'Baseline Register'!I1048="OPEN",'Baseline Register'!J1048="HOLD"),1,0)</x:f>
        <x:v>1</x:v>
      </x:c>
      <x:c r="F5932" s="21" t="n">
        <x:v>1</x:v>
      </x:c>
      <x:c r="G5932" s="23" t="str">
        <x:f>IF(E5932=F5932,"PASS","FAIL")</x:f>
        <x:v>PASS</x:v>
      </x:c>
    </x:row>
    <x:row r="5933">
      <x:c r="B5933" s="21" t="str">
        <x:v>A05927</x:v>
      </x:c>
      <x:c r="C5933" s="21" t="str">
        <x:v>baseline</x:v>
      </x:c>
      <x:c r="D5933" s="21" t="str">
        <x:v>baseline 1043 planning state</x:v>
      </x:c>
      <x:c r="E5933" s="21" t="n">
        <x:f>IF(AND('Baseline Register'!G1049="0.0.0",'Baseline Register'!I1049="OPEN",'Baseline Register'!J1049="HOLD"),1,0)</x:f>
        <x:v>1</x:v>
      </x:c>
      <x:c r="F5933" s="21" t="n">
        <x:v>1</x:v>
      </x:c>
      <x:c r="G5933" s="23" t="str">
        <x:f>IF(E5933=F5933,"PASS","FAIL")</x:f>
        <x:v>PASS</x:v>
      </x:c>
    </x:row>
    <x:row r="5934">
      <x:c r="B5934" s="21" t="str">
        <x:v>A05928</x:v>
      </x:c>
      <x:c r="C5934" s="21" t="str">
        <x:v>baseline</x:v>
      </x:c>
      <x:c r="D5934" s="21" t="str">
        <x:v>baseline 1044 planning state</x:v>
      </x:c>
      <x:c r="E5934" s="21" t="n">
        <x:f>IF(AND('Baseline Register'!G1050="0.0.0",'Baseline Register'!I1050="OPEN",'Baseline Register'!J1050="HOLD"),1,0)</x:f>
        <x:v>1</x:v>
      </x:c>
      <x:c r="F5934" s="21" t="n">
        <x:v>1</x:v>
      </x:c>
      <x:c r="G5934" s="23" t="str">
        <x:f>IF(E5934=F5934,"PASS","FAIL")</x:f>
        <x:v>PASS</x:v>
      </x:c>
    </x:row>
    <x:row r="5935">
      <x:c r="B5935" s="21" t="str">
        <x:v>A05929</x:v>
      </x:c>
      <x:c r="C5935" s="21" t="str">
        <x:v>baseline</x:v>
      </x:c>
      <x:c r="D5935" s="21" t="str">
        <x:v>baseline 1045 planning state</x:v>
      </x:c>
      <x:c r="E5935" s="21" t="n">
        <x:f>IF(AND('Baseline Register'!G1051="0.0.0",'Baseline Register'!I1051="OPEN",'Baseline Register'!J1051="HOLD"),1,0)</x:f>
        <x:v>1</x:v>
      </x:c>
      <x:c r="F5935" s="21" t="n">
        <x:v>1</x:v>
      </x:c>
      <x:c r="G5935" s="23" t="str">
        <x:f>IF(E5935=F5935,"PASS","FAIL")</x:f>
        <x:v>PASS</x:v>
      </x:c>
    </x:row>
    <x:row r="5936">
      <x:c r="B5936" s="21" t="str">
        <x:v>A05930</x:v>
      </x:c>
      <x:c r="C5936" s="21" t="str">
        <x:v>baseline</x:v>
      </x:c>
      <x:c r="D5936" s="21" t="str">
        <x:v>baseline 1046 planning state</x:v>
      </x:c>
      <x:c r="E5936" s="21" t="n">
        <x:f>IF(AND('Baseline Register'!G1052="0.0.0",'Baseline Register'!I1052="OPEN",'Baseline Register'!J1052="HOLD"),1,0)</x:f>
        <x:v>1</x:v>
      </x:c>
      <x:c r="F5936" s="21" t="n">
        <x:v>1</x:v>
      </x:c>
      <x:c r="G5936" s="23" t="str">
        <x:f>IF(E5936=F5936,"PASS","FAIL")</x:f>
        <x:v>PASS</x:v>
      </x:c>
    </x:row>
    <x:row r="5937">
      <x:c r="B5937" s="21" t="str">
        <x:v>A05931</x:v>
      </x:c>
      <x:c r="C5937" s="21" t="str">
        <x:v>baseline</x:v>
      </x:c>
      <x:c r="D5937" s="21" t="str">
        <x:v>baseline 1047 planning state</x:v>
      </x:c>
      <x:c r="E5937" s="21" t="n">
        <x:f>IF(AND('Baseline Register'!G1053="0.0.0",'Baseline Register'!I1053="OPEN",'Baseline Register'!J1053="HOLD"),1,0)</x:f>
        <x:v>1</x:v>
      </x:c>
      <x:c r="F5937" s="21" t="n">
        <x:v>1</x:v>
      </x:c>
      <x:c r="G5937" s="23" t="str">
        <x:f>IF(E5937=F5937,"PASS","FAIL")</x:f>
        <x:v>PASS</x:v>
      </x:c>
    </x:row>
    <x:row r="5938">
      <x:c r="B5938" s="21" t="str">
        <x:v>A05932</x:v>
      </x:c>
      <x:c r="C5938" s="21" t="str">
        <x:v>baseline</x:v>
      </x:c>
      <x:c r="D5938" s="21" t="str">
        <x:v>baseline 1048 planning state</x:v>
      </x:c>
      <x:c r="E5938" s="21" t="n">
        <x:f>IF(AND('Baseline Register'!G1054="0.0.0",'Baseline Register'!I1054="OPEN",'Baseline Register'!J1054="HOLD"),1,0)</x:f>
        <x:v>1</x:v>
      </x:c>
      <x:c r="F5938" s="21" t="n">
        <x:v>1</x:v>
      </x:c>
      <x:c r="G5938" s="23" t="str">
        <x:f>IF(E5938=F5938,"PASS","FAIL")</x:f>
        <x:v>PASS</x:v>
      </x:c>
    </x:row>
    <x:row r="5939">
      <x:c r="B5939" s="21" t="str">
        <x:v>A05933</x:v>
      </x:c>
      <x:c r="C5939" s="21" t="str">
        <x:v>baseline</x:v>
      </x:c>
      <x:c r="D5939" s="21" t="str">
        <x:v>baseline 1049 planning state</x:v>
      </x:c>
      <x:c r="E5939" s="21" t="n">
        <x:f>IF(AND('Baseline Register'!G1055="0.0.0",'Baseline Register'!I1055="OPEN",'Baseline Register'!J1055="HOLD"),1,0)</x:f>
        <x:v>1</x:v>
      </x:c>
      <x:c r="F5939" s="21" t="n">
        <x:v>1</x:v>
      </x:c>
      <x:c r="G5939" s="23" t="str">
        <x:f>IF(E5939=F5939,"PASS","FAIL")</x:f>
        <x:v>PASS</x:v>
      </x:c>
    </x:row>
    <x:row r="5940">
      <x:c r="B5940" s="21" t="str">
        <x:v>A05934</x:v>
      </x:c>
      <x:c r="C5940" s="21" t="str">
        <x:v>baseline</x:v>
      </x:c>
      <x:c r="D5940" s="21" t="str">
        <x:v>baseline 1050 planning state</x:v>
      </x:c>
      <x:c r="E5940" s="21" t="n">
        <x:f>IF(AND('Baseline Register'!G1056="0.0.0",'Baseline Register'!I1056="OPEN",'Baseline Register'!J1056="HOLD"),1,0)</x:f>
        <x:v>1</x:v>
      </x:c>
      <x:c r="F5940" s="21" t="n">
        <x:v>1</x:v>
      </x:c>
      <x:c r="G5940" s="23" t="str">
        <x:f>IF(E5940=F5940,"PASS","FAIL")</x:f>
        <x:v>PASS</x:v>
      </x:c>
    </x:row>
    <x:row r="5941">
      <x:c r="B5941" s="21" t="str">
        <x:v>A05935</x:v>
      </x:c>
      <x:c r="C5941" s="21" t="str">
        <x:v>baseline</x:v>
      </x:c>
      <x:c r="D5941" s="21" t="str">
        <x:v>baseline 1051 planning state</x:v>
      </x:c>
      <x:c r="E5941" s="21" t="n">
        <x:f>IF(AND('Baseline Register'!G1057="0.0.0",'Baseline Register'!I1057="OPEN",'Baseline Register'!J1057="HOLD"),1,0)</x:f>
        <x:v>1</x:v>
      </x:c>
      <x:c r="F5941" s="21" t="n">
        <x:v>1</x:v>
      </x:c>
      <x:c r="G5941" s="23" t="str">
        <x:f>IF(E5941=F5941,"PASS","FAIL")</x:f>
        <x:v>PASS</x:v>
      </x:c>
    </x:row>
    <x:row r="5942">
      <x:c r="B5942" s="21" t="str">
        <x:v>A05936</x:v>
      </x:c>
      <x:c r="C5942" s="21" t="str">
        <x:v>baseline</x:v>
      </x:c>
      <x:c r="D5942" s="21" t="str">
        <x:v>baseline 1052 planning state</x:v>
      </x:c>
      <x:c r="E5942" s="21" t="n">
        <x:f>IF(AND('Baseline Register'!G1058="0.0.0",'Baseline Register'!I1058="OPEN",'Baseline Register'!J1058="HOLD"),1,0)</x:f>
        <x:v>1</x:v>
      </x:c>
      <x:c r="F5942" s="21" t="n">
        <x:v>1</x:v>
      </x:c>
      <x:c r="G5942" s="23" t="str">
        <x:f>IF(E5942=F5942,"PASS","FAIL")</x:f>
        <x:v>PASS</x:v>
      </x:c>
    </x:row>
    <x:row r="5943">
      <x:c r="B5943" s="21" t="str">
        <x:v>A05937</x:v>
      </x:c>
      <x:c r="C5943" s="21" t="str">
        <x:v>baseline</x:v>
      </x:c>
      <x:c r="D5943" s="21" t="str">
        <x:v>baseline 1053 planning state</x:v>
      </x:c>
      <x:c r="E5943" s="21" t="n">
        <x:f>IF(AND('Baseline Register'!G1059="0.0.0",'Baseline Register'!I1059="OPEN",'Baseline Register'!J1059="HOLD"),1,0)</x:f>
        <x:v>1</x:v>
      </x:c>
      <x:c r="F5943" s="21" t="n">
        <x:v>1</x:v>
      </x:c>
      <x:c r="G5943" s="23" t="str">
        <x:f>IF(E5943=F5943,"PASS","FAIL")</x:f>
        <x:v>PASS</x:v>
      </x:c>
    </x:row>
    <x:row r="5944">
      <x:c r="B5944" s="21" t="str">
        <x:v>A05938</x:v>
      </x:c>
      <x:c r="C5944" s="21" t="str">
        <x:v>baseline</x:v>
      </x:c>
      <x:c r="D5944" s="21" t="str">
        <x:v>baseline 1054 planning state</x:v>
      </x:c>
      <x:c r="E5944" s="21" t="n">
        <x:f>IF(AND('Baseline Register'!G1060="0.0.0",'Baseline Register'!I1060="OPEN",'Baseline Register'!J1060="HOLD"),1,0)</x:f>
        <x:v>1</x:v>
      </x:c>
      <x:c r="F5944" s="21" t="n">
        <x:v>1</x:v>
      </x:c>
      <x:c r="G5944" s="23" t="str">
        <x:f>IF(E5944=F5944,"PASS","FAIL")</x:f>
        <x:v>PASS</x:v>
      </x:c>
    </x:row>
    <x:row r="5945">
      <x:c r="B5945" s="21" t="str">
        <x:v>A05939</x:v>
      </x:c>
      <x:c r="C5945" s="21" t="str">
        <x:v>baseline</x:v>
      </x:c>
      <x:c r="D5945" s="21" t="str">
        <x:v>baseline 1055 planning state</x:v>
      </x:c>
      <x:c r="E5945" s="21" t="n">
        <x:f>IF(AND('Baseline Register'!G1061="0.0.0",'Baseline Register'!I1061="OPEN",'Baseline Register'!J1061="HOLD"),1,0)</x:f>
        <x:v>1</x:v>
      </x:c>
      <x:c r="F5945" s="21" t="n">
        <x:v>1</x:v>
      </x:c>
      <x:c r="G5945" s="23" t="str">
        <x:f>IF(E5945=F5945,"PASS","FAIL")</x:f>
        <x:v>PASS</x:v>
      </x:c>
    </x:row>
    <x:row r="5946">
      <x:c r="B5946" s="21" t="str">
        <x:v>A05940</x:v>
      </x:c>
      <x:c r="C5946" s="21" t="str">
        <x:v>baseline</x:v>
      </x:c>
      <x:c r="D5946" s="21" t="str">
        <x:v>baseline 1056 planning state</x:v>
      </x:c>
      <x:c r="E5946" s="21" t="n">
        <x:f>IF(AND('Baseline Register'!G1062="0.0.0",'Baseline Register'!I1062="OPEN",'Baseline Register'!J1062="HOLD"),1,0)</x:f>
        <x:v>1</x:v>
      </x:c>
      <x:c r="F5946" s="21" t="n">
        <x:v>1</x:v>
      </x:c>
      <x:c r="G5946" s="23" t="str">
        <x:f>IF(E5946=F5946,"PASS","FAIL")</x:f>
        <x:v>PASS</x:v>
      </x:c>
    </x:row>
    <x:row r="5947">
      <x:c r="B5947" s="21" t="str">
        <x:v>A05941</x:v>
      </x:c>
      <x:c r="C5947" s="21" t="str">
        <x:v>baseline</x:v>
      </x:c>
      <x:c r="D5947" s="21" t="str">
        <x:v>baseline 1057 planning state</x:v>
      </x:c>
      <x:c r="E5947" s="21" t="n">
        <x:f>IF(AND('Baseline Register'!G1063="0.0.0",'Baseline Register'!I1063="OPEN",'Baseline Register'!J1063="HOLD"),1,0)</x:f>
        <x:v>1</x:v>
      </x:c>
      <x:c r="F5947" s="21" t="n">
        <x:v>1</x:v>
      </x:c>
      <x:c r="G5947" s="23" t="str">
        <x:f>IF(E5947=F5947,"PASS","FAIL")</x:f>
        <x:v>PASS</x:v>
      </x:c>
    </x:row>
    <x:row r="5948">
      <x:c r="B5948" s="21" t="str">
        <x:v>A05942</x:v>
      </x:c>
      <x:c r="C5948" s="21" t="str">
        <x:v>baseline</x:v>
      </x:c>
      <x:c r="D5948" s="21" t="str">
        <x:v>baseline 1058 planning state</x:v>
      </x:c>
      <x:c r="E5948" s="21" t="n">
        <x:f>IF(AND('Baseline Register'!G1064="0.0.0",'Baseline Register'!I1064="OPEN",'Baseline Register'!J1064="HOLD"),1,0)</x:f>
        <x:v>1</x:v>
      </x:c>
      <x:c r="F5948" s="21" t="n">
        <x:v>1</x:v>
      </x:c>
      <x:c r="G5948" s="23" t="str">
        <x:f>IF(E5948=F5948,"PASS","FAIL")</x:f>
        <x:v>PASS</x:v>
      </x:c>
    </x:row>
    <x:row r="5949">
      <x:c r="B5949" s="21" t="str">
        <x:v>A05943</x:v>
      </x:c>
      <x:c r="C5949" s="21" t="str">
        <x:v>baseline</x:v>
      </x:c>
      <x:c r="D5949" s="21" t="str">
        <x:v>baseline 1059 planning state</x:v>
      </x:c>
      <x:c r="E5949" s="21" t="n">
        <x:f>IF(AND('Baseline Register'!G1065="0.0.0",'Baseline Register'!I1065="OPEN",'Baseline Register'!J1065="HOLD"),1,0)</x:f>
        <x:v>1</x:v>
      </x:c>
      <x:c r="F5949" s="21" t="n">
        <x:v>1</x:v>
      </x:c>
      <x:c r="G5949" s="23" t="str">
        <x:f>IF(E5949=F5949,"PASS","FAIL")</x:f>
        <x:v>PASS</x:v>
      </x:c>
    </x:row>
    <x:row r="5950">
      <x:c r="B5950" s="21" t="str">
        <x:v>A05944</x:v>
      </x:c>
      <x:c r="C5950" s="21" t="str">
        <x:v>baseline</x:v>
      </x:c>
      <x:c r="D5950" s="21" t="str">
        <x:v>baseline 1060 planning state</x:v>
      </x:c>
      <x:c r="E5950" s="21" t="n">
        <x:f>IF(AND('Baseline Register'!G1066="0.0.0",'Baseline Register'!I1066="OPEN",'Baseline Register'!J1066="HOLD"),1,0)</x:f>
        <x:v>1</x:v>
      </x:c>
      <x:c r="F5950" s="21" t="n">
        <x:v>1</x:v>
      </x:c>
      <x:c r="G5950" s="23" t="str">
        <x:f>IF(E5950=F5950,"PASS","FAIL")</x:f>
        <x:v>PASS</x:v>
      </x:c>
    </x:row>
    <x:row r="5951">
      <x:c r="B5951" s="21" t="str">
        <x:v>A05945</x:v>
      </x:c>
      <x:c r="C5951" s="21" t="str">
        <x:v>baseline</x:v>
      </x:c>
      <x:c r="D5951" s="21" t="str">
        <x:v>baseline 1061 planning state</x:v>
      </x:c>
      <x:c r="E5951" s="21" t="n">
        <x:f>IF(AND('Baseline Register'!G1067="0.0.0",'Baseline Register'!I1067="OPEN",'Baseline Register'!J1067="HOLD"),1,0)</x:f>
        <x:v>1</x:v>
      </x:c>
      <x:c r="F5951" s="21" t="n">
        <x:v>1</x:v>
      </x:c>
      <x:c r="G5951" s="23" t="str">
        <x:f>IF(E5951=F5951,"PASS","FAIL")</x:f>
        <x:v>PASS</x:v>
      </x:c>
    </x:row>
    <x:row r="5952">
      <x:c r="B5952" s="21" t="str">
        <x:v>A05946</x:v>
      </x:c>
      <x:c r="C5952" s="21" t="str">
        <x:v>baseline</x:v>
      </x:c>
      <x:c r="D5952" s="21" t="str">
        <x:v>baseline 1062 planning state</x:v>
      </x:c>
      <x:c r="E5952" s="21" t="n">
        <x:f>IF(AND('Baseline Register'!G1068="0.0.0",'Baseline Register'!I1068="OPEN",'Baseline Register'!J1068="HOLD"),1,0)</x:f>
        <x:v>1</x:v>
      </x:c>
      <x:c r="F5952" s="21" t="n">
        <x:v>1</x:v>
      </x:c>
      <x:c r="G5952" s="23" t="str">
        <x:f>IF(E5952=F5952,"PASS","FAIL")</x:f>
        <x:v>PASS</x:v>
      </x:c>
    </x:row>
    <x:row r="5953">
      <x:c r="B5953" s="21" t="str">
        <x:v>A05947</x:v>
      </x:c>
      <x:c r="C5953" s="21" t="str">
        <x:v>baseline</x:v>
      </x:c>
      <x:c r="D5953" s="21" t="str">
        <x:v>baseline 1063 planning state</x:v>
      </x:c>
      <x:c r="E5953" s="21" t="n">
        <x:f>IF(AND('Baseline Register'!G1069="0.0.0",'Baseline Register'!I1069="OPEN",'Baseline Register'!J1069="HOLD"),1,0)</x:f>
        <x:v>1</x:v>
      </x:c>
      <x:c r="F5953" s="21" t="n">
        <x:v>1</x:v>
      </x:c>
      <x:c r="G5953" s="23" t="str">
        <x:f>IF(E5953=F5953,"PASS","FAIL")</x:f>
        <x:v>PASS</x:v>
      </x:c>
    </x:row>
    <x:row r="5954">
      <x:c r="B5954" s="21" t="str">
        <x:v>A05948</x:v>
      </x:c>
      <x:c r="C5954" s="21" t="str">
        <x:v>baseline</x:v>
      </x:c>
      <x:c r="D5954" s="21" t="str">
        <x:v>baseline 1064 planning state</x:v>
      </x:c>
      <x:c r="E5954" s="21" t="n">
        <x:f>IF(AND('Baseline Register'!G1070="0.0.0",'Baseline Register'!I1070="OPEN",'Baseline Register'!J1070="HOLD"),1,0)</x:f>
        <x:v>1</x:v>
      </x:c>
      <x:c r="F5954" s="21" t="n">
        <x:v>1</x:v>
      </x:c>
      <x:c r="G5954" s="23" t="str">
        <x:f>IF(E5954=F5954,"PASS","FAIL")</x:f>
        <x:v>PASS</x:v>
      </x:c>
    </x:row>
    <x:row r="5955">
      <x:c r="B5955" s="21" t="str">
        <x:v>A05949</x:v>
      </x:c>
      <x:c r="C5955" s="21" t="str">
        <x:v>baseline</x:v>
      </x:c>
      <x:c r="D5955" s="21" t="str">
        <x:v>baseline 1065 planning state</x:v>
      </x:c>
      <x:c r="E5955" s="21" t="n">
        <x:f>IF(AND('Baseline Register'!G1071="0.0.0",'Baseline Register'!I1071="OPEN",'Baseline Register'!J1071="HOLD"),1,0)</x:f>
        <x:v>1</x:v>
      </x:c>
      <x:c r="F5955" s="21" t="n">
        <x:v>1</x:v>
      </x:c>
      <x:c r="G5955" s="23" t="str">
        <x:f>IF(E5955=F5955,"PASS","FAIL")</x:f>
        <x:v>PASS</x:v>
      </x:c>
    </x:row>
    <x:row r="5956">
      <x:c r="B5956" s="21" t="str">
        <x:v>A05950</x:v>
      </x:c>
      <x:c r="C5956" s="21" t="str">
        <x:v>baseline</x:v>
      </x:c>
      <x:c r="D5956" s="21" t="str">
        <x:v>baseline 1066 planning state</x:v>
      </x:c>
      <x:c r="E5956" s="21" t="n">
        <x:f>IF(AND('Baseline Register'!G1072="0.0.0",'Baseline Register'!I1072="OPEN",'Baseline Register'!J1072="HOLD"),1,0)</x:f>
        <x:v>1</x:v>
      </x:c>
      <x:c r="F5956" s="21" t="n">
        <x:v>1</x:v>
      </x:c>
      <x:c r="G5956" s="23" t="str">
        <x:f>IF(E5956=F5956,"PASS","FAIL")</x:f>
        <x:v>PASS</x:v>
      </x:c>
    </x:row>
    <x:row r="5957">
      <x:c r="B5957" s="21" t="str">
        <x:v>A05951</x:v>
      </x:c>
      <x:c r="C5957" s="21" t="str">
        <x:v>baseline</x:v>
      </x:c>
      <x:c r="D5957" s="21" t="str">
        <x:v>baseline 1067 planning state</x:v>
      </x:c>
      <x:c r="E5957" s="21" t="n">
        <x:f>IF(AND('Baseline Register'!G1073="0.0.0",'Baseline Register'!I1073="OPEN",'Baseline Register'!J1073="HOLD"),1,0)</x:f>
        <x:v>1</x:v>
      </x:c>
      <x:c r="F5957" s="21" t="n">
        <x:v>1</x:v>
      </x:c>
      <x:c r="G5957" s="23" t="str">
        <x:f>IF(E5957=F5957,"PASS","FAIL")</x:f>
        <x:v>PASS</x:v>
      </x:c>
    </x:row>
    <x:row r="5958">
      <x:c r="B5958" s="21" t="str">
        <x:v>A05952</x:v>
      </x:c>
      <x:c r="C5958" s="21" t="str">
        <x:v>baseline</x:v>
      </x:c>
      <x:c r="D5958" s="21" t="str">
        <x:v>baseline 1068 planning state</x:v>
      </x:c>
      <x:c r="E5958" s="21" t="n">
        <x:f>IF(AND('Baseline Register'!G1074="0.0.0",'Baseline Register'!I1074="OPEN",'Baseline Register'!J1074="HOLD"),1,0)</x:f>
        <x:v>1</x:v>
      </x:c>
      <x:c r="F5958" s="21" t="n">
        <x:v>1</x:v>
      </x:c>
      <x:c r="G5958" s="23" t="str">
        <x:f>IF(E5958=F5958,"PASS","FAIL")</x:f>
        <x:v>PASS</x:v>
      </x:c>
    </x:row>
    <x:row r="5959">
      <x:c r="B5959" s="21" t="str">
        <x:v>A05953</x:v>
      </x:c>
      <x:c r="C5959" s="21" t="str">
        <x:v>baseline</x:v>
      </x:c>
      <x:c r="D5959" s="21" t="str">
        <x:v>baseline 1069 planning state</x:v>
      </x:c>
      <x:c r="E5959" s="21" t="n">
        <x:f>IF(AND('Baseline Register'!G1075="0.0.0",'Baseline Register'!I1075="OPEN",'Baseline Register'!J1075="HOLD"),1,0)</x:f>
        <x:v>1</x:v>
      </x:c>
      <x:c r="F5959" s="21" t="n">
        <x:v>1</x:v>
      </x:c>
      <x:c r="G5959" s="23" t="str">
        <x:f>IF(E5959=F5959,"PASS","FAIL")</x:f>
        <x:v>PASS</x:v>
      </x:c>
    </x:row>
    <x:row r="5960">
      <x:c r="B5960" s="21" t="str">
        <x:v>A05954</x:v>
      </x:c>
      <x:c r="C5960" s="21" t="str">
        <x:v>baseline</x:v>
      </x:c>
      <x:c r="D5960" s="21" t="str">
        <x:v>baseline 1070 planning state</x:v>
      </x:c>
      <x:c r="E5960" s="21" t="n">
        <x:f>IF(AND('Baseline Register'!G1076="0.0.0",'Baseline Register'!I1076="OPEN",'Baseline Register'!J1076="HOLD"),1,0)</x:f>
        <x:v>1</x:v>
      </x:c>
      <x:c r="F5960" s="21" t="n">
        <x:v>1</x:v>
      </x:c>
      <x:c r="G5960" s="23" t="str">
        <x:f>IF(E5960=F5960,"PASS","FAIL")</x:f>
        <x:v>PASS</x:v>
      </x:c>
    </x:row>
    <x:row r="5961">
      <x:c r="B5961" s="21" t="str">
        <x:v>A05955</x:v>
      </x:c>
      <x:c r="C5961" s="21" t="str">
        <x:v>baseline</x:v>
      </x:c>
      <x:c r="D5961" s="21" t="str">
        <x:v>baseline 1071 planning state</x:v>
      </x:c>
      <x:c r="E5961" s="21" t="n">
        <x:f>IF(AND('Baseline Register'!G1077="0.0.0",'Baseline Register'!I1077="OPEN",'Baseline Register'!J1077="HOLD"),1,0)</x:f>
        <x:v>1</x:v>
      </x:c>
      <x:c r="F5961" s="21" t="n">
        <x:v>1</x:v>
      </x:c>
      <x:c r="G5961" s="23" t="str">
        <x:f>IF(E5961=F5961,"PASS","FAIL")</x:f>
        <x:v>PASS</x:v>
      </x:c>
    </x:row>
    <x:row r="5962">
      <x:c r="B5962" s="21" t="str">
        <x:v>A05956</x:v>
      </x:c>
      <x:c r="C5962" s="21" t="str">
        <x:v>baseline</x:v>
      </x:c>
      <x:c r="D5962" s="21" t="str">
        <x:v>baseline 1072 planning state</x:v>
      </x:c>
      <x:c r="E5962" s="21" t="n">
        <x:f>IF(AND('Baseline Register'!G1078="0.0.0",'Baseline Register'!I1078="OPEN",'Baseline Register'!J1078="HOLD"),1,0)</x:f>
        <x:v>1</x:v>
      </x:c>
      <x:c r="F5962" s="21" t="n">
        <x:v>1</x:v>
      </x:c>
      <x:c r="G5962" s="23" t="str">
        <x:f>IF(E5962=F5962,"PASS","FAIL")</x:f>
        <x:v>PASS</x:v>
      </x:c>
    </x:row>
    <x:row r="5963">
      <x:c r="B5963" s="21" t="str">
        <x:v>A05957</x:v>
      </x:c>
      <x:c r="C5963" s="21" t="str">
        <x:v>baseline</x:v>
      </x:c>
      <x:c r="D5963" s="21" t="str">
        <x:v>baseline 1073 planning state</x:v>
      </x:c>
      <x:c r="E5963" s="21" t="n">
        <x:f>IF(AND('Baseline Register'!G1079="0.0.0",'Baseline Register'!I1079="OPEN",'Baseline Register'!J1079="HOLD"),1,0)</x:f>
        <x:v>1</x:v>
      </x:c>
      <x:c r="F5963" s="21" t="n">
        <x:v>1</x:v>
      </x:c>
      <x:c r="G5963" s="23" t="str">
        <x:f>IF(E5963=F5963,"PASS","FAIL")</x:f>
        <x:v>PASS</x:v>
      </x:c>
    </x:row>
    <x:row r="5964">
      <x:c r="B5964" s="21" t="str">
        <x:v>A05958</x:v>
      </x:c>
      <x:c r="C5964" s="21" t="str">
        <x:v>baseline</x:v>
      </x:c>
      <x:c r="D5964" s="21" t="str">
        <x:v>baseline 1074 planning state</x:v>
      </x:c>
      <x:c r="E5964" s="21" t="n">
        <x:f>IF(AND('Baseline Register'!G1080="0.0.0",'Baseline Register'!I1080="OPEN",'Baseline Register'!J1080="HOLD"),1,0)</x:f>
        <x:v>1</x:v>
      </x:c>
      <x:c r="F5964" s="21" t="n">
        <x:v>1</x:v>
      </x:c>
      <x:c r="G5964" s="23" t="str">
        <x:f>IF(E5964=F5964,"PASS","FAIL")</x:f>
        <x:v>PASS</x:v>
      </x:c>
    </x:row>
    <x:row r="5965">
      <x:c r="B5965" s="21" t="str">
        <x:v>A05959</x:v>
      </x:c>
      <x:c r="C5965" s="21" t="str">
        <x:v>baseline</x:v>
      </x:c>
      <x:c r="D5965" s="21" t="str">
        <x:v>baseline 1075 planning state</x:v>
      </x:c>
      <x:c r="E5965" s="21" t="n">
        <x:f>IF(AND('Baseline Register'!G1081="0.0.0",'Baseline Register'!I1081="OPEN",'Baseline Register'!J1081="HOLD"),1,0)</x:f>
        <x:v>1</x:v>
      </x:c>
      <x:c r="F5965" s="21" t="n">
        <x:v>1</x:v>
      </x:c>
      <x:c r="G5965" s="23" t="str">
        <x:f>IF(E5965=F5965,"PASS","FAIL")</x:f>
        <x:v>PASS</x:v>
      </x:c>
    </x:row>
    <x:row r="5966">
      <x:c r="B5966" s="21" t="str">
        <x:v>A05960</x:v>
      </x:c>
      <x:c r="C5966" s="21" t="str">
        <x:v>baseline</x:v>
      </x:c>
      <x:c r="D5966" s="21" t="str">
        <x:v>baseline 1076 planning state</x:v>
      </x:c>
      <x:c r="E5966" s="21" t="n">
        <x:f>IF(AND('Baseline Register'!G1082="0.0.0",'Baseline Register'!I1082="OPEN",'Baseline Register'!J1082="HOLD"),1,0)</x:f>
        <x:v>1</x:v>
      </x:c>
      <x:c r="F5966" s="21" t="n">
        <x:v>1</x:v>
      </x:c>
      <x:c r="G5966" s="23" t="str">
        <x:f>IF(E5966=F5966,"PASS","FAIL")</x:f>
        <x:v>PASS</x:v>
      </x:c>
    </x:row>
    <x:row r="5967">
      <x:c r="B5967" s="21" t="str">
        <x:v>A05961</x:v>
      </x:c>
      <x:c r="C5967" s="21" t="str">
        <x:v>baseline</x:v>
      </x:c>
      <x:c r="D5967" s="21" t="str">
        <x:v>baseline 1077 planning state</x:v>
      </x:c>
      <x:c r="E5967" s="21" t="n">
        <x:f>IF(AND('Baseline Register'!G1083="0.0.0",'Baseline Register'!I1083="OPEN",'Baseline Register'!J1083="HOLD"),1,0)</x:f>
        <x:v>1</x:v>
      </x:c>
      <x:c r="F5967" s="21" t="n">
        <x:v>1</x:v>
      </x:c>
      <x:c r="G5967" s="23" t="str">
        <x:f>IF(E5967=F5967,"PASS","FAIL")</x:f>
        <x:v>PASS</x:v>
      </x:c>
    </x:row>
    <x:row r="5968">
      <x:c r="B5968" s="21" t="str">
        <x:v>A05962</x:v>
      </x:c>
      <x:c r="C5968" s="21" t="str">
        <x:v>baseline</x:v>
      </x:c>
      <x:c r="D5968" s="21" t="str">
        <x:v>baseline 1078 planning state</x:v>
      </x:c>
      <x:c r="E5968" s="21" t="n">
        <x:f>IF(AND('Baseline Register'!G1084="0.0.0",'Baseline Register'!I1084="OPEN",'Baseline Register'!J1084="HOLD"),1,0)</x:f>
        <x:v>1</x:v>
      </x:c>
      <x:c r="F5968" s="21" t="n">
        <x:v>1</x:v>
      </x:c>
      <x:c r="G5968" s="23" t="str">
        <x:f>IF(E5968=F5968,"PASS","FAIL")</x:f>
        <x:v>PASS</x:v>
      </x:c>
    </x:row>
    <x:row r="5969">
      <x:c r="B5969" s="21" t="str">
        <x:v>A05963</x:v>
      </x:c>
      <x:c r="C5969" s="21" t="str">
        <x:v>baseline</x:v>
      </x:c>
      <x:c r="D5969" s="21" t="str">
        <x:v>baseline 1079 planning state</x:v>
      </x:c>
      <x:c r="E5969" s="21" t="n">
        <x:f>IF(AND('Baseline Register'!G1085="0.0.0",'Baseline Register'!I1085="OPEN",'Baseline Register'!J1085="HOLD"),1,0)</x:f>
        <x:v>1</x:v>
      </x:c>
      <x:c r="F5969" s="21" t="n">
        <x:v>1</x:v>
      </x:c>
      <x:c r="G5969" s="23" t="str">
        <x:f>IF(E5969=F5969,"PASS","FAIL")</x:f>
        <x:v>PASS</x:v>
      </x:c>
    </x:row>
    <x:row r="5970">
      <x:c r="B5970" s="21" t="str">
        <x:v>A05964</x:v>
      </x:c>
      <x:c r="C5970" s="21" t="str">
        <x:v>baseline</x:v>
      </x:c>
      <x:c r="D5970" s="21" t="str">
        <x:v>baseline 1080 planning state</x:v>
      </x:c>
      <x:c r="E5970" s="21" t="n">
        <x:f>IF(AND('Baseline Register'!G1086="0.0.0",'Baseline Register'!I1086="OPEN",'Baseline Register'!J1086="HOLD"),1,0)</x:f>
        <x:v>1</x:v>
      </x:c>
      <x:c r="F5970" s="21" t="n">
        <x:v>1</x:v>
      </x:c>
      <x:c r="G5970" s="23" t="str">
        <x:f>IF(E5970=F5970,"PASS","FAIL")</x:f>
        <x:v>PASS</x:v>
      </x:c>
    </x:row>
    <x:row r="5971">
      <x:c r="B5971" s="21" t="str">
        <x:v>A05965</x:v>
      </x:c>
      <x:c r="C5971" s="21" t="str">
        <x:v>baseline</x:v>
      </x:c>
      <x:c r="D5971" s="21" t="str">
        <x:v>baseline 1081 planning state</x:v>
      </x:c>
      <x:c r="E5971" s="21" t="n">
        <x:f>IF(AND('Baseline Register'!G1087="0.0.0",'Baseline Register'!I1087="OPEN",'Baseline Register'!J1087="HOLD"),1,0)</x:f>
        <x:v>1</x:v>
      </x:c>
      <x:c r="F5971" s="21" t="n">
        <x:v>1</x:v>
      </x:c>
      <x:c r="G5971" s="23" t="str">
        <x:f>IF(E5971=F5971,"PASS","FAIL")</x:f>
        <x:v>PASS</x:v>
      </x:c>
    </x:row>
    <x:row r="5972">
      <x:c r="B5972" s="21" t="str">
        <x:v>A05966</x:v>
      </x:c>
      <x:c r="C5972" s="21" t="str">
        <x:v>baseline</x:v>
      </x:c>
      <x:c r="D5972" s="21" t="str">
        <x:v>baseline 1082 planning state</x:v>
      </x:c>
      <x:c r="E5972" s="21" t="n">
        <x:f>IF(AND('Baseline Register'!G1088="0.0.0",'Baseline Register'!I1088="OPEN",'Baseline Register'!J1088="HOLD"),1,0)</x:f>
        <x:v>1</x:v>
      </x:c>
      <x:c r="F5972" s="21" t="n">
        <x:v>1</x:v>
      </x:c>
      <x:c r="G5972" s="23" t="str">
        <x:f>IF(E5972=F5972,"PASS","FAIL")</x:f>
        <x:v>PASS</x:v>
      </x:c>
    </x:row>
    <x:row r="5973">
      <x:c r="B5973" s="21" t="str">
        <x:v>A05967</x:v>
      </x:c>
      <x:c r="C5973" s="21" t="str">
        <x:v>baseline</x:v>
      </x:c>
      <x:c r="D5973" s="21" t="str">
        <x:v>baseline 1083 planning state</x:v>
      </x:c>
      <x:c r="E5973" s="21" t="n">
        <x:f>IF(AND('Baseline Register'!G1089="0.0.0",'Baseline Register'!I1089="OPEN",'Baseline Register'!J1089="HOLD"),1,0)</x:f>
        <x:v>1</x:v>
      </x:c>
      <x:c r="F5973" s="21" t="n">
        <x:v>1</x:v>
      </x:c>
      <x:c r="G5973" s="23" t="str">
        <x:f>IF(E5973=F5973,"PASS","FAIL")</x:f>
        <x:v>PASS</x:v>
      </x:c>
    </x:row>
    <x:row r="5974">
      <x:c r="B5974" s="21" t="str">
        <x:v>A05968</x:v>
      </x:c>
      <x:c r="C5974" s="21" t="str">
        <x:v>baseline</x:v>
      </x:c>
      <x:c r="D5974" s="21" t="str">
        <x:v>baseline 1084 planning state</x:v>
      </x:c>
      <x:c r="E5974" s="21" t="n">
        <x:f>IF(AND('Baseline Register'!G1090="0.0.0",'Baseline Register'!I1090="OPEN",'Baseline Register'!J1090="HOLD"),1,0)</x:f>
        <x:v>1</x:v>
      </x:c>
      <x:c r="F5974" s="21" t="n">
        <x:v>1</x:v>
      </x:c>
      <x:c r="G5974" s="23" t="str">
        <x:f>IF(E5974=F5974,"PASS","FAIL")</x:f>
        <x:v>PASS</x:v>
      </x:c>
    </x:row>
    <x:row r="5975">
      <x:c r="B5975" s="21" t="str">
        <x:v>A05969</x:v>
      </x:c>
      <x:c r="C5975" s="21" t="str">
        <x:v>baseline</x:v>
      </x:c>
      <x:c r="D5975" s="21" t="str">
        <x:v>baseline 1085 planning state</x:v>
      </x:c>
      <x:c r="E5975" s="21" t="n">
        <x:f>IF(AND('Baseline Register'!G1091="0.0.0",'Baseline Register'!I1091="OPEN",'Baseline Register'!J1091="HOLD"),1,0)</x:f>
        <x:v>1</x:v>
      </x:c>
      <x:c r="F5975" s="21" t="n">
        <x:v>1</x:v>
      </x:c>
      <x:c r="G5975" s="23" t="str">
        <x:f>IF(E5975=F5975,"PASS","FAIL")</x:f>
        <x:v>PASS</x:v>
      </x:c>
    </x:row>
    <x:row r="5976">
      <x:c r="B5976" s="21" t="str">
        <x:v>A05970</x:v>
      </x:c>
      <x:c r="C5976" s="21" t="str">
        <x:v>baseline</x:v>
      </x:c>
      <x:c r="D5976" s="21" t="str">
        <x:v>baseline 1086 planning state</x:v>
      </x:c>
      <x:c r="E5976" s="21" t="n">
        <x:f>IF(AND('Baseline Register'!G1092="0.0.0",'Baseline Register'!I1092="OPEN",'Baseline Register'!J1092="HOLD"),1,0)</x:f>
        <x:v>1</x:v>
      </x:c>
      <x:c r="F5976" s="21" t="n">
        <x:v>1</x:v>
      </x:c>
      <x:c r="G5976" s="23" t="str">
        <x:f>IF(E5976=F5976,"PASS","FAIL")</x:f>
        <x:v>PASS</x:v>
      </x:c>
    </x:row>
    <x:row r="5977">
      <x:c r="B5977" s="21" t="str">
        <x:v>A05971</x:v>
      </x:c>
      <x:c r="C5977" s="21" t="str">
        <x:v>baseline</x:v>
      </x:c>
      <x:c r="D5977" s="21" t="str">
        <x:v>baseline 1087 planning state</x:v>
      </x:c>
      <x:c r="E5977" s="21" t="n">
        <x:f>IF(AND('Baseline Register'!G1093="0.0.0",'Baseline Register'!I1093="OPEN",'Baseline Register'!J1093="HOLD"),1,0)</x:f>
        <x:v>1</x:v>
      </x:c>
      <x:c r="F5977" s="21" t="n">
        <x:v>1</x:v>
      </x:c>
      <x:c r="G5977" s="23" t="str">
        <x:f>IF(E5977=F5977,"PASS","FAIL")</x:f>
        <x:v>PASS</x:v>
      </x:c>
    </x:row>
    <x:row r="5978">
      <x:c r="B5978" s="21" t="str">
        <x:v>A05972</x:v>
      </x:c>
      <x:c r="C5978" s="21" t="str">
        <x:v>baseline</x:v>
      </x:c>
      <x:c r="D5978" s="21" t="str">
        <x:v>baseline 1088 planning state</x:v>
      </x:c>
      <x:c r="E5978" s="21" t="n">
        <x:f>IF(AND('Baseline Register'!G1094="0.0.0",'Baseline Register'!I1094="OPEN",'Baseline Register'!J1094="HOLD"),1,0)</x:f>
        <x:v>1</x:v>
      </x:c>
      <x:c r="F5978" s="21" t="n">
        <x:v>1</x:v>
      </x:c>
      <x:c r="G5978" s="23" t="str">
        <x:f>IF(E5978=F5978,"PASS","FAIL")</x:f>
        <x:v>PASS</x:v>
      </x:c>
    </x:row>
    <x:row r="5979">
      <x:c r="B5979" s="21" t="str">
        <x:v>A05973</x:v>
      </x:c>
      <x:c r="C5979" s="21" t="str">
        <x:v>baseline</x:v>
      </x:c>
      <x:c r="D5979" s="21" t="str">
        <x:v>baseline 1089 planning state</x:v>
      </x:c>
      <x:c r="E5979" s="21" t="n">
        <x:f>IF(AND('Baseline Register'!G1095="0.0.0",'Baseline Register'!I1095="OPEN",'Baseline Register'!J1095="HOLD"),1,0)</x:f>
        <x:v>1</x:v>
      </x:c>
      <x:c r="F5979" s="21" t="n">
        <x:v>1</x:v>
      </x:c>
      <x:c r="G5979" s="23" t="str">
        <x:f>IF(E5979=F5979,"PASS","FAIL")</x:f>
        <x:v>PASS</x:v>
      </x:c>
    </x:row>
    <x:row r="5980">
      <x:c r="B5980" s="21" t="str">
        <x:v>A05974</x:v>
      </x:c>
      <x:c r="C5980" s="21" t="str">
        <x:v>baseline</x:v>
      </x:c>
      <x:c r="D5980" s="21" t="str">
        <x:v>baseline 1090 planning state</x:v>
      </x:c>
      <x:c r="E5980" s="21" t="n">
        <x:f>IF(AND('Baseline Register'!G1096="0.0.0",'Baseline Register'!I1096="OPEN",'Baseline Register'!J1096="HOLD"),1,0)</x:f>
        <x:v>1</x:v>
      </x:c>
      <x:c r="F5980" s="21" t="n">
        <x:v>1</x:v>
      </x:c>
      <x:c r="G5980" s="23" t="str">
        <x:f>IF(E5980=F5980,"PASS","FAIL")</x:f>
        <x:v>PASS</x:v>
      </x:c>
    </x:row>
    <x:row r="5981">
      <x:c r="B5981" s="21" t="str">
        <x:v>A05975</x:v>
      </x:c>
      <x:c r="C5981" s="21" t="str">
        <x:v>baseline</x:v>
      </x:c>
      <x:c r="D5981" s="21" t="str">
        <x:v>baseline 1091 planning state</x:v>
      </x:c>
      <x:c r="E5981" s="21" t="n">
        <x:f>IF(AND('Baseline Register'!G1097="0.0.0",'Baseline Register'!I1097="OPEN",'Baseline Register'!J1097="HOLD"),1,0)</x:f>
        <x:v>1</x:v>
      </x:c>
      <x:c r="F5981" s="21" t="n">
        <x:v>1</x:v>
      </x:c>
      <x:c r="G5981" s="23" t="str">
        <x:f>IF(E5981=F5981,"PASS","FAIL")</x:f>
        <x:v>PASS</x:v>
      </x:c>
    </x:row>
    <x:row r="5982">
      <x:c r="B5982" s="21" t="str">
        <x:v>A05976</x:v>
      </x:c>
      <x:c r="C5982" s="21" t="str">
        <x:v>baseline</x:v>
      </x:c>
      <x:c r="D5982" s="21" t="str">
        <x:v>baseline 1092 planning state</x:v>
      </x:c>
      <x:c r="E5982" s="21" t="n">
        <x:f>IF(AND('Baseline Register'!G1098="0.0.0",'Baseline Register'!I1098="OPEN",'Baseline Register'!J1098="HOLD"),1,0)</x:f>
        <x:v>1</x:v>
      </x:c>
      <x:c r="F5982" s="21" t="n">
        <x:v>1</x:v>
      </x:c>
      <x:c r="G5982" s="23" t="str">
        <x:f>IF(E5982=F5982,"PASS","FAIL")</x:f>
        <x:v>PASS</x:v>
      </x:c>
    </x:row>
    <x:row r="5983">
      <x:c r="B5983" s="21" t="str">
        <x:v>A05977</x:v>
      </x:c>
      <x:c r="C5983" s="21" t="str">
        <x:v>baseline</x:v>
      </x:c>
      <x:c r="D5983" s="21" t="str">
        <x:v>baseline 1093 planning state</x:v>
      </x:c>
      <x:c r="E5983" s="21" t="n">
        <x:f>IF(AND('Baseline Register'!G1099="0.0.0",'Baseline Register'!I1099="OPEN",'Baseline Register'!J1099="HOLD"),1,0)</x:f>
        <x:v>1</x:v>
      </x:c>
      <x:c r="F5983" s="21" t="n">
        <x:v>1</x:v>
      </x:c>
      <x:c r="G5983" s="23" t="str">
        <x:f>IF(E5983=F5983,"PASS","FAIL")</x:f>
        <x:v>PASS</x:v>
      </x:c>
    </x:row>
    <x:row r="5984">
      <x:c r="B5984" s="21" t="str">
        <x:v>A05978</x:v>
      </x:c>
      <x:c r="C5984" s="21" t="str">
        <x:v>baseline</x:v>
      </x:c>
      <x:c r="D5984" s="21" t="str">
        <x:v>baseline 1094 planning state</x:v>
      </x:c>
      <x:c r="E5984" s="21" t="n">
        <x:f>IF(AND('Baseline Register'!G1100="0.0.0",'Baseline Register'!I1100="OPEN",'Baseline Register'!J1100="HOLD"),1,0)</x:f>
        <x:v>1</x:v>
      </x:c>
      <x:c r="F5984" s="21" t="n">
        <x:v>1</x:v>
      </x:c>
      <x:c r="G5984" s="23" t="str">
        <x:f>IF(E5984=F5984,"PASS","FAIL")</x:f>
        <x:v>PASS</x:v>
      </x:c>
    </x:row>
    <x:row r="5985">
      <x:c r="B5985" s="21" t="str">
        <x:v>A05979</x:v>
      </x:c>
      <x:c r="C5985" s="21" t="str">
        <x:v>baseline</x:v>
      </x:c>
      <x:c r="D5985" s="21" t="str">
        <x:v>baseline 1095 planning state</x:v>
      </x:c>
      <x:c r="E5985" s="21" t="n">
        <x:f>IF(AND('Baseline Register'!G1101="0.0.0",'Baseline Register'!I1101="OPEN",'Baseline Register'!J1101="HOLD"),1,0)</x:f>
        <x:v>1</x:v>
      </x:c>
      <x:c r="F5985" s="21" t="n">
        <x:v>1</x:v>
      </x:c>
      <x:c r="G5985" s="23" t="str">
        <x:f>IF(E5985=F5985,"PASS","FAIL")</x:f>
        <x:v>PASS</x:v>
      </x:c>
    </x:row>
    <x:row r="5986">
      <x:c r="B5986" s="21" t="str">
        <x:v>A05980</x:v>
      </x:c>
      <x:c r="C5986" s="21" t="str">
        <x:v>baseline</x:v>
      </x:c>
      <x:c r="D5986" s="21" t="str">
        <x:v>baseline 1096 planning state</x:v>
      </x:c>
      <x:c r="E5986" s="21" t="n">
        <x:f>IF(AND('Baseline Register'!G1102="0.0.0",'Baseline Register'!I1102="OPEN",'Baseline Register'!J1102="HOLD"),1,0)</x:f>
        <x:v>1</x:v>
      </x:c>
      <x:c r="F5986" s="21" t="n">
        <x:v>1</x:v>
      </x:c>
      <x:c r="G5986" s="23" t="str">
        <x:f>IF(E5986=F5986,"PASS","FAIL")</x:f>
        <x:v>PASS</x:v>
      </x:c>
    </x:row>
    <x:row r="5987">
      <x:c r="B5987" s="21" t="str">
        <x:v>A05981</x:v>
      </x:c>
      <x:c r="C5987" s="21" t="str">
        <x:v>baseline</x:v>
      </x:c>
      <x:c r="D5987" s="21" t="str">
        <x:v>baseline 1097 planning state</x:v>
      </x:c>
      <x:c r="E5987" s="21" t="n">
        <x:f>IF(AND('Baseline Register'!G1103="0.0.0",'Baseline Register'!I1103="OPEN",'Baseline Register'!J1103="HOLD"),1,0)</x:f>
        <x:v>1</x:v>
      </x:c>
      <x:c r="F5987" s="21" t="n">
        <x:v>1</x:v>
      </x:c>
      <x:c r="G5987" s="23" t="str">
        <x:f>IF(E5987=F5987,"PASS","FAIL")</x:f>
        <x:v>PASS</x:v>
      </x:c>
    </x:row>
    <x:row r="5988">
      <x:c r="B5988" s="21" t="str">
        <x:v>A05982</x:v>
      </x:c>
      <x:c r="C5988" s="21" t="str">
        <x:v>baseline</x:v>
      </x:c>
      <x:c r="D5988" s="21" t="str">
        <x:v>baseline 1098 planning state</x:v>
      </x:c>
      <x:c r="E5988" s="21" t="n">
        <x:f>IF(AND('Baseline Register'!G1104="0.0.0",'Baseline Register'!I1104="OPEN",'Baseline Register'!J1104="HOLD"),1,0)</x:f>
        <x:v>1</x:v>
      </x:c>
      <x:c r="F5988" s="21" t="n">
        <x:v>1</x:v>
      </x:c>
      <x:c r="G5988" s="23" t="str">
        <x:f>IF(E5988=F5988,"PASS","FAIL")</x:f>
        <x:v>PASS</x:v>
      </x:c>
    </x:row>
    <x:row r="5989">
      <x:c r="B5989" s="21" t="str">
        <x:v>A05983</x:v>
      </x:c>
      <x:c r="C5989" s="21" t="str">
        <x:v>baseline</x:v>
      </x:c>
      <x:c r="D5989" s="21" t="str">
        <x:v>baseline 1099 planning state</x:v>
      </x:c>
      <x:c r="E5989" s="21" t="n">
        <x:f>IF(AND('Baseline Register'!G1105="0.0.0",'Baseline Register'!I1105="OPEN",'Baseline Register'!J1105="HOLD"),1,0)</x:f>
        <x:v>1</x:v>
      </x:c>
      <x:c r="F5989" s="21" t="n">
        <x:v>1</x:v>
      </x:c>
      <x:c r="G5989" s="23" t="str">
        <x:f>IF(E5989=F5989,"PASS","FAIL")</x:f>
        <x:v>PASS</x:v>
      </x:c>
    </x:row>
    <x:row r="5990">
      <x:c r="B5990" s="21" t="str">
        <x:v>A05984</x:v>
      </x:c>
      <x:c r="C5990" s="21" t="str">
        <x:v>baseline</x:v>
      </x:c>
      <x:c r="D5990" s="21" t="str">
        <x:v>baseline 1100 planning state</x:v>
      </x:c>
      <x:c r="E5990" s="21" t="n">
        <x:f>IF(AND('Baseline Register'!G1106="0.0.0",'Baseline Register'!I1106="OPEN",'Baseline Register'!J1106="HOLD"),1,0)</x:f>
        <x:v>1</x:v>
      </x:c>
      <x:c r="F5990" s="21" t="n">
        <x:v>1</x:v>
      </x:c>
      <x:c r="G5990" s="23" t="str">
        <x:f>IF(E5990=F5990,"PASS","FAIL")</x:f>
        <x:v>PASS</x:v>
      </x:c>
    </x:row>
    <x:row r="5991">
      <x:c r="B5991" s="21" t="str">
        <x:v>A05985</x:v>
      </x:c>
      <x:c r="C5991" s="21" t="str">
        <x:v>baseline</x:v>
      </x:c>
      <x:c r="D5991" s="21" t="str">
        <x:v>baseline 1101 planning state</x:v>
      </x:c>
      <x:c r="E5991" s="21" t="n">
        <x:f>IF(AND('Baseline Register'!G1107="0.0.0",'Baseline Register'!I1107="OPEN",'Baseline Register'!J1107="HOLD"),1,0)</x:f>
        <x:v>1</x:v>
      </x:c>
      <x:c r="F5991" s="21" t="n">
        <x:v>1</x:v>
      </x:c>
      <x:c r="G5991" s="23" t="str">
        <x:f>IF(E5991=F5991,"PASS","FAIL")</x:f>
        <x:v>PASS</x:v>
      </x:c>
    </x:row>
    <x:row r="5992">
      <x:c r="B5992" s="21" t="str">
        <x:v>A05986</x:v>
      </x:c>
      <x:c r="C5992" s="21" t="str">
        <x:v>baseline</x:v>
      </x:c>
      <x:c r="D5992" s="21" t="str">
        <x:v>baseline 1102 planning state</x:v>
      </x:c>
      <x:c r="E5992" s="21" t="n">
        <x:f>IF(AND('Baseline Register'!G1108="0.0.0",'Baseline Register'!I1108="OPEN",'Baseline Register'!J1108="HOLD"),1,0)</x:f>
        <x:v>1</x:v>
      </x:c>
      <x:c r="F5992" s="21" t="n">
        <x:v>1</x:v>
      </x:c>
      <x:c r="G5992" s="23" t="str">
        <x:f>IF(E5992=F5992,"PASS","FAIL")</x:f>
        <x:v>PASS</x:v>
      </x:c>
    </x:row>
    <x:row r="5993">
      <x:c r="B5993" s="21" t="str">
        <x:v>A05987</x:v>
      </x:c>
      <x:c r="C5993" s="21" t="str">
        <x:v>baseline</x:v>
      </x:c>
      <x:c r="D5993" s="21" t="str">
        <x:v>baseline 1103 planning state</x:v>
      </x:c>
      <x:c r="E5993" s="21" t="n">
        <x:f>IF(AND('Baseline Register'!G1109="0.0.0",'Baseline Register'!I1109="OPEN",'Baseline Register'!J1109="HOLD"),1,0)</x:f>
        <x:v>1</x:v>
      </x:c>
      <x:c r="F5993" s="21" t="n">
        <x:v>1</x:v>
      </x:c>
      <x:c r="G5993" s="23" t="str">
        <x:f>IF(E5993=F5993,"PASS","FAIL")</x:f>
        <x:v>PASS</x:v>
      </x:c>
    </x:row>
    <x:row r="5994">
      <x:c r="B5994" s="21" t="str">
        <x:v>A05988</x:v>
      </x:c>
      <x:c r="C5994" s="21" t="str">
        <x:v>baseline</x:v>
      </x:c>
      <x:c r="D5994" s="21" t="str">
        <x:v>baseline 1104 planning state</x:v>
      </x:c>
      <x:c r="E5994" s="21" t="n">
        <x:f>IF(AND('Baseline Register'!G1110="0.0.0",'Baseline Register'!I1110="OPEN",'Baseline Register'!J1110="HOLD"),1,0)</x:f>
        <x:v>1</x:v>
      </x:c>
      <x:c r="F5994" s="21" t="n">
        <x:v>1</x:v>
      </x:c>
      <x:c r="G5994" s="23" t="str">
        <x:f>IF(E5994=F5994,"PASS","FAIL")</x:f>
        <x:v>PASS</x:v>
      </x:c>
    </x:row>
    <x:row r="5995">
      <x:c r="B5995" s="21" t="str">
        <x:v>A05989</x:v>
      </x:c>
      <x:c r="C5995" s="21" t="str">
        <x:v>baseline</x:v>
      </x:c>
      <x:c r="D5995" s="21" t="str">
        <x:v>baseline 1105 planning state</x:v>
      </x:c>
      <x:c r="E5995" s="21" t="n">
        <x:f>IF(AND('Baseline Register'!G1111="0.0.0",'Baseline Register'!I1111="OPEN",'Baseline Register'!J1111="HOLD"),1,0)</x:f>
        <x:v>1</x:v>
      </x:c>
      <x:c r="F5995" s="21" t="n">
        <x:v>1</x:v>
      </x:c>
      <x:c r="G5995" s="23" t="str">
        <x:f>IF(E5995=F5995,"PASS","FAIL")</x:f>
        <x:v>PASS</x:v>
      </x:c>
    </x:row>
    <x:row r="5996">
      <x:c r="B5996" s="21" t="str">
        <x:v>A05990</x:v>
      </x:c>
      <x:c r="C5996" s="21" t="str">
        <x:v>baseline</x:v>
      </x:c>
      <x:c r="D5996" s="21" t="str">
        <x:v>baseline 1106 planning state</x:v>
      </x:c>
      <x:c r="E5996" s="21" t="n">
        <x:f>IF(AND('Baseline Register'!G1112="0.0.0",'Baseline Register'!I1112="OPEN",'Baseline Register'!J1112="HOLD"),1,0)</x:f>
        <x:v>1</x:v>
      </x:c>
      <x:c r="F5996" s="21" t="n">
        <x:v>1</x:v>
      </x:c>
      <x:c r="G5996" s="23" t="str">
        <x:f>IF(E5996=F5996,"PASS","FAIL")</x:f>
        <x:v>PASS</x:v>
      </x:c>
    </x:row>
    <x:row r="5997">
      <x:c r="B5997" s="21" t="str">
        <x:v>A05991</x:v>
      </x:c>
      <x:c r="C5997" s="21" t="str">
        <x:v>baseline</x:v>
      </x:c>
      <x:c r="D5997" s="21" t="str">
        <x:v>baseline 1107 planning state</x:v>
      </x:c>
      <x:c r="E5997" s="21" t="n">
        <x:f>IF(AND('Baseline Register'!G1113="0.0.0",'Baseline Register'!I1113="OPEN",'Baseline Register'!J1113="HOLD"),1,0)</x:f>
        <x:v>1</x:v>
      </x:c>
      <x:c r="F5997" s="21" t="n">
        <x:v>1</x:v>
      </x:c>
      <x:c r="G5997" s="23" t="str">
        <x:f>IF(E5997=F5997,"PASS","FAIL")</x:f>
        <x:v>PASS</x:v>
      </x:c>
    </x:row>
    <x:row r="5998">
      <x:c r="B5998" s="21" t="str">
        <x:v>A05992</x:v>
      </x:c>
      <x:c r="C5998" s="21" t="str">
        <x:v>baseline</x:v>
      </x:c>
      <x:c r="D5998" s="21" t="str">
        <x:v>baseline 1108 planning state</x:v>
      </x:c>
      <x:c r="E5998" s="21" t="n">
        <x:f>IF(AND('Baseline Register'!G1114="0.0.0",'Baseline Register'!I1114="OPEN",'Baseline Register'!J1114="HOLD"),1,0)</x:f>
        <x:v>1</x:v>
      </x:c>
      <x:c r="F5998" s="21" t="n">
        <x:v>1</x:v>
      </x:c>
      <x:c r="G5998" s="23" t="str">
        <x:f>IF(E5998=F5998,"PASS","FAIL")</x:f>
        <x:v>PASS</x:v>
      </x:c>
    </x:row>
    <x:row r="5999">
      <x:c r="B5999" s="21" t="str">
        <x:v>A05993</x:v>
      </x:c>
      <x:c r="C5999" s="21" t="str">
        <x:v>baseline</x:v>
      </x:c>
      <x:c r="D5999" s="21" t="str">
        <x:v>baseline 1109 planning state</x:v>
      </x:c>
      <x:c r="E5999" s="21" t="n">
        <x:f>IF(AND('Baseline Register'!G1115="0.0.0",'Baseline Register'!I1115="OPEN",'Baseline Register'!J1115="HOLD"),1,0)</x:f>
        <x:v>1</x:v>
      </x:c>
      <x:c r="F5999" s="21" t="n">
        <x:v>1</x:v>
      </x:c>
      <x:c r="G5999" s="23" t="str">
        <x:f>IF(E5999=F5999,"PASS","FAIL")</x:f>
        <x:v>PASS</x:v>
      </x:c>
    </x:row>
    <x:row r="6000">
      <x:c r="B6000" s="21" t="str">
        <x:v>A05994</x:v>
      </x:c>
      <x:c r="C6000" s="21" t="str">
        <x:v>baseline</x:v>
      </x:c>
      <x:c r="D6000" s="21" t="str">
        <x:v>baseline 1110 planning state</x:v>
      </x:c>
      <x:c r="E6000" s="21" t="n">
        <x:f>IF(AND('Baseline Register'!G1116="0.0.0",'Baseline Register'!I1116="OPEN",'Baseline Register'!J1116="HOLD"),1,0)</x:f>
        <x:v>1</x:v>
      </x:c>
      <x:c r="F6000" s="21" t="n">
        <x:v>1</x:v>
      </x:c>
      <x:c r="G6000" s="23" t="str">
        <x:f>IF(E6000=F6000,"PASS","FAIL")</x:f>
        <x:v>PASS</x:v>
      </x:c>
    </x:row>
    <x:row r="6001">
      <x:c r="B6001" s="21" t="str">
        <x:v>A05995</x:v>
      </x:c>
      <x:c r="C6001" s="21" t="str">
        <x:v>baseline</x:v>
      </x:c>
      <x:c r="D6001" s="21" t="str">
        <x:v>baseline 1111 planning state</x:v>
      </x:c>
      <x:c r="E6001" s="21" t="n">
        <x:f>IF(AND('Baseline Register'!G1117="0.0.0",'Baseline Register'!I1117="OPEN",'Baseline Register'!J1117="HOLD"),1,0)</x:f>
        <x:v>1</x:v>
      </x:c>
      <x:c r="F6001" s="21" t="n">
        <x:v>1</x:v>
      </x:c>
      <x:c r="G6001" s="23" t="str">
        <x:f>IF(E6001=F6001,"PASS","FAIL")</x:f>
        <x:v>PASS</x:v>
      </x:c>
    </x:row>
    <x:row r="6002">
      <x:c r="B6002" s="21" t="str">
        <x:v>A05996</x:v>
      </x:c>
      <x:c r="C6002" s="21" t="str">
        <x:v>baseline</x:v>
      </x:c>
      <x:c r="D6002" s="21" t="str">
        <x:v>baseline 1112 planning state</x:v>
      </x:c>
      <x:c r="E6002" s="21" t="n">
        <x:f>IF(AND('Baseline Register'!G1118="0.0.0",'Baseline Register'!I1118="OPEN",'Baseline Register'!J1118="HOLD"),1,0)</x:f>
        <x:v>1</x:v>
      </x:c>
      <x:c r="F6002" s="21" t="n">
        <x:v>1</x:v>
      </x:c>
      <x:c r="G6002" s="23" t="str">
        <x:f>IF(E6002=F6002,"PASS","FAIL")</x:f>
        <x:v>PASS</x:v>
      </x:c>
    </x:row>
    <x:row r="6003">
      <x:c r="B6003" s="21" t="str">
        <x:v>A05997</x:v>
      </x:c>
      <x:c r="C6003" s="21" t="str">
        <x:v>baseline</x:v>
      </x:c>
      <x:c r="D6003" s="21" t="str">
        <x:v>baseline 1113 planning state</x:v>
      </x:c>
      <x:c r="E6003" s="21" t="n">
        <x:f>IF(AND('Baseline Register'!G1119="0.0.0",'Baseline Register'!I1119="OPEN",'Baseline Register'!J1119="HOLD"),1,0)</x:f>
        <x:v>1</x:v>
      </x:c>
      <x:c r="F6003" s="21" t="n">
        <x:v>1</x:v>
      </x:c>
      <x:c r="G6003" s="23" t="str">
        <x:f>IF(E6003=F6003,"PASS","FAIL")</x:f>
        <x:v>PASS</x:v>
      </x:c>
    </x:row>
    <x:row r="6004">
      <x:c r="B6004" s="21" t="str">
        <x:v>A05998</x:v>
      </x:c>
      <x:c r="C6004" s="21" t="str">
        <x:v>baseline</x:v>
      </x:c>
      <x:c r="D6004" s="21" t="str">
        <x:v>baseline 1114 planning state</x:v>
      </x:c>
      <x:c r="E6004" s="21" t="n">
        <x:f>IF(AND('Baseline Register'!G1120="0.0.0",'Baseline Register'!I1120="OPEN",'Baseline Register'!J1120="HOLD"),1,0)</x:f>
        <x:v>1</x:v>
      </x:c>
      <x:c r="F6004" s="21" t="n">
        <x:v>1</x:v>
      </x:c>
      <x:c r="G6004" s="23" t="str">
        <x:f>IF(E6004=F6004,"PASS","FAIL")</x:f>
        <x:v>PASS</x:v>
      </x:c>
    </x:row>
    <x:row r="6005">
      <x:c r="B6005" s="21" t="str">
        <x:v>A05999</x:v>
      </x:c>
      <x:c r="C6005" s="21" t="str">
        <x:v>baseline</x:v>
      </x:c>
      <x:c r="D6005" s="21" t="str">
        <x:v>baseline 1115 planning state</x:v>
      </x:c>
      <x:c r="E6005" s="21" t="n">
        <x:f>IF(AND('Baseline Register'!G1121="0.0.0",'Baseline Register'!I1121="OPEN",'Baseline Register'!J1121="HOLD"),1,0)</x:f>
        <x:v>1</x:v>
      </x:c>
      <x:c r="F6005" s="21" t="n">
        <x:v>1</x:v>
      </x:c>
      <x:c r="G6005" s="23" t="str">
        <x:f>IF(E6005=F6005,"PASS","FAIL")</x:f>
        <x:v>PASS</x:v>
      </x:c>
    </x:row>
    <x:row r="6006">
      <x:c r="B6006" s="21" t="str">
        <x:v>A06000</x:v>
      </x:c>
      <x:c r="C6006" s="21" t="str">
        <x:v>baseline</x:v>
      </x:c>
      <x:c r="D6006" s="21" t="str">
        <x:v>baseline 1116 planning state</x:v>
      </x:c>
      <x:c r="E6006" s="21" t="n">
        <x:f>IF(AND('Baseline Register'!G1122="0.0.0",'Baseline Register'!I1122="OPEN",'Baseline Register'!J1122="HOLD"),1,0)</x:f>
        <x:v>1</x:v>
      </x:c>
      <x:c r="F6006" s="21" t="n">
        <x:v>1</x:v>
      </x:c>
      <x:c r="G6006" s="23" t="str">
        <x:f>IF(E6006=F6006,"PASS","FAIL")</x:f>
        <x:v>PASS</x:v>
      </x:c>
    </x:row>
    <x:row r="6007">
      <x:c r="B6007" s="21" t="str">
        <x:v>A06001</x:v>
      </x:c>
      <x:c r="C6007" s="21" t="str">
        <x:v>baseline</x:v>
      </x:c>
      <x:c r="D6007" s="21" t="str">
        <x:v>baseline 1117 planning state</x:v>
      </x:c>
      <x:c r="E6007" s="21" t="n">
        <x:f>IF(AND('Baseline Register'!G1123="0.0.0",'Baseline Register'!I1123="OPEN",'Baseline Register'!J1123="HOLD"),1,0)</x:f>
        <x:v>1</x:v>
      </x:c>
      <x:c r="F6007" s="21" t="n">
        <x:v>1</x:v>
      </x:c>
      <x:c r="G6007" s="23" t="str">
        <x:f>IF(E6007=F6007,"PASS","FAIL")</x:f>
        <x:v>PASS</x:v>
      </x:c>
    </x:row>
    <x:row r="6008">
      <x:c r="B6008" s="21" t="str">
        <x:v>A06002</x:v>
      </x:c>
      <x:c r="C6008" s="21" t="str">
        <x:v>baseline</x:v>
      </x:c>
      <x:c r="D6008" s="21" t="str">
        <x:v>baseline 1118 planning state</x:v>
      </x:c>
      <x:c r="E6008" s="21" t="n">
        <x:f>IF(AND('Baseline Register'!G1124="0.0.0",'Baseline Register'!I1124="OPEN",'Baseline Register'!J1124="HOLD"),1,0)</x:f>
        <x:v>1</x:v>
      </x:c>
      <x:c r="F6008" s="21" t="n">
        <x:v>1</x:v>
      </x:c>
      <x:c r="G6008" s="23" t="str">
        <x:f>IF(E6008=F6008,"PASS","FAIL")</x:f>
        <x:v>PASS</x:v>
      </x:c>
    </x:row>
    <x:row r="6009">
      <x:c r="B6009" s="21" t="str">
        <x:v>A06003</x:v>
      </x:c>
      <x:c r="C6009" s="21" t="str">
        <x:v>baseline</x:v>
      </x:c>
      <x:c r="D6009" s="21" t="str">
        <x:v>baseline 1119 planning state</x:v>
      </x:c>
      <x:c r="E6009" s="21" t="n">
        <x:f>IF(AND('Baseline Register'!G1125="0.0.0",'Baseline Register'!I1125="OPEN",'Baseline Register'!J1125="HOLD"),1,0)</x:f>
        <x:v>1</x:v>
      </x:c>
      <x:c r="F6009" s="21" t="n">
        <x:v>1</x:v>
      </x:c>
      <x:c r="G6009" s="23" t="str">
        <x:f>IF(E6009=F6009,"PASS","FAIL")</x:f>
        <x:v>PASS</x:v>
      </x:c>
    </x:row>
    <x:row r="6010">
      <x:c r="B6010" s="21" t="str">
        <x:v>A06004</x:v>
      </x:c>
      <x:c r="C6010" s="21" t="str">
        <x:v>baseline</x:v>
      </x:c>
      <x:c r="D6010" s="21" t="str">
        <x:v>baseline 1120 planning state</x:v>
      </x:c>
      <x:c r="E6010" s="21" t="n">
        <x:f>IF(AND('Baseline Register'!G1126="0.0.0",'Baseline Register'!I1126="OPEN",'Baseline Register'!J1126="HOLD"),1,0)</x:f>
        <x:v>1</x:v>
      </x:c>
      <x:c r="F6010" s="21" t="n">
        <x:v>1</x:v>
      </x:c>
      <x:c r="G6010" s="23" t="str">
        <x:f>IF(E6010=F6010,"PASS","FAIL")</x:f>
        <x:v>PASS</x:v>
      </x:c>
    </x:row>
    <x:row r="6011">
      <x:c r="B6011" s="21" t="str">
        <x:v>A06005</x:v>
      </x:c>
      <x:c r="C6011" s="21" t="str">
        <x:v>baseline</x:v>
      </x:c>
      <x:c r="D6011" s="21" t="str">
        <x:v>baseline 1121 planning state</x:v>
      </x:c>
      <x:c r="E6011" s="21" t="n">
        <x:f>IF(AND('Baseline Register'!G1127="0.0.0",'Baseline Register'!I1127="OPEN",'Baseline Register'!J1127="HOLD"),1,0)</x:f>
        <x:v>1</x:v>
      </x:c>
      <x:c r="F6011" s="21" t="n">
        <x:v>1</x:v>
      </x:c>
      <x:c r="G6011" s="23" t="str">
        <x:f>IF(E6011=F6011,"PASS","FAIL")</x:f>
        <x:v>PASS</x:v>
      </x:c>
    </x:row>
    <x:row r="6012">
      <x:c r="B6012" s="21" t="str">
        <x:v>A06006</x:v>
      </x:c>
      <x:c r="C6012" s="21" t="str">
        <x:v>baseline</x:v>
      </x:c>
      <x:c r="D6012" s="21" t="str">
        <x:v>baseline 1122 planning state</x:v>
      </x:c>
      <x:c r="E6012" s="21" t="n">
        <x:f>IF(AND('Baseline Register'!G1128="0.0.0",'Baseline Register'!I1128="OPEN",'Baseline Register'!J1128="HOLD"),1,0)</x:f>
        <x:v>1</x:v>
      </x:c>
      <x:c r="F6012" s="21" t="n">
        <x:v>1</x:v>
      </x:c>
      <x:c r="G6012" s="23" t="str">
        <x:f>IF(E6012=F6012,"PASS","FAIL")</x:f>
        <x:v>PASS</x:v>
      </x:c>
    </x:row>
    <x:row r="6013">
      <x:c r="B6013" s="21" t="str">
        <x:v>A06007</x:v>
      </x:c>
      <x:c r="C6013" s="21" t="str">
        <x:v>baseline</x:v>
      </x:c>
      <x:c r="D6013" s="21" t="str">
        <x:v>baseline 1123 planning state</x:v>
      </x:c>
      <x:c r="E6013" s="21" t="n">
        <x:f>IF(AND('Baseline Register'!G1129="0.0.0",'Baseline Register'!I1129="OPEN",'Baseline Register'!J1129="HOLD"),1,0)</x:f>
        <x:v>1</x:v>
      </x:c>
      <x:c r="F6013" s="21" t="n">
        <x:v>1</x:v>
      </x:c>
      <x:c r="G6013" s="23" t="str">
        <x:f>IF(E6013=F6013,"PASS","FAIL")</x:f>
        <x:v>PASS</x:v>
      </x:c>
    </x:row>
    <x:row r="6014">
      <x:c r="B6014" s="21" t="str">
        <x:v>A06008</x:v>
      </x:c>
      <x:c r="C6014" s="21" t="str">
        <x:v>baseline</x:v>
      </x:c>
      <x:c r="D6014" s="21" t="str">
        <x:v>baseline 1124 planning state</x:v>
      </x:c>
      <x:c r="E6014" s="21" t="n">
        <x:f>IF(AND('Baseline Register'!G1130="0.0.0",'Baseline Register'!I1130="OPEN",'Baseline Register'!J1130="HOLD"),1,0)</x:f>
        <x:v>1</x:v>
      </x:c>
      <x:c r="F6014" s="21" t="n">
        <x:v>1</x:v>
      </x:c>
      <x:c r="G6014" s="23" t="str">
        <x:f>IF(E6014=F6014,"PASS","FAIL")</x:f>
        <x:v>PASS</x:v>
      </x:c>
    </x:row>
    <x:row r="6015">
      <x:c r="B6015" s="21" t="str">
        <x:v>A06009</x:v>
      </x:c>
      <x:c r="C6015" s="21" t="str">
        <x:v>baseline</x:v>
      </x:c>
      <x:c r="D6015" s="21" t="str">
        <x:v>baseline 1125 planning state</x:v>
      </x:c>
      <x:c r="E6015" s="21" t="n">
        <x:f>IF(AND('Baseline Register'!G1131="0.0.0",'Baseline Register'!I1131="OPEN",'Baseline Register'!J1131="HOLD"),1,0)</x:f>
        <x:v>1</x:v>
      </x:c>
      <x:c r="F6015" s="21" t="n">
        <x:v>1</x:v>
      </x:c>
      <x:c r="G6015" s="23" t="str">
        <x:f>IF(E6015=F6015,"PASS","FAIL")</x:f>
        <x:v>PASS</x:v>
      </x:c>
    </x:row>
    <x:row r="6016">
      <x:c r="B6016" s="21" t="str">
        <x:v>A06010</x:v>
      </x:c>
      <x:c r="C6016" s="21" t="str">
        <x:v>baseline</x:v>
      </x:c>
      <x:c r="D6016" s="21" t="str">
        <x:v>baseline 1126 planning state</x:v>
      </x:c>
      <x:c r="E6016" s="21" t="n">
        <x:f>IF(AND('Baseline Register'!G1132="0.0.0",'Baseline Register'!I1132="OPEN",'Baseline Register'!J1132="HOLD"),1,0)</x:f>
        <x:v>1</x:v>
      </x:c>
      <x:c r="F6016" s="21" t="n">
        <x:v>1</x:v>
      </x:c>
      <x:c r="G6016" s="23" t="str">
        <x:f>IF(E6016=F6016,"PASS","FAIL")</x:f>
        <x:v>PASS</x:v>
      </x:c>
    </x:row>
    <x:row r="6017">
      <x:c r="B6017" s="21" t="str">
        <x:v>A06011</x:v>
      </x:c>
      <x:c r="C6017" s="21" t="str">
        <x:v>baseline</x:v>
      </x:c>
      <x:c r="D6017" s="21" t="str">
        <x:v>baseline 1127 planning state</x:v>
      </x:c>
      <x:c r="E6017" s="21" t="n">
        <x:f>IF(AND('Baseline Register'!G1133="0.0.0",'Baseline Register'!I1133="OPEN",'Baseline Register'!J1133="HOLD"),1,0)</x:f>
        <x:v>1</x:v>
      </x:c>
      <x:c r="F6017" s="21" t="n">
        <x:v>1</x:v>
      </x:c>
      <x:c r="G6017" s="23" t="str">
        <x:f>IF(E6017=F6017,"PASS","FAIL")</x:f>
        <x:v>PASS</x:v>
      </x:c>
    </x:row>
    <x:row r="6018">
      <x:c r="B6018" s="21" t="str">
        <x:v>A06012</x:v>
      </x:c>
      <x:c r="C6018" s="21" t="str">
        <x:v>baseline</x:v>
      </x:c>
      <x:c r="D6018" s="21" t="str">
        <x:v>baseline 1128 planning state</x:v>
      </x:c>
      <x:c r="E6018" s="21" t="n">
        <x:f>IF(AND('Baseline Register'!G1134="0.0.0",'Baseline Register'!I1134="OPEN",'Baseline Register'!J1134="HOLD"),1,0)</x:f>
        <x:v>1</x:v>
      </x:c>
      <x:c r="F6018" s="21" t="n">
        <x:v>1</x:v>
      </x:c>
      <x:c r="G6018" s="23" t="str">
        <x:f>IF(E6018=F6018,"PASS","FAIL")</x:f>
        <x:v>PASS</x:v>
      </x:c>
    </x:row>
    <x:row r="6019">
      <x:c r="B6019" s="21" t="str">
        <x:v>A06013</x:v>
      </x:c>
      <x:c r="C6019" s="21" t="str">
        <x:v>baseline</x:v>
      </x:c>
      <x:c r="D6019" s="21" t="str">
        <x:v>baseline 1129 planning state</x:v>
      </x:c>
      <x:c r="E6019" s="21" t="n">
        <x:f>IF(AND('Baseline Register'!G1135="0.0.0",'Baseline Register'!I1135="OPEN",'Baseline Register'!J1135="HOLD"),1,0)</x:f>
        <x:v>1</x:v>
      </x:c>
      <x:c r="F6019" s="21" t="n">
        <x:v>1</x:v>
      </x:c>
      <x:c r="G6019" s="23" t="str">
        <x:f>IF(E6019=F6019,"PASS","FAIL")</x:f>
        <x:v>PASS</x:v>
      </x:c>
    </x:row>
    <x:row r="6020">
      <x:c r="B6020" s="21" t="str">
        <x:v>A06014</x:v>
      </x:c>
      <x:c r="C6020" s="21" t="str">
        <x:v>baseline</x:v>
      </x:c>
      <x:c r="D6020" s="21" t="str">
        <x:v>baseline 1130 planning state</x:v>
      </x:c>
      <x:c r="E6020" s="21" t="n">
        <x:f>IF(AND('Baseline Register'!G1136="0.0.0",'Baseline Register'!I1136="OPEN",'Baseline Register'!J1136="HOLD"),1,0)</x:f>
        <x:v>1</x:v>
      </x:c>
      <x:c r="F6020" s="21" t="n">
        <x:v>1</x:v>
      </x:c>
      <x:c r="G6020" s="23" t="str">
        <x:f>IF(E6020=F6020,"PASS","FAIL")</x:f>
        <x:v>PASS</x:v>
      </x:c>
    </x:row>
    <x:row r="6021">
      <x:c r="B6021" s="21" t="str">
        <x:v>A06015</x:v>
      </x:c>
      <x:c r="C6021" s="21" t="str">
        <x:v>baseline</x:v>
      </x:c>
      <x:c r="D6021" s="21" t="str">
        <x:v>baseline 1131 planning state</x:v>
      </x:c>
      <x:c r="E6021" s="21" t="n">
        <x:f>IF(AND('Baseline Register'!G1137="0.0.0",'Baseline Register'!I1137="OPEN",'Baseline Register'!J1137="HOLD"),1,0)</x:f>
        <x:v>1</x:v>
      </x:c>
      <x:c r="F6021" s="21" t="n">
        <x:v>1</x:v>
      </x:c>
      <x:c r="G6021" s="23" t="str">
        <x:f>IF(E6021=F6021,"PASS","FAIL")</x:f>
        <x:v>PASS</x:v>
      </x:c>
    </x:row>
    <x:row r="6022">
      <x:c r="B6022" s="21" t="str">
        <x:v>A06016</x:v>
      </x:c>
      <x:c r="C6022" s="21" t="str">
        <x:v>baseline</x:v>
      </x:c>
      <x:c r="D6022" s="21" t="str">
        <x:v>baseline 1132 planning state</x:v>
      </x:c>
      <x:c r="E6022" s="21" t="n">
        <x:f>IF(AND('Baseline Register'!G1138="0.0.0",'Baseline Register'!I1138="OPEN",'Baseline Register'!J1138="HOLD"),1,0)</x:f>
        <x:v>1</x:v>
      </x:c>
      <x:c r="F6022" s="21" t="n">
        <x:v>1</x:v>
      </x:c>
      <x:c r="G6022" s="23" t="str">
        <x:f>IF(E6022=F6022,"PASS","FAIL")</x:f>
        <x:v>PASS</x:v>
      </x:c>
    </x:row>
    <x:row r="6023">
      <x:c r="B6023" s="21" t="str">
        <x:v>A06017</x:v>
      </x:c>
      <x:c r="C6023" s="21" t="str">
        <x:v>baseline</x:v>
      </x:c>
      <x:c r="D6023" s="21" t="str">
        <x:v>baseline 1133 planning state</x:v>
      </x:c>
      <x:c r="E6023" s="21" t="n">
        <x:f>IF(AND('Baseline Register'!G1139="0.0.0",'Baseline Register'!I1139="OPEN",'Baseline Register'!J1139="HOLD"),1,0)</x:f>
        <x:v>1</x:v>
      </x:c>
      <x:c r="F6023" s="21" t="n">
        <x:v>1</x:v>
      </x:c>
      <x:c r="G6023" s="23" t="str">
        <x:f>IF(E6023=F6023,"PASS","FAIL")</x:f>
        <x:v>PASS</x:v>
      </x:c>
    </x:row>
    <x:row r="6024">
      <x:c r="B6024" s="21" t="str">
        <x:v>A06018</x:v>
      </x:c>
      <x:c r="C6024" s="21" t="str">
        <x:v>baseline</x:v>
      </x:c>
      <x:c r="D6024" s="21" t="str">
        <x:v>baseline 1134 planning state</x:v>
      </x:c>
      <x:c r="E6024" s="21" t="n">
        <x:f>IF(AND('Baseline Register'!G1140="0.0.0",'Baseline Register'!I1140="OPEN",'Baseline Register'!J1140="HOLD"),1,0)</x:f>
        <x:v>1</x:v>
      </x:c>
      <x:c r="F6024" s="21" t="n">
        <x:v>1</x:v>
      </x:c>
      <x:c r="G6024" s="23" t="str">
        <x:f>IF(E6024=F6024,"PASS","FAIL")</x:f>
        <x:v>PASS</x:v>
      </x:c>
    </x:row>
    <x:row r="6025">
      <x:c r="B6025" s="21" t="str">
        <x:v>A06019</x:v>
      </x:c>
      <x:c r="C6025" s="21" t="str">
        <x:v>baseline</x:v>
      </x:c>
      <x:c r="D6025" s="21" t="str">
        <x:v>baseline 1135 planning state</x:v>
      </x:c>
      <x:c r="E6025" s="21" t="n">
        <x:f>IF(AND('Baseline Register'!G1141="0.0.0",'Baseline Register'!I1141="OPEN",'Baseline Register'!J1141="HOLD"),1,0)</x:f>
        <x:v>1</x:v>
      </x:c>
      <x:c r="F6025" s="21" t="n">
        <x:v>1</x:v>
      </x:c>
      <x:c r="G6025" s="23" t="str">
        <x:f>IF(E6025=F6025,"PASS","FAIL")</x:f>
        <x:v>PASS</x:v>
      </x:c>
    </x:row>
    <x:row r="6026">
      <x:c r="B6026" s="21" t="str">
        <x:v>A06020</x:v>
      </x:c>
      <x:c r="C6026" s="21" t="str">
        <x:v>baseline</x:v>
      </x:c>
      <x:c r="D6026" s="21" t="str">
        <x:v>baseline 1136 planning state</x:v>
      </x:c>
      <x:c r="E6026" s="21" t="n">
        <x:f>IF(AND('Baseline Register'!G1142="0.0.0",'Baseline Register'!I1142="OPEN",'Baseline Register'!J1142="HOLD"),1,0)</x:f>
        <x:v>1</x:v>
      </x:c>
      <x:c r="F6026" s="21" t="n">
        <x:v>1</x:v>
      </x:c>
      <x:c r="G6026" s="23" t="str">
        <x:f>IF(E6026=F6026,"PASS","FAIL")</x:f>
        <x:v>PASS</x:v>
      </x:c>
    </x:row>
    <x:row r="6027">
      <x:c r="B6027" s="21" t="str">
        <x:v>A06021</x:v>
      </x:c>
      <x:c r="C6027" s="21" t="str">
        <x:v>baseline</x:v>
      </x:c>
      <x:c r="D6027" s="21" t="str">
        <x:v>baseline 1137 planning state</x:v>
      </x:c>
      <x:c r="E6027" s="21" t="n">
        <x:f>IF(AND('Baseline Register'!G1143="0.0.0",'Baseline Register'!I1143="OPEN",'Baseline Register'!J1143="HOLD"),1,0)</x:f>
        <x:v>1</x:v>
      </x:c>
      <x:c r="F6027" s="21" t="n">
        <x:v>1</x:v>
      </x:c>
      <x:c r="G6027" s="23" t="str">
        <x:f>IF(E6027=F6027,"PASS","FAIL")</x:f>
        <x:v>PASS</x:v>
      </x:c>
    </x:row>
    <x:row r="6028">
      <x:c r="B6028" s="21" t="str">
        <x:v>A06022</x:v>
      </x:c>
      <x:c r="C6028" s="21" t="str">
        <x:v>baseline</x:v>
      </x:c>
      <x:c r="D6028" s="21" t="str">
        <x:v>baseline 1138 planning state</x:v>
      </x:c>
      <x:c r="E6028" s="21" t="n">
        <x:f>IF(AND('Baseline Register'!G1144="0.0.0",'Baseline Register'!I1144="OPEN",'Baseline Register'!J1144="HOLD"),1,0)</x:f>
        <x:v>1</x:v>
      </x:c>
      <x:c r="F6028" s="21" t="n">
        <x:v>1</x:v>
      </x:c>
      <x:c r="G6028" s="23" t="str">
        <x:f>IF(E6028=F6028,"PASS","FAIL")</x:f>
        <x:v>PASS</x:v>
      </x:c>
    </x:row>
    <x:row r="6029">
      <x:c r="B6029" s="21" t="str">
        <x:v>A06023</x:v>
      </x:c>
      <x:c r="C6029" s="21" t="str">
        <x:v>baseline</x:v>
      </x:c>
      <x:c r="D6029" s="21" t="str">
        <x:v>baseline 1139 planning state</x:v>
      </x:c>
      <x:c r="E6029" s="21" t="n">
        <x:f>IF(AND('Baseline Register'!G1145="0.0.0",'Baseline Register'!I1145="OPEN",'Baseline Register'!J1145="HOLD"),1,0)</x:f>
        <x:v>1</x:v>
      </x:c>
      <x:c r="F6029" s="21" t="n">
        <x:v>1</x:v>
      </x:c>
      <x:c r="G6029" s="23" t="str">
        <x:f>IF(E6029=F6029,"PASS","FAIL")</x:f>
        <x:v>PASS</x:v>
      </x:c>
    </x:row>
    <x:row r="6030">
      <x:c r="B6030" s="21" t="str">
        <x:v>A06024</x:v>
      </x:c>
      <x:c r="C6030" s="21" t="str">
        <x:v>baseline</x:v>
      </x:c>
      <x:c r="D6030" s="21" t="str">
        <x:v>baseline 1140 planning state</x:v>
      </x:c>
      <x:c r="E6030" s="21" t="n">
        <x:f>IF(AND('Baseline Register'!G1146="0.0.0",'Baseline Register'!I1146="OPEN",'Baseline Register'!J1146="HOLD"),1,0)</x:f>
        <x:v>1</x:v>
      </x:c>
      <x:c r="F6030" s="21" t="n">
        <x:v>1</x:v>
      </x:c>
      <x:c r="G6030" s="23" t="str">
        <x:f>IF(E6030=F6030,"PASS","FAIL")</x:f>
        <x:v>PASS</x:v>
      </x:c>
    </x:row>
    <x:row r="6031">
      <x:c r="B6031" s="21" t="str">
        <x:v>A06025</x:v>
      </x:c>
      <x:c r="C6031" s="21" t="str">
        <x:v>baseline</x:v>
      </x:c>
      <x:c r="D6031" s="21" t="str">
        <x:v>baseline 1141 planning state</x:v>
      </x:c>
      <x:c r="E6031" s="21" t="n">
        <x:f>IF(AND('Baseline Register'!G1147="0.0.0",'Baseline Register'!I1147="OPEN",'Baseline Register'!J1147="HOLD"),1,0)</x:f>
        <x:v>1</x:v>
      </x:c>
      <x:c r="F6031" s="21" t="n">
        <x:v>1</x:v>
      </x:c>
      <x:c r="G6031" s="23" t="str">
        <x:f>IF(E6031=F6031,"PASS","FAIL")</x:f>
        <x:v>PASS</x:v>
      </x:c>
    </x:row>
    <x:row r="6032">
      <x:c r="B6032" s="21" t="str">
        <x:v>A06026</x:v>
      </x:c>
      <x:c r="C6032" s="21" t="str">
        <x:v>baseline</x:v>
      </x:c>
      <x:c r="D6032" s="21" t="str">
        <x:v>baseline 1142 planning state</x:v>
      </x:c>
      <x:c r="E6032" s="21" t="n">
        <x:f>IF(AND('Baseline Register'!G1148="0.0.0",'Baseline Register'!I1148="OPEN",'Baseline Register'!J1148="HOLD"),1,0)</x:f>
        <x:v>1</x:v>
      </x:c>
      <x:c r="F6032" s="21" t="n">
        <x:v>1</x:v>
      </x:c>
      <x:c r="G6032" s="23" t="str">
        <x:f>IF(E6032=F6032,"PASS","FAIL")</x:f>
        <x:v>PASS</x:v>
      </x:c>
    </x:row>
    <x:row r="6033">
      <x:c r="B6033" s="21" t="str">
        <x:v>A06027</x:v>
      </x:c>
      <x:c r="C6033" s="21" t="str">
        <x:v>baseline</x:v>
      </x:c>
      <x:c r="D6033" s="21" t="str">
        <x:v>baseline 1143 planning state</x:v>
      </x:c>
      <x:c r="E6033" s="21" t="n">
        <x:f>IF(AND('Baseline Register'!G1149="0.0.0",'Baseline Register'!I1149="OPEN",'Baseline Register'!J1149="HOLD"),1,0)</x:f>
        <x:v>1</x:v>
      </x:c>
      <x:c r="F6033" s="21" t="n">
        <x:v>1</x:v>
      </x:c>
      <x:c r="G6033" s="23" t="str">
        <x:f>IF(E6033=F6033,"PASS","FAIL")</x:f>
        <x:v>PASS</x:v>
      </x:c>
    </x:row>
    <x:row r="6034">
      <x:c r="B6034" s="21" t="str">
        <x:v>A06028</x:v>
      </x:c>
      <x:c r="C6034" s="21" t="str">
        <x:v>baseline</x:v>
      </x:c>
      <x:c r="D6034" s="21" t="str">
        <x:v>baseline 1144 planning state</x:v>
      </x:c>
      <x:c r="E6034" s="21" t="n">
        <x:f>IF(AND('Baseline Register'!G1150="0.0.0",'Baseline Register'!I1150="OPEN",'Baseline Register'!J1150="HOLD"),1,0)</x:f>
        <x:v>1</x:v>
      </x:c>
      <x:c r="F6034" s="21" t="n">
        <x:v>1</x:v>
      </x:c>
      <x:c r="G6034" s="23" t="str">
        <x:f>IF(E6034=F6034,"PASS","FAIL")</x:f>
        <x:v>PASS</x:v>
      </x:c>
    </x:row>
    <x:row r="6035">
      <x:c r="B6035" s="21" t="str">
        <x:v>A06029</x:v>
      </x:c>
      <x:c r="C6035" s="21" t="str">
        <x:v>baseline</x:v>
      </x:c>
      <x:c r="D6035" s="21" t="str">
        <x:v>baseline 1145 planning state</x:v>
      </x:c>
      <x:c r="E6035" s="21" t="n">
        <x:f>IF(AND('Baseline Register'!G1151="0.0.0",'Baseline Register'!I1151="OPEN",'Baseline Register'!J1151="HOLD"),1,0)</x:f>
        <x:v>1</x:v>
      </x:c>
      <x:c r="F6035" s="21" t="n">
        <x:v>1</x:v>
      </x:c>
      <x:c r="G6035" s="23" t="str">
        <x:f>IF(E6035=F6035,"PASS","FAIL")</x:f>
        <x:v>PASS</x:v>
      </x:c>
    </x:row>
    <x:row r="6036">
      <x:c r="B6036" s="21" t="str">
        <x:v>A06030</x:v>
      </x:c>
      <x:c r="C6036" s="21" t="str">
        <x:v>baseline</x:v>
      </x:c>
      <x:c r="D6036" s="21" t="str">
        <x:v>baseline 1146 planning state</x:v>
      </x:c>
      <x:c r="E6036" s="21" t="n">
        <x:f>IF(AND('Baseline Register'!G1152="0.0.0",'Baseline Register'!I1152="OPEN",'Baseline Register'!J1152="HOLD"),1,0)</x:f>
        <x:v>1</x:v>
      </x:c>
      <x:c r="F6036" s="21" t="n">
        <x:v>1</x:v>
      </x:c>
      <x:c r="G6036" s="23" t="str">
        <x:f>IF(E6036=F6036,"PASS","FAIL")</x:f>
        <x:v>PASS</x:v>
      </x:c>
    </x:row>
    <x:row r="6037">
      <x:c r="B6037" s="21" t="str">
        <x:v>A06031</x:v>
      </x:c>
      <x:c r="C6037" s="21" t="str">
        <x:v>baseline</x:v>
      </x:c>
      <x:c r="D6037" s="21" t="str">
        <x:v>baseline 1147 planning state</x:v>
      </x:c>
      <x:c r="E6037" s="21" t="n">
        <x:f>IF(AND('Baseline Register'!G1153="0.0.0",'Baseline Register'!I1153="OPEN",'Baseline Register'!J1153="HOLD"),1,0)</x:f>
        <x:v>1</x:v>
      </x:c>
      <x:c r="F6037" s="21" t="n">
        <x:v>1</x:v>
      </x:c>
      <x:c r="G6037" s="23" t="str">
        <x:f>IF(E6037=F6037,"PASS","FAIL")</x:f>
        <x:v>PASS</x:v>
      </x:c>
    </x:row>
    <x:row r="6038">
      <x:c r="B6038" s="21" t="str">
        <x:v>A06032</x:v>
      </x:c>
      <x:c r="C6038" s="21" t="str">
        <x:v>baseline</x:v>
      </x:c>
      <x:c r="D6038" s="21" t="str">
        <x:v>baseline 1148 planning state</x:v>
      </x:c>
      <x:c r="E6038" s="21" t="n">
        <x:f>IF(AND('Baseline Register'!G1154="0.0.0",'Baseline Register'!I1154="OPEN",'Baseline Register'!J1154="HOLD"),1,0)</x:f>
        <x:v>1</x:v>
      </x:c>
      <x:c r="F6038" s="21" t="n">
        <x:v>1</x:v>
      </x:c>
      <x:c r="G6038" s="23" t="str">
        <x:f>IF(E6038=F6038,"PASS","FAIL")</x:f>
        <x:v>PASS</x:v>
      </x:c>
    </x:row>
    <x:row r="6039">
      <x:c r="B6039" s="21" t="str">
        <x:v>A06033</x:v>
      </x:c>
      <x:c r="C6039" s="21" t="str">
        <x:v>baseline</x:v>
      </x:c>
      <x:c r="D6039" s="21" t="str">
        <x:v>baseline 1149 planning state</x:v>
      </x:c>
      <x:c r="E6039" s="21" t="n">
        <x:f>IF(AND('Baseline Register'!G1155="0.0.0",'Baseline Register'!I1155="OPEN",'Baseline Register'!J1155="HOLD"),1,0)</x:f>
        <x:v>1</x:v>
      </x:c>
      <x:c r="F6039" s="21" t="n">
        <x:v>1</x:v>
      </x:c>
      <x:c r="G6039" s="23" t="str">
        <x:f>IF(E6039=F6039,"PASS","FAIL")</x:f>
        <x:v>PASS</x:v>
      </x:c>
    </x:row>
    <x:row r="6040">
      <x:c r="B6040" s="21" t="str">
        <x:v>A06034</x:v>
      </x:c>
      <x:c r="C6040" s="21" t="str">
        <x:v>baseline</x:v>
      </x:c>
      <x:c r="D6040" s="21" t="str">
        <x:v>baseline 1150 planning state</x:v>
      </x:c>
      <x:c r="E6040" s="21" t="n">
        <x:f>IF(AND('Baseline Register'!G1156="0.0.0",'Baseline Register'!I1156="OPEN",'Baseline Register'!J1156="HOLD"),1,0)</x:f>
        <x:v>1</x:v>
      </x:c>
      <x:c r="F6040" s="21" t="n">
        <x:v>1</x:v>
      </x:c>
      <x:c r="G6040" s="23" t="str">
        <x:f>IF(E6040=F6040,"PASS","FAIL")</x:f>
        <x:v>PASS</x:v>
      </x:c>
    </x:row>
    <x:row r="6041">
      <x:c r="B6041" s="21" t="str">
        <x:v>A06035</x:v>
      </x:c>
      <x:c r="C6041" s="21" t="str">
        <x:v>baseline</x:v>
      </x:c>
      <x:c r="D6041" s="21" t="str">
        <x:v>baseline 1151 planning state</x:v>
      </x:c>
      <x:c r="E6041" s="21" t="n">
        <x:f>IF(AND('Baseline Register'!G1157="0.0.0",'Baseline Register'!I1157="OPEN",'Baseline Register'!J1157="HOLD"),1,0)</x:f>
        <x:v>1</x:v>
      </x:c>
      <x:c r="F6041" s="21" t="n">
        <x:v>1</x:v>
      </x:c>
      <x:c r="G6041" s="23" t="str">
        <x:f>IF(E6041=F6041,"PASS","FAIL")</x:f>
        <x:v>PASS</x:v>
      </x:c>
    </x:row>
    <x:row r="6042">
      <x:c r="B6042" s="21" t="str">
        <x:v>A06036</x:v>
      </x:c>
      <x:c r="C6042" s="21" t="str">
        <x:v>baseline</x:v>
      </x:c>
      <x:c r="D6042" s="21" t="str">
        <x:v>baseline 1152 planning state</x:v>
      </x:c>
      <x:c r="E6042" s="21" t="n">
        <x:f>IF(AND('Baseline Register'!G1158="0.0.0",'Baseline Register'!I1158="OPEN",'Baseline Register'!J1158="HOLD"),1,0)</x:f>
        <x:v>1</x:v>
      </x:c>
      <x:c r="F6042" s="21" t="n">
        <x:v>1</x:v>
      </x:c>
      <x:c r="G6042" s="23" t="str">
        <x:f>IF(E6042=F6042,"PASS","FAIL")</x:f>
        <x:v>PASS</x:v>
      </x:c>
    </x:row>
    <x:row r="6043">
      <x:c r="B6043" s="21" t="str">
        <x:v>A06037</x:v>
      </x:c>
      <x:c r="C6043" s="21" t="str">
        <x:v>baseline</x:v>
      </x:c>
      <x:c r="D6043" s="21" t="str">
        <x:v>baseline 1153 planning state</x:v>
      </x:c>
      <x:c r="E6043" s="21" t="n">
        <x:f>IF(AND('Baseline Register'!G1159="0.0.0",'Baseline Register'!I1159="OPEN",'Baseline Register'!J1159="HOLD"),1,0)</x:f>
        <x:v>1</x:v>
      </x:c>
      <x:c r="F6043" s="21" t="n">
        <x:v>1</x:v>
      </x:c>
      <x:c r="G6043" s="23" t="str">
        <x:f>IF(E6043=F6043,"PASS","FAIL")</x:f>
        <x:v>PASS</x:v>
      </x:c>
    </x:row>
    <x:row r="6044">
      <x:c r="B6044" s="21" t="str">
        <x:v>A06038</x:v>
      </x:c>
      <x:c r="C6044" s="21" t="str">
        <x:v>baseline</x:v>
      </x:c>
      <x:c r="D6044" s="21" t="str">
        <x:v>baseline 1154 planning state</x:v>
      </x:c>
      <x:c r="E6044" s="21" t="n">
        <x:f>IF(AND('Baseline Register'!G1160="0.0.0",'Baseline Register'!I1160="OPEN",'Baseline Register'!J1160="HOLD"),1,0)</x:f>
        <x:v>1</x:v>
      </x:c>
      <x:c r="F6044" s="21" t="n">
        <x:v>1</x:v>
      </x:c>
      <x:c r="G6044" s="23" t="str">
        <x:f>IF(E6044=F6044,"PASS","FAIL")</x:f>
        <x:v>PASS</x:v>
      </x:c>
    </x:row>
    <x:row r="6045">
      <x:c r="B6045" s="21" t="str">
        <x:v>A06039</x:v>
      </x:c>
      <x:c r="C6045" s="21" t="str">
        <x:v>baseline</x:v>
      </x:c>
      <x:c r="D6045" s="21" t="str">
        <x:v>baseline 1155 planning state</x:v>
      </x:c>
      <x:c r="E6045" s="21" t="n">
        <x:f>IF(AND('Baseline Register'!G1161="0.0.0",'Baseline Register'!I1161="OPEN",'Baseline Register'!J1161="HOLD"),1,0)</x:f>
        <x:v>1</x:v>
      </x:c>
      <x:c r="F6045" s="21" t="n">
        <x:v>1</x:v>
      </x:c>
      <x:c r="G6045" s="23" t="str">
        <x:f>IF(E6045=F6045,"PASS","FAIL")</x:f>
        <x:v>PASS</x:v>
      </x:c>
    </x:row>
    <x:row r="6046">
      <x:c r="B6046" s="21" t="str">
        <x:v>A06040</x:v>
      </x:c>
      <x:c r="C6046" s="21" t="str">
        <x:v>baseline</x:v>
      </x:c>
      <x:c r="D6046" s="21" t="str">
        <x:v>baseline 1156 planning state</x:v>
      </x:c>
      <x:c r="E6046" s="21" t="n">
        <x:f>IF(AND('Baseline Register'!G1162="0.0.0",'Baseline Register'!I1162="OPEN",'Baseline Register'!J1162="HOLD"),1,0)</x:f>
        <x:v>1</x:v>
      </x:c>
      <x:c r="F6046" s="21" t="n">
        <x:v>1</x:v>
      </x:c>
      <x:c r="G6046" s="23" t="str">
        <x:f>IF(E6046=F6046,"PASS","FAIL")</x:f>
        <x:v>PASS</x:v>
      </x:c>
    </x:row>
    <x:row r="6047">
      <x:c r="B6047" s="21" t="str">
        <x:v>A06041</x:v>
      </x:c>
      <x:c r="C6047" s="21" t="str">
        <x:v>baseline</x:v>
      </x:c>
      <x:c r="D6047" s="21" t="str">
        <x:v>baseline 1157 planning state</x:v>
      </x:c>
      <x:c r="E6047" s="21" t="n">
        <x:f>IF(AND('Baseline Register'!G1163="0.0.0",'Baseline Register'!I1163="OPEN",'Baseline Register'!J1163="HOLD"),1,0)</x:f>
        <x:v>1</x:v>
      </x:c>
      <x:c r="F6047" s="21" t="n">
        <x:v>1</x:v>
      </x:c>
      <x:c r="G6047" s="23" t="str">
        <x:f>IF(E6047=F6047,"PASS","FAIL")</x:f>
        <x:v>PASS</x:v>
      </x:c>
    </x:row>
    <x:row r="6048">
      <x:c r="B6048" s="21" t="str">
        <x:v>A06042</x:v>
      </x:c>
      <x:c r="C6048" s="21" t="str">
        <x:v>baseline</x:v>
      </x:c>
      <x:c r="D6048" s="21" t="str">
        <x:v>baseline 1158 planning state</x:v>
      </x:c>
      <x:c r="E6048" s="21" t="n">
        <x:f>IF(AND('Baseline Register'!G1164="0.0.0",'Baseline Register'!I1164="OPEN",'Baseline Register'!J1164="HOLD"),1,0)</x:f>
        <x:v>1</x:v>
      </x:c>
      <x:c r="F6048" s="21" t="n">
        <x:v>1</x:v>
      </x:c>
      <x:c r="G6048" s="23" t="str">
        <x:f>IF(E6048=F6048,"PASS","FAIL")</x:f>
        <x:v>PASS</x:v>
      </x:c>
    </x:row>
    <x:row r="6049">
      <x:c r="B6049" s="21" t="str">
        <x:v>A06043</x:v>
      </x:c>
      <x:c r="C6049" s="21" t="str">
        <x:v>baseline</x:v>
      </x:c>
      <x:c r="D6049" s="21" t="str">
        <x:v>baseline 1159 planning state</x:v>
      </x:c>
      <x:c r="E6049" s="21" t="n">
        <x:f>IF(AND('Baseline Register'!G1165="0.0.0",'Baseline Register'!I1165="OPEN",'Baseline Register'!J1165="HOLD"),1,0)</x:f>
        <x:v>1</x:v>
      </x:c>
      <x:c r="F6049" s="21" t="n">
        <x:v>1</x:v>
      </x:c>
      <x:c r="G6049" s="23" t="str">
        <x:f>IF(E6049=F6049,"PASS","FAIL")</x:f>
        <x:v>PASS</x:v>
      </x:c>
    </x:row>
    <x:row r="6050">
      <x:c r="B6050" s="21" t="str">
        <x:v>A06044</x:v>
      </x:c>
      <x:c r="C6050" s="21" t="str">
        <x:v>baseline</x:v>
      </x:c>
      <x:c r="D6050" s="21" t="str">
        <x:v>baseline 1160 planning state</x:v>
      </x:c>
      <x:c r="E6050" s="21" t="n">
        <x:f>IF(AND('Baseline Register'!G1166="0.0.0",'Baseline Register'!I1166="OPEN",'Baseline Register'!J1166="HOLD"),1,0)</x:f>
        <x:v>1</x:v>
      </x:c>
      <x:c r="F6050" s="21" t="n">
        <x:v>1</x:v>
      </x:c>
      <x:c r="G6050" s="23" t="str">
        <x:f>IF(E6050=F6050,"PASS","FAIL")</x:f>
        <x:v>PASS</x:v>
      </x:c>
    </x:row>
    <x:row r="6051">
      <x:c r="B6051" s="21" t="str">
        <x:v>A06045</x:v>
      </x:c>
      <x:c r="C6051" s="21" t="str">
        <x:v>baseline</x:v>
      </x:c>
      <x:c r="D6051" s="21" t="str">
        <x:v>baseline 1161 planning state</x:v>
      </x:c>
      <x:c r="E6051" s="21" t="n">
        <x:f>IF(AND('Baseline Register'!G1167="0.0.0",'Baseline Register'!I1167="OPEN",'Baseline Register'!J1167="HOLD"),1,0)</x:f>
        <x:v>1</x:v>
      </x:c>
      <x:c r="F6051" s="21" t="n">
        <x:v>1</x:v>
      </x:c>
      <x:c r="G6051" s="23" t="str">
        <x:f>IF(E6051=F6051,"PASS","FAIL")</x:f>
        <x:v>PASS</x:v>
      </x:c>
    </x:row>
    <x:row r="6052">
      <x:c r="B6052" s="21" t="str">
        <x:v>A06046</x:v>
      </x:c>
      <x:c r="C6052" s="21" t="str">
        <x:v>baseline</x:v>
      </x:c>
      <x:c r="D6052" s="21" t="str">
        <x:v>baseline 1162 planning state</x:v>
      </x:c>
      <x:c r="E6052" s="21" t="n">
        <x:f>IF(AND('Baseline Register'!G1168="0.0.0",'Baseline Register'!I1168="OPEN",'Baseline Register'!J1168="HOLD"),1,0)</x:f>
        <x:v>1</x:v>
      </x:c>
      <x:c r="F6052" s="21" t="n">
        <x:v>1</x:v>
      </x:c>
      <x:c r="G6052" s="23" t="str">
        <x:f>IF(E6052=F6052,"PASS","FAIL")</x:f>
        <x:v>PASS</x:v>
      </x:c>
    </x:row>
    <x:row r="6053">
      <x:c r="B6053" s="21" t="str">
        <x:v>A06047</x:v>
      </x:c>
      <x:c r="C6053" s="21" t="str">
        <x:v>baseline</x:v>
      </x:c>
      <x:c r="D6053" s="21" t="str">
        <x:v>baseline 1163 planning state</x:v>
      </x:c>
      <x:c r="E6053" s="21" t="n">
        <x:f>IF(AND('Baseline Register'!G1169="0.0.0",'Baseline Register'!I1169="OPEN",'Baseline Register'!J1169="HOLD"),1,0)</x:f>
        <x:v>1</x:v>
      </x:c>
      <x:c r="F6053" s="21" t="n">
        <x:v>1</x:v>
      </x:c>
      <x:c r="G6053" s="23" t="str">
        <x:f>IF(E6053=F6053,"PASS","FAIL")</x:f>
        <x:v>PASS</x:v>
      </x:c>
    </x:row>
    <x:row r="6054">
      <x:c r="B6054" s="21" t="str">
        <x:v>A06048</x:v>
      </x:c>
      <x:c r="C6054" s="21" t="str">
        <x:v>baseline</x:v>
      </x:c>
      <x:c r="D6054" s="21" t="str">
        <x:v>baseline 1164 planning state</x:v>
      </x:c>
      <x:c r="E6054" s="21" t="n">
        <x:f>IF(AND('Baseline Register'!G1170="0.0.0",'Baseline Register'!I1170="OPEN",'Baseline Register'!J1170="HOLD"),1,0)</x:f>
        <x:v>1</x:v>
      </x:c>
      <x:c r="F6054" s="21" t="n">
        <x:v>1</x:v>
      </x:c>
      <x:c r="G6054" s="23" t="str">
        <x:f>IF(E6054=F6054,"PASS","FAIL")</x:f>
        <x:v>PASS</x:v>
      </x:c>
    </x:row>
    <x:row r="6055">
      <x:c r="B6055" s="21" t="str">
        <x:v>A06049</x:v>
      </x:c>
      <x:c r="C6055" s="21" t="str">
        <x:v>baseline</x:v>
      </x:c>
      <x:c r="D6055" s="21" t="str">
        <x:v>baseline 1165 planning state</x:v>
      </x:c>
      <x:c r="E6055" s="21" t="n">
        <x:f>IF(AND('Baseline Register'!G1171="0.0.0",'Baseline Register'!I1171="OPEN",'Baseline Register'!J1171="HOLD"),1,0)</x:f>
        <x:v>1</x:v>
      </x:c>
      <x:c r="F6055" s="21" t="n">
        <x:v>1</x:v>
      </x:c>
      <x:c r="G6055" s="23" t="str">
        <x:f>IF(E6055=F6055,"PASS","FAIL")</x:f>
        <x:v>PASS</x:v>
      </x:c>
    </x:row>
    <x:row r="6056">
      <x:c r="B6056" s="21" t="str">
        <x:v>A06050</x:v>
      </x:c>
      <x:c r="C6056" s="21" t="str">
        <x:v>baseline</x:v>
      </x:c>
      <x:c r="D6056" s="21" t="str">
        <x:v>baseline 1166 planning state</x:v>
      </x:c>
      <x:c r="E6056" s="21" t="n">
        <x:f>IF(AND('Baseline Register'!G1172="0.0.0",'Baseline Register'!I1172="OPEN",'Baseline Register'!J1172="HOLD"),1,0)</x:f>
        <x:v>1</x:v>
      </x:c>
      <x:c r="F6056" s="21" t="n">
        <x:v>1</x:v>
      </x:c>
      <x:c r="G6056" s="23" t="str">
        <x:f>IF(E6056=F6056,"PASS","FAIL")</x:f>
        <x:v>PASS</x:v>
      </x:c>
    </x:row>
    <x:row r="6057">
      <x:c r="B6057" s="21" t="str">
        <x:v>A06051</x:v>
      </x:c>
      <x:c r="C6057" s="21" t="str">
        <x:v>baseline</x:v>
      </x:c>
      <x:c r="D6057" s="21" t="str">
        <x:v>baseline 1167 planning state</x:v>
      </x:c>
      <x:c r="E6057" s="21" t="n">
        <x:f>IF(AND('Baseline Register'!G1173="0.0.0",'Baseline Register'!I1173="OPEN",'Baseline Register'!J1173="HOLD"),1,0)</x:f>
        <x:v>1</x:v>
      </x:c>
      <x:c r="F6057" s="21" t="n">
        <x:v>1</x:v>
      </x:c>
      <x:c r="G6057" s="23" t="str">
        <x:f>IF(E6057=F6057,"PASS","FAIL")</x:f>
        <x:v>PASS</x:v>
      </x:c>
    </x:row>
    <x:row r="6058">
      <x:c r="B6058" s="21" t="str">
        <x:v>A06052</x:v>
      </x:c>
      <x:c r="C6058" s="21" t="str">
        <x:v>baseline</x:v>
      </x:c>
      <x:c r="D6058" s="21" t="str">
        <x:v>baseline 1168 planning state</x:v>
      </x:c>
      <x:c r="E6058" s="21" t="n">
        <x:f>IF(AND('Baseline Register'!G1174="0.0.0",'Baseline Register'!I1174="OPEN",'Baseline Register'!J1174="HOLD"),1,0)</x:f>
        <x:v>1</x:v>
      </x:c>
      <x:c r="F6058" s="21" t="n">
        <x:v>1</x:v>
      </x:c>
      <x:c r="G6058" s="23" t="str">
        <x:f>IF(E6058=F6058,"PASS","FAIL")</x:f>
        <x:v>PASS</x:v>
      </x:c>
    </x:row>
    <x:row r="6059">
      <x:c r="B6059" s="21" t="str">
        <x:v>A06053</x:v>
      </x:c>
      <x:c r="C6059" s="21" t="str">
        <x:v>baseline</x:v>
      </x:c>
      <x:c r="D6059" s="21" t="str">
        <x:v>baseline 1169 planning state</x:v>
      </x:c>
      <x:c r="E6059" s="21" t="n">
        <x:f>IF(AND('Baseline Register'!G1175="0.0.0",'Baseline Register'!I1175="OPEN",'Baseline Register'!J1175="HOLD"),1,0)</x:f>
        <x:v>1</x:v>
      </x:c>
      <x:c r="F6059" s="21" t="n">
        <x:v>1</x:v>
      </x:c>
      <x:c r="G6059" s="23" t="str">
        <x:f>IF(E6059=F6059,"PASS","FAIL")</x:f>
        <x:v>PASS</x:v>
      </x:c>
    </x:row>
    <x:row r="6060">
      <x:c r="B6060" s="21" t="str">
        <x:v>A06054</x:v>
      </x:c>
      <x:c r="C6060" s="21" t="str">
        <x:v>baseline</x:v>
      </x:c>
      <x:c r="D6060" s="21" t="str">
        <x:v>baseline 1170 planning state</x:v>
      </x:c>
      <x:c r="E6060" s="21" t="n">
        <x:f>IF(AND('Baseline Register'!G1176="0.0.0",'Baseline Register'!I1176="OPEN",'Baseline Register'!J1176="HOLD"),1,0)</x:f>
        <x:v>1</x:v>
      </x:c>
      <x:c r="F6060" s="21" t="n">
        <x:v>1</x:v>
      </x:c>
      <x:c r="G6060" s="23" t="str">
        <x:f>IF(E6060=F6060,"PASS","FAIL")</x:f>
        <x:v>PASS</x:v>
      </x:c>
    </x:row>
    <x:row r="6061">
      <x:c r="B6061" s="21" t="str">
        <x:v>A06055</x:v>
      </x:c>
      <x:c r="C6061" s="21" t="str">
        <x:v>baseline</x:v>
      </x:c>
      <x:c r="D6061" s="21" t="str">
        <x:v>baseline 1171 planning state</x:v>
      </x:c>
      <x:c r="E6061" s="21" t="n">
        <x:f>IF(AND('Baseline Register'!G1177="0.0.0",'Baseline Register'!I1177="OPEN",'Baseline Register'!J1177="HOLD"),1,0)</x:f>
        <x:v>1</x:v>
      </x:c>
      <x:c r="F6061" s="21" t="n">
        <x:v>1</x:v>
      </x:c>
      <x:c r="G6061" s="23" t="str">
        <x:f>IF(E6061=F6061,"PASS","FAIL")</x:f>
        <x:v>PASS</x:v>
      </x:c>
    </x:row>
    <x:row r="6062">
      <x:c r="B6062" s="21" t="str">
        <x:v>A06056</x:v>
      </x:c>
      <x:c r="C6062" s="21" t="str">
        <x:v>baseline</x:v>
      </x:c>
      <x:c r="D6062" s="21" t="str">
        <x:v>baseline 1172 planning state</x:v>
      </x:c>
      <x:c r="E6062" s="21" t="n">
        <x:f>IF(AND('Baseline Register'!G1178="0.0.0",'Baseline Register'!I1178="OPEN",'Baseline Register'!J1178="HOLD"),1,0)</x:f>
        <x:v>1</x:v>
      </x:c>
      <x:c r="F6062" s="21" t="n">
        <x:v>1</x:v>
      </x:c>
      <x:c r="G6062" s="23" t="str">
        <x:f>IF(E6062=F6062,"PASS","FAIL")</x:f>
        <x:v>PASS</x:v>
      </x:c>
    </x:row>
    <x:row r="6063">
      <x:c r="B6063" s="21" t="str">
        <x:v>A06057</x:v>
      </x:c>
      <x:c r="C6063" s="21" t="str">
        <x:v>baseline</x:v>
      </x:c>
      <x:c r="D6063" s="21" t="str">
        <x:v>baseline 1173 planning state</x:v>
      </x:c>
      <x:c r="E6063" s="21" t="n">
        <x:f>IF(AND('Baseline Register'!G1179="0.0.0",'Baseline Register'!I1179="OPEN",'Baseline Register'!J1179="HOLD"),1,0)</x:f>
        <x:v>1</x:v>
      </x:c>
      <x:c r="F6063" s="21" t="n">
        <x:v>1</x:v>
      </x:c>
      <x:c r="G6063" s="23" t="str">
        <x:f>IF(E6063=F6063,"PASS","FAIL")</x:f>
        <x:v>PASS</x:v>
      </x:c>
    </x:row>
    <x:row r="6064">
      <x:c r="B6064" s="21" t="str">
        <x:v>A06058</x:v>
      </x:c>
      <x:c r="C6064" s="21" t="str">
        <x:v>baseline</x:v>
      </x:c>
      <x:c r="D6064" s="21" t="str">
        <x:v>baseline 1174 planning state</x:v>
      </x:c>
      <x:c r="E6064" s="21" t="n">
        <x:f>IF(AND('Baseline Register'!G1180="0.0.0",'Baseline Register'!I1180="OPEN",'Baseline Register'!J1180="HOLD"),1,0)</x:f>
        <x:v>1</x:v>
      </x:c>
      <x:c r="F6064" s="21" t="n">
        <x:v>1</x:v>
      </x:c>
      <x:c r="G6064" s="23" t="str">
        <x:f>IF(E6064=F6064,"PASS","FAIL")</x:f>
        <x:v>PASS</x:v>
      </x:c>
    </x:row>
    <x:row r="6065">
      <x:c r="B6065" s="21" t="str">
        <x:v>A06059</x:v>
      </x:c>
      <x:c r="C6065" s="21" t="str">
        <x:v>baseline</x:v>
      </x:c>
      <x:c r="D6065" s="21" t="str">
        <x:v>baseline 1175 planning state</x:v>
      </x:c>
      <x:c r="E6065" s="21" t="n">
        <x:f>IF(AND('Baseline Register'!G1181="0.0.0",'Baseline Register'!I1181="OPEN",'Baseline Register'!J1181="HOLD"),1,0)</x:f>
        <x:v>1</x:v>
      </x:c>
      <x:c r="F6065" s="21" t="n">
        <x:v>1</x:v>
      </x:c>
      <x:c r="G6065" s="23" t="str">
        <x:f>IF(E6065=F6065,"PASS","FAIL")</x:f>
        <x:v>PASS</x:v>
      </x:c>
    </x:row>
    <x:row r="6066">
      <x:c r="B6066" s="21" t="str">
        <x:v>A06060</x:v>
      </x:c>
      <x:c r="C6066" s="21" t="str">
        <x:v>baseline</x:v>
      </x:c>
      <x:c r="D6066" s="21" t="str">
        <x:v>baseline 1176 planning state</x:v>
      </x:c>
      <x:c r="E6066" s="21" t="n">
        <x:f>IF(AND('Baseline Register'!G1182="0.0.0",'Baseline Register'!I1182="OPEN",'Baseline Register'!J1182="HOLD"),1,0)</x:f>
        <x:v>1</x:v>
      </x:c>
      <x:c r="F6066" s="21" t="n">
        <x:v>1</x:v>
      </x:c>
      <x:c r="G6066" s="23" t="str">
        <x:f>IF(E6066=F6066,"PASS","FAIL")</x:f>
        <x:v>PASS</x:v>
      </x:c>
    </x:row>
    <x:row r="6067">
      <x:c r="B6067" s="21" t="str">
        <x:v>A06061</x:v>
      </x:c>
      <x:c r="C6067" s="21" t="str">
        <x:v>baseline</x:v>
      </x:c>
      <x:c r="D6067" s="21" t="str">
        <x:v>baseline 1177 planning state</x:v>
      </x:c>
      <x:c r="E6067" s="21" t="n">
        <x:f>IF(AND('Baseline Register'!G1183="0.0.0",'Baseline Register'!I1183="OPEN",'Baseline Register'!J1183="HOLD"),1,0)</x:f>
        <x:v>1</x:v>
      </x:c>
      <x:c r="F6067" s="21" t="n">
        <x:v>1</x:v>
      </x:c>
      <x:c r="G6067" s="23" t="str">
        <x:f>IF(E6067=F6067,"PASS","FAIL")</x:f>
        <x:v>PASS</x:v>
      </x:c>
    </x:row>
    <x:row r="6068">
      <x:c r="B6068" s="21" t="str">
        <x:v>A06062</x:v>
      </x:c>
      <x:c r="C6068" s="21" t="str">
        <x:v>baseline</x:v>
      </x:c>
      <x:c r="D6068" s="21" t="str">
        <x:v>baseline 1178 planning state</x:v>
      </x:c>
      <x:c r="E6068" s="21" t="n">
        <x:f>IF(AND('Baseline Register'!G1184="0.0.0",'Baseline Register'!I1184="OPEN",'Baseline Register'!J1184="HOLD"),1,0)</x:f>
        <x:v>1</x:v>
      </x:c>
      <x:c r="F6068" s="21" t="n">
        <x:v>1</x:v>
      </x:c>
      <x:c r="G6068" s="23" t="str">
        <x:f>IF(E6068=F6068,"PASS","FAIL")</x:f>
        <x:v>PASS</x:v>
      </x:c>
    </x:row>
    <x:row r="6069">
      <x:c r="B6069" s="21" t="str">
        <x:v>A06063</x:v>
      </x:c>
      <x:c r="C6069" s="21" t="str">
        <x:v>baseline</x:v>
      </x:c>
      <x:c r="D6069" s="21" t="str">
        <x:v>baseline 1179 planning state</x:v>
      </x:c>
      <x:c r="E6069" s="21" t="n">
        <x:f>IF(AND('Baseline Register'!G1185="0.0.0",'Baseline Register'!I1185="OPEN",'Baseline Register'!J1185="HOLD"),1,0)</x:f>
        <x:v>1</x:v>
      </x:c>
      <x:c r="F6069" s="21" t="n">
        <x:v>1</x:v>
      </x:c>
      <x:c r="G6069" s="23" t="str">
        <x:f>IF(E6069=F6069,"PASS","FAIL")</x:f>
        <x:v>PASS</x:v>
      </x:c>
    </x:row>
    <x:row r="6070">
      <x:c r="B6070" s="21" t="str">
        <x:v>A06064</x:v>
      </x:c>
      <x:c r="C6070" s="21" t="str">
        <x:v>baseline</x:v>
      </x:c>
      <x:c r="D6070" s="21" t="str">
        <x:v>baseline 1180 planning state</x:v>
      </x:c>
      <x:c r="E6070" s="21" t="n">
        <x:f>IF(AND('Baseline Register'!G1186="0.0.0",'Baseline Register'!I1186="OPEN",'Baseline Register'!J1186="HOLD"),1,0)</x:f>
        <x:v>1</x:v>
      </x:c>
      <x:c r="F6070" s="21" t="n">
        <x:v>1</x:v>
      </x:c>
      <x:c r="G6070" s="23" t="str">
        <x:f>IF(E6070=F6070,"PASS","FAIL")</x:f>
        <x:v>PASS</x:v>
      </x:c>
    </x:row>
    <x:row r="6071">
      <x:c r="B6071" s="21" t="str">
        <x:v>A06065</x:v>
      </x:c>
      <x:c r="C6071" s="21" t="str">
        <x:v>baseline</x:v>
      </x:c>
      <x:c r="D6071" s="21" t="str">
        <x:v>baseline 1181 planning state</x:v>
      </x:c>
      <x:c r="E6071" s="21" t="n">
        <x:f>IF(AND('Baseline Register'!G1187="0.0.0",'Baseline Register'!I1187="OPEN",'Baseline Register'!J1187="HOLD"),1,0)</x:f>
        <x:v>1</x:v>
      </x:c>
      <x:c r="F6071" s="21" t="n">
        <x:v>1</x:v>
      </x:c>
      <x:c r="G6071" s="23" t="str">
        <x:f>IF(E6071=F6071,"PASS","FAIL")</x:f>
        <x:v>PASS</x:v>
      </x:c>
    </x:row>
    <x:row r="6072">
      <x:c r="B6072" s="21" t="str">
        <x:v>A06066</x:v>
      </x:c>
      <x:c r="C6072" s="21" t="str">
        <x:v>baseline</x:v>
      </x:c>
      <x:c r="D6072" s="21" t="str">
        <x:v>baseline 1182 planning state</x:v>
      </x:c>
      <x:c r="E6072" s="21" t="n">
        <x:f>IF(AND('Baseline Register'!G1188="0.0.0",'Baseline Register'!I1188="OPEN",'Baseline Register'!J1188="HOLD"),1,0)</x:f>
        <x:v>1</x:v>
      </x:c>
      <x:c r="F6072" s="21" t="n">
        <x:v>1</x:v>
      </x:c>
      <x:c r="G6072" s="23" t="str">
        <x:f>IF(E6072=F6072,"PASS","FAIL")</x:f>
        <x:v>PASS</x:v>
      </x:c>
    </x:row>
    <x:row r="6073">
      <x:c r="B6073" s="21" t="str">
        <x:v>A06067</x:v>
      </x:c>
      <x:c r="C6073" s="21" t="str">
        <x:v>baseline</x:v>
      </x:c>
      <x:c r="D6073" s="21" t="str">
        <x:v>baseline 1183 planning state</x:v>
      </x:c>
      <x:c r="E6073" s="21" t="n">
        <x:f>IF(AND('Baseline Register'!G1189="0.0.0",'Baseline Register'!I1189="OPEN",'Baseline Register'!J1189="HOLD"),1,0)</x:f>
        <x:v>1</x:v>
      </x:c>
      <x:c r="F6073" s="21" t="n">
        <x:v>1</x:v>
      </x:c>
      <x:c r="G6073" s="23" t="str">
        <x:f>IF(E6073=F6073,"PASS","FAIL")</x:f>
        <x:v>PASS</x:v>
      </x:c>
    </x:row>
    <x:row r="6074">
      <x:c r="B6074" s="21" t="str">
        <x:v>A06068</x:v>
      </x:c>
      <x:c r="C6074" s="21" t="str">
        <x:v>baseline</x:v>
      </x:c>
      <x:c r="D6074" s="21" t="str">
        <x:v>baseline 1184 planning state</x:v>
      </x:c>
      <x:c r="E6074" s="21" t="n">
        <x:f>IF(AND('Baseline Register'!G1190="0.0.0",'Baseline Register'!I1190="OPEN",'Baseline Register'!J1190="HOLD"),1,0)</x:f>
        <x:v>1</x:v>
      </x:c>
      <x:c r="F6074" s="21" t="n">
        <x:v>1</x:v>
      </x:c>
      <x:c r="G6074" s="23" t="str">
        <x:f>IF(E6074=F6074,"PASS","FAIL")</x:f>
        <x:v>PASS</x:v>
      </x:c>
    </x:row>
    <x:row r="6075">
      <x:c r="B6075" s="21" t="str">
        <x:v>A06069</x:v>
      </x:c>
      <x:c r="C6075" s="21" t="str">
        <x:v>baseline</x:v>
      </x:c>
      <x:c r="D6075" s="21" t="str">
        <x:v>baseline 1185 planning state</x:v>
      </x:c>
      <x:c r="E6075" s="21" t="n">
        <x:f>IF(AND('Baseline Register'!G1191="0.0.0",'Baseline Register'!I1191="OPEN",'Baseline Register'!J1191="HOLD"),1,0)</x:f>
        <x:v>1</x:v>
      </x:c>
      <x:c r="F6075" s="21" t="n">
        <x:v>1</x:v>
      </x:c>
      <x:c r="G6075" s="23" t="str">
        <x:f>IF(E6075=F6075,"PASS","FAIL")</x:f>
        <x:v>PASS</x:v>
      </x:c>
    </x:row>
    <x:row r="6076">
      <x:c r="B6076" s="21" t="str">
        <x:v>A06070</x:v>
      </x:c>
      <x:c r="C6076" s="21" t="str">
        <x:v>baseline</x:v>
      </x:c>
      <x:c r="D6076" s="21" t="str">
        <x:v>baseline 1186 planning state</x:v>
      </x:c>
      <x:c r="E6076" s="21" t="n">
        <x:f>IF(AND('Baseline Register'!G1192="0.0.0",'Baseline Register'!I1192="OPEN",'Baseline Register'!J1192="HOLD"),1,0)</x:f>
        <x:v>1</x:v>
      </x:c>
      <x:c r="F6076" s="21" t="n">
        <x:v>1</x:v>
      </x:c>
      <x:c r="G6076" s="23" t="str">
        <x:f>IF(E6076=F6076,"PASS","FAIL")</x:f>
        <x:v>PASS</x:v>
      </x:c>
    </x:row>
    <x:row r="6077">
      <x:c r="B6077" s="21" t="str">
        <x:v>A06071</x:v>
      </x:c>
      <x:c r="C6077" s="21" t="str">
        <x:v>baseline</x:v>
      </x:c>
      <x:c r="D6077" s="21" t="str">
        <x:v>baseline 1187 planning state</x:v>
      </x:c>
      <x:c r="E6077" s="21" t="n">
        <x:f>IF(AND('Baseline Register'!G1193="0.0.0",'Baseline Register'!I1193="OPEN",'Baseline Register'!J1193="HOLD"),1,0)</x:f>
        <x:v>1</x:v>
      </x:c>
      <x:c r="F6077" s="21" t="n">
        <x:v>1</x:v>
      </x:c>
      <x:c r="G6077" s="23" t="str">
        <x:f>IF(E6077=F6077,"PASS","FAIL")</x:f>
        <x:v>PASS</x:v>
      </x:c>
    </x:row>
    <x:row r="6078">
      <x:c r="B6078" s="21" t="str">
        <x:v>A06072</x:v>
      </x:c>
      <x:c r="C6078" s="21" t="str">
        <x:v>baseline</x:v>
      </x:c>
      <x:c r="D6078" s="21" t="str">
        <x:v>baseline 1188 planning state</x:v>
      </x:c>
      <x:c r="E6078" s="21" t="n">
        <x:f>IF(AND('Baseline Register'!G1194="0.0.0",'Baseline Register'!I1194="OPEN",'Baseline Register'!J1194="HOLD"),1,0)</x:f>
        <x:v>1</x:v>
      </x:c>
      <x:c r="F6078" s="21" t="n">
        <x:v>1</x:v>
      </x:c>
      <x:c r="G6078" s="23" t="str">
        <x:f>IF(E6078=F6078,"PASS","FAIL")</x:f>
        <x:v>PASS</x:v>
      </x:c>
    </x:row>
    <x:row r="6079">
      <x:c r="B6079" s="21" t="str">
        <x:v>A06073</x:v>
      </x:c>
      <x:c r="C6079" s="21" t="str">
        <x:v>baseline</x:v>
      </x:c>
      <x:c r="D6079" s="21" t="str">
        <x:v>baseline 1189 planning state</x:v>
      </x:c>
      <x:c r="E6079" s="21" t="n">
        <x:f>IF(AND('Baseline Register'!G1195="0.0.0",'Baseline Register'!I1195="OPEN",'Baseline Register'!J1195="HOLD"),1,0)</x:f>
        <x:v>1</x:v>
      </x:c>
      <x:c r="F6079" s="21" t="n">
        <x:v>1</x:v>
      </x:c>
      <x:c r="G6079" s="23" t="str">
        <x:f>IF(E6079=F6079,"PASS","FAIL")</x:f>
        <x:v>PASS</x:v>
      </x:c>
    </x:row>
    <x:row r="6080">
      <x:c r="B6080" s="21" t="str">
        <x:v>A06074</x:v>
      </x:c>
      <x:c r="C6080" s="21" t="str">
        <x:v>baseline</x:v>
      </x:c>
      <x:c r="D6080" s="21" t="str">
        <x:v>baseline 1190 planning state</x:v>
      </x:c>
      <x:c r="E6080" s="21" t="n">
        <x:f>IF(AND('Baseline Register'!G1196="0.0.0",'Baseline Register'!I1196="OPEN",'Baseline Register'!J1196="HOLD"),1,0)</x:f>
        <x:v>1</x:v>
      </x:c>
      <x:c r="F6080" s="21" t="n">
        <x:v>1</x:v>
      </x:c>
      <x:c r="G6080" s="23" t="str">
        <x:f>IF(E6080=F6080,"PASS","FAIL")</x:f>
        <x:v>PASS</x:v>
      </x:c>
    </x:row>
    <x:row r="6081">
      <x:c r="B6081" s="21" t="str">
        <x:v>A06075</x:v>
      </x:c>
      <x:c r="C6081" s="21" t="str">
        <x:v>baseline</x:v>
      </x:c>
      <x:c r="D6081" s="21" t="str">
        <x:v>baseline 1191 planning state</x:v>
      </x:c>
      <x:c r="E6081" s="21" t="n">
        <x:f>IF(AND('Baseline Register'!G1197="0.0.0",'Baseline Register'!I1197="OPEN",'Baseline Register'!J1197="HOLD"),1,0)</x:f>
        <x:v>1</x:v>
      </x:c>
      <x:c r="F6081" s="21" t="n">
        <x:v>1</x:v>
      </x:c>
      <x:c r="G6081" s="23" t="str">
        <x:f>IF(E6081=F6081,"PASS","FAIL")</x:f>
        <x:v>PASS</x:v>
      </x:c>
    </x:row>
    <x:row r="6082">
      <x:c r="B6082" s="21" t="str">
        <x:v>A06076</x:v>
      </x:c>
      <x:c r="C6082" s="21" t="str">
        <x:v>baseline</x:v>
      </x:c>
      <x:c r="D6082" s="21" t="str">
        <x:v>baseline 1192 planning state</x:v>
      </x:c>
      <x:c r="E6082" s="21" t="n">
        <x:f>IF(AND('Baseline Register'!G1198="0.0.0",'Baseline Register'!I1198="OPEN",'Baseline Register'!J1198="HOLD"),1,0)</x:f>
        <x:v>1</x:v>
      </x:c>
      <x:c r="F6082" s="21" t="n">
        <x:v>1</x:v>
      </x:c>
      <x:c r="G6082" s="23" t="str">
        <x:f>IF(E6082=F6082,"PASS","FAIL")</x:f>
        <x:v>PASS</x:v>
      </x:c>
    </x:row>
    <x:row r="6083">
      <x:c r="B6083" s="21" t="str">
        <x:v>A06077</x:v>
      </x:c>
      <x:c r="C6083" s="21" t="str">
        <x:v>baseline</x:v>
      </x:c>
      <x:c r="D6083" s="21" t="str">
        <x:v>baseline 1193 planning state</x:v>
      </x:c>
      <x:c r="E6083" s="21" t="n">
        <x:f>IF(AND('Baseline Register'!G1199="0.0.0",'Baseline Register'!I1199="OPEN",'Baseline Register'!J1199="HOLD"),1,0)</x:f>
        <x:v>1</x:v>
      </x:c>
      <x:c r="F6083" s="21" t="n">
        <x:v>1</x:v>
      </x:c>
      <x:c r="G6083" s="23" t="str">
        <x:f>IF(E6083=F6083,"PASS","FAIL")</x:f>
        <x:v>PASS</x:v>
      </x:c>
    </x:row>
    <x:row r="6084">
      <x:c r="B6084" s="21" t="str">
        <x:v>A06078</x:v>
      </x:c>
      <x:c r="C6084" s="21" t="str">
        <x:v>baseline</x:v>
      </x:c>
      <x:c r="D6084" s="21" t="str">
        <x:v>baseline 1194 planning state</x:v>
      </x:c>
      <x:c r="E6084" s="21" t="n">
        <x:f>IF(AND('Baseline Register'!G1200="0.0.0",'Baseline Register'!I1200="OPEN",'Baseline Register'!J1200="HOLD"),1,0)</x:f>
        <x:v>1</x:v>
      </x:c>
      <x:c r="F6084" s="21" t="n">
        <x:v>1</x:v>
      </x:c>
      <x:c r="G6084" s="23" t="str">
        <x:f>IF(E6084=F6084,"PASS","FAIL")</x:f>
        <x:v>PASS</x:v>
      </x:c>
    </x:row>
    <x:row r="6085">
      <x:c r="B6085" s="21" t="str">
        <x:v>A06079</x:v>
      </x:c>
      <x:c r="C6085" s="21" t="str">
        <x:v>baseline</x:v>
      </x:c>
      <x:c r="D6085" s="21" t="str">
        <x:v>baseline 1195 planning state</x:v>
      </x:c>
      <x:c r="E6085" s="21" t="n">
        <x:f>IF(AND('Baseline Register'!G1201="0.0.0",'Baseline Register'!I1201="OPEN",'Baseline Register'!J1201="HOLD"),1,0)</x:f>
        <x:v>1</x:v>
      </x:c>
      <x:c r="F6085" s="21" t="n">
        <x:v>1</x:v>
      </x:c>
      <x:c r="G6085" s="23" t="str">
        <x:f>IF(E6085=F6085,"PASS","FAIL")</x:f>
        <x:v>PASS</x:v>
      </x:c>
    </x:row>
    <x:row r="6086">
      <x:c r="B6086" s="21" t="str">
        <x:v>A06080</x:v>
      </x:c>
      <x:c r="C6086" s="21" t="str">
        <x:v>baseline</x:v>
      </x:c>
      <x:c r="D6086" s="21" t="str">
        <x:v>baseline 1196 planning state</x:v>
      </x:c>
      <x:c r="E6086" s="21" t="n">
        <x:f>IF(AND('Baseline Register'!G1202="0.0.0",'Baseline Register'!I1202="OPEN",'Baseline Register'!J1202="HOLD"),1,0)</x:f>
        <x:v>1</x:v>
      </x:c>
      <x:c r="F6086" s="21" t="n">
        <x:v>1</x:v>
      </x:c>
      <x:c r="G6086" s="23" t="str">
        <x:f>IF(E6086=F6086,"PASS","FAIL")</x:f>
        <x:v>PASS</x:v>
      </x:c>
    </x:row>
    <x:row r="6087">
      <x:c r="B6087" s="21" t="str">
        <x:v>A06081</x:v>
      </x:c>
      <x:c r="C6087" s="21" t="str">
        <x:v>baseline</x:v>
      </x:c>
      <x:c r="D6087" s="21" t="str">
        <x:v>baseline 1197 planning state</x:v>
      </x:c>
      <x:c r="E6087" s="21" t="n">
        <x:f>IF(AND('Baseline Register'!G1203="0.0.0",'Baseline Register'!I1203="OPEN",'Baseline Register'!J1203="HOLD"),1,0)</x:f>
        <x:v>1</x:v>
      </x:c>
      <x:c r="F6087" s="21" t="n">
        <x:v>1</x:v>
      </x:c>
      <x:c r="G6087" s="23" t="str">
        <x:f>IF(E6087=F6087,"PASS","FAIL")</x:f>
        <x:v>PASS</x:v>
      </x:c>
    </x:row>
    <x:row r="6088">
      <x:c r="B6088" s="21" t="str">
        <x:v>A06082</x:v>
      </x:c>
      <x:c r="C6088" s="21" t="str">
        <x:v>baseline</x:v>
      </x:c>
      <x:c r="D6088" s="21" t="str">
        <x:v>baseline 1198 planning state</x:v>
      </x:c>
      <x:c r="E6088" s="21" t="n">
        <x:f>IF(AND('Baseline Register'!G1204="0.0.0",'Baseline Register'!I1204="OPEN",'Baseline Register'!J1204="HOLD"),1,0)</x:f>
        <x:v>1</x:v>
      </x:c>
      <x:c r="F6088" s="21" t="n">
        <x:v>1</x:v>
      </x:c>
      <x:c r="G6088" s="23" t="str">
        <x:f>IF(E6088=F6088,"PASS","FAIL")</x:f>
        <x:v>PASS</x:v>
      </x:c>
    </x:row>
    <x:row r="6089">
      <x:c r="B6089" s="21" t="str">
        <x:v>A06083</x:v>
      </x:c>
      <x:c r="C6089" s="21" t="str">
        <x:v>baseline</x:v>
      </x:c>
      <x:c r="D6089" s="21" t="str">
        <x:v>baseline 1199 planning state</x:v>
      </x:c>
      <x:c r="E6089" s="21" t="n">
        <x:f>IF(AND('Baseline Register'!G1205="0.0.0",'Baseline Register'!I1205="OPEN",'Baseline Register'!J1205="HOLD"),1,0)</x:f>
        <x:v>1</x:v>
      </x:c>
      <x:c r="F6089" s="21" t="n">
        <x:v>1</x:v>
      </x:c>
      <x:c r="G6089" s="23" t="str">
        <x:f>IF(E6089=F6089,"PASS","FAIL")</x:f>
        <x:v>PASS</x:v>
      </x:c>
    </x:row>
    <x:row r="6090">
      <x:c r="B6090" s="21" t="str">
        <x:v>A06084</x:v>
      </x:c>
      <x:c r="C6090" s="21" t="str">
        <x:v>baseline</x:v>
      </x:c>
      <x:c r="D6090" s="21" t="str">
        <x:v>baseline 1200 planning state</x:v>
      </x:c>
      <x:c r="E6090" s="21" t="n">
        <x:f>IF(AND('Baseline Register'!G1206="0.0.0",'Baseline Register'!I1206="OPEN",'Baseline Register'!J1206="HOLD"),1,0)</x:f>
        <x:v>1</x:v>
      </x:c>
      <x:c r="F6090" s="21" t="n">
        <x:v>1</x:v>
      </x:c>
      <x:c r="G6090" s="23" t="str">
        <x:f>IF(E6090=F6090,"PASS","FAIL")</x:f>
        <x:v>PASS</x:v>
      </x:c>
    </x:row>
    <x:row r="6091">
      <x:c r="B6091" s="21" t="str">
        <x:v>A06085</x:v>
      </x:c>
      <x:c r="C6091" s="21" t="str">
        <x:v>baseline</x:v>
      </x:c>
      <x:c r="D6091" s="21" t="str">
        <x:v>baseline 1201 planning state</x:v>
      </x:c>
      <x:c r="E6091" s="21" t="n">
        <x:f>IF(AND('Baseline Register'!G1207="0.0.0",'Baseline Register'!I1207="OPEN",'Baseline Register'!J1207="HOLD"),1,0)</x:f>
        <x:v>1</x:v>
      </x:c>
      <x:c r="F6091" s="21" t="n">
        <x:v>1</x:v>
      </x:c>
      <x:c r="G6091" s="23" t="str">
        <x:f>IF(E6091=F6091,"PASS","FAIL")</x:f>
        <x:v>PASS</x:v>
      </x:c>
    </x:row>
    <x:row r="6092">
      <x:c r="B6092" s="21" t="str">
        <x:v>A06086</x:v>
      </x:c>
      <x:c r="C6092" s="21" t="str">
        <x:v>baseline</x:v>
      </x:c>
      <x:c r="D6092" s="21" t="str">
        <x:v>baseline 1202 planning state</x:v>
      </x:c>
      <x:c r="E6092" s="21" t="n">
        <x:f>IF(AND('Baseline Register'!G1208="0.0.0",'Baseline Register'!I1208="OPEN",'Baseline Register'!J1208="HOLD"),1,0)</x:f>
        <x:v>1</x:v>
      </x:c>
      <x:c r="F6092" s="21" t="n">
        <x:v>1</x:v>
      </x:c>
      <x:c r="G6092" s="23" t="str">
        <x:f>IF(E6092=F6092,"PASS","FAIL")</x:f>
        <x:v>PASS</x:v>
      </x:c>
    </x:row>
    <x:row r="6093">
      <x:c r="B6093" s="21" t="str">
        <x:v>A06087</x:v>
      </x:c>
      <x:c r="C6093" s="21" t="str">
        <x:v>baseline</x:v>
      </x:c>
      <x:c r="D6093" s="21" t="str">
        <x:v>baseline 1203 planning state</x:v>
      </x:c>
      <x:c r="E6093" s="21" t="n">
        <x:f>IF(AND('Baseline Register'!G1209="0.0.0",'Baseline Register'!I1209="OPEN",'Baseline Register'!J1209="HOLD"),1,0)</x:f>
        <x:v>1</x:v>
      </x:c>
      <x:c r="F6093" s="21" t="n">
        <x:v>1</x:v>
      </x:c>
      <x:c r="G6093" s="23" t="str">
        <x:f>IF(E6093=F6093,"PASS","FAIL")</x:f>
        <x:v>PASS</x:v>
      </x:c>
    </x:row>
    <x:row r="6094">
      <x:c r="B6094" s="21" t="str">
        <x:v>A06088</x:v>
      </x:c>
      <x:c r="C6094" s="21" t="str">
        <x:v>baseline</x:v>
      </x:c>
      <x:c r="D6094" s="21" t="str">
        <x:v>baseline 1204 planning state</x:v>
      </x:c>
      <x:c r="E6094" s="21" t="n">
        <x:f>IF(AND('Baseline Register'!G1210="0.0.0",'Baseline Register'!I1210="OPEN",'Baseline Register'!J1210="HOLD"),1,0)</x:f>
        <x:v>1</x:v>
      </x:c>
      <x:c r="F6094" s="21" t="n">
        <x:v>1</x:v>
      </x:c>
      <x:c r="G6094" s="23" t="str">
        <x:f>IF(E6094=F6094,"PASS","FAIL")</x:f>
        <x:v>PASS</x:v>
      </x:c>
    </x:row>
    <x:row r="6095">
      <x:c r="B6095" s="21" t="str">
        <x:v>A06089</x:v>
      </x:c>
      <x:c r="C6095" s="21" t="str">
        <x:v>baseline</x:v>
      </x:c>
      <x:c r="D6095" s="21" t="str">
        <x:v>baseline 1205 planning state</x:v>
      </x:c>
      <x:c r="E6095" s="21" t="n">
        <x:f>IF(AND('Baseline Register'!G1211="0.0.0",'Baseline Register'!I1211="OPEN",'Baseline Register'!J1211="HOLD"),1,0)</x:f>
        <x:v>1</x:v>
      </x:c>
      <x:c r="F6095" s="21" t="n">
        <x:v>1</x:v>
      </x:c>
      <x:c r="G6095" s="23" t="str">
        <x:f>IF(E6095=F6095,"PASS","FAIL")</x:f>
        <x:v>PASS</x:v>
      </x:c>
    </x:row>
    <x:row r="6096">
      <x:c r="B6096" s="21" t="str">
        <x:v>A06090</x:v>
      </x:c>
      <x:c r="C6096" s="21" t="str">
        <x:v>baseline</x:v>
      </x:c>
      <x:c r="D6096" s="21" t="str">
        <x:v>baseline 1206 planning state</x:v>
      </x:c>
      <x:c r="E6096" s="21" t="n">
        <x:f>IF(AND('Baseline Register'!G1212="0.0.0",'Baseline Register'!I1212="OPEN",'Baseline Register'!J1212="HOLD"),1,0)</x:f>
        <x:v>1</x:v>
      </x:c>
      <x:c r="F6096" s="21" t="n">
        <x:v>1</x:v>
      </x:c>
      <x:c r="G6096" s="23" t="str">
        <x:f>IF(E6096=F6096,"PASS","FAIL")</x:f>
        <x:v>PASS</x:v>
      </x:c>
    </x:row>
    <x:row r="6097">
      <x:c r="B6097" s="21" t="str">
        <x:v>A06091</x:v>
      </x:c>
      <x:c r="C6097" s="21" t="str">
        <x:v>baseline</x:v>
      </x:c>
      <x:c r="D6097" s="21" t="str">
        <x:v>baseline 1207 planning state</x:v>
      </x:c>
      <x:c r="E6097" s="21" t="n">
        <x:f>IF(AND('Baseline Register'!G1213="0.0.0",'Baseline Register'!I1213="OPEN",'Baseline Register'!J1213="HOLD"),1,0)</x:f>
        <x:v>1</x:v>
      </x:c>
      <x:c r="F6097" s="21" t="n">
        <x:v>1</x:v>
      </x:c>
      <x:c r="G6097" s="23" t="str">
        <x:f>IF(E6097=F6097,"PASS","FAIL")</x:f>
        <x:v>PASS</x:v>
      </x:c>
    </x:row>
    <x:row r="6098">
      <x:c r="B6098" s="21" t="str">
        <x:v>A06092</x:v>
      </x:c>
      <x:c r="C6098" s="21" t="str">
        <x:v>baseline</x:v>
      </x:c>
      <x:c r="D6098" s="21" t="str">
        <x:v>baseline 1208 planning state</x:v>
      </x:c>
      <x:c r="E6098" s="21" t="n">
        <x:f>IF(AND('Baseline Register'!G1214="0.0.0",'Baseline Register'!I1214="OPEN",'Baseline Register'!J1214="HOLD"),1,0)</x:f>
        <x:v>1</x:v>
      </x:c>
      <x:c r="F6098" s="21" t="n">
        <x:v>1</x:v>
      </x:c>
      <x:c r="G6098" s="23" t="str">
        <x:f>IF(E6098=F6098,"PASS","FAIL")</x:f>
        <x:v>PASS</x:v>
      </x:c>
    </x:row>
    <x:row r="6099">
      <x:c r="B6099" s="21" t="str">
        <x:v>A06093</x:v>
      </x:c>
      <x:c r="C6099" s="21" t="str">
        <x:v>baseline</x:v>
      </x:c>
      <x:c r="D6099" s="21" t="str">
        <x:v>baseline 1209 planning state</x:v>
      </x:c>
      <x:c r="E6099" s="21" t="n">
        <x:f>IF(AND('Baseline Register'!G1215="0.0.0",'Baseline Register'!I1215="OPEN",'Baseline Register'!J1215="HOLD"),1,0)</x:f>
        <x:v>1</x:v>
      </x:c>
      <x:c r="F6099" s="21" t="n">
        <x:v>1</x:v>
      </x:c>
      <x:c r="G6099" s="23" t="str">
        <x:f>IF(E6099=F6099,"PASS","FAIL")</x:f>
        <x:v>PASS</x:v>
      </x:c>
    </x:row>
    <x:row r="6100">
      <x:c r="B6100" s="21" t="str">
        <x:v>A06094</x:v>
      </x:c>
      <x:c r="C6100" s="21" t="str">
        <x:v>baseline</x:v>
      </x:c>
      <x:c r="D6100" s="21" t="str">
        <x:v>baseline 1210 planning state</x:v>
      </x:c>
      <x:c r="E6100" s="21" t="n">
        <x:f>IF(AND('Baseline Register'!G1216="0.0.0",'Baseline Register'!I1216="OPEN",'Baseline Register'!J1216="HOLD"),1,0)</x:f>
        <x:v>1</x:v>
      </x:c>
      <x:c r="F6100" s="21" t="n">
        <x:v>1</x:v>
      </x:c>
      <x:c r="G6100" s="23" t="str">
        <x:f>IF(E6100=F6100,"PASS","FAIL")</x:f>
        <x:v>PASS</x:v>
      </x:c>
    </x:row>
    <x:row r="6101">
      <x:c r="B6101" s="21" t="str">
        <x:v>A06095</x:v>
      </x:c>
      <x:c r="C6101" s="21" t="str">
        <x:v>baseline</x:v>
      </x:c>
      <x:c r="D6101" s="21" t="str">
        <x:v>baseline 1211 planning state</x:v>
      </x:c>
      <x:c r="E6101" s="21" t="n">
        <x:f>IF(AND('Baseline Register'!G1217="0.0.0",'Baseline Register'!I1217="OPEN",'Baseline Register'!J1217="HOLD"),1,0)</x:f>
        <x:v>1</x:v>
      </x:c>
      <x:c r="F6101" s="21" t="n">
        <x:v>1</x:v>
      </x:c>
      <x:c r="G6101" s="23" t="str">
        <x:f>IF(E6101=F6101,"PASS","FAIL")</x:f>
        <x:v>PASS</x:v>
      </x:c>
    </x:row>
    <x:row r="6102">
      <x:c r="B6102" s="21" t="str">
        <x:v>A06096</x:v>
      </x:c>
      <x:c r="C6102" s="21" t="str">
        <x:v>baseline</x:v>
      </x:c>
      <x:c r="D6102" s="21" t="str">
        <x:v>baseline 1212 planning state</x:v>
      </x:c>
      <x:c r="E6102" s="21" t="n">
        <x:f>IF(AND('Baseline Register'!G1218="0.0.0",'Baseline Register'!I1218="OPEN",'Baseline Register'!J1218="HOLD"),1,0)</x:f>
        <x:v>1</x:v>
      </x:c>
      <x:c r="F6102" s="21" t="n">
        <x:v>1</x:v>
      </x:c>
      <x:c r="G6102" s="23" t="str">
        <x:f>IF(E6102=F6102,"PASS","FAIL")</x:f>
        <x:v>PASS</x:v>
      </x:c>
    </x:row>
    <x:row r="6103">
      <x:c r="B6103" s="21" t="str">
        <x:v>A06097</x:v>
      </x:c>
      <x:c r="C6103" s="21" t="str">
        <x:v>baseline</x:v>
      </x:c>
      <x:c r="D6103" s="21" t="str">
        <x:v>baseline 1213 planning state</x:v>
      </x:c>
      <x:c r="E6103" s="21" t="n">
        <x:f>IF(AND('Baseline Register'!G1219="0.0.0",'Baseline Register'!I1219="OPEN",'Baseline Register'!J1219="HOLD"),1,0)</x:f>
        <x:v>1</x:v>
      </x:c>
      <x:c r="F6103" s="21" t="n">
        <x:v>1</x:v>
      </x:c>
      <x:c r="G6103" s="23" t="str">
        <x:f>IF(E6103=F6103,"PASS","FAIL")</x:f>
        <x:v>PASS</x:v>
      </x:c>
    </x:row>
    <x:row r="6104">
      <x:c r="B6104" s="21" t="str">
        <x:v>A06098</x:v>
      </x:c>
      <x:c r="C6104" s="21" t="str">
        <x:v>baseline</x:v>
      </x:c>
      <x:c r="D6104" s="21" t="str">
        <x:v>baseline 1214 planning state</x:v>
      </x:c>
      <x:c r="E6104" s="21" t="n">
        <x:f>IF(AND('Baseline Register'!G1220="0.0.0",'Baseline Register'!I1220="OPEN",'Baseline Register'!J1220="HOLD"),1,0)</x:f>
        <x:v>1</x:v>
      </x:c>
      <x:c r="F6104" s="21" t="n">
        <x:v>1</x:v>
      </x:c>
      <x:c r="G6104" s="23" t="str">
        <x:f>IF(E6104=F6104,"PASS","FAIL")</x:f>
        <x:v>PASS</x:v>
      </x:c>
    </x:row>
    <x:row r="6105">
      <x:c r="B6105" s="21" t="str">
        <x:v>A06099</x:v>
      </x:c>
      <x:c r="C6105" s="21" t="str">
        <x:v>baseline</x:v>
      </x:c>
      <x:c r="D6105" s="21" t="str">
        <x:v>baseline 1215 planning state</x:v>
      </x:c>
      <x:c r="E6105" s="21" t="n">
        <x:f>IF(AND('Baseline Register'!G1221="0.0.0",'Baseline Register'!I1221="OPEN",'Baseline Register'!J1221="HOLD"),1,0)</x:f>
        <x:v>1</x:v>
      </x:c>
      <x:c r="F6105" s="21" t="n">
        <x:v>1</x:v>
      </x:c>
      <x:c r="G6105" s="23" t="str">
        <x:f>IF(E6105=F6105,"PASS","FAIL")</x:f>
        <x:v>PASS</x:v>
      </x:c>
    </x:row>
    <x:row r="6106">
      <x:c r="B6106" s="21" t="str">
        <x:v>A06100</x:v>
      </x:c>
      <x:c r="C6106" s="21" t="str">
        <x:v>baseline</x:v>
      </x:c>
      <x:c r="D6106" s="21" t="str">
        <x:v>baseline 1216 planning state</x:v>
      </x:c>
      <x:c r="E6106" s="21" t="n">
        <x:f>IF(AND('Baseline Register'!G1222="0.0.0",'Baseline Register'!I1222="OPEN",'Baseline Register'!J1222="HOLD"),1,0)</x:f>
        <x:v>1</x:v>
      </x:c>
      <x:c r="F6106" s="21" t="n">
        <x:v>1</x:v>
      </x:c>
      <x:c r="G6106" s="23" t="str">
        <x:f>IF(E6106=F6106,"PASS","FAIL")</x:f>
        <x:v>PASS</x:v>
      </x:c>
    </x:row>
    <x:row r="6107">
      <x:c r="B6107" s="21" t="str">
        <x:v>A06101</x:v>
      </x:c>
      <x:c r="C6107" s="21" t="str">
        <x:v>baseline</x:v>
      </x:c>
      <x:c r="D6107" s="21" t="str">
        <x:v>baseline 1217 planning state</x:v>
      </x:c>
      <x:c r="E6107" s="21" t="n">
        <x:f>IF(AND('Baseline Register'!G1223="0.0.0",'Baseline Register'!I1223="OPEN",'Baseline Register'!J1223="HOLD"),1,0)</x:f>
        <x:v>1</x:v>
      </x:c>
      <x:c r="F6107" s="21" t="n">
        <x:v>1</x:v>
      </x:c>
      <x:c r="G6107" s="23" t="str">
        <x:f>IF(E6107=F6107,"PASS","FAIL")</x:f>
        <x:v>PASS</x:v>
      </x:c>
    </x:row>
    <x:row r="6108">
      <x:c r="B6108" s="21" t="str">
        <x:v>A06102</x:v>
      </x:c>
      <x:c r="C6108" s="21" t="str">
        <x:v>baseline</x:v>
      </x:c>
      <x:c r="D6108" s="21" t="str">
        <x:v>baseline 1218 planning state</x:v>
      </x:c>
      <x:c r="E6108" s="21" t="n">
        <x:f>IF(AND('Baseline Register'!G1224="0.0.0",'Baseline Register'!I1224="OPEN",'Baseline Register'!J1224="HOLD"),1,0)</x:f>
        <x:v>1</x:v>
      </x:c>
      <x:c r="F6108" s="21" t="n">
        <x:v>1</x:v>
      </x:c>
      <x:c r="G6108" s="23" t="str">
        <x:f>IF(E6108=F6108,"PASS","FAIL")</x:f>
        <x:v>PASS</x:v>
      </x:c>
    </x:row>
    <x:row r="6109">
      <x:c r="B6109" s="21" t="str">
        <x:v>A06103</x:v>
      </x:c>
      <x:c r="C6109" s="21" t="str">
        <x:v>baseline</x:v>
      </x:c>
      <x:c r="D6109" s="21" t="str">
        <x:v>baseline 1219 planning state</x:v>
      </x:c>
      <x:c r="E6109" s="21" t="n">
        <x:f>IF(AND('Baseline Register'!G1225="0.0.0",'Baseline Register'!I1225="OPEN",'Baseline Register'!J1225="HOLD"),1,0)</x:f>
        <x:v>1</x:v>
      </x:c>
      <x:c r="F6109" s="21" t="n">
        <x:v>1</x:v>
      </x:c>
      <x:c r="G6109" s="23" t="str">
        <x:f>IF(E6109=F6109,"PASS","FAIL")</x:f>
        <x:v>PASS</x:v>
      </x:c>
    </x:row>
    <x:row r="6110">
      <x:c r="B6110" s="21" t="str">
        <x:v>A06104</x:v>
      </x:c>
      <x:c r="C6110" s="21" t="str">
        <x:v>baseline</x:v>
      </x:c>
      <x:c r="D6110" s="21" t="str">
        <x:v>baseline 1220 planning state</x:v>
      </x:c>
      <x:c r="E6110" s="21" t="n">
        <x:f>IF(AND('Baseline Register'!G1226="0.0.0",'Baseline Register'!I1226="OPEN",'Baseline Register'!J1226="HOLD"),1,0)</x:f>
        <x:v>1</x:v>
      </x:c>
      <x:c r="F6110" s="21" t="n">
        <x:v>1</x:v>
      </x:c>
      <x:c r="G6110" s="23" t="str">
        <x:f>IF(E6110=F6110,"PASS","FAIL")</x:f>
        <x:v>PASS</x:v>
      </x:c>
    </x:row>
    <x:row r="6111">
      <x:c r="B6111" s="21" t="str">
        <x:v>A06105</x:v>
      </x:c>
      <x:c r="C6111" s="21" t="str">
        <x:v>baseline</x:v>
      </x:c>
      <x:c r="D6111" s="21" t="str">
        <x:v>baseline 1221 planning state</x:v>
      </x:c>
      <x:c r="E6111" s="21" t="n">
        <x:f>IF(AND('Baseline Register'!G1227="0.0.0",'Baseline Register'!I1227="OPEN",'Baseline Register'!J1227="HOLD"),1,0)</x:f>
        <x:v>1</x:v>
      </x:c>
      <x:c r="F6111" s="21" t="n">
        <x:v>1</x:v>
      </x:c>
      <x:c r="G6111" s="23" t="str">
        <x:f>IF(E6111=F6111,"PASS","FAIL")</x:f>
        <x:v>PASS</x:v>
      </x:c>
    </x:row>
    <x:row r="6112">
      <x:c r="B6112" s="21" t="str">
        <x:v>A06106</x:v>
      </x:c>
      <x:c r="C6112" s="21" t="str">
        <x:v>baseline</x:v>
      </x:c>
      <x:c r="D6112" s="21" t="str">
        <x:v>baseline 1222 planning state</x:v>
      </x:c>
      <x:c r="E6112" s="21" t="n">
        <x:f>IF(AND('Baseline Register'!G1228="0.0.0",'Baseline Register'!I1228="OPEN",'Baseline Register'!J1228="HOLD"),1,0)</x:f>
        <x:v>1</x:v>
      </x:c>
      <x:c r="F6112" s="21" t="n">
        <x:v>1</x:v>
      </x:c>
      <x:c r="G6112" s="23" t="str">
        <x:f>IF(E6112=F6112,"PASS","FAIL")</x:f>
        <x:v>PASS</x:v>
      </x:c>
    </x:row>
    <x:row r="6113">
      <x:c r="B6113" s="21" t="str">
        <x:v>A06107</x:v>
      </x:c>
      <x:c r="C6113" s="21" t="str">
        <x:v>baseline</x:v>
      </x:c>
      <x:c r="D6113" s="21" t="str">
        <x:v>baseline 1223 planning state</x:v>
      </x:c>
      <x:c r="E6113" s="21" t="n">
        <x:f>IF(AND('Baseline Register'!G1229="0.0.0",'Baseline Register'!I1229="OPEN",'Baseline Register'!J1229="HOLD"),1,0)</x:f>
        <x:v>1</x:v>
      </x:c>
      <x:c r="F6113" s="21" t="n">
        <x:v>1</x:v>
      </x:c>
      <x:c r="G6113" s="23" t="str">
        <x:f>IF(E6113=F6113,"PASS","FAIL")</x:f>
        <x:v>PASS</x:v>
      </x:c>
    </x:row>
    <x:row r="6114">
      <x:c r="B6114" s="21" t="str">
        <x:v>A06108</x:v>
      </x:c>
      <x:c r="C6114" s="21" t="str">
        <x:v>baseline</x:v>
      </x:c>
      <x:c r="D6114" s="21" t="str">
        <x:v>baseline 1224 planning state</x:v>
      </x:c>
      <x:c r="E6114" s="21" t="n">
        <x:f>IF(AND('Baseline Register'!G1230="0.0.0",'Baseline Register'!I1230="OPEN",'Baseline Register'!J1230="HOLD"),1,0)</x:f>
        <x:v>1</x:v>
      </x:c>
      <x:c r="F6114" s="21" t="n">
        <x:v>1</x:v>
      </x:c>
      <x:c r="G6114" s="23" t="str">
        <x:f>IF(E6114=F6114,"PASS","FAIL")</x:f>
        <x:v>PASS</x:v>
      </x:c>
    </x:row>
    <x:row r="6115">
      <x:c r="B6115" s="21" t="str">
        <x:v>A06109</x:v>
      </x:c>
      <x:c r="C6115" s="21" t="str">
        <x:v>baseline</x:v>
      </x:c>
      <x:c r="D6115" s="21" t="str">
        <x:v>baseline 1225 planning state</x:v>
      </x:c>
      <x:c r="E6115" s="21" t="n">
        <x:f>IF(AND('Baseline Register'!G1231="0.0.0",'Baseline Register'!I1231="OPEN",'Baseline Register'!J1231="HOLD"),1,0)</x:f>
        <x:v>1</x:v>
      </x:c>
      <x:c r="F6115" s="21" t="n">
        <x:v>1</x:v>
      </x:c>
      <x:c r="G6115" s="23" t="str">
        <x:f>IF(E6115=F6115,"PASS","FAIL")</x:f>
        <x:v>PASS</x:v>
      </x:c>
    </x:row>
    <x:row r="6116">
      <x:c r="B6116" s="21" t="str">
        <x:v>A06110</x:v>
      </x:c>
      <x:c r="C6116" s="21" t="str">
        <x:v>baseline</x:v>
      </x:c>
      <x:c r="D6116" s="21" t="str">
        <x:v>baseline 1226 planning state</x:v>
      </x:c>
      <x:c r="E6116" s="21" t="n">
        <x:f>IF(AND('Baseline Register'!G1232="0.0.0",'Baseline Register'!I1232="OPEN",'Baseline Register'!J1232="HOLD"),1,0)</x:f>
        <x:v>1</x:v>
      </x:c>
      <x:c r="F6116" s="21" t="n">
        <x:v>1</x:v>
      </x:c>
      <x:c r="G6116" s="23" t="str">
        <x:f>IF(E6116=F6116,"PASS","FAIL")</x:f>
        <x:v>PASS</x:v>
      </x:c>
    </x:row>
    <x:row r="6117">
      <x:c r="B6117" s="21" t="str">
        <x:v>A06111</x:v>
      </x:c>
      <x:c r="C6117" s="21" t="str">
        <x:v>baseline</x:v>
      </x:c>
      <x:c r="D6117" s="21" t="str">
        <x:v>baseline 1227 planning state</x:v>
      </x:c>
      <x:c r="E6117" s="21" t="n">
        <x:f>IF(AND('Baseline Register'!G1233="0.0.0",'Baseline Register'!I1233="OPEN",'Baseline Register'!J1233="HOLD"),1,0)</x:f>
        <x:v>1</x:v>
      </x:c>
      <x:c r="F6117" s="21" t="n">
        <x:v>1</x:v>
      </x:c>
      <x:c r="G6117" s="23" t="str">
        <x:f>IF(E6117=F6117,"PASS","FAIL")</x:f>
        <x:v>PASS</x:v>
      </x:c>
    </x:row>
    <x:row r="6118">
      <x:c r="B6118" s="21" t="str">
        <x:v>A06112</x:v>
      </x:c>
      <x:c r="C6118" s="21" t="str">
        <x:v>baseline</x:v>
      </x:c>
      <x:c r="D6118" s="21" t="str">
        <x:v>baseline 1228 planning state</x:v>
      </x:c>
      <x:c r="E6118" s="21" t="n">
        <x:f>IF(AND('Baseline Register'!G1234="0.0.0",'Baseline Register'!I1234="OPEN",'Baseline Register'!J1234="HOLD"),1,0)</x:f>
        <x:v>1</x:v>
      </x:c>
      <x:c r="F6118" s="21" t="n">
        <x:v>1</x:v>
      </x:c>
      <x:c r="G6118" s="23" t="str">
        <x:f>IF(E6118=F6118,"PASS","FAIL")</x:f>
        <x:v>PASS</x:v>
      </x:c>
    </x:row>
    <x:row r="6119">
      <x:c r="B6119" s="21" t="str">
        <x:v>A06113</x:v>
      </x:c>
      <x:c r="C6119" s="21" t="str">
        <x:v>baseline</x:v>
      </x:c>
      <x:c r="D6119" s="21" t="str">
        <x:v>baseline 1229 planning state</x:v>
      </x:c>
      <x:c r="E6119" s="21" t="n">
        <x:f>IF(AND('Baseline Register'!G1235="0.0.0",'Baseline Register'!I1235="OPEN",'Baseline Register'!J1235="HOLD"),1,0)</x:f>
        <x:v>1</x:v>
      </x:c>
      <x:c r="F6119" s="21" t="n">
        <x:v>1</x:v>
      </x:c>
      <x:c r="G6119" s="23" t="str">
        <x:f>IF(E6119=F6119,"PASS","FAIL")</x:f>
        <x:v>PASS</x:v>
      </x:c>
    </x:row>
    <x:row r="6120">
      <x:c r="B6120" s="21" t="str">
        <x:v>A06114</x:v>
      </x:c>
      <x:c r="C6120" s="21" t="str">
        <x:v>baseline</x:v>
      </x:c>
      <x:c r="D6120" s="21" t="str">
        <x:v>baseline 1230 planning state</x:v>
      </x:c>
      <x:c r="E6120" s="21" t="n">
        <x:f>IF(AND('Baseline Register'!G1236="0.0.0",'Baseline Register'!I1236="OPEN",'Baseline Register'!J1236="HOLD"),1,0)</x:f>
        <x:v>1</x:v>
      </x:c>
      <x:c r="F6120" s="21" t="n">
        <x:v>1</x:v>
      </x:c>
      <x:c r="G6120" s="23" t="str">
        <x:f>IF(E6120=F6120,"PASS","FAIL")</x:f>
        <x:v>PASS</x:v>
      </x:c>
    </x:row>
    <x:row r="6121">
      <x:c r="B6121" s="21" t="str">
        <x:v>A06115</x:v>
      </x:c>
      <x:c r="C6121" s="21" t="str">
        <x:v>baseline</x:v>
      </x:c>
      <x:c r="D6121" s="21" t="str">
        <x:v>baseline 1231 planning state</x:v>
      </x:c>
      <x:c r="E6121" s="21" t="n">
        <x:f>IF(AND('Baseline Register'!G1237="0.0.0",'Baseline Register'!I1237="OPEN",'Baseline Register'!J1237="HOLD"),1,0)</x:f>
        <x:v>1</x:v>
      </x:c>
      <x:c r="F6121" s="21" t="n">
        <x:v>1</x:v>
      </x:c>
      <x:c r="G6121" s="23" t="str">
        <x:f>IF(E6121=F6121,"PASS","FAIL")</x:f>
        <x:v>PASS</x:v>
      </x:c>
    </x:row>
    <x:row r="6122">
      <x:c r="B6122" s="21" t="str">
        <x:v>A06116</x:v>
      </x:c>
      <x:c r="C6122" s="21" t="str">
        <x:v>baseline</x:v>
      </x:c>
      <x:c r="D6122" s="21" t="str">
        <x:v>baseline 1232 planning state</x:v>
      </x:c>
      <x:c r="E6122" s="21" t="n">
        <x:f>IF(AND('Baseline Register'!G1238="0.0.0",'Baseline Register'!I1238="OPEN",'Baseline Register'!J1238="HOLD"),1,0)</x:f>
        <x:v>1</x:v>
      </x:c>
      <x:c r="F6122" s="21" t="n">
        <x:v>1</x:v>
      </x:c>
      <x:c r="G6122" s="23" t="str">
        <x:f>IF(E6122=F6122,"PASS","FAIL")</x:f>
        <x:v>PASS</x:v>
      </x:c>
    </x:row>
    <x:row r="6123">
      <x:c r="B6123" s="21" t="str">
        <x:v>A06117</x:v>
      </x:c>
      <x:c r="C6123" s="21" t="str">
        <x:v>baseline</x:v>
      </x:c>
      <x:c r="D6123" s="21" t="str">
        <x:v>baseline 1233 planning state</x:v>
      </x:c>
      <x:c r="E6123" s="21" t="n">
        <x:f>IF(AND('Baseline Register'!G1239="0.0.0",'Baseline Register'!I1239="OPEN",'Baseline Register'!J1239="HOLD"),1,0)</x:f>
        <x:v>1</x:v>
      </x:c>
      <x:c r="F6123" s="21" t="n">
        <x:v>1</x:v>
      </x:c>
      <x:c r="G6123" s="23" t="str">
        <x:f>IF(E6123=F6123,"PASS","FAIL")</x:f>
        <x:v>PASS</x:v>
      </x:c>
    </x:row>
    <x:row r="6124">
      <x:c r="B6124" s="21" t="str">
        <x:v>A06118</x:v>
      </x:c>
      <x:c r="C6124" s="21" t="str">
        <x:v>baseline</x:v>
      </x:c>
      <x:c r="D6124" s="21" t="str">
        <x:v>baseline 1234 planning state</x:v>
      </x:c>
      <x:c r="E6124" s="21" t="n">
        <x:f>IF(AND('Baseline Register'!G1240="0.0.0",'Baseline Register'!I1240="OPEN",'Baseline Register'!J1240="HOLD"),1,0)</x:f>
        <x:v>1</x:v>
      </x:c>
      <x:c r="F6124" s="21" t="n">
        <x:v>1</x:v>
      </x:c>
      <x:c r="G6124" s="23" t="str">
        <x:f>IF(E6124=F6124,"PASS","FAIL")</x:f>
        <x:v>PASS</x:v>
      </x:c>
    </x:row>
    <x:row r="6125">
      <x:c r="B6125" s="21" t="str">
        <x:v>A06119</x:v>
      </x:c>
      <x:c r="C6125" s="21" t="str">
        <x:v>baseline</x:v>
      </x:c>
      <x:c r="D6125" s="21" t="str">
        <x:v>baseline 1235 planning state</x:v>
      </x:c>
      <x:c r="E6125" s="21" t="n">
        <x:f>IF(AND('Baseline Register'!G1241="0.0.0",'Baseline Register'!I1241="OPEN",'Baseline Register'!J1241="HOLD"),1,0)</x:f>
        <x:v>1</x:v>
      </x:c>
      <x:c r="F6125" s="21" t="n">
        <x:v>1</x:v>
      </x:c>
      <x:c r="G6125" s="23" t="str">
        <x:f>IF(E6125=F6125,"PASS","FAIL")</x:f>
        <x:v>PASS</x:v>
      </x:c>
    </x:row>
    <x:row r="6126">
      <x:c r="B6126" s="21" t="str">
        <x:v>A06120</x:v>
      </x:c>
      <x:c r="C6126" s="21" t="str">
        <x:v>baseline</x:v>
      </x:c>
      <x:c r="D6126" s="21" t="str">
        <x:v>baseline 1236 planning state</x:v>
      </x:c>
      <x:c r="E6126" s="21" t="n">
        <x:f>IF(AND('Baseline Register'!G1242="0.0.0",'Baseline Register'!I1242="OPEN",'Baseline Register'!J1242="HOLD"),1,0)</x:f>
        <x:v>1</x:v>
      </x:c>
      <x:c r="F6126" s="21" t="n">
        <x:v>1</x:v>
      </x:c>
      <x:c r="G6126" s="23" t="str">
        <x:f>IF(E6126=F6126,"PASS","FAIL")</x:f>
        <x:v>PASS</x:v>
      </x:c>
    </x:row>
    <x:row r="6127">
      <x:c r="B6127" s="21" t="str">
        <x:v>A06121</x:v>
      </x:c>
      <x:c r="C6127" s="21" t="str">
        <x:v>baseline</x:v>
      </x:c>
      <x:c r="D6127" s="21" t="str">
        <x:v>baseline 1237 planning state</x:v>
      </x:c>
      <x:c r="E6127" s="21" t="n">
        <x:f>IF(AND('Baseline Register'!G1243="0.0.0",'Baseline Register'!I1243="OPEN",'Baseline Register'!J1243="HOLD"),1,0)</x:f>
        <x:v>1</x:v>
      </x:c>
      <x:c r="F6127" s="21" t="n">
        <x:v>1</x:v>
      </x:c>
      <x:c r="G6127" s="23" t="str">
        <x:f>IF(E6127=F6127,"PASS","FAIL")</x:f>
        <x:v>PASS</x:v>
      </x:c>
    </x:row>
    <x:row r="6128">
      <x:c r="B6128" s="21" t="str">
        <x:v>A06122</x:v>
      </x:c>
      <x:c r="C6128" s="21" t="str">
        <x:v>baseline</x:v>
      </x:c>
      <x:c r="D6128" s="21" t="str">
        <x:v>baseline 1238 planning state</x:v>
      </x:c>
      <x:c r="E6128" s="21" t="n">
        <x:f>IF(AND('Baseline Register'!G1244="0.0.0",'Baseline Register'!I1244="OPEN",'Baseline Register'!J1244="HOLD"),1,0)</x:f>
        <x:v>1</x:v>
      </x:c>
      <x:c r="F6128" s="21" t="n">
        <x:v>1</x:v>
      </x:c>
      <x:c r="G6128" s="23" t="str">
        <x:f>IF(E6128=F6128,"PASS","FAIL")</x:f>
        <x:v>PASS</x:v>
      </x:c>
    </x:row>
    <x:row r="6129">
      <x:c r="B6129" s="21" t="str">
        <x:v>A06123</x:v>
      </x:c>
      <x:c r="C6129" s="21" t="str">
        <x:v>baseline</x:v>
      </x:c>
      <x:c r="D6129" s="21" t="str">
        <x:v>baseline 1239 planning state</x:v>
      </x:c>
      <x:c r="E6129" s="21" t="n">
        <x:f>IF(AND('Baseline Register'!G1245="0.0.0",'Baseline Register'!I1245="OPEN",'Baseline Register'!J1245="HOLD"),1,0)</x:f>
        <x:v>1</x:v>
      </x:c>
      <x:c r="F6129" s="21" t="n">
        <x:v>1</x:v>
      </x:c>
      <x:c r="G6129" s="23" t="str">
        <x:f>IF(E6129=F6129,"PASS","FAIL")</x:f>
        <x:v>PASS</x:v>
      </x:c>
    </x:row>
    <x:row r="6130">
      <x:c r="B6130" s="21" t="str">
        <x:v>A06124</x:v>
      </x:c>
      <x:c r="C6130" s="21" t="str">
        <x:v>baseline</x:v>
      </x:c>
      <x:c r="D6130" s="21" t="str">
        <x:v>baseline 1240 planning state</x:v>
      </x:c>
      <x:c r="E6130" s="21" t="n">
        <x:f>IF(AND('Baseline Register'!G1246="0.0.0",'Baseline Register'!I1246="OPEN",'Baseline Register'!J1246="HOLD"),1,0)</x:f>
        <x:v>1</x:v>
      </x:c>
      <x:c r="F6130" s="21" t="n">
        <x:v>1</x:v>
      </x:c>
      <x:c r="G6130" s="23" t="str">
        <x:f>IF(E6130=F6130,"PASS","FAIL")</x:f>
        <x:v>PASS</x:v>
      </x:c>
    </x:row>
    <x:row r="6131">
      <x:c r="B6131" s="21" t="str">
        <x:v>A06125</x:v>
      </x:c>
      <x:c r="C6131" s="21" t="str">
        <x:v>baseline</x:v>
      </x:c>
      <x:c r="D6131" s="21" t="str">
        <x:v>baseline 1241 planning state</x:v>
      </x:c>
      <x:c r="E6131" s="21" t="n">
        <x:f>IF(AND('Baseline Register'!G1247="0.0.0",'Baseline Register'!I1247="OPEN",'Baseline Register'!J1247="HOLD"),1,0)</x:f>
        <x:v>1</x:v>
      </x:c>
      <x:c r="F6131" s="21" t="n">
        <x:v>1</x:v>
      </x:c>
      <x:c r="G6131" s="23" t="str">
        <x:f>IF(E6131=F6131,"PASS","FAIL")</x:f>
        <x:v>PASS</x:v>
      </x:c>
    </x:row>
    <x:row r="6132">
      <x:c r="B6132" s="21" t="str">
        <x:v>A06126</x:v>
      </x:c>
      <x:c r="C6132" s="21" t="str">
        <x:v>baseline</x:v>
      </x:c>
      <x:c r="D6132" s="21" t="str">
        <x:v>baseline 1242 planning state</x:v>
      </x:c>
      <x:c r="E6132" s="21" t="n">
        <x:f>IF(AND('Baseline Register'!G1248="0.0.0",'Baseline Register'!I1248="OPEN",'Baseline Register'!J1248="HOLD"),1,0)</x:f>
        <x:v>1</x:v>
      </x:c>
      <x:c r="F6132" s="21" t="n">
        <x:v>1</x:v>
      </x:c>
      <x:c r="G6132" s="23" t="str">
        <x:f>IF(E6132=F6132,"PASS","FAIL")</x:f>
        <x:v>PASS</x:v>
      </x:c>
    </x:row>
    <x:row r="6133">
      <x:c r="B6133" s="21" t="str">
        <x:v>A06127</x:v>
      </x:c>
      <x:c r="C6133" s="21" t="str">
        <x:v>baseline</x:v>
      </x:c>
      <x:c r="D6133" s="21" t="str">
        <x:v>baseline 1243 planning state</x:v>
      </x:c>
      <x:c r="E6133" s="21" t="n">
        <x:f>IF(AND('Baseline Register'!G1249="0.0.0",'Baseline Register'!I1249="OPEN",'Baseline Register'!J1249="HOLD"),1,0)</x:f>
        <x:v>1</x:v>
      </x:c>
      <x:c r="F6133" s="21" t="n">
        <x:v>1</x:v>
      </x:c>
      <x:c r="G6133" s="23" t="str">
        <x:f>IF(E6133=F6133,"PASS","FAIL")</x:f>
        <x:v>PASS</x:v>
      </x:c>
    </x:row>
    <x:row r="6134">
      <x:c r="B6134" s="21" t="str">
        <x:v>A06128</x:v>
      </x:c>
      <x:c r="C6134" s="21" t="str">
        <x:v>baseline</x:v>
      </x:c>
      <x:c r="D6134" s="21" t="str">
        <x:v>baseline 1244 planning state</x:v>
      </x:c>
      <x:c r="E6134" s="21" t="n">
        <x:f>IF(AND('Baseline Register'!G1250="0.0.0",'Baseline Register'!I1250="OPEN",'Baseline Register'!J1250="HOLD"),1,0)</x:f>
        <x:v>1</x:v>
      </x:c>
      <x:c r="F6134" s="21" t="n">
        <x:v>1</x:v>
      </x:c>
      <x:c r="G6134" s="23" t="str">
        <x:f>IF(E6134=F6134,"PASS","FAIL")</x:f>
        <x:v>PASS</x:v>
      </x:c>
    </x:row>
    <x:row r="6135">
      <x:c r="B6135" s="21" t="str">
        <x:v>A06129</x:v>
      </x:c>
      <x:c r="C6135" s="21" t="str">
        <x:v>baseline</x:v>
      </x:c>
      <x:c r="D6135" s="21" t="str">
        <x:v>baseline 1245 planning state</x:v>
      </x:c>
      <x:c r="E6135" s="21" t="n">
        <x:f>IF(AND('Baseline Register'!G1251="0.0.0",'Baseline Register'!I1251="OPEN",'Baseline Register'!J1251="HOLD"),1,0)</x:f>
        <x:v>1</x:v>
      </x:c>
      <x:c r="F6135" s="21" t="n">
        <x:v>1</x:v>
      </x:c>
      <x:c r="G6135" s="23" t="str">
        <x:f>IF(E6135=F6135,"PASS","FAIL")</x:f>
        <x:v>PASS</x:v>
      </x:c>
    </x:row>
    <x:row r="6136">
      <x:c r="B6136" s="21" t="str">
        <x:v>A06130</x:v>
      </x:c>
      <x:c r="C6136" s="21" t="str">
        <x:v>baseline</x:v>
      </x:c>
      <x:c r="D6136" s="21" t="str">
        <x:v>baseline 1246 planning state</x:v>
      </x:c>
      <x:c r="E6136" s="21" t="n">
        <x:f>IF(AND('Baseline Register'!G1252="0.0.0",'Baseline Register'!I1252="OPEN",'Baseline Register'!J1252="HOLD"),1,0)</x:f>
        <x:v>1</x:v>
      </x:c>
      <x:c r="F6136" s="21" t="n">
        <x:v>1</x:v>
      </x:c>
      <x:c r="G6136" s="23" t="str">
        <x:f>IF(E6136=F6136,"PASS","FAIL")</x:f>
        <x:v>PASS</x:v>
      </x:c>
    </x:row>
    <x:row r="6137">
      <x:c r="B6137" s="21" t="str">
        <x:v>A06131</x:v>
      </x:c>
      <x:c r="C6137" s="21" t="str">
        <x:v>baseline</x:v>
      </x:c>
      <x:c r="D6137" s="21" t="str">
        <x:v>baseline 1247 planning state</x:v>
      </x:c>
      <x:c r="E6137" s="21" t="n">
        <x:f>IF(AND('Baseline Register'!G1253="0.0.0",'Baseline Register'!I1253="OPEN",'Baseline Register'!J1253="HOLD"),1,0)</x:f>
        <x:v>1</x:v>
      </x:c>
      <x:c r="F6137" s="21" t="n">
        <x:v>1</x:v>
      </x:c>
      <x:c r="G6137" s="23" t="str">
        <x:f>IF(E6137=F6137,"PASS","FAIL")</x:f>
        <x:v>PASS</x:v>
      </x:c>
    </x:row>
    <x:row r="6138">
      <x:c r="B6138" s="21" t="str">
        <x:v>A06132</x:v>
      </x:c>
      <x:c r="C6138" s="21" t="str">
        <x:v>baseline</x:v>
      </x:c>
      <x:c r="D6138" s="21" t="str">
        <x:v>baseline 1248 planning state</x:v>
      </x:c>
      <x:c r="E6138" s="21" t="n">
        <x:f>IF(AND('Baseline Register'!G1254="0.0.0",'Baseline Register'!I1254="OPEN",'Baseline Register'!J1254="HOLD"),1,0)</x:f>
        <x:v>1</x:v>
      </x:c>
      <x:c r="F6138" s="21" t="n">
        <x:v>1</x:v>
      </x:c>
      <x:c r="G6138" s="23" t="str">
        <x:f>IF(E6138=F6138,"PASS","FAIL")</x:f>
        <x:v>PASS</x:v>
      </x:c>
    </x:row>
    <x:row r="6139">
      <x:c r="B6139" s="21" t="str">
        <x:v>A06133</x:v>
      </x:c>
      <x:c r="C6139" s="21" t="str">
        <x:v>baseline</x:v>
      </x:c>
      <x:c r="D6139" s="21" t="str">
        <x:v>baseline 1249 planning state</x:v>
      </x:c>
      <x:c r="E6139" s="21" t="n">
        <x:f>IF(AND('Baseline Register'!G1255="0.0.0",'Baseline Register'!I1255="OPEN",'Baseline Register'!J1255="HOLD"),1,0)</x:f>
        <x:v>1</x:v>
      </x:c>
      <x:c r="F6139" s="21" t="n">
        <x:v>1</x:v>
      </x:c>
      <x:c r="G6139" s="23" t="str">
        <x:f>IF(E6139=F6139,"PASS","FAIL")</x:f>
        <x:v>PASS</x:v>
      </x:c>
    </x:row>
    <x:row r="6140">
      <x:c r="B6140" s="21" t="str">
        <x:v>A06134</x:v>
      </x:c>
      <x:c r="C6140" s="21" t="str">
        <x:v>baseline</x:v>
      </x:c>
      <x:c r="D6140" s="21" t="str">
        <x:v>baseline 1250 planning state</x:v>
      </x:c>
      <x:c r="E6140" s="21" t="n">
        <x:f>IF(AND('Baseline Register'!G1256="0.0.0",'Baseline Register'!I1256="OPEN",'Baseline Register'!J1256="HOLD"),1,0)</x:f>
        <x:v>1</x:v>
      </x:c>
      <x:c r="F6140" s="21" t="n">
        <x:v>1</x:v>
      </x:c>
      <x:c r="G6140" s="23" t="str">
        <x:f>IF(E6140=F6140,"PASS","FAIL")</x:f>
        <x:v>PASS</x:v>
      </x:c>
    </x:row>
    <x:row r="6141">
      <x:c r="B6141" s="21" t="str">
        <x:v>A06135</x:v>
      </x:c>
      <x:c r="C6141" s="21" t="str">
        <x:v>baseline</x:v>
      </x:c>
      <x:c r="D6141" s="21" t="str">
        <x:v>baseline 1251 planning state</x:v>
      </x:c>
      <x:c r="E6141" s="21" t="n">
        <x:f>IF(AND('Baseline Register'!G1257="0.0.0",'Baseline Register'!I1257="OPEN",'Baseline Register'!J1257="HOLD"),1,0)</x:f>
        <x:v>1</x:v>
      </x:c>
      <x:c r="F6141" s="21" t="n">
        <x:v>1</x:v>
      </x:c>
      <x:c r="G6141" s="23" t="str">
        <x:f>IF(E6141=F6141,"PASS","FAIL")</x:f>
        <x:v>PASS</x:v>
      </x:c>
    </x:row>
    <x:row r="6142">
      <x:c r="B6142" s="21" t="str">
        <x:v>A06136</x:v>
      </x:c>
      <x:c r="C6142" s="21" t="str">
        <x:v>baseline</x:v>
      </x:c>
      <x:c r="D6142" s="21" t="str">
        <x:v>baseline 1252 planning state</x:v>
      </x:c>
      <x:c r="E6142" s="21" t="n">
        <x:f>IF(AND('Baseline Register'!G1258="0.0.0",'Baseline Register'!I1258="OPEN",'Baseline Register'!J1258="HOLD"),1,0)</x:f>
        <x:v>1</x:v>
      </x:c>
      <x:c r="F6142" s="21" t="n">
        <x:v>1</x:v>
      </x:c>
      <x:c r="G6142" s="23" t="str">
        <x:f>IF(E6142=F6142,"PASS","FAIL")</x:f>
        <x:v>PASS</x:v>
      </x:c>
    </x:row>
    <x:row r="6143">
      <x:c r="B6143" s="21" t="str">
        <x:v>A06137</x:v>
      </x:c>
      <x:c r="C6143" s="21" t="str">
        <x:v>baseline</x:v>
      </x:c>
      <x:c r="D6143" s="21" t="str">
        <x:v>baseline 1253 planning state</x:v>
      </x:c>
      <x:c r="E6143" s="21" t="n">
        <x:f>IF(AND('Baseline Register'!G1259="0.0.0",'Baseline Register'!I1259="OPEN",'Baseline Register'!J1259="HOLD"),1,0)</x:f>
        <x:v>1</x:v>
      </x:c>
      <x:c r="F6143" s="21" t="n">
        <x:v>1</x:v>
      </x:c>
      <x:c r="G6143" s="23" t="str">
        <x:f>IF(E6143=F6143,"PASS","FAIL")</x:f>
        <x:v>PASS</x:v>
      </x:c>
    </x:row>
    <x:row r="6144">
      <x:c r="B6144" s="21" t="str">
        <x:v>A06138</x:v>
      </x:c>
      <x:c r="C6144" s="21" t="str">
        <x:v>baseline</x:v>
      </x:c>
      <x:c r="D6144" s="21" t="str">
        <x:v>baseline 1254 planning state</x:v>
      </x:c>
      <x:c r="E6144" s="21" t="n">
        <x:f>IF(AND('Baseline Register'!G1260="0.0.0",'Baseline Register'!I1260="OPEN",'Baseline Register'!J1260="HOLD"),1,0)</x:f>
        <x:v>1</x:v>
      </x:c>
      <x:c r="F6144" s="21" t="n">
        <x:v>1</x:v>
      </x:c>
      <x:c r="G6144" s="23" t="str">
        <x:f>IF(E6144=F6144,"PASS","FAIL")</x:f>
        <x:v>PASS</x:v>
      </x:c>
    </x:row>
    <x:row r="6145">
      <x:c r="B6145" s="21" t="str">
        <x:v>A06139</x:v>
      </x:c>
      <x:c r="C6145" s="21" t="str">
        <x:v>baseline</x:v>
      </x:c>
      <x:c r="D6145" s="21" t="str">
        <x:v>baseline 1255 planning state</x:v>
      </x:c>
      <x:c r="E6145" s="21" t="n">
        <x:f>IF(AND('Baseline Register'!G1261="0.0.0",'Baseline Register'!I1261="OPEN",'Baseline Register'!J1261="HOLD"),1,0)</x:f>
        <x:v>1</x:v>
      </x:c>
      <x:c r="F6145" s="21" t="n">
        <x:v>1</x:v>
      </x:c>
      <x:c r="G6145" s="23" t="str">
        <x:f>IF(E6145=F6145,"PASS","FAIL")</x:f>
        <x:v>PASS</x:v>
      </x:c>
    </x:row>
    <x:row r="6146">
      <x:c r="B6146" s="21" t="str">
        <x:v>A06140</x:v>
      </x:c>
      <x:c r="C6146" s="21" t="str">
        <x:v>baseline</x:v>
      </x:c>
      <x:c r="D6146" s="21" t="str">
        <x:v>baseline 1256 planning state</x:v>
      </x:c>
      <x:c r="E6146" s="21" t="n">
        <x:f>IF(AND('Baseline Register'!G1262="0.0.0",'Baseline Register'!I1262="OPEN",'Baseline Register'!J1262="HOLD"),1,0)</x:f>
        <x:v>1</x:v>
      </x:c>
      <x:c r="F6146" s="21" t="n">
        <x:v>1</x:v>
      </x:c>
      <x:c r="G6146" s="23" t="str">
        <x:f>IF(E6146=F6146,"PASS","FAIL")</x:f>
        <x:v>PASS</x:v>
      </x:c>
    </x:row>
    <x:row r="6147">
      <x:c r="B6147" s="21" t="str">
        <x:v>A06141</x:v>
      </x:c>
      <x:c r="C6147" s="21" t="str">
        <x:v>baseline</x:v>
      </x:c>
      <x:c r="D6147" s="21" t="str">
        <x:v>baseline 1257 planning state</x:v>
      </x:c>
      <x:c r="E6147" s="21" t="n">
        <x:f>IF(AND('Baseline Register'!G1263="0.0.0",'Baseline Register'!I1263="OPEN",'Baseline Register'!J1263="HOLD"),1,0)</x:f>
        <x:v>1</x:v>
      </x:c>
      <x:c r="F6147" s="21" t="n">
        <x:v>1</x:v>
      </x:c>
      <x:c r="G6147" s="23" t="str">
        <x:f>IF(E6147=F6147,"PASS","FAIL")</x:f>
        <x:v>PASS</x:v>
      </x:c>
    </x:row>
    <x:row r="6148">
      <x:c r="B6148" s="21" t="str">
        <x:v>A06142</x:v>
      </x:c>
      <x:c r="C6148" s="21" t="str">
        <x:v>baseline</x:v>
      </x:c>
      <x:c r="D6148" s="21" t="str">
        <x:v>baseline 1258 planning state</x:v>
      </x:c>
      <x:c r="E6148" s="21" t="n">
        <x:f>IF(AND('Baseline Register'!G1264="0.0.0",'Baseline Register'!I1264="OPEN",'Baseline Register'!J1264="HOLD"),1,0)</x:f>
        <x:v>1</x:v>
      </x:c>
      <x:c r="F6148" s="21" t="n">
        <x:v>1</x:v>
      </x:c>
      <x:c r="G6148" s="23" t="str">
        <x:f>IF(E6148=F6148,"PASS","FAIL")</x:f>
        <x:v>PASS</x:v>
      </x:c>
    </x:row>
    <x:row r="6149">
      <x:c r="B6149" s="21" t="str">
        <x:v>A06143</x:v>
      </x:c>
      <x:c r="C6149" s="21" t="str">
        <x:v>baseline</x:v>
      </x:c>
      <x:c r="D6149" s="21" t="str">
        <x:v>baseline 1259 planning state</x:v>
      </x:c>
      <x:c r="E6149" s="21" t="n">
        <x:f>IF(AND('Baseline Register'!G1265="0.0.0",'Baseline Register'!I1265="OPEN",'Baseline Register'!J1265="HOLD"),1,0)</x:f>
        <x:v>1</x:v>
      </x:c>
      <x:c r="F6149" s="21" t="n">
        <x:v>1</x:v>
      </x:c>
      <x:c r="G6149" s="23" t="str">
        <x:f>IF(E6149=F6149,"PASS","FAIL")</x:f>
        <x:v>PASS</x:v>
      </x:c>
    </x:row>
    <x:row r="6150">
      <x:c r="B6150" s="21" t="str">
        <x:v>A06144</x:v>
      </x:c>
      <x:c r="C6150" s="21" t="str">
        <x:v>baseline</x:v>
      </x:c>
      <x:c r="D6150" s="21" t="str">
        <x:v>baseline 1260 planning state</x:v>
      </x:c>
      <x:c r="E6150" s="21" t="n">
        <x:f>IF(AND('Baseline Register'!G1266="0.0.0",'Baseline Register'!I1266="OPEN",'Baseline Register'!J1266="HOLD"),1,0)</x:f>
        <x:v>1</x:v>
      </x:c>
      <x:c r="F6150" s="21" t="n">
        <x:v>1</x:v>
      </x:c>
      <x:c r="G6150" s="23" t="str">
        <x:f>IF(E6150=F6150,"PASS","FAIL")</x:f>
        <x:v>PASS</x:v>
      </x:c>
    </x:row>
    <x:row r="6151">
      <x:c r="B6151" s="21" t="str">
        <x:v>A06145</x:v>
      </x:c>
      <x:c r="C6151" s="21" t="str">
        <x:v>baseline</x:v>
      </x:c>
      <x:c r="D6151" s="21" t="str">
        <x:v>baseline 1261 planning state</x:v>
      </x:c>
      <x:c r="E6151" s="21" t="n">
        <x:f>IF(AND('Baseline Register'!G1267="0.0.0",'Baseline Register'!I1267="OPEN",'Baseline Register'!J1267="HOLD"),1,0)</x:f>
        <x:v>1</x:v>
      </x:c>
      <x:c r="F6151" s="21" t="n">
        <x:v>1</x:v>
      </x:c>
      <x:c r="G6151" s="23" t="str">
        <x:f>IF(E6151=F6151,"PASS","FAIL")</x:f>
        <x:v>PASS</x:v>
      </x:c>
    </x:row>
    <x:row r="6152">
      <x:c r="B6152" s="21" t="str">
        <x:v>A06146</x:v>
      </x:c>
      <x:c r="C6152" s="21" t="str">
        <x:v>baseline</x:v>
      </x:c>
      <x:c r="D6152" s="21" t="str">
        <x:v>baseline 1262 planning state</x:v>
      </x:c>
      <x:c r="E6152" s="21" t="n">
        <x:f>IF(AND('Baseline Register'!G1268="0.0.0",'Baseline Register'!I1268="OPEN",'Baseline Register'!J1268="HOLD"),1,0)</x:f>
        <x:v>1</x:v>
      </x:c>
      <x:c r="F6152" s="21" t="n">
        <x:v>1</x:v>
      </x:c>
      <x:c r="G6152" s="23" t="str">
        <x:f>IF(E6152=F6152,"PASS","FAIL")</x:f>
        <x:v>PASS</x:v>
      </x:c>
    </x:row>
    <x:row r="6153">
      <x:c r="B6153" s="21" t="str">
        <x:v>A06147</x:v>
      </x:c>
      <x:c r="C6153" s="21" t="str">
        <x:v>baseline</x:v>
      </x:c>
      <x:c r="D6153" s="21" t="str">
        <x:v>baseline 1263 planning state</x:v>
      </x:c>
      <x:c r="E6153" s="21" t="n">
        <x:f>IF(AND('Baseline Register'!G1269="0.0.0",'Baseline Register'!I1269="OPEN",'Baseline Register'!J1269="HOLD"),1,0)</x:f>
        <x:v>1</x:v>
      </x:c>
      <x:c r="F6153" s="21" t="n">
        <x:v>1</x:v>
      </x:c>
      <x:c r="G6153" s="23" t="str">
        <x:f>IF(E6153=F6153,"PASS","FAIL")</x:f>
        <x:v>PASS</x:v>
      </x:c>
    </x:row>
    <x:row r="6154">
      <x:c r="B6154" s="21" t="str">
        <x:v>A06148</x:v>
      </x:c>
      <x:c r="C6154" s="21" t="str">
        <x:v>baseline</x:v>
      </x:c>
      <x:c r="D6154" s="21" t="str">
        <x:v>baseline 1264 planning state</x:v>
      </x:c>
      <x:c r="E6154" s="21" t="n">
        <x:f>IF(AND('Baseline Register'!G1270="0.0.0",'Baseline Register'!I1270="OPEN",'Baseline Register'!J1270="HOLD"),1,0)</x:f>
        <x:v>1</x:v>
      </x:c>
      <x:c r="F6154" s="21" t="n">
        <x:v>1</x:v>
      </x:c>
      <x:c r="G6154" s="23" t="str">
        <x:f>IF(E6154=F6154,"PASS","FAIL")</x:f>
        <x:v>PASS</x:v>
      </x:c>
    </x:row>
    <x:row r="6155">
      <x:c r="B6155" s="21" t="str">
        <x:v>A06149</x:v>
      </x:c>
      <x:c r="C6155" s="21" t="str">
        <x:v>baseline</x:v>
      </x:c>
      <x:c r="D6155" s="21" t="str">
        <x:v>baseline 1265 planning state</x:v>
      </x:c>
      <x:c r="E6155" s="21" t="n">
        <x:f>IF(AND('Baseline Register'!G1271="0.0.0",'Baseline Register'!I1271="OPEN",'Baseline Register'!J1271="HOLD"),1,0)</x:f>
        <x:v>1</x:v>
      </x:c>
      <x:c r="F6155" s="21" t="n">
        <x:v>1</x:v>
      </x:c>
      <x:c r="G6155" s="23" t="str">
        <x:f>IF(E6155=F6155,"PASS","FAIL")</x:f>
        <x:v>PASS</x:v>
      </x:c>
    </x:row>
    <x:row r="6156">
      <x:c r="B6156" s="21" t="str">
        <x:v>A06150</x:v>
      </x:c>
      <x:c r="C6156" s="21" t="str">
        <x:v>baseline</x:v>
      </x:c>
      <x:c r="D6156" s="21" t="str">
        <x:v>baseline 1266 planning state</x:v>
      </x:c>
      <x:c r="E6156" s="21" t="n">
        <x:f>IF(AND('Baseline Register'!G1272="0.0.0",'Baseline Register'!I1272="OPEN",'Baseline Register'!J1272="HOLD"),1,0)</x:f>
        <x:v>1</x:v>
      </x:c>
      <x:c r="F6156" s="21" t="n">
        <x:v>1</x:v>
      </x:c>
      <x:c r="G6156" s="23" t="str">
        <x:f>IF(E6156=F6156,"PASS","FAIL")</x:f>
        <x:v>PASS</x:v>
      </x:c>
    </x:row>
    <x:row r="6157">
      <x:c r="B6157" s="21" t="str">
        <x:v>A06151</x:v>
      </x:c>
      <x:c r="C6157" s="21" t="str">
        <x:v>baseline</x:v>
      </x:c>
      <x:c r="D6157" s="21" t="str">
        <x:v>baseline 1267 planning state</x:v>
      </x:c>
      <x:c r="E6157" s="21" t="n">
        <x:f>IF(AND('Baseline Register'!G1273="0.0.0",'Baseline Register'!I1273="OPEN",'Baseline Register'!J1273="HOLD"),1,0)</x:f>
        <x:v>1</x:v>
      </x:c>
      <x:c r="F6157" s="21" t="n">
        <x:v>1</x:v>
      </x:c>
      <x:c r="G6157" s="23" t="str">
        <x:f>IF(E6157=F6157,"PASS","FAIL")</x:f>
        <x:v>PASS</x:v>
      </x:c>
    </x:row>
    <x:row r="6158">
      <x:c r="B6158" s="21" t="str">
        <x:v>A06152</x:v>
      </x:c>
      <x:c r="C6158" s="21" t="str">
        <x:v>baseline</x:v>
      </x:c>
      <x:c r="D6158" s="21" t="str">
        <x:v>baseline 1268 planning state</x:v>
      </x:c>
      <x:c r="E6158" s="21" t="n">
        <x:f>IF(AND('Baseline Register'!G1274="0.0.0",'Baseline Register'!I1274="OPEN",'Baseline Register'!J1274="HOLD"),1,0)</x:f>
        <x:v>1</x:v>
      </x:c>
      <x:c r="F6158" s="21" t="n">
        <x:v>1</x:v>
      </x:c>
      <x:c r="G6158" s="23" t="str">
        <x:f>IF(E6158=F6158,"PASS","FAIL")</x:f>
        <x:v>PASS</x:v>
      </x:c>
    </x:row>
    <x:row r="6159">
      <x:c r="B6159" s="21" t="str">
        <x:v>A06153</x:v>
      </x:c>
      <x:c r="C6159" s="21" t="str">
        <x:v>baseline</x:v>
      </x:c>
      <x:c r="D6159" s="21" t="str">
        <x:v>baseline 1269 planning state</x:v>
      </x:c>
      <x:c r="E6159" s="21" t="n">
        <x:f>IF(AND('Baseline Register'!G1275="0.0.0",'Baseline Register'!I1275="OPEN",'Baseline Register'!J1275="HOLD"),1,0)</x:f>
        <x:v>1</x:v>
      </x:c>
      <x:c r="F6159" s="21" t="n">
        <x:v>1</x:v>
      </x:c>
      <x:c r="G6159" s="23" t="str">
        <x:f>IF(E6159=F6159,"PASS","FAIL")</x:f>
        <x:v>PASS</x:v>
      </x:c>
    </x:row>
    <x:row r="6160">
      <x:c r="B6160" s="21" t="str">
        <x:v>A06154</x:v>
      </x:c>
      <x:c r="C6160" s="21" t="str">
        <x:v>baseline</x:v>
      </x:c>
      <x:c r="D6160" s="21" t="str">
        <x:v>baseline 1270 planning state</x:v>
      </x:c>
      <x:c r="E6160" s="21" t="n">
        <x:f>IF(AND('Baseline Register'!G1276="0.0.0",'Baseline Register'!I1276="OPEN",'Baseline Register'!J1276="HOLD"),1,0)</x:f>
        <x:v>1</x:v>
      </x:c>
      <x:c r="F6160" s="21" t="n">
        <x:v>1</x:v>
      </x:c>
      <x:c r="G6160" s="23" t="str">
        <x:f>IF(E6160=F6160,"PASS","FAIL")</x:f>
        <x:v>PASS</x:v>
      </x:c>
    </x:row>
    <x:row r="6161">
      <x:c r="B6161" s="21" t="str">
        <x:v>A06155</x:v>
      </x:c>
      <x:c r="C6161" s="21" t="str">
        <x:v>baseline</x:v>
      </x:c>
      <x:c r="D6161" s="21" t="str">
        <x:v>baseline 1271 planning state</x:v>
      </x:c>
      <x:c r="E6161" s="21" t="n">
        <x:f>IF(AND('Baseline Register'!G1277="0.0.0",'Baseline Register'!I1277="OPEN",'Baseline Register'!J1277="HOLD"),1,0)</x:f>
        <x:v>1</x:v>
      </x:c>
      <x:c r="F6161" s="21" t="n">
        <x:v>1</x:v>
      </x:c>
      <x:c r="G6161" s="23" t="str">
        <x:f>IF(E6161=F6161,"PASS","FAIL")</x:f>
        <x:v>PASS</x:v>
      </x:c>
    </x:row>
    <x:row r="6162">
      <x:c r="B6162" s="21" t="str">
        <x:v>A06156</x:v>
      </x:c>
      <x:c r="C6162" s="21" t="str">
        <x:v>baseline</x:v>
      </x:c>
      <x:c r="D6162" s="21" t="str">
        <x:v>baseline 1272 planning state</x:v>
      </x:c>
      <x:c r="E6162" s="21" t="n">
        <x:f>IF(AND('Baseline Register'!G1278="0.0.0",'Baseline Register'!I1278="OPEN",'Baseline Register'!J1278="HOLD"),1,0)</x:f>
        <x:v>1</x:v>
      </x:c>
      <x:c r="F6162" s="21" t="n">
        <x:v>1</x:v>
      </x:c>
      <x:c r="G6162" s="23" t="str">
        <x:f>IF(E6162=F6162,"PASS","FAIL")</x:f>
        <x:v>PASS</x:v>
      </x:c>
    </x:row>
    <x:row r="6163">
      <x:c r="B6163" s="21" t="str">
        <x:v>A06157</x:v>
      </x:c>
      <x:c r="C6163" s="21" t="str">
        <x:v>baseline</x:v>
      </x:c>
      <x:c r="D6163" s="21" t="str">
        <x:v>baseline 1273 planning state</x:v>
      </x:c>
      <x:c r="E6163" s="21" t="n">
        <x:f>IF(AND('Baseline Register'!G1279="0.0.0",'Baseline Register'!I1279="OPEN",'Baseline Register'!J1279="HOLD"),1,0)</x:f>
        <x:v>1</x:v>
      </x:c>
      <x:c r="F6163" s="21" t="n">
        <x:v>1</x:v>
      </x:c>
      <x:c r="G6163" s="23" t="str">
        <x:f>IF(E6163=F6163,"PASS","FAIL")</x:f>
        <x:v>PASS</x:v>
      </x:c>
    </x:row>
    <x:row r="6164">
      <x:c r="B6164" s="21" t="str">
        <x:v>A06158</x:v>
      </x:c>
      <x:c r="C6164" s="21" t="str">
        <x:v>baseline</x:v>
      </x:c>
      <x:c r="D6164" s="21" t="str">
        <x:v>baseline 1274 planning state</x:v>
      </x:c>
      <x:c r="E6164" s="21" t="n">
        <x:f>IF(AND('Baseline Register'!G1280="0.0.0",'Baseline Register'!I1280="OPEN",'Baseline Register'!J1280="HOLD"),1,0)</x:f>
        <x:v>1</x:v>
      </x:c>
      <x:c r="F6164" s="21" t="n">
        <x:v>1</x:v>
      </x:c>
      <x:c r="G6164" s="23" t="str">
        <x:f>IF(E6164=F6164,"PASS","FAIL")</x:f>
        <x:v>PASS</x:v>
      </x:c>
    </x:row>
    <x:row r="6165">
      <x:c r="B6165" s="21" t="str">
        <x:v>A06159</x:v>
      </x:c>
      <x:c r="C6165" s="21" t="str">
        <x:v>baseline</x:v>
      </x:c>
      <x:c r="D6165" s="21" t="str">
        <x:v>baseline 1275 planning state</x:v>
      </x:c>
      <x:c r="E6165" s="21" t="n">
        <x:f>IF(AND('Baseline Register'!G1281="0.0.0",'Baseline Register'!I1281="OPEN",'Baseline Register'!J1281="HOLD"),1,0)</x:f>
        <x:v>1</x:v>
      </x:c>
      <x:c r="F6165" s="21" t="n">
        <x:v>1</x:v>
      </x:c>
      <x:c r="G6165" s="23" t="str">
        <x:f>IF(E6165=F6165,"PASS","FAIL")</x:f>
        <x:v>PASS</x:v>
      </x:c>
    </x:row>
    <x:row r="6166">
      <x:c r="B6166" s="21" t="str">
        <x:v>A06160</x:v>
      </x:c>
      <x:c r="C6166" s="21" t="str">
        <x:v>baseline</x:v>
      </x:c>
      <x:c r="D6166" s="21" t="str">
        <x:v>baseline 1276 planning state</x:v>
      </x:c>
      <x:c r="E6166" s="21" t="n">
        <x:f>IF(AND('Baseline Register'!G1282="0.0.0",'Baseline Register'!I1282="OPEN",'Baseline Register'!J1282="HOLD"),1,0)</x:f>
        <x:v>1</x:v>
      </x:c>
      <x:c r="F6166" s="21" t="n">
        <x:v>1</x:v>
      </x:c>
      <x:c r="G6166" s="23" t="str">
        <x:f>IF(E6166=F6166,"PASS","FAIL")</x:f>
        <x:v>PASS</x:v>
      </x:c>
    </x:row>
    <x:row r="6167">
      <x:c r="B6167" s="21" t="str">
        <x:v>A06161</x:v>
      </x:c>
      <x:c r="C6167" s="21" t="str">
        <x:v>baseline</x:v>
      </x:c>
      <x:c r="D6167" s="21" t="str">
        <x:v>baseline 1277 planning state</x:v>
      </x:c>
      <x:c r="E6167" s="21" t="n">
        <x:f>IF(AND('Baseline Register'!G1283="0.0.0",'Baseline Register'!I1283="OPEN",'Baseline Register'!J1283="HOLD"),1,0)</x:f>
        <x:v>1</x:v>
      </x:c>
      <x:c r="F6167" s="21" t="n">
        <x:v>1</x:v>
      </x:c>
      <x:c r="G6167" s="23" t="str">
        <x:f>IF(E6167=F6167,"PASS","FAIL")</x:f>
        <x:v>PASS</x:v>
      </x:c>
    </x:row>
    <x:row r="6168">
      <x:c r="B6168" s="21" t="str">
        <x:v>A06162</x:v>
      </x:c>
      <x:c r="C6168" s="21" t="str">
        <x:v>baseline</x:v>
      </x:c>
      <x:c r="D6168" s="21" t="str">
        <x:v>baseline 1278 planning state</x:v>
      </x:c>
      <x:c r="E6168" s="21" t="n">
        <x:f>IF(AND('Baseline Register'!G1284="0.0.0",'Baseline Register'!I1284="OPEN",'Baseline Register'!J1284="HOLD"),1,0)</x:f>
        <x:v>1</x:v>
      </x:c>
      <x:c r="F6168" s="21" t="n">
        <x:v>1</x:v>
      </x:c>
      <x:c r="G6168" s="23" t="str">
        <x:f>IF(E6168=F6168,"PASS","FAIL")</x:f>
        <x:v>PASS</x:v>
      </x:c>
    </x:row>
    <x:row r="6169">
      <x:c r="B6169" s="21" t="str">
        <x:v>A06163</x:v>
      </x:c>
      <x:c r="C6169" s="21" t="str">
        <x:v>baseline</x:v>
      </x:c>
      <x:c r="D6169" s="21" t="str">
        <x:v>baseline 1279 planning state</x:v>
      </x:c>
      <x:c r="E6169" s="21" t="n">
        <x:f>IF(AND('Baseline Register'!G1285="0.0.0",'Baseline Register'!I1285="OPEN",'Baseline Register'!J1285="HOLD"),1,0)</x:f>
        <x:v>1</x:v>
      </x:c>
      <x:c r="F6169" s="21" t="n">
        <x:v>1</x:v>
      </x:c>
      <x:c r="G6169" s="23" t="str">
        <x:f>IF(E6169=F6169,"PASS","FAIL")</x:f>
        <x:v>PASS</x:v>
      </x:c>
    </x:row>
    <x:row r="6170">
      <x:c r="B6170" s="21" t="str">
        <x:v>A06164</x:v>
      </x:c>
      <x:c r="C6170" s="21" t="str">
        <x:v>baseline</x:v>
      </x:c>
      <x:c r="D6170" s="21" t="str">
        <x:v>baseline 1280 planning state</x:v>
      </x:c>
      <x:c r="E6170" s="21" t="n">
        <x:f>IF(AND('Baseline Register'!G1286="0.0.0",'Baseline Register'!I1286="OPEN",'Baseline Register'!J1286="HOLD"),1,0)</x:f>
        <x:v>1</x:v>
      </x:c>
      <x:c r="F6170" s="21" t="n">
        <x:v>1</x:v>
      </x:c>
      <x:c r="G6170" s="23" t="str">
        <x:f>IF(E6170=F6170,"PASS","FAIL")</x:f>
        <x:v>PASS</x:v>
      </x:c>
    </x:row>
    <x:row r="6171">
      <x:c r="B6171" s="21" t="str">
        <x:v>A06165</x:v>
      </x:c>
      <x:c r="C6171" s="21" t="str">
        <x:v>baseline</x:v>
      </x:c>
      <x:c r="D6171" s="21" t="str">
        <x:v>baseline 1281 planning state</x:v>
      </x:c>
      <x:c r="E6171" s="21" t="n">
        <x:f>IF(AND('Baseline Register'!G1287="0.0.0",'Baseline Register'!I1287="OPEN",'Baseline Register'!J1287="HOLD"),1,0)</x:f>
        <x:v>1</x:v>
      </x:c>
      <x:c r="F6171" s="21" t="n">
        <x:v>1</x:v>
      </x:c>
      <x:c r="G6171" s="23" t="str">
        <x:f>IF(E6171=F6171,"PASS","FAIL")</x:f>
        <x:v>PASS</x:v>
      </x:c>
    </x:row>
    <x:row r="6172">
      <x:c r="B6172" s="21" t="str">
        <x:v>A06166</x:v>
      </x:c>
      <x:c r="C6172" s="21" t="str">
        <x:v>baseline</x:v>
      </x:c>
      <x:c r="D6172" s="21" t="str">
        <x:v>baseline 1282 planning state</x:v>
      </x:c>
      <x:c r="E6172" s="21" t="n">
        <x:f>IF(AND('Baseline Register'!G1288="0.0.0",'Baseline Register'!I1288="OPEN",'Baseline Register'!J1288="HOLD"),1,0)</x:f>
        <x:v>1</x:v>
      </x:c>
      <x:c r="F6172" s="21" t="n">
        <x:v>1</x:v>
      </x:c>
      <x:c r="G6172" s="23" t="str">
        <x:f>IF(E6172=F6172,"PASS","FAIL")</x:f>
        <x:v>PASS</x:v>
      </x:c>
    </x:row>
    <x:row r="6173">
      <x:c r="B6173" s="21" t="str">
        <x:v>A06167</x:v>
      </x:c>
      <x:c r="C6173" s="21" t="str">
        <x:v>baseline</x:v>
      </x:c>
      <x:c r="D6173" s="21" t="str">
        <x:v>baseline 1283 planning state</x:v>
      </x:c>
      <x:c r="E6173" s="21" t="n">
        <x:f>IF(AND('Baseline Register'!G1289="0.0.0",'Baseline Register'!I1289="OPEN",'Baseline Register'!J1289="HOLD"),1,0)</x:f>
        <x:v>1</x:v>
      </x:c>
      <x:c r="F6173" s="21" t="n">
        <x:v>1</x:v>
      </x:c>
      <x:c r="G6173" s="23" t="str">
        <x:f>IF(E6173=F6173,"PASS","FAIL")</x:f>
        <x:v>PASS</x:v>
      </x:c>
    </x:row>
    <x:row r="6174">
      <x:c r="B6174" s="21" t="str">
        <x:v>A06168</x:v>
      </x:c>
      <x:c r="C6174" s="21" t="str">
        <x:v>baseline</x:v>
      </x:c>
      <x:c r="D6174" s="21" t="str">
        <x:v>baseline 1284 planning state</x:v>
      </x:c>
      <x:c r="E6174" s="21" t="n">
        <x:f>IF(AND('Baseline Register'!G1290="0.0.0",'Baseline Register'!I1290="OPEN",'Baseline Register'!J1290="HOLD"),1,0)</x:f>
        <x:v>1</x:v>
      </x:c>
      <x:c r="F6174" s="21" t="n">
        <x:v>1</x:v>
      </x:c>
      <x:c r="G6174" s="23" t="str">
        <x:f>IF(E6174=F6174,"PASS","FAIL")</x:f>
        <x:v>PASS</x:v>
      </x:c>
    </x:row>
    <x:row r="6175">
      <x:c r="B6175" s="21" t="str">
        <x:v>A06169</x:v>
      </x:c>
      <x:c r="C6175" s="21" t="str">
        <x:v>baseline</x:v>
      </x:c>
      <x:c r="D6175" s="21" t="str">
        <x:v>baseline 1285 planning state</x:v>
      </x:c>
      <x:c r="E6175" s="21" t="n">
        <x:f>IF(AND('Baseline Register'!G1291="0.0.0",'Baseline Register'!I1291="OPEN",'Baseline Register'!J1291="HOLD"),1,0)</x:f>
        <x:v>1</x:v>
      </x:c>
      <x:c r="F6175" s="21" t="n">
        <x:v>1</x:v>
      </x:c>
      <x:c r="G6175" s="23" t="str">
        <x:f>IF(E6175=F6175,"PASS","FAIL")</x:f>
        <x:v>PASS</x:v>
      </x:c>
    </x:row>
    <x:row r="6176">
      <x:c r="B6176" s="21" t="str">
        <x:v>A06170</x:v>
      </x:c>
      <x:c r="C6176" s="21" t="str">
        <x:v>baseline</x:v>
      </x:c>
      <x:c r="D6176" s="21" t="str">
        <x:v>baseline 1286 planning state</x:v>
      </x:c>
      <x:c r="E6176" s="21" t="n">
        <x:f>IF(AND('Baseline Register'!G1292="0.0.0",'Baseline Register'!I1292="OPEN",'Baseline Register'!J1292="HOLD"),1,0)</x:f>
        <x:v>1</x:v>
      </x:c>
      <x:c r="F6176" s="21" t="n">
        <x:v>1</x:v>
      </x:c>
      <x:c r="G6176" s="23" t="str">
        <x:f>IF(E6176=F6176,"PASS","FAIL")</x:f>
        <x:v>PASS</x:v>
      </x:c>
    </x:row>
    <x:row r="6177">
      <x:c r="B6177" s="21" t="str">
        <x:v>A06171</x:v>
      </x:c>
      <x:c r="C6177" s="21" t="str">
        <x:v>baseline</x:v>
      </x:c>
      <x:c r="D6177" s="21" t="str">
        <x:v>baseline 1287 planning state</x:v>
      </x:c>
      <x:c r="E6177" s="21" t="n">
        <x:f>IF(AND('Baseline Register'!G1293="0.0.0",'Baseline Register'!I1293="OPEN",'Baseline Register'!J1293="HOLD"),1,0)</x:f>
        <x:v>1</x:v>
      </x:c>
      <x:c r="F6177" s="21" t="n">
        <x:v>1</x:v>
      </x:c>
      <x:c r="G6177" s="23" t="str">
        <x:f>IF(E6177=F6177,"PASS","FAIL")</x:f>
        <x:v>PASS</x:v>
      </x:c>
    </x:row>
    <x:row r="6178">
      <x:c r="B6178" s="21" t="str">
        <x:v>A06172</x:v>
      </x:c>
      <x:c r="C6178" s="21" t="str">
        <x:v>baseline</x:v>
      </x:c>
      <x:c r="D6178" s="21" t="str">
        <x:v>baseline 1288 planning state</x:v>
      </x:c>
      <x:c r="E6178" s="21" t="n">
        <x:f>IF(AND('Baseline Register'!G1294="0.0.0",'Baseline Register'!I1294="OPEN",'Baseline Register'!J1294="HOLD"),1,0)</x:f>
        <x:v>1</x:v>
      </x:c>
      <x:c r="F6178" s="21" t="n">
        <x:v>1</x:v>
      </x:c>
      <x:c r="G6178" s="23" t="str">
        <x:f>IF(E6178=F6178,"PASS","FAIL")</x:f>
        <x:v>PASS</x:v>
      </x:c>
    </x:row>
    <x:row r="6179">
      <x:c r="B6179" s="21" t="str">
        <x:v>A06173</x:v>
      </x:c>
      <x:c r="C6179" s="21" t="str">
        <x:v>baseline</x:v>
      </x:c>
      <x:c r="D6179" s="21" t="str">
        <x:v>baseline 1289 planning state</x:v>
      </x:c>
      <x:c r="E6179" s="21" t="n">
        <x:f>IF(AND('Baseline Register'!G1295="0.0.0",'Baseline Register'!I1295="OPEN",'Baseline Register'!J1295="HOLD"),1,0)</x:f>
        <x:v>1</x:v>
      </x:c>
      <x:c r="F6179" s="21" t="n">
        <x:v>1</x:v>
      </x:c>
      <x:c r="G6179" s="23" t="str">
        <x:f>IF(E6179=F6179,"PASS","FAIL")</x:f>
        <x:v>PASS</x:v>
      </x:c>
    </x:row>
    <x:row r="6180">
      <x:c r="B6180" s="21" t="str">
        <x:v>A06174</x:v>
      </x:c>
      <x:c r="C6180" s="21" t="str">
        <x:v>baseline</x:v>
      </x:c>
      <x:c r="D6180" s="21" t="str">
        <x:v>baseline 1290 planning state</x:v>
      </x:c>
      <x:c r="E6180" s="21" t="n">
        <x:f>IF(AND('Baseline Register'!G1296="0.0.0",'Baseline Register'!I1296="OPEN",'Baseline Register'!J1296="HOLD"),1,0)</x:f>
        <x:v>1</x:v>
      </x:c>
      <x:c r="F6180" s="21" t="n">
        <x:v>1</x:v>
      </x:c>
      <x:c r="G6180" s="23" t="str">
        <x:f>IF(E6180=F6180,"PASS","FAIL")</x:f>
        <x:v>PASS</x:v>
      </x:c>
    </x:row>
    <x:row r="6181">
      <x:c r="B6181" s="21" t="str">
        <x:v>A06175</x:v>
      </x:c>
      <x:c r="C6181" s="21" t="str">
        <x:v>baseline</x:v>
      </x:c>
      <x:c r="D6181" s="21" t="str">
        <x:v>baseline 1291 planning state</x:v>
      </x:c>
      <x:c r="E6181" s="21" t="n">
        <x:f>IF(AND('Baseline Register'!G1297="0.0.0",'Baseline Register'!I1297="OPEN",'Baseline Register'!J1297="HOLD"),1,0)</x:f>
        <x:v>1</x:v>
      </x:c>
      <x:c r="F6181" s="21" t="n">
        <x:v>1</x:v>
      </x:c>
      <x:c r="G6181" s="23" t="str">
        <x:f>IF(E6181=F6181,"PASS","FAIL")</x:f>
        <x:v>PASS</x:v>
      </x:c>
    </x:row>
    <x:row r="6182">
      <x:c r="B6182" s="21" t="str">
        <x:v>A06176</x:v>
      </x:c>
      <x:c r="C6182" s="21" t="str">
        <x:v>baseline</x:v>
      </x:c>
      <x:c r="D6182" s="21" t="str">
        <x:v>baseline 1292 planning state</x:v>
      </x:c>
      <x:c r="E6182" s="21" t="n">
        <x:f>IF(AND('Baseline Register'!G1298="0.0.0",'Baseline Register'!I1298="OPEN",'Baseline Register'!J1298="HOLD"),1,0)</x:f>
        <x:v>1</x:v>
      </x:c>
      <x:c r="F6182" s="21" t="n">
        <x:v>1</x:v>
      </x:c>
      <x:c r="G6182" s="23" t="str">
        <x:f>IF(E6182=F6182,"PASS","FAIL")</x:f>
        <x:v>PASS</x:v>
      </x:c>
    </x:row>
    <x:row r="6183">
      <x:c r="B6183" s="21" t="str">
        <x:v>A06177</x:v>
      </x:c>
      <x:c r="C6183" s="21" t="str">
        <x:v>baseline</x:v>
      </x:c>
      <x:c r="D6183" s="21" t="str">
        <x:v>baseline 1293 planning state</x:v>
      </x:c>
      <x:c r="E6183" s="21" t="n">
        <x:f>IF(AND('Baseline Register'!G1299="0.0.0",'Baseline Register'!I1299="OPEN",'Baseline Register'!J1299="HOLD"),1,0)</x:f>
        <x:v>1</x:v>
      </x:c>
      <x:c r="F6183" s="21" t="n">
        <x:v>1</x:v>
      </x:c>
      <x:c r="G6183" s="23" t="str">
        <x:f>IF(E6183=F6183,"PASS","FAIL")</x:f>
        <x:v>PASS</x:v>
      </x:c>
    </x:row>
    <x:row r="6184">
      <x:c r="B6184" s="21" t="str">
        <x:v>A06178</x:v>
      </x:c>
      <x:c r="C6184" s="21" t="str">
        <x:v>baseline</x:v>
      </x:c>
      <x:c r="D6184" s="21" t="str">
        <x:v>baseline 1294 planning state</x:v>
      </x:c>
      <x:c r="E6184" s="21" t="n">
        <x:f>IF(AND('Baseline Register'!G1300="0.0.0",'Baseline Register'!I1300="OPEN",'Baseline Register'!J1300="HOLD"),1,0)</x:f>
        <x:v>1</x:v>
      </x:c>
      <x:c r="F6184" s="21" t="n">
        <x:v>1</x:v>
      </x:c>
      <x:c r="G6184" s="23" t="str">
        <x:f>IF(E6184=F6184,"PASS","FAIL")</x:f>
        <x:v>PASS</x:v>
      </x:c>
    </x:row>
    <x:row r="6185">
      <x:c r="B6185" s="21" t="str">
        <x:v>A06179</x:v>
      </x:c>
      <x:c r="C6185" s="21" t="str">
        <x:v>baseline</x:v>
      </x:c>
      <x:c r="D6185" s="21" t="str">
        <x:v>baseline 1295 planning state</x:v>
      </x:c>
      <x:c r="E6185" s="21" t="n">
        <x:f>IF(AND('Baseline Register'!G1301="0.0.0",'Baseline Register'!I1301="OPEN",'Baseline Register'!J1301="HOLD"),1,0)</x:f>
        <x:v>1</x:v>
      </x:c>
      <x:c r="F6185" s="21" t="n">
        <x:v>1</x:v>
      </x:c>
      <x:c r="G6185" s="23" t="str">
        <x:f>IF(E6185=F6185,"PASS","FAIL")</x:f>
        <x:v>PASS</x:v>
      </x:c>
    </x:row>
    <x:row r="6186">
      <x:c r="B6186" s="21" t="str">
        <x:v>A06180</x:v>
      </x:c>
      <x:c r="C6186" s="21" t="str">
        <x:v>baseline</x:v>
      </x:c>
      <x:c r="D6186" s="21" t="str">
        <x:v>baseline 1296 planning state</x:v>
      </x:c>
      <x:c r="E6186" s="21" t="n">
        <x:f>IF(AND('Baseline Register'!G1302="0.0.0",'Baseline Register'!I1302="OPEN",'Baseline Register'!J1302="HOLD"),1,0)</x:f>
        <x:v>1</x:v>
      </x:c>
      <x:c r="F6186" s="21" t="n">
        <x:v>1</x:v>
      </x:c>
      <x:c r="G6186" s="23" t="str">
        <x:f>IF(E6186=F6186,"PASS","FAIL")</x:f>
        <x:v>PASS</x:v>
      </x:c>
    </x:row>
    <x:row r="6187">
      <x:c r="B6187" s="21" t="str">
        <x:v>A06181</x:v>
      </x:c>
      <x:c r="C6187" s="21" t="str">
        <x:v>baseline</x:v>
      </x:c>
      <x:c r="D6187" s="21" t="str">
        <x:v>baseline 1297 planning state</x:v>
      </x:c>
      <x:c r="E6187" s="21" t="n">
        <x:f>IF(AND('Baseline Register'!G1303="0.0.0",'Baseline Register'!I1303="OPEN",'Baseline Register'!J1303="HOLD"),1,0)</x:f>
        <x:v>1</x:v>
      </x:c>
      <x:c r="F6187" s="21" t="n">
        <x:v>1</x:v>
      </x:c>
      <x:c r="G6187" s="23" t="str">
        <x:f>IF(E6187=F6187,"PASS","FAIL")</x:f>
        <x:v>PASS</x:v>
      </x:c>
    </x:row>
    <x:row r="6188">
      <x:c r="B6188" s="21" t="str">
        <x:v>A06182</x:v>
      </x:c>
      <x:c r="C6188" s="21" t="str">
        <x:v>baseline</x:v>
      </x:c>
      <x:c r="D6188" s="21" t="str">
        <x:v>baseline 1298 planning state</x:v>
      </x:c>
      <x:c r="E6188" s="21" t="n">
        <x:f>IF(AND('Baseline Register'!G1304="0.0.0",'Baseline Register'!I1304="OPEN",'Baseline Register'!J1304="HOLD"),1,0)</x:f>
        <x:v>1</x:v>
      </x:c>
      <x:c r="F6188" s="21" t="n">
        <x:v>1</x:v>
      </x:c>
      <x:c r="G6188" s="23" t="str">
        <x:f>IF(E6188=F6188,"PASS","FAIL")</x:f>
        <x:v>PASS</x:v>
      </x:c>
    </x:row>
    <x:row r="6189">
      <x:c r="B6189" s="21" t="str">
        <x:v>A06183</x:v>
      </x:c>
      <x:c r="C6189" s="21" t="str">
        <x:v>baseline</x:v>
      </x:c>
      <x:c r="D6189" s="21" t="str">
        <x:v>baseline 1299 planning state</x:v>
      </x:c>
      <x:c r="E6189" s="21" t="n">
        <x:f>IF(AND('Baseline Register'!G1305="0.0.0",'Baseline Register'!I1305="OPEN",'Baseline Register'!J1305="HOLD"),1,0)</x:f>
        <x:v>1</x:v>
      </x:c>
      <x:c r="F6189" s="21" t="n">
        <x:v>1</x:v>
      </x:c>
      <x:c r="G6189" s="23" t="str">
        <x:f>IF(E6189=F6189,"PASS","FAIL")</x:f>
        <x:v>PASS</x:v>
      </x:c>
    </x:row>
    <x:row r="6190">
      <x:c r="B6190" s="21" t="str">
        <x:v>A06184</x:v>
      </x:c>
      <x:c r="C6190" s="21" t="str">
        <x:v>baseline</x:v>
      </x:c>
      <x:c r="D6190" s="21" t="str">
        <x:v>baseline 1300 planning state</x:v>
      </x:c>
      <x:c r="E6190" s="21" t="n">
        <x:f>IF(AND('Baseline Register'!G1306="0.0.0",'Baseline Register'!I1306="OPEN",'Baseline Register'!J1306="HOLD"),1,0)</x:f>
        <x:v>1</x:v>
      </x:c>
      <x:c r="F6190" s="21" t="n">
        <x:v>1</x:v>
      </x:c>
      <x:c r="G6190" s="23" t="str">
        <x:f>IF(E6190=F6190,"PASS","FAIL")</x:f>
        <x:v>PASS</x:v>
      </x:c>
    </x:row>
    <x:row r="6191">
      <x:c r="B6191" s="21" t="str">
        <x:v>A06185</x:v>
      </x:c>
      <x:c r="C6191" s="21" t="str">
        <x:v>baseline</x:v>
      </x:c>
      <x:c r="D6191" s="21" t="str">
        <x:v>baseline 1301 planning state</x:v>
      </x:c>
      <x:c r="E6191" s="21" t="n">
        <x:f>IF(AND('Baseline Register'!G1307="0.0.0",'Baseline Register'!I1307="OPEN",'Baseline Register'!J1307="HOLD"),1,0)</x:f>
        <x:v>1</x:v>
      </x:c>
      <x:c r="F6191" s="21" t="n">
        <x:v>1</x:v>
      </x:c>
      <x:c r="G6191" s="23" t="str">
        <x:f>IF(E6191=F6191,"PASS","FAIL")</x:f>
        <x:v>PASS</x:v>
      </x:c>
    </x:row>
    <x:row r="6192">
      <x:c r="B6192" s="21" t="str">
        <x:v>A06186</x:v>
      </x:c>
      <x:c r="C6192" s="21" t="str">
        <x:v>baseline</x:v>
      </x:c>
      <x:c r="D6192" s="21" t="str">
        <x:v>baseline 1302 planning state</x:v>
      </x:c>
      <x:c r="E6192" s="21" t="n">
        <x:f>IF(AND('Baseline Register'!G1308="0.0.0",'Baseline Register'!I1308="OPEN",'Baseline Register'!J1308="HOLD"),1,0)</x:f>
        <x:v>1</x:v>
      </x:c>
      <x:c r="F6192" s="21" t="n">
        <x:v>1</x:v>
      </x:c>
      <x:c r="G6192" s="23" t="str">
        <x:f>IF(E6192=F6192,"PASS","FAIL")</x:f>
        <x:v>PASS</x:v>
      </x:c>
    </x:row>
    <x:row r="6193">
      <x:c r="B6193" s="21" t="str">
        <x:v>A06187</x:v>
      </x:c>
      <x:c r="C6193" s="21" t="str">
        <x:v>baseline</x:v>
      </x:c>
      <x:c r="D6193" s="21" t="str">
        <x:v>baseline 1303 planning state</x:v>
      </x:c>
      <x:c r="E6193" s="21" t="n">
        <x:f>IF(AND('Baseline Register'!G1309="0.0.0",'Baseline Register'!I1309="OPEN",'Baseline Register'!J1309="HOLD"),1,0)</x:f>
        <x:v>1</x:v>
      </x:c>
      <x:c r="F6193" s="21" t="n">
        <x:v>1</x:v>
      </x:c>
      <x:c r="G6193" s="23" t="str">
        <x:f>IF(E6193=F6193,"PASS","FAIL")</x:f>
        <x:v>PASS</x:v>
      </x:c>
    </x:row>
    <x:row r="6194">
      <x:c r="B6194" s="21" t="str">
        <x:v>A06188</x:v>
      </x:c>
      <x:c r="C6194" s="21" t="str">
        <x:v>baseline</x:v>
      </x:c>
      <x:c r="D6194" s="21" t="str">
        <x:v>baseline 1304 planning state</x:v>
      </x:c>
      <x:c r="E6194" s="21" t="n">
        <x:f>IF(AND('Baseline Register'!G1310="0.0.0",'Baseline Register'!I1310="OPEN",'Baseline Register'!J1310="HOLD"),1,0)</x:f>
        <x:v>1</x:v>
      </x:c>
      <x:c r="F6194" s="21" t="n">
        <x:v>1</x:v>
      </x:c>
      <x:c r="G6194" s="23" t="str">
        <x:f>IF(E6194=F6194,"PASS","FAIL")</x:f>
        <x:v>PASS</x:v>
      </x:c>
    </x:row>
    <x:row r="6195">
      <x:c r="B6195" s="21" t="str">
        <x:v>A06189</x:v>
      </x:c>
      <x:c r="C6195" s="21" t="str">
        <x:v>baseline</x:v>
      </x:c>
      <x:c r="D6195" s="21" t="str">
        <x:v>baseline 1305 planning state</x:v>
      </x:c>
      <x:c r="E6195" s="21" t="n">
        <x:f>IF(AND('Baseline Register'!G1311="0.0.0",'Baseline Register'!I1311="OPEN",'Baseline Register'!J1311="HOLD"),1,0)</x:f>
        <x:v>1</x:v>
      </x:c>
      <x:c r="F6195" s="21" t="n">
        <x:v>1</x:v>
      </x:c>
      <x:c r="G6195" s="23" t="str">
        <x:f>IF(E6195=F6195,"PASS","FAIL")</x:f>
        <x:v>PASS</x:v>
      </x:c>
    </x:row>
    <x:row r="6196">
      <x:c r="B6196" s="21" t="str">
        <x:v>A06190</x:v>
      </x:c>
      <x:c r="C6196" s="21" t="str">
        <x:v>baseline</x:v>
      </x:c>
      <x:c r="D6196" s="21" t="str">
        <x:v>baseline 1306 planning state</x:v>
      </x:c>
      <x:c r="E6196" s="21" t="n">
        <x:f>IF(AND('Baseline Register'!G1312="0.0.0",'Baseline Register'!I1312="OPEN",'Baseline Register'!J1312="HOLD"),1,0)</x:f>
        <x:v>1</x:v>
      </x:c>
      <x:c r="F6196" s="21" t="n">
        <x:v>1</x:v>
      </x:c>
      <x:c r="G6196" s="23" t="str">
        <x:f>IF(E6196=F6196,"PASS","FAIL")</x:f>
        <x:v>PASS</x:v>
      </x:c>
    </x:row>
    <x:row r="6197">
      <x:c r="B6197" s="21" t="str">
        <x:v>A06191</x:v>
      </x:c>
      <x:c r="C6197" s="21" t="str">
        <x:v>baseline</x:v>
      </x:c>
      <x:c r="D6197" s="21" t="str">
        <x:v>baseline 1307 planning state</x:v>
      </x:c>
      <x:c r="E6197" s="21" t="n">
        <x:f>IF(AND('Baseline Register'!G1313="0.0.0",'Baseline Register'!I1313="OPEN",'Baseline Register'!J1313="HOLD"),1,0)</x:f>
        <x:v>1</x:v>
      </x:c>
      <x:c r="F6197" s="21" t="n">
        <x:v>1</x:v>
      </x:c>
      <x:c r="G6197" s="23" t="str">
        <x:f>IF(E6197=F6197,"PASS","FAIL")</x:f>
        <x:v>PASS</x:v>
      </x:c>
    </x:row>
    <x:row r="6198">
      <x:c r="B6198" s="21" t="str">
        <x:v>A06192</x:v>
      </x:c>
      <x:c r="C6198" s="21" t="str">
        <x:v>baseline</x:v>
      </x:c>
      <x:c r="D6198" s="21" t="str">
        <x:v>baseline 1308 planning state</x:v>
      </x:c>
      <x:c r="E6198" s="21" t="n">
        <x:f>IF(AND('Baseline Register'!G1314="0.0.0",'Baseline Register'!I1314="OPEN",'Baseline Register'!J1314="HOLD"),1,0)</x:f>
        <x:v>1</x:v>
      </x:c>
      <x:c r="F6198" s="21" t="n">
        <x:v>1</x:v>
      </x:c>
      <x:c r="G6198" s="23" t="str">
        <x:f>IF(E6198=F6198,"PASS","FAIL")</x:f>
        <x:v>PASS</x:v>
      </x:c>
    </x:row>
    <x:row r="6199">
      <x:c r="B6199" s="21" t="str">
        <x:v>A06193</x:v>
      </x:c>
      <x:c r="C6199" s="21" t="str">
        <x:v>baseline</x:v>
      </x:c>
      <x:c r="D6199" s="21" t="str">
        <x:v>baseline 1309 planning state</x:v>
      </x:c>
      <x:c r="E6199" s="21" t="n">
        <x:f>IF(AND('Baseline Register'!G1315="0.0.0",'Baseline Register'!I1315="OPEN",'Baseline Register'!J1315="HOLD"),1,0)</x:f>
        <x:v>1</x:v>
      </x:c>
      <x:c r="F6199" s="21" t="n">
        <x:v>1</x:v>
      </x:c>
      <x:c r="G6199" s="23" t="str">
        <x:f>IF(E6199=F6199,"PASS","FAIL")</x:f>
        <x:v>PASS</x:v>
      </x:c>
    </x:row>
    <x:row r="6200">
      <x:c r="B6200" s="21" t="str">
        <x:v>A06194</x:v>
      </x:c>
      <x:c r="C6200" s="21" t="str">
        <x:v>baseline</x:v>
      </x:c>
      <x:c r="D6200" s="21" t="str">
        <x:v>baseline 1310 planning state</x:v>
      </x:c>
      <x:c r="E6200" s="21" t="n">
        <x:f>IF(AND('Baseline Register'!G1316="0.0.0",'Baseline Register'!I1316="OPEN",'Baseline Register'!J1316="HOLD"),1,0)</x:f>
        <x:v>1</x:v>
      </x:c>
      <x:c r="F6200" s="21" t="n">
        <x:v>1</x:v>
      </x:c>
      <x:c r="G6200" s="23" t="str">
        <x:f>IF(E6200=F6200,"PASS","FAIL")</x:f>
        <x:v>PASS</x:v>
      </x:c>
    </x:row>
    <x:row r="6201">
      <x:c r="B6201" s="21" t="str">
        <x:v>A06195</x:v>
      </x:c>
      <x:c r="C6201" s="21" t="str">
        <x:v>baseline</x:v>
      </x:c>
      <x:c r="D6201" s="21" t="str">
        <x:v>baseline 1311 planning state</x:v>
      </x:c>
      <x:c r="E6201" s="21" t="n">
        <x:f>IF(AND('Baseline Register'!G1317="0.0.0",'Baseline Register'!I1317="OPEN",'Baseline Register'!J1317="HOLD"),1,0)</x:f>
        <x:v>1</x:v>
      </x:c>
      <x:c r="F6201" s="21" t="n">
        <x:v>1</x:v>
      </x:c>
      <x:c r="G6201" s="23" t="str">
        <x:f>IF(E6201=F6201,"PASS","FAIL")</x:f>
        <x:v>PASS</x:v>
      </x:c>
    </x:row>
    <x:row r="6202">
      <x:c r="B6202" s="21" t="str">
        <x:v>A06196</x:v>
      </x:c>
      <x:c r="C6202" s="21" t="str">
        <x:v>baseline</x:v>
      </x:c>
      <x:c r="D6202" s="21" t="str">
        <x:v>baseline 1312 planning state</x:v>
      </x:c>
      <x:c r="E6202" s="21" t="n">
        <x:f>IF(AND('Baseline Register'!G1318="0.0.0",'Baseline Register'!I1318="OPEN",'Baseline Register'!J1318="HOLD"),1,0)</x:f>
        <x:v>1</x:v>
      </x:c>
      <x:c r="F6202" s="21" t="n">
        <x:v>1</x:v>
      </x:c>
      <x:c r="G6202" s="23" t="str">
        <x:f>IF(E6202=F6202,"PASS","FAIL")</x:f>
        <x:v>PASS</x:v>
      </x:c>
    </x:row>
    <x:row r="6203">
      <x:c r="B6203" s="21" t="str">
        <x:v>A06197</x:v>
      </x:c>
      <x:c r="C6203" s="21" t="str">
        <x:v>baseline</x:v>
      </x:c>
      <x:c r="D6203" s="21" t="str">
        <x:v>baseline 1313 planning state</x:v>
      </x:c>
      <x:c r="E6203" s="21" t="n">
        <x:f>IF(AND('Baseline Register'!G1319="0.0.0",'Baseline Register'!I1319="OPEN",'Baseline Register'!J1319="HOLD"),1,0)</x:f>
        <x:v>1</x:v>
      </x:c>
      <x:c r="F6203" s="21" t="n">
        <x:v>1</x:v>
      </x:c>
      <x:c r="G6203" s="23" t="str">
        <x:f>IF(E6203=F6203,"PASS","FAIL")</x:f>
        <x:v>PASS</x:v>
      </x:c>
    </x:row>
    <x:row r="6204">
      <x:c r="B6204" s="21" t="str">
        <x:v>A06198</x:v>
      </x:c>
      <x:c r="C6204" s="21" t="str">
        <x:v>baseline</x:v>
      </x:c>
      <x:c r="D6204" s="21" t="str">
        <x:v>baseline 1314 planning state</x:v>
      </x:c>
      <x:c r="E6204" s="21" t="n">
        <x:f>IF(AND('Baseline Register'!G1320="0.0.0",'Baseline Register'!I1320="OPEN",'Baseline Register'!J1320="HOLD"),1,0)</x:f>
        <x:v>1</x:v>
      </x:c>
      <x:c r="F6204" s="21" t="n">
        <x:v>1</x:v>
      </x:c>
      <x:c r="G6204" s="23" t="str">
        <x:f>IF(E6204=F6204,"PASS","FAIL")</x:f>
        <x:v>PASS</x:v>
      </x:c>
    </x:row>
    <x:row r="6205">
      <x:c r="B6205" s="21" t="str">
        <x:v>A06199</x:v>
      </x:c>
      <x:c r="C6205" s="21" t="str">
        <x:v>baseline</x:v>
      </x:c>
      <x:c r="D6205" s="21" t="str">
        <x:v>baseline 1315 planning state</x:v>
      </x:c>
      <x:c r="E6205" s="21" t="n">
        <x:f>IF(AND('Baseline Register'!G1321="0.0.0",'Baseline Register'!I1321="OPEN",'Baseline Register'!J1321="HOLD"),1,0)</x:f>
        <x:v>1</x:v>
      </x:c>
      <x:c r="F6205" s="21" t="n">
        <x:v>1</x:v>
      </x:c>
      <x:c r="G6205" s="23" t="str">
        <x:f>IF(E6205=F6205,"PASS","FAIL")</x:f>
        <x:v>PASS</x:v>
      </x:c>
    </x:row>
    <x:row r="6206">
      <x:c r="B6206" s="21" t="str">
        <x:v>A06200</x:v>
      </x:c>
      <x:c r="C6206" s="21" t="str">
        <x:v>baseline</x:v>
      </x:c>
      <x:c r="D6206" s="21" t="str">
        <x:v>baseline 1316 planning state</x:v>
      </x:c>
      <x:c r="E6206" s="21" t="n">
        <x:f>IF(AND('Baseline Register'!G1322="0.0.0",'Baseline Register'!I1322="OPEN",'Baseline Register'!J1322="HOLD"),1,0)</x:f>
        <x:v>1</x:v>
      </x:c>
      <x:c r="F6206" s="21" t="n">
        <x:v>1</x:v>
      </x:c>
      <x:c r="G6206" s="23" t="str">
        <x:f>IF(E6206=F6206,"PASS","FAIL")</x:f>
        <x:v>PASS</x:v>
      </x:c>
    </x:row>
    <x:row r="6207">
      <x:c r="B6207" s="21" t="str">
        <x:v>A06201</x:v>
      </x:c>
      <x:c r="C6207" s="21" t="str">
        <x:v>baseline</x:v>
      </x:c>
      <x:c r="D6207" s="21" t="str">
        <x:v>baseline 1317 planning state</x:v>
      </x:c>
      <x:c r="E6207" s="21" t="n">
        <x:f>IF(AND('Baseline Register'!G1323="0.0.0",'Baseline Register'!I1323="OPEN",'Baseline Register'!J1323="HOLD"),1,0)</x:f>
        <x:v>1</x:v>
      </x:c>
      <x:c r="F6207" s="21" t="n">
        <x:v>1</x:v>
      </x:c>
      <x:c r="G6207" s="23" t="str">
        <x:f>IF(E6207=F6207,"PASS","FAIL")</x:f>
        <x:v>PASS</x:v>
      </x:c>
    </x:row>
    <x:row r="6208">
      <x:c r="B6208" s="21" t="str">
        <x:v>A06202</x:v>
      </x:c>
      <x:c r="C6208" s="21" t="str">
        <x:v>baseline</x:v>
      </x:c>
      <x:c r="D6208" s="21" t="str">
        <x:v>baseline 1318 planning state</x:v>
      </x:c>
      <x:c r="E6208" s="21" t="n">
        <x:f>IF(AND('Baseline Register'!G1324="0.0.0",'Baseline Register'!I1324="OPEN",'Baseline Register'!J1324="HOLD"),1,0)</x:f>
        <x:v>1</x:v>
      </x:c>
      <x:c r="F6208" s="21" t="n">
        <x:v>1</x:v>
      </x:c>
      <x:c r="G6208" s="23" t="str">
        <x:f>IF(E6208=F6208,"PASS","FAIL")</x:f>
        <x:v>PASS</x:v>
      </x:c>
    </x:row>
    <x:row r="6209">
      <x:c r="B6209" s="21" t="str">
        <x:v>A06203</x:v>
      </x:c>
      <x:c r="C6209" s="21" t="str">
        <x:v>baseline</x:v>
      </x:c>
      <x:c r="D6209" s="21" t="str">
        <x:v>baseline 1319 planning state</x:v>
      </x:c>
      <x:c r="E6209" s="21" t="n">
        <x:f>IF(AND('Baseline Register'!G1325="0.0.0",'Baseline Register'!I1325="OPEN",'Baseline Register'!J1325="HOLD"),1,0)</x:f>
        <x:v>1</x:v>
      </x:c>
      <x:c r="F6209" s="21" t="n">
        <x:v>1</x:v>
      </x:c>
      <x:c r="G6209" s="23" t="str">
        <x:f>IF(E6209=F6209,"PASS","FAIL")</x:f>
        <x:v>PASS</x:v>
      </x:c>
    </x:row>
    <x:row r="6210">
      <x:c r="B6210" s="21" t="str">
        <x:v>A06204</x:v>
      </x:c>
      <x:c r="C6210" s="21" t="str">
        <x:v>baseline</x:v>
      </x:c>
      <x:c r="D6210" s="21" t="str">
        <x:v>baseline 1320 planning state</x:v>
      </x:c>
      <x:c r="E6210" s="21" t="n">
        <x:f>IF(AND('Baseline Register'!G1326="0.0.0",'Baseline Register'!I1326="OPEN",'Baseline Register'!J1326="HOLD"),1,0)</x:f>
        <x:v>1</x:v>
      </x:c>
      <x:c r="F6210" s="21" t="n">
        <x:v>1</x:v>
      </x:c>
      <x:c r="G6210" s="23" t="str">
        <x:f>IF(E6210=F6210,"PASS","FAIL")</x:f>
        <x:v>PASS</x:v>
      </x:c>
    </x:row>
    <x:row r="6211">
      <x:c r="B6211" s="21" t="str">
        <x:v>A06205</x:v>
      </x:c>
      <x:c r="C6211" s="21" t="str">
        <x:v>baseline</x:v>
      </x:c>
      <x:c r="D6211" s="21" t="str">
        <x:v>baseline 1321 planning state</x:v>
      </x:c>
      <x:c r="E6211" s="21" t="n">
        <x:f>IF(AND('Baseline Register'!G1327="0.0.0",'Baseline Register'!I1327="OPEN",'Baseline Register'!J1327="HOLD"),1,0)</x:f>
        <x:v>1</x:v>
      </x:c>
      <x:c r="F6211" s="21" t="n">
        <x:v>1</x:v>
      </x:c>
      <x:c r="G6211" s="23" t="str">
        <x:f>IF(E6211=F6211,"PASS","FAIL")</x:f>
        <x:v>PASS</x:v>
      </x:c>
    </x:row>
    <x:row r="6212">
      <x:c r="B6212" s="21" t="str">
        <x:v>A06206</x:v>
      </x:c>
      <x:c r="C6212" s="21" t="str">
        <x:v>baseline</x:v>
      </x:c>
      <x:c r="D6212" s="21" t="str">
        <x:v>baseline 1322 planning state</x:v>
      </x:c>
      <x:c r="E6212" s="21" t="n">
        <x:f>IF(AND('Baseline Register'!G1328="0.0.0",'Baseline Register'!I1328="OPEN",'Baseline Register'!J1328="HOLD"),1,0)</x:f>
        <x:v>1</x:v>
      </x:c>
      <x:c r="F6212" s="21" t="n">
        <x:v>1</x:v>
      </x:c>
      <x:c r="G6212" s="23" t="str">
        <x:f>IF(E6212=F6212,"PASS","FAIL")</x:f>
        <x:v>PASS</x:v>
      </x:c>
    </x:row>
    <x:row r="6213">
      <x:c r="B6213" s="21" t="str">
        <x:v>A06207</x:v>
      </x:c>
      <x:c r="C6213" s="21" t="str">
        <x:v>baseline</x:v>
      </x:c>
      <x:c r="D6213" s="21" t="str">
        <x:v>baseline 1323 planning state</x:v>
      </x:c>
      <x:c r="E6213" s="21" t="n">
        <x:f>IF(AND('Baseline Register'!G1329="0.0.0",'Baseline Register'!I1329="OPEN",'Baseline Register'!J1329="HOLD"),1,0)</x:f>
        <x:v>1</x:v>
      </x:c>
      <x:c r="F6213" s="21" t="n">
        <x:v>1</x:v>
      </x:c>
      <x:c r="G6213" s="23" t="str">
        <x:f>IF(E6213=F6213,"PASS","FAIL")</x:f>
        <x:v>PASS</x:v>
      </x:c>
    </x:row>
    <x:row r="6214">
      <x:c r="B6214" s="21" t="str">
        <x:v>A06208</x:v>
      </x:c>
      <x:c r="C6214" s="21" t="str">
        <x:v>baseline</x:v>
      </x:c>
      <x:c r="D6214" s="21" t="str">
        <x:v>baseline 1324 planning state</x:v>
      </x:c>
      <x:c r="E6214" s="21" t="n">
        <x:f>IF(AND('Baseline Register'!G1330="0.0.0",'Baseline Register'!I1330="OPEN",'Baseline Register'!J1330="HOLD"),1,0)</x:f>
        <x:v>1</x:v>
      </x:c>
      <x:c r="F6214" s="21" t="n">
        <x:v>1</x:v>
      </x:c>
      <x:c r="G6214" s="23" t="str">
        <x:f>IF(E6214=F6214,"PASS","FAIL")</x:f>
        <x:v>PASS</x:v>
      </x:c>
    </x:row>
    <x:row r="6215">
      <x:c r="B6215" s="21" t="str">
        <x:v>A06209</x:v>
      </x:c>
      <x:c r="C6215" s="21" t="str">
        <x:v>baseline</x:v>
      </x:c>
      <x:c r="D6215" s="21" t="str">
        <x:v>baseline 1325 planning state</x:v>
      </x:c>
      <x:c r="E6215" s="21" t="n">
        <x:f>IF(AND('Baseline Register'!G1331="0.0.0",'Baseline Register'!I1331="OPEN",'Baseline Register'!J1331="HOLD"),1,0)</x:f>
        <x:v>1</x:v>
      </x:c>
      <x:c r="F6215" s="21" t="n">
        <x:v>1</x:v>
      </x:c>
      <x:c r="G6215" s="23" t="str">
        <x:f>IF(E6215=F6215,"PASS","FAIL")</x:f>
        <x:v>PASS</x:v>
      </x:c>
    </x:row>
    <x:row r="6216">
      <x:c r="B6216" s="21" t="str">
        <x:v>A06210</x:v>
      </x:c>
      <x:c r="C6216" s="21" t="str">
        <x:v>baseline</x:v>
      </x:c>
      <x:c r="D6216" s="21" t="str">
        <x:v>baseline 1326 planning state</x:v>
      </x:c>
      <x:c r="E6216" s="21" t="n">
        <x:f>IF(AND('Baseline Register'!G1332="0.0.0",'Baseline Register'!I1332="OPEN",'Baseline Register'!J1332="HOLD"),1,0)</x:f>
        <x:v>1</x:v>
      </x:c>
      <x:c r="F6216" s="21" t="n">
        <x:v>1</x:v>
      </x:c>
      <x:c r="G6216" s="23" t="str">
        <x:f>IF(E6216=F6216,"PASS","FAIL")</x:f>
        <x:v>PASS</x:v>
      </x:c>
    </x:row>
    <x:row r="6217">
      <x:c r="B6217" s="21" t="str">
        <x:v>A06211</x:v>
      </x:c>
      <x:c r="C6217" s="21" t="str">
        <x:v>baseline</x:v>
      </x:c>
      <x:c r="D6217" s="21" t="str">
        <x:v>baseline 1327 planning state</x:v>
      </x:c>
      <x:c r="E6217" s="21" t="n">
        <x:f>IF(AND('Baseline Register'!G1333="0.0.0",'Baseline Register'!I1333="OPEN",'Baseline Register'!J1333="HOLD"),1,0)</x:f>
        <x:v>1</x:v>
      </x:c>
      <x:c r="F6217" s="21" t="n">
        <x:v>1</x:v>
      </x:c>
      <x:c r="G6217" s="23" t="str">
        <x:f>IF(E6217=F6217,"PASS","FAIL")</x:f>
        <x:v>PASS</x:v>
      </x:c>
    </x:row>
    <x:row r="6218">
      <x:c r="B6218" s="21" t="str">
        <x:v>A06212</x:v>
      </x:c>
      <x:c r="C6218" s="21" t="str">
        <x:v>baseline</x:v>
      </x:c>
      <x:c r="D6218" s="21" t="str">
        <x:v>baseline 1328 planning state</x:v>
      </x:c>
      <x:c r="E6218" s="21" t="n">
        <x:f>IF(AND('Baseline Register'!G1334="0.0.0",'Baseline Register'!I1334="OPEN",'Baseline Register'!J1334="HOLD"),1,0)</x:f>
        <x:v>1</x:v>
      </x:c>
      <x:c r="F6218" s="21" t="n">
        <x:v>1</x:v>
      </x:c>
      <x:c r="G6218" s="23" t="str">
        <x:f>IF(E6218=F6218,"PASS","FAIL")</x:f>
        <x:v>PASS</x:v>
      </x:c>
    </x:row>
    <x:row r="6219">
      <x:c r="B6219" s="21" t="str">
        <x:v>A06213</x:v>
      </x:c>
      <x:c r="C6219" s="21" t="str">
        <x:v>baseline</x:v>
      </x:c>
      <x:c r="D6219" s="21" t="str">
        <x:v>baseline 1329 planning state</x:v>
      </x:c>
      <x:c r="E6219" s="21" t="n">
        <x:f>IF(AND('Baseline Register'!G1335="0.0.0",'Baseline Register'!I1335="OPEN",'Baseline Register'!J1335="HOLD"),1,0)</x:f>
        <x:v>1</x:v>
      </x:c>
      <x:c r="F6219" s="21" t="n">
        <x:v>1</x:v>
      </x:c>
      <x:c r="G6219" s="23" t="str">
        <x:f>IF(E6219=F6219,"PASS","FAIL")</x:f>
        <x:v>PASS</x:v>
      </x:c>
    </x:row>
    <x:row r="6220">
      <x:c r="B6220" s="21" t="str">
        <x:v>A06214</x:v>
      </x:c>
      <x:c r="C6220" s="21" t="str">
        <x:v>baseline</x:v>
      </x:c>
      <x:c r="D6220" s="21" t="str">
        <x:v>baseline 1330 planning state</x:v>
      </x:c>
      <x:c r="E6220" s="21" t="n">
        <x:f>IF(AND('Baseline Register'!G1336="0.0.0",'Baseline Register'!I1336="OPEN",'Baseline Register'!J1336="HOLD"),1,0)</x:f>
        <x:v>1</x:v>
      </x:c>
      <x:c r="F6220" s="21" t="n">
        <x:v>1</x:v>
      </x:c>
      <x:c r="G6220" s="23" t="str">
        <x:f>IF(E6220=F6220,"PASS","FAIL")</x:f>
        <x:v>PASS</x:v>
      </x:c>
    </x:row>
    <x:row r="6221">
      <x:c r="B6221" s="21" t="str">
        <x:v>A06215</x:v>
      </x:c>
      <x:c r="C6221" s="21" t="str">
        <x:v>baseline</x:v>
      </x:c>
      <x:c r="D6221" s="21" t="str">
        <x:v>baseline 1331 planning state</x:v>
      </x:c>
      <x:c r="E6221" s="21" t="n">
        <x:f>IF(AND('Baseline Register'!G1337="0.0.0",'Baseline Register'!I1337="OPEN",'Baseline Register'!J1337="HOLD"),1,0)</x:f>
        <x:v>1</x:v>
      </x:c>
      <x:c r="F6221" s="21" t="n">
        <x:v>1</x:v>
      </x:c>
      <x:c r="G6221" s="23" t="str">
        <x:f>IF(E6221=F6221,"PASS","FAIL")</x:f>
        <x:v>PASS</x:v>
      </x:c>
    </x:row>
    <x:row r="6222">
      <x:c r="B6222" s="21" t="str">
        <x:v>A06216</x:v>
      </x:c>
      <x:c r="C6222" s="21" t="str">
        <x:v>baseline</x:v>
      </x:c>
      <x:c r="D6222" s="21" t="str">
        <x:v>baseline 1332 planning state</x:v>
      </x:c>
      <x:c r="E6222" s="21" t="n">
        <x:f>IF(AND('Baseline Register'!G1338="0.0.0",'Baseline Register'!I1338="OPEN",'Baseline Register'!J1338="HOLD"),1,0)</x:f>
        <x:v>1</x:v>
      </x:c>
      <x:c r="F6222" s="21" t="n">
        <x:v>1</x:v>
      </x:c>
      <x:c r="G6222" s="23" t="str">
        <x:f>IF(E6222=F6222,"PASS","FAIL")</x:f>
        <x:v>PASS</x:v>
      </x:c>
    </x:row>
    <x:row r="6223">
      <x:c r="B6223" s="21" t="str">
        <x:v>A06217</x:v>
      </x:c>
      <x:c r="C6223" s="21" t="str">
        <x:v>baseline</x:v>
      </x:c>
      <x:c r="D6223" s="21" t="str">
        <x:v>baseline 1333 planning state</x:v>
      </x:c>
      <x:c r="E6223" s="21" t="n">
        <x:f>IF(AND('Baseline Register'!G1339="0.0.0",'Baseline Register'!I1339="OPEN",'Baseline Register'!J1339="HOLD"),1,0)</x:f>
        <x:v>1</x:v>
      </x:c>
      <x:c r="F6223" s="21" t="n">
        <x:v>1</x:v>
      </x:c>
      <x:c r="G6223" s="23" t="str">
        <x:f>IF(E6223=F6223,"PASS","FAIL")</x:f>
        <x:v>PASS</x:v>
      </x:c>
    </x:row>
    <x:row r="6224">
      <x:c r="B6224" s="21" t="str">
        <x:v>A06218</x:v>
      </x:c>
      <x:c r="C6224" s="21" t="str">
        <x:v>baseline</x:v>
      </x:c>
      <x:c r="D6224" s="21" t="str">
        <x:v>baseline 1334 planning state</x:v>
      </x:c>
      <x:c r="E6224" s="21" t="n">
        <x:f>IF(AND('Baseline Register'!G1340="0.0.0",'Baseline Register'!I1340="OPEN",'Baseline Register'!J1340="HOLD"),1,0)</x:f>
        <x:v>1</x:v>
      </x:c>
      <x:c r="F6224" s="21" t="n">
        <x:v>1</x:v>
      </x:c>
      <x:c r="G6224" s="23" t="str">
        <x:f>IF(E6224=F6224,"PASS","FAIL")</x:f>
        <x:v>PASS</x:v>
      </x:c>
    </x:row>
    <x:row r="6225">
      <x:c r="B6225" s="21" t="str">
        <x:v>A06219</x:v>
      </x:c>
      <x:c r="C6225" s="21" t="str">
        <x:v>baseline</x:v>
      </x:c>
      <x:c r="D6225" s="21" t="str">
        <x:v>baseline 1335 planning state</x:v>
      </x:c>
      <x:c r="E6225" s="21" t="n">
        <x:f>IF(AND('Baseline Register'!G1341="0.0.0",'Baseline Register'!I1341="OPEN",'Baseline Register'!J1341="HOLD"),1,0)</x:f>
        <x:v>1</x:v>
      </x:c>
      <x:c r="F6225" s="21" t="n">
        <x:v>1</x:v>
      </x:c>
      <x:c r="G6225" s="23" t="str">
        <x:f>IF(E6225=F6225,"PASS","FAIL")</x:f>
        <x:v>PASS</x:v>
      </x:c>
    </x:row>
    <x:row r="6226">
      <x:c r="B6226" s="21" t="str">
        <x:v>A06220</x:v>
      </x:c>
      <x:c r="C6226" s="21" t="str">
        <x:v>baseline</x:v>
      </x:c>
      <x:c r="D6226" s="21" t="str">
        <x:v>baseline 1336 planning state</x:v>
      </x:c>
      <x:c r="E6226" s="21" t="n">
        <x:f>IF(AND('Baseline Register'!G1342="0.0.0",'Baseline Register'!I1342="OPEN",'Baseline Register'!J1342="HOLD"),1,0)</x:f>
        <x:v>1</x:v>
      </x:c>
      <x:c r="F6226" s="21" t="n">
        <x:v>1</x:v>
      </x:c>
      <x:c r="G6226" s="23" t="str">
        <x:f>IF(E6226=F6226,"PASS","FAIL")</x:f>
        <x:v>PASS</x:v>
      </x:c>
    </x:row>
    <x:row r="6227">
      <x:c r="B6227" s="21" t="str">
        <x:v>A06221</x:v>
      </x:c>
      <x:c r="C6227" s="21" t="str">
        <x:v>baseline</x:v>
      </x:c>
      <x:c r="D6227" s="21" t="str">
        <x:v>baseline 1337 planning state</x:v>
      </x:c>
      <x:c r="E6227" s="21" t="n">
        <x:f>IF(AND('Baseline Register'!G1343="0.0.0",'Baseline Register'!I1343="OPEN",'Baseline Register'!J1343="HOLD"),1,0)</x:f>
        <x:v>1</x:v>
      </x:c>
      <x:c r="F6227" s="21" t="n">
        <x:v>1</x:v>
      </x:c>
      <x:c r="G6227" s="23" t="str">
        <x:f>IF(E6227=F6227,"PASS","FAIL")</x:f>
        <x:v>PASS</x:v>
      </x:c>
    </x:row>
    <x:row r="6228">
      <x:c r="B6228" s="21" t="str">
        <x:v>A06222</x:v>
      </x:c>
      <x:c r="C6228" s="21" t="str">
        <x:v>baseline</x:v>
      </x:c>
      <x:c r="D6228" s="21" t="str">
        <x:v>baseline 1338 planning state</x:v>
      </x:c>
      <x:c r="E6228" s="21" t="n">
        <x:f>IF(AND('Baseline Register'!G1344="0.0.0",'Baseline Register'!I1344="OPEN",'Baseline Register'!J1344="HOLD"),1,0)</x:f>
        <x:v>1</x:v>
      </x:c>
      <x:c r="F6228" s="21" t="n">
        <x:v>1</x:v>
      </x:c>
      <x:c r="G6228" s="23" t="str">
        <x:f>IF(E6228=F6228,"PASS","FAIL")</x:f>
        <x:v>PASS</x:v>
      </x:c>
    </x:row>
    <x:row r="6229">
      <x:c r="B6229" s="21" t="str">
        <x:v>A06223</x:v>
      </x:c>
      <x:c r="C6229" s="21" t="str">
        <x:v>baseline</x:v>
      </x:c>
      <x:c r="D6229" s="21" t="str">
        <x:v>baseline 1339 planning state</x:v>
      </x:c>
      <x:c r="E6229" s="21" t="n">
        <x:f>IF(AND('Baseline Register'!G1345="0.0.0",'Baseline Register'!I1345="OPEN",'Baseline Register'!J1345="HOLD"),1,0)</x:f>
        <x:v>1</x:v>
      </x:c>
      <x:c r="F6229" s="21" t="n">
        <x:v>1</x:v>
      </x:c>
      <x:c r="G6229" s="23" t="str">
        <x:f>IF(E6229=F6229,"PASS","FAIL")</x:f>
        <x:v>PASS</x:v>
      </x:c>
    </x:row>
    <x:row r="6230">
      <x:c r="B6230" s="21" t="str">
        <x:v>A06224</x:v>
      </x:c>
      <x:c r="C6230" s="21" t="str">
        <x:v>baseline</x:v>
      </x:c>
      <x:c r="D6230" s="21" t="str">
        <x:v>baseline 1340 planning state</x:v>
      </x:c>
      <x:c r="E6230" s="21" t="n">
        <x:f>IF(AND('Baseline Register'!G1346="0.0.0",'Baseline Register'!I1346="OPEN",'Baseline Register'!J1346="HOLD"),1,0)</x:f>
        <x:v>1</x:v>
      </x:c>
      <x:c r="F6230" s="21" t="n">
        <x:v>1</x:v>
      </x:c>
      <x:c r="G6230" s="23" t="str">
        <x:f>IF(E6230=F6230,"PASS","FAIL")</x:f>
        <x:v>PASS</x:v>
      </x:c>
    </x:row>
    <x:row r="6231">
      <x:c r="B6231" s="21" t="str">
        <x:v>A06225</x:v>
      </x:c>
      <x:c r="C6231" s="21" t="str">
        <x:v>baseline</x:v>
      </x:c>
      <x:c r="D6231" s="21" t="str">
        <x:v>baseline 1341 planning state</x:v>
      </x:c>
      <x:c r="E6231" s="21" t="n">
        <x:f>IF(AND('Baseline Register'!G1347="0.0.0",'Baseline Register'!I1347="OPEN",'Baseline Register'!J1347="HOLD"),1,0)</x:f>
        <x:v>1</x:v>
      </x:c>
      <x:c r="F6231" s="21" t="n">
        <x:v>1</x:v>
      </x:c>
      <x:c r="G6231" s="23" t="str">
        <x:f>IF(E6231=F6231,"PASS","FAIL")</x:f>
        <x:v>PASS</x:v>
      </x:c>
    </x:row>
    <x:row r="6232">
      <x:c r="B6232" s="21" t="str">
        <x:v>A06226</x:v>
      </x:c>
      <x:c r="C6232" s="21" t="str">
        <x:v>baseline</x:v>
      </x:c>
      <x:c r="D6232" s="21" t="str">
        <x:v>baseline 1342 planning state</x:v>
      </x:c>
      <x:c r="E6232" s="21" t="n">
        <x:f>IF(AND('Baseline Register'!G1348="0.0.0",'Baseline Register'!I1348="OPEN",'Baseline Register'!J1348="HOLD"),1,0)</x:f>
        <x:v>1</x:v>
      </x:c>
      <x:c r="F6232" s="21" t="n">
        <x:v>1</x:v>
      </x:c>
      <x:c r="G6232" s="23" t="str">
        <x:f>IF(E6232=F6232,"PASS","FAIL")</x:f>
        <x:v>PASS</x:v>
      </x:c>
    </x:row>
    <x:row r="6233">
      <x:c r="B6233" s="21" t="str">
        <x:v>A06227</x:v>
      </x:c>
      <x:c r="C6233" s="21" t="str">
        <x:v>baseline</x:v>
      </x:c>
      <x:c r="D6233" s="21" t="str">
        <x:v>baseline 1343 planning state</x:v>
      </x:c>
      <x:c r="E6233" s="21" t="n">
        <x:f>IF(AND('Baseline Register'!G1349="0.0.0",'Baseline Register'!I1349="OPEN",'Baseline Register'!J1349="HOLD"),1,0)</x:f>
        <x:v>1</x:v>
      </x:c>
      <x:c r="F6233" s="21" t="n">
        <x:v>1</x:v>
      </x:c>
      <x:c r="G6233" s="23" t="str">
        <x:f>IF(E6233=F6233,"PASS","FAIL")</x:f>
        <x:v>PASS</x:v>
      </x:c>
    </x:row>
    <x:row r="6234">
      <x:c r="B6234" s="21" t="str">
        <x:v>A06228</x:v>
      </x:c>
      <x:c r="C6234" s="21" t="str">
        <x:v>baseline</x:v>
      </x:c>
      <x:c r="D6234" s="21" t="str">
        <x:v>baseline 1344 planning state</x:v>
      </x:c>
      <x:c r="E6234" s="21" t="n">
        <x:f>IF(AND('Baseline Register'!G1350="0.0.0",'Baseline Register'!I1350="OPEN",'Baseline Register'!J1350="HOLD"),1,0)</x:f>
        <x:v>1</x:v>
      </x:c>
      <x:c r="F6234" s="21" t="n">
        <x:v>1</x:v>
      </x:c>
      <x:c r="G6234" s="23" t="str">
        <x:f>IF(E6234=F6234,"PASS","FAIL")</x:f>
        <x:v>PASS</x:v>
      </x:c>
    </x:row>
    <x:row r="6235">
      <x:c r="B6235" s="21" t="str">
        <x:v>A06229</x:v>
      </x:c>
      <x:c r="C6235" s="21" t="str">
        <x:v>CTDP</x:v>
      </x:c>
      <x:c r="D6235" s="21" t="str">
        <x:v>class 1 obligation count</x:v>
      </x:c>
      <x:c r="E6235" s="21" t="n">
        <x:f>IF('Technical Data Map'!G7=Assumptions!C7*Assumptions!C8*Assumptions!C9,1,0)</x:f>
        <x:v>1</x:v>
      </x:c>
      <x:c r="F6235" s="21" t="n">
        <x:v>1</x:v>
      </x:c>
      <x:c r="G6235" s="23" t="str">
        <x:f>IF(E6235=F6235,"PASS","FAIL")</x:f>
        <x:v>PASS</x:v>
      </x:c>
    </x:row>
    <x:row r="6236">
      <x:c r="B6236" s="21" t="str">
        <x:v>A06230</x:v>
      </x:c>
      <x:c r="C6236" s="21" t="str">
        <x:v>CTDP</x:v>
      </x:c>
      <x:c r="D6236" s="21" t="str">
        <x:v>class 2 obligation count</x:v>
      </x:c>
      <x:c r="E6236" s="21" t="n">
        <x:f>IF('Technical Data Map'!G8=Assumptions!C7*Assumptions!C8*Assumptions!C9,1,0)</x:f>
        <x:v>1</x:v>
      </x:c>
      <x:c r="F6236" s="21" t="n">
        <x:v>1</x:v>
      </x:c>
      <x:c r="G6236" s="23" t="str">
        <x:f>IF(E6236=F6236,"PASS","FAIL")</x:f>
        <x:v>PASS</x:v>
      </x:c>
    </x:row>
    <x:row r="6237">
      <x:c r="B6237" s="21" t="str">
        <x:v>A06231</x:v>
      </x:c>
      <x:c r="C6237" s="21" t="str">
        <x:v>CTDP</x:v>
      </x:c>
      <x:c r="D6237" s="21" t="str">
        <x:v>class 3 obligation count</x:v>
      </x:c>
      <x:c r="E6237" s="21" t="n">
        <x:f>IF('Technical Data Map'!G9=Assumptions!C7*Assumptions!C8*Assumptions!C9,1,0)</x:f>
        <x:v>1</x:v>
      </x:c>
      <x:c r="F6237" s="21" t="n">
        <x:v>1</x:v>
      </x:c>
      <x:c r="G6237" s="23" t="str">
        <x:f>IF(E6237=F6237,"PASS","FAIL")</x:f>
        <x:v>PASS</x:v>
      </x:c>
    </x:row>
    <x:row r="6238">
      <x:c r="B6238" s="21" t="str">
        <x:v>A06232</x:v>
      </x:c>
      <x:c r="C6238" s="21" t="str">
        <x:v>CTDP</x:v>
      </x:c>
      <x:c r="D6238" s="21" t="str">
        <x:v>class 4 obligation count</x:v>
      </x:c>
      <x:c r="E6238" s="21" t="n">
        <x:f>IF('Technical Data Map'!G10=Assumptions!C7*Assumptions!C8*Assumptions!C9,1,0)</x:f>
        <x:v>1</x:v>
      </x:c>
      <x:c r="F6238" s="21" t="n">
        <x:v>1</x:v>
      </x:c>
      <x:c r="G6238" s="23" t="str">
        <x:f>IF(E6238=F6238,"PASS","FAIL")</x:f>
        <x:v>PASS</x:v>
      </x:c>
    </x:row>
    <x:row r="6239">
      <x:c r="B6239" s="21" t="str">
        <x:v>A06233</x:v>
      </x:c>
      <x:c r="C6239" s="21" t="str">
        <x:v>CTDP</x:v>
      </x:c>
      <x:c r="D6239" s="21" t="str">
        <x:v>class 5 obligation count</x:v>
      </x:c>
      <x:c r="E6239" s="21" t="n">
        <x:f>IF('Technical Data Map'!G11=Assumptions!C7*Assumptions!C8*Assumptions!C9,1,0)</x:f>
        <x:v>1</x:v>
      </x:c>
      <x:c r="F6239" s="21" t="n">
        <x:v>1</x:v>
      </x:c>
      <x:c r="G6239" s="23" t="str">
        <x:f>IF(E6239=F6239,"PASS","FAIL")</x:f>
        <x:v>PASS</x:v>
      </x:c>
    </x:row>
    <x:row r="6240">
      <x:c r="B6240" s="21" t="str">
        <x:v>A06234</x:v>
      </x:c>
      <x:c r="C6240" s="21" t="str">
        <x:v>CTDP</x:v>
      </x:c>
      <x:c r="D6240" s="21" t="str">
        <x:v>class 6 obligation count</x:v>
      </x:c>
      <x:c r="E6240" s="21" t="n">
        <x:f>IF('Technical Data Map'!G12=Assumptions!C7*Assumptions!C8*Assumptions!C9,1,0)</x:f>
        <x:v>1</x:v>
      </x:c>
      <x:c r="F6240" s="21" t="n">
        <x:v>1</x:v>
      </x:c>
      <x:c r="G6240" s="23" t="str">
        <x:f>IF(E6240=F6240,"PASS","FAIL")</x:f>
        <x:v>PASS</x:v>
      </x:c>
    </x:row>
    <x:row r="6241">
      <x:c r="B6241" s="21" t="str">
        <x:v>A06235</x:v>
      </x:c>
      <x:c r="C6241" s="21" t="str">
        <x:v>CTDP</x:v>
      </x:c>
      <x:c r="D6241" s="21" t="str">
        <x:v>class 7 obligation count</x:v>
      </x:c>
      <x:c r="E6241" s="21" t="n">
        <x:f>IF('Technical Data Map'!G13=Assumptions!C7*Assumptions!C8*Assumptions!C9,1,0)</x:f>
        <x:v>1</x:v>
      </x:c>
      <x:c r="F6241" s="21" t="n">
        <x:v>1</x:v>
      </x:c>
      <x:c r="G6241" s="23" t="str">
        <x:f>IF(E6241=F6241,"PASS","FAIL")</x:f>
        <x:v>PASS</x:v>
      </x:c>
    </x:row>
    <x:row r="6242">
      <x:c r="B6242" s="21" t="str">
        <x:v>A06236</x:v>
      </x:c>
      <x:c r="C6242" s="21" t="str">
        <x:v>CTDP</x:v>
      </x:c>
      <x:c r="D6242" s="21" t="str">
        <x:v>class 8 obligation count</x:v>
      </x:c>
      <x:c r="E6242" s="21" t="n">
        <x:f>IF('Technical Data Map'!G14=Assumptions!C7*Assumptions!C8*Assumptions!C9,1,0)</x:f>
        <x:v>1</x:v>
      </x:c>
      <x:c r="F6242" s="21" t="n">
        <x:v>1</x:v>
      </x:c>
      <x:c r="G6242" s="23" t="str">
        <x:f>IF(E6242=F6242,"PASS","FAIL")</x:f>
        <x:v>PASS</x:v>
      </x:c>
    </x:row>
    <x:row r="6243">
      <x:c r="B6243" s="21" t="str">
        <x:v>A06237</x:v>
      </x:c>
      <x:c r="C6243" s="21" t="str">
        <x:v>CTDP</x:v>
      </x:c>
      <x:c r="D6243" s="21" t="str">
        <x:v>class 9 obligation count</x:v>
      </x:c>
      <x:c r="E6243" s="21" t="n">
        <x:f>IF('Technical Data Map'!G15=Assumptions!C7*Assumptions!C8*Assumptions!C9,1,0)</x:f>
        <x:v>1</x:v>
      </x:c>
      <x:c r="F6243" s="21" t="n">
        <x:v>1</x:v>
      </x:c>
      <x:c r="G6243" s="23" t="str">
        <x:f>IF(E6243=F6243,"PASS","FAIL")</x:f>
        <x:v>PASS</x:v>
      </x:c>
    </x:row>
    <x:row r="6244">
      <x:c r="B6244" s="21" t="str">
        <x:v>A06238</x:v>
      </x:c>
      <x:c r="C6244" s="21" t="str">
        <x:v>CTDP</x:v>
      </x:c>
      <x:c r="D6244" s="21" t="str">
        <x:v>class 10 obligation count</x:v>
      </x:c>
      <x:c r="E6244" s="21" t="n">
        <x:f>IF('Technical Data Map'!G16=Assumptions!C7*Assumptions!C8*Assumptions!C9,1,0)</x:f>
        <x:v>1</x:v>
      </x:c>
      <x:c r="F6244" s="21" t="n">
        <x:v>1</x:v>
      </x:c>
      <x:c r="G6244" s="23" t="str">
        <x:f>IF(E6244=F6244,"PASS","FAIL")</x:f>
        <x:v>PASS</x:v>
      </x:c>
    </x:row>
    <x:row r="6245">
      <x:c r="B6245" s="21" t="str">
        <x:v>A06239</x:v>
      </x:c>
      <x:c r="C6245" s="21" t="str">
        <x:v>CTDP</x:v>
      </x:c>
      <x:c r="D6245" s="21" t="str">
        <x:v>class 11 obligation count</x:v>
      </x:c>
      <x:c r="E6245" s="21" t="n">
        <x:f>IF('Technical Data Map'!G17=Assumptions!C7*Assumptions!C8*Assumptions!C9,1,0)</x:f>
        <x:v>1</x:v>
      </x:c>
      <x:c r="F6245" s="21" t="n">
        <x:v>1</x:v>
      </x:c>
      <x:c r="G6245" s="23" t="str">
        <x:f>IF(E6245=F6245,"PASS","FAIL")</x:f>
        <x:v>PASS</x:v>
      </x:c>
    </x:row>
    <x:row r="6246">
      <x:c r="B6246" s="21" t="str">
        <x:v>A06240</x:v>
      </x:c>
      <x:c r="C6246" s="21" t="str">
        <x:v>CTDP</x:v>
      </x:c>
      <x:c r="D6246" s="21" t="str">
        <x:v>class 12 obligation count</x:v>
      </x:c>
      <x:c r="E6246" s="21" t="n">
        <x:f>IF('Technical Data Map'!G18=Assumptions!C7*Assumptions!C8*Assumptions!C9,1,0)</x:f>
        <x:v>1</x:v>
      </x:c>
      <x:c r="F6246" s="21" t="n">
        <x:v>1</x:v>
      </x:c>
      <x:c r="G6246" s="23" t="str">
        <x:f>IF(E6246=F6246,"PASS","FAIL")</x:f>
        <x:v>PASS</x:v>
      </x:c>
    </x:row>
    <x:row r="6247">
      <x:c r="B6247" s="21" t="str">
        <x:v>A06241</x:v>
      </x:c>
      <x:c r="C6247" s="21" t="str">
        <x:v>CTDP</x:v>
      </x:c>
      <x:c r="D6247" s="21" t="str">
        <x:v>class 13 obligation count</x:v>
      </x:c>
      <x:c r="E6247" s="21" t="n">
        <x:f>IF('Technical Data Map'!G19=Assumptions!C7*Assumptions!C8*Assumptions!C9,1,0)</x:f>
        <x:v>1</x:v>
      </x:c>
      <x:c r="F6247" s="21" t="n">
        <x:v>1</x:v>
      </x:c>
      <x:c r="G6247" s="23" t="str">
        <x:f>IF(E6247=F6247,"PASS","FAIL")</x:f>
        <x:v>PASS</x:v>
      </x:c>
    </x:row>
    <x:row r="6248">
      <x:c r="B6248" s="21" t="str">
        <x:v>A06242</x:v>
      </x:c>
      <x:c r="C6248" s="21" t="str">
        <x:v>CTDP</x:v>
      </x:c>
      <x:c r="D6248" s="21" t="str">
        <x:v>class 14 obligation count</x:v>
      </x:c>
      <x:c r="E6248" s="21" t="n">
        <x:f>IF('Technical Data Map'!G20=Assumptions!C7*Assumptions!C8*Assumptions!C9,1,0)</x:f>
        <x:v>1</x:v>
      </x:c>
      <x:c r="F6248" s="21" t="n">
        <x:v>1</x:v>
      </x:c>
      <x:c r="G6248" s="23" t="str">
        <x:f>IF(E6248=F6248,"PASS","FAIL")</x:f>
        <x:v>PASS</x:v>
      </x:c>
    </x:row>
    <x:row r="6249">
      <x:c r="B6249" s="21" t="str">
        <x:v>A06243</x:v>
      </x:c>
      <x:c r="C6249" s="21" t="str">
        <x:v>CTDP</x:v>
      </x:c>
      <x:c r="D6249" s="21" t="str">
        <x:v>class 15 obligation count</x:v>
      </x:c>
      <x:c r="E6249" s="21" t="n">
        <x:f>IF('Technical Data Map'!G21=Assumptions!C7*Assumptions!C8*Assumptions!C9,1,0)</x:f>
        <x:v>1</x:v>
      </x:c>
      <x:c r="F6249" s="21" t="n">
        <x:v>1</x:v>
      </x:c>
      <x:c r="G6249" s="23" t="str">
        <x:f>IF(E6249=F6249,"PASS","FAIL")</x:f>
        <x:v>PASS</x:v>
      </x:c>
    </x:row>
    <x:row r="6250">
      <x:c r="B6250" s="21" t="str">
        <x:v>A06244</x:v>
      </x:c>
      <x:c r="C6250" s="21" t="str">
        <x:v>CTDP</x:v>
      </x:c>
      <x:c r="D6250" s="21" t="str">
        <x:v>class 16 obligation count</x:v>
      </x:c>
      <x:c r="E6250" s="21" t="n">
        <x:f>IF('Technical Data Map'!G22=Assumptions!C7*Assumptions!C8*Assumptions!C9,1,0)</x:f>
        <x:v>1</x:v>
      </x:c>
      <x:c r="F6250" s="21" t="n">
        <x:v>1</x:v>
      </x:c>
      <x:c r="G6250" s="23" t="str">
        <x:f>IF(E6250=F6250,"PASS","FAIL")</x:f>
        <x:v>PASS</x:v>
      </x:c>
    </x:row>
    <x:row r="6251">
      <x:c r="B6251" s="21" t="str">
        <x:v>A06245</x:v>
      </x:c>
      <x:c r="C6251" s="21" t="str">
        <x:v>CTDP</x:v>
      </x:c>
      <x:c r="D6251" s="21" t="str">
        <x:v>class 17 obligation count</x:v>
      </x:c>
      <x:c r="E6251" s="21" t="n">
        <x:f>IF('Technical Data Map'!G23=Assumptions!C7*Assumptions!C8*Assumptions!C9,1,0)</x:f>
        <x:v>1</x:v>
      </x:c>
      <x:c r="F6251" s="21" t="n">
        <x:v>1</x:v>
      </x:c>
      <x:c r="G6251" s="23" t="str">
        <x:f>IF(E6251=F6251,"PASS","FAIL")</x:f>
        <x:v>PASS</x:v>
      </x:c>
    </x:row>
    <x:row r="6252">
      <x:c r="B6252" s="21" t="str">
        <x:v>A06246</x:v>
      </x:c>
      <x:c r="C6252" s="21" t="str">
        <x:v>CTDP</x:v>
      </x:c>
      <x:c r="D6252" s="21" t="str">
        <x:v>class 18 obligation count</x:v>
      </x:c>
      <x:c r="E6252" s="21" t="n">
        <x:f>IF('Technical Data Map'!G24=Assumptions!C7*Assumptions!C8*Assumptions!C9,1,0)</x:f>
        <x:v>1</x:v>
      </x:c>
      <x:c r="F6252" s="21" t="n">
        <x:v>1</x:v>
      </x:c>
      <x:c r="G6252" s="23" t="str">
        <x:f>IF(E6252=F6252,"PASS","FAIL")</x:f>
        <x:v>PASS</x:v>
      </x:c>
    </x:row>
    <x:row r="6253">
      <x:c r="B6253" s="21" t="str">
        <x:v>A06247</x:v>
      </x:c>
      <x:c r="C6253" s="21" t="str">
        <x:v>CTDP</x:v>
      </x:c>
      <x:c r="D6253" s="21" t="str">
        <x:v>class 19 obligation count</x:v>
      </x:c>
      <x:c r="E6253" s="21" t="n">
        <x:f>IF('Technical Data Map'!G25=Assumptions!C7*Assumptions!C8*Assumptions!C9,1,0)</x:f>
        <x:v>1</x:v>
      </x:c>
      <x:c r="F6253" s="21" t="n">
        <x:v>1</x:v>
      </x:c>
      <x:c r="G6253" s="23" t="str">
        <x:f>IF(E6253=F6253,"PASS","FAIL")</x:f>
        <x:v>PASS</x:v>
      </x:c>
    </x:row>
    <x:row r="6254">
      <x:c r="B6254" s="21" t="str">
        <x:v>A06248</x:v>
      </x:c>
      <x:c r="C6254" s="21" t="str">
        <x:v>CTDP</x:v>
      </x:c>
      <x:c r="D6254" s="21" t="str">
        <x:v>class 20 obligation count</x:v>
      </x:c>
      <x:c r="E6254" s="21" t="n">
        <x:f>IF('Technical Data Map'!G26=Assumptions!C7*Assumptions!C8*Assumptions!C9,1,0)</x:f>
        <x:v>1</x:v>
      </x:c>
      <x:c r="F6254" s="21" t="n">
        <x:v>1</x:v>
      </x:c>
      <x:c r="G6254" s="23" t="str">
        <x:f>IF(E6254=F6254,"PASS","FAIL")</x:f>
        <x:v>PASS</x:v>
      </x:c>
    </x:row>
    <x:row r="6255">
      <x:c r="B6255" s="21" t="str">
        <x:v>A06249</x:v>
      </x:c>
      <x:c r="C6255" s="21" t="str">
        <x:v>CTDP</x:v>
      </x:c>
      <x:c r="D6255" s="21" t="str">
        <x:v>class 21 obligation count</x:v>
      </x:c>
      <x:c r="E6255" s="21" t="n">
        <x:f>IF('Technical Data Map'!G27=Assumptions!C7*Assumptions!C8*Assumptions!C9,1,0)</x:f>
        <x:v>1</x:v>
      </x:c>
      <x:c r="F6255" s="21" t="n">
        <x:v>1</x:v>
      </x:c>
      <x:c r="G6255" s="23" t="str">
        <x:f>IF(E6255=F6255,"PASS","FAIL")</x:f>
        <x:v>PASS</x:v>
      </x:c>
    </x:row>
    <x:row r="6256">
      <x:c r="B6256" s="21" t="str">
        <x:v>A06250</x:v>
      </x:c>
      <x:c r="C6256" s="21" t="str">
        <x:v>CTDP</x:v>
      </x:c>
      <x:c r="D6256" s="21" t="str">
        <x:v>class 22 obligation count</x:v>
      </x:c>
      <x:c r="E6256" s="21" t="n">
        <x:f>IF('Technical Data Map'!G28=Assumptions!C7*Assumptions!C8*Assumptions!C9,1,0)</x:f>
        <x:v>1</x:v>
      </x:c>
      <x:c r="F6256" s="21" t="n">
        <x:v>1</x:v>
      </x:c>
      <x:c r="G6256" s="23" t="str">
        <x:f>IF(E6256=F6256,"PASS","FAIL")</x:f>
        <x:v>PASS</x:v>
      </x:c>
    </x:row>
    <x:row r="6257">
      <x:c r="B6257" s="21" t="str">
        <x:v>A06251</x:v>
      </x:c>
      <x:c r="C6257" s="21" t="str">
        <x:v>CTDP</x:v>
      </x:c>
      <x:c r="D6257" s="21" t="str">
        <x:v>class 23 obligation count</x:v>
      </x:c>
      <x:c r="E6257" s="21" t="n">
        <x:f>IF('Technical Data Map'!G29=Assumptions!C7*Assumptions!C8*Assumptions!C9,1,0)</x:f>
        <x:v>1</x:v>
      </x:c>
      <x:c r="F6257" s="21" t="n">
        <x:v>1</x:v>
      </x:c>
      <x:c r="G6257" s="23" t="str">
        <x:f>IF(E6257=F6257,"PASS","FAIL")</x:f>
        <x:v>PASS</x:v>
      </x:c>
    </x:row>
    <x:row r="6258">
      <x:c r="B6258" s="21" t="str">
        <x:v>A06252</x:v>
      </x:c>
      <x:c r="C6258" s="21" t="str">
        <x:v>CTDP</x:v>
      </x:c>
      <x:c r="D6258" s="21" t="str">
        <x:v>class 24 obligation count</x:v>
      </x:c>
      <x:c r="E6258" s="21" t="n">
        <x:f>IF('Technical Data Map'!G30=Assumptions!C7*Assumptions!C8*Assumptions!C9,1,0)</x:f>
        <x:v>1</x:v>
      </x:c>
      <x:c r="F6258" s="21" t="n">
        <x:v>1</x:v>
      </x:c>
      <x:c r="G6258" s="23" t="str">
        <x:f>IF(E6258=F6258,"PASS","FAIL")</x:f>
        <x:v>PASS</x:v>
      </x:c>
    </x:row>
    <x:row r="6259">
      <x:c r="B6259" s="21" t="str">
        <x:v>A06253</x:v>
      </x:c>
      <x:c r="C6259" s="21" t="str">
        <x:v>CTDP</x:v>
      </x:c>
      <x:c r="D6259" s="21" t="str">
        <x:v>class 25 obligation count</x:v>
      </x:c>
      <x:c r="E6259" s="21" t="n">
        <x:f>IF('Technical Data Map'!G31=Assumptions!C7*Assumptions!C8*Assumptions!C9,1,0)</x:f>
        <x:v>1</x:v>
      </x:c>
      <x:c r="F6259" s="21" t="n">
        <x:v>1</x:v>
      </x:c>
      <x:c r="G6259" s="23" t="str">
        <x:f>IF(E6259=F6259,"PASS","FAIL")</x:f>
        <x:v>PASS</x:v>
      </x:c>
    </x:row>
    <x:row r="6260">
      <x:c r="B6260" s="21" t="str">
        <x:v>A06254</x:v>
      </x:c>
      <x:c r="C6260" s="21" t="str">
        <x:v>CTDP</x:v>
      </x:c>
      <x:c r="D6260" s="21" t="str">
        <x:v>class 26 obligation count</x:v>
      </x:c>
      <x:c r="E6260" s="21" t="n">
        <x:f>IF('Technical Data Map'!G32=Assumptions!C7*Assumptions!C8*Assumptions!C9,1,0)</x:f>
        <x:v>1</x:v>
      </x:c>
      <x:c r="F6260" s="21" t="n">
        <x:v>1</x:v>
      </x:c>
      <x:c r="G6260" s="23" t="str">
        <x:f>IF(E6260=F6260,"PASS","FAIL")</x:f>
        <x:v>PASS</x:v>
      </x:c>
    </x:row>
    <x:row r="6261">
      <x:c r="B6261" s="21" t="str">
        <x:v>A06255</x:v>
      </x:c>
      <x:c r="C6261" s="21" t="str">
        <x:v>CTDP</x:v>
      </x:c>
      <x:c r="D6261" s="21" t="str">
        <x:v>class 27 obligation count</x:v>
      </x:c>
      <x:c r="E6261" s="21" t="n">
        <x:f>IF('Technical Data Map'!G33=Assumptions!C7*Assumptions!C8*Assumptions!C9,1,0)</x:f>
        <x:v>1</x:v>
      </x:c>
      <x:c r="F6261" s="21" t="n">
        <x:v>1</x:v>
      </x:c>
      <x:c r="G6261" s="23" t="str">
        <x:f>IF(E6261=F6261,"PASS","FAIL")</x:f>
        <x:v>PASS</x:v>
      </x:c>
    </x:row>
    <x:row r="6262">
      <x:c r="B6262" s="21" t="str">
        <x:v>A06256</x:v>
      </x:c>
      <x:c r="C6262" s="21" t="str">
        <x:v>CTDP</x:v>
      </x:c>
      <x:c r="D6262" s="21" t="str">
        <x:v>class 28 obligation count</x:v>
      </x:c>
      <x:c r="E6262" s="21" t="n">
        <x:f>IF('Technical Data Map'!G34=Assumptions!C7*Assumptions!C8*Assumptions!C9,1,0)</x:f>
        <x:v>1</x:v>
      </x:c>
      <x:c r="F6262" s="21" t="n">
        <x:v>1</x:v>
      </x:c>
      <x:c r="G6262" s="23" t="str">
        <x:f>IF(E6262=F6262,"PASS","FAIL")</x:f>
        <x:v>PASS</x:v>
      </x:c>
    </x:row>
    <x:row r="6263">
      <x:c r="B6263" s="21" t="str">
        <x:v>A06257</x:v>
      </x:c>
      <x:c r="C6263" s="21" t="str">
        <x:v>change</x:v>
      </x:c>
      <x:c r="D6263" s="21" t="str">
        <x:v>change 1 no self approval</x:v>
      </x:c>
      <x:c r="E6263" s="21" t="n">
        <x:f>IF(AND('Change Control'!G7=0,'Change Control'!H7="OPEN",'Change Control'!I7="HOLD"),1,0)</x:f>
        <x:v>1</x:v>
      </x:c>
      <x:c r="F6263" s="21" t="n">
        <x:v>1</x:v>
      </x:c>
      <x:c r="G6263" s="23" t="str">
        <x:f>IF(E6263=F6263,"PASS","FAIL")</x:f>
        <x:v>PASS</x:v>
      </x:c>
    </x:row>
    <x:row r="6264">
      <x:c r="B6264" s="21" t="str">
        <x:v>A06258</x:v>
      </x:c>
      <x:c r="C6264" s="21" t="str">
        <x:v>change</x:v>
      </x:c>
      <x:c r="D6264" s="21" t="str">
        <x:v>change 2 no self approval</x:v>
      </x:c>
      <x:c r="E6264" s="21" t="n">
        <x:f>IF(AND('Change Control'!G8=0,'Change Control'!H8="OPEN",'Change Control'!I8="HOLD"),1,0)</x:f>
        <x:v>1</x:v>
      </x:c>
      <x:c r="F6264" s="21" t="n">
        <x:v>1</x:v>
      </x:c>
      <x:c r="G6264" s="23" t="str">
        <x:f>IF(E6264=F6264,"PASS","FAIL")</x:f>
        <x:v>PASS</x:v>
      </x:c>
    </x:row>
    <x:row r="6265">
      <x:c r="B6265" s="21" t="str">
        <x:v>A06259</x:v>
      </x:c>
      <x:c r="C6265" s="21" t="str">
        <x:v>change</x:v>
      </x:c>
      <x:c r="D6265" s="21" t="str">
        <x:v>change 3 no self approval</x:v>
      </x:c>
      <x:c r="E6265" s="21" t="n">
        <x:f>IF(AND('Change Control'!G9=0,'Change Control'!H9="OPEN",'Change Control'!I9="HOLD"),1,0)</x:f>
        <x:v>1</x:v>
      </x:c>
      <x:c r="F6265" s="21" t="n">
        <x:v>1</x:v>
      </x:c>
      <x:c r="G6265" s="23" t="str">
        <x:f>IF(E6265=F6265,"PASS","FAIL")</x:f>
        <x:v>PASS</x:v>
      </x:c>
    </x:row>
    <x:row r="6266">
      <x:c r="B6266" s="21" t="str">
        <x:v>A06260</x:v>
      </x:c>
      <x:c r="C6266" s="21" t="str">
        <x:v>change</x:v>
      </x:c>
      <x:c r="D6266" s="21" t="str">
        <x:v>change 4 no self approval</x:v>
      </x:c>
      <x:c r="E6266" s="21" t="n">
        <x:f>IF(AND('Change Control'!G10=0,'Change Control'!H10="OPEN",'Change Control'!I10="HOLD"),1,0)</x:f>
        <x:v>1</x:v>
      </x:c>
      <x:c r="F6266" s="21" t="n">
        <x:v>1</x:v>
      </x:c>
      <x:c r="G6266" s="23" t="str">
        <x:f>IF(E6266=F6266,"PASS","FAIL")</x:f>
        <x:v>PASS</x:v>
      </x:c>
    </x:row>
    <x:row r="6267">
      <x:c r="B6267" s="21" t="str">
        <x:v>A06261</x:v>
      </x:c>
      <x:c r="C6267" s="21" t="str">
        <x:v>change</x:v>
      </x:c>
      <x:c r="D6267" s="21" t="str">
        <x:v>change 5 no self approval</x:v>
      </x:c>
      <x:c r="E6267" s="21" t="n">
        <x:f>IF(AND('Change Control'!G11=0,'Change Control'!H11="OPEN",'Change Control'!I11="HOLD"),1,0)</x:f>
        <x:v>1</x:v>
      </x:c>
      <x:c r="F6267" s="21" t="n">
        <x:v>1</x:v>
      </x:c>
      <x:c r="G6267" s="23" t="str">
        <x:f>IF(E6267=F6267,"PASS","FAIL")</x:f>
        <x:v>PASS</x:v>
      </x:c>
    </x:row>
    <x:row r="6268">
      <x:c r="B6268" s="21" t="str">
        <x:v>A06262</x:v>
      </x:c>
      <x:c r="C6268" s="21" t="str">
        <x:v>change</x:v>
      </x:c>
      <x:c r="D6268" s="21" t="str">
        <x:v>change 6 no self approval</x:v>
      </x:c>
      <x:c r="E6268" s="21" t="n">
        <x:f>IF(AND('Change Control'!G12=0,'Change Control'!H12="OPEN",'Change Control'!I12="HOLD"),1,0)</x:f>
        <x:v>1</x:v>
      </x:c>
      <x:c r="F6268" s="21" t="n">
        <x:v>1</x:v>
      </x:c>
      <x:c r="G6268" s="23" t="str">
        <x:f>IF(E6268=F6268,"PASS","FAIL")</x:f>
        <x:v>PASS</x:v>
      </x:c>
    </x:row>
    <x:row r="6269">
      <x:c r="B6269" s="21" t="str">
        <x:v>A06263</x:v>
      </x:c>
      <x:c r="C6269" s="21" t="str">
        <x:v>change</x:v>
      </x:c>
      <x:c r="D6269" s="21" t="str">
        <x:v>change 7 no self approval</x:v>
      </x:c>
      <x:c r="E6269" s="21" t="n">
        <x:f>IF(AND('Change Control'!G13=0,'Change Control'!H13="OPEN",'Change Control'!I13="HOLD"),1,0)</x:f>
        <x:v>1</x:v>
      </x:c>
      <x:c r="F6269" s="21" t="n">
        <x:v>1</x:v>
      </x:c>
      <x:c r="G6269" s="23" t="str">
        <x:f>IF(E6269=F6269,"PASS","FAIL")</x:f>
        <x:v>PASS</x:v>
      </x:c>
    </x:row>
    <x:row r="6270">
      <x:c r="B6270" s="21" t="str">
        <x:v>A06264</x:v>
      </x:c>
      <x:c r="C6270" s="21" t="str">
        <x:v>change</x:v>
      </x:c>
      <x:c r="D6270" s="21" t="str">
        <x:v>change 8 no self approval</x:v>
      </x:c>
      <x:c r="E6270" s="21" t="n">
        <x:f>IF(AND('Change Control'!G14=0,'Change Control'!H14="OPEN",'Change Control'!I14="HOLD"),1,0)</x:f>
        <x:v>1</x:v>
      </x:c>
      <x:c r="F6270" s="21" t="n">
        <x:v>1</x:v>
      </x:c>
      <x:c r="G6270" s="23" t="str">
        <x:f>IF(E6270=F6270,"PASS","FAIL")</x:f>
        <x:v>PASS</x:v>
      </x:c>
    </x:row>
    <x:row r="6271">
      <x:c r="B6271" s="21" t="str">
        <x:v>A06265</x:v>
      </x:c>
      <x:c r="C6271" s="21" t="str">
        <x:v>change</x:v>
      </x:c>
      <x:c r="D6271" s="21" t="str">
        <x:v>change 9 no self approval</x:v>
      </x:c>
      <x:c r="E6271" s="21" t="n">
        <x:f>IF(AND('Change Control'!G15=0,'Change Control'!H15="OPEN",'Change Control'!I15="HOLD"),1,0)</x:f>
        <x:v>1</x:v>
      </x:c>
      <x:c r="F6271" s="21" t="n">
        <x:v>1</x:v>
      </x:c>
      <x:c r="G6271" s="23" t="str">
        <x:f>IF(E6271=F6271,"PASS","FAIL")</x:f>
        <x:v>PASS</x:v>
      </x:c>
    </x:row>
    <x:row r="6272">
      <x:c r="B6272" s="21" t="str">
        <x:v>A06266</x:v>
      </x:c>
      <x:c r="C6272" s="21" t="str">
        <x:v>change</x:v>
      </x:c>
      <x:c r="D6272" s="21" t="str">
        <x:v>change 10 no self approval</x:v>
      </x:c>
      <x:c r="E6272" s="21" t="n">
        <x:f>IF(AND('Change Control'!G16=0,'Change Control'!H16="OPEN",'Change Control'!I16="HOLD"),1,0)</x:f>
        <x:v>1</x:v>
      </x:c>
      <x:c r="F6272" s="21" t="n">
        <x:v>1</x:v>
      </x:c>
      <x:c r="G6272" s="23" t="str">
        <x:f>IF(E6272=F6272,"PASS","FAIL")</x:f>
        <x:v>PASS</x:v>
      </x:c>
    </x:row>
    <x:row r="6273">
      <x:c r="B6273" s="21" t="str">
        <x:v>A06267</x:v>
      </x:c>
      <x:c r="C6273" s="21" t="str">
        <x:v>replacement</x:v>
      </x:c>
      <x:c r="D6273" s="21" t="str">
        <x:v>replacement 1 no automatic waiver</x:v>
      </x:c>
      <x:c r="E6273" s="21" t="n">
        <x:f>IF('Replacement Logic'!F7=0,1,0)</x:f>
        <x:v>1</x:v>
      </x:c>
      <x:c r="F6273" s="21" t="n">
        <x:v>1</x:v>
      </x:c>
      <x:c r="G6273" s="23" t="str">
        <x:f>IF(E6273=F6273,"PASS","FAIL")</x:f>
        <x:v>PASS</x:v>
      </x:c>
    </x:row>
    <x:row r="6274">
      <x:c r="B6274" s="21" t="str">
        <x:v>A06268</x:v>
      </x:c>
      <x:c r="C6274" s="21" t="str">
        <x:v>replacement</x:v>
      </x:c>
      <x:c r="D6274" s="21" t="str">
        <x:v>replacement 2 no automatic waiver</x:v>
      </x:c>
      <x:c r="E6274" s="21" t="n">
        <x:f>IF('Replacement Logic'!F8=0,1,0)</x:f>
        <x:v>1</x:v>
      </x:c>
      <x:c r="F6274" s="21" t="n">
        <x:v>1</x:v>
      </x:c>
      <x:c r="G6274" s="23" t="str">
        <x:f>IF(E6274=F6274,"PASS","FAIL")</x:f>
        <x:v>PASS</x:v>
      </x:c>
    </x:row>
    <x:row r="6275">
      <x:c r="B6275" s="21" t="str">
        <x:v>A06269</x:v>
      </x:c>
      <x:c r="C6275" s="21" t="str">
        <x:v>replacement</x:v>
      </x:c>
      <x:c r="D6275" s="21" t="str">
        <x:v>replacement 3 no automatic waiver</x:v>
      </x:c>
      <x:c r="E6275" s="21" t="n">
        <x:f>IF('Replacement Logic'!F9=0,1,0)</x:f>
        <x:v>1</x:v>
      </x:c>
      <x:c r="F6275" s="21" t="n">
        <x:v>1</x:v>
      </x:c>
      <x:c r="G6275" s="23" t="str">
        <x:f>IF(E6275=F6275,"PASS","FAIL")</x:f>
        <x:v>PASS</x:v>
      </x:c>
    </x:row>
    <x:row r="6276">
      <x:c r="B6276" s="21" t="str">
        <x:v>A06270</x:v>
      </x:c>
      <x:c r="C6276" s="21" t="str">
        <x:v>replacement</x:v>
      </x:c>
      <x:c r="D6276" s="21" t="str">
        <x:v>replacement 4 no automatic waiver</x:v>
      </x:c>
      <x:c r="E6276" s="21" t="n">
        <x:f>IF('Replacement Logic'!F10=0,1,0)</x:f>
        <x:v>1</x:v>
      </x:c>
      <x:c r="F6276" s="21" t="n">
        <x:v>1</x:v>
      </x:c>
      <x:c r="G6276" s="23" t="str">
        <x:f>IF(E6276=F6276,"PASS","FAIL")</x:f>
        <x:v>PASS</x:v>
      </x:c>
    </x:row>
    <x:row r="6277">
      <x:c r="B6277" s="21" t="str">
        <x:v>A06271</x:v>
      </x:c>
      <x:c r="C6277" s="21" t="str">
        <x:v>replacement</x:v>
      </x:c>
      <x:c r="D6277" s="21" t="str">
        <x:v>replacement 5 no automatic waiver</x:v>
      </x:c>
      <x:c r="E6277" s="21" t="n">
        <x:f>IF('Replacement Logic'!F11=0,1,0)</x:f>
        <x:v>1</x:v>
      </x:c>
      <x:c r="F6277" s="21" t="n">
        <x:v>1</x:v>
      </x:c>
      <x:c r="G6277" s="23" t="str">
        <x:f>IF(E6277=F6277,"PASS","FAIL")</x:f>
        <x:v>PASS</x:v>
      </x:c>
    </x:row>
    <x:row r="6278">
      <x:c r="B6278" s="21" t="str">
        <x:v>A06272</x:v>
      </x:c>
      <x:c r="C6278" s="21" t="str">
        <x:v>replacement</x:v>
      </x:c>
      <x:c r="D6278" s="21" t="str">
        <x:v>replacement 6 no automatic waiver</x:v>
      </x:c>
      <x:c r="E6278" s="21" t="n">
        <x:f>IF('Replacement Logic'!F12=0,1,0)</x:f>
        <x:v>1</x:v>
      </x:c>
      <x:c r="F6278" s="21" t="n">
        <x:v>1</x:v>
      </x:c>
      <x:c r="G6278" s="23" t="str">
        <x:f>IF(E6278=F6278,"PASS","FAIL")</x:f>
        <x:v>PASS</x:v>
      </x:c>
    </x:row>
    <x:row r="6279">
      <x:c r="B6279" s="21" t="str">
        <x:v>A06273</x:v>
      </x:c>
      <x:c r="C6279" s="21" t="str">
        <x:v>replacement</x:v>
      </x:c>
      <x:c r="D6279" s="21" t="str">
        <x:v>replacement 7 no automatic waiver</x:v>
      </x:c>
      <x:c r="E6279" s="21" t="n">
        <x:f>IF('Replacement Logic'!F13=0,1,0)</x:f>
        <x:v>1</x:v>
      </x:c>
      <x:c r="F6279" s="21" t="n">
        <x:v>1</x:v>
      </x:c>
      <x:c r="G6279" s="23" t="str">
        <x:f>IF(E6279=F6279,"PASS","FAIL")</x:f>
        <x:v>PASS</x:v>
      </x:c>
    </x:row>
    <x:row r="6280">
      <x:c r="B6280" s="21" t="str">
        <x:v>A06274</x:v>
      </x:c>
      <x:c r="C6280" s="21" t="str">
        <x:v>replacement</x:v>
      </x:c>
      <x:c r="D6280" s="21" t="str">
        <x:v>replacement 8 no automatic waiver</x:v>
      </x:c>
      <x:c r="E6280" s="21" t="n">
        <x:f>IF('Replacement Logic'!F14=0,1,0)</x:f>
        <x:v>1</x:v>
      </x:c>
      <x:c r="F6280" s="21" t="n">
        <x:v>1</x:v>
      </x:c>
      <x:c r="G6280" s="23" t="str">
        <x:f>IF(E6280=F6280,"PASS","FAIL")</x:f>
        <x:v>PASS</x:v>
      </x:c>
    </x:row>
    <x:row r="6281">
      <x:c r="B6281" s="21" t="str">
        <x:v>A06275</x:v>
      </x:c>
      <x:c r="C6281" s="21" t="str">
        <x:v>replacement</x:v>
      </x:c>
      <x:c r="D6281" s="21" t="str">
        <x:v>replacement 9 no automatic waiver</x:v>
      </x:c>
      <x:c r="E6281" s="21" t="n">
        <x:f>IF('Replacement Logic'!F15=0,1,0)</x:f>
        <x:v>1</x:v>
      </x:c>
      <x:c r="F6281" s="21" t="n">
        <x:v>1</x:v>
      </x:c>
      <x:c r="G6281" s="23" t="str">
        <x:f>IF(E6281=F6281,"PASS","FAIL")</x:f>
        <x:v>PASS</x:v>
      </x:c>
    </x:row>
    <x:row r="6282">
      <x:c r="B6282" s="21" t="str">
        <x:v>A06276</x:v>
      </x:c>
      <x:c r="C6282" s="21" t="str">
        <x:v>replacement</x:v>
      </x:c>
      <x:c r="D6282" s="21" t="str">
        <x:v>replacement 10 no automatic waiver</x:v>
      </x:c>
      <x:c r="E6282" s="21" t="n">
        <x:f>IF('Replacement Logic'!F16=0,1,0)</x:f>
        <x:v>1</x:v>
      </x:c>
      <x:c r="F6282" s="21" t="n">
        <x:v>1</x:v>
      </x:c>
      <x:c r="G6282" s="23" t="str">
        <x:f>IF(E6282=F6282,"PASS","FAIL")</x:f>
        <x:v>PASS</x:v>
      </x:c>
    </x:row>
    <x:row r="6283">
      <x:c r="B6283" s="21" t="str">
        <x:v>A06277</x:v>
      </x:c>
      <x:c r="C6283" s="21" t="str">
        <x:v>replacement</x:v>
      </x:c>
      <x:c r="D6283" s="21" t="str">
        <x:v>replacement 11 no automatic waiver</x:v>
      </x:c>
      <x:c r="E6283" s="21" t="n">
        <x:f>IF('Replacement Logic'!F17=0,1,0)</x:f>
        <x:v>1</x:v>
      </x:c>
      <x:c r="F6283" s="21" t="n">
        <x:v>1</x:v>
      </x:c>
      <x:c r="G6283" s="23" t="str">
        <x:f>IF(E6283=F6283,"PASS","FAIL")</x:f>
        <x:v>PASS</x:v>
      </x:c>
    </x:row>
    <x:row r="6284">
      <x:c r="B6284" s="21" t="str">
        <x:v>A06278</x:v>
      </x:c>
      <x:c r="C6284" s="21" t="str">
        <x:v>replacement</x:v>
      </x:c>
      <x:c r="D6284" s="21" t="str">
        <x:v>replacement 12 no automatic waiver</x:v>
      </x:c>
      <x:c r="E6284" s="21" t="n">
        <x:f>IF('Replacement Logic'!F18=0,1,0)</x:f>
        <x:v>1</x:v>
      </x:c>
      <x:c r="F6284" s="21" t="n">
        <x:v>1</x:v>
      </x:c>
      <x:c r="G6284" s="23" t="str">
        <x:f>IF(E6284=F6284,"PASS","FAIL")</x:f>
        <x:v>PASS</x:v>
      </x:c>
    </x:row>
    <x:row r="6285">
      <x:c r="B6285" s="21" t="str">
        <x:v>A06279</x:v>
      </x:c>
      <x:c r="C6285" s="21" t="str">
        <x:v>decision</x:v>
      </x:c>
      <x:c r="D6285" s="21" t="str">
        <x:v>decision 1 zero credit</x:v>
      </x:c>
      <x:c r="E6285" s="21" t="n">
        <x:f>IF('Decision Gates'!G7=0,1,0)</x:f>
        <x:v>1</x:v>
      </x:c>
      <x:c r="F6285" s="21" t="n">
        <x:v>1</x:v>
      </x:c>
      <x:c r="G6285" s="23" t="str">
        <x:f>IF(E6285=F6285,"PASS","FAIL")</x:f>
        <x:v>PASS</x:v>
      </x:c>
    </x:row>
    <x:row r="6286">
      <x:c r="B6286" s="21" t="str">
        <x:v>A06280</x:v>
      </x:c>
      <x:c r="C6286" s="21" t="str">
        <x:v>decision</x:v>
      </x:c>
      <x:c r="D6286" s="21" t="str">
        <x:v>decision 2 zero credit</x:v>
      </x:c>
      <x:c r="E6286" s="21" t="n">
        <x:f>IF('Decision Gates'!G8=0,1,0)</x:f>
        <x:v>1</x:v>
      </x:c>
      <x:c r="F6286" s="21" t="n">
        <x:v>1</x:v>
      </x:c>
      <x:c r="G6286" s="23" t="str">
        <x:f>IF(E6286=F6286,"PASS","FAIL")</x:f>
        <x:v>PASS</x:v>
      </x:c>
    </x:row>
    <x:row r="6287">
      <x:c r="B6287" s="21" t="str">
        <x:v>A06281</x:v>
      </x:c>
      <x:c r="C6287" s="21" t="str">
        <x:v>decision</x:v>
      </x:c>
      <x:c r="D6287" s="21" t="str">
        <x:v>decision 3 zero credit</x:v>
      </x:c>
      <x:c r="E6287" s="21" t="n">
        <x:f>IF('Decision Gates'!G9=0,1,0)</x:f>
        <x:v>1</x:v>
      </x:c>
      <x:c r="F6287" s="21" t="n">
        <x:v>1</x:v>
      </x:c>
      <x:c r="G6287" s="23" t="str">
        <x:f>IF(E6287=F6287,"PASS","FAIL")</x:f>
        <x:v>PASS</x:v>
      </x:c>
    </x:row>
    <x:row r="6288">
      <x:c r="B6288" s="21" t="str">
        <x:v>A06282</x:v>
      </x:c>
      <x:c r="C6288" s="21" t="str">
        <x:v>decision</x:v>
      </x:c>
      <x:c r="D6288" s="21" t="str">
        <x:v>decision 4 zero credit</x:v>
      </x:c>
      <x:c r="E6288" s="21" t="n">
        <x:f>IF('Decision Gates'!G10=0,1,0)</x:f>
        <x:v>1</x:v>
      </x:c>
      <x:c r="F6288" s="21" t="n">
        <x:v>1</x:v>
      </x:c>
      <x:c r="G6288" s="23" t="str">
        <x:f>IF(E6288=F6288,"PASS","FAIL")</x:f>
        <x:v>PASS</x:v>
      </x:c>
    </x:row>
    <x:row r="6289">
      <x:c r="B6289" s="21" t="str">
        <x:v>A06283</x:v>
      </x:c>
      <x:c r="C6289" s="21" t="str">
        <x:v>decision</x:v>
      </x:c>
      <x:c r="D6289" s="21" t="str">
        <x:v>decision 5 zero credit</x:v>
      </x:c>
      <x:c r="E6289" s="21" t="n">
        <x:f>IF('Decision Gates'!G11=0,1,0)</x:f>
        <x:v>1</x:v>
      </x:c>
      <x:c r="F6289" s="21" t="n">
        <x:v>1</x:v>
      </x:c>
      <x:c r="G6289" s="23" t="str">
        <x:f>IF(E6289=F6289,"PASS","FAIL")</x:f>
        <x:v>PASS</x:v>
      </x:c>
    </x:row>
    <x:row r="6290">
      <x:c r="B6290" s="21" t="str">
        <x:v>A06284</x:v>
      </x:c>
      <x:c r="C6290" s="21" t="str">
        <x:v>decision</x:v>
      </x:c>
      <x:c r="D6290" s="21" t="str">
        <x:v>decision 6 zero credit</x:v>
      </x:c>
      <x:c r="E6290" s="21" t="n">
        <x:f>IF('Decision Gates'!G12=0,1,0)</x:f>
        <x:v>1</x:v>
      </x:c>
      <x:c r="F6290" s="21" t="n">
        <x:v>1</x:v>
      </x:c>
      <x:c r="G6290" s="23" t="str">
        <x:f>IF(E6290=F6290,"PASS","FAIL")</x:f>
        <x:v>PASS</x:v>
      </x:c>
    </x:row>
    <x:row r="6291">
      <x:c r="B6291" s="21" t="str">
        <x:v>A06285</x:v>
      </x:c>
      <x:c r="C6291" s="21" t="str">
        <x:v>decision</x:v>
      </x:c>
      <x:c r="D6291" s="21" t="str">
        <x:v>decision 7 zero credit</x:v>
      </x:c>
      <x:c r="E6291" s="21" t="n">
        <x:f>IF('Decision Gates'!G13=0,1,0)</x:f>
        <x:v>1</x:v>
      </x:c>
      <x:c r="F6291" s="21" t="n">
        <x:v>1</x:v>
      </x:c>
      <x:c r="G6291" s="23" t="str">
        <x:f>IF(E6291=F6291,"PASS","FAIL")</x:f>
        <x:v>PASS</x:v>
      </x:c>
    </x:row>
    <x:row r="6292">
      <x:c r="B6292" s="21" t="str">
        <x:v>A06286</x:v>
      </x:c>
      <x:c r="C6292" s="21" t="str">
        <x:v>decision</x:v>
      </x:c>
      <x:c r="D6292" s="21" t="str">
        <x:v>decision 8 zero credit</x:v>
      </x:c>
      <x:c r="E6292" s="21" t="n">
        <x:f>IF('Decision Gates'!G14=0,1,0)</x:f>
        <x:v>1</x:v>
      </x:c>
      <x:c r="F6292" s="21" t="n">
        <x:v>1</x:v>
      </x:c>
      <x:c r="G6292" s="23" t="str">
        <x:f>IF(E6292=F6292,"PASS","FAIL")</x:f>
        <x:v>PASS</x:v>
      </x:c>
    </x:row>
    <x:row r="6293">
      <x:c r="B6293" s="21" t="str">
        <x:v>A06287</x:v>
      </x:c>
      <x:c r="C6293" s="21" t="str">
        <x:v>decision</x:v>
      </x:c>
      <x:c r="D6293" s="21" t="str">
        <x:v>decision 9 zero credit</x:v>
      </x:c>
      <x:c r="E6293" s="21" t="n">
        <x:f>IF('Decision Gates'!G15=0,1,0)</x:f>
        <x:v>1</x:v>
      </x:c>
      <x:c r="F6293" s="21" t="n">
        <x:v>1</x:v>
      </x:c>
      <x:c r="G6293" s="23" t="str">
        <x:f>IF(E6293=F6293,"PASS","FAIL")</x:f>
        <x:v>PASS</x:v>
      </x:c>
    </x:row>
    <x:row r="6294">
      <x:c r="B6294" s="21" t="str">
        <x:v>A06288</x:v>
      </x:c>
      <x:c r="C6294" s="21" t="str">
        <x:v>decision</x:v>
      </x:c>
      <x:c r="D6294" s="21" t="str">
        <x:v>decision 10 zero credit</x:v>
      </x:c>
      <x:c r="E6294" s="21" t="n">
        <x:f>IF('Decision Gates'!G16=0,1,0)</x:f>
        <x:v>1</x:v>
      </x:c>
      <x:c r="F6294" s="21" t="n">
        <x:v>1</x:v>
      </x:c>
      <x:c r="G6294" s="23" t="str">
        <x:f>IF(E6294=F6294,"PASS","FAIL")</x:f>
        <x:v>PASS</x:v>
      </x:c>
    </x:row>
    <x:row r="6295">
      <x:c r="B6295" s="21" t="str">
        <x:v>A06289</x:v>
      </x:c>
      <x:c r="C6295" s="21" t="str">
        <x:v>decision</x:v>
      </x:c>
      <x:c r="D6295" s="21" t="str">
        <x:v>decision 11 zero credit</x:v>
      </x:c>
      <x:c r="E6295" s="21" t="n">
        <x:f>IF('Decision Gates'!G17=0,1,0)</x:f>
        <x:v>1</x:v>
      </x:c>
      <x:c r="F6295" s="21" t="n">
        <x:v>1</x:v>
      </x:c>
      <x:c r="G6295" s="23" t="str">
        <x:f>IF(E6295=F6295,"PASS","FAIL")</x:f>
        <x:v>PASS</x:v>
      </x:c>
    </x:row>
    <x:row r="6296">
      <x:c r="B6296" s="21" t="str">
        <x:v>A06290</x:v>
      </x:c>
      <x:c r="C6296" s="21" t="str">
        <x:v>decision</x:v>
      </x:c>
      <x:c r="D6296" s="21" t="str">
        <x:v>decision 12 zero credit</x:v>
      </x:c>
      <x:c r="E6296" s="21" t="n">
        <x:f>IF('Decision Gates'!G18=0,1,0)</x:f>
        <x:v>1</x:v>
      </x:c>
      <x:c r="F6296" s="21" t="n">
        <x:v>1</x:v>
      </x:c>
      <x:c r="G6296" s="23" t="str">
        <x:f>IF(E6296=F6296,"PASS","FAIL")</x:f>
        <x:v>PASS</x:v>
      </x:c>
    </x:row>
    <x:row r="6297">
      <x:c r="B6297" s="21" t="str">
        <x:v>A06291</x:v>
      </x:c>
      <x:c r="C6297" s="21" t="str">
        <x:v>decision</x:v>
      </x:c>
      <x:c r="D6297" s="21" t="str">
        <x:v>decision 13 zero credit</x:v>
      </x:c>
      <x:c r="E6297" s="21" t="n">
        <x:f>IF('Decision Gates'!G19=0,1,0)</x:f>
        <x:v>1</x:v>
      </x:c>
      <x:c r="F6297" s="21" t="n">
        <x:v>1</x:v>
      </x:c>
      <x:c r="G6297" s="23" t="str">
        <x:f>IF(E6297=F6297,"PASS","FAIL")</x:f>
        <x:v>PASS</x:v>
      </x:c>
    </x:row>
    <x:row r="6298">
      <x:c r="B6298" s="21" t="str">
        <x:v>A06292</x:v>
      </x:c>
      <x:c r="C6298" s="21" t="str">
        <x:v>decision</x:v>
      </x:c>
      <x:c r="D6298" s="21" t="str">
        <x:v>decision 14 zero credit</x:v>
      </x:c>
      <x:c r="E6298" s="21" t="n">
        <x:f>IF('Decision Gates'!G20=0,1,0)</x:f>
        <x:v>1</x:v>
      </x:c>
      <x:c r="F6298" s="21" t="n">
        <x:v>1</x:v>
      </x:c>
      <x:c r="G6298" s="23" t="str">
        <x:f>IF(E6298=F6298,"PASS","FAIL")</x:f>
        <x:v>PASS</x:v>
      </x:c>
    </x:row>
    <x:row r="6299">
      <x:c r="B6299" s="21" t="str">
        <x:v>A06293</x:v>
      </x:c>
      <x:c r="C6299" s="21" t="str">
        <x:v>decision</x:v>
      </x:c>
      <x:c r="D6299" s="21" t="str">
        <x:v>decision 15 zero credit</x:v>
      </x:c>
      <x:c r="E6299" s="21" t="n">
        <x:f>IF('Decision Gates'!G21=0,1,0)</x:f>
        <x:v>1</x:v>
      </x:c>
      <x:c r="F6299" s="21" t="n">
        <x:v>1</x:v>
      </x:c>
      <x:c r="G6299" s="23" t="str">
        <x:f>IF(E6299=F6299,"PASS","FAIL")</x:f>
        <x:v>PASS</x:v>
      </x:c>
    </x:row>
    <x:row r="6300">
      <x:c r="B6300" s="21" t="str">
        <x:v>A06294</x:v>
      </x:c>
      <x:c r="C6300" s="21" t="str">
        <x:v>decision</x:v>
      </x:c>
      <x:c r="D6300" s="21" t="str">
        <x:v>decision 16 zero credit</x:v>
      </x:c>
      <x:c r="E6300" s="21" t="n">
        <x:f>IF('Decision Gates'!G22=0,1,0)</x:f>
        <x:v>1</x:v>
      </x:c>
      <x:c r="F6300" s="21" t="n">
        <x:v>1</x:v>
      </x:c>
      <x:c r="G6300" s="23" t="str">
        <x:f>IF(E6300=F6300,"PASS","FAIL")</x:f>
        <x:v>PASS</x:v>
      </x:c>
    </x:row>
    <x:row r="6301">
      <x:c r="B6301" s="21" t="str">
        <x:v>A06295</x:v>
      </x:c>
      <x:c r="C6301" s="21" t="str">
        <x:v>decision</x:v>
      </x:c>
      <x:c r="D6301" s="21" t="str">
        <x:v>decision 17 zero credit</x:v>
      </x:c>
      <x:c r="E6301" s="21" t="n">
        <x:f>IF('Decision Gates'!G23=0,1,0)</x:f>
        <x:v>1</x:v>
      </x:c>
      <x:c r="F6301" s="21" t="n">
        <x:v>1</x:v>
      </x:c>
      <x:c r="G6301" s="23" t="str">
        <x:f>IF(E6301=F6301,"PASS","FAIL")</x:f>
        <x:v>PASS</x:v>
      </x:c>
    </x:row>
    <x:row r="6302">
      <x:c r="B6302" s="21" t="str">
        <x:v>A06296</x:v>
      </x:c>
      <x:c r="C6302" s="21" t="str">
        <x:v>decision</x:v>
      </x:c>
      <x:c r="D6302" s="21" t="str">
        <x:v>decision 18 zero credit</x:v>
      </x:c>
      <x:c r="E6302" s="21" t="n">
        <x:f>IF('Decision Gates'!G24=0,1,0)</x:f>
        <x:v>1</x:v>
      </x:c>
      <x:c r="F6302" s="21" t="n">
        <x:v>1</x:v>
      </x:c>
      <x:c r="G6302" s="23" t="str">
        <x:f>IF(E6302=F6302,"PASS","FAIL")</x:f>
        <x:v>PASS</x:v>
      </x:c>
    </x:row>
    <x:row r="6303">
      <x:c r="B6303" s="21" t="str">
        <x:v>A06297</x:v>
      </x:c>
      <x:c r="C6303" s="21" t="str">
        <x:v>decision</x:v>
      </x:c>
      <x:c r="D6303" s="21" t="str">
        <x:v>decision 19 zero credit</x:v>
      </x:c>
      <x:c r="E6303" s="21" t="n">
        <x:f>IF('Decision Gates'!G25=0,1,0)</x:f>
        <x:v>1</x:v>
      </x:c>
      <x:c r="F6303" s="21" t="n">
        <x:v>1</x:v>
      </x:c>
      <x:c r="G6303" s="23" t="str">
        <x:f>IF(E6303=F6303,"PASS","FAIL")</x:f>
        <x:v>PASS</x:v>
      </x:c>
    </x:row>
    <x:row r="6304">
      <x:c r="B6304" s="21" t="str">
        <x:v>A06298</x:v>
      </x:c>
      <x:c r="C6304" s="21" t="str">
        <x:v>decision</x:v>
      </x:c>
      <x:c r="D6304" s="21" t="str">
        <x:v>decision 20 zero credit</x:v>
      </x:c>
      <x:c r="E6304" s="21" t="n">
        <x:f>IF('Decision Gates'!G26=0,1,0)</x:f>
        <x:v>1</x:v>
      </x:c>
      <x:c r="F6304" s="21" t="n">
        <x:v>1</x:v>
      </x:c>
      <x:c r="G6304" s="23" t="str">
        <x:f>IF(E6304=F6304,"PASS","FAIL")</x:f>
        <x:v>PASS</x:v>
      </x:c>
    </x:row>
    <x:row r="6305">
      <x:c r="B6305" s="21" t="str">
        <x:v>A06299</x:v>
      </x:c>
      <x:c r="C6305" s="21" t="str">
        <x:v>decision</x:v>
      </x:c>
      <x:c r="D6305" s="21" t="str">
        <x:v>decision 21 zero credit</x:v>
      </x:c>
      <x:c r="E6305" s="21" t="n">
        <x:f>IF('Decision Gates'!G27=0,1,0)</x:f>
        <x:v>1</x:v>
      </x:c>
      <x:c r="F6305" s="21" t="n">
        <x:v>1</x:v>
      </x:c>
      <x:c r="G6305" s="23" t="str">
        <x:f>IF(E6305=F6305,"PASS","FAIL")</x:f>
        <x:v>PASS</x:v>
      </x:c>
    </x:row>
    <x:row r="6306">
      <x:c r="B6306" s="21" t="str">
        <x:v>A06300</x:v>
      </x:c>
      <x:c r="C6306" s="21" t="str">
        <x:v>decision</x:v>
      </x:c>
      <x:c r="D6306" s="21" t="str">
        <x:v>decision 22 zero credit</x:v>
      </x:c>
      <x:c r="E6306" s="21" t="n">
        <x:f>IF('Decision Gates'!G28=0,1,0)</x:f>
        <x:v>1</x:v>
      </x:c>
      <x:c r="F6306" s="21" t="n">
        <x:v>1</x:v>
      </x:c>
      <x:c r="G6306" s="23" t="str">
        <x:f>IF(E6306=F6306,"PASS","FAIL")</x:f>
        <x:v>PASS</x:v>
      </x:c>
    </x:row>
    <x:row r="6307">
      <x:c r="B6307" s="21" t="str">
        <x:v>A06301</x:v>
      </x:c>
      <x:c r="C6307" s="21" t="str">
        <x:v>decision</x:v>
      </x:c>
      <x:c r="D6307" s="21" t="str">
        <x:v>decision 23 zero credit</x:v>
      </x:c>
      <x:c r="E6307" s="21" t="n">
        <x:f>IF('Decision Gates'!G29=0,1,0)</x:f>
        <x:v>1</x:v>
      </x:c>
      <x:c r="F6307" s="21" t="n">
        <x:v>1</x:v>
      </x:c>
      <x:c r="G6307" s="23" t="str">
        <x:f>IF(E6307=F6307,"PASS","FAIL")</x:f>
        <x:v>PASS</x:v>
      </x:c>
    </x:row>
    <x:row r="6308">
      <x:c r="B6308" s="24" t="str">
        <x:v>A06302</x:v>
      </x:c>
      <x:c r="C6308" s="24" t="str">
        <x:v>decision</x:v>
      </x:c>
      <x:c r="D6308" s="24" t="str">
        <x:v>decision 24 zero credit</x:v>
      </x:c>
      <x:c r="E6308" s="24" t="n">
        <x:f>IF('Decision Gates'!G30=0,1,0)</x:f>
        <x:v>1</x:v>
      </x:c>
      <x:c r="F6308" s="24" t="n">
        <x:v>1</x:v>
      </x:c>
      <x:c r="G6308" s="26" t="str">
        <x:f>IF(E6308=F6308,"PASS","FAIL")</x:f>
        <x:v>PASS</x:v>
      </x:c>
    </x:row>
    <x:row r="6309">
      <x:c r="B6309" s="2"/>
      <x:c r="C6309" s="2"/>
      <x:c r="D6309" s="2"/>
      <x:c r="E6309" s="2"/>
      <x:c r="F6309" s="2"/>
      <x:c r="G6309" s="2"/>
    </x:row>
    <x:row r="6310">
      <x:c r="B6310" s="2"/>
      <x:c r="C6310" s="2"/>
      <x:c r="D6310" s="2"/>
      <x:c r="E6310" s="2"/>
      <x:c r="F6310" s="2"/>
      <x:c r="G6310" s="2"/>
    </x:row>
    <x:row r="6311">
      <x:c r="B6311" s="2"/>
      <x:c r="C6311" s="2"/>
      <x:c r="D6311" s="2"/>
      <x:c r="E6311" s="2"/>
      <x:c r="F6311" s="2"/>
      <x:c r="G6311" s="2"/>
    </x:row>
    <x:row r="6312">
      <x:c r="B6312" s="2"/>
      <x:c r="C6312" s="2"/>
      <x:c r="D6312" s="2"/>
      <x:c r="E6312" s="2"/>
      <x:c r="F6312" s="2"/>
      <x:c r="G6312" s="2"/>
    </x:row>
    <x:row r="6313">
      <x:c r="B6313" s="2"/>
      <x:c r="C6313" s="2"/>
      <x:c r="D6313" s="2"/>
      <x:c r="E6313" s="2"/>
      <x:c r="F6313" s="2"/>
      <x:c r="G6313" s="2"/>
    </x:row>
    <x:row r="6314">
      <x:c r="B6314" s="2"/>
      <x:c r="C6314" s="2"/>
      <x:c r="D6314" s="2"/>
      <x:c r="E6314" s="2"/>
      <x:c r="F6314" s="2"/>
      <x:c r="G6314" s="2"/>
    </x:row>
    <x:row r="6315">
      <x:c r="B6315" s="2"/>
      <x:c r="C6315" s="2"/>
      <x:c r="D6315" s="2"/>
      <x:c r="E6315" s="2"/>
      <x:c r="F6315" s="2"/>
      <x:c r="G6315" s="2"/>
    </x:row>
    <x:row r="6316">
      <x:c r="B6316" s="2"/>
      <x:c r="C6316" s="2"/>
      <x:c r="D6316" s="2"/>
      <x:c r="E6316" s="2"/>
      <x:c r="F6316" s="2"/>
      <x:c r="G6316" s="2"/>
    </x:row>
    <x:row r="6317">
      <x:c r="B6317" s="2"/>
      <x:c r="C6317" s="2"/>
      <x:c r="D6317" s="2"/>
      <x:c r="E6317" s="2"/>
      <x:c r="F6317" s="2"/>
      <x:c r="G6317" s="2"/>
    </x:row>
    <x:row r="6318">
      <x:c r="B6318" s="2"/>
      <x:c r="C6318" s="2"/>
      <x:c r="D6318" s="2"/>
      <x:c r="E6318" s="2"/>
      <x:c r="F6318" s="2"/>
      <x:c r="G6318" s="2"/>
    </x:row>
    <x:row r="6319">
      <x:c r="B6319" s="2"/>
      <x:c r="C6319" s="2"/>
      <x:c r="D6319" s="2"/>
      <x:c r="E6319" s="2"/>
      <x:c r="F6319" s="2"/>
      <x:c r="G6319" s="2"/>
    </x:row>
    <x:row r="6320">
      <x:c r="B6320" s="2"/>
      <x:c r="C6320" s="2"/>
      <x:c r="D6320" s="2"/>
      <x:c r="E6320" s="2"/>
      <x:c r="F6320" s="2"/>
      <x:c r="G6320" s="2"/>
    </x:row>
    <x:row r="6321">
      <x:c r="B6321" s="2"/>
      <x:c r="C6321" s="2"/>
      <x:c r="D6321" s="2"/>
      <x:c r="E6321" s="2"/>
      <x:c r="F6321" s="2"/>
      <x:c r="G6321" s="2"/>
    </x:row>
    <x:row r="6322">
      <x:c r="B6322" s="2"/>
      <x:c r="C6322" s="2"/>
      <x:c r="D6322" s="2"/>
      <x:c r="E6322" s="2"/>
      <x:c r="F6322" s="2"/>
      <x:c r="G6322" s="2"/>
    </x:row>
    <x:row r="6323">
      <x:c r="B6323" s="2"/>
      <x:c r="C6323" s="2"/>
      <x:c r="D6323" s="2"/>
      <x:c r="E6323" s="2"/>
      <x:c r="F6323" s="2"/>
      <x:c r="G6323" s="2"/>
    </x:row>
    <x:row r="6324">
      <x:c r="B6324" s="2"/>
      <x:c r="C6324" s="2"/>
      <x:c r="D6324" s="2"/>
      <x:c r="E6324" s="2"/>
      <x:c r="F6324" s="2"/>
      <x:c r="G6324" s="2"/>
    </x:row>
    <x:row r="6325">
      <x:c r="B6325" s="2"/>
      <x:c r="C6325" s="2"/>
      <x:c r="D6325" s="2"/>
      <x:c r="E6325" s="2"/>
      <x:c r="F6325" s="2"/>
      <x:c r="G6325" s="2"/>
    </x:row>
    <x:row r="6326">
      <x:c r="B6326" s="2"/>
      <x:c r="C6326" s="2"/>
      <x:c r="D6326" s="2"/>
      <x:c r="E6326" s="2"/>
      <x:c r="F6326" s="2"/>
      <x:c r="G6326" s="2"/>
    </x:row>
    <x:row r="6327">
      <x:c r="B6327" s="2"/>
      <x:c r="C6327" s="2"/>
      <x:c r="D6327" s="2"/>
      <x:c r="E6327" s="2"/>
      <x:c r="F6327" s="2"/>
      <x:c r="G6327" s="2"/>
    </x:row>
    <x:row r="6328">
      <x:c r="B6328" s="2"/>
      <x:c r="C6328" s="2"/>
      <x:c r="D6328" s="2"/>
      <x:c r="E6328" s="2"/>
      <x:c r="F6328" s="2"/>
      <x:c r="G6328" s="2"/>
    </x:row>
    <x:row r="6329">
      <x:c r="B6329" s="2"/>
      <x:c r="C6329" s="2"/>
      <x:c r="D6329" s="2"/>
      <x:c r="E6329" s="2"/>
      <x:c r="F6329" s="2"/>
      <x:c r="G6329" s="2"/>
    </x:row>
    <x:row r="6330">
      <x:c r="B6330" s="2"/>
      <x:c r="C6330" s="2"/>
      <x:c r="D6330" s="2"/>
      <x:c r="E6330" s="2"/>
      <x:c r="F6330" s="2"/>
      <x:c r="G6330" s="2"/>
    </x:row>
    <x:row r="6331">
      <x:c r="B6331" s="2"/>
      <x:c r="C6331" s="2"/>
      <x:c r="D6331" s="2"/>
      <x:c r="E6331" s="2"/>
      <x:c r="F6331" s="2"/>
      <x:c r="G6331" s="2"/>
    </x:row>
    <x:row r="6332">
      <x:c r="B6332" s="2"/>
      <x:c r="C6332" s="2"/>
      <x:c r="D6332" s="2"/>
      <x:c r="E6332" s="2"/>
      <x:c r="F6332" s="2"/>
      <x:c r="G6332" s="2"/>
    </x:row>
    <x:row r="6333">
      <x:c r="B6333" s="2"/>
      <x:c r="C6333" s="2"/>
      <x:c r="D6333" s="2"/>
      <x:c r="E6333" s="2"/>
      <x:c r="F6333" s="2"/>
      <x:c r="G6333" s="2"/>
    </x:row>
    <x:row r="6334">
      <x:c r="B6334" s="2"/>
      <x:c r="C6334" s="2"/>
      <x:c r="D6334" s="2"/>
      <x:c r="E6334" s="2"/>
      <x:c r="F6334" s="2"/>
      <x:c r="G6334" s="2"/>
    </x:row>
    <x:row r="6335">
      <x:c r="B6335" s="2"/>
      <x:c r="C6335" s="2"/>
      <x:c r="D6335" s="2"/>
      <x:c r="E6335" s="2"/>
      <x:c r="F6335" s="2"/>
      <x:c r="G6335" s="2"/>
    </x:row>
    <x:row r="6336">
      <x:c r="B6336" s="2"/>
      <x:c r="C6336" s="2"/>
      <x:c r="D6336" s="2"/>
      <x:c r="E6336" s="2"/>
      <x:c r="F6336" s="2"/>
      <x:c r="G6336" s="2"/>
    </x:row>
    <x:row r="6337">
      <x:c r="B6337" s="2"/>
      <x:c r="C6337" s="2"/>
      <x:c r="D6337" s="2"/>
      <x:c r="E6337" s="2"/>
      <x:c r="F6337" s="2"/>
      <x:c r="G6337" s="2"/>
    </x:row>
    <x:row r="6338">
      <x:c r="B6338" s="2"/>
      <x:c r="C6338" s="2"/>
      <x:c r="D6338" s="2"/>
      <x:c r="E6338" s="2"/>
      <x:c r="F6338" s="2"/>
      <x:c r="G6338" s="2"/>
    </x:row>
    <x:row r="6339">
      <x:c r="B6339" s="2"/>
      <x:c r="C6339" s="2"/>
      <x:c r="D6339" s="2"/>
      <x:c r="E6339" s="2"/>
      <x:c r="F6339" s="2"/>
      <x:c r="G6339" s="2"/>
    </x:row>
    <x:row r="6340">
      <x:c r="B6340" s="2"/>
      <x:c r="C6340" s="2"/>
      <x:c r="D6340" s="2"/>
      <x:c r="E6340" s="2"/>
      <x:c r="F6340" s="2"/>
      <x:c r="G6340" s="2"/>
    </x:row>
    <x:row r="6341">
      <x:c r="B6341" s="2"/>
      <x:c r="C6341" s="2"/>
      <x:c r="D6341" s="2"/>
      <x:c r="E6341" s="2"/>
      <x:c r="F6341" s="2"/>
      <x:c r="G6341" s="2"/>
    </x:row>
    <x:row r="6342">
      <x:c r="B6342" s="2"/>
      <x:c r="C6342" s="2"/>
      <x:c r="D6342" s="2"/>
      <x:c r="E6342" s="2"/>
      <x:c r="F6342" s="2"/>
      <x:c r="G6342" s="2"/>
    </x:row>
    <x:row r="6343">
      <x:c r="B6343" s="2"/>
      <x:c r="C6343" s="2"/>
      <x:c r="D6343" s="2"/>
      <x:c r="E6343" s="2"/>
      <x:c r="F6343" s="2"/>
      <x:c r="G6343" s="2"/>
    </x:row>
    <x:row r="6344">
      <x:c r="B6344" s="2"/>
      <x:c r="C6344" s="2"/>
      <x:c r="D6344" s="2"/>
      <x:c r="E6344" s="2"/>
      <x:c r="F6344" s="2"/>
      <x:c r="G6344" s="2"/>
    </x:row>
    <x:row r="6345">
      <x:c r="B6345" s="2"/>
      <x:c r="C6345" s="2"/>
      <x:c r="D6345" s="2"/>
      <x:c r="E6345" s="2"/>
      <x:c r="F6345" s="2"/>
      <x:c r="G6345" s="2"/>
    </x:row>
    <x:row r="6346">
      <x:c r="B6346" s="2"/>
      <x:c r="C6346" s="2"/>
      <x:c r="D6346" s="2"/>
      <x:c r="E6346" s="2"/>
      <x:c r="F6346" s="2"/>
      <x:c r="G6346" s="2"/>
    </x:row>
    <x:row r="6347">
      <x:c r="B6347" s="2"/>
      <x:c r="C6347" s="2"/>
      <x:c r="D6347" s="2"/>
      <x:c r="E6347" s="2"/>
      <x:c r="F6347" s="2"/>
      <x:c r="G6347" s="2"/>
    </x:row>
    <x:row r="6348">
      <x:c r="B6348" s="2"/>
      <x:c r="C6348" s="2"/>
      <x:c r="D6348" s="2"/>
      <x:c r="E6348" s="2"/>
      <x:c r="F6348" s="2"/>
      <x:c r="G6348" s="2"/>
    </x:row>
    <x:row r="6349">
      <x:c r="B6349" s="2"/>
      <x:c r="C6349" s="2"/>
      <x:c r="D6349" s="2"/>
      <x:c r="E6349" s="2"/>
      <x:c r="F6349" s="2"/>
      <x:c r="G6349" s="2"/>
    </x:row>
    <x:row r="6350">
      <x:c r="B6350" s="2"/>
      <x:c r="C6350" s="2"/>
      <x:c r="D6350" s="2"/>
      <x:c r="E6350" s="2"/>
      <x:c r="F6350" s="2"/>
      <x:c r="G6350" s="2"/>
    </x:row>
    <x:row r="6351">
      <x:c r="B6351" s="2"/>
      <x:c r="C6351" s="2"/>
      <x:c r="D6351" s="2"/>
      <x:c r="E6351" s="2"/>
      <x:c r="F6351" s="2"/>
      <x:c r="G6351" s="2"/>
    </x:row>
    <x:row r="6352">
      <x:c r="B6352" s="2"/>
      <x:c r="C6352" s="2"/>
      <x:c r="D6352" s="2"/>
      <x:c r="E6352" s="2"/>
      <x:c r="F6352" s="2"/>
      <x:c r="G6352" s="2"/>
    </x:row>
    <x:row r="6353">
      <x:c r="B6353" s="2"/>
      <x:c r="C6353" s="2"/>
      <x:c r="D6353" s="2"/>
      <x:c r="E6353" s="2"/>
      <x:c r="F6353" s="2"/>
      <x:c r="G6353" s="2"/>
    </x:row>
    <x:row r="6354">
      <x:c r="B6354" s="2"/>
      <x:c r="C6354" s="2"/>
      <x:c r="D6354" s="2"/>
      <x:c r="E6354" s="2"/>
      <x:c r="F6354" s="2"/>
      <x:c r="G6354" s="2"/>
    </x:row>
    <x:row r="6355">
      <x:c r="B6355" s="2"/>
      <x:c r="C6355" s="2"/>
      <x:c r="D6355" s="2"/>
      <x:c r="E6355" s="2"/>
      <x:c r="F6355" s="2"/>
      <x:c r="G6355" s="2"/>
    </x:row>
    <x:row r="6356">
      <x:c r="B6356" s="2"/>
      <x:c r="C6356" s="2"/>
      <x:c r="D6356" s="2"/>
      <x:c r="E6356" s="2"/>
      <x:c r="F6356" s="2"/>
      <x:c r="G6356" s="2"/>
    </x:row>
    <x:row r="6357">
      <x:c r="B6357" s="2"/>
      <x:c r="C6357" s="2"/>
      <x:c r="D6357" s="2"/>
      <x:c r="E6357" s="2"/>
      <x:c r="F6357" s="2"/>
      <x:c r="G6357" s="2"/>
    </x:row>
    <x:row r="6358">
      <x:c r="B6358" s="2"/>
      <x:c r="C6358" s="2"/>
      <x:c r="D6358" s="2"/>
      <x:c r="E6358" s="2"/>
      <x:c r="F6358" s="2"/>
      <x:c r="G6358" s="2"/>
    </x:row>
    <x:row r="6359">
      <x:c r="B6359" s="2"/>
      <x:c r="C6359" s="2"/>
      <x:c r="D6359" s="2"/>
      <x:c r="E6359" s="2"/>
      <x:c r="F6359" s="2"/>
      <x:c r="G6359" s="2"/>
    </x:row>
    <x:row r="6360">
      <x:c r="B6360" s="2"/>
      <x:c r="C6360" s="2"/>
      <x:c r="D6360" s="2"/>
      <x:c r="E6360" s="2"/>
      <x:c r="F6360" s="2"/>
      <x:c r="G6360" s="2"/>
    </x:row>
    <x:row r="6361">
      <x:c r="B6361" s="2"/>
      <x:c r="C6361" s="2"/>
      <x:c r="D6361" s="2"/>
      <x:c r="E6361" s="2"/>
      <x:c r="F6361" s="2"/>
      <x:c r="G6361" s="2"/>
    </x:row>
    <x:row r="6362">
      <x:c r="B6362" s="2"/>
      <x:c r="C6362" s="2"/>
      <x:c r="D6362" s="2"/>
      <x:c r="E6362" s="2"/>
      <x:c r="F6362" s="2"/>
      <x:c r="G6362" s="2"/>
    </x:row>
    <x:row r="6363">
      <x:c r="B6363" s="2"/>
      <x:c r="C6363" s="2"/>
      <x:c r="D6363" s="2"/>
      <x:c r="E6363" s="2"/>
      <x:c r="F6363" s="2"/>
      <x:c r="G6363" s="2"/>
    </x:row>
    <x:row r="6364">
      <x:c r="B6364" s="2"/>
      <x:c r="C6364" s="2"/>
      <x:c r="D6364" s="2"/>
      <x:c r="E6364" s="2"/>
      <x:c r="F6364" s="2"/>
      <x:c r="G6364" s="2"/>
    </x:row>
    <x:row r="6365">
      <x:c r="B6365" s="2"/>
      <x:c r="C6365" s="2"/>
      <x:c r="D6365" s="2"/>
      <x:c r="E6365" s="2"/>
      <x:c r="F6365" s="2"/>
      <x:c r="G6365" s="2"/>
    </x:row>
    <x:row r="6366">
      <x:c r="B6366" s="2"/>
      <x:c r="C6366" s="2"/>
      <x:c r="D6366" s="2"/>
      <x:c r="E6366" s="2"/>
      <x:c r="F6366" s="2"/>
      <x:c r="G6366" s="2"/>
    </x:row>
    <x:row r="6367">
      <x:c r="B6367" s="2"/>
      <x:c r="C6367" s="2"/>
      <x:c r="D6367" s="2"/>
      <x:c r="E6367" s="2"/>
      <x:c r="F6367" s="2"/>
      <x:c r="G6367" s="2"/>
    </x:row>
    <x:row r="6368">
      <x:c r="B6368" s="2"/>
      <x:c r="C6368" s="2"/>
      <x:c r="D6368" s="2"/>
      <x:c r="E6368" s="2"/>
      <x:c r="F6368" s="2"/>
      <x:c r="G6368" s="2"/>
    </x:row>
    <x:row r="6369">
      <x:c r="B6369" s="2"/>
      <x:c r="C6369" s="2"/>
      <x:c r="D6369" s="2"/>
      <x:c r="E6369" s="2"/>
      <x:c r="F6369" s="2"/>
      <x:c r="G6369" s="2"/>
    </x:row>
    <x:row r="6370">
      <x:c r="B6370" s="2"/>
      <x:c r="C6370" s="2"/>
      <x:c r="D6370" s="2"/>
      <x:c r="E6370" s="2"/>
      <x:c r="F6370" s="2"/>
      <x:c r="G6370" s="2"/>
    </x:row>
    <x:row r="6371">
      <x:c r="B6371" s="2"/>
      <x:c r="C6371" s="2"/>
      <x:c r="D6371" s="2"/>
      <x:c r="E6371" s="2"/>
      <x:c r="F6371" s="2"/>
      <x:c r="G6371" s="2"/>
    </x:row>
    <x:row r="6372">
      <x:c r="B6372" s="2"/>
      <x:c r="C6372" s="2"/>
      <x:c r="D6372" s="2"/>
      <x:c r="E6372" s="2"/>
      <x:c r="F6372" s="2"/>
      <x:c r="G6372" s="2"/>
    </x:row>
    <x:row r="6373">
      <x:c r="B6373" s="2"/>
      <x:c r="C6373" s="2"/>
      <x:c r="D6373" s="2"/>
      <x:c r="E6373" s="2"/>
      <x:c r="F6373" s="2"/>
      <x:c r="G6373" s="2"/>
    </x:row>
    <x:row r="6374">
      <x:c r="B6374" s="2"/>
      <x:c r="C6374" s="2"/>
      <x:c r="D6374" s="2"/>
      <x:c r="E6374" s="2"/>
      <x:c r="F6374" s="2"/>
      <x:c r="G6374" s="2"/>
    </x:row>
    <x:row r="6375">
      <x:c r="B6375" s="2"/>
      <x:c r="C6375" s="2"/>
      <x:c r="D6375" s="2"/>
      <x:c r="E6375" s="2"/>
      <x:c r="F6375" s="2"/>
      <x:c r="G6375" s="2"/>
    </x:row>
    <x:row r="6376">
      <x:c r="B6376" s="2"/>
      <x:c r="C6376" s="2"/>
      <x:c r="D6376" s="2"/>
      <x:c r="E6376" s="2"/>
      <x:c r="F6376" s="2"/>
      <x:c r="G6376" s="2"/>
    </x:row>
    <x:row r="6377">
      <x:c r="B6377" s="2"/>
      <x:c r="C6377" s="2"/>
      <x:c r="D6377" s="2"/>
      <x:c r="E6377" s="2"/>
      <x:c r="F6377" s="2"/>
      <x:c r="G6377" s="2"/>
    </x:row>
    <x:row r="6378">
      <x:c r="B6378" s="2"/>
      <x:c r="C6378" s="2"/>
      <x:c r="D6378" s="2"/>
      <x:c r="E6378" s="2"/>
      <x:c r="F6378" s="2"/>
      <x:c r="G6378" s="2"/>
    </x:row>
    <x:row r="6379">
      <x:c r="B6379" s="2"/>
      <x:c r="C6379" s="2"/>
      <x:c r="D6379" s="2"/>
      <x:c r="E6379" s="2"/>
      <x:c r="F6379" s="2"/>
      <x:c r="G6379" s="2"/>
    </x:row>
    <x:row r="6380">
      <x:c r="B6380" s="2"/>
      <x:c r="C6380" s="2"/>
      <x:c r="D6380" s="2"/>
      <x:c r="E6380" s="2"/>
      <x:c r="F6380" s="2"/>
      <x:c r="G6380" s="2"/>
    </x:row>
    <x:row r="6381">
      <x:c r="B6381" s="2"/>
      <x:c r="C6381" s="2"/>
      <x:c r="D6381" s="2"/>
      <x:c r="E6381" s="2"/>
      <x:c r="F6381" s="2"/>
      <x:c r="G6381" s="2"/>
    </x:row>
    <x:row r="6382">
      <x:c r="B6382" s="2"/>
      <x:c r="C6382" s="2"/>
      <x:c r="D6382" s="2"/>
      <x:c r="E6382" s="2"/>
      <x:c r="F6382" s="2"/>
      <x:c r="G6382" s="2"/>
    </x:row>
    <x:row r="6383">
      <x:c r="B6383" s="2"/>
      <x:c r="C6383" s="2"/>
      <x:c r="D6383" s="2"/>
      <x:c r="E6383" s="2"/>
      <x:c r="F6383" s="2"/>
      <x:c r="G6383" s="2"/>
    </x:row>
    <x:row r="6384">
      <x:c r="B6384" s="2"/>
      <x:c r="C6384" s="2"/>
      <x:c r="D6384" s="2"/>
      <x:c r="E6384" s="2"/>
      <x:c r="F6384" s="2"/>
      <x:c r="G6384" s="2"/>
    </x:row>
    <x:row r="6385">
      <x:c r="B6385" s="2"/>
      <x:c r="C6385" s="2"/>
      <x:c r="D6385" s="2"/>
      <x:c r="E6385" s="2"/>
      <x:c r="F6385" s="2"/>
      <x:c r="G6385" s="2"/>
    </x:row>
    <x:row r="6386">
      <x:c r="B6386" s="2"/>
      <x:c r="C6386" s="2"/>
      <x:c r="D6386" s="2"/>
      <x:c r="E6386" s="2"/>
      <x:c r="F6386" s="2"/>
      <x:c r="G6386" s="2"/>
    </x:row>
    <x:row r="6387">
      <x:c r="B6387" s="2"/>
      <x:c r="C6387" s="2"/>
      <x:c r="D6387" s="2"/>
      <x:c r="E6387" s="2"/>
      <x:c r="F6387" s="2"/>
      <x:c r="G6387" s="2"/>
    </x:row>
    <x:row r="6388">
      <x:c r="B6388" s="2"/>
      <x:c r="C6388" s="2"/>
      <x:c r="D6388" s="2"/>
      <x:c r="E6388" s="2"/>
      <x:c r="F6388" s="2"/>
      <x:c r="G6388" s="2"/>
    </x:row>
    <x:row r="6389">
      <x:c r="B6389" s="2"/>
      <x:c r="C6389" s="2"/>
      <x:c r="D6389" s="2"/>
      <x:c r="E6389" s="2"/>
      <x:c r="F6389" s="2"/>
      <x:c r="G6389" s="2"/>
    </x:row>
    <x:row r="6390">
      <x:c r="B6390" s="2"/>
      <x:c r="C6390" s="2"/>
      <x:c r="D6390" s="2"/>
      <x:c r="E6390" s="2"/>
      <x:c r="F6390" s="2"/>
      <x:c r="G6390" s="2"/>
    </x:row>
    <x:row r="6391">
      <x:c r="B6391" s="2"/>
      <x:c r="C6391" s="2"/>
      <x:c r="D6391" s="2"/>
      <x:c r="E6391" s="2"/>
      <x:c r="F6391" s="2"/>
      <x:c r="G6391" s="2"/>
    </x:row>
    <x:row r="6392">
      <x:c r="B6392" s="2"/>
      <x:c r="C6392" s="2"/>
      <x:c r="D6392" s="2"/>
      <x:c r="E6392" s="2"/>
      <x:c r="F6392" s="2"/>
      <x:c r="G6392" s="2"/>
    </x:row>
    <x:row r="6393">
      <x:c r="B6393" s="2"/>
      <x:c r="C6393" s="2"/>
      <x:c r="D6393" s="2"/>
      <x:c r="E6393" s="2"/>
      <x:c r="F6393" s="2"/>
      <x:c r="G6393" s="2"/>
    </x:row>
    <x:row r="6394">
      <x:c r="B6394" s="2"/>
      <x:c r="C6394" s="2"/>
      <x:c r="D6394" s="2"/>
      <x:c r="E6394" s="2"/>
      <x:c r="F6394" s="2"/>
      <x:c r="G6394" s="2"/>
    </x:row>
    <x:row r="6395">
      <x:c r="B6395" s="2"/>
      <x:c r="C6395" s="2"/>
      <x:c r="D6395" s="2"/>
      <x:c r="E6395" s="2"/>
      <x:c r="F6395" s="2"/>
      <x:c r="G6395" s="2"/>
    </x:row>
    <x:row r="6396">
      <x:c r="B6396" s="2"/>
      <x:c r="C6396" s="2"/>
      <x:c r="D6396" s="2"/>
      <x:c r="E6396" s="2"/>
      <x:c r="F6396" s="2"/>
      <x:c r="G6396" s="2"/>
    </x:row>
    <x:row r="6397">
      <x:c r="B6397" s="2"/>
      <x:c r="C6397" s="2"/>
      <x:c r="D6397" s="2"/>
      <x:c r="E6397" s="2"/>
      <x:c r="F6397" s="2"/>
      <x:c r="G6397" s="2"/>
    </x:row>
    <x:row r="6398">
      <x:c r="B6398" s="2"/>
      <x:c r="C6398" s="2"/>
      <x:c r="D6398" s="2"/>
      <x:c r="E6398" s="2"/>
      <x:c r="F6398" s="2"/>
      <x:c r="G6398" s="2"/>
    </x:row>
    <x:row r="6399">
      <x:c r="B6399" s="2"/>
      <x:c r="C6399" s="2"/>
      <x:c r="D6399" s="2"/>
      <x:c r="E6399" s="2"/>
      <x:c r="F6399" s="2"/>
      <x:c r="G6399" s="2"/>
    </x:row>
    <x:row r="6400">
      <x:c r="B6400" s="2"/>
      <x:c r="C6400" s="2"/>
      <x:c r="D6400" s="2"/>
      <x:c r="E6400" s="2"/>
      <x:c r="F6400" s="2"/>
      <x:c r="G6400" s="2"/>
    </x:row>
    <x:row r="6401">
      <x:c r="B6401" s="2"/>
      <x:c r="C6401" s="2"/>
      <x:c r="D6401" s="2"/>
      <x:c r="E6401" s="2"/>
      <x:c r="F6401" s="2"/>
      <x:c r="G6401" s="2"/>
    </x:row>
    <x:row r="6402">
      <x:c r="B6402" s="2"/>
      <x:c r="C6402" s="2"/>
      <x:c r="D6402" s="2"/>
      <x:c r="E6402" s="2"/>
      <x:c r="F6402" s="2"/>
      <x:c r="G6402" s="2"/>
    </x:row>
    <x:row r="6403">
      <x:c r="B6403" s="2"/>
      <x:c r="C6403" s="2"/>
      <x:c r="D6403" s="2"/>
      <x:c r="E6403" s="2"/>
      <x:c r="F6403" s="2"/>
      <x:c r="G6403" s="2"/>
    </x:row>
    <x:row r="6404">
      <x:c r="B6404" s="2"/>
      <x:c r="C6404" s="2"/>
      <x:c r="D6404" s="2"/>
      <x:c r="E6404" s="2"/>
      <x:c r="F6404" s="2"/>
      <x:c r="G6404" s="2"/>
    </x:row>
    <x:row r="6405">
      <x:c r="B6405" s="2"/>
      <x:c r="C6405" s="2"/>
      <x:c r="D6405" s="2"/>
      <x:c r="E6405" s="2"/>
      <x:c r="F6405" s="2"/>
      <x:c r="G6405" s="2"/>
    </x:row>
    <x:row r="6406">
      <x:c r="B6406" s="2"/>
      <x:c r="C6406" s="2"/>
      <x:c r="D6406" s="2"/>
      <x:c r="E6406" s="2"/>
      <x:c r="F6406" s="2"/>
      <x:c r="G6406" s="2"/>
    </x:row>
    <x:row r="6407">
      <x:c r="B6407" s="2"/>
      <x:c r="C6407" s="2"/>
      <x:c r="D6407" s="2"/>
      <x:c r="E6407" s="2"/>
      <x:c r="F6407" s="2"/>
      <x:c r="G6407" s="2"/>
    </x:row>
    <x:row r="6408">
      <x:c r="B6408" s="2"/>
      <x:c r="C6408" s="2"/>
      <x:c r="D6408" s="2"/>
      <x:c r="E6408" s="2"/>
      <x:c r="F6408" s="2"/>
      <x:c r="G6408" s="2"/>
    </x:row>
    <x:row r="6409">
      <x:c r="B6409" s="2"/>
      <x:c r="C6409" s="2"/>
      <x:c r="D6409" s="2"/>
      <x:c r="E6409" s="2"/>
      <x:c r="F6409" s="2"/>
      <x:c r="G6409" s="2"/>
    </x:row>
    <x:row r="6410">
      <x:c r="B6410" s="2"/>
      <x:c r="C6410" s="2"/>
      <x:c r="D6410" s="2"/>
      <x:c r="E6410" s="2"/>
      <x:c r="F6410" s="2"/>
      <x:c r="G6410" s="2"/>
    </x:row>
    <x:row r="6411">
      <x:c r="B6411" s="2"/>
      <x:c r="C6411" s="2"/>
      <x:c r="D6411" s="2"/>
      <x:c r="E6411" s="2"/>
      <x:c r="F6411" s="2"/>
      <x:c r="G6411" s="2"/>
    </x:row>
    <x:row r="6412">
      <x:c r="B6412" s="2"/>
      <x:c r="C6412" s="2"/>
      <x:c r="D6412" s="2"/>
      <x:c r="E6412" s="2"/>
      <x:c r="F6412" s="2"/>
      <x:c r="G6412" s="2"/>
    </x:row>
    <x:row r="6413">
      <x:c r="B6413" s="2"/>
      <x:c r="C6413" s="2"/>
      <x:c r="D6413" s="2"/>
      <x:c r="E6413" s="2"/>
      <x:c r="F6413" s="2"/>
      <x:c r="G6413" s="2"/>
    </x:row>
    <x:row r="6414">
      <x:c r="B6414" s="2"/>
      <x:c r="C6414" s="2"/>
      <x:c r="D6414" s="2"/>
      <x:c r="E6414" s="2"/>
      <x:c r="F6414" s="2"/>
      <x:c r="G6414" s="2"/>
    </x:row>
    <x:row r="6415">
      <x:c r="B6415" s="2"/>
      <x:c r="C6415" s="2"/>
      <x:c r="D6415" s="2"/>
      <x:c r="E6415" s="2"/>
      <x:c r="F6415" s="2"/>
      <x:c r="G6415" s="2"/>
    </x:row>
    <x:row r="6416">
      <x:c r="B6416" s="2"/>
      <x:c r="C6416" s="2"/>
      <x:c r="D6416" s="2"/>
      <x:c r="E6416" s="2"/>
      <x:c r="F6416" s="2"/>
      <x:c r="G6416" s="2"/>
    </x:row>
    <x:row r="6417">
      <x:c r="B6417" s="2"/>
      <x:c r="C6417" s="2"/>
      <x:c r="D6417" s="2"/>
      <x:c r="E6417" s="2"/>
      <x:c r="F6417" s="2"/>
      <x:c r="G6417" s="2"/>
    </x:row>
    <x:row r="6418">
      <x:c r="B6418" s="2"/>
      <x:c r="C6418" s="2"/>
      <x:c r="D6418" s="2"/>
      <x:c r="E6418" s="2"/>
      <x:c r="F6418" s="2"/>
      <x:c r="G6418" s="2"/>
    </x:row>
    <x:row r="6419">
      <x:c r="B6419" s="2"/>
      <x:c r="C6419" s="2"/>
      <x:c r="D6419" s="2"/>
      <x:c r="E6419" s="2"/>
      <x:c r="F6419" s="2"/>
      <x:c r="G6419" s="2"/>
    </x:row>
    <x:row r="6420">
      <x:c r="B6420" s="2"/>
      <x:c r="C6420" s="2"/>
      <x:c r="D6420" s="2"/>
      <x:c r="E6420" s="2"/>
      <x:c r="F6420" s="2"/>
      <x:c r="G6420" s="2"/>
    </x:row>
    <x:row r="6421">
      <x:c r="B6421" s="2"/>
      <x:c r="C6421" s="2"/>
      <x:c r="D6421" s="2"/>
      <x:c r="E6421" s="2"/>
      <x:c r="F6421" s="2"/>
      <x:c r="G6421" s="2"/>
    </x:row>
    <x:row r="6422">
      <x:c r="B6422" s="2"/>
      <x:c r="C6422" s="2"/>
      <x:c r="D6422" s="2"/>
      <x:c r="E6422" s="2"/>
      <x:c r="F6422" s="2"/>
      <x:c r="G6422" s="2"/>
    </x:row>
    <x:row r="6423">
      <x:c r="B6423" s="2"/>
      <x:c r="C6423" s="2"/>
      <x:c r="D6423" s="2"/>
      <x:c r="E6423" s="2"/>
      <x:c r="F6423" s="2"/>
      <x:c r="G6423" s="2"/>
    </x:row>
    <x:row r="6424">
      <x:c r="B6424" s="2"/>
      <x:c r="C6424" s="2"/>
      <x:c r="D6424" s="2"/>
      <x:c r="E6424" s="2"/>
      <x:c r="F6424" s="2"/>
      <x:c r="G6424" s="2"/>
    </x:row>
    <x:row r="6425">
      <x:c r="B6425" s="2"/>
      <x:c r="C6425" s="2"/>
      <x:c r="D6425" s="2"/>
      <x:c r="E6425" s="2"/>
      <x:c r="F6425" s="2"/>
      <x:c r="G6425" s="2"/>
    </x:row>
    <x:row r="6426">
      <x:c r="B6426" s="2"/>
      <x:c r="C6426" s="2"/>
      <x:c r="D6426" s="2"/>
      <x:c r="E6426" s="2"/>
      <x:c r="F6426" s="2"/>
      <x:c r="G6426" s="2"/>
    </x:row>
    <x:row r="6427">
      <x:c r="B6427" s="2"/>
      <x:c r="C6427" s="2"/>
      <x:c r="D6427" s="2"/>
      <x:c r="E6427" s="2"/>
      <x:c r="F6427" s="2"/>
      <x:c r="G6427" s="2"/>
    </x:row>
    <x:row r="6428">
      <x:c r="B6428" s="2"/>
      <x:c r="C6428" s="2"/>
      <x:c r="D6428" s="2"/>
      <x:c r="E6428" s="2"/>
      <x:c r="F6428" s="2"/>
      <x:c r="G6428" s="2"/>
    </x:row>
    <x:row r="6429">
      <x:c r="B6429" s="2"/>
      <x:c r="C6429" s="2"/>
      <x:c r="D6429" s="2"/>
      <x:c r="E6429" s="2"/>
      <x:c r="F6429" s="2"/>
      <x:c r="G6429" s="2"/>
    </x:row>
    <x:row r="6430">
      <x:c r="B6430" s="2"/>
      <x:c r="C6430" s="2"/>
      <x:c r="D6430" s="2"/>
      <x:c r="E6430" s="2"/>
      <x:c r="F6430" s="2"/>
      <x:c r="G6430" s="2"/>
    </x:row>
    <x:row r="6431">
      <x:c r="B6431" s="2"/>
      <x:c r="C6431" s="2"/>
      <x:c r="D6431" s="2"/>
      <x:c r="E6431" s="2"/>
      <x:c r="F6431" s="2"/>
      <x:c r="G6431" s="2"/>
    </x:row>
    <x:row r="6432">
      <x:c r="B6432" s="2"/>
      <x:c r="C6432" s="2"/>
      <x:c r="D6432" s="2"/>
      <x:c r="E6432" s="2"/>
      <x:c r="F6432" s="2"/>
      <x:c r="G6432" s="2"/>
    </x:row>
    <x:row r="6433">
      <x:c r="B6433" s="2"/>
      <x:c r="C6433" s="2"/>
      <x:c r="D6433" s="2"/>
      <x:c r="E6433" s="2"/>
      <x:c r="F6433" s="2"/>
      <x:c r="G6433" s="2"/>
    </x:row>
    <x:row r="6434">
      <x:c r="B6434" s="2"/>
      <x:c r="C6434" s="2"/>
      <x:c r="D6434" s="2"/>
      <x:c r="E6434" s="2"/>
      <x:c r="F6434" s="2"/>
      <x:c r="G6434" s="2"/>
    </x:row>
    <x:row r="6435">
      <x:c r="B6435" s="2"/>
      <x:c r="C6435" s="2"/>
      <x:c r="D6435" s="2"/>
      <x:c r="E6435" s="2"/>
      <x:c r="F6435" s="2"/>
      <x:c r="G6435" s="2"/>
    </x:row>
    <x:row r="6436">
      <x:c r="B6436" s="2"/>
      <x:c r="C6436" s="2"/>
      <x:c r="D6436" s="2"/>
      <x:c r="E6436" s="2"/>
      <x:c r="F6436" s="2"/>
      <x:c r="G6436" s="2"/>
    </x:row>
    <x:row r="6437">
      <x:c r="B6437" s="2"/>
      <x:c r="C6437" s="2"/>
      <x:c r="D6437" s="2"/>
      <x:c r="E6437" s="2"/>
      <x:c r="F6437" s="2"/>
      <x:c r="G6437" s="2"/>
    </x:row>
    <x:row r="6438">
      <x:c r="B6438" s="2"/>
      <x:c r="C6438" s="2"/>
      <x:c r="D6438" s="2"/>
      <x:c r="E6438" s="2"/>
      <x:c r="F6438" s="2"/>
      <x:c r="G6438" s="2"/>
    </x:row>
    <x:row r="6439">
      <x:c r="B6439" s="2"/>
      <x:c r="C6439" s="2"/>
      <x:c r="D6439" s="2"/>
      <x:c r="E6439" s="2"/>
      <x:c r="F6439" s="2"/>
      <x:c r="G6439" s="2"/>
    </x:row>
    <x:row r="6440">
      <x:c r="B6440" s="2"/>
      <x:c r="C6440" s="2"/>
      <x:c r="D6440" s="2"/>
      <x:c r="E6440" s="2"/>
      <x:c r="F6440" s="2"/>
      <x:c r="G6440" s="2"/>
    </x:row>
    <x:row r="6441">
      <x:c r="B6441" s="2"/>
      <x:c r="C6441" s="2"/>
      <x:c r="D6441" s="2"/>
      <x:c r="E6441" s="2"/>
      <x:c r="F6441" s="2"/>
      <x:c r="G6441" s="2"/>
    </x:row>
    <x:row r="6442">
      <x:c r="B6442" s="2"/>
      <x:c r="C6442" s="2"/>
      <x:c r="D6442" s="2"/>
      <x:c r="E6442" s="2"/>
      <x:c r="F6442" s="2"/>
      <x:c r="G6442" s="2"/>
    </x:row>
    <x:row r="6443">
      <x:c r="B6443" s="2"/>
      <x:c r="C6443" s="2"/>
      <x:c r="D6443" s="2"/>
      <x:c r="E6443" s="2"/>
      <x:c r="F6443" s="2"/>
      <x:c r="G6443" s="2"/>
    </x:row>
    <x:row r="6444">
      <x:c r="B6444" s="2"/>
      <x:c r="C6444" s="2"/>
      <x:c r="D6444" s="2"/>
      <x:c r="E6444" s="2"/>
      <x:c r="F6444" s="2"/>
      <x:c r="G6444" s="2"/>
    </x:row>
    <x:row r="6445">
      <x:c r="B6445" s="2"/>
      <x:c r="C6445" s="2"/>
      <x:c r="D6445" s="2"/>
      <x:c r="E6445" s="2"/>
      <x:c r="F6445" s="2"/>
      <x:c r="G6445" s="2"/>
    </x:row>
    <x:row r="6446">
      <x:c r="B6446" s="2"/>
      <x:c r="C6446" s="2"/>
      <x:c r="D6446" s="2"/>
      <x:c r="E6446" s="2"/>
      <x:c r="F6446" s="2"/>
      <x:c r="G6446" s="2"/>
    </x:row>
    <x:row r="6447">
      <x:c r="B6447" s="2"/>
      <x:c r="C6447" s="2"/>
      <x:c r="D6447" s="2"/>
      <x:c r="E6447" s="2"/>
      <x:c r="F6447" s="2"/>
      <x:c r="G6447" s="2"/>
    </x:row>
    <x:row r="6448">
      <x:c r="B6448" s="2"/>
      <x:c r="C6448" s="2"/>
      <x:c r="D6448" s="2"/>
      <x:c r="E6448" s="2"/>
      <x:c r="F6448" s="2"/>
      <x:c r="G6448" s="2"/>
    </x:row>
    <x:row r="6449">
      <x:c r="B6449" s="2"/>
      <x:c r="C6449" s="2"/>
      <x:c r="D6449" s="2"/>
      <x:c r="E6449" s="2"/>
      <x:c r="F6449" s="2"/>
      <x:c r="G6449" s="2"/>
    </x:row>
    <x:row r="6450">
      <x:c r="B6450" s="2"/>
      <x:c r="C6450" s="2"/>
      <x:c r="D6450" s="2"/>
      <x:c r="E6450" s="2"/>
      <x:c r="F6450" s="2"/>
      <x:c r="G6450" s="2"/>
    </x:row>
    <x:row r="6451">
      <x:c r="B6451" s="2"/>
      <x:c r="C6451" s="2"/>
      <x:c r="D6451" s="2"/>
      <x:c r="E6451" s="2"/>
      <x:c r="F6451" s="2"/>
      <x:c r="G6451" s="2"/>
    </x:row>
    <x:row r="6452">
      <x:c r="B6452" s="2"/>
      <x:c r="C6452" s="2"/>
      <x:c r="D6452" s="2"/>
      <x:c r="E6452" s="2"/>
      <x:c r="F6452" s="2"/>
      <x:c r="G6452" s="2"/>
    </x:row>
    <x:row r="6453">
      <x:c r="B6453" s="2"/>
      <x:c r="C6453" s="2"/>
      <x:c r="D6453" s="2"/>
      <x:c r="E6453" s="2"/>
      <x:c r="F6453" s="2"/>
      <x:c r="G6453" s="2"/>
    </x:row>
    <x:row r="6454">
      <x:c r="B6454" s="2"/>
      <x:c r="C6454" s="2"/>
      <x:c r="D6454" s="2"/>
      <x:c r="E6454" s="2"/>
      <x:c r="F6454" s="2"/>
      <x:c r="G6454" s="2"/>
    </x:row>
    <x:row r="6455">
      <x:c r="B6455" s="2"/>
      <x:c r="C6455" s="2"/>
      <x:c r="D6455" s="2"/>
      <x:c r="E6455" s="2"/>
      <x:c r="F6455" s="2"/>
      <x:c r="G6455" s="2"/>
    </x:row>
    <x:row r="6456">
      <x:c r="B6456" s="2"/>
      <x:c r="C6456" s="2"/>
      <x:c r="D6456" s="2"/>
      <x:c r="E6456" s="2"/>
      <x:c r="F6456" s="2"/>
      <x:c r="G6456" s="2"/>
    </x:row>
    <x:row r="6457">
      <x:c r="B6457" s="2"/>
      <x:c r="C6457" s="2"/>
      <x:c r="D6457" s="2"/>
      <x:c r="E6457" s="2"/>
      <x:c r="F6457" s="2"/>
      <x:c r="G6457" s="2"/>
    </x:row>
    <x:row r="6458">
      <x:c r="B6458" s="2"/>
      <x:c r="C6458" s="2"/>
      <x:c r="D6458" s="2"/>
      <x:c r="E6458" s="2"/>
      <x:c r="F6458" s="2"/>
      <x:c r="G6458" s="2"/>
    </x:row>
    <x:row r="6459">
      <x:c r="B6459" s="2"/>
      <x:c r="C6459" s="2"/>
      <x:c r="D6459" s="2"/>
      <x:c r="E6459" s="2"/>
      <x:c r="F6459" s="2"/>
      <x:c r="G6459" s="2"/>
    </x:row>
    <x:row r="6460">
      <x:c r="B6460" s="2"/>
      <x:c r="C6460" s="2"/>
      <x:c r="D6460" s="2"/>
      <x:c r="E6460" s="2"/>
      <x:c r="F6460" s="2"/>
      <x:c r="G6460" s="2"/>
    </x:row>
    <x:row r="6461">
      <x:c r="B6461" s="2"/>
      <x:c r="C6461" s="2"/>
      <x:c r="D6461" s="2"/>
      <x:c r="E6461" s="2"/>
      <x:c r="F6461" s="2"/>
      <x:c r="G6461" s="2"/>
    </x:row>
    <x:row r="6462">
      <x:c r="B6462" s="2"/>
      <x:c r="C6462" s="2"/>
      <x:c r="D6462" s="2"/>
      <x:c r="E6462" s="2"/>
      <x:c r="F6462" s="2"/>
      <x:c r="G6462" s="2"/>
    </x:row>
    <x:row r="6463">
      <x:c r="B6463" s="2"/>
      <x:c r="C6463" s="2"/>
      <x:c r="D6463" s="2"/>
      <x:c r="E6463" s="2"/>
      <x:c r="F6463" s="2"/>
      <x:c r="G6463" s="2"/>
    </x:row>
    <x:row r="6464">
      <x:c r="B6464" s="2"/>
      <x:c r="C6464" s="2"/>
      <x:c r="D6464" s="2"/>
      <x:c r="E6464" s="2"/>
      <x:c r="F6464" s="2"/>
      <x:c r="G6464" s="2"/>
    </x:row>
    <x:row r="6465">
      <x:c r="B6465" s="2"/>
      <x:c r="C6465" s="2"/>
      <x:c r="D6465" s="2"/>
      <x:c r="E6465" s="2"/>
      <x:c r="F6465" s="2"/>
      <x:c r="G6465" s="2"/>
    </x:row>
    <x:row r="6466">
      <x:c r="B6466" s="2"/>
      <x:c r="C6466" s="2"/>
      <x:c r="D6466" s="2"/>
      <x:c r="E6466" s="2"/>
      <x:c r="F6466" s="2"/>
      <x:c r="G6466" s="2"/>
    </x:row>
    <x:row r="6467">
      <x:c r="B6467" s="2"/>
      <x:c r="C6467" s="2"/>
      <x:c r="D6467" s="2"/>
      <x:c r="E6467" s="2"/>
      <x:c r="F6467" s="2"/>
      <x:c r="G6467" s="2"/>
    </x:row>
    <x:row r="6468">
      <x:c r="B6468" s="2"/>
      <x:c r="C6468" s="2"/>
      <x:c r="D6468" s="2"/>
      <x:c r="E6468" s="2"/>
      <x:c r="F6468" s="2"/>
      <x:c r="G6468" s="2"/>
    </x:row>
    <x:row r="6469">
      <x:c r="B6469" s="2"/>
      <x:c r="C6469" s="2"/>
      <x:c r="D6469" s="2"/>
      <x:c r="E6469" s="2"/>
      <x:c r="F6469" s="2"/>
      <x:c r="G6469" s="2"/>
    </x:row>
    <x:row r="6470">
      <x:c r="B6470" s="2"/>
      <x:c r="C6470" s="2"/>
      <x:c r="D6470" s="2"/>
      <x:c r="E6470" s="2"/>
      <x:c r="F6470" s="2"/>
      <x:c r="G6470" s="2"/>
    </x:row>
    <x:row r="6471">
      <x:c r="B6471" s="2"/>
      <x:c r="C6471" s="2"/>
      <x:c r="D6471" s="2"/>
      <x:c r="E6471" s="2"/>
      <x:c r="F6471" s="2"/>
      <x:c r="G6471" s="2"/>
    </x:row>
    <x:row r="6472">
      <x:c r="B6472" s="2"/>
      <x:c r="C6472" s="2"/>
      <x:c r="D6472" s="2"/>
      <x:c r="E6472" s="2"/>
      <x:c r="F6472" s="2"/>
      <x:c r="G6472" s="2"/>
    </x:row>
    <x:row r="6473">
      <x:c r="B6473" s="2"/>
      <x:c r="C6473" s="2"/>
      <x:c r="D6473" s="2"/>
      <x:c r="E6473" s="2"/>
      <x:c r="F6473" s="2"/>
      <x:c r="G6473" s="2"/>
    </x:row>
    <x:row r="6474">
      <x:c r="B6474" s="2"/>
      <x:c r="C6474" s="2"/>
      <x:c r="D6474" s="2"/>
      <x:c r="E6474" s="2"/>
      <x:c r="F6474" s="2"/>
      <x:c r="G6474" s="2"/>
    </x:row>
    <x:row r="6475">
      <x:c r="B6475" s="2"/>
      <x:c r="C6475" s="2"/>
      <x:c r="D6475" s="2"/>
      <x:c r="E6475" s="2"/>
      <x:c r="F6475" s="2"/>
      <x:c r="G6475" s="2"/>
    </x:row>
    <x:row r="6476">
      <x:c r="B6476" s="2"/>
      <x:c r="C6476" s="2"/>
      <x:c r="D6476" s="2"/>
      <x:c r="E6476" s="2"/>
      <x:c r="F6476" s="2"/>
      <x:c r="G6476" s="2"/>
    </x:row>
    <x:row r="6477">
      <x:c r="B6477" s="2"/>
      <x:c r="C6477" s="2"/>
      <x:c r="D6477" s="2"/>
      <x:c r="E6477" s="2"/>
      <x:c r="F6477" s="2"/>
      <x:c r="G6477" s="2"/>
    </x:row>
    <x:row r="6478">
      <x:c r="B6478" s="2"/>
      <x:c r="C6478" s="2"/>
      <x:c r="D6478" s="2"/>
      <x:c r="E6478" s="2"/>
      <x:c r="F6478" s="2"/>
      <x:c r="G6478" s="2"/>
    </x:row>
    <x:row r="6479">
      <x:c r="B6479" s="2"/>
      <x:c r="C6479" s="2"/>
      <x:c r="D6479" s="2"/>
      <x:c r="E6479" s="2"/>
      <x:c r="F6479" s="2"/>
      <x:c r="G6479" s="2"/>
    </x:row>
    <x:row r="6480">
      <x:c r="B6480" s="2"/>
      <x:c r="C6480" s="2"/>
      <x:c r="D6480" s="2"/>
      <x:c r="E6480" s="2"/>
      <x:c r="F6480" s="2"/>
      <x:c r="G6480" s="2"/>
    </x:row>
    <x:row r="6481">
      <x:c r="B6481" s="2"/>
      <x:c r="C6481" s="2"/>
      <x:c r="D6481" s="2"/>
      <x:c r="E6481" s="2"/>
      <x:c r="F6481" s="2"/>
      <x:c r="G6481" s="2"/>
    </x:row>
    <x:row r="6482">
      <x:c r="B6482" s="2"/>
      <x:c r="C6482" s="2"/>
      <x:c r="D6482" s="2"/>
      <x:c r="E6482" s="2"/>
      <x:c r="F6482" s="2"/>
      <x:c r="G6482" s="2"/>
    </x:row>
    <x:row r="6483">
      <x:c r="B6483" s="2"/>
      <x:c r="C6483" s="2"/>
      <x:c r="D6483" s="2"/>
      <x:c r="E6483" s="2"/>
      <x:c r="F6483" s="2"/>
      <x:c r="G6483" s="2"/>
    </x:row>
    <x:row r="6484">
      <x:c r="B6484" s="2"/>
      <x:c r="C6484" s="2"/>
      <x:c r="D6484" s="2"/>
      <x:c r="E6484" s="2"/>
      <x:c r="F6484" s="2"/>
      <x:c r="G6484" s="2"/>
    </x:row>
    <x:row r="6485">
      <x:c r="B6485" s="2"/>
      <x:c r="C6485" s="2"/>
      <x:c r="D6485" s="2"/>
      <x:c r="E6485" s="2"/>
      <x:c r="F6485" s="2"/>
      <x:c r="G6485" s="2"/>
    </x:row>
    <x:row r="6486">
      <x:c r="B6486" s="2"/>
      <x:c r="C6486" s="2"/>
      <x:c r="D6486" s="2"/>
      <x:c r="E6486" s="2"/>
      <x:c r="F6486" s="2"/>
      <x:c r="G6486" s="2"/>
    </x:row>
    <x:row r="6487">
      <x:c r="B6487" s="2"/>
      <x:c r="C6487" s="2"/>
      <x:c r="D6487" s="2"/>
      <x:c r="E6487" s="2"/>
      <x:c r="F6487" s="2"/>
      <x:c r="G6487" s="2"/>
    </x:row>
    <x:row r="6488">
      <x:c r="B6488" s="2"/>
      <x:c r="C6488" s="2"/>
      <x:c r="D6488" s="2"/>
      <x:c r="E6488" s="2"/>
      <x:c r="F6488" s="2"/>
      <x:c r="G6488" s="2"/>
    </x:row>
    <x:row r="6489">
      <x:c r="B6489" s="2"/>
      <x:c r="C6489" s="2"/>
      <x:c r="D6489" s="2"/>
      <x:c r="E6489" s="2"/>
      <x:c r="F6489" s="2"/>
      <x:c r="G6489" s="2"/>
    </x:row>
    <x:row r="6490">
      <x:c r="B6490" s="2"/>
      <x:c r="C6490" s="2"/>
      <x:c r="D6490" s="2"/>
      <x:c r="E6490" s="2"/>
      <x:c r="F6490" s="2"/>
      <x:c r="G6490" s="2"/>
    </x:row>
    <x:row r="6491">
      <x:c r="B6491" s="2"/>
      <x:c r="C6491" s="2"/>
      <x:c r="D6491" s="2"/>
      <x:c r="E6491" s="2"/>
      <x:c r="F6491" s="2"/>
      <x:c r="G6491" s="2"/>
    </x:row>
    <x:row r="6492">
      <x:c r="B6492" s="2"/>
      <x:c r="C6492" s="2"/>
      <x:c r="D6492" s="2"/>
      <x:c r="E6492" s="2"/>
      <x:c r="F6492" s="2"/>
      <x:c r="G6492" s="2"/>
    </x:row>
    <x:row r="6493">
      <x:c r="B6493" s="2"/>
      <x:c r="C6493" s="2"/>
      <x:c r="D6493" s="2"/>
      <x:c r="E6493" s="2"/>
      <x:c r="F6493" s="2"/>
      <x:c r="G6493" s="2"/>
    </x:row>
    <x:row r="6494">
      <x:c r="B6494" s="2"/>
      <x:c r="C6494" s="2"/>
      <x:c r="D6494" s="2"/>
      <x:c r="E6494" s="2"/>
      <x:c r="F6494" s="2"/>
      <x:c r="G6494" s="2"/>
    </x:row>
    <x:row r="6495">
      <x:c r="B6495" s="2"/>
      <x:c r="C6495" s="2"/>
      <x:c r="D6495" s="2"/>
      <x:c r="E6495" s="2"/>
      <x:c r="F6495" s="2"/>
      <x:c r="G6495" s="2"/>
    </x:row>
    <x:row r="6496">
      <x:c r="B6496" s="2"/>
      <x:c r="C6496" s="2"/>
      <x:c r="D6496" s="2"/>
      <x:c r="E6496" s="2"/>
      <x:c r="F6496" s="2"/>
      <x:c r="G6496" s="2"/>
    </x:row>
    <x:row r="6497">
      <x:c r="B6497" s="2"/>
      <x:c r="C6497" s="2"/>
      <x:c r="D6497" s="2"/>
      <x:c r="E6497" s="2"/>
      <x:c r="F6497" s="2"/>
      <x:c r="G6497" s="2"/>
    </x:row>
    <x:row r="6498">
      <x:c r="B6498" s="2"/>
      <x:c r="C6498" s="2"/>
      <x:c r="D6498" s="2"/>
      <x:c r="E6498" s="2"/>
      <x:c r="F6498" s="2"/>
      <x:c r="G6498" s="2"/>
    </x:row>
    <x:row r="6499">
      <x:c r="B6499" s="2"/>
      <x:c r="C6499" s="2"/>
      <x:c r="D6499" s="2"/>
      <x:c r="E6499" s="2"/>
      <x:c r="F6499" s="2"/>
      <x:c r="G6499" s="2"/>
    </x:row>
    <x:row r="6500">
      <x:c r="B6500" s="2"/>
      <x:c r="C6500" s="2"/>
      <x:c r="D6500" s="2"/>
      <x:c r="E6500" s="2"/>
      <x:c r="F6500" s="2"/>
      <x:c r="G6500" s="2"/>
    </x:row>
    <x:row r="6501">
      <x:c r="B6501" s="2"/>
      <x:c r="C6501" s="2"/>
      <x:c r="D6501" s="2"/>
      <x:c r="E6501" s="2"/>
      <x:c r="F6501" s="2"/>
      <x:c r="G6501" s="2"/>
    </x:row>
    <x:row r="6502">
      <x:c r="B6502" s="2"/>
      <x:c r="C6502" s="2"/>
      <x:c r="D6502" s="2"/>
      <x:c r="E6502" s="2"/>
      <x:c r="F6502" s="2"/>
      <x:c r="G6502" s="2"/>
    </x:row>
    <x:row r="6503">
      <x:c r="B6503" s="2"/>
      <x:c r="C6503" s="2"/>
      <x:c r="D6503" s="2"/>
      <x:c r="E6503" s="2"/>
      <x:c r="F6503" s="2"/>
      <x:c r="G6503" s="2"/>
    </x:row>
    <x:row r="6504">
      <x:c r="B6504" s="2"/>
      <x:c r="C6504" s="2"/>
      <x:c r="D6504" s="2"/>
      <x:c r="E6504" s="2"/>
      <x:c r="F6504" s="2"/>
      <x:c r="G6504" s="2"/>
    </x:row>
    <x:row r="6505">
      <x:c r="B6505" s="2"/>
      <x:c r="C6505" s="2"/>
      <x:c r="D6505" s="2"/>
      <x:c r="E6505" s="2"/>
      <x:c r="F6505" s="2"/>
      <x:c r="G6505" s="2"/>
    </x:row>
    <x:row r="6506">
      <x:c r="B6506" s="2"/>
      <x:c r="C6506" s="2"/>
      <x:c r="D6506" s="2"/>
      <x:c r="E6506" s="2"/>
      <x:c r="F6506" s="2"/>
      <x:c r="G6506" s="2"/>
    </x:row>
    <x:row r="6507">
      <x:c r="B6507" s="2"/>
      <x:c r="C6507" s="2"/>
      <x:c r="D6507" s="2"/>
      <x:c r="E6507" s="2"/>
      <x:c r="F6507" s="2"/>
      <x:c r="G6507" s="2"/>
    </x:row>
    <x:row r="6508">
      <x:c r="B6508" s="2"/>
      <x:c r="C6508" s="2"/>
      <x:c r="D6508" s="2"/>
      <x:c r="E6508" s="2"/>
      <x:c r="F6508" s="2"/>
      <x:c r="G6508" s="2"/>
    </x:row>
    <x:row r="6509">
      <x:c r="B6509" s="2"/>
      <x:c r="C6509" s="2"/>
      <x:c r="D6509" s="2"/>
      <x:c r="E6509" s="2"/>
      <x:c r="F6509" s="2"/>
      <x:c r="G6509" s="2"/>
    </x:row>
    <x:row r="6510">
      <x:c r="B6510" s="2"/>
      <x:c r="C6510" s="2"/>
      <x:c r="D6510" s="2"/>
      <x:c r="E6510" s="2"/>
      <x:c r="F6510" s="2"/>
      <x:c r="G6510" s="2"/>
    </x:row>
    <x:row r="6511">
      <x:c r="B6511" s="2"/>
      <x:c r="C6511" s="2"/>
      <x:c r="D6511" s="2"/>
      <x:c r="E6511" s="2"/>
      <x:c r="F6511" s="2"/>
      <x:c r="G6511" s="2"/>
    </x:row>
    <x:row r="6512">
      <x:c r="B6512" s="2"/>
      <x:c r="C6512" s="2"/>
      <x:c r="D6512" s="2"/>
      <x:c r="E6512" s="2"/>
      <x:c r="F6512" s="2"/>
      <x:c r="G6512" s="2"/>
    </x:row>
    <x:row r="6513">
      <x:c r="B6513" s="2"/>
      <x:c r="C6513" s="2"/>
      <x:c r="D6513" s="2"/>
      <x:c r="E6513" s="2"/>
      <x:c r="F6513" s="2"/>
      <x:c r="G6513" s="2"/>
    </x:row>
    <x:row r="6514">
      <x:c r="B6514" s="2"/>
      <x:c r="C6514" s="2"/>
      <x:c r="D6514" s="2"/>
      <x:c r="E6514" s="2"/>
      <x:c r="F6514" s="2"/>
      <x:c r="G6514" s="2"/>
    </x:row>
    <x:row r="6515">
      <x:c r="B6515" s="2"/>
      <x:c r="C6515" s="2"/>
      <x:c r="D6515" s="2"/>
      <x:c r="E6515" s="2"/>
      <x:c r="F6515" s="2"/>
      <x:c r="G6515" s="2"/>
    </x:row>
    <x:row r="6516">
      <x:c r="B6516" s="2"/>
      <x:c r="C6516" s="2"/>
      <x:c r="D6516" s="2"/>
      <x:c r="E6516" s="2"/>
      <x:c r="F6516" s="2"/>
      <x:c r="G6516" s="2"/>
    </x:row>
    <x:row r="6517">
      <x:c r="B6517" s="2"/>
      <x:c r="C6517" s="2"/>
      <x:c r="D6517" s="2"/>
      <x:c r="E6517" s="2"/>
      <x:c r="F6517" s="2"/>
      <x:c r="G6517" s="2"/>
    </x:row>
    <x:row r="6518">
      <x:c r="B6518" s="2"/>
      <x:c r="C6518" s="2"/>
      <x:c r="D6518" s="2"/>
      <x:c r="E6518" s="2"/>
      <x:c r="F6518" s="2"/>
      <x:c r="G6518" s="2"/>
    </x:row>
    <x:row r="6519">
      <x:c r="B6519" s="2"/>
      <x:c r="C6519" s="2"/>
      <x:c r="D6519" s="2"/>
      <x:c r="E6519" s="2"/>
      <x:c r="F6519" s="2"/>
      <x:c r="G6519" s="2"/>
    </x:row>
    <x:row r="6520">
      <x:c r="B6520" s="2"/>
      <x:c r="C6520" s="2"/>
      <x:c r="D6520" s="2"/>
      <x:c r="E6520" s="2"/>
      <x:c r="F6520" s="2"/>
      <x:c r="G6520" s="2"/>
    </x:row>
    <x:row r="6521">
      <x:c r="B6521" s="2"/>
      <x:c r="C6521" s="2"/>
      <x:c r="D6521" s="2"/>
      <x:c r="E6521" s="2"/>
      <x:c r="F6521" s="2"/>
      <x:c r="G6521" s="2"/>
    </x:row>
    <x:row r="6522">
      <x:c r="B6522" s="2"/>
      <x:c r="C6522" s="2"/>
      <x:c r="D6522" s="2"/>
      <x:c r="E6522" s="2"/>
      <x:c r="F6522" s="2"/>
      <x:c r="G6522" s="2"/>
    </x:row>
    <x:row r="6523">
      <x:c r="B6523" s="2"/>
      <x:c r="C6523" s="2"/>
      <x:c r="D6523" s="2"/>
      <x:c r="E6523" s="2"/>
      <x:c r="F6523" s="2"/>
      <x:c r="G6523" s="2"/>
    </x:row>
    <x:row r="6524">
      <x:c r="B6524" s="2"/>
      <x:c r="C6524" s="2"/>
      <x:c r="D6524" s="2"/>
      <x:c r="E6524" s="2"/>
      <x:c r="F6524" s="2"/>
      <x:c r="G6524" s="2"/>
    </x:row>
    <x:row r="6525">
      <x:c r="B6525" s="2"/>
      <x:c r="C6525" s="2"/>
      <x:c r="D6525" s="2"/>
      <x:c r="E6525" s="2"/>
      <x:c r="F6525" s="2"/>
      <x:c r="G6525" s="2"/>
    </x:row>
    <x:row r="6526">
      <x:c r="B6526" s="2"/>
      <x:c r="C6526" s="2"/>
      <x:c r="D6526" s="2"/>
      <x:c r="E6526" s="2"/>
      <x:c r="F6526" s="2"/>
      <x:c r="G6526" s="2"/>
    </x:row>
    <x:row r="6527">
      <x:c r="B6527" s="2"/>
      <x:c r="C6527" s="2"/>
      <x:c r="D6527" s="2"/>
      <x:c r="E6527" s="2"/>
      <x:c r="F6527" s="2"/>
      <x:c r="G6527" s="2"/>
    </x:row>
    <x:row r="6528">
      <x:c r="B6528" s="2"/>
      <x:c r="C6528" s="2"/>
      <x:c r="D6528" s="2"/>
      <x:c r="E6528" s="2"/>
      <x:c r="F6528" s="2"/>
      <x:c r="G6528" s="2"/>
    </x:row>
    <x:row r="6529">
      <x:c r="B6529" s="2"/>
      <x:c r="C6529" s="2"/>
      <x:c r="D6529" s="2"/>
      <x:c r="E6529" s="2"/>
      <x:c r="F6529" s="2"/>
      <x:c r="G6529" s="2"/>
    </x:row>
    <x:row r="6530">
      <x:c r="B6530" s="2"/>
      <x:c r="C6530" s="2"/>
      <x:c r="D6530" s="2"/>
      <x:c r="E6530" s="2"/>
      <x:c r="F6530" s="2"/>
      <x:c r="G6530" s="2"/>
    </x:row>
    <x:row r="6531">
      <x:c r="B6531" s="2"/>
      <x:c r="C6531" s="2"/>
      <x:c r="D6531" s="2"/>
      <x:c r="E6531" s="2"/>
      <x:c r="F6531" s="2"/>
      <x:c r="G6531" s="2"/>
    </x:row>
    <x:row r="6532">
      <x:c r="B6532" s="2"/>
      <x:c r="C6532" s="2"/>
      <x:c r="D6532" s="2"/>
      <x:c r="E6532" s="2"/>
      <x:c r="F6532" s="2"/>
      <x:c r="G6532" s="2"/>
    </x:row>
    <x:row r="6533">
      <x:c r="B6533" s="2"/>
      <x:c r="C6533" s="2"/>
      <x:c r="D6533" s="2"/>
      <x:c r="E6533" s="2"/>
      <x:c r="F6533" s="2"/>
      <x:c r="G6533" s="2"/>
    </x:row>
    <x:row r="6534">
      <x:c r="B6534" s="2"/>
      <x:c r="C6534" s="2"/>
      <x:c r="D6534" s="2"/>
      <x:c r="E6534" s="2"/>
      <x:c r="F6534" s="2"/>
      <x:c r="G6534" s="2"/>
    </x:row>
    <x:row r="6535">
      <x:c r="B6535" s="2"/>
      <x:c r="C6535" s="2"/>
      <x:c r="D6535" s="2"/>
      <x:c r="E6535" s="2"/>
      <x:c r="F6535" s="2"/>
      <x:c r="G6535" s="2"/>
    </x:row>
    <x:row r="6536">
      <x:c r="B6536" s="2"/>
      <x:c r="C6536" s="2"/>
      <x:c r="D6536" s="2"/>
      <x:c r="E6536" s="2"/>
      <x:c r="F6536" s="2"/>
      <x:c r="G6536" s="2"/>
    </x:row>
    <x:row r="6537">
      <x:c r="B6537" s="2"/>
      <x:c r="C6537" s="2"/>
      <x:c r="D6537" s="2"/>
      <x:c r="E6537" s="2"/>
      <x:c r="F6537" s="2"/>
      <x:c r="G6537" s="2"/>
    </x:row>
    <x:row r="6538">
      <x:c r="B6538" s="2"/>
      <x:c r="C6538" s="2"/>
      <x:c r="D6538" s="2"/>
      <x:c r="E6538" s="2"/>
      <x:c r="F6538" s="2"/>
      <x:c r="G6538" s="2"/>
    </x:row>
    <x:row r="6539">
      <x:c r="B6539" s="2"/>
      <x:c r="C6539" s="2"/>
      <x:c r="D6539" s="2"/>
      <x:c r="E6539" s="2"/>
      <x:c r="F6539" s="2"/>
      <x:c r="G6539" s="2"/>
    </x:row>
    <x:row r="6540">
      <x:c r="B6540" s="2"/>
      <x:c r="C6540" s="2"/>
      <x:c r="D6540" s="2"/>
      <x:c r="E6540" s="2"/>
      <x:c r="F6540" s="2"/>
      <x:c r="G6540" s="2"/>
    </x:row>
    <x:row r="6541">
      <x:c r="B6541" s="2"/>
      <x:c r="C6541" s="2"/>
      <x:c r="D6541" s="2"/>
      <x:c r="E6541" s="2"/>
      <x:c r="F6541" s="2"/>
      <x:c r="G6541" s="2"/>
    </x:row>
    <x:row r="6542">
      <x:c r="B6542" s="2"/>
      <x:c r="C6542" s="2"/>
      <x:c r="D6542" s="2"/>
      <x:c r="E6542" s="2"/>
      <x:c r="F6542" s="2"/>
      <x:c r="G6542" s="2"/>
    </x:row>
    <x:row r="6543">
      <x:c r="B6543" s="2"/>
      <x:c r="C6543" s="2"/>
      <x:c r="D6543" s="2"/>
      <x:c r="E6543" s="2"/>
      <x:c r="F6543" s="2"/>
      <x:c r="G6543" s="2"/>
    </x:row>
    <x:row r="6544">
      <x:c r="B6544" s="2"/>
      <x:c r="C6544" s="2"/>
      <x:c r="D6544" s="2"/>
      <x:c r="E6544" s="2"/>
      <x:c r="F6544" s="2"/>
      <x:c r="G6544" s="2"/>
    </x:row>
    <x:row r="6545">
      <x:c r="B6545" s="2"/>
      <x:c r="C6545" s="2"/>
      <x:c r="D6545" s="2"/>
      <x:c r="E6545" s="2"/>
      <x:c r="F6545" s="2"/>
      <x:c r="G6545" s="2"/>
    </x:row>
    <x:row r="6546">
      <x:c r="B6546" s="2"/>
      <x:c r="C6546" s="2"/>
      <x:c r="D6546" s="2"/>
      <x:c r="E6546" s="2"/>
      <x:c r="F6546" s="2"/>
      <x:c r="G6546" s="2"/>
    </x:row>
    <x:row r="6547">
      <x:c r="B6547" s="2"/>
      <x:c r="C6547" s="2"/>
      <x:c r="D6547" s="2"/>
      <x:c r="E6547" s="2"/>
      <x:c r="F6547" s="2"/>
      <x:c r="G6547" s="2"/>
    </x:row>
    <x:row r="6548">
      <x:c r="B6548" s="2"/>
      <x:c r="C6548" s="2"/>
      <x:c r="D6548" s="2"/>
      <x:c r="E6548" s="2"/>
      <x:c r="F6548" s="2"/>
      <x:c r="G6548" s="2"/>
    </x:row>
    <x:row r="6549">
      <x:c r="B6549" s="2"/>
      <x:c r="C6549" s="2"/>
      <x:c r="D6549" s="2"/>
      <x:c r="E6549" s="2"/>
      <x:c r="F6549" s="2"/>
      <x:c r="G6549" s="2"/>
    </x:row>
    <x:row r="6550">
      <x:c r="B6550" s="2"/>
      <x:c r="C6550" s="2"/>
      <x:c r="D6550" s="2"/>
      <x:c r="E6550" s="2"/>
      <x:c r="F6550" s="2"/>
      <x:c r="G6550" s="2"/>
    </x:row>
    <x:row r="6551">
      <x:c r="B6551" s="2"/>
      <x:c r="C6551" s="2"/>
      <x:c r="D6551" s="2"/>
      <x:c r="E6551" s="2"/>
      <x:c r="F6551" s="2"/>
      <x:c r="G6551" s="2"/>
    </x:row>
    <x:row r="6552">
      <x:c r="B6552" s="2"/>
      <x:c r="C6552" s="2"/>
      <x:c r="D6552" s="2"/>
      <x:c r="E6552" s="2"/>
      <x:c r="F6552" s="2"/>
      <x:c r="G6552" s="2"/>
    </x:row>
    <x:row r="6553">
      <x:c r="B6553" s="2"/>
      <x:c r="C6553" s="2"/>
      <x:c r="D6553" s="2"/>
      <x:c r="E6553" s="2"/>
      <x:c r="F6553" s="2"/>
      <x:c r="G6553" s="2"/>
    </x:row>
    <x:row r="6554">
      <x:c r="B6554" s="2"/>
      <x:c r="C6554" s="2"/>
      <x:c r="D6554" s="2"/>
      <x:c r="E6554" s="2"/>
      <x:c r="F6554" s="2"/>
      <x:c r="G6554" s="2"/>
    </x:row>
    <x:row r="6555">
      <x:c r="B6555" s="2"/>
      <x:c r="C6555" s="2"/>
      <x:c r="D6555" s="2"/>
      <x:c r="E6555" s="2"/>
      <x:c r="F6555" s="2"/>
      <x:c r="G6555" s="2"/>
    </x:row>
    <x:row r="6556">
      <x:c r="B6556" s="2"/>
      <x:c r="C6556" s="2"/>
      <x:c r="D6556" s="2"/>
      <x:c r="E6556" s="2"/>
      <x:c r="F6556" s="2"/>
      <x:c r="G6556" s="2"/>
    </x:row>
    <x:row r="6557">
      <x:c r="B6557" s="2"/>
      <x:c r="C6557" s="2"/>
      <x:c r="D6557" s="2"/>
      <x:c r="E6557" s="2"/>
      <x:c r="F6557" s="2"/>
      <x:c r="G6557" s="2"/>
    </x:row>
    <x:row r="6558">
      <x:c r="B6558" s="2"/>
      <x:c r="C6558" s="2"/>
      <x:c r="D6558" s="2"/>
      <x:c r="E6558" s="2"/>
      <x:c r="F6558" s="2"/>
      <x:c r="G6558" s="2"/>
    </x:row>
    <x:row r="6559">
      <x:c r="B6559" s="2"/>
      <x:c r="C6559" s="2"/>
      <x:c r="D6559" s="2"/>
      <x:c r="E6559" s="2"/>
      <x:c r="F6559" s="2"/>
      <x:c r="G6559" s="2"/>
    </x:row>
    <x:row r="6560">
      <x:c r="B6560" s="2"/>
      <x:c r="C6560" s="2"/>
      <x:c r="D6560" s="2"/>
      <x:c r="E6560" s="2"/>
      <x:c r="F6560" s="2"/>
      <x:c r="G6560" s="2"/>
    </x:row>
    <x:row r="6561">
      <x:c r="B6561" s="2"/>
      <x:c r="C6561" s="2"/>
      <x:c r="D6561" s="2"/>
      <x:c r="E6561" s="2"/>
      <x:c r="F6561" s="2"/>
      <x:c r="G6561" s="2"/>
    </x:row>
    <x:row r="6562">
      <x:c r="B6562" s="2"/>
      <x:c r="C6562" s="2"/>
      <x:c r="D6562" s="2"/>
      <x:c r="E6562" s="2"/>
      <x:c r="F6562" s="2"/>
      <x:c r="G6562" s="2"/>
    </x:row>
    <x:row r="6563">
      <x:c r="B6563" s="2"/>
      <x:c r="C6563" s="2"/>
      <x:c r="D6563" s="2"/>
      <x:c r="E6563" s="2"/>
      <x:c r="F6563" s="2"/>
      <x:c r="G6563" s="2"/>
    </x:row>
    <x:row r="6564">
      <x:c r="B6564" s="2"/>
      <x:c r="C6564" s="2"/>
      <x:c r="D6564" s="2"/>
      <x:c r="E6564" s="2"/>
      <x:c r="F6564" s="2"/>
      <x:c r="G6564" s="2"/>
    </x:row>
    <x:row r="6565">
      <x:c r="B6565" s="2"/>
      <x:c r="C6565" s="2"/>
      <x:c r="D6565" s="2"/>
      <x:c r="E6565" s="2"/>
      <x:c r="F6565" s="2"/>
      <x:c r="G6565" s="2"/>
    </x:row>
    <x:row r="6566">
      <x:c r="B6566" s="2"/>
      <x:c r="C6566" s="2"/>
      <x:c r="D6566" s="2"/>
      <x:c r="E6566" s="2"/>
      <x:c r="F6566" s="2"/>
      <x:c r="G6566" s="2"/>
    </x:row>
    <x:row r="6567">
      <x:c r="B6567" s="2"/>
      <x:c r="C6567" s="2"/>
      <x:c r="D6567" s="2"/>
      <x:c r="E6567" s="2"/>
      <x:c r="F6567" s="2"/>
      <x:c r="G6567" s="2"/>
    </x:row>
    <x:row r="6568">
      <x:c r="B6568" s="2"/>
      <x:c r="C6568" s="2"/>
      <x:c r="D6568" s="2"/>
      <x:c r="E6568" s="2"/>
      <x:c r="F6568" s="2"/>
      <x:c r="G6568" s="2"/>
    </x:row>
    <x:row r="6569">
      <x:c r="B6569" s="2"/>
      <x:c r="C6569" s="2"/>
      <x:c r="D6569" s="2"/>
      <x:c r="E6569" s="2"/>
      <x:c r="F6569" s="2"/>
      <x:c r="G6569" s="2"/>
    </x:row>
    <x:row r="6570">
      <x:c r="B6570" s="2"/>
      <x:c r="C6570" s="2"/>
      <x:c r="D6570" s="2"/>
      <x:c r="E6570" s="2"/>
      <x:c r="F6570" s="2"/>
      <x:c r="G6570" s="2"/>
    </x:row>
    <x:row r="6571">
      <x:c r="B6571" s="2"/>
      <x:c r="C6571" s="2"/>
      <x:c r="D6571" s="2"/>
      <x:c r="E6571" s="2"/>
      <x:c r="F6571" s="2"/>
      <x:c r="G6571" s="2"/>
    </x:row>
    <x:row r="6572">
      <x:c r="B6572" s="2"/>
      <x:c r="C6572" s="2"/>
      <x:c r="D6572" s="2"/>
      <x:c r="E6572" s="2"/>
      <x:c r="F6572" s="2"/>
      <x:c r="G6572" s="2"/>
    </x:row>
    <x:row r="6573">
      <x:c r="B6573" s="2"/>
      <x:c r="C6573" s="2"/>
      <x:c r="D6573" s="2"/>
      <x:c r="E6573" s="2"/>
      <x:c r="F6573" s="2"/>
      <x:c r="G6573" s="2"/>
    </x:row>
    <x:row r="6574">
      <x:c r="B6574" s="2"/>
      <x:c r="C6574" s="2"/>
      <x:c r="D6574" s="2"/>
      <x:c r="E6574" s="2"/>
      <x:c r="F6574" s="2"/>
      <x:c r="G6574" s="2"/>
    </x:row>
    <x:row r="6575">
      <x:c r="B6575" s="2"/>
      <x:c r="C6575" s="2"/>
      <x:c r="D6575" s="2"/>
      <x:c r="E6575" s="2"/>
      <x:c r="F6575" s="2"/>
      <x:c r="G6575" s="2"/>
    </x:row>
    <x:row r="6576">
      <x:c r="B6576" s="2"/>
      <x:c r="C6576" s="2"/>
      <x:c r="D6576" s="2"/>
      <x:c r="E6576" s="2"/>
      <x:c r="F6576" s="2"/>
      <x:c r="G6576" s="2"/>
    </x:row>
    <x:row r="6577">
      <x:c r="B6577" s="2"/>
      <x:c r="C6577" s="2"/>
      <x:c r="D6577" s="2"/>
      <x:c r="E6577" s="2"/>
      <x:c r="F6577" s="2"/>
      <x:c r="G6577" s="2"/>
    </x:row>
    <x:row r="6578">
      <x:c r="B6578" s="2"/>
      <x:c r="C6578" s="2"/>
      <x:c r="D6578" s="2"/>
      <x:c r="E6578" s="2"/>
      <x:c r="F6578" s="2"/>
      <x:c r="G6578" s="2"/>
    </x:row>
    <x:row r="6579">
      <x:c r="B6579" s="2"/>
      <x:c r="C6579" s="2"/>
      <x:c r="D6579" s="2"/>
      <x:c r="E6579" s="2"/>
      <x:c r="F6579" s="2"/>
      <x:c r="G6579" s="2"/>
    </x:row>
    <x:row r="6580">
      <x:c r="B6580" s="2"/>
      <x:c r="C6580" s="2"/>
      <x:c r="D6580" s="2"/>
      <x:c r="E6580" s="2"/>
      <x:c r="F6580" s="2"/>
      <x:c r="G6580" s="2"/>
    </x:row>
    <x:row r="6581">
      <x:c r="B6581" s="2"/>
      <x:c r="C6581" s="2"/>
      <x:c r="D6581" s="2"/>
      <x:c r="E6581" s="2"/>
      <x:c r="F6581" s="2"/>
      <x:c r="G6581" s="2"/>
    </x:row>
    <x:row r="6582">
      <x:c r="B6582" s="2"/>
      <x:c r="C6582" s="2"/>
      <x:c r="D6582" s="2"/>
      <x:c r="E6582" s="2"/>
      <x:c r="F6582" s="2"/>
      <x:c r="G6582" s="2"/>
    </x:row>
    <x:row r="6583">
      <x:c r="B6583" s="2"/>
      <x:c r="C6583" s="2"/>
      <x:c r="D6583" s="2"/>
      <x:c r="E6583" s="2"/>
      <x:c r="F6583" s="2"/>
      <x:c r="G6583" s="2"/>
    </x:row>
    <x:row r="6584">
      <x:c r="B6584" s="2"/>
      <x:c r="C6584" s="2"/>
      <x:c r="D6584" s="2"/>
      <x:c r="E6584" s="2"/>
      <x:c r="F6584" s="2"/>
      <x:c r="G6584" s="2"/>
    </x:row>
    <x:row r="6585">
      <x:c r="B6585" s="2"/>
      <x:c r="C6585" s="2"/>
      <x:c r="D6585" s="2"/>
      <x:c r="E6585" s="2"/>
      <x:c r="F6585" s="2"/>
      <x:c r="G6585" s="2"/>
    </x:row>
    <x:row r="6586">
      <x:c r="B6586" s="2"/>
      <x:c r="C6586" s="2"/>
      <x:c r="D6586" s="2"/>
      <x:c r="E6586" s="2"/>
      <x:c r="F6586" s="2"/>
      <x:c r="G6586" s="2"/>
    </x:row>
    <x:row r="6587">
      <x:c r="B6587" s="2"/>
      <x:c r="C6587" s="2"/>
      <x:c r="D6587" s="2"/>
      <x:c r="E6587" s="2"/>
      <x:c r="F6587" s="2"/>
      <x:c r="G6587" s="2"/>
    </x:row>
    <x:row r="6588">
      <x:c r="B6588" s="2"/>
      <x:c r="C6588" s="2"/>
      <x:c r="D6588" s="2"/>
      <x:c r="E6588" s="2"/>
      <x:c r="F6588" s="2"/>
      <x:c r="G6588" s="2"/>
    </x:row>
    <x:row r="6589">
      <x:c r="B6589" s="2"/>
      <x:c r="C6589" s="2"/>
      <x:c r="D6589" s="2"/>
      <x:c r="E6589" s="2"/>
      <x:c r="F6589" s="2"/>
      <x:c r="G6589" s="2"/>
    </x:row>
    <x:row r="6590">
      <x:c r="B6590" s="2"/>
      <x:c r="C6590" s="2"/>
      <x:c r="D6590" s="2"/>
      <x:c r="E6590" s="2"/>
      <x:c r="F6590" s="2"/>
      <x:c r="G6590" s="2"/>
    </x:row>
    <x:row r="6591">
      <x:c r="B6591" s="2"/>
      <x:c r="C6591" s="2"/>
      <x:c r="D6591" s="2"/>
      <x:c r="E6591" s="2"/>
      <x:c r="F6591" s="2"/>
      <x:c r="G6591" s="2"/>
    </x:row>
    <x:row r="6592">
      <x:c r="B6592" s="2"/>
      <x:c r="C6592" s="2"/>
      <x:c r="D6592" s="2"/>
      <x:c r="E6592" s="2"/>
      <x:c r="F6592" s="2"/>
      <x:c r="G6592" s="2"/>
    </x:row>
    <x:row r="6593">
      <x:c r="B6593" s="2"/>
      <x:c r="C6593" s="2"/>
      <x:c r="D6593" s="2"/>
      <x:c r="E6593" s="2"/>
      <x:c r="F6593" s="2"/>
      <x:c r="G6593" s="2"/>
    </x:row>
    <x:row r="6594">
      <x:c r="B6594" s="2"/>
      <x:c r="C6594" s="2"/>
      <x:c r="D6594" s="2"/>
      <x:c r="E6594" s="2"/>
      <x:c r="F6594" s="2"/>
      <x:c r="G6594" s="2"/>
    </x:row>
    <x:row r="6595">
      <x:c r="B6595" s="2"/>
      <x:c r="C6595" s="2"/>
      <x:c r="D6595" s="2"/>
      <x:c r="E6595" s="2"/>
      <x:c r="F6595" s="2"/>
      <x:c r="G6595" s="2"/>
    </x:row>
    <x:row r="6596">
      <x:c r="B6596" s="2"/>
      <x:c r="C6596" s="2"/>
      <x:c r="D6596" s="2"/>
      <x:c r="E6596" s="2"/>
      <x:c r="F6596" s="2"/>
      <x:c r="G6596" s="2"/>
    </x:row>
    <x:row r="6597">
      <x:c r="B6597" s="2"/>
      <x:c r="C6597" s="2"/>
      <x:c r="D6597" s="2"/>
      <x:c r="E6597" s="2"/>
      <x:c r="F6597" s="2"/>
      <x:c r="G6597" s="2"/>
    </x:row>
    <x:row r="6598">
      <x:c r="B6598" s="2"/>
      <x:c r="C6598" s="2"/>
      <x:c r="D6598" s="2"/>
      <x:c r="E6598" s="2"/>
      <x:c r="F6598" s="2"/>
      <x:c r="G6598" s="2"/>
    </x:row>
    <x:row r="6599">
      <x:c r="B6599" s="2"/>
      <x:c r="C6599" s="2"/>
      <x:c r="D6599" s="2"/>
      <x:c r="E6599" s="2"/>
      <x:c r="F6599" s="2"/>
      <x:c r="G6599" s="2"/>
    </x:row>
    <x:row r="6600">
      <x:c r="B6600" s="2"/>
      <x:c r="C6600" s="2"/>
      <x:c r="D6600" s="2"/>
      <x:c r="E6600" s="2"/>
      <x:c r="F6600" s="2"/>
      <x:c r="G6600" s="2"/>
    </x:row>
    <x:row r="6601">
      <x:c r="B6601" s="2"/>
      <x:c r="C6601" s="2"/>
      <x:c r="D6601" s="2"/>
      <x:c r="E6601" s="2"/>
      <x:c r="F6601" s="2"/>
      <x:c r="G6601" s="2"/>
    </x:row>
    <x:row r="6602">
      <x:c r="B6602" s="2"/>
      <x:c r="C6602" s="2"/>
      <x:c r="D6602" s="2"/>
      <x:c r="E6602" s="2"/>
      <x:c r="F6602" s="2"/>
      <x:c r="G6602" s="2"/>
    </x:row>
    <x:row r="6603">
      <x:c r="B6603" s="2"/>
      <x:c r="C6603" s="2"/>
      <x:c r="D6603" s="2"/>
      <x:c r="E6603" s="2"/>
      <x:c r="F6603" s="2"/>
      <x:c r="G6603" s="2"/>
    </x:row>
    <x:row r="6604">
      <x:c r="B6604" s="2"/>
      <x:c r="C6604" s="2"/>
      <x:c r="D6604" s="2"/>
      <x:c r="E6604" s="2"/>
      <x:c r="F6604" s="2"/>
      <x:c r="G6604" s="2"/>
    </x:row>
    <x:row r="6605">
      <x:c r="B6605" s="2"/>
      <x:c r="C6605" s="2"/>
      <x:c r="D6605" s="2"/>
      <x:c r="E6605" s="2"/>
      <x:c r="F6605" s="2"/>
      <x:c r="G6605" s="2"/>
    </x:row>
    <x:row r="6606">
      <x:c r="B6606" s="2"/>
      <x:c r="C6606" s="2"/>
      <x:c r="D6606" s="2"/>
      <x:c r="E6606" s="2"/>
      <x:c r="F6606" s="2"/>
      <x:c r="G6606" s="2"/>
    </x:row>
    <x:row r="6607">
      <x:c r="B6607" s="2"/>
      <x:c r="C6607" s="2"/>
      <x:c r="D6607" s="2"/>
      <x:c r="E6607" s="2"/>
      <x:c r="F6607" s="2"/>
      <x:c r="G6607" s="2"/>
    </x:row>
    <x:row r="6608">
      <x:c r="B6608" s="2"/>
      <x:c r="C6608" s="2"/>
      <x:c r="D6608" s="2"/>
      <x:c r="E6608" s="2"/>
      <x:c r="F6608" s="2"/>
      <x:c r="G6608" s="2"/>
    </x:row>
    <x:row r="6609">
      <x:c r="B6609" s="2"/>
      <x:c r="C6609" s="2"/>
      <x:c r="D6609" s="2"/>
      <x:c r="E6609" s="2"/>
      <x:c r="F6609" s="2"/>
      <x:c r="G6609" s="2"/>
    </x:row>
    <x:row r="6610">
      <x:c r="B6610" s="2"/>
      <x:c r="C6610" s="2"/>
      <x:c r="D6610" s="2"/>
      <x:c r="E6610" s="2"/>
      <x:c r="F6610" s="2"/>
      <x:c r="G6610" s="2"/>
    </x:row>
    <x:row r="6611">
      <x:c r="B6611" s="2"/>
      <x:c r="C6611" s="2"/>
      <x:c r="D6611" s="2"/>
      <x:c r="E6611" s="2"/>
      <x:c r="F6611" s="2"/>
      <x:c r="G6611" s="2"/>
    </x:row>
    <x:row r="6612">
      <x:c r="B6612" s="2"/>
      <x:c r="C6612" s="2"/>
      <x:c r="D6612" s="2"/>
      <x:c r="E6612" s="2"/>
      <x:c r="F6612" s="2"/>
      <x:c r="G6612" s="2"/>
    </x:row>
    <x:row r="6613">
      <x:c r="B6613" s="2"/>
      <x:c r="C6613" s="2"/>
      <x:c r="D6613" s="2"/>
      <x:c r="E6613" s="2"/>
      <x:c r="F6613" s="2"/>
      <x:c r="G6613" s="2"/>
    </x:row>
    <x:row r="6614">
      <x:c r="B6614" s="2"/>
      <x:c r="C6614" s="2"/>
      <x:c r="D6614" s="2"/>
      <x:c r="E6614" s="2"/>
      <x:c r="F6614" s="2"/>
      <x:c r="G6614" s="2"/>
    </x:row>
    <x:row r="6615">
      <x:c r="B6615" s="2"/>
      <x:c r="C6615" s="2"/>
      <x:c r="D6615" s="2"/>
      <x:c r="E6615" s="2"/>
      <x:c r="F6615" s="2"/>
      <x:c r="G6615" s="2"/>
    </x:row>
    <x:row r="6616">
      <x:c r="B6616" s="2"/>
      <x:c r="C6616" s="2"/>
      <x:c r="D6616" s="2"/>
      <x:c r="E6616" s="2"/>
      <x:c r="F6616" s="2"/>
      <x:c r="G6616" s="2"/>
    </x:row>
    <x:row r="6617">
      <x:c r="B6617" s="2"/>
      <x:c r="C6617" s="2"/>
      <x:c r="D6617" s="2"/>
      <x:c r="E6617" s="2"/>
      <x:c r="F6617" s="2"/>
      <x:c r="G6617" s="2"/>
    </x:row>
    <x:row r="6618">
      <x:c r="B6618" s="2"/>
      <x:c r="C6618" s="2"/>
      <x:c r="D6618" s="2"/>
      <x:c r="E6618" s="2"/>
      <x:c r="F6618" s="2"/>
      <x:c r="G6618" s="2"/>
    </x:row>
    <x:row r="6619">
      <x:c r="B6619" s="2"/>
      <x:c r="C6619" s="2"/>
      <x:c r="D6619" s="2"/>
      <x:c r="E6619" s="2"/>
      <x:c r="F6619" s="2"/>
      <x:c r="G6619" s="2"/>
    </x:row>
    <x:row r="6620">
      <x:c r="B6620" s="2"/>
      <x:c r="C6620" s="2"/>
      <x:c r="D6620" s="2"/>
      <x:c r="E6620" s="2"/>
      <x:c r="F6620" s="2"/>
      <x:c r="G6620" s="2"/>
    </x:row>
    <x:row r="6621">
      <x:c r="B6621" s="2"/>
      <x:c r="C6621" s="2"/>
      <x:c r="D6621" s="2"/>
      <x:c r="E6621" s="2"/>
      <x:c r="F6621" s="2"/>
      <x:c r="G6621" s="2"/>
    </x:row>
    <x:row r="6622">
      <x:c r="B6622" s="2"/>
      <x:c r="C6622" s="2"/>
      <x:c r="D6622" s="2"/>
      <x:c r="E6622" s="2"/>
      <x:c r="F6622" s="2"/>
      <x:c r="G6622" s="2"/>
    </x:row>
    <x:row r="6623">
      <x:c r="B6623" s="2"/>
      <x:c r="C6623" s="2"/>
      <x:c r="D6623" s="2"/>
      <x:c r="E6623" s="2"/>
      <x:c r="F6623" s="2"/>
      <x:c r="G6623" s="2"/>
    </x:row>
    <x:row r="6624">
      <x:c r="B6624" s="2"/>
      <x:c r="C6624" s="2"/>
      <x:c r="D6624" s="2"/>
      <x:c r="E6624" s="2"/>
      <x:c r="F6624" s="2"/>
      <x:c r="G6624" s="2"/>
    </x:row>
    <x:row r="6625">
      <x:c r="B6625" s="2"/>
      <x:c r="C6625" s="2"/>
      <x:c r="D6625" s="2"/>
      <x:c r="E6625" s="2"/>
      <x:c r="F6625" s="2"/>
      <x:c r="G6625" s="2"/>
    </x:row>
    <x:row r="6626">
      <x:c r="B6626" s="2"/>
      <x:c r="C6626" s="2"/>
      <x:c r="D6626" s="2"/>
      <x:c r="E6626" s="2"/>
      <x:c r="F6626" s="2"/>
      <x:c r="G6626" s="2"/>
    </x:row>
    <x:row r="6627">
      <x:c r="B6627" s="2"/>
      <x:c r="C6627" s="2"/>
      <x:c r="D6627" s="2"/>
      <x:c r="E6627" s="2"/>
      <x:c r="F6627" s="2"/>
      <x:c r="G6627" s="2"/>
    </x:row>
    <x:row r="6628">
      <x:c r="B6628" s="2"/>
      <x:c r="C6628" s="2"/>
      <x:c r="D6628" s="2"/>
      <x:c r="E6628" s="2"/>
      <x:c r="F6628" s="2"/>
      <x:c r="G6628" s="2"/>
    </x:row>
    <x:row r="6629">
      <x:c r="B6629" s="2"/>
      <x:c r="C6629" s="2"/>
      <x:c r="D6629" s="2"/>
      <x:c r="E6629" s="2"/>
      <x:c r="F6629" s="2"/>
      <x:c r="G6629" s="2"/>
    </x:row>
    <x:row r="6630">
      <x:c r="B6630" s="2"/>
      <x:c r="C6630" s="2"/>
      <x:c r="D6630" s="2"/>
      <x:c r="E6630" s="2"/>
      <x:c r="F6630" s="2"/>
      <x:c r="G6630" s="2"/>
    </x:row>
    <x:row r="6631">
      <x:c r="B6631" s="2"/>
      <x:c r="C6631" s="2"/>
      <x:c r="D6631" s="2"/>
      <x:c r="E6631" s="2"/>
      <x:c r="F6631" s="2"/>
      <x:c r="G6631" s="2"/>
    </x:row>
    <x:row r="6632">
      <x:c r="B6632" s="2"/>
      <x:c r="C6632" s="2"/>
      <x:c r="D6632" s="2"/>
      <x:c r="E6632" s="2"/>
      <x:c r="F6632" s="2"/>
      <x:c r="G6632" s="2"/>
    </x:row>
    <x:row r="6633">
      <x:c r="B6633" s="2"/>
      <x:c r="C6633" s="2"/>
      <x:c r="D6633" s="2"/>
      <x:c r="E6633" s="2"/>
      <x:c r="F6633" s="2"/>
      <x:c r="G6633" s="2"/>
    </x:row>
    <x:row r="6634">
      <x:c r="B6634" s="2"/>
      <x:c r="C6634" s="2"/>
      <x:c r="D6634" s="2"/>
      <x:c r="E6634" s="2"/>
      <x:c r="F6634" s="2"/>
      <x:c r="G6634" s="2"/>
    </x:row>
    <x:row r="6635">
      <x:c r="B6635" s="2"/>
      <x:c r="C6635" s="2"/>
      <x:c r="D6635" s="2"/>
      <x:c r="E6635" s="2"/>
      <x:c r="F6635" s="2"/>
      <x:c r="G6635" s="2"/>
    </x:row>
    <x:row r="6636">
      <x:c r="B6636" s="2"/>
      <x:c r="C6636" s="2"/>
      <x:c r="D6636" s="2"/>
      <x:c r="E6636" s="2"/>
      <x:c r="F6636" s="2"/>
      <x:c r="G6636" s="2"/>
    </x:row>
    <x:row r="6637">
      <x:c r="B6637" s="2"/>
      <x:c r="C6637" s="2"/>
      <x:c r="D6637" s="2"/>
      <x:c r="E6637" s="2"/>
      <x:c r="F6637" s="2"/>
      <x:c r="G6637" s="2"/>
    </x:row>
    <x:row r="6638">
      <x:c r="B6638" s="2"/>
      <x:c r="C6638" s="2"/>
      <x:c r="D6638" s="2"/>
      <x:c r="E6638" s="2"/>
      <x:c r="F6638" s="2"/>
      <x:c r="G6638" s="2"/>
    </x:row>
    <x:row r="6639">
      <x:c r="B6639" s="2"/>
      <x:c r="C6639" s="2"/>
      <x:c r="D6639" s="2"/>
      <x:c r="E6639" s="2"/>
      <x:c r="F6639" s="2"/>
      <x:c r="G6639" s="2"/>
    </x:row>
    <x:row r="6640">
      <x:c r="B6640" s="2"/>
      <x:c r="C6640" s="2"/>
      <x:c r="D6640" s="2"/>
      <x:c r="E6640" s="2"/>
      <x:c r="F6640" s="2"/>
      <x:c r="G6640" s="2"/>
    </x:row>
    <x:row r="6641">
      <x:c r="B6641" s="2"/>
      <x:c r="C6641" s="2"/>
      <x:c r="D6641" s="2"/>
      <x:c r="E6641" s="2"/>
      <x:c r="F6641" s="2"/>
      <x:c r="G6641" s="2"/>
    </x:row>
    <x:row r="6642">
      <x:c r="B6642" s="2"/>
      <x:c r="C6642" s="2"/>
      <x:c r="D6642" s="2"/>
      <x:c r="E6642" s="2"/>
      <x:c r="F6642" s="2"/>
      <x:c r="G6642" s="2"/>
    </x:row>
    <x:row r="6643">
      <x:c r="B6643" s="2"/>
      <x:c r="C6643" s="2"/>
      <x:c r="D6643" s="2"/>
      <x:c r="E6643" s="2"/>
      <x:c r="F6643" s="2"/>
      <x:c r="G6643" s="2"/>
    </x:row>
    <x:row r="6644">
      <x:c r="B6644" s="2"/>
      <x:c r="C6644" s="2"/>
      <x:c r="D6644" s="2"/>
      <x:c r="E6644" s="2"/>
      <x:c r="F6644" s="2"/>
      <x:c r="G6644" s="2"/>
    </x:row>
    <x:row r="6645">
      <x:c r="B6645" s="2"/>
      <x:c r="C6645" s="2"/>
      <x:c r="D6645" s="2"/>
      <x:c r="E6645" s="2"/>
      <x:c r="F6645" s="2"/>
      <x:c r="G6645" s="2"/>
    </x:row>
    <x:row r="6646">
      <x:c r="B6646" s="2"/>
      <x:c r="C6646" s="2"/>
      <x:c r="D6646" s="2"/>
      <x:c r="E6646" s="2"/>
      <x:c r="F6646" s="2"/>
      <x:c r="G6646" s="2"/>
    </x:row>
    <x:row r="6647">
      <x:c r="B6647" s="2"/>
      <x:c r="C6647" s="2"/>
      <x:c r="D6647" s="2"/>
      <x:c r="E6647" s="2"/>
      <x:c r="F6647" s="2"/>
      <x:c r="G6647" s="2"/>
    </x:row>
    <x:row r="6648">
      <x:c r="B6648" s="2"/>
      <x:c r="C6648" s="2"/>
      <x:c r="D6648" s="2"/>
      <x:c r="E6648" s="2"/>
      <x:c r="F6648" s="2"/>
      <x:c r="G6648" s="2"/>
    </x:row>
    <x:row r="6649">
      <x:c r="B6649" s="2"/>
      <x:c r="C6649" s="2"/>
      <x:c r="D6649" s="2"/>
      <x:c r="E6649" s="2"/>
      <x:c r="F6649" s="2"/>
      <x:c r="G6649" s="2"/>
    </x:row>
    <x:row r="6650">
      <x:c r="B6650" s="2"/>
      <x:c r="C6650" s="2"/>
      <x:c r="D6650" s="2"/>
      <x:c r="E6650" s="2"/>
      <x:c r="F6650" s="2"/>
      <x:c r="G6650" s="2"/>
    </x:row>
    <x:row r="6651">
      <x:c r="B6651" s="2"/>
      <x:c r="C6651" s="2"/>
      <x:c r="D6651" s="2"/>
      <x:c r="E6651" s="2"/>
      <x:c r="F6651" s="2"/>
      <x:c r="G6651" s="2"/>
    </x:row>
    <x:row r="6652">
      <x:c r="B6652" s="2"/>
      <x:c r="C6652" s="2"/>
      <x:c r="D6652" s="2"/>
      <x:c r="E6652" s="2"/>
      <x:c r="F6652" s="2"/>
      <x:c r="G6652" s="2"/>
    </x:row>
    <x:row r="6653">
      <x:c r="B6653" s="2"/>
      <x:c r="C6653" s="2"/>
      <x:c r="D6653" s="2"/>
      <x:c r="E6653" s="2"/>
      <x:c r="F6653" s="2"/>
      <x:c r="G6653" s="2"/>
    </x:row>
    <x:row r="6654">
      <x:c r="B6654" s="2"/>
      <x:c r="C6654" s="2"/>
      <x:c r="D6654" s="2"/>
      <x:c r="E6654" s="2"/>
      <x:c r="F6654" s="2"/>
      <x:c r="G6654" s="2"/>
    </x:row>
    <x:row r="6655">
      <x:c r="B6655" s="2"/>
      <x:c r="C6655" s="2"/>
      <x:c r="D6655" s="2"/>
      <x:c r="E6655" s="2"/>
      <x:c r="F6655" s="2"/>
      <x:c r="G6655" s="2"/>
    </x:row>
    <x:row r="6656">
      <x:c r="B6656" s="2"/>
      <x:c r="C6656" s="2"/>
      <x:c r="D6656" s="2"/>
      <x:c r="E6656" s="2"/>
      <x:c r="F6656" s="2"/>
      <x:c r="G6656" s="2"/>
    </x:row>
    <x:row r="6657">
      <x:c r="B6657" s="2"/>
      <x:c r="C6657" s="2"/>
      <x:c r="D6657" s="2"/>
      <x:c r="E6657" s="2"/>
      <x:c r="F6657" s="2"/>
      <x:c r="G6657" s="2"/>
    </x:row>
    <x:row r="6658">
      <x:c r="B6658" s="2"/>
      <x:c r="C6658" s="2"/>
      <x:c r="D6658" s="2"/>
      <x:c r="E6658" s="2"/>
      <x:c r="F6658" s="2"/>
      <x:c r="G6658" s="2"/>
    </x:row>
    <x:row r="6659">
      <x:c r="B6659" s="2"/>
      <x:c r="C6659" s="2"/>
      <x:c r="D6659" s="2"/>
      <x:c r="E6659" s="2"/>
      <x:c r="F6659" s="2"/>
      <x:c r="G6659" s="2"/>
    </x:row>
    <x:row r="6660">
      <x:c r="B6660" s="2"/>
      <x:c r="C6660" s="2"/>
      <x:c r="D6660" s="2"/>
      <x:c r="E6660" s="2"/>
      <x:c r="F6660" s="2"/>
      <x:c r="G6660" s="2"/>
    </x:row>
    <x:row r="6661">
      <x:c r="B6661" s="2"/>
      <x:c r="C6661" s="2"/>
      <x:c r="D6661" s="2"/>
      <x:c r="E6661" s="2"/>
      <x:c r="F6661" s="2"/>
      <x:c r="G6661" s="2"/>
    </x:row>
    <x:row r="6662">
      <x:c r="B6662" s="2"/>
      <x:c r="C6662" s="2"/>
      <x:c r="D6662" s="2"/>
      <x:c r="E6662" s="2"/>
      <x:c r="F6662" s="2"/>
      <x:c r="G6662" s="2"/>
    </x:row>
    <x:row r="6663">
      <x:c r="B6663" s="2"/>
      <x:c r="C6663" s="2"/>
      <x:c r="D6663" s="2"/>
      <x:c r="E6663" s="2"/>
      <x:c r="F6663" s="2"/>
      <x:c r="G6663" s="2"/>
    </x:row>
    <x:row r="6664">
      <x:c r="B6664" s="2"/>
      <x:c r="C6664" s="2"/>
      <x:c r="D6664" s="2"/>
      <x:c r="E6664" s="2"/>
      <x:c r="F6664" s="2"/>
      <x:c r="G6664" s="2"/>
    </x:row>
    <x:row r="6665">
      <x:c r="B6665" s="2"/>
      <x:c r="C6665" s="2"/>
      <x:c r="D6665" s="2"/>
      <x:c r="E6665" s="2"/>
      <x:c r="F6665" s="2"/>
      <x:c r="G6665" s="2"/>
    </x:row>
    <x:row r="6666">
      <x:c r="B6666" s="2"/>
      <x:c r="C6666" s="2"/>
      <x:c r="D6666" s="2"/>
      <x:c r="E6666" s="2"/>
      <x:c r="F6666" s="2"/>
      <x:c r="G6666" s="2"/>
    </x:row>
    <x:row r="6667">
      <x:c r="B6667" s="2"/>
      <x:c r="C6667" s="2"/>
      <x:c r="D6667" s="2"/>
      <x:c r="E6667" s="2"/>
      <x:c r="F6667" s="2"/>
      <x:c r="G6667" s="2"/>
    </x:row>
    <x:row r="6668">
      <x:c r="B6668" s="2"/>
      <x:c r="C6668" s="2"/>
      <x:c r="D6668" s="2"/>
      <x:c r="E6668" s="2"/>
      <x:c r="F6668" s="2"/>
      <x:c r="G6668" s="2"/>
    </x:row>
    <x:row r="6669">
      <x:c r="B6669" s="2"/>
      <x:c r="C6669" s="2"/>
      <x:c r="D6669" s="2"/>
      <x:c r="E6669" s="2"/>
      <x:c r="F6669" s="2"/>
      <x:c r="G6669" s="2"/>
    </x:row>
    <x:row r="6670">
      <x:c r="B6670" s="2"/>
      <x:c r="C6670" s="2"/>
      <x:c r="D6670" s="2"/>
      <x:c r="E6670" s="2"/>
      <x:c r="F6670" s="2"/>
      <x:c r="G6670" s="2"/>
    </x:row>
    <x:row r="6671">
      <x:c r="B6671" s="2"/>
      <x:c r="C6671" s="2"/>
      <x:c r="D6671" s="2"/>
      <x:c r="E6671" s="2"/>
      <x:c r="F6671" s="2"/>
      <x:c r="G6671" s="2"/>
    </x:row>
    <x:row r="6672">
      <x:c r="B6672" s="2"/>
      <x:c r="C6672" s="2"/>
      <x:c r="D6672" s="2"/>
      <x:c r="E6672" s="2"/>
      <x:c r="F6672" s="2"/>
      <x:c r="G6672" s="2"/>
    </x:row>
    <x:row r="6673">
      <x:c r="B6673" s="2"/>
      <x:c r="C6673" s="2"/>
      <x:c r="D6673" s="2"/>
      <x:c r="E6673" s="2"/>
      <x:c r="F6673" s="2"/>
      <x:c r="G6673" s="2"/>
    </x:row>
    <x:row r="6674">
      <x:c r="B6674" s="2"/>
      <x:c r="C6674" s="2"/>
      <x:c r="D6674" s="2"/>
      <x:c r="E6674" s="2"/>
      <x:c r="F6674" s="2"/>
      <x:c r="G6674" s="2"/>
    </x:row>
    <x:row r="6675">
      <x:c r="B6675" s="2"/>
      <x:c r="C6675" s="2"/>
      <x:c r="D6675" s="2"/>
      <x:c r="E6675" s="2"/>
      <x:c r="F6675" s="2"/>
      <x:c r="G6675" s="2"/>
    </x:row>
    <x:row r="6676">
      <x:c r="B6676" s="2"/>
      <x:c r="C6676" s="2"/>
      <x:c r="D6676" s="2"/>
      <x:c r="E6676" s="2"/>
      <x:c r="F6676" s="2"/>
      <x:c r="G6676" s="2"/>
    </x:row>
    <x:row r="6677">
      <x:c r="B6677" s="2"/>
      <x:c r="C6677" s="2"/>
      <x:c r="D6677" s="2"/>
      <x:c r="E6677" s="2"/>
      <x:c r="F6677" s="2"/>
      <x:c r="G6677" s="2"/>
    </x:row>
    <x:row r="6678">
      <x:c r="B6678" s="2"/>
      <x:c r="C6678" s="2"/>
      <x:c r="D6678" s="2"/>
      <x:c r="E6678" s="2"/>
      <x:c r="F6678" s="2"/>
      <x:c r="G6678" s="2"/>
    </x:row>
    <x:row r="6679">
      <x:c r="B6679" s="2"/>
      <x:c r="C6679" s="2"/>
      <x:c r="D6679" s="2"/>
      <x:c r="E6679" s="2"/>
      <x:c r="F6679" s="2"/>
      <x:c r="G6679" s="2"/>
    </x:row>
    <x:row r="6680">
      <x:c r="B6680" s="2"/>
      <x:c r="C6680" s="2"/>
      <x:c r="D6680" s="2"/>
      <x:c r="E6680" s="2"/>
      <x:c r="F6680" s="2"/>
      <x:c r="G6680" s="2"/>
    </x:row>
    <x:row r="6681">
      <x:c r="B6681" s="2"/>
      <x:c r="C6681" s="2"/>
      <x:c r="D6681" s="2"/>
      <x:c r="E6681" s="2"/>
      <x:c r="F6681" s="2"/>
      <x:c r="G6681" s="2"/>
    </x:row>
    <x:row r="6682">
      <x:c r="B6682" s="2"/>
      <x:c r="C6682" s="2"/>
      <x:c r="D6682" s="2"/>
      <x:c r="E6682" s="2"/>
      <x:c r="F6682" s="2"/>
      <x:c r="G6682" s="2"/>
    </x:row>
    <x:row r="6683">
      <x:c r="B6683" s="2"/>
      <x:c r="C6683" s="2"/>
      <x:c r="D6683" s="2"/>
      <x:c r="E6683" s="2"/>
      <x:c r="F6683" s="2"/>
      <x:c r="G6683" s="2"/>
    </x:row>
    <x:row r="6684">
      <x:c r="B6684" s="2"/>
      <x:c r="C6684" s="2"/>
      <x:c r="D6684" s="2"/>
      <x:c r="E6684" s="2"/>
      <x:c r="F6684" s="2"/>
      <x:c r="G6684" s="2"/>
    </x:row>
    <x:row r="6685">
      <x:c r="B6685" s="2"/>
      <x:c r="C6685" s="2"/>
      <x:c r="D6685" s="2"/>
      <x:c r="E6685" s="2"/>
      <x:c r="F6685" s="2"/>
      <x:c r="G6685" s="2"/>
    </x:row>
    <x:row r="6686">
      <x:c r="B6686" s="2"/>
      <x:c r="C6686" s="2"/>
      <x:c r="D6686" s="2"/>
      <x:c r="E6686" s="2"/>
      <x:c r="F6686" s="2"/>
      <x:c r="G6686" s="2"/>
    </x:row>
    <x:row r="6687">
      <x:c r="B6687" s="2"/>
      <x:c r="C6687" s="2"/>
      <x:c r="D6687" s="2"/>
      <x:c r="E6687" s="2"/>
      <x:c r="F6687" s="2"/>
      <x:c r="G6687" s="2"/>
    </x:row>
    <x:row r="6688">
      <x:c r="B6688" s="2"/>
      <x:c r="C6688" s="2"/>
      <x:c r="D6688" s="2"/>
      <x:c r="E6688" s="2"/>
      <x:c r="F6688" s="2"/>
      <x:c r="G6688" s="2"/>
    </x:row>
    <x:row r="6689">
      <x:c r="B6689" s="2"/>
      <x:c r="C6689" s="2"/>
      <x:c r="D6689" s="2"/>
      <x:c r="E6689" s="2"/>
      <x:c r="F6689" s="2"/>
      <x:c r="G6689" s="2"/>
    </x:row>
    <x:row r="6690">
      <x:c r="B6690" s="2"/>
      <x:c r="C6690" s="2"/>
      <x:c r="D6690" s="2"/>
      <x:c r="E6690" s="2"/>
      <x:c r="F6690" s="2"/>
      <x:c r="G6690" s="2"/>
    </x:row>
    <x:row r="6691">
      <x:c r="B6691" s="2"/>
      <x:c r="C6691" s="2"/>
      <x:c r="D6691" s="2"/>
      <x:c r="E6691" s="2"/>
      <x:c r="F6691" s="2"/>
      <x:c r="G6691" s="2"/>
    </x:row>
    <x:row r="6692">
      <x:c r="B6692" s="2"/>
      <x:c r="C6692" s="2"/>
      <x:c r="D6692" s="2"/>
      <x:c r="E6692" s="2"/>
      <x:c r="F6692" s="2"/>
      <x:c r="G6692" s="2"/>
    </x:row>
    <x:row r="6693">
      <x:c r="B6693" s="2"/>
      <x:c r="C6693" s="2"/>
      <x:c r="D6693" s="2"/>
      <x:c r="E6693" s="2"/>
      <x:c r="F6693" s="2"/>
      <x:c r="G6693" s="2"/>
    </x:row>
    <x:row r="6694">
      <x:c r="B6694" s="2"/>
      <x:c r="C6694" s="2"/>
      <x:c r="D6694" s="2"/>
      <x:c r="E6694" s="2"/>
      <x:c r="F6694" s="2"/>
      <x:c r="G6694" s="2"/>
    </x:row>
    <x:row r="6695">
      <x:c r="B6695" s="2"/>
      <x:c r="C6695" s="2"/>
      <x:c r="D6695" s="2"/>
      <x:c r="E6695" s="2"/>
      <x:c r="F6695" s="2"/>
      <x:c r="G6695" s="2"/>
    </x:row>
    <x:row r="6696">
      <x:c r="B6696" s="2"/>
      <x:c r="C6696" s="2"/>
      <x:c r="D6696" s="2"/>
      <x:c r="E6696" s="2"/>
      <x:c r="F6696" s="2"/>
      <x:c r="G6696" s="2"/>
    </x:row>
    <x:row r="6697">
      <x:c r="B6697" s="2"/>
      <x:c r="C6697" s="2"/>
      <x:c r="D6697" s="2"/>
      <x:c r="E6697" s="2"/>
      <x:c r="F6697" s="2"/>
      <x:c r="G6697" s="2"/>
    </x:row>
    <x:row r="6698">
      <x:c r="B6698" s="2"/>
      <x:c r="C6698" s="2"/>
      <x:c r="D6698" s="2"/>
      <x:c r="E6698" s="2"/>
      <x:c r="F6698" s="2"/>
      <x:c r="G6698" s="2"/>
    </x:row>
    <x:row r="6699">
      <x:c r="B6699" s="2"/>
      <x:c r="C6699" s="2"/>
      <x:c r="D6699" s="2"/>
      <x:c r="E6699" s="2"/>
      <x:c r="F6699" s="2"/>
      <x:c r="G6699" s="2"/>
    </x:row>
    <x:row r="6700">
      <x:c r="B6700" s="2"/>
      <x:c r="C6700" s="2"/>
      <x:c r="D6700" s="2"/>
      <x:c r="E6700" s="2"/>
      <x:c r="F6700" s="2"/>
      <x:c r="G6700" s="2"/>
    </x:row>
    <x:row r="6701">
      <x:c r="B6701" s="2"/>
      <x:c r="C6701" s="2"/>
      <x:c r="D6701" s="2"/>
      <x:c r="E6701" s="2"/>
      <x:c r="F6701" s="2"/>
      <x:c r="G6701" s="2"/>
    </x:row>
    <x:row r="6702">
      <x:c r="B6702" s="2"/>
      <x:c r="C6702" s="2"/>
      <x:c r="D6702" s="2"/>
      <x:c r="E6702" s="2"/>
      <x:c r="F6702" s="2"/>
      <x:c r="G6702" s="2"/>
    </x:row>
    <x:row r="6703">
      <x:c r="B6703" s="2"/>
      <x:c r="C6703" s="2"/>
      <x:c r="D6703" s="2"/>
      <x:c r="E6703" s="2"/>
      <x:c r="F6703" s="2"/>
      <x:c r="G6703" s="2"/>
    </x:row>
    <x:row r="6704">
      <x:c r="B6704" s="2"/>
      <x:c r="C6704" s="2"/>
      <x:c r="D6704" s="2"/>
      <x:c r="E6704" s="2"/>
      <x:c r="F6704" s="2"/>
      <x:c r="G6704" s="2"/>
    </x:row>
    <x:row r="6705">
      <x:c r="B6705" s="2"/>
      <x:c r="C6705" s="2"/>
      <x:c r="D6705" s="2"/>
      <x:c r="E6705" s="2"/>
      <x:c r="F6705" s="2"/>
      <x:c r="G6705" s="2"/>
    </x:row>
    <x:row r="6706">
      <x:c r="B6706" s="2"/>
      <x:c r="C6706" s="2"/>
      <x:c r="D6706" s="2"/>
      <x:c r="E6706" s="2"/>
      <x:c r="F6706" s="2"/>
      <x:c r="G6706" s="2"/>
    </x:row>
    <x:row r="6707">
      <x:c r="B6707" s="2"/>
      <x:c r="C6707" s="2"/>
      <x:c r="D6707" s="2"/>
      <x:c r="E6707" s="2"/>
      <x:c r="F6707" s="2"/>
      <x:c r="G6707" s="2"/>
    </x:row>
    <x:row r="6708">
      <x:c r="B6708" s="2"/>
      <x:c r="C6708" s="2"/>
      <x:c r="D6708" s="2"/>
      <x:c r="E6708" s="2"/>
      <x:c r="F6708" s="2"/>
      <x:c r="G6708" s="2"/>
    </x:row>
    <x:row r="6709">
      <x:c r="B6709" s="2"/>
      <x:c r="C6709" s="2"/>
      <x:c r="D6709" s="2"/>
      <x:c r="E6709" s="2"/>
      <x:c r="F6709" s="2"/>
      <x:c r="G6709" s="2"/>
    </x:row>
    <x:row r="6710">
      <x:c r="B6710" s="2"/>
      <x:c r="C6710" s="2"/>
      <x:c r="D6710" s="2"/>
      <x:c r="E6710" s="2"/>
      <x:c r="F6710" s="2"/>
      <x:c r="G6710" s="2"/>
    </x:row>
    <x:row r="6711">
      <x:c r="B6711" s="2"/>
      <x:c r="C6711" s="2"/>
      <x:c r="D6711" s="2"/>
      <x:c r="E6711" s="2"/>
      <x:c r="F6711" s="2"/>
      <x:c r="G6711" s="2"/>
    </x:row>
    <x:row r="6712">
      <x:c r="B6712" s="2"/>
      <x:c r="C6712" s="2"/>
      <x:c r="D6712" s="2"/>
      <x:c r="E6712" s="2"/>
      <x:c r="F6712" s="2"/>
      <x:c r="G6712" s="2"/>
    </x:row>
    <x:row r="6713">
      <x:c r="B6713" s="2"/>
      <x:c r="C6713" s="2"/>
      <x:c r="D6713" s="2"/>
      <x:c r="E6713" s="2"/>
      <x:c r="F6713" s="2"/>
      <x:c r="G6713" s="2"/>
    </x:row>
    <x:row r="6714">
      <x:c r="B6714" s="2"/>
      <x:c r="C6714" s="2"/>
      <x:c r="D6714" s="2"/>
      <x:c r="E6714" s="2"/>
      <x:c r="F6714" s="2"/>
      <x:c r="G6714" s="2"/>
    </x:row>
    <x:row r="6715">
      <x:c r="B6715" s="2"/>
      <x:c r="C6715" s="2"/>
      <x:c r="D6715" s="2"/>
      <x:c r="E6715" s="2"/>
      <x:c r="F6715" s="2"/>
      <x:c r="G6715" s="2"/>
    </x:row>
    <x:row r="6716">
      <x:c r="B6716" s="2"/>
      <x:c r="C6716" s="2"/>
      <x:c r="D6716" s="2"/>
      <x:c r="E6716" s="2"/>
      <x:c r="F6716" s="2"/>
      <x:c r="G6716" s="2"/>
    </x:row>
    <x:row r="6717">
      <x:c r="B6717" s="2"/>
      <x:c r="C6717" s="2"/>
      <x:c r="D6717" s="2"/>
      <x:c r="E6717" s="2"/>
      <x:c r="F6717" s="2"/>
      <x:c r="G6717" s="2"/>
    </x:row>
    <x:row r="6718">
      <x:c r="B6718" s="2"/>
      <x:c r="C6718" s="2"/>
      <x:c r="D6718" s="2"/>
      <x:c r="E6718" s="2"/>
      <x:c r="F6718" s="2"/>
      <x:c r="G6718" s="2"/>
    </x:row>
    <x:row r="6719">
      <x:c r="B6719" s="2"/>
      <x:c r="C6719" s="2"/>
      <x:c r="D6719" s="2"/>
      <x:c r="E6719" s="2"/>
      <x:c r="F6719" s="2"/>
      <x:c r="G6719" s="2"/>
    </x:row>
    <x:row r="6720">
      <x:c r="B6720" s="2"/>
      <x:c r="C6720" s="2"/>
      <x:c r="D6720" s="2"/>
      <x:c r="E6720" s="2"/>
      <x:c r="F6720" s="2"/>
      <x:c r="G6720" s="2"/>
    </x:row>
    <x:row r="6721">
      <x:c r="B6721" s="2"/>
      <x:c r="C6721" s="2"/>
      <x:c r="D6721" s="2"/>
      <x:c r="E6721" s="2"/>
      <x:c r="F6721" s="2"/>
      <x:c r="G6721" s="2"/>
    </x:row>
    <x:row r="6722">
      <x:c r="B6722" s="2"/>
      <x:c r="C6722" s="2"/>
      <x:c r="D6722" s="2"/>
      <x:c r="E6722" s="2"/>
      <x:c r="F6722" s="2"/>
      <x:c r="G6722" s="2"/>
    </x:row>
    <x:row r="6723">
      <x:c r="B6723" s="2"/>
      <x:c r="C6723" s="2"/>
      <x:c r="D6723" s="2"/>
      <x:c r="E6723" s="2"/>
      <x:c r="F6723" s="2"/>
      <x:c r="G6723" s="2"/>
    </x:row>
    <x:row r="6724">
      <x:c r="B6724" s="2"/>
      <x:c r="C6724" s="2"/>
      <x:c r="D6724" s="2"/>
      <x:c r="E6724" s="2"/>
      <x:c r="F6724" s="2"/>
      <x:c r="G6724" s="2"/>
    </x:row>
    <x:row r="6725">
      <x:c r="B6725" s="2"/>
      <x:c r="C6725" s="2"/>
      <x:c r="D6725" s="2"/>
      <x:c r="E6725" s="2"/>
      <x:c r="F6725" s="2"/>
      <x:c r="G6725" s="2"/>
    </x:row>
    <x:row r="6726">
      <x:c r="B6726" s="2"/>
      <x:c r="C6726" s="2"/>
      <x:c r="D6726" s="2"/>
      <x:c r="E6726" s="2"/>
      <x:c r="F6726" s="2"/>
      <x:c r="G6726" s="2"/>
    </x:row>
    <x:row r="6727">
      <x:c r="B6727" s="2"/>
      <x:c r="C6727" s="2"/>
      <x:c r="D6727" s="2"/>
      <x:c r="E6727" s="2"/>
      <x:c r="F6727" s="2"/>
      <x:c r="G6727" s="2"/>
    </x:row>
    <x:row r="6728">
      <x:c r="B6728" s="2"/>
      <x:c r="C6728" s="2"/>
      <x:c r="D6728" s="2"/>
      <x:c r="E6728" s="2"/>
      <x:c r="F6728" s="2"/>
      <x:c r="G6728" s="2"/>
    </x:row>
    <x:row r="6729">
      <x:c r="B6729" s="2"/>
      <x:c r="C6729" s="2"/>
      <x:c r="D6729" s="2"/>
      <x:c r="E6729" s="2"/>
      <x:c r="F6729" s="2"/>
      <x:c r="G6729" s="2"/>
    </x:row>
    <x:row r="6730">
      <x:c r="B6730" s="2"/>
      <x:c r="C6730" s="2"/>
      <x:c r="D6730" s="2"/>
      <x:c r="E6730" s="2"/>
      <x:c r="F6730" s="2"/>
      <x:c r="G6730" s="2"/>
    </x:row>
    <x:row r="6731">
      <x:c r="B6731" s="2"/>
      <x:c r="C6731" s="2"/>
      <x:c r="D6731" s="2"/>
      <x:c r="E6731" s="2"/>
      <x:c r="F6731" s="2"/>
      <x:c r="G6731" s="2"/>
    </x:row>
    <x:row r="6732">
      <x:c r="B6732" s="2"/>
      <x:c r="C6732" s="2"/>
      <x:c r="D6732" s="2"/>
      <x:c r="E6732" s="2"/>
      <x:c r="F6732" s="2"/>
      <x:c r="G6732" s="2"/>
    </x:row>
    <x:row r="6733">
      <x:c r="B6733" s="2"/>
      <x:c r="C6733" s="2"/>
      <x:c r="D6733" s="2"/>
      <x:c r="E6733" s="2"/>
      <x:c r="F6733" s="2"/>
      <x:c r="G6733" s="2"/>
    </x:row>
    <x:row r="6734">
      <x:c r="B6734" s="2"/>
      <x:c r="C6734" s="2"/>
      <x:c r="D6734" s="2"/>
      <x:c r="E6734" s="2"/>
      <x:c r="F6734" s="2"/>
      <x:c r="G6734" s="2"/>
    </x:row>
    <x:row r="6735">
      <x:c r="B6735" s="2"/>
      <x:c r="C6735" s="2"/>
      <x:c r="D6735" s="2"/>
      <x:c r="E6735" s="2"/>
      <x:c r="F6735" s="2"/>
      <x:c r="G6735" s="2"/>
    </x:row>
    <x:row r="6736">
      <x:c r="B6736" s="2"/>
      <x:c r="C6736" s="2"/>
      <x:c r="D6736" s="2"/>
      <x:c r="E6736" s="2"/>
      <x:c r="F6736" s="2"/>
      <x:c r="G6736" s="2"/>
    </x:row>
    <x:row r="6737">
      <x:c r="B6737" s="2"/>
      <x:c r="C6737" s="2"/>
      <x:c r="D6737" s="2"/>
      <x:c r="E6737" s="2"/>
      <x:c r="F6737" s="2"/>
      <x:c r="G6737" s="2"/>
    </x:row>
    <x:row r="6738">
      <x:c r="B6738" s="2"/>
      <x:c r="C6738" s="2"/>
      <x:c r="D6738" s="2"/>
      <x:c r="E6738" s="2"/>
      <x:c r="F6738" s="2"/>
      <x:c r="G6738" s="2"/>
    </x:row>
    <x:row r="6739">
      <x:c r="B6739" s="2"/>
      <x:c r="C6739" s="2"/>
      <x:c r="D6739" s="2"/>
      <x:c r="E6739" s="2"/>
      <x:c r="F6739" s="2"/>
      <x:c r="G6739" s="2"/>
    </x:row>
    <x:row r="6740">
      <x:c r="B6740" s="2"/>
      <x:c r="C6740" s="2"/>
      <x:c r="D6740" s="2"/>
      <x:c r="E6740" s="2"/>
      <x:c r="F6740" s="2"/>
      <x:c r="G6740" s="2"/>
    </x:row>
    <x:row r="6741">
      <x:c r="B6741" s="2"/>
      <x:c r="C6741" s="2"/>
      <x:c r="D6741" s="2"/>
      <x:c r="E6741" s="2"/>
      <x:c r="F6741" s="2"/>
      <x:c r="G6741" s="2"/>
    </x:row>
    <x:row r="6742">
      <x:c r="B6742" s="2"/>
      <x:c r="C6742" s="2"/>
      <x:c r="D6742" s="2"/>
      <x:c r="E6742" s="2"/>
      <x:c r="F6742" s="2"/>
      <x:c r="G6742" s="2"/>
    </x:row>
    <x:row r="6743">
      <x:c r="B6743" s="2"/>
      <x:c r="C6743" s="2"/>
      <x:c r="D6743" s="2"/>
      <x:c r="E6743" s="2"/>
      <x:c r="F6743" s="2"/>
      <x:c r="G6743" s="2"/>
    </x:row>
    <x:row r="6744">
      <x:c r="B6744" s="2"/>
      <x:c r="C6744" s="2"/>
      <x:c r="D6744" s="2"/>
      <x:c r="E6744" s="2"/>
      <x:c r="F6744" s="2"/>
      <x:c r="G6744" s="2"/>
    </x:row>
    <x:row r="6745">
      <x:c r="B6745" s="2"/>
      <x:c r="C6745" s="2"/>
      <x:c r="D6745" s="2"/>
      <x:c r="E6745" s="2"/>
      <x:c r="F6745" s="2"/>
      <x:c r="G6745" s="2"/>
    </x:row>
    <x:row r="6746">
      <x:c r="B6746" s="2"/>
      <x:c r="C6746" s="2"/>
      <x:c r="D6746" s="2"/>
      <x:c r="E6746" s="2"/>
      <x:c r="F6746" s="2"/>
      <x:c r="G6746" s="2"/>
    </x:row>
    <x:row r="6747">
      <x:c r="B6747" s="2"/>
      <x:c r="C6747" s="2"/>
      <x:c r="D6747" s="2"/>
      <x:c r="E6747" s="2"/>
      <x:c r="F6747" s="2"/>
      <x:c r="G6747" s="2"/>
    </x:row>
    <x:row r="6748">
      <x:c r="B6748" s="2"/>
      <x:c r="C6748" s="2"/>
      <x:c r="D6748" s="2"/>
      <x:c r="E6748" s="2"/>
      <x:c r="F6748" s="2"/>
      <x:c r="G6748" s="2"/>
    </x:row>
    <x:row r="6749">
      <x:c r="B6749" s="2"/>
      <x:c r="C6749" s="2"/>
      <x:c r="D6749" s="2"/>
      <x:c r="E6749" s="2"/>
      <x:c r="F6749" s="2"/>
      <x:c r="G6749" s="2"/>
    </x:row>
    <x:row r="6750">
      <x:c r="B6750" s="2"/>
      <x:c r="C6750" s="2"/>
      <x:c r="D6750" s="2"/>
      <x:c r="E6750" s="2"/>
      <x:c r="F6750" s="2"/>
      <x:c r="G6750" s="2"/>
    </x:row>
    <x:row r="6751">
      <x:c r="B6751" s="2"/>
      <x:c r="C6751" s="2"/>
      <x:c r="D6751" s="2"/>
      <x:c r="E6751" s="2"/>
      <x:c r="F6751" s="2"/>
      <x:c r="G6751" s="2"/>
    </x:row>
    <x:row r="6752">
      <x:c r="B6752" s="2"/>
      <x:c r="C6752" s="2"/>
      <x:c r="D6752" s="2"/>
      <x:c r="E6752" s="2"/>
      <x:c r="F6752" s="2"/>
      <x:c r="G6752" s="2"/>
    </x:row>
    <x:row r="6753">
      <x:c r="B6753" s="2"/>
      <x:c r="C6753" s="2"/>
      <x:c r="D6753" s="2"/>
      <x:c r="E6753" s="2"/>
      <x:c r="F6753" s="2"/>
      <x:c r="G6753" s="2"/>
    </x:row>
    <x:row r="6754">
      <x:c r="B6754" s="2"/>
      <x:c r="C6754" s="2"/>
      <x:c r="D6754" s="2"/>
      <x:c r="E6754" s="2"/>
      <x:c r="F6754" s="2"/>
      <x:c r="G6754" s="2"/>
    </x:row>
    <x:row r="6755">
      <x:c r="B6755" s="2"/>
      <x:c r="C6755" s="2"/>
      <x:c r="D6755" s="2"/>
      <x:c r="E6755" s="2"/>
      <x:c r="F6755" s="2"/>
      <x:c r="G6755" s="2"/>
    </x:row>
    <x:row r="6756">
      <x:c r="B6756" s="2"/>
      <x:c r="C6756" s="2"/>
      <x:c r="D6756" s="2"/>
      <x:c r="E6756" s="2"/>
      <x:c r="F6756" s="2"/>
      <x:c r="G6756" s="2"/>
    </x:row>
    <x:row r="6757">
      <x:c r="B6757" s="2"/>
      <x:c r="C6757" s="2"/>
      <x:c r="D6757" s="2"/>
      <x:c r="E6757" s="2"/>
      <x:c r="F6757" s="2"/>
      <x:c r="G6757" s="2"/>
    </x:row>
    <x:row r="6758">
      <x:c r="B6758" s="2"/>
      <x:c r="C6758" s="2"/>
      <x:c r="D6758" s="2"/>
      <x:c r="E6758" s="2"/>
      <x:c r="F6758" s="2"/>
      <x:c r="G6758" s="2"/>
    </x:row>
    <x:row r="6759">
      <x:c r="B6759" s="2"/>
      <x:c r="C6759" s="2"/>
      <x:c r="D6759" s="2"/>
      <x:c r="E6759" s="2"/>
      <x:c r="F6759" s="2"/>
      <x:c r="G6759" s="2"/>
    </x:row>
    <x:row r="6760">
      <x:c r="B6760" s="2"/>
      <x:c r="C6760" s="2"/>
      <x:c r="D6760" s="2"/>
      <x:c r="E6760" s="2"/>
      <x:c r="F6760" s="2"/>
      <x:c r="G6760" s="2"/>
    </x:row>
    <x:row r="6761">
      <x:c r="B6761" s="2"/>
      <x:c r="C6761" s="2"/>
      <x:c r="D6761" s="2"/>
      <x:c r="E6761" s="2"/>
      <x:c r="F6761" s="2"/>
      <x:c r="G6761" s="2"/>
    </x:row>
    <x:row r="6762">
      <x:c r="B6762" s="2"/>
      <x:c r="C6762" s="2"/>
      <x:c r="D6762" s="2"/>
      <x:c r="E6762" s="2"/>
      <x:c r="F6762" s="2"/>
      <x:c r="G6762" s="2"/>
    </x:row>
    <x:row r="6763">
      <x:c r="B6763" s="2"/>
      <x:c r="C6763" s="2"/>
      <x:c r="D6763" s="2"/>
      <x:c r="E6763" s="2"/>
      <x:c r="F6763" s="2"/>
      <x:c r="G6763" s="2"/>
    </x:row>
    <x:row r="6764">
      <x:c r="B6764" s="2"/>
      <x:c r="C6764" s="2"/>
      <x:c r="D6764" s="2"/>
      <x:c r="E6764" s="2"/>
      <x:c r="F6764" s="2"/>
      <x:c r="G6764" s="2"/>
    </x:row>
    <x:row r="6765">
      <x:c r="B6765" s="2"/>
      <x:c r="C6765" s="2"/>
      <x:c r="D6765" s="2"/>
      <x:c r="E6765" s="2"/>
      <x:c r="F6765" s="2"/>
      <x:c r="G6765" s="2"/>
    </x:row>
    <x:row r="6766">
      <x:c r="B6766" s="2"/>
      <x:c r="C6766" s="2"/>
      <x:c r="D6766" s="2"/>
      <x:c r="E6766" s="2"/>
      <x:c r="F6766" s="2"/>
      <x:c r="G6766" s="2"/>
    </x:row>
    <x:row r="6767">
      <x:c r="B6767" s="2"/>
      <x:c r="C6767" s="2"/>
      <x:c r="D6767" s="2"/>
      <x:c r="E6767" s="2"/>
      <x:c r="F6767" s="2"/>
      <x:c r="G6767" s="2"/>
    </x:row>
    <x:row r="6768">
      <x:c r="B6768" s="2"/>
      <x:c r="C6768" s="2"/>
      <x:c r="D6768" s="2"/>
      <x:c r="E6768" s="2"/>
      <x:c r="F6768" s="2"/>
      <x:c r="G6768" s="2"/>
    </x:row>
    <x:row r="6769">
      <x:c r="B6769" s="2"/>
      <x:c r="C6769" s="2"/>
      <x:c r="D6769" s="2"/>
      <x:c r="E6769" s="2"/>
      <x:c r="F6769" s="2"/>
      <x:c r="G6769" s="2"/>
    </x:row>
    <x:row r="6770">
      <x:c r="B6770" s="2"/>
      <x:c r="C6770" s="2"/>
      <x:c r="D6770" s="2"/>
      <x:c r="E6770" s="2"/>
      <x:c r="F6770" s="2"/>
      <x:c r="G6770" s="2"/>
    </x:row>
    <x:row r="6771">
      <x:c r="B6771" s="2"/>
      <x:c r="C6771" s="2"/>
      <x:c r="D6771" s="2"/>
      <x:c r="E6771" s="2"/>
      <x:c r="F6771" s="2"/>
      <x:c r="G6771" s="2"/>
    </x:row>
    <x:row r="6772">
      <x:c r="B6772" s="2"/>
      <x:c r="C6772" s="2"/>
      <x:c r="D6772" s="2"/>
      <x:c r="E6772" s="2"/>
      <x:c r="F6772" s="2"/>
      <x:c r="G6772" s="2"/>
    </x:row>
    <x:row r="6773">
      <x:c r="B6773" s="2"/>
      <x:c r="C6773" s="2"/>
      <x:c r="D6773" s="2"/>
      <x:c r="E6773" s="2"/>
      <x:c r="F6773" s="2"/>
      <x:c r="G6773" s="2"/>
    </x:row>
    <x:row r="6774">
      <x:c r="B6774" s="2"/>
      <x:c r="C6774" s="2"/>
      <x:c r="D6774" s="2"/>
      <x:c r="E6774" s="2"/>
      <x:c r="F6774" s="2"/>
      <x:c r="G6774" s="2"/>
    </x:row>
    <x:row r="6775">
      <x:c r="B6775" s="2"/>
      <x:c r="C6775" s="2"/>
      <x:c r="D6775" s="2"/>
      <x:c r="E6775" s="2"/>
      <x:c r="F6775" s="2"/>
      <x:c r="G6775" s="2"/>
    </x:row>
    <x:row r="6776">
      <x:c r="B6776" s="2"/>
      <x:c r="C6776" s="2"/>
      <x:c r="D6776" s="2"/>
      <x:c r="E6776" s="2"/>
      <x:c r="F6776" s="2"/>
      <x:c r="G6776" s="2"/>
    </x:row>
    <x:row r="6777">
      <x:c r="B6777" s="2"/>
      <x:c r="C6777" s="2"/>
      <x:c r="D6777" s="2"/>
      <x:c r="E6777" s="2"/>
      <x:c r="F6777" s="2"/>
      <x:c r="G6777" s="2"/>
    </x:row>
    <x:row r="6778">
      <x:c r="B6778" s="2"/>
      <x:c r="C6778" s="2"/>
      <x:c r="D6778" s="2"/>
      <x:c r="E6778" s="2"/>
      <x:c r="F6778" s="2"/>
      <x:c r="G6778" s="2"/>
    </x:row>
    <x:row r="6779">
      <x:c r="B6779" s="2"/>
      <x:c r="C6779" s="2"/>
      <x:c r="D6779" s="2"/>
      <x:c r="E6779" s="2"/>
      <x:c r="F6779" s="2"/>
      <x:c r="G6779" s="2"/>
    </x:row>
    <x:row r="6780">
      <x:c r="B6780" s="2"/>
      <x:c r="C6780" s="2"/>
      <x:c r="D6780" s="2"/>
      <x:c r="E6780" s="2"/>
      <x:c r="F6780" s="2"/>
      <x:c r="G6780" s="2"/>
    </x:row>
    <x:row r="6781">
      <x:c r="B6781" s="2"/>
      <x:c r="C6781" s="2"/>
      <x:c r="D6781" s="2"/>
      <x:c r="E6781" s="2"/>
      <x:c r="F6781" s="2"/>
      <x:c r="G6781" s="2"/>
    </x:row>
    <x:row r="6782">
      <x:c r="B6782" s="2"/>
      <x:c r="C6782" s="2"/>
      <x:c r="D6782" s="2"/>
      <x:c r="E6782" s="2"/>
      <x:c r="F6782" s="2"/>
      <x:c r="G6782" s="2"/>
    </x:row>
    <x:row r="6783">
      <x:c r="B6783" s="2"/>
      <x:c r="C6783" s="2"/>
      <x:c r="D6783" s="2"/>
      <x:c r="E6783" s="2"/>
      <x:c r="F6783" s="2"/>
      <x:c r="G6783" s="2"/>
    </x:row>
    <x:row r="6784">
      <x:c r="B6784" s="2"/>
      <x:c r="C6784" s="2"/>
      <x:c r="D6784" s="2"/>
      <x:c r="E6784" s="2"/>
      <x:c r="F6784" s="2"/>
      <x:c r="G6784" s="2"/>
    </x:row>
    <x:row r="6785">
      <x:c r="B6785" s="2"/>
      <x:c r="C6785" s="2"/>
      <x:c r="D6785" s="2"/>
      <x:c r="E6785" s="2"/>
      <x:c r="F6785" s="2"/>
      <x:c r="G6785" s="2"/>
    </x:row>
    <x:row r="6786">
      <x:c r="B6786" s="2"/>
      <x:c r="C6786" s="2"/>
      <x:c r="D6786" s="2"/>
      <x:c r="E6786" s="2"/>
      <x:c r="F6786" s="2"/>
      <x:c r="G6786" s="2"/>
    </x:row>
    <x:row r="6787">
      <x:c r="B6787" s="2"/>
      <x:c r="C6787" s="2"/>
      <x:c r="D6787" s="2"/>
      <x:c r="E6787" s="2"/>
      <x:c r="F6787" s="2"/>
      <x:c r="G6787" s="2"/>
    </x:row>
    <x:row r="6788">
      <x:c r="B6788" s="2"/>
      <x:c r="C6788" s="2"/>
      <x:c r="D6788" s="2"/>
      <x:c r="E6788" s="2"/>
      <x:c r="F6788" s="2"/>
      <x:c r="G6788" s="2"/>
    </x:row>
    <x:row r="6789">
      <x:c r="B6789" s="2"/>
      <x:c r="C6789" s="2"/>
      <x:c r="D6789" s="2"/>
      <x:c r="E6789" s="2"/>
      <x:c r="F6789" s="2"/>
      <x:c r="G6789" s="2"/>
    </x:row>
    <x:row r="6790">
      <x:c r="B6790" s="2"/>
      <x:c r="C6790" s="2"/>
      <x:c r="D6790" s="2"/>
      <x:c r="E6790" s="2"/>
      <x:c r="F6790" s="2"/>
      <x:c r="G6790" s="2"/>
    </x:row>
    <x:row r="6791">
      <x:c r="B6791" s="2"/>
      <x:c r="C6791" s="2"/>
      <x:c r="D6791" s="2"/>
      <x:c r="E6791" s="2"/>
      <x:c r="F6791" s="2"/>
      <x:c r="G6791" s="2"/>
    </x:row>
    <x:row r="6792">
      <x:c r="B6792" s="2"/>
      <x:c r="C6792" s="2"/>
      <x:c r="D6792" s="2"/>
      <x:c r="E6792" s="2"/>
      <x:c r="F6792" s="2"/>
      <x:c r="G6792" s="2"/>
    </x:row>
    <x:row r="6793">
      <x:c r="B6793" s="2"/>
      <x:c r="C6793" s="2"/>
      <x:c r="D6793" s="2"/>
      <x:c r="E6793" s="2"/>
      <x:c r="F6793" s="2"/>
      <x:c r="G6793" s="2"/>
    </x:row>
    <x:row r="6794">
      <x:c r="B6794" s="2"/>
      <x:c r="C6794" s="2"/>
      <x:c r="D6794" s="2"/>
      <x:c r="E6794" s="2"/>
      <x:c r="F6794" s="2"/>
      <x:c r="G6794" s="2"/>
    </x:row>
    <x:row r="6795">
      <x:c r="B6795" s="2"/>
      <x:c r="C6795" s="2"/>
      <x:c r="D6795" s="2"/>
      <x:c r="E6795" s="2"/>
      <x:c r="F6795" s="2"/>
      <x:c r="G6795" s="2"/>
    </x:row>
    <x:row r="6796">
      <x:c r="B6796" s="2"/>
      <x:c r="C6796" s="2"/>
      <x:c r="D6796" s="2"/>
      <x:c r="E6796" s="2"/>
      <x:c r="F6796" s="2"/>
      <x:c r="G6796" s="2"/>
    </x:row>
    <x:row r="6797">
      <x:c r="B6797" s="2"/>
      <x:c r="C6797" s="2"/>
      <x:c r="D6797" s="2"/>
      <x:c r="E6797" s="2"/>
      <x:c r="F6797" s="2"/>
      <x:c r="G6797" s="2"/>
    </x:row>
    <x:row r="6798">
      <x:c r="B6798" s="2"/>
      <x:c r="C6798" s="2"/>
      <x:c r="D6798" s="2"/>
      <x:c r="E6798" s="2"/>
      <x:c r="F6798" s="2"/>
      <x:c r="G6798" s="2"/>
    </x:row>
    <x:row r="6799">
      <x:c r="B6799" s="2"/>
      <x:c r="C6799" s="2"/>
      <x:c r="D6799" s="2"/>
      <x:c r="E6799" s="2"/>
      <x:c r="F6799" s="2"/>
      <x:c r="G6799" s="2"/>
    </x:row>
    <x:row r="6800">
      <x:c r="B6800" s="2"/>
      <x:c r="C6800" s="2"/>
      <x:c r="D6800" s="2"/>
      <x:c r="E6800" s="2"/>
      <x:c r="F6800" s="2"/>
      <x:c r="G6800" s="2"/>
    </x:row>
    <x:row r="6801">
      <x:c r="B6801" s="2"/>
      <x:c r="C6801" s="2"/>
      <x:c r="D6801" s="2"/>
      <x:c r="E6801" s="2"/>
      <x:c r="F6801" s="2"/>
      <x:c r="G6801" s="2"/>
    </x:row>
    <x:row r="6802">
      <x:c r="B6802" s="2"/>
      <x:c r="C6802" s="2"/>
      <x:c r="D6802" s="2"/>
      <x:c r="E6802" s="2"/>
      <x:c r="F6802" s="2"/>
      <x:c r="G6802" s="2"/>
    </x:row>
    <x:row r="6803">
      <x:c r="B6803" s="2"/>
      <x:c r="C6803" s="2"/>
      <x:c r="D6803" s="2"/>
      <x:c r="E6803" s="2"/>
      <x:c r="F6803" s="2"/>
      <x:c r="G6803" s="2"/>
    </x:row>
    <x:row r="6804">
      <x:c r="B6804" s="2"/>
      <x:c r="C6804" s="2"/>
      <x:c r="D6804" s="2"/>
      <x:c r="E6804" s="2"/>
      <x:c r="F6804" s="2"/>
      <x:c r="G6804" s="2"/>
    </x:row>
    <x:row r="6805">
      <x:c r="B6805" s="2"/>
      <x:c r="C6805" s="2"/>
      <x:c r="D6805" s="2"/>
      <x:c r="E6805" s="2"/>
      <x:c r="F6805" s="2"/>
      <x:c r="G6805" s="2"/>
    </x:row>
    <x:row r="6806">
      <x:c r="B6806" s="2"/>
      <x:c r="C6806" s="2"/>
      <x:c r="D6806" s="2"/>
      <x:c r="E6806" s="2"/>
      <x:c r="F6806" s="2"/>
      <x:c r="G6806" s="2"/>
    </x:row>
    <x:row r="6807">
      <x:c r="B6807" s="2"/>
      <x:c r="C6807" s="2"/>
      <x:c r="D6807" s="2"/>
      <x:c r="E6807" s="2"/>
      <x:c r="F6807" s="2"/>
      <x:c r="G6807" s="2"/>
    </x:row>
    <x:row r="6808">
      <x:c r="B6808" s="2"/>
      <x:c r="C6808" s="2"/>
      <x:c r="D6808" s="2"/>
      <x:c r="E6808" s="2"/>
      <x:c r="F6808" s="2"/>
      <x:c r="G6808" s="2"/>
    </x:row>
    <x:row r="6809">
      <x:c r="B6809" s="2"/>
      <x:c r="C6809" s="2"/>
      <x:c r="D6809" s="2"/>
      <x:c r="E6809" s="2"/>
      <x:c r="F6809" s="2"/>
      <x:c r="G6809" s="2"/>
    </x:row>
    <x:row r="6810">
      <x:c r="B6810" s="2"/>
      <x:c r="C6810" s="2"/>
      <x:c r="D6810" s="2"/>
      <x:c r="E6810" s="2"/>
      <x:c r="F6810" s="2"/>
      <x:c r="G6810" s="2"/>
    </x:row>
    <x:row r="6811">
      <x:c r="B6811" s="2"/>
      <x:c r="C6811" s="2"/>
      <x:c r="D6811" s="2"/>
      <x:c r="E6811" s="2"/>
      <x:c r="F6811" s="2"/>
      <x:c r="G6811" s="2"/>
    </x:row>
    <x:row r="6812">
      <x:c r="B6812" s="2"/>
      <x:c r="C6812" s="2"/>
      <x:c r="D6812" s="2"/>
      <x:c r="E6812" s="2"/>
      <x:c r="F6812" s="2"/>
      <x:c r="G6812" s="2"/>
    </x:row>
    <x:row r="6813">
      <x:c r="B6813" s="2"/>
      <x:c r="C6813" s="2"/>
      <x:c r="D6813" s="2"/>
      <x:c r="E6813" s="2"/>
      <x:c r="F6813" s="2"/>
      <x:c r="G6813" s="2"/>
    </x:row>
    <x:row r="6814">
      <x:c r="B6814" s="2"/>
      <x:c r="C6814" s="2"/>
      <x:c r="D6814" s="2"/>
      <x:c r="E6814" s="2"/>
      <x:c r="F6814" s="2"/>
      <x:c r="G6814" s="2"/>
    </x:row>
    <x:row r="6815">
      <x:c r="B6815" s="2"/>
      <x:c r="C6815" s="2"/>
      <x:c r="D6815" s="2"/>
      <x:c r="E6815" s="2"/>
      <x:c r="F6815" s="2"/>
      <x:c r="G6815" s="2"/>
    </x:row>
    <x:row r="6816">
      <x:c r="B6816" s="2"/>
      <x:c r="C6816" s="2"/>
      <x:c r="D6816" s="2"/>
      <x:c r="E6816" s="2"/>
      <x:c r="F6816" s="2"/>
      <x:c r="G6816" s="2"/>
    </x:row>
    <x:row r="6817">
      <x:c r="B6817" s="2"/>
      <x:c r="C6817" s="2"/>
      <x:c r="D6817" s="2"/>
      <x:c r="E6817" s="2"/>
      <x:c r="F6817" s="2"/>
      <x:c r="G6817" s="2"/>
    </x:row>
    <x:row r="6818">
      <x:c r="B6818" s="2"/>
      <x:c r="C6818" s="2"/>
      <x:c r="D6818" s="2"/>
      <x:c r="E6818" s="2"/>
      <x:c r="F6818" s="2"/>
      <x:c r="G6818" s="2"/>
    </x:row>
    <x:row r="6819">
      <x:c r="B6819" s="2"/>
      <x:c r="C6819" s="2"/>
      <x:c r="D6819" s="2"/>
      <x:c r="E6819" s="2"/>
      <x:c r="F6819" s="2"/>
      <x:c r="G6819" s="2"/>
    </x:row>
    <x:row r="6820">
      <x:c r="B6820" s="2"/>
      <x:c r="C6820" s="2"/>
      <x:c r="D6820" s="2"/>
      <x:c r="E6820" s="2"/>
      <x:c r="F6820" s="2"/>
      <x:c r="G6820" s="2"/>
    </x:row>
    <x:row r="6821">
      <x:c r="B6821" s="2"/>
      <x:c r="C6821" s="2"/>
      <x:c r="D6821" s="2"/>
      <x:c r="E6821" s="2"/>
      <x:c r="F6821" s="2"/>
      <x:c r="G6821" s="2"/>
    </x:row>
    <x:row r="6822">
      <x:c r="B6822" s="2"/>
      <x:c r="C6822" s="2"/>
      <x:c r="D6822" s="2"/>
      <x:c r="E6822" s="2"/>
      <x:c r="F6822" s="2"/>
      <x:c r="G6822" s="2"/>
    </x:row>
    <x:row r="6823">
      <x:c r="B6823" s="2"/>
      <x:c r="C6823" s="2"/>
      <x:c r="D6823" s="2"/>
      <x:c r="E6823" s="2"/>
      <x:c r="F6823" s="2"/>
      <x:c r="G6823" s="2"/>
    </x:row>
    <x:row r="6824">
      <x:c r="B6824" s="2"/>
      <x:c r="C6824" s="2"/>
      <x:c r="D6824" s="2"/>
      <x:c r="E6824" s="2"/>
      <x:c r="F6824" s="2"/>
      <x:c r="G6824" s="2"/>
    </x:row>
    <x:row r="6825">
      <x:c r="B6825" s="2"/>
      <x:c r="C6825" s="2"/>
      <x:c r="D6825" s="2"/>
      <x:c r="E6825" s="2"/>
      <x:c r="F6825" s="2"/>
      <x:c r="G6825" s="2"/>
    </x:row>
    <x:row r="6826">
      <x:c r="B6826" s="2"/>
      <x:c r="C6826" s="2"/>
      <x:c r="D6826" s="2"/>
      <x:c r="E6826" s="2"/>
      <x:c r="F6826" s="2"/>
      <x:c r="G6826" s="2"/>
    </x:row>
    <x:row r="6827">
      <x:c r="B6827" s="2"/>
      <x:c r="C6827" s="2"/>
      <x:c r="D6827" s="2"/>
      <x:c r="E6827" s="2"/>
      <x:c r="F6827" s="2"/>
      <x:c r="G6827" s="2"/>
    </x:row>
    <x:row r="6828">
      <x:c r="B6828" s="2"/>
      <x:c r="C6828" s="2"/>
      <x:c r="D6828" s="2"/>
      <x:c r="E6828" s="2"/>
      <x:c r="F6828" s="2"/>
      <x:c r="G6828" s="2"/>
    </x:row>
    <x:row r="6829">
      <x:c r="B6829" s="2"/>
      <x:c r="C6829" s="2"/>
      <x:c r="D6829" s="2"/>
      <x:c r="E6829" s="2"/>
      <x:c r="F6829" s="2"/>
      <x:c r="G6829" s="2"/>
    </x:row>
    <x:row r="6830">
      <x:c r="B6830" s="2"/>
      <x:c r="C6830" s="2"/>
      <x:c r="D6830" s="2"/>
      <x:c r="E6830" s="2"/>
      <x:c r="F6830" s="2"/>
      <x:c r="G6830" s="2"/>
    </x:row>
    <x:row r="6831">
      <x:c r="B6831" s="2"/>
      <x:c r="C6831" s="2"/>
      <x:c r="D6831" s="2"/>
      <x:c r="E6831" s="2"/>
      <x:c r="F6831" s="2"/>
      <x:c r="G6831" s="2"/>
    </x:row>
    <x:row r="6832">
      <x:c r="B6832" s="2"/>
      <x:c r="C6832" s="2"/>
      <x:c r="D6832" s="2"/>
      <x:c r="E6832" s="2"/>
      <x:c r="F6832" s="2"/>
      <x:c r="G6832" s="2"/>
    </x:row>
    <x:row r="6833">
      <x:c r="B6833" s="2"/>
      <x:c r="C6833" s="2"/>
      <x:c r="D6833" s="2"/>
      <x:c r="E6833" s="2"/>
      <x:c r="F6833" s="2"/>
      <x:c r="G6833" s="2"/>
    </x:row>
    <x:row r="6834">
      <x:c r="B6834" s="2"/>
      <x:c r="C6834" s="2"/>
      <x:c r="D6834" s="2"/>
      <x:c r="E6834" s="2"/>
      <x:c r="F6834" s="2"/>
      <x:c r="G6834" s="2"/>
    </x:row>
    <x:row r="6835">
      <x:c r="B6835" s="2"/>
      <x:c r="C6835" s="2"/>
      <x:c r="D6835" s="2"/>
      <x:c r="E6835" s="2"/>
      <x:c r="F6835" s="2"/>
      <x:c r="G6835" s="2"/>
    </x:row>
    <x:row r="6836">
      <x:c r="B6836" s="2"/>
      <x:c r="C6836" s="2"/>
      <x:c r="D6836" s="2"/>
      <x:c r="E6836" s="2"/>
      <x:c r="F6836" s="2"/>
      <x:c r="G6836" s="2"/>
    </x:row>
    <x:row r="6837">
      <x:c r="B6837" s="2"/>
      <x:c r="C6837" s="2"/>
      <x:c r="D6837" s="2"/>
      <x:c r="E6837" s="2"/>
      <x:c r="F6837" s="2"/>
      <x:c r="G6837" s="2"/>
    </x:row>
    <x:row r="6838">
      <x:c r="B6838" s="2"/>
      <x:c r="C6838" s="2"/>
      <x:c r="D6838" s="2"/>
      <x:c r="E6838" s="2"/>
      <x:c r="F6838" s="2"/>
      <x:c r="G6838" s="2"/>
    </x:row>
    <x:row r="6839">
      <x:c r="B6839" s="2"/>
      <x:c r="C6839" s="2"/>
      <x:c r="D6839" s="2"/>
      <x:c r="E6839" s="2"/>
      <x:c r="F6839" s="2"/>
      <x:c r="G6839" s="2"/>
    </x:row>
    <x:row r="6840">
      <x:c r="B6840" s="2"/>
      <x:c r="C6840" s="2"/>
      <x:c r="D6840" s="2"/>
      <x:c r="E6840" s="2"/>
      <x:c r="F6840" s="2"/>
      <x:c r="G6840" s="2"/>
    </x:row>
    <x:row r="6841">
      <x:c r="B6841" s="2"/>
      <x:c r="C6841" s="2"/>
      <x:c r="D6841" s="2"/>
      <x:c r="E6841" s="2"/>
      <x:c r="F6841" s="2"/>
      <x:c r="G6841" s="2"/>
    </x:row>
    <x:row r="6842">
      <x:c r="B6842" s="2"/>
      <x:c r="C6842" s="2"/>
      <x:c r="D6842" s="2"/>
      <x:c r="E6842" s="2"/>
      <x:c r="F6842" s="2"/>
      <x:c r="G6842" s="2"/>
    </x:row>
    <x:row r="6843">
      <x:c r="B6843" s="2"/>
      <x:c r="C6843" s="2"/>
      <x:c r="D6843" s="2"/>
      <x:c r="E6843" s="2"/>
      <x:c r="F6843" s="2"/>
      <x:c r="G6843" s="2"/>
    </x:row>
    <x:row r="6844">
      <x:c r="B6844" s="2"/>
      <x:c r="C6844" s="2"/>
      <x:c r="D6844" s="2"/>
      <x:c r="E6844" s="2"/>
      <x:c r="F6844" s="2"/>
      <x:c r="G6844" s="2"/>
    </x:row>
    <x:row r="6845">
      <x:c r="B6845" s="2"/>
      <x:c r="C6845" s="2"/>
      <x:c r="D6845" s="2"/>
      <x:c r="E6845" s="2"/>
      <x:c r="F6845" s="2"/>
      <x:c r="G6845" s="2"/>
    </x:row>
    <x:row r="6846">
      <x:c r="B6846" s="2"/>
      <x:c r="C6846" s="2"/>
      <x:c r="D6846" s="2"/>
      <x:c r="E6846" s="2"/>
      <x:c r="F6846" s="2"/>
      <x:c r="G6846" s="2"/>
    </x:row>
    <x:row r="6847">
      <x:c r="B6847" s="2"/>
      <x:c r="C6847" s="2"/>
      <x:c r="D6847" s="2"/>
      <x:c r="E6847" s="2"/>
      <x:c r="F6847" s="2"/>
      <x:c r="G6847" s="2"/>
    </x:row>
    <x:row r="6848">
      <x:c r="B6848" s="2"/>
      <x:c r="C6848" s="2"/>
      <x:c r="D6848" s="2"/>
      <x:c r="E6848" s="2"/>
      <x:c r="F6848" s="2"/>
      <x:c r="G6848" s="2"/>
    </x:row>
    <x:row r="6849">
      <x:c r="B6849" s="2"/>
      <x:c r="C6849" s="2"/>
      <x:c r="D6849" s="2"/>
      <x:c r="E6849" s="2"/>
      <x:c r="F6849" s="2"/>
      <x:c r="G6849" s="2"/>
    </x:row>
    <x:row r="6850">
      <x:c r="B6850" s="2"/>
      <x:c r="C6850" s="2"/>
      <x:c r="D6850" s="2"/>
      <x:c r="E6850" s="2"/>
      <x:c r="F6850" s="2"/>
      <x:c r="G6850" s="2"/>
    </x:row>
    <x:row r="6851">
      <x:c r="B6851" s="2"/>
      <x:c r="C6851" s="2"/>
      <x:c r="D6851" s="2"/>
      <x:c r="E6851" s="2"/>
      <x:c r="F6851" s="2"/>
      <x:c r="G6851" s="2"/>
    </x:row>
    <x:row r="6852">
      <x:c r="B6852" s="2"/>
      <x:c r="C6852" s="2"/>
      <x:c r="D6852" s="2"/>
      <x:c r="E6852" s="2"/>
      <x:c r="F6852" s="2"/>
      <x:c r="G6852" s="2"/>
    </x:row>
    <x:row r="6853">
      <x:c r="B6853" s="2"/>
      <x:c r="C6853" s="2"/>
      <x:c r="D6853" s="2"/>
      <x:c r="E6853" s="2"/>
      <x:c r="F6853" s="2"/>
      <x:c r="G6853" s="2"/>
    </x:row>
    <x:row r="6854">
      <x:c r="B6854" s="2"/>
      <x:c r="C6854" s="2"/>
      <x:c r="D6854" s="2"/>
      <x:c r="E6854" s="2"/>
      <x:c r="F6854" s="2"/>
      <x:c r="G6854" s="2"/>
    </x:row>
    <x:row r="6855">
      <x:c r="B6855" s="2"/>
      <x:c r="C6855" s="2"/>
      <x:c r="D6855" s="2"/>
      <x:c r="E6855" s="2"/>
      <x:c r="F6855" s="2"/>
      <x:c r="G6855" s="2"/>
    </x:row>
    <x:row r="6856">
      <x:c r="B6856" s="2"/>
      <x:c r="C6856" s="2"/>
      <x:c r="D6856" s="2"/>
      <x:c r="E6856" s="2"/>
      <x:c r="F6856" s="2"/>
      <x:c r="G6856" s="2"/>
    </x:row>
    <x:row r="6857">
      <x:c r="B6857" s="2"/>
      <x:c r="C6857" s="2"/>
      <x:c r="D6857" s="2"/>
      <x:c r="E6857" s="2"/>
      <x:c r="F6857" s="2"/>
      <x:c r="G6857" s="2"/>
    </x:row>
    <x:row r="6858">
      <x:c r="B6858" s="2"/>
      <x:c r="C6858" s="2"/>
      <x:c r="D6858" s="2"/>
      <x:c r="E6858" s="2"/>
      <x:c r="F6858" s="2"/>
      <x:c r="G6858" s="2"/>
    </x:row>
    <x:row r="6859">
      <x:c r="B6859" s="2"/>
      <x:c r="C6859" s="2"/>
      <x:c r="D6859" s="2"/>
      <x:c r="E6859" s="2"/>
      <x:c r="F6859" s="2"/>
      <x:c r="G6859" s="2"/>
    </x:row>
    <x:row r="6860">
      <x:c r="B6860" s="2"/>
      <x:c r="C6860" s="2"/>
      <x:c r="D6860" s="2"/>
      <x:c r="E6860" s="2"/>
      <x:c r="F6860" s="2"/>
      <x:c r="G6860" s="2"/>
    </x:row>
    <x:row r="6861">
      <x:c r="B6861" s="2"/>
      <x:c r="C6861" s="2"/>
      <x:c r="D6861" s="2"/>
      <x:c r="E6861" s="2"/>
      <x:c r="F6861" s="2"/>
      <x:c r="G6861" s="2"/>
    </x:row>
    <x:row r="6862">
      <x:c r="B6862" s="2"/>
      <x:c r="C6862" s="2"/>
      <x:c r="D6862" s="2"/>
      <x:c r="E6862" s="2"/>
      <x:c r="F6862" s="2"/>
      <x:c r="G6862" s="2"/>
    </x:row>
    <x:row r="6863">
      <x:c r="B6863" s="2"/>
      <x:c r="C6863" s="2"/>
      <x:c r="D6863" s="2"/>
      <x:c r="E6863" s="2"/>
      <x:c r="F6863" s="2"/>
      <x:c r="G6863" s="2"/>
    </x:row>
    <x:row r="6864">
      <x:c r="B6864" s="2"/>
      <x:c r="C6864" s="2"/>
      <x:c r="D6864" s="2"/>
      <x:c r="E6864" s="2"/>
      <x:c r="F6864" s="2"/>
      <x:c r="G6864" s="2"/>
    </x:row>
    <x:row r="6865">
      <x:c r="B6865" s="2"/>
      <x:c r="C6865" s="2"/>
      <x:c r="D6865" s="2"/>
      <x:c r="E6865" s="2"/>
      <x:c r="F6865" s="2"/>
      <x:c r="G6865" s="2"/>
    </x:row>
    <x:row r="6866">
      <x:c r="B6866" s="2"/>
      <x:c r="C6866" s="2"/>
      <x:c r="D6866" s="2"/>
      <x:c r="E6866" s="2"/>
      <x:c r="F6866" s="2"/>
      <x:c r="G6866" s="2"/>
    </x:row>
    <x:row r="6867">
      <x:c r="B6867" s="2"/>
      <x:c r="C6867" s="2"/>
      <x:c r="D6867" s="2"/>
      <x:c r="E6867" s="2"/>
      <x:c r="F6867" s="2"/>
      <x:c r="G6867" s="2"/>
    </x:row>
    <x:row r="6868">
      <x:c r="B6868" s="2"/>
      <x:c r="C6868" s="2"/>
      <x:c r="D6868" s="2"/>
      <x:c r="E6868" s="2"/>
      <x:c r="F6868" s="2"/>
      <x:c r="G6868" s="2"/>
    </x:row>
    <x:row r="6869">
      <x:c r="B6869" s="2"/>
      <x:c r="C6869" s="2"/>
      <x:c r="D6869" s="2"/>
      <x:c r="E6869" s="2"/>
      <x:c r="F6869" s="2"/>
      <x:c r="G6869" s="2"/>
    </x:row>
    <x:row r="6870">
      <x:c r="B6870" s="2"/>
      <x:c r="C6870" s="2"/>
      <x:c r="D6870" s="2"/>
      <x:c r="E6870" s="2"/>
      <x:c r="F6870" s="2"/>
      <x:c r="G6870" s="2"/>
    </x:row>
    <x:row r="6871">
      <x:c r="B6871" s="2"/>
      <x:c r="C6871" s="2"/>
      <x:c r="D6871" s="2"/>
      <x:c r="E6871" s="2"/>
      <x:c r="F6871" s="2"/>
      <x:c r="G6871" s="2"/>
    </x:row>
    <x:row r="6872">
      <x:c r="B6872" s="2"/>
      <x:c r="C6872" s="2"/>
      <x:c r="D6872" s="2"/>
      <x:c r="E6872" s="2"/>
      <x:c r="F6872" s="2"/>
      <x:c r="G6872" s="2"/>
    </x:row>
    <x:row r="6873">
      <x:c r="B6873" s="2"/>
      <x:c r="C6873" s="2"/>
      <x:c r="D6873" s="2"/>
      <x:c r="E6873" s="2"/>
      <x:c r="F6873" s="2"/>
      <x:c r="G6873" s="2"/>
    </x:row>
    <x:row r="6874">
      <x:c r="B6874" s="2"/>
      <x:c r="C6874" s="2"/>
      <x:c r="D6874" s="2"/>
      <x:c r="E6874" s="2"/>
      <x:c r="F6874" s="2"/>
      <x:c r="G6874" s="2"/>
    </x:row>
    <x:row r="6875">
      <x:c r="B6875" s="2"/>
      <x:c r="C6875" s="2"/>
      <x:c r="D6875" s="2"/>
      <x:c r="E6875" s="2"/>
      <x:c r="F6875" s="2"/>
      <x:c r="G6875" s="2"/>
    </x:row>
    <x:row r="6876">
      <x:c r="B6876" s="2"/>
      <x:c r="C6876" s="2"/>
      <x:c r="D6876" s="2"/>
      <x:c r="E6876" s="2"/>
      <x:c r="F6876" s="2"/>
      <x:c r="G6876" s="2"/>
    </x:row>
    <x:row r="6877">
      <x:c r="B6877" s="2"/>
      <x:c r="C6877" s="2"/>
      <x:c r="D6877" s="2"/>
      <x:c r="E6877" s="2"/>
      <x:c r="F6877" s="2"/>
      <x:c r="G6877" s="2"/>
    </x:row>
    <x:row r="6878">
      <x:c r="B6878" s="2"/>
      <x:c r="C6878" s="2"/>
      <x:c r="D6878" s="2"/>
      <x:c r="E6878" s="2"/>
      <x:c r="F6878" s="2"/>
      <x:c r="G6878" s="2"/>
    </x:row>
    <x:row r="6879">
      <x:c r="B6879" s="2"/>
      <x:c r="C6879" s="2"/>
      <x:c r="D6879" s="2"/>
      <x:c r="E6879" s="2"/>
      <x:c r="F6879" s="2"/>
      <x:c r="G6879" s="2"/>
    </x:row>
    <x:row r="6880">
      <x:c r="B6880" s="2"/>
      <x:c r="C6880" s="2"/>
      <x:c r="D6880" s="2"/>
      <x:c r="E6880" s="2"/>
      <x:c r="F6880" s="2"/>
      <x:c r="G6880" s="2"/>
    </x:row>
    <x:row r="6881">
      <x:c r="B6881" s="2"/>
      <x:c r="C6881" s="2"/>
      <x:c r="D6881" s="2"/>
      <x:c r="E6881" s="2"/>
      <x:c r="F6881" s="2"/>
      <x:c r="G6881" s="2"/>
    </x:row>
    <x:row r="6882">
      <x:c r="B6882" s="2"/>
      <x:c r="C6882" s="2"/>
      <x:c r="D6882" s="2"/>
      <x:c r="E6882" s="2"/>
      <x:c r="F6882" s="2"/>
      <x:c r="G6882" s="2"/>
    </x:row>
    <x:row r="6883">
      <x:c r="B6883" s="2"/>
      <x:c r="C6883" s="2"/>
      <x:c r="D6883" s="2"/>
      <x:c r="E6883" s="2"/>
      <x:c r="F6883" s="2"/>
      <x:c r="G6883" s="2"/>
    </x:row>
    <x:row r="6884">
      <x:c r="B6884" s="2"/>
      <x:c r="C6884" s="2"/>
      <x:c r="D6884" s="2"/>
      <x:c r="E6884" s="2"/>
      <x:c r="F6884" s="2"/>
      <x:c r="G6884" s="2"/>
    </x:row>
    <x:row r="6885">
      <x:c r="B6885" s="2"/>
      <x:c r="C6885" s="2"/>
      <x:c r="D6885" s="2"/>
      <x:c r="E6885" s="2"/>
      <x:c r="F6885" s="2"/>
      <x:c r="G6885" s="2"/>
    </x:row>
    <x:row r="6886">
      <x:c r="B6886" s="2"/>
      <x:c r="C6886" s="2"/>
      <x:c r="D6886" s="2"/>
      <x:c r="E6886" s="2"/>
      <x:c r="F6886" s="2"/>
      <x:c r="G6886" s="2"/>
    </x:row>
    <x:row r="6887">
      <x:c r="B6887" s="2"/>
      <x:c r="C6887" s="2"/>
      <x:c r="D6887" s="2"/>
      <x:c r="E6887" s="2"/>
      <x:c r="F6887" s="2"/>
      <x:c r="G6887" s="2"/>
    </x:row>
    <x:row r="6888">
      <x:c r="B6888" s="2"/>
      <x:c r="C6888" s="2"/>
      <x:c r="D6888" s="2"/>
      <x:c r="E6888" s="2"/>
      <x:c r="F6888" s="2"/>
      <x:c r="G6888" s="2"/>
    </x:row>
    <x:row r="6889">
      <x:c r="B6889" s="2"/>
      <x:c r="C6889" s="2"/>
      <x:c r="D6889" s="2"/>
      <x:c r="E6889" s="2"/>
      <x:c r="F6889" s="2"/>
      <x:c r="G6889" s="2"/>
    </x:row>
    <x:row r="6890">
      <x:c r="B6890" s="2"/>
      <x:c r="C6890" s="2"/>
      <x:c r="D6890" s="2"/>
      <x:c r="E6890" s="2"/>
      <x:c r="F6890" s="2"/>
      <x:c r="G6890" s="2"/>
    </x:row>
    <x:row r="6891">
      <x:c r="B6891" s="2"/>
      <x:c r="C6891" s="2"/>
      <x:c r="D6891" s="2"/>
      <x:c r="E6891" s="2"/>
      <x:c r="F6891" s="2"/>
      <x:c r="G6891" s="2"/>
    </x:row>
    <x:row r="6892">
      <x:c r="B6892" s="2"/>
      <x:c r="C6892" s="2"/>
      <x:c r="D6892" s="2"/>
      <x:c r="E6892" s="2"/>
      <x:c r="F6892" s="2"/>
      <x:c r="G6892" s="2"/>
    </x:row>
    <x:row r="6893">
      <x:c r="B6893" s="2"/>
      <x:c r="C6893" s="2"/>
      <x:c r="D6893" s="2"/>
      <x:c r="E6893" s="2"/>
      <x:c r="F6893" s="2"/>
      <x:c r="G6893" s="2"/>
    </x:row>
    <x:row r="6894">
      <x:c r="B6894" s="2"/>
      <x:c r="C6894" s="2"/>
      <x:c r="D6894" s="2"/>
      <x:c r="E6894" s="2"/>
      <x:c r="F6894" s="2"/>
      <x:c r="G6894" s="2"/>
    </x:row>
    <x:row r="6895">
      <x:c r="B6895" s="2"/>
      <x:c r="C6895" s="2"/>
      <x:c r="D6895" s="2"/>
      <x:c r="E6895" s="2"/>
      <x:c r="F6895" s="2"/>
      <x:c r="G6895" s="2"/>
    </x:row>
    <x:row r="6896">
      <x:c r="B6896" s="2"/>
      <x:c r="C6896" s="2"/>
      <x:c r="D6896" s="2"/>
      <x:c r="E6896" s="2"/>
      <x:c r="F6896" s="2"/>
      <x:c r="G6896" s="2"/>
    </x:row>
    <x:row r="6897">
      <x:c r="B6897" s="2"/>
      <x:c r="C6897" s="2"/>
      <x:c r="D6897" s="2"/>
      <x:c r="E6897" s="2"/>
      <x:c r="F6897" s="2"/>
      <x:c r="G6897" s="2"/>
    </x:row>
    <x:row r="6898">
      <x:c r="B6898" s="2"/>
      <x:c r="C6898" s="2"/>
      <x:c r="D6898" s="2"/>
      <x:c r="E6898" s="2"/>
      <x:c r="F6898" s="2"/>
      <x:c r="G6898" s="2"/>
    </x:row>
    <x:row r="6899">
      <x:c r="B6899" s="2"/>
      <x:c r="C6899" s="2"/>
      <x:c r="D6899" s="2"/>
      <x:c r="E6899" s="2"/>
      <x:c r="F6899" s="2"/>
      <x:c r="G6899" s="2"/>
    </x:row>
    <x:row r="6900">
      <x:c r="B6900" s="2"/>
      <x:c r="C6900" s="2"/>
      <x:c r="D6900" s="2"/>
      <x:c r="E6900" s="2"/>
      <x:c r="F6900" s="2"/>
      <x:c r="G6900" s="2"/>
    </x:row>
    <x:row r="6901">
      <x:c r="B6901" s="2"/>
      <x:c r="C6901" s="2"/>
      <x:c r="D6901" s="2"/>
      <x:c r="E6901" s="2"/>
      <x:c r="F6901" s="2"/>
      <x:c r="G6901" s="2"/>
    </x:row>
    <x:row r="6902">
      <x:c r="B6902" s="2"/>
      <x:c r="C6902" s="2"/>
      <x:c r="D6902" s="2"/>
      <x:c r="E6902" s="2"/>
      <x:c r="F6902" s="2"/>
      <x:c r="G6902" s="2"/>
    </x:row>
    <x:row r="6903">
      <x:c r="B6903" s="2"/>
      <x:c r="C6903" s="2"/>
      <x:c r="D6903" s="2"/>
      <x:c r="E6903" s="2"/>
      <x:c r="F6903" s="2"/>
      <x:c r="G6903" s="2"/>
    </x:row>
    <x:row r="6904">
      <x:c r="B6904" s="2"/>
      <x:c r="C6904" s="2"/>
      <x:c r="D6904" s="2"/>
      <x:c r="E6904" s="2"/>
      <x:c r="F6904" s="2"/>
      <x:c r="G6904" s="2"/>
    </x:row>
    <x:row r="6905">
      <x:c r="B6905" s="2"/>
      <x:c r="C6905" s="2"/>
      <x:c r="D6905" s="2"/>
      <x:c r="E6905" s="2"/>
      <x:c r="F6905" s="2"/>
      <x:c r="G6905" s="2"/>
    </x:row>
    <x:row r="6906">
      <x:c r="B6906" s="2"/>
      <x:c r="C6906" s="2"/>
      <x:c r="D6906" s="2"/>
      <x:c r="E6906" s="2"/>
      <x:c r="F6906" s="2"/>
      <x:c r="G6906" s="2"/>
    </x:row>
    <x:row r="6907">
      <x:c r="B6907" s="2"/>
      <x:c r="C6907" s="2"/>
      <x:c r="D6907" s="2"/>
      <x:c r="E6907" s="2"/>
      <x:c r="F6907" s="2"/>
      <x:c r="G6907" s="2"/>
    </x:row>
    <x:row r="6908">
      <x:c r="B6908" s="2"/>
      <x:c r="C6908" s="2"/>
      <x:c r="D6908" s="2"/>
      <x:c r="E6908" s="2"/>
      <x:c r="F6908" s="2"/>
      <x:c r="G6908" s="2"/>
    </x:row>
    <x:row r="6909">
      <x:c r="B6909" s="2"/>
      <x:c r="C6909" s="2"/>
      <x:c r="D6909" s="2"/>
      <x:c r="E6909" s="2"/>
      <x:c r="F6909" s="2"/>
      <x:c r="G6909" s="2"/>
    </x:row>
    <x:row r="6910">
      <x:c r="B6910" s="2"/>
      <x:c r="C6910" s="2"/>
      <x:c r="D6910" s="2"/>
      <x:c r="E6910" s="2"/>
      <x:c r="F6910" s="2"/>
      <x:c r="G6910" s="2"/>
    </x:row>
    <x:row r="6911">
      <x:c r="B6911" s="2"/>
      <x:c r="C6911" s="2"/>
      <x:c r="D6911" s="2"/>
      <x:c r="E6911" s="2"/>
      <x:c r="F6911" s="2"/>
      <x:c r="G6911" s="2"/>
    </x:row>
    <x:row r="6912">
      <x:c r="B6912" s="2"/>
      <x:c r="C6912" s="2"/>
      <x:c r="D6912" s="2"/>
      <x:c r="E6912" s="2"/>
      <x:c r="F6912" s="2"/>
      <x:c r="G6912" s="2"/>
    </x:row>
    <x:row r="6913">
      <x:c r="B6913" s="2"/>
      <x:c r="C6913" s="2"/>
      <x:c r="D6913" s="2"/>
      <x:c r="E6913" s="2"/>
      <x:c r="F6913" s="2"/>
      <x:c r="G6913" s="2"/>
    </x:row>
    <x:row r="6914">
      <x:c r="B6914" s="2"/>
      <x:c r="C6914" s="2"/>
      <x:c r="D6914" s="2"/>
      <x:c r="E6914" s="2"/>
      <x:c r="F6914" s="2"/>
      <x:c r="G6914" s="2"/>
    </x:row>
    <x:row r="6915">
      <x:c r="B6915" s="2"/>
      <x:c r="C6915" s="2"/>
      <x:c r="D6915" s="2"/>
      <x:c r="E6915" s="2"/>
      <x:c r="F6915" s="2"/>
      <x:c r="G6915" s="2"/>
    </x:row>
    <x:row r="6916">
      <x:c r="B6916" s="2"/>
      <x:c r="C6916" s="2"/>
      <x:c r="D6916" s="2"/>
      <x:c r="E6916" s="2"/>
      <x:c r="F6916" s="2"/>
      <x:c r="G6916" s="2"/>
    </x:row>
    <x:row r="6917">
      <x:c r="B6917" s="2"/>
      <x:c r="C6917" s="2"/>
      <x:c r="D6917" s="2"/>
      <x:c r="E6917" s="2"/>
      <x:c r="F6917" s="2"/>
      <x:c r="G6917" s="2"/>
    </x:row>
    <x:row r="6918">
      <x:c r="B6918" s="2"/>
      <x:c r="C6918" s="2"/>
      <x:c r="D6918" s="2"/>
      <x:c r="E6918" s="2"/>
      <x:c r="F6918" s="2"/>
      <x:c r="G6918" s="2"/>
    </x:row>
    <x:row r="6919">
      <x:c r="B6919" s="2"/>
      <x:c r="C6919" s="2"/>
      <x:c r="D6919" s="2"/>
      <x:c r="E6919" s="2"/>
      <x:c r="F6919" s="2"/>
      <x:c r="G6919" s="2"/>
    </x:row>
    <x:row r="6920">
      <x:c r="B6920" s="2"/>
      <x:c r="C6920" s="2"/>
      <x:c r="D6920" s="2"/>
      <x:c r="E6920" s="2"/>
      <x:c r="F6920" s="2"/>
      <x:c r="G6920" s="2"/>
    </x:row>
    <x:row r="6921">
      <x:c r="B6921" s="2"/>
      <x:c r="C6921" s="2"/>
      <x:c r="D6921" s="2"/>
      <x:c r="E6921" s="2"/>
      <x:c r="F6921" s="2"/>
      <x:c r="G6921" s="2"/>
    </x:row>
    <x:row r="6922">
      <x:c r="B6922" s="2"/>
      <x:c r="C6922" s="2"/>
      <x:c r="D6922" s="2"/>
      <x:c r="E6922" s="2"/>
      <x:c r="F6922" s="2"/>
      <x:c r="G6922" s="2"/>
    </x:row>
    <x:row r="6923">
      <x:c r="B6923" s="2"/>
      <x:c r="C6923" s="2"/>
      <x:c r="D6923" s="2"/>
      <x:c r="E6923" s="2"/>
      <x:c r="F6923" s="2"/>
      <x:c r="G6923" s="2"/>
    </x:row>
    <x:row r="6924">
      <x:c r="B6924" s="2"/>
      <x:c r="C6924" s="2"/>
      <x:c r="D6924" s="2"/>
      <x:c r="E6924" s="2"/>
      <x:c r="F6924" s="2"/>
      <x:c r="G6924" s="2"/>
    </x:row>
    <x:row r="6925">
      <x:c r="B6925" s="2"/>
      <x:c r="C6925" s="2"/>
      <x:c r="D6925" s="2"/>
      <x:c r="E6925" s="2"/>
      <x:c r="F6925" s="2"/>
      <x:c r="G6925" s="2"/>
    </x:row>
    <x:row r="6926">
      <x:c r="B6926" s="2"/>
      <x:c r="C6926" s="2"/>
      <x:c r="D6926" s="2"/>
      <x:c r="E6926" s="2"/>
      <x:c r="F6926" s="2"/>
      <x:c r="G6926" s="2"/>
    </x:row>
    <x:row r="6927">
      <x:c r="B6927" s="2"/>
      <x:c r="C6927" s="2"/>
      <x:c r="D6927" s="2"/>
      <x:c r="E6927" s="2"/>
      <x:c r="F6927" s="2"/>
      <x:c r="G6927" s="2"/>
    </x:row>
    <x:row r="6928">
      <x:c r="B6928" s="2"/>
      <x:c r="C6928" s="2"/>
      <x:c r="D6928" s="2"/>
      <x:c r="E6928" s="2"/>
      <x:c r="F6928" s="2"/>
      <x:c r="G6928" s="2"/>
    </x:row>
    <x:row r="6929">
      <x:c r="B6929" s="2"/>
      <x:c r="C6929" s="2"/>
      <x:c r="D6929" s="2"/>
      <x:c r="E6929" s="2"/>
      <x:c r="F6929" s="2"/>
      <x:c r="G6929" s="2"/>
    </x:row>
    <x:row r="6930">
      <x:c r="B6930" s="2"/>
      <x:c r="C6930" s="2"/>
      <x:c r="D6930" s="2"/>
      <x:c r="E6930" s="2"/>
      <x:c r="F6930" s="2"/>
      <x:c r="G6930" s="2"/>
    </x:row>
    <x:row r="6931">
      <x:c r="B6931" s="2"/>
      <x:c r="C6931" s="2"/>
      <x:c r="D6931" s="2"/>
      <x:c r="E6931" s="2"/>
      <x:c r="F6931" s="2"/>
      <x:c r="G6931" s="2"/>
    </x:row>
    <x:row r="6932">
      <x:c r="B6932" s="2"/>
      <x:c r="C6932" s="2"/>
      <x:c r="D6932" s="2"/>
      <x:c r="E6932" s="2"/>
      <x:c r="F6932" s="2"/>
      <x:c r="G6932" s="2"/>
    </x:row>
    <x:row r="6933">
      <x:c r="B6933" s="2"/>
      <x:c r="C6933" s="2"/>
      <x:c r="D6933" s="2"/>
      <x:c r="E6933" s="2"/>
      <x:c r="F6933" s="2"/>
      <x:c r="G6933" s="2"/>
    </x:row>
    <x:row r="6934">
      <x:c r="B6934" s="2"/>
      <x:c r="C6934" s="2"/>
      <x:c r="D6934" s="2"/>
      <x:c r="E6934" s="2"/>
      <x:c r="F6934" s="2"/>
      <x:c r="G6934" s="2"/>
    </x:row>
    <x:row r="6935">
      <x:c r="B6935" s="2"/>
      <x:c r="C6935" s="2"/>
      <x:c r="D6935" s="2"/>
      <x:c r="E6935" s="2"/>
      <x:c r="F6935" s="2"/>
      <x:c r="G6935" s="2"/>
    </x:row>
    <x:row r="6936">
      <x:c r="B6936" s="2"/>
      <x:c r="C6936" s="2"/>
      <x:c r="D6936" s="2"/>
      <x:c r="E6936" s="2"/>
      <x:c r="F6936" s="2"/>
      <x:c r="G6936" s="2"/>
    </x:row>
    <x:row r="6937">
      <x:c r="B6937" s="2"/>
      <x:c r="C6937" s="2"/>
      <x:c r="D6937" s="2"/>
      <x:c r="E6937" s="2"/>
      <x:c r="F6937" s="2"/>
      <x:c r="G6937" s="2"/>
    </x:row>
    <x:row r="6938">
      <x:c r="B6938" s="2"/>
      <x:c r="C6938" s="2"/>
      <x:c r="D6938" s="2"/>
      <x:c r="E6938" s="2"/>
      <x:c r="F6938" s="2"/>
      <x:c r="G6938" s="2"/>
    </x:row>
    <x:row r="6939">
      <x:c r="B6939" s="2"/>
      <x:c r="C6939" s="2"/>
      <x:c r="D6939" s="2"/>
      <x:c r="E6939" s="2"/>
      <x:c r="F6939" s="2"/>
      <x:c r="G6939" s="2"/>
    </x:row>
    <x:row r="6940">
      <x:c r="B6940" s="2"/>
      <x:c r="C6940" s="2"/>
      <x:c r="D6940" s="2"/>
      <x:c r="E6940" s="2"/>
      <x:c r="F6940" s="2"/>
      <x:c r="G6940" s="2"/>
    </x:row>
    <x:row r="6941">
      <x:c r="B6941" s="2"/>
      <x:c r="C6941" s="2"/>
      <x:c r="D6941" s="2"/>
      <x:c r="E6941" s="2"/>
      <x:c r="F6941" s="2"/>
      <x:c r="G6941" s="2"/>
    </x:row>
    <x:row r="6942">
      <x:c r="B6942" s="2"/>
      <x:c r="C6942" s="2"/>
      <x:c r="D6942" s="2"/>
      <x:c r="E6942" s="2"/>
      <x:c r="F6942" s="2"/>
      <x:c r="G6942" s="2"/>
    </x:row>
    <x:row r="6943">
      <x:c r="B6943" s="2"/>
      <x:c r="C6943" s="2"/>
      <x:c r="D6943" s="2"/>
      <x:c r="E6943" s="2"/>
      <x:c r="F6943" s="2"/>
      <x:c r="G6943" s="2"/>
    </x:row>
    <x:row r="6944">
      <x:c r="B6944" s="2"/>
      <x:c r="C6944" s="2"/>
      <x:c r="D6944" s="2"/>
      <x:c r="E6944" s="2"/>
      <x:c r="F6944" s="2"/>
      <x:c r="G6944" s="2"/>
    </x:row>
    <x:row r="6945">
      <x:c r="B6945" s="2"/>
      <x:c r="C6945" s="2"/>
      <x:c r="D6945" s="2"/>
      <x:c r="E6945" s="2"/>
      <x:c r="F6945" s="2"/>
      <x:c r="G6945" s="2"/>
    </x:row>
    <x:row r="6946">
      <x:c r="B6946" s="2"/>
      <x:c r="C6946" s="2"/>
      <x:c r="D6946" s="2"/>
      <x:c r="E6946" s="2"/>
      <x:c r="F6946" s="2"/>
      <x:c r="G6946" s="2"/>
    </x:row>
    <x:row r="6947">
      <x:c r="B6947" s="2"/>
      <x:c r="C6947" s="2"/>
      <x:c r="D6947" s="2"/>
      <x:c r="E6947" s="2"/>
      <x:c r="F6947" s="2"/>
      <x:c r="G6947" s="2"/>
    </x:row>
    <x:row r="6948">
      <x:c r="B6948" s="2"/>
      <x:c r="C6948" s="2"/>
      <x:c r="D6948" s="2"/>
      <x:c r="E6948" s="2"/>
      <x:c r="F6948" s="2"/>
      <x:c r="G6948" s="2"/>
    </x:row>
    <x:row r="6949">
      <x:c r="B6949" s="2"/>
      <x:c r="C6949" s="2"/>
      <x:c r="D6949" s="2"/>
      <x:c r="E6949" s="2"/>
      <x:c r="F6949" s="2"/>
      <x:c r="G6949" s="2"/>
    </x:row>
    <x:row r="6950">
      <x:c r="B6950" s="2"/>
      <x:c r="C6950" s="2"/>
      <x:c r="D6950" s="2"/>
      <x:c r="E6950" s="2"/>
      <x:c r="F6950" s="2"/>
      <x:c r="G6950" s="2"/>
    </x:row>
    <x:row r="6951">
      <x:c r="B6951" s="2"/>
      <x:c r="C6951" s="2"/>
      <x:c r="D6951" s="2"/>
      <x:c r="E6951" s="2"/>
      <x:c r="F6951" s="2"/>
      <x:c r="G6951" s="2"/>
    </x:row>
    <x:row r="6952">
      <x:c r="B6952" s="2"/>
      <x:c r="C6952" s="2"/>
      <x:c r="D6952" s="2"/>
      <x:c r="E6952" s="2"/>
      <x:c r="F6952" s="2"/>
      <x:c r="G6952" s="2"/>
    </x:row>
    <x:row r="6953">
      <x:c r="B6953" s="2"/>
      <x:c r="C6953" s="2"/>
      <x:c r="D6953" s="2"/>
      <x:c r="E6953" s="2"/>
      <x:c r="F6953" s="2"/>
      <x:c r="G6953" s="2"/>
    </x:row>
    <x:row r="6954">
      <x:c r="B6954" s="2"/>
      <x:c r="C6954" s="2"/>
      <x:c r="D6954" s="2"/>
      <x:c r="E6954" s="2"/>
      <x:c r="F6954" s="2"/>
      <x:c r="G6954" s="2"/>
    </x:row>
    <x:row r="6955">
      <x:c r="B6955" s="2"/>
      <x:c r="C6955" s="2"/>
      <x:c r="D6955" s="2"/>
      <x:c r="E6955" s="2"/>
      <x:c r="F6955" s="2"/>
      <x:c r="G6955" s="2"/>
    </x:row>
    <x:row r="6956">
      <x:c r="B6956" s="2"/>
      <x:c r="C6956" s="2"/>
      <x:c r="D6956" s="2"/>
      <x:c r="E6956" s="2"/>
      <x:c r="F6956" s="2"/>
      <x:c r="G6956" s="2"/>
    </x:row>
    <x:row r="6957">
      <x:c r="B6957" s="2"/>
      <x:c r="C6957" s="2"/>
      <x:c r="D6957" s="2"/>
      <x:c r="E6957" s="2"/>
      <x:c r="F6957" s="2"/>
      <x:c r="G6957" s="2"/>
    </x:row>
    <x:row r="6958">
      <x:c r="B6958" s="2"/>
      <x:c r="C6958" s="2"/>
      <x:c r="D6958" s="2"/>
      <x:c r="E6958" s="2"/>
      <x:c r="F6958" s="2"/>
      <x:c r="G6958" s="2"/>
    </x:row>
    <x:row r="6959">
      <x:c r="B6959" s="2"/>
      <x:c r="C6959" s="2"/>
      <x:c r="D6959" s="2"/>
      <x:c r="E6959" s="2"/>
      <x:c r="F6959" s="2"/>
      <x:c r="G6959" s="2"/>
    </x:row>
    <x:row r="6960">
      <x:c r="B6960" s="2"/>
      <x:c r="C6960" s="2"/>
      <x:c r="D6960" s="2"/>
      <x:c r="E6960" s="2"/>
      <x:c r="F6960" s="2"/>
      <x:c r="G6960" s="2"/>
    </x:row>
    <x:row r="6961">
      <x:c r="B6961" s="2"/>
      <x:c r="C6961" s="2"/>
      <x:c r="D6961" s="2"/>
      <x:c r="E6961" s="2"/>
      <x:c r="F6961" s="2"/>
      <x:c r="G6961" s="2"/>
    </x:row>
    <x:row r="6962">
      <x:c r="B6962" s="2"/>
      <x:c r="C6962" s="2"/>
      <x:c r="D6962" s="2"/>
      <x:c r="E6962" s="2"/>
      <x:c r="F6962" s="2"/>
      <x:c r="G6962" s="2"/>
    </x:row>
    <x:row r="6963">
      <x:c r="B6963" s="2"/>
      <x:c r="C6963" s="2"/>
      <x:c r="D6963" s="2"/>
      <x:c r="E6963" s="2"/>
      <x:c r="F6963" s="2"/>
      <x:c r="G6963" s="2"/>
    </x:row>
    <x:row r="6964">
      <x:c r="B6964" s="2"/>
      <x:c r="C6964" s="2"/>
      <x:c r="D6964" s="2"/>
      <x:c r="E6964" s="2"/>
      <x:c r="F6964" s="2"/>
      <x:c r="G6964" s="2"/>
    </x:row>
    <x:row r="6965">
      <x:c r="B6965" s="2"/>
      <x:c r="C6965" s="2"/>
      <x:c r="D6965" s="2"/>
      <x:c r="E6965" s="2"/>
      <x:c r="F6965" s="2"/>
      <x:c r="G6965" s="2"/>
    </x:row>
    <x:row r="6966">
      <x:c r="B6966" s="2"/>
      <x:c r="C6966" s="2"/>
      <x:c r="D6966" s="2"/>
      <x:c r="E6966" s="2"/>
      <x:c r="F6966" s="2"/>
      <x:c r="G6966" s="2"/>
    </x:row>
    <x:row r="6967">
      <x:c r="B6967" s="2"/>
      <x:c r="C6967" s="2"/>
      <x:c r="D6967" s="2"/>
      <x:c r="E6967" s="2"/>
      <x:c r="F6967" s="2"/>
      <x:c r="G6967" s="2"/>
    </x:row>
    <x:row r="6968">
      <x:c r="B6968" s="2"/>
      <x:c r="C6968" s="2"/>
      <x:c r="D6968" s="2"/>
      <x:c r="E6968" s="2"/>
      <x:c r="F6968" s="2"/>
      <x:c r="G6968" s="2"/>
    </x:row>
    <x:row r="6969">
      <x:c r="B6969" s="2"/>
      <x:c r="C6969" s="2"/>
      <x:c r="D6969" s="2"/>
      <x:c r="E6969" s="2"/>
      <x:c r="F6969" s="2"/>
      <x:c r="G6969" s="2"/>
    </x:row>
    <x:row r="6970">
      <x:c r="B6970" s="2"/>
      <x:c r="C6970" s="2"/>
      <x:c r="D6970" s="2"/>
      <x:c r="E6970" s="2"/>
      <x:c r="F6970" s="2"/>
      <x:c r="G6970" s="2"/>
    </x:row>
    <x:row r="6971">
      <x:c r="B6971" s="2"/>
      <x:c r="C6971" s="2"/>
      <x:c r="D6971" s="2"/>
      <x:c r="E6971" s="2"/>
      <x:c r="F6971" s="2"/>
      <x:c r="G6971" s="2"/>
    </x:row>
    <x:row r="6972">
      <x:c r="B6972" s="2"/>
      <x:c r="C6972" s="2"/>
      <x:c r="D6972" s="2"/>
      <x:c r="E6972" s="2"/>
      <x:c r="F6972" s="2"/>
      <x:c r="G6972" s="2"/>
    </x:row>
    <x:row r="6973">
      <x:c r="B6973" s="2"/>
      <x:c r="C6973" s="2"/>
      <x:c r="D6973" s="2"/>
      <x:c r="E6973" s="2"/>
      <x:c r="F6973" s="2"/>
      <x:c r="G6973" s="2"/>
    </x:row>
    <x:row r="6974">
      <x:c r="B6974" s="2"/>
      <x:c r="C6974" s="2"/>
      <x:c r="D6974" s="2"/>
      <x:c r="E6974" s="2"/>
      <x:c r="F6974" s="2"/>
      <x:c r="G6974" s="2"/>
    </x:row>
    <x:row r="6975">
      <x:c r="B6975" s="2"/>
      <x:c r="C6975" s="2"/>
      <x:c r="D6975" s="2"/>
      <x:c r="E6975" s="2"/>
      <x:c r="F6975" s="2"/>
      <x:c r="G6975" s="2"/>
    </x:row>
    <x:row r="6976">
      <x:c r="B6976" s="2"/>
      <x:c r="C6976" s="2"/>
      <x:c r="D6976" s="2"/>
      <x:c r="E6976" s="2"/>
      <x:c r="F6976" s="2"/>
      <x:c r="G6976" s="2"/>
    </x:row>
    <x:row r="6977">
      <x:c r="B6977" s="2"/>
      <x:c r="C6977" s="2"/>
      <x:c r="D6977" s="2"/>
      <x:c r="E6977" s="2"/>
      <x:c r="F6977" s="2"/>
      <x:c r="G6977" s="2"/>
    </x:row>
    <x:row r="6978">
      <x:c r="B6978" s="2"/>
      <x:c r="C6978" s="2"/>
      <x:c r="D6978" s="2"/>
      <x:c r="E6978" s="2"/>
      <x:c r="F6978" s="2"/>
      <x:c r="G6978" s="2"/>
    </x:row>
    <x:row r="6979">
      <x:c r="B6979" s="2"/>
      <x:c r="C6979" s="2"/>
      <x:c r="D6979" s="2"/>
      <x:c r="E6979" s="2"/>
      <x:c r="F6979" s="2"/>
      <x:c r="G6979" s="2"/>
    </x:row>
    <x:row r="6980">
      <x:c r="B6980" s="2"/>
      <x:c r="C6980" s="2"/>
      <x:c r="D6980" s="2"/>
      <x:c r="E6980" s="2"/>
      <x:c r="F6980" s="2"/>
      <x:c r="G6980" s="2"/>
    </x:row>
    <x:row r="6981">
      <x:c r="B6981" s="2"/>
      <x:c r="C6981" s="2"/>
      <x:c r="D6981" s="2"/>
      <x:c r="E6981" s="2"/>
      <x:c r="F6981" s="2"/>
      <x:c r="G6981" s="2"/>
    </x:row>
    <x:row r="6982">
      <x:c r="B6982" s="2"/>
      <x:c r="C6982" s="2"/>
      <x:c r="D6982" s="2"/>
      <x:c r="E6982" s="2"/>
      <x:c r="F6982" s="2"/>
      <x:c r="G6982" s="2"/>
    </x:row>
    <x:row r="6983">
      <x:c r="B6983" s="2"/>
      <x:c r="C6983" s="2"/>
      <x:c r="D6983" s="2"/>
      <x:c r="E6983" s="2"/>
      <x:c r="F6983" s="2"/>
      <x:c r="G6983" s="2"/>
    </x:row>
    <x:row r="6984">
      <x:c r="B6984" s="2"/>
      <x:c r="C6984" s="2"/>
      <x:c r="D6984" s="2"/>
      <x:c r="E6984" s="2"/>
      <x:c r="F6984" s="2"/>
      <x:c r="G6984" s="2"/>
    </x:row>
    <x:row r="6985">
      <x:c r="B6985" s="2"/>
      <x:c r="C6985" s="2"/>
      <x:c r="D6985" s="2"/>
      <x:c r="E6985" s="2"/>
      <x:c r="F6985" s="2"/>
      <x:c r="G6985" s="2"/>
    </x:row>
    <x:row r="6986">
      <x:c r="B6986" s="2"/>
      <x:c r="C6986" s="2"/>
      <x:c r="D6986" s="2"/>
      <x:c r="E6986" s="2"/>
      <x:c r="F6986" s="2"/>
      <x:c r="G6986" s="2"/>
    </x:row>
    <x:row r="6987">
      <x:c r="B6987" s="2"/>
      <x:c r="C6987" s="2"/>
      <x:c r="D6987" s="2"/>
      <x:c r="E6987" s="2"/>
      <x:c r="F6987" s="2"/>
      <x:c r="G6987" s="2"/>
    </x:row>
    <x:row r="6988">
      <x:c r="B6988" s="2"/>
      <x:c r="C6988" s="2"/>
      <x:c r="D6988" s="2"/>
      <x:c r="E6988" s="2"/>
      <x:c r="F6988" s="2"/>
      <x:c r="G6988" s="2"/>
    </x:row>
    <x:row r="6989">
      <x:c r="B6989" s="2"/>
      <x:c r="C6989" s="2"/>
      <x:c r="D6989" s="2"/>
      <x:c r="E6989" s="2"/>
      <x:c r="F6989" s="2"/>
      <x:c r="G6989" s="2"/>
    </x:row>
    <x:row r="6990">
      <x:c r="B6990" s="2"/>
      <x:c r="C6990" s="2"/>
      <x:c r="D6990" s="2"/>
      <x:c r="E6990" s="2"/>
      <x:c r="F6990" s="2"/>
      <x:c r="G6990" s="2"/>
    </x:row>
    <x:row r="6991">
      <x:c r="B6991" s="2"/>
      <x:c r="C6991" s="2"/>
      <x:c r="D6991" s="2"/>
      <x:c r="E6991" s="2"/>
      <x:c r="F6991" s="2"/>
      <x:c r="G6991" s="2"/>
    </x:row>
    <x:row r="6992">
      <x:c r="B6992" s="2"/>
      <x:c r="C6992" s="2"/>
      <x:c r="D6992" s="2"/>
      <x:c r="E6992" s="2"/>
      <x:c r="F6992" s="2"/>
      <x:c r="G6992" s="2"/>
    </x:row>
    <x:row r="6993">
      <x:c r="B6993" s="2"/>
      <x:c r="C6993" s="2"/>
      <x:c r="D6993" s="2"/>
      <x:c r="E6993" s="2"/>
      <x:c r="F6993" s="2"/>
      <x:c r="G6993" s="2"/>
    </x:row>
    <x:row r="6994">
      <x:c r="B6994" s="2"/>
      <x:c r="C6994" s="2"/>
      <x:c r="D6994" s="2"/>
      <x:c r="E6994" s="2"/>
      <x:c r="F6994" s="2"/>
      <x:c r="G6994" s="2"/>
    </x:row>
    <x:row r="6995">
      <x:c r="B6995" s="2"/>
      <x:c r="C6995" s="2"/>
      <x:c r="D6995" s="2"/>
      <x:c r="E6995" s="2"/>
      <x:c r="F6995" s="2"/>
      <x:c r="G6995" s="2"/>
    </x:row>
    <x:row r="6996">
      <x:c r="B6996" s="2"/>
      <x:c r="C6996" s="2"/>
      <x:c r="D6996" s="2"/>
      <x:c r="E6996" s="2"/>
      <x:c r="F6996" s="2"/>
      <x:c r="G6996" s="2"/>
    </x:row>
    <x:row r="6997">
      <x:c r="B6997" s="2"/>
      <x:c r="C6997" s="2"/>
      <x:c r="D6997" s="2"/>
      <x:c r="E6997" s="2"/>
      <x:c r="F6997" s="2"/>
      <x:c r="G6997" s="2"/>
    </x:row>
    <x:row r="6998">
      <x:c r="B6998" s="2"/>
      <x:c r="C6998" s="2"/>
      <x:c r="D6998" s="2"/>
      <x:c r="E6998" s="2"/>
      <x:c r="F6998" s="2"/>
      <x:c r="G6998" s="2"/>
    </x:row>
    <x:row r="6999">
      <x:c r="B6999" s="2"/>
      <x:c r="C6999" s="2"/>
      <x:c r="D6999" s="2"/>
      <x:c r="E6999" s="2"/>
      <x:c r="F6999" s="2"/>
      <x:c r="G6999" s="2"/>
    </x:row>
    <x:row r="7000">
      <x:c r="B7000" s="2"/>
      <x:c r="C7000" s="2"/>
      <x:c r="D7000" s="2"/>
      <x:c r="E7000" s="2"/>
      <x:c r="F7000" s="2"/>
      <x:c r="G7000" s="2"/>
    </x:row>
  </x:sheetData>
  <x:mergeCells>
    <x:mergeCell ref="B3:G3"/>
  </x:mergeCells>
  <x:conditionalFormatting sqref="G7:G6308">
    <x:cfRule type="containsText" dxfId="45" priority="1" operator="containsText" text="OPEN"/>
    <x:cfRule type="containsText" dxfId="46" priority="2" operator="containsText" text="HOLD"/>
    <x:cfRule type="containsText" dxfId="47" priority="3" operator="containsText" text="BLOCKED"/>
    <x:cfRule type="containsText" dxfId="48" priority="4" operator="containsText" text="FAIL"/>
    <x:cfRule type="containsText" dxfId="49" priority="5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38" hidden="0" customWidth="1"/>
    <x:col min="4" max="4" width="42" hidden="0" customWidth="1"/>
    <x:col min="5" max="5" width="30" hidden="0" customWidth="1"/>
    <x:col min="6" max="6" width="32" hidden="0" customWidth="1"/>
    <x:col min="7" max="7" width="16" hidden="0" customWidth="1"/>
    <x:col min="8" max="8" width="28" hidden="0" customWidth="1"/>
    <x:col min="9" max="9" width="29" hidden="0" customWidth="1"/>
    <x:col min="10" max="10" width="36" hidden="0" customWidth="1"/>
  </x:cols>
  <x:sheetData>
    <x:row r="2">
      <x:c r="B2" s="3" t="str">
        <x:v>Workbook reading order and authority boundary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This workbook is a planning constitution. It grants no program, construction, production, operational, evidence, capital-release, or rendering authority.</x:v>
      </x:c>
      <x:c r="C3" s="2"/>
      <x:c r="D3" s="2"/>
      <x:c r="E3" s="2"/>
      <x:c r="F3" s="2"/>
      <x:c r="G3" s="2"/>
      <x:c r="H3" s="2"/>
      <x:c r="I3" s="2"/>
      <x:c r="J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19" t="str">
        <x:v>Sheet</x:v>
      </x:c>
      <x:c r="C6" s="20" t="str">
        <x:v>Question</x:v>
      </x:c>
      <x:c r="D6" s="20" t="str">
        <x:v>Purpose</x:v>
      </x:c>
      <x:c r="E6" s="20" t="str">
        <x:v>Primary input</x:v>
      </x:c>
      <x:c r="F6" s="20" t="str">
        <x:v>Output</x:v>
      </x:c>
      <x:c r="G6" s="20" t="str">
        <x:v>State</x:v>
      </x:c>
      <x:c r="H6" s="20" t="str">
        <x:v>Not evidence of</x:v>
      </x:c>
      <x:c r="I6" s="20" t="str">
        <x:v>Authority</x:v>
      </x:c>
      <x:c r="J6" s="20" t="str">
        <x:v>Reopen trigger</x:v>
      </x:c>
    </x:row>
    <x:row r="7" ht="34" customHeight="1">
      <x:c r="B7" s="35" t="str">
        <x:v>Summary</x:v>
      </x:c>
      <x:c r="C7" s="35" t="str">
        <x:v>What is established?</x:v>
      </x:c>
      <x:c r="D7" s="35" t="str">
        <x:v>state the institutional answer</x:v>
      </x:c>
      <x:c r="E7" s="35" t="str">
        <x:v>all registers</x:v>
      </x:c>
      <x:c r="F7" s="35" t="str">
        <x:v>scale and invariants</x:v>
      </x:c>
      <x:c r="G7" s="35" t="str">
        <x:v>planning</x:v>
      </x:c>
      <x:c r="H7" s="35" t="str">
        <x:v>readiness or feasibility</x:v>
      </x:c>
      <x:c r="I7" s="35" t="str">
        <x:v>model custodian</x:v>
      </x:c>
      <x:c r="J7" s="38" t="str">
        <x:v>failed audit or evidence</x:v>
      </x:c>
    </x:row>
    <x:row r="8" ht="34" customHeight="1">
      <x:c r="B8" s="35" t="str">
        <x:v>Assumptions</x:v>
      </x:c>
      <x:c r="C8" s="35" t="str">
        <x:v>What is frozen?</x:v>
      </x:c>
      <x:c r="D8" s="35" t="str">
        <x:v>declare editable boundaries</x:v>
      </x:c>
      <x:c r="E8" s="35" t="str">
        <x:v>canonical force architecture</x:v>
      </x:c>
      <x:c r="F8" s="35" t="str">
        <x:v>model constants</x:v>
      </x:c>
      <x:c r="G8" s="35" t="str">
        <x:v>frozen</x:v>
      </x:c>
      <x:c r="H8" s="35" t="str">
        <x:v>appropriation</x:v>
      </x:c>
      <x:c r="I8" s="35" t="str">
        <x:v>model custodian</x:v>
      </x:c>
      <x:c r="J8" s="38" t="str">
        <x:v>accepted architecture change</x:v>
      </x:c>
    </x:row>
    <x:row r="9" ht="34" customHeight="1">
      <x:c r="B9" s="35" t="str">
        <x:v>Lifecycle</x:v>
      </x:c>
      <x:c r="C9" s="35" t="str">
        <x:v>What earns value?</x:v>
      </x:c>
      <x:c r="D9" s="35" t="str">
        <x:v>define physical artifact chain</x:v>
      </x:c>
      <x:c r="E9" s="35" t="str">
        <x:v>civil-effect logic</x:v>
      </x:c>
      <x:c r="F9" s="35" t="str">
        <x:v>ten artifacts</x:v>
      </x:c>
      <x:c r="G9" s="35" t="str">
        <x:v>hold</x:v>
      </x:c>
      <x:c r="H9" s="35" t="str">
        <x:v>artifact acceptance</x:v>
      </x:c>
      <x:c r="I9" s="35" t="str">
        <x:v>separated authorities</x:v>
      </x:c>
      <x:c r="J9" s="38" t="str">
        <x:v>physical findings</x:v>
      </x:c>
    </x:row>
    <x:row r="10" ht="34" customHeight="1">
      <x:c r="B10" s="35" t="str">
        <x:v>Office Network</x:v>
      </x:c>
      <x:c r="C10" s="35" t="str">
        <x:v>Who runs programs?</x:v>
      </x:c>
      <x:c r="D10" s="35" t="str">
        <x:v>compose delivery and integration offices</x:v>
      </x:c>
      <x:c r="E10" s="35" t="str">
        <x:v>48 force families</x:v>
      </x:c>
      <x:c r="F10" s="35" t="str">
        <x:v>64 offices</x:v>
      </x:c>
      <x:c r="G10" s="35" t="str">
        <x:v>planning</x:v>
      </x:c>
      <x:c r="H10" s="35" t="str">
        <x:v>staff availability</x:v>
      </x:c>
      <x:c r="I10" s="35" t="str">
        <x:v>AIMC personnel authority</x:v>
      </x:c>
      <x:c r="J10" s="38" t="str">
        <x:v>workforce evidence</x:v>
      </x:c>
    </x:row>
    <x:row r="11" ht="34" customHeight="1">
      <x:c r="B11" s="35" t="str">
        <x:v>Program Register</x:v>
      </x:c>
      <x:c r="C11" s="35" t="str">
        <x:v>What is concurrent?</x:v>
      </x:c>
      <x:c r="D11" s="35" t="str">
        <x:v>maintain overlapping increments</x:v>
      </x:c>
      <x:c r="E11" s="35" t="str">
        <x:v>family architecture</x:v>
      </x:c>
      <x:c r="F11" s="35" t="str">
        <x:v>192 programs</x:v>
      </x:c>
      <x:c r="G11" s="35" t="str">
        <x:v>hold</x:v>
      </x:c>
      <x:c r="H11" s="35" t="str">
        <x:v>program authorization</x:v>
      </x:c>
      <x:c r="I11" s="35" t="str">
        <x:v>program executives</x:v>
      </x:c>
      <x:c r="J11" s="38" t="str">
        <x:v>accepted B0/B1</x:v>
      </x:c>
    </x:row>
    <x:row r="12" ht="34" customHeight="1">
      <x:c r="B12" s="35" t="str">
        <x:v>Authority Matrix</x:v>
      </x:c>
      <x:c r="C12" s="35" t="str">
        <x:v>Who may decide?</x:v>
      </x:c>
      <x:c r="D12" s="35" t="str">
        <x:v>block self-certification</x:v>
      </x:c>
      <x:c r="E12" s="35" t="str">
        <x:v>constitutional separation</x:v>
      </x:c>
      <x:c r="F12" s="35" t="str">
        <x:v>transaction roles</x:v>
      </x:c>
      <x:c r="G12" s="35" t="str">
        <x:v>hold</x:v>
      </x:c>
      <x:c r="H12" s="35" t="str">
        <x:v>legal adoption</x:v>
      </x:c>
      <x:c r="I12" s="35" t="str">
        <x:v>civil authority</x:v>
      </x:c>
      <x:c r="J12" s="38" t="str">
        <x:v>charter or statute</x:v>
      </x:c>
    </x:row>
    <x:row r="13" ht="34" customHeight="1">
      <x:c r="B13" s="35" t="str">
        <x:v>Artifact Ledger</x:v>
      </x:c>
      <x:c r="C13" s="35" t="str">
        <x:v>How is capital released?</x:v>
      </x:c>
      <x:c r="D13" s="35" t="str">
        <x:v>execute physical earned value</x:v>
      </x:c>
      <x:c r="E13" s="35" t="str">
        <x:v>programs + lifecycle</x:v>
      </x:c>
      <x:c r="F13" s="35" t="str">
        <x:v>1,920 transactions</x:v>
      </x:c>
      <x:c r="G13" s="35" t="str">
        <x:v>hold</x:v>
      </x:c>
      <x:c r="H13" s="35" t="str">
        <x:v>accepted artifacts</x:v>
      </x:c>
      <x:c r="I13" s="35" t="str">
        <x:v>named authority</x:v>
      </x:c>
      <x:c r="J13" s="38" t="str">
        <x:v>physical closure</x:v>
      </x:c>
    </x:row>
    <x:row r="14" ht="34" customHeight="1">
      <x:c r="B14" s="35" t="str">
        <x:v>Technical Data Map</x:v>
      </x:c>
      <x:c r="C14" s="35" t="str">
        <x:v>What must be public?</x:v>
      </x:c>
      <x:c r="D14" s="35" t="str">
        <x:v>define complete product truth</x:v>
      </x:c>
      <x:c r="E14" s="35" t="str">
        <x:v>reproduction requirement</x:v>
      </x:c>
      <x:c r="F14" s="35" t="str">
        <x:v>28 data classes</x:v>
      </x:c>
      <x:c r="G14" s="35" t="str">
        <x:v>open</x:v>
      </x:c>
      <x:c r="H14" s="35" t="str">
        <x:v>data delivery</x:v>
      </x:c>
      <x:c r="I14" s="35" t="str">
        <x:v>data custodian</x:v>
      </x:c>
      <x:c r="J14" s="38" t="str">
        <x:v>accepted originals</x:v>
      </x:c>
    </x:row>
    <x:row r="15" ht="34" customHeight="1">
      <x:c r="B15" s="35" t="str">
        <x:v>Root Data</x:v>
      </x:c>
      <x:c r="C15" s="35" t="str">
        <x:v>Is each path inspectable?</x:v>
      </x:c>
      <x:c r="D15" s="35" t="str">
        <x:v>track submitted and accepted data</x:v>
      </x:c>
      <x:c r="E15" s="35" t="str">
        <x:v>576 roots</x:v>
      </x:c>
      <x:c r="F15" s="35" t="str">
        <x:v>root status</x:v>
      </x:c>
      <x:c r="G15" s="35" t="str">
        <x:v>blocked</x:v>
      </x:c>
      <x:c r="H15" s="35" t="str">
        <x:v>technical completeness</x:v>
      </x:c>
      <x:c r="I15" s="35" t="str">
        <x:v>evidence authority</x:v>
      </x:c>
      <x:c r="J15" s="38" t="str">
        <x:v>accepted CTDP</x:v>
      </x:c>
    </x:row>
    <x:row r="16" ht="34" customHeight="1">
      <x:c r="B16" s="35" t="str">
        <x:v>Baseline Register</x:v>
      </x:c>
      <x:c r="C16" s="35" t="str">
        <x:v>What configuration exists?</x:v>
      </x:c>
      <x:c r="D16" s="35" t="str">
        <x:v>attach findings to versioned states</x:v>
      </x:c>
      <x:c r="E16" s="35" t="str">
        <x:v>program register</x:v>
      </x:c>
      <x:c r="F16" s="35" t="str">
        <x:v>1,344 baselines</x:v>
      </x:c>
      <x:c r="G16" s="35" t="str">
        <x:v>open/hold</x:v>
      </x:c>
      <x:c r="H16" s="35" t="str">
        <x:v>released configuration</x:v>
      </x:c>
      <x:c r="I16" s="35" t="str">
        <x:v>configuration authority</x:v>
      </x:c>
      <x:c r="J16" s="38" t="str">
        <x:v>accepted evidence</x:v>
      </x:c>
    </x:row>
    <x:row r="17" ht="34" customHeight="1">
      <x:c r="B17" s="35" t="str">
        <x:v>Change Control</x:v>
      </x:c>
      <x:c r="C17" s="35" t="str">
        <x:v>What reopens?</x:v>
      </x:c>
      <x:c r="D17" s="35" t="str">
        <x:v>propagate causal consequences</x:v>
      </x:c>
      <x:c r="E17" s="35" t="str">
        <x:v>baseline chain</x:v>
      </x:c>
      <x:c r="F17" s="35" t="str">
        <x:v>10 change classes</x:v>
      </x:c>
      <x:c r="G17" s="35" t="str">
        <x:v>hold</x:v>
      </x:c>
      <x:c r="H17" s="35" t="str">
        <x:v>approved change</x:v>
      </x:c>
      <x:c r="I17" s="35" t="str">
        <x:v>named adjudicator</x:v>
      </x:c>
      <x:c r="J17" s="38" t="str">
        <x:v>change finding</x:v>
      </x:c>
    </x:row>
    <x:row r="18" ht="34" customHeight="1">
      <x:c r="B18" s="35" t="str">
        <x:v>Financial Control</x:v>
      </x:c>
      <x:c r="C18" s="35" t="str">
        <x:v>Where is USD 15.179T?</x:v>
      </x:c>
      <x:c r="D18" s="35" t="str">
        <x:v>reconcile capital to artifacts</x:v>
      </x:c>
      <x:c r="E18" s="35" t="str">
        <x:v>force envelope</x:v>
      </x:c>
      <x:c r="F18" s="35" t="str">
        <x:v>ten allocations</x:v>
      </x:c>
      <x:c r="G18" s="35" t="str">
        <x:v>hold</x:v>
      </x:c>
      <x:c r="H18" s="35" t="str">
        <x:v>appropriation or price</x:v>
      </x:c>
      <x:c r="I18" s="35" t="str">
        <x:v>cost authority</x:v>
      </x:c>
      <x:c r="J18" s="38" t="str">
        <x:v>validated estimates</x:v>
      </x:c>
    </x:row>
    <x:row r="19" ht="34" customHeight="1">
      <x:c r="B19" s="35" t="str">
        <x:v>Program Phasing</x:v>
      </x:c>
      <x:c r="C19" s="35" t="str">
        <x:v>When is capacity needed?</x:v>
      </x:c>
      <x:c r="D19" s="35" t="str">
        <x:v>plan cash without awarding evidence</x:v>
      </x:c>
      <x:c r="E19" s="35" t="str">
        <x:v>12-year lifecycle</x:v>
      </x:c>
      <x:c r="F19" s="35" t="str">
        <x:v>program phasing</x:v>
      </x:c>
      <x:c r="G19" s="35" t="str">
        <x:v>planning</x:v>
      </x:c>
      <x:c r="H19" s="35" t="str">
        <x:v>earned value</x:v>
      </x:c>
      <x:c r="I19" s="35" t="str">
        <x:v>portfolio authority</x:v>
      </x:c>
      <x:c r="J19" s="38" t="str">
        <x:v>execution data</x:v>
      </x:c>
    </x:row>
    <x:row r="20" ht="34" customHeight="1">
      <x:c r="B20" s="35" t="str">
        <x:v>Replacement Logic</x:v>
      </x:c>
      <x:c r="C20" s="35" t="str">
        <x:v>What happens on failure?</x:v>
      </x:c>
      <x:c r="D20" s="35" t="str">
        <x:v>replace paths without amnesia</x:v>
      </x:c>
      <x:c r="E20" s="35" t="str">
        <x:v>failure constitution</x:v>
      </x:c>
      <x:c r="F20" s="35" t="str">
        <x:v>12 triggers</x:v>
      </x:c>
      <x:c r="G20" s="35" t="str">
        <x:v>hold</x:v>
      </x:c>
      <x:c r="H20" s="35" t="str">
        <x:v>observed failure</x:v>
      </x:c>
      <x:c r="I20" s="35" t="str">
        <x:v>named authority</x:v>
      </x:c>
      <x:c r="J20" s="38" t="str">
        <x:v>causal finding</x:v>
      </x:c>
    </x:row>
    <x:row r="21" ht="34" customHeight="1">
      <x:c r="B21" s="35" t="str">
        <x:v>Decision Gates</x:v>
      </x:c>
      <x:c r="C21" s="35" t="str">
        <x:v>What remains blocked?</x:v>
      </x:c>
      <x:c r="D21" s="35" t="str">
        <x:v>make non-authority explicit</x:v>
      </x:c>
      <x:c r="E21" s="35" t="str">
        <x:v>all registers</x:v>
      </x:c>
      <x:c r="F21" s="35" t="str">
        <x:v>24 holds</x:v>
      </x:c>
      <x:c r="G21" s="35" t="str">
        <x:v>open/hold</x:v>
      </x:c>
      <x:c r="H21" s="35" t="str">
        <x:v>authorization</x:v>
      </x:c>
      <x:c r="I21" s="35" t="str">
        <x:v>gate owners</x:v>
      </x:c>
      <x:c r="J21" s="38" t="str">
        <x:v>accepted artifacts</x:v>
      </x:c>
    </x:row>
    <x:row r="22" ht="34" customHeight="1">
      <x:c r="B22" s="39" t="str">
        <x:v>Audit</x:v>
      </x:c>
      <x:c r="C22" s="39" t="str">
        <x:v>Is the model coherent?</x:v>
      </x:c>
      <x:c r="D22" s="39" t="str">
        <x:v>test formulas and invariants</x:v>
      </x:c>
      <x:c r="E22" s="39" t="str">
        <x:v>all sheets</x:v>
      </x:c>
      <x:c r="F22" s="39" t="str">
        <x:v>PASS/FAIL</x:v>
      </x:c>
      <x:c r="G22" s="39" t="str">
        <x:v>model only</x:v>
      </x:c>
      <x:c r="H22" s="39" t="str">
        <x:v>physical truth</x:v>
      </x:c>
      <x:c r="I22" s="39" t="str">
        <x:v>model custodian</x:v>
      </x:c>
      <x:c r="J22" s="42" t="str">
        <x:v>input or formula change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B25" s="29" t="str">
        <x:v>Use discipline</x:v>
      </x:c>
      <x:c r="C25" s="30" t="str">
        <x:v>Use discipline</x:v>
      </x:c>
      <x:c r="D25" s="30" t="str">
        <x:v>Use discipline</x:v>
      </x:c>
      <x:c r="E25" s="30" t="str">
        <x:v>Use discipline</x:v>
      </x:c>
      <x:c r="F25" s="30" t="str">
        <x:v>Use discipline</x:v>
      </x:c>
      <x:c r="G25" s="30" t="str">
        <x:v>Use discipline</x:v>
      </x:c>
      <x:c r="H25" s="30" t="str">
        <x:v>Use discipline</x:v>
      </x:c>
      <x:c r="I25" s="30" t="str">
        <x:v>Use discipline</x:v>
      </x:c>
      <x:c r="J25" s="31" t="str">
        <x:v>Use discipline</x:v>
      </x:c>
    </x:row>
    <x:row r="26">
      <x:c r="B26" s="2" t="str">
        <x:v>Read Summary first, then Lifecycle, Authority Matrix, Artifact Ledger, Technical Data Map, and Change Control.</x:v>
      </x:c>
      <x:c r="C26" s="2" t="str"/>
      <x:c r="D26" s="2" t="str"/>
      <x:c r="E26" s="2" t="str"/>
      <x:c r="F26" s="2" t="str"/>
      <x:c r="G26" s="2" t="str"/>
      <x:c r="H26" s="2" t="str"/>
      <x:c r="I26" s="2" t="str"/>
      <x:c r="J26" s="2" t="str"/>
    </x:row>
    <x:row r="27">
      <x:c r="B27" s="2" t="str">
        <x:v>Blue-font cells are the only intended planning inputs. The baseline preserves zero accepted artifacts, root data, rights, and capital eligibility.</x:v>
      </x:c>
      <x:c r="C27" s="2" t="str"/>
      <x:c r="D27" s="2" t="str"/>
      <x:c r="E27" s="2" t="str"/>
      <x:c r="F27" s="2" t="str"/>
      <x:c r="G27" s="2" t="str"/>
      <x:c r="H27" s="2" t="str"/>
      <x:c r="I27" s="2" t="str"/>
      <x:c r="J27" s="2" t="str"/>
    </x:row>
    <x:row r="28">
      <x:c r="B28" s="2" t="str">
        <x:v>PASS in Audit means internal formula coherence only. It never upgrades OPEN evidence or HOLD decisions.</x:v>
      </x:c>
      <x:c r="C28" s="2" t="str"/>
      <x:c r="D28" s="2" t="str"/>
      <x:c r="E28" s="2" t="str"/>
      <x:c r="F28" s="2" t="str"/>
      <x:c r="G28" s="2" t="str"/>
      <x:c r="H28" s="2" t="str"/>
      <x:c r="I28" s="2" t="str"/>
      <x:c r="J28" s="2" t="str"/>
    </x:row>
    <x:row r="29">
      <x:c r="B29" s="2" t="str">
        <x:v>Program capital and public facilities share one USD 15.179T envelope; facility use is traced through program tranches rather than counted again.</x:v>
      </x:c>
      <x:c r="C29" s="2" t="str"/>
      <x:c r="D29" s="2" t="str"/>
      <x:c r="E29" s="2" t="str"/>
      <x:c r="F29" s="2" t="str"/>
      <x:c r="G29" s="2" t="str"/>
      <x:c r="H29" s="2" t="str"/>
      <x:c r="I29" s="2" t="str"/>
      <x:c r="J29" s="2" t="str"/>
    </x:row>
    <x:row r="30">
      <x:c r="B30" s="2" t="str">
        <x:v>The model is intentionally demanding: every root must close all 28 data classes before reproduction, pilot, production, or mobilization artifacts may release capital.</x:v>
      </x:c>
      <x:c r="C30" s="2" t="str"/>
      <x:c r="D30" s="2" t="str"/>
      <x:c r="E30" s="2" t="str"/>
      <x:c r="F30" s="2" t="str"/>
      <x:c r="G30" s="2" t="str"/>
      <x:c r="H30" s="2" t="str"/>
      <x:c r="I30" s="2" t="str"/>
      <x:c r="J30" s="2" t="str"/>
    </x:row>
    <x:row r="31">
      <x:c r="B31" s="2" t="str">
        <x:v>Innovation is unconstrained in technical approach but constrained in public effect, safety, rights, reproducibility, receiving burden, and evidence.</x:v>
      </x:c>
      <x:c r="C31" s="2" t="str"/>
      <x:c r="D31" s="2" t="str"/>
      <x:c r="E31" s="2" t="str"/>
      <x:c r="F31" s="2" t="str"/>
      <x:c r="G31" s="2" t="str"/>
      <x:c r="H31" s="2" t="str"/>
      <x:c r="I31" s="2" t="str"/>
      <x:c r="J31" s="2" t="str"/>
    </x:row>
    <x:row r="32">
      <x:c r="B32" s="2" t="str">
        <x:v>No vehicle rendering is authorized in this pass.</x:v>
      </x:c>
      <x:c r="C32" s="2" t="str"/>
      <x:c r="D32" s="2" t="str"/>
      <x:c r="E32" s="2" t="str"/>
      <x:c r="F32" s="2" t="str"/>
      <x:c r="G32" s="2" t="str"/>
      <x:c r="H32" s="2" t="str"/>
      <x:c r="I32" s="2" t="str"/>
      <x:c r="J32" s="2" t="str"/>
    </x:row>
    <x:row r="33">
      <x:c r="B33" s="2" t="str">
        <x:v>Next research boundary: the national industrial-mobilization exercise constitution, including no-notice activation, measured output, receiving throughput, and industrial-domain loss.</x:v>
      </x:c>
      <x:c r="C33" s="2" t="str"/>
      <x:c r="D33" s="2" t="str"/>
      <x:c r="E33" s="2" t="str"/>
      <x:c r="F33" s="2" t="str"/>
      <x:c r="G33" s="2" t="str"/>
      <x:c r="H33" s="2" t="str"/>
      <x:c r="I33" s="2" t="str"/>
      <x:c r="J33" s="2" t="str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B3:J3"/>
    <x:mergeCell ref="B25:J25"/>
  </x:mergeCells>
  <x:conditionalFormatting sqref="G7:G22">
    <x:cfRule type="containsText" dxfId="60" priority="1" operator="containsText" text="OPEN"/>
    <x:cfRule type="containsText" dxfId="61" priority="2" operator="containsText" text="HOLD"/>
    <x:cfRule type="containsText" dxfId="62" priority="3" operator="containsText" text="BLOCKED"/>
    <x:cfRule type="containsText" dxfId="63" priority="4" operator="containsText" text="FAIL"/>
    <x:cfRule type="containsText" dxfId="64" priority="5" operator="containsText" text="PASS"/>
  </x:conditionalFormatting>
  <x:pageMargins left="0.7" right="0.7" top="0.75" bottom="0.75" header="0.3" footer="0.3"/>
</x:worksheet>
</file>